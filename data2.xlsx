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flask2\"/>
    </mc:Choice>
  </mc:AlternateContent>
  <xr:revisionPtr revIDLastSave="0" documentId="13_ncr:1_{3353EB55-CF50-44F5-B4F7-C670B0919ED8}" xr6:coauthVersionLast="47" xr6:coauthVersionMax="47" xr10:uidLastSave="{00000000-0000-0000-0000-000000000000}"/>
  <bookViews>
    <workbookView xWindow="-108" yWindow="-108" windowWidth="23256" windowHeight="12456" tabRatio="824" activeTab="4" xr2:uid="{00000000-000D-0000-FFFF-FFFF00000000}"/>
  </bookViews>
  <sheets>
    <sheet name="勤務統計" sheetId="1" r:id="rId1"/>
    <sheet name="門市總表" sheetId="17" r:id="rId2"/>
    <sheet name="首頁" sheetId="2" r:id="rId3"/>
    <sheet name="行事曆" sheetId="3" r:id="rId4"/>
    <sheet name="出勤時間" sheetId="4" r:id="rId5"/>
    <sheet name="IM" sheetId="5" r:id="rId6"/>
    <sheet name="MFP" sheetId="6" r:id="rId7"/>
    <sheet name="IM錯誤紀錄" sheetId="7" r:id="rId8"/>
    <sheet name="湯家瑋" sheetId="9" r:id="rId9"/>
    <sheet name="吳宗鴻" sheetId="8" r:id="rId10"/>
    <sheet name="劉柏均" sheetId="10" r:id="rId11"/>
    <sheet name="狄澤洋" sheetId="11" r:id="rId12"/>
    <sheet name="門市狀態" sheetId="12" r:id="rId13"/>
    <sheet name="0919門市清單主檔" sheetId="13" r:id="rId14"/>
    <sheet name="MFP_零件表" sheetId="14" r:id="rId15"/>
    <sheet name="STAR專案" sheetId="15" state="hidden" r:id="rId16"/>
    <sheet name="特殊門市清單" sheetId="16" state="hidden" r:id="rId17"/>
  </sheets>
  <externalReferences>
    <externalReference r:id="rId18"/>
    <externalReference r:id="rId19"/>
    <externalReference r:id="rId20"/>
    <externalReference r:id="rId21"/>
  </externalReferences>
  <definedNames>
    <definedName name="_xlnm._FilterDatabase" localSheetId="13" hidden="1">'0919門市清單主檔'!$A$1:$AH$309</definedName>
    <definedName name="_xlnm._FilterDatabase" localSheetId="5" hidden="1">IM!$A$1:$AM$1</definedName>
    <definedName name="_xlnm._FilterDatabase" localSheetId="7" hidden="1">IM錯誤紀錄!$A$1:$AL$1</definedName>
    <definedName name="_xlnm._FilterDatabase" localSheetId="6" hidden="1">MFP!$A$1:$AB$2</definedName>
    <definedName name="_xlnm._FilterDatabase" localSheetId="15" hidden="1">STAR專案!$A$1:$M$282</definedName>
    <definedName name="_xlnm._FilterDatabase" localSheetId="3" hidden="1">行事曆!$A$1:$J$1</definedName>
    <definedName name="_xlnm._FilterDatabase" localSheetId="9" hidden="1">吳宗鴻!$A$6:$L$110</definedName>
    <definedName name="_xlnm._FilterDatabase" localSheetId="11" hidden="1">狄澤洋!$A$6:$L$6</definedName>
    <definedName name="_xlnm._FilterDatabase" localSheetId="12" hidden="1">門市狀態!$G$1:$I$1</definedName>
    <definedName name="_xlnm._FilterDatabase" localSheetId="1" hidden="1">門市總表!$A$2:$W$2</definedName>
    <definedName name="_xlnm._FilterDatabase" localSheetId="8" hidden="1">湯家瑋!$A$6:$L$6</definedName>
    <definedName name="_xlnm._FilterDatabase" localSheetId="0" hidden="1">門市總表!$A$2:$W$311</definedName>
    <definedName name="_xlnm._FilterDatabase" localSheetId="10" hidden="1">劉柏均!$A$6:$L$6</definedName>
    <definedName name="A" localSheetId="13">#N/A</definedName>
    <definedName name="A" localSheetId="15">#REF!</definedName>
    <definedName name="A" localSheetId="12">#N/A</definedName>
    <definedName name="A" localSheetId="16">[0]!A</definedName>
    <definedName name="A" localSheetId="0">#REF!</definedName>
    <definedName name="A">#REF!</definedName>
    <definedName name="A00">[1]督導二課!$D$80</definedName>
    <definedName name="AA" localSheetId="13">#REF!</definedName>
    <definedName name="AA" localSheetId="15">#REF!</definedName>
    <definedName name="AA" localSheetId="12">#REF!</definedName>
    <definedName name="AA" localSheetId="16">#REF!</definedName>
    <definedName name="AA" localSheetId="0">#REF!</definedName>
    <definedName name="AA">#REF!</definedName>
    <definedName name="BEGIN" localSheetId="13">#N/A</definedName>
    <definedName name="BEGIN" localSheetId="15">#REF!</definedName>
    <definedName name="BEGIN" localSheetId="12">#N/A</definedName>
    <definedName name="BEGIN" localSheetId="16">[0]!BEGIN</definedName>
    <definedName name="BEGIN" localSheetId="0">#REF!</definedName>
    <definedName name="BEGIN">#REF!</definedName>
    <definedName name="BONUS" localSheetId="13">#N/A</definedName>
    <definedName name="BONUS" localSheetId="15">#REF!</definedName>
    <definedName name="BONUS" localSheetId="12">#N/A</definedName>
    <definedName name="BONUS" localSheetId="16">[0]!BONUS</definedName>
    <definedName name="BONUS" localSheetId="0">#REF!</definedName>
    <definedName name="BONUS">#REF!</definedName>
    <definedName name="CALK3" localSheetId="13">#N/A</definedName>
    <definedName name="CALK3" localSheetId="15">#REF!</definedName>
    <definedName name="CALK3" localSheetId="12">#N/A</definedName>
    <definedName name="CALK3" localSheetId="16">[0]!CALK3</definedName>
    <definedName name="CALK3" localSheetId="0">#REF!</definedName>
    <definedName name="CALK3">#REF!</definedName>
    <definedName name="CALP3" localSheetId="13">#N/A</definedName>
    <definedName name="CALP3" localSheetId="15">#REF!</definedName>
    <definedName name="CALP3" localSheetId="12">#N/A</definedName>
    <definedName name="CALP3" localSheetId="16">[0]!CALP3</definedName>
    <definedName name="CALP3" localSheetId="0">#REF!</definedName>
    <definedName name="CALP3">#REF!</definedName>
    <definedName name="DRALINE" localSheetId="13">#N/A</definedName>
    <definedName name="DRALINE" localSheetId="15">#REF!</definedName>
    <definedName name="DRALINE" localSheetId="12">#N/A</definedName>
    <definedName name="DRALINE" localSheetId="16">[0]!DRALINE</definedName>
    <definedName name="DRALINE" localSheetId="0">#REF!</definedName>
    <definedName name="DRALINE">#REF!</definedName>
    <definedName name="DRAWLINE" localSheetId="13">#N/A</definedName>
    <definedName name="DRAWLINE" localSheetId="15">#REF!</definedName>
    <definedName name="DRAWLINE" localSheetId="12">#N/A</definedName>
    <definedName name="DRAWLINE" localSheetId="16">[0]!DRAWLINE</definedName>
    <definedName name="DRAWLINE" localSheetId="0">#REF!</definedName>
    <definedName name="DRAWLINE">#REF!</definedName>
    <definedName name="FUCK" localSheetId="13">#REF!</definedName>
    <definedName name="FUCK" localSheetId="15">#REF!</definedName>
    <definedName name="FUCK" localSheetId="12">#REF!</definedName>
    <definedName name="FUCK" localSheetId="16">#REF!</definedName>
    <definedName name="FUCK" localSheetId="0">#REF!</definedName>
    <definedName name="FUCK">#REF!</definedName>
    <definedName name="FUCK1" localSheetId="13">#REF!</definedName>
    <definedName name="FUCK1" localSheetId="15">#REF!</definedName>
    <definedName name="FUCK1" localSheetId="12">#REF!</definedName>
    <definedName name="FUCK1" localSheetId="16">#REF!</definedName>
    <definedName name="FUCK1" localSheetId="0">#REF!</definedName>
    <definedName name="FUCK1">#REF!</definedName>
    <definedName name="FUCK2" localSheetId="13">#REF!</definedName>
    <definedName name="FUCK2" localSheetId="15">#REF!</definedName>
    <definedName name="FUCK2" localSheetId="12">#REF!</definedName>
    <definedName name="FUCK2" localSheetId="16">#REF!</definedName>
    <definedName name="FUCK2" localSheetId="0">#REF!</definedName>
    <definedName name="FUCK2">#REF!</definedName>
    <definedName name="FUCK4" localSheetId="13">#REF!</definedName>
    <definedName name="FUCK4" localSheetId="15">#REF!</definedName>
    <definedName name="FUCK4" localSheetId="12">#REF!</definedName>
    <definedName name="FUCK4" localSheetId="16">#REF!</definedName>
    <definedName name="FUCK4" localSheetId="0">#REF!</definedName>
    <definedName name="FUCK4">#REF!</definedName>
    <definedName name="KEVIN3" localSheetId="13">#REF!</definedName>
    <definedName name="KEVIN3" localSheetId="15">#REF!</definedName>
    <definedName name="KEVIN3" localSheetId="12">#REF!</definedName>
    <definedName name="KEVIN3" localSheetId="16">#REF!</definedName>
    <definedName name="KEVIN3" localSheetId="0">#REF!</definedName>
    <definedName name="KEVIN3">#REF!</definedName>
    <definedName name="KMAKER" localSheetId="13">#N/A</definedName>
    <definedName name="KMAKER" localSheetId="15">#REF!</definedName>
    <definedName name="KMAKER" localSheetId="12">#N/A</definedName>
    <definedName name="KMAKER" localSheetId="16">[0]!KMAKER</definedName>
    <definedName name="KMAKER" localSheetId="0">#REF!</definedName>
    <definedName name="KMAKER">#REF!</definedName>
    <definedName name="MAN" localSheetId="13">#N/A</definedName>
    <definedName name="MAN" localSheetId="15">#REF!</definedName>
    <definedName name="MAN" localSheetId="12">#N/A</definedName>
    <definedName name="MAN" localSheetId="16">[0]!MAN</definedName>
    <definedName name="MAN" localSheetId="0">#REF!</definedName>
    <definedName name="MAN">#REF!</definedName>
    <definedName name="MIMI" localSheetId="13">#REF!</definedName>
    <definedName name="MIMI" localSheetId="15">#REF!</definedName>
    <definedName name="MIMI" localSheetId="12">#REF!</definedName>
    <definedName name="MIMI" localSheetId="16">#REF!</definedName>
    <definedName name="MIMI" localSheetId="0">#REF!</definedName>
    <definedName name="MIMI">#REF!</definedName>
    <definedName name="MIMI1" localSheetId="13">#REF!</definedName>
    <definedName name="MIMI1" localSheetId="15">#REF!</definedName>
    <definedName name="MIMI1" localSheetId="12">#REF!</definedName>
    <definedName name="MIMI1" localSheetId="16">#REF!</definedName>
    <definedName name="MIMI1" localSheetId="0">#REF!</definedName>
    <definedName name="MIMI1">#REF!</definedName>
    <definedName name="MIMI2" localSheetId="13">#REF!</definedName>
    <definedName name="MIMI2" localSheetId="15">#REF!</definedName>
    <definedName name="MIMI2" localSheetId="12">#REF!</definedName>
    <definedName name="MIMI2" localSheetId="16">#REF!</definedName>
    <definedName name="MIMI2" localSheetId="0">#REF!</definedName>
    <definedName name="MIMI2">#REF!</definedName>
    <definedName name="Print_Area_MI" localSheetId="13">#REF!</definedName>
    <definedName name="Print_Area_MI" localSheetId="15">#REF!</definedName>
    <definedName name="Print_Area_MI" localSheetId="12">#REF!</definedName>
    <definedName name="Print_Area_MI" localSheetId="16">#REF!</definedName>
    <definedName name="Print_Area_MI" localSheetId="0">#REF!</definedName>
    <definedName name="Print_Area_MI">#REF!</definedName>
    <definedName name="PRINTG" localSheetId="13">#N/A</definedName>
    <definedName name="PRINTG" localSheetId="15">#REF!</definedName>
    <definedName name="PRINTG" localSheetId="12">#N/A</definedName>
    <definedName name="PRINTG" localSheetId="16">[0]!PRINTG</definedName>
    <definedName name="PRINTG" localSheetId="0">#REF!</definedName>
    <definedName name="PRINTG">#REF!</definedName>
    <definedName name="RRRR" localSheetId="13">#REF!</definedName>
    <definedName name="RRRR" localSheetId="15">#REF!</definedName>
    <definedName name="RRRR" localSheetId="12">#REF!</definedName>
    <definedName name="RRRR" localSheetId="16">#REF!</definedName>
    <definedName name="RRRR" localSheetId="0">#REF!</definedName>
    <definedName name="RRRR">#REF!</definedName>
    <definedName name="SAVEOLDDATAFILE" localSheetId="13">#N/A</definedName>
    <definedName name="SAVEOLDDATAFILE" localSheetId="15">#REF!</definedName>
    <definedName name="SAVEOLDDATAFILE" localSheetId="12">#N/A</definedName>
    <definedName name="SAVEOLDDATAFILE" localSheetId="16">[0]!SAVEOLDDATAFILE</definedName>
    <definedName name="SAVEOLDDATAFILE" localSheetId="0">#REF!</definedName>
    <definedName name="SAVEOLDDATAFILE">#REF!</definedName>
    <definedName name="TM綠" localSheetId="13">[2]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15">[2]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12">[2]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16">[2]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0">[2]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目錄" localSheetId="13">#N/A</definedName>
    <definedName name="目錄" localSheetId="15">#REF!</definedName>
    <definedName name="目錄" localSheetId="12">#N/A</definedName>
    <definedName name="目錄" localSheetId="16">[0]!目錄</definedName>
    <definedName name="目錄">#REF!</definedName>
    <definedName name="全區" localSheetId="13">#N/A</definedName>
    <definedName name="全區" localSheetId="15">#REF!</definedName>
    <definedName name="全區" localSheetId="12">#N/A</definedName>
    <definedName name="全區" localSheetId="16">[0]!全區</definedName>
    <definedName name="全區">#REF!</definedName>
    <definedName name="門店編號" localSheetId="13">#REF!</definedName>
    <definedName name="門店編號" localSheetId="15">#REF!</definedName>
    <definedName name="門店編號" localSheetId="12">#REF!</definedName>
    <definedName name="門店編號" localSheetId="16">#REF!</definedName>
    <definedName name="門店編號">#REF!</definedName>
    <definedName name="南區8月" localSheetId="13">#N/A</definedName>
    <definedName name="南區8月" localSheetId="15">#REF!</definedName>
    <definedName name="南區8月" localSheetId="12">#N/A</definedName>
    <definedName name="南區8月" localSheetId="16">[0]!南區8月</definedName>
    <definedName name="南區8月">#REF!</definedName>
    <definedName name="客服登錄資料" localSheetId="13">[3]客服登錄資料!#REF!</definedName>
    <definedName name="客服登錄資料" localSheetId="15">[4]客服登錄資料!#REF!</definedName>
    <definedName name="客服登錄資料" localSheetId="12">[3]客服登錄資料!#REF!</definedName>
    <definedName name="客服登錄資料" localSheetId="16">[3]客服登錄資料!#REF!</definedName>
    <definedName name="客服登錄資料">[4]客服登錄資料!#REF!</definedName>
    <definedName name="修改" localSheetId="13">#N/A</definedName>
    <definedName name="修改" localSheetId="15">#REF!</definedName>
    <definedName name="修改" localSheetId="12">#N/A</definedName>
    <definedName name="修改" localSheetId="16">[0]!修改</definedName>
    <definedName name="修改">#REF!</definedName>
    <definedName name="獅" localSheetId="13">#REF!</definedName>
    <definedName name="獅" localSheetId="15">#REF!</definedName>
    <definedName name="獅" localSheetId="12">#REF!</definedName>
    <definedName name="獅" localSheetId="16">#REF!</definedName>
    <definedName name="獅">#REF!</definedName>
    <definedName name="績效" localSheetId="13">#N/A</definedName>
    <definedName name="績效" localSheetId="15">#REF!</definedName>
    <definedName name="績效" localSheetId="12">#N/A</definedName>
    <definedName name="績效" localSheetId="16">[0]!績效</definedName>
    <definedName name="績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 i="1" l="1"/>
  <c r="B1" i="1"/>
  <c r="C1" i="1"/>
  <c r="D1" i="1"/>
  <c r="A10" i="1" s="1"/>
  <c r="E1" i="1"/>
  <c r="A14" i="1" s="1"/>
  <c r="F1" i="1"/>
  <c r="A2" i="1"/>
  <c r="AB310" i="13"/>
  <c r="AB309" i="13"/>
  <c r="AB308" i="13"/>
  <c r="AB307" i="13"/>
  <c r="AB306" i="13"/>
  <c r="AB305" i="13"/>
  <c r="AB304" i="13"/>
  <c r="AB303" i="13"/>
  <c r="AB302" i="13"/>
  <c r="AB301" i="13"/>
  <c r="AB300" i="13"/>
  <c r="AB299" i="13"/>
  <c r="AB298" i="13"/>
  <c r="AB297" i="13"/>
  <c r="AB296" i="13"/>
  <c r="AB295" i="13"/>
  <c r="AB294" i="13"/>
  <c r="AB293" i="13"/>
  <c r="AB292" i="13"/>
  <c r="AB291" i="13"/>
  <c r="AB290" i="13"/>
  <c r="AB289" i="13"/>
  <c r="AB288" i="13"/>
  <c r="AB287" i="13"/>
  <c r="AB286" i="13"/>
  <c r="AB285" i="13"/>
  <c r="AB284" i="13"/>
  <c r="AB283" i="13"/>
  <c r="AB282" i="13"/>
  <c r="AB281" i="13"/>
  <c r="AB280" i="13"/>
  <c r="AB279" i="13"/>
  <c r="AB278" i="13"/>
  <c r="AB277" i="13"/>
  <c r="AB276" i="13"/>
  <c r="AB275" i="13"/>
  <c r="AB274" i="13"/>
  <c r="AB273" i="13"/>
  <c r="AB272" i="13"/>
  <c r="AB271" i="13"/>
  <c r="AB270" i="13"/>
  <c r="AB269" i="13"/>
  <c r="AB268" i="13"/>
  <c r="AB267" i="13"/>
  <c r="AB266" i="13"/>
  <c r="AB265" i="13"/>
  <c r="AB264" i="13"/>
  <c r="AB263" i="13"/>
  <c r="AB262" i="13"/>
  <c r="AB261" i="13"/>
  <c r="AB260" i="13"/>
  <c r="AB259" i="13"/>
  <c r="AB258" i="13"/>
  <c r="AB257" i="13"/>
  <c r="AB256" i="13"/>
  <c r="AB255" i="13"/>
  <c r="AB254" i="13"/>
  <c r="AB253" i="13"/>
  <c r="AB252" i="13"/>
  <c r="AB251" i="13"/>
  <c r="AB250" i="13"/>
  <c r="AB249" i="13"/>
  <c r="AB248" i="13"/>
  <c r="AB247" i="13"/>
  <c r="AB246" i="13"/>
  <c r="AB245" i="13"/>
  <c r="AB244" i="13"/>
  <c r="AB243" i="13"/>
  <c r="AB242" i="13"/>
  <c r="AB241" i="13"/>
  <c r="AB240" i="13"/>
  <c r="AB239" i="13"/>
  <c r="AB238" i="13"/>
  <c r="AB237" i="13"/>
  <c r="AB236" i="13"/>
  <c r="AB235" i="13"/>
  <c r="AB234" i="13"/>
  <c r="AB233" i="13"/>
  <c r="AB232" i="13"/>
  <c r="AB231" i="13"/>
  <c r="AB230" i="13"/>
  <c r="AB229" i="13"/>
  <c r="AB228" i="13"/>
  <c r="AB227" i="13"/>
  <c r="AB226" i="13"/>
  <c r="AB225" i="13"/>
  <c r="AB224" i="13"/>
  <c r="AB223" i="13"/>
  <c r="AB222" i="13"/>
  <c r="AB221" i="13"/>
  <c r="AB220" i="13"/>
  <c r="AB219" i="13"/>
  <c r="AB218" i="13"/>
  <c r="AB217" i="13"/>
  <c r="AB216" i="13"/>
  <c r="AB215" i="13"/>
  <c r="AB214" i="13"/>
  <c r="AB213" i="13"/>
  <c r="AB212" i="13"/>
  <c r="AB211" i="13"/>
  <c r="AB210" i="13"/>
  <c r="AB209" i="13"/>
  <c r="AB208" i="13"/>
  <c r="AB207" i="13"/>
  <c r="AB206" i="13"/>
  <c r="AB205" i="13"/>
  <c r="AB204" i="13"/>
  <c r="AB203" i="13"/>
  <c r="AB202" i="13"/>
  <c r="AB201" i="13"/>
  <c r="AB200" i="13"/>
  <c r="AB199" i="13"/>
  <c r="AB198" i="13"/>
  <c r="AB197" i="13"/>
  <c r="AB196" i="13"/>
  <c r="AB195" i="13"/>
  <c r="AB194" i="13"/>
  <c r="AB193" i="13"/>
  <c r="AB192" i="13"/>
  <c r="AB191" i="13"/>
  <c r="AB190" i="13"/>
  <c r="AB189" i="13"/>
  <c r="AB188" i="13"/>
  <c r="AB187" i="13"/>
  <c r="AB186" i="13"/>
  <c r="AB185" i="13"/>
  <c r="AB184" i="13"/>
  <c r="AB183" i="13"/>
  <c r="AB182" i="13"/>
  <c r="AB181" i="13"/>
  <c r="AB180" i="13"/>
  <c r="AB179" i="13"/>
  <c r="AB178" i="13"/>
  <c r="AB177" i="13"/>
  <c r="AB176" i="13"/>
  <c r="AB175" i="13"/>
  <c r="AB174" i="13"/>
  <c r="AB173" i="13"/>
  <c r="AB172" i="13"/>
  <c r="AB171" i="13"/>
  <c r="AB170" i="13"/>
  <c r="AB169" i="13"/>
  <c r="AB168" i="13"/>
  <c r="AB167" i="13"/>
  <c r="AB166" i="13"/>
  <c r="AB165" i="13"/>
  <c r="AB164" i="13"/>
  <c r="AB163" i="13"/>
  <c r="AB162" i="13"/>
  <c r="AB161" i="13"/>
  <c r="AB160" i="13"/>
  <c r="AB159" i="13"/>
  <c r="AB158" i="13"/>
  <c r="AB157" i="13"/>
  <c r="AB156" i="13"/>
  <c r="AB155" i="13"/>
  <c r="AB154" i="13"/>
  <c r="AB153" i="13"/>
  <c r="AB152" i="13"/>
  <c r="AB151" i="13"/>
  <c r="AB150" i="13"/>
  <c r="AB149" i="13"/>
  <c r="AB148" i="13"/>
  <c r="AB147" i="13"/>
  <c r="AB146" i="13"/>
  <c r="AB145" i="13"/>
  <c r="AB144" i="13"/>
  <c r="AB143" i="13"/>
  <c r="AB142" i="13"/>
  <c r="AB141" i="13"/>
  <c r="AB140" i="13"/>
  <c r="AB139" i="13"/>
  <c r="AB138" i="13"/>
  <c r="AB137" i="13"/>
  <c r="AB136" i="13"/>
  <c r="AB135" i="13"/>
  <c r="AB134" i="13"/>
  <c r="AB133" i="13"/>
  <c r="AB132" i="13"/>
  <c r="AB131" i="13"/>
  <c r="AB130" i="13"/>
  <c r="AB129" i="13"/>
  <c r="AB128" i="13"/>
  <c r="AB127" i="13"/>
  <c r="AB126" i="13"/>
  <c r="AB125" i="13"/>
  <c r="AB124" i="13"/>
  <c r="AB123" i="13"/>
  <c r="AB122" i="13"/>
  <c r="AB121" i="13"/>
  <c r="AB120" i="13"/>
  <c r="AB119" i="13"/>
  <c r="AB118" i="13"/>
  <c r="AB117" i="13"/>
  <c r="AB116" i="13"/>
  <c r="AB115" i="13"/>
  <c r="AB114" i="13"/>
  <c r="AB113" i="13"/>
  <c r="AB112" i="13"/>
  <c r="AB111" i="13"/>
  <c r="AB110" i="13"/>
  <c r="AB109" i="13"/>
  <c r="AB108" i="13"/>
  <c r="AB107" i="13"/>
  <c r="AB106" i="13"/>
  <c r="AB105" i="13"/>
  <c r="AB104" i="13"/>
  <c r="AB103" i="13"/>
  <c r="AB102" i="13"/>
  <c r="AB101" i="13"/>
  <c r="AB100" i="13"/>
  <c r="AB99" i="13"/>
  <c r="AB98" i="13"/>
  <c r="AB97" i="13"/>
  <c r="AB96" i="13"/>
  <c r="AB95" i="13"/>
  <c r="AB94" i="13"/>
  <c r="AB93" i="13"/>
  <c r="AB92" i="13"/>
  <c r="AB91" i="13"/>
  <c r="AB90" i="13"/>
  <c r="AB89" i="13"/>
  <c r="AB88" i="13"/>
  <c r="AB87" i="13"/>
  <c r="AB86" i="13"/>
  <c r="AB85" i="13"/>
  <c r="AB84" i="13"/>
  <c r="AB83" i="13"/>
  <c r="AB82" i="13"/>
  <c r="AB81" i="13"/>
  <c r="AB80" i="13"/>
  <c r="AB79" i="13"/>
  <c r="AB78" i="13"/>
  <c r="AB77" i="13"/>
  <c r="AB76" i="13"/>
  <c r="AB75" i="13"/>
  <c r="AB74" i="13"/>
  <c r="AB73" i="13"/>
  <c r="AB72" i="13"/>
  <c r="AB71" i="13"/>
  <c r="AB70" i="13"/>
  <c r="AB69" i="13"/>
  <c r="AB68" i="13"/>
  <c r="AB67" i="13"/>
  <c r="AB66" i="13"/>
  <c r="AB65" i="13"/>
  <c r="AB64" i="13"/>
  <c r="AB63" i="13"/>
  <c r="AB62" i="13"/>
  <c r="AB61" i="13"/>
  <c r="AB60" i="13"/>
  <c r="AB59" i="13"/>
  <c r="AB58" i="13"/>
  <c r="AB57" i="13"/>
  <c r="AB56" i="13"/>
  <c r="AB55" i="13"/>
  <c r="AB54" i="13"/>
  <c r="AB53" i="13"/>
  <c r="AB52" i="13"/>
  <c r="AB51" i="13"/>
  <c r="AB50" i="13"/>
  <c r="AB49" i="13"/>
  <c r="AB48" i="13"/>
  <c r="AB47" i="13"/>
  <c r="AB46" i="13"/>
  <c r="AB45" i="13"/>
  <c r="AB44" i="13"/>
  <c r="AB43" i="13"/>
  <c r="AB42" i="13"/>
  <c r="AB41" i="13"/>
  <c r="AB40" i="13"/>
  <c r="AB39" i="13"/>
  <c r="AB38" i="13"/>
  <c r="AB37" i="13"/>
  <c r="AB36" i="13"/>
  <c r="AB35" i="13"/>
  <c r="AB34" i="13"/>
  <c r="AB33" i="13"/>
  <c r="AB32" i="13"/>
  <c r="AB31" i="13"/>
  <c r="AB30" i="13"/>
  <c r="AB29" i="13"/>
  <c r="AB28" i="13"/>
  <c r="AB27" i="13"/>
  <c r="AB26" i="13"/>
  <c r="AB25" i="13"/>
  <c r="AB24" i="13"/>
  <c r="AB23" i="13"/>
  <c r="AB22" i="13"/>
  <c r="AB21" i="13"/>
  <c r="AB20" i="13"/>
  <c r="AB19" i="13"/>
  <c r="AB18" i="13"/>
  <c r="AB17" i="13"/>
  <c r="AB16" i="13"/>
  <c r="AB15" i="13"/>
  <c r="AB14" i="13"/>
  <c r="AB13" i="13"/>
  <c r="AB12" i="13"/>
  <c r="AB11" i="13"/>
  <c r="AB10" i="13"/>
  <c r="AB9" i="13"/>
  <c r="AB8" i="13"/>
  <c r="AB7" i="13"/>
  <c r="AB6" i="13"/>
  <c r="AB5" i="13"/>
  <c r="AB4" i="13"/>
  <c r="AB3" i="13"/>
  <c r="AB2" i="13"/>
  <c r="B102" i="12"/>
  <c r="B101" i="12"/>
  <c r="B100" i="12"/>
  <c r="B99" i="12"/>
  <c r="B98" i="12"/>
  <c r="B97" i="12"/>
  <c r="B96" i="12"/>
  <c r="B95" i="12"/>
  <c r="B94" i="12"/>
  <c r="B93" i="12"/>
  <c r="B92" i="12"/>
  <c r="B91" i="12"/>
  <c r="B90" i="12"/>
  <c r="B89" i="12"/>
  <c r="B88" i="12"/>
  <c r="B87" i="12"/>
  <c r="B86" i="12"/>
  <c r="B85" i="12"/>
  <c r="B84" i="12"/>
  <c r="B83" i="12"/>
  <c r="B82" i="12"/>
  <c r="B81" i="12"/>
  <c r="B80" i="12"/>
  <c r="B79" i="12"/>
  <c r="B78" i="12"/>
  <c r="B77" i="12"/>
  <c r="B76" i="12"/>
  <c r="B75" i="12"/>
  <c r="B74" i="12"/>
  <c r="B73" i="12"/>
  <c r="B72" i="12"/>
  <c r="B71" i="12"/>
  <c r="B70" i="12"/>
  <c r="B69" i="12"/>
  <c r="B68" i="12"/>
  <c r="B67" i="12"/>
  <c r="B66" i="12"/>
  <c r="B65" i="12"/>
  <c r="B64" i="12"/>
  <c r="B63" i="12"/>
  <c r="B62" i="12"/>
  <c r="B61" i="12"/>
  <c r="B60" i="12"/>
  <c r="B59" i="12"/>
  <c r="B58" i="12"/>
  <c r="B57" i="12"/>
  <c r="B56" i="12"/>
  <c r="B55" i="12"/>
  <c r="B54" i="12"/>
  <c r="B53" i="12"/>
  <c r="B52" i="12"/>
  <c r="B51" i="12"/>
  <c r="B50" i="12"/>
  <c r="B49" i="12"/>
  <c r="B48" i="12"/>
  <c r="B47" i="12"/>
  <c r="B46" i="12"/>
  <c r="B45" i="12"/>
  <c r="B44" i="12"/>
  <c r="B43" i="12"/>
  <c r="B42" i="12"/>
  <c r="B41" i="12"/>
  <c r="B40" i="12"/>
  <c r="B39" i="12"/>
  <c r="B38" i="12"/>
  <c r="B37" i="12"/>
  <c r="B36" i="12"/>
  <c r="B35" i="12"/>
  <c r="B34" i="12"/>
  <c r="B33" i="12"/>
  <c r="B28" i="12"/>
  <c r="B9" i="12"/>
  <c r="B8" i="12"/>
  <c r="B7" i="12"/>
  <c r="B6" i="12"/>
  <c r="B5" i="12"/>
  <c r="B4" i="12"/>
  <c r="B3" i="12"/>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M113" i="10"/>
  <c r="B113" i="10"/>
  <c r="M112" i="10"/>
  <c r="B112" i="10"/>
  <c r="M111" i="10"/>
  <c r="B111" i="10"/>
  <c r="M110" i="10"/>
  <c r="B110" i="10"/>
  <c r="M109" i="10"/>
  <c r="B109" i="10"/>
  <c r="M108" i="10"/>
  <c r="B108" i="10"/>
  <c r="M107" i="10"/>
  <c r="B107" i="10"/>
  <c r="M106" i="10"/>
  <c r="B106" i="10"/>
  <c r="M105" i="10"/>
  <c r="B105" i="10"/>
  <c r="M104" i="10"/>
  <c r="B104" i="10"/>
  <c r="M103" i="10"/>
  <c r="B103" i="10"/>
  <c r="M102" i="10"/>
  <c r="B102" i="10"/>
  <c r="M101" i="10"/>
  <c r="B101" i="10"/>
  <c r="M100" i="10"/>
  <c r="B100" i="10"/>
  <c r="M99" i="10"/>
  <c r="B99" i="10"/>
  <c r="M98" i="10"/>
  <c r="B98" i="10"/>
  <c r="M97" i="10"/>
  <c r="B97" i="10"/>
  <c r="M96" i="10"/>
  <c r="B96" i="10"/>
  <c r="M95" i="10"/>
  <c r="B95" i="10"/>
  <c r="M94" i="10"/>
  <c r="B94" i="10"/>
  <c r="M93" i="10"/>
  <c r="B93" i="10"/>
  <c r="M92" i="10"/>
  <c r="B92" i="10"/>
  <c r="M91" i="10"/>
  <c r="B91" i="10"/>
  <c r="M90" i="10"/>
  <c r="B90" i="10"/>
  <c r="M89" i="10"/>
  <c r="B89" i="10"/>
  <c r="M88" i="10"/>
  <c r="B88" i="10"/>
  <c r="M87" i="10"/>
  <c r="B87" i="10"/>
  <c r="M86" i="10"/>
  <c r="B86" i="10"/>
  <c r="M85" i="10"/>
  <c r="B85" i="10"/>
  <c r="M84" i="10"/>
  <c r="B84" i="10"/>
  <c r="M83" i="10"/>
  <c r="B83" i="10"/>
  <c r="M82" i="10"/>
  <c r="B82" i="10"/>
  <c r="M81" i="10"/>
  <c r="B81" i="10"/>
  <c r="M80" i="10"/>
  <c r="B80" i="10"/>
  <c r="M79" i="10"/>
  <c r="B79" i="10"/>
  <c r="M78" i="10"/>
  <c r="B78" i="10"/>
  <c r="M77" i="10"/>
  <c r="B77" i="10"/>
  <c r="M76" i="10"/>
  <c r="B76" i="10"/>
  <c r="M75" i="10"/>
  <c r="B75" i="10"/>
  <c r="M74" i="10"/>
  <c r="B74" i="10"/>
  <c r="M73" i="10"/>
  <c r="B73" i="10"/>
  <c r="M72" i="10"/>
  <c r="B72" i="10"/>
  <c r="M71" i="10"/>
  <c r="B71" i="10"/>
  <c r="M70" i="10"/>
  <c r="B70" i="10"/>
  <c r="M69" i="10"/>
  <c r="B69" i="10"/>
  <c r="M68" i="10"/>
  <c r="B68" i="10"/>
  <c r="M67" i="10"/>
  <c r="B67" i="10"/>
  <c r="M66" i="10"/>
  <c r="B66" i="10"/>
  <c r="M65" i="10"/>
  <c r="B65" i="10"/>
  <c r="M64" i="10"/>
  <c r="B64" i="10"/>
  <c r="M63" i="10"/>
  <c r="B63" i="10"/>
  <c r="M62" i="10"/>
  <c r="B62" i="10"/>
  <c r="M61" i="10"/>
  <c r="B61" i="10"/>
  <c r="M60" i="10"/>
  <c r="B60" i="10"/>
  <c r="M59" i="10"/>
  <c r="B59" i="10"/>
  <c r="M58" i="10"/>
  <c r="B58" i="10"/>
  <c r="M57" i="10"/>
  <c r="B57" i="10"/>
  <c r="M56" i="10"/>
  <c r="B56" i="10"/>
  <c r="M55" i="10"/>
  <c r="B55" i="10"/>
  <c r="M54" i="10"/>
  <c r="B54" i="10"/>
  <c r="M53" i="10"/>
  <c r="B53" i="10"/>
  <c r="M52" i="10"/>
  <c r="B52" i="10"/>
  <c r="M51" i="10"/>
  <c r="B51" i="10"/>
  <c r="M50" i="10"/>
  <c r="B50" i="10"/>
  <c r="M49" i="10"/>
  <c r="B49" i="10"/>
  <c r="M48" i="10"/>
  <c r="B48" i="10"/>
  <c r="M47" i="10"/>
  <c r="B47" i="10"/>
  <c r="M46" i="10"/>
  <c r="B46" i="10"/>
  <c r="M45" i="10"/>
  <c r="B45" i="10"/>
  <c r="M44" i="10"/>
  <c r="B44" i="10"/>
  <c r="M43" i="10"/>
  <c r="B43" i="10"/>
  <c r="M42" i="10"/>
  <c r="B42" i="10"/>
  <c r="M41" i="10"/>
  <c r="B41" i="10"/>
  <c r="M40" i="10"/>
  <c r="B40" i="10"/>
  <c r="M39" i="10"/>
  <c r="B39" i="10"/>
  <c r="M38" i="10"/>
  <c r="B38" i="10"/>
  <c r="M37" i="10"/>
  <c r="B37" i="10"/>
  <c r="M36" i="10"/>
  <c r="B36" i="10"/>
  <c r="M35" i="10"/>
  <c r="B35" i="10"/>
  <c r="M34" i="10"/>
  <c r="B34" i="10"/>
  <c r="M33" i="10"/>
  <c r="B33" i="10"/>
  <c r="M32" i="10"/>
  <c r="B32" i="10"/>
  <c r="M31" i="10"/>
  <c r="B31" i="10"/>
  <c r="M30" i="10"/>
  <c r="B30" i="10"/>
  <c r="M29" i="10"/>
  <c r="B29" i="10"/>
  <c r="M28" i="10"/>
  <c r="B28" i="10"/>
  <c r="M27" i="10"/>
  <c r="B27" i="10"/>
  <c r="M26" i="10"/>
  <c r="B26" i="10"/>
  <c r="M25" i="10"/>
  <c r="B25" i="10"/>
  <c r="M24" i="10"/>
  <c r="B24" i="10"/>
  <c r="M23" i="10"/>
  <c r="B23" i="10"/>
  <c r="M22" i="10"/>
  <c r="B22" i="10"/>
  <c r="M21" i="10"/>
  <c r="B21" i="10"/>
  <c r="M20" i="10"/>
  <c r="B20" i="10"/>
  <c r="M19" i="10"/>
  <c r="B19" i="10"/>
  <c r="M18" i="10"/>
  <c r="B18" i="10"/>
  <c r="M17" i="10"/>
  <c r="B17" i="10"/>
  <c r="M16" i="10"/>
  <c r="B16" i="10"/>
  <c r="M15" i="10"/>
  <c r="B15" i="10"/>
  <c r="M14" i="10"/>
  <c r="B14" i="10"/>
  <c r="M13" i="10"/>
  <c r="B13" i="10"/>
  <c r="M12" i="10"/>
  <c r="B12" i="10"/>
  <c r="M11" i="10"/>
  <c r="B11" i="10"/>
  <c r="M10" i="10"/>
  <c r="B10" i="10"/>
  <c r="M9" i="10"/>
  <c r="B9" i="10"/>
  <c r="M8" i="10"/>
  <c r="B8" i="10"/>
  <c r="M7" i="10"/>
  <c r="B7" i="10"/>
  <c r="M68" i="9"/>
  <c r="B68" i="9"/>
  <c r="M67" i="9"/>
  <c r="B67" i="9"/>
  <c r="M66" i="9"/>
  <c r="B66" i="9"/>
  <c r="M65" i="9"/>
  <c r="B65" i="9"/>
  <c r="M64" i="9"/>
  <c r="B64" i="9"/>
  <c r="M63" i="9"/>
  <c r="B63" i="9"/>
  <c r="M62" i="9"/>
  <c r="B62" i="9"/>
  <c r="M61" i="9"/>
  <c r="B61" i="9"/>
  <c r="M60" i="9"/>
  <c r="B60" i="9"/>
  <c r="M59" i="9"/>
  <c r="B59" i="9"/>
  <c r="M58" i="9"/>
  <c r="B58" i="9"/>
  <c r="M57" i="9"/>
  <c r="B57" i="9"/>
  <c r="M56" i="9"/>
  <c r="B56" i="9"/>
  <c r="M55" i="9"/>
  <c r="B55" i="9"/>
  <c r="M54" i="9"/>
  <c r="B54" i="9"/>
  <c r="M53" i="9"/>
  <c r="B53" i="9"/>
  <c r="M52" i="9"/>
  <c r="B52" i="9"/>
  <c r="M51" i="9"/>
  <c r="B51" i="9"/>
  <c r="M50" i="9"/>
  <c r="B50" i="9"/>
  <c r="M49" i="9"/>
  <c r="B49" i="9"/>
  <c r="M48" i="9"/>
  <c r="B48" i="9"/>
  <c r="M47" i="9"/>
  <c r="B47" i="9"/>
  <c r="M46" i="9"/>
  <c r="B46" i="9"/>
  <c r="M45" i="9"/>
  <c r="B45" i="9"/>
  <c r="M44" i="9"/>
  <c r="B44" i="9"/>
  <c r="M43" i="9"/>
  <c r="B43" i="9"/>
  <c r="M42" i="9"/>
  <c r="B42" i="9"/>
  <c r="M41" i="9"/>
  <c r="B41" i="9"/>
  <c r="M40" i="9"/>
  <c r="B40" i="9"/>
  <c r="M39" i="9"/>
  <c r="B39" i="9"/>
  <c r="M38" i="9"/>
  <c r="B38" i="9"/>
  <c r="M37" i="9"/>
  <c r="B37" i="9"/>
  <c r="M36" i="9"/>
  <c r="B36" i="9"/>
  <c r="M35" i="9"/>
  <c r="B35" i="9"/>
  <c r="M34" i="9"/>
  <c r="B34" i="9"/>
  <c r="M33" i="9"/>
  <c r="B33" i="9"/>
  <c r="M32" i="9"/>
  <c r="B32" i="9"/>
  <c r="M31" i="9"/>
  <c r="B31" i="9"/>
  <c r="M30" i="9"/>
  <c r="B30" i="9"/>
  <c r="M29" i="9"/>
  <c r="B29" i="9"/>
  <c r="M28" i="9"/>
  <c r="B28" i="9"/>
  <c r="M27" i="9"/>
  <c r="B27" i="9"/>
  <c r="M26" i="9"/>
  <c r="B26" i="9"/>
  <c r="M25" i="9"/>
  <c r="B25" i="9"/>
  <c r="M24" i="9"/>
  <c r="B24" i="9"/>
  <c r="M23" i="9"/>
  <c r="B23" i="9"/>
  <c r="M22" i="9"/>
  <c r="B22" i="9"/>
  <c r="M21" i="9"/>
  <c r="B21" i="9"/>
  <c r="M20" i="9"/>
  <c r="B20" i="9"/>
  <c r="M19" i="9"/>
  <c r="B19" i="9"/>
  <c r="M18" i="9"/>
  <c r="B18" i="9"/>
  <c r="M17" i="9"/>
  <c r="B17" i="9"/>
  <c r="M16" i="9"/>
  <c r="B16" i="9"/>
  <c r="M15" i="9"/>
  <c r="B15" i="9"/>
  <c r="M14" i="9"/>
  <c r="B14" i="9"/>
  <c r="M13" i="9"/>
  <c r="B13" i="9"/>
  <c r="M12" i="9"/>
  <c r="B12" i="9"/>
  <c r="M11" i="9"/>
  <c r="B11" i="9"/>
  <c r="M10" i="9"/>
  <c r="B10" i="9"/>
  <c r="M9" i="9"/>
  <c r="B9" i="9"/>
  <c r="M8" i="9"/>
  <c r="B8" i="9"/>
  <c r="M7" i="9"/>
  <c r="M110" i="8"/>
  <c r="B110" i="8"/>
  <c r="M109" i="8"/>
  <c r="B109" i="8"/>
  <c r="M108" i="8"/>
  <c r="B108" i="8"/>
  <c r="M107" i="8"/>
  <c r="B107" i="8"/>
  <c r="M106" i="8"/>
  <c r="B106" i="8"/>
  <c r="M105" i="8"/>
  <c r="B105" i="8"/>
  <c r="M104" i="8"/>
  <c r="B104" i="8"/>
  <c r="M103" i="8"/>
  <c r="B103" i="8"/>
  <c r="M102" i="8"/>
  <c r="B102" i="8"/>
  <c r="M101" i="8"/>
  <c r="B101" i="8"/>
  <c r="M100" i="8"/>
  <c r="B100" i="8"/>
  <c r="M99" i="8"/>
  <c r="B99" i="8"/>
  <c r="M98" i="8"/>
  <c r="B98" i="8"/>
  <c r="M97" i="8"/>
  <c r="B97" i="8"/>
  <c r="M96" i="8"/>
  <c r="B96" i="8"/>
  <c r="M95" i="8"/>
  <c r="B95" i="8"/>
  <c r="M94" i="8"/>
  <c r="B94" i="8"/>
  <c r="M93" i="8"/>
  <c r="B93" i="8"/>
  <c r="M92" i="8"/>
  <c r="B92" i="8"/>
  <c r="M91" i="8"/>
  <c r="B91" i="8"/>
  <c r="M90" i="8"/>
  <c r="B90" i="8"/>
  <c r="M89" i="8"/>
  <c r="B89" i="8"/>
  <c r="M88" i="8"/>
  <c r="B88" i="8"/>
  <c r="M87" i="8"/>
  <c r="B87" i="8"/>
  <c r="M86" i="8"/>
  <c r="B86" i="8"/>
  <c r="M85" i="8"/>
  <c r="B85" i="8"/>
  <c r="M84" i="8"/>
  <c r="B84" i="8"/>
  <c r="M83" i="8"/>
  <c r="B83" i="8"/>
  <c r="M82" i="8"/>
  <c r="B82" i="8"/>
  <c r="M81" i="8"/>
  <c r="B81" i="8"/>
  <c r="M80" i="8"/>
  <c r="B80" i="8"/>
  <c r="M79" i="8"/>
  <c r="B79" i="8"/>
  <c r="M78" i="8"/>
  <c r="B78" i="8"/>
  <c r="M77" i="8"/>
  <c r="B77" i="8"/>
  <c r="M76" i="8"/>
  <c r="B76" i="8"/>
  <c r="M75" i="8"/>
  <c r="B75" i="8"/>
  <c r="M74" i="8"/>
  <c r="B74" i="8"/>
  <c r="M73" i="8"/>
  <c r="B73" i="8"/>
  <c r="M72" i="8"/>
  <c r="B72" i="8"/>
  <c r="M71" i="8"/>
  <c r="B71" i="8"/>
  <c r="M70" i="8"/>
  <c r="B70" i="8"/>
  <c r="M69" i="8"/>
  <c r="B69" i="8"/>
  <c r="M68" i="8"/>
  <c r="B68" i="8"/>
  <c r="M67" i="8"/>
  <c r="B67" i="8"/>
  <c r="M66" i="8"/>
  <c r="B66" i="8"/>
  <c r="M65" i="8"/>
  <c r="B65" i="8"/>
  <c r="M64" i="8"/>
  <c r="B64" i="8"/>
  <c r="M63" i="8"/>
  <c r="B63" i="8"/>
  <c r="M62" i="8"/>
  <c r="B62" i="8"/>
  <c r="M61" i="8"/>
  <c r="B61" i="8"/>
  <c r="M60" i="8"/>
  <c r="B60" i="8"/>
  <c r="M59" i="8"/>
  <c r="B59" i="8"/>
  <c r="M58" i="8"/>
  <c r="B58" i="8"/>
  <c r="M57" i="8"/>
  <c r="B57" i="8"/>
  <c r="M56" i="8"/>
  <c r="B56" i="8"/>
  <c r="M55" i="8"/>
  <c r="B55" i="8"/>
  <c r="M54" i="8"/>
  <c r="B54" i="8"/>
  <c r="M53" i="8"/>
  <c r="B53" i="8"/>
  <c r="M52" i="8"/>
  <c r="B52" i="8"/>
  <c r="M51" i="8"/>
  <c r="B51" i="8"/>
  <c r="M50" i="8"/>
  <c r="B50" i="8"/>
  <c r="M49" i="8"/>
  <c r="B49" i="8"/>
  <c r="M48" i="8"/>
  <c r="B48" i="8"/>
  <c r="M47" i="8"/>
  <c r="B47" i="8"/>
  <c r="M46" i="8"/>
  <c r="B46" i="8"/>
  <c r="M45" i="8"/>
  <c r="B45" i="8"/>
  <c r="M44" i="8"/>
  <c r="B44" i="8"/>
  <c r="M43" i="8"/>
  <c r="B43" i="8"/>
  <c r="M42" i="8"/>
  <c r="B42" i="8"/>
  <c r="M41" i="8"/>
  <c r="B41" i="8"/>
  <c r="M40" i="8"/>
  <c r="B40" i="8"/>
  <c r="M39" i="8"/>
  <c r="B39" i="8"/>
  <c r="M38" i="8"/>
  <c r="B38" i="8"/>
  <c r="M37" i="8"/>
  <c r="B37" i="8"/>
  <c r="M36" i="8"/>
  <c r="B36" i="8"/>
  <c r="M35" i="8"/>
  <c r="B35" i="8"/>
  <c r="M34" i="8"/>
  <c r="B34" i="8"/>
  <c r="M33" i="8"/>
  <c r="B33" i="8"/>
  <c r="M32" i="8"/>
  <c r="B32" i="8"/>
  <c r="M31" i="8"/>
  <c r="B31" i="8"/>
  <c r="M30" i="8"/>
  <c r="B30" i="8"/>
  <c r="M29" i="8"/>
  <c r="B29" i="8"/>
  <c r="M28" i="8"/>
  <c r="B28" i="8"/>
  <c r="M27" i="8"/>
  <c r="B27" i="8"/>
  <c r="M26" i="8"/>
  <c r="B26" i="8"/>
  <c r="M25" i="8"/>
  <c r="B25" i="8"/>
  <c r="M24" i="8"/>
  <c r="B24" i="8"/>
  <c r="M23" i="8"/>
  <c r="B23" i="8"/>
  <c r="M22" i="8"/>
  <c r="B22" i="8"/>
  <c r="M21" i="8"/>
  <c r="B21" i="8"/>
  <c r="M20" i="8"/>
  <c r="B20" i="8"/>
  <c r="M19" i="8"/>
  <c r="B19" i="8"/>
  <c r="M18" i="8"/>
  <c r="B18" i="8"/>
  <c r="M17" i="8"/>
  <c r="B17" i="8"/>
  <c r="M16" i="8"/>
  <c r="B16" i="8"/>
  <c r="M15" i="8"/>
  <c r="B15" i="8"/>
  <c r="M14" i="8"/>
  <c r="B14" i="8"/>
  <c r="M13" i="8"/>
  <c r="B13" i="8"/>
  <c r="M12" i="8"/>
  <c r="B12" i="8"/>
  <c r="M11" i="8"/>
  <c r="B11" i="8"/>
  <c r="M10" i="8"/>
  <c r="B10" i="8"/>
  <c r="M9" i="8"/>
  <c r="B9" i="8"/>
  <c r="M8" i="8"/>
  <c r="B8" i="8"/>
  <c r="M7" i="8"/>
  <c r="B7" i="8"/>
  <c r="W311" i="17" l="1"/>
  <c r="F311" i="17"/>
  <c r="F8" i="9" s="1"/>
  <c r="D311" i="17"/>
  <c r="E311" i="17" s="1"/>
  <c r="C311" i="17"/>
  <c r="B311" i="17"/>
  <c r="W310" i="17"/>
  <c r="F310" i="17"/>
  <c r="F83" i="10" s="1"/>
  <c r="D310" i="17"/>
  <c r="E310" i="17" s="1"/>
  <c r="C310" i="17"/>
  <c r="B310" i="17"/>
  <c r="W309" i="17"/>
  <c r="F309" i="17"/>
  <c r="F82" i="10" s="1"/>
  <c r="D309" i="17"/>
  <c r="E309" i="17" s="1"/>
  <c r="C309" i="17"/>
  <c r="B309" i="17"/>
  <c r="W308" i="17"/>
  <c r="F308" i="17"/>
  <c r="F81" i="10" s="1"/>
  <c r="D308" i="17"/>
  <c r="E308" i="17" s="1"/>
  <c r="C308" i="17"/>
  <c r="B308" i="17"/>
  <c r="W307" i="17"/>
  <c r="F307" i="17"/>
  <c r="F80" i="10" s="1"/>
  <c r="D307" i="17"/>
  <c r="E307" i="17" s="1"/>
  <c r="C307" i="17"/>
  <c r="B307" i="17"/>
  <c r="W306" i="17"/>
  <c r="F306" i="17"/>
  <c r="F79" i="10" s="1"/>
  <c r="D306" i="17"/>
  <c r="E306" i="17" s="1"/>
  <c r="C306" i="17"/>
  <c r="B306" i="17"/>
  <c r="W305" i="17"/>
  <c r="F305" i="17"/>
  <c r="F78" i="10" s="1"/>
  <c r="D305" i="17"/>
  <c r="E305" i="17" s="1"/>
  <c r="C305" i="17"/>
  <c r="B305" i="17"/>
  <c r="W304" i="17"/>
  <c r="F304" i="17"/>
  <c r="F77" i="10" s="1"/>
  <c r="D304" i="17"/>
  <c r="E304" i="17" s="1"/>
  <c r="C304" i="17"/>
  <c r="B304" i="17"/>
  <c r="W303" i="17"/>
  <c r="F303" i="17"/>
  <c r="F76" i="10" s="1"/>
  <c r="D303" i="17"/>
  <c r="E303" i="17" s="1"/>
  <c r="C303" i="17"/>
  <c r="B303" i="17"/>
  <c r="W302" i="17"/>
  <c r="F302" i="17"/>
  <c r="F75" i="10" s="1"/>
  <c r="D302" i="17"/>
  <c r="E302" i="17" s="1"/>
  <c r="C302" i="17"/>
  <c r="B302" i="17"/>
  <c r="W301" i="17"/>
  <c r="F301" i="17"/>
  <c r="F74" i="10" s="1"/>
  <c r="D301" i="17"/>
  <c r="E301" i="17" s="1"/>
  <c r="C301" i="17"/>
  <c r="B301" i="17"/>
  <c r="W300" i="17"/>
  <c r="F300" i="17"/>
  <c r="F73" i="10" s="1"/>
  <c r="D300" i="17"/>
  <c r="E300" i="17" s="1"/>
  <c r="C300" i="17"/>
  <c r="B300" i="17"/>
  <c r="W299" i="17"/>
  <c r="F299" i="17"/>
  <c r="F72" i="10" s="1"/>
  <c r="D299" i="17"/>
  <c r="E299" i="17" s="1"/>
  <c r="C299" i="17"/>
  <c r="B299" i="17"/>
  <c r="W298" i="17"/>
  <c r="F298" i="17"/>
  <c r="F71" i="10" s="1"/>
  <c r="D298" i="17"/>
  <c r="E298" i="17" s="1"/>
  <c r="C298" i="17"/>
  <c r="B298" i="17"/>
  <c r="W297" i="17"/>
  <c r="F297" i="17"/>
  <c r="F70" i="10" s="1"/>
  <c r="D297" i="17"/>
  <c r="E297" i="17" s="1"/>
  <c r="C297" i="17"/>
  <c r="B297" i="17"/>
  <c r="W296" i="17"/>
  <c r="F296" i="17"/>
  <c r="F69" i="10" s="1"/>
  <c r="D296" i="17"/>
  <c r="E296" i="17" s="1"/>
  <c r="C296" i="17"/>
  <c r="B296" i="17"/>
  <c r="W295" i="17"/>
  <c r="F295" i="17"/>
  <c r="F68" i="10" s="1"/>
  <c r="D295" i="17"/>
  <c r="E295" i="17" s="1"/>
  <c r="C295" i="17"/>
  <c r="B295" i="17"/>
  <c r="W294" i="17"/>
  <c r="F294" i="17"/>
  <c r="F67" i="10" s="1"/>
  <c r="D294" i="17"/>
  <c r="E294" i="17" s="1"/>
  <c r="C294" i="17"/>
  <c r="B294" i="17"/>
  <c r="W293" i="17"/>
  <c r="F293" i="17"/>
  <c r="F66" i="10" s="1"/>
  <c r="D293" i="17"/>
  <c r="E293" i="17" s="1"/>
  <c r="C293" i="17"/>
  <c r="B293" i="17"/>
  <c r="W292" i="17"/>
  <c r="F292" i="17"/>
  <c r="F65" i="10" s="1"/>
  <c r="D292" i="17"/>
  <c r="E292" i="17" s="1"/>
  <c r="C292" i="17"/>
  <c r="B292" i="17"/>
  <c r="W291" i="17"/>
  <c r="F291" i="17"/>
  <c r="F64" i="10" s="1"/>
  <c r="D291" i="17"/>
  <c r="E291" i="17" s="1"/>
  <c r="C291" i="17"/>
  <c r="B291" i="17"/>
  <c r="W290" i="17"/>
  <c r="F290" i="17"/>
  <c r="F63" i="10" s="1"/>
  <c r="E290" i="17"/>
  <c r="D290" i="17"/>
  <c r="C290" i="17"/>
  <c r="B290" i="17"/>
  <c r="W289" i="17"/>
  <c r="F289" i="17"/>
  <c r="F62" i="10" s="1"/>
  <c r="D289" i="17"/>
  <c r="E289" i="17" s="1"/>
  <c r="C289" i="17"/>
  <c r="B289" i="17"/>
  <c r="W288" i="17"/>
  <c r="F288" i="17"/>
  <c r="F7" i="10" s="1"/>
  <c r="E288" i="17"/>
  <c r="D288" i="17"/>
  <c r="C288" i="17"/>
  <c r="B288" i="17"/>
  <c r="W287" i="17"/>
  <c r="F287" i="17"/>
  <c r="F11" i="9" s="1"/>
  <c r="D287" i="17"/>
  <c r="E287" i="17" s="1"/>
  <c r="C287" i="17"/>
  <c r="B287" i="17"/>
  <c r="W286" i="17"/>
  <c r="F286" i="17"/>
  <c r="F10" i="9" s="1"/>
  <c r="E286" i="17"/>
  <c r="D286" i="17"/>
  <c r="C286" i="17"/>
  <c r="B286" i="17"/>
  <c r="W285" i="17"/>
  <c r="F285" i="17"/>
  <c r="F7" i="9" s="1"/>
  <c r="D285" i="17"/>
  <c r="E285" i="17" s="1"/>
  <c r="C285" i="17"/>
  <c r="W284" i="17"/>
  <c r="F284" i="17"/>
  <c r="F40" i="11" s="1"/>
  <c r="D284" i="17"/>
  <c r="E284" i="17" s="1"/>
  <c r="C284" i="17"/>
  <c r="B284" i="17"/>
  <c r="W283" i="17"/>
  <c r="F283" i="17"/>
  <c r="F49" i="8" s="1"/>
  <c r="D283" i="17"/>
  <c r="E283" i="17" s="1"/>
  <c r="C283" i="17"/>
  <c r="B283" i="17"/>
  <c r="W282" i="17"/>
  <c r="F282" i="17"/>
  <c r="F48" i="8" s="1"/>
  <c r="D282" i="17"/>
  <c r="E282" i="17" s="1"/>
  <c r="C282" i="17"/>
  <c r="B282" i="17"/>
  <c r="W281" i="17"/>
  <c r="F281" i="17"/>
  <c r="F47" i="8" s="1"/>
  <c r="D281" i="17"/>
  <c r="E281" i="17" s="1"/>
  <c r="C281" i="17"/>
  <c r="B281" i="17"/>
  <c r="W280" i="17"/>
  <c r="F280" i="17"/>
  <c r="F46" i="8" s="1"/>
  <c r="D280" i="17"/>
  <c r="E280" i="17" s="1"/>
  <c r="C280" i="17"/>
  <c r="B280" i="17"/>
  <c r="W279" i="17"/>
  <c r="F279" i="17"/>
  <c r="F45" i="8" s="1"/>
  <c r="D279" i="17"/>
  <c r="E279" i="17" s="1"/>
  <c r="C279" i="17"/>
  <c r="B279" i="17"/>
  <c r="W278" i="17"/>
  <c r="F278" i="17"/>
  <c r="F44" i="8" s="1"/>
  <c r="D278" i="17"/>
  <c r="E278" i="17" s="1"/>
  <c r="C278" i="17"/>
  <c r="B278" i="17"/>
  <c r="W277" i="17"/>
  <c r="F277" i="17"/>
  <c r="F43" i="8" s="1"/>
  <c r="E277" i="17"/>
  <c r="D277" i="17"/>
  <c r="C277" i="17"/>
  <c r="B277" i="17"/>
  <c r="W276" i="17"/>
  <c r="F276" i="17"/>
  <c r="F42" i="8" s="1"/>
  <c r="D276" i="17"/>
  <c r="E276" i="17" s="1"/>
  <c r="C276" i="17"/>
  <c r="B276" i="17"/>
  <c r="W275" i="17"/>
  <c r="F275" i="17"/>
  <c r="F41" i="8" s="1"/>
  <c r="E275" i="17"/>
  <c r="D275" i="17"/>
  <c r="C275" i="17"/>
  <c r="B275" i="17"/>
  <c r="W274" i="17"/>
  <c r="F274" i="17"/>
  <c r="F40" i="8" s="1"/>
  <c r="D274" i="17"/>
  <c r="E274" i="17" s="1"/>
  <c r="C274" i="17"/>
  <c r="B274" i="17"/>
  <c r="W273" i="17"/>
  <c r="F273" i="17"/>
  <c r="F39" i="8" s="1"/>
  <c r="E273" i="17"/>
  <c r="D273" i="17"/>
  <c r="C273" i="17"/>
  <c r="B273" i="17"/>
  <c r="W272" i="17"/>
  <c r="F272" i="17"/>
  <c r="F38" i="8" s="1"/>
  <c r="D272" i="17"/>
  <c r="E272" i="17" s="1"/>
  <c r="C272" i="17"/>
  <c r="B272" i="17"/>
  <c r="W271" i="17"/>
  <c r="F271" i="17"/>
  <c r="F37" i="8" s="1"/>
  <c r="D271" i="17"/>
  <c r="E271" i="17" s="1"/>
  <c r="C271" i="17"/>
  <c r="B271" i="17"/>
  <c r="W270" i="17"/>
  <c r="F270" i="17"/>
  <c r="F36" i="8" s="1"/>
  <c r="E270" i="17"/>
  <c r="D270" i="17"/>
  <c r="C270" i="17"/>
  <c r="B270" i="17"/>
  <c r="W269" i="17"/>
  <c r="F269" i="17"/>
  <c r="F35" i="8" s="1"/>
  <c r="D269" i="17"/>
  <c r="E269" i="17" s="1"/>
  <c r="C269" i="17"/>
  <c r="B269" i="17"/>
  <c r="W268" i="17"/>
  <c r="F268" i="17"/>
  <c r="F34" i="8" s="1"/>
  <c r="E268" i="17"/>
  <c r="D268" i="17"/>
  <c r="C268" i="17"/>
  <c r="B268" i="17"/>
  <c r="W267" i="17"/>
  <c r="F267" i="17"/>
  <c r="F33" i="8" s="1"/>
  <c r="D267" i="17"/>
  <c r="E267" i="17" s="1"/>
  <c r="C267" i="17"/>
  <c r="B267" i="17"/>
  <c r="W266" i="17"/>
  <c r="F266" i="17"/>
  <c r="F32" i="8" s="1"/>
  <c r="E266" i="17"/>
  <c r="D266" i="17"/>
  <c r="C266" i="17"/>
  <c r="B266" i="17"/>
  <c r="W265" i="17"/>
  <c r="F265" i="17"/>
  <c r="F31" i="8" s="1"/>
  <c r="D265" i="17"/>
  <c r="E265" i="17" s="1"/>
  <c r="C265" i="17"/>
  <c r="B265" i="17"/>
  <c r="W264" i="17"/>
  <c r="F264" i="17"/>
  <c r="F30" i="8" s="1"/>
  <c r="E264" i="17"/>
  <c r="D264" i="17"/>
  <c r="C264" i="17"/>
  <c r="B264" i="17"/>
  <c r="W263" i="17"/>
  <c r="F263" i="17"/>
  <c r="F29" i="8" s="1"/>
  <c r="D263" i="17"/>
  <c r="E263" i="17" s="1"/>
  <c r="C263" i="17"/>
  <c r="B263" i="17"/>
  <c r="W262" i="17"/>
  <c r="F262" i="17"/>
  <c r="F28" i="8" s="1"/>
  <c r="E262" i="17"/>
  <c r="D262" i="17"/>
  <c r="C262" i="17"/>
  <c r="B262" i="17"/>
  <c r="W261" i="17"/>
  <c r="F261" i="17"/>
  <c r="F27" i="8" s="1"/>
  <c r="D261" i="17"/>
  <c r="E261" i="17" s="1"/>
  <c r="C261" i="17"/>
  <c r="B261" i="17"/>
  <c r="W260" i="17"/>
  <c r="F260" i="17"/>
  <c r="F26" i="8" s="1"/>
  <c r="D260" i="17"/>
  <c r="E260" i="17" s="1"/>
  <c r="C260" i="17"/>
  <c r="B260" i="17"/>
  <c r="W259" i="17"/>
  <c r="F259" i="17"/>
  <c r="F25" i="8" s="1"/>
  <c r="D259" i="17"/>
  <c r="E259" i="17" s="1"/>
  <c r="C259" i="17"/>
  <c r="B259" i="17"/>
  <c r="W258" i="17"/>
  <c r="F258" i="17"/>
  <c r="F24" i="8" s="1"/>
  <c r="D258" i="17"/>
  <c r="E258" i="17" s="1"/>
  <c r="C258" i="17"/>
  <c r="B258" i="17"/>
  <c r="W257" i="17"/>
  <c r="F257" i="17"/>
  <c r="F23" i="8" s="1"/>
  <c r="D257" i="17"/>
  <c r="E257" i="17" s="1"/>
  <c r="C257" i="17"/>
  <c r="B257" i="17"/>
  <c r="W256" i="17"/>
  <c r="F256" i="17"/>
  <c r="F22" i="8" s="1"/>
  <c r="D256" i="17"/>
  <c r="E256" i="17" s="1"/>
  <c r="C256" i="17"/>
  <c r="B256" i="17"/>
  <c r="W255" i="17"/>
  <c r="F255" i="17"/>
  <c r="F21" i="8" s="1"/>
  <c r="D255" i="17"/>
  <c r="E255" i="17" s="1"/>
  <c r="C255" i="17"/>
  <c r="B255" i="17"/>
  <c r="W254" i="17"/>
  <c r="F254" i="17"/>
  <c r="F20" i="8" s="1"/>
  <c r="D254" i="17"/>
  <c r="E254" i="17" s="1"/>
  <c r="C254" i="17"/>
  <c r="B254" i="17"/>
  <c r="W253" i="17"/>
  <c r="F253" i="17"/>
  <c r="F19" i="8" s="1"/>
  <c r="D253" i="17"/>
  <c r="E253" i="17" s="1"/>
  <c r="C253" i="17"/>
  <c r="B253" i="17"/>
  <c r="W252" i="17"/>
  <c r="F252" i="17"/>
  <c r="F18" i="8" s="1"/>
  <c r="D252" i="17"/>
  <c r="E252" i="17" s="1"/>
  <c r="C252" i="17"/>
  <c r="B252" i="17"/>
  <c r="W251" i="17"/>
  <c r="F251" i="17"/>
  <c r="F17" i="8" s="1"/>
  <c r="E251" i="17"/>
  <c r="D251" i="17"/>
  <c r="C251" i="17"/>
  <c r="B251" i="17"/>
  <c r="W250" i="17"/>
  <c r="F250" i="17"/>
  <c r="F16" i="8" s="1"/>
  <c r="D250" i="17"/>
  <c r="E250" i="17" s="1"/>
  <c r="C250" i="17"/>
  <c r="B250" i="17"/>
  <c r="W249" i="17"/>
  <c r="F249" i="17"/>
  <c r="F15" i="8" s="1"/>
  <c r="D249" i="17"/>
  <c r="E249" i="17" s="1"/>
  <c r="C249" i="17"/>
  <c r="B249" i="17"/>
  <c r="W248" i="17"/>
  <c r="F248" i="17"/>
  <c r="F14" i="8" s="1"/>
  <c r="E248" i="17"/>
  <c r="D248" i="17"/>
  <c r="C248" i="17"/>
  <c r="B248" i="17"/>
  <c r="W247" i="17"/>
  <c r="F247" i="17"/>
  <c r="F13" i="8" s="1"/>
  <c r="D247" i="17"/>
  <c r="E247" i="17" s="1"/>
  <c r="C247" i="17"/>
  <c r="B247" i="17"/>
  <c r="W246" i="17"/>
  <c r="F246" i="17"/>
  <c r="F12" i="8" s="1"/>
  <c r="D246" i="17"/>
  <c r="E246" i="17" s="1"/>
  <c r="C246" i="17"/>
  <c r="B246" i="17"/>
  <c r="W245" i="17"/>
  <c r="F245" i="17"/>
  <c r="F11" i="8" s="1"/>
  <c r="D245" i="17"/>
  <c r="E245" i="17" s="1"/>
  <c r="C245" i="17"/>
  <c r="B245" i="17"/>
  <c r="W244" i="17"/>
  <c r="F244" i="17"/>
  <c r="F10" i="8" s="1"/>
  <c r="D244" i="17"/>
  <c r="E244" i="17" s="1"/>
  <c r="C244" i="17"/>
  <c r="B244" i="17"/>
  <c r="W243" i="17"/>
  <c r="F243" i="17"/>
  <c r="F9" i="8" s="1"/>
  <c r="D243" i="17"/>
  <c r="E243" i="17" s="1"/>
  <c r="C243" i="17"/>
  <c r="B243" i="17"/>
  <c r="W242" i="17"/>
  <c r="F242" i="17"/>
  <c r="F64" i="8" s="1"/>
  <c r="D242" i="17"/>
  <c r="E242" i="17" s="1"/>
  <c r="C242" i="17"/>
  <c r="B242" i="17"/>
  <c r="W241" i="17"/>
  <c r="F241" i="17"/>
  <c r="F8" i="11" s="1"/>
  <c r="E241" i="17"/>
  <c r="D241" i="17"/>
  <c r="C241" i="17"/>
  <c r="B241" i="17"/>
  <c r="W240" i="17"/>
  <c r="F240" i="17"/>
  <c r="F10" i="11" s="1"/>
  <c r="D240" i="17"/>
  <c r="E240" i="17" s="1"/>
  <c r="C240" i="17"/>
  <c r="B240" i="17"/>
  <c r="W239" i="17"/>
  <c r="F239" i="17"/>
  <c r="F11" i="11" s="1"/>
  <c r="D239" i="17"/>
  <c r="E239" i="17" s="1"/>
  <c r="C239" i="17"/>
  <c r="B239" i="17"/>
  <c r="W238" i="17"/>
  <c r="F238" i="17"/>
  <c r="F12" i="11" s="1"/>
  <c r="D238" i="17"/>
  <c r="E238" i="17" s="1"/>
  <c r="C238" i="17"/>
  <c r="B238" i="17"/>
  <c r="W237" i="17"/>
  <c r="F237" i="17"/>
  <c r="F13" i="11" s="1"/>
  <c r="D237" i="17"/>
  <c r="E237" i="17" s="1"/>
  <c r="C237" i="17"/>
  <c r="B237" i="17"/>
  <c r="W236" i="17"/>
  <c r="F236" i="17"/>
  <c r="F15" i="11" s="1"/>
  <c r="D236" i="17"/>
  <c r="E236" i="17" s="1"/>
  <c r="C236" i="17"/>
  <c r="B236" i="17"/>
  <c r="W235" i="17"/>
  <c r="F235" i="17"/>
  <c r="F16" i="11" s="1"/>
  <c r="D235" i="17"/>
  <c r="E235" i="17" s="1"/>
  <c r="C235" i="17"/>
  <c r="B235" i="17"/>
  <c r="W234" i="17"/>
  <c r="F234" i="17"/>
  <c r="F19" i="9" s="1"/>
  <c r="D234" i="17"/>
  <c r="E234" i="17" s="1"/>
  <c r="C234" i="17"/>
  <c r="B234" i="17"/>
  <c r="W233" i="17"/>
  <c r="F233" i="17"/>
  <c r="F18" i="9" s="1"/>
  <c r="E233" i="17"/>
  <c r="D233" i="17"/>
  <c r="C233" i="17"/>
  <c r="B233" i="17"/>
  <c r="W232" i="17"/>
  <c r="F232" i="17"/>
  <c r="F14" i="11" s="1"/>
  <c r="D232" i="17"/>
  <c r="E232" i="17" s="1"/>
  <c r="C232" i="17"/>
  <c r="B232" i="17"/>
  <c r="W231" i="17"/>
  <c r="F231" i="17"/>
  <c r="F17" i="11" s="1"/>
  <c r="E231" i="17"/>
  <c r="D231" i="17"/>
  <c r="C231" i="17"/>
  <c r="B231" i="17"/>
  <c r="W230" i="17"/>
  <c r="F230" i="17"/>
  <c r="F18" i="11" s="1"/>
  <c r="D230" i="17"/>
  <c r="E230" i="17" s="1"/>
  <c r="C230" i="17"/>
  <c r="B230" i="17"/>
  <c r="W229" i="17"/>
  <c r="F229" i="17"/>
  <c r="F36" i="9" s="1"/>
  <c r="D229" i="17"/>
  <c r="E229" i="17" s="1"/>
  <c r="C229" i="17"/>
  <c r="B229" i="17"/>
  <c r="W228" i="17"/>
  <c r="F228" i="17"/>
  <c r="F9" i="11" s="1"/>
  <c r="D228" i="17"/>
  <c r="E228" i="17" s="1"/>
  <c r="C228" i="17"/>
  <c r="B228" i="17"/>
  <c r="W227" i="17"/>
  <c r="F227" i="17"/>
  <c r="F41" i="9" s="1"/>
  <c r="D227" i="17"/>
  <c r="E227" i="17" s="1"/>
  <c r="C227" i="17"/>
  <c r="B227" i="17"/>
  <c r="W226" i="17"/>
  <c r="F226" i="17"/>
  <c r="F40" i="9" s="1"/>
  <c r="D226" i="17"/>
  <c r="E226" i="17" s="1"/>
  <c r="C226" i="17"/>
  <c r="B226" i="17"/>
  <c r="W225" i="17"/>
  <c r="F225" i="17"/>
  <c r="F39" i="9" s="1"/>
  <c r="D225" i="17"/>
  <c r="E225" i="17" s="1"/>
  <c r="C225" i="17"/>
  <c r="B225" i="17"/>
  <c r="W224" i="17"/>
  <c r="F224" i="17"/>
  <c r="F38" i="9" s="1"/>
  <c r="D224" i="17"/>
  <c r="E224" i="17" s="1"/>
  <c r="C224" i="17"/>
  <c r="B224" i="17"/>
  <c r="W223" i="17"/>
  <c r="F223" i="17"/>
  <c r="F37" i="9" s="1"/>
  <c r="D223" i="17"/>
  <c r="E223" i="17" s="1"/>
  <c r="C223" i="17"/>
  <c r="B223" i="17"/>
  <c r="W222" i="17"/>
  <c r="F222" i="17"/>
  <c r="F17" i="9" s="1"/>
  <c r="D222" i="17"/>
  <c r="E222" i="17" s="1"/>
  <c r="C222" i="17"/>
  <c r="B222" i="17"/>
  <c r="W221" i="17"/>
  <c r="F221" i="17"/>
  <c r="F35" i="9" s="1"/>
  <c r="E221" i="17"/>
  <c r="D221" i="17"/>
  <c r="C221" i="17"/>
  <c r="B221" i="17"/>
  <c r="W220" i="17"/>
  <c r="F220" i="17"/>
  <c r="F34" i="9" s="1"/>
  <c r="D220" i="17"/>
  <c r="E220" i="17" s="1"/>
  <c r="C220" i="17"/>
  <c r="B220" i="17"/>
  <c r="W219" i="17"/>
  <c r="F219" i="17"/>
  <c r="F19" i="11" s="1"/>
  <c r="E219" i="17"/>
  <c r="D219" i="17"/>
  <c r="C219" i="17"/>
  <c r="B219" i="17"/>
  <c r="W218" i="17"/>
  <c r="F218" i="17"/>
  <c r="F20" i="11" s="1"/>
  <c r="D218" i="17"/>
  <c r="E218" i="17" s="1"/>
  <c r="C218" i="17"/>
  <c r="B218" i="17"/>
  <c r="W217" i="17"/>
  <c r="F217" i="17"/>
  <c r="F21" i="11" s="1"/>
  <c r="D217" i="17"/>
  <c r="E217" i="17" s="1"/>
  <c r="C217" i="17"/>
  <c r="B217" i="17"/>
  <c r="W216" i="17"/>
  <c r="F216" i="17"/>
  <c r="F7" i="11" s="1"/>
  <c r="D216" i="17"/>
  <c r="E216" i="17" s="1"/>
  <c r="C216" i="17"/>
  <c r="B216" i="17"/>
  <c r="W215" i="17"/>
  <c r="F215" i="17"/>
  <c r="F22" i="11" s="1"/>
  <c r="E215" i="17"/>
  <c r="D215" i="17"/>
  <c r="C215" i="17"/>
  <c r="B215" i="17"/>
  <c r="W214" i="17"/>
  <c r="F214" i="17"/>
  <c r="F23" i="11" s="1"/>
  <c r="D214" i="17"/>
  <c r="E214" i="17" s="1"/>
  <c r="C214" i="17"/>
  <c r="B214" i="17"/>
  <c r="W213" i="17"/>
  <c r="F213" i="17"/>
  <c r="F24" i="11" s="1"/>
  <c r="D213" i="17"/>
  <c r="E213" i="17" s="1"/>
  <c r="C213" i="17"/>
  <c r="B213" i="17"/>
  <c r="W212" i="17"/>
  <c r="F212" i="17"/>
  <c r="F25" i="11" s="1"/>
  <c r="E212" i="17"/>
  <c r="D212" i="17"/>
  <c r="C212" i="17"/>
  <c r="B212" i="17"/>
  <c r="W211" i="17"/>
  <c r="F211" i="17"/>
  <c r="F27" i="11" s="1"/>
  <c r="D211" i="17"/>
  <c r="E211" i="17" s="1"/>
  <c r="C211" i="17"/>
  <c r="B211" i="17"/>
  <c r="W210" i="17"/>
  <c r="F210" i="17"/>
  <c r="F26" i="11" s="1"/>
  <c r="E210" i="17"/>
  <c r="D210" i="17"/>
  <c r="C210" i="17"/>
  <c r="B210" i="17"/>
  <c r="W209" i="17"/>
  <c r="F209" i="17"/>
  <c r="F57" i="8" s="1"/>
  <c r="D209" i="17"/>
  <c r="E209" i="17" s="1"/>
  <c r="C209" i="17"/>
  <c r="B209" i="17"/>
  <c r="W208" i="17"/>
  <c r="F208" i="17"/>
  <c r="F60" i="8" s="1"/>
  <c r="D208" i="17"/>
  <c r="E208" i="17" s="1"/>
  <c r="C208" i="17"/>
  <c r="B208" i="17"/>
  <c r="W207" i="17"/>
  <c r="F207" i="17"/>
  <c r="F55" i="8" s="1"/>
  <c r="D207" i="17"/>
  <c r="E207" i="17" s="1"/>
  <c r="C207" i="17"/>
  <c r="B207" i="17"/>
  <c r="W206" i="17"/>
  <c r="F206" i="17"/>
  <c r="F62" i="8" s="1"/>
  <c r="D206" i="17"/>
  <c r="E206" i="17" s="1"/>
  <c r="C206" i="17"/>
  <c r="B206" i="17"/>
  <c r="W205" i="17"/>
  <c r="F205" i="17"/>
  <c r="F56" i="8" s="1"/>
  <c r="D205" i="17"/>
  <c r="E205" i="17" s="1"/>
  <c r="C205" i="17"/>
  <c r="B205" i="17"/>
  <c r="W204" i="17"/>
  <c r="F204" i="17"/>
  <c r="F61" i="10" s="1"/>
  <c r="D204" i="17"/>
  <c r="E204" i="17" s="1"/>
  <c r="C204" i="17"/>
  <c r="B204" i="17"/>
  <c r="W203" i="17"/>
  <c r="F203" i="17"/>
  <c r="F60" i="10" s="1"/>
  <c r="D203" i="17"/>
  <c r="E203" i="17" s="1"/>
  <c r="C203" i="17"/>
  <c r="B203" i="17"/>
  <c r="W202" i="17"/>
  <c r="F202" i="17"/>
  <c r="F59" i="10" s="1"/>
  <c r="D202" i="17"/>
  <c r="E202" i="17" s="1"/>
  <c r="C202" i="17"/>
  <c r="B202" i="17"/>
  <c r="W201" i="17"/>
  <c r="F201" i="17"/>
  <c r="F58" i="10" s="1"/>
  <c r="D201" i="17"/>
  <c r="E201" i="17" s="1"/>
  <c r="C201" i="17"/>
  <c r="B201" i="17"/>
  <c r="W200" i="17"/>
  <c r="F200" i="17"/>
  <c r="F57" i="10" s="1"/>
  <c r="D200" i="17"/>
  <c r="E200" i="17" s="1"/>
  <c r="C200" i="17"/>
  <c r="B200" i="17"/>
  <c r="W199" i="17"/>
  <c r="F199" i="17"/>
  <c r="F28" i="11" s="1"/>
  <c r="D199" i="17"/>
  <c r="E199" i="17" s="1"/>
  <c r="C199" i="17"/>
  <c r="B199" i="17"/>
  <c r="W198" i="17"/>
  <c r="F198" i="17"/>
  <c r="F29" i="11" s="1"/>
  <c r="D198" i="17"/>
  <c r="E198" i="17" s="1"/>
  <c r="C198" i="17"/>
  <c r="B198" i="17"/>
  <c r="W197" i="17"/>
  <c r="F197" i="17"/>
  <c r="F30" i="11" s="1"/>
  <c r="E197" i="17"/>
  <c r="D197" i="17"/>
  <c r="C197" i="17"/>
  <c r="B197" i="17"/>
  <c r="W196" i="17"/>
  <c r="F196" i="17"/>
  <c r="F31" i="11" s="1"/>
  <c r="D196" i="17"/>
  <c r="E196" i="17" s="1"/>
  <c r="C196" i="17"/>
  <c r="B196" i="17"/>
  <c r="W195" i="17"/>
  <c r="F195" i="17"/>
  <c r="F56" i="10" s="1"/>
  <c r="E195" i="17"/>
  <c r="D195" i="17"/>
  <c r="C195" i="17"/>
  <c r="B195" i="17"/>
  <c r="W194" i="17"/>
  <c r="F194" i="17"/>
  <c r="F55" i="10" s="1"/>
  <c r="D194" i="17"/>
  <c r="E194" i="17" s="1"/>
  <c r="C194" i="17"/>
  <c r="B194" i="17"/>
  <c r="W193" i="17"/>
  <c r="F193" i="17"/>
  <c r="F54" i="10" s="1"/>
  <c r="E193" i="17"/>
  <c r="D193" i="17"/>
  <c r="C193" i="17"/>
  <c r="B193" i="17"/>
  <c r="W192" i="17"/>
  <c r="F192" i="17"/>
  <c r="F53" i="10" s="1"/>
  <c r="D192" i="17"/>
  <c r="E192" i="17" s="1"/>
  <c r="C192" i="17"/>
  <c r="B192" i="17"/>
  <c r="W191" i="17"/>
  <c r="F191" i="17"/>
  <c r="F33" i="9" s="1"/>
  <c r="E191" i="17"/>
  <c r="D191" i="17"/>
  <c r="C191" i="17"/>
  <c r="B191" i="17"/>
  <c r="W190" i="17"/>
  <c r="F190" i="17"/>
  <c r="F59" i="8" s="1"/>
  <c r="D190" i="17"/>
  <c r="E190" i="17" s="1"/>
  <c r="C190" i="17"/>
  <c r="B190" i="17"/>
  <c r="W189" i="17"/>
  <c r="F189" i="17"/>
  <c r="F58" i="8" s="1"/>
  <c r="E189" i="17"/>
  <c r="D189" i="17"/>
  <c r="C189" i="17"/>
  <c r="B189" i="17"/>
  <c r="W188" i="17"/>
  <c r="F188" i="17"/>
  <c r="F53" i="8" s="1"/>
  <c r="D188" i="17"/>
  <c r="E188" i="17" s="1"/>
  <c r="C188" i="17"/>
  <c r="B188" i="17"/>
  <c r="W187" i="17"/>
  <c r="F187" i="17"/>
  <c r="F52" i="8" s="1"/>
  <c r="E187" i="17"/>
  <c r="D187" i="17"/>
  <c r="C187" i="17"/>
  <c r="B187" i="17"/>
  <c r="W186" i="17"/>
  <c r="F186" i="17"/>
  <c r="F50" i="8" s="1"/>
  <c r="D186" i="17"/>
  <c r="E186" i="17" s="1"/>
  <c r="C186" i="17"/>
  <c r="B186" i="17"/>
  <c r="W185" i="17"/>
  <c r="F185" i="17"/>
  <c r="F56" i="9" s="1"/>
  <c r="E185" i="17"/>
  <c r="D185" i="17"/>
  <c r="C185" i="17"/>
  <c r="B185" i="17"/>
  <c r="W184" i="17"/>
  <c r="F184" i="17"/>
  <c r="F55" i="9" s="1"/>
  <c r="D184" i="17"/>
  <c r="E184" i="17" s="1"/>
  <c r="C184" i="17"/>
  <c r="B184" i="17"/>
  <c r="W183" i="17"/>
  <c r="F183" i="17"/>
  <c r="F54" i="9" s="1"/>
  <c r="E183" i="17"/>
  <c r="D183" i="17"/>
  <c r="C183" i="17"/>
  <c r="B183" i="17"/>
  <c r="W182" i="17"/>
  <c r="F182" i="17"/>
  <c r="F53" i="9" s="1"/>
  <c r="D182" i="17"/>
  <c r="E182" i="17" s="1"/>
  <c r="C182" i="17"/>
  <c r="B182" i="17"/>
  <c r="W181" i="17"/>
  <c r="F181" i="17"/>
  <c r="F16" i="9" s="1"/>
  <c r="E181" i="17"/>
  <c r="D181" i="17"/>
  <c r="C181" i="17"/>
  <c r="B181" i="17"/>
  <c r="W180" i="17"/>
  <c r="F180" i="17"/>
  <c r="F15" i="9" s="1"/>
  <c r="D180" i="17"/>
  <c r="E180" i="17" s="1"/>
  <c r="C180" i="17"/>
  <c r="B180" i="17"/>
  <c r="W179" i="17"/>
  <c r="F179" i="17"/>
  <c r="F32" i="11" s="1"/>
  <c r="E179" i="17"/>
  <c r="D179" i="17"/>
  <c r="C179" i="17"/>
  <c r="B179" i="17"/>
  <c r="W178" i="17"/>
  <c r="F178" i="17"/>
  <c r="F33" i="11" s="1"/>
  <c r="D178" i="17"/>
  <c r="E178" i="17" s="1"/>
  <c r="C178" i="17"/>
  <c r="B178" i="17"/>
  <c r="W177" i="17"/>
  <c r="F177" i="17"/>
  <c r="F52" i="10" s="1"/>
  <c r="E177" i="17"/>
  <c r="D177" i="17"/>
  <c r="C177" i="17"/>
  <c r="B177" i="17"/>
  <c r="W176" i="17"/>
  <c r="F176" i="17"/>
  <c r="F51" i="10" s="1"/>
  <c r="D176" i="17"/>
  <c r="E176" i="17" s="1"/>
  <c r="C176" i="17"/>
  <c r="B176" i="17"/>
  <c r="W175" i="17"/>
  <c r="F175" i="17"/>
  <c r="F50" i="10" s="1"/>
  <c r="E175" i="17"/>
  <c r="D175" i="17"/>
  <c r="C175" i="17"/>
  <c r="B175" i="17"/>
  <c r="W174" i="17"/>
  <c r="F174" i="17"/>
  <c r="F34" i="11" s="1"/>
  <c r="D174" i="17"/>
  <c r="E174" i="17" s="1"/>
  <c r="C174" i="17"/>
  <c r="B174" i="17"/>
  <c r="W173" i="17"/>
  <c r="F173" i="17"/>
  <c r="F49" i="10" s="1"/>
  <c r="E173" i="17"/>
  <c r="D173" i="17"/>
  <c r="C173" i="17"/>
  <c r="B173" i="17"/>
  <c r="W172" i="17"/>
  <c r="F172" i="17"/>
  <c r="F32" i="9" s="1"/>
  <c r="D172" i="17"/>
  <c r="E172" i="17" s="1"/>
  <c r="C172" i="17"/>
  <c r="B172" i="17"/>
  <c r="W171" i="17"/>
  <c r="F171" i="17"/>
  <c r="F35" i="11" s="1"/>
  <c r="E171" i="17"/>
  <c r="D171" i="17"/>
  <c r="C171" i="17"/>
  <c r="B171" i="17"/>
  <c r="W170" i="17"/>
  <c r="F170" i="17"/>
  <c r="F54" i="8" s="1"/>
  <c r="D170" i="17"/>
  <c r="E170" i="17" s="1"/>
  <c r="C170" i="17"/>
  <c r="B170" i="17"/>
  <c r="W169" i="17"/>
  <c r="F169" i="17"/>
  <c r="F7" i="8" s="1"/>
  <c r="E169" i="17"/>
  <c r="D169" i="17"/>
  <c r="C169" i="17"/>
  <c r="B169" i="17"/>
  <c r="W168" i="17"/>
  <c r="F168" i="17"/>
  <c r="F65" i="8" s="1"/>
  <c r="D168" i="17"/>
  <c r="E168" i="17" s="1"/>
  <c r="C168" i="17"/>
  <c r="B168" i="17"/>
  <c r="W167" i="17"/>
  <c r="F167" i="17"/>
  <c r="F48" i="10" s="1"/>
  <c r="E167" i="17"/>
  <c r="D167" i="17"/>
  <c r="C167" i="17"/>
  <c r="B167" i="17"/>
  <c r="W166" i="17"/>
  <c r="F166" i="17"/>
  <c r="F51" i="8" s="1"/>
  <c r="D166" i="17"/>
  <c r="E166" i="17" s="1"/>
  <c r="C166" i="17"/>
  <c r="B166" i="17"/>
  <c r="W165" i="17"/>
  <c r="F165" i="17"/>
  <c r="F52" i="9" s="1"/>
  <c r="E165" i="17"/>
  <c r="D165" i="17"/>
  <c r="C165" i="17"/>
  <c r="B165" i="17"/>
  <c r="W164" i="17"/>
  <c r="F164" i="17"/>
  <c r="F51" i="9" s="1"/>
  <c r="D164" i="17"/>
  <c r="E164" i="17" s="1"/>
  <c r="C164" i="17"/>
  <c r="B164" i="17"/>
  <c r="W163" i="17"/>
  <c r="F163" i="17"/>
  <c r="F31" i="9" s="1"/>
  <c r="E163" i="17"/>
  <c r="D163" i="17"/>
  <c r="C163" i="17"/>
  <c r="B163" i="17"/>
  <c r="W162" i="17"/>
  <c r="F162" i="17"/>
  <c r="F50" i="9" s="1"/>
  <c r="D162" i="17"/>
  <c r="E162" i="17" s="1"/>
  <c r="C162" i="17"/>
  <c r="B162" i="17"/>
  <c r="W161" i="17"/>
  <c r="F161" i="17"/>
  <c r="F30" i="9" s="1"/>
  <c r="E161" i="17"/>
  <c r="D161" i="17"/>
  <c r="C161" i="17"/>
  <c r="B161" i="17"/>
  <c r="W160" i="17"/>
  <c r="F160" i="17"/>
  <c r="F49" i="9" s="1"/>
  <c r="D160" i="17"/>
  <c r="E160" i="17" s="1"/>
  <c r="C160" i="17"/>
  <c r="B160" i="17"/>
  <c r="W159" i="17"/>
  <c r="F159" i="17"/>
  <c r="F48" i="9" s="1"/>
  <c r="E159" i="17"/>
  <c r="D159" i="17"/>
  <c r="C159" i="17"/>
  <c r="B159" i="17"/>
  <c r="W158" i="17"/>
  <c r="F158" i="17"/>
  <c r="F29" i="9" s="1"/>
  <c r="D158" i="17"/>
  <c r="E158" i="17" s="1"/>
  <c r="C158" i="17"/>
  <c r="B158" i="17"/>
  <c r="W157" i="17"/>
  <c r="F157" i="17"/>
  <c r="F28" i="9" s="1"/>
  <c r="E157" i="17"/>
  <c r="D157" i="17"/>
  <c r="C157" i="17"/>
  <c r="B157" i="17"/>
  <c r="W156" i="17"/>
  <c r="F156" i="17"/>
  <c r="F47" i="10" s="1"/>
  <c r="D156" i="17"/>
  <c r="E156" i="17" s="1"/>
  <c r="C156" i="17"/>
  <c r="B156" i="17"/>
  <c r="W155" i="17"/>
  <c r="F155" i="17"/>
  <c r="F27" i="9" s="1"/>
  <c r="E155" i="17"/>
  <c r="D155" i="17"/>
  <c r="C155" i="17"/>
  <c r="B155" i="17"/>
  <c r="W154" i="17"/>
  <c r="F154" i="17"/>
  <c r="F26" i="9" s="1"/>
  <c r="D154" i="17"/>
  <c r="E154" i="17" s="1"/>
  <c r="C154" i="17"/>
  <c r="B154" i="17"/>
  <c r="W153" i="17"/>
  <c r="F153" i="17"/>
  <c r="F46" i="10" s="1"/>
  <c r="E153" i="17"/>
  <c r="D153" i="17"/>
  <c r="C153" i="17"/>
  <c r="B153" i="17"/>
  <c r="W152" i="17"/>
  <c r="F152" i="17"/>
  <c r="F45" i="10" s="1"/>
  <c r="D152" i="17"/>
  <c r="E152" i="17" s="1"/>
  <c r="C152" i="17"/>
  <c r="B152" i="17"/>
  <c r="W151" i="17"/>
  <c r="F151" i="17"/>
  <c r="F44" i="10" s="1"/>
  <c r="E151" i="17"/>
  <c r="D151" i="17"/>
  <c r="C151" i="17"/>
  <c r="B151" i="17"/>
  <c r="W150" i="17"/>
  <c r="F150" i="17"/>
  <c r="F43" i="10" s="1"/>
  <c r="D150" i="17"/>
  <c r="E150" i="17" s="1"/>
  <c r="C150" i="17"/>
  <c r="B150" i="17"/>
  <c r="W149" i="17"/>
  <c r="F149" i="17"/>
  <c r="F42" i="10" s="1"/>
  <c r="E149" i="17"/>
  <c r="D149" i="17"/>
  <c r="C149" i="17"/>
  <c r="B149" i="17"/>
  <c r="W148" i="17"/>
  <c r="F148" i="17"/>
  <c r="F41" i="10" s="1"/>
  <c r="D148" i="17"/>
  <c r="E148" i="17" s="1"/>
  <c r="C148" i="17"/>
  <c r="B148" i="17"/>
  <c r="W147" i="17"/>
  <c r="F147" i="17"/>
  <c r="F9" i="9" s="1"/>
  <c r="E147" i="17"/>
  <c r="D147" i="17"/>
  <c r="C147" i="17"/>
  <c r="B147" i="17"/>
  <c r="W146" i="17"/>
  <c r="F146" i="17"/>
  <c r="F47" i="9" s="1"/>
  <c r="D146" i="17"/>
  <c r="E146" i="17" s="1"/>
  <c r="C146" i="17"/>
  <c r="B146" i="17"/>
  <c r="W145" i="17"/>
  <c r="F145" i="17"/>
  <c r="F46" i="9" s="1"/>
  <c r="E145" i="17"/>
  <c r="D145" i="17"/>
  <c r="C145" i="17"/>
  <c r="B145" i="17"/>
  <c r="W144" i="17"/>
  <c r="F144" i="17"/>
  <c r="F45" i="9" s="1"/>
  <c r="D144" i="17"/>
  <c r="E144" i="17" s="1"/>
  <c r="C144" i="17"/>
  <c r="B144" i="17"/>
  <c r="W143" i="17"/>
  <c r="F143" i="17"/>
  <c r="F44" i="9" s="1"/>
  <c r="E143" i="17"/>
  <c r="D143" i="17"/>
  <c r="C143" i="17"/>
  <c r="B143" i="17"/>
  <c r="W142" i="17"/>
  <c r="F142" i="17"/>
  <c r="F43" i="9" s="1"/>
  <c r="D142" i="17"/>
  <c r="E142" i="17" s="1"/>
  <c r="C142" i="17"/>
  <c r="B142" i="17"/>
  <c r="W141" i="17"/>
  <c r="F141" i="17"/>
  <c r="F42" i="9" s="1"/>
  <c r="E141" i="17"/>
  <c r="D141" i="17"/>
  <c r="C141" i="17"/>
  <c r="B141" i="17"/>
  <c r="W140" i="17"/>
  <c r="F140" i="17"/>
  <c r="F40" i="10" s="1"/>
  <c r="D140" i="17"/>
  <c r="E140" i="17" s="1"/>
  <c r="C140" i="17"/>
  <c r="B140" i="17"/>
  <c r="W139" i="17"/>
  <c r="F139" i="17"/>
  <c r="F39" i="10" s="1"/>
  <c r="E139" i="17"/>
  <c r="D139" i="17"/>
  <c r="C139" i="17"/>
  <c r="B139" i="17"/>
  <c r="W138" i="17"/>
  <c r="F138" i="17"/>
  <c r="F38" i="10" s="1"/>
  <c r="D138" i="17"/>
  <c r="E138" i="17" s="1"/>
  <c r="C138" i="17"/>
  <c r="B138" i="17"/>
  <c r="W137" i="17"/>
  <c r="F137" i="17"/>
  <c r="F37" i="10" s="1"/>
  <c r="E137" i="17"/>
  <c r="D137" i="17"/>
  <c r="C137" i="17"/>
  <c r="B137" i="17"/>
  <c r="W136" i="17"/>
  <c r="F136" i="17"/>
  <c r="F36" i="10" s="1"/>
  <c r="D136" i="17"/>
  <c r="E136" i="17" s="1"/>
  <c r="C136" i="17"/>
  <c r="B136" i="17"/>
  <c r="W135" i="17"/>
  <c r="F135" i="17"/>
  <c r="F35" i="10" s="1"/>
  <c r="E135" i="17"/>
  <c r="D135" i="17"/>
  <c r="C135" i="17"/>
  <c r="B135" i="17"/>
  <c r="W134" i="17"/>
  <c r="F134" i="17"/>
  <c r="F61" i="8" s="1"/>
  <c r="D134" i="17"/>
  <c r="E134" i="17" s="1"/>
  <c r="C134" i="17"/>
  <c r="B134" i="17"/>
  <c r="W133" i="17"/>
  <c r="F133" i="17"/>
  <c r="F25" i="9" s="1"/>
  <c r="E133" i="17"/>
  <c r="D133" i="17"/>
  <c r="C133" i="17"/>
  <c r="B133" i="17"/>
  <c r="W132" i="17"/>
  <c r="F132" i="17"/>
  <c r="F24" i="9" s="1"/>
  <c r="D132" i="17"/>
  <c r="E132" i="17" s="1"/>
  <c r="C132" i="17"/>
  <c r="B132" i="17"/>
  <c r="W131" i="17"/>
  <c r="F131" i="17"/>
  <c r="F34" i="10" s="1"/>
  <c r="E131" i="17"/>
  <c r="D131" i="17"/>
  <c r="C131" i="17"/>
  <c r="B131" i="17"/>
  <c r="W130" i="17"/>
  <c r="F130" i="17"/>
  <c r="F33" i="10" s="1"/>
  <c r="D130" i="17"/>
  <c r="E130" i="17" s="1"/>
  <c r="C130" i="17"/>
  <c r="B130" i="17"/>
  <c r="W129" i="17"/>
  <c r="F129" i="17"/>
  <c r="F32" i="10" s="1"/>
  <c r="E129" i="17"/>
  <c r="D129" i="17"/>
  <c r="C129" i="17"/>
  <c r="B129" i="17"/>
  <c r="W128" i="17"/>
  <c r="F128" i="17"/>
  <c r="F31" i="10" s="1"/>
  <c r="D128" i="17"/>
  <c r="E128" i="17" s="1"/>
  <c r="C128" i="17"/>
  <c r="B128" i="17"/>
  <c r="W127" i="17"/>
  <c r="F127" i="17"/>
  <c r="F36" i="11" s="1"/>
  <c r="E127" i="17"/>
  <c r="D127" i="17"/>
  <c r="C127" i="17"/>
  <c r="B127" i="17"/>
  <c r="W126" i="17"/>
  <c r="F126" i="17"/>
  <c r="F23" i="9" s="1"/>
  <c r="D126" i="17"/>
  <c r="E126" i="17" s="1"/>
  <c r="C126" i="17"/>
  <c r="B126" i="17"/>
  <c r="W125" i="17"/>
  <c r="F125" i="17"/>
  <c r="F22" i="9" s="1"/>
  <c r="E125" i="17"/>
  <c r="D125" i="17"/>
  <c r="C125" i="17"/>
  <c r="B125" i="17"/>
  <c r="W124" i="17"/>
  <c r="F124" i="17"/>
  <c r="F21" i="9" s="1"/>
  <c r="D124" i="17"/>
  <c r="E124" i="17" s="1"/>
  <c r="C124" i="17"/>
  <c r="B124" i="17"/>
  <c r="W123" i="17"/>
  <c r="F123" i="17"/>
  <c r="F37" i="11" s="1"/>
  <c r="E123" i="17"/>
  <c r="D123" i="17"/>
  <c r="C123" i="17"/>
  <c r="B123" i="17"/>
  <c r="W122" i="17"/>
  <c r="F122" i="17"/>
  <c r="F20" i="9" s="1"/>
  <c r="D122" i="17"/>
  <c r="E122" i="17" s="1"/>
  <c r="C122" i="17"/>
  <c r="B122" i="17"/>
  <c r="W121" i="17"/>
  <c r="F121" i="17"/>
  <c r="F63" i="8" s="1"/>
  <c r="E121" i="17"/>
  <c r="D121" i="17"/>
  <c r="C121" i="17"/>
  <c r="B121" i="17"/>
  <c r="W120" i="17"/>
  <c r="F120" i="17"/>
  <c r="F30" i="10" s="1"/>
  <c r="D120" i="17"/>
  <c r="E120" i="17" s="1"/>
  <c r="C120" i="17"/>
  <c r="B120" i="17"/>
  <c r="W119" i="17"/>
  <c r="F119" i="17"/>
  <c r="F29" i="10" s="1"/>
  <c r="E119" i="17"/>
  <c r="D119" i="17"/>
  <c r="C119" i="17"/>
  <c r="B119" i="17"/>
  <c r="W118" i="17"/>
  <c r="F118" i="17"/>
  <c r="F28" i="10" s="1"/>
  <c r="D118" i="17"/>
  <c r="E118" i="17" s="1"/>
  <c r="C118" i="17"/>
  <c r="B118" i="17"/>
  <c r="W117" i="17"/>
  <c r="F117" i="17"/>
  <c r="F27" i="10" s="1"/>
  <c r="D117" i="17"/>
  <c r="E117" i="17" s="1"/>
  <c r="C117" i="17"/>
  <c r="B117" i="17"/>
  <c r="W116" i="17"/>
  <c r="F116" i="17"/>
  <c r="F26" i="10" s="1"/>
  <c r="D116" i="17"/>
  <c r="E116" i="17" s="1"/>
  <c r="C116" i="17"/>
  <c r="B116" i="17"/>
  <c r="W115" i="17"/>
  <c r="F115" i="17"/>
  <c r="F25" i="10" s="1"/>
  <c r="D115" i="17"/>
  <c r="E115" i="17" s="1"/>
  <c r="C115" i="17"/>
  <c r="B115" i="17"/>
  <c r="W114" i="17"/>
  <c r="F114" i="17"/>
  <c r="F24" i="10" s="1"/>
  <c r="D114" i="17"/>
  <c r="E114" i="17" s="1"/>
  <c r="C114" i="17"/>
  <c r="B114" i="17"/>
  <c r="W113" i="17"/>
  <c r="F113" i="17"/>
  <c r="F14" i="9" s="1"/>
  <c r="E113" i="17"/>
  <c r="D113" i="17"/>
  <c r="C113" i="17"/>
  <c r="B113" i="17"/>
  <c r="W112" i="17"/>
  <c r="F112" i="17"/>
  <c r="F13" i="9" s="1"/>
  <c r="D112" i="17"/>
  <c r="E112" i="17" s="1"/>
  <c r="C112" i="17"/>
  <c r="B112" i="17"/>
  <c r="W111" i="17"/>
  <c r="F111" i="17"/>
  <c r="F12" i="9" s="1"/>
  <c r="D111" i="17"/>
  <c r="E111" i="17" s="1"/>
  <c r="C111" i="17"/>
  <c r="B111" i="17"/>
  <c r="W110" i="17"/>
  <c r="F110" i="17"/>
  <c r="F23" i="10" s="1"/>
  <c r="D110" i="17"/>
  <c r="E110" i="17" s="1"/>
  <c r="C110" i="17"/>
  <c r="B110" i="17"/>
  <c r="W109" i="17"/>
  <c r="F109" i="17"/>
  <c r="F22" i="10" s="1"/>
  <c r="D109" i="17"/>
  <c r="E109" i="17" s="1"/>
  <c r="C109" i="17"/>
  <c r="B109" i="17"/>
  <c r="W108" i="17"/>
  <c r="F108" i="17"/>
  <c r="F21" i="10" s="1"/>
  <c r="D108" i="17"/>
  <c r="E108" i="17" s="1"/>
  <c r="C108" i="17"/>
  <c r="B108" i="17"/>
  <c r="W107" i="17"/>
  <c r="F107" i="17"/>
  <c r="F20" i="10" s="1"/>
  <c r="D107" i="17"/>
  <c r="E107" i="17" s="1"/>
  <c r="C107" i="17"/>
  <c r="B107" i="17"/>
  <c r="W106" i="17"/>
  <c r="F106" i="17"/>
  <c r="F38" i="11" s="1"/>
  <c r="D106" i="17"/>
  <c r="E106" i="17" s="1"/>
  <c r="C106" i="17"/>
  <c r="B106" i="17"/>
  <c r="W105" i="17"/>
  <c r="F105" i="17"/>
  <c r="F19" i="10" s="1"/>
  <c r="D105" i="17"/>
  <c r="E105" i="17" s="1"/>
  <c r="C105" i="17"/>
  <c r="B105" i="17"/>
  <c r="W104" i="17"/>
  <c r="F104" i="17"/>
  <c r="F18" i="10" s="1"/>
  <c r="D104" i="17"/>
  <c r="E104" i="17" s="1"/>
  <c r="C104" i="17"/>
  <c r="B104" i="17"/>
  <c r="W103" i="17"/>
  <c r="F103" i="17"/>
  <c r="F17" i="10" s="1"/>
  <c r="D103" i="17"/>
  <c r="E103" i="17" s="1"/>
  <c r="C103" i="17"/>
  <c r="B103" i="17"/>
  <c r="W102" i="17"/>
  <c r="F102" i="17"/>
  <c r="F16" i="10" s="1"/>
  <c r="D102" i="17"/>
  <c r="E102" i="17" s="1"/>
  <c r="C102" i="17"/>
  <c r="B102" i="17"/>
  <c r="W101" i="17"/>
  <c r="F101" i="17"/>
  <c r="F15" i="10" s="1"/>
  <c r="E101" i="17"/>
  <c r="D101" i="17"/>
  <c r="C101" i="17"/>
  <c r="B101" i="17"/>
  <c r="W100" i="17"/>
  <c r="F100" i="17"/>
  <c r="F14" i="10" s="1"/>
  <c r="D100" i="17"/>
  <c r="E100" i="17" s="1"/>
  <c r="C100" i="17"/>
  <c r="B100" i="17"/>
  <c r="W99" i="17"/>
  <c r="F99" i="17"/>
  <c r="F13" i="10" s="1"/>
  <c r="D99" i="17"/>
  <c r="E99" i="17" s="1"/>
  <c r="C99" i="17"/>
  <c r="B99" i="17"/>
  <c r="W98" i="17"/>
  <c r="F98" i="17"/>
  <c r="F12" i="10" s="1"/>
  <c r="D98" i="17"/>
  <c r="E98" i="17" s="1"/>
  <c r="C98" i="17"/>
  <c r="B98" i="17"/>
  <c r="W97" i="17"/>
  <c r="F97" i="17"/>
  <c r="F11" i="10" s="1"/>
  <c r="D97" i="17"/>
  <c r="E97" i="17" s="1"/>
  <c r="C97" i="17"/>
  <c r="B97" i="17"/>
  <c r="W96" i="17"/>
  <c r="F96" i="17"/>
  <c r="F10" i="10" s="1"/>
  <c r="D96" i="17"/>
  <c r="E96" i="17" s="1"/>
  <c r="C96" i="17"/>
  <c r="B96" i="17"/>
  <c r="W95" i="17"/>
  <c r="F95" i="17"/>
  <c r="F9" i="10" s="1"/>
  <c r="E95" i="17"/>
  <c r="D95" i="17"/>
  <c r="C95" i="17"/>
  <c r="B95" i="17"/>
  <c r="W94" i="17"/>
  <c r="F94" i="17"/>
  <c r="F8" i="10" s="1"/>
  <c r="D94" i="17"/>
  <c r="E94" i="17" s="1"/>
  <c r="C94" i="17"/>
  <c r="B94" i="17"/>
  <c r="W93" i="17"/>
  <c r="F93" i="17"/>
  <c r="F71" i="8" s="1"/>
  <c r="D93" i="17"/>
  <c r="E93" i="17" s="1"/>
  <c r="C93" i="17"/>
  <c r="B93" i="17"/>
  <c r="W92" i="17"/>
  <c r="F92" i="17"/>
  <c r="F70" i="8" s="1"/>
  <c r="E92" i="17"/>
  <c r="D92" i="17"/>
  <c r="C92" i="17"/>
  <c r="B92" i="17"/>
  <c r="W91" i="17"/>
  <c r="F91" i="17"/>
  <c r="F69" i="8" s="1"/>
  <c r="D91" i="17"/>
  <c r="E91" i="17" s="1"/>
  <c r="C91" i="17"/>
  <c r="B91" i="17"/>
  <c r="W90" i="17"/>
  <c r="F90" i="17"/>
  <c r="F68" i="8" s="1"/>
  <c r="D90" i="17"/>
  <c r="E90" i="17" s="1"/>
  <c r="C90" i="17"/>
  <c r="B90" i="17"/>
  <c r="W89" i="17"/>
  <c r="F89" i="17"/>
  <c r="F67" i="8" s="1"/>
  <c r="E89" i="17"/>
  <c r="D89" i="17"/>
  <c r="C89" i="17"/>
  <c r="B89" i="17"/>
  <c r="W88" i="17"/>
  <c r="F88" i="17"/>
  <c r="F66" i="8" s="1"/>
  <c r="D88" i="17"/>
  <c r="E88" i="17" s="1"/>
  <c r="C88" i="17"/>
  <c r="B88" i="17"/>
  <c r="W87" i="17"/>
  <c r="F87" i="17"/>
  <c r="F88" i="10" s="1"/>
  <c r="E87" i="17"/>
  <c r="D87" i="17"/>
  <c r="C87" i="17"/>
  <c r="B87" i="17"/>
  <c r="W86" i="17"/>
  <c r="F86" i="17"/>
  <c r="F57" i="9" s="1"/>
  <c r="D86" i="17"/>
  <c r="E86" i="17" s="1"/>
  <c r="C86" i="17"/>
  <c r="B86" i="17"/>
  <c r="W85" i="17"/>
  <c r="F85" i="17"/>
  <c r="F87" i="10" s="1"/>
  <c r="D85" i="17"/>
  <c r="E85" i="17" s="1"/>
  <c r="C85" i="17"/>
  <c r="B85" i="17"/>
  <c r="W84" i="17"/>
  <c r="F84" i="17"/>
  <c r="F86" i="10" s="1"/>
  <c r="D84" i="17"/>
  <c r="E84" i="17" s="1"/>
  <c r="C84" i="17"/>
  <c r="B84" i="17"/>
  <c r="W83" i="17"/>
  <c r="F83" i="17"/>
  <c r="F85" i="10" s="1"/>
  <c r="D83" i="17"/>
  <c r="E83" i="17" s="1"/>
  <c r="C83" i="17"/>
  <c r="B83" i="17"/>
  <c r="W82" i="17"/>
  <c r="F82" i="17"/>
  <c r="F84" i="10" s="1"/>
  <c r="D82" i="17"/>
  <c r="E82" i="17" s="1"/>
  <c r="C82" i="17"/>
  <c r="B82" i="17"/>
  <c r="W81" i="17"/>
  <c r="F81" i="17"/>
  <c r="F74" i="8" s="1"/>
  <c r="D81" i="17"/>
  <c r="E81" i="17" s="1"/>
  <c r="C81" i="17"/>
  <c r="B81" i="17"/>
  <c r="W80" i="17"/>
  <c r="F80" i="17"/>
  <c r="F73" i="8" s="1"/>
  <c r="D80" i="17"/>
  <c r="E80" i="17" s="1"/>
  <c r="C80" i="17"/>
  <c r="B80" i="17"/>
  <c r="W79" i="17"/>
  <c r="F79" i="17"/>
  <c r="F72" i="8" s="1"/>
  <c r="D79" i="17"/>
  <c r="E79" i="17" s="1"/>
  <c r="C79" i="17"/>
  <c r="B79" i="17"/>
  <c r="W78" i="17"/>
  <c r="F78" i="17"/>
  <c r="F75" i="8" s="1"/>
  <c r="D78" i="17"/>
  <c r="E78" i="17" s="1"/>
  <c r="C78" i="17"/>
  <c r="B78" i="17"/>
  <c r="W77" i="17"/>
  <c r="F77" i="17"/>
  <c r="F89" i="10" s="1"/>
  <c r="D77" i="17"/>
  <c r="E77" i="17" s="1"/>
  <c r="C77" i="17"/>
  <c r="B77" i="17"/>
  <c r="W76" i="17"/>
  <c r="F76" i="17"/>
  <c r="F96" i="10" s="1"/>
  <c r="D76" i="17"/>
  <c r="E76" i="17" s="1"/>
  <c r="C76" i="17"/>
  <c r="B76" i="17"/>
  <c r="W75" i="17"/>
  <c r="F75" i="17"/>
  <c r="F95" i="10" s="1"/>
  <c r="D75" i="17"/>
  <c r="E75" i="17" s="1"/>
  <c r="C75" i="17"/>
  <c r="B75" i="17"/>
  <c r="W74" i="17"/>
  <c r="F74" i="17"/>
  <c r="F94" i="10" s="1"/>
  <c r="D74" i="17"/>
  <c r="E74" i="17" s="1"/>
  <c r="C74" i="17"/>
  <c r="B74" i="17"/>
  <c r="W73" i="17"/>
  <c r="F73" i="17"/>
  <c r="F93" i="10" s="1"/>
  <c r="D73" i="17"/>
  <c r="E73" i="17" s="1"/>
  <c r="C73" i="17"/>
  <c r="B73" i="17"/>
  <c r="W72" i="17"/>
  <c r="F72" i="17"/>
  <c r="F92" i="10" s="1"/>
  <c r="D72" i="17"/>
  <c r="E72" i="17" s="1"/>
  <c r="C72" i="17"/>
  <c r="B72" i="17"/>
  <c r="W71" i="17"/>
  <c r="F71" i="17"/>
  <c r="F91" i="10" s="1"/>
  <c r="D71" i="17"/>
  <c r="E71" i="17" s="1"/>
  <c r="C71" i="17"/>
  <c r="B71" i="17"/>
  <c r="W70" i="17"/>
  <c r="F70" i="17"/>
  <c r="F90" i="10" s="1"/>
  <c r="D70" i="17"/>
  <c r="E70" i="17" s="1"/>
  <c r="C70" i="17"/>
  <c r="B70" i="17"/>
  <c r="W69" i="17"/>
  <c r="F69" i="17"/>
  <c r="F105" i="10" s="1"/>
  <c r="D69" i="17"/>
  <c r="E69" i="17" s="1"/>
  <c r="C69" i="17"/>
  <c r="B69" i="17"/>
  <c r="W68" i="17"/>
  <c r="F68" i="17"/>
  <c r="F104" i="10" s="1"/>
  <c r="D68" i="17"/>
  <c r="E68" i="17" s="1"/>
  <c r="C68" i="17"/>
  <c r="B68" i="17"/>
  <c r="W67" i="17"/>
  <c r="F67" i="17"/>
  <c r="F103" i="10" s="1"/>
  <c r="D67" i="17"/>
  <c r="E67" i="17" s="1"/>
  <c r="C67" i="17"/>
  <c r="B67" i="17"/>
  <c r="W66" i="17"/>
  <c r="F66" i="17"/>
  <c r="F102" i="10" s="1"/>
  <c r="D66" i="17"/>
  <c r="E66" i="17" s="1"/>
  <c r="C66" i="17"/>
  <c r="B66" i="17"/>
  <c r="W65" i="17"/>
  <c r="F65" i="17"/>
  <c r="F101" i="10" s="1"/>
  <c r="D65" i="17"/>
  <c r="E65" i="17" s="1"/>
  <c r="C65" i="17"/>
  <c r="B65" i="17"/>
  <c r="W64" i="17"/>
  <c r="F64" i="17"/>
  <c r="F100" i="10" s="1"/>
  <c r="D64" i="17"/>
  <c r="E64" i="17" s="1"/>
  <c r="C64" i="17"/>
  <c r="B64" i="17"/>
  <c r="W63" i="17"/>
  <c r="F63" i="17"/>
  <c r="F81" i="8" s="1"/>
  <c r="D63" i="17"/>
  <c r="E63" i="17" s="1"/>
  <c r="C63" i="17"/>
  <c r="B63" i="17"/>
  <c r="W62" i="17"/>
  <c r="F62" i="17"/>
  <c r="F76" i="8" s="1"/>
  <c r="D62" i="17"/>
  <c r="E62" i="17" s="1"/>
  <c r="C62" i="17"/>
  <c r="B62" i="17"/>
  <c r="W61" i="17"/>
  <c r="F61" i="17"/>
  <c r="F80" i="8" s="1"/>
  <c r="D61" i="17"/>
  <c r="E61" i="17" s="1"/>
  <c r="C61" i="17"/>
  <c r="B61" i="17"/>
  <c r="W60" i="17"/>
  <c r="F60" i="17"/>
  <c r="F79" i="8" s="1"/>
  <c r="D60" i="17"/>
  <c r="E60" i="17" s="1"/>
  <c r="C60" i="17"/>
  <c r="B60" i="17"/>
  <c r="W59" i="17"/>
  <c r="F59" i="17"/>
  <c r="F8" i="8" s="1"/>
  <c r="D59" i="17"/>
  <c r="E59" i="17" s="1"/>
  <c r="C59" i="17"/>
  <c r="B59" i="17"/>
  <c r="W58" i="17"/>
  <c r="F58" i="17"/>
  <c r="F77" i="8" s="1"/>
  <c r="D58" i="17"/>
  <c r="E58" i="17" s="1"/>
  <c r="C58" i="17"/>
  <c r="B58" i="17"/>
  <c r="W57" i="17"/>
  <c r="F57" i="17"/>
  <c r="F97" i="10" s="1"/>
  <c r="D57" i="17"/>
  <c r="E57" i="17" s="1"/>
  <c r="C57" i="17"/>
  <c r="B57" i="17"/>
  <c r="W56" i="17"/>
  <c r="F56" i="17"/>
  <c r="F99" i="10" s="1"/>
  <c r="D56" i="17"/>
  <c r="E56" i="17" s="1"/>
  <c r="C56" i="17"/>
  <c r="B56" i="17"/>
  <c r="W55" i="17"/>
  <c r="F55" i="17"/>
  <c r="F58" i="9" s="1"/>
  <c r="D55" i="17"/>
  <c r="E55" i="17" s="1"/>
  <c r="C55" i="17"/>
  <c r="B55" i="17"/>
  <c r="W54" i="17"/>
  <c r="F54" i="17"/>
  <c r="F98" i="10" s="1"/>
  <c r="D54" i="17"/>
  <c r="E54" i="17" s="1"/>
  <c r="C54" i="17"/>
  <c r="B54" i="17"/>
  <c r="W53" i="17"/>
  <c r="F53" i="17"/>
  <c r="F78" i="8" s="1"/>
  <c r="D53" i="17"/>
  <c r="E53" i="17" s="1"/>
  <c r="C53" i="17"/>
  <c r="B53" i="17"/>
  <c r="W52" i="17"/>
  <c r="F52" i="17"/>
  <c r="F83" i="8" s="1"/>
  <c r="D52" i="17"/>
  <c r="E52" i="17" s="1"/>
  <c r="C52" i="17"/>
  <c r="B52" i="17"/>
  <c r="W51" i="17"/>
  <c r="F51" i="17"/>
  <c r="F82" i="8" s="1"/>
  <c r="D51" i="17"/>
  <c r="E51" i="17" s="1"/>
  <c r="C51" i="17"/>
  <c r="B51" i="17"/>
  <c r="W50" i="17"/>
  <c r="F50" i="17"/>
  <c r="F59" i="9" s="1"/>
  <c r="D50" i="17"/>
  <c r="E50" i="17" s="1"/>
  <c r="C50" i="17"/>
  <c r="B50" i="17"/>
  <c r="W49" i="17"/>
  <c r="F49" i="17"/>
  <c r="F84" i="8" s="1"/>
  <c r="D49" i="17"/>
  <c r="E49" i="17" s="1"/>
  <c r="C49" i="17"/>
  <c r="B49" i="17"/>
  <c r="W48" i="17"/>
  <c r="F48" i="17"/>
  <c r="F62" i="9" s="1"/>
  <c r="D48" i="17"/>
  <c r="E48" i="17" s="1"/>
  <c r="C48" i="17"/>
  <c r="B48" i="17"/>
  <c r="W47" i="17"/>
  <c r="F47" i="17"/>
  <c r="F107" i="10" s="1"/>
  <c r="D47" i="17"/>
  <c r="E47" i="17" s="1"/>
  <c r="C47" i="17"/>
  <c r="B47" i="17"/>
  <c r="W46" i="17"/>
  <c r="F46" i="17"/>
  <c r="F106" i="10" s="1"/>
  <c r="D46" i="17"/>
  <c r="E46" i="17" s="1"/>
  <c r="C46" i="17"/>
  <c r="B46" i="17"/>
  <c r="W45" i="17"/>
  <c r="F45" i="17"/>
  <c r="F60" i="9" s="1"/>
  <c r="D45" i="17"/>
  <c r="E45" i="17" s="1"/>
  <c r="C45" i="17"/>
  <c r="B45" i="17"/>
  <c r="W44" i="17"/>
  <c r="F44" i="17"/>
  <c r="F61" i="9" s="1"/>
  <c r="D44" i="17"/>
  <c r="E44" i="17" s="1"/>
  <c r="C44" i="17"/>
  <c r="B44" i="17"/>
  <c r="W43" i="17"/>
  <c r="F43" i="17"/>
  <c r="F87" i="8" s="1"/>
  <c r="D43" i="17"/>
  <c r="E43" i="17" s="1"/>
  <c r="C43" i="17"/>
  <c r="B43" i="17"/>
  <c r="W42" i="17"/>
  <c r="F42" i="17"/>
  <c r="F88" i="8" s="1"/>
  <c r="D42" i="17"/>
  <c r="E42" i="17" s="1"/>
  <c r="C42" i="17"/>
  <c r="B42" i="17"/>
  <c r="W41" i="17"/>
  <c r="F41" i="17"/>
  <c r="F111" i="10" s="1"/>
  <c r="D41" i="17"/>
  <c r="E41" i="17" s="1"/>
  <c r="C41" i="17"/>
  <c r="B41" i="17"/>
  <c r="W40" i="17"/>
  <c r="F40" i="17"/>
  <c r="F110" i="10" s="1"/>
  <c r="D40" i="17"/>
  <c r="E40" i="17" s="1"/>
  <c r="C40" i="17"/>
  <c r="B40" i="17"/>
  <c r="W39" i="17"/>
  <c r="F39" i="17"/>
  <c r="F86" i="8" s="1"/>
  <c r="D39" i="17"/>
  <c r="E39" i="17" s="1"/>
  <c r="C39" i="17"/>
  <c r="B39" i="17"/>
  <c r="W38" i="17"/>
  <c r="F38" i="17"/>
  <c r="F85" i="8" s="1"/>
  <c r="D38" i="17"/>
  <c r="E38" i="17" s="1"/>
  <c r="C38" i="17"/>
  <c r="B38" i="17"/>
  <c r="W37" i="17"/>
  <c r="F37" i="17"/>
  <c r="F39" i="11" s="1"/>
  <c r="D37" i="17"/>
  <c r="E37" i="17" s="1"/>
  <c r="C37" i="17"/>
  <c r="B37" i="17"/>
  <c r="W36" i="17"/>
  <c r="F36" i="17"/>
  <c r="F41" i="11" s="1"/>
  <c r="D36" i="17"/>
  <c r="E36" i="17" s="1"/>
  <c r="C36" i="17"/>
  <c r="B36" i="17"/>
  <c r="W35" i="17"/>
  <c r="F35" i="17"/>
  <c r="F108" i="8" s="1"/>
  <c r="D35" i="17"/>
  <c r="E35" i="17" s="1"/>
  <c r="C35" i="17"/>
  <c r="B35" i="17"/>
  <c r="W34" i="17"/>
  <c r="F34" i="17"/>
  <c r="F107" i="8" s="1"/>
  <c r="D34" i="17"/>
  <c r="E34" i="17" s="1"/>
  <c r="C34" i="17"/>
  <c r="B34" i="17"/>
  <c r="W33" i="17"/>
  <c r="F33" i="17"/>
  <c r="F104" i="8" s="1"/>
  <c r="D33" i="17"/>
  <c r="E33" i="17" s="1"/>
  <c r="C33" i="17"/>
  <c r="B33" i="17"/>
  <c r="W32" i="17"/>
  <c r="F32" i="17"/>
  <c r="F106" i="8" s="1"/>
  <c r="D32" i="17"/>
  <c r="E32" i="17" s="1"/>
  <c r="C32" i="17"/>
  <c r="B32" i="17"/>
  <c r="W31" i="17"/>
  <c r="F31" i="17"/>
  <c r="F105" i="8" s="1"/>
  <c r="D31" i="17"/>
  <c r="E31" i="17" s="1"/>
  <c r="C31" i="17"/>
  <c r="B31" i="17"/>
  <c r="W30" i="17"/>
  <c r="N30" i="17" s="1" a="1"/>
  <c r="N30" i="17" s="1"/>
  <c r="F30" i="17"/>
  <c r="F109" i="8" s="1"/>
  <c r="D30" i="17"/>
  <c r="E30" i="17" s="1"/>
  <c r="C30" i="17"/>
  <c r="B30" i="17"/>
  <c r="W29" i="17"/>
  <c r="F29" i="17"/>
  <c r="F112" i="10" s="1"/>
  <c r="D29" i="17"/>
  <c r="E29" i="17" s="1"/>
  <c r="C29" i="17"/>
  <c r="B29" i="17"/>
  <c r="W28" i="17"/>
  <c r="F28" i="17"/>
  <c r="F94" i="8" s="1"/>
  <c r="D28" i="17"/>
  <c r="E28" i="17" s="1"/>
  <c r="C28" i="17"/>
  <c r="B28" i="17"/>
  <c r="W27" i="17"/>
  <c r="F27" i="17"/>
  <c r="D27" i="17"/>
  <c r="E27" i="17" s="1"/>
  <c r="C27" i="17"/>
  <c r="B27" i="17"/>
  <c r="W26" i="17"/>
  <c r="F26" i="17"/>
  <c r="F67" i="9" s="1"/>
  <c r="D26" i="17"/>
  <c r="E26" i="17" s="1"/>
  <c r="C26" i="17"/>
  <c r="B26" i="17"/>
  <c r="W25" i="17"/>
  <c r="F25" i="17"/>
  <c r="F103" i="8" s="1"/>
  <c r="E25" i="17"/>
  <c r="D25" i="17"/>
  <c r="C25" i="17"/>
  <c r="B25" i="17"/>
  <c r="W24" i="17"/>
  <c r="F24" i="17"/>
  <c r="F97" i="8" s="1"/>
  <c r="D24" i="17"/>
  <c r="E24" i="17" s="1"/>
  <c r="C24" i="17"/>
  <c r="B24" i="17"/>
  <c r="W23" i="17"/>
  <c r="F23" i="17"/>
  <c r="F102" i="8" s="1"/>
  <c r="D23" i="17"/>
  <c r="E23" i="17" s="1"/>
  <c r="C23" i="17"/>
  <c r="B23" i="17"/>
  <c r="W22" i="17"/>
  <c r="F22" i="17"/>
  <c r="F101" i="8" s="1"/>
  <c r="D22" i="17"/>
  <c r="E22" i="17" s="1"/>
  <c r="C22" i="17"/>
  <c r="B22" i="17"/>
  <c r="W21" i="17"/>
  <c r="F21" i="17"/>
  <c r="F100" i="8" s="1"/>
  <c r="E21" i="17"/>
  <c r="D21" i="17"/>
  <c r="C21" i="17"/>
  <c r="B21" i="17"/>
  <c r="W20" i="17"/>
  <c r="F20" i="17"/>
  <c r="F96" i="8" s="1"/>
  <c r="D20" i="17"/>
  <c r="E20" i="17" s="1"/>
  <c r="C20" i="17"/>
  <c r="B20" i="17"/>
  <c r="W19" i="17"/>
  <c r="F19" i="17"/>
  <c r="F98" i="8" s="1"/>
  <c r="D19" i="17"/>
  <c r="E19" i="17" s="1"/>
  <c r="C19" i="17"/>
  <c r="B19" i="17"/>
  <c r="W18" i="17"/>
  <c r="F18" i="17"/>
  <c r="F99" i="8" s="1"/>
  <c r="D18" i="17"/>
  <c r="E18" i="17" s="1"/>
  <c r="C18" i="17"/>
  <c r="B18" i="17"/>
  <c r="W17" i="17"/>
  <c r="F17" i="17"/>
  <c r="F66" i="9" s="1"/>
  <c r="E17" i="17"/>
  <c r="D17" i="17"/>
  <c r="C17" i="17"/>
  <c r="B17" i="17"/>
  <c r="W16" i="17"/>
  <c r="F16" i="17"/>
  <c r="F65" i="9" s="1"/>
  <c r="D16" i="17"/>
  <c r="E16" i="17" s="1"/>
  <c r="C16" i="17"/>
  <c r="B16" i="17"/>
  <c r="W15" i="17"/>
  <c r="F15" i="17"/>
  <c r="F108" i="10" s="1"/>
  <c r="D15" i="17"/>
  <c r="E15" i="17" s="1"/>
  <c r="C15" i="17"/>
  <c r="B15" i="17"/>
  <c r="W14" i="17"/>
  <c r="F14" i="17"/>
  <c r="F93" i="8" s="1"/>
  <c r="D14" i="17"/>
  <c r="E14" i="17" s="1"/>
  <c r="C14" i="17"/>
  <c r="B14" i="17"/>
  <c r="W13" i="17"/>
  <c r="F13" i="17"/>
  <c r="F92" i="8" s="1"/>
  <c r="E13" i="17"/>
  <c r="D13" i="17"/>
  <c r="C13" i="17"/>
  <c r="B13" i="17"/>
  <c r="W12" i="17"/>
  <c r="F12" i="17"/>
  <c r="F91" i="8" s="1"/>
  <c r="D12" i="17"/>
  <c r="E12" i="17" s="1"/>
  <c r="C12" i="17"/>
  <c r="B12" i="17"/>
  <c r="W11" i="17"/>
  <c r="F11" i="17"/>
  <c r="F90" i="8" s="1"/>
  <c r="D11" i="17"/>
  <c r="E11" i="17" s="1"/>
  <c r="C11" i="17"/>
  <c r="B11" i="17"/>
  <c r="W10" i="17"/>
  <c r="F10" i="17"/>
  <c r="F89" i="8" s="1"/>
  <c r="D10" i="17"/>
  <c r="E10" i="17" s="1"/>
  <c r="C10" i="17"/>
  <c r="B10" i="17"/>
  <c r="W9" i="17"/>
  <c r="F9" i="17"/>
  <c r="F113" i="10" s="1"/>
  <c r="D9" i="17"/>
  <c r="E9" i="17" s="1"/>
  <c r="C9" i="17"/>
  <c r="B9" i="17"/>
  <c r="W8" i="17"/>
  <c r="F8" i="17"/>
  <c r="F95" i="8" s="1"/>
  <c r="E8" i="17"/>
  <c r="D8" i="17"/>
  <c r="C8" i="17"/>
  <c r="B8" i="17"/>
  <c r="W7" i="17"/>
  <c r="F7" i="17"/>
  <c r="D7" i="17"/>
  <c r="E7" i="17" s="1"/>
  <c r="C7" i="17"/>
  <c r="B7" i="17"/>
  <c r="W6" i="17"/>
  <c r="F6" i="17"/>
  <c r="F64" i="9" s="1"/>
  <c r="D6" i="17"/>
  <c r="E6" i="17" s="1"/>
  <c r="C6" i="17"/>
  <c r="B6" i="17"/>
  <c r="W5" i="17"/>
  <c r="F5" i="17"/>
  <c r="D5" i="17"/>
  <c r="E5" i="17" s="1"/>
  <c r="C5" i="17"/>
  <c r="B5" i="17"/>
  <c r="W4" i="17"/>
  <c r="F4" i="17"/>
  <c r="D4" i="17"/>
  <c r="E4" i="17" s="1"/>
  <c r="C4" i="17"/>
  <c r="B4" i="17"/>
  <c r="W3" i="17"/>
  <c r="F3" i="17"/>
  <c r="D3" i="17"/>
  <c r="E3" i="17" s="1"/>
  <c r="C3" i="17"/>
  <c r="B3" i="17"/>
  <c r="W158" i="16"/>
  <c r="W157" i="16"/>
  <c r="W156" i="16"/>
  <c r="W155" i="16"/>
  <c r="W154" i="16"/>
  <c r="W153" i="16"/>
  <c r="W152" i="16"/>
  <c r="W151" i="16"/>
  <c r="W150" i="16"/>
  <c r="W149" i="16"/>
  <c r="W148" i="16"/>
  <c r="W147" i="16"/>
  <c r="W146" i="16"/>
  <c r="W145" i="16"/>
  <c r="W144" i="16"/>
  <c r="W143" i="16"/>
  <c r="W142" i="16"/>
  <c r="W141" i="16"/>
  <c r="W140" i="16"/>
  <c r="W139" i="16"/>
  <c r="W138" i="16"/>
  <c r="W137" i="16"/>
  <c r="W136" i="16"/>
  <c r="W135" i="16"/>
  <c r="W134" i="16"/>
  <c r="W133" i="16"/>
  <c r="W132" i="16"/>
  <c r="W131" i="16"/>
  <c r="W130" i="16"/>
  <c r="W129" i="16"/>
  <c r="W128" i="16"/>
  <c r="W127" i="16"/>
  <c r="W126" i="16"/>
  <c r="W125" i="16"/>
  <c r="AG124" i="16"/>
  <c r="W124" i="16"/>
  <c r="AG123" i="16"/>
  <c r="W123" i="16"/>
  <c r="AG122" i="16"/>
  <c r="W122" i="16"/>
  <c r="AG121" i="16"/>
  <c r="W121" i="16"/>
  <c r="AG120" i="16"/>
  <c r="W120" i="16"/>
  <c r="AG119" i="16"/>
  <c r="W119" i="16"/>
  <c r="AG118" i="16"/>
  <c r="W118" i="16"/>
  <c r="AG117" i="16"/>
  <c r="W117" i="16"/>
  <c r="AG116" i="16"/>
  <c r="W116" i="16"/>
  <c r="AG115" i="16"/>
  <c r="W115" i="16"/>
  <c r="AG114" i="16"/>
  <c r="W114" i="16"/>
  <c r="AG113" i="16"/>
  <c r="W113" i="16"/>
  <c r="AG112" i="16"/>
  <c r="W112" i="16"/>
  <c r="AG111" i="16"/>
  <c r="W111" i="16"/>
  <c r="AG110" i="16"/>
  <c r="W110" i="16"/>
  <c r="AG109" i="16"/>
  <c r="W109" i="16"/>
  <c r="AG108" i="16"/>
  <c r="W108" i="16"/>
  <c r="AG107" i="16"/>
  <c r="W107" i="16"/>
  <c r="AG106" i="16"/>
  <c r="W106" i="16"/>
  <c r="AG105" i="16"/>
  <c r="W105" i="16"/>
  <c r="AG104" i="16"/>
  <c r="W104" i="16"/>
  <c r="AG103" i="16"/>
  <c r="W103" i="16"/>
  <c r="AG102" i="16"/>
  <c r="W102" i="16"/>
  <c r="AG101" i="16"/>
  <c r="W101" i="16"/>
  <c r="AG100" i="16"/>
  <c r="W100" i="16"/>
  <c r="AG99" i="16"/>
  <c r="W99" i="16"/>
  <c r="AG98" i="16"/>
  <c r="W98" i="16"/>
  <c r="AG97" i="16"/>
  <c r="W97" i="16"/>
  <c r="AG96" i="16"/>
  <c r="W96" i="16"/>
  <c r="AG95" i="16"/>
  <c r="W95" i="16"/>
  <c r="AG94" i="16"/>
  <c r="W94" i="16"/>
  <c r="AG93" i="16"/>
  <c r="W93" i="16"/>
  <c r="AG92" i="16"/>
  <c r="W92" i="16"/>
  <c r="AG91" i="16"/>
  <c r="W91" i="16"/>
  <c r="AG90" i="16"/>
  <c r="W90" i="16"/>
  <c r="AG89" i="16"/>
  <c r="W89" i="16"/>
  <c r="AG88" i="16"/>
  <c r="W88" i="16"/>
  <c r="AG87" i="16"/>
  <c r="W87" i="16"/>
  <c r="AG86" i="16"/>
  <c r="W86" i="16"/>
  <c r="AG85" i="16"/>
  <c r="W85" i="16"/>
  <c r="AG84" i="16"/>
  <c r="W84" i="16"/>
  <c r="AG83" i="16"/>
  <c r="W83" i="16"/>
  <c r="AG82" i="16"/>
  <c r="W82" i="16"/>
  <c r="AG81" i="16"/>
  <c r="W81" i="16"/>
  <c r="AG80" i="16"/>
  <c r="W80" i="16"/>
  <c r="AG79" i="16"/>
  <c r="W79" i="16"/>
  <c r="AG78" i="16"/>
  <c r="W78" i="16"/>
  <c r="AG77" i="16"/>
  <c r="W77" i="16"/>
  <c r="AG76" i="16"/>
  <c r="W76" i="16"/>
  <c r="AG75" i="16"/>
  <c r="W75" i="16"/>
  <c r="AG74" i="16"/>
  <c r="W74" i="16"/>
  <c r="AG73" i="16"/>
  <c r="W73" i="16"/>
  <c r="AG72" i="16"/>
  <c r="W72" i="16"/>
  <c r="AG71" i="16"/>
  <c r="W71" i="16"/>
  <c r="AG70" i="16"/>
  <c r="W70" i="16"/>
  <c r="AG69" i="16"/>
  <c r="W69" i="16"/>
  <c r="AG68" i="16"/>
  <c r="W68" i="16"/>
  <c r="AG67" i="16"/>
  <c r="W67" i="16"/>
  <c r="AG66" i="16"/>
  <c r="W66" i="16"/>
  <c r="AG65" i="16"/>
  <c r="W65" i="16"/>
  <c r="AG64" i="16"/>
  <c r="W64" i="16"/>
  <c r="AG63" i="16"/>
  <c r="W63" i="16"/>
  <c r="AG62" i="16"/>
  <c r="W62" i="16"/>
  <c r="AG61" i="16"/>
  <c r="W61" i="16"/>
  <c r="AG60" i="16"/>
  <c r="W60" i="16"/>
  <c r="AG59" i="16"/>
  <c r="W59" i="16"/>
  <c r="AG58" i="16"/>
  <c r="W58" i="16"/>
  <c r="AG57" i="16"/>
  <c r="W57" i="16"/>
  <c r="AG56" i="16"/>
  <c r="W56" i="16"/>
  <c r="AG55" i="16"/>
  <c r="W55" i="16"/>
  <c r="AG54" i="16"/>
  <c r="W54" i="16"/>
  <c r="AG53" i="16"/>
  <c r="W53" i="16"/>
  <c r="W52" i="16"/>
  <c r="AG51" i="16"/>
  <c r="W51" i="16"/>
  <c r="AG50" i="16"/>
  <c r="W50" i="16"/>
  <c r="AG49" i="16"/>
  <c r="W49" i="16"/>
  <c r="AG48" i="16"/>
  <c r="W48" i="16"/>
  <c r="AG47" i="16"/>
  <c r="W47" i="16"/>
  <c r="AG46" i="16"/>
  <c r="W46" i="16"/>
  <c r="AG45" i="16"/>
  <c r="W45" i="16"/>
  <c r="AG44" i="16"/>
  <c r="W44" i="16"/>
  <c r="AG43" i="16"/>
  <c r="W43" i="16"/>
  <c r="AG42" i="16"/>
  <c r="W42" i="16"/>
  <c r="AG41" i="16"/>
  <c r="W41" i="16"/>
  <c r="AG40" i="16"/>
  <c r="W40" i="16"/>
  <c r="AG39" i="16"/>
  <c r="W39" i="16"/>
  <c r="AG38" i="16"/>
  <c r="W38" i="16"/>
  <c r="AG37" i="16"/>
  <c r="W37" i="16"/>
  <c r="AG36" i="16"/>
  <c r="W36" i="16"/>
  <c r="AG35" i="16"/>
  <c r="W35" i="16"/>
  <c r="AG34" i="16"/>
  <c r="W34" i="16"/>
  <c r="AG33" i="16"/>
  <c r="W33" i="16"/>
  <c r="B33" i="16"/>
  <c r="AG32" i="16"/>
  <c r="W32" i="16"/>
  <c r="AG31" i="16"/>
  <c r="W31" i="16"/>
  <c r="AG30" i="16"/>
  <c r="W30" i="16"/>
  <c r="B30" i="16"/>
  <c r="AG29" i="16"/>
  <c r="W29" i="16"/>
  <c r="AG28" i="16"/>
  <c r="W28" i="16"/>
  <c r="AG27" i="16"/>
  <c r="W27" i="16"/>
  <c r="AG26" i="16"/>
  <c r="W26" i="16"/>
  <c r="AG25" i="16"/>
  <c r="W25" i="16"/>
  <c r="AG24" i="16"/>
  <c r="W24" i="16"/>
  <c r="AG23" i="16"/>
  <c r="W23" i="16"/>
  <c r="AG22" i="16"/>
  <c r="W22" i="16"/>
  <c r="AG21" i="16"/>
  <c r="W21" i="16"/>
  <c r="AG20" i="16"/>
  <c r="W20" i="16"/>
  <c r="AG19" i="16"/>
  <c r="W19" i="16"/>
  <c r="AG18" i="16"/>
  <c r="W18" i="16"/>
  <c r="AG17" i="16"/>
  <c r="W17" i="16"/>
  <c r="B20" i="16" s="1"/>
  <c r="AG16" i="16"/>
  <c r="W16" i="16"/>
  <c r="AG15" i="16"/>
  <c r="W15" i="16"/>
  <c r="AG14" i="16"/>
  <c r="W14" i="16"/>
  <c r="AQ13" i="16"/>
  <c r="AG13" i="16"/>
  <c r="W13" i="16"/>
  <c r="B13" i="16"/>
  <c r="AQ12" i="16"/>
  <c r="AG12" i="16"/>
  <c r="W12" i="16"/>
  <c r="B12" i="16"/>
  <c r="AQ11" i="16"/>
  <c r="AG11" i="16"/>
  <c r="W11" i="16"/>
  <c r="B11" i="16"/>
  <c r="AQ10" i="16"/>
  <c r="AG10" i="16"/>
  <c r="W10" i="16"/>
  <c r="B10" i="16"/>
  <c r="AQ9" i="16"/>
  <c r="AG9" i="16"/>
  <c r="W9" i="16"/>
  <c r="B9" i="16"/>
  <c r="AQ8" i="16"/>
  <c r="AG8" i="16"/>
  <c r="W8" i="16"/>
  <c r="B8" i="16"/>
  <c r="AQ7" i="16"/>
  <c r="AG7" i="16"/>
  <c r="W7" i="16"/>
  <c r="B7" i="16"/>
  <c r="AQ6" i="16"/>
  <c r="AG6" i="16"/>
  <c r="W6" i="16"/>
  <c r="B6" i="16"/>
  <c r="AQ5" i="16"/>
  <c r="AG5" i="16"/>
  <c r="W5" i="16"/>
  <c r="B5" i="16"/>
  <c r="AQ4" i="16"/>
  <c r="AG4" i="16"/>
  <c r="W4" i="16"/>
  <c r="B4" i="16"/>
  <c r="AQ3" i="16"/>
  <c r="AG3" i="16"/>
  <c r="W3" i="16"/>
  <c r="B3" i="16"/>
  <c r="D282" i="15"/>
  <c r="D281" i="15"/>
  <c r="D280" i="15"/>
  <c r="D279" i="15"/>
  <c r="D278" i="15"/>
  <c r="D277" i="15"/>
  <c r="D276" i="15"/>
  <c r="D275" i="15"/>
  <c r="D274" i="15"/>
  <c r="D273" i="15"/>
  <c r="D272" i="15"/>
  <c r="D271" i="15"/>
  <c r="D270" i="15"/>
  <c r="D269" i="15"/>
  <c r="D268" i="15"/>
  <c r="D267" i="15"/>
  <c r="D266" i="15"/>
  <c r="D265" i="15"/>
  <c r="D264" i="15"/>
  <c r="D263" i="15"/>
  <c r="D262" i="15"/>
  <c r="D261" i="15"/>
  <c r="D260" i="15"/>
  <c r="D259" i="15"/>
  <c r="D258" i="15"/>
  <c r="D257" i="15"/>
  <c r="D256" i="15"/>
  <c r="D255" i="15"/>
  <c r="D254" i="15"/>
  <c r="D253" i="15"/>
  <c r="D252" i="15"/>
  <c r="D251" i="15"/>
  <c r="D250" i="15"/>
  <c r="D249" i="15"/>
  <c r="D248" i="15"/>
  <c r="D247" i="15"/>
  <c r="D246" i="15"/>
  <c r="D245" i="15"/>
  <c r="D244" i="15"/>
  <c r="D243" i="15"/>
  <c r="D242" i="15"/>
  <c r="D241" i="15"/>
  <c r="D240" i="15"/>
  <c r="D239" i="15"/>
  <c r="D238" i="15"/>
  <c r="D237" i="15"/>
  <c r="D236" i="15"/>
  <c r="D235" i="15"/>
  <c r="D234" i="15"/>
  <c r="D233" i="15"/>
  <c r="D232" i="15"/>
  <c r="D231" i="15"/>
  <c r="D230" i="15"/>
  <c r="D229" i="15"/>
  <c r="D228" i="15"/>
  <c r="D227" i="15"/>
  <c r="D226" i="15"/>
  <c r="D225" i="15"/>
  <c r="D224" i="15"/>
  <c r="D223" i="15"/>
  <c r="D222" i="15"/>
  <c r="D221" i="15"/>
  <c r="D220" i="15"/>
  <c r="D219" i="15"/>
  <c r="D218" i="15"/>
  <c r="D217" i="15"/>
  <c r="D216" i="15"/>
  <c r="D215" i="15"/>
  <c r="D214" i="15"/>
  <c r="D213" i="15"/>
  <c r="D212" i="15"/>
  <c r="D211" i="15"/>
  <c r="D210" i="15"/>
  <c r="D209" i="15"/>
  <c r="D208" i="15"/>
  <c r="D207" i="15"/>
  <c r="D206" i="15"/>
  <c r="D205" i="15"/>
  <c r="D204" i="15"/>
  <c r="D203" i="15"/>
  <c r="D202" i="15"/>
  <c r="D201" i="15"/>
  <c r="D200" i="15"/>
  <c r="D199" i="15"/>
  <c r="D198" i="15"/>
  <c r="D197" i="15"/>
  <c r="D196" i="15"/>
  <c r="D195" i="15"/>
  <c r="D194" i="15"/>
  <c r="D193" i="15"/>
  <c r="D192" i="15"/>
  <c r="D191" i="15"/>
  <c r="D190" i="15"/>
  <c r="D189" i="15"/>
  <c r="D188" i="15"/>
  <c r="D187" i="15"/>
  <c r="D186" i="15"/>
  <c r="D185" i="15"/>
  <c r="D184" i="15"/>
  <c r="D183" i="15"/>
  <c r="D182" i="15"/>
  <c r="D181" i="15"/>
  <c r="D180" i="15"/>
  <c r="D179" i="15"/>
  <c r="D178" i="15"/>
  <c r="D177" i="15"/>
  <c r="D176" i="15"/>
  <c r="D175" i="15"/>
  <c r="D174" i="15"/>
  <c r="D173" i="15"/>
  <c r="D172" i="15"/>
  <c r="D171" i="15"/>
  <c r="D170" i="15"/>
  <c r="D169" i="15"/>
  <c r="D168" i="15"/>
  <c r="D167" i="15"/>
  <c r="D166" i="15"/>
  <c r="D165" i="15"/>
  <c r="D164" i="15"/>
  <c r="D163" i="15"/>
  <c r="D162" i="15"/>
  <c r="D161" i="15"/>
  <c r="D160" i="15"/>
  <c r="D159" i="15"/>
  <c r="D158" i="15"/>
  <c r="D157" i="15"/>
  <c r="D156" i="15"/>
  <c r="D155" i="15"/>
  <c r="D154" i="15"/>
  <c r="D153" i="15"/>
  <c r="D152" i="15"/>
  <c r="D151" i="15"/>
  <c r="D150" i="15"/>
  <c r="D149" i="15"/>
  <c r="D148" i="15"/>
  <c r="D147" i="15"/>
  <c r="D146" i="15"/>
  <c r="D145" i="15"/>
  <c r="D144" i="15"/>
  <c r="D143" i="15"/>
  <c r="D142" i="15"/>
  <c r="D141" i="15"/>
  <c r="D140" i="15"/>
  <c r="D139" i="15"/>
  <c r="D138" i="15"/>
  <c r="D137" i="15"/>
  <c r="D136" i="15"/>
  <c r="D135" i="15"/>
  <c r="D134" i="15"/>
  <c r="D133" i="15"/>
  <c r="D132" i="15"/>
  <c r="D131" i="15"/>
  <c r="D130" i="15"/>
  <c r="D129" i="15"/>
  <c r="D128" i="15"/>
  <c r="D127" i="15"/>
  <c r="D126" i="15"/>
  <c r="D125" i="15"/>
  <c r="D124" i="15"/>
  <c r="D123" i="15"/>
  <c r="D122" i="15"/>
  <c r="D121" i="15"/>
  <c r="D120" i="15"/>
  <c r="D119" i="15"/>
  <c r="D118" i="15"/>
  <c r="D117" i="15"/>
  <c r="D116" i="15"/>
  <c r="D115" i="15"/>
  <c r="D114" i="15"/>
  <c r="D113" i="15"/>
  <c r="D112" i="15"/>
  <c r="D111" i="15"/>
  <c r="D110" i="15"/>
  <c r="D109" i="15"/>
  <c r="D108" i="15"/>
  <c r="D107" i="15"/>
  <c r="D106" i="15"/>
  <c r="D105" i="15"/>
  <c r="D104" i="15"/>
  <c r="D103" i="15"/>
  <c r="D102" i="15"/>
  <c r="D101" i="15"/>
  <c r="D100" i="15"/>
  <c r="D99" i="15"/>
  <c r="D98" i="15"/>
  <c r="D97" i="15"/>
  <c r="D96" i="15"/>
  <c r="D95" i="15"/>
  <c r="D94" i="15"/>
  <c r="D93" i="15"/>
  <c r="D92" i="15"/>
  <c r="D91" i="15"/>
  <c r="D90" i="15"/>
  <c r="D89" i="15"/>
  <c r="D88" i="15"/>
  <c r="D87" i="15"/>
  <c r="D86" i="15"/>
  <c r="D85" i="15"/>
  <c r="D84" i="15"/>
  <c r="D83" i="15"/>
  <c r="D82" i="15"/>
  <c r="D81" i="15"/>
  <c r="D80" i="15"/>
  <c r="D79" i="15"/>
  <c r="D78" i="15"/>
  <c r="D77" i="15"/>
  <c r="D76" i="15"/>
  <c r="D75" i="15"/>
  <c r="D74" i="15"/>
  <c r="D73" i="15"/>
  <c r="D72" i="15"/>
  <c r="D71" i="15"/>
  <c r="D70" i="15"/>
  <c r="D69" i="15"/>
  <c r="D68" i="15"/>
  <c r="D67" i="15"/>
  <c r="D66" i="15"/>
  <c r="D65" i="15"/>
  <c r="D64" i="15"/>
  <c r="D63" i="15"/>
  <c r="D62" i="15"/>
  <c r="D61" i="15"/>
  <c r="D60"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D4" i="15"/>
  <c r="D3" i="15"/>
  <c r="D2" i="15"/>
  <c r="AA310" i="13"/>
  <c r="Z310" i="13" s="1"/>
  <c r="W310" i="13"/>
  <c r="V310" i="13"/>
  <c r="Y310" i="13" s="1"/>
  <c r="U310" i="13"/>
  <c r="AA309" i="13"/>
  <c r="Z309" i="13" s="1"/>
  <c r="W309" i="13"/>
  <c r="V309" i="13"/>
  <c r="Y309" i="13" s="1"/>
  <c r="U309" i="13"/>
  <c r="AA308" i="13"/>
  <c r="Z308" i="13" s="1"/>
  <c r="Y308" i="13"/>
  <c r="W308" i="13"/>
  <c r="V308" i="13"/>
  <c r="U308" i="13"/>
  <c r="AA307" i="13"/>
  <c r="Z307" i="13" s="1"/>
  <c r="W307" i="13"/>
  <c r="V307" i="13"/>
  <c r="Y307" i="13" s="1"/>
  <c r="U307" i="13"/>
  <c r="AA306" i="13"/>
  <c r="Z306" i="13" s="1"/>
  <c r="Y306" i="13"/>
  <c r="W306" i="13"/>
  <c r="V306" i="13"/>
  <c r="U306" i="13"/>
  <c r="AA305" i="13"/>
  <c r="Z305" i="13" s="1"/>
  <c r="W305" i="13"/>
  <c r="V305" i="13"/>
  <c r="Y305" i="13" s="1"/>
  <c r="U305" i="13"/>
  <c r="AA304" i="13"/>
  <c r="Z304" i="13" s="1"/>
  <c r="W304" i="13"/>
  <c r="V304" i="13"/>
  <c r="Y304" i="13" s="1"/>
  <c r="U304" i="13"/>
  <c r="AA303" i="13"/>
  <c r="Z303" i="13" s="1"/>
  <c r="Y303" i="13"/>
  <c r="W303" i="13"/>
  <c r="V303" i="13"/>
  <c r="U303" i="13"/>
  <c r="AA302" i="13"/>
  <c r="Z302" i="13" s="1"/>
  <c r="W302" i="13"/>
  <c r="V302" i="13"/>
  <c r="Y302" i="13" s="1"/>
  <c r="U302" i="13"/>
  <c r="AA301" i="13"/>
  <c r="Z301" i="13" s="1"/>
  <c r="Y301" i="13"/>
  <c r="W301" i="13"/>
  <c r="V301" i="13"/>
  <c r="U301" i="13"/>
  <c r="AA300" i="13"/>
  <c r="Z300" i="13" s="1"/>
  <c r="Y300" i="13"/>
  <c r="W300" i="13"/>
  <c r="V300" i="13"/>
  <c r="U300" i="13"/>
  <c r="AA299" i="13"/>
  <c r="Z299" i="13" s="1"/>
  <c r="Y299" i="13"/>
  <c r="W299" i="13"/>
  <c r="V299" i="13"/>
  <c r="U299" i="13"/>
  <c r="AA298" i="13"/>
  <c r="Z298" i="13" s="1"/>
  <c r="Y298" i="13"/>
  <c r="W298" i="13"/>
  <c r="V298" i="13"/>
  <c r="U298" i="13"/>
  <c r="AA297" i="13"/>
  <c r="Z297" i="13" s="1"/>
  <c r="Y297" i="13"/>
  <c r="W297" i="13"/>
  <c r="V297" i="13"/>
  <c r="U297" i="13"/>
  <c r="AA296" i="13"/>
  <c r="Z296" i="13" s="1"/>
  <c r="W296" i="13"/>
  <c r="V296" i="13"/>
  <c r="Y296" i="13" s="1"/>
  <c r="U296" i="13"/>
  <c r="AA295" i="13"/>
  <c r="Z295" i="13" s="1"/>
  <c r="W295" i="13"/>
  <c r="V295" i="13"/>
  <c r="Y295" i="13" s="1"/>
  <c r="U295" i="13"/>
  <c r="AA294" i="13"/>
  <c r="Z294" i="13" s="1"/>
  <c r="W294" i="13"/>
  <c r="V294" i="13"/>
  <c r="Y294" i="13" s="1"/>
  <c r="U294" i="13"/>
  <c r="AA293" i="13"/>
  <c r="Z293" i="13" s="1"/>
  <c r="W293" i="13"/>
  <c r="V293" i="13"/>
  <c r="Y293" i="13" s="1"/>
  <c r="U293" i="13"/>
  <c r="AA292" i="13"/>
  <c r="Z292" i="13" s="1"/>
  <c r="Y292" i="13"/>
  <c r="W292" i="13"/>
  <c r="V292" i="13"/>
  <c r="U292" i="13"/>
  <c r="AA291" i="13"/>
  <c r="Z291" i="13" s="1"/>
  <c r="W291" i="13"/>
  <c r="V291" i="13"/>
  <c r="Y291" i="13" s="1"/>
  <c r="U291" i="13"/>
  <c r="AA290" i="13"/>
  <c r="Z290" i="13" s="1"/>
  <c r="Y290" i="13"/>
  <c r="W290" i="13"/>
  <c r="V290" i="13"/>
  <c r="U290" i="13"/>
  <c r="AA289" i="13"/>
  <c r="Z289" i="13" s="1"/>
  <c r="W289" i="13"/>
  <c r="V289" i="13"/>
  <c r="Y289" i="13" s="1"/>
  <c r="U289" i="13"/>
  <c r="AA288" i="13"/>
  <c r="Z288" i="13" s="1"/>
  <c r="W288" i="13"/>
  <c r="V288" i="13"/>
  <c r="Y288" i="13" s="1"/>
  <c r="U288" i="13"/>
  <c r="AA287" i="13"/>
  <c r="Z287" i="13" s="1"/>
  <c r="Y287" i="13"/>
  <c r="W287" i="13"/>
  <c r="V287" i="13"/>
  <c r="U287" i="13"/>
  <c r="AA286" i="13"/>
  <c r="Z286" i="13" s="1"/>
  <c r="W286" i="13"/>
  <c r="V286" i="13"/>
  <c r="Y286" i="13" s="1"/>
  <c r="U286" i="13"/>
  <c r="AA285" i="13"/>
  <c r="Z285" i="13" s="1"/>
  <c r="Y285" i="13"/>
  <c r="W285" i="13"/>
  <c r="V285" i="13"/>
  <c r="U285" i="13"/>
  <c r="AA284" i="13"/>
  <c r="Z284" i="13" s="1"/>
  <c r="Y284" i="13"/>
  <c r="W284" i="13"/>
  <c r="V284" i="13"/>
  <c r="U284" i="13"/>
  <c r="AA283" i="13"/>
  <c r="Z283" i="13" s="1"/>
  <c r="Y283" i="13"/>
  <c r="W283" i="13"/>
  <c r="V283" i="13"/>
  <c r="U283" i="13"/>
  <c r="AA282" i="13"/>
  <c r="Z282" i="13" s="1"/>
  <c r="Y282" i="13"/>
  <c r="W282" i="13"/>
  <c r="V282" i="13"/>
  <c r="U282" i="13"/>
  <c r="AA281" i="13"/>
  <c r="Z281" i="13" s="1"/>
  <c r="Y281" i="13"/>
  <c r="W281" i="13"/>
  <c r="V281" i="13"/>
  <c r="U281" i="13"/>
  <c r="AA280" i="13"/>
  <c r="Z280" i="13" s="1"/>
  <c r="W280" i="13"/>
  <c r="V280" i="13"/>
  <c r="Y280" i="13" s="1"/>
  <c r="U280" i="13"/>
  <c r="AA279" i="13"/>
  <c r="Z279" i="13" s="1"/>
  <c r="W279" i="13"/>
  <c r="V279" i="13"/>
  <c r="Y279" i="13" s="1"/>
  <c r="U279" i="13"/>
  <c r="AA278" i="13"/>
  <c r="Z278" i="13" s="1"/>
  <c r="W278" i="13"/>
  <c r="V278" i="13"/>
  <c r="Y278" i="13" s="1"/>
  <c r="U278" i="13"/>
  <c r="AA277" i="13"/>
  <c r="Z277" i="13" s="1"/>
  <c r="W277" i="13"/>
  <c r="V277" i="13"/>
  <c r="Y277" i="13" s="1"/>
  <c r="U277" i="13"/>
  <c r="AA276" i="13"/>
  <c r="Z276" i="13" s="1"/>
  <c r="Y276" i="13"/>
  <c r="W276" i="13"/>
  <c r="V276" i="13"/>
  <c r="U276" i="13"/>
  <c r="AA275" i="13"/>
  <c r="Z275" i="13" s="1"/>
  <c r="W275" i="13"/>
  <c r="V275" i="13"/>
  <c r="Y275" i="13" s="1"/>
  <c r="U275" i="13"/>
  <c r="AA274" i="13"/>
  <c r="Z274" i="13" s="1"/>
  <c r="Y274" i="13"/>
  <c r="W274" i="13"/>
  <c r="V274" i="13"/>
  <c r="U274" i="13"/>
  <c r="AA273" i="13"/>
  <c r="Z273" i="13" s="1"/>
  <c r="W273" i="13"/>
  <c r="V273" i="13"/>
  <c r="Y273" i="13" s="1"/>
  <c r="U273" i="13"/>
  <c r="AA272" i="13"/>
  <c r="Z272" i="13" s="1"/>
  <c r="W272" i="13"/>
  <c r="V272" i="13"/>
  <c r="Y272" i="13" s="1"/>
  <c r="U272" i="13"/>
  <c r="AA271" i="13"/>
  <c r="Z271" i="13" s="1"/>
  <c r="Y271" i="13"/>
  <c r="W271" i="13"/>
  <c r="V271" i="13"/>
  <c r="U271" i="13"/>
  <c r="AA270" i="13"/>
  <c r="Z270" i="13" s="1"/>
  <c r="W270" i="13"/>
  <c r="V270" i="13"/>
  <c r="Y270" i="13" s="1"/>
  <c r="U270" i="13"/>
  <c r="AA269" i="13"/>
  <c r="Z269" i="13" s="1"/>
  <c r="Y269" i="13"/>
  <c r="W269" i="13"/>
  <c r="V269" i="13"/>
  <c r="U269" i="13"/>
  <c r="AA268" i="13"/>
  <c r="Z268" i="13" s="1"/>
  <c r="Y268" i="13"/>
  <c r="W268" i="13"/>
  <c r="V268" i="13"/>
  <c r="U268" i="13"/>
  <c r="AA267" i="13"/>
  <c r="Z267" i="13" s="1"/>
  <c r="Y267" i="13"/>
  <c r="W267" i="13"/>
  <c r="V267" i="13"/>
  <c r="U267" i="13"/>
  <c r="AA266" i="13"/>
  <c r="Z266" i="13" s="1"/>
  <c r="Y266" i="13"/>
  <c r="W266" i="13"/>
  <c r="V266" i="13"/>
  <c r="U266" i="13"/>
  <c r="AA265" i="13"/>
  <c r="Z265" i="13" s="1"/>
  <c r="Y265" i="13"/>
  <c r="W265" i="13"/>
  <c r="V265" i="13"/>
  <c r="U265" i="13"/>
  <c r="AA264" i="13"/>
  <c r="Z264" i="13" s="1"/>
  <c r="W264" i="13"/>
  <c r="V264" i="13"/>
  <c r="Y264" i="13" s="1"/>
  <c r="U264" i="13"/>
  <c r="AA263" i="13"/>
  <c r="Z263" i="13" s="1"/>
  <c r="W263" i="13"/>
  <c r="V263" i="13"/>
  <c r="Y263" i="13" s="1"/>
  <c r="U263" i="13"/>
  <c r="AA262" i="13"/>
  <c r="Z262" i="13" s="1"/>
  <c r="W262" i="13"/>
  <c r="V262" i="13"/>
  <c r="Y262" i="13" s="1"/>
  <c r="U262" i="13"/>
  <c r="AA261" i="13"/>
  <c r="Z261" i="13" s="1"/>
  <c r="W261" i="13"/>
  <c r="V261" i="13"/>
  <c r="Y261" i="13" s="1"/>
  <c r="U261" i="13"/>
  <c r="AA260" i="13"/>
  <c r="Z260" i="13" s="1"/>
  <c r="Y260" i="13"/>
  <c r="W260" i="13"/>
  <c r="V260" i="13"/>
  <c r="U260" i="13"/>
  <c r="AA259" i="13"/>
  <c r="Z259" i="13" s="1"/>
  <c r="W259" i="13"/>
  <c r="V259" i="13"/>
  <c r="Y259" i="13" s="1"/>
  <c r="U259" i="13"/>
  <c r="AA258" i="13"/>
  <c r="Z258" i="13" s="1"/>
  <c r="Y258" i="13"/>
  <c r="W258" i="13"/>
  <c r="V258" i="13"/>
  <c r="U258" i="13"/>
  <c r="AA257" i="13"/>
  <c r="Z257" i="13" s="1"/>
  <c r="W257" i="13"/>
  <c r="V257" i="13"/>
  <c r="Y257" i="13" s="1"/>
  <c r="U257" i="13"/>
  <c r="AA256" i="13"/>
  <c r="Z256" i="13" s="1"/>
  <c r="W256" i="13"/>
  <c r="V256" i="13"/>
  <c r="Y256" i="13" s="1"/>
  <c r="U256" i="13"/>
  <c r="AA255" i="13"/>
  <c r="Z255" i="13" s="1"/>
  <c r="Y255" i="13"/>
  <c r="W255" i="13"/>
  <c r="V255" i="13"/>
  <c r="U255" i="13"/>
  <c r="AA254" i="13"/>
  <c r="Z254" i="13" s="1"/>
  <c r="W254" i="13"/>
  <c r="V254" i="13"/>
  <c r="Y254" i="13" s="1"/>
  <c r="U254" i="13"/>
  <c r="AA253" i="13"/>
  <c r="Z253" i="13" s="1"/>
  <c r="Y253" i="13"/>
  <c r="W253" i="13"/>
  <c r="V253" i="13"/>
  <c r="U253" i="13"/>
  <c r="AA252" i="13"/>
  <c r="Z252" i="13" s="1"/>
  <c r="Y252" i="13"/>
  <c r="W252" i="13"/>
  <c r="V252" i="13"/>
  <c r="U252" i="13"/>
  <c r="AA251" i="13"/>
  <c r="Z251" i="13" s="1"/>
  <c r="Y251" i="13"/>
  <c r="W251" i="13"/>
  <c r="V251" i="13"/>
  <c r="U251" i="13"/>
  <c r="AA250" i="13"/>
  <c r="Z250" i="13" s="1"/>
  <c r="Y250" i="13"/>
  <c r="W250" i="13"/>
  <c r="V250" i="13"/>
  <c r="U250" i="13"/>
  <c r="AA249" i="13"/>
  <c r="Z249" i="13" s="1"/>
  <c r="Y249" i="13"/>
  <c r="W249" i="13"/>
  <c r="V249" i="13"/>
  <c r="U249" i="13"/>
  <c r="AA248" i="13"/>
  <c r="Z248" i="13" s="1"/>
  <c r="W248" i="13"/>
  <c r="V248" i="13"/>
  <c r="Y248" i="13" s="1"/>
  <c r="U248" i="13"/>
  <c r="AA247" i="13"/>
  <c r="Z247" i="13" s="1"/>
  <c r="W247" i="13"/>
  <c r="V247" i="13"/>
  <c r="Y247" i="13" s="1"/>
  <c r="U247" i="13"/>
  <c r="AA246" i="13"/>
  <c r="Z246" i="13" s="1"/>
  <c r="W246" i="13"/>
  <c r="V246" i="13"/>
  <c r="Y246" i="13" s="1"/>
  <c r="U246" i="13"/>
  <c r="AA245" i="13"/>
  <c r="Z245" i="13" s="1"/>
  <c r="W245" i="13"/>
  <c r="V245" i="13"/>
  <c r="Y245" i="13" s="1"/>
  <c r="U245" i="13"/>
  <c r="AA244" i="13"/>
  <c r="Z244" i="13" s="1"/>
  <c r="Y244" i="13"/>
  <c r="W244" i="13"/>
  <c r="V244" i="13"/>
  <c r="U244" i="13"/>
  <c r="AA243" i="13"/>
  <c r="Z243" i="13" s="1"/>
  <c r="W243" i="13"/>
  <c r="V243" i="13"/>
  <c r="Y243" i="13" s="1"/>
  <c r="U243" i="13"/>
  <c r="AA242" i="13"/>
  <c r="Z242" i="13" s="1"/>
  <c r="Y242" i="13"/>
  <c r="W242" i="13"/>
  <c r="V242" i="13"/>
  <c r="U242" i="13"/>
  <c r="AA241" i="13"/>
  <c r="Z241" i="13" s="1"/>
  <c r="W241" i="13"/>
  <c r="V241" i="13"/>
  <c r="Y241" i="13" s="1"/>
  <c r="U241" i="13"/>
  <c r="AA240" i="13"/>
  <c r="Z240" i="13" s="1"/>
  <c r="W240" i="13"/>
  <c r="V240" i="13"/>
  <c r="Y240" i="13" s="1"/>
  <c r="U240" i="13"/>
  <c r="AA239" i="13"/>
  <c r="Z239" i="13" s="1"/>
  <c r="Y239" i="13"/>
  <c r="W239" i="13"/>
  <c r="V239" i="13"/>
  <c r="U239" i="13"/>
  <c r="AA238" i="13"/>
  <c r="Z238" i="13" s="1"/>
  <c r="W238" i="13"/>
  <c r="V238" i="13"/>
  <c r="Y238" i="13" s="1"/>
  <c r="U238" i="13"/>
  <c r="AA237" i="13"/>
  <c r="Z237" i="13" s="1"/>
  <c r="Y237" i="13"/>
  <c r="W237" i="13"/>
  <c r="V237" i="13"/>
  <c r="U237" i="13"/>
  <c r="AA236" i="13"/>
  <c r="Z236" i="13" s="1"/>
  <c r="Y236" i="13"/>
  <c r="W236" i="13"/>
  <c r="V236" i="13"/>
  <c r="U236" i="13"/>
  <c r="AA235" i="13"/>
  <c r="Z235" i="13" s="1"/>
  <c r="Y235" i="13"/>
  <c r="W235" i="13"/>
  <c r="V235" i="13"/>
  <c r="U235" i="13"/>
  <c r="AA234" i="13"/>
  <c r="Z234" i="13" s="1"/>
  <c r="Y234" i="13"/>
  <c r="W234" i="13"/>
  <c r="V234" i="13"/>
  <c r="U234" i="13"/>
  <c r="AA233" i="13"/>
  <c r="Z233" i="13" s="1"/>
  <c r="Y233" i="13"/>
  <c r="W233" i="13"/>
  <c r="V233" i="13"/>
  <c r="U233" i="13"/>
  <c r="AA232" i="13"/>
  <c r="Z232" i="13" s="1"/>
  <c r="W232" i="13"/>
  <c r="V232" i="13"/>
  <c r="Y232" i="13" s="1"/>
  <c r="U232" i="13"/>
  <c r="AA231" i="13"/>
  <c r="Z231" i="13" s="1"/>
  <c r="W231" i="13"/>
  <c r="V231" i="13"/>
  <c r="Y231" i="13" s="1"/>
  <c r="U231" i="13"/>
  <c r="AA230" i="13"/>
  <c r="Z230" i="13" s="1"/>
  <c r="W230" i="13"/>
  <c r="V230" i="13"/>
  <c r="Y230" i="13" s="1"/>
  <c r="U230" i="13"/>
  <c r="AA229" i="13"/>
  <c r="Z229" i="13" s="1"/>
  <c r="W229" i="13"/>
  <c r="V229" i="13"/>
  <c r="Y229" i="13" s="1"/>
  <c r="U229" i="13"/>
  <c r="AA228" i="13"/>
  <c r="Z228" i="13" s="1"/>
  <c r="Y228" i="13"/>
  <c r="W228" i="13"/>
  <c r="V228" i="13"/>
  <c r="U228" i="13"/>
  <c r="AA227" i="13"/>
  <c r="Z227" i="13" s="1"/>
  <c r="W227" i="13"/>
  <c r="V227" i="13"/>
  <c r="Y227" i="13" s="1"/>
  <c r="U227" i="13"/>
  <c r="AA226" i="13"/>
  <c r="Z226" i="13" s="1"/>
  <c r="Y226" i="13"/>
  <c r="W226" i="13"/>
  <c r="V226" i="13"/>
  <c r="U226" i="13"/>
  <c r="AA225" i="13"/>
  <c r="Z225" i="13" s="1"/>
  <c r="W225" i="13"/>
  <c r="V225" i="13"/>
  <c r="Y225" i="13" s="1"/>
  <c r="U225" i="13"/>
  <c r="AA224" i="13"/>
  <c r="Z224" i="13" s="1"/>
  <c r="W224" i="13"/>
  <c r="V224" i="13"/>
  <c r="Y224" i="13" s="1"/>
  <c r="U224" i="13"/>
  <c r="AA223" i="13"/>
  <c r="Z223" i="13" s="1"/>
  <c r="Y223" i="13"/>
  <c r="W223" i="13"/>
  <c r="V223" i="13"/>
  <c r="U223" i="13"/>
  <c r="AA222" i="13"/>
  <c r="Z222" i="13" s="1"/>
  <c r="W222" i="13"/>
  <c r="V222" i="13"/>
  <c r="Y222" i="13" s="1"/>
  <c r="U222" i="13"/>
  <c r="AA221" i="13"/>
  <c r="Z221" i="13" s="1"/>
  <c r="Y221" i="13"/>
  <c r="W221" i="13"/>
  <c r="V221" i="13"/>
  <c r="U221" i="13"/>
  <c r="AA220" i="13"/>
  <c r="Z220" i="13" s="1"/>
  <c r="Y220" i="13"/>
  <c r="W220" i="13"/>
  <c r="V220" i="13"/>
  <c r="U220" i="13"/>
  <c r="AA219" i="13"/>
  <c r="Z219" i="13" s="1"/>
  <c r="Y219" i="13"/>
  <c r="W219" i="13"/>
  <c r="V219" i="13"/>
  <c r="U219" i="13"/>
  <c r="AA218" i="13"/>
  <c r="Z218" i="13" s="1"/>
  <c r="Y218" i="13"/>
  <c r="W218" i="13"/>
  <c r="V218" i="13"/>
  <c r="U218" i="13"/>
  <c r="AA217" i="13"/>
  <c r="Z217" i="13" s="1"/>
  <c r="Y217" i="13"/>
  <c r="W217" i="13"/>
  <c r="V217" i="13"/>
  <c r="U217" i="13"/>
  <c r="AA216" i="13"/>
  <c r="Z216" i="13" s="1"/>
  <c r="W216" i="13"/>
  <c r="V216" i="13"/>
  <c r="Y216" i="13" s="1"/>
  <c r="U216" i="13"/>
  <c r="AA215" i="13"/>
  <c r="Z215" i="13" s="1"/>
  <c r="W215" i="13"/>
  <c r="V215" i="13"/>
  <c r="Y215" i="13" s="1"/>
  <c r="U215" i="13"/>
  <c r="AA214" i="13"/>
  <c r="Z214" i="13" s="1"/>
  <c r="W214" i="13"/>
  <c r="V214" i="13"/>
  <c r="Y214" i="13" s="1"/>
  <c r="U214" i="13"/>
  <c r="AA213" i="13"/>
  <c r="Z213" i="13" s="1"/>
  <c r="W213" i="13"/>
  <c r="V213" i="13"/>
  <c r="Y213" i="13" s="1"/>
  <c r="U213" i="13"/>
  <c r="AA212" i="13"/>
  <c r="Z212" i="13" s="1"/>
  <c r="Y212" i="13"/>
  <c r="W212" i="13"/>
  <c r="V212" i="13"/>
  <c r="U212" i="13"/>
  <c r="AA211" i="13"/>
  <c r="Z211" i="13" s="1"/>
  <c r="W211" i="13"/>
  <c r="V211" i="13"/>
  <c r="Y211" i="13" s="1"/>
  <c r="U211" i="13"/>
  <c r="AA210" i="13"/>
  <c r="Z210" i="13" s="1"/>
  <c r="Y210" i="13"/>
  <c r="W210" i="13"/>
  <c r="V210" i="13"/>
  <c r="U210" i="13"/>
  <c r="AA209" i="13"/>
  <c r="Z209" i="13" s="1"/>
  <c r="W209" i="13"/>
  <c r="V209" i="13"/>
  <c r="Y209" i="13" s="1"/>
  <c r="U209" i="13"/>
  <c r="AA208" i="13"/>
  <c r="Z208" i="13" s="1"/>
  <c r="W208" i="13"/>
  <c r="V208" i="13"/>
  <c r="Y208" i="13" s="1"/>
  <c r="U208" i="13"/>
  <c r="AA207" i="13"/>
  <c r="Z207" i="13" s="1"/>
  <c r="Y207" i="13"/>
  <c r="W207" i="13"/>
  <c r="V207" i="13"/>
  <c r="U207" i="13"/>
  <c r="AA206" i="13"/>
  <c r="Z206" i="13" s="1"/>
  <c r="W206" i="13"/>
  <c r="V206" i="13"/>
  <c r="Y206" i="13" s="1"/>
  <c r="U206" i="13"/>
  <c r="AA205" i="13"/>
  <c r="Z205" i="13" s="1"/>
  <c r="Y205" i="13"/>
  <c r="W205" i="13"/>
  <c r="V205" i="13"/>
  <c r="U205" i="13"/>
  <c r="AA204" i="13"/>
  <c r="W204" i="13"/>
  <c r="V204" i="13"/>
  <c r="Y204" i="13" s="1"/>
  <c r="U204" i="13"/>
  <c r="AA203" i="13"/>
  <c r="Y203" i="13"/>
  <c r="W203" i="13"/>
  <c r="V203" i="13"/>
  <c r="U203" i="13"/>
  <c r="AA202" i="13"/>
  <c r="Z202" i="13" s="1"/>
  <c r="W202" i="13"/>
  <c r="V202" i="13"/>
  <c r="Y202" i="13" s="1"/>
  <c r="U202" i="13"/>
  <c r="AA201" i="13"/>
  <c r="Z201" i="13" s="1"/>
  <c r="W201" i="13"/>
  <c r="V201" i="13"/>
  <c r="Y201" i="13" s="1"/>
  <c r="U201" i="13"/>
  <c r="AA200" i="13"/>
  <c r="Z200" i="13" s="1"/>
  <c r="W200" i="13"/>
  <c r="V200" i="13"/>
  <c r="Y200" i="13" s="1"/>
  <c r="U200" i="13"/>
  <c r="AA199" i="13"/>
  <c r="Z199" i="13" s="1"/>
  <c r="W199" i="13"/>
  <c r="V199" i="13"/>
  <c r="Y199" i="13" s="1"/>
  <c r="U199" i="13"/>
  <c r="AA198" i="13"/>
  <c r="Z198" i="13" s="1"/>
  <c r="Y198" i="13"/>
  <c r="W198" i="13"/>
  <c r="V198" i="13"/>
  <c r="U198" i="13"/>
  <c r="AA197" i="13"/>
  <c r="Z197" i="13" s="1"/>
  <c r="W197" i="13"/>
  <c r="V197" i="13"/>
  <c r="Y197" i="13" s="1"/>
  <c r="U197" i="13"/>
  <c r="AA196" i="13"/>
  <c r="Z196" i="13" s="1"/>
  <c r="Y196" i="13"/>
  <c r="W196" i="13"/>
  <c r="V196" i="13"/>
  <c r="U196" i="13"/>
  <c r="AA195" i="13"/>
  <c r="Z195" i="13" s="1"/>
  <c r="W195" i="13"/>
  <c r="V195" i="13"/>
  <c r="Y195" i="13" s="1"/>
  <c r="U195" i="13"/>
  <c r="AA194" i="13"/>
  <c r="Z194" i="13" s="1"/>
  <c r="W194" i="13"/>
  <c r="V194" i="13"/>
  <c r="Y194" i="13" s="1"/>
  <c r="U194" i="13"/>
  <c r="AA193" i="13"/>
  <c r="Z193" i="13" s="1"/>
  <c r="Y193" i="13"/>
  <c r="W193" i="13"/>
  <c r="V193" i="13"/>
  <c r="U193" i="13"/>
  <c r="AA192" i="13"/>
  <c r="Z192" i="13" s="1"/>
  <c r="W192" i="13"/>
  <c r="V192" i="13"/>
  <c r="Y192" i="13" s="1"/>
  <c r="U192" i="13"/>
  <c r="AA191" i="13"/>
  <c r="Z191" i="13" s="1"/>
  <c r="Y191" i="13"/>
  <c r="W191" i="13"/>
  <c r="V191" i="13"/>
  <c r="U191" i="13"/>
  <c r="AA190" i="13"/>
  <c r="Z190" i="13" s="1"/>
  <c r="Y190" i="13"/>
  <c r="W190" i="13"/>
  <c r="V190" i="13"/>
  <c r="U190" i="13"/>
  <c r="AA189" i="13"/>
  <c r="Z189" i="13" s="1"/>
  <c r="W189" i="13"/>
  <c r="V189" i="13"/>
  <c r="Y189" i="13" s="1"/>
  <c r="U189" i="13"/>
  <c r="AA188" i="13"/>
  <c r="Z188" i="13" s="1"/>
  <c r="Y188" i="13"/>
  <c r="W188" i="13"/>
  <c r="V188" i="13"/>
  <c r="U188" i="13"/>
  <c r="AA187" i="13"/>
  <c r="Z187" i="13" s="1"/>
  <c r="W187" i="13"/>
  <c r="V187" i="13"/>
  <c r="Y187" i="13" s="1"/>
  <c r="U187" i="13"/>
  <c r="AA186" i="13"/>
  <c r="Z186" i="13" s="1"/>
  <c r="W186" i="13"/>
  <c r="V186" i="13"/>
  <c r="Y186" i="13" s="1"/>
  <c r="U186" i="13"/>
  <c r="AA185" i="13"/>
  <c r="Z185" i="13"/>
  <c r="Y185" i="13"/>
  <c r="W185" i="13"/>
  <c r="V185" i="13"/>
  <c r="U185" i="13"/>
  <c r="AA184" i="13"/>
  <c r="Z184" i="13" s="1"/>
  <c r="W184" i="13"/>
  <c r="V184" i="13"/>
  <c r="Y184" i="13" s="1"/>
  <c r="U184" i="13"/>
  <c r="AA183" i="13"/>
  <c r="Z183" i="13" s="1"/>
  <c r="W183" i="13"/>
  <c r="V183" i="13"/>
  <c r="Y183" i="13" s="1"/>
  <c r="U183" i="13"/>
  <c r="AA182" i="13"/>
  <c r="Z182" i="13" s="1"/>
  <c r="Y182" i="13"/>
  <c r="W182" i="13"/>
  <c r="V182" i="13"/>
  <c r="U182" i="13"/>
  <c r="AA181" i="13"/>
  <c r="Z181" i="13" s="1"/>
  <c r="Y181" i="13"/>
  <c r="W181" i="13"/>
  <c r="V181" i="13"/>
  <c r="U181" i="13"/>
  <c r="AA180" i="13"/>
  <c r="Z180" i="13" s="1"/>
  <c r="W180" i="13"/>
  <c r="V180" i="13"/>
  <c r="Y180" i="13" s="1"/>
  <c r="U180" i="13"/>
  <c r="AA179" i="13"/>
  <c r="Z179" i="13" s="1"/>
  <c r="Y179" i="13"/>
  <c r="W179" i="13"/>
  <c r="V179" i="13"/>
  <c r="U179" i="13"/>
  <c r="AA178" i="13"/>
  <c r="Z178" i="13" s="1"/>
  <c r="Y178" i="13"/>
  <c r="W178" i="13"/>
  <c r="V178" i="13"/>
  <c r="U178" i="13"/>
  <c r="AA177" i="13"/>
  <c r="Z177" i="13" s="1"/>
  <c r="W177" i="13"/>
  <c r="V177" i="13"/>
  <c r="Y177" i="13" s="1"/>
  <c r="U177" i="13"/>
  <c r="AA176" i="13"/>
  <c r="Z176" i="13" s="1"/>
  <c r="W176" i="13"/>
  <c r="V176" i="13"/>
  <c r="Y176" i="13" s="1"/>
  <c r="U176" i="13"/>
  <c r="AA175" i="13"/>
  <c r="Z175" i="13" s="1"/>
  <c r="W175" i="13"/>
  <c r="V175" i="13"/>
  <c r="Y175" i="13" s="1"/>
  <c r="U175" i="13"/>
  <c r="AA174" i="13"/>
  <c r="Z174" i="13" s="1"/>
  <c r="Y174" i="13"/>
  <c r="W174" i="13"/>
  <c r="V174" i="13"/>
  <c r="U174" i="13"/>
  <c r="AA173" i="13"/>
  <c r="Z173" i="13" s="1"/>
  <c r="Y173" i="13"/>
  <c r="W173" i="13"/>
  <c r="V173" i="13"/>
  <c r="U173" i="13"/>
  <c r="AA172" i="13"/>
  <c r="Z172" i="13" s="1"/>
  <c r="Y172" i="13"/>
  <c r="W172" i="13"/>
  <c r="V172" i="13"/>
  <c r="U172" i="13"/>
  <c r="AA171" i="13"/>
  <c r="Z171" i="13" s="1"/>
  <c r="W171" i="13"/>
  <c r="V171" i="13"/>
  <c r="Y171" i="13" s="1"/>
  <c r="U171" i="13"/>
  <c r="AA170" i="13"/>
  <c r="Z170" i="13" s="1"/>
  <c r="Y170" i="13"/>
  <c r="W170" i="13"/>
  <c r="V170" i="13"/>
  <c r="U170" i="13"/>
  <c r="AA169" i="13"/>
  <c r="Z169" i="13" s="1"/>
  <c r="W169" i="13"/>
  <c r="V169" i="13"/>
  <c r="Y169" i="13" s="1"/>
  <c r="U169" i="13"/>
  <c r="AA168" i="13"/>
  <c r="Z168" i="13" s="1"/>
  <c r="W168" i="13"/>
  <c r="V168" i="13"/>
  <c r="Y168" i="13" s="1"/>
  <c r="U168" i="13"/>
  <c r="AA167" i="13"/>
  <c r="Z167" i="13" s="1"/>
  <c r="Y167" i="13"/>
  <c r="W167" i="13"/>
  <c r="V167" i="13"/>
  <c r="U167" i="13"/>
  <c r="AA166" i="13"/>
  <c r="Z166" i="13" s="1"/>
  <c r="Y166" i="13"/>
  <c r="W166" i="13"/>
  <c r="V166" i="13"/>
  <c r="U166" i="13"/>
  <c r="AA165" i="13"/>
  <c r="Z165" i="13" s="1"/>
  <c r="W165" i="13"/>
  <c r="V165" i="13"/>
  <c r="Y165" i="13" s="1"/>
  <c r="U165" i="13"/>
  <c r="AA164" i="13"/>
  <c r="Z164" i="13" s="1"/>
  <c r="Y164" i="13"/>
  <c r="W164" i="13"/>
  <c r="V164" i="13"/>
  <c r="U164" i="13"/>
  <c r="AA163" i="13"/>
  <c r="Z163" i="13" s="1"/>
  <c r="W163" i="13"/>
  <c r="V163" i="13"/>
  <c r="Y163" i="13" s="1"/>
  <c r="U163" i="13"/>
  <c r="AA162" i="13"/>
  <c r="Z162" i="13" s="1"/>
  <c r="W162" i="13"/>
  <c r="V162" i="13"/>
  <c r="Y162" i="13" s="1"/>
  <c r="U162" i="13"/>
  <c r="AA161" i="13"/>
  <c r="Z161" i="13" s="1"/>
  <c r="Y161" i="13"/>
  <c r="W161" i="13"/>
  <c r="V161" i="13"/>
  <c r="U161" i="13"/>
  <c r="AA160" i="13"/>
  <c r="Z160" i="13" s="1"/>
  <c r="W160" i="13"/>
  <c r="V160" i="13"/>
  <c r="Y160" i="13" s="1"/>
  <c r="U160" i="13"/>
  <c r="AA159" i="13"/>
  <c r="Z159" i="13" s="1"/>
  <c r="Y159" i="13"/>
  <c r="W159" i="13"/>
  <c r="V159" i="13"/>
  <c r="U159" i="13"/>
  <c r="AA158" i="13"/>
  <c r="Z158" i="13" s="1"/>
  <c r="Y158" i="13"/>
  <c r="W158" i="13"/>
  <c r="V158" i="13"/>
  <c r="U158" i="13"/>
  <c r="AA157" i="13"/>
  <c r="Z157" i="13"/>
  <c r="W157" i="13"/>
  <c r="V157" i="13"/>
  <c r="Y157" i="13" s="1"/>
  <c r="U157" i="13"/>
  <c r="AA156" i="13"/>
  <c r="Z156" i="13"/>
  <c r="W156" i="13"/>
  <c r="V156" i="13"/>
  <c r="Y156" i="13" s="1"/>
  <c r="U156" i="13"/>
  <c r="AA155" i="13"/>
  <c r="Z155" i="13"/>
  <c r="Y155" i="13"/>
  <c r="W155" i="13"/>
  <c r="V155" i="13"/>
  <c r="U155" i="13"/>
  <c r="AA154" i="13"/>
  <c r="W154" i="13"/>
  <c r="V154" i="13"/>
  <c r="Y154" i="13" s="1"/>
  <c r="U154" i="13"/>
  <c r="AA153" i="13"/>
  <c r="Z153" i="13" s="1"/>
  <c r="W153" i="13"/>
  <c r="V153" i="13"/>
  <c r="Y153" i="13" s="1"/>
  <c r="U153" i="13"/>
  <c r="AA152" i="13"/>
  <c r="Z152" i="13" s="1"/>
  <c r="W152" i="13"/>
  <c r="V152" i="13"/>
  <c r="Y152" i="13" s="1"/>
  <c r="U152" i="13"/>
  <c r="AA151" i="13"/>
  <c r="Z151" i="13" s="1"/>
  <c r="Y151" i="13"/>
  <c r="W151" i="13"/>
  <c r="V151" i="13"/>
  <c r="U151" i="13"/>
  <c r="AA150" i="13"/>
  <c r="Z150" i="13" s="1"/>
  <c r="Y150" i="13"/>
  <c r="W150" i="13"/>
  <c r="V150" i="13"/>
  <c r="U150" i="13"/>
  <c r="AA149" i="13"/>
  <c r="Z149" i="13" s="1"/>
  <c r="Y149" i="13"/>
  <c r="W149" i="13"/>
  <c r="V149" i="13"/>
  <c r="U149" i="13"/>
  <c r="AA148" i="13"/>
  <c r="Z148" i="13" s="1"/>
  <c r="W148" i="13"/>
  <c r="V148" i="13"/>
  <c r="Y148" i="13" s="1"/>
  <c r="U148" i="13"/>
  <c r="AA147" i="13"/>
  <c r="Z147" i="13" s="1"/>
  <c r="Y147" i="13"/>
  <c r="W147" i="13"/>
  <c r="V147" i="13"/>
  <c r="U147" i="13"/>
  <c r="AA146" i="13"/>
  <c r="Z146" i="13" s="1"/>
  <c r="W146" i="13"/>
  <c r="V146" i="13"/>
  <c r="Y146" i="13" s="1"/>
  <c r="U146" i="13"/>
  <c r="AA145" i="13"/>
  <c r="Z145" i="13" s="1"/>
  <c r="W145" i="13"/>
  <c r="V145" i="13"/>
  <c r="Y145" i="13" s="1"/>
  <c r="U145" i="13"/>
  <c r="AA144" i="13"/>
  <c r="Z144" i="13" s="1"/>
  <c r="Y144" i="13"/>
  <c r="W144" i="13"/>
  <c r="V144" i="13"/>
  <c r="U144" i="13"/>
  <c r="AA143" i="13"/>
  <c r="Z143" i="13" s="1"/>
  <c r="Y143" i="13"/>
  <c r="W143" i="13"/>
  <c r="V143" i="13"/>
  <c r="U143" i="13"/>
  <c r="AA142" i="13"/>
  <c r="Z142" i="13" s="1"/>
  <c r="W142" i="13"/>
  <c r="V142" i="13"/>
  <c r="Y142" i="13" s="1"/>
  <c r="U142" i="13"/>
  <c r="AA141" i="13"/>
  <c r="Z141" i="13" s="1"/>
  <c r="Y141" i="13"/>
  <c r="W141" i="13"/>
  <c r="V141" i="13"/>
  <c r="AA140" i="13"/>
  <c r="Z140" i="13" s="1"/>
  <c r="W140" i="13"/>
  <c r="V140" i="13"/>
  <c r="U140" i="13"/>
  <c r="AA139" i="13"/>
  <c r="Z139" i="13" s="1"/>
  <c r="Y139" i="13"/>
  <c r="W139" i="13"/>
  <c r="V139" i="13"/>
  <c r="U139" i="13"/>
  <c r="AA138" i="13"/>
  <c r="Z138" i="13" s="1"/>
  <c r="W138" i="13"/>
  <c r="V138" i="13"/>
  <c r="Y138" i="13" s="1"/>
  <c r="U138" i="13"/>
  <c r="AA137" i="13"/>
  <c r="Z137" i="13" s="1"/>
  <c r="W137" i="13"/>
  <c r="V137" i="13"/>
  <c r="Y137" i="13" s="1"/>
  <c r="U137" i="13"/>
  <c r="AA136" i="13"/>
  <c r="Z136" i="13" s="1"/>
  <c r="Y136" i="13"/>
  <c r="W136" i="13"/>
  <c r="V136" i="13"/>
  <c r="U136" i="13"/>
  <c r="AA135" i="13"/>
  <c r="Z135" i="13" s="1"/>
  <c r="Y135" i="13"/>
  <c r="W135" i="13"/>
  <c r="V135" i="13"/>
  <c r="U135" i="13"/>
  <c r="AA134" i="13"/>
  <c r="Z134" i="13" s="1"/>
  <c r="W134" i="13"/>
  <c r="V134" i="13"/>
  <c r="Y134" i="13" s="1"/>
  <c r="U134" i="13"/>
  <c r="AA133" i="13"/>
  <c r="Z133" i="13" s="1"/>
  <c r="Y133" i="13"/>
  <c r="W133" i="13"/>
  <c r="V133" i="13"/>
  <c r="U133" i="13"/>
  <c r="AA132" i="13"/>
  <c r="Z132" i="13" s="1"/>
  <c r="Y132" i="13"/>
  <c r="W132" i="13"/>
  <c r="V132" i="13"/>
  <c r="U132" i="13"/>
  <c r="AA131" i="13"/>
  <c r="Z131" i="13" s="1"/>
  <c r="W131" i="13"/>
  <c r="V131" i="13"/>
  <c r="Y131" i="13" s="1"/>
  <c r="U131" i="13"/>
  <c r="AA130" i="13"/>
  <c r="Z130" i="13" s="1"/>
  <c r="W130" i="13"/>
  <c r="V130" i="13"/>
  <c r="Y130" i="13" s="1"/>
  <c r="U130" i="13"/>
  <c r="AA129" i="13"/>
  <c r="Z129" i="13" s="1"/>
  <c r="W129" i="13"/>
  <c r="V129" i="13"/>
  <c r="Y129" i="13" s="1"/>
  <c r="U129" i="13"/>
  <c r="AA128" i="13"/>
  <c r="Z128" i="13"/>
  <c r="Y128" i="13"/>
  <c r="W128" i="13"/>
  <c r="V128" i="13"/>
  <c r="U128" i="13"/>
  <c r="AA127" i="13"/>
  <c r="Z127" i="13" s="1"/>
  <c r="Y127" i="13"/>
  <c r="W127" i="13"/>
  <c r="V127" i="13"/>
  <c r="U127" i="13"/>
  <c r="AA126" i="13"/>
  <c r="Z126" i="13" s="1"/>
  <c r="Y126" i="13"/>
  <c r="W126" i="13"/>
  <c r="V126" i="13"/>
  <c r="U126" i="13"/>
  <c r="AA125" i="13"/>
  <c r="Z125" i="13" s="1"/>
  <c r="W125" i="13"/>
  <c r="V125" i="13"/>
  <c r="Y125" i="13" s="1"/>
  <c r="U125" i="13"/>
  <c r="AA124" i="13"/>
  <c r="Z124" i="13" s="1"/>
  <c r="Y124" i="13"/>
  <c r="W124" i="13"/>
  <c r="V124" i="13"/>
  <c r="U124" i="13"/>
  <c r="AA123" i="13"/>
  <c r="Z123" i="13" s="1"/>
  <c r="W123" i="13"/>
  <c r="V123" i="13"/>
  <c r="Y123" i="13" s="1"/>
  <c r="U123" i="13"/>
  <c r="AA122" i="13"/>
  <c r="Z122" i="13" s="1"/>
  <c r="W122" i="13"/>
  <c r="V122" i="13"/>
  <c r="Y122" i="13" s="1"/>
  <c r="U122" i="13"/>
  <c r="AA121" i="13"/>
  <c r="Z121" i="13" s="1"/>
  <c r="Y121" i="13"/>
  <c r="W121" i="13"/>
  <c r="V121" i="13"/>
  <c r="U121" i="13"/>
  <c r="AA120" i="13"/>
  <c r="Z120" i="13" s="1"/>
  <c r="Y120" i="13"/>
  <c r="W120" i="13"/>
  <c r="V120" i="13"/>
  <c r="U120" i="13"/>
  <c r="AA119" i="13"/>
  <c r="Z119" i="13" s="1"/>
  <c r="W119" i="13"/>
  <c r="V119" i="13"/>
  <c r="Y119" i="13" s="1"/>
  <c r="U119" i="13"/>
  <c r="AA118" i="13"/>
  <c r="Z118" i="13" s="1"/>
  <c r="Y118" i="13"/>
  <c r="W118" i="13"/>
  <c r="V118" i="13"/>
  <c r="U118" i="13"/>
  <c r="AA117" i="13"/>
  <c r="Z117" i="13" s="1"/>
  <c r="W117" i="13"/>
  <c r="V117" i="13"/>
  <c r="Y117" i="13" s="1"/>
  <c r="U117" i="13"/>
  <c r="AA116" i="13"/>
  <c r="Z116" i="13" s="1"/>
  <c r="W116" i="13"/>
  <c r="V116" i="13"/>
  <c r="Y116" i="13" s="1"/>
  <c r="U116" i="13"/>
  <c r="AA115" i="13"/>
  <c r="Z115" i="13" s="1"/>
  <c r="Y115" i="13"/>
  <c r="W115" i="13"/>
  <c r="V115" i="13"/>
  <c r="U115" i="13"/>
  <c r="AA114" i="13"/>
  <c r="Z114" i="13" s="1"/>
  <c r="W114" i="13"/>
  <c r="V114" i="13"/>
  <c r="Y114" i="13" s="1"/>
  <c r="U114" i="13"/>
  <c r="AA113" i="13"/>
  <c r="Z113" i="13" s="1"/>
  <c r="Y113" i="13"/>
  <c r="W113" i="13"/>
  <c r="V113" i="13"/>
  <c r="U113" i="13"/>
  <c r="AA112" i="13"/>
  <c r="Z112" i="13" s="1"/>
  <c r="Y112" i="13"/>
  <c r="W112" i="13"/>
  <c r="V112" i="13"/>
  <c r="U112" i="13"/>
  <c r="AA111" i="13"/>
  <c r="Z111" i="13" s="1"/>
  <c r="W111" i="13"/>
  <c r="V111" i="13"/>
  <c r="Y111" i="13" s="1"/>
  <c r="U111" i="13"/>
  <c r="AA110" i="13"/>
  <c r="Z110" i="13" s="1"/>
  <c r="W110" i="13"/>
  <c r="V110" i="13"/>
  <c r="Y110" i="13" s="1"/>
  <c r="U110" i="13"/>
  <c r="AA109" i="13"/>
  <c r="Z109" i="13" s="1"/>
  <c r="Y109" i="13"/>
  <c r="W109" i="13"/>
  <c r="V109" i="13"/>
  <c r="U109" i="13"/>
  <c r="AA108" i="13"/>
  <c r="Z108" i="13" s="1"/>
  <c r="W108" i="13"/>
  <c r="V108" i="13"/>
  <c r="U108" i="13"/>
  <c r="AA107" i="13"/>
  <c r="Z107" i="13" s="1"/>
  <c r="W107" i="13"/>
  <c r="V107" i="13"/>
  <c r="U107" i="13"/>
  <c r="AA106" i="13"/>
  <c r="W106" i="13"/>
  <c r="V106" i="13"/>
  <c r="Y106" i="13" s="1"/>
  <c r="U106" i="13"/>
  <c r="AA105" i="13"/>
  <c r="Z105" i="13" s="1"/>
  <c r="Y105" i="13"/>
  <c r="W105" i="13"/>
  <c r="V105" i="13"/>
  <c r="U105" i="13"/>
  <c r="AA104" i="13"/>
  <c r="Z104" i="13" s="1"/>
  <c r="Y104" i="13"/>
  <c r="W104" i="13"/>
  <c r="V104" i="13"/>
  <c r="U104" i="13"/>
  <c r="AA103" i="13"/>
  <c r="Z103" i="13" s="1"/>
  <c r="Y103" i="13"/>
  <c r="W103" i="13"/>
  <c r="V103" i="13"/>
  <c r="U103" i="13"/>
  <c r="AA102" i="13"/>
  <c r="Z102" i="13" s="1"/>
  <c r="W102" i="13"/>
  <c r="V102" i="13"/>
  <c r="Y102" i="13" s="1"/>
  <c r="U102" i="13"/>
  <c r="AA101" i="13"/>
  <c r="Z101" i="13" s="1"/>
  <c r="W101" i="13"/>
  <c r="V101" i="13"/>
  <c r="Y101" i="13" s="1"/>
  <c r="U101" i="13"/>
  <c r="AA100" i="13"/>
  <c r="Z100" i="13" s="1"/>
  <c r="W100" i="13"/>
  <c r="V100" i="13"/>
  <c r="Y100" i="13" s="1"/>
  <c r="U100" i="13"/>
  <c r="AA99" i="13"/>
  <c r="Z99" i="13" s="1"/>
  <c r="W99" i="13"/>
  <c r="V99" i="13"/>
  <c r="Y99" i="13" s="1"/>
  <c r="U99" i="13"/>
  <c r="AA98" i="13"/>
  <c r="Z98" i="13" s="1"/>
  <c r="Y98" i="13"/>
  <c r="W98" i="13"/>
  <c r="V98" i="13"/>
  <c r="U98" i="13"/>
  <c r="AA97" i="13"/>
  <c r="Z97" i="13" s="1"/>
  <c r="Y97" i="13"/>
  <c r="W97" i="13"/>
  <c r="V97" i="13"/>
  <c r="U97" i="13"/>
  <c r="AA96" i="13"/>
  <c r="Z96" i="13" s="1"/>
  <c r="Y96" i="13"/>
  <c r="W96" i="13"/>
  <c r="V96" i="13"/>
  <c r="U96" i="13"/>
  <c r="AA95" i="13"/>
  <c r="Z95" i="13" s="1"/>
  <c r="W95" i="13"/>
  <c r="V95" i="13"/>
  <c r="Y95" i="13" s="1"/>
  <c r="U95" i="13"/>
  <c r="AA94" i="13"/>
  <c r="Z94" i="13" s="1"/>
  <c r="W94" i="13"/>
  <c r="V94" i="13"/>
  <c r="Y94" i="13" s="1"/>
  <c r="U94" i="13"/>
  <c r="AA93" i="13"/>
  <c r="Z93" i="13" s="1"/>
  <c r="W93" i="13"/>
  <c r="V93" i="13"/>
  <c r="Y93" i="13" s="1"/>
  <c r="U93" i="13"/>
  <c r="AA92" i="13"/>
  <c r="Z92" i="13" s="1"/>
  <c r="Y92" i="13"/>
  <c r="W92" i="13"/>
  <c r="V92" i="13"/>
  <c r="U92" i="13"/>
  <c r="AA91" i="13"/>
  <c r="Z91" i="13" s="1"/>
  <c r="W91" i="13"/>
  <c r="V91" i="13"/>
  <c r="Y91" i="13" s="1"/>
  <c r="U91" i="13"/>
  <c r="AA90" i="13"/>
  <c r="Z90" i="13" s="1"/>
  <c r="W90" i="13"/>
  <c r="V90" i="13"/>
  <c r="Y90" i="13" s="1"/>
  <c r="U90" i="13"/>
  <c r="AA89" i="13"/>
  <c r="Z89" i="13" s="1"/>
  <c r="Y89" i="13"/>
  <c r="W89" i="13"/>
  <c r="V89" i="13"/>
  <c r="U89" i="13"/>
  <c r="AA88" i="13"/>
  <c r="Z88" i="13" s="1"/>
  <c r="W88" i="13"/>
  <c r="V88" i="13"/>
  <c r="Y88" i="13" s="1"/>
  <c r="U88" i="13"/>
  <c r="AA87" i="13"/>
  <c r="Z87" i="13" s="1"/>
  <c r="W87" i="13"/>
  <c r="V87" i="13"/>
  <c r="Y87" i="13" s="1"/>
  <c r="U87" i="13"/>
  <c r="AA86" i="13"/>
  <c r="Z86" i="13" s="1"/>
  <c r="Y86" i="13"/>
  <c r="W86" i="13"/>
  <c r="V86" i="13"/>
  <c r="U86" i="13"/>
  <c r="AA85" i="13"/>
  <c r="Z85" i="13" s="1"/>
  <c r="Y85" i="13"/>
  <c r="W85" i="13"/>
  <c r="V85" i="13"/>
  <c r="U85" i="13"/>
  <c r="AA84" i="13"/>
  <c r="Z84" i="13" s="1"/>
  <c r="W84" i="13"/>
  <c r="V84" i="13"/>
  <c r="Y84" i="13" s="1"/>
  <c r="U84" i="13"/>
  <c r="AA83" i="13"/>
  <c r="Z83" i="13" s="1"/>
  <c r="W83" i="13"/>
  <c r="V83" i="13"/>
  <c r="Y83" i="13" s="1"/>
  <c r="U83" i="13"/>
  <c r="AA82" i="13"/>
  <c r="Z82" i="13" s="1"/>
  <c r="W82" i="13"/>
  <c r="V82" i="13"/>
  <c r="Y82" i="13" s="1"/>
  <c r="U82" i="13"/>
  <c r="AA81" i="13"/>
  <c r="Z81" i="13" s="1"/>
  <c r="Y81" i="13"/>
  <c r="W81" i="13"/>
  <c r="V81" i="13"/>
  <c r="U81" i="13"/>
  <c r="AA80" i="13"/>
  <c r="Z80" i="13" s="1"/>
  <c r="Y80" i="13"/>
  <c r="W80" i="13"/>
  <c r="V80" i="13"/>
  <c r="U80" i="13"/>
  <c r="AA79" i="13"/>
  <c r="Z79" i="13" s="1"/>
  <c r="W79" i="13"/>
  <c r="V79" i="13"/>
  <c r="U79" i="13"/>
  <c r="AA78" i="13"/>
  <c r="Z78" i="13" s="1"/>
  <c r="Y78" i="13"/>
  <c r="W78" i="13"/>
  <c r="V78" i="13"/>
  <c r="U78" i="13"/>
  <c r="AA77" i="13"/>
  <c r="Z77" i="13" s="1"/>
  <c r="Y77" i="13"/>
  <c r="W77" i="13"/>
  <c r="V77" i="13"/>
  <c r="U77" i="13"/>
  <c r="AA76" i="13"/>
  <c r="Z76" i="13" s="1"/>
  <c r="W76" i="13"/>
  <c r="V76" i="13"/>
  <c r="Y76" i="13" s="1"/>
  <c r="U76" i="13"/>
  <c r="AA75" i="13"/>
  <c r="Z75" i="13" s="1"/>
  <c r="W75" i="13"/>
  <c r="V75" i="13"/>
  <c r="Y75" i="13" s="1"/>
  <c r="U75" i="13"/>
  <c r="AA74" i="13"/>
  <c r="Z74" i="13" s="1"/>
  <c r="Y74" i="13"/>
  <c r="W74" i="13"/>
  <c r="V74" i="13"/>
  <c r="U74" i="13"/>
  <c r="AA73" i="13"/>
  <c r="Z73" i="13" s="1"/>
  <c r="Y73" i="13"/>
  <c r="W73" i="13"/>
  <c r="V73" i="13"/>
  <c r="U73" i="13"/>
  <c r="AA72" i="13"/>
  <c r="Z72" i="13" s="1"/>
  <c r="Y72" i="13"/>
  <c r="W72" i="13"/>
  <c r="V72" i="13"/>
  <c r="U72" i="13"/>
  <c r="AA71" i="13"/>
  <c r="Z71" i="13" s="1"/>
  <c r="W71" i="13"/>
  <c r="V71" i="13"/>
  <c r="Y71" i="13" s="1"/>
  <c r="U71" i="13"/>
  <c r="AA70" i="13"/>
  <c r="Z70" i="13" s="1"/>
  <c r="Y70" i="13"/>
  <c r="W70" i="13"/>
  <c r="V70" i="13"/>
  <c r="U70" i="13"/>
  <c r="AA69" i="13"/>
  <c r="Z69" i="13" s="1"/>
  <c r="W69" i="13"/>
  <c r="V69" i="13"/>
  <c r="Y69" i="13" s="1"/>
  <c r="U69" i="13"/>
  <c r="AA68" i="13"/>
  <c r="Z68" i="13" s="1"/>
  <c r="W68" i="13"/>
  <c r="V68" i="13"/>
  <c r="Y68" i="13" s="1"/>
  <c r="U68" i="13"/>
  <c r="AA67" i="13"/>
  <c r="Z67" i="13" s="1"/>
  <c r="W67" i="13"/>
  <c r="V67" i="13"/>
  <c r="Y67" i="13" s="1"/>
  <c r="U67" i="13"/>
  <c r="AA66" i="13"/>
  <c r="Z66" i="13" s="1"/>
  <c r="Y66" i="13"/>
  <c r="W66" i="13"/>
  <c r="V66" i="13"/>
  <c r="U66" i="13"/>
  <c r="AA65" i="13"/>
  <c r="Z65" i="13" s="1"/>
  <c r="Y65" i="13"/>
  <c r="W65" i="13"/>
  <c r="V65" i="13"/>
  <c r="U65" i="13"/>
  <c r="AA64" i="13"/>
  <c r="Z64" i="13" s="1"/>
  <c r="Y64" i="13"/>
  <c r="W64" i="13"/>
  <c r="V64" i="13"/>
  <c r="U64" i="13"/>
  <c r="AA63" i="13"/>
  <c r="Z63" i="13" s="1"/>
  <c r="W63" i="13"/>
  <c r="V63" i="13"/>
  <c r="Y63" i="13" s="1"/>
  <c r="U63" i="13"/>
  <c r="AA62" i="13"/>
  <c r="Z62" i="13" s="1"/>
  <c r="Y62" i="13"/>
  <c r="W62" i="13"/>
  <c r="V62" i="13"/>
  <c r="U62" i="13"/>
  <c r="AA61" i="13"/>
  <c r="Z61" i="13" s="1"/>
  <c r="W61" i="13"/>
  <c r="V61" i="13"/>
  <c r="Y61" i="13" s="1"/>
  <c r="U61" i="13"/>
  <c r="AA60" i="13"/>
  <c r="Z60" i="13" s="1"/>
  <c r="W60" i="13"/>
  <c r="V60" i="13"/>
  <c r="Y60" i="13" s="1"/>
  <c r="U60" i="13"/>
  <c r="AA59" i="13"/>
  <c r="Z59" i="13" s="1"/>
  <c r="Y59" i="13"/>
  <c r="W59" i="13"/>
  <c r="V59" i="13"/>
  <c r="U59" i="13"/>
  <c r="AA58" i="13"/>
  <c r="Z58" i="13" s="1"/>
  <c r="Y58" i="13"/>
  <c r="W58" i="13"/>
  <c r="V58" i="13"/>
  <c r="U58" i="13"/>
  <c r="AA57" i="13"/>
  <c r="Z57" i="13" s="1"/>
  <c r="W57" i="13"/>
  <c r="V57" i="13"/>
  <c r="Y57" i="13" s="1"/>
  <c r="U57" i="13"/>
  <c r="AA56" i="13"/>
  <c r="Z56" i="13" s="1"/>
  <c r="Y56" i="13"/>
  <c r="W56" i="13"/>
  <c r="V56" i="13"/>
  <c r="U56" i="13"/>
  <c r="AA55" i="13"/>
  <c r="Z55" i="13" s="1"/>
  <c r="W55" i="13"/>
  <c r="V55" i="13"/>
  <c r="Y55" i="13" s="1"/>
  <c r="U55" i="13"/>
  <c r="AA54" i="13"/>
  <c r="Z54" i="13" s="1"/>
  <c r="W54" i="13"/>
  <c r="V54" i="13"/>
  <c r="Y54" i="13" s="1"/>
  <c r="U54" i="13"/>
  <c r="AA53" i="13"/>
  <c r="Z53" i="13" s="1"/>
  <c r="Y53" i="13"/>
  <c r="W53" i="13"/>
  <c r="V53" i="13"/>
  <c r="U53" i="13"/>
  <c r="AA52" i="13"/>
  <c r="Z52" i="13" s="1"/>
  <c r="W52" i="13"/>
  <c r="V52" i="13"/>
  <c r="Y52" i="13" s="1"/>
  <c r="U52" i="13"/>
  <c r="AA51" i="13"/>
  <c r="Z51" i="13" s="1"/>
  <c r="Y51" i="13"/>
  <c r="W51" i="13"/>
  <c r="V51" i="13"/>
  <c r="U51" i="13"/>
  <c r="AA50" i="13"/>
  <c r="Z50" i="13" s="1"/>
  <c r="Y50" i="13"/>
  <c r="W50" i="13"/>
  <c r="V50" i="13"/>
  <c r="U50" i="13"/>
  <c r="AA49" i="13"/>
  <c r="Z49" i="13" s="1"/>
  <c r="W49" i="13"/>
  <c r="V49" i="13"/>
  <c r="Y49" i="13" s="1"/>
  <c r="U49" i="13"/>
  <c r="AA48" i="13"/>
  <c r="Z48" i="13" s="1"/>
  <c r="W48" i="13"/>
  <c r="V48" i="13"/>
  <c r="Y48" i="13" s="1"/>
  <c r="U48" i="13"/>
  <c r="AA47" i="13"/>
  <c r="Z47" i="13" s="1"/>
  <c r="Y47" i="13"/>
  <c r="W47" i="13"/>
  <c r="V47" i="13"/>
  <c r="U47" i="13"/>
  <c r="AA46" i="13"/>
  <c r="Z46" i="13" s="1"/>
  <c r="W46" i="13"/>
  <c r="V46" i="13"/>
  <c r="Y46" i="13" s="1"/>
  <c r="U46" i="13"/>
  <c r="AA45" i="13"/>
  <c r="Z45" i="13" s="1"/>
  <c r="Y45" i="13"/>
  <c r="W45" i="13"/>
  <c r="V45" i="13"/>
  <c r="U45" i="13"/>
  <c r="AA44" i="13"/>
  <c r="Z44" i="13" s="1"/>
  <c r="W44" i="13"/>
  <c r="V44" i="13"/>
  <c r="Y44" i="13" s="1"/>
  <c r="U44" i="13"/>
  <c r="AA43" i="13"/>
  <c r="Z43" i="13" s="1"/>
  <c r="W43" i="13"/>
  <c r="V43" i="13"/>
  <c r="Y43" i="13" s="1"/>
  <c r="U43" i="13"/>
  <c r="AA42" i="13"/>
  <c r="Z42" i="13" s="1"/>
  <c r="Y42" i="13"/>
  <c r="W42" i="13"/>
  <c r="V42" i="13"/>
  <c r="U42" i="13"/>
  <c r="AA41" i="13"/>
  <c r="Z41" i="13" s="1"/>
  <c r="Y41" i="13"/>
  <c r="W41" i="13"/>
  <c r="V41" i="13"/>
  <c r="U41" i="13"/>
  <c r="AA40" i="13"/>
  <c r="Z40" i="13" s="1"/>
  <c r="W40" i="13"/>
  <c r="V40" i="13"/>
  <c r="Y40" i="13" s="1"/>
  <c r="U40" i="13"/>
  <c r="AA39" i="13"/>
  <c r="Z39" i="13" s="1"/>
  <c r="Y39" i="13"/>
  <c r="W39" i="13"/>
  <c r="V39" i="13"/>
  <c r="U39" i="13"/>
  <c r="AA38" i="13"/>
  <c r="Z38" i="13" s="1"/>
  <c r="Y38" i="13"/>
  <c r="W38" i="13"/>
  <c r="V38" i="13"/>
  <c r="U38" i="13"/>
  <c r="AA37" i="13"/>
  <c r="Z37" i="13" s="1"/>
  <c r="W37" i="13"/>
  <c r="V37" i="13"/>
  <c r="Y37" i="13" s="1"/>
  <c r="U37" i="13"/>
  <c r="AA36" i="13"/>
  <c r="Z36" i="13" s="1"/>
  <c r="W36" i="13"/>
  <c r="V36" i="13"/>
  <c r="Y36" i="13" s="1"/>
  <c r="U36" i="13"/>
  <c r="AA35" i="13"/>
  <c r="Z35" i="13" s="1"/>
  <c r="W35" i="13"/>
  <c r="V35" i="13"/>
  <c r="Y35" i="13" s="1"/>
  <c r="U35" i="13"/>
  <c r="AA34" i="13"/>
  <c r="Z34" i="13" s="1"/>
  <c r="Y34" i="13"/>
  <c r="W34" i="13"/>
  <c r="V34" i="13"/>
  <c r="U34" i="13"/>
  <c r="AA33" i="13"/>
  <c r="Z33" i="13" s="1"/>
  <c r="Y33" i="13"/>
  <c r="W33" i="13"/>
  <c r="V33" i="13"/>
  <c r="U33" i="13"/>
  <c r="AA32" i="13"/>
  <c r="W32" i="13"/>
  <c r="V32" i="13"/>
  <c r="Y32" i="13" s="1"/>
  <c r="U32" i="13"/>
  <c r="AA31" i="13"/>
  <c r="Z31" i="13" s="1"/>
  <c r="W31" i="13"/>
  <c r="V31" i="13"/>
  <c r="Y31" i="13" s="1"/>
  <c r="U31" i="13"/>
  <c r="AA30" i="13"/>
  <c r="Z30" i="13" s="1"/>
  <c r="Y30" i="13"/>
  <c r="W30" i="13"/>
  <c r="V30" i="13"/>
  <c r="U30" i="13"/>
  <c r="AA29" i="13"/>
  <c r="W29" i="13"/>
  <c r="V29" i="13"/>
  <c r="Y29" i="13" s="1"/>
  <c r="U29" i="13"/>
  <c r="AA28" i="13"/>
  <c r="Z28" i="13" s="1"/>
  <c r="Y28" i="13"/>
  <c r="W28" i="13"/>
  <c r="V28" i="13"/>
  <c r="U28" i="13"/>
  <c r="AA27" i="13"/>
  <c r="Z27" i="13" s="1"/>
  <c r="Y27" i="13"/>
  <c r="W27" i="13"/>
  <c r="V27" i="13"/>
  <c r="U27" i="13"/>
  <c r="AA26" i="13"/>
  <c r="Z26" i="13" s="1"/>
  <c r="W26" i="13"/>
  <c r="V26" i="13"/>
  <c r="Y26" i="13" s="1"/>
  <c r="U26" i="13"/>
  <c r="AA25" i="13"/>
  <c r="Z25" i="13" s="1"/>
  <c r="Y25" i="13"/>
  <c r="W25" i="13"/>
  <c r="V25" i="13"/>
  <c r="U25" i="13"/>
  <c r="AA24" i="13"/>
  <c r="Z24" i="13" s="1"/>
  <c r="Y24" i="13"/>
  <c r="W24" i="13"/>
  <c r="V24" i="13"/>
  <c r="U24" i="13"/>
  <c r="AA23" i="13"/>
  <c r="Z23" i="13" s="1"/>
  <c r="W23" i="13"/>
  <c r="V23" i="13"/>
  <c r="Y23" i="13" s="1"/>
  <c r="U23" i="13"/>
  <c r="AA22" i="13"/>
  <c r="Z22" i="13" s="1"/>
  <c r="W22" i="13"/>
  <c r="V22" i="13"/>
  <c r="Y22" i="13" s="1"/>
  <c r="U22" i="13"/>
  <c r="AA21" i="13"/>
  <c r="Z21" i="13" s="1"/>
  <c r="Y21" i="13"/>
  <c r="W21" i="13"/>
  <c r="V21" i="13"/>
  <c r="U21" i="13"/>
  <c r="AA20" i="13"/>
  <c r="Z20" i="13" s="1"/>
  <c r="Y20" i="13"/>
  <c r="W20" i="13"/>
  <c r="V20" i="13"/>
  <c r="U20" i="13"/>
  <c r="AA19" i="13"/>
  <c r="Z19" i="13" s="1"/>
  <c r="W19" i="13"/>
  <c r="V19" i="13"/>
  <c r="Y19" i="13" s="1"/>
  <c r="U19" i="13"/>
  <c r="AA18" i="13"/>
  <c r="Z18" i="13" s="1"/>
  <c r="Y18" i="13"/>
  <c r="W18" i="13"/>
  <c r="V18" i="13"/>
  <c r="U18" i="13"/>
  <c r="AA17" i="13"/>
  <c r="Z17" i="13" s="1"/>
  <c r="W17" i="13"/>
  <c r="V17" i="13"/>
  <c r="Y17" i="13" s="1"/>
  <c r="U17" i="13"/>
  <c r="AA16" i="13"/>
  <c r="Z16" i="13"/>
  <c r="Y16" i="13"/>
  <c r="W16" i="13"/>
  <c r="V16" i="13"/>
  <c r="U16" i="13"/>
  <c r="AA15" i="13"/>
  <c r="Z15" i="13"/>
  <c r="Y15" i="13"/>
  <c r="W15" i="13"/>
  <c r="V15" i="13"/>
  <c r="U15" i="13"/>
  <c r="AA14" i="13"/>
  <c r="W14" i="13"/>
  <c r="V14" i="13"/>
  <c r="Y14" i="13" s="1"/>
  <c r="U14" i="13"/>
  <c r="AA13" i="13"/>
  <c r="Z13" i="13" s="1"/>
  <c r="Y13" i="13"/>
  <c r="W13" i="13"/>
  <c r="V13" i="13"/>
  <c r="U13" i="13"/>
  <c r="AA12" i="13"/>
  <c r="Z12" i="13" s="1"/>
  <c r="Y12" i="13"/>
  <c r="W12" i="13"/>
  <c r="V12" i="13"/>
  <c r="U12" i="13"/>
  <c r="AA11" i="13"/>
  <c r="Z11" i="13" s="1"/>
  <c r="W11" i="13"/>
  <c r="V11" i="13"/>
  <c r="Y11" i="13" s="1"/>
  <c r="U11" i="13"/>
  <c r="AA10" i="13"/>
  <c r="Z10" i="13" s="1"/>
  <c r="Y10" i="13"/>
  <c r="W10" i="13"/>
  <c r="V10" i="13"/>
  <c r="U10" i="13"/>
  <c r="AA9" i="13"/>
  <c r="Z9" i="13" s="1"/>
  <c r="Y9" i="13"/>
  <c r="W9" i="13"/>
  <c r="V9" i="13"/>
  <c r="U9" i="13"/>
  <c r="AA8" i="13"/>
  <c r="Z8" i="13" s="1"/>
  <c r="W8" i="13"/>
  <c r="V8" i="13"/>
  <c r="Y8" i="13" s="1"/>
  <c r="U8" i="13"/>
  <c r="AA7" i="13"/>
  <c r="Z7" i="13" s="1"/>
  <c r="W7" i="13"/>
  <c r="V7" i="13"/>
  <c r="Y7" i="13" s="1"/>
  <c r="U7" i="13"/>
  <c r="AA6" i="13"/>
  <c r="Z6" i="13" s="1"/>
  <c r="W6" i="13"/>
  <c r="V6" i="13"/>
  <c r="Y6" i="13" s="1"/>
  <c r="U6" i="13"/>
  <c r="AA5" i="13"/>
  <c r="Z5" i="13" s="1"/>
  <c r="Y5" i="13"/>
  <c r="W5" i="13"/>
  <c r="V5" i="13"/>
  <c r="U5" i="13"/>
  <c r="AA4" i="13"/>
  <c r="Z4" i="13" s="1"/>
  <c r="Y4" i="13"/>
  <c r="W4" i="13"/>
  <c r="V4" i="13"/>
  <c r="U4" i="13"/>
  <c r="AA3" i="13"/>
  <c r="Z3" i="13" s="1"/>
  <c r="Y3" i="13"/>
  <c r="W3" i="13"/>
  <c r="V3" i="13"/>
  <c r="U3" i="13"/>
  <c r="AA2" i="13"/>
  <c r="Z2" i="13" s="1"/>
  <c r="W2" i="13"/>
  <c r="V2" i="13"/>
  <c r="U2" i="13"/>
  <c r="AH1" i="13"/>
  <c r="AG1" i="13"/>
  <c r="AF1" i="13"/>
  <c r="B25" i="12"/>
  <c r="B24" i="12"/>
  <c r="B23" i="12"/>
  <c r="B22" i="12"/>
  <c r="B21" i="12"/>
  <c r="B20" i="12"/>
  <c r="B16" i="12"/>
  <c r="B15" i="12"/>
  <c r="B14" i="12"/>
  <c r="B13" i="12"/>
  <c r="L42" i="11"/>
  <c r="L41" i="11"/>
  <c r="L40" i="11"/>
  <c r="L38" i="11"/>
  <c r="L37" i="11"/>
  <c r="L36" i="11"/>
  <c r="L34" i="11"/>
  <c r="L33" i="11"/>
  <c r="L32" i="11"/>
  <c r="L31" i="11"/>
  <c r="L30" i="11"/>
  <c r="L29" i="11"/>
  <c r="L28" i="11"/>
  <c r="L27" i="11"/>
  <c r="L26" i="11"/>
  <c r="L25" i="11"/>
  <c r="L24" i="11"/>
  <c r="L23" i="11"/>
  <c r="L22" i="11"/>
  <c r="L21" i="11"/>
  <c r="L20" i="11"/>
  <c r="L19" i="11"/>
  <c r="L18" i="11"/>
  <c r="L17" i="11"/>
  <c r="L16" i="11"/>
  <c r="L14" i="11"/>
  <c r="L13" i="11"/>
  <c r="L12" i="11"/>
  <c r="L11" i="11"/>
  <c r="L10" i="11"/>
  <c r="L9" i="11"/>
  <c r="L8" i="11"/>
  <c r="L7" i="11"/>
  <c r="J6" i="11"/>
  <c r="M5" i="11"/>
  <c r="H5" i="11"/>
  <c r="M4" i="11"/>
  <c r="H4" i="11"/>
  <c r="H6" i="11" s="1"/>
  <c r="C4" i="11"/>
  <c r="B4" i="11"/>
  <c r="N3" i="11"/>
  <c r="M3" i="11"/>
  <c r="H3" i="11"/>
  <c r="C3" i="11"/>
  <c r="B3" i="11"/>
  <c r="M2" i="11"/>
  <c r="D2" i="11"/>
  <c r="C2" i="11"/>
  <c r="B2" i="11"/>
  <c r="M1" i="11"/>
  <c r="L113" i="10"/>
  <c r="L112" i="10"/>
  <c r="L111" i="10"/>
  <c r="L110" i="10"/>
  <c r="L109" i="10"/>
  <c r="L108" i="10"/>
  <c r="L107" i="10"/>
  <c r="L106" i="10"/>
  <c r="L105" i="10"/>
  <c r="L104" i="10"/>
  <c r="L103" i="10"/>
  <c r="L102" i="10"/>
  <c r="L101" i="10"/>
  <c r="L100" i="10"/>
  <c r="L99" i="10"/>
  <c r="L98" i="10"/>
  <c r="L97" i="10"/>
  <c r="L96" i="10"/>
  <c r="L95" i="10"/>
  <c r="L94" i="10"/>
  <c r="L93" i="10"/>
  <c r="L92" i="10"/>
  <c r="L91" i="10"/>
  <c r="L90" i="10"/>
  <c r="L89" i="10"/>
  <c r="L83" i="10"/>
  <c r="L82" i="10"/>
  <c r="L81" i="10"/>
  <c r="L80" i="10"/>
  <c r="L79" i="10"/>
  <c r="L78" i="10"/>
  <c r="L77" i="10"/>
  <c r="L76" i="10"/>
  <c r="L75" i="10"/>
  <c r="L74" i="10"/>
  <c r="L73" i="10"/>
  <c r="L72" i="10"/>
  <c r="L71" i="10"/>
  <c r="L70" i="10"/>
  <c r="L69" i="10"/>
  <c r="L68" i="10"/>
  <c r="L67" i="10"/>
  <c r="L66" i="10"/>
  <c r="L65" i="10"/>
  <c r="L64" i="10"/>
  <c r="L63" i="10"/>
  <c r="L62" i="10"/>
  <c r="L61" i="10"/>
  <c r="L60" i="10"/>
  <c r="L88" i="10"/>
  <c r="L59" i="10"/>
  <c r="L58" i="10"/>
  <c r="L57" i="10"/>
  <c r="L56" i="10"/>
  <c r="L55" i="10"/>
  <c r="L54" i="10"/>
  <c r="L53" i="10"/>
  <c r="L52" i="10"/>
  <c r="L51" i="10"/>
  <c r="L50" i="10"/>
  <c r="L49" i="10"/>
  <c r="L48" i="10"/>
  <c r="L47" i="10"/>
  <c r="L46" i="10"/>
  <c r="L45" i="10"/>
  <c r="L44" i="10"/>
  <c r="L43" i="10"/>
  <c r="L42" i="10"/>
  <c r="L41" i="10"/>
  <c r="L40" i="10"/>
  <c r="L39" i="10"/>
  <c r="L38" i="10"/>
  <c r="L37" i="10"/>
  <c r="L36" i="10"/>
  <c r="L35" i="10"/>
  <c r="L34" i="10"/>
  <c r="L33" i="10"/>
  <c r="L32" i="10"/>
  <c r="L31" i="10"/>
  <c r="L30" i="10"/>
  <c r="L29" i="10"/>
  <c r="L28" i="10"/>
  <c r="L27" i="10"/>
  <c r="L26" i="10"/>
  <c r="L25" i="10"/>
  <c r="L24" i="10"/>
  <c r="L23" i="10"/>
  <c r="L22" i="10"/>
  <c r="L21" i="10"/>
  <c r="L20" i="10"/>
  <c r="L87" i="10"/>
  <c r="L19" i="10"/>
  <c r="L18" i="10"/>
  <c r="L17" i="10"/>
  <c r="L16" i="10"/>
  <c r="L15" i="10"/>
  <c r="L14" i="10"/>
  <c r="L13" i="10"/>
  <c r="L86" i="10"/>
  <c r="L12" i="10"/>
  <c r="L85" i="10"/>
  <c r="L11" i="10"/>
  <c r="L10" i="10"/>
  <c r="L9" i="10"/>
  <c r="L84" i="10"/>
  <c r="L8" i="10"/>
  <c r="L7" i="10"/>
  <c r="J6" i="10"/>
  <c r="M5" i="10"/>
  <c r="H5" i="10"/>
  <c r="M4" i="10"/>
  <c r="H4" i="10"/>
  <c r="C4" i="10"/>
  <c r="B4" i="10"/>
  <c r="N3" i="10"/>
  <c r="M3" i="10"/>
  <c r="D4" i="10" s="1"/>
  <c r="H3" i="10"/>
  <c r="G6" i="10" s="1"/>
  <c r="C3" i="10"/>
  <c r="B3" i="10"/>
  <c r="Y2" i="10"/>
  <c r="M2" i="10"/>
  <c r="D3" i="10" s="1"/>
  <c r="D2" i="10"/>
  <c r="C2" i="10"/>
  <c r="B2" i="10"/>
  <c r="M1" i="10"/>
  <c r="L68" i="9"/>
  <c r="L67" i="9"/>
  <c r="L66" i="9"/>
  <c r="L65" i="9"/>
  <c r="L64" i="9"/>
  <c r="L63" i="9"/>
  <c r="L62" i="9"/>
  <c r="L61" i="9"/>
  <c r="L60" i="9"/>
  <c r="L59" i="9"/>
  <c r="L58" i="9"/>
  <c r="L56" i="9"/>
  <c r="L55" i="9"/>
  <c r="L54" i="9"/>
  <c r="L53" i="9"/>
  <c r="L52" i="9"/>
  <c r="L51" i="9"/>
  <c r="L50" i="9"/>
  <c r="L49" i="9"/>
  <c r="L48" i="9"/>
  <c r="L47" i="9"/>
  <c r="L46" i="9"/>
  <c r="L45" i="9"/>
  <c r="L44" i="9"/>
  <c r="L43" i="9"/>
  <c r="L42" i="9"/>
  <c r="L41" i="9"/>
  <c r="L40" i="9"/>
  <c r="L39" i="9"/>
  <c r="L38" i="9"/>
  <c r="L37" i="9"/>
  <c r="L36" i="9"/>
  <c r="L35" i="9"/>
  <c r="L34" i="9"/>
  <c r="L33" i="9"/>
  <c r="L32" i="9"/>
  <c r="L31" i="9"/>
  <c r="L30" i="9"/>
  <c r="L29" i="9"/>
  <c r="L28" i="9"/>
  <c r="L27" i="9"/>
  <c r="L26" i="9"/>
  <c r="L25" i="9"/>
  <c r="L24" i="9"/>
  <c r="L23" i="9"/>
  <c r="L22" i="9"/>
  <c r="L21" i="9"/>
  <c r="L20" i="9"/>
  <c r="L19" i="9"/>
  <c r="L18" i="9"/>
  <c r="L17" i="9"/>
  <c r="L16" i="9"/>
  <c r="L15" i="9"/>
  <c r="L57" i="9"/>
  <c r="L14" i="9"/>
  <c r="L13" i="9"/>
  <c r="L12" i="9"/>
  <c r="L11" i="9"/>
  <c r="L10" i="9"/>
  <c r="L9" i="9"/>
  <c r="L8" i="9"/>
  <c r="L7" i="9"/>
  <c r="J7" i="9"/>
  <c r="J6" i="9"/>
  <c r="M5" i="9"/>
  <c r="H5" i="9"/>
  <c r="M4" i="9"/>
  <c r="H4" i="9"/>
  <c r="H7" i="9" s="1"/>
  <c r="C4" i="9"/>
  <c r="B4" i="9"/>
  <c r="N3" i="9"/>
  <c r="M3" i="9"/>
  <c r="H3" i="9"/>
  <c r="G6" i="9" s="1"/>
  <c r="C3" i="9"/>
  <c r="B3" i="9"/>
  <c r="Z2" i="9"/>
  <c r="Y2" i="9"/>
  <c r="X2" i="9"/>
  <c r="W2" i="9"/>
  <c r="M2" i="9"/>
  <c r="D2" i="9"/>
  <c r="C2" i="9"/>
  <c r="B2" i="9"/>
  <c r="M1" i="9"/>
  <c r="L110" i="8"/>
  <c r="L109" i="8"/>
  <c r="L108" i="8"/>
  <c r="L107" i="8"/>
  <c r="L106" i="8"/>
  <c r="L105" i="8"/>
  <c r="L104" i="8"/>
  <c r="L103" i="8"/>
  <c r="L102" i="8"/>
  <c r="L101" i="8"/>
  <c r="L100" i="8"/>
  <c r="L99" i="8"/>
  <c r="L98" i="8"/>
  <c r="L97" i="8"/>
  <c r="L96" i="8"/>
  <c r="L95" i="8"/>
  <c r="L94" i="8"/>
  <c r="L93" i="8"/>
  <c r="L92" i="8"/>
  <c r="L91" i="8"/>
  <c r="L90" i="8"/>
  <c r="L89" i="8"/>
  <c r="L88" i="8"/>
  <c r="L87" i="8"/>
  <c r="L86" i="8"/>
  <c r="L85" i="8"/>
  <c r="L84" i="8"/>
  <c r="L83" i="8"/>
  <c r="L82" i="8"/>
  <c r="L81" i="8"/>
  <c r="L80" i="8"/>
  <c r="L79" i="8"/>
  <c r="L78" i="8"/>
  <c r="L77" i="8"/>
  <c r="L76" i="8"/>
  <c r="L75" i="8"/>
  <c r="L74" i="8"/>
  <c r="L73" i="8"/>
  <c r="L72" i="8"/>
  <c r="L65" i="8"/>
  <c r="L64" i="8"/>
  <c r="L63" i="8"/>
  <c r="L62" i="8"/>
  <c r="L61" i="8"/>
  <c r="L60" i="8"/>
  <c r="L59" i="8"/>
  <c r="L58" i="8"/>
  <c r="L57" i="8"/>
  <c r="L56" i="8"/>
  <c r="L55" i="8"/>
  <c r="L54" i="8"/>
  <c r="L53" i="8"/>
  <c r="L52" i="8"/>
  <c r="L51" i="8"/>
  <c r="L50" i="8"/>
  <c r="L49" i="8"/>
  <c r="L48" i="8"/>
  <c r="L47" i="8"/>
  <c r="L46" i="8"/>
  <c r="L45" i="8"/>
  <c r="L44" i="8"/>
  <c r="L43" i="8"/>
  <c r="L42" i="8"/>
  <c r="L41" i="8"/>
  <c r="L40" i="8"/>
  <c r="L39" i="8"/>
  <c r="L38" i="8"/>
  <c r="L37" i="8"/>
  <c r="L36" i="8"/>
  <c r="L35" i="8"/>
  <c r="L34" i="8"/>
  <c r="L33" i="8"/>
  <c r="L32" i="8"/>
  <c r="L31" i="8"/>
  <c r="L30" i="8"/>
  <c r="L29" i="8"/>
  <c r="L28" i="8"/>
  <c r="L27" i="8"/>
  <c r="L26" i="8"/>
  <c r="L25" i="8"/>
  <c r="L24" i="8"/>
  <c r="L23" i="8"/>
  <c r="L22" i="8"/>
  <c r="L21" i="8"/>
  <c r="L20" i="8"/>
  <c r="L19" i="8"/>
  <c r="L18" i="8"/>
  <c r="L17" i="8"/>
  <c r="L71" i="8"/>
  <c r="L70" i="8"/>
  <c r="L16" i="8"/>
  <c r="L69" i="8"/>
  <c r="L15" i="8"/>
  <c r="L68" i="8"/>
  <c r="L14" i="8"/>
  <c r="L13" i="8"/>
  <c r="L12" i="8"/>
  <c r="L11" i="8"/>
  <c r="L10" i="8"/>
  <c r="L9" i="8"/>
  <c r="L67" i="8"/>
  <c r="L66" i="8"/>
  <c r="L8" i="8"/>
  <c r="L7" i="8"/>
  <c r="M5" i="8"/>
  <c r="H5" i="8"/>
  <c r="M4" i="8"/>
  <c r="H4" i="8"/>
  <c r="H6" i="8" s="1"/>
  <c r="C4" i="8"/>
  <c r="B4" i="8"/>
  <c r="N3" i="8"/>
  <c r="M3" i="8"/>
  <c r="F4" i="8" s="1"/>
  <c r="H3" i="8"/>
  <c r="C3" i="8"/>
  <c r="B3" i="8"/>
  <c r="AE2" i="8"/>
  <c r="AD2" i="8"/>
  <c r="AC2" i="8"/>
  <c r="AB2" i="8"/>
  <c r="AA2" i="8"/>
  <c r="Z2" i="8"/>
  <c r="Y2" i="8"/>
  <c r="X2" i="8"/>
  <c r="W2" i="8"/>
  <c r="M2" i="8"/>
  <c r="F3" i="8" s="1"/>
  <c r="D2" i="8"/>
  <c r="C2" i="8"/>
  <c r="B2" i="8"/>
  <c r="M1" i="8"/>
  <c r="H14" i="7"/>
  <c r="G14" i="7"/>
  <c r="F14" i="7"/>
  <c r="AL6" i="7"/>
  <c r="AL5" i="7"/>
  <c r="AL4" i="7"/>
  <c r="AL3" i="7"/>
  <c r="AL2" i="7"/>
  <c r="AM614" i="5"/>
  <c r="AL614" i="5"/>
  <c r="AM613" i="5"/>
  <c r="AL613" i="5"/>
  <c r="AM612" i="5"/>
  <c r="AL612" i="5"/>
  <c r="AM611" i="5"/>
  <c r="AL611" i="5"/>
  <c r="AM610" i="5"/>
  <c r="AL610" i="5"/>
  <c r="AM609" i="5"/>
  <c r="AL609" i="5"/>
  <c r="AM608" i="5"/>
  <c r="AL608" i="5"/>
  <c r="AM607" i="5"/>
  <c r="AL607" i="5"/>
  <c r="AM606" i="5"/>
  <c r="AL606" i="5"/>
  <c r="AM605" i="5"/>
  <c r="AL605" i="5"/>
  <c r="AM604" i="5"/>
  <c r="AL604" i="5"/>
  <c r="AM603" i="5"/>
  <c r="AL603" i="5"/>
  <c r="AM602" i="5"/>
  <c r="AL602" i="5"/>
  <c r="AM601" i="5"/>
  <c r="AL601" i="5"/>
  <c r="AM600" i="5"/>
  <c r="AL600" i="5"/>
  <c r="AM599" i="5"/>
  <c r="AL599" i="5"/>
  <c r="AM598" i="5"/>
  <c r="AL598" i="5"/>
  <c r="AM597" i="5"/>
  <c r="AL597" i="5"/>
  <c r="AM596" i="5"/>
  <c r="AL596" i="5"/>
  <c r="AM595" i="5"/>
  <c r="AL595" i="5"/>
  <c r="AM594" i="5"/>
  <c r="AL594" i="5"/>
  <c r="AM593" i="5"/>
  <c r="AL593" i="5"/>
  <c r="AM592" i="5"/>
  <c r="AL592" i="5"/>
  <c r="AM591" i="5"/>
  <c r="AL591" i="5"/>
  <c r="AM590" i="5"/>
  <c r="AL590" i="5"/>
  <c r="AM589" i="5"/>
  <c r="AL589" i="5"/>
  <c r="AM588" i="5"/>
  <c r="AL588" i="5"/>
  <c r="AM587" i="5"/>
  <c r="AL587" i="5"/>
  <c r="AM586" i="5"/>
  <c r="AL586" i="5"/>
  <c r="AM585" i="5"/>
  <c r="AL585" i="5"/>
  <c r="AM584" i="5"/>
  <c r="AL584" i="5"/>
  <c r="AM583" i="5"/>
  <c r="AL583" i="5"/>
  <c r="AM582" i="5"/>
  <c r="AL582" i="5"/>
  <c r="AM581" i="5"/>
  <c r="AL581" i="5"/>
  <c r="AM580" i="5"/>
  <c r="AL580" i="5"/>
  <c r="AM579" i="5"/>
  <c r="AL579" i="5"/>
  <c r="AM578" i="5"/>
  <c r="AL578" i="5"/>
  <c r="AM577" i="5"/>
  <c r="AL577" i="5"/>
  <c r="AM576" i="5"/>
  <c r="AL576" i="5"/>
  <c r="AM575" i="5"/>
  <c r="AL575" i="5"/>
  <c r="AM574" i="5"/>
  <c r="AL574" i="5"/>
  <c r="AM573" i="5"/>
  <c r="AL573" i="5"/>
  <c r="AM572" i="5"/>
  <c r="AL572" i="5"/>
  <c r="AM571" i="5"/>
  <c r="AL571" i="5"/>
  <c r="AM570" i="5"/>
  <c r="AL570" i="5"/>
  <c r="AM569" i="5"/>
  <c r="AL569" i="5"/>
  <c r="AM568" i="5"/>
  <c r="AL568" i="5"/>
  <c r="AM567" i="5"/>
  <c r="AL567" i="5"/>
  <c r="AM566" i="5"/>
  <c r="AL566" i="5"/>
  <c r="AM565" i="5"/>
  <c r="AL565" i="5"/>
  <c r="AM564" i="5"/>
  <c r="AL564" i="5"/>
  <c r="AM563" i="5"/>
  <c r="AL563" i="5"/>
  <c r="AM562" i="5"/>
  <c r="AL562" i="5"/>
  <c r="AM561" i="5"/>
  <c r="AL561" i="5"/>
  <c r="AM560" i="5"/>
  <c r="AL560" i="5"/>
  <c r="AM559" i="5"/>
  <c r="AL559" i="5"/>
  <c r="AM558" i="5"/>
  <c r="AL558" i="5"/>
  <c r="AM557" i="5"/>
  <c r="AL557" i="5"/>
  <c r="AM556" i="5"/>
  <c r="AL556" i="5"/>
  <c r="AM555" i="5"/>
  <c r="AL555" i="5"/>
  <c r="AM554" i="5"/>
  <c r="AL554" i="5"/>
  <c r="AM553" i="5"/>
  <c r="AL553" i="5"/>
  <c r="AM552" i="5"/>
  <c r="AL552" i="5"/>
  <c r="AM551" i="5"/>
  <c r="AL551" i="5"/>
  <c r="AM550" i="5"/>
  <c r="AL550" i="5"/>
  <c r="AM549" i="5"/>
  <c r="AL549" i="5"/>
  <c r="AM548" i="5"/>
  <c r="AL548" i="5"/>
  <c r="AM547" i="5"/>
  <c r="AL547" i="5"/>
  <c r="AM546" i="5"/>
  <c r="AL546" i="5"/>
  <c r="AM545" i="5"/>
  <c r="AL545" i="5"/>
  <c r="AM544" i="5"/>
  <c r="AL544" i="5"/>
  <c r="AM543" i="5"/>
  <c r="AL543" i="5"/>
  <c r="AM542" i="5"/>
  <c r="AL542" i="5"/>
  <c r="AM541" i="5"/>
  <c r="AL541" i="5"/>
  <c r="AM540" i="5"/>
  <c r="AL540" i="5"/>
  <c r="AM539" i="5"/>
  <c r="AL539" i="5"/>
  <c r="AM538" i="5"/>
  <c r="AL538" i="5"/>
  <c r="AM537" i="5"/>
  <c r="AL537" i="5"/>
  <c r="AM536" i="5"/>
  <c r="AL536" i="5"/>
  <c r="AM535" i="5"/>
  <c r="AL535" i="5"/>
  <c r="AM534" i="5"/>
  <c r="AL534" i="5"/>
  <c r="AM533" i="5"/>
  <c r="AL533" i="5"/>
  <c r="AM532" i="5"/>
  <c r="AL532" i="5"/>
  <c r="AM531" i="5"/>
  <c r="AL531" i="5"/>
  <c r="AM530" i="5"/>
  <c r="AL530" i="5"/>
  <c r="AM529" i="5"/>
  <c r="AL529" i="5"/>
  <c r="AM528" i="5"/>
  <c r="AL528" i="5"/>
  <c r="AM527" i="5"/>
  <c r="AL527" i="5"/>
  <c r="AM526" i="5"/>
  <c r="AL526" i="5"/>
  <c r="AM525" i="5"/>
  <c r="AL525" i="5"/>
  <c r="AM524" i="5"/>
  <c r="AL524" i="5"/>
  <c r="AM523" i="5"/>
  <c r="AL523" i="5"/>
  <c r="AM522" i="5"/>
  <c r="AL522" i="5"/>
  <c r="AM521" i="5"/>
  <c r="AL521" i="5"/>
  <c r="AM520" i="5"/>
  <c r="AL520" i="5"/>
  <c r="AM519" i="5"/>
  <c r="AL519" i="5"/>
  <c r="AM518" i="5"/>
  <c r="AL518" i="5"/>
  <c r="AM517" i="5"/>
  <c r="AL517" i="5"/>
  <c r="AM516" i="5"/>
  <c r="AL516" i="5"/>
  <c r="AM515" i="5"/>
  <c r="AL515" i="5"/>
  <c r="AM514" i="5"/>
  <c r="AL514" i="5"/>
  <c r="AM513" i="5"/>
  <c r="AL513" i="5"/>
  <c r="AM512" i="5"/>
  <c r="AL512" i="5"/>
  <c r="AM511" i="5"/>
  <c r="AL511" i="5"/>
  <c r="AM510" i="5"/>
  <c r="AL510" i="5"/>
  <c r="AM509" i="5"/>
  <c r="AL509" i="5"/>
  <c r="AM508" i="5"/>
  <c r="AL508" i="5"/>
  <c r="AM507" i="5"/>
  <c r="AL507" i="5"/>
  <c r="AM506" i="5"/>
  <c r="AL506" i="5"/>
  <c r="AM505" i="5"/>
  <c r="AL505" i="5"/>
  <c r="AM504" i="5"/>
  <c r="AL504" i="5"/>
  <c r="AM503" i="5"/>
  <c r="AL503" i="5"/>
  <c r="AM502" i="5"/>
  <c r="AL502" i="5"/>
  <c r="AM501" i="5"/>
  <c r="AL501" i="5"/>
  <c r="AM500" i="5"/>
  <c r="AL500" i="5"/>
  <c r="AM499" i="5"/>
  <c r="AL499" i="5"/>
  <c r="AM498" i="5"/>
  <c r="AL498" i="5"/>
  <c r="AM497" i="5"/>
  <c r="AL497" i="5"/>
  <c r="AM496" i="5"/>
  <c r="AL496" i="5"/>
  <c r="AM495" i="5"/>
  <c r="AL495" i="5"/>
  <c r="AM494" i="5"/>
  <c r="AL494" i="5"/>
  <c r="AM493" i="5"/>
  <c r="AL493" i="5"/>
  <c r="AM492" i="5"/>
  <c r="AL492" i="5"/>
  <c r="AM491" i="5"/>
  <c r="AL491" i="5"/>
  <c r="AM490" i="5"/>
  <c r="AL490" i="5"/>
  <c r="AM489" i="5"/>
  <c r="AL489" i="5"/>
  <c r="AM488" i="5"/>
  <c r="AL488" i="5"/>
  <c r="AM487" i="5"/>
  <c r="AL487" i="5"/>
  <c r="AM486" i="5"/>
  <c r="AL486" i="5"/>
  <c r="AM485" i="5"/>
  <c r="AL485" i="5"/>
  <c r="AM484" i="5"/>
  <c r="AL484" i="5"/>
  <c r="AM483" i="5"/>
  <c r="AL483" i="5"/>
  <c r="AM482" i="5"/>
  <c r="AL482" i="5"/>
  <c r="AM481" i="5"/>
  <c r="AL481" i="5"/>
  <c r="AM480" i="5"/>
  <c r="AL480" i="5"/>
  <c r="AM479" i="5"/>
  <c r="AL479" i="5"/>
  <c r="AM478" i="5"/>
  <c r="AL478" i="5"/>
  <c r="AM477" i="5"/>
  <c r="AL477" i="5"/>
  <c r="AM476" i="5"/>
  <c r="AL476" i="5"/>
  <c r="AM475" i="5"/>
  <c r="AL475" i="5"/>
  <c r="AM474" i="5"/>
  <c r="AL474" i="5"/>
  <c r="AM473" i="5"/>
  <c r="AL473" i="5"/>
  <c r="AM472" i="5"/>
  <c r="AL472" i="5"/>
  <c r="AM471" i="5"/>
  <c r="AL471" i="5"/>
  <c r="AM470" i="5"/>
  <c r="AL470" i="5"/>
  <c r="AM469" i="5"/>
  <c r="AL469" i="5"/>
  <c r="AM468" i="5"/>
  <c r="AL468" i="5"/>
  <c r="AM467" i="5"/>
  <c r="AL467" i="5"/>
  <c r="AM466" i="5"/>
  <c r="AL466" i="5"/>
  <c r="AM465" i="5"/>
  <c r="AL465" i="5"/>
  <c r="AM464" i="5"/>
  <c r="AL464" i="5"/>
  <c r="AM463" i="5"/>
  <c r="AL463" i="5"/>
  <c r="AM462" i="5"/>
  <c r="AL462" i="5"/>
  <c r="AM461" i="5"/>
  <c r="AL461" i="5"/>
  <c r="AM460" i="5"/>
  <c r="AL460" i="5"/>
  <c r="AM459" i="5"/>
  <c r="AL459" i="5"/>
  <c r="AM458" i="5"/>
  <c r="AL458" i="5"/>
  <c r="AM457" i="5"/>
  <c r="AL457" i="5"/>
  <c r="AM456" i="5"/>
  <c r="AL456" i="5"/>
  <c r="AM455" i="5"/>
  <c r="AL455" i="5"/>
  <c r="AM454" i="5"/>
  <c r="AL454" i="5"/>
  <c r="AM453" i="5"/>
  <c r="AL453" i="5"/>
  <c r="AM452" i="5"/>
  <c r="AL452" i="5"/>
  <c r="AM451" i="5"/>
  <c r="AL451" i="5"/>
  <c r="AM450" i="5"/>
  <c r="AL450" i="5"/>
  <c r="AM449" i="5"/>
  <c r="AL449" i="5"/>
  <c r="AM448" i="5"/>
  <c r="AL448" i="5"/>
  <c r="AM447" i="5"/>
  <c r="AL447" i="5"/>
  <c r="AM446" i="5"/>
  <c r="AL446" i="5"/>
  <c r="AM445" i="5"/>
  <c r="AL445" i="5"/>
  <c r="AM444" i="5"/>
  <c r="AL444" i="5"/>
  <c r="AM443" i="5"/>
  <c r="AL443" i="5"/>
  <c r="AM442" i="5"/>
  <c r="AL442" i="5"/>
  <c r="AM441" i="5"/>
  <c r="AL441" i="5"/>
  <c r="AM440" i="5"/>
  <c r="AL440" i="5"/>
  <c r="AM439" i="5"/>
  <c r="AL439" i="5"/>
  <c r="AM438" i="5"/>
  <c r="AL438" i="5"/>
  <c r="AM437" i="5"/>
  <c r="AL437" i="5"/>
  <c r="AM436" i="5"/>
  <c r="AL436" i="5"/>
  <c r="AM435" i="5"/>
  <c r="AL435" i="5"/>
  <c r="AM434" i="5"/>
  <c r="AL434" i="5"/>
  <c r="AM433" i="5"/>
  <c r="AL433" i="5"/>
  <c r="AM432" i="5"/>
  <c r="AL432" i="5"/>
  <c r="AM431" i="5"/>
  <c r="AL431" i="5"/>
  <c r="AM430" i="5"/>
  <c r="AL430" i="5"/>
  <c r="AM429" i="5"/>
  <c r="AL429" i="5"/>
  <c r="AM428" i="5"/>
  <c r="AL428" i="5"/>
  <c r="AM427" i="5"/>
  <c r="AL427" i="5"/>
  <c r="AM426" i="5"/>
  <c r="AL426" i="5"/>
  <c r="AM425" i="5"/>
  <c r="AL425" i="5"/>
  <c r="AM424" i="5"/>
  <c r="AL424" i="5"/>
  <c r="AM423" i="5"/>
  <c r="AL423" i="5"/>
  <c r="AM422" i="5"/>
  <c r="AL422" i="5"/>
  <c r="AM421" i="5"/>
  <c r="AL421" i="5"/>
  <c r="AM420" i="5"/>
  <c r="AL420" i="5"/>
  <c r="AM419" i="5"/>
  <c r="AL419" i="5"/>
  <c r="AM418" i="5"/>
  <c r="AL418" i="5"/>
  <c r="AM417" i="5"/>
  <c r="AL417" i="5"/>
  <c r="AM416" i="5"/>
  <c r="AL416" i="5"/>
  <c r="AM415" i="5"/>
  <c r="AL415" i="5"/>
  <c r="AM414" i="5"/>
  <c r="AL414" i="5"/>
  <c r="AM413" i="5"/>
  <c r="AL413" i="5"/>
  <c r="AM412" i="5"/>
  <c r="AL412" i="5"/>
  <c r="AM411" i="5"/>
  <c r="AL411" i="5"/>
  <c r="AM410" i="5"/>
  <c r="AL410" i="5"/>
  <c r="AM409" i="5"/>
  <c r="AL409" i="5"/>
  <c r="AM408" i="5"/>
  <c r="AL408" i="5"/>
  <c r="AM407" i="5"/>
  <c r="AL407" i="5"/>
  <c r="AM406" i="5"/>
  <c r="AL406" i="5"/>
  <c r="AM405" i="5"/>
  <c r="AL405" i="5"/>
  <c r="AM404" i="5"/>
  <c r="AL404" i="5"/>
  <c r="AM403" i="5"/>
  <c r="AL403" i="5"/>
  <c r="AM402" i="5"/>
  <c r="AL402" i="5"/>
  <c r="AM401" i="5"/>
  <c r="AL401" i="5"/>
  <c r="AM400" i="5"/>
  <c r="AL400" i="5"/>
  <c r="AM399" i="5"/>
  <c r="AL399" i="5"/>
  <c r="AM398" i="5"/>
  <c r="AL398" i="5"/>
  <c r="AM397" i="5"/>
  <c r="AL397" i="5"/>
  <c r="AM396" i="5"/>
  <c r="AL396" i="5"/>
  <c r="AM395" i="5"/>
  <c r="AL395" i="5"/>
  <c r="AM394" i="5"/>
  <c r="AL394" i="5"/>
  <c r="AM393" i="5"/>
  <c r="AL393" i="5"/>
  <c r="AM392" i="5"/>
  <c r="AL392" i="5"/>
  <c r="AM391" i="5"/>
  <c r="AL391" i="5"/>
  <c r="AM390" i="5"/>
  <c r="AL390" i="5"/>
  <c r="AM389" i="5"/>
  <c r="AL389" i="5"/>
  <c r="AM388" i="5"/>
  <c r="AL388" i="5"/>
  <c r="AM387" i="5"/>
  <c r="AL387" i="5"/>
  <c r="AM386" i="5"/>
  <c r="AL386" i="5"/>
  <c r="AM385" i="5"/>
  <c r="AL385" i="5"/>
  <c r="AM384" i="5"/>
  <c r="AL384" i="5"/>
  <c r="AM383" i="5"/>
  <c r="AL383" i="5"/>
  <c r="AM382" i="5"/>
  <c r="AL382" i="5"/>
  <c r="AM381" i="5"/>
  <c r="AL381" i="5"/>
  <c r="AM380" i="5"/>
  <c r="AL380" i="5"/>
  <c r="AM379" i="5"/>
  <c r="AL379" i="5"/>
  <c r="AM378" i="5"/>
  <c r="AL378" i="5"/>
  <c r="AM377" i="5"/>
  <c r="AL377" i="5"/>
  <c r="AM376" i="5"/>
  <c r="AL376" i="5"/>
  <c r="AM375" i="5"/>
  <c r="AL375" i="5"/>
  <c r="AM374" i="5"/>
  <c r="AL374" i="5"/>
  <c r="AM373" i="5"/>
  <c r="AL373" i="5"/>
  <c r="AM372" i="5"/>
  <c r="AL372" i="5"/>
  <c r="AM371" i="5"/>
  <c r="AL371" i="5"/>
  <c r="AM370" i="5"/>
  <c r="AL370" i="5"/>
  <c r="AM369" i="5"/>
  <c r="AL369" i="5"/>
  <c r="AM368" i="5"/>
  <c r="AL368" i="5"/>
  <c r="AM367" i="5"/>
  <c r="AL367" i="5"/>
  <c r="AM366" i="5"/>
  <c r="AL366" i="5"/>
  <c r="AM365" i="5"/>
  <c r="AL365" i="5"/>
  <c r="AM364" i="5"/>
  <c r="AL364" i="5"/>
  <c r="AM363" i="5"/>
  <c r="AL363" i="5"/>
  <c r="AM362" i="5"/>
  <c r="AL362" i="5"/>
  <c r="AM361" i="5"/>
  <c r="AL361" i="5"/>
  <c r="AM360" i="5"/>
  <c r="AL360" i="5"/>
  <c r="AM359" i="5"/>
  <c r="AL359" i="5"/>
  <c r="AM358" i="5"/>
  <c r="AL358" i="5"/>
  <c r="AM357" i="5"/>
  <c r="AL357" i="5"/>
  <c r="AM356" i="5"/>
  <c r="AL356" i="5"/>
  <c r="AM355" i="5"/>
  <c r="AL355" i="5"/>
  <c r="AM354" i="5"/>
  <c r="AL354" i="5"/>
  <c r="AM353" i="5"/>
  <c r="AL353" i="5"/>
  <c r="AM352" i="5"/>
  <c r="AL352" i="5"/>
  <c r="AM351" i="5"/>
  <c r="AL351" i="5"/>
  <c r="AM350" i="5"/>
  <c r="AL350" i="5"/>
  <c r="AM349" i="5"/>
  <c r="AL349" i="5"/>
  <c r="AM348" i="5"/>
  <c r="AL348" i="5"/>
  <c r="AM347" i="5"/>
  <c r="AL347" i="5"/>
  <c r="AM346" i="5"/>
  <c r="AL346" i="5"/>
  <c r="AM345" i="5"/>
  <c r="AL345" i="5"/>
  <c r="AM344" i="5"/>
  <c r="AL344" i="5"/>
  <c r="AM343" i="5"/>
  <c r="AL343" i="5"/>
  <c r="AM342" i="5"/>
  <c r="AL342" i="5"/>
  <c r="AM341" i="5"/>
  <c r="AL341" i="5"/>
  <c r="AM340" i="5"/>
  <c r="AL340" i="5"/>
  <c r="AM339" i="5"/>
  <c r="AL339" i="5"/>
  <c r="AM338" i="5"/>
  <c r="AL338" i="5"/>
  <c r="AM337" i="5"/>
  <c r="AL337" i="5"/>
  <c r="AM336" i="5"/>
  <c r="AL336" i="5"/>
  <c r="AM335" i="5"/>
  <c r="AL335" i="5"/>
  <c r="AM334" i="5"/>
  <c r="AL334" i="5"/>
  <c r="AM333" i="5"/>
  <c r="AL333" i="5"/>
  <c r="AM332" i="5"/>
  <c r="AL332" i="5"/>
  <c r="AM331" i="5"/>
  <c r="AL331" i="5"/>
  <c r="AM330" i="5"/>
  <c r="AL330" i="5"/>
  <c r="AM329" i="5"/>
  <c r="AL329" i="5"/>
  <c r="AM328" i="5"/>
  <c r="AL328" i="5"/>
  <c r="AM327" i="5"/>
  <c r="AL327" i="5"/>
  <c r="AM326" i="5"/>
  <c r="AL326" i="5"/>
  <c r="AM325" i="5"/>
  <c r="AL325" i="5"/>
  <c r="AM324" i="5"/>
  <c r="AL324" i="5"/>
  <c r="AM323" i="5"/>
  <c r="AL323" i="5"/>
  <c r="AM322" i="5"/>
  <c r="AL322" i="5"/>
  <c r="AM321" i="5"/>
  <c r="AL321" i="5"/>
  <c r="AM320" i="5"/>
  <c r="AL320" i="5"/>
  <c r="AM319" i="5"/>
  <c r="AL319" i="5"/>
  <c r="AM318" i="5"/>
  <c r="AL318" i="5"/>
  <c r="AM317" i="5"/>
  <c r="AL317" i="5"/>
  <c r="AM316" i="5"/>
  <c r="AL316" i="5"/>
  <c r="AM315" i="5"/>
  <c r="AL315" i="5"/>
  <c r="AM314" i="5"/>
  <c r="AL314" i="5"/>
  <c r="AM313" i="5"/>
  <c r="AL313" i="5"/>
  <c r="AM312" i="5"/>
  <c r="AL312" i="5"/>
  <c r="AM311" i="5"/>
  <c r="AL311" i="5"/>
  <c r="AM310" i="5"/>
  <c r="AL310" i="5"/>
  <c r="AM309" i="5"/>
  <c r="AL309" i="5"/>
  <c r="AM308" i="5"/>
  <c r="AL308" i="5"/>
  <c r="AM307" i="5"/>
  <c r="AL307" i="5"/>
  <c r="AM306" i="5"/>
  <c r="AL306" i="5"/>
  <c r="AM305" i="5"/>
  <c r="AL305" i="5"/>
  <c r="AM304" i="5"/>
  <c r="AL304" i="5"/>
  <c r="AM303" i="5"/>
  <c r="AL303" i="5"/>
  <c r="AM302" i="5"/>
  <c r="AL302" i="5"/>
  <c r="AM301" i="5"/>
  <c r="AL301" i="5"/>
  <c r="AM300" i="5"/>
  <c r="AL300" i="5"/>
  <c r="AM299" i="5"/>
  <c r="AL299" i="5"/>
  <c r="AM298" i="5"/>
  <c r="AL298" i="5"/>
  <c r="AM297" i="5"/>
  <c r="AL297" i="5"/>
  <c r="AM296" i="5"/>
  <c r="AL296" i="5"/>
  <c r="AM295" i="5"/>
  <c r="AL295" i="5"/>
  <c r="AM294" i="5"/>
  <c r="AL294" i="5"/>
  <c r="AM293" i="5"/>
  <c r="AL293" i="5"/>
  <c r="AM292" i="5"/>
  <c r="AL292" i="5"/>
  <c r="AM291" i="5"/>
  <c r="AL291" i="5"/>
  <c r="AM290" i="5"/>
  <c r="AL290" i="5"/>
  <c r="AM289" i="5"/>
  <c r="AL289" i="5"/>
  <c r="AM288" i="5"/>
  <c r="AL288" i="5"/>
  <c r="AM287" i="5"/>
  <c r="AL287" i="5"/>
  <c r="AM286" i="5"/>
  <c r="AL286" i="5"/>
  <c r="AM285" i="5"/>
  <c r="AL285" i="5"/>
  <c r="AM284" i="5"/>
  <c r="AL284" i="5"/>
  <c r="AM283" i="5"/>
  <c r="AL283" i="5"/>
  <c r="AM282" i="5"/>
  <c r="AL282" i="5"/>
  <c r="AM281" i="5"/>
  <c r="AL281" i="5"/>
  <c r="AM280" i="5"/>
  <c r="AL280" i="5"/>
  <c r="AM279" i="5"/>
  <c r="AL279" i="5"/>
  <c r="AM278" i="5"/>
  <c r="AL278" i="5"/>
  <c r="AM277" i="5"/>
  <c r="AL277" i="5"/>
  <c r="AM276" i="5"/>
  <c r="AL276" i="5"/>
  <c r="AM275" i="5"/>
  <c r="AL275" i="5"/>
  <c r="AM274" i="5"/>
  <c r="AL274" i="5"/>
  <c r="AM273" i="5"/>
  <c r="AL273" i="5"/>
  <c r="AM272" i="5"/>
  <c r="AL272" i="5"/>
  <c r="AM271" i="5"/>
  <c r="AL271" i="5"/>
  <c r="AM270" i="5"/>
  <c r="AL270" i="5"/>
  <c r="AM269" i="5"/>
  <c r="AL269" i="5"/>
  <c r="AM268" i="5"/>
  <c r="AL268" i="5"/>
  <c r="AM267" i="5"/>
  <c r="AL267" i="5"/>
  <c r="AM266" i="5"/>
  <c r="AL266" i="5"/>
  <c r="AM265" i="5"/>
  <c r="AL265" i="5"/>
  <c r="AM264" i="5"/>
  <c r="AL264" i="5"/>
  <c r="AM263" i="5"/>
  <c r="AL263" i="5"/>
  <c r="AM262" i="5"/>
  <c r="AL262" i="5"/>
  <c r="AM261" i="5"/>
  <c r="AL261" i="5"/>
  <c r="AM260" i="5"/>
  <c r="AL260" i="5"/>
  <c r="AM259" i="5"/>
  <c r="AL259" i="5"/>
  <c r="AM258" i="5"/>
  <c r="AL258" i="5"/>
  <c r="AM257" i="5"/>
  <c r="AL257" i="5"/>
  <c r="AM256" i="5"/>
  <c r="AL256" i="5"/>
  <c r="AM255" i="5"/>
  <c r="AL255" i="5"/>
  <c r="AM254" i="5"/>
  <c r="AL254" i="5"/>
  <c r="AM253" i="5"/>
  <c r="AL253" i="5"/>
  <c r="AM252" i="5"/>
  <c r="AL252" i="5"/>
  <c r="AM251" i="5"/>
  <c r="AL251" i="5"/>
  <c r="AM250" i="5"/>
  <c r="AL250" i="5"/>
  <c r="AM249" i="5"/>
  <c r="AL249" i="5"/>
  <c r="AM248" i="5"/>
  <c r="AL248" i="5"/>
  <c r="AM247" i="5"/>
  <c r="AL247" i="5"/>
  <c r="AM246" i="5"/>
  <c r="AL246" i="5"/>
  <c r="AM245" i="5"/>
  <c r="AL245" i="5"/>
  <c r="AM244" i="5"/>
  <c r="AL244" i="5"/>
  <c r="AM243" i="5"/>
  <c r="AL243" i="5"/>
  <c r="AM242" i="5"/>
  <c r="AL242" i="5"/>
  <c r="AM241" i="5"/>
  <c r="AL241" i="5"/>
  <c r="AM240" i="5"/>
  <c r="AL240" i="5"/>
  <c r="AM239" i="5"/>
  <c r="AL239" i="5"/>
  <c r="AM238" i="5"/>
  <c r="AL238" i="5"/>
  <c r="AM237" i="5"/>
  <c r="AL237" i="5"/>
  <c r="AM236" i="5"/>
  <c r="AL236" i="5"/>
  <c r="AM235" i="5"/>
  <c r="AL235" i="5"/>
  <c r="AM234" i="5"/>
  <c r="AL234" i="5"/>
  <c r="AM233" i="5"/>
  <c r="AL233" i="5"/>
  <c r="AM232" i="5"/>
  <c r="AL232" i="5"/>
  <c r="AM231" i="5"/>
  <c r="AL231" i="5"/>
  <c r="AM230" i="5"/>
  <c r="AL230" i="5"/>
  <c r="AM229" i="5"/>
  <c r="AL229" i="5"/>
  <c r="AM228" i="5"/>
  <c r="AL228" i="5"/>
  <c r="AM227" i="5"/>
  <c r="AL227" i="5"/>
  <c r="AM226" i="5"/>
  <c r="AL226" i="5"/>
  <c r="AM225" i="5"/>
  <c r="AL225" i="5"/>
  <c r="AM224" i="5"/>
  <c r="AL224" i="5"/>
  <c r="AM223" i="5"/>
  <c r="AL223" i="5"/>
  <c r="AM222" i="5"/>
  <c r="AL222" i="5"/>
  <c r="AM221" i="5"/>
  <c r="AL221" i="5"/>
  <c r="AM220" i="5"/>
  <c r="AL220" i="5"/>
  <c r="AM219" i="5"/>
  <c r="AL219" i="5"/>
  <c r="AM218" i="5"/>
  <c r="AL218" i="5"/>
  <c r="AM217" i="5"/>
  <c r="AL217" i="5"/>
  <c r="AM216" i="5"/>
  <c r="AL216" i="5"/>
  <c r="AM215" i="5"/>
  <c r="AL215" i="5"/>
  <c r="AM214" i="5"/>
  <c r="AL214" i="5"/>
  <c r="AM213" i="5"/>
  <c r="AL213" i="5"/>
  <c r="AM212" i="5"/>
  <c r="AL212" i="5"/>
  <c r="AM211" i="5"/>
  <c r="AL211" i="5"/>
  <c r="AM210" i="5"/>
  <c r="AL210" i="5"/>
  <c r="AM209" i="5"/>
  <c r="AL209" i="5"/>
  <c r="AM208" i="5"/>
  <c r="AL208" i="5"/>
  <c r="AM207" i="5"/>
  <c r="AL207" i="5"/>
  <c r="AM206" i="5"/>
  <c r="AL206" i="5"/>
  <c r="AM205" i="5"/>
  <c r="AL205" i="5"/>
  <c r="AM204" i="5"/>
  <c r="AL204" i="5"/>
  <c r="AM203" i="5"/>
  <c r="AL203" i="5"/>
  <c r="AM202" i="5"/>
  <c r="AL202" i="5"/>
  <c r="AM201" i="5"/>
  <c r="AL201" i="5"/>
  <c r="AM200" i="5"/>
  <c r="AL200" i="5"/>
  <c r="AM199" i="5"/>
  <c r="AL199" i="5"/>
  <c r="AM198" i="5"/>
  <c r="AL198" i="5"/>
  <c r="AM197" i="5"/>
  <c r="AL197" i="5"/>
  <c r="AM196" i="5"/>
  <c r="AL196" i="5"/>
  <c r="AM195" i="5"/>
  <c r="AL195" i="5"/>
  <c r="AM194" i="5"/>
  <c r="AL194" i="5"/>
  <c r="AM193" i="5"/>
  <c r="AL193" i="5"/>
  <c r="AM192" i="5"/>
  <c r="AL192" i="5"/>
  <c r="AM191" i="5"/>
  <c r="AL191" i="5"/>
  <c r="AM190" i="5"/>
  <c r="AL190" i="5"/>
  <c r="AM189" i="5"/>
  <c r="AL189" i="5"/>
  <c r="AM188" i="5"/>
  <c r="AL188" i="5"/>
  <c r="AM187" i="5"/>
  <c r="AL187" i="5"/>
  <c r="AM186" i="5"/>
  <c r="AL186" i="5"/>
  <c r="AM185" i="5"/>
  <c r="AL185" i="5"/>
  <c r="AM184" i="5"/>
  <c r="AL184" i="5"/>
  <c r="AM183" i="5"/>
  <c r="AL183" i="5"/>
  <c r="AM182" i="5"/>
  <c r="AL182" i="5"/>
  <c r="AM181" i="5"/>
  <c r="AL181" i="5"/>
  <c r="AM180" i="5"/>
  <c r="AL180" i="5"/>
  <c r="AM179" i="5"/>
  <c r="AL179" i="5"/>
  <c r="AM178" i="5"/>
  <c r="AL178" i="5"/>
  <c r="AM177" i="5"/>
  <c r="AL177" i="5"/>
  <c r="AM176" i="5"/>
  <c r="AL176" i="5"/>
  <c r="AM175" i="5"/>
  <c r="AL175" i="5"/>
  <c r="AM174" i="5"/>
  <c r="AL174" i="5"/>
  <c r="AM173" i="5"/>
  <c r="AL173" i="5"/>
  <c r="AM172" i="5"/>
  <c r="AL172" i="5"/>
  <c r="AM171" i="5"/>
  <c r="AL171" i="5"/>
  <c r="AM170" i="5"/>
  <c r="AL170" i="5"/>
  <c r="AM169" i="5"/>
  <c r="AL169" i="5"/>
  <c r="AM168" i="5"/>
  <c r="AL168" i="5"/>
  <c r="AM167" i="5"/>
  <c r="AL167" i="5"/>
  <c r="AM166" i="5"/>
  <c r="AL166" i="5"/>
  <c r="AM165" i="5"/>
  <c r="AL165" i="5"/>
  <c r="AM164" i="5"/>
  <c r="AL164" i="5"/>
  <c r="AM163" i="5"/>
  <c r="AL163" i="5"/>
  <c r="AM162" i="5"/>
  <c r="AL162" i="5"/>
  <c r="AM161" i="5"/>
  <c r="AL161" i="5"/>
  <c r="AM160" i="5"/>
  <c r="AL160" i="5"/>
  <c r="AM159" i="5"/>
  <c r="AL159" i="5"/>
  <c r="AM158" i="5"/>
  <c r="AL158" i="5"/>
  <c r="AM157" i="5"/>
  <c r="AL157" i="5"/>
  <c r="AM156" i="5"/>
  <c r="AL156" i="5"/>
  <c r="AM155" i="5"/>
  <c r="AL155" i="5"/>
  <c r="AM154" i="5"/>
  <c r="AL154" i="5"/>
  <c r="AM153" i="5"/>
  <c r="AL153" i="5"/>
  <c r="AM152" i="5"/>
  <c r="AL152" i="5"/>
  <c r="AM151" i="5"/>
  <c r="AL151" i="5"/>
  <c r="AM150" i="5"/>
  <c r="AL150" i="5"/>
  <c r="AM149" i="5"/>
  <c r="AL149" i="5"/>
  <c r="AM148" i="5"/>
  <c r="AL148" i="5"/>
  <c r="AM147" i="5"/>
  <c r="AL147" i="5"/>
  <c r="AM146" i="5"/>
  <c r="AL146" i="5"/>
  <c r="AM145" i="5"/>
  <c r="AL145" i="5"/>
  <c r="AM144" i="5"/>
  <c r="AL144" i="5"/>
  <c r="AM143" i="5"/>
  <c r="AL143" i="5"/>
  <c r="AM142" i="5"/>
  <c r="AL142" i="5"/>
  <c r="AM141" i="5"/>
  <c r="AL141" i="5"/>
  <c r="AM140" i="5"/>
  <c r="AL140" i="5"/>
  <c r="AM139" i="5"/>
  <c r="AL139" i="5"/>
  <c r="AM138" i="5"/>
  <c r="AL138" i="5"/>
  <c r="AM137" i="5"/>
  <c r="AL137" i="5"/>
  <c r="AM136" i="5"/>
  <c r="AL136" i="5"/>
  <c r="AM135" i="5"/>
  <c r="AL135" i="5"/>
  <c r="AM134" i="5"/>
  <c r="AL134" i="5"/>
  <c r="AM133" i="5"/>
  <c r="AL133" i="5"/>
  <c r="AM132" i="5"/>
  <c r="AL132" i="5"/>
  <c r="AM131" i="5"/>
  <c r="AL131" i="5"/>
  <c r="AM130" i="5"/>
  <c r="AL130" i="5"/>
  <c r="AM129" i="5"/>
  <c r="AL129" i="5"/>
  <c r="AM128" i="5"/>
  <c r="AL128" i="5"/>
  <c r="AM127" i="5"/>
  <c r="AL127" i="5"/>
  <c r="AM126" i="5"/>
  <c r="AL126" i="5"/>
  <c r="AM125" i="5"/>
  <c r="AL125" i="5"/>
  <c r="AM124" i="5"/>
  <c r="AL124" i="5"/>
  <c r="AM123" i="5"/>
  <c r="AL123" i="5"/>
  <c r="AM122" i="5"/>
  <c r="AL122" i="5"/>
  <c r="AM121" i="5"/>
  <c r="AL121" i="5"/>
  <c r="AM120" i="5"/>
  <c r="AL120" i="5"/>
  <c r="AM119" i="5"/>
  <c r="AL119" i="5"/>
  <c r="AM118" i="5"/>
  <c r="AL118" i="5"/>
  <c r="AM117" i="5"/>
  <c r="AL117" i="5"/>
  <c r="AM116" i="5"/>
  <c r="AL116" i="5"/>
  <c r="AM115" i="5"/>
  <c r="AL115" i="5"/>
  <c r="AM114" i="5"/>
  <c r="AL114" i="5"/>
  <c r="AM113" i="5"/>
  <c r="AL113" i="5"/>
  <c r="AM112" i="5"/>
  <c r="AL112" i="5"/>
  <c r="AM111" i="5"/>
  <c r="AL111" i="5"/>
  <c r="AM110" i="5"/>
  <c r="AL110" i="5"/>
  <c r="AM109" i="5"/>
  <c r="AL109" i="5"/>
  <c r="AM108" i="5"/>
  <c r="AL108" i="5"/>
  <c r="AM107" i="5"/>
  <c r="AL107" i="5"/>
  <c r="AM106" i="5"/>
  <c r="AL106" i="5"/>
  <c r="AM105" i="5"/>
  <c r="AL105" i="5"/>
  <c r="AM104" i="5"/>
  <c r="AL104" i="5"/>
  <c r="AM103" i="5"/>
  <c r="AL103" i="5"/>
  <c r="AM102" i="5"/>
  <c r="AL102" i="5"/>
  <c r="AM101" i="5"/>
  <c r="AL101" i="5"/>
  <c r="AM100" i="5"/>
  <c r="AL100" i="5"/>
  <c r="AM99" i="5"/>
  <c r="AL99" i="5"/>
  <c r="AM98" i="5"/>
  <c r="AL98" i="5"/>
  <c r="AM97" i="5"/>
  <c r="AL97" i="5"/>
  <c r="AM96" i="5"/>
  <c r="AL96" i="5"/>
  <c r="AM95" i="5"/>
  <c r="AL95" i="5"/>
  <c r="AM94" i="5"/>
  <c r="AL94" i="5"/>
  <c r="AM93" i="5"/>
  <c r="AL93" i="5"/>
  <c r="AM92" i="5"/>
  <c r="AL92" i="5"/>
  <c r="AM91" i="5"/>
  <c r="AL91" i="5"/>
  <c r="AM90" i="5"/>
  <c r="AL90" i="5"/>
  <c r="AM89" i="5"/>
  <c r="AL89" i="5"/>
  <c r="AM88" i="5"/>
  <c r="AL88" i="5"/>
  <c r="AM87" i="5"/>
  <c r="AL87" i="5"/>
  <c r="AM86" i="5"/>
  <c r="AL86" i="5"/>
  <c r="AM85" i="5"/>
  <c r="AL85" i="5"/>
  <c r="AM84" i="5"/>
  <c r="AL84" i="5"/>
  <c r="AM83" i="5"/>
  <c r="AL83" i="5"/>
  <c r="AM82" i="5"/>
  <c r="AL82" i="5"/>
  <c r="AM81" i="5"/>
  <c r="AL81" i="5"/>
  <c r="AM80" i="5"/>
  <c r="AL80" i="5"/>
  <c r="AM79" i="5"/>
  <c r="AL79" i="5"/>
  <c r="AM78" i="5"/>
  <c r="AL78" i="5"/>
  <c r="AM77" i="5"/>
  <c r="AL77" i="5"/>
  <c r="AM76" i="5"/>
  <c r="AL76" i="5"/>
  <c r="AM75" i="5"/>
  <c r="AL75" i="5"/>
  <c r="AM74" i="5"/>
  <c r="AL74" i="5"/>
  <c r="AM73" i="5"/>
  <c r="AL73" i="5"/>
  <c r="AM72" i="5"/>
  <c r="AL72" i="5"/>
  <c r="AM71" i="5"/>
  <c r="AL71" i="5"/>
  <c r="AM70" i="5"/>
  <c r="AL70" i="5"/>
  <c r="AM69" i="5"/>
  <c r="AL69" i="5"/>
  <c r="AM68" i="5"/>
  <c r="AL68" i="5"/>
  <c r="AM67" i="5"/>
  <c r="AL67" i="5"/>
  <c r="AM66" i="5"/>
  <c r="AL66" i="5"/>
  <c r="AM65" i="5"/>
  <c r="AL65" i="5"/>
  <c r="AM64" i="5"/>
  <c r="AL64" i="5"/>
  <c r="AM63" i="5"/>
  <c r="AL63" i="5"/>
  <c r="AM62" i="5"/>
  <c r="AL62" i="5"/>
  <c r="AM61" i="5"/>
  <c r="AL61" i="5"/>
  <c r="AM60" i="5"/>
  <c r="AL60" i="5"/>
  <c r="AM59" i="5"/>
  <c r="AL59" i="5"/>
  <c r="AM58" i="5"/>
  <c r="AL58" i="5"/>
  <c r="AM57" i="5"/>
  <c r="AL57" i="5"/>
  <c r="AM56" i="5"/>
  <c r="AL56" i="5"/>
  <c r="AM55" i="5"/>
  <c r="AL55" i="5"/>
  <c r="AM54" i="5"/>
  <c r="AL54" i="5"/>
  <c r="AM53" i="5"/>
  <c r="AL53" i="5"/>
  <c r="AM52" i="5"/>
  <c r="AL52" i="5"/>
  <c r="AM51" i="5"/>
  <c r="AL51" i="5"/>
  <c r="AM50" i="5"/>
  <c r="AL50" i="5"/>
  <c r="AM49" i="5"/>
  <c r="AL49" i="5"/>
  <c r="AM48" i="5"/>
  <c r="AL48" i="5"/>
  <c r="AM47" i="5"/>
  <c r="AL47" i="5"/>
  <c r="AM46" i="5"/>
  <c r="AL46" i="5"/>
  <c r="AM45" i="5"/>
  <c r="AL45" i="5"/>
  <c r="AM44" i="5"/>
  <c r="AL44" i="5"/>
  <c r="AM43" i="5"/>
  <c r="AL43" i="5"/>
  <c r="AM42" i="5"/>
  <c r="AL42" i="5"/>
  <c r="AM41" i="5"/>
  <c r="AL41" i="5"/>
  <c r="AM40" i="5"/>
  <c r="AL40" i="5"/>
  <c r="AM39" i="5"/>
  <c r="AL39" i="5"/>
  <c r="AM38" i="5"/>
  <c r="AL38" i="5"/>
  <c r="AM37" i="5"/>
  <c r="AL37" i="5"/>
  <c r="AM36" i="5"/>
  <c r="AL36" i="5"/>
  <c r="AM35" i="5"/>
  <c r="AL35" i="5"/>
  <c r="AM34" i="5"/>
  <c r="AL34" i="5"/>
  <c r="AM33" i="5"/>
  <c r="AL33" i="5"/>
  <c r="AM32" i="5"/>
  <c r="AL32" i="5"/>
  <c r="AM31" i="5"/>
  <c r="AL31" i="5"/>
  <c r="AM30" i="5"/>
  <c r="AL30" i="5"/>
  <c r="AM29" i="5"/>
  <c r="AL29" i="5"/>
  <c r="AM28" i="5"/>
  <c r="AL28" i="5"/>
  <c r="AM27" i="5"/>
  <c r="AL27" i="5"/>
  <c r="AM26" i="5"/>
  <c r="AL26" i="5"/>
  <c r="AM25" i="5"/>
  <c r="AL25" i="5"/>
  <c r="AM24" i="5"/>
  <c r="AL24" i="5"/>
  <c r="AM23" i="5"/>
  <c r="AL23" i="5"/>
  <c r="AM22" i="5"/>
  <c r="AL22" i="5"/>
  <c r="AM21" i="5"/>
  <c r="AL21" i="5"/>
  <c r="AM20" i="5"/>
  <c r="AL20" i="5"/>
  <c r="AM19" i="5"/>
  <c r="AL19" i="5"/>
  <c r="AM18" i="5"/>
  <c r="AL18" i="5"/>
  <c r="AM17" i="5"/>
  <c r="AL17" i="5"/>
  <c r="AM16" i="5"/>
  <c r="AL16" i="5"/>
  <c r="AM15" i="5"/>
  <c r="AL15" i="5"/>
  <c r="AM14" i="5"/>
  <c r="AL14" i="5"/>
  <c r="AM13" i="5"/>
  <c r="AL13" i="5"/>
  <c r="AM12" i="5"/>
  <c r="AL12" i="5"/>
  <c r="AM11" i="5"/>
  <c r="AL11" i="5"/>
  <c r="AM10" i="5"/>
  <c r="AL10" i="5"/>
  <c r="AM9" i="5"/>
  <c r="AL9" i="5"/>
  <c r="AM8" i="5"/>
  <c r="AL8" i="5"/>
  <c r="AM7" i="5"/>
  <c r="AL7" i="5"/>
  <c r="AM6" i="5"/>
  <c r="AL6" i="5"/>
  <c r="AM5" i="5"/>
  <c r="AL5" i="5"/>
  <c r="AM4" i="5"/>
  <c r="AL4" i="5"/>
  <c r="AM3" i="5"/>
  <c r="AL3" i="5"/>
  <c r="AM2" i="5"/>
  <c r="AL2" i="5"/>
  <c r="S2" i="4"/>
  <c r="A2" i="4" s="1"/>
  <c r="C93" i="3"/>
  <c r="B93" i="3"/>
  <c r="C92" i="3"/>
  <c r="B92" i="3"/>
  <c r="C91" i="3"/>
  <c r="B91" i="3"/>
  <c r="C90" i="3"/>
  <c r="B90" i="3"/>
  <c r="C89" i="3"/>
  <c r="B89" i="3"/>
  <c r="C88" i="3"/>
  <c r="B88" i="3"/>
  <c r="C87" i="3"/>
  <c r="B87" i="3"/>
  <c r="C86" i="3"/>
  <c r="B86" i="3"/>
  <c r="C85" i="3"/>
  <c r="B85" i="3"/>
  <c r="C84" i="3"/>
  <c r="B84" i="3"/>
  <c r="C83" i="3"/>
  <c r="B83" i="3"/>
  <c r="C82" i="3"/>
  <c r="B82" i="3"/>
  <c r="C81" i="3"/>
  <c r="B81" i="3"/>
  <c r="C80" i="3"/>
  <c r="B80" i="3"/>
  <c r="C79" i="3"/>
  <c r="B79" i="3"/>
  <c r="C78" i="3"/>
  <c r="B78" i="3"/>
  <c r="C77" i="3"/>
  <c r="B77" i="3"/>
  <c r="C76" i="3"/>
  <c r="B76" i="3"/>
  <c r="C75" i="3"/>
  <c r="B75" i="3"/>
  <c r="C74" i="3"/>
  <c r="B74" i="3"/>
  <c r="C73" i="3"/>
  <c r="B73" i="3"/>
  <c r="C72" i="3"/>
  <c r="B72" i="3"/>
  <c r="C71" i="3"/>
  <c r="B71" i="3"/>
  <c r="C70" i="3"/>
  <c r="B70" i="3"/>
  <c r="C69" i="3"/>
  <c r="B69" i="3"/>
  <c r="C68" i="3"/>
  <c r="B68" i="3"/>
  <c r="C67" i="3"/>
  <c r="B67" i="3"/>
  <c r="C66" i="3"/>
  <c r="B66" i="3"/>
  <c r="C65" i="3"/>
  <c r="B65" i="3"/>
  <c r="C64" i="3"/>
  <c r="B64" i="3"/>
  <c r="C63" i="3"/>
  <c r="B63" i="3"/>
  <c r="C62" i="3"/>
  <c r="B62" i="3"/>
  <c r="C61" i="3"/>
  <c r="B61" i="3"/>
  <c r="C60" i="3"/>
  <c r="B60" i="3"/>
  <c r="C59" i="3"/>
  <c r="B59" i="3"/>
  <c r="C58" i="3"/>
  <c r="B58" i="3"/>
  <c r="C57" i="3"/>
  <c r="B57" i="3"/>
  <c r="C56" i="3"/>
  <c r="B56" i="3"/>
  <c r="C55" i="3"/>
  <c r="B55" i="3"/>
  <c r="C54" i="3"/>
  <c r="B54" i="3"/>
  <c r="C53" i="3"/>
  <c r="B53" i="3"/>
  <c r="C52" i="3"/>
  <c r="B52" i="3"/>
  <c r="C51" i="3"/>
  <c r="B51" i="3"/>
  <c r="C50" i="3"/>
  <c r="B50" i="3"/>
  <c r="C49" i="3"/>
  <c r="B49" i="3"/>
  <c r="C48" i="3"/>
  <c r="B48" i="3"/>
  <c r="C47" i="3"/>
  <c r="B47" i="3"/>
  <c r="C46" i="3"/>
  <c r="B46" i="3"/>
  <c r="C45" i="3"/>
  <c r="B45" i="3"/>
  <c r="C44" i="3"/>
  <c r="B44" i="3"/>
  <c r="C43" i="3"/>
  <c r="B43" i="3"/>
  <c r="C42" i="3"/>
  <c r="B42" i="3"/>
  <c r="C41" i="3"/>
  <c r="B41" i="3"/>
  <c r="C40" i="3"/>
  <c r="B40" i="3"/>
  <c r="C39" i="3"/>
  <c r="B39" i="3"/>
  <c r="C38" i="3"/>
  <c r="B38" i="3"/>
  <c r="C37" i="3"/>
  <c r="B37" i="3"/>
  <c r="C36" i="3"/>
  <c r="B36" i="3"/>
  <c r="C35" i="3"/>
  <c r="B35" i="3"/>
  <c r="C34" i="3"/>
  <c r="B34" i="3"/>
  <c r="C33" i="3"/>
  <c r="B33" i="3"/>
  <c r="C32" i="3"/>
  <c r="B32" i="3"/>
  <c r="C31" i="3"/>
  <c r="B31" i="3"/>
  <c r="C30" i="3"/>
  <c r="B30" i="3"/>
  <c r="C29" i="3"/>
  <c r="B29" i="3"/>
  <c r="C28" i="3"/>
  <c r="B28" i="3"/>
  <c r="C27" i="3"/>
  <c r="B27" i="3"/>
  <c r="C26" i="3"/>
  <c r="B26" i="3"/>
  <c r="C25" i="3"/>
  <c r="B25" i="3"/>
  <c r="C24" i="3"/>
  <c r="B24" i="3"/>
  <c r="C23" i="3"/>
  <c r="B23" i="3"/>
  <c r="C22" i="3"/>
  <c r="B22" i="3"/>
  <c r="C21" i="3"/>
  <c r="B21" i="3"/>
  <c r="C20" i="3"/>
  <c r="B20" i="3"/>
  <c r="C19" i="3"/>
  <c r="B19" i="3"/>
  <c r="C18" i="3"/>
  <c r="B18" i="3"/>
  <c r="C17" i="3"/>
  <c r="B17" i="3"/>
  <c r="C16" i="3"/>
  <c r="B16" i="3"/>
  <c r="C15" i="3"/>
  <c r="B15" i="3"/>
  <c r="C14" i="3"/>
  <c r="B14" i="3"/>
  <c r="C13" i="3"/>
  <c r="B13" i="3"/>
  <c r="C12" i="3"/>
  <c r="B12" i="3"/>
  <c r="C11" i="3"/>
  <c r="B11" i="3"/>
  <c r="C10" i="3"/>
  <c r="B10" i="3"/>
  <c r="C9" i="3"/>
  <c r="B9" i="3"/>
  <c r="C8" i="3"/>
  <c r="B8" i="3"/>
  <c r="C7" i="3"/>
  <c r="B7" i="3"/>
  <c r="C6" i="3"/>
  <c r="B6" i="3"/>
  <c r="C5" i="3"/>
  <c r="B5" i="3"/>
  <c r="C4" i="3"/>
  <c r="B4" i="3"/>
  <c r="C3" i="3"/>
  <c r="B3" i="3"/>
  <c r="C2" i="3"/>
  <c r="B2" i="3"/>
  <c r="L28" i="2"/>
  <c r="N27" i="2"/>
  <c r="M27" i="2"/>
  <c r="L24" i="2"/>
  <c r="L20" i="2"/>
  <c r="K14" i="2"/>
  <c r="J14" i="2"/>
  <c r="K13" i="2"/>
  <c r="K12" i="2"/>
  <c r="K11" i="2"/>
  <c r="J12" i="2" s="1"/>
  <c r="K10" i="2"/>
  <c r="K9" i="2"/>
  <c r="J10" i="2" s="1"/>
  <c r="K8" i="2"/>
  <c r="K7" i="2"/>
  <c r="AC4" i="2"/>
  <c r="AB4" i="2"/>
  <c r="AA4" i="2"/>
  <c r="Z4" i="2"/>
  <c r="Y2" i="2"/>
  <c r="Y4" i="2" s="1"/>
  <c r="X2" i="2"/>
  <c r="X4" i="2" s="1"/>
  <c r="W2" i="2"/>
  <c r="T23" i="2" s="1"/>
  <c r="V2" i="2"/>
  <c r="P19" i="2" s="1"/>
  <c r="U2" i="2"/>
  <c r="U4" i="2" s="1"/>
  <c r="T2" i="2"/>
  <c r="T4" i="2" s="1"/>
  <c r="S2" i="2"/>
  <c r="R2" i="2"/>
  <c r="R4" i="2" s="1"/>
  <c r="Q2" i="2"/>
  <c r="Q4" i="2" s="1"/>
  <c r="P2" i="2"/>
  <c r="P4" i="2" s="1"/>
  <c r="O2" i="2"/>
  <c r="O4" i="2" s="1"/>
  <c r="N2" i="2"/>
  <c r="O23" i="2" s="1"/>
  <c r="M2" i="2"/>
  <c r="N23" i="2" s="1"/>
  <c r="L2" i="2"/>
  <c r="L4" i="2" s="1"/>
  <c r="B39" i="2"/>
  <c r="B38" i="2"/>
  <c r="B37" i="2"/>
  <c r="B36" i="2"/>
  <c r="A28" i="2"/>
  <c r="A27" i="2"/>
  <c r="A26" i="2"/>
  <c r="C26" i="2" s="1"/>
  <c r="D22" i="2" a="1"/>
  <c r="D22" i="2" s="1"/>
  <c r="D10" i="2"/>
  <c r="C10" i="2"/>
  <c r="B10" i="2"/>
  <c r="D9" i="2"/>
  <c r="C9" i="2"/>
  <c r="B9" i="2"/>
  <c r="B18" i="2"/>
  <c r="D4" i="2"/>
  <c r="C4" i="2"/>
  <c r="B4" i="2"/>
  <c r="S6" i="1"/>
  <c r="A4" i="1"/>
  <c r="V24" i="17" a="1"/>
  <c r="V24" i="17" s="1"/>
  <c r="T66" i="17" a="1"/>
  <c r="T66" i="17" s="1"/>
  <c r="Q105" i="17" a="1"/>
  <c r="Q105" i="17" s="1"/>
  <c r="K31" i="17" a="1"/>
  <c r="K31" i="17" s="1"/>
  <c r="L31" i="17" s="1" a="1"/>
  <c r="L31" i="17" s="1"/>
  <c r="F63" i="9" l="1"/>
  <c r="A4" i="10"/>
  <c r="A2" i="10"/>
  <c r="F109" i="10"/>
  <c r="F42" i="11"/>
  <c r="A4" i="11"/>
  <c r="A2" i="11"/>
  <c r="A4" i="9"/>
  <c r="A2" i="9"/>
  <c r="F68" i="9"/>
  <c r="A4" i="8"/>
  <c r="A2" i="8"/>
  <c r="F110" i="8"/>
  <c r="C75" i="10"/>
  <c r="N12" i="17" a="1"/>
  <c r="N12" i="17" s="1"/>
  <c r="N9" i="17" a="1"/>
  <c r="N9" i="17" s="1"/>
  <c r="V4" i="2"/>
  <c r="M19" i="2"/>
  <c r="D4" i="8"/>
  <c r="S23" i="2"/>
  <c r="C68" i="8"/>
  <c r="Q23" i="2"/>
  <c r="M4" i="2"/>
  <c r="U23" i="2"/>
  <c r="J8" i="2"/>
  <c r="L19" i="2"/>
  <c r="J20" i="2" s="1"/>
  <c r="C44" i="9"/>
  <c r="O19" i="2"/>
  <c r="N63" i="17" a="1"/>
  <c r="N63" i="17" s="1"/>
  <c r="F4" i="10"/>
  <c r="C5" i="9"/>
  <c r="C54" i="9"/>
  <c r="C25" i="9"/>
  <c r="C40" i="9"/>
  <c r="H6" i="9"/>
  <c r="C96" i="8"/>
  <c r="C76" i="10"/>
  <c r="U308" i="17" a="1"/>
  <c r="U308" i="17" s="1"/>
  <c r="U300" i="17" a="1"/>
  <c r="U300" i="17" s="1"/>
  <c r="U292" i="17" a="1"/>
  <c r="U292" i="17" s="1"/>
  <c r="U284" i="17" a="1"/>
  <c r="U284" i="17" s="1"/>
  <c r="U276" i="17" a="1"/>
  <c r="U276" i="17" s="1"/>
  <c r="U268" i="17" a="1"/>
  <c r="U268" i="17" s="1"/>
  <c r="U260" i="17" a="1"/>
  <c r="U260" i="17" s="1"/>
  <c r="U252" i="17" a="1"/>
  <c r="U252" i="17" s="1"/>
  <c r="U244" i="17" a="1"/>
  <c r="U244" i="17" s="1"/>
  <c r="U236" i="17" a="1"/>
  <c r="U236" i="17" s="1"/>
  <c r="U228" i="17" a="1"/>
  <c r="U228" i="17" s="1"/>
  <c r="U220" i="17" a="1"/>
  <c r="U220" i="17" s="1"/>
  <c r="U212" i="17" a="1"/>
  <c r="U212" i="17" s="1"/>
  <c r="U204" i="17" a="1"/>
  <c r="U204" i="17" s="1"/>
  <c r="U196" i="17" a="1"/>
  <c r="U196" i="17" s="1"/>
  <c r="U188" i="17" a="1"/>
  <c r="U188" i="17" s="1"/>
  <c r="U180" i="17" a="1"/>
  <c r="U180" i="17" s="1"/>
  <c r="U172" i="17" a="1"/>
  <c r="U172" i="17" s="1"/>
  <c r="U164" i="17" a="1"/>
  <c r="U164" i="17" s="1"/>
  <c r="U156" i="17" a="1"/>
  <c r="U156" i="17" s="1"/>
  <c r="U148" i="17" a="1"/>
  <c r="U148" i="17" s="1"/>
  <c r="U140" i="17" a="1"/>
  <c r="U140" i="17" s="1"/>
  <c r="U132" i="17" a="1"/>
  <c r="U132" i="17" s="1"/>
  <c r="U124" i="17" a="1"/>
  <c r="U124" i="17" s="1"/>
  <c r="U116" i="17" a="1"/>
  <c r="U116" i="17" s="1"/>
  <c r="U108" i="17" a="1"/>
  <c r="U108" i="17" s="1"/>
  <c r="U100" i="17" a="1"/>
  <c r="U100" i="17" s="1"/>
  <c r="U92" i="17" a="1"/>
  <c r="U92" i="17" s="1"/>
  <c r="U84" i="17" a="1"/>
  <c r="U84" i="17" s="1"/>
  <c r="U76" i="17" a="1"/>
  <c r="U76" i="17" s="1"/>
  <c r="U68" i="17" a="1"/>
  <c r="U68" i="17" s="1"/>
  <c r="U60" i="17" a="1"/>
  <c r="U60" i="17" s="1"/>
  <c r="U52" i="17" a="1"/>
  <c r="U52" i="17" s="1"/>
  <c r="U44" i="17" a="1"/>
  <c r="U44" i="17" s="1"/>
  <c r="U36" i="17" a="1"/>
  <c r="U36" i="17" s="1"/>
  <c r="U28" i="17" a="1"/>
  <c r="U28" i="17" s="1"/>
  <c r="U20" i="17" a="1"/>
  <c r="U20" i="17" s="1"/>
  <c r="U12" i="17" a="1"/>
  <c r="U12" i="17" s="1"/>
  <c r="U4" i="17" a="1"/>
  <c r="U4" i="17" s="1"/>
  <c r="S305" i="17" a="1"/>
  <c r="S305" i="17" s="1"/>
  <c r="S297" i="17" a="1"/>
  <c r="S297" i="17" s="1"/>
  <c r="S289" i="17" a="1"/>
  <c r="S289" i="17" s="1"/>
  <c r="S281" i="17" a="1"/>
  <c r="S281" i="17" s="1"/>
  <c r="S273" i="17" a="1"/>
  <c r="S273" i="17" s="1"/>
  <c r="S265" i="17" a="1"/>
  <c r="S265" i="17" s="1"/>
  <c r="S257" i="17" a="1"/>
  <c r="S257" i="17" s="1"/>
  <c r="S249" i="17" a="1"/>
  <c r="S249" i="17" s="1"/>
  <c r="S241" i="17" a="1"/>
  <c r="S241" i="17" s="1"/>
  <c r="S233" i="17" a="1"/>
  <c r="S233" i="17" s="1"/>
  <c r="S225" i="17" a="1"/>
  <c r="S225" i="17" s="1"/>
  <c r="S217" i="17" a="1"/>
  <c r="S217" i="17" s="1"/>
  <c r="S209" i="17" a="1"/>
  <c r="S209" i="17" s="1"/>
  <c r="S201" i="17" a="1"/>
  <c r="S201" i="17" s="1"/>
  <c r="S193" i="17" a="1"/>
  <c r="S193" i="17" s="1"/>
  <c r="S185" i="17" a="1"/>
  <c r="S185" i="17" s="1"/>
  <c r="S177" i="17" a="1"/>
  <c r="S177" i="17" s="1"/>
  <c r="S169" i="17" a="1"/>
  <c r="S169" i="17" s="1"/>
  <c r="S161" i="17" a="1"/>
  <c r="S161" i="17" s="1"/>
  <c r="S153" i="17" a="1"/>
  <c r="S153" i="17" s="1"/>
  <c r="S145" i="17" a="1"/>
  <c r="S145" i="17" s="1"/>
  <c r="S137" i="17" a="1"/>
  <c r="S137" i="17" s="1"/>
  <c r="S129" i="17" a="1"/>
  <c r="S129" i="17" s="1"/>
  <c r="S120" i="17" a="1"/>
  <c r="S120" i="17" s="1"/>
  <c r="S111" i="17" a="1"/>
  <c r="S111" i="17" s="1"/>
  <c r="S102" i="17" a="1"/>
  <c r="S102" i="17" s="1"/>
  <c r="S93" i="17" a="1"/>
  <c r="S93" i="17" s="1"/>
  <c r="S84" i="17" a="1"/>
  <c r="S84" i="17" s="1"/>
  <c r="S70" i="17" a="1"/>
  <c r="S70" i="17" s="1"/>
  <c r="S52" i="17" a="1"/>
  <c r="S52" i="17" s="1"/>
  <c r="S28" i="17" a="1"/>
  <c r="S28" i="17" s="1"/>
  <c r="V6" i="17" a="1"/>
  <c r="V6" i="17" s="1"/>
  <c r="V22" i="17" a="1"/>
  <c r="V22" i="17" s="1"/>
  <c r="R35" i="17" a="1"/>
  <c r="R35" i="17" s="1"/>
  <c r="T57" i="17" a="1"/>
  <c r="T57" i="17" s="1"/>
  <c r="R69" i="17" a="1"/>
  <c r="R69" i="17" s="1"/>
  <c r="Q81" i="17" a="1"/>
  <c r="Q81" i="17" s="1"/>
  <c r="T94" i="17" a="1"/>
  <c r="T94" i="17" s="1"/>
  <c r="C66" i="9"/>
  <c r="C38" i="10"/>
  <c r="C12" i="10"/>
  <c r="U307" i="17" a="1"/>
  <c r="U307" i="17" s="1"/>
  <c r="U299" i="17" a="1"/>
  <c r="U299" i="17" s="1"/>
  <c r="U291" i="17" a="1"/>
  <c r="U291" i="17" s="1"/>
  <c r="U283" i="17" a="1"/>
  <c r="U283" i="17" s="1"/>
  <c r="U275" i="17" a="1"/>
  <c r="U275" i="17" s="1"/>
  <c r="U267" i="17" a="1"/>
  <c r="U267" i="17" s="1"/>
  <c r="U259" i="17" a="1"/>
  <c r="U259" i="17" s="1"/>
  <c r="U251" i="17" a="1"/>
  <c r="U251" i="17" s="1"/>
  <c r="U243" i="17" a="1"/>
  <c r="U243" i="17" s="1"/>
  <c r="U235" i="17" a="1"/>
  <c r="U235" i="17" s="1"/>
  <c r="U227" i="17" a="1"/>
  <c r="U227" i="17" s="1"/>
  <c r="U219" i="17" a="1"/>
  <c r="U219" i="17" s="1"/>
  <c r="U211" i="17" a="1"/>
  <c r="U211" i="17" s="1"/>
  <c r="U203" i="17" a="1"/>
  <c r="U203" i="17" s="1"/>
  <c r="U195" i="17" a="1"/>
  <c r="U195" i="17" s="1"/>
  <c r="U187" i="17" a="1"/>
  <c r="U187" i="17" s="1"/>
  <c r="U179" i="17" a="1"/>
  <c r="U179" i="17" s="1"/>
  <c r="U171" i="17" a="1"/>
  <c r="U171" i="17" s="1"/>
  <c r="U163" i="17" a="1"/>
  <c r="U163" i="17" s="1"/>
  <c r="U155" i="17" a="1"/>
  <c r="U155" i="17" s="1"/>
  <c r="U147" i="17" a="1"/>
  <c r="U147" i="17" s="1"/>
  <c r="U139" i="17" a="1"/>
  <c r="U139" i="17" s="1"/>
  <c r="U131" i="17" a="1"/>
  <c r="U131" i="17" s="1"/>
  <c r="U123" i="17" a="1"/>
  <c r="U123" i="17" s="1"/>
  <c r="U115" i="17" a="1"/>
  <c r="U115" i="17" s="1"/>
  <c r="U107" i="17" a="1"/>
  <c r="U107" i="17" s="1"/>
  <c r="U99" i="17" a="1"/>
  <c r="U99" i="17" s="1"/>
  <c r="U91" i="17" a="1"/>
  <c r="U91" i="17" s="1"/>
  <c r="U83" i="17" a="1"/>
  <c r="U83" i="17" s="1"/>
  <c r="U75" i="17" a="1"/>
  <c r="U75" i="17" s="1"/>
  <c r="U67" i="17" a="1"/>
  <c r="U67" i="17" s="1"/>
  <c r="U59" i="17" a="1"/>
  <c r="U59" i="17" s="1"/>
  <c r="U51" i="17" a="1"/>
  <c r="U51" i="17" s="1"/>
  <c r="U43" i="17" a="1"/>
  <c r="U43" i="17" s="1"/>
  <c r="U35" i="17" a="1"/>
  <c r="U35" i="17" s="1"/>
  <c r="U27" i="17" a="1"/>
  <c r="U27" i="17" s="1"/>
  <c r="U19" i="17" a="1"/>
  <c r="U19" i="17" s="1"/>
  <c r="U11" i="17" a="1"/>
  <c r="U11" i="17" s="1"/>
  <c r="S3" i="17" a="1"/>
  <c r="S3" i="17" s="1"/>
  <c r="S304" i="17" a="1"/>
  <c r="S304" i="17" s="1"/>
  <c r="S296" i="17" a="1"/>
  <c r="S296" i="17" s="1"/>
  <c r="S288" i="17" a="1"/>
  <c r="S288" i="17" s="1"/>
  <c r="S280" i="17" a="1"/>
  <c r="S280" i="17" s="1"/>
  <c r="S272" i="17" a="1"/>
  <c r="S272" i="17" s="1"/>
  <c r="S264" i="17" a="1"/>
  <c r="S264" i="17" s="1"/>
  <c r="S256" i="17" a="1"/>
  <c r="S256" i="17" s="1"/>
  <c r="S248" i="17" a="1"/>
  <c r="S248" i="17" s="1"/>
  <c r="S240" i="17" a="1"/>
  <c r="S240" i="17" s="1"/>
  <c r="S232" i="17" a="1"/>
  <c r="S232" i="17" s="1"/>
  <c r="S224" i="17" a="1"/>
  <c r="S224" i="17" s="1"/>
  <c r="S216" i="17" a="1"/>
  <c r="S216" i="17" s="1"/>
  <c r="S208" i="17" a="1"/>
  <c r="S208" i="17" s="1"/>
  <c r="S200" i="17" a="1"/>
  <c r="S200" i="17" s="1"/>
  <c r="S192" i="17" a="1"/>
  <c r="S192" i="17" s="1"/>
  <c r="S184" i="17" a="1"/>
  <c r="S184" i="17" s="1"/>
  <c r="S176" i="17" a="1"/>
  <c r="S176" i="17" s="1"/>
  <c r="S168" i="17" a="1"/>
  <c r="S168" i="17" s="1"/>
  <c r="S160" i="17" a="1"/>
  <c r="S160" i="17" s="1"/>
  <c r="S152" i="17" a="1"/>
  <c r="S152" i="17" s="1"/>
  <c r="S144" i="17" a="1"/>
  <c r="S144" i="17" s="1"/>
  <c r="S136" i="17" a="1"/>
  <c r="S136" i="17" s="1"/>
  <c r="S128" i="17" a="1"/>
  <c r="S128" i="17" s="1"/>
  <c r="S119" i="17" a="1"/>
  <c r="S119" i="17" s="1"/>
  <c r="S110" i="17" a="1"/>
  <c r="S110" i="17" s="1"/>
  <c r="S101" i="17" a="1"/>
  <c r="S101" i="17" s="1"/>
  <c r="S92" i="17" a="1"/>
  <c r="S92" i="17" s="1"/>
  <c r="S82" i="17" a="1"/>
  <c r="S82" i="17" s="1"/>
  <c r="S68" i="17" a="1"/>
  <c r="S68" i="17" s="1"/>
  <c r="S50" i="17" a="1"/>
  <c r="S50" i="17" s="1"/>
  <c r="S26" i="17" a="1"/>
  <c r="S26" i="17" s="1"/>
  <c r="V8" i="17" a="1"/>
  <c r="V8" i="17" s="1"/>
  <c r="T36" i="17" a="1"/>
  <c r="T36" i="17" s="1"/>
  <c r="Q59" i="17" a="1"/>
  <c r="Q59" i="17" s="1"/>
  <c r="R82" i="17" a="1"/>
  <c r="R82" i="17" s="1"/>
  <c r="C44" i="10"/>
  <c r="V311" i="17" a="1"/>
  <c r="V311" i="17" s="1"/>
  <c r="V309" i="17" a="1"/>
  <c r="V309" i="17" s="1"/>
  <c r="V307" i="17" a="1"/>
  <c r="V307" i="17" s="1"/>
  <c r="V305" i="17" a="1"/>
  <c r="V305" i="17" s="1"/>
  <c r="V303" i="17" a="1"/>
  <c r="V303" i="17" s="1"/>
  <c r="V301" i="17" a="1"/>
  <c r="V301" i="17" s="1"/>
  <c r="V299" i="17" a="1"/>
  <c r="V299" i="17" s="1"/>
  <c r="V297" i="17" a="1"/>
  <c r="V297" i="17" s="1"/>
  <c r="V295" i="17" a="1"/>
  <c r="V295" i="17" s="1"/>
  <c r="V293" i="17" a="1"/>
  <c r="V293" i="17" s="1"/>
  <c r="V291" i="17" a="1"/>
  <c r="V291" i="17" s="1"/>
  <c r="V289" i="17" a="1"/>
  <c r="V289" i="17" s="1"/>
  <c r="V287" i="17" a="1"/>
  <c r="V287" i="17" s="1"/>
  <c r="V285" i="17" a="1"/>
  <c r="V285" i="17" s="1"/>
  <c r="V283" i="17" a="1"/>
  <c r="V283" i="17" s="1"/>
  <c r="V281" i="17" a="1"/>
  <c r="V281" i="17" s="1"/>
  <c r="V279" i="17" a="1"/>
  <c r="V279" i="17" s="1"/>
  <c r="V277" i="17" a="1"/>
  <c r="V277" i="17" s="1"/>
  <c r="V275" i="17" a="1"/>
  <c r="V275" i="17" s="1"/>
  <c r="V273" i="17" a="1"/>
  <c r="V273" i="17" s="1"/>
  <c r="V264" i="17" a="1"/>
  <c r="V264" i="17" s="1"/>
  <c r="V257" i="17" a="1"/>
  <c r="V257" i="17" s="1"/>
  <c r="V250" i="17" a="1"/>
  <c r="V250" i="17" s="1"/>
  <c r="V241" i="17" a="1"/>
  <c r="V241" i="17" s="1"/>
  <c r="V234" i="17" a="1"/>
  <c r="V234" i="17" s="1"/>
  <c r="V232" i="17" a="1"/>
  <c r="V232" i="17" s="1"/>
  <c r="V213" i="17" a="1"/>
  <c r="V213" i="17" s="1"/>
  <c r="V209" i="17" a="1"/>
  <c r="V209" i="17" s="1"/>
  <c r="V198" i="17" a="1"/>
  <c r="V198" i="17" s="1"/>
  <c r="V194" i="17" a="1"/>
  <c r="V194" i="17" s="1"/>
  <c r="V179" i="17" a="1"/>
  <c r="V179" i="17" s="1"/>
  <c r="V175" i="17" a="1"/>
  <c r="V175" i="17" s="1"/>
  <c r="V267" i="17" a="1"/>
  <c r="V267" i="17" s="1"/>
  <c r="V260" i="17" a="1"/>
  <c r="V260" i="17" s="1"/>
  <c r="V255" i="17" a="1"/>
  <c r="V255" i="17" s="1"/>
  <c r="V253" i="17" a="1"/>
  <c r="V253" i="17" s="1"/>
  <c r="V246" i="17" a="1"/>
  <c r="V246" i="17" s="1"/>
  <c r="V244" i="17" a="1"/>
  <c r="V244" i="17" s="1"/>
  <c r="V239" i="17" a="1"/>
  <c r="V239" i="17" s="1"/>
  <c r="V237" i="17" a="1"/>
  <c r="V237" i="17" s="1"/>
  <c r="V225" i="17" a="1"/>
  <c r="V225" i="17" s="1"/>
  <c r="V214" i="17" a="1"/>
  <c r="V214" i="17" s="1"/>
  <c r="V210" i="17" a="1"/>
  <c r="V210" i="17" s="1"/>
  <c r="V265" i="17" a="1"/>
  <c r="V265" i="17" s="1"/>
  <c r="V251" i="17" a="1"/>
  <c r="V251" i="17" s="1"/>
  <c r="V235" i="17" a="1"/>
  <c r="V235" i="17" s="1"/>
  <c r="V222" i="17" a="1"/>
  <c r="V222" i="17" s="1"/>
  <c r="V218" i="17" a="1"/>
  <c r="V218" i="17" s="1"/>
  <c r="V203" i="17" a="1"/>
  <c r="V203" i="17" s="1"/>
  <c r="V199" i="17" a="1"/>
  <c r="V199" i="17" s="1"/>
  <c r="V310" i="17" a="1"/>
  <c r="V310" i="17" s="1"/>
  <c r="V308" i="17" a="1"/>
  <c r="V308" i="17" s="1"/>
  <c r="V306" i="17" a="1"/>
  <c r="V306" i="17" s="1"/>
  <c r="V304" i="17" a="1"/>
  <c r="V304" i="17" s="1"/>
  <c r="V302" i="17" a="1"/>
  <c r="V302" i="17" s="1"/>
  <c r="V300" i="17" a="1"/>
  <c r="V300" i="17" s="1"/>
  <c r="V298" i="17" a="1"/>
  <c r="V298" i="17" s="1"/>
  <c r="V296" i="17" a="1"/>
  <c r="V296" i="17" s="1"/>
  <c r="V294" i="17" a="1"/>
  <c r="V294" i="17" s="1"/>
  <c r="V292" i="17" a="1"/>
  <c r="V292" i="17" s="1"/>
  <c r="V290" i="17" a="1"/>
  <c r="V290" i="17" s="1"/>
  <c r="V288" i="17" a="1"/>
  <c r="V288" i="17" s="1"/>
  <c r="V286" i="17" a="1"/>
  <c r="V286" i="17" s="1"/>
  <c r="V284" i="17" a="1"/>
  <c r="V284" i="17" s="1"/>
  <c r="V282" i="17" a="1"/>
  <c r="V282" i="17" s="1"/>
  <c r="V280" i="17" a="1"/>
  <c r="V280" i="17" s="1"/>
  <c r="V278" i="17" a="1"/>
  <c r="V278" i="17" s="1"/>
  <c r="V276" i="17" a="1"/>
  <c r="V276" i="17" s="1"/>
  <c r="V274" i="17" a="1"/>
  <c r="V274" i="17" s="1"/>
  <c r="V272" i="17" a="1"/>
  <c r="V272" i="17" s="1"/>
  <c r="V258" i="17" a="1"/>
  <c r="V258" i="17" s="1"/>
  <c r="V249" i="17" a="1"/>
  <c r="V249" i="17" s="1"/>
  <c r="V242" i="17" a="1"/>
  <c r="V242" i="17" s="1"/>
  <c r="V233" i="17" a="1"/>
  <c r="V233" i="17" s="1"/>
  <c r="V226" i="17" a="1"/>
  <c r="V226" i="17" s="1"/>
  <c r="V211" i="17" a="1"/>
  <c r="V211" i="17" s="1"/>
  <c r="V207" i="17" a="1"/>
  <c r="V207" i="17" s="1"/>
  <c r="V270" i="17" a="1"/>
  <c r="V270" i="17" s="1"/>
  <c r="V268" i="17" a="1"/>
  <c r="V268" i="17" s="1"/>
  <c r="V263" i="17" a="1"/>
  <c r="V263" i="17" s="1"/>
  <c r="V261" i="17" a="1"/>
  <c r="V261" i="17" s="1"/>
  <c r="V256" i="17" a="1"/>
  <c r="V256" i="17" s="1"/>
  <c r="V240" i="17" a="1"/>
  <c r="V240" i="17" s="1"/>
  <c r="V231" i="17" a="1"/>
  <c r="V231" i="17" s="1"/>
  <c r="V229" i="17" a="1"/>
  <c r="V229" i="17" s="1"/>
  <c r="V219" i="17" a="1"/>
  <c r="V219" i="17" s="1"/>
  <c r="V215" i="17" a="1"/>
  <c r="V215" i="17" s="1"/>
  <c r="V208" i="17" a="1"/>
  <c r="V208" i="17" s="1"/>
  <c r="V204" i="17" a="1"/>
  <c r="V204" i="17" s="1"/>
  <c r="V254" i="17" a="1"/>
  <c r="V254" i="17" s="1"/>
  <c r="V252" i="17" a="1"/>
  <c r="V252" i="17" s="1"/>
  <c r="V247" i="17" a="1"/>
  <c r="V247" i="17" s="1"/>
  <c r="V245" i="17" a="1"/>
  <c r="V245" i="17" s="1"/>
  <c r="V238" i="17" a="1"/>
  <c r="V238" i="17" s="1"/>
  <c r="V236" i="17" a="1"/>
  <c r="V236" i="17" s="1"/>
  <c r="V227" i="17" a="1"/>
  <c r="V227" i="17" s="1"/>
  <c r="V223" i="17" a="1"/>
  <c r="V223" i="17" s="1"/>
  <c r="V216" i="17" a="1"/>
  <c r="V216" i="17" s="1"/>
  <c r="V212" i="17" a="1"/>
  <c r="V212" i="17" s="1"/>
  <c r="V197" i="17" a="1"/>
  <c r="V197" i="17" s="1"/>
  <c r="V266" i="17" a="1"/>
  <c r="V266" i="17" s="1"/>
  <c r="V259" i="17" a="1"/>
  <c r="V259" i="17" s="1"/>
  <c r="V243" i="17" a="1"/>
  <c r="V243" i="17" s="1"/>
  <c r="V224" i="17" a="1"/>
  <c r="V224" i="17" s="1"/>
  <c r="V220" i="17" a="1"/>
  <c r="V220" i="17" s="1"/>
  <c r="V205" i="17" a="1"/>
  <c r="V205" i="17" s="1"/>
  <c r="V201" i="17" a="1"/>
  <c r="V201" i="17" s="1"/>
  <c r="V262" i="17" a="1"/>
  <c r="V262" i="17" s="1"/>
  <c r="V248" i="17" a="1"/>
  <c r="V248" i="17" s="1"/>
  <c r="V221" i="17" a="1"/>
  <c r="V221" i="17" s="1"/>
  <c r="V202" i="17" a="1"/>
  <c r="V202" i="17" s="1"/>
  <c r="V190" i="17" a="1"/>
  <c r="V190" i="17" s="1"/>
  <c r="V166" i="17" a="1"/>
  <c r="V166" i="17" s="1"/>
  <c r="V162" i="17" a="1"/>
  <c r="V162" i="17" s="1"/>
  <c r="V152" i="17" a="1"/>
  <c r="V152" i="17" s="1"/>
  <c r="V149" i="17" a="1"/>
  <c r="V149" i="17" s="1"/>
  <c r="V146" i="17" a="1"/>
  <c r="V146" i="17" s="1"/>
  <c r="V135" i="17" a="1"/>
  <c r="V135" i="17" s="1"/>
  <c r="V128" i="17" a="1"/>
  <c r="V128" i="17" s="1"/>
  <c r="V122" i="17" a="1"/>
  <c r="V122" i="17" s="1"/>
  <c r="V119" i="17" a="1"/>
  <c r="V119" i="17" s="1"/>
  <c r="V193" i="17" a="1"/>
  <c r="V193" i="17" s="1"/>
  <c r="V182" i="17" a="1"/>
  <c r="V182" i="17" s="1"/>
  <c r="V170" i="17" a="1"/>
  <c r="V170" i="17" s="1"/>
  <c r="V156" i="17" a="1"/>
  <c r="V156" i="17" s="1"/>
  <c r="V153" i="17" a="1"/>
  <c r="V153" i="17" s="1"/>
  <c r="V138" i="17" a="1"/>
  <c r="V138" i="17" s="1"/>
  <c r="V132" i="17" a="1"/>
  <c r="V132" i="17" s="1"/>
  <c r="V116" i="17" a="1"/>
  <c r="V116" i="17" s="1"/>
  <c r="V110" i="17" a="1"/>
  <c r="V110" i="17" s="1"/>
  <c r="V104" i="17" a="1"/>
  <c r="V104" i="17" s="1"/>
  <c r="V95" i="17" a="1"/>
  <c r="V95" i="17" s="1"/>
  <c r="V230" i="17" a="1"/>
  <c r="V230" i="17" s="1"/>
  <c r="V196" i="17" a="1"/>
  <c r="V196" i="17" s="1"/>
  <c r="V188" i="17" a="1"/>
  <c r="V188" i="17" s="1"/>
  <c r="V185" i="17" a="1"/>
  <c r="V185" i="17" s="1"/>
  <c r="V174" i="17" a="1"/>
  <c r="V174" i="17" s="1"/>
  <c r="V163" i="17" a="1"/>
  <c r="V163" i="17" s="1"/>
  <c r="V159" i="17" a="1"/>
  <c r="V159" i="17" s="1"/>
  <c r="V144" i="17" a="1"/>
  <c r="V144" i="17" s="1"/>
  <c r="V141" i="17" a="1"/>
  <c r="V141" i="17" s="1"/>
  <c r="V126" i="17" a="1"/>
  <c r="V126" i="17" s="1"/>
  <c r="V113" i="17" a="1"/>
  <c r="V113" i="17" s="1"/>
  <c r="V107" i="17" a="1"/>
  <c r="V107" i="17" s="1"/>
  <c r="V271" i="17" a="1"/>
  <c r="V271" i="17" s="1"/>
  <c r="V228" i="17" a="1"/>
  <c r="V228" i="17" s="1"/>
  <c r="V217" i="17" a="1"/>
  <c r="V217" i="17" s="1"/>
  <c r="V206" i="17" a="1"/>
  <c r="V206" i="17" s="1"/>
  <c r="V191" i="17" a="1"/>
  <c r="V191" i="17" s="1"/>
  <c r="V180" i="17" a="1"/>
  <c r="V180" i="17" s="1"/>
  <c r="V177" i="17" a="1"/>
  <c r="V177" i="17" s="1"/>
  <c r="V171" i="17" a="1"/>
  <c r="V171" i="17" s="1"/>
  <c r="V167" i="17" a="1"/>
  <c r="V167" i="17" s="1"/>
  <c r="V160" i="17" a="1"/>
  <c r="V160" i="17" s="1"/>
  <c r="V147" i="17" a="1"/>
  <c r="V147" i="17" s="1"/>
  <c r="V136" i="17" a="1"/>
  <c r="V136" i="17" s="1"/>
  <c r="V129" i="17" a="1"/>
  <c r="V129" i="17" s="1"/>
  <c r="V123" i="17" a="1"/>
  <c r="V123" i="17" s="1"/>
  <c r="V117" i="17" a="1"/>
  <c r="V117" i="17" s="1"/>
  <c r="V114" i="17" a="1"/>
  <c r="V114" i="17" s="1"/>
  <c r="V102" i="17" a="1"/>
  <c r="V102" i="17" s="1"/>
  <c r="V99" i="17" a="1"/>
  <c r="V99" i="17" s="1"/>
  <c r="V96" i="17" a="1"/>
  <c r="V96" i="17" s="1"/>
  <c r="V269" i="17" a="1"/>
  <c r="V269" i="17" s="1"/>
  <c r="V200" i="17" a="1"/>
  <c r="V200" i="17" s="1"/>
  <c r="V183" i="17" a="1"/>
  <c r="V183" i="17" s="1"/>
  <c r="V168" i="17" a="1"/>
  <c r="V168" i="17" s="1"/>
  <c r="V164" i="17" a="1"/>
  <c r="V164" i="17" s="1"/>
  <c r="V157" i="17" a="1"/>
  <c r="V157" i="17" s="1"/>
  <c r="V154" i="17" a="1"/>
  <c r="V154" i="17" s="1"/>
  <c r="V150" i="17" a="1"/>
  <c r="V150" i="17" s="1"/>
  <c r="V142" i="17" a="1"/>
  <c r="V142" i="17" s="1"/>
  <c r="V139" i="17" a="1"/>
  <c r="V139" i="17" s="1"/>
  <c r="V133" i="17" a="1"/>
  <c r="V133" i="17" s="1"/>
  <c r="V130" i="17" a="1"/>
  <c r="V130" i="17" s="1"/>
  <c r="V127" i="17" a="1"/>
  <c r="V127" i="17" s="1"/>
  <c r="V120" i="17" a="1"/>
  <c r="V120" i="17" s="1"/>
  <c r="V111" i="17" a="1"/>
  <c r="V111" i="17" s="1"/>
  <c r="V108" i="17" a="1"/>
  <c r="V108" i="17" s="1"/>
  <c r="V105" i="17" a="1"/>
  <c r="V105" i="17" s="1"/>
  <c r="V93" i="17" a="1"/>
  <c r="V93" i="17" s="1"/>
  <c r="V86" i="17" a="1"/>
  <c r="V86" i="17" s="1"/>
  <c r="V192" i="17" a="1"/>
  <c r="V192" i="17" s="1"/>
  <c r="V189" i="17" a="1"/>
  <c r="V189" i="17" s="1"/>
  <c r="V186" i="17" a="1"/>
  <c r="V186" i="17" s="1"/>
  <c r="V172" i="17" a="1"/>
  <c r="V172" i="17" s="1"/>
  <c r="V151" i="17" a="1"/>
  <c r="V151" i="17" s="1"/>
  <c r="V145" i="17" a="1"/>
  <c r="V145" i="17" s="1"/>
  <c r="V124" i="17" a="1"/>
  <c r="V124" i="17" s="1"/>
  <c r="V100" i="17" a="1"/>
  <c r="V100" i="17" s="1"/>
  <c r="V184" i="17" a="1"/>
  <c r="V184" i="17" s="1"/>
  <c r="V181" i="17" a="1"/>
  <c r="V181" i="17" s="1"/>
  <c r="V178" i="17" a="1"/>
  <c r="V178" i="17" s="1"/>
  <c r="V165" i="17" a="1"/>
  <c r="V165" i="17" s="1"/>
  <c r="V161" i="17" a="1"/>
  <c r="V161" i="17" s="1"/>
  <c r="V155" i="17" a="1"/>
  <c r="V155" i="17" s="1"/>
  <c r="V148" i="17" a="1"/>
  <c r="V148" i="17" s="1"/>
  <c r="V140" i="17" a="1"/>
  <c r="V140" i="17" s="1"/>
  <c r="V137" i="17" a="1"/>
  <c r="V137" i="17" s="1"/>
  <c r="V134" i="17" a="1"/>
  <c r="V134" i="17" s="1"/>
  <c r="V118" i="17" a="1"/>
  <c r="V118" i="17" s="1"/>
  <c r="V106" i="17" a="1"/>
  <c r="V106" i="17" s="1"/>
  <c r="V103" i="17" a="1"/>
  <c r="V103" i="17" s="1"/>
  <c r="V173" i="17" a="1"/>
  <c r="V173" i="17" s="1"/>
  <c r="V115" i="17" a="1"/>
  <c r="V115" i="17" s="1"/>
  <c r="V80" i="17" a="1"/>
  <c r="V80" i="17" s="1"/>
  <c r="V70" i="17" a="1"/>
  <c r="V70" i="17" s="1"/>
  <c r="V67" i="17" a="1"/>
  <c r="V67" i="17" s="1"/>
  <c r="V61" i="17" a="1"/>
  <c r="V61" i="17" s="1"/>
  <c r="V55" i="17" a="1"/>
  <c r="V55" i="17" s="1"/>
  <c r="V41" i="17" a="1"/>
  <c r="V41" i="17" s="1"/>
  <c r="V37" i="17" a="1"/>
  <c r="V37" i="17" s="1"/>
  <c r="V125" i="17" a="1"/>
  <c r="V125" i="17" s="1"/>
  <c r="V91" i="17" a="1"/>
  <c r="V91" i="17" s="1"/>
  <c r="V89" i="17" a="1"/>
  <c r="V89" i="17" s="1"/>
  <c r="V77" i="17" a="1"/>
  <c r="V77" i="17" s="1"/>
  <c r="V71" i="17" a="1"/>
  <c r="V71" i="17" s="1"/>
  <c r="V58" i="17" a="1"/>
  <c r="V58" i="17" s="1"/>
  <c r="V52" i="17" a="1"/>
  <c r="V52" i="17" s="1"/>
  <c r="V49" i="17" a="1"/>
  <c r="V49" i="17" s="1"/>
  <c r="V45" i="17" a="1"/>
  <c r="V45" i="17" s="1"/>
  <c r="V30" i="17" a="1"/>
  <c r="V30" i="17" s="1"/>
  <c r="V27" i="17" a="1"/>
  <c r="V27" i="17" s="1"/>
  <c r="V195" i="17" a="1"/>
  <c r="V195" i="17" s="1"/>
  <c r="V112" i="17" a="1"/>
  <c r="V112" i="17" s="1"/>
  <c r="V98" i="17" a="1"/>
  <c r="V98" i="17" s="1"/>
  <c r="V87" i="17" a="1"/>
  <c r="V87" i="17" s="1"/>
  <c r="V84" i="17" a="1"/>
  <c r="V84" i="17" s="1"/>
  <c r="V81" i="17" a="1"/>
  <c r="V81" i="17" s="1"/>
  <c r="V74" i="17" a="1"/>
  <c r="V74" i="17" s="1"/>
  <c r="V65" i="17" a="1"/>
  <c r="V65" i="17" s="1"/>
  <c r="V34" i="17" a="1"/>
  <c r="V34" i="17" s="1"/>
  <c r="V169" i="17" a="1"/>
  <c r="V169" i="17" s="1"/>
  <c r="V158" i="17" a="1"/>
  <c r="V158" i="17" s="1"/>
  <c r="V68" i="17" a="1"/>
  <c r="V68" i="17" s="1"/>
  <c r="V62" i="17" a="1"/>
  <c r="V62" i="17" s="1"/>
  <c r="V56" i="17" a="1"/>
  <c r="V56" i="17" s="1"/>
  <c r="V53" i="17" a="1"/>
  <c r="V53" i="17" s="1"/>
  <c r="V42" i="17" a="1"/>
  <c r="V42" i="17" s="1"/>
  <c r="V38" i="17" a="1"/>
  <c r="V38" i="17" s="1"/>
  <c r="V31" i="17" a="1"/>
  <c r="V31" i="17" s="1"/>
  <c r="V25" i="17" a="1"/>
  <c r="V25" i="17" s="1"/>
  <c r="V23" i="17" a="1"/>
  <c r="V23" i="17" s="1"/>
  <c r="V21" i="17" a="1"/>
  <c r="V21" i="17" s="1"/>
  <c r="V19" i="17" a="1"/>
  <c r="V19" i="17" s="1"/>
  <c r="V17" i="17" a="1"/>
  <c r="V17" i="17" s="1"/>
  <c r="V15" i="17" a="1"/>
  <c r="V15" i="17" s="1"/>
  <c r="V13" i="17" a="1"/>
  <c r="V13" i="17" s="1"/>
  <c r="V11" i="17" a="1"/>
  <c r="V11" i="17" s="1"/>
  <c r="V9" i="17" a="1"/>
  <c r="V9" i="17" s="1"/>
  <c r="V7" i="17" a="1"/>
  <c r="V7" i="17" s="1"/>
  <c r="V5" i="17" a="1"/>
  <c r="V5" i="17" s="1"/>
  <c r="V3" i="17" a="1"/>
  <c r="V3" i="17" s="1"/>
  <c r="V121" i="17" a="1"/>
  <c r="V121" i="17" s="1"/>
  <c r="V109" i="17" a="1"/>
  <c r="V109" i="17" s="1"/>
  <c r="V101" i="17" a="1"/>
  <c r="V101" i="17" s="1"/>
  <c r="V97" i="17" a="1"/>
  <c r="V97" i="17" s="1"/>
  <c r="V85" i="17" a="1"/>
  <c r="V85" i="17" s="1"/>
  <c r="V78" i="17" a="1"/>
  <c r="V78" i="17" s="1"/>
  <c r="V75" i="17" a="1"/>
  <c r="V75" i="17" s="1"/>
  <c r="V72" i="17" a="1"/>
  <c r="V72" i="17" s="1"/>
  <c r="V59" i="17" a="1"/>
  <c r="V59" i="17" s="1"/>
  <c r="V50" i="17" a="1"/>
  <c r="V50" i="17" s="1"/>
  <c r="V46" i="17" a="1"/>
  <c r="V46" i="17" s="1"/>
  <c r="V39" i="17" a="1"/>
  <c r="V39" i="17" s="1"/>
  <c r="V35" i="17" a="1"/>
  <c r="V35" i="17" s="1"/>
  <c r="V28" i="17" a="1"/>
  <c r="V28" i="17" s="1"/>
  <c r="V143" i="17" a="1"/>
  <c r="V143" i="17" s="1"/>
  <c r="V131" i="17" a="1"/>
  <c r="V131" i="17" s="1"/>
  <c r="V94" i="17" a="1"/>
  <c r="V94" i="17" s="1"/>
  <c r="V92" i="17" a="1"/>
  <c r="V92" i="17" s="1"/>
  <c r="V90" i="17" a="1"/>
  <c r="V90" i="17" s="1"/>
  <c r="V82" i="17" a="1"/>
  <c r="V82" i="17" s="1"/>
  <c r="V79" i="17" a="1"/>
  <c r="V79" i="17" s="1"/>
  <c r="V69" i="17" a="1"/>
  <c r="V69" i="17" s="1"/>
  <c r="V63" i="17" a="1"/>
  <c r="V63" i="17" s="1"/>
  <c r="V47" i="17" a="1"/>
  <c r="V47" i="17" s="1"/>
  <c r="V43" i="17" a="1"/>
  <c r="V43" i="17" s="1"/>
  <c r="V32" i="17" a="1"/>
  <c r="V32" i="17" s="1"/>
  <c r="V176" i="17" a="1"/>
  <c r="V176" i="17" s="1"/>
  <c r="V88" i="17" a="1"/>
  <c r="V88" i="17" s="1"/>
  <c r="V73" i="17" a="1"/>
  <c r="V73" i="17" s="1"/>
  <c r="V66" i="17" a="1"/>
  <c r="V66" i="17" s="1"/>
  <c r="V60" i="17" a="1"/>
  <c r="V60" i="17" s="1"/>
  <c r="V57" i="17" a="1"/>
  <c r="V57" i="17" s="1"/>
  <c r="V54" i="17" a="1"/>
  <c r="V54" i="17" s="1"/>
  <c r="V40" i="17" a="1"/>
  <c r="V40" i="17" s="1"/>
  <c r="V36" i="17" a="1"/>
  <c r="V36" i="17" s="1"/>
  <c r="V26" i="17" a="1"/>
  <c r="V26" i="17" s="1"/>
  <c r="V187" i="17" a="1"/>
  <c r="V187" i="17" s="1"/>
  <c r="C7" i="8"/>
  <c r="C38" i="8"/>
  <c r="C8" i="9"/>
  <c r="U306" i="17" a="1"/>
  <c r="U306" i="17" s="1"/>
  <c r="U298" i="17" a="1"/>
  <c r="U298" i="17" s="1"/>
  <c r="U290" i="17" a="1"/>
  <c r="U290" i="17" s="1"/>
  <c r="U282" i="17" a="1"/>
  <c r="U282" i="17" s="1"/>
  <c r="U274" i="17" a="1"/>
  <c r="U274" i="17" s="1"/>
  <c r="U266" i="17" a="1"/>
  <c r="U266" i="17" s="1"/>
  <c r="U258" i="17" a="1"/>
  <c r="U258" i="17" s="1"/>
  <c r="U250" i="17" a="1"/>
  <c r="U250" i="17" s="1"/>
  <c r="U242" i="17" a="1"/>
  <c r="U242" i="17" s="1"/>
  <c r="U234" i="17" a="1"/>
  <c r="U234" i="17" s="1"/>
  <c r="U226" i="17" a="1"/>
  <c r="U226" i="17" s="1"/>
  <c r="U218" i="17" a="1"/>
  <c r="U218" i="17" s="1"/>
  <c r="U210" i="17" a="1"/>
  <c r="U210" i="17" s="1"/>
  <c r="U202" i="17" a="1"/>
  <c r="U202" i="17" s="1"/>
  <c r="U194" i="17" a="1"/>
  <c r="U194" i="17" s="1"/>
  <c r="U186" i="17" a="1"/>
  <c r="U186" i="17" s="1"/>
  <c r="U178" i="17" a="1"/>
  <c r="U178" i="17" s="1"/>
  <c r="U170" i="17" a="1"/>
  <c r="U170" i="17" s="1"/>
  <c r="U162" i="17" a="1"/>
  <c r="U162" i="17" s="1"/>
  <c r="U154" i="17" a="1"/>
  <c r="U154" i="17" s="1"/>
  <c r="U146" i="17" a="1"/>
  <c r="U146" i="17" s="1"/>
  <c r="U138" i="17" a="1"/>
  <c r="U138" i="17" s="1"/>
  <c r="U130" i="17" a="1"/>
  <c r="U130" i="17" s="1"/>
  <c r="U122" i="17" a="1"/>
  <c r="U122" i="17" s="1"/>
  <c r="U114" i="17" a="1"/>
  <c r="U114" i="17" s="1"/>
  <c r="U106" i="17" a="1"/>
  <c r="U106" i="17" s="1"/>
  <c r="U98" i="17" a="1"/>
  <c r="U98" i="17" s="1"/>
  <c r="U90" i="17" a="1"/>
  <c r="U90" i="17" s="1"/>
  <c r="U82" i="17" a="1"/>
  <c r="U82" i="17" s="1"/>
  <c r="U74" i="17" a="1"/>
  <c r="U74" i="17" s="1"/>
  <c r="U66" i="17" a="1"/>
  <c r="U66" i="17" s="1"/>
  <c r="U58" i="17" a="1"/>
  <c r="U58" i="17" s="1"/>
  <c r="U50" i="17" a="1"/>
  <c r="U50" i="17" s="1"/>
  <c r="U42" i="17" a="1"/>
  <c r="U42" i="17" s="1"/>
  <c r="U34" i="17" a="1"/>
  <c r="U34" i="17" s="1"/>
  <c r="U26" i="17" a="1"/>
  <c r="U26" i="17" s="1"/>
  <c r="U18" i="17" a="1"/>
  <c r="U18" i="17" s="1"/>
  <c r="U10" i="17" a="1"/>
  <c r="U10" i="17" s="1"/>
  <c r="S311" i="17" a="1"/>
  <c r="S311" i="17" s="1"/>
  <c r="S303" i="17" a="1"/>
  <c r="S303" i="17" s="1"/>
  <c r="S295" i="17" a="1"/>
  <c r="S295" i="17" s="1"/>
  <c r="S287" i="17" a="1"/>
  <c r="S287" i="17" s="1"/>
  <c r="S279" i="17" a="1"/>
  <c r="S279" i="17" s="1"/>
  <c r="S271" i="17" a="1"/>
  <c r="S271" i="17" s="1"/>
  <c r="S263" i="17" a="1"/>
  <c r="S263" i="17" s="1"/>
  <c r="S255" i="17" a="1"/>
  <c r="S255" i="17" s="1"/>
  <c r="S247" i="17" a="1"/>
  <c r="S247" i="17" s="1"/>
  <c r="S239" i="17" a="1"/>
  <c r="S239" i="17" s="1"/>
  <c r="S231" i="17" a="1"/>
  <c r="S231" i="17" s="1"/>
  <c r="S223" i="17" a="1"/>
  <c r="S223" i="17" s="1"/>
  <c r="S215" i="17" a="1"/>
  <c r="S215" i="17" s="1"/>
  <c r="S207" i="17" a="1"/>
  <c r="S207" i="17" s="1"/>
  <c r="S199" i="17" a="1"/>
  <c r="S199" i="17" s="1"/>
  <c r="S191" i="17" a="1"/>
  <c r="S191" i="17" s="1"/>
  <c r="S183" i="17" a="1"/>
  <c r="S183" i="17" s="1"/>
  <c r="S175" i="17" a="1"/>
  <c r="S175" i="17" s="1"/>
  <c r="S167" i="17" a="1"/>
  <c r="S167" i="17" s="1"/>
  <c r="S159" i="17" a="1"/>
  <c r="S159" i="17" s="1"/>
  <c r="S151" i="17" a="1"/>
  <c r="S151" i="17" s="1"/>
  <c r="S143" i="17" a="1"/>
  <c r="S143" i="17" s="1"/>
  <c r="S135" i="17" a="1"/>
  <c r="S135" i="17" s="1"/>
  <c r="S127" i="17" a="1"/>
  <c r="S127" i="17" s="1"/>
  <c r="S118" i="17" a="1"/>
  <c r="S118" i="17" s="1"/>
  <c r="S109" i="17" a="1"/>
  <c r="S109" i="17" s="1"/>
  <c r="S100" i="17" a="1"/>
  <c r="S100" i="17" s="1"/>
  <c r="S90" i="17" a="1"/>
  <c r="S90" i="17" s="1"/>
  <c r="S79" i="17" a="1"/>
  <c r="S79" i="17" s="1"/>
  <c r="S66" i="17" a="1"/>
  <c r="S66" i="17" s="1"/>
  <c r="S46" i="17" a="1"/>
  <c r="S46" i="17" s="1"/>
  <c r="S20" i="17" a="1"/>
  <c r="S20" i="17" s="1"/>
  <c r="V10" i="17" a="1"/>
  <c r="V10" i="17" s="1"/>
  <c r="T26" i="17" a="1"/>
  <c r="T26" i="17" s="1"/>
  <c r="Q38" i="17" a="1"/>
  <c r="Q38" i="17" s="1"/>
  <c r="V48" i="17" a="1"/>
  <c r="V48" i="17" s="1"/>
  <c r="T60" i="17" a="1"/>
  <c r="T60" i="17" s="1"/>
  <c r="R72" i="17" a="1"/>
  <c r="R72" i="17" s="1"/>
  <c r="V83" i="17" a="1"/>
  <c r="V83" i="17" s="1"/>
  <c r="U305" i="17" a="1"/>
  <c r="U305" i="17" s="1"/>
  <c r="U297" i="17" a="1"/>
  <c r="U297" i="17" s="1"/>
  <c r="U289" i="17" a="1"/>
  <c r="U289" i="17" s="1"/>
  <c r="U281" i="17" a="1"/>
  <c r="U281" i="17" s="1"/>
  <c r="U273" i="17" a="1"/>
  <c r="U273" i="17" s="1"/>
  <c r="U265" i="17" a="1"/>
  <c r="U265" i="17" s="1"/>
  <c r="U257" i="17" a="1"/>
  <c r="U257" i="17" s="1"/>
  <c r="U249" i="17" a="1"/>
  <c r="U249" i="17" s="1"/>
  <c r="U241" i="17" a="1"/>
  <c r="U241" i="17" s="1"/>
  <c r="U233" i="17" a="1"/>
  <c r="U233" i="17" s="1"/>
  <c r="U225" i="17" a="1"/>
  <c r="U225" i="17" s="1"/>
  <c r="U217" i="17" a="1"/>
  <c r="U217" i="17" s="1"/>
  <c r="U209" i="17" a="1"/>
  <c r="U209" i="17" s="1"/>
  <c r="U201" i="17" a="1"/>
  <c r="U201" i="17" s="1"/>
  <c r="U193" i="17" a="1"/>
  <c r="U193" i="17" s="1"/>
  <c r="U185" i="17" a="1"/>
  <c r="U185" i="17" s="1"/>
  <c r="U177" i="17" a="1"/>
  <c r="U177" i="17" s="1"/>
  <c r="U169" i="17" a="1"/>
  <c r="U169" i="17" s="1"/>
  <c r="U161" i="17" a="1"/>
  <c r="U161" i="17" s="1"/>
  <c r="U153" i="17" a="1"/>
  <c r="U153" i="17" s="1"/>
  <c r="U145" i="17" a="1"/>
  <c r="U145" i="17" s="1"/>
  <c r="U137" i="17" a="1"/>
  <c r="U137" i="17" s="1"/>
  <c r="U129" i="17" a="1"/>
  <c r="U129" i="17" s="1"/>
  <c r="U121" i="17" a="1"/>
  <c r="U121" i="17" s="1"/>
  <c r="U113" i="17" a="1"/>
  <c r="U113" i="17" s="1"/>
  <c r="U105" i="17" a="1"/>
  <c r="U105" i="17" s="1"/>
  <c r="U97" i="17" a="1"/>
  <c r="U97" i="17" s="1"/>
  <c r="U89" i="17" a="1"/>
  <c r="U89" i="17" s="1"/>
  <c r="U81" i="17" a="1"/>
  <c r="U81" i="17" s="1"/>
  <c r="U73" i="17" a="1"/>
  <c r="U73" i="17" s="1"/>
  <c r="U65" i="17" a="1"/>
  <c r="U65" i="17" s="1"/>
  <c r="U57" i="17" a="1"/>
  <c r="U57" i="17" s="1"/>
  <c r="U49" i="17" a="1"/>
  <c r="U49" i="17" s="1"/>
  <c r="U41" i="17" a="1"/>
  <c r="U41" i="17" s="1"/>
  <c r="U33" i="17" a="1"/>
  <c r="U33" i="17" s="1"/>
  <c r="U25" i="17" a="1"/>
  <c r="U25" i="17" s="1"/>
  <c r="U17" i="17" a="1"/>
  <c r="U17" i="17" s="1"/>
  <c r="U9" i="17" a="1"/>
  <c r="U9" i="17" s="1"/>
  <c r="S310" i="17" a="1"/>
  <c r="S310" i="17" s="1"/>
  <c r="S302" i="17" a="1"/>
  <c r="S302" i="17" s="1"/>
  <c r="S294" i="17" a="1"/>
  <c r="S294" i="17" s="1"/>
  <c r="S286" i="17" a="1"/>
  <c r="S286" i="17" s="1"/>
  <c r="S278" i="17" a="1"/>
  <c r="S278" i="17" s="1"/>
  <c r="S270" i="17" a="1"/>
  <c r="S270" i="17" s="1"/>
  <c r="S262" i="17" a="1"/>
  <c r="S262" i="17" s="1"/>
  <c r="S254" i="17" a="1"/>
  <c r="S254" i="17" s="1"/>
  <c r="S246" i="17" a="1"/>
  <c r="S246" i="17" s="1"/>
  <c r="S238" i="17" a="1"/>
  <c r="S238" i="17" s="1"/>
  <c r="S230" i="17" a="1"/>
  <c r="S230" i="17" s="1"/>
  <c r="S222" i="17" a="1"/>
  <c r="S222" i="17" s="1"/>
  <c r="S214" i="17" a="1"/>
  <c r="S214" i="17" s="1"/>
  <c r="S206" i="17" a="1"/>
  <c r="S206" i="17" s="1"/>
  <c r="S198" i="17" a="1"/>
  <c r="S198" i="17" s="1"/>
  <c r="S190" i="17" a="1"/>
  <c r="S190" i="17" s="1"/>
  <c r="S182" i="17" a="1"/>
  <c r="S182" i="17" s="1"/>
  <c r="S174" i="17" a="1"/>
  <c r="S174" i="17" s="1"/>
  <c r="S166" i="17" a="1"/>
  <c r="S166" i="17" s="1"/>
  <c r="S158" i="17" a="1"/>
  <c r="S158" i="17" s="1"/>
  <c r="S150" i="17" a="1"/>
  <c r="S150" i="17" s="1"/>
  <c r="S142" i="17" a="1"/>
  <c r="S142" i="17" s="1"/>
  <c r="S134" i="17" a="1"/>
  <c r="S134" i="17" s="1"/>
  <c r="S126" i="17" a="1"/>
  <c r="S126" i="17" s="1"/>
  <c r="S117" i="17" a="1"/>
  <c r="S117" i="17" s="1"/>
  <c r="S108" i="17" a="1"/>
  <c r="S108" i="17" s="1"/>
  <c r="S98" i="17" a="1"/>
  <c r="S98" i="17" s="1"/>
  <c r="S89" i="17" a="1"/>
  <c r="S89" i="17" s="1"/>
  <c r="S78" i="17" a="1"/>
  <c r="S78" i="17" s="1"/>
  <c r="S63" i="17" a="1"/>
  <c r="S63" i="17" s="1"/>
  <c r="S44" i="17" a="1"/>
  <c r="S44" i="17" s="1"/>
  <c r="S18" i="17" a="1"/>
  <c r="S18" i="17" s="1"/>
  <c r="V12" i="17" a="1"/>
  <c r="V12" i="17" s="1"/>
  <c r="Q28" i="17" a="1"/>
  <c r="Q28" i="17" s="1"/>
  <c r="R39" i="17" a="1"/>
  <c r="R39" i="17" s="1"/>
  <c r="Q62" i="17" a="1"/>
  <c r="Q62" i="17" s="1"/>
  <c r="T73" i="17" a="1"/>
  <c r="T73" i="17" s="1"/>
  <c r="Q272" i="17" a="1"/>
  <c r="Q272" i="17" s="1"/>
  <c r="Q270" i="17" a="1"/>
  <c r="Q270" i="17" s="1"/>
  <c r="Q263" i="17" a="1"/>
  <c r="Q263" i="17" s="1"/>
  <c r="R254" i="17" a="1"/>
  <c r="R254" i="17" s="1"/>
  <c r="R252" i="17" a="1"/>
  <c r="R252" i="17" s="1"/>
  <c r="Q249" i="17" a="1"/>
  <c r="Q249" i="17" s="1"/>
  <c r="R247" i="17" a="1"/>
  <c r="R247" i="17" s="1"/>
  <c r="R245" i="17" a="1"/>
  <c r="R245" i="17" s="1"/>
  <c r="R238" i="17" a="1"/>
  <c r="R238" i="17" s="1"/>
  <c r="R236" i="17" a="1"/>
  <c r="R236" i="17" s="1"/>
  <c r="Q231" i="17" a="1"/>
  <c r="Q231" i="17" s="1"/>
  <c r="Q229" i="17" a="1"/>
  <c r="Q229" i="17" s="1"/>
  <c r="R227" i="17" a="1"/>
  <c r="R227" i="17" s="1"/>
  <c r="Q218" i="17" a="1"/>
  <c r="Q218" i="17" s="1"/>
  <c r="R215" i="17" a="1"/>
  <c r="R215" i="17" s="1"/>
  <c r="Q211" i="17" a="1"/>
  <c r="Q211" i="17" s="1"/>
  <c r="R208" i="17" a="1"/>
  <c r="R208" i="17" s="1"/>
  <c r="Q207" i="17" a="1"/>
  <c r="Q207" i="17" s="1"/>
  <c r="R204" i="17" a="1"/>
  <c r="R204" i="17" s="1"/>
  <c r="Q196" i="17" a="1"/>
  <c r="Q196" i="17" s="1"/>
  <c r="R193" i="17" a="1"/>
  <c r="R193" i="17" s="1"/>
  <c r="Q192" i="17" a="1"/>
  <c r="Q192" i="17" s="1"/>
  <c r="R189" i="17" a="1"/>
  <c r="R189" i="17" s="1"/>
  <c r="Q185" i="17" a="1"/>
  <c r="Q185" i="17" s="1"/>
  <c r="R182" i="17" a="1"/>
  <c r="R182" i="17" s="1"/>
  <c r="R311" i="17" a="1"/>
  <c r="R311" i="17" s="1"/>
  <c r="R309" i="17" a="1"/>
  <c r="R309" i="17" s="1"/>
  <c r="R307" i="17" a="1"/>
  <c r="R307" i="17" s="1"/>
  <c r="R305" i="17" a="1"/>
  <c r="R305" i="17" s="1"/>
  <c r="R303" i="17" a="1"/>
  <c r="R303" i="17" s="1"/>
  <c r="R301" i="17" a="1"/>
  <c r="R301" i="17" s="1"/>
  <c r="R299" i="17" a="1"/>
  <c r="R299" i="17" s="1"/>
  <c r="R297" i="17" a="1"/>
  <c r="R297" i="17" s="1"/>
  <c r="R295" i="17" a="1"/>
  <c r="R295" i="17" s="1"/>
  <c r="R293" i="17" a="1"/>
  <c r="R293" i="17" s="1"/>
  <c r="R291" i="17" a="1"/>
  <c r="R291" i="17" s="1"/>
  <c r="R289" i="17" a="1"/>
  <c r="R289" i="17" s="1"/>
  <c r="R287" i="17" a="1"/>
  <c r="R287" i="17" s="1"/>
  <c r="R285" i="17" a="1"/>
  <c r="R285" i="17" s="1"/>
  <c r="R283" i="17" a="1"/>
  <c r="R283" i="17" s="1"/>
  <c r="R281" i="17" a="1"/>
  <c r="R281" i="17" s="1"/>
  <c r="R279" i="17" a="1"/>
  <c r="R279" i="17" s="1"/>
  <c r="R277" i="17" a="1"/>
  <c r="R277" i="17" s="1"/>
  <c r="R275" i="17" a="1"/>
  <c r="R275" i="17" s="1"/>
  <c r="R273" i="17" a="1"/>
  <c r="R273" i="17" s="1"/>
  <c r="Q266" i="17" a="1"/>
  <c r="Q266" i="17" s="1"/>
  <c r="R264" i="17" a="1"/>
  <c r="R264" i="17" s="1"/>
  <c r="R257" i="17" a="1"/>
  <c r="R257" i="17" s="1"/>
  <c r="Q252" i="17" a="1"/>
  <c r="Q252" i="17" s="1"/>
  <c r="R250" i="17" a="1"/>
  <c r="R250" i="17" s="1"/>
  <c r="R241" i="17" a="1"/>
  <c r="R241" i="17" s="1"/>
  <c r="Q236" i="17" a="1"/>
  <c r="Q236" i="17" s="1"/>
  <c r="R234" i="17" a="1"/>
  <c r="R234" i="17" s="1"/>
  <c r="R232" i="17" a="1"/>
  <c r="R232" i="17" s="1"/>
  <c r="Q227" i="17" a="1"/>
  <c r="Q227" i="17" s="1"/>
  <c r="R224" i="17" a="1"/>
  <c r="R224" i="17" s="1"/>
  <c r="Q223" i="17" a="1"/>
  <c r="Q223" i="17" s="1"/>
  <c r="R220" i="17" a="1"/>
  <c r="R220" i="17" s="1"/>
  <c r="Q212" i="17" a="1"/>
  <c r="Q212" i="17" s="1"/>
  <c r="R209" i="17" a="1"/>
  <c r="R209" i="17" s="1"/>
  <c r="Q208" i="17" a="1"/>
  <c r="Q208" i="17" s="1"/>
  <c r="Q311" i="17" a="1"/>
  <c r="Q311" i="17" s="1"/>
  <c r="Q309" i="17" a="1"/>
  <c r="Q309" i="17" s="1"/>
  <c r="Q307" i="17" a="1"/>
  <c r="Q307" i="17" s="1"/>
  <c r="Q305" i="17" a="1"/>
  <c r="Q305" i="17" s="1"/>
  <c r="Q303" i="17" a="1"/>
  <c r="Q303" i="17" s="1"/>
  <c r="Q301" i="17" a="1"/>
  <c r="Q301" i="17" s="1"/>
  <c r="Q299" i="17" a="1"/>
  <c r="Q299" i="17" s="1"/>
  <c r="Q297" i="17" a="1"/>
  <c r="Q297" i="17" s="1"/>
  <c r="Q295" i="17" a="1"/>
  <c r="Q295" i="17" s="1"/>
  <c r="Q293" i="17" a="1"/>
  <c r="Q293" i="17" s="1"/>
  <c r="Q291" i="17" a="1"/>
  <c r="Q291" i="17" s="1"/>
  <c r="Q289" i="17" a="1"/>
  <c r="Q289" i="17" s="1"/>
  <c r="Q287" i="17" a="1"/>
  <c r="Q287" i="17" s="1"/>
  <c r="Q285" i="17" a="1"/>
  <c r="Q285" i="17" s="1"/>
  <c r="Q283" i="17" a="1"/>
  <c r="Q283" i="17" s="1"/>
  <c r="Q281" i="17" a="1"/>
  <c r="Q281" i="17" s="1"/>
  <c r="Q279" i="17" a="1"/>
  <c r="Q279" i="17" s="1"/>
  <c r="Q277" i="17" a="1"/>
  <c r="Q277" i="17" s="1"/>
  <c r="Q275" i="17" a="1"/>
  <c r="Q275" i="17" s="1"/>
  <c r="Q273" i="17" a="1"/>
  <c r="Q273" i="17" s="1"/>
  <c r="R271" i="17" a="1"/>
  <c r="R271" i="17" s="1"/>
  <c r="R269" i="17" a="1"/>
  <c r="R269" i="17" s="1"/>
  <c r="R262" i="17" a="1"/>
  <c r="R262" i="17" s="1"/>
  <c r="Q259" i="17" a="1"/>
  <c r="Q259" i="17" s="1"/>
  <c r="Q250" i="17" a="1"/>
  <c r="Q250" i="17" s="1"/>
  <c r="R248" i="17" a="1"/>
  <c r="R248" i="17" s="1"/>
  <c r="Q243" i="17" a="1"/>
  <c r="Q243" i="17" s="1"/>
  <c r="Q234" i="17" a="1"/>
  <c r="Q234" i="17" s="1"/>
  <c r="R230" i="17" a="1"/>
  <c r="R230" i="17" s="1"/>
  <c r="R228" i="17" a="1"/>
  <c r="R228" i="17" s="1"/>
  <c r="Q220" i="17" a="1"/>
  <c r="Q220" i="17" s="1"/>
  <c r="R217" i="17" a="1"/>
  <c r="R217" i="17" s="1"/>
  <c r="Q216" i="17" a="1"/>
  <c r="Q216" i="17" s="1"/>
  <c r="R213" i="17" a="1"/>
  <c r="R213" i="17" s="1"/>
  <c r="Q209" i="17" a="1"/>
  <c r="Q209" i="17" s="1"/>
  <c r="R206" i="17" a="1"/>
  <c r="R206" i="17" s="1"/>
  <c r="Q197" i="17" a="1"/>
  <c r="Q197" i="17" s="1"/>
  <c r="Q271" i="17" a="1"/>
  <c r="Q271" i="17" s="1"/>
  <c r="Q269" i="17" a="1"/>
  <c r="Q269" i="17" s="1"/>
  <c r="R267" i="17" a="1"/>
  <c r="R267" i="17" s="1"/>
  <c r="Q264" i="17" a="1"/>
  <c r="Q264" i="17" s="1"/>
  <c r="Q262" i="17" a="1"/>
  <c r="Q262" i="17" s="1"/>
  <c r="R260" i="17" a="1"/>
  <c r="R260" i="17" s="1"/>
  <c r="Q257" i="17" a="1"/>
  <c r="Q257" i="17" s="1"/>
  <c r="R255" i="17" a="1"/>
  <c r="R255" i="17" s="1"/>
  <c r="R253" i="17" a="1"/>
  <c r="R253" i="17" s="1"/>
  <c r="R246" i="17" a="1"/>
  <c r="R246" i="17" s="1"/>
  <c r="R244" i="17" a="1"/>
  <c r="R244" i="17" s="1"/>
  <c r="Q241" i="17" a="1"/>
  <c r="Q241" i="17" s="1"/>
  <c r="R239" i="17" a="1"/>
  <c r="R239" i="17" s="1"/>
  <c r="R237" i="17" a="1"/>
  <c r="R237" i="17" s="1"/>
  <c r="Q232" i="17" a="1"/>
  <c r="Q232" i="17" s="1"/>
  <c r="Q230" i="17" a="1"/>
  <c r="Q230" i="17" s="1"/>
  <c r="R225" i="17" a="1"/>
  <c r="R225" i="17" s="1"/>
  <c r="Q224" i="17" a="1"/>
  <c r="Q224" i="17" s="1"/>
  <c r="R221" i="17" a="1"/>
  <c r="R221" i="17" s="1"/>
  <c r="Q217" i="17" a="1"/>
  <c r="Q217" i="17" s="1"/>
  <c r="R214" i="17" a="1"/>
  <c r="R214" i="17" s="1"/>
  <c r="Q205" i="17" a="1"/>
  <c r="Q205" i="17" s="1"/>
  <c r="R202" i="17" a="1"/>
  <c r="R202" i="17" s="1"/>
  <c r="R265" i="17" a="1"/>
  <c r="R265" i="17" s="1"/>
  <c r="Q255" i="17" a="1"/>
  <c r="Q255" i="17" s="1"/>
  <c r="Q253" i="17" a="1"/>
  <c r="Q253" i="17" s="1"/>
  <c r="R251" i="17" a="1"/>
  <c r="R251" i="17" s="1"/>
  <c r="Q248" i="17" a="1"/>
  <c r="Q248" i="17" s="1"/>
  <c r="Q246" i="17" a="1"/>
  <c r="Q246" i="17" s="1"/>
  <c r="Q239" i="17" a="1"/>
  <c r="Q239" i="17" s="1"/>
  <c r="Q237" i="17" a="1"/>
  <c r="Q237" i="17" s="1"/>
  <c r="R235" i="17" a="1"/>
  <c r="R235" i="17" s="1"/>
  <c r="Q228" i="17" a="1"/>
  <c r="Q228" i="17" s="1"/>
  <c r="Q225" i="17" a="1"/>
  <c r="Q225" i="17" s="1"/>
  <c r="R222" i="17" a="1"/>
  <c r="R222" i="17" s="1"/>
  <c r="Q213" i="17" a="1"/>
  <c r="Q213" i="17" s="1"/>
  <c r="R210" i="17" a="1"/>
  <c r="R210" i="17" s="1"/>
  <c r="Q206" i="17" a="1"/>
  <c r="Q206" i="17" s="1"/>
  <c r="R203" i="17" a="1"/>
  <c r="R203" i="17" s="1"/>
  <c r="R310" i="17" a="1"/>
  <c r="R310" i="17" s="1"/>
  <c r="R308" i="17" a="1"/>
  <c r="R308" i="17" s="1"/>
  <c r="R306" i="17" a="1"/>
  <c r="R306" i="17" s="1"/>
  <c r="R304" i="17" a="1"/>
  <c r="R304" i="17" s="1"/>
  <c r="R302" i="17" a="1"/>
  <c r="R302" i="17" s="1"/>
  <c r="R300" i="17" a="1"/>
  <c r="R300" i="17" s="1"/>
  <c r="R298" i="17" a="1"/>
  <c r="R298" i="17" s="1"/>
  <c r="R296" i="17" a="1"/>
  <c r="R296" i="17" s="1"/>
  <c r="R294" i="17" a="1"/>
  <c r="R294" i="17" s="1"/>
  <c r="R292" i="17" a="1"/>
  <c r="R292" i="17" s="1"/>
  <c r="R290" i="17" a="1"/>
  <c r="R290" i="17" s="1"/>
  <c r="R288" i="17" a="1"/>
  <c r="R288" i="17" s="1"/>
  <c r="R286" i="17" a="1"/>
  <c r="R286" i="17" s="1"/>
  <c r="R284" i="17" a="1"/>
  <c r="R284" i="17" s="1"/>
  <c r="R282" i="17" a="1"/>
  <c r="R282" i="17" s="1"/>
  <c r="R280" i="17" a="1"/>
  <c r="R280" i="17" s="1"/>
  <c r="R278" i="17" a="1"/>
  <c r="R278" i="17" s="1"/>
  <c r="R276" i="17" a="1"/>
  <c r="R276" i="17" s="1"/>
  <c r="R274" i="17" a="1"/>
  <c r="R274" i="17" s="1"/>
  <c r="R272" i="17" a="1"/>
  <c r="R272" i="17" s="1"/>
  <c r="Q267" i="17" a="1"/>
  <c r="Q267" i="17" s="1"/>
  <c r="Q260" i="17" a="1"/>
  <c r="Q260" i="17" s="1"/>
  <c r="R258" i="17" a="1"/>
  <c r="R258" i="17" s="1"/>
  <c r="R249" i="17" a="1"/>
  <c r="R249" i="17" s="1"/>
  <c r="Q244" i="17" a="1"/>
  <c r="Q244" i="17" s="1"/>
  <c r="R242" i="17" a="1"/>
  <c r="R242" i="17" s="1"/>
  <c r="R233" i="17" a="1"/>
  <c r="R233" i="17" s="1"/>
  <c r="Q221" i="17" a="1"/>
  <c r="Q221" i="17" s="1"/>
  <c r="R218" i="17" a="1"/>
  <c r="R218" i="17" s="1"/>
  <c r="Q214" i="17" a="1"/>
  <c r="Q214" i="17" s="1"/>
  <c r="R211" i="17" a="1"/>
  <c r="R211" i="17" s="1"/>
  <c r="Q202" i="17" a="1"/>
  <c r="Q202" i="17" s="1"/>
  <c r="R199" i="17" a="1"/>
  <c r="R199" i="17" s="1"/>
  <c r="Q310" i="17" a="1"/>
  <c r="Q310" i="17" s="1"/>
  <c r="Q308" i="17" a="1"/>
  <c r="Q308" i="17" s="1"/>
  <c r="Q306" i="17" a="1"/>
  <c r="Q306" i="17" s="1"/>
  <c r="Q304" i="17" a="1"/>
  <c r="Q304" i="17" s="1"/>
  <c r="Q302" i="17" a="1"/>
  <c r="Q302" i="17" s="1"/>
  <c r="Q300" i="17" a="1"/>
  <c r="Q300" i="17" s="1"/>
  <c r="Q298" i="17" a="1"/>
  <c r="Q298" i="17" s="1"/>
  <c r="Q296" i="17" a="1"/>
  <c r="Q296" i="17" s="1"/>
  <c r="Q294" i="17" a="1"/>
  <c r="Q294" i="17" s="1"/>
  <c r="Q292" i="17" a="1"/>
  <c r="Q292" i="17" s="1"/>
  <c r="Q290" i="17" a="1"/>
  <c r="Q290" i="17" s="1"/>
  <c r="Q288" i="17" a="1"/>
  <c r="Q288" i="17" s="1"/>
  <c r="Q286" i="17" a="1"/>
  <c r="Q286" i="17" s="1"/>
  <c r="Q284" i="17" a="1"/>
  <c r="Q284" i="17" s="1"/>
  <c r="Q282" i="17" a="1"/>
  <c r="Q282" i="17" s="1"/>
  <c r="Q280" i="17" a="1"/>
  <c r="Q280" i="17" s="1"/>
  <c r="Q278" i="17" a="1"/>
  <c r="Q278" i="17" s="1"/>
  <c r="Q276" i="17" a="1"/>
  <c r="Q276" i="17" s="1"/>
  <c r="Q274" i="17" a="1"/>
  <c r="Q274" i="17" s="1"/>
  <c r="R270" i="17" a="1"/>
  <c r="R270" i="17" s="1"/>
  <c r="R268" i="17" a="1"/>
  <c r="R268" i="17" s="1"/>
  <c r="Q265" i="17" a="1"/>
  <c r="Q265" i="17" s="1"/>
  <c r="R263" i="17" a="1"/>
  <c r="R263" i="17" s="1"/>
  <c r="R261" i="17" a="1"/>
  <c r="R261" i="17" s="1"/>
  <c r="Q258" i="17" a="1"/>
  <c r="Q258" i="17" s="1"/>
  <c r="R256" i="17" a="1"/>
  <c r="R256" i="17" s="1"/>
  <c r="Q251" i="17" a="1"/>
  <c r="Q251" i="17" s="1"/>
  <c r="Q242" i="17" a="1"/>
  <c r="Q242" i="17" s="1"/>
  <c r="R240" i="17" a="1"/>
  <c r="R240" i="17" s="1"/>
  <c r="Q235" i="17" a="1"/>
  <c r="Q235" i="17" s="1"/>
  <c r="Q233" i="17" a="1"/>
  <c r="Q233" i="17" s="1"/>
  <c r="R231" i="17" a="1"/>
  <c r="R231" i="17" s="1"/>
  <c r="R229" i="17" a="1"/>
  <c r="R229" i="17" s="1"/>
  <c r="R226" i="17" a="1"/>
  <c r="R226" i="17" s="1"/>
  <c r="Q222" i="17" a="1"/>
  <c r="Q222" i="17" s="1"/>
  <c r="R219" i="17" a="1"/>
  <c r="R219" i="17" s="1"/>
  <c r="Q210" i="17" a="1"/>
  <c r="Q210" i="17" s="1"/>
  <c r="R207" i="17" a="1"/>
  <c r="R207" i="17" s="1"/>
  <c r="Q203" i="17" a="1"/>
  <c r="Q203" i="17" s="1"/>
  <c r="R197" i="17" a="1"/>
  <c r="R197" i="17" s="1"/>
  <c r="R195" i="17" a="1"/>
  <c r="R195" i="17" s="1"/>
  <c r="Q194" i="17" a="1"/>
  <c r="Q194" i="17" s="1"/>
  <c r="R192" i="17" a="1"/>
  <c r="R192" i="17" s="1"/>
  <c r="Q183" i="17" a="1"/>
  <c r="Q183" i="17" s="1"/>
  <c r="R178" i="17" a="1"/>
  <c r="R178" i="17" s="1"/>
  <c r="R175" i="17" a="1"/>
  <c r="R175" i="17" s="1"/>
  <c r="R172" i="17" a="1"/>
  <c r="R172" i="17" s="1"/>
  <c r="Q164" i="17" a="1"/>
  <c r="Q164" i="17" s="1"/>
  <c r="R161" i="17" a="1"/>
  <c r="R161" i="17" s="1"/>
  <c r="Q160" i="17" a="1"/>
  <c r="Q160" i="17" s="1"/>
  <c r="Q157" i="17" a="1"/>
  <c r="Q157" i="17" s="1"/>
  <c r="Q154" i="17" a="1"/>
  <c r="Q154" i="17" s="1"/>
  <c r="R151" i="17" a="1"/>
  <c r="R151" i="17" s="1"/>
  <c r="Q145" i="17" a="1"/>
  <c r="Q145" i="17" s="1"/>
  <c r="R142" i="17" a="1"/>
  <c r="R142" i="17" s="1"/>
  <c r="R137" i="17" a="1"/>
  <c r="R137" i="17" s="1"/>
  <c r="Q133" i="17" a="1"/>
  <c r="Q133" i="17" s="1"/>
  <c r="R130" i="17" a="1"/>
  <c r="R130" i="17" s="1"/>
  <c r="Q127" i="17" a="1"/>
  <c r="Q127" i="17" s="1"/>
  <c r="Q114" i="17" a="1"/>
  <c r="Q114" i="17" s="1"/>
  <c r="R108" i="17" a="1"/>
  <c r="R108" i="17" s="1"/>
  <c r="Q261" i="17" a="1"/>
  <c r="Q261" i="17" s="1"/>
  <c r="Q247" i="17" a="1"/>
  <c r="Q247" i="17" s="1"/>
  <c r="R190" i="17" a="1"/>
  <c r="R190" i="17" s="1"/>
  <c r="Q189" i="17" a="1"/>
  <c r="Q189" i="17" s="1"/>
  <c r="R187" i="17" a="1"/>
  <c r="R187" i="17" s="1"/>
  <c r="Q186" i="17" a="1"/>
  <c r="Q186" i="17" s="1"/>
  <c r="R184" i="17" a="1"/>
  <c r="R184" i="17" s="1"/>
  <c r="R181" i="17" a="1"/>
  <c r="R181" i="17" s="1"/>
  <c r="Q175" i="17" a="1"/>
  <c r="Q175" i="17" s="1"/>
  <c r="Q172" i="17" a="1"/>
  <c r="Q172" i="17" s="1"/>
  <c r="R169" i="17" a="1"/>
  <c r="R169" i="17" s="1"/>
  <c r="Q168" i="17" a="1"/>
  <c r="Q168" i="17" s="1"/>
  <c r="R165" i="17" a="1"/>
  <c r="R165" i="17" s="1"/>
  <c r="Q161" i="17" a="1"/>
  <c r="Q161" i="17" s="1"/>
  <c r="R158" i="17" a="1"/>
  <c r="R158" i="17" s="1"/>
  <c r="R155" i="17" a="1"/>
  <c r="R155" i="17" s="1"/>
  <c r="R148" i="17" a="1"/>
  <c r="R148" i="17" s="1"/>
  <c r="R143" i="17" a="1"/>
  <c r="R143" i="17" s="1"/>
  <c r="Q142" i="17" a="1"/>
  <c r="Q142" i="17" s="1"/>
  <c r="Q137" i="17" a="1"/>
  <c r="Q137" i="17" s="1"/>
  <c r="R131" i="17" a="1"/>
  <c r="R131" i="17" s="1"/>
  <c r="Q130" i="17" a="1"/>
  <c r="Q130" i="17" s="1"/>
  <c r="R124" i="17" a="1"/>
  <c r="R124" i="17" s="1"/>
  <c r="R121" i="17" a="1"/>
  <c r="R121" i="17" s="1"/>
  <c r="R118" i="17" a="1"/>
  <c r="R118" i="17" s="1"/>
  <c r="R115" i="17" a="1"/>
  <c r="R115" i="17" s="1"/>
  <c r="R109" i="17" a="1"/>
  <c r="R109" i="17" s="1"/>
  <c r="Q108" i="17" a="1"/>
  <c r="Q108" i="17" s="1"/>
  <c r="Q103" i="17" a="1"/>
  <c r="Q103" i="17" s="1"/>
  <c r="R100" i="17" a="1"/>
  <c r="R100" i="17" s="1"/>
  <c r="Q97" i="17" a="1"/>
  <c r="Q97" i="17" s="1"/>
  <c r="Q90" i="17" a="1"/>
  <c r="Q90" i="17" s="1"/>
  <c r="R259" i="17" a="1"/>
  <c r="R259" i="17" s="1"/>
  <c r="Q245" i="17" a="1"/>
  <c r="Q245" i="17" s="1"/>
  <c r="Q219" i="17" a="1"/>
  <c r="Q219" i="17" s="1"/>
  <c r="R201" i="17" a="1"/>
  <c r="R201" i="17" s="1"/>
  <c r="Q199" i="17" a="1"/>
  <c r="Q199" i="17" s="1"/>
  <c r="Q195" i="17" a="1"/>
  <c r="Q195" i="17" s="1"/>
  <c r="Q181" i="17" a="1"/>
  <c r="Q181" i="17" s="1"/>
  <c r="R179" i="17" a="1"/>
  <c r="R179" i="17" s="1"/>
  <c r="Q178" i="17" a="1"/>
  <c r="Q178" i="17" s="1"/>
  <c r="R176" i="17" a="1"/>
  <c r="R176" i="17" s="1"/>
  <c r="R173" i="17" a="1"/>
  <c r="R173" i="17" s="1"/>
  <c r="Q169" i="17" a="1"/>
  <c r="Q169" i="17" s="1"/>
  <c r="R166" i="17" a="1"/>
  <c r="R166" i="17" s="1"/>
  <c r="R152" i="17" a="1"/>
  <c r="R152" i="17" s="1"/>
  <c r="Q151" i="17" a="1"/>
  <c r="Q151" i="17" s="1"/>
  <c r="Q148" i="17" a="1"/>
  <c r="Q148" i="17" s="1"/>
  <c r="Q143" i="17" a="1"/>
  <c r="Q143" i="17" s="1"/>
  <c r="R140" i="17" a="1"/>
  <c r="R140" i="17" s="1"/>
  <c r="R134" i="17" a="1"/>
  <c r="R134" i="17" s="1"/>
  <c r="Q131" i="17" a="1"/>
  <c r="Q131" i="17" s="1"/>
  <c r="R128" i="17" a="1"/>
  <c r="R128" i="17" s="1"/>
  <c r="R125" i="17" a="1"/>
  <c r="R125" i="17" s="1"/>
  <c r="Q124" i="17" a="1"/>
  <c r="Q124" i="17" s="1"/>
  <c r="Q121" i="17" a="1"/>
  <c r="Q121" i="17" s="1"/>
  <c r="Q118" i="17" a="1"/>
  <c r="Q118" i="17" s="1"/>
  <c r="Q115" i="17" a="1"/>
  <c r="Q115" i="17" s="1"/>
  <c r="R112" i="17" a="1"/>
  <c r="R112" i="17" s="1"/>
  <c r="Q109" i="17" a="1"/>
  <c r="Q109" i="17" s="1"/>
  <c r="R106" i="17" a="1"/>
  <c r="R106" i="17" s="1"/>
  <c r="R101" i="17" a="1"/>
  <c r="R101" i="17" s="1"/>
  <c r="Q100" i="17" a="1"/>
  <c r="Q100" i="17" s="1"/>
  <c r="R243" i="17" a="1"/>
  <c r="R243" i="17" s="1"/>
  <c r="Q201" i="17" a="1"/>
  <c r="Q201" i="17" s="1"/>
  <c r="Q193" i="17" a="1"/>
  <c r="Q193" i="17" s="1"/>
  <c r="Q190" i="17" a="1"/>
  <c r="Q190" i="17" s="1"/>
  <c r="Q187" i="17" a="1"/>
  <c r="Q187" i="17" s="1"/>
  <c r="Q184" i="17" a="1"/>
  <c r="Q184" i="17" s="1"/>
  <c r="Q165" i="17" a="1"/>
  <c r="Q165" i="17" s="1"/>
  <c r="R162" i="17" a="1"/>
  <c r="R162" i="17" s="1"/>
  <c r="Q158" i="17" a="1"/>
  <c r="Q158" i="17" s="1"/>
  <c r="R156" i="17" a="1"/>
  <c r="R156" i="17" s="1"/>
  <c r="Q155" i="17" a="1"/>
  <c r="Q155" i="17" s="1"/>
  <c r="Q152" i="17" a="1"/>
  <c r="Q152" i="17" s="1"/>
  <c r="R149" i="17" a="1"/>
  <c r="R149" i="17" s="1"/>
  <c r="R146" i="17" a="1"/>
  <c r="R146" i="17" s="1"/>
  <c r="Q140" i="17" a="1"/>
  <c r="Q140" i="17" s="1"/>
  <c r="R135" i="17" a="1"/>
  <c r="R135" i="17" s="1"/>
  <c r="Q134" i="17" a="1"/>
  <c r="Q134" i="17" s="1"/>
  <c r="Q128" i="17" a="1"/>
  <c r="Q128" i="17" s="1"/>
  <c r="Q125" i="17" a="1"/>
  <c r="Q125" i="17" s="1"/>
  <c r="R119" i="17" a="1"/>
  <c r="R119" i="17" s="1"/>
  <c r="Q112" i="17" a="1"/>
  <c r="Q112" i="17" s="1"/>
  <c r="Q106" i="17" a="1"/>
  <c r="Q106" i="17" s="1"/>
  <c r="Q101" i="17" a="1"/>
  <c r="Q101" i="17" s="1"/>
  <c r="R95" i="17" a="1"/>
  <c r="R95" i="17" s="1"/>
  <c r="Q94" i="17" a="1"/>
  <c r="Q94" i="17" s="1"/>
  <c r="Q256" i="17" a="1"/>
  <c r="Q256" i="17" s="1"/>
  <c r="R216" i="17" a="1"/>
  <c r="R216" i="17" s="1"/>
  <c r="R198" i="17" a="1"/>
  <c r="R198" i="17" s="1"/>
  <c r="R185" i="17" a="1"/>
  <c r="R185" i="17" s="1"/>
  <c r="Q182" i="17" a="1"/>
  <c r="Q182" i="17" s="1"/>
  <c r="Q179" i="17" a="1"/>
  <c r="Q179" i="17" s="1"/>
  <c r="Q176" i="17" a="1"/>
  <c r="Q176" i="17" s="1"/>
  <c r="R174" i="17" a="1"/>
  <c r="R174" i="17" s="1"/>
  <c r="Q173" i="17" a="1"/>
  <c r="Q173" i="17" s="1"/>
  <c r="R170" i="17" a="1"/>
  <c r="R170" i="17" s="1"/>
  <c r="Q166" i="17" a="1"/>
  <c r="Q166" i="17" s="1"/>
  <c r="R163" i="17" a="1"/>
  <c r="R163" i="17" s="1"/>
  <c r="Q156" i="17" a="1"/>
  <c r="Q156" i="17" s="1"/>
  <c r="R153" i="17" a="1"/>
  <c r="R153" i="17" s="1"/>
  <c r="Q149" i="17" a="1"/>
  <c r="Q149" i="17" s="1"/>
  <c r="Q146" i="17" a="1"/>
  <c r="Q146" i="17" s="1"/>
  <c r="R141" i="17" a="1"/>
  <c r="R141" i="17" s="1"/>
  <c r="R138" i="17" a="1"/>
  <c r="R138" i="17" s="1"/>
  <c r="Q135" i="17" a="1"/>
  <c r="Q135" i="17" s="1"/>
  <c r="R122" i="17" a="1"/>
  <c r="R122" i="17" s="1"/>
  <c r="Q119" i="17" a="1"/>
  <c r="Q119" i="17" s="1"/>
  <c r="R113" i="17" a="1"/>
  <c r="R113" i="17" s="1"/>
  <c r="R107" i="17" a="1"/>
  <c r="R107" i="17" s="1"/>
  <c r="R104" i="17" a="1"/>
  <c r="R104" i="17" s="1"/>
  <c r="R98" i="17" a="1"/>
  <c r="R98" i="17" s="1"/>
  <c r="Q95" i="17" a="1"/>
  <c r="Q95" i="17" s="1"/>
  <c r="Q268" i="17" a="1"/>
  <c r="Q268" i="17" s="1"/>
  <c r="Q254" i="17" a="1"/>
  <c r="Q254" i="17" s="1"/>
  <c r="Q240" i="17" a="1"/>
  <c r="Q240" i="17" s="1"/>
  <c r="Q226" i="17" a="1"/>
  <c r="Q226" i="17" s="1"/>
  <c r="Q215" i="17" a="1"/>
  <c r="Q215" i="17" s="1"/>
  <c r="R205" i="17" a="1"/>
  <c r="R205" i="17" s="1"/>
  <c r="R200" i="17" a="1"/>
  <c r="R200" i="17" s="1"/>
  <c r="Q198" i="17" a="1"/>
  <c r="Q198" i="17" s="1"/>
  <c r="R196" i="17" a="1"/>
  <c r="R196" i="17" s="1"/>
  <c r="R188" i="17" a="1"/>
  <c r="R188" i="17" s="1"/>
  <c r="R177" i="17" a="1"/>
  <c r="R177" i="17" s="1"/>
  <c r="Q174" i="17" a="1"/>
  <c r="Q174" i="17" s="1"/>
  <c r="R171" i="17" a="1"/>
  <c r="R171" i="17" s="1"/>
  <c r="Q162" i="17" a="1"/>
  <c r="Q162" i="17" s="1"/>
  <c r="R159" i="17" a="1"/>
  <c r="R159" i="17" s="1"/>
  <c r="R147" i="17" a="1"/>
  <c r="R147" i="17" s="1"/>
  <c r="R144" i="17" a="1"/>
  <c r="R144" i="17" s="1"/>
  <c r="Q141" i="17" a="1"/>
  <c r="Q141" i="17" s="1"/>
  <c r="Q138" i="17" a="1"/>
  <c r="Q138" i="17" s="1"/>
  <c r="R132" i="17" a="1"/>
  <c r="R132" i="17" s="1"/>
  <c r="R129" i="17" a="1"/>
  <c r="R129" i="17" s="1"/>
  <c r="R126" i="17" a="1"/>
  <c r="R126" i="17" s="1"/>
  <c r="R123" i="17" a="1"/>
  <c r="R123" i="17" s="1"/>
  <c r="Q122" i="17" a="1"/>
  <c r="Q122" i="17" s="1"/>
  <c r="R116" i="17" a="1"/>
  <c r="R116" i="17" s="1"/>
  <c r="Q113" i="17" a="1"/>
  <c r="Q113" i="17" s="1"/>
  <c r="R110" i="17" a="1"/>
  <c r="R110" i="17" s="1"/>
  <c r="Q107" i="17" a="1"/>
  <c r="Q107" i="17" s="1"/>
  <c r="Q104" i="17" a="1"/>
  <c r="Q104" i="17" s="1"/>
  <c r="R99" i="17" a="1"/>
  <c r="R99" i="17" s="1"/>
  <c r="Q98" i="17" a="1"/>
  <c r="Q98" i="17" s="1"/>
  <c r="R266" i="17" a="1"/>
  <c r="R266" i="17" s="1"/>
  <c r="Q238" i="17" a="1"/>
  <c r="Q238" i="17" s="1"/>
  <c r="Q204" i="17" a="1"/>
  <c r="Q204" i="17" s="1"/>
  <c r="Q200" i="17" a="1"/>
  <c r="Q200" i="17" s="1"/>
  <c r="R194" i="17" a="1"/>
  <c r="R194" i="17" s="1"/>
  <c r="R191" i="17" a="1"/>
  <c r="R191" i="17" s="1"/>
  <c r="Q188" i="17" a="1"/>
  <c r="Q188" i="17" s="1"/>
  <c r="R180" i="17" a="1"/>
  <c r="R180" i="17" s="1"/>
  <c r="Q177" i="17" a="1"/>
  <c r="Q177" i="17" s="1"/>
  <c r="Q170" i="17" a="1"/>
  <c r="Q170" i="17" s="1"/>
  <c r="R167" i="17" a="1"/>
  <c r="R167" i="17" s="1"/>
  <c r="Q163" i="17" a="1"/>
  <c r="Q163" i="17" s="1"/>
  <c r="R160" i="17" a="1"/>
  <c r="R160" i="17" s="1"/>
  <c r="Q159" i="17" a="1"/>
  <c r="Q159" i="17" s="1"/>
  <c r="Q153" i="17" a="1"/>
  <c r="Q153" i="17" s="1"/>
  <c r="R150" i="17" a="1"/>
  <c r="R150" i="17" s="1"/>
  <c r="Q147" i="17" a="1"/>
  <c r="Q147" i="17" s="1"/>
  <c r="Q144" i="17" a="1"/>
  <c r="Q144" i="17" s="1"/>
  <c r="R139" i="17" a="1"/>
  <c r="R139" i="17" s="1"/>
  <c r="R136" i="17" a="1"/>
  <c r="R136" i="17" s="1"/>
  <c r="Q132" i="17" a="1"/>
  <c r="Q132" i="17" s="1"/>
  <c r="Q129" i="17" a="1"/>
  <c r="Q129" i="17" s="1"/>
  <c r="Q126" i="17" a="1"/>
  <c r="Q126" i="17" s="1"/>
  <c r="Q123" i="17" a="1"/>
  <c r="Q123" i="17" s="1"/>
  <c r="R120" i="17" a="1"/>
  <c r="R120" i="17" s="1"/>
  <c r="R117" i="17" a="1"/>
  <c r="R117" i="17" s="1"/>
  <c r="Q116" i="17" a="1"/>
  <c r="Q116" i="17" s="1"/>
  <c r="R111" i="17" a="1"/>
  <c r="R111" i="17" s="1"/>
  <c r="Q110" i="17" a="1"/>
  <c r="Q110" i="17" s="1"/>
  <c r="R105" i="17" a="1"/>
  <c r="R105" i="17" s="1"/>
  <c r="R102" i="17" a="1"/>
  <c r="R102" i="17" s="1"/>
  <c r="R186" i="17" a="1"/>
  <c r="R186" i="17" s="1"/>
  <c r="Q139" i="17" a="1"/>
  <c r="Q139" i="17" s="1"/>
  <c r="R127" i="17" a="1"/>
  <c r="R127" i="17" s="1"/>
  <c r="Q99" i="17" a="1"/>
  <c r="Q99" i="17" s="1"/>
  <c r="R94" i="17" a="1"/>
  <c r="R94" i="17" s="1"/>
  <c r="Q92" i="17" a="1"/>
  <c r="Q92" i="17" s="1"/>
  <c r="R88" i="17" a="1"/>
  <c r="R88" i="17" s="1"/>
  <c r="Q85" i="17" a="1"/>
  <c r="Q85" i="17" s="1"/>
  <c r="R79" i="17" a="1"/>
  <c r="R79" i="17" s="1"/>
  <c r="Q78" i="17" a="1"/>
  <c r="Q78" i="17" s="1"/>
  <c r="Q75" i="17" a="1"/>
  <c r="Q75" i="17" s="1"/>
  <c r="Q72" i="17" a="1"/>
  <c r="Q72" i="17" s="1"/>
  <c r="R66" i="17" a="1"/>
  <c r="R66" i="17" s="1"/>
  <c r="R63" i="17" a="1"/>
  <c r="R63" i="17" s="1"/>
  <c r="R54" i="17" a="1"/>
  <c r="R54" i="17" s="1"/>
  <c r="Q50" i="17" a="1"/>
  <c r="Q50" i="17" s="1"/>
  <c r="R47" i="17" a="1"/>
  <c r="R47" i="17" s="1"/>
  <c r="Q46" i="17" a="1"/>
  <c r="Q46" i="17" s="1"/>
  <c r="R43" i="17" a="1"/>
  <c r="R43" i="17" s="1"/>
  <c r="Q35" i="17" a="1"/>
  <c r="Q35" i="17" s="1"/>
  <c r="R32" i="17" a="1"/>
  <c r="R32" i="17" s="1"/>
  <c r="R26" i="17" a="1"/>
  <c r="R26" i="17" s="1"/>
  <c r="Q150" i="17" a="1"/>
  <c r="Q150" i="17" s="1"/>
  <c r="R114" i="17" a="1"/>
  <c r="R114" i="17" s="1"/>
  <c r="R96" i="17" a="1"/>
  <c r="R96" i="17" s="1"/>
  <c r="Q88" i="17" a="1"/>
  <c r="Q88" i="17" s="1"/>
  <c r="Q82" i="17" a="1"/>
  <c r="Q82" i="17" s="1"/>
  <c r="R76" i="17" a="1"/>
  <c r="R76" i="17" s="1"/>
  <c r="R73" i="17" a="1"/>
  <c r="R73" i="17" s="1"/>
  <c r="Q69" i="17" a="1"/>
  <c r="Q69" i="17" s="1"/>
  <c r="Q66" i="17" a="1"/>
  <c r="Q66" i="17" s="1"/>
  <c r="R60" i="17" a="1"/>
  <c r="R60" i="17" s="1"/>
  <c r="R57" i="17" a="1"/>
  <c r="R57" i="17" s="1"/>
  <c r="R51" i="17" a="1"/>
  <c r="R51" i="17" s="1"/>
  <c r="Q43" i="17" a="1"/>
  <c r="Q43" i="17" s="1"/>
  <c r="R40" i="17" a="1"/>
  <c r="R40" i="17" s="1"/>
  <c r="Q39" i="17" a="1"/>
  <c r="Q39" i="17" s="1"/>
  <c r="R36" i="17" a="1"/>
  <c r="R36" i="17" s="1"/>
  <c r="Q32" i="17" a="1"/>
  <c r="Q32" i="17" s="1"/>
  <c r="R29" i="17" a="1"/>
  <c r="R29" i="17" s="1"/>
  <c r="Q26" i="17" a="1"/>
  <c r="Q26" i="17" s="1"/>
  <c r="R24" i="17" a="1"/>
  <c r="R24" i="17" s="1"/>
  <c r="R22" i="17" a="1"/>
  <c r="R22" i="17" s="1"/>
  <c r="R20" i="17" a="1"/>
  <c r="R20" i="17" s="1"/>
  <c r="R18" i="17" a="1"/>
  <c r="R18" i="17" s="1"/>
  <c r="R16" i="17" a="1"/>
  <c r="R16" i="17" s="1"/>
  <c r="R14" i="17" a="1"/>
  <c r="R14" i="17" s="1"/>
  <c r="R12" i="17" a="1"/>
  <c r="R12" i="17" s="1"/>
  <c r="R10" i="17" a="1"/>
  <c r="R10" i="17" s="1"/>
  <c r="R8" i="17" a="1"/>
  <c r="R8" i="17" s="1"/>
  <c r="R6" i="17" a="1"/>
  <c r="R6" i="17" s="1"/>
  <c r="R4" i="17" a="1"/>
  <c r="R4" i="17" s="1"/>
  <c r="R183" i="17" a="1"/>
  <c r="R183" i="17" s="1"/>
  <c r="Q171" i="17" a="1"/>
  <c r="Q171" i="17" s="1"/>
  <c r="Q136" i="17" a="1"/>
  <c r="Q136" i="17" s="1"/>
  <c r="R103" i="17" a="1"/>
  <c r="R103" i="17" s="1"/>
  <c r="Q96" i="17" a="1"/>
  <c r="Q96" i="17" s="1"/>
  <c r="R93" i="17" a="1"/>
  <c r="R93" i="17" s="1"/>
  <c r="R86" i="17" a="1"/>
  <c r="R86" i="17" s="1"/>
  <c r="R83" i="17" a="1"/>
  <c r="R83" i="17" s="1"/>
  <c r="R80" i="17" a="1"/>
  <c r="R80" i="17" s="1"/>
  <c r="Q79" i="17" a="1"/>
  <c r="Q79" i="17" s="1"/>
  <c r="Q76" i="17" a="1"/>
  <c r="Q76" i="17" s="1"/>
  <c r="R70" i="17" a="1"/>
  <c r="R70" i="17" s="1"/>
  <c r="R64" i="17" a="1"/>
  <c r="R64" i="17" s="1"/>
  <c r="Q63" i="17" a="1"/>
  <c r="Q63" i="17" s="1"/>
  <c r="R61" i="17" a="1"/>
  <c r="R61" i="17" s="1"/>
  <c r="Q60" i="17" a="1"/>
  <c r="Q60" i="17" s="1"/>
  <c r="Q57" i="17" a="1"/>
  <c r="Q57" i="17" s="1"/>
  <c r="Q54" i="17" a="1"/>
  <c r="Q54" i="17" s="1"/>
  <c r="Q51" i="17" a="1"/>
  <c r="Q51" i="17" s="1"/>
  <c r="R48" i="17" a="1"/>
  <c r="R48" i="17" s="1"/>
  <c r="Q47" i="17" a="1"/>
  <c r="Q47" i="17" s="1"/>
  <c r="R44" i="17" a="1"/>
  <c r="R44" i="17" s="1"/>
  <c r="Q40" i="17" a="1"/>
  <c r="Q40" i="17" s="1"/>
  <c r="R37" i="17" a="1"/>
  <c r="R37" i="17" s="1"/>
  <c r="Q36" i="17" a="1"/>
  <c r="Q36" i="17" s="1"/>
  <c r="R33" i="17" a="1"/>
  <c r="R33" i="17" s="1"/>
  <c r="Q29" i="17" a="1"/>
  <c r="Q29" i="17" s="1"/>
  <c r="Q24" i="17" a="1"/>
  <c r="Q24" i="17" s="1"/>
  <c r="Q22" i="17" a="1"/>
  <c r="Q22" i="17" s="1"/>
  <c r="Q20" i="17" a="1"/>
  <c r="Q20" i="17" s="1"/>
  <c r="Q18" i="17" a="1"/>
  <c r="Q18" i="17" s="1"/>
  <c r="Q16" i="17" a="1"/>
  <c r="Q16" i="17" s="1"/>
  <c r="Q14" i="17" a="1"/>
  <c r="Q14" i="17" s="1"/>
  <c r="Q12" i="17" a="1"/>
  <c r="Q12" i="17" s="1"/>
  <c r="Q10" i="17" a="1"/>
  <c r="Q10" i="17" s="1"/>
  <c r="Q8" i="17" a="1"/>
  <c r="Q8" i="17" s="1"/>
  <c r="Q6" i="17" a="1"/>
  <c r="Q6" i="17" s="1"/>
  <c r="Q4" i="17" a="1"/>
  <c r="Q4" i="17" s="1"/>
  <c r="Q111" i="17" a="1"/>
  <c r="Q111" i="17" s="1"/>
  <c r="Q102" i="17" a="1"/>
  <c r="Q102" i="17" s="1"/>
  <c r="R91" i="17" a="1"/>
  <c r="R91" i="17" s="1"/>
  <c r="R89" i="17" a="1"/>
  <c r="R89" i="17" s="1"/>
  <c r="Q86" i="17" a="1"/>
  <c r="Q86" i="17" s="1"/>
  <c r="Q83" i="17" a="1"/>
  <c r="Q83" i="17" s="1"/>
  <c r="Q80" i="17" a="1"/>
  <c r="Q80" i="17" s="1"/>
  <c r="R77" i="17" a="1"/>
  <c r="R77" i="17" s="1"/>
  <c r="Q73" i="17" a="1"/>
  <c r="Q73" i="17" s="1"/>
  <c r="R67" i="17" a="1"/>
  <c r="R67" i="17" s="1"/>
  <c r="Q64" i="17" a="1"/>
  <c r="Q64" i="17" s="1"/>
  <c r="R58" i="17" a="1"/>
  <c r="R58" i="17" s="1"/>
  <c r="R55" i="17" a="1"/>
  <c r="R55" i="17" s="1"/>
  <c r="Q48" i="17" a="1"/>
  <c r="Q48" i="17" s="1"/>
  <c r="R45" i="17" a="1"/>
  <c r="R45" i="17" s="1"/>
  <c r="Q44" i="17" a="1"/>
  <c r="Q44" i="17" s="1"/>
  <c r="R41" i="17" a="1"/>
  <c r="R41" i="17" s="1"/>
  <c r="R30" i="17" a="1"/>
  <c r="R30" i="17" s="1"/>
  <c r="R27" i="17" a="1"/>
  <c r="R27" i="17" s="1"/>
  <c r="Q180" i="17" a="1"/>
  <c r="Q180" i="17" s="1"/>
  <c r="R168" i="17" a="1"/>
  <c r="R168" i="17" s="1"/>
  <c r="R157" i="17" a="1"/>
  <c r="R157" i="17" s="1"/>
  <c r="R145" i="17" a="1"/>
  <c r="R145" i="17" s="1"/>
  <c r="R133" i="17" a="1"/>
  <c r="R133" i="17" s="1"/>
  <c r="Q93" i="17" a="1"/>
  <c r="Q93" i="17" s="1"/>
  <c r="Q91" i="17" a="1"/>
  <c r="Q91" i="17" s="1"/>
  <c r="R74" i="17" a="1"/>
  <c r="R74" i="17" s="1"/>
  <c r="R71" i="17" a="1"/>
  <c r="R71" i="17" s="1"/>
  <c r="Q70" i="17" a="1"/>
  <c r="Q70" i="17" s="1"/>
  <c r="Q67" i="17" a="1"/>
  <c r="Q67" i="17" s="1"/>
  <c r="Q61" i="17" a="1"/>
  <c r="Q61" i="17" s="1"/>
  <c r="R52" i="17" a="1"/>
  <c r="R52" i="17" s="1"/>
  <c r="R49" i="17" a="1"/>
  <c r="R49" i="17" s="1"/>
  <c r="Q37" i="17" a="1"/>
  <c r="Q37" i="17" s="1"/>
  <c r="R34" i="17" a="1"/>
  <c r="R34" i="17" s="1"/>
  <c r="Q33" i="17" a="1"/>
  <c r="Q33" i="17" s="1"/>
  <c r="Q27" i="17" a="1"/>
  <c r="Q27" i="17" s="1"/>
  <c r="R223" i="17" a="1"/>
  <c r="R223" i="17" s="1"/>
  <c r="Q191" i="17" a="1"/>
  <c r="Q191" i="17" s="1"/>
  <c r="Q167" i="17" a="1"/>
  <c r="Q167" i="17" s="1"/>
  <c r="Q120" i="17" a="1"/>
  <c r="Q120" i="17" s="1"/>
  <c r="Q89" i="17" a="1"/>
  <c r="Q89" i="17" s="1"/>
  <c r="R87" i="17" a="1"/>
  <c r="R87" i="17" s="1"/>
  <c r="R84" i="17" a="1"/>
  <c r="R84" i="17" s="1"/>
  <c r="R81" i="17" a="1"/>
  <c r="R81" i="17" s="1"/>
  <c r="Q77" i="17" a="1"/>
  <c r="Q77" i="17" s="1"/>
  <c r="Q74" i="17" a="1"/>
  <c r="Q74" i="17" s="1"/>
  <c r="R68" i="17" a="1"/>
  <c r="R68" i="17" s="1"/>
  <c r="R65" i="17" a="1"/>
  <c r="R65" i="17" s="1"/>
  <c r="R62" i="17" a="1"/>
  <c r="R62" i="17" s="1"/>
  <c r="Q58" i="17" a="1"/>
  <c r="Q58" i="17" s="1"/>
  <c r="R56" i="17" a="1"/>
  <c r="R56" i="17" s="1"/>
  <c r="Q55" i="17" a="1"/>
  <c r="Q55" i="17" s="1"/>
  <c r="R53" i="17" a="1"/>
  <c r="R53" i="17" s="1"/>
  <c r="Q52" i="17" a="1"/>
  <c r="Q52" i="17" s="1"/>
  <c r="Q45" i="17" a="1"/>
  <c r="Q45" i="17" s="1"/>
  <c r="R42" i="17" a="1"/>
  <c r="R42" i="17" s="1"/>
  <c r="Q41" i="17" a="1"/>
  <c r="Q41" i="17" s="1"/>
  <c r="R38" i="17" a="1"/>
  <c r="R38" i="17" s="1"/>
  <c r="R31" i="17" a="1"/>
  <c r="R31" i="17" s="1"/>
  <c r="Q30" i="17" a="1"/>
  <c r="Q30" i="17" s="1"/>
  <c r="R25" i="17" a="1"/>
  <c r="R25" i="17" s="1"/>
  <c r="R23" i="17" a="1"/>
  <c r="R23" i="17" s="1"/>
  <c r="R21" i="17" a="1"/>
  <c r="R21" i="17" s="1"/>
  <c r="R19" i="17" a="1"/>
  <c r="R19" i="17" s="1"/>
  <c r="R17" i="17" a="1"/>
  <c r="R17" i="17" s="1"/>
  <c r="R15" i="17" a="1"/>
  <c r="R15" i="17" s="1"/>
  <c r="R13" i="17" a="1"/>
  <c r="R13" i="17" s="1"/>
  <c r="R11" i="17" a="1"/>
  <c r="R11" i="17" s="1"/>
  <c r="R9" i="17" a="1"/>
  <c r="R9" i="17" s="1"/>
  <c r="R7" i="17" a="1"/>
  <c r="R7" i="17" s="1"/>
  <c r="R5" i="17" a="1"/>
  <c r="R5" i="17" s="1"/>
  <c r="R3" i="17" a="1"/>
  <c r="R3" i="17" s="1"/>
  <c r="R212" i="17" a="1"/>
  <c r="R212" i="17" s="1"/>
  <c r="R154" i="17" a="1"/>
  <c r="R154" i="17" s="1"/>
  <c r="R97" i="17" a="1"/>
  <c r="R97" i="17" s="1"/>
  <c r="R85" i="17" a="1"/>
  <c r="R85" i="17" s="1"/>
  <c r="Q84" i="17" a="1"/>
  <c r="Q84" i="17" s="1"/>
  <c r="R78" i="17" a="1"/>
  <c r="R78" i="17" s="1"/>
  <c r="Q71" i="17" a="1"/>
  <c r="Q71" i="17" s="1"/>
  <c r="Q68" i="17" a="1"/>
  <c r="Q68" i="17" s="1"/>
  <c r="Q65" i="17" a="1"/>
  <c r="Q65" i="17" s="1"/>
  <c r="R59" i="17" a="1"/>
  <c r="R59" i="17" s="1"/>
  <c r="Q56" i="17" a="1"/>
  <c r="Q56" i="17" s="1"/>
  <c r="R50" i="17" a="1"/>
  <c r="R50" i="17" s="1"/>
  <c r="Q49" i="17" a="1"/>
  <c r="Q49" i="17" s="1"/>
  <c r="R46" i="17" a="1"/>
  <c r="R46" i="17" s="1"/>
  <c r="Q34" i="17" a="1"/>
  <c r="Q34" i="17" s="1"/>
  <c r="R28" i="17" a="1"/>
  <c r="R28" i="17" s="1"/>
  <c r="Q25" i="17" a="1"/>
  <c r="Q25" i="17" s="1"/>
  <c r="Q23" i="17" a="1"/>
  <c r="Q23" i="17" s="1"/>
  <c r="Q21" i="17" a="1"/>
  <c r="Q21" i="17" s="1"/>
  <c r="Q19" i="17" a="1"/>
  <c r="Q19" i="17" s="1"/>
  <c r="Q17" i="17" a="1"/>
  <c r="Q17" i="17" s="1"/>
  <c r="Q15" i="17" a="1"/>
  <c r="Q15" i="17" s="1"/>
  <c r="Q13" i="17" a="1"/>
  <c r="Q13" i="17" s="1"/>
  <c r="Q11" i="17" a="1"/>
  <c r="Q11" i="17" s="1"/>
  <c r="Q9" i="17" a="1"/>
  <c r="Q9" i="17" s="1"/>
  <c r="Q7" i="17" a="1"/>
  <c r="Q7" i="17" s="1"/>
  <c r="Q5" i="17" a="1"/>
  <c r="Q5" i="17" s="1"/>
  <c r="Q3" i="17" a="1"/>
  <c r="Q3" i="17" s="1"/>
  <c r="R164" i="17" a="1"/>
  <c r="R164" i="17" s="1"/>
  <c r="C47" i="8"/>
  <c r="C92" i="8"/>
  <c r="C43" i="10"/>
  <c r="C5" i="11"/>
  <c r="U3" i="17" a="1"/>
  <c r="U3" i="17" s="1"/>
  <c r="U304" i="17" a="1"/>
  <c r="U304" i="17" s="1"/>
  <c r="U296" i="17" a="1"/>
  <c r="U296" i="17" s="1"/>
  <c r="U288" i="17" a="1"/>
  <c r="U288" i="17" s="1"/>
  <c r="U280" i="17" a="1"/>
  <c r="U280" i="17" s="1"/>
  <c r="U272" i="17" a="1"/>
  <c r="U272" i="17" s="1"/>
  <c r="U264" i="17" a="1"/>
  <c r="U264" i="17" s="1"/>
  <c r="U256" i="17" a="1"/>
  <c r="U256" i="17" s="1"/>
  <c r="U248" i="17" a="1"/>
  <c r="U248" i="17" s="1"/>
  <c r="U240" i="17" a="1"/>
  <c r="U240" i="17" s="1"/>
  <c r="U232" i="17" a="1"/>
  <c r="U232" i="17" s="1"/>
  <c r="U224" i="17" a="1"/>
  <c r="U224" i="17" s="1"/>
  <c r="U216" i="17" a="1"/>
  <c r="U216" i="17" s="1"/>
  <c r="U208" i="17" a="1"/>
  <c r="U208" i="17" s="1"/>
  <c r="U200" i="17" a="1"/>
  <c r="U200" i="17" s="1"/>
  <c r="U192" i="17" a="1"/>
  <c r="U192" i="17" s="1"/>
  <c r="U184" i="17" a="1"/>
  <c r="U184" i="17" s="1"/>
  <c r="U176" i="17" a="1"/>
  <c r="U176" i="17" s="1"/>
  <c r="U168" i="17" a="1"/>
  <c r="U168" i="17" s="1"/>
  <c r="U160" i="17" a="1"/>
  <c r="U160" i="17" s="1"/>
  <c r="U152" i="17" a="1"/>
  <c r="U152" i="17" s="1"/>
  <c r="U144" i="17" a="1"/>
  <c r="U144" i="17" s="1"/>
  <c r="U136" i="17" a="1"/>
  <c r="U136" i="17" s="1"/>
  <c r="U128" i="17" a="1"/>
  <c r="U128" i="17" s="1"/>
  <c r="U120" i="17" a="1"/>
  <c r="U120" i="17" s="1"/>
  <c r="U112" i="17" a="1"/>
  <c r="U112" i="17" s="1"/>
  <c r="U104" i="17" a="1"/>
  <c r="U104" i="17" s="1"/>
  <c r="U96" i="17" a="1"/>
  <c r="U96" i="17" s="1"/>
  <c r="U88" i="17" a="1"/>
  <c r="U88" i="17" s="1"/>
  <c r="U80" i="17" a="1"/>
  <c r="U80" i="17" s="1"/>
  <c r="U72" i="17" a="1"/>
  <c r="U72" i="17" s="1"/>
  <c r="U64" i="17" a="1"/>
  <c r="U64" i="17" s="1"/>
  <c r="U56" i="17" a="1"/>
  <c r="U56" i="17" s="1"/>
  <c r="U48" i="17" a="1"/>
  <c r="U48" i="17" s="1"/>
  <c r="U40" i="17" a="1"/>
  <c r="U40" i="17" s="1"/>
  <c r="U32" i="17" a="1"/>
  <c r="U32" i="17" s="1"/>
  <c r="U24" i="17" a="1"/>
  <c r="U24" i="17" s="1"/>
  <c r="U16" i="17" a="1"/>
  <c r="U16" i="17" s="1"/>
  <c r="U8" i="17" a="1"/>
  <c r="U8" i="17" s="1"/>
  <c r="S309" i="17" a="1"/>
  <c r="S309" i="17" s="1"/>
  <c r="S301" i="17" a="1"/>
  <c r="S301" i="17" s="1"/>
  <c r="S293" i="17" a="1"/>
  <c r="S293" i="17" s="1"/>
  <c r="S285" i="17" a="1"/>
  <c r="S285" i="17" s="1"/>
  <c r="S277" i="17" a="1"/>
  <c r="S277" i="17" s="1"/>
  <c r="S269" i="17" a="1"/>
  <c r="S269" i="17" s="1"/>
  <c r="S261" i="17" a="1"/>
  <c r="S261" i="17" s="1"/>
  <c r="S253" i="17" a="1"/>
  <c r="S253" i="17" s="1"/>
  <c r="S245" i="17" a="1"/>
  <c r="S245" i="17" s="1"/>
  <c r="S237" i="17" a="1"/>
  <c r="S237" i="17" s="1"/>
  <c r="S229" i="17" a="1"/>
  <c r="S229" i="17" s="1"/>
  <c r="S221" i="17" a="1"/>
  <c r="S221" i="17" s="1"/>
  <c r="S213" i="17" a="1"/>
  <c r="S213" i="17" s="1"/>
  <c r="S205" i="17" a="1"/>
  <c r="S205" i="17" s="1"/>
  <c r="S197" i="17" a="1"/>
  <c r="S197" i="17" s="1"/>
  <c r="S189" i="17" a="1"/>
  <c r="S189" i="17" s="1"/>
  <c r="S181" i="17" a="1"/>
  <c r="S181" i="17" s="1"/>
  <c r="S173" i="17" a="1"/>
  <c r="S173" i="17" s="1"/>
  <c r="S165" i="17" a="1"/>
  <c r="S165" i="17" s="1"/>
  <c r="S157" i="17" a="1"/>
  <c r="S157" i="17" s="1"/>
  <c r="S149" i="17" a="1"/>
  <c r="S149" i="17" s="1"/>
  <c r="S141" i="17" a="1"/>
  <c r="S141" i="17" s="1"/>
  <c r="S133" i="17" a="1"/>
  <c r="S133" i="17" s="1"/>
  <c r="S125" i="17" a="1"/>
  <c r="S125" i="17" s="1"/>
  <c r="S116" i="17" a="1"/>
  <c r="S116" i="17" s="1"/>
  <c r="S106" i="17" a="1"/>
  <c r="S106" i="17" s="1"/>
  <c r="S97" i="17" a="1"/>
  <c r="S97" i="17" s="1"/>
  <c r="S88" i="17" a="1"/>
  <c r="S88" i="17" s="1"/>
  <c r="S77" i="17" a="1"/>
  <c r="S77" i="17" s="1"/>
  <c r="S62" i="17" a="1"/>
  <c r="S62" i="17" s="1"/>
  <c r="S42" i="17" a="1"/>
  <c r="S42" i="17" s="1"/>
  <c r="S12" i="17" a="1"/>
  <c r="S12" i="17" s="1"/>
  <c r="V14" i="17" a="1"/>
  <c r="V14" i="17" s="1"/>
  <c r="V29" i="17" a="1"/>
  <c r="V29" i="17" s="1"/>
  <c r="T40" i="17" a="1"/>
  <c r="T40" i="17" s="1"/>
  <c r="V51" i="17" a="1"/>
  <c r="V51" i="17" s="1"/>
  <c r="R75" i="17" a="1"/>
  <c r="R75" i="17" s="1"/>
  <c r="Q87" i="17" a="1"/>
  <c r="Q87" i="17" s="1"/>
  <c r="Q117" i="17" a="1"/>
  <c r="Q117" i="17" s="1"/>
  <c r="C29" i="10"/>
  <c r="U311" i="17" a="1"/>
  <c r="U311" i="17" s="1"/>
  <c r="U303" i="17" a="1"/>
  <c r="U303" i="17" s="1"/>
  <c r="U295" i="17" a="1"/>
  <c r="U295" i="17" s="1"/>
  <c r="U287" i="17" a="1"/>
  <c r="U287" i="17" s="1"/>
  <c r="U279" i="17" a="1"/>
  <c r="U279" i="17" s="1"/>
  <c r="U271" i="17" a="1"/>
  <c r="U271" i="17" s="1"/>
  <c r="U263" i="17" a="1"/>
  <c r="U263" i="17" s="1"/>
  <c r="U255" i="17" a="1"/>
  <c r="U255" i="17" s="1"/>
  <c r="U247" i="17" a="1"/>
  <c r="U247" i="17" s="1"/>
  <c r="U239" i="17" a="1"/>
  <c r="U239" i="17" s="1"/>
  <c r="U231" i="17" a="1"/>
  <c r="U231" i="17" s="1"/>
  <c r="U223" i="17" a="1"/>
  <c r="U223" i="17" s="1"/>
  <c r="U215" i="17" a="1"/>
  <c r="U215" i="17" s="1"/>
  <c r="U207" i="17" a="1"/>
  <c r="U207" i="17" s="1"/>
  <c r="U199" i="17" a="1"/>
  <c r="U199" i="17" s="1"/>
  <c r="U191" i="17" a="1"/>
  <c r="U191" i="17" s="1"/>
  <c r="U183" i="17" a="1"/>
  <c r="U183" i="17" s="1"/>
  <c r="U175" i="17" a="1"/>
  <c r="U175" i="17" s="1"/>
  <c r="U167" i="17" a="1"/>
  <c r="U167" i="17" s="1"/>
  <c r="U159" i="17" a="1"/>
  <c r="U159" i="17" s="1"/>
  <c r="U151" i="17" a="1"/>
  <c r="U151" i="17" s="1"/>
  <c r="U143" i="17" a="1"/>
  <c r="U143" i="17" s="1"/>
  <c r="U135" i="17" a="1"/>
  <c r="U135" i="17" s="1"/>
  <c r="U127" i="17" a="1"/>
  <c r="U127" i="17" s="1"/>
  <c r="U119" i="17" a="1"/>
  <c r="U119" i="17" s="1"/>
  <c r="U111" i="17" a="1"/>
  <c r="U111" i="17" s="1"/>
  <c r="U103" i="17" a="1"/>
  <c r="U103" i="17" s="1"/>
  <c r="U95" i="17" a="1"/>
  <c r="U95" i="17" s="1"/>
  <c r="U87" i="17" a="1"/>
  <c r="U87" i="17" s="1"/>
  <c r="U79" i="17" a="1"/>
  <c r="U79" i="17" s="1"/>
  <c r="U71" i="17" a="1"/>
  <c r="U71" i="17" s="1"/>
  <c r="U63" i="17" a="1"/>
  <c r="U63" i="17" s="1"/>
  <c r="U55" i="17" a="1"/>
  <c r="U55" i="17" s="1"/>
  <c r="U47" i="17" a="1"/>
  <c r="U47" i="17" s="1"/>
  <c r="U39" i="17" a="1"/>
  <c r="U39" i="17" s="1"/>
  <c r="U31" i="17" a="1"/>
  <c r="U31" i="17" s="1"/>
  <c r="U23" i="17" a="1"/>
  <c r="U23" i="17" s="1"/>
  <c r="U15" i="17" a="1"/>
  <c r="U15" i="17" s="1"/>
  <c r="U7" i="17" a="1"/>
  <c r="U7" i="17" s="1"/>
  <c r="S308" i="17" a="1"/>
  <c r="S308" i="17" s="1"/>
  <c r="S300" i="17" a="1"/>
  <c r="S300" i="17" s="1"/>
  <c r="S292" i="17" a="1"/>
  <c r="S292" i="17" s="1"/>
  <c r="S284" i="17" a="1"/>
  <c r="S284" i="17" s="1"/>
  <c r="S276" i="17" a="1"/>
  <c r="S276" i="17" s="1"/>
  <c r="S268" i="17" a="1"/>
  <c r="S268" i="17" s="1"/>
  <c r="S260" i="17" a="1"/>
  <c r="S260" i="17" s="1"/>
  <c r="S252" i="17" a="1"/>
  <c r="S252" i="17" s="1"/>
  <c r="S244" i="17" a="1"/>
  <c r="S244" i="17" s="1"/>
  <c r="S236" i="17" a="1"/>
  <c r="S236" i="17" s="1"/>
  <c r="S228" i="17" a="1"/>
  <c r="S228" i="17" s="1"/>
  <c r="S220" i="17" a="1"/>
  <c r="S220" i="17" s="1"/>
  <c r="S212" i="17" a="1"/>
  <c r="S212" i="17" s="1"/>
  <c r="S204" i="17" a="1"/>
  <c r="S204" i="17" s="1"/>
  <c r="S196" i="17" a="1"/>
  <c r="S196" i="17" s="1"/>
  <c r="S188" i="17" a="1"/>
  <c r="S188" i="17" s="1"/>
  <c r="S180" i="17" a="1"/>
  <c r="S180" i="17" s="1"/>
  <c r="S172" i="17" a="1"/>
  <c r="S172" i="17" s="1"/>
  <c r="S164" i="17" a="1"/>
  <c r="S164" i="17" s="1"/>
  <c r="S156" i="17" a="1"/>
  <c r="S156" i="17" s="1"/>
  <c r="S148" i="17" a="1"/>
  <c r="S148" i="17" s="1"/>
  <c r="S140" i="17" a="1"/>
  <c r="S140" i="17" s="1"/>
  <c r="S132" i="17" a="1"/>
  <c r="S132" i="17" s="1"/>
  <c r="S124" i="17" a="1"/>
  <c r="S124" i="17" s="1"/>
  <c r="S114" i="17" a="1"/>
  <c r="S114" i="17" s="1"/>
  <c r="S105" i="17" a="1"/>
  <c r="S105" i="17" s="1"/>
  <c r="S96" i="17" a="1"/>
  <c r="S96" i="17" s="1"/>
  <c r="S87" i="17" a="1"/>
  <c r="S87" i="17" s="1"/>
  <c r="S76" i="17" a="1"/>
  <c r="S76" i="17" s="1"/>
  <c r="S60" i="17" a="1"/>
  <c r="S60" i="17" s="1"/>
  <c r="S38" i="17" a="1"/>
  <c r="S38" i="17" s="1"/>
  <c r="S10" i="17" a="1"/>
  <c r="S10" i="17" s="1"/>
  <c r="V16" i="17" a="1"/>
  <c r="V16" i="17" s="1"/>
  <c r="Q31" i="17" a="1"/>
  <c r="Q31" i="17" s="1"/>
  <c r="Q42" i="17" a="1"/>
  <c r="Q42" i="17" s="1"/>
  <c r="Q53" i="17" a="1"/>
  <c r="Q53" i="17" s="1"/>
  <c r="V64" i="17" a="1"/>
  <c r="V64" i="17" s="1"/>
  <c r="V76" i="17" a="1"/>
  <c r="V76" i="17" s="1"/>
  <c r="T88" i="17" a="1"/>
  <c r="T88" i="17" s="1"/>
  <c r="U302" i="17" a="1"/>
  <c r="U302" i="17" s="1"/>
  <c r="U294" i="17" a="1"/>
  <c r="U294" i="17" s="1"/>
  <c r="U278" i="17" a="1"/>
  <c r="U278" i="17" s="1"/>
  <c r="U262" i="17" a="1"/>
  <c r="U262" i="17" s="1"/>
  <c r="U246" i="17" a="1"/>
  <c r="U246" i="17" s="1"/>
  <c r="U238" i="17" a="1"/>
  <c r="U238" i="17" s="1"/>
  <c r="U230" i="17" a="1"/>
  <c r="U230" i="17" s="1"/>
  <c r="U222" i="17" a="1"/>
  <c r="U222" i="17" s="1"/>
  <c r="U214" i="17" a="1"/>
  <c r="U214" i="17" s="1"/>
  <c r="U206" i="17" a="1"/>
  <c r="U206" i="17" s="1"/>
  <c r="U198" i="17" a="1"/>
  <c r="U198" i="17" s="1"/>
  <c r="U190" i="17" a="1"/>
  <c r="U190" i="17" s="1"/>
  <c r="U182" i="17" a="1"/>
  <c r="U182" i="17" s="1"/>
  <c r="U174" i="17" a="1"/>
  <c r="U174" i="17" s="1"/>
  <c r="U166" i="17" a="1"/>
  <c r="U166" i="17" s="1"/>
  <c r="U158" i="17" a="1"/>
  <c r="U158" i="17" s="1"/>
  <c r="U150" i="17" a="1"/>
  <c r="U150" i="17" s="1"/>
  <c r="U142" i="17" a="1"/>
  <c r="U142" i="17" s="1"/>
  <c r="U134" i="17" a="1"/>
  <c r="U134" i="17" s="1"/>
  <c r="U126" i="17" a="1"/>
  <c r="U126" i="17" s="1"/>
  <c r="U118" i="17" a="1"/>
  <c r="U118" i="17" s="1"/>
  <c r="U110" i="17" a="1"/>
  <c r="U110" i="17" s="1"/>
  <c r="U102" i="17" a="1"/>
  <c r="U102" i="17" s="1"/>
  <c r="U94" i="17" a="1"/>
  <c r="U94" i="17" s="1"/>
  <c r="U86" i="17" a="1"/>
  <c r="U86" i="17" s="1"/>
  <c r="U78" i="17" a="1"/>
  <c r="U78" i="17" s="1"/>
  <c r="U70" i="17" a="1"/>
  <c r="U70" i="17" s="1"/>
  <c r="U62" i="17" a="1"/>
  <c r="U62" i="17" s="1"/>
  <c r="U54" i="17" a="1"/>
  <c r="U54" i="17" s="1"/>
  <c r="U46" i="17" a="1"/>
  <c r="U46" i="17" s="1"/>
  <c r="U38" i="17" a="1"/>
  <c r="U38" i="17" s="1"/>
  <c r="U30" i="17" a="1"/>
  <c r="U30" i="17" s="1"/>
  <c r="U22" i="17" a="1"/>
  <c r="U22" i="17" s="1"/>
  <c r="U14" i="17" a="1"/>
  <c r="U14" i="17" s="1"/>
  <c r="U6" i="17" a="1"/>
  <c r="U6" i="17" s="1"/>
  <c r="S307" i="17" a="1"/>
  <c r="S307" i="17" s="1"/>
  <c r="S299" i="17" a="1"/>
  <c r="S299" i="17" s="1"/>
  <c r="S291" i="17" a="1"/>
  <c r="S291" i="17" s="1"/>
  <c r="S283" i="17" a="1"/>
  <c r="S283" i="17" s="1"/>
  <c r="S275" i="17" a="1"/>
  <c r="S275" i="17" s="1"/>
  <c r="S267" i="17" a="1"/>
  <c r="S267" i="17" s="1"/>
  <c r="S259" i="17" a="1"/>
  <c r="S259" i="17" s="1"/>
  <c r="S251" i="17" a="1"/>
  <c r="S251" i="17" s="1"/>
  <c r="S243" i="17" a="1"/>
  <c r="S243" i="17" s="1"/>
  <c r="S235" i="17" a="1"/>
  <c r="S235" i="17" s="1"/>
  <c r="S227" i="17" a="1"/>
  <c r="S227" i="17" s="1"/>
  <c r="S219" i="17" a="1"/>
  <c r="S219" i="17" s="1"/>
  <c r="S211" i="17" a="1"/>
  <c r="S211" i="17" s="1"/>
  <c r="S203" i="17" a="1"/>
  <c r="S203" i="17" s="1"/>
  <c r="S195" i="17" a="1"/>
  <c r="S195" i="17" s="1"/>
  <c r="S187" i="17" a="1"/>
  <c r="S187" i="17" s="1"/>
  <c r="S179" i="17" a="1"/>
  <c r="S179" i="17" s="1"/>
  <c r="S171" i="17" a="1"/>
  <c r="S171" i="17" s="1"/>
  <c r="S163" i="17" a="1"/>
  <c r="S163" i="17" s="1"/>
  <c r="S155" i="17" a="1"/>
  <c r="S155" i="17" s="1"/>
  <c r="S147" i="17" a="1"/>
  <c r="S147" i="17" s="1"/>
  <c r="S139" i="17" a="1"/>
  <c r="S139" i="17" s="1"/>
  <c r="S131" i="17" a="1"/>
  <c r="S131" i="17" s="1"/>
  <c r="S122" i="17" a="1"/>
  <c r="S122" i="17" s="1"/>
  <c r="S113" i="17" a="1"/>
  <c r="S113" i="17" s="1"/>
  <c r="S104" i="17" a="1"/>
  <c r="S104" i="17" s="1"/>
  <c r="S95" i="17" a="1"/>
  <c r="S95" i="17" s="1"/>
  <c r="S86" i="17" a="1"/>
  <c r="S86" i="17" s="1"/>
  <c r="S74" i="17" a="1"/>
  <c r="S74" i="17" s="1"/>
  <c r="S58" i="17" a="1"/>
  <c r="S58" i="17" s="1"/>
  <c r="S36" i="17" a="1"/>
  <c r="S36" i="17" s="1"/>
  <c r="S4" i="17" a="1"/>
  <c r="S4" i="17" s="1"/>
  <c r="V18" i="17" a="1"/>
  <c r="V18" i="17" s="1"/>
  <c r="T54" i="17" a="1"/>
  <c r="T54" i="17" s="1"/>
  <c r="R90" i="17" a="1"/>
  <c r="R90" i="17" s="1"/>
  <c r="U310" i="17" a="1"/>
  <c r="U310" i="17" s="1"/>
  <c r="U286" i="17" a="1"/>
  <c r="U286" i="17" s="1"/>
  <c r="U270" i="17" a="1"/>
  <c r="U270" i="17" s="1"/>
  <c r="U254" i="17" a="1"/>
  <c r="U254" i="17" s="1"/>
  <c r="T266" i="17" a="1"/>
  <c r="T266" i="17" s="1"/>
  <c r="T259" i="17" a="1"/>
  <c r="T259" i="17" s="1"/>
  <c r="T243" i="17" a="1"/>
  <c r="T243" i="17" s="1"/>
  <c r="T224" i="17" a="1"/>
  <c r="T224" i="17" s="1"/>
  <c r="T220" i="17" a="1"/>
  <c r="T220" i="17" s="1"/>
  <c r="T205" i="17" a="1"/>
  <c r="T205" i="17" s="1"/>
  <c r="T201" i="17" a="1"/>
  <c r="T201" i="17" s="1"/>
  <c r="T190" i="17" a="1"/>
  <c r="T190" i="17" s="1"/>
  <c r="T186" i="17" a="1"/>
  <c r="T186" i="17" s="1"/>
  <c r="T311" i="17" a="1"/>
  <c r="T311" i="17" s="1"/>
  <c r="T271" i="17" a="1"/>
  <c r="T271" i="17" s="1"/>
  <c r="T269" i="17" a="1"/>
  <c r="T269" i="17" s="1"/>
  <c r="T262" i="17" a="1"/>
  <c r="T262" i="17" s="1"/>
  <c r="T248" i="17" a="1"/>
  <c r="T248" i="17" s="1"/>
  <c r="T230" i="17" a="1"/>
  <c r="T230" i="17" s="1"/>
  <c r="T228" i="17" a="1"/>
  <c r="T228" i="17" s="1"/>
  <c r="T221" i="17" a="1"/>
  <c r="T221" i="17" s="1"/>
  <c r="T217" i="17" a="1"/>
  <c r="T217" i="17" s="1"/>
  <c r="T206" i="17" a="1"/>
  <c r="T206" i="17" s="1"/>
  <c r="T267" i="17" a="1"/>
  <c r="T267" i="17" s="1"/>
  <c r="T260" i="17" a="1"/>
  <c r="T260" i="17" s="1"/>
  <c r="T255" i="17" a="1"/>
  <c r="T255" i="17" s="1"/>
  <c r="T253" i="17" a="1"/>
  <c r="T253" i="17" s="1"/>
  <c r="T246" i="17" a="1"/>
  <c r="T246" i="17" s="1"/>
  <c r="T244" i="17" a="1"/>
  <c r="T244" i="17" s="1"/>
  <c r="T239" i="17" a="1"/>
  <c r="T239" i="17" s="1"/>
  <c r="T237" i="17" a="1"/>
  <c r="T237" i="17" s="1"/>
  <c r="T225" i="17" a="1"/>
  <c r="T225" i="17" s="1"/>
  <c r="T214" i="17" a="1"/>
  <c r="T214" i="17" s="1"/>
  <c r="T210" i="17" a="1"/>
  <c r="T210" i="17" s="1"/>
  <c r="T195" i="17" a="1"/>
  <c r="T195" i="17" s="1"/>
  <c r="T265" i="17" a="1"/>
  <c r="T265" i="17" s="1"/>
  <c r="T251" i="17" a="1"/>
  <c r="T251" i="17" s="1"/>
  <c r="T235" i="17" a="1"/>
  <c r="T235" i="17" s="1"/>
  <c r="T222" i="17" a="1"/>
  <c r="T222" i="17" s="1"/>
  <c r="T218" i="17" a="1"/>
  <c r="T218" i="17" s="1"/>
  <c r="T203" i="17" a="1"/>
  <c r="T203" i="17" s="1"/>
  <c r="T310" i="17" a="1"/>
  <c r="T310" i="17" s="1"/>
  <c r="T308" i="17" a="1"/>
  <c r="T308" i="17" s="1"/>
  <c r="T306" i="17" a="1"/>
  <c r="T306" i="17" s="1"/>
  <c r="T304" i="17" a="1"/>
  <c r="T304" i="17" s="1"/>
  <c r="T302" i="17" a="1"/>
  <c r="T302" i="17" s="1"/>
  <c r="T300" i="17" a="1"/>
  <c r="T300" i="17" s="1"/>
  <c r="T298" i="17" a="1"/>
  <c r="T298" i="17" s="1"/>
  <c r="T296" i="17" a="1"/>
  <c r="T296" i="17" s="1"/>
  <c r="T294" i="17" a="1"/>
  <c r="T294" i="17" s="1"/>
  <c r="T292" i="17" a="1"/>
  <c r="T292" i="17" s="1"/>
  <c r="T290" i="17" a="1"/>
  <c r="T290" i="17" s="1"/>
  <c r="T288" i="17" a="1"/>
  <c r="T288" i="17" s="1"/>
  <c r="T286" i="17" a="1"/>
  <c r="T286" i="17" s="1"/>
  <c r="T284" i="17" a="1"/>
  <c r="T284" i="17" s="1"/>
  <c r="T282" i="17" a="1"/>
  <c r="T282" i="17" s="1"/>
  <c r="T280" i="17" a="1"/>
  <c r="T280" i="17" s="1"/>
  <c r="T278" i="17" a="1"/>
  <c r="T278" i="17" s="1"/>
  <c r="T276" i="17" a="1"/>
  <c r="T276" i="17" s="1"/>
  <c r="T274" i="17" a="1"/>
  <c r="T274" i="17" s="1"/>
  <c r="T272" i="17" a="1"/>
  <c r="T272" i="17" s="1"/>
  <c r="T258" i="17" a="1"/>
  <c r="T258" i="17" s="1"/>
  <c r="T249" i="17" a="1"/>
  <c r="T249" i="17" s="1"/>
  <c r="T242" i="17" a="1"/>
  <c r="T242" i="17" s="1"/>
  <c r="T233" i="17" a="1"/>
  <c r="T233" i="17" s="1"/>
  <c r="T226" i="17" a="1"/>
  <c r="T226" i="17" s="1"/>
  <c r="T211" i="17" a="1"/>
  <c r="T211" i="17" s="1"/>
  <c r="T207" i="17" a="1"/>
  <c r="T207" i="17" s="1"/>
  <c r="T200" i="17" a="1"/>
  <c r="T200" i="17" s="1"/>
  <c r="T270" i="17" a="1"/>
  <c r="T270" i="17" s="1"/>
  <c r="T268" i="17" a="1"/>
  <c r="T268" i="17" s="1"/>
  <c r="T263" i="17" a="1"/>
  <c r="T263" i="17" s="1"/>
  <c r="T261" i="17" a="1"/>
  <c r="T261" i="17" s="1"/>
  <c r="T256" i="17" a="1"/>
  <c r="T256" i="17" s="1"/>
  <c r="T240" i="17" a="1"/>
  <c r="T240" i="17" s="1"/>
  <c r="T231" i="17" a="1"/>
  <c r="T231" i="17" s="1"/>
  <c r="T229" i="17" a="1"/>
  <c r="T229" i="17" s="1"/>
  <c r="T219" i="17" a="1"/>
  <c r="T219" i="17" s="1"/>
  <c r="T215" i="17" a="1"/>
  <c r="T215" i="17" s="1"/>
  <c r="T208" i="17" a="1"/>
  <c r="T208" i="17" s="1"/>
  <c r="T204" i="17" a="1"/>
  <c r="T204" i="17" s="1"/>
  <c r="T254" i="17" a="1"/>
  <c r="T254" i="17" s="1"/>
  <c r="T252" i="17" a="1"/>
  <c r="T252" i="17" s="1"/>
  <c r="T247" i="17" a="1"/>
  <c r="T247" i="17" s="1"/>
  <c r="T245" i="17" a="1"/>
  <c r="T245" i="17" s="1"/>
  <c r="T238" i="17" a="1"/>
  <c r="T238" i="17" s="1"/>
  <c r="T236" i="17" a="1"/>
  <c r="T236" i="17" s="1"/>
  <c r="T227" i="17" a="1"/>
  <c r="T227" i="17" s="1"/>
  <c r="T223" i="17" a="1"/>
  <c r="T223" i="17" s="1"/>
  <c r="T216" i="17" a="1"/>
  <c r="T216" i="17" s="1"/>
  <c r="T212" i="17" a="1"/>
  <c r="T212" i="17" s="1"/>
  <c r="T309" i="17" a="1"/>
  <c r="T309" i="17" s="1"/>
  <c r="T293" i="17" a="1"/>
  <c r="T293" i="17" s="1"/>
  <c r="T277" i="17" a="1"/>
  <c r="T277" i="17" s="1"/>
  <c r="T234" i="17" a="1"/>
  <c r="T234" i="17" s="1"/>
  <c r="T199" i="17" a="1"/>
  <c r="T199" i="17" s="1"/>
  <c r="T187" i="17" a="1"/>
  <c r="T187" i="17" s="1"/>
  <c r="T176" i="17" a="1"/>
  <c r="T176" i="17" s="1"/>
  <c r="T173" i="17" a="1"/>
  <c r="T173" i="17" s="1"/>
  <c r="T169" i="17" a="1"/>
  <c r="T169" i="17" s="1"/>
  <c r="T158" i="17" a="1"/>
  <c r="T158" i="17" s="1"/>
  <c r="T143" i="17" a="1"/>
  <c r="T143" i="17" s="1"/>
  <c r="T140" i="17" a="1"/>
  <c r="T140" i="17" s="1"/>
  <c r="T134" i="17" a="1"/>
  <c r="T134" i="17" s="1"/>
  <c r="T131" i="17" a="1"/>
  <c r="T131" i="17" s="1"/>
  <c r="T125" i="17" a="1"/>
  <c r="T125" i="17" s="1"/>
  <c r="T121" i="17" a="1"/>
  <c r="T121" i="17" s="1"/>
  <c r="T118" i="17" a="1"/>
  <c r="T118" i="17" s="1"/>
  <c r="T115" i="17" a="1"/>
  <c r="T115" i="17" s="1"/>
  <c r="T112" i="17" a="1"/>
  <c r="T112" i="17" s="1"/>
  <c r="T109" i="17" a="1"/>
  <c r="T109" i="17" s="1"/>
  <c r="T106" i="17" a="1"/>
  <c r="T106" i="17" s="1"/>
  <c r="T307" i="17" a="1"/>
  <c r="T307" i="17" s="1"/>
  <c r="T291" i="17" a="1"/>
  <c r="T291" i="17" s="1"/>
  <c r="T275" i="17" a="1"/>
  <c r="T275" i="17" s="1"/>
  <c r="T232" i="17" a="1"/>
  <c r="T232" i="17" s="1"/>
  <c r="T209" i="17" a="1"/>
  <c r="T209" i="17" s="1"/>
  <c r="T202" i="17" a="1"/>
  <c r="T202" i="17" s="1"/>
  <c r="T179" i="17" a="1"/>
  <c r="T179" i="17" s="1"/>
  <c r="T166" i="17" a="1"/>
  <c r="T166" i="17" s="1"/>
  <c r="T162" i="17" a="1"/>
  <c r="T162" i="17" s="1"/>
  <c r="T152" i="17" a="1"/>
  <c r="T152" i="17" s="1"/>
  <c r="T149" i="17" a="1"/>
  <c r="T149" i="17" s="1"/>
  <c r="T146" i="17" a="1"/>
  <c r="T146" i="17" s="1"/>
  <c r="T128" i="17" a="1"/>
  <c r="T128" i="17" s="1"/>
  <c r="T101" i="17" a="1"/>
  <c r="T101" i="17" s="1"/>
  <c r="T305" i="17" a="1"/>
  <c r="T305" i="17" s="1"/>
  <c r="T289" i="17" a="1"/>
  <c r="T289" i="17" s="1"/>
  <c r="T273" i="17" a="1"/>
  <c r="T273" i="17" s="1"/>
  <c r="T193" i="17" a="1"/>
  <c r="T193" i="17" s="1"/>
  <c r="T182" i="17" a="1"/>
  <c r="T182" i="17" s="1"/>
  <c r="T170" i="17" a="1"/>
  <c r="T170" i="17" s="1"/>
  <c r="T156" i="17" a="1"/>
  <c r="T156" i="17" s="1"/>
  <c r="T153" i="17" a="1"/>
  <c r="T153" i="17" s="1"/>
  <c r="T138" i="17" a="1"/>
  <c r="T138" i="17" s="1"/>
  <c r="T135" i="17" a="1"/>
  <c r="T135" i="17" s="1"/>
  <c r="T122" i="17" a="1"/>
  <c r="T122" i="17" s="1"/>
  <c r="T119" i="17" a="1"/>
  <c r="T119" i="17" s="1"/>
  <c r="T104" i="17" a="1"/>
  <c r="T104" i="17" s="1"/>
  <c r="T303" i="17" a="1"/>
  <c r="T303" i="17" s="1"/>
  <c r="T287" i="17" a="1"/>
  <c r="T287" i="17" s="1"/>
  <c r="T257" i="17" a="1"/>
  <c r="T257" i="17" s="1"/>
  <c r="T198" i="17" a="1"/>
  <c r="T198" i="17" s="1"/>
  <c r="T196" i="17" a="1"/>
  <c r="T196" i="17" s="1"/>
  <c r="T188" i="17" a="1"/>
  <c r="T188" i="17" s="1"/>
  <c r="T185" i="17" a="1"/>
  <c r="T185" i="17" s="1"/>
  <c r="T174" i="17" a="1"/>
  <c r="T174" i="17" s="1"/>
  <c r="T163" i="17" a="1"/>
  <c r="T163" i="17" s="1"/>
  <c r="T159" i="17" a="1"/>
  <c r="T159" i="17" s="1"/>
  <c r="T141" i="17" a="1"/>
  <c r="T141" i="17" s="1"/>
  <c r="T132" i="17" a="1"/>
  <c r="T132" i="17" s="1"/>
  <c r="T116" i="17" a="1"/>
  <c r="T116" i="17" s="1"/>
  <c r="T113" i="17" a="1"/>
  <c r="T113" i="17" s="1"/>
  <c r="T110" i="17" a="1"/>
  <c r="T110" i="17" s="1"/>
  <c r="T107" i="17" a="1"/>
  <c r="T107" i="17" s="1"/>
  <c r="T301" i="17" a="1"/>
  <c r="T301" i="17" s="1"/>
  <c r="T285" i="17" a="1"/>
  <c r="T285" i="17" s="1"/>
  <c r="T241" i="17" a="1"/>
  <c r="T241" i="17" s="1"/>
  <c r="T194" i="17" a="1"/>
  <c r="T194" i="17" s="1"/>
  <c r="T191" i="17" a="1"/>
  <c r="T191" i="17" s="1"/>
  <c r="T180" i="17" a="1"/>
  <c r="T180" i="17" s="1"/>
  <c r="T177" i="17" a="1"/>
  <c r="T177" i="17" s="1"/>
  <c r="T171" i="17" a="1"/>
  <c r="T171" i="17" s="1"/>
  <c r="T167" i="17" a="1"/>
  <c r="T167" i="17" s="1"/>
  <c r="T160" i="17" a="1"/>
  <c r="T160" i="17" s="1"/>
  <c r="T147" i="17" a="1"/>
  <c r="T147" i="17" s="1"/>
  <c r="T144" i="17" a="1"/>
  <c r="T144" i="17" s="1"/>
  <c r="T129" i="17" a="1"/>
  <c r="T129" i="17" s="1"/>
  <c r="T126" i="17" a="1"/>
  <c r="T126" i="17" s="1"/>
  <c r="T123" i="17" a="1"/>
  <c r="T123" i="17" s="1"/>
  <c r="T117" i="17" a="1"/>
  <c r="T117" i="17" s="1"/>
  <c r="T99" i="17" a="1"/>
  <c r="T99" i="17" s="1"/>
  <c r="T299" i="17" a="1"/>
  <c r="T299" i="17" s="1"/>
  <c r="T283" i="17" a="1"/>
  <c r="T283" i="17" s="1"/>
  <c r="T183" i="17" a="1"/>
  <c r="T183" i="17" s="1"/>
  <c r="T168" i="17" a="1"/>
  <c r="T168" i="17" s="1"/>
  <c r="T164" i="17" a="1"/>
  <c r="T164" i="17" s="1"/>
  <c r="T157" i="17" a="1"/>
  <c r="T157" i="17" s="1"/>
  <c r="T154" i="17" a="1"/>
  <c r="T154" i="17" s="1"/>
  <c r="T150" i="17" a="1"/>
  <c r="T150" i="17" s="1"/>
  <c r="T139" i="17" a="1"/>
  <c r="T139" i="17" s="1"/>
  <c r="T136" i="17" a="1"/>
  <c r="T136" i="17" s="1"/>
  <c r="T133" i="17" a="1"/>
  <c r="T133" i="17" s="1"/>
  <c r="T120" i="17" a="1"/>
  <c r="T120" i="17" s="1"/>
  <c r="T114" i="17" a="1"/>
  <c r="T114" i="17" s="1"/>
  <c r="T111" i="17" a="1"/>
  <c r="T111" i="17" s="1"/>
  <c r="T105" i="17" a="1"/>
  <c r="T105" i="17" s="1"/>
  <c r="T102" i="17" a="1"/>
  <c r="T102" i="17" s="1"/>
  <c r="T96" i="17" a="1"/>
  <c r="T96" i="17" s="1"/>
  <c r="T297" i="17" a="1"/>
  <c r="T297" i="17" s="1"/>
  <c r="T281" i="17" a="1"/>
  <c r="T281" i="17" s="1"/>
  <c r="T213" i="17" a="1"/>
  <c r="T213" i="17" s="1"/>
  <c r="T192" i="17" a="1"/>
  <c r="T192" i="17" s="1"/>
  <c r="T189" i="17" a="1"/>
  <c r="T189" i="17" s="1"/>
  <c r="T175" i="17" a="1"/>
  <c r="T175" i="17" s="1"/>
  <c r="T172" i="17" a="1"/>
  <c r="T172" i="17" s="1"/>
  <c r="T151" i="17" a="1"/>
  <c r="T151" i="17" s="1"/>
  <c r="T145" i="17" a="1"/>
  <c r="T145" i="17" s="1"/>
  <c r="T142" i="17" a="1"/>
  <c r="T142" i="17" s="1"/>
  <c r="T130" i="17" a="1"/>
  <c r="T130" i="17" s="1"/>
  <c r="T127" i="17" a="1"/>
  <c r="T127" i="17" s="1"/>
  <c r="T108" i="17" a="1"/>
  <c r="T108" i="17" s="1"/>
  <c r="T295" i="17" a="1"/>
  <c r="T295" i="17" s="1"/>
  <c r="T83" i="17" a="1"/>
  <c r="T83" i="17" s="1"/>
  <c r="T76" i="17" a="1"/>
  <c r="T76" i="17" s="1"/>
  <c r="T64" i="17" a="1"/>
  <c r="T64" i="17" s="1"/>
  <c r="T51" i="17" a="1"/>
  <c r="T51" i="17" s="1"/>
  <c r="T48" i="17" a="1"/>
  <c r="T48" i="17" s="1"/>
  <c r="T44" i="17" a="1"/>
  <c r="T44" i="17" s="1"/>
  <c r="T33" i="17" a="1"/>
  <c r="T33" i="17" s="1"/>
  <c r="T29" i="17" a="1"/>
  <c r="T29" i="17" s="1"/>
  <c r="T24" i="17" a="1"/>
  <c r="T24" i="17" s="1"/>
  <c r="T22" i="17" a="1"/>
  <c r="T22" i="17" s="1"/>
  <c r="T20" i="17" a="1"/>
  <c r="T20" i="17" s="1"/>
  <c r="T18" i="17" a="1"/>
  <c r="T18" i="17" s="1"/>
  <c r="T16" i="17" a="1"/>
  <c r="T16" i="17" s="1"/>
  <c r="T14" i="17" a="1"/>
  <c r="T14" i="17" s="1"/>
  <c r="T12" i="17" a="1"/>
  <c r="T12" i="17" s="1"/>
  <c r="T10" i="17" a="1"/>
  <c r="T10" i="17" s="1"/>
  <c r="T8" i="17" a="1"/>
  <c r="T8" i="17" s="1"/>
  <c r="T6" i="17" a="1"/>
  <c r="T6" i="17" s="1"/>
  <c r="T4" i="17" a="1"/>
  <c r="T4" i="17" s="1"/>
  <c r="S5" i="17" a="1"/>
  <c r="S5" i="17" s="1"/>
  <c r="S13" i="17" a="1"/>
  <c r="S13" i="17" s="1"/>
  <c r="S21" i="17" a="1"/>
  <c r="S21" i="17" s="1"/>
  <c r="S29" i="17" a="1"/>
  <c r="S29" i="17" s="1"/>
  <c r="S37" i="17" a="1"/>
  <c r="S37" i="17" s="1"/>
  <c r="S45" i="17" a="1"/>
  <c r="S45" i="17" s="1"/>
  <c r="S53" i="17" a="1"/>
  <c r="S53" i="17" s="1"/>
  <c r="S61" i="17" a="1"/>
  <c r="S61" i="17" s="1"/>
  <c r="S69" i="17" a="1"/>
  <c r="S69" i="17" s="1"/>
  <c r="T279" i="17" a="1"/>
  <c r="T279" i="17" s="1"/>
  <c r="T197" i="17" a="1"/>
  <c r="T197" i="17" s="1"/>
  <c r="T184" i="17" a="1"/>
  <c r="T184" i="17" s="1"/>
  <c r="T161" i="17" a="1"/>
  <c r="T161" i="17" s="1"/>
  <c r="T137" i="17" a="1"/>
  <c r="T137" i="17" s="1"/>
  <c r="T103" i="17" a="1"/>
  <c r="T103" i="17" s="1"/>
  <c r="T93" i="17" a="1"/>
  <c r="T93" i="17" s="1"/>
  <c r="T86" i="17" a="1"/>
  <c r="T86" i="17" s="1"/>
  <c r="T80" i="17" a="1"/>
  <c r="T80" i="17" s="1"/>
  <c r="T70" i="17" a="1"/>
  <c r="T70" i="17" s="1"/>
  <c r="T67" i="17" a="1"/>
  <c r="T67" i="17" s="1"/>
  <c r="T61" i="17" a="1"/>
  <c r="T61" i="17" s="1"/>
  <c r="T55" i="17" a="1"/>
  <c r="T55" i="17" s="1"/>
  <c r="T41" i="17" a="1"/>
  <c r="T41" i="17" s="1"/>
  <c r="T37" i="17" a="1"/>
  <c r="T37" i="17" s="1"/>
  <c r="S6" i="17" a="1"/>
  <c r="S6" i="17" s="1"/>
  <c r="S14" i="17" a="1"/>
  <c r="S14" i="17" s="1"/>
  <c r="S22" i="17" a="1"/>
  <c r="S22" i="17" s="1"/>
  <c r="S30" i="17" a="1"/>
  <c r="S30" i="17" s="1"/>
  <c r="T264" i="17" a="1"/>
  <c r="T264" i="17" s="1"/>
  <c r="T148" i="17" a="1"/>
  <c r="T148" i="17" s="1"/>
  <c r="T124" i="17" a="1"/>
  <c r="T124" i="17" s="1"/>
  <c r="T91" i="17" a="1"/>
  <c r="T91" i="17" s="1"/>
  <c r="T89" i="17" a="1"/>
  <c r="T89" i="17" s="1"/>
  <c r="T77" i="17" a="1"/>
  <c r="T77" i="17" s="1"/>
  <c r="T71" i="17" a="1"/>
  <c r="T71" i="17" s="1"/>
  <c r="T58" i="17" a="1"/>
  <c r="T58" i="17" s="1"/>
  <c r="T52" i="17" a="1"/>
  <c r="T52" i="17" s="1"/>
  <c r="T49" i="17" a="1"/>
  <c r="T49" i="17" s="1"/>
  <c r="T45" i="17" a="1"/>
  <c r="T45" i="17" s="1"/>
  <c r="T30" i="17" a="1"/>
  <c r="T30" i="17" s="1"/>
  <c r="T27" i="17" a="1"/>
  <c r="T27" i="17" s="1"/>
  <c r="S7" i="17" a="1"/>
  <c r="S7" i="17" s="1"/>
  <c r="S15" i="17" a="1"/>
  <c r="S15" i="17" s="1"/>
  <c r="S23" i="17" a="1"/>
  <c r="S23" i="17" s="1"/>
  <c r="S31" i="17" a="1"/>
  <c r="S31" i="17" s="1"/>
  <c r="S39" i="17" a="1"/>
  <c r="S39" i="17" s="1"/>
  <c r="S47" i="17" a="1"/>
  <c r="S47" i="17" s="1"/>
  <c r="S55" i="17" a="1"/>
  <c r="S55" i="17" s="1"/>
  <c r="T250" i="17" a="1"/>
  <c r="T250" i="17" s="1"/>
  <c r="T181" i="17" a="1"/>
  <c r="T181" i="17" s="1"/>
  <c r="T98" i="17" a="1"/>
  <c r="T98" i="17" s="1"/>
  <c r="T95" i="17" a="1"/>
  <c r="T95" i="17" s="1"/>
  <c r="T87" i="17" a="1"/>
  <c r="T87" i="17" s="1"/>
  <c r="T84" i="17" a="1"/>
  <c r="T84" i="17" s="1"/>
  <c r="T81" i="17" a="1"/>
  <c r="T81" i="17" s="1"/>
  <c r="T74" i="17" a="1"/>
  <c r="T74" i="17" s="1"/>
  <c r="T65" i="17" a="1"/>
  <c r="T65" i="17" s="1"/>
  <c r="T34" i="17" a="1"/>
  <c r="T34" i="17" s="1"/>
  <c r="S8" i="17" a="1"/>
  <c r="S8" i="17" s="1"/>
  <c r="S16" i="17" a="1"/>
  <c r="S16" i="17" s="1"/>
  <c r="S24" i="17" a="1"/>
  <c r="S24" i="17" s="1"/>
  <c r="S32" i="17" a="1"/>
  <c r="S32" i="17" s="1"/>
  <c r="S40" i="17" a="1"/>
  <c r="S40" i="17" s="1"/>
  <c r="S48" i="17" a="1"/>
  <c r="S48" i="17" s="1"/>
  <c r="S56" i="17" a="1"/>
  <c r="S56" i="17" s="1"/>
  <c r="S64" i="17" a="1"/>
  <c r="S64" i="17" s="1"/>
  <c r="S72" i="17" a="1"/>
  <c r="S72" i="17" s="1"/>
  <c r="S80" i="17" a="1"/>
  <c r="S80" i="17" s="1"/>
  <c r="T68" i="17" a="1"/>
  <c r="T68" i="17" s="1"/>
  <c r="T62" i="17" a="1"/>
  <c r="T62" i="17" s="1"/>
  <c r="T56" i="17" a="1"/>
  <c r="T56" i="17" s="1"/>
  <c r="T53" i="17" a="1"/>
  <c r="T53" i="17" s="1"/>
  <c r="T42" i="17" a="1"/>
  <c r="T42" i="17" s="1"/>
  <c r="T38" i="17" a="1"/>
  <c r="T38" i="17" s="1"/>
  <c r="T31" i="17" a="1"/>
  <c r="T31" i="17" s="1"/>
  <c r="T25" i="17" a="1"/>
  <c r="T25" i="17" s="1"/>
  <c r="T23" i="17" a="1"/>
  <c r="T23" i="17" s="1"/>
  <c r="T21" i="17" a="1"/>
  <c r="T21" i="17" s="1"/>
  <c r="T19" i="17" a="1"/>
  <c r="T19" i="17" s="1"/>
  <c r="T17" i="17" a="1"/>
  <c r="T17" i="17" s="1"/>
  <c r="T15" i="17" a="1"/>
  <c r="T15" i="17" s="1"/>
  <c r="T13" i="17" a="1"/>
  <c r="T13" i="17" s="1"/>
  <c r="T11" i="17" a="1"/>
  <c r="T11" i="17" s="1"/>
  <c r="T9" i="17" a="1"/>
  <c r="T9" i="17" s="1"/>
  <c r="T7" i="17" a="1"/>
  <c r="T7" i="17" s="1"/>
  <c r="T5" i="17" a="1"/>
  <c r="T5" i="17" s="1"/>
  <c r="T3" i="17" a="1"/>
  <c r="T3" i="17" s="1"/>
  <c r="S9" i="17" a="1"/>
  <c r="S9" i="17" s="1"/>
  <c r="S17" i="17" a="1"/>
  <c r="S17" i="17" s="1"/>
  <c r="S25" i="17" a="1"/>
  <c r="S25" i="17" s="1"/>
  <c r="S33" i="17" a="1"/>
  <c r="S33" i="17" s="1"/>
  <c r="S41" i="17" a="1"/>
  <c r="S41" i="17" s="1"/>
  <c r="S49" i="17" a="1"/>
  <c r="S49" i="17" s="1"/>
  <c r="S57" i="17" a="1"/>
  <c r="S57" i="17" s="1"/>
  <c r="S65" i="17" a="1"/>
  <c r="S65" i="17" s="1"/>
  <c r="S73" i="17" a="1"/>
  <c r="S73" i="17" s="1"/>
  <c r="S81" i="17" a="1"/>
  <c r="S81" i="17" s="1"/>
  <c r="T178" i="17" a="1"/>
  <c r="T178" i="17" s="1"/>
  <c r="T155" i="17" a="1"/>
  <c r="T155" i="17" s="1"/>
  <c r="T97" i="17" a="1"/>
  <c r="T97" i="17" s="1"/>
  <c r="T85" i="17" a="1"/>
  <c r="T85" i="17" s="1"/>
  <c r="T78" i="17" a="1"/>
  <c r="T78" i="17" s="1"/>
  <c r="T75" i="17" a="1"/>
  <c r="T75" i="17" s="1"/>
  <c r="T72" i="17" a="1"/>
  <c r="T72" i="17" s="1"/>
  <c r="T59" i="17" a="1"/>
  <c r="T59" i="17" s="1"/>
  <c r="T50" i="17" a="1"/>
  <c r="T50" i="17" s="1"/>
  <c r="T46" i="17" a="1"/>
  <c r="T46" i="17" s="1"/>
  <c r="T39" i="17" a="1"/>
  <c r="T39" i="17" s="1"/>
  <c r="T35" i="17" a="1"/>
  <c r="T35" i="17" s="1"/>
  <c r="T28" i="17" a="1"/>
  <c r="T28" i="17" s="1"/>
  <c r="T165" i="17" a="1"/>
  <c r="T165" i="17" s="1"/>
  <c r="T100" i="17" a="1"/>
  <c r="T100" i="17" s="1"/>
  <c r="T92" i="17" a="1"/>
  <c r="T92" i="17" s="1"/>
  <c r="T90" i="17" a="1"/>
  <c r="T90" i="17" s="1"/>
  <c r="T82" i="17" a="1"/>
  <c r="T82" i="17" s="1"/>
  <c r="T79" i="17" a="1"/>
  <c r="T79" i="17" s="1"/>
  <c r="T69" i="17" a="1"/>
  <c r="T69" i="17" s="1"/>
  <c r="T63" i="17" a="1"/>
  <c r="T63" i="17" s="1"/>
  <c r="T47" i="17" a="1"/>
  <c r="T47" i="17" s="1"/>
  <c r="T43" i="17" a="1"/>
  <c r="T43" i="17" s="1"/>
  <c r="T32" i="17" a="1"/>
  <c r="T32" i="17" s="1"/>
  <c r="S11" i="17" a="1"/>
  <c r="S11" i="17" s="1"/>
  <c r="S19" i="17" a="1"/>
  <c r="S19" i="17" s="1"/>
  <c r="S27" i="17" a="1"/>
  <c r="S27" i="17" s="1"/>
  <c r="S35" i="17" a="1"/>
  <c r="S35" i="17" s="1"/>
  <c r="S43" i="17" a="1"/>
  <c r="S43" i="17" s="1"/>
  <c r="S51" i="17" a="1"/>
  <c r="S51" i="17" s="1"/>
  <c r="S59" i="17" a="1"/>
  <c r="S59" i="17" s="1"/>
  <c r="S67" i="17" a="1"/>
  <c r="S67" i="17" s="1"/>
  <c r="S75" i="17" a="1"/>
  <c r="S75" i="17" s="1"/>
  <c r="S83" i="17" a="1"/>
  <c r="S83" i="17" s="1"/>
  <c r="S91" i="17" a="1"/>
  <c r="S91" i="17" s="1"/>
  <c r="S99" i="17" a="1"/>
  <c r="S99" i="17" s="1"/>
  <c r="S107" i="17" a="1"/>
  <c r="S107" i="17" s="1"/>
  <c r="S115" i="17" a="1"/>
  <c r="S115" i="17" s="1"/>
  <c r="S123" i="17" a="1"/>
  <c r="S123" i="17" s="1"/>
  <c r="C15" i="8"/>
  <c r="C19" i="9"/>
  <c r="D19" i="9" s="1"/>
  <c r="U309" i="17" a="1"/>
  <c r="U309" i="17" s="1"/>
  <c r="U301" i="17" a="1"/>
  <c r="U301" i="17" s="1"/>
  <c r="U293" i="17" a="1"/>
  <c r="U293" i="17" s="1"/>
  <c r="U285" i="17" a="1"/>
  <c r="U285" i="17" s="1"/>
  <c r="U277" i="17" a="1"/>
  <c r="U277" i="17" s="1"/>
  <c r="U269" i="17" a="1"/>
  <c r="U269" i="17" s="1"/>
  <c r="U261" i="17" a="1"/>
  <c r="U261" i="17" s="1"/>
  <c r="U253" i="17" a="1"/>
  <c r="U253" i="17" s="1"/>
  <c r="U245" i="17" a="1"/>
  <c r="U245" i="17" s="1"/>
  <c r="U237" i="17" a="1"/>
  <c r="U237" i="17" s="1"/>
  <c r="U229" i="17" a="1"/>
  <c r="U229" i="17" s="1"/>
  <c r="U221" i="17" a="1"/>
  <c r="U221" i="17" s="1"/>
  <c r="U213" i="17" a="1"/>
  <c r="U213" i="17" s="1"/>
  <c r="U205" i="17" a="1"/>
  <c r="U205" i="17" s="1"/>
  <c r="U197" i="17" a="1"/>
  <c r="U197" i="17" s="1"/>
  <c r="U189" i="17" a="1"/>
  <c r="U189" i="17" s="1"/>
  <c r="U181" i="17" a="1"/>
  <c r="U181" i="17" s="1"/>
  <c r="U173" i="17" a="1"/>
  <c r="U173" i="17" s="1"/>
  <c r="U165" i="17" a="1"/>
  <c r="U165" i="17" s="1"/>
  <c r="U157" i="17" a="1"/>
  <c r="U157" i="17" s="1"/>
  <c r="U149" i="17" a="1"/>
  <c r="U149" i="17" s="1"/>
  <c r="U141" i="17" a="1"/>
  <c r="U141" i="17" s="1"/>
  <c r="U133" i="17" a="1"/>
  <c r="U133" i="17" s="1"/>
  <c r="U125" i="17" a="1"/>
  <c r="U125" i="17" s="1"/>
  <c r="U117" i="17" a="1"/>
  <c r="U117" i="17" s="1"/>
  <c r="U109" i="17" a="1"/>
  <c r="U109" i="17" s="1"/>
  <c r="U101" i="17" a="1"/>
  <c r="U101" i="17" s="1"/>
  <c r="U93" i="17" a="1"/>
  <c r="U93" i="17" s="1"/>
  <c r="U85" i="17" a="1"/>
  <c r="U85" i="17" s="1"/>
  <c r="U77" i="17" a="1"/>
  <c r="U77" i="17" s="1"/>
  <c r="U69" i="17" a="1"/>
  <c r="U69" i="17" s="1"/>
  <c r="U61" i="17" a="1"/>
  <c r="U61" i="17" s="1"/>
  <c r="U53" i="17" a="1"/>
  <c r="U53" i="17" s="1"/>
  <c r="U45" i="17" a="1"/>
  <c r="U45" i="17" s="1"/>
  <c r="U37" i="17" a="1"/>
  <c r="U37" i="17" s="1"/>
  <c r="U29" i="17" a="1"/>
  <c r="U29" i="17" s="1"/>
  <c r="U21" i="17" a="1"/>
  <c r="U21" i="17" s="1"/>
  <c r="U13" i="17" a="1"/>
  <c r="U13" i="17" s="1"/>
  <c r="U5" i="17" a="1"/>
  <c r="U5" i="17" s="1"/>
  <c r="L20" i="1" s="1"/>
  <c r="S306" i="17" a="1"/>
  <c r="S306" i="17" s="1"/>
  <c r="S298" i="17" a="1"/>
  <c r="S298" i="17" s="1"/>
  <c r="S290" i="17" a="1"/>
  <c r="S290" i="17" s="1"/>
  <c r="S282" i="17" a="1"/>
  <c r="S282" i="17" s="1"/>
  <c r="S274" i="17" a="1"/>
  <c r="S274" i="17" s="1"/>
  <c r="S266" i="17" a="1"/>
  <c r="S266" i="17" s="1"/>
  <c r="S258" i="17" a="1"/>
  <c r="S258" i="17" s="1"/>
  <c r="S250" i="17" a="1"/>
  <c r="S250" i="17" s="1"/>
  <c r="S242" i="17" a="1"/>
  <c r="S242" i="17" s="1"/>
  <c r="S234" i="17" a="1"/>
  <c r="S234" i="17" s="1"/>
  <c r="S226" i="17" a="1"/>
  <c r="S226" i="17" s="1"/>
  <c r="S218" i="17" a="1"/>
  <c r="S218" i="17" s="1"/>
  <c r="S210" i="17" a="1"/>
  <c r="S210" i="17" s="1"/>
  <c r="S202" i="17" a="1"/>
  <c r="S202" i="17" s="1"/>
  <c r="S194" i="17" a="1"/>
  <c r="S194" i="17" s="1"/>
  <c r="S186" i="17" a="1"/>
  <c r="S186" i="17" s="1"/>
  <c r="C16" i="1" s="1"/>
  <c r="S178" i="17" a="1"/>
  <c r="S178" i="17" s="1"/>
  <c r="S170" i="17" a="1"/>
  <c r="S170" i="17" s="1"/>
  <c r="S162" i="17" a="1"/>
  <c r="S162" i="17" s="1"/>
  <c r="H16" i="1" s="1"/>
  <c r="S154" i="17" a="1"/>
  <c r="S154" i="17" s="1"/>
  <c r="S146" i="17" a="1"/>
  <c r="S146" i="17" s="1"/>
  <c r="S138" i="17" a="1"/>
  <c r="S138" i="17" s="1"/>
  <c r="S130" i="17" a="1"/>
  <c r="S130" i="17" s="1"/>
  <c r="S121" i="17" a="1"/>
  <c r="S121" i="17" s="1"/>
  <c r="S112" i="17" a="1"/>
  <c r="S112" i="17" s="1"/>
  <c r="S103" i="17" a="1"/>
  <c r="S103" i="17" s="1"/>
  <c r="S94" i="17" a="1"/>
  <c r="S94" i="17" s="1"/>
  <c r="S85" i="17" a="1"/>
  <c r="S85" i="17" s="1"/>
  <c r="S71" i="17" a="1"/>
  <c r="S71" i="17" s="1"/>
  <c r="S54" i="17" a="1"/>
  <c r="S54" i="17" s="1"/>
  <c r="S34" i="17" a="1"/>
  <c r="S34" i="17" s="1"/>
  <c r="V4" i="17" a="1"/>
  <c r="V4" i="17" s="1"/>
  <c r="V20" i="17" a="1"/>
  <c r="V20" i="17" s="1"/>
  <c r="V33" i="17" a="1"/>
  <c r="V33" i="17" s="1"/>
  <c r="V44" i="17" a="1"/>
  <c r="V44" i="17" s="1"/>
  <c r="R92" i="17" a="1"/>
  <c r="R92" i="17" s="1"/>
  <c r="Q24" i="1"/>
  <c r="I24" i="1"/>
  <c r="L12" i="1"/>
  <c r="D12" i="1"/>
  <c r="C20" i="1"/>
  <c r="H24" i="1"/>
  <c r="C12" i="1"/>
  <c r="K12" i="1"/>
  <c r="R16" i="1"/>
  <c r="R20" i="1"/>
  <c r="O24" i="1"/>
  <c r="G24" i="1"/>
  <c r="R12" i="1"/>
  <c r="J12" i="1"/>
  <c r="Q16" i="1"/>
  <c r="P24" i="1"/>
  <c r="N24" i="1"/>
  <c r="F24" i="1"/>
  <c r="Q12" i="1"/>
  <c r="I12" i="1"/>
  <c r="M24" i="1"/>
  <c r="E24" i="1"/>
  <c r="P12" i="1"/>
  <c r="H12" i="1"/>
  <c r="G16" i="1"/>
  <c r="O20" i="1"/>
  <c r="G20" i="1"/>
  <c r="O12" i="1"/>
  <c r="G12" i="1"/>
  <c r="F16" i="1"/>
  <c r="N20" i="1"/>
  <c r="F20" i="1"/>
  <c r="N12" i="1"/>
  <c r="F12" i="1"/>
  <c r="E16" i="1"/>
  <c r="E20" i="1"/>
  <c r="L24" i="1"/>
  <c r="D24" i="1"/>
  <c r="C24" i="1"/>
  <c r="K24" i="1"/>
  <c r="C23" i="1"/>
  <c r="R24" i="1"/>
  <c r="J24" i="1"/>
  <c r="M12" i="1"/>
  <c r="E12" i="1"/>
  <c r="L16" i="1"/>
  <c r="D16" i="1"/>
  <c r="D20" i="1"/>
  <c r="C22" i="1"/>
  <c r="K23" i="1"/>
  <c r="G23" i="1"/>
  <c r="H23" i="1"/>
  <c r="O23" i="1"/>
  <c r="R23" i="1"/>
  <c r="I23" i="1"/>
  <c r="P23" i="1"/>
  <c r="E23" i="1"/>
  <c r="L22" i="1"/>
  <c r="M23" i="1"/>
  <c r="J23" i="1"/>
  <c r="N13" i="17" a="1"/>
  <c r="N13" i="17" s="1"/>
  <c r="N23" i="1"/>
  <c r="D22" i="1"/>
  <c r="F23" i="1"/>
  <c r="Q23" i="1"/>
  <c r="L23" i="1"/>
  <c r="D23" i="1"/>
  <c r="K22" i="1"/>
  <c r="R22" i="1"/>
  <c r="J22" i="1"/>
  <c r="Q22" i="1"/>
  <c r="I22" i="1"/>
  <c r="P22" i="1"/>
  <c r="H22" i="1"/>
  <c r="O22" i="1"/>
  <c r="G22" i="1"/>
  <c r="N22" i="1"/>
  <c r="F22" i="1"/>
  <c r="M22" i="1"/>
  <c r="E22" i="1"/>
  <c r="F14" i="1"/>
  <c r="J19" i="17" a="1"/>
  <c r="J19" i="17" s="1"/>
  <c r="N41" i="17" a="1"/>
  <c r="N41" i="17" s="1"/>
  <c r="N47" i="17" a="1"/>
  <c r="N47" i="17" s="1"/>
  <c r="N51" i="17" a="1"/>
  <c r="N51" i="17" s="1"/>
  <c r="N55" i="17" a="1"/>
  <c r="N55" i="17" s="1"/>
  <c r="N59" i="17" a="1"/>
  <c r="N59" i="17" s="1"/>
  <c r="N61" i="17" a="1"/>
  <c r="N61" i="17" s="1"/>
  <c r="N43" i="17" a="1"/>
  <c r="N43" i="17" s="1"/>
  <c r="N49" i="17" a="1"/>
  <c r="N49" i="17" s="1"/>
  <c r="N53" i="17" a="1"/>
  <c r="N53" i="17" s="1"/>
  <c r="N57" i="17" a="1"/>
  <c r="N57" i="17" s="1"/>
  <c r="M302" i="17"/>
  <c r="M309" i="17"/>
  <c r="M279" i="17"/>
  <c r="M271" i="17"/>
  <c r="M306" i="17"/>
  <c r="M293" i="17"/>
  <c r="M285" i="17"/>
  <c r="M261" i="17"/>
  <c r="M267" i="17"/>
  <c r="M258" i="17"/>
  <c r="A18" i="1"/>
  <c r="B2" i="1" s="1"/>
  <c r="F7" i="1"/>
  <c r="N7" i="1"/>
  <c r="G7" i="1"/>
  <c r="O7" i="1"/>
  <c r="H7" i="1"/>
  <c r="P7" i="1"/>
  <c r="I7" i="1"/>
  <c r="Q7" i="1"/>
  <c r="K7" i="1"/>
  <c r="C7" i="1"/>
  <c r="J7" i="1"/>
  <c r="L7" i="1"/>
  <c r="M7" i="1"/>
  <c r="R7" i="1"/>
  <c r="N309" i="17" a="1"/>
  <c r="N309" i="17" s="1"/>
  <c r="N311" i="17" a="1"/>
  <c r="N311" i="17" s="1"/>
  <c r="D7" i="1"/>
  <c r="E7" i="1"/>
  <c r="N310" i="17" a="1"/>
  <c r="N310" i="17" s="1"/>
  <c r="N306" i="17" a="1"/>
  <c r="N306" i="17" s="1"/>
  <c r="N305" i="17" a="1"/>
  <c r="N305" i="17" s="1"/>
  <c r="N292" i="17" a="1"/>
  <c r="N292" i="17" s="1"/>
  <c r="N304" i="17" a="1"/>
  <c r="N304" i="17" s="1"/>
  <c r="N303" i="17" a="1"/>
  <c r="N303" i="17" s="1"/>
  <c r="N290" i="17" a="1"/>
  <c r="N290" i="17" s="1"/>
  <c r="N302" i="17" a="1"/>
  <c r="N302" i="17" s="1"/>
  <c r="N301" i="17" a="1"/>
  <c r="N301" i="17" s="1"/>
  <c r="N294" i="17" a="1"/>
  <c r="N294" i="17" s="1"/>
  <c r="N300" i="17" a="1"/>
  <c r="N300" i="17" s="1"/>
  <c r="N299" i="17" a="1"/>
  <c r="N299" i="17" s="1"/>
  <c r="N291" i="17" a="1"/>
  <c r="N291" i="17" s="1"/>
  <c r="N298" i="17" a="1"/>
  <c r="N298" i="17" s="1"/>
  <c r="N297" i="17" a="1"/>
  <c r="N297" i="17" s="1"/>
  <c r="N293" i="17" a="1"/>
  <c r="N293" i="17" s="1"/>
  <c r="N296" i="17" a="1"/>
  <c r="N296" i="17" s="1"/>
  <c r="N288" i="17" a="1"/>
  <c r="N288" i="17" s="1"/>
  <c r="N295" i="17" a="1"/>
  <c r="N295" i="17" s="1"/>
  <c r="N285" i="17" a="1"/>
  <c r="N285" i="17" s="1"/>
  <c r="N307" i="17" a="1"/>
  <c r="N307" i="17" s="1"/>
  <c r="N282" i="17" a="1"/>
  <c r="N282" i="17" s="1"/>
  <c r="N280" i="17" a="1"/>
  <c r="N280" i="17" s="1"/>
  <c r="N272" i="17" a="1"/>
  <c r="N272" i="17" s="1"/>
  <c r="N308" i="17" a="1"/>
  <c r="N308" i="17" s="1"/>
  <c r="N275" i="17" a="1"/>
  <c r="N275" i="17" s="1"/>
  <c r="N289" i="17" a="1"/>
  <c r="N289" i="17" s="1"/>
  <c r="N278" i="17" a="1"/>
  <c r="N278" i="17" s="1"/>
  <c r="N286" i="17" a="1"/>
  <c r="N286" i="17" s="1"/>
  <c r="N281" i="17" a="1"/>
  <c r="N281" i="17" s="1"/>
  <c r="N276" i="17" a="1"/>
  <c r="N276" i="17" s="1"/>
  <c r="N279" i="17" a="1"/>
  <c r="N279" i="17" s="1"/>
  <c r="N287" i="17" a="1"/>
  <c r="N287" i="17" s="1"/>
  <c r="N284" i="17" a="1"/>
  <c r="N284" i="17" s="1"/>
  <c r="N283" i="17" a="1"/>
  <c r="N283" i="17" s="1"/>
  <c r="N255" i="17" a="1"/>
  <c r="N255" i="17" s="1"/>
  <c r="N247" i="17" a="1"/>
  <c r="N247" i="17" s="1"/>
  <c r="N269" i="17" a="1"/>
  <c r="N269" i="17" s="1"/>
  <c r="N265" i="17" a="1"/>
  <c r="N265" i="17" s="1"/>
  <c r="N258" i="17" a="1"/>
  <c r="N258" i="17" s="1"/>
  <c r="N274" i="17" a="1"/>
  <c r="N274" i="17" s="1"/>
  <c r="N268" i="17" a="1"/>
  <c r="N268" i="17" s="1"/>
  <c r="N264" i="17" a="1"/>
  <c r="N264" i="17" s="1"/>
  <c r="N259" i="17" a="1"/>
  <c r="N259" i="17" s="1"/>
  <c r="N251" i="17" a="1"/>
  <c r="N251" i="17" s="1"/>
  <c r="N277" i="17" a="1"/>
  <c r="N277" i="17" s="1"/>
  <c r="N267" i="17" a="1"/>
  <c r="N267" i="17" s="1"/>
  <c r="N263" i="17" a="1"/>
  <c r="N263" i="17" s="1"/>
  <c r="N273" i="17" a="1"/>
  <c r="N273" i="17" s="1"/>
  <c r="N257" i="17" a="1"/>
  <c r="N257" i="17" s="1"/>
  <c r="N249" i="17" a="1"/>
  <c r="N249" i="17" s="1"/>
  <c r="N271" i="17" a="1"/>
  <c r="N271" i="17" s="1"/>
  <c r="N270" i="17" a="1"/>
  <c r="N270" i="17" s="1"/>
  <c r="N266" i="17" a="1"/>
  <c r="N266" i="17" s="1"/>
  <c r="N240" i="17" a="1"/>
  <c r="N240" i="17" s="1"/>
  <c r="N260" i="17" a="1"/>
  <c r="N260" i="17" s="1"/>
  <c r="N243" i="17" a="1"/>
  <c r="N243" i="17" s="1"/>
  <c r="N246" i="17" a="1"/>
  <c r="N246" i="17" s="1"/>
  <c r="N238" i="17" a="1"/>
  <c r="N238" i="17" s="1"/>
  <c r="N254" i="17" a="1"/>
  <c r="N254" i="17" s="1"/>
  <c r="N252" i="17" a="1"/>
  <c r="N252" i="17" s="1"/>
  <c r="N256" i="17" a="1"/>
  <c r="N256" i="17" s="1"/>
  <c r="N244" i="17" a="1"/>
  <c r="N244" i="17" s="1"/>
  <c r="N239" i="17" a="1"/>
  <c r="N239" i="17" s="1"/>
  <c r="N262" i="17" a="1"/>
  <c r="N262" i="17" s="1"/>
  <c r="N261" i="17" a="1"/>
  <c r="N261" i="17" s="1"/>
  <c r="N248" i="17" a="1"/>
  <c r="N248" i="17" s="1"/>
  <c r="N245" i="17" a="1"/>
  <c r="N245" i="17" s="1"/>
  <c r="N253" i="17" a="1"/>
  <c r="N253" i="17" s="1"/>
  <c r="N241" i="17" a="1"/>
  <c r="N241" i="17" s="1"/>
  <c r="N237" i="17" a="1"/>
  <c r="N237" i="17" s="1"/>
  <c r="N242" i="17" a="1"/>
  <c r="N242" i="17" s="1"/>
  <c r="N235" i="17" a="1"/>
  <c r="N235" i="17" s="1"/>
  <c r="N232" i="17" a="1"/>
  <c r="N232" i="17" s="1"/>
  <c r="N236" i="17" a="1"/>
  <c r="N236" i="17" s="1"/>
  <c r="N230" i="17" a="1"/>
  <c r="N230" i="17" s="1"/>
  <c r="N231" i="17" a="1"/>
  <c r="N231" i="17" s="1"/>
  <c r="N234" i="17" a="1"/>
  <c r="N234" i="17" s="1"/>
  <c r="N250" i="17" a="1"/>
  <c r="N250" i="17" s="1"/>
  <c r="N215" i="17" a="1"/>
  <c r="N215" i="17" s="1"/>
  <c r="N214" i="17" a="1"/>
  <c r="N214" i="17" s="1"/>
  <c r="N193" i="17" a="1"/>
  <c r="N193" i="17" s="1"/>
  <c r="N185" i="17" a="1"/>
  <c r="N185" i="17" s="1"/>
  <c r="N228" i="17" a="1"/>
  <c r="N228" i="17" s="1"/>
  <c r="N226" i="17" a="1"/>
  <c r="N226" i="17" s="1"/>
  <c r="N224" i="17" a="1"/>
  <c r="N224" i="17" s="1"/>
  <c r="N221" i="17" a="1"/>
  <c r="N221" i="17" s="1"/>
  <c r="N211" i="17" a="1"/>
  <c r="N211" i="17" s="1"/>
  <c r="N210" i="17" a="1"/>
  <c r="N210" i="17" s="1"/>
  <c r="N191" i="17" a="1"/>
  <c r="N191" i="17" s="1"/>
  <c r="N217" i="17" a="1"/>
  <c r="N217" i="17" s="1"/>
  <c r="N216" i="17" a="1"/>
  <c r="N216" i="17" s="1"/>
  <c r="N208" i="17" a="1"/>
  <c r="N208" i="17" s="1"/>
  <c r="N207" i="17" a="1"/>
  <c r="N207" i="17" s="1"/>
  <c r="N222" i="17" a="1"/>
  <c r="N222" i="17" s="1"/>
  <c r="N189" i="17" a="1"/>
  <c r="N189" i="17" s="1"/>
  <c r="N181" i="17" a="1"/>
  <c r="N181" i="17" s="1"/>
  <c r="N229" i="17" a="1"/>
  <c r="N229" i="17" s="1"/>
  <c r="N227" i="17" a="1"/>
  <c r="N227" i="17" s="1"/>
  <c r="N225" i="17" a="1"/>
  <c r="N225" i="17" s="1"/>
  <c r="N223" i="17" a="1"/>
  <c r="N223" i="17" s="1"/>
  <c r="N219" i="17" a="1"/>
  <c r="N219" i="17" s="1"/>
  <c r="N218" i="17" a="1"/>
  <c r="N218" i="17" s="1"/>
  <c r="N195" i="17" a="1"/>
  <c r="N195" i="17" s="1"/>
  <c r="N233" i="17" a="1"/>
  <c r="N233" i="17" s="1"/>
  <c r="N204" i="17" a="1"/>
  <c r="N204" i="17" s="1"/>
  <c r="N203" i="17" a="1"/>
  <c r="N203" i="17" s="1"/>
  <c r="N197" i="17" a="1"/>
  <c r="N197" i="17" s="1"/>
  <c r="N186" i="17" a="1"/>
  <c r="N186" i="17" s="1"/>
  <c r="N184" i="17" a="1"/>
  <c r="N184" i="17" s="1"/>
  <c r="N179" i="17" a="1"/>
  <c r="N179" i="17" s="1"/>
  <c r="N202" i="17" a="1"/>
  <c r="N202" i="17" s="1"/>
  <c r="N188" i="17" a="1"/>
  <c r="N188" i="17" s="1"/>
  <c r="N187" i="17" a="1"/>
  <c r="N187" i="17" s="1"/>
  <c r="N174" i="17" a="1"/>
  <c r="N174" i="17" s="1"/>
  <c r="N200" i="17" a="1"/>
  <c r="N200" i="17" s="1"/>
  <c r="N177" i="17" a="1"/>
  <c r="N177" i="17" s="1"/>
  <c r="N169" i="17" a="1"/>
  <c r="N169" i="17" s="1"/>
  <c r="N194" i="17" a="1"/>
  <c r="N194" i="17" s="1"/>
  <c r="N190" i="17" a="1"/>
  <c r="N190" i="17" s="1"/>
  <c r="N183" i="17" a="1"/>
  <c r="N183" i="17" s="1"/>
  <c r="N180" i="17" a="1"/>
  <c r="N180" i="17" s="1"/>
  <c r="N172" i="17" a="1"/>
  <c r="N172" i="17" s="1"/>
  <c r="N213" i="17" a="1"/>
  <c r="N213" i="17" s="1"/>
  <c r="N209" i="17" a="1"/>
  <c r="N209" i="17" s="1"/>
  <c r="N205" i="17" a="1"/>
  <c r="N205" i="17" s="1"/>
  <c r="N201" i="17" a="1"/>
  <c r="N201" i="17" s="1"/>
  <c r="N198" i="17" a="1"/>
  <c r="N198" i="17" s="1"/>
  <c r="N178" i="17" a="1"/>
  <c r="N178" i="17" s="1"/>
  <c r="N170" i="17" a="1"/>
  <c r="N170" i="17" s="1"/>
  <c r="N162" i="17" a="1"/>
  <c r="N162" i="17" s="1"/>
  <c r="N154" i="17" a="1"/>
  <c r="N154" i="17" s="1"/>
  <c r="N212" i="17" a="1"/>
  <c r="N212" i="17" s="1"/>
  <c r="N199" i="17" a="1"/>
  <c r="N199" i="17" s="1"/>
  <c r="N196" i="17" a="1"/>
  <c r="N196" i="17" s="1"/>
  <c r="N173" i="17" a="1"/>
  <c r="N173" i="17" s="1"/>
  <c r="N220" i="17" a="1"/>
  <c r="N220" i="17" s="1"/>
  <c r="N206" i="17" a="1"/>
  <c r="N206" i="17" s="1"/>
  <c r="N192" i="17" a="1"/>
  <c r="N192" i="17" s="1"/>
  <c r="N176" i="17" a="1"/>
  <c r="N176" i="17" s="1"/>
  <c r="N171" i="17" a="1"/>
  <c r="N171" i="17" s="1"/>
  <c r="N161" i="17" a="1"/>
  <c r="N161" i="17" s="1"/>
  <c r="N157" i="17" a="1"/>
  <c r="N157" i="17" s="1"/>
  <c r="N152" i="17" a="1"/>
  <c r="N152" i="17" s="1"/>
  <c r="N144" i="17" a="1"/>
  <c r="N144" i="17" s="1"/>
  <c r="N168" i="17" a="1"/>
  <c r="N168" i="17" s="1"/>
  <c r="N147" i="17" a="1"/>
  <c r="N147" i="17" s="1"/>
  <c r="N139" i="17" a="1"/>
  <c r="N139" i="17" s="1"/>
  <c r="N131" i="17" a="1"/>
  <c r="N131" i="17" s="1"/>
  <c r="N164" i="17" a="1"/>
  <c r="N164" i="17" s="1"/>
  <c r="N160" i="17" a="1"/>
  <c r="N160" i="17" s="1"/>
  <c r="N150" i="17" a="1"/>
  <c r="N150" i="17" s="1"/>
  <c r="N142" i="17" a="1"/>
  <c r="N142" i="17" s="1"/>
  <c r="N163" i="17" a="1"/>
  <c r="N163" i="17" s="1"/>
  <c r="N156" i="17" a="1"/>
  <c r="N156" i="17" s="1"/>
  <c r="N153" i="17" a="1"/>
  <c r="N153" i="17" s="1"/>
  <c r="N145" i="17" a="1"/>
  <c r="N145" i="17" s="1"/>
  <c r="N167" i="17" a="1"/>
  <c r="N167" i="17" s="1"/>
  <c r="N155" i="17" a="1"/>
  <c r="N155" i="17" s="1"/>
  <c r="N148" i="17" a="1"/>
  <c r="N148" i="17" s="1"/>
  <c r="N140" i="17" a="1"/>
  <c r="N140" i="17" s="1"/>
  <c r="N166" i="17" a="1"/>
  <c r="N166" i="17" s="1"/>
  <c r="N159" i="17" a="1"/>
  <c r="N159" i="17" s="1"/>
  <c r="N151" i="17" a="1"/>
  <c r="N151" i="17" s="1"/>
  <c r="N143" i="17" a="1"/>
  <c r="N143" i="17" s="1"/>
  <c r="N182" i="17" a="1"/>
  <c r="N182" i="17" s="1"/>
  <c r="N158" i="17" a="1"/>
  <c r="N158" i="17" s="1"/>
  <c r="N146" i="17" a="1"/>
  <c r="N146" i="17" s="1"/>
  <c r="N138" i="17" a="1"/>
  <c r="N138" i="17" s="1"/>
  <c r="N175" i="17" a="1"/>
  <c r="N175" i="17" s="1"/>
  <c r="N165" i="17" a="1"/>
  <c r="N165" i="17" s="1"/>
  <c r="N149" i="17" a="1"/>
  <c r="N149" i="17" s="1"/>
  <c r="N141" i="17" a="1"/>
  <c r="N141" i="17" s="1"/>
  <c r="N136" i="17" a="1"/>
  <c r="N136" i="17" s="1"/>
  <c r="N128" i="17" a="1"/>
  <c r="N128" i="17" s="1"/>
  <c r="N135" i="17" a="1"/>
  <c r="N135" i="17" s="1"/>
  <c r="N126" i="17" a="1"/>
  <c r="N126" i="17" s="1"/>
  <c r="N134" i="17" a="1"/>
  <c r="N134" i="17" s="1"/>
  <c r="N129" i="17" a="1"/>
  <c r="N129" i="17" s="1"/>
  <c r="N124" i="17" a="1"/>
  <c r="N124" i="17" s="1"/>
  <c r="N137" i="17" a="1"/>
  <c r="N137" i="17" s="1"/>
  <c r="N127" i="17" a="1"/>
  <c r="N127" i="17" s="1"/>
  <c r="N133" i="17" a="1"/>
  <c r="N133" i="17" s="1"/>
  <c r="N130" i="17" a="1"/>
  <c r="N130" i="17" s="1"/>
  <c r="N132" i="17" a="1"/>
  <c r="N132" i="17" s="1"/>
  <c r="N115" i="17" a="1"/>
  <c r="N115" i="17" s="1"/>
  <c r="N107" i="17" a="1"/>
  <c r="N107" i="17" s="1"/>
  <c r="N99" i="17" a="1"/>
  <c r="N99" i="17" s="1"/>
  <c r="N88" i="17" a="1"/>
  <c r="N88" i="17" s="1"/>
  <c r="N114" i="17" a="1"/>
  <c r="N114" i="17" s="1"/>
  <c r="N106" i="17" a="1"/>
  <c r="N106" i="17" s="1"/>
  <c r="N98" i="17" a="1"/>
  <c r="N98" i="17" s="1"/>
  <c r="N91" i="17" a="1"/>
  <c r="N91" i="17" s="1"/>
  <c r="N83" i="17" a="1"/>
  <c r="N83" i="17" s="1"/>
  <c r="N113" i="17" a="1"/>
  <c r="N113" i="17" s="1"/>
  <c r="N105" i="17" a="1"/>
  <c r="N105" i="17" s="1"/>
  <c r="N97" i="17" a="1"/>
  <c r="N97" i="17" s="1"/>
  <c r="N86" i="17" a="1"/>
  <c r="N86" i="17" s="1"/>
  <c r="N120" i="17" a="1"/>
  <c r="N120" i="17" s="1"/>
  <c r="N112" i="17" a="1"/>
  <c r="N112" i="17" s="1"/>
  <c r="N104" i="17" a="1"/>
  <c r="N104" i="17" s="1"/>
  <c r="N96" i="17" a="1"/>
  <c r="N96" i="17" s="1"/>
  <c r="N89" i="17" a="1"/>
  <c r="N89" i="17" s="1"/>
  <c r="N122" i="17" a="1"/>
  <c r="N122" i="17" s="1"/>
  <c r="N121" i="17" a="1"/>
  <c r="N121" i="17" s="1"/>
  <c r="N119" i="17" a="1"/>
  <c r="N119" i="17" s="1"/>
  <c r="N111" i="17" a="1"/>
  <c r="N111" i="17" s="1"/>
  <c r="N103" i="17" a="1"/>
  <c r="N103" i="17" s="1"/>
  <c r="N118" i="17" a="1"/>
  <c r="N118" i="17" s="1"/>
  <c r="N110" i="17" a="1"/>
  <c r="N110" i="17" s="1"/>
  <c r="N102" i="17" a="1"/>
  <c r="N102" i="17" s="1"/>
  <c r="N94" i="17" a="1"/>
  <c r="N94" i="17" s="1"/>
  <c r="N87" i="17" a="1"/>
  <c r="N87" i="17" s="1"/>
  <c r="N125" i="17" a="1"/>
  <c r="N125" i="17" s="1"/>
  <c r="N123" i="17" a="1"/>
  <c r="N123" i="17" s="1"/>
  <c r="N117" i="17" a="1"/>
  <c r="N117" i="17" s="1"/>
  <c r="N109" i="17" a="1"/>
  <c r="N109" i="17" s="1"/>
  <c r="N101" i="17" a="1"/>
  <c r="N101" i="17" s="1"/>
  <c r="N116" i="17" a="1"/>
  <c r="N116" i="17" s="1"/>
  <c r="N108" i="17" a="1"/>
  <c r="N108" i="17" s="1"/>
  <c r="N100" i="17" a="1"/>
  <c r="N100" i="17" s="1"/>
  <c r="N93" i="17" a="1"/>
  <c r="N93" i="17" s="1"/>
  <c r="N85" i="17" a="1"/>
  <c r="N85" i="17" s="1"/>
  <c r="N82" i="17" a="1"/>
  <c r="N82" i="17" s="1"/>
  <c r="N26" i="17" a="1"/>
  <c r="N26" i="17" s="1"/>
  <c r="N81" i="17" a="1"/>
  <c r="N81" i="17" s="1"/>
  <c r="N90" i="17" a="1"/>
  <c r="N90" i="17" s="1"/>
  <c r="N95" i="17" a="1"/>
  <c r="N95" i="17" s="1"/>
  <c r="N92" i="17" a="1"/>
  <c r="N92" i="17" s="1"/>
  <c r="N22" i="17" a="1"/>
  <c r="N22" i="17" s="1"/>
  <c r="N14" i="17" a="1"/>
  <c r="N14" i="17" s="1"/>
  <c r="N79" i="17" a="1"/>
  <c r="N79" i="17" s="1"/>
  <c r="N74" i="17" a="1"/>
  <c r="N74" i="17" s="1"/>
  <c r="N71" i="17" a="1"/>
  <c r="N71" i="17" s="1"/>
  <c r="N80" i="17" a="1"/>
  <c r="N80" i="17" s="1"/>
  <c r="N77" i="17" a="1"/>
  <c r="N77" i="17" s="1"/>
  <c r="N20" i="17" a="1"/>
  <c r="N20" i="17" s="1"/>
  <c r="N78" i="17" a="1"/>
  <c r="N78" i="17" s="1"/>
  <c r="N73" i="17" a="1"/>
  <c r="N73" i="17" s="1"/>
  <c r="N68" i="17" a="1"/>
  <c r="N68" i="17" s="1"/>
  <c r="N76" i="17" a="1"/>
  <c r="N76" i="17" s="1"/>
  <c r="N18" i="17" a="1"/>
  <c r="N18" i="17" s="1"/>
  <c r="N10" i="17" a="1"/>
  <c r="N10" i="17" s="1"/>
  <c r="N84" i="17" a="1"/>
  <c r="N84" i="17" s="1"/>
  <c r="N75" i="17" a="1"/>
  <c r="N75" i="17" s="1"/>
  <c r="N70" i="17" a="1"/>
  <c r="N70" i="17" s="1"/>
  <c r="N24" i="17" a="1"/>
  <c r="N24" i="17" s="1"/>
  <c r="N16" i="17" a="1"/>
  <c r="N16" i="17" s="1"/>
  <c r="N72" i="17" a="1"/>
  <c r="N72" i="17" s="1"/>
  <c r="N69" i="17" a="1"/>
  <c r="N69" i="17" s="1"/>
  <c r="N64" i="17" a="1"/>
  <c r="N64" i="17" s="1"/>
  <c r="I3" i="17" a="1"/>
  <c r="I3" i="17" s="1"/>
  <c r="J4" i="17" a="1"/>
  <c r="J4" i="17" s="1"/>
  <c r="I6" i="17" a="1"/>
  <c r="I6" i="17" s="1"/>
  <c r="N6" i="17" a="1"/>
  <c r="N6" i="17" s="1"/>
  <c r="I13" i="17" a="1"/>
  <c r="I13" i="17" s="1"/>
  <c r="I14" i="17" a="1"/>
  <c r="I14" i="17" s="1"/>
  <c r="N21" i="17" a="1"/>
  <c r="N21" i="17" s="1"/>
  <c r="J23" i="17" a="1"/>
  <c r="J23" i="17" s="1"/>
  <c r="K29" i="17" a="1"/>
  <c r="K29" i="17" s="1"/>
  <c r="L29" i="17" s="1" a="1"/>
  <c r="L29" i="17" s="1"/>
  <c r="J32" i="17" a="1"/>
  <c r="J32" i="17" s="1"/>
  <c r="J34" i="17" a="1"/>
  <c r="J34" i="17" s="1"/>
  <c r="J36" i="17" a="1"/>
  <c r="J36" i="17" s="1"/>
  <c r="J38" i="17" a="1"/>
  <c r="J38" i="17" s="1"/>
  <c r="J40" i="17" a="1"/>
  <c r="J40" i="17" s="1"/>
  <c r="J42" i="17" a="1"/>
  <c r="J42" i="17" s="1"/>
  <c r="J44" i="17" a="1"/>
  <c r="J44" i="17" s="1"/>
  <c r="J46" i="17" a="1"/>
  <c r="J46" i="17" s="1"/>
  <c r="J48" i="17" a="1"/>
  <c r="J48" i="17" s="1"/>
  <c r="J50" i="17" a="1"/>
  <c r="J50" i="17" s="1"/>
  <c r="J52" i="17" a="1"/>
  <c r="J52" i="17" s="1"/>
  <c r="J54" i="17" a="1"/>
  <c r="J54" i="17" s="1"/>
  <c r="J56" i="17" a="1"/>
  <c r="J56" i="17" s="1"/>
  <c r="J58" i="17" a="1"/>
  <c r="J58" i="17" s="1"/>
  <c r="J60" i="17" a="1"/>
  <c r="J60" i="17" s="1"/>
  <c r="J62" i="17" a="1"/>
  <c r="J62" i="17" s="1"/>
  <c r="J64" i="17" a="1"/>
  <c r="J64" i="17" s="1"/>
  <c r="J67" i="17" a="1"/>
  <c r="J67" i="17" s="1"/>
  <c r="I9" i="17" a="1"/>
  <c r="I9" i="17" s="1"/>
  <c r="J17" i="17" a="1"/>
  <c r="J17" i="17" s="1"/>
  <c r="K22" i="17" a="1"/>
  <c r="K22" i="17" s="1"/>
  <c r="L22" i="17" s="1" a="1"/>
  <c r="L22" i="17" s="1"/>
  <c r="I23" i="17" a="1"/>
  <c r="I23" i="17" s="1"/>
  <c r="N39" i="17" a="1"/>
  <c r="N39" i="17" s="1"/>
  <c r="N45" i="17" a="1"/>
  <c r="N45" i="17" s="1"/>
  <c r="O18" i="1"/>
  <c r="N3" i="17" a="1"/>
  <c r="N3" i="17" s="1"/>
  <c r="K7" i="17" a="1"/>
  <c r="K7" i="17" s="1"/>
  <c r="L7" i="17" s="1" a="1"/>
  <c r="L7" i="17" s="1"/>
  <c r="J9" i="17" a="1"/>
  <c r="J9" i="17" s="1"/>
  <c r="N11" i="17" a="1"/>
  <c r="N11" i="17" s="1"/>
  <c r="I12" i="17" a="1"/>
  <c r="I12" i="17" s="1"/>
  <c r="J13" i="17" a="1"/>
  <c r="J13" i="17" s="1"/>
  <c r="N15" i="17" a="1"/>
  <c r="N15" i="17" s="1"/>
  <c r="I28" i="17" a="1"/>
  <c r="I28" i="17" s="1"/>
  <c r="K32" i="17" a="1"/>
  <c r="K32" i="17" s="1"/>
  <c r="L32" i="17" s="1" a="1"/>
  <c r="L32" i="17" s="1"/>
  <c r="K34" i="17" a="1"/>
  <c r="K34" i="17" s="1"/>
  <c r="L34" i="17" s="1" a="1"/>
  <c r="L34" i="17" s="1"/>
  <c r="K36" i="17" a="1"/>
  <c r="K36" i="17" s="1"/>
  <c r="L36" i="17" s="1" a="1"/>
  <c r="L36" i="17" s="1"/>
  <c r="K38" i="17" a="1"/>
  <c r="K38" i="17" s="1"/>
  <c r="L38" i="17" s="1" a="1"/>
  <c r="L38" i="17" s="1"/>
  <c r="K40" i="17" a="1"/>
  <c r="K40" i="17" s="1"/>
  <c r="L40" i="17" s="1" a="1"/>
  <c r="L40" i="17" s="1"/>
  <c r="K42" i="17" a="1"/>
  <c r="K42" i="17" s="1"/>
  <c r="L42" i="17" s="1" a="1"/>
  <c r="L42" i="17" s="1"/>
  <c r="K44" i="17" a="1"/>
  <c r="K44" i="17" s="1"/>
  <c r="L44" i="17" s="1" a="1"/>
  <c r="L44" i="17" s="1"/>
  <c r="K46" i="17" a="1"/>
  <c r="K46" i="17" s="1"/>
  <c r="L46" i="17" s="1" a="1"/>
  <c r="L46" i="17" s="1"/>
  <c r="K48" i="17" a="1"/>
  <c r="K48" i="17" s="1"/>
  <c r="L48" i="17" s="1" a="1"/>
  <c r="L48" i="17" s="1"/>
  <c r="K50" i="17" a="1"/>
  <c r="K50" i="17" s="1"/>
  <c r="L50" i="17" s="1" a="1"/>
  <c r="L50" i="17" s="1"/>
  <c r="K52" i="17" a="1"/>
  <c r="K52" i="17" s="1"/>
  <c r="L52" i="17" s="1" a="1"/>
  <c r="L52" i="17" s="1"/>
  <c r="K54" i="17" a="1"/>
  <c r="K54" i="17" s="1"/>
  <c r="L54" i="17" s="1" a="1"/>
  <c r="L54" i="17" s="1"/>
  <c r="K56" i="17" a="1"/>
  <c r="K56" i="17" s="1"/>
  <c r="L56" i="17" s="1" a="1"/>
  <c r="L56" i="17" s="1"/>
  <c r="K58" i="17" a="1"/>
  <c r="K58" i="17" s="1"/>
  <c r="L58" i="17" s="1" a="1"/>
  <c r="L58" i="17" s="1"/>
  <c r="K60" i="17" a="1"/>
  <c r="K60" i="17" s="1"/>
  <c r="L60" i="17" s="1" a="1"/>
  <c r="L60" i="17" s="1"/>
  <c r="K62" i="17" a="1"/>
  <c r="K62" i="17" s="1"/>
  <c r="L62" i="17" s="1" a="1"/>
  <c r="L62" i="17" s="1"/>
  <c r="K64" i="17" a="1"/>
  <c r="K64" i="17" s="1"/>
  <c r="L64" i="17" s="1" a="1"/>
  <c r="L64" i="17" s="1"/>
  <c r="N67" i="17" a="1"/>
  <c r="N67" i="17" s="1"/>
  <c r="K68" i="17" a="1"/>
  <c r="K68" i="17" s="1"/>
  <c r="L68" i="17" s="1" a="1"/>
  <c r="L68" i="17" s="1"/>
  <c r="N37" i="17" a="1"/>
  <c r="N37" i="17" s="1"/>
  <c r="M16" i="17"/>
  <c r="M14" i="17"/>
  <c r="I8" i="17" a="1"/>
  <c r="I8" i="17" s="1"/>
  <c r="N36" i="17" a="1"/>
  <c r="N36" i="17" s="1"/>
  <c r="N46" i="17" a="1"/>
  <c r="N46" i="17" s="1"/>
  <c r="N54" i="17" a="1"/>
  <c r="N54" i="17" s="1"/>
  <c r="N58" i="17" a="1"/>
  <c r="N58" i="17" s="1"/>
  <c r="N60" i="17" a="1"/>
  <c r="N60" i="17" s="1"/>
  <c r="N62" i="17" a="1"/>
  <c r="N62" i="17" s="1"/>
  <c r="J70" i="17" a="1"/>
  <c r="J70" i="17" s="1"/>
  <c r="N8" i="17" a="1"/>
  <c r="N8" i="17" s="1"/>
  <c r="I10" i="17" a="1"/>
  <c r="I10" i="17" s="1"/>
  <c r="K13" i="17" a="1"/>
  <c r="K13" i="17" s="1"/>
  <c r="L13" i="17" s="1" a="1"/>
  <c r="L13" i="17" s="1"/>
  <c r="K14" i="17" a="1"/>
  <c r="K14" i="17" s="1"/>
  <c r="L14" i="17" s="1" a="1"/>
  <c r="L14" i="17" s="1"/>
  <c r="K16" i="17" a="1"/>
  <c r="K16" i="17" s="1"/>
  <c r="L16" i="17" s="1" a="1"/>
  <c r="L16" i="17" s="1"/>
  <c r="N34" i="17" a="1"/>
  <c r="N34" i="17" s="1"/>
  <c r="N44" i="17" a="1"/>
  <c r="N44" i="17" s="1"/>
  <c r="N52" i="17" a="1"/>
  <c r="N52" i="17" s="1"/>
  <c r="N17" i="17" a="1"/>
  <c r="N17" i="17" s="1"/>
  <c r="J18" i="17" a="1"/>
  <c r="J18" i="17" s="1"/>
  <c r="N19" i="17" a="1"/>
  <c r="N19" i="17" s="1"/>
  <c r="N23" i="17" a="1"/>
  <c r="N23" i="17" s="1"/>
  <c r="J25" i="17" a="1"/>
  <c r="J25" i="17" s="1"/>
  <c r="K28" i="17" a="1"/>
  <c r="K28" i="17" s="1"/>
  <c r="L28" i="17" s="1" a="1"/>
  <c r="L28" i="17" s="1"/>
  <c r="M29" i="17"/>
  <c r="K311" i="17" a="1"/>
  <c r="K311" i="17" s="1"/>
  <c r="L311" i="17" s="1" a="1"/>
  <c r="L311" i="17" s="1"/>
  <c r="J311" i="17" a="1"/>
  <c r="J311" i="17" s="1"/>
  <c r="J284" i="17" a="1"/>
  <c r="J284" i="17" s="1"/>
  <c r="I311" i="17" a="1"/>
  <c r="I311" i="17" s="1"/>
  <c r="K310" i="17" a="1"/>
  <c r="K310" i="17" s="1"/>
  <c r="L310" i="17" s="1" a="1"/>
  <c r="L310" i="17" s="1"/>
  <c r="J310" i="17" a="1"/>
  <c r="J310" i="17" s="1"/>
  <c r="J308" i="17" a="1"/>
  <c r="J308" i="17" s="1"/>
  <c r="J306" i="17" a="1"/>
  <c r="J306" i="17" s="1"/>
  <c r="J304" i="17" a="1"/>
  <c r="J304" i="17" s="1"/>
  <c r="J302" i="17" a="1"/>
  <c r="J302" i="17" s="1"/>
  <c r="J300" i="17" a="1"/>
  <c r="J300" i="17" s="1"/>
  <c r="J298" i="17" a="1"/>
  <c r="J298" i="17" s="1"/>
  <c r="J296" i="17" a="1"/>
  <c r="J296" i="17" s="1"/>
  <c r="K309" i="17" a="1"/>
  <c r="K309" i="17" s="1"/>
  <c r="L309" i="17" s="1" a="1"/>
  <c r="L309" i="17" s="1"/>
  <c r="I298" i="17" a="1"/>
  <c r="I298" i="17" s="1"/>
  <c r="I297" i="17" a="1"/>
  <c r="I297" i="17" s="1"/>
  <c r="J293" i="17" a="1"/>
  <c r="J293" i="17" s="1"/>
  <c r="J309" i="17" a="1"/>
  <c r="J309" i="17" s="1"/>
  <c r="K308" i="17" a="1"/>
  <c r="K308" i="17" s="1"/>
  <c r="L308" i="17" s="1" a="1"/>
  <c r="L308" i="17" s="1"/>
  <c r="K307" i="17" a="1"/>
  <c r="K307" i="17" s="1"/>
  <c r="L307" i="17" s="1" a="1"/>
  <c r="L307" i="17" s="1"/>
  <c r="I296" i="17" a="1"/>
  <c r="I296" i="17" s="1"/>
  <c r="K295" i="17" a="1"/>
  <c r="K295" i="17" s="1"/>
  <c r="L295" i="17" s="1" a="1"/>
  <c r="L295" i="17" s="1"/>
  <c r="I293" i="17" a="1"/>
  <c r="I293" i="17" s="1"/>
  <c r="I291" i="17" a="1"/>
  <c r="I291" i="17" s="1"/>
  <c r="I309" i="17" a="1"/>
  <c r="I309" i="17" s="1"/>
  <c r="J307" i="17" a="1"/>
  <c r="J307" i="17" s="1"/>
  <c r="K306" i="17" a="1"/>
  <c r="K306" i="17" s="1"/>
  <c r="L306" i="17" s="1" a="1"/>
  <c r="L306" i="17" s="1"/>
  <c r="K305" i="17" a="1"/>
  <c r="K305" i="17" s="1"/>
  <c r="L305" i="17" s="1" a="1"/>
  <c r="L305" i="17" s="1"/>
  <c r="J295" i="17" a="1"/>
  <c r="J295" i="17" s="1"/>
  <c r="I308" i="17" a="1"/>
  <c r="I308" i="17" s="1"/>
  <c r="I307" i="17" a="1"/>
  <c r="I307" i="17" s="1"/>
  <c r="J305" i="17" a="1"/>
  <c r="J305" i="17" s="1"/>
  <c r="K304" i="17" a="1"/>
  <c r="K304" i="17" s="1"/>
  <c r="L304" i="17" s="1" a="1"/>
  <c r="L304" i="17" s="1"/>
  <c r="K303" i="17" a="1"/>
  <c r="K303" i="17" s="1"/>
  <c r="L303" i="17" s="1" a="1"/>
  <c r="L303" i="17" s="1"/>
  <c r="I295" i="17" a="1"/>
  <c r="I295" i="17" s="1"/>
  <c r="I310" i="17" a="1"/>
  <c r="I310" i="17" s="1"/>
  <c r="I306" i="17" a="1"/>
  <c r="I306" i="17" s="1"/>
  <c r="I305" i="17" a="1"/>
  <c r="I305" i="17" s="1"/>
  <c r="J303" i="17" a="1"/>
  <c r="J303" i="17" s="1"/>
  <c r="K302" i="17" a="1"/>
  <c r="K302" i="17" s="1"/>
  <c r="L302" i="17" s="1" a="1"/>
  <c r="L302" i="17" s="1"/>
  <c r="K301" i="17" a="1"/>
  <c r="K301" i="17" s="1"/>
  <c r="L301" i="17" s="1" a="1"/>
  <c r="L301" i="17" s="1"/>
  <c r="K294" i="17" a="1"/>
  <c r="K294" i="17" s="1"/>
  <c r="L294" i="17" s="1" a="1"/>
  <c r="L294" i="17" s="1"/>
  <c r="I304" i="17" a="1"/>
  <c r="I304" i="17" s="1"/>
  <c r="I303" i="17" a="1"/>
  <c r="I303" i="17" s="1"/>
  <c r="J301" i="17" a="1"/>
  <c r="J301" i="17" s="1"/>
  <c r="K300" i="17" a="1"/>
  <c r="K300" i="17" s="1"/>
  <c r="L300" i="17" s="1" a="1"/>
  <c r="L300" i="17" s="1"/>
  <c r="K299" i="17" a="1"/>
  <c r="K299" i="17" s="1"/>
  <c r="L299" i="17" s="1" a="1"/>
  <c r="L299" i="17" s="1"/>
  <c r="I292" i="17" a="1"/>
  <c r="I292" i="17" s="1"/>
  <c r="J290" i="17" a="1"/>
  <c r="J290" i="17" s="1"/>
  <c r="I289" i="17" a="1"/>
  <c r="I289" i="17" s="1"/>
  <c r="I302" i="17" a="1"/>
  <c r="I302" i="17" s="1"/>
  <c r="I301" i="17" a="1"/>
  <c r="I301" i="17" s="1"/>
  <c r="J299" i="17" a="1"/>
  <c r="J299" i="17" s="1"/>
  <c r="K298" i="17" a="1"/>
  <c r="K298" i="17" s="1"/>
  <c r="L298" i="17" s="1" a="1"/>
  <c r="L298" i="17" s="1"/>
  <c r="K297" i="17" a="1"/>
  <c r="K297" i="17" s="1"/>
  <c r="L297" i="17" s="1" a="1"/>
  <c r="L297" i="17" s="1"/>
  <c r="J294" i="17" a="1"/>
  <c r="J294" i="17" s="1"/>
  <c r="K291" i="17" a="1"/>
  <c r="K291" i="17" s="1"/>
  <c r="L291" i="17" s="1" a="1"/>
  <c r="L291" i="17" s="1"/>
  <c r="I285" i="17" a="1"/>
  <c r="I285" i="17" s="1"/>
  <c r="K283" i="17" a="1"/>
  <c r="K283" i="17" s="1"/>
  <c r="L283" i="17" s="1" a="1"/>
  <c r="L283" i="17" s="1"/>
  <c r="K282" i="17" a="1"/>
  <c r="K282" i="17" s="1"/>
  <c r="L282" i="17" s="1" a="1"/>
  <c r="L282" i="17" s="1"/>
  <c r="K296" i="17" a="1"/>
  <c r="K296" i="17" s="1"/>
  <c r="L296" i="17" s="1" a="1"/>
  <c r="L296" i="17" s="1"/>
  <c r="K292" i="17" a="1"/>
  <c r="K292" i="17" s="1"/>
  <c r="L292" i="17" s="1" a="1"/>
  <c r="L292" i="17" s="1"/>
  <c r="J297" i="17" a="1"/>
  <c r="J297" i="17" s="1"/>
  <c r="J292" i="17" a="1"/>
  <c r="J292" i="17" s="1"/>
  <c r="I288" i="17" a="1"/>
  <c r="I288" i="17" s="1"/>
  <c r="K287" i="17" a="1"/>
  <c r="K287" i="17" s="1"/>
  <c r="L287" i="17" s="1" a="1"/>
  <c r="L287" i="17" s="1"/>
  <c r="I286" i="17" a="1"/>
  <c r="I286" i="17" s="1"/>
  <c r="I280" i="17" a="1"/>
  <c r="I280" i="17" s="1"/>
  <c r="J278" i="17" a="1"/>
  <c r="J278" i="17" s="1"/>
  <c r="K276" i="17" a="1"/>
  <c r="K276" i="17" s="1"/>
  <c r="L276" i="17" s="1" a="1"/>
  <c r="L276" i="17" s="1"/>
  <c r="J287" i="17" a="1"/>
  <c r="J287" i="17" s="1"/>
  <c r="K284" i="17" a="1"/>
  <c r="K284" i="17" s="1"/>
  <c r="L284" i="17" s="1" a="1"/>
  <c r="L284" i="17" s="1"/>
  <c r="J281" i="17" a="1"/>
  <c r="J281" i="17" s="1"/>
  <c r="K279" i="17" a="1"/>
  <c r="K279" i="17" s="1"/>
  <c r="L279" i="17" s="1" a="1"/>
  <c r="L279" i="17" s="1"/>
  <c r="I275" i="17" a="1"/>
  <c r="I275" i="17" s="1"/>
  <c r="J273" i="17" a="1"/>
  <c r="J273" i="17" s="1"/>
  <c r="K271" i="17" a="1"/>
  <c r="K271" i="17" s="1"/>
  <c r="L271" i="17" s="1" a="1"/>
  <c r="L271" i="17" s="1"/>
  <c r="I299" i="17" a="1"/>
  <c r="I299" i="17" s="1"/>
  <c r="I300" i="17" a="1"/>
  <c r="I300" i="17" s="1"/>
  <c r="J291" i="17" a="1"/>
  <c r="J291" i="17" s="1"/>
  <c r="K290" i="17" a="1"/>
  <c r="K290" i="17" s="1"/>
  <c r="L290" i="17" s="1" a="1"/>
  <c r="L290" i="17" s="1"/>
  <c r="I287" i="17" a="1"/>
  <c r="I287" i="17" s="1"/>
  <c r="J283" i="17" a="1"/>
  <c r="J283" i="17" s="1"/>
  <c r="I290" i="17" a="1"/>
  <c r="I290" i="17" s="1"/>
  <c r="K285" i="17" a="1"/>
  <c r="K285" i="17" s="1"/>
  <c r="L285" i="17" s="1" a="1"/>
  <c r="L285" i="17" s="1"/>
  <c r="I284" i="17" a="1"/>
  <c r="I284" i="17" s="1"/>
  <c r="J282" i="17" a="1"/>
  <c r="J282" i="17" s="1"/>
  <c r="K280" i="17" a="1"/>
  <c r="K280" i="17" s="1"/>
  <c r="L280" i="17" s="1" a="1"/>
  <c r="L280" i="17" s="1"/>
  <c r="I276" i="17" a="1"/>
  <c r="I276" i="17" s="1"/>
  <c r="J274" i="17" a="1"/>
  <c r="J274" i="17" s="1"/>
  <c r="K272" i="17" a="1"/>
  <c r="K272" i="17" s="1"/>
  <c r="L272" i="17" s="1" a="1"/>
  <c r="L272" i="17" s="1"/>
  <c r="I270" i="17" a="1"/>
  <c r="I270" i="17" s="1"/>
  <c r="I269" i="17" a="1"/>
  <c r="I269" i="17" s="1"/>
  <c r="I268" i="17" a="1"/>
  <c r="I268" i="17" s="1"/>
  <c r="I267" i="17" a="1"/>
  <c r="I267" i="17" s="1"/>
  <c r="I266" i="17" a="1"/>
  <c r="I266" i="17" s="1"/>
  <c r="I265" i="17" a="1"/>
  <c r="I265" i="17" s="1"/>
  <c r="I264" i="17" a="1"/>
  <c r="I264" i="17" s="1"/>
  <c r="I263" i="17" a="1"/>
  <c r="I263" i="17" s="1"/>
  <c r="I262" i="17" a="1"/>
  <c r="I262" i="17" s="1"/>
  <c r="I261" i="17" a="1"/>
  <c r="I261" i="17" s="1"/>
  <c r="I260" i="17" a="1"/>
  <c r="I260" i="17" s="1"/>
  <c r="I259" i="17" a="1"/>
  <c r="I259" i="17" s="1"/>
  <c r="I258" i="17" a="1"/>
  <c r="I258" i="17" s="1"/>
  <c r="I257" i="17" a="1"/>
  <c r="I257" i="17" s="1"/>
  <c r="I256" i="17" a="1"/>
  <c r="I256" i="17" s="1"/>
  <c r="I255" i="17" a="1"/>
  <c r="I255" i="17" s="1"/>
  <c r="I254" i="17" a="1"/>
  <c r="I254" i="17" s="1"/>
  <c r="I253" i="17" a="1"/>
  <c r="I253" i="17" s="1"/>
  <c r="I252" i="17" a="1"/>
  <c r="I252" i="17" s="1"/>
  <c r="I251" i="17" a="1"/>
  <c r="I251" i="17" s="1"/>
  <c r="I250" i="17" a="1"/>
  <c r="I250" i="17" s="1"/>
  <c r="I249" i="17" a="1"/>
  <c r="I249" i="17" s="1"/>
  <c r="I248" i="17" a="1"/>
  <c r="I248" i="17" s="1"/>
  <c r="I247" i="17" a="1"/>
  <c r="I247" i="17" s="1"/>
  <c r="I246" i="17" a="1"/>
  <c r="I246" i="17" s="1"/>
  <c r="I245" i="17" a="1"/>
  <c r="I245" i="17" s="1"/>
  <c r="I244" i="17" a="1"/>
  <c r="I244" i="17" s="1"/>
  <c r="I243" i="17" a="1"/>
  <c r="I243" i="17" s="1"/>
  <c r="I242" i="17" a="1"/>
  <c r="I242" i="17" s="1"/>
  <c r="I241" i="17" a="1"/>
  <c r="I241" i="17" s="1"/>
  <c r="I240" i="17" a="1"/>
  <c r="I240" i="17" s="1"/>
  <c r="I239" i="17" a="1"/>
  <c r="I239" i="17" s="1"/>
  <c r="I238" i="17" a="1"/>
  <c r="I238" i="17" s="1"/>
  <c r="I237" i="17" a="1"/>
  <c r="I237" i="17" s="1"/>
  <c r="I236" i="17" a="1"/>
  <c r="I236" i="17" s="1"/>
  <c r="I235" i="17" a="1"/>
  <c r="I235" i="17" s="1"/>
  <c r="I234" i="17" a="1"/>
  <c r="I234" i="17" s="1"/>
  <c r="I294" i="17" a="1"/>
  <c r="I294" i="17" s="1"/>
  <c r="K293" i="17" a="1"/>
  <c r="K293" i="17" s="1"/>
  <c r="L293" i="17" s="1" a="1"/>
  <c r="L293" i="17" s="1"/>
  <c r="K289" i="17" a="1"/>
  <c r="K289" i="17" s="1"/>
  <c r="L289" i="17" s="1" a="1"/>
  <c r="L289" i="17" s="1"/>
  <c r="K288" i="17" a="1"/>
  <c r="K288" i="17" s="1"/>
  <c r="L288" i="17" s="1" a="1"/>
  <c r="L288" i="17" s="1"/>
  <c r="K286" i="17" a="1"/>
  <c r="K286" i="17" s="1"/>
  <c r="L286" i="17" s="1" a="1"/>
  <c r="L286" i="17" s="1"/>
  <c r="J285" i="17" a="1"/>
  <c r="J285" i="17" s="1"/>
  <c r="I283" i="17" a="1"/>
  <c r="I283" i="17" s="1"/>
  <c r="J289" i="17" a="1"/>
  <c r="J289" i="17" s="1"/>
  <c r="J288" i="17" a="1"/>
  <c r="J288" i="17" s="1"/>
  <c r="J286" i="17" a="1"/>
  <c r="J286" i="17" s="1"/>
  <c r="J277" i="17" a="1"/>
  <c r="J277" i="17" s="1"/>
  <c r="I272" i="17" a="1"/>
  <c r="I272" i="17" s="1"/>
  <c r="J268" i="17" a="1"/>
  <c r="J268" i="17" s="1"/>
  <c r="J264" i="17" a="1"/>
  <c r="J264" i="17" s="1"/>
  <c r="J261" i="17" a="1"/>
  <c r="J261" i="17" s="1"/>
  <c r="K259" i="17" a="1"/>
  <c r="K259" i="17" s="1"/>
  <c r="L259" i="17" s="1" a="1"/>
  <c r="L259" i="17" s="1"/>
  <c r="J253" i="17" a="1"/>
  <c r="J253" i="17" s="1"/>
  <c r="K251" i="17" a="1"/>
  <c r="K251" i="17" s="1"/>
  <c r="L251" i="17" s="1" a="1"/>
  <c r="L251" i="17" s="1"/>
  <c r="J279" i="17" a="1"/>
  <c r="J279" i="17" s="1"/>
  <c r="J275" i="17" a="1"/>
  <c r="J275" i="17" s="1"/>
  <c r="K273" i="17" a="1"/>
  <c r="K273" i="17" s="1"/>
  <c r="L273" i="17" s="1" a="1"/>
  <c r="L273" i="17" s="1"/>
  <c r="K267" i="17" a="1"/>
  <c r="K267" i="17" s="1"/>
  <c r="L267" i="17" s="1" a="1"/>
  <c r="L267" i="17" s="1"/>
  <c r="K263" i="17" a="1"/>
  <c r="K263" i="17" s="1"/>
  <c r="L263" i="17" s="1" a="1"/>
  <c r="L263" i="17" s="1"/>
  <c r="I279" i="17" a="1"/>
  <c r="I279" i="17" s="1"/>
  <c r="I277" i="17" a="1"/>
  <c r="I277" i="17" s="1"/>
  <c r="I282" i="17" a="1"/>
  <c r="I282" i="17" s="1"/>
  <c r="K278" i="17" a="1"/>
  <c r="K278" i="17" s="1"/>
  <c r="L278" i="17" s="1" a="1"/>
  <c r="L278" i="17" s="1"/>
  <c r="J276" i="17" a="1"/>
  <c r="J276" i="17" s="1"/>
  <c r="I273" i="17" a="1"/>
  <c r="I273" i="17" s="1"/>
  <c r="K270" i="17" a="1"/>
  <c r="K270" i="17" s="1"/>
  <c r="L270" i="17" s="1" a="1"/>
  <c r="L270" i="17" s="1"/>
  <c r="K266" i="17" a="1"/>
  <c r="K266" i="17" s="1"/>
  <c r="L266" i="17" s="1" a="1"/>
  <c r="L266" i="17" s="1"/>
  <c r="J280" i="17" a="1"/>
  <c r="J280" i="17" s="1"/>
  <c r="K274" i="17" a="1"/>
  <c r="K274" i="17" s="1"/>
  <c r="L274" i="17" s="1" a="1"/>
  <c r="L274" i="17" s="1"/>
  <c r="J271" i="17" a="1"/>
  <c r="J271" i="17" s="1"/>
  <c r="J270" i="17" a="1"/>
  <c r="J270" i="17" s="1"/>
  <c r="J266" i="17" a="1"/>
  <c r="J266" i="17" s="1"/>
  <c r="J262" i="17" a="1"/>
  <c r="J262" i="17" s="1"/>
  <c r="J257" i="17" a="1"/>
  <c r="J257" i="17" s="1"/>
  <c r="K255" i="17" a="1"/>
  <c r="K255" i="17" s="1"/>
  <c r="L255" i="17" s="1" a="1"/>
  <c r="L255" i="17" s="1"/>
  <c r="J249" i="17" a="1"/>
  <c r="J249" i="17" s="1"/>
  <c r="I278" i="17" a="1"/>
  <c r="I278" i="17" s="1"/>
  <c r="I271" i="17" a="1"/>
  <c r="I271" i="17" s="1"/>
  <c r="K269" i="17" a="1"/>
  <c r="K269" i="17" s="1"/>
  <c r="L269" i="17" s="1" a="1"/>
  <c r="L269" i="17" s="1"/>
  <c r="K265" i="17" a="1"/>
  <c r="K265" i="17" s="1"/>
  <c r="L265" i="17" s="1" a="1"/>
  <c r="L265" i="17" s="1"/>
  <c r="K281" i="17" a="1"/>
  <c r="K281" i="17" s="1"/>
  <c r="L281" i="17" s="1" a="1"/>
  <c r="L281" i="17" s="1"/>
  <c r="J272" i="17" a="1"/>
  <c r="J272" i="17" s="1"/>
  <c r="J269" i="17" a="1"/>
  <c r="J269" i="17" s="1"/>
  <c r="J265" i="17" a="1"/>
  <c r="J265" i="17" s="1"/>
  <c r="K261" i="17" a="1"/>
  <c r="K261" i="17" s="1"/>
  <c r="L261" i="17" s="1" a="1"/>
  <c r="L261" i="17" s="1"/>
  <c r="J255" i="17" a="1"/>
  <c r="J255" i="17" s="1"/>
  <c r="K253" i="17" a="1"/>
  <c r="K253" i="17" s="1"/>
  <c r="L253" i="17" s="1" a="1"/>
  <c r="L253" i="17" s="1"/>
  <c r="I281" i="17" a="1"/>
  <c r="I281" i="17" s="1"/>
  <c r="K277" i="17" a="1"/>
  <c r="K277" i="17" s="1"/>
  <c r="L277" i="17" s="1" a="1"/>
  <c r="L277" i="17" s="1"/>
  <c r="K275" i="17" a="1"/>
  <c r="K275" i="17" s="1"/>
  <c r="L275" i="17" s="1" a="1"/>
  <c r="L275" i="17" s="1"/>
  <c r="I274" i="17" a="1"/>
  <c r="I274" i="17" s="1"/>
  <c r="K268" i="17" a="1"/>
  <c r="K268" i="17" s="1"/>
  <c r="L268" i="17" s="1" a="1"/>
  <c r="L268" i="17" s="1"/>
  <c r="J263" i="17" a="1"/>
  <c r="J263" i="17" s="1"/>
  <c r="K262" i="17" a="1"/>
  <c r="K262" i="17" s="1"/>
  <c r="L262" i="17" s="1" a="1"/>
  <c r="L262" i="17" s="1"/>
  <c r="J246" i="17" a="1"/>
  <c r="J246" i="17" s="1"/>
  <c r="K244" i="17" a="1"/>
  <c r="K244" i="17" s="1"/>
  <c r="L244" i="17" s="1" a="1"/>
  <c r="L244" i="17" s="1"/>
  <c r="J238" i="17" a="1"/>
  <c r="J238" i="17" s="1"/>
  <c r="K236" i="17" a="1"/>
  <c r="K236" i="17" s="1"/>
  <c r="L236" i="17" s="1" a="1"/>
  <c r="L236" i="17" s="1"/>
  <c r="K264" i="17" a="1"/>
  <c r="K264" i="17" s="1"/>
  <c r="L264" i="17" s="1" a="1"/>
  <c r="L264" i="17" s="1"/>
  <c r="K247" i="17" a="1"/>
  <c r="K247" i="17" s="1"/>
  <c r="L247" i="17" s="1" a="1"/>
  <c r="L247" i="17" s="1"/>
  <c r="K257" i="17" a="1"/>
  <c r="K257" i="17" s="1"/>
  <c r="L257" i="17" s="1" a="1"/>
  <c r="L257" i="17" s="1"/>
  <c r="K249" i="17" a="1"/>
  <c r="K249" i="17" s="1"/>
  <c r="L249" i="17" s="1" a="1"/>
  <c r="L249" i="17" s="1"/>
  <c r="K248" i="17" a="1"/>
  <c r="K248" i="17" s="1"/>
  <c r="L248" i="17" s="1" a="1"/>
  <c r="L248" i="17" s="1"/>
  <c r="J244" i="17" a="1"/>
  <c r="J244" i="17" s="1"/>
  <c r="K242" i="17" a="1"/>
  <c r="K242" i="17" s="1"/>
  <c r="L242" i="17" s="1" a="1"/>
  <c r="L242" i="17" s="1"/>
  <c r="J267" i="17" a="1"/>
  <c r="J267" i="17" s="1"/>
  <c r="K260" i="17" a="1"/>
  <c r="K260" i="17" s="1"/>
  <c r="L260" i="17" s="1" a="1"/>
  <c r="L260" i="17" s="1"/>
  <c r="J260" i="17" a="1"/>
  <c r="J260" i="17" s="1"/>
  <c r="J259" i="17" a="1"/>
  <c r="J259" i="17" s="1"/>
  <c r="K254" i="17" a="1"/>
  <c r="K254" i="17" s="1"/>
  <c r="L254" i="17" s="1" a="1"/>
  <c r="L254" i="17" s="1"/>
  <c r="J245" i="17" a="1"/>
  <c r="J245" i="17" s="1"/>
  <c r="K243" i="17" a="1"/>
  <c r="K243" i="17" s="1"/>
  <c r="L243" i="17" s="1" a="1"/>
  <c r="L243" i="17" s="1"/>
  <c r="J258" i="17" a="1"/>
  <c r="J258" i="17" s="1"/>
  <c r="J256" i="17" a="1"/>
  <c r="J256" i="17" s="1"/>
  <c r="J254" i="17" a="1"/>
  <c r="J254" i="17" s="1"/>
  <c r="J252" i="17" a="1"/>
  <c r="J252" i="17" s="1"/>
  <c r="J250" i="17" a="1"/>
  <c r="J250" i="17" s="1"/>
  <c r="K250" i="17" a="1"/>
  <c r="K250" i="17" s="1"/>
  <c r="L250" i="17" s="1" a="1"/>
  <c r="L250" i="17" s="1"/>
  <c r="J240" i="17" a="1"/>
  <c r="J240" i="17" s="1"/>
  <c r="K235" i="17" a="1"/>
  <c r="K235" i="17" s="1"/>
  <c r="L235" i="17" s="1" a="1"/>
  <c r="L235" i="17" s="1"/>
  <c r="I233" i="17" a="1"/>
  <c r="I233" i="17" s="1"/>
  <c r="J231" i="17" a="1"/>
  <c r="J231" i="17" s="1"/>
  <c r="K256" i="17" a="1"/>
  <c r="K256" i="17" s="1"/>
  <c r="L256" i="17" s="1" a="1"/>
  <c r="L256" i="17" s="1"/>
  <c r="J248" i="17" a="1"/>
  <c r="J248" i="17" s="1"/>
  <c r="K245" i="17" a="1"/>
  <c r="K245" i="17" s="1"/>
  <c r="L245" i="17" s="1" a="1"/>
  <c r="L245" i="17" s="1"/>
  <c r="J243" i="17" a="1"/>
  <c r="J243" i="17" s="1"/>
  <c r="J247" i="17" a="1"/>
  <c r="J247" i="17" s="1"/>
  <c r="J241" i="17" a="1"/>
  <c r="J241" i="17" s="1"/>
  <c r="K239" i="17" a="1"/>
  <c r="K239" i="17" s="1"/>
  <c r="L239" i="17" s="1" a="1"/>
  <c r="L239" i="17" s="1"/>
  <c r="J232" i="17" a="1"/>
  <c r="J232" i="17" s="1"/>
  <c r="K229" i="17" a="1"/>
  <c r="K229" i="17" s="1"/>
  <c r="L229" i="17" s="1" a="1"/>
  <c r="L229" i="17" s="1"/>
  <c r="K228" i="17" a="1"/>
  <c r="K228" i="17" s="1"/>
  <c r="L228" i="17" s="1" a="1"/>
  <c r="L228" i="17" s="1"/>
  <c r="K227" i="17" a="1"/>
  <c r="K227" i="17" s="1"/>
  <c r="L227" i="17" s="1" a="1"/>
  <c r="L227" i="17" s="1"/>
  <c r="K226" i="17" a="1"/>
  <c r="K226" i="17" s="1"/>
  <c r="L226" i="17" s="1" a="1"/>
  <c r="L226" i="17" s="1"/>
  <c r="K225" i="17" a="1"/>
  <c r="K225" i="17" s="1"/>
  <c r="L225" i="17" s="1" a="1"/>
  <c r="L225" i="17" s="1"/>
  <c r="K224" i="17" a="1"/>
  <c r="K224" i="17" s="1"/>
  <c r="L224" i="17" s="1" a="1"/>
  <c r="L224" i="17" s="1"/>
  <c r="K223" i="17" a="1"/>
  <c r="K223" i="17" s="1"/>
  <c r="L223" i="17" s="1" a="1"/>
  <c r="L223" i="17" s="1"/>
  <c r="K258" i="17" a="1"/>
  <c r="K258" i="17" s="1"/>
  <c r="L258" i="17" s="1" a="1"/>
  <c r="L258" i="17" s="1"/>
  <c r="J239" i="17" a="1"/>
  <c r="J239" i="17" s="1"/>
  <c r="K237" i="17" a="1"/>
  <c r="K237" i="17" s="1"/>
  <c r="L237" i="17" s="1" a="1"/>
  <c r="L237" i="17" s="1"/>
  <c r="K233" i="17" a="1"/>
  <c r="K233" i="17" s="1"/>
  <c r="L233" i="17" s="1" a="1"/>
  <c r="L233" i="17" s="1"/>
  <c r="J251" i="17" a="1"/>
  <c r="J251" i="17" s="1"/>
  <c r="K252" i="17" a="1"/>
  <c r="K252" i="17" s="1"/>
  <c r="L252" i="17" s="1" a="1"/>
  <c r="L252" i="17" s="1"/>
  <c r="J242" i="17" a="1"/>
  <c r="J242" i="17" s="1"/>
  <c r="J233" i="17" a="1"/>
  <c r="J233" i="17" s="1"/>
  <c r="K241" i="17" a="1"/>
  <c r="K241" i="17" s="1"/>
  <c r="L241" i="17" s="1" a="1"/>
  <c r="L241" i="17" s="1"/>
  <c r="J237" i="17" a="1"/>
  <c r="J237" i="17" s="1"/>
  <c r="J236" i="17" a="1"/>
  <c r="J236" i="17" s="1"/>
  <c r="J235" i="17" a="1"/>
  <c r="J235" i="17" s="1"/>
  <c r="K230" i="17" a="1"/>
  <c r="K230" i="17" s="1"/>
  <c r="L230" i="17" s="1" a="1"/>
  <c r="L230" i="17" s="1"/>
  <c r="K240" i="17" a="1"/>
  <c r="K240" i="17" s="1"/>
  <c r="L240" i="17" s="1" a="1"/>
  <c r="L240" i="17" s="1"/>
  <c r="K238" i="17" a="1"/>
  <c r="K238" i="17" s="1"/>
  <c r="L238" i="17" s="1" a="1"/>
  <c r="L238" i="17" s="1"/>
  <c r="K234" i="17" a="1"/>
  <c r="K234" i="17" s="1"/>
  <c r="L234" i="17" s="1" a="1"/>
  <c r="L234" i="17" s="1"/>
  <c r="J230" i="17" a="1"/>
  <c r="J230" i="17" s="1"/>
  <c r="J229" i="17" a="1"/>
  <c r="J229" i="17" s="1"/>
  <c r="J228" i="17" a="1"/>
  <c r="J228" i="17" s="1"/>
  <c r="J227" i="17" a="1"/>
  <c r="J227" i="17" s="1"/>
  <c r="J226" i="17" a="1"/>
  <c r="J226" i="17" s="1"/>
  <c r="J225" i="17" a="1"/>
  <c r="J225" i="17" s="1"/>
  <c r="J224" i="17" a="1"/>
  <c r="J224" i="17" s="1"/>
  <c r="J223" i="17" a="1"/>
  <c r="J223" i="17" s="1"/>
  <c r="J221" i="17" a="1"/>
  <c r="J221" i="17" s="1"/>
  <c r="J219" i="17" a="1"/>
  <c r="J219" i="17" s="1"/>
  <c r="J217" i="17" a="1"/>
  <c r="J217" i="17" s="1"/>
  <c r="J215" i="17" a="1"/>
  <c r="J215" i="17" s="1"/>
  <c r="J213" i="17" a="1"/>
  <c r="J213" i="17" s="1"/>
  <c r="J211" i="17" a="1"/>
  <c r="J211" i="17" s="1"/>
  <c r="I232" i="17" a="1"/>
  <c r="I232" i="17" s="1"/>
  <c r="J222" i="17" a="1"/>
  <c r="J222" i="17" s="1"/>
  <c r="K218" i="17" a="1"/>
  <c r="K218" i="17" s="1"/>
  <c r="L218" i="17" s="1" a="1"/>
  <c r="L218" i="17" s="1"/>
  <c r="I211" i="17" a="1"/>
  <c r="I211" i="17" s="1"/>
  <c r="I210" i="17" a="1"/>
  <c r="I210" i="17" s="1"/>
  <c r="I209" i="17" a="1"/>
  <c r="I209" i="17" s="1"/>
  <c r="J208" i="17" a="1"/>
  <c r="J208" i="17" s="1"/>
  <c r="J207" i="17" a="1"/>
  <c r="J207" i="17" s="1"/>
  <c r="K206" i="17" a="1"/>
  <c r="K206" i="17" s="1"/>
  <c r="L206" i="17" s="1" a="1"/>
  <c r="L206" i="17" s="1"/>
  <c r="I202" i="17" a="1"/>
  <c r="I202" i="17" s="1"/>
  <c r="I201" i="17" a="1"/>
  <c r="I201" i="17" s="1"/>
  <c r="J200" i="17" a="1"/>
  <c r="J200" i="17" s="1"/>
  <c r="J199" i="17" a="1"/>
  <c r="J199" i="17" s="1"/>
  <c r="K198" i="17" a="1"/>
  <c r="K198" i="17" s="1"/>
  <c r="L198" i="17" s="1" a="1"/>
  <c r="L198" i="17" s="1"/>
  <c r="K194" i="17" a="1"/>
  <c r="K194" i="17" s="1"/>
  <c r="L194" i="17" s="1" a="1"/>
  <c r="L194" i="17" s="1"/>
  <c r="I193" i="17" a="1"/>
  <c r="I193" i="17" s="1"/>
  <c r="J191" i="17" a="1"/>
  <c r="J191" i="17" s="1"/>
  <c r="K186" i="17" a="1"/>
  <c r="K186" i="17" s="1"/>
  <c r="L186" i="17" s="1" a="1"/>
  <c r="L186" i="17" s="1"/>
  <c r="K246" i="17" a="1"/>
  <c r="K246" i="17" s="1"/>
  <c r="L246" i="17" s="1" a="1"/>
  <c r="L246" i="17" s="1"/>
  <c r="I229" i="17" a="1"/>
  <c r="I229" i="17" s="1"/>
  <c r="I227" i="17" a="1"/>
  <c r="I227" i="17" s="1"/>
  <c r="I225" i="17" a="1"/>
  <c r="I225" i="17" s="1"/>
  <c r="I223" i="17" a="1"/>
  <c r="I223" i="17" s="1"/>
  <c r="I222" i="17" a="1"/>
  <c r="I222" i="17" s="1"/>
  <c r="K219" i="17" a="1"/>
  <c r="K219" i="17" s="1"/>
  <c r="L219" i="17" s="1" a="1"/>
  <c r="L219" i="17" s="1"/>
  <c r="J218" i="17" a="1"/>
  <c r="J218" i="17" s="1"/>
  <c r="K214" i="17" a="1"/>
  <c r="K214" i="17" s="1"/>
  <c r="L214" i="17" s="1" a="1"/>
  <c r="L214" i="17" s="1"/>
  <c r="I208" i="17" a="1"/>
  <c r="I208" i="17" s="1"/>
  <c r="I207" i="17" a="1"/>
  <c r="I207" i="17" s="1"/>
  <c r="J206" i="17" a="1"/>
  <c r="J206" i="17" s="1"/>
  <c r="J205" i="17" a="1"/>
  <c r="J205" i="17" s="1"/>
  <c r="K204" i="17" a="1"/>
  <c r="K204" i="17" s="1"/>
  <c r="L204" i="17" s="1" a="1"/>
  <c r="L204" i="17" s="1"/>
  <c r="I200" i="17" a="1"/>
  <c r="I200" i="17" s="1"/>
  <c r="I199" i="17" a="1"/>
  <c r="I199" i="17" s="1"/>
  <c r="J198" i="17" a="1"/>
  <c r="J198" i="17" s="1"/>
  <c r="J197" i="17" a="1"/>
  <c r="J197" i="17" s="1"/>
  <c r="K192" i="17" a="1"/>
  <c r="K192" i="17" s="1"/>
  <c r="L192" i="17" s="1" a="1"/>
  <c r="L192" i="17" s="1"/>
  <c r="K220" i="17" a="1"/>
  <c r="K220" i="17" s="1"/>
  <c r="L220" i="17" s="1" a="1"/>
  <c r="L220" i="17" s="1"/>
  <c r="I213" i="17" a="1"/>
  <c r="I213" i="17" s="1"/>
  <c r="I212" i="17" a="1"/>
  <c r="I212" i="17" s="1"/>
  <c r="J234" i="17" a="1"/>
  <c r="J234" i="17" s="1"/>
  <c r="K231" i="17" a="1"/>
  <c r="K231" i="17" s="1"/>
  <c r="L231" i="17" s="1" a="1"/>
  <c r="L231" i="17" s="1"/>
  <c r="I219" i="17" a="1"/>
  <c r="I219" i="17" s="1"/>
  <c r="I218" i="17" a="1"/>
  <c r="I218" i="17" s="1"/>
  <c r="K215" i="17" a="1"/>
  <c r="K215" i="17" s="1"/>
  <c r="L215" i="17" s="1" a="1"/>
  <c r="L215" i="17" s="1"/>
  <c r="J214" i="17" a="1"/>
  <c r="J214" i="17" s="1"/>
  <c r="K210" i="17" a="1"/>
  <c r="K210" i="17" s="1"/>
  <c r="L210" i="17" s="1" a="1"/>
  <c r="L210" i="17" s="1"/>
  <c r="I206" i="17" a="1"/>
  <c r="I206" i="17" s="1"/>
  <c r="I205" i="17" a="1"/>
  <c r="I205" i="17" s="1"/>
  <c r="J204" i="17" a="1"/>
  <c r="J204" i="17" s="1"/>
  <c r="J203" i="17" a="1"/>
  <c r="J203" i="17" s="1"/>
  <c r="K202" i="17" a="1"/>
  <c r="K202" i="17" s="1"/>
  <c r="L202" i="17" s="1" a="1"/>
  <c r="L202" i="17" s="1"/>
  <c r="I198" i="17" a="1"/>
  <c r="I198" i="17" s="1"/>
  <c r="I197" i="17" a="1"/>
  <c r="I197" i="17" s="1"/>
  <c r="J195" i="17" a="1"/>
  <c r="J195" i="17" s="1"/>
  <c r="K190" i="17" a="1"/>
  <c r="K190" i="17" s="1"/>
  <c r="L190" i="17" s="1" a="1"/>
  <c r="L190" i="17" s="1"/>
  <c r="I189" i="17" a="1"/>
  <c r="I189" i="17" s="1"/>
  <c r="J187" i="17" a="1"/>
  <c r="J187" i="17" s="1"/>
  <c r="K182" i="17" a="1"/>
  <c r="K182" i="17" s="1"/>
  <c r="L182" i="17" s="1" a="1"/>
  <c r="L182" i="17" s="1"/>
  <c r="K232" i="17" a="1"/>
  <c r="K232" i="17" s="1"/>
  <c r="L232" i="17" s="1" a="1"/>
  <c r="L232" i="17" s="1"/>
  <c r="I231" i="17" a="1"/>
  <c r="I231" i="17" s="1"/>
  <c r="I230" i="17" a="1"/>
  <c r="I230" i="17" s="1"/>
  <c r="I228" i="17" a="1"/>
  <c r="I228" i="17" s="1"/>
  <c r="I226" i="17" a="1"/>
  <c r="I226" i="17" s="1"/>
  <c r="I224" i="17" a="1"/>
  <c r="I224" i="17" s="1"/>
  <c r="K222" i="17" a="1"/>
  <c r="K222" i="17" s="1"/>
  <c r="L222" i="17" s="1" a="1"/>
  <c r="L222" i="17" s="1"/>
  <c r="I215" i="17" a="1"/>
  <c r="I215" i="17" s="1"/>
  <c r="I214" i="17" a="1"/>
  <c r="I214" i="17" s="1"/>
  <c r="K211" i="17" a="1"/>
  <c r="K211" i="17" s="1"/>
  <c r="L211" i="17" s="1" a="1"/>
  <c r="L211" i="17" s="1"/>
  <c r="J210" i="17" a="1"/>
  <c r="J210" i="17" s="1"/>
  <c r="J209" i="17" a="1"/>
  <c r="J209" i="17" s="1"/>
  <c r="K208" i="17" a="1"/>
  <c r="K208" i="17" s="1"/>
  <c r="L208" i="17" s="1" a="1"/>
  <c r="L208" i="17" s="1"/>
  <c r="I204" i="17" a="1"/>
  <c r="I204" i="17" s="1"/>
  <c r="I203" i="17" a="1"/>
  <c r="I203" i="17" s="1"/>
  <c r="J202" i="17" a="1"/>
  <c r="J202" i="17" s="1"/>
  <c r="J201" i="17" a="1"/>
  <c r="J201" i="17" s="1"/>
  <c r="K200" i="17" a="1"/>
  <c r="K200" i="17" s="1"/>
  <c r="L200" i="17" s="1" a="1"/>
  <c r="L200" i="17" s="1"/>
  <c r="K196" i="17" a="1"/>
  <c r="K196" i="17" s="1"/>
  <c r="L196" i="17" s="1" a="1"/>
  <c r="L196" i="17" s="1"/>
  <c r="I195" i="17" a="1"/>
  <c r="I195" i="17" s="1"/>
  <c r="J193" i="17" a="1"/>
  <c r="J193" i="17" s="1"/>
  <c r="I221" i="17" a="1"/>
  <c r="I221" i="17" s="1"/>
  <c r="I220" i="17" a="1"/>
  <c r="I220" i="17" s="1"/>
  <c r="K217" i="17" a="1"/>
  <c r="K217" i="17" s="1"/>
  <c r="L217" i="17" s="1" a="1"/>
  <c r="L217" i="17" s="1"/>
  <c r="J216" i="17" a="1"/>
  <c r="J216" i="17" s="1"/>
  <c r="K212" i="17" a="1"/>
  <c r="K212" i="17" s="1"/>
  <c r="L212" i="17" s="1" a="1"/>
  <c r="L212" i="17" s="1"/>
  <c r="K207" i="17" a="1"/>
  <c r="K207" i="17" s="1"/>
  <c r="L207" i="17" s="1" a="1"/>
  <c r="L207" i="17" s="1"/>
  <c r="K199" i="17" a="1"/>
  <c r="K199" i="17" s="1"/>
  <c r="L199" i="17" s="1" a="1"/>
  <c r="L199" i="17" s="1"/>
  <c r="J196" i="17" a="1"/>
  <c r="J196" i="17" s="1"/>
  <c r="J220" i="17" a="1"/>
  <c r="J220" i="17" s="1"/>
  <c r="I216" i="17" a="1"/>
  <c r="I216" i="17" s="1"/>
  <c r="K191" i="17" a="1"/>
  <c r="K191" i="17" s="1"/>
  <c r="L191" i="17" s="1" a="1"/>
  <c r="L191" i="17" s="1"/>
  <c r="J183" i="17" a="1"/>
  <c r="J183" i="17" s="1"/>
  <c r="K180" i="17" a="1"/>
  <c r="K180" i="17" s="1"/>
  <c r="L180" i="17" s="1" a="1"/>
  <c r="L180" i="17" s="1"/>
  <c r="I179" i="17" a="1"/>
  <c r="I179" i="17" s="1"/>
  <c r="J177" i="17" a="1"/>
  <c r="J177" i="17" s="1"/>
  <c r="K197" i="17" a="1"/>
  <c r="K197" i="17" s="1"/>
  <c r="L197" i="17" s="1" a="1"/>
  <c r="L197" i="17" s="1"/>
  <c r="I196" i="17" a="1"/>
  <c r="I196" i="17" s="1"/>
  <c r="I190" i="17" a="1"/>
  <c r="I190" i="17" s="1"/>
  <c r="J182" i="17" a="1"/>
  <c r="J182" i="17" s="1"/>
  <c r="J180" i="17" a="1"/>
  <c r="J180" i="17" s="1"/>
  <c r="K175" i="17" a="1"/>
  <c r="K175" i="17" s="1"/>
  <c r="L175" i="17" s="1" a="1"/>
  <c r="L175" i="17" s="1"/>
  <c r="I174" i="17" a="1"/>
  <c r="I174" i="17" s="1"/>
  <c r="J172" i="17" a="1"/>
  <c r="J172" i="17" s="1"/>
  <c r="I191" i="17" a="1"/>
  <c r="I191" i="17" s="1"/>
  <c r="K185" i="17" a="1"/>
  <c r="K185" i="17" s="1"/>
  <c r="L185" i="17" s="1" a="1"/>
  <c r="L185" i="17" s="1"/>
  <c r="I183" i="17" a="1"/>
  <c r="I183" i="17" s="1"/>
  <c r="K178" i="17" a="1"/>
  <c r="K178" i="17" s="1"/>
  <c r="L178" i="17" s="1" a="1"/>
  <c r="L178" i="17" s="1"/>
  <c r="I177" i="17" a="1"/>
  <c r="I177" i="17" s="1"/>
  <c r="J175" i="17" a="1"/>
  <c r="J175" i="17" s="1"/>
  <c r="K170" i="17" a="1"/>
  <c r="K170" i="17" s="1"/>
  <c r="L170" i="17" s="1" a="1"/>
  <c r="L170" i="17" s="1"/>
  <c r="J192" i="17" a="1"/>
  <c r="J192" i="17" s="1"/>
  <c r="J185" i="17" a="1"/>
  <c r="J185" i="17" s="1"/>
  <c r="I182" i="17" a="1"/>
  <c r="I182" i="17" s="1"/>
  <c r="K181" i="17" a="1"/>
  <c r="K181" i="17" s="1"/>
  <c r="L181" i="17" s="1" a="1"/>
  <c r="L181" i="17" s="1"/>
  <c r="I180" i="17" a="1"/>
  <c r="I180" i="17" s="1"/>
  <c r="J178" i="17" a="1"/>
  <c r="J178" i="17" s="1"/>
  <c r="K173" i="17" a="1"/>
  <c r="K173" i="17" s="1"/>
  <c r="L173" i="17" s="1" a="1"/>
  <c r="L173" i="17" s="1"/>
  <c r="K213" i="17" a="1"/>
  <c r="K213" i="17" s="1"/>
  <c r="L213" i="17" s="1" a="1"/>
  <c r="L213" i="17" s="1"/>
  <c r="K209" i="17" a="1"/>
  <c r="K209" i="17" s="1"/>
  <c r="L209" i="17" s="1" a="1"/>
  <c r="L209" i="17" s="1"/>
  <c r="K205" i="17" a="1"/>
  <c r="K205" i="17" s="1"/>
  <c r="L205" i="17" s="1" a="1"/>
  <c r="L205" i="17" s="1"/>
  <c r="K189" i="17" a="1"/>
  <c r="K189" i="17" s="1"/>
  <c r="L189" i="17" s="1" a="1"/>
  <c r="L189" i="17" s="1"/>
  <c r="K188" i="17" a="1"/>
  <c r="K188" i="17" s="1"/>
  <c r="L188" i="17" s="1" a="1"/>
  <c r="L188" i="17" s="1"/>
  <c r="K187" i="17" a="1"/>
  <c r="K187" i="17" s="1"/>
  <c r="L187" i="17" s="1" a="1"/>
  <c r="L187" i="17" s="1"/>
  <c r="I185" i="17" a="1"/>
  <c r="I185" i="17" s="1"/>
  <c r="K184" i="17" a="1"/>
  <c r="K184" i="17" s="1"/>
  <c r="L184" i="17" s="1" a="1"/>
  <c r="L184" i="17" s="1"/>
  <c r="K179" i="17" a="1"/>
  <c r="K179" i="17" s="1"/>
  <c r="L179" i="17" s="1" a="1"/>
  <c r="L179" i="17" s="1"/>
  <c r="I178" i="17" a="1"/>
  <c r="I178" i="17" s="1"/>
  <c r="J176" i="17" a="1"/>
  <c r="J176" i="17" s="1"/>
  <c r="K171" i="17" a="1"/>
  <c r="K171" i="17" s="1"/>
  <c r="L171" i="17" s="1" a="1"/>
  <c r="L171" i="17" s="1"/>
  <c r="I170" i="17" a="1"/>
  <c r="I170" i="17" s="1"/>
  <c r="J168" i="17" a="1"/>
  <c r="J168" i="17" s="1"/>
  <c r="K163" i="17" a="1"/>
  <c r="K163" i="17" s="1"/>
  <c r="L163" i="17" s="1" a="1"/>
  <c r="L163" i="17" s="1"/>
  <c r="I162" i="17" a="1"/>
  <c r="I162" i="17" s="1"/>
  <c r="J160" i="17" a="1"/>
  <c r="J160" i="17" s="1"/>
  <c r="K155" i="17" a="1"/>
  <c r="K155" i="17" s="1"/>
  <c r="L155" i="17" s="1" a="1"/>
  <c r="L155" i="17" s="1"/>
  <c r="K221" i="17" a="1"/>
  <c r="K221" i="17" s="1"/>
  <c r="L221" i="17" s="1" a="1"/>
  <c r="L221" i="17" s="1"/>
  <c r="I217" i="17" a="1"/>
  <c r="I217" i="17" s="1"/>
  <c r="K203" i="17" a="1"/>
  <c r="K203" i="17" s="1"/>
  <c r="L203" i="17" s="1" a="1"/>
  <c r="L203" i="17" s="1"/>
  <c r="K201" i="17" a="1"/>
  <c r="K201" i="17" s="1"/>
  <c r="L201" i="17" s="1" a="1"/>
  <c r="L201" i="17" s="1"/>
  <c r="J194" i="17" a="1"/>
  <c r="J194" i="17" s="1"/>
  <c r="J189" i="17" a="1"/>
  <c r="J189" i="17" s="1"/>
  <c r="J188" i="17" a="1"/>
  <c r="J188" i="17" s="1"/>
  <c r="I186" i="17" a="1"/>
  <c r="I186" i="17" s="1"/>
  <c r="C5" i="1" s="1"/>
  <c r="J184" i="17" a="1"/>
  <c r="J184" i="17" s="1"/>
  <c r="I181" i="17" a="1"/>
  <c r="I181" i="17" s="1"/>
  <c r="J179" i="17" a="1"/>
  <c r="J179" i="17" s="1"/>
  <c r="K174" i="17" a="1"/>
  <c r="K174" i="17" s="1"/>
  <c r="L174" i="17" s="1" a="1"/>
  <c r="L174" i="17" s="1"/>
  <c r="K216" i="17" a="1"/>
  <c r="K216" i="17" s="1"/>
  <c r="L216" i="17" s="1" a="1"/>
  <c r="L216" i="17" s="1"/>
  <c r="J212" i="17" a="1"/>
  <c r="J212" i="17" s="1"/>
  <c r="K195" i="17" a="1"/>
  <c r="K195" i="17" s="1"/>
  <c r="L195" i="17" s="1" a="1"/>
  <c r="L195" i="17" s="1"/>
  <c r="I194" i="17" a="1"/>
  <c r="I194" i="17" s="1"/>
  <c r="K193" i="17" a="1"/>
  <c r="K193" i="17" s="1"/>
  <c r="L193" i="17" s="1" a="1"/>
  <c r="L193" i="17" s="1"/>
  <c r="J190" i="17" a="1"/>
  <c r="J190" i="17" s="1"/>
  <c r="I188" i="17" a="1"/>
  <c r="I188" i="17" s="1"/>
  <c r="I187" i="17" a="1"/>
  <c r="I187" i="17" s="1"/>
  <c r="I184" i="17" a="1"/>
  <c r="I184" i="17" s="1"/>
  <c r="K183" i="17" a="1"/>
  <c r="K183" i="17" s="1"/>
  <c r="L183" i="17" s="1" a="1"/>
  <c r="L183" i="17" s="1"/>
  <c r="K177" i="17" a="1"/>
  <c r="K177" i="17" s="1"/>
  <c r="L177" i="17" s="1" a="1"/>
  <c r="L177" i="17" s="1"/>
  <c r="J181" i="17" a="1"/>
  <c r="J181" i="17" s="1"/>
  <c r="I172" i="17" a="1"/>
  <c r="I172" i="17" s="1"/>
  <c r="I168" i="17" a="1"/>
  <c r="I168" i="17" s="1"/>
  <c r="K167" i="17" a="1"/>
  <c r="K167" i="17" s="1"/>
  <c r="L167" i="17" s="1" a="1"/>
  <c r="L167" i="17" s="1"/>
  <c r="J163" i="17" a="1"/>
  <c r="J163" i="17" s="1"/>
  <c r="J156" i="17" a="1"/>
  <c r="J156" i="17" s="1"/>
  <c r="K153" i="17" a="1"/>
  <c r="K153" i="17" s="1"/>
  <c r="L153" i="17" s="1" a="1"/>
  <c r="L153" i="17" s="1"/>
  <c r="I152" i="17" a="1"/>
  <c r="I152" i="17" s="1"/>
  <c r="J150" i="17" a="1"/>
  <c r="J150" i="17" s="1"/>
  <c r="K145" i="17" a="1"/>
  <c r="K145" i="17" s="1"/>
  <c r="L145" i="17" s="1" a="1"/>
  <c r="L145" i="17" s="1"/>
  <c r="I175" i="17" a="1"/>
  <c r="I175" i="17" s="1"/>
  <c r="J167" i="17" a="1"/>
  <c r="J167" i="17" s="1"/>
  <c r="K166" i="17" a="1"/>
  <c r="K166" i="17" s="1"/>
  <c r="L166" i="17" s="1" a="1"/>
  <c r="L166" i="17" s="1"/>
  <c r="I164" i="17" a="1"/>
  <c r="I164" i="17" s="1"/>
  <c r="I160" i="17" a="1"/>
  <c r="I160" i="17" s="1"/>
  <c r="K159" i="17" a="1"/>
  <c r="K159" i="17" s="1"/>
  <c r="L159" i="17" s="1" a="1"/>
  <c r="L159" i="17" s="1"/>
  <c r="J155" i="17" a="1"/>
  <c r="J155" i="17" s="1"/>
  <c r="J153" i="17" a="1"/>
  <c r="J153" i="17" s="1"/>
  <c r="K148" i="17" a="1"/>
  <c r="K148" i="17" s="1"/>
  <c r="L148" i="17" s="1" a="1"/>
  <c r="L148" i="17" s="1"/>
  <c r="I147" i="17" a="1"/>
  <c r="I147" i="17" s="1"/>
  <c r="J145" i="17" a="1"/>
  <c r="J145" i="17" s="1"/>
  <c r="K140" i="17" a="1"/>
  <c r="K140" i="17" s="1"/>
  <c r="L140" i="17" s="1" a="1"/>
  <c r="L140" i="17" s="1"/>
  <c r="I139" i="17" a="1"/>
  <c r="I139" i="17" s="1"/>
  <c r="J137" i="17" a="1"/>
  <c r="J137" i="17" s="1"/>
  <c r="K132" i="17" a="1"/>
  <c r="K132" i="17" s="1"/>
  <c r="L132" i="17" s="1" a="1"/>
  <c r="L132" i="17" s="1"/>
  <c r="J166" i="17" a="1"/>
  <c r="J166" i="17" s="1"/>
  <c r="I163" i="17" a="1"/>
  <c r="I163" i="17" s="1"/>
  <c r="K162" i="17" a="1"/>
  <c r="K162" i="17" s="1"/>
  <c r="L162" i="17" s="1" a="1"/>
  <c r="L162" i="17" s="1"/>
  <c r="J159" i="17" a="1"/>
  <c r="J159" i="17" s="1"/>
  <c r="K158" i="17" a="1"/>
  <c r="K158" i="17" s="1"/>
  <c r="L158" i="17" s="1" a="1"/>
  <c r="L158" i="17" s="1"/>
  <c r="I156" i="17" a="1"/>
  <c r="I156" i="17" s="1"/>
  <c r="K151" i="17" a="1"/>
  <c r="K151" i="17" s="1"/>
  <c r="L151" i="17" s="1" a="1"/>
  <c r="L151" i="17" s="1"/>
  <c r="I150" i="17" a="1"/>
  <c r="I150" i="17" s="1"/>
  <c r="J148" i="17" a="1"/>
  <c r="J148" i="17" s="1"/>
  <c r="K143" i="17" a="1"/>
  <c r="K143" i="17" s="1"/>
  <c r="L143" i="17" s="1" a="1"/>
  <c r="L143" i="17" s="1"/>
  <c r="J171" i="17" a="1"/>
  <c r="J171" i="17" s="1"/>
  <c r="K169" i="17" a="1"/>
  <c r="K169" i="17" s="1"/>
  <c r="L169" i="17" s="1" a="1"/>
  <c r="L169" i="17" s="1"/>
  <c r="I167" i="17" a="1"/>
  <c r="I167" i="17" s="1"/>
  <c r="J162" i="17" a="1"/>
  <c r="J162" i="17" s="1"/>
  <c r="J158" i="17" a="1"/>
  <c r="J158" i="17" s="1"/>
  <c r="I155" i="17" a="1"/>
  <c r="I155" i="17" s="1"/>
  <c r="K154" i="17" a="1"/>
  <c r="K154" i="17" s="1"/>
  <c r="L154" i="17" s="1" a="1"/>
  <c r="L154" i="17" s="1"/>
  <c r="I153" i="17" a="1"/>
  <c r="I153" i="17" s="1"/>
  <c r="J151" i="17" a="1"/>
  <c r="J151" i="17" s="1"/>
  <c r="K146" i="17" a="1"/>
  <c r="K146" i="17" s="1"/>
  <c r="L146" i="17" s="1" a="1"/>
  <c r="L146" i="17" s="1"/>
  <c r="I145" i="17" a="1"/>
  <c r="I145" i="17" s="1"/>
  <c r="J143" i="17" a="1"/>
  <c r="J143" i="17" s="1"/>
  <c r="J173" i="17" a="1"/>
  <c r="J173" i="17" s="1"/>
  <c r="J169" i="17" a="1"/>
  <c r="J169" i="17" s="1"/>
  <c r="I166" i="17" a="1"/>
  <c r="I166" i="17" s="1"/>
  <c r="K165" i="17" a="1"/>
  <c r="K165" i="17" s="1"/>
  <c r="L165" i="17" s="1" a="1"/>
  <c r="L165" i="17" s="1"/>
  <c r="K161" i="17" a="1"/>
  <c r="K161" i="17" s="1"/>
  <c r="L161" i="17" s="1" a="1"/>
  <c r="L161" i="17" s="1"/>
  <c r="I159" i="17" a="1"/>
  <c r="I159" i="17" s="1"/>
  <c r="J154" i="17" a="1"/>
  <c r="J154" i="17" s="1"/>
  <c r="K149" i="17" a="1"/>
  <c r="K149" i="17" s="1"/>
  <c r="L149" i="17" s="1" a="1"/>
  <c r="L149" i="17" s="1"/>
  <c r="I148" i="17" a="1"/>
  <c r="I148" i="17" s="1"/>
  <c r="J146" i="17" a="1"/>
  <c r="J146" i="17" s="1"/>
  <c r="K141" i="17" a="1"/>
  <c r="K141" i="17" s="1"/>
  <c r="L141" i="17" s="1" a="1"/>
  <c r="L141" i="17" s="1"/>
  <c r="K176" i="17" a="1"/>
  <c r="K176" i="17" s="1"/>
  <c r="L176" i="17" s="1" a="1"/>
  <c r="L176" i="17" s="1"/>
  <c r="I173" i="17" a="1"/>
  <c r="I173" i="17" s="1"/>
  <c r="I171" i="17" a="1"/>
  <c r="I171" i="17" s="1"/>
  <c r="J165" i="17" a="1"/>
  <c r="J165" i="17" s="1"/>
  <c r="J161" i="17" a="1"/>
  <c r="J161" i="17" s="1"/>
  <c r="I158" i="17" a="1"/>
  <c r="I158" i="17" s="1"/>
  <c r="K157" i="17" a="1"/>
  <c r="K157" i="17" s="1"/>
  <c r="L157" i="17" s="1" a="1"/>
  <c r="L157" i="17" s="1"/>
  <c r="K152" i="17" a="1"/>
  <c r="K152" i="17" s="1"/>
  <c r="L152" i="17" s="1" a="1"/>
  <c r="L152" i="17" s="1"/>
  <c r="I151" i="17" a="1"/>
  <c r="I151" i="17" s="1"/>
  <c r="J149" i="17" a="1"/>
  <c r="J149" i="17" s="1"/>
  <c r="K144" i="17" a="1"/>
  <c r="K144" i="17" s="1"/>
  <c r="L144" i="17" s="1" a="1"/>
  <c r="L144" i="17" s="1"/>
  <c r="J186" i="17" a="1"/>
  <c r="J186" i="17" s="1"/>
  <c r="I176" i="17" a="1"/>
  <c r="I176" i="17" s="1"/>
  <c r="J174" i="17" a="1"/>
  <c r="J174" i="17" s="1"/>
  <c r="J170" i="17" a="1"/>
  <c r="J170" i="17" s="1"/>
  <c r="I169" i="17" a="1"/>
  <c r="I169" i="17" s="1"/>
  <c r="K168" i="17" a="1"/>
  <c r="K168" i="17" s="1"/>
  <c r="L168" i="17" s="1" a="1"/>
  <c r="L168" i="17" s="1"/>
  <c r="I165" i="17" a="1"/>
  <c r="I165" i="17" s="1"/>
  <c r="K164" i="17" a="1"/>
  <c r="K164" i="17" s="1"/>
  <c r="L164" i="17" s="1" a="1"/>
  <c r="L164" i="17" s="1"/>
  <c r="J157" i="17" a="1"/>
  <c r="J157" i="17" s="1"/>
  <c r="I154" i="17" a="1"/>
  <c r="I154" i="17" s="1"/>
  <c r="J152" i="17" a="1"/>
  <c r="J152" i="17" s="1"/>
  <c r="K147" i="17" a="1"/>
  <c r="K147" i="17" s="1"/>
  <c r="L147" i="17" s="1" a="1"/>
  <c r="L147" i="17" s="1"/>
  <c r="I146" i="17" a="1"/>
  <c r="I146" i="17" s="1"/>
  <c r="J144" i="17" a="1"/>
  <c r="J144" i="17" s="1"/>
  <c r="K139" i="17" a="1"/>
  <c r="K139" i="17" s="1"/>
  <c r="L139" i="17" s="1" a="1"/>
  <c r="L139" i="17" s="1"/>
  <c r="I192" i="17" a="1"/>
  <c r="I192" i="17" s="1"/>
  <c r="K172" i="17" a="1"/>
  <c r="K172" i="17" s="1"/>
  <c r="L172" i="17" s="1" a="1"/>
  <c r="L172" i="17" s="1"/>
  <c r="J164" i="17" a="1"/>
  <c r="J164" i="17" s="1"/>
  <c r="I161" i="17" a="1"/>
  <c r="I161" i="17" s="1"/>
  <c r="K160" i="17" a="1"/>
  <c r="K160" i="17" s="1"/>
  <c r="L160" i="17" s="1" a="1"/>
  <c r="L160" i="17" s="1"/>
  <c r="I157" i="17" a="1"/>
  <c r="I157" i="17" s="1"/>
  <c r="K156" i="17" a="1"/>
  <c r="K156" i="17" s="1"/>
  <c r="L156" i="17" s="1" a="1"/>
  <c r="L156" i="17" s="1"/>
  <c r="K150" i="17" a="1"/>
  <c r="K150" i="17" s="1"/>
  <c r="L150" i="17" s="1" a="1"/>
  <c r="L150" i="17" s="1"/>
  <c r="I149" i="17" a="1"/>
  <c r="I149" i="17" s="1"/>
  <c r="J147" i="17" a="1"/>
  <c r="J147" i="17" s="1"/>
  <c r="K142" i="17" a="1"/>
  <c r="K142" i="17" s="1"/>
  <c r="L142" i="17" s="1" a="1"/>
  <c r="L142" i="17" s="1"/>
  <c r="J139" i="17" a="1"/>
  <c r="J139" i="17" s="1"/>
  <c r="J138" i="17" a="1"/>
  <c r="J138" i="17" s="1"/>
  <c r="I135" i="17" a="1"/>
  <c r="I135" i="17" s="1"/>
  <c r="K134" i="17" a="1"/>
  <c r="K134" i="17" s="1"/>
  <c r="L134" i="17" s="1" a="1"/>
  <c r="L134" i="17" s="1"/>
  <c r="K129" i="17" a="1"/>
  <c r="K129" i="17" s="1"/>
  <c r="L129" i="17" s="1" a="1"/>
  <c r="L129" i="17" s="1"/>
  <c r="I144" i="17" a="1"/>
  <c r="I144" i="17" s="1"/>
  <c r="J140" i="17" a="1"/>
  <c r="J140" i="17" s="1"/>
  <c r="I143" i="17" a="1"/>
  <c r="I143" i="17" s="1"/>
  <c r="I138" i="17" a="1"/>
  <c r="I138" i="17" s="1"/>
  <c r="K137" i="17" a="1"/>
  <c r="K137" i="17" s="1"/>
  <c r="L137" i="17" s="1" a="1"/>
  <c r="L137" i="17" s="1"/>
  <c r="I134" i="17" a="1"/>
  <c r="I134" i="17" s="1"/>
  <c r="K133" i="17" a="1"/>
  <c r="K133" i="17" s="1"/>
  <c r="L133" i="17" s="1" a="1"/>
  <c r="L133" i="17" s="1"/>
  <c r="K127" i="17" a="1"/>
  <c r="K127" i="17" s="1"/>
  <c r="L127" i="17" s="1" a="1"/>
  <c r="L127" i="17" s="1"/>
  <c r="I126" i="17" a="1"/>
  <c r="I126" i="17" s="1"/>
  <c r="J124" i="17" a="1"/>
  <c r="J124" i="17" s="1"/>
  <c r="I140" i="17" a="1"/>
  <c r="I140" i="17" s="1"/>
  <c r="J133" i="17" a="1"/>
  <c r="J133" i="17" s="1"/>
  <c r="K130" i="17" a="1"/>
  <c r="K130" i="17" s="1"/>
  <c r="L130" i="17" s="1" a="1"/>
  <c r="L130" i="17" s="1"/>
  <c r="I137" i="17" a="1"/>
  <c r="I137" i="17" s="1"/>
  <c r="K136" i="17" a="1"/>
  <c r="K136" i="17" s="1"/>
  <c r="L136" i="17" s="1" a="1"/>
  <c r="L136" i="17" s="1"/>
  <c r="J132" i="17" a="1"/>
  <c r="J132" i="17" s="1"/>
  <c r="J130" i="17" a="1"/>
  <c r="J130" i="17" s="1"/>
  <c r="K125" i="17" a="1"/>
  <c r="K125" i="17" s="1"/>
  <c r="L125" i="17" s="1" a="1"/>
  <c r="L125" i="17" s="1"/>
  <c r="I124" i="17" a="1"/>
  <c r="I124" i="17" s="1"/>
  <c r="J122" i="17" a="1"/>
  <c r="J122" i="17" s="1"/>
  <c r="J142" i="17" a="1"/>
  <c r="J142" i="17" s="1"/>
  <c r="J141" i="17" a="1"/>
  <c r="J141" i="17" s="1"/>
  <c r="J136" i="17" a="1"/>
  <c r="J136" i="17" s="1"/>
  <c r="K135" i="17" a="1"/>
  <c r="K135" i="17" s="1"/>
  <c r="L135" i="17" s="1" a="1"/>
  <c r="L135" i="17" s="1"/>
  <c r="I133" i="17" a="1"/>
  <c r="I133" i="17" s="1"/>
  <c r="K128" i="17" a="1"/>
  <c r="K128" i="17" s="1"/>
  <c r="L128" i="17" s="1" a="1"/>
  <c r="L128" i="17" s="1"/>
  <c r="I142" i="17" a="1"/>
  <c r="I142" i="17" s="1"/>
  <c r="I141" i="17" a="1"/>
  <c r="I141" i="17" s="1"/>
  <c r="J135" i="17" a="1"/>
  <c r="J135" i="17" s="1"/>
  <c r="I132" i="17" a="1"/>
  <c r="I132" i="17" s="1"/>
  <c r="K131" i="17" a="1"/>
  <c r="K131" i="17" s="1"/>
  <c r="L131" i="17" s="1" a="1"/>
  <c r="L131" i="17" s="1"/>
  <c r="K138" i="17" a="1"/>
  <c r="K138" i="17" s="1"/>
  <c r="L138" i="17" s="1" a="1"/>
  <c r="L138" i="17" s="1"/>
  <c r="I136" i="17" a="1"/>
  <c r="I136" i="17" s="1"/>
  <c r="J134" i="17" a="1"/>
  <c r="J134" i="17" s="1"/>
  <c r="I130" i="17" a="1"/>
  <c r="I130" i="17" s="1"/>
  <c r="I129" i="17" a="1"/>
  <c r="I129" i="17" s="1"/>
  <c r="K122" i="17" a="1"/>
  <c r="K122" i="17" s="1"/>
  <c r="L122" i="17" s="1" a="1"/>
  <c r="L122" i="17" s="1"/>
  <c r="K121" i="17" a="1"/>
  <c r="K121" i="17" s="1"/>
  <c r="L121" i="17" s="1" a="1"/>
  <c r="L121" i="17" s="1"/>
  <c r="J120" i="17" a="1"/>
  <c r="J120" i="17" s="1"/>
  <c r="K118" i="17" a="1"/>
  <c r="K118" i="17" s="1"/>
  <c r="L118" i="17" s="1" a="1"/>
  <c r="L118" i="17" s="1"/>
  <c r="I114" i="17" a="1"/>
  <c r="I114" i="17" s="1"/>
  <c r="J112" i="17" a="1"/>
  <c r="J112" i="17" s="1"/>
  <c r="K110" i="17" a="1"/>
  <c r="K110" i="17" s="1"/>
  <c r="L110" i="17" s="1" a="1"/>
  <c r="L110" i="17" s="1"/>
  <c r="I106" i="17" a="1"/>
  <c r="I106" i="17" s="1"/>
  <c r="J104" i="17" a="1"/>
  <c r="J104" i="17" s="1"/>
  <c r="K102" i="17" a="1"/>
  <c r="K102" i="17" s="1"/>
  <c r="L102" i="17" s="1" a="1"/>
  <c r="L102" i="17" s="1"/>
  <c r="I98" i="17" a="1"/>
  <c r="I98" i="17" s="1"/>
  <c r="J96" i="17" a="1"/>
  <c r="J96" i="17" s="1"/>
  <c r="K94" i="17" a="1"/>
  <c r="K94" i="17" s="1"/>
  <c r="L94" i="17" s="1" a="1"/>
  <c r="L94" i="17" s="1"/>
  <c r="K92" i="17" a="1"/>
  <c r="K92" i="17" s="1"/>
  <c r="L92" i="17" s="1" a="1"/>
  <c r="L92" i="17" s="1"/>
  <c r="I88" i="17" a="1"/>
  <c r="I88" i="17" s="1"/>
  <c r="J86" i="17" a="1"/>
  <c r="J86" i="17" s="1"/>
  <c r="I128" i="17" a="1"/>
  <c r="I128" i="17" s="1"/>
  <c r="K123" i="17" a="1"/>
  <c r="K123" i="17" s="1"/>
  <c r="L123" i="17" s="1" a="1"/>
  <c r="L123" i="17" s="1"/>
  <c r="J121" i="17" a="1"/>
  <c r="J121" i="17" s="1"/>
  <c r="J119" i="17" a="1"/>
  <c r="J119" i="17" s="1"/>
  <c r="K117" i="17" a="1"/>
  <c r="K117" i="17" s="1"/>
  <c r="L117" i="17" s="1" a="1"/>
  <c r="L117" i="17" s="1"/>
  <c r="I113" i="17" a="1"/>
  <c r="I113" i="17" s="1"/>
  <c r="J111" i="17" a="1"/>
  <c r="J111" i="17" s="1"/>
  <c r="K109" i="17" a="1"/>
  <c r="K109" i="17" s="1"/>
  <c r="L109" i="17" s="1" a="1"/>
  <c r="L109" i="17" s="1"/>
  <c r="I105" i="17" a="1"/>
  <c r="I105" i="17" s="1"/>
  <c r="J103" i="17" a="1"/>
  <c r="J103" i="17" s="1"/>
  <c r="K101" i="17" a="1"/>
  <c r="K101" i="17" s="1"/>
  <c r="L101" i="17" s="1" a="1"/>
  <c r="L101" i="17" s="1"/>
  <c r="I97" i="17" a="1"/>
  <c r="I97" i="17" s="1"/>
  <c r="J95" i="17" a="1"/>
  <c r="J95" i="17" s="1"/>
  <c r="I91" i="17" a="1"/>
  <c r="I91" i="17" s="1"/>
  <c r="J89" i="17" a="1"/>
  <c r="J89" i="17" s="1"/>
  <c r="K87" i="17" a="1"/>
  <c r="K87" i="17" s="1"/>
  <c r="L87" i="17" s="1" a="1"/>
  <c r="L87" i="17" s="1"/>
  <c r="J125" i="17" a="1"/>
  <c r="J125" i="17" s="1"/>
  <c r="K124" i="17" a="1"/>
  <c r="K124" i="17" s="1"/>
  <c r="L124" i="17" s="1" a="1"/>
  <c r="L124" i="17" s="1"/>
  <c r="J123" i="17" a="1"/>
  <c r="J123" i="17" s="1"/>
  <c r="I122" i="17" a="1"/>
  <c r="I122" i="17" s="1"/>
  <c r="I121" i="17" a="1"/>
  <c r="I121" i="17" s="1"/>
  <c r="I120" i="17" a="1"/>
  <c r="I120" i="17" s="1"/>
  <c r="J118" i="17" a="1"/>
  <c r="J118" i="17" s="1"/>
  <c r="K116" i="17" a="1"/>
  <c r="K116" i="17" s="1"/>
  <c r="L116" i="17" s="1" a="1"/>
  <c r="L116" i="17" s="1"/>
  <c r="I112" i="17" a="1"/>
  <c r="I112" i="17" s="1"/>
  <c r="J110" i="17" a="1"/>
  <c r="J110" i="17" s="1"/>
  <c r="K108" i="17" a="1"/>
  <c r="K108" i="17" s="1"/>
  <c r="L108" i="17" s="1" a="1"/>
  <c r="L108" i="17" s="1"/>
  <c r="I104" i="17" a="1"/>
  <c r="I104" i="17" s="1"/>
  <c r="J102" i="17" a="1"/>
  <c r="J102" i="17" s="1"/>
  <c r="K100" i="17" a="1"/>
  <c r="K100" i="17" s="1"/>
  <c r="L100" i="17" s="1" a="1"/>
  <c r="L100" i="17" s="1"/>
  <c r="I96" i="17" a="1"/>
  <c r="I96" i="17" s="1"/>
  <c r="J94" i="17" a="1"/>
  <c r="J94" i="17" s="1"/>
  <c r="J92" i="17" a="1"/>
  <c r="J92" i="17" s="1"/>
  <c r="K90" i="17" a="1"/>
  <c r="K90" i="17" s="1"/>
  <c r="L90" i="17" s="1" a="1"/>
  <c r="L90" i="17" s="1"/>
  <c r="I86" i="17" a="1"/>
  <c r="I86" i="17" s="1"/>
  <c r="J84" i="17" a="1"/>
  <c r="J84" i="17" s="1"/>
  <c r="K126" i="17" a="1"/>
  <c r="K126" i="17" s="1"/>
  <c r="L126" i="17" s="1" a="1"/>
  <c r="L126" i="17" s="1"/>
  <c r="I119" i="17" a="1"/>
  <c r="I119" i="17" s="1"/>
  <c r="J117" i="17" a="1"/>
  <c r="J117" i="17" s="1"/>
  <c r="K115" i="17" a="1"/>
  <c r="K115" i="17" s="1"/>
  <c r="L115" i="17" s="1" a="1"/>
  <c r="L115" i="17" s="1"/>
  <c r="I111" i="17" a="1"/>
  <c r="I111" i="17" s="1"/>
  <c r="J109" i="17" a="1"/>
  <c r="J109" i="17" s="1"/>
  <c r="K107" i="17" a="1"/>
  <c r="K107" i="17" s="1"/>
  <c r="L107" i="17" s="1" a="1"/>
  <c r="L107" i="17" s="1"/>
  <c r="I103" i="17" a="1"/>
  <c r="I103" i="17" s="1"/>
  <c r="J101" i="17" a="1"/>
  <c r="J101" i="17" s="1"/>
  <c r="K99" i="17" a="1"/>
  <c r="K99" i="17" s="1"/>
  <c r="L99" i="17" s="1" a="1"/>
  <c r="L99" i="17" s="1"/>
  <c r="I95" i="17" a="1"/>
  <c r="I95" i="17" s="1"/>
  <c r="K93" i="17" a="1"/>
  <c r="K93" i="17" s="1"/>
  <c r="L93" i="17" s="1" a="1"/>
  <c r="L93" i="17" s="1"/>
  <c r="J131" i="17" a="1"/>
  <c r="J131" i="17" s="1"/>
  <c r="J127" i="17" a="1"/>
  <c r="J127" i="17" s="1"/>
  <c r="J126" i="17" a="1"/>
  <c r="J126" i="17" s="1"/>
  <c r="I125" i="17" a="1"/>
  <c r="I125" i="17" s="1"/>
  <c r="I123" i="17" a="1"/>
  <c r="I123" i="17" s="1"/>
  <c r="I118" i="17" a="1"/>
  <c r="I118" i="17" s="1"/>
  <c r="J116" i="17" a="1"/>
  <c r="J116" i="17" s="1"/>
  <c r="K114" i="17" a="1"/>
  <c r="K114" i="17" s="1"/>
  <c r="L114" i="17" s="1" a="1"/>
  <c r="L114" i="17" s="1"/>
  <c r="I110" i="17" a="1"/>
  <c r="I110" i="17" s="1"/>
  <c r="J108" i="17" a="1"/>
  <c r="J108" i="17" s="1"/>
  <c r="K106" i="17" a="1"/>
  <c r="K106" i="17" s="1"/>
  <c r="L106" i="17" s="1" a="1"/>
  <c r="L106" i="17" s="1"/>
  <c r="I131" i="17" a="1"/>
  <c r="I131" i="17" s="1"/>
  <c r="I127" i="17" a="1"/>
  <c r="I127" i="17" s="1"/>
  <c r="I117" i="17" a="1"/>
  <c r="I117" i="17" s="1"/>
  <c r="J115" i="17" a="1"/>
  <c r="J115" i="17" s="1"/>
  <c r="K113" i="17" a="1"/>
  <c r="K113" i="17" s="1"/>
  <c r="L113" i="17" s="1" a="1"/>
  <c r="L113" i="17" s="1"/>
  <c r="I109" i="17" a="1"/>
  <c r="I109" i="17" s="1"/>
  <c r="J107" i="17" a="1"/>
  <c r="J107" i="17" s="1"/>
  <c r="K105" i="17" a="1"/>
  <c r="K105" i="17" s="1"/>
  <c r="L105" i="17" s="1" a="1"/>
  <c r="L105" i="17" s="1"/>
  <c r="I101" i="17" a="1"/>
  <c r="I101" i="17" s="1"/>
  <c r="J99" i="17" a="1"/>
  <c r="J99" i="17" s="1"/>
  <c r="K97" i="17" a="1"/>
  <c r="K97" i="17" s="1"/>
  <c r="L97" i="17" s="1" a="1"/>
  <c r="L97" i="17" s="1"/>
  <c r="J93" i="17" a="1"/>
  <c r="J93" i="17" s="1"/>
  <c r="K91" i="17" a="1"/>
  <c r="K91" i="17" s="1"/>
  <c r="L91" i="17" s="1" a="1"/>
  <c r="L91" i="17" s="1"/>
  <c r="K120" i="17" a="1"/>
  <c r="K120" i="17" s="1"/>
  <c r="L120" i="17" s="1" a="1"/>
  <c r="L120" i="17" s="1"/>
  <c r="I116" i="17" a="1"/>
  <c r="I116" i="17" s="1"/>
  <c r="J114" i="17" a="1"/>
  <c r="J114" i="17" s="1"/>
  <c r="K112" i="17" a="1"/>
  <c r="K112" i="17" s="1"/>
  <c r="L112" i="17" s="1" a="1"/>
  <c r="L112" i="17" s="1"/>
  <c r="I108" i="17" a="1"/>
  <c r="I108" i="17" s="1"/>
  <c r="J106" i="17" a="1"/>
  <c r="J106" i="17" s="1"/>
  <c r="K104" i="17" a="1"/>
  <c r="K104" i="17" s="1"/>
  <c r="L104" i="17" s="1" a="1"/>
  <c r="L104" i="17" s="1"/>
  <c r="J129" i="17" a="1"/>
  <c r="J129" i="17" s="1"/>
  <c r="J128" i="17" a="1"/>
  <c r="J128" i="17" s="1"/>
  <c r="K119" i="17" a="1"/>
  <c r="K119" i="17" s="1"/>
  <c r="L119" i="17" s="1" a="1"/>
  <c r="L119" i="17" s="1"/>
  <c r="I115" i="17" a="1"/>
  <c r="I115" i="17" s="1"/>
  <c r="J113" i="17" a="1"/>
  <c r="J113" i="17" s="1"/>
  <c r="K111" i="17" a="1"/>
  <c r="K111" i="17" s="1"/>
  <c r="L111" i="17" s="1" a="1"/>
  <c r="L111" i="17" s="1"/>
  <c r="I107" i="17" a="1"/>
  <c r="I107" i="17" s="1"/>
  <c r="J105" i="17" a="1"/>
  <c r="J105" i="17" s="1"/>
  <c r="K103" i="17" a="1"/>
  <c r="K103" i="17" s="1"/>
  <c r="L103" i="17" s="1" a="1"/>
  <c r="L103" i="17" s="1"/>
  <c r="I99" i="17" a="1"/>
  <c r="I99" i="17" s="1"/>
  <c r="J97" i="17" a="1"/>
  <c r="J97" i="17" s="1"/>
  <c r="K95" i="17" a="1"/>
  <c r="K95" i="17" s="1"/>
  <c r="L95" i="17" s="1" a="1"/>
  <c r="L95" i="17" s="1"/>
  <c r="I93" i="17" a="1"/>
  <c r="I93" i="17" s="1"/>
  <c r="J91" i="17" a="1"/>
  <c r="J91" i="17" s="1"/>
  <c r="K89" i="17" a="1"/>
  <c r="K89" i="17" s="1"/>
  <c r="L89" i="17" s="1" a="1"/>
  <c r="L89" i="17" s="1"/>
  <c r="J100" i="17" a="1"/>
  <c r="J100" i="17" s="1"/>
  <c r="I90" i="17" a="1"/>
  <c r="I90" i="17" s="1"/>
  <c r="K88" i="17" a="1"/>
  <c r="K88" i="17" s="1"/>
  <c r="L88" i="17" s="1" a="1"/>
  <c r="L88" i="17" s="1"/>
  <c r="I87" i="17" a="1"/>
  <c r="I87" i="17" s="1"/>
  <c r="K86" i="17" a="1"/>
  <c r="K86" i="17" s="1"/>
  <c r="L86" i="17" s="1" a="1"/>
  <c r="L86" i="17" s="1"/>
  <c r="I100" i="17" a="1"/>
  <c r="I100" i="17" s="1"/>
  <c r="I92" i="17" a="1"/>
  <c r="I92" i="17" s="1"/>
  <c r="J88" i="17" a="1"/>
  <c r="J88" i="17" s="1"/>
  <c r="I89" i="17" a="1"/>
  <c r="I89" i="17" s="1"/>
  <c r="K83" i="17" a="1"/>
  <c r="K83" i="17" s="1"/>
  <c r="L83" i="17" s="1" a="1"/>
  <c r="L83" i="17" s="1"/>
  <c r="K98" i="17" a="1"/>
  <c r="K98" i="17" s="1"/>
  <c r="L98" i="17" s="1" a="1"/>
  <c r="L98" i="17" s="1"/>
  <c r="K85" i="17" a="1"/>
  <c r="K85" i="17" s="1"/>
  <c r="L85" i="17" s="1" a="1"/>
  <c r="L85" i="17" s="1"/>
  <c r="K84" i="17" a="1"/>
  <c r="K84" i="17" s="1"/>
  <c r="L84" i="17" s="1" a="1"/>
  <c r="L84" i="17" s="1"/>
  <c r="J81" i="17" a="1"/>
  <c r="J81" i="17" s="1"/>
  <c r="J79" i="17" a="1"/>
  <c r="J79" i="17" s="1"/>
  <c r="J77" i="17" a="1"/>
  <c r="J77" i="17" s="1"/>
  <c r="J98" i="17" a="1"/>
  <c r="J98" i="17" s="1"/>
  <c r="I94" i="17" a="1"/>
  <c r="I94" i="17" s="1"/>
  <c r="J83" i="17" a="1"/>
  <c r="J83" i="17" s="1"/>
  <c r="I102" i="17" a="1"/>
  <c r="I102" i="17" s="1"/>
  <c r="J85" i="17" a="1"/>
  <c r="J85" i="17" s="1"/>
  <c r="I84" i="17" a="1"/>
  <c r="I84" i="17" s="1"/>
  <c r="K82" i="17" a="1"/>
  <c r="K82" i="17" s="1"/>
  <c r="L82" i="17" s="1" a="1"/>
  <c r="L82" i="17" s="1"/>
  <c r="K96" i="17" a="1"/>
  <c r="K96" i="17" s="1"/>
  <c r="L96" i="17" s="1" a="1"/>
  <c r="L96" i="17" s="1"/>
  <c r="I76" i="17" a="1"/>
  <c r="I76" i="17" s="1"/>
  <c r="K75" i="17" a="1"/>
  <c r="K75" i="17" s="1"/>
  <c r="L75" i="17" s="1" a="1"/>
  <c r="L75" i="17" s="1"/>
  <c r="I73" i="17" a="1"/>
  <c r="I73" i="17" s="1"/>
  <c r="I68" i="17" a="1"/>
  <c r="I68" i="17" s="1"/>
  <c r="K67" i="17" a="1"/>
  <c r="K67" i="17" s="1"/>
  <c r="L67" i="17" s="1" a="1"/>
  <c r="L67" i="17" s="1"/>
  <c r="I65" i="17" a="1"/>
  <c r="I65" i="17" s="1"/>
  <c r="I60" i="17" a="1"/>
  <c r="I60" i="17" s="1"/>
  <c r="K59" i="17" a="1"/>
  <c r="K59" i="17" s="1"/>
  <c r="L59" i="17" s="1" a="1"/>
  <c r="L59" i="17" s="1"/>
  <c r="I57" i="17" a="1"/>
  <c r="I57" i="17" s="1"/>
  <c r="I52" i="17" a="1"/>
  <c r="I52" i="17" s="1"/>
  <c r="K51" i="17" a="1"/>
  <c r="K51" i="17" s="1"/>
  <c r="L51" i="17" s="1" a="1"/>
  <c r="L51" i="17" s="1"/>
  <c r="I49" i="17" a="1"/>
  <c r="I49" i="17" s="1"/>
  <c r="I44" i="17" a="1"/>
  <c r="I44" i="17" s="1"/>
  <c r="K43" i="17" a="1"/>
  <c r="K43" i="17" s="1"/>
  <c r="L43" i="17" s="1" a="1"/>
  <c r="L43" i="17" s="1"/>
  <c r="I41" i="17" a="1"/>
  <c r="I41" i="17" s="1"/>
  <c r="I36" i="17" a="1"/>
  <c r="I36" i="17" s="1"/>
  <c r="K35" i="17" a="1"/>
  <c r="K35" i="17" s="1"/>
  <c r="L35" i="17" s="1" a="1"/>
  <c r="L35" i="17" s="1"/>
  <c r="I33" i="17" a="1"/>
  <c r="I33" i="17" s="1"/>
  <c r="J31" i="17" a="1"/>
  <c r="J31" i="17" s="1"/>
  <c r="J27" i="17" a="1"/>
  <c r="J27" i="17" s="1"/>
  <c r="K23" i="17" a="1"/>
  <c r="K23" i="17" s="1"/>
  <c r="L23" i="17" s="1" a="1"/>
  <c r="L23" i="17" s="1"/>
  <c r="I22" i="17" a="1"/>
  <c r="I22" i="17" s="1"/>
  <c r="J20" i="17" a="1"/>
  <c r="J20" i="17" s="1"/>
  <c r="K15" i="17" a="1"/>
  <c r="K15" i="17" s="1"/>
  <c r="L15" i="17" s="1" a="1"/>
  <c r="L15" i="17" s="1"/>
  <c r="J75" i="17" a="1"/>
  <c r="J75" i="17" s="1"/>
  <c r="K72" i="17" a="1"/>
  <c r="K72" i="17" s="1"/>
  <c r="L72" i="17" s="1" a="1"/>
  <c r="L72" i="17" s="1"/>
  <c r="J87" i="17" a="1"/>
  <c r="J87" i="17" s="1"/>
  <c r="I83" i="17" a="1"/>
  <c r="I83" i="17" s="1"/>
  <c r="I75" i="17" a="1"/>
  <c r="I75" i="17" s="1"/>
  <c r="I70" i="17" a="1"/>
  <c r="I70" i="17" s="1"/>
  <c r="K69" i="17" a="1"/>
  <c r="K69" i="17" s="1"/>
  <c r="L69" i="17" s="1" a="1"/>
  <c r="L69" i="17" s="1"/>
  <c r="I67" i="17" a="1"/>
  <c r="I67" i="17" s="1"/>
  <c r="I62" i="17" a="1"/>
  <c r="I62" i="17" s="1"/>
  <c r="K61" i="17" a="1"/>
  <c r="K61" i="17" s="1"/>
  <c r="L61" i="17" s="1" a="1"/>
  <c r="L61" i="17" s="1"/>
  <c r="I59" i="17" a="1"/>
  <c r="I59" i="17" s="1"/>
  <c r="I54" i="17" a="1"/>
  <c r="I54" i="17" s="1"/>
  <c r="K53" i="17" a="1"/>
  <c r="K53" i="17" s="1"/>
  <c r="L53" i="17" s="1" a="1"/>
  <c r="L53" i="17" s="1"/>
  <c r="I51" i="17" a="1"/>
  <c r="I51" i="17" s="1"/>
  <c r="I46" i="17" a="1"/>
  <c r="I46" i="17" s="1"/>
  <c r="K45" i="17" a="1"/>
  <c r="K45" i="17" s="1"/>
  <c r="L45" i="17" s="1" a="1"/>
  <c r="L45" i="17" s="1"/>
  <c r="I43" i="17" a="1"/>
  <c r="I43" i="17" s="1"/>
  <c r="I38" i="17" a="1"/>
  <c r="I38" i="17" s="1"/>
  <c r="K37" i="17" a="1"/>
  <c r="K37" i="17" s="1"/>
  <c r="L37" i="17" s="1" a="1"/>
  <c r="L37" i="17" s="1"/>
  <c r="I35" i="17" a="1"/>
  <c r="I35" i="17" s="1"/>
  <c r="J26" i="17" a="1"/>
  <c r="J26" i="17" s="1"/>
  <c r="K21" i="17" a="1"/>
  <c r="K21" i="17" s="1"/>
  <c r="L21" i="17" s="1" a="1"/>
  <c r="L21" i="17" s="1"/>
  <c r="K81" i="17" a="1"/>
  <c r="K81" i="17" s="1"/>
  <c r="L81" i="17" s="1" a="1"/>
  <c r="L81" i="17" s="1"/>
  <c r="K80" i="17" a="1"/>
  <c r="K80" i="17" s="1"/>
  <c r="L80" i="17" s="1" a="1"/>
  <c r="L80" i="17" s="1"/>
  <c r="K74" i="17" a="1"/>
  <c r="K74" i="17" s="1"/>
  <c r="L74" i="17" s="1" a="1"/>
  <c r="L74" i="17" s="1"/>
  <c r="J72" i="17" a="1"/>
  <c r="J72" i="17" s="1"/>
  <c r="J69" i="17" a="1"/>
  <c r="J69" i="17" s="1"/>
  <c r="J90" i="17" a="1"/>
  <c r="J90" i="17" s="1"/>
  <c r="I81" i="17" a="1"/>
  <c r="I81" i="17" s="1"/>
  <c r="K79" i="17" a="1"/>
  <c r="K79" i="17" s="1"/>
  <c r="L79" i="17" s="1" a="1"/>
  <c r="L79" i="17" s="1"/>
  <c r="K78" i="17" a="1"/>
  <c r="K78" i="17" s="1"/>
  <c r="L78" i="17" s="1" a="1"/>
  <c r="L78" i="17" s="1"/>
  <c r="I72" i="17" a="1"/>
  <c r="I72" i="17" s="1"/>
  <c r="K71" i="17" a="1"/>
  <c r="K71" i="17" s="1"/>
  <c r="L71" i="17" s="1" a="1"/>
  <c r="L71" i="17" s="1"/>
  <c r="I69" i="17" a="1"/>
  <c r="I69" i="17" s="1"/>
  <c r="I64" i="17" a="1"/>
  <c r="I64" i="17" s="1"/>
  <c r="K63" i="17" a="1"/>
  <c r="K63" i="17" s="1"/>
  <c r="L63" i="17" s="1" a="1"/>
  <c r="L63" i="17" s="1"/>
  <c r="I61" i="17" a="1"/>
  <c r="I61" i="17" s="1"/>
  <c r="I56" i="17" a="1"/>
  <c r="I56" i="17" s="1"/>
  <c r="K55" i="17" a="1"/>
  <c r="K55" i="17" s="1"/>
  <c r="L55" i="17" s="1" a="1"/>
  <c r="L55" i="17" s="1"/>
  <c r="I53" i="17" a="1"/>
  <c r="I53" i="17" s="1"/>
  <c r="I48" i="17" a="1"/>
  <c r="I48" i="17" s="1"/>
  <c r="K47" i="17" a="1"/>
  <c r="K47" i="17" s="1"/>
  <c r="L47" i="17" s="1" a="1"/>
  <c r="L47" i="17" s="1"/>
  <c r="I45" i="17" a="1"/>
  <c r="I45" i="17" s="1"/>
  <c r="I40" i="17" a="1"/>
  <c r="I40" i="17" s="1"/>
  <c r="K39" i="17" a="1"/>
  <c r="K39" i="17" s="1"/>
  <c r="L39" i="17" s="1" a="1"/>
  <c r="L39" i="17" s="1"/>
  <c r="I37" i="17" a="1"/>
  <c r="I37" i="17" s="1"/>
  <c r="J29" i="17" a="1"/>
  <c r="J29" i="17" s="1"/>
  <c r="I26" i="17" a="1"/>
  <c r="I26" i="17" s="1"/>
  <c r="J24" i="17" a="1"/>
  <c r="J24" i="17" s="1"/>
  <c r="K19" i="17" a="1"/>
  <c r="K19" i="17" s="1"/>
  <c r="L19" i="17" s="1" a="1"/>
  <c r="L19" i="17" s="1"/>
  <c r="I18" i="17" a="1"/>
  <c r="I18" i="17" s="1"/>
  <c r="J16" i="17" a="1"/>
  <c r="J16" i="17" s="1"/>
  <c r="K11" i="17" a="1"/>
  <c r="K11" i="17" s="1"/>
  <c r="L11" i="17" s="1" a="1"/>
  <c r="L11" i="17" s="1"/>
  <c r="I85" i="17" a="1"/>
  <c r="I85" i="17" s="1"/>
  <c r="J80" i="17" a="1"/>
  <c r="J80" i="17" s="1"/>
  <c r="I79" i="17" a="1"/>
  <c r="I79" i="17" s="1"/>
  <c r="K77" i="17" a="1"/>
  <c r="K77" i="17" s="1"/>
  <c r="L77" i="17" s="1" a="1"/>
  <c r="L77" i="17" s="1"/>
  <c r="K76" i="17" a="1"/>
  <c r="K76" i="17" s="1"/>
  <c r="L76" i="17" s="1" a="1"/>
  <c r="L76" i="17" s="1"/>
  <c r="J74" i="17" a="1"/>
  <c r="J74" i="17" s="1"/>
  <c r="J71" i="17" a="1"/>
  <c r="J71" i="17" s="1"/>
  <c r="J82" i="17" a="1"/>
  <c r="J82" i="17" s="1"/>
  <c r="I80" i="17" a="1"/>
  <c r="I80" i="17" s="1"/>
  <c r="J78" i="17" a="1"/>
  <c r="J78" i="17" s="1"/>
  <c r="I77" i="17" a="1"/>
  <c r="I77" i="17" s="1"/>
  <c r="I74" i="17" a="1"/>
  <c r="I74" i="17" s="1"/>
  <c r="K73" i="17" a="1"/>
  <c r="K73" i="17" s="1"/>
  <c r="L73" i="17" s="1" a="1"/>
  <c r="L73" i="17" s="1"/>
  <c r="I71" i="17" a="1"/>
  <c r="I71" i="17" s="1"/>
  <c r="I66" i="17" a="1"/>
  <c r="I66" i="17" s="1"/>
  <c r="K65" i="17" a="1"/>
  <c r="K65" i="17" s="1"/>
  <c r="L65" i="17" s="1" a="1"/>
  <c r="L65" i="17" s="1"/>
  <c r="I63" i="17" a="1"/>
  <c r="I63" i="17" s="1"/>
  <c r="I58" i="17" a="1"/>
  <c r="I58" i="17" s="1"/>
  <c r="K57" i="17" a="1"/>
  <c r="K57" i="17" s="1"/>
  <c r="L57" i="17" s="1" a="1"/>
  <c r="L57" i="17" s="1"/>
  <c r="I55" i="17" a="1"/>
  <c r="I55" i="17" s="1"/>
  <c r="I50" i="17" a="1"/>
  <c r="I50" i="17" s="1"/>
  <c r="K49" i="17" a="1"/>
  <c r="K49" i="17" s="1"/>
  <c r="L49" i="17" s="1" a="1"/>
  <c r="L49" i="17" s="1"/>
  <c r="I47" i="17" a="1"/>
  <c r="I47" i="17" s="1"/>
  <c r="I42" i="17" a="1"/>
  <c r="I42" i="17" s="1"/>
  <c r="N5" i="1" s="1"/>
  <c r="K41" i="17" a="1"/>
  <c r="K41" i="17" s="1"/>
  <c r="L41" i="17" s="1" a="1"/>
  <c r="L41" i="17" s="1"/>
  <c r="I39" i="17" a="1"/>
  <c r="I39" i="17" s="1"/>
  <c r="I34" i="17" a="1"/>
  <c r="I34" i="17" s="1"/>
  <c r="K33" i="17" a="1"/>
  <c r="K33" i="17" s="1"/>
  <c r="L33" i="17" s="1" a="1"/>
  <c r="L33" i="17" s="1"/>
  <c r="K25" i="17" a="1"/>
  <c r="K25" i="17" s="1"/>
  <c r="L25" i="17" s="1" a="1"/>
  <c r="L25" i="17" s="1"/>
  <c r="I24" i="17" a="1"/>
  <c r="I24" i="17" s="1"/>
  <c r="J22" i="17" a="1"/>
  <c r="J22" i="17" s="1"/>
  <c r="K17" i="17" a="1"/>
  <c r="K17" i="17" s="1"/>
  <c r="L17" i="17" s="1" a="1"/>
  <c r="L17" i="17" s="1"/>
  <c r="I16" i="17" a="1"/>
  <c r="I16" i="17" s="1"/>
  <c r="J14" i="17" a="1"/>
  <c r="J14" i="17" s="1"/>
  <c r="I82" i="17" a="1"/>
  <c r="I82" i="17" s="1"/>
  <c r="I78" i="17" a="1"/>
  <c r="I78" i="17" s="1"/>
  <c r="J76" i="17" a="1"/>
  <c r="J76" i="17" s="1"/>
  <c r="J73" i="17" a="1"/>
  <c r="J73" i="17" s="1"/>
  <c r="K70" i="17" a="1"/>
  <c r="K70" i="17" s="1"/>
  <c r="L70" i="17" s="1" a="1"/>
  <c r="L70" i="17" s="1"/>
  <c r="J68" i="17" a="1"/>
  <c r="J68" i="17" s="1"/>
  <c r="J65" i="17" a="1"/>
  <c r="J65" i="17" s="1"/>
  <c r="K5" i="17" a="1"/>
  <c r="K5" i="17" s="1"/>
  <c r="L5" i="17" s="1" a="1"/>
  <c r="L5" i="17" s="1"/>
  <c r="N33" i="17" a="1"/>
  <c r="N33" i="17" s="1"/>
  <c r="N29" i="17" a="1"/>
  <c r="N29" i="17" s="1"/>
  <c r="I31" i="17" a="1"/>
  <c r="I31" i="17" s="1"/>
  <c r="N40" i="17" a="1"/>
  <c r="N40" i="17" s="1"/>
  <c r="N50" i="17" a="1"/>
  <c r="N50" i="17" s="1"/>
  <c r="N5" i="17" a="1"/>
  <c r="N5" i="17" s="1"/>
  <c r="K9" i="17" a="1"/>
  <c r="K9" i="17" s="1"/>
  <c r="L9" i="17" s="1" a="1"/>
  <c r="L9" i="17" s="1"/>
  <c r="I11" i="17" a="1"/>
  <c r="I11" i="17" s="1"/>
  <c r="J12" i="17" a="1"/>
  <c r="J12" i="17" s="1"/>
  <c r="K3" i="17" a="1"/>
  <c r="K3" i="17" s="1"/>
  <c r="L3" i="17" s="1" a="1"/>
  <c r="L3" i="17" s="1"/>
  <c r="K6" i="17" a="1"/>
  <c r="K6" i="17" s="1"/>
  <c r="L6" i="17" s="1" a="1"/>
  <c r="L6" i="17" s="1"/>
  <c r="J8" i="17" a="1"/>
  <c r="J8" i="17" s="1"/>
  <c r="J10" i="17" a="1"/>
  <c r="J10" i="17" s="1"/>
  <c r="J11" i="17" a="1"/>
  <c r="J11" i="17" s="1"/>
  <c r="K12" i="17" a="1"/>
  <c r="K12" i="17" s="1"/>
  <c r="L12" i="17" s="1" a="1"/>
  <c r="L12" i="17" s="1"/>
  <c r="M12" i="17"/>
  <c r="I15" i="17" a="1"/>
  <c r="I15" i="17" s="1"/>
  <c r="K18" i="17" a="1"/>
  <c r="K18" i="17" s="1"/>
  <c r="L18" i="17" s="1" a="1"/>
  <c r="L18" i="17" s="1"/>
  <c r="K20" i="17" a="1"/>
  <c r="K20" i="17" s="1"/>
  <c r="L20" i="17" s="1" a="1"/>
  <c r="L20" i="17" s="1"/>
  <c r="I21" i="17" a="1"/>
  <c r="I21" i="17" s="1"/>
  <c r="I27" i="17" a="1"/>
  <c r="I27" i="17" s="1"/>
  <c r="N28" i="17" a="1"/>
  <c r="N28" i="17" s="1"/>
  <c r="I30" i="17" a="1"/>
  <c r="I30" i="17" s="1"/>
  <c r="N65" i="17" a="1"/>
  <c r="N65" i="17" s="1"/>
  <c r="J66" i="17" a="1"/>
  <c r="J66" i="17" s="1"/>
  <c r="J7" i="17" a="1"/>
  <c r="J7" i="17" s="1"/>
  <c r="N35" i="17" a="1"/>
  <c r="N35" i="17" s="1"/>
  <c r="J3" i="17" a="1"/>
  <c r="J3" i="17" s="1"/>
  <c r="I20" i="17" a="1"/>
  <c r="I20" i="17" s="1"/>
  <c r="K24" i="17" a="1"/>
  <c r="K24" i="17" s="1"/>
  <c r="L24" i="17" s="1" a="1"/>
  <c r="L24" i="17" s="1"/>
  <c r="I25" i="17" a="1"/>
  <c r="I25" i="17" s="1"/>
  <c r="J28" i="17" a="1"/>
  <c r="J28" i="17" s="1"/>
  <c r="N38" i="17" a="1"/>
  <c r="N38" i="17" s="1"/>
  <c r="N48" i="17" a="1"/>
  <c r="N48" i="17" s="1"/>
  <c r="N56" i="17" a="1"/>
  <c r="N56" i="17" s="1"/>
  <c r="I5" i="17" a="1"/>
  <c r="I5" i="17" s="1"/>
  <c r="J5" i="17" a="1"/>
  <c r="J5" i="17" s="1"/>
  <c r="I7" i="17" a="1"/>
  <c r="I7" i="17" s="1"/>
  <c r="N7" i="17" a="1"/>
  <c r="N7" i="17" s="1"/>
  <c r="K10" i="17" a="1"/>
  <c r="K10" i="17" s="1"/>
  <c r="L10" i="17" s="1" a="1"/>
  <c r="L10" i="17" s="1"/>
  <c r="J21" i="17" a="1"/>
  <c r="J21" i="17" s="1"/>
  <c r="K26" i="17" a="1"/>
  <c r="K26" i="17" s="1"/>
  <c r="L26" i="17" s="1" a="1"/>
  <c r="L26" i="17" s="1"/>
  <c r="K27" i="17" a="1"/>
  <c r="K27" i="17" s="1"/>
  <c r="L27" i="17" s="1" a="1"/>
  <c r="L27" i="17" s="1"/>
  <c r="J30" i="17" a="1"/>
  <c r="J30" i="17" s="1"/>
  <c r="N31" i="17" a="1"/>
  <c r="N31" i="17" s="1"/>
  <c r="J33" i="17" a="1"/>
  <c r="J33" i="17" s="1"/>
  <c r="J35" i="17" a="1"/>
  <c r="J35" i="17" s="1"/>
  <c r="J37" i="17" a="1"/>
  <c r="J37" i="17" s="1"/>
  <c r="J39" i="17" a="1"/>
  <c r="J39" i="17" s="1"/>
  <c r="J41" i="17" a="1"/>
  <c r="J41" i="17" s="1"/>
  <c r="J43" i="17" a="1"/>
  <c r="J43" i="17" s="1"/>
  <c r="J45" i="17" a="1"/>
  <c r="J45" i="17" s="1"/>
  <c r="J47" i="17" a="1"/>
  <c r="J47" i="17" s="1"/>
  <c r="J49" i="17" a="1"/>
  <c r="J49" i="17" s="1"/>
  <c r="J51" i="17" a="1"/>
  <c r="J51" i="17" s="1"/>
  <c r="J53" i="17" a="1"/>
  <c r="J53" i="17" s="1"/>
  <c r="J55" i="17" a="1"/>
  <c r="J55" i="17" s="1"/>
  <c r="J57" i="17" a="1"/>
  <c r="J57" i="17" s="1"/>
  <c r="J59" i="17" a="1"/>
  <c r="J59" i="17" s="1"/>
  <c r="J61" i="17" a="1"/>
  <c r="J61" i="17" s="1"/>
  <c r="J63" i="17" a="1"/>
  <c r="J63" i="17" s="1"/>
  <c r="M65" i="17"/>
  <c r="K66" i="17" a="1"/>
  <c r="K66" i="17" s="1"/>
  <c r="L66" i="17" s="1" a="1"/>
  <c r="L66" i="17" s="1"/>
  <c r="N27" i="17" a="1"/>
  <c r="N27" i="17" s="1"/>
  <c r="I29" i="17" a="1"/>
  <c r="I29" i="17" s="1"/>
  <c r="I32" i="17" a="1"/>
  <c r="I32" i="17" s="1"/>
  <c r="K4" i="17" a="1"/>
  <c r="K4" i="17" s="1"/>
  <c r="L4" i="17" s="1" a="1"/>
  <c r="L4" i="17" s="1"/>
  <c r="J6" i="17" a="1"/>
  <c r="J6" i="17" s="1"/>
  <c r="N32" i="17" a="1"/>
  <c r="N32" i="17" s="1"/>
  <c r="N42" i="17" a="1"/>
  <c r="N42" i="17" s="1"/>
  <c r="C14" i="1"/>
  <c r="I4" i="17" a="1"/>
  <c r="I4" i="17" s="1"/>
  <c r="N4" i="17" a="1"/>
  <c r="N4" i="17" s="1"/>
  <c r="K8" i="17" a="1"/>
  <c r="K8" i="17" s="1"/>
  <c r="L8" i="17" s="1" a="1"/>
  <c r="L8" i="17" s="1"/>
  <c r="J15" i="17" a="1"/>
  <c r="J15" i="17" s="1"/>
  <c r="I17" i="17" a="1"/>
  <c r="I17" i="17" s="1"/>
  <c r="I19" i="17" a="1"/>
  <c r="I19" i="17" s="1"/>
  <c r="M24" i="17"/>
  <c r="N25" i="17" a="1"/>
  <c r="N25" i="17" s="1"/>
  <c r="M28" i="17"/>
  <c r="K30" i="17" a="1"/>
  <c r="K30" i="17" s="1"/>
  <c r="L30" i="17" s="1" a="1"/>
  <c r="L30" i="17" s="1"/>
  <c r="M31" i="17"/>
  <c r="N66" i="17" a="1"/>
  <c r="N66" i="17" s="1"/>
  <c r="Q10" i="1"/>
  <c r="R14" i="1"/>
  <c r="N18" i="1"/>
  <c r="D14" i="1"/>
  <c r="E18" i="1"/>
  <c r="P18" i="1"/>
  <c r="K14" i="1"/>
  <c r="G18" i="1"/>
  <c r="L14" i="1"/>
  <c r="H18" i="1"/>
  <c r="F18" i="1"/>
  <c r="Q18" i="1"/>
  <c r="M14" i="1"/>
  <c r="J18" i="1"/>
  <c r="O10" i="1"/>
  <c r="N14" i="1"/>
  <c r="K18" i="1"/>
  <c r="G10" i="1"/>
  <c r="F3" i="1"/>
  <c r="F8" i="1" s="1"/>
  <c r="K10" i="1"/>
  <c r="J14" i="1"/>
  <c r="C18" i="1"/>
  <c r="M18" i="1"/>
  <c r="C10" i="1"/>
  <c r="E14" i="1"/>
  <c r="O14" i="1"/>
  <c r="I18" i="1"/>
  <c r="R18" i="1"/>
  <c r="I10" i="1"/>
  <c r="G14" i="1"/>
  <c r="L3" i="1"/>
  <c r="L8" i="1" s="1"/>
  <c r="B2" i="4"/>
  <c r="C5" i="4" s="1" a="1"/>
  <c r="C5" i="4" s="1"/>
  <c r="K3" i="1"/>
  <c r="K8" i="1" s="1"/>
  <c r="P3" i="1"/>
  <c r="P8" i="1" s="1"/>
  <c r="S22" i="1"/>
  <c r="R3" i="1"/>
  <c r="R8" i="1" s="1"/>
  <c r="E3" i="1"/>
  <c r="E8" i="1" s="1"/>
  <c r="O3" i="1"/>
  <c r="O8" i="1" s="1"/>
  <c r="N3" i="1"/>
  <c r="N8" i="1" s="1"/>
  <c r="C3" i="1"/>
  <c r="C8" i="1" s="1"/>
  <c r="H3" i="1"/>
  <c r="H8" i="1" s="1"/>
  <c r="J3" i="1"/>
  <c r="J8" i="1" s="1"/>
  <c r="M3" i="1"/>
  <c r="M8" i="1" s="1"/>
  <c r="D3" i="1"/>
  <c r="D8" i="1" s="1"/>
  <c r="Q3" i="1"/>
  <c r="Q8" i="1" s="1"/>
  <c r="M10" i="1"/>
  <c r="E10" i="1"/>
  <c r="N10" i="1"/>
  <c r="F10" i="1"/>
  <c r="F11" i="1" s="1"/>
  <c r="H10" i="1"/>
  <c r="R10" i="1"/>
  <c r="J10" i="1"/>
  <c r="G3" i="1"/>
  <c r="G8" i="1" s="1"/>
  <c r="L10" i="1"/>
  <c r="I3" i="1"/>
  <c r="I8" i="1" s="1"/>
  <c r="D10" i="1"/>
  <c r="P10" i="1"/>
  <c r="I14" i="1"/>
  <c r="Q14" i="1"/>
  <c r="D18" i="1"/>
  <c r="L18" i="1"/>
  <c r="F15" i="1"/>
  <c r="H14" i="1"/>
  <c r="P14" i="1"/>
  <c r="D6" i="11"/>
  <c r="D6" i="10"/>
  <c r="D6" i="9"/>
  <c r="D6" i="8"/>
  <c r="M23" i="2"/>
  <c r="W4" i="2"/>
  <c r="P23" i="2"/>
  <c r="R23" i="2"/>
  <c r="S4" i="2"/>
  <c r="N4" i="2"/>
  <c r="C6" i="10"/>
  <c r="C6" i="11"/>
  <c r="C6" i="9"/>
  <c r="C6" i="8"/>
  <c r="E26" i="2"/>
  <c r="B26" i="2"/>
  <c r="D96" i="8"/>
  <c r="E96" i="8" s="1"/>
  <c r="E6" i="11"/>
  <c r="E6" i="10"/>
  <c r="E6" i="9"/>
  <c r="E6" i="8"/>
  <c r="Q27" i="2"/>
  <c r="L27" i="2" s="1"/>
  <c r="J28" i="2" s="1"/>
  <c r="P13" i="4" a="1"/>
  <c r="P13" i="4" s="1"/>
  <c r="L13" i="4" a="1"/>
  <c r="L13" i="4" s="1"/>
  <c r="H13" i="4" a="1"/>
  <c r="H13" i="4" s="1"/>
  <c r="D13" i="4" a="1"/>
  <c r="D13" i="4" s="1"/>
  <c r="O12" i="4" a="1"/>
  <c r="O12" i="4" s="1"/>
  <c r="K12" i="4" a="1"/>
  <c r="K12" i="4" s="1"/>
  <c r="G12" i="4" a="1"/>
  <c r="G12" i="4" s="1"/>
  <c r="C12" i="4" a="1"/>
  <c r="C12" i="4" s="1"/>
  <c r="N10" i="4" a="1"/>
  <c r="N10" i="4" s="1"/>
  <c r="O13" i="4" a="1"/>
  <c r="O13" i="4" s="1"/>
  <c r="K13" i="4" a="1"/>
  <c r="K13" i="4" s="1"/>
  <c r="G13" i="4" a="1"/>
  <c r="G13" i="4" s="1"/>
  <c r="C13" i="4" a="1"/>
  <c r="C13" i="4" s="1"/>
  <c r="N11" i="4" a="1"/>
  <c r="N11" i="4" s="1"/>
  <c r="N12" i="4" a="1"/>
  <c r="N12" i="4" s="1"/>
  <c r="J12" i="4" a="1"/>
  <c r="J12" i="4" s="1"/>
  <c r="F12" i="4" a="1"/>
  <c r="F12" i="4" s="1"/>
  <c r="B12" i="4" a="1"/>
  <c r="B12" i="4" s="1"/>
  <c r="N13" i="4" a="1"/>
  <c r="N13" i="4" s="1"/>
  <c r="J13" i="4" a="1"/>
  <c r="J13" i="4" s="1"/>
  <c r="F13" i="4" a="1"/>
  <c r="F13" i="4" s="1"/>
  <c r="B13" i="4" a="1"/>
  <c r="B13" i="4" s="1"/>
  <c r="M12" i="4" a="1"/>
  <c r="M12" i="4" s="1"/>
  <c r="I12" i="4" a="1"/>
  <c r="I12" i="4" s="1"/>
  <c r="E12" i="4" a="1"/>
  <c r="E12" i="4" s="1"/>
  <c r="P10" i="4" a="1"/>
  <c r="P10" i="4" s="1"/>
  <c r="L10" i="4" a="1"/>
  <c r="L10" i="4" s="1"/>
  <c r="H10" i="4" a="1"/>
  <c r="H10" i="4" s="1"/>
  <c r="D10" i="4" a="1"/>
  <c r="D10" i="4" s="1"/>
  <c r="O7" i="4" a="1"/>
  <c r="O7" i="4" s="1"/>
  <c r="O17" i="4" s="1"/>
  <c r="K7" i="4" a="1"/>
  <c r="K7" i="4" s="1"/>
  <c r="K17" i="4" s="1"/>
  <c r="G7" i="4" a="1"/>
  <c r="G7" i="4" s="1"/>
  <c r="G17" i="4" s="1"/>
  <c r="C7" i="4" a="1"/>
  <c r="C7" i="4" s="1"/>
  <c r="C17" i="4" s="1"/>
  <c r="N5" i="4" a="1"/>
  <c r="N5" i="4" s="1"/>
  <c r="N15" i="4" s="1"/>
  <c r="J5" i="4" a="1"/>
  <c r="J5" i="4" s="1"/>
  <c r="F5" i="4" a="1"/>
  <c r="F5" i="4" s="1"/>
  <c r="B5" i="4" a="1"/>
  <c r="B5" i="4" s="1"/>
  <c r="M13" i="4" a="1"/>
  <c r="M13" i="4" s="1"/>
  <c r="I13" i="4" a="1"/>
  <c r="I13" i="4" s="1"/>
  <c r="E13" i="4" a="1"/>
  <c r="E13" i="4" s="1"/>
  <c r="P11" i="4" a="1"/>
  <c r="P11" i="4" s="1"/>
  <c r="L11" i="4" a="1"/>
  <c r="L11" i="4" s="1"/>
  <c r="H11" i="4" a="1"/>
  <c r="H11" i="4" s="1"/>
  <c r="D11" i="4" a="1"/>
  <c r="D11" i="4" s="1"/>
  <c r="O8" i="4" a="1"/>
  <c r="O8" i="4" s="1"/>
  <c r="O18" i="4" s="1"/>
  <c r="K8" i="4" a="1"/>
  <c r="K8" i="4" s="1"/>
  <c r="K18" i="4" s="1"/>
  <c r="G8" i="4" a="1"/>
  <c r="G8" i="4" s="1"/>
  <c r="G18" i="4" s="1"/>
  <c r="C8" i="4" a="1"/>
  <c r="C8" i="4" s="1"/>
  <c r="C18" i="4" s="1"/>
  <c r="N6" i="4" a="1"/>
  <c r="N6" i="4" s="1"/>
  <c r="N16" i="4" s="1"/>
  <c r="J6" i="4" a="1"/>
  <c r="J6" i="4" s="1"/>
  <c r="F6" i="4" a="1"/>
  <c r="F6" i="4" s="1"/>
  <c r="P12" i="4" a="1"/>
  <c r="P12" i="4" s="1"/>
  <c r="L12" i="4" a="1"/>
  <c r="L12" i="4" s="1"/>
  <c r="H12" i="4" a="1"/>
  <c r="H12" i="4" s="1"/>
  <c r="D12" i="4" a="1"/>
  <c r="D12" i="4" s="1"/>
  <c r="O5" i="4" a="1"/>
  <c r="O5" i="4" s="1"/>
  <c r="D6" i="4" a="1"/>
  <c r="D6" i="4" s="1"/>
  <c r="I6" i="4" a="1"/>
  <c r="I6" i="4" s="1"/>
  <c r="O6" i="4" a="1"/>
  <c r="O6" i="4" s="1"/>
  <c r="E8" i="4" a="1"/>
  <c r="E8" i="4" s="1"/>
  <c r="J8" i="4" a="1"/>
  <c r="J8" i="4" s="1"/>
  <c r="J18" i="4" s="1"/>
  <c r="P8" i="4" a="1"/>
  <c r="P8" i="4" s="1"/>
  <c r="P18" i="4" s="1"/>
  <c r="K10" i="4" a="1"/>
  <c r="K10" i="4" s="1"/>
  <c r="B11" i="4" a="1"/>
  <c r="B11" i="4" s="1"/>
  <c r="I11" i="4" a="1"/>
  <c r="I11" i="4" s="1"/>
  <c r="E6" i="4" a="1"/>
  <c r="E6" i="4" s="1"/>
  <c r="K6" i="4" a="1"/>
  <c r="K6" i="4" s="1"/>
  <c r="P6" i="4" a="1"/>
  <c r="P6" i="4" s="1"/>
  <c r="F8" i="4" a="1"/>
  <c r="F8" i="4" s="1"/>
  <c r="L8" i="4" a="1"/>
  <c r="L8" i="4" s="1"/>
  <c r="L18" i="4" s="1"/>
  <c r="C11" i="4" a="1"/>
  <c r="C11" i="4" s="1"/>
  <c r="G10" i="4" a="1"/>
  <c r="G10" i="4" s="1"/>
  <c r="M10" i="4" a="1"/>
  <c r="M10" i="4" s="1"/>
  <c r="J11" i="4" a="1"/>
  <c r="J11" i="4" s="1"/>
  <c r="H8" i="4" a="1"/>
  <c r="H8" i="4" s="1"/>
  <c r="H18" i="4" s="1"/>
  <c r="M8" i="4" a="1"/>
  <c r="M8" i="4" s="1"/>
  <c r="E11" i="4" a="1"/>
  <c r="E11" i="4" s="1"/>
  <c r="K11" i="4" a="1"/>
  <c r="K11" i="4" s="1"/>
  <c r="B7" i="4" a="1"/>
  <c r="B7" i="4" s="1"/>
  <c r="H7" i="4" a="1"/>
  <c r="H7" i="4" s="1"/>
  <c r="M7" i="4" a="1"/>
  <c r="M7" i="4" s="1"/>
  <c r="C10" i="4" a="1"/>
  <c r="C10" i="4" s="1"/>
  <c r="C15" i="4" s="1"/>
  <c r="I10" i="4" a="1"/>
  <c r="I10" i="4" s="1"/>
  <c r="O10" i="4" a="1"/>
  <c r="O10" i="4" s="1"/>
  <c r="F11" i="4" a="1"/>
  <c r="F11" i="4" s="1"/>
  <c r="M11" i="4" a="1"/>
  <c r="M11" i="4" s="1"/>
  <c r="E68" i="8"/>
  <c r="E15" i="8"/>
  <c r="D38" i="8"/>
  <c r="E38" i="8" s="1"/>
  <c r="D92" i="8"/>
  <c r="E92" i="8" s="1"/>
  <c r="D7" i="8"/>
  <c r="E7" i="8" s="1"/>
  <c r="D68" i="8"/>
  <c r="D15" i="8"/>
  <c r="C34" i="8"/>
  <c r="C37" i="8"/>
  <c r="D47" i="8"/>
  <c r="E47" i="8" s="1"/>
  <c r="C104" i="8"/>
  <c r="C107" i="8"/>
  <c r="D66" i="9"/>
  <c r="E66" i="9" s="1"/>
  <c r="C13" i="8"/>
  <c r="C21" i="8"/>
  <c r="C43" i="8"/>
  <c r="C46" i="8"/>
  <c r="C56" i="8"/>
  <c r="C72" i="8"/>
  <c r="F4" i="9"/>
  <c r="D25" i="9"/>
  <c r="D4" i="9"/>
  <c r="C109" i="8"/>
  <c r="C101" i="8"/>
  <c r="C93" i="8"/>
  <c r="C85" i="8"/>
  <c r="C77" i="8"/>
  <c r="C63" i="8"/>
  <c r="C106" i="8"/>
  <c r="C97" i="8"/>
  <c r="C88" i="8"/>
  <c r="C99" i="8"/>
  <c r="C98" i="8"/>
  <c r="C86" i="8"/>
  <c r="C62" i="8"/>
  <c r="C52" i="8"/>
  <c r="C44" i="8"/>
  <c r="C36" i="8"/>
  <c r="C28" i="8"/>
  <c r="C20" i="8"/>
  <c r="C94" i="8"/>
  <c r="C76" i="8"/>
  <c r="C65" i="8"/>
  <c r="C61" i="8"/>
  <c r="C91" i="8"/>
  <c r="C90" i="8"/>
  <c r="C74" i="8"/>
  <c r="C105" i="8"/>
  <c r="C75" i="8"/>
  <c r="C54" i="8"/>
  <c r="C50" i="8"/>
  <c r="C45" i="8"/>
  <c r="C27" i="8"/>
  <c r="C22" i="8"/>
  <c r="C18" i="8"/>
  <c r="C69" i="8"/>
  <c r="C9" i="8"/>
  <c r="C102" i="8"/>
  <c r="C87" i="8"/>
  <c r="C81" i="8"/>
  <c r="C64" i="8"/>
  <c r="C60" i="8"/>
  <c r="C59" i="8"/>
  <c r="C49" i="8"/>
  <c r="C40" i="8"/>
  <c r="C31" i="8"/>
  <c r="C17" i="8"/>
  <c r="C14" i="8"/>
  <c r="C8" i="8"/>
  <c r="C95" i="8"/>
  <c r="C82" i="8"/>
  <c r="C53" i="8"/>
  <c r="C110" i="8"/>
  <c r="C103" i="8"/>
  <c r="C83" i="8"/>
  <c r="C58" i="8"/>
  <c r="C57" i="8"/>
  <c r="C48" i="8"/>
  <c r="C39" i="8"/>
  <c r="C25" i="8"/>
  <c r="C108" i="8"/>
  <c r="C80" i="8"/>
  <c r="C55" i="8"/>
  <c r="C41" i="8"/>
  <c r="C32" i="8"/>
  <c r="C23" i="8"/>
  <c r="C12" i="8"/>
  <c r="I6" i="8"/>
  <c r="C71" i="8"/>
  <c r="C24" i="8"/>
  <c r="C42" i="8"/>
  <c r="C51" i="8"/>
  <c r="G6" i="8"/>
  <c r="C10" i="8"/>
  <c r="C11" i="8"/>
  <c r="C70" i="8"/>
  <c r="C30" i="8"/>
  <c r="C33" i="8"/>
  <c r="D44" i="9"/>
  <c r="E44" i="9" s="1"/>
  <c r="C16" i="8"/>
  <c r="C19" i="8"/>
  <c r="C26" i="8"/>
  <c r="C73" i="8"/>
  <c r="C78" i="8"/>
  <c r="C5" i="8"/>
  <c r="C66" i="8"/>
  <c r="C67" i="8"/>
  <c r="C35" i="8"/>
  <c r="C100" i="8"/>
  <c r="D3" i="8"/>
  <c r="C29" i="8"/>
  <c r="C79" i="8"/>
  <c r="C84" i="8"/>
  <c r="C89" i="8"/>
  <c r="D3" i="9"/>
  <c r="C68" i="9"/>
  <c r="C36" i="9"/>
  <c r="C31" i="9"/>
  <c r="C22" i="9"/>
  <c r="C60" i="9"/>
  <c r="C41" i="9"/>
  <c r="C20" i="9"/>
  <c r="C35" i="9"/>
  <c r="C21" i="9"/>
  <c r="C10" i="9"/>
  <c r="F3" i="9"/>
  <c r="C16" i="9"/>
  <c r="C63" i="9"/>
  <c r="C9" i="9"/>
  <c r="C32" i="9"/>
  <c r="C37" i="9"/>
  <c r="C47" i="9"/>
  <c r="C61" i="9"/>
  <c r="E25" i="9"/>
  <c r="E19" i="9"/>
  <c r="D40" i="9"/>
  <c r="E40" i="9" s="1"/>
  <c r="I6" i="10"/>
  <c r="D8" i="9"/>
  <c r="E8" i="9" s="1"/>
  <c r="D54" i="9"/>
  <c r="E54" i="9" s="1"/>
  <c r="C46" i="9"/>
  <c r="D75" i="10"/>
  <c r="E75" i="10"/>
  <c r="I6" i="9"/>
  <c r="I7" i="9"/>
  <c r="D38" i="10"/>
  <c r="E38" i="10" s="1"/>
  <c r="D44" i="10"/>
  <c r="E44" i="10" s="1"/>
  <c r="D43" i="10"/>
  <c r="E43" i="10" s="1"/>
  <c r="D29" i="10"/>
  <c r="E29" i="10" s="1"/>
  <c r="D76" i="10"/>
  <c r="E76" i="10" s="1"/>
  <c r="G7" i="9"/>
  <c r="C13" i="9"/>
  <c r="C14" i="9"/>
  <c r="C15" i="9"/>
  <c r="C33" i="9"/>
  <c r="C45" i="9"/>
  <c r="Y79" i="13"/>
  <c r="I4" i="8" s="1"/>
  <c r="X2" i="10"/>
  <c r="W2" i="10"/>
  <c r="C28" i="9"/>
  <c r="C29" i="9"/>
  <c r="C30" i="9"/>
  <c r="C67" i="9"/>
  <c r="C59" i="9"/>
  <c r="C50" i="9"/>
  <c r="C42" i="9"/>
  <c r="C34" i="9"/>
  <c r="C58" i="9"/>
  <c r="C52" i="9"/>
  <c r="C48" i="9"/>
  <c r="C43" i="9"/>
  <c r="C26" i="9"/>
  <c r="C18" i="9"/>
  <c r="C65" i="9"/>
  <c r="C64" i="9"/>
  <c r="C53" i="9"/>
  <c r="C51" i="9"/>
  <c r="C39" i="9"/>
  <c r="C38" i="9"/>
  <c r="C17" i="9"/>
  <c r="C11" i="9"/>
  <c r="C56" i="9"/>
  <c r="C55" i="9"/>
  <c r="C23" i="9"/>
  <c r="C57" i="9"/>
  <c r="C12" i="9"/>
  <c r="C7" i="9"/>
  <c r="C24" i="9"/>
  <c r="C27" i="9"/>
  <c r="C49" i="9"/>
  <c r="C62" i="9"/>
  <c r="F3" i="10"/>
  <c r="C57" i="10"/>
  <c r="C28" i="10"/>
  <c r="C9" i="10"/>
  <c r="C84" i="10"/>
  <c r="C92" i="10"/>
  <c r="C45" i="10"/>
  <c r="C24" i="10"/>
  <c r="C13" i="10"/>
  <c r="C10" i="10"/>
  <c r="D12" i="10"/>
  <c r="E12" i="10" s="1"/>
  <c r="C14" i="10"/>
  <c r="C22" i="10"/>
  <c r="C27" i="10"/>
  <c r="C39" i="10"/>
  <c r="C5" i="10"/>
  <c r="H6" i="10"/>
  <c r="C7" i="10"/>
  <c r="C11" i="10"/>
  <c r="C111" i="10"/>
  <c r="C103" i="10"/>
  <c r="C95" i="10"/>
  <c r="C108" i="10"/>
  <c r="C109" i="10"/>
  <c r="C101" i="10"/>
  <c r="C96" i="10"/>
  <c r="C77" i="10"/>
  <c r="C69" i="10"/>
  <c r="C99" i="10"/>
  <c r="C90" i="10"/>
  <c r="C113" i="10"/>
  <c r="C98" i="10"/>
  <c r="C78" i="10"/>
  <c r="C70" i="10"/>
  <c r="C62" i="10"/>
  <c r="C55" i="10"/>
  <c r="C110" i="10"/>
  <c r="C93" i="10"/>
  <c r="C83" i="10"/>
  <c r="C68" i="10"/>
  <c r="C67" i="10"/>
  <c r="C66" i="10"/>
  <c r="C61" i="10"/>
  <c r="C107" i="10"/>
  <c r="C104" i="10"/>
  <c r="C94" i="10"/>
  <c r="C89" i="10"/>
  <c r="C64" i="10"/>
  <c r="C60" i="10"/>
  <c r="C56" i="10"/>
  <c r="C42" i="10"/>
  <c r="C34" i="10"/>
  <c r="C26" i="10"/>
  <c r="C19" i="10"/>
  <c r="C112" i="10"/>
  <c r="C97" i="10"/>
  <c r="C91" i="10"/>
  <c r="C80" i="10"/>
  <c r="C73" i="10"/>
  <c r="C72" i="10"/>
  <c r="C71" i="10"/>
  <c r="C59" i="10"/>
  <c r="C50" i="10"/>
  <c r="C41" i="10"/>
  <c r="C33" i="10"/>
  <c r="C25" i="10"/>
  <c r="C18" i="10"/>
  <c r="C85" i="10"/>
  <c r="C49" i="10"/>
  <c r="C48" i="10"/>
  <c r="C47" i="10"/>
  <c r="C46" i="10"/>
  <c r="C32" i="10"/>
  <c r="C31" i="10"/>
  <c r="C30" i="10"/>
  <c r="C17" i="10"/>
  <c r="C16" i="10"/>
  <c r="C15" i="10"/>
  <c r="C106" i="10"/>
  <c r="C65" i="10"/>
  <c r="C51" i="10"/>
  <c r="C81" i="10"/>
  <c r="C54" i="10"/>
  <c r="C53" i="10"/>
  <c r="C52" i="10"/>
  <c r="C105" i="10"/>
  <c r="C100" i="10"/>
  <c r="C79" i="10"/>
  <c r="C58" i="10"/>
  <c r="C37" i="10"/>
  <c r="C36" i="10"/>
  <c r="C35" i="10"/>
  <c r="C21" i="10"/>
  <c r="C20" i="10"/>
  <c r="C87" i="10"/>
  <c r="C74" i="10"/>
  <c r="C8" i="10"/>
  <c r="C102" i="10"/>
  <c r="C82" i="10"/>
  <c r="C63" i="10"/>
  <c r="C86" i="10"/>
  <c r="C23" i="10"/>
  <c r="C40" i="10"/>
  <c r="C88" i="10"/>
  <c r="D3" i="11"/>
  <c r="C19" i="11"/>
  <c r="C15" i="11"/>
  <c r="C11" i="11"/>
  <c r="C7" i="11"/>
  <c r="C40" i="11"/>
  <c r="C33" i="11"/>
  <c r="C29" i="11"/>
  <c r="C18" i="11"/>
  <c r="C8" i="11"/>
  <c r="C34" i="11"/>
  <c r="C24" i="11"/>
  <c r="C14" i="11"/>
  <c r="C9" i="11"/>
  <c r="C30" i="11"/>
  <c r="C25" i="11"/>
  <c r="C26" i="11"/>
  <c r="C21" i="11"/>
  <c r="C38" i="11"/>
  <c r="C36" i="11"/>
  <c r="C22" i="11"/>
  <c r="C17" i="11"/>
  <c r="C12" i="11"/>
  <c r="C16" i="11"/>
  <c r="C13" i="11"/>
  <c r="F3" i="11"/>
  <c r="C10" i="11"/>
  <c r="C28" i="11"/>
  <c r="C20" i="11"/>
  <c r="F4" i="11"/>
  <c r="D4" i="11"/>
  <c r="Y107" i="13"/>
  <c r="I3" i="8" s="1"/>
  <c r="L15" i="11"/>
  <c r="Y2" i="13"/>
  <c r="I5" i="10" s="1"/>
  <c r="W2" i="11"/>
  <c r="C41" i="11"/>
  <c r="L35" i="11"/>
  <c r="Y108" i="13"/>
  <c r="G6" i="11"/>
  <c r="I6" i="11"/>
  <c r="B22" i="16"/>
  <c r="B14" i="16"/>
  <c r="B26" i="16" s="1"/>
  <c r="C23" i="11"/>
  <c r="C27" i="11"/>
  <c r="Y140" i="13"/>
  <c r="L39" i="11"/>
  <c r="C39" i="11"/>
  <c r="C35" i="11"/>
  <c r="C31" i="11"/>
  <c r="C32" i="11"/>
  <c r="C42" i="11"/>
  <c r="C37" i="11"/>
  <c r="B24" i="16"/>
  <c r="B18" i="16"/>
  <c r="B28" i="16"/>
  <c r="B15" i="16"/>
  <c r="B21" i="16"/>
  <c r="B16" i="16"/>
  <c r="B19" i="16"/>
  <c r="B17" i="16"/>
  <c r="B23" i="16"/>
  <c r="B29" i="16"/>
  <c r="H20" i="1" l="1"/>
  <c r="O16" i="1"/>
  <c r="D16" i="4"/>
  <c r="J16" i="1"/>
  <c r="P20" i="1"/>
  <c r="M16" i="1"/>
  <c r="J10" i="4" a="1"/>
  <c r="J10" i="4" s="1"/>
  <c r="J15" i="4" s="1"/>
  <c r="E5" i="1"/>
  <c r="K20" i="1"/>
  <c r="O15" i="4"/>
  <c r="L5" i="1"/>
  <c r="I16" i="1"/>
  <c r="J20" i="1"/>
  <c r="M20" i="1"/>
  <c r="N16" i="1"/>
  <c r="P16" i="1"/>
  <c r="O11" i="4" a="1"/>
  <c r="O11" i="4" s="1"/>
  <c r="O16" i="4" s="1"/>
  <c r="Q20" i="1"/>
  <c r="P5" i="1"/>
  <c r="K16" i="1"/>
  <c r="I20" i="1"/>
  <c r="D7" i="4" a="1"/>
  <c r="D7" i="4" s="1"/>
  <c r="D17" i="4" s="1"/>
  <c r="I7" i="4" a="1"/>
  <c r="I7" i="4" s="1"/>
  <c r="N7" i="4" a="1"/>
  <c r="N7" i="4" s="1"/>
  <c r="F10" i="4" a="1"/>
  <c r="F10" i="4" s="1"/>
  <c r="F15" i="4" s="1"/>
  <c r="H5" i="4" a="1"/>
  <c r="H5" i="4" s="1"/>
  <c r="B8" i="4" a="1"/>
  <c r="B8" i="4" s="1"/>
  <c r="B18" i="4" s="1"/>
  <c r="D5" i="4" a="1"/>
  <c r="D5" i="4" s="1"/>
  <c r="J7" i="4" a="1"/>
  <c r="J7" i="4" s="1"/>
  <c r="P7" i="4" a="1"/>
  <c r="P7" i="4" s="1"/>
  <c r="E10" i="4" a="1"/>
  <c r="E10" i="4" s="1"/>
  <c r="P5" i="4" a="1"/>
  <c r="P5" i="4" s="1"/>
  <c r="H5" i="1"/>
  <c r="H6" i="1" s="1"/>
  <c r="B10" i="4" a="1"/>
  <c r="B10" i="4" s="1"/>
  <c r="I5" i="1"/>
  <c r="D5" i="1"/>
  <c r="F5" i="1"/>
  <c r="O5" i="1"/>
  <c r="O6" i="1" s="1"/>
  <c r="Q5" i="1"/>
  <c r="Q6" i="1" s="1"/>
  <c r="K5" i="1"/>
  <c r="G5" i="1"/>
  <c r="G6" i="1" s="1"/>
  <c r="R5" i="1"/>
  <c r="R6" i="1" s="1"/>
  <c r="J5" i="1"/>
  <c r="J6" i="1" s="1"/>
  <c r="M5" i="1"/>
  <c r="M6" i="1" s="1"/>
  <c r="O138" i="17"/>
  <c r="E5" i="4" a="1"/>
  <c r="E5" i="4" s="1"/>
  <c r="L7" i="4" a="1"/>
  <c r="L7" i="4" s="1"/>
  <c r="L17" i="4" s="1"/>
  <c r="B7" i="1"/>
  <c r="F4" i="1"/>
  <c r="G5" i="4" a="1"/>
  <c r="G5" i="4" s="1"/>
  <c r="G15" i="4" s="1"/>
  <c r="E4" i="1"/>
  <c r="O15" i="17"/>
  <c r="O100" i="17"/>
  <c r="O47" i="17"/>
  <c r="O102" i="17"/>
  <c r="O56" i="17"/>
  <c r="O90" i="17"/>
  <c r="O105" i="17"/>
  <c r="O132" i="17"/>
  <c r="O140" i="17"/>
  <c r="R11" i="1"/>
  <c r="O3" i="17"/>
  <c r="M10" i="17"/>
  <c r="O30" i="17"/>
  <c r="O59" i="17"/>
  <c r="O85" i="17"/>
  <c r="O68" i="17"/>
  <c r="O107" i="17"/>
  <c r="O120" i="17"/>
  <c r="O63" i="17"/>
  <c r="O72" i="17"/>
  <c r="O104" i="17"/>
  <c r="L19" i="1"/>
  <c r="N11" i="1"/>
  <c r="O21" i="17"/>
  <c r="O75" i="17"/>
  <c r="O128" i="17"/>
  <c r="O152" i="17"/>
  <c r="G19" i="1"/>
  <c r="O16" i="17"/>
  <c r="O5" i="17"/>
  <c r="O8" i="17"/>
  <c r="O79" i="17"/>
  <c r="O135" i="17"/>
  <c r="O7" i="17"/>
  <c r="O22" i="17"/>
  <c r="O27" i="17"/>
  <c r="O36" i="17"/>
  <c r="O117" i="17"/>
  <c r="O18" i="17"/>
  <c r="O9" i="17"/>
  <c r="O299" i="17"/>
  <c r="O296" i="17"/>
  <c r="O285" i="17"/>
  <c r="O289" i="17"/>
  <c r="O290" i="17"/>
  <c r="O291" i="17"/>
  <c r="O283" i="17"/>
  <c r="O250" i="17"/>
  <c r="O282" i="17"/>
  <c r="O273" i="17"/>
  <c r="O266" i="17"/>
  <c r="O248" i="17"/>
  <c r="O238" i="17"/>
  <c r="O236" i="17"/>
  <c r="O183" i="17"/>
  <c r="O218" i="17"/>
  <c r="O175" i="17"/>
  <c r="O185" i="17"/>
  <c r="O186" i="17"/>
  <c r="O163" i="17"/>
  <c r="O148" i="17"/>
  <c r="O162" i="17"/>
  <c r="O146" i="17"/>
  <c r="O171" i="17"/>
  <c r="O139" i="17"/>
  <c r="O89" i="17"/>
  <c r="O110" i="17"/>
  <c r="O123" i="17"/>
  <c r="O70" i="17"/>
  <c r="O54" i="17"/>
  <c r="O38" i="17"/>
  <c r="O94" i="17"/>
  <c r="O77" i="17"/>
  <c r="O61" i="17"/>
  <c r="O45" i="17"/>
  <c r="O29" i="17"/>
  <c r="O4" i="17"/>
  <c r="O297" i="17"/>
  <c r="O310" i="17"/>
  <c r="O294" i="17"/>
  <c r="O265" i="17"/>
  <c r="O280" i="17"/>
  <c r="O263" i="17"/>
  <c r="O241" i="17"/>
  <c r="O253" i="17"/>
  <c r="O245" i="17"/>
  <c r="O240" i="17"/>
  <c r="O221" i="17"/>
  <c r="O192" i="17"/>
  <c r="O219" i="17"/>
  <c r="O211" i="17"/>
  <c r="O20" i="17"/>
  <c r="O295" i="17"/>
  <c r="O308" i="17"/>
  <c r="O292" i="17"/>
  <c r="O286" i="17"/>
  <c r="O262" i="17"/>
  <c r="O276" i="17"/>
  <c r="O246" i="17"/>
  <c r="O272" i="17"/>
  <c r="O247" i="17"/>
  <c r="O231" i="17"/>
  <c r="O220" i="17"/>
  <c r="O196" i="17"/>
  <c r="O230" i="17"/>
  <c r="O217" i="17"/>
  <c r="O194" i="17"/>
  <c r="O229" i="17"/>
  <c r="O213" i="17"/>
  <c r="O215" i="17"/>
  <c r="O180" i="17"/>
  <c r="O165" i="17"/>
  <c r="O181" i="17"/>
  <c r="O143" i="17"/>
  <c r="O158" i="17"/>
  <c r="O191" i="17"/>
  <c r="O161" i="17"/>
  <c r="O129" i="17"/>
  <c r="O133" i="17"/>
  <c r="O106" i="17"/>
  <c r="O111" i="17"/>
  <c r="O95" i="17"/>
  <c r="O82" i="17"/>
  <c r="O66" i="17"/>
  <c r="O50" i="17"/>
  <c r="O34" i="17"/>
  <c r="O73" i="17"/>
  <c r="O57" i="17"/>
  <c r="O41" i="17"/>
  <c r="O23" i="17"/>
  <c r="O84" i="17"/>
  <c r="O12" i="17"/>
  <c r="O309" i="17"/>
  <c r="O293" i="17"/>
  <c r="O306" i="17"/>
  <c r="O281" i="17"/>
  <c r="O271" i="17"/>
  <c r="O274" i="17"/>
  <c r="O277" i="17"/>
  <c r="O243" i="17"/>
  <c r="O259" i="17"/>
  <c r="O251" i="17"/>
  <c r="O239" i="17"/>
  <c r="O202" i="17"/>
  <c r="O216" i="17"/>
  <c r="O227" i="17"/>
  <c r="O212" i="17"/>
  <c r="O214" i="17"/>
  <c r="O169" i="17"/>
  <c r="O182" i="17"/>
  <c r="O179" i="17"/>
  <c r="O150" i="17"/>
  <c r="O134" i="17"/>
  <c r="O145" i="17"/>
  <c r="O155" i="17"/>
  <c r="O159" i="17"/>
  <c r="O141" i="17"/>
  <c r="O144" i="17"/>
  <c r="O91" i="17"/>
  <c r="O113" i="17"/>
  <c r="O97" i="17"/>
  <c r="O112" i="17"/>
  <c r="O96" i="17"/>
  <c r="O131" i="17"/>
  <c r="O126" i="17"/>
  <c r="O80" i="17"/>
  <c r="O64" i="17"/>
  <c r="O48" i="17"/>
  <c r="O32" i="17"/>
  <c r="O71" i="17"/>
  <c r="O55" i="17"/>
  <c r="O39" i="17"/>
  <c r="O93" i="17"/>
  <c r="O83" i="17"/>
  <c r="O28" i="17"/>
  <c r="O11" i="17"/>
  <c r="O10" i="17"/>
  <c r="O307" i="17"/>
  <c r="O284" i="17"/>
  <c r="O304" i="17"/>
  <c r="O260" i="17"/>
  <c r="O237" i="17"/>
  <c r="O244" i="17"/>
  <c r="O200" i="17"/>
  <c r="O222" i="17"/>
  <c r="O225" i="17"/>
  <c r="O198" i="17"/>
  <c r="O204" i="17"/>
  <c r="O187" i="17"/>
  <c r="O189" i="17"/>
  <c r="O210" i="17"/>
  <c r="O164" i="17"/>
  <c r="O174" i="17"/>
  <c r="O154" i="17"/>
  <c r="O137" i="17"/>
  <c r="O130" i="17"/>
  <c r="O118" i="17"/>
  <c r="O88" i="17"/>
  <c r="O78" i="17"/>
  <c r="O62" i="17"/>
  <c r="O46" i="17"/>
  <c r="O87" i="17"/>
  <c r="O69" i="17"/>
  <c r="O53" i="17"/>
  <c r="O37" i="17"/>
  <c r="O6" i="17"/>
  <c r="O305" i="17"/>
  <c r="O302" i="17"/>
  <c r="O278" i="17"/>
  <c r="O287" i="17"/>
  <c r="O258" i="17"/>
  <c r="O254" i="17"/>
  <c r="O256" i="17"/>
  <c r="O242" i="17"/>
  <c r="O249" i="17"/>
  <c r="O228" i="17"/>
  <c r="O201" i="17"/>
  <c r="O208" i="17"/>
  <c r="O223" i="17"/>
  <c r="O206" i="17"/>
  <c r="O184" i="17"/>
  <c r="O195" i="17"/>
  <c r="O176" i="17"/>
  <c r="O178" i="17"/>
  <c r="O156" i="17"/>
  <c r="O193" i="17"/>
  <c r="O136" i="17"/>
  <c r="O122" i="17"/>
  <c r="O92" i="17"/>
  <c r="O109" i="17"/>
  <c r="O108" i="17"/>
  <c r="O115" i="17"/>
  <c r="O99" i="17"/>
  <c r="O76" i="17"/>
  <c r="O60" i="17"/>
  <c r="O44" i="17"/>
  <c r="O67" i="17"/>
  <c r="O51" i="17"/>
  <c r="O35" i="17"/>
  <c r="O25" i="17"/>
  <c r="O303" i="17"/>
  <c r="O311" i="17"/>
  <c r="O300" i="17"/>
  <c r="O270" i="17"/>
  <c r="O264" i="17"/>
  <c r="O235" i="17"/>
  <c r="O255" i="17"/>
  <c r="O233" i="17"/>
  <c r="O234" i="17"/>
  <c r="O226" i="17"/>
  <c r="O209" i="17"/>
  <c r="O188" i="17"/>
  <c r="O199" i="17"/>
  <c r="O197" i="17"/>
  <c r="O203" i="17"/>
  <c r="O190" i="17"/>
  <c r="O172" i="17"/>
  <c r="O173" i="17"/>
  <c r="O157" i="17"/>
  <c r="O160" i="17"/>
  <c r="O170" i="17"/>
  <c r="O151" i="17"/>
  <c r="O121" i="17"/>
  <c r="O114" i="17"/>
  <c r="O98" i="17"/>
  <c r="O119" i="17"/>
  <c r="O103" i="17"/>
  <c r="O125" i="17"/>
  <c r="O74" i="17"/>
  <c r="O58" i="17"/>
  <c r="O42" i="17"/>
  <c r="O81" i="17"/>
  <c r="O65" i="17"/>
  <c r="O49" i="17"/>
  <c r="O33" i="17"/>
  <c r="O26" i="17"/>
  <c r="O301" i="17"/>
  <c r="O298" i="17"/>
  <c r="O275" i="17"/>
  <c r="O288" i="17"/>
  <c r="O279" i="17"/>
  <c r="O269" i="17"/>
  <c r="O261" i="17"/>
  <c r="O267" i="17"/>
  <c r="O252" i="17"/>
  <c r="O268" i="17"/>
  <c r="O257" i="17"/>
  <c r="O232" i="17"/>
  <c r="O224" i="17"/>
  <c r="O207" i="17"/>
  <c r="O205" i="17"/>
  <c r="O177" i="17"/>
  <c r="O168" i="17"/>
  <c r="O147" i="17"/>
  <c r="O142" i="17"/>
  <c r="O153" i="17"/>
  <c r="O167" i="17"/>
  <c r="O166" i="17"/>
  <c r="O14" i="17"/>
  <c r="O19" i="17"/>
  <c r="O31" i="17"/>
  <c r="O40" i="17"/>
  <c r="O116" i="17"/>
  <c r="O101" i="17"/>
  <c r="O124" i="17"/>
  <c r="O127" i="17"/>
  <c r="N15" i="1"/>
  <c r="O24" i="17"/>
  <c r="O13" i="17"/>
  <c r="O17" i="17"/>
  <c r="O43" i="17"/>
  <c r="O52" i="17"/>
  <c r="O86" i="17"/>
  <c r="O149" i="17"/>
  <c r="M5" i="17"/>
  <c r="M25" i="17"/>
  <c r="M64" i="17"/>
  <c r="M54" i="17"/>
  <c r="M23" i="17"/>
  <c r="M68" i="17"/>
  <c r="M131" i="17"/>
  <c r="M135" i="17"/>
  <c r="M86" i="17"/>
  <c r="M94" i="17"/>
  <c r="M102" i="17"/>
  <c r="M110" i="17"/>
  <c r="M118" i="17"/>
  <c r="M137" i="17"/>
  <c r="M138" i="17"/>
  <c r="M164" i="17"/>
  <c r="M161" i="17"/>
  <c r="M187" i="17"/>
  <c r="M184" i="17"/>
  <c r="M183" i="17"/>
  <c r="M201" i="17"/>
  <c r="M205" i="17"/>
  <c r="M207" i="17"/>
  <c r="M225" i="17"/>
  <c r="M234" i="17"/>
  <c r="M248" i="17"/>
  <c r="M236" i="17"/>
  <c r="M266" i="17"/>
  <c r="M308" i="17"/>
  <c r="M301" i="17"/>
  <c r="M290" i="17"/>
  <c r="M63" i="17"/>
  <c r="M55" i="17"/>
  <c r="M47" i="17"/>
  <c r="M39" i="17"/>
  <c r="M6" i="17"/>
  <c r="M34" i="17"/>
  <c r="M19" i="17"/>
  <c r="M72" i="17"/>
  <c r="M62" i="17"/>
  <c r="M78" i="17"/>
  <c r="M128" i="17"/>
  <c r="M87" i="17"/>
  <c r="M95" i="17"/>
  <c r="M103" i="17"/>
  <c r="M111" i="17"/>
  <c r="M119" i="17"/>
  <c r="M129" i="17"/>
  <c r="M157" i="17"/>
  <c r="M149" i="17"/>
  <c r="M158" i="17"/>
  <c r="M148" i="17"/>
  <c r="M153" i="17"/>
  <c r="M188" i="17"/>
  <c r="M179" i="17"/>
  <c r="M191" i="17"/>
  <c r="M198" i="17"/>
  <c r="M202" i="17"/>
  <c r="M209" i="17"/>
  <c r="M203" i="17"/>
  <c r="M218" i="17"/>
  <c r="M211" i="17"/>
  <c r="M226" i="17"/>
  <c r="M232" i="17"/>
  <c r="M260" i="17"/>
  <c r="M253" i="17"/>
  <c r="M251" i="17"/>
  <c r="M272" i="17"/>
  <c r="M280" i="17"/>
  <c r="M310" i="17"/>
  <c r="M291" i="17"/>
  <c r="M18" i="17"/>
  <c r="M27" i="17"/>
  <c r="M13" i="17"/>
  <c r="M7" i="17"/>
  <c r="M42" i="17"/>
  <c r="M75" i="17"/>
  <c r="M70" i="17"/>
  <c r="M79" i="17"/>
  <c r="M134" i="17"/>
  <c r="M88" i="17"/>
  <c r="M96" i="17"/>
  <c r="M104" i="17"/>
  <c r="M112" i="17"/>
  <c r="M168" i="17"/>
  <c r="M165" i="17"/>
  <c r="M154" i="17"/>
  <c r="M162" i="17"/>
  <c r="M159" i="17"/>
  <c r="M189" i="17"/>
  <c r="M220" i="17"/>
  <c r="M193" i="17"/>
  <c r="M200" i="17"/>
  <c r="M210" i="17"/>
  <c r="M214" i="17"/>
  <c r="M231" i="17"/>
  <c r="M222" i="17"/>
  <c r="M227" i="17"/>
  <c r="M244" i="17"/>
  <c r="M247" i="17"/>
  <c r="M270" i="17"/>
  <c r="M304" i="17"/>
  <c r="M273" i="17"/>
  <c r="M281" i="17"/>
  <c r="M295" i="17"/>
  <c r="M61" i="17"/>
  <c r="M53" i="17"/>
  <c r="M45" i="17"/>
  <c r="M37" i="17"/>
  <c r="M8" i="17"/>
  <c r="M50" i="17"/>
  <c r="M73" i="17"/>
  <c r="M81" i="17"/>
  <c r="M126" i="17"/>
  <c r="M121" i="17"/>
  <c r="M89" i="17"/>
  <c r="M97" i="17"/>
  <c r="M105" i="17"/>
  <c r="M113" i="17"/>
  <c r="M125" i="17"/>
  <c r="M181" i="17"/>
  <c r="M169" i="17"/>
  <c r="M166" i="17"/>
  <c r="M156" i="17"/>
  <c r="M155" i="17"/>
  <c r="M206" i="17"/>
  <c r="M175" i="17"/>
  <c r="M208" i="17"/>
  <c r="M215" i="17"/>
  <c r="M219" i="17"/>
  <c r="M235" i="17"/>
  <c r="M230" i="17"/>
  <c r="M228" i="17"/>
  <c r="M237" i="17"/>
  <c r="M243" i="17"/>
  <c r="M250" i="17"/>
  <c r="M259" i="17"/>
  <c r="M274" i="17"/>
  <c r="M282" i="17"/>
  <c r="M296" i="17"/>
  <c r="M30" i="17"/>
  <c r="M71" i="17"/>
  <c r="M9" i="17"/>
  <c r="M58" i="17"/>
  <c r="M32" i="17"/>
  <c r="M21" i="17"/>
  <c r="M76" i="17"/>
  <c r="M36" i="17"/>
  <c r="M82" i="17"/>
  <c r="M122" i="17"/>
  <c r="M120" i="17"/>
  <c r="M136" i="17"/>
  <c r="M90" i="17"/>
  <c r="M98" i="17"/>
  <c r="M106" i="17"/>
  <c r="M114" i="17"/>
  <c r="M130" i="17"/>
  <c r="M127" i="17"/>
  <c r="M142" i="17"/>
  <c r="M139" i="17"/>
  <c r="M172" i="17"/>
  <c r="M167" i="17"/>
  <c r="M204" i="17"/>
  <c r="M212" i="17"/>
  <c r="M170" i="17"/>
  <c r="M216" i="17"/>
  <c r="M239" i="17"/>
  <c r="M186" i="17"/>
  <c r="M229" i="17"/>
  <c r="M249" i="17"/>
  <c r="M242" i="17"/>
  <c r="M252" i="17"/>
  <c r="M254" i="17"/>
  <c r="M255" i="17"/>
  <c r="M286" i="17"/>
  <c r="M275" i="17"/>
  <c r="M283" i="17"/>
  <c r="M297" i="17"/>
  <c r="M311" i="17"/>
  <c r="M59" i="17"/>
  <c r="M51" i="17"/>
  <c r="M43" i="17"/>
  <c r="M35" i="17"/>
  <c r="M80" i="17"/>
  <c r="M66" i="17"/>
  <c r="M40" i="17"/>
  <c r="M26" i="17"/>
  <c r="M77" i="17"/>
  <c r="M44" i="17"/>
  <c r="M83" i="17"/>
  <c r="M91" i="17"/>
  <c r="M99" i="17"/>
  <c r="M107" i="17"/>
  <c r="M115" i="17"/>
  <c r="M144" i="17"/>
  <c r="M185" i="17"/>
  <c r="M176" i="17"/>
  <c r="M143" i="17"/>
  <c r="M132" i="17"/>
  <c r="M160" i="17"/>
  <c r="M174" i="17"/>
  <c r="M163" i="17"/>
  <c r="M217" i="17"/>
  <c r="M221" i="17"/>
  <c r="M182" i="17"/>
  <c r="M213" i="17"/>
  <c r="M241" i="17"/>
  <c r="M257" i="17"/>
  <c r="M256" i="17"/>
  <c r="M265" i="17"/>
  <c r="M264" i="17"/>
  <c r="M294" i="17"/>
  <c r="M303" i="17"/>
  <c r="M276" i="17"/>
  <c r="M298" i="17"/>
  <c r="M287" i="17"/>
  <c r="M20" i="17"/>
  <c r="M3" i="17"/>
  <c r="M17" i="17"/>
  <c r="M74" i="17"/>
  <c r="M48" i="17"/>
  <c r="M38" i="17"/>
  <c r="M15" i="17"/>
  <c r="M52" i="17"/>
  <c r="M124" i="17"/>
  <c r="M84" i="17"/>
  <c r="M92" i="17"/>
  <c r="M100" i="17"/>
  <c r="M108" i="17"/>
  <c r="M116" i="17"/>
  <c r="M133" i="17"/>
  <c r="M150" i="17"/>
  <c r="M147" i="17"/>
  <c r="M195" i="17"/>
  <c r="M173" i="17"/>
  <c r="M178" i="17"/>
  <c r="M180" i="17"/>
  <c r="M192" i="17"/>
  <c r="M194" i="17"/>
  <c r="M223" i="17"/>
  <c r="M233" i="17"/>
  <c r="M238" i="17"/>
  <c r="M245" i="17"/>
  <c r="M263" i="17"/>
  <c r="M262" i="17"/>
  <c r="M305" i="17"/>
  <c r="M277" i="17"/>
  <c r="M292" i="17"/>
  <c r="M299" i="17"/>
  <c r="M288" i="17"/>
  <c r="M69" i="17"/>
  <c r="M22" i="17"/>
  <c r="M67" i="17"/>
  <c r="M57" i="17"/>
  <c r="M49" i="17"/>
  <c r="M41" i="17"/>
  <c r="M33" i="17"/>
  <c r="M4" i="17"/>
  <c r="M11" i="17"/>
  <c r="M56" i="17"/>
  <c r="M46" i="17"/>
  <c r="M60" i="17"/>
  <c r="M123" i="17"/>
  <c r="M85" i="17"/>
  <c r="M93" i="17"/>
  <c r="M101" i="17"/>
  <c r="M109" i="17"/>
  <c r="M117" i="17"/>
  <c r="M152" i="17"/>
  <c r="M141" i="17"/>
  <c r="M146" i="17"/>
  <c r="M151" i="17"/>
  <c r="M140" i="17"/>
  <c r="M145" i="17"/>
  <c r="M177" i="17"/>
  <c r="M171" i="17"/>
  <c r="M196" i="17"/>
  <c r="M190" i="17"/>
  <c r="M197" i="17"/>
  <c r="M199" i="17"/>
  <c r="M224" i="17"/>
  <c r="M240" i="17"/>
  <c r="M246" i="17"/>
  <c r="M269" i="17"/>
  <c r="M268" i="17"/>
  <c r="M284" i="17"/>
  <c r="M278" i="17"/>
  <c r="M307" i="17"/>
  <c r="M300" i="17"/>
  <c r="M289" i="17"/>
  <c r="P19" i="17"/>
  <c r="H19" i="17"/>
  <c r="P17" i="17"/>
  <c r="H17" i="17"/>
  <c r="H4" i="17"/>
  <c r="P4" i="17"/>
  <c r="H32" i="17"/>
  <c r="P32" i="17"/>
  <c r="H29" i="17"/>
  <c r="P29" i="17"/>
  <c r="P7" i="17"/>
  <c r="H7" i="17"/>
  <c r="P5" i="17"/>
  <c r="H5" i="17"/>
  <c r="P25" i="17"/>
  <c r="H25" i="17"/>
  <c r="P20" i="17"/>
  <c r="H20" i="17"/>
  <c r="H30" i="17"/>
  <c r="P30" i="17"/>
  <c r="P27" i="17"/>
  <c r="H27" i="17"/>
  <c r="P21" i="17"/>
  <c r="H21" i="17"/>
  <c r="P15" i="17"/>
  <c r="H15" i="17"/>
  <c r="P11" i="17"/>
  <c r="H11" i="17"/>
  <c r="H31" i="17"/>
  <c r="P31" i="17"/>
  <c r="H78" i="17"/>
  <c r="P78" i="17"/>
  <c r="H82" i="17"/>
  <c r="P82" i="17"/>
  <c r="P16" i="17"/>
  <c r="H16" i="17"/>
  <c r="P24" i="17"/>
  <c r="H24" i="17"/>
  <c r="H34" i="17"/>
  <c r="P34" i="17"/>
  <c r="H39" i="17"/>
  <c r="P39" i="17"/>
  <c r="H42" i="17"/>
  <c r="P42" i="17"/>
  <c r="H47" i="17"/>
  <c r="P47" i="17"/>
  <c r="H50" i="17"/>
  <c r="P50" i="17"/>
  <c r="H55" i="17"/>
  <c r="P55" i="17"/>
  <c r="H58" i="17"/>
  <c r="P58" i="17"/>
  <c r="H63" i="17"/>
  <c r="P63" i="17"/>
  <c r="H66" i="17"/>
  <c r="P66" i="17"/>
  <c r="H71" i="17"/>
  <c r="P71" i="17"/>
  <c r="H74" i="17"/>
  <c r="P74" i="17"/>
  <c r="H77" i="17"/>
  <c r="P77" i="17"/>
  <c r="H80" i="17"/>
  <c r="P80" i="17"/>
  <c r="H79" i="17"/>
  <c r="P79" i="17"/>
  <c r="H85" i="17"/>
  <c r="P85" i="17"/>
  <c r="P18" i="17"/>
  <c r="H18" i="17"/>
  <c r="P26" i="17"/>
  <c r="H26" i="17"/>
  <c r="H37" i="17"/>
  <c r="P37" i="17"/>
  <c r="H40" i="17"/>
  <c r="P40" i="17"/>
  <c r="H45" i="17"/>
  <c r="P45" i="17"/>
  <c r="H48" i="17"/>
  <c r="P48" i="17"/>
  <c r="H53" i="17"/>
  <c r="P53" i="17"/>
  <c r="H56" i="17"/>
  <c r="P56" i="17"/>
  <c r="H61" i="17"/>
  <c r="P61" i="17"/>
  <c r="H64" i="17"/>
  <c r="P64" i="17"/>
  <c r="H69" i="17"/>
  <c r="P69" i="17"/>
  <c r="H72" i="17"/>
  <c r="P72" i="17"/>
  <c r="H81" i="17"/>
  <c r="P81" i="17"/>
  <c r="H35" i="17"/>
  <c r="P35" i="17"/>
  <c r="H38" i="17"/>
  <c r="P38" i="17"/>
  <c r="H43" i="17"/>
  <c r="P43" i="17"/>
  <c r="H46" i="17"/>
  <c r="P46" i="17"/>
  <c r="H51" i="17"/>
  <c r="P51" i="17"/>
  <c r="H54" i="17"/>
  <c r="P54" i="17"/>
  <c r="H59" i="17"/>
  <c r="P59" i="17"/>
  <c r="H62" i="17"/>
  <c r="P62" i="17"/>
  <c r="H67" i="17"/>
  <c r="P67" i="17"/>
  <c r="H70" i="17"/>
  <c r="P70" i="17"/>
  <c r="H75" i="17"/>
  <c r="P75" i="17"/>
  <c r="P83" i="17"/>
  <c r="H83" i="17"/>
  <c r="P22" i="17"/>
  <c r="H22" i="17"/>
  <c r="H33" i="17"/>
  <c r="P33" i="17"/>
  <c r="H36" i="17"/>
  <c r="P36" i="17"/>
  <c r="H41" i="17"/>
  <c r="P41" i="17"/>
  <c r="H44" i="17"/>
  <c r="P44" i="17"/>
  <c r="H49" i="17"/>
  <c r="P49" i="17"/>
  <c r="H52" i="17"/>
  <c r="P52" i="17"/>
  <c r="H57" i="17"/>
  <c r="P57" i="17"/>
  <c r="H60" i="17"/>
  <c r="P60" i="17"/>
  <c r="H65" i="17"/>
  <c r="P65" i="17"/>
  <c r="H68" i="17"/>
  <c r="P68" i="17"/>
  <c r="H73" i="17"/>
  <c r="P73" i="17"/>
  <c r="H76" i="17"/>
  <c r="P76" i="17"/>
  <c r="P84" i="17"/>
  <c r="H84" i="17"/>
  <c r="P102" i="17"/>
  <c r="H102" i="17"/>
  <c r="P94" i="17"/>
  <c r="H94" i="17"/>
  <c r="P89" i="17"/>
  <c r="H89" i="17"/>
  <c r="P92" i="17"/>
  <c r="H92" i="17"/>
  <c r="P100" i="17"/>
  <c r="H100" i="17"/>
  <c r="H87" i="17"/>
  <c r="P87" i="17"/>
  <c r="H90" i="17"/>
  <c r="P90" i="17"/>
  <c r="H93" i="17"/>
  <c r="P93" i="17"/>
  <c r="H99" i="17"/>
  <c r="P99" i="17"/>
  <c r="H107" i="17"/>
  <c r="P107" i="17"/>
  <c r="H115" i="17"/>
  <c r="P115" i="17"/>
  <c r="P108" i="17"/>
  <c r="H108" i="17"/>
  <c r="P116" i="17"/>
  <c r="H116" i="17"/>
  <c r="P101" i="17"/>
  <c r="H101" i="17"/>
  <c r="P109" i="17"/>
  <c r="H109" i="17"/>
  <c r="P117" i="17"/>
  <c r="H117" i="17"/>
  <c r="P127" i="17"/>
  <c r="H127" i="17"/>
  <c r="P131" i="17"/>
  <c r="H131" i="17"/>
  <c r="P110" i="17"/>
  <c r="H110" i="17"/>
  <c r="P118" i="17"/>
  <c r="H118" i="17"/>
  <c r="P123" i="17"/>
  <c r="H123" i="17"/>
  <c r="P125" i="17"/>
  <c r="H125" i="17"/>
  <c r="P95" i="17"/>
  <c r="H95" i="17"/>
  <c r="P103" i="17"/>
  <c r="H103" i="17"/>
  <c r="P111" i="17"/>
  <c r="H111" i="17"/>
  <c r="P119" i="17"/>
  <c r="H119" i="17"/>
  <c r="P86" i="17"/>
  <c r="H86" i="17"/>
  <c r="P96" i="17"/>
  <c r="H96" i="17"/>
  <c r="P104" i="17"/>
  <c r="H104" i="17"/>
  <c r="P112" i="17"/>
  <c r="H112" i="17"/>
  <c r="P120" i="17"/>
  <c r="H120" i="17"/>
  <c r="P121" i="17"/>
  <c r="H121" i="17"/>
  <c r="P122" i="17"/>
  <c r="H122" i="17"/>
  <c r="H91" i="17"/>
  <c r="P91" i="17"/>
  <c r="P97" i="17"/>
  <c r="H97" i="17"/>
  <c r="P105" i="17"/>
  <c r="H105" i="17"/>
  <c r="P113" i="17"/>
  <c r="H113" i="17"/>
  <c r="P128" i="17"/>
  <c r="H128" i="17"/>
  <c r="H88" i="17"/>
  <c r="P88" i="17"/>
  <c r="H98" i="17"/>
  <c r="P98" i="17"/>
  <c r="H106" i="17"/>
  <c r="P106" i="17"/>
  <c r="H114" i="17"/>
  <c r="P114" i="17"/>
  <c r="P129" i="17"/>
  <c r="H129" i="17"/>
  <c r="P130" i="17"/>
  <c r="H130" i="17"/>
  <c r="P136" i="17"/>
  <c r="H136" i="17"/>
  <c r="P132" i="17"/>
  <c r="H132" i="17"/>
  <c r="P141" i="17"/>
  <c r="H141" i="17"/>
  <c r="P142" i="17"/>
  <c r="H142" i="17"/>
  <c r="P133" i="17"/>
  <c r="H133" i="17"/>
  <c r="P124" i="17"/>
  <c r="H124" i="17"/>
  <c r="P137" i="17"/>
  <c r="H137" i="17"/>
  <c r="P140" i="17"/>
  <c r="H140" i="17"/>
  <c r="P126" i="17"/>
  <c r="H126" i="17"/>
  <c r="P134" i="17"/>
  <c r="H134" i="17"/>
  <c r="P138" i="17"/>
  <c r="H138" i="17"/>
  <c r="P143" i="17"/>
  <c r="H143" i="17"/>
  <c r="P144" i="17"/>
  <c r="H144" i="17"/>
  <c r="P135" i="17"/>
  <c r="H135" i="17"/>
  <c r="P149" i="17"/>
  <c r="H149" i="17"/>
  <c r="P157" i="17"/>
  <c r="H157" i="17"/>
  <c r="P161" i="17"/>
  <c r="H161" i="17"/>
  <c r="P192" i="17"/>
  <c r="H192" i="17"/>
  <c r="P146" i="17"/>
  <c r="H146" i="17"/>
  <c r="P154" i="17"/>
  <c r="H154" i="17"/>
  <c r="P165" i="17"/>
  <c r="H165" i="17"/>
  <c r="P169" i="17"/>
  <c r="H169" i="17"/>
  <c r="P176" i="17"/>
  <c r="H176" i="17"/>
  <c r="P151" i="17"/>
  <c r="H151" i="17"/>
  <c r="P158" i="17"/>
  <c r="H158" i="17"/>
  <c r="P171" i="17"/>
  <c r="H171" i="17"/>
  <c r="P173" i="17"/>
  <c r="H173" i="17"/>
  <c r="P148" i="17"/>
  <c r="H148" i="17"/>
  <c r="P159" i="17"/>
  <c r="H159" i="17"/>
  <c r="P166" i="17"/>
  <c r="H166" i="17"/>
  <c r="P145" i="17"/>
  <c r="H145" i="17"/>
  <c r="P153" i="17"/>
  <c r="H153" i="17"/>
  <c r="P155" i="17"/>
  <c r="H155" i="17"/>
  <c r="P167" i="17"/>
  <c r="H167" i="17"/>
  <c r="P150" i="17"/>
  <c r="H150" i="17"/>
  <c r="P156" i="17"/>
  <c r="H156" i="17"/>
  <c r="P163" i="17"/>
  <c r="H163" i="17"/>
  <c r="P139" i="17"/>
  <c r="H139" i="17"/>
  <c r="P147" i="17"/>
  <c r="H147" i="17"/>
  <c r="P160" i="17"/>
  <c r="H160" i="17"/>
  <c r="P164" i="17"/>
  <c r="H164" i="17"/>
  <c r="P175" i="17"/>
  <c r="H175" i="17"/>
  <c r="P152" i="17"/>
  <c r="H152" i="17"/>
  <c r="P168" i="17"/>
  <c r="H168" i="17"/>
  <c r="P172" i="17"/>
  <c r="H172" i="17"/>
  <c r="P184" i="17"/>
  <c r="H184" i="17"/>
  <c r="P187" i="17"/>
  <c r="H187" i="17"/>
  <c r="P188" i="17"/>
  <c r="H188" i="17"/>
  <c r="P194" i="17"/>
  <c r="H194" i="17"/>
  <c r="P181" i="17"/>
  <c r="H181" i="17"/>
  <c r="P186" i="17"/>
  <c r="H186" i="17"/>
  <c r="P217" i="17"/>
  <c r="H217" i="17"/>
  <c r="P162" i="17"/>
  <c r="H162" i="17"/>
  <c r="P170" i="17"/>
  <c r="H170" i="17"/>
  <c r="P178" i="17"/>
  <c r="H178" i="17"/>
  <c r="P185" i="17"/>
  <c r="H185" i="17"/>
  <c r="P180" i="17"/>
  <c r="H180" i="17"/>
  <c r="P182" i="17"/>
  <c r="H182" i="17"/>
  <c r="P177" i="17"/>
  <c r="H177" i="17"/>
  <c r="P183" i="17"/>
  <c r="H183" i="17"/>
  <c r="P191" i="17"/>
  <c r="H191" i="17"/>
  <c r="P174" i="17"/>
  <c r="H174" i="17"/>
  <c r="P190" i="17"/>
  <c r="H190" i="17"/>
  <c r="P196" i="17"/>
  <c r="H196" i="17"/>
  <c r="P179" i="17"/>
  <c r="H179" i="17"/>
  <c r="H216" i="17"/>
  <c r="P216" i="17"/>
  <c r="H220" i="17"/>
  <c r="P220" i="17"/>
  <c r="P221" i="17"/>
  <c r="H221" i="17"/>
  <c r="P195" i="17"/>
  <c r="H195" i="17"/>
  <c r="H203" i="17"/>
  <c r="P203" i="17"/>
  <c r="H204" i="17"/>
  <c r="P204" i="17"/>
  <c r="H214" i="17"/>
  <c r="P214" i="17"/>
  <c r="P215" i="17"/>
  <c r="H215" i="17"/>
  <c r="P224" i="17"/>
  <c r="H224" i="17"/>
  <c r="P226" i="17"/>
  <c r="H226" i="17"/>
  <c r="P228" i="17"/>
  <c r="H228" i="17"/>
  <c r="P230" i="17"/>
  <c r="H230" i="17"/>
  <c r="P231" i="17"/>
  <c r="H231" i="17"/>
  <c r="P189" i="17"/>
  <c r="H189" i="17"/>
  <c r="H197" i="17"/>
  <c r="P197" i="17"/>
  <c r="H198" i="17"/>
  <c r="P198" i="17"/>
  <c r="P205" i="17"/>
  <c r="H205" i="17"/>
  <c r="H206" i="17"/>
  <c r="P206" i="17"/>
  <c r="H218" i="17"/>
  <c r="P218" i="17"/>
  <c r="P219" i="17"/>
  <c r="H219" i="17"/>
  <c r="H212" i="17"/>
  <c r="P212" i="17"/>
  <c r="P213" i="17"/>
  <c r="H213" i="17"/>
  <c r="H199" i="17"/>
  <c r="P199" i="17"/>
  <c r="H200" i="17"/>
  <c r="P200" i="17"/>
  <c r="P207" i="17"/>
  <c r="H207" i="17"/>
  <c r="H208" i="17"/>
  <c r="P208" i="17"/>
  <c r="H222" i="17"/>
  <c r="P222" i="17"/>
  <c r="P223" i="17"/>
  <c r="H223" i="17"/>
  <c r="P225" i="17"/>
  <c r="H225" i="17"/>
  <c r="P227" i="17"/>
  <c r="H227" i="17"/>
  <c r="P229" i="17"/>
  <c r="H229" i="17"/>
  <c r="P193" i="17"/>
  <c r="H193" i="17"/>
  <c r="P201" i="17"/>
  <c r="H201" i="17"/>
  <c r="H202" i="17"/>
  <c r="P202" i="17"/>
  <c r="P209" i="17"/>
  <c r="H209" i="17"/>
  <c r="H210" i="17"/>
  <c r="P210" i="17"/>
  <c r="P211" i="17"/>
  <c r="H211" i="17"/>
  <c r="P232" i="17"/>
  <c r="H232" i="17"/>
  <c r="H233" i="17"/>
  <c r="P233" i="17"/>
  <c r="H274" i="17"/>
  <c r="P274" i="17"/>
  <c r="P281" i="17"/>
  <c r="H281" i="17"/>
  <c r="P271" i="17"/>
  <c r="H271" i="17"/>
  <c r="P278" i="17"/>
  <c r="H278" i="17"/>
  <c r="P273" i="17"/>
  <c r="H273" i="17"/>
  <c r="H282" i="17"/>
  <c r="P282" i="17"/>
  <c r="H277" i="17"/>
  <c r="P277" i="17"/>
  <c r="H279" i="17"/>
  <c r="P279" i="17"/>
  <c r="P272" i="17"/>
  <c r="H272" i="17"/>
  <c r="H283" i="17"/>
  <c r="P283" i="17"/>
  <c r="H294" i="17"/>
  <c r="P294" i="17"/>
  <c r="P234" i="17"/>
  <c r="H234" i="17"/>
  <c r="P235" i="17"/>
  <c r="H235" i="17"/>
  <c r="P236" i="17"/>
  <c r="H236" i="17"/>
  <c r="H237" i="17"/>
  <c r="P237" i="17"/>
  <c r="P238" i="17"/>
  <c r="H238" i="17"/>
  <c r="P239" i="17"/>
  <c r="H239" i="17"/>
  <c r="P240" i="17"/>
  <c r="H240" i="17"/>
  <c r="H241" i="17"/>
  <c r="P241" i="17"/>
  <c r="H242" i="17"/>
  <c r="P242" i="17"/>
  <c r="H243" i="17"/>
  <c r="P243" i="17"/>
  <c r="P244" i="17"/>
  <c r="H244" i="17"/>
  <c r="H245" i="17"/>
  <c r="P245" i="17"/>
  <c r="P246" i="17"/>
  <c r="H246" i="17"/>
  <c r="P247" i="17"/>
  <c r="H247" i="17"/>
  <c r="H248" i="17"/>
  <c r="P248" i="17"/>
  <c r="P249" i="17"/>
  <c r="H249" i="17"/>
  <c r="H250" i="17"/>
  <c r="P250" i="17"/>
  <c r="H251" i="17"/>
  <c r="P251" i="17"/>
  <c r="H252" i="17"/>
  <c r="P252" i="17"/>
  <c r="P253" i="17"/>
  <c r="H253" i="17"/>
  <c r="H254" i="17"/>
  <c r="P254" i="17"/>
  <c r="P255" i="17"/>
  <c r="H255" i="17"/>
  <c r="H256" i="17"/>
  <c r="P256" i="17"/>
  <c r="P257" i="17"/>
  <c r="H257" i="17"/>
  <c r="H258" i="17"/>
  <c r="P258" i="17"/>
  <c r="P259" i="17"/>
  <c r="H259" i="17"/>
  <c r="H260" i="17"/>
  <c r="P260" i="17"/>
  <c r="P261" i="17"/>
  <c r="H261" i="17"/>
  <c r="P262" i="17"/>
  <c r="H262" i="17"/>
  <c r="P263" i="17"/>
  <c r="H263" i="17"/>
  <c r="P264" i="17"/>
  <c r="H264" i="17"/>
  <c r="P265" i="17"/>
  <c r="H265" i="17"/>
  <c r="P266" i="17"/>
  <c r="H266" i="17"/>
  <c r="P267" i="17"/>
  <c r="H267" i="17"/>
  <c r="P268" i="17"/>
  <c r="H268" i="17"/>
  <c r="P269" i="17"/>
  <c r="H269" i="17"/>
  <c r="P270" i="17"/>
  <c r="H270" i="17"/>
  <c r="P276" i="17"/>
  <c r="H276" i="17"/>
  <c r="P284" i="17"/>
  <c r="H284" i="17"/>
  <c r="P290" i="17"/>
  <c r="H290" i="17"/>
  <c r="P287" i="17"/>
  <c r="H287" i="17"/>
  <c r="H300" i="17"/>
  <c r="P300" i="17"/>
  <c r="H299" i="17"/>
  <c r="P299" i="17"/>
  <c r="H275" i="17"/>
  <c r="P275" i="17"/>
  <c r="H280" i="17"/>
  <c r="P280" i="17"/>
  <c r="P286" i="17"/>
  <c r="H286" i="17"/>
  <c r="P288" i="17"/>
  <c r="H288" i="17"/>
  <c r="P285" i="17"/>
  <c r="H285" i="17"/>
  <c r="H301" i="17"/>
  <c r="P301" i="17"/>
  <c r="H302" i="17"/>
  <c r="P302" i="17"/>
  <c r="P289" i="17"/>
  <c r="H289" i="17"/>
  <c r="H292" i="17"/>
  <c r="P292" i="17"/>
  <c r="H303" i="17"/>
  <c r="P303" i="17"/>
  <c r="H304" i="17"/>
  <c r="P304" i="17"/>
  <c r="H305" i="17"/>
  <c r="P305" i="17"/>
  <c r="H306" i="17"/>
  <c r="P306" i="17"/>
  <c r="H310" i="17"/>
  <c r="P310" i="17"/>
  <c r="H295" i="17"/>
  <c r="P295" i="17"/>
  <c r="H307" i="17"/>
  <c r="P307" i="17"/>
  <c r="H308" i="17"/>
  <c r="P308" i="17"/>
  <c r="H309" i="17"/>
  <c r="P309" i="17"/>
  <c r="P291" i="17"/>
  <c r="H291" i="17"/>
  <c r="H293" i="17"/>
  <c r="P293" i="17"/>
  <c r="H296" i="17"/>
  <c r="P296" i="17"/>
  <c r="H297" i="17"/>
  <c r="P297" i="17"/>
  <c r="H298" i="17"/>
  <c r="P298" i="17"/>
  <c r="H311" i="17"/>
  <c r="P311" i="17"/>
  <c r="P10" i="17"/>
  <c r="H10" i="17"/>
  <c r="P8" i="17"/>
  <c r="H8" i="17"/>
  <c r="H28" i="17"/>
  <c r="P28" i="17"/>
  <c r="P12" i="17"/>
  <c r="H12" i="17"/>
  <c r="P23" i="17"/>
  <c r="H23" i="17"/>
  <c r="H9" i="17"/>
  <c r="P9" i="17"/>
  <c r="P14" i="17"/>
  <c r="H14" i="17"/>
  <c r="P13" i="17"/>
  <c r="H13" i="17"/>
  <c r="H6" i="17"/>
  <c r="P6" i="17"/>
  <c r="H3" i="17"/>
  <c r="P3" i="17"/>
  <c r="C11" i="1"/>
  <c r="C13" i="1"/>
  <c r="E6" i="1"/>
  <c r="L6" i="1"/>
  <c r="D6" i="1"/>
  <c r="D13" i="1"/>
  <c r="B24" i="1"/>
  <c r="F18" i="2" s="1"/>
  <c r="P6" i="1"/>
  <c r="F6" i="1"/>
  <c r="B14" i="1"/>
  <c r="B27" i="2" s="1"/>
  <c r="N6" i="1"/>
  <c r="I6" i="1"/>
  <c r="K6" i="1"/>
  <c r="G11" i="4" a="1"/>
  <c r="G11" i="4" s="1"/>
  <c r="Q11" i="4" s="1"/>
  <c r="F7" i="4" a="1"/>
  <c r="F7" i="4" s="1"/>
  <c r="F17" i="4" s="1"/>
  <c r="M5" i="4" a="1"/>
  <c r="M5" i="4" s="1"/>
  <c r="M15" i="4" s="1"/>
  <c r="B6" i="4" a="1"/>
  <c r="B6" i="4" s="1"/>
  <c r="B16" i="4" s="1"/>
  <c r="L5" i="4" a="1"/>
  <c r="L5" i="4" s="1"/>
  <c r="L15" i="4" s="1"/>
  <c r="M6" i="4" a="1"/>
  <c r="M6" i="4" s="1"/>
  <c r="M16" i="4" s="1"/>
  <c r="D8" i="4" a="1"/>
  <c r="D8" i="4" s="1"/>
  <c r="D18" i="4" s="1"/>
  <c r="E7" i="4" a="1"/>
  <c r="E7" i="4" s="1"/>
  <c r="E17" i="4" s="1"/>
  <c r="G6" i="4" a="1"/>
  <c r="G6" i="4" s="1"/>
  <c r="I8" i="4" a="1"/>
  <c r="I8" i="4" s="1"/>
  <c r="I18" i="4" s="1"/>
  <c r="L6" i="4" a="1"/>
  <c r="L6" i="4" s="1"/>
  <c r="L16" i="4" s="1"/>
  <c r="N8" i="4" a="1"/>
  <c r="N8" i="4" s="1"/>
  <c r="N18" i="4" s="1"/>
  <c r="H6" i="4" a="1"/>
  <c r="H6" i="4" s="1"/>
  <c r="H16" i="4" s="1"/>
  <c r="K5" i="4" a="1"/>
  <c r="K5" i="4" s="1"/>
  <c r="K15" i="4" s="1"/>
  <c r="C6" i="4" a="1"/>
  <c r="C6" i="4" s="1"/>
  <c r="C16" i="4" s="1"/>
  <c r="I5" i="4" a="1"/>
  <c r="I5" i="4" s="1"/>
  <c r="I15" i="4" s="1"/>
  <c r="B22" i="1"/>
  <c r="D18" i="2" s="1"/>
  <c r="P16" i="4"/>
  <c r="F18" i="4"/>
  <c r="M18" i="4"/>
  <c r="M17" i="4"/>
  <c r="E17" i="1"/>
  <c r="R19" i="1"/>
  <c r="K19" i="1"/>
  <c r="H15" i="1"/>
  <c r="J21" i="1"/>
  <c r="L15" i="1"/>
  <c r="G4" i="1"/>
  <c r="J4" i="1"/>
  <c r="P15" i="1"/>
  <c r="I15" i="1"/>
  <c r="M19" i="1"/>
  <c r="K17" i="1"/>
  <c r="E21" i="1"/>
  <c r="H21" i="1"/>
  <c r="I21" i="1"/>
  <c r="O15" i="1"/>
  <c r="J11" i="1"/>
  <c r="H11" i="1"/>
  <c r="M15" i="1"/>
  <c r="Q19" i="1"/>
  <c r="Q15" i="1"/>
  <c r="N4" i="1"/>
  <c r="L11" i="1"/>
  <c r="J15" i="1"/>
  <c r="H4" i="1"/>
  <c r="E15" i="1"/>
  <c r="J19" i="1"/>
  <c r="P19" i="1"/>
  <c r="P21" i="1"/>
  <c r="Q4" i="1"/>
  <c r="O19" i="1"/>
  <c r="O21" i="1"/>
  <c r="H19" i="1"/>
  <c r="D4" i="1"/>
  <c r="I19" i="1"/>
  <c r="O17" i="1"/>
  <c r="J3" i="8"/>
  <c r="N21" i="1"/>
  <c r="N19" i="1"/>
  <c r="N17" i="4"/>
  <c r="L23" i="2"/>
  <c r="J24" i="2" s="1"/>
  <c r="D19" i="1"/>
  <c r="C19" i="1"/>
  <c r="C21" i="1"/>
  <c r="F13" i="1"/>
  <c r="B10" i="1"/>
  <c r="B23" i="1"/>
  <c r="E18" i="2" s="1"/>
  <c r="D32" i="11"/>
  <c r="E32" i="11" s="1"/>
  <c r="D16" i="11"/>
  <c r="E16" i="11" s="1"/>
  <c r="D25" i="11"/>
  <c r="E25" i="11" s="1"/>
  <c r="D29" i="11"/>
  <c r="E29" i="11" s="1"/>
  <c r="I3" i="10"/>
  <c r="D8" i="10"/>
  <c r="E8" i="10" s="1"/>
  <c r="D58" i="10"/>
  <c r="E58" i="10" s="1"/>
  <c r="D51" i="10"/>
  <c r="E51" i="10" s="1"/>
  <c r="D32" i="10"/>
  <c r="E32" i="10" s="1"/>
  <c r="D33" i="10"/>
  <c r="E33" i="10" s="1"/>
  <c r="D91" i="10"/>
  <c r="E91" i="10" s="1"/>
  <c r="D60" i="10"/>
  <c r="D67" i="10"/>
  <c r="E67" i="10" s="1"/>
  <c r="D78" i="10"/>
  <c r="E78" i="10" s="1"/>
  <c r="D101" i="10"/>
  <c r="E2" i="10"/>
  <c r="D7" i="10"/>
  <c r="D22" i="10"/>
  <c r="E22" i="10" s="1"/>
  <c r="D92" i="10"/>
  <c r="E92" i="10" s="1"/>
  <c r="D27" i="9"/>
  <c r="E27" i="9" s="1"/>
  <c r="D11" i="9"/>
  <c r="E11" i="9" s="1"/>
  <c r="D18" i="9"/>
  <c r="E18" i="9" s="1"/>
  <c r="D50" i="9"/>
  <c r="E50" i="9" s="1"/>
  <c r="E35" i="11"/>
  <c r="D35" i="11"/>
  <c r="I5" i="11"/>
  <c r="D17" i="11"/>
  <c r="E17" i="11" s="1"/>
  <c r="D9" i="11"/>
  <c r="E9" i="11" s="1"/>
  <c r="D40" i="11"/>
  <c r="E40" i="11" s="1"/>
  <c r="D40" i="10"/>
  <c r="E40" i="10" s="1"/>
  <c r="D87" i="10"/>
  <c r="E87" i="10" s="1"/>
  <c r="D100" i="10"/>
  <c r="E100" i="10" s="1"/>
  <c r="D106" i="10"/>
  <c r="E106" i="10" s="1"/>
  <c r="D47" i="10"/>
  <c r="E47" i="10" s="1"/>
  <c r="D50" i="10"/>
  <c r="E50" i="10" s="1"/>
  <c r="D112" i="10"/>
  <c r="D89" i="10"/>
  <c r="E89" i="10" s="1"/>
  <c r="D83" i="10"/>
  <c r="E83" i="10" s="1"/>
  <c r="D113" i="10"/>
  <c r="D108" i="10"/>
  <c r="E108" i="10" s="1"/>
  <c r="D9" i="10"/>
  <c r="E9" i="10" s="1"/>
  <c r="E2" i="9"/>
  <c r="D7" i="9"/>
  <c r="E7" i="9" s="1"/>
  <c r="D38" i="9"/>
  <c r="E38" i="9" s="1"/>
  <c r="D43" i="9"/>
  <c r="E43" i="9" s="1"/>
  <c r="D67" i="9"/>
  <c r="E67" i="9" s="1"/>
  <c r="D45" i="9"/>
  <c r="E45" i="9" s="1"/>
  <c r="D16" i="9"/>
  <c r="E16" i="9" s="1"/>
  <c r="D22" i="9"/>
  <c r="E22" i="9" s="1"/>
  <c r="D79" i="8"/>
  <c r="E79" i="8" s="1"/>
  <c r="D12" i="8"/>
  <c r="E12" i="8" s="1"/>
  <c r="D39" i="8"/>
  <c r="E39" i="8" s="1"/>
  <c r="D82" i="8"/>
  <c r="E82" i="8" s="1"/>
  <c r="D59" i="8"/>
  <c r="E59" i="8" s="1"/>
  <c r="D18" i="8"/>
  <c r="E18" i="8" s="1"/>
  <c r="D74" i="8"/>
  <c r="E74" i="8" s="1"/>
  <c r="D28" i="8"/>
  <c r="E28" i="8" s="1"/>
  <c r="D88" i="8"/>
  <c r="E88" i="8" s="1"/>
  <c r="D109" i="8"/>
  <c r="E109" i="8" s="1"/>
  <c r="D21" i="8"/>
  <c r="J17" i="4"/>
  <c r="H15" i="4"/>
  <c r="N13" i="1"/>
  <c r="E18" i="4"/>
  <c r="D41" i="11"/>
  <c r="E41" i="11" s="1"/>
  <c r="D28" i="11"/>
  <c r="E28" i="11" s="1"/>
  <c r="D36" i="11"/>
  <c r="E36" i="11" s="1"/>
  <c r="D24" i="11"/>
  <c r="E24" i="11" s="1"/>
  <c r="D11" i="11"/>
  <c r="E11" i="11" s="1"/>
  <c r="D86" i="10"/>
  <c r="E86" i="10" s="1"/>
  <c r="D21" i="10"/>
  <c r="E21" i="10" s="1"/>
  <c r="D52" i="10"/>
  <c r="E52" i="10" s="1"/>
  <c r="D16" i="10"/>
  <c r="E16" i="10"/>
  <c r="D49" i="10"/>
  <c r="E49" i="10" s="1"/>
  <c r="D71" i="10"/>
  <c r="E71" i="10" s="1"/>
  <c r="D26" i="10"/>
  <c r="E26" i="10" s="1"/>
  <c r="D104" i="10"/>
  <c r="E104" i="10" s="1"/>
  <c r="D110" i="10"/>
  <c r="E110" i="10" s="1"/>
  <c r="D99" i="10"/>
  <c r="E99" i="10" s="1"/>
  <c r="D103" i="10"/>
  <c r="E103" i="10" s="1"/>
  <c r="D10" i="10"/>
  <c r="E10" i="10" s="1"/>
  <c r="D57" i="10"/>
  <c r="E57" i="10" s="1"/>
  <c r="D57" i="9"/>
  <c r="E57" i="9" s="1"/>
  <c r="D51" i="9"/>
  <c r="E51" i="9" s="1"/>
  <c r="D52" i="9"/>
  <c r="E52" i="9" s="1"/>
  <c r="D29" i="9"/>
  <c r="D15" i="9"/>
  <c r="E15" i="9" s="1"/>
  <c r="D61" i="9"/>
  <c r="E61" i="9" s="1"/>
  <c r="D10" i="9"/>
  <c r="E10" i="9" s="1"/>
  <c r="D36" i="9"/>
  <c r="D73" i="8"/>
  <c r="E73" i="8" s="1"/>
  <c r="D30" i="8"/>
  <c r="E30" i="8" s="1"/>
  <c r="D42" i="8"/>
  <c r="E42" i="8" s="1"/>
  <c r="E32" i="8"/>
  <c r="D32" i="8"/>
  <c r="D57" i="8"/>
  <c r="E57" i="8" s="1"/>
  <c r="D8" i="8"/>
  <c r="E8" i="8" s="1"/>
  <c r="D64" i="8"/>
  <c r="E64" i="8" s="1"/>
  <c r="D27" i="8"/>
  <c r="E27" i="8" s="1"/>
  <c r="D91" i="8"/>
  <c r="E91" i="8" s="1"/>
  <c r="D44" i="8"/>
  <c r="E44" i="8" s="1"/>
  <c r="D106" i="8"/>
  <c r="E106" i="8" s="1"/>
  <c r="D34" i="8"/>
  <c r="E34" i="8" s="1"/>
  <c r="E2" i="8"/>
  <c r="K16" i="4"/>
  <c r="F16" i="4"/>
  <c r="P17" i="4"/>
  <c r="L21" i="1"/>
  <c r="D39" i="2"/>
  <c r="P11" i="1"/>
  <c r="D11" i="1"/>
  <c r="D42" i="11"/>
  <c r="E42" i="11" s="1"/>
  <c r="D23" i="11"/>
  <c r="E23" i="11" s="1"/>
  <c r="D13" i="11"/>
  <c r="E13" i="11" s="1"/>
  <c r="D26" i="11"/>
  <c r="D18" i="11"/>
  <c r="E18" i="11" s="1"/>
  <c r="D102" i="10"/>
  <c r="E102" i="10" s="1"/>
  <c r="D37" i="10"/>
  <c r="E37" i="10" s="1"/>
  <c r="D81" i="10"/>
  <c r="E81" i="10" s="1"/>
  <c r="D31" i="10"/>
  <c r="D25" i="10"/>
  <c r="E25" i="10" s="1"/>
  <c r="D80" i="10"/>
  <c r="E80" i="10" s="1"/>
  <c r="D56" i="10"/>
  <c r="E56" i="10" s="1"/>
  <c r="D66" i="10"/>
  <c r="E66" i="10" s="1"/>
  <c r="D70" i="10"/>
  <c r="E70" i="10" s="1"/>
  <c r="D96" i="10"/>
  <c r="E96" i="10" s="1"/>
  <c r="D11" i="10"/>
  <c r="D27" i="10"/>
  <c r="E27" i="10" s="1"/>
  <c r="D45" i="10"/>
  <c r="E45" i="10" s="1"/>
  <c r="D49" i="9"/>
  <c r="E49" i="9" s="1"/>
  <c r="D56" i="9"/>
  <c r="E56" i="9" s="1"/>
  <c r="D65" i="9"/>
  <c r="E65" i="9" s="1"/>
  <c r="D42" i="9"/>
  <c r="E42" i="9" s="1"/>
  <c r="D31" i="11"/>
  <c r="E31" i="11" s="1"/>
  <c r="D12" i="11"/>
  <c r="D30" i="11"/>
  <c r="E30" i="11" s="1"/>
  <c r="D33" i="11"/>
  <c r="E33" i="11" s="1"/>
  <c r="D88" i="10"/>
  <c r="E88" i="10" s="1"/>
  <c r="D74" i="10"/>
  <c r="E74" i="10" s="1"/>
  <c r="D79" i="10"/>
  <c r="E79" i="10" s="1"/>
  <c r="D65" i="10"/>
  <c r="E65" i="10" s="1"/>
  <c r="D46" i="10"/>
  <c r="E46" i="10" s="1"/>
  <c r="D41" i="10"/>
  <c r="E41" i="10" s="1"/>
  <c r="D97" i="10"/>
  <c r="E97" i="10" s="1"/>
  <c r="D64" i="10"/>
  <c r="E64" i="10" s="1"/>
  <c r="D68" i="10"/>
  <c r="E68" i="10" s="1"/>
  <c r="D98" i="10"/>
  <c r="E98" i="10" s="1"/>
  <c r="D109" i="10"/>
  <c r="D14" i="10"/>
  <c r="D84" i="10"/>
  <c r="E84" i="10" s="1"/>
  <c r="D24" i="9"/>
  <c r="E24" i="9" s="1"/>
  <c r="D17" i="9"/>
  <c r="D26" i="9"/>
  <c r="E26" i="9" s="1"/>
  <c r="D59" i="9"/>
  <c r="E59" i="9" s="1"/>
  <c r="D63" i="9"/>
  <c r="E63" i="9" s="1"/>
  <c r="D60" i="9"/>
  <c r="E60" i="9" s="1"/>
  <c r="D84" i="8"/>
  <c r="E84" i="8" s="1"/>
  <c r="D25" i="8"/>
  <c r="E25" i="8" s="1"/>
  <c r="D53" i="8"/>
  <c r="D49" i="8"/>
  <c r="D69" i="8"/>
  <c r="E69" i="8" s="1"/>
  <c r="D105" i="8"/>
  <c r="E105" i="8" s="1"/>
  <c r="D20" i="8"/>
  <c r="E20" i="8" s="1"/>
  <c r="D99" i="8"/>
  <c r="E99" i="8" s="1"/>
  <c r="D101" i="8"/>
  <c r="E101" i="8" s="1"/>
  <c r="D43" i="8"/>
  <c r="E43" i="8" s="1"/>
  <c r="D104" i="8"/>
  <c r="E104" i="8" s="1"/>
  <c r="D39" i="11"/>
  <c r="E39" i="11" s="1"/>
  <c r="D20" i="11"/>
  <c r="E20" i="11" s="1"/>
  <c r="D22" i="11"/>
  <c r="E22" i="11" s="1"/>
  <c r="D14" i="11"/>
  <c r="E14" i="11" s="1"/>
  <c r="D7" i="11"/>
  <c r="E7" i="11" s="1"/>
  <c r="E2" i="11"/>
  <c r="D23" i="10"/>
  <c r="E23" i="10" s="1"/>
  <c r="D20" i="10"/>
  <c r="D105" i="10"/>
  <c r="E105" i="10" s="1"/>
  <c r="D15" i="10"/>
  <c r="E15" i="10" s="1"/>
  <c r="D48" i="10"/>
  <c r="E48" i="10" s="1"/>
  <c r="D59" i="10"/>
  <c r="E59" i="10" s="1"/>
  <c r="D19" i="10"/>
  <c r="E19" i="10" s="1"/>
  <c r="D94" i="10"/>
  <c r="E94" i="10" s="1"/>
  <c r="D93" i="10"/>
  <c r="E93" i="10" s="1"/>
  <c r="D90" i="10"/>
  <c r="D95" i="10"/>
  <c r="I4" i="10"/>
  <c r="D28" i="10"/>
  <c r="E28" i="10" s="1"/>
  <c r="D12" i="9"/>
  <c r="E12" i="9" s="1"/>
  <c r="D39" i="9"/>
  <c r="E39" i="9" s="1"/>
  <c r="D48" i="9"/>
  <c r="E48" i="9" s="1"/>
  <c r="D30" i="9"/>
  <c r="E30" i="9" s="1"/>
  <c r="D33" i="9"/>
  <c r="E33" i="9" s="1"/>
  <c r="D31" i="9"/>
  <c r="E31" i="9"/>
  <c r="D29" i="8"/>
  <c r="E29" i="8" s="1"/>
  <c r="D78" i="8"/>
  <c r="D33" i="8"/>
  <c r="E33" i="8" s="1"/>
  <c r="D51" i="8"/>
  <c r="E51" i="8" s="1"/>
  <c r="D23" i="8"/>
  <c r="E23" i="8" s="1"/>
  <c r="D48" i="8"/>
  <c r="E48" i="8" s="1"/>
  <c r="D95" i="8"/>
  <c r="E95" i="8" s="1"/>
  <c r="D60" i="8"/>
  <c r="E60" i="8" s="1"/>
  <c r="D22" i="8"/>
  <c r="D90" i="8"/>
  <c r="E90" i="8" s="1"/>
  <c r="D36" i="8"/>
  <c r="E36" i="8" s="1"/>
  <c r="D97" i="8"/>
  <c r="E97" i="8" s="1"/>
  <c r="D13" i="8"/>
  <c r="E13" i="8" s="1"/>
  <c r="D37" i="8"/>
  <c r="E37" i="8" s="1"/>
  <c r="D10" i="11"/>
  <c r="E10" i="11" s="1"/>
  <c r="D38" i="11"/>
  <c r="E38" i="11" s="1"/>
  <c r="D34" i="11"/>
  <c r="E34" i="11" s="1"/>
  <c r="D15" i="11"/>
  <c r="E15" i="11" s="1"/>
  <c r="D63" i="10"/>
  <c r="E63" i="10" s="1"/>
  <c r="D35" i="10"/>
  <c r="D53" i="10"/>
  <c r="E53" i="10" s="1"/>
  <c r="D17" i="10"/>
  <c r="E17" i="10" s="1"/>
  <c r="D85" i="10"/>
  <c r="E85" i="10"/>
  <c r="D72" i="10"/>
  <c r="E72" i="10" s="1"/>
  <c r="D34" i="10"/>
  <c r="D107" i="10"/>
  <c r="E107" i="10" s="1"/>
  <c r="D55" i="10"/>
  <c r="E55" i="10" s="1"/>
  <c r="D69" i="10"/>
  <c r="E69" i="10" s="1"/>
  <c r="D111" i="10"/>
  <c r="D13" i="10"/>
  <c r="E13" i="10" s="1"/>
  <c r="D23" i="9"/>
  <c r="E23" i="9" s="1"/>
  <c r="D53" i="9"/>
  <c r="E53" i="9" s="1"/>
  <c r="D58" i="9"/>
  <c r="E58" i="9" s="1"/>
  <c r="D28" i="9"/>
  <c r="E28" i="9" s="1"/>
  <c r="D14" i="9"/>
  <c r="D46" i="9"/>
  <c r="E46" i="9" s="1"/>
  <c r="D47" i="9"/>
  <c r="E47" i="9" s="1"/>
  <c r="D21" i="9"/>
  <c r="E21" i="9" s="1"/>
  <c r="D68" i="9"/>
  <c r="E68" i="9" s="1"/>
  <c r="D100" i="8"/>
  <c r="E100" i="8" s="1"/>
  <c r="D26" i="8"/>
  <c r="E26" i="8" s="1"/>
  <c r="D70" i="8"/>
  <c r="E70" i="8" s="1"/>
  <c r="D24" i="8"/>
  <c r="E24" i="8" s="1"/>
  <c r="D41" i="8"/>
  <c r="E41" i="8" s="1"/>
  <c r="D58" i="8"/>
  <c r="E58" i="8" s="1"/>
  <c r="D14" i="8"/>
  <c r="E14" i="8" s="1"/>
  <c r="D81" i="8"/>
  <c r="E81" i="8" s="1"/>
  <c r="D45" i="8"/>
  <c r="E45" i="8" s="1"/>
  <c r="D61" i="8"/>
  <c r="E61" i="8" s="1"/>
  <c r="D52" i="8"/>
  <c r="E52" i="8" s="1"/>
  <c r="D63" i="8"/>
  <c r="E63" i="8" s="1"/>
  <c r="E16" i="4"/>
  <c r="I16" i="4"/>
  <c r="J16" i="4"/>
  <c r="Q12" i="4"/>
  <c r="C15" i="1"/>
  <c r="C17" i="1"/>
  <c r="D21" i="1"/>
  <c r="B18" i="1"/>
  <c r="B28" i="2" s="1"/>
  <c r="D36" i="2"/>
  <c r="L13" i="1"/>
  <c r="C4" i="1"/>
  <c r="D32" i="9"/>
  <c r="E32" i="9" s="1"/>
  <c r="D20" i="9"/>
  <c r="E20" i="9" s="1"/>
  <c r="D67" i="8"/>
  <c r="E67" i="8" s="1"/>
  <c r="D16" i="8"/>
  <c r="E16" i="8" s="1"/>
  <c r="D10" i="8"/>
  <c r="E10" i="8" s="1"/>
  <c r="D80" i="8"/>
  <c r="E80" i="8" s="1"/>
  <c r="D103" i="8"/>
  <c r="E103" i="8" s="1"/>
  <c r="D31" i="8"/>
  <c r="E31" i="8" s="1"/>
  <c r="D102" i="8"/>
  <c r="D54" i="8"/>
  <c r="E54" i="8" s="1"/>
  <c r="D76" i="8"/>
  <c r="E76" i="8" s="1"/>
  <c r="D86" i="8"/>
  <c r="E86" i="8" s="1"/>
  <c r="D85" i="8"/>
  <c r="E85" i="8" s="1"/>
  <c r="D56" i="8"/>
  <c r="E56" i="8" s="1"/>
  <c r="B17" i="4"/>
  <c r="D9" i="9"/>
  <c r="E9" i="9" s="1"/>
  <c r="D41" i="9"/>
  <c r="E41" i="9" s="1"/>
  <c r="D89" i="8"/>
  <c r="E89" i="8" s="1"/>
  <c r="D66" i="8"/>
  <c r="E66" i="8" s="1"/>
  <c r="D108" i="8"/>
  <c r="D110" i="8"/>
  <c r="E110" i="8" s="1"/>
  <c r="D40" i="8"/>
  <c r="E40" i="8" s="1"/>
  <c r="D9" i="8"/>
  <c r="D75" i="8"/>
  <c r="E75" i="8" s="1"/>
  <c r="D94" i="8"/>
  <c r="E94" i="8" s="1"/>
  <c r="D98" i="8"/>
  <c r="E98" i="8" s="1"/>
  <c r="D93" i="8"/>
  <c r="E93" i="8" s="1"/>
  <c r="D46" i="8"/>
  <c r="E46" i="8" s="1"/>
  <c r="D107" i="8"/>
  <c r="E107" i="8" s="1"/>
  <c r="D37" i="11"/>
  <c r="D27" i="11"/>
  <c r="E27" i="11" s="1"/>
  <c r="I2" i="11"/>
  <c r="I4" i="11"/>
  <c r="I3" i="11"/>
  <c r="I2" i="10"/>
  <c r="I2" i="9"/>
  <c r="I5" i="9"/>
  <c r="I5" i="8"/>
  <c r="I2" i="8"/>
  <c r="I3" i="9"/>
  <c r="I4" i="9"/>
  <c r="D21" i="11"/>
  <c r="E21" i="11" s="1"/>
  <c r="D8" i="11"/>
  <c r="D19" i="11"/>
  <c r="E19" i="11"/>
  <c r="D82" i="10"/>
  <c r="E82" i="10" s="1"/>
  <c r="D36" i="10"/>
  <c r="E36" i="10" s="1"/>
  <c r="D54" i="10"/>
  <c r="E54" i="10"/>
  <c r="D30" i="10"/>
  <c r="E30" i="10" s="1"/>
  <c r="D18" i="10"/>
  <c r="D73" i="10"/>
  <c r="E73" i="10" s="1"/>
  <c r="D42" i="10"/>
  <c r="E42" i="10" s="1"/>
  <c r="D61" i="10"/>
  <c r="E61" i="10" s="1"/>
  <c r="D62" i="10"/>
  <c r="D77" i="10"/>
  <c r="D39" i="10"/>
  <c r="E39" i="10" s="1"/>
  <c r="D24" i="10"/>
  <c r="D62" i="9"/>
  <c r="E62" i="9" s="1"/>
  <c r="D55" i="9"/>
  <c r="E55" i="9" s="1"/>
  <c r="D64" i="9"/>
  <c r="E64" i="9" s="1"/>
  <c r="D34" i="9"/>
  <c r="E34" i="9" s="1"/>
  <c r="D13" i="9"/>
  <c r="D37" i="9"/>
  <c r="E37" i="9"/>
  <c r="D35" i="9"/>
  <c r="E35" i="9" s="1"/>
  <c r="D35" i="8"/>
  <c r="E35" i="8" s="1"/>
  <c r="D19" i="8"/>
  <c r="D11" i="8"/>
  <c r="D71" i="8"/>
  <c r="D55" i="8"/>
  <c r="E55" i="8" s="1"/>
  <c r="D83" i="8"/>
  <c r="E83" i="8" s="1"/>
  <c r="D17" i="8"/>
  <c r="E17" i="8" s="1"/>
  <c r="D87" i="8"/>
  <c r="D50" i="8"/>
  <c r="E50" i="8" s="1"/>
  <c r="D65" i="8"/>
  <c r="D62" i="8"/>
  <c r="E62" i="8" s="1"/>
  <c r="D77" i="8"/>
  <c r="E77" i="8" s="1"/>
  <c r="D72" i="8"/>
  <c r="E72" i="8"/>
  <c r="H17" i="4"/>
  <c r="R13" i="1"/>
  <c r="P15" i="4"/>
  <c r="D15" i="4"/>
  <c r="G15" i="1"/>
  <c r="G17" i="1"/>
  <c r="N17" i="1"/>
  <c r="F17" i="1"/>
  <c r="Q17" i="1"/>
  <c r="D37" i="2"/>
  <c r="G21" i="1"/>
  <c r="Q13" i="4"/>
  <c r="I17" i="4"/>
  <c r="D38" i="2"/>
  <c r="I4" i="1"/>
  <c r="C6" i="1"/>
  <c r="B3" i="1"/>
  <c r="B8" i="1" s="1"/>
  <c r="M11" i="1"/>
  <c r="H1" i="1" l="1" a="1"/>
  <c r="H1" i="1" s="1"/>
  <c r="R4" i="1"/>
  <c r="E15" i="4"/>
  <c r="B5" i="1"/>
  <c r="Q10" i="4"/>
  <c r="B15" i="4"/>
  <c r="B1" i="17" a="1"/>
  <c r="B1" i="17" s="1"/>
  <c r="R21" i="1"/>
  <c r="E9" i="1"/>
  <c r="M9" i="1"/>
  <c r="F9" i="1"/>
  <c r="N9" i="1"/>
  <c r="G9" i="1"/>
  <c r="O9" i="1"/>
  <c r="H9" i="1"/>
  <c r="P9" i="1"/>
  <c r="L9" i="1"/>
  <c r="I9" i="1"/>
  <c r="Q9" i="1"/>
  <c r="J9" i="1"/>
  <c r="R9" i="1"/>
  <c r="K9" i="1"/>
  <c r="C9" i="1"/>
  <c r="D9" i="1"/>
  <c r="I17" i="1"/>
  <c r="J13" i="1"/>
  <c r="H13" i="1"/>
  <c r="A18" i="2"/>
  <c r="M17" i="1"/>
  <c r="B16" i="1"/>
  <c r="B15" i="1" s="1"/>
  <c r="H17" i="1"/>
  <c r="K15" i="1"/>
  <c r="L17" i="1"/>
  <c r="E19" i="1"/>
  <c r="M21" i="1"/>
  <c r="G16" i="4"/>
  <c r="Q16" i="4" s="1"/>
  <c r="Q8" i="4"/>
  <c r="F2" i="4" s="1"/>
  <c r="Q7" i="4"/>
  <c r="E2" i="4" s="1"/>
  <c r="Q6" i="4"/>
  <c r="D2" i="4" s="1"/>
  <c r="Q5" i="4"/>
  <c r="P13" i="1"/>
  <c r="K21" i="1"/>
  <c r="P17" i="1"/>
  <c r="Q21" i="1"/>
  <c r="E112" i="10"/>
  <c r="E95" i="10"/>
  <c r="E20" i="10"/>
  <c r="E60" i="10"/>
  <c r="E90" i="10"/>
  <c r="E36" i="9"/>
  <c r="E17" i="9"/>
  <c r="E21" i="8"/>
  <c r="E108" i="8"/>
  <c r="J17" i="1"/>
  <c r="M13" i="1"/>
  <c r="J22" i="11"/>
  <c r="I22" i="11"/>
  <c r="G22" i="11"/>
  <c r="H22" i="11"/>
  <c r="I67" i="9"/>
  <c r="J67" i="9"/>
  <c r="H67" i="9"/>
  <c r="G67" i="9"/>
  <c r="I18" i="8"/>
  <c r="J18" i="8"/>
  <c r="H18" i="8"/>
  <c r="G18" i="8"/>
  <c r="I9" i="9"/>
  <c r="J9" i="9"/>
  <c r="G9" i="9"/>
  <c r="H9" i="9"/>
  <c r="I11" i="1"/>
  <c r="I13" i="1"/>
  <c r="H36" i="9"/>
  <c r="I36" i="9"/>
  <c r="G36" i="9"/>
  <c r="J36" i="9"/>
  <c r="I85" i="8"/>
  <c r="J85" i="8"/>
  <c r="H85" i="8"/>
  <c r="G85" i="8"/>
  <c r="G33" i="10"/>
  <c r="I33" i="10"/>
  <c r="H33" i="10"/>
  <c r="J33" i="10"/>
  <c r="I20" i="9"/>
  <c r="J20" i="9"/>
  <c r="G20" i="9"/>
  <c r="H20" i="9"/>
  <c r="J62" i="8"/>
  <c r="G62" i="8"/>
  <c r="I62" i="8"/>
  <c r="H62" i="8"/>
  <c r="J14" i="8"/>
  <c r="I14" i="8"/>
  <c r="H14" i="8"/>
  <c r="G14" i="8"/>
  <c r="E62" i="10"/>
  <c r="E18" i="10"/>
  <c r="L4" i="1"/>
  <c r="J97" i="10"/>
  <c r="G97" i="10"/>
  <c r="I97" i="10"/>
  <c r="H97" i="10"/>
  <c r="G8" i="9"/>
  <c r="J8" i="9"/>
  <c r="H8" i="9"/>
  <c r="I8" i="9"/>
  <c r="I65" i="8"/>
  <c r="G65" i="8"/>
  <c r="H65" i="8"/>
  <c r="J65" i="8"/>
  <c r="J21" i="10"/>
  <c r="G21" i="10"/>
  <c r="I21" i="10"/>
  <c r="H21" i="10"/>
  <c r="G91" i="10"/>
  <c r="J91" i="10"/>
  <c r="H91" i="10"/>
  <c r="I91" i="10"/>
  <c r="G52" i="9"/>
  <c r="J52" i="9"/>
  <c r="I52" i="9"/>
  <c r="H52" i="9"/>
  <c r="G46" i="10"/>
  <c r="H46" i="10"/>
  <c r="J46" i="10"/>
  <c r="I46" i="10"/>
  <c r="H102" i="8"/>
  <c r="J102" i="8"/>
  <c r="G102" i="8"/>
  <c r="I102" i="8"/>
  <c r="H79" i="8"/>
  <c r="J79" i="8"/>
  <c r="I79" i="8"/>
  <c r="G79" i="8"/>
  <c r="H35" i="9"/>
  <c r="J35" i="9"/>
  <c r="I35" i="9"/>
  <c r="G35" i="9"/>
  <c r="G56" i="8"/>
  <c r="I56" i="8"/>
  <c r="H56" i="8"/>
  <c r="J56" i="8"/>
  <c r="J2" i="8"/>
  <c r="E9" i="8"/>
  <c r="H89" i="10"/>
  <c r="G89" i="10"/>
  <c r="J89" i="10"/>
  <c r="I89" i="10"/>
  <c r="J37" i="10"/>
  <c r="G37" i="10"/>
  <c r="I37" i="10"/>
  <c r="H37" i="10"/>
  <c r="G63" i="9"/>
  <c r="I63" i="9"/>
  <c r="J63" i="9"/>
  <c r="H63" i="9"/>
  <c r="H68" i="9"/>
  <c r="J68" i="9"/>
  <c r="I68" i="9"/>
  <c r="G68" i="9"/>
  <c r="H42" i="10"/>
  <c r="J42" i="10"/>
  <c r="I42" i="10"/>
  <c r="G42" i="10"/>
  <c r="I25" i="9"/>
  <c r="J25" i="9"/>
  <c r="G25" i="9"/>
  <c r="H25" i="9"/>
  <c r="G35" i="8"/>
  <c r="H35" i="8"/>
  <c r="J35" i="8"/>
  <c r="I35" i="8"/>
  <c r="G57" i="8"/>
  <c r="H57" i="8"/>
  <c r="I57" i="8"/>
  <c r="J57" i="8"/>
  <c r="E78" i="8"/>
  <c r="E14" i="10"/>
  <c r="O4" i="1"/>
  <c r="H42" i="11"/>
  <c r="J42" i="11"/>
  <c r="G42" i="11"/>
  <c r="I42" i="11"/>
  <c r="H35" i="10"/>
  <c r="J35" i="10"/>
  <c r="I35" i="10"/>
  <c r="G35" i="10"/>
  <c r="J72" i="8"/>
  <c r="G72" i="8"/>
  <c r="I72" i="8"/>
  <c r="H72" i="8"/>
  <c r="G30" i="10"/>
  <c r="H30" i="10"/>
  <c r="I30" i="10"/>
  <c r="J30" i="10"/>
  <c r="E29" i="9"/>
  <c r="J26" i="11"/>
  <c r="I26" i="11"/>
  <c r="H26" i="11"/>
  <c r="G26" i="11"/>
  <c r="J90" i="10"/>
  <c r="I90" i="10"/>
  <c r="H90" i="10"/>
  <c r="G90" i="10"/>
  <c r="H23" i="11"/>
  <c r="I23" i="11"/>
  <c r="J23" i="11"/>
  <c r="G23" i="11"/>
  <c r="I40" i="11"/>
  <c r="J40" i="11"/>
  <c r="H40" i="11"/>
  <c r="G40" i="11"/>
  <c r="J58" i="10"/>
  <c r="H58" i="10"/>
  <c r="G58" i="10"/>
  <c r="I58" i="10"/>
  <c r="G31" i="9"/>
  <c r="J31" i="9"/>
  <c r="H31" i="9"/>
  <c r="I31" i="9"/>
  <c r="H13" i="9"/>
  <c r="G13" i="9"/>
  <c r="J13" i="9"/>
  <c r="I13" i="9"/>
  <c r="E101" i="10"/>
  <c r="G37" i="11"/>
  <c r="H37" i="11"/>
  <c r="I37" i="11"/>
  <c r="J37" i="11"/>
  <c r="H77" i="10"/>
  <c r="I77" i="10"/>
  <c r="G77" i="10"/>
  <c r="J77" i="10"/>
  <c r="H49" i="10"/>
  <c r="I49" i="10"/>
  <c r="G49" i="10"/>
  <c r="J49" i="10"/>
  <c r="H10" i="8"/>
  <c r="G10" i="8"/>
  <c r="I10" i="8"/>
  <c r="J10" i="8"/>
  <c r="H83" i="10"/>
  <c r="J83" i="10"/>
  <c r="I83" i="10"/>
  <c r="G83" i="10"/>
  <c r="I101" i="10"/>
  <c r="H101" i="10"/>
  <c r="J101" i="10"/>
  <c r="G101" i="10"/>
  <c r="I42" i="8"/>
  <c r="J42" i="8"/>
  <c r="H42" i="8"/>
  <c r="G42" i="8"/>
  <c r="G41" i="11"/>
  <c r="I41" i="11"/>
  <c r="J41" i="11"/>
  <c r="H41" i="11"/>
  <c r="H110" i="8"/>
  <c r="J110" i="8"/>
  <c r="I110" i="8"/>
  <c r="G110" i="8"/>
  <c r="G89" i="8"/>
  <c r="J89" i="8"/>
  <c r="H89" i="8"/>
  <c r="I89" i="8"/>
  <c r="G24" i="8"/>
  <c r="I24" i="8"/>
  <c r="H24" i="8"/>
  <c r="J24" i="8"/>
  <c r="J102" i="10"/>
  <c r="G102" i="10"/>
  <c r="H102" i="10"/>
  <c r="I102" i="10"/>
  <c r="J62" i="10"/>
  <c r="H62" i="10"/>
  <c r="I62" i="10"/>
  <c r="G62" i="10"/>
  <c r="J44" i="9"/>
  <c r="H44" i="9"/>
  <c r="G44" i="9"/>
  <c r="I44" i="9"/>
  <c r="J23" i="8"/>
  <c r="I23" i="8"/>
  <c r="G23" i="8"/>
  <c r="H23" i="8"/>
  <c r="E65" i="8"/>
  <c r="E19" i="8"/>
  <c r="E13" i="9"/>
  <c r="J20" i="10"/>
  <c r="I20" i="10"/>
  <c r="H20" i="10"/>
  <c r="G20" i="10"/>
  <c r="H70" i="10"/>
  <c r="I70" i="10"/>
  <c r="G70" i="10"/>
  <c r="J70" i="10"/>
  <c r="I85" i="10"/>
  <c r="J85" i="10"/>
  <c r="H85" i="10"/>
  <c r="G85" i="10"/>
  <c r="I32" i="9"/>
  <c r="J32" i="9"/>
  <c r="G32" i="9"/>
  <c r="H32" i="9"/>
  <c r="J12" i="8"/>
  <c r="I12" i="8"/>
  <c r="H12" i="8"/>
  <c r="G12" i="8"/>
  <c r="K4" i="1"/>
  <c r="H25" i="10"/>
  <c r="J25" i="10"/>
  <c r="I25" i="10"/>
  <c r="G25" i="10"/>
  <c r="H41" i="9"/>
  <c r="J41" i="9"/>
  <c r="G41" i="9"/>
  <c r="I41" i="9"/>
  <c r="Q17" i="4"/>
  <c r="J30" i="11"/>
  <c r="G30" i="11"/>
  <c r="I30" i="11"/>
  <c r="H30" i="11"/>
  <c r="J39" i="11"/>
  <c r="I39" i="11"/>
  <c r="H39" i="11"/>
  <c r="G39" i="11"/>
  <c r="I64" i="10"/>
  <c r="H64" i="10"/>
  <c r="G64" i="10"/>
  <c r="J64" i="10"/>
  <c r="G39" i="9"/>
  <c r="H39" i="9"/>
  <c r="J39" i="9"/>
  <c r="I39" i="9"/>
  <c r="H93" i="8"/>
  <c r="J93" i="8"/>
  <c r="I93" i="8"/>
  <c r="G93" i="8"/>
  <c r="H64" i="8"/>
  <c r="G64" i="8"/>
  <c r="J64" i="8"/>
  <c r="I64" i="8"/>
  <c r="H43" i="8"/>
  <c r="G43" i="8"/>
  <c r="I43" i="8"/>
  <c r="J43" i="8"/>
  <c r="M4" i="1"/>
  <c r="H15" i="11"/>
  <c r="G15" i="11"/>
  <c r="J15" i="11"/>
  <c r="I15" i="11"/>
  <c r="J28" i="10"/>
  <c r="H28" i="10"/>
  <c r="G28" i="10"/>
  <c r="I28" i="10"/>
  <c r="G59" i="8"/>
  <c r="I59" i="8"/>
  <c r="J59" i="8"/>
  <c r="H59" i="8"/>
  <c r="F19" i="1"/>
  <c r="F21" i="1"/>
  <c r="O11" i="1"/>
  <c r="O13" i="1"/>
  <c r="J10" i="11"/>
  <c r="H10" i="11"/>
  <c r="G10" i="11"/>
  <c r="I10" i="11"/>
  <c r="H21" i="11"/>
  <c r="G21" i="11"/>
  <c r="J21" i="11"/>
  <c r="I21" i="11"/>
  <c r="G18" i="10"/>
  <c r="H18" i="10"/>
  <c r="J18" i="10"/>
  <c r="I18" i="10"/>
  <c r="J59" i="9"/>
  <c r="H59" i="9"/>
  <c r="I59" i="9"/>
  <c r="G59" i="9"/>
  <c r="I56" i="9"/>
  <c r="J56" i="9"/>
  <c r="H56" i="9"/>
  <c r="G56" i="9"/>
  <c r="H90" i="8"/>
  <c r="J90" i="8"/>
  <c r="G90" i="8"/>
  <c r="I90" i="8"/>
  <c r="G48" i="8"/>
  <c r="H48" i="8"/>
  <c r="I48" i="8"/>
  <c r="J48" i="8"/>
  <c r="I74" i="8"/>
  <c r="G74" i="8"/>
  <c r="J74" i="8"/>
  <c r="H74" i="8"/>
  <c r="J20" i="11"/>
  <c r="I20" i="11"/>
  <c r="G20" i="11"/>
  <c r="H20" i="11"/>
  <c r="J45" i="9"/>
  <c r="H45" i="9"/>
  <c r="G45" i="9"/>
  <c r="I45" i="9"/>
  <c r="G22" i="10"/>
  <c r="I22" i="10"/>
  <c r="J22" i="10"/>
  <c r="H22" i="10"/>
  <c r="I16" i="9"/>
  <c r="H16" i="9"/>
  <c r="J16" i="9"/>
  <c r="G16" i="9"/>
  <c r="G7" i="8"/>
  <c r="H7" i="8"/>
  <c r="J7" i="8"/>
  <c r="I7" i="8"/>
  <c r="E3" i="8"/>
  <c r="G3" i="8" s="1"/>
  <c r="J14" i="11"/>
  <c r="H14" i="11"/>
  <c r="G14" i="11"/>
  <c r="I14" i="11"/>
  <c r="H17" i="11"/>
  <c r="G17" i="11"/>
  <c r="J17" i="11"/>
  <c r="I17" i="11"/>
  <c r="J21" i="9"/>
  <c r="G21" i="9"/>
  <c r="H21" i="9"/>
  <c r="I21" i="9"/>
  <c r="J14" i="9"/>
  <c r="G14" i="9"/>
  <c r="I14" i="9"/>
  <c r="H14" i="9"/>
  <c r="J9" i="8"/>
  <c r="G9" i="8"/>
  <c r="I9" i="8"/>
  <c r="H9" i="8"/>
  <c r="G13" i="8"/>
  <c r="H13" i="8"/>
  <c r="J13" i="8"/>
  <c r="I13" i="8"/>
  <c r="G2" i="11"/>
  <c r="F2" i="11"/>
  <c r="E49" i="8"/>
  <c r="E109" i="10"/>
  <c r="E31" i="10"/>
  <c r="H34" i="10"/>
  <c r="G34" i="10"/>
  <c r="J34" i="10"/>
  <c r="I34" i="10"/>
  <c r="G17" i="9"/>
  <c r="J17" i="9"/>
  <c r="I17" i="9"/>
  <c r="H17" i="9"/>
  <c r="I110" i="10"/>
  <c r="G110" i="10"/>
  <c r="J110" i="10"/>
  <c r="H110" i="10"/>
  <c r="J79" i="10"/>
  <c r="H79" i="10"/>
  <c r="I79" i="10"/>
  <c r="G79" i="10"/>
  <c r="I82" i="10"/>
  <c r="G82" i="10"/>
  <c r="H82" i="10"/>
  <c r="J82" i="10"/>
  <c r="I75" i="10"/>
  <c r="H75" i="10"/>
  <c r="J75" i="10"/>
  <c r="G75" i="10"/>
  <c r="J108" i="10"/>
  <c r="H108" i="10"/>
  <c r="I108" i="10"/>
  <c r="G108" i="10"/>
  <c r="J70" i="8"/>
  <c r="H70" i="8"/>
  <c r="G70" i="8"/>
  <c r="I70" i="8"/>
  <c r="G109" i="8"/>
  <c r="H109" i="8"/>
  <c r="I109" i="8"/>
  <c r="J109" i="8"/>
  <c r="J51" i="8"/>
  <c r="I51" i="8"/>
  <c r="H51" i="8"/>
  <c r="G51" i="8"/>
  <c r="H78" i="8"/>
  <c r="J78" i="8"/>
  <c r="G78" i="8"/>
  <c r="I78" i="8"/>
  <c r="J29" i="10"/>
  <c r="G29" i="10"/>
  <c r="H29" i="10"/>
  <c r="I29" i="10"/>
  <c r="H56" i="10"/>
  <c r="I56" i="10"/>
  <c r="G56" i="10"/>
  <c r="J56" i="10"/>
  <c r="H45" i="8"/>
  <c r="I45" i="8"/>
  <c r="G45" i="8"/>
  <c r="J45" i="8"/>
  <c r="I26" i="8"/>
  <c r="H26" i="8"/>
  <c r="G26" i="8"/>
  <c r="J26" i="8"/>
  <c r="H13" i="11"/>
  <c r="G13" i="11"/>
  <c r="I13" i="11"/>
  <c r="J13" i="11"/>
  <c r="H26" i="10"/>
  <c r="J26" i="10"/>
  <c r="I26" i="10"/>
  <c r="G26" i="10"/>
  <c r="J69" i="10"/>
  <c r="G69" i="10"/>
  <c r="H69" i="10"/>
  <c r="I69" i="10"/>
  <c r="H63" i="10"/>
  <c r="G63" i="10"/>
  <c r="J63" i="10"/>
  <c r="I63" i="10"/>
  <c r="H78" i="10"/>
  <c r="I78" i="10"/>
  <c r="G78" i="10"/>
  <c r="J78" i="10"/>
  <c r="I24" i="9"/>
  <c r="G24" i="9"/>
  <c r="J24" i="9"/>
  <c r="H24" i="9"/>
  <c r="J46" i="8"/>
  <c r="I46" i="8"/>
  <c r="G46" i="8"/>
  <c r="H46" i="8"/>
  <c r="E11" i="1"/>
  <c r="B12" i="1"/>
  <c r="I95" i="10"/>
  <c r="H95" i="10"/>
  <c r="G95" i="10"/>
  <c r="J95" i="10"/>
  <c r="J104" i="8"/>
  <c r="G104" i="8"/>
  <c r="H104" i="8"/>
  <c r="I104" i="8"/>
  <c r="H27" i="9"/>
  <c r="J27" i="9"/>
  <c r="I27" i="9"/>
  <c r="G27" i="9"/>
  <c r="H27" i="11"/>
  <c r="J27" i="11"/>
  <c r="I27" i="11"/>
  <c r="G27" i="11"/>
  <c r="I39" i="10"/>
  <c r="H39" i="10"/>
  <c r="J39" i="10"/>
  <c r="G39" i="10"/>
  <c r="J42" i="9"/>
  <c r="H42" i="9"/>
  <c r="I42" i="9"/>
  <c r="G42" i="9"/>
  <c r="J77" i="8"/>
  <c r="G77" i="8"/>
  <c r="H77" i="8"/>
  <c r="I77" i="8"/>
  <c r="I32" i="11"/>
  <c r="G32" i="11"/>
  <c r="J32" i="11"/>
  <c r="H32" i="11"/>
  <c r="J58" i="8"/>
  <c r="G58" i="8"/>
  <c r="I58" i="8"/>
  <c r="H58" i="8"/>
  <c r="J19" i="8"/>
  <c r="I19" i="8"/>
  <c r="H19" i="8"/>
  <c r="G19" i="8"/>
  <c r="I60" i="10"/>
  <c r="H60" i="10"/>
  <c r="J60" i="10"/>
  <c r="G60" i="10"/>
  <c r="H19" i="9"/>
  <c r="G19" i="9"/>
  <c r="J19" i="9"/>
  <c r="I19" i="9"/>
  <c r="H50" i="9"/>
  <c r="I50" i="9"/>
  <c r="J50" i="9"/>
  <c r="G50" i="9"/>
  <c r="J98" i="8"/>
  <c r="G98" i="8"/>
  <c r="H98" i="8"/>
  <c r="I98" i="8"/>
  <c r="H94" i="10"/>
  <c r="G94" i="10"/>
  <c r="J94" i="10"/>
  <c r="I94" i="10"/>
  <c r="J37" i="9"/>
  <c r="H37" i="9"/>
  <c r="G37" i="9"/>
  <c r="I37" i="9"/>
  <c r="J61" i="10"/>
  <c r="G61" i="10"/>
  <c r="I61" i="10"/>
  <c r="H61" i="10"/>
  <c r="I33" i="8"/>
  <c r="H33" i="8"/>
  <c r="J33" i="8"/>
  <c r="G33" i="8"/>
  <c r="J18" i="11"/>
  <c r="I18" i="11"/>
  <c r="G18" i="11"/>
  <c r="H18" i="11"/>
  <c r="J47" i="8"/>
  <c r="H47" i="8"/>
  <c r="G47" i="8"/>
  <c r="I47" i="8"/>
  <c r="J18" i="9"/>
  <c r="I18" i="9"/>
  <c r="G18" i="9"/>
  <c r="H18" i="9"/>
  <c r="I53" i="10"/>
  <c r="J53" i="10"/>
  <c r="G53" i="10"/>
  <c r="H53" i="10"/>
  <c r="H51" i="9"/>
  <c r="G51" i="9"/>
  <c r="I51" i="9"/>
  <c r="J51" i="9"/>
  <c r="I108" i="8"/>
  <c r="H108" i="8"/>
  <c r="J108" i="8"/>
  <c r="G108" i="8"/>
  <c r="I68" i="8"/>
  <c r="H68" i="8"/>
  <c r="J68" i="8"/>
  <c r="G68" i="8"/>
  <c r="E24" i="10"/>
  <c r="G44" i="8"/>
  <c r="J44" i="8"/>
  <c r="I44" i="8"/>
  <c r="H44" i="8"/>
  <c r="G33" i="11"/>
  <c r="J33" i="11"/>
  <c r="I33" i="11"/>
  <c r="H33" i="11"/>
  <c r="J34" i="11"/>
  <c r="I34" i="11"/>
  <c r="H34" i="11"/>
  <c r="G34" i="11"/>
  <c r="J62" i="9"/>
  <c r="I62" i="9"/>
  <c r="H62" i="9"/>
  <c r="G62" i="9"/>
  <c r="I40" i="10"/>
  <c r="H40" i="10"/>
  <c r="G40" i="10"/>
  <c r="J40" i="10"/>
  <c r="G61" i="9"/>
  <c r="J61" i="9"/>
  <c r="I61" i="9"/>
  <c r="H61" i="9"/>
  <c r="H29" i="11"/>
  <c r="G29" i="11"/>
  <c r="J29" i="11"/>
  <c r="I29" i="11"/>
  <c r="J7" i="10"/>
  <c r="I7" i="10"/>
  <c r="H7" i="10"/>
  <c r="G7" i="10"/>
  <c r="H71" i="10"/>
  <c r="J71" i="10"/>
  <c r="G71" i="10"/>
  <c r="I71" i="10"/>
  <c r="H86" i="8"/>
  <c r="J86" i="8"/>
  <c r="G86" i="8"/>
  <c r="I86" i="8"/>
  <c r="G15" i="9"/>
  <c r="J15" i="9"/>
  <c r="H15" i="9"/>
  <c r="I15" i="9"/>
  <c r="G67" i="8"/>
  <c r="J67" i="8"/>
  <c r="I67" i="8"/>
  <c r="H67" i="8"/>
  <c r="I34" i="8"/>
  <c r="G34" i="8"/>
  <c r="H34" i="8"/>
  <c r="J34" i="8"/>
  <c r="G11" i="1"/>
  <c r="G13" i="1"/>
  <c r="J13" i="10"/>
  <c r="H13" i="10"/>
  <c r="G13" i="10"/>
  <c r="I13" i="10"/>
  <c r="H7" i="11"/>
  <c r="J7" i="11"/>
  <c r="G7" i="11"/>
  <c r="I7" i="11"/>
  <c r="I65" i="9"/>
  <c r="G65" i="9"/>
  <c r="J65" i="9"/>
  <c r="H65" i="9"/>
  <c r="J106" i="10"/>
  <c r="I106" i="10"/>
  <c r="H106" i="10"/>
  <c r="G106" i="10"/>
  <c r="G73" i="10"/>
  <c r="J73" i="10"/>
  <c r="I73" i="10"/>
  <c r="H73" i="10"/>
  <c r="H54" i="10"/>
  <c r="I54" i="10"/>
  <c r="J54" i="10"/>
  <c r="G54" i="10"/>
  <c r="I82" i="8"/>
  <c r="G82" i="8"/>
  <c r="H82" i="8"/>
  <c r="J82" i="8"/>
  <c r="H84" i="8"/>
  <c r="J84" i="8"/>
  <c r="I84" i="8"/>
  <c r="G84" i="8"/>
  <c r="H21" i="8"/>
  <c r="J21" i="8"/>
  <c r="I21" i="8"/>
  <c r="G21" i="8"/>
  <c r="H29" i="8"/>
  <c r="G29" i="8"/>
  <c r="I29" i="8"/>
  <c r="J29" i="8"/>
  <c r="J11" i="9"/>
  <c r="I11" i="9"/>
  <c r="G11" i="9"/>
  <c r="H11" i="9"/>
  <c r="J16" i="11"/>
  <c r="I16" i="11"/>
  <c r="H16" i="11"/>
  <c r="G16" i="11"/>
  <c r="J45" i="10"/>
  <c r="G45" i="10"/>
  <c r="H45" i="10"/>
  <c r="I45" i="10"/>
  <c r="G84" i="10"/>
  <c r="H84" i="10"/>
  <c r="J84" i="10"/>
  <c r="I84" i="10"/>
  <c r="H48" i="10"/>
  <c r="J48" i="10"/>
  <c r="G48" i="10"/>
  <c r="I48" i="10"/>
  <c r="I103" i="8"/>
  <c r="H103" i="8"/>
  <c r="J103" i="8"/>
  <c r="G103" i="8"/>
  <c r="I55" i="10"/>
  <c r="G55" i="10"/>
  <c r="H55" i="10"/>
  <c r="J55" i="10"/>
  <c r="J80" i="8"/>
  <c r="I80" i="8"/>
  <c r="H80" i="8"/>
  <c r="G80" i="8"/>
  <c r="I91" i="8"/>
  <c r="J91" i="8"/>
  <c r="G91" i="8"/>
  <c r="H91" i="8"/>
  <c r="H37" i="8"/>
  <c r="J37" i="8"/>
  <c r="I37" i="8"/>
  <c r="G37" i="8"/>
  <c r="P4" i="1"/>
  <c r="J28" i="11"/>
  <c r="I28" i="11"/>
  <c r="G28" i="11"/>
  <c r="H28" i="11"/>
  <c r="H19" i="11"/>
  <c r="I19" i="11"/>
  <c r="J19" i="11"/>
  <c r="G19" i="11"/>
  <c r="G38" i="10"/>
  <c r="I38" i="10"/>
  <c r="J38" i="10"/>
  <c r="H38" i="10"/>
  <c r="I67" i="10"/>
  <c r="G67" i="10"/>
  <c r="J67" i="10"/>
  <c r="H67" i="10"/>
  <c r="Q18" i="4"/>
  <c r="E87" i="8"/>
  <c r="E71" i="8"/>
  <c r="E8" i="11"/>
  <c r="J2" i="9"/>
  <c r="E37" i="11"/>
  <c r="J96" i="8"/>
  <c r="H96" i="8"/>
  <c r="I96" i="8"/>
  <c r="G96" i="8"/>
  <c r="H43" i="9"/>
  <c r="I43" i="9"/>
  <c r="J43" i="9"/>
  <c r="G43" i="9"/>
  <c r="J63" i="8"/>
  <c r="H63" i="8"/>
  <c r="I63" i="8"/>
  <c r="G63" i="8"/>
  <c r="H12" i="9"/>
  <c r="I12" i="9"/>
  <c r="G12" i="9"/>
  <c r="J12" i="9"/>
  <c r="G25" i="8"/>
  <c r="H25" i="8"/>
  <c r="J25" i="8"/>
  <c r="I25" i="8"/>
  <c r="E111" i="10"/>
  <c r="E34" i="10"/>
  <c r="E22" i="8"/>
  <c r="E3" i="11"/>
  <c r="G3" i="11" s="1"/>
  <c r="B20" i="1"/>
  <c r="J24" i="11"/>
  <c r="I24" i="11"/>
  <c r="G24" i="11"/>
  <c r="H24" i="11"/>
  <c r="I24" i="10"/>
  <c r="H24" i="10"/>
  <c r="J24" i="10"/>
  <c r="G24" i="10"/>
  <c r="I47" i="10"/>
  <c r="G47" i="10"/>
  <c r="J47" i="10"/>
  <c r="H47" i="10"/>
  <c r="G54" i="9"/>
  <c r="I54" i="9"/>
  <c r="J54" i="9"/>
  <c r="H54" i="9"/>
  <c r="I93" i="10"/>
  <c r="J93" i="10"/>
  <c r="H93" i="10"/>
  <c r="G93" i="10"/>
  <c r="J113" i="10"/>
  <c r="G113" i="10"/>
  <c r="H113" i="10"/>
  <c r="I113" i="10"/>
  <c r="I16" i="10"/>
  <c r="G16" i="10"/>
  <c r="J16" i="10"/>
  <c r="H16" i="10"/>
  <c r="I23" i="9"/>
  <c r="H23" i="9"/>
  <c r="J23" i="9"/>
  <c r="G23" i="9"/>
  <c r="K11" i="1"/>
  <c r="K13" i="1"/>
  <c r="I35" i="11"/>
  <c r="H35" i="11"/>
  <c r="J35" i="11"/>
  <c r="G35" i="11"/>
  <c r="G88" i="10"/>
  <c r="J88" i="10"/>
  <c r="H88" i="10"/>
  <c r="I88" i="10"/>
  <c r="I17" i="10"/>
  <c r="G17" i="10"/>
  <c r="H17" i="10"/>
  <c r="J17" i="10"/>
  <c r="J55" i="8"/>
  <c r="I55" i="8"/>
  <c r="H55" i="8"/>
  <c r="G55" i="8"/>
  <c r="I22" i="8"/>
  <c r="J22" i="8"/>
  <c r="H22" i="8"/>
  <c r="G22" i="8"/>
  <c r="J2" i="10"/>
  <c r="H92" i="10"/>
  <c r="G92" i="10"/>
  <c r="I92" i="10"/>
  <c r="J92" i="10"/>
  <c r="J41" i="8"/>
  <c r="H41" i="8"/>
  <c r="I41" i="8"/>
  <c r="G41" i="8"/>
  <c r="I87" i="8"/>
  <c r="G87" i="8"/>
  <c r="H87" i="8"/>
  <c r="J87" i="8"/>
  <c r="J28" i="8"/>
  <c r="I28" i="8"/>
  <c r="G28" i="8"/>
  <c r="H28" i="8"/>
  <c r="J8" i="11"/>
  <c r="I8" i="11"/>
  <c r="H8" i="11"/>
  <c r="G8" i="11"/>
  <c r="G81" i="10"/>
  <c r="J81" i="10"/>
  <c r="I81" i="10"/>
  <c r="H81" i="10"/>
  <c r="H11" i="11"/>
  <c r="J11" i="11"/>
  <c r="I11" i="11"/>
  <c r="G11" i="11"/>
  <c r="G100" i="8"/>
  <c r="J100" i="8"/>
  <c r="I100" i="8"/>
  <c r="H100" i="8"/>
  <c r="I92" i="8"/>
  <c r="G92" i="8"/>
  <c r="J92" i="8"/>
  <c r="H92" i="8"/>
  <c r="J54" i="8"/>
  <c r="I54" i="8"/>
  <c r="H54" i="8"/>
  <c r="G54" i="8"/>
  <c r="G51" i="10"/>
  <c r="J51" i="10"/>
  <c r="I51" i="10"/>
  <c r="H51" i="10"/>
  <c r="G15" i="10"/>
  <c r="H15" i="10"/>
  <c r="J15" i="10"/>
  <c r="I15" i="10"/>
  <c r="I66" i="8"/>
  <c r="H66" i="8"/>
  <c r="J66" i="8"/>
  <c r="G66" i="8"/>
  <c r="J3" i="10"/>
  <c r="H104" i="10"/>
  <c r="G104" i="10"/>
  <c r="J104" i="10"/>
  <c r="I104" i="10"/>
  <c r="I105" i="10"/>
  <c r="J105" i="10"/>
  <c r="H105" i="10"/>
  <c r="G105" i="10"/>
  <c r="I58" i="9"/>
  <c r="H58" i="9"/>
  <c r="G58" i="9"/>
  <c r="J58" i="9"/>
  <c r="G38" i="9"/>
  <c r="H38" i="9"/>
  <c r="I38" i="9"/>
  <c r="J38" i="9"/>
  <c r="G97" i="8"/>
  <c r="H97" i="8"/>
  <c r="J97" i="8"/>
  <c r="I97" i="8"/>
  <c r="H52" i="8"/>
  <c r="G52" i="8"/>
  <c r="I52" i="8"/>
  <c r="J52" i="8"/>
  <c r="G38" i="11"/>
  <c r="J38" i="11"/>
  <c r="H38" i="11"/>
  <c r="I38" i="11"/>
  <c r="I107" i="8"/>
  <c r="J107" i="8"/>
  <c r="H107" i="8"/>
  <c r="G107" i="8"/>
  <c r="I36" i="8"/>
  <c r="J36" i="8"/>
  <c r="H36" i="8"/>
  <c r="G36" i="8"/>
  <c r="I10" i="10"/>
  <c r="G10" i="10"/>
  <c r="J10" i="10"/>
  <c r="H10" i="10"/>
  <c r="J111" i="10"/>
  <c r="H111" i="10"/>
  <c r="I111" i="10"/>
  <c r="G111" i="10"/>
  <c r="J72" i="10"/>
  <c r="I72" i="10"/>
  <c r="G72" i="10"/>
  <c r="H72" i="10"/>
  <c r="J36" i="10"/>
  <c r="I36" i="10"/>
  <c r="H36" i="10"/>
  <c r="G36" i="10"/>
  <c r="I68" i="10"/>
  <c r="G68" i="10"/>
  <c r="J68" i="10"/>
  <c r="H68" i="10"/>
  <c r="J16" i="8"/>
  <c r="I16" i="8"/>
  <c r="H16" i="8"/>
  <c r="G16" i="8"/>
  <c r="J12" i="11"/>
  <c r="I12" i="11"/>
  <c r="H12" i="11"/>
  <c r="G12" i="11"/>
  <c r="H12" i="10"/>
  <c r="J12" i="10"/>
  <c r="I12" i="10"/>
  <c r="G12" i="10"/>
  <c r="G26" i="9"/>
  <c r="J26" i="9"/>
  <c r="H26" i="9"/>
  <c r="I26" i="9"/>
  <c r="I76" i="8"/>
  <c r="G76" i="8"/>
  <c r="J76" i="8"/>
  <c r="H76" i="8"/>
  <c r="G71" i="8"/>
  <c r="H71" i="8"/>
  <c r="J71" i="8"/>
  <c r="I71" i="8"/>
  <c r="B6" i="1"/>
  <c r="C22" i="2" s="1"/>
  <c r="J11" i="10"/>
  <c r="I11" i="10"/>
  <c r="H11" i="10"/>
  <c r="G11" i="10"/>
  <c r="J100" i="10"/>
  <c r="H100" i="10"/>
  <c r="I100" i="10"/>
  <c r="G100" i="10"/>
  <c r="J31" i="8"/>
  <c r="I31" i="8"/>
  <c r="H31" i="8"/>
  <c r="G31" i="8"/>
  <c r="H94" i="8"/>
  <c r="I94" i="8"/>
  <c r="J94" i="8"/>
  <c r="G94" i="8"/>
  <c r="I31" i="11"/>
  <c r="J31" i="11"/>
  <c r="H31" i="11"/>
  <c r="G31" i="11"/>
  <c r="J50" i="10"/>
  <c r="I50" i="10"/>
  <c r="H50" i="10"/>
  <c r="G50" i="10"/>
  <c r="H25" i="11"/>
  <c r="G25" i="11"/>
  <c r="J25" i="11"/>
  <c r="I25" i="11"/>
  <c r="J29" i="9"/>
  <c r="I29" i="9"/>
  <c r="G29" i="9"/>
  <c r="H29" i="9"/>
  <c r="G22" i="9"/>
  <c r="I22" i="9"/>
  <c r="H22" i="9"/>
  <c r="J22" i="9"/>
  <c r="H69" i="8"/>
  <c r="J69" i="8"/>
  <c r="I69" i="8"/>
  <c r="G69" i="8"/>
  <c r="J17" i="8"/>
  <c r="I17" i="8"/>
  <c r="H17" i="8"/>
  <c r="G17" i="8"/>
  <c r="D15" i="1"/>
  <c r="D17" i="1"/>
  <c r="E13" i="1"/>
  <c r="G99" i="10"/>
  <c r="J99" i="10"/>
  <c r="I99" i="10"/>
  <c r="H99" i="10"/>
  <c r="G66" i="10"/>
  <c r="H66" i="10"/>
  <c r="I66" i="10"/>
  <c r="J66" i="10"/>
  <c r="H41" i="10"/>
  <c r="J41" i="10"/>
  <c r="I41" i="10"/>
  <c r="G41" i="10"/>
  <c r="G81" i="8"/>
  <c r="H81" i="8"/>
  <c r="I81" i="8"/>
  <c r="J81" i="8"/>
  <c r="I48" i="9"/>
  <c r="J48" i="9"/>
  <c r="H48" i="9"/>
  <c r="G48" i="9"/>
  <c r="J98" i="10"/>
  <c r="H98" i="10"/>
  <c r="G98" i="10"/>
  <c r="I98" i="10"/>
  <c r="G65" i="10"/>
  <c r="J65" i="10"/>
  <c r="H65" i="10"/>
  <c r="I65" i="10"/>
  <c r="H43" i="10"/>
  <c r="I43" i="10"/>
  <c r="G43" i="10"/>
  <c r="J43" i="10"/>
  <c r="G73" i="8"/>
  <c r="I73" i="8"/>
  <c r="J73" i="8"/>
  <c r="H73" i="8"/>
  <c r="I75" i="8"/>
  <c r="G75" i="8"/>
  <c r="J75" i="8"/>
  <c r="H75" i="8"/>
  <c r="E11" i="8"/>
  <c r="E77" i="10"/>
  <c r="J3" i="11"/>
  <c r="E102" i="8"/>
  <c r="H87" i="10"/>
  <c r="J87" i="10"/>
  <c r="I87" i="10"/>
  <c r="G87" i="10"/>
  <c r="G60" i="8"/>
  <c r="J60" i="8"/>
  <c r="H60" i="8"/>
  <c r="I60" i="8"/>
  <c r="I99" i="8"/>
  <c r="H99" i="8"/>
  <c r="J99" i="8"/>
  <c r="G99" i="8"/>
  <c r="R15" i="1"/>
  <c r="R17" i="1"/>
  <c r="E35" i="10"/>
  <c r="E53" i="8"/>
  <c r="E12" i="11"/>
  <c r="E11" i="10"/>
  <c r="E26" i="11"/>
  <c r="J14" i="10"/>
  <c r="G14" i="10"/>
  <c r="H14" i="10"/>
  <c r="I14" i="10"/>
  <c r="I40" i="9"/>
  <c r="J40" i="9"/>
  <c r="H40" i="9"/>
  <c r="G40" i="9"/>
  <c r="I32" i="10"/>
  <c r="G32" i="10"/>
  <c r="J32" i="10"/>
  <c r="H32" i="10"/>
  <c r="I27" i="8"/>
  <c r="J27" i="8"/>
  <c r="H27" i="8"/>
  <c r="G27" i="8"/>
  <c r="G40" i="8"/>
  <c r="J40" i="8"/>
  <c r="I40" i="8"/>
  <c r="H40" i="8"/>
  <c r="J8" i="10"/>
  <c r="I8" i="10"/>
  <c r="H8" i="10"/>
  <c r="G8" i="10"/>
  <c r="I31" i="10"/>
  <c r="G31" i="10"/>
  <c r="H31" i="10"/>
  <c r="J31" i="10"/>
  <c r="G46" i="9"/>
  <c r="H46" i="9"/>
  <c r="J46" i="9"/>
  <c r="I46" i="9"/>
  <c r="H38" i="8"/>
  <c r="G38" i="8"/>
  <c r="I38" i="8"/>
  <c r="J38" i="8"/>
  <c r="I11" i="8"/>
  <c r="H11" i="8"/>
  <c r="G11" i="8"/>
  <c r="J11" i="8"/>
  <c r="E113" i="10"/>
  <c r="E3" i="10"/>
  <c r="G3" i="10" s="1"/>
  <c r="G74" i="10"/>
  <c r="I74" i="10"/>
  <c r="J74" i="10"/>
  <c r="H74" i="10"/>
  <c r="J88" i="8"/>
  <c r="H88" i="8"/>
  <c r="I88" i="8"/>
  <c r="G88" i="8"/>
  <c r="H28" i="9"/>
  <c r="I28" i="9"/>
  <c r="J28" i="9"/>
  <c r="G28" i="9"/>
  <c r="H27" i="10"/>
  <c r="I27" i="10"/>
  <c r="G27" i="10"/>
  <c r="J27" i="10"/>
  <c r="H19" i="10"/>
  <c r="J19" i="10"/>
  <c r="I19" i="10"/>
  <c r="G19" i="10"/>
  <c r="G106" i="8"/>
  <c r="J106" i="8"/>
  <c r="H106" i="8"/>
  <c r="I106" i="8"/>
  <c r="J57" i="10"/>
  <c r="G57" i="10"/>
  <c r="I57" i="10"/>
  <c r="H57" i="10"/>
  <c r="H112" i="10"/>
  <c r="G112" i="10"/>
  <c r="J112" i="10"/>
  <c r="I112" i="10"/>
  <c r="G57" i="9"/>
  <c r="I57" i="9"/>
  <c r="H57" i="9"/>
  <c r="J57" i="9"/>
  <c r="H60" i="9"/>
  <c r="G60" i="9"/>
  <c r="I60" i="9"/>
  <c r="J60" i="9"/>
  <c r="J49" i="9"/>
  <c r="I49" i="9"/>
  <c r="G49" i="9"/>
  <c r="H49" i="9"/>
  <c r="J39" i="8"/>
  <c r="G39" i="8"/>
  <c r="I39" i="8"/>
  <c r="H39" i="8"/>
  <c r="I101" i="8"/>
  <c r="J101" i="8"/>
  <c r="H101" i="8"/>
  <c r="G101" i="8"/>
  <c r="H103" i="10"/>
  <c r="J103" i="10"/>
  <c r="I103" i="10"/>
  <c r="G103" i="10"/>
  <c r="H52" i="10"/>
  <c r="G52" i="10"/>
  <c r="J52" i="10"/>
  <c r="I52" i="10"/>
  <c r="I23" i="10"/>
  <c r="H23" i="10"/>
  <c r="G23" i="10"/>
  <c r="J23" i="10"/>
  <c r="H96" i="10"/>
  <c r="I96" i="10"/>
  <c r="J96" i="10"/>
  <c r="G96" i="10"/>
  <c r="G105" i="8"/>
  <c r="H105" i="8"/>
  <c r="J105" i="8"/>
  <c r="I105" i="8"/>
  <c r="H53" i="8"/>
  <c r="J53" i="8"/>
  <c r="I53" i="8"/>
  <c r="G53" i="8"/>
  <c r="J8" i="8"/>
  <c r="I8" i="8"/>
  <c r="H8" i="8"/>
  <c r="G8" i="8"/>
  <c r="E3" i="9"/>
  <c r="G3" i="9" s="1"/>
  <c r="G2" i="10"/>
  <c r="F2" i="10"/>
  <c r="J80" i="10"/>
  <c r="G80" i="10"/>
  <c r="H80" i="10"/>
  <c r="I80" i="10"/>
  <c r="J44" i="10"/>
  <c r="H44" i="10"/>
  <c r="G44" i="10"/>
  <c r="I44" i="10"/>
  <c r="I64" i="9"/>
  <c r="G64" i="9"/>
  <c r="H64" i="9"/>
  <c r="J64" i="9"/>
  <c r="G32" i="8"/>
  <c r="J32" i="8"/>
  <c r="H32" i="8"/>
  <c r="I32" i="8"/>
  <c r="H20" i="8"/>
  <c r="G20" i="8"/>
  <c r="I20" i="8"/>
  <c r="J20" i="8"/>
  <c r="B21" i="1"/>
  <c r="J3" i="9"/>
  <c r="J2" i="11"/>
  <c r="Q11" i="1"/>
  <c r="Q13" i="1"/>
  <c r="H9" i="11"/>
  <c r="G9" i="11"/>
  <c r="I9" i="11"/>
  <c r="J9" i="11"/>
  <c r="J53" i="9"/>
  <c r="H53" i="9"/>
  <c r="I53" i="9"/>
  <c r="G53" i="9"/>
  <c r="I9" i="10"/>
  <c r="H9" i="10"/>
  <c r="J9" i="10"/>
  <c r="G9" i="10"/>
  <c r="G55" i="9"/>
  <c r="J55" i="9"/>
  <c r="H55" i="9"/>
  <c r="I55" i="9"/>
  <c r="G30" i="9"/>
  <c r="H30" i="9"/>
  <c r="J30" i="9"/>
  <c r="I30" i="9"/>
  <c r="G15" i="8"/>
  <c r="J15" i="8"/>
  <c r="I15" i="8"/>
  <c r="H15" i="8"/>
  <c r="J49" i="8"/>
  <c r="I49" i="8"/>
  <c r="H49" i="8"/>
  <c r="G49" i="8"/>
  <c r="E14" i="9"/>
  <c r="I76" i="10"/>
  <c r="H76" i="10"/>
  <c r="G76" i="10"/>
  <c r="J76" i="10"/>
  <c r="G59" i="10"/>
  <c r="I59" i="10"/>
  <c r="J59" i="10"/>
  <c r="H59" i="10"/>
  <c r="H33" i="9"/>
  <c r="G33" i="9"/>
  <c r="I33" i="9"/>
  <c r="J33" i="9"/>
  <c r="I10" i="9"/>
  <c r="J10" i="9"/>
  <c r="G10" i="9"/>
  <c r="H10" i="9"/>
  <c r="I83" i="8"/>
  <c r="J83" i="8"/>
  <c r="G83" i="8"/>
  <c r="H83" i="8"/>
  <c r="G2" i="8"/>
  <c r="F2" i="8"/>
  <c r="I109" i="10"/>
  <c r="H109" i="10"/>
  <c r="J109" i="10"/>
  <c r="G109" i="10"/>
  <c r="J66" i="9"/>
  <c r="G66" i="9"/>
  <c r="I66" i="9"/>
  <c r="H66" i="9"/>
  <c r="I50" i="8"/>
  <c r="J50" i="8"/>
  <c r="H50" i="8"/>
  <c r="G50" i="8"/>
  <c r="G30" i="8"/>
  <c r="J30" i="8"/>
  <c r="I30" i="8"/>
  <c r="H30" i="8"/>
  <c r="G47" i="9"/>
  <c r="J47" i="9"/>
  <c r="I47" i="9"/>
  <c r="H47" i="9"/>
  <c r="G2" i="9"/>
  <c r="F2" i="9"/>
  <c r="E7" i="10"/>
  <c r="G107" i="10"/>
  <c r="I107" i="10"/>
  <c r="J107" i="10"/>
  <c r="H107" i="10"/>
  <c r="I36" i="11"/>
  <c r="H36" i="11"/>
  <c r="G36" i="11"/>
  <c r="J36" i="11"/>
  <c r="H86" i="10"/>
  <c r="I86" i="10"/>
  <c r="G86" i="10"/>
  <c r="J86" i="10"/>
  <c r="G34" i="9"/>
  <c r="J34" i="9"/>
  <c r="H34" i="9"/>
  <c r="I34" i="9"/>
  <c r="G95" i="8"/>
  <c r="I95" i="8"/>
  <c r="H95" i="8"/>
  <c r="J95" i="8"/>
  <c r="I61" i="8"/>
  <c r="H61" i="8"/>
  <c r="J61" i="8"/>
  <c r="G61" i="8"/>
  <c r="Q15" i="4" l="1"/>
  <c r="D27" i="2"/>
  <c r="C2" i="4"/>
  <c r="B9" i="1"/>
  <c r="B17" i="1"/>
  <c r="K5" i="11"/>
  <c r="L5" i="11" s="1"/>
  <c r="E4" i="11"/>
  <c r="G4" i="11" s="1"/>
  <c r="E4" i="8"/>
  <c r="E5" i="8" s="1"/>
  <c r="G5" i="8" s="1"/>
  <c r="K5" i="9"/>
  <c r="L5" i="9" s="1"/>
  <c r="K5" i="10"/>
  <c r="J5" i="10" s="1"/>
  <c r="K5" i="8"/>
  <c r="J5" i="8" s="1"/>
  <c r="K4" i="10"/>
  <c r="K2" i="9"/>
  <c r="L2" i="9" s="1"/>
  <c r="E4" i="10"/>
  <c r="V5" i="10" a="1"/>
  <c r="V5" i="10" s="1"/>
  <c r="B13" i="1"/>
  <c r="K2" i="8"/>
  <c r="L2" i="8" s="1"/>
  <c r="N6" i="9" a="1"/>
  <c r="N6" i="9" s="1"/>
  <c r="N6" i="11" a="1"/>
  <c r="N6" i="11" s="1"/>
  <c r="N6" i="10" a="1"/>
  <c r="N6" i="10" s="1"/>
  <c r="K2" i="11"/>
  <c r="L2" i="11" s="1"/>
  <c r="K2" i="10"/>
  <c r="L2" i="10" s="1"/>
  <c r="K4" i="8"/>
  <c r="K4" i="11"/>
  <c r="D26" i="2"/>
  <c r="B11" i="1"/>
  <c r="A5" i="9"/>
  <c r="F5" i="9" s="1"/>
  <c r="U5" i="8" a="1"/>
  <c r="U5" i="8" s="1"/>
  <c r="A5" i="10"/>
  <c r="F5" i="10" s="1"/>
  <c r="E4" i="9"/>
  <c r="C27" i="2"/>
  <c r="E27" i="2"/>
  <c r="B22" i="2"/>
  <c r="B4" i="1"/>
  <c r="A22" i="2" s="1"/>
  <c r="D28" i="2"/>
  <c r="B19" i="1"/>
  <c r="K4" i="9"/>
  <c r="A5" i="11" l="1"/>
  <c r="F5" i="11" s="1"/>
  <c r="J5" i="11"/>
  <c r="V5" i="11" a="1"/>
  <c r="V5" i="11" s="1"/>
  <c r="E5" i="11"/>
  <c r="G5" i="11" s="1"/>
  <c r="K3" i="11" s="1"/>
  <c r="L3" i="11" s="1"/>
  <c r="J5" i="9"/>
  <c r="G4" i="8"/>
  <c r="K3" i="8" s="1"/>
  <c r="L3" i="8" s="1"/>
  <c r="A5" i="8"/>
  <c r="F5" i="8" s="1"/>
  <c r="L5" i="10"/>
  <c r="L5" i="8"/>
  <c r="L4" i="8"/>
  <c r="J4" i="8"/>
  <c r="J4" i="9"/>
  <c r="L4" i="9"/>
  <c r="C28" i="2"/>
  <c r="E28" i="2"/>
  <c r="G4" i="9"/>
  <c r="K3" i="9" s="1"/>
  <c r="L3" i="9" s="1"/>
  <c r="E5" i="9"/>
  <c r="G5" i="9" s="1"/>
  <c r="J4" i="11"/>
  <c r="L4" i="11"/>
  <c r="G4" i="10"/>
  <c r="K3" i="10" s="1"/>
  <c r="L3" i="10" s="1"/>
  <c r="E5" i="10"/>
  <c r="G5" i="10" s="1"/>
  <c r="J4" i="10"/>
  <c r="L4" i="10"/>
  <c r="N6" i="8" a="1"/>
  <c r="N6"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<sst xmlns="http://schemas.openxmlformats.org/spreadsheetml/2006/main" count="48015" uniqueCount="8959">
  <si>
    <t>小坪頂</t>
  </si>
  <si>
    <t>石門區</t>
  </si>
  <si>
    <t>三芝區</t>
  </si>
  <si>
    <t>淡水區</t>
  </si>
  <si>
    <t>金山區</t>
  </si>
  <si>
    <t>八里區</t>
  </si>
  <si>
    <t>蘆洲區</t>
  </si>
  <si>
    <t>三重區</t>
  </si>
  <si>
    <t>蘆竹區</t>
  </si>
  <si>
    <t>龜山區</t>
  </si>
  <si>
    <t>五股區</t>
  </si>
  <si>
    <t>新莊區</t>
  </si>
  <si>
    <t>泰山區</t>
  </si>
  <si>
    <t>林口區</t>
  </si>
  <si>
    <t>板橋區</t>
  </si>
  <si>
    <t>中和區</t>
  </si>
  <si>
    <t>永和區</t>
  </si>
  <si>
    <t>(定保)</t>
  </si>
  <si>
    <t>-</t>
  </si>
  <si>
    <t>門市數量(307)</t>
  </si>
  <si>
    <t>完工數量</t>
  </si>
  <si>
    <t>剩餘門市</t>
  </si>
  <si>
    <t>完工進度</t>
  </si>
  <si>
    <t>撤店</t>
  </si>
  <si>
    <t>新開</t>
  </si>
  <si>
    <t>萊到店</t>
  </si>
  <si>
    <t>門市編號</t>
  </si>
  <si>
    <t>門市名稱</t>
  </si>
  <si>
    <t>縣市別</t>
  </si>
  <si>
    <t>鄉鎮市區</t>
  </si>
  <si>
    <t>工程師</t>
  </si>
  <si>
    <t>門市狀態</t>
  </si>
  <si>
    <t>門市屬性</t>
  </si>
  <si>
    <t>保養單</t>
  </si>
  <si>
    <t>PMQ_
檢核</t>
  </si>
  <si>
    <t>完工檢核2</t>
  </si>
  <si>
    <t>iM筆數</t>
  </si>
  <si>
    <t>iMainte</t>
  </si>
  <si>
    <t>專案檢核</t>
  </si>
  <si>
    <t>HUB</t>
  </si>
  <si>
    <t>完工檢核</t>
  </si>
  <si>
    <t>完工確認</t>
  </si>
  <si>
    <t>專案1檢核</t>
  </si>
  <si>
    <t>完成日期</t>
  </si>
  <si>
    <t>專案2檢核</t>
  </si>
  <si>
    <t>專案3檢核</t>
  </si>
  <si>
    <t>L519</t>
  </si>
  <si>
    <t>萊到店 WebPOS</t>
  </si>
  <si>
    <t>D111</t>
  </si>
  <si>
    <t>L551</t>
  </si>
  <si>
    <t>D649</t>
  </si>
  <si>
    <t>D174</t>
  </si>
  <si>
    <t>C216</t>
  </si>
  <si>
    <t>D057</t>
  </si>
  <si>
    <t>L556</t>
  </si>
  <si>
    <t>L565</t>
  </si>
  <si>
    <t>D070</t>
  </si>
  <si>
    <t>D390</t>
  </si>
  <si>
    <t>D024</t>
  </si>
  <si>
    <t>D138</t>
  </si>
  <si>
    <t>D194</t>
  </si>
  <si>
    <t>D349</t>
  </si>
  <si>
    <t>D028</t>
  </si>
  <si>
    <t>D195</t>
  </si>
  <si>
    <t>D620</t>
  </si>
  <si>
    <t>D087</t>
  </si>
  <si>
    <t>學校</t>
  </si>
  <si>
    <t>D148</t>
  </si>
  <si>
    <t>L535</t>
  </si>
  <si>
    <t>D191</t>
  </si>
  <si>
    <t>L562</t>
  </si>
  <si>
    <t>A171</t>
  </si>
  <si>
    <t>D022</t>
  </si>
  <si>
    <t>D161</t>
  </si>
  <si>
    <t>D072</t>
  </si>
  <si>
    <t>L517</t>
  </si>
  <si>
    <t>D193</t>
  </si>
  <si>
    <t>D609</t>
  </si>
  <si>
    <t>D346</t>
  </si>
  <si>
    <t>D350</t>
  </si>
  <si>
    <t>TT01</t>
  </si>
  <si>
    <t>訓練教室</t>
  </si>
  <si>
    <t>D767</t>
  </si>
  <si>
    <t>L501</t>
  </si>
  <si>
    <t>L533</t>
  </si>
  <si>
    <t>L534</t>
  </si>
  <si>
    <t>F777</t>
  </si>
  <si>
    <t>新莊A3站</t>
  </si>
  <si>
    <t>L516</t>
  </si>
  <si>
    <t>C052</t>
  </si>
  <si>
    <t>C192</t>
  </si>
  <si>
    <t>C660</t>
  </si>
  <si>
    <t>C894</t>
  </si>
  <si>
    <t>C742</t>
  </si>
  <si>
    <t>C672</t>
  </si>
  <si>
    <t>C388</t>
  </si>
  <si>
    <t>保養代號</t>
  </si>
  <si>
    <t>專案 1</t>
  </si>
  <si>
    <t>專案 2</t>
  </si>
  <si>
    <t>專案 3</t>
  </si>
  <si>
    <t>PMQ1</t>
  </si>
  <si>
    <t>--</t>
  </si>
  <si>
    <t>+L90</t>
  </si>
  <si>
    <t>+721</t>
  </si>
  <si>
    <t>月份</t>
  </si>
  <si>
    <t>部門數量</t>
  </si>
  <si>
    <t>日期表</t>
  </si>
  <si>
    <t>門市數量</t>
  </si>
  <si>
    <t>HUB檢查</t>
  </si>
  <si>
    <t>專案數量</t>
  </si>
  <si>
    <t>平均月工單</t>
  </si>
  <si>
    <t>PM</t>
  </si>
  <si>
    <t>新裝撤移</t>
  </si>
  <si>
    <t>其他</t>
  </si>
  <si>
    <t>MFP</t>
  </si>
  <si>
    <t>POS其他</t>
  </si>
  <si>
    <t>總計</t>
  </si>
  <si>
    <t>季保養進度</t>
  </si>
  <si>
    <t>湯家瑋</t>
  </si>
  <si>
    <t>PMQ1 完工</t>
  </si>
  <si>
    <t>PM 完工數量</t>
  </si>
  <si>
    <t>PM剩餘門市</t>
  </si>
  <si>
    <t>HUB完工</t>
  </si>
  <si>
    <t>吳宗鴻</t>
  </si>
  <si>
    <t>專案</t>
  </si>
  <si>
    <t>專案名稱</t>
  </si>
  <si>
    <t>專案進度</t>
  </si>
  <si>
    <t>專案完工數量</t>
  </si>
  <si>
    <t>專案剩餘門市</t>
  </si>
  <si>
    <t>異常原因</t>
  </si>
  <si>
    <t>士林區</t>
  </si>
  <si>
    <t>北投區</t>
  </si>
  <si>
    <t>POS/MFP</t>
  </si>
  <si>
    <t>劉柏均</t>
  </si>
  <si>
    <t>狄澤洋</t>
  </si>
  <si>
    <t>類別/區域</t>
  </si>
  <si>
    <t>POS</t>
  </si>
  <si>
    <t>date</t>
  </si>
  <si>
    <t>日別</t>
  </si>
  <si>
    <t>title</t>
  </si>
  <si>
    <t>屬性</t>
  </si>
  <si>
    <t>店編</t>
  </si>
  <si>
    <t>店名</t>
  </si>
  <si>
    <t>內容</t>
  </si>
  <si>
    <t>時間</t>
  </si>
  <si>
    <t>_</t>
  </si>
  <si>
    <t>異動標註</t>
  </si>
  <si>
    <t>新莊瓊林南</t>
  </si>
  <si>
    <t>回裝</t>
  </si>
  <si>
    <t>11:00</t>
  </si>
  <si>
    <t>新莊瓏山林</t>
  </si>
  <si>
    <t>三芝芝蘭店</t>
  </si>
  <si>
    <t>閉店</t>
  </si>
  <si>
    <t>板橋漢江店</t>
  </si>
  <si>
    <t>10:00</t>
  </si>
  <si>
    <t>湯(特)</t>
  </si>
  <si>
    <t>ALL</t>
  </si>
  <si>
    <t>三重重新橋</t>
  </si>
  <si>
    <t>新莊頭前公園</t>
  </si>
  <si>
    <t>三重義天店</t>
  </si>
  <si>
    <t>新莊福營店</t>
  </si>
  <si>
    <t>吳(特)</t>
  </si>
  <si>
    <t>三重向日葵</t>
  </si>
  <si>
    <t>淡水屯山店</t>
  </si>
  <si>
    <t>桃縣桃高二店</t>
  </si>
  <si>
    <t>撤機</t>
  </si>
  <si>
    <t>18:00</t>
  </si>
  <si>
    <t>借機</t>
  </si>
  <si>
    <t>14:00</t>
  </si>
  <si>
    <t>裝潢撤店</t>
  </si>
  <si>
    <t>15:00</t>
  </si>
  <si>
    <t>板橋市民廣場</t>
  </si>
  <si>
    <t>TM3撤機</t>
  </si>
  <si>
    <t>淡水魚市二</t>
  </si>
  <si>
    <t>借機撤機</t>
  </si>
  <si>
    <t>09:00</t>
  </si>
  <si>
    <t>北縣莊玲店</t>
  </si>
  <si>
    <t>三重蝶愛店</t>
  </si>
  <si>
    <t>板橋懷仁店</t>
  </si>
  <si>
    <t>蘆洲河上洲</t>
  </si>
  <si>
    <t>林口麗園店</t>
  </si>
  <si>
    <t>V</t>
  </si>
  <si>
    <t>三重中央南</t>
  </si>
  <si>
    <t>回裝+攜帶壁掛架 AW400</t>
  </si>
  <si>
    <t>三重力行店</t>
  </si>
  <si>
    <t>三重安慶店</t>
  </si>
  <si>
    <t>三重自強店</t>
  </si>
  <si>
    <t>板橋翠華店</t>
  </si>
  <si>
    <t>三重野球魂</t>
  </si>
  <si>
    <t>TM3新增</t>
  </si>
  <si>
    <t>淡水小坪頂</t>
  </si>
  <si>
    <t>三重福華店</t>
  </si>
  <si>
    <t>DQ新生店</t>
  </si>
  <si>
    <t>保養D2</t>
  </si>
  <si>
    <t>保養D1</t>
  </si>
  <si>
    <t>三重車路頭</t>
  </si>
  <si>
    <t>板橋藝文中心</t>
  </si>
  <si>
    <t>三重鑫五華</t>
  </si>
  <si>
    <t>德森精密</t>
  </si>
  <si>
    <t>合約換機</t>
  </si>
  <si>
    <t>下午</t>
  </si>
  <si>
    <t>三芝楓愛林</t>
  </si>
  <si>
    <t>協助PEP-FW更新</t>
  </si>
  <si>
    <t>三重大智店</t>
  </si>
  <si>
    <t>五股訓練教室</t>
  </si>
  <si>
    <t>更換列表機 MV6600</t>
  </si>
  <si>
    <t>湯城</t>
  </si>
  <si>
    <t>4F*2、3F、2F、9F (撤4F*1)</t>
  </si>
  <si>
    <t>10F*6</t>
  </si>
  <si>
    <t>善美的</t>
  </si>
  <si>
    <t>4F、檢品、PC</t>
  </si>
  <si>
    <t>台芝178</t>
  </si>
  <si>
    <t>POS上課</t>
  </si>
  <si>
    <t>09:30</t>
  </si>
  <si>
    <t>DC、生鮮</t>
  </si>
  <si>
    <t>蘆洲湧蓮店</t>
  </si>
  <si>
    <t>全聯實業</t>
  </si>
  <si>
    <t>蘆洲北二處</t>
  </si>
  <si>
    <t>內湖倉裝機</t>
  </si>
  <si>
    <t>全聯*1、善美的*4</t>
  </si>
  <si>
    <t>2025-09-17</t>
  </si>
  <si>
    <t>蘆洲中山一</t>
  </si>
  <si>
    <t>永佳樂</t>
  </si>
  <si>
    <t>泰山異地備援使用永佳樂節目組</t>
  </si>
  <si>
    <t>新莊福佑店</t>
  </si>
  <si>
    <t>全聯蘆洲</t>
  </si>
  <si>
    <t>清機*6、新機*1</t>
  </si>
  <si>
    <t>紅樹林有線電視</t>
  </si>
  <si>
    <t>清機*1、新機*2</t>
  </si>
  <si>
    <t>2025-09-09</t>
  </si>
  <si>
    <t>凱擘新莊</t>
  </si>
  <si>
    <t>清機*1</t>
  </si>
  <si>
    <t>全聯節目中心</t>
  </si>
  <si>
    <t>新機*1</t>
  </si>
  <si>
    <t>4G會勘</t>
  </si>
  <si>
    <t>小白保養</t>
  </si>
  <si>
    <t>2025-09-03</t>
  </si>
  <si>
    <t>清機*1、新機*6</t>
  </si>
  <si>
    <t>2025-09-02</t>
  </si>
  <si>
    <t>台固媒體</t>
  </si>
  <si>
    <t>清機*2、新機*1</t>
  </si>
  <si>
    <t>2025-08-29</t>
  </si>
  <si>
    <t>內湖倉</t>
  </si>
  <si>
    <t>裝機*10</t>
  </si>
  <si>
    <t>2025-08-28</t>
  </si>
  <si>
    <t>三重大榮店</t>
  </si>
  <si>
    <t>漢廷營造</t>
  </si>
  <si>
    <t>新交機</t>
  </si>
  <si>
    <t>2025-08-26</t>
  </si>
  <si>
    <t>裝撤</t>
  </si>
  <si>
    <t>蘆洲切仔麵</t>
  </si>
  <si>
    <t>PEP</t>
  </si>
  <si>
    <t>蘆洲希望店</t>
  </si>
  <si>
    <t>2025-08-25</t>
  </si>
  <si>
    <t>新莊國家置地</t>
  </si>
  <si>
    <t>三重五常店</t>
  </si>
  <si>
    <t>臨時借機</t>
  </si>
  <si>
    <t>2025-08-21</t>
  </si>
  <si>
    <t>三重護山店</t>
  </si>
  <si>
    <t>重重陽店</t>
  </si>
  <si>
    <t>2025-08-20</t>
  </si>
  <si>
    <t>林口舊街店</t>
  </si>
  <si>
    <t>2025-08-19</t>
  </si>
  <si>
    <t>4F*7</t>
  </si>
  <si>
    <t>2025-08-18</t>
  </si>
  <si>
    <t>板橋民生站</t>
  </si>
  <si>
    <t>統計起</t>
  </si>
  <si>
    <t>統計訖</t>
  </si>
  <si>
    <t>08:00</t>
  </si>
  <si>
    <t>12:00</t>
  </si>
  <si>
    <t>13:00</t>
  </si>
  <si>
    <t>16:00</t>
  </si>
  <si>
    <t>17:00</t>
  </si>
  <si>
    <t>19:00</t>
  </si>
  <si>
    <t>20:00</t>
  </si>
  <si>
    <t>21:00</t>
  </si>
  <si>
    <t>22:00</t>
  </si>
  <si>
    <t>小計</t>
  </si>
  <si>
    <t>區域別</t>
  </si>
  <si>
    <t>店數</t>
  </si>
  <si>
    <t>報修次數</t>
  </si>
  <si>
    <t>報修率</t>
  </si>
  <si>
    <t>MFP&amp;其他</t>
  </si>
  <si>
    <t>合併計算</t>
  </si>
  <si>
    <t>項次</t>
  </si>
  <si>
    <t>工作
類別</t>
  </si>
  <si>
    <t>台芝
工作案號</t>
  </si>
  <si>
    <t>客戶
工作案號</t>
  </si>
  <si>
    <t>案件類別</t>
  </si>
  <si>
    <t>門店編號</t>
  </si>
  <si>
    <t>門店名稱</t>
  </si>
  <si>
    <t>縣市鄉鎮</t>
  </si>
  <si>
    <t>報修時間</t>
  </si>
  <si>
    <t>星期</t>
  </si>
  <si>
    <t>時段</t>
  </si>
  <si>
    <t>報修類別
代碼</t>
  </si>
  <si>
    <t>報修類別</t>
  </si>
  <si>
    <t>報修項目代碼</t>
  </si>
  <si>
    <t>報修項目</t>
  </si>
  <si>
    <t>報修說明</t>
  </si>
  <si>
    <t>設備號碼</t>
  </si>
  <si>
    <t>負責部門</t>
  </si>
  <si>
    <t>服務人員</t>
  </si>
  <si>
    <t>到場
次數</t>
  </si>
  <si>
    <t>完工
結果</t>
  </si>
  <si>
    <t>派修時間</t>
  </si>
  <si>
    <t>到場時間</t>
  </si>
  <si>
    <t>離場時間</t>
  </si>
  <si>
    <t>完修時限</t>
  </si>
  <si>
    <t>處理工時</t>
  </si>
  <si>
    <t>逾時時間</t>
  </si>
  <si>
    <t>結案類別</t>
  </si>
  <si>
    <t>工作內容</t>
  </si>
  <si>
    <t>保養</t>
  </si>
  <si>
    <t>裝/換
徹機</t>
  </si>
  <si>
    <t>耗材
自送</t>
  </si>
  <si>
    <t>耗材
配送</t>
  </si>
  <si>
    <t>發票
收款</t>
  </si>
  <si>
    <t>合約
事宜</t>
  </si>
  <si>
    <t>其它</t>
  </si>
  <si>
    <t>客戶
簽章</t>
  </si>
  <si>
    <t>提取日期</t>
  </si>
  <si>
    <t>服務</t>
  </si>
  <si>
    <t>林口大千苑店</t>
  </si>
  <si>
    <t>新北市林口區</t>
  </si>
  <si>
    <t>THILF04834</t>
  </si>
  <si>
    <t>新北一</t>
  </si>
  <si>
    <t>已完工</t>
  </si>
  <si>
    <t>2025-12-01 10:46:05</t>
  </si>
  <si>
    <t>2025-12-01 10:00:00</t>
  </si>
  <si>
    <t>到場處理</t>
  </si>
  <si>
    <t>PMQ4+L90</t>
  </si>
  <si>
    <t>O</t>
  </si>
  <si>
    <t>林口建安店</t>
  </si>
  <si>
    <t>THILF04326</t>
  </si>
  <si>
    <t>2025-12-01 10:47:00</t>
  </si>
  <si>
    <t>2025-12-01 10:30:00</t>
  </si>
  <si>
    <t>車麗屋林口店</t>
  </si>
  <si>
    <t>THILF0L519</t>
  </si>
  <si>
    <t>2025-12-01 11:09:22</t>
  </si>
  <si>
    <t>2025-12-01 10:55:00</t>
  </si>
  <si>
    <t>PMQ4</t>
  </si>
  <si>
    <t>林口顧家店</t>
  </si>
  <si>
    <t>THILF0L551</t>
  </si>
  <si>
    <t>2025-12-01 11:30:38</t>
  </si>
  <si>
    <t>2025-12-01 11:15:00</t>
  </si>
  <si>
    <t>林口童樂店</t>
  </si>
  <si>
    <t>THILF04538</t>
  </si>
  <si>
    <t>2025-12-01 11:48:08</t>
  </si>
  <si>
    <t>2025-12-01 11:30:00</t>
  </si>
  <si>
    <t>林口香澄店</t>
  </si>
  <si>
    <t>THILF04057</t>
  </si>
  <si>
    <t>2025-12-01 13:20:49</t>
  </si>
  <si>
    <t>2025-12-01 13:00:00</t>
  </si>
  <si>
    <t>林口清梅店</t>
  </si>
  <si>
    <t>THILF03878</t>
  </si>
  <si>
    <t>2025-12-01 13:43:11</t>
  </si>
  <si>
    <t>2025-12-01 13:30:00</t>
  </si>
  <si>
    <t>新北市三重區</t>
  </si>
  <si>
    <t>THILF05410</t>
  </si>
  <si>
    <t>2025-12-02 13:28:23</t>
  </si>
  <si>
    <t>2025-12-02 11:00:00</t>
  </si>
  <si>
    <t>新開門市裝機完成，使用中華電信</t>
  </si>
  <si>
    <t>維修</t>
  </si>
  <si>
    <t>1D390114120201</t>
  </si>
  <si>
    <t>一般件</t>
  </si>
  <si>
    <t>三重大有店</t>
  </si>
  <si>
    <t>2025-12-02 14:32:56</t>
  </si>
  <si>
    <t>星期二</t>
  </si>
  <si>
    <t>HL23</t>
  </si>
  <si>
    <t>HL-TM主機</t>
  </si>
  <si>
    <t>錢匣損壞</t>
  </si>
  <si>
    <t xml:space="preserve">門市反應tm1收銀機(TCX800)(抽屜顏色:白色、鑰匙孔位子(右)、鎖頭編號:726)彈簧斷掉..請台芝到店協助
</t>
  </si>
  <si>
    <t>THILF0D390</t>
  </si>
  <si>
    <t>2025-12-02 14:33:44</t>
  </si>
  <si>
    <t>2025-12-02 14:55:00</t>
  </si>
  <si>
    <t>2025-12-03 18:33:00</t>
  </si>
  <si>
    <t>將脫落的彈簧勾回，目前可正常</t>
  </si>
  <si>
    <t>2025-12-02 15:28:50</t>
  </si>
  <si>
    <t>2025-12-02 14:30:00</t>
  </si>
  <si>
    <t>E3796114120301</t>
  </si>
  <si>
    <t>三重進安店</t>
  </si>
  <si>
    <t>2025-12-03 04:53:56</t>
  </si>
  <si>
    <t>星期三</t>
  </si>
  <si>
    <t>凌晨</t>
  </si>
  <si>
    <t>觸控不良(游標偏移)</t>
  </si>
  <si>
    <t xml:space="preserve">門市反應TM2(TCX800)觸控不良，要點很多次才有反應，已有協助執行觸控校正仍異常，與門市確認螢幕無保護貼、文宣...請台芝到店協助(機2各項按鍵按不出來要重複按好幾次才有反應)
</t>
  </si>
  <si>
    <t>THILF03796</t>
  </si>
  <si>
    <t>2025-12-03 09:21:59</t>
  </si>
  <si>
    <t>2025-12-03 10:00:00</t>
  </si>
  <si>
    <t>2025-12-04 13:22:00</t>
  </si>
  <si>
    <t>更換主機，無更換硬碟
換下8185000635
換上8185003687</t>
  </si>
  <si>
    <t>2025-12-03 11:20:16</t>
  </si>
  <si>
    <t>2025-12-03 10:50:00</t>
  </si>
  <si>
    <t>1D161114120302</t>
  </si>
  <si>
    <t>板橋僑中三</t>
  </si>
  <si>
    <t>新北市板橋區</t>
  </si>
  <si>
    <t>2025-12-03 14:31:05</t>
  </si>
  <si>
    <t>HLD3</t>
  </si>
  <si>
    <t>HL-熱感發票機</t>
  </si>
  <si>
    <t>D303</t>
  </si>
  <si>
    <t>無反應，不會轉動</t>
  </si>
  <si>
    <t xml:space="preserve">TM2發票機(BSC10II)總公司小晶來電請客服派工，與門市追蹤二代發票機更新發票機韌體，門市告知這幾天不定時TM顯示顯示請檢察熱感機電源是否開啟或usb插頭沒接上。經HIPOS:查看eventlog無報錯，門市反應無法按取消，原因為操作客層後TM顯示熱感機正在列印中或熱感機無法連線!請稍候或檢查發票機電源、上蓋是否蓋妥! 請按[清除]!，無法偵測到熱感機，故重覆跳此訊息，另門市告知操作上蓋往下壓有出一小截空白發票紙張，判斷為當下發票機上蓋未蓋緊，此為當下發票機硬體問題...需請台芝到店檢查。(更版為Ver.251118a) </t>
  </si>
  <si>
    <t>THILF0D161</t>
  </si>
  <si>
    <t>2025-12-03 14:37:52</t>
  </si>
  <si>
    <t>2025-12-04 15:00:00</t>
  </si>
  <si>
    <t>2025-12-04 18:37:00</t>
  </si>
  <si>
    <t>更換發票機、typc
換上：8155004455
換下：8155004438</t>
  </si>
  <si>
    <t>15410114120301</t>
  </si>
  <si>
    <t>2025-12-03 15:09:05</t>
  </si>
  <si>
    <t>抽屜無法正常開關</t>
  </si>
  <si>
    <t>門市為12/2新開門市,反應TM1抽屜(顏色:白、鑰匙孔:右邊、鑰匙孔編號:無、有鑰匙)按開抽屜打不開,已有重啟發票機仍無法排除,確認發票機無異常,用鑰匙打得開,確認無異物卡住.....還請台芝到店協助</t>
  </si>
  <si>
    <t>2025-12-03 15:12:56</t>
  </si>
  <si>
    <t>2025-12-04 14:20:00</t>
  </si>
  <si>
    <t>2025-12-04 19:12:00</t>
  </si>
  <si>
    <t>更換錢櫃線頭</t>
  </si>
  <si>
    <t>THILF04083</t>
  </si>
  <si>
    <t>2025-12-04 13:52:32</t>
  </si>
  <si>
    <t>2025-12-04 11:00:00</t>
  </si>
  <si>
    <t>裝潢回裝完成，使用中華電信</t>
  </si>
  <si>
    <t>2025-12-04 13:53:28</t>
  </si>
  <si>
    <t>2025-12-04 13:20:00</t>
  </si>
  <si>
    <t>15364114120401</t>
  </si>
  <si>
    <t>2025-12-04 14:33:28</t>
  </si>
  <si>
    <t>星期四</t>
  </si>
  <si>
    <t>無電源反應、無法開機</t>
  </si>
  <si>
    <t xml:space="preserve">門市反應TM1(TCX800)突然黑屏無法開機，電源燈無亮，已有重新拔插線路、更換至白色插座仍異常...請台芝到店協助																														
已與門市確認12/04已清帳，清帳後有交易PS若因更換HD.請跟店長宣達:1.請門市先回報代收會計 2.請確認SC的代收資料是否正確 (須與代收單據逐一核對)																																
</t>
  </si>
  <si>
    <t>THILF05364</t>
  </si>
  <si>
    <t>2025-12-04 14:35:48</t>
  </si>
  <si>
    <t>2025-12-05 18:35:00</t>
  </si>
  <si>
    <t xml:space="preserve">更換變壓器 </t>
  </si>
  <si>
    <t>三重碧華公園</t>
  </si>
  <si>
    <t>THILF03811</t>
  </si>
  <si>
    <t>2025-12-05 13:30:10</t>
  </si>
  <si>
    <t>2025-12-05 13:00:00</t>
  </si>
  <si>
    <t>三重溪華店</t>
  </si>
  <si>
    <t>THILF04101</t>
  </si>
  <si>
    <t>2025-12-05 14:26:09</t>
  </si>
  <si>
    <t>2025-12-05 13:30:00</t>
  </si>
  <si>
    <t>北縣溪尾二店</t>
  </si>
  <si>
    <t>THILF0D057</t>
  </si>
  <si>
    <t>2025-12-05 14:55:44</t>
  </si>
  <si>
    <t>2025-12-05 14:30:00</t>
  </si>
  <si>
    <t>1D161114120501</t>
  </si>
  <si>
    <t>2025-12-05 11:34:58</t>
  </si>
  <si>
    <t>星期五</t>
  </si>
  <si>
    <t>上午</t>
  </si>
  <si>
    <t>HLF2</t>
  </si>
  <si>
    <t>HL-CCD掃描器(TM)</t>
  </si>
  <si>
    <t>F201</t>
  </si>
  <si>
    <t>掃描無反應或感應不良</t>
  </si>
  <si>
    <t>門市反應tm2 CCD掃描器(HC56II-TR)有亮燈有逼聲但掃不進TM，門市已有操作過掃描器校正仍異常....須請台芝到店協助</t>
  </si>
  <si>
    <t>2025-12-05 11:37:28</t>
  </si>
  <si>
    <t>2025-12-08 13:12:00</t>
  </si>
  <si>
    <t>2025-12-08 15:37:00</t>
  </si>
  <si>
    <t>取消報修</t>
  </si>
  <si>
    <t>E3811114120601</t>
  </si>
  <si>
    <t>2025-12-06 10:18:26</t>
  </si>
  <si>
    <t>星期六</t>
  </si>
  <si>
    <t>HLM3</t>
  </si>
  <si>
    <t>HL-LIFE-ET 標籤印表機</t>
  </si>
  <si>
    <t>M304</t>
  </si>
  <si>
    <t>無電源</t>
  </si>
  <si>
    <t xml:space="preserve">門市反應	MMK 四代機 標籤印表機無電源反應無亮燈，已有重新拔插線路、按壓電源鍵仍無法開機...請台芝到店協助(EC寄或無法列印)
</t>
  </si>
  <si>
    <t>2025-12-06 11:03:02</t>
  </si>
  <si>
    <t>2025-12-08 09:30:00</t>
  </si>
  <si>
    <t>2025-12-09 13:00:00</t>
  </si>
  <si>
    <t>電源線鬆脫，插回後測試正常</t>
  </si>
  <si>
    <t>1D390114120602</t>
  </si>
  <si>
    <t>2025-12-06 13:07:31</t>
  </si>
  <si>
    <t xml:space="preserve">門市反應TM1(TCX800)無電源反應無法開機，右下角電源燈無亮，已有重新拔插線路、更換至白色插座仍異常，PING80不通無法VNC....請台芝到店協助																																
已與門市確認12/06尚未清帳PS若因更換HD.請跟店長宣達:1.請門市先回報代收會計 2.請確認SC的代收資料是否正確 (須與代收單據逐一核對)																																
</t>
  </si>
  <si>
    <t>2025-12-06 13:12:00</t>
  </si>
  <si>
    <t>2025-12-06 18:32:00</t>
  </si>
  <si>
    <t>電源線和變壓器鬆脫，插回後可正常使用</t>
  </si>
  <si>
    <t>1D390114120603</t>
  </si>
  <si>
    <t>急修件</t>
  </si>
  <si>
    <t>2025-12-06 14:15:55</t>
  </si>
  <si>
    <t xml:space="preserve">12/06 14:15 總公司玫君來電啟動緊急叫修:門市反應TM1(TCX800)無電源反應無法開機，右下角電源燈無亮，已有重新拔插線路、更換至白色插座仍異常，PING80不通無法VNC....請台芝到店協助																																
已與門市確認12/06尚未清帳PS若因更換HD.請跟店長宣達:1.請門市先回報代收會計 2.請確認SC的代收資料是否正確 (須與代收單據逐一核對)
</t>
  </si>
  <si>
    <t>2025-12-06 14:16:54</t>
  </si>
  <si>
    <t>2025-12-06 18:30:00</t>
  </si>
  <si>
    <t>2025-12-07 07:16:00</t>
  </si>
  <si>
    <t>13811114120701</t>
  </si>
  <si>
    <t>2025-12-07 09:19:12</t>
  </si>
  <si>
    <t>星期日</t>
  </si>
  <si>
    <t>門市反應TM2熱感發票機(BSC10II)無反應亮紅燈，已有關機紙捲重裝仍異常...請台芝到店協助</t>
  </si>
  <si>
    <t>2025-12-07 09:21:32</t>
  </si>
  <si>
    <t>2025-12-08 09:55:00</t>
  </si>
  <si>
    <t>電源重啟，測試清帳後清帳條列印正常</t>
  </si>
  <si>
    <t>13785114120801</t>
  </si>
  <si>
    <t>北縣莊榮店</t>
  </si>
  <si>
    <t>新北市新莊區</t>
  </si>
  <si>
    <t>2025-12-08 09:23:05</t>
  </si>
  <si>
    <t>星期一</t>
  </si>
  <si>
    <t>HL25</t>
  </si>
  <si>
    <t>HL-SC螢幕</t>
  </si>
  <si>
    <t>螢幕畫面閃爍頻繁或無畫面</t>
  </si>
  <si>
    <t>門市反應昨天晚上停電後SC螢幕(LCD)黑屏顯示VGA無訊號，已請門市重新拔插後方VGA線仍異常，PING1通可VNC.....須請台芝到店協助</t>
  </si>
  <si>
    <t>THILF03785</t>
  </si>
  <si>
    <t>2025-12-08 09:25:01</t>
  </si>
  <si>
    <t>2025-12-08 12:42:00</t>
  </si>
  <si>
    <t>2025-12-09 13:25:00</t>
  </si>
  <si>
    <t>13811114120801</t>
  </si>
  <si>
    <t>2025-12-08 10:28:10</t>
  </si>
  <si>
    <t>12/08 10:28 總公司玫君來電啟動緊急叫修:門市反應TM2熱感發票機(BSC10II)無反應亮紅燈，已有關機紙捲重裝仍異常...請台芝到店協助</t>
  </si>
  <si>
    <t>2025-12-08 10:28:43</t>
  </si>
  <si>
    <t>2025-12-08 16:28:00</t>
  </si>
  <si>
    <t>三重徐匯店</t>
  </si>
  <si>
    <t>THILF0D350</t>
  </si>
  <si>
    <t>2025-12-08 11:11:51</t>
  </si>
  <si>
    <t>2025-12-08 10:40:00</t>
  </si>
  <si>
    <t>13785114120802</t>
  </si>
  <si>
    <t>2025-12-08 11:52:46</t>
  </si>
  <si>
    <t>12/8 11:52 總公司明翰來電啟動緊急叫修:門市反應昨天晚上停電後SC螢幕(LCD)黑屏顯示VGA無訊號，已請門市重新拔插後方VGA線仍異常，PING1通可VNC.....須請台芝到店協助</t>
  </si>
  <si>
    <t>2025-12-08 11:53:41</t>
  </si>
  <si>
    <t>2025-12-08 12:41:00</t>
  </si>
  <si>
    <t>2025-12-08 17:53:00</t>
  </si>
  <si>
    <t>三重福仁店</t>
  </si>
  <si>
    <t>THILF03957</t>
  </si>
  <si>
    <t>2025-12-08 12:31:56</t>
  </si>
  <si>
    <t>2025-12-08 12:00:00</t>
  </si>
  <si>
    <t>2025-12-08 12:33:59</t>
  </si>
  <si>
    <t>三重永福店</t>
  </si>
  <si>
    <t>THILF02349</t>
  </si>
  <si>
    <t>2025-12-08 13:17:26</t>
  </si>
  <si>
    <t>2025-12-08 12:50:00</t>
  </si>
  <si>
    <t>THILF02222</t>
  </si>
  <si>
    <t>2025-12-08 13:56:30</t>
  </si>
  <si>
    <t>2025-12-08 13:25:00</t>
  </si>
  <si>
    <t>板橋僑興店</t>
  </si>
  <si>
    <t>THILF04145</t>
  </si>
  <si>
    <t>2025-12-08 14:11:25</t>
  </si>
  <si>
    <t>2025-12-08 13:55:00</t>
  </si>
  <si>
    <t>板橋板龍店</t>
  </si>
  <si>
    <t>THILF02403</t>
  </si>
  <si>
    <t>2025-12-08 14:38:30</t>
  </si>
  <si>
    <t>2025-12-08 14:10:00</t>
  </si>
  <si>
    <t>板橋大興店</t>
  </si>
  <si>
    <t>THILF0D609</t>
  </si>
  <si>
    <t>2025-12-08 14:59:13</t>
  </si>
  <si>
    <t>2025-12-08 14:40:00</t>
  </si>
  <si>
    <t>三重美溪店</t>
  </si>
  <si>
    <t>THILF03772</t>
  </si>
  <si>
    <t>2025-12-08 15:14:39</t>
  </si>
  <si>
    <t>2025-12-08 14:50:00</t>
  </si>
  <si>
    <t>北縣板億店</t>
  </si>
  <si>
    <t>THILF02422</t>
  </si>
  <si>
    <t>2025-12-08 15:23:59</t>
  </si>
  <si>
    <t>2025-12-08 15:05:00</t>
  </si>
  <si>
    <t>三重維德店</t>
  </si>
  <si>
    <t>THILF0D346</t>
  </si>
  <si>
    <t>2025-12-08 15:41:33</t>
  </si>
  <si>
    <t>2025-12-08 15:15:00</t>
  </si>
  <si>
    <t>板橋合安店</t>
  </si>
  <si>
    <t>THILF04422</t>
  </si>
  <si>
    <t>2025-12-08 15:46:06</t>
  </si>
  <si>
    <t>2025-12-08 15:30:00</t>
  </si>
  <si>
    <t>13785114120901</t>
  </si>
  <si>
    <t>2025-12-09 09:38:12</t>
  </si>
  <si>
    <t>HL24</t>
  </si>
  <si>
    <t>HL-SC主機</t>
  </si>
  <si>
    <t>檔案損毀(更換硬碟)</t>
  </si>
  <si>
    <t xml:space="preserve">SC(SHUTTLE6S)門市昨天跳電，今日兩台TM一直跳主檔更新，門市告知已版更多次仍會跳出提醒，已有協助SC轉TM跟手動TM版本更新後10分鐘後進行TM版更主檔日期仍在2025/12/07，進最高權限使用手動主檔排除無法更新後再次SC轉TM跟手動TM版本更新後10分鐘後進行TM版更仍無法排除，經總公司小晶確認轉入主檔失敗，請到店更換sc第二顆硬碟，不要備份....須請台芝到店協助
PS.若因更換HD.請跟店長宣達:1.請門市先回報代收會計 2.請確認SC的代收資料是否正確 (須與代收單據逐一核對)
與門市確認帳關到12/08，與通訊嘉芳確認都有收到
</t>
  </si>
  <si>
    <t>2025-12-09 09:41:21</t>
  </si>
  <si>
    <t>2025-12-09 12:00:00</t>
  </si>
  <si>
    <t>2025-12-10 13:41:00</t>
  </si>
  <si>
    <t>更換SC第二顆硬碟不備份還原</t>
  </si>
  <si>
    <t>淡水英才店</t>
  </si>
  <si>
    <t>新北市淡水區</t>
  </si>
  <si>
    <t>THILF04658</t>
  </si>
  <si>
    <t>2025-12-09 11:58:22</t>
  </si>
  <si>
    <t>2025-12-09 09:50:00</t>
  </si>
  <si>
    <t>淡水真理大</t>
  </si>
  <si>
    <t>THILF03751</t>
  </si>
  <si>
    <t>2025-12-09 11:58:57</t>
  </si>
  <si>
    <t>2025-12-09 10:50:00</t>
  </si>
  <si>
    <t>淡水沙崙店</t>
  </si>
  <si>
    <t>THILF04802</t>
  </si>
  <si>
    <t>2025-12-09 12:00:17</t>
  </si>
  <si>
    <t>2025-12-09 11:30:00</t>
  </si>
  <si>
    <t>淡水新市一</t>
  </si>
  <si>
    <t>THILF04093</t>
  </si>
  <si>
    <t>2025-12-09 12:32:18</t>
  </si>
  <si>
    <t>2025-12-09 12:10:00</t>
  </si>
  <si>
    <t>淡水莊園店</t>
  </si>
  <si>
    <t>THILF04153</t>
  </si>
  <si>
    <t>2025-12-09 15:09:11</t>
  </si>
  <si>
    <t>2025-12-09 14:30:00</t>
  </si>
  <si>
    <t>淡水國家店</t>
  </si>
  <si>
    <t>THILF04788</t>
  </si>
  <si>
    <t>2025-12-09 15:36:09</t>
  </si>
  <si>
    <t>2025-12-09 15:10:00</t>
  </si>
  <si>
    <t>板橋藝文店</t>
  </si>
  <si>
    <t>THILF04983</t>
  </si>
  <si>
    <t>2025-12-09 15:59:04</t>
  </si>
  <si>
    <t>2025-12-09 15:38:00</t>
  </si>
  <si>
    <t>板橋板好店</t>
  </si>
  <si>
    <t>THILF03183</t>
  </si>
  <si>
    <t>2025-12-09 16:17:49</t>
  </si>
  <si>
    <t>2025-12-09 16:00:00</t>
  </si>
  <si>
    <t>淡水後洲店</t>
  </si>
  <si>
    <t>THILF04298</t>
  </si>
  <si>
    <t>2025-12-09 16:19:31</t>
  </si>
  <si>
    <t>2025-12-09 15:50:00</t>
  </si>
  <si>
    <t>ED057114120901</t>
  </si>
  <si>
    <t>2025-12-09 11:23:52</t>
  </si>
  <si>
    <t>門市反應TM2 CCD掃描器(HC56II-TR)刷讀條碼都很難刷尤其發財卡都刷不出來，門市已有操作過校正仍異常....須請台芝到店協助(已經有E網印單測試過了，還是很難刷，發財卡都要用按的。另外我後場掃描器也無法使用(亮燈無反應))</t>
  </si>
  <si>
    <t>2025-12-09 11:39:15</t>
  </si>
  <si>
    <t>2025-12-10 10:40:00</t>
  </si>
  <si>
    <t>2025-12-10 15:39:00</t>
  </si>
  <si>
    <t>更換掃描槍
換下8119006999
換上8119010761</t>
  </si>
  <si>
    <t>1D057114120901</t>
  </si>
  <si>
    <t>2025-12-09 11:39:25</t>
  </si>
  <si>
    <t>HL29</t>
  </si>
  <si>
    <t>HL-CCD掃描器(SC)</t>
  </si>
  <si>
    <t>門市反應SC CCD掃描器(CLab1070)無法刷讀有亮燈無逼聲，門市已有校正後仍異常....須請台芝到店協助</t>
  </si>
  <si>
    <t>2025-12-09 11:40:20</t>
  </si>
  <si>
    <t>2025-12-10 10:20:00</t>
  </si>
  <si>
    <t>2025-12-10 15:40:00</t>
  </si>
  <si>
    <t>更換掃描槍
換下8119009485
換上8119013471</t>
  </si>
  <si>
    <t>淡水新洲店</t>
  </si>
  <si>
    <t>THILF04529</t>
  </si>
  <si>
    <t>2025-12-09 17:04:22</t>
  </si>
  <si>
    <t>2025-12-09 16:35:00</t>
  </si>
  <si>
    <t>板橋互助店</t>
  </si>
  <si>
    <t>THILF03853</t>
  </si>
  <si>
    <t>2025-12-10 15:14:14</t>
  </si>
  <si>
    <t>2025-12-10 15:00:00</t>
  </si>
  <si>
    <t>板橋海龍店</t>
  </si>
  <si>
    <t>THILF03955</t>
  </si>
  <si>
    <t>2025-12-10 16:16:37</t>
  </si>
  <si>
    <t>2025-12-10 14:32:00</t>
  </si>
  <si>
    <t>15428114121002</t>
  </si>
  <si>
    <t>2025-12-10 15:04:01</t>
  </si>
  <si>
    <t xml:space="preserve">2025/12/10 (週三) 下午 02:59 總公司明翰MAIL:5428門市無法TM上傳SC 請協助緊急派工，到店更換SC(SHUTTLE7S)第一顆硬碟，資料不備份，謝謝。...請台芝到店協助
PS.若因更換HD.請跟店長宣達:1.請門市先回報代收會計 2.請確認SC的代收資料是否正確 (須與代收單據逐一核對)																																
與門市確認帳務做到12/09，與通訊健誌副理確認有收到12/09的銷售																														
</t>
  </si>
  <si>
    <t>THILF05428</t>
  </si>
  <si>
    <t>2025-12-10 15:11:23</t>
  </si>
  <si>
    <t>2025-12-10 17:00:00</t>
  </si>
  <si>
    <t>2025-12-11 08:11:00</t>
  </si>
  <si>
    <t>更換第一顆硬碟不備份還原完成</t>
  </si>
  <si>
    <t>板橋板嘉店</t>
  </si>
  <si>
    <t>THILF02746</t>
  </si>
  <si>
    <t>2025-12-11 11:02:42</t>
  </si>
  <si>
    <t>2025-12-11 10:45:00</t>
  </si>
  <si>
    <t>板橋雙十店</t>
  </si>
  <si>
    <t>THILF02221</t>
  </si>
  <si>
    <t>2025-12-11 11:20:04</t>
  </si>
  <si>
    <t>2025-12-11 11:00:00</t>
  </si>
  <si>
    <t>THILF03627</t>
  </si>
  <si>
    <t>2025-12-11 13:33:16</t>
  </si>
  <si>
    <t>2025-12-11 13:00:00</t>
  </si>
  <si>
    <t>三重高中店</t>
  </si>
  <si>
    <t>THILF04260</t>
  </si>
  <si>
    <t>2025-12-11 13:46:04</t>
  </si>
  <si>
    <t>2025-12-11 13:30:00</t>
  </si>
  <si>
    <t>三重昌隆店</t>
  </si>
  <si>
    <t>THILF04084</t>
  </si>
  <si>
    <t>2025-12-11 13:50:12</t>
  </si>
  <si>
    <t>2025-12-11 13:45:00</t>
  </si>
  <si>
    <t>三重同安店</t>
  </si>
  <si>
    <t>THILF02321</t>
  </si>
  <si>
    <t>2025-12-11 13:55:44</t>
  </si>
  <si>
    <t>2025-12-11 13:50:00</t>
  </si>
  <si>
    <t>三重大同南</t>
  </si>
  <si>
    <t>THILF04134</t>
  </si>
  <si>
    <t>2025-12-11 14:06:32</t>
  </si>
  <si>
    <t>2025-12-11 13:55:00</t>
  </si>
  <si>
    <t>三重重安店</t>
  </si>
  <si>
    <t>THILF02302</t>
  </si>
  <si>
    <t>2025-12-11 14:13:02</t>
  </si>
  <si>
    <t>2025-12-11 14:05:00</t>
  </si>
  <si>
    <t>三重重新三</t>
  </si>
  <si>
    <t>THILF03741</t>
  </si>
  <si>
    <t>2025-12-11 14:17:41</t>
  </si>
  <si>
    <t>2025-12-11 14:15:00</t>
  </si>
  <si>
    <t>三重星光店</t>
  </si>
  <si>
    <t>THILF03983</t>
  </si>
  <si>
    <t>2025-12-11 14:29:47</t>
  </si>
  <si>
    <t>2025-12-11 14:20:00</t>
  </si>
  <si>
    <t>三重三文店</t>
  </si>
  <si>
    <t>THILF04586</t>
  </si>
  <si>
    <t>2025-12-11 14:49:52</t>
  </si>
  <si>
    <t>2025-12-11 14:40:00</t>
  </si>
  <si>
    <t>三重仁旺店</t>
  </si>
  <si>
    <t>THILF04397</t>
  </si>
  <si>
    <t>2025-12-11 15:02:34</t>
  </si>
  <si>
    <t>2025-12-11 14:55:00</t>
  </si>
  <si>
    <t>北縣天龍店</t>
  </si>
  <si>
    <t>THILF03840</t>
  </si>
  <si>
    <t>2025-12-11 15:06:45</t>
  </si>
  <si>
    <t>2025-12-11 15:00:00</t>
  </si>
  <si>
    <t>三重公園店</t>
  </si>
  <si>
    <t>THILF04352</t>
  </si>
  <si>
    <t>2025-12-11 15:10:26</t>
  </si>
  <si>
    <t>2025-12-11 15:05:00</t>
  </si>
  <si>
    <t>三重仁義店</t>
  </si>
  <si>
    <t>THILF04241</t>
  </si>
  <si>
    <t>2025-12-11 15:16:38</t>
  </si>
  <si>
    <t>2025-12-11 15:10:00</t>
  </si>
  <si>
    <t>THILF04154</t>
  </si>
  <si>
    <t>2025-12-12 10:58:12</t>
  </si>
  <si>
    <t>2025-12-12 09:00:00</t>
  </si>
  <si>
    <t>裝潢撤機完成</t>
  </si>
  <si>
    <t>2025-12-12 12:02:57</t>
  </si>
  <si>
    <t>THILF05384</t>
  </si>
  <si>
    <t>2025-12-12 13:20:04</t>
  </si>
  <si>
    <t>2025-12-12 13:00:00</t>
  </si>
  <si>
    <t>THILF03818</t>
  </si>
  <si>
    <t>2025-12-12 13:48:30</t>
  </si>
  <si>
    <t>2025-12-12 13:30:00</t>
  </si>
  <si>
    <t>E2014114121201</t>
  </si>
  <si>
    <t>三重果菜市場</t>
  </si>
  <si>
    <t>2025-12-12 16:40:33</t>
  </si>
  <si>
    <t>當機/自動開關機</t>
  </si>
  <si>
    <t>門市告知SC主機(SHUTTLE6S)風扇很大聲但不影響SC作業，重新開機過有變小聲一點點但還是很大聲......還請台芝到店協助(黑色盒子風扇變很大聲 猜測風扇要壞了)</t>
  </si>
  <si>
    <t>THILF02014</t>
  </si>
  <si>
    <t>2025-12-12 16:50:19</t>
  </si>
  <si>
    <t>2025-12-13 15:55:00</t>
  </si>
  <si>
    <t>2025-12-15 20:50:00</t>
  </si>
  <si>
    <t>第二顆硬碟不備份還原完成，風扇無異音，異音疑似第二顆硬碟震動所致，更換後正常
更換Sata線*1</t>
  </si>
  <si>
    <t>12014114121301</t>
  </si>
  <si>
    <t>2025-12-13 12:35:33</t>
  </si>
  <si>
    <t>12/13 12:35總公司玫君來電啟動緊急叫修:門市反應SC(SHUTTLE6S)原先風扇很大聲但不影響SC作業，重新開機過有變小聲一點點但還是很大聲，今日門市來電告知SC黑屏，客服請門市已嘗試拔插休息開機仍異常，ping1有通無法vnc....須請台芝到店協助 PS.若因更換HD.請跟店長宣達:1.請門市先回報代收會計 2.請確認SC的代收資料是否正確 (須與代收單據逐一核對) 與門市確認帳做到12/12，通訊午休待確認</t>
  </si>
  <si>
    <t>2025-12-13 12:45:03</t>
  </si>
  <si>
    <t>2025-12-13 18:45:00</t>
  </si>
  <si>
    <t>E3962114121401</t>
  </si>
  <si>
    <t>板橋仁化店</t>
  </si>
  <si>
    <t>2025-12-14 15:15:33</t>
  </si>
  <si>
    <t>性質交接門市反應TM1 CCD掃描器(HC56IITR)外觀破損，不好刷讀..請台芝到店協助(加盟轉直營，兩個掃描器前方破損)</t>
  </si>
  <si>
    <t>THILF03962</t>
  </si>
  <si>
    <t>2025-12-14 15:30:27</t>
  </si>
  <si>
    <t>2025-12-16 12:00:00</t>
  </si>
  <si>
    <t>2025-12-16 13:00:00</t>
  </si>
  <si>
    <t>更換掃槍
換上：8119011785
換下：8119006796</t>
  </si>
  <si>
    <t>13962114121401</t>
  </si>
  <si>
    <t>2025-12-14 15:30:43</t>
  </si>
  <si>
    <t xml:space="preserve">性質交接門市反應TM2 CCD掃描器(HC56IITR)外觀破損，不好刷讀..請台芝到店協助	</t>
  </si>
  <si>
    <t>2025-12-14 15:31:26</t>
  </si>
  <si>
    <t>更換掃槍
換上：8119011857
換下：8119006797</t>
  </si>
  <si>
    <t>12154114121501</t>
  </si>
  <si>
    <t>板橋板莊店</t>
  </si>
  <si>
    <t>2025-12-15 10:50:39</t>
  </si>
  <si>
    <t>當機</t>
  </si>
  <si>
    <t xml:space="preserve">TM1(TCX800)1.機台：1 2.入帳日期：12/14  3.交易日期：12/14 4.交易序號：864621 5.金額：X 6.商品：X 7.條碼：X 8.消費最後是否有成功交易：是 9.商品是否被帶走：是 10.原因：門市反應大夜操作版更後，刷讀商品條碼後點選客層顯示請稍後等待很久無回應，已請門市拔插休息再次操作仍異常，PING全店網路無瞬斷
12/15 門市再次反應刷讀商品條碼後按客層卡在請稍後很久無回應，協助重整後畫面已正常，未跳交易序號....請台芝到店協助，與門市確認12/15無交易資料 PS若因更換HD.請跟店長宣達:1.請門市先回報代收會計 2.請確認SC的代收資料是否正確 (須與代收單據逐一核對) </t>
  </si>
  <si>
    <t>THILF02154</t>
  </si>
  <si>
    <t>2025-12-15 10:54:45</t>
  </si>
  <si>
    <t>2025-12-16 12:40:00</t>
  </si>
  <si>
    <t>2025-12-16 14:54:00</t>
  </si>
  <si>
    <t>更換TM1第一顆硬碟無備份還原
版號：S1117.52.0
ARC : 4.C02u</t>
  </si>
  <si>
    <t>新北市蘆洲區</t>
  </si>
  <si>
    <t>THILF05430</t>
  </si>
  <si>
    <t>2025-12-15 13:58:09</t>
  </si>
  <si>
    <t>2025-12-15 10:00:00</t>
  </si>
  <si>
    <t>協助新開門市</t>
  </si>
  <si>
    <t>2025-12-15 13:58:52</t>
  </si>
  <si>
    <t>2025-12-15 11:00:00</t>
  </si>
  <si>
    <t>新開門市安裝完成，已使用中華電信
，PEP已安裝完成</t>
  </si>
  <si>
    <t>2025-12-15 15:24:07</t>
  </si>
  <si>
    <t>2025-12-15 15:00:00</t>
  </si>
  <si>
    <t>協助撤機</t>
  </si>
  <si>
    <t>2025-12-15 15:25:18</t>
  </si>
  <si>
    <t>2025-12-16 12:43:31</t>
  </si>
  <si>
    <t>2025-12-16 12:10:00</t>
  </si>
  <si>
    <t>五股興珍店</t>
  </si>
  <si>
    <t>新北市五股區</t>
  </si>
  <si>
    <t>THILF02691</t>
  </si>
  <si>
    <t>2025-12-16 13:17:31</t>
  </si>
  <si>
    <t>2025-12-16 14:56:25</t>
  </si>
  <si>
    <t>新莊莊美店</t>
  </si>
  <si>
    <t>THILF04341</t>
  </si>
  <si>
    <t>2025-12-16 15:33:58</t>
  </si>
  <si>
    <t>2025-12-16 15:20:00</t>
  </si>
  <si>
    <t>新莊中泉店</t>
  </si>
  <si>
    <t>THILF04163</t>
  </si>
  <si>
    <t>2025-12-16 15:50:29</t>
  </si>
  <si>
    <t>2025-12-16 15:40:00</t>
  </si>
  <si>
    <t>12318114121601</t>
  </si>
  <si>
    <t>北縣淡俊店</t>
  </si>
  <si>
    <t>2025-12-16 14:56:42</t>
  </si>
  <si>
    <t>HL28</t>
  </si>
  <si>
    <t>HL-立式掃描器</t>
  </si>
  <si>
    <t>掃瞄無反應或感應不良</t>
  </si>
  <si>
    <t>門市反應TM1立式掃描器(MS-7580)刷讀條碼有亮燈有聲音，但無入TM，已嘗試執行掃描器校正仍異常..請台芝到店協助</t>
  </si>
  <si>
    <t>THILF02318</t>
  </si>
  <si>
    <t>2025-12-16 14:58:04</t>
  </si>
  <si>
    <t>2025-12-17 11:20:00</t>
  </si>
  <si>
    <t>2025-12-17 18:58:00</t>
  </si>
  <si>
    <t>PS2脫落，接回後可正常使用</t>
  </si>
  <si>
    <t>1A171114121701</t>
  </si>
  <si>
    <t>淡水金龍店</t>
  </si>
  <si>
    <t>2025-12-17 12:28:56</t>
  </si>
  <si>
    <t>門市反應TM1(TCX800)抽屜關不起來會自己彈出來，抽屜外觀米白/鑰匙孔右邊/鑰匙孔編號703....須請台芝到店協助</t>
  </si>
  <si>
    <t>THILF0A171</t>
  </si>
  <si>
    <t>2025-12-17 12:30:35</t>
  </si>
  <si>
    <t>2025-12-17 12:56:00</t>
  </si>
  <si>
    <t>2025-12-18 16:30:00</t>
  </si>
  <si>
    <t>抽屜內部彈射彈簧斷裂，重新接回後正常</t>
  </si>
  <si>
    <t>1D087114121701</t>
  </si>
  <si>
    <t>三重中興北</t>
  </si>
  <si>
    <t>2025-12-17 15:19:08</t>
  </si>
  <si>
    <t>TM1抽屜(顏色:米白、鑰匙孔:右邊、鑰匙孔編號:K06、無鑰匙)有時候結帳會打開有時候不會打開,有時候按開抽屜也會沒反應,確認無異物卡住.....還請台芝到店協助</t>
  </si>
  <si>
    <t>THILF0D087</t>
  </si>
  <si>
    <t>2025-12-17 15:21:32</t>
  </si>
  <si>
    <t>2025-12-18 10:00:00</t>
  </si>
  <si>
    <t>2025-12-18 19:21:00</t>
  </si>
  <si>
    <t>更換錢櫃
換下81Z1000900
換上81Z1001002</t>
  </si>
  <si>
    <t>2025-12-17 16:41:49</t>
  </si>
  <si>
    <t>2025-12-17 14:30:00</t>
  </si>
  <si>
    <t>協助撤店</t>
  </si>
  <si>
    <t>2025-12-17 16:42:35</t>
  </si>
  <si>
    <t>14057114121801</t>
  </si>
  <si>
    <t>2025-12-18 11:15:52</t>
  </si>
  <si>
    <t>門市反應tm1 ccd掃描器(HC76-TR)常常刷讀不到條碼有亮燈有逼聲但未讀進tm，門市已有操作校正仍異常....須請台芝到店協助</t>
  </si>
  <si>
    <t>2025-12-18 11:17:09</t>
  </si>
  <si>
    <t>2025-12-18 15:30:00</t>
  </si>
  <si>
    <t>2025-12-19 15:17:00</t>
  </si>
  <si>
    <t>重接排線，重新校正</t>
  </si>
  <si>
    <t>14057114121802</t>
  </si>
  <si>
    <t>2025-12-18 11:17:21</t>
  </si>
  <si>
    <t>門市反應tm2 ccd掃描器(HC76-TR)常常刷讀不到條碼有亮燈有逼聲但未讀進tm，門市已有操作校正仍異常....須請台芝到店協助</t>
  </si>
  <si>
    <t>2025-12-18 11:17:40</t>
  </si>
  <si>
    <t>2025-12-18 16:00:00</t>
  </si>
  <si>
    <t>三重美堤店</t>
  </si>
  <si>
    <t>THILF03890</t>
  </si>
  <si>
    <t>2025-12-19 12:34:51</t>
  </si>
  <si>
    <t>2025-12-19 12:16:00</t>
  </si>
  <si>
    <t>THILF05245</t>
  </si>
  <si>
    <t>2025-12-19 12:53:00</t>
  </si>
  <si>
    <t>2025-12-19 12:37:00</t>
  </si>
  <si>
    <t>三重三陽店</t>
  </si>
  <si>
    <t>THILF02399</t>
  </si>
  <si>
    <t>2025-12-19 12:58:47</t>
  </si>
  <si>
    <t>三重三民店</t>
  </si>
  <si>
    <t>THILF0D024</t>
  </si>
  <si>
    <t>2025-12-19 13:04:34</t>
  </si>
  <si>
    <t>2025-12-19 13:00:00</t>
  </si>
  <si>
    <t>三重洛陽店</t>
  </si>
  <si>
    <t>THILF02837</t>
  </si>
  <si>
    <t>2025-12-19 13:09:17</t>
  </si>
  <si>
    <t>2025-12-19 13:05:00</t>
  </si>
  <si>
    <t>三重田心店</t>
  </si>
  <si>
    <t>THILF03676</t>
  </si>
  <si>
    <t>2025-12-19 13:13:29</t>
  </si>
  <si>
    <t>2025-12-19 13:08:00</t>
  </si>
  <si>
    <t>2025-12-19 13:25:01</t>
  </si>
  <si>
    <t>2025-12-19 13:15:00</t>
  </si>
  <si>
    <t>三重商工店</t>
  </si>
  <si>
    <t>THILF04652</t>
  </si>
  <si>
    <t>2025-12-19 13:35:23</t>
  </si>
  <si>
    <t>2025-12-19 13:30:00</t>
  </si>
  <si>
    <t>三重太璞宮</t>
  </si>
  <si>
    <t>THILF04968</t>
  </si>
  <si>
    <t>2025-12-19 14:14:58</t>
  </si>
  <si>
    <t>2025-12-19 13:59:00</t>
  </si>
  <si>
    <t>三重溪美店</t>
  </si>
  <si>
    <t>THILF04191</t>
  </si>
  <si>
    <t>2025-12-19 14:36:23</t>
  </si>
  <si>
    <t>2025-12-19 14:25:00</t>
  </si>
  <si>
    <t>北縣五華三店</t>
  </si>
  <si>
    <t>THILF0D194</t>
  </si>
  <si>
    <t>2025-12-19 14:41:00</t>
  </si>
  <si>
    <t>2025-12-19 14:35:00</t>
  </si>
  <si>
    <t>E3147114122001</t>
  </si>
  <si>
    <t>板橋板明店</t>
  </si>
  <si>
    <t>2025-12-20 08:57:53</t>
  </si>
  <si>
    <t>HL27</t>
  </si>
  <si>
    <t>HL-雷射印表機</t>
  </si>
  <si>
    <t>不能開機</t>
  </si>
  <si>
    <t>門市反應昨天停電，今天復電後SC雷射印表機(M6600NW)即無法開機，設備亮藍燈，面板沒有任何畫面，已嘗試重新拔插後方電源線開關機都沒反應沒聲音..請台芝到店協助(無法開機)</t>
  </si>
  <si>
    <t>THILF03147</t>
  </si>
  <si>
    <t>2025-12-20 09:16:45</t>
  </si>
  <si>
    <t>2025-12-23 12:20:00</t>
  </si>
  <si>
    <t>2025-12-23 13:00:00</t>
  </si>
  <si>
    <t>更換雷射列表機
換上：8103002065
換下：8103002103</t>
  </si>
  <si>
    <t>1D070114122101</t>
  </si>
  <si>
    <t>三重重新店</t>
  </si>
  <si>
    <t>2025-12-21 12:43:12</t>
  </si>
  <si>
    <t>門市反應TM2(TCX800)使用到一半突然黑屏右下電源燈未亮無法開機，門市找不到TM插頭，有將插座上全部插頭重新拔插仍無電源反應...須請台芝到店協助
PS.若因更換HD.請跟店長宣達:1.請門市先回報代收會計 2.請確認SC的代收資料是否正確 (須與代收單據逐一核對)
門市今日已清帳入帳日12/22有交易</t>
  </si>
  <si>
    <t>THILF0D070</t>
  </si>
  <si>
    <t>2025-12-21 12:49:34</t>
  </si>
  <si>
    <t>2025-12-22 11:45:00</t>
  </si>
  <si>
    <t>變壓器鬆脫，插回後可正常使用</t>
  </si>
  <si>
    <t>THILF04228</t>
  </si>
  <si>
    <t>2025-12-22 13:34:53</t>
  </si>
  <si>
    <t>2025-12-22 13:00:00</t>
  </si>
  <si>
    <t>新莊鼎苑店</t>
  </si>
  <si>
    <t>THILF04194</t>
  </si>
  <si>
    <t>2025-12-22 13:51:15</t>
  </si>
  <si>
    <t>2025-12-22 13:30:00</t>
  </si>
  <si>
    <t>新莊昌平店</t>
  </si>
  <si>
    <t>THILF04701</t>
  </si>
  <si>
    <t>2025-12-22 14:22:29</t>
  </si>
  <si>
    <t>2025-12-22 14:00:00</t>
  </si>
  <si>
    <t>新莊福祐店</t>
  </si>
  <si>
    <t>THILF03999</t>
  </si>
  <si>
    <t>2025-12-22 14:58:56</t>
  </si>
  <si>
    <t>2025-12-22 14:30:00</t>
  </si>
  <si>
    <t>新莊巷口店</t>
  </si>
  <si>
    <t>THILF04762</t>
  </si>
  <si>
    <t>2025-12-22 15:30:39</t>
  </si>
  <si>
    <t>2025-12-22 15:00:00</t>
  </si>
  <si>
    <t>E4312114122201</t>
  </si>
  <si>
    <t>三重文化北</t>
  </si>
  <si>
    <t>2025-12-22 23:15:22</t>
  </si>
  <si>
    <t>夜間</t>
  </si>
  <si>
    <t>門市反應tm1 CCD掃描器(HC56IITR)刷讀所有條碼都會感應不良要刷很多次有亮燈有逼聲，操作掃描器校正後仍異常....須請台芝到店協助(感應不良)</t>
  </si>
  <si>
    <t>THILF04312</t>
  </si>
  <si>
    <t>2025-12-23 09:12:33</t>
  </si>
  <si>
    <t>2025-12-24 11:00:00</t>
  </si>
  <si>
    <t>2025-12-24 13:12:00</t>
  </si>
  <si>
    <t>更換掃描槍
換下8119006941
換上8119007732</t>
  </si>
  <si>
    <t>14312114122301</t>
  </si>
  <si>
    <t>2025-12-23 09:12:47</t>
  </si>
  <si>
    <t>門市反應tm2 CCD掃描器(HC56IITR)刷讀所有條碼都會感應不良要刷很多次有亮燈有逼聲，操作掃描器校正後仍異常....須請台芝到店協助</t>
  </si>
  <si>
    <t>2025-12-23 09:13:14</t>
  </si>
  <si>
    <t>2025-12-24 13:13:00</t>
  </si>
  <si>
    <t>更換掃描槍
換下8119006210
換上8119007731</t>
  </si>
  <si>
    <t>THILF04196</t>
  </si>
  <si>
    <t>2025-12-23 14:32:00</t>
  </si>
  <si>
    <t>2025-12-23 11:00:00</t>
  </si>
  <si>
    <t>2025-12-23 14:32:05</t>
  </si>
  <si>
    <t>裝潢回裝完成，使用中華電信正常</t>
  </si>
  <si>
    <t>14834114122301</t>
  </si>
  <si>
    <t>2025-12-23 14:36:41</t>
  </si>
  <si>
    <t>門市反應SC螢幕(LCD)黑屏，PING.1有通，VNC畫面正常，門市告知SC螢幕電源燈無燈號找不到電源鍵，門市告知已有重新拔插線路、更換至白色插座仍異常..請台芝到店協助</t>
  </si>
  <si>
    <t>2025-12-23 14:38:52</t>
  </si>
  <si>
    <t>2025-12-24 10:10:00</t>
  </si>
  <si>
    <t>2025-12-24 18:38:00</t>
  </si>
  <si>
    <t>重接排線</t>
  </si>
  <si>
    <t>THILF05451</t>
  </si>
  <si>
    <t>2025-12-23 15:42:17</t>
  </si>
  <si>
    <t>2025-12-23 12:00:00</t>
  </si>
  <si>
    <t>新開門市安裝已完工</t>
  </si>
  <si>
    <t>2025-12-23 17:56:26</t>
  </si>
  <si>
    <t>2025-12-23 09:00:00</t>
  </si>
  <si>
    <t>2025-12-23 17:57:09</t>
  </si>
  <si>
    <t>新開門市</t>
  </si>
  <si>
    <t>板橋板豐店</t>
  </si>
  <si>
    <t>THILF03551</t>
  </si>
  <si>
    <t>2025-12-24 11:36:44</t>
  </si>
  <si>
    <t>2025-12-24 11:05:00</t>
  </si>
  <si>
    <t>新莊莊民店</t>
  </si>
  <si>
    <t>THILF03652</t>
  </si>
  <si>
    <t>2025-12-24 14:29:34</t>
  </si>
  <si>
    <t>2025-12-24 14:00:00</t>
  </si>
  <si>
    <t>1A171114122501</t>
  </si>
  <si>
    <t>2025-12-25 09:29:09</t>
  </si>
  <si>
    <t>門市反應TM1(TCX800)抽屜無法完全密合，抽屜外觀米白/鑰匙孔右邊/鑰匙孔編號703....須請台芝到店協助</t>
  </si>
  <si>
    <t>2025-12-25 09:30:00</t>
  </si>
  <si>
    <t>2025-12-26 10:30:00</t>
  </si>
  <si>
    <t>2025-12-29 13:00:00</t>
  </si>
  <si>
    <t>更換錢櫃
換下81Z1003538
換上81Z1001001</t>
  </si>
  <si>
    <t>14196114122501</t>
  </si>
  <si>
    <t>2025-12-25 10:20:18</t>
  </si>
  <si>
    <t>門市反應TM2(TCX800)觸控不良，數字鍵要多按幾下才有反應，已有執行校正仍異常...請台芝到店協助</t>
  </si>
  <si>
    <t>2025-12-25 10:21:10</t>
  </si>
  <si>
    <t>2025-12-26 13:00:00</t>
  </si>
  <si>
    <t>更換主機，無更換硬碟
換下8185000643
換上8185002948</t>
  </si>
  <si>
    <t>13227114122502</t>
  </si>
  <si>
    <t>五股四維店</t>
  </si>
  <si>
    <t>2025-12-25 15:56:33</t>
  </si>
  <si>
    <t>門市反應TM1 CCD掃描器(HC56II-TR)刷讀所有條碼都感應不良，校正表單第6步驟刷讀完全無反應....請台芝到店協助</t>
  </si>
  <si>
    <t>THILF03227</t>
  </si>
  <si>
    <t>2025-12-25 15:57:58</t>
  </si>
  <si>
    <t>更換手持
換上8119010854
換下8119006640</t>
  </si>
  <si>
    <t>13227114122503</t>
  </si>
  <si>
    <t>2025-12-25 15:58:07</t>
  </si>
  <si>
    <t>門市反應TM2 CCD掃描器(HC56II-TR)刷讀所有條碼都感應不良，要刷很多次才有反應，已有執行校正仍異常....請台芝到店協助</t>
  </si>
  <si>
    <t>2025-12-25 15:58:32</t>
  </si>
  <si>
    <t>2025-12-26 11:00:00</t>
  </si>
  <si>
    <t>更換手持
換上8119011530
換下8119006641</t>
  </si>
  <si>
    <t>THILF0TT01</t>
  </si>
  <si>
    <t>2025-12-26 14:17:16</t>
  </si>
  <si>
    <t>2025-12-26 13:50:00</t>
  </si>
  <si>
    <t>五股五工店</t>
  </si>
  <si>
    <t>THILF02535</t>
  </si>
  <si>
    <t>2025-12-26 14:42:21</t>
  </si>
  <si>
    <t>2025-12-26 14:20:00</t>
  </si>
  <si>
    <t>板橋國慶店</t>
  </si>
  <si>
    <t>THILF03416</t>
  </si>
  <si>
    <t>2025-12-26 15:22:06</t>
  </si>
  <si>
    <t>2025-12-26 15:00:00</t>
  </si>
  <si>
    <t>板橋玉川店</t>
  </si>
  <si>
    <t>THILF03977</t>
  </si>
  <si>
    <t>2025-12-26 15:45:45</t>
  </si>
  <si>
    <t>2025-12-26 15:20:00</t>
  </si>
  <si>
    <t>板橋豫章店</t>
  </si>
  <si>
    <t>THILF03752</t>
  </si>
  <si>
    <t>2025-12-26 16:06:19</t>
  </si>
  <si>
    <t>2025-12-26 15:50:00</t>
  </si>
  <si>
    <t>13358114122701</t>
  </si>
  <si>
    <t>新莊棒球場</t>
  </si>
  <si>
    <t>2025-12-27 10:03:39</t>
  </si>
  <si>
    <t xml:space="preserve">門市反應TM2(TCX800)突然黑屏自動關機，右下角電源燈無亮，已有重新拔插線路仍異常，PING80不通無法VNC...請台芝到協助
與門市確認12/27尚未清帳PS若因更換HD.請跟店長宣達:1.請門市先回報代收會計 2.請確認SC的代收資料是否正確 (須與代收單據逐一核對)																																
</t>
  </si>
  <si>
    <t>THILF03358</t>
  </si>
  <si>
    <t>2025-12-27 10:07:02</t>
  </si>
  <si>
    <t>2025-12-27 11:20:00</t>
  </si>
  <si>
    <t>2025-12-30 13:00:00</t>
  </si>
  <si>
    <t>變壓器脫落 重插變壓器</t>
  </si>
  <si>
    <t>13358114122702</t>
  </si>
  <si>
    <t>2025-12-27 11:02:20</t>
  </si>
  <si>
    <t xml:space="preserve">12/27 11:01 總公司玫君來電啟動緊急叫修:門市反應TM2(TCX800)突然黑屏自動關機，右下角電源燈無亮，已有重新拔插線路仍異常，PING80不通無法VNC...請台芝到協助，與門市確認12/27尚未清帳PS若因更換HD.請跟店長宣達:1.請門市先回報代收會計 2.請確認SC的代收資料是否正確 (須與代收單據逐一核對)	</t>
  </si>
  <si>
    <t>2025-12-27 11:04:29</t>
  </si>
  <si>
    <t>2025-12-27 17:04:00</t>
  </si>
  <si>
    <t>變壓器排線脫落 重插變壓器</t>
  </si>
  <si>
    <t>14144114122901</t>
  </si>
  <si>
    <t>新莊頭前店</t>
  </si>
  <si>
    <t>2025-12-29 09:33:27</t>
  </si>
  <si>
    <t>HL58</t>
  </si>
  <si>
    <t>HL-LIFE-ET主機</t>
  </si>
  <si>
    <t>當機或無畫面</t>
  </si>
  <si>
    <t>MMK四代機上方壓克力廣告看板往前傾...需請台芝到店協助</t>
  </si>
  <si>
    <t>THILF04144</t>
  </si>
  <si>
    <t>2025-12-29 09:36:57</t>
  </si>
  <si>
    <t>2025-12-29 13:30:00</t>
  </si>
  <si>
    <t>2025-12-30 13:36:00</t>
  </si>
  <si>
    <t>更換mmk廣告看板</t>
  </si>
  <si>
    <t>板橋湳雅夜市</t>
  </si>
  <si>
    <t>THILF02995</t>
  </si>
  <si>
    <t>2025-12-29 09:48:45</t>
  </si>
  <si>
    <t>2025-12-29 09:00:00</t>
  </si>
  <si>
    <t>板橋稚暉店</t>
  </si>
  <si>
    <t>THILF04406</t>
  </si>
  <si>
    <t>2025-12-29 10:12:29</t>
  </si>
  <si>
    <t>2025-12-29 09:50:00</t>
  </si>
  <si>
    <t>車麗屋板橋店</t>
  </si>
  <si>
    <t>THILF0L501</t>
  </si>
  <si>
    <t>2025-12-29 10:32:33</t>
  </si>
  <si>
    <t>2025-12-29 10:15:00</t>
  </si>
  <si>
    <t>2025-12-29 11:00:50</t>
  </si>
  <si>
    <t>2025-12-29 10:40:00</t>
  </si>
  <si>
    <t>板橋莒光店</t>
  </si>
  <si>
    <t>THILF02224</t>
  </si>
  <si>
    <t>2025-12-29 11:26:36</t>
  </si>
  <si>
    <t>2025-12-29 11:10:00</t>
  </si>
  <si>
    <t>板橋寶翠店</t>
  </si>
  <si>
    <t>THILF0D767</t>
  </si>
  <si>
    <t>2025-12-29 11:55:15</t>
  </si>
  <si>
    <t>2025-12-29 11:30:00</t>
  </si>
  <si>
    <t>板橋民治店</t>
  </si>
  <si>
    <t>THILF03965</t>
  </si>
  <si>
    <t>2025-12-29 12:20:06</t>
  </si>
  <si>
    <t>2025-12-29 12:00:00</t>
  </si>
  <si>
    <t>14196114122901</t>
  </si>
  <si>
    <t>2025-12-29 13:12:07</t>
  </si>
  <si>
    <t>門市反應TM1(TCX800)觸控感應不靈敏，協助嘗試執行觸控校正後，門市測試前幾分鐘操作是正常的，但不久又會開始感應遲鈍..請台芝到店協助</t>
  </si>
  <si>
    <t>2025-12-29 13:16:02</t>
  </si>
  <si>
    <t>2025-12-30 15:30:00</t>
  </si>
  <si>
    <t>2025-12-30 17:16:00</t>
  </si>
  <si>
    <t>取消叫修</t>
  </si>
  <si>
    <t>14196114122902</t>
  </si>
  <si>
    <t>2025-12-29 13:16:13</t>
  </si>
  <si>
    <t>門市反應TM2(TCX800)觸控感應不靈敏，協助嘗試執行觸控校正後，門市測試前幾分鐘操作是正常的，但不久又會開始感應遲鈍..請台芝到店協助 PS.工程師12/26更換主機後有正常一段時間，但不久後又開始反應遲鈍</t>
  </si>
  <si>
    <t>2025-12-29 13:17:52</t>
  </si>
  <si>
    <t>2025-12-30 17:17:00</t>
  </si>
  <si>
    <t>12302114122901</t>
  </si>
  <si>
    <t>2025-12-29 13:27:00</t>
  </si>
  <si>
    <t>門市反應TM2發票機(BSC10II)無法列印亮紅燈，已嘗試重啟設備+重裝新紙捲仍異常...需請台芝到店協助</t>
  </si>
  <si>
    <t>2025-12-29 13:31:44</t>
  </si>
  <si>
    <t>2025-12-30 12:41:00</t>
  </si>
  <si>
    <t>2025-12-30 17:31:00</t>
  </si>
  <si>
    <t>發票機重新啟動測試正常，列印無異常</t>
  </si>
  <si>
    <t>THILF03052</t>
  </si>
  <si>
    <t>2025-12-29 13:52:05</t>
  </si>
  <si>
    <t>2025-12-29 11:00:00</t>
  </si>
  <si>
    <t>淡水魚市店</t>
  </si>
  <si>
    <t>THILF05060</t>
  </si>
  <si>
    <t>2025-12-30 11:36:17</t>
  </si>
  <si>
    <t>2025-12-30 11:00:00</t>
  </si>
  <si>
    <t>THILF05155</t>
  </si>
  <si>
    <t>2025-12-30 12:07:23</t>
  </si>
  <si>
    <t>2025-12-30 10:00:00</t>
  </si>
  <si>
    <t>跨年借機安裝完成</t>
  </si>
  <si>
    <t>2025-12-30 16:01:29</t>
  </si>
  <si>
    <t>2025-12-30 09:00:00</t>
  </si>
  <si>
    <t>協助開車</t>
  </si>
  <si>
    <t>12442115010101</t>
  </si>
  <si>
    <t>北縣商港店</t>
  </si>
  <si>
    <t>新北市八里區</t>
  </si>
  <si>
    <t>2026-01-01 10:43:18</t>
  </si>
  <si>
    <t>01/01 10:52啟動緊急叫修:門市反應TM1(TCX800)跳電後就無法開機且螢幕右下方沒有亮燈，門市已嘗試重新拔插後方線路、更換至白色插座仍無過電，PING80不通無法vnc...需請台芝到店協助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</si>
  <si>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THILF02442</t>
  </si>
  <si>
    <t>2026-01-01 10:58:18</t>
  </si>
  <si>
    <t>2026-01-01 12:30:00</t>
  </si>
  <si>
    <t>2026-01-01 16:58:00</t>
  </si>
  <si>
    <t>UPS故障，目前改插白色插座，已正常開機並告知店長。</t>
  </si>
  <si>
    <t>12442115010102</t>
  </si>
  <si>
    <t>2026-01-01 10:58:13</t>
  </si>
  <si>
    <t>門市反應TM2(TCX800)跳電後就無法開機且螢幕右下方沒有亮燈，門市已嘗試重新拔插後方線路、更換至白色插座仍無過電，PING80不通無法vnc...需請台芝到店協助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</si>
  <si>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2026-01-01 10:59:10</t>
  </si>
  <si>
    <t>2026-01-05 13:00:00</t>
  </si>
  <si>
    <t>12442115010103</t>
  </si>
  <si>
    <t>2026-01-01 10:59:24</t>
  </si>
  <si>
    <t xml:space="preserve">門市反應SC螢幕(LCD)黑屏，PING.1有通，VNC畫面正常，門市告知SC螢幕電源燈無燈號，門市告知已有重新拔插線路、更換至白色插座仍異常..請台芝到店協助	</t>
  </si>
  <si>
    <t>2026-01-01 11:01:08</t>
  </si>
  <si>
    <t>2026-01-01 12:00:00</t>
  </si>
  <si>
    <t>E2109115010101</t>
  </si>
  <si>
    <t>2026-01-01 12:41:31</t>
  </si>
  <si>
    <t>HLF6</t>
  </si>
  <si>
    <t>HL-多卡機QP3000E</t>
  </si>
  <si>
    <t>F604</t>
  </si>
  <si>
    <t>無電源反應</t>
  </si>
  <si>
    <t>門市反應昨日跳電，復電後tm2多卡機QP3000E黑畫面無法使用，已有重新拔插線路仍異常...請台芝到店協助(TM多卡機悠遊卡無法開機使用)</t>
  </si>
  <si>
    <t>THILF02109</t>
  </si>
  <si>
    <t>2026-01-01 12:52:34</t>
  </si>
  <si>
    <t>2026-01-02 08:30:00</t>
  </si>
  <si>
    <t>重插變壓器</t>
  </si>
  <si>
    <t>2026-01-02 09:39:42</t>
  </si>
  <si>
    <t>2026-01-02 09:00:00</t>
  </si>
  <si>
    <t>PMQ1+L90</t>
  </si>
  <si>
    <t>E4983114093001</t>
  </si>
  <si>
    <t>2025-09-30 20:06:27</t>
  </si>
  <si>
    <t>D301</t>
  </si>
  <si>
    <t>發票切刀卡紙，切紙不正常</t>
  </si>
  <si>
    <t>TM1熱感發票機(BSC-10)印發票不會自動裁切紙，已有重新開機紙捲重放仍無法排除，確認無卡異物.......還請台芝到店協助(印收據卡紙，重新開機，後出的紙切不斷)</t>
  </si>
  <si>
    <t>2025-09-30 20:12:45</t>
  </si>
  <si>
    <t>2025-10-01 16:41:00</t>
  </si>
  <si>
    <t>2025-10-02 00:12:00</t>
  </si>
  <si>
    <t>更換發票機
換上：8155004374
換下：8155002982</t>
  </si>
  <si>
    <t>E2318114100101</t>
  </si>
  <si>
    <t>2025-10-01 07:39:56</t>
  </si>
  <si>
    <t>HL59</t>
  </si>
  <si>
    <t>HL-LIFE-ET熱感機T70II</t>
  </si>
  <si>
    <t>門市反應MMK 熱感機(T70-II)會常常無法出紙且時好時壞，門市都要重裝紙捲重開機仍時常發生....須請台芝到店協助(life eｔ　熱感機會卡印不出來時好時壞的)　</t>
  </si>
  <si>
    <t>2025-10-01 09:15:21</t>
  </si>
  <si>
    <t>2025-10-01 11:59:00</t>
  </si>
  <si>
    <t>2025-10-02 13:15:00</t>
  </si>
  <si>
    <t>更換出單機
換下8138001532
換上8138002690</t>
  </si>
  <si>
    <t>E3052114093001</t>
  </si>
  <si>
    <t>2025-09-30 23:36:11</t>
  </si>
  <si>
    <t>切刀卡紙，切紙不正常</t>
  </si>
  <si>
    <t>門市反應mmk熱感機(t70-ii)會一直卡紙查看切刀歪掉，門市重裝紙捲重開機仍異常....須請台芝到店協助(MMK熱感式印表紙壞掉)</t>
  </si>
  <si>
    <t>2025-10-01 09:16:57</t>
  </si>
  <si>
    <t>2025-10-01 11:30:00</t>
  </si>
  <si>
    <t>2025-10-02 13:16:00</t>
  </si>
  <si>
    <t>清潔切刀</t>
  </si>
  <si>
    <t>2025-10-01 12:29:43</t>
  </si>
  <si>
    <t>2025-10-01 12:00:00</t>
  </si>
  <si>
    <t>13890114100101</t>
  </si>
  <si>
    <t>2025-10-01 15:20:05</t>
  </si>
  <si>
    <t>門市反應TM2二代發票機(BSC10II)燈號正常綠燈，但系統顯示熱感機正在列印無法連線，已有關機、紙捲重裝再操作仍異常，請台芝到店協助</t>
  </si>
  <si>
    <t>2025-10-01 15:21:42</t>
  </si>
  <si>
    <t>2025-10-02 11:00:00</t>
  </si>
  <si>
    <t>2025-10-02 19:21:00</t>
  </si>
  <si>
    <t>USB線材被老鼠咬斷，更換USB線</t>
  </si>
  <si>
    <t>1D390114100201</t>
  </si>
  <si>
    <t>2025-10-02 09:15:33</t>
  </si>
  <si>
    <t xml:space="preserve">門市反應今早TM1(TCX800)突然黑屏就無法開機，電源燈號無亮，已有重新拔插線路、更換至白色插座仍異常，PING80不通無法VNC...請台芝到店協助																													
已與門市確認10/02尚未清帳PS若因更換HD.請跟店長宣達:1.請門市先回報代收會計 2.請確認SC的代收資料是否正確 (須與代收單據逐一核對)
</t>
  </si>
  <si>
    <t>2025-10-02 09:18:21</t>
  </si>
  <si>
    <t>2025-10-02 11:56:00</t>
  </si>
  <si>
    <t>2025-10-03 13:18:00</t>
  </si>
  <si>
    <t>變壓器鬆脫，將變壓器插回後正常</t>
  </si>
  <si>
    <t>2025-10-02 11:51:23</t>
  </si>
  <si>
    <t>2025-10-02 10:00:00</t>
  </si>
  <si>
    <t>2025-10-02 12:28:36</t>
  </si>
  <si>
    <t>2025-10-02 12:00:00</t>
  </si>
  <si>
    <t>2025-10-02 15:17:52</t>
  </si>
  <si>
    <t>2025-10-02 14:45:00</t>
  </si>
  <si>
    <t>2025-10-02 15:35:05</t>
  </si>
  <si>
    <t>2025-10-02 15:11:00</t>
  </si>
  <si>
    <t>2025-10-02 15:59:28</t>
  </si>
  <si>
    <t>2025-10-02 15:39:00</t>
  </si>
  <si>
    <t>2025-10-02 16:23:24</t>
  </si>
  <si>
    <t>2025-10-02 16:10:00</t>
  </si>
  <si>
    <t>2025-10-03 13:58:34</t>
  </si>
  <si>
    <t>2025-10-03 13:30:00</t>
  </si>
  <si>
    <t>2025-10-03 14:34:21</t>
  </si>
  <si>
    <t>2025-10-03 14:10:00</t>
  </si>
  <si>
    <t>2025-10-03 15:35:02</t>
  </si>
  <si>
    <t>2025-10-03 15:10:00</t>
  </si>
  <si>
    <t>2025-10-03 16:12:37</t>
  </si>
  <si>
    <t>2025-10-03 15:50:00</t>
  </si>
  <si>
    <t>2025-10-03 16:40:38</t>
  </si>
  <si>
    <t>2025-10-03 16:20:00</t>
  </si>
  <si>
    <t>E4679114100401</t>
  </si>
  <si>
    <t>新莊幸運店</t>
  </si>
  <si>
    <t>2025-10-04 11:18:17</t>
  </si>
  <si>
    <t>D302</t>
  </si>
  <si>
    <t>發票印字不清</t>
  </si>
  <si>
    <t>門市反應tm2熱感發票機(BSC-10)印出的很多種兌換券條碼於tm1.2都無法刷讀，tm1發票機印出來的則可正常刷讀，已有將發票機關機紙捲重裝仍異常...請台芝到店協助(多種兌換券印出之後無法掃描，可能導致客訴)</t>
  </si>
  <si>
    <t>THILF04679</t>
  </si>
  <si>
    <t>2025-10-04 11:31:07</t>
  </si>
  <si>
    <t>2025-10-07 11:30:00</t>
  </si>
  <si>
    <t>2025-10-08 13:00:00</t>
  </si>
  <si>
    <t>更換發票機
換上8155004152
換下8155002887</t>
  </si>
  <si>
    <t>2025-10-07 10:44:01</t>
  </si>
  <si>
    <t>2025-10-07 09:30:00</t>
  </si>
  <si>
    <t>2025-10-07 10:44:34</t>
  </si>
  <si>
    <t>2025-10-07 10:10:00</t>
  </si>
  <si>
    <t>三重興華店</t>
  </si>
  <si>
    <t>THILF02259</t>
  </si>
  <si>
    <t>2025-10-07 11:08:16</t>
  </si>
  <si>
    <t>2025-10-07 10:40:00</t>
  </si>
  <si>
    <t>13362114100701</t>
  </si>
  <si>
    <t>2025-10-07 12:00:29</t>
  </si>
  <si>
    <t>D305</t>
  </si>
  <si>
    <t>門市反應tm2發票機(bsc-10)無電源反應，門市已有重新拔插線路仍已異常，因其他插座太遠無法更換插座測試....須請台芝到店協助</t>
  </si>
  <si>
    <t>THILF03362</t>
  </si>
  <si>
    <t>2025-10-07 12:03:20</t>
  </si>
  <si>
    <t>2025-10-07 13:45:00</t>
  </si>
  <si>
    <t>2025-10-08 16:03:00</t>
  </si>
  <si>
    <t>變壓器鬆脫，插緊後測試正常</t>
  </si>
  <si>
    <t>2025-10-07 12:04:05</t>
  </si>
  <si>
    <t>2025-10-07 11:00:00</t>
  </si>
  <si>
    <t>PMQ3</t>
  </si>
  <si>
    <t>2025-10-07 12:14:42</t>
  </si>
  <si>
    <t>2025-10-07 11:20:00</t>
  </si>
  <si>
    <t>2025-10-07 13:15:20</t>
  </si>
  <si>
    <t>2025-10-07 14:53:13</t>
  </si>
  <si>
    <t>2025-10-07 14:10:00</t>
  </si>
  <si>
    <t>THILF03623</t>
  </si>
  <si>
    <t>2025-10-07 15:13:57</t>
  </si>
  <si>
    <t>2025-10-07 14:55:00</t>
  </si>
  <si>
    <t>THILF04210</t>
  </si>
  <si>
    <t>2025-10-07 15:21:19</t>
  </si>
  <si>
    <t>2025-10-07 15:00:00</t>
  </si>
  <si>
    <t>暫撤店</t>
  </si>
  <si>
    <t>2025-10-07 15:40:10</t>
  </si>
  <si>
    <t>2025-10-07 15:20:00</t>
  </si>
  <si>
    <t>2025-10-07 16:22:48</t>
  </si>
  <si>
    <t>2025-10-07 16:00:00</t>
  </si>
  <si>
    <t>2025-10-07 16:46:37</t>
  </si>
  <si>
    <t>2025-10-07 16:25:00</t>
  </si>
  <si>
    <t>14680114100801</t>
  </si>
  <si>
    <t>板橋江寧店</t>
  </si>
  <si>
    <t>2025-10-08 09:11:05</t>
  </si>
  <si>
    <t>HLN4</t>
  </si>
  <si>
    <t>HL-PepLink負載平衡器</t>
  </si>
  <si>
    <t>N401</t>
  </si>
  <si>
    <t>10/8 09:11 啟動緊急叫修：門市反應全店無網路，確認PEPLINK(BALANCE20X)無亮燈，已有更換插座後按壓電源仍異常，請台芝到店協助</t>
  </si>
  <si>
    <t>THILF04680</t>
  </si>
  <si>
    <t>2025-10-08 09:12:37</t>
  </si>
  <si>
    <t>2025-10-08 11:49:00</t>
  </si>
  <si>
    <t>2025-10-08 15:12:00</t>
  </si>
  <si>
    <t>到店時網路已恢復正常
更換HUB-ZYXEL
換上：8107005201
換下：8107003261</t>
  </si>
  <si>
    <t>三重穀保店</t>
  </si>
  <si>
    <t>THILF04155</t>
  </si>
  <si>
    <t>2025-10-08 10:23:17</t>
  </si>
  <si>
    <t>2025-10-08 09:40:00</t>
  </si>
  <si>
    <t>2025-10-08 10:58:15</t>
  </si>
  <si>
    <t>2025-10-08 10:30:00</t>
  </si>
  <si>
    <t>2025-10-08 11:20:10</t>
  </si>
  <si>
    <t>2025-10-08 11:00:00</t>
  </si>
  <si>
    <t>三重薔薇店</t>
  </si>
  <si>
    <t>THILF04388</t>
  </si>
  <si>
    <t>2025-10-08 11:58:00</t>
  </si>
  <si>
    <t>2025-10-08 11:30:00</t>
  </si>
  <si>
    <t>2025-10-08 12:20:17</t>
  </si>
  <si>
    <t>2025-10-08 11:40:00</t>
  </si>
  <si>
    <t>THILF0D195</t>
  </si>
  <si>
    <t>2025-10-08 14:59:34</t>
  </si>
  <si>
    <t>2025-10-08 14:30:00</t>
  </si>
  <si>
    <t>1T100114100901</t>
  </si>
  <si>
    <t>T100</t>
  </si>
  <si>
    <t>五股訓練教室027401</t>
  </si>
  <si>
    <t>2025-10-09 10:54:33</t>
  </si>
  <si>
    <t>無法進紙、印表機無反應</t>
  </si>
  <si>
    <t>五股訓練教室更換雷射印表機(EPSON 6200L),已無碳粉可訂,請派工台芝更換設備
平時無人，麻煩台芝到點前先連絡區處同仁，謝謝
麻煩約定時間：10/15　下午連絡人：楊亦嵐，連絡電話：0935114452</t>
  </si>
  <si>
    <t>THILF0T100</t>
  </si>
  <si>
    <t>2025-10-09 11:13:49</t>
  </si>
  <si>
    <t>2025-10-13 10:45:00</t>
  </si>
  <si>
    <t>2025-10-13 15:13:00</t>
  </si>
  <si>
    <t>已跟楊小姐約修10/15 14：00</t>
  </si>
  <si>
    <t>13770114100901</t>
  </si>
  <si>
    <t>北縣西雲店</t>
  </si>
  <si>
    <t>2025-10-09 11:10:19</t>
  </si>
  <si>
    <t>門市告知TM2(TCX800)游標一直觸控下方，無法協助觸控校正重啟後仍異常，與門市確認無張貼文宣.....須請台芝到店協助</t>
  </si>
  <si>
    <t>THILF03770</t>
  </si>
  <si>
    <t>2025-10-09 11:15:24</t>
  </si>
  <si>
    <t>2025-10-13 10:00:00</t>
  </si>
  <si>
    <t>2025-10-13 15:15:00</t>
  </si>
  <si>
    <t>清潔螢幕 觸控校正</t>
  </si>
  <si>
    <t>13983114101002</t>
  </si>
  <si>
    <t>2025-10-10 09:59:47</t>
  </si>
  <si>
    <t>門市反應 MMK 四代機 熱感機T70II列印小白單無反應，燈號為綠燈，已有重啟熱感機+MMK仍異常...請台芝到店協助</t>
  </si>
  <si>
    <t>2025-10-10 10:00:51</t>
  </si>
  <si>
    <t>2025-10-13 13:00:00</t>
  </si>
  <si>
    <t>2025-10-14 13:00:00</t>
  </si>
  <si>
    <t>測試發現印表機驅動跑掉，更換硬碟重新安裝MMK程式，測試正常</t>
  </si>
  <si>
    <t>E3811114101101</t>
  </si>
  <si>
    <t>2025-10-11 13:35:50</t>
  </si>
  <si>
    <t>HL60</t>
  </si>
  <si>
    <t>HL-LIFE-ET印票機L90</t>
  </si>
  <si>
    <t>門市反應LIFEET印票機L90無電源反應無亮燈，已有重新拔插線路、按壓電源鍵仍無法開機....請台芝到店協助(無法列印票)</t>
  </si>
  <si>
    <t>2025-10-11 13:43:08</t>
  </si>
  <si>
    <t>2025-10-13 11:39:00</t>
  </si>
  <si>
    <t>E3785114101201</t>
  </si>
  <si>
    <t>2025-10-12 17:13:29</t>
  </si>
  <si>
    <t>門市反應tm2熱感發票機(BSC-10)印出來的條碼會有斷線的問題(例:預購兌換券)，導致無法刷讀，tm1發票機印出來的條碼於tm1.2刷讀則正常，發票機已有關機紙捲重裝仍異常...請台芝到店協助(機2無法刷)</t>
  </si>
  <si>
    <t>2025-10-12 17:21:25</t>
  </si>
  <si>
    <t>2025-10-13 13:30:00</t>
  </si>
  <si>
    <t>更換發票機
換上8155005445
換下8155002979</t>
  </si>
  <si>
    <t>13785114101201</t>
  </si>
  <si>
    <t>2025-10-12 17:21:44</t>
  </si>
  <si>
    <t>門市反應tm1熱感發票機(BSC-10)可正常使用但會發出異音，不清楚是否有異物掉進去，需請工程師到店檢查，已有將發票機關機紙捲重裝仍有異音...請台芝到店協助</t>
  </si>
  <si>
    <t>2025-10-12 17:23:17</t>
  </si>
  <si>
    <t>1D138114101301</t>
  </si>
  <si>
    <t>三重中興北二</t>
  </si>
  <si>
    <t>2025-10-13 09:35:46</t>
  </si>
  <si>
    <t>門市反應TM1(TCX800)觸控亂跳，未點選螢幕但會一直發出點選螢幕的逼逼聲，與門市確認螢幕未貼保護貼、文宣，已有協助門市執行觸控校正仍異常....請台芝到店協助</t>
  </si>
  <si>
    <t>THILF0D138</t>
  </si>
  <si>
    <t>2025-10-13 09:38:11</t>
  </si>
  <si>
    <t>2025-10-13 09:30:00</t>
  </si>
  <si>
    <t>2025-10-14 13:38:00</t>
  </si>
  <si>
    <t>所有螢幕觸控設定皆無效，客顯依然自行觸控，需更換客顯</t>
  </si>
  <si>
    <t>北縣五泰店</t>
  </si>
  <si>
    <t>THILF02325</t>
  </si>
  <si>
    <t>2025-10-13 10:04:53</t>
  </si>
  <si>
    <t>2025-10-13 10:39:21</t>
  </si>
  <si>
    <t>2025-10-13 10:30:00</t>
  </si>
  <si>
    <t>五股成州店</t>
  </si>
  <si>
    <t>THILF04801</t>
  </si>
  <si>
    <t>2025-10-13 10:56:59</t>
  </si>
  <si>
    <t>五股凌雲店</t>
  </si>
  <si>
    <t>THILF04819</t>
  </si>
  <si>
    <t>2025-10-13 11:12:18</t>
  </si>
  <si>
    <t>2025-10-13 11:00:00</t>
  </si>
  <si>
    <t>2025-10-13 12:13:13</t>
  </si>
  <si>
    <t>2025-10-13 14:17:45</t>
  </si>
  <si>
    <t>2025-10-13 14:00:00</t>
  </si>
  <si>
    <t>2025-10-13 14:19:44</t>
  </si>
  <si>
    <t>2025-10-13 13:50:00</t>
  </si>
  <si>
    <t>12535114101401</t>
  </si>
  <si>
    <t>2025-10-14 08:35:48</t>
  </si>
  <si>
    <t>N405</t>
  </si>
  <si>
    <t>4G 無法連線</t>
  </si>
  <si>
    <t>2025/10/14 (週二) 上午 08:13 總公司文豪MAIL:2535五股五工店主線(290Y270308)異常，中華已到店更換數據機及線路檢測正常，但主線還是會異常斷線。請協助派工更新Peplink Firmware(8.4.1s031 build 5461)，以釐清問題。</t>
  </si>
  <si>
    <t>2025-10-14 08:38:57</t>
  </si>
  <si>
    <t>2025-10-15 09:30:00</t>
  </si>
  <si>
    <t>2025-10-15 12:38:00</t>
  </si>
  <si>
    <t>韌體升級8.4.1並回報騰雲</t>
  </si>
  <si>
    <t>2025-10-14 11:52:06</t>
  </si>
  <si>
    <t>2025-10-14 09:30:00</t>
  </si>
  <si>
    <t>2025-10-14 11:52:40</t>
  </si>
  <si>
    <t>2025-10-14 10:10:00</t>
  </si>
  <si>
    <t>2025-10-14 11:53:15</t>
  </si>
  <si>
    <t>2025-10-14 11:00:00</t>
  </si>
  <si>
    <t>2025-10-14 12:16:39</t>
  </si>
  <si>
    <t>2025-10-14 11:50:00</t>
  </si>
  <si>
    <t>2025-10-14 15:07:53</t>
  </si>
  <si>
    <t>2025-10-14 14:39:00</t>
  </si>
  <si>
    <t>14802114101401</t>
  </si>
  <si>
    <t>2025-10-14 15:07:48</t>
  </si>
  <si>
    <t>HLN9</t>
  </si>
  <si>
    <t>HL-電子看板機上盒</t>
  </si>
  <si>
    <t>N901</t>
  </si>
  <si>
    <t>電子看板未連線至奧創後台
請派工 台芝到店檢查IoT專線(262Y098781)與電子看板連線狀況</t>
  </si>
  <si>
    <t>2025-10-14 15:20:01</t>
  </si>
  <si>
    <t>2025-10-15 12:50:00</t>
  </si>
  <si>
    <t>2025-10-15 19:20:00</t>
  </si>
  <si>
    <t>奧創機上盒網孔無法連線需更換備機
更換機上盒
換下81Z3000061
換上81Z3000083</t>
  </si>
  <si>
    <t>2025-10-14 15:51:44</t>
  </si>
  <si>
    <t>2025-10-14 15:30:00</t>
  </si>
  <si>
    <t>2025-10-14 16:22:05</t>
  </si>
  <si>
    <t>2025-10-14 16:00:00</t>
  </si>
  <si>
    <t>E5057114101501</t>
  </si>
  <si>
    <t>新莊中港店</t>
  </si>
  <si>
    <t>2025-10-15 12:09:46</t>
  </si>
  <si>
    <t>F603</t>
  </si>
  <si>
    <t>無法連線</t>
  </si>
  <si>
    <t>門市反應TM2多卡機(QP3000E)操作悠遊卡出現悠遊卡通訊逾時，門市操作版更&gt;悠遊卡機重開仍顯示悠遊卡通訊逾時!...請台芝到店協助(機2機台悠悠卡， 結帳讀卡。顯示卡片逾時不能用 更新了一樣無法用。)</t>
  </si>
  <si>
    <t>THILF05057</t>
  </si>
  <si>
    <t>2025-10-15 12:21:43</t>
  </si>
  <si>
    <t>2025-10-15 15:00:00</t>
  </si>
  <si>
    <t>2025-10-16 16:21:00</t>
  </si>
  <si>
    <t>重插排線</t>
  </si>
  <si>
    <t>2025-10-15 15:06:53</t>
  </si>
  <si>
    <t>2025-10-15 14:30:00</t>
  </si>
  <si>
    <t>2025-10-15 15:26:34</t>
  </si>
  <si>
    <t>2025-10-15 15:20:00</t>
  </si>
  <si>
    <t>14153114101601</t>
  </si>
  <si>
    <t>2025-10-16 09:54:10</t>
  </si>
  <si>
    <t>10/16 09:55 緊急叫修:SC(SHUTTLE6S)門市反應稍早操作HISHOP當機，SC畫面顯示藍屏，PING1有通無法VNC，門市嘗試關機後拔線休息5分鐘重啟後出現硬碟機修復，與門市確認帳務做到10/15，與通訊圭連確認僅有部分代收，其餘資料不完整，10/14帳務皆有收到OK。PS.若因更換HD.請跟店長宣達:1.請門市先回報代收會計 2.請確認SC的代收資料是否正確 (須與代收單據逐一核對)</t>
  </si>
  <si>
    <t>2025-10-16 10:00:09</t>
  </si>
  <si>
    <t>2025-10-16 11:00:00</t>
  </si>
  <si>
    <t>2025-10-16 16:00:00</t>
  </si>
  <si>
    <t>更換第一二顆硬碟不備份還原
並告知洪小姐更換硬碟注意事項
SC = 20250805
SC_Slave = 20250805</t>
  </si>
  <si>
    <t>14046114101601</t>
  </si>
  <si>
    <t>板橋福康店</t>
  </si>
  <si>
    <t>2025-10-16 09:56:18</t>
  </si>
  <si>
    <t>10/16 09:58 啟動緊急叫修:門市sc(SHUTTLE6S)點選hipos、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與門市確認帳做到10/15，與通訊圭連確認銷售都有收到</t>
  </si>
  <si>
    <t>THILF04046</t>
  </si>
  <si>
    <t>2025-10-16 10:14:09</t>
  </si>
  <si>
    <t>2025-10-16 11:30:00</t>
  </si>
  <si>
    <t>2025-10-16 16:14:00</t>
  </si>
  <si>
    <t>更換SC第二顆硬碟無備份還原</t>
  </si>
  <si>
    <t>2025-10-16 13:33:03</t>
  </si>
  <si>
    <t>THILF05377</t>
  </si>
  <si>
    <t>2025-10-16 17:09:29</t>
  </si>
  <si>
    <t>新開門市裝機安裝完成，無中華電信使用Peplink進行安裝</t>
  </si>
  <si>
    <t>13770114101701</t>
  </si>
  <si>
    <t>2025-10-17 15:00:46</t>
  </si>
  <si>
    <t>門市告知TM2(TCX800)游標一直觸控下方，無法協助觸控校正重啟後仍異常，與門市確認無張貼文宣，10/13台芝到店清潔螢幕.觸控校正後有恢復正常(13770114100901)但隔天即又開始異常，門市店長表示如關機休息後重開就會正常，但如果按交班開機後就會又開始發生該情況，已造成門市作業不便.....須請台芝到店協助</t>
  </si>
  <si>
    <t>2025-10-17 15:04:02</t>
  </si>
  <si>
    <t>2025-10-17 15:30:00</t>
  </si>
  <si>
    <t>2025-10-20 19:04:00</t>
  </si>
  <si>
    <t>更換客顯器 觸控校正</t>
  </si>
  <si>
    <t>2025-10-17 17:46:46</t>
  </si>
  <si>
    <t>2025-10-17 17:35:00</t>
  </si>
  <si>
    <t>13772114101801</t>
  </si>
  <si>
    <t>2025-10-18 16:33:29</t>
  </si>
  <si>
    <t>門市反應tm2發票機(BSC-10)無電源反應未亮燈，門市已有重新拔插後方線路仍異常....須請台芝到店協助</t>
  </si>
  <si>
    <t>2025-10-18 16:35:29</t>
  </si>
  <si>
    <t>2025-10-20 10:29:00</t>
  </si>
  <si>
    <t>2025-10-21 13:00:00</t>
  </si>
  <si>
    <t>E3890114101901</t>
  </si>
  <si>
    <t>2025-10-19 08:21:41</t>
  </si>
  <si>
    <t>門市反應TM1熱感發票機(BSC10II)電線被老鼠咬破導致無法使用...請台芝到店協助(發票機線被老鼠咬斷)</t>
  </si>
  <si>
    <t>2025-10-19 09:06:43</t>
  </si>
  <si>
    <t>2025-10-19 12:03:00</t>
  </si>
  <si>
    <t>13890114101901</t>
  </si>
  <si>
    <t>2025-10-19 10:10:08</t>
  </si>
  <si>
    <t>10/19 10:10 總公司玫君來電啟動緊急叫修:門市反應TM1熱感發票機(BSC10II)電線被老鼠咬破導致無法使用...請台芝到店協助</t>
  </si>
  <si>
    <t>2025-10-19 10:11:59</t>
  </si>
  <si>
    <t>2025-10-19 12:00:00</t>
  </si>
  <si>
    <t>2025-10-19 16:11:00</t>
  </si>
  <si>
    <t>13840114102001</t>
  </si>
  <si>
    <t>2025-10-20 10:33:24</t>
  </si>
  <si>
    <t>門市反應TM1收銀機(TCX800)(抽屜顏色:白色、鑰匙孔位子(右)、鎖頭編號:5001)夾紙鈔彈簧斷掉1個...請台芝到店協助</t>
  </si>
  <si>
    <t>2025-10-20 10:36:21</t>
  </si>
  <si>
    <t>2025-10-20 14:49:00</t>
  </si>
  <si>
    <t>2025-10-21 14:36:00</t>
  </si>
  <si>
    <t>更換錢箱
換下：81Z1000760
換上：81Z1004553</t>
  </si>
  <si>
    <t>15377114102101</t>
  </si>
  <si>
    <t>2025-10-21 11:22:12</t>
  </si>
  <si>
    <t>門市反應LIFE-ET印票機L90	亮橘燈，已有關機、重裝紙捲仍異常，點選偵測也顯示異常，請台芝到店協助</t>
  </si>
  <si>
    <t>2025-10-21 11:23:11</t>
  </si>
  <si>
    <t>2025-10-22 10:30:00</t>
  </si>
  <si>
    <t>2025-10-22 15:23:00</t>
  </si>
  <si>
    <t>橘燈偵測是缺紙燈，L90機器躺平所導致，立式偵測正常，和門市確認已放置立式</t>
  </si>
  <si>
    <t>新北市三芝區</t>
  </si>
  <si>
    <t>THILF05080</t>
  </si>
  <si>
    <t>2025-10-21 14:44:13</t>
  </si>
  <si>
    <t>2025-10-21 13:55:00</t>
  </si>
  <si>
    <t>到場檢查PEP連線正常，聯絡文豪遠端更新PEP，再次確認連線皆為正常</t>
  </si>
  <si>
    <t>2025-10-21 14:44:57</t>
  </si>
  <si>
    <t>2025-10-21 02:10:00</t>
  </si>
  <si>
    <t>14856114102101</t>
  </si>
  <si>
    <t>新莊小胖店</t>
  </si>
  <si>
    <t>2025-10-21 16:24:21</t>
  </si>
  <si>
    <t xml:space="preserve">門市反應MMK四代機無法連線，有跳出小視窗，請門市依序點選1.重新設定&gt;2.偵測網路&gt;3.重新開機後仍異常，ping60不通...請台芝到店協助
</t>
  </si>
  <si>
    <t>THILF04856</t>
  </si>
  <si>
    <t>2025-10-21 16:25:53</t>
  </si>
  <si>
    <t>2025-10-22 11:00:00</t>
  </si>
  <si>
    <t>2025-10-22 20:25:00</t>
  </si>
  <si>
    <t>重設定HUB</t>
  </si>
  <si>
    <t>12237114102201</t>
  </si>
  <si>
    <t>2025-10-22 09:29:53</t>
  </si>
  <si>
    <t>門市反應TM1多卡機QP3000E畫面全黑，門市告知找不到線路故無法協助重新拔插...請台芝到店協助</t>
  </si>
  <si>
    <t>THILF02237</t>
  </si>
  <si>
    <t>2025-10-22 09:32:29</t>
  </si>
  <si>
    <t>2025-10-23 11:38:00</t>
  </si>
  <si>
    <t>2025-10-23 13:32:00</t>
  </si>
  <si>
    <t>更換多卡機
換下8183002056
換上8183003033</t>
  </si>
  <si>
    <t>2025-10-22 12:35:55</t>
  </si>
  <si>
    <t>2025-10-22 12:00:00</t>
  </si>
  <si>
    <t>12390114102301</t>
  </si>
  <si>
    <t>五股產業園區</t>
  </si>
  <si>
    <t>2025-10-23 09:27:57</t>
  </si>
  <si>
    <t xml:space="preserve">門市反應MMK四代機無法連線，有跳出小視窗，請門市依序點選1.重新設定&gt;2.偵測網路&gt;3.重新開機後仍異常，ping60不通...請台芝到店協助	</t>
  </si>
  <si>
    <t>THILF02390</t>
  </si>
  <si>
    <t>2025-10-23 09:28:49</t>
  </si>
  <si>
    <t>2025-10-23 11:00:00</t>
  </si>
  <si>
    <t>2025-10-27 13:28:00</t>
  </si>
  <si>
    <t>重插網路線 重設參數</t>
  </si>
  <si>
    <t>E4155114102301</t>
  </si>
  <si>
    <t>2025-10-23 09:54:32</t>
  </si>
  <si>
    <t>門市反應LIFEET印票機L90無電源反應無亮燈，已有重新拔插線路、按壓電源鍵仍無法開機....請台芝到店協助(開不了機)</t>
  </si>
  <si>
    <t>2025-10-23 10:08:20</t>
  </si>
  <si>
    <t>2025-10-23 15:16:00</t>
  </si>
  <si>
    <t>2025-10-27 14:08:00</t>
  </si>
  <si>
    <t>變壓器無電源反應，更換變壓器測試正常
編號8139001712</t>
  </si>
  <si>
    <t>2025-10-23 11:54:25</t>
  </si>
  <si>
    <t>2025-10-23 11:50:00</t>
  </si>
  <si>
    <t>2025-10-23 12:20:06</t>
  </si>
  <si>
    <t>E4680114102301</t>
  </si>
  <si>
    <t>2025-10-23 19:27:16</t>
  </si>
  <si>
    <t>M301</t>
  </si>
  <si>
    <t>門市反應MMK標籤印表機亮紅燈且不會自動裁紙,已有請門市將票券機線路重新拔插紙捲重放仍無法排除.......還請台芝到店協助(印ec的機器故障)</t>
  </si>
  <si>
    <t>2025-10-23 19:40:26</t>
  </si>
  <si>
    <t>2025-10-27 16:56:00</t>
  </si>
  <si>
    <t>2025-10-27 23:40:00</t>
  </si>
  <si>
    <t>更換標籤機
換上：8187001030
換下：8187000916</t>
  </si>
  <si>
    <t>E4552114102501</t>
  </si>
  <si>
    <t>新莊福慧店</t>
  </si>
  <si>
    <t>2025-10-25 10:54:24</t>
  </si>
  <si>
    <t xml:space="preserve">門市反應SC螢幕(LCD)右半邊有黑一塊，切到監視器畫面也是，已有重啟SC、重新拔插螢幕線路仍異常...請台芝到店協助(螢幕有部分黑黑的)
</t>
  </si>
  <si>
    <t>THILF04552</t>
  </si>
  <si>
    <t>2025-10-25 11:06:27</t>
  </si>
  <si>
    <t>2025-10-27 15:00:00</t>
  </si>
  <si>
    <t>2025-10-28 13:00:00</t>
  </si>
  <si>
    <t>更換螢幕
換上8133003736
換下8133002651</t>
  </si>
  <si>
    <t>E3957114102501</t>
  </si>
  <si>
    <t>2025-10-25 13:05:00</t>
  </si>
  <si>
    <t xml:space="preserve">門市反應tm1收銀機(TCX800)(抽屜顏色:白色、鑰匙孔位子(中)、鎖頭編號:5001)抽屜關不起來，會自動彈開..請台芝到店協助(機台1收銀機無法關起來)
</t>
  </si>
  <si>
    <t>2025-10-25 13:16:52</t>
  </si>
  <si>
    <t>2025-10-27 10:08:00</t>
  </si>
  <si>
    <t>14406114102501</t>
  </si>
  <si>
    <t>2025-10-25 16:50:38</t>
  </si>
  <si>
    <t>門市反應TM2(TCX800)突然黑屏，無法開機且螢幕右下方沒有亮燈，門市告知因現場線路繁亂無法確認電源線是哪一條，ping81不通無法vnc...需請台芝到店協助 
與門市確認10/25已清帳，清帳後有交易PS若因更換HD.請跟店長宣達:1.請門市先回報代收會計 2.請確認SC的代收資料是否正確 (須與代收單據逐一核對)</t>
  </si>
  <si>
    <t>2025-10-25 16:59:21</t>
  </si>
  <si>
    <t>2025-10-27 17:02:00</t>
  </si>
  <si>
    <t>14144114102701</t>
  </si>
  <si>
    <t>2025-10-27 09:12:59</t>
  </si>
  <si>
    <t>滑鼠故障無作用</t>
  </si>
  <si>
    <t>門市反應SC滑鼠感應不良常常點了無反應，門市找不到後方線路無法重新拔插...須請台芝到店協助</t>
  </si>
  <si>
    <t>2025-10-27 09:15:09</t>
  </si>
  <si>
    <t>2025-10-27 15:50:00</t>
  </si>
  <si>
    <t>2025-10-28 13:15:00</t>
  </si>
  <si>
    <t>更換滑鼠</t>
  </si>
  <si>
    <t>13840114102701</t>
  </si>
  <si>
    <t>2025-10-27 09:53:56</t>
  </si>
  <si>
    <t>mmk4代機-門市反應消費者操作MMK生活服務&gt;店到店寄件&gt;HILIFE店到店&gt;立即寄件無代碼&gt;消費者輸入資料後選擇寄件門市4652 三重商工店&gt;列印寄件單後畫面當掉無反應也未列印寄件單，已協助遠端重啟後再次操作仍異常，經總公司功評確認:請先行派工到店更換MMK硬碟後，請門市當下操作測試確認是否有問題，若仍異常請台芝廠商現場協助錄影提供總公司確認...須請台芝到店協助</t>
  </si>
  <si>
    <t>2025-10-27 09:57:02</t>
  </si>
  <si>
    <t>2025-10-27 15:08:00</t>
  </si>
  <si>
    <t>2025-10-28 13:57:00</t>
  </si>
  <si>
    <t>現場已經更換MMK硬碟，依然出現無法列印的狀況，已經錄影傳至維修群組</t>
  </si>
  <si>
    <t>2025-10-27 17:16:31</t>
  </si>
  <si>
    <t>2025-10-27 15:30:00</t>
  </si>
  <si>
    <t>2025-10-27 17:17:45</t>
  </si>
  <si>
    <t>2025-10-27 16:10:00</t>
  </si>
  <si>
    <t>1D349114102701</t>
  </si>
  <si>
    <t>板橋成都店</t>
  </si>
  <si>
    <t>2025-10-27 19:26:49</t>
  </si>
  <si>
    <t>客顯示器畫面不正常</t>
  </si>
  <si>
    <t>門市反應TM1(TCX800)客顯螢幕黑頻,確認右下角燈號為藍燈,已有重新開關機仍無法排除,點選電源鍵關閉重開亦無法排除............還請台芝到店協助</t>
  </si>
  <si>
    <t>THILF0D349</t>
  </si>
  <si>
    <t>2025-10-27 19:28:18</t>
  </si>
  <si>
    <t>2025-10-28 15:00:00</t>
  </si>
  <si>
    <t>2025-10-28 23:28:00</t>
  </si>
  <si>
    <t>驅動修復測試正常，請門市觀察中</t>
  </si>
  <si>
    <t>三重運動公園</t>
  </si>
  <si>
    <t>THILF0D649</t>
  </si>
  <si>
    <t>2025-10-28 11:13:24</t>
  </si>
  <si>
    <t>2025-10-28 10:30:00</t>
  </si>
  <si>
    <t>北縣泰富店</t>
  </si>
  <si>
    <t>新北市泰山區</t>
  </si>
  <si>
    <t>THILF03606</t>
  </si>
  <si>
    <t>2025-10-28 11:14:45</t>
  </si>
  <si>
    <t>泰山新民店</t>
  </si>
  <si>
    <t>THILF04656</t>
  </si>
  <si>
    <t>2025-10-28 11:33:15</t>
  </si>
  <si>
    <t>2025-10-28 11:00:00</t>
  </si>
  <si>
    <t>2025-10-28 11:54:28</t>
  </si>
  <si>
    <t>2025-10-28 11:05:00</t>
  </si>
  <si>
    <t>L90</t>
  </si>
  <si>
    <t>三重正義北店</t>
  </si>
  <si>
    <t>THILF0D028</t>
  </si>
  <si>
    <t>2025-10-28 12:32:58</t>
  </si>
  <si>
    <t>2025-10-28 12:00:00</t>
  </si>
  <si>
    <t>13380114102801</t>
  </si>
  <si>
    <t>北縣莊勝店</t>
  </si>
  <si>
    <t>2025-10-28 12:40:47</t>
  </si>
  <si>
    <t>門市反應TM1(TCX800)游標亂跳並發出逼聲，與門市確認螢幕無任何文宣與商品放置並已重新開關機仍異常，因亂跳嚴重無法觸控校正...需請台芝到店協助</t>
  </si>
  <si>
    <t>THILF03380</t>
  </si>
  <si>
    <t>2025-10-28 12:45:10</t>
  </si>
  <si>
    <t>2025-10-29 10:00:00</t>
  </si>
  <si>
    <t>2025-10-29 16:45:00</t>
  </si>
  <si>
    <t>重插排線 清潔螢幕 觸控校正</t>
  </si>
  <si>
    <t>三重大院店</t>
  </si>
  <si>
    <t>THILF04560</t>
  </si>
  <si>
    <t>2025-10-28 13:14:52</t>
  </si>
  <si>
    <t>2025-10-28 12:50:00</t>
  </si>
  <si>
    <t>三重夜市口</t>
  </si>
  <si>
    <t>THILF02935</t>
  </si>
  <si>
    <t>2025-10-28 14:29:28</t>
  </si>
  <si>
    <t>2025-10-28 14:00:00</t>
  </si>
  <si>
    <t>林口捷韻店</t>
  </si>
  <si>
    <t>THILF04715</t>
  </si>
  <si>
    <t>2025-10-28 15:08:35</t>
  </si>
  <si>
    <t>2025-10-28 14:30:00</t>
  </si>
  <si>
    <t>三重中央北店</t>
  </si>
  <si>
    <t>THILF02042</t>
  </si>
  <si>
    <t>2025-10-28 15:18:26</t>
  </si>
  <si>
    <t>14154114102802</t>
  </si>
  <si>
    <t>2025-10-28 15:32:06</t>
  </si>
  <si>
    <t>2025/10/28 (週二) 下午 03:28 總公司明翰 mail:mmk4代機有關4154林口麗園店- LIFEET列印藥師少女的獨語未印出 (案14154114102801)經查結果，門市LIFE-ET硬碟故障，請協助一般派工，更換MMK硬碟並重新安裝，謝謝。</t>
  </si>
  <si>
    <t>2025-10-28 15:33:52</t>
  </si>
  <si>
    <t>2025-10-28 15:30:00</t>
  </si>
  <si>
    <t>2025-10-29 19:33:00</t>
  </si>
  <si>
    <t>更換硬碟 
以再生龍重裝系統</t>
  </si>
  <si>
    <t>15364114102801</t>
  </si>
  <si>
    <t>2025-10-28 15:25:04</t>
  </si>
  <si>
    <t>門市反應TM1(TCX800)突然無畫面，右下角無亮燈，門市已嘗試重新拔插電源線及變壓器線路仍異常，PING80不通，與門市確認粉色插座以手機充電測試有通電...需請台芝到店協助，與門市確認入帳日10/29有交易資料，PS若因更換HD.請跟店長宣達:1.請門市先回報代收會計 2.請確認SC的代收資料是否正確</t>
  </si>
  <si>
    <t>2025-10-28 15:37:08</t>
  </si>
  <si>
    <t>2025-10-28 17:00:00</t>
  </si>
  <si>
    <t>2025-10-29 19:37:00</t>
  </si>
  <si>
    <t>供電異常導致主機開機error&amp;螢幕顯示異常，經放電後測試功能正常，請門市觀察中</t>
  </si>
  <si>
    <t>E3601114102801</t>
  </si>
  <si>
    <t>三重重富店</t>
  </si>
  <si>
    <t>2025-10-28 15:22:34</t>
  </si>
  <si>
    <t>門市反應SC螢幕(LCD)會不定時變成藍屏，很傷眼睛，門市已重新拔插後方線路仍異常....須請台芝到店協助(螢幕變藍很傷眼睛)
10/28  15:28  請門市先拔插線路， 稍晚再去電確認...廖</t>
  </si>
  <si>
    <t>THILF03601</t>
  </si>
  <si>
    <t>2025-10-28 15:46:21</t>
  </si>
  <si>
    <t>2025-10-29 12:30:00</t>
  </si>
  <si>
    <t>2025-10-29 19:46:00</t>
  </si>
  <si>
    <t>更換螢幕
換上8133003791
換下8133002586</t>
  </si>
  <si>
    <t>2025-10-28 15:48:53</t>
  </si>
  <si>
    <t>三重三和夜市</t>
  </si>
  <si>
    <t>THILF02303</t>
  </si>
  <si>
    <t>2025-10-28 15:50:02</t>
  </si>
  <si>
    <t>2025-10-28 15:51:32</t>
  </si>
  <si>
    <t>2025-10-28 16:38:44</t>
  </si>
  <si>
    <t>2025-10-28 17:32:50</t>
  </si>
  <si>
    <t>PMQ4+L99</t>
  </si>
  <si>
    <t>2025-10-28 18:47:43</t>
  </si>
  <si>
    <t>2025-10-28 18:30:00</t>
  </si>
  <si>
    <t>2025-10-28 18:56:52</t>
  </si>
  <si>
    <t>2025-10-29 10:56:10</t>
  </si>
  <si>
    <t>2025-10-29 09:30:00</t>
  </si>
  <si>
    <t>14144114103002</t>
  </si>
  <si>
    <t>2025-10-30 10:21:50</t>
  </si>
  <si>
    <t>門市門市反應印票機L90 paper燈號亮紅燈，已有關機紙捲重裝列印測試票券仍亮紅燈無法出票....請台芝到店協助</t>
  </si>
  <si>
    <t>2025-10-30 10:24:04</t>
  </si>
  <si>
    <t>2025-10-31 11:00:00</t>
  </si>
  <si>
    <t>2025-10-31 14:24:00</t>
  </si>
  <si>
    <t>重插電源 更新韌體</t>
  </si>
  <si>
    <t>THILF03399</t>
  </si>
  <si>
    <t>2025-10-30 10:58:58</t>
  </si>
  <si>
    <t>2025-10-30 10:30:00</t>
  </si>
  <si>
    <t>THILF05457</t>
  </si>
  <si>
    <t>2025-10-30 15:00:05</t>
  </si>
  <si>
    <t>2025-10-30 12:00:00</t>
  </si>
  <si>
    <t>2025-10-30 16:04:12</t>
  </si>
  <si>
    <t>2025-10-30 15:30:00</t>
  </si>
  <si>
    <t>E4282114103001</t>
  </si>
  <si>
    <t>林口建林店</t>
  </si>
  <si>
    <t>2025-10-30 17:39:28</t>
  </si>
  <si>
    <t>門市反應 MMK 四代機 熱感機T70II列印小白單無反應，燈號為綠燈，已有重啟熱感機+MMK仍異常...請台芝到店協助	(無法出紙)</t>
  </si>
  <si>
    <t>THILF04282</t>
  </si>
  <si>
    <t>2025-10-30 17:49:28</t>
  </si>
  <si>
    <t>2025-10-31 09:30:00</t>
  </si>
  <si>
    <t>2025-10-31 21:49:00</t>
  </si>
  <si>
    <t>客戶取消 現場為L90故障</t>
  </si>
  <si>
    <t>E3380114103101</t>
  </si>
  <si>
    <t>2025-10-31 02:08:26</t>
  </si>
  <si>
    <t>門市反應TM1(TCX800)這兩天常發生使用到一半會突然黑屏關機，隔很久TM自動自行重啟，門市已有檢察後方變壓器、插頭都有插緊未鬆脫，希望工程師到店檢察....須請台芝到店協助(沒反應無法開機)
10/31 09:02  請門市繁忙，稍晚聯繫...廖</t>
  </si>
  <si>
    <t>2025-10-31 09:25:59</t>
  </si>
  <si>
    <t>2025-10-31 10:30:00</t>
  </si>
  <si>
    <t>2025-11-03 13:26:00</t>
  </si>
  <si>
    <t>變壓器端接觸不良，重新固定排線</t>
  </si>
  <si>
    <t>2025-10-31 10:40:29</t>
  </si>
  <si>
    <t>2025-10-31 09:00:00</t>
  </si>
  <si>
    <t>新莊化成店</t>
  </si>
  <si>
    <t>THILF02362</t>
  </si>
  <si>
    <t>2025-10-31 13:11:06</t>
  </si>
  <si>
    <t>2025-10-31 13:00:00</t>
  </si>
  <si>
    <t>2025-10-31 14:30:58</t>
  </si>
  <si>
    <t>2025-10-31 14:00:00</t>
  </si>
  <si>
    <t>PEP裝機完成</t>
  </si>
  <si>
    <t>E3606114103101</t>
  </si>
  <si>
    <t>2025-10-31 09:33:24</t>
  </si>
  <si>
    <t xml:space="preserve">門市反應TM1 CCD掃描器(HC56II-TR)前面黑色膠條破損，影響門市刷讀...請台芝到店協助(TM1.TM2掃描器刷不太出來)
</t>
  </si>
  <si>
    <t>2025-10-31 09:41:52</t>
  </si>
  <si>
    <t>2025-11-03 08:30:00</t>
  </si>
  <si>
    <t>2025-11-03 13:41:00</t>
  </si>
  <si>
    <t>更換手持
換上8119012937
換下8119006664</t>
  </si>
  <si>
    <t>13606114103101</t>
  </si>
  <si>
    <t>2025-10-31 09:42:01</t>
  </si>
  <si>
    <t>門市反應TM2 CCD掃描器(HC56II-TR)前面黑色膠條破損，影響門市刷讀...請台芝到店協助</t>
  </si>
  <si>
    <t>2025-10-31 09:44:53</t>
  </si>
  <si>
    <t>2025-11-03 09:00:00</t>
  </si>
  <si>
    <t>2025-11-03 13:44:00</t>
  </si>
  <si>
    <t>更換手持
換上8119012947
換下8119007338</t>
  </si>
  <si>
    <t>14282114103101</t>
  </si>
  <si>
    <t>2025-10-31 10:34:53</t>
  </si>
  <si>
    <t>台芝湯先生代店反應門市實為Life-ET印票機L90故障無反應，請協助派工</t>
  </si>
  <si>
    <t>2025-10-31 10:37:17</t>
  </si>
  <si>
    <t>2025-11-03 09:30:00</t>
  </si>
  <si>
    <t>2025-11-03 14:37:00</t>
  </si>
  <si>
    <t>更換印票機
換上8139003247
換下8139001402</t>
  </si>
  <si>
    <t>12325114103101</t>
  </si>
  <si>
    <t>2025-10-31 13:07:20</t>
  </si>
  <si>
    <t>門市反應TM2 CCD掃描器(HC56II-TR、HC76-TR)常常刷不到有亮燈無逼聲，門市掃描器校正表單第六段條碼都刷不進去....須請台芝到店協助</t>
  </si>
  <si>
    <t>2025-10-31 13:10:02</t>
  </si>
  <si>
    <t>2025-11-03 11:00:00</t>
  </si>
  <si>
    <t>2025-11-03 17:10:00</t>
  </si>
  <si>
    <t>更換手持
換上8119012946
換下8119006279</t>
  </si>
  <si>
    <t>14541114110301</t>
  </si>
  <si>
    <t>淡水海天店</t>
  </si>
  <si>
    <t>2025-11-03 10:50:48</t>
  </si>
  <si>
    <t>門市反應TM1多卡機(QP3000E)操作悠遊卡出現悠遊卡通訊逾時，已協助操作版更&gt;悠遊卡機重開仍顯示悠遊卡通訊逾時!...請台芝到店協助</t>
  </si>
  <si>
    <t>THILF04541</t>
  </si>
  <si>
    <t>2025-11-03 10:52:41</t>
  </si>
  <si>
    <t>2025-11-03 16:45:00</t>
  </si>
  <si>
    <t>2025-11-04 14:52:00</t>
  </si>
  <si>
    <t>更換多卡機
換下8183000381
換上8183001946</t>
  </si>
  <si>
    <t>2025-11-03 13:14:26</t>
  </si>
  <si>
    <t>裝潢回裝完成</t>
  </si>
  <si>
    <t>2025-11-03 13:15:22</t>
  </si>
  <si>
    <t>2025-11-03 13:00:00</t>
  </si>
  <si>
    <t>五股福鑫店</t>
  </si>
  <si>
    <t>THILF03921</t>
  </si>
  <si>
    <t>2025-11-03 13:35:20</t>
  </si>
  <si>
    <t>五股工商店</t>
  </si>
  <si>
    <t>THILF04316</t>
  </si>
  <si>
    <t>2025-11-03 13:46:21</t>
  </si>
  <si>
    <t>2025-11-03 13:30:00</t>
  </si>
  <si>
    <t>2025-11-03 17:22:08</t>
  </si>
  <si>
    <t>2025-11-03 17:00:00</t>
  </si>
  <si>
    <t>八里大船店</t>
  </si>
  <si>
    <t>THILF04764</t>
  </si>
  <si>
    <t>2025-11-04 11:19:07</t>
  </si>
  <si>
    <t>2025-11-04 10:30:00</t>
  </si>
  <si>
    <t>2025-11-04 12:33:47</t>
  </si>
  <si>
    <t>2025-11-04 12:10:00</t>
  </si>
  <si>
    <t>八里福德新村</t>
  </si>
  <si>
    <t>THILF05074</t>
  </si>
  <si>
    <t>2025-11-04 12:56:39</t>
  </si>
  <si>
    <t>2025-11-04 12:35:00</t>
  </si>
  <si>
    <t>八里凱旋門</t>
  </si>
  <si>
    <t>THILF02306</t>
  </si>
  <si>
    <t>2025-11-04 14:06:13</t>
  </si>
  <si>
    <t>2025-11-04 13:40:00</t>
  </si>
  <si>
    <t>八里水灣店</t>
  </si>
  <si>
    <t>THILF04259</t>
  </si>
  <si>
    <t>2025-11-04 14:30:20</t>
  </si>
  <si>
    <t>2025-11-04 14:10:00</t>
  </si>
  <si>
    <t xml:space="preserve"> eS-4528A 黑白複合機</t>
  </si>
  <si>
    <t>八里鐵塔店</t>
  </si>
  <si>
    <t>THILF04528</t>
  </si>
  <si>
    <t>2025-11-04 15:29:52</t>
  </si>
  <si>
    <t>2025-11-04 15:00:00</t>
  </si>
  <si>
    <t>八里聖心店</t>
  </si>
  <si>
    <t>THILF04243</t>
  </si>
  <si>
    <t>2025-11-04 16:02:40</t>
  </si>
  <si>
    <t>2025-11-04 15:40:00</t>
  </si>
  <si>
    <t>八里龍米店</t>
  </si>
  <si>
    <t>THILF03458</t>
  </si>
  <si>
    <t>2025-11-04 16:43:16</t>
  </si>
  <si>
    <t>2025-11-04 16:20:00</t>
  </si>
  <si>
    <t>三重金陵店</t>
  </si>
  <si>
    <t>THILF03359</t>
  </si>
  <si>
    <t>2025-11-05 10:15:14</t>
  </si>
  <si>
    <t>2025-11-05 09:30:00</t>
  </si>
  <si>
    <t>2025-11-05 10:48:02</t>
  </si>
  <si>
    <t>2025-11-05 10:20:00</t>
  </si>
  <si>
    <t>三重初戀店</t>
  </si>
  <si>
    <t>THILF04977</t>
  </si>
  <si>
    <t>2025-11-05 11:13:40</t>
  </si>
  <si>
    <t>2025-11-05 10:50:00</t>
  </si>
  <si>
    <t>THILF05316</t>
  </si>
  <si>
    <t>2025-11-05 16:24:03</t>
  </si>
  <si>
    <t>2025-11-05 16:00:00</t>
  </si>
  <si>
    <t>三重福隆店</t>
  </si>
  <si>
    <t>THILF0D620</t>
  </si>
  <si>
    <t>2025-11-05 17:00:11</t>
  </si>
  <si>
    <t>2025-11-05 16:35:00</t>
  </si>
  <si>
    <t>13929114110601</t>
  </si>
  <si>
    <t>2025-11-06 10:24:58</t>
  </si>
  <si>
    <t>HL34</t>
  </si>
  <si>
    <t>HL-HUB</t>
  </si>
  <si>
    <t>HUB週期維護</t>
  </si>
  <si>
    <t>2025年10月份 hub調查異常:1PORT插在2PORT、8PORT插在9PORT</t>
  </si>
  <si>
    <t>THILF03929</t>
  </si>
  <si>
    <t>2025-11-06 10:26:12</t>
  </si>
  <si>
    <t>2025-11-06 10:10:00</t>
  </si>
  <si>
    <t>2025-11-07 14:26:00</t>
  </si>
  <si>
    <t>已經將HUB網路線插至正確位置</t>
  </si>
  <si>
    <t>2025-11-06 10:38:11</t>
  </si>
  <si>
    <t>2025-11-06 09:30:00</t>
  </si>
  <si>
    <t>蘆洲信義店</t>
  </si>
  <si>
    <t>THILF03452</t>
  </si>
  <si>
    <t>2025-11-06 11:09:08</t>
  </si>
  <si>
    <t>2025-11-06 10:45:00</t>
  </si>
  <si>
    <t>THILF05341</t>
  </si>
  <si>
    <t>2025-11-06 11:40:00</t>
  </si>
  <si>
    <t>2025-11-06 11:10:00</t>
  </si>
  <si>
    <t>THILF04218</t>
  </si>
  <si>
    <t>2025-11-06 12:23:59</t>
  </si>
  <si>
    <t>2025-11-06 11:50:00</t>
  </si>
  <si>
    <t>北縣蘆旺店</t>
  </si>
  <si>
    <t>THILF02958</t>
  </si>
  <si>
    <t>2025-11-06 13:19:02</t>
  </si>
  <si>
    <t>2025-11-06 12:50:00</t>
  </si>
  <si>
    <t>蘆洲洲正店</t>
  </si>
  <si>
    <t>THILF04609</t>
  </si>
  <si>
    <t>2025-11-06 13:49:29</t>
  </si>
  <si>
    <t>2025-11-06 13:20:00</t>
  </si>
  <si>
    <t>蘆洲長樂店</t>
  </si>
  <si>
    <t>THILF04125</t>
  </si>
  <si>
    <t>2025-11-06 14:15:09</t>
  </si>
  <si>
    <t>2025-11-06 13:50:00</t>
  </si>
  <si>
    <t>蘆洲鴻悅店</t>
  </si>
  <si>
    <t>THILF05197</t>
  </si>
  <si>
    <t>2025-11-06 16:19:02</t>
  </si>
  <si>
    <t>2025-11-06 15:55:00</t>
  </si>
  <si>
    <t>13741114110701</t>
  </si>
  <si>
    <t>2025-11-07 10:03:48</t>
  </si>
  <si>
    <t>D304</t>
  </si>
  <si>
    <t>空白列印/印一半/未列印</t>
  </si>
  <si>
    <t>TM2發票機(BSC10II)2025/11/7 (週五) 上午 09:55 總公司雅文來信:請協助派工台芝到店將BSC10II更換為BSC10.....需請台芝協助到店</t>
  </si>
  <si>
    <t>2025-11-07 10:04:53</t>
  </si>
  <si>
    <t>2025-11-07 10:40:00</t>
  </si>
  <si>
    <t>2025-11-10 14:04:00</t>
  </si>
  <si>
    <t>1D148114110701</t>
  </si>
  <si>
    <t>2025-11-07 10:29:21</t>
  </si>
  <si>
    <t>TM1 CCD掃瞄器(HC56II-TR)-門市反應TM1、2要刷讀發財卡條碼極度難刷，都需要喬角度，掃描器刷讀其他條碼皆正常，已有操作過掃描器校正後仍異常...需請台芝到店協助</t>
  </si>
  <si>
    <t>THILF0D148</t>
  </si>
  <si>
    <t>2025-11-07 10:32:20</t>
  </si>
  <si>
    <t>2025-11-07 16:00:00</t>
  </si>
  <si>
    <t>2025-11-10 14:32:00</t>
  </si>
  <si>
    <t>更換手持
換上8119011800
換下8119006998</t>
  </si>
  <si>
    <t>1D148114110702</t>
  </si>
  <si>
    <t>2025-11-07 10:32:37</t>
  </si>
  <si>
    <t>TM2 CCD掃瞄器(HC56II-TR)-門市反應TM1、2要刷讀發財卡條碼極度難刷，都需要喬角度，掃描器刷讀其他條碼皆正常，已有操作過掃描器校正後仍異常...需請台芝到店協助</t>
  </si>
  <si>
    <t>2025-11-07 10:33:03</t>
  </si>
  <si>
    <t>2025-11-07 16:30:00</t>
  </si>
  <si>
    <t>2025-11-10 14:33:00</t>
  </si>
  <si>
    <t>更換手持
換上8119008544
換下8119006999</t>
  </si>
  <si>
    <t>三重今大店</t>
  </si>
  <si>
    <t>THILF04184</t>
  </si>
  <si>
    <t>2025-11-07 11:17:35</t>
  </si>
  <si>
    <t>13380114110701</t>
  </si>
  <si>
    <t>2025-11-07 11:32:02</t>
  </si>
  <si>
    <t>TM1 CCD掃描器:2025/11/7 (週五) 上午 11:23 總公司明翰mail:因門市刷取發財卡條碼不易，經查門市目前的掃描器為HC56II-TR，請協助一般派工，更換門市TM1、2掃描器，更換為HC76II-TR，謝謝。...請台芝到店協助</t>
  </si>
  <si>
    <t>2025-11-07 11:32:37</t>
  </si>
  <si>
    <t>2025-11-10 13:00:00</t>
  </si>
  <si>
    <t>2025-11-10 15:32:00</t>
  </si>
  <si>
    <t>更換手持
換上8119013210
換下8119008372</t>
  </si>
  <si>
    <t>13380114110702</t>
  </si>
  <si>
    <t>2025-11-07 11:32:45</t>
  </si>
  <si>
    <t>TM2 CCD掃描器:2025/11/7 (週五) 上午 11:23 總公司明翰mail:因門市刷取發財卡條碼不易，經查門市目前的掃描器為HC56II-TR，請協助一般派工，更換門市TM1、2掃描器，更換為HC76II-TR，謝謝。...請台芝到店協助</t>
  </si>
  <si>
    <t>2025-11-07 11:33:01</t>
  </si>
  <si>
    <t>2025-11-10 13:30:00</t>
  </si>
  <si>
    <t>2025-11-10 15:33:00</t>
  </si>
  <si>
    <t>更換手持
換上8119012066
換下8119008631</t>
  </si>
  <si>
    <t>三重國隆店</t>
  </si>
  <si>
    <t>THILF04804</t>
  </si>
  <si>
    <t>2025-11-07 14:00:34</t>
  </si>
  <si>
    <t>2025-11-07 13:30:00</t>
  </si>
  <si>
    <t>三重自信店</t>
  </si>
  <si>
    <t>THILF04539</t>
  </si>
  <si>
    <t>2025-11-07 14:35:59</t>
  </si>
  <si>
    <t>2025-11-07 14:10:00</t>
  </si>
  <si>
    <t>12259114110701</t>
  </si>
  <si>
    <t>2025-11-07 15:58:25</t>
  </si>
  <si>
    <t>2025年10月份 hub調查異常:13PORT插在11PORT</t>
  </si>
  <si>
    <t>2025-11-07 15:58:44</t>
  </si>
  <si>
    <t>2025-11-07 15:34:00</t>
  </si>
  <si>
    <t>2025-11-10 19:58:00</t>
  </si>
  <si>
    <t>將HUB網路線插回13port</t>
  </si>
  <si>
    <t>2025-11-07 16:05:48</t>
  </si>
  <si>
    <t>2025-11-07 15:30:00</t>
  </si>
  <si>
    <t>三重大仁店</t>
  </si>
  <si>
    <t>THILF02543</t>
  </si>
  <si>
    <t>2025-11-07 16:36:44</t>
  </si>
  <si>
    <t>2025-11-07 11:10:00</t>
  </si>
  <si>
    <t>三重頂崁店</t>
  </si>
  <si>
    <t>THILF04698</t>
  </si>
  <si>
    <t>2025-11-07 16:40:36</t>
  </si>
  <si>
    <t>2025-11-07 16:20:00</t>
  </si>
  <si>
    <t>2025-11-07 17:03:06</t>
  </si>
  <si>
    <t>2025-11-07 16:45:00</t>
  </si>
  <si>
    <t>2025-11-07 17:08:00</t>
  </si>
  <si>
    <t>2025-11-07 17:00:00</t>
  </si>
  <si>
    <t>12399114110801</t>
  </si>
  <si>
    <t>2025-11-08 13:47:38</t>
  </si>
  <si>
    <t xml:space="preserve">TM1 CCD掃瞄器(HC56II-TR)門市反應TM1、2要刷讀發財卡條碼極度難刷，都需要喬角度，掃描器刷讀其他條碼皆正常，已有操作過掃描器校正後仍異常...需請台芝到店協助	</t>
  </si>
  <si>
    <t>2025-11-08 13:48:42</t>
  </si>
  <si>
    <t>2025-11-10 15:20:00</t>
  </si>
  <si>
    <t>2025-11-11 13:00:00</t>
  </si>
  <si>
    <t>更換掃描槍
換下8119008317
換上8119013214</t>
  </si>
  <si>
    <t>12399114110802</t>
  </si>
  <si>
    <t>2025-11-08 13:48:55</t>
  </si>
  <si>
    <t xml:space="preserve">TM2 CCD掃瞄器(HC56II-TR)門市反應TM1、2要刷讀發財卡條碼極度難刷，都需要喬角度，掃描器刷讀其他條碼皆正常，已有操作過掃描器校正後仍異常...需請台芝到店協助	</t>
  </si>
  <si>
    <t>2025-11-08 13:49:17</t>
  </si>
  <si>
    <t>2025-11-10 15:00:00</t>
  </si>
  <si>
    <t>更換掃描槍
換下8119008576
換上8119013213</t>
  </si>
  <si>
    <t>2025-11-10 13:26:31</t>
  </si>
  <si>
    <t>2025-11-10 10:30:00</t>
  </si>
  <si>
    <t>2025-11-10 13:27:18</t>
  </si>
  <si>
    <t>THILF05496</t>
  </si>
  <si>
    <t>2025-11-10 14:37:16</t>
  </si>
  <si>
    <t>2025-11-10 12:30:00</t>
  </si>
  <si>
    <t>新開門市已完工+L90
網路使用peplunk</t>
  </si>
  <si>
    <t>2025-11-10 15:48:09</t>
  </si>
  <si>
    <t>2025-11-10 15:40:00</t>
  </si>
  <si>
    <t>15074114111101</t>
  </si>
  <si>
    <t>2025-11-11 09:09:41</t>
  </si>
  <si>
    <t>門市反應TM1 CCD掃描器(HC56II-TR、HC76-TR)刷讀所有條碼都會感應不良無亮燈有嗶聲，門市告知TM重啟後會正常一陣子刷讀沒多久又沒亮燈，已嘗試執行校正仍無改善....須請台芝到店協助</t>
  </si>
  <si>
    <t>2025-11-11 09:11:38</t>
  </si>
  <si>
    <t>2025-11-11 10:45:00</t>
  </si>
  <si>
    <t>2025-11-12 13:11:00</t>
  </si>
  <si>
    <t>更換掃描槍
換下8119011785
換上8119013215</t>
  </si>
  <si>
    <t>14144114111101</t>
  </si>
  <si>
    <t>2025-11-11 11:19:51</t>
  </si>
  <si>
    <t>門市反應TM2(TCX800)游標會一直跳掉，因游標跳掉嚴重無法協助執行觸控校正，重啟TM仍異常...請台芝到店協助</t>
  </si>
  <si>
    <t>2025-11-11 11:23:45</t>
  </si>
  <si>
    <t>2025-11-12 15:23:00</t>
  </si>
  <si>
    <t>清潔螢幕 重插排線 螢幕校正</t>
  </si>
  <si>
    <t>14856114111101</t>
  </si>
  <si>
    <t>2025-11-11 14:10:52</t>
  </si>
  <si>
    <t>2025年10月份 hub調查異常:PING91不通無法連線HUB，其他線路正常</t>
  </si>
  <si>
    <t>2025-11-11 14:12:05</t>
  </si>
  <si>
    <t>2025-11-11 13:30:00</t>
  </si>
  <si>
    <t>2025-11-12 18:12:00</t>
  </si>
  <si>
    <t>更換HUB
換上8107005234
換下8107004641</t>
  </si>
  <si>
    <t>2025-11-11 15:26:25</t>
  </si>
  <si>
    <t>2025-11-11 15:00:00</t>
  </si>
  <si>
    <t>田倉新樹店</t>
  </si>
  <si>
    <t>THILF0L535</t>
  </si>
  <si>
    <t>2025-11-11 15:47:19</t>
  </si>
  <si>
    <t>2025-11-11 15:30:00</t>
  </si>
  <si>
    <t>三重興德店</t>
  </si>
  <si>
    <t>THILF0D191</t>
  </si>
  <si>
    <t>2025-11-11 15:51:16</t>
  </si>
  <si>
    <t>2025-11-11 16:01:37</t>
  </si>
  <si>
    <t>2025-11-11 15:45:00</t>
  </si>
  <si>
    <t>THILF05291</t>
  </si>
  <si>
    <t>2025-11-11 16:35:34</t>
  </si>
  <si>
    <t>2025-11-11 16:00:00</t>
  </si>
  <si>
    <t>13458114111201</t>
  </si>
  <si>
    <t>2025-11-12 09:10:03</t>
  </si>
  <si>
    <t>11/12 09:10 啟動緊急叫修:門市sc(SHUTTLE6S)點選hipos、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與門市確認帳關到11/11，與通訊嘉芳確認缺少tm1、2電子存根聯</t>
  </si>
  <si>
    <t>2025-11-12 09:13:39</t>
  </si>
  <si>
    <t>2025-11-12 09:45:00</t>
  </si>
  <si>
    <t>2025-11-12 15:13:00</t>
  </si>
  <si>
    <t>更換第二顆硬碟不備份還原完成</t>
  </si>
  <si>
    <t>新莊雙鳳店</t>
  </si>
  <si>
    <t>THILF04005</t>
  </si>
  <si>
    <t>2025-11-12 10:04:17</t>
  </si>
  <si>
    <t>2025-11-12 09:50:00</t>
  </si>
  <si>
    <t>新莊裕民店</t>
  </si>
  <si>
    <t>THILF0D174</t>
  </si>
  <si>
    <t>2025-11-12 10:21:56</t>
  </si>
  <si>
    <t>2025-11-12 10:10:00</t>
  </si>
  <si>
    <t>田倉民安店</t>
  </si>
  <si>
    <t>THILF0L562</t>
  </si>
  <si>
    <t>2025-11-12 10:38:22</t>
  </si>
  <si>
    <t>2025-11-12 10:30:00</t>
  </si>
  <si>
    <t>新莊瓊泰店</t>
  </si>
  <si>
    <t>THILF04208</t>
  </si>
  <si>
    <t>2025-11-12 11:01:27</t>
  </si>
  <si>
    <t>2025-11-12 10:50:00</t>
  </si>
  <si>
    <t>新莊豐年店</t>
  </si>
  <si>
    <t>THILF02743</t>
  </si>
  <si>
    <t>2025-11-12 11:31:04</t>
  </si>
  <si>
    <t>2025-11-12 11:10:00</t>
  </si>
  <si>
    <t>蘆洲永平店</t>
  </si>
  <si>
    <t>THILF04923</t>
  </si>
  <si>
    <t>2025-11-12 12:54:23</t>
  </si>
  <si>
    <t>2025-11-12 12:30:00</t>
  </si>
  <si>
    <t>蘆洲樂平店</t>
  </si>
  <si>
    <t>THILF02301</t>
  </si>
  <si>
    <t>2025-11-12 13:14:37</t>
  </si>
  <si>
    <t>2025-11-12 12:55:00</t>
  </si>
  <si>
    <t>蘆洲永樂店</t>
  </si>
  <si>
    <t>THILF04036</t>
  </si>
  <si>
    <t>2025-11-12 14:28:49</t>
  </si>
  <si>
    <t>2025-11-12 14:10:00</t>
  </si>
  <si>
    <t>蘆洲光榮店</t>
  </si>
  <si>
    <t>THILF03892</t>
  </si>
  <si>
    <t>2025-11-12 14:55:00</t>
  </si>
  <si>
    <t>2025-11-12 14:30:00</t>
  </si>
  <si>
    <t>15291114111201</t>
  </si>
  <si>
    <t>2025-11-12 15:31:54</t>
  </si>
  <si>
    <t>2025年10月份 hub調查異常:密碼1234</t>
  </si>
  <si>
    <t>2025-11-12 15:33:30</t>
  </si>
  <si>
    <t>2025-11-12 15:00:00</t>
  </si>
  <si>
    <t>2025-11-13 19:33:00</t>
  </si>
  <si>
    <t>HUB
HUB檢查 變更密碼回報騰雲</t>
  </si>
  <si>
    <t>THILF05354</t>
  </si>
  <si>
    <t>2025-11-12 16:45:58</t>
  </si>
  <si>
    <t>2025-11-12 16:20:00</t>
  </si>
  <si>
    <t>ED195114111101</t>
  </si>
  <si>
    <t>2025-11-11 16:33:11</t>
  </si>
  <si>
    <t>鍵盤按鍵不良或無反應</t>
  </si>
  <si>
    <t>門市反應SC鍵盤的C按不出來以及數字鍵難按，門市已嘗試重新拔插線路+簡易清潔仍異常..請台芝到店協助(鍵盤按鍵無反應)
11/11 16:44 門市電話無法撥通、手機無法接聽
11/11 16:54 門市電話無法撥通、手機無法接聽，區經理手機未接...李
11/11 17:05 門市電話無法撥通、手機無法接聽，區經理手機未接...李
2025/11/11 (週二) 下午 05:18 mail總公司
2025/11/11 (週二) 下午 05:52 總公司玫君:已連繫區經理，請其致電門市，直接撥打電話進線客服。
11/12 09:16 門市電話無法撥通、手機無法接聽，已聯繫上區經理告知會請門市進電叫修中心...李
11/13 09:00、09:32  門市電話無法撥通、手機無法接聽..廖
11/13 09:35  致電區經理告知再與門市聯繫提供電話，會在進線叫修中心...廖加盟主電話:0976578162</t>
  </si>
  <si>
    <t>2025-11-13 09:43:50</t>
  </si>
  <si>
    <t>2025-11-14 09:45:00</t>
  </si>
  <si>
    <t>2025-11-14 13:43:00</t>
  </si>
  <si>
    <t>更換鍵盤</t>
  </si>
  <si>
    <t>三重圖書館</t>
  </si>
  <si>
    <t>THILF02209</t>
  </si>
  <si>
    <t>2025-11-13 11:36:44</t>
  </si>
  <si>
    <t>2025-11-13 09:30:00</t>
  </si>
  <si>
    <t>PMQ4
1號櫃檯面無空間，店長不希望擺放</t>
  </si>
  <si>
    <t>2025-11-13 11:37:37</t>
  </si>
  <si>
    <t>2025-11-13 10:20:00</t>
  </si>
  <si>
    <t>三重重陽店</t>
  </si>
  <si>
    <t>THILF05352</t>
  </si>
  <si>
    <t>2025-11-13 11:38:06</t>
  </si>
  <si>
    <t>2025-11-13 11:10:00</t>
  </si>
  <si>
    <t>15364114111301</t>
  </si>
  <si>
    <t>2025-11-13 11:56:39</t>
  </si>
  <si>
    <t>門市反應TM1(TCX800)清帳後黑屏，右下角無亮燈，門市已嘗試重新拔插電源線及變壓器線路仍異常，PING80不通，與門市確認粉色插座以手機充電測試有通電。10/28台芝到店供電異常導致主機開機error&amp;螢幕顯示異常，經放電後測試功能正常，請門市觀察中...需請台芝到店協助，與門市確認入帳日11/13有交易資料，PS若因更換HD.請跟店長宣達:1.請門市先回報代收會計 2.請確認SC的代收資料是否正確</t>
  </si>
  <si>
    <t>2025-11-13 11:58:57</t>
  </si>
  <si>
    <t>2025-11-13 13:00:00</t>
  </si>
  <si>
    <t>2025-11-14 15:58:00</t>
  </si>
  <si>
    <t xml:space="preserve">更換主機
換下8185003678
換上8185002301
</t>
  </si>
  <si>
    <t>北縣醒吾店</t>
  </si>
  <si>
    <t>THILF03243</t>
  </si>
  <si>
    <t>2025-11-13 15:05:25</t>
  </si>
  <si>
    <t>2025-11-13 14:45:00</t>
  </si>
  <si>
    <t>林口老師店</t>
  </si>
  <si>
    <t>THILF04514</t>
  </si>
  <si>
    <t>2025-11-13 15:21:01</t>
  </si>
  <si>
    <t>2025-11-13 15:00:00</t>
  </si>
  <si>
    <t>THILF05101</t>
  </si>
  <si>
    <t>2025-11-13 15:51:11</t>
  </si>
  <si>
    <t>林口築夢店</t>
  </si>
  <si>
    <t>THILF04483</t>
  </si>
  <si>
    <t>2025-11-13 16:06:40</t>
  </si>
  <si>
    <t>2025-11-13 15:30:00</t>
  </si>
  <si>
    <t>E4483114111301</t>
  </si>
  <si>
    <t>2025-11-13 16:26:38</t>
  </si>
  <si>
    <t>門市反應TM1熱感發票機(BSC10、BSC10II)印出來的字很淡，已有關機紙捲重裝仍異常...請台芝到店協助(印刷不清)</t>
  </si>
  <si>
    <t>2025-11-13 16:33:58</t>
  </si>
  <si>
    <t>2025-11-14 09:30:00</t>
  </si>
  <si>
    <t>2025-11-14 20:33:00</t>
  </si>
  <si>
    <t>更換發票機
換上8155004375
換下8155002870</t>
  </si>
  <si>
    <t>13380114111302</t>
  </si>
  <si>
    <t>2025-11-13 20:08:09</t>
  </si>
  <si>
    <t>門市反應TM1(TCX800)螢幕觸控不良並發出逼聲，已有重新開關機仍異常，且因觸控亂跳無法執行螢幕觸控校正....須請台芝到店協助</t>
  </si>
  <si>
    <t>2025-11-13 20:11:31</t>
  </si>
  <si>
    <t>2025-11-14 12:30:00</t>
  </si>
  <si>
    <t>2025-11-17 00:11:00</t>
  </si>
  <si>
    <t>更換客顯器 
觸控校正</t>
  </si>
  <si>
    <t>北縣黎明店</t>
  </si>
  <si>
    <t>THILF03137</t>
  </si>
  <si>
    <t>2025-11-14 10:43:35</t>
  </si>
  <si>
    <t>2025-11-14 10:30:00</t>
  </si>
  <si>
    <t>2025-11-14 12:06:30</t>
  </si>
  <si>
    <t>2025-11-14 11:50:00</t>
  </si>
  <si>
    <t>淡水灰瑤子</t>
  </si>
  <si>
    <t>THILF02749</t>
  </si>
  <si>
    <t>2025-11-14 13:15:29</t>
  </si>
  <si>
    <t>2025-11-14 12:50:00</t>
  </si>
  <si>
    <t>新北市民廣場</t>
  </si>
  <si>
    <t>2025-11-14 13:31:06</t>
  </si>
  <si>
    <t>2025-11-14 12:00:00</t>
  </si>
  <si>
    <t>新增TM3已完工，已與0800核對</t>
  </si>
  <si>
    <t>THILF04511</t>
  </si>
  <si>
    <t>2025-11-14 13:44:23</t>
  </si>
  <si>
    <t>2025-11-14 13:20:00</t>
  </si>
  <si>
    <t>2025-11-14 14:52:34</t>
  </si>
  <si>
    <t>2025-11-14 14:35:00</t>
  </si>
  <si>
    <t>三芝天涯店</t>
  </si>
  <si>
    <t>THILF04844</t>
  </si>
  <si>
    <t>2025-11-14 15:27:10</t>
  </si>
  <si>
    <t>2025-11-14 15:00:00</t>
  </si>
  <si>
    <t>2025-11-14 16:14:13</t>
  </si>
  <si>
    <t>2025-11-14 15:57:00</t>
  </si>
  <si>
    <t>淡水櫻花店</t>
  </si>
  <si>
    <t>THILF04739</t>
  </si>
  <si>
    <t>2025-11-14 16:39:57</t>
  </si>
  <si>
    <t>2025-11-14 16:20:00</t>
  </si>
  <si>
    <t>ED022114111501</t>
  </si>
  <si>
    <t>三重溪尾店</t>
  </si>
  <si>
    <t>2025-11-15 01:18:28</t>
  </si>
  <si>
    <t>開機異常、反覆重開機</t>
  </si>
  <si>
    <t xml:space="preserve">門市反應	MMK 四代機開機後會發出很大聲的異音，重啟仍異常，門市目前已先將LIFEET關機....請台芝到店協助(風扇噪音過大)
</t>
  </si>
  <si>
    <t>THILF0D022</t>
  </si>
  <si>
    <t>2025-11-15 09:05:19</t>
  </si>
  <si>
    <t>2025-11-17 10:42:00</t>
  </si>
  <si>
    <t>2025-11-18 13:00:00</t>
  </si>
  <si>
    <t>清除異物後已修復完成，無異音</t>
  </si>
  <si>
    <t>ED087114111601</t>
  </si>
  <si>
    <t>2025-11-16 06:55:27</t>
  </si>
  <si>
    <t>TM1熱感發票機(BSC-10、BSC10II):門市反應TM1畫面顯示[熱感機正在列印中或熱感機無法連線!請稍後或檢查發票機電源、上蓋是否蓋妥!請按清除!]，與門市確認發票機燈號正常，已有關機紙捲重裝仍異常...請台芝到店協助(螢幕顯示熱感機列印中或無法連線,請檢查發票機電源.上蓋有沒蓋上.  經查有蓋上且電源正常螢幕依舊顯示同上之狀況)</t>
  </si>
  <si>
    <t>2025-11-16 09:04:21</t>
  </si>
  <si>
    <t>2025-11-17 09:49:00</t>
  </si>
  <si>
    <t>USB線從發票機上脫落，接上後測試正常</t>
  </si>
  <si>
    <t>E5197114111601</t>
  </si>
  <si>
    <t>2025-11-16 11:13:08</t>
  </si>
  <si>
    <t>門市反應印票機L90 PAPER燈號亮紅燈，已有關機紙捲重裝且至mmk點選偵測印票機顯示異常....請台芝到店協助(life-et 印票機異常，無法印票)</t>
  </si>
  <si>
    <t>2025-11-16 11:30:43</t>
  </si>
  <si>
    <t>2025-11-17 11:42:00</t>
  </si>
  <si>
    <t>測試連線無亮燈皆為正常</t>
  </si>
  <si>
    <t>E2069114111701</t>
  </si>
  <si>
    <t>板橋江子翠站</t>
  </si>
  <si>
    <t>2025-11-17 06:30:11</t>
  </si>
  <si>
    <t xml:space="preserve">2025/11/17 (週一) 上午 08:56 總公司明翰mail:因3143新竹實中店 第二顆硬碟有異常TOSHIBA MQ04ABF100  \\\\.\\PHYSICALDRIVE1  1000202273280  裝置 \\Device\\Harddisk1\\DR1 有損壞區塊。請協助一般派工，更換SC(SHUTTLE7S)第二顆硬碟，資料不備份，謝謝。...請台芝到店協助
通訊陳健誌-發現門市SC的第二顆硬碟有損壞區域，請到店更換，資料不要備份。(顯示電腦系統繁忙 請關閉其他程式稍後再試或重新開機 重新開機也無法打開訂貨3.0)
PS.若因更換HD.請跟店長宣達:1.請門市先回報代收會計 2.請確認SC的代收資料是否正確 (須與代收單據逐一核對)																																
與門市確認帳務做到11/16，與通訊圭連確認有收到11/16的銷售																																
</t>
  </si>
  <si>
    <t>THILF02069</t>
  </si>
  <si>
    <t>2025-11-17 09:01:35</t>
  </si>
  <si>
    <t>2025-11-17 13:44:00</t>
  </si>
  <si>
    <t>2025-11-18 13:01:00</t>
  </si>
  <si>
    <t>一般轉緊急</t>
  </si>
  <si>
    <t>12069114111701</t>
  </si>
  <si>
    <t>2025-11-17 09:11:13</t>
  </si>
  <si>
    <t xml:space="preserve">11/17 09:10 總公司明翰來電啟動緊急叫修:2025/11/17 (週一) 上午 08:56 總公司明翰mail:2069板橋江子翠 門市已有叫修[RE: 檔案或目錄損毀]請協助一般派工，更換SC(SHUTTLE7S)第二顆硬碟，資料不備份，謝謝。
PS.若因更換HD.請跟店長宣達:1.請門市先回報代收會計 2.請確認SC的代收資料是否正確 (須與代收單據逐一核對)																																
與門市確認帳務做到11/16，與通訊圭連確認有收到11/16的銷售	</t>
  </si>
  <si>
    <t>2025-11-17 09:13:41</t>
  </si>
  <si>
    <t>2025-11-17 11:30:00</t>
  </si>
  <si>
    <t>2025-11-17 15:13:00</t>
  </si>
  <si>
    <t>更換1、2顆硬碟無備份還原</t>
  </si>
  <si>
    <t>2025-11-17 10:27:43</t>
  </si>
  <si>
    <t>2025-11-17 10:00:00</t>
  </si>
  <si>
    <t>新莊輔園店</t>
  </si>
  <si>
    <t>THILF03851</t>
  </si>
  <si>
    <t>2025-11-17 10:51:11</t>
  </si>
  <si>
    <t>2025-11-17 10:30:00</t>
  </si>
  <si>
    <t>1D087114111701</t>
  </si>
  <si>
    <t>2025-11-17 11:02:10</t>
  </si>
  <si>
    <t>門市反應TM1多卡機(QP3000E)使用悠遊卡會出現訊息Unknown message，協助門市點選版更&gt;悠遊卡機重開成功，再次測試餘額查詢仍出現此訊息...請台芝到店協助</t>
  </si>
  <si>
    <t>2025-11-17 11:04:53</t>
  </si>
  <si>
    <t>2025-11-18 09:30:00</t>
  </si>
  <si>
    <t>2025-11-18 15:04:00</t>
  </si>
  <si>
    <t>更換多卡機
換下8183001841
換上8183003747</t>
  </si>
  <si>
    <t>2025-11-17 11:18:07</t>
  </si>
  <si>
    <t>2025-11-17 11:00:00</t>
  </si>
  <si>
    <t>2025-11-17 14:21:02</t>
  </si>
  <si>
    <t>2025-11-17 15:15:07</t>
  </si>
  <si>
    <t>2025-11-17 14:59:00</t>
  </si>
  <si>
    <t>2025-11-17 16:42:24</t>
  </si>
  <si>
    <t>2025-11-17 14:30:00</t>
  </si>
  <si>
    <t>2025-11-17 16:43:22</t>
  </si>
  <si>
    <t>2025-11-17 15:30:00</t>
  </si>
  <si>
    <t>幫忙載貨</t>
  </si>
  <si>
    <t>1T100114111701</t>
  </si>
  <si>
    <t>2025-11-17 17:41:24</t>
  </si>
  <si>
    <t>楊小姐報修五股五工店樓上訓練中心sc雷射印表機異常使用訓練店sc無法印出報表，重開機仍異常，並且使用複印功能印出的資料會模糊黑黑的，未看到設備型號.....須請台芝到店協助
2535五股五工店:新北市五股區五工六路28號樓上訓練中心
(五股訓練中心SC教室雷射印表機
1.無法接收到主機分享給12台訓練機印出報表，在個別訓練機在選擇列表機的機台項目，並無看到該印表機的機型
2.複印文件，印出品質不良，雙面呈黑狀態
謝謝)</t>
  </si>
  <si>
    <t>2025-11-17 17:45:11</t>
  </si>
  <si>
    <t>2025-11-18 21:45:00</t>
  </si>
  <si>
    <t>重新安裝12台電腦驅動 ，列印效果問題為碳粉匣故障，待門市採購更換</t>
  </si>
  <si>
    <t>1D193114111801</t>
  </si>
  <si>
    <t>蘆洲權義店</t>
  </si>
  <si>
    <t>2025-11-18 13:25:04</t>
  </si>
  <si>
    <t>門市反應lifeet印票機L90無法開機，按壓電源鍵無反應，已有重新拔插線路仍異常...請台芝到店協助</t>
  </si>
  <si>
    <t>THILF0D193</t>
  </si>
  <si>
    <t>2025-11-18 13:27:35</t>
  </si>
  <si>
    <t>2025-11-18 17:05:00</t>
  </si>
  <si>
    <t>2025-11-19 17:27:00</t>
  </si>
  <si>
    <t>變壓器電源線鬆脫，插回之後可正常使用</t>
  </si>
  <si>
    <t>E4917114111901</t>
  </si>
  <si>
    <t>2025-11-19 11:04:25</t>
  </si>
  <si>
    <t>M303</t>
  </si>
  <si>
    <t>門市反應LIFE ET標籤印表機無反應，設備亮紅燈，已嘗試重啟電源並重新安裝紙捲仍異常..請台芝到店協助(無反應)</t>
  </si>
  <si>
    <t>THILF04917</t>
  </si>
  <si>
    <t>2025-11-19 11:16:08</t>
  </si>
  <si>
    <t>2025-11-20 12:00:00</t>
  </si>
  <si>
    <t>2025-11-20 15:16:00</t>
  </si>
  <si>
    <t>更換標籤機
換上：8187001031
換下：8187000915</t>
  </si>
  <si>
    <t>2025-11-19 14:11:41</t>
  </si>
  <si>
    <t>2025-11-19 11:00:00</t>
  </si>
  <si>
    <t>新開門市安裝完成</t>
  </si>
  <si>
    <t>14098114111901</t>
  </si>
  <si>
    <t>三重仁美店</t>
  </si>
  <si>
    <t>2025-11-19 14:24:06</t>
  </si>
  <si>
    <t xml:space="preserve">SC(SHUTTLE6S)2025/11/19 (週三) 下午 02:20 總公司明翰來信:因4098 三重仁美店 SC第二顆硬碟發生錯誤訊息，請協助一般派工，更換門市SC第二顆硬碟，資料不備份，謝謝。...請台芝到店協助PS.若因更換HD.請跟店長宣達:1.請門市先回報代收會計 2.請確認SC的代收資料是否正確 (須與代收單據逐一核對)																					與門市確認帳務做到11/18，與通訊嘉芳確認有收到11/18的銷售				</t>
  </si>
  <si>
    <t>THILF04098</t>
  </si>
  <si>
    <t>2025-11-19 14:30:22</t>
  </si>
  <si>
    <t>2025-11-20 10:30:00</t>
  </si>
  <si>
    <t>2025-11-20 18:30:00</t>
  </si>
  <si>
    <t>板橋松翠店</t>
  </si>
  <si>
    <t>THILF04167</t>
  </si>
  <si>
    <t>2025-11-19 15:35:21</t>
  </si>
  <si>
    <t>2025-11-19 15:19:00</t>
  </si>
  <si>
    <t>閉店撤店完成</t>
  </si>
  <si>
    <t>14388114111902</t>
  </si>
  <si>
    <t>2025-11-19 20:37:02</t>
  </si>
  <si>
    <t>門市反應TM1 CCD掃描器(HC56II TR、HC76 TR)刷讀所有商品與條碼都感應不良，有亮燈沒有逼聲+游標有在輸入的位置，已多次嘗試執行掃槍校正但都過2天又開始不好刷讀，最近是11/17與11/19下午執行掃槍校正後仍異常...需請台芝到店協助</t>
  </si>
  <si>
    <t>2025-11-19 20:41:31</t>
  </si>
  <si>
    <t>2025-11-20 14:23:00</t>
  </si>
  <si>
    <t>2025-11-21 00:41:00</t>
  </si>
  <si>
    <t>更換掃描槍
換下8119008847
換上8119013254</t>
  </si>
  <si>
    <t>2025-11-20 12:47:08</t>
  </si>
  <si>
    <t>2025-11-20 13:17:47</t>
  </si>
  <si>
    <t>2025-11-20 12:40:00</t>
  </si>
  <si>
    <t>2025-11-20 14:55:58</t>
  </si>
  <si>
    <t>2025-11-20 14:05:00</t>
  </si>
  <si>
    <t>13227114112101</t>
  </si>
  <si>
    <t>2025-11-21 09:33:19</t>
  </si>
  <si>
    <t>SC螢幕(LCD)無畫面，已有重新插拔電源，仍無畫面，請台芝到店協助</t>
  </si>
  <si>
    <t>2025-11-21 09:35:53</t>
  </si>
  <si>
    <t>2025-11-21 09:45:00</t>
  </si>
  <si>
    <t>2025-11-24 13:35:00</t>
  </si>
  <si>
    <t>客戶取消</t>
  </si>
  <si>
    <t>14098114112101</t>
  </si>
  <si>
    <t>2025-11-21 09:27:48</t>
  </si>
  <si>
    <t xml:space="preserve">11/21 09:30 啟動緊急叫修:門市反應sc(SHUTTLE6S)從半夜起操作所有程式都很慢，且tm主檔卡在11/20，vnc查看所有程式都跑很慢遠端重啟畫面卡在重新啟動中無法正常關機，請門市端強制重開機後畫面卡在開機中轉圈圈，ping1通但無法vnc，門市已有重啟多次仍異常.....須請台芝到店協助
PS.若因更換HD.請跟店長宣達:1.請門市先回報代收會計 2.請確認SC的代收資料是否正確 (須與代收單據逐一核對)
與門市確認帳務做到11/20，與通訊嘉芳確認缺少tm1、2電子存根聯
</t>
  </si>
  <si>
    <t>2025-11-21 09:43:41</t>
  </si>
  <si>
    <t>2025-11-21 12:30:00</t>
  </si>
  <si>
    <t>2025-11-21 15:43:00</t>
  </si>
  <si>
    <t xml:space="preserve">更換s7主機以及兩個硬碟不備份還原
並告知更換硬碟蔡小姐注意事項
換上8114005025
換下8114003848
SC = 20250805
SC_Slave = 20250805
</t>
  </si>
  <si>
    <t>E4154114112201</t>
  </si>
  <si>
    <t>2025-11-22 08:17:03</t>
  </si>
  <si>
    <t>門市反應SC螢幕(LCD)很暗且會不定時閃爍，門市已有重新拔插後方線路仍異常....須請台芝到店協助(螢幕有畫面但一直閃爍而且非常暗(設定亮度100))</t>
  </si>
  <si>
    <t>2025-11-22 08:59:43</t>
  </si>
  <si>
    <t>2025-11-24 09:30:00</t>
  </si>
  <si>
    <t>2025-11-25 13:00:00</t>
  </si>
  <si>
    <t>更換螢幕
換上8133003738
換下8133002307</t>
  </si>
  <si>
    <t>ED072114112401</t>
  </si>
  <si>
    <t>板橋僑福店</t>
  </si>
  <si>
    <t>2025-11-24 07:26:49</t>
  </si>
  <si>
    <t>門市反應TM1-CCD掃描器(HC76-TR)電源線斷裂，導致無紅光無電源反應..請台芝到店協助(條碼掃描器線斷)</t>
  </si>
  <si>
    <t>THILF0D072</t>
  </si>
  <si>
    <t>2025-11-24 08:59:22</t>
  </si>
  <si>
    <t>2025-11-25 11:00:00</t>
  </si>
  <si>
    <t>2025-11-25 12:59:00</t>
  </si>
  <si>
    <t>更換76掃槍
換上：8119013256
換下：8119011171</t>
  </si>
  <si>
    <t>15291114112401</t>
  </si>
  <si>
    <t>2025-11-24 10:36:03</t>
  </si>
  <si>
    <t xml:space="preserve">2025/11/24 (週一) 上午 10:32 總公司玫君MAIL:有關5291新莊國家置-交易後無法產生電子發票可能是資料庫損毀，請協助緊急派工，到店更換更換SC第一顆硬碟，資料不要備份，謝謝。 PS.若因更換HD.請跟店長宣達:1.請門市先回報代收會計 2.請確認SC的代收資料是否正確 (須與代收單據逐一核對) 與門市確認帳做到11/21，報表已印出，與通訊嘉芳確認有收到銷售
</t>
  </si>
  <si>
    <t>2025-11-24 10:40:25</t>
  </si>
  <si>
    <t>2025-11-24 11:30:00</t>
  </si>
  <si>
    <t>2025-11-24 16:40:00</t>
  </si>
  <si>
    <t>更換sc7s主機以及兩顆硬碟不備份還原
並告知吳小姐更換硬碟注意事項
換上8114005026
換下8114004377</t>
  </si>
  <si>
    <t>三重仁化店</t>
  </si>
  <si>
    <t>THILF02759</t>
  </si>
  <si>
    <t>2025-11-24 11:42:01</t>
  </si>
  <si>
    <t>2025-11-24 11:20:00</t>
  </si>
  <si>
    <t>三重龍濱店</t>
  </si>
  <si>
    <t>THILF04029</t>
  </si>
  <si>
    <t>2025-11-24 12:16:31</t>
  </si>
  <si>
    <t>2025-11-24 11:50:00</t>
  </si>
  <si>
    <t>2025-11-24 15:24:54</t>
  </si>
  <si>
    <t>2025-11-24 14:30:00</t>
  </si>
  <si>
    <t>2025-11-24 15:26:07</t>
  </si>
  <si>
    <t>蘆洲水湳店</t>
  </si>
  <si>
    <t>THILF05082</t>
  </si>
  <si>
    <t>2025-11-25 11:20:43</t>
  </si>
  <si>
    <t>2025-11-25 10:50:00</t>
  </si>
  <si>
    <t>2025-11-25 11:47:46</t>
  </si>
  <si>
    <t>2025-11-25 11:30:00</t>
  </si>
  <si>
    <t>2025-11-25 11:58:18</t>
  </si>
  <si>
    <t>2025-11-25 11:20:00</t>
  </si>
  <si>
    <t>蘆洲鷺江店</t>
  </si>
  <si>
    <t>THILF02890</t>
  </si>
  <si>
    <t>2025-11-25 12:23:08</t>
  </si>
  <si>
    <t>2025-11-25 11:50:00</t>
  </si>
  <si>
    <t>1D161114112501</t>
  </si>
  <si>
    <t>2025-11-25 12:27:35</t>
  </si>
  <si>
    <t>HL99</t>
  </si>
  <si>
    <t>HL-測試會勘</t>
  </si>
  <si>
    <t>韌體更新</t>
  </si>
  <si>
    <t>台芝進線告知有接獲總公司通知需至門市進行TM1發票機韌體更新，需客服協助派工</t>
  </si>
  <si>
    <t>2025-11-25 12:28:10</t>
  </si>
  <si>
    <t>2025-11-25 12:00:00</t>
  </si>
  <si>
    <t>2025-11-26 16:28:00</t>
  </si>
  <si>
    <t>TM1,2發票機韌體更新完成</t>
  </si>
  <si>
    <t>1D161114112502</t>
  </si>
  <si>
    <t>2025-11-25 12:28:22</t>
  </si>
  <si>
    <t>台芝進線告知有接獲總公司通知需至門市進行TM2發票機韌體更新，需客服協助派工</t>
  </si>
  <si>
    <t>2025-11-25 12:28:47</t>
  </si>
  <si>
    <t>發票機TM1,2韌體更新完成</t>
  </si>
  <si>
    <t>車麗屋蘆洲店</t>
  </si>
  <si>
    <t>THILF0L517</t>
  </si>
  <si>
    <t>2025-11-25 12:32:49</t>
  </si>
  <si>
    <t>2025-11-25 12:15:00</t>
  </si>
  <si>
    <t>2025-11-25 12:34:05</t>
  </si>
  <si>
    <t>2025-11-25 12:49:45</t>
  </si>
  <si>
    <t>2025-11-25 12:30:00</t>
  </si>
  <si>
    <t>五股更寮店</t>
  </si>
  <si>
    <t>THILF05003</t>
  </si>
  <si>
    <t>2025-11-25 13:01:30</t>
  </si>
  <si>
    <t>2025-11-25 12:50:00</t>
  </si>
  <si>
    <t>13601114112501</t>
  </si>
  <si>
    <t>2025-11-25 14:03:40</t>
  </si>
  <si>
    <t>2025-11-25 14:04:22</t>
  </si>
  <si>
    <t>2025-11-25 13:30:00</t>
  </si>
  <si>
    <t>2025-11-26 18:04:00</t>
  </si>
  <si>
    <t>13601114112502</t>
  </si>
  <si>
    <t>2025-11-25 14:04:29</t>
  </si>
  <si>
    <t>2025-11-25 14:04:51</t>
  </si>
  <si>
    <t>2025-11-25 15:22:42</t>
  </si>
  <si>
    <t>2025-11-25 14:30:00</t>
  </si>
  <si>
    <t>13227114112501</t>
  </si>
  <si>
    <t>2025-11-25 15:20:04</t>
  </si>
  <si>
    <t xml:space="preserve">SC(SHUTTLE6S)2025/11/25 (週二) 下午 03:19 總公司明翰來信:經通訊部同仁檢查，3227 五股四維店的第一顆硬碟從11/21開始發生問題，影響了資料庫的運作，請協助一般派工，到店更換門市SC第一顆硬碟，資料不備份，謝謝。...請台芝到店協助 PS.若因更換HD.請跟店長宣達:1.請門市先回報代收會計 2.請確認SC的代收資料是否正確 (須與代收單據逐一核對) 與門市確認帳務做到11/25，與通訊功評確認有收到11/25的銷售，缺少TM1.2電子存根聯，客服已協助TM1.2銷售上傳，與通訊功評告知仍缺少TM1.2電子存根聯，
</t>
  </si>
  <si>
    <t>2025-11-25 15:32:24</t>
  </si>
  <si>
    <t>2025-11-26 10:45:00</t>
  </si>
  <si>
    <t>2025-11-26 19:32:00</t>
  </si>
  <si>
    <t>更換第一顆硬碟不備份還原
並告知羅小姐更換硬碟注意事項</t>
  </si>
  <si>
    <t>2025-11-25 17:45:51</t>
  </si>
  <si>
    <t>2025-11-25 14:50:00</t>
  </si>
  <si>
    <t>裝潢撤機</t>
  </si>
  <si>
    <t>1D174114112601</t>
  </si>
  <si>
    <t>2025-11-26 11:57:49</t>
  </si>
  <si>
    <t>TM1CCD掃瞄器(HC56II-TR、HC76-TR)刷讀發財卡、代收非常不好刷，已有執行校正後仍異常，請台芝到店協助</t>
  </si>
  <si>
    <t>2025-11-26 12:00:32</t>
  </si>
  <si>
    <t>2025-11-26 14:30:00</t>
  </si>
  <si>
    <t>2025-11-27 16:00:00</t>
  </si>
  <si>
    <t>更換手持
換上8119012225
換下8119008414</t>
  </si>
  <si>
    <t>E4155114112601</t>
  </si>
  <si>
    <t>2025-11-26 12:10:48</t>
  </si>
  <si>
    <t>門市反應tm1收銀機(TCX800)(抽屜顏色:白色、鑰匙孔位子(中間)、鎖頭編號:無)抽屜無法開啟，點選開抽屜也無反應，已有將發票機關機紙捲重裝點點餐紙為正常但開抽屜仍異常...請台芝到店協助(機1收銀機抽屜無法打開)</t>
  </si>
  <si>
    <t>2025-11-26 12:16:44</t>
  </si>
  <si>
    <t>2025-11-27 09:30:00</t>
  </si>
  <si>
    <t>2025-11-27 16:16:00</t>
  </si>
  <si>
    <t>錢櫃線有拉扯所導致接觸不良，重接後測試正常請店家觀察</t>
  </si>
  <si>
    <t>金山銀山店</t>
  </si>
  <si>
    <t>新北市金山區</t>
  </si>
  <si>
    <t>THILF04906</t>
  </si>
  <si>
    <t>2025-11-26 14:57:32</t>
  </si>
  <si>
    <t>北縣金陽店</t>
  </si>
  <si>
    <t>THILF02267</t>
  </si>
  <si>
    <t>2025-11-26 15:18:27</t>
  </si>
  <si>
    <t>2025-11-26 14:55:00</t>
  </si>
  <si>
    <t>石門海角店</t>
  </si>
  <si>
    <t>新北市石門區</t>
  </si>
  <si>
    <t>THILF04845</t>
  </si>
  <si>
    <t>2025-11-26 16:08:13</t>
  </si>
  <si>
    <t>2025-11-26 15:45:00</t>
  </si>
  <si>
    <t>2025-11-27 10:29:16</t>
  </si>
  <si>
    <t>2025-11-27 10:12:00</t>
  </si>
  <si>
    <t>新莊祐信店</t>
  </si>
  <si>
    <t>THILF04025</t>
  </si>
  <si>
    <t>2025-11-27 14:35:22</t>
  </si>
  <si>
    <t>2025-11-27 14:00:00</t>
  </si>
  <si>
    <t>2025-11-27 15:27:30</t>
  </si>
  <si>
    <t>2025-11-27 15:00:00</t>
  </si>
  <si>
    <t>淡水台電宿舍</t>
  </si>
  <si>
    <t>THILF02897</t>
  </si>
  <si>
    <t>2025-11-27 15:45:02</t>
  </si>
  <si>
    <t>2025-11-27 15:25:00</t>
  </si>
  <si>
    <t>1D070114112801</t>
  </si>
  <si>
    <t>2025-11-28 09:28:17</t>
  </si>
  <si>
    <t>TM1收銀抽屜(外觀顏色：米色， 鎖頭置中，無編號)點選開抽屜無反應，已有確認發票機正常，目前門市沒有鑰匙，請台芝到店協助</t>
  </si>
  <si>
    <t>2025-11-28 09:30:38</t>
  </si>
  <si>
    <t>2025-11-28 09:45:00</t>
  </si>
  <si>
    <t>錢櫃線鬆脫接上後加強固定，目前使用正常</t>
  </si>
  <si>
    <t>2025-11-28 11:18:27</t>
  </si>
  <si>
    <t>2025-11-28 10:35:00</t>
  </si>
  <si>
    <t>2025-11-28 15:28:34</t>
  </si>
  <si>
    <t>2025-11-28 14:30:00</t>
  </si>
  <si>
    <t>閉店撤機完成</t>
  </si>
  <si>
    <t>2025-11-28 15:31:07</t>
  </si>
  <si>
    <t>12399115010101</t>
  </si>
  <si>
    <t>2026-01-01 13:13:45</t>
  </si>
  <si>
    <t xml:space="preserve">門市反應sc雷射印表機(M6600NW)列印無反應，燈號、面板畫面皆正常，已有重新拔插線路仍異常....請台芝到店協助	</t>
  </si>
  <si>
    <t>2026-01-01 13:14:38</t>
  </si>
  <si>
    <t>2026-01-02 10:00:00</t>
  </si>
  <si>
    <t>重新連線 刪除工作</t>
  </si>
  <si>
    <t>14852115010101</t>
  </si>
  <si>
    <t>蘆竹福祿店</t>
  </si>
  <si>
    <t>桃園市蘆竹區</t>
  </si>
  <si>
    <t>2026-01-01 15:58:34</t>
  </si>
  <si>
    <t>門市反應	MMK 四代機黑畫面，已有重新拔插線路、按壓電源鍵、仍異常，PING60不通...請台芝到店協助</t>
  </si>
  <si>
    <t>THILF04852</t>
  </si>
  <si>
    <t>2026-01-01 15:59:33</t>
  </si>
  <si>
    <t>2026-01-02 14:50:00</t>
  </si>
  <si>
    <t>重新啟動後測試電源皆為正常</t>
  </si>
  <si>
    <t>2026-01-02 10:42:45</t>
  </si>
  <si>
    <t>2026-01-02 09:40:00</t>
  </si>
  <si>
    <t>PMQ1+7210002767</t>
  </si>
  <si>
    <t>13913115010202</t>
  </si>
  <si>
    <t>中和和玉店</t>
  </si>
  <si>
    <t>新北市中和區</t>
  </si>
  <si>
    <t>2026-01-02 10:59:24</t>
  </si>
  <si>
    <t>(TM1熱感發票機)2026/1/2 (週五) 上午 10:58 總公司明翰mail:請協助一般派工，到店更換2台BSC10II發票機，更換的發票機韌體為251118a的版本..請台芝到協助</t>
  </si>
  <si>
    <t>THILF03913</t>
  </si>
  <si>
    <t>2026-01-02 11:01:27</t>
  </si>
  <si>
    <t>2026-01-02 15:00:00</t>
  </si>
  <si>
    <t>2026-01-05 15:01:00</t>
  </si>
  <si>
    <t>更新發票機韌體為251118a的版本</t>
  </si>
  <si>
    <t>13913115010203</t>
  </si>
  <si>
    <t>2026-01-02 10:59:29</t>
  </si>
  <si>
    <t>(TM2熱感發票機)2026/1/2 (週五) 上午 10:58 總公司明翰mail:請協助一般派工，到店更換2台BSC10II發票機，更換的發票機韌體為251118a的版本..請台芝到協助</t>
  </si>
  <si>
    <t>2026-01-02 11:01:46</t>
  </si>
  <si>
    <t>2026-01-02 15:20:00</t>
  </si>
  <si>
    <t>2026-01-02 11:04:42</t>
  </si>
  <si>
    <t>2026-01-02 10:30:00</t>
  </si>
  <si>
    <t>PMQ1+7210002832+L90</t>
  </si>
  <si>
    <t>14788115010201</t>
  </si>
  <si>
    <t>2026-01-02 11:09:22</t>
  </si>
  <si>
    <t>(TM1BSC10II熱感發票機)2026/1/2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</si>
  <si>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11:10:51</t>
  </si>
  <si>
    <t>2026-01-02 11:45:00</t>
  </si>
  <si>
    <t>2026-01-05 15:10:00</t>
  </si>
  <si>
    <t>更新發票機韌體</t>
  </si>
  <si>
    <t>14788115010202</t>
  </si>
  <si>
    <t>2026-01-02 11:11:27</t>
  </si>
  <si>
    <t>(TM2BSC10II熱感發票機)2026/1/2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</si>
  <si>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11:12:14</t>
  </si>
  <si>
    <t>2026-01-05 15:12:00</t>
  </si>
  <si>
    <t>2026-01-02 11:33:22</t>
  </si>
  <si>
    <t>2026-01-02 11:00:00</t>
  </si>
  <si>
    <t>PMQ1+7210002833+L90</t>
  </si>
  <si>
    <t>2026-01-02 11:36:36</t>
  </si>
  <si>
    <t>跨年借機撤機完成</t>
  </si>
  <si>
    <t>2026-01-02 12:30:11</t>
  </si>
  <si>
    <t>2026-01-02 12:00:00</t>
  </si>
  <si>
    <t>PMQ1+7210003045</t>
  </si>
  <si>
    <t>2026-01-02 15:45:06</t>
  </si>
  <si>
    <t>2026-01-02 15:10:00</t>
  </si>
  <si>
    <t>PMQ1+7210002742</t>
  </si>
  <si>
    <t>2026-01-02 15:47:17</t>
  </si>
  <si>
    <t>2026-01-02 14:40:00</t>
  </si>
  <si>
    <t>PMQ1+7210002969</t>
  </si>
  <si>
    <t>2026-01-02 15:51:55</t>
  </si>
  <si>
    <t>2026-01-02 14:55:00</t>
  </si>
  <si>
    <t>E3785115010201</t>
  </si>
  <si>
    <t>2026-01-02 22:58:16</t>
  </si>
  <si>
    <t>門市反應mmk熱感機(t70ii)無法出紙無反應，門市查看設備燈號正常且紙捲有紙，重裝紙捲重開機仍異常....須請台芝到店協助(無法送紙)</t>
  </si>
  <si>
    <t>2026-01-03 09:27:02</t>
  </si>
  <si>
    <t>2026-01-06 09:00:00</t>
  </si>
  <si>
    <t>2026-01-06 13:00:00</t>
  </si>
  <si>
    <t>更換T70
換上8138002752
換下8138001841</t>
  </si>
  <si>
    <t>14029115010301</t>
  </si>
  <si>
    <t>2026-01-03 11:01:53</t>
  </si>
  <si>
    <t>門市反應SC螢幕(LCD20)使用到一半黑畫面，PING1通VNC畫面正常，請門市重新拔插後方線路仍異常..請台芝到店協助</t>
  </si>
  <si>
    <t>2026-01-03 11:03:18</t>
  </si>
  <si>
    <t>2026-01-03 13:55:00</t>
  </si>
  <si>
    <t>取消報修.轉爲緊急報修</t>
  </si>
  <si>
    <t>14029115010302</t>
  </si>
  <si>
    <t>2026-01-03 12:45:03</t>
  </si>
  <si>
    <t>01/03 12:44 總公司玫君來電告知啟動緊急叫修:門市反應SC螢幕(LCD20)使用到一半黑畫面，PING1通VNC畫面正常，請門市重新拔插後方線路仍異常..請台芝到店協助</t>
  </si>
  <si>
    <t>2026-01-03 12:46:52</t>
  </si>
  <si>
    <t>2026-01-03 15:30:00</t>
  </si>
  <si>
    <t>2026-01-03 18:46:00</t>
  </si>
  <si>
    <t>更換螢幕
換下8133003295
換上8133003258</t>
  </si>
  <si>
    <t>13890115010301</t>
  </si>
  <si>
    <t>2026-01-03 15:28:36</t>
  </si>
  <si>
    <t>門市反應TM1多卡機(QP3000E)無電源反應，因找不到後方插頭無法協助重新拔插..請台芝到店協助 PS.非24H營業門市，周一店休，周二至周五0600-1500，周六周日0600-1700</t>
  </si>
  <si>
    <t>2026-01-03 16:01:17</t>
  </si>
  <si>
    <t>電源線被老鼠咬壞更換電源線</t>
  </si>
  <si>
    <t>E3741115010301</t>
  </si>
  <si>
    <t>2026-01-03 20:57:40</t>
  </si>
  <si>
    <t>HLL7</t>
  </si>
  <si>
    <t>HL-咖啡價目電子看板</t>
  </si>
  <si>
    <t>L702</t>
  </si>
  <si>
    <t>AOC無電源反應(黑屏無畫面)</t>
  </si>
  <si>
    <t>門市反應咖啡價目電子看板下半部的螢幕會閃爍，門市已有重啟數據機、店長桌前開關仍異常，查看內外部連線皆正常....須請協助(電子看版畫面下方閃爍)</t>
  </si>
  <si>
    <t>2026-01-04 08:56:37</t>
  </si>
  <si>
    <t>2026-01-05 10:40:00</t>
  </si>
  <si>
    <t>廠商待料中，預計1/6-18:00完工</t>
  </si>
  <si>
    <t>E5197115010401</t>
  </si>
  <si>
    <t>2026-01-04 15:15:52</t>
  </si>
  <si>
    <t>門市反應L90無反應無法正常出紙有時候只會印出一半，門市已有重裝紙捲重開機仍異常....須請台芝到店協助(LIFE-ET票卷機無反應無法完整出票)</t>
  </si>
  <si>
    <t>2026-01-04 15:21:51</t>
  </si>
  <si>
    <t>2026-01-06 11:00:00</t>
  </si>
  <si>
    <t>調整定位齒輪 重裝韌體</t>
  </si>
  <si>
    <t>E4679115010402</t>
  </si>
  <si>
    <t>2026-01-04 16:21:17</t>
  </si>
  <si>
    <t>01/04性質轉換:門市告知TM2 CCD掃描器(HC56II TR)連接線斷裂，目前有亮燈有逼聲，要求協助更換...需請台芝到店協助(連接線損壞)</t>
  </si>
  <si>
    <t>2026-01-04 16:28:33</t>
  </si>
  <si>
    <t>2026-01-06 10:10:00</t>
  </si>
  <si>
    <t>性質轉換 更換手持
換上8119006640
換下8119010581</t>
  </si>
  <si>
    <t>E4679115010401</t>
  </si>
  <si>
    <t>2026-01-04 16:15:14</t>
  </si>
  <si>
    <t>01/04性質轉換:門市告知MMK四代機上方的廣告看板少2顆螺絲...需請台芝到店協助(文宣螺絲沒有)</t>
  </si>
  <si>
    <t>2026-01-04 16:33:07</t>
  </si>
  <si>
    <t>2026-01-06 10:00:00</t>
  </si>
  <si>
    <t>性質轉換
補上MMK廣告看板螺帽兩個</t>
  </si>
  <si>
    <t>13941115010501</t>
  </si>
  <si>
    <t>永和興工店</t>
  </si>
  <si>
    <t>新北市永和區</t>
  </si>
  <si>
    <t>2026-01-05 08:03:12</t>
  </si>
  <si>
    <t>SC(SHUTTLE6S)-門市原反應複合機常常無法列印，需客服更改使用者ID才可列印，2026/1/2 (週五) 上午 08:04 總公司文豪MAIL:3941 永和興工店SC機密列印檢查正常，如再次無法列印，請更換第一顆HD。門市於1/4再次發生無法列印異狀，客服協助將機密列印使用者ID再次設定SC1後，門市已可在複合機看到文件，並正常列印，2026/1/4 (週日) 下午 02:34 總公司文豪MAIL請協助更換SC第一顆HD備份還原...須請台芝到店協助 PS.若因更換HD.請跟店長宣達:1.請門市先回報代收會計 2.請確認SC的代收資料是否正確 (須與代收單據逐一核對) 與門市確認帳關到1/4，與通訊確認嘉芳確認只有收到關帳時間，後續再與門市確認因六日暫歇，故1/3及1/4沒有交易空白為正常</t>
  </si>
  <si>
    <t>THILF03941</t>
  </si>
  <si>
    <t>2026-01-05 08:28:35</t>
  </si>
  <si>
    <t>2026-01-06 10:30:00</t>
  </si>
  <si>
    <t>2026-01-06 12:28:00</t>
  </si>
  <si>
    <t>SC更換第一顆HD.備份還原
SC = 20250805
HiPOS  最新版本=S1216.51.0   ARC.DEF = ARC4.c30u 
已跟店長告知回報代收會計  已請0800確認版本</t>
  </si>
  <si>
    <t>E3017115010501</t>
  </si>
  <si>
    <t>龜山大同店</t>
  </si>
  <si>
    <t>桃園市龜山區</t>
  </si>
  <si>
    <t>2026-01-05 03:20:40</t>
  </si>
  <si>
    <t>門市反應sc(SHUTTLE7S)半夜的時候畫面跳到黑底英文字，門市自行查詢訊息寫風扇有損壞，按F1都可正常使用，經通訊健誌副理查看:請工程師到店攜帶主機，並重新開機測試觀察訊息，需要更換SC主機。....須請台芝到店協助 PS.若因更換HD.請跟店長宣達:1.請門市先回報代收會計 2.請確認SC的代收資料是否正確 (須與代收單據逐一核對)與店長確認帳最後關到01/04，與通訊健誌副理確認都有收到(重開機的時候一直停在開機畫面，內容大致上是說偵測不到風扇，雖然按F1就可以解決，但是每天都跳出來會不會有影響？)
01/05  09:05  請門市拔插休息， 稍晚聯繫....廖</t>
  </si>
  <si>
    <t>THILF03017</t>
  </si>
  <si>
    <t>2026-01-05 09:55:05</t>
  </si>
  <si>
    <t>2026-01-06 13:55:00</t>
  </si>
  <si>
    <t>更換機殼風扇，無出現標語，可正常使用</t>
  </si>
  <si>
    <t>龜山茶專店</t>
  </si>
  <si>
    <t>THILF05162</t>
  </si>
  <si>
    <t>2026-01-05 11:54:10</t>
  </si>
  <si>
    <t>2026-01-05 10:30:00</t>
  </si>
  <si>
    <t>PMQ1+7210002717+L90</t>
  </si>
  <si>
    <t>2026-01-05 14:36:12</t>
  </si>
  <si>
    <t>2026-01-05 14:00:00</t>
  </si>
  <si>
    <t>PMQ1+7210002702+L90</t>
  </si>
  <si>
    <t>龜山兔子坑</t>
  </si>
  <si>
    <t>THILF04825</t>
  </si>
  <si>
    <t>2026-01-05 15:12:53</t>
  </si>
  <si>
    <t>2026-01-05 14:50:00</t>
  </si>
  <si>
    <t>PMQ1+7210002710+L90</t>
  </si>
  <si>
    <t>E4196115010501</t>
  </si>
  <si>
    <t>2026-01-05 14:48:53</t>
  </si>
  <si>
    <t>門市反應TM1(TCX800)螢幕很難觸控點很多下才有反應，協助嘗試執行觸控校正後，門市測試前幾分鐘操作是正常的，但不久又會開始感應遲鈍..請台芝到店協助(螢幕觸控不良.很嚴重)
2026/1/5 (週一) 下午 03:35 總公司明翰來信:請協助派工到店檢修，謝謝。
01/05 15:15  與總公司明翰協助確認中，同步MAIL總公司...廖
01/05 15:00  協助門市觸控校正，稍晚聯繫...廖</t>
  </si>
  <si>
    <t>2026-01-05 15:38:27</t>
  </si>
  <si>
    <t>2026-01-05 16:39:00</t>
  </si>
  <si>
    <t>2026-01-06 19:38:00</t>
  </si>
  <si>
    <t>取修報修</t>
  </si>
  <si>
    <t>14196115010501</t>
  </si>
  <si>
    <t>2026-01-05 15:38:36</t>
  </si>
  <si>
    <t>門市反應TM2(TCX800)螢幕很難觸控點很多下才有反應，協助嘗試執行觸控校正後，門市測試前幾分鐘操作是正常的，但不久又會開始感應遲鈍，12/26工程師更換主機..請台芝到店協助</t>
  </si>
  <si>
    <t>2026-01-05 15:39:34</t>
  </si>
  <si>
    <t>2026-01-05 16:38:00</t>
  </si>
  <si>
    <t>2026-01-06 19:39:00</t>
  </si>
  <si>
    <t>桃縣桃貿店</t>
  </si>
  <si>
    <t>THILF02375</t>
  </si>
  <si>
    <t>2026-01-05 15:42:29</t>
  </si>
  <si>
    <t>2026-01-05 15:20:00</t>
  </si>
  <si>
    <t>PMQ1+7210002698+L90</t>
  </si>
  <si>
    <t>龜山同福店</t>
  </si>
  <si>
    <t>THILF04690</t>
  </si>
  <si>
    <t>2026-01-05 16:15:51</t>
  </si>
  <si>
    <t>2026-01-05 15:50:00</t>
  </si>
  <si>
    <t>PMQ1+7210002709+L90</t>
  </si>
  <si>
    <t>2026-01-05 16:38:40</t>
  </si>
  <si>
    <t>2026-01-05 10:00:00</t>
  </si>
  <si>
    <t>撤tm3</t>
  </si>
  <si>
    <t>THILF05513</t>
  </si>
  <si>
    <t>2026-01-05 18:13:27</t>
  </si>
  <si>
    <t>2026-01-05 11:30:00</t>
  </si>
  <si>
    <t>新開門市新莊a3店.已完工已通知0800</t>
  </si>
  <si>
    <t>2026-01-05 18:13:34</t>
  </si>
  <si>
    <t>5496板橋市民廣場 tm3撤機已完工 回報0800</t>
  </si>
  <si>
    <t>2026-01-05 18:14:17</t>
  </si>
  <si>
    <t>5513新莊A3站新開門市已完工已通知0800 
商顯已安裝
商顯小烏龜已安裝
POS 使用pep安裝，離場前切換中華
Peplink已安裝</t>
  </si>
  <si>
    <t>E2209115010501</t>
  </si>
  <si>
    <t>2026-01-05 19:18:01</t>
  </si>
  <si>
    <t>門市反應TM1熱感發票機(BSC 10)無法裁切紙張，已嘗試重啟、重新安裝紙卷，並簡易清潔仍異常...需請台芝到店協助(發票紙切不斷.)</t>
  </si>
  <si>
    <t>2026-01-05 19:41:23</t>
  </si>
  <si>
    <t>2026-01-06 17:00:00</t>
  </si>
  <si>
    <t>2026-01-06 23:41:00</t>
  </si>
  <si>
    <t>換下8155003497 換上8155005375</t>
  </si>
  <si>
    <t>2026-01-06 09:37:38</t>
  </si>
  <si>
    <t>PMQ1+7210002782</t>
  </si>
  <si>
    <t>2026-01-06 09:59:33</t>
  </si>
  <si>
    <t>2026-01-06 09:30:00</t>
  </si>
  <si>
    <t>PMQ1+7210003056+L90</t>
  </si>
  <si>
    <t>2026-01-06 10:43:01</t>
  </si>
  <si>
    <t>PMQ1+7210003065+L90</t>
  </si>
  <si>
    <t>2026-01-06 11:05:54</t>
  </si>
  <si>
    <t>PMQ1+7210002752</t>
  </si>
  <si>
    <t>2026-01-06 11:25:48</t>
  </si>
  <si>
    <t>2026-01-06 11:05:00</t>
  </si>
  <si>
    <t>PMQ1+7210002747</t>
  </si>
  <si>
    <t>13883115010601</t>
  </si>
  <si>
    <t>中和和竹店</t>
  </si>
  <si>
    <t>2026-01-06 11:25:43</t>
  </si>
  <si>
    <t>門市TM3多卡機QP300E悠遊卡功能無法使用，確認多卡機畫面正常，重新TM版更並重開悠遊卡機後出現「0 COMPORT成功開啟或關閉」，使用悠遊卡餘額查詢後出現「UNKNOWn message (IPSS Retrun Code)!」.....還請台芝到店協助</t>
  </si>
  <si>
    <t>THILF03883</t>
  </si>
  <si>
    <t>2026-01-06 11:26:44</t>
  </si>
  <si>
    <t>2026-01-07 14:10:00</t>
  </si>
  <si>
    <t>2026-01-07 15:26:00</t>
  </si>
  <si>
    <t>換下8183003079.換上8183001947.更新版本</t>
  </si>
  <si>
    <t>12540115010601</t>
  </si>
  <si>
    <t>蘆竹坑子口</t>
  </si>
  <si>
    <t>2026-01-06 11:44:00</t>
  </si>
  <si>
    <t>門市TM2 CCD掃描器(HC56II-TR、HC76-TR)掃描條碼感應不良很難刷讀,已有條碼校正仍無法排除....還請台芝到店協助</t>
  </si>
  <si>
    <t>THILF02540</t>
  </si>
  <si>
    <t>2026-01-06 11:45:24</t>
  </si>
  <si>
    <t>2026-01-07 11:30:00</t>
  </si>
  <si>
    <t>2026-01-07 15:45:00</t>
  </si>
  <si>
    <t>更換掃描槍
換下8119008188
換上8119006210</t>
  </si>
  <si>
    <t>2026-01-06 11:47:51</t>
  </si>
  <si>
    <t>2026-01-06 11:30:00</t>
  </si>
  <si>
    <t>PMQ1+7210003087</t>
  </si>
  <si>
    <t>12422115010601</t>
  </si>
  <si>
    <t>2026-01-06 12:04:10</t>
  </si>
  <si>
    <t>門市反應LIFEET印票機L90無電源反應無亮燈，已有重新拔插線路、按壓電源鍵仍無法開機....請台芝到店協助</t>
  </si>
  <si>
    <t>2026-01-06 12:04:35</t>
  </si>
  <si>
    <t>2026-01-07 10:50:00</t>
  </si>
  <si>
    <t>2026-01-07 16:04:00</t>
  </si>
  <si>
    <t>報修實際為MMK機台無法開機，到場時店家表示已正常</t>
  </si>
  <si>
    <t>2026-01-06 13:26:46</t>
  </si>
  <si>
    <t>PMQ1+7210002753</t>
  </si>
  <si>
    <t>2026-01-06 13:55:58</t>
  </si>
  <si>
    <t>2026-01-06 13:30:00</t>
  </si>
  <si>
    <t>PMQ1+7210002746</t>
  </si>
  <si>
    <t>2026-01-06 14:32:23</t>
  </si>
  <si>
    <t>2026-01-06 14:10:00</t>
  </si>
  <si>
    <t>PMQ1+7210002750</t>
  </si>
  <si>
    <t>2026-01-06 15:23:27</t>
  </si>
  <si>
    <t>2026-01-06 15:00:00</t>
  </si>
  <si>
    <t>PMQ1+7210002751</t>
  </si>
  <si>
    <t>2026-01-06 15:58:36</t>
  </si>
  <si>
    <t>2026-01-06 15:30:00</t>
  </si>
  <si>
    <t>PMQ1+7210002749</t>
  </si>
  <si>
    <t>2026-01-06 16:19:38</t>
  </si>
  <si>
    <t>2026-01-06 16:00:00</t>
  </si>
  <si>
    <t>PMQ1+7210002748</t>
  </si>
  <si>
    <t>15451115010701</t>
  </si>
  <si>
    <t>2026-01-07 11:04:28</t>
  </si>
  <si>
    <t>門市為12/23新開門市，反應咖啡價目電子看板螢幕無顯示任何圖文，綠燈恆亮，已嘗試重啟數據機+店長桌總電源仍異常，以遙控器按音量測試有顯示音量大小標示，查看內部線路停留在12/23，外部線路無顯示最近API授權日期，請協助(開機又會自動關機 無法顯示)
2026/1/7 (週三) 上午 11:00 總公司娟慧MAIL:新開門市IOT已完工，請派台芝協助將網路線接上，補充說明店長找不到貼有TV的線可以接上數據機.....還請台芝協助</t>
  </si>
  <si>
    <t>2026-01-07 11:06:16</t>
  </si>
  <si>
    <t>2026-01-08 09:31:00</t>
  </si>
  <si>
    <t>2026-01-08 15:06:00</t>
  </si>
  <si>
    <t>到場確認
1.有TV並協助接上
2.數據機295Y352226、ALM燈號亮起網路異常
3.已請門市報修中華電信</t>
  </si>
  <si>
    <t>2026-01-07 11:21:22</t>
  </si>
  <si>
    <t>PMQ1+7210002843</t>
  </si>
  <si>
    <t>T-2540 影印機</t>
  </si>
  <si>
    <t>2026-01-07 12:34:16</t>
  </si>
  <si>
    <t>2026-01-07 12:10:00</t>
  </si>
  <si>
    <t>PMQ1+7210002728+L90</t>
  </si>
  <si>
    <t>2026-01-07 14:50:20</t>
  </si>
  <si>
    <t>2026-01-07 14:20:00</t>
  </si>
  <si>
    <t>PMQ1+7210002968</t>
  </si>
  <si>
    <t>1D111115010702</t>
  </si>
  <si>
    <t>板橋府中店</t>
  </si>
  <si>
    <t>2026-01-07 15:03:40</t>
  </si>
  <si>
    <t>門市反應TM1發票機（BSC10II）常常發生清帳後未印出退瓶收據，僅印出一小截空白，總公司小晶來電通知請台芝到店更新發票機韌體版本須為251118a，若tm2發票機型號為BSC10II，也請同步更新....請台芝到店協助</t>
  </si>
  <si>
    <t>THILF0D111</t>
  </si>
  <si>
    <t>2026-01-07 15:09:39</t>
  </si>
  <si>
    <t>2026-01-08 10:15:00</t>
  </si>
  <si>
    <t>2026-01-08 19:09:00</t>
  </si>
  <si>
    <t>TM1、2發票機已更新版本</t>
  </si>
  <si>
    <t>2026-01-08 10:12:04</t>
  </si>
  <si>
    <t>2026-01-08 09:30:00</t>
  </si>
  <si>
    <t>2026-01-08 10:53:38</t>
  </si>
  <si>
    <t>PMQ1+7210002865</t>
  </si>
  <si>
    <t>2026-01-08 11:55:17</t>
  </si>
  <si>
    <t>2026-01-08 11:00:00</t>
  </si>
  <si>
    <t>PMQ1+7210002870</t>
  </si>
  <si>
    <t>2026-01-08 12:54:55</t>
  </si>
  <si>
    <t>2026-01-08 12:15:00</t>
  </si>
  <si>
    <t>PMQ1+7210002871</t>
  </si>
  <si>
    <t>2026-01-08 13:33:01</t>
  </si>
  <si>
    <t>2026-01-08 13:00:00</t>
  </si>
  <si>
    <t>PMQ1+7210002874</t>
  </si>
  <si>
    <t>2026-01-08 14:00:17</t>
  </si>
  <si>
    <t>2026-01-08 13:35:00</t>
  </si>
  <si>
    <t>PMQ1+7210002878</t>
  </si>
  <si>
    <t>2026-01-08 14:27:47</t>
  </si>
  <si>
    <t>2026-01-08 14:00:00</t>
  </si>
  <si>
    <t>PMQ1+7210002879</t>
  </si>
  <si>
    <t>2026-01-08 14:47:59</t>
  </si>
  <si>
    <t>2026-01-08 14:35:00</t>
  </si>
  <si>
    <t>14196115010801</t>
  </si>
  <si>
    <t>2026-01-08 08:31:06</t>
  </si>
  <si>
    <t>門市反應TM2(TCX800)螢幕很難觸控點很多下才有反應，協助嘗試執行觸控校正後，門市測試前幾分鐘操作是正常的，但不久又會開始感應遲鈍，店長告知幾乎每一筆都不好按，有時候客人較多也不好錄影，12/26工程師更換主機..請台芝到店協助
(TM2(TCX800)螢幕很難觸控點很多下才有反應PS.1.昨天已有將門市提供錄影檔給台芝窗口2.20251226台芝有更換主機，無更換硬碟 換下8185000643 換上8185002948)</t>
  </si>
  <si>
    <t>2026-01-08 09:23:44</t>
  </si>
  <si>
    <t>2026-01-09 11:00:00</t>
  </si>
  <si>
    <t>2026-01-09 13:23:00</t>
  </si>
  <si>
    <t>換下8185002948.換上8185003706.備份還原.已請客服確認T M版本</t>
  </si>
  <si>
    <t>E4191115010801</t>
  </si>
  <si>
    <t>2026-01-08 13:20:58</t>
  </si>
  <si>
    <t>門市反應sc螢幕(LCD)不定時閃黑頻，已有重新拔插線路仍異常，ping1有通VNC畫面正常...請台芝到店協助(候場電腦會不停閃退 黑頻)</t>
  </si>
  <si>
    <t>2026-01-08 13:27:06</t>
  </si>
  <si>
    <t>2026-01-09 15:10:00</t>
  </si>
  <si>
    <t>2026-01-09 17:27:00</t>
  </si>
  <si>
    <t>更換vga線</t>
  </si>
  <si>
    <t>2026-01-08 15:14:29</t>
  </si>
  <si>
    <t>2026-01-08 15:00:00</t>
  </si>
  <si>
    <t>2026-01-08 15:53:04</t>
  </si>
  <si>
    <t>2026-01-08 15:30:00</t>
  </si>
  <si>
    <t>PMQ1+7210002877</t>
  </si>
  <si>
    <t>2026-01-08 16:17:56</t>
  </si>
  <si>
    <t>2026-01-08 18:55:09</t>
  </si>
  <si>
    <t>2026-01-09 11:43:55</t>
  </si>
  <si>
    <t>2026-01-09 09:30:00</t>
  </si>
  <si>
    <t>PMQ1+7210002884+L90</t>
  </si>
  <si>
    <t>2026-01-09 11:44:52</t>
  </si>
  <si>
    <t>PMQ1+7210002885</t>
  </si>
  <si>
    <t>14196115010902</t>
  </si>
  <si>
    <t>2026-01-09 12:43:23</t>
  </si>
  <si>
    <t>台芝來電TM1(TCX800)協助更換UPOS，請客服協助派工</t>
  </si>
  <si>
    <t>2026-01-09 12:44:33</t>
  </si>
  <si>
    <t>2026-01-09 13:00:00</t>
  </si>
  <si>
    <t>2026-01-12 16:44:00</t>
  </si>
  <si>
    <t>更換tm主機含硬碟有備份還原
換上8185003712
換下8185003689
已請客服確認T M版本
並告知王小姐更換硬碟注意事項</t>
  </si>
  <si>
    <t>2026-01-09 15:02:25</t>
  </si>
  <si>
    <t>協助開車載貨</t>
  </si>
  <si>
    <t>2026-01-09 15:11:55</t>
  </si>
  <si>
    <t>2026-01-09 14:40:00</t>
  </si>
  <si>
    <t>PMQ1+7210002795</t>
  </si>
  <si>
    <t>2026-01-09 15:53:19</t>
  </si>
  <si>
    <t>2026-01-09 15:20:00</t>
  </si>
  <si>
    <t>PMQ1+7210002793</t>
  </si>
  <si>
    <t>2026-01-09 15:54:38</t>
  </si>
  <si>
    <t>13017115010901</t>
  </si>
  <si>
    <t>2026-01-09 11:13:17</t>
  </si>
  <si>
    <t>門市反應TM2發票機（BSC10II）常常清帳未出帳條退瓶，僅印出一小截空白，客服查看發票機韌體版本非251118a，請台芝到店更新發票機韌體版本須為251118a，查看TM1發票機型號為BSC10II，韌體版本也非251118a，也請同步更新....請台芝到店協助</t>
  </si>
  <si>
    <t>2026-01-09 11:15:39</t>
  </si>
  <si>
    <t>2026-01-12 10:00:00</t>
  </si>
  <si>
    <t>2026-01-12 15:15:00</t>
  </si>
  <si>
    <t>兩台發票機進行更新完成</t>
  </si>
  <si>
    <t>THILF05574</t>
  </si>
  <si>
    <t>2026-01-09 18:27:55</t>
  </si>
  <si>
    <t>2026-01-09 14:00:00</t>
  </si>
  <si>
    <t>借機三台裝機完成</t>
  </si>
  <si>
    <t>14210115011001</t>
  </si>
  <si>
    <t>2026-01-10 09:08:43</t>
  </si>
  <si>
    <t>門市反應TM1發票機（BSC10II）常常發票僅印出一小截空白，客服查看發票機韌體版本非251118a，請台芝到店更新發票機韌體版本須為251118a，查看TM2發票機型號為BSC10II，韌體版本也非251118a，也請同步更新....請台芝到店協助</t>
  </si>
  <si>
    <t>2026-01-10 09:11:29</t>
  </si>
  <si>
    <t>2026-01-12 13:00:00</t>
  </si>
  <si>
    <t>2026-01-13 13:00:00</t>
  </si>
  <si>
    <t>更新發票機韌體版本須為251118a Tm1. Tm2</t>
  </si>
  <si>
    <t>E2375115010901</t>
  </si>
  <si>
    <t>2026-01-09 22:27:25</t>
  </si>
  <si>
    <t>性質轉換-門市告知TM2 CCD掃描器(HC56II-TR)外觀破損，目前有亮燈有嗶聲，但刷讀條碼感應不良，要求協助更換...需請台芝到店協助(掃描器破裂機2/感應不良機1機2/錢盤隔板短少機1機2)</t>
  </si>
  <si>
    <t>2026-01-10 09:11:47</t>
  </si>
  <si>
    <t>2026-01-12 14:00:00</t>
  </si>
  <si>
    <t>更換掃描槍
換下8119006293
換上8119006499</t>
  </si>
  <si>
    <t>12375115011001</t>
  </si>
  <si>
    <t>2026-01-10 09:12:01</t>
  </si>
  <si>
    <t>性質轉換-門市TM1-CCD掃描器(HC56II-TR)感應不良，有亮燈有嗶聲，但刷讀所有條碼都不好刷，需求更換...須請台芝到店協助</t>
  </si>
  <si>
    <t>2026-01-10 09:13:38</t>
  </si>
  <si>
    <t>更換掃描槍
換下8119006292
換上8119006995</t>
  </si>
  <si>
    <t>12375115011002</t>
  </si>
  <si>
    <t>2026-01-10 09:14:09</t>
  </si>
  <si>
    <t>性質轉換-門市告知TM1(TCX800)錢盤隔板短少，抽屜顏色米白/鑰匙孔位置中間/無鑰匙孔編號...需請台芝到店協助</t>
  </si>
  <si>
    <t>2026-01-10 09:17:05</t>
  </si>
  <si>
    <t>更換錢櫃
換下81Z1001539
換上81Z1003420</t>
  </si>
  <si>
    <t>12375115011003</t>
  </si>
  <si>
    <t>2026-01-10 09:17:17</t>
  </si>
  <si>
    <t>性質轉換-門市告知TM2(TCX800)錢盤隔板短少，抽屜顏色米白/鑰匙孔位置中間/無鑰匙孔編號...需請台芝到店協助</t>
  </si>
  <si>
    <t>2026-01-10 09:19:13</t>
  </si>
  <si>
    <t>更換錢櫃
換下81Z1001540
換上81Z1003699</t>
  </si>
  <si>
    <t>13770115011001</t>
  </si>
  <si>
    <t>2026-01-10 13:44:51</t>
  </si>
  <si>
    <t>門市反應TM2(TCX800)觸控不靈敏，要點很多次才有反應，已有執行校正仍異常...請台芝到店協助</t>
  </si>
  <si>
    <t>2026-01-10 13:45:41</t>
  </si>
  <si>
    <t>2026-01-12 11:00:00</t>
  </si>
  <si>
    <t>更換TM主機及客顯不含硬碟
換下8185002290
換上8185000523</t>
  </si>
  <si>
    <t>13052115011001</t>
  </si>
  <si>
    <t>新莊莊玲店</t>
  </si>
  <si>
    <t>2026-01-10 15:53:17</t>
  </si>
  <si>
    <t>螢幕聲音異常</t>
  </si>
  <si>
    <t>門市反應SC螢幕(LCD)切換監視器沒聲音，廠商到店表示為SC問題，SC有一條線鬆脫無法旋緊，門市告知因現場線路繁亂無法確定是甚麼線...需請台芝到店協助</t>
  </si>
  <si>
    <t>2026-01-10 15:56:40</t>
  </si>
  <si>
    <t>2026-01-12 09:30:00</t>
  </si>
  <si>
    <t xml:space="preserve">重插音源線 </t>
  </si>
  <si>
    <t>12201115011102</t>
  </si>
  <si>
    <t>桃縣內溪店</t>
  </si>
  <si>
    <t>2026-01-11 09:06:16</t>
  </si>
  <si>
    <t>01/11 09:08啟動緊急叫修:門市反應SC(SHUTTLE6S)無法連線，PING1不通無法VNC，門市告知SC有正常開機畫面，已重啟SC仍異常，請門市查看hub 1port有插線有亮燈，重新拔插1port、解MAC後開放2port交叉測試仍ping1不通，...需請台芝到店協助 PS.若因更換HD.請跟店長宣達:1.請門市先回報代收會計 2.請確認SC的代收資料是否正確 (須與代收單據逐一核對) 與門市確認帳務做到01/10有印出報表，與通訊小晶確認有收到銷售</t>
  </si>
  <si>
    <t>THILF02201</t>
  </si>
  <si>
    <t>2026-01-11 09:11:19</t>
  </si>
  <si>
    <t>2026-01-11 13:00:00</t>
  </si>
  <si>
    <t>2026-01-11 15:11:00</t>
  </si>
  <si>
    <t>系統損毀
更換第一顆及第二顆硬碟不備份還原完成</t>
  </si>
  <si>
    <t>2026-01-11 19:07:24</t>
  </si>
  <si>
    <t>2026-01-11 18:00:00</t>
  </si>
  <si>
    <t>2026-01-11 19:07:46</t>
  </si>
  <si>
    <t xml:space="preserve">借機三台撤店已完工 </t>
  </si>
  <si>
    <t>1D174115011201</t>
  </si>
  <si>
    <t>2026-01-12 10:23:10</t>
  </si>
  <si>
    <t xml:space="preserve">門市TM1(BSC10II)常常發生未出發票，僅印出一小截空白，查看發票機韌體版本為3.1，還請台芝到店更新發票機韌體，...還請台芝到店協助	</t>
  </si>
  <si>
    <t>2026-01-12 10:24:47</t>
  </si>
  <si>
    <t>2026-01-12 15:00:00</t>
  </si>
  <si>
    <t>2026-01-13 14:24:00</t>
  </si>
  <si>
    <t>2026-01-12 10:46:28</t>
  </si>
  <si>
    <t>PMQ1+7210003052+L90</t>
  </si>
  <si>
    <t>2026-01-12 12:11:01</t>
  </si>
  <si>
    <t>2026-01-12 11:30:00</t>
  </si>
  <si>
    <t>PMQ1+7210002831+L90</t>
  </si>
  <si>
    <t>1D649115011201</t>
  </si>
  <si>
    <t>2026-01-12 13:29:30</t>
  </si>
  <si>
    <t>門市反應Tm1發票機（BSC10II）常常清帳後帳條或交易發票都僅印出一小截空白，客服查看發票機韌體版本非251118a，請台芝到店更新發票機韌體版本須為251118a，查看TM2發票機型號為BSC10II，韌體版本也非251118a，也請同步更新....請台芝到店協助</t>
  </si>
  <si>
    <t>2026-01-12 13:30:24</t>
  </si>
  <si>
    <t>2026-01-12 14:05:00</t>
  </si>
  <si>
    <t>2026-01-13 17:30:00</t>
  </si>
  <si>
    <t>更新發票機韌體版本251118a 
Tm1. Tm2</t>
  </si>
  <si>
    <t>2026-01-12 13:54:21</t>
  </si>
  <si>
    <t>2026-01-12 13:30:00</t>
  </si>
  <si>
    <t>PMQ1+7210002796</t>
  </si>
  <si>
    <t>2026-01-12 14:48:04</t>
  </si>
  <si>
    <t>2026-01-12 14:25:00</t>
  </si>
  <si>
    <t>PMQ1+7210002825</t>
  </si>
  <si>
    <t>2026-01-12 16:02:10</t>
  </si>
  <si>
    <t>2026-01-12 15:30:00</t>
  </si>
  <si>
    <t>PMQ1+7210003072</t>
  </si>
  <si>
    <t>E4191115011201</t>
  </si>
  <si>
    <t>2026-01-12 15:31:12</t>
  </si>
  <si>
    <t>門市性質轉換,TM1 CCD掃描器(HC56II-TR)黑色膠條破損.......還請台芝到店協助(塑膠膠條脫落)</t>
  </si>
  <si>
    <t>2026-01-12 15:46:42</t>
  </si>
  <si>
    <t>2026-01-13 15:15:00</t>
  </si>
  <si>
    <t>2026-01-13 19:46:00</t>
  </si>
  <si>
    <t>換下8119007307換上8119011531</t>
  </si>
  <si>
    <t>E4155115011301</t>
  </si>
  <si>
    <t>2026-01-13 08:37:27</t>
  </si>
  <si>
    <t>1/13 09:00 啟動緊急叫修:門市反應SC(SHUTTLE6S)無法正常開機，畫面顯示黑底英文字(Reboot and Select proper boot device or insert boot media in select boot device )的畫面，已請門市將插頭拔掉休息5分鐘後再次開機測試仍異常，PING1不通無法VNC....須請台芝到店協助 PS.若因更換HD.請跟店長宣達:1.請門市先回報代收會計 2.請確認SC的代收資料是否正確 (須與代收單據逐一核對) 與門市確認帳關到1/12，與通訊圭連確認有收到銷售，無TM1.2電子存根聯(主機壞掉，螢幕全黑)</t>
  </si>
  <si>
    <t>2026-01-13 09:07:21</t>
  </si>
  <si>
    <t>2026-01-13 10:00:00</t>
  </si>
  <si>
    <t>2026-01-13 15:07:00</t>
  </si>
  <si>
    <t>更換第二顆硬碟不備份還原
並告知金小姐更換硬碟注意事項
回報0800</t>
  </si>
  <si>
    <t>2026-01-13 11:12:01</t>
  </si>
  <si>
    <t>閉店撤機已完工</t>
  </si>
  <si>
    <t>E4609115011301</t>
  </si>
  <si>
    <t>2026-01-13 12:20:56</t>
  </si>
  <si>
    <t>門市反應MMK四代機無法連線,已有重啟MMK仍無進到網路設定介面,無法連線到正常畫面.....還請台芝到店協助(無法連網路)
1/13 12:28 請門市初步排除，稍晚去電確認..吳</t>
  </si>
  <si>
    <t>2026-01-13 12:45:08</t>
  </si>
  <si>
    <t>2026-01-14 16:45:00</t>
  </si>
  <si>
    <t>重設HUB 以再生龍重裝系統</t>
  </si>
  <si>
    <t>2026-01-13 14:24:49</t>
  </si>
  <si>
    <t>2026-01-13 14:00:00</t>
  </si>
  <si>
    <t>PMQ1+7210003084</t>
  </si>
  <si>
    <t>2026-01-13 15:31:58</t>
  </si>
  <si>
    <t>2026-01-13 15:00:00</t>
  </si>
  <si>
    <t>PMQ1+7210002876</t>
  </si>
  <si>
    <t>2026-01-13 15:57:58</t>
  </si>
  <si>
    <t>2026-01-13 15:40:00</t>
  </si>
  <si>
    <t>PMQ1+7210002880</t>
  </si>
  <si>
    <t>2026-01-13 16:41:40</t>
  </si>
  <si>
    <t>2026-01-13 16:00:00</t>
  </si>
  <si>
    <t>PMQ1+7210002875</t>
  </si>
  <si>
    <t>15428115011302</t>
  </si>
  <si>
    <t>2026-01-13 13:50:33</t>
  </si>
  <si>
    <t xml:space="preserve">門市反應TM1發票機（BSC10II）常常發生發票未印出情況，客服查看發票機韌體版本非251118a，請台芝到店更新發票機韌體版本須為251118a，查看TM2發票機型號為BSC10II，韌體版本也非251118a，也請同步更新....請台芝到店協助	</t>
  </si>
  <si>
    <t>2026-01-13 13:51:11</t>
  </si>
  <si>
    <t>2026-01-13 18:30:00</t>
  </si>
  <si>
    <t>2026-01-14 17:51:00</t>
  </si>
  <si>
    <t>更新發票機韌體版本251118a.TM1 TM2</t>
  </si>
  <si>
    <t>15428115011303</t>
  </si>
  <si>
    <t>2026-01-13 14:18:43</t>
  </si>
  <si>
    <t>1/13 14:36 與總公司明翰確認啟動緊急叫修:SC(SHUTTLE7S)-門市原反應操作入帳日1/13的TM轉SC無TM1、2的資料，執行1/13銷售上傳均顯示上傳失敗，查看TM主檔也卡在1/12，經HIPOS查看因帳務卡在TM C槽UPLOAD內故銷售上傳失敗，協助門市版更TM顯示與Sc連線失敗，判斷為此原因導致清帳帳務無法上送至Sc，已手動搬1/13TM帳務檔至SC門市可正常作帳，煩請協助轉派台芝檢查相關設備及線路。經總公司功評檢視SC內無硬碟異常資訊，嘗試重新協助安裝HIPOS資料庫後仍無法作業，請派工到店更換SC第二顆硬碟不備份還原，並攜帶第一顆備用..請台芝到店協助 PS.若因更換HD.請跟店長宣達:1.請門市先回報代收會計 2.請確認SC的代收資料是否正確 (須與代收單據逐一核對) 與門市確認帳關到1/13，與通訊圭連確認有收到銷售 ※非24H營業門市，0700~2300營業</t>
  </si>
  <si>
    <t>2026-01-13 14:44:28</t>
  </si>
  <si>
    <t>2026-01-13 16:30:00</t>
  </si>
  <si>
    <t>2026-01-14 07:44:00</t>
  </si>
  <si>
    <t>更換SC第二顆硬碟不備份還原
已跟店家告知宣達請門市回報代收會計.     
SC_Slave = 20250805
HiPOS  最新版本=S1223.53.0   
ARC.DEF = 4.C30u</t>
  </si>
  <si>
    <t>E4514115011301</t>
  </si>
  <si>
    <t>2026-01-13 15:36:10</t>
  </si>
  <si>
    <t>門市反應LIFE ET熱感機(T70II)常常發生卡紙的狀況，門市都需要重裝紙捲重開機才會正常，但仍不定時會發生此狀況...需請台芝到店協助(熱感紙列印時容易卡紙)</t>
  </si>
  <si>
    <t>2026-01-13 15:42:04</t>
  </si>
  <si>
    <t>2026-01-14 13:05:00</t>
  </si>
  <si>
    <t>2026-01-14 19:42:00</t>
  </si>
  <si>
    <t>更換出單機
換下8138002695
換上8138001841</t>
  </si>
  <si>
    <t>2026-01-13 19:45:45</t>
  </si>
  <si>
    <t>2026-01-13 16:10:00</t>
  </si>
  <si>
    <t>E3358115011401</t>
  </si>
  <si>
    <t>2026-01-14 07:49:09</t>
  </si>
  <si>
    <t>門市反應tm1(TCX800)抽屜錢匣彈簧斷2個，抽屜外觀米白/鑰匙孔右邊/鑰匙孔編號711....須請台芝到店協助(鈔票夾彈簧斷裂*2)</t>
  </si>
  <si>
    <t>2026-01-14 09:05:24</t>
  </si>
  <si>
    <t>2026-01-14 11:00:00</t>
  </si>
  <si>
    <t>2026-01-15 13:05:00</t>
  </si>
  <si>
    <t>更換錢箱鈔票夾X2</t>
  </si>
  <si>
    <t>E3358115011402</t>
  </si>
  <si>
    <t>2026-01-14 08:09:17</t>
  </si>
  <si>
    <t>門市反應tm2(TCX800)螢幕觸控異常鼠標閃爍且會自己亂點，門市已有重啟仍異常無法操作觸控校正....須請台芝到店協助(機2觸控不良)</t>
  </si>
  <si>
    <t>2026-01-14 09:06:55</t>
  </si>
  <si>
    <t>2026-01-14 10:30:00</t>
  </si>
  <si>
    <t>2026-01-15 13:06:00</t>
  </si>
  <si>
    <t>客顯器端有商品壓著影響觸控 
移除商品測試正常</t>
  </si>
  <si>
    <t>14312115011401</t>
  </si>
  <si>
    <t>2026-01-14 10:00:53</t>
  </si>
  <si>
    <t>門市反應TM1(TCX800)抽屜錢匣彈簧1個鬆脫，抽屜外觀白/鑰匙孔中間/無鑰匙孔編號....須請台芝到店協助</t>
  </si>
  <si>
    <t>2026-01-14 10:02:31</t>
  </si>
  <si>
    <t>2026-01-14 10:35:00</t>
  </si>
  <si>
    <t>2026-01-15 14:02:00</t>
  </si>
  <si>
    <t>更換錢箱鐵夾.已裝回彈簧</t>
  </si>
  <si>
    <t>2026-01-14 11:06:04</t>
  </si>
  <si>
    <t>2026-01-14 10:40:00</t>
  </si>
  <si>
    <t>PMQ1+7210002799</t>
  </si>
  <si>
    <t>15457115011401</t>
  </si>
  <si>
    <t>2026-01-14 11:09:04</t>
  </si>
  <si>
    <t>門市反應TM1發票機（BSC10II）常常發生退瓶僅印出一小截空白，客服查看發票機韌體版本為3.1非251118a，請台芝到店更新發票機韌體版本須為251118a，查看TM2發票機型號為BSC10II，韌體版本為3.1也非251118a，也請同步更新....請台芝到店協助</t>
  </si>
  <si>
    <t>2026-01-14 11:11:14</t>
  </si>
  <si>
    <t>2026-01-14 18:40:00</t>
  </si>
  <si>
    <t>2026-01-15 15:11:00</t>
  </si>
  <si>
    <t>更新發票機韌體版本為251118a TM1. TM2</t>
  </si>
  <si>
    <t>2026-01-14 11:51:25</t>
  </si>
  <si>
    <t>2026-01-14 11:30:00</t>
  </si>
  <si>
    <t>PMQ1+7210003053</t>
  </si>
  <si>
    <t>E2442115011401</t>
  </si>
  <si>
    <t>2026-01-14 11:59:44</t>
  </si>
  <si>
    <t>門市反應L90停電後無電源反應未亮燈，門市已有重插後方線路仍異常....須請台芝到店協助(停電之後沒有電源顯示，插頭重新插也沒反應)</t>
  </si>
  <si>
    <t>2026-01-14 12:06:53</t>
  </si>
  <si>
    <t>2026-01-14 16:00:00</t>
  </si>
  <si>
    <t>2026-01-15 16:06:00</t>
  </si>
  <si>
    <t>變壓器無反應，更換變壓器測試正常</t>
  </si>
  <si>
    <t>2026-01-14 14:31:53</t>
  </si>
  <si>
    <t>2026-01-14 14:10:00</t>
  </si>
  <si>
    <t>PMQ1+7210002873</t>
  </si>
  <si>
    <t>E4316115011401</t>
  </si>
  <si>
    <t>2026-01-14 15:39:44</t>
  </si>
  <si>
    <t>門市反應SC螢幕(LCD)畫面閃爍頻繁，已嘗試重新拔插後方線路仍異常...需請台芝到店協助(螢幕閃縮)</t>
  </si>
  <si>
    <t>2026-01-14 15:47:19</t>
  </si>
  <si>
    <t>2026-01-15 16:00:00</t>
  </si>
  <si>
    <t>2026-01-15 19:47:00</t>
  </si>
  <si>
    <t>重插螢幕背後電源線 訊號線</t>
  </si>
  <si>
    <t>14210115011401</t>
  </si>
  <si>
    <t>2026-01-14 16:01:20</t>
  </si>
  <si>
    <t>門市反應咖啡價目電子看板未更新都顯示舊的資料,水電已到店確認網路無異常，但告知網路線未插在數據機上，已有引導門市插回指定數據機，但價目表仍為舊素材，且內外連線部皆無更新...2026/1/14 (週三) 下午 03:59 總公司娟慧MAIL:請派台芝協助，謝謝您~.....還請台芝到店協助</t>
  </si>
  <si>
    <t>2026-01-14 16:02:09</t>
  </si>
  <si>
    <t>2026-01-15 15:45:00</t>
  </si>
  <si>
    <t>2026-01-15 20:02:00</t>
  </si>
  <si>
    <t>到店檢測結果
1.電視接前場TV線 、商顯數據機接後場TV線
= 網路無訊號
2. 筆電接前場TV線 、商顯數據機接後場TV線
= 網路無訊號
3. 電視接前場刷卡機A線 、商顯數據機接後場刷卡機A線
= 網路無訊號
4. 筆電接前場TV線、SC-HUB接後場TV線
= 無法PING通HUB</t>
  </si>
  <si>
    <t>2026-01-14 19:24:21</t>
  </si>
  <si>
    <t>2026-01-14 18:55:00</t>
  </si>
  <si>
    <t>THILF05491</t>
  </si>
  <si>
    <t>2026-01-15 15:35:53</t>
  </si>
  <si>
    <t>2026-01-15 11:00:00</t>
  </si>
  <si>
    <t xml:space="preserve">協助新開門市 </t>
  </si>
  <si>
    <t>2026-01-15 16:49:33</t>
  </si>
  <si>
    <t>新開門市完工 已回報0800確認版本</t>
  </si>
  <si>
    <t>12303115011501</t>
  </si>
  <si>
    <t>2026-01-15 17:37:36</t>
  </si>
  <si>
    <t xml:space="preserve">門市反應tm1收銀機(TCX800)(抽屜顏色:白色、鑰匙孔位子(中間)、鎖頭編號:無)抽屜無法開啟，點選開抽屜也無反應以及無彈開聲音，已有將發票機關機紙捲重裝仍異常...請台芝到店協助	</t>
  </si>
  <si>
    <t>2026-01-15 17:39:32</t>
  </si>
  <si>
    <t>2026-01-16 15:25:00</t>
  </si>
  <si>
    <t>2026-01-16 21:39:00</t>
  </si>
  <si>
    <t>線路鬆脫.插回正常</t>
  </si>
  <si>
    <t>E4153115011601</t>
  </si>
  <si>
    <t>2026-01-16 07:40:26</t>
  </si>
  <si>
    <t>門市反應tm1(TCX800)抽屜彈出時都會卡住有彈出聲彈出一點點，抽屜外觀米白/鑰匙孔右邊/鑰匙孔編號k01.....須請台芝到店協助(機依 抽屜卡卡)</t>
  </si>
  <si>
    <t>2026-01-16 09:11:21</t>
  </si>
  <si>
    <t>2026-01-16 14:30:00</t>
  </si>
  <si>
    <t>2026-01-19 13:11:00</t>
  </si>
  <si>
    <t>調整磁簧 清潔上油</t>
  </si>
  <si>
    <t>15428115011601</t>
  </si>
  <si>
    <t>2026-01-16 09:17:28</t>
  </si>
  <si>
    <t xml:space="preserve">2026/1/16 (週五) 上午 08:55 總公司明翰mail 通知:sc(SHUTTLE7S)有關5428三重野球魂門市，請安排到店更換主機。請協助緊急叫修，到店更換SC主機及第一、二顆硬碟，資料不備份，謝謝。...須請台芝到店協助
PS.若因更換HD.請跟店長宣達:1.請門市先回報代收會計 2.請確認SC的代收資料是否正確 (須與代收單據逐一核對)
與門市確認帳做到01/15，與嘉芳確認都有收到
</t>
  </si>
  <si>
    <t>2026-01-16 09:27:25</t>
  </si>
  <si>
    <t>2026-01-16 13:00:00</t>
  </si>
  <si>
    <t>2026-01-16 15:27:00</t>
  </si>
  <si>
    <t xml:space="preserve">更換sc主機及第一 二 顆硬碟不備份還原
換下8114004716換上8114004793
SC = 20250805
SC_Slave = 20250805
HiPOS  最新版本=S109.61.0   ARC.DEF = ARC4.c30u
已跟店家宣達請門市先回報代收會計 </t>
  </si>
  <si>
    <t>2026-01-16 11:36:41</t>
  </si>
  <si>
    <t>2026-01-16 10:00:00</t>
  </si>
  <si>
    <t>閉店撤機</t>
  </si>
  <si>
    <t>2026-01-16 13:36:57</t>
  </si>
  <si>
    <t>2026-01-16 15:57:04</t>
  </si>
  <si>
    <t>2026-01-16 15:35:00</t>
  </si>
  <si>
    <t>PMQ1+7210002764</t>
  </si>
  <si>
    <t>1D649115011601</t>
  </si>
  <si>
    <t>2026-01-16 16:05:25</t>
  </si>
  <si>
    <t>不能連線</t>
  </si>
  <si>
    <t xml:space="preserve">HUB(DES121028)門市網管主線不通，01/16 16:02遠傳邱先生來電告知中華到店查看設備無異常，客服與門市聯繫，需請門市查看後場相關網路設備，但表示繁忙無法協助，故改派台芝到店協助檢查相關網路設備...需請台芝協助需請台芝協助	</t>
  </si>
  <si>
    <t>2026-01-16 16:09:07</t>
  </si>
  <si>
    <t>2026-01-19 16:00:00</t>
  </si>
  <si>
    <t>2026-01-19 20:09:00</t>
  </si>
  <si>
    <t>Pep插錯孔. 中華電信接到pep沒插在wan上差在四線上. 已回報0800</t>
  </si>
  <si>
    <t>E4153115011701</t>
  </si>
  <si>
    <t>2026-01-17 11:11:45</t>
  </si>
  <si>
    <t>門市反應tm1(TCX800)抽屜彈出時都會卡住有彈出聲彈出一點仍需手動拉出，抽屜外觀米白/鑰匙孔右邊/鑰匙孔編號k01，01/16 台芝到店調整磁簧 清潔上油.....須請台芝到店協助(還是很卡)</t>
  </si>
  <si>
    <t>2026-01-17 11:27:47</t>
  </si>
  <si>
    <t>2026-01-19 12:01:00</t>
  </si>
  <si>
    <t>2026-01-20 13:00:00</t>
  </si>
  <si>
    <t>更換錢櫃
換下81Z1001137
換上81Z1003538</t>
  </si>
  <si>
    <t>15074115011801</t>
  </si>
  <si>
    <t>2026-01-18 14:53:30</t>
  </si>
  <si>
    <t>門市反應tm1 cc掃描器(HC56II-TR、HC76-TR)無電源反應無亮燈，門市告知查看線路無鬆脫、已有重啟tm....請台芝到店協助</t>
  </si>
  <si>
    <t>2026-01-18 14:54:34</t>
  </si>
  <si>
    <t>2026-01-19 10:00:00</t>
  </si>
  <si>
    <t>POS重新開機有通電，先更換掃槍測試觀察
更換掃描槍
換下8119013215
換上8119010855</t>
  </si>
  <si>
    <t>中和和大店</t>
  </si>
  <si>
    <t>THILF02911</t>
  </si>
  <si>
    <t>2026-01-19 09:35:09</t>
  </si>
  <si>
    <t>2026-01-19 09:20:00</t>
  </si>
  <si>
    <t>PMQ1+7210002965</t>
  </si>
  <si>
    <t>中和景德店</t>
  </si>
  <si>
    <t>THILF04536</t>
  </si>
  <si>
    <t>2026-01-19 10:14:33</t>
  </si>
  <si>
    <t>2026-01-19 09:45:00</t>
  </si>
  <si>
    <t>PMQ1+7210002972</t>
  </si>
  <si>
    <t>中和浪漫店</t>
  </si>
  <si>
    <t>THILF04573</t>
  </si>
  <si>
    <t>2026-01-19 10:55:32</t>
  </si>
  <si>
    <t>2026-01-19 10:15:00</t>
  </si>
  <si>
    <t>PMQ1+7210002973</t>
  </si>
  <si>
    <t>12303115011901</t>
  </si>
  <si>
    <t>2026-01-19 11:04:54</t>
  </si>
  <si>
    <t>門市反應tm1收銀機(TCX800)(抽屜顏色:白色、鑰匙孔位子(中間)、鎖頭編號:無)抽屜無法開啟，點選開抽屜也無反應以及無彈開聲音，已有將發票機關機紙捲重裝仍異常，台芝於2026-01-16 15:35:00.000線路鬆脫.插回正常，店長進電告知上次工程師有膠帶黏著線路但常常動到又會發生無反應的狀況，因頻繁發生已造成困擾...請台芝到店協助</t>
  </si>
  <si>
    <t>2026-01-19 11:08:42</t>
  </si>
  <si>
    <t>2026-01-19 15:00:00</t>
  </si>
  <si>
    <t>2026-01-20 15:08:00</t>
  </si>
  <si>
    <t>換下81Z1000819. 換上81Z1003419</t>
  </si>
  <si>
    <t>中和南勢店</t>
  </si>
  <si>
    <t>THILF0C216</t>
  </si>
  <si>
    <t>2026-01-19 11:13:23</t>
  </si>
  <si>
    <t>2026-01-19 10:49:00</t>
  </si>
  <si>
    <t>PMQ1+7210002980</t>
  </si>
  <si>
    <t>中和壽南店</t>
  </si>
  <si>
    <t>THILF05401</t>
  </si>
  <si>
    <t>2026-01-19 11:45:33</t>
  </si>
  <si>
    <t>2026-01-19 11:23:00</t>
  </si>
  <si>
    <t>PMQ1+7210002977+L90</t>
  </si>
  <si>
    <t>中和嘉德店</t>
  </si>
  <si>
    <t>THILF04770</t>
  </si>
  <si>
    <t>2026-01-19 12:22:38</t>
  </si>
  <si>
    <t>2026-01-19 11:58:00</t>
  </si>
  <si>
    <t>2026-01-19 13:37:37</t>
  </si>
  <si>
    <t>2026-01-19 12:40:00</t>
  </si>
  <si>
    <t>PMQ1+7210002891</t>
  </si>
  <si>
    <t>2026-01-19 14:19:13</t>
  </si>
  <si>
    <t>2026-01-19 13:30:00</t>
  </si>
  <si>
    <t>PMQ1+7210002887</t>
  </si>
  <si>
    <t>2026-01-19 14:50:15</t>
  </si>
  <si>
    <t>2026-01-19 14:20:00</t>
  </si>
  <si>
    <t>PMQ1+7210002754</t>
  </si>
  <si>
    <t>2026-01-19 15:29:30</t>
  </si>
  <si>
    <t>2026-01-19 15:10:00</t>
  </si>
  <si>
    <t>PMQ1+7210002755</t>
  </si>
  <si>
    <t>2026-01-19 16:19:54</t>
  </si>
  <si>
    <t>PMQ1+7210002756</t>
  </si>
  <si>
    <t>2026-01-19 16:53:02</t>
  </si>
  <si>
    <t>2026-01-19 16:30:00</t>
  </si>
  <si>
    <t>PMQ1+7210003044</t>
  </si>
  <si>
    <t>ED057115011901</t>
  </si>
  <si>
    <t>2026-01-19 14:34:25</t>
  </si>
  <si>
    <t>門市反應mmk熱感機(t70ii)無法正常切紙切不斷，門市已有重裝紙捲重開機測試仍異常....須請台芝到店協助(不正常)</t>
  </si>
  <si>
    <t>2026-01-19 14:43:18</t>
  </si>
  <si>
    <t>2026-01-20 14:00:00</t>
  </si>
  <si>
    <t>2026-01-20 18:43:00</t>
  </si>
  <si>
    <t>換下8138001797換上8138003161</t>
  </si>
  <si>
    <t>E2209115012001</t>
  </si>
  <si>
    <t>2026-01-20 08:09:03</t>
  </si>
  <si>
    <t xml:space="preserve">門市反應tm2 ccd掃描器(HC76TR)近期常發生刷讀不到條碼有亮燈有逼聲但未讀進tm，門市已有操作校正仍異常且查看輸入顯示有鼠標....須請台芝到店協助(機2 指標已在輸入顯示處掃描商品無反應.)
01/20 09:05  請門市操作掃描器校正，稍晚聯繫...廖
</t>
  </si>
  <si>
    <t>2026-01-20 09:22:55</t>
  </si>
  <si>
    <t>2026-01-20 15:10:00</t>
  </si>
  <si>
    <t>2026-01-21 13:22:00</t>
  </si>
  <si>
    <t>重新校正掃槍</t>
  </si>
  <si>
    <t>12014115012002</t>
  </si>
  <si>
    <t>2026-01-20 11:24:25</t>
  </si>
  <si>
    <t>01/20 11:26 啟動緊急叫修:門市反應SC(SHUTTLE6S)突然自己關機無法開機，PING1不通無法VNC，按開機鍵無反應未亮燈，門市找不到電源插頭可拔插....須請台芝到店協助
PS.若因更換HD.請跟店長宣達:1.請門市先回報代收會計 2.請確認SC的代收資料是否正確 (須與代收單據逐一核對)
與門市確認帳關到01/19，與通訊功評確認都有收到</t>
  </si>
  <si>
    <t>2026-01-20 11:32:15</t>
  </si>
  <si>
    <t>2026-01-20 12:00:00</t>
  </si>
  <si>
    <t>2026-01-20 17:32:00</t>
  </si>
  <si>
    <t>更換電源插座.重新差拔sc主機.變壓器</t>
  </si>
  <si>
    <t>2026-01-20 12:40:28</t>
  </si>
  <si>
    <t>2026-01-20 12:10:00</t>
  </si>
  <si>
    <t>PMQ1+7210002757</t>
  </si>
  <si>
    <t>15457115012002</t>
  </si>
  <si>
    <t>2026-01-20 13:11:01</t>
  </si>
  <si>
    <t>01/20 13:11 啟動緊急叫修:門市反應sc(SHUTTLE6S)無法正常開機畫面黑屏，請門市查看電源燈有亮但無畫面ping1不通無法vnc。請門市更換插座、拔插休息開機仍異常電源燈有亮但未正常開機，....須請台芝到店協助
PS.若因更換HD.請跟店長宣達:1.請門市先回報代收會計 2.請確認SC的代收資料是否正確 (須與代收單據逐一核對)
與門市確認帳關到01/20，待與通訊確認</t>
  </si>
  <si>
    <t>2026-01-20 13:14:24</t>
  </si>
  <si>
    <t>2026-01-20 13:20:00</t>
  </si>
  <si>
    <t>2026-01-20 19:14:00</t>
  </si>
  <si>
    <t>SC散熱口物品堵住，重新擺放後開機正常</t>
  </si>
  <si>
    <t>2026-01-20 14:35:17</t>
  </si>
  <si>
    <t>2026-01-20 14:15:00</t>
  </si>
  <si>
    <t>PMQ1+7210002816</t>
  </si>
  <si>
    <t>2026-01-20 15:14:05</t>
  </si>
  <si>
    <t>2026-01-20 14:45:00</t>
  </si>
  <si>
    <t>PMQ1+7210002759</t>
  </si>
  <si>
    <t>永和頂溪站</t>
  </si>
  <si>
    <t>THILF02941</t>
  </si>
  <si>
    <t>2026-01-20 15:51:32</t>
  </si>
  <si>
    <t>2026-01-20 15:30:00</t>
  </si>
  <si>
    <t>PMQ1+7210002986</t>
  </si>
  <si>
    <t>永和永霖店</t>
  </si>
  <si>
    <t>THILF04019</t>
  </si>
  <si>
    <t>2026-01-20 16:12:02</t>
  </si>
  <si>
    <t>2026-01-20 15:54:00</t>
  </si>
  <si>
    <t>PMQ1+7210002990</t>
  </si>
  <si>
    <t>永和福和花園</t>
  </si>
  <si>
    <t>THILF03082</t>
  </si>
  <si>
    <t>2026-01-20 16:41:08</t>
  </si>
  <si>
    <t>2026-01-20 16:21:00</t>
  </si>
  <si>
    <t>PMQ1+7210002987</t>
  </si>
  <si>
    <t>永和貞寧店</t>
  </si>
  <si>
    <t>THILF03968</t>
  </si>
  <si>
    <t>2026-01-20 17:09:29</t>
  </si>
  <si>
    <t>2026-01-20 16:50:00</t>
  </si>
  <si>
    <t>PMQ1+7210002989</t>
  </si>
  <si>
    <t>中和一品苑</t>
  </si>
  <si>
    <t>THILF04970</t>
  </si>
  <si>
    <t>2026-01-20 18:24:40</t>
  </si>
  <si>
    <t>2026-01-20 17:20:00</t>
  </si>
  <si>
    <t>PMQ1+7210002975</t>
  </si>
  <si>
    <t>蘆竹坑口店</t>
  </si>
  <si>
    <t>THILF02315</t>
  </si>
  <si>
    <t>2026-01-21 13:54:51</t>
  </si>
  <si>
    <t>2026-01-21 13:30:00</t>
  </si>
  <si>
    <t>PMQ1+7210002723+L90</t>
  </si>
  <si>
    <t>E4191115012001</t>
  </si>
  <si>
    <t>2026-01-20 19:23:53</t>
  </si>
  <si>
    <t>性質轉換:門市反應SC掃描器(AT20B)按鈕卡住...需請台芝到店協助(感應不良)</t>
  </si>
  <si>
    <t>2026-01-20 19:31:26</t>
  </si>
  <si>
    <t>2026-01-21 15:40:00</t>
  </si>
  <si>
    <t>2026-01-21 23:31:00</t>
  </si>
  <si>
    <t>換下8119012116 換上8119013590</t>
  </si>
  <si>
    <t>14191115012001</t>
  </si>
  <si>
    <t>2026-01-20 19:31:42</t>
  </si>
  <si>
    <t>性質轉換:門市反應SC(SHUTTLE6S)鍵盤的上下鍵有時按了都沒反應，已有重新拔插線路仍異常...需請台芝到店協助</t>
  </si>
  <si>
    <t>2026-01-20 19:34:39</t>
  </si>
  <si>
    <t>2026-01-21 15:55:00</t>
  </si>
  <si>
    <t>2026-01-21 23:34:00</t>
  </si>
  <si>
    <t>匯躍蘆竹店</t>
  </si>
  <si>
    <t>THILF0L565</t>
  </si>
  <si>
    <t>2026-01-21 15:20:20</t>
  </si>
  <si>
    <t>2026-01-21 15:00:00</t>
  </si>
  <si>
    <t>2026-01-21 15:48:27</t>
  </si>
  <si>
    <t>2026-01-21 11:00:00</t>
  </si>
  <si>
    <t>回裝門市已完工 已請0800確認版本</t>
  </si>
  <si>
    <t>2026-01-21 15:54:25</t>
  </si>
  <si>
    <t>協助回裝</t>
  </si>
  <si>
    <t>蘆竹海湖店</t>
  </si>
  <si>
    <t>THILF04572</t>
  </si>
  <si>
    <t>2026-01-21 15:54:49</t>
  </si>
  <si>
    <t>2026-01-21 15:30:00</t>
  </si>
  <si>
    <t>蘆竹揚耀店</t>
  </si>
  <si>
    <t>THILF0L556</t>
  </si>
  <si>
    <t>2026-01-21 16:20:46</t>
  </si>
  <si>
    <t>2026-01-21 16:00:00</t>
  </si>
  <si>
    <t>1D070115012101</t>
  </si>
  <si>
    <t>2026-01-21 16:24:31</t>
  </si>
  <si>
    <t>執行發票機韌體更新發現TM1(TCX800)的D槽連線不到，請到店更換TM第二顆硬碟，並協助併更新到251118A版本，TM2如果是BSC10II需同步更新到251118A版本。</t>
  </si>
  <si>
    <t>2026-01-21 16:29:11</t>
  </si>
  <si>
    <t>2026-01-22 10:00:00</t>
  </si>
  <si>
    <t>2026-01-22 20:29:00</t>
  </si>
  <si>
    <t>重插清潔.更新發票機251118A版本tm1. Tm2</t>
  </si>
  <si>
    <t>1D057115012101</t>
  </si>
  <si>
    <t>2026-01-21 16:24:05</t>
  </si>
  <si>
    <t>2026-01-21 16:31:55</t>
  </si>
  <si>
    <t>2026-01-22 11:45:00</t>
  </si>
  <si>
    <t>2026-01-22 20:31:00</t>
  </si>
  <si>
    <t>重新差拔清潔tm1第二顆硬碟. 更新發票機到251118A版本TM1. TM2</t>
  </si>
  <si>
    <t>14352115012201</t>
  </si>
  <si>
    <t>2026-01-22 08:43:44</t>
  </si>
  <si>
    <t>TM1(TCX800)執行發票機韌體更新發現TM1的D槽連線不到，請到店更換TM第二顆硬碟，並協助併更新到251118A版本，TM2如果是BSC10II需同步更新到251118A版本。</t>
  </si>
  <si>
    <t>2026-01-22 08:59:30</t>
  </si>
  <si>
    <t>2026-01-22 14:00:00</t>
  </si>
  <si>
    <t>2026-01-23 12:59:00</t>
  </si>
  <si>
    <t>Tm1硬碟重新差拔清潔. 更新發票機到251118A版本Tm1. Tm2</t>
  </si>
  <si>
    <t>E4241115012201</t>
  </si>
  <si>
    <t>2026-01-22 07:15:58</t>
  </si>
  <si>
    <t>店長交接 門市反應tm1 CCD掃描器(HC56II-TR)前端膠條脫落導致刷讀也受影響....須請台芝到店協助(櫃台2台的掃描器 刷商品 會很慢 .掃描器最前端的黑色橡膠皮 有點剝落)</t>
  </si>
  <si>
    <t>2026-01-22 09:15:11</t>
  </si>
  <si>
    <t>2026-01-22 13:10:00</t>
  </si>
  <si>
    <t>2026-01-23 13:15:00</t>
  </si>
  <si>
    <t>換下8119008752.換上8119011800</t>
  </si>
  <si>
    <t>14241115012201</t>
  </si>
  <si>
    <t>2026-01-22 09:15:24</t>
  </si>
  <si>
    <t>店長交接 門市反應tm2 CCD掃描器(HC56II-TR)前端膠條脫落導致刷讀也受影響....須請台芝到店協助</t>
  </si>
  <si>
    <t>2026-01-22 09:15:47</t>
  </si>
  <si>
    <t>2026-01-22 13:20:00</t>
  </si>
  <si>
    <t>換下8119008493.換上8119008544</t>
  </si>
  <si>
    <t>E5245115012201</t>
  </si>
  <si>
    <t>2026-01-22 09:29:17</t>
  </si>
  <si>
    <t xml:space="preserve">門市反應sc螢幕(LCD22)會突然黑畫面或閃爍，當下無做任何排除會突然恢復正常，門市告知已有重新拔插螢幕後方線路仍頻繁發生...請台芝到店協助(螢幕會有閃爍頻繁或無畫面，變成全黑)
</t>
  </si>
  <si>
    <t>2026-01-22 09:45:20</t>
  </si>
  <si>
    <t>2026-01-22 15:38:00</t>
  </si>
  <si>
    <t>2026-01-23 13:45:00</t>
  </si>
  <si>
    <t>更換vgA線</t>
  </si>
  <si>
    <t>12390115012201</t>
  </si>
  <si>
    <t>2026-01-22 09:56:33</t>
  </si>
  <si>
    <t>門市反應sc螢幕(LCD)會不斷閃爍一下變亮一下變暗，門市已有重新拔插後方線路仍異常.....須請台芝到店協助</t>
  </si>
  <si>
    <t>2026-01-22 09:57:47</t>
  </si>
  <si>
    <t>2026-01-22 11:00:00</t>
  </si>
  <si>
    <t>2026-01-23 13:57:00</t>
  </si>
  <si>
    <t>更換螢幕
換上8133003738
換下8133000752</t>
  </si>
  <si>
    <t>2026-01-22 11:06:12</t>
  </si>
  <si>
    <t>2026-01-22 09:40:00</t>
  </si>
  <si>
    <t>PMQ1+7210002817</t>
  </si>
  <si>
    <t>2026-01-22 11:55:47</t>
  </si>
  <si>
    <t>2026-01-22 11:30:00</t>
  </si>
  <si>
    <t>PMQ1+7210002827</t>
  </si>
  <si>
    <t>龜山樂學店</t>
  </si>
  <si>
    <t>THILF04981</t>
  </si>
  <si>
    <t>2026-01-22 12:42:53</t>
  </si>
  <si>
    <t>2026-01-22 12:00:00</t>
  </si>
  <si>
    <t>PMQ1+7210002713+L90</t>
  </si>
  <si>
    <t>桃縣桃高店</t>
  </si>
  <si>
    <t>THILF02596</t>
  </si>
  <si>
    <t>2026-01-22 14:02:08</t>
  </si>
  <si>
    <t>2026-01-22 13:30:00</t>
  </si>
  <si>
    <t>PMQ1+7210002699+L90</t>
  </si>
  <si>
    <t>2026-01-22 14:14:25</t>
  </si>
  <si>
    <t>2026-01-22 12:50:00</t>
  </si>
  <si>
    <t>PMQ1+7210002797</t>
  </si>
  <si>
    <t>龜山復恆店</t>
  </si>
  <si>
    <t>THILF04503</t>
  </si>
  <si>
    <t>2026-01-22 14:40:16</t>
  </si>
  <si>
    <t>2026-01-22 14:10:00</t>
  </si>
  <si>
    <t>PMQ1+7210002707+L90</t>
  </si>
  <si>
    <t>2026-01-22 15:06:29</t>
  </si>
  <si>
    <t>2026-01-22 14:40:00</t>
  </si>
  <si>
    <t>PMQ1+7210002801</t>
  </si>
  <si>
    <t>龜山樂善店</t>
  </si>
  <si>
    <t>THILF05016</t>
  </si>
  <si>
    <t>2026-01-22 15:51:46</t>
  </si>
  <si>
    <t>2026-01-22 15:30:00</t>
  </si>
  <si>
    <t>PMQ1+7210002714+L90</t>
  </si>
  <si>
    <t>龜山文化二</t>
  </si>
  <si>
    <t>THILF02428</t>
  </si>
  <si>
    <t>2026-01-22 15:53:28</t>
  </si>
  <si>
    <t>2026-01-22 15:54:59</t>
  </si>
  <si>
    <t>2026-01-22 15:18:00</t>
  </si>
  <si>
    <t>PMQ1+7210002810</t>
  </si>
  <si>
    <t>龜山玄武店</t>
  </si>
  <si>
    <t>THILF04902</t>
  </si>
  <si>
    <t>2026-01-22 16:18:44</t>
  </si>
  <si>
    <t>2026-01-22 16:00:00</t>
  </si>
  <si>
    <t>PMQ1+7210002711+L90</t>
  </si>
  <si>
    <t>2026-01-22 17:18:04</t>
  </si>
  <si>
    <t>PMQ1+7210002760</t>
  </si>
  <si>
    <t>2026-01-23 11:45:47</t>
  </si>
  <si>
    <t>2026-01-23 11:00:00</t>
  </si>
  <si>
    <t>工作序號</t>
  </si>
  <si>
    <t>次數</t>
  </si>
  <si>
    <t>工作日期</t>
  </si>
  <si>
    <t>到府時間</t>
  </si>
  <si>
    <t>離開時間</t>
  </si>
  <si>
    <t>機型</t>
  </si>
  <si>
    <t>商品大類</t>
  </si>
  <si>
    <t>客戶名稱</t>
  </si>
  <si>
    <t>地址</t>
  </si>
  <si>
    <t>設置單位</t>
  </si>
  <si>
    <t>工作
類型</t>
  </si>
  <si>
    <t>計數器
彩大</t>
  </si>
  <si>
    <t>計數器
彩小</t>
  </si>
  <si>
    <t>計數器
黑白</t>
  </si>
  <si>
    <t>工作
內容</t>
  </si>
  <si>
    <t>次數
認定</t>
  </si>
  <si>
    <t>TJ22</t>
  </si>
  <si>
    <t>2025-06-17</t>
  </si>
  <si>
    <t>15:26:00</t>
  </si>
  <si>
    <t>15:41:00</t>
  </si>
  <si>
    <t>T250A00007</t>
  </si>
  <si>
    <t>eS-2500AC 彩色複合機</t>
  </si>
  <si>
    <t>MFP商品</t>
  </si>
  <si>
    <t xml:space="preserve">台北市私立淘兒園幼兒園 </t>
  </si>
  <si>
    <t>台北市士林區承德路4段57號</t>
  </si>
  <si>
    <t>PM抄表</t>
  </si>
  <si>
    <t>2025-01-17</t>
  </si>
  <si>
    <t>10:35:00</t>
  </si>
  <si>
    <t>10:44:00</t>
  </si>
  <si>
    <t>抄表</t>
  </si>
  <si>
    <t>2025-01-15</t>
  </si>
  <si>
    <t>11:28:00</t>
  </si>
  <si>
    <t>11:33:00</t>
  </si>
  <si>
    <t>T251000037</t>
  </si>
  <si>
    <t>eS-2510AC 彩色複合機</t>
  </si>
  <si>
    <t xml:space="preserve">稻盛房屋有限公司 </t>
  </si>
  <si>
    <t>台北市士林區承德路4段120號1樓</t>
  </si>
  <si>
    <t>11:03:00</t>
  </si>
  <si>
    <t>11:08:00</t>
  </si>
  <si>
    <t>T251000040</t>
  </si>
  <si>
    <t xml:space="preserve">聯詠房屋仲介有限公司 </t>
  </si>
  <si>
    <t>台北市士林區德行西路98號1樓</t>
  </si>
  <si>
    <t>2025-01-13</t>
  </si>
  <si>
    <t>14:00:00</t>
  </si>
  <si>
    <t>14:44:00</t>
  </si>
  <si>
    <t>T251000067</t>
  </si>
  <si>
    <t xml:space="preserve">紅樹林有線電視股份有限公司 </t>
  </si>
  <si>
    <t>新北市淡水區中正東路1段3巷33號7樓</t>
  </si>
  <si>
    <t>7樓</t>
  </si>
  <si>
    <t>10:53:00</t>
  </si>
  <si>
    <t>10:58:00</t>
  </si>
  <si>
    <t>T251000082</t>
  </si>
  <si>
    <t xml:space="preserve">天奕房屋股份有限公司 </t>
  </si>
  <si>
    <t>台北市士林區中正路249-1號2樓</t>
  </si>
  <si>
    <t>士林</t>
  </si>
  <si>
    <t>11:01:00</t>
  </si>
  <si>
    <t>11:16:00</t>
  </si>
  <si>
    <t>T251000085</t>
  </si>
  <si>
    <t xml:space="preserve">博鼎房屋仲介有限公司 </t>
  </si>
  <si>
    <t>台北市士林區文林路418號</t>
  </si>
  <si>
    <t>11:24:00</t>
  </si>
  <si>
    <t>11:39:00</t>
  </si>
  <si>
    <t>T252000015</t>
  </si>
  <si>
    <t>eS-2520AC 彩色複合機</t>
  </si>
  <si>
    <t xml:space="preserve">稻盛不動產有限公司 </t>
  </si>
  <si>
    <t>台北市士林區中山北路5段682號1樓</t>
  </si>
  <si>
    <t>中山北路5段</t>
  </si>
  <si>
    <t>11:38:00</t>
  </si>
  <si>
    <t>T252000033</t>
  </si>
  <si>
    <t xml:space="preserve">眾億不動產有限公司 </t>
  </si>
  <si>
    <t>台北市士林區文林路418號2樓</t>
  </si>
  <si>
    <t>09:45:00</t>
  </si>
  <si>
    <t>10:00:00</t>
  </si>
  <si>
    <t>T252000044</t>
  </si>
  <si>
    <t xml:space="preserve">漢來美食股份有限公司台北天母分公司 </t>
  </si>
  <si>
    <t>台北市士林區中山北路六段77號7樓</t>
  </si>
  <si>
    <t>天母</t>
  </si>
  <si>
    <t>2025-01-20</t>
  </si>
  <si>
    <t>10:41:00</t>
  </si>
  <si>
    <t>T252000064</t>
  </si>
  <si>
    <t xml:space="preserve">聯登房屋仲介有限公司 </t>
  </si>
  <si>
    <t>台北市士林區德行西路100號</t>
  </si>
  <si>
    <t>PM抄表 移機</t>
  </si>
  <si>
    <t>10:32:00</t>
  </si>
  <si>
    <t>10:37:00</t>
  </si>
  <si>
    <t>T252000072</t>
  </si>
  <si>
    <t xml:space="preserve">朗居不動產有限公司 </t>
  </si>
  <si>
    <t>台北市士林區忠誠路1段87號1樓</t>
  </si>
  <si>
    <t>2025-01-16</t>
  </si>
  <si>
    <t>13:30:00</t>
  </si>
  <si>
    <t>15:10:00</t>
  </si>
  <si>
    <t>T301800014</t>
  </si>
  <si>
    <t>eS-3018A 黑白複合機</t>
  </si>
  <si>
    <t xml:space="preserve">台灣大哥大股份有限公司 </t>
  </si>
  <si>
    <t>新北市三重區重新路五段609巷2號10樓-2</t>
  </si>
  <si>
    <t>台北客服10樓-2(黑)</t>
  </si>
  <si>
    <t>撤機 5</t>
  </si>
  <si>
    <t>14:45:00</t>
  </si>
  <si>
    <t>T301800028</t>
  </si>
  <si>
    <t>7樓櫃台</t>
  </si>
  <si>
    <t>16:21:00</t>
  </si>
  <si>
    <t>16:26:00</t>
  </si>
  <si>
    <t>T301800084</t>
  </si>
  <si>
    <t xml:space="preserve">康寧生物科技股份有限公司 </t>
  </si>
  <si>
    <t>台北市北投區裕民六路122號7樓</t>
  </si>
  <si>
    <t>2025-01-06</t>
  </si>
  <si>
    <t>12:42:00</t>
  </si>
  <si>
    <t>12:57:00</t>
  </si>
  <si>
    <t>T301800172</t>
  </si>
  <si>
    <t xml:space="preserve">智基科技開發股份有限公司 </t>
  </si>
  <si>
    <t>新北市淡水區中山路123號3樓(淡水分校)</t>
  </si>
  <si>
    <t>淡水</t>
  </si>
  <si>
    <t>2025-01-07</t>
  </si>
  <si>
    <t>10:14:00</t>
  </si>
  <si>
    <t>10:29:00</t>
  </si>
  <si>
    <t>T302800001</t>
  </si>
  <si>
    <t>eS-3028A 黑白複合機</t>
  </si>
  <si>
    <t>財團法人台北國際社區青年育樂活動中心基金會</t>
  </si>
  <si>
    <t>台北市士林區天玉街26-1號</t>
  </si>
  <si>
    <t>09:00:00</t>
  </si>
  <si>
    <t>09:15:00</t>
  </si>
  <si>
    <t>T302800006</t>
  </si>
  <si>
    <t xml:space="preserve">信宇顧問有限公司 </t>
  </si>
  <si>
    <t>新北市淡水區民族路50巷46號3樓</t>
  </si>
  <si>
    <t>13:04:00</t>
  </si>
  <si>
    <t>13:19:00</t>
  </si>
  <si>
    <t>T351500054</t>
  </si>
  <si>
    <t>eS-3515AC 彩色複合機</t>
  </si>
  <si>
    <t xml:space="preserve">嘉德開發股份有限公司 </t>
  </si>
  <si>
    <t>台北市士林區中山北路6段88號7樓</t>
  </si>
  <si>
    <t>11:45:00</t>
  </si>
  <si>
    <t>12:06:00</t>
  </si>
  <si>
    <t>T351500137</t>
  </si>
  <si>
    <t>華南永昌綜合証券股份有限公司-淡水?</t>
  </si>
  <si>
    <t>新北市淡水區中正路28號4樓(淡水)</t>
  </si>
  <si>
    <t>PM抄表
更換送紙輪 分離輪</t>
  </si>
  <si>
    <t>T351800086</t>
  </si>
  <si>
    <t>eS-3518A 黑白複合機</t>
  </si>
  <si>
    <t>7樓工程部</t>
  </si>
  <si>
    <t>T352500005</t>
  </si>
  <si>
    <t>eS-3525AC 彩色複合機</t>
  </si>
  <si>
    <t xml:space="preserve">財團法人創價文教基金會板橋辦事處 </t>
  </si>
  <si>
    <t>台北市士林區至善路2段256巷9號3樓</t>
  </si>
  <si>
    <t>小辦公室3樓</t>
  </si>
  <si>
    <t>10:27:00</t>
  </si>
  <si>
    <t>10:42:00</t>
  </si>
  <si>
    <t>T352500061</t>
  </si>
  <si>
    <t xml:space="preserve">美商婕斯環球有限公司台灣分公司 </t>
  </si>
  <si>
    <t>台北市士林區中山北路5段478號8樓(行銷)</t>
  </si>
  <si>
    <t>8F行銷</t>
  </si>
  <si>
    <t>13:40:00</t>
  </si>
  <si>
    <t>13:55:00</t>
  </si>
  <si>
    <t>T352500063</t>
  </si>
  <si>
    <t xml:space="preserve">巴西商務辦事處 </t>
  </si>
  <si>
    <t>台北市士林區德行西路45號2樓</t>
  </si>
  <si>
    <t>2025-01-02</t>
  </si>
  <si>
    <t>16:25:00</t>
  </si>
  <si>
    <t>T451500026</t>
  </si>
  <si>
    <t>eS-4515AC 彩色複合機</t>
  </si>
  <si>
    <t xml:space="preserve">國立台灣大學醫學院附設醫院金山分院 </t>
  </si>
  <si>
    <t>新北市金山區五湖里南勢51號(金山分院)</t>
  </si>
  <si>
    <t>金山分院總務室</t>
  </si>
  <si>
    <t>換機</t>
  </si>
  <si>
    <t>2025-01-22</t>
  </si>
  <si>
    <t>11:47:00</t>
  </si>
  <si>
    <t>12:02:00</t>
  </si>
  <si>
    <t>T452500008</t>
  </si>
  <si>
    <t>eS-4525AC 彩色複合機</t>
  </si>
  <si>
    <t>14:20:00</t>
  </si>
  <si>
    <t>14:35:00</t>
  </si>
  <si>
    <t>T501800009</t>
  </si>
  <si>
    <t>eS-5018A 黑白複</t>
  </si>
  <si>
    <t xml:space="preserve">奎山學校財團法人 </t>
  </si>
  <si>
    <t>台北市北投區明德路200號</t>
  </si>
  <si>
    <t>T652800015</t>
  </si>
  <si>
    <t>eS-6528A 黑白複合機</t>
  </si>
  <si>
    <t>金山分院行政</t>
  </si>
  <si>
    <t>11:29:00</t>
  </si>
  <si>
    <t>11:44:00</t>
  </si>
  <si>
    <t>T652800016</t>
  </si>
  <si>
    <t>金山分院病歷</t>
  </si>
  <si>
    <t>12:00:00</t>
  </si>
  <si>
    <t>T250A00039</t>
  </si>
  <si>
    <t xml:space="preserve">仲誠不動產經紀有限公司 </t>
  </si>
  <si>
    <t>新北市三重區重新路3段110號</t>
  </si>
  <si>
    <t>內湖倉裝新機</t>
  </si>
  <si>
    <t>2025-01-14</t>
  </si>
  <si>
    <t>pm抄表</t>
  </si>
  <si>
    <t>2025-01-08</t>
  </si>
  <si>
    <t>08:30:00</t>
  </si>
  <si>
    <t>T251000029</t>
  </si>
  <si>
    <t xml:space="preserve">力翔精密機械有限公司 </t>
  </si>
  <si>
    <t>新北市蘆洲區和平路114巷8號6樓</t>
  </si>
  <si>
    <t>10:45:00</t>
  </si>
  <si>
    <t>設定掃描</t>
  </si>
  <si>
    <t>2025-01-10</t>
  </si>
  <si>
    <t>11:30:00</t>
  </si>
  <si>
    <t>T251000032</t>
  </si>
  <si>
    <t xml:space="preserve">三羚國際有限公司 </t>
  </si>
  <si>
    <t>新北市泰山區新北大道6段405號4樓</t>
  </si>
  <si>
    <t>泰山</t>
  </si>
  <si>
    <t>碳粉</t>
  </si>
  <si>
    <t>09:30:00</t>
  </si>
  <si>
    <t>2025-01-09</t>
  </si>
  <si>
    <t>T251000051</t>
  </si>
  <si>
    <t xml:space="preserve">沛盈實業有限公司 </t>
  </si>
  <si>
    <t>新北市新莊區中正路665號9樓</t>
  </si>
  <si>
    <t>13:00:00</t>
  </si>
  <si>
    <t>更換轉寫皮帶</t>
  </si>
  <si>
    <t>T251000056</t>
  </si>
  <si>
    <t xml:space="preserve">奧創資訊股份有限公司 </t>
  </si>
  <si>
    <t>新北市板橋區文化路二段285號32樓</t>
  </si>
  <si>
    <t>奧爾資訊多媒體</t>
  </si>
  <si>
    <t>15:50:00</t>
  </si>
  <si>
    <t>16:42:00</t>
  </si>
  <si>
    <t>T251000086</t>
  </si>
  <si>
    <t xml:space="preserve">全聯有線電視股份有限公司 </t>
  </si>
  <si>
    <t>新北市蘆洲區三民路128巷87-6號2樓(工程部1)</t>
  </si>
  <si>
    <t>工程部1</t>
  </si>
  <si>
    <t>送搞機卡紙 清潔</t>
  </si>
  <si>
    <t>10:30:00</t>
  </si>
  <si>
    <t>T252000025</t>
  </si>
  <si>
    <t xml:space="preserve">品興營造股份有限公司 </t>
  </si>
  <si>
    <t>新北市泰山區莊田路與信華三街交叉口(華固一莊)</t>
  </si>
  <si>
    <t>華固一莊</t>
  </si>
  <si>
    <t>15:00:00</t>
  </si>
  <si>
    <t>15:30:00</t>
  </si>
  <si>
    <t>T301800016</t>
  </si>
  <si>
    <t xml:space="preserve">台灣固網股份有限公司 </t>
  </si>
  <si>
    <t>新北市三重區重新路五段609巷2號4樓(3樓客服)</t>
  </si>
  <si>
    <t>台北客服4樓(固網客服)</t>
  </si>
  <si>
    <t>T301800017</t>
  </si>
  <si>
    <t>新北市三重區重新路5段609巷2號10樓(總經理)</t>
  </si>
  <si>
    <t>台北客服10F(總經理)</t>
  </si>
  <si>
    <t>設定傳真轉存</t>
  </si>
  <si>
    <t>08:45:00</t>
  </si>
  <si>
    <t>T301800025</t>
  </si>
  <si>
    <t xml:space="preserve">永佳樂有線電視股份有限公司 </t>
  </si>
  <si>
    <t>新北市新莊區中正路651-5號10樓(櫃台2)</t>
  </si>
  <si>
    <t>櫃台2</t>
  </si>
  <si>
    <t>11:00:00</t>
  </si>
  <si>
    <t>12:17:00</t>
  </si>
  <si>
    <t>影印有線條 清潔光學 閘極網</t>
  </si>
  <si>
    <t>T301800026</t>
  </si>
  <si>
    <t>新北市新莊區中正路651-5號10樓(節目部)</t>
  </si>
  <si>
    <t>節目部</t>
  </si>
  <si>
    <t>2025-01-21</t>
  </si>
  <si>
    <t>T301800083</t>
  </si>
  <si>
    <t xml:space="preserve">愛能視股份有限公司 </t>
  </si>
  <si>
    <t>新北市五股區五工路102號5樓</t>
  </si>
  <si>
    <t>Pm抄表</t>
  </si>
  <si>
    <t>14:37:00</t>
  </si>
  <si>
    <t>T301800126</t>
  </si>
  <si>
    <t xml:space="preserve">自立文理短期補習班 </t>
  </si>
  <si>
    <t>新北市新莊區自信街81巷11號</t>
  </si>
  <si>
    <t>無法變更紙匣類型 重設紙匣</t>
  </si>
  <si>
    <t>16:18:00</t>
  </si>
  <si>
    <t>T301800156</t>
  </si>
  <si>
    <t>新北市三重區重新路五段609巷2號8F(三重湯城8F)</t>
  </si>
  <si>
    <t>三重湯城8樓(黑)</t>
  </si>
  <si>
    <t>上熱破損 更換上熱</t>
  </si>
  <si>
    <t>T301800171</t>
  </si>
  <si>
    <t>新北市新莊區中正區336-1號(新莊)</t>
  </si>
  <si>
    <t>新莊</t>
  </si>
  <si>
    <t>15:45:00</t>
  </si>
  <si>
    <t>16:00:00</t>
  </si>
  <si>
    <t>14:30:00</t>
  </si>
  <si>
    <t>T301800174</t>
  </si>
  <si>
    <t>新北市板橋區中山路1段10號5樓(板橋分校)</t>
  </si>
  <si>
    <t>板橋</t>
  </si>
  <si>
    <t>16:30:00</t>
  </si>
  <si>
    <t>17:00:00</t>
  </si>
  <si>
    <t>T302800007</t>
  </si>
  <si>
    <t xml:space="preserve">財團法人台灣省私立台灣盲人重建院 </t>
  </si>
  <si>
    <t>新北市新莊區中正路384號3樓</t>
  </si>
  <si>
    <t>3F</t>
  </si>
  <si>
    <t>16:16:00</t>
  </si>
  <si>
    <t>17:31:00</t>
  </si>
  <si>
    <t>無法掃描 協助設定</t>
  </si>
  <si>
    <t>T302800008</t>
  </si>
  <si>
    <t>新北市新莊區中正路384號4樓</t>
  </si>
  <si>
    <t>4F</t>
  </si>
  <si>
    <t>上熱</t>
  </si>
  <si>
    <t>抄表pm</t>
  </si>
  <si>
    <t>17:03:00</t>
  </si>
  <si>
    <t>安裝驅動設定掃描</t>
  </si>
  <si>
    <t>T302800012</t>
  </si>
  <si>
    <t xml:space="preserve">捷旺宅不動產經紀有限公司 </t>
  </si>
  <si>
    <t>新北市三重區捷運路32號</t>
  </si>
  <si>
    <t>2025-01-23</t>
  </si>
  <si>
    <t>13:36:00</t>
  </si>
  <si>
    <t>T302800029</t>
  </si>
  <si>
    <t>新北市三重區重新路5段609巷2號3樓</t>
  </si>
  <si>
    <t>三重湯城3樓(黑)</t>
  </si>
  <si>
    <t>移機</t>
  </si>
  <si>
    <t>14:10:00</t>
  </si>
  <si>
    <t>T302800048</t>
  </si>
  <si>
    <t>新北市蘆洲區中山一路12號3樓(單據組2)</t>
  </si>
  <si>
    <t>單據組2</t>
  </si>
  <si>
    <t>2025-01-03</t>
  </si>
  <si>
    <t>T302800057</t>
  </si>
  <si>
    <t xml:space="preserve">台灣善美的股份有限公司 </t>
  </si>
  <si>
    <t>新北市五股區工商路128號1樓(五股DC廠工商運輸)</t>
  </si>
  <si>
    <t>五股DC廠工商運輸</t>
  </si>
  <si>
    <t>17:35:00</t>
  </si>
  <si>
    <t>更換取送分輪</t>
  </si>
  <si>
    <t>2025-01-24</t>
  </si>
  <si>
    <t>11:50:00</t>
  </si>
  <si>
    <t>12:37:00</t>
  </si>
  <si>
    <t>T350800003</t>
  </si>
  <si>
    <t>eS-3508A 黑白複合機</t>
  </si>
  <si>
    <t xml:space="preserve">精能光學股份有限公司 </t>
  </si>
  <si>
    <t>16:03:00</t>
  </si>
  <si>
    <t>T351500013</t>
  </si>
  <si>
    <t>新北市三重區重新路5段609巷2號4F(三重湯城)</t>
  </si>
  <si>
    <t>三重湯城4樓(固網客服)(彩)</t>
  </si>
  <si>
    <t>更換radf分離輪</t>
  </si>
  <si>
    <t>T351500028</t>
  </si>
  <si>
    <t>新北市三重區重新路五段609巷2號8樓(三重湯城8樓)</t>
  </si>
  <si>
    <t>三重湯城8樓(彩)</t>
  </si>
  <si>
    <t>閘極網漏電 清潔</t>
  </si>
  <si>
    <t>T351500059</t>
  </si>
  <si>
    <t xml:space="preserve">森奧設計工程有限公司 </t>
  </si>
  <si>
    <t>新北市林口區文化二路1段266號B1-13</t>
  </si>
  <si>
    <t>林口</t>
  </si>
  <si>
    <t>12:23:00</t>
  </si>
  <si>
    <t>T351500136</t>
  </si>
  <si>
    <t xml:space="preserve">家福股份有限公司 </t>
  </si>
  <si>
    <t>新北市三重區五華街282號(蘆洲)</t>
  </si>
  <si>
    <t>蘆洲</t>
  </si>
  <si>
    <t>安裝驅動 設定掃描</t>
  </si>
  <si>
    <t>T351500203</t>
  </si>
  <si>
    <t>新北市蘆洲區三民路128巷87-5號2樓(工程部2)</t>
  </si>
  <si>
    <t>工程部2</t>
  </si>
  <si>
    <t>T351800019</t>
  </si>
  <si>
    <t>新北市三重區正義北路218號(三重分校)</t>
  </si>
  <si>
    <t>三重</t>
  </si>
  <si>
    <t>15:02:00</t>
  </si>
  <si>
    <t>15:32:00</t>
  </si>
  <si>
    <t>清潔導輪</t>
  </si>
  <si>
    <t>14:46:00</t>
  </si>
  <si>
    <t>T351800042</t>
  </si>
  <si>
    <t xml:space="preserve">全聯實業股份有限公司 </t>
  </si>
  <si>
    <t>新北市蘆洲區水湳街74號2樓</t>
  </si>
  <si>
    <t>列印髒污 更換OD OD刮 回刮</t>
  </si>
  <si>
    <t>T351800045</t>
  </si>
  <si>
    <t>新北市五股區五工六路35號1樓(五股生鮮物流)</t>
  </si>
  <si>
    <t>五股</t>
  </si>
  <si>
    <t>10:15:00</t>
  </si>
  <si>
    <t>T351800082</t>
  </si>
  <si>
    <t>新北市新莊區中正路651-5號10樓(櫃台1)</t>
  </si>
  <si>
    <t>櫃台1</t>
  </si>
  <si>
    <t>T351800083</t>
  </si>
  <si>
    <t>新北市新莊區中正路651-5號10樓(工程部1)</t>
  </si>
  <si>
    <t>10:47:00</t>
  </si>
  <si>
    <t>15:48:00</t>
  </si>
  <si>
    <t>清回刮</t>
  </si>
  <si>
    <t>T351800084</t>
  </si>
  <si>
    <t>新北市新莊區中正路651-5號10樓(走道)</t>
  </si>
  <si>
    <t>走道</t>
  </si>
  <si>
    <t>T351800085</t>
  </si>
  <si>
    <t>新北市新莊區中正路651-5號10樓(營管部)</t>
  </si>
  <si>
    <t>營管部</t>
  </si>
  <si>
    <t>11:10:00</t>
  </si>
  <si>
    <t>T351800110</t>
  </si>
  <si>
    <t>新北市五股區五工六路35號4樓(五股)</t>
  </si>
  <si>
    <t>更換RADF取送分輪</t>
  </si>
  <si>
    <t>更換送搞機分離輪</t>
  </si>
  <si>
    <t>09:36:00</t>
  </si>
  <si>
    <t>T351800111</t>
  </si>
  <si>
    <t>新北市五股區五工六路35號1樓(五股檢品)</t>
  </si>
  <si>
    <t>五股檢品</t>
  </si>
  <si>
    <t>清潔手送台</t>
  </si>
  <si>
    <t>T351800118</t>
  </si>
  <si>
    <t>新北市新莊區中正路651-5號10樓(工程部2)</t>
  </si>
  <si>
    <t>T351800123</t>
  </si>
  <si>
    <t xml:space="preserve">喬治費歇爾機械股份有限公司 </t>
  </si>
  <si>
    <t>新北市三重區興德路94號</t>
  </si>
  <si>
    <t>T351800128</t>
  </si>
  <si>
    <t xml:space="preserve">德森精密有限公司 </t>
  </si>
  <si>
    <t>新北市林口區文化北路1段60巷108號3樓</t>
  </si>
  <si>
    <t>T451800020</t>
  </si>
  <si>
    <t>eS-4518A 黑白複合機</t>
  </si>
  <si>
    <t>新北市三重區重新路五段609巷2號9樓(客服)</t>
  </si>
  <si>
    <t>台北客服9樓(黑)</t>
  </si>
  <si>
    <t>T451800024</t>
  </si>
  <si>
    <t>新北市三重區重新路五段609巷2號4樓-2(三重湯城)</t>
  </si>
  <si>
    <t>台北客服4樓-2LJ9(黑)</t>
  </si>
  <si>
    <t>T451800148</t>
  </si>
  <si>
    <t>合作金庫商業銀行股份有限公司林口文化分行</t>
  </si>
  <si>
    <t>新北市林口區文化二路1段62-5號1F(營業部)</t>
  </si>
  <si>
    <t>林口文化1F營業部</t>
  </si>
  <si>
    <t>上熱 OD 回刮</t>
  </si>
  <si>
    <t>T451800167</t>
  </si>
  <si>
    <t>台北客服4樓前(黑)</t>
  </si>
  <si>
    <t>10:09:00</t>
  </si>
  <si>
    <t>T452500019</t>
  </si>
  <si>
    <t xml:space="preserve">台灣派樂騰健康科技股份有限公司 </t>
  </si>
  <si>
    <t>新北市五股區五工路118號</t>
  </si>
  <si>
    <t>15:55:00</t>
  </si>
  <si>
    <t>17:07:00</t>
  </si>
  <si>
    <t>T452800007</t>
  </si>
  <si>
    <t xml:space="preserve">東森電視事業股份有限公司 </t>
  </si>
  <si>
    <t>新北市三重區重新路5段609巷10號9樓</t>
  </si>
  <si>
    <t>三重湯城</t>
  </si>
  <si>
    <t>無法列印</t>
  </si>
  <si>
    <t>T452800031</t>
  </si>
  <si>
    <t>台北客服4樓-2LJ23(黑)</t>
  </si>
  <si>
    <t>清回瓜</t>
  </si>
  <si>
    <t>T452800032</t>
  </si>
  <si>
    <t>台北客服4樓-2LJ15(黑)</t>
  </si>
  <si>
    <t>T452800033</t>
  </si>
  <si>
    <t>TE30600111</t>
  </si>
  <si>
    <t>eS-306 黑白複合機</t>
  </si>
  <si>
    <t>新北市泰山區美寧街57巷34號1樓(異地備援)</t>
  </si>
  <si>
    <t>異地備援泰山</t>
  </si>
  <si>
    <t>11:20:00</t>
  </si>
  <si>
    <t>TX81000001</t>
  </si>
  <si>
    <t>POS商品</t>
  </si>
  <si>
    <t xml:space="preserve">日商樂比亞股份有限公司台灣分公司 </t>
  </si>
  <si>
    <t>新北市新莊區新北大道4段3號B2</t>
  </si>
  <si>
    <t>新莊宏匯店</t>
  </si>
  <si>
    <t>年前巡檢</t>
  </si>
  <si>
    <t>16:05:00</t>
  </si>
  <si>
    <t>T352500088</t>
  </si>
  <si>
    <t xml:space="preserve">嬌聯股份有限公司 </t>
  </si>
  <si>
    <t>新北市板橋區新站區16號25樓</t>
  </si>
  <si>
    <t>15:40:00</t>
  </si>
  <si>
    <t>碳粉配送YMCK 1</t>
  </si>
  <si>
    <t>15:57:00</t>
  </si>
  <si>
    <t>16:02:00</t>
  </si>
  <si>
    <t>T352500089</t>
  </si>
  <si>
    <t>PM YMCK 1</t>
  </si>
  <si>
    <t>15:28:00</t>
  </si>
  <si>
    <t>16:15:00</t>
  </si>
  <si>
    <t>TX30000079</t>
  </si>
  <si>
    <t>TCx300 POS 終端系統</t>
  </si>
  <si>
    <t xml:space="preserve">台灣泛亞零售管理顧問股份有限公司 </t>
  </si>
  <si>
    <t>台北市中正區八德路一段55號</t>
  </si>
  <si>
    <t>POS24櫃掃槍修復回裝已完成</t>
  </si>
  <si>
    <t>15:27:00</t>
  </si>
  <si>
    <t>TX30000086</t>
  </si>
  <si>
    <t>掃槍線路重新插拔，Tcx300內部整理後測試正常</t>
  </si>
  <si>
    <t>2025-02-18</t>
  </si>
  <si>
    <t>11:25:00</t>
  </si>
  <si>
    <t>2025-02-17</t>
  </si>
  <si>
    <t>15:31:00</t>
  </si>
  <si>
    <t>15:09:00</t>
  </si>
  <si>
    <t>15:14:00</t>
  </si>
  <si>
    <t>12:32:00</t>
  </si>
  <si>
    <t>12:47:00</t>
  </si>
  <si>
    <t>2025-02-11</t>
  </si>
  <si>
    <t>11:42:00</t>
  </si>
  <si>
    <t>11:57:00</t>
  </si>
  <si>
    <t>15:38:00</t>
  </si>
  <si>
    <t>15:43:00</t>
  </si>
  <si>
    <t>15:05:00</t>
  </si>
  <si>
    <t>15:04:00</t>
  </si>
  <si>
    <t>15:22:00</t>
  </si>
  <si>
    <t>15:19:00</t>
  </si>
  <si>
    <t>11:52:00</t>
  </si>
  <si>
    <t>12:07:00</t>
  </si>
  <si>
    <t>2025-02-19</t>
  </si>
  <si>
    <t>14:14:00</t>
  </si>
  <si>
    <t>14:29:00</t>
  </si>
  <si>
    <t>2025-02-10</t>
  </si>
  <si>
    <t>12:04:00</t>
  </si>
  <si>
    <t>T301800041</t>
  </si>
  <si>
    <t xml:space="preserve">頂能企業股份有限公司 </t>
  </si>
  <si>
    <t>新北市淡水區中正東路2段73號</t>
  </si>
  <si>
    <t>印出模糊
更換回收刮片</t>
  </si>
  <si>
    <t>15:34:00</t>
  </si>
  <si>
    <t>15:39:00</t>
  </si>
  <si>
    <t>2025-02-05</t>
  </si>
  <si>
    <t>12:58:00</t>
  </si>
  <si>
    <t>13:13:00</t>
  </si>
  <si>
    <t>2025-02-07</t>
  </si>
  <si>
    <t>10:40:00</t>
  </si>
  <si>
    <t>11:55:00</t>
  </si>
  <si>
    <t>清除滾筒回收組廢碳粉</t>
  </si>
  <si>
    <t>11:02:00</t>
  </si>
  <si>
    <t>更換回收刮片</t>
  </si>
  <si>
    <t>2025-02-24</t>
  </si>
  <si>
    <t>13:15:00</t>
  </si>
  <si>
    <t>13:25:00</t>
  </si>
  <si>
    <t>客戶端操作問題，電聯後正常</t>
  </si>
  <si>
    <t>13:18:00</t>
  </si>
  <si>
    <t>13:33:00</t>
  </si>
  <si>
    <t>11:53:00</t>
  </si>
  <si>
    <t>12:08:00</t>
  </si>
  <si>
    <t>15:37:00</t>
  </si>
  <si>
    <t>PM抄表
送黑色碳粉 1</t>
  </si>
  <si>
    <t>14:52:00</t>
  </si>
  <si>
    <t>14:40:00</t>
  </si>
  <si>
    <t>14:55:00</t>
  </si>
  <si>
    <t>2025-02-06</t>
  </si>
  <si>
    <t>15:51:00</t>
  </si>
  <si>
    <t>更換同步改良套件</t>
  </si>
  <si>
    <t>2025-02-25</t>
  </si>
  <si>
    <t>16:34:00</t>
  </si>
  <si>
    <t>16:49:00</t>
  </si>
  <si>
    <t>15:47:00</t>
  </si>
  <si>
    <t>13:58:00</t>
  </si>
  <si>
    <t>14:13:00</t>
  </si>
  <si>
    <t>14:08:00</t>
  </si>
  <si>
    <t>14:23:00</t>
  </si>
  <si>
    <t>鴻森</t>
  </si>
  <si>
    <t>pn抄表</t>
  </si>
  <si>
    <t>倒廢粉</t>
  </si>
  <si>
    <t>2025-02-21</t>
  </si>
  <si>
    <t>11:34:00</t>
  </si>
  <si>
    <t>卡機無法使用</t>
  </si>
  <si>
    <t>2025-02-12</t>
  </si>
  <si>
    <t>14:57:00</t>
  </si>
  <si>
    <t>T251000088</t>
  </si>
  <si>
    <t>新北市蘆洲區中山一路12號3樓(櫃台)</t>
  </si>
  <si>
    <t>櫃台</t>
  </si>
  <si>
    <t>電話教學更換碳粉</t>
  </si>
  <si>
    <t>2025-02-20</t>
  </si>
  <si>
    <t>T251000089</t>
  </si>
  <si>
    <t>新北市蘆洲區中山一路12號3樓(單據組1)</t>
  </si>
  <si>
    <t>單據組1</t>
  </si>
  <si>
    <t>T252000086</t>
  </si>
  <si>
    <t>新北市三重區仁義街79巷旁工地</t>
  </si>
  <si>
    <t>華固慕川</t>
  </si>
  <si>
    <t>2025-02-13</t>
  </si>
  <si>
    <t>11:14:00</t>
  </si>
  <si>
    <t>新電腦安裝驅動</t>
  </si>
  <si>
    <t>T252000102</t>
  </si>
  <si>
    <t>17:02:00</t>
  </si>
  <si>
    <t>14:51:00</t>
  </si>
  <si>
    <t>設定傳真</t>
  </si>
  <si>
    <t>16:55:00</t>
  </si>
  <si>
    <t>無法傳真</t>
  </si>
  <si>
    <t>2025-02-04</t>
  </si>
  <si>
    <t>pm</t>
  </si>
  <si>
    <t>2025-02-26</t>
  </si>
  <si>
    <t>11:26:00</t>
  </si>
  <si>
    <t>T301800117</t>
  </si>
  <si>
    <t>新北市林口區文化二路1段62-5號2F(放款部)</t>
  </si>
  <si>
    <t>林口文化2F放款部</t>
  </si>
  <si>
    <t>殘影 更換上熱</t>
  </si>
  <si>
    <t>2025-02-27</t>
  </si>
  <si>
    <t>16:38:00</t>
  </si>
  <si>
    <t>定著卡紙更換上熱分爪</t>
  </si>
  <si>
    <t>T301800140</t>
  </si>
  <si>
    <t xml:space="preserve">台灣紋意股份有限公司 </t>
  </si>
  <si>
    <t>新北市新莊區五權二路8號2樓</t>
  </si>
  <si>
    <t>2025-02-08</t>
  </si>
  <si>
    <t>14:15:00</t>
  </si>
  <si>
    <t>11:31:00</t>
  </si>
  <si>
    <t>側門故障無法開啟</t>
  </si>
  <si>
    <t>T302800060</t>
  </si>
  <si>
    <t>新北市五股區五工六路35號1樓(五股運輸)</t>
  </si>
  <si>
    <t>五股運輸</t>
  </si>
  <si>
    <t>11:18:00</t>
  </si>
  <si>
    <t>T302800068</t>
  </si>
  <si>
    <t xml:space="preserve">圓友管理顧問有限公司 </t>
  </si>
  <si>
    <t>新北市三重區集智街68號1樓</t>
  </si>
  <si>
    <t>2025-02-03</t>
  </si>
  <si>
    <t>14:48:00</t>
  </si>
  <si>
    <t xml:space="preserve">更換黑色滾筒 重新校正 </t>
  </si>
  <si>
    <t xml:space="preserve">Caoo 更換黃色攪拌棒 </t>
  </si>
  <si>
    <t>14:09:00</t>
  </si>
  <si>
    <t>更換側門</t>
  </si>
  <si>
    <t>11:40:00</t>
  </si>
  <si>
    <t>手送台卡紙 二抽無法感應</t>
  </si>
  <si>
    <t>10:08:00</t>
  </si>
  <si>
    <t>11:06:00</t>
  </si>
  <si>
    <t>radf卡紙</t>
  </si>
  <si>
    <t>碳粉 分輪</t>
  </si>
  <si>
    <t>T35AC00031</t>
  </si>
  <si>
    <t>eS-3505AC 彩色複合機</t>
  </si>
  <si>
    <t>新北市三重區重新路五段609巷2號4樓-2(客服)</t>
  </si>
  <si>
    <t>台北客服4樓2LJ12銷支科(彩)</t>
  </si>
  <si>
    <t>14:04:00</t>
  </si>
  <si>
    <t>T35AC00107</t>
  </si>
  <si>
    <t xml:space="preserve">嘉儀企業股份有限公司 </t>
  </si>
  <si>
    <t>新北市三重區中興北街247之5號3樓</t>
  </si>
  <si>
    <t>pm 倒廢粉</t>
  </si>
  <si>
    <t>T451800021</t>
  </si>
  <si>
    <t>新北市三重區重新路五段609巷2號4樓(客服)</t>
  </si>
  <si>
    <t>台北客服4樓後1LJ10(黑)</t>
  </si>
  <si>
    <t>16:32:00</t>
  </si>
  <si>
    <t>更換上下熱 溫控 第一紙匣取送分輪</t>
  </si>
  <si>
    <t>T451800165</t>
  </si>
  <si>
    <t>台北客服4樓-2LJ6(黑)</t>
  </si>
  <si>
    <t>更換OD OD刮回刮</t>
  </si>
  <si>
    <t>17:05:00</t>
  </si>
  <si>
    <t>更換OD</t>
  </si>
  <si>
    <t>11:15:00</t>
  </si>
  <si>
    <t>T451800168</t>
  </si>
  <si>
    <t>台北客服4樓中(黑)</t>
  </si>
  <si>
    <t>送稿機卡紙</t>
  </si>
  <si>
    <t>13:45:00</t>
  </si>
  <si>
    <t>17:09:00</t>
  </si>
  <si>
    <t>T501500008</t>
  </si>
  <si>
    <t>eS-5015AC 彩色複合機</t>
  </si>
  <si>
    <t xml:space="preserve">輔仁大學學校財團法人輔仁大學附設醫 </t>
  </si>
  <si>
    <t>新北市泰山區貴子路69號B1(保險組)</t>
  </si>
  <si>
    <t>保險組右</t>
  </si>
  <si>
    <t>09:10:00</t>
  </si>
  <si>
    <t>T501500009</t>
  </si>
  <si>
    <t>保險組左</t>
  </si>
  <si>
    <t>10:25:00</t>
  </si>
  <si>
    <t>eadf卡紙</t>
  </si>
  <si>
    <t>12:30:00</t>
  </si>
  <si>
    <t>13:01:00</t>
  </si>
  <si>
    <t>13:06:00</t>
  </si>
  <si>
    <t>13:02:00</t>
  </si>
  <si>
    <t>13:07:00</t>
  </si>
  <si>
    <t>2025-03-18</t>
  </si>
  <si>
    <t>10:38:00</t>
  </si>
  <si>
    <t>11:13:00</t>
  </si>
  <si>
    <t>14:22:00</t>
  </si>
  <si>
    <t>2025-03-13</t>
  </si>
  <si>
    <t>14:50:00</t>
  </si>
  <si>
    <t>2025-03-19</t>
  </si>
  <si>
    <t>14:27:00</t>
  </si>
  <si>
    <t>14:42:00</t>
  </si>
  <si>
    <t>11:41:00</t>
  </si>
  <si>
    <t>11:56:00</t>
  </si>
  <si>
    <t>12:14:00</t>
  </si>
  <si>
    <t>12:29:00</t>
  </si>
  <si>
    <t>11:27:00</t>
  </si>
  <si>
    <t>16:22:00</t>
  </si>
  <si>
    <t>16:37:00</t>
  </si>
  <si>
    <t>15:03:00</t>
  </si>
  <si>
    <t>13:50:00</t>
  </si>
  <si>
    <t>14:05:00</t>
  </si>
  <si>
    <t>2025-03-20</t>
  </si>
  <si>
    <t>14:34:00</t>
  </si>
  <si>
    <t>14:49:00</t>
  </si>
  <si>
    <t>2025-03-06</t>
  </si>
  <si>
    <t>13:28:00</t>
  </si>
  <si>
    <t>13:43:00</t>
  </si>
  <si>
    <t>13:42:00</t>
  </si>
  <si>
    <t>13:47:00</t>
  </si>
  <si>
    <t>16:10:00</t>
  </si>
  <si>
    <t>13:49:00</t>
  </si>
  <si>
    <t>15:46:00</t>
  </si>
  <si>
    <t>16:01:00</t>
  </si>
  <si>
    <t>14:19:00</t>
  </si>
  <si>
    <t>2025-03-25</t>
  </si>
  <si>
    <t>15:13:00</t>
  </si>
  <si>
    <t>15:25:00</t>
  </si>
  <si>
    <t>T552800002</t>
  </si>
  <si>
    <t xml:space="preserve"> eS-5528A 黑白複合機</t>
  </si>
  <si>
    <t>14:18:00</t>
  </si>
  <si>
    <t>14:33:00</t>
  </si>
  <si>
    <t>PM保養</t>
  </si>
  <si>
    <t>15:12:00</t>
  </si>
  <si>
    <t>2025-03-10</t>
  </si>
  <si>
    <t>2025-03-24</t>
  </si>
  <si>
    <t>17:04:00</t>
  </si>
  <si>
    <t>收款</t>
  </si>
  <si>
    <t>2025-03-17</t>
  </si>
  <si>
    <t>17:50:00</t>
  </si>
  <si>
    <t>無法傳真 無法觸控</t>
  </si>
  <si>
    <t>2025-03-21</t>
  </si>
  <si>
    <t>Pm</t>
  </si>
  <si>
    <t>16:56:00</t>
  </si>
  <si>
    <t>更換主機板電池 升級韌體</t>
  </si>
  <si>
    <t>2025-03-07</t>
  </si>
  <si>
    <t>2025-03-12</t>
  </si>
  <si>
    <t>2025-03-05</t>
  </si>
  <si>
    <t>列印髒污 濾鐵粉 清回刮</t>
  </si>
  <si>
    <t>11:05:00</t>
  </si>
  <si>
    <t>15:15:00</t>
  </si>
  <si>
    <t>更換上熱</t>
  </si>
  <si>
    <t>掃描彩色底黑</t>
  </si>
  <si>
    <t>2025-03-26</t>
  </si>
  <si>
    <t>更換鐵粉 OD OD刮 回刮</t>
  </si>
  <si>
    <t>列印有白線 濾鐵粉 校正</t>
  </si>
  <si>
    <t>送搞基卡紙</t>
  </si>
  <si>
    <t>2025-03-27</t>
  </si>
  <si>
    <t>清送搞機</t>
  </si>
  <si>
    <t>2025-03-04</t>
  </si>
  <si>
    <t>2025-03-28</t>
  </si>
  <si>
    <t>T351500004</t>
  </si>
  <si>
    <t xml:space="preserve">台灣大數位服務股份有限公司 </t>
  </si>
  <si>
    <t>新北市板橋區中山路1段3號2樓(板橋蘋果授權維修中心)</t>
  </si>
  <si>
    <t>板橋蘋果授權手機維修中心(彩)</t>
  </si>
  <si>
    <t>2025-03-31</t>
  </si>
  <si>
    <t>10:33:00</t>
  </si>
  <si>
    <t>15:21:00</t>
  </si>
  <si>
    <t>無法列印 協助設定</t>
  </si>
  <si>
    <t>15:20:00</t>
  </si>
  <si>
    <t>T351500007</t>
  </si>
  <si>
    <t>新北市三重區重新路五段609巷2號5樓-3(三重湯城維修中</t>
  </si>
  <si>
    <t>三重湯城手機維修中心</t>
  </si>
  <si>
    <t>送碳粉 清廢粉盒</t>
  </si>
  <si>
    <t>2025-03-14</t>
  </si>
  <si>
    <t>T351500017</t>
  </si>
  <si>
    <t>新北市三重區重新路五段609巷2號9樓(三重湯城客服)</t>
  </si>
  <si>
    <t>台北客服9樓(彩)</t>
  </si>
  <si>
    <t>升級韌體 傳真初始化 確認為傳真線路問題</t>
  </si>
  <si>
    <t>2025-03-03</t>
  </si>
  <si>
    <t>14:58:00</t>
  </si>
  <si>
    <t>側門卡榫變形，內部壓力彈片調整</t>
  </si>
  <si>
    <t>碳粉 回刮</t>
  </si>
  <si>
    <t>碳粉 設定掃描黑邊</t>
  </si>
  <si>
    <t>協助設定傳真 掃描電子郵件 通訊錄</t>
  </si>
  <si>
    <t>輕回刮</t>
  </si>
  <si>
    <t>2025-03-11</t>
  </si>
  <si>
    <t>脫墨 更換上熱 清回刮</t>
  </si>
  <si>
    <t>列印半邊空白 升級韌體 更新驅動 更換PDF程式</t>
  </si>
  <si>
    <t>安裝驅動設定樣板</t>
  </si>
  <si>
    <t>10:50:00</t>
  </si>
  <si>
    <t>11:17:00</t>
  </si>
  <si>
    <t>TCx810 POS 終端系統</t>
  </si>
  <si>
    <t>備份POS1 2 3 5 6機台事件檢視器</t>
  </si>
  <si>
    <t>16:29:00</t>
  </si>
  <si>
    <t>TX81000004</t>
  </si>
  <si>
    <t>門市機器目前1 6櫃皆正常開啟使用，已取得報修櫃號事件監視器紀錄，台芝檢查後會再判斷是否需更換硬碟</t>
  </si>
  <si>
    <t>12:01:00</t>
  </si>
  <si>
    <t>12:31:00</t>
  </si>
  <si>
    <t>TX81000005</t>
  </si>
  <si>
    <t>新莊宏匯店到店將POS4 5號機ups斷電重啟後已正常，UPS排插更換孔位</t>
  </si>
  <si>
    <t>TX30000061</t>
  </si>
  <si>
    <t>TW10002</t>
  </si>
  <si>
    <t>TCx300主機重啟後運作正常</t>
  </si>
  <si>
    <t>2025-04-17</t>
  </si>
  <si>
    <t>2025-04-16</t>
  </si>
  <si>
    <t>住商芝山店</t>
  </si>
  <si>
    <t>2025-04-14</t>
  </si>
  <si>
    <t>15:06:00</t>
  </si>
  <si>
    <t>10:54:00</t>
  </si>
  <si>
    <t>10:59:00</t>
  </si>
  <si>
    <t>14:31:00</t>
  </si>
  <si>
    <t>14:36:00</t>
  </si>
  <si>
    <t>2025-04-18</t>
  </si>
  <si>
    <t>09:32:00</t>
  </si>
  <si>
    <t>09:37:00</t>
  </si>
  <si>
    <t>11:54:00</t>
  </si>
  <si>
    <t>11:59:00</t>
  </si>
  <si>
    <t>11:12:00</t>
  </si>
  <si>
    <t>11:58:00</t>
  </si>
  <si>
    <t>12:03:00</t>
  </si>
  <si>
    <t>14:01:00</t>
  </si>
  <si>
    <t>14:16:00</t>
  </si>
  <si>
    <t>11:48:00</t>
  </si>
  <si>
    <t>11:49:00</t>
  </si>
  <si>
    <t>2025-04-07</t>
  </si>
  <si>
    <t>2025-04-25</t>
  </si>
  <si>
    <t>11:07:00</t>
  </si>
  <si>
    <t>11:22:00</t>
  </si>
  <si>
    <t>T301800176</t>
  </si>
  <si>
    <t>新北市淡水區中山北路2段375號8樓(家暴防治中心)</t>
  </si>
  <si>
    <t>新增DNS 172 19 1 2</t>
  </si>
  <si>
    <t>2025-04-08</t>
  </si>
  <si>
    <t>09:59:00</t>
  </si>
  <si>
    <t>10:11:00</t>
  </si>
  <si>
    <t>10:16:00</t>
  </si>
  <si>
    <t>13:17:00</t>
  </si>
  <si>
    <t>13:32:00</t>
  </si>
  <si>
    <t>2025-04-28</t>
  </si>
  <si>
    <t>更換取紙輪</t>
  </si>
  <si>
    <t>2025-04-30</t>
  </si>
  <si>
    <t>12:20:00</t>
  </si>
  <si>
    <t>清除閘極網測試正常</t>
  </si>
  <si>
    <t>12:13:00</t>
  </si>
  <si>
    <t>12:18:00</t>
  </si>
  <si>
    <t>10:46:00</t>
  </si>
  <si>
    <t>15:59:00</t>
  </si>
  <si>
    <t>16:14:00</t>
  </si>
  <si>
    <t>15:07:00</t>
  </si>
  <si>
    <t>15:54:00</t>
  </si>
  <si>
    <t>2025-04-09</t>
  </si>
  <si>
    <t>客戶線路插孔問題</t>
  </si>
  <si>
    <t>2025-04-10</t>
  </si>
  <si>
    <t>2025-04-15</t>
  </si>
  <si>
    <t>清潔廢粉盒 配送碳粉 備用廢粉盒</t>
  </si>
  <si>
    <t>2025-04-29</t>
  </si>
  <si>
    <t>配送廢粉盒</t>
  </si>
  <si>
    <t>T251000087</t>
  </si>
  <si>
    <t>新北市新莊區和興街66號3樓(節目中心)</t>
  </si>
  <si>
    <t>節目中心</t>
  </si>
  <si>
    <t>卡機沒反應 更換卡機</t>
  </si>
  <si>
    <t>T252000113</t>
  </si>
  <si>
    <t>新北市三重區仁義街與元信一街交叉口</t>
  </si>
  <si>
    <t>華固織幸</t>
  </si>
  <si>
    <t>設定掃描 部門代碼</t>
  </si>
  <si>
    <t>T301800010</t>
  </si>
  <si>
    <t>新北市三重區重新路五段609巷2號4樓-2</t>
  </si>
  <si>
    <t>三重湯城4樓(黑)</t>
  </si>
  <si>
    <t>2025-04-11</t>
  </si>
  <si>
    <t>上熱破損</t>
  </si>
  <si>
    <t>上熱 取 送 分 輪</t>
  </si>
  <si>
    <t>08:50:00</t>
  </si>
  <si>
    <t>刮片 取 送 分 輪</t>
  </si>
  <si>
    <t>09:17:00</t>
  </si>
  <si>
    <t>更換分離爪</t>
  </si>
  <si>
    <t>2025-04-24</t>
  </si>
  <si>
    <t>2025-04-23</t>
  </si>
  <si>
    <t>送搞機校正</t>
  </si>
  <si>
    <t>更換radf取送分輪</t>
  </si>
  <si>
    <t>清潔光學 清潔送搞機</t>
  </si>
  <si>
    <t>上熱 碳粉</t>
  </si>
  <si>
    <t>2025-04-22</t>
  </si>
  <si>
    <t>掃描有彩色線條 清潔光學模組</t>
  </si>
  <si>
    <t>更換回刮滾刮 取 送 分 輪</t>
  </si>
  <si>
    <t>2025-04-01</t>
  </si>
  <si>
    <t>12:49:00</t>
  </si>
  <si>
    <t>更換黃色OD</t>
  </si>
  <si>
    <t>T351500070</t>
  </si>
  <si>
    <t>新北市蘆洲區中山一路10號4樓(業務部)</t>
  </si>
  <si>
    <t>業務部</t>
  </si>
  <si>
    <t>11:35:00</t>
  </si>
  <si>
    <t>調整側門螺絲 設定掃描</t>
  </si>
  <si>
    <t>內湖裝新機</t>
  </si>
  <si>
    <t>2025-04-02</t>
  </si>
  <si>
    <t>12:40:00</t>
  </si>
  <si>
    <t>17:15:00</t>
  </si>
  <si>
    <t>清潔光學</t>
  </si>
  <si>
    <t>更換分輪 送碳粉</t>
  </si>
  <si>
    <t>磁軸卡粉 濾鐵粉 清顯像組 側門 取紙組</t>
  </si>
  <si>
    <t>T352500148</t>
  </si>
  <si>
    <t xml:space="preserve">宏偉營造工程有限公司 </t>
  </si>
  <si>
    <t>新北市三重區光復路1段61巷26號2樓</t>
  </si>
  <si>
    <t>設定驅動 設定掃描</t>
  </si>
  <si>
    <t>09:40:00</t>
  </si>
  <si>
    <t>新北市三重區中興北街247巷5號3樓</t>
  </si>
  <si>
    <t>彩色校正 設定傳真 送搞基校正</t>
  </si>
  <si>
    <t>17:11:00</t>
  </si>
  <si>
    <t>列印亂碼，更新驅動，備份列印紀錄</t>
  </si>
  <si>
    <t>10:24:00</t>
  </si>
  <si>
    <t>影像模糊 更換OD OD刮</t>
  </si>
  <si>
    <t>更換OD OD刮</t>
  </si>
  <si>
    <t>14:25:00</t>
  </si>
  <si>
    <t>設定新進人員掃描樣板 驅動</t>
  </si>
  <si>
    <t>17:42:00</t>
  </si>
  <si>
    <t>17:57:00</t>
  </si>
  <si>
    <t>PM 配送YMC 1 K 2</t>
  </si>
  <si>
    <t>13:51:00</t>
  </si>
  <si>
    <t>13:56:00</t>
  </si>
  <si>
    <t>13:03:00</t>
  </si>
  <si>
    <t xml:space="preserve">更換TCx300第一顆硬碟 無備份還原 </t>
  </si>
  <si>
    <t>TX30000082</t>
  </si>
  <si>
    <t>POS27
TCx300 開機故障聲
1 線路及內部硬體重插後開機正常
2 開機後錢箱無法正常作動
 04 10 更換TCx300機板測試</t>
  </si>
  <si>
    <t>新莊宏匯店
1 到店時POS05已正常開機
2 重新開機測試 BIOS正常 微軟標誌讀取畫面後即黑畫面
 主客顯無反應 
3 多次重開後成功開機至桌面
4 再次測試 多次重開測試皆正常
5 攜回事件檢視器
店鋪反應
1 POS開機進入至桌面後不會自動啟動 WinPos 剛開幕時會 
2 近期平板也出現需要多次重新開機問題</t>
  </si>
  <si>
    <t>2025-05-16</t>
  </si>
  <si>
    <t>10:51:00</t>
  </si>
  <si>
    <t>2025-05-12</t>
  </si>
  <si>
    <t>11:21:00</t>
  </si>
  <si>
    <t>2025-05-19</t>
  </si>
  <si>
    <t>09:05:00</t>
  </si>
  <si>
    <t>09:25:00</t>
  </si>
  <si>
    <t>11:23:00</t>
  </si>
  <si>
    <t>15:29:00</t>
  </si>
  <si>
    <t>13:46:00</t>
  </si>
  <si>
    <t>09:44:00</t>
  </si>
  <si>
    <t>11:09:00</t>
  </si>
  <si>
    <t>2025-05-13</t>
  </si>
  <si>
    <t>列印出現髒污，清除閘極網和回刮測試正常</t>
  </si>
  <si>
    <t>14:43:00</t>
  </si>
  <si>
    <t>2025-05-22</t>
  </si>
  <si>
    <t>T301800088</t>
  </si>
  <si>
    <t>2025-05-05</t>
  </si>
  <si>
    <t>2025-05-29</t>
  </si>
  <si>
    <t>設定連線掃描資料夾
172 16 129 189
教導現場人員可自行設定連線</t>
  </si>
  <si>
    <t>15:42:00</t>
  </si>
  <si>
    <t>14:02:00</t>
  </si>
  <si>
    <t>2025-05-06</t>
  </si>
  <si>
    <t>13:21:00</t>
  </si>
  <si>
    <t>設定掃描資料夾，電話完成教學</t>
  </si>
  <si>
    <t>16:09:00</t>
  </si>
  <si>
    <t>12:26:00</t>
  </si>
  <si>
    <t>列印有殘影，
更換
回收刮片
滾筒刮片
上熱管
滾筒</t>
  </si>
  <si>
    <t>14:11:00</t>
  </si>
  <si>
    <t>13:20:00</t>
  </si>
  <si>
    <t>13:35:00</t>
  </si>
  <si>
    <t>2025-05-20</t>
  </si>
  <si>
    <t>10:23:00</t>
  </si>
  <si>
    <t>2025-05-09</t>
  </si>
  <si>
    <t>10:43:00</t>
  </si>
  <si>
    <t>上個禮拜網路無法連線，更換一條網路線測試正常，請客戶在確認</t>
  </si>
  <si>
    <t>14:17:00</t>
  </si>
  <si>
    <t>14:32:00</t>
  </si>
  <si>
    <t>2025-05-27</t>
  </si>
  <si>
    <t>14:47:00</t>
  </si>
  <si>
    <t>PM抄表
送黑色碳粉夾 2</t>
  </si>
  <si>
    <t>2025-05-28</t>
  </si>
  <si>
    <t>10:55:00</t>
  </si>
  <si>
    <t>TX30200001</t>
  </si>
  <si>
    <t>HP-DL360 G10 伺服器</t>
  </si>
  <si>
    <t>台北市萬華區西寧南路123號</t>
  </si>
  <si>
    <t>TW10001</t>
  </si>
  <si>
    <t>檢測APC2200UPS電瓶異常需報價維修
檢測ILO5， HP server狀態皆為正常</t>
  </si>
  <si>
    <t>2025-05-07</t>
  </si>
  <si>
    <t>張數有疑慮 匯出列印紀錄 更新驅動</t>
  </si>
  <si>
    <t>17:10:00</t>
  </si>
  <si>
    <t>17:25:00</t>
  </si>
  <si>
    <t>09:55:00</t>
  </si>
  <si>
    <t>無法傳真，重置傳真測試傳真正常</t>
  </si>
  <si>
    <t>2025-05-08</t>
  </si>
  <si>
    <t>10:22:00</t>
  </si>
  <si>
    <t>更新驅動 設定掃描 設定分割列印</t>
  </si>
  <si>
    <t>2025-05-02</t>
  </si>
  <si>
    <t>16:45:00</t>
  </si>
  <si>
    <t>更換手送台分輪</t>
  </si>
  <si>
    <t>協助維修</t>
  </si>
  <si>
    <t>16:53:00</t>
  </si>
  <si>
    <t>17:23:00</t>
  </si>
  <si>
    <t>更換上熱OD OD刮 回刮</t>
  </si>
  <si>
    <t>16:35:00</t>
  </si>
  <si>
    <t>16:52:00</t>
  </si>
  <si>
    <t>更換滾筒 上熱 鐵粉 回刮</t>
  </si>
  <si>
    <t>2025-05-26</t>
  </si>
  <si>
    <t>15:53:00</t>
  </si>
  <si>
    <t>清回刮，更換上熱</t>
  </si>
  <si>
    <t>抽屜紙張有間隙，抽屜齒輪崩牙，校正後用螺絲固定，請報修人測試列印影印掃描正常無歪斜</t>
  </si>
  <si>
    <t>2025-05-14</t>
  </si>
  <si>
    <t>Win11無法使用掃描 協助設定</t>
  </si>
  <si>
    <t>Win11無法掃描 設定掃描帳密</t>
  </si>
  <si>
    <t>收款 178繳款</t>
  </si>
  <si>
    <t>16:20:00</t>
  </si>
  <si>
    <t>殘影更換上熱</t>
  </si>
  <si>
    <t>T351800081</t>
  </si>
  <si>
    <t xml:space="preserve">台固媒體股份有限公司 </t>
  </si>
  <si>
    <t>新北市新莊區中正路657-12號8樓(新莊客服部)</t>
  </si>
  <si>
    <t>新莊8F</t>
  </si>
  <si>
    <t>影印身份證太黑，濾鐵粉，校正影像</t>
  </si>
  <si>
    <t>2025-05-23</t>
  </si>
  <si>
    <t>列印影像異常 更換驅動</t>
  </si>
  <si>
    <t>15:56:00</t>
  </si>
  <si>
    <t>髒污 清回刮</t>
  </si>
  <si>
    <t>濾鐵粉 更換OD OD刮回刮 上熱</t>
  </si>
  <si>
    <t>18:00:00</t>
  </si>
  <si>
    <t>更換OD 上熱 噴粉清潔</t>
  </si>
  <si>
    <t>無法寄信 重設smtp伺服器</t>
  </si>
  <si>
    <t>設定掃描 安裝驅動</t>
  </si>
  <si>
    <t>T451800006</t>
  </si>
  <si>
    <t xml:space="preserve">凱擘股份有限公司 </t>
  </si>
  <si>
    <t>新北市新莊區中正路657-10號2樓</t>
  </si>
  <si>
    <t>Radf卡紙 清除異物 更換radf取送分</t>
  </si>
  <si>
    <t>14:56:00</t>
  </si>
  <si>
    <t>T451800007</t>
  </si>
  <si>
    <t>新北市三重區重新路五段609巷2號10樓-3</t>
  </si>
  <si>
    <t>台北客服10樓-3(黑)</t>
  </si>
  <si>
    <t>列印影印都淡
更換滾鐵刮</t>
  </si>
  <si>
    <t>2025-05-15</t>
  </si>
  <si>
    <t>內湖裝機</t>
  </si>
  <si>
    <t>設定驅動</t>
  </si>
  <si>
    <t>10:52:00</t>
  </si>
  <si>
    <t>髒污清回刮 更換取送分輪</t>
  </si>
  <si>
    <t>10:48:00</t>
  </si>
  <si>
    <t>更換螢幕Display DP線路
測試正常</t>
  </si>
  <si>
    <t>12:15:00</t>
  </si>
  <si>
    <t>09:35:00</t>
  </si>
  <si>
    <t>2025-06-10</t>
  </si>
  <si>
    <t>12:25:00</t>
  </si>
  <si>
    <t>10:20:00</t>
  </si>
  <si>
    <t>10:05:00</t>
  </si>
  <si>
    <t>2025-06-19</t>
  </si>
  <si>
    <t>10:28:00</t>
  </si>
  <si>
    <t>2025-06-26</t>
  </si>
  <si>
    <t>16:43:00</t>
  </si>
  <si>
    <t>更換上熱 回收刮片
調整設定後測試正常</t>
  </si>
  <si>
    <t>2025-06-03</t>
  </si>
  <si>
    <t>13:48:00</t>
  </si>
  <si>
    <t>2025-06-20</t>
  </si>
  <si>
    <t>16:47:00</t>
  </si>
  <si>
    <t>2025-06-06</t>
  </si>
  <si>
    <t>2025-06-09</t>
  </si>
  <si>
    <t>更換上熱管 
下熱管
滾筒
滾筒刮片
回收刮片</t>
  </si>
  <si>
    <t>11:36:00</t>
  </si>
  <si>
    <t>PM
送粉色碳粉 1
青色碳粉 1
黃色碳粉 1
黑色碳粉 1</t>
  </si>
  <si>
    <t>12:36:00</t>
  </si>
  <si>
    <t>12:51:00</t>
  </si>
  <si>
    <t>2025-07-01</t>
  </si>
  <si>
    <t>排除卡機問題</t>
  </si>
  <si>
    <t>13:12:00</t>
  </si>
  <si>
    <t>13:27:00</t>
  </si>
  <si>
    <t>09:50:00</t>
  </si>
  <si>
    <t>09:20:00</t>
  </si>
  <si>
    <t>送黑色碳粉 2</t>
  </si>
  <si>
    <t>2025-06-25</t>
  </si>
  <si>
    <t>13:34:00</t>
  </si>
  <si>
    <t>2025-06-04</t>
  </si>
  <si>
    <t>TX81000002</t>
  </si>
  <si>
    <t>年度保養</t>
  </si>
  <si>
    <t>設定mac驅動</t>
  </si>
  <si>
    <t>新電腦安裝驅動設定掃描</t>
  </si>
  <si>
    <t>2025-06-12</t>
  </si>
  <si>
    <t>14:24:00</t>
  </si>
  <si>
    <t>邊緣髒污 清閘極網</t>
  </si>
  <si>
    <t>2025-06-16</t>
  </si>
  <si>
    <t>無法傳真 重置傳真</t>
  </si>
  <si>
    <t>2025-06-27</t>
  </si>
  <si>
    <t>14:53:00</t>
  </si>
  <si>
    <t>P m</t>
  </si>
  <si>
    <t>2025-06-11</t>
  </si>
  <si>
    <t>2025-06-13</t>
  </si>
  <si>
    <t>16:41:00</t>
  </si>
  <si>
    <t>更換網路孔 傳真孔 測試正常</t>
  </si>
  <si>
    <t>16:07:00</t>
  </si>
  <si>
    <t>T252000125</t>
  </si>
  <si>
    <t>新北市林口區文化二路1段62-5號2F(放款部</t>
  </si>
  <si>
    <t xml:space="preserve">設定影印預設黑白 設定掃描樣板 </t>
  </si>
  <si>
    <t>2025-06-05</t>
  </si>
  <si>
    <t>更換回刮</t>
  </si>
  <si>
    <t>清回刮 設定驅動</t>
  </si>
  <si>
    <t>髒污 清回刮 濾鐵粉</t>
  </si>
  <si>
    <t>送給機卡紙 更換分離輪 清潔</t>
  </si>
  <si>
    <t>03:54:00</t>
  </si>
  <si>
    <t>清回刮 濾鐵粉</t>
  </si>
  <si>
    <t>2025-06-18</t>
  </si>
  <si>
    <t xml:space="preserve">碳粉空 更換碳粉 </t>
  </si>
  <si>
    <t>2025-06-02</t>
  </si>
  <si>
    <t>T302800123</t>
  </si>
  <si>
    <t>清潔送給機</t>
  </si>
  <si>
    <t>16:24:00</t>
  </si>
  <si>
    <t>更換上熱 OD OD刮 取送分 濾鐵粉</t>
  </si>
  <si>
    <t>15:35:00</t>
  </si>
  <si>
    <t>17:18:00</t>
  </si>
  <si>
    <t>列印影像會暈開，調整驅動設定</t>
  </si>
  <si>
    <t>更換溫控 上熱</t>
  </si>
  <si>
    <t>04:00:00</t>
  </si>
  <si>
    <t>17:45:00</t>
  </si>
  <si>
    <t>更換OD OD刮 上熱 取送分</t>
  </si>
  <si>
    <t>Win11設定掃描</t>
  </si>
  <si>
    <t>2025-06-24</t>
  </si>
  <si>
    <t>OD OD刮</t>
  </si>
  <si>
    <t>16:44:00</t>
  </si>
  <si>
    <t>黑線 清回刮 閘極網</t>
  </si>
  <si>
    <t>黑線 更換上熱</t>
  </si>
  <si>
    <t>黑線 更換上熱 清回刮</t>
  </si>
  <si>
    <t>2025-06-23</t>
  </si>
  <si>
    <t>歸還測試零件一袋</t>
  </si>
  <si>
    <t>16:33:00</t>
  </si>
  <si>
    <t>更換滾筒 鐵粉</t>
  </si>
  <si>
    <t>更換零件 
T6LH02679000</t>
  </si>
  <si>
    <t>更換
攪拌棒 1
油封 2</t>
  </si>
  <si>
    <t>16:19:00</t>
  </si>
  <si>
    <t>2025-07-24</t>
  </si>
  <si>
    <t>13:31:00</t>
  </si>
  <si>
    <t>2025-07-17</t>
  </si>
  <si>
    <t>2025-07-11</t>
  </si>
  <si>
    <t>12:27:00</t>
  </si>
  <si>
    <t>2025-07-18</t>
  </si>
  <si>
    <t>14:38:00</t>
  </si>
  <si>
    <t>15:08:00</t>
  </si>
  <si>
    <t>16:06:00</t>
  </si>
  <si>
    <t>2025-07-07</t>
  </si>
  <si>
    <t>12:39:00</t>
  </si>
  <si>
    <t>12:54:00</t>
  </si>
  <si>
    <t>2025-07-21</t>
  </si>
  <si>
    <t>13:41:00</t>
  </si>
  <si>
    <t>2025-07-09</t>
  </si>
  <si>
    <t>2025-07-15</t>
  </si>
  <si>
    <t>16:59:00</t>
  </si>
  <si>
    <t>新北市三重區重新路5段609巷10號3樓(新北蘋果授權維修中心)</t>
  </si>
  <si>
    <t>新北蘋果授權維修中心(彩)</t>
  </si>
  <si>
    <t>湯城換機更新作業 6</t>
  </si>
  <si>
    <t>14:06:00</t>
  </si>
  <si>
    <t>14:21:00</t>
  </si>
  <si>
    <t>12:56:00</t>
  </si>
  <si>
    <t>13:11:00</t>
  </si>
  <si>
    <t>PM 抄表</t>
  </si>
  <si>
    <t>16:36:00</t>
  </si>
  <si>
    <t>因列印偏淡更換鐵粉</t>
  </si>
  <si>
    <t>11:37:00</t>
  </si>
  <si>
    <t>保養，設定掃描完成時間</t>
  </si>
  <si>
    <t>2025-07-22</t>
  </si>
  <si>
    <t>16:27:00</t>
  </si>
  <si>
    <t>T352500152</t>
  </si>
  <si>
    <t>2025-07-25</t>
  </si>
  <si>
    <t>15:36:00</t>
  </si>
  <si>
    <t>T452500016</t>
  </si>
  <si>
    <t>15:44:00</t>
  </si>
  <si>
    <t>2025-07-10</t>
  </si>
  <si>
    <t>2025-07-04</t>
  </si>
  <si>
    <t>轉寫皮帶回收刮片卡異物</t>
  </si>
  <si>
    <t>列印髒污 卡貼紙 清潔轉皮</t>
  </si>
  <si>
    <t>2025-07-08</t>
  </si>
  <si>
    <t>T251000065</t>
  </si>
  <si>
    <t>新莊8F客服部</t>
  </si>
  <si>
    <t>16:50:00</t>
  </si>
  <si>
    <t>新進同仁 設定驅動 卡機 掃描</t>
  </si>
  <si>
    <t>2025-07-03</t>
  </si>
  <si>
    <t>2025-07-28</t>
  </si>
  <si>
    <t>10:36:00</t>
  </si>
  <si>
    <t>設定掃描資料夾 新電腦安裝驅動</t>
  </si>
  <si>
    <t>掃描資料夾遺失 重設掃描</t>
  </si>
  <si>
    <t>2025-07-16</t>
  </si>
  <si>
    <t>卡紙在抽屜背後 協助設定掃描</t>
  </si>
  <si>
    <t>2025-07-02</t>
  </si>
  <si>
    <t>T301800009</t>
  </si>
  <si>
    <t>新北市三重區重新路五段609巷2號3樓-3</t>
  </si>
  <si>
    <t>台北客服3樓-3</t>
  </si>
  <si>
    <t>更換OD OD刮 回刮</t>
  </si>
  <si>
    <t>湯城換機設定調查</t>
  </si>
  <si>
    <t>升級韌體 重設參數</t>
  </si>
  <si>
    <t>T301800155</t>
  </si>
  <si>
    <t>新北市三重區重新路五段609巷2號F(三重湯城7F)</t>
  </si>
  <si>
    <t>三重湯城7樓(黑)</t>
  </si>
  <si>
    <t>系統更新 計數器歸零</t>
  </si>
  <si>
    <t>T301800157</t>
  </si>
  <si>
    <t>新北市三重區重新路五段609巷2號9F(三重湯城9F)</t>
  </si>
  <si>
    <t>三重湯城9樓(黑)</t>
  </si>
  <si>
    <t>2025-07-14</t>
  </si>
  <si>
    <t>網路不通 測試為線路問題</t>
  </si>
  <si>
    <t>更換鐵粉</t>
  </si>
  <si>
    <t>更換ODOD刮回刮 上熱</t>
  </si>
  <si>
    <t>14:54:00</t>
  </si>
  <si>
    <t>列印髒污 轉刮故障</t>
  </si>
  <si>
    <t>髒污 清潔閘極網</t>
  </si>
  <si>
    <t>影印有黑線 清潔RADF</t>
  </si>
  <si>
    <t>T351500167</t>
  </si>
  <si>
    <t>台北市信義區菸廠路88號11樓(文創11樓D區)</t>
  </si>
  <si>
    <t>台北文創11樓D區(彩)</t>
  </si>
  <si>
    <t>湯城裝機四台 整機一台</t>
  </si>
  <si>
    <t>10:07:00</t>
  </si>
  <si>
    <t>RADF卡紙 卡貼紙</t>
  </si>
  <si>
    <t>髒污 更換 OD OD刮片 回收刮片</t>
  </si>
  <si>
    <t>更換上熱 取送分輪 回刮</t>
  </si>
  <si>
    <t>卡機無法使用 重插卡機</t>
  </si>
  <si>
    <t>更換OD ID刮 回刮</t>
  </si>
  <si>
    <t>髒汙 更換鐵粉回刮</t>
  </si>
  <si>
    <t>17:08:00</t>
  </si>
  <si>
    <t>新增掃描樣板 安裝驅動</t>
  </si>
  <si>
    <t>2025-07-23</t>
  </si>
  <si>
    <t>掃描遺失重建 新人員驅動掃描設定</t>
  </si>
  <si>
    <t xml:space="preserve">重插卡機 </t>
  </si>
  <si>
    <t>Radf卡紙 卡貼紙</t>
  </si>
  <si>
    <t>T452800047</t>
  </si>
  <si>
    <t>10:49:00</t>
  </si>
  <si>
    <t>常常出現漏斗 重新升級 調整參數</t>
  </si>
  <si>
    <t>14:59:00</t>
  </si>
  <si>
    <t>17:33:00</t>
  </si>
  <si>
    <t>1 邊界調整
2 跟換滾筒 刮片 鐵粉
3 備用談粉 1</t>
  </si>
  <si>
    <t>T301800160</t>
  </si>
  <si>
    <t>新北市五股區五權路48號2樓(五股倉庫)</t>
  </si>
  <si>
    <t>五股倉庫(黑)</t>
  </si>
  <si>
    <t>2025-07-29</t>
  </si>
  <si>
    <t xml:space="preserve">上熱破 </t>
  </si>
  <si>
    <t>12:21:00</t>
  </si>
  <si>
    <t>新北市淡水區中山北路2段73號2樓</t>
  </si>
  <si>
    <t>2025-07-30</t>
  </si>
  <si>
    <t>14:12:00</t>
  </si>
  <si>
    <t>將原機洗掉，克隆櫃檯的機器，刷卡目前測試皆為正常，現場IT會在建立使用者帳戶</t>
  </si>
  <si>
    <t>暫撤機</t>
  </si>
  <si>
    <t>T301800045</t>
  </si>
  <si>
    <t xml:space="preserve">台芝國際股份有限公司 </t>
  </si>
  <si>
    <t>新北市三重區光復路一段82之8號8樓</t>
  </si>
  <si>
    <t>碳粉 1</t>
  </si>
  <si>
    <t>16:48:00</t>
  </si>
  <si>
    <t>安裝MAC驅動
清潔轉皮</t>
  </si>
  <si>
    <t>T301800012</t>
  </si>
  <si>
    <t>新北市三重區重新路五段609巷2號2樓</t>
  </si>
  <si>
    <t>台北客服2樓(黑)</t>
  </si>
  <si>
    <t>2025-07-31</t>
  </si>
  <si>
    <t>第一紙匣更換取送分輪
第二紙匣未卡緊</t>
  </si>
  <si>
    <t>黑線 調整邊界</t>
  </si>
  <si>
    <t>2025-08-04</t>
  </si>
  <si>
    <t>調整參數 清潔光學</t>
  </si>
  <si>
    <t>2025-08-05</t>
  </si>
  <si>
    <t>13:59:00</t>
  </si>
  <si>
    <t>PM抄表
更換A4第一紙夾中的取紙輪 送紙輪 分離輪</t>
  </si>
  <si>
    <t>14:39:00</t>
  </si>
  <si>
    <t>09:48:00</t>
  </si>
  <si>
    <t>10:18:00</t>
  </si>
  <si>
    <t>OD OD刮 回刮</t>
  </si>
  <si>
    <t>修改設定</t>
  </si>
  <si>
    <t>OD OD刮 回刮 取送分輪 碳粉</t>
  </si>
  <si>
    <t>16:51:00</t>
  </si>
  <si>
    <t>T351500019</t>
  </si>
  <si>
    <t>新北市三重區重新路五段609巷2號10樓</t>
  </si>
  <si>
    <t>台北客服10樓(彩)</t>
  </si>
  <si>
    <t>黃色攪拌棒偵測器故障</t>
  </si>
  <si>
    <t>2025-08-01</t>
  </si>
  <si>
    <t>2025-08-06</t>
  </si>
  <si>
    <t>整機 取送分輪 radf分輪</t>
  </si>
  <si>
    <t>更換上熱 分爪 OD OD刮 回刮</t>
  </si>
  <si>
    <t>17:20:00</t>
  </si>
  <si>
    <t>LDAP DB破損
需更換硬碟測試</t>
  </si>
  <si>
    <t>2025-08-07</t>
  </si>
  <si>
    <t>取送分輪 RADF分輪</t>
  </si>
  <si>
    <t>更換OD OD刮 回刮 上熱 分爪</t>
  </si>
  <si>
    <t>17:30:00</t>
  </si>
  <si>
    <t>LDAP DB損壞
需更換硬碟測試</t>
  </si>
  <si>
    <t>2025-08-08</t>
  </si>
  <si>
    <t>卡貼紙 清潔轉皮 滾筒 磁軸</t>
  </si>
  <si>
    <t>請客戶另存新檔 重新列印 目前正常 觀察中</t>
  </si>
  <si>
    <t>16:40:00</t>
  </si>
  <si>
    <t>2025-08-11</t>
  </si>
  <si>
    <t>2025-08-12</t>
  </si>
  <si>
    <t>OD OD刮 回刮 上熱 鐵粉 更換
配送碳粉</t>
  </si>
  <si>
    <t>10:10:00</t>
  </si>
  <si>
    <t>T351500014</t>
  </si>
  <si>
    <t>新北市三重區重新路五段609巷2號10樓-2(三重湯城)</t>
  </si>
  <si>
    <t>台北客服10樓-2(彩)</t>
  </si>
  <si>
    <t>列印抬頭被裁切 調整驅動設定</t>
  </si>
  <si>
    <t>2025-08-13</t>
  </si>
  <si>
    <t>T451800125</t>
  </si>
  <si>
    <t>新北市新莊區中正路657-12號8樓(新莊8F)</t>
  </si>
  <si>
    <t>16:46:00</t>
  </si>
  <si>
    <t>影印有線 清潔RADF</t>
  </si>
  <si>
    <t>2025-08-14</t>
  </si>
  <si>
    <t>2025-08-15</t>
  </si>
  <si>
    <t>更換攪拌棒X4</t>
  </si>
  <si>
    <t>12:11:00</t>
  </si>
  <si>
    <t>滾鐵刮 碳粉</t>
  </si>
  <si>
    <t>17:38:00</t>
  </si>
  <si>
    <t>16:57:00</t>
  </si>
  <si>
    <t>17:01:00</t>
  </si>
  <si>
    <t>A4紙8 15已送達</t>
  </si>
  <si>
    <t>12:46:00</t>
  </si>
  <si>
    <t>T252000131</t>
  </si>
  <si>
    <t xml:space="preserve">臺北市私立淘兒園幼兒園 </t>
  </si>
  <si>
    <t>15:11:00</t>
  </si>
  <si>
    <t>PM抄表
送粉色碳粉 1</t>
  </si>
  <si>
    <t>08:40:00</t>
  </si>
  <si>
    <t>T451800027</t>
  </si>
  <si>
    <t>台北客服4F申裝查核處(黑)</t>
  </si>
  <si>
    <t xml:space="preserve">四樓換機整機歸零 </t>
  </si>
  <si>
    <t>T451800022</t>
  </si>
  <si>
    <t>新北市三重區重新路五段609巷2號10樓(三重湯城客服)</t>
  </si>
  <si>
    <t>台北客服10樓(黑)</t>
  </si>
  <si>
    <t>OD OD刮 回刮 上熱 碳粉</t>
  </si>
  <si>
    <t>16:12:00</t>
  </si>
  <si>
    <t>2025-08-22</t>
  </si>
  <si>
    <t>15:33:00</t>
  </si>
  <si>
    <t>T300800068</t>
  </si>
  <si>
    <t>eS-3008A 黑白複合機</t>
  </si>
  <si>
    <t>新北市淡水區中山北路2段375號6樓(環保局第6分隊)</t>
  </si>
  <si>
    <t>RADF 故障</t>
  </si>
  <si>
    <t xml:space="preserve">安裝MAC驅動 </t>
  </si>
  <si>
    <t>2025-08-27</t>
  </si>
  <si>
    <t>更換定著組整組</t>
  </si>
  <si>
    <t>無法列印 ip衝突 重設ip</t>
  </si>
  <si>
    <t>列印異常 更換ps3驅動</t>
  </si>
  <si>
    <t>噴粉 更換 OD OD刮 回刮 上熱 鐵粉</t>
  </si>
  <si>
    <t>16:28:00</t>
  </si>
  <si>
    <t>OD OD刮 回刮 上熱 鐵粉 取送分輪</t>
  </si>
  <si>
    <t>T351500177</t>
  </si>
  <si>
    <t>漢廷裝機 宏偉安裝驅動</t>
  </si>
  <si>
    <t>T251000090</t>
  </si>
  <si>
    <t>新北市蘆洲區中山一路12號3樓(行政組)</t>
  </si>
  <si>
    <t>行政組</t>
  </si>
  <si>
    <t>2025-09-01</t>
  </si>
  <si>
    <t>T252000136</t>
  </si>
  <si>
    <t xml:space="preserve">漢庭營造股份有限公司 </t>
  </si>
  <si>
    <t>台北市信義區德厚街76號7樓</t>
  </si>
  <si>
    <t>2025-09-04</t>
  </si>
  <si>
    <t>12:52:00</t>
  </si>
  <si>
    <t>天玉街</t>
  </si>
  <si>
    <t>紙匣驚嘆號，紙張未夾緊，重新裝紙正常</t>
  </si>
  <si>
    <t>更換OD OD刮 回刮 鐵粉</t>
  </si>
  <si>
    <t>2025-09-05</t>
  </si>
  <si>
    <t>送黑色碳粉 1</t>
  </si>
  <si>
    <t>2025-09-08</t>
  </si>
  <si>
    <t>11:11:00</t>
  </si>
  <si>
    <t xml:space="preserve">漏粉 更換OD OD刮 回刮 </t>
  </si>
  <si>
    <t>TX30000071</t>
  </si>
  <si>
    <t>桃園市桃園區中正路61號B1</t>
  </si>
  <si>
    <t>TW10006</t>
  </si>
  <si>
    <t>SCO12 13 14移機安裝已完工</t>
  </si>
  <si>
    <t>2025-09-10</t>
  </si>
  <si>
    <t>換機抄表</t>
  </si>
  <si>
    <t>更新版本
抄表</t>
  </si>
  <si>
    <t>2025-09-11</t>
  </si>
  <si>
    <t>新北市三重區德厚街76號7樓</t>
  </si>
  <si>
    <t>重設網路</t>
  </si>
  <si>
    <t>T302800152</t>
  </si>
  <si>
    <t>更換傳真 傳真線 重置傳真</t>
  </si>
  <si>
    <t>T302800154</t>
  </si>
  <si>
    <t>身分證太黑</t>
  </si>
  <si>
    <t>T302800155</t>
  </si>
  <si>
    <t xml:space="preserve">影印位置偏移 </t>
  </si>
  <si>
    <t>鐵粉 碳粉</t>
  </si>
  <si>
    <t>11:04:00</t>
  </si>
  <si>
    <t>2025-09-16</t>
  </si>
  <si>
    <t>13:57:00</t>
  </si>
  <si>
    <t>2025-09-15</t>
  </si>
  <si>
    <t>取送分輪x2</t>
  </si>
  <si>
    <t>09:38:00</t>
  </si>
  <si>
    <t>09:53:00</t>
  </si>
  <si>
    <t>OD OD刮 回刮 鐵粉</t>
  </si>
  <si>
    <t>17:24:00</t>
  </si>
  <si>
    <t>17:54:00</t>
  </si>
  <si>
    <t>卡紙 取送分輪x4</t>
  </si>
  <si>
    <t>15:58:00</t>
  </si>
  <si>
    <t>16:13:00</t>
  </si>
  <si>
    <t>15:49:00</t>
  </si>
  <si>
    <t>OD od刮 回刮</t>
  </si>
  <si>
    <t>OD o刮 回刮 鐵粉</t>
  </si>
  <si>
    <t>取送分輪</t>
  </si>
  <si>
    <t>T452800069</t>
  </si>
  <si>
    <t>2025-09-18</t>
  </si>
  <si>
    <t>更換DS4608</t>
  </si>
  <si>
    <t>2025-09-19</t>
  </si>
  <si>
    <t>內湖倉裝機 五台</t>
  </si>
  <si>
    <t>radf卡紙 更換取送分輪</t>
  </si>
  <si>
    <t>2025-09-22</t>
  </si>
  <si>
    <t>廢粉盒已滿</t>
  </si>
  <si>
    <t>設定掃描資料夾</t>
  </si>
  <si>
    <t>清廢粉盒</t>
  </si>
  <si>
    <t>列印的條碼讀取亂碼 重新校正</t>
  </si>
  <si>
    <t>列印條碼讀取亂碼 重新校正</t>
  </si>
  <si>
    <t>2025-09-24</t>
  </si>
  <si>
    <t>新增印表機驅動</t>
  </si>
  <si>
    <t>2025-09-23</t>
  </si>
  <si>
    <t>影印切邊</t>
  </si>
  <si>
    <t>2025-09-25</t>
  </si>
  <si>
    <t>15:17:00</t>
  </si>
  <si>
    <t>卡紙 更換取送分輪</t>
  </si>
  <si>
    <t>2025-10-01</t>
  </si>
  <si>
    <t>T252000150</t>
  </si>
  <si>
    <t>台北市士林區延平北路5段257巷2弄1號</t>
  </si>
  <si>
    <t>T302800153</t>
  </si>
  <si>
    <t>T302800156</t>
  </si>
  <si>
    <t>T252000130</t>
  </si>
  <si>
    <t xml:space="preserve">岳吉不動產股份有限公司 </t>
  </si>
  <si>
    <t>台北市北投區義理街1號1樓</t>
  </si>
  <si>
    <t>住商石牌</t>
  </si>
  <si>
    <t>2025-10-02</t>
  </si>
  <si>
    <t>測試正常</t>
  </si>
  <si>
    <t>2025-10-03</t>
  </si>
  <si>
    <t xml:space="preserve">宏偉營造股份有限公司 </t>
  </si>
  <si>
    <t>TX30000054</t>
  </si>
  <si>
    <t>05</t>
  </si>
  <si>
    <t>更換DS4608usb線材</t>
  </si>
  <si>
    <t>2025-10-07</t>
  </si>
  <si>
    <t>2025-10-08</t>
  </si>
  <si>
    <t>15:16:00</t>
  </si>
  <si>
    <t>新電腦設定驅動 掃描</t>
  </si>
  <si>
    <t>碳粉用完了</t>
  </si>
  <si>
    <t>2025-10-09</t>
  </si>
  <si>
    <t>湯城10F 客服裝機版更 6</t>
  </si>
  <si>
    <t>2025-10-13</t>
  </si>
  <si>
    <t>四色碳粉</t>
  </si>
  <si>
    <t>更換同步滾軸底座</t>
  </si>
  <si>
    <t>T451800160</t>
  </si>
  <si>
    <t>台北文創11樓D區</t>
  </si>
  <si>
    <t>換機一台 歸零五台</t>
  </si>
  <si>
    <t>17:22:00</t>
  </si>
  <si>
    <t>17:37:00</t>
  </si>
  <si>
    <t>T252000142</t>
  </si>
  <si>
    <t>17:16:00</t>
  </si>
  <si>
    <t>T302800158</t>
  </si>
  <si>
    <t>2025-10-14</t>
  </si>
  <si>
    <t>T301800008</t>
  </si>
  <si>
    <t>升級歸零</t>
  </si>
  <si>
    <t>2025-10-15</t>
  </si>
  <si>
    <t>T252000146</t>
  </si>
  <si>
    <t>新北市新莊區中正路657-12號8樓(新莊客服</t>
  </si>
  <si>
    <t>TX30000081</t>
  </si>
  <si>
    <t>1 於操作結帳時容易出現LineDisplay錯誤訊息
將另行安排保養計劃 APA接點清潔
2 取回POS01掃槍
3 取回POS26掃槍</t>
  </si>
  <si>
    <t>2025-10-17</t>
  </si>
  <si>
    <t>清潔四色滾筒組，彩色校正，請客戶改用厚紙</t>
  </si>
  <si>
    <t>TX81000003</t>
  </si>
  <si>
    <t>1 已清潔2櫃手持接頭並與5櫃對調測試觀察
2 標籤機現場檢測無效，攜回主機 電池 充電線</t>
  </si>
  <si>
    <t>2025-10-20</t>
  </si>
  <si>
    <t>09:58:00</t>
  </si>
  <si>
    <t>09:41:00</t>
  </si>
  <si>
    <t>09:49:00</t>
  </si>
  <si>
    <t>09:23:00</t>
  </si>
  <si>
    <t>09:28:00</t>
  </si>
  <si>
    <t xml:space="preserve">美商維斯達有限公司台灣分公司 </t>
  </si>
  <si>
    <t>11:19:00</t>
  </si>
  <si>
    <t xml:space="preserve">無法掃描 </t>
  </si>
  <si>
    <t>2025-10-16</t>
  </si>
  <si>
    <t>無法掃描</t>
  </si>
  <si>
    <t>2025-10-21</t>
  </si>
  <si>
    <t>髒污 上熱破損</t>
  </si>
  <si>
    <t>T252000143</t>
  </si>
  <si>
    <t>新北市蘆洲區三民路128巷87-6號2樓(工程部</t>
  </si>
  <si>
    <t>TM43000003</t>
  </si>
  <si>
    <t>HP-M430f 黑白印表機</t>
  </si>
  <si>
    <t>新北市蘆洲區中山一路12號3樓(櫃台一)</t>
  </si>
  <si>
    <t>櫃台一</t>
  </si>
  <si>
    <t>2025-10-22</t>
  </si>
  <si>
    <t>無法逼卡 客戶卡片問題</t>
  </si>
  <si>
    <t>15:24:00</t>
  </si>
  <si>
    <t>14:28:00</t>
  </si>
  <si>
    <t>2025-10-23</t>
  </si>
  <si>
    <t>傳真升級 歸零無效 更換傳真</t>
  </si>
  <si>
    <t>T252000144</t>
  </si>
  <si>
    <t>安裝驅動</t>
  </si>
  <si>
    <t>T352500038</t>
  </si>
  <si>
    <t>c447 清潔溫控 重新校正</t>
  </si>
  <si>
    <t>2025-10-27</t>
  </si>
  <si>
    <t>更換回收刮片及滾筒刮片</t>
  </si>
  <si>
    <t>10:39:00</t>
  </si>
  <si>
    <t>更改伺服器設定 更換傳真版</t>
  </si>
  <si>
    <t>2025-10-28</t>
  </si>
  <si>
    <t xml:space="preserve">私立雅思文理短期補習班 </t>
  </si>
  <si>
    <t>自立</t>
  </si>
  <si>
    <t>2025-10-29</t>
  </si>
  <si>
    <t>T352800029</t>
  </si>
  <si>
    <t>eS-3528A 黑白複合機</t>
  </si>
  <si>
    <t>五股4樓</t>
  </si>
  <si>
    <t>送發票</t>
  </si>
  <si>
    <t>T302800159</t>
  </si>
  <si>
    <t>歸還標籤機</t>
  </si>
  <si>
    <t>2025-10-31</t>
  </si>
  <si>
    <t>印出殘影更換溫控</t>
  </si>
  <si>
    <t>12:45:00</t>
  </si>
  <si>
    <t xml:space="preserve"> 掃描全彩出現線條，擦拭玻璃面及鏡片目前正常
 設定新電腦的掃描資料夾路徑</t>
  </si>
  <si>
    <t>T302800170</t>
  </si>
  <si>
    <t>上熱嚴重破損，更換上熱管</t>
  </si>
  <si>
    <t>2025-11-03</t>
  </si>
  <si>
    <t>2025-11-04</t>
  </si>
  <si>
    <t>設定傳真紙匣</t>
  </si>
  <si>
    <t>送備用碳粉</t>
  </si>
  <si>
    <t>T352800030</t>
  </si>
  <si>
    <t>2025-11-05</t>
  </si>
  <si>
    <t>2025-11-06</t>
  </si>
  <si>
    <t>更換上熱 OD OD 刮回刮，清潔閘極網</t>
  </si>
  <si>
    <t>TX30000077</t>
  </si>
  <si>
    <t>忠孝新生年度保養
POS33 POS25 POS24 SCO11 SCO03 SCO01</t>
  </si>
  <si>
    <t>T352800032</t>
  </si>
  <si>
    <t>2025-11-07</t>
  </si>
  <si>
    <t>OD OD刮 回刮 上熱 取送分輪</t>
  </si>
  <si>
    <t>TX30000058</t>
  </si>
  <si>
    <t>01</t>
  </si>
  <si>
    <t>忠孝新生年度保養
POS30 POS31 SC009 SCO06 SCO05 SCO04</t>
  </si>
  <si>
    <t>忠孝新生年度保養
POS01 POS29 POS28 POS27 POS26</t>
  </si>
  <si>
    <t>忠孝新生年度保養
POS22 POS23 POS34 POS32 SCO10 SCO02</t>
  </si>
  <si>
    <t>2025-11-10</t>
  </si>
  <si>
    <t>T352800031</t>
  </si>
  <si>
    <t>2025-11-11</t>
  </si>
  <si>
    <t>2025-11-12</t>
  </si>
  <si>
    <t>收款 送碳粉</t>
  </si>
  <si>
    <t>更換溫控</t>
  </si>
  <si>
    <t>2025-11-13</t>
  </si>
  <si>
    <t>新電腦設定驅動掃描</t>
  </si>
  <si>
    <t>五股生鮮物流</t>
  </si>
  <si>
    <t xml:space="preserve"> 協助設定</t>
  </si>
  <si>
    <t>2025-11-14</t>
  </si>
  <si>
    <t>列印PDF異常，更換PS3驅動</t>
  </si>
  <si>
    <t>印標籤紙脫墨 教學使用厚紙</t>
  </si>
  <si>
    <t>2025-11-17</t>
  </si>
  <si>
    <t>更換定著組</t>
  </si>
  <si>
    <t>17:21:00</t>
  </si>
  <si>
    <t>17:26:00</t>
  </si>
  <si>
    <t>2025-11-18</t>
  </si>
  <si>
    <t>12:35:00</t>
  </si>
  <si>
    <t>12:28:00</t>
  </si>
  <si>
    <t>T252000153</t>
  </si>
  <si>
    <t>T301800153</t>
  </si>
  <si>
    <t>新北市三重區光復路1段88號3樓(三重台科)</t>
  </si>
  <si>
    <t>三重台科3樓</t>
  </si>
  <si>
    <t>三重湯城4樓(黑)J22</t>
  </si>
  <si>
    <t>T452800071</t>
  </si>
  <si>
    <t>設定掃描為彩色</t>
  </si>
  <si>
    <t>2025-11-19</t>
  </si>
  <si>
    <t>更換OD OD刮 回刮 濾鐵粉</t>
  </si>
  <si>
    <t>新電腦安裝驅動 設定掃描</t>
  </si>
  <si>
    <t>2025-11-20</t>
  </si>
  <si>
    <t>T252000154</t>
  </si>
  <si>
    <t>清潔驅動組 出口組 上油</t>
  </si>
  <si>
    <t>更換OD OD刮回刮 鐵粉</t>
  </si>
  <si>
    <t>2025-11-21</t>
  </si>
  <si>
    <t>16:31:00</t>
  </si>
  <si>
    <t>新筆電安裝驅動掃描</t>
  </si>
  <si>
    <t>印出barcode讀取亂碼 重新校正</t>
  </si>
  <si>
    <t>2025-11-24</t>
  </si>
  <si>
    <t>TM43000001</t>
  </si>
  <si>
    <t>新北市蘆洲區中山一路12號3樓(收費組)</t>
  </si>
  <si>
    <t>收費組</t>
  </si>
  <si>
    <t>2025-11-25</t>
  </si>
  <si>
    <t>TM43000002</t>
  </si>
  <si>
    <t>新北市蘆洲區中山一路12號3樓(櫃台二)</t>
  </si>
  <si>
    <t>櫃台二</t>
  </si>
  <si>
    <t>2025-11-26</t>
  </si>
  <si>
    <t>13:37:00</t>
  </si>
  <si>
    <t>13:52:00</t>
  </si>
  <si>
    <t>12:50:00</t>
  </si>
  <si>
    <t>13:10:00</t>
  </si>
  <si>
    <t>安裝驅動 設定電腦傳真</t>
  </si>
  <si>
    <t>16:54:00</t>
  </si>
  <si>
    <t>列印格式錯誤 厚紙教學</t>
  </si>
  <si>
    <t>T352800011</t>
  </si>
  <si>
    <t>2025-11-27</t>
  </si>
  <si>
    <t>設定6台桌機驅動及掃描</t>
  </si>
  <si>
    <t>整理備機零件</t>
  </si>
  <si>
    <t>殘影 更換定著組</t>
  </si>
  <si>
    <t>2025-11-28</t>
  </si>
  <si>
    <t>radf卡紙 更換取送分</t>
  </si>
  <si>
    <t>漏粉 更換OD OD 刮 回刮 鐵粉</t>
  </si>
  <si>
    <t xml:space="preserve">卡機異常 </t>
  </si>
  <si>
    <t>2025-12-01</t>
  </si>
  <si>
    <t>10:19:00</t>
  </si>
  <si>
    <t>2025-12-03</t>
  </si>
  <si>
    <t>2025-12-04</t>
  </si>
  <si>
    <t>2025-12-05</t>
  </si>
  <si>
    <t>碳粉 上熱</t>
  </si>
  <si>
    <t>碳粉 OD 刮 回刮</t>
  </si>
  <si>
    <t>更換radf 取送分輪</t>
  </si>
  <si>
    <t>2025-12-10</t>
  </si>
  <si>
    <t>13:53:00</t>
  </si>
  <si>
    <t>10台電腦設定掃描</t>
  </si>
  <si>
    <t>A4 10送達</t>
  </si>
  <si>
    <t>更換上熱滾軸
溫控
分離爪 5
備用碳粉 1</t>
  </si>
  <si>
    <t>2025-12-11</t>
  </si>
  <si>
    <t>已另結案
2025121649</t>
  </si>
  <si>
    <t>12:10:00</t>
  </si>
  <si>
    <t>2025-12-12</t>
  </si>
  <si>
    <t>新北市三重區重新路五段609巷2號8樓(三重湯城8F)</t>
  </si>
  <si>
    <t>色偏 影像校正 調整驅動參數</t>
  </si>
  <si>
    <t>2025-12-16</t>
  </si>
  <si>
    <t>13:38:00</t>
  </si>
  <si>
    <t>2025-12-15</t>
  </si>
  <si>
    <t>2025-12-18</t>
  </si>
  <si>
    <t>12:48:00</t>
  </si>
  <si>
    <t>12:16:00</t>
  </si>
  <si>
    <t>13:14:00</t>
  </si>
  <si>
    <t>13:29:00</t>
  </si>
  <si>
    <t>2025-12-24</t>
  </si>
  <si>
    <t>15:18:00</t>
  </si>
  <si>
    <t>2025-12-19</t>
  </si>
  <si>
    <t>2025-12-17</t>
  </si>
  <si>
    <t>三清傳真 確認為線路問題</t>
  </si>
  <si>
    <t>卡紙 清除卡紙</t>
  </si>
  <si>
    <t>2025-12-26</t>
  </si>
  <si>
    <t>列印雲彩紙脫墨 厚紙教學</t>
  </si>
  <si>
    <t>2025-12-22</t>
  </si>
  <si>
    <t>髒污 清理回刮</t>
  </si>
  <si>
    <t xml:space="preserve">安裝驅動 設定掃描 </t>
  </si>
  <si>
    <t>藍色故障 重新校正</t>
  </si>
  <si>
    <t>重灌系統設定遺失的重設參數</t>
  </si>
  <si>
    <t>藍色異常 更換藍色鐵粉</t>
  </si>
  <si>
    <t>2025-12-30</t>
  </si>
  <si>
    <t>T452800070</t>
  </si>
  <si>
    <t>2025-12-29</t>
  </si>
  <si>
    <t>TRS3500010</t>
  </si>
  <si>
    <t>RS35 手持式行動電腦</t>
  </si>
  <si>
    <t>新北市新莊區中原里新北大道四段3號B2</t>
  </si>
  <si>
    <t>PDA 1號 2號 3號時間錯誤
修改NTP SERVER 網址
測試送單正常</t>
  </si>
  <si>
    <t>17:12:00</t>
  </si>
  <si>
    <t>17:13:00</t>
  </si>
  <si>
    <t>2026-01-08</t>
  </si>
  <si>
    <t>T252000059</t>
  </si>
  <si>
    <t xml:space="preserve">富啟科技有限公司 </t>
  </si>
  <si>
    <t>台北市中山區南京東路2段178號7樓</t>
  </si>
  <si>
    <t>T252000063</t>
  </si>
  <si>
    <t xml:space="preserve">吉利新能源有限公司 </t>
  </si>
  <si>
    <t>台北市中山區南京東路3段29號2樓</t>
  </si>
  <si>
    <t>2026-01-02</t>
  </si>
  <si>
    <t>T252000089</t>
  </si>
  <si>
    <t>新北市中和區新興街9號2樓</t>
  </si>
  <si>
    <t>中和</t>
  </si>
  <si>
    <t>T252000098</t>
  </si>
  <si>
    <t xml:space="preserve">台灣千代田組股份有限公司 </t>
  </si>
  <si>
    <t>台北市中山區南京東路2段71號10樓之4</t>
  </si>
  <si>
    <t xml:space="preserve">Pm 到廢粉
</t>
  </si>
  <si>
    <t>2026-01-07</t>
  </si>
  <si>
    <t>T301800039</t>
  </si>
  <si>
    <t xml:space="preserve">永悅健康股份有限公司 </t>
  </si>
  <si>
    <t>新北市新店區新店區北新路3段213號15樓</t>
  </si>
  <si>
    <t>新店</t>
  </si>
  <si>
    <t>T301800085</t>
  </si>
  <si>
    <t xml:space="preserve">及恩股份有限公司 </t>
  </si>
  <si>
    <t>新北市新店區寶橋路235巷7號4樓</t>
  </si>
  <si>
    <t xml:space="preserve">真觀念商務中心有限公司 </t>
  </si>
  <si>
    <t>台北市中山區南京西路1之1號10樓</t>
  </si>
  <si>
    <t>T302800063</t>
  </si>
  <si>
    <t xml:space="preserve">誠觀念商務中心有限公司 </t>
  </si>
  <si>
    <t>台北市中山區復興北路48號3樓</t>
  </si>
  <si>
    <t>T302800120</t>
  </si>
  <si>
    <t xml:space="preserve">東南旅行社股份有限公司 </t>
  </si>
  <si>
    <t>新北市中和區和平街15-2號(中和分公司)</t>
  </si>
  <si>
    <t>冠驅動 設pc To scan</t>
  </si>
  <si>
    <t>T351500067</t>
  </si>
  <si>
    <t xml:space="preserve">康儀科技股份有限公司 </t>
  </si>
  <si>
    <t>新北市新店區北新路3段207號</t>
  </si>
  <si>
    <t>7F</t>
  </si>
  <si>
    <t>T351500131</t>
  </si>
  <si>
    <t>英屬開曼群島商冠星集團控股有限公司台灣分公司</t>
  </si>
  <si>
    <t>T351500141</t>
  </si>
  <si>
    <t xml:space="preserve">睿田生技股份有限公司 </t>
  </si>
  <si>
    <t>新北市新店區北新路3段221號7樓</t>
  </si>
  <si>
    <t>T352500019</t>
  </si>
  <si>
    <t>新北市新店區北新路3段219號15樓(業務部)</t>
  </si>
  <si>
    <t>T352500020</t>
  </si>
  <si>
    <t>新北市新店區北新路3段219號15樓(客服部)</t>
  </si>
  <si>
    <t>T352500066</t>
  </si>
  <si>
    <t xml:space="preserve">珂境旅行社股份有限公司 </t>
  </si>
  <si>
    <t>台北市中山區南京東路2段101號7樓A室</t>
  </si>
  <si>
    <t>Pm 有四色 到廢粉</t>
  </si>
  <si>
    <t>T352500082</t>
  </si>
  <si>
    <t xml:space="preserve">全豐盛興業有限公司 </t>
  </si>
  <si>
    <t>台北市中山區南京東路2段206號13樓</t>
  </si>
  <si>
    <t>Pm 倒廢粉</t>
  </si>
  <si>
    <t>T352800056</t>
  </si>
  <si>
    <t>新北市新店區寶中路95號之11(新店3廠)</t>
  </si>
  <si>
    <t>新店3廠</t>
  </si>
  <si>
    <t>2026-01-06</t>
  </si>
  <si>
    <t>T451800130</t>
  </si>
  <si>
    <t xml:space="preserve">裕賀食品股份有限公司 </t>
  </si>
  <si>
    <t>新北市中和區建康路264號2F</t>
  </si>
  <si>
    <t>T451800163</t>
  </si>
  <si>
    <t>新北市中和區建康路264號2樓</t>
  </si>
  <si>
    <t>中和2F</t>
  </si>
  <si>
    <t>更換上熱 分爪</t>
  </si>
  <si>
    <t>2026-01-05</t>
  </si>
  <si>
    <t>已經電話聯絡告知如何查詢</t>
  </si>
  <si>
    <t>重登抄表</t>
  </si>
  <si>
    <t>13:22:00</t>
  </si>
  <si>
    <t>收款2000元</t>
  </si>
  <si>
    <t>更換OD OD 刮 回刮 鐵粉</t>
  </si>
  <si>
    <t>藍色漏粉 清潔校正</t>
  </si>
  <si>
    <t>碳粉空了 更換碳粉</t>
  </si>
  <si>
    <t>列印髒污 更換上熱</t>
  </si>
  <si>
    <t>送稿機偏移校正 身份証太黑設定</t>
  </si>
  <si>
    <t xml:space="preserve"> Taiwan TW 11084 20251230 10002 POS 24 25 NAV always shutdown when scan item
現場CrystalDiskInfo檢測無異常
eventvwr無錯誤紀錄</t>
  </si>
  <si>
    <t>TX30000080</t>
  </si>
  <si>
    <t>13:54:00</t>
  </si>
  <si>
    <t>T282900008</t>
  </si>
  <si>
    <t>eS-2809 黑白複合機</t>
  </si>
  <si>
    <t xml:space="preserve">恆新股份有限公司 </t>
  </si>
  <si>
    <t>台北市中山區松江路72號11樓</t>
  </si>
  <si>
    <t>Pm 碳粉ㄧ支</t>
  </si>
  <si>
    <t>2026-01-09</t>
  </si>
  <si>
    <t>2026-01-12</t>
  </si>
  <si>
    <t>T251000061</t>
  </si>
  <si>
    <t>新北市中和區中原街26號旁工地</t>
  </si>
  <si>
    <t>T252000019</t>
  </si>
  <si>
    <t xml:space="preserve">西班牙商務辦事處 </t>
  </si>
  <si>
    <t>台北市中山區民生東路3段49號10樓B1室</t>
  </si>
  <si>
    <t>T252000117</t>
  </si>
  <si>
    <t xml:space="preserve">兆濰工程股份有限公司 </t>
  </si>
  <si>
    <t>台北市中山區松江路237號6樓</t>
  </si>
  <si>
    <t>T252000129</t>
  </si>
  <si>
    <t xml:space="preserve">亞馥工程股份有限公司 </t>
  </si>
  <si>
    <t>台北市中山區松江路328號9樓</t>
  </si>
  <si>
    <t>T301800166</t>
  </si>
  <si>
    <t>新北市永和區永和路2段57號6樓(永和分校)</t>
  </si>
  <si>
    <t>永和</t>
  </si>
  <si>
    <t>T351800018</t>
  </si>
  <si>
    <t>新北市新店區北新路2段191號(新店分校)</t>
  </si>
  <si>
    <t>T352500062</t>
  </si>
  <si>
    <t xml:space="preserve">海義工程有限公司 </t>
  </si>
  <si>
    <t>台北市中山區松江路328號9樓之2</t>
  </si>
  <si>
    <t>9F-2</t>
  </si>
  <si>
    <t>T35AC00039</t>
  </si>
  <si>
    <t xml:space="preserve">高寶物流股份有限公司 </t>
  </si>
  <si>
    <t>台北市中山區民權東路2段146號5樓</t>
  </si>
  <si>
    <t>T451800185</t>
  </si>
  <si>
    <t>收款1575</t>
  </si>
  <si>
    <t>radf卡紙 卡異物</t>
  </si>
  <si>
    <t>2026-01-13</t>
  </si>
  <si>
    <t>T301800095</t>
  </si>
  <si>
    <t xml:space="preserve">臺北自來水事業處 </t>
  </si>
  <si>
    <t>台北市大安區長興街131號1樓(供應科)</t>
  </si>
  <si>
    <t>群策F供應科</t>
  </si>
  <si>
    <t>T301800096</t>
  </si>
  <si>
    <t>新北市新店區直潭路2號(供應科倉儲股給水倉庫)</t>
  </si>
  <si>
    <t>供應科倉儲股給水倉庫</t>
  </si>
  <si>
    <t>T301800098</t>
  </si>
  <si>
    <t>新北市新店區直潭路2號2樓(淨水科直潭淨水場)</t>
  </si>
  <si>
    <t>直潭淨水場</t>
  </si>
  <si>
    <t>09:13:00</t>
  </si>
  <si>
    <t>T302800033</t>
  </si>
  <si>
    <t>新北市新店區北新路二段109號(新店分公司)</t>
  </si>
  <si>
    <t>T351500113</t>
  </si>
  <si>
    <t xml:space="preserve">臺北自來水事業處工程總隊 </t>
  </si>
  <si>
    <t>新北市新店區直潭路2號(南區工務所)</t>
  </si>
  <si>
    <t>南區工務所</t>
  </si>
  <si>
    <t>T351800027</t>
  </si>
  <si>
    <t>新北市新店區直潭路1號(供應科倉儲股)</t>
  </si>
  <si>
    <t>直潭</t>
  </si>
  <si>
    <t>T352500190</t>
  </si>
  <si>
    <t>T352800006</t>
  </si>
  <si>
    <t xml:space="preserve">中原造像股份有限公司 </t>
  </si>
  <si>
    <t>新北市中和區建康路130號7樓-11</t>
  </si>
  <si>
    <t>T352800007</t>
  </si>
  <si>
    <t xml:space="preserve">中康彩色印刷事業股份有限公司 </t>
  </si>
  <si>
    <t>新北市中和區建二路56號</t>
  </si>
  <si>
    <t>T400300011</t>
  </si>
  <si>
    <t>HP-4003dn 黑白雷射印表機</t>
  </si>
  <si>
    <t>新北市新店區新烏路一段(淨水科長興青潭堰)</t>
  </si>
  <si>
    <t>長興淨水場青潭堰</t>
  </si>
  <si>
    <t>T452800036</t>
  </si>
  <si>
    <t>新北市新店區直潭路2號(供應科倉儲股)</t>
  </si>
  <si>
    <t>直潭供應科倉儲股</t>
  </si>
  <si>
    <t>TM71200001</t>
  </si>
  <si>
    <t>HP-M712dn 黑白印表機</t>
  </si>
  <si>
    <t>新北市中和區秀峰街103巷6弄10號(中和加壓站)</t>
  </si>
  <si>
    <t>中和加壓站</t>
  </si>
  <si>
    <t>12:05:00</t>
  </si>
  <si>
    <t>更換OD ID 刮 回刮 鐵粉</t>
  </si>
  <si>
    <t>2026-01-14</t>
  </si>
  <si>
    <t>08:55:00</t>
  </si>
  <si>
    <t>09:16:00</t>
  </si>
  <si>
    <t>T301800072</t>
  </si>
  <si>
    <t xml:space="preserve">合翔圖書有限公司 </t>
  </si>
  <si>
    <t>台北市萬華區民和街143號</t>
  </si>
  <si>
    <t>T301800124</t>
  </si>
  <si>
    <t xml:space="preserve">寶璽印刷有限公司 </t>
  </si>
  <si>
    <t>新北市中和區新民街112號5樓-7</t>
  </si>
  <si>
    <t>T302800122</t>
  </si>
  <si>
    <t xml:space="preserve">虹揚印刷股份有限公司 </t>
  </si>
  <si>
    <t>新北市中和區橋和路120號6樓</t>
  </si>
  <si>
    <t>6F</t>
  </si>
  <si>
    <t>10:01:00</t>
  </si>
  <si>
    <t>T351500142</t>
  </si>
  <si>
    <t xml:space="preserve">億隆開發建設股份有限公司 </t>
  </si>
  <si>
    <t>台北市大同區民生西路178巷7之3大道城工務所</t>
  </si>
  <si>
    <t>09:51:00</t>
  </si>
  <si>
    <t>T352500144</t>
  </si>
  <si>
    <t xml:space="preserve">台灣久允工程股份有限公司 </t>
  </si>
  <si>
    <t>台北市中山區中山北路2段112號12樓-2</t>
  </si>
  <si>
    <t>台北</t>
  </si>
  <si>
    <t>Pm 清光學</t>
  </si>
  <si>
    <t>2026-01-15</t>
  </si>
  <si>
    <t>T452500017</t>
  </si>
  <si>
    <t xml:space="preserve">晟奕法律事務所 </t>
  </si>
  <si>
    <t>台北市松山區民權東路3段181號2樓</t>
  </si>
  <si>
    <t>T501500010</t>
  </si>
  <si>
    <t>2026-01-16</t>
  </si>
  <si>
    <t>mfp交接</t>
  </si>
  <si>
    <t>2026-01-20</t>
  </si>
  <si>
    <t>T250A00043</t>
  </si>
  <si>
    <t xml:space="preserve">力貫國際股份有限公司 </t>
  </si>
  <si>
    <t>新北市中和區連城路258號12樓之8</t>
  </si>
  <si>
    <t>T251000008</t>
  </si>
  <si>
    <t xml:space="preserve">美淑琳設計顧問有限公司 </t>
  </si>
  <si>
    <t>台北市中山區建國北路2段186巷3號1樓</t>
  </si>
  <si>
    <t>2026-01-19</t>
  </si>
  <si>
    <t>T251000083</t>
  </si>
  <si>
    <t xml:space="preserve">台灣佳耐美電子科技股份有限公司 </t>
  </si>
  <si>
    <t>新北市中和區員山路512-7號3樓</t>
  </si>
  <si>
    <t>T252000075</t>
  </si>
  <si>
    <t>台北市中山區民生東路2段174號(展示中心)</t>
  </si>
  <si>
    <t>民生東路展示中心</t>
  </si>
  <si>
    <t>列印異常 更換驅動</t>
  </si>
  <si>
    <t>更換ID OD刮 回刮 鐵粉</t>
  </si>
  <si>
    <t>掃描有線 清潔RADF</t>
  </si>
  <si>
    <t>髒污 清回刮 影像校正</t>
  </si>
  <si>
    <t>12:55:00</t>
  </si>
  <si>
    <t>T352500149</t>
  </si>
  <si>
    <t>桃園市蘆竹區忠孝東路17之3號(南崁分公司</t>
  </si>
  <si>
    <t>南崁分公司</t>
  </si>
  <si>
    <t>彩色海報 色偏 彩色校正 升級 更換驅動</t>
  </si>
  <si>
    <t>2026-01-21</t>
  </si>
  <si>
    <t>T251000046</t>
  </si>
  <si>
    <t xml:space="preserve">智瀚印刷科技有限公司 </t>
  </si>
  <si>
    <t>新北市中和區板南路496號5樓之5</t>
  </si>
  <si>
    <t>T351800121</t>
  </si>
  <si>
    <t xml:space="preserve">羽田科技股份有限公司 </t>
  </si>
  <si>
    <t>新北市中和區中正路866-10號8樓</t>
  </si>
  <si>
    <t>T301800079</t>
  </si>
  <si>
    <t>新北市中和區橋和路120號9樓之7</t>
  </si>
  <si>
    <t>9F</t>
  </si>
  <si>
    <t>Pm 第一次紙夾扣環注意</t>
  </si>
  <si>
    <t>2026-01-23</t>
  </si>
  <si>
    <t>09:12:00</t>
  </si>
  <si>
    <t>09:34:00</t>
  </si>
  <si>
    <t>T252000054</t>
  </si>
  <si>
    <t xml:space="preserve">佳諾金屬有限公司 </t>
  </si>
  <si>
    <t>新北市永和區中和路343號17樓</t>
  </si>
  <si>
    <t>10:03:00</t>
  </si>
  <si>
    <t>T252000069</t>
  </si>
  <si>
    <t xml:space="preserve">紀泰電線電纜股份有限公司 </t>
  </si>
  <si>
    <t>桃園市蘆竹區坑口里7鄰後壁厝88-15號</t>
  </si>
  <si>
    <t>2026-01-22</t>
  </si>
  <si>
    <t xml:space="preserve">優耐特精密機械股份有限公司 </t>
  </si>
  <si>
    <t>發票變更 重開發票</t>
  </si>
  <si>
    <t>更正內容</t>
  </si>
  <si>
    <t>2025-01-13 16:13:58</t>
  </si>
  <si>
    <t>2025-01-13 15:35:00</t>
  </si>
  <si>
    <t>2025-03-12 12:00:36</t>
  </si>
  <si>
    <t>2025-03-12 11:41:00</t>
  </si>
  <si>
    <t>誤登</t>
  </si>
  <si>
    <t>2025-04-09 15:14:17</t>
  </si>
  <si>
    <t>2025-04-09 14:58:00</t>
  </si>
  <si>
    <t>工作編號</t>
  </si>
  <si>
    <t>15316114050901</t>
  </si>
  <si>
    <t>2025-05-09 12:20:29</t>
  </si>
  <si>
    <t>2025年04月份 hub調查異常:1PORT插在2PORT</t>
  </si>
  <si>
    <t>2025-05-09 12:21:27</t>
  </si>
  <si>
    <t>2025-05-09 11:55:00</t>
  </si>
  <si>
    <t>2025-05-12 16:21:00</t>
  </si>
  <si>
    <t>已經改回1PORT，測試正常</t>
  </si>
  <si>
    <t>HUB已經改回1PORT，測試正常</t>
  </si>
  <si>
    <t>錯誤紀錄:</t>
  </si>
  <si>
    <t>新開店數</t>
  </si>
  <si>
    <t>基礎件數</t>
  </si>
  <si>
    <t>基礎修正</t>
  </si>
  <si>
    <t>PM件數</t>
  </si>
  <si>
    <t>未保養</t>
  </si>
  <si>
    <t>達成率</t>
  </si>
  <si>
    <t>閉店店數</t>
  </si>
  <si>
    <t>前季保養日期</t>
  </si>
  <si>
    <t>地區</t>
  </si>
  <si>
    <t>安慶</t>
  </si>
  <si>
    <t>THILF0</t>
  </si>
  <si>
    <t>萊爾富</t>
  </si>
  <si>
    <t>鼎苑</t>
  </si>
  <si>
    <t>初戀</t>
  </si>
  <si>
    <t>松翠</t>
  </si>
  <si>
    <t>懷仁</t>
  </si>
  <si>
    <t>區域</t>
  </si>
  <si>
    <t>人員</t>
  </si>
  <si>
    <t>員編</t>
  </si>
  <si>
    <t>日期</t>
  </si>
  <si>
    <t>跨季保養</t>
  </si>
  <si>
    <t>跨季補單</t>
  </si>
  <si>
    <t>暫歇</t>
  </si>
  <si>
    <t>非當季</t>
  </si>
  <si>
    <t>裝潢未回裝</t>
  </si>
  <si>
    <t>序號</t>
  </si>
  <si>
    <t>店質</t>
  </si>
  <si>
    <t>部別</t>
  </si>
  <si>
    <t>區代</t>
  </si>
  <si>
    <t>區經理</t>
  </si>
  <si>
    <t>電話號碼</t>
  </si>
  <si>
    <t>住址</t>
  </si>
  <si>
    <t>區經理手機</t>
  </si>
  <si>
    <t>部經理</t>
  </si>
  <si>
    <t>部經理手機</t>
  </si>
  <si>
    <t>處長</t>
  </si>
  <si>
    <t>上週店名</t>
  </si>
  <si>
    <t>本週店名</t>
  </si>
  <si>
    <t>差異</t>
  </si>
  <si>
    <t>DEPT店名</t>
  </si>
  <si>
    <t>部門</t>
  </si>
  <si>
    <t>FVC7</t>
  </si>
  <si>
    <t>撤店核對</t>
  </si>
  <si>
    <t>主檔核對</t>
  </si>
  <si>
    <t>機上盒</t>
  </si>
  <si>
    <t>FCA</t>
  </si>
  <si>
    <t>北二一部</t>
  </si>
  <si>
    <t>FG</t>
  </si>
  <si>
    <t>馮舜</t>
  </si>
  <si>
    <t>(02)26195488</t>
  </si>
  <si>
    <t>新北市八里區中山路一段177號</t>
  </si>
  <si>
    <t>EDC</t>
  </si>
  <si>
    <t>RC</t>
  </si>
  <si>
    <t>(02)26106697</t>
  </si>
  <si>
    <t>新北市八里區商港路46.48號</t>
  </si>
  <si>
    <t>(02)89785431</t>
  </si>
  <si>
    <t>新北市八里區中山路1段125、127號1樓</t>
  </si>
  <si>
    <t>FCB</t>
  </si>
  <si>
    <t>(02)26107233</t>
  </si>
  <si>
    <t>新北市八里區中山路一段43、43-1號</t>
  </si>
  <si>
    <t>(02)26105223</t>
  </si>
  <si>
    <t xml:space="preserve">新北市八里區商港路8、10號 </t>
  </si>
  <si>
    <t>(02)26107915</t>
  </si>
  <si>
    <t>新北市八里區福德新村1號1樓</t>
  </si>
  <si>
    <t>北二四部</t>
  </si>
  <si>
    <t>IH</t>
  </si>
  <si>
    <t>陳志國</t>
  </si>
  <si>
    <t>(02)26185412</t>
  </si>
  <si>
    <t>新北市八里區龍米路一段215.217號</t>
  </si>
  <si>
    <t>(02)89780124</t>
  </si>
  <si>
    <t>新北市八里區龍米路二段57、59號</t>
  </si>
  <si>
    <t>北二三部</t>
  </si>
  <si>
    <t>HB</t>
  </si>
  <si>
    <t>林啟弘</t>
  </si>
  <si>
    <t>(02)26364609</t>
  </si>
  <si>
    <t>新北市三芝區中正路一段68號</t>
  </si>
  <si>
    <t>(02)26371186</t>
  </si>
  <si>
    <t>新北市三芝區田心子2號</t>
  </si>
  <si>
    <t>(02)26372548</t>
  </si>
  <si>
    <t>新北市三芝區車埕69之6、7號</t>
  </si>
  <si>
    <t>(02)26380081</t>
  </si>
  <si>
    <t xml:space="preserve">新北市石門區草里里1鄰阿里荖6之2號 </t>
  </si>
  <si>
    <t>FVC6</t>
  </si>
  <si>
    <t>IC</t>
  </si>
  <si>
    <t>張倍瑄</t>
  </si>
  <si>
    <t>(02)26024955</t>
  </si>
  <si>
    <t>新北市林口區粉寮路一段101號(醒吾科技大學內生活大樓一樓餐飲中心美食廣場)</t>
  </si>
  <si>
    <t>IA</t>
  </si>
  <si>
    <t>黃婉婷</t>
  </si>
  <si>
    <t>(02)89787757</t>
  </si>
  <si>
    <t>新北市林口區文化三路一段394巷12號</t>
  </si>
  <si>
    <t>(02)26096416</t>
  </si>
  <si>
    <t>新北市林口區麗園一街2巷1號地下層</t>
  </si>
  <si>
    <t>(02)26020741</t>
  </si>
  <si>
    <t>新北市林口區湖北里湖子48號之1壹樓部份</t>
  </si>
  <si>
    <t>(02)89783364</t>
  </si>
  <si>
    <t>新北市林口區文化三路一段613、615號1樓全部</t>
  </si>
  <si>
    <t>(02)89781854</t>
  </si>
  <si>
    <t>新北市林口區文化北路一段258號一樓</t>
  </si>
  <si>
    <t>(02)89781884</t>
  </si>
  <si>
    <t>新北市林口區忠孝路1號1樓</t>
  </si>
  <si>
    <t>(02)89787068</t>
  </si>
  <si>
    <t>新北市林口區仁愛路一段619號</t>
  </si>
  <si>
    <t>(02)89794979</t>
  </si>
  <si>
    <t>新北市林口區自強二街8、10號</t>
  </si>
  <si>
    <t>(02)89781694</t>
  </si>
  <si>
    <t>新北市林口區仁愛路二段492-1號、492-2號</t>
  </si>
  <si>
    <t>(02)26088428</t>
  </si>
  <si>
    <t>新北市林口區文化三路一段39巷297號1、2樓</t>
  </si>
  <si>
    <t>ID</t>
  </si>
  <si>
    <t>蔡一吉</t>
  </si>
  <si>
    <t>(02)26080182</t>
  </si>
  <si>
    <t>新北市林口區文化北路一段123號一樓</t>
  </si>
  <si>
    <t>新北市林口區中正路100號一樓</t>
  </si>
  <si>
    <t>(02)24081448</t>
  </si>
  <si>
    <t>新北市金山區中正路26號</t>
  </si>
  <si>
    <t>(02)24984412</t>
  </si>
  <si>
    <t xml:space="preserve">新北市金山區仁愛路66、68號 </t>
  </si>
  <si>
    <t>IF</t>
  </si>
  <si>
    <t>李妍薪</t>
  </si>
  <si>
    <t>(02)22966410</t>
  </si>
  <si>
    <t>新北市泰山區泰林路三段22號</t>
  </si>
  <si>
    <t>(02)29014998</t>
  </si>
  <si>
    <t>新北市泰山區明志路二段324、326號一樓</t>
  </si>
  <si>
    <t>(02)29086102</t>
  </si>
  <si>
    <t>新北市泰山區新民路10、12號一樓</t>
  </si>
  <si>
    <t>HC</t>
  </si>
  <si>
    <t>洪國祥</t>
  </si>
  <si>
    <t>(02)26250507</t>
  </si>
  <si>
    <t>新北市淡水區真理街32號</t>
  </si>
  <si>
    <t>(02)28015362</t>
  </si>
  <si>
    <t>新北市淡水區淡金路5段20-22號</t>
  </si>
  <si>
    <t>(02)89781754</t>
  </si>
  <si>
    <t>新北市淡水區後洲路一段50號、50之1號1樓</t>
  </si>
  <si>
    <t>(02)89784922</t>
  </si>
  <si>
    <t>新北市淡水區淡金路5段98、100、102號</t>
  </si>
  <si>
    <t>(02)89784925</t>
  </si>
  <si>
    <t>新北市淡水區新市二路二段52、56、58、60號一樓全部</t>
  </si>
  <si>
    <t>(02)26226365</t>
  </si>
  <si>
    <t>新北市淡水區北新路二段17號</t>
  </si>
  <si>
    <t>(02)26293380</t>
  </si>
  <si>
    <t>新北市淡水區北新路137、139號1F</t>
  </si>
  <si>
    <t>(02)26235718</t>
  </si>
  <si>
    <t>新北市淡水區北新路165.167號</t>
  </si>
  <si>
    <t>(02)89782334</t>
  </si>
  <si>
    <t>新北市淡水區新市一路一段104巷6號1樓</t>
  </si>
  <si>
    <t>(02)89785491</t>
  </si>
  <si>
    <t>新北市淡水區濱海路一段221號(金湯川溫泉汽旅區會館區一樓)</t>
  </si>
  <si>
    <t>(02)89781691</t>
  </si>
  <si>
    <t>新北市淡水區濱海路三段140、142號</t>
  </si>
  <si>
    <t>(02)26216281</t>
  </si>
  <si>
    <t>新北市淡水區清水街2號、英專路43號</t>
  </si>
  <si>
    <t>(02)28052517</t>
  </si>
  <si>
    <t>新北市淡水區新市五路二段51、53、55號</t>
  </si>
  <si>
    <t>(02)28051033</t>
  </si>
  <si>
    <t>新北市淡水區沙崙路214號</t>
  </si>
  <si>
    <t>(02)28059509</t>
  </si>
  <si>
    <t>新北市淡水區觀海路201號</t>
  </si>
  <si>
    <t>(02)26293141</t>
  </si>
  <si>
    <t>新北市淡水區水源街２段１９４號一樓及地下一樓全部</t>
  </si>
  <si>
    <t>桃園市龜山區中興路265號</t>
  </si>
  <si>
    <t>蘆竹六福店</t>
  </si>
  <si>
    <t>桃園市龜山區文化二路155號</t>
  </si>
  <si>
    <t>桃園市龜山區文化一路73號</t>
  </si>
  <si>
    <t>蘆竹大華店</t>
  </si>
  <si>
    <t>桃園市龜山區文化三路48、50號及文三一街1號</t>
  </si>
  <si>
    <t>桃園市龜山區頂湖23號、頂湖三街2號</t>
  </si>
  <si>
    <t>蘆竹南工店</t>
  </si>
  <si>
    <t>桃園市龜山區文化三路95,97號</t>
  </si>
  <si>
    <t>桃園市龜山區大同路358、364號</t>
  </si>
  <si>
    <t>蘆竹光明店</t>
  </si>
  <si>
    <t>桃園市龜山區忠義路一段1041號</t>
  </si>
  <si>
    <t>蘆竹南山店</t>
  </si>
  <si>
    <t>桃園市龜山區頂湖路1號</t>
  </si>
  <si>
    <t>園市蘆竹區濱海路一段203號</t>
  </si>
  <si>
    <t>桃縣桃旺店</t>
  </si>
  <si>
    <t>桃園市龜山區復興街5號</t>
  </si>
  <si>
    <t>桃園市龜山區南上路284號</t>
  </si>
  <si>
    <t>桃縣桃科店</t>
  </si>
  <si>
    <t>桃園市龜山區民生北路一段128、130、132號</t>
  </si>
  <si>
    <t>蘆竹君悅店</t>
  </si>
  <si>
    <t>桃園市龜山區復興一路102號</t>
  </si>
  <si>
    <t>桃縣桃燿店</t>
  </si>
  <si>
    <t>桃園市龜山區復興三路71號</t>
  </si>
  <si>
    <t>蘆竹蘆興店</t>
  </si>
  <si>
    <t>桃園市龜山區樹人路56號</t>
  </si>
  <si>
    <t>龜山香品店</t>
  </si>
  <si>
    <t>桃園市龜山區中興路302號</t>
  </si>
  <si>
    <t>桃園市龜山區自強東路192號</t>
  </si>
  <si>
    <t>桃縣桃楚店</t>
  </si>
  <si>
    <t>桃園市龜山區茶專路172巷2.4號</t>
  </si>
  <si>
    <t>桃縣蘆華店</t>
  </si>
  <si>
    <t>桃園市龜山區萬壽路一段388、390號</t>
  </si>
  <si>
    <t>龜山頂湖店</t>
  </si>
  <si>
    <t>桃園市龜山區樂學路470號</t>
  </si>
  <si>
    <t>龜山長庚科大</t>
  </si>
  <si>
    <t>桃園市龜山區文化一路261號(長庚科大 第三教學大樓 1樓)</t>
  </si>
  <si>
    <t>桃縣富竹店</t>
  </si>
  <si>
    <t>桃園市龜山區樂善二路181.183號</t>
  </si>
  <si>
    <t>蘆竹蘆東店</t>
  </si>
  <si>
    <t>桃園市龜山區文化七路55號1樓部份</t>
  </si>
  <si>
    <t>龜山南上店</t>
  </si>
  <si>
    <t>桃園市龜山區復興街185號1樓</t>
  </si>
  <si>
    <t>龜山崇優店</t>
  </si>
  <si>
    <t>桃園市龜山區茶專路22號</t>
  </si>
  <si>
    <t>蘆竹南福店</t>
  </si>
  <si>
    <t>桃園市龜山區文化一路250號 (國立體育大學體育館)</t>
  </si>
  <si>
    <t>蘆竹六股埤</t>
  </si>
  <si>
    <t>桃園市龜山區文三一街50-1號</t>
  </si>
  <si>
    <t>蘆竹南崁店</t>
  </si>
  <si>
    <t>桃園市龜山區文化一路6號</t>
  </si>
  <si>
    <t>蘆竹華麗店</t>
  </si>
  <si>
    <t>桃園市龜山區新興街255、257號</t>
  </si>
  <si>
    <t>桃園市龜山區文青路163號</t>
  </si>
  <si>
    <t>桃園市龜山區復興一街360號</t>
  </si>
  <si>
    <t>蘆竹領航店</t>
  </si>
  <si>
    <t>桃園市龜山區文興路30號</t>
  </si>
  <si>
    <t>龜山警大店</t>
  </si>
  <si>
    <t>桃園市蘆竹區南山路二段429號</t>
  </si>
  <si>
    <t>蘆竹海山店</t>
  </si>
  <si>
    <t>桃園市蘆竹區南山路一段378號</t>
  </si>
  <si>
    <t>桃園市蘆竹區大華街69-1、69-2號</t>
  </si>
  <si>
    <t>桃園市蘆竹區南工路一段14號</t>
  </si>
  <si>
    <t>桃園市蘆竹區光明路二段171、173號</t>
  </si>
  <si>
    <t>桃園市蘆竹區南山路二段166號</t>
  </si>
  <si>
    <t>龜山連莊店</t>
  </si>
  <si>
    <t>桃園市龜山區萬壽路一段388、390號一樓</t>
  </si>
  <si>
    <t>桃園市蘆竹區長興路三段217號</t>
  </si>
  <si>
    <t>桃園市蘆竹區南崁路一段225、227號</t>
  </si>
  <si>
    <t>龜山文化七</t>
  </si>
  <si>
    <t>桃園市蘆竹區南工路150號</t>
  </si>
  <si>
    <t>龜山復興店</t>
  </si>
  <si>
    <t>桃園市蘆竹區大竹北路180號</t>
  </si>
  <si>
    <t>蘆竹龍安店</t>
  </si>
  <si>
    <t>桃園市蘆竹區富國路二段2號</t>
  </si>
  <si>
    <t>桃園市蘆竹區長興路二段22號</t>
  </si>
  <si>
    <t>龜山茶專二店</t>
  </si>
  <si>
    <t>桃園市蘆竹區南福街162、164號</t>
  </si>
  <si>
    <t>龜山慧敏店</t>
  </si>
  <si>
    <t>桃園市蘆竹區中興路118號</t>
  </si>
  <si>
    <t>龜山明德樓</t>
  </si>
  <si>
    <t>桃園市蘆竹區南崁路二段66之2號</t>
  </si>
  <si>
    <t>蘆竹南山北</t>
  </si>
  <si>
    <t>桃園市蘆竹區大新路818、820號</t>
  </si>
  <si>
    <t>蘆竹山鼻店</t>
  </si>
  <si>
    <t>桃園市蘆竹區海湖東路295號</t>
  </si>
  <si>
    <t>龜山A8站</t>
  </si>
  <si>
    <t>桃園市蘆竹區南崁路一段286號</t>
  </si>
  <si>
    <t>龜山庚勤樓</t>
  </si>
  <si>
    <t>桃園市蘆竹區海山路二段513、515號</t>
  </si>
  <si>
    <t>蘆竹南華店</t>
  </si>
  <si>
    <t>桃園市蘆竹區福祿一街56號</t>
  </si>
  <si>
    <t>田倉復興店</t>
  </si>
  <si>
    <t>桃園市蘆竹區南華一街1號</t>
  </si>
  <si>
    <t>田倉文興店</t>
  </si>
  <si>
    <t>桃園市蘆竹區新生路116號</t>
  </si>
  <si>
    <t>桃園市蘆竹區海湖東路351-3號</t>
  </si>
  <si>
    <t>桃園市蘆竹區圳岸街308之12號一樓</t>
  </si>
  <si>
    <t>北一一部</t>
  </si>
  <si>
    <t>AF</t>
  </si>
  <si>
    <t>陳聰雄</t>
  </si>
  <si>
    <t>(02)29554332</t>
  </si>
  <si>
    <t>新北市板橋區四川路一段391號1F</t>
  </si>
  <si>
    <t>AB</t>
  </si>
  <si>
    <t>丁嘉賢</t>
  </si>
  <si>
    <t>(02)89782607</t>
  </si>
  <si>
    <t>新北市板橋區貴興路89號、91號一樓</t>
  </si>
  <si>
    <t>AD</t>
  </si>
  <si>
    <t>郭哲銘</t>
  </si>
  <si>
    <t>(02)22539385</t>
  </si>
  <si>
    <t>新北市板橋區文化路二段408號</t>
  </si>
  <si>
    <t>北縣板莊店</t>
  </si>
  <si>
    <t>(02)22542301</t>
  </si>
  <si>
    <t>新北市板橋區莊敬路248號</t>
  </si>
  <si>
    <t>(02)22524845</t>
  </si>
  <si>
    <t>新北市板橋區雙十路三段12、14、16號</t>
  </si>
  <si>
    <t>(02)22537956</t>
  </si>
  <si>
    <t>新北市板橋區文化路二段78號</t>
  </si>
  <si>
    <t>北縣板嘉店</t>
  </si>
  <si>
    <t>(02)22591727</t>
  </si>
  <si>
    <t>新北市板橋區雙十路三段29號</t>
  </si>
  <si>
    <t>(02)22583642</t>
  </si>
  <si>
    <t>新北市板橋區新海路393、395號一樓全部</t>
  </si>
  <si>
    <t>(02)89783335</t>
  </si>
  <si>
    <t>新北市板橋區仁化街186號一樓全部</t>
  </si>
  <si>
    <t>(02)89782441</t>
  </si>
  <si>
    <t>新北市板橋區民治街57巷2號、59號</t>
  </si>
  <si>
    <t>(02)22522325</t>
  </si>
  <si>
    <t>新北市板橋區江寧路三段49、51號一樓</t>
  </si>
  <si>
    <t>(02)29559476</t>
  </si>
  <si>
    <t>新北市板橋區翠華街6巷1號1樓</t>
  </si>
  <si>
    <t>(02)22562057</t>
  </si>
  <si>
    <t>新北市板橋區文化路二段439之1號</t>
  </si>
  <si>
    <t>北縣板明店</t>
  </si>
  <si>
    <t>AE</t>
  </si>
  <si>
    <t>李佩洹</t>
  </si>
  <si>
    <t>(02)22553748</t>
  </si>
  <si>
    <t>新北市板橋區陽明街52號+自由路1號</t>
  </si>
  <si>
    <t>(02)89682040</t>
  </si>
  <si>
    <t>新北市板橋區中正路341巷37號</t>
  </si>
  <si>
    <t>(02)29545105</t>
  </si>
  <si>
    <t>新北市板橋區永豐街51-1.51-2號一樓全部</t>
  </si>
  <si>
    <t>(02)22549655</t>
  </si>
  <si>
    <t>新北市板橋區長江路2段2號一樓</t>
  </si>
  <si>
    <t>(02)22584769</t>
  </si>
  <si>
    <t>新北市板橋區互助街48號一樓全部及50號一樓及地下室全部</t>
  </si>
  <si>
    <t>(02)29689211</t>
  </si>
  <si>
    <t>新北市板橋區藝文街171號一樓</t>
  </si>
  <si>
    <t>(02)22590856</t>
  </si>
  <si>
    <t>新北市板橋區幸褔路70巷1號</t>
  </si>
  <si>
    <t>北縣府中店</t>
  </si>
  <si>
    <t>(02)22722034</t>
  </si>
  <si>
    <t>新北市板橋區府中路24號</t>
  </si>
  <si>
    <t>(02)29511286</t>
  </si>
  <si>
    <t>新北市板橋區重慶路245巷61號</t>
  </si>
  <si>
    <t>(02)89535377</t>
  </si>
  <si>
    <t>新北市板橋區中山路一段279號</t>
  </si>
  <si>
    <t>(02)22725923</t>
  </si>
  <si>
    <t>新北市板橋區龍興街73巷2、4號1樓</t>
  </si>
  <si>
    <t>(02)26870839</t>
  </si>
  <si>
    <t>新北市板橋區大觀路3段160巷31弄1號</t>
  </si>
  <si>
    <t>(02)29693681</t>
  </si>
  <si>
    <t>新北市板橋區南雅東路100巷3號一樓</t>
  </si>
  <si>
    <t>(02)29514481</t>
  </si>
  <si>
    <t>新北市板橋區國慶路180號</t>
  </si>
  <si>
    <t>(02)89783501</t>
  </si>
  <si>
    <t>新北市板橋區四川路一段483一樓、485號一、二、三樓</t>
  </si>
  <si>
    <t>(02)89785452</t>
  </si>
  <si>
    <t>新北市板橋區僑中一街124巷11弄1、3號一樓全部</t>
  </si>
  <si>
    <t>(02)89786792</t>
  </si>
  <si>
    <t>新北市板橋區僑中二街104巷1、3號一樓部份</t>
  </si>
  <si>
    <t>(02)89789286</t>
  </si>
  <si>
    <t>新北市板橋區合安一路61號一樓全部</t>
  </si>
  <si>
    <t>北縣僑中三店</t>
  </si>
  <si>
    <t>(02)29663657</t>
  </si>
  <si>
    <t>新北市板橋區僑中一街125巷8弄2號</t>
  </si>
  <si>
    <t>(02)29603265</t>
  </si>
  <si>
    <t>新北市板橋區大觀路二段142之2號</t>
  </si>
  <si>
    <t>新北市板橋區民生路三段68-1號1樓</t>
  </si>
  <si>
    <t>新北市板橋區縣民大道二段22號B1</t>
  </si>
  <si>
    <t>新北市</t>
  </si>
  <si>
    <t>HE</t>
  </si>
  <si>
    <t>林佳蓁</t>
  </si>
  <si>
    <t>(02)22992945</t>
  </si>
  <si>
    <t>新北市五股區五工六路28號</t>
  </si>
  <si>
    <t>HH</t>
  </si>
  <si>
    <t>劉祖安</t>
  </si>
  <si>
    <t>(02)22984070</t>
  </si>
  <si>
    <t>新北市五股區五權路42之1號</t>
  </si>
  <si>
    <t>(02)22997463</t>
  </si>
  <si>
    <t>新北市五股區五工五路18號</t>
  </si>
  <si>
    <t>(02)82950770</t>
  </si>
  <si>
    <t>新北市五股區西雲路1號</t>
  </si>
  <si>
    <t>(02)29849703</t>
  </si>
  <si>
    <t>新北市五股區四維路153號</t>
  </si>
  <si>
    <t>(02)82921412</t>
  </si>
  <si>
    <t>新北市五股區西雲路134、134之1號一樓</t>
  </si>
  <si>
    <t>(02)22952456</t>
  </si>
  <si>
    <t>新北市五股區五福路8、10號一樓全部</t>
  </si>
  <si>
    <t>(02)89780647</t>
  </si>
  <si>
    <t>新北市五股區成泰路二段91巷9號1樓部份</t>
  </si>
  <si>
    <t>(02)22952175</t>
  </si>
  <si>
    <t xml:space="preserve">新北市五股區西雲路211及213號 </t>
  </si>
  <si>
    <t>(02)22910029</t>
  </si>
  <si>
    <t>新北市五股區凌雲路三段46號</t>
  </si>
  <si>
    <t>(02)29818439</t>
  </si>
  <si>
    <t>新北市五股區中興路二段1號一樓全部</t>
  </si>
  <si>
    <t>HD</t>
  </si>
  <si>
    <t>張卿婷</t>
  </si>
  <si>
    <t xml:space="preserve">(02)29017165 </t>
  </si>
  <si>
    <t>新北市新莊區中正路510號</t>
  </si>
  <si>
    <t>車麗屋新莊店</t>
  </si>
  <si>
    <t>HA</t>
  </si>
  <si>
    <t>簡志恆</t>
  </si>
  <si>
    <t>(02)89785557</t>
  </si>
  <si>
    <t>新北市新莊區頭前路1號及三重區興德路238號</t>
  </si>
  <si>
    <t>(02)22083023</t>
  </si>
  <si>
    <t>新北市新莊區新樹路204號</t>
  </si>
  <si>
    <t>新北市新莊區民安路56-2號</t>
  </si>
  <si>
    <t>(02)22037151</t>
  </si>
  <si>
    <t>新北市新莊區瓊林南路133號</t>
  </si>
  <si>
    <t>(02)22063732</t>
  </si>
  <si>
    <t>新北市新莊區豐年街118之1號</t>
  </si>
  <si>
    <t>(02)89783919</t>
  </si>
  <si>
    <t>新北市新莊區雙鳳路53號一樓</t>
  </si>
  <si>
    <t>(02)89787449</t>
  </si>
  <si>
    <t>新北市新莊區瓊泰路59號及61號</t>
  </si>
  <si>
    <t>(02)29033571</t>
  </si>
  <si>
    <t>新北市新莊區福營路336,338號</t>
  </si>
  <si>
    <t>(02)29044633</t>
  </si>
  <si>
    <t>新北市新莊區裕民街83之6號</t>
  </si>
  <si>
    <t>(02)29938588</t>
  </si>
  <si>
    <t>新北市新莊區自信街77號+75巷2號</t>
  </si>
  <si>
    <t>(02)29926407</t>
  </si>
  <si>
    <t>新北市新莊區中和街19號</t>
  </si>
  <si>
    <t>(02)89943683</t>
  </si>
  <si>
    <t>新北市新莊區幸福路562號</t>
  </si>
  <si>
    <t>(02)22765940</t>
  </si>
  <si>
    <t>新北市新莊區新莊路307、309號一樓部份</t>
  </si>
  <si>
    <t>(02)89782093</t>
  </si>
  <si>
    <t>新北市新莊區福壽街188、190號一樓全部</t>
  </si>
  <si>
    <t>(02)89783774</t>
  </si>
  <si>
    <t>新北市新莊區中信街20號一樓全部、22號一樓部份</t>
  </si>
  <si>
    <t>(02)89786748</t>
  </si>
  <si>
    <t>新北市新莊區中誠街161號及163號一樓全部</t>
  </si>
  <si>
    <t>(02)29947462</t>
  </si>
  <si>
    <t>新北市新莊區中港路84號1樓</t>
  </si>
  <si>
    <t>HF</t>
  </si>
  <si>
    <t>高崧棋</t>
  </si>
  <si>
    <t>(02)22777100</t>
  </si>
  <si>
    <t>新北市新莊區化成路85號</t>
  </si>
  <si>
    <t>(02)29926567</t>
  </si>
  <si>
    <t>新北市新莊區民樂街80、82號一樓</t>
  </si>
  <si>
    <t>(02)89786469</t>
  </si>
  <si>
    <t>新北市新莊區化成路414號及416號一樓全部</t>
  </si>
  <si>
    <t>(02)89787469</t>
  </si>
  <si>
    <t>新北市新莊區福美街98號及福德二街57號</t>
  </si>
  <si>
    <t>(02)89786468</t>
  </si>
  <si>
    <t>新北市新莊區中誠街55號1樓、53巷2號1樓</t>
  </si>
  <si>
    <t>(02)29980198</t>
  </si>
  <si>
    <t>新北市新莊區幸福東路149、151號一樓</t>
  </si>
  <si>
    <t>(02)85216901</t>
  </si>
  <si>
    <t>新北市新莊區昌平街96、98號一樓</t>
  </si>
  <si>
    <t>(02)22774913</t>
  </si>
  <si>
    <t>新北市新莊區思源路419巷1弄3、5號</t>
  </si>
  <si>
    <t xml:space="preserve">(02)29910025 </t>
  </si>
  <si>
    <t xml:space="preserve">新北市新莊區中港三街5及7號 </t>
  </si>
  <si>
    <t>(02)89781429</t>
  </si>
  <si>
    <t>新北市新莊區頭前路125、127號一樓全部</t>
  </si>
  <si>
    <t>(02)89782307</t>
  </si>
  <si>
    <t>新北市新莊區化成路519號一樓</t>
  </si>
  <si>
    <t>新北市新莊區 建國二路10號一樓 </t>
  </si>
  <si>
    <t>(02)22829000</t>
  </si>
  <si>
    <t>新北市蘆洲區集賢路407號</t>
  </si>
  <si>
    <t>HG</t>
  </si>
  <si>
    <t>余毓珈</t>
  </si>
  <si>
    <t>(02)22819326</t>
  </si>
  <si>
    <t>新北市蘆洲區永平街30號</t>
  </si>
  <si>
    <t>(02)22886490</t>
  </si>
  <si>
    <t>新北市蘆洲區鷺江街69號一樓</t>
  </si>
  <si>
    <t>(02)28474042</t>
  </si>
  <si>
    <t>新北市蘆洲區正和街47號</t>
  </si>
  <si>
    <t>(02)22827585</t>
  </si>
  <si>
    <t>新北市蘆洲區信義路35號</t>
  </si>
  <si>
    <t>(02)82832658</t>
  </si>
  <si>
    <t>新北市蘆洲區中山一路293/293-1號全部</t>
  </si>
  <si>
    <t>(02)89786854</t>
  </si>
  <si>
    <t>新北市蘆洲區得勝街108號一樓</t>
  </si>
  <si>
    <t>(02)82850904</t>
  </si>
  <si>
    <t>新北市蘆洲區永平街32巷22弄1號一樓全部與地下室倉儲空間</t>
  </si>
  <si>
    <t>(02)82866503</t>
  </si>
  <si>
    <t>新北市蘆洲區水湳街150號1樓</t>
  </si>
  <si>
    <t>(02)82862951</t>
  </si>
  <si>
    <t>新北市蘆洲區永安南路二段268之1、268之2</t>
  </si>
  <si>
    <t>(02)22891116</t>
  </si>
  <si>
    <t>新北市蘆洲區光榮路68、70號一樓全部</t>
  </si>
  <si>
    <t>(02)89783340</t>
  </si>
  <si>
    <t>新北市蘆洲區永樂街38巷32.34號</t>
  </si>
  <si>
    <t>(02)89785422</t>
  </si>
  <si>
    <t>新北市蘆洲區長樂路22號</t>
  </si>
  <si>
    <t>(02)22888971</t>
  </si>
  <si>
    <t>新北市蘆洲區中正路185巷78弄1、3號</t>
  </si>
  <si>
    <t>(02)22850256</t>
  </si>
  <si>
    <t>新北市蘆洲區民權路113號</t>
  </si>
  <si>
    <t>新北市蘆洲區中山二路77號</t>
  </si>
  <si>
    <t>新北市蘆洲區三民路368號1樓之1</t>
  </si>
  <si>
    <t>新北市蘆洲區民族路424號一樓、424-1號一、二樓</t>
  </si>
  <si>
    <t>北二二部</t>
  </si>
  <si>
    <t>GA</t>
  </si>
  <si>
    <t>蘇哲輝</t>
  </si>
  <si>
    <t>(02)29997823</t>
  </si>
  <si>
    <t>新北市三重區重新路五段656號</t>
  </si>
  <si>
    <t>(02)29996281</t>
  </si>
  <si>
    <t>新北市三重區光復路一段85、85-2號</t>
  </si>
  <si>
    <t>(02)29752340</t>
  </si>
  <si>
    <t>新北市三重區重新路四段176號</t>
  </si>
  <si>
    <t>(02)29745620</t>
  </si>
  <si>
    <t>新北市三重區二重疏洪道疏洪十六路重新橋下</t>
  </si>
  <si>
    <t>(02)29992856</t>
  </si>
  <si>
    <t>新北市三重區光復路二段117之1號</t>
  </si>
  <si>
    <t>(02)89789285</t>
  </si>
  <si>
    <t>新北市三重區中興北街153號</t>
  </si>
  <si>
    <t>(02)29990530</t>
  </si>
  <si>
    <t>新北市三重區中興北街134號</t>
  </si>
  <si>
    <t>(02)22781425</t>
  </si>
  <si>
    <t>新北市三重區中興北街195,197號</t>
  </si>
  <si>
    <t>(02)22781681</t>
  </si>
  <si>
    <t>新北市三重區中興北街42號</t>
  </si>
  <si>
    <t>GB</t>
  </si>
  <si>
    <t>洪莙茹</t>
  </si>
  <si>
    <t>(02)22861822</t>
  </si>
  <si>
    <t>新北市三重區溪尾街１０８巷５８號</t>
  </si>
  <si>
    <t>(02)82875806</t>
  </si>
  <si>
    <t>新北市三重區進安街76號</t>
  </si>
  <si>
    <t>(02)82875643</t>
  </si>
  <si>
    <t>新北市三重區仁安街2號</t>
  </si>
  <si>
    <t>(02)89783174</t>
  </si>
  <si>
    <t>新北市三重區仁美街96巷1號1樓全部</t>
  </si>
  <si>
    <t>(02)89781726</t>
  </si>
  <si>
    <t>新北市三重區溪尾街293號及295號</t>
  </si>
  <si>
    <t>(02)89786794</t>
  </si>
  <si>
    <t>新北市三重區五華街70號</t>
  </si>
  <si>
    <t>(02)22862694</t>
  </si>
  <si>
    <t>新北市三重區溪尾街192號</t>
  </si>
  <si>
    <t>(02)22873930</t>
  </si>
  <si>
    <t>新北市三重區溪尾街122號</t>
  </si>
  <si>
    <t>(02)29871152</t>
  </si>
  <si>
    <t>新北市三重區五華街60號</t>
  </si>
  <si>
    <t>(02)29714594</t>
  </si>
  <si>
    <t>新北市三重區仁愛街253號</t>
  </si>
  <si>
    <t>GC</t>
  </si>
  <si>
    <t>周于騰</t>
  </si>
  <si>
    <t>(02)29701591</t>
  </si>
  <si>
    <t>新北市三重區中央北路132號</t>
  </si>
  <si>
    <t>(02)89856440</t>
  </si>
  <si>
    <t>新北市三重區自強路二段74巷1號及特76號</t>
  </si>
  <si>
    <t>(02)89785492</t>
  </si>
  <si>
    <t>新北市三重區中正北路415號及417號1樓全部</t>
  </si>
  <si>
    <t>(02)89781885</t>
  </si>
  <si>
    <t>新北市三重區仁興街28巷44、46號</t>
  </si>
  <si>
    <t>(02)89780978</t>
  </si>
  <si>
    <t>新北市三重區後竹圍街177+179號</t>
  </si>
  <si>
    <t>(02)89796017</t>
  </si>
  <si>
    <t>新北市三重區仁愛街72號一樓</t>
  </si>
  <si>
    <t>(02)29880656</t>
  </si>
  <si>
    <t>新北市三重區中正北路278、280及282號</t>
  </si>
  <si>
    <t>(02)29718274</t>
  </si>
  <si>
    <t>新北市三重區中正北路430號及430之1號一樓全部</t>
  </si>
  <si>
    <t>(02)29809560</t>
  </si>
  <si>
    <t>新北市三重區車路頭街35號</t>
  </si>
  <si>
    <t>(02)29885754</t>
  </si>
  <si>
    <t>新北市三重區中正北路518號</t>
  </si>
  <si>
    <t>GD</t>
  </si>
  <si>
    <t>楊雅齡</t>
  </si>
  <si>
    <t>(02)29720701</t>
  </si>
  <si>
    <t>新北市三重區大同南路69號</t>
  </si>
  <si>
    <t>(02)29741129</t>
  </si>
  <si>
    <t>新北市三重區大同南路153,153-1號</t>
  </si>
  <si>
    <t>(02)89816428</t>
  </si>
  <si>
    <t>新北市三重區大仁街78號</t>
  </si>
  <si>
    <t>(02)29778270</t>
  </si>
  <si>
    <t>新北市三重區仁化街118.120號</t>
  </si>
  <si>
    <t>(02)29748415</t>
  </si>
  <si>
    <t>新北市三重區重新路三段2號</t>
  </si>
  <si>
    <t>(02)89783402</t>
  </si>
  <si>
    <t>新北市三重區中正北路25巷5號及7號</t>
  </si>
  <si>
    <t>(02)89783964</t>
  </si>
  <si>
    <t>新北市三重區中央南路74號</t>
  </si>
  <si>
    <t>(02)89785450</t>
  </si>
  <si>
    <t>新北市三重區大同南路148號1樓</t>
  </si>
  <si>
    <t>(02)89781422</t>
  </si>
  <si>
    <t>新北市三重區大仁街52號</t>
  </si>
  <si>
    <t>(02)29833175</t>
  </si>
  <si>
    <t>新北市三重區中正北路105號</t>
  </si>
  <si>
    <t>GE</t>
  </si>
  <si>
    <t>王喻旻</t>
  </si>
  <si>
    <t>(02)29864907</t>
  </si>
  <si>
    <t>新北市三重區自強路一段164,166號</t>
  </si>
  <si>
    <t>(02)82873428</t>
  </si>
  <si>
    <t>新北市三重區永福街256及258號</t>
  </si>
  <si>
    <t>(02)22800283</t>
  </si>
  <si>
    <t>新北市三重區永福街11號</t>
  </si>
  <si>
    <t>(02)29763480</t>
  </si>
  <si>
    <t>新北市三重區龍門路176號</t>
  </si>
  <si>
    <t>(02)22862845</t>
  </si>
  <si>
    <t>新北市三重區永福街97號及99號</t>
  </si>
  <si>
    <t>(02)89787590</t>
  </si>
  <si>
    <t>新北市三重區仁愛街331號</t>
  </si>
  <si>
    <t>(02)89787314</t>
  </si>
  <si>
    <t>新北市三重區仁愛街382號及慈愛街201號、203號</t>
  </si>
  <si>
    <t>(02)89781040</t>
  </si>
  <si>
    <t>新北市三重區仁義街12號壹樓部份及仁興街39巷37號壹樓部份</t>
  </si>
  <si>
    <t>三重徐匯站</t>
  </si>
  <si>
    <t>(02)22870458</t>
  </si>
  <si>
    <t>新北市三重區三和路四段233號</t>
  </si>
  <si>
    <t>GF</t>
  </si>
  <si>
    <t>鄭偉宏</t>
  </si>
  <si>
    <t>(02)29789248</t>
  </si>
  <si>
    <t>新北市三重區中央北路68號</t>
  </si>
  <si>
    <t>(02)29778824</t>
  </si>
  <si>
    <t>新北市三重區中央北路2號</t>
  </si>
  <si>
    <t>(02)89783792</t>
  </si>
  <si>
    <t>新北市三重區文化北路116號一樓</t>
  </si>
  <si>
    <t>(02)29886906</t>
  </si>
  <si>
    <t>新北市三重區大智街22號及24號</t>
  </si>
  <si>
    <t>(02)89781967</t>
  </si>
  <si>
    <t>新北市三重區安和路105號</t>
  </si>
  <si>
    <t>(02)89798324</t>
  </si>
  <si>
    <t>新北市三重區文化北路224巷1號及3號</t>
  </si>
  <si>
    <t>(02)29888929</t>
  </si>
  <si>
    <t xml:space="preserve">新北市三重區國隆路19、21、23號 </t>
  </si>
  <si>
    <t>(02)29836291</t>
  </si>
  <si>
    <t>新北市三重區正義北路280號</t>
  </si>
  <si>
    <t>(02)29819274</t>
  </si>
  <si>
    <t>新北市三重區三和路三段137號</t>
  </si>
  <si>
    <t>GG</t>
  </si>
  <si>
    <t>楊雅鈞</t>
  </si>
  <si>
    <t>(02)29894955</t>
  </si>
  <si>
    <t>新北市三重區中正北路66號</t>
  </si>
  <si>
    <t>(02)29808277</t>
  </si>
  <si>
    <t>新北市三重區中華路18號</t>
  </si>
  <si>
    <t>(02)89829106</t>
  </si>
  <si>
    <t>新北市三重區三陽路59號</t>
  </si>
  <si>
    <t>(02)89827310</t>
  </si>
  <si>
    <t>新北市三重區中華路92號及94號</t>
  </si>
  <si>
    <t>(02)29842643</t>
  </si>
  <si>
    <t>新北市三重區忠孝路三段50巷98號</t>
  </si>
  <si>
    <t>(02)89783696</t>
  </si>
  <si>
    <t>新北市三重區龍濱路21號及23號</t>
  </si>
  <si>
    <t>(02)89782442</t>
  </si>
  <si>
    <t>新北市三重區環河南路221巷14號及16號1樓全部</t>
  </si>
  <si>
    <t>(02)89781224</t>
  </si>
  <si>
    <t>新北市三重區集美街211、213號一樓全部</t>
  </si>
  <si>
    <t>(02)29855402</t>
  </si>
  <si>
    <t>新北市三重區三民街100,102號</t>
  </si>
  <si>
    <t>(02)29766464</t>
  </si>
  <si>
    <t>新北市三重區重新路四段244巷40號</t>
  </si>
  <si>
    <t>新北市三重區三陽路14巷12號及14號</t>
  </si>
  <si>
    <t>新北市三重區仁義街209號1樓及地下室</t>
  </si>
  <si>
    <t>新北市三重區大智街97號</t>
  </si>
  <si>
    <t>新北市三重區五華街89號一樓</t>
  </si>
  <si>
    <t>新北市三重區重陽路三段126、128號一、二樓</t>
  </si>
  <si>
    <t>中和運動中心</t>
  </si>
  <si>
    <t>新北市中和區錦和路350之2號</t>
  </si>
  <si>
    <t>北縣興南店</t>
  </si>
  <si>
    <t>新北市中和區信義街50號</t>
  </si>
  <si>
    <t>中和員山店</t>
  </si>
  <si>
    <t>新北市中和區員山路502-7號</t>
  </si>
  <si>
    <t>中和國際店</t>
  </si>
  <si>
    <t>新北市中和區員山路581巷2號</t>
  </si>
  <si>
    <t>中和泰和店</t>
  </si>
  <si>
    <t>新北市中和區泰和街10號</t>
  </si>
  <si>
    <t>中和和圓店</t>
  </si>
  <si>
    <t>新北市中和區圓通路2.4.6.號</t>
  </si>
  <si>
    <t>新北市中和區自立路20巷1號</t>
  </si>
  <si>
    <t>中和自治店</t>
  </si>
  <si>
    <t>新北市中和區自治街38號及40號</t>
  </si>
  <si>
    <t>中和連城店</t>
  </si>
  <si>
    <t>新北市中和區連城路47巷1號</t>
  </si>
  <si>
    <t>新北市中和區華新街143巷12號</t>
  </si>
  <si>
    <t>新北市中和區員山路84、86、88號一樓</t>
  </si>
  <si>
    <t>中和連勝店</t>
  </si>
  <si>
    <t>新北市中和區新生街225號及227號</t>
  </si>
  <si>
    <t>新北市中和區景德街91號</t>
  </si>
  <si>
    <t>新北市中和區工專路38號</t>
  </si>
  <si>
    <t>中和霸氣店</t>
  </si>
  <si>
    <t>新北市中和區民德路163、165、167、169號</t>
  </si>
  <si>
    <t>新北市中和區安平路89-2、89-3號</t>
  </si>
  <si>
    <t>新北市中和區宜安路36、38號</t>
  </si>
  <si>
    <t>北縣福美店</t>
  </si>
  <si>
    <t>新北市中和區莊敬路29號</t>
  </si>
  <si>
    <t>中和力德店</t>
  </si>
  <si>
    <t>新北市中和區立德街26巷1號及28號</t>
  </si>
  <si>
    <t>中和中板店</t>
  </si>
  <si>
    <t>新北市中和區中板路27號</t>
  </si>
  <si>
    <t>中和永安市場</t>
  </si>
  <si>
    <t>新北市中和區中和路414號</t>
  </si>
  <si>
    <t>中和遠東店</t>
  </si>
  <si>
    <t>新北市中和區建八路116號</t>
  </si>
  <si>
    <t>中和景安站</t>
  </si>
  <si>
    <t>新北市中和區景安路152號</t>
  </si>
  <si>
    <t>中和橋安店</t>
  </si>
  <si>
    <t>新北市中和區中山路2段352號</t>
  </si>
  <si>
    <t>北縣南勢店</t>
  </si>
  <si>
    <t>新北市中和區興南路二段116、118號</t>
  </si>
  <si>
    <t>中和水源店</t>
  </si>
  <si>
    <t>新北市中和區水源路73號</t>
  </si>
  <si>
    <t>新北市中和區南山路260號</t>
  </si>
  <si>
    <t>新北市永和區福和路7巷11弄16號</t>
  </si>
  <si>
    <t>永和樂華夜市</t>
  </si>
  <si>
    <t>新北市永和區永平路164號</t>
  </si>
  <si>
    <t>永和頂溪店</t>
  </si>
  <si>
    <t>新北市永和區永和路二段217號</t>
  </si>
  <si>
    <t>新北市永和區秀朗路1段201號</t>
  </si>
  <si>
    <t>新北市永和區永貞路158號及160號</t>
  </si>
  <si>
    <t>新北市永和區竹林路65號</t>
  </si>
  <si>
    <t>部件</t>
  </si>
  <si>
    <t>零件名稱</t>
  </si>
  <si>
    <t>料號</t>
  </si>
  <si>
    <t>型號</t>
  </si>
  <si>
    <t>15AC</t>
  </si>
  <si>
    <t>滾筒組</t>
  </si>
  <si>
    <t>碳粉匣</t>
  </si>
  <si>
    <t>TTFC415T</t>
  </si>
  <si>
    <t>YMCK</t>
  </si>
  <si>
    <t>回收盒</t>
  </si>
  <si>
    <t>TTBFC505C</t>
  </si>
  <si>
    <t>PS-TBFC505C</t>
  </si>
  <si>
    <t>滾筒(黑)</t>
  </si>
  <si>
    <t>T6LK49015000</t>
  </si>
  <si>
    <t>OD-FC505</t>
  </si>
  <si>
    <t>滾筒(彩)</t>
  </si>
  <si>
    <t>T6LJ70598000</t>
  </si>
  <si>
    <t>OD-FC50</t>
  </si>
  <si>
    <t>滾筒刮片</t>
  </si>
  <si>
    <t>T6LK49077000</t>
  </si>
  <si>
    <t>BL-FC200D</t>
  </si>
  <si>
    <t>回收刮片</t>
  </si>
  <si>
    <t>T6LJ54029000</t>
  </si>
  <si>
    <t>BLADE-REC-H21X</t>
  </si>
  <si>
    <t>鐵粉(黑)</t>
  </si>
  <si>
    <t>T6LK49016300</t>
  </si>
  <si>
    <t>D-FC505-K</t>
  </si>
  <si>
    <t>鐵粉(黃)</t>
  </si>
  <si>
    <t>T6LK49016000</t>
  </si>
  <si>
    <t>D-FC505-Y</t>
  </si>
  <si>
    <t>鐵粉(紅)</t>
  </si>
  <si>
    <t>T6LK49016100</t>
  </si>
  <si>
    <t>D-FC505-M</t>
  </si>
  <si>
    <t>鐵粉(藍)</t>
  </si>
  <si>
    <t>T6LK49016200</t>
  </si>
  <si>
    <t>D-FC505-C</t>
  </si>
  <si>
    <t>顯像組</t>
  </si>
  <si>
    <t>攪拌棒(無刷片)</t>
  </si>
  <si>
    <t>T6LJ54275000</t>
  </si>
  <si>
    <t>MIXER-DEV-SPLR-PBF</t>
  </si>
  <si>
    <t>攪拌棒(偵測器)</t>
  </si>
  <si>
    <t>T6LK48956000</t>
  </si>
  <si>
    <t>ASYS-MIXR-DEV-AGIR-H373</t>
  </si>
  <si>
    <t>顯像齒輪(小)</t>
  </si>
  <si>
    <t>T6LK48905000</t>
  </si>
  <si>
    <t>GEAR-04H-29-9-MIX-AG-H373</t>
  </si>
  <si>
    <t>顯像齒輪(中-低)</t>
  </si>
  <si>
    <t>T6LK48908000</t>
  </si>
  <si>
    <t>GEAR-04H-42-6-IDLE-H373</t>
  </si>
  <si>
    <t>顯像齒輪(中-高)</t>
  </si>
  <si>
    <t>T6LK48939000</t>
  </si>
  <si>
    <t>ASYS-GEAR-IDLE-H376</t>
  </si>
  <si>
    <t>顯像齒輪(大)</t>
  </si>
  <si>
    <t>T6LJ54055000</t>
  </si>
  <si>
    <t>GEAR-04H-29-9-MIX-AGIR</t>
  </si>
  <si>
    <t>攪拌棒(油封)</t>
  </si>
  <si>
    <t>SEAL-VC6-10-2.5</t>
  </si>
  <si>
    <t>攪拌棒(導輪)</t>
  </si>
  <si>
    <t>F0-01959000</t>
  </si>
  <si>
    <t>L1260 2RS-SH44M-GV22</t>
  </si>
  <si>
    <t>定著組</t>
  </si>
  <si>
    <t>下熱滾軸</t>
  </si>
  <si>
    <t>T6LK55468000</t>
  </si>
  <si>
    <t>PR-FC505</t>
  </si>
  <si>
    <t>上熱皮帶(低)</t>
  </si>
  <si>
    <t>T6LK56853000</t>
  </si>
  <si>
    <t>BT-FC505</t>
  </si>
  <si>
    <t>上熱皮帶(高)</t>
  </si>
  <si>
    <t>T6LK56854000</t>
  </si>
  <si>
    <t>BT-FC505H</t>
  </si>
  <si>
    <t>油布</t>
  </si>
  <si>
    <t>T6LJ58874000</t>
  </si>
  <si>
    <t>SHEET-PAD-BELT</t>
  </si>
  <si>
    <t>加熱棒(低)</t>
  </si>
  <si>
    <t>T6LK55470000</t>
  </si>
  <si>
    <t>BELT-HLDUNIT-H373</t>
  </si>
  <si>
    <t>加熱棒(高)</t>
  </si>
  <si>
    <t>T6LK55469000</t>
  </si>
  <si>
    <t>BELT-HLDUNIT-H376</t>
  </si>
  <si>
    <t>取紙組</t>
  </si>
  <si>
    <t>取紙輪</t>
  </si>
  <si>
    <t>T6LJ56242000</t>
  </si>
  <si>
    <t>ASYS-ROLL-FEED-H21X_H</t>
  </si>
  <si>
    <t>送紙輪</t>
  </si>
  <si>
    <t>T6LK50739000</t>
  </si>
  <si>
    <t>ASYS-ROLL-FEED-H373</t>
  </si>
  <si>
    <t>分離輪</t>
  </si>
  <si>
    <t>T6LK50742000</t>
  </si>
  <si>
    <t>ASYS-ROLL-SPT-H373</t>
  </si>
  <si>
    <t>抽屜門把</t>
  </si>
  <si>
    <t>T6LJ56838200</t>
  </si>
  <si>
    <t>HNDL-CST-H370</t>
  </si>
  <si>
    <t>轉寫組</t>
  </si>
  <si>
    <t>轉寫皮帶</t>
  </si>
  <si>
    <t>T6LK50424000</t>
  </si>
  <si>
    <t>BELT-TBU-H370</t>
  </si>
  <si>
    <t>05AC</t>
  </si>
  <si>
    <t>TTFC505T</t>
  </si>
  <si>
    <t xml:space="preserve">回收盒             </t>
  </si>
  <si>
    <t>TTBFC505</t>
  </si>
  <si>
    <t>T6LK49199000</t>
  </si>
  <si>
    <t>MIXER-DEV-SPLR-H373-PBF</t>
  </si>
  <si>
    <t>T6LK49191000</t>
  </si>
  <si>
    <t>T6LK48906000</t>
  </si>
  <si>
    <t>GEAR-04H-29-9-MIX-SP-H373</t>
  </si>
  <si>
    <t>25AC</t>
  </si>
  <si>
    <t>TTFC425T</t>
  </si>
  <si>
    <t>TTBFC425C</t>
  </si>
  <si>
    <t>PS-TBFC425C</t>
  </si>
  <si>
    <t>T6LL51735300</t>
  </si>
  <si>
    <t>D-FC425-K</t>
  </si>
  <si>
    <t>T6LL51735000</t>
  </si>
  <si>
    <t>D-FC425-Y</t>
  </si>
  <si>
    <t>T6LL51735100</t>
  </si>
  <si>
    <t>D-FC425-M</t>
  </si>
  <si>
    <t>T6LL51735200</t>
  </si>
  <si>
    <t>D-FC425-C</t>
  </si>
  <si>
    <t>T6LL43329000</t>
  </si>
  <si>
    <t>MIXER-DEV-SPLR-K163</t>
  </si>
  <si>
    <t>T6LL43327000</t>
  </si>
  <si>
    <t>ASYS-MIXR-DEV-AGIR-K163</t>
  </si>
  <si>
    <t>T6LL43309000</t>
  </si>
  <si>
    <t>GEAR-04H-33-9-MIX-AG-K163</t>
  </si>
  <si>
    <t>T6LL43341000</t>
  </si>
  <si>
    <t>GEAR-04H-44-IDLE-K163</t>
  </si>
  <si>
    <t>T6LL05823000</t>
  </si>
  <si>
    <t>ASYS-GEAR-IDL-H44X</t>
  </si>
  <si>
    <t>T6LL43310000</t>
  </si>
  <si>
    <t>GEAR-04H-33-9-MIX-SP-K163</t>
  </si>
  <si>
    <t>油封+導輪</t>
  </si>
  <si>
    <t>T6LL05816000</t>
  </si>
  <si>
    <t>ASYS-BUSH-MIX-H44X</t>
  </si>
  <si>
    <t>下熱滾軸(低)</t>
  </si>
  <si>
    <t>T6LL51806000</t>
  </si>
  <si>
    <t>PR-FC3525</t>
  </si>
  <si>
    <t>下熱滾軸(高)</t>
  </si>
  <si>
    <t>上熱皮帶</t>
  </si>
  <si>
    <t>T6LL51855000</t>
  </si>
  <si>
    <t>BT-FC3525-C</t>
  </si>
  <si>
    <t>加熱組件(IH)高</t>
  </si>
  <si>
    <t>T6LL51853000</t>
  </si>
  <si>
    <t>BELT-HLDUNIT-K166</t>
  </si>
  <si>
    <t>08、18A</t>
  </si>
  <si>
    <t>TT5070</t>
  </si>
  <si>
    <t>08A使用</t>
  </si>
  <si>
    <t>TT5018</t>
  </si>
  <si>
    <t>18A使用</t>
  </si>
  <si>
    <t>滾筒</t>
  </si>
  <si>
    <t>T6LK28354000</t>
  </si>
  <si>
    <t>BL-2320D</t>
  </si>
  <si>
    <t>T6LL39101000</t>
  </si>
  <si>
    <t>T6LE54020000</t>
  </si>
  <si>
    <t>BLADE-REC</t>
  </si>
  <si>
    <t>鐵粉</t>
  </si>
  <si>
    <t>T6LK28272000</t>
  </si>
  <si>
    <t>D-5070</t>
  </si>
  <si>
    <t>攪拌棒(前)</t>
  </si>
  <si>
    <t>T6LA81635000</t>
  </si>
  <si>
    <t>MIXER-1-371</t>
  </si>
  <si>
    <t>攪拌棒(中)</t>
  </si>
  <si>
    <t>T6LH23230000</t>
  </si>
  <si>
    <t>ASYS-MIXER-2-284</t>
  </si>
  <si>
    <t>攪拌棒(後)</t>
  </si>
  <si>
    <t>T6LH23233000</t>
  </si>
  <si>
    <t>MIXER-3-284</t>
  </si>
  <si>
    <t>皮帶齒輪(低)</t>
  </si>
  <si>
    <t>T6LH53413000</t>
  </si>
  <si>
    <t>PULLY-2GT22-6</t>
  </si>
  <si>
    <t>皮帶齒輪(高)</t>
  </si>
  <si>
    <t>T6LH53434000</t>
  </si>
  <si>
    <t>皮帶(低)</t>
  </si>
  <si>
    <t>T6LH53427000</t>
  </si>
  <si>
    <t>BLT-T-2GT-88-40</t>
  </si>
  <si>
    <t>皮帶(高)</t>
  </si>
  <si>
    <t>T6LH53416000</t>
  </si>
  <si>
    <t>BLT-T-2GT-100-40</t>
  </si>
  <si>
    <t>皮帶惰輪</t>
  </si>
  <si>
    <t>T6LH53470000</t>
  </si>
  <si>
    <t>COLLER-DEV-TENS-470</t>
  </si>
  <si>
    <t>T6LK72101000</t>
  </si>
  <si>
    <t>HR-5008A-L</t>
  </si>
  <si>
    <t>T6LK72102000</t>
  </si>
  <si>
    <t>HR-3008A-L</t>
  </si>
  <si>
    <t>上熱滾軸</t>
  </si>
  <si>
    <t>T6LK72107000</t>
  </si>
  <si>
    <t>HR-5008A-U</t>
  </si>
  <si>
    <t>溫控</t>
  </si>
  <si>
    <t>T6LK72713000</t>
  </si>
  <si>
    <t>THMS-HTR-H413</t>
  </si>
  <si>
    <t>分離爪</t>
  </si>
  <si>
    <t>T6LE58405000</t>
  </si>
  <si>
    <t>SCRAPER-282</t>
  </si>
  <si>
    <t>上熱培林</t>
  </si>
  <si>
    <t>T6LK68071000</t>
  </si>
  <si>
    <t>6807ZZC4-GPL226</t>
  </si>
  <si>
    <t>28A</t>
  </si>
  <si>
    <t>TT3028</t>
  </si>
  <si>
    <t>K</t>
  </si>
  <si>
    <t>T6LL33301000</t>
  </si>
  <si>
    <t>OD-3028</t>
  </si>
  <si>
    <t>T6LL37515000</t>
  </si>
  <si>
    <t>D-3028</t>
  </si>
  <si>
    <t>00、10AC</t>
  </si>
  <si>
    <t>00AC使用</t>
  </si>
  <si>
    <t>10AC使用</t>
  </si>
  <si>
    <t>TTBFC30C</t>
  </si>
  <si>
    <t>滾筒(彩、黑)</t>
  </si>
  <si>
    <t>T6LJ70402200</t>
  </si>
  <si>
    <t>T6LJ70994300</t>
  </si>
  <si>
    <t>T6LJ70994000</t>
  </si>
  <si>
    <t>T6LJ70994100</t>
  </si>
  <si>
    <t>T6LJ70994200</t>
  </si>
  <si>
    <t>T6LJ54202000</t>
  </si>
  <si>
    <t>T6LJ54274000</t>
  </si>
  <si>
    <t>顯像齒輪(中)</t>
  </si>
  <si>
    <t>T6LJ54056000</t>
  </si>
  <si>
    <t>T6LJ54057000</t>
  </si>
  <si>
    <t>T4401949290</t>
  </si>
  <si>
    <t>TF0-01959000</t>
  </si>
  <si>
    <t>T6LJ70399000</t>
  </si>
  <si>
    <t>T6LJ70398000</t>
  </si>
  <si>
    <t>T6LK52066000</t>
  </si>
  <si>
    <t>T6LJ58146000</t>
  </si>
  <si>
    <t>分頁片</t>
  </si>
  <si>
    <t>T6LJ56946000</t>
  </si>
  <si>
    <t>原始資產編號</t>
  </si>
  <si>
    <t>門店代號</t>
  </si>
  <si>
    <t>管理編號</t>
  </si>
  <si>
    <t>產品序號</t>
  </si>
  <si>
    <t>原始取得日期</t>
  </si>
  <si>
    <t>異動原因</t>
  </si>
  <si>
    <t>是否專案</t>
  </si>
  <si>
    <t>EDC異常</t>
  </si>
  <si>
    <t>H815501311</t>
  </si>
  <si>
    <t>8155001311</t>
  </si>
  <si>
    <t>2430012050600392</t>
  </si>
  <si>
    <t>20121031</t>
  </si>
  <si>
    <t>故障更換</t>
  </si>
  <si>
    <t>Y</t>
  </si>
  <si>
    <t>STAR</t>
  </si>
  <si>
    <t>H815502167</t>
  </si>
  <si>
    <t>8155002167</t>
  </si>
  <si>
    <t>2430012080600067</t>
  </si>
  <si>
    <t>20121130</t>
  </si>
  <si>
    <t>盤點入庫</t>
  </si>
  <si>
    <t>H815501671</t>
  </si>
  <si>
    <t>8155001671</t>
  </si>
  <si>
    <t>2430012050600867</t>
  </si>
  <si>
    <t>H815501672</t>
  </si>
  <si>
    <t>8155001672</t>
  </si>
  <si>
    <t>2430012050600644</t>
  </si>
  <si>
    <t>H815501073</t>
  </si>
  <si>
    <t>8155001073</t>
  </si>
  <si>
    <t>2430012050600793</t>
  </si>
  <si>
    <t>H815501074</t>
  </si>
  <si>
    <t>8155001074</t>
  </si>
  <si>
    <t>2430012050600006</t>
  </si>
  <si>
    <t>H815502089</t>
  </si>
  <si>
    <t>8155002089</t>
  </si>
  <si>
    <t>2430011120600150</t>
  </si>
  <si>
    <t>H815501721</t>
  </si>
  <si>
    <t>8155001721</t>
  </si>
  <si>
    <t>0000046751</t>
  </si>
  <si>
    <t>H815501722</t>
  </si>
  <si>
    <t>8155001722</t>
  </si>
  <si>
    <t>0000004568</t>
  </si>
  <si>
    <t>H815501636</t>
  </si>
  <si>
    <t>北縣芝蘭店</t>
  </si>
  <si>
    <t>8155001636</t>
  </si>
  <si>
    <t>2430011120600163</t>
  </si>
  <si>
    <t>H815501637</t>
  </si>
  <si>
    <t>8155001637</t>
  </si>
  <si>
    <t>2430012050600318</t>
  </si>
  <si>
    <t>H815502049</t>
  </si>
  <si>
    <t>8155002049</t>
  </si>
  <si>
    <t>2430012080600266</t>
  </si>
  <si>
    <t>新裝潢</t>
  </si>
  <si>
    <t>H815502050</t>
  </si>
  <si>
    <t>8155002050</t>
  </si>
  <si>
    <t>2430012070410613</t>
  </si>
  <si>
    <t>H815501364</t>
  </si>
  <si>
    <t>8155001364</t>
  </si>
  <si>
    <t>2430012050600341</t>
  </si>
  <si>
    <t>H815500041</t>
  </si>
  <si>
    <t>8155000041</t>
  </si>
  <si>
    <t>2430012060600715</t>
  </si>
  <si>
    <t>20120831</t>
  </si>
  <si>
    <t>H815501669</t>
  </si>
  <si>
    <t>8155001669</t>
  </si>
  <si>
    <t>2430012070410417</t>
  </si>
  <si>
    <t>H815501670</t>
  </si>
  <si>
    <t>8155001670</t>
  </si>
  <si>
    <t>2430012050600752</t>
  </si>
  <si>
    <t>H815501751</t>
  </si>
  <si>
    <t>8155001751</t>
  </si>
  <si>
    <t>2430012070410971</t>
  </si>
  <si>
    <t>H815501752</t>
  </si>
  <si>
    <t>8155001752</t>
  </si>
  <si>
    <t>24300120506000020</t>
  </si>
  <si>
    <t>H815501826</t>
  </si>
  <si>
    <t>8155001826</t>
  </si>
  <si>
    <t>2430011120600143</t>
  </si>
  <si>
    <t>H815501827</t>
  </si>
  <si>
    <t>8155001827</t>
  </si>
  <si>
    <t>2430012090600113</t>
  </si>
  <si>
    <t>H815502453</t>
  </si>
  <si>
    <t>8155002453</t>
  </si>
  <si>
    <t>2430012050600108</t>
  </si>
  <si>
    <t>H815502602</t>
  </si>
  <si>
    <t>8155002602</t>
  </si>
  <si>
    <t>2430012070410994</t>
  </si>
  <si>
    <t>H815502603</t>
  </si>
  <si>
    <t>8155002603</t>
  </si>
  <si>
    <t>2430012090600104</t>
  </si>
  <si>
    <t>H815502248</t>
  </si>
  <si>
    <t>8155002248</t>
  </si>
  <si>
    <t>2430012070410973</t>
  </si>
  <si>
    <t>H815501788</t>
  </si>
  <si>
    <t>8155001788</t>
  </si>
  <si>
    <t>2430012080600034</t>
  </si>
  <si>
    <t>H815502214</t>
  </si>
  <si>
    <t>8155002214</t>
  </si>
  <si>
    <t>2430011120600132</t>
  </si>
  <si>
    <t>H815501568</t>
  </si>
  <si>
    <t>8155001568</t>
  </si>
  <si>
    <t>2430012070410447</t>
  </si>
  <si>
    <t>H815501198</t>
  </si>
  <si>
    <t>8155001198</t>
  </si>
  <si>
    <t>2430012070410459</t>
  </si>
  <si>
    <t>H815500289</t>
  </si>
  <si>
    <t>8155000289</t>
  </si>
  <si>
    <t>2430012050600357</t>
  </si>
  <si>
    <t>H815500290</t>
  </si>
  <si>
    <t>8155000290</t>
  </si>
  <si>
    <t>2430012050600378</t>
  </si>
  <si>
    <t>H815501395</t>
  </si>
  <si>
    <t>三重中陽二店</t>
  </si>
  <si>
    <t>8155001395</t>
  </si>
  <si>
    <t>2430012080600018</t>
  </si>
  <si>
    <t>H815501560</t>
  </si>
  <si>
    <t>8155001560</t>
  </si>
  <si>
    <t>2430012050600613</t>
  </si>
  <si>
    <t>H815502430</t>
  </si>
  <si>
    <t>8155002430</t>
  </si>
  <si>
    <t>2430012050600781</t>
  </si>
  <si>
    <t>H815502435</t>
  </si>
  <si>
    <t>8155002435</t>
  </si>
  <si>
    <t>2430012080600004</t>
  </si>
  <si>
    <t>H815502436</t>
  </si>
  <si>
    <t>8155002436</t>
  </si>
  <si>
    <t>2430012050600701</t>
  </si>
  <si>
    <t>H815501850</t>
  </si>
  <si>
    <t>8155001850</t>
  </si>
  <si>
    <t>2430012050600064</t>
  </si>
  <si>
    <t>H815501851</t>
  </si>
  <si>
    <t>8155001851</t>
  </si>
  <si>
    <t>2430012050600774</t>
  </si>
  <si>
    <t>H815501377</t>
  </si>
  <si>
    <t>8155001377</t>
  </si>
  <si>
    <t>2430012080600026</t>
  </si>
  <si>
    <t>H815501378</t>
  </si>
  <si>
    <t>8155001378</t>
  </si>
  <si>
    <t>2430012050600761</t>
  </si>
  <si>
    <t>H815502443</t>
  </si>
  <si>
    <t>8155002443</t>
  </si>
  <si>
    <t>2430012070410492</t>
  </si>
  <si>
    <t>H815502405</t>
  </si>
  <si>
    <t>8155002405</t>
  </si>
  <si>
    <t>2430012070410421</t>
  </si>
  <si>
    <t>H815502406</t>
  </si>
  <si>
    <t>8155002406</t>
  </si>
  <si>
    <t>2430012080600139</t>
  </si>
  <si>
    <t>H815500035</t>
  </si>
  <si>
    <t>8155000035</t>
  </si>
  <si>
    <t>2430012050600642</t>
  </si>
  <si>
    <t>H815502162</t>
  </si>
  <si>
    <t>8155002162</t>
  </si>
  <si>
    <t>2430012080600458</t>
  </si>
  <si>
    <t>H815502163</t>
  </si>
  <si>
    <t>8155002163</t>
  </si>
  <si>
    <t>2430012080600395</t>
  </si>
  <si>
    <t>H815500334</t>
  </si>
  <si>
    <t>8155000334</t>
  </si>
  <si>
    <t>2430118110600090</t>
  </si>
  <si>
    <t>新開店裝機</t>
  </si>
  <si>
    <t>H815500774</t>
  </si>
  <si>
    <t>8155000774</t>
  </si>
  <si>
    <t>2430012070410792</t>
  </si>
  <si>
    <t>H815500775</t>
  </si>
  <si>
    <t>8155000775</t>
  </si>
  <si>
    <t>2430012070410157</t>
  </si>
  <si>
    <t>H815501183</t>
  </si>
  <si>
    <t>8155001183</t>
  </si>
  <si>
    <t>2430012050600829</t>
  </si>
  <si>
    <t>H815501691</t>
  </si>
  <si>
    <t>8155001691</t>
  </si>
  <si>
    <t>2430012080600177</t>
  </si>
  <si>
    <t>H815501692</t>
  </si>
  <si>
    <t>8155001692</t>
  </si>
  <si>
    <t>2430012080600116</t>
  </si>
  <si>
    <t>H815502176</t>
  </si>
  <si>
    <t>8155002176</t>
  </si>
  <si>
    <t>0000063411</t>
  </si>
  <si>
    <t>H815502693</t>
  </si>
  <si>
    <t>8155002693</t>
  </si>
  <si>
    <t>2430012050600680</t>
  </si>
  <si>
    <t>H815502529</t>
  </si>
  <si>
    <t>8155002529</t>
  </si>
  <si>
    <t>24300120506007070</t>
  </si>
  <si>
    <t>H815502530</t>
  </si>
  <si>
    <t>8155002530</t>
  </si>
  <si>
    <t>24300120506004430</t>
  </si>
  <si>
    <t>H815502156</t>
  </si>
  <si>
    <t>8155002156</t>
  </si>
  <si>
    <t>2430012070410533</t>
  </si>
  <si>
    <t>H815502157</t>
  </si>
  <si>
    <t>8155002157</t>
  </si>
  <si>
    <t>2430012050600117</t>
  </si>
  <si>
    <t>H815502442</t>
  </si>
  <si>
    <t>8155002442</t>
  </si>
  <si>
    <t>2430012070410420</t>
  </si>
  <si>
    <t>H815502285</t>
  </si>
  <si>
    <t>8155002285</t>
  </si>
  <si>
    <t>2430012070410440</t>
  </si>
  <si>
    <t>H815502107</t>
  </si>
  <si>
    <t>8155002107</t>
  </si>
  <si>
    <t>2430012080600006</t>
  </si>
  <si>
    <t>H815501920</t>
  </si>
  <si>
    <t>8155001920</t>
  </si>
  <si>
    <t>2430012090600242</t>
  </si>
  <si>
    <t>H815502114</t>
  </si>
  <si>
    <t>8155002114</t>
  </si>
  <si>
    <t>2430012050600350</t>
  </si>
  <si>
    <t>H815502637</t>
  </si>
  <si>
    <t>8155002637</t>
  </si>
  <si>
    <t>2430012050600604</t>
  </si>
  <si>
    <t>H815502638</t>
  </si>
  <si>
    <t>8155002638</t>
  </si>
  <si>
    <t>2430012050600380</t>
  </si>
  <si>
    <t>H815502330</t>
  </si>
  <si>
    <t>8155002330</t>
  </si>
  <si>
    <t>2430012080600070</t>
  </si>
  <si>
    <t>H815502279</t>
  </si>
  <si>
    <t>8155002279</t>
  </si>
  <si>
    <t>2430012050600708</t>
  </si>
  <si>
    <t>裝機</t>
  </si>
  <si>
    <t>H815502284</t>
  </si>
  <si>
    <t>8155002284</t>
  </si>
  <si>
    <t>2430012050600451</t>
  </si>
  <si>
    <t>H815501864</t>
  </si>
  <si>
    <t>三重重高店</t>
  </si>
  <si>
    <t>8155001864</t>
  </si>
  <si>
    <t>2430012050600806</t>
  </si>
  <si>
    <t>H815501865</t>
  </si>
  <si>
    <t>8155001865</t>
  </si>
  <si>
    <t>2430012050600306</t>
  </si>
  <si>
    <t>H815502205</t>
  </si>
  <si>
    <t>8155002205</t>
  </si>
  <si>
    <t>2430012070410515</t>
  </si>
  <si>
    <t>H815502206</t>
  </si>
  <si>
    <t>8155002206</t>
  </si>
  <si>
    <t>2430012070410982</t>
  </si>
  <si>
    <t>H815502427</t>
  </si>
  <si>
    <t>8155002427</t>
  </si>
  <si>
    <t>2430012090600106</t>
  </si>
  <si>
    <t>H815502428</t>
  </si>
  <si>
    <t>8155002428</t>
  </si>
  <si>
    <t>2430012070410444</t>
  </si>
  <si>
    <t>H815500903</t>
  </si>
  <si>
    <t>8155000903</t>
  </si>
  <si>
    <t>2430012050600521</t>
  </si>
  <si>
    <t>H815500054</t>
  </si>
  <si>
    <t>8155000054</t>
  </si>
  <si>
    <t>2430012050600454</t>
  </si>
  <si>
    <t>H815500056</t>
  </si>
  <si>
    <t>8155000056</t>
  </si>
  <si>
    <t>2430011120600164</t>
  </si>
  <si>
    <t>H815501361</t>
  </si>
  <si>
    <t>8155001361</t>
  </si>
  <si>
    <t>2430012070410226</t>
  </si>
  <si>
    <t>H815500350</t>
  </si>
  <si>
    <t>8155000350</t>
  </si>
  <si>
    <t>2430012050600745</t>
  </si>
  <si>
    <t>H815500351</t>
  </si>
  <si>
    <t>8155000351</t>
  </si>
  <si>
    <t>2430012070410403</t>
  </si>
  <si>
    <t>H815502375</t>
  </si>
  <si>
    <t>8155002375</t>
  </si>
  <si>
    <t>2430012070410631</t>
  </si>
  <si>
    <t>H815502229</t>
  </si>
  <si>
    <t>8155002229</t>
  </si>
  <si>
    <t>2430012050600736</t>
  </si>
  <si>
    <t>H815501743</t>
  </si>
  <si>
    <t>8155001743</t>
  </si>
  <si>
    <t>2430012050600870</t>
  </si>
  <si>
    <t>H815500200</t>
  </si>
  <si>
    <t>8155000200</t>
  </si>
  <si>
    <t>2430012050600044</t>
  </si>
  <si>
    <t>H815501634</t>
  </si>
  <si>
    <t>8155001634</t>
  </si>
  <si>
    <t>2430012050600735</t>
  </si>
  <si>
    <t>H815501921</t>
  </si>
  <si>
    <t>8155001921</t>
  </si>
  <si>
    <t>2430012050600433</t>
  </si>
  <si>
    <t>H815502233</t>
  </si>
  <si>
    <t>8155002233</t>
  </si>
  <si>
    <t>2430012050600755</t>
  </si>
  <si>
    <t>H815502234</t>
  </si>
  <si>
    <t>8155002234</t>
  </si>
  <si>
    <t>2430012050600778</t>
  </si>
  <si>
    <t>H815502322</t>
  </si>
  <si>
    <t>8155002322</t>
  </si>
  <si>
    <t>2430012050600406</t>
  </si>
  <si>
    <t>H815502323</t>
  </si>
  <si>
    <t>8155002323</t>
  </si>
  <si>
    <t>2430012050600635</t>
  </si>
  <si>
    <t>H815500229</t>
  </si>
  <si>
    <t>8155000229</t>
  </si>
  <si>
    <t>2430012050600538</t>
  </si>
  <si>
    <t>H815500230</t>
  </si>
  <si>
    <t>8155000230</t>
  </si>
  <si>
    <t>2430012050600481</t>
  </si>
  <si>
    <t>H815502450</t>
  </si>
  <si>
    <t>8155002450</t>
  </si>
  <si>
    <t>2430012070410230</t>
  </si>
  <si>
    <t>H815501642</t>
  </si>
  <si>
    <t>8155001642</t>
  </si>
  <si>
    <t>24300120806001146</t>
  </si>
  <si>
    <t>H815502007</t>
  </si>
  <si>
    <t>8155002007</t>
  </si>
  <si>
    <t>2430012050600465</t>
  </si>
  <si>
    <t>H815502008</t>
  </si>
  <si>
    <t>8155002008</t>
  </si>
  <si>
    <t>24300120070410525</t>
  </si>
  <si>
    <t>H815501363</t>
  </si>
  <si>
    <t>8155001363</t>
  </si>
  <si>
    <t>2430012070410511</t>
  </si>
  <si>
    <t>H815500042</t>
  </si>
  <si>
    <t>8155000042</t>
  </si>
  <si>
    <t>2430012070410482</t>
  </si>
  <si>
    <t>H815502439</t>
  </si>
  <si>
    <t>8155002439</t>
  </si>
  <si>
    <t>2430011120600137</t>
  </si>
  <si>
    <t>H815502440</t>
  </si>
  <si>
    <t>8155002440</t>
  </si>
  <si>
    <t>2430012090600110</t>
  </si>
  <si>
    <t>H815502357</t>
  </si>
  <si>
    <t>8155002357</t>
  </si>
  <si>
    <t>2430012080600080</t>
  </si>
  <si>
    <t>H815502358</t>
  </si>
  <si>
    <t>8155002358</t>
  </si>
  <si>
    <t>2430012050600826</t>
  </si>
  <si>
    <t>H815501598</t>
  </si>
  <si>
    <t>8155001598</t>
  </si>
  <si>
    <t>H815500174</t>
  </si>
  <si>
    <t>8155000174</t>
  </si>
  <si>
    <t>2430012050600813</t>
  </si>
  <si>
    <t>H815502463</t>
  </si>
  <si>
    <t>北縣三愛三店</t>
  </si>
  <si>
    <t>8155002463</t>
  </si>
  <si>
    <t>0000032187</t>
  </si>
  <si>
    <t>H815502464</t>
  </si>
  <si>
    <t>8155002464</t>
  </si>
  <si>
    <t>0000005848</t>
  </si>
  <si>
    <t>H815502467</t>
  </si>
  <si>
    <t>北縣中陽店</t>
  </si>
  <si>
    <t>8155002467</t>
  </si>
  <si>
    <t>2430012050600631</t>
  </si>
  <si>
    <t>H815502468</t>
  </si>
  <si>
    <t>8155002468</t>
  </si>
  <si>
    <t>2430012070410436</t>
  </si>
  <si>
    <t>H815501385</t>
  </si>
  <si>
    <t>8155001385</t>
  </si>
  <si>
    <t>2430012050600463</t>
  </si>
  <si>
    <t>H815501386</t>
  </si>
  <si>
    <t>8155001386</t>
  </si>
  <si>
    <t>2430012050600789</t>
  </si>
  <si>
    <t>H815501392</t>
  </si>
  <si>
    <t>北縣仁和店</t>
  </si>
  <si>
    <t>8155001392</t>
  </si>
  <si>
    <t>2430212110410007</t>
  </si>
  <si>
    <t>H815501295</t>
  </si>
  <si>
    <t>8155001295</t>
  </si>
  <si>
    <t>243001207410490</t>
  </si>
  <si>
    <t>H815502245</t>
  </si>
  <si>
    <t>8155002245</t>
  </si>
  <si>
    <t>2430012080600129</t>
  </si>
  <si>
    <t>H815500291</t>
  </si>
  <si>
    <t>8155000291</t>
  </si>
  <si>
    <t>2430012050600417</t>
  </si>
  <si>
    <t>H815501667</t>
  </si>
  <si>
    <t>北縣重安店</t>
  </si>
  <si>
    <t>8155001667</t>
  </si>
  <si>
    <t>H815501668</t>
  </si>
  <si>
    <t>8155001668</t>
  </si>
  <si>
    <t>2430012050600353</t>
  </si>
  <si>
    <t>H815502052</t>
  </si>
  <si>
    <t>北縣重武店</t>
  </si>
  <si>
    <t>8155002052</t>
  </si>
  <si>
    <t>2430012050600339</t>
  </si>
  <si>
    <t>H815501627</t>
  </si>
  <si>
    <t>北縣重強店</t>
  </si>
  <si>
    <t>8155001627</t>
  </si>
  <si>
    <t>2430012070410989</t>
  </si>
  <si>
    <t>H815500881</t>
  </si>
  <si>
    <t>北縣重富店</t>
  </si>
  <si>
    <t>8155000881</t>
  </si>
  <si>
    <t>2430012090600190</t>
  </si>
  <si>
    <t>H815500882</t>
  </si>
  <si>
    <t>8155000882</t>
  </si>
  <si>
    <t>2430012070410614</t>
  </si>
  <si>
    <t>H815501876</t>
  </si>
  <si>
    <t>北縣重萬店</t>
  </si>
  <si>
    <t>8155001876</t>
  </si>
  <si>
    <t>2430012050600790</t>
  </si>
  <si>
    <t>H815502283</t>
  </si>
  <si>
    <t>8155002283</t>
  </si>
  <si>
    <t>2430012050600314</t>
  </si>
  <si>
    <t>H815501681</t>
  </si>
  <si>
    <t>北縣重鑫店</t>
  </si>
  <si>
    <t>8155001681</t>
  </si>
  <si>
    <t>2430012070410434</t>
  </si>
  <si>
    <t>H815501682</t>
  </si>
  <si>
    <t>8155001682</t>
  </si>
  <si>
    <t>2430012050600732</t>
  </si>
  <si>
    <t>H815502425</t>
  </si>
  <si>
    <t>8155002425</t>
  </si>
  <si>
    <t>2430012050600634</t>
  </si>
  <si>
    <t>H815502426</t>
  </si>
  <si>
    <t>8155002426</t>
  </si>
  <si>
    <t>2430012050600576</t>
  </si>
  <si>
    <t>H815500264</t>
  </si>
  <si>
    <t>8155000264</t>
  </si>
  <si>
    <t>2430012050600627</t>
  </si>
  <si>
    <t>H815502571</t>
  </si>
  <si>
    <t>8155002571</t>
  </si>
  <si>
    <t>2430012050600452</t>
  </si>
  <si>
    <t>H815500822</t>
  </si>
  <si>
    <t>8155000822</t>
  </si>
  <si>
    <t>2430012050600466</t>
  </si>
  <si>
    <t>H815500087</t>
  </si>
  <si>
    <t>8155000087</t>
  </si>
  <si>
    <t>2430012070410564</t>
  </si>
  <si>
    <t>H815500088</t>
  </si>
  <si>
    <t>8155000088</t>
  </si>
  <si>
    <t>2430011120600196</t>
  </si>
  <si>
    <t>H815502755</t>
  </si>
  <si>
    <t>8155002755</t>
  </si>
  <si>
    <t>2430012050600063</t>
  </si>
  <si>
    <t>H815502756</t>
  </si>
  <si>
    <t>8155002756</t>
  </si>
  <si>
    <t>2430012090600128</t>
  </si>
  <si>
    <t>H815500196</t>
  </si>
  <si>
    <t>8155000196</t>
  </si>
  <si>
    <t>2430012050600646</t>
  </si>
  <si>
    <t>H815502295</t>
  </si>
  <si>
    <t>8155002295</t>
  </si>
  <si>
    <t>2430012050600645</t>
  </si>
  <si>
    <t>H815502296</t>
  </si>
  <si>
    <t>8155002296</t>
  </si>
  <si>
    <t>H815501822</t>
  </si>
  <si>
    <t>8155001822</t>
  </si>
  <si>
    <t>2430012050600492</t>
  </si>
  <si>
    <t>H815501823</t>
  </si>
  <si>
    <t>8155001823</t>
  </si>
  <si>
    <t>2430011120600129</t>
  </si>
  <si>
    <t>H815501683</t>
  </si>
  <si>
    <t>8155001683</t>
  </si>
  <si>
    <t>2430012070410060</t>
  </si>
  <si>
    <t>H815501684</t>
  </si>
  <si>
    <t>8155001684</t>
  </si>
  <si>
    <t>2430012080600055</t>
  </si>
  <si>
    <t>H815502221</t>
  </si>
  <si>
    <t>8155002221</t>
  </si>
  <si>
    <t>2430012050600712</t>
  </si>
  <si>
    <t>H815501975</t>
  </si>
  <si>
    <t>8155001975</t>
  </si>
  <si>
    <t>2430012050600785</t>
  </si>
  <si>
    <t>H815501976</t>
  </si>
  <si>
    <t>8155001976</t>
  </si>
  <si>
    <t>2430012080800126</t>
  </si>
  <si>
    <t>H815501004</t>
  </si>
  <si>
    <t>8155001004</t>
  </si>
  <si>
    <t>2430012050600713</t>
  </si>
  <si>
    <t>H815501006</t>
  </si>
  <si>
    <t>8155001006</t>
  </si>
  <si>
    <t>2430012050600407</t>
  </si>
  <si>
    <t>H815502431</t>
  </si>
  <si>
    <t>8155002431</t>
  </si>
  <si>
    <t>2430012080600695</t>
  </si>
  <si>
    <t>H815502432</t>
  </si>
  <si>
    <t>8155002432</t>
  </si>
  <si>
    <t>2430012080600143</t>
  </si>
  <si>
    <t>H815501993</t>
  </si>
  <si>
    <t>北縣板好店</t>
  </si>
  <si>
    <t>8155001993</t>
  </si>
  <si>
    <t>2430012070410497</t>
  </si>
  <si>
    <t>H815500242</t>
  </si>
  <si>
    <t>8155000242</t>
  </si>
  <si>
    <t>2430012050600090</t>
  </si>
  <si>
    <t>H815501982</t>
  </si>
  <si>
    <t>8155001982</t>
  </si>
  <si>
    <t>2430012070410488</t>
  </si>
  <si>
    <t>H815501742</t>
  </si>
  <si>
    <t>8155001742</t>
  </si>
  <si>
    <t>2430012050600543</t>
  </si>
  <si>
    <t>H815500373</t>
  </si>
  <si>
    <t>8155000373</t>
  </si>
  <si>
    <t>2430012050600837</t>
  </si>
  <si>
    <t>H815501711</t>
  </si>
  <si>
    <t>8155001711</t>
  </si>
  <si>
    <t>243001208060099</t>
  </si>
  <si>
    <t>H815501712</t>
  </si>
  <si>
    <t>8155001712</t>
  </si>
  <si>
    <t>24300080600120</t>
  </si>
  <si>
    <t>H815500208</t>
  </si>
  <si>
    <t>北縣板龍店</t>
  </si>
  <si>
    <t>8155000208</t>
  </si>
  <si>
    <t>2430012050600849</t>
  </si>
  <si>
    <t>H815500263</t>
  </si>
  <si>
    <t>8155000263</t>
  </si>
  <si>
    <t>2430012050600661</t>
  </si>
  <si>
    <t>H815502119</t>
  </si>
  <si>
    <t>北縣板豐店</t>
  </si>
  <si>
    <t>8155002119</t>
  </si>
  <si>
    <t>2430012080600028</t>
  </si>
  <si>
    <t>H815502448</t>
  </si>
  <si>
    <t>8155002448</t>
  </si>
  <si>
    <t>2430011120600154</t>
  </si>
  <si>
    <t>H815501375</t>
  </si>
  <si>
    <t>8155001375</t>
  </si>
  <si>
    <t>2430012080600644</t>
  </si>
  <si>
    <t>H815501376</t>
  </si>
  <si>
    <t>8155001376</t>
  </si>
  <si>
    <t>H815501367</t>
  </si>
  <si>
    <t>北縣僑福店</t>
  </si>
  <si>
    <t>8155001367</t>
  </si>
  <si>
    <t>243001209060069</t>
  </si>
  <si>
    <t>TM2被蓋缺失</t>
  </si>
  <si>
    <t>H815502454</t>
  </si>
  <si>
    <t>8155002454</t>
  </si>
  <si>
    <t>2430012080600084</t>
  </si>
  <si>
    <t>H815502459</t>
  </si>
  <si>
    <t>8155002459</t>
  </si>
  <si>
    <t>2430012050600670</t>
  </si>
  <si>
    <t>H815501210</t>
  </si>
  <si>
    <t>8155001210</t>
  </si>
  <si>
    <t>2430012050600536</t>
  </si>
  <si>
    <t>H815501211</t>
  </si>
  <si>
    <t>8155001211</t>
  </si>
  <si>
    <t>2430012070410633</t>
  </si>
  <si>
    <t>H815502609</t>
  </si>
  <si>
    <t>8155002609</t>
  </si>
  <si>
    <t>2430012080600700</t>
  </si>
  <si>
    <t>H815502610</t>
  </si>
  <si>
    <t>8155002610</t>
  </si>
  <si>
    <t>2430012050600419</t>
  </si>
  <si>
    <t>H815501478</t>
  </si>
  <si>
    <t>8155001478</t>
  </si>
  <si>
    <t>2430012050600191</t>
  </si>
  <si>
    <t>H815501479</t>
  </si>
  <si>
    <t>8155001479</t>
  </si>
  <si>
    <t>2430012050600251</t>
  </si>
  <si>
    <t>H815500249</t>
  </si>
  <si>
    <t>8155000249</t>
  </si>
  <si>
    <t>2430012050600088</t>
  </si>
  <si>
    <t>H815501197</t>
  </si>
  <si>
    <t>8155001197</t>
  </si>
  <si>
    <t>2430012050600816</t>
  </si>
  <si>
    <t>H815502075</t>
  </si>
  <si>
    <t>8155002075</t>
  </si>
  <si>
    <t>2430011120600136</t>
  </si>
  <si>
    <t>H815502076</t>
  </si>
  <si>
    <t>8155002076</t>
  </si>
  <si>
    <t>2430012080600163</t>
  </si>
  <si>
    <t>H815500110</t>
  </si>
  <si>
    <t>8155000110</t>
  </si>
  <si>
    <t>2430012050600311</t>
  </si>
  <si>
    <t>H815500111</t>
  </si>
  <si>
    <t>8155000111</t>
  </si>
  <si>
    <t>2430012050600187</t>
  </si>
  <si>
    <t>H815501938</t>
  </si>
  <si>
    <t>8155001938</t>
  </si>
  <si>
    <t>243001120600195</t>
  </si>
  <si>
    <t>H815501939</t>
  </si>
  <si>
    <t>8155001939</t>
  </si>
  <si>
    <t>2430011120600128</t>
  </si>
  <si>
    <t>H815502573</t>
  </si>
  <si>
    <t>8155002573</t>
  </si>
  <si>
    <t>2430012050600327</t>
  </si>
  <si>
    <t>H815502574</t>
  </si>
  <si>
    <t>8155002574</t>
  </si>
  <si>
    <t>2430012050600734</t>
  </si>
  <si>
    <t>H815501069</t>
  </si>
  <si>
    <t>8155001069</t>
  </si>
  <si>
    <t>2430012070410880</t>
  </si>
  <si>
    <t>H815500977</t>
  </si>
  <si>
    <t>8155000977</t>
  </si>
  <si>
    <t>2430012050600625</t>
  </si>
  <si>
    <t>H815500978</t>
  </si>
  <si>
    <t>8155000978</t>
  </si>
  <si>
    <t>2430012050600801</t>
  </si>
  <si>
    <t>H815501981</t>
  </si>
  <si>
    <t>8155001981</t>
  </si>
  <si>
    <t>2430012050600620</t>
  </si>
  <si>
    <t>H815501633</t>
  </si>
  <si>
    <t>8155001633</t>
  </si>
  <si>
    <t>2430012050600416</t>
  </si>
  <si>
    <t>H815502065</t>
  </si>
  <si>
    <t>8155002065</t>
  </si>
  <si>
    <t>2430012080600128</t>
  </si>
  <si>
    <t>H815502066</t>
  </si>
  <si>
    <t>8155002066</t>
  </si>
  <si>
    <t>2430012080600179</t>
  </si>
  <si>
    <t>H815502475</t>
  </si>
  <si>
    <t>8155002475</t>
  </si>
  <si>
    <t>2430012070410470</t>
  </si>
  <si>
    <t>H815502476</t>
  </si>
  <si>
    <t>8155002476</t>
  </si>
  <si>
    <t>2430012070410462</t>
  </si>
  <si>
    <t>H815501583</t>
  </si>
  <si>
    <t>8155001583</t>
  </si>
  <si>
    <t>2430012050600872</t>
  </si>
  <si>
    <t>H815502713</t>
  </si>
  <si>
    <t>8155002713</t>
  </si>
  <si>
    <t>2430012050600504</t>
  </si>
  <si>
    <t>H815501327</t>
  </si>
  <si>
    <t>8155001327</t>
  </si>
  <si>
    <t>2430012070410585</t>
  </si>
  <si>
    <t>H815502010</t>
  </si>
  <si>
    <t>8155002010</t>
  </si>
  <si>
    <t>2430012050600662</t>
  </si>
  <si>
    <t>H815501700</t>
  </si>
  <si>
    <t>8155001700</t>
  </si>
  <si>
    <t>2430012080600078</t>
  </si>
  <si>
    <t>H815502371</t>
  </si>
  <si>
    <t>8155002371</t>
  </si>
  <si>
    <t>2430012070410413</t>
  </si>
  <si>
    <t>H815502372</t>
  </si>
  <si>
    <t>8155002372</t>
  </si>
  <si>
    <t>2430012070410461</t>
  </si>
  <si>
    <t>H815502369</t>
  </si>
  <si>
    <t>8155002369</t>
  </si>
  <si>
    <t>2430012070410906</t>
  </si>
  <si>
    <t>H815502370</t>
  </si>
  <si>
    <t>8155002370</t>
  </si>
  <si>
    <t>2430012080600583</t>
  </si>
  <si>
    <t>H815502681</t>
  </si>
  <si>
    <t>8155002681</t>
  </si>
  <si>
    <t>24300120506004770</t>
  </si>
  <si>
    <t>H815502682</t>
  </si>
  <si>
    <t>8155002682</t>
  </si>
  <si>
    <t>24300120506005060</t>
  </si>
  <si>
    <t>H815502268</t>
  </si>
  <si>
    <t>8155002268</t>
  </si>
  <si>
    <t>2430012050600061</t>
  </si>
  <si>
    <t>H815501328</t>
  </si>
  <si>
    <t>8155001328</t>
  </si>
  <si>
    <t>2430012080600692</t>
  </si>
  <si>
    <t>H815500649</t>
  </si>
  <si>
    <t>8155000649</t>
  </si>
  <si>
    <t>2430012050600517</t>
  </si>
  <si>
    <t>H815500817</t>
  </si>
  <si>
    <t>8155000817</t>
  </si>
  <si>
    <t>2430012070410886</t>
  </si>
  <si>
    <t>H815501652</t>
  </si>
  <si>
    <t>8155001652</t>
  </si>
  <si>
    <t>2430012050600489</t>
  </si>
  <si>
    <t>H815501653</t>
  </si>
  <si>
    <t>8155001653</t>
  </si>
  <si>
    <t>2430011120600124</t>
  </si>
  <si>
    <t>H815502146</t>
  </si>
  <si>
    <t>8155002146</t>
  </si>
  <si>
    <t>2430012080600136</t>
  </si>
  <si>
    <t>H815502147</t>
  </si>
  <si>
    <t>8155002147</t>
  </si>
  <si>
    <t>2430012050600513</t>
  </si>
  <si>
    <t>H815502808</t>
  </si>
  <si>
    <t>8155002808</t>
  </si>
  <si>
    <t>2430012070410409</t>
  </si>
  <si>
    <t>20140611</t>
  </si>
  <si>
    <t>H815502381</t>
  </si>
  <si>
    <t>8155002381</t>
  </si>
  <si>
    <t>2430012050600508</t>
  </si>
  <si>
    <t>H815502215</t>
  </si>
  <si>
    <t>8155002215</t>
  </si>
  <si>
    <t>2430012050600322</t>
  </si>
  <si>
    <t>H815502216</t>
  </si>
  <si>
    <t>8155002216</t>
  </si>
  <si>
    <t>2430012070410981</t>
  </si>
  <si>
    <t>H815500153</t>
  </si>
  <si>
    <t>8155000153</t>
  </si>
  <si>
    <t>2430012070410963</t>
  </si>
  <si>
    <t>H815501905</t>
  </si>
  <si>
    <t>8155001905</t>
  </si>
  <si>
    <t>2430011120000141</t>
  </si>
  <si>
    <t>H815501906</t>
  </si>
  <si>
    <t>8155001906</t>
  </si>
  <si>
    <t>2430012050600486</t>
  </si>
  <si>
    <t>H815501844</t>
  </si>
  <si>
    <t>8155001844</t>
  </si>
  <si>
    <t>2430012090600072</t>
  </si>
  <si>
    <t>H815501845</t>
  </si>
  <si>
    <t>8155001845</t>
  </si>
  <si>
    <t>2430012050600210</t>
  </si>
  <si>
    <t>H815501289</t>
  </si>
  <si>
    <t>8155001289</t>
  </si>
  <si>
    <t>2430012050600619</t>
  </si>
  <si>
    <t>H815501290</t>
  </si>
  <si>
    <t>8155001290</t>
  </si>
  <si>
    <t>2430012070410611</t>
  </si>
  <si>
    <t>H815501783</t>
  </si>
  <si>
    <t>8155001783</t>
  </si>
  <si>
    <t>2430012070410522</t>
  </si>
  <si>
    <t>H815501784</t>
  </si>
  <si>
    <t>8155001784</t>
  </si>
  <si>
    <t>2430012050600368</t>
  </si>
  <si>
    <t>H815501588</t>
  </si>
  <si>
    <t>8155001588</t>
  </si>
  <si>
    <t>2430012070410991</t>
  </si>
  <si>
    <t>H815501589</t>
  </si>
  <si>
    <t>8155001589</t>
  </si>
  <si>
    <t>2430012050600887</t>
  </si>
  <si>
    <t>H815502395</t>
  </si>
  <si>
    <t>8155002395</t>
  </si>
  <si>
    <t>2430012070410962</t>
  </si>
  <si>
    <t>H815502396</t>
  </si>
  <si>
    <t>8155002396</t>
  </si>
  <si>
    <t>2430012080600002</t>
  </si>
  <si>
    <t>H815500860</t>
  </si>
  <si>
    <t>8155000860</t>
  </si>
  <si>
    <t>2430012070410619</t>
  </si>
  <si>
    <t>H815502768</t>
  </si>
  <si>
    <t>8155002768</t>
  </si>
  <si>
    <t>2430212040600046</t>
  </si>
  <si>
    <t>H815502769</t>
  </si>
  <si>
    <t>8155002769</t>
  </si>
  <si>
    <t>2430212040600047</t>
  </si>
  <si>
    <t>H815501346</t>
  </si>
  <si>
    <t>8155001346</t>
  </si>
  <si>
    <t>2430012050600782</t>
  </si>
  <si>
    <t>H815501108</t>
  </si>
  <si>
    <t>北縣輔園店</t>
  </si>
  <si>
    <t>8155001108</t>
  </si>
  <si>
    <t>2430012080600363</t>
  </si>
  <si>
    <t>H815501109</t>
  </si>
  <si>
    <t>8155001109</t>
  </si>
  <si>
    <t>2430012050600060</t>
  </si>
  <si>
    <t>H815501147</t>
  </si>
  <si>
    <t>8155001147</t>
  </si>
  <si>
    <t>2430012090600247</t>
  </si>
  <si>
    <t>H815500926</t>
  </si>
  <si>
    <t>北縣莊民店</t>
  </si>
  <si>
    <t>8155000926</t>
  </si>
  <si>
    <t>2430012070410179</t>
  </si>
  <si>
    <t>H815500927</t>
  </si>
  <si>
    <t>8155000927</t>
  </si>
  <si>
    <t>2430012050600013</t>
  </si>
  <si>
    <t>H815500535</t>
  </si>
  <si>
    <t>8155000535</t>
  </si>
  <si>
    <t>2430012050600823</t>
  </si>
  <si>
    <t>H815500536</t>
  </si>
  <si>
    <t>8155000536</t>
  </si>
  <si>
    <t>2430012050600699</t>
  </si>
  <si>
    <t>H815500722</t>
  </si>
  <si>
    <t>8155000722</t>
  </si>
  <si>
    <t>0000013837</t>
  </si>
  <si>
    <t>H815501745</t>
  </si>
  <si>
    <t>北縣瓊林南店</t>
  </si>
  <si>
    <t>8155001745</t>
  </si>
  <si>
    <t>2430012080600137</t>
  </si>
  <si>
    <t>H815501746</t>
  </si>
  <si>
    <t>8155001746</t>
  </si>
  <si>
    <t>2430012050600799</t>
  </si>
  <si>
    <t>H815501144</t>
  </si>
  <si>
    <t>8155001144</t>
  </si>
  <si>
    <t>2430012050600568</t>
  </si>
  <si>
    <t>H815500269</t>
  </si>
  <si>
    <t>8155000269</t>
  </si>
  <si>
    <t>2430012050600795</t>
  </si>
  <si>
    <t>H815500270</t>
  </si>
  <si>
    <t>8155000270</t>
  </si>
  <si>
    <t>2430012050600559</t>
  </si>
  <si>
    <t>H815502177</t>
  </si>
  <si>
    <t>8155002177</t>
  </si>
  <si>
    <t>2430012090600093</t>
  </si>
  <si>
    <t>H815500123</t>
  </si>
  <si>
    <t>8155000123</t>
  </si>
  <si>
    <t>2430012050600691</t>
  </si>
  <si>
    <t>H815500177</t>
  </si>
  <si>
    <t>8155000177</t>
  </si>
  <si>
    <t>2430012050600039</t>
  </si>
  <si>
    <t>H815500178</t>
  </si>
  <si>
    <t>8155000178</t>
  </si>
  <si>
    <t>2430012050600190</t>
  </si>
  <si>
    <t>H815501256</t>
  </si>
  <si>
    <t>8155001256</t>
  </si>
  <si>
    <t>2430012070410537</t>
  </si>
  <si>
    <t>H815501257</t>
  </si>
  <si>
    <t>8155001257</t>
  </si>
  <si>
    <t>2430012050600787</t>
  </si>
  <si>
    <t>H815502461</t>
  </si>
  <si>
    <t>8155002461</t>
  </si>
  <si>
    <t>24300120806000150</t>
  </si>
  <si>
    <t>H815502462</t>
  </si>
  <si>
    <t>8155002462</t>
  </si>
  <si>
    <t>2430012080600075</t>
  </si>
  <si>
    <t>H815501379</t>
  </si>
  <si>
    <t>8155001379</t>
  </si>
  <si>
    <t>2430012080600185</t>
  </si>
  <si>
    <t>H815501749</t>
  </si>
  <si>
    <t>8155001749</t>
  </si>
  <si>
    <t>2430012050600798</t>
  </si>
  <si>
    <t>H815501750</t>
  </si>
  <si>
    <t>8155001750</t>
  </si>
  <si>
    <t>2430012050600523</t>
  </si>
  <si>
    <t>H815501238</t>
  </si>
  <si>
    <t>8155001238</t>
  </si>
  <si>
    <t>H815502200</t>
  </si>
  <si>
    <t>8155002200</t>
  </si>
  <si>
    <t>2430012080600058</t>
  </si>
  <si>
    <t>H815501373</t>
  </si>
  <si>
    <t>8155001373</t>
  </si>
  <si>
    <t>2430012050600045</t>
  </si>
  <si>
    <t>H815501374</t>
  </si>
  <si>
    <t>8155001374</t>
  </si>
  <si>
    <t>2430012050600747</t>
  </si>
  <si>
    <t>H815501071</t>
  </si>
  <si>
    <t>8155001071</t>
  </si>
  <si>
    <t>2430012050600711</t>
  </si>
  <si>
    <t>H815501072</t>
  </si>
  <si>
    <t>8155001072</t>
  </si>
  <si>
    <t>2430011120600187</t>
  </si>
  <si>
    <t>H815500370</t>
  </si>
  <si>
    <t>8155000370</t>
  </si>
  <si>
    <t>2430012050600496</t>
  </si>
  <si>
    <t>H815500371</t>
  </si>
  <si>
    <t>8155000371</t>
  </si>
  <si>
    <t>2430012050600457</t>
  </si>
  <si>
    <t>H815500368</t>
  </si>
  <si>
    <t>8155000368</t>
  </si>
  <si>
    <t>2430011120600157</t>
  </si>
  <si>
    <t>H815502373</t>
  </si>
  <si>
    <t>8155002373</t>
  </si>
  <si>
    <t>2430012070410599</t>
  </si>
  <si>
    <t>H815501240</t>
  </si>
  <si>
    <t>8155001240</t>
  </si>
  <si>
    <t>2430012050600547</t>
  </si>
  <si>
    <t>H815500473</t>
  </si>
  <si>
    <t>8155000473</t>
  </si>
  <si>
    <t>2430012050600404</t>
  </si>
  <si>
    <t>H815500474</t>
  </si>
  <si>
    <t>8155000474</t>
  </si>
  <si>
    <t>2430012050600553</t>
  </si>
  <si>
    <t>H815500757</t>
  </si>
  <si>
    <t>北縣蘆信店</t>
  </si>
  <si>
    <t>8155000757</t>
  </si>
  <si>
    <t>2430012070410605</t>
  </si>
  <si>
    <t>H815500758</t>
  </si>
  <si>
    <t>8155000758</t>
  </si>
  <si>
    <t>2430012090600107</t>
  </si>
  <si>
    <t>H815501173</t>
  </si>
  <si>
    <t>8155001173</t>
  </si>
  <si>
    <t>2430012050600462</t>
  </si>
  <si>
    <t>H815502473</t>
  </si>
  <si>
    <t>8155002473</t>
  </si>
  <si>
    <t>2430012050600615</t>
  </si>
  <si>
    <t>H815501267</t>
  </si>
  <si>
    <t>8155001267</t>
  </si>
  <si>
    <t>2430012070410617</t>
  </si>
  <si>
    <t>H815501696</t>
  </si>
  <si>
    <t>8155001696</t>
  </si>
  <si>
    <t>2430011120600178</t>
  </si>
  <si>
    <t>H815500902</t>
  </si>
  <si>
    <t>8155000902</t>
  </si>
  <si>
    <t>2430012090600045</t>
  </si>
  <si>
    <t>H815502692</t>
  </si>
  <si>
    <t>8155002692</t>
  </si>
  <si>
    <t>2430012050600198</t>
  </si>
  <si>
    <t>H815502199</t>
  </si>
  <si>
    <t>8155002199</t>
  </si>
  <si>
    <t>0000011359</t>
  </si>
  <si>
    <t>H815501247</t>
  </si>
  <si>
    <t>8155001247</t>
  </si>
  <si>
    <t>2430012050600079</t>
  </si>
  <si>
    <t>H815502374</t>
  </si>
  <si>
    <t>8155002374</t>
  </si>
  <si>
    <t>2430012080600135</t>
  </si>
  <si>
    <t>H815500146</t>
  </si>
  <si>
    <t>8155000146</t>
  </si>
  <si>
    <t>2430012070410430</t>
  </si>
  <si>
    <t>H815501384</t>
  </si>
  <si>
    <t>8155001384</t>
  </si>
  <si>
    <t>2430012050600678</t>
  </si>
  <si>
    <t>H815501296</t>
  </si>
  <si>
    <t>8155001296</t>
  </si>
  <si>
    <t>2430012050600647</t>
  </si>
  <si>
    <t>H815500451</t>
  </si>
  <si>
    <t>8155000451</t>
  </si>
  <si>
    <t>2430012050600047</t>
  </si>
  <si>
    <t>H815500452</t>
  </si>
  <si>
    <t>8155000452</t>
  </si>
  <si>
    <t>2430212110410003</t>
  </si>
  <si>
    <t>統計表</t>
  </si>
  <si>
    <t>便利商店門市</t>
  </si>
  <si>
    <t>萊到店聯盟(HiPOS)</t>
  </si>
  <si>
    <t>撤店門市</t>
  </si>
  <si>
    <t>8800 換 800門市</t>
  </si>
  <si>
    <t>縣市名稱</t>
  </si>
  <si>
    <t>鄉鎮名稱</t>
  </si>
  <si>
    <t>TM數量</t>
  </si>
  <si>
    <t>裝機日(D日)</t>
  </si>
  <si>
    <t>安裝日期</t>
  </si>
  <si>
    <t>作業類型</t>
  </si>
  <si>
    <t>通知日期</t>
  </si>
  <si>
    <t>執行日期</t>
  </si>
  <si>
    <t>基隆市</t>
  </si>
  <si>
    <t>內湖愛湖店</t>
  </si>
  <si>
    <t>台北市</t>
  </si>
  <si>
    <t>內湖區</t>
  </si>
  <si>
    <t>車麗屋宜蘭中山店</t>
  </si>
  <si>
    <t>宜蘭縣</t>
  </si>
  <si>
    <t>宜蘭市</t>
  </si>
  <si>
    <t>大寮周廣店</t>
  </si>
  <si>
    <t>高雄市大寮區大寮路742</t>
  </si>
  <si>
    <t>西螺南站店</t>
  </si>
  <si>
    <t>雲林縣西螺鎮振興里1號</t>
  </si>
  <si>
    <t>桃縣華航店</t>
  </si>
  <si>
    <t>桃園市大園區航勤南路9號</t>
  </si>
  <si>
    <t>北市湖鑽店</t>
  </si>
  <si>
    <t>車麗屋基隆中正店</t>
  </si>
  <si>
    <t>中正區</t>
  </si>
  <si>
    <t>寶山成蹊店</t>
  </si>
  <si>
    <t>新竹縣寶山鄉大雅路二段100號</t>
  </si>
  <si>
    <t>西螺北站店</t>
  </si>
  <si>
    <t>雲林縣西螺鎮振興里2號</t>
  </si>
  <si>
    <t>楊梅休息站</t>
  </si>
  <si>
    <t>桃園市楊梅區校前路294巷69號</t>
  </si>
  <si>
    <t>大里中爽店</t>
  </si>
  <si>
    <t>台中市</t>
  </si>
  <si>
    <t>大里區</t>
  </si>
  <si>
    <t>車麗屋台北內湖店</t>
  </si>
  <si>
    <t>平鎮聯新店</t>
  </si>
  <si>
    <t>桃園市平鎮區廣泰路75號</t>
  </si>
  <si>
    <t>長治農博店</t>
  </si>
  <si>
    <t>屏東縣長治鄉德和路9-9號</t>
  </si>
  <si>
    <t>中壢國道店</t>
  </si>
  <si>
    <t>桃園市中壢區內定二街998之3號</t>
  </si>
  <si>
    <t>桃園市</t>
  </si>
  <si>
    <t>北縣員山店</t>
  </si>
  <si>
    <t>車麗屋台北內湖行忠店</t>
  </si>
  <si>
    <t>中壢橙蕉店</t>
  </si>
  <si>
    <t>桃園市中壢區成功路146號</t>
  </si>
  <si>
    <t>平鎮壢新店</t>
  </si>
  <si>
    <t>重裝新開</t>
  </si>
  <si>
    <t>桃縣楊翔店</t>
  </si>
  <si>
    <t>桃園市楊梅區楊湖路一段655、657號</t>
  </si>
  <si>
    <t>新竹市</t>
  </si>
  <si>
    <t>北縣五工店</t>
  </si>
  <si>
    <t>車麗屋新北板橋店</t>
  </si>
  <si>
    <t>新北市五股區中興路二段1號一樓</t>
  </si>
  <si>
    <t>北縣五興店</t>
  </si>
  <si>
    <t>新北市五股區中興路二段13號</t>
  </si>
  <si>
    <t>桃園農工店</t>
  </si>
  <si>
    <t>桃園市桃園區成功路二段144號</t>
  </si>
  <si>
    <t>新竹縣</t>
  </si>
  <si>
    <t>竹北科儀店</t>
  </si>
  <si>
    <t>竹北市</t>
  </si>
  <si>
    <t>車麗屋新北林口店</t>
  </si>
  <si>
    <t>觀音大潭店</t>
  </si>
  <si>
    <t>桃園市觀音區濱海路大潭段302巷9號</t>
  </si>
  <si>
    <t>北市安國店</t>
  </si>
  <si>
    <t>台北市大安區光復南路290巷25號,25-1號</t>
  </si>
  <si>
    <t>苗栗縣</t>
  </si>
  <si>
    <t>高市科工店</t>
  </si>
  <si>
    <t>高雄市</t>
  </si>
  <si>
    <t>三民區</t>
  </si>
  <si>
    <t>車麗屋新北蘆洲店</t>
  </si>
  <si>
    <t>梧棲美女店</t>
  </si>
  <si>
    <t>台中市梧棲區建國北街369號(1號空間)</t>
  </si>
  <si>
    <t>新竹廣場店</t>
  </si>
  <si>
    <t>新竹市東區林森路2號</t>
  </si>
  <si>
    <t>平鎮日星店</t>
  </si>
  <si>
    <t>桃園市平鎮區中豐路山頂段一巷2號</t>
  </si>
  <si>
    <t>宜蘭宜兆店</t>
  </si>
  <si>
    <t>車麗屋新北土城店</t>
  </si>
  <si>
    <t>土城區</t>
  </si>
  <si>
    <t>冬山香南店</t>
  </si>
  <si>
    <t>宜蘭縣冬山鄉香南路355號</t>
  </si>
  <si>
    <t>龍崎關南店</t>
  </si>
  <si>
    <t>台南市龍崎區楠坑里楠坑12-1號(關廟服務區-南下)</t>
  </si>
  <si>
    <t>彰化縣</t>
  </si>
  <si>
    <t>車麗屋台北松江店</t>
  </si>
  <si>
    <t>中山區</t>
  </si>
  <si>
    <t>台中魯班店</t>
  </si>
  <si>
    <t>台中市北屯區太原路三段369、371、373號</t>
  </si>
  <si>
    <t>龍崎關北店</t>
  </si>
  <si>
    <t>台南市龍崎區楠坑里楠坑12-1號(關廟服務區-北上)</t>
  </si>
  <si>
    <t>桃縣桃環店</t>
  </si>
  <si>
    <t>南投縣</t>
  </si>
  <si>
    <t>E090</t>
  </si>
  <si>
    <t>北市迪化店</t>
  </si>
  <si>
    <t>大同區</t>
  </si>
  <si>
    <t>中壢國瑞二店</t>
  </si>
  <si>
    <t>桃園市中壢區定寧路73號(國瑞汽車 中壢二廠 福利社)</t>
  </si>
  <si>
    <t>東山百榕店</t>
  </si>
  <si>
    <t>台南市東山區枋子林74-6號</t>
  </si>
  <si>
    <t>龍潭新護店</t>
  </si>
  <si>
    <t>桃園市龍潭區中豐路高平段418號</t>
  </si>
  <si>
    <t>雲林縣</t>
  </si>
  <si>
    <t>竹南大埔店</t>
  </si>
  <si>
    <t>苗栗縣竹南鎮科專一路241號</t>
  </si>
  <si>
    <t>桃園市中壢區定寧路73號</t>
  </si>
  <si>
    <t>F750</t>
  </si>
  <si>
    <t>觀音千手店</t>
  </si>
  <si>
    <t>桃園市觀音區成功路一段739號</t>
  </si>
  <si>
    <t>嘉義市</t>
  </si>
  <si>
    <t>中壢壢廣店</t>
  </si>
  <si>
    <t>中壢區</t>
  </si>
  <si>
    <t>車麗屋桃園八德店</t>
  </si>
  <si>
    <t>八德區</t>
  </si>
  <si>
    <t>M861</t>
  </si>
  <si>
    <t>斗六鎮北二店</t>
  </si>
  <si>
    <t>雲林縣斗六市鎮北路64號</t>
  </si>
  <si>
    <t>嘉義縣</t>
  </si>
  <si>
    <t>新竹竹翠店</t>
  </si>
  <si>
    <t>東區</t>
  </si>
  <si>
    <t>車麗屋桃園中壢店</t>
  </si>
  <si>
    <t>烏日長春店</t>
  </si>
  <si>
    <t>台中市烏日區中華路569號</t>
  </si>
  <si>
    <t>E182</t>
  </si>
  <si>
    <t>北市和平店</t>
  </si>
  <si>
    <t>台北市中正區延平南路210號</t>
  </si>
  <si>
    <t>台南市</t>
  </si>
  <si>
    <t>F190</t>
  </si>
  <si>
    <t>苗栗國華店</t>
  </si>
  <si>
    <t>苗栗市</t>
  </si>
  <si>
    <t>車麗屋新竹中華店</t>
  </si>
  <si>
    <t>基隆武林店</t>
  </si>
  <si>
    <t>基隆市安樂區武嶺街302、304、306號</t>
  </si>
  <si>
    <t>淡水帆船店</t>
  </si>
  <si>
    <t>新北市淡水區觀海路91號(藝術大街區W1F22)</t>
  </si>
  <si>
    <t>H646</t>
  </si>
  <si>
    <t>台中太平店</t>
  </si>
  <si>
    <t>北區</t>
  </si>
  <si>
    <t>中山四通店</t>
  </si>
  <si>
    <t>台北市中山區長安東路一段53巷1之6號</t>
  </si>
  <si>
    <t>桃縣桃楊店</t>
  </si>
  <si>
    <t>桃園市楊梅區環南路6號</t>
  </si>
  <si>
    <t>屏東縣</t>
  </si>
  <si>
    <t>高市正民店</t>
  </si>
  <si>
    <t>苓雅區</t>
  </si>
  <si>
    <t>蘆竹金鈴店</t>
  </si>
  <si>
    <t>中壢國瑞店</t>
  </si>
  <si>
    <t>龜山長庚店</t>
  </si>
  <si>
    <t>澎湖縣</t>
  </si>
  <si>
    <t>嘉義國興店</t>
  </si>
  <si>
    <t>大林堅實店</t>
  </si>
  <si>
    <t>嘉義縣大林鎮崎頂1號</t>
  </si>
  <si>
    <t>北市安皓店</t>
  </si>
  <si>
    <t>台北市大安區忠孝東路4段181巷8號</t>
  </si>
  <si>
    <t>連江縣</t>
  </si>
  <si>
    <t>屏市迪化店</t>
  </si>
  <si>
    <t>屏東市</t>
  </si>
  <si>
    <t>車麗屋台中朝馬店</t>
  </si>
  <si>
    <t>西屯區</t>
  </si>
  <si>
    <t>新埤新華店</t>
  </si>
  <si>
    <t>屏東縣新埤鄉新華路190號,中正路13,13-1,13-2,13-3號</t>
  </si>
  <si>
    <t>桃市祥儀店</t>
  </si>
  <si>
    <t>桃園市桃園區桃鶯路457、459號</t>
  </si>
  <si>
    <t>金門縣</t>
  </si>
  <si>
    <t>關廟鳳梨店</t>
  </si>
  <si>
    <t>關廟區</t>
  </si>
  <si>
    <t>車麗屋彰化員林店</t>
  </si>
  <si>
    <t>員林鎮</t>
  </si>
  <si>
    <t>楊梅環南店</t>
  </si>
  <si>
    <t>桃園市楊梅區環南路58-1、60-1、62-1號</t>
  </si>
  <si>
    <t>基隆東岸店</t>
  </si>
  <si>
    <t>基隆市仁愛區愛三路130號</t>
  </si>
  <si>
    <t>萬華內江店</t>
  </si>
  <si>
    <t>萬華區</t>
  </si>
  <si>
    <t>車麗屋彰化金馬店</t>
  </si>
  <si>
    <t>彰化市</t>
  </si>
  <si>
    <t>新北市三重區中正北路430號及430之1號</t>
  </si>
  <si>
    <t>新竹一品店</t>
  </si>
  <si>
    <t>新竹市東區忠孝路279之9號壹樓</t>
  </si>
  <si>
    <t>花蓮縣</t>
  </si>
  <si>
    <t>永和光民店</t>
  </si>
  <si>
    <t>有省錢南陽店</t>
  </si>
  <si>
    <t>南投市</t>
  </si>
  <si>
    <t>員林靜修店</t>
  </si>
  <si>
    <t>彰化縣員林市中山路二段87號一樓</t>
  </si>
  <si>
    <t>台東縣</t>
  </si>
  <si>
    <t>中聯后里店</t>
  </si>
  <si>
    <t>后里區</t>
  </si>
  <si>
    <t>松山京東店</t>
  </si>
  <si>
    <t>台北市松山區南京東路五段123巷33號</t>
  </si>
  <si>
    <t>TT05</t>
  </si>
  <si>
    <t>員林靜修訓練教室</t>
  </si>
  <si>
    <t>彰化縣員林市中山路二段87號二樓</t>
  </si>
  <si>
    <t>南港成福店</t>
  </si>
  <si>
    <t>南港區</t>
  </si>
  <si>
    <t>車麗屋台中崇德店</t>
  </si>
  <si>
    <t>北屯區</t>
  </si>
  <si>
    <t>桃園市龜山區樂善二路181、183號</t>
  </si>
  <si>
    <t>三重五順店</t>
  </si>
  <si>
    <t>新北市三重區仁義街192號及196號一樓部份、194號一樓全部</t>
  </si>
  <si>
    <t>店數合計</t>
  </si>
  <si>
    <t>汐止南興店</t>
  </si>
  <si>
    <t>汐止區</t>
  </si>
  <si>
    <t>好鄰居彰南店</t>
  </si>
  <si>
    <t>員山茄苳林</t>
  </si>
  <si>
    <t>宜蘭縣員山鄉茄苳路76之6、76之7、76之8號</t>
  </si>
  <si>
    <t>桃縣桃益店</t>
  </si>
  <si>
    <t>桃園市龍潭區中豐路529、531號</t>
  </si>
  <si>
    <t>北市明湖店</t>
  </si>
  <si>
    <t>中聯彰化店</t>
  </si>
  <si>
    <t>水里水信店</t>
  </si>
  <si>
    <t>南投縣水里鄉水信路一段385號</t>
  </si>
  <si>
    <t>中縣常春藤店</t>
  </si>
  <si>
    <t>台中市潭子區潭興路一段165巷320號</t>
  </si>
  <si>
    <t>8800合計</t>
  </si>
  <si>
    <t>鶯歌龍正店</t>
  </si>
  <si>
    <t>鶯歌區</t>
  </si>
  <si>
    <t>后里馬場店</t>
  </si>
  <si>
    <t>中壢龍興店</t>
  </si>
  <si>
    <t>桃園市中壢區龍興路656、658號</t>
  </si>
  <si>
    <t>新莊富國店</t>
  </si>
  <si>
    <t>新北市新莊區富國路102號1樓</t>
  </si>
  <si>
    <t>TCx800合計</t>
  </si>
  <si>
    <t>鶯歌大哥店</t>
  </si>
  <si>
    <t>車麗屋台南新營店</t>
  </si>
  <si>
    <t>新營區</t>
  </si>
  <si>
    <t>大安地下街</t>
  </si>
  <si>
    <t>台北市大安區大安路一段77號地下街4-1、4-2店舖</t>
  </si>
  <si>
    <t>新北市永和區中正路144、146號一樓</t>
  </si>
  <si>
    <t>5015合計</t>
  </si>
  <si>
    <t>愛國鳳林店</t>
  </si>
  <si>
    <t>大寮區</t>
  </si>
  <si>
    <t>信義福德店</t>
  </si>
  <si>
    <t>台北市信義區福德街268巷18號</t>
  </si>
  <si>
    <t>觀音觀海店</t>
  </si>
  <si>
    <t>桃園市觀音區成功路一段647號</t>
  </si>
  <si>
    <t>車麗屋台南中華店</t>
  </si>
  <si>
    <t>中西區</t>
  </si>
  <si>
    <t>北投北藝大</t>
  </si>
  <si>
    <t>台北市北投區學園路1號</t>
  </si>
  <si>
    <t>台中路思義店</t>
  </si>
  <si>
    <t>台中市西屯區台灣大道四段1727號</t>
  </si>
  <si>
    <t>車麗屋高雄鳳山店</t>
  </si>
  <si>
    <t>鳳山區</t>
  </si>
  <si>
    <t>外埔大馬路</t>
  </si>
  <si>
    <t>台中市外埔區大馬路363號</t>
  </si>
  <si>
    <t>淡水純德店</t>
  </si>
  <si>
    <t>新北市淡水區真理街26號(私立淡江中學體育館B1)</t>
  </si>
  <si>
    <t>總台數合計</t>
  </si>
  <si>
    <t>愛國超市仁忠</t>
  </si>
  <si>
    <t>仁武區</t>
  </si>
  <si>
    <t>東勢新伯公</t>
  </si>
  <si>
    <t>台中市東勢區東關路六段532號</t>
  </si>
  <si>
    <t>淡水純德二店</t>
  </si>
  <si>
    <t>新北市淡水區真理街26號</t>
  </si>
  <si>
    <t>外埔水美店</t>
  </si>
  <si>
    <t>台中市外埔區水美路61號</t>
  </si>
  <si>
    <t>雲縣大成店</t>
  </si>
  <si>
    <t>雲林縣虎尾鎮成平街21號</t>
  </si>
  <si>
    <t>梧棲大人店</t>
  </si>
  <si>
    <t>台中市梧棲區民和路一段69號</t>
  </si>
  <si>
    <t>B048</t>
  </si>
  <si>
    <t>北市民生店</t>
  </si>
  <si>
    <t>台北市中山區民生西路2號</t>
  </si>
  <si>
    <t>新竹科園店</t>
  </si>
  <si>
    <t>中壢龍仁店</t>
  </si>
  <si>
    <t>桃園市中壢區龍仁路25、27、29號</t>
  </si>
  <si>
    <t>鹿港天后店</t>
  </si>
  <si>
    <t>彰化縣鹿港鎮中山路340號</t>
  </si>
  <si>
    <t>苗栗發財店</t>
  </si>
  <si>
    <t>宜蘭大坡路</t>
  </si>
  <si>
    <t>宜蘭縣宜蘭市大坡路一段80號</t>
  </si>
  <si>
    <t>仁德嘉藥店</t>
  </si>
  <si>
    <t>台南市仁德區二仁路一段157、159號</t>
  </si>
  <si>
    <t>台中夜市店</t>
  </si>
  <si>
    <t>南區</t>
  </si>
  <si>
    <t>TT09</t>
  </si>
  <si>
    <t>高市正民店訓練教室</t>
  </si>
  <si>
    <t>中壢永能店</t>
  </si>
  <si>
    <t>桃園市中壢區民權路四段490、492號</t>
  </si>
  <si>
    <t>北縣三重店</t>
  </si>
  <si>
    <t>新北市三重區重新路二段29號</t>
  </si>
  <si>
    <t>鹿谷農會店</t>
  </si>
  <si>
    <t>鹿谷鄉</t>
  </si>
  <si>
    <t>TT10</t>
  </si>
  <si>
    <t>屏市迪化訓練教室</t>
  </si>
  <si>
    <t>卓蘭水果王</t>
  </si>
  <si>
    <t>苗栗縣卓蘭鎮民有街2號</t>
  </si>
  <si>
    <t>桃園興業店</t>
  </si>
  <si>
    <t>桃園市桃園區大興路172號</t>
  </si>
  <si>
    <t>苗縣新板店</t>
  </si>
  <si>
    <t>公館鄉</t>
  </si>
  <si>
    <t>TT04</t>
  </si>
  <si>
    <t>國華店訓練教室</t>
  </si>
  <si>
    <t>中壢龍五店</t>
  </si>
  <si>
    <t>桃園市中壢區後寮一路282、286號</t>
  </si>
  <si>
    <t>苗縣斗煥坪店</t>
  </si>
  <si>
    <t>苗栗縣頭份市斗煥里199-1號</t>
  </si>
  <si>
    <t>台西蚊港店</t>
  </si>
  <si>
    <t>台西鄉</t>
  </si>
  <si>
    <t>員林靜修教室</t>
  </si>
  <si>
    <t>員林市</t>
  </si>
  <si>
    <t>新豐中崙店</t>
  </si>
  <si>
    <t>新竹縣新豐鄉中崙村11鄰中崙165號</t>
  </si>
  <si>
    <t>L527</t>
  </si>
  <si>
    <t>高雄市仁武區仁忠路149號</t>
  </si>
  <si>
    <t>東勢石城店</t>
  </si>
  <si>
    <t>東勢區</t>
  </si>
  <si>
    <t>TT11</t>
  </si>
  <si>
    <t>台中夜市訓練教室</t>
  </si>
  <si>
    <t>土庫有蒜頭</t>
  </si>
  <si>
    <t>雲林縣土庫鎮建國路137號</t>
  </si>
  <si>
    <t>C117</t>
  </si>
  <si>
    <t>北縣建國二店</t>
  </si>
  <si>
    <t>新北市新店區建國路154號</t>
  </si>
  <si>
    <t>梧棲火力店</t>
  </si>
  <si>
    <t>梧棲區</t>
  </si>
  <si>
    <t>TT12</t>
  </si>
  <si>
    <t>民雄北勢子教室</t>
  </si>
  <si>
    <t>民雄鄉</t>
  </si>
  <si>
    <t>高苑工商店</t>
  </si>
  <si>
    <t>高雄市橋頭區芋寮路1號(行政大樓一樓右側)</t>
  </si>
  <si>
    <t>F712</t>
  </si>
  <si>
    <t>新竹民權店</t>
  </si>
  <si>
    <t>新竹市東區民生路113號</t>
  </si>
  <si>
    <t>鼓山龍德店</t>
  </si>
  <si>
    <t>鼓山區</t>
  </si>
  <si>
    <t>TT13</t>
  </si>
  <si>
    <t>新竹竹翠訓練教室</t>
  </si>
  <si>
    <t>文山師大店</t>
  </si>
  <si>
    <t>台北市文山區汀州路四段88號</t>
  </si>
  <si>
    <t>D248</t>
  </si>
  <si>
    <t>北縣大同北店</t>
  </si>
  <si>
    <t xml:space="preserve">新北市三重區大同北路91號        </t>
  </si>
  <si>
    <t>新興錦田店</t>
  </si>
  <si>
    <t>新興區</t>
  </si>
  <si>
    <t>TT08</t>
  </si>
  <si>
    <t>南區訓練教室</t>
  </si>
  <si>
    <t>深坑東南大</t>
  </si>
  <si>
    <t>新北市深坑區北深路三段152號</t>
  </si>
  <si>
    <t>北市文福店</t>
  </si>
  <si>
    <t>台北市文山區景福街230巷2號</t>
  </si>
  <si>
    <t>嘉縣和發店</t>
  </si>
  <si>
    <t>中埔鄉</t>
  </si>
  <si>
    <t>TT02</t>
  </si>
  <si>
    <t>桃竹營運處</t>
  </si>
  <si>
    <t>觀音菩提店</t>
  </si>
  <si>
    <t>桃園市觀音區新富路258號</t>
  </si>
  <si>
    <t>L523</t>
  </si>
  <si>
    <t>愛國超市鳳林</t>
  </si>
  <si>
    <t>高雄市大寮區鳳林四路14-2號</t>
  </si>
  <si>
    <t>高縣高龍店</t>
  </si>
  <si>
    <t>大社區</t>
  </si>
  <si>
    <t>TT14</t>
  </si>
  <si>
    <t>南市海安店訓練教室</t>
  </si>
  <si>
    <t>復興羅浮宮</t>
  </si>
  <si>
    <t>桃園市復興區羅浮49號</t>
  </si>
  <si>
    <t>新營郵政店</t>
  </si>
  <si>
    <t>台南市新營區中山路126號</t>
  </si>
  <si>
    <t>高市高順店</t>
  </si>
  <si>
    <t>TT07</t>
  </si>
  <si>
    <t>中區訓練教室</t>
  </si>
  <si>
    <t>西區</t>
  </si>
  <si>
    <t>七股三股里</t>
  </si>
  <si>
    <t>台南市七股區三股里8鄰三股29號之5</t>
  </si>
  <si>
    <t>龜山文青店</t>
  </si>
  <si>
    <t>高縣光明店</t>
  </si>
  <si>
    <t>北屯有財神</t>
  </si>
  <si>
    <t>台中市北屯區瀋陽路三段345號</t>
  </si>
  <si>
    <t>三重阿勇店</t>
  </si>
  <si>
    <t>新北市三重區大勇街82巷2號一樓</t>
  </si>
  <si>
    <t>牡丹花開店</t>
  </si>
  <si>
    <t>牡丹鄉</t>
  </si>
  <si>
    <t>林園境之南</t>
  </si>
  <si>
    <t>高雄市林園區北汕路150-1號</t>
  </si>
  <si>
    <t>台中市北區太平路72號</t>
  </si>
  <si>
    <t>內湖樂康店</t>
  </si>
  <si>
    <t>萊到店聯盟(WebPOS)</t>
  </si>
  <si>
    <t>大安勵學店</t>
  </si>
  <si>
    <t>台北市大安區長興街92號1樓(台大男七宿舍)</t>
  </si>
  <si>
    <t>平鎮資通店</t>
  </si>
  <si>
    <t>桃園市平鎮區中豐路山頂段358號</t>
  </si>
  <si>
    <t>南港慈祐宮店</t>
  </si>
  <si>
    <t>二水有白柚</t>
  </si>
  <si>
    <t>彰化縣二水鄉員集路三段739號</t>
  </si>
  <si>
    <t>新店名揚店</t>
  </si>
  <si>
    <t>新店區</t>
  </si>
  <si>
    <t>L505</t>
  </si>
  <si>
    <t>信義永吉店</t>
  </si>
  <si>
    <t>台北市信義區永吉路278巷27弄34、36號</t>
  </si>
  <si>
    <t>新莊鑫鴻店</t>
  </si>
  <si>
    <t>新北市新莊區化成路13、17號一樓全部</t>
  </si>
  <si>
    <t>L558</t>
  </si>
  <si>
    <t>川平登林店</t>
  </si>
  <si>
    <t>中壢廣州店</t>
  </si>
  <si>
    <t>桃園市中壢區廣州路230、232號</t>
  </si>
  <si>
    <t>北市亞緹店</t>
  </si>
  <si>
    <t>台北市內湖區江南街111號</t>
  </si>
  <si>
    <t>中山力行店</t>
  </si>
  <si>
    <t>L559</t>
  </si>
  <si>
    <t>嘉義北社尾</t>
  </si>
  <si>
    <t>台南雄鷹店</t>
  </si>
  <si>
    <t>台南市南區機場路905號</t>
  </si>
  <si>
    <t>桃市漢中店</t>
  </si>
  <si>
    <t>桃園市桃園區漢中路123號</t>
  </si>
  <si>
    <t>中山晶華店</t>
  </si>
  <si>
    <t>L560</t>
  </si>
  <si>
    <t>通霄漾漾店</t>
  </si>
  <si>
    <t>通霄鎮</t>
  </si>
  <si>
    <t>士林通河店</t>
  </si>
  <si>
    <t>台北市士林區承德路四段12巷35號一樓</t>
  </si>
  <si>
    <t>北市永捷店</t>
  </si>
  <si>
    <t>台北市中山區松江路27號</t>
  </si>
  <si>
    <t>中山八達店</t>
  </si>
  <si>
    <t>L506</t>
  </si>
  <si>
    <t>車麗屋行忠店</t>
  </si>
  <si>
    <t>三重寶石店</t>
  </si>
  <si>
    <t>新北市三重區安慶街277號</t>
  </si>
  <si>
    <t>北市信北店</t>
  </si>
  <si>
    <t>台北市信義區中坡北路17.19號</t>
  </si>
  <si>
    <t>L518</t>
  </si>
  <si>
    <t>車麗屋松江店</t>
  </si>
  <si>
    <t>中壢鐵牛店</t>
  </si>
  <si>
    <t xml:space="preserve">桃園市中壢區榮安十三街250、250-1、250-2號 </t>
  </si>
  <si>
    <t>高雄市鼓山區龍德路261號</t>
  </si>
  <si>
    <t>香山有山水</t>
  </si>
  <si>
    <t>新竹市香山區大湖路73號</t>
  </si>
  <si>
    <t>內湖湖人店</t>
  </si>
  <si>
    <t>台北市內湖區內湖路一段285巷65弄17、19號</t>
  </si>
  <si>
    <t>東海花園店</t>
  </si>
  <si>
    <t>員林田中央</t>
  </si>
  <si>
    <t>彰化縣員林市溝皂里員集路二段521號</t>
  </si>
  <si>
    <t>蘆洲民華店</t>
  </si>
  <si>
    <t>新北市蘆洲區民族路364、366號</t>
  </si>
  <si>
    <t>竹山桂竹店</t>
  </si>
  <si>
    <t>竹山鎮</t>
  </si>
  <si>
    <t>五結同心店</t>
  </si>
  <si>
    <t>宜蘭縣五結鄉中興路三段69號一樓</t>
  </si>
  <si>
    <t>北市湖光店</t>
  </si>
  <si>
    <t>台北市內湖區瑞光路188巷60號</t>
  </si>
  <si>
    <t>台中田心仔</t>
  </si>
  <si>
    <t>南屯區</t>
  </si>
  <si>
    <t>高樹新南店</t>
  </si>
  <si>
    <t>屏東縣高樹鄉興店路20-38號</t>
  </si>
  <si>
    <t>桃園郵驛店</t>
  </si>
  <si>
    <t>桃園市桃園區中正路103號</t>
  </si>
  <si>
    <t>大里一陽指</t>
  </si>
  <si>
    <t>台中市大里區大智路524號</t>
  </si>
  <si>
    <t>F133</t>
  </si>
  <si>
    <t>新竹武昌店</t>
  </si>
  <si>
    <t>新竹市東區武昌街12號</t>
  </si>
  <si>
    <t>北市安孝店</t>
  </si>
  <si>
    <t>大安區</t>
  </si>
  <si>
    <t>北埔客家庄</t>
  </si>
  <si>
    <t>新竹縣北埔鎮正德街32號</t>
  </si>
  <si>
    <t>北市湖玉店</t>
  </si>
  <si>
    <t>台北市內湖區陽光街298號</t>
  </si>
  <si>
    <t>北市安建店</t>
  </si>
  <si>
    <t>L504</t>
  </si>
  <si>
    <t>車麗屋基隆店</t>
  </si>
  <si>
    <t>桃園市龜山區文化七路55號一樓部分</t>
  </si>
  <si>
    <t>桃縣桃紡店</t>
  </si>
  <si>
    <t>桃園市楊梅區中山南路558號</t>
  </si>
  <si>
    <t>基隆隆碇店</t>
  </si>
  <si>
    <t>暖暖區</t>
  </si>
  <si>
    <t>L502</t>
  </si>
  <si>
    <t>車麗屋土城店</t>
  </si>
  <si>
    <t>湖口拔芽店</t>
  </si>
  <si>
    <t>新竹縣湖口鄉明德街43號一樓部分</t>
  </si>
  <si>
    <t>L512</t>
  </si>
  <si>
    <t>車麗屋金馬店</t>
  </si>
  <si>
    <t>彰化縣彰化市金馬路三段198號</t>
  </si>
  <si>
    <t>A708</t>
  </si>
  <si>
    <t>北市內湖二店</t>
  </si>
  <si>
    <t>潮州延平店</t>
  </si>
  <si>
    <t>屏東縣潮州鎮延平路400號</t>
  </si>
  <si>
    <t>L515</t>
  </si>
  <si>
    <t>車麗屋新竹店</t>
  </si>
  <si>
    <t>新竹市東區中華路一段208號</t>
  </si>
  <si>
    <t>北市米蘭店</t>
  </si>
  <si>
    <t>泰山小天下</t>
  </si>
  <si>
    <t>新北市泰山區明志路二段209及211號</t>
  </si>
  <si>
    <t>L503</t>
  </si>
  <si>
    <t>車麗屋宜蘭店</t>
  </si>
  <si>
    <t>宜蘭縣宜蘭市中山路五段327號</t>
  </si>
  <si>
    <t>宜蘭好運店</t>
  </si>
  <si>
    <t>L514</t>
  </si>
  <si>
    <t>車麗屋中壢店</t>
  </si>
  <si>
    <t>沙鹿保成店</t>
  </si>
  <si>
    <t>台中市沙鹿區保成路122號</t>
  </si>
  <si>
    <t>L509</t>
  </si>
  <si>
    <t>車麗屋鳳山店</t>
  </si>
  <si>
    <t>高雄市鳳山區五甲一路261號</t>
  </si>
  <si>
    <t>A896</t>
  </si>
  <si>
    <t>北市麥帥店</t>
  </si>
  <si>
    <t>L510</t>
  </si>
  <si>
    <t>車麗屋八德店</t>
  </si>
  <si>
    <t>觀音大士店</t>
  </si>
  <si>
    <t>桃園市觀音區建國路260、262號</t>
  </si>
  <si>
    <t>L507</t>
  </si>
  <si>
    <t>車麗屋新營店</t>
  </si>
  <si>
    <t>台南市新營區民生路172號</t>
  </si>
  <si>
    <t>L524</t>
  </si>
  <si>
    <t>溪州登山路</t>
  </si>
  <si>
    <t>彰化縣溪州鄉登山路四段543號</t>
  </si>
  <si>
    <t>L525</t>
  </si>
  <si>
    <t>台中市后里區寺山路41號</t>
  </si>
  <si>
    <t>文山心動店</t>
  </si>
  <si>
    <t>文山區</t>
  </si>
  <si>
    <t>L526</t>
  </si>
  <si>
    <t>F680</t>
  </si>
  <si>
    <t>桃縣梅獅店</t>
  </si>
  <si>
    <t>桃園市楊梅區梅獅路二段135號</t>
  </si>
  <si>
    <t>北市艋舺店</t>
  </si>
  <si>
    <t>L511</t>
  </si>
  <si>
    <t>車麗屋員林店</t>
  </si>
  <si>
    <t>中和南山店</t>
  </si>
  <si>
    <t>新北市中和區南山路174之3號</t>
  </si>
  <si>
    <t>三義雙湖店</t>
  </si>
  <si>
    <t>苗栗縣三義鄉雙湖村15鄰雙湖11-8號</t>
  </si>
  <si>
    <t>大安溫州店</t>
  </si>
  <si>
    <t>L522</t>
  </si>
  <si>
    <t>車麗屋崇德店</t>
  </si>
  <si>
    <t>中壢天祥三</t>
  </si>
  <si>
    <t>桃園市中壢區天祥三街20號</t>
  </si>
  <si>
    <t>北縣田心店</t>
  </si>
  <si>
    <t>L553</t>
  </si>
  <si>
    <t>大里草堤店</t>
  </si>
  <si>
    <t>L520</t>
  </si>
  <si>
    <t>南投縣南投市南陽路69號</t>
  </si>
  <si>
    <t>L555</t>
  </si>
  <si>
    <t>玖仔團購店</t>
  </si>
  <si>
    <t>天雷英雄二店</t>
  </si>
  <si>
    <t>高雄市仁武區中山路1號</t>
  </si>
  <si>
    <t>L521</t>
  </si>
  <si>
    <t>南投縣南投市彰南路三段539號</t>
  </si>
  <si>
    <t>北縣仁安店</t>
  </si>
  <si>
    <t>L544</t>
  </si>
  <si>
    <t>久久霧峰店</t>
  </si>
  <si>
    <t>霧峰區</t>
  </si>
  <si>
    <t>天雷英雄店</t>
  </si>
  <si>
    <t>高雄市大樹區久堂路195-20號</t>
  </si>
  <si>
    <t>松山延吉店</t>
  </si>
  <si>
    <t>台北市松山區延吉街44號1樓全部</t>
  </si>
  <si>
    <t>三重天富店</t>
  </si>
  <si>
    <t>L513</t>
  </si>
  <si>
    <t>車麗屋朝馬店</t>
  </si>
  <si>
    <t>旗山長嵩店</t>
  </si>
  <si>
    <t>高雄市旗山區華興路2號</t>
  </si>
  <si>
    <t>永康真愛店</t>
  </si>
  <si>
    <t>台南市永康區東橋七路185號</t>
  </si>
  <si>
    <t>L545</t>
  </si>
  <si>
    <t>久久大里店</t>
  </si>
  <si>
    <t>大安東區店</t>
  </si>
  <si>
    <t>台北市大安區延吉街160巷11號</t>
  </si>
  <si>
    <t>L546</t>
  </si>
  <si>
    <t>和美平安店</t>
  </si>
  <si>
    <t>和美鎮</t>
  </si>
  <si>
    <t>關西休息站</t>
  </si>
  <si>
    <t>新竹縣關西鎮東安里11鄰上三屯14號</t>
  </si>
  <si>
    <t>新竹竹高店</t>
  </si>
  <si>
    <t>新竹市東區高峰路1號</t>
  </si>
  <si>
    <t>L542</t>
  </si>
  <si>
    <t>大寮花園店</t>
  </si>
  <si>
    <t>三重德福店</t>
  </si>
  <si>
    <t>新北市三重區福德南路29號</t>
  </si>
  <si>
    <t>L508</t>
  </si>
  <si>
    <t>車麗屋台南店</t>
  </si>
  <si>
    <t>頭城頭圍庄</t>
  </si>
  <si>
    <t>宜蘭縣頭城鎮青雲路二段598、600、602號</t>
  </si>
  <si>
    <t>桃縣桃耕店</t>
  </si>
  <si>
    <t>北投行義店</t>
  </si>
  <si>
    <t>L548</t>
  </si>
  <si>
    <t>鳥松千賀店</t>
  </si>
  <si>
    <t>鳥松區</t>
  </si>
  <si>
    <t>永靖三山國王</t>
  </si>
  <si>
    <t>彰化縣永靖鄉永福路一段486、490號</t>
  </si>
  <si>
    <t>台中中慶店</t>
  </si>
  <si>
    <t>台中市南區樹德里12鄰大慶街二段27號</t>
  </si>
  <si>
    <t>土城童話店</t>
  </si>
  <si>
    <t>L532</t>
  </si>
  <si>
    <t>蘇澳軍艦二店</t>
  </si>
  <si>
    <t>宜蘭縣蘇澳鎮軍港路10號</t>
  </si>
  <si>
    <t>汐止千萬店</t>
  </si>
  <si>
    <t>新北市汐止區汐萬路一段409、411號一樓</t>
  </si>
  <si>
    <t>土城城生店</t>
  </si>
  <si>
    <t>觀音有保佑</t>
  </si>
  <si>
    <t>桃園市觀音區建國路82號</t>
  </si>
  <si>
    <t>淡水天元店</t>
  </si>
  <si>
    <t>新北市淡水區北新路二段148、150號1樓部份</t>
  </si>
  <si>
    <t>L557</t>
  </si>
  <si>
    <t>沫秋立柳川</t>
  </si>
  <si>
    <t>中區</t>
  </si>
  <si>
    <t>阿蓮中路店</t>
  </si>
  <si>
    <t>高雄市阿蓮區玄中路250號</t>
  </si>
  <si>
    <t>五股郁芳店</t>
  </si>
  <si>
    <t>新北市五股區成泰路三段175、175-1號</t>
  </si>
  <si>
    <t>L561</t>
  </si>
  <si>
    <t>九如金選店</t>
  </si>
  <si>
    <t>九如區</t>
  </si>
  <si>
    <t>竹塹明湖店</t>
  </si>
  <si>
    <t>新竹市東區明湖路386、388號</t>
  </si>
  <si>
    <t>北縣深北店</t>
  </si>
  <si>
    <t>新北市深坑區北深路二段57/59/61號</t>
  </si>
  <si>
    <t>中山國賓店</t>
  </si>
  <si>
    <t>茂林得樂日嘎</t>
  </si>
  <si>
    <t>高雄市茂林區茂林巷11之7號</t>
  </si>
  <si>
    <t>北市山德店</t>
  </si>
  <si>
    <t>神岡神洲店</t>
  </si>
  <si>
    <t>台中市神岡區大明路253號</t>
  </si>
  <si>
    <t>北市天福店</t>
  </si>
  <si>
    <t>台北市士林區中山北路六段431之4號1樓</t>
  </si>
  <si>
    <t>J858</t>
  </si>
  <si>
    <t>彰縣溪州店</t>
  </si>
  <si>
    <t>彰化縣溪州鄉中山路三段371號</t>
  </si>
  <si>
    <t>府城和緯店</t>
  </si>
  <si>
    <t>台南市北區和緯路四段95巷65號</t>
  </si>
  <si>
    <t>楊梅映湖店</t>
  </si>
  <si>
    <t>桃園市楊梅區楊湖路三段607號</t>
  </si>
  <si>
    <t>內湖光寶科技</t>
  </si>
  <si>
    <t>台北市內湖區瑞光路392號1樓</t>
  </si>
  <si>
    <t>板橋文聖店</t>
  </si>
  <si>
    <t>新北市板橋區大同街29號一樓全部及31號</t>
  </si>
  <si>
    <t>中壢至尊店</t>
  </si>
  <si>
    <t>桃園市中壢區中山東路一段223巷97號壹樓</t>
  </si>
  <si>
    <t>金門金航店</t>
  </si>
  <si>
    <t>金門縣金湖鎮尚義機場2號</t>
  </si>
  <si>
    <t>土城小天使</t>
  </si>
  <si>
    <t>新北市土城區莊園街155號1樓</t>
  </si>
  <si>
    <t>重裝-撤店</t>
  </si>
  <si>
    <t>車麗屋內湖店</t>
  </si>
  <si>
    <t>台北市內湖區內湖路一段366號</t>
  </si>
  <si>
    <t>新店全球店</t>
  </si>
  <si>
    <t>竹北嘉豐店</t>
  </si>
  <si>
    <t>新竹縣竹北市復興三路二段82號</t>
  </si>
  <si>
    <t>樹林嘉聯店</t>
  </si>
  <si>
    <t>新北市樹林區博愛街248號B1</t>
  </si>
  <si>
    <t>松山無雙店</t>
  </si>
  <si>
    <t>松山區</t>
  </si>
  <si>
    <t>北市同安店</t>
  </si>
  <si>
    <t>台北市大同區重慶北路一段63號</t>
  </si>
  <si>
    <t>基隆港西店</t>
  </si>
  <si>
    <t>仁愛區</t>
  </si>
  <si>
    <t>內埔新北勢</t>
  </si>
  <si>
    <t>屏東縣內埔鄉建業路60號</t>
  </si>
  <si>
    <t>北市臨江店</t>
  </si>
  <si>
    <t>台北市大安區臨江街40巷2號</t>
  </si>
  <si>
    <t>番路半天岩</t>
  </si>
  <si>
    <t>嘉義縣番路鄉番路53之2號</t>
  </si>
  <si>
    <t>雲縣土庫店</t>
  </si>
  <si>
    <t>雲林縣土庫鎮復興路90號</t>
  </si>
  <si>
    <t>士林大宮町店</t>
  </si>
  <si>
    <t>水林松北村</t>
  </si>
  <si>
    <t>雲林縣水林鄉松北村蔦松路2之1號一樓</t>
  </si>
  <si>
    <t>尖石薰衣草</t>
  </si>
  <si>
    <t>新竹縣尖石鄉嘉樂村6鄰嘉樂1號</t>
  </si>
  <si>
    <t>北投火山店</t>
  </si>
  <si>
    <t>桃園市龜山區茶專路172巷2、4號</t>
  </si>
  <si>
    <t>彰化旭光店</t>
  </si>
  <si>
    <t>彰化縣彰化市南校街135號</t>
  </si>
  <si>
    <t>桃園光興店</t>
  </si>
  <si>
    <t>桃園市桃園區中山北路42號一樓及B1</t>
  </si>
  <si>
    <t>台中葳格店</t>
  </si>
  <si>
    <t>台中市北屯區軍福十八路328號</t>
  </si>
  <si>
    <t>苗栗為中店</t>
  </si>
  <si>
    <t>大里瑞城店</t>
  </si>
  <si>
    <t>台中市大里區成功路124號</t>
  </si>
  <si>
    <t>新莊文園店</t>
  </si>
  <si>
    <t>頭份好漾店</t>
  </si>
  <si>
    <t>頭份市</t>
  </si>
  <si>
    <t>大安臨江店</t>
  </si>
  <si>
    <t>台北市大安區臨江街36、38號一樓</t>
  </si>
  <si>
    <t>大安仁醫店</t>
  </si>
  <si>
    <t>台北市大安區仁愛路四段10號B1</t>
  </si>
  <si>
    <t>竹北中正西店</t>
  </si>
  <si>
    <t>新北市淡水區小坪頂85號地下一層</t>
  </si>
  <si>
    <t>北市港玉店</t>
  </si>
  <si>
    <t>台北市南港區南港路三段8、10號一樓全部</t>
  </si>
  <si>
    <t>竹東榮春店</t>
  </si>
  <si>
    <t>竹東鎮</t>
  </si>
  <si>
    <t>內埔豐田老街</t>
  </si>
  <si>
    <t>屏東縣內埔鄉新中路182號</t>
  </si>
  <si>
    <t>通霄北勢窩店</t>
  </si>
  <si>
    <t>竹北光明店</t>
  </si>
  <si>
    <t>新竹縣竹北市光明九路269號</t>
  </si>
  <si>
    <t>竹北竹慶店</t>
  </si>
  <si>
    <t>新竹縣竹北市中山路12號</t>
  </si>
  <si>
    <t>神岡大三元店</t>
  </si>
  <si>
    <t>神岡區</t>
  </si>
  <si>
    <t>梧棲皇后店</t>
  </si>
  <si>
    <t>台中市梧棲區頂寮里16鄰四維中路209號</t>
  </si>
  <si>
    <t>F154</t>
  </si>
  <si>
    <t>新竹南大三店</t>
  </si>
  <si>
    <t>新竹市東區南大路555號</t>
  </si>
  <si>
    <t>大里好來店</t>
  </si>
  <si>
    <t>和平博屋瑪</t>
  </si>
  <si>
    <t>台中市和平區東崎路一段46號壹樓及達觀段202地號</t>
  </si>
  <si>
    <t>三重福利店</t>
  </si>
  <si>
    <t>新北市三重區文化南路30及32號</t>
  </si>
  <si>
    <t>台中永春店</t>
  </si>
  <si>
    <t>鹿草長壽店</t>
  </si>
  <si>
    <t>嘉義縣鹿草鄉鹿草村6鄰長壽路251號</t>
  </si>
  <si>
    <t>南投八卦店</t>
  </si>
  <si>
    <t>斗南石溪里</t>
  </si>
  <si>
    <t>雲林縣斗南鎮南生路3號一樓</t>
  </si>
  <si>
    <t>彰縣彰壇店</t>
  </si>
  <si>
    <t>彰化縣花壇鄉番花路5號</t>
  </si>
  <si>
    <t>中寮香蕉店</t>
  </si>
  <si>
    <t>中寮鄉</t>
  </si>
  <si>
    <t>觀音自在店</t>
  </si>
  <si>
    <t>桃園市觀音區成功路一段655、657、659、661號一樓</t>
  </si>
  <si>
    <t>新竹金竹店</t>
  </si>
  <si>
    <t>新竹市北區金竹路121號</t>
  </si>
  <si>
    <t>斗六雲德店</t>
  </si>
  <si>
    <t>斗六市</t>
  </si>
  <si>
    <t>新北市金山區仁愛路66、68號一樓全部</t>
  </si>
  <si>
    <t>諸羅體育店</t>
  </si>
  <si>
    <t>嘉義市東區體育路79號</t>
  </si>
  <si>
    <t>斗六宏泰店</t>
  </si>
  <si>
    <t>內埔水門村</t>
  </si>
  <si>
    <t>屏東縣內埔鄉水門村成功路9、11號</t>
  </si>
  <si>
    <t>A225</t>
  </si>
  <si>
    <t>北縣連興店</t>
  </si>
  <si>
    <t>新北市汐止區連興街26號</t>
  </si>
  <si>
    <t>永靖九分店</t>
  </si>
  <si>
    <t>永靖鄉</t>
  </si>
  <si>
    <t>莿桐義和村</t>
  </si>
  <si>
    <t>雲林縣莿桐鄉義和村三和路137之1號1樓及137之2號1樓</t>
  </si>
  <si>
    <t>北市新喜店</t>
  </si>
  <si>
    <t>台北市中山區德惠街167巷2號</t>
  </si>
  <si>
    <t>永靖五汴頭店</t>
  </si>
  <si>
    <t>美濃廣興店</t>
  </si>
  <si>
    <t>高雄市美濃區興隆里5鄰廣興街270.272號</t>
  </si>
  <si>
    <t>彰化縣溪州鄉登山路四段543號全部</t>
  </si>
  <si>
    <t>彰縣彰宜店</t>
  </si>
  <si>
    <t>鹿港鎮</t>
  </si>
  <si>
    <t>觀音千眼店</t>
  </si>
  <si>
    <t>桃園市觀音區大觀路三段607號整棟、609號一樓</t>
  </si>
  <si>
    <t>新竹縣竹北市中正西路213號</t>
  </si>
  <si>
    <t>鹿港晨安店</t>
  </si>
  <si>
    <t>土城阿城店</t>
  </si>
  <si>
    <t>新北市土城區延平街71號1樓</t>
  </si>
  <si>
    <t>北市西湖店</t>
  </si>
  <si>
    <t>台北市內湖區內湖路一段217巷37號</t>
  </si>
  <si>
    <t>彰化西勢子店</t>
  </si>
  <si>
    <t>蘇澳白米甕</t>
  </si>
  <si>
    <t>宜蘭縣蘇澳鎮成功路89號</t>
  </si>
  <si>
    <t>苑裡苗苑店</t>
  </si>
  <si>
    <t>苗栗縣苑裡鎮新復里9鄰新復132-13號</t>
  </si>
  <si>
    <t>台南南慶店</t>
  </si>
  <si>
    <t>東勢大安溪</t>
  </si>
  <si>
    <t>台中市東勢區東蘭路216-2號</t>
  </si>
  <si>
    <t>D383</t>
  </si>
  <si>
    <t>北縣長安二店</t>
  </si>
  <si>
    <t>新北市蘆洲區長安街66號</t>
  </si>
  <si>
    <t>仁德區</t>
  </si>
  <si>
    <t>大園自立店</t>
  </si>
  <si>
    <t>桃園市大園區工二路10號</t>
  </si>
  <si>
    <t>古坑華山店</t>
  </si>
  <si>
    <t>雲林縣古坑鄉  崁腳村五鄰新興100號</t>
  </si>
  <si>
    <t>T279</t>
  </si>
  <si>
    <t>高市鼓元店</t>
  </si>
  <si>
    <t>北縣莊年店</t>
  </si>
  <si>
    <t>新北市新莊區新豐街11號</t>
  </si>
  <si>
    <t>S269</t>
  </si>
  <si>
    <t>鳳山五福店</t>
  </si>
  <si>
    <t>安定大同店</t>
  </si>
  <si>
    <t>台南市安定區嘉同里12鄰大同89號</t>
  </si>
  <si>
    <t xml:space="preserve"> 嘉縣和發店</t>
  </si>
  <si>
    <t xml:space="preserve">嘉義縣中埔鄉中山路5段736號 </t>
  </si>
  <si>
    <t>嘉縣嘉樂店</t>
  </si>
  <si>
    <t>梅山鄉</t>
  </si>
  <si>
    <t>大內出高手</t>
  </si>
  <si>
    <t>台南市大內區新厝仔45號</t>
  </si>
  <si>
    <t>枋山海景店</t>
  </si>
  <si>
    <t>屏東縣枋山鄉中山路三段61-1號</t>
  </si>
  <si>
    <t>民雄三興店</t>
  </si>
  <si>
    <t>瑞芳水湳洞</t>
  </si>
  <si>
    <t>新北市瑞芳區洞頂路210之4號</t>
  </si>
  <si>
    <t>五股憲兵店</t>
  </si>
  <si>
    <t>新北市五股區成泰路一段175號(憲兵學校教學區)</t>
  </si>
  <si>
    <t>嘉義保建店</t>
  </si>
  <si>
    <t>桃園市蘆竹區龍安街147、149、151號壹樓</t>
  </si>
  <si>
    <t>萬巒佳興店</t>
  </si>
  <si>
    <t>萬巒鄉</t>
  </si>
  <si>
    <t>鳥松仁美店</t>
  </si>
  <si>
    <t>高雄市鳥松區美山路99號</t>
  </si>
  <si>
    <t>新園鹽港店</t>
  </si>
  <si>
    <t>新園鄉</t>
  </si>
  <si>
    <t>羅東夜市店</t>
  </si>
  <si>
    <t>宜蘭縣羅東鎮民權路147號</t>
  </si>
  <si>
    <t>新園鹽埔店</t>
  </si>
  <si>
    <t>二水源泉店</t>
  </si>
  <si>
    <t>彰化縣二水鄉員集路二段275號</t>
  </si>
  <si>
    <t>長治久安店</t>
  </si>
  <si>
    <t>長治鄉</t>
  </si>
  <si>
    <t>大溪豆干樂</t>
  </si>
  <si>
    <t>桃園市大溪區埔頂路一段79號壹樓</t>
  </si>
  <si>
    <t>北縣成都店</t>
  </si>
  <si>
    <t>樹林監理所</t>
  </si>
  <si>
    <t>新北市樹林區中正路248巷7號</t>
  </si>
  <si>
    <t>平鎮平德店</t>
  </si>
  <si>
    <t>平鎮區</t>
  </si>
  <si>
    <t>美濃吃粄條</t>
  </si>
  <si>
    <t>高雄市美濃區中興路一522號</t>
  </si>
  <si>
    <t>南投員集店</t>
  </si>
  <si>
    <t>名間鄉</t>
  </si>
  <si>
    <t>平鎮龍陵店</t>
  </si>
  <si>
    <t>桃園市平鎮區龍南路369號</t>
  </si>
  <si>
    <t>北市金湖店</t>
  </si>
  <si>
    <t>太平盛世店</t>
  </si>
  <si>
    <t>台中市太平區大興路326號</t>
  </si>
  <si>
    <t>北市國醫店</t>
  </si>
  <si>
    <t>大里山茶花</t>
  </si>
  <si>
    <t>台中市大里區健民路21-5號</t>
  </si>
  <si>
    <t>F773</t>
  </si>
  <si>
    <t>新竹光華店</t>
  </si>
  <si>
    <t>新竹基地店</t>
  </si>
  <si>
    <t>新竹市北區中正路808、810號</t>
  </si>
  <si>
    <t>F226</t>
  </si>
  <si>
    <t>新竹成功店</t>
  </si>
  <si>
    <t>大里大元店</t>
  </si>
  <si>
    <t>台中市大里區國中路55號1樓</t>
  </si>
  <si>
    <t>新竹風采店</t>
  </si>
  <si>
    <t>士林一號店</t>
  </si>
  <si>
    <t>台北市士林區中山北路五段65號</t>
  </si>
  <si>
    <t>新竹藍海店</t>
  </si>
  <si>
    <t>礁溪十六結</t>
  </si>
  <si>
    <t>宜蘭縣礁溪鄉十六結路三城巷36號</t>
  </si>
  <si>
    <t>台中嘉明湖店</t>
  </si>
  <si>
    <t>安定人心店</t>
  </si>
  <si>
    <t>台南市安定區海寮里4鄰海寮32-1號</t>
  </si>
  <si>
    <t>台中中豐店</t>
  </si>
  <si>
    <t>溪州達人店</t>
  </si>
  <si>
    <t>彰化縣溪州鄉坑厝村溪林路169號1樓</t>
  </si>
  <si>
    <t>台中城愛店</t>
  </si>
  <si>
    <t>左營軍艦店</t>
  </si>
  <si>
    <t>高雄市左營區介壽路10號(觀海樓一樓右側)</t>
  </si>
  <si>
    <t>台中豐富店</t>
  </si>
  <si>
    <t>大里六脈神劍</t>
  </si>
  <si>
    <t>台中市大里區立中街73號1樓</t>
  </si>
  <si>
    <t>U288</t>
  </si>
  <si>
    <t>高市漁港店</t>
  </si>
  <si>
    <t>前鎮區</t>
  </si>
  <si>
    <t>竹塹港北店</t>
  </si>
  <si>
    <t>新竹市北區延平路147、149號壹樓</t>
  </si>
  <si>
    <t>高市復興店</t>
  </si>
  <si>
    <t>霧峰夕月店</t>
  </si>
  <si>
    <t>台中市霧峰區榮錦里吉峰東路630號1、2樓</t>
  </si>
  <si>
    <t>高市展館店</t>
  </si>
  <si>
    <t>枋山加祿村</t>
  </si>
  <si>
    <t>屏東縣枋山鄉加祿村加祿122-1.122-2號.122-3號</t>
  </si>
  <si>
    <t>寶山寶鑫店</t>
  </si>
  <si>
    <t>寶山鄉</t>
  </si>
  <si>
    <t>大寮上寮店</t>
  </si>
  <si>
    <t>高雄市大寮區上寮路154號</t>
  </si>
  <si>
    <t>北市陽光店</t>
  </si>
  <si>
    <t>清水鎮北店</t>
  </si>
  <si>
    <t>台中市清水區港都路230號</t>
  </si>
  <si>
    <t>北市湖森店</t>
  </si>
  <si>
    <t>頭城北宜店</t>
  </si>
  <si>
    <t>宜蘭縣頭城鎮北宜路一段318號</t>
  </si>
  <si>
    <t>北市奇岩店</t>
  </si>
  <si>
    <t>鹽埔振興店</t>
  </si>
  <si>
    <t>屏東縣鹽埔鄉振興村中正路30號一樓</t>
  </si>
  <si>
    <t>北市紗帽店</t>
  </si>
  <si>
    <t>竹塹靜心湖</t>
  </si>
  <si>
    <t>新竹市東區光復路一段525巷13號壹樓</t>
  </si>
  <si>
    <t>新竹竹鵬店</t>
  </si>
  <si>
    <t>大溪文化店</t>
  </si>
  <si>
    <t>桃園市大溪區文化路217之1號</t>
  </si>
  <si>
    <t>潮州光春店</t>
  </si>
  <si>
    <t>屏東縣潮州鎮光春路208號</t>
  </si>
  <si>
    <t>新竹羽成店</t>
  </si>
  <si>
    <t>八德富城店</t>
  </si>
  <si>
    <t>桃園市八德區富城街98號一樓及永興街一樓</t>
  </si>
  <si>
    <t>新竹花漾店</t>
  </si>
  <si>
    <t>旗山香蕉遊</t>
  </si>
  <si>
    <t>高雄市旗山區南洲里南洲街41之1號</t>
  </si>
  <si>
    <t>台中愛萊店</t>
  </si>
  <si>
    <t>內埔新發店</t>
  </si>
  <si>
    <t>屏東縣內埔鄉新發路19及21號</t>
  </si>
  <si>
    <t>H835</t>
  </si>
  <si>
    <t>台中世貿店</t>
  </si>
  <si>
    <t>H869</t>
  </si>
  <si>
    <t>台中大恩店</t>
  </si>
  <si>
    <t>林園溪州店</t>
  </si>
  <si>
    <t>高雄市林園區溪州一路51號</t>
  </si>
  <si>
    <t>台中黎明店</t>
  </si>
  <si>
    <t>東勢水梨店</t>
  </si>
  <si>
    <t>台中市東勢區東坑路611號壹樓</t>
  </si>
  <si>
    <t>高市鎮榮店</t>
  </si>
  <si>
    <t>高市瑞福店</t>
  </si>
  <si>
    <t>高市鎮港店</t>
  </si>
  <si>
    <t>高市福鑽店</t>
  </si>
  <si>
    <t>A318</t>
  </si>
  <si>
    <t>北市民東店</t>
  </si>
  <si>
    <t>北市湖潤店</t>
  </si>
  <si>
    <t>北市北清店</t>
  </si>
  <si>
    <t>北投希望店</t>
  </si>
  <si>
    <t>北投立農店</t>
  </si>
  <si>
    <t>北市地熱谷店</t>
  </si>
  <si>
    <t>新竹竹塹店</t>
  </si>
  <si>
    <t>新竹竹勇店</t>
  </si>
  <si>
    <t>新竹竹湳店</t>
  </si>
  <si>
    <t>新竹竹遠店</t>
  </si>
  <si>
    <t>台中中集店</t>
  </si>
  <si>
    <t>台中中都店</t>
  </si>
  <si>
    <t>台中中宏店</t>
  </si>
  <si>
    <t>台中永讚店</t>
  </si>
  <si>
    <t>前金新田店</t>
  </si>
  <si>
    <t>前金區</t>
  </si>
  <si>
    <t>U295</t>
  </si>
  <si>
    <t>高市大同店</t>
  </si>
  <si>
    <t>南投投家店</t>
  </si>
  <si>
    <t>草屯鎮</t>
  </si>
  <si>
    <t>北市宏普店</t>
  </si>
  <si>
    <t>北市湖元店</t>
  </si>
  <si>
    <t>北市北功店</t>
  </si>
  <si>
    <t>北市北天店</t>
  </si>
  <si>
    <t>北市北崗店</t>
  </si>
  <si>
    <t>新竹浸水店</t>
  </si>
  <si>
    <t>香山區</t>
  </si>
  <si>
    <t>F617</t>
  </si>
  <si>
    <t>新竹香北店</t>
  </si>
  <si>
    <t>新竹林森店</t>
  </si>
  <si>
    <t>新竹境福店</t>
  </si>
  <si>
    <t>台中逢甲店</t>
  </si>
  <si>
    <t>台中中河店</t>
  </si>
  <si>
    <t>高市雅福店</t>
  </si>
  <si>
    <t>高市武慶店</t>
  </si>
  <si>
    <t>A311</t>
  </si>
  <si>
    <t>北市康樂二店</t>
  </si>
  <si>
    <t>內湖紫陽店</t>
  </si>
  <si>
    <t>北市北裕店</t>
  </si>
  <si>
    <t>A186</t>
  </si>
  <si>
    <t>北市懷德店</t>
  </si>
  <si>
    <t>北市關渡店</t>
  </si>
  <si>
    <t>新竹月光店</t>
  </si>
  <si>
    <t>新竹美森店</t>
  </si>
  <si>
    <t>新竹草原店</t>
  </si>
  <si>
    <t>新竹香山店</t>
  </si>
  <si>
    <t>高市英祥店</t>
  </si>
  <si>
    <t>T280</t>
  </si>
  <si>
    <t>高市建工店</t>
  </si>
  <si>
    <t>高市鼎盛店</t>
  </si>
  <si>
    <t>三民長明店</t>
  </si>
  <si>
    <t>北市金碧店</t>
  </si>
  <si>
    <t>北市新明店</t>
  </si>
  <si>
    <t>中山合江店</t>
  </si>
  <si>
    <t>中山錦東店</t>
  </si>
  <si>
    <t>新竹竹恩店</t>
  </si>
  <si>
    <t>新竹竹賓店</t>
  </si>
  <si>
    <t>新竹竹沐店</t>
  </si>
  <si>
    <t>烏日溪南店</t>
  </si>
  <si>
    <t>烏日區</t>
  </si>
  <si>
    <t>龍井茄投店</t>
  </si>
  <si>
    <t>龍井區</t>
  </si>
  <si>
    <t>烏日成中店</t>
  </si>
  <si>
    <t>烏日學田店</t>
  </si>
  <si>
    <t>高市鼎金店</t>
  </si>
  <si>
    <t>高市大港店</t>
  </si>
  <si>
    <t>高市元隆店</t>
  </si>
  <si>
    <t>北市湖月店</t>
  </si>
  <si>
    <t>北市湖康店</t>
  </si>
  <si>
    <t>內湖安康店</t>
  </si>
  <si>
    <t>中山榮耀店</t>
  </si>
  <si>
    <t>B098</t>
  </si>
  <si>
    <t>北市中原二店</t>
  </si>
  <si>
    <t>新竹竹群店</t>
  </si>
  <si>
    <t>新竹大蓮店</t>
  </si>
  <si>
    <t>中縣中溪店</t>
  </si>
  <si>
    <t>中縣中連店</t>
  </si>
  <si>
    <t>中縣中武店</t>
  </si>
  <si>
    <t>中縣中分店</t>
  </si>
  <si>
    <t>高市高進店</t>
  </si>
  <si>
    <t>高市鼎力店</t>
  </si>
  <si>
    <t>六合夜市店</t>
  </si>
  <si>
    <t>內湖安泰店</t>
  </si>
  <si>
    <t>北縣水源店</t>
  </si>
  <si>
    <t>中山美妍店</t>
  </si>
  <si>
    <t>B876</t>
  </si>
  <si>
    <t>北市馬偕店</t>
  </si>
  <si>
    <t>北市山擎店</t>
  </si>
  <si>
    <t>F621</t>
  </si>
  <si>
    <t>新竹金城店</t>
  </si>
  <si>
    <t>F699</t>
  </si>
  <si>
    <t>新竹錦華店</t>
  </si>
  <si>
    <t>台中中大店</t>
  </si>
  <si>
    <t>中縣中佳店</t>
  </si>
  <si>
    <t>台中中鑽店</t>
  </si>
  <si>
    <t>S373</t>
  </si>
  <si>
    <t>鳳山鳳福店</t>
  </si>
  <si>
    <t>S380</t>
  </si>
  <si>
    <t>鳳山高鳳店</t>
  </si>
  <si>
    <t>鳳山博愛店</t>
  </si>
  <si>
    <t>北縣嘉和店</t>
  </si>
  <si>
    <t>北市長松店</t>
  </si>
  <si>
    <t>中山逸仙店</t>
  </si>
  <si>
    <t>F246</t>
  </si>
  <si>
    <t>新竹西大店</t>
  </si>
  <si>
    <t>F367</t>
  </si>
  <si>
    <t>新竹民族店</t>
  </si>
  <si>
    <t>新竹水仙店</t>
  </si>
  <si>
    <t>G951</t>
  </si>
  <si>
    <t>太平新福店</t>
  </si>
  <si>
    <t>太平區</t>
  </si>
  <si>
    <t>台中福順店</t>
  </si>
  <si>
    <t>鳳山工協店</t>
  </si>
  <si>
    <t>鳳山府前店</t>
  </si>
  <si>
    <t>鳳山文東店</t>
  </si>
  <si>
    <t>北縣連城店</t>
  </si>
  <si>
    <t>北市山寧店</t>
  </si>
  <si>
    <t>北市山華店</t>
  </si>
  <si>
    <t>新竹凱旋店</t>
  </si>
  <si>
    <t>新竹文旅店</t>
  </si>
  <si>
    <t>新竹虹鑫店</t>
  </si>
  <si>
    <t>台中衛斯理店</t>
  </si>
  <si>
    <t>太平樂安店</t>
  </si>
  <si>
    <t>鳳山文鳳店</t>
  </si>
  <si>
    <t>鳳山鳳祥店</t>
  </si>
  <si>
    <t>鳳山鳳頂店</t>
  </si>
  <si>
    <t>新竹東美店</t>
  </si>
  <si>
    <t>B044</t>
  </si>
  <si>
    <t>北市中山店</t>
  </si>
  <si>
    <t>北縣和泰店</t>
  </si>
  <si>
    <t>北縣和圓店</t>
  </si>
  <si>
    <t>北市同蝶店</t>
  </si>
  <si>
    <t>北市雙蝶店</t>
  </si>
  <si>
    <t>新竹埔頂店</t>
  </si>
  <si>
    <t>新竹竹青店</t>
  </si>
  <si>
    <t>太平光德店</t>
  </si>
  <si>
    <t>太平永成店</t>
  </si>
  <si>
    <t>太平永平店</t>
  </si>
  <si>
    <t>太平澄清店</t>
  </si>
  <si>
    <t>鳳山高行店</t>
  </si>
  <si>
    <t>鳳山鳳育店</t>
  </si>
  <si>
    <t>北縣遠東店</t>
  </si>
  <si>
    <t>北縣員山二店</t>
  </si>
  <si>
    <t>D010</t>
  </si>
  <si>
    <t>北市延平店</t>
  </si>
  <si>
    <t>北市同達店</t>
  </si>
  <si>
    <t>北市同京店</t>
  </si>
  <si>
    <t>北市圓捷店</t>
  </si>
  <si>
    <t>新竹竹亮店</t>
  </si>
  <si>
    <t>G807</t>
  </si>
  <si>
    <t>大里東榮店</t>
  </si>
  <si>
    <t>太平中業店</t>
  </si>
  <si>
    <t>太平中光店</t>
  </si>
  <si>
    <t>大寮工業店</t>
  </si>
  <si>
    <t>S884</t>
  </si>
  <si>
    <t>高縣後庄店</t>
  </si>
  <si>
    <t>大寮興會結店</t>
  </si>
  <si>
    <t>北縣橋安店</t>
  </si>
  <si>
    <t>北縣自治店</t>
  </si>
  <si>
    <t>北市同吉店</t>
  </si>
  <si>
    <t>北市同密店</t>
  </si>
  <si>
    <t>北市延年店</t>
  </si>
  <si>
    <t>北市同承店</t>
  </si>
  <si>
    <t>新竹竹橋店</t>
  </si>
  <si>
    <t>新竹竹峰店</t>
  </si>
  <si>
    <t>新竹竹旺店</t>
  </si>
  <si>
    <t>新竹竹神店</t>
  </si>
  <si>
    <t>大里吉祥店</t>
  </si>
  <si>
    <t>大里精采店</t>
  </si>
  <si>
    <t>大里塗城店</t>
  </si>
  <si>
    <t>大里永隆店</t>
  </si>
  <si>
    <t>大寮江山店</t>
  </si>
  <si>
    <t>大寮新林店</t>
  </si>
  <si>
    <t>北縣平安店</t>
  </si>
  <si>
    <t>北縣和大店</t>
  </si>
  <si>
    <t>北縣飛和店</t>
  </si>
  <si>
    <t>北縣重新店</t>
  </si>
  <si>
    <t>三重美集店</t>
  </si>
  <si>
    <t>新竹竹利店</t>
  </si>
  <si>
    <t>新竹竹國店</t>
  </si>
  <si>
    <t>大里竹子坑店</t>
  </si>
  <si>
    <t>大里光正店</t>
  </si>
  <si>
    <t>大寮正順店</t>
  </si>
  <si>
    <t>高縣高金店</t>
  </si>
  <si>
    <t>大寮鑫鳳林店</t>
  </si>
  <si>
    <t>高市高育店</t>
  </si>
  <si>
    <t>左營區</t>
  </si>
  <si>
    <t>D642</t>
  </si>
  <si>
    <t>北縣樹正店</t>
  </si>
  <si>
    <t>樹林區</t>
  </si>
  <si>
    <t>北縣樹俊店</t>
  </si>
  <si>
    <t>北縣樹興店</t>
  </si>
  <si>
    <t>北縣樹太店</t>
  </si>
  <si>
    <t>北縣重永店</t>
  </si>
  <si>
    <t>新竹竹森店</t>
  </si>
  <si>
    <t>新竹竹化店</t>
  </si>
  <si>
    <t>大寮潮龍店</t>
  </si>
  <si>
    <t>高縣高庄店</t>
  </si>
  <si>
    <t>高縣翁園店</t>
  </si>
  <si>
    <t>北縣重鈴店</t>
  </si>
  <si>
    <t>竹縣東竹店</t>
  </si>
  <si>
    <t>南縣南工店</t>
  </si>
  <si>
    <t>苗縣苗苑店</t>
  </si>
  <si>
    <t>苑裡鎮</t>
  </si>
  <si>
    <t>北市正泉店</t>
  </si>
  <si>
    <t>南投投源店</t>
  </si>
  <si>
    <t>北縣永富店</t>
  </si>
  <si>
    <t>北縣永任店</t>
  </si>
  <si>
    <t>湖口波羅店</t>
  </si>
  <si>
    <t>湖口鄉</t>
  </si>
  <si>
    <t>湖口鳳凰店</t>
  </si>
  <si>
    <t>竹縣竹賀店</t>
  </si>
  <si>
    <t>中縣雅環店</t>
  </si>
  <si>
    <t>大雅區</t>
  </si>
  <si>
    <t>大雅月祥店</t>
  </si>
  <si>
    <t>中縣中勇店</t>
  </si>
  <si>
    <t>高市合群店</t>
  </si>
  <si>
    <t>高市高富店</t>
  </si>
  <si>
    <t>北縣永遠店</t>
  </si>
  <si>
    <t>永和永寧店</t>
  </si>
  <si>
    <t>北縣重大店</t>
  </si>
  <si>
    <t>北縣正義店</t>
  </si>
  <si>
    <t>竹縣東光店</t>
  </si>
  <si>
    <t>竹縣湖丰店</t>
  </si>
  <si>
    <t>竹縣竹祥店</t>
  </si>
  <si>
    <t>中縣中潭店</t>
  </si>
  <si>
    <t>大雅雅楓店</t>
  </si>
  <si>
    <t>外埔馬鳴埔店</t>
  </si>
  <si>
    <t>外埔區</t>
  </si>
  <si>
    <t>北市家聲店</t>
  </si>
  <si>
    <t>北市新樸實店</t>
  </si>
  <si>
    <t>C034</t>
  </si>
  <si>
    <t>北縣建國店</t>
  </si>
  <si>
    <t>三重興義店</t>
  </si>
  <si>
    <t>北縣三和二店</t>
  </si>
  <si>
    <t>桃市民光店</t>
  </si>
  <si>
    <t>桃園區</t>
  </si>
  <si>
    <t>楊梅區</t>
  </si>
  <si>
    <t>潭子區</t>
  </si>
  <si>
    <t>潭子曇晨店</t>
  </si>
  <si>
    <t>C769</t>
  </si>
  <si>
    <t>北縣新和店</t>
  </si>
  <si>
    <t>北縣新元店</t>
  </si>
  <si>
    <t>北縣重國店</t>
  </si>
  <si>
    <t>北縣車路頭店</t>
  </si>
  <si>
    <t>龍潭大池店</t>
  </si>
  <si>
    <t>龍潭區</t>
  </si>
  <si>
    <t>桃縣桃天店</t>
  </si>
  <si>
    <t>大溪區</t>
  </si>
  <si>
    <t>鼓山華泰店</t>
  </si>
  <si>
    <t>高市濱海店</t>
  </si>
  <si>
    <t>高市學亨店</t>
  </si>
  <si>
    <t>北縣新戰店</t>
  </si>
  <si>
    <t>北縣新國店</t>
  </si>
  <si>
    <t>新店天廈店</t>
  </si>
  <si>
    <t>北縣中正北店</t>
  </si>
  <si>
    <t>三重重賓店</t>
  </si>
  <si>
    <t>新埔新田店</t>
  </si>
  <si>
    <t>新埔鎮</t>
  </si>
  <si>
    <t>苗縣頂尖店</t>
  </si>
  <si>
    <t>高市高旅店</t>
  </si>
  <si>
    <t>小港區</t>
  </si>
  <si>
    <t>文山大王店</t>
  </si>
  <si>
    <t>C055</t>
  </si>
  <si>
    <t>北市木新二店</t>
  </si>
  <si>
    <t>北市日出店</t>
  </si>
  <si>
    <t>C348</t>
  </si>
  <si>
    <t>北市世新店</t>
  </si>
  <si>
    <t>北縣金龍店</t>
  </si>
  <si>
    <t>北縣淡鑫店</t>
  </si>
  <si>
    <t>竹北東興店</t>
  </si>
  <si>
    <t>竹北水岸店</t>
  </si>
  <si>
    <t>H851</t>
  </si>
  <si>
    <t>台中東山二店</t>
  </si>
  <si>
    <t>台中中清店</t>
  </si>
  <si>
    <t>台中中軍店</t>
  </si>
  <si>
    <t>台中中竹店</t>
  </si>
  <si>
    <t>大社中里店</t>
  </si>
  <si>
    <t>大社翠屏店</t>
  </si>
  <si>
    <t>大社鑫龍店</t>
  </si>
  <si>
    <t>北市正東店</t>
  </si>
  <si>
    <t>北市正慶店</t>
  </si>
  <si>
    <t>北縣淡虹店</t>
  </si>
  <si>
    <t>竹北裕新店</t>
  </si>
  <si>
    <t>竹北起飛店</t>
  </si>
  <si>
    <t>竹北北鮮店</t>
  </si>
  <si>
    <t>台中永太店</t>
  </si>
  <si>
    <t>台中豐衣店</t>
  </si>
  <si>
    <t>H809</t>
  </si>
  <si>
    <t>台中忠誠店</t>
  </si>
  <si>
    <t>台中中堂店</t>
  </si>
  <si>
    <t>S272</t>
  </si>
  <si>
    <t>高縣鳳仁店</t>
  </si>
  <si>
    <t>仁武仁林店</t>
  </si>
  <si>
    <t>仁武永仁店</t>
  </si>
  <si>
    <t>北市正光店</t>
  </si>
  <si>
    <t>北市正忠店</t>
  </si>
  <si>
    <t>北市士慶店</t>
  </si>
  <si>
    <t>A067</t>
  </si>
  <si>
    <t>北市社正店</t>
  </si>
  <si>
    <t>A163</t>
  </si>
  <si>
    <t>北市社子店</t>
  </si>
  <si>
    <t>竹北竹文店</t>
  </si>
  <si>
    <t>竹北北冠店</t>
  </si>
  <si>
    <t>竹北竹振店</t>
  </si>
  <si>
    <t>鹿港鹿草店</t>
  </si>
  <si>
    <t>彰縣安可店</t>
  </si>
  <si>
    <t>仁武澄湖店</t>
  </si>
  <si>
    <t>仁武鳳成店</t>
  </si>
  <si>
    <t>仁武正和店</t>
  </si>
  <si>
    <t>北市古亭店</t>
  </si>
  <si>
    <t>北市秋葉原店</t>
  </si>
  <si>
    <t>中正大忠門</t>
  </si>
  <si>
    <t>北市士銓店</t>
  </si>
  <si>
    <t>士林月圓店</t>
  </si>
  <si>
    <t>竹北華興店</t>
  </si>
  <si>
    <t>竹北晨晞店</t>
  </si>
  <si>
    <t>竹北竹洲店</t>
  </si>
  <si>
    <t>鳥松夢裡店</t>
  </si>
  <si>
    <t>A299</t>
  </si>
  <si>
    <t>北縣宏福店</t>
  </si>
  <si>
    <t>北縣北山店</t>
  </si>
  <si>
    <t>士林承德店</t>
  </si>
  <si>
    <t>士林花好店</t>
  </si>
  <si>
    <t>D043</t>
  </si>
  <si>
    <t>北市延平二店</t>
  </si>
  <si>
    <t>竹北新鳳店</t>
  </si>
  <si>
    <t>竹北竹凰店</t>
  </si>
  <si>
    <t>竹北鳳岡店</t>
  </si>
  <si>
    <t>鹿港路加店</t>
  </si>
  <si>
    <t>高縣神農店</t>
  </si>
  <si>
    <t>高縣仁忠店</t>
  </si>
  <si>
    <t>高縣鼎仁店</t>
  </si>
  <si>
    <t>北縣五堵店</t>
  </si>
  <si>
    <t>北縣汐福店</t>
  </si>
  <si>
    <t>北縣汐忠店</t>
  </si>
  <si>
    <t>北縣豐年店</t>
  </si>
  <si>
    <t>湖口長安店</t>
  </si>
  <si>
    <t>湖口長嶺店</t>
  </si>
  <si>
    <t>竹縣湖笙店</t>
  </si>
  <si>
    <t>彰縣沿海店</t>
  </si>
  <si>
    <t>福興鄉</t>
  </si>
  <si>
    <t>彰縣番花店</t>
  </si>
  <si>
    <t>二林鴻苑店</t>
  </si>
  <si>
    <t>二林鎮</t>
  </si>
  <si>
    <t>左營正心店</t>
  </si>
  <si>
    <t>左營廟東店</t>
  </si>
  <si>
    <t>左營典愛店</t>
  </si>
  <si>
    <t>汐止思鄉店</t>
  </si>
  <si>
    <t>北縣莊廣店</t>
  </si>
  <si>
    <t>竹縣竹蓮店</t>
  </si>
  <si>
    <t>竹縣竹鑽店</t>
  </si>
  <si>
    <t>湖口德旺店</t>
  </si>
  <si>
    <t>溪湖甜心店</t>
  </si>
  <si>
    <t>溪湖鎮</t>
  </si>
  <si>
    <t>彰縣彰福店</t>
  </si>
  <si>
    <t>T711</t>
  </si>
  <si>
    <t>高市陸橋店</t>
  </si>
  <si>
    <t>楠梓區</t>
  </si>
  <si>
    <t>楠梓常德店</t>
  </si>
  <si>
    <t>楠梓高大店</t>
  </si>
  <si>
    <t>汐止夢湖店</t>
  </si>
  <si>
    <t>汐止早安店</t>
  </si>
  <si>
    <t>新莊鼎豐店</t>
  </si>
  <si>
    <t>新莊品莊店</t>
  </si>
  <si>
    <t>新莊美福店</t>
  </si>
  <si>
    <t>竹縣竹麟店</t>
  </si>
  <si>
    <t>湖口德成店</t>
  </si>
  <si>
    <t>竹縣湖德店</t>
  </si>
  <si>
    <t>中縣中燕店</t>
  </si>
  <si>
    <t>清水區</t>
  </si>
  <si>
    <t>中縣甲南店</t>
  </si>
  <si>
    <t>清水米糕店</t>
  </si>
  <si>
    <t>高市三山店</t>
  </si>
  <si>
    <t>高市藍田店</t>
  </si>
  <si>
    <t>高市盛昌店</t>
  </si>
  <si>
    <t>B056</t>
  </si>
  <si>
    <t>北市林口店</t>
  </si>
  <si>
    <t>信義區</t>
  </si>
  <si>
    <t>B643</t>
  </si>
  <si>
    <t>北市松永店</t>
  </si>
  <si>
    <t>北市信德店</t>
  </si>
  <si>
    <t>北縣城府店</t>
  </si>
  <si>
    <t>土城學成店</t>
  </si>
  <si>
    <t>土城城央店</t>
  </si>
  <si>
    <t>北縣城正店</t>
  </si>
  <si>
    <t>北縣樹愛店</t>
  </si>
  <si>
    <t>北縣樹東店</t>
  </si>
  <si>
    <t>北縣樹博店</t>
  </si>
  <si>
    <t>北縣中興北店</t>
  </si>
  <si>
    <t>北縣中興二店</t>
  </si>
  <si>
    <t>湖口生風店</t>
  </si>
  <si>
    <t>F674</t>
  </si>
  <si>
    <t>竹縣新豐三店</t>
  </si>
  <si>
    <t>新豐鄉</t>
  </si>
  <si>
    <t>新豐叮噹店</t>
  </si>
  <si>
    <t>梧棲向上店</t>
  </si>
  <si>
    <t>G850</t>
  </si>
  <si>
    <t>中縣大智店</t>
  </si>
  <si>
    <t>梧棲市場店</t>
  </si>
  <si>
    <t>高市高梓店</t>
  </si>
  <si>
    <t>橋頭仕豐店</t>
  </si>
  <si>
    <t>橋頭區</t>
  </si>
  <si>
    <t>燕巢援巢店</t>
  </si>
  <si>
    <t>燕巢區</t>
  </si>
  <si>
    <t>北縣樹佳店</t>
  </si>
  <si>
    <t>北縣樹宏店</t>
  </si>
  <si>
    <t>樹林保安店</t>
  </si>
  <si>
    <t>北縣重化店</t>
  </si>
  <si>
    <t>竹縣竹陞店</t>
  </si>
  <si>
    <t>竹縣豐埔店</t>
  </si>
  <si>
    <t>竹縣竹寶店</t>
  </si>
  <si>
    <t>中縣中秋店</t>
  </si>
  <si>
    <t>大肚區</t>
  </si>
  <si>
    <t>沙鹿竹林店</t>
  </si>
  <si>
    <t>沙鹿區</t>
  </si>
  <si>
    <t>G820</t>
  </si>
  <si>
    <t>中縣中山店</t>
  </si>
  <si>
    <t>G813</t>
  </si>
  <si>
    <t>中縣靜宜店</t>
  </si>
  <si>
    <t>梓官港口店</t>
  </si>
  <si>
    <t>梓官區</t>
  </si>
  <si>
    <t>岡山仁貴店</t>
  </si>
  <si>
    <t>岡山區</t>
  </si>
  <si>
    <t>高縣岡仁店</t>
  </si>
  <si>
    <t>樹林樹工店</t>
  </si>
  <si>
    <t>樹林風櫃店</t>
  </si>
  <si>
    <t>樹林慶園店</t>
  </si>
  <si>
    <t>樹林佳園店</t>
  </si>
  <si>
    <t>北縣中興三店</t>
  </si>
  <si>
    <t>新豐新庄子店</t>
  </si>
  <si>
    <t>竹北皇家店</t>
  </si>
  <si>
    <t>平鎮復梅店</t>
  </si>
  <si>
    <t>沙鹿正德店</t>
  </si>
  <si>
    <t>中縣中航店</t>
  </si>
  <si>
    <t>中縣中宜店</t>
  </si>
  <si>
    <t>台南康平店</t>
  </si>
  <si>
    <t>安平區</t>
  </si>
  <si>
    <t>台南古堡店</t>
  </si>
  <si>
    <t>北縣樹鑽店</t>
  </si>
  <si>
    <t>北縣樹榮店</t>
  </si>
  <si>
    <t>北縣樹玉店</t>
  </si>
  <si>
    <t>樹林樹園店</t>
  </si>
  <si>
    <t>北縣重集店</t>
  </si>
  <si>
    <t>北縣重民店</t>
  </si>
  <si>
    <t>竹北北愛店</t>
  </si>
  <si>
    <t>竹北綠能店</t>
  </si>
  <si>
    <t>雲縣雲內店</t>
  </si>
  <si>
    <t>虎尾鎮</t>
  </si>
  <si>
    <t>中縣中炫店</t>
  </si>
  <si>
    <t>中縣中棲店</t>
  </si>
  <si>
    <t>北市安復店</t>
  </si>
  <si>
    <t>北市杭州店</t>
  </si>
  <si>
    <t>北市羅斯福店</t>
  </si>
  <si>
    <t>北縣三民店</t>
  </si>
  <si>
    <t>北縣中陽二店</t>
  </si>
  <si>
    <t>土城哲青店</t>
  </si>
  <si>
    <t>平鎮桃勤店</t>
  </si>
  <si>
    <t>龍潭國保店</t>
  </si>
  <si>
    <t>埔里美人店</t>
  </si>
  <si>
    <t>埔里鎮</t>
  </si>
  <si>
    <t>埔里愛埔店</t>
  </si>
  <si>
    <t>南投國姓店</t>
  </si>
  <si>
    <t>國姓鄉</t>
  </si>
  <si>
    <t>南縣南定店</t>
  </si>
  <si>
    <t>安定區</t>
  </si>
  <si>
    <t>安南長和店</t>
  </si>
  <si>
    <t>安南區</t>
  </si>
  <si>
    <t>安南惠安店</t>
  </si>
  <si>
    <t>北市安華店</t>
  </si>
  <si>
    <t>北市安興店</t>
  </si>
  <si>
    <t>北市居安店</t>
  </si>
  <si>
    <t>三重重宜店</t>
  </si>
  <si>
    <t>龍潭客棧店</t>
  </si>
  <si>
    <t>桃園中路店</t>
  </si>
  <si>
    <t>桃市美旗店</t>
  </si>
  <si>
    <t>桃市森林店</t>
  </si>
  <si>
    <t>神岡元富店</t>
  </si>
  <si>
    <t>中縣豐洲店</t>
  </si>
  <si>
    <t>神岡庄前店</t>
  </si>
  <si>
    <t>台南安工店</t>
  </si>
  <si>
    <t>北縣大湖店</t>
  </si>
  <si>
    <t>北縣鶯駿店</t>
  </si>
  <si>
    <t>北縣鶯國店</t>
  </si>
  <si>
    <t>北縣重樂店</t>
  </si>
  <si>
    <t>三重重南店</t>
  </si>
  <si>
    <t>桃市桃雄店</t>
  </si>
  <si>
    <t>桃園快樂店</t>
  </si>
  <si>
    <t>東勢東崎店</t>
  </si>
  <si>
    <t>員林員外店</t>
  </si>
  <si>
    <t>台南湖美店</t>
  </si>
  <si>
    <t>台南采風店</t>
  </si>
  <si>
    <t>台南南新店</t>
  </si>
  <si>
    <t>D607</t>
  </si>
  <si>
    <t>北縣鶯歌店</t>
  </si>
  <si>
    <t>鶯歌鳳鳴店</t>
  </si>
  <si>
    <t>鶯歌東正店</t>
  </si>
  <si>
    <t>北縣重盈店</t>
  </si>
  <si>
    <t>北縣重錦店</t>
  </si>
  <si>
    <t>桃市桃爵店</t>
  </si>
  <si>
    <t>員林員水店</t>
  </si>
  <si>
    <t>員林大道店</t>
  </si>
  <si>
    <t>永康飛翔店</t>
  </si>
  <si>
    <t>永康區</t>
  </si>
  <si>
    <t>北縣三峽店</t>
  </si>
  <si>
    <t>三峽區</t>
  </si>
  <si>
    <t>北縣三勇店</t>
  </si>
  <si>
    <t>三峽正圓店</t>
  </si>
  <si>
    <t>北縣重福店</t>
  </si>
  <si>
    <t>D335</t>
  </si>
  <si>
    <t>北縣力福店</t>
  </si>
  <si>
    <t>八德陂塘店</t>
  </si>
  <si>
    <t>八德桃棒店</t>
  </si>
  <si>
    <t>中縣神岡店</t>
  </si>
  <si>
    <t>中縣中神店</t>
  </si>
  <si>
    <t>北縣大興店</t>
  </si>
  <si>
    <t>北市信吉店</t>
  </si>
  <si>
    <t>三重美華店</t>
  </si>
  <si>
    <t>三重慈化店</t>
  </si>
  <si>
    <t>竹南可愛店</t>
  </si>
  <si>
    <t>竹南鎮</t>
  </si>
  <si>
    <t>苗縣苗旺店</t>
  </si>
  <si>
    <t>彰縣彰誠店</t>
  </si>
  <si>
    <t>彰縣員林店</t>
  </si>
  <si>
    <t>永康巧遇店</t>
  </si>
  <si>
    <t>永康洲尾店</t>
  </si>
  <si>
    <t>竹北水妍店</t>
  </si>
  <si>
    <t>北市信誠店</t>
  </si>
  <si>
    <t>北市信彩店</t>
  </si>
  <si>
    <t>信義虎林店</t>
  </si>
  <si>
    <t>苗縣苗發店</t>
  </si>
  <si>
    <t>後龍鎮</t>
  </si>
  <si>
    <t>苗縣苗港店</t>
  </si>
  <si>
    <t>田中大社店</t>
  </si>
  <si>
    <t>田中鎮</t>
  </si>
  <si>
    <t>花壇虎山店</t>
  </si>
  <si>
    <t>花壇鄉</t>
  </si>
  <si>
    <t>永康東橋店</t>
  </si>
  <si>
    <t>永康榮醫店</t>
  </si>
  <si>
    <t>永康上永店</t>
  </si>
  <si>
    <t>B011</t>
  </si>
  <si>
    <t>北市南港二店</t>
  </si>
  <si>
    <t>B042</t>
  </si>
  <si>
    <t>北市南港三店</t>
  </si>
  <si>
    <t>B344</t>
  </si>
  <si>
    <t>北市昆陽店</t>
  </si>
  <si>
    <t>B378</t>
  </si>
  <si>
    <t>北市港成店</t>
  </si>
  <si>
    <t>北縣富美店</t>
  </si>
  <si>
    <t>北縣溪尾店</t>
  </si>
  <si>
    <t>三重美慈店</t>
  </si>
  <si>
    <t>苗縣後龍店</t>
  </si>
  <si>
    <t>苗縣苗華店</t>
  </si>
  <si>
    <t>K828</t>
  </si>
  <si>
    <t>彰化國聖店</t>
  </si>
  <si>
    <t>K862</t>
  </si>
  <si>
    <t>彰化金馬店</t>
  </si>
  <si>
    <t>彰市三民店</t>
  </si>
  <si>
    <t>永康南俊店</t>
  </si>
  <si>
    <t>新化崙頂店</t>
  </si>
  <si>
    <t>新化區</t>
  </si>
  <si>
    <t>北市港北店</t>
  </si>
  <si>
    <t>北市港漢店</t>
  </si>
  <si>
    <t>北市港南店</t>
  </si>
  <si>
    <t>北市港宏店</t>
  </si>
  <si>
    <t>北縣進安店</t>
  </si>
  <si>
    <t>北縣中央北店</t>
  </si>
  <si>
    <t>三重文化店</t>
  </si>
  <si>
    <t>苗栗艾文店</t>
  </si>
  <si>
    <t>苗栗苗鑫店</t>
  </si>
  <si>
    <t>彰化彰鴻店</t>
  </si>
  <si>
    <t>彰化彰慶店</t>
  </si>
  <si>
    <t>路竹社東店</t>
  </si>
  <si>
    <t>路竹區</t>
  </si>
  <si>
    <t>桃園蕙宇店</t>
  </si>
  <si>
    <t>北市港運店</t>
  </si>
  <si>
    <t>北市經貿店</t>
  </si>
  <si>
    <t>蘆洲保新店</t>
  </si>
  <si>
    <t>北縣鷺江店</t>
  </si>
  <si>
    <t>苗栗茂勝店</t>
  </si>
  <si>
    <t>苗栗新苗店</t>
  </si>
  <si>
    <t>北市園區店</t>
  </si>
  <si>
    <t>南港合心店</t>
  </si>
  <si>
    <t>B156</t>
  </si>
  <si>
    <t>北市敦化店</t>
  </si>
  <si>
    <t>北縣蘆江店</t>
  </si>
  <si>
    <t>蘆洲得勝店</t>
  </si>
  <si>
    <t>苗栗為民店</t>
  </si>
  <si>
    <t>苗栗苗福店</t>
  </si>
  <si>
    <t>和美星河店</t>
  </si>
  <si>
    <t>和美郭靖店</t>
  </si>
  <si>
    <t>和美黃蓉店</t>
  </si>
  <si>
    <t>南縣南歐店</t>
  </si>
  <si>
    <t>將軍區</t>
  </si>
  <si>
    <t>佳里奇佳店</t>
  </si>
  <si>
    <t>佳里區</t>
  </si>
  <si>
    <t>北縣重玉店</t>
  </si>
  <si>
    <t>B157</t>
  </si>
  <si>
    <t>北市民權二店</t>
  </si>
  <si>
    <t>北市饒河店</t>
  </si>
  <si>
    <t>北市松華店</t>
  </si>
  <si>
    <t>苗縣頭軒店</t>
  </si>
  <si>
    <t>頭份興隆店</t>
  </si>
  <si>
    <t>北斗七星店</t>
  </si>
  <si>
    <t>北斗鎮</t>
  </si>
  <si>
    <t>溪州鄉</t>
  </si>
  <si>
    <t>麻豆麻口店</t>
  </si>
  <si>
    <t>麻豆區</t>
  </si>
  <si>
    <t>南縣麻庄店</t>
  </si>
  <si>
    <t>官田建業店</t>
  </si>
  <si>
    <t>官田區</t>
  </si>
  <si>
    <t>北市松康店</t>
  </si>
  <si>
    <t>北市松育店</t>
  </si>
  <si>
    <t>北市松遠店</t>
  </si>
  <si>
    <t>蘆洲蘆鑫店</t>
  </si>
  <si>
    <t>頭份得意店</t>
  </si>
  <si>
    <t>苗縣頭份二店</t>
  </si>
  <si>
    <t>G804</t>
  </si>
  <si>
    <t>豐原豐民店</t>
  </si>
  <si>
    <t>豐原區</t>
  </si>
  <si>
    <t>G808</t>
  </si>
  <si>
    <t>豐原豐商店</t>
  </si>
  <si>
    <t>玉井芒果店</t>
  </si>
  <si>
    <t>玉井區</t>
  </si>
  <si>
    <t>北市松清店</t>
  </si>
  <si>
    <t>北市松柏店</t>
  </si>
  <si>
    <t>北市寶德店</t>
  </si>
  <si>
    <t>蘆州區</t>
  </si>
  <si>
    <t>北縣蘆平店</t>
  </si>
  <si>
    <t>蘆洲祐誠店</t>
  </si>
  <si>
    <t>苗縣頭正店</t>
  </si>
  <si>
    <t>頭份斗煥店</t>
  </si>
  <si>
    <t>F992</t>
  </si>
  <si>
    <t>苗縣五谷店</t>
  </si>
  <si>
    <t>苗縣苗銅店</t>
  </si>
  <si>
    <t>銅鑼鄉</t>
  </si>
  <si>
    <t>新營交流道店</t>
  </si>
  <si>
    <t>松山撫遠店</t>
  </si>
  <si>
    <t>松山新聚店</t>
  </si>
  <si>
    <t>北縣八里店</t>
  </si>
  <si>
    <t>頭份精品店</t>
  </si>
  <si>
    <t>三峽紫微店</t>
  </si>
  <si>
    <t>三峽隆慶店</t>
  </si>
  <si>
    <t>三峽長泰店</t>
  </si>
  <si>
    <t>桃縣觀音店</t>
  </si>
  <si>
    <t>觀音區</t>
  </si>
  <si>
    <t>觀音二聖店</t>
  </si>
  <si>
    <t>桃縣桃鵬店</t>
  </si>
  <si>
    <t>豐原原成店</t>
  </si>
  <si>
    <t>豐原豐田店</t>
  </si>
  <si>
    <t>豐原三和店</t>
  </si>
  <si>
    <t>林園五塊厝店</t>
  </si>
  <si>
    <t>林園區</t>
  </si>
  <si>
    <t>林園建佑店</t>
  </si>
  <si>
    <t>高縣高林店</t>
  </si>
  <si>
    <t>三峽金牛角</t>
  </si>
  <si>
    <t>三峽尊龍店</t>
  </si>
  <si>
    <t>北市萬寧店</t>
  </si>
  <si>
    <t>板橋民仁店</t>
  </si>
  <si>
    <t>北縣寶翠店</t>
  </si>
  <si>
    <t>觀音菩薩店</t>
  </si>
  <si>
    <t>觀音草漯店</t>
  </si>
  <si>
    <t>豐原成興店</t>
  </si>
  <si>
    <t>豐原豐社店</t>
  </si>
  <si>
    <t>南投投喜店</t>
  </si>
  <si>
    <t>觀音長興店</t>
  </si>
  <si>
    <t>北市鑫梧店</t>
  </si>
  <si>
    <t>北市萬鑫店</t>
  </si>
  <si>
    <t>北市華德店</t>
  </si>
  <si>
    <t>北縣江翠店</t>
  </si>
  <si>
    <t>北縣板雙店</t>
  </si>
  <si>
    <t>觀音觀愛店</t>
  </si>
  <si>
    <t>觀音蓮花店</t>
  </si>
  <si>
    <t>桃縣觀坪店</t>
  </si>
  <si>
    <t>竹山南雲店</t>
  </si>
  <si>
    <t>竹山前山店</t>
  </si>
  <si>
    <t>南投投順店</t>
  </si>
  <si>
    <t>杉林大愛店</t>
  </si>
  <si>
    <t>杉林區</t>
  </si>
  <si>
    <t>美濃城門店</t>
  </si>
  <si>
    <t>美濃區</t>
  </si>
  <si>
    <t>北市民和店</t>
  </si>
  <si>
    <t>北市華園店</t>
  </si>
  <si>
    <t>北縣漢江店</t>
  </si>
  <si>
    <t>觀音青荷店</t>
  </si>
  <si>
    <t>觀音高潭店</t>
  </si>
  <si>
    <t>觀音紅糖店</t>
  </si>
  <si>
    <t>F825</t>
  </si>
  <si>
    <t>苗縣苑裡店</t>
  </si>
  <si>
    <t>屏東公裕店</t>
  </si>
  <si>
    <t>屏東水源店</t>
  </si>
  <si>
    <t>萬華環州店</t>
  </si>
  <si>
    <t>E119</t>
  </si>
  <si>
    <t>北市梧州店</t>
  </si>
  <si>
    <t>E968</t>
  </si>
  <si>
    <t>北市獅子林店</t>
  </si>
  <si>
    <t>北縣板成店</t>
  </si>
  <si>
    <t>北縣板莒店</t>
  </si>
  <si>
    <t>基隆百福店</t>
  </si>
  <si>
    <t>七堵區</t>
  </si>
  <si>
    <t>基隆家鄉店</t>
  </si>
  <si>
    <t>北縣板玉店</t>
  </si>
  <si>
    <t>新竹建中店</t>
  </si>
  <si>
    <t>新竹竹中店</t>
  </si>
  <si>
    <t>彰縣彰鳳店</t>
  </si>
  <si>
    <t>社頭鄉</t>
  </si>
  <si>
    <t>社頭清水岩店</t>
  </si>
  <si>
    <t>社頭樂活店</t>
  </si>
  <si>
    <t>潮州京洲店</t>
  </si>
  <si>
    <t>潮州鎮</t>
  </si>
  <si>
    <t>潮州永春店</t>
  </si>
  <si>
    <t>瑞芳瑞濱店</t>
  </si>
  <si>
    <t>瑞芳區</t>
  </si>
  <si>
    <t>北縣板雅店</t>
  </si>
  <si>
    <t>新竹五福店</t>
  </si>
  <si>
    <t>彰縣彰花店</t>
  </si>
  <si>
    <t>花壇彰員店</t>
  </si>
  <si>
    <t>萬丹香社店</t>
  </si>
  <si>
    <t>萬丹鄉</t>
  </si>
  <si>
    <t>屏東好豐年店</t>
  </si>
  <si>
    <t>屏東豐光店</t>
  </si>
  <si>
    <t>基隆風雲店</t>
  </si>
  <si>
    <t>基隆微笑店</t>
  </si>
  <si>
    <t>竹東榮昇店</t>
  </si>
  <si>
    <t>竹東巨星店</t>
  </si>
  <si>
    <t>竹東上坪店</t>
  </si>
  <si>
    <t>彰縣大方店</t>
  </si>
  <si>
    <t>員林山腳店</t>
  </si>
  <si>
    <t>彰縣彰百店</t>
  </si>
  <si>
    <t>屏東建欣店</t>
  </si>
  <si>
    <t>屏東崇朝店</t>
  </si>
  <si>
    <t>基隆七堵店</t>
  </si>
  <si>
    <t>基隆旭隆店</t>
  </si>
  <si>
    <t>基隆隆五店</t>
  </si>
  <si>
    <t>北縣板鑽店</t>
  </si>
  <si>
    <t>新竹南隘店</t>
  </si>
  <si>
    <t>竹縣富林店</t>
  </si>
  <si>
    <t>芎林鄉</t>
  </si>
  <si>
    <t>竹縣富裕店</t>
  </si>
  <si>
    <t>彰縣埔鹽店</t>
  </si>
  <si>
    <t>埔鹽鄉</t>
  </si>
  <si>
    <t>埤頭稻興店</t>
  </si>
  <si>
    <t>埤頭鄉</t>
  </si>
  <si>
    <t>彰縣彰鼎店</t>
  </si>
  <si>
    <t>內埔埔勝店</t>
  </si>
  <si>
    <t>內埔鄉</t>
  </si>
  <si>
    <t>屏縣屏瑋店</t>
  </si>
  <si>
    <t>北市試院店</t>
  </si>
  <si>
    <t>北縣莊國店</t>
  </si>
  <si>
    <t>新竹護城河</t>
  </si>
  <si>
    <t>桃縣桃奉店</t>
  </si>
  <si>
    <t>新屋區</t>
  </si>
  <si>
    <t>新屋芳華店</t>
  </si>
  <si>
    <t>彰縣鹿和店</t>
  </si>
  <si>
    <t>鹿港安定店</t>
  </si>
  <si>
    <t>新竹牛埔店</t>
  </si>
  <si>
    <t>芎林富山店</t>
  </si>
  <si>
    <t>宜蘭青蔥店</t>
  </si>
  <si>
    <t>三星鄉</t>
  </si>
  <si>
    <t>五結新洋店</t>
  </si>
  <si>
    <t>五結鄉</t>
  </si>
  <si>
    <t>北縣莊月店</t>
  </si>
  <si>
    <t>寶山不語店</t>
  </si>
  <si>
    <t>竹縣寶山店</t>
  </si>
  <si>
    <t>彰縣彰湖店</t>
  </si>
  <si>
    <t>彰化延和店</t>
  </si>
  <si>
    <t>彰縣線西店</t>
  </si>
  <si>
    <t>線西鄉</t>
  </si>
  <si>
    <t>大寮過溪店</t>
  </si>
  <si>
    <t>大樹荔枝店</t>
  </si>
  <si>
    <t>大樹區</t>
  </si>
  <si>
    <t>宜蘭陽明店</t>
  </si>
  <si>
    <t>宜蘭宜中店</t>
  </si>
  <si>
    <t>北縣福營店</t>
  </si>
  <si>
    <t>北縣新裕店</t>
  </si>
  <si>
    <t>桃縣西濱店</t>
  </si>
  <si>
    <t>桃縣桃濱店</t>
  </si>
  <si>
    <t>桃縣桃丹店</t>
  </si>
  <si>
    <t>中縣中幼店</t>
  </si>
  <si>
    <t>大甲區</t>
  </si>
  <si>
    <t>中縣中寶店</t>
  </si>
  <si>
    <t>中縣彈正店</t>
  </si>
  <si>
    <t>G961</t>
  </si>
  <si>
    <t>中縣大甲店</t>
  </si>
  <si>
    <t>高市亞路米店</t>
  </si>
  <si>
    <t>高市東林店</t>
  </si>
  <si>
    <t>頭城烏石店</t>
  </si>
  <si>
    <t>頭城鎮</t>
  </si>
  <si>
    <t>礁溪育龍店</t>
  </si>
  <si>
    <t>礁溪鄉</t>
  </si>
  <si>
    <t>新屋東明店</t>
  </si>
  <si>
    <t>新屋興旺店</t>
  </si>
  <si>
    <t>中縣中獅店</t>
  </si>
  <si>
    <t>大甲甲旺店</t>
  </si>
  <si>
    <t>G816</t>
  </si>
  <si>
    <t>中縣中華店</t>
  </si>
  <si>
    <t>仁武新德店</t>
  </si>
  <si>
    <t>仁武八卦寮</t>
  </si>
  <si>
    <t>宜蘭羅東店</t>
  </si>
  <si>
    <t>羅東鎮</t>
  </si>
  <si>
    <t>北縣五維店</t>
  </si>
  <si>
    <t>北縣五股店</t>
  </si>
  <si>
    <t>北縣五春店</t>
  </si>
  <si>
    <t>新屋水嶺店</t>
  </si>
  <si>
    <t>楊梅高嶺店</t>
  </si>
  <si>
    <t>楊梅上和店</t>
  </si>
  <si>
    <t>清水五權東店</t>
  </si>
  <si>
    <t>中縣中冠店</t>
  </si>
  <si>
    <t>后里甲后店</t>
  </si>
  <si>
    <t>橋頭棋琴店</t>
  </si>
  <si>
    <t>高縣岡本店</t>
  </si>
  <si>
    <t>北縣碇晨店</t>
  </si>
  <si>
    <t>石碇區</t>
  </si>
  <si>
    <t>深坑區</t>
  </si>
  <si>
    <t>新屋新華店</t>
  </si>
  <si>
    <t>桃縣楊福店</t>
  </si>
  <si>
    <t>桃縣桃花店</t>
  </si>
  <si>
    <t>石岡萬仙店</t>
  </si>
  <si>
    <t>石岡區</t>
  </si>
  <si>
    <t>高縣松陽店</t>
  </si>
  <si>
    <t>宜蘭公正店</t>
  </si>
  <si>
    <t>蘇澳龍祥店</t>
  </si>
  <si>
    <t>蘇澳鎮</t>
  </si>
  <si>
    <t>蘇澳馬賽庄</t>
  </si>
  <si>
    <t>楊梅老莊店</t>
  </si>
  <si>
    <t>楊梅高采店</t>
  </si>
  <si>
    <t>台中交轉店</t>
  </si>
  <si>
    <t>湖內大湖店</t>
  </si>
  <si>
    <t>湖內區</t>
  </si>
  <si>
    <t>高縣永新店</t>
  </si>
  <si>
    <t>永安區</t>
  </si>
  <si>
    <t>宜蘭南澳店</t>
  </si>
  <si>
    <t>蘇澳粉鳥林店</t>
  </si>
  <si>
    <t>宜蘭隘城店</t>
  </si>
  <si>
    <t>桃縣幼獅店</t>
  </si>
  <si>
    <t>楊梅楊梅店</t>
  </si>
  <si>
    <t>台中大坑口店</t>
  </si>
  <si>
    <t>台中同興店</t>
  </si>
  <si>
    <t>潭子談心店</t>
  </si>
  <si>
    <t>屏縣屏邊店</t>
  </si>
  <si>
    <t>林邊鄉</t>
  </si>
  <si>
    <t>東港海坪店</t>
  </si>
  <si>
    <t>東港鎮</t>
  </si>
  <si>
    <t>屏縣東港店</t>
  </si>
  <si>
    <t>北縣三埔店</t>
  </si>
  <si>
    <t>北市班客店</t>
  </si>
  <si>
    <t>桃縣桃獅店</t>
  </si>
  <si>
    <t>楊梅高獅店</t>
  </si>
  <si>
    <t>楊梅青新店</t>
  </si>
  <si>
    <t>草屯草鞋墩店</t>
  </si>
  <si>
    <t>南投投香店</t>
  </si>
  <si>
    <t>水里車埕店</t>
  </si>
  <si>
    <t>水里鄉</t>
  </si>
  <si>
    <t>屏縣屏欣店</t>
  </si>
  <si>
    <t>鹽埔鄉</t>
  </si>
  <si>
    <t>長治德協店</t>
  </si>
  <si>
    <t>北縣城吉店</t>
  </si>
  <si>
    <t>土城城隆店</t>
  </si>
  <si>
    <t>D633</t>
  </si>
  <si>
    <t>北縣頂埔店</t>
  </si>
  <si>
    <t>楊梅日光店</t>
  </si>
  <si>
    <t>楊梅映玥店</t>
  </si>
  <si>
    <t>楊梅青山店</t>
  </si>
  <si>
    <t>H848</t>
  </si>
  <si>
    <t>台中十甲東店</t>
  </si>
  <si>
    <t>土庫鎮</t>
  </si>
  <si>
    <t>雲縣雲發店</t>
  </si>
  <si>
    <t>大埤鄉</t>
  </si>
  <si>
    <t>屏東屏佳店</t>
  </si>
  <si>
    <t>屏東屏敬店</t>
  </si>
  <si>
    <t>萬巒教堂店</t>
  </si>
  <si>
    <t>文山景興店</t>
  </si>
  <si>
    <t>北市文武店</t>
  </si>
  <si>
    <t>北縣國美店</t>
  </si>
  <si>
    <t>北縣城士店</t>
  </si>
  <si>
    <t>桃縣桃富店</t>
  </si>
  <si>
    <t>北港黑金剛店</t>
  </si>
  <si>
    <t>北港鎮</t>
  </si>
  <si>
    <t>四湖飛沙村</t>
  </si>
  <si>
    <t>四湖鄉</t>
  </si>
  <si>
    <t>桃縣桃亞店</t>
  </si>
  <si>
    <t>桃縣桃慶店</t>
  </si>
  <si>
    <t>桃縣桃摩店</t>
  </si>
  <si>
    <t>楊梅吐氣店</t>
  </si>
  <si>
    <t>桃縣桃騰店</t>
  </si>
  <si>
    <t>M853</t>
  </si>
  <si>
    <t>斗六莊敬店</t>
  </si>
  <si>
    <t>斗六西平店</t>
  </si>
  <si>
    <t>斗六雲萬店</t>
  </si>
  <si>
    <t>斗六雲大店</t>
  </si>
  <si>
    <t>車城福興店</t>
  </si>
  <si>
    <t>車城鄉</t>
  </si>
  <si>
    <t>屏縣恆春店</t>
  </si>
  <si>
    <t>恆春鎮</t>
  </si>
  <si>
    <t>楊梅福羚店</t>
  </si>
  <si>
    <t>新竹創聯店</t>
  </si>
  <si>
    <t>斗六鑫雲霸店</t>
  </si>
  <si>
    <t>虎尾科學店</t>
  </si>
  <si>
    <t>虎尾頂溪店</t>
  </si>
  <si>
    <t>台南東環店</t>
  </si>
  <si>
    <t>楊梅新梅店</t>
  </si>
  <si>
    <t>桃縣頂湖店</t>
  </si>
  <si>
    <t>F883</t>
  </si>
  <si>
    <t>桃縣大崗店</t>
  </si>
  <si>
    <t>北縣米倉店</t>
  </si>
  <si>
    <t>桃縣楊湖店</t>
  </si>
  <si>
    <t>桃縣桃岡店</t>
  </si>
  <si>
    <t>虎尾若瑟店</t>
  </si>
  <si>
    <t>台南南德店</t>
  </si>
  <si>
    <t>台南南森店</t>
  </si>
  <si>
    <t>桃縣桃頌店</t>
  </si>
  <si>
    <t>淡水新市店</t>
  </si>
  <si>
    <t>F985</t>
  </si>
  <si>
    <t>桃縣龍潭二店</t>
  </si>
  <si>
    <t>F772</t>
  </si>
  <si>
    <t>桃縣龍潭店</t>
  </si>
  <si>
    <t>龍潭武中店</t>
  </si>
  <si>
    <t>雲縣雲鑽店</t>
  </si>
  <si>
    <t>崙背鄉</t>
  </si>
  <si>
    <t>雲縣雲鼎店</t>
  </si>
  <si>
    <t>台南翔新店</t>
  </si>
  <si>
    <t>台南南都店</t>
  </si>
  <si>
    <t>楊梅高欣店</t>
  </si>
  <si>
    <t>北市高院店</t>
  </si>
  <si>
    <t>A753</t>
  </si>
  <si>
    <t>北市開利店</t>
  </si>
  <si>
    <t>楊梅楊科店</t>
  </si>
  <si>
    <t>楊梅梅溪店</t>
  </si>
  <si>
    <t>麥寮麥田店</t>
  </si>
  <si>
    <t>麥寮鄉</t>
  </si>
  <si>
    <t>雲縣雲桐店</t>
  </si>
  <si>
    <t>莿桐鄉</t>
  </si>
  <si>
    <t>桃市桃仁店</t>
  </si>
  <si>
    <t>桃市桃都店</t>
  </si>
  <si>
    <t>桃市桃磐店</t>
  </si>
  <si>
    <t>桃市桃桐店</t>
  </si>
  <si>
    <t>F227</t>
  </si>
  <si>
    <t>平鎮高雙店</t>
  </si>
  <si>
    <t>平鎮大仁店</t>
  </si>
  <si>
    <t>平鎮桃圳店</t>
  </si>
  <si>
    <t>苗縣苗義店</t>
  </si>
  <si>
    <t>三義鄉</t>
  </si>
  <si>
    <t>南縣大潭店</t>
  </si>
  <si>
    <t>七股區</t>
  </si>
  <si>
    <t>仁德二仁店</t>
  </si>
  <si>
    <t>北門鹽福店</t>
  </si>
  <si>
    <t>北門區</t>
  </si>
  <si>
    <t>北市指南店</t>
  </si>
  <si>
    <t>桃市桃鼎店</t>
  </si>
  <si>
    <t>桃市桃昌店</t>
  </si>
  <si>
    <t>桃園國圳店</t>
  </si>
  <si>
    <t>平鎮平圳店</t>
  </si>
  <si>
    <t>平鎮平東店</t>
  </si>
  <si>
    <t>平鎮連峰店</t>
  </si>
  <si>
    <t>苗縣大富店</t>
  </si>
  <si>
    <t>大湖鄉</t>
  </si>
  <si>
    <t>台南成大城</t>
  </si>
  <si>
    <t>南市海安店</t>
  </si>
  <si>
    <t>台南南園店</t>
  </si>
  <si>
    <t>桃市桃恩店</t>
  </si>
  <si>
    <t>F785</t>
  </si>
  <si>
    <t>桃市文中店</t>
  </si>
  <si>
    <t>桃市桃版店</t>
  </si>
  <si>
    <t>桃園埔子店</t>
  </si>
  <si>
    <t>平鎮桃豐店</t>
  </si>
  <si>
    <t>平鎮豐收店</t>
  </si>
  <si>
    <t>平鎮湧豐店</t>
  </si>
  <si>
    <t>苗縣泰安店</t>
  </si>
  <si>
    <t>泰安鄉</t>
  </si>
  <si>
    <t>泰安清安店</t>
  </si>
  <si>
    <t>安南敦安店</t>
  </si>
  <si>
    <t>南化龍眼店</t>
  </si>
  <si>
    <t>南化區</t>
  </si>
  <si>
    <t>桃縣桃文店</t>
  </si>
  <si>
    <t>F760</t>
  </si>
  <si>
    <t>桃市三民二店</t>
  </si>
  <si>
    <t>桃園至善店</t>
  </si>
  <si>
    <t>F899</t>
  </si>
  <si>
    <t>桃市桃園店</t>
  </si>
  <si>
    <t>平鎮桃軍店</t>
  </si>
  <si>
    <t>平鎮新貴店</t>
  </si>
  <si>
    <t>平鎮桃爺店</t>
  </si>
  <si>
    <t>台南華文店</t>
  </si>
  <si>
    <t>台南新建店</t>
  </si>
  <si>
    <t>桃市桃法店</t>
  </si>
  <si>
    <t>F228</t>
  </si>
  <si>
    <t>桃市三民店</t>
  </si>
  <si>
    <t>平鎮富寶店</t>
  </si>
  <si>
    <t>平鎮南京店</t>
  </si>
  <si>
    <t>平鎮平南王</t>
  </si>
  <si>
    <t>桃市桃慧店</t>
  </si>
  <si>
    <t>桃市安慶店</t>
  </si>
  <si>
    <t>F976</t>
  </si>
  <si>
    <t>桃市大業店</t>
  </si>
  <si>
    <t>中壢桃合店</t>
  </si>
  <si>
    <t>中壢壢工店</t>
  </si>
  <si>
    <t>中壢合定店</t>
  </si>
  <si>
    <t>後壁頭前店</t>
  </si>
  <si>
    <t>後壁區</t>
  </si>
  <si>
    <t>將軍馬沙溝店</t>
  </si>
  <si>
    <t>楠西茄菝店</t>
  </si>
  <si>
    <t>楠西區</t>
  </si>
  <si>
    <t>桃市有寶店</t>
  </si>
  <si>
    <t>桃市桃慈店</t>
  </si>
  <si>
    <t>桃園慈安店</t>
  </si>
  <si>
    <t>桃市桃建店</t>
  </si>
  <si>
    <t>桃園大樹店</t>
  </si>
  <si>
    <t>F130</t>
  </si>
  <si>
    <t>中壢中山店</t>
  </si>
  <si>
    <t>中壢海華店</t>
  </si>
  <si>
    <t>中壢興國店</t>
  </si>
  <si>
    <t>歸仁武東店</t>
  </si>
  <si>
    <t>歸仁區</t>
  </si>
  <si>
    <t>枋寮東海店</t>
  </si>
  <si>
    <t>枋寮鄉</t>
  </si>
  <si>
    <t>八德桃鶯三店</t>
  </si>
  <si>
    <t>八德德萊店</t>
  </si>
  <si>
    <t>桃縣桃勇店</t>
  </si>
  <si>
    <t>蘆竹順興店</t>
  </si>
  <si>
    <t>中壢龍泉店</t>
  </si>
  <si>
    <t>中壢青埔店</t>
  </si>
  <si>
    <t>中壢洽溪店</t>
  </si>
  <si>
    <t>嘉義嘉業店</t>
  </si>
  <si>
    <t>P370</t>
  </si>
  <si>
    <t>嘉義義昌店</t>
  </si>
  <si>
    <t>桃市桃亨店</t>
  </si>
  <si>
    <t>八德德利店</t>
  </si>
  <si>
    <t>八德大和店</t>
  </si>
  <si>
    <t>F167</t>
  </si>
  <si>
    <t>中壢環北店</t>
  </si>
  <si>
    <t>中壢正神店</t>
  </si>
  <si>
    <t>F213</t>
  </si>
  <si>
    <t>中壢光中店</t>
  </si>
  <si>
    <t>嘉義嘉文店</t>
  </si>
  <si>
    <t>P382</t>
  </si>
  <si>
    <t>嘉義站前店</t>
  </si>
  <si>
    <t>八德桃夢店</t>
  </si>
  <si>
    <t>八德積福店</t>
  </si>
  <si>
    <t>八德桃壯店</t>
  </si>
  <si>
    <t>八德桃爾店</t>
  </si>
  <si>
    <t>關西威武店</t>
  </si>
  <si>
    <t>關西鎮</t>
  </si>
  <si>
    <t>白河美人店</t>
  </si>
  <si>
    <t>白河區</t>
  </si>
  <si>
    <t>白河聯訓店</t>
  </si>
  <si>
    <t>八德桃尊店</t>
  </si>
  <si>
    <t>八德麻園店</t>
  </si>
  <si>
    <t>八德桃鑽店</t>
  </si>
  <si>
    <t>F351</t>
  </si>
  <si>
    <t>中壢中正店</t>
  </si>
  <si>
    <t>中壢龍和店</t>
  </si>
  <si>
    <t>嘉義嘉體店</t>
  </si>
  <si>
    <t>嘉義吳鳳南店</t>
  </si>
  <si>
    <t>嘉縣大林店</t>
  </si>
  <si>
    <t>大林鎮</t>
  </si>
  <si>
    <t>八德廣興店</t>
  </si>
  <si>
    <t>八德御藏店</t>
  </si>
  <si>
    <t>八德桃德店</t>
  </si>
  <si>
    <t>八德霸氣店</t>
  </si>
  <si>
    <t>F983</t>
  </si>
  <si>
    <t>中壢工業店</t>
  </si>
  <si>
    <t>中壢桃田店</t>
  </si>
  <si>
    <t>中壢桃吉店</t>
  </si>
  <si>
    <t>嘉義忠孝北店</t>
  </si>
  <si>
    <t>嘉義啟園店</t>
  </si>
  <si>
    <t>高市港院店</t>
  </si>
  <si>
    <t>八德星晴店</t>
  </si>
  <si>
    <t>八德桃昂店</t>
  </si>
  <si>
    <t>八德玉元店</t>
  </si>
  <si>
    <t>八德德榮店</t>
  </si>
  <si>
    <t>中壢桃業店</t>
  </si>
  <si>
    <t>中壢桃雙店</t>
  </si>
  <si>
    <t>中壢桃茁店</t>
  </si>
  <si>
    <t>太保嘉太店</t>
  </si>
  <si>
    <t>太保市</t>
  </si>
  <si>
    <t>太保風鈴店</t>
  </si>
  <si>
    <t>太保前潭店</t>
  </si>
  <si>
    <t>桃縣桃子店</t>
  </si>
  <si>
    <t>中壢壢聖店</t>
  </si>
  <si>
    <t>中壢桃杰店</t>
  </si>
  <si>
    <t>布袋海運店</t>
  </si>
  <si>
    <t>布袋鎮</t>
  </si>
  <si>
    <t>民雄頭橋店</t>
  </si>
  <si>
    <t>桃縣桃山店</t>
  </si>
  <si>
    <t>桃縣桃安店</t>
  </si>
  <si>
    <t>大溪桂林店</t>
  </si>
  <si>
    <t>大溪龍門店</t>
  </si>
  <si>
    <t>桃縣南華店</t>
  </si>
  <si>
    <t>蘆竹藍星店</t>
  </si>
  <si>
    <t>中壢壢普店</t>
  </si>
  <si>
    <t>中壢壢榮店</t>
  </si>
  <si>
    <t>嘉縣嘉棹店</t>
  </si>
  <si>
    <t>竹崎鄉</t>
  </si>
  <si>
    <t>嘉縣嘉竹店</t>
  </si>
  <si>
    <t>東石農會店</t>
  </si>
  <si>
    <t>東石鄉</t>
  </si>
  <si>
    <t>桃縣桃福店</t>
  </si>
  <si>
    <t>桃縣桃錦店</t>
  </si>
  <si>
    <t>桃縣桃明店</t>
  </si>
  <si>
    <t>中壢壢秀店</t>
  </si>
  <si>
    <t>中壢聖德店</t>
  </si>
  <si>
    <t>民雄北勢子店</t>
  </si>
  <si>
    <t>朴子松梅店</t>
  </si>
  <si>
    <t>朴子市</t>
  </si>
  <si>
    <t>八德松柏林店</t>
  </si>
  <si>
    <t>中壢桃萱店</t>
  </si>
  <si>
    <t>桃縣桃工店</t>
  </si>
  <si>
    <t>蘆竹錦溪店</t>
  </si>
  <si>
    <t>中壢翔嘉店</t>
  </si>
  <si>
    <t>中壢愛琴店</t>
  </si>
  <si>
    <t>梅山梅花店</t>
  </si>
  <si>
    <t>嘉縣嘉梅店</t>
  </si>
  <si>
    <t>桃縣桃竹店</t>
  </si>
  <si>
    <t>中壢高正店</t>
  </si>
  <si>
    <t>中壢元氣店</t>
  </si>
  <si>
    <t>嘉縣嘉路店</t>
  </si>
  <si>
    <t>番路鄉</t>
  </si>
  <si>
    <t>番路雲海店</t>
  </si>
  <si>
    <t>嘉縣嘉月店</t>
  </si>
  <si>
    <t>新港鄉</t>
  </si>
  <si>
    <t>中壢慈惠店</t>
  </si>
  <si>
    <t>F169</t>
  </si>
  <si>
    <t>中壢永興店</t>
  </si>
  <si>
    <t>水上萬能店</t>
  </si>
  <si>
    <t>水上鄉</t>
  </si>
  <si>
    <t>水上志航店</t>
  </si>
  <si>
    <t>F355</t>
  </si>
  <si>
    <t>桃縣民生店</t>
  </si>
  <si>
    <t>大園區</t>
  </si>
  <si>
    <t>大園大盛店</t>
  </si>
  <si>
    <t>桃縣桃海店</t>
  </si>
  <si>
    <t>桃縣桃心店</t>
  </si>
  <si>
    <t>中壢桃威店</t>
  </si>
  <si>
    <t>中壢壢民店</t>
  </si>
  <si>
    <t>枋山鄉</t>
  </si>
  <si>
    <t>枋寮新開店</t>
  </si>
  <si>
    <t>大園中正東店</t>
  </si>
  <si>
    <t>桃縣桃邦店</t>
  </si>
  <si>
    <t>大園羽田店</t>
  </si>
  <si>
    <t>大園五青店</t>
  </si>
  <si>
    <t>中壢米干店</t>
  </si>
  <si>
    <t>中壢桃江店</t>
  </si>
  <si>
    <t>萬巒萬金店</t>
  </si>
  <si>
    <t>潮州驛站店</t>
  </si>
  <si>
    <t>桃縣海口店</t>
  </si>
  <si>
    <t>桃縣桃品店</t>
  </si>
  <si>
    <t>F624</t>
  </si>
  <si>
    <t>桃縣竹圍店</t>
  </si>
  <si>
    <t>中壢桃通店</t>
  </si>
  <si>
    <t>中壢星辰店</t>
  </si>
  <si>
    <t>嘉縣中坑二店</t>
  </si>
  <si>
    <t>嘉義國運店</t>
  </si>
  <si>
    <t>嘉縣中坑店</t>
  </si>
  <si>
    <t>F954</t>
  </si>
  <si>
    <t>桃縣大園二店</t>
  </si>
  <si>
    <t>大園飛翔店</t>
  </si>
  <si>
    <t>大園航運店</t>
  </si>
  <si>
    <t>F959</t>
  </si>
  <si>
    <t>桃縣大園三店</t>
  </si>
  <si>
    <t>苗縣君中店</t>
  </si>
  <si>
    <t>後龍德醫店</t>
  </si>
  <si>
    <t>新營南光店</t>
  </si>
  <si>
    <t>新化知義店</t>
  </si>
  <si>
    <t>八德桃定店</t>
  </si>
  <si>
    <t>桃縣桃正店</t>
  </si>
  <si>
    <t>大園湖畔店</t>
  </si>
  <si>
    <t>大園航道店</t>
  </si>
  <si>
    <t>尖石鄉</t>
  </si>
  <si>
    <t>尖石會來店</t>
  </si>
  <si>
    <t>台中興大店</t>
  </si>
  <si>
    <t>高市高工店</t>
  </si>
  <si>
    <t>鼓山明誠店</t>
  </si>
  <si>
    <t>大安新台大店</t>
  </si>
  <si>
    <t>大安學霸店</t>
  </si>
  <si>
    <t>北縣金陵店</t>
  </si>
  <si>
    <t>桃縣大介店</t>
  </si>
  <si>
    <t>大溪豆干店</t>
  </si>
  <si>
    <t>台中明德店</t>
  </si>
  <si>
    <t>高市新艦隊店</t>
  </si>
  <si>
    <t>大樹普門店</t>
  </si>
  <si>
    <t>大安台科大店</t>
  </si>
  <si>
    <t>大安人生店</t>
  </si>
  <si>
    <t>北縣豫章店</t>
  </si>
  <si>
    <t>北縣德霖店</t>
  </si>
  <si>
    <t>大溪高介店</t>
  </si>
  <si>
    <t>大溪慈湖店</t>
  </si>
  <si>
    <t>桃縣桃東店</t>
  </si>
  <si>
    <t>台中嶺東店</t>
  </si>
  <si>
    <t>台中鑫中臺店</t>
  </si>
  <si>
    <t>車城元寶店</t>
  </si>
  <si>
    <t>屏縣墾丁店</t>
  </si>
  <si>
    <t>北市北武店</t>
  </si>
  <si>
    <t>北市政戰店</t>
  </si>
  <si>
    <t>桃縣桃港店</t>
  </si>
  <si>
    <t>桃縣桃翁店</t>
  </si>
  <si>
    <t>桃縣桃魏店</t>
  </si>
  <si>
    <t>太平華中店</t>
  </si>
  <si>
    <t>潭子明藝店</t>
  </si>
  <si>
    <t>岡山飛鷹店</t>
  </si>
  <si>
    <t>高縣巨輪店</t>
  </si>
  <si>
    <t>左營碼頭店</t>
  </si>
  <si>
    <t>左營陸戰店</t>
  </si>
  <si>
    <t>北市101店</t>
  </si>
  <si>
    <t>信義首府店</t>
  </si>
  <si>
    <t>士林陽明店</t>
  </si>
  <si>
    <t>龍潭武林店</t>
  </si>
  <si>
    <t>大里中愛店</t>
  </si>
  <si>
    <t>桃縣桃亮店</t>
  </si>
  <si>
    <t>龍潭虎穴店</t>
  </si>
  <si>
    <t>大園A13店</t>
  </si>
  <si>
    <t>北市小貓熊店</t>
  </si>
  <si>
    <t>桃縣桃喜店</t>
  </si>
  <si>
    <t>大甲致用店</t>
  </si>
  <si>
    <t>豐原辰光店</t>
  </si>
  <si>
    <t>內埔屏科店</t>
  </si>
  <si>
    <t>屏東太陽城店</t>
  </si>
  <si>
    <t>屏東大學店</t>
  </si>
  <si>
    <t>北投北戰店</t>
  </si>
  <si>
    <t>北市護大店</t>
  </si>
  <si>
    <t>龍潭有間店</t>
  </si>
  <si>
    <t>桃縣桃夏店</t>
  </si>
  <si>
    <t>桃縣桃豪店</t>
  </si>
  <si>
    <t>台中僑光店</t>
  </si>
  <si>
    <t>大雅鑫泉店</t>
  </si>
  <si>
    <t>屏東屏榮店</t>
  </si>
  <si>
    <t>屏東空訓店</t>
  </si>
  <si>
    <t>高市康定店</t>
  </si>
  <si>
    <t>北市貓空店</t>
  </si>
  <si>
    <t>北市權湖店</t>
  </si>
  <si>
    <t>北市國防店</t>
  </si>
  <si>
    <t>北縣真理店</t>
  </si>
  <si>
    <t>淡水五虎崗店</t>
  </si>
  <si>
    <t>桃縣龍萊店</t>
  </si>
  <si>
    <t>龍潭聖亭店</t>
  </si>
  <si>
    <t>龍潭石門山店</t>
  </si>
  <si>
    <t>台中榮醫店</t>
  </si>
  <si>
    <t>屏東空軍店</t>
  </si>
  <si>
    <t>北市痴心店</t>
  </si>
  <si>
    <t>龍潭森之丘店</t>
  </si>
  <si>
    <t>桃縣龍吟店</t>
  </si>
  <si>
    <t>桃縣高原店</t>
  </si>
  <si>
    <t>台中榮總店</t>
  </si>
  <si>
    <t>新社龍騰店</t>
  </si>
  <si>
    <t>新社區</t>
  </si>
  <si>
    <t>大樹遊樂店</t>
  </si>
  <si>
    <t>大樹義大店</t>
  </si>
  <si>
    <t>阿蓮天山店</t>
  </si>
  <si>
    <t>阿蓮區</t>
  </si>
  <si>
    <t>北市政學店</t>
  </si>
  <si>
    <t>北市台大店</t>
  </si>
  <si>
    <t>北市正童店</t>
  </si>
  <si>
    <t>龍潭江湖店</t>
  </si>
  <si>
    <t>霧峰亞大店</t>
  </si>
  <si>
    <t>高市軍醫三店</t>
  </si>
  <si>
    <t>高市軍醫店</t>
  </si>
  <si>
    <t>石碇華梵店</t>
  </si>
  <si>
    <t>北縣汐科店</t>
  </si>
  <si>
    <t>北縣遠科店</t>
  </si>
  <si>
    <t>北市正台店</t>
  </si>
  <si>
    <t>北市司法店</t>
  </si>
  <si>
    <t>新竹元大店</t>
  </si>
  <si>
    <t>新竹玄奘店</t>
  </si>
  <si>
    <t>新竹竹華店</t>
  </si>
  <si>
    <t>台南尚美店</t>
  </si>
  <si>
    <t>台南德光店</t>
  </si>
  <si>
    <t>斗六雲科大</t>
  </si>
  <si>
    <t>斗六斗醫店</t>
  </si>
  <si>
    <t>北市士海店</t>
  </si>
  <si>
    <t>北市士大店</t>
  </si>
  <si>
    <t>桃縣桃怡店</t>
  </si>
  <si>
    <t>歸仁航特店</t>
  </si>
  <si>
    <t>歸仁航特二店</t>
  </si>
  <si>
    <t>虎尾虎醫店</t>
  </si>
  <si>
    <t>集集火車店</t>
  </si>
  <si>
    <t>集集鎮</t>
  </si>
  <si>
    <t>北市京站店</t>
  </si>
  <si>
    <t>湖口湖南店</t>
  </si>
  <si>
    <t>湖口湖北店</t>
  </si>
  <si>
    <t>湖口戰車店</t>
  </si>
  <si>
    <t>台南長中店</t>
  </si>
  <si>
    <t>高市高應大店</t>
  </si>
  <si>
    <t>苗縣車亭店</t>
  </si>
  <si>
    <t>北市大同店</t>
  </si>
  <si>
    <t>員山慧中店</t>
  </si>
  <si>
    <t>員山鄉</t>
  </si>
  <si>
    <t>中壢A18店</t>
  </si>
  <si>
    <t>中壢陸科店</t>
  </si>
  <si>
    <t>恆春大光店</t>
  </si>
  <si>
    <t>古坑鄉</t>
  </si>
  <si>
    <t>宜蘭礁溪店</t>
  </si>
  <si>
    <t>宜蘭佛光店</t>
  </si>
  <si>
    <t>北市京承店</t>
  </si>
  <si>
    <t>平鎮和中店</t>
  </si>
  <si>
    <t>平鎮好漢店</t>
  </si>
  <si>
    <t>平鎮勤學店</t>
  </si>
  <si>
    <t>屏縣屏海店</t>
  </si>
  <si>
    <t>三民千禧店</t>
  </si>
  <si>
    <t>高市文藻店</t>
  </si>
  <si>
    <t>大里立人店</t>
  </si>
  <si>
    <t>大里大明店</t>
  </si>
  <si>
    <t>高縣航院店</t>
  </si>
  <si>
    <t>高市海總店</t>
  </si>
  <si>
    <t>彰縣明苑店</t>
  </si>
  <si>
    <t>宜蘭新馬店</t>
  </si>
  <si>
    <t>蘇澳軍艦店</t>
  </si>
  <si>
    <t>八德和映店</t>
  </si>
  <si>
    <t>三星聖嘉民店</t>
  </si>
  <si>
    <t>五結傳中店</t>
  </si>
  <si>
    <t>桃市聲中店</t>
  </si>
  <si>
    <t>高市旗海店</t>
  </si>
  <si>
    <t>旗津區</t>
  </si>
  <si>
    <t>鳳山預校店</t>
  </si>
  <si>
    <t>宜蘭黃龍店</t>
  </si>
  <si>
    <t>新竹曙光店</t>
  </si>
  <si>
    <t>新竹竹蓉店</t>
  </si>
  <si>
    <t>新竹實中店</t>
  </si>
  <si>
    <t>鳳山黃埔店</t>
  </si>
  <si>
    <t>鳳山步校店</t>
  </si>
  <si>
    <t>員林鐵站店</t>
  </si>
  <si>
    <t>復興旺詮店</t>
  </si>
  <si>
    <t>復興區</t>
  </si>
  <si>
    <t>桃縣長院店</t>
  </si>
  <si>
    <t>鳳山南訓店</t>
  </si>
  <si>
    <t>燕巢工訓店</t>
  </si>
  <si>
    <t>竹北生醫店</t>
  </si>
  <si>
    <t>竹東東泰店</t>
  </si>
  <si>
    <t>彰化彰基一店</t>
  </si>
  <si>
    <t>彰化彰基二店</t>
  </si>
  <si>
    <t>彰化漢銘店</t>
  </si>
  <si>
    <t>員林員基店</t>
  </si>
  <si>
    <t>左營榮華店</t>
  </si>
  <si>
    <t>金湖鎮</t>
  </si>
  <si>
    <t>北市港醫店</t>
  </si>
  <si>
    <t>維修件數</t>
    <phoneticPr fontId="45" type="noConversion"/>
  </si>
  <si>
    <t>當區報修率</t>
    <phoneticPr fontId="45" type="noConversion"/>
  </si>
  <si>
    <t>全區報修率</t>
    <phoneticPr fontId="45" type="noConversion"/>
  </si>
  <si>
    <t>漢江</t>
    <phoneticPr fontId="45" type="noConversion"/>
  </si>
  <si>
    <t>換季區間</t>
    <phoneticPr fontId="45" type="noConversion"/>
  </si>
  <si>
    <t>換季資料</t>
    <phoneticPr fontId="4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</si>
</sst>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yyyy\-mm\-dd"/>
    <numFmt numFmtId="178" formatCode="[&gt;99999999]0000\-000\-000;000\-000\-000"/>
  </numFmts>
  <fonts count="103">
    <font>
      <sz val="12"/>
      <color theme="1"/>
      <name val="Calibri"/>
      <scheme val="minor"/>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b/>
      <sz val="12"/>
      <color rgb="FF000000"/>
      <name val="Microsoft JhengHei"/>
      <family val="2"/>
      <charset val="136"/>
    </font>
    <font>
      <sz val="12"/>
      <color theme="1"/>
      <name val="Microsoft JhengHei"/>
      <family val="2"/>
      <charset val="136"/>
    </font>
    <font>
      <sz val="12"/>
      <color theme="1"/>
      <name val="PMingLiu"/>
      <family val="1"/>
      <charset val="136"/>
    </font>
    <font>
      <sz val="12"/>
      <color theme="1"/>
      <name val="Calibri"/>
      <family val="2"/>
    </font>
    <font>
      <b/>
      <sz val="12"/>
      <color theme="1"/>
      <name val="Microsoft JhengHei"/>
      <family val="2"/>
      <charset val="136"/>
    </font>
    <font>
      <b/>
      <sz val="12"/>
      <color theme="1"/>
      <name val="PMingLiu"/>
      <family val="1"/>
      <charset val="136"/>
    </font>
    <font>
      <sz val="12"/>
      <name val="Calibri"/>
      <family val="2"/>
    </font>
    <font>
      <sz val="10"/>
      <color theme="1"/>
      <name val="Trebuchet MS"/>
      <family val="2"/>
    </font>
    <font>
      <strike/>
      <sz val="10"/>
      <color rgb="FFFF0000"/>
      <name val="Trebuchet MS"/>
      <family val="2"/>
    </font>
    <font>
      <strike/>
      <sz val="10"/>
      <color rgb="FF0070C0"/>
      <name val="Trebuchet MS"/>
      <family val="2"/>
    </font>
    <font>
      <sz val="11"/>
      <color theme="1"/>
      <name val="微軟正黑體"/>
      <family val="2"/>
      <charset val="136"/>
    </font>
    <font>
      <sz val="9"/>
      <name val="Calibri"/>
      <family val="3"/>
      <charset val="136"/>
      <scheme val="minor"/>
    </font>
    <font>
      <sz val="12"/>
      <color rgb="FF000000"/>
      <name val="微軟正黑體"/>
      <family val="2"/>
      <charset val="136"/>
    </font>
    <font>
      <sz val="12"/>
      <name val="新細明體"/>
      <family val="1"/>
      <charset val="136"/>
    </font>
    <font>
      <sz val="10"/>
      <name val="微軟正黑體"/>
      <family val="2"/>
      <charset val="136"/>
    </font>
    <font>
      <u/>
      <sz val="12"/>
      <color indexed="12"/>
      <name val="Times New Roman"/>
      <family val="1"/>
    </font>
    <font>
      <sz val="12"/>
      <name val="Times New Roman"/>
      <family val="1"/>
    </font>
    <font>
      <sz val="11"/>
      <color theme="1"/>
      <name val="Calibri"/>
      <family val="2"/>
      <scheme val="minor"/>
    </font>
    <font>
      <sz val="12"/>
      <color theme="1"/>
      <name val="Calibri"/>
      <family val="2"/>
      <scheme val="minor"/>
    </font>
    <font>
      <b/>
      <sz val="12"/>
      <color theme="1"/>
      <name val="微軟正黑體"/>
      <family val="2"/>
      <charset val="136"/>
    </font>
    <font>
      <b/>
      <sz val="12"/>
      <color rgb="FF000000"/>
      <name val="新細明體"/>
      <family val="1"/>
      <charset val="136"/>
    </font>
    <font>
      <b/>
      <sz val="11"/>
      <color theme="1"/>
      <name val="微軟正黑體"/>
      <family val="2"/>
      <charset val="136"/>
    </font>
    <font>
      <sz val="9"/>
      <color theme="1"/>
      <name val="微軟正黑體"/>
      <family val="2"/>
      <charset val="136"/>
    </font>
    <font>
      <sz val="9"/>
      <color theme="2" tint="-0.499984740745262"/>
      <name val="微軟正黑體"/>
      <family val="2"/>
      <charset val="136"/>
    </font>
    <font>
      <b/>
      <sz val="12"/>
      <color rgb="FFFF0000"/>
      <name val="微軟正黑體"/>
      <family val="2"/>
      <charset val="136"/>
    </font>
    <font>
      <sz val="12"/>
      <color theme="1"/>
      <name val="Calibri"/>
      <family val="2"/>
      <charset val="136"/>
      <scheme val="minor"/>
    </font>
    <font>
      <b/>
      <sz val="14"/>
      <color theme="1"/>
      <name val="Calibri"/>
      <family val="1"/>
      <charset val="136"/>
      <scheme val="minor"/>
    </font>
    <font>
      <b/>
      <sz val="12"/>
      <color theme="1"/>
      <name val="Calibri"/>
      <family val="1"/>
      <charset val="136"/>
      <scheme val="minor"/>
    </font>
    <font>
      <b/>
      <sz val="12"/>
      <color rgb="FFFF0000"/>
      <name val="Calibri"/>
      <family val="1"/>
      <charset val="136"/>
      <scheme val="minor"/>
    </font>
    <font>
      <sz val="12"/>
      <name val="微軟正黑體"/>
      <family val="2"/>
      <charset val="136"/>
    </font>
    <font>
      <sz val="12"/>
      <color theme="1"/>
      <name val="Calibri"/>
      <family val="1"/>
      <charset val="136"/>
      <scheme val="minor"/>
    </font>
    <font>
      <sz val="11"/>
      <name val="ＭＳ Ｐゴシック"/>
      <family val="3"/>
      <charset val="128"/>
    </font>
    <font>
      <sz val="11"/>
      <name val="Arial"/>
      <family val="2"/>
    </font>
    <font>
      <sz val="12"/>
      <name val="Calibri"/>
      <family val="1"/>
      <charset val="136"/>
      <scheme val="minor"/>
    </font>
    <font>
      <strike/>
      <sz val="11"/>
      <color rgb="FFFF0000"/>
      <name val="Calibri"/>
      <family val="1"/>
      <charset val="136"/>
      <scheme val="minor"/>
    </font>
    <font>
      <strike/>
      <sz val="12"/>
      <color rgb="FFFF0000"/>
      <name val="Calibri"/>
      <family val="1"/>
      <charset val="136"/>
      <scheme val="minor"/>
    </font>
    <font>
      <sz val="11"/>
      <name val="Arial"/>
      <family val="2"/>
      <charset val="136"/>
    </font>
    <font>
      <sz val="11"/>
      <name val="細明體"/>
      <family val="2"/>
      <charset val="136"/>
    </font>
    <font>
      <b/>
      <sz val="11"/>
      <color theme="1"/>
      <name val="Calibri"/>
      <family val="1"/>
      <charset val="136"/>
      <scheme val="minor"/>
    </font>
    <font>
      <sz val="10"/>
      <color theme="1"/>
      <name val="微軟正黑體"/>
      <family val="2"/>
      <charset val="136"/>
    </font>
    <font>
      <sz val="10"/>
      <color theme="1"/>
      <name val="Trebuchet MS"/>
      <family val="2"/>
      <charset val="136"/>
    </font>
    <font>
      <sz val="12"/>
      <color theme="1"/>
      <name val="Calibri"/>
      <family val="2"/>
      <charset val="136"/>
    </font>
    <font>
      <sz val="12"/>
      <color theme="1"/>
      <name val="Microsoft JhengHei UI"/>
      <family val="2"/>
      <charset val="136"/>
    </font>
    <font>
      <sz val="12"/>
      <color rgb="FFFF0000"/>
      <name val="Calibri"/>
      <family val="2"/>
      <scheme val="minor"/>
    </font>
    <font>
      <sz val="8"/>
      <color rgb="FFFF0000"/>
      <name val="微軟正黑體"/>
      <family val="2"/>
      <charset val="136"/>
    </font>
    <font>
      <b/>
      <sz val="8"/>
      <color theme="1"/>
      <name val="微軟正黑體"/>
      <family val="2"/>
      <charset val="136"/>
    </font>
    <font>
      <sz val="8"/>
      <color theme="1"/>
      <name val="微軟正黑體"/>
      <family val="2"/>
      <charset val="136"/>
    </font>
    <font>
      <sz val="14"/>
      <color theme="1"/>
      <name val="微軟正黑體"/>
      <family val="2"/>
      <charset val="136"/>
    </font>
    <font>
      <b/>
      <sz val="16"/>
      <color rgb="FFFF0000"/>
      <name val="微軟正黑體"/>
      <family val="2"/>
      <charset val="136"/>
    </font>
    <font>
      <b/>
      <sz val="9"/>
      <color theme="1"/>
      <name val="Microsoft JhengHei"/>
      <family val="2"/>
      <charset val="136"/>
    </font>
    <font>
      <b/>
      <sz val="12"/>
      <color theme="1"/>
      <name val="Calibri"/>
      <family val="2"/>
      <scheme val="minor"/>
    </font>
    <font>
      <b/>
      <sz val="9"/>
      <color theme="1"/>
      <name val="PMingLiu"/>
      <family val="1"/>
      <charset val="136"/>
    </font>
    <font>
      <sz val="7"/>
      <color rgb="FF013283"/>
      <name val="Meiryo"/>
      <family val="2"/>
      <charset val="128"/>
    </font>
    <font>
      <sz val="7"/>
      <color rgb="FF282828"/>
      <name val="Meiryo"/>
      <family val="2"/>
      <charset val="128"/>
    </font>
    <font>
      <sz val="12"/>
      <color rgb="FFFF0000"/>
      <name val="微軟正黑體"/>
      <family val="2"/>
      <charset val="136"/>
    </font>
    <font>
      <b/>
      <sz val="11"/>
      <name val="微軟正黑體"/>
      <family val="2"/>
      <charset val="136"/>
    </font>
    <font>
      <sz val="11"/>
      <color theme="1"/>
      <name val="細明體"/>
      <family val="2"/>
      <charset val="136"/>
    </font>
    <font>
      <sz val="11"/>
      <color theme="1"/>
      <name val="Calibri"/>
      <family val="2"/>
      <charset val="136"/>
    </font>
    <font>
      <sz val="11"/>
      <color rgb="FFFF0000"/>
      <name val="微軟正黑體"/>
      <family val="2"/>
      <charset val="136"/>
    </font>
    <font>
      <sz val="11"/>
      <color indexed="8"/>
      <name val="微軟正黑體"/>
      <family val="2"/>
      <charset val="136"/>
    </font>
    <font>
      <b/>
      <sz val="10"/>
      <name val="微軟正黑體"/>
      <family val="2"/>
      <charset val="136"/>
    </font>
    <font>
      <sz val="10"/>
      <color rgb="FF374151"/>
      <name val="微軟正黑體"/>
      <family val="2"/>
      <charset val="136"/>
    </font>
    <font>
      <sz val="10"/>
      <color rgb="FFFF0000"/>
      <name val="微軟正黑體"/>
      <family val="2"/>
      <charset val="136"/>
    </font>
    <font>
      <b/>
      <sz val="12"/>
      <name val="微軟正黑體"/>
      <family val="2"/>
      <charset val="136"/>
    </font>
    <font>
      <sz val="12"/>
      <color theme="1"/>
      <name val="細明體"/>
      <family val="2"/>
      <charset val="136"/>
    </font>
    <font>
      <sz val="9"/>
      <color theme="1" tint="0.34998626667073579"/>
      <name val="微軟正黑體"/>
      <family val="2"/>
      <charset val="136"/>
    </font>
    <font>
      <sz val="10"/>
      <name val="Segoe UI"/>
      <family val="2"/>
    </font>
    <font>
      <b/>
      <sz val="10"/>
      <name val="Segoe UI"/>
      <family val="2"/>
    </font>
    <font>
      <sz val="10"/>
      <color theme="1"/>
      <name val="Calibri"/>
      <family val="2"/>
      <scheme val="minor"/>
    </font>
  </fonts>
  <fills count="38">
    <fill>
      <patternFill patternType="none"/>
    </fill>
    <fill>
      <patternFill patternType="gray125"/>
    </fill>
    <fill>
      <patternFill patternType="solid">
        <fgColor rgb="FFCCFFCC"/>
        <bgColor rgb="FFCCFFCC"/>
      </patternFill>
    </fill>
    <fill>
      <patternFill patternType="solid">
        <fgColor rgb="FFFEF2CB"/>
        <bgColor rgb="FFFEF2CB"/>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79998168889431442"/>
        <bgColor rgb="FFE2EFD9"/>
      </patternFill>
    </fill>
    <fill>
      <patternFill patternType="solid">
        <fgColor theme="9" tint="0.79998168889431442"/>
        <bgColor indexed="64"/>
      </patternFill>
    </fill>
    <fill>
      <patternFill patternType="solid">
        <fgColor rgb="FFEBEBEB"/>
        <bgColor rgb="FF000000"/>
      </patternFill>
    </fill>
    <fill>
      <patternFill patternType="solid">
        <fgColor rgb="FFE3E8FB"/>
        <bgColor rgb="FF000000"/>
      </patternFill>
    </fill>
    <fill>
      <patternFill patternType="solid">
        <fgColor theme="5" tint="0.79998168889431442"/>
        <bgColor indexed="64"/>
      </patternFill>
    </fill>
    <fill>
      <patternFill patternType="solid">
        <fgColor theme="7" tint="0.59999389629810485"/>
        <bgColor rgb="FFFEF2CB"/>
      </patternFill>
    </fill>
    <fill>
      <patternFill patternType="solid">
        <fgColor theme="7" tint="0.59999389629810485"/>
        <bgColor indexed="64"/>
      </patternFill>
    </fill>
    <fill>
      <patternFill patternType="solid">
        <fgColor theme="5" tint="0.59999389629810485"/>
        <bgColor rgb="FFCCFFCC"/>
      </patternFill>
    </fill>
    <fill>
      <patternFill patternType="solid">
        <fgColor theme="0" tint="-0.14999847407452621"/>
        <bgColor indexed="64"/>
      </patternFill>
    </fill>
    <fill>
      <patternFill patternType="solid">
        <fgColor theme="7"/>
        <bgColor indexed="64"/>
      </patternFill>
    </fill>
    <fill>
      <patternFill patternType="solid">
        <fgColor theme="7" tint="0.79998168889431442"/>
        <bgColor rgb="FF000000"/>
      </patternFill>
    </fill>
    <fill>
      <patternFill patternType="solid">
        <fgColor theme="4" tint="0.79998168889431442"/>
        <bgColor indexed="64"/>
      </patternFill>
    </fill>
    <fill>
      <patternFill patternType="solid">
        <fgColor theme="7" tint="0.79998168889431442"/>
        <bgColor rgb="FFD8D8D8"/>
      </patternFill>
    </fill>
    <fill>
      <patternFill patternType="solid">
        <fgColor theme="7" tint="0.79998168889431442"/>
        <bgColor rgb="FFF4CCCC"/>
      </patternFill>
    </fill>
    <fill>
      <patternFill patternType="solid">
        <fgColor theme="2"/>
        <bgColor indexed="64"/>
      </patternFill>
    </fill>
    <fill>
      <patternFill patternType="solid">
        <fgColor theme="4" tint="0.79998168889431442"/>
        <bgColor rgb="FF000000"/>
      </patternFill>
    </fill>
    <fill>
      <patternFill patternType="solid">
        <fgColor theme="0"/>
        <bgColor indexed="64"/>
      </patternFill>
    </fill>
    <fill>
      <patternFill patternType="solid">
        <fgColor rgb="FFCCFFCC"/>
        <bgColor indexed="64"/>
      </patternFill>
    </fill>
    <fill>
      <patternFill patternType="solid">
        <fgColor theme="7" tint="0.79998168889431442"/>
        <bgColor rgb="FFFEF2CB"/>
      </patternFill>
    </fill>
    <fill>
      <patternFill patternType="solid">
        <fgColor theme="7" tint="0.59999389629810485"/>
        <bgColor rgb="FFCCFFCC"/>
      </patternFill>
    </fill>
    <fill>
      <patternFill patternType="solid">
        <fgColor theme="8" tint="0.59999389629810485"/>
        <bgColor indexed="64"/>
      </patternFill>
    </fill>
    <fill>
      <patternFill patternType="solid">
        <fgColor theme="8" tint="0.59999389629810485"/>
        <bgColor rgb="FFCCFFCC"/>
      </patternFill>
    </fill>
    <fill>
      <patternFill patternType="solid">
        <fgColor theme="8"/>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rgb="FFFFFF00"/>
        <bgColor indexed="64"/>
      </patternFill>
    </fill>
    <fill>
      <patternFill patternType="solid">
        <fgColor theme="7" tint="0.39997558519241921"/>
        <bgColor rgb="FFFEF2CB"/>
      </patternFill>
    </fill>
    <fill>
      <patternFill patternType="solid">
        <fgColor theme="7" tint="0.59999389629810485"/>
        <bgColor rgb="FFD8D8D8"/>
      </patternFill>
    </fill>
    <fill>
      <patternFill patternType="solid">
        <fgColor theme="8" tint="0.79998168889431442"/>
        <bgColor rgb="FFFEF2CB"/>
      </patternFill>
    </fill>
    <fill>
      <patternFill patternType="solid">
        <fgColor theme="9" tint="0.59999389629810485"/>
        <bgColor indexed="64"/>
      </patternFill>
    </fill>
    <fill>
      <patternFill patternType="solid">
        <fgColor theme="5" tint="0.59999389629810485"/>
        <bgColor indexed="64"/>
      </patternFill>
    </fill>
    <fill>
      <patternFill patternType="solid">
        <fgColor theme="2" tint="-4.9989318521683403E-2"/>
        <bgColor indexed="64"/>
      </patternFill>
    </fill>
  </fills>
  <borders count="3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style="thin">
        <color rgb="FF000000"/>
      </bottom>
      <diagonal/>
    </border>
    <border>
      <left style="thin">
        <color indexed="64"/>
      </left>
      <right style="thin">
        <color rgb="FF000000"/>
      </right>
      <top/>
      <bottom/>
      <diagonal/>
    </border>
    <border>
      <left style="thin">
        <color indexed="64"/>
      </left>
      <right/>
      <top style="thin">
        <color indexed="64"/>
      </top>
      <bottom/>
      <diagonal/>
    </border>
    <border>
      <left style="thin">
        <color rgb="FF000000"/>
      </left>
      <right style="thin">
        <color rgb="FF000000"/>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
      <left style="thin">
        <color rgb="FF000000"/>
      </left>
      <right style="thin">
        <color rgb="FF000000"/>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74BBF1"/>
      </left>
      <right style="medium">
        <color rgb="FF74BBF1"/>
      </right>
      <top style="medium">
        <color rgb="FF74BBF1"/>
      </top>
      <bottom style="medium">
        <color rgb="FF74BBF1"/>
      </bottom>
      <diagonal/>
    </border>
    <border>
      <left/>
      <right/>
      <top style="medium">
        <color rgb="FFA8CFE6"/>
      </top>
      <bottom style="medium">
        <color rgb="FFA8CFE6"/>
      </bottom>
      <diagonal/>
    </border>
    <border>
      <left/>
      <right style="medium">
        <color rgb="FFA8CFE6"/>
      </right>
      <top style="medium">
        <color rgb="FFA8CFE6"/>
      </top>
      <bottom style="medium">
        <color rgb="FFA8CFE6"/>
      </bottom>
      <diagonal/>
    </border>
    <border>
      <left style="thin">
        <color rgb="FF000000"/>
      </left>
      <right/>
      <top style="thin">
        <color rgb="FF000000"/>
      </top>
      <bottom/>
      <diagonal/>
    </border>
    <border>
      <left style="medium">
        <color rgb="FF74BBF1"/>
      </left>
      <right style="medium">
        <color rgb="FFA8CFE6"/>
      </right>
      <top style="medium">
        <color rgb="FFA8CFE6"/>
      </top>
      <bottom style="medium">
        <color rgb="FFA8CFE6"/>
      </bottom>
      <diagonal/>
    </border>
    <border>
      <left style="thin">
        <color rgb="FF000000"/>
      </left>
      <right style="thin">
        <color rgb="FF000000"/>
      </right>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diagonal/>
    </border>
    <border>
      <left/>
      <right style="thin">
        <color indexed="64"/>
      </right>
      <top/>
      <bottom/>
      <diagonal/>
    </border>
  </borders>
  <cellStyleXfs count="26">
    <xf numFmtId="0" fontId="0" fillId="0" borderId="2"/>
    <xf numFmtId="0" fontId="47" fillId="0" borderId="2"/>
    <xf numFmtId="0" fontId="49" fillId="0" borderId="2">
      <alignment vertical="top"/>
      <protection locked="0"/>
    </xf>
    <xf numFmtId="0" fontId="50" fillId="0" borderId="2"/>
    <xf numFmtId="0" fontId="50" fillId="0" borderId="2"/>
    <xf numFmtId="9" fontId="40" fillId="0" borderId="2">
      <alignment vertical="center"/>
    </xf>
    <xf numFmtId="0" fontId="33" fillId="0" borderId="2">
      <alignment vertical="center"/>
    </xf>
    <xf numFmtId="0" fontId="47" fillId="0" borderId="2">
      <alignment vertical="center"/>
    </xf>
    <xf numFmtId="0" fontId="47" fillId="0" borderId="2"/>
    <xf numFmtId="0" fontId="51" fillId="0" borderId="2"/>
    <xf numFmtId="9" fontId="50" fillId="0" borderId="2">
      <alignment vertical="center"/>
    </xf>
    <xf numFmtId="0" fontId="47" fillId="0" borderId="2"/>
    <xf numFmtId="9" fontId="47" fillId="0" borderId="2">
      <alignment vertical="center"/>
    </xf>
    <xf numFmtId="0" fontId="50" fillId="0" borderId="2"/>
    <xf numFmtId="9" fontId="52" fillId="0" borderId="2">
      <alignment vertical="center"/>
    </xf>
    <xf numFmtId="0" fontId="59" fillId="0" borderId="2">
      <alignment vertical="center"/>
    </xf>
    <xf numFmtId="0" fontId="65" fillId="0" borderId="2"/>
    <xf numFmtId="0" fontId="47" fillId="0" borderId="2">
      <alignment vertical="center"/>
    </xf>
    <xf numFmtId="0" fontId="33" fillId="0" borderId="2">
      <alignment vertical="center"/>
    </xf>
    <xf numFmtId="0" fontId="59" fillId="0" borderId="2">
      <alignment vertical="center"/>
    </xf>
    <xf numFmtId="0" fontId="59" fillId="0" borderId="2">
      <alignment vertical="center"/>
    </xf>
    <xf numFmtId="0" fontId="33" fillId="0" borderId="2">
      <alignment vertical="center"/>
    </xf>
    <xf numFmtId="0" fontId="33" fillId="0" borderId="2">
      <alignment vertical="center"/>
    </xf>
    <xf numFmtId="0" fontId="74" fillId="0" borderId="2">
      <alignment vertical="center"/>
    </xf>
    <xf numFmtId="0" fontId="64" fillId="0" borderId="2"/>
    <xf numFmtId="0" fontId="33" fillId="0" borderId="2">
      <alignment vertical="center"/>
    </xf>
  </cellStyleXfs>
  <cellXfs count="479">
    <xf numFmtId="0" fontId="0" fillId="0" borderId="0" xfId="0" applyBorder="1" applyAlignment="1">
      <alignment vertical="center"/>
    </xf>
    <xf numFmtId="0" fontId="35" fillId="0" borderId="0" xfId="0" applyFont="1" applyBorder="1" applyAlignment="1">
      <alignment vertical="center"/>
    </xf>
    <xf numFmtId="0" fontId="48" fillId="0" borderId="2" xfId="1" applyFont="1" applyAlignment="1">
      <alignment horizontal="center" vertical="center"/>
    </xf>
    <xf numFmtId="0" fontId="48" fillId="0" borderId="2" xfId="2" applyFont="1" applyAlignment="1" applyProtection="1">
      <alignment horizontal="center" vertical="center"/>
    </xf>
    <xf numFmtId="0" fontId="48" fillId="0" borderId="2" xfId="1" applyFont="1" applyAlignment="1">
      <alignment horizontal="left" vertical="center"/>
    </xf>
    <xf numFmtId="0" fontId="48" fillId="0" borderId="2" xfId="1" applyFont="1" applyAlignment="1">
      <alignment vertical="center"/>
    </xf>
    <xf numFmtId="0" fontId="48" fillId="0" borderId="2" xfId="7" applyFont="1" applyAlignment="1">
      <alignment horizontal="center" vertical="center"/>
    </xf>
    <xf numFmtId="0" fontId="54" fillId="8" borderId="1" xfId="0" applyFont="1" applyFill="1" applyBorder="1" applyAlignment="1">
      <alignment horizontal="center" vertical="center" wrapText="1"/>
    </xf>
    <xf numFmtId="0" fontId="0" fillId="9" borderId="1" xfId="0" applyFill="1" applyBorder="1" applyAlignment="1">
      <alignment horizontal="center" vertical="center"/>
    </xf>
    <xf numFmtId="0" fontId="0" fillId="9" borderId="1" xfId="0" applyFill="1" applyBorder="1" applyAlignment="1">
      <alignment horizontal="left" vertical="center"/>
    </xf>
    <xf numFmtId="0" fontId="0" fillId="9" borderId="1" xfId="0" applyFill="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55" fillId="4" borderId="10" xfId="9" applyFont="1" applyFill="1" applyBorder="1" applyAlignment="1">
      <alignment vertical="center"/>
    </xf>
    <xf numFmtId="0" fontId="55" fillId="4" borderId="13" xfId="9" applyFont="1" applyFill="1" applyBorder="1" applyAlignment="1">
      <alignment horizontal="left" vertical="center"/>
    </xf>
    <xf numFmtId="0" fontId="55" fillId="4" borderId="13" xfId="9" applyFont="1" applyFill="1" applyBorder="1" applyAlignment="1">
      <alignment vertical="center"/>
    </xf>
    <xf numFmtId="0" fontId="55" fillId="4" borderId="15" xfId="9" applyFont="1" applyFill="1" applyBorder="1" applyAlignment="1">
      <alignment vertical="center"/>
    </xf>
    <xf numFmtId="0" fontId="44" fillId="0" borderId="2" xfId="9" applyFont="1"/>
    <xf numFmtId="0" fontId="44" fillId="4" borderId="16" xfId="9" applyFont="1" applyFill="1" applyBorder="1" applyAlignment="1">
      <alignment horizontal="center" vertical="center"/>
    </xf>
    <xf numFmtId="0" fontId="44" fillId="4" borderId="8" xfId="9" applyFont="1" applyFill="1" applyBorder="1" applyAlignment="1">
      <alignment horizontal="left" vertical="center"/>
    </xf>
    <xf numFmtId="0" fontId="44" fillId="4" borderId="8" xfId="9" applyFont="1" applyFill="1" applyBorder="1" applyAlignment="1">
      <alignment horizontal="center" vertical="center"/>
    </xf>
    <xf numFmtId="14" fontId="44" fillId="4" borderId="17" xfId="9" applyNumberFormat="1" applyFont="1" applyFill="1" applyBorder="1" applyAlignment="1">
      <alignment horizontal="center" vertical="center"/>
    </xf>
    <xf numFmtId="0" fontId="44" fillId="0" borderId="2" xfId="9" applyFont="1" applyAlignment="1">
      <alignment horizontal="center" vertical="center"/>
    </xf>
    <xf numFmtId="0" fontId="44" fillId="0" borderId="2" xfId="9" applyFont="1" applyAlignment="1">
      <alignment horizontal="left" vertical="center"/>
    </xf>
    <xf numFmtId="14" fontId="44" fillId="0" borderId="2" xfId="9" applyNumberFormat="1" applyFont="1" applyAlignment="1">
      <alignment horizontal="center" vertical="center"/>
    </xf>
    <xf numFmtId="0" fontId="44" fillId="4" borderId="10" xfId="9" applyFont="1" applyFill="1" applyBorder="1" applyAlignment="1">
      <alignment horizontal="center" vertical="center"/>
    </xf>
    <xf numFmtId="0" fontId="44" fillId="4" borderId="13" xfId="9" applyFont="1" applyFill="1" applyBorder="1" applyAlignment="1">
      <alignment horizontal="left" vertical="center"/>
    </xf>
    <xf numFmtId="0" fontId="44" fillId="4" borderId="13" xfId="9" applyFont="1" applyFill="1" applyBorder="1" applyAlignment="1">
      <alignment horizontal="center" vertical="center"/>
    </xf>
    <xf numFmtId="14" fontId="44" fillId="4" borderId="15" xfId="9" applyNumberFormat="1" applyFont="1" applyFill="1" applyBorder="1" applyAlignment="1">
      <alignment horizontal="center" vertical="center"/>
    </xf>
    <xf numFmtId="0" fontId="51" fillId="0" borderId="2" xfId="9"/>
    <xf numFmtId="0" fontId="60" fillId="0" borderId="2" xfId="9" applyFont="1" applyAlignment="1">
      <alignment horizontal="center" vertical="center"/>
    </xf>
    <xf numFmtId="0" fontId="61" fillId="14" borderId="6" xfId="9" applyFont="1" applyFill="1" applyBorder="1" applyAlignment="1">
      <alignment horizontal="center" vertical="center"/>
    </xf>
    <xf numFmtId="0" fontId="62" fillId="7" borderId="6" xfId="15" applyFont="1" applyFill="1" applyBorder="1" applyAlignment="1">
      <alignment horizontal="center" vertical="center"/>
    </xf>
    <xf numFmtId="0" fontId="61" fillId="0" borderId="11" xfId="9" applyFont="1" applyBorder="1" applyAlignment="1">
      <alignment horizontal="center" vertical="center"/>
    </xf>
    <xf numFmtId="0" fontId="64" fillId="0" borderId="2" xfId="9" applyFont="1" applyAlignment="1">
      <alignment horizontal="center" vertical="center"/>
    </xf>
    <xf numFmtId="0" fontId="66" fillId="0" borderId="6" xfId="16" applyFont="1" applyBorder="1" applyAlignment="1">
      <alignment horizontal="center" vertical="center"/>
    </xf>
    <xf numFmtId="0" fontId="51" fillId="0" borderId="6" xfId="9" applyBorder="1" applyAlignment="1">
      <alignment horizontal="center"/>
    </xf>
    <xf numFmtId="0" fontId="51" fillId="0" borderId="6" xfId="9" applyBorder="1" applyAlignment="1">
      <alignment horizontal="center" vertical="center"/>
    </xf>
    <xf numFmtId="0" fontId="63" fillId="0" borderId="6" xfId="17" applyFont="1" applyBorder="1" applyAlignment="1">
      <alignment horizontal="center" vertical="center"/>
    </xf>
    <xf numFmtId="0" fontId="63" fillId="0" borderId="6" xfId="17" applyFont="1" applyBorder="1" applyAlignment="1">
      <alignment vertical="center"/>
    </xf>
    <xf numFmtId="22" fontId="67" fillId="0" borderId="6" xfId="9" applyNumberFormat="1" applyFont="1" applyBorder="1" applyAlignment="1">
      <alignment horizontal="left" vertical="center"/>
    </xf>
    <xf numFmtId="0" fontId="68" fillId="0" borderId="6" xfId="9" applyFont="1" applyBorder="1"/>
    <xf numFmtId="0" fontId="68" fillId="0" borderId="6" xfId="9" applyFont="1" applyBorder="1" applyAlignment="1">
      <alignment horizontal="center"/>
    </xf>
    <xf numFmtId="22" fontId="69" fillId="0" borderId="6" xfId="9" applyNumberFormat="1" applyFont="1" applyBorder="1" applyAlignment="1">
      <alignment horizontal="left" vertical="center"/>
    </xf>
    <xf numFmtId="0" fontId="64" fillId="0" borderId="6" xfId="9" applyFont="1" applyBorder="1" applyAlignment="1">
      <alignment horizontal="left" vertical="center"/>
    </xf>
    <xf numFmtId="0" fontId="64" fillId="0" borderId="6" xfId="9" applyFont="1" applyBorder="1" applyAlignment="1">
      <alignment horizontal="center" vertical="center"/>
    </xf>
    <xf numFmtId="0" fontId="63" fillId="15" borderId="6" xfId="17" applyFont="1" applyFill="1" applyBorder="1" applyAlignment="1">
      <alignment vertical="center"/>
    </xf>
    <xf numFmtId="0" fontId="70" fillId="0" borderId="6" xfId="16" applyFont="1" applyBorder="1" applyAlignment="1">
      <alignment horizontal="center" vertical="center"/>
    </xf>
    <xf numFmtId="0" fontId="71" fillId="0" borderId="6" xfId="16" applyFont="1" applyBorder="1" applyAlignment="1">
      <alignment horizontal="center" vertical="center"/>
    </xf>
    <xf numFmtId="0" fontId="51" fillId="0" borderId="2" xfId="9" applyAlignment="1">
      <alignment horizontal="center"/>
    </xf>
    <xf numFmtId="0" fontId="72" fillId="14" borderId="2" xfId="9" applyFont="1" applyFill="1" applyAlignment="1">
      <alignment horizontal="center"/>
    </xf>
    <xf numFmtId="0" fontId="51" fillId="0" borderId="2" xfId="9" applyAlignment="1">
      <alignment horizontal="center" vertical="center"/>
    </xf>
    <xf numFmtId="0" fontId="63" fillId="4" borderId="6" xfId="17" applyFont="1" applyFill="1" applyBorder="1" applyAlignment="1">
      <alignment vertical="center"/>
    </xf>
    <xf numFmtId="0" fontId="61" fillId="0" borderId="2" xfId="9" applyFont="1" applyAlignment="1">
      <alignment horizontal="center" vertical="center"/>
    </xf>
    <xf numFmtId="0" fontId="51" fillId="0" borderId="6" xfId="9" applyBorder="1"/>
    <xf numFmtId="0" fontId="63" fillId="0" borderId="2" xfId="17" applyFont="1" applyAlignment="1">
      <alignment horizontal="center" vertical="center"/>
    </xf>
    <xf numFmtId="0" fontId="63" fillId="0" borderId="2" xfId="17" applyFont="1" applyAlignment="1">
      <alignment vertical="center"/>
    </xf>
    <xf numFmtId="14" fontId="63" fillId="0" borderId="2" xfId="17" applyNumberFormat="1" applyFont="1" applyAlignment="1">
      <alignment vertical="center"/>
    </xf>
    <xf numFmtId="0" fontId="64" fillId="0" borderId="12" xfId="9" applyFont="1" applyBorder="1" applyAlignment="1">
      <alignment horizontal="left" vertical="center"/>
    </xf>
    <xf numFmtId="0" fontId="63" fillId="0" borderId="12" xfId="17" applyFont="1" applyBorder="1" applyAlignment="1">
      <alignment horizontal="center" vertical="center"/>
    </xf>
    <xf numFmtId="0" fontId="63" fillId="0" borderId="12" xfId="17" applyFont="1" applyBorder="1" applyAlignment="1">
      <alignment vertical="center"/>
    </xf>
    <xf numFmtId="0" fontId="63" fillId="0" borderId="18" xfId="17" applyFont="1" applyBorder="1" applyAlignment="1">
      <alignment horizontal="center" vertical="center"/>
    </xf>
    <xf numFmtId="0" fontId="63" fillId="0" borderId="18" xfId="17" applyFont="1" applyBorder="1" applyAlignment="1">
      <alignment vertical="center"/>
    </xf>
    <xf numFmtId="0" fontId="41" fillId="0" borderId="2" xfId="9" applyFont="1"/>
    <xf numFmtId="0" fontId="42" fillId="0" borderId="2" xfId="9" applyFont="1"/>
    <xf numFmtId="0" fontId="43" fillId="0" borderId="2" xfId="9" applyFont="1"/>
    <xf numFmtId="22" fontId="67" fillId="0" borderId="2" xfId="9" applyNumberFormat="1" applyFont="1" applyAlignment="1">
      <alignment horizontal="left" vertical="center"/>
    </xf>
    <xf numFmtId="14" fontId="63" fillId="0" borderId="6" xfId="17" applyNumberFormat="1" applyFont="1" applyBorder="1" applyAlignment="1">
      <alignment vertical="center"/>
    </xf>
    <xf numFmtId="0" fontId="32" fillId="0" borderId="6" xfId="17" applyFont="1" applyBorder="1" applyAlignment="1">
      <alignment horizontal="center" vertical="center"/>
    </xf>
    <xf numFmtId="0" fontId="32" fillId="0" borderId="6" xfId="17" applyFont="1" applyBorder="1" applyAlignment="1">
      <alignment vertical="center"/>
    </xf>
    <xf numFmtId="14" fontId="31" fillId="0" borderId="2" xfId="9" applyNumberFormat="1" applyFont="1" applyAlignment="1">
      <alignment vertical="center"/>
    </xf>
    <xf numFmtId="0" fontId="56" fillId="0" borderId="0" xfId="0" applyFont="1" applyBorder="1" applyAlignment="1">
      <alignment horizontal="center" vertical="center"/>
    </xf>
    <xf numFmtId="14" fontId="73" fillId="0" borderId="0" xfId="0" applyNumberFormat="1" applyFont="1" applyBorder="1" applyAlignment="1">
      <alignment vertical="center"/>
    </xf>
    <xf numFmtId="0" fontId="75" fillId="0" borderId="0" xfId="0" applyFont="1" applyBorder="1" applyAlignment="1">
      <alignment vertical="center"/>
    </xf>
    <xf numFmtId="0" fontId="76" fillId="0" borderId="0" xfId="0" applyFont="1" applyBorder="1" applyAlignment="1">
      <alignment horizontal="center" vertical="center"/>
    </xf>
    <xf numFmtId="0" fontId="35" fillId="0" borderId="0" xfId="0" applyFont="1" applyBorder="1" applyAlignment="1">
      <alignment horizontal="center" vertical="center"/>
    </xf>
    <xf numFmtId="0" fontId="0" fillId="0" borderId="0" xfId="0" applyBorder="1" applyAlignment="1">
      <alignment horizontal="center" vertical="center"/>
    </xf>
    <xf numFmtId="9" fontId="48" fillId="0" borderId="2" xfId="5" applyFont="1" applyAlignment="1">
      <alignment horizontal="center" vertical="center"/>
    </xf>
    <xf numFmtId="0" fontId="0" fillId="0" borderId="0" xfId="0" applyBorder="1" applyAlignment="1">
      <alignment horizontal="left" vertical="center"/>
    </xf>
    <xf numFmtId="0" fontId="73" fillId="0" borderId="0" xfId="0" applyFont="1" applyBorder="1" applyAlignment="1">
      <alignment horizontal="center" vertical="center"/>
    </xf>
    <xf numFmtId="0" fontId="52" fillId="9" borderId="1" xfId="0" applyFont="1" applyFill="1" applyBorder="1" applyAlignment="1">
      <alignment horizontal="left" vertical="center" wrapText="1"/>
    </xf>
    <xf numFmtId="0" fontId="0" fillId="9" borderId="2" xfId="0" applyFill="1" applyAlignment="1">
      <alignment horizontal="center" vertical="center"/>
    </xf>
    <xf numFmtId="14" fontId="28" fillId="0" borderId="0" xfId="0" applyNumberFormat="1" applyFont="1" applyBorder="1" applyAlignment="1">
      <alignment horizontal="center" vertical="center"/>
    </xf>
    <xf numFmtId="0" fontId="59" fillId="9" borderId="1" xfId="0" applyFont="1" applyFill="1" applyBorder="1" applyAlignment="1">
      <alignment horizontal="left" vertical="center" wrapText="1"/>
    </xf>
    <xf numFmtId="0" fontId="0" fillId="0" borderId="28" xfId="0" applyBorder="1" applyAlignment="1">
      <alignment horizontal="center" vertical="center"/>
    </xf>
    <xf numFmtId="0" fontId="54" fillId="8" borderId="29" xfId="0" applyFont="1" applyFill="1" applyBorder="1" applyAlignment="1">
      <alignment horizontal="center" vertical="center" wrapText="1"/>
    </xf>
    <xf numFmtId="0" fontId="54" fillId="16" borderId="29" xfId="0" applyFont="1" applyFill="1" applyBorder="1" applyAlignment="1">
      <alignment horizontal="center" vertical="center" wrapText="1"/>
    </xf>
    <xf numFmtId="0" fontId="0" fillId="21" borderId="6" xfId="0" applyFill="1" applyBorder="1" applyAlignment="1">
      <alignment horizontal="center" vertical="center"/>
    </xf>
    <xf numFmtId="0" fontId="0" fillId="21" borderId="6" xfId="0" applyFill="1" applyBorder="1" applyAlignment="1">
      <alignment horizontal="left" vertical="center"/>
    </xf>
    <xf numFmtId="0" fontId="52" fillId="16" borderId="6" xfId="0" applyFont="1" applyFill="1" applyBorder="1" applyAlignment="1">
      <alignment horizontal="left" vertical="center"/>
    </xf>
    <xf numFmtId="0" fontId="0" fillId="17" borderId="6" xfId="0" applyFill="1" applyBorder="1" applyAlignment="1">
      <alignment horizontal="center" vertical="center"/>
    </xf>
    <xf numFmtId="0" fontId="0" fillId="17" borderId="6" xfId="0" applyFill="1" applyBorder="1" applyAlignment="1">
      <alignment horizontal="left" vertical="center"/>
    </xf>
    <xf numFmtId="0" fontId="0" fillId="17" borderId="6" xfId="0" applyFill="1" applyBorder="1" applyAlignment="1">
      <alignment horizontal="left" vertical="center" wrapText="1"/>
    </xf>
    <xf numFmtId="0" fontId="52" fillId="17" borderId="6" xfId="0" applyFont="1" applyFill="1" applyBorder="1" applyAlignment="1">
      <alignment horizontal="left" vertical="center" wrapText="1"/>
    </xf>
    <xf numFmtId="0" fontId="52" fillId="4" borderId="6" xfId="0" applyFont="1" applyFill="1" applyBorder="1" applyAlignment="1">
      <alignment horizontal="left" vertical="center"/>
    </xf>
    <xf numFmtId="0" fontId="59" fillId="17" borderId="6" xfId="0" applyFont="1" applyFill="1" applyBorder="1" applyAlignment="1">
      <alignment horizontal="left" vertical="center" wrapText="1"/>
    </xf>
    <xf numFmtId="0" fontId="59" fillId="4" borderId="6" xfId="0" applyFont="1" applyFill="1" applyBorder="1" applyAlignment="1">
      <alignment horizontal="left" vertical="center" wrapText="1"/>
    </xf>
    <xf numFmtId="0" fontId="52" fillId="17" borderId="6" xfId="0" applyFont="1" applyFill="1" applyBorder="1" applyAlignment="1">
      <alignment horizontal="left" vertical="center"/>
    </xf>
    <xf numFmtId="0" fontId="77" fillId="4" borderId="6" xfId="0" applyFont="1" applyFill="1" applyBorder="1" applyAlignment="1">
      <alignment horizontal="left" vertical="center"/>
    </xf>
    <xf numFmtId="0" fontId="0" fillId="0" borderId="2" xfId="0" applyAlignment="1">
      <alignment horizontal="left" vertical="center"/>
    </xf>
    <xf numFmtId="0" fontId="52" fillId="0" borderId="2" xfId="0" applyFont="1" applyAlignment="1">
      <alignment horizontal="left" vertical="center"/>
    </xf>
    <xf numFmtId="0" fontId="0" fillId="0" borderId="0" xfId="0" applyBorder="1"/>
    <xf numFmtId="22" fontId="0" fillId="9" borderId="1" xfId="0" applyNumberFormat="1" applyFill="1" applyBorder="1" applyAlignment="1">
      <alignment horizontal="center" vertical="center"/>
    </xf>
    <xf numFmtId="0" fontId="56" fillId="0" borderId="0" xfId="0" applyFont="1" applyBorder="1" applyAlignment="1" applyProtection="1">
      <alignment horizontal="center" vertical="center"/>
      <protection hidden="1"/>
    </xf>
    <xf numFmtId="0" fontId="33" fillId="0" borderId="0" xfId="0" applyFont="1" applyBorder="1" applyAlignment="1" applyProtection="1">
      <alignment vertical="center"/>
      <protection hidden="1"/>
    </xf>
    <xf numFmtId="14" fontId="73" fillId="0" borderId="0" xfId="0" applyNumberFormat="1" applyFont="1" applyBorder="1" applyAlignment="1" applyProtection="1">
      <alignment vertical="center"/>
      <protection hidden="1"/>
    </xf>
    <xf numFmtId="0" fontId="33" fillId="0" borderId="0" xfId="0" applyFont="1" applyBorder="1" applyAlignment="1" applyProtection="1">
      <alignment horizontal="center" vertical="center"/>
      <protection hidden="1"/>
    </xf>
    <xf numFmtId="0" fontId="73" fillId="0" borderId="0" xfId="0" applyFont="1" applyBorder="1" applyAlignment="1" applyProtection="1">
      <alignment horizontal="center" vertical="center"/>
      <protection hidden="1"/>
    </xf>
    <xf numFmtId="0" fontId="53" fillId="12" borderId="6" xfId="0" applyFont="1" applyFill="1" applyBorder="1" applyAlignment="1" applyProtection="1">
      <alignment horizontal="center" vertical="center"/>
      <protection hidden="1"/>
    </xf>
    <xf numFmtId="0" fontId="44" fillId="7" borderId="18" xfId="0" applyFont="1" applyFill="1" applyBorder="1" applyAlignment="1" applyProtection="1">
      <alignment horizontal="right" vertical="center"/>
      <protection hidden="1"/>
    </xf>
    <xf numFmtId="0" fontId="30" fillId="0" borderId="0" xfId="0" applyFont="1" applyBorder="1" applyAlignment="1" applyProtection="1">
      <alignment vertical="center"/>
      <protection hidden="1"/>
    </xf>
    <xf numFmtId="0" fontId="29" fillId="0" borderId="2" xfId="0" applyFont="1" applyAlignment="1" applyProtection="1">
      <alignment vertical="center"/>
      <protection hidden="1"/>
    </xf>
    <xf numFmtId="0" fontId="55" fillId="12" borderId="11" xfId="0" applyFont="1" applyFill="1" applyBorder="1" applyAlignment="1" applyProtection="1">
      <alignment horizontal="right" vertical="center"/>
      <protection hidden="1"/>
    </xf>
    <xf numFmtId="0" fontId="44" fillId="12" borderId="11" xfId="0" applyFont="1" applyFill="1" applyBorder="1" applyAlignment="1" applyProtection="1">
      <alignment horizontal="right" vertical="center"/>
      <protection hidden="1"/>
    </xf>
    <xf numFmtId="0" fontId="36" fillId="0" borderId="0" xfId="0" applyFont="1" applyBorder="1" applyAlignment="1" applyProtection="1">
      <alignment vertical="center"/>
      <protection hidden="1"/>
    </xf>
    <xf numFmtId="0" fontId="35" fillId="0" borderId="6" xfId="0" applyFont="1" applyBorder="1" applyAlignment="1" applyProtection="1">
      <alignment horizontal="center" vertical="center"/>
      <protection hidden="1"/>
    </xf>
    <xf numFmtId="0" fontId="37" fillId="0" borderId="0" xfId="0" applyFont="1" applyBorder="1" applyAlignment="1" applyProtection="1">
      <alignment vertical="center"/>
      <protection hidden="1"/>
    </xf>
    <xf numFmtId="0" fontId="39" fillId="0" borderId="0" xfId="0" applyFont="1" applyBorder="1" applyAlignment="1" applyProtection="1">
      <alignment vertical="center"/>
      <protection hidden="1"/>
    </xf>
    <xf numFmtId="0" fontId="52" fillId="0" borderId="0" xfId="0" applyFont="1" applyBorder="1" applyAlignment="1" applyProtection="1">
      <alignment vertical="center"/>
      <protection hidden="1"/>
    </xf>
    <xf numFmtId="0" fontId="76" fillId="0" borderId="0" xfId="0" applyFont="1" applyBorder="1" applyAlignment="1" applyProtection="1">
      <alignment vertical="center"/>
      <protection hidden="1"/>
    </xf>
    <xf numFmtId="0" fontId="59" fillId="9" borderId="1" xfId="0" applyFont="1" applyFill="1" applyBorder="1" applyAlignment="1">
      <alignment horizontal="center" vertical="center" wrapText="1"/>
    </xf>
    <xf numFmtId="14" fontId="35" fillId="0" borderId="6" xfId="0" applyNumberFormat="1" applyFont="1" applyBorder="1" applyAlignment="1" applyProtection="1">
      <alignment horizontal="center" vertical="center"/>
      <protection hidden="1"/>
    </xf>
    <xf numFmtId="22" fontId="0" fillId="0" borderId="1" xfId="0" applyNumberFormat="1" applyBorder="1" applyAlignment="1">
      <alignment horizontal="center" vertical="center"/>
    </xf>
    <xf numFmtId="0" fontId="79" fillId="0" borderId="0" xfId="0" applyFont="1" applyBorder="1" applyAlignment="1" applyProtection="1">
      <alignment horizontal="center" vertical="center"/>
      <protection hidden="1"/>
    </xf>
    <xf numFmtId="0" fontId="52" fillId="9" borderId="1" xfId="0" applyFont="1" applyFill="1" applyBorder="1" applyAlignment="1">
      <alignment horizontal="center" vertical="center"/>
    </xf>
    <xf numFmtId="14" fontId="78" fillId="0" borderId="0" xfId="0" applyNumberFormat="1" applyFont="1" applyBorder="1" applyAlignment="1" applyProtection="1">
      <alignment horizontal="center" vertical="center"/>
      <protection hidden="1"/>
    </xf>
    <xf numFmtId="0" fontId="44" fillId="5" borderId="19" xfId="0" applyFont="1" applyFill="1" applyBorder="1" applyAlignment="1" applyProtection="1">
      <alignment horizontal="center" vertical="center"/>
      <protection hidden="1"/>
    </xf>
    <xf numFmtId="14" fontId="44" fillId="0" borderId="2" xfId="9" applyNumberFormat="1" applyFont="1"/>
    <xf numFmtId="0" fontId="33" fillId="0" borderId="0" xfId="0" applyFont="1" applyBorder="1" applyAlignment="1">
      <alignment vertical="center"/>
    </xf>
    <xf numFmtId="0" fontId="33" fillId="0" borderId="0" xfId="0" applyFont="1" applyBorder="1" applyAlignment="1">
      <alignment horizontal="center" vertical="center"/>
    </xf>
    <xf numFmtId="0" fontId="58" fillId="0" borderId="2" xfId="0" applyFont="1" applyAlignment="1">
      <alignment horizontal="center" vertical="center"/>
    </xf>
    <xf numFmtId="0" fontId="80" fillId="7" borderId="2" xfId="0" applyFont="1" applyFill="1" applyAlignment="1" applyProtection="1">
      <alignment horizontal="center" vertical="center"/>
      <protection hidden="1"/>
    </xf>
    <xf numFmtId="0" fontId="44" fillId="4" borderId="9" xfId="0" applyFont="1" applyFill="1" applyBorder="1" applyAlignment="1" applyProtection="1">
      <alignment horizontal="right" vertical="center"/>
      <protection hidden="1"/>
    </xf>
    <xf numFmtId="0" fontId="44" fillId="4" borderId="16" xfId="0" applyFont="1" applyFill="1" applyBorder="1" applyAlignment="1" applyProtection="1">
      <alignment horizontal="right" vertical="center"/>
      <protection hidden="1"/>
    </xf>
    <xf numFmtId="0" fontId="79" fillId="0" borderId="0" xfId="0" applyFont="1" applyBorder="1" applyAlignment="1">
      <alignment horizontal="center" vertical="center"/>
    </xf>
    <xf numFmtId="0" fontId="46" fillId="23" borderId="6" xfId="19" applyFont="1" applyFill="1" applyBorder="1" applyAlignment="1">
      <alignment horizontal="center" vertical="center"/>
    </xf>
    <xf numFmtId="0" fontId="27" fillId="0" borderId="2" xfId="15" applyFont="1" applyAlignment="1">
      <alignment vertical="center"/>
    </xf>
    <xf numFmtId="0" fontId="27" fillId="0" borderId="6" xfId="19" applyFont="1" applyBorder="1" applyAlignment="1">
      <alignment horizontal="center" vertical="center"/>
    </xf>
    <xf numFmtId="0" fontId="27" fillId="0" borderId="6" xfId="19" applyFont="1" applyBorder="1" applyAlignment="1">
      <alignment horizontal="left" vertical="center"/>
    </xf>
    <xf numFmtId="0" fontId="27" fillId="0" borderId="6" xfId="19" applyFont="1" applyBorder="1" applyAlignment="1">
      <alignment vertical="center"/>
    </xf>
    <xf numFmtId="0" fontId="27" fillId="0" borderId="6" xfId="15" applyFont="1" applyBorder="1" applyAlignment="1">
      <alignment vertical="center"/>
    </xf>
    <xf numFmtId="0" fontId="27" fillId="0" borderId="6" xfId="15" applyFont="1" applyBorder="1" applyAlignment="1">
      <alignment horizontal="center" vertical="center"/>
    </xf>
    <xf numFmtId="0" fontId="27" fillId="0" borderId="6" xfId="19" quotePrefix="1" applyFont="1" applyBorder="1" applyAlignment="1">
      <alignment horizontal="left" vertical="center"/>
    </xf>
    <xf numFmtId="0" fontId="27" fillId="0" borderId="2" xfId="19" applyFont="1" applyAlignment="1">
      <alignment horizontal="center" vertical="center"/>
    </xf>
    <xf numFmtId="0" fontId="27" fillId="0" borderId="2" xfId="19" applyFont="1" applyAlignment="1">
      <alignment horizontal="left" vertical="center"/>
    </xf>
    <xf numFmtId="0" fontId="83" fillId="0" borderId="6" xfId="0" applyFont="1" applyBorder="1" applyAlignment="1" applyProtection="1">
      <alignment horizontal="center" vertical="center"/>
      <protection hidden="1"/>
    </xf>
    <xf numFmtId="0" fontId="84" fillId="0" borderId="0" xfId="0" applyFont="1" applyBorder="1" applyAlignment="1" applyProtection="1">
      <alignment vertical="center"/>
      <protection hidden="1"/>
    </xf>
    <xf numFmtId="0" fontId="85" fillId="0" borderId="0" xfId="0" applyFont="1" applyBorder="1" applyAlignment="1" applyProtection="1">
      <alignment vertical="center"/>
      <protection hidden="1"/>
    </xf>
    <xf numFmtId="0" fontId="76" fillId="9" borderId="1" xfId="0" applyFont="1" applyFill="1" applyBorder="1" applyAlignment="1">
      <alignment horizontal="center" vertical="center"/>
    </xf>
    <xf numFmtId="0" fontId="86" fillId="0" borderId="30" xfId="0" applyFont="1" applyBorder="1" applyAlignment="1">
      <alignment horizontal="left" vertical="center" wrapText="1"/>
    </xf>
    <xf numFmtId="0" fontId="76" fillId="0" borderId="1" xfId="0" applyFont="1" applyBorder="1" applyAlignment="1">
      <alignment horizontal="center" vertical="center"/>
    </xf>
    <xf numFmtId="14" fontId="0" fillId="0" borderId="0" xfId="0" applyNumberFormat="1" applyBorder="1" applyAlignment="1" applyProtection="1">
      <alignment vertical="center"/>
      <protection hidden="1"/>
    </xf>
    <xf numFmtId="0" fontId="0" fillId="0" borderId="0" xfId="0" applyBorder="1" applyAlignment="1" applyProtection="1">
      <alignment vertical="center"/>
      <protection hidden="1"/>
    </xf>
    <xf numFmtId="0" fontId="81" fillId="7" borderId="2" xfId="0" applyFont="1" applyFill="1" applyAlignment="1" applyProtection="1">
      <alignment horizontal="center" vertical="center"/>
      <protection hidden="1"/>
    </xf>
    <xf numFmtId="0" fontId="82" fillId="4" borderId="2" xfId="0" applyFont="1" applyFill="1" applyAlignment="1">
      <alignment horizontal="center" vertical="center"/>
    </xf>
    <xf numFmtId="0" fontId="55" fillId="12" borderId="6" xfId="0" applyFont="1" applyFill="1" applyBorder="1" applyAlignment="1" applyProtection="1">
      <alignment horizontal="center" vertical="center"/>
      <protection hidden="1"/>
    </xf>
    <xf numFmtId="14" fontId="26" fillId="0" borderId="2" xfId="24" applyNumberFormat="1" applyFont="1" applyAlignment="1">
      <alignment horizontal="center" vertical="center"/>
    </xf>
    <xf numFmtId="0" fontId="38" fillId="19" borderId="8" xfId="0" applyFont="1" applyFill="1" applyBorder="1" applyAlignment="1" applyProtection="1">
      <alignment horizontal="center" vertical="center"/>
      <protection hidden="1"/>
    </xf>
    <xf numFmtId="0" fontId="25" fillId="0" borderId="0" xfId="0" applyFont="1" applyBorder="1" applyAlignment="1">
      <alignment horizontal="center" vertical="center"/>
    </xf>
    <xf numFmtId="0" fontId="25" fillId="0" borderId="0" xfId="0" applyFont="1" applyBorder="1" applyAlignment="1">
      <alignment horizontal="right" vertical="center"/>
    </xf>
    <xf numFmtId="0" fontId="53" fillId="0" borderId="0" xfId="0" applyFont="1" applyBorder="1" applyAlignment="1">
      <alignment horizontal="center" vertical="center"/>
    </xf>
    <xf numFmtId="0" fontId="25" fillId="0" borderId="6" xfId="0" applyFont="1" applyBorder="1" applyAlignment="1" applyProtection="1">
      <alignment horizontal="center" vertical="center"/>
      <protection hidden="1"/>
    </xf>
    <xf numFmtId="0" fontId="58" fillId="0" borderId="6" xfId="14" applyNumberFormat="1" applyFont="1" applyBorder="1" applyAlignment="1" applyProtection="1">
      <alignment horizontal="center" vertical="center"/>
      <protection hidden="1"/>
    </xf>
    <xf numFmtId="0" fontId="25" fillId="0" borderId="6" xfId="0" applyFont="1" applyBorder="1" applyAlignment="1">
      <alignment horizontal="center" vertical="center"/>
    </xf>
    <xf numFmtId="0" fontId="88" fillId="0" borderId="6" xfId="0" applyFont="1" applyBorder="1" applyAlignment="1">
      <alignment horizontal="center" vertical="center"/>
    </xf>
    <xf numFmtId="0" fontId="89" fillId="12" borderId="6" xfId="15" applyFont="1" applyFill="1" applyBorder="1" applyAlignment="1" applyProtection="1">
      <alignment horizontal="center" vertical="center"/>
      <protection hidden="1"/>
    </xf>
    <xf numFmtId="0" fontId="53" fillId="0" borderId="2" xfId="0" applyFont="1" applyAlignment="1">
      <alignment horizontal="center" vertical="center"/>
    </xf>
    <xf numFmtId="0" fontId="24" fillId="0" borderId="0" xfId="0" applyFont="1" applyBorder="1" applyAlignment="1">
      <alignment horizontal="center" vertical="center"/>
    </xf>
    <xf numFmtId="0" fontId="24" fillId="12" borderId="6" xfId="0" applyFont="1" applyFill="1" applyBorder="1" applyAlignment="1">
      <alignment horizontal="center" vertical="center"/>
    </xf>
    <xf numFmtId="0" fontId="36" fillId="0" borderId="0" xfId="0" applyFont="1" applyBorder="1" applyAlignment="1" applyProtection="1">
      <alignment horizontal="center" vertical="center"/>
      <protection hidden="1"/>
    </xf>
    <xf numFmtId="0" fontId="0" fillId="0" borderId="0" xfId="0" applyBorder="1" applyAlignment="1" applyProtection="1">
      <alignment horizontal="center" vertical="center"/>
      <protection hidden="1"/>
    </xf>
    <xf numFmtId="0" fontId="36" fillId="0" borderId="2" xfId="0" applyFont="1" applyAlignment="1" applyProtection="1">
      <alignment horizontal="center" vertical="center"/>
      <protection hidden="1"/>
    </xf>
    <xf numFmtId="0" fontId="0" fillId="0" borderId="2" xfId="0" applyAlignment="1" applyProtection="1">
      <alignment horizontal="center" vertical="center"/>
      <protection hidden="1"/>
    </xf>
    <xf numFmtId="0" fontId="0" fillId="4" borderId="0" xfId="0" applyFill="1" applyBorder="1" applyAlignment="1">
      <alignment vertical="center"/>
    </xf>
    <xf numFmtId="0" fontId="0" fillId="4" borderId="2" xfId="0" applyFill="1" applyAlignment="1">
      <alignment vertical="center"/>
    </xf>
    <xf numFmtId="0" fontId="0" fillId="4" borderId="2" xfId="0" applyFill="1" applyAlignment="1" applyProtection="1">
      <alignment vertical="center"/>
      <protection hidden="1"/>
    </xf>
    <xf numFmtId="0" fontId="23" fillId="0" borderId="2" xfId="15" applyFont="1" applyAlignment="1">
      <alignment vertical="center"/>
    </xf>
    <xf numFmtId="0" fontId="90" fillId="0" borderId="2" xfId="9" applyFont="1"/>
    <xf numFmtId="0" fontId="91" fillId="0" borderId="2" xfId="9" applyFont="1"/>
    <xf numFmtId="0" fontId="55" fillId="12" borderId="9" xfId="0" applyFont="1" applyFill="1" applyBorder="1" applyAlignment="1" applyProtection="1">
      <alignment horizontal="right" vertical="center"/>
      <protection hidden="1"/>
    </xf>
    <xf numFmtId="0" fontId="44" fillId="12" borderId="16" xfId="0" applyFont="1" applyFill="1" applyBorder="1" applyAlignment="1" applyProtection="1">
      <alignment horizontal="right" vertical="center"/>
      <protection hidden="1"/>
    </xf>
    <xf numFmtId="0" fontId="89" fillId="12" borderId="23" xfId="15" applyFont="1" applyFill="1" applyBorder="1" applyAlignment="1" applyProtection="1">
      <alignment horizontal="right" vertical="center"/>
      <protection hidden="1"/>
    </xf>
    <xf numFmtId="0" fontId="55" fillId="7" borderId="23" xfId="0" applyFont="1" applyFill="1" applyBorder="1" applyAlignment="1" applyProtection="1">
      <alignment horizontal="center" vertical="center"/>
      <protection hidden="1"/>
    </xf>
    <xf numFmtId="0" fontId="44" fillId="0" borderId="2" xfId="0" applyFont="1" applyAlignment="1" applyProtection="1">
      <alignment horizontal="center" vertical="center"/>
      <protection hidden="1"/>
    </xf>
    <xf numFmtId="0" fontId="44" fillId="0" borderId="0" xfId="0" applyFont="1" applyBorder="1" applyAlignment="1" applyProtection="1">
      <alignment horizontal="center" vertical="center"/>
      <protection hidden="1"/>
    </xf>
    <xf numFmtId="0" fontId="33" fillId="0" borderId="2" xfId="0" applyFont="1" applyAlignment="1" applyProtection="1">
      <alignment horizontal="center" vertical="center"/>
      <protection hidden="1"/>
    </xf>
    <xf numFmtId="0" fontId="22" fillId="0" borderId="2" xfId="0" applyFont="1" applyAlignment="1">
      <alignment vertical="center"/>
    </xf>
    <xf numFmtId="0" fontId="44" fillId="5" borderId="8" xfId="0" applyFont="1" applyFill="1" applyBorder="1" applyAlignment="1" applyProtection="1">
      <alignment horizontal="center" vertical="center"/>
      <protection hidden="1"/>
    </xf>
    <xf numFmtId="0" fontId="89" fillId="12" borderId="18" xfId="15" applyFont="1" applyFill="1" applyBorder="1" applyAlignment="1" applyProtection="1">
      <alignment horizontal="right" vertical="center"/>
      <protection hidden="1"/>
    </xf>
    <xf numFmtId="0" fontId="44" fillId="12" borderId="12" xfId="0" applyFont="1" applyFill="1" applyBorder="1" applyAlignment="1" applyProtection="1">
      <alignment horizontal="right" vertical="center"/>
      <protection hidden="1"/>
    </xf>
    <xf numFmtId="0" fontId="55" fillId="7" borderId="2" xfId="0" applyFont="1" applyFill="1" applyAlignment="1">
      <alignment horizontal="center" vertical="center"/>
    </xf>
    <xf numFmtId="0" fontId="44" fillId="5" borderId="2" xfId="0" applyFont="1" applyFill="1" applyAlignment="1">
      <alignment horizontal="center" vertical="center"/>
    </xf>
    <xf numFmtId="0" fontId="44" fillId="0" borderId="2" xfId="0" applyFont="1" applyAlignment="1">
      <alignment vertical="center"/>
    </xf>
    <xf numFmtId="0" fontId="44" fillId="0" borderId="2" xfId="0" applyFont="1" applyAlignment="1">
      <alignment horizontal="center" vertical="center"/>
    </xf>
    <xf numFmtId="0" fontId="55" fillId="0" borderId="2" xfId="0" applyFont="1" applyAlignment="1">
      <alignment horizontal="center" vertical="center"/>
    </xf>
    <xf numFmtId="14" fontId="44" fillId="0" borderId="2" xfId="0" applyNumberFormat="1" applyFont="1" applyAlignment="1">
      <alignment horizontal="left" vertical="center"/>
    </xf>
    <xf numFmtId="0" fontId="89" fillId="5" borderId="2" xfId="0" applyFont="1" applyFill="1" applyAlignment="1">
      <alignment horizontal="left" vertical="center"/>
    </xf>
    <xf numFmtId="49" fontId="44" fillId="4" borderId="2" xfId="0" applyNumberFormat="1" applyFont="1" applyFill="1" applyAlignment="1">
      <alignment horizontal="center" vertical="center"/>
    </xf>
    <xf numFmtId="49" fontId="92" fillId="4" borderId="2" xfId="0" applyNumberFormat="1" applyFont="1" applyFill="1" applyAlignment="1">
      <alignment horizontal="center" vertical="center"/>
    </xf>
    <xf numFmtId="0" fontId="93" fillId="4" borderId="2" xfId="0" applyFont="1" applyFill="1" applyAlignment="1">
      <alignment horizontal="center" vertical="center"/>
    </xf>
    <xf numFmtId="0" fontId="44" fillId="4" borderId="2" xfId="0" applyFont="1" applyFill="1" applyAlignment="1">
      <alignment horizontal="center" vertical="center"/>
    </xf>
    <xf numFmtId="0" fontId="93" fillId="0" borderId="2" xfId="0" applyFont="1" applyAlignment="1">
      <alignment horizontal="center" vertical="center"/>
    </xf>
    <xf numFmtId="9" fontId="44" fillId="0" borderId="2" xfId="14" applyFont="1" applyAlignment="1">
      <alignment horizontal="center" vertical="center"/>
    </xf>
    <xf numFmtId="0" fontId="44" fillId="28" borderId="2" xfId="0" applyFont="1" applyFill="1" applyAlignment="1">
      <alignment horizontal="center" vertical="center"/>
    </xf>
    <xf numFmtId="0" fontId="44" fillId="29" borderId="2" xfId="0" applyFont="1" applyFill="1" applyAlignment="1">
      <alignment horizontal="center" vertical="center"/>
    </xf>
    <xf numFmtId="0" fontId="44" fillId="30" borderId="2" xfId="0" applyFont="1" applyFill="1" applyAlignment="1">
      <alignment horizontal="center" vertical="center"/>
    </xf>
    <xf numFmtId="0" fontId="54" fillId="8" borderId="1" xfId="24" applyFont="1" applyFill="1" applyBorder="1" applyAlignment="1">
      <alignment horizontal="center" vertical="center" wrapText="1"/>
    </xf>
    <xf numFmtId="14" fontId="54" fillId="8" borderId="1" xfId="24" applyNumberFormat="1" applyFont="1" applyFill="1" applyBorder="1" applyAlignment="1">
      <alignment horizontal="center" vertical="center" wrapText="1"/>
    </xf>
    <xf numFmtId="0" fontId="21" fillId="0" borderId="2" xfId="24" applyFont="1" applyAlignment="1">
      <alignment horizontal="center" vertical="center"/>
    </xf>
    <xf numFmtId="0" fontId="0" fillId="0" borderId="2" xfId="0"/>
    <xf numFmtId="14" fontId="0" fillId="0" borderId="2" xfId="0" applyNumberFormat="1" applyAlignment="1">
      <alignment vertical="center"/>
    </xf>
    <xf numFmtId="0" fontId="52" fillId="0" borderId="1" xfId="0" applyFont="1" applyBorder="1" applyAlignment="1">
      <alignment horizontal="left" vertical="center" wrapText="1"/>
    </xf>
    <xf numFmtId="14" fontId="33" fillId="0" borderId="2" xfId="0" applyNumberFormat="1" applyFont="1" applyAlignment="1">
      <alignment horizontal="center" vertical="center"/>
    </xf>
    <xf numFmtId="14" fontId="44" fillId="7" borderId="2" xfId="0" applyNumberFormat="1" applyFont="1" applyFill="1" applyAlignment="1">
      <alignment horizontal="center" vertical="center"/>
    </xf>
    <xf numFmtId="0" fontId="20" fillId="12" borderId="6" xfId="0" applyFont="1" applyFill="1" applyBorder="1" applyAlignment="1">
      <alignment horizontal="center" vertical="center"/>
    </xf>
    <xf numFmtId="0" fontId="19" fillId="12" borderId="6" xfId="0" applyFont="1" applyFill="1" applyBorder="1" applyAlignment="1">
      <alignment horizontal="center" vertical="center"/>
    </xf>
    <xf numFmtId="0" fontId="48" fillId="0" borderId="2" xfId="4" applyFont="1" applyAlignment="1">
      <alignment horizontal="center" vertical="center"/>
    </xf>
    <xf numFmtId="0" fontId="48" fillId="0" borderId="2" xfId="3" applyFont="1" applyAlignment="1">
      <alignment horizontal="center" vertical="center"/>
    </xf>
    <xf numFmtId="0" fontId="48" fillId="0" borderId="2" xfId="3" applyFont="1" applyAlignment="1">
      <alignment horizontal="left" vertical="center"/>
    </xf>
    <xf numFmtId="0" fontId="48" fillId="7" borderId="9" xfId="1" applyFont="1" applyFill="1" applyBorder="1" applyAlignment="1">
      <alignment horizontal="center" vertical="center"/>
    </xf>
    <xf numFmtId="0" fontId="48" fillId="7" borderId="2" xfId="1" applyFont="1" applyFill="1" applyAlignment="1">
      <alignment horizontal="center" vertical="center"/>
    </xf>
    <xf numFmtId="0" fontId="48" fillId="0" borderId="9" xfId="1" applyFont="1" applyBorder="1" applyAlignment="1">
      <alignment vertical="center"/>
    </xf>
    <xf numFmtId="0" fontId="95" fillId="0" borderId="2" xfId="6" applyFont="1" applyAlignment="1">
      <alignment vertical="center"/>
    </xf>
    <xf numFmtId="0" fontId="94" fillId="10" borderId="6" xfId="3" applyFont="1" applyFill="1" applyBorder="1" applyAlignment="1">
      <alignment horizontal="center" vertical="center"/>
    </xf>
    <xf numFmtId="0" fontId="18" fillId="24" borderId="6" xfId="0" applyFont="1" applyFill="1" applyBorder="1" applyAlignment="1">
      <alignment horizontal="center" vertical="center"/>
    </xf>
    <xf numFmtId="0" fontId="96" fillId="4" borderId="6" xfId="3" applyFont="1" applyFill="1" applyBorder="1" applyAlignment="1">
      <alignment horizontal="center" vertical="center"/>
    </xf>
    <xf numFmtId="14" fontId="48" fillId="0" borderId="2" xfId="3" applyNumberFormat="1" applyFont="1" applyAlignment="1">
      <alignment horizontal="center" vertical="center" wrapText="1"/>
    </xf>
    <xf numFmtId="0" fontId="94" fillId="12" borderId="6" xfId="3" applyFont="1" applyFill="1" applyBorder="1" applyAlignment="1">
      <alignment horizontal="center" vertical="center"/>
    </xf>
    <xf numFmtId="14" fontId="44" fillId="0" borderId="2" xfId="0" applyNumberFormat="1" applyFont="1" applyAlignment="1">
      <alignment vertical="center"/>
    </xf>
    <xf numFmtId="0" fontId="17" fillId="0" borderId="2" xfId="25" applyFont="1" applyAlignment="1">
      <alignment vertical="center"/>
    </xf>
    <xf numFmtId="0" fontId="17" fillId="0" borderId="2" xfId="25" applyFont="1" applyAlignment="1">
      <alignment horizontal="left" vertical="center"/>
    </xf>
    <xf numFmtId="0" fontId="17" fillId="0" borderId="2" xfId="25" quotePrefix="1" applyFont="1" applyAlignment="1">
      <alignment horizontal="left" vertical="center"/>
    </xf>
    <xf numFmtId="0" fontId="17" fillId="12" borderId="2" xfId="25" applyFont="1" applyFill="1" applyAlignment="1">
      <alignment horizontal="left" vertical="center"/>
    </xf>
    <xf numFmtId="14" fontId="0" fillId="0" borderId="0" xfId="0" applyNumberFormat="1" applyBorder="1" applyAlignment="1">
      <alignment horizontal="center" vertical="center"/>
    </xf>
    <xf numFmtId="14" fontId="97" fillId="12" borderId="36" xfId="0" applyNumberFormat="1" applyFont="1" applyFill="1" applyBorder="1" applyAlignment="1">
      <alignment horizontal="center" vertical="center"/>
    </xf>
    <xf numFmtId="0" fontId="97" fillId="12" borderId="36" xfId="0" applyFont="1" applyFill="1" applyBorder="1" applyAlignment="1">
      <alignment horizontal="center" vertical="center"/>
    </xf>
    <xf numFmtId="49" fontId="97" fillId="12" borderId="36" xfId="0" applyNumberFormat="1" applyFont="1" applyFill="1" applyBorder="1" applyAlignment="1">
      <alignment horizontal="center" vertical="center"/>
    </xf>
    <xf numFmtId="49" fontId="0" fillId="0" borderId="0" xfId="0" applyNumberFormat="1" applyBorder="1" applyAlignment="1">
      <alignment vertical="center"/>
    </xf>
    <xf numFmtId="0" fontId="0" fillId="0" borderId="2" xfId="0" applyAlignment="1">
      <alignment vertical="center"/>
    </xf>
    <xf numFmtId="0" fontId="33" fillId="0" borderId="2" xfId="0" applyFont="1" applyAlignment="1">
      <alignment horizontal="center" vertical="center"/>
    </xf>
    <xf numFmtId="0" fontId="53" fillId="31" borderId="0" xfId="0" applyFont="1" applyFill="1" applyBorder="1" applyAlignment="1">
      <alignment horizontal="center" vertical="center"/>
    </xf>
    <xf numFmtId="0" fontId="46" fillId="25" borderId="36" xfId="0" applyFont="1" applyFill="1" applyBorder="1" applyAlignment="1" applyProtection="1">
      <alignment horizontal="center" vertical="center" wrapText="1"/>
      <protection hidden="1"/>
    </xf>
    <xf numFmtId="0" fontId="16" fillId="0" borderId="2" xfId="25" applyFont="1" applyAlignment="1">
      <alignment horizontal="left" vertical="center"/>
    </xf>
    <xf numFmtId="0" fontId="52" fillId="0" borderId="0" xfId="0" applyFont="1" applyBorder="1" applyAlignment="1">
      <alignment vertical="center"/>
    </xf>
    <xf numFmtId="0" fontId="16" fillId="0" borderId="2" xfId="25" applyFont="1" applyAlignment="1">
      <alignment vertical="center"/>
    </xf>
    <xf numFmtId="0" fontId="52" fillId="0" borderId="2" xfId="0" applyFont="1" applyAlignment="1">
      <alignment horizontal="center" vertical="center"/>
    </xf>
    <xf numFmtId="14" fontId="73" fillId="4" borderId="36" xfId="0" applyNumberFormat="1" applyFont="1" applyFill="1" applyBorder="1" applyAlignment="1" applyProtection="1">
      <alignment horizontal="center" vertical="center"/>
      <protection hidden="1"/>
    </xf>
    <xf numFmtId="0" fontId="94" fillId="10" borderId="6" xfId="3" quotePrefix="1" applyFont="1" applyFill="1" applyBorder="1" applyAlignment="1">
      <alignment horizontal="center" vertical="center"/>
    </xf>
    <xf numFmtId="0" fontId="15" fillId="0" borderId="6" xfId="0" quotePrefix="1" applyFont="1" applyBorder="1" applyAlignment="1">
      <alignment horizontal="center" vertical="center"/>
    </xf>
    <xf numFmtId="0" fontId="53" fillId="12" borderId="6" xfId="0" applyFont="1" applyFill="1" applyBorder="1" applyAlignment="1">
      <alignment horizontal="center" vertical="center"/>
    </xf>
    <xf numFmtId="0" fontId="53" fillId="12" borderId="6" xfId="0" applyFont="1" applyFill="1" applyBorder="1" applyAlignment="1">
      <alignment horizontal="right" vertical="center"/>
    </xf>
    <xf numFmtId="0" fontId="34" fillId="2" borderId="6" xfId="0" applyFont="1" applyFill="1" applyBorder="1" applyAlignment="1" applyProtection="1">
      <alignment horizontal="center" vertical="center"/>
      <protection hidden="1"/>
    </xf>
    <xf numFmtId="0" fontId="0" fillId="0" borderId="6" xfId="0" applyBorder="1" applyAlignment="1" applyProtection="1">
      <alignment horizontal="center" vertical="center"/>
      <protection hidden="1"/>
    </xf>
    <xf numFmtId="0" fontId="0" fillId="0" borderId="2" xfId="0" applyAlignment="1" applyProtection="1">
      <alignment vertical="center"/>
      <protection hidden="1"/>
    </xf>
    <xf numFmtId="0" fontId="20" fillId="0" borderId="6" xfId="0" applyFont="1" applyBorder="1" applyAlignment="1">
      <alignment vertical="center"/>
    </xf>
    <xf numFmtId="0" fontId="25" fillId="0" borderId="6" xfId="0" applyFont="1" applyBorder="1" applyAlignment="1">
      <alignment vertical="center"/>
    </xf>
    <xf numFmtId="0" fontId="18" fillId="0" borderId="0" xfId="0" applyFont="1" applyBorder="1" applyAlignment="1">
      <alignment vertical="center"/>
    </xf>
    <xf numFmtId="0" fontId="48" fillId="0" borderId="2" xfId="3" applyFont="1" applyAlignment="1">
      <alignment vertical="center"/>
    </xf>
    <xf numFmtId="0" fontId="48" fillId="4" borderId="6" xfId="3" applyFont="1" applyFill="1" applyBorder="1" applyAlignment="1">
      <alignment horizontal="center" vertical="center"/>
    </xf>
    <xf numFmtId="0" fontId="48" fillId="0" borderId="9" xfId="3" applyFont="1" applyBorder="1" applyAlignment="1">
      <alignment vertical="center"/>
    </xf>
    <xf numFmtId="14" fontId="88" fillId="0" borderId="2" xfId="0" applyNumberFormat="1" applyFont="1" applyAlignment="1">
      <alignment horizontal="center" vertical="center"/>
    </xf>
    <xf numFmtId="0" fontId="53" fillId="18" borderId="6" xfId="0" applyFont="1" applyFill="1" applyBorder="1" applyAlignment="1" applyProtection="1">
      <alignment horizontal="center" vertical="center"/>
      <protection hidden="1"/>
    </xf>
    <xf numFmtId="0" fontId="53" fillId="4" borderId="6" xfId="0" applyFont="1" applyFill="1" applyBorder="1" applyAlignment="1" applyProtection="1">
      <alignment vertical="center"/>
      <protection hidden="1"/>
    </xf>
    <xf numFmtId="0" fontId="53" fillId="4" borderId="0" xfId="0" applyFont="1" applyFill="1" applyBorder="1" applyAlignment="1" applyProtection="1">
      <alignment horizontal="center" vertical="center"/>
      <protection hidden="1"/>
    </xf>
    <xf numFmtId="0" fontId="53" fillId="18" borderId="6" xfId="0" applyFont="1" applyFill="1" applyBorder="1" applyAlignment="1" applyProtection="1">
      <alignment horizontal="right" vertical="center"/>
      <protection hidden="1"/>
    </xf>
    <xf numFmtId="0" fontId="58" fillId="18" borderId="6" xfId="0" applyFont="1" applyFill="1" applyBorder="1" applyAlignment="1" applyProtection="1">
      <alignment horizontal="center" vertical="center"/>
      <protection hidden="1"/>
    </xf>
    <xf numFmtId="0" fontId="58" fillId="4" borderId="6" xfId="0" applyFont="1" applyFill="1" applyBorder="1" applyAlignment="1" applyProtection="1">
      <alignment horizontal="center" vertical="center"/>
      <protection hidden="1"/>
    </xf>
    <xf numFmtId="0" fontId="58" fillId="6" borderId="6" xfId="14" applyNumberFormat="1" applyFont="1" applyFill="1" applyBorder="1" applyAlignment="1" applyProtection="1">
      <alignment horizontal="center" vertical="center"/>
      <protection hidden="1"/>
    </xf>
    <xf numFmtId="0" fontId="14" fillId="4" borderId="8" xfId="0" applyFont="1" applyFill="1" applyBorder="1" applyAlignment="1" applyProtection="1">
      <alignment horizontal="right" vertical="center"/>
      <protection hidden="1"/>
    </xf>
    <xf numFmtId="0" fontId="53" fillId="4" borderId="8" xfId="0" applyFont="1" applyFill="1" applyBorder="1" applyAlignment="1" applyProtection="1">
      <alignment horizontal="center" vertical="center"/>
      <protection hidden="1"/>
    </xf>
    <xf numFmtId="9" fontId="53" fillId="4" borderId="8" xfId="14" applyFont="1" applyFill="1" applyBorder="1" applyAlignment="1" applyProtection="1">
      <alignment horizontal="center" vertical="center"/>
      <protection hidden="1"/>
    </xf>
    <xf numFmtId="0" fontId="13" fillId="0" borderId="2" xfId="25" applyFont="1" applyAlignment="1">
      <alignment horizontal="left" vertical="center"/>
    </xf>
    <xf numFmtId="0" fontId="48" fillId="4" borderId="2" xfId="1" applyFont="1" applyFill="1" applyAlignment="1">
      <alignment horizontal="center" vertical="center"/>
    </xf>
    <xf numFmtId="0" fontId="48" fillId="4" borderId="2" xfId="1" applyFont="1" applyFill="1" applyAlignment="1">
      <alignment horizontal="left" vertical="center"/>
    </xf>
    <xf numFmtId="0" fontId="33" fillId="3" borderId="10" xfId="0" applyFont="1" applyFill="1" applyBorder="1" applyAlignment="1" applyProtection="1">
      <alignment horizontal="center" vertical="center"/>
      <protection hidden="1"/>
    </xf>
    <xf numFmtId="0" fontId="33" fillId="3" borderId="13" xfId="0" applyFont="1" applyFill="1" applyBorder="1" applyAlignment="1" applyProtection="1">
      <alignment horizontal="center" vertical="center"/>
      <protection hidden="1"/>
    </xf>
    <xf numFmtId="0" fontId="53" fillId="11" borderId="10" xfId="0" applyFont="1" applyFill="1" applyBorder="1" applyAlignment="1" applyProtection="1">
      <alignment horizontal="center" vertical="center"/>
      <protection hidden="1"/>
    </xf>
    <xf numFmtId="0" fontId="33" fillId="7" borderId="23" xfId="0" applyFont="1" applyFill="1" applyBorder="1" applyAlignment="1" applyProtection="1">
      <alignment horizontal="center" vertical="center"/>
      <protection hidden="1"/>
    </xf>
    <xf numFmtId="0" fontId="33" fillId="12" borderId="9" xfId="0" applyFont="1" applyFill="1" applyBorder="1" applyAlignment="1" applyProtection="1">
      <alignment horizontal="center" vertical="center"/>
      <protection hidden="1"/>
    </xf>
    <xf numFmtId="0" fontId="33" fillId="12" borderId="16" xfId="0" applyFont="1" applyFill="1" applyBorder="1" applyAlignment="1" applyProtection="1">
      <alignment horizontal="center" vertical="center"/>
      <protection hidden="1"/>
    </xf>
    <xf numFmtId="0" fontId="33" fillId="4" borderId="9" xfId="0" applyFont="1" applyFill="1" applyBorder="1" applyAlignment="1" applyProtection="1">
      <alignment horizontal="center" vertical="center"/>
      <protection hidden="1"/>
    </xf>
    <xf numFmtId="0" fontId="33" fillId="4" borderId="16" xfId="0" applyFont="1" applyFill="1" applyBorder="1" applyAlignment="1" applyProtection="1">
      <alignment horizontal="center" vertical="center"/>
      <protection hidden="1"/>
    </xf>
    <xf numFmtId="0" fontId="44" fillId="7" borderId="10" xfId="0" applyFont="1" applyFill="1" applyBorder="1" applyAlignment="1" applyProtection="1">
      <alignment horizontal="center" vertical="center"/>
      <protection hidden="1"/>
    </xf>
    <xf numFmtId="0" fontId="44" fillId="5" borderId="23" xfId="0" applyFont="1" applyFill="1" applyBorder="1" applyAlignment="1" applyProtection="1">
      <alignment horizontal="center" vertical="center"/>
      <protection hidden="1"/>
    </xf>
    <xf numFmtId="0" fontId="44" fillId="5" borderId="16" xfId="0" applyFont="1" applyFill="1" applyBorder="1" applyAlignment="1" applyProtection="1">
      <alignment horizontal="center" vertical="center"/>
      <protection hidden="1"/>
    </xf>
    <xf numFmtId="0" fontId="44" fillId="22" borderId="9" xfId="0" applyFont="1" applyFill="1" applyBorder="1" applyAlignment="1" applyProtection="1">
      <alignment horizontal="center" vertical="center"/>
      <protection hidden="1"/>
    </xf>
    <xf numFmtId="0" fontId="44" fillId="22" borderId="16" xfId="0" applyFont="1" applyFill="1" applyBorder="1" applyAlignment="1" applyProtection="1">
      <alignment horizontal="center" vertical="center"/>
      <protection hidden="1"/>
    </xf>
    <xf numFmtId="0" fontId="33" fillId="3" borderId="19" xfId="0" applyFont="1" applyFill="1" applyBorder="1" applyAlignment="1" applyProtection="1">
      <alignment horizontal="center" vertical="center"/>
      <protection hidden="1"/>
    </xf>
    <xf numFmtId="9" fontId="57" fillId="20" borderId="19" xfId="14" applyFont="1" applyFill="1" applyBorder="1" applyAlignment="1" applyProtection="1">
      <alignment horizontal="center" vertical="center"/>
      <protection hidden="1"/>
    </xf>
    <xf numFmtId="0" fontId="46" fillId="2" borderId="36" xfId="0" applyFont="1" applyFill="1" applyBorder="1" applyAlignment="1" applyProtection="1">
      <alignment horizontal="center" vertical="center" wrapText="1"/>
      <protection hidden="1"/>
    </xf>
    <xf numFmtId="0" fontId="25" fillId="12" borderId="36" xfId="0" applyFont="1" applyFill="1" applyBorder="1" applyAlignment="1">
      <alignment horizontal="center" vertical="center"/>
    </xf>
    <xf numFmtId="0" fontId="12" fillId="0" borderId="0" xfId="0" applyFont="1" applyBorder="1" applyAlignment="1">
      <alignment horizontal="center" vertical="center"/>
    </xf>
    <xf numFmtId="0" fontId="11" fillId="12" borderId="36" xfId="0" applyFont="1" applyFill="1" applyBorder="1" applyAlignment="1">
      <alignment horizontal="center" vertical="center"/>
    </xf>
    <xf numFmtId="0" fontId="38" fillId="33" borderId="2" xfId="0" applyFont="1" applyFill="1" applyAlignment="1" applyProtection="1">
      <alignment horizontal="center" vertical="center"/>
      <protection hidden="1"/>
    </xf>
    <xf numFmtId="0" fontId="10" fillId="0" borderId="6" xfId="0" quotePrefix="1" applyFont="1" applyBorder="1" applyAlignment="1">
      <alignment horizontal="center" vertical="center"/>
    </xf>
    <xf numFmtId="0" fontId="0" fillId="0" borderId="2" xfId="0" applyAlignment="1">
      <alignment horizontal="center" vertical="center"/>
    </xf>
    <xf numFmtId="0" fontId="9" fillId="12" borderId="36" xfId="0" applyFont="1" applyFill="1" applyBorder="1" applyAlignment="1">
      <alignment horizontal="center" vertical="center"/>
    </xf>
    <xf numFmtId="0" fontId="88" fillId="0" borderId="0" xfId="0" applyFont="1" applyBorder="1" applyAlignment="1">
      <alignment horizontal="center" vertical="center"/>
    </xf>
    <xf numFmtId="0" fontId="25" fillId="12" borderId="18" xfId="0" applyFont="1" applyFill="1" applyBorder="1" applyAlignment="1">
      <alignment horizontal="center" vertical="center"/>
    </xf>
    <xf numFmtId="0" fontId="9" fillId="12" borderId="18" xfId="0" applyFont="1" applyFill="1" applyBorder="1" applyAlignment="1">
      <alignment horizontal="center" vertical="center"/>
    </xf>
    <xf numFmtId="0" fontId="25" fillId="4" borderId="19" xfId="0" applyFont="1" applyFill="1" applyBorder="1" applyAlignment="1">
      <alignment horizontal="center" vertical="center"/>
    </xf>
    <xf numFmtId="0" fontId="25" fillId="4" borderId="37" xfId="0" applyFont="1" applyFill="1" applyBorder="1" applyAlignment="1">
      <alignment horizontal="center" vertical="center"/>
    </xf>
    <xf numFmtId="0" fontId="25" fillId="4" borderId="16" xfId="0" applyFont="1" applyFill="1" applyBorder="1" applyAlignment="1">
      <alignment horizontal="center" vertical="center"/>
    </xf>
    <xf numFmtId="0" fontId="25" fillId="4" borderId="8" xfId="0" applyFont="1" applyFill="1" applyBorder="1" applyAlignment="1">
      <alignment horizontal="center" vertical="center"/>
    </xf>
    <xf numFmtId="0" fontId="25" fillId="4" borderId="17" xfId="0" applyFont="1" applyFill="1" applyBorder="1" applyAlignment="1">
      <alignment horizontal="center" vertical="center"/>
    </xf>
    <xf numFmtId="0" fontId="25" fillId="5" borderId="19" xfId="0" applyFont="1" applyFill="1" applyBorder="1" applyAlignment="1">
      <alignment horizontal="center" vertical="center"/>
    </xf>
    <xf numFmtId="0" fontId="25" fillId="5" borderId="37"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8" xfId="0" applyFont="1" applyFill="1" applyBorder="1" applyAlignment="1">
      <alignment horizontal="center" vertical="center"/>
    </xf>
    <xf numFmtId="0" fontId="25" fillId="5" borderId="17" xfId="0" applyFont="1" applyFill="1" applyBorder="1" applyAlignment="1">
      <alignment horizontal="center" vertical="center"/>
    </xf>
    <xf numFmtId="0" fontId="25" fillId="5" borderId="23" xfId="0" applyFont="1" applyFill="1" applyBorder="1" applyAlignment="1">
      <alignment horizontal="center" vertical="center"/>
    </xf>
    <xf numFmtId="0" fontId="25" fillId="4" borderId="23" xfId="0" applyFont="1" applyFill="1" applyBorder="1" applyAlignment="1">
      <alignment horizontal="center" vertical="center"/>
    </xf>
    <xf numFmtId="0" fontId="25" fillId="5" borderId="9" xfId="0" applyFont="1" applyFill="1" applyBorder="1" applyAlignment="1">
      <alignment horizontal="center" vertical="center"/>
    </xf>
    <xf numFmtId="0" fontId="25" fillId="4" borderId="9" xfId="0" applyFont="1" applyFill="1" applyBorder="1" applyAlignment="1">
      <alignment horizontal="center" vertical="center"/>
    </xf>
    <xf numFmtId="0" fontId="48" fillId="5" borderId="2" xfId="1" applyFont="1" applyFill="1" applyAlignment="1">
      <alignment horizontal="center" vertical="center"/>
    </xf>
    <xf numFmtId="0" fontId="48" fillId="5" borderId="2" xfId="1" applyFont="1" applyFill="1" applyAlignment="1">
      <alignment horizontal="left" vertical="center"/>
    </xf>
    <xf numFmtId="0" fontId="9" fillId="32" borderId="13" xfId="0" applyFont="1" applyFill="1" applyBorder="1" applyAlignment="1" applyProtection="1">
      <alignment horizontal="center" vertical="center"/>
      <protection hidden="1"/>
    </xf>
    <xf numFmtId="0" fontId="9" fillId="34" borderId="19" xfId="0" applyFont="1" applyFill="1" applyBorder="1" applyAlignment="1" applyProtection="1">
      <alignment horizontal="center" vertical="center"/>
      <protection hidden="1"/>
    </xf>
    <xf numFmtId="0" fontId="9" fillId="0" borderId="0" xfId="9" applyFont="1" applyBorder="1"/>
    <xf numFmtId="0" fontId="35" fillId="0" borderId="2" xfId="0" applyFont="1" applyAlignment="1">
      <alignment vertical="center"/>
    </xf>
    <xf numFmtId="0" fontId="9" fillId="0" borderId="2" xfId="9" applyFont="1"/>
    <xf numFmtId="0" fontId="8" fillId="0" borderId="6" xfId="0" quotePrefix="1" applyFont="1" applyBorder="1" applyAlignment="1">
      <alignment horizontal="center" vertical="center"/>
    </xf>
    <xf numFmtId="0" fontId="44" fillId="5" borderId="9" xfId="0" applyFont="1" applyFill="1" applyBorder="1" applyAlignment="1" applyProtection="1">
      <alignment horizontal="center" vertical="center"/>
      <protection hidden="1"/>
    </xf>
    <xf numFmtId="0" fontId="8" fillId="12" borderId="36" xfId="0" applyFont="1" applyFill="1" applyBorder="1" applyAlignment="1">
      <alignment horizontal="center" vertical="center"/>
    </xf>
    <xf numFmtId="0" fontId="44" fillId="35" borderId="2" xfId="0" applyFont="1" applyFill="1" applyAlignment="1">
      <alignment horizontal="center" vertical="center"/>
    </xf>
    <xf numFmtId="0" fontId="25" fillId="0" borderId="2" xfId="0" applyFont="1" applyAlignment="1">
      <alignment horizontal="center" vertical="center"/>
    </xf>
    <xf numFmtId="0" fontId="9" fillId="0" borderId="2" xfId="0" applyFont="1" applyAlignment="1">
      <alignment horizontal="center" vertical="center"/>
    </xf>
    <xf numFmtId="0" fontId="7" fillId="12" borderId="36" xfId="0" applyFont="1" applyFill="1" applyBorder="1" applyAlignment="1">
      <alignment horizontal="center" vertical="center"/>
    </xf>
    <xf numFmtId="0" fontId="7" fillId="5" borderId="23" xfId="0" applyFont="1" applyFill="1" applyBorder="1" applyAlignment="1">
      <alignment horizontal="center" vertical="center"/>
    </xf>
    <xf numFmtId="0" fontId="7" fillId="5" borderId="16" xfId="0" applyFont="1" applyFill="1" applyBorder="1" applyAlignment="1">
      <alignment horizontal="center" vertical="center"/>
    </xf>
    <xf numFmtId="0" fontId="7" fillId="4" borderId="23" xfId="0" applyFont="1" applyFill="1" applyBorder="1" applyAlignment="1">
      <alignment horizontal="center" vertical="center"/>
    </xf>
    <xf numFmtId="0" fontId="7" fillId="4" borderId="16" xfId="0" applyFont="1" applyFill="1" applyBorder="1" applyAlignment="1">
      <alignment horizontal="center" vertical="center"/>
    </xf>
    <xf numFmtId="0" fontId="7" fillId="12" borderId="10" xfId="0" applyFont="1" applyFill="1" applyBorder="1" applyAlignment="1">
      <alignment horizontal="center" vertical="center"/>
    </xf>
    <xf numFmtId="0" fontId="25" fillId="4" borderId="18" xfId="0" applyFont="1" applyFill="1" applyBorder="1" applyAlignment="1">
      <alignment horizontal="center" vertical="center"/>
    </xf>
    <xf numFmtId="0" fontId="25" fillId="4" borderId="12" xfId="0" applyFont="1" applyFill="1" applyBorder="1" applyAlignment="1">
      <alignment horizontal="center" vertical="center"/>
    </xf>
    <xf numFmtId="0" fontId="25" fillId="5" borderId="18" xfId="0" applyFont="1" applyFill="1" applyBorder="1" applyAlignment="1">
      <alignment horizontal="center" vertical="center"/>
    </xf>
    <xf numFmtId="0" fontId="25" fillId="5" borderId="12" xfId="0" applyFont="1" applyFill="1" applyBorder="1" applyAlignment="1">
      <alignment horizontal="center" vertical="center"/>
    </xf>
    <xf numFmtId="0" fontId="6" fillId="0" borderId="2" xfId="0" applyFont="1" applyAlignment="1">
      <alignment vertical="center"/>
    </xf>
    <xf numFmtId="49" fontId="6" fillId="0" borderId="2" xfId="0" applyNumberFormat="1" applyFont="1" applyAlignment="1">
      <alignment vertical="center"/>
    </xf>
    <xf numFmtId="14" fontId="6" fillId="0" borderId="2" xfId="0" applyNumberFormat="1" applyFont="1" applyAlignment="1">
      <alignment horizontal="center" vertical="center"/>
    </xf>
    <xf numFmtId="0" fontId="88" fillId="0" borderId="2" xfId="0" applyFont="1" applyAlignment="1">
      <alignment vertical="center"/>
    </xf>
    <xf numFmtId="14" fontId="63" fillId="0" borderId="2" xfId="0" applyNumberFormat="1" applyFont="1" applyAlignment="1">
      <alignment horizontal="center" vertical="center"/>
    </xf>
    <xf numFmtId="49" fontId="88" fillId="0" borderId="2" xfId="0" applyNumberFormat="1" applyFont="1" applyAlignment="1">
      <alignment vertical="center"/>
    </xf>
    <xf numFmtId="0" fontId="5" fillId="12" borderId="36" xfId="0" applyFont="1" applyFill="1" applyBorder="1" applyAlignment="1">
      <alignment horizontal="center" vertical="center"/>
    </xf>
    <xf numFmtId="0" fontId="98" fillId="0" borderId="1" xfId="0" applyFont="1" applyBorder="1" applyAlignment="1">
      <alignment horizontal="left" vertical="center" wrapText="1"/>
    </xf>
    <xf numFmtId="14" fontId="0" fillId="0" borderId="2" xfId="0" applyNumberFormat="1" applyAlignment="1">
      <alignment horizontal="center" vertical="center"/>
    </xf>
    <xf numFmtId="0" fontId="4" fillId="0" borderId="2" xfId="0" applyFont="1" applyAlignment="1">
      <alignment vertical="center"/>
    </xf>
    <xf numFmtId="49" fontId="4" fillId="0" borderId="2" xfId="0" applyNumberFormat="1" applyFont="1" applyAlignment="1">
      <alignment vertical="center"/>
    </xf>
    <xf numFmtId="0" fontId="3" fillId="0" borderId="2" xfId="0" applyFont="1" applyAlignment="1">
      <alignment vertical="center"/>
    </xf>
    <xf numFmtId="49" fontId="3" fillId="0" borderId="2" xfId="0" applyNumberFormat="1" applyFont="1" applyAlignment="1">
      <alignment vertical="center"/>
    </xf>
    <xf numFmtId="0" fontId="2" fillId="0" borderId="2" xfId="0" applyFont="1" applyAlignment="1">
      <alignment vertical="center"/>
    </xf>
    <xf numFmtId="49" fontId="2" fillId="0" borderId="2" xfId="0" applyNumberFormat="1" applyFont="1" applyAlignment="1">
      <alignment vertical="center"/>
    </xf>
    <xf numFmtId="0" fontId="9" fillId="5" borderId="18" xfId="0" applyFont="1" applyFill="1" applyBorder="1" applyAlignment="1">
      <alignment horizontal="center" vertical="center"/>
    </xf>
    <xf numFmtId="0" fontId="25" fillId="5" borderId="11" xfId="0" applyFont="1" applyFill="1" applyBorder="1" applyAlignment="1">
      <alignment horizontal="center" vertical="center"/>
    </xf>
    <xf numFmtId="0" fontId="9" fillId="4" borderId="18" xfId="0" applyFont="1" applyFill="1" applyBorder="1" applyAlignment="1">
      <alignment horizontal="center" vertical="center"/>
    </xf>
    <xf numFmtId="0" fontId="25" fillId="4" borderId="11" xfId="0" applyFont="1" applyFill="1" applyBorder="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4" borderId="18" xfId="0" applyFont="1" applyFill="1" applyBorder="1" applyAlignment="1">
      <alignment horizontal="center" vertical="center"/>
    </xf>
    <xf numFmtId="0" fontId="7" fillId="4" borderId="12" xfId="0" applyFont="1" applyFill="1" applyBorder="1" applyAlignment="1">
      <alignment horizontal="center" vertical="center"/>
    </xf>
    <xf numFmtId="0" fontId="30" fillId="0" borderId="9" xfId="0" applyFont="1" applyBorder="1" applyAlignment="1" applyProtection="1">
      <alignment vertical="center"/>
      <protection hidden="1"/>
    </xf>
    <xf numFmtId="0" fontId="33" fillId="0" borderId="9" xfId="0" applyFont="1" applyBorder="1" applyAlignment="1">
      <alignment vertical="center"/>
    </xf>
    <xf numFmtId="0" fontId="33" fillId="0" borderId="9" xfId="0" applyFont="1" applyBorder="1" applyAlignment="1" applyProtection="1">
      <alignment vertical="center"/>
      <protection hidden="1"/>
    </xf>
    <xf numFmtId="0" fontId="33" fillId="0" borderId="9" xfId="0" applyFont="1" applyBorder="1" applyAlignment="1" applyProtection="1">
      <alignment horizontal="center" vertical="center"/>
      <protection hidden="1"/>
    </xf>
    <xf numFmtId="0" fontId="33" fillId="0" borderId="16" xfId="0" applyFont="1" applyBorder="1" applyAlignment="1" applyProtection="1">
      <alignment horizontal="center" vertical="center"/>
      <protection hidden="1"/>
    </xf>
    <xf numFmtId="176" fontId="58" fillId="12" borderId="23" xfId="14" applyNumberFormat="1" applyFont="1" applyFill="1" applyBorder="1" applyAlignment="1" applyProtection="1">
      <alignment horizontal="center" vertical="center"/>
      <protection hidden="1"/>
    </xf>
    <xf numFmtId="177" fontId="0" fillId="0" borderId="1" xfId="0" applyNumberFormat="1" applyBorder="1" applyAlignment="1">
      <alignment horizontal="center" vertical="center" wrapText="1"/>
    </xf>
    <xf numFmtId="178" fontId="48" fillId="0" borderId="2" xfId="3" applyNumberFormat="1" applyFont="1" applyAlignment="1">
      <alignment horizontal="center" vertical="center"/>
    </xf>
    <xf numFmtId="177" fontId="0" fillId="0" borderId="1" xfId="0" applyNumberFormat="1" applyBorder="1" applyAlignment="1">
      <alignment horizontal="center" vertical="center" wrapText="1"/>
    </xf>
    <xf numFmtId="0" fontId="44" fillId="12" borderId="9" xfId="0" applyFont="1" applyFill="1" applyBorder="1" applyAlignment="1" applyProtection="1">
      <alignment horizontal="right" vertical="center"/>
      <protection hidden="1"/>
    </xf>
    <xf numFmtId="0" fontId="33" fillId="0" borderId="2" xfId="0" applyFont="1" applyBorder="1" applyAlignment="1" applyProtection="1">
      <alignment horizontal="center" vertical="center"/>
      <protection hidden="1"/>
    </xf>
    <xf numFmtId="0" fontId="33" fillId="0" borderId="2" xfId="0" applyFont="1" applyBorder="1" applyAlignment="1">
      <alignment horizontal="center" vertical="center"/>
    </xf>
    <xf numFmtId="0" fontId="44" fillId="5" borderId="2" xfId="0" applyFont="1" applyFill="1" applyBorder="1" applyAlignment="1" applyProtection="1">
      <alignment horizontal="center" vertical="center"/>
      <protection hidden="1"/>
    </xf>
    <xf numFmtId="0" fontId="33" fillId="0" borderId="2" xfId="0" applyFont="1" applyBorder="1" applyAlignment="1" applyProtection="1">
      <alignment vertical="center"/>
      <protection hidden="1"/>
    </xf>
    <xf numFmtId="0" fontId="44" fillId="7" borderId="16" xfId="0" applyFont="1" applyFill="1" applyBorder="1" applyAlignment="1" applyProtection="1">
      <alignment horizontal="center" vertical="center"/>
      <protection hidden="1"/>
    </xf>
    <xf numFmtId="0" fontId="44" fillId="7" borderId="8" xfId="0" applyFont="1" applyFill="1" applyBorder="1" applyAlignment="1" applyProtection="1">
      <alignment horizontal="center" vertical="center"/>
      <protection hidden="1"/>
    </xf>
    <xf numFmtId="0" fontId="44" fillId="5" borderId="37" xfId="0" applyFont="1" applyFill="1" applyBorder="1" applyAlignment="1" applyProtection="1">
      <alignment horizontal="center" vertical="center"/>
      <protection hidden="1"/>
    </xf>
    <xf numFmtId="0" fontId="44" fillId="5" borderId="38" xfId="0" applyFont="1" applyFill="1" applyBorder="1" applyAlignment="1" applyProtection="1">
      <alignment horizontal="center" vertical="center"/>
      <protection hidden="1"/>
    </xf>
    <xf numFmtId="9" fontId="57" fillId="20" borderId="23" xfId="14" applyFont="1" applyFill="1" applyBorder="1" applyAlignment="1" applyProtection="1">
      <alignment horizontal="center" vertical="center"/>
      <protection hidden="1"/>
    </xf>
    <xf numFmtId="10" fontId="33" fillId="12" borderId="9" xfId="0" applyNumberFormat="1" applyFont="1" applyFill="1" applyBorder="1" applyAlignment="1" applyProtection="1">
      <alignment horizontal="center" vertical="center"/>
      <protection hidden="1"/>
    </xf>
    <xf numFmtId="0" fontId="87" fillId="0" borderId="34" xfId="0" applyFont="1" applyBorder="1" applyAlignment="1">
      <alignment horizontal="left" vertical="center" wrapText="1"/>
    </xf>
    <xf numFmtId="0" fontId="0" fillId="0" borderId="31" xfId="0" applyBorder="1"/>
    <xf numFmtId="0" fontId="0" fillId="0" borderId="32" xfId="0" applyBorder="1"/>
    <xf numFmtId="0" fontId="60" fillId="0" borderId="8" xfId="9" applyFont="1" applyBorder="1" applyAlignment="1">
      <alignment horizontal="center" vertical="center"/>
    </xf>
    <xf numFmtId="0" fontId="0" fillId="0" borderId="8" xfId="0" applyBorder="1"/>
    <xf numFmtId="0" fontId="60" fillId="0" borderId="6" xfId="9" applyFont="1" applyBorder="1" applyAlignment="1">
      <alignment horizontal="center" vertical="center"/>
    </xf>
    <xf numFmtId="0" fontId="0" fillId="0" borderId="15" xfId="0" applyBorder="1"/>
    <xf numFmtId="10" fontId="99" fillId="5" borderId="9" xfId="0" applyNumberFormat="1" applyFont="1" applyFill="1" applyBorder="1" applyAlignment="1" applyProtection="1">
      <alignment horizontal="center" vertical="center"/>
      <protection hidden="1"/>
    </xf>
    <xf numFmtId="10" fontId="99" fillId="5" borderId="2" xfId="0" applyNumberFormat="1" applyFont="1" applyFill="1" applyBorder="1" applyAlignment="1" applyProtection="1">
      <alignment horizontal="center" vertical="center"/>
      <protection hidden="1"/>
    </xf>
    <xf numFmtId="10" fontId="99" fillId="5" borderId="38" xfId="0" applyNumberFormat="1" applyFont="1" applyFill="1" applyBorder="1" applyAlignment="1" applyProtection="1">
      <alignment horizontal="center" vertical="center"/>
      <protection hidden="1"/>
    </xf>
    <xf numFmtId="10" fontId="99" fillId="5" borderId="16" xfId="0" applyNumberFormat="1" applyFont="1" applyFill="1" applyBorder="1" applyAlignment="1" applyProtection="1">
      <alignment horizontal="center" vertical="center"/>
      <protection hidden="1"/>
    </xf>
    <xf numFmtId="10" fontId="99" fillId="5" borderId="8" xfId="0" applyNumberFormat="1" applyFont="1" applyFill="1" applyBorder="1" applyAlignment="1" applyProtection="1">
      <alignment horizontal="center" vertical="center"/>
      <protection hidden="1"/>
    </xf>
    <xf numFmtId="10" fontId="99" fillId="5" borderId="17" xfId="0" applyNumberFormat="1" applyFont="1" applyFill="1" applyBorder="1" applyAlignment="1" applyProtection="1">
      <alignment horizontal="center" vertical="center"/>
      <protection hidden="1"/>
    </xf>
    <xf numFmtId="0" fontId="44" fillId="5" borderId="17" xfId="0" applyFont="1" applyFill="1" applyBorder="1" applyAlignment="1" applyProtection="1">
      <alignment horizontal="center" vertical="center"/>
      <protection hidden="1"/>
    </xf>
    <xf numFmtId="0" fontId="44" fillId="0" borderId="2" xfId="0" applyFont="1" applyBorder="1" applyAlignment="1" applyProtection="1">
      <alignment horizontal="center" vertical="center"/>
      <protection hidden="1"/>
    </xf>
    <xf numFmtId="0" fontId="73" fillId="0" borderId="12" xfId="0" applyFont="1" applyBorder="1" applyAlignment="1" applyProtection="1">
      <alignment horizontal="center" vertical="center"/>
      <protection hidden="1"/>
    </xf>
    <xf numFmtId="20" fontId="73" fillId="0" borderId="12" xfId="0" applyNumberFormat="1" applyFont="1" applyBorder="1" applyAlignment="1" applyProtection="1">
      <alignment horizontal="center" vertical="center"/>
      <protection hidden="1"/>
    </xf>
    <xf numFmtId="20" fontId="73" fillId="0" borderId="16" xfId="0" applyNumberFormat="1" applyFont="1" applyBorder="1" applyAlignment="1" applyProtection="1">
      <alignment horizontal="left" vertical="center"/>
      <protection hidden="1"/>
    </xf>
    <xf numFmtId="14" fontId="100" fillId="10" borderId="36" xfId="0" applyNumberFormat="1" applyFont="1" applyFill="1" applyBorder="1" applyAlignment="1" applyProtection="1">
      <alignment horizontal="center" vertical="center"/>
      <protection hidden="1"/>
    </xf>
    <xf numFmtId="0" fontId="73" fillId="4" borderId="36" xfId="0" applyFont="1" applyFill="1" applyBorder="1" applyAlignment="1" applyProtection="1">
      <alignment horizontal="center" vertical="center"/>
      <protection hidden="1"/>
    </xf>
    <xf numFmtId="14" fontId="101" fillId="4" borderId="36" xfId="0" applyNumberFormat="1" applyFont="1" applyFill="1" applyBorder="1" applyAlignment="1" applyProtection="1">
      <alignment horizontal="center" vertical="center"/>
      <protection hidden="1"/>
    </xf>
    <xf numFmtId="0" fontId="73" fillId="4" borderId="36" xfId="0" applyFont="1" applyFill="1" applyBorder="1" applyAlignment="1">
      <alignment horizontal="center" vertical="center"/>
    </xf>
    <xf numFmtId="0" fontId="73" fillId="4" borderId="2" xfId="0" applyFont="1" applyFill="1" applyProtection="1">
      <protection hidden="1"/>
    </xf>
    <xf numFmtId="0" fontId="73" fillId="7" borderId="6" xfId="0" applyFont="1" applyFill="1" applyBorder="1" applyAlignment="1" applyProtection="1">
      <alignment horizontal="center" vertical="center"/>
      <protection hidden="1"/>
    </xf>
    <xf numFmtId="14" fontId="100" fillId="26" borderId="6" xfId="0" applyNumberFormat="1" applyFont="1" applyFill="1" applyBorder="1" applyAlignment="1" applyProtection="1">
      <alignment horizontal="center" vertical="center"/>
      <protection hidden="1"/>
    </xf>
    <xf numFmtId="0" fontId="48" fillId="7" borderId="6" xfId="0" applyFont="1" applyFill="1" applyBorder="1" applyAlignment="1" applyProtection="1">
      <alignment horizontal="center" vertical="center"/>
      <protection hidden="1"/>
    </xf>
    <xf numFmtId="14" fontId="100" fillId="26" borderId="2" xfId="0" applyNumberFormat="1" applyFont="1" applyFill="1" applyAlignment="1" applyProtection="1">
      <alignment horizontal="center" vertical="center"/>
      <protection hidden="1"/>
    </xf>
    <xf numFmtId="0" fontId="102" fillId="0" borderId="0" xfId="0" applyFont="1" applyBorder="1" applyAlignment="1">
      <alignment vertical="center"/>
    </xf>
    <xf numFmtId="0" fontId="73" fillId="0" borderId="6" xfId="0" applyFont="1" applyBorder="1" applyAlignment="1" applyProtection="1">
      <alignment horizontal="center" vertical="center"/>
      <protection hidden="1"/>
    </xf>
    <xf numFmtId="0" fontId="73" fillId="0" borderId="4" xfId="0" applyFont="1" applyBorder="1" applyAlignment="1" applyProtection="1">
      <alignment horizontal="center" vertical="center"/>
      <protection hidden="1"/>
    </xf>
    <xf numFmtId="20" fontId="73" fillId="0" borderId="10" xfId="0" applyNumberFormat="1" applyFont="1" applyBorder="1" applyAlignment="1" applyProtection="1">
      <alignment horizontal="left" vertical="center"/>
      <protection hidden="1"/>
    </xf>
    <xf numFmtId="0" fontId="73" fillId="4" borderId="13" xfId="0" applyFont="1" applyFill="1" applyBorder="1" applyProtection="1">
      <protection hidden="1"/>
    </xf>
    <xf numFmtId="14" fontId="100" fillId="26" borderId="19" xfId="0" applyNumberFormat="1" applyFont="1" applyFill="1" applyBorder="1" applyAlignment="1" applyProtection="1">
      <alignment horizontal="center" vertical="center"/>
      <protection hidden="1"/>
    </xf>
    <xf numFmtId="0" fontId="73" fillId="7" borderId="11" xfId="0" applyFont="1" applyFill="1" applyBorder="1" applyAlignment="1">
      <alignment horizontal="center" vertical="center"/>
    </xf>
    <xf numFmtId="0" fontId="73" fillId="0" borderId="21" xfId="0" applyFont="1" applyBorder="1" applyAlignment="1" applyProtection="1">
      <alignment horizontal="center" vertical="center"/>
      <protection hidden="1"/>
    </xf>
    <xf numFmtId="0" fontId="73" fillId="0" borderId="7" xfId="0" applyFont="1" applyBorder="1" applyAlignment="1" applyProtection="1">
      <alignment horizontal="center" vertical="center"/>
      <protection hidden="1"/>
    </xf>
    <xf numFmtId="0" fontId="73" fillId="0" borderId="35" xfId="0" applyFont="1" applyBorder="1" applyAlignment="1" applyProtection="1">
      <alignment horizontal="center" vertical="center"/>
      <protection hidden="1"/>
    </xf>
    <xf numFmtId="20" fontId="73" fillId="0" borderId="7" xfId="0" applyNumberFormat="1" applyFont="1" applyBorder="1" applyAlignment="1" applyProtection="1">
      <alignment horizontal="left" vertical="center"/>
      <protection hidden="1"/>
    </xf>
    <xf numFmtId="0" fontId="73" fillId="4" borderId="19" xfId="0" applyFont="1" applyFill="1" applyBorder="1" applyProtection="1">
      <protection hidden="1"/>
    </xf>
    <xf numFmtId="0" fontId="73" fillId="7" borderId="23" xfId="0" applyFont="1" applyFill="1" applyBorder="1" applyAlignment="1" applyProtection="1">
      <alignment horizontal="center" vertical="center"/>
      <protection hidden="1"/>
    </xf>
    <xf numFmtId="14" fontId="100" fillId="26" borderId="18" xfId="0" applyNumberFormat="1" applyFont="1" applyFill="1" applyBorder="1" applyAlignment="1" applyProtection="1">
      <alignment horizontal="center" vertical="center"/>
      <protection hidden="1"/>
    </xf>
    <xf numFmtId="14" fontId="100" fillId="26" borderId="23" xfId="0" applyNumberFormat="1" applyFont="1" applyFill="1" applyBorder="1" applyAlignment="1" applyProtection="1">
      <alignment horizontal="center" vertical="center"/>
      <protection hidden="1"/>
    </xf>
    <xf numFmtId="0" fontId="73" fillId="0" borderId="25" xfId="0" applyFont="1" applyBorder="1" applyAlignment="1" applyProtection="1">
      <alignment horizontal="center" vertical="center"/>
      <protection hidden="1"/>
    </xf>
    <xf numFmtId="0" fontId="73" fillId="0" borderId="14" xfId="0" applyFont="1" applyBorder="1" applyAlignment="1" applyProtection="1">
      <alignment horizontal="center" vertical="center"/>
      <protection hidden="1"/>
    </xf>
    <xf numFmtId="20" fontId="73" fillId="0" borderId="3" xfId="0" applyNumberFormat="1" applyFont="1" applyBorder="1" applyAlignment="1" applyProtection="1">
      <alignment horizontal="left" vertical="center"/>
      <protection hidden="1"/>
    </xf>
    <xf numFmtId="0" fontId="73" fillId="4" borderId="2" xfId="0" applyFont="1" applyFill="1" applyBorder="1" applyProtection="1">
      <protection hidden="1"/>
    </xf>
    <xf numFmtId="0" fontId="73" fillId="0" borderId="20" xfId="0" applyFont="1" applyBorder="1" applyAlignment="1" applyProtection="1">
      <alignment horizontal="center" vertical="center"/>
      <protection hidden="1"/>
    </xf>
    <xf numFmtId="0" fontId="73" fillId="0" borderId="24" xfId="0" applyFont="1" applyBorder="1" applyAlignment="1" applyProtection="1">
      <alignment horizontal="center" vertical="center"/>
      <protection hidden="1"/>
    </xf>
    <xf numFmtId="0" fontId="73" fillId="0" borderId="26" xfId="0" applyFont="1" applyBorder="1" applyAlignment="1" applyProtection="1">
      <alignment horizontal="center" vertical="center"/>
      <protection hidden="1"/>
    </xf>
    <xf numFmtId="0" fontId="73" fillId="0" borderId="22" xfId="0" applyFont="1" applyBorder="1" applyAlignment="1" applyProtection="1">
      <alignment horizontal="center" vertical="center"/>
      <protection hidden="1"/>
    </xf>
    <xf numFmtId="0" fontId="73" fillId="0" borderId="5" xfId="0" applyFont="1" applyBorder="1" applyAlignment="1" applyProtection="1">
      <alignment horizontal="center" vertical="center"/>
      <protection hidden="1"/>
    </xf>
    <xf numFmtId="0" fontId="73" fillId="0" borderId="27" xfId="0" applyFont="1" applyBorder="1" applyAlignment="1" applyProtection="1">
      <alignment horizontal="center" vertical="center"/>
      <protection hidden="1"/>
    </xf>
    <xf numFmtId="0" fontId="73" fillId="0" borderId="18" xfId="0" applyFont="1" applyBorder="1" applyAlignment="1" applyProtection="1">
      <alignment horizontal="center" vertical="center"/>
      <protection hidden="1"/>
    </xf>
    <xf numFmtId="20" fontId="73" fillId="0" borderId="33" xfId="0" applyNumberFormat="1" applyFont="1" applyBorder="1" applyAlignment="1" applyProtection="1">
      <alignment horizontal="left" vertical="center"/>
      <protection hidden="1"/>
    </xf>
    <xf numFmtId="0" fontId="73" fillId="4" borderId="8" xfId="0" applyFont="1" applyFill="1" applyBorder="1" applyProtection="1">
      <protection hidden="1"/>
    </xf>
    <xf numFmtId="0" fontId="73" fillId="7" borderId="12" xfId="0" applyFont="1" applyFill="1" applyBorder="1" applyAlignment="1">
      <alignment horizontal="center" vertical="center"/>
    </xf>
    <xf numFmtId="0" fontId="102" fillId="0" borderId="2" xfId="0" applyFont="1" applyBorder="1" applyAlignment="1">
      <alignment vertical="center"/>
    </xf>
    <xf numFmtId="0" fontId="1" fillId="36" borderId="18" xfId="0" applyFont="1" applyFill="1" applyBorder="1" applyAlignment="1" applyProtection="1">
      <alignment horizontal="center" vertical="center"/>
      <protection hidden="1"/>
    </xf>
    <xf numFmtId="0" fontId="58" fillId="36" borderId="18" xfId="0" applyFont="1" applyFill="1" applyBorder="1" applyAlignment="1">
      <alignment horizontal="center" vertical="center"/>
    </xf>
    <xf numFmtId="14" fontId="73" fillId="4" borderId="12" xfId="0" applyNumberFormat="1" applyFont="1" applyFill="1" applyBorder="1" applyAlignment="1" applyProtection="1">
      <alignment horizontal="center" vertical="center"/>
      <protection hidden="1"/>
    </xf>
    <xf numFmtId="14" fontId="100" fillId="10" borderId="12" xfId="0" applyNumberFormat="1" applyFont="1" applyFill="1" applyBorder="1" applyAlignment="1" applyProtection="1">
      <alignment horizontal="center" vertical="center"/>
      <protection hidden="1"/>
    </xf>
    <xf numFmtId="0" fontId="73" fillId="4" borderId="12" xfId="0" applyFont="1" applyFill="1" applyBorder="1" applyAlignment="1" applyProtection="1">
      <alignment horizontal="center" vertical="center"/>
      <protection hidden="1"/>
    </xf>
    <xf numFmtId="14" fontId="101" fillId="4" borderId="12" xfId="0" applyNumberFormat="1" applyFont="1" applyFill="1" applyBorder="1" applyAlignment="1" applyProtection="1">
      <alignment horizontal="center" vertical="center"/>
      <protection hidden="1"/>
    </xf>
    <xf numFmtId="0" fontId="73" fillId="4" borderId="12" xfId="0" applyFont="1" applyFill="1" applyBorder="1" applyAlignment="1">
      <alignment horizontal="center" vertical="center"/>
    </xf>
    <xf numFmtId="0" fontId="73" fillId="7" borderId="12" xfId="0" applyFont="1" applyFill="1" applyBorder="1" applyAlignment="1" applyProtection="1">
      <alignment horizontal="center" vertical="center"/>
      <protection hidden="1"/>
    </xf>
    <xf numFmtId="14" fontId="100" fillId="26" borderId="12" xfId="0" applyNumberFormat="1" applyFont="1" applyFill="1" applyBorder="1" applyAlignment="1" applyProtection="1">
      <alignment horizontal="center" vertical="center"/>
      <protection hidden="1"/>
    </xf>
    <xf numFmtId="0" fontId="48" fillId="7" borderId="12" xfId="0" applyFont="1" applyFill="1" applyBorder="1" applyAlignment="1" applyProtection="1">
      <alignment horizontal="center" vertical="center"/>
      <protection hidden="1"/>
    </xf>
    <xf numFmtId="0" fontId="46" fillId="2" borderId="36" xfId="0" applyFont="1" applyFill="1" applyBorder="1" applyAlignment="1" applyProtection="1">
      <alignment horizontal="center" vertical="center"/>
      <protection hidden="1"/>
    </xf>
    <xf numFmtId="0" fontId="46" fillId="13" borderId="36" xfId="0" applyFont="1" applyFill="1" applyBorder="1" applyAlignment="1" applyProtection="1">
      <alignment horizontal="center" vertical="center"/>
      <protection hidden="1"/>
    </xf>
    <xf numFmtId="0" fontId="46" fillId="27" borderId="36" xfId="0" applyFont="1" applyFill="1" applyBorder="1" applyAlignment="1" applyProtection="1">
      <alignment horizontal="center" vertical="center" wrapText="1"/>
      <protection hidden="1"/>
    </xf>
    <xf numFmtId="0" fontId="73" fillId="0" borderId="2" xfId="0" applyFont="1" applyBorder="1" applyAlignment="1">
      <alignment horizontal="center" vertical="center"/>
    </xf>
    <xf numFmtId="2" fontId="73" fillId="0" borderId="2" xfId="0" applyNumberFormat="1" applyFont="1" applyBorder="1" applyAlignment="1">
      <alignment horizontal="center" vertical="center"/>
    </xf>
    <xf numFmtId="0" fontId="25" fillId="0" borderId="2" xfId="0" applyFont="1" applyBorder="1" applyAlignment="1">
      <alignment horizontal="center" vertical="center"/>
    </xf>
    <xf numFmtId="0" fontId="55" fillId="12" borderId="18" xfId="0" applyFont="1" applyFill="1" applyBorder="1" applyAlignment="1">
      <alignment horizontal="right" vertical="center"/>
    </xf>
    <xf numFmtId="0" fontId="55" fillId="12" borderId="11" xfId="0" applyFont="1" applyFill="1" applyBorder="1" applyAlignment="1">
      <alignment horizontal="right" vertical="center"/>
    </xf>
    <xf numFmtId="0" fontId="55" fillId="12" borderId="12" xfId="0" applyFont="1" applyFill="1" applyBorder="1" applyAlignment="1">
      <alignment horizontal="right" vertical="center"/>
    </xf>
    <xf numFmtId="14" fontId="44" fillId="37" borderId="23" xfId="0" applyNumberFormat="1" applyFont="1" applyFill="1" applyBorder="1" applyAlignment="1">
      <alignment horizontal="center" vertical="center"/>
    </xf>
    <xf numFmtId="14" fontId="44" fillId="37" borderId="19" xfId="0" applyNumberFormat="1" applyFont="1" applyFill="1" applyBorder="1" applyAlignment="1">
      <alignment horizontal="center" vertical="center"/>
    </xf>
    <xf numFmtId="0" fontId="44" fillId="37" borderId="19" xfId="0" applyFont="1" applyFill="1" applyBorder="1" applyAlignment="1">
      <alignment horizontal="center" vertical="center"/>
    </xf>
    <xf numFmtId="0" fontId="44" fillId="37" borderId="37" xfId="0" applyFont="1" applyFill="1" applyBorder="1" applyAlignment="1">
      <alignment horizontal="center" vertical="center"/>
    </xf>
    <xf numFmtId="0" fontId="44" fillId="37" borderId="9" xfId="0" applyFont="1" applyFill="1" applyBorder="1" applyAlignment="1">
      <alignment horizontal="center" vertical="center"/>
    </xf>
    <xf numFmtId="0" fontId="44" fillId="37" borderId="2" xfId="0" applyFont="1" applyFill="1" applyBorder="1" applyAlignment="1">
      <alignment horizontal="center" vertical="center"/>
    </xf>
    <xf numFmtId="0" fontId="44" fillId="37" borderId="38" xfId="0" applyFont="1" applyFill="1" applyBorder="1" applyAlignment="1">
      <alignment horizontal="center" vertical="center"/>
    </xf>
    <xf numFmtId="14" fontId="51" fillId="37" borderId="9" xfId="0" applyNumberFormat="1" applyFont="1" applyFill="1" applyBorder="1" applyAlignment="1" applyProtection="1">
      <alignment vertical="center"/>
      <protection hidden="1"/>
    </xf>
    <xf numFmtId="14" fontId="51" fillId="37" borderId="2" xfId="0" applyNumberFormat="1" applyFont="1" applyFill="1" applyBorder="1" applyAlignment="1" applyProtection="1">
      <alignment vertical="center"/>
      <protection hidden="1"/>
    </xf>
    <xf numFmtId="14" fontId="44" fillId="37" borderId="2" xfId="0" applyNumberFormat="1" applyFont="1" applyFill="1" applyBorder="1" applyAlignment="1">
      <alignment horizontal="center" vertical="center"/>
    </xf>
    <xf numFmtId="2" fontId="44" fillId="37" borderId="2" xfId="0" applyNumberFormat="1" applyFont="1" applyFill="1" applyBorder="1" applyAlignment="1">
      <alignment horizontal="center" vertical="center"/>
    </xf>
    <xf numFmtId="2" fontId="44" fillId="37" borderId="38" xfId="0" applyNumberFormat="1" applyFont="1" applyFill="1" applyBorder="1" applyAlignment="1">
      <alignment horizontal="center" vertical="center"/>
    </xf>
    <xf numFmtId="0" fontId="44" fillId="37" borderId="16" xfId="0" applyFont="1" applyFill="1" applyBorder="1" applyAlignment="1">
      <alignment horizontal="center" vertical="center"/>
    </xf>
    <xf numFmtId="2" fontId="44" fillId="37" borderId="8" xfId="0" applyNumberFormat="1" applyFont="1" applyFill="1" applyBorder="1" applyAlignment="1">
      <alignment horizontal="center" vertical="center"/>
    </xf>
    <xf numFmtId="0" fontId="44" fillId="37" borderId="8" xfId="0" applyFont="1" applyFill="1" applyBorder="1" applyAlignment="1">
      <alignment horizontal="center" vertical="center"/>
    </xf>
    <xf numFmtId="2" fontId="44" fillId="37" borderId="17" xfId="0" applyNumberFormat="1" applyFont="1" applyFill="1" applyBorder="1" applyAlignment="1">
      <alignment horizontal="center" vertical="center"/>
    </xf>
    <xf numFmtId="0" fontId="1" fillId="4" borderId="10" xfId="0" applyFont="1" applyFill="1" applyBorder="1" applyAlignment="1">
      <alignment horizontal="center" vertical="center"/>
    </xf>
    <xf numFmtId="0" fontId="25" fillId="4" borderId="13" xfId="0" applyFont="1" applyFill="1" applyBorder="1" applyAlignment="1">
      <alignment horizontal="center" vertical="center"/>
    </xf>
    <xf numFmtId="0" fontId="25" fillId="4" borderId="15" xfId="0" applyFont="1" applyFill="1" applyBorder="1" applyAlignment="1">
      <alignment horizontal="center" vertical="center"/>
    </xf>
    <xf numFmtId="0" fontId="55" fillId="4" borderId="10" xfId="0" applyFont="1" applyFill="1" applyBorder="1" applyAlignment="1">
      <alignment horizontal="right" vertical="center"/>
    </xf>
    <xf numFmtId="0" fontId="44" fillId="4" borderId="13" xfId="0" applyFont="1" applyFill="1" applyBorder="1" applyAlignment="1">
      <alignment horizontal="center" vertical="center"/>
    </xf>
    <xf numFmtId="0" fontId="44" fillId="4" borderId="15" xfId="0" applyFont="1" applyFill="1" applyBorder="1" applyAlignment="1">
      <alignment horizontal="center" vertical="center"/>
    </xf>
  </cellXfs>
  <cellStyles count="26">
    <cellStyle name="Normal" xfId="19" xr:uid="{00000000-0005-0000-0000-000013000000}"/>
    <cellStyle name="一般" xfId="0" builtinId="0"/>
    <cellStyle name="一般 2" xfId="1" xr:uid="{00000000-0005-0000-0000-000001000000}"/>
    <cellStyle name="一般 2 10" xfId="7" xr:uid="{00000000-0005-0000-0000-000007000000}"/>
    <cellStyle name="一般 2 2" xfId="3" xr:uid="{00000000-0005-0000-0000-000003000000}"/>
    <cellStyle name="一般 2 2 2 4" xfId="11" xr:uid="{00000000-0005-0000-0000-00000B000000}"/>
    <cellStyle name="一般 2 2 5" xfId="8" xr:uid="{00000000-0005-0000-0000-000008000000}"/>
    <cellStyle name="一般 2 3" xfId="23" xr:uid="{00000000-0005-0000-0000-000017000000}"/>
    <cellStyle name="一般 2 4 2 2 2 10" xfId="15" xr:uid="{00000000-0005-0000-0000-00000F000000}"/>
    <cellStyle name="一般 3" xfId="9" xr:uid="{00000000-0005-0000-0000-000009000000}"/>
    <cellStyle name="一般 3 2" xfId="20" xr:uid="{00000000-0005-0000-0000-000014000000}"/>
    <cellStyle name="一般 32" xfId="13" xr:uid="{00000000-0005-0000-0000-00000D000000}"/>
    <cellStyle name="一般 4" xfId="6" xr:uid="{00000000-0005-0000-0000-000006000000}"/>
    <cellStyle name="一般 5" xfId="18" xr:uid="{00000000-0005-0000-0000-000012000000}"/>
    <cellStyle name="一般 5 6" xfId="17" xr:uid="{00000000-0005-0000-0000-000011000000}"/>
    <cellStyle name="一般 6" xfId="21" xr:uid="{00000000-0005-0000-0000-000015000000}"/>
    <cellStyle name="一般 7" xfId="22" xr:uid="{00000000-0005-0000-0000-000016000000}"/>
    <cellStyle name="一般 8" xfId="24" xr:uid="{00000000-0005-0000-0000-000018000000}"/>
    <cellStyle name="一般 9" xfId="25" xr:uid="{00000000-0005-0000-0000-000019000000}"/>
    <cellStyle name="一般_門市基本資料" xfId="4" xr:uid="{00000000-0005-0000-0000-000004000000}"/>
    <cellStyle name="百分比" xfId="14" builtinId="5"/>
    <cellStyle name="百分比 2" xfId="5" xr:uid="{00000000-0005-0000-0000-000005000000}"/>
    <cellStyle name="百分比 2 2" xfId="10" xr:uid="{00000000-0005-0000-0000-00000A000000}"/>
    <cellStyle name="百分比 2 4" xfId="12" xr:uid="{00000000-0005-0000-0000-00000C000000}"/>
    <cellStyle name="超連結 3" xfId="2" xr:uid="{00000000-0005-0000-0000-000002000000}"/>
    <cellStyle name="標準_LAWSON月次報告推移表_20110421" xfId="16" xr:uid="{00000000-0005-0000-0000-000010000000}"/>
  </cellStyles>
  <dxfs count="50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FF0000"/>
        </patternFill>
      </fill>
    </dxf>
    <dxf>
      <font>
        <color rgb="FFFF0000"/>
      </font>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color rgb="FFFF0000"/>
      </font>
    </dxf>
    <dxf>
      <fill>
        <patternFill patternType="solid">
          <fgColor rgb="FFFEF2CB"/>
          <bgColor rgb="FFFEF2CB"/>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ont>
        <b/>
        <color theme="2"/>
      </font>
      <fill>
        <patternFill>
          <bgColor rgb="FFFF0000"/>
        </patternFill>
      </fill>
    </dxf>
    <dxf>
      <fill>
        <patternFill patternType="solid">
          <fgColor rgb="FFFEF2CB"/>
          <bgColor rgb="FFFEF2CB"/>
        </patternFill>
      </fill>
    </dxf>
    <dxf>
      <fill>
        <patternFill patternType="solid">
          <fgColor rgb="FFFEF2CB"/>
          <bgColor rgb="FFFEF2CB"/>
        </patternFill>
      </fill>
    </dxf>
    <dxf>
      <font>
        <color rgb="FFFF000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color rgb="FFFF0000"/>
      </font>
    </dxf>
    <dxf>
      <fill>
        <patternFill>
          <bgColor rgb="FFFF0000"/>
        </patternFill>
      </fill>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color rgb="FFFF0000"/>
      </font>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lineChart>
        <c:grouping val="standard"/>
        <c:varyColors val="0"/>
        <c:ser>
          <c:idx val="0"/>
          <c:order val="0"/>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TW"/>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出勤時間!$B$14:$P$14</c:f>
              <c:strCache>
                <c:ptCount val="15"/>
                <c:pt idx="0">
                  <c:v>08:00</c:v>
                </c:pt>
                <c:pt idx="1">
                  <c:v>09:00</c:v>
                </c:pt>
                <c:pt idx="2">
                  <c:v>10:00</c:v>
                </c:pt>
                <c:pt idx="3">
                  <c:v>11:00</c:v>
                </c:pt>
                <c:pt idx="4">
                  <c:v>12:00</c:v>
                </c:pt>
                <c:pt idx="5">
                  <c:v>13:00</c:v>
                </c:pt>
                <c:pt idx="6">
                  <c:v>14:00</c:v>
                </c:pt>
                <c:pt idx="7">
                  <c:v>15:00</c:v>
                </c:pt>
                <c:pt idx="8">
                  <c:v>16:00</c:v>
                </c:pt>
                <c:pt idx="9">
                  <c:v>17:00</c:v>
                </c:pt>
                <c:pt idx="10">
                  <c:v>18:00</c:v>
                </c:pt>
                <c:pt idx="11">
                  <c:v>19:00</c:v>
                </c:pt>
                <c:pt idx="12">
                  <c:v>20:00</c:v>
                </c:pt>
                <c:pt idx="13">
                  <c:v>21:00</c:v>
                </c:pt>
                <c:pt idx="14">
                  <c:v>22:00</c:v>
                </c:pt>
              </c:strCache>
            </c:strRef>
          </c:cat>
          <c:val>
            <c:numRef>
              <c:f>出勤時間!$B$15:$P$15</c:f>
              <c:numCache>
                <c:formatCode>General</c:formatCode>
                <c:ptCount val="15"/>
                <c:pt idx="0">
                  <c:v>0</c:v>
                </c:pt>
                <c:pt idx="1">
                  <c:v>2</c:v>
                </c:pt>
                <c:pt idx="2">
                  <c:v>6</c:v>
                </c:pt>
                <c:pt idx="3">
                  <c:v>1</c:v>
                </c:pt>
                <c:pt idx="4">
                  <c:v>0</c:v>
                </c:pt>
                <c:pt idx="5">
                  <c:v>1</c:v>
                </c:pt>
                <c:pt idx="6">
                  <c:v>1</c:v>
                </c:pt>
                <c:pt idx="7">
                  <c:v>1</c:v>
                </c:pt>
                <c:pt idx="8">
                  <c:v>0</c:v>
                </c:pt>
                <c:pt idx="9">
                  <c:v>0</c:v>
                </c:pt>
                <c:pt idx="10">
                  <c:v>0</c:v>
                </c:pt>
                <c:pt idx="11">
                  <c:v>0</c:v>
                </c:pt>
                <c:pt idx="12">
                  <c:v>0</c:v>
                </c:pt>
                <c:pt idx="13">
                  <c:v>0</c:v>
                </c:pt>
                <c:pt idx="14">
                  <c:v>0</c:v>
                </c:pt>
              </c:numCache>
            </c:numRef>
          </c:val>
          <c:smooth val="0"/>
          <c:extLst>
            <c:ext xmlns:c16="http://schemas.microsoft.com/office/drawing/2014/chart" uri="{C3380CC4-5D6E-409C-BE32-E72D297353CC}">
              <c16:uniqueId val="{00000000-3BD8-4496-A96F-509BFAE22D20}"/>
            </c:ext>
          </c:extLst>
        </c:ser>
        <c:ser>
          <c:idx val="1"/>
          <c:order val="1"/>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TW"/>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出勤時間!$B$14:$P$14</c:f>
              <c:strCache>
                <c:ptCount val="15"/>
                <c:pt idx="0">
                  <c:v>08:00</c:v>
                </c:pt>
                <c:pt idx="1">
                  <c:v>09:00</c:v>
                </c:pt>
                <c:pt idx="2">
                  <c:v>10:00</c:v>
                </c:pt>
                <c:pt idx="3">
                  <c:v>11:00</c:v>
                </c:pt>
                <c:pt idx="4">
                  <c:v>12:00</c:v>
                </c:pt>
                <c:pt idx="5">
                  <c:v>13:00</c:v>
                </c:pt>
                <c:pt idx="6">
                  <c:v>14:00</c:v>
                </c:pt>
                <c:pt idx="7">
                  <c:v>15:00</c:v>
                </c:pt>
                <c:pt idx="8">
                  <c:v>16:00</c:v>
                </c:pt>
                <c:pt idx="9">
                  <c:v>17:00</c:v>
                </c:pt>
                <c:pt idx="10">
                  <c:v>18:00</c:v>
                </c:pt>
                <c:pt idx="11">
                  <c:v>19:00</c:v>
                </c:pt>
                <c:pt idx="12">
                  <c:v>20:00</c:v>
                </c:pt>
                <c:pt idx="13">
                  <c:v>21:00</c:v>
                </c:pt>
                <c:pt idx="14">
                  <c:v>22:00</c:v>
                </c:pt>
              </c:strCache>
            </c:strRef>
          </c:cat>
          <c:val>
            <c:numRef>
              <c:f>出勤時間!$B$16:$P$16</c:f>
              <c:numCache>
                <c:formatCode>General</c:formatCode>
                <c:ptCount val="15"/>
                <c:pt idx="0">
                  <c:v>6</c:v>
                </c:pt>
                <c:pt idx="1">
                  <c:v>22</c:v>
                </c:pt>
                <c:pt idx="2">
                  <c:v>8</c:v>
                </c:pt>
                <c:pt idx="3">
                  <c:v>17</c:v>
                </c:pt>
                <c:pt idx="4">
                  <c:v>5</c:v>
                </c:pt>
                <c:pt idx="5">
                  <c:v>14</c:v>
                </c:pt>
                <c:pt idx="6">
                  <c:v>10</c:v>
                </c:pt>
                <c:pt idx="7">
                  <c:v>16</c:v>
                </c:pt>
                <c:pt idx="8">
                  <c:v>11</c:v>
                </c:pt>
                <c:pt idx="9">
                  <c:v>3</c:v>
                </c:pt>
                <c:pt idx="10">
                  <c:v>1</c:v>
                </c:pt>
                <c:pt idx="11">
                  <c:v>0</c:v>
                </c:pt>
                <c:pt idx="12">
                  <c:v>0</c:v>
                </c:pt>
                <c:pt idx="13">
                  <c:v>0</c:v>
                </c:pt>
                <c:pt idx="14">
                  <c:v>0</c:v>
                </c:pt>
              </c:numCache>
            </c:numRef>
          </c:val>
          <c:smooth val="0"/>
          <c:extLst>
            <c:ext xmlns:c16="http://schemas.microsoft.com/office/drawing/2014/chart" uri="{C3380CC4-5D6E-409C-BE32-E72D297353CC}">
              <c16:uniqueId val="{00000001-3BD8-4496-A96F-509BFAE22D20}"/>
            </c:ext>
          </c:extLst>
        </c:ser>
        <c:ser>
          <c:idx val="2"/>
          <c:order val="2"/>
          <c:spPr>
            <a:ln w="28575" cap="rnd">
              <a:solidFill>
                <a:schemeClr val="accent3"/>
              </a:solidFill>
              <a:prstDash val="solid"/>
              <a:round/>
            </a:ln>
          </c:spPr>
          <c:marker>
            <c:symbol val="circle"/>
            <c:size val="5"/>
            <c:spPr>
              <a:solidFill>
                <a:schemeClr val="accent3"/>
              </a:solidFill>
              <a:ln w="9525">
                <a:solidFill>
                  <a:schemeClr val="accent3"/>
                </a:solid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zh-TW"/>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出勤時間!$B$14:$P$14</c:f>
              <c:strCache>
                <c:ptCount val="15"/>
                <c:pt idx="0">
                  <c:v>08:00</c:v>
                </c:pt>
                <c:pt idx="1">
                  <c:v>09:00</c:v>
                </c:pt>
                <c:pt idx="2">
                  <c:v>10:00</c:v>
                </c:pt>
                <c:pt idx="3">
                  <c:v>11:00</c:v>
                </c:pt>
                <c:pt idx="4">
                  <c:v>12:00</c:v>
                </c:pt>
                <c:pt idx="5">
                  <c:v>13:00</c:v>
                </c:pt>
                <c:pt idx="6">
                  <c:v>14:00</c:v>
                </c:pt>
                <c:pt idx="7">
                  <c:v>15:00</c:v>
                </c:pt>
                <c:pt idx="8">
                  <c:v>16:00</c:v>
                </c:pt>
                <c:pt idx="9">
                  <c:v>17:00</c:v>
                </c:pt>
                <c:pt idx="10">
                  <c:v>18:00</c:v>
                </c:pt>
                <c:pt idx="11">
                  <c:v>19:00</c:v>
                </c:pt>
                <c:pt idx="12">
                  <c:v>20:00</c:v>
                </c:pt>
                <c:pt idx="13">
                  <c:v>21:00</c:v>
                </c:pt>
                <c:pt idx="14">
                  <c:v>22:00</c:v>
                </c:pt>
              </c:strCache>
            </c:strRef>
          </c:cat>
          <c:val>
            <c:numRef>
              <c:f>出勤時間!$B$17:$P$17</c:f>
              <c:numCache>
                <c:formatCode>General</c:formatCode>
                <c:ptCount val="15"/>
                <c:pt idx="0">
                  <c:v>0</c:v>
                </c:pt>
                <c:pt idx="1">
                  <c:v>8</c:v>
                </c:pt>
                <c:pt idx="2">
                  <c:v>1</c:v>
                </c:pt>
                <c:pt idx="3">
                  <c:v>11</c:v>
                </c:pt>
                <c:pt idx="4">
                  <c:v>16</c:v>
                </c:pt>
                <c:pt idx="5">
                  <c:v>8</c:v>
                </c:pt>
                <c:pt idx="6">
                  <c:v>18</c:v>
                </c:pt>
                <c:pt idx="7">
                  <c:v>20</c:v>
                </c:pt>
                <c:pt idx="8">
                  <c:v>1</c:v>
                </c:pt>
                <c:pt idx="9">
                  <c:v>0</c:v>
                </c:pt>
                <c:pt idx="10">
                  <c:v>1</c:v>
                </c:pt>
                <c:pt idx="11">
                  <c:v>0</c:v>
                </c:pt>
                <c:pt idx="12">
                  <c:v>0</c:v>
                </c:pt>
                <c:pt idx="13">
                  <c:v>0</c:v>
                </c:pt>
                <c:pt idx="14">
                  <c:v>0</c:v>
                </c:pt>
              </c:numCache>
            </c:numRef>
          </c:val>
          <c:smooth val="0"/>
          <c:extLst>
            <c:ext xmlns:c16="http://schemas.microsoft.com/office/drawing/2014/chart" uri="{C3380CC4-5D6E-409C-BE32-E72D297353CC}">
              <c16:uniqueId val="{00000002-3BD8-4496-A96F-509BFAE22D20}"/>
            </c:ext>
          </c:extLst>
        </c:ser>
        <c:ser>
          <c:idx val="3"/>
          <c:order val="3"/>
          <c:spPr>
            <a:ln>
              <a:prstDash val="solid"/>
            </a:ln>
          </c:spPr>
          <c:marker>
            <c:symbol val="none"/>
          </c:marker>
          <c:dLbls>
            <c:spPr>
              <a:noFill/>
              <a:ln>
                <a:noFill/>
                <a:prstDash val="solid"/>
              </a:ln>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出勤時間!$B$14:$P$14</c:f>
              <c:strCache>
                <c:ptCount val="15"/>
                <c:pt idx="0">
                  <c:v>08:00</c:v>
                </c:pt>
                <c:pt idx="1">
                  <c:v>09:00</c:v>
                </c:pt>
                <c:pt idx="2">
                  <c:v>10:00</c:v>
                </c:pt>
                <c:pt idx="3">
                  <c:v>11:00</c:v>
                </c:pt>
                <c:pt idx="4">
                  <c:v>12:00</c:v>
                </c:pt>
                <c:pt idx="5">
                  <c:v>13:00</c:v>
                </c:pt>
                <c:pt idx="6">
                  <c:v>14:00</c:v>
                </c:pt>
                <c:pt idx="7">
                  <c:v>15:00</c:v>
                </c:pt>
                <c:pt idx="8">
                  <c:v>16:00</c:v>
                </c:pt>
                <c:pt idx="9">
                  <c:v>17:00</c:v>
                </c:pt>
                <c:pt idx="10">
                  <c:v>18:00</c:v>
                </c:pt>
                <c:pt idx="11">
                  <c:v>19:00</c:v>
                </c:pt>
                <c:pt idx="12">
                  <c:v>20:00</c:v>
                </c:pt>
                <c:pt idx="13">
                  <c:v>21:00</c:v>
                </c:pt>
                <c:pt idx="14">
                  <c:v>22:00</c:v>
                </c:pt>
              </c:strCache>
            </c:strRef>
          </c:cat>
          <c:val>
            <c:numRef>
              <c:f>出勤時間!$B$18:$P$18</c:f>
              <c:numCache>
                <c:formatCode>General</c:formatCode>
                <c:ptCount val="15"/>
                <c:pt idx="0">
                  <c:v>2</c:v>
                </c:pt>
                <c:pt idx="1">
                  <c:v>29</c:v>
                </c:pt>
                <c:pt idx="2">
                  <c:v>25</c:v>
                </c:pt>
                <c:pt idx="3">
                  <c:v>16</c:v>
                </c:pt>
                <c:pt idx="4">
                  <c:v>7</c:v>
                </c:pt>
                <c:pt idx="5">
                  <c:v>12</c:v>
                </c:pt>
                <c:pt idx="6">
                  <c:v>17</c:v>
                </c:pt>
                <c:pt idx="7">
                  <c:v>22</c:v>
                </c:pt>
                <c:pt idx="8">
                  <c:v>13</c:v>
                </c:pt>
                <c:pt idx="9">
                  <c:v>2</c:v>
                </c:pt>
                <c:pt idx="10">
                  <c:v>3</c:v>
                </c:pt>
                <c:pt idx="11">
                  <c:v>0</c:v>
                </c:pt>
                <c:pt idx="12">
                  <c:v>0</c:v>
                </c:pt>
                <c:pt idx="13">
                  <c:v>0</c:v>
                </c:pt>
                <c:pt idx="14">
                  <c:v>0</c:v>
                </c:pt>
              </c:numCache>
            </c:numRef>
          </c:val>
          <c:smooth val="0"/>
          <c:extLst>
            <c:ext xmlns:c16="http://schemas.microsoft.com/office/drawing/2014/chart" uri="{C3380CC4-5D6E-409C-BE32-E72D297353CC}">
              <c16:uniqueId val="{00000003-3BD8-4496-A96F-509BFAE22D20}"/>
            </c:ext>
          </c:extLst>
        </c:ser>
        <c:dLbls>
          <c:dLblPos val="t"/>
          <c:showLegendKey val="0"/>
          <c:showVal val="1"/>
          <c:showCatName val="0"/>
          <c:showSerName val="0"/>
          <c:showPercent val="0"/>
          <c:showBubbleSize val="0"/>
        </c:dLbls>
        <c:marker val="1"/>
        <c:smooth val="0"/>
        <c:axId val="770851424"/>
        <c:axId val="770862576"/>
      </c:lineChart>
      <c:catAx>
        <c:axId val="77085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TW"/>
          </a:p>
        </c:txPr>
        <c:crossAx val="770862576"/>
        <c:crosses val="autoZero"/>
        <c:auto val="1"/>
        <c:lblAlgn val="ctr"/>
        <c:lblOffset val="100"/>
        <c:noMultiLvlLbl val="0"/>
      </c:catAx>
      <c:valAx>
        <c:axId val="770862576"/>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zh-TW"/>
          </a:p>
        </c:txPr>
        <c:crossAx val="770851424"/>
        <c:crosses val="autoZero"/>
        <c:crossBetween val="between"/>
      </c:valAx>
    </c:plotArea>
    <c:plotVisOnly val="1"/>
    <c:dispBlanksAs val="zero"/>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45720</xdr:colOff>
      <xdr:row>18</xdr:row>
      <xdr:rowOff>76200</xdr:rowOff>
    </xdr:from>
    <xdr:to>
      <xdr:col>15</xdr:col>
      <xdr:colOff>575310</xdr:colOff>
      <xdr:row>35</xdr:row>
      <xdr:rowOff>30480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21271;&#19968;&#34892;&#25919;&#21312;\&#29618;&#21535;-&#38272;&#24066;&#22522;&#26412;&#36039;&#26009;\21-10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ynologyDrive/TOSHIBA/HL/HL-TM&#20132;&#27231;7&#2925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34389;&#36774;&#20844;&#29992;&#27284;&#26696;\&#21312;&#36774;&#27365;&#31383;\&#34389;&#21209;&#36039;&#26009;\R12-&#23458;&#35380;&#20998;&#2651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hilife-moss/&#21271;&#19968;&#34892;&#25919;&#21312;/&#29618;&#21535;-&#38272;&#24066;&#22522;&#26412;&#36039;&#26009;/21-1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21-1000"/>
      <sheetName val="行銷處業外收入"/>
      <sheetName val="工作表1"/>
      <sheetName val="Abel  Chen"/>
      <sheetName val="估量分配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0">
          <cell r="D80" t="str">
            <v>(02)89520973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區域"/>
      <sheetName val="區域2"/>
      <sheetName val="R"/>
      <sheetName val="R (2)"/>
      <sheetName val="日程表"/>
      <sheetName val="人員"/>
      <sheetName val="門市主檔"/>
      <sheetName val="主檔-20220715"/>
      <sheetName val="主檔ALL-20220715"/>
    </sheetNames>
    <sheetDataSet>
      <sheetData sheetId="0"/>
      <sheetData sheetId="1"/>
      <sheetData sheetId="2"/>
      <sheetData sheetId="3"/>
      <sheetData sheetId="4"/>
      <sheetData sheetId="5">
        <row r="4">
          <cell r="K4" t="str">
            <v>北市馬偕店</v>
          </cell>
          <cell r="L4" t="str">
            <v>中山逸仙店</v>
          </cell>
          <cell r="M4" t="str">
            <v>北市山寧店</v>
          </cell>
          <cell r="DU4" t="str">
            <v>北縣莊民店</v>
          </cell>
          <cell r="DY4" t="str">
            <v>北縣福營店</v>
          </cell>
          <cell r="EF4" t="str">
            <v>林口麗園店</v>
          </cell>
          <cell r="EG4" t="str">
            <v>林口清梅店</v>
          </cell>
          <cell r="EH4" t="str">
            <v>北縣城吉店</v>
          </cell>
          <cell r="EI4" t="str">
            <v>北縣國美店</v>
          </cell>
          <cell r="EJ4"/>
          <cell r="EK4"/>
          <cell r="EL4"/>
          <cell r="EM4" t="str">
            <v>北縣泰富店</v>
          </cell>
          <cell r="EN4" t="str">
            <v>板橋玉川店</v>
          </cell>
          <cell r="EO4" t="str">
            <v>淡水莊園店</v>
          </cell>
          <cell r="EP4" t="str">
            <v>北市高院店</v>
          </cell>
          <cell r="EQ4"/>
          <cell r="ER4"/>
          <cell r="ES4" t="str">
            <v>新莊巷口店</v>
          </cell>
          <cell r="ET4" t="str">
            <v>五股憲兵店</v>
          </cell>
          <cell r="EU4" t="str">
            <v>北市京站店</v>
          </cell>
          <cell r="EW4" t="str">
            <v>北市正童店</v>
          </cell>
          <cell r="FJ4" t="str">
            <v>北縣金陵店</v>
          </cell>
          <cell r="GJ4" t="str">
            <v>中山晶華店</v>
          </cell>
          <cell r="GN4" t="str">
            <v>土城童話店</v>
          </cell>
          <cell r="GO4" t="str">
            <v>土城童話店</v>
          </cell>
        </row>
        <row r="6">
          <cell r="GK6" t="str">
            <v>淡水區</v>
          </cell>
          <cell r="GL6" t="str">
            <v>中山區</v>
          </cell>
          <cell r="GM6" t="str">
            <v>新莊區</v>
          </cell>
        </row>
        <row r="7">
          <cell r="C7"/>
          <cell r="D7" t="str">
            <v>北投希望店</v>
          </cell>
          <cell r="E7" t="str">
            <v>北市北天店</v>
          </cell>
          <cell r="F7" t="str">
            <v>北市懷德店</v>
          </cell>
          <cell r="K7" t="str">
            <v>北市山擎店</v>
          </cell>
          <cell r="L7" t="str">
            <v>北市永捷店</v>
          </cell>
          <cell r="M7" t="str">
            <v>北市山華店</v>
          </cell>
          <cell r="N7"/>
          <cell r="O7"/>
          <cell r="P7"/>
          <cell r="Q7" t="str">
            <v>北市同達店</v>
          </cell>
          <cell r="R7" t="str">
            <v>北市同密店</v>
          </cell>
          <cell r="S7" t="str">
            <v>三重重高店</v>
          </cell>
          <cell r="T7" t="str">
            <v>北縣仁和店</v>
          </cell>
          <cell r="U7"/>
          <cell r="V7"/>
          <cell r="W7"/>
          <cell r="X7"/>
          <cell r="Y7"/>
          <cell r="AB7"/>
          <cell r="AC7"/>
          <cell r="AD7"/>
          <cell r="AE7"/>
          <cell r="AF7"/>
          <cell r="AI7"/>
          <cell r="AJ7"/>
          <cell r="AK7"/>
          <cell r="AL7"/>
          <cell r="AM7"/>
          <cell r="AP7"/>
          <cell r="AQ7"/>
          <cell r="AR7"/>
          <cell r="AS7" t="str">
            <v>北縣重大店</v>
          </cell>
          <cell r="AT7" t="str">
            <v>三重公園店</v>
          </cell>
          <cell r="AU7" t="str">
            <v>三重薔薇店</v>
          </cell>
          <cell r="AV7" t="str">
            <v>北縣中正北店</v>
          </cell>
          <cell r="AW7"/>
          <cell r="AX7"/>
          <cell r="AY7"/>
          <cell r="AZ7"/>
          <cell r="BA7"/>
          <cell r="BD7"/>
          <cell r="BE7"/>
          <cell r="BF7"/>
          <cell r="BG7"/>
          <cell r="BH7"/>
          <cell r="BK7"/>
          <cell r="BL7"/>
          <cell r="BM7"/>
          <cell r="BN7"/>
          <cell r="BO7"/>
          <cell r="BR7"/>
          <cell r="BS7"/>
          <cell r="BT7"/>
          <cell r="BU7" t="str">
            <v>北縣金龍店</v>
          </cell>
          <cell r="BV7" t="str">
            <v>淡水天元店</v>
          </cell>
          <cell r="BW7" t="str">
            <v>北市社正店</v>
          </cell>
          <cell r="BX7" t="str">
            <v>北市士銓店</v>
          </cell>
          <cell r="BY7"/>
          <cell r="BZ7"/>
          <cell r="CA7" t="str">
            <v>士林承德店</v>
          </cell>
          <cell r="CB7" t="str">
            <v>北縣莊年店</v>
          </cell>
          <cell r="CC7" t="str">
            <v>北縣莊廣店</v>
          </cell>
          <cell r="CD7" t="str">
            <v>新莊品莊店</v>
          </cell>
          <cell r="CE7" t="str">
            <v>土城學成店</v>
          </cell>
          <cell r="CF7"/>
          <cell r="CG7"/>
          <cell r="CH7"/>
          <cell r="CI7" t="str">
            <v>三重星光店</v>
          </cell>
          <cell r="CJ7" t="str">
            <v>北縣重富店</v>
          </cell>
          <cell r="CK7" t="str">
            <v>北縣重民店</v>
          </cell>
          <cell r="CL7"/>
          <cell r="CM7"/>
          <cell r="CN7"/>
          <cell r="CP7" t="str">
            <v>三重福利店</v>
          </cell>
          <cell r="CQ7" t="str">
            <v>北縣重樂店</v>
          </cell>
          <cell r="CR7" t="str">
            <v>北縣重錦店</v>
          </cell>
          <cell r="CS7" t="str">
            <v>北縣力福店</v>
          </cell>
          <cell r="CT7"/>
          <cell r="CU7"/>
          <cell r="CW7" t="str">
            <v>北縣五華三店</v>
          </cell>
          <cell r="CX7" t="str">
            <v>北縣溪尾店</v>
          </cell>
          <cell r="CY7" t="str">
            <v>北縣中央北店</v>
          </cell>
          <cell r="CZ7" t="str">
            <v>蘆洲保新店</v>
          </cell>
          <cell r="DA7"/>
          <cell r="DB7"/>
          <cell r="DC7" t="str">
            <v>北縣蘆信店</v>
          </cell>
          <cell r="DD7" t="str">
            <v>蘆洲長樂店</v>
          </cell>
          <cell r="DE7" t="str">
            <v>北縣蘆旺店</v>
          </cell>
          <cell r="DF7" t="str">
            <v>北縣蘆平店</v>
          </cell>
          <cell r="DG7" t="str">
            <v>八里水灣店</v>
          </cell>
          <cell r="DH7"/>
          <cell r="DI7"/>
          <cell r="DJ7"/>
          <cell r="DK7" t="str">
            <v>板橋民仁店</v>
          </cell>
          <cell r="DL7" t="str">
            <v>板橋江寧店</v>
          </cell>
          <cell r="DM7" t="str">
            <v>北縣漢江店</v>
          </cell>
          <cell r="DN7" t="str">
            <v>北縣板成店</v>
          </cell>
          <cell r="DO7"/>
          <cell r="DP7"/>
          <cell r="DR7" t="str">
            <v>北縣板好店</v>
          </cell>
          <cell r="DS7" t="str">
            <v>北縣僑中三店</v>
          </cell>
          <cell r="DT7" t="str">
            <v>北縣板鑽店</v>
          </cell>
          <cell r="DU7" t="str">
            <v>北縣莊國店</v>
          </cell>
          <cell r="DV7"/>
          <cell r="DW7"/>
          <cell r="DX7"/>
          <cell r="DY7" t="str">
            <v>新莊富國店</v>
          </cell>
          <cell r="DZ7" t="str">
            <v>新莊福祐店</v>
          </cell>
          <cell r="EA7" t="str">
            <v>北縣五股店</v>
          </cell>
          <cell r="EB7" t="str">
            <v>北縣西雲店</v>
          </cell>
          <cell r="EC7"/>
          <cell r="ED7"/>
          <cell r="EE7"/>
          <cell r="EF7" t="str">
            <v>林口建林店</v>
          </cell>
          <cell r="EG7" t="str">
            <v>林口築夢店</v>
          </cell>
          <cell r="EH7" t="str">
            <v>土城城隆店</v>
          </cell>
          <cell r="EI7" t="str">
            <v>北縣城士店</v>
          </cell>
          <cell r="EJ7"/>
          <cell r="EK7"/>
          <cell r="EL7"/>
          <cell r="EM7" t="str">
            <v>泰山新民店</v>
          </cell>
          <cell r="EQ7"/>
          <cell r="ER7"/>
          <cell r="ES7" t="str">
            <v>北市司法店</v>
          </cell>
          <cell r="EU7" t="str">
            <v>北市京承店</v>
          </cell>
          <cell r="EW7" t="str">
            <v>北市台大店</v>
          </cell>
          <cell r="EX7"/>
          <cell r="EY7"/>
          <cell r="FC7" t="str">
            <v>淡水純德二店</v>
          </cell>
          <cell r="FD7" t="str">
            <v>北縣真理店</v>
          </cell>
          <cell r="FE7"/>
          <cell r="FF7"/>
          <cell r="FG7"/>
          <cell r="FH7"/>
          <cell r="FI7" t="str">
            <v>北市士海店</v>
          </cell>
          <cell r="FJ7" t="str">
            <v>北市大同店</v>
          </cell>
          <cell r="FL7"/>
          <cell r="FM7"/>
          <cell r="FN7"/>
          <cell r="FO7"/>
          <cell r="FP7"/>
          <cell r="FQ7"/>
          <cell r="FR7" t="str">
            <v>北縣重新店</v>
          </cell>
          <cell r="FS7"/>
          <cell r="FT7"/>
          <cell r="FX7"/>
          <cell r="FY7" t="str">
            <v>北縣五興店</v>
          </cell>
          <cell r="FZ7"/>
          <cell r="GA7"/>
          <cell r="GB7"/>
          <cell r="GC7"/>
          <cell r="GD7"/>
          <cell r="GF7"/>
          <cell r="GI7"/>
          <cell r="GJ7" t="str">
            <v>中山力行店</v>
          </cell>
          <cell r="GK7" t="str">
            <v>淡水沙崙店</v>
          </cell>
          <cell r="GL7" t="str">
            <v>中山國賓店</v>
          </cell>
          <cell r="GM7" t="str">
            <v>北縣莊勝店</v>
          </cell>
          <cell r="GN7" t="str">
            <v>土城城生店</v>
          </cell>
          <cell r="GO7" t="str">
            <v>土城城生店</v>
          </cell>
        </row>
        <row r="10">
          <cell r="EJ10"/>
          <cell r="EK10"/>
          <cell r="EL10"/>
          <cell r="EM10"/>
          <cell r="EN10"/>
          <cell r="EP10"/>
          <cell r="EQ10"/>
          <cell r="ER10"/>
          <cell r="ES10"/>
          <cell r="GM10" t="str">
            <v>新莊幸運店</v>
          </cell>
          <cell r="GO10" t="str">
            <v>北投火山店</v>
          </cell>
        </row>
        <row r="12">
          <cell r="GJ12" t="str">
            <v>中山區</v>
          </cell>
        </row>
        <row r="13">
          <cell r="GL13"/>
        </row>
        <row r="17">
          <cell r="E17" t="str">
            <v>北市北功店</v>
          </cell>
          <cell r="K17" t="str">
            <v>北市民生店</v>
          </cell>
          <cell r="L17" t="str">
            <v>北市長松店</v>
          </cell>
          <cell r="DK17" t="str">
            <v>北縣寶翠店</v>
          </cell>
          <cell r="DX17" t="str">
            <v>新莊中泉店</v>
          </cell>
          <cell r="EA17" t="str">
            <v>北縣五春店</v>
          </cell>
          <cell r="GL17" t="str">
            <v>三重天富店</v>
          </cell>
          <cell r="GM17" t="str">
            <v>北縣商港店</v>
          </cell>
          <cell r="GN17" t="str">
            <v>北縣板億店</v>
          </cell>
          <cell r="GO17" t="str">
            <v>北縣板億店</v>
          </cell>
        </row>
        <row r="19">
          <cell r="DT19" t="str">
            <v>新莊區</v>
          </cell>
        </row>
        <row r="20">
          <cell r="CH20" t="str">
            <v>三重頂崁店</v>
          </cell>
          <cell r="DQ20" t="str">
            <v>北縣僑福店</v>
          </cell>
          <cell r="EG20" t="str">
            <v>林口香澄店</v>
          </cell>
          <cell r="GL20" t="str">
            <v>三重自信店</v>
          </cell>
          <cell r="GN20" t="str">
            <v>北縣板莊店</v>
          </cell>
          <cell r="GO20" t="str">
            <v>北縣板莊店</v>
          </cell>
        </row>
        <row r="22">
          <cell r="GJ22" t="str">
            <v>大同區</v>
          </cell>
        </row>
        <row r="23">
          <cell r="AR23" t="str">
            <v>三重大院店</v>
          </cell>
          <cell r="GL23" t="str">
            <v>北縣重鑫店</v>
          </cell>
          <cell r="GO23" t="str">
            <v>北縣板明店</v>
          </cell>
        </row>
        <row r="25">
          <cell r="GJ25" t="str">
            <v>蘆洲區</v>
          </cell>
        </row>
      </sheetData>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工作報告"/>
      <sheetName val="Sheet1"/>
      <sheetName val="客服登錄資料"/>
      <sheetName val="圖表輸入"/>
      <sheetName val="Sheet3"/>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客服登錄資料"/>
    </sheetNames>
    <sheetDataSet>
      <sheetData sheetId="0"/>
      <sheetData sheetId="1"/>
      <sheetData sheetId="2"/>
      <sheetData sheetId="3"/>
      <sheetData sheetId="4"/>
      <sheetData sheetId="5"/>
      <sheetData sheetId="6"/>
      <sheetData sheetId="7" refreshError="1"/>
      <sheetData sheetId="8"/>
      <sheetData sheetId="9"/>
      <sheetData sheetId="10"/>
      <sheetData sheetId="11" refreshError="1"/>
      <sheetData sheetId="12"/>
      <sheetData sheetId="13"/>
      <sheetData sheetId="14"/>
      <sheetData sheetId="15"/>
      <sheetData sheetId="16" refreshError="1"/>
      <sheetData sheetId="17"/>
      <sheetData sheetId="18" refreshError="1"/>
      <sheetData sheetId="19" refreshError="1"/>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W334"/>
  <sheetViews>
    <sheetView zoomScaleNormal="100" workbookViewId="0">
      <selection activeCell="E9" sqref="E9"/>
    </sheetView>
  </sheetViews>
  <sheetFormatPr defaultColWidth="11.19921875" defaultRowHeight="15" customHeight="1"/>
  <cols>
    <col min="1" max="1" width="14.59765625" style="129" bestFit="1" customWidth="1"/>
    <col min="2" max="2" width="13.796875" style="129" customWidth="1"/>
    <col min="3" max="6" width="11.3984375" style="129" customWidth="1"/>
    <col min="7" max="7" width="11.3984375" style="72" customWidth="1"/>
    <col min="8" max="8" width="11.3984375" style="129" customWidth="1"/>
    <col min="9" max="9" width="11.3984375" style="73" customWidth="1"/>
    <col min="10" max="11" width="11.3984375" style="129" customWidth="1"/>
    <col min="12" max="12" width="11.3984375" style="130" customWidth="1"/>
    <col min="13" max="13" width="11.3984375" style="72" customWidth="1"/>
    <col min="14" max="14" width="11.3984375" style="80" customWidth="1"/>
    <col min="15" max="15" width="11.3984375" style="130" customWidth="1"/>
    <col min="16" max="16" width="12" style="129" customWidth="1"/>
    <col min="17" max="22" width="11.19921875" style="129" customWidth="1"/>
    <col min="23" max="23" width="11.19921875" style="72" customWidth="1"/>
    <col min="24" max="147" width="11.19921875" style="129" customWidth="1"/>
    <col min="148" max="16384" width="11.19921875" style="129"/>
  </cols>
  <sheetData>
    <row r="1" spans="1:23" ht="12.6" customHeight="1">
      <c r="A1" s="126">
        <f>首頁!B5</f>
        <v>46023</v>
      </c>
      <c r="B1" s="126">
        <f>首頁!E5</f>
        <v>46113</v>
      </c>
      <c r="C1" s="124" t="str">
        <f>首頁!A14</f>
        <v>PMQ1</v>
      </c>
      <c r="D1" s="124" t="str">
        <f>首頁!B14</f>
        <v>--</v>
      </c>
      <c r="E1" s="135" t="str">
        <f>IF(首頁!C14=0,"",首頁!C14)</f>
        <v>+L90</v>
      </c>
      <c r="F1" s="135" t="str">
        <f>IF(首頁!D14=0,"",首頁!D14)</f>
        <v>+721</v>
      </c>
      <c r="G1" s="132" t="s">
        <v>0</v>
      </c>
      <c r="H1" s="131" t="str">
        <f t="array" ref="H1">IFERROR(HYPERLINK("#" &amp; ADDRESS(MIN(IF(ISNUMBER(SEARCH(G1, 門市總表!A5:W274)), ROW(門市總表!A5:W274), 10000000000)), MIN(IF(ISNUMBER(SEARCH(G1, 門市總表!A5:W274)), COLUMN(門市總表!A5:W274), 10000000000))), "搜索"), "未找到")</f>
        <v>未找到</v>
      </c>
      <c r="I1" s="106"/>
      <c r="J1" s="105"/>
      <c r="K1" s="105"/>
      <c r="L1" s="107"/>
      <c r="M1" s="104"/>
      <c r="N1" s="108"/>
      <c r="O1" s="107"/>
      <c r="R1" s="105"/>
      <c r="S1" s="105"/>
      <c r="T1" s="105"/>
      <c r="U1" s="105"/>
      <c r="V1" s="105"/>
      <c r="W1" s="107"/>
    </row>
    <row r="2" spans="1:23" ht="19.95" customHeight="1">
      <c r="A2" s="109" t="str">
        <f>IFERROR(HYPERLINK("#'門市主檔'!A"&amp;MATCH(門市總表!A5,門市總表!A3:A279,0)+20, "新北一部"), "查無店編")</f>
        <v>新北一部</v>
      </c>
      <c r="B2" s="277" t="str">
        <f>IFERROR(HYPERLINK("#'門市主檔'!A"&amp;MATCH(門市總表!A212,勤務統計!A:A,0), "統計"), "查無店編")</f>
        <v>查無店編</v>
      </c>
      <c r="C2" s="275" t="s">
        <v>1</v>
      </c>
      <c r="D2" s="276" t="s">
        <v>2</v>
      </c>
      <c r="E2" s="276" t="s">
        <v>3</v>
      </c>
      <c r="F2" s="276" t="s">
        <v>4</v>
      </c>
      <c r="G2" s="276" t="s">
        <v>5</v>
      </c>
      <c r="H2" s="276" t="s">
        <v>6</v>
      </c>
      <c r="I2" s="276" t="s">
        <v>7</v>
      </c>
      <c r="J2" s="317" t="s">
        <v>8</v>
      </c>
      <c r="K2" s="317" t="s">
        <v>9</v>
      </c>
      <c r="L2" s="276" t="s">
        <v>10</v>
      </c>
      <c r="M2" s="276" t="s">
        <v>11</v>
      </c>
      <c r="N2" s="276" t="s">
        <v>12</v>
      </c>
      <c r="O2" s="276" t="s">
        <v>13</v>
      </c>
      <c r="P2" s="288" t="s">
        <v>14</v>
      </c>
      <c r="Q2" s="318" t="s">
        <v>15</v>
      </c>
      <c r="R2" s="318" t="s">
        <v>16</v>
      </c>
      <c r="S2" s="361" t="s">
        <v>17</v>
      </c>
      <c r="T2" s="112" t="s">
        <v>18</v>
      </c>
      <c r="U2" s="111" t="s">
        <v>17</v>
      </c>
      <c r="V2" s="112" t="s">
        <v>18</v>
      </c>
    </row>
    <row r="3" spans="1:23" ht="18.600000000000001" customHeight="1">
      <c r="A3" s="110" t="s">
        <v>19</v>
      </c>
      <c r="B3" s="278">
        <f>SUM(C3:R3)</f>
        <v>306</v>
      </c>
      <c r="C3" s="283">
        <f>COUNTIF(門市總表!$D:$D,C2)-C23</f>
        <v>1</v>
      </c>
      <c r="D3" s="283">
        <f>COUNTIF(門市總表!$D:$D,D2)-D23</f>
        <v>3</v>
      </c>
      <c r="E3" s="283">
        <f>COUNTIF(門市總表!$D:$D,E2)-E23</f>
        <v>16</v>
      </c>
      <c r="F3" s="283">
        <f>COUNTIF(門市總表!$D:$D,F2)-F23</f>
        <v>2</v>
      </c>
      <c r="G3" s="283">
        <f>COUNTIF(門市總表!$D:$D,G2)-G23</f>
        <v>8</v>
      </c>
      <c r="H3" s="283">
        <f>COUNTIF(門市總表!$D:$D,H2)-H23</f>
        <v>18</v>
      </c>
      <c r="I3" s="283">
        <f>COUNTIF(門市總表!$D:$D,I2)-I23</f>
        <v>73</v>
      </c>
      <c r="J3" s="283">
        <f>COUNTIF(門市總表!$D:$D,J2)-J23</f>
        <v>25</v>
      </c>
      <c r="K3" s="283">
        <f>COUNTIF(門市總表!$D:$D,K2)-K23</f>
        <v>33</v>
      </c>
      <c r="L3" s="283">
        <f>COUNTIF(門市總表!$D:$D,L2)-L23</f>
        <v>12</v>
      </c>
      <c r="M3" s="283">
        <f>COUNTIF(門市總表!$D:$D,M2)-M23</f>
        <v>30</v>
      </c>
      <c r="N3" s="283">
        <f>COUNTIF(門市總表!$D:$D,N2)-N23</f>
        <v>3</v>
      </c>
      <c r="O3" s="283">
        <f>COUNTIF(門市總表!$D:$D,O2)-O23</f>
        <v>13</v>
      </c>
      <c r="P3" s="283">
        <f>COUNTIF(門市總表!$D:$D,P2)-P23</f>
        <v>36</v>
      </c>
      <c r="Q3" s="283">
        <f>COUNTIF(門市總表!$D:$D,Q2)-Q23</f>
        <v>27</v>
      </c>
      <c r="R3" s="283">
        <f>COUNTIF(門市總表!$D:$D,R2)-R23</f>
        <v>6</v>
      </c>
      <c r="S3" s="362"/>
    </row>
    <row r="4" spans="1:23" ht="18.600000000000001" customHeight="1">
      <c r="A4" s="182" t="str">
        <f>首頁!A14&amp;" 進度"</f>
        <v>PMQ1 進度</v>
      </c>
      <c r="B4" s="366">
        <f>B5/B3</f>
        <v>0.29738562091503268</v>
      </c>
      <c r="C4" s="379">
        <f t="shared" ref="C4:R4" si="0">C5/(C3-C23)</f>
        <v>0</v>
      </c>
      <c r="D4" s="289">
        <f t="shared" si="0"/>
        <v>1</v>
      </c>
      <c r="E4" s="289">
        <f t="shared" si="0"/>
        <v>0.25</v>
      </c>
      <c r="F4" s="289">
        <f t="shared" si="0"/>
        <v>0</v>
      </c>
      <c r="G4" s="289">
        <f t="shared" si="0"/>
        <v>1</v>
      </c>
      <c r="H4" s="289">
        <f t="shared" si="0"/>
        <v>0.1111111111111111</v>
      </c>
      <c r="I4" s="289">
        <f t="shared" si="0"/>
        <v>0.2361111111111111</v>
      </c>
      <c r="J4" s="289">
        <f t="shared" si="0"/>
        <v>0.4</v>
      </c>
      <c r="K4" s="289">
        <f t="shared" si="0"/>
        <v>0.21212121212121213</v>
      </c>
      <c r="L4" s="289">
        <f t="shared" si="0"/>
        <v>0.33333333333333331</v>
      </c>
      <c r="M4" s="289">
        <f t="shared" si="0"/>
        <v>0.21428571428571427</v>
      </c>
      <c r="N4" s="289">
        <f t="shared" si="0"/>
        <v>0.66666666666666663</v>
      </c>
      <c r="O4" s="289">
        <f t="shared" si="0"/>
        <v>0.92307692307692313</v>
      </c>
      <c r="P4" s="289">
        <f t="shared" si="0"/>
        <v>8.3333333333333329E-2</v>
      </c>
      <c r="Q4" s="289">
        <f t="shared" si="0"/>
        <v>0.33333333333333331</v>
      </c>
      <c r="R4" s="289">
        <f t="shared" si="0"/>
        <v>0.66666666666666663</v>
      </c>
      <c r="S4" s="363"/>
      <c r="T4" s="105"/>
      <c r="U4" s="105"/>
      <c r="V4" s="105"/>
    </row>
    <row r="5" spans="1:23" ht="18.600000000000001" customHeight="1">
      <c r="A5" s="180" t="s">
        <v>20</v>
      </c>
      <c r="B5" s="279">
        <f>SUM(C5:R5)</f>
        <v>91</v>
      </c>
      <c r="C5" s="284">
        <f>COUNTIFS(門市總表!$D:$D,C2,門市總表!$I:$I,$C$1)</f>
        <v>0</v>
      </c>
      <c r="D5" s="127">
        <f>COUNTIFS(門市總表!$D:$D,D2,門市總表!$I:$I,$C$1)</f>
        <v>3</v>
      </c>
      <c r="E5" s="127">
        <f>COUNTIFS(門市總表!$D:$D,E2,門市總表!$I:$I,$C$1)</f>
        <v>4</v>
      </c>
      <c r="F5" s="127">
        <f>COUNTIFS(門市總表!$D:$D,F2,門市總表!$I:$I,$C$1)</f>
        <v>0</v>
      </c>
      <c r="G5" s="127">
        <f>COUNTIFS(門市總表!$D:$D,G2,門市總表!$I:$I,$C$1)</f>
        <v>8</v>
      </c>
      <c r="H5" s="127">
        <f>COUNTIFS(門市總表!$D:$D,H2,門市總表!$I:$I,$C$1)</f>
        <v>2</v>
      </c>
      <c r="I5" s="127">
        <f>COUNTIFS(門市總表!$D:$D,I2,門市總表!$I:$I,$C$1)</f>
        <v>17</v>
      </c>
      <c r="J5" s="127">
        <f>COUNTIFS(門市總表!$D:$D,J2,門市總表!$I:$I,$C$1)</f>
        <v>10</v>
      </c>
      <c r="K5" s="127">
        <f>COUNTIFS(門市總表!$D:$D,K2,門市總表!$I:$I,$C$1)</f>
        <v>7</v>
      </c>
      <c r="L5" s="127">
        <f>COUNTIFS(門市總表!$D:$D,L2,門市總表!$I:$I,$C$1)</f>
        <v>4</v>
      </c>
      <c r="M5" s="127">
        <f>COUNTIFS(門市總表!$D:$D,M2,門市總表!$I:$I,$C$1)</f>
        <v>6</v>
      </c>
      <c r="N5" s="127">
        <f>COUNTIFS(門市總表!$D:$D,N2,門市總表!$I:$I,$C$1)</f>
        <v>2</v>
      </c>
      <c r="O5" s="127">
        <f>COUNTIFS(門市總表!$D:$D,O2,門市總表!$I:$I,$C$1)</f>
        <v>12</v>
      </c>
      <c r="P5" s="127">
        <f>COUNTIFS(門市總表!$D:$D,P2,門市總表!$I:$I,$C$1)</f>
        <v>3</v>
      </c>
      <c r="Q5" s="127">
        <f>COUNTIFS(門市總表!$D:$D,Q2,門市總表!$I:$I,$C$1)</f>
        <v>9</v>
      </c>
      <c r="R5" s="377">
        <f>COUNTIFS(門市總表!$D:$D,R2,門市總表!$I:$I,$C$1)</f>
        <v>4</v>
      </c>
      <c r="S5" s="374"/>
      <c r="T5" s="105"/>
      <c r="V5" s="105"/>
    </row>
    <row r="6" spans="1:23" s="130" customFormat="1" ht="18.600000000000001" customHeight="1">
      <c r="A6" s="181" t="s">
        <v>21</v>
      </c>
      <c r="B6" s="280">
        <f>SUM(C6:R6)</f>
        <v>215</v>
      </c>
      <c r="C6" s="285">
        <f t="shared" ref="C6:R6" si="1">IF(C3-C5&lt;0,0,C3-C5)</f>
        <v>1</v>
      </c>
      <c r="D6" s="188">
        <f t="shared" si="1"/>
        <v>0</v>
      </c>
      <c r="E6" s="188">
        <f t="shared" si="1"/>
        <v>12</v>
      </c>
      <c r="F6" s="188">
        <f t="shared" si="1"/>
        <v>2</v>
      </c>
      <c r="G6" s="188">
        <f t="shared" si="1"/>
        <v>0</v>
      </c>
      <c r="H6" s="188">
        <f t="shared" si="1"/>
        <v>16</v>
      </c>
      <c r="I6" s="188">
        <f t="shared" si="1"/>
        <v>56</v>
      </c>
      <c r="J6" s="188">
        <f t="shared" si="1"/>
        <v>15</v>
      </c>
      <c r="K6" s="188">
        <f t="shared" si="1"/>
        <v>26</v>
      </c>
      <c r="L6" s="188">
        <f t="shared" si="1"/>
        <v>8</v>
      </c>
      <c r="M6" s="188">
        <f t="shared" si="1"/>
        <v>24</v>
      </c>
      <c r="N6" s="188">
        <f t="shared" si="1"/>
        <v>1</v>
      </c>
      <c r="O6" s="188">
        <f t="shared" si="1"/>
        <v>1</v>
      </c>
      <c r="P6" s="188">
        <f t="shared" si="1"/>
        <v>33</v>
      </c>
      <c r="Q6" s="188">
        <f t="shared" si="1"/>
        <v>18</v>
      </c>
      <c r="R6" s="394">
        <f t="shared" si="1"/>
        <v>2</v>
      </c>
      <c r="S6" s="188" t="e">
        <f>IF(#REF!-#REF!&lt;0,0)</f>
        <v>#REF!</v>
      </c>
      <c r="T6" s="107"/>
      <c r="V6" s="107"/>
    </row>
    <row r="7" spans="1:23" s="372" customFormat="1" ht="18.600000000000001" customHeight="1">
      <c r="A7" s="370" t="s">
        <v>8953</v>
      </c>
      <c r="B7" s="279">
        <f>SUM(C7:R7)</f>
        <v>75</v>
      </c>
      <c r="C7" s="323">
        <f>COUNTIFS(IM!$H:$H,"*"&amp;C2&amp;"*",IM!$B:$B,"維修",IM!$AM:$AM,"&gt;="&amp;$A$1,IM!$AM:$AM,"&lt;="&amp;$B$1)</f>
        <v>0</v>
      </c>
      <c r="D7" s="373">
        <f>COUNTIFS(IM!$H:$H,"*"&amp;D2&amp;"*",IM!$B:$B,"維修",IM!$AM:$AM,"&gt;="&amp;$A$1,IM!$AM:$AM,"&lt;="&amp;$B$1)</f>
        <v>0</v>
      </c>
      <c r="E7" s="373">
        <f>COUNTIFS(IM!$H:$H,"*"&amp;E2&amp;"*",IM!$B:$B,"維修",IM!$AM:$AM,"&gt;="&amp;$A$1,IM!$AM:$AM,"&lt;="&amp;$B$1)</f>
        <v>4</v>
      </c>
      <c r="F7" s="373">
        <f>COUNTIFS(IM!$H:$H,"*"&amp;F2&amp;"*",IM!$B:$B,"維修",IM!$AM:$AM,"&gt;="&amp;$A$1,IM!$AM:$AM,"&lt;="&amp;$B$1)</f>
        <v>0</v>
      </c>
      <c r="G7" s="373">
        <f>COUNTIFS(IM!$H:$H,"*"&amp;G2&amp;"*",IM!$B:$B,"維修",IM!$AM:$AM,"&gt;="&amp;$A$1,IM!$AM:$AM,"&lt;="&amp;$B$1)</f>
        <v>5</v>
      </c>
      <c r="H7" s="373">
        <f>COUNTIFS(IM!$H:$H,"*"&amp;H2&amp;"*",IM!$B:$B,"維修",IM!$AM:$AM,"&gt;="&amp;$A$1,IM!$AM:$AM,"&lt;="&amp;$B$1)</f>
        <v>2</v>
      </c>
      <c r="I7" s="373">
        <f>COUNTIFS(IM!$H:$H,"*"&amp;I2&amp;"*",IM!$B:$B,"維修",IM!$AM:$AM,"&gt;="&amp;$A$1,IM!$AM:$AM,"&lt;="&amp;$B$1)</f>
        <v>36</v>
      </c>
      <c r="J7" s="373">
        <f>COUNTIFS(IM!$H:$H,"*"&amp;J2&amp;"*",IM!$B:$B,"維修",IM!$AM:$AM,"&gt;="&amp;$A$1,IM!$AM:$AM,"&lt;="&amp;$B$1)</f>
        <v>3</v>
      </c>
      <c r="K7" s="373">
        <f>COUNTIFS(IM!$H:$H,"*"&amp;K2&amp;"*",IM!$B:$B,"維修",IM!$AM:$AM,"&gt;="&amp;$A$1,IM!$AM:$AM,"&lt;="&amp;$B$1)</f>
        <v>6</v>
      </c>
      <c r="L7" s="373">
        <f>COUNTIFS(IM!$H:$H,"*"&amp;L2&amp;"*",IM!$B:$B,"維修",IM!$AM:$AM,"&gt;="&amp;$A$1,IM!$AM:$AM,"&lt;="&amp;$B$1)</f>
        <v>3</v>
      </c>
      <c r="M7" s="373">
        <f>COUNTIFS(IM!$H:$H,"*"&amp;M2&amp;"*",IM!$B:$B,"維修",IM!$AM:$AM,"&gt;="&amp;$A$1,IM!$AM:$AM,"&lt;="&amp;$B$1)</f>
        <v>8</v>
      </c>
      <c r="N7" s="373">
        <f>COUNTIFS(IM!$H:$H,"*"&amp;N2&amp;"*",IM!$B:$B,"維修",IM!$AM:$AM,"&gt;="&amp;$A$1,IM!$AM:$AM,"&lt;="&amp;$B$1)</f>
        <v>0</v>
      </c>
      <c r="O7" s="373">
        <f>COUNTIFS(IM!$H:$H,"*"&amp;O2&amp;"*",IM!$B:$B,"維修",IM!$AM:$AM,"&gt;="&amp;$A$1,IM!$AM:$AM,"&lt;="&amp;$B$1)</f>
        <v>1</v>
      </c>
      <c r="P7" s="373">
        <f>COUNTIFS(IM!$H:$H,"*"&amp;P2&amp;"*",IM!$B:$B,"維修",IM!$AM:$AM,"&gt;="&amp;$A$1,IM!$AM:$AM,"&lt;="&amp;$B$1)</f>
        <v>3</v>
      </c>
      <c r="Q7" s="373">
        <f>COUNTIFS(IM!$H:$H,"*"&amp;Q2&amp;"*",IM!$B:$B,"維修",IM!$AM:$AM,"&gt;="&amp;$A$1,IM!$AM:$AM,"&lt;="&amp;$B$1)</f>
        <v>3</v>
      </c>
      <c r="R7" s="378">
        <f>COUNTIFS(IM!$H:$H,"*"&amp;R2&amp;"*",IM!$B:$B,"維修",IM!$AM:$AM,"&gt;="&amp;$A$1,IM!$AM:$AM,"&lt;="&amp;$B$1)</f>
        <v>1</v>
      </c>
      <c r="S7" s="373"/>
      <c r="T7" s="371"/>
      <c r="V7" s="371"/>
    </row>
    <row r="8" spans="1:23" s="372" customFormat="1" ht="18.600000000000001" customHeight="1">
      <c r="A8" s="370" t="s">
        <v>8954</v>
      </c>
      <c r="B8" s="380">
        <f>SUM(C8:R8)/B3</f>
        <v>8.9404602371295893E-3</v>
      </c>
      <c r="C8" s="388">
        <f t="shared" ref="C8:D8" si="2">IF(C3=0,0,C7/C3)</f>
        <v>0</v>
      </c>
      <c r="D8" s="389">
        <f t="shared" si="2"/>
        <v>0</v>
      </c>
      <c r="E8" s="389">
        <f>IF(E3=0,0,E7/E3)</f>
        <v>0.25</v>
      </c>
      <c r="F8" s="389">
        <f t="shared" ref="F8:R8" si="3">IF(F3=0,0,F7/F3)</f>
        <v>0</v>
      </c>
      <c r="G8" s="389">
        <f t="shared" si="3"/>
        <v>0.625</v>
      </c>
      <c r="H8" s="389">
        <f t="shared" si="3"/>
        <v>0.1111111111111111</v>
      </c>
      <c r="I8" s="389">
        <f t="shared" si="3"/>
        <v>0.49315068493150682</v>
      </c>
      <c r="J8" s="389">
        <f t="shared" si="3"/>
        <v>0.12</v>
      </c>
      <c r="K8" s="389">
        <f t="shared" si="3"/>
        <v>0.18181818181818182</v>
      </c>
      <c r="L8" s="389">
        <f t="shared" si="3"/>
        <v>0.25</v>
      </c>
      <c r="M8" s="389">
        <f t="shared" si="3"/>
        <v>0.26666666666666666</v>
      </c>
      <c r="N8" s="389">
        <f t="shared" si="3"/>
        <v>0</v>
      </c>
      <c r="O8" s="389">
        <f t="shared" si="3"/>
        <v>7.6923076923076927E-2</v>
      </c>
      <c r="P8" s="389">
        <f t="shared" si="3"/>
        <v>8.3333333333333329E-2</v>
      </c>
      <c r="Q8" s="389">
        <f t="shared" si="3"/>
        <v>0.1111111111111111</v>
      </c>
      <c r="R8" s="390">
        <f t="shared" si="3"/>
        <v>0.16666666666666666</v>
      </c>
      <c r="S8" s="373"/>
      <c r="T8" s="371"/>
      <c r="V8" s="371"/>
    </row>
    <row r="9" spans="1:23" s="372" customFormat="1" ht="18.600000000000001" customHeight="1">
      <c r="A9" s="370" t="s">
        <v>8955</v>
      </c>
      <c r="B9" s="380">
        <f t="shared" ref="B9" si="4">SUM(C9:R9)</f>
        <v>0.24509803921568624</v>
      </c>
      <c r="C9" s="391">
        <f>C7/$B$3</f>
        <v>0</v>
      </c>
      <c r="D9" s="392">
        <f t="shared" ref="D9:R9" si="5">D7/$B$3</f>
        <v>0</v>
      </c>
      <c r="E9" s="392">
        <f t="shared" si="5"/>
        <v>1.3071895424836602E-2</v>
      </c>
      <c r="F9" s="392">
        <f t="shared" si="5"/>
        <v>0</v>
      </c>
      <c r="G9" s="392">
        <f t="shared" si="5"/>
        <v>1.6339869281045753E-2</v>
      </c>
      <c r="H9" s="392">
        <f t="shared" si="5"/>
        <v>6.5359477124183009E-3</v>
      </c>
      <c r="I9" s="392">
        <f t="shared" si="5"/>
        <v>0.11764705882352941</v>
      </c>
      <c r="J9" s="392">
        <f t="shared" si="5"/>
        <v>9.8039215686274508E-3</v>
      </c>
      <c r="K9" s="392">
        <f t="shared" si="5"/>
        <v>1.9607843137254902E-2</v>
      </c>
      <c r="L9" s="392">
        <f t="shared" si="5"/>
        <v>9.8039215686274508E-3</v>
      </c>
      <c r="M9" s="392">
        <f t="shared" si="5"/>
        <v>2.6143790849673203E-2</v>
      </c>
      <c r="N9" s="392">
        <f t="shared" si="5"/>
        <v>0</v>
      </c>
      <c r="O9" s="392">
        <f t="shared" si="5"/>
        <v>3.2679738562091504E-3</v>
      </c>
      <c r="P9" s="392">
        <f t="shared" si="5"/>
        <v>9.8039215686274508E-3</v>
      </c>
      <c r="Q9" s="392">
        <f t="shared" si="5"/>
        <v>9.8039215686274508E-3</v>
      </c>
      <c r="R9" s="393">
        <f t="shared" si="5"/>
        <v>3.2679738562091504E-3</v>
      </c>
      <c r="S9" s="373"/>
      <c r="T9" s="371"/>
      <c r="V9" s="371"/>
    </row>
    <row r="10" spans="1:23" ht="18.600000000000001" customHeight="1">
      <c r="A10" s="183" t="str">
        <f>D1</f>
        <v>--</v>
      </c>
      <c r="B10" s="278">
        <f>SUM(C10:R10)</f>
        <v>0</v>
      </c>
      <c r="C10" s="375">
        <f>COUNTIFS('0919門市清單主檔'!$V:$V,C2,'0919門市清單主檔'!$AF:$AF,$D$1)</f>
        <v>0</v>
      </c>
      <c r="D10" s="376">
        <f>COUNTIFS('0919門市清單主檔'!$V:$V,D2,'0919門市清單主檔'!$AF:$AF,$D$1)</f>
        <v>0</v>
      </c>
      <c r="E10" s="376">
        <f>COUNTIFS('0919門市清單主檔'!$V:$V,E2,'0919門市清單主檔'!$AF:$AF,$D$1)</f>
        <v>0</v>
      </c>
      <c r="F10" s="376">
        <f>COUNTIFS('0919門市清單主檔'!$V:$V,F2,'0919門市清單主檔'!$AF:$AF,$D$1)</f>
        <v>0</v>
      </c>
      <c r="G10" s="376">
        <f>COUNTIFS('0919門市清單主檔'!$V:$V,G2,'0919門市清單主檔'!$AF:$AF,$D$1)</f>
        <v>0</v>
      </c>
      <c r="H10" s="376">
        <f>COUNTIFS('0919門市清單主檔'!$V:$V,H2,'0919門市清單主檔'!$AF:$AF,$D$1)</f>
        <v>0</v>
      </c>
      <c r="I10" s="376">
        <f>COUNTIFS('0919門市清單主檔'!$V:$V,I2,'0919門市清單主檔'!$AF:$AF,$D$1)</f>
        <v>0</v>
      </c>
      <c r="J10" s="376">
        <f>COUNTIFS('0919門市清單主檔'!$V:$V,J2,'0919門市清單主檔'!$AF:$AF,$D$1)</f>
        <v>0</v>
      </c>
      <c r="K10" s="376">
        <f>COUNTIFS('0919門市清單主檔'!$V:$V,K2,'0919門市清單主檔'!$AF:$AF,$D$1)</f>
        <v>0</v>
      </c>
      <c r="L10" s="376">
        <f>COUNTIFS('0919門市清單主檔'!$V:$V,L2,'0919門市清單主檔'!$AF:$AF,$D$1)</f>
        <v>0</v>
      </c>
      <c r="M10" s="376">
        <f>COUNTIFS('0919門市清單主檔'!$V:$V,M2,'0919門市清單主檔'!$AF:$AF,$D$1)</f>
        <v>0</v>
      </c>
      <c r="N10" s="376">
        <f>COUNTIFS('0919門市清單主檔'!$V:$V,N2,'0919門市清單主檔'!$AF:$AF,$D$1)</f>
        <v>0</v>
      </c>
      <c r="O10" s="376">
        <f>COUNTIFS('0919門市清單主檔'!$V:$V,O2,'0919門市清單主檔'!$AF:$AF,$D$1)</f>
        <v>0</v>
      </c>
      <c r="P10" s="376">
        <f>COUNTIFS('0919門市清單主檔'!$V:$V,P2,'0919門市清單主檔'!$AF:$AF,$D$1)</f>
        <v>0</v>
      </c>
      <c r="Q10" s="376">
        <f>COUNTIFS('0919門市清單主檔'!$V:$V,Q2,'0919門市清單主檔'!$AF:$AF,$D$1)</f>
        <v>0</v>
      </c>
      <c r="R10" s="376">
        <f>COUNTIFS('0919門市清單主檔'!$V:$V,R2,'0919門市清單主檔'!$AF:$AF,$D$1)</f>
        <v>0</v>
      </c>
      <c r="S10" s="363"/>
      <c r="T10" s="111"/>
      <c r="U10" s="111"/>
      <c r="V10" s="111"/>
    </row>
    <row r="11" spans="1:23" ht="18.600000000000001" customHeight="1">
      <c r="A11" s="182" t="s">
        <v>22</v>
      </c>
      <c r="B11" s="366" t="e">
        <f>IF(A10&lt;&gt;"-",B12/B10,"")</f>
        <v>#DIV/0!</v>
      </c>
      <c r="C11" s="379" t="e">
        <f t="shared" ref="C11:R11" si="6">C12/C10</f>
        <v>#DIV/0!</v>
      </c>
      <c r="D11" s="289" t="e">
        <f t="shared" si="6"/>
        <v>#DIV/0!</v>
      </c>
      <c r="E11" s="289" t="e">
        <f t="shared" si="6"/>
        <v>#DIV/0!</v>
      </c>
      <c r="F11" s="289" t="e">
        <f t="shared" si="6"/>
        <v>#DIV/0!</v>
      </c>
      <c r="G11" s="289" t="e">
        <f t="shared" si="6"/>
        <v>#DIV/0!</v>
      </c>
      <c r="H11" s="289" t="e">
        <f t="shared" si="6"/>
        <v>#DIV/0!</v>
      </c>
      <c r="I11" s="289" t="e">
        <f t="shared" si="6"/>
        <v>#DIV/0!</v>
      </c>
      <c r="J11" s="289" t="e">
        <f t="shared" si="6"/>
        <v>#DIV/0!</v>
      </c>
      <c r="K11" s="289" t="e">
        <f t="shared" si="6"/>
        <v>#DIV/0!</v>
      </c>
      <c r="L11" s="289" t="e">
        <f t="shared" si="6"/>
        <v>#DIV/0!</v>
      </c>
      <c r="M11" s="289" t="e">
        <f t="shared" si="6"/>
        <v>#DIV/0!</v>
      </c>
      <c r="N11" s="289" t="e">
        <f t="shared" si="6"/>
        <v>#DIV/0!</v>
      </c>
      <c r="O11" s="289" t="e">
        <f t="shared" si="6"/>
        <v>#DIV/0!</v>
      </c>
      <c r="P11" s="289" t="e">
        <f t="shared" si="6"/>
        <v>#DIV/0!</v>
      </c>
      <c r="Q11" s="289" t="e">
        <f t="shared" si="6"/>
        <v>#DIV/0!</v>
      </c>
      <c r="R11" s="289" t="e">
        <f t="shared" si="6"/>
        <v>#DIV/0!</v>
      </c>
      <c r="S11" s="363"/>
      <c r="T11" s="105"/>
      <c r="U11" s="105"/>
      <c r="V11" s="105"/>
    </row>
    <row r="12" spans="1:23" ht="18.600000000000001" customHeight="1">
      <c r="A12" s="113" t="s">
        <v>20</v>
      </c>
      <c r="B12" s="279">
        <f>IF(A10&lt;&gt;"-",SUM(C12:R12),"")</f>
        <v>0</v>
      </c>
      <c r="C12" s="284">
        <f>COUNTIFS(門市總表!$D:$D,C2,門市總表!$Q:$Q,$D$1)</f>
        <v>0</v>
      </c>
      <c r="D12" s="127">
        <f>COUNTIFS(門市總表!$D:$D,D2,門市總表!$Q:$Q,$D$1)</f>
        <v>0</v>
      </c>
      <c r="E12" s="127">
        <f>COUNTIFS(門市總表!$D:$D,E2,門市總表!$Q:$Q,$D$1)</f>
        <v>0</v>
      </c>
      <c r="F12" s="127">
        <f>COUNTIFS(門市總表!$D:$D,F2,門市總表!$Q:$Q,$D$1)</f>
        <v>0</v>
      </c>
      <c r="G12" s="127">
        <f>COUNTIFS(門市總表!$D:$D,G2,門市總表!$Q:$Q,$D$1)</f>
        <v>0</v>
      </c>
      <c r="H12" s="127">
        <f>COUNTIFS(門市總表!$D:$D,H2,門市總表!$Q:$Q,$D$1)</f>
        <v>0</v>
      </c>
      <c r="I12" s="127">
        <f>COUNTIFS(門市總表!$D:$D,I2,門市總表!$Q:$Q,$D$1)</f>
        <v>0</v>
      </c>
      <c r="J12" s="127">
        <f>COUNTIFS(門市總表!$D:$D,J2,門市總表!$Q:$Q,$D$1)</f>
        <v>0</v>
      </c>
      <c r="K12" s="127">
        <f>COUNTIFS(門市總表!$D:$D,K2,門市總表!$Q:$Q,$D$1)</f>
        <v>0</v>
      </c>
      <c r="L12" s="127">
        <f>COUNTIFS(門市總表!$D:$D,L2,門市總表!$Q:$Q,$D$1)</f>
        <v>0</v>
      </c>
      <c r="M12" s="127">
        <f>COUNTIFS(門市總表!$D:$D,M2,門市總表!$Q:$Q,$D$1)</f>
        <v>0</v>
      </c>
      <c r="N12" s="127">
        <f>COUNTIFS(門市總表!$D:$D,N2,門市總表!$Q:$Q,$D$1)</f>
        <v>0</v>
      </c>
      <c r="O12" s="127">
        <f>COUNTIFS(門市總表!$D:$D,O2,門市總表!$Q:$Q,$D$1)</f>
        <v>0</v>
      </c>
      <c r="P12" s="127">
        <f>COUNTIFS(門市總表!$D:$D,P2,門市總表!$Q:$Q,$D$1)</f>
        <v>0</v>
      </c>
      <c r="Q12" s="127">
        <f>COUNTIFS(門市總表!$D:$D,Q2,門市總表!$Q:$Q,$D$1)</f>
        <v>0</v>
      </c>
      <c r="R12" s="377">
        <f>COUNTIFS(門市總表!$D:$D,R2,門市總表!$Q:$Q,$D$1)</f>
        <v>0</v>
      </c>
      <c r="S12" s="395"/>
      <c r="T12" s="184"/>
      <c r="U12" s="184"/>
      <c r="V12" s="184"/>
    </row>
    <row r="13" spans="1:23" s="130" customFormat="1" ht="18.600000000000001" customHeight="1">
      <c r="A13" s="190" t="s">
        <v>21</v>
      </c>
      <c r="B13" s="280">
        <f>IF(A10&lt;&gt;"-",SUM(C13:R13),"")</f>
        <v>0</v>
      </c>
      <c r="C13" s="285">
        <f t="shared" ref="C13:R13" si="7">C10-C12</f>
        <v>0</v>
      </c>
      <c r="D13" s="188">
        <f t="shared" si="7"/>
        <v>0</v>
      </c>
      <c r="E13" s="188">
        <f t="shared" si="7"/>
        <v>0</v>
      </c>
      <c r="F13" s="188">
        <f t="shared" si="7"/>
        <v>0</v>
      </c>
      <c r="G13" s="188">
        <f t="shared" si="7"/>
        <v>0</v>
      </c>
      <c r="H13" s="188">
        <f t="shared" si="7"/>
        <v>0</v>
      </c>
      <c r="I13" s="188">
        <f t="shared" si="7"/>
        <v>0</v>
      </c>
      <c r="J13" s="188">
        <f t="shared" si="7"/>
        <v>0</v>
      </c>
      <c r="K13" s="188">
        <f t="shared" si="7"/>
        <v>0</v>
      </c>
      <c r="L13" s="188">
        <f t="shared" si="7"/>
        <v>0</v>
      </c>
      <c r="M13" s="188">
        <f t="shared" si="7"/>
        <v>0</v>
      </c>
      <c r="N13" s="188">
        <f t="shared" si="7"/>
        <v>0</v>
      </c>
      <c r="O13" s="188">
        <f t="shared" si="7"/>
        <v>0</v>
      </c>
      <c r="P13" s="188">
        <f t="shared" si="7"/>
        <v>0</v>
      </c>
      <c r="Q13" s="188">
        <f t="shared" si="7"/>
        <v>0</v>
      </c>
      <c r="R13" s="394">
        <f t="shared" si="7"/>
        <v>0</v>
      </c>
      <c r="S13" s="371"/>
      <c r="T13" s="107"/>
      <c r="U13" s="107"/>
      <c r="V13" s="107"/>
    </row>
    <row r="14" spans="1:23" ht="18.600000000000001" customHeight="1">
      <c r="A14" s="183" t="str">
        <f>E1</f>
        <v>+L90</v>
      </c>
      <c r="B14" s="278">
        <f>IF(SUM(C14:R14)=0,"",(SUM(C14:R14)))</f>
        <v>300</v>
      </c>
      <c r="C14" s="375">
        <f>COUNTIFS('0919門市清單主檔'!$V:$V,C2,'0919門市清單主檔'!$AG:$AG,$E$1)</f>
        <v>1</v>
      </c>
      <c r="D14" s="376">
        <f>COUNTIFS('0919門市清單主檔'!$V:$V,D2,'0919門市清單主檔'!$AG:$AG,$E$1)</f>
        <v>3</v>
      </c>
      <c r="E14" s="376">
        <f>COUNTIFS('0919門市清單主檔'!$V:$V,E2,'0919門市清單主檔'!$AG:$AG,$E$1)</f>
        <v>16</v>
      </c>
      <c r="F14" s="376">
        <f>COUNTIFS('0919門市清單主檔'!$V:$V,F2,'0919門市清單主檔'!$AG:$AG,$E$1)</f>
        <v>2</v>
      </c>
      <c r="G14" s="376">
        <f>COUNTIFS('0919門市清單主檔'!$V:$V,G2,'0919門市清單主檔'!$AG:$AG,$E$1)</f>
        <v>8</v>
      </c>
      <c r="H14" s="376">
        <f>COUNTIFS('0919門市清單主檔'!$V:$V,H2,'0919門市清單主檔'!$AG:$AG,$E$1)</f>
        <v>17</v>
      </c>
      <c r="I14" s="376">
        <f>COUNTIFS('0919門市清單主檔'!$V:$V,I2,'0919門市清單主檔'!$AG:$AG,$E$1)</f>
        <v>72</v>
      </c>
      <c r="J14" s="376">
        <f>COUNTIFS('0919門市清單主檔'!$V:$V,J2,'0919門市清單主檔'!$AG:$AG,$E$1)</f>
        <v>25</v>
      </c>
      <c r="K14" s="376">
        <f>COUNTIFS('0919門市清單主檔'!$V:$V,K2,'0919門市清單主檔'!$AG:$AG,$E$1)</f>
        <v>33</v>
      </c>
      <c r="L14" s="376">
        <f>COUNTIFS('0919門市清單主檔'!$V:$V,L2,'0919門市清單主檔'!$AG:$AG,$E$1)</f>
        <v>12</v>
      </c>
      <c r="M14" s="376">
        <f>COUNTIFS('0919門市清單主檔'!$V:$V,M2,'0919門市清單主檔'!$AG:$AG,$E$1)</f>
        <v>29</v>
      </c>
      <c r="N14" s="376">
        <f>COUNTIFS('0919門市清單主檔'!$V:$V,N2,'0919門市清單主檔'!$AG:$AG,$E$1)</f>
        <v>3</v>
      </c>
      <c r="O14" s="376">
        <f>COUNTIFS('0919門市清單主檔'!$V:$V,O2,'0919門市清單主檔'!$AG:$AG,$E$1)</f>
        <v>11</v>
      </c>
      <c r="P14" s="376">
        <f>COUNTIFS('0919門市清單主檔'!$V:$V,P2,'0919門市清單主檔'!$AG:$AG,$E$1)</f>
        <v>35</v>
      </c>
      <c r="Q14" s="376">
        <f>COUNTIFS('0919門市清單主檔'!$V:$V,Q2,'0919門市清單主檔'!$AG:$AG,$E$1)</f>
        <v>27</v>
      </c>
      <c r="R14" s="376">
        <f>COUNTIFS('0919門市清單主檔'!$V:$V,R2,'0919門市清單主檔'!$AG:$AG,$E$1)</f>
        <v>6</v>
      </c>
      <c r="S14" s="363"/>
      <c r="T14" s="111"/>
      <c r="U14" s="111"/>
      <c r="V14" s="111"/>
    </row>
    <row r="15" spans="1:23" ht="18.600000000000001" customHeight="1">
      <c r="A15" s="182" t="s">
        <v>22</v>
      </c>
      <c r="B15" s="366">
        <f>IF(A14&lt;&gt;"--",B16/B14,"")</f>
        <v>0.67666666666666664</v>
      </c>
      <c r="C15" s="379">
        <f t="shared" ref="C15:R15" si="8">C16/C14</f>
        <v>1</v>
      </c>
      <c r="D15" s="289">
        <f t="shared" si="8"/>
        <v>1</v>
      </c>
      <c r="E15" s="289">
        <f t="shared" si="8"/>
        <v>1</v>
      </c>
      <c r="F15" s="289">
        <f t="shared" si="8"/>
        <v>1</v>
      </c>
      <c r="G15" s="289">
        <f t="shared" si="8"/>
        <v>1</v>
      </c>
      <c r="H15" s="289">
        <f t="shared" si="8"/>
        <v>0.94117647058823528</v>
      </c>
      <c r="I15" s="289">
        <f t="shared" si="8"/>
        <v>0.93055555555555558</v>
      </c>
      <c r="J15" s="289">
        <f t="shared" si="8"/>
        <v>0.32</v>
      </c>
      <c r="K15" s="289">
        <f t="shared" si="8"/>
        <v>0.18181818181818182</v>
      </c>
      <c r="L15" s="289">
        <f t="shared" si="8"/>
        <v>0.58333333333333337</v>
      </c>
      <c r="M15" s="289">
        <f t="shared" si="8"/>
        <v>0.7931034482758621</v>
      </c>
      <c r="N15" s="289">
        <f t="shared" si="8"/>
        <v>1</v>
      </c>
      <c r="O15" s="289">
        <f t="shared" si="8"/>
        <v>1</v>
      </c>
      <c r="P15" s="289">
        <f t="shared" si="8"/>
        <v>0.88571428571428568</v>
      </c>
      <c r="Q15" s="289">
        <f t="shared" si="8"/>
        <v>3.7037037037037035E-2</v>
      </c>
      <c r="R15" s="289">
        <f t="shared" si="8"/>
        <v>0</v>
      </c>
      <c r="S15" s="363"/>
      <c r="T15" s="105"/>
      <c r="U15" s="105"/>
      <c r="V15" s="105"/>
    </row>
    <row r="16" spans="1:23" ht="18.600000000000001" customHeight="1">
      <c r="A16" s="113" t="s">
        <v>20</v>
      </c>
      <c r="B16" s="279">
        <f>IF(A14&lt;&gt;"--",SUM(C16:R16),"")</f>
        <v>203</v>
      </c>
      <c r="C16" s="284">
        <f>COUNTIFS(門市總表!$D:$D,C2,門市總表!$S:$S,$E$1)</f>
        <v>1</v>
      </c>
      <c r="D16" s="127">
        <f>COUNTIFS(門市總表!$D:$D,D2,門市總表!$S:$S,$E$1)</f>
        <v>3</v>
      </c>
      <c r="E16" s="127">
        <f>COUNTIFS(門市總表!$D:$D,E2,門市總表!$S:$S,$E$1)</f>
        <v>16</v>
      </c>
      <c r="F16" s="127">
        <f>COUNTIFS(門市總表!$D:$D,F2,門市總表!$S:$S,$E$1)</f>
        <v>2</v>
      </c>
      <c r="G16" s="127">
        <f>COUNTIFS(門市總表!$D:$D,G2,門市總表!$S:$S,$E$1)</f>
        <v>8</v>
      </c>
      <c r="H16" s="127">
        <f>COUNTIFS(門市總表!$D:$D,H2,門市總表!$S:$S,$E$1)</f>
        <v>16</v>
      </c>
      <c r="I16" s="127">
        <f>COUNTIFS(門市總表!$D:$D,I2,門市總表!$S:$S,$E$1)</f>
        <v>67</v>
      </c>
      <c r="J16" s="127">
        <f>COUNTIFS(門市總表!$D:$D,J2,門市總表!$S:$S,$E$1)</f>
        <v>8</v>
      </c>
      <c r="K16" s="127">
        <f>COUNTIFS(門市總表!$D:$D,K2,門市總表!$S:$S,$E$1)</f>
        <v>6</v>
      </c>
      <c r="L16" s="127">
        <f>COUNTIFS(門市總表!$D:$D,L2,門市總表!$S:$S,$E$1)</f>
        <v>7</v>
      </c>
      <c r="M16" s="127">
        <f>COUNTIFS(門市總表!$D:$D,M2,門市總表!$S:$S,$E$1)</f>
        <v>23</v>
      </c>
      <c r="N16" s="127">
        <f>COUNTIFS(門市總表!$D:$D,N2,門市總表!$S:$S,$E$1)</f>
        <v>3</v>
      </c>
      <c r="O16" s="127">
        <f>COUNTIFS(門市總表!$D:$D,O2,門市總表!$S:$S,$E$1)</f>
        <v>11</v>
      </c>
      <c r="P16" s="127">
        <f>COUNTIFS(門市總表!$D:$D,P2,門市總表!$S:$S,$E$1)</f>
        <v>31</v>
      </c>
      <c r="Q16" s="127">
        <f>COUNTIFS(門市總表!$D:$D,Q2,門市總表!$S:$S,$E$1)</f>
        <v>1</v>
      </c>
      <c r="R16" s="377">
        <f>COUNTIFS(門市總表!$D:$D,R2,門市總表!$S:$S,$E$1)</f>
        <v>0</v>
      </c>
      <c r="S16" s="395"/>
      <c r="T16" s="184"/>
      <c r="U16" s="184"/>
      <c r="V16" s="184"/>
    </row>
    <row r="17" spans="1:22" s="130" customFormat="1" ht="18.600000000000001" customHeight="1">
      <c r="A17" s="114" t="s">
        <v>21</v>
      </c>
      <c r="B17" s="279">
        <f>IF(A14&lt;&gt;"--",SUM(C17:R17),"")</f>
        <v>97</v>
      </c>
      <c r="C17" s="285">
        <f t="shared" ref="C17:R17" si="9">C14-C16</f>
        <v>0</v>
      </c>
      <c r="D17" s="188">
        <f t="shared" si="9"/>
        <v>0</v>
      </c>
      <c r="E17" s="188">
        <f t="shared" si="9"/>
        <v>0</v>
      </c>
      <c r="F17" s="188">
        <f t="shared" si="9"/>
        <v>0</v>
      </c>
      <c r="G17" s="188">
        <f t="shared" si="9"/>
        <v>0</v>
      </c>
      <c r="H17" s="188">
        <f t="shared" si="9"/>
        <v>1</v>
      </c>
      <c r="I17" s="188">
        <f t="shared" si="9"/>
        <v>5</v>
      </c>
      <c r="J17" s="188">
        <f t="shared" si="9"/>
        <v>17</v>
      </c>
      <c r="K17" s="188">
        <f t="shared" si="9"/>
        <v>27</v>
      </c>
      <c r="L17" s="188">
        <f t="shared" si="9"/>
        <v>5</v>
      </c>
      <c r="M17" s="188">
        <f t="shared" si="9"/>
        <v>6</v>
      </c>
      <c r="N17" s="188">
        <f t="shared" si="9"/>
        <v>0</v>
      </c>
      <c r="O17" s="188">
        <f t="shared" si="9"/>
        <v>0</v>
      </c>
      <c r="P17" s="188">
        <f t="shared" si="9"/>
        <v>4</v>
      </c>
      <c r="Q17" s="188">
        <f t="shared" si="9"/>
        <v>26</v>
      </c>
      <c r="R17" s="394">
        <f t="shared" si="9"/>
        <v>6</v>
      </c>
      <c r="S17" s="371"/>
      <c r="T17" s="107"/>
      <c r="U17" s="107"/>
      <c r="V17" s="107"/>
    </row>
    <row r="18" spans="1:22" ht="18.600000000000001" customHeight="1">
      <c r="A18" s="183" t="str">
        <f>F1</f>
        <v>+721</v>
      </c>
      <c r="B18" s="278">
        <f>IF(SUM(C18:R18)=0,"",SUM(C18:R18))</f>
        <v>261</v>
      </c>
      <c r="C18" s="375">
        <f>COUNTIFS('0919門市清單主檔'!$V:$V,C2,'0919門市清單主檔'!$AH:$AH,$F$1)</f>
        <v>1</v>
      </c>
      <c r="D18" s="376">
        <f>COUNTIFS('0919門市清單主檔'!$V:$V,D2,'0919門市清單主檔'!$AH:$AH,$F$1)</f>
        <v>3</v>
      </c>
      <c r="E18" s="376">
        <f>COUNTIFS('0919門市清單主檔'!$V:$V,E2,'0919門市清單主檔'!$AH:$AH,$F$1)</f>
        <v>16</v>
      </c>
      <c r="F18" s="376">
        <f>COUNTIFS('0919門市清單主檔'!$V:$V,F2,'0919門市清單主檔'!$AH:$AH,$F$1)</f>
        <v>2</v>
      </c>
      <c r="G18" s="376">
        <f>COUNTIFS('0919門市清單主檔'!$V:$V,G2,'0919門市清單主檔'!$AH:$AH,$F$1)</f>
        <v>8</v>
      </c>
      <c r="H18" s="376">
        <f>COUNTIFS('0919門市清單主檔'!$V:$V,H2,'0919門市清單主檔'!$AH:$AH,$F$1)</f>
        <v>16</v>
      </c>
      <c r="I18" s="376">
        <f>COUNTIFS('0919門市清單主檔'!$V:$V,I2,'0919門市清單主檔'!$AH:$AH,$F$1)</f>
        <v>65</v>
      </c>
      <c r="J18" s="376">
        <f>COUNTIFS('0919門市清單主檔'!$V:$V,J2,'0919門市清單主檔'!$AH:$AH,$F$1)</f>
        <v>20</v>
      </c>
      <c r="K18" s="376">
        <f>COUNTIFS('0919門市清單主檔'!$V:$V,K2,'0919門市清單主檔'!$AH:$AH,$F$1)</f>
        <v>21</v>
      </c>
      <c r="L18" s="376">
        <f>COUNTIFS('0919門市清單主檔'!$V:$V,L2,'0919門市清單主檔'!$AH:$AH,$F$1)</f>
        <v>11</v>
      </c>
      <c r="M18" s="376">
        <f>COUNTIFS('0919門市清單主檔'!$V:$V,M2,'0919門市清單主檔'!$AH:$AH,$F$1)</f>
        <v>23</v>
      </c>
      <c r="N18" s="376">
        <f>COUNTIFS('0919門市清單主檔'!$V:$V,N2,'0919門市清單主檔'!$AH:$AH,$F$1)</f>
        <v>3</v>
      </c>
      <c r="O18" s="376">
        <f>COUNTIFS('0919門市清單主檔'!$V:$V,O2,'0919門市清單主檔'!$AH:$AH,$F$1)</f>
        <v>11</v>
      </c>
      <c r="P18" s="376">
        <f>COUNTIFS('0919門市清單主檔'!$V:$V,P2,'0919門市清單主檔'!$AH:$AH,$F$1)</f>
        <v>30</v>
      </c>
      <c r="Q18" s="376">
        <f>COUNTIFS('0919門市清單主檔'!$V:$V,Q2,'0919門市清單主檔'!$AH:$AH,$F$1)</f>
        <v>25</v>
      </c>
      <c r="R18" s="376">
        <f>COUNTIFS('0919門市清單主檔'!$V:$V,R2,'0919門市清單主檔'!$AH:$AH,$F$1)</f>
        <v>6</v>
      </c>
      <c r="S18" s="363"/>
      <c r="T18" s="111"/>
      <c r="U18" s="111"/>
      <c r="V18" s="111"/>
    </row>
    <row r="19" spans="1:22" ht="18.600000000000001" customHeight="1">
      <c r="A19" s="189" t="s">
        <v>22</v>
      </c>
      <c r="B19" s="366">
        <f>IF(A18&lt;&gt;"--",B20/B18,"")</f>
        <v>0.31034482758620691</v>
      </c>
      <c r="C19" s="379">
        <f t="shared" ref="C19:R19" si="10">C20/C18</f>
        <v>0</v>
      </c>
      <c r="D19" s="289">
        <f t="shared" si="10"/>
        <v>1</v>
      </c>
      <c r="E19" s="289">
        <f t="shared" si="10"/>
        <v>0.25</v>
      </c>
      <c r="F19" s="289">
        <f t="shared" si="10"/>
        <v>0</v>
      </c>
      <c r="G19" s="289">
        <f t="shared" si="10"/>
        <v>1</v>
      </c>
      <c r="H19" s="289">
        <f t="shared" si="10"/>
        <v>0.125</v>
      </c>
      <c r="I19" s="289">
        <f t="shared" si="10"/>
        <v>0.24615384615384617</v>
      </c>
      <c r="J19" s="289">
        <f t="shared" si="10"/>
        <v>0.4</v>
      </c>
      <c r="K19" s="289">
        <f t="shared" si="10"/>
        <v>0.23809523809523808</v>
      </c>
      <c r="L19" s="289">
        <f t="shared" si="10"/>
        <v>0.36363636363636365</v>
      </c>
      <c r="M19" s="289">
        <f t="shared" si="10"/>
        <v>0.21739130434782608</v>
      </c>
      <c r="N19" s="289">
        <f t="shared" si="10"/>
        <v>0.66666666666666663</v>
      </c>
      <c r="O19" s="289">
        <f t="shared" si="10"/>
        <v>0.90909090909090906</v>
      </c>
      <c r="P19" s="289">
        <f t="shared" si="10"/>
        <v>6.6666666666666666E-2</v>
      </c>
      <c r="Q19" s="289">
        <f t="shared" si="10"/>
        <v>0.32</v>
      </c>
      <c r="R19" s="289">
        <f t="shared" si="10"/>
        <v>0.66666666666666663</v>
      </c>
      <c r="S19" s="363"/>
      <c r="T19" s="105"/>
      <c r="U19" s="105"/>
      <c r="V19" s="105"/>
    </row>
    <row r="20" spans="1:22" ht="18.600000000000001" customHeight="1">
      <c r="A20" s="113" t="s">
        <v>20</v>
      </c>
      <c r="B20" s="279">
        <f>IF(A18&lt;&gt;"--",SUM(C20:R20),"")</f>
        <v>81</v>
      </c>
      <c r="C20" s="284">
        <f>COUNTIFS(門市總表!$D:$D,C2,門市總表!$U:$U,$F$1)</f>
        <v>0</v>
      </c>
      <c r="D20" s="127">
        <f>COUNTIFS(門市總表!$D:$D,D2,門市總表!$U:$U,$F$1)</f>
        <v>3</v>
      </c>
      <c r="E20" s="127">
        <f>COUNTIFS(門市總表!$D:$D,E2,門市總表!$U:$U,$F$1)</f>
        <v>4</v>
      </c>
      <c r="F20" s="127">
        <f>COUNTIFS(門市總表!$D:$D,F2,門市總表!$U:$U,$F$1)</f>
        <v>0</v>
      </c>
      <c r="G20" s="127">
        <f>COUNTIFS(門市總表!$D:$D,G2,門市總表!$U:$U,$F$1)</f>
        <v>8</v>
      </c>
      <c r="H20" s="127">
        <f>COUNTIFS(門市總表!$D:$D,H2,門市總表!$U:$U,$F$1)</f>
        <v>2</v>
      </c>
      <c r="I20" s="127">
        <f>COUNTIFS(門市總表!$D:$D,I2,門市總表!$U:$U,$F$1)</f>
        <v>16</v>
      </c>
      <c r="J20" s="127">
        <f>COUNTIFS(門市總表!$D:$D,J2,門市總表!$U:$U,$F$1)</f>
        <v>8</v>
      </c>
      <c r="K20" s="127">
        <f>COUNTIFS(門市總表!$D:$D,K2,門市總表!$U:$U,$F$1)</f>
        <v>5</v>
      </c>
      <c r="L20" s="127">
        <f>COUNTIFS(門市總表!$D:$D,L2,門市總表!$U:$U,$F$1)</f>
        <v>4</v>
      </c>
      <c r="M20" s="127">
        <f>COUNTIFS(門市總表!$D:$D,M2,門市總表!$U:$U,$F$1)</f>
        <v>5</v>
      </c>
      <c r="N20" s="127">
        <f>COUNTIFS(門市總表!$D:$D,N2,門市總表!$U:$U,$F$1)</f>
        <v>2</v>
      </c>
      <c r="O20" s="127">
        <f>COUNTIFS(門市總表!$D:$D,O2,門市總表!$U:$U,$F$1)</f>
        <v>10</v>
      </c>
      <c r="P20" s="127">
        <f>COUNTIFS(門市總表!$D:$D,P2,門市總表!$U:$U,$F$1)</f>
        <v>2</v>
      </c>
      <c r="Q20" s="127">
        <f>COUNTIFS(門市總表!$D:$D,Q2,門市總表!$U:$U,$F$1)</f>
        <v>8</v>
      </c>
      <c r="R20" s="377">
        <f>COUNTIFS(門市總表!$D:$D,R2,門市總表!$U:$U,$F$1)</f>
        <v>4</v>
      </c>
      <c r="S20" s="395"/>
      <c r="T20" s="185"/>
      <c r="U20" s="185"/>
      <c r="V20" s="185"/>
    </row>
    <row r="21" spans="1:22" ht="18.600000000000001" customHeight="1">
      <c r="A21" s="190" t="s">
        <v>21</v>
      </c>
      <c r="B21" s="280">
        <f>IF(A18&lt;&gt;"--",SUM(C21:R21),"")</f>
        <v>180</v>
      </c>
      <c r="C21" s="285">
        <f t="shared" ref="C21:R21" si="11">C18-C20</f>
        <v>1</v>
      </c>
      <c r="D21" s="188">
        <f t="shared" si="11"/>
        <v>0</v>
      </c>
      <c r="E21" s="188">
        <f t="shared" si="11"/>
        <v>12</v>
      </c>
      <c r="F21" s="188">
        <f t="shared" si="11"/>
        <v>2</v>
      </c>
      <c r="G21" s="188">
        <f t="shared" si="11"/>
        <v>0</v>
      </c>
      <c r="H21" s="188">
        <f t="shared" si="11"/>
        <v>14</v>
      </c>
      <c r="I21" s="188">
        <f t="shared" si="11"/>
        <v>49</v>
      </c>
      <c r="J21" s="188">
        <f t="shared" si="11"/>
        <v>12</v>
      </c>
      <c r="K21" s="188">
        <f t="shared" si="11"/>
        <v>16</v>
      </c>
      <c r="L21" s="188">
        <f t="shared" si="11"/>
        <v>7</v>
      </c>
      <c r="M21" s="188">
        <f t="shared" si="11"/>
        <v>18</v>
      </c>
      <c r="N21" s="188">
        <f t="shared" si="11"/>
        <v>1</v>
      </c>
      <c r="O21" s="188">
        <f t="shared" si="11"/>
        <v>1</v>
      </c>
      <c r="P21" s="188">
        <f t="shared" si="11"/>
        <v>28</v>
      </c>
      <c r="Q21" s="188">
        <f t="shared" si="11"/>
        <v>17</v>
      </c>
      <c r="R21" s="394">
        <f t="shared" si="11"/>
        <v>2</v>
      </c>
      <c r="S21" s="371"/>
      <c r="T21" s="186"/>
      <c r="U21" s="186"/>
      <c r="V21" s="186"/>
    </row>
    <row r="22" spans="1:22" s="130" customFormat="1" ht="18.600000000000001" customHeight="1">
      <c r="A22" s="133" t="s">
        <v>23</v>
      </c>
      <c r="B22" s="281">
        <f>SUM(C22:R22)</f>
        <v>4</v>
      </c>
      <c r="C22" s="286">
        <f>COUNTIFS(門市總表!$D:$D,C2,門市總表!$F:$F,"*撤店*")</f>
        <v>0</v>
      </c>
      <c r="D22" s="286">
        <f>COUNTIFS(門市總表!$D:$D,D2,門市總表!$F:$F,"*撤店*")</f>
        <v>1</v>
      </c>
      <c r="E22" s="286">
        <f>COUNTIFS(門市總表!$D:$D,E2,門市總表!$F:$F,"*撤店*")</f>
        <v>1</v>
      </c>
      <c r="F22" s="286">
        <f>COUNTIFS(門市總表!$D:$D,F2,門市總表!$F:$F,"*撤店*")</f>
        <v>0</v>
      </c>
      <c r="G22" s="286">
        <f>COUNTIFS(門市總表!$D:$D,G2,門市總表!$F:$F,"*撤店*")</f>
        <v>0</v>
      </c>
      <c r="H22" s="286">
        <f>COUNTIFS(門市總表!$D:$D,H2,門市總表!$F:$F,"*撤店*")</f>
        <v>0</v>
      </c>
      <c r="I22" s="286">
        <f>COUNTIFS(門市總表!$D:$D,I2,門市總表!$F:$F,"*撤店*")</f>
        <v>0</v>
      </c>
      <c r="J22" s="286">
        <f>COUNTIFS(門市總表!$D:$D,J2,門市總表!$F:$F,"*撤店*")</f>
        <v>0</v>
      </c>
      <c r="K22" s="286">
        <f>COUNTIFS(門市總表!$D:$D,K2,門市總表!$F:$F,"*撤店*")</f>
        <v>0</v>
      </c>
      <c r="L22" s="286">
        <f>COUNTIFS(門市總表!$D:$D,L2,門市總表!$F:$F,"*撤店*")</f>
        <v>0</v>
      </c>
      <c r="M22" s="286">
        <f>COUNTIFS(門市總表!$D:$D,M2,門市總表!$F:$F,"*撤店*")</f>
        <v>1</v>
      </c>
      <c r="N22" s="286">
        <f>COUNTIFS(門市總表!$D:$D,N2,門市總表!$F:$F,"*撤店*")</f>
        <v>0</v>
      </c>
      <c r="O22" s="286">
        <f>COUNTIFS(門市總表!$D:$D,O2,門市總表!$F:$F,"*撤店*")</f>
        <v>0</v>
      </c>
      <c r="P22" s="286">
        <f>COUNTIFS(門市總表!$D:$D,P2,門市總表!$F:$F,"*撤店*")</f>
        <v>1</v>
      </c>
      <c r="Q22" s="286">
        <f>COUNTIFS(門市總表!$D:$D,Q2,門市總表!$F:$F,"*撤店*")</f>
        <v>0</v>
      </c>
      <c r="R22" s="286">
        <f>COUNTIFS(門市總表!$D:$D,R2,門市總表!$F:$F,"*撤店*")</f>
        <v>0</v>
      </c>
      <c r="S22" s="286">
        <f>COUNTIFS(門市總表!$D$3:$D$277,#REF!,門市總表!$F$3:$F$277,"*撤店*")</f>
        <v>0</v>
      </c>
      <c r="T22" s="107"/>
      <c r="U22" s="107"/>
      <c r="V22" s="107"/>
    </row>
    <row r="23" spans="1:22" s="130" customFormat="1" ht="18.600000000000001" customHeight="1">
      <c r="A23" s="133" t="s">
        <v>24</v>
      </c>
      <c r="B23" s="281">
        <f>SUM(C23:R23)</f>
        <v>3</v>
      </c>
      <c r="C23" s="286">
        <f>COUNTIFS(門市總表!$D:$D,C2,門市總表!$F:$F,"新開")</f>
        <v>0</v>
      </c>
      <c r="D23" s="286">
        <f>COUNTIFS(門市總表!$D:$D,D2,門市總表!$F:$F,"新開")</f>
        <v>0</v>
      </c>
      <c r="E23" s="286">
        <f>COUNTIFS(門市總表!$D:$D,E2,門市總表!$F:$F,"新開")</f>
        <v>0</v>
      </c>
      <c r="F23" s="286">
        <f>COUNTIFS(門市總表!$D:$D,F2,門市總表!$F:$F,"新開")</f>
        <v>0</v>
      </c>
      <c r="G23" s="286">
        <f>COUNTIFS(門市總表!$D:$D,G2,門市總表!$F:$F,"新開")</f>
        <v>0</v>
      </c>
      <c r="H23" s="286">
        <f>COUNTIFS(門市總表!$D:$D,H2,門市總表!$F:$F,"新開")</f>
        <v>0</v>
      </c>
      <c r="I23" s="286">
        <f>COUNTIFS(門市總表!$D:$D,I2,門市總表!$F:$F,"新開")</f>
        <v>1</v>
      </c>
      <c r="J23" s="286">
        <f>COUNTIFS(門市總表!$D:$D,J2,門市總表!$F:$F,"新開")</f>
        <v>0</v>
      </c>
      <c r="K23" s="286">
        <f>COUNTIFS(門市總表!$D:$D,K2,門市總表!$F:$F,"新開")</f>
        <v>0</v>
      </c>
      <c r="L23" s="286">
        <f>COUNTIFS(門市總表!$D:$D,L2,門市總表!$F:$F,"新開")</f>
        <v>0</v>
      </c>
      <c r="M23" s="286">
        <f>COUNTIFS(門市總表!$D:$D,M2,門市總表!$F:$F,"新開")</f>
        <v>2</v>
      </c>
      <c r="N23" s="286">
        <f>COUNTIFS(門市總表!$D:$D,N2,門市總表!$F:$F,"新開")</f>
        <v>0</v>
      </c>
      <c r="O23" s="286">
        <f>COUNTIFS(門市總表!$D:$D,O2,門市總表!$F:$F,"新開")</f>
        <v>0</v>
      </c>
      <c r="P23" s="286">
        <f>COUNTIFS(門市總表!$D:$D,P2,門市總表!$F:$F,"新開")</f>
        <v>0</v>
      </c>
      <c r="Q23" s="286">
        <f>COUNTIFS(門市總表!$D:$D,Q2,門市總表!$F:$F,"新開")</f>
        <v>0</v>
      </c>
      <c r="R23" s="286">
        <f>COUNTIFS(門市總表!$D:$D,R2,門市總表!$F:$F,"新開")</f>
        <v>0</v>
      </c>
      <c r="S23" s="364"/>
      <c r="T23" s="107"/>
      <c r="U23" s="107"/>
      <c r="V23" s="107"/>
    </row>
    <row r="24" spans="1:22" s="130" customFormat="1" ht="18.600000000000001" customHeight="1">
      <c r="A24" s="134" t="s">
        <v>25</v>
      </c>
      <c r="B24" s="282">
        <f>SUM(C24:R24)</f>
        <v>8</v>
      </c>
      <c r="C24" s="287">
        <f>COUNTIFS(門市總表!$G:$G,"*萊到店*",門市總表!$D:$D,C2)</f>
        <v>0</v>
      </c>
      <c r="D24" s="287">
        <f>COUNTIFS(門市總表!$G:$G,"*萊到店*",門市總表!$D:$D,D2)</f>
        <v>0</v>
      </c>
      <c r="E24" s="287">
        <f>COUNTIFS(門市總表!$G:$G,"*萊到店*",門市總表!$D:$D,E2)</f>
        <v>0</v>
      </c>
      <c r="F24" s="287">
        <f>COUNTIFS(門市總表!$G:$G,"*萊到店*",門市總表!$D:$D,F2)</f>
        <v>0</v>
      </c>
      <c r="G24" s="287">
        <f>COUNTIFS(門市總表!$G:$G,"*萊到店*",門市總表!$D:$D,G2)</f>
        <v>0</v>
      </c>
      <c r="H24" s="287">
        <f>COUNTIFS(門市總表!$G:$G,"*萊到店*",門市總表!$D:$D,H2)</f>
        <v>1</v>
      </c>
      <c r="I24" s="287">
        <f>COUNTIFS(門市總表!$G:$G,"*萊到店*",門市總表!$D:$D,I2)</f>
        <v>0</v>
      </c>
      <c r="J24" s="287">
        <f>COUNTIFS(門市總表!$G:$G,"*萊到店*",門市總表!$D:$D,J2)</f>
        <v>0</v>
      </c>
      <c r="K24" s="287">
        <f>COUNTIFS(門市總表!$G:$G,"*萊到店*",門市總表!$D:$D,K2)</f>
        <v>0</v>
      </c>
      <c r="L24" s="287">
        <f>COUNTIFS(門市總表!$G:$G,"*萊到店*",門市總表!$D:$D,L2)</f>
        <v>0</v>
      </c>
      <c r="M24" s="287">
        <f>COUNTIFS(門市總表!$G:$G,"*萊到店*",門市總表!$D:$D,M2)</f>
        <v>4</v>
      </c>
      <c r="N24" s="287">
        <f>COUNTIFS(門市總表!$G:$G,"*萊到店*",門市總表!$D:$D,N2)</f>
        <v>0</v>
      </c>
      <c r="O24" s="287">
        <f>COUNTIFS(門市總表!$G:$G,"*萊到店*",門市總表!$D:$D,O2)</f>
        <v>2</v>
      </c>
      <c r="P24" s="287">
        <f>COUNTIFS(門市總表!$G:$G,"*萊到店*",門市總表!$D:$D,P2)</f>
        <v>1</v>
      </c>
      <c r="Q24" s="287">
        <f>COUNTIFS(門市總表!$G:$G,"*萊到店*",門市總表!$D:$D,Q2)</f>
        <v>0</v>
      </c>
      <c r="R24" s="287">
        <f>COUNTIFS(門市總表!$G:$G,"*萊到店*",門市總表!$D:$D,R2)</f>
        <v>0</v>
      </c>
      <c r="S24" s="365"/>
      <c r="T24" s="107"/>
      <c r="U24" s="107"/>
      <c r="V24" s="107"/>
    </row>
    <row r="25" spans="1:22" s="187" customFormat="1" ht="21.6" customHeight="1"/>
    <row r="26" spans="1:22" s="130" customFormat="1" ht="21.6" customHeight="1"/>
    <row r="27" spans="1:22" ht="21.6" customHeight="1"/>
    <row r="28" spans="1:22" ht="21.6" customHeight="1"/>
    <row r="29" spans="1:22" ht="21.6" customHeight="1"/>
    <row r="30" spans="1:22" ht="21.6" customHeight="1"/>
    <row r="31" spans="1:22" ht="21.6" customHeight="1"/>
    <row r="32" spans="1:22" ht="21.6" customHeight="1"/>
    <row r="33" ht="21.6" customHeight="1"/>
    <row r="34" ht="21.6" customHeight="1"/>
    <row r="35" ht="21.6" customHeight="1"/>
    <row r="36" ht="21.6" customHeight="1"/>
    <row r="37" ht="21.6" customHeight="1"/>
    <row r="38" ht="21.6" customHeight="1"/>
    <row r="39" ht="21.6" customHeight="1"/>
    <row r="40" ht="21.6" customHeight="1"/>
    <row r="41" ht="21.6" customHeight="1"/>
    <row r="42" ht="21.6" customHeight="1"/>
    <row r="43" ht="21.6" customHeight="1"/>
    <row r="44" ht="21.6" customHeight="1"/>
    <row r="45" ht="21.6" customHeight="1"/>
    <row r="46" ht="21.6" customHeight="1"/>
    <row r="47" ht="21.6" customHeight="1"/>
    <row r="48" ht="21.6" customHeight="1"/>
    <row r="49" ht="21.6" customHeight="1"/>
    <row r="50" ht="21.6" customHeight="1"/>
    <row r="51" ht="21.6" customHeight="1"/>
    <row r="52" ht="21.6" customHeight="1"/>
    <row r="53" ht="21.6" customHeight="1"/>
    <row r="54" ht="21.6" customHeight="1"/>
    <row r="55" ht="21.6" customHeight="1"/>
    <row r="56" ht="21.6" customHeight="1"/>
    <row r="57" ht="21.6" customHeight="1"/>
    <row r="58" ht="21.6" customHeight="1"/>
    <row r="59" ht="21.6" customHeight="1"/>
    <row r="60" ht="21.6" customHeight="1"/>
    <row r="61" ht="21.6" customHeight="1"/>
    <row r="62" ht="21.6" customHeight="1"/>
    <row r="63" ht="21.6" customHeight="1"/>
    <row r="64" ht="21.6" customHeight="1"/>
    <row r="65" ht="21.6" customHeight="1"/>
    <row r="66" ht="21.6" customHeight="1"/>
    <row r="67" ht="21.6" customHeight="1"/>
    <row r="68" ht="21.6" customHeight="1"/>
    <row r="69" ht="21.6" customHeight="1"/>
    <row r="70" ht="21.6" customHeight="1"/>
    <row r="71" ht="21.6" customHeight="1"/>
    <row r="72" ht="21.6" customHeight="1"/>
    <row r="73" ht="21.6" customHeight="1"/>
    <row r="74" ht="21.6" customHeight="1"/>
    <row r="75" ht="21.6" customHeight="1"/>
    <row r="76" ht="21.6" customHeight="1"/>
    <row r="77" ht="21.6" customHeight="1"/>
    <row r="78" ht="21.6" customHeight="1"/>
    <row r="79" ht="21.6" customHeight="1"/>
    <row r="80" ht="21.6" customHeight="1"/>
    <row r="81" ht="21.6" customHeight="1"/>
    <row r="82" ht="21.6" customHeight="1"/>
    <row r="83" ht="21.6" customHeight="1"/>
    <row r="84" ht="21.6" customHeight="1"/>
    <row r="85" ht="21.6" customHeight="1"/>
    <row r="86" ht="21.6" customHeight="1"/>
    <row r="87" ht="21.6" customHeight="1"/>
    <row r="88" ht="21.6" customHeight="1"/>
    <row r="89" ht="21.6" customHeight="1"/>
    <row r="90" ht="21.6" customHeight="1"/>
    <row r="91" ht="21.6" customHeight="1"/>
    <row r="92" ht="21.6" customHeight="1"/>
    <row r="93" ht="21.6" customHeight="1"/>
    <row r="94" ht="21.6" customHeight="1"/>
    <row r="95" ht="21.6" customHeight="1"/>
    <row r="96" ht="21.6" customHeight="1"/>
    <row r="97" ht="21.6" customHeight="1"/>
    <row r="98" ht="21.6" customHeight="1"/>
    <row r="99" ht="21.6" customHeight="1"/>
    <row r="100" ht="21.6" customHeight="1"/>
    <row r="101" ht="21.6" customHeight="1"/>
    <row r="102" ht="21.6" customHeight="1"/>
    <row r="103" ht="21.6" customHeight="1"/>
    <row r="104" ht="21.6" customHeight="1"/>
    <row r="105" ht="21.6" customHeight="1"/>
    <row r="106" ht="21.6" customHeight="1"/>
    <row r="107" ht="21.6" customHeight="1"/>
    <row r="108" ht="21.6" customHeight="1"/>
    <row r="109" ht="21.6" customHeight="1"/>
    <row r="110" ht="21.6" customHeight="1"/>
    <row r="111" ht="21.6" customHeight="1"/>
    <row r="112" ht="21.6" customHeight="1"/>
    <row r="113" ht="21.6" customHeight="1"/>
    <row r="114" ht="21.6" customHeight="1"/>
    <row r="115" ht="21.6" customHeight="1"/>
    <row r="116" ht="21.6" customHeight="1"/>
    <row r="117" ht="21.6" customHeight="1"/>
    <row r="118" ht="21.6" customHeight="1"/>
    <row r="119" ht="21.6" customHeight="1"/>
    <row r="120" ht="21.6" customHeight="1"/>
    <row r="121" ht="21.6" customHeight="1"/>
    <row r="122" ht="21.6" customHeight="1"/>
    <row r="123" ht="21.6" customHeight="1"/>
    <row r="124" ht="21.6" customHeight="1"/>
    <row r="125" ht="21.6" customHeight="1"/>
    <row r="126" ht="21.6" customHeight="1"/>
    <row r="127" ht="21.6" customHeight="1"/>
    <row r="128" ht="21.6" customHeight="1"/>
    <row r="129" ht="21.6" customHeight="1"/>
    <row r="130" ht="21.6" customHeight="1"/>
    <row r="131" ht="21.6" customHeight="1"/>
    <row r="132" ht="21.6" customHeight="1"/>
    <row r="133" ht="21.6" customHeight="1"/>
    <row r="134" ht="21.6" customHeight="1"/>
    <row r="135" ht="21.6" customHeight="1"/>
    <row r="136" ht="21.6" customHeight="1"/>
    <row r="137" ht="21.6" customHeight="1"/>
    <row r="138" ht="21.6" customHeight="1"/>
    <row r="139" ht="21.6" customHeight="1"/>
    <row r="140" ht="21.6" customHeight="1"/>
    <row r="141" ht="21.6" customHeight="1"/>
    <row r="142" ht="21.6" customHeight="1"/>
    <row r="143" ht="21.6" customHeight="1"/>
    <row r="144" ht="21.6" customHeight="1"/>
    <row r="145" ht="21.6" customHeight="1"/>
    <row r="146" ht="21.6" customHeight="1"/>
    <row r="147" ht="21.6" customHeight="1"/>
    <row r="148" ht="21.6" customHeight="1"/>
    <row r="149" ht="21.6" customHeight="1"/>
    <row r="150" ht="21.6" customHeight="1"/>
    <row r="151" ht="21.6" customHeight="1"/>
    <row r="152" ht="21.6" customHeight="1"/>
    <row r="153" ht="21.6" customHeight="1"/>
    <row r="154" ht="21.6" customHeight="1"/>
    <row r="155" ht="21.6" customHeight="1"/>
    <row r="156" ht="21.6" customHeight="1"/>
    <row r="157" ht="21.6" customHeight="1"/>
    <row r="158" ht="21.6" customHeight="1"/>
    <row r="159" ht="21.6" customHeight="1"/>
    <row r="160" ht="21.6" customHeight="1"/>
    <row r="161" ht="21.6" customHeight="1"/>
    <row r="162" ht="21.6" customHeight="1"/>
    <row r="163" ht="21.6" customHeight="1"/>
    <row r="164" ht="21.6" customHeight="1"/>
    <row r="165" ht="21.6" customHeight="1"/>
    <row r="166" ht="21.6" customHeight="1"/>
    <row r="167" ht="21.6" customHeight="1"/>
    <row r="168" ht="21.6" customHeight="1"/>
    <row r="169" ht="21.6" customHeight="1"/>
    <row r="170" ht="21.6" customHeight="1"/>
    <row r="171" ht="21.6" customHeight="1"/>
    <row r="172" ht="21.6" customHeight="1"/>
    <row r="173" ht="21.6" customHeight="1"/>
    <row r="174" ht="21.6" customHeight="1"/>
    <row r="175" ht="21.6" customHeight="1"/>
    <row r="176" ht="21.6" customHeight="1"/>
    <row r="177" ht="21.6" customHeight="1"/>
    <row r="178" ht="21.6" customHeight="1"/>
    <row r="179" ht="21.6" customHeight="1"/>
    <row r="180" ht="21.6" customHeight="1"/>
    <row r="181" ht="21.6" customHeight="1"/>
    <row r="182" ht="21.6" customHeight="1"/>
    <row r="183" ht="21.6" customHeight="1"/>
    <row r="184" ht="21.6" customHeight="1"/>
    <row r="185" ht="21.6" customHeight="1"/>
    <row r="186" ht="21.6" customHeight="1"/>
    <row r="187" ht="21.6" customHeight="1"/>
    <row r="188" ht="21.6" customHeight="1"/>
    <row r="189" ht="21.6" customHeight="1"/>
    <row r="190" ht="21.6" customHeight="1"/>
    <row r="191" ht="21.6" customHeight="1"/>
    <row r="192" ht="21.6" customHeight="1"/>
    <row r="193" ht="21.6" customHeight="1"/>
    <row r="194" ht="21.6" customHeight="1"/>
    <row r="195" ht="21.6" customHeight="1"/>
    <row r="196" ht="21.6" customHeight="1"/>
    <row r="197" ht="21.6" customHeight="1"/>
    <row r="198" ht="21.6" customHeight="1"/>
    <row r="199" ht="21.6" customHeight="1"/>
    <row r="200" ht="21.6" customHeight="1"/>
    <row r="201" ht="21.6" customHeight="1"/>
    <row r="202" ht="21.6" customHeight="1"/>
    <row r="203" ht="21.6" customHeight="1"/>
    <row r="204" ht="21.6" customHeight="1"/>
    <row r="205" ht="21.6" customHeight="1"/>
    <row r="206" ht="21.6" customHeight="1"/>
    <row r="207" ht="21.6" customHeight="1"/>
    <row r="208" ht="21.6" customHeight="1"/>
    <row r="209" ht="21.6" customHeight="1"/>
    <row r="210" ht="21.6" customHeight="1"/>
    <row r="211" ht="21.6" customHeight="1"/>
    <row r="212" ht="21.6" customHeight="1"/>
    <row r="213" ht="21.6" customHeight="1"/>
    <row r="214" ht="21.6" customHeight="1"/>
    <row r="215" ht="21.6" customHeight="1"/>
    <row r="216" ht="21.6" customHeight="1"/>
    <row r="217" ht="21.6" customHeight="1"/>
    <row r="218" ht="21.6" customHeight="1"/>
    <row r="219" ht="21.6" customHeight="1"/>
    <row r="220" ht="21.6" customHeight="1"/>
    <row r="221" ht="21.6" customHeight="1"/>
    <row r="222" ht="21.6" customHeight="1"/>
    <row r="223" ht="21.6" customHeight="1"/>
    <row r="224" ht="21.6" customHeight="1"/>
    <row r="225" ht="21.6" customHeight="1"/>
    <row r="226" ht="21.6" customHeight="1"/>
    <row r="227" ht="21.6" customHeight="1"/>
    <row r="228" ht="21.6" customHeight="1"/>
    <row r="229" ht="21.6" customHeight="1"/>
    <row r="230" s="130" customFormat="1" ht="21.6" customHeight="1"/>
    <row r="231" s="130" customFormat="1" ht="21.6" customHeight="1"/>
    <row r="232" s="240" customFormat="1" ht="21.6" customHeight="1"/>
    <row r="233" s="240" customFormat="1" ht="21.6" customHeight="1"/>
    <row r="234" s="240" customFormat="1" ht="21.6" customHeight="1"/>
    <row r="235" s="240" customFormat="1" ht="21.6" customHeight="1"/>
    <row r="236" s="240" customFormat="1" ht="21.6" customHeight="1"/>
    <row r="237" s="240" customFormat="1" ht="21.6" customHeight="1"/>
    <row r="238" s="240" customFormat="1" ht="21.6" customHeight="1"/>
    <row r="239" s="240" customFormat="1" ht="21.6" customHeight="1"/>
    <row r="240" s="240" customFormat="1" ht="21.6" customHeight="1"/>
    <row r="241" s="240" customFormat="1" ht="21.6" customHeight="1"/>
    <row r="242" s="240" customFormat="1" ht="21.6" customHeight="1"/>
    <row r="243" s="240" customFormat="1" ht="21.6" customHeight="1"/>
    <row r="244" s="240" customFormat="1" ht="21.6" customHeight="1"/>
    <row r="245" s="240" customFormat="1" ht="21.6" customHeight="1"/>
    <row r="246" s="240" customFormat="1" ht="21.6" customHeight="1"/>
    <row r="247" s="240" customFormat="1" ht="21.6" customHeight="1"/>
    <row r="248" s="240" customFormat="1" ht="21.6" customHeight="1"/>
    <row r="249" s="240" customFormat="1" ht="21.6" customHeight="1"/>
    <row r="250" s="240" customFormat="1" ht="21.6" customHeight="1"/>
    <row r="251" s="240" customFormat="1" ht="21.6" customHeight="1"/>
    <row r="252" s="240" customFormat="1" ht="21.6" customHeight="1"/>
    <row r="253" s="240" customFormat="1" ht="21.6" customHeight="1"/>
    <row r="254" s="240" customFormat="1" ht="21.6" customHeight="1"/>
    <row r="255" s="240" customFormat="1" ht="21.6" customHeight="1"/>
    <row r="256" s="240" customFormat="1" ht="21.6" customHeight="1"/>
    <row r="257" s="240" customFormat="1" ht="21.6" customHeight="1"/>
    <row r="258" s="240" customFormat="1" ht="21.6" customHeight="1"/>
    <row r="259" s="240" customFormat="1" ht="21.6" customHeight="1"/>
    <row r="260" s="240" customFormat="1" ht="21.6" customHeight="1"/>
    <row r="261" s="240" customFormat="1" ht="21.6" customHeight="1"/>
    <row r="262" s="240" customFormat="1" ht="21.6" customHeight="1"/>
    <row r="263" s="240" customFormat="1" ht="21.6" customHeight="1"/>
    <row r="264" s="240" customFormat="1" ht="21.6" customHeight="1"/>
    <row r="265" s="240" customFormat="1" ht="21.6" customHeight="1"/>
    <row r="266" s="240" customFormat="1" ht="21.6" customHeight="1"/>
    <row r="267" s="240" customFormat="1" ht="21.6" customHeight="1"/>
    <row r="268" s="240" customFormat="1" ht="21.6" customHeight="1"/>
    <row r="269" s="240" customFormat="1" ht="21.6" customHeight="1"/>
    <row r="270" s="240" customFormat="1" ht="21.6" customHeight="1"/>
    <row r="271" s="240" customFormat="1" ht="21.6" customHeight="1"/>
    <row r="272" s="240" customFormat="1" ht="21.6" customHeight="1"/>
    <row r="273" s="240" customFormat="1" ht="21.6" customHeight="1"/>
    <row r="274" s="240" customFormat="1" ht="21.6" customHeight="1"/>
    <row r="275" s="240" customFormat="1" ht="21.6" customHeight="1"/>
    <row r="276" s="240" customFormat="1" ht="21.6" customHeight="1"/>
    <row r="277" s="240" customFormat="1" ht="21.6" customHeight="1"/>
    <row r="278" s="240" customFormat="1" ht="21.6" customHeight="1"/>
    <row r="279" s="240" customFormat="1" ht="21.6" customHeight="1"/>
    <row r="280" s="240" customFormat="1" ht="21.6" customHeight="1"/>
    <row r="281" s="240" customFormat="1" ht="21.6" customHeight="1"/>
    <row r="282" s="240" customFormat="1" ht="21.6" customHeight="1"/>
    <row r="283" s="240" customFormat="1" ht="21.6" customHeight="1"/>
    <row r="284" s="240" customFormat="1" ht="21.6" customHeight="1"/>
    <row r="285" s="240" customFormat="1" ht="21.6" customHeight="1"/>
    <row r="286" s="240" customFormat="1" ht="21.6" customHeight="1"/>
    <row r="287" s="240" customFormat="1" ht="21.6" customHeight="1"/>
    <row r="288" s="240" customFormat="1" ht="21.6" customHeight="1"/>
    <row r="289" s="240" customFormat="1" ht="21.6" customHeight="1"/>
    <row r="290" s="240" customFormat="1" ht="21.6" customHeight="1"/>
    <row r="291" s="240" customFormat="1" ht="21.6" customHeight="1"/>
    <row r="292" s="240" customFormat="1" ht="21.6" customHeight="1"/>
    <row r="293" s="240" customFormat="1" ht="21.6" customHeight="1"/>
    <row r="294" s="240" customFormat="1" ht="21.6" customHeight="1"/>
    <row r="295" s="240" customFormat="1" ht="21.6" customHeight="1"/>
    <row r="296" s="240" customFormat="1" ht="21.6" customHeight="1"/>
    <row r="297" s="240" customFormat="1" ht="21.6" customHeight="1"/>
    <row r="298" s="240" customFormat="1" ht="21.6" customHeight="1"/>
    <row r="299" s="240" customFormat="1" ht="21.6" customHeight="1"/>
    <row r="300" s="240" customFormat="1" ht="21.6" customHeight="1"/>
    <row r="301" s="240" customFormat="1" ht="21.6" customHeight="1"/>
    <row r="302" s="240" customFormat="1" ht="21.6" customHeight="1"/>
    <row r="303" s="240" customFormat="1" ht="21.6" customHeight="1"/>
    <row r="304" s="240" customFormat="1" ht="21.6" customHeight="1"/>
    <row r="305" s="240" customFormat="1" ht="21.6" customHeight="1"/>
    <row r="306" s="240" customFormat="1" ht="21.6" customHeight="1"/>
    <row r="307" s="240" customFormat="1" ht="21.6" customHeight="1"/>
    <row r="308" s="240" customFormat="1" ht="21.6" customHeight="1"/>
    <row r="309" s="240" customFormat="1" ht="21.6" customHeight="1"/>
    <row r="310" s="240" customFormat="1" ht="21.6" customHeight="1"/>
    <row r="311" s="240" customFormat="1" ht="21.6" customHeight="1"/>
    <row r="312" s="240" customFormat="1" ht="21.6" customHeight="1"/>
    <row r="313" s="240" customFormat="1" ht="21.6" customHeight="1"/>
    <row r="314" s="240" customFormat="1" ht="21.6" customHeight="1"/>
    <row r="315" s="240" customFormat="1" ht="21.6" customHeight="1"/>
    <row r="316" s="240" customFormat="1" ht="21.6" customHeight="1"/>
    <row r="317" s="240" customFormat="1" ht="21.6" customHeight="1"/>
    <row r="318" s="240" customFormat="1" ht="21.6" customHeight="1"/>
    <row r="319" s="240" customFormat="1" ht="21.6" customHeight="1"/>
    <row r="320" s="240" customFormat="1" ht="21.6" customHeight="1"/>
    <row r="321" s="240" customFormat="1" ht="21.6" customHeight="1"/>
    <row r="322" s="240" customFormat="1" ht="21.6" customHeight="1"/>
    <row r="323" s="240" customFormat="1" ht="21.6" customHeight="1"/>
    <row r="324" s="240" customFormat="1" ht="21.6" customHeight="1"/>
    <row r="325" s="240" customFormat="1" ht="21.6" customHeight="1"/>
    <row r="326" s="240" customFormat="1" ht="21.6" customHeight="1"/>
    <row r="327" s="240" customFormat="1" ht="21.6" customHeight="1"/>
    <row r="328" s="240" customFormat="1" ht="21.6" customHeight="1"/>
    <row r="329" s="240" customFormat="1" ht="21.6" customHeight="1"/>
    <row r="330" s="240" customFormat="1" ht="21.6" customHeight="1"/>
    <row r="331" s="240" customFormat="1" ht="21.6" customHeight="1"/>
    <row r="332" s="240" customFormat="1" ht="21.6" customHeight="1"/>
    <row r="333" s="240" customFormat="1" ht="21.6" customHeight="1"/>
    <row r="334" s="240" customFormat="1" ht="21.6" customHeight="1"/>
  </sheetData>
  <sortState xmlns:xlrd2="http://schemas.microsoft.com/office/spreadsheetml/2017/richdata2" ref="A26:W334">
    <sortCondition ref="J18:J334"/>
  </sortState>
  <phoneticPr fontId="45" type="noConversion"/>
  <conditionalFormatting sqref="M335:M1048576">
    <cfRule type="expression" dxfId="502" priority="126">
      <formula>VLOOKUP(A335,#REF!,9,FALSE)="異常"</formula>
    </cfRule>
  </conditionalFormatting>
  <conditionalFormatting sqref="B10 B14 B18">
    <cfRule type="expression" dxfId="501" priority="86">
      <formula>A10&lt;&gt;B10</formula>
    </cfRule>
  </conditionalFormatting>
  <pageMargins left="0.7" right="0.7" top="0.75" bottom="0.75" header="0" footer="0"/>
  <pageSetup paperSize="9" scale="4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37A80-BECE-45F3-B362-111CB5CC4B0E}">
  <dimension ref="A1:W311"/>
  <sheetViews>
    <sheetView workbookViewId="0">
      <pane ySplit="2" topLeftCell="A3" activePane="bottomLeft" state="frozen"/>
      <selection activeCell="D1" sqref="D1"/>
      <selection pane="bottomLeft" activeCell="D8" sqref="D8"/>
    </sheetView>
  </sheetViews>
  <sheetFormatPr defaultRowHeight="21.6" customHeight="1"/>
  <cols>
    <col min="1" max="2" width="13.3984375" style="408" bestFit="1" customWidth="1"/>
    <col min="3" max="3" width="11.3984375" style="408" bestFit="1" customWidth="1"/>
    <col min="4" max="4" width="13.3984375" style="408" bestFit="1" customWidth="1"/>
    <col min="5" max="5" width="11.3984375" style="408" bestFit="1" customWidth="1"/>
    <col min="6" max="6" width="13.3984375" style="408" bestFit="1" customWidth="1"/>
    <col min="7" max="7" width="14.5" style="408" bestFit="1" customWidth="1"/>
    <col min="8" max="8" width="28.19921875" style="408" bestFit="1" customWidth="1"/>
    <col min="9" max="9" width="11" style="408" bestFit="1" customWidth="1"/>
    <col min="10" max="10" width="14.69921875" style="408" bestFit="1" customWidth="1"/>
    <col min="11" max="11" width="11.796875" style="408" bestFit="1" customWidth="1"/>
    <col min="12" max="12" width="12.3984375" style="408" bestFit="1" customWidth="1"/>
    <col min="13" max="13" width="11.3984375" style="408" bestFit="1" customWidth="1"/>
    <col min="14" max="14" width="9.59765625" style="408" bestFit="1" customWidth="1"/>
    <col min="15" max="15" width="13.3984375" style="408" bestFit="1" customWidth="1"/>
    <col min="16" max="16" width="28.19921875" style="408" bestFit="1" customWidth="1"/>
    <col min="17" max="17" width="12.59765625" style="408" bestFit="1" customWidth="1"/>
    <col min="18" max="18" width="11.3984375" style="408" bestFit="1" customWidth="1"/>
    <col min="19" max="19" width="12.59765625" style="408" bestFit="1" customWidth="1"/>
    <col min="20" max="20" width="13.3984375" style="408" bestFit="1" customWidth="1"/>
    <col min="21" max="21" width="12.59765625" style="408" bestFit="1" customWidth="1"/>
    <col min="22" max="22" width="13.3984375" style="408" bestFit="1" customWidth="1"/>
    <col min="23" max="23" width="9.59765625" style="408" bestFit="1" customWidth="1"/>
    <col min="24" max="16384" width="8.796875" style="408"/>
  </cols>
  <sheetData>
    <row r="1" spans="1:23" s="437" customFormat="1" ht="21.6" customHeight="1">
      <c r="A1" s="438" t="s">
        <v>8956</v>
      </c>
      <c r="B1" s="439" t="str" cm="1">
        <f t="array" ref="B1">IFERROR(HYPERLINK("#" &amp; ADDRESS(MIN(IF(ISNUMBER(SEARCH(A1, 門市總表!A3:W274)), ROW(門市總表!A3:W274), 10000000000)), MIN(IF(ISNUMBER(SEARCH(A1, 門市總表!A3:W274)), COLUMN(門市總表!A3:W274), 10000000000))), "搜索"), "未找到")</f>
        <v>搜索</v>
      </c>
    </row>
    <row r="2" spans="1:23" customFormat="1" ht="31.2">
      <c r="A2" s="448" t="s">
        <v>26</v>
      </c>
      <c r="B2" s="448" t="s">
        <v>27</v>
      </c>
      <c r="C2" s="448" t="s">
        <v>28</v>
      </c>
      <c r="D2" s="448" t="s">
        <v>29</v>
      </c>
      <c r="E2" s="448" t="s">
        <v>30</v>
      </c>
      <c r="F2" s="448" t="s">
        <v>31</v>
      </c>
      <c r="G2" s="448" t="s">
        <v>32</v>
      </c>
      <c r="H2" s="448" t="s">
        <v>33</v>
      </c>
      <c r="I2" s="290" t="s">
        <v>34</v>
      </c>
      <c r="J2" s="449" t="s">
        <v>35</v>
      </c>
      <c r="K2" s="448" t="s">
        <v>36</v>
      </c>
      <c r="L2" s="290" t="s">
        <v>37</v>
      </c>
      <c r="M2" s="290" t="s">
        <v>38</v>
      </c>
      <c r="N2" s="290" t="s">
        <v>39</v>
      </c>
      <c r="O2" s="290" t="s">
        <v>40</v>
      </c>
      <c r="P2" s="290" t="s">
        <v>41</v>
      </c>
      <c r="Q2" s="242" t="s">
        <v>42</v>
      </c>
      <c r="R2" s="450" t="s">
        <v>43</v>
      </c>
      <c r="S2" s="242" t="s">
        <v>44</v>
      </c>
      <c r="T2" s="450" t="s">
        <v>43</v>
      </c>
      <c r="U2" s="242" t="s">
        <v>45</v>
      </c>
      <c r="V2" s="450" t="s">
        <v>43</v>
      </c>
      <c r="W2" s="242" t="s">
        <v>39</v>
      </c>
    </row>
    <row r="3" spans="1:23" ht="21.6" customHeight="1">
      <c r="A3" s="396">
        <v>2109</v>
      </c>
      <c r="B3" s="396" t="str">
        <f>VLOOKUP(A3,'0919門市清單主檔'!B:C,2,FALSE)</f>
        <v>新莊瓊林南</v>
      </c>
      <c r="C3" s="396" t="str">
        <f>VLOOKUP($A3,'0919門市清單主檔'!B:V,20,FALSE)</f>
        <v>新北市</v>
      </c>
      <c r="D3" s="396" t="str">
        <f>VLOOKUP($A3,'0919門市清單主檔'!B:V,21,FALSE)</f>
        <v>新莊區</v>
      </c>
      <c r="E3" s="397" t="str">
        <f>VLOOKUP(D3,門市狀態!G:H,2,FALSE)</f>
        <v>湯家瑋</v>
      </c>
      <c r="F3" s="396" t="str">
        <f>IFERROR(IF(VLOOKUP(A3,門市狀態!A:D,4,FALSE)=0,"",VLOOKUP(A3,門市狀態!A:D,4,FALSE)),"")</f>
        <v/>
      </c>
      <c r="G3" s="396"/>
      <c r="H3" s="398" t="str">
        <f>IF(I3&gt;0,(TEXT(I3,"yyyymmdd")&amp;勤務統計!$V$2&amp;A3&amp;勤務統計!$V$2&amp;B3&amp;勤務統計!$S$2),"")</f>
        <v>PMQ1-2109-新莊瓊林南(定保)</v>
      </c>
      <c r="I3" s="440" t="str">
        <f t="array" ref="I3">IF(AND(SUMPRODUCT((IM!$F$2:$F$5000=A3)*(ISNUMBER(SEARCH(勤務統計!$C$1, IM!$AC$2:$AC$5000))))&gt;0), 勤務統計!$C$1, "")</f>
        <v>PMQ1</v>
      </c>
      <c r="J3" s="441">
        <f t="array" ref="J3">IFERROR(INDEX(IM!$AM$2:$AM$5000, MATCH(1, (IM!$F$2:$F$5000=A3) * (ISNUMBER(SEARCH(勤務統計!$C$1, IM!$AC$2:$AC$5000))), 0)), "")</f>
        <v>46024</v>
      </c>
      <c r="K3" s="442">
        <f t="array" ref="K3">SUMPRODUCT((IM!$F$2:$F$5000=A3)*(IM!$AD$2:$AD$5000="O")*(ISNUMBER(SEARCH(勤務統計!$C$1, IM!$AC$2:$AC$5000))))</f>
        <v>1</v>
      </c>
      <c r="L3" s="443" t="str">
        <f t="array" ref="L3">IF(K3&gt;0,IFERROR(HYPERLINK("#'IM'!AC"&amp;MATCH(1,(IM!$F$1:$F$5000=A3)*(ISNUMBER(SEARCH(勤務統計!$C$1,IM!$AC$1:$AC$5000))),0),"檢核"),"未登錄"),"")</f>
        <v>檢核</v>
      </c>
      <c r="M3" s="444" t="str">
        <f t="shared" ref="M3:M66" si="0">Q3&amp;S3&amp;U3</f>
        <v>+L90</v>
      </c>
      <c r="N3" s="444" t="str">
        <f t="array" ref="N3">IF(AND(
    SUMPRODUCT(
        (IM!$F$2:$F$522=A3) *
        ISNUMBER(SEARCH("*HUB*", IM!$AC$2:$AC$522)) *
        (IM!$X$2:$X$522&gt;=勤務統計!$A$1) *
        (IM!$X$2:$X$522&lt;=勤務統計!$B$1)*(W3="HUB")
    ) &gt; 0
), "HUB", "")</f>
        <v/>
      </c>
      <c r="O3" s="442" t="str">
        <f>IF(
  IFERROR(VLOOKUP(A3,勤務統計!A:I,9,FALSE),"")&lt;&gt;勤務統計!$C$1,
  "未完工",
  IF(
    AND(勤務統計!$D$1="--",勤務統計!$E$1="--",勤務統計!$F$1="--"),
    "已完工",
    IF(
      OR(
        AND(勤務統計!$D$1&lt;&gt;"--", IFERROR(VLOOKUP(A3,'0919門市清單主檔'!B:AH,31,FALSE),"")=勤務統計!$D$1, IFERROR(VLOOKUP(A3,勤務統計!A:Q,17,FALSE),"")&lt;&gt;勤務統計!$D$1),
        AND(勤務統計!$E$1&lt;&gt;"--", IFERROR(VLOOKUP(A3,'0919門市清單主檔'!B:AH,32,FALSE),"")=勤務統計!$E$1, IFERROR(VLOOKUP(A3,勤務統計!A:S,19,FALSE),"")&lt;&gt;勤務統計!$E$1),
        AND(勤務統計!$F$1&lt;&gt;"--", IFERROR(VLOOKUP(A3,'0919門市清單主檔'!B:AH,33,FALSE),"")=勤務統計!$F$1, IFERROR(VLOOKUP(A3,勤務統計!A:U,21,FALSE),"")&lt;&gt;勤務統計!$F$1),
        AND(IFERROR(VLOOKUP(A3,'0919門市清單主檔'!B:AH,28,FALSE),"")="HUB", IFERROR(VLOOKUP(A3,勤務統計!A:W,23,FALSE),"")&lt;&gt;"HUB")
      ),
      _xlfn.TEXTJOIN(
        "，",
        TRUE,
        IF(AND(勤務統計!$D$1&lt;&gt;"--", IFERROR(VLOOKUP(A3,'0919門市清單主檔'!B:AH,31,FALSE),"")=勤務統計!$D$1, IFERROR(VLOOKUP(A3,勤務統計!A:Q,17,FALSE),"")&lt;&gt;勤務統計!$D$1), 勤務統計!$D$1, ""),
        IF(AND(勤務統計!$E$1&lt;&gt;"--", IFERROR(VLOOKUP(A3,'0919門市清單主檔'!B:AH,32,FALSE),"")=勤務統計!$E$1, IFERROR(VLOOKUP(A3,勤務統計!A:S,19,FALSE),"")&lt;&gt;勤務統計!$E$1), 勤務統計!$E$1, ""),
        IF(AND(勤務統計!$F$1&lt;&gt;"--", IFERROR(VLOOKUP(A3,'0919門市清單主檔'!B:AH,33,FALSE),"")=勤務統計!$F$1, IFERROR(VLOOKUP(A3,勤務統計!A:U,21,FALSE),"")&lt;&gt;勤務統計!$F$1), 勤務統計!$F$1, ""),
        IF(AND(IFERROR(VLOOKUP(A3,'0919門市清單主檔'!B:AH,28,FALSE),"")="HUB", IFERROR(VLOOKUP(A3,勤務統計!A:W,23,FALSE),"")&lt;&gt;"HUB"), "HUB", "")
      ) &amp; "未完工",
      "已完工"
    )
  )
)</f>
        <v>未完工</v>
      </c>
      <c r="P3" s="403" t="str">
        <f>(TEXT(I3,"yyyymmdd"))&amp;勤務統計!$V$2&amp;A3&amp;勤務統計!$V$2&amp;B3&amp;勤務統計!$S$2</f>
        <v>PMQ1-2109-新莊瓊林南(定保)</v>
      </c>
      <c r="Q3" s="445" t="str">
        <f t="array" ref="Q3">IF(AND(SUMPRODUCT((IM!$F$2:$F$5000=A3)*(ISNUMBER(SEARCH(勤務統計!$D$1, IM!$AC$2:$AC$5000))))&gt;0), 勤務統計!$D$1, "")</f>
        <v/>
      </c>
      <c r="R3" s="446" t="str">
        <f t="array" ref="R3">IFERROR(INDEX(IM!$AM$2:$AM$5000, MATCH(1, (IM!$F$2:$F$5000=A3) * (ISNUMBER(SEARCH(勤務統計!$D$1, IM!$AC$2:$AC$5000))), 0)), "")</f>
        <v/>
      </c>
      <c r="S3" s="447" t="str" cm="1">
        <f t="array" ref="S3">IF(AND(SUMPRODUCT((IM!$F$2:$F$5000=A3)*(ISNUMBER(SEARCH(勤務統計!$E$1, IM!$AC$2:$AC$5000))))&gt;0), 勤務統計!$E$1, "")</f>
        <v>+L90</v>
      </c>
      <c r="T3" s="446">
        <f t="array" ref="T3">IFERROR(INDEX(IM!$AM$2:$AM$5000, MATCH(1, (IM!$F$2:$F$5000=A3) * (ISNUMBER(SEARCH(勤務統計!$E$1, IM!$AC$2:$AC$5000))), 0)), "")</f>
        <v>46024</v>
      </c>
      <c r="U3" s="447" t="str" cm="1">
        <f t="array" ref="U3">IF(AND(SUMPRODUCT((IM!$F$2:$F$5000=A3)*(ISNUMBER(SEARCH(勤務統計!$F$1, IM!$AC$2:$AC$5000))))&gt;0), 勤務統計!$F$1, "")</f>
        <v/>
      </c>
      <c r="V3" s="407" t="str">
        <f t="array" ref="V3">IFERROR(INDEX(IM!$AM$2:$AM$5000, MATCH(1, (IM!$F$2:$F$5000=A3) * (ISNUMBER(SEARCH(勤務統計!$F$1, IM!$AC$2:$AC$5000))), 0)), "")</f>
        <v/>
      </c>
      <c r="W3" s="414" t="str">
        <f>IF(VLOOKUP(A3,'0919門市清單主檔'!B:AC,28,FALSE)=0,"",VLOOKUP(A3,'0919門市清單主檔'!B:AC,28,FALSE))</f>
        <v/>
      </c>
    </row>
    <row r="4" spans="1:23" ht="21.6" customHeight="1">
      <c r="A4" s="409">
        <v>2399</v>
      </c>
      <c r="B4" s="409" t="str">
        <f>VLOOKUP(A4,'0919門市清單主檔'!B:C,2,FALSE)</f>
        <v>三重三陽店</v>
      </c>
      <c r="C4" s="409" t="str">
        <f>VLOOKUP($A4,'0919門市清單主檔'!B:V,20,FALSE)</f>
        <v>新北市</v>
      </c>
      <c r="D4" s="409" t="str">
        <f>VLOOKUP($A4,'0919門市清單主檔'!B:V,21,FALSE)</f>
        <v>三重區</v>
      </c>
      <c r="E4" s="397" t="str">
        <f>VLOOKUP(D4,門市狀態!G:H,2,FALSE)</f>
        <v>劉柏均</v>
      </c>
      <c r="F4" s="410" t="str">
        <f>IFERROR(IF(VLOOKUP(A4,門市狀態!A:D,4,FALSE)=0,"",VLOOKUP(A4,門市狀態!A:D,4,FALSE)),"")</f>
        <v/>
      </c>
      <c r="G4" s="409"/>
      <c r="H4" s="411" t="str">
        <f>IF(I4&gt;0,(TEXT(I4,"yyyymmdd")&amp;勤務統計!$V$2&amp;A4&amp;勤務統計!$V$2&amp;B4&amp;勤務統計!$S$2),"")</f>
        <v>PMQ1-2399-三重三陽店(定保)</v>
      </c>
      <c r="I4" s="247" t="str">
        <f t="array" ref="I4">IF(AND(SUMPRODUCT((IM!$F$2:$F$5000=A4)*(ISNUMBER(SEARCH(勤務統計!$C$1, IM!$AC$2:$AC$5000))))&gt;0), 勤務統計!$C$1, "")</f>
        <v>PMQ1</v>
      </c>
      <c r="J4" s="399">
        <f t="array" ref="J4">IFERROR(INDEX(IM!$AM$2:$AM$5000, MATCH(1, (IM!$F$2:$F$5000=A4) * (ISNUMBER(SEARCH(勤務統計!$C$1, IM!$AC$2:$AC$5000))), 0)), "")</f>
        <v>46024</v>
      </c>
      <c r="K4" s="400">
        <f t="array" ref="K4">SUMPRODUCT((IM!$F$2:$F$5000=A4)*(IM!$AD$2:$AD$5000="O")*(ISNUMBER(SEARCH(勤務統計!$C$1, IM!$AC$2:$AC$5000))))</f>
        <v>1</v>
      </c>
      <c r="L4" s="401" t="str">
        <f t="array" ref="L4">IF(K4&gt;0,IFERROR(HYPERLINK("#'IM'!AC"&amp;MATCH(1,(IM!$F$1:$F$5000=A4)*(ISNUMBER(SEARCH(勤務統計!$C$1,IM!$AC$1:$AC$5000))),0),"檢核"),"未登錄"),"")</f>
        <v>檢核</v>
      </c>
      <c r="M4" s="402" t="str">
        <f t="shared" si="0"/>
        <v>+L90+721</v>
      </c>
      <c r="N4" s="402" t="str">
        <f t="array" ref="N4">IF(AND(
    SUMPRODUCT(
        (IM!$F$2:$F$522=A4) *
        ISNUMBER(SEARCH("*HUB*", IM!$AC$2:$AC$522)) *
        (IM!$X$2:$X$522&gt;=勤務統計!$A$1) *
        (IM!$X$2:$X$522&lt;=勤務統計!$B$1)*(W4="HUB")
    ) &gt; 0
), "HUB", "")</f>
        <v/>
      </c>
      <c r="O4" s="400" t="str">
        <f>IF(
  IFERROR(VLOOKUP(A4,勤務統計!A:I,9,FALSE),"")&lt;&gt;勤務統計!$C$1,
  "未完工",
  IF(
    AND(勤務統計!$D$1="--",勤務統計!$E$1="--",勤務統計!$F$1="--"),
    "已完工",
    IF(
      OR(
        AND(勤務統計!$D$1&lt;&gt;"--", IFERROR(VLOOKUP(A4,'0919門市清單主檔'!B:AH,31,FALSE),"")=勤務統計!$D$1, IFERROR(VLOOKUP(A4,勤務統計!A:Q,17,FALSE),"")&lt;&gt;勤務統計!$D$1),
        AND(勤務統計!$E$1&lt;&gt;"--", IFERROR(VLOOKUP(A4,'0919門市清單主檔'!B:AH,32,FALSE),"")=勤務統計!$E$1, IFERROR(VLOOKUP(A4,勤務統計!A:S,19,FALSE),"")&lt;&gt;勤務統計!$E$1),
        AND(勤務統計!$F$1&lt;&gt;"--", IFERROR(VLOOKUP(A4,'0919門市清單主檔'!B:AH,33,FALSE),"")=勤務統計!$F$1, IFERROR(VLOOKUP(A4,勤務統計!A:U,21,FALSE),"")&lt;&gt;勤務統計!$F$1),
        AND(IFERROR(VLOOKUP(A4,'0919門市清單主檔'!B:AH,28,FALSE),"")="HUB", IFERROR(VLOOKUP(A4,勤務統計!A:W,23,FALSE),"")&lt;&gt;"HUB")
      ),
      _xlfn.TEXTJOIN(
        "，",
        TRUE,
        IF(AND(勤務統計!$D$1&lt;&gt;"--", IFERROR(VLOOKUP(A4,'0919門市清單主檔'!B:AH,31,FALSE),"")=勤務統計!$D$1, IFERROR(VLOOKUP(A4,勤務統計!A:Q,17,FALSE),"")&lt;&gt;勤務統計!$D$1), 勤務統計!$D$1, ""),
        IF(AND(勤務統計!$E$1&lt;&gt;"--", IFERROR(VLOOKUP(A4,'0919門市清單主檔'!B:AH,32,FALSE),"")=勤務統計!$E$1, IFERROR(VLOOKUP(A4,勤務統計!A:S,19,FALSE),"")&lt;&gt;勤務統計!$E$1), 勤務統計!$E$1, ""),
        IF(AND(勤務統計!$F$1&lt;&gt;"--", IFERROR(VLOOKUP(A4,'0919門市清單主檔'!B:AH,33,FALSE),"")=勤務統計!$F$1, IFERROR(VLOOKUP(A4,勤務統計!A:U,21,FALSE),"")&lt;&gt;勤務統計!$F$1), 勤務統計!$F$1, ""),
        IF(AND(IFERROR(VLOOKUP(A4,'0919門市清單主檔'!B:AH,28,FALSE),"")="HUB", IFERROR(VLOOKUP(A4,勤務統計!A:W,23,FALSE),"")&lt;&gt;"HUB"), "HUB", "")
      ) &amp; "未完工",
      "已完工"
    )
  )
)</f>
        <v>未完工</v>
      </c>
      <c r="P4" s="412" t="str">
        <f>(TEXT(I4,"yyyymmdd"))&amp;勤務統計!$V$2&amp;A4&amp;勤務統計!$V$2&amp;B4&amp;勤務統計!$S$2</f>
        <v>PMQ1-2399-三重三陽店(定保)</v>
      </c>
      <c r="Q4" s="404" t="str">
        <f t="array" ref="Q4">IF(AND(SUMPRODUCT((IM!$F$2:$F$5000=A4)*(ISNUMBER(SEARCH(勤務統計!$D$1, IM!$AC$2:$AC$5000))))&gt;0), 勤務統計!$D$1, "")</f>
        <v/>
      </c>
      <c r="R4" s="405" t="str">
        <f t="array" ref="R4">IFERROR(INDEX(IM!$AM$2:$AM$5000, MATCH(1, (IM!$F$2:$F$5000=A4) * (ISNUMBER(SEARCH(勤務統計!$D$1, IM!$AC$2:$AC$5000))), 0)), "")</f>
        <v/>
      </c>
      <c r="S4" s="406" t="str" cm="1">
        <f t="array" ref="S4">IF(AND(SUMPRODUCT((IM!$F$2:$F$5000=A4)*(ISNUMBER(SEARCH(勤務統計!$E$1, IM!$AC$2:$AC$5000))))&gt;0), 勤務統計!$E$1, "")</f>
        <v>+L90</v>
      </c>
      <c r="T4" s="405">
        <f t="array" ref="T4">IFERROR(INDEX(IM!$AM$2:$AM$5000, MATCH(1, (IM!$F$2:$F$5000=A4) * (ISNUMBER(SEARCH(勤務統計!$E$1, IM!$AC$2:$AC$5000))), 0)), "")</f>
        <v>46010</v>
      </c>
      <c r="U4" s="406" t="str" cm="1">
        <f t="array" ref="U4">IF(AND(SUMPRODUCT((IM!$F$2:$F$5000=A4)*(ISNUMBER(SEARCH(勤務統計!$F$1, IM!$AC$2:$AC$5000))))&gt;0), 勤務統計!$F$1, "")</f>
        <v>+721</v>
      </c>
      <c r="V4" s="413">
        <f t="array" ref="V4">IFERROR(INDEX(IM!$AM$2:$AM$5000, MATCH(1, (IM!$F$2:$F$5000=A4) * (ISNUMBER(SEARCH(勤務統計!$F$1, IM!$AC$2:$AC$5000))), 0)), "")</f>
        <v>46024</v>
      </c>
      <c r="W4" s="414" t="str">
        <f>IF(VLOOKUP(A4,'0919門市清單主檔'!B:AC,28,FALSE)=0,"",VLOOKUP(A4,'0919門市清單主檔'!B:AC,28,FALSE))</f>
        <v/>
      </c>
    </row>
    <row r="5" spans="1:23" ht="21.6" customHeight="1">
      <c r="A5" s="415">
        <v>3921</v>
      </c>
      <c r="B5" s="416" t="str">
        <f>VLOOKUP(A5,'0919門市清單主檔'!B:C,2,FALSE)</f>
        <v>五股福鑫店</v>
      </c>
      <c r="C5" s="415" t="str">
        <f>VLOOKUP($A5,'0919門市清單主檔'!B:V,20,FALSE)</f>
        <v>新北市</v>
      </c>
      <c r="D5" s="410" t="str">
        <f>VLOOKUP($A5,'0919門市清單主檔'!B:V,21,FALSE)</f>
        <v>五股區</v>
      </c>
      <c r="E5" s="397" t="str">
        <f>VLOOKUP(D5,門市狀態!G:H,2,FALSE)</f>
        <v>湯家瑋</v>
      </c>
      <c r="F5" s="410" t="str">
        <f>IFERROR(IF(VLOOKUP(A5,門市狀態!A:D,4,FALSE)=0,"",VLOOKUP(A5,門市狀態!A:D,4,FALSE)),"")</f>
        <v/>
      </c>
      <c r="G5" s="417"/>
      <c r="H5" s="418" t="str">
        <f>IF(I5&gt;0,(TEXT(I5,"yyyymmdd")&amp;勤務統計!$V$2&amp;A5&amp;勤務統計!$V$2&amp;B5&amp;勤務統計!$S$2),"")</f>
        <v>PMQ1-3921-五股福鑫店(定保)</v>
      </c>
      <c r="I5" s="247" t="str">
        <f t="array" ref="I5">IF(AND(SUMPRODUCT((IM!$F$2:$F$5000=A5)*(ISNUMBER(SEARCH(勤務統計!$C$1, IM!$AC$2:$AC$5000))))&gt;0), 勤務統計!$C$1, "")</f>
        <v>PMQ1</v>
      </c>
      <c r="J5" s="399">
        <f t="array" ref="J5">IFERROR(INDEX(IM!$AM$2:$AM$5000, MATCH(1, (IM!$F$2:$F$5000=A5) * (ISNUMBER(SEARCH(勤務統計!$C$1, IM!$AC$2:$AC$5000))), 0)), "")</f>
        <v>46024</v>
      </c>
      <c r="K5" s="400">
        <f t="array" ref="K5">SUMPRODUCT((IM!$F$2:$F$5000=A5)*(IM!$AD$2:$AD$5000="O")*(ISNUMBER(SEARCH(勤務統計!$C$1, IM!$AC$2:$AC$5000))))</f>
        <v>1</v>
      </c>
      <c r="L5" s="401" t="str">
        <f t="array" ref="L5">IF(K5&gt;0,IFERROR(HYPERLINK("#'IM'!AC"&amp;MATCH(1,(IM!$F$1:$F$5000=A5)*(ISNUMBER(SEARCH(勤務統計!$C$1,IM!$AC$1:$AC$5000))),0),"檢核"),"未登錄"),"")</f>
        <v>檢核</v>
      </c>
      <c r="M5" s="402" t="str">
        <f t="shared" si="0"/>
        <v>+L90+721</v>
      </c>
      <c r="N5" s="402" t="str">
        <f t="array" ref="N5">IF(AND(
    SUMPRODUCT(
        (IM!$F$2:$F$522=A5) *
        ISNUMBER(SEARCH("*HUB*", IM!$AC$2:$AC$522)) *
        (IM!$X$2:$X$522&gt;=勤務統計!$A$1) *
        (IM!$X$2:$X$522&lt;=勤務統計!$B$1)*(W5="HUB")
    ) &gt; 0
), "HUB", "")</f>
        <v/>
      </c>
      <c r="O5" s="400" t="str">
        <f>IF(
  IFERROR(VLOOKUP(A5,勤務統計!A:I,9,FALSE),"")&lt;&gt;勤務統計!$C$1,
  "未完工",
  IF(
    AND(勤務統計!$D$1="--",勤務統計!$E$1="--",勤務統計!$F$1="--"),
    "已完工",
    IF(
      OR(
        AND(勤務統計!$D$1&lt;&gt;"--", IFERROR(VLOOKUP(A5,'0919門市清單主檔'!B:AH,31,FALSE),"")=勤務統計!$D$1, IFERROR(VLOOKUP(A5,勤務統計!A:Q,17,FALSE),"")&lt;&gt;勤務統計!$D$1),
        AND(勤務統計!$E$1&lt;&gt;"--", IFERROR(VLOOKUP(A5,'0919門市清單主檔'!B:AH,32,FALSE),"")=勤務統計!$E$1, IFERROR(VLOOKUP(A5,勤務統計!A:S,19,FALSE),"")&lt;&gt;勤務統計!$E$1),
        AND(勤務統計!$F$1&lt;&gt;"--", IFERROR(VLOOKUP(A5,'0919門市清單主檔'!B:AH,33,FALSE),"")=勤務統計!$F$1, IFERROR(VLOOKUP(A5,勤務統計!A:U,21,FALSE),"")&lt;&gt;勤務統計!$F$1),
        AND(IFERROR(VLOOKUP(A5,'0919門市清單主檔'!B:AH,28,FALSE),"")="HUB", IFERROR(VLOOKUP(A5,勤務統計!A:W,23,FALSE),"")&lt;&gt;"HUB")
      ),
      _xlfn.TEXTJOIN(
        "，",
        TRUE,
        IF(AND(勤務統計!$D$1&lt;&gt;"--", IFERROR(VLOOKUP(A5,'0919門市清單主檔'!B:AH,31,FALSE),"")=勤務統計!$D$1, IFERROR(VLOOKUP(A5,勤務統計!A:Q,17,FALSE),"")&lt;&gt;勤務統計!$D$1), 勤務統計!$D$1, ""),
        IF(AND(勤務統計!$E$1&lt;&gt;"--", IFERROR(VLOOKUP(A5,'0919門市清單主檔'!B:AH,32,FALSE),"")=勤務統計!$E$1, IFERROR(VLOOKUP(A5,勤務統計!A:S,19,FALSE),"")&lt;&gt;勤務統計!$E$1), 勤務統計!$E$1, ""),
        IF(AND(勤務統計!$F$1&lt;&gt;"--", IFERROR(VLOOKUP(A5,'0919門市清單主檔'!B:AH,33,FALSE),"")=勤務統計!$F$1, IFERROR(VLOOKUP(A5,勤務統計!A:U,21,FALSE),"")&lt;&gt;勤務統計!$F$1), 勤務統計!$F$1, ""),
        IF(AND(IFERROR(VLOOKUP(A5,'0919門市清單主檔'!B:AH,28,FALSE),"")="HUB", IFERROR(VLOOKUP(A5,勤務統計!A:W,23,FALSE),"")&lt;&gt;"HUB"), "HUB", "")
      ) &amp; "未完工",
      "已完工"
    )
  )
)</f>
        <v>未完工</v>
      </c>
      <c r="P5" s="419" t="str">
        <f>(TEXT(I5,"yyyymmdd"))&amp;勤務統計!$V$2&amp;A5&amp;勤務統計!$V$2&amp;B5&amp;勤務統計!$S$2</f>
        <v>PMQ1-3921-五股福鑫店(定保)</v>
      </c>
      <c r="Q5" s="420" t="str">
        <f t="array" ref="Q5">IF(AND(SUMPRODUCT((IM!$F$2:$F$5000=A5)*(ISNUMBER(SEARCH(勤務統計!$D$1, IM!$AC$2:$AC$5000))))&gt;0), 勤務統計!$D$1, "")</f>
        <v/>
      </c>
      <c r="R5" s="421" t="str">
        <f t="array" ref="R5">IFERROR(INDEX(IM!$AM$2:$AM$5000, MATCH(1, (IM!$F$2:$F$5000=A5) * (ISNUMBER(SEARCH(勤務統計!$D$1, IM!$AC$2:$AC$5000))), 0)), "")</f>
        <v/>
      </c>
      <c r="S5" s="406" t="str" cm="1">
        <f t="array" ref="S5">IF(AND(SUMPRODUCT((IM!$F$2:$F$5000=A5)*(ISNUMBER(SEARCH(勤務統計!$E$1, IM!$AC$2:$AC$5000))))&gt;0), 勤務統計!$E$1, "")</f>
        <v>+L90</v>
      </c>
      <c r="T5" s="422">
        <f t="array" ref="T5">IFERROR(INDEX(IM!$AM$2:$AM$5000, MATCH(1, (IM!$F$2:$F$5000=A5) * (ISNUMBER(SEARCH(勤務統計!$E$1, IM!$AC$2:$AC$5000))), 0)), "")</f>
        <v>45964</v>
      </c>
      <c r="U5" s="406" t="str" cm="1">
        <f t="array" ref="U5">IF(AND(SUMPRODUCT((IM!$F$2:$F$5000=A5)*(ISNUMBER(SEARCH(勤務統計!$F$1, IM!$AC$2:$AC$5000))))&gt;0), 勤務統計!$F$1, "")</f>
        <v>+721</v>
      </c>
      <c r="V5" s="413">
        <f t="array" ref="V5">IFERROR(INDEX(IM!$AM$2:$AM$5000, MATCH(1, (IM!$F$2:$F$5000=A5) * (ISNUMBER(SEARCH(勤務統計!$F$1, IM!$AC$2:$AC$5000))), 0)), "")</f>
        <v>46024</v>
      </c>
      <c r="W5" s="414" t="str">
        <f>IF(VLOOKUP(A5,'0919門市清單主檔'!B:AC,28,FALSE)=0,"",VLOOKUP(A5,'0919門市清單主檔'!B:AC,28,FALSE))</f>
        <v/>
      </c>
    </row>
    <row r="6" spans="1:23" ht="21.6" customHeight="1">
      <c r="A6" s="423">
        <v>4316</v>
      </c>
      <c r="B6" s="416" t="str">
        <f>VLOOKUP(A6,'0919門市清單主檔'!B:C,2,FALSE)</f>
        <v>五股工商店</v>
      </c>
      <c r="C6" s="415" t="str">
        <f>VLOOKUP($A6,'0919門市清單主檔'!B:V,20,FALSE)</f>
        <v>新北市</v>
      </c>
      <c r="D6" s="410" t="str">
        <f>VLOOKUP($A6,'0919門市清單主檔'!B:V,21,FALSE)</f>
        <v>五股區</v>
      </c>
      <c r="E6" s="397" t="str">
        <f>VLOOKUP(D6,門市狀態!G:H,2,FALSE)</f>
        <v>湯家瑋</v>
      </c>
      <c r="F6" s="410" t="str">
        <f>IFERROR(IF(VLOOKUP(A6,門市狀態!A:D,4,FALSE)=0,"",VLOOKUP(A6,門市狀態!A:D,4,FALSE)),"")</f>
        <v/>
      </c>
      <c r="G6" s="424"/>
      <c r="H6" s="425" t="str">
        <f>IF(I6&gt;0,(TEXT(I6,"yyyymmdd")&amp;勤務統計!$V$2&amp;A6&amp;勤務統計!$V$2&amp;B6&amp;勤務統計!$S$2),"")</f>
        <v>PMQ1-4316-五股工商店(定保)</v>
      </c>
      <c r="I6" s="247" t="str">
        <f t="array" ref="I6">IF(AND(SUMPRODUCT((IM!$F$2:$F$5000=A6)*(ISNUMBER(SEARCH(勤務統計!$C$1, IM!$AC$2:$AC$5000))))&gt;0), 勤務統計!$C$1, "")</f>
        <v>PMQ1</v>
      </c>
      <c r="J6" s="399">
        <f t="array" ref="J6">IFERROR(INDEX(IM!$AM$2:$AM$5000, MATCH(1, (IM!$F$2:$F$5000=A6) * (ISNUMBER(SEARCH(勤務統計!$C$1, IM!$AC$2:$AC$5000))), 0)), "")</f>
        <v>46024</v>
      </c>
      <c r="K6" s="400">
        <f t="array" ref="K6">SUMPRODUCT((IM!$F$2:$F$5000=A6)*(IM!$AD$2:$AD$5000="O")*(ISNUMBER(SEARCH(勤務統計!$C$1, IM!$AC$2:$AC$5000))))</f>
        <v>1</v>
      </c>
      <c r="L6" s="401" t="str">
        <f t="array" ref="L6">IF(K6&gt;0,IFERROR(HYPERLINK("#'IM'!AC"&amp;MATCH(1,(IM!$F$1:$F$5000=A6)*(ISNUMBER(SEARCH(勤務統計!$C$1,IM!$AC$1:$AC$5000))),0),"檢核"),"未登錄"),"")</f>
        <v>檢核</v>
      </c>
      <c r="M6" s="402" t="str">
        <f t="shared" si="0"/>
        <v>+L90+721</v>
      </c>
      <c r="N6" s="402" t="str">
        <f t="array" ref="N6">IF(AND(
    SUMPRODUCT(
        (IM!$F$2:$F$522=A6) *
        ISNUMBER(SEARCH("*HUB*", IM!$AC$2:$AC$522)) *
        (IM!$X$2:$X$522&gt;=勤務統計!$A$1) *
        (IM!$X$2:$X$522&lt;=勤務統計!$B$1)*(W6="HUB")
    ) &gt; 0
), "HUB", "")</f>
        <v/>
      </c>
      <c r="O6" s="400" t="str">
        <f>IF(
  IFERROR(VLOOKUP(A6,勤務統計!A:I,9,FALSE),"")&lt;&gt;勤務統計!$C$1,
  "未完工",
  IF(
    AND(勤務統計!$D$1="--",勤務統計!$E$1="--",勤務統計!$F$1="--"),
    "已完工",
    IF(
      OR(
        AND(勤務統計!$D$1&lt;&gt;"--", IFERROR(VLOOKUP(A6,'0919門市清單主檔'!B:AH,31,FALSE),"")=勤務統計!$D$1, IFERROR(VLOOKUP(A6,勤務統計!A:Q,17,FALSE),"")&lt;&gt;勤務統計!$D$1),
        AND(勤務統計!$E$1&lt;&gt;"--", IFERROR(VLOOKUP(A6,'0919門市清單主檔'!B:AH,32,FALSE),"")=勤務統計!$E$1, IFERROR(VLOOKUP(A6,勤務統計!A:S,19,FALSE),"")&lt;&gt;勤務統計!$E$1),
        AND(勤務統計!$F$1&lt;&gt;"--", IFERROR(VLOOKUP(A6,'0919門市清單主檔'!B:AH,33,FALSE),"")=勤務統計!$F$1, IFERROR(VLOOKUP(A6,勤務統計!A:U,21,FALSE),"")&lt;&gt;勤務統計!$F$1),
        AND(IFERROR(VLOOKUP(A6,'0919門市清單主檔'!B:AH,28,FALSE),"")="HUB", IFERROR(VLOOKUP(A6,勤務統計!A:W,23,FALSE),"")&lt;&gt;"HUB")
      ),
      _xlfn.TEXTJOIN(
        "，",
        TRUE,
        IF(AND(勤務統計!$D$1&lt;&gt;"--", IFERROR(VLOOKUP(A6,'0919門市清單主檔'!B:AH,31,FALSE),"")=勤務統計!$D$1, IFERROR(VLOOKUP(A6,勤務統計!A:Q,17,FALSE),"")&lt;&gt;勤務統計!$D$1), 勤務統計!$D$1, ""),
        IF(AND(勤務統計!$E$1&lt;&gt;"--", IFERROR(VLOOKUP(A6,'0919門市清單主檔'!B:AH,32,FALSE),"")=勤務統計!$E$1, IFERROR(VLOOKUP(A6,勤務統計!A:S,19,FALSE),"")&lt;&gt;勤務統計!$E$1), 勤務統計!$E$1, ""),
        IF(AND(勤務統計!$F$1&lt;&gt;"--", IFERROR(VLOOKUP(A6,'0919門市清單主檔'!B:AH,33,FALSE),"")=勤務統計!$F$1, IFERROR(VLOOKUP(A6,勤務統計!A:U,21,FALSE),"")&lt;&gt;勤務統計!$F$1), 勤務統計!$F$1, ""),
        IF(AND(IFERROR(VLOOKUP(A6,'0919門市清單主檔'!B:AH,28,FALSE),"")="HUB", IFERROR(VLOOKUP(A6,勤務統計!A:W,23,FALSE),"")&lt;&gt;"HUB"), "HUB", "")
      ) &amp; "未完工",
      "已完工"
    )
  )
)</f>
        <v>未完工</v>
      </c>
      <c r="P6" s="403" t="str">
        <f>(TEXT(I6,"yyyymmdd"))&amp;勤務統計!$V$2&amp;A6&amp;勤務統計!$V$2&amp;B6&amp;勤務統計!$S$2</f>
        <v>PMQ1-4316-五股工商店(定保)</v>
      </c>
      <c r="Q6" s="420" t="str">
        <f t="array" ref="Q6">IF(AND(SUMPRODUCT((IM!$F$2:$F$5000=A6)*(ISNUMBER(SEARCH(勤務統計!$D$1, IM!$AC$2:$AC$5000))))&gt;0), 勤務統計!$D$1, "")</f>
        <v/>
      </c>
      <c r="R6" s="421" t="str">
        <f t="array" ref="R6">IFERROR(INDEX(IM!$AM$2:$AM$5000, MATCH(1, (IM!$F$2:$F$5000=A6) * (ISNUMBER(SEARCH(勤務統計!$D$1, IM!$AC$2:$AC$5000))), 0)), "")</f>
        <v/>
      </c>
      <c r="S6" s="406" t="str" cm="1">
        <f t="array" ref="S6">IF(AND(SUMPRODUCT((IM!$F$2:$F$5000=A6)*(ISNUMBER(SEARCH(勤務統計!$E$1, IM!$AC$2:$AC$5000))))&gt;0), 勤務統計!$E$1, "")</f>
        <v>+L90</v>
      </c>
      <c r="T6" s="422">
        <f t="array" ref="T6">IFERROR(INDEX(IM!$AM$2:$AM$5000, MATCH(1, (IM!$F$2:$F$5000=A6) * (ISNUMBER(SEARCH(勤務統計!$E$1, IM!$AC$2:$AC$5000))), 0)), "")</f>
        <v>45964</v>
      </c>
      <c r="U6" s="406" t="str" cm="1">
        <f t="array" ref="U6">IF(AND(SUMPRODUCT((IM!$F$2:$F$5000=A6)*(ISNUMBER(SEARCH(勤務統計!$F$1, IM!$AC$2:$AC$5000))))&gt;0), 勤務統計!$F$1, "")</f>
        <v>+721</v>
      </c>
      <c r="V6" s="413">
        <f t="array" ref="V6">IFERROR(INDEX(IM!$AM$2:$AM$5000, MATCH(1, (IM!$F$2:$F$5000=A6) * (ISNUMBER(SEARCH(勤務統計!$F$1, IM!$AC$2:$AC$5000))), 0)), "")</f>
        <v>46024</v>
      </c>
      <c r="W6" s="414" t="str">
        <f>IF(VLOOKUP(A6,'0919門市清單主檔'!B:AC,28,FALSE)=0,"",VLOOKUP(A6,'0919門市清單主檔'!B:AC,28,FALSE))</f>
        <v/>
      </c>
    </row>
    <row r="7" spans="1:23" ht="21.6" customHeight="1">
      <c r="A7" s="423">
        <v>4788</v>
      </c>
      <c r="B7" s="416" t="str">
        <f>VLOOKUP(A7,'0919門市清單主檔'!B:C,2,FALSE)</f>
        <v>淡水國家店</v>
      </c>
      <c r="C7" s="415" t="str">
        <f>VLOOKUP($A7,'0919門市清單主檔'!B:V,20,FALSE)</f>
        <v>新北市</v>
      </c>
      <c r="D7" s="410" t="str">
        <f>VLOOKUP($A7,'0919門市清單主檔'!B:V,21,FALSE)</f>
        <v>淡水區</v>
      </c>
      <c r="E7" s="397" t="str">
        <f>VLOOKUP(D7,門市狀態!G:H,2,FALSE)</f>
        <v>吳宗鴻</v>
      </c>
      <c r="F7" s="410" t="str">
        <f>IFERROR(IF(VLOOKUP(A7,門市狀態!A:D,4,FALSE)=0,"",VLOOKUP(A7,門市狀態!A:D,4,FALSE)),"")</f>
        <v/>
      </c>
      <c r="G7" s="424"/>
      <c r="H7" s="425" t="str">
        <f>IF(I7&gt;0,(TEXT(I7,"yyyymmdd")&amp;勤務統計!$V$2&amp;A7&amp;勤務統計!$V$2&amp;B7&amp;勤務統計!$S$2),"")</f>
        <v>PMQ1-4788-淡水國家店(定保)</v>
      </c>
      <c r="I7" s="247" t="str">
        <f t="array" ref="I7">IF(AND(SUMPRODUCT((IM!$F$2:$F$5000=A7)*(ISNUMBER(SEARCH(勤務統計!$C$1, IM!$AC$2:$AC$5000))))&gt;0), 勤務統計!$C$1, "")</f>
        <v>PMQ1</v>
      </c>
      <c r="J7" s="399">
        <f t="array" ref="J7">IFERROR(INDEX(IM!$AM$2:$AM$5000, MATCH(1, (IM!$F$2:$F$5000=A7) * (ISNUMBER(SEARCH(勤務統計!$C$1, IM!$AC$2:$AC$5000))), 0)), "")</f>
        <v>46024</v>
      </c>
      <c r="K7" s="400">
        <f t="array" ref="K7">SUMPRODUCT((IM!$F$2:$F$5000=A7)*(IM!$AD$2:$AD$5000="O")*(ISNUMBER(SEARCH(勤務統計!$C$1, IM!$AC$2:$AC$5000))))</f>
        <v>1</v>
      </c>
      <c r="L7" s="401" t="str">
        <f t="array" ref="L7">IF(K7&gt;0,IFERROR(HYPERLINK("#'IM'!AC"&amp;MATCH(1,(IM!$F$1:$F$5000=A7)*(ISNUMBER(SEARCH(勤務統計!$C$1,IM!$AC$1:$AC$5000))),0),"檢核"),"未登錄"),"")</f>
        <v>檢核</v>
      </c>
      <c r="M7" s="402" t="str">
        <f t="shared" si="0"/>
        <v>+L90+721</v>
      </c>
      <c r="N7" s="402" t="str">
        <f t="array" ref="N7">IF(AND(
    SUMPRODUCT(
        (IM!$F$2:$F$522=A7) *
        ISNUMBER(SEARCH("*HUB*", IM!$AC$2:$AC$522)) *
        (IM!$X$2:$X$522&gt;=勤務統計!$A$1) *
        (IM!$X$2:$X$522&lt;=勤務統計!$B$1)*(W7="HUB")
    ) &gt; 0
), "HUB", "")</f>
        <v/>
      </c>
      <c r="O7" s="400" t="str">
        <f>IF(
  IFERROR(VLOOKUP(A7,勤務統計!A:I,9,FALSE),"")&lt;&gt;勤務統計!$C$1,
  "未完工",
  IF(
    AND(勤務統計!$D$1="--",勤務統計!$E$1="--",勤務統計!$F$1="--"),
    "已完工",
    IF(
      OR(
        AND(勤務統計!$D$1&lt;&gt;"--", IFERROR(VLOOKUP(A7,'0919門市清單主檔'!B:AH,31,FALSE),"")=勤務統計!$D$1, IFERROR(VLOOKUP(A7,勤務統計!A:Q,17,FALSE),"")&lt;&gt;勤務統計!$D$1),
        AND(勤務統計!$E$1&lt;&gt;"--", IFERROR(VLOOKUP(A7,'0919門市清單主檔'!B:AH,32,FALSE),"")=勤務統計!$E$1, IFERROR(VLOOKUP(A7,勤務統計!A:S,19,FALSE),"")&lt;&gt;勤務統計!$E$1),
        AND(勤務統計!$F$1&lt;&gt;"--", IFERROR(VLOOKUP(A7,'0919門市清單主檔'!B:AH,33,FALSE),"")=勤務統計!$F$1, IFERROR(VLOOKUP(A7,勤務統計!A:U,21,FALSE),"")&lt;&gt;勤務統計!$F$1),
        AND(IFERROR(VLOOKUP(A7,'0919門市清單主檔'!B:AH,28,FALSE),"")="HUB", IFERROR(VLOOKUP(A7,勤務統計!A:W,23,FALSE),"")&lt;&gt;"HUB")
      ),
      _xlfn.TEXTJOIN(
        "，",
        TRUE,
        IF(AND(勤務統計!$D$1&lt;&gt;"--", IFERROR(VLOOKUP(A7,'0919門市清單主檔'!B:AH,31,FALSE),"")=勤務統計!$D$1, IFERROR(VLOOKUP(A7,勤務統計!A:Q,17,FALSE),"")&lt;&gt;勤務統計!$D$1), 勤務統計!$D$1, ""),
        IF(AND(勤務統計!$E$1&lt;&gt;"--", IFERROR(VLOOKUP(A7,'0919門市清單主檔'!B:AH,32,FALSE),"")=勤務統計!$E$1, IFERROR(VLOOKUP(A7,勤務統計!A:S,19,FALSE),"")&lt;&gt;勤務統計!$E$1), 勤務統計!$E$1, ""),
        IF(AND(勤務統計!$F$1&lt;&gt;"--", IFERROR(VLOOKUP(A7,'0919門市清單主檔'!B:AH,33,FALSE),"")=勤務統計!$F$1, IFERROR(VLOOKUP(A7,勤務統計!A:U,21,FALSE),"")&lt;&gt;勤務統計!$F$1), 勤務統計!$F$1, ""),
        IF(AND(IFERROR(VLOOKUP(A7,'0919門市清單主檔'!B:AH,28,FALSE),"")="HUB", IFERROR(VLOOKUP(A7,勤務統計!A:W,23,FALSE),"")&lt;&gt;"HUB"), "HUB", "")
      ) &amp; "未完工",
      "已完工"
    )
  )
)</f>
        <v>未完工</v>
      </c>
      <c r="P7" s="403" t="str">
        <f>(TEXT(I7,"yyyymmdd"))&amp;勤務統計!$V$2&amp;A7&amp;勤務統計!$V$2&amp;B7&amp;勤務統計!$S$2</f>
        <v>PMQ1-4788-淡水國家店(定保)</v>
      </c>
      <c r="Q7" s="420" t="str">
        <f t="array" ref="Q7">IF(AND(SUMPRODUCT((IM!$F$2:$F$5000=A7)*(ISNUMBER(SEARCH(勤務統計!$D$1, IM!$AC$2:$AC$5000))))&gt;0), 勤務統計!$D$1, "")</f>
        <v/>
      </c>
      <c r="R7" s="421" t="str">
        <f t="array" ref="R7">IFERROR(INDEX(IM!$AM$2:$AM$5000, MATCH(1, (IM!$F$2:$F$5000=A7) * (ISNUMBER(SEARCH(勤務統計!$D$1, IM!$AC$2:$AC$5000))), 0)), "")</f>
        <v/>
      </c>
      <c r="S7" s="406" t="str" cm="1">
        <f t="array" ref="S7">IF(AND(SUMPRODUCT((IM!$F$2:$F$5000=A7)*(ISNUMBER(SEARCH(勤務統計!$E$1, IM!$AC$2:$AC$5000))))&gt;0), 勤務統計!$E$1, "")</f>
        <v>+L90</v>
      </c>
      <c r="T7" s="422">
        <f t="array" ref="T7">IFERROR(INDEX(IM!$AM$2:$AM$5000, MATCH(1, (IM!$F$2:$F$5000=A7) * (ISNUMBER(SEARCH(勤務統計!$E$1, IM!$AC$2:$AC$5000))), 0)), "")</f>
        <v>46000</v>
      </c>
      <c r="U7" s="406" t="str" cm="1">
        <f t="array" ref="U7">IF(AND(SUMPRODUCT((IM!$F$2:$F$5000=A7)*(ISNUMBER(SEARCH(勤務統計!$F$1, IM!$AC$2:$AC$5000))))&gt;0), 勤務統計!$F$1, "")</f>
        <v>+721</v>
      </c>
      <c r="V7" s="413">
        <f t="array" ref="V7">IFERROR(INDEX(IM!$AM$2:$AM$5000, MATCH(1, (IM!$F$2:$F$5000=A7) * (ISNUMBER(SEARCH(勤務統計!$F$1, IM!$AC$2:$AC$5000))), 0)), "")</f>
        <v>46024</v>
      </c>
      <c r="W7" s="414" t="str">
        <f>IF(VLOOKUP(A7,'0919門市清單主檔'!B:AC,28,FALSE)=0,"",VLOOKUP(A7,'0919門市清單主檔'!B:AC,28,FALSE))</f>
        <v/>
      </c>
    </row>
    <row r="8" spans="1:23" ht="21.6" customHeight="1">
      <c r="A8" s="423">
        <v>4852</v>
      </c>
      <c r="B8" s="416" t="str">
        <f>VLOOKUP(A8,'0919門市清單主檔'!B:C,2,FALSE)</f>
        <v>蘆竹福祿店</v>
      </c>
      <c r="C8" s="415" t="str">
        <f>VLOOKUP($A8,'0919門市清單主檔'!B:V,20,FALSE)</f>
        <v>桃園市</v>
      </c>
      <c r="D8" s="410" t="str">
        <f>VLOOKUP($A8,'0919門市清單主檔'!B:V,21,FALSE)</f>
        <v>蘆竹區</v>
      </c>
      <c r="E8" s="397" t="str">
        <f>VLOOKUP(D8,門市狀態!G:H,2,FALSE)</f>
        <v>吳宗鴻</v>
      </c>
      <c r="F8" s="410" t="str">
        <f>IFERROR(IF(VLOOKUP(A8,門市狀態!A:D,4,FALSE)=0,"",VLOOKUP(A8,門市狀態!A:D,4,FALSE)),"")</f>
        <v/>
      </c>
      <c r="G8" s="424"/>
      <c r="H8" s="425" t="str">
        <f>IF(I8&gt;0,(TEXT(I8,"yyyymmdd")&amp;勤務統計!$V$2&amp;A8&amp;勤務統計!$V$2&amp;B8&amp;勤務統計!$S$2),"")</f>
        <v>PMQ1-4852-蘆竹福祿店(定保)</v>
      </c>
      <c r="I8" s="247" t="str">
        <f t="array" ref="I8">IF(AND(SUMPRODUCT((IM!$F$2:$F$5000=A8)*(ISNUMBER(SEARCH(勤務統計!$C$1, IM!$AC$2:$AC$5000))))&gt;0), 勤務統計!$C$1, "")</f>
        <v>PMQ1</v>
      </c>
      <c r="J8" s="399">
        <f t="array" ref="J8">IFERROR(INDEX(IM!$AM$2:$AM$5000, MATCH(1, (IM!$F$2:$F$5000=A8) * (ISNUMBER(SEARCH(勤務統計!$C$1, IM!$AC$2:$AC$5000))), 0)), "")</f>
        <v>46024</v>
      </c>
      <c r="K8" s="400">
        <f t="array" ref="K8">SUMPRODUCT((IM!$F$2:$F$5000=A8)*(IM!$AD$2:$AD$5000="O")*(ISNUMBER(SEARCH(勤務統計!$C$1, IM!$AC$2:$AC$5000))))</f>
        <v>1</v>
      </c>
      <c r="L8" s="401" t="str">
        <f t="array" ref="L8">IF(K8&gt;0,IFERROR(HYPERLINK("#'IM'!AC"&amp;MATCH(1,(IM!$F$1:$F$5000=A8)*(ISNUMBER(SEARCH(勤務統計!$C$1,IM!$AC$1:$AC$5000))),0),"檢核"),"未登錄"),"")</f>
        <v>檢核</v>
      </c>
      <c r="M8" s="402" t="str">
        <f t="shared" si="0"/>
        <v>+L90+721</v>
      </c>
      <c r="N8" s="402" t="str">
        <f t="array" ref="N8">IF(AND(
    SUMPRODUCT(
        (IM!$F$2:$F$522=A8) *
        ISNUMBER(SEARCH("*HUB*", IM!$AC$2:$AC$522)) *
        (IM!$X$2:$X$522&gt;=勤務統計!$A$1) *
        (IM!$X$2:$X$522&lt;=勤務統計!$B$1)*(W8="HUB")
    ) &gt; 0
), "HUB", "")</f>
        <v/>
      </c>
      <c r="O8" s="400" t="str">
        <f>IF(
  IFERROR(VLOOKUP(A8,勤務統計!A:I,9,FALSE),"")&lt;&gt;勤務統計!$C$1,
  "未完工",
  IF(
    AND(勤務統計!$D$1="--",勤務統計!$E$1="--",勤務統計!$F$1="--"),
    "已完工",
    IF(
      OR(
        AND(勤務統計!$D$1&lt;&gt;"--", IFERROR(VLOOKUP(A8,'0919門市清單主檔'!B:AH,31,FALSE),"")=勤務統計!$D$1, IFERROR(VLOOKUP(A8,勤務統計!A:Q,17,FALSE),"")&lt;&gt;勤務統計!$D$1),
        AND(勤務統計!$E$1&lt;&gt;"--", IFERROR(VLOOKUP(A8,'0919門市清單主檔'!B:AH,32,FALSE),"")=勤務統計!$E$1, IFERROR(VLOOKUP(A8,勤務統計!A:S,19,FALSE),"")&lt;&gt;勤務統計!$E$1),
        AND(勤務統計!$F$1&lt;&gt;"--", IFERROR(VLOOKUP(A8,'0919門市清單主檔'!B:AH,33,FALSE),"")=勤務統計!$F$1, IFERROR(VLOOKUP(A8,勤務統計!A:U,21,FALSE),"")&lt;&gt;勤務統計!$F$1),
        AND(IFERROR(VLOOKUP(A8,'0919門市清單主檔'!B:AH,28,FALSE),"")="HUB", IFERROR(VLOOKUP(A8,勤務統計!A:W,23,FALSE),"")&lt;&gt;"HUB")
      ),
      _xlfn.TEXTJOIN(
        "，",
        TRUE,
        IF(AND(勤務統計!$D$1&lt;&gt;"--", IFERROR(VLOOKUP(A8,'0919門市清單主檔'!B:AH,31,FALSE),"")=勤務統計!$D$1, IFERROR(VLOOKUP(A8,勤務統計!A:Q,17,FALSE),"")&lt;&gt;勤務統計!$D$1), 勤務統計!$D$1, ""),
        IF(AND(勤務統計!$E$1&lt;&gt;"--", IFERROR(VLOOKUP(A8,'0919門市清單主檔'!B:AH,32,FALSE),"")=勤務統計!$E$1, IFERROR(VLOOKUP(A8,勤務統計!A:S,19,FALSE),"")&lt;&gt;勤務統計!$E$1), 勤務統計!$E$1, ""),
        IF(AND(勤務統計!$F$1&lt;&gt;"--", IFERROR(VLOOKUP(A8,'0919門市清單主檔'!B:AH,33,FALSE),"")=勤務統計!$F$1, IFERROR(VLOOKUP(A8,勤務統計!A:U,21,FALSE),"")&lt;&gt;勤務統計!$F$1), 勤務統計!$F$1, ""),
        IF(AND(IFERROR(VLOOKUP(A8,'0919門市清單主檔'!B:AH,28,FALSE),"")="HUB", IFERROR(VLOOKUP(A8,勤務統計!A:W,23,FALSE),"")&lt;&gt;"HUB"), "HUB", "")
      ) &amp; "未完工",
      "已完工"
    )
  )
)</f>
        <v>未完工</v>
      </c>
      <c r="P8" s="403" t="str">
        <f>(TEXT(I8,"yyyymmdd"))&amp;勤務統計!$V$2&amp;A8&amp;勤務統計!$V$2&amp;B8&amp;勤務統計!$S$2</f>
        <v>PMQ1-4852-蘆竹福祿店(定保)</v>
      </c>
      <c r="Q8" s="420" t="str">
        <f t="array" ref="Q8">IF(AND(SUMPRODUCT((IM!$F$2:$F$5000=A8)*(ISNUMBER(SEARCH(勤務統計!$D$1, IM!$AC$2:$AC$5000))))&gt;0), 勤務統計!$D$1, "")</f>
        <v/>
      </c>
      <c r="R8" s="421" t="str">
        <f t="array" ref="R8">IFERROR(INDEX(IM!$AM$2:$AM$5000, MATCH(1, (IM!$F$2:$F$5000=A8) * (ISNUMBER(SEARCH(勤務統計!$D$1, IM!$AC$2:$AC$5000))), 0)), "")</f>
        <v/>
      </c>
      <c r="S8" s="406" t="str" cm="1">
        <f t="array" ref="S8">IF(AND(SUMPRODUCT((IM!$F$2:$F$5000=A8)*(ISNUMBER(SEARCH(勤務統計!$E$1, IM!$AC$2:$AC$5000))))&gt;0), 勤務統計!$E$1, "")</f>
        <v>+L90</v>
      </c>
      <c r="T8" s="422">
        <f t="array" ref="T8">IFERROR(INDEX(IM!$AM$2:$AM$5000, MATCH(1, (IM!$F$2:$F$5000=A8) * (ISNUMBER(SEARCH(勤務統計!$E$1, IM!$AC$2:$AC$5000))), 0)), "")</f>
        <v>46024</v>
      </c>
      <c r="U8" s="406" t="str" cm="1">
        <f t="array" ref="U8">IF(AND(SUMPRODUCT((IM!$F$2:$F$5000=A8)*(ISNUMBER(SEARCH(勤務統計!$F$1, IM!$AC$2:$AC$5000))))&gt;0), 勤務統計!$F$1, "")</f>
        <v>+721</v>
      </c>
      <c r="V8" s="413">
        <f t="array" ref="V8">IFERROR(INDEX(IM!$AM$2:$AM$5000, MATCH(1, (IM!$F$2:$F$5000=A8) * (ISNUMBER(SEARCH(勤務統計!$F$1, IM!$AC$2:$AC$5000))), 0)), "")</f>
        <v>46024</v>
      </c>
      <c r="W8" s="414" t="str">
        <f>IF(VLOOKUP(A8,'0919門市清單主檔'!B:AC,28,FALSE)=0,"",VLOOKUP(A8,'0919門市清單主檔'!B:AC,28,FALSE))</f>
        <v/>
      </c>
    </row>
    <row r="9" spans="1:23" ht="21.6" customHeight="1">
      <c r="A9" s="423">
        <v>3913</v>
      </c>
      <c r="B9" s="416" t="str">
        <f>VLOOKUP(A9,'0919門市清單主檔'!B:C,2,FALSE)</f>
        <v>中和和玉店</v>
      </c>
      <c r="C9" s="415" t="str">
        <f>VLOOKUP($A9,'0919門市清單主檔'!B:V,20,FALSE)</f>
        <v>新北市</v>
      </c>
      <c r="D9" s="410" t="str">
        <f>VLOOKUP($A9,'0919門市清單主檔'!B:V,21,FALSE)</f>
        <v>中和區</v>
      </c>
      <c r="E9" s="397" t="str">
        <f>VLOOKUP(D9,門市狀態!G:H,2,FALSE)</f>
        <v>劉柏均</v>
      </c>
      <c r="F9" s="410" t="str">
        <f>IFERROR(IF(VLOOKUP(A9,門市狀態!A:D,4,FALSE)=0,"",VLOOKUP(A9,門市狀態!A:D,4,FALSE)),"")</f>
        <v/>
      </c>
      <c r="G9" s="424"/>
      <c r="H9" s="425" t="str">
        <f>IF(I9&gt;0,(TEXT(I9,"yyyymmdd")&amp;勤務統計!$V$2&amp;A9&amp;勤務統計!$V$2&amp;B9&amp;勤務統計!$S$2),"")</f>
        <v>PMQ1-3913-中和和玉店(定保)</v>
      </c>
      <c r="I9" s="247" t="str">
        <f t="array" ref="I9">IF(AND(SUMPRODUCT((IM!$F$2:$F$5000=A9)*(ISNUMBER(SEARCH(勤務統計!$C$1, IM!$AC$2:$AC$5000))))&gt;0), 勤務統計!$C$1, "")</f>
        <v>PMQ1</v>
      </c>
      <c r="J9" s="399">
        <f t="array" ref="J9">IFERROR(INDEX(IM!$AM$2:$AM$5000, MATCH(1, (IM!$F$2:$F$5000=A9) * (ISNUMBER(SEARCH(勤務統計!$C$1, IM!$AC$2:$AC$5000))), 0)), "")</f>
        <v>46024</v>
      </c>
      <c r="K9" s="400">
        <f t="array" ref="K9">SUMPRODUCT((IM!$F$2:$F$5000=A9)*(IM!$AD$2:$AD$5000="O")*(ISNUMBER(SEARCH(勤務統計!$C$1, IM!$AC$2:$AC$5000))))</f>
        <v>1</v>
      </c>
      <c r="L9" s="401" t="str">
        <f t="array" ref="L9">IF(K9&gt;0,IFERROR(HYPERLINK("#'IM'!AC"&amp;MATCH(1,(IM!$F$1:$F$5000=A9)*(ISNUMBER(SEARCH(勤務統計!$C$1,IM!$AC$1:$AC$5000))),0),"檢核"),"未登錄"),"")</f>
        <v>檢核</v>
      </c>
      <c r="M9" s="402" t="str">
        <f t="shared" si="0"/>
        <v>+721</v>
      </c>
      <c r="N9" s="402" t="str">
        <f t="array" ref="N9">IF(AND(
    SUMPRODUCT(
        (IM!$F$2:$F$522=A9) *
        ISNUMBER(SEARCH("*HUB*", IM!$AC$2:$AC$522)) *
        (IM!$X$2:$X$522&gt;=勤務統計!$A$1) *
        (IM!$X$2:$X$522&lt;=勤務統計!$B$1)*(W9="HUB")
    ) &gt; 0
), "HUB", "")</f>
        <v/>
      </c>
      <c r="O9" s="400" t="str">
        <f>IF(
  IFERROR(VLOOKUP(A9,勤務統計!A:I,9,FALSE),"")&lt;&gt;勤務統計!$C$1,
  "未完工",
  IF(
    AND(勤務統計!$D$1="--",勤務統計!$E$1="--",勤務統計!$F$1="--"),
    "已完工",
    IF(
      OR(
        AND(勤務統計!$D$1&lt;&gt;"--", IFERROR(VLOOKUP(A9,'0919門市清單主檔'!B:AH,31,FALSE),"")=勤務統計!$D$1, IFERROR(VLOOKUP(A9,勤務統計!A:Q,17,FALSE),"")&lt;&gt;勤務統計!$D$1),
        AND(勤務統計!$E$1&lt;&gt;"--", IFERROR(VLOOKUP(A9,'0919門市清單主檔'!B:AH,32,FALSE),"")=勤務統計!$E$1, IFERROR(VLOOKUP(A9,勤務統計!A:S,19,FALSE),"")&lt;&gt;勤務統計!$E$1),
        AND(勤務統計!$F$1&lt;&gt;"--", IFERROR(VLOOKUP(A9,'0919門市清單主檔'!B:AH,33,FALSE),"")=勤務統計!$F$1, IFERROR(VLOOKUP(A9,勤務統計!A:U,21,FALSE),"")&lt;&gt;勤務統計!$F$1),
        AND(IFERROR(VLOOKUP(A9,'0919門市清單主檔'!B:AH,28,FALSE),"")="HUB", IFERROR(VLOOKUP(A9,勤務統計!A:W,23,FALSE),"")&lt;&gt;"HUB")
      ),
      _xlfn.TEXTJOIN(
        "，",
        TRUE,
        IF(AND(勤務統計!$D$1&lt;&gt;"--", IFERROR(VLOOKUP(A9,'0919門市清單主檔'!B:AH,31,FALSE),"")=勤務統計!$D$1, IFERROR(VLOOKUP(A9,勤務統計!A:Q,17,FALSE),"")&lt;&gt;勤務統計!$D$1), 勤務統計!$D$1, ""),
        IF(AND(勤務統計!$E$1&lt;&gt;"--", IFERROR(VLOOKUP(A9,'0919門市清單主檔'!B:AH,32,FALSE),"")=勤務統計!$E$1, IFERROR(VLOOKUP(A9,勤務統計!A:S,19,FALSE),"")&lt;&gt;勤務統計!$E$1), 勤務統計!$E$1, ""),
        IF(AND(勤務統計!$F$1&lt;&gt;"--", IFERROR(VLOOKUP(A9,'0919門市清單主檔'!B:AH,33,FALSE),"")=勤務統計!$F$1, IFERROR(VLOOKUP(A9,勤務統計!A:U,21,FALSE),"")&lt;&gt;勤務統計!$F$1), 勤務統計!$F$1, ""),
        IF(AND(IFERROR(VLOOKUP(A9,'0919門市清單主檔'!B:AH,28,FALSE),"")="HUB", IFERROR(VLOOKUP(A9,勤務統計!A:W,23,FALSE),"")&lt;&gt;"HUB"), "HUB", "")
      ) &amp; "未完工",
      "已完工"
    )
  )
)</f>
        <v>未完工</v>
      </c>
      <c r="P9" s="403" t="str">
        <f>(TEXT(I9,"yyyymmdd"))&amp;勤務統計!$V$2&amp;A9&amp;勤務統計!$V$2&amp;B9&amp;勤務統計!$S$2</f>
        <v>PMQ1-3913-中和和玉店(定保)</v>
      </c>
      <c r="Q9" s="420" t="str">
        <f t="array" ref="Q9">IF(AND(SUMPRODUCT((IM!$F$2:$F$5000=A9)*(ISNUMBER(SEARCH(勤務統計!$D$1, IM!$AC$2:$AC$5000))))&gt;0), 勤務統計!$D$1, "")</f>
        <v/>
      </c>
      <c r="R9" s="421" t="str">
        <f t="array" ref="R9">IFERROR(INDEX(IM!$AM$2:$AM$5000, MATCH(1, (IM!$F$2:$F$5000=A9) * (ISNUMBER(SEARCH(勤務統計!$D$1, IM!$AC$2:$AC$5000))), 0)), "")</f>
        <v/>
      </c>
      <c r="S9" s="406" t="str" cm="1">
        <f t="array" ref="S9">IF(AND(SUMPRODUCT((IM!$F$2:$F$5000=A9)*(ISNUMBER(SEARCH(勤務統計!$E$1, IM!$AC$2:$AC$5000))))&gt;0), 勤務統計!$E$1, "")</f>
        <v/>
      </c>
      <c r="T9" s="422" t="str">
        <f t="array" ref="T9">IFERROR(INDEX(IM!$AM$2:$AM$5000, MATCH(1, (IM!$F$2:$F$5000=A9) * (ISNUMBER(SEARCH(勤務統計!$E$1, IM!$AC$2:$AC$5000))), 0)), "")</f>
        <v/>
      </c>
      <c r="U9" s="406" t="str" cm="1">
        <f t="array" ref="U9">IF(AND(SUMPRODUCT((IM!$F$2:$F$5000=A9)*(ISNUMBER(SEARCH(勤務統計!$F$1, IM!$AC$2:$AC$5000))))&gt;0), 勤務統計!$F$1, "")</f>
        <v>+721</v>
      </c>
      <c r="V9" s="413">
        <f t="array" ref="V9">IFERROR(INDEX(IM!$AM$2:$AM$5000, MATCH(1, (IM!$F$2:$F$5000=A9) * (ISNUMBER(SEARCH(勤務統計!$F$1, IM!$AC$2:$AC$5000))), 0)), "")</f>
        <v>46024</v>
      </c>
      <c r="W9" s="414" t="str">
        <f>IF(VLOOKUP(A9,'0919門市清單主檔'!B:AC,28,FALSE)=0,"",VLOOKUP(A9,'0919門市清單主檔'!B:AC,28,FALSE))</f>
        <v/>
      </c>
    </row>
    <row r="10" spans="1:23" ht="21.6" customHeight="1">
      <c r="A10" s="423">
        <v>2375</v>
      </c>
      <c r="B10" s="416" t="str">
        <f>VLOOKUP(A10,'0919門市清單主檔'!B:C,2,FALSE)</f>
        <v>桃縣桃貿店</v>
      </c>
      <c r="C10" s="415" t="str">
        <f>VLOOKUP($A10,'0919門市清單主檔'!B:V,20,FALSE)</f>
        <v>桃園市</v>
      </c>
      <c r="D10" s="410" t="str">
        <f>VLOOKUP($A10,'0919門市清單主檔'!B:V,21,FALSE)</f>
        <v>龜山區</v>
      </c>
      <c r="E10" s="397" t="str">
        <f>VLOOKUP(D10,門市狀態!G:H,2,FALSE)</f>
        <v>吳宗鴻</v>
      </c>
      <c r="F10" s="410" t="str">
        <f>IFERROR(IF(VLOOKUP(A10,門市狀態!A:D,4,FALSE)=0,"",VLOOKUP(A10,門市狀態!A:D,4,FALSE)),"")</f>
        <v/>
      </c>
      <c r="G10" s="424"/>
      <c r="H10" s="425" t="str">
        <f>IF(I10&gt;0,(TEXT(I10,"yyyymmdd")&amp;勤務統計!$V$2&amp;A10&amp;勤務統計!$V$2&amp;B10&amp;勤務統計!$S$2),"")</f>
        <v>PMQ1-2375-桃縣桃貿店(定保)</v>
      </c>
      <c r="I10" s="247" t="str">
        <f t="array" ref="I10">IF(AND(SUMPRODUCT((IM!$F$2:$F$5000=A10)*(ISNUMBER(SEARCH(勤務統計!$C$1, IM!$AC$2:$AC$5000))))&gt;0), 勤務統計!$C$1, "")</f>
        <v>PMQ1</v>
      </c>
      <c r="J10" s="399">
        <f t="array" ref="J10">IFERROR(INDEX(IM!$AM$2:$AM$5000, MATCH(1, (IM!$F$2:$F$5000=A10) * (ISNUMBER(SEARCH(勤務統計!$C$1, IM!$AC$2:$AC$5000))), 0)), "")</f>
        <v>46027</v>
      </c>
      <c r="K10" s="400">
        <f t="array" ref="K10">SUMPRODUCT((IM!$F$2:$F$5000=A10)*(IM!$AD$2:$AD$5000="O")*(ISNUMBER(SEARCH(勤務統計!$C$1, IM!$AC$2:$AC$5000))))</f>
        <v>1</v>
      </c>
      <c r="L10" s="401" t="str">
        <f t="array" ref="L10">IF(K10&gt;0,IFERROR(HYPERLINK("#'IM'!AC"&amp;MATCH(1,(IM!$F$1:$F$5000=A10)*(ISNUMBER(SEARCH(勤務統計!$C$1,IM!$AC$1:$AC$5000))),0),"檢核"),"未登錄"),"")</f>
        <v>檢核</v>
      </c>
      <c r="M10" s="402" t="str">
        <f t="shared" si="0"/>
        <v>+L90+721</v>
      </c>
      <c r="N10" s="402" t="str">
        <f t="array" ref="N10">IF(AND(
    SUMPRODUCT(
        (IM!$F$2:$F$522=A10) *
        ISNUMBER(SEARCH("*HUB*", IM!$AC$2:$AC$522)) *
        (IM!$X$2:$X$522&gt;=勤務統計!$A$1) *
        (IM!$X$2:$X$522&lt;=勤務統計!$B$1)*(W10="HUB")
    ) &gt; 0
), "HUB", "")</f>
        <v/>
      </c>
      <c r="O10" s="400" t="str">
        <f>IF(
  IFERROR(VLOOKUP(A10,勤務統計!A:I,9,FALSE),"")&lt;&gt;勤務統計!$C$1,
  "未完工",
  IF(
    AND(勤務統計!$D$1="--",勤務統計!$E$1="--",勤務統計!$F$1="--"),
    "已完工",
    IF(
      OR(
        AND(勤務統計!$D$1&lt;&gt;"--", IFERROR(VLOOKUP(A10,'0919門市清單主檔'!B:AH,31,FALSE),"")=勤務統計!$D$1, IFERROR(VLOOKUP(A10,勤務統計!A:Q,17,FALSE),"")&lt;&gt;勤務統計!$D$1),
        AND(勤務統計!$E$1&lt;&gt;"--", IFERROR(VLOOKUP(A10,'0919門市清單主檔'!B:AH,32,FALSE),"")=勤務統計!$E$1, IFERROR(VLOOKUP(A10,勤務統計!A:S,19,FALSE),"")&lt;&gt;勤務統計!$E$1),
        AND(勤務統計!$F$1&lt;&gt;"--", IFERROR(VLOOKUP(A10,'0919門市清單主檔'!B:AH,33,FALSE),"")=勤務統計!$F$1, IFERROR(VLOOKUP(A10,勤務統計!A:U,21,FALSE),"")&lt;&gt;勤務統計!$F$1),
        AND(IFERROR(VLOOKUP(A10,'0919門市清單主檔'!B:AH,28,FALSE),"")="HUB", IFERROR(VLOOKUP(A10,勤務統計!A:W,23,FALSE),"")&lt;&gt;"HUB")
      ),
      _xlfn.TEXTJOIN(
        "，",
        TRUE,
        IF(AND(勤務統計!$D$1&lt;&gt;"--", IFERROR(VLOOKUP(A10,'0919門市清單主檔'!B:AH,31,FALSE),"")=勤務統計!$D$1, IFERROR(VLOOKUP(A10,勤務統計!A:Q,17,FALSE),"")&lt;&gt;勤務統計!$D$1), 勤務統計!$D$1, ""),
        IF(AND(勤務統計!$E$1&lt;&gt;"--", IFERROR(VLOOKUP(A10,'0919門市清單主檔'!B:AH,32,FALSE),"")=勤務統計!$E$1, IFERROR(VLOOKUP(A10,勤務統計!A:S,19,FALSE),"")&lt;&gt;勤務統計!$E$1), 勤務統計!$E$1, ""),
        IF(AND(勤務統計!$F$1&lt;&gt;"--", IFERROR(VLOOKUP(A10,'0919門市清單主檔'!B:AH,33,FALSE),"")=勤務統計!$F$1, IFERROR(VLOOKUP(A10,勤務統計!A:U,21,FALSE),"")&lt;&gt;勤務統計!$F$1), 勤務統計!$F$1, ""),
        IF(AND(IFERROR(VLOOKUP(A10,'0919門市清單主檔'!B:AH,28,FALSE),"")="HUB", IFERROR(VLOOKUP(A10,勤務統計!A:W,23,FALSE),"")&lt;&gt;"HUB"), "HUB", "")
      ) &amp; "未完工",
      "已完工"
    )
  )
)</f>
        <v>未完工</v>
      </c>
      <c r="P10" s="403" t="str">
        <f>(TEXT(I10,"yyyymmdd"))&amp;勤務統計!$V$2&amp;A10&amp;勤務統計!$V$2&amp;B10&amp;勤務統計!$S$2</f>
        <v>PMQ1-2375-桃縣桃貿店(定保)</v>
      </c>
      <c r="Q10" s="420" t="str">
        <f t="array" ref="Q10">IF(AND(SUMPRODUCT((IM!$F$2:$F$5000=A10)*(ISNUMBER(SEARCH(勤務統計!$D$1, IM!$AC$2:$AC$5000))))&gt;0), 勤務統計!$D$1, "")</f>
        <v/>
      </c>
      <c r="R10" s="421" t="str">
        <f t="array" ref="R10">IFERROR(INDEX(IM!$AM$2:$AM$5000, MATCH(1, (IM!$F$2:$F$5000=A10) * (ISNUMBER(SEARCH(勤務統計!$D$1, IM!$AC$2:$AC$5000))), 0)), "")</f>
        <v/>
      </c>
      <c r="S10" s="406" t="str" cm="1">
        <f t="array" ref="S10">IF(AND(SUMPRODUCT((IM!$F$2:$F$5000=A10)*(ISNUMBER(SEARCH(勤務統計!$E$1, IM!$AC$2:$AC$5000))))&gt;0), 勤務統計!$E$1, "")</f>
        <v>+L90</v>
      </c>
      <c r="T10" s="422">
        <f t="array" ref="T10">IFERROR(INDEX(IM!$AM$2:$AM$5000, MATCH(1, (IM!$F$2:$F$5000=A10) * (ISNUMBER(SEARCH(勤務統計!$E$1, IM!$AC$2:$AC$5000))), 0)), "")</f>
        <v>46027</v>
      </c>
      <c r="U10" s="406" t="str" cm="1">
        <f t="array" ref="U10">IF(AND(SUMPRODUCT((IM!$F$2:$F$5000=A10)*(ISNUMBER(SEARCH(勤務統計!$F$1, IM!$AC$2:$AC$5000))))&gt;0), 勤務統計!$F$1, "")</f>
        <v>+721</v>
      </c>
      <c r="V10" s="413">
        <f t="array" ref="V10">IFERROR(INDEX(IM!$AM$2:$AM$5000, MATCH(1, (IM!$F$2:$F$5000=A10) * (ISNUMBER(SEARCH(勤務統計!$F$1, IM!$AC$2:$AC$5000))), 0)), "")</f>
        <v>46027</v>
      </c>
      <c r="W10" s="414" t="str">
        <f>IF(VLOOKUP(A10,'0919門市清單主檔'!B:AC,28,FALSE)=0,"",VLOOKUP(A10,'0919門市清單主檔'!B:AC,28,FALSE))</f>
        <v/>
      </c>
    </row>
    <row r="11" spans="1:23" ht="21.6" customHeight="1">
      <c r="A11" s="423">
        <v>3017</v>
      </c>
      <c r="B11" s="416" t="str">
        <f>VLOOKUP(A11,'0919門市清單主檔'!B:C,2,FALSE)</f>
        <v>龜山大同店</v>
      </c>
      <c r="C11" s="415" t="str">
        <f>VLOOKUP($A11,'0919門市清單主檔'!B:V,20,FALSE)</f>
        <v>桃園市</v>
      </c>
      <c r="D11" s="410" t="str">
        <f>VLOOKUP($A11,'0919門市清單主檔'!B:V,21,FALSE)</f>
        <v>龜山區</v>
      </c>
      <c r="E11" s="397" t="str">
        <f>VLOOKUP(D11,門市狀態!G:H,2,FALSE)</f>
        <v>吳宗鴻</v>
      </c>
      <c r="F11" s="410" t="str">
        <f>IFERROR(IF(VLOOKUP(A11,門市狀態!A:D,4,FALSE)=0,"",VLOOKUP(A11,門市狀態!A:D,4,FALSE)),"")</f>
        <v/>
      </c>
      <c r="G11" s="424"/>
      <c r="H11" s="425" t="str">
        <f>IF(I11&gt;0,(TEXT(I11,"yyyymmdd")&amp;勤務統計!$V$2&amp;A11&amp;勤務統計!$V$2&amp;B11&amp;勤務統計!$S$2),"")</f>
        <v>PMQ1-3017-龜山大同店(定保)</v>
      </c>
      <c r="I11" s="247" t="str">
        <f t="array" ref="I11">IF(AND(SUMPRODUCT((IM!$F$2:$F$5000=A11)*(ISNUMBER(SEARCH(勤務統計!$C$1, IM!$AC$2:$AC$5000))))&gt;0), 勤務統計!$C$1, "")</f>
        <v>PMQ1</v>
      </c>
      <c r="J11" s="399">
        <f t="array" ref="J11">IFERROR(INDEX(IM!$AM$2:$AM$5000, MATCH(1, (IM!$F$2:$F$5000=A11) * (ISNUMBER(SEARCH(勤務統計!$C$1, IM!$AC$2:$AC$5000))), 0)), "")</f>
        <v>46027</v>
      </c>
      <c r="K11" s="400">
        <f t="array" ref="K11">SUMPRODUCT((IM!$F$2:$F$5000=A11)*(IM!$AD$2:$AD$5000="O")*(ISNUMBER(SEARCH(勤務統計!$C$1, IM!$AC$2:$AC$5000))))</f>
        <v>1</v>
      </c>
      <c r="L11" s="401" t="str">
        <f t="array" ref="L11">IF(K11&gt;0,IFERROR(HYPERLINK("#'IM'!AC"&amp;MATCH(1,(IM!$F$1:$F$5000=A11)*(ISNUMBER(SEARCH(勤務統計!$C$1,IM!$AC$1:$AC$5000))),0),"檢核"),"未登錄"),"")</f>
        <v>檢核</v>
      </c>
      <c r="M11" s="402" t="str">
        <f t="shared" si="0"/>
        <v>+L90+721</v>
      </c>
      <c r="N11" s="402" t="str">
        <f t="array" ref="N11">IF(AND(
    SUMPRODUCT(
        (IM!$F$2:$F$522=A11) *
        ISNUMBER(SEARCH("*HUB*", IM!$AC$2:$AC$522)) *
        (IM!$X$2:$X$522&gt;=勤務統計!$A$1) *
        (IM!$X$2:$X$522&lt;=勤務統計!$B$1)*(W11="HUB")
    ) &gt; 0
), "HUB", "")</f>
        <v/>
      </c>
      <c r="O11" s="400" t="str">
        <f>IF(
  IFERROR(VLOOKUP(A11,勤務統計!A:I,9,FALSE),"")&lt;&gt;勤務統計!$C$1,
  "未完工",
  IF(
    AND(勤務統計!$D$1="--",勤務統計!$E$1="--",勤務統計!$F$1="--"),
    "已完工",
    IF(
      OR(
        AND(勤務統計!$D$1&lt;&gt;"--", IFERROR(VLOOKUP(A11,'0919門市清單主檔'!B:AH,31,FALSE),"")=勤務統計!$D$1, IFERROR(VLOOKUP(A11,勤務統計!A:Q,17,FALSE),"")&lt;&gt;勤務統計!$D$1),
        AND(勤務統計!$E$1&lt;&gt;"--", IFERROR(VLOOKUP(A11,'0919門市清單主檔'!B:AH,32,FALSE),"")=勤務統計!$E$1, IFERROR(VLOOKUP(A11,勤務統計!A:S,19,FALSE),"")&lt;&gt;勤務統計!$E$1),
        AND(勤務統計!$F$1&lt;&gt;"--", IFERROR(VLOOKUP(A11,'0919門市清單主檔'!B:AH,33,FALSE),"")=勤務統計!$F$1, IFERROR(VLOOKUP(A11,勤務統計!A:U,21,FALSE),"")&lt;&gt;勤務統計!$F$1),
        AND(IFERROR(VLOOKUP(A11,'0919門市清單主檔'!B:AH,28,FALSE),"")="HUB", IFERROR(VLOOKUP(A11,勤務統計!A:W,23,FALSE),"")&lt;&gt;"HUB")
      ),
      _xlfn.TEXTJOIN(
        "，",
        TRUE,
        IF(AND(勤務統計!$D$1&lt;&gt;"--", IFERROR(VLOOKUP(A11,'0919門市清單主檔'!B:AH,31,FALSE),"")=勤務統計!$D$1, IFERROR(VLOOKUP(A11,勤務統計!A:Q,17,FALSE),"")&lt;&gt;勤務統計!$D$1), 勤務統計!$D$1, ""),
        IF(AND(勤務統計!$E$1&lt;&gt;"--", IFERROR(VLOOKUP(A11,'0919門市清單主檔'!B:AH,32,FALSE),"")=勤務統計!$E$1, IFERROR(VLOOKUP(A11,勤務統計!A:S,19,FALSE),"")&lt;&gt;勤務統計!$E$1), 勤務統計!$E$1, ""),
        IF(AND(勤務統計!$F$1&lt;&gt;"--", IFERROR(VLOOKUP(A11,'0919門市清單主檔'!B:AH,33,FALSE),"")=勤務統計!$F$1, IFERROR(VLOOKUP(A11,勤務統計!A:U,21,FALSE),"")&lt;&gt;勤務統計!$F$1), 勤務統計!$F$1, ""),
        IF(AND(IFERROR(VLOOKUP(A11,'0919門市清單主檔'!B:AH,28,FALSE),"")="HUB", IFERROR(VLOOKUP(A11,勤務統計!A:W,23,FALSE),"")&lt;&gt;"HUB"), "HUB", "")
      ) &amp; "未完工",
      "已完工"
    )
  )
)</f>
        <v>未完工</v>
      </c>
      <c r="P11" s="403" t="str">
        <f>(TEXT(I11,"yyyymmdd"))&amp;勤務統計!$V$2&amp;A11&amp;勤務統計!$V$2&amp;B11&amp;勤務統計!$S$2</f>
        <v>PMQ1-3017-龜山大同店(定保)</v>
      </c>
      <c r="Q11" s="420" t="str">
        <f t="array" ref="Q11">IF(AND(SUMPRODUCT((IM!$F$2:$F$5000=A11)*(ISNUMBER(SEARCH(勤務統計!$D$1, IM!$AC$2:$AC$5000))))&gt;0), 勤務統計!$D$1, "")</f>
        <v/>
      </c>
      <c r="R11" s="421" t="str">
        <f t="array" ref="R11">IFERROR(INDEX(IM!$AM$2:$AM$5000, MATCH(1, (IM!$F$2:$F$5000=A11) * (ISNUMBER(SEARCH(勤務統計!$D$1, IM!$AC$2:$AC$5000))), 0)), "")</f>
        <v/>
      </c>
      <c r="S11" s="406" t="str" cm="1">
        <f t="array" ref="S11">IF(AND(SUMPRODUCT((IM!$F$2:$F$5000=A11)*(ISNUMBER(SEARCH(勤務統計!$E$1, IM!$AC$2:$AC$5000))))&gt;0), 勤務統計!$E$1, "")</f>
        <v>+L90</v>
      </c>
      <c r="T11" s="422">
        <f t="array" ref="T11">IFERROR(INDEX(IM!$AM$2:$AM$5000, MATCH(1, (IM!$F$2:$F$5000=A11) * (ISNUMBER(SEARCH(勤務統計!$E$1, IM!$AC$2:$AC$5000))), 0)), "")</f>
        <v>46027</v>
      </c>
      <c r="U11" s="406" t="str" cm="1">
        <f t="array" ref="U11">IF(AND(SUMPRODUCT((IM!$F$2:$F$5000=A11)*(ISNUMBER(SEARCH(勤務統計!$F$1, IM!$AC$2:$AC$5000))))&gt;0), 勤務統計!$F$1, "")</f>
        <v>+721</v>
      </c>
      <c r="V11" s="413">
        <f t="array" ref="V11">IFERROR(INDEX(IM!$AM$2:$AM$5000, MATCH(1, (IM!$F$2:$F$5000=A11) * (ISNUMBER(SEARCH(勤務統計!$F$1, IM!$AC$2:$AC$5000))), 0)), "")</f>
        <v>46027</v>
      </c>
      <c r="W11" s="414" t="str">
        <f>IF(VLOOKUP(A11,'0919門市清單主檔'!B:AC,28,FALSE)=0,"",VLOOKUP(A11,'0919門市清單主檔'!B:AC,28,FALSE))</f>
        <v/>
      </c>
    </row>
    <row r="12" spans="1:23" ht="21.6" customHeight="1">
      <c r="A12" s="423">
        <v>4690</v>
      </c>
      <c r="B12" s="416" t="str">
        <f>VLOOKUP(A12,'0919門市清單主檔'!B:C,2,FALSE)</f>
        <v>龜山同福店</v>
      </c>
      <c r="C12" s="415" t="str">
        <f>VLOOKUP($A12,'0919門市清單主檔'!B:V,20,FALSE)</f>
        <v>桃園市</v>
      </c>
      <c r="D12" s="410" t="str">
        <f>VLOOKUP($A12,'0919門市清單主檔'!B:V,21,FALSE)</f>
        <v>蘆竹區</v>
      </c>
      <c r="E12" s="397" t="str">
        <f>VLOOKUP(D12,門市狀態!G:H,2,FALSE)</f>
        <v>吳宗鴻</v>
      </c>
      <c r="F12" s="410" t="str">
        <f>IFERROR(IF(VLOOKUP(A12,門市狀態!A:D,4,FALSE)=0,"",VLOOKUP(A12,門市狀態!A:D,4,FALSE)),"")</f>
        <v/>
      </c>
      <c r="G12" s="424"/>
      <c r="H12" s="425" t="str">
        <f>IF(I12&gt;0,(TEXT(I12,"yyyymmdd")&amp;勤務統計!$V$2&amp;A12&amp;勤務統計!$V$2&amp;B12&amp;勤務統計!$S$2),"")</f>
        <v>PMQ1-4690-龜山同福店(定保)</v>
      </c>
      <c r="I12" s="247" t="str">
        <f t="array" ref="I12">IF(AND(SUMPRODUCT((IM!$F$2:$F$5000=A12)*(ISNUMBER(SEARCH(勤務統計!$C$1, IM!$AC$2:$AC$5000))))&gt;0), 勤務統計!$C$1, "")</f>
        <v>PMQ1</v>
      </c>
      <c r="J12" s="399">
        <f t="array" ref="J12">IFERROR(INDEX(IM!$AM$2:$AM$5000, MATCH(1, (IM!$F$2:$F$5000=A12) * (ISNUMBER(SEARCH(勤務統計!$C$1, IM!$AC$2:$AC$5000))), 0)), "")</f>
        <v>46027</v>
      </c>
      <c r="K12" s="400">
        <f t="array" ref="K12">SUMPRODUCT((IM!$F$2:$F$5000=A12)*(IM!$AD$2:$AD$5000="O")*(ISNUMBER(SEARCH(勤務統計!$C$1, IM!$AC$2:$AC$5000))))</f>
        <v>1</v>
      </c>
      <c r="L12" s="401" t="str">
        <f t="array" ref="L12">IF(K12&gt;0,IFERROR(HYPERLINK("#'IM'!AC"&amp;MATCH(1,(IM!$F$1:$F$5000=A12)*(ISNUMBER(SEARCH(勤務統計!$C$1,IM!$AC$1:$AC$5000))),0),"檢核"),"未登錄"),"")</f>
        <v>檢核</v>
      </c>
      <c r="M12" s="402" t="str">
        <f t="shared" si="0"/>
        <v>+L90+721</v>
      </c>
      <c r="N12" s="402" t="str">
        <f t="array" ref="N12">IF(AND(
    SUMPRODUCT(
        (IM!$F$2:$F$522=A12) *
        ISNUMBER(SEARCH("*HUB*", IM!$AC$2:$AC$522)) *
        (IM!$X$2:$X$522&gt;=勤務統計!$A$1) *
        (IM!$X$2:$X$522&lt;=勤務統計!$B$1)*(W12="HUB")
    ) &gt; 0
), "HUB", "")</f>
        <v/>
      </c>
      <c r="O12" s="400" t="str">
        <f>IF(
  IFERROR(VLOOKUP(A12,勤務統計!A:I,9,FALSE),"")&lt;&gt;勤務統計!$C$1,
  "未完工",
  IF(
    AND(勤務統計!$D$1="--",勤務統計!$E$1="--",勤務統計!$F$1="--"),
    "已完工",
    IF(
      OR(
        AND(勤務統計!$D$1&lt;&gt;"--", IFERROR(VLOOKUP(A12,'0919門市清單主檔'!B:AH,31,FALSE),"")=勤務統計!$D$1, IFERROR(VLOOKUP(A12,勤務統計!A:Q,17,FALSE),"")&lt;&gt;勤務統計!$D$1),
        AND(勤務統計!$E$1&lt;&gt;"--", IFERROR(VLOOKUP(A12,'0919門市清單主檔'!B:AH,32,FALSE),"")=勤務統計!$E$1, IFERROR(VLOOKUP(A12,勤務統計!A:S,19,FALSE),"")&lt;&gt;勤務統計!$E$1),
        AND(勤務統計!$F$1&lt;&gt;"--", IFERROR(VLOOKUP(A12,'0919門市清單主檔'!B:AH,33,FALSE),"")=勤務統計!$F$1, IFERROR(VLOOKUP(A12,勤務統計!A:U,21,FALSE),"")&lt;&gt;勤務統計!$F$1),
        AND(IFERROR(VLOOKUP(A12,'0919門市清單主檔'!B:AH,28,FALSE),"")="HUB", IFERROR(VLOOKUP(A12,勤務統計!A:W,23,FALSE),"")&lt;&gt;"HUB")
      ),
      _xlfn.TEXTJOIN(
        "，",
        TRUE,
        IF(AND(勤務統計!$D$1&lt;&gt;"--", IFERROR(VLOOKUP(A12,'0919門市清單主檔'!B:AH,31,FALSE),"")=勤務統計!$D$1, IFERROR(VLOOKUP(A12,勤務統計!A:Q,17,FALSE),"")&lt;&gt;勤務統計!$D$1), 勤務統計!$D$1, ""),
        IF(AND(勤務統計!$E$1&lt;&gt;"--", IFERROR(VLOOKUP(A12,'0919門市清單主檔'!B:AH,32,FALSE),"")=勤務統計!$E$1, IFERROR(VLOOKUP(A12,勤務統計!A:S,19,FALSE),"")&lt;&gt;勤務統計!$E$1), 勤務統計!$E$1, ""),
        IF(AND(勤務統計!$F$1&lt;&gt;"--", IFERROR(VLOOKUP(A12,'0919門市清單主檔'!B:AH,33,FALSE),"")=勤務統計!$F$1, IFERROR(VLOOKUP(A12,勤務統計!A:U,21,FALSE),"")&lt;&gt;勤務統計!$F$1), 勤務統計!$F$1, ""),
        IF(AND(IFERROR(VLOOKUP(A12,'0919門市清單主檔'!B:AH,28,FALSE),"")="HUB", IFERROR(VLOOKUP(A12,勤務統計!A:W,23,FALSE),"")&lt;&gt;"HUB"), "HUB", "")
      ) &amp; "未完工",
      "已完工"
    )
  )
)</f>
        <v>未完工</v>
      </c>
      <c r="P12" s="403" t="str">
        <f>(TEXT(I12,"yyyymmdd"))&amp;勤務統計!$V$2&amp;A12&amp;勤務統計!$V$2&amp;B12&amp;勤務統計!$S$2</f>
        <v>PMQ1-4690-龜山同福店(定保)</v>
      </c>
      <c r="Q12" s="420" t="str">
        <f t="array" ref="Q12">IF(AND(SUMPRODUCT((IM!$F$2:$F$5000=A12)*(ISNUMBER(SEARCH(勤務統計!$D$1, IM!$AC$2:$AC$5000))))&gt;0), 勤務統計!$D$1, "")</f>
        <v/>
      </c>
      <c r="R12" s="421" t="str">
        <f t="array" ref="R12">IFERROR(INDEX(IM!$AM$2:$AM$5000, MATCH(1, (IM!$F$2:$F$5000=A12) * (ISNUMBER(SEARCH(勤務統計!$D$1, IM!$AC$2:$AC$5000))), 0)), "")</f>
        <v/>
      </c>
      <c r="S12" s="406" t="str" cm="1">
        <f t="array" ref="S12">IF(AND(SUMPRODUCT((IM!$F$2:$F$5000=A12)*(ISNUMBER(SEARCH(勤務統計!$E$1, IM!$AC$2:$AC$5000))))&gt;0), 勤務統計!$E$1, "")</f>
        <v>+L90</v>
      </c>
      <c r="T12" s="422">
        <f t="array" ref="T12">IFERROR(INDEX(IM!$AM$2:$AM$5000, MATCH(1, (IM!$F$2:$F$5000=A12) * (ISNUMBER(SEARCH(勤務統計!$E$1, IM!$AC$2:$AC$5000))), 0)), "")</f>
        <v>46027</v>
      </c>
      <c r="U12" s="406" t="str" cm="1">
        <f t="array" ref="U12">IF(AND(SUMPRODUCT((IM!$F$2:$F$5000=A12)*(ISNUMBER(SEARCH(勤務統計!$F$1, IM!$AC$2:$AC$5000))))&gt;0), 勤務統計!$F$1, "")</f>
        <v>+721</v>
      </c>
      <c r="V12" s="413">
        <f t="array" ref="V12">IFERROR(INDEX(IM!$AM$2:$AM$5000, MATCH(1, (IM!$F$2:$F$5000=A12) * (ISNUMBER(SEARCH(勤務統計!$F$1, IM!$AC$2:$AC$5000))), 0)), "")</f>
        <v>46027</v>
      </c>
      <c r="W12" s="414" t="str">
        <f>IF(VLOOKUP(A12,'0919門市清單主檔'!B:AC,28,FALSE)=0,"",VLOOKUP(A12,'0919門市清單主檔'!B:AC,28,FALSE))</f>
        <v/>
      </c>
    </row>
    <row r="13" spans="1:23" ht="21.6" customHeight="1">
      <c r="A13" s="423">
        <v>4825</v>
      </c>
      <c r="B13" s="416" t="str">
        <f>VLOOKUP(A13,'0919門市清單主檔'!B:C,2,FALSE)</f>
        <v>龜山兔子坑</v>
      </c>
      <c r="C13" s="415" t="str">
        <f>VLOOKUP($A13,'0919門市清單主檔'!B:V,20,FALSE)</f>
        <v>桃園市</v>
      </c>
      <c r="D13" s="410" t="str">
        <f>VLOOKUP($A13,'0919門市清單主檔'!B:V,21,FALSE)</f>
        <v>蘆竹區</v>
      </c>
      <c r="E13" s="397" t="str">
        <f>VLOOKUP(D13,門市狀態!G:H,2,FALSE)</f>
        <v>吳宗鴻</v>
      </c>
      <c r="F13" s="410" t="str">
        <f>IFERROR(IF(VLOOKUP(A13,門市狀態!A:D,4,FALSE)=0,"",VLOOKUP(A13,門市狀態!A:D,4,FALSE)),"")</f>
        <v/>
      </c>
      <c r="G13" s="424"/>
      <c r="H13" s="425" t="str">
        <f>IF(I13&gt;0,(TEXT(I13,"yyyymmdd")&amp;勤務統計!$V$2&amp;A13&amp;勤務統計!$V$2&amp;B13&amp;勤務統計!$S$2),"")</f>
        <v>PMQ1-4825-龜山兔子坑(定保)</v>
      </c>
      <c r="I13" s="247" t="str">
        <f t="array" ref="I13">IF(AND(SUMPRODUCT((IM!$F$2:$F$5000=A13)*(ISNUMBER(SEARCH(勤務統計!$C$1, IM!$AC$2:$AC$5000))))&gt;0), 勤務統計!$C$1, "")</f>
        <v>PMQ1</v>
      </c>
      <c r="J13" s="399">
        <f t="array" ref="J13">IFERROR(INDEX(IM!$AM$2:$AM$5000, MATCH(1, (IM!$F$2:$F$5000=A13) * (ISNUMBER(SEARCH(勤務統計!$C$1, IM!$AC$2:$AC$5000))), 0)), "")</f>
        <v>46027</v>
      </c>
      <c r="K13" s="400">
        <f t="array" ref="K13">SUMPRODUCT((IM!$F$2:$F$5000=A13)*(IM!$AD$2:$AD$5000="O")*(ISNUMBER(SEARCH(勤務統計!$C$1, IM!$AC$2:$AC$5000))))</f>
        <v>1</v>
      </c>
      <c r="L13" s="401" t="str">
        <f t="array" ref="L13">IF(K13&gt;0,IFERROR(HYPERLINK("#'IM'!AC"&amp;MATCH(1,(IM!$F$1:$F$5000=A13)*(ISNUMBER(SEARCH(勤務統計!$C$1,IM!$AC$1:$AC$5000))),0),"檢核"),"未登錄"),"")</f>
        <v>檢核</v>
      </c>
      <c r="M13" s="402" t="str">
        <f t="shared" si="0"/>
        <v>+L90+721</v>
      </c>
      <c r="N13" s="402" t="str">
        <f t="array" ref="N13">IF(AND(
    SUMPRODUCT(
        (IM!$F$2:$F$522=A13) *
        ISNUMBER(SEARCH("*HUB*", IM!$AC$2:$AC$522)) *
        (IM!$X$2:$X$522&gt;=勤務統計!$A$1) *
        (IM!$X$2:$X$522&lt;=勤務統計!$B$1)*(W13="HUB")
    ) &gt; 0
), "HUB", "")</f>
        <v/>
      </c>
      <c r="O13" s="400" t="str">
        <f>IF(
  IFERROR(VLOOKUP(A13,勤務統計!A:I,9,FALSE),"")&lt;&gt;勤務統計!$C$1,
  "未完工",
  IF(
    AND(勤務統計!$D$1="--",勤務統計!$E$1="--",勤務統計!$F$1="--"),
    "已完工",
    IF(
      OR(
        AND(勤務統計!$D$1&lt;&gt;"--", IFERROR(VLOOKUP(A13,'0919門市清單主檔'!B:AH,31,FALSE),"")=勤務統計!$D$1, IFERROR(VLOOKUP(A13,勤務統計!A:Q,17,FALSE),"")&lt;&gt;勤務統計!$D$1),
        AND(勤務統計!$E$1&lt;&gt;"--", IFERROR(VLOOKUP(A13,'0919門市清單主檔'!B:AH,32,FALSE),"")=勤務統計!$E$1, IFERROR(VLOOKUP(A13,勤務統計!A:S,19,FALSE),"")&lt;&gt;勤務統計!$E$1),
        AND(勤務統計!$F$1&lt;&gt;"--", IFERROR(VLOOKUP(A13,'0919門市清單主檔'!B:AH,33,FALSE),"")=勤務統計!$F$1, IFERROR(VLOOKUP(A13,勤務統計!A:U,21,FALSE),"")&lt;&gt;勤務統計!$F$1),
        AND(IFERROR(VLOOKUP(A13,'0919門市清單主檔'!B:AH,28,FALSE),"")="HUB", IFERROR(VLOOKUP(A13,勤務統計!A:W,23,FALSE),"")&lt;&gt;"HUB")
      ),
      _xlfn.TEXTJOIN(
        "，",
        TRUE,
        IF(AND(勤務統計!$D$1&lt;&gt;"--", IFERROR(VLOOKUP(A13,'0919門市清單主檔'!B:AH,31,FALSE),"")=勤務統計!$D$1, IFERROR(VLOOKUP(A13,勤務統計!A:Q,17,FALSE),"")&lt;&gt;勤務統計!$D$1), 勤務統計!$D$1, ""),
        IF(AND(勤務統計!$E$1&lt;&gt;"--", IFERROR(VLOOKUP(A13,'0919門市清單主檔'!B:AH,32,FALSE),"")=勤務統計!$E$1, IFERROR(VLOOKUP(A13,勤務統計!A:S,19,FALSE),"")&lt;&gt;勤務統計!$E$1), 勤務統計!$E$1, ""),
        IF(AND(勤務統計!$F$1&lt;&gt;"--", IFERROR(VLOOKUP(A13,'0919門市清單主檔'!B:AH,33,FALSE),"")=勤務統計!$F$1, IFERROR(VLOOKUP(A13,勤務統計!A:U,21,FALSE),"")&lt;&gt;勤務統計!$F$1), 勤務統計!$F$1, ""),
        IF(AND(IFERROR(VLOOKUP(A13,'0919門市清單主檔'!B:AH,28,FALSE),"")="HUB", IFERROR(VLOOKUP(A13,勤務統計!A:W,23,FALSE),"")&lt;&gt;"HUB"), "HUB", "")
      ) &amp; "未完工",
      "已完工"
    )
  )
)</f>
        <v>未完工</v>
      </c>
      <c r="P13" s="403" t="str">
        <f>(TEXT(I13,"yyyymmdd"))&amp;勤務統計!$V$2&amp;A13&amp;勤務統計!$V$2&amp;B13&amp;勤務統計!$S$2</f>
        <v>PMQ1-4825-龜山兔子坑(定保)</v>
      </c>
      <c r="Q13" s="420" t="str">
        <f t="array" ref="Q13">IF(AND(SUMPRODUCT((IM!$F$2:$F$5000=A13)*(ISNUMBER(SEARCH(勤務統計!$D$1, IM!$AC$2:$AC$5000))))&gt;0), 勤務統計!$D$1, "")</f>
        <v/>
      </c>
      <c r="R13" s="421" t="str">
        <f t="array" ref="R13">IFERROR(INDEX(IM!$AM$2:$AM$5000, MATCH(1, (IM!$F$2:$F$5000=A13) * (ISNUMBER(SEARCH(勤務統計!$D$1, IM!$AC$2:$AC$5000))), 0)), "")</f>
        <v/>
      </c>
      <c r="S13" s="406" t="str" cm="1">
        <f t="array" ref="S13">IF(AND(SUMPRODUCT((IM!$F$2:$F$5000=A13)*(ISNUMBER(SEARCH(勤務統計!$E$1, IM!$AC$2:$AC$5000))))&gt;0), 勤務統計!$E$1, "")</f>
        <v>+L90</v>
      </c>
      <c r="T13" s="422">
        <f t="array" ref="T13">IFERROR(INDEX(IM!$AM$2:$AM$5000, MATCH(1, (IM!$F$2:$F$5000=A13) * (ISNUMBER(SEARCH(勤務統計!$E$1, IM!$AC$2:$AC$5000))), 0)), "")</f>
        <v>46027</v>
      </c>
      <c r="U13" s="406" t="str" cm="1">
        <f t="array" ref="U13">IF(AND(SUMPRODUCT((IM!$F$2:$F$5000=A13)*(ISNUMBER(SEARCH(勤務統計!$F$1, IM!$AC$2:$AC$5000))))&gt;0), 勤務統計!$F$1, "")</f>
        <v>+721</v>
      </c>
      <c r="V13" s="413">
        <f t="array" ref="V13">IFERROR(INDEX(IM!$AM$2:$AM$5000, MATCH(1, (IM!$F$2:$F$5000=A13) * (ISNUMBER(SEARCH(勤務統計!$F$1, IM!$AC$2:$AC$5000))), 0)), "")</f>
        <v>46027</v>
      </c>
      <c r="W13" s="414" t="str">
        <f>IF(VLOOKUP(A13,'0919門市清單主檔'!B:AC,28,FALSE)=0,"",VLOOKUP(A13,'0919門市清單主檔'!B:AC,28,FALSE))</f>
        <v/>
      </c>
    </row>
    <row r="14" spans="1:23" ht="21.6" customHeight="1">
      <c r="A14" s="423">
        <v>5162</v>
      </c>
      <c r="B14" s="416" t="str">
        <f>VLOOKUP(A14,'0919門市清單主檔'!B:C,2,FALSE)</f>
        <v>龜山茶專店</v>
      </c>
      <c r="C14" s="415" t="str">
        <f>VLOOKUP($A14,'0919門市清單主檔'!B:V,20,FALSE)</f>
        <v>桃園市</v>
      </c>
      <c r="D14" s="410" t="str">
        <f>VLOOKUP($A14,'0919門市清單主檔'!B:V,21,FALSE)</f>
        <v>蘆竹區</v>
      </c>
      <c r="E14" s="397" t="str">
        <f>VLOOKUP(D14,門市狀態!G:H,2,FALSE)</f>
        <v>吳宗鴻</v>
      </c>
      <c r="F14" s="410" t="str">
        <f>IFERROR(IF(VLOOKUP(A14,門市狀態!A:D,4,FALSE)=0,"",VLOOKUP(A14,門市狀態!A:D,4,FALSE)),"")</f>
        <v/>
      </c>
      <c r="G14" s="424"/>
      <c r="H14" s="425" t="str">
        <f>IF(I14&gt;0,(TEXT(I14,"yyyymmdd")&amp;勤務統計!$V$2&amp;A14&amp;勤務統計!$V$2&amp;B14&amp;勤務統計!$S$2),"")</f>
        <v>PMQ1-5162-龜山茶專店(定保)</v>
      </c>
      <c r="I14" s="247" t="str">
        <f t="array" ref="I14">IF(AND(SUMPRODUCT((IM!$F$2:$F$5000=A14)*(ISNUMBER(SEARCH(勤務統計!$C$1, IM!$AC$2:$AC$5000))))&gt;0), 勤務統計!$C$1, "")</f>
        <v>PMQ1</v>
      </c>
      <c r="J14" s="399">
        <f t="array" ref="J14">IFERROR(INDEX(IM!$AM$2:$AM$5000, MATCH(1, (IM!$F$2:$F$5000=A14) * (ISNUMBER(SEARCH(勤務統計!$C$1, IM!$AC$2:$AC$5000))), 0)), "")</f>
        <v>46027</v>
      </c>
      <c r="K14" s="400">
        <f t="array" ref="K14">SUMPRODUCT((IM!$F$2:$F$5000=A14)*(IM!$AD$2:$AD$5000="O")*(ISNUMBER(SEARCH(勤務統計!$C$1, IM!$AC$2:$AC$5000))))</f>
        <v>1</v>
      </c>
      <c r="L14" s="401" t="str">
        <f t="array" ref="L14">IF(K14&gt;0,IFERROR(HYPERLINK("#'IM'!AC"&amp;MATCH(1,(IM!$F$1:$F$5000=A14)*(ISNUMBER(SEARCH(勤務統計!$C$1,IM!$AC$1:$AC$5000))),0),"檢核"),"未登錄"),"")</f>
        <v>檢核</v>
      </c>
      <c r="M14" s="402" t="str">
        <f t="shared" si="0"/>
        <v>+L90+721</v>
      </c>
      <c r="N14" s="402" t="str">
        <f t="array" ref="N14">IF(AND(
    SUMPRODUCT(
        (IM!$F$2:$F$522=A14) *
        ISNUMBER(SEARCH("*HUB*", IM!$AC$2:$AC$522)) *
        (IM!$X$2:$X$522&gt;=勤務統計!$A$1) *
        (IM!$X$2:$X$522&lt;=勤務統計!$B$1)*(W14="HUB")
    ) &gt; 0
), "HUB", "")</f>
        <v/>
      </c>
      <c r="O14" s="400" t="str">
        <f>IF(
  IFERROR(VLOOKUP(A14,勤務統計!A:I,9,FALSE),"")&lt;&gt;勤務統計!$C$1,
  "未完工",
  IF(
    AND(勤務統計!$D$1="--",勤務統計!$E$1="--",勤務統計!$F$1="--"),
    "已完工",
    IF(
      OR(
        AND(勤務統計!$D$1&lt;&gt;"--", IFERROR(VLOOKUP(A14,'0919門市清單主檔'!B:AH,31,FALSE),"")=勤務統計!$D$1, IFERROR(VLOOKUP(A14,勤務統計!A:Q,17,FALSE),"")&lt;&gt;勤務統計!$D$1),
        AND(勤務統計!$E$1&lt;&gt;"--", IFERROR(VLOOKUP(A14,'0919門市清單主檔'!B:AH,32,FALSE),"")=勤務統計!$E$1, IFERROR(VLOOKUP(A14,勤務統計!A:S,19,FALSE),"")&lt;&gt;勤務統計!$E$1),
        AND(勤務統計!$F$1&lt;&gt;"--", IFERROR(VLOOKUP(A14,'0919門市清單主檔'!B:AH,33,FALSE),"")=勤務統計!$F$1, IFERROR(VLOOKUP(A14,勤務統計!A:U,21,FALSE),"")&lt;&gt;勤務統計!$F$1),
        AND(IFERROR(VLOOKUP(A14,'0919門市清單主檔'!B:AH,28,FALSE),"")="HUB", IFERROR(VLOOKUP(A14,勤務統計!A:W,23,FALSE),"")&lt;&gt;"HUB")
      ),
      _xlfn.TEXTJOIN(
        "，",
        TRUE,
        IF(AND(勤務統計!$D$1&lt;&gt;"--", IFERROR(VLOOKUP(A14,'0919門市清單主檔'!B:AH,31,FALSE),"")=勤務統計!$D$1, IFERROR(VLOOKUP(A14,勤務統計!A:Q,17,FALSE),"")&lt;&gt;勤務統計!$D$1), 勤務統計!$D$1, ""),
        IF(AND(勤務統計!$E$1&lt;&gt;"--", IFERROR(VLOOKUP(A14,'0919門市清單主檔'!B:AH,32,FALSE),"")=勤務統計!$E$1, IFERROR(VLOOKUP(A14,勤務統計!A:S,19,FALSE),"")&lt;&gt;勤務統計!$E$1), 勤務統計!$E$1, ""),
        IF(AND(勤務統計!$F$1&lt;&gt;"--", IFERROR(VLOOKUP(A14,'0919門市清單主檔'!B:AH,33,FALSE),"")=勤務統計!$F$1, IFERROR(VLOOKUP(A14,勤務統計!A:U,21,FALSE),"")&lt;&gt;勤務統計!$F$1), 勤務統計!$F$1, ""),
        IF(AND(IFERROR(VLOOKUP(A14,'0919門市清單主檔'!B:AH,28,FALSE),"")="HUB", IFERROR(VLOOKUP(A14,勤務統計!A:W,23,FALSE),"")&lt;&gt;"HUB"), "HUB", "")
      ) &amp; "未完工",
      "已完工"
    )
  )
)</f>
        <v>未完工</v>
      </c>
      <c r="P14" s="403" t="str">
        <f>(TEXT(I14,"yyyymmdd"))&amp;勤務統計!$V$2&amp;A14&amp;勤務統計!$V$2&amp;B14&amp;勤務統計!$S$2</f>
        <v>PMQ1-5162-龜山茶專店(定保)</v>
      </c>
      <c r="Q14" s="420" t="str">
        <f t="array" ref="Q14">IF(AND(SUMPRODUCT((IM!$F$2:$F$5000=A14)*(ISNUMBER(SEARCH(勤務統計!$D$1, IM!$AC$2:$AC$5000))))&gt;0), 勤務統計!$D$1, "")</f>
        <v/>
      </c>
      <c r="R14" s="421" t="str">
        <f t="array" ref="R14">IFERROR(INDEX(IM!$AM$2:$AM$5000, MATCH(1, (IM!$F$2:$F$5000=A14) * (ISNUMBER(SEARCH(勤務統計!$D$1, IM!$AC$2:$AC$5000))), 0)), "")</f>
        <v/>
      </c>
      <c r="S14" s="406" t="str" cm="1">
        <f t="array" ref="S14">IF(AND(SUMPRODUCT((IM!$F$2:$F$5000=A14)*(ISNUMBER(SEARCH(勤務統計!$E$1, IM!$AC$2:$AC$5000))))&gt;0), 勤務統計!$E$1, "")</f>
        <v>+L90</v>
      </c>
      <c r="T14" s="422">
        <f t="array" ref="T14">IFERROR(INDEX(IM!$AM$2:$AM$5000, MATCH(1, (IM!$F$2:$F$5000=A14) * (ISNUMBER(SEARCH(勤務統計!$E$1, IM!$AC$2:$AC$5000))), 0)), "")</f>
        <v>46027</v>
      </c>
      <c r="U14" s="406" t="str" cm="1">
        <f t="array" ref="U14">IF(AND(SUMPRODUCT((IM!$F$2:$F$5000=A14)*(ISNUMBER(SEARCH(勤務統計!$F$1, IM!$AC$2:$AC$5000))))&gt;0), 勤務統計!$F$1, "")</f>
        <v>+721</v>
      </c>
      <c r="V14" s="413">
        <f t="array" ref="V14">IFERROR(INDEX(IM!$AM$2:$AM$5000, MATCH(1, (IM!$F$2:$F$5000=A14) * (ISNUMBER(SEARCH(勤務統計!$F$1, IM!$AC$2:$AC$5000))), 0)), "")</f>
        <v>46027</v>
      </c>
      <c r="W14" s="414" t="str">
        <f>IF(VLOOKUP(A14,'0919門市清單主檔'!B:AC,28,FALSE)=0,"",VLOOKUP(A14,'0919門市清單主檔'!B:AC,28,FALSE))</f>
        <v/>
      </c>
    </row>
    <row r="15" spans="1:23" ht="21.6" customHeight="1">
      <c r="A15" s="423">
        <v>3890</v>
      </c>
      <c r="B15" s="416" t="str">
        <f>VLOOKUP(A15,'0919門市清單主檔'!B:C,2,FALSE)</f>
        <v>三重美堤店</v>
      </c>
      <c r="C15" s="415" t="str">
        <f>VLOOKUP($A15,'0919門市清單主檔'!B:V,20,FALSE)</f>
        <v>新北市</v>
      </c>
      <c r="D15" s="410" t="str">
        <f>VLOOKUP($A15,'0919門市清單主檔'!B:V,21,FALSE)</f>
        <v>三重區</v>
      </c>
      <c r="E15" s="397" t="str">
        <f>VLOOKUP(D15,門市狀態!G:H,2,FALSE)</f>
        <v>劉柏均</v>
      </c>
      <c r="F15" s="410" t="str">
        <f>IFERROR(IF(VLOOKUP(A15,門市狀態!A:D,4,FALSE)=0,"",VLOOKUP(A15,門市狀態!A:D,4,FALSE)),"")</f>
        <v/>
      </c>
      <c r="G15" s="424"/>
      <c r="H15" s="425" t="str">
        <f>IF(I15&gt;0,(TEXT(I15,"yyyymmdd")&amp;勤務統計!$V$2&amp;A15&amp;勤務統計!$V$2&amp;B15&amp;勤務統計!$S$2),"")</f>
        <v>PMQ1-3890-三重美堤店(定保)</v>
      </c>
      <c r="I15" s="247" t="str">
        <f t="array" ref="I15">IF(AND(SUMPRODUCT((IM!$F$2:$F$5000=A15)*(ISNUMBER(SEARCH(勤務統計!$C$1, IM!$AC$2:$AC$5000))))&gt;0), 勤務統計!$C$1, "")</f>
        <v>PMQ1</v>
      </c>
      <c r="J15" s="399">
        <f t="array" ref="J15">IFERROR(INDEX(IM!$AM$2:$AM$5000, MATCH(1, (IM!$F$2:$F$5000=A15) * (ISNUMBER(SEARCH(勤務統計!$C$1, IM!$AC$2:$AC$5000))), 0)), "")</f>
        <v>46028</v>
      </c>
      <c r="K15" s="400">
        <f t="array" ref="K15">SUMPRODUCT((IM!$F$2:$F$5000=A15)*(IM!$AD$2:$AD$5000="O")*(ISNUMBER(SEARCH(勤務統計!$C$1, IM!$AC$2:$AC$5000))))</f>
        <v>1</v>
      </c>
      <c r="L15" s="401" t="str">
        <f t="array" ref="L15">IF(K15&gt;0,IFERROR(HYPERLINK("#'IM'!AC"&amp;MATCH(1,(IM!$F$1:$F$5000=A15)*(ISNUMBER(SEARCH(勤務統計!$C$1,IM!$AC$1:$AC$5000))),0),"檢核"),"未登錄"),"")</f>
        <v>檢核</v>
      </c>
      <c r="M15" s="402" t="str">
        <f t="shared" si="0"/>
        <v>+L90+721</v>
      </c>
      <c r="N15" s="402" t="str">
        <f t="array" ref="N15">IF(AND(
    SUMPRODUCT(
        (IM!$F$2:$F$522=A15) *
        ISNUMBER(SEARCH("*HUB*", IM!$AC$2:$AC$522)) *
        (IM!$X$2:$X$522&gt;=勤務統計!$A$1) *
        (IM!$X$2:$X$522&lt;=勤務統計!$B$1)*(W15="HUB")
    ) &gt; 0
), "HUB", "")</f>
        <v/>
      </c>
      <c r="O15" s="400" t="str">
        <f>IF(
  IFERROR(VLOOKUP(A15,勤務統計!A:I,9,FALSE),"")&lt;&gt;勤務統計!$C$1,
  "未完工",
  IF(
    AND(勤務統計!$D$1="--",勤務統計!$E$1="--",勤務統計!$F$1="--"),
    "已完工",
    IF(
      OR(
        AND(勤務統計!$D$1&lt;&gt;"--", IFERROR(VLOOKUP(A15,'0919門市清單主檔'!B:AH,31,FALSE),"")=勤務統計!$D$1, IFERROR(VLOOKUP(A15,勤務統計!A:Q,17,FALSE),"")&lt;&gt;勤務統計!$D$1),
        AND(勤務統計!$E$1&lt;&gt;"--", IFERROR(VLOOKUP(A15,'0919門市清單主檔'!B:AH,32,FALSE),"")=勤務統計!$E$1, IFERROR(VLOOKUP(A15,勤務統計!A:S,19,FALSE),"")&lt;&gt;勤務統計!$E$1),
        AND(勤務統計!$F$1&lt;&gt;"--", IFERROR(VLOOKUP(A15,'0919門市清單主檔'!B:AH,33,FALSE),"")=勤務統計!$F$1, IFERROR(VLOOKUP(A15,勤務統計!A:U,21,FALSE),"")&lt;&gt;勤務統計!$F$1),
        AND(IFERROR(VLOOKUP(A15,'0919門市清單主檔'!B:AH,28,FALSE),"")="HUB", IFERROR(VLOOKUP(A15,勤務統計!A:W,23,FALSE),"")&lt;&gt;"HUB")
      ),
      _xlfn.TEXTJOIN(
        "，",
        TRUE,
        IF(AND(勤務統計!$D$1&lt;&gt;"--", IFERROR(VLOOKUP(A15,'0919門市清單主檔'!B:AH,31,FALSE),"")=勤務統計!$D$1, IFERROR(VLOOKUP(A15,勤務統計!A:Q,17,FALSE),"")&lt;&gt;勤務統計!$D$1), 勤務統計!$D$1, ""),
        IF(AND(勤務統計!$E$1&lt;&gt;"--", IFERROR(VLOOKUP(A15,'0919門市清單主檔'!B:AH,32,FALSE),"")=勤務統計!$E$1, IFERROR(VLOOKUP(A15,勤務統計!A:S,19,FALSE),"")&lt;&gt;勤務統計!$E$1), 勤務統計!$E$1, ""),
        IF(AND(勤務統計!$F$1&lt;&gt;"--", IFERROR(VLOOKUP(A15,'0919門市清單主檔'!B:AH,33,FALSE),"")=勤務統計!$F$1, IFERROR(VLOOKUP(A15,勤務統計!A:U,21,FALSE),"")&lt;&gt;勤務統計!$F$1), 勤務統計!$F$1, ""),
        IF(AND(IFERROR(VLOOKUP(A15,'0919門市清單主檔'!B:AH,28,FALSE),"")="HUB", IFERROR(VLOOKUP(A15,勤務統計!A:W,23,FALSE),"")&lt;&gt;"HUB"), "HUB", "")
      ) &amp; "未完工",
      "已完工"
    )
  )
)</f>
        <v>未完工</v>
      </c>
      <c r="P15" s="403" t="str">
        <f>(TEXT(I15,"yyyymmdd"))&amp;勤務統計!$V$2&amp;A15&amp;勤務統計!$V$2&amp;B15&amp;勤務統計!$S$2</f>
        <v>PMQ1-3890-三重美堤店(定保)</v>
      </c>
      <c r="Q15" s="420" t="str">
        <f t="array" ref="Q15">IF(AND(SUMPRODUCT((IM!$F$2:$F$5000=A15)*(ISNUMBER(SEARCH(勤務統計!$D$1, IM!$AC$2:$AC$5000))))&gt;0), 勤務統計!$D$1, "")</f>
        <v/>
      </c>
      <c r="R15" s="421" t="str">
        <f t="array" ref="R15">IFERROR(INDEX(IM!$AM$2:$AM$5000, MATCH(1, (IM!$F$2:$F$5000=A15) * (ISNUMBER(SEARCH(勤務統計!$D$1, IM!$AC$2:$AC$5000))), 0)), "")</f>
        <v/>
      </c>
      <c r="S15" s="406" t="str" cm="1">
        <f t="array" ref="S15">IF(AND(SUMPRODUCT((IM!$F$2:$F$5000=A15)*(ISNUMBER(SEARCH(勤務統計!$E$1, IM!$AC$2:$AC$5000))))&gt;0), 勤務統計!$E$1, "")</f>
        <v>+L90</v>
      </c>
      <c r="T15" s="422">
        <f t="array" ref="T15">IFERROR(INDEX(IM!$AM$2:$AM$5000, MATCH(1, (IM!$F$2:$F$5000=A15) * (ISNUMBER(SEARCH(勤務統計!$E$1, IM!$AC$2:$AC$5000))), 0)), "")</f>
        <v>46010</v>
      </c>
      <c r="U15" s="406" t="str" cm="1">
        <f t="array" ref="U15">IF(AND(SUMPRODUCT((IM!$F$2:$F$5000=A15)*(ISNUMBER(SEARCH(勤務統計!$F$1, IM!$AC$2:$AC$5000))))&gt;0), 勤務統計!$F$1, "")</f>
        <v>+721</v>
      </c>
      <c r="V15" s="413">
        <f t="array" ref="V15">IFERROR(INDEX(IM!$AM$2:$AM$5000, MATCH(1, (IM!$F$2:$F$5000=A15) * (ISNUMBER(SEARCH(勤務統計!$F$1, IM!$AC$2:$AC$5000))), 0)), "")</f>
        <v>46028</v>
      </c>
      <c r="W15" s="414" t="str">
        <f>IF(VLOOKUP(A15,'0919門市清單主檔'!B:AC,28,FALSE)=0,"",VLOOKUP(A15,'0919門市清單主檔'!B:AC,28,FALSE))</f>
        <v/>
      </c>
    </row>
    <row r="16" spans="1:23" ht="21.6" customHeight="1">
      <c r="A16" s="423">
        <v>4679</v>
      </c>
      <c r="B16" s="416" t="str">
        <f>VLOOKUP(A16,'0919門市清單主檔'!B:C,2,FALSE)</f>
        <v>新莊幸運店</v>
      </c>
      <c r="C16" s="415" t="str">
        <f>VLOOKUP($A16,'0919門市清單主檔'!B:V,20,FALSE)</f>
        <v>新北市</v>
      </c>
      <c r="D16" s="410" t="str">
        <f>VLOOKUP($A16,'0919門市清單主檔'!B:V,21,FALSE)</f>
        <v>新莊區</v>
      </c>
      <c r="E16" s="397" t="str">
        <f>VLOOKUP(D16,門市狀態!G:H,2,FALSE)</f>
        <v>湯家瑋</v>
      </c>
      <c r="F16" s="410" t="str">
        <f>IFERROR(IF(VLOOKUP(A16,門市狀態!A:D,4,FALSE)=0,"",VLOOKUP(A16,門市狀態!A:D,4,FALSE)),"")</f>
        <v/>
      </c>
      <c r="G16" s="424"/>
      <c r="H16" s="425" t="str">
        <f>IF(I16&gt;0,(TEXT(I16,"yyyymmdd")&amp;勤務統計!$V$2&amp;A16&amp;勤務統計!$V$2&amp;B16&amp;勤務統計!$S$2),"")</f>
        <v>PMQ1-4679-新莊幸運店(定保)</v>
      </c>
      <c r="I16" s="247" t="str">
        <f t="array" ref="I16">IF(AND(SUMPRODUCT((IM!$F$2:$F$5000=A16)*(ISNUMBER(SEARCH(勤務統計!$C$1, IM!$AC$2:$AC$5000))))&gt;0), 勤務統計!$C$1, "")</f>
        <v>PMQ1</v>
      </c>
      <c r="J16" s="399">
        <f t="array" ref="J16">IFERROR(INDEX(IM!$AM$2:$AM$5000, MATCH(1, (IM!$F$2:$F$5000=A16) * (ISNUMBER(SEARCH(勤務統計!$C$1, IM!$AC$2:$AC$5000))), 0)), "")</f>
        <v>46028</v>
      </c>
      <c r="K16" s="400">
        <f t="array" ref="K16">SUMPRODUCT((IM!$F$2:$F$5000=A16)*(IM!$AD$2:$AD$5000="O")*(ISNUMBER(SEARCH(勤務統計!$C$1, IM!$AC$2:$AC$5000))))</f>
        <v>1</v>
      </c>
      <c r="L16" s="401" t="str">
        <f t="array" ref="L16">IF(K16&gt;0,IFERROR(HYPERLINK("#'IM'!AC"&amp;MATCH(1,(IM!$F$1:$F$5000=A16)*(ISNUMBER(SEARCH(勤務統計!$C$1,IM!$AC$1:$AC$5000))),0),"檢核"),"未登錄"),"")</f>
        <v>檢核</v>
      </c>
      <c r="M16" s="402" t="str">
        <f t="shared" si="0"/>
        <v>+L90+721</v>
      </c>
      <c r="N16" s="402" t="str">
        <f t="array" ref="N16">IF(AND(
    SUMPRODUCT(
        (IM!$F$2:$F$522=A16) *
        ISNUMBER(SEARCH("*HUB*", IM!$AC$2:$AC$522)) *
        (IM!$X$2:$X$522&gt;=勤務統計!$A$1) *
        (IM!$X$2:$X$522&lt;=勤務統計!$B$1)*(W16="HUB")
    ) &gt; 0
), "HUB", "")</f>
        <v/>
      </c>
      <c r="O16" s="400" t="str">
        <f>IF(
  IFERROR(VLOOKUP(A16,勤務統計!A:I,9,FALSE),"")&lt;&gt;勤務統計!$C$1,
  "未完工",
  IF(
    AND(勤務統計!$D$1="--",勤務統計!$E$1="--",勤務統計!$F$1="--"),
    "已完工",
    IF(
      OR(
        AND(勤務統計!$D$1&lt;&gt;"--", IFERROR(VLOOKUP(A16,'0919門市清單主檔'!B:AH,31,FALSE),"")=勤務統計!$D$1, IFERROR(VLOOKUP(A16,勤務統計!A:Q,17,FALSE),"")&lt;&gt;勤務統計!$D$1),
        AND(勤務統計!$E$1&lt;&gt;"--", IFERROR(VLOOKUP(A16,'0919門市清單主檔'!B:AH,32,FALSE),"")=勤務統計!$E$1, IFERROR(VLOOKUP(A16,勤務統計!A:S,19,FALSE),"")&lt;&gt;勤務統計!$E$1),
        AND(勤務統計!$F$1&lt;&gt;"--", IFERROR(VLOOKUP(A16,'0919門市清單主檔'!B:AH,33,FALSE),"")=勤務統計!$F$1, IFERROR(VLOOKUP(A16,勤務統計!A:U,21,FALSE),"")&lt;&gt;勤務統計!$F$1),
        AND(IFERROR(VLOOKUP(A16,'0919門市清單主檔'!B:AH,28,FALSE),"")="HUB", IFERROR(VLOOKUP(A16,勤務統計!A:W,23,FALSE),"")&lt;&gt;"HUB")
      ),
      _xlfn.TEXTJOIN(
        "，",
        TRUE,
        IF(AND(勤務統計!$D$1&lt;&gt;"--", IFERROR(VLOOKUP(A16,'0919門市清單主檔'!B:AH,31,FALSE),"")=勤務統計!$D$1, IFERROR(VLOOKUP(A16,勤務統計!A:Q,17,FALSE),"")&lt;&gt;勤務統計!$D$1), 勤務統計!$D$1, ""),
        IF(AND(勤務統計!$E$1&lt;&gt;"--", IFERROR(VLOOKUP(A16,'0919門市清單主檔'!B:AH,32,FALSE),"")=勤務統計!$E$1, IFERROR(VLOOKUP(A16,勤務統計!A:S,19,FALSE),"")&lt;&gt;勤務統計!$E$1), 勤務統計!$E$1, ""),
        IF(AND(勤務統計!$F$1&lt;&gt;"--", IFERROR(VLOOKUP(A16,'0919門市清單主檔'!B:AH,33,FALSE),"")=勤務統計!$F$1, IFERROR(VLOOKUP(A16,勤務統計!A:U,21,FALSE),"")&lt;&gt;勤務統計!$F$1), 勤務統計!$F$1, ""),
        IF(AND(IFERROR(VLOOKUP(A16,'0919門市清單主檔'!B:AH,28,FALSE),"")="HUB", IFERROR(VLOOKUP(A16,勤務統計!A:W,23,FALSE),"")&lt;&gt;"HUB"), "HUB", "")
      ) &amp; "未完工",
      "已完工"
    )
  )
)</f>
        <v>未完工</v>
      </c>
      <c r="P16" s="403" t="str">
        <f>(TEXT(I16,"yyyymmdd"))&amp;勤務統計!$V$2&amp;A16&amp;勤務統計!$V$2&amp;B16&amp;勤務統計!$S$2</f>
        <v>PMQ1-4679-新莊幸運店(定保)</v>
      </c>
      <c r="Q16" s="420" t="str">
        <f t="array" ref="Q16">IF(AND(SUMPRODUCT((IM!$F$2:$F$5000=A16)*(ISNUMBER(SEARCH(勤務統計!$D$1, IM!$AC$2:$AC$5000))))&gt;0), 勤務統計!$D$1, "")</f>
        <v/>
      </c>
      <c r="R16" s="421" t="str">
        <f t="array" ref="R16">IFERROR(INDEX(IM!$AM$2:$AM$5000, MATCH(1, (IM!$F$2:$F$5000=A16) * (ISNUMBER(SEARCH(勤務統計!$D$1, IM!$AC$2:$AC$5000))), 0)), "")</f>
        <v/>
      </c>
      <c r="S16" s="406" t="str" cm="1">
        <f t="array" ref="S16">IF(AND(SUMPRODUCT((IM!$F$2:$F$5000=A16)*(ISNUMBER(SEARCH(勤務統計!$E$1, IM!$AC$2:$AC$5000))))&gt;0), 勤務統計!$E$1, "")</f>
        <v>+L90</v>
      </c>
      <c r="T16" s="422">
        <f t="array" ref="T16">IFERROR(INDEX(IM!$AM$2:$AM$5000, MATCH(1, (IM!$F$2:$F$5000=A16) * (ISNUMBER(SEARCH(勤務統計!$E$1, IM!$AC$2:$AC$5000))), 0)), "")</f>
        <v>46028</v>
      </c>
      <c r="U16" s="406" t="str" cm="1">
        <f t="array" ref="U16">IF(AND(SUMPRODUCT((IM!$F$2:$F$5000=A16)*(ISNUMBER(SEARCH(勤務統計!$F$1, IM!$AC$2:$AC$5000))))&gt;0), 勤務統計!$F$1, "")</f>
        <v>+721</v>
      </c>
      <c r="V16" s="413">
        <f t="array" ref="V16">IFERROR(INDEX(IM!$AM$2:$AM$5000, MATCH(1, (IM!$F$2:$F$5000=A16) * (ISNUMBER(SEARCH(勤務統計!$F$1, IM!$AC$2:$AC$5000))), 0)), "")</f>
        <v>46028</v>
      </c>
      <c r="W16" s="414" t="str">
        <f>IF(VLOOKUP(A16,'0919門市清單主檔'!B:AC,28,FALSE)=0,"",VLOOKUP(A16,'0919門市清單主檔'!B:AC,28,FALSE))</f>
        <v/>
      </c>
    </row>
    <row r="17" spans="1:23" ht="21.6" customHeight="1">
      <c r="A17" s="423">
        <v>3785</v>
      </c>
      <c r="B17" s="416" t="str">
        <f>VLOOKUP(A17,'0919門市清單主檔'!B:C,2,FALSE)</f>
        <v>北縣莊榮店</v>
      </c>
      <c r="C17" s="415" t="str">
        <f>VLOOKUP($A17,'0919門市清單主檔'!B:V,20,FALSE)</f>
        <v>新北市</v>
      </c>
      <c r="D17" s="410" t="str">
        <f>VLOOKUP($A17,'0919門市清單主檔'!B:V,21,FALSE)</f>
        <v>新莊區</v>
      </c>
      <c r="E17" s="397" t="str">
        <f>VLOOKUP(D17,門市狀態!G:H,2,FALSE)</f>
        <v>湯家瑋</v>
      </c>
      <c r="F17" s="410" t="str">
        <f>IFERROR(IF(VLOOKUP(A17,門市狀態!A:D,4,FALSE)=0,"",VLOOKUP(A17,門市狀態!A:D,4,FALSE)),"")</f>
        <v/>
      </c>
      <c r="G17" s="424"/>
      <c r="H17" s="425" t="str">
        <f>IF(I17&gt;0,(TEXT(I17,"yyyymmdd")&amp;勤務統計!$V$2&amp;A17&amp;勤務統計!$V$2&amp;B17&amp;勤務統計!$S$2),"")</f>
        <v>PMQ1-3785-北縣莊榮店(定保)</v>
      </c>
      <c r="I17" s="247" t="str">
        <f t="array" ref="I17">IF(AND(SUMPRODUCT((IM!$F$2:$F$5000=A17)*(ISNUMBER(SEARCH(勤務統計!$C$1, IM!$AC$2:$AC$5000))))&gt;0), 勤務統計!$C$1, "")</f>
        <v>PMQ1</v>
      </c>
      <c r="J17" s="399">
        <f t="array" ref="J17">IFERROR(INDEX(IM!$AM$2:$AM$5000, MATCH(1, (IM!$F$2:$F$5000=A17) * (ISNUMBER(SEARCH(勤務統計!$C$1, IM!$AC$2:$AC$5000))), 0)), "")</f>
        <v>46028</v>
      </c>
      <c r="K17" s="400">
        <f t="array" ref="K17">SUMPRODUCT((IM!$F$2:$F$5000=A17)*(IM!$AD$2:$AD$5000="O")*(ISNUMBER(SEARCH(勤務統計!$C$1, IM!$AC$2:$AC$5000))))</f>
        <v>1</v>
      </c>
      <c r="L17" s="401" t="str">
        <f t="array" ref="L17">IF(K17&gt;0,IFERROR(HYPERLINK("#'IM'!AC"&amp;MATCH(1,(IM!$F$1:$F$5000=A17)*(ISNUMBER(SEARCH(勤務統計!$C$1,IM!$AC$1:$AC$5000))),0),"檢核"),"未登錄"),"")</f>
        <v>檢核</v>
      </c>
      <c r="M17" s="402" t="str">
        <f t="shared" si="0"/>
        <v>+L90+721</v>
      </c>
      <c r="N17" s="402" t="str">
        <f t="array" ref="N17">IF(AND(
    SUMPRODUCT(
        (IM!$F$2:$F$522=A17) *
        ISNUMBER(SEARCH("*HUB*", IM!$AC$2:$AC$522)) *
        (IM!$X$2:$X$522&gt;=勤務統計!$A$1) *
        (IM!$X$2:$X$522&lt;=勤務統計!$B$1)*(W17="HUB")
    ) &gt; 0
), "HUB", "")</f>
        <v/>
      </c>
      <c r="O17" s="400" t="str">
        <f>IF(
  IFERROR(VLOOKUP(A17,勤務統計!A:I,9,FALSE),"")&lt;&gt;勤務統計!$C$1,
  "未完工",
  IF(
    AND(勤務統計!$D$1="--",勤務統計!$E$1="--",勤務統計!$F$1="--"),
    "已完工",
    IF(
      OR(
        AND(勤務統計!$D$1&lt;&gt;"--", IFERROR(VLOOKUP(A17,'0919門市清單主檔'!B:AH,31,FALSE),"")=勤務統計!$D$1, IFERROR(VLOOKUP(A17,勤務統計!A:Q,17,FALSE),"")&lt;&gt;勤務統計!$D$1),
        AND(勤務統計!$E$1&lt;&gt;"--", IFERROR(VLOOKUP(A17,'0919門市清單主檔'!B:AH,32,FALSE),"")=勤務統計!$E$1, IFERROR(VLOOKUP(A17,勤務統計!A:S,19,FALSE),"")&lt;&gt;勤務統計!$E$1),
        AND(勤務統計!$F$1&lt;&gt;"--", IFERROR(VLOOKUP(A17,'0919門市清單主檔'!B:AH,33,FALSE),"")=勤務統計!$F$1, IFERROR(VLOOKUP(A17,勤務統計!A:U,21,FALSE),"")&lt;&gt;勤務統計!$F$1),
        AND(IFERROR(VLOOKUP(A17,'0919門市清單主檔'!B:AH,28,FALSE),"")="HUB", IFERROR(VLOOKUP(A17,勤務統計!A:W,23,FALSE),"")&lt;&gt;"HUB")
      ),
      _xlfn.TEXTJOIN(
        "，",
        TRUE,
        IF(AND(勤務統計!$D$1&lt;&gt;"--", IFERROR(VLOOKUP(A17,'0919門市清單主檔'!B:AH,31,FALSE),"")=勤務統計!$D$1, IFERROR(VLOOKUP(A17,勤務統計!A:Q,17,FALSE),"")&lt;&gt;勤務統計!$D$1), 勤務統計!$D$1, ""),
        IF(AND(勤務統計!$E$1&lt;&gt;"--", IFERROR(VLOOKUP(A17,'0919門市清單主檔'!B:AH,32,FALSE),"")=勤務統計!$E$1, IFERROR(VLOOKUP(A17,勤務統計!A:S,19,FALSE),"")&lt;&gt;勤務統計!$E$1), 勤務統計!$E$1, ""),
        IF(AND(勤務統計!$F$1&lt;&gt;"--", IFERROR(VLOOKUP(A17,'0919門市清單主檔'!B:AH,33,FALSE),"")=勤務統計!$F$1, IFERROR(VLOOKUP(A17,勤務統計!A:U,21,FALSE),"")&lt;&gt;勤務統計!$F$1), 勤務統計!$F$1, ""),
        IF(AND(IFERROR(VLOOKUP(A17,'0919門市清單主檔'!B:AH,28,FALSE),"")="HUB", IFERROR(VLOOKUP(A17,勤務統計!A:W,23,FALSE),"")&lt;&gt;"HUB"), "HUB", "")
      ) &amp; "未完工",
      "已完工"
    )
  )
)</f>
        <v>未完工</v>
      </c>
      <c r="P17" s="403" t="str">
        <f>(TEXT(I17,"yyyymmdd"))&amp;勤務統計!$V$2&amp;A17&amp;勤務統計!$V$2&amp;B17&amp;勤務統計!$S$2</f>
        <v>PMQ1-3785-北縣莊榮店(定保)</v>
      </c>
      <c r="Q17" s="420" t="str">
        <f t="array" ref="Q17">IF(AND(SUMPRODUCT((IM!$F$2:$F$5000=A17)*(ISNUMBER(SEARCH(勤務統計!$D$1, IM!$AC$2:$AC$5000))))&gt;0), 勤務統計!$D$1, "")</f>
        <v/>
      </c>
      <c r="R17" s="421" t="str">
        <f t="array" ref="R17">IFERROR(INDEX(IM!$AM$2:$AM$5000, MATCH(1, (IM!$F$2:$F$5000=A17) * (ISNUMBER(SEARCH(勤務統計!$D$1, IM!$AC$2:$AC$5000))), 0)), "")</f>
        <v/>
      </c>
      <c r="S17" s="406" t="str" cm="1">
        <f t="array" ref="S17">IF(AND(SUMPRODUCT((IM!$F$2:$F$5000=A17)*(ISNUMBER(SEARCH(勤務統計!$E$1, IM!$AC$2:$AC$5000))))&gt;0), 勤務統計!$E$1, "")</f>
        <v>+L90</v>
      </c>
      <c r="T17" s="422">
        <f t="array" ref="T17">IFERROR(INDEX(IM!$AM$2:$AM$5000, MATCH(1, (IM!$F$2:$F$5000=A17) * (ISNUMBER(SEARCH(勤務統計!$E$1, IM!$AC$2:$AC$5000))), 0)), "")</f>
        <v>46028</v>
      </c>
      <c r="U17" s="406" t="str" cm="1">
        <f t="array" ref="U17">IF(AND(SUMPRODUCT((IM!$F$2:$F$5000=A17)*(ISNUMBER(SEARCH(勤務統計!$F$1, IM!$AC$2:$AC$5000))))&gt;0), 勤務統計!$F$1, "")</f>
        <v>+721</v>
      </c>
      <c r="V17" s="413">
        <f t="array" ref="V17">IFERROR(INDEX(IM!$AM$2:$AM$5000, MATCH(1, (IM!$F$2:$F$5000=A17) * (ISNUMBER(SEARCH(勤務統計!$F$1, IM!$AC$2:$AC$5000))), 0)), "")</f>
        <v>46028</v>
      </c>
      <c r="W17" s="414" t="str">
        <f>IF(VLOOKUP(A17,'0919門市清單主檔'!B:AC,28,FALSE)=0,"",VLOOKUP(A17,'0919門市清單主檔'!B:AC,28,FALSE))</f>
        <v/>
      </c>
    </row>
    <row r="18" spans="1:23" ht="21.6" customHeight="1">
      <c r="A18" s="423">
        <v>4528</v>
      </c>
      <c r="B18" s="416" t="str">
        <f>VLOOKUP(A18,'0919門市清單主檔'!B:C,2,FALSE)</f>
        <v>八里鐵塔店</v>
      </c>
      <c r="C18" s="415" t="str">
        <f>VLOOKUP($A18,'0919門市清單主檔'!B:V,20,FALSE)</f>
        <v>新北市</v>
      </c>
      <c r="D18" s="410" t="str">
        <f>VLOOKUP($A18,'0919門市清單主檔'!B:V,21,FALSE)</f>
        <v>八里區</v>
      </c>
      <c r="E18" s="397" t="str">
        <f>VLOOKUP(D18,門市狀態!G:H,2,FALSE)</f>
        <v>吳宗鴻</v>
      </c>
      <c r="F18" s="410" t="str">
        <f>IFERROR(IF(VLOOKUP(A18,門市狀態!A:D,4,FALSE)=0,"",VLOOKUP(A18,門市狀態!A:D,4,FALSE)),"")</f>
        <v/>
      </c>
      <c r="G18" s="424"/>
      <c r="H18" s="425" t="str">
        <f>IF(I18&gt;0,(TEXT(I18,"yyyymmdd")&amp;勤務統計!$V$2&amp;A18&amp;勤務統計!$V$2&amp;B18&amp;勤務統計!$S$2),"")</f>
        <v>PMQ1-4528-八里鐵塔店(定保)</v>
      </c>
      <c r="I18" s="247" t="str">
        <f t="array" ref="I18">IF(AND(SUMPRODUCT((IM!$F$2:$F$5000=A18)*(ISNUMBER(SEARCH(勤務統計!$C$1, IM!$AC$2:$AC$5000))))&gt;0), 勤務統計!$C$1, "")</f>
        <v>PMQ1</v>
      </c>
      <c r="J18" s="399">
        <f t="array" ref="J18">IFERROR(INDEX(IM!$AM$2:$AM$5000, MATCH(1, (IM!$F$2:$F$5000=A18) * (ISNUMBER(SEARCH(勤務統計!$C$1, IM!$AC$2:$AC$5000))), 0)), "")</f>
        <v>46028</v>
      </c>
      <c r="K18" s="400">
        <f t="array" ref="K18">SUMPRODUCT((IM!$F$2:$F$5000=A18)*(IM!$AD$2:$AD$5000="O")*(ISNUMBER(SEARCH(勤務統計!$C$1, IM!$AC$2:$AC$5000))))</f>
        <v>1</v>
      </c>
      <c r="L18" s="401" t="str">
        <f t="array" ref="L18">IF(K18&gt;0,IFERROR(HYPERLINK("#'IM'!AC"&amp;MATCH(1,(IM!$F$1:$F$5000=A18)*(ISNUMBER(SEARCH(勤務統計!$C$1,IM!$AC$1:$AC$5000))),0),"檢核"),"未登錄"),"")</f>
        <v>檢核</v>
      </c>
      <c r="M18" s="402" t="str">
        <f t="shared" si="0"/>
        <v>+L90+721</v>
      </c>
      <c r="N18" s="402" t="str">
        <f t="array" ref="N18">IF(AND(
    SUMPRODUCT(
        (IM!$F$2:$F$522=A18) *
        ISNUMBER(SEARCH("*HUB*", IM!$AC$2:$AC$522)) *
        (IM!$X$2:$X$522&gt;=勤務統計!$A$1) *
        (IM!$X$2:$X$522&lt;=勤務統計!$B$1)*(W18="HUB")
    ) &gt; 0
), "HUB", "")</f>
        <v/>
      </c>
      <c r="O18" s="400" t="str">
        <f>IF(
  IFERROR(VLOOKUP(A18,勤務統計!A:I,9,FALSE),"")&lt;&gt;勤務統計!$C$1,
  "未完工",
  IF(
    AND(勤務統計!$D$1="--",勤務統計!$E$1="--",勤務統計!$F$1="--"),
    "已完工",
    IF(
      OR(
        AND(勤務統計!$D$1&lt;&gt;"--", IFERROR(VLOOKUP(A18,'0919門市清單主檔'!B:AH,31,FALSE),"")=勤務統計!$D$1, IFERROR(VLOOKUP(A18,勤務統計!A:Q,17,FALSE),"")&lt;&gt;勤務統計!$D$1),
        AND(勤務統計!$E$1&lt;&gt;"--", IFERROR(VLOOKUP(A18,'0919門市清單主檔'!B:AH,32,FALSE),"")=勤務統計!$E$1, IFERROR(VLOOKUP(A18,勤務統計!A:S,19,FALSE),"")&lt;&gt;勤務統計!$E$1),
        AND(勤務統計!$F$1&lt;&gt;"--", IFERROR(VLOOKUP(A18,'0919門市清單主檔'!B:AH,33,FALSE),"")=勤務統計!$F$1, IFERROR(VLOOKUP(A18,勤務統計!A:U,21,FALSE),"")&lt;&gt;勤務統計!$F$1),
        AND(IFERROR(VLOOKUP(A18,'0919門市清單主檔'!B:AH,28,FALSE),"")="HUB", IFERROR(VLOOKUP(A18,勤務統計!A:W,23,FALSE),"")&lt;&gt;"HUB")
      ),
      _xlfn.TEXTJOIN(
        "，",
        TRUE,
        IF(AND(勤務統計!$D$1&lt;&gt;"--", IFERROR(VLOOKUP(A18,'0919門市清單主檔'!B:AH,31,FALSE),"")=勤務統計!$D$1, IFERROR(VLOOKUP(A18,勤務統計!A:Q,17,FALSE),"")&lt;&gt;勤務統計!$D$1), 勤務統計!$D$1, ""),
        IF(AND(勤務統計!$E$1&lt;&gt;"--", IFERROR(VLOOKUP(A18,'0919門市清單主檔'!B:AH,32,FALSE),"")=勤務統計!$E$1, IFERROR(VLOOKUP(A18,勤務統計!A:S,19,FALSE),"")&lt;&gt;勤務統計!$E$1), 勤務統計!$E$1, ""),
        IF(AND(勤務統計!$F$1&lt;&gt;"--", IFERROR(VLOOKUP(A18,'0919門市清單主檔'!B:AH,33,FALSE),"")=勤務統計!$F$1, IFERROR(VLOOKUP(A18,勤務統計!A:U,21,FALSE),"")&lt;&gt;勤務統計!$F$1), 勤務統計!$F$1, ""),
        IF(AND(IFERROR(VLOOKUP(A18,'0919門市清單主檔'!B:AH,28,FALSE),"")="HUB", IFERROR(VLOOKUP(A18,勤務統計!A:W,23,FALSE),"")&lt;&gt;"HUB"), "HUB", "")
      ) &amp; "未完工",
      "已完工"
    )
  )
)</f>
        <v>未完工</v>
      </c>
      <c r="P18" s="403" t="str">
        <f>(TEXT(I18,"yyyymmdd"))&amp;勤務統計!$V$2&amp;A18&amp;勤務統計!$V$2&amp;B18&amp;勤務統計!$S$2</f>
        <v>PMQ1-4528-八里鐵塔店(定保)</v>
      </c>
      <c r="Q18" s="420" t="str">
        <f t="array" ref="Q18">IF(AND(SUMPRODUCT((IM!$F$2:$F$5000=A18)*(ISNUMBER(SEARCH(勤務統計!$D$1, IM!$AC$2:$AC$5000))))&gt;0), 勤務統計!$D$1, "")</f>
        <v/>
      </c>
      <c r="R18" s="421" t="str">
        <f t="array" ref="R18">IFERROR(INDEX(IM!$AM$2:$AM$5000, MATCH(1, (IM!$F$2:$F$5000=A18) * (ISNUMBER(SEARCH(勤務統計!$D$1, IM!$AC$2:$AC$5000))), 0)), "")</f>
        <v/>
      </c>
      <c r="S18" s="406" t="str" cm="1">
        <f t="array" ref="S18">IF(AND(SUMPRODUCT((IM!$F$2:$F$5000=A18)*(ISNUMBER(SEARCH(勤務統計!$E$1, IM!$AC$2:$AC$5000))))&gt;0), 勤務統計!$E$1, "")</f>
        <v>+L90</v>
      </c>
      <c r="T18" s="422">
        <f t="array" ref="T18">IFERROR(INDEX(IM!$AM$2:$AM$5000, MATCH(1, (IM!$F$2:$F$5000=A18) * (ISNUMBER(SEARCH(勤務統計!$E$1, IM!$AC$2:$AC$5000))), 0)), "")</f>
        <v>45965</v>
      </c>
      <c r="U18" s="406" t="str" cm="1">
        <f t="array" ref="U18">IF(AND(SUMPRODUCT((IM!$F$2:$F$5000=A18)*(ISNUMBER(SEARCH(勤務統計!$F$1, IM!$AC$2:$AC$5000))))&gt;0), 勤務統計!$F$1, "")</f>
        <v>+721</v>
      </c>
      <c r="V18" s="413">
        <f t="array" ref="V18">IFERROR(INDEX(IM!$AM$2:$AM$5000, MATCH(1, (IM!$F$2:$F$5000=A18) * (ISNUMBER(SEARCH(勤務統計!$F$1, IM!$AC$2:$AC$5000))), 0)), "")</f>
        <v>46028</v>
      </c>
      <c r="W18" s="414" t="str">
        <f>IF(VLOOKUP(A18,'0919門市清單主檔'!B:AC,28,FALSE)=0,"",VLOOKUP(A18,'0919門市清單主檔'!B:AC,28,FALSE))</f>
        <v/>
      </c>
    </row>
    <row r="19" spans="1:23" ht="21.6" customHeight="1">
      <c r="A19" s="423">
        <v>4259</v>
      </c>
      <c r="B19" s="416" t="str">
        <f>VLOOKUP(A19,'0919門市清單主檔'!B:C,2,FALSE)</f>
        <v>八里水灣店</v>
      </c>
      <c r="C19" s="415" t="str">
        <f>VLOOKUP($A19,'0919門市清單主檔'!B:V,20,FALSE)</f>
        <v>新北市</v>
      </c>
      <c r="D19" s="410" t="str">
        <f>VLOOKUP($A19,'0919門市清單主檔'!B:V,21,FALSE)</f>
        <v>八里區</v>
      </c>
      <c r="E19" s="397" t="str">
        <f>VLOOKUP(D19,門市狀態!G:H,2,FALSE)</f>
        <v>吳宗鴻</v>
      </c>
      <c r="F19" s="410" t="str">
        <f>IFERROR(IF(VLOOKUP(A19,門市狀態!A:D,4,FALSE)=0,"",VLOOKUP(A19,門市狀態!A:D,4,FALSE)),"")</f>
        <v/>
      </c>
      <c r="G19" s="424"/>
      <c r="H19" s="425" t="str">
        <f>IF(I19&gt;0,(TEXT(I19,"yyyymmdd")&amp;勤務統計!$V$2&amp;A19&amp;勤務統計!$V$2&amp;B19&amp;勤務統計!$S$2),"")</f>
        <v>PMQ1-4259-八里水灣店(定保)</v>
      </c>
      <c r="I19" s="247" t="str">
        <f t="array" ref="I19">IF(AND(SUMPRODUCT((IM!$F$2:$F$5000=A19)*(ISNUMBER(SEARCH(勤務統計!$C$1, IM!$AC$2:$AC$5000))))&gt;0), 勤務統計!$C$1, "")</f>
        <v>PMQ1</v>
      </c>
      <c r="J19" s="399">
        <f t="array" ref="J19">IFERROR(INDEX(IM!$AM$2:$AM$5000, MATCH(1, (IM!$F$2:$F$5000=A19) * (ISNUMBER(SEARCH(勤務統計!$C$1, IM!$AC$2:$AC$5000))), 0)), "")</f>
        <v>46028</v>
      </c>
      <c r="K19" s="400">
        <f t="array" ref="K19">SUMPRODUCT((IM!$F$2:$F$5000=A19)*(IM!$AD$2:$AD$5000="O")*(ISNUMBER(SEARCH(勤務統計!$C$1, IM!$AC$2:$AC$5000))))</f>
        <v>1</v>
      </c>
      <c r="L19" s="401" t="str">
        <f t="array" ref="L19">IF(K19&gt;0,IFERROR(HYPERLINK("#'IM'!AC"&amp;MATCH(1,(IM!$F$1:$F$5000=A19)*(ISNUMBER(SEARCH(勤務統計!$C$1,IM!$AC$1:$AC$5000))),0),"檢核"),"未登錄"),"")</f>
        <v>檢核</v>
      </c>
      <c r="M19" s="402" t="str">
        <f t="shared" si="0"/>
        <v>+L90+721</v>
      </c>
      <c r="N19" s="402" t="str">
        <f t="array" ref="N19">IF(AND(
    SUMPRODUCT(
        (IM!$F$2:$F$522=A19) *
        ISNUMBER(SEARCH("*HUB*", IM!$AC$2:$AC$522)) *
        (IM!$X$2:$X$522&gt;=勤務統計!$A$1) *
        (IM!$X$2:$X$522&lt;=勤務統計!$B$1)*(W19="HUB")
    ) &gt; 0
), "HUB", "")</f>
        <v/>
      </c>
      <c r="O19" s="400" t="str">
        <f>IF(
  IFERROR(VLOOKUP(A19,勤務統計!A:I,9,FALSE),"")&lt;&gt;勤務統計!$C$1,
  "未完工",
  IF(
    AND(勤務統計!$D$1="--",勤務統計!$E$1="--",勤務統計!$F$1="--"),
    "已完工",
    IF(
      OR(
        AND(勤務統計!$D$1&lt;&gt;"--", IFERROR(VLOOKUP(A19,'0919門市清單主檔'!B:AH,31,FALSE),"")=勤務統計!$D$1, IFERROR(VLOOKUP(A19,勤務統計!A:Q,17,FALSE),"")&lt;&gt;勤務統計!$D$1),
        AND(勤務統計!$E$1&lt;&gt;"--", IFERROR(VLOOKUP(A19,'0919門市清單主檔'!B:AH,32,FALSE),"")=勤務統計!$E$1, IFERROR(VLOOKUP(A19,勤務統計!A:S,19,FALSE),"")&lt;&gt;勤務統計!$E$1),
        AND(勤務統計!$F$1&lt;&gt;"--", IFERROR(VLOOKUP(A19,'0919門市清單主檔'!B:AH,33,FALSE),"")=勤務統計!$F$1, IFERROR(VLOOKUP(A19,勤務統計!A:U,21,FALSE),"")&lt;&gt;勤務統計!$F$1),
        AND(IFERROR(VLOOKUP(A19,'0919門市清單主檔'!B:AH,28,FALSE),"")="HUB", IFERROR(VLOOKUP(A19,勤務統計!A:W,23,FALSE),"")&lt;&gt;"HUB")
      ),
      _xlfn.TEXTJOIN(
        "，",
        TRUE,
        IF(AND(勤務統計!$D$1&lt;&gt;"--", IFERROR(VLOOKUP(A19,'0919門市清單主檔'!B:AH,31,FALSE),"")=勤務統計!$D$1, IFERROR(VLOOKUP(A19,勤務統計!A:Q,17,FALSE),"")&lt;&gt;勤務統計!$D$1), 勤務統計!$D$1, ""),
        IF(AND(勤務統計!$E$1&lt;&gt;"--", IFERROR(VLOOKUP(A19,'0919門市清單主檔'!B:AH,32,FALSE),"")=勤務統計!$E$1, IFERROR(VLOOKUP(A19,勤務統計!A:S,19,FALSE),"")&lt;&gt;勤務統計!$E$1), 勤務統計!$E$1, ""),
        IF(AND(勤務統計!$F$1&lt;&gt;"--", IFERROR(VLOOKUP(A19,'0919門市清單主檔'!B:AH,33,FALSE),"")=勤務統計!$F$1, IFERROR(VLOOKUP(A19,勤務統計!A:U,21,FALSE),"")&lt;&gt;勤務統計!$F$1), 勤務統計!$F$1, ""),
        IF(AND(IFERROR(VLOOKUP(A19,'0919門市清單主檔'!B:AH,28,FALSE),"")="HUB", IFERROR(VLOOKUP(A19,勤務統計!A:W,23,FALSE),"")&lt;&gt;"HUB"), "HUB", "")
      ) &amp; "未完工",
      "已完工"
    )
  )
)</f>
        <v>未完工</v>
      </c>
      <c r="P19" s="403" t="str">
        <f>(TEXT(I19,"yyyymmdd"))&amp;勤務統計!$V$2&amp;A19&amp;勤務統計!$V$2&amp;B19&amp;勤務統計!$S$2</f>
        <v>PMQ1-4259-八里水灣店(定保)</v>
      </c>
      <c r="Q19" s="420" t="str">
        <f t="array" ref="Q19">IF(AND(SUMPRODUCT((IM!$F$2:$F$5000=A19)*(ISNUMBER(SEARCH(勤務統計!$D$1, IM!$AC$2:$AC$5000))))&gt;0), 勤務統計!$D$1, "")</f>
        <v/>
      </c>
      <c r="R19" s="421" t="str">
        <f t="array" ref="R19">IFERROR(INDEX(IM!$AM$2:$AM$5000, MATCH(1, (IM!$F$2:$F$5000=A19) * (ISNUMBER(SEARCH(勤務統計!$D$1, IM!$AC$2:$AC$5000))), 0)), "")</f>
        <v/>
      </c>
      <c r="S19" s="406" t="str" cm="1">
        <f t="array" ref="S19">IF(AND(SUMPRODUCT((IM!$F$2:$F$5000=A19)*(ISNUMBER(SEARCH(勤務統計!$E$1, IM!$AC$2:$AC$5000))))&gt;0), 勤務統計!$E$1, "")</f>
        <v>+L90</v>
      </c>
      <c r="T19" s="422">
        <f t="array" ref="T19">IFERROR(INDEX(IM!$AM$2:$AM$5000, MATCH(1, (IM!$F$2:$F$5000=A19) * (ISNUMBER(SEARCH(勤務統計!$E$1, IM!$AC$2:$AC$5000))), 0)), "")</f>
        <v>45965</v>
      </c>
      <c r="U19" s="406" t="str" cm="1">
        <f t="array" ref="U19">IF(AND(SUMPRODUCT((IM!$F$2:$F$5000=A19)*(ISNUMBER(SEARCH(勤務統計!$F$1, IM!$AC$2:$AC$5000))))&gt;0), 勤務統計!$F$1, "")</f>
        <v>+721</v>
      </c>
      <c r="V19" s="413">
        <f t="array" ref="V19">IFERROR(INDEX(IM!$AM$2:$AM$5000, MATCH(1, (IM!$F$2:$F$5000=A19) * (ISNUMBER(SEARCH(勤務統計!$F$1, IM!$AC$2:$AC$5000))), 0)), "")</f>
        <v>46028</v>
      </c>
      <c r="W19" s="414" t="str">
        <f>IF(VLOOKUP(A19,'0919門市清單主檔'!B:AC,28,FALSE)=0,"",VLOOKUP(A19,'0919門市清單主檔'!B:AC,28,FALSE))</f>
        <v/>
      </c>
    </row>
    <row r="20" spans="1:23" ht="21.6" customHeight="1">
      <c r="A20" s="423">
        <v>2306</v>
      </c>
      <c r="B20" s="416" t="str">
        <f>VLOOKUP(A20,'0919門市清單主檔'!B:C,2,FALSE)</f>
        <v>八里凱旋門</v>
      </c>
      <c r="C20" s="415" t="str">
        <f>VLOOKUP($A20,'0919門市清單主檔'!B:V,20,FALSE)</f>
        <v>新北市</v>
      </c>
      <c r="D20" s="410" t="str">
        <f>VLOOKUP($A20,'0919門市清單主檔'!B:V,21,FALSE)</f>
        <v>八里區</v>
      </c>
      <c r="E20" s="397" t="str">
        <f>VLOOKUP(D20,門市狀態!G:H,2,FALSE)</f>
        <v>吳宗鴻</v>
      </c>
      <c r="F20" s="410" t="str">
        <f>IFERROR(IF(VLOOKUP(A20,門市狀態!A:D,4,FALSE)=0,"",VLOOKUP(A20,門市狀態!A:D,4,FALSE)),"")</f>
        <v/>
      </c>
      <c r="G20" s="424"/>
      <c r="H20" s="425" t="str">
        <f>IF(I20&gt;0,(TEXT(I20,"yyyymmdd")&amp;勤務統計!$V$2&amp;A20&amp;勤務統計!$V$2&amp;B20&amp;勤務統計!$S$2),"")</f>
        <v>PMQ1-2306-八里凱旋門(定保)</v>
      </c>
      <c r="I20" s="247" t="str">
        <f t="array" ref="I20">IF(AND(SUMPRODUCT((IM!$F$2:$F$5000=A20)*(ISNUMBER(SEARCH(勤務統計!$C$1, IM!$AC$2:$AC$5000))))&gt;0), 勤務統計!$C$1, "")</f>
        <v>PMQ1</v>
      </c>
      <c r="J20" s="399">
        <f t="array" ref="J20">IFERROR(INDEX(IM!$AM$2:$AM$5000, MATCH(1, (IM!$F$2:$F$5000=A20) * (ISNUMBER(SEARCH(勤務統計!$C$1, IM!$AC$2:$AC$5000))), 0)), "")</f>
        <v>46028</v>
      </c>
      <c r="K20" s="400">
        <f t="array" ref="K20">SUMPRODUCT((IM!$F$2:$F$5000=A20)*(IM!$AD$2:$AD$5000="O")*(ISNUMBER(SEARCH(勤務統計!$C$1, IM!$AC$2:$AC$5000))))</f>
        <v>1</v>
      </c>
      <c r="L20" s="401" t="str">
        <f t="array" ref="L20">IF(K20&gt;0,IFERROR(HYPERLINK("#'IM'!AC"&amp;MATCH(1,(IM!$F$1:$F$5000=A20)*(ISNUMBER(SEARCH(勤務統計!$C$1,IM!$AC$1:$AC$5000))),0),"檢核"),"未登錄"),"")</f>
        <v>檢核</v>
      </c>
      <c r="M20" s="402" t="str">
        <f t="shared" si="0"/>
        <v>+L90+721</v>
      </c>
      <c r="N20" s="402" t="str">
        <f t="array" ref="N20">IF(AND(
    SUMPRODUCT(
        (IM!$F$2:$F$522=A20) *
        ISNUMBER(SEARCH("*HUB*", IM!$AC$2:$AC$522)) *
        (IM!$X$2:$X$522&gt;=勤務統計!$A$1) *
        (IM!$X$2:$X$522&lt;=勤務統計!$B$1)*(W20="HUB")
    ) &gt; 0
), "HUB", "")</f>
        <v/>
      </c>
      <c r="O20" s="400" t="str">
        <f>IF(
  IFERROR(VLOOKUP(A20,勤務統計!A:I,9,FALSE),"")&lt;&gt;勤務統計!$C$1,
  "未完工",
  IF(
    AND(勤務統計!$D$1="--",勤務統計!$E$1="--",勤務統計!$F$1="--"),
    "已完工",
    IF(
      OR(
        AND(勤務統計!$D$1&lt;&gt;"--", IFERROR(VLOOKUP(A20,'0919門市清單主檔'!B:AH,31,FALSE),"")=勤務統計!$D$1, IFERROR(VLOOKUP(A20,勤務統計!A:Q,17,FALSE),"")&lt;&gt;勤務統計!$D$1),
        AND(勤務統計!$E$1&lt;&gt;"--", IFERROR(VLOOKUP(A20,'0919門市清單主檔'!B:AH,32,FALSE),"")=勤務統計!$E$1, IFERROR(VLOOKUP(A20,勤務統計!A:S,19,FALSE),"")&lt;&gt;勤務統計!$E$1),
        AND(勤務統計!$F$1&lt;&gt;"--", IFERROR(VLOOKUP(A20,'0919門市清單主檔'!B:AH,33,FALSE),"")=勤務統計!$F$1, IFERROR(VLOOKUP(A20,勤務統計!A:U,21,FALSE),"")&lt;&gt;勤務統計!$F$1),
        AND(IFERROR(VLOOKUP(A20,'0919門市清單主檔'!B:AH,28,FALSE),"")="HUB", IFERROR(VLOOKUP(A20,勤務統計!A:W,23,FALSE),"")&lt;&gt;"HUB")
      ),
      _xlfn.TEXTJOIN(
        "，",
        TRUE,
        IF(AND(勤務統計!$D$1&lt;&gt;"--", IFERROR(VLOOKUP(A20,'0919門市清單主檔'!B:AH,31,FALSE),"")=勤務統計!$D$1, IFERROR(VLOOKUP(A20,勤務統計!A:Q,17,FALSE),"")&lt;&gt;勤務統計!$D$1), 勤務統計!$D$1, ""),
        IF(AND(勤務統計!$E$1&lt;&gt;"--", IFERROR(VLOOKUP(A20,'0919門市清單主檔'!B:AH,32,FALSE),"")=勤務統計!$E$1, IFERROR(VLOOKUP(A20,勤務統計!A:S,19,FALSE),"")&lt;&gt;勤務統計!$E$1), 勤務統計!$E$1, ""),
        IF(AND(勤務統計!$F$1&lt;&gt;"--", IFERROR(VLOOKUP(A20,'0919門市清單主檔'!B:AH,33,FALSE),"")=勤務統計!$F$1, IFERROR(VLOOKUP(A20,勤務統計!A:U,21,FALSE),"")&lt;&gt;勤務統計!$F$1), 勤務統計!$F$1, ""),
        IF(AND(IFERROR(VLOOKUP(A20,'0919門市清單主檔'!B:AH,28,FALSE),"")="HUB", IFERROR(VLOOKUP(A20,勤務統計!A:W,23,FALSE),"")&lt;&gt;"HUB"), "HUB", "")
      ) &amp; "未完工",
      "已完工"
    )
  )
)</f>
        <v>未完工</v>
      </c>
      <c r="P20" s="403" t="str">
        <f>(TEXT(I20,"yyyymmdd"))&amp;勤務統計!$V$2&amp;A20&amp;勤務統計!$V$2&amp;B20&amp;勤務統計!$S$2</f>
        <v>PMQ1-2306-八里凱旋門(定保)</v>
      </c>
      <c r="Q20" s="420" t="str">
        <f t="array" ref="Q20">IF(AND(SUMPRODUCT((IM!$F$2:$F$5000=A20)*(ISNUMBER(SEARCH(勤務統計!$D$1, IM!$AC$2:$AC$5000))))&gt;0), 勤務統計!$D$1, "")</f>
        <v/>
      </c>
      <c r="R20" s="421" t="str">
        <f t="array" ref="R20">IFERROR(INDEX(IM!$AM$2:$AM$5000, MATCH(1, (IM!$F$2:$F$5000=A20) * (ISNUMBER(SEARCH(勤務統計!$D$1, IM!$AC$2:$AC$5000))), 0)), "")</f>
        <v/>
      </c>
      <c r="S20" s="406" t="str" cm="1">
        <f t="array" ref="S20">IF(AND(SUMPRODUCT((IM!$F$2:$F$5000=A20)*(ISNUMBER(SEARCH(勤務統計!$E$1, IM!$AC$2:$AC$5000))))&gt;0), 勤務統計!$E$1, "")</f>
        <v>+L90</v>
      </c>
      <c r="T20" s="422">
        <f t="array" ref="T20">IFERROR(INDEX(IM!$AM$2:$AM$5000, MATCH(1, (IM!$F$2:$F$5000=A20) * (ISNUMBER(SEARCH(勤務統計!$E$1, IM!$AC$2:$AC$5000))), 0)), "")</f>
        <v>45965</v>
      </c>
      <c r="U20" s="406" t="str" cm="1">
        <f t="array" ref="U20">IF(AND(SUMPRODUCT((IM!$F$2:$F$5000=A20)*(ISNUMBER(SEARCH(勤務統計!$F$1, IM!$AC$2:$AC$5000))))&gt;0), 勤務統計!$F$1, "")</f>
        <v>+721</v>
      </c>
      <c r="V20" s="413">
        <f t="array" ref="V20">IFERROR(INDEX(IM!$AM$2:$AM$5000, MATCH(1, (IM!$F$2:$F$5000=A20) * (ISNUMBER(SEARCH(勤務統計!$F$1, IM!$AC$2:$AC$5000))), 0)), "")</f>
        <v>46028</v>
      </c>
      <c r="W20" s="414" t="str">
        <f>IF(VLOOKUP(A20,'0919門市清單主檔'!B:AC,28,FALSE)=0,"",VLOOKUP(A20,'0919門市清單主檔'!B:AC,28,FALSE))</f>
        <v/>
      </c>
    </row>
    <row r="21" spans="1:23" ht="21.6" customHeight="1">
      <c r="A21" s="423">
        <v>4764</v>
      </c>
      <c r="B21" s="416" t="str">
        <f>VLOOKUP(A21,'0919門市清單主檔'!B:C,2,FALSE)</f>
        <v>八里大船店</v>
      </c>
      <c r="C21" s="415" t="str">
        <f>VLOOKUP($A21,'0919門市清單主檔'!B:V,20,FALSE)</f>
        <v>新北市</v>
      </c>
      <c r="D21" s="410" t="str">
        <f>VLOOKUP($A21,'0919門市清單主檔'!B:V,21,FALSE)</f>
        <v>八里區</v>
      </c>
      <c r="E21" s="397" t="str">
        <f>VLOOKUP(D21,門市狀態!G:H,2,FALSE)</f>
        <v>吳宗鴻</v>
      </c>
      <c r="F21" s="410" t="str">
        <f>IFERROR(IF(VLOOKUP(A21,門市狀態!A:D,4,FALSE)=0,"",VLOOKUP(A21,門市狀態!A:D,4,FALSE)),"")</f>
        <v/>
      </c>
      <c r="G21" s="424"/>
      <c r="H21" s="425" t="str">
        <f>IF(I21&gt;0,(TEXT(I21,"yyyymmdd")&amp;勤務統計!$V$2&amp;A21&amp;勤務統計!$V$2&amp;B21&amp;勤務統計!$S$2),"")</f>
        <v>PMQ1-4764-八里大船店(定保)</v>
      </c>
      <c r="I21" s="247" t="str">
        <f t="array" ref="I21">IF(AND(SUMPRODUCT((IM!$F$2:$F$5000=A21)*(ISNUMBER(SEARCH(勤務統計!$C$1, IM!$AC$2:$AC$5000))))&gt;0), 勤務統計!$C$1, "")</f>
        <v>PMQ1</v>
      </c>
      <c r="J21" s="399">
        <f t="array" ref="J21">IFERROR(INDEX(IM!$AM$2:$AM$5000, MATCH(1, (IM!$F$2:$F$5000=A21) * (ISNUMBER(SEARCH(勤務統計!$C$1, IM!$AC$2:$AC$5000))), 0)), "")</f>
        <v>46028</v>
      </c>
      <c r="K21" s="400">
        <f t="array" ref="K21">SUMPRODUCT((IM!$F$2:$F$5000=A21)*(IM!$AD$2:$AD$5000="O")*(ISNUMBER(SEARCH(勤務統計!$C$1, IM!$AC$2:$AC$5000))))</f>
        <v>1</v>
      </c>
      <c r="L21" s="401" t="str">
        <f t="array" ref="L21">IF(K21&gt;0,IFERROR(HYPERLINK("#'IM'!AC"&amp;MATCH(1,(IM!$F$1:$F$5000=A21)*(ISNUMBER(SEARCH(勤務統計!$C$1,IM!$AC$1:$AC$5000))),0),"檢核"),"未登錄"),"")</f>
        <v>檢核</v>
      </c>
      <c r="M21" s="402" t="str">
        <f t="shared" si="0"/>
        <v>+L90+721</v>
      </c>
      <c r="N21" s="402" t="str">
        <f t="array" ref="N21">IF(AND(
    SUMPRODUCT(
        (IM!$F$2:$F$522=A21) *
        ISNUMBER(SEARCH("*HUB*", IM!$AC$2:$AC$522)) *
        (IM!$X$2:$X$522&gt;=勤務統計!$A$1) *
        (IM!$X$2:$X$522&lt;=勤務統計!$B$1)*(W21="HUB")
    ) &gt; 0
), "HUB", "")</f>
        <v/>
      </c>
      <c r="O21" s="400" t="str">
        <f>IF(
  IFERROR(VLOOKUP(A21,勤務統計!A:I,9,FALSE),"")&lt;&gt;勤務統計!$C$1,
  "未完工",
  IF(
    AND(勤務統計!$D$1="--",勤務統計!$E$1="--",勤務統計!$F$1="--"),
    "已完工",
    IF(
      OR(
        AND(勤務統計!$D$1&lt;&gt;"--", IFERROR(VLOOKUP(A21,'0919門市清單主檔'!B:AH,31,FALSE),"")=勤務統計!$D$1, IFERROR(VLOOKUP(A21,勤務統計!A:Q,17,FALSE),"")&lt;&gt;勤務統計!$D$1),
        AND(勤務統計!$E$1&lt;&gt;"--", IFERROR(VLOOKUP(A21,'0919門市清單主檔'!B:AH,32,FALSE),"")=勤務統計!$E$1, IFERROR(VLOOKUP(A21,勤務統計!A:S,19,FALSE),"")&lt;&gt;勤務統計!$E$1),
        AND(勤務統計!$F$1&lt;&gt;"--", IFERROR(VLOOKUP(A21,'0919門市清單主檔'!B:AH,33,FALSE),"")=勤務統計!$F$1, IFERROR(VLOOKUP(A21,勤務統計!A:U,21,FALSE),"")&lt;&gt;勤務統計!$F$1),
        AND(IFERROR(VLOOKUP(A21,'0919門市清單主檔'!B:AH,28,FALSE),"")="HUB", IFERROR(VLOOKUP(A21,勤務統計!A:W,23,FALSE),"")&lt;&gt;"HUB")
      ),
      _xlfn.TEXTJOIN(
        "，",
        TRUE,
        IF(AND(勤務統計!$D$1&lt;&gt;"--", IFERROR(VLOOKUP(A21,'0919門市清單主檔'!B:AH,31,FALSE),"")=勤務統計!$D$1, IFERROR(VLOOKUP(A21,勤務統計!A:Q,17,FALSE),"")&lt;&gt;勤務統計!$D$1), 勤務統計!$D$1, ""),
        IF(AND(勤務統計!$E$1&lt;&gt;"--", IFERROR(VLOOKUP(A21,'0919門市清單主檔'!B:AH,32,FALSE),"")=勤務統計!$E$1, IFERROR(VLOOKUP(A21,勤務統計!A:S,19,FALSE),"")&lt;&gt;勤務統計!$E$1), 勤務統計!$E$1, ""),
        IF(AND(勤務統計!$F$1&lt;&gt;"--", IFERROR(VLOOKUP(A21,'0919門市清單主檔'!B:AH,33,FALSE),"")=勤務統計!$F$1, IFERROR(VLOOKUP(A21,勤務統計!A:U,21,FALSE),"")&lt;&gt;勤務統計!$F$1), 勤務統計!$F$1, ""),
        IF(AND(IFERROR(VLOOKUP(A21,'0919門市清單主檔'!B:AH,28,FALSE),"")="HUB", IFERROR(VLOOKUP(A21,勤務統計!A:W,23,FALSE),"")&lt;&gt;"HUB"), "HUB", "")
      ) &amp; "未完工",
      "已完工"
    )
  )
)</f>
        <v>未完工</v>
      </c>
      <c r="P21" s="403" t="str">
        <f>(TEXT(I21,"yyyymmdd"))&amp;勤務統計!$V$2&amp;A21&amp;勤務統計!$V$2&amp;B21&amp;勤務統計!$S$2</f>
        <v>PMQ1-4764-八里大船店(定保)</v>
      </c>
      <c r="Q21" s="420" t="str">
        <f t="array" ref="Q21">IF(AND(SUMPRODUCT((IM!$F$2:$F$5000=A21)*(ISNUMBER(SEARCH(勤務統計!$D$1, IM!$AC$2:$AC$5000))))&gt;0), 勤務統計!$D$1, "")</f>
        <v/>
      </c>
      <c r="R21" s="421" t="str">
        <f t="array" ref="R21">IFERROR(INDEX(IM!$AM$2:$AM$5000, MATCH(1, (IM!$F$2:$F$5000=A21) * (ISNUMBER(SEARCH(勤務統計!$D$1, IM!$AC$2:$AC$5000))), 0)), "")</f>
        <v/>
      </c>
      <c r="S21" s="406" t="str" cm="1">
        <f t="array" ref="S21">IF(AND(SUMPRODUCT((IM!$F$2:$F$5000=A21)*(ISNUMBER(SEARCH(勤務統計!$E$1, IM!$AC$2:$AC$5000))))&gt;0), 勤務統計!$E$1, "")</f>
        <v>+L90</v>
      </c>
      <c r="T21" s="422">
        <f t="array" ref="T21">IFERROR(INDEX(IM!$AM$2:$AM$5000, MATCH(1, (IM!$F$2:$F$5000=A21) * (ISNUMBER(SEARCH(勤務統計!$E$1, IM!$AC$2:$AC$5000))), 0)), "")</f>
        <v>45965</v>
      </c>
      <c r="U21" s="406" t="str" cm="1">
        <f t="array" ref="U21">IF(AND(SUMPRODUCT((IM!$F$2:$F$5000=A21)*(ISNUMBER(SEARCH(勤務統計!$F$1, IM!$AC$2:$AC$5000))))&gt;0), 勤務統計!$F$1, "")</f>
        <v>+721</v>
      </c>
      <c r="V21" s="413">
        <f t="array" ref="V21">IFERROR(INDEX(IM!$AM$2:$AM$5000, MATCH(1, (IM!$F$2:$F$5000=A21) * (ISNUMBER(SEARCH(勤務統計!$F$1, IM!$AC$2:$AC$5000))), 0)), "")</f>
        <v>46028</v>
      </c>
      <c r="W21" s="414" t="str">
        <f>IF(VLOOKUP(A21,'0919門市清單主檔'!B:AC,28,FALSE)=0,"",VLOOKUP(A21,'0919門市清單主檔'!B:AC,28,FALSE))</f>
        <v/>
      </c>
    </row>
    <row r="22" spans="1:23" ht="21.6" customHeight="1">
      <c r="A22" s="423">
        <v>5074</v>
      </c>
      <c r="B22" s="416" t="str">
        <f>VLOOKUP(A22,'0919門市清單主檔'!B:C,2,FALSE)</f>
        <v>八里福德新村</v>
      </c>
      <c r="C22" s="415" t="str">
        <f>VLOOKUP($A22,'0919門市清單主檔'!B:V,20,FALSE)</f>
        <v>新北市</v>
      </c>
      <c r="D22" s="410" t="str">
        <f>VLOOKUP($A22,'0919門市清單主檔'!B:V,21,FALSE)</f>
        <v>八里區</v>
      </c>
      <c r="E22" s="397" t="str">
        <f>VLOOKUP(D22,門市狀態!G:H,2,FALSE)</f>
        <v>吳宗鴻</v>
      </c>
      <c r="F22" s="410" t="str">
        <f>IFERROR(IF(VLOOKUP(A22,門市狀態!A:D,4,FALSE)=0,"",VLOOKUP(A22,門市狀態!A:D,4,FALSE)),"")</f>
        <v/>
      </c>
      <c r="G22" s="424"/>
      <c r="H22" s="425" t="str">
        <f>IF(I22&gt;0,(TEXT(I22,"yyyymmdd")&amp;勤務統計!$V$2&amp;A22&amp;勤務統計!$V$2&amp;B22&amp;勤務統計!$S$2),"")</f>
        <v>PMQ1-5074-八里福德新村(定保)</v>
      </c>
      <c r="I22" s="247" t="str">
        <f t="array" ref="I22">IF(AND(SUMPRODUCT((IM!$F$2:$F$5000=A22)*(ISNUMBER(SEARCH(勤務統計!$C$1, IM!$AC$2:$AC$5000))))&gt;0), 勤務統計!$C$1, "")</f>
        <v>PMQ1</v>
      </c>
      <c r="J22" s="399">
        <f t="array" ref="J22">IFERROR(INDEX(IM!$AM$2:$AM$5000, MATCH(1, (IM!$F$2:$F$5000=A22) * (ISNUMBER(SEARCH(勤務統計!$C$1, IM!$AC$2:$AC$5000))), 0)), "")</f>
        <v>46028</v>
      </c>
      <c r="K22" s="400">
        <f t="array" ref="K22">SUMPRODUCT((IM!$F$2:$F$5000=A22)*(IM!$AD$2:$AD$5000="O")*(ISNUMBER(SEARCH(勤務統計!$C$1, IM!$AC$2:$AC$5000))))</f>
        <v>1</v>
      </c>
      <c r="L22" s="401" t="str">
        <f t="array" ref="L22">IF(K22&gt;0,IFERROR(HYPERLINK("#'IM'!AC"&amp;MATCH(1,(IM!$F$1:$F$5000=A22)*(ISNUMBER(SEARCH(勤務統計!$C$1,IM!$AC$1:$AC$5000))),0),"檢核"),"未登錄"),"")</f>
        <v>檢核</v>
      </c>
      <c r="M22" s="402" t="str">
        <f t="shared" si="0"/>
        <v>+L90+721</v>
      </c>
      <c r="N22" s="402" t="str">
        <f t="array" ref="N22">IF(AND(
    SUMPRODUCT(
        (IM!$F$2:$F$522=A22) *
        ISNUMBER(SEARCH("*HUB*", IM!$AC$2:$AC$522)) *
        (IM!$X$2:$X$522&gt;=勤務統計!$A$1) *
        (IM!$X$2:$X$522&lt;=勤務統計!$B$1)*(W22="HUB")
    ) &gt; 0
), "HUB", "")</f>
        <v/>
      </c>
      <c r="O22" s="400" t="str">
        <f>IF(
  IFERROR(VLOOKUP(A22,勤務統計!A:I,9,FALSE),"")&lt;&gt;勤務統計!$C$1,
  "未完工",
  IF(
    AND(勤務統計!$D$1="--",勤務統計!$E$1="--",勤務統計!$F$1="--"),
    "已完工",
    IF(
      OR(
        AND(勤務統計!$D$1&lt;&gt;"--", IFERROR(VLOOKUP(A22,'0919門市清單主檔'!B:AH,31,FALSE),"")=勤務統計!$D$1, IFERROR(VLOOKUP(A22,勤務統計!A:Q,17,FALSE),"")&lt;&gt;勤務統計!$D$1),
        AND(勤務統計!$E$1&lt;&gt;"--", IFERROR(VLOOKUP(A22,'0919門市清單主檔'!B:AH,32,FALSE),"")=勤務統計!$E$1, IFERROR(VLOOKUP(A22,勤務統計!A:S,19,FALSE),"")&lt;&gt;勤務統計!$E$1),
        AND(勤務統計!$F$1&lt;&gt;"--", IFERROR(VLOOKUP(A22,'0919門市清單主檔'!B:AH,33,FALSE),"")=勤務統計!$F$1, IFERROR(VLOOKUP(A22,勤務統計!A:U,21,FALSE),"")&lt;&gt;勤務統計!$F$1),
        AND(IFERROR(VLOOKUP(A22,'0919門市清單主檔'!B:AH,28,FALSE),"")="HUB", IFERROR(VLOOKUP(A22,勤務統計!A:W,23,FALSE),"")&lt;&gt;"HUB")
      ),
      _xlfn.TEXTJOIN(
        "，",
        TRUE,
        IF(AND(勤務統計!$D$1&lt;&gt;"--", IFERROR(VLOOKUP(A22,'0919門市清單主檔'!B:AH,31,FALSE),"")=勤務統計!$D$1, IFERROR(VLOOKUP(A22,勤務統計!A:Q,17,FALSE),"")&lt;&gt;勤務統計!$D$1), 勤務統計!$D$1, ""),
        IF(AND(勤務統計!$E$1&lt;&gt;"--", IFERROR(VLOOKUP(A22,'0919門市清單主檔'!B:AH,32,FALSE),"")=勤務統計!$E$1, IFERROR(VLOOKUP(A22,勤務統計!A:S,19,FALSE),"")&lt;&gt;勤務統計!$E$1), 勤務統計!$E$1, ""),
        IF(AND(勤務統計!$F$1&lt;&gt;"--", IFERROR(VLOOKUP(A22,'0919門市清單主檔'!B:AH,33,FALSE),"")=勤務統計!$F$1, IFERROR(VLOOKUP(A22,勤務統計!A:U,21,FALSE),"")&lt;&gt;勤務統計!$F$1), 勤務統計!$F$1, ""),
        IF(AND(IFERROR(VLOOKUP(A22,'0919門市清單主檔'!B:AH,28,FALSE),"")="HUB", IFERROR(VLOOKUP(A22,勤務統計!A:W,23,FALSE),"")&lt;&gt;"HUB"), "HUB", "")
      ) &amp; "未完工",
      "已完工"
    )
  )
)</f>
        <v>未完工</v>
      </c>
      <c r="P22" s="403" t="str">
        <f>(TEXT(I22,"yyyymmdd"))&amp;勤務統計!$V$2&amp;A22&amp;勤務統計!$V$2&amp;B22&amp;勤務統計!$S$2</f>
        <v>PMQ1-5074-八里福德新村(定保)</v>
      </c>
      <c r="Q22" s="420" t="str">
        <f t="array" ref="Q22">IF(AND(SUMPRODUCT((IM!$F$2:$F$5000=A22)*(ISNUMBER(SEARCH(勤務統計!$D$1, IM!$AC$2:$AC$5000))))&gt;0), 勤務統計!$D$1, "")</f>
        <v/>
      </c>
      <c r="R22" s="421" t="str">
        <f t="array" ref="R22">IFERROR(INDEX(IM!$AM$2:$AM$5000, MATCH(1, (IM!$F$2:$F$5000=A22) * (ISNUMBER(SEARCH(勤務統計!$D$1, IM!$AC$2:$AC$5000))), 0)), "")</f>
        <v/>
      </c>
      <c r="S22" s="406" t="str" cm="1">
        <f t="array" ref="S22">IF(AND(SUMPRODUCT((IM!$F$2:$F$5000=A22)*(ISNUMBER(SEARCH(勤務統計!$E$1, IM!$AC$2:$AC$5000))))&gt;0), 勤務統計!$E$1, "")</f>
        <v>+L90</v>
      </c>
      <c r="T22" s="422">
        <f t="array" ref="T22">IFERROR(INDEX(IM!$AM$2:$AM$5000, MATCH(1, (IM!$F$2:$F$5000=A22) * (ISNUMBER(SEARCH(勤務統計!$E$1, IM!$AC$2:$AC$5000))), 0)), "")</f>
        <v>45965</v>
      </c>
      <c r="U22" s="406" t="str" cm="1">
        <f t="array" ref="U22">IF(AND(SUMPRODUCT((IM!$F$2:$F$5000=A22)*(ISNUMBER(SEARCH(勤務統計!$F$1, IM!$AC$2:$AC$5000))))&gt;0), 勤務統計!$F$1, "")</f>
        <v>+721</v>
      </c>
      <c r="V22" s="413">
        <f t="array" ref="V22">IFERROR(INDEX(IM!$AM$2:$AM$5000, MATCH(1, (IM!$F$2:$F$5000=A22) * (ISNUMBER(SEARCH(勤務統計!$F$1, IM!$AC$2:$AC$5000))), 0)), "")</f>
        <v>46028</v>
      </c>
      <c r="W22" s="414" t="str">
        <f>IF(VLOOKUP(A22,'0919門市清單主檔'!B:AC,28,FALSE)=0,"",VLOOKUP(A22,'0919門市清單主檔'!B:AC,28,FALSE))</f>
        <v/>
      </c>
    </row>
    <row r="23" spans="1:23" ht="21.6" customHeight="1">
      <c r="A23" s="423">
        <v>3458</v>
      </c>
      <c r="B23" s="416" t="str">
        <f>VLOOKUP(A23,'0919門市清單主檔'!B:C,2,FALSE)</f>
        <v>八里龍米店</v>
      </c>
      <c r="C23" s="415" t="str">
        <f>VLOOKUP($A23,'0919門市清單主檔'!B:V,20,FALSE)</f>
        <v>新北市</v>
      </c>
      <c r="D23" s="410" t="str">
        <f>VLOOKUP($A23,'0919門市清單主檔'!B:V,21,FALSE)</f>
        <v>八里區</v>
      </c>
      <c r="E23" s="397" t="str">
        <f>VLOOKUP(D23,門市狀態!G:H,2,FALSE)</f>
        <v>吳宗鴻</v>
      </c>
      <c r="F23" s="410" t="str">
        <f>IFERROR(IF(VLOOKUP(A23,門市狀態!A:D,4,FALSE)=0,"",VLOOKUP(A23,門市狀態!A:D,4,FALSE)),"")</f>
        <v/>
      </c>
      <c r="G23" s="424"/>
      <c r="H23" s="425" t="str">
        <f>IF(I23&gt;0,(TEXT(I23,"yyyymmdd")&amp;勤務統計!$V$2&amp;A23&amp;勤務統計!$V$2&amp;B23&amp;勤務統計!$S$2),"")</f>
        <v>PMQ1-3458-八里龍米店(定保)</v>
      </c>
      <c r="I23" s="247" t="str">
        <f t="array" ref="I23">IF(AND(SUMPRODUCT((IM!$F$2:$F$5000=A23)*(ISNUMBER(SEARCH(勤務統計!$C$1, IM!$AC$2:$AC$5000))))&gt;0), 勤務統計!$C$1, "")</f>
        <v>PMQ1</v>
      </c>
      <c r="J23" s="399">
        <f t="array" ref="J23">IFERROR(INDEX(IM!$AM$2:$AM$5000, MATCH(1, (IM!$F$2:$F$5000=A23) * (ISNUMBER(SEARCH(勤務統計!$C$1, IM!$AC$2:$AC$5000))), 0)), "")</f>
        <v>46028</v>
      </c>
      <c r="K23" s="400">
        <f t="array" ref="K23">SUMPRODUCT((IM!$F$2:$F$5000=A23)*(IM!$AD$2:$AD$5000="O")*(ISNUMBER(SEARCH(勤務統計!$C$1, IM!$AC$2:$AC$5000))))</f>
        <v>1</v>
      </c>
      <c r="L23" s="401" t="str">
        <f t="array" ref="L23">IF(K23&gt;0,IFERROR(HYPERLINK("#'IM'!AC"&amp;MATCH(1,(IM!$F$1:$F$5000=A23)*(ISNUMBER(SEARCH(勤務統計!$C$1,IM!$AC$1:$AC$5000))),0),"檢核"),"未登錄"),"")</f>
        <v>檢核</v>
      </c>
      <c r="M23" s="402" t="str">
        <f t="shared" si="0"/>
        <v>+L90+721</v>
      </c>
      <c r="N23" s="402" t="str">
        <f t="array" ref="N23">IF(AND(
    SUMPRODUCT(
        (IM!$F$2:$F$522=A23) *
        ISNUMBER(SEARCH("*HUB*", IM!$AC$2:$AC$522)) *
        (IM!$X$2:$X$522&gt;=勤務統計!$A$1) *
        (IM!$X$2:$X$522&lt;=勤務統計!$B$1)*(W23="HUB")
    ) &gt; 0
), "HUB", "")</f>
        <v/>
      </c>
      <c r="O23" s="400" t="str">
        <f>IF(
  IFERROR(VLOOKUP(A23,勤務統計!A:I,9,FALSE),"")&lt;&gt;勤務統計!$C$1,
  "未完工",
  IF(
    AND(勤務統計!$D$1="--",勤務統計!$E$1="--",勤務統計!$F$1="--"),
    "已完工",
    IF(
      OR(
        AND(勤務統計!$D$1&lt;&gt;"--", IFERROR(VLOOKUP(A23,'0919門市清單主檔'!B:AH,31,FALSE),"")=勤務統計!$D$1, IFERROR(VLOOKUP(A23,勤務統計!A:Q,17,FALSE),"")&lt;&gt;勤務統計!$D$1),
        AND(勤務統計!$E$1&lt;&gt;"--", IFERROR(VLOOKUP(A23,'0919門市清單主檔'!B:AH,32,FALSE),"")=勤務統計!$E$1, IFERROR(VLOOKUP(A23,勤務統計!A:S,19,FALSE),"")&lt;&gt;勤務統計!$E$1),
        AND(勤務統計!$F$1&lt;&gt;"--", IFERROR(VLOOKUP(A23,'0919門市清單主檔'!B:AH,33,FALSE),"")=勤務統計!$F$1, IFERROR(VLOOKUP(A23,勤務統計!A:U,21,FALSE),"")&lt;&gt;勤務統計!$F$1),
        AND(IFERROR(VLOOKUP(A23,'0919門市清單主檔'!B:AH,28,FALSE),"")="HUB", IFERROR(VLOOKUP(A23,勤務統計!A:W,23,FALSE),"")&lt;&gt;"HUB")
      ),
      _xlfn.TEXTJOIN(
        "，",
        TRUE,
        IF(AND(勤務統計!$D$1&lt;&gt;"--", IFERROR(VLOOKUP(A23,'0919門市清單主檔'!B:AH,31,FALSE),"")=勤務統計!$D$1, IFERROR(VLOOKUP(A23,勤務統計!A:Q,17,FALSE),"")&lt;&gt;勤務統計!$D$1), 勤務統計!$D$1, ""),
        IF(AND(勤務統計!$E$1&lt;&gt;"--", IFERROR(VLOOKUP(A23,'0919門市清單主檔'!B:AH,32,FALSE),"")=勤務統計!$E$1, IFERROR(VLOOKUP(A23,勤務統計!A:S,19,FALSE),"")&lt;&gt;勤務統計!$E$1), 勤務統計!$E$1, ""),
        IF(AND(勤務統計!$F$1&lt;&gt;"--", IFERROR(VLOOKUP(A23,'0919門市清單主檔'!B:AH,33,FALSE),"")=勤務統計!$F$1, IFERROR(VLOOKUP(A23,勤務統計!A:U,21,FALSE),"")&lt;&gt;勤務統計!$F$1), 勤務統計!$F$1, ""),
        IF(AND(IFERROR(VLOOKUP(A23,'0919門市清單主檔'!B:AH,28,FALSE),"")="HUB", IFERROR(VLOOKUP(A23,勤務統計!A:W,23,FALSE),"")&lt;&gt;"HUB"), "HUB", "")
      ) &amp; "未完工",
      "已完工"
    )
  )
)</f>
        <v>未完工</v>
      </c>
      <c r="P23" s="403" t="str">
        <f>(TEXT(I23,"yyyymmdd"))&amp;勤務統計!$V$2&amp;A23&amp;勤務統計!$V$2&amp;B23&amp;勤務統計!$S$2</f>
        <v>PMQ1-3458-八里龍米店(定保)</v>
      </c>
      <c r="Q23" s="420" t="str">
        <f t="array" ref="Q23">IF(AND(SUMPRODUCT((IM!$F$2:$F$5000=A23)*(ISNUMBER(SEARCH(勤務統計!$D$1, IM!$AC$2:$AC$5000))))&gt;0), 勤務統計!$D$1, "")</f>
        <v/>
      </c>
      <c r="R23" s="421" t="str">
        <f t="array" ref="R23">IFERROR(INDEX(IM!$AM$2:$AM$5000, MATCH(1, (IM!$F$2:$F$5000=A23) * (ISNUMBER(SEARCH(勤務統計!$D$1, IM!$AC$2:$AC$5000))), 0)), "")</f>
        <v/>
      </c>
      <c r="S23" s="406" t="str" cm="1">
        <f t="array" ref="S23">IF(AND(SUMPRODUCT((IM!$F$2:$F$5000=A23)*(ISNUMBER(SEARCH(勤務統計!$E$1, IM!$AC$2:$AC$5000))))&gt;0), 勤務統計!$E$1, "")</f>
        <v>+L90</v>
      </c>
      <c r="T23" s="422">
        <f t="array" ref="T23">IFERROR(INDEX(IM!$AM$2:$AM$5000, MATCH(1, (IM!$F$2:$F$5000=A23) * (ISNUMBER(SEARCH(勤務統計!$E$1, IM!$AC$2:$AC$5000))), 0)), "")</f>
        <v>45965</v>
      </c>
      <c r="U23" s="406" t="str" cm="1">
        <f t="array" ref="U23">IF(AND(SUMPRODUCT((IM!$F$2:$F$5000=A23)*(ISNUMBER(SEARCH(勤務統計!$F$1, IM!$AC$2:$AC$5000))))&gt;0), 勤務統計!$F$1, "")</f>
        <v>+721</v>
      </c>
      <c r="V23" s="413">
        <f t="array" ref="V23">IFERROR(INDEX(IM!$AM$2:$AM$5000, MATCH(1, (IM!$F$2:$F$5000=A23) * (ISNUMBER(SEARCH(勤務統計!$F$1, IM!$AC$2:$AC$5000))), 0)), "")</f>
        <v>46028</v>
      </c>
      <c r="W23" s="414" t="str">
        <f>IF(VLOOKUP(A23,'0919門市清單主檔'!B:AC,28,FALSE)=0,"",VLOOKUP(A23,'0919門市清單主檔'!B:AC,28,FALSE))</f>
        <v/>
      </c>
    </row>
    <row r="24" spans="1:23" ht="21.6" customHeight="1">
      <c r="A24" s="423">
        <v>2442</v>
      </c>
      <c r="B24" s="416" t="str">
        <f>VLOOKUP(A24,'0919門市清單主檔'!B:C,2,FALSE)</f>
        <v>北縣商港店</v>
      </c>
      <c r="C24" s="415" t="str">
        <f>VLOOKUP($A24,'0919門市清單主檔'!B:V,20,FALSE)</f>
        <v>新北市</v>
      </c>
      <c r="D24" s="410" t="str">
        <f>VLOOKUP($A24,'0919門市清單主檔'!B:V,21,FALSE)</f>
        <v>八里區</v>
      </c>
      <c r="E24" s="397" t="str">
        <f>VLOOKUP(D24,門市狀態!G:H,2,FALSE)</f>
        <v>吳宗鴻</v>
      </c>
      <c r="F24" s="410" t="str">
        <f>IFERROR(IF(VLOOKUP(A24,門市狀態!A:D,4,FALSE)=0,"",VLOOKUP(A24,門市狀態!A:D,4,FALSE)),"")</f>
        <v/>
      </c>
      <c r="G24" s="424"/>
      <c r="H24" s="425" t="str">
        <f>IF(I24&gt;0,(TEXT(I24,"yyyymmdd")&amp;勤務統計!$V$2&amp;A24&amp;勤務統計!$V$2&amp;B24&amp;勤務統計!$S$2),"")</f>
        <v>PMQ1-2442-北縣商港店(定保)</v>
      </c>
      <c r="I24" s="247" t="str">
        <f t="array" ref="I24">IF(AND(SUMPRODUCT((IM!$F$2:$F$5000=A24)*(ISNUMBER(SEARCH(勤務統計!$C$1, IM!$AC$2:$AC$5000))))&gt;0), 勤務統計!$C$1, "")</f>
        <v>PMQ1</v>
      </c>
      <c r="J24" s="399">
        <f t="array" ref="J24">IFERROR(INDEX(IM!$AM$2:$AM$5000, MATCH(1, (IM!$F$2:$F$5000=A24) * (ISNUMBER(SEARCH(勤務統計!$C$1, IM!$AC$2:$AC$5000))), 0)), "")</f>
        <v>46028</v>
      </c>
      <c r="K24" s="400">
        <f t="array" ref="K24">SUMPRODUCT((IM!$F$2:$F$5000=A24)*(IM!$AD$2:$AD$5000="O")*(ISNUMBER(SEARCH(勤務統計!$C$1, IM!$AC$2:$AC$5000))))</f>
        <v>1</v>
      </c>
      <c r="L24" s="401" t="str">
        <f t="array" ref="L24">IF(K24&gt;0,IFERROR(HYPERLINK("#'IM'!AC"&amp;MATCH(1,(IM!$F$1:$F$5000=A24)*(ISNUMBER(SEARCH(勤務統計!$C$1,IM!$AC$1:$AC$5000))),0),"檢核"),"未登錄"),"")</f>
        <v>檢核</v>
      </c>
      <c r="M24" s="402" t="str">
        <f t="shared" si="0"/>
        <v>+L90+721</v>
      </c>
      <c r="N24" s="402" t="str">
        <f t="array" ref="N24">IF(AND(
    SUMPRODUCT(
        (IM!$F$2:$F$522=A24) *
        ISNUMBER(SEARCH("*HUB*", IM!$AC$2:$AC$522)) *
        (IM!$X$2:$X$522&gt;=勤務統計!$A$1) *
        (IM!$X$2:$X$522&lt;=勤務統計!$B$1)*(W24="HUB")
    ) &gt; 0
), "HUB", "")</f>
        <v/>
      </c>
      <c r="O24" s="400" t="str">
        <f>IF(
  IFERROR(VLOOKUP(A24,勤務統計!A:I,9,FALSE),"")&lt;&gt;勤務統計!$C$1,
  "未完工",
  IF(
    AND(勤務統計!$D$1="--",勤務統計!$E$1="--",勤務統計!$F$1="--"),
    "已完工",
    IF(
      OR(
        AND(勤務統計!$D$1&lt;&gt;"--", IFERROR(VLOOKUP(A24,'0919門市清單主檔'!B:AH,31,FALSE),"")=勤務統計!$D$1, IFERROR(VLOOKUP(A24,勤務統計!A:Q,17,FALSE),"")&lt;&gt;勤務統計!$D$1),
        AND(勤務統計!$E$1&lt;&gt;"--", IFERROR(VLOOKUP(A24,'0919門市清單主檔'!B:AH,32,FALSE),"")=勤務統計!$E$1, IFERROR(VLOOKUP(A24,勤務統計!A:S,19,FALSE),"")&lt;&gt;勤務統計!$E$1),
        AND(勤務統計!$F$1&lt;&gt;"--", IFERROR(VLOOKUP(A24,'0919門市清單主檔'!B:AH,33,FALSE),"")=勤務統計!$F$1, IFERROR(VLOOKUP(A24,勤務統計!A:U,21,FALSE),"")&lt;&gt;勤務統計!$F$1),
        AND(IFERROR(VLOOKUP(A24,'0919門市清單主檔'!B:AH,28,FALSE),"")="HUB", IFERROR(VLOOKUP(A24,勤務統計!A:W,23,FALSE),"")&lt;&gt;"HUB")
      ),
      _xlfn.TEXTJOIN(
        "，",
        TRUE,
        IF(AND(勤務統計!$D$1&lt;&gt;"--", IFERROR(VLOOKUP(A24,'0919門市清單主檔'!B:AH,31,FALSE),"")=勤務統計!$D$1, IFERROR(VLOOKUP(A24,勤務統計!A:Q,17,FALSE),"")&lt;&gt;勤務統計!$D$1), 勤務統計!$D$1, ""),
        IF(AND(勤務統計!$E$1&lt;&gt;"--", IFERROR(VLOOKUP(A24,'0919門市清單主檔'!B:AH,32,FALSE),"")=勤務統計!$E$1, IFERROR(VLOOKUP(A24,勤務統計!A:S,19,FALSE),"")&lt;&gt;勤務統計!$E$1), 勤務統計!$E$1, ""),
        IF(AND(勤務統計!$F$1&lt;&gt;"--", IFERROR(VLOOKUP(A24,'0919門市清單主檔'!B:AH,33,FALSE),"")=勤務統計!$F$1, IFERROR(VLOOKUP(A24,勤務統計!A:U,21,FALSE),"")&lt;&gt;勤務統計!$F$1), 勤務統計!$F$1, ""),
        IF(AND(IFERROR(VLOOKUP(A24,'0919門市清單主檔'!B:AH,28,FALSE),"")="HUB", IFERROR(VLOOKUP(A24,勤務統計!A:W,23,FALSE),"")&lt;&gt;"HUB"), "HUB", "")
      ) &amp; "未完工",
      "已完工"
    )
  )
)</f>
        <v>未完工</v>
      </c>
      <c r="P24" s="403" t="str">
        <f>(TEXT(I24,"yyyymmdd"))&amp;勤務統計!$V$2&amp;A24&amp;勤務統計!$V$2&amp;B24&amp;勤務統計!$S$2</f>
        <v>PMQ1-2442-北縣商港店(定保)</v>
      </c>
      <c r="Q24" s="420" t="str">
        <f t="array" ref="Q24">IF(AND(SUMPRODUCT((IM!$F$2:$F$5000=A24)*(ISNUMBER(SEARCH(勤務統計!$D$1, IM!$AC$2:$AC$5000))))&gt;0), 勤務統計!$D$1, "")</f>
        <v/>
      </c>
      <c r="R24" s="421" t="str">
        <f t="array" ref="R24">IFERROR(INDEX(IM!$AM$2:$AM$5000, MATCH(1, (IM!$F$2:$F$5000=A24) * (ISNUMBER(SEARCH(勤務統計!$D$1, IM!$AC$2:$AC$5000))), 0)), "")</f>
        <v/>
      </c>
      <c r="S24" s="406" t="str" cm="1">
        <f t="array" ref="S24">IF(AND(SUMPRODUCT((IM!$F$2:$F$5000=A24)*(ISNUMBER(SEARCH(勤務統計!$E$1, IM!$AC$2:$AC$5000))))&gt;0), 勤務統計!$E$1, "")</f>
        <v>+L90</v>
      </c>
      <c r="T24" s="422">
        <f t="array" ref="T24">IFERROR(INDEX(IM!$AM$2:$AM$5000, MATCH(1, (IM!$F$2:$F$5000=A24) * (ISNUMBER(SEARCH(勤務統計!$E$1, IM!$AC$2:$AC$5000))), 0)), "")</f>
        <v>45965</v>
      </c>
      <c r="U24" s="406" t="str" cm="1">
        <f t="array" ref="U24">IF(AND(SUMPRODUCT((IM!$F$2:$F$5000=A24)*(ISNUMBER(SEARCH(勤務統計!$F$1, IM!$AC$2:$AC$5000))))&gt;0), 勤務統計!$F$1, "")</f>
        <v>+721</v>
      </c>
      <c r="V24" s="413">
        <f t="array" ref="V24">IFERROR(INDEX(IM!$AM$2:$AM$5000, MATCH(1, (IM!$F$2:$F$5000=A24) * (ISNUMBER(SEARCH(勤務統計!$F$1, IM!$AC$2:$AC$5000))), 0)), "")</f>
        <v>46028</v>
      </c>
      <c r="W24" s="414" t="str">
        <f>IF(VLOOKUP(A24,'0919門市清單主檔'!B:AC,28,FALSE)=0,"",VLOOKUP(A24,'0919門市清單主檔'!B:AC,28,FALSE))</f>
        <v/>
      </c>
    </row>
    <row r="25" spans="1:23" ht="21.6" customHeight="1">
      <c r="A25" s="423">
        <v>4243</v>
      </c>
      <c r="B25" s="416" t="str">
        <f>VLOOKUP(A25,'0919門市清單主檔'!B:C,2,FALSE)</f>
        <v>八里聖心店</v>
      </c>
      <c r="C25" s="415" t="str">
        <f>VLOOKUP($A25,'0919門市清單主檔'!B:V,20,FALSE)</f>
        <v>新北市</v>
      </c>
      <c r="D25" s="410" t="str">
        <f>VLOOKUP($A25,'0919門市清單主檔'!B:V,21,FALSE)</f>
        <v>八里區</v>
      </c>
      <c r="E25" s="397" t="str">
        <f>VLOOKUP(D25,門市狀態!G:H,2,FALSE)</f>
        <v>吳宗鴻</v>
      </c>
      <c r="F25" s="410" t="str">
        <f>IFERROR(IF(VLOOKUP(A25,門市狀態!A:D,4,FALSE)=0,"",VLOOKUP(A25,門市狀態!A:D,4,FALSE)),"")</f>
        <v/>
      </c>
      <c r="G25" s="424"/>
      <c r="H25" s="425" t="str">
        <f>IF(I25&gt;0,(TEXT(I25,"yyyymmdd")&amp;勤務統計!$V$2&amp;A25&amp;勤務統計!$V$2&amp;B25&amp;勤務統計!$S$2),"")</f>
        <v>PMQ1-4243-八里聖心店(定保)</v>
      </c>
      <c r="I25" s="247" t="str">
        <f t="array" ref="I25">IF(AND(SUMPRODUCT((IM!$F$2:$F$5000=A25)*(ISNUMBER(SEARCH(勤務統計!$C$1, IM!$AC$2:$AC$5000))))&gt;0), 勤務統計!$C$1, "")</f>
        <v>PMQ1</v>
      </c>
      <c r="J25" s="399">
        <f t="array" ref="J25">IFERROR(INDEX(IM!$AM$2:$AM$5000, MATCH(1, (IM!$F$2:$F$5000=A25) * (ISNUMBER(SEARCH(勤務統計!$C$1, IM!$AC$2:$AC$5000))), 0)), "")</f>
        <v>46028</v>
      </c>
      <c r="K25" s="400">
        <f t="array" ref="K25">SUMPRODUCT((IM!$F$2:$F$5000=A25)*(IM!$AD$2:$AD$5000="O")*(ISNUMBER(SEARCH(勤務統計!$C$1, IM!$AC$2:$AC$5000))))</f>
        <v>1</v>
      </c>
      <c r="L25" s="401" t="str">
        <f t="array" ref="L25">IF(K25&gt;0,IFERROR(HYPERLINK("#'IM'!AC"&amp;MATCH(1,(IM!$F$1:$F$5000=A25)*(ISNUMBER(SEARCH(勤務統計!$C$1,IM!$AC$1:$AC$5000))),0),"檢核"),"未登錄"),"")</f>
        <v>檢核</v>
      </c>
      <c r="M25" s="402" t="str">
        <f t="shared" si="0"/>
        <v>+L90+721</v>
      </c>
      <c r="N25" s="402" t="str">
        <f t="array" ref="N25">IF(AND(
    SUMPRODUCT(
        (IM!$F$2:$F$522=A25) *
        ISNUMBER(SEARCH("*HUB*", IM!$AC$2:$AC$522)) *
        (IM!$X$2:$X$522&gt;=勤務統計!$A$1) *
        (IM!$X$2:$X$522&lt;=勤務統計!$B$1)*(W25="HUB")
    ) &gt; 0
), "HUB", "")</f>
        <v/>
      </c>
      <c r="O25" s="400" t="str">
        <f>IF(
  IFERROR(VLOOKUP(A25,勤務統計!A:I,9,FALSE),"")&lt;&gt;勤務統計!$C$1,
  "未完工",
  IF(
    AND(勤務統計!$D$1="--",勤務統計!$E$1="--",勤務統計!$F$1="--"),
    "已完工",
    IF(
      OR(
        AND(勤務統計!$D$1&lt;&gt;"--", IFERROR(VLOOKUP(A25,'0919門市清單主檔'!B:AH,31,FALSE),"")=勤務統計!$D$1, IFERROR(VLOOKUP(A25,勤務統計!A:Q,17,FALSE),"")&lt;&gt;勤務統計!$D$1),
        AND(勤務統計!$E$1&lt;&gt;"--", IFERROR(VLOOKUP(A25,'0919門市清單主檔'!B:AH,32,FALSE),"")=勤務統計!$E$1, IFERROR(VLOOKUP(A25,勤務統計!A:S,19,FALSE),"")&lt;&gt;勤務統計!$E$1),
        AND(勤務統計!$F$1&lt;&gt;"--", IFERROR(VLOOKUP(A25,'0919門市清單主檔'!B:AH,33,FALSE),"")=勤務統計!$F$1, IFERROR(VLOOKUP(A25,勤務統計!A:U,21,FALSE),"")&lt;&gt;勤務統計!$F$1),
        AND(IFERROR(VLOOKUP(A25,'0919門市清單主檔'!B:AH,28,FALSE),"")="HUB", IFERROR(VLOOKUP(A25,勤務統計!A:W,23,FALSE),"")&lt;&gt;"HUB")
      ),
      _xlfn.TEXTJOIN(
        "，",
        TRUE,
        IF(AND(勤務統計!$D$1&lt;&gt;"--", IFERROR(VLOOKUP(A25,'0919門市清單主檔'!B:AH,31,FALSE),"")=勤務統計!$D$1, IFERROR(VLOOKUP(A25,勤務統計!A:Q,17,FALSE),"")&lt;&gt;勤務統計!$D$1), 勤務統計!$D$1, ""),
        IF(AND(勤務統計!$E$1&lt;&gt;"--", IFERROR(VLOOKUP(A25,'0919門市清單主檔'!B:AH,32,FALSE),"")=勤務統計!$E$1, IFERROR(VLOOKUP(A25,勤務統計!A:S,19,FALSE),"")&lt;&gt;勤務統計!$E$1), 勤務統計!$E$1, ""),
        IF(AND(勤務統計!$F$1&lt;&gt;"--", IFERROR(VLOOKUP(A25,'0919門市清單主檔'!B:AH,33,FALSE),"")=勤務統計!$F$1, IFERROR(VLOOKUP(A25,勤務統計!A:U,21,FALSE),"")&lt;&gt;勤務統計!$F$1), 勤務統計!$F$1, ""),
        IF(AND(IFERROR(VLOOKUP(A25,'0919門市清單主檔'!B:AH,28,FALSE),"")="HUB", IFERROR(VLOOKUP(A25,勤務統計!A:W,23,FALSE),"")&lt;&gt;"HUB"), "HUB", "")
      ) &amp; "未完工",
      "已完工"
    )
  )
)</f>
        <v>未完工</v>
      </c>
      <c r="P25" s="403" t="str">
        <f>(TEXT(I25,"yyyymmdd"))&amp;勤務統計!$V$2&amp;A25&amp;勤務統計!$V$2&amp;B25&amp;勤務統計!$S$2</f>
        <v>PMQ1-4243-八里聖心店(定保)</v>
      </c>
      <c r="Q25" s="420" t="str">
        <f t="array" ref="Q25">IF(AND(SUMPRODUCT((IM!$F$2:$F$5000=A25)*(ISNUMBER(SEARCH(勤務統計!$D$1, IM!$AC$2:$AC$5000))))&gt;0), 勤務統計!$D$1, "")</f>
        <v/>
      </c>
      <c r="R25" s="421" t="str">
        <f t="array" ref="R25">IFERROR(INDEX(IM!$AM$2:$AM$5000, MATCH(1, (IM!$F$2:$F$5000=A25) * (ISNUMBER(SEARCH(勤務統計!$D$1, IM!$AC$2:$AC$5000))), 0)), "")</f>
        <v/>
      </c>
      <c r="S25" s="406" t="str" cm="1">
        <f t="array" ref="S25">IF(AND(SUMPRODUCT((IM!$F$2:$F$5000=A25)*(ISNUMBER(SEARCH(勤務統計!$E$1, IM!$AC$2:$AC$5000))))&gt;0), 勤務統計!$E$1, "")</f>
        <v>+L90</v>
      </c>
      <c r="T25" s="422">
        <f t="array" ref="T25">IFERROR(INDEX(IM!$AM$2:$AM$5000, MATCH(1, (IM!$F$2:$F$5000=A25) * (ISNUMBER(SEARCH(勤務統計!$E$1, IM!$AC$2:$AC$5000))), 0)), "")</f>
        <v>45965</v>
      </c>
      <c r="U25" s="406" t="str" cm="1">
        <f t="array" ref="U25">IF(AND(SUMPRODUCT((IM!$F$2:$F$5000=A25)*(ISNUMBER(SEARCH(勤務統計!$F$1, IM!$AC$2:$AC$5000))))&gt;0), 勤務統計!$F$1, "")</f>
        <v>+721</v>
      </c>
      <c r="V25" s="413">
        <f t="array" ref="V25">IFERROR(INDEX(IM!$AM$2:$AM$5000, MATCH(1, (IM!$F$2:$F$5000=A25) * (ISNUMBER(SEARCH(勤務統計!$F$1, IM!$AC$2:$AC$5000))), 0)), "")</f>
        <v>46028</v>
      </c>
      <c r="W25" s="414" t="str">
        <f>IF(VLOOKUP(A25,'0919門市清單主檔'!B:AC,28,FALSE)=0,"",VLOOKUP(A25,'0919門市清單主檔'!B:AC,28,FALSE))</f>
        <v/>
      </c>
    </row>
    <row r="26" spans="1:23" ht="21.6" customHeight="1">
      <c r="A26" s="423">
        <v>5197</v>
      </c>
      <c r="B26" s="416" t="str">
        <f>VLOOKUP(A26,'0919門市清單主檔'!B:C,2,FALSE)</f>
        <v>蘆洲鴻悅店</v>
      </c>
      <c r="C26" s="415" t="str">
        <f>VLOOKUP($A26,'0919門市清單主檔'!B:V,20,FALSE)</f>
        <v>新北市</v>
      </c>
      <c r="D26" s="410" t="str">
        <f>VLOOKUP($A26,'0919門市清單主檔'!B:V,21,FALSE)</f>
        <v>蘆洲區</v>
      </c>
      <c r="E26" s="397" t="str">
        <f>VLOOKUP(D26,門市狀態!G:H,2,FALSE)</f>
        <v>湯家瑋</v>
      </c>
      <c r="F26" s="410" t="str">
        <f>IFERROR(IF(VLOOKUP(A26,門市狀態!A:D,4,FALSE)=0,"",VLOOKUP(A26,門市狀態!A:D,4,FALSE)),"")</f>
        <v/>
      </c>
      <c r="G26" s="424"/>
      <c r="H26" s="425" t="str">
        <f>IF(I26&gt;0,(TEXT(I26,"yyyymmdd")&amp;勤務統計!$V$2&amp;A26&amp;勤務統計!$V$2&amp;B26&amp;勤務統計!$S$2),"")</f>
        <v>PMQ1-5197-蘆洲鴻悅店(定保)</v>
      </c>
      <c r="I26" s="247" t="str">
        <f t="array" ref="I26">IF(AND(SUMPRODUCT((IM!$F$2:$F$5000=A26)*(ISNUMBER(SEARCH(勤務統計!$C$1, IM!$AC$2:$AC$5000))))&gt;0), 勤務統計!$C$1, "")</f>
        <v>PMQ1</v>
      </c>
      <c r="J26" s="399">
        <f t="array" ref="J26">IFERROR(INDEX(IM!$AM$2:$AM$5000, MATCH(1, (IM!$F$2:$F$5000=A26) * (ISNUMBER(SEARCH(勤務統計!$C$1, IM!$AC$2:$AC$5000))), 0)), "")</f>
        <v>46028</v>
      </c>
      <c r="K26" s="400">
        <f t="array" ref="K26">SUMPRODUCT((IM!$F$2:$F$5000=A26)*(IM!$AD$2:$AD$5000="O")*(ISNUMBER(SEARCH(勤務統計!$C$1, IM!$AC$2:$AC$5000))))</f>
        <v>1</v>
      </c>
      <c r="L26" s="401" t="str">
        <f t="array" ref="L26">IF(K26&gt;0,IFERROR(HYPERLINK("#'IM'!AC"&amp;MATCH(1,(IM!$F$1:$F$5000=A26)*(ISNUMBER(SEARCH(勤務統計!$C$1,IM!$AC$1:$AC$5000))),0),"檢核"),"未登錄"),"")</f>
        <v>檢核</v>
      </c>
      <c r="M26" s="402" t="str">
        <f t="shared" si="0"/>
        <v>+L90+721</v>
      </c>
      <c r="N26" s="402" t="str">
        <f t="array" ref="N26">IF(AND(
    SUMPRODUCT(
        (IM!$F$2:$F$522=A26) *
        ISNUMBER(SEARCH("*HUB*", IM!$AC$2:$AC$522)) *
        (IM!$X$2:$X$522&gt;=勤務統計!$A$1) *
        (IM!$X$2:$X$522&lt;=勤務統計!$B$1)*(W26="HUB")
    ) &gt; 0
), "HUB", "")</f>
        <v/>
      </c>
      <c r="O26" s="400" t="str">
        <f>IF(
  IFERROR(VLOOKUP(A26,勤務統計!A:I,9,FALSE),"")&lt;&gt;勤務統計!$C$1,
  "未完工",
  IF(
    AND(勤務統計!$D$1="--",勤務統計!$E$1="--",勤務統計!$F$1="--"),
    "已完工",
    IF(
      OR(
        AND(勤務統計!$D$1&lt;&gt;"--", IFERROR(VLOOKUP(A26,'0919門市清單主檔'!B:AH,31,FALSE),"")=勤務統計!$D$1, IFERROR(VLOOKUP(A26,勤務統計!A:Q,17,FALSE),"")&lt;&gt;勤務統計!$D$1),
        AND(勤務統計!$E$1&lt;&gt;"--", IFERROR(VLOOKUP(A26,'0919門市清單主檔'!B:AH,32,FALSE),"")=勤務統計!$E$1, IFERROR(VLOOKUP(A26,勤務統計!A:S,19,FALSE),"")&lt;&gt;勤務統計!$E$1),
        AND(勤務統計!$F$1&lt;&gt;"--", IFERROR(VLOOKUP(A26,'0919門市清單主檔'!B:AH,33,FALSE),"")=勤務統計!$F$1, IFERROR(VLOOKUP(A26,勤務統計!A:U,21,FALSE),"")&lt;&gt;勤務統計!$F$1),
        AND(IFERROR(VLOOKUP(A26,'0919門市清單主檔'!B:AH,28,FALSE),"")="HUB", IFERROR(VLOOKUP(A26,勤務統計!A:W,23,FALSE),"")&lt;&gt;"HUB")
      ),
      _xlfn.TEXTJOIN(
        "，",
        TRUE,
        IF(AND(勤務統計!$D$1&lt;&gt;"--", IFERROR(VLOOKUP(A26,'0919門市清單主檔'!B:AH,31,FALSE),"")=勤務統計!$D$1, IFERROR(VLOOKUP(A26,勤務統計!A:Q,17,FALSE),"")&lt;&gt;勤務統計!$D$1), 勤務統計!$D$1, ""),
        IF(AND(勤務統計!$E$1&lt;&gt;"--", IFERROR(VLOOKUP(A26,'0919門市清單主檔'!B:AH,32,FALSE),"")=勤務統計!$E$1, IFERROR(VLOOKUP(A26,勤務統計!A:S,19,FALSE),"")&lt;&gt;勤務統計!$E$1), 勤務統計!$E$1, ""),
        IF(AND(勤務統計!$F$1&lt;&gt;"--", IFERROR(VLOOKUP(A26,'0919門市清單主檔'!B:AH,33,FALSE),"")=勤務統計!$F$1, IFERROR(VLOOKUP(A26,勤務統計!A:U,21,FALSE),"")&lt;&gt;勤務統計!$F$1), 勤務統計!$F$1, ""),
        IF(AND(IFERROR(VLOOKUP(A26,'0919門市清單主檔'!B:AH,28,FALSE),"")="HUB", IFERROR(VLOOKUP(A26,勤務統計!A:W,23,FALSE),"")&lt;&gt;"HUB"), "HUB", "")
      ) &amp; "未完工",
      "已完工"
    )
  )
)</f>
        <v>未完工</v>
      </c>
      <c r="P26" s="403" t="str">
        <f>(TEXT(I26,"yyyymmdd"))&amp;勤務統計!$V$2&amp;A26&amp;勤務統計!$V$2&amp;B26&amp;勤務統計!$S$2</f>
        <v>PMQ1-5197-蘆洲鴻悅店(定保)</v>
      </c>
      <c r="Q26" s="420" t="str">
        <f t="array" ref="Q26">IF(AND(SUMPRODUCT((IM!$F$2:$F$5000=A26)*(ISNUMBER(SEARCH(勤務統計!$D$1, IM!$AC$2:$AC$5000))))&gt;0), 勤務統計!$D$1, "")</f>
        <v/>
      </c>
      <c r="R26" s="421" t="str">
        <f t="array" ref="R26">IFERROR(INDEX(IM!$AM$2:$AM$5000, MATCH(1, (IM!$F$2:$F$5000=A26) * (ISNUMBER(SEARCH(勤務統計!$D$1, IM!$AC$2:$AC$5000))), 0)), "")</f>
        <v/>
      </c>
      <c r="S26" s="406" t="str" cm="1">
        <f t="array" ref="S26">IF(AND(SUMPRODUCT((IM!$F$2:$F$5000=A26)*(ISNUMBER(SEARCH(勤務統計!$E$1, IM!$AC$2:$AC$5000))))&gt;0), 勤務統計!$E$1, "")</f>
        <v>+L90</v>
      </c>
      <c r="T26" s="422">
        <f t="array" ref="T26">IFERROR(INDEX(IM!$AM$2:$AM$5000, MATCH(1, (IM!$F$2:$F$5000=A26) * (ISNUMBER(SEARCH(勤務統計!$E$1, IM!$AC$2:$AC$5000))), 0)), "")</f>
        <v>45967</v>
      </c>
      <c r="U26" s="406" t="str" cm="1">
        <f t="array" ref="U26">IF(AND(SUMPRODUCT((IM!$F$2:$F$5000=A26)*(ISNUMBER(SEARCH(勤務統計!$F$1, IM!$AC$2:$AC$5000))))&gt;0), 勤務統計!$F$1, "")</f>
        <v>+721</v>
      </c>
      <c r="V26" s="413">
        <f t="array" ref="V26">IFERROR(INDEX(IM!$AM$2:$AM$5000, MATCH(1, (IM!$F$2:$F$5000=A26) * (ISNUMBER(SEARCH(勤務統計!$F$1, IM!$AC$2:$AC$5000))), 0)), "")</f>
        <v>46028</v>
      </c>
      <c r="W26" s="414" t="str">
        <f>IF(VLOOKUP(A26,'0919門市清單主檔'!B:AC,28,FALSE)=0,"",VLOOKUP(A26,'0919門市清單主檔'!B:AC,28,FALSE))</f>
        <v/>
      </c>
    </row>
    <row r="27" spans="1:23" ht="21.6" customHeight="1">
      <c r="A27" s="423">
        <v>2422</v>
      </c>
      <c r="B27" s="416" t="str">
        <f>VLOOKUP(A27,'0919門市清單主檔'!B:C,2,FALSE)</f>
        <v>北縣板億店</v>
      </c>
      <c r="C27" s="415" t="str">
        <f>VLOOKUP($A27,'0919門市清單主檔'!B:V,20,FALSE)</f>
        <v>新北市</v>
      </c>
      <c r="D27" s="410" t="str">
        <f>VLOOKUP($A27,'0919門市清單主檔'!B:V,21,FALSE)</f>
        <v>板橋區</v>
      </c>
      <c r="E27" s="397" t="str">
        <f>VLOOKUP(D27,門市狀態!G:H,2,FALSE)</f>
        <v>狄澤洋</v>
      </c>
      <c r="F27" s="410" t="str">
        <f>IFERROR(IF(VLOOKUP(A27,門市狀態!A:D,4,FALSE)=0,"",VLOOKUP(A27,門市狀態!A:D,4,FALSE)),"")</f>
        <v/>
      </c>
      <c r="G27" s="424"/>
      <c r="H27" s="425" t="str">
        <f>IF(I27&gt;0,(TEXT(I27,"yyyymmdd")&amp;勤務統計!$V$2&amp;A27&amp;勤務統計!$V$2&amp;B27&amp;勤務統計!$S$2),"")</f>
        <v>PMQ1-2422-北縣板億店(定保)</v>
      </c>
      <c r="I27" s="247" t="str">
        <f t="array" ref="I27">IF(AND(SUMPRODUCT((IM!$F$2:$F$5000=A27)*(ISNUMBER(SEARCH(勤務統計!$C$1, IM!$AC$2:$AC$5000))))&gt;0), 勤務統計!$C$1, "")</f>
        <v>PMQ1</v>
      </c>
      <c r="J27" s="399">
        <f t="array" ref="J27">IFERROR(INDEX(IM!$AM$2:$AM$5000, MATCH(1, (IM!$F$2:$F$5000=A27) * (ISNUMBER(SEARCH(勤務統計!$C$1, IM!$AC$2:$AC$5000))), 0)), "")</f>
        <v>46029</v>
      </c>
      <c r="K27" s="400">
        <f t="array" ref="K27">SUMPRODUCT((IM!$F$2:$F$5000=A27)*(IM!$AD$2:$AD$5000="O")*(ISNUMBER(SEARCH(勤務統計!$C$1, IM!$AC$2:$AC$5000))))</f>
        <v>1</v>
      </c>
      <c r="L27" s="401" t="str">
        <f t="array" ref="L27">IF(K27&gt;0,IFERROR(HYPERLINK("#'IM'!AC"&amp;MATCH(1,(IM!$F$1:$F$5000=A27)*(ISNUMBER(SEARCH(勤務統計!$C$1,IM!$AC$1:$AC$5000))),0),"檢核"),"未登錄"),"")</f>
        <v>檢核</v>
      </c>
      <c r="M27" s="402" t="str">
        <f t="shared" si="0"/>
        <v>+L90+721</v>
      </c>
      <c r="N27" s="402" t="str">
        <f t="array" ref="N27">IF(AND(
    SUMPRODUCT(
        (IM!$F$2:$F$522=A27) *
        ISNUMBER(SEARCH("*HUB*", IM!$AC$2:$AC$522)) *
        (IM!$X$2:$X$522&gt;=勤務統計!$A$1) *
        (IM!$X$2:$X$522&lt;=勤務統計!$B$1)*(W27="HUB")
    ) &gt; 0
), "HUB", "")</f>
        <v/>
      </c>
      <c r="O27" s="400" t="str">
        <f>IF(
  IFERROR(VLOOKUP(A27,勤務統計!A:I,9,FALSE),"")&lt;&gt;勤務統計!$C$1,
  "未完工",
  IF(
    AND(勤務統計!$D$1="--",勤務統計!$E$1="--",勤務統計!$F$1="--"),
    "已完工",
    IF(
      OR(
        AND(勤務統計!$D$1&lt;&gt;"--", IFERROR(VLOOKUP(A27,'0919門市清單主檔'!B:AH,31,FALSE),"")=勤務統計!$D$1, IFERROR(VLOOKUP(A27,勤務統計!A:Q,17,FALSE),"")&lt;&gt;勤務統計!$D$1),
        AND(勤務統計!$E$1&lt;&gt;"--", IFERROR(VLOOKUP(A27,'0919門市清單主檔'!B:AH,32,FALSE),"")=勤務統計!$E$1, IFERROR(VLOOKUP(A27,勤務統計!A:S,19,FALSE),"")&lt;&gt;勤務統計!$E$1),
        AND(勤務統計!$F$1&lt;&gt;"--", IFERROR(VLOOKUP(A27,'0919門市清單主檔'!B:AH,33,FALSE),"")=勤務統計!$F$1, IFERROR(VLOOKUP(A27,勤務統計!A:U,21,FALSE),"")&lt;&gt;勤務統計!$F$1),
        AND(IFERROR(VLOOKUP(A27,'0919門市清單主檔'!B:AH,28,FALSE),"")="HUB", IFERROR(VLOOKUP(A27,勤務統計!A:W,23,FALSE),"")&lt;&gt;"HUB")
      ),
      _xlfn.TEXTJOIN(
        "，",
        TRUE,
        IF(AND(勤務統計!$D$1&lt;&gt;"--", IFERROR(VLOOKUP(A27,'0919門市清單主檔'!B:AH,31,FALSE),"")=勤務統計!$D$1, IFERROR(VLOOKUP(A27,勤務統計!A:Q,17,FALSE),"")&lt;&gt;勤務統計!$D$1), 勤務統計!$D$1, ""),
        IF(AND(勤務統計!$E$1&lt;&gt;"--", IFERROR(VLOOKUP(A27,'0919門市清單主檔'!B:AH,32,FALSE),"")=勤務統計!$E$1, IFERROR(VLOOKUP(A27,勤務統計!A:S,19,FALSE),"")&lt;&gt;勤務統計!$E$1), 勤務統計!$E$1, ""),
        IF(AND(勤務統計!$F$1&lt;&gt;"--", IFERROR(VLOOKUP(A27,'0919門市清單主檔'!B:AH,33,FALSE),"")=勤務統計!$F$1, IFERROR(VLOOKUP(A27,勤務統計!A:U,21,FALSE),"")&lt;&gt;勤務統計!$F$1), 勤務統計!$F$1, ""),
        IF(AND(IFERROR(VLOOKUP(A27,'0919門市清單主檔'!B:AH,28,FALSE),"")="HUB", IFERROR(VLOOKUP(A27,勤務統計!A:W,23,FALSE),"")&lt;&gt;"HUB"), "HUB", "")
      ) &amp; "未完工",
      "已完工"
    )
  )
)</f>
        <v>未完工</v>
      </c>
      <c r="P27" s="403" t="str">
        <f>(TEXT(I27,"yyyymmdd"))&amp;勤務統計!$V$2&amp;A27&amp;勤務統計!$V$2&amp;B27&amp;勤務統計!$S$2</f>
        <v>PMQ1-2422-北縣板億店(定保)</v>
      </c>
      <c r="Q27" s="420" t="str">
        <f t="array" ref="Q27">IF(AND(SUMPRODUCT((IM!$F$2:$F$5000=A27)*(ISNUMBER(SEARCH(勤務統計!$D$1, IM!$AC$2:$AC$5000))))&gt;0), 勤務統計!$D$1, "")</f>
        <v/>
      </c>
      <c r="R27" s="421" t="str">
        <f t="array" ref="R27">IFERROR(INDEX(IM!$AM$2:$AM$5000, MATCH(1, (IM!$F$2:$F$5000=A27) * (ISNUMBER(SEARCH(勤務統計!$D$1, IM!$AC$2:$AC$5000))), 0)), "")</f>
        <v/>
      </c>
      <c r="S27" s="406" t="str" cm="1">
        <f t="array" ref="S27">IF(AND(SUMPRODUCT((IM!$F$2:$F$5000=A27)*(ISNUMBER(SEARCH(勤務統計!$E$1, IM!$AC$2:$AC$5000))))&gt;0), 勤務統計!$E$1, "")</f>
        <v>+L90</v>
      </c>
      <c r="T27" s="422">
        <f t="array" ref="T27">IFERROR(INDEX(IM!$AM$2:$AM$5000, MATCH(1, (IM!$F$2:$F$5000=A27) * (ISNUMBER(SEARCH(勤務統計!$E$1, IM!$AC$2:$AC$5000))), 0)), "")</f>
        <v>45999</v>
      </c>
      <c r="U27" s="406" t="str" cm="1">
        <f t="array" ref="U27">IF(AND(SUMPRODUCT((IM!$F$2:$F$5000=A27)*(ISNUMBER(SEARCH(勤務統計!$F$1, IM!$AC$2:$AC$5000))))&gt;0), 勤務統計!$F$1, "")</f>
        <v>+721</v>
      </c>
      <c r="V27" s="413">
        <f t="array" ref="V27">IFERROR(INDEX(IM!$AM$2:$AM$5000, MATCH(1, (IM!$F$2:$F$5000=A27) * (ISNUMBER(SEARCH(勤務統計!$F$1, IM!$AC$2:$AC$5000))), 0)), "")</f>
        <v>46029</v>
      </c>
      <c r="W27" s="414" t="str">
        <f>IF(VLOOKUP(A27,'0919門市清單主檔'!B:AC,28,FALSE)=0,"",VLOOKUP(A27,'0919門市清單主檔'!B:AC,28,FALSE))</f>
        <v/>
      </c>
    </row>
    <row r="28" spans="1:23" ht="21.6" customHeight="1">
      <c r="A28" s="423">
        <v>2540</v>
      </c>
      <c r="B28" s="416" t="str">
        <f>VLOOKUP(A28,'0919門市清單主檔'!B:C,2,FALSE)</f>
        <v>蘆竹坑子口</v>
      </c>
      <c r="C28" s="415" t="str">
        <f>VLOOKUP($A28,'0919門市清單主檔'!B:V,20,FALSE)</f>
        <v>園市</v>
      </c>
      <c r="D28" s="410" t="str">
        <f>VLOOKUP($A28,'0919門市清單主檔'!B:V,21,FALSE)</f>
        <v>蘆竹區</v>
      </c>
      <c r="E28" s="397" t="str">
        <f>VLOOKUP(D28,門市狀態!G:H,2,FALSE)</f>
        <v>吳宗鴻</v>
      </c>
      <c r="F28" s="410" t="str">
        <f>IFERROR(IF(VLOOKUP(A28,門市狀態!A:D,4,FALSE)=0,"",VLOOKUP(A28,門市狀態!A:D,4,FALSE)),"")</f>
        <v/>
      </c>
      <c r="G28" s="424"/>
      <c r="H28" s="425" t="str">
        <f>IF(I28&gt;0,(TEXT(I28,"yyyymmdd")&amp;勤務統計!$V$2&amp;A28&amp;勤務統計!$V$2&amp;B28&amp;勤務統計!$S$2),"")</f>
        <v>PMQ1-2540-蘆竹坑子口(定保)</v>
      </c>
      <c r="I28" s="247" t="str">
        <f t="array" ref="I28">IF(AND(SUMPRODUCT((IM!$F$2:$F$5000=A28)*(ISNUMBER(SEARCH(勤務統計!$C$1, IM!$AC$2:$AC$5000))))&gt;0), 勤務統計!$C$1, "")</f>
        <v>PMQ1</v>
      </c>
      <c r="J28" s="399">
        <f t="array" ref="J28">IFERROR(INDEX(IM!$AM$2:$AM$5000, MATCH(1, (IM!$F$2:$F$5000=A28) * (ISNUMBER(SEARCH(勤務統計!$C$1, IM!$AC$2:$AC$5000))), 0)), "")</f>
        <v>46029</v>
      </c>
      <c r="K28" s="400">
        <f t="array" ref="K28">SUMPRODUCT((IM!$F$2:$F$5000=A28)*(IM!$AD$2:$AD$5000="O")*(ISNUMBER(SEARCH(勤務統計!$C$1, IM!$AC$2:$AC$5000))))</f>
        <v>1</v>
      </c>
      <c r="L28" s="401" t="str">
        <f t="array" ref="L28">IF(K28&gt;0,IFERROR(HYPERLINK("#'IM'!AC"&amp;MATCH(1,(IM!$F$1:$F$5000=A28)*(ISNUMBER(SEARCH(勤務統計!$C$1,IM!$AC$1:$AC$5000))),0),"檢核"),"未登錄"),"")</f>
        <v>檢核</v>
      </c>
      <c r="M28" s="402" t="str">
        <f t="shared" si="0"/>
        <v>+L90+721</v>
      </c>
      <c r="N28" s="402" t="str">
        <f t="array" ref="N28">IF(AND(
    SUMPRODUCT(
        (IM!$F$2:$F$522=A28) *
        ISNUMBER(SEARCH("*HUB*", IM!$AC$2:$AC$522)) *
        (IM!$X$2:$X$522&gt;=勤務統計!$A$1) *
        (IM!$X$2:$X$522&lt;=勤務統計!$B$1)*(W28="HUB")
    ) &gt; 0
), "HUB", "")</f>
        <v/>
      </c>
      <c r="O28" s="400" t="str">
        <f>IF(
  IFERROR(VLOOKUP(A28,勤務統計!A:I,9,FALSE),"")&lt;&gt;勤務統計!$C$1,
  "未完工",
  IF(
    AND(勤務統計!$D$1="--",勤務統計!$E$1="--",勤務統計!$F$1="--"),
    "已完工",
    IF(
      OR(
        AND(勤務統計!$D$1&lt;&gt;"--", IFERROR(VLOOKUP(A28,'0919門市清單主檔'!B:AH,31,FALSE),"")=勤務統計!$D$1, IFERROR(VLOOKUP(A28,勤務統計!A:Q,17,FALSE),"")&lt;&gt;勤務統計!$D$1),
        AND(勤務統計!$E$1&lt;&gt;"--", IFERROR(VLOOKUP(A28,'0919門市清單主檔'!B:AH,32,FALSE),"")=勤務統計!$E$1, IFERROR(VLOOKUP(A28,勤務統計!A:S,19,FALSE),"")&lt;&gt;勤務統計!$E$1),
        AND(勤務統計!$F$1&lt;&gt;"--", IFERROR(VLOOKUP(A28,'0919門市清單主檔'!B:AH,33,FALSE),"")=勤務統計!$F$1, IFERROR(VLOOKUP(A28,勤務統計!A:U,21,FALSE),"")&lt;&gt;勤務統計!$F$1),
        AND(IFERROR(VLOOKUP(A28,'0919門市清單主檔'!B:AH,28,FALSE),"")="HUB", IFERROR(VLOOKUP(A28,勤務統計!A:W,23,FALSE),"")&lt;&gt;"HUB")
      ),
      _xlfn.TEXTJOIN(
        "，",
        TRUE,
        IF(AND(勤務統計!$D$1&lt;&gt;"--", IFERROR(VLOOKUP(A28,'0919門市清單主檔'!B:AH,31,FALSE),"")=勤務統計!$D$1, IFERROR(VLOOKUP(A28,勤務統計!A:Q,17,FALSE),"")&lt;&gt;勤務統計!$D$1), 勤務統計!$D$1, ""),
        IF(AND(勤務統計!$E$1&lt;&gt;"--", IFERROR(VLOOKUP(A28,'0919門市清單主檔'!B:AH,32,FALSE),"")=勤務統計!$E$1, IFERROR(VLOOKUP(A28,勤務統計!A:S,19,FALSE),"")&lt;&gt;勤務統計!$E$1), 勤務統計!$E$1, ""),
        IF(AND(勤務統計!$F$1&lt;&gt;"--", IFERROR(VLOOKUP(A28,'0919門市清單主檔'!B:AH,33,FALSE),"")=勤務統計!$F$1, IFERROR(VLOOKUP(A28,勤務統計!A:U,21,FALSE),"")&lt;&gt;勤務統計!$F$1), 勤務統計!$F$1, ""),
        IF(AND(IFERROR(VLOOKUP(A28,'0919門市清單主檔'!B:AH,28,FALSE),"")="HUB", IFERROR(VLOOKUP(A28,勤務統計!A:W,23,FALSE),"")&lt;&gt;"HUB"), "HUB", "")
      ) &amp; "未完工",
      "已完工"
    )
  )
)</f>
        <v>未完工</v>
      </c>
      <c r="P28" s="403" t="str">
        <f>(TEXT(I28,"yyyymmdd"))&amp;勤務統計!$V$2&amp;A28&amp;勤務統計!$V$2&amp;B28&amp;勤務統計!$S$2</f>
        <v>PMQ1-2540-蘆竹坑子口(定保)</v>
      </c>
      <c r="Q28" s="420" t="str">
        <f t="array" ref="Q28">IF(AND(SUMPRODUCT((IM!$F$2:$F$5000=A28)*(ISNUMBER(SEARCH(勤務統計!$D$1, IM!$AC$2:$AC$5000))))&gt;0), 勤務統計!$D$1, "")</f>
        <v/>
      </c>
      <c r="R28" s="421" t="str">
        <f t="array" ref="R28">IFERROR(INDEX(IM!$AM$2:$AM$5000, MATCH(1, (IM!$F$2:$F$5000=A28) * (ISNUMBER(SEARCH(勤務統計!$D$1, IM!$AC$2:$AC$5000))), 0)), "")</f>
        <v/>
      </c>
      <c r="S28" s="406" t="str" cm="1">
        <f t="array" ref="S28">IF(AND(SUMPRODUCT((IM!$F$2:$F$5000=A28)*(ISNUMBER(SEARCH(勤務統計!$E$1, IM!$AC$2:$AC$5000))))&gt;0), 勤務統計!$E$1, "")</f>
        <v>+L90</v>
      </c>
      <c r="T28" s="422">
        <f t="array" ref="T28">IFERROR(INDEX(IM!$AM$2:$AM$5000, MATCH(1, (IM!$F$2:$F$5000=A28) * (ISNUMBER(SEARCH(勤務統計!$E$1, IM!$AC$2:$AC$5000))), 0)), "")</f>
        <v>46029</v>
      </c>
      <c r="U28" s="406" t="str" cm="1">
        <f t="array" ref="U28">IF(AND(SUMPRODUCT((IM!$F$2:$F$5000=A28)*(ISNUMBER(SEARCH(勤務統計!$F$1, IM!$AC$2:$AC$5000))))&gt;0), 勤務統計!$F$1, "")</f>
        <v>+721</v>
      </c>
      <c r="V28" s="413">
        <f t="array" ref="V28">IFERROR(INDEX(IM!$AM$2:$AM$5000, MATCH(1, (IM!$F$2:$F$5000=A28) * (ISNUMBER(SEARCH(勤務統計!$F$1, IM!$AC$2:$AC$5000))), 0)), "")</f>
        <v>46029</v>
      </c>
      <c r="W28" s="414" t="str">
        <f>IF(VLOOKUP(A28,'0919門市清單主檔'!B:AC,28,FALSE)=0,"",VLOOKUP(A28,'0919門市清單主檔'!B:AC,28,FALSE))</f>
        <v/>
      </c>
    </row>
    <row r="29" spans="1:23" ht="21.6" customHeight="1">
      <c r="A29" s="423">
        <v>3883</v>
      </c>
      <c r="B29" s="416" t="str">
        <f>VLOOKUP(A29,'0919門市清單主檔'!B:C,2,FALSE)</f>
        <v>中和和竹店</v>
      </c>
      <c r="C29" s="415" t="str">
        <f>VLOOKUP($A29,'0919門市清單主檔'!B:V,20,FALSE)</f>
        <v>新北市</v>
      </c>
      <c r="D29" s="410" t="str">
        <f>VLOOKUP($A29,'0919門市清單主檔'!B:V,21,FALSE)</f>
        <v>中和區</v>
      </c>
      <c r="E29" s="397" t="str">
        <f>VLOOKUP(D29,門市狀態!G:H,2,FALSE)</f>
        <v>劉柏均</v>
      </c>
      <c r="F29" s="410" t="str">
        <f>IFERROR(IF(VLOOKUP(A29,門市狀態!A:D,4,FALSE)=0,"",VLOOKUP(A29,門市狀態!A:D,4,FALSE)),"")</f>
        <v/>
      </c>
      <c r="G29" s="424"/>
      <c r="H29" s="425" t="str">
        <f>IF(I29&gt;0,(TEXT(I29,"yyyymmdd")&amp;勤務統計!$V$2&amp;A29&amp;勤務統計!$V$2&amp;B29&amp;勤務統計!$S$2),"")</f>
        <v>PMQ1-3883-中和和竹店(定保)</v>
      </c>
      <c r="I29" s="247" t="str">
        <f t="array" ref="I29">IF(AND(SUMPRODUCT((IM!$F$2:$F$5000=A29)*(ISNUMBER(SEARCH(勤務統計!$C$1, IM!$AC$2:$AC$5000))))&gt;0), 勤務統計!$C$1, "")</f>
        <v>PMQ1</v>
      </c>
      <c r="J29" s="399">
        <f t="array" ref="J29">IFERROR(INDEX(IM!$AM$2:$AM$5000, MATCH(1, (IM!$F$2:$F$5000=A29) * (ISNUMBER(SEARCH(勤務統計!$C$1, IM!$AC$2:$AC$5000))), 0)), "")</f>
        <v>46029</v>
      </c>
      <c r="K29" s="400">
        <f t="array" ref="K29">SUMPRODUCT((IM!$F$2:$F$5000=A29)*(IM!$AD$2:$AD$5000="O")*(ISNUMBER(SEARCH(勤務統計!$C$1, IM!$AC$2:$AC$5000))))</f>
        <v>1</v>
      </c>
      <c r="L29" s="401" t="str">
        <f t="array" ref="L29">IF(K29&gt;0,IFERROR(HYPERLINK("#'IM'!AC"&amp;MATCH(1,(IM!$F$1:$F$5000=A29)*(ISNUMBER(SEARCH(勤務統計!$C$1,IM!$AC$1:$AC$5000))),0),"檢核"),"未登錄"),"")</f>
        <v>檢核</v>
      </c>
      <c r="M29" s="402" t="str">
        <f t="shared" si="0"/>
        <v>+721</v>
      </c>
      <c r="N29" s="402" t="str">
        <f t="array" ref="N29">IF(AND(
    SUMPRODUCT(
        (IM!$F$2:$F$522=A29) *
        ISNUMBER(SEARCH("*HUB*", IM!$AC$2:$AC$522)) *
        (IM!$X$2:$X$522&gt;=勤務統計!$A$1) *
        (IM!$X$2:$X$522&lt;=勤務統計!$B$1)*(W29="HUB")
    ) &gt; 0
), "HUB", "")</f>
        <v/>
      </c>
      <c r="O29" s="400" t="str">
        <f>IF(
  IFERROR(VLOOKUP(A29,勤務統計!A:I,9,FALSE),"")&lt;&gt;勤務統計!$C$1,
  "未完工",
  IF(
    AND(勤務統計!$D$1="--",勤務統計!$E$1="--",勤務統計!$F$1="--"),
    "已完工",
    IF(
      OR(
        AND(勤務統計!$D$1&lt;&gt;"--", IFERROR(VLOOKUP(A29,'0919門市清單主檔'!B:AH,31,FALSE),"")=勤務統計!$D$1, IFERROR(VLOOKUP(A29,勤務統計!A:Q,17,FALSE),"")&lt;&gt;勤務統計!$D$1),
        AND(勤務統計!$E$1&lt;&gt;"--", IFERROR(VLOOKUP(A29,'0919門市清單主檔'!B:AH,32,FALSE),"")=勤務統計!$E$1, IFERROR(VLOOKUP(A29,勤務統計!A:S,19,FALSE),"")&lt;&gt;勤務統計!$E$1),
        AND(勤務統計!$F$1&lt;&gt;"--", IFERROR(VLOOKUP(A29,'0919門市清單主檔'!B:AH,33,FALSE),"")=勤務統計!$F$1, IFERROR(VLOOKUP(A29,勤務統計!A:U,21,FALSE),"")&lt;&gt;勤務統計!$F$1),
        AND(IFERROR(VLOOKUP(A29,'0919門市清單主檔'!B:AH,28,FALSE),"")="HUB", IFERROR(VLOOKUP(A29,勤務統計!A:W,23,FALSE),"")&lt;&gt;"HUB")
      ),
      _xlfn.TEXTJOIN(
        "，",
        TRUE,
        IF(AND(勤務統計!$D$1&lt;&gt;"--", IFERROR(VLOOKUP(A29,'0919門市清單主檔'!B:AH,31,FALSE),"")=勤務統計!$D$1, IFERROR(VLOOKUP(A29,勤務統計!A:Q,17,FALSE),"")&lt;&gt;勤務統計!$D$1), 勤務統計!$D$1, ""),
        IF(AND(勤務統計!$E$1&lt;&gt;"--", IFERROR(VLOOKUP(A29,'0919門市清單主檔'!B:AH,32,FALSE),"")=勤務統計!$E$1, IFERROR(VLOOKUP(A29,勤務統計!A:S,19,FALSE),"")&lt;&gt;勤務統計!$E$1), 勤務統計!$E$1, ""),
        IF(AND(勤務統計!$F$1&lt;&gt;"--", IFERROR(VLOOKUP(A29,'0919門市清單主檔'!B:AH,33,FALSE),"")=勤務統計!$F$1, IFERROR(VLOOKUP(A29,勤務統計!A:U,21,FALSE),"")&lt;&gt;勤務統計!$F$1), 勤務統計!$F$1, ""),
        IF(AND(IFERROR(VLOOKUP(A29,'0919門市清單主檔'!B:AH,28,FALSE),"")="HUB", IFERROR(VLOOKUP(A29,勤務統計!A:W,23,FALSE),"")&lt;&gt;"HUB"), "HUB", "")
      ) &amp; "未完工",
      "已完工"
    )
  )
)</f>
        <v>未完工</v>
      </c>
      <c r="P29" s="403" t="str">
        <f>(TEXT(I29,"yyyymmdd"))&amp;勤務統計!$V$2&amp;A29&amp;勤務統計!$V$2&amp;B29&amp;勤務統計!$S$2</f>
        <v>PMQ1-3883-中和和竹店(定保)</v>
      </c>
      <c r="Q29" s="420" t="str">
        <f t="array" ref="Q29">IF(AND(SUMPRODUCT((IM!$F$2:$F$5000=A29)*(ISNUMBER(SEARCH(勤務統計!$D$1, IM!$AC$2:$AC$5000))))&gt;0), 勤務統計!$D$1, "")</f>
        <v/>
      </c>
      <c r="R29" s="421" t="str">
        <f t="array" ref="R29">IFERROR(INDEX(IM!$AM$2:$AM$5000, MATCH(1, (IM!$F$2:$F$5000=A29) * (ISNUMBER(SEARCH(勤務統計!$D$1, IM!$AC$2:$AC$5000))), 0)), "")</f>
        <v/>
      </c>
      <c r="S29" s="406" t="str" cm="1">
        <f t="array" ref="S29">IF(AND(SUMPRODUCT((IM!$F$2:$F$5000=A29)*(ISNUMBER(SEARCH(勤務統計!$E$1, IM!$AC$2:$AC$5000))))&gt;0), 勤務統計!$E$1, "")</f>
        <v/>
      </c>
      <c r="T29" s="422" t="str">
        <f t="array" ref="T29">IFERROR(INDEX(IM!$AM$2:$AM$5000, MATCH(1, (IM!$F$2:$F$5000=A29) * (ISNUMBER(SEARCH(勤務統計!$E$1, IM!$AC$2:$AC$5000))), 0)), "")</f>
        <v/>
      </c>
      <c r="U29" s="406" t="str" cm="1">
        <f t="array" ref="U29">IF(AND(SUMPRODUCT((IM!$F$2:$F$5000=A29)*(ISNUMBER(SEARCH(勤務統計!$F$1, IM!$AC$2:$AC$5000))))&gt;0), 勤務統計!$F$1, "")</f>
        <v>+721</v>
      </c>
      <c r="V29" s="413">
        <f t="array" ref="V29">IFERROR(INDEX(IM!$AM$2:$AM$5000, MATCH(1, (IM!$F$2:$F$5000=A29) * (ISNUMBER(SEARCH(勤務統計!$F$1, IM!$AC$2:$AC$5000))), 0)), "")</f>
        <v>46029</v>
      </c>
      <c r="W29" s="414" t="str">
        <f>IF(VLOOKUP(A29,'0919門市清單主檔'!B:AC,28,FALSE)=0,"",VLOOKUP(A29,'0919門市清單主檔'!B:AC,28,FALSE))</f>
        <v/>
      </c>
    </row>
    <row r="30" spans="1:23" ht="21.6" customHeight="1">
      <c r="A30" s="423">
        <v>4715</v>
      </c>
      <c r="B30" s="416" t="str">
        <f>VLOOKUP(A30,'0919門市清單主檔'!B:C,2,FALSE)</f>
        <v>林口捷韻店</v>
      </c>
      <c r="C30" s="415" t="str">
        <f>VLOOKUP($A30,'0919門市清單主檔'!B:V,20,FALSE)</f>
        <v>新北市</v>
      </c>
      <c r="D30" s="410" t="str">
        <f>VLOOKUP($A30,'0919門市清單主檔'!B:V,21,FALSE)</f>
        <v>林口區</v>
      </c>
      <c r="E30" s="397" t="str">
        <f>VLOOKUP(D30,門市狀態!G:H,2,FALSE)</f>
        <v>吳宗鴻</v>
      </c>
      <c r="F30" s="410" t="str">
        <f>IFERROR(IF(VLOOKUP(A30,門市狀態!A:D,4,FALSE)=0,"",VLOOKUP(A30,門市狀態!A:D,4,FALSE)),"")</f>
        <v/>
      </c>
      <c r="G30" s="424"/>
      <c r="H30" s="425" t="str">
        <f>IF(I30&gt;0,(TEXT(I30,"yyyymmdd")&amp;勤務統計!$V$2&amp;A30&amp;勤務統計!$V$2&amp;B30&amp;勤務統計!$S$2),"")</f>
        <v>PMQ1-4715-林口捷韻店(定保)</v>
      </c>
      <c r="I30" s="247" t="str">
        <f t="array" ref="I30">IF(AND(SUMPRODUCT((IM!$F$2:$F$5000=A30)*(ISNUMBER(SEARCH(勤務統計!$C$1, IM!$AC$2:$AC$5000))))&gt;0), 勤務統計!$C$1, "")</f>
        <v>PMQ1</v>
      </c>
      <c r="J30" s="399">
        <f t="array" ref="J30">IFERROR(INDEX(IM!$AM$2:$AM$5000, MATCH(1, (IM!$F$2:$F$5000=A30) * (ISNUMBER(SEARCH(勤務統計!$C$1, IM!$AC$2:$AC$5000))), 0)), "")</f>
        <v>46030</v>
      </c>
      <c r="K30" s="400">
        <f t="array" ref="K30">SUMPRODUCT((IM!$F$2:$F$5000=A30)*(IM!$AD$2:$AD$5000="O")*(ISNUMBER(SEARCH(勤務統計!$C$1, IM!$AC$2:$AC$5000))))</f>
        <v>1</v>
      </c>
      <c r="L30" s="401" t="str">
        <f t="array" ref="L30">IF(K30&gt;0,IFERROR(HYPERLINK("#'IM'!AC"&amp;MATCH(1,(IM!$F$1:$F$5000=A30)*(ISNUMBER(SEARCH(勤務統計!$C$1,IM!$AC$1:$AC$5000))),0),"檢核"),"未登錄"),"")</f>
        <v>檢核</v>
      </c>
      <c r="M30" s="402" t="str">
        <f t="shared" si="0"/>
        <v>+L90+721</v>
      </c>
      <c r="N30" s="402" t="str">
        <f t="array" ref="N30">IF(AND(
    SUMPRODUCT(
        (IM!$F$2:$F$522=A30) *
        ISNUMBER(SEARCH("*HUB*", IM!$AC$2:$AC$522)) *
        (IM!$X$2:$X$522&gt;=勤務統計!$A$1) *
        (IM!$X$2:$X$522&lt;=勤務統計!$B$1)*(W30="HUB")
    ) &gt; 0
), "HUB", "")</f>
        <v/>
      </c>
      <c r="O30" s="400" t="str">
        <f>IF(
  IFERROR(VLOOKUP(A30,勤務統計!A:I,9,FALSE),"")&lt;&gt;勤務統計!$C$1,
  "未完工",
  IF(
    AND(勤務統計!$D$1="--",勤務統計!$E$1="--",勤務統計!$F$1="--"),
    "已完工",
    IF(
      OR(
        AND(勤務統計!$D$1&lt;&gt;"--", IFERROR(VLOOKUP(A30,'0919門市清單主檔'!B:AH,31,FALSE),"")=勤務統計!$D$1, IFERROR(VLOOKUP(A30,勤務統計!A:Q,17,FALSE),"")&lt;&gt;勤務統計!$D$1),
        AND(勤務統計!$E$1&lt;&gt;"--", IFERROR(VLOOKUP(A30,'0919門市清單主檔'!B:AH,32,FALSE),"")=勤務統計!$E$1, IFERROR(VLOOKUP(A30,勤務統計!A:S,19,FALSE),"")&lt;&gt;勤務統計!$E$1),
        AND(勤務統計!$F$1&lt;&gt;"--", IFERROR(VLOOKUP(A30,'0919門市清單主檔'!B:AH,33,FALSE),"")=勤務統計!$F$1, IFERROR(VLOOKUP(A30,勤務統計!A:U,21,FALSE),"")&lt;&gt;勤務統計!$F$1),
        AND(IFERROR(VLOOKUP(A30,'0919門市清單主檔'!B:AH,28,FALSE),"")="HUB", IFERROR(VLOOKUP(A30,勤務統計!A:W,23,FALSE),"")&lt;&gt;"HUB")
      ),
      _xlfn.TEXTJOIN(
        "，",
        TRUE,
        IF(AND(勤務統計!$D$1&lt;&gt;"--", IFERROR(VLOOKUP(A30,'0919門市清單主檔'!B:AH,31,FALSE),"")=勤務統計!$D$1, IFERROR(VLOOKUP(A30,勤務統計!A:Q,17,FALSE),"")&lt;&gt;勤務統計!$D$1), 勤務統計!$D$1, ""),
        IF(AND(勤務統計!$E$1&lt;&gt;"--", IFERROR(VLOOKUP(A30,'0919門市清單主檔'!B:AH,32,FALSE),"")=勤務統計!$E$1, IFERROR(VLOOKUP(A30,勤務統計!A:S,19,FALSE),"")&lt;&gt;勤務統計!$E$1), 勤務統計!$E$1, ""),
        IF(AND(勤務統計!$F$1&lt;&gt;"--", IFERROR(VLOOKUP(A30,'0919門市清單主檔'!B:AH,33,FALSE),"")=勤務統計!$F$1, IFERROR(VLOOKUP(A30,勤務統計!A:U,21,FALSE),"")&lt;&gt;勤務統計!$F$1), 勤務統計!$F$1, ""),
        IF(AND(IFERROR(VLOOKUP(A30,'0919門市清單主檔'!B:AH,28,FALSE),"")="HUB", IFERROR(VLOOKUP(A30,勤務統計!A:W,23,FALSE),"")&lt;&gt;"HUB"), "HUB", "")
      ) &amp; "未完工",
      "已完工"
    )
  )
)</f>
        <v>未完工</v>
      </c>
      <c r="P30" s="403" t="str">
        <f>(TEXT(I30,"yyyymmdd"))&amp;勤務統計!$V$2&amp;A30&amp;勤務統計!$V$2&amp;B30&amp;勤務統計!$S$2</f>
        <v>PMQ1-4715-林口捷韻店(定保)</v>
      </c>
      <c r="Q30" s="420" t="str">
        <f t="array" ref="Q30">IF(AND(SUMPRODUCT((IM!$F$2:$F$5000=A30)*(ISNUMBER(SEARCH(勤務統計!$D$1, IM!$AC$2:$AC$5000))))&gt;0), 勤務統計!$D$1, "")</f>
        <v/>
      </c>
      <c r="R30" s="421" t="str">
        <f t="array" ref="R30">IFERROR(INDEX(IM!$AM$2:$AM$5000, MATCH(1, (IM!$F$2:$F$5000=A30) * (ISNUMBER(SEARCH(勤務統計!$D$1, IM!$AC$2:$AC$5000))), 0)), "")</f>
        <v/>
      </c>
      <c r="S30" s="406" t="str" cm="1">
        <f t="array" ref="S30">IF(AND(SUMPRODUCT((IM!$F$2:$F$5000=A30)*(ISNUMBER(SEARCH(勤務統計!$E$1, IM!$AC$2:$AC$5000))))&gt;0), 勤務統計!$E$1, "")</f>
        <v>+L90</v>
      </c>
      <c r="T30" s="422">
        <f t="array" ref="T30">IFERROR(INDEX(IM!$AM$2:$AM$5000, MATCH(1, (IM!$F$2:$F$5000=A30) * (ISNUMBER(SEARCH(勤務統計!$E$1, IM!$AC$2:$AC$5000))), 0)), "")</f>
        <v>45958</v>
      </c>
      <c r="U30" s="406" t="str" cm="1">
        <f t="array" ref="U30">IF(AND(SUMPRODUCT((IM!$F$2:$F$5000=A30)*(ISNUMBER(SEARCH(勤務統計!$F$1, IM!$AC$2:$AC$5000))))&gt;0), 勤務統計!$F$1, "")</f>
        <v>+721</v>
      </c>
      <c r="V30" s="413">
        <f t="array" ref="V30">IFERROR(INDEX(IM!$AM$2:$AM$5000, MATCH(1, (IM!$F$2:$F$5000=A30) * (ISNUMBER(SEARCH(勤務統計!$F$1, IM!$AC$2:$AC$5000))), 0)), "")</f>
        <v>46030</v>
      </c>
      <c r="W30" s="414" t="str">
        <f>IF(VLOOKUP(A30,'0919門市清單主檔'!B:AC,28,FALSE)=0,"",VLOOKUP(A30,'0919門市清單主檔'!B:AC,28,FALSE))</f>
        <v/>
      </c>
    </row>
    <row r="31" spans="1:23" ht="21.6" customHeight="1">
      <c r="A31" s="423">
        <v>3878</v>
      </c>
      <c r="B31" s="416" t="str">
        <f>VLOOKUP(A31,'0919門市清單主檔'!B:C,2,FALSE)</f>
        <v>林口清梅店</v>
      </c>
      <c r="C31" s="415" t="str">
        <f>VLOOKUP($A31,'0919門市清單主檔'!B:V,20,FALSE)</f>
        <v>新北市</v>
      </c>
      <c r="D31" s="410" t="str">
        <f>VLOOKUP($A31,'0919門市清單主檔'!B:V,21,FALSE)</f>
        <v>林口區</v>
      </c>
      <c r="E31" s="397" t="str">
        <f>VLOOKUP(D31,門市狀態!G:H,2,FALSE)</f>
        <v>吳宗鴻</v>
      </c>
      <c r="F31" s="410" t="str">
        <f>IFERROR(IF(VLOOKUP(A31,門市狀態!A:D,4,FALSE)=0,"",VLOOKUP(A31,門市狀態!A:D,4,FALSE)),"")</f>
        <v/>
      </c>
      <c r="G31" s="424"/>
      <c r="H31" s="425" t="str">
        <f>IF(I31&gt;0,(TEXT(I31,"yyyymmdd")&amp;勤務統計!$V$2&amp;A31&amp;勤務統計!$V$2&amp;B31&amp;勤務統計!$S$2),"")</f>
        <v>PMQ1-3878-林口清梅店(定保)</v>
      </c>
      <c r="I31" s="247" t="str">
        <f t="array" ref="I31">IF(AND(SUMPRODUCT((IM!$F$2:$F$5000=A31)*(ISNUMBER(SEARCH(勤務統計!$C$1, IM!$AC$2:$AC$5000))))&gt;0), 勤務統計!$C$1, "")</f>
        <v>PMQ1</v>
      </c>
      <c r="J31" s="399">
        <f t="array" ref="J31">IFERROR(INDEX(IM!$AM$2:$AM$5000, MATCH(1, (IM!$F$2:$F$5000=A31) * (ISNUMBER(SEARCH(勤務統計!$C$1, IM!$AC$2:$AC$5000))), 0)), "")</f>
        <v>46030</v>
      </c>
      <c r="K31" s="400">
        <f t="array" ref="K31">SUMPRODUCT((IM!$F$2:$F$5000=A31)*(IM!$AD$2:$AD$5000="O")*(ISNUMBER(SEARCH(勤務統計!$C$1, IM!$AC$2:$AC$5000))))</f>
        <v>1</v>
      </c>
      <c r="L31" s="401" t="str">
        <f t="array" ref="L31">IF(K31&gt;0,IFERROR(HYPERLINK("#'IM'!AC"&amp;MATCH(1,(IM!$F$1:$F$5000=A31)*(ISNUMBER(SEARCH(勤務統計!$C$1,IM!$AC$1:$AC$5000))),0),"檢核"),"未登錄"),"")</f>
        <v>檢核</v>
      </c>
      <c r="M31" s="402" t="str">
        <f t="shared" si="0"/>
        <v>+L90+721</v>
      </c>
      <c r="N31" s="402" t="str">
        <f t="array" ref="N31">IF(AND(
    SUMPRODUCT(
        (IM!$F$2:$F$522=A31) *
        ISNUMBER(SEARCH("*HUB*", IM!$AC$2:$AC$522)) *
        (IM!$X$2:$X$522&gt;=勤務統計!$A$1) *
        (IM!$X$2:$X$522&lt;=勤務統計!$B$1)*(W31="HUB")
    ) &gt; 0
), "HUB", "")</f>
        <v/>
      </c>
      <c r="O31" s="400" t="str">
        <f>IF(
  IFERROR(VLOOKUP(A31,勤務統計!A:I,9,FALSE),"")&lt;&gt;勤務統計!$C$1,
  "未完工",
  IF(
    AND(勤務統計!$D$1="--",勤務統計!$E$1="--",勤務統計!$F$1="--"),
    "已完工",
    IF(
      OR(
        AND(勤務統計!$D$1&lt;&gt;"--", IFERROR(VLOOKUP(A31,'0919門市清單主檔'!B:AH,31,FALSE),"")=勤務統計!$D$1, IFERROR(VLOOKUP(A31,勤務統計!A:Q,17,FALSE),"")&lt;&gt;勤務統計!$D$1),
        AND(勤務統計!$E$1&lt;&gt;"--", IFERROR(VLOOKUP(A31,'0919門市清單主檔'!B:AH,32,FALSE),"")=勤務統計!$E$1, IFERROR(VLOOKUP(A31,勤務統計!A:S,19,FALSE),"")&lt;&gt;勤務統計!$E$1),
        AND(勤務統計!$F$1&lt;&gt;"--", IFERROR(VLOOKUP(A31,'0919門市清單主檔'!B:AH,33,FALSE),"")=勤務統計!$F$1, IFERROR(VLOOKUP(A31,勤務統計!A:U,21,FALSE),"")&lt;&gt;勤務統計!$F$1),
        AND(IFERROR(VLOOKUP(A31,'0919門市清單主檔'!B:AH,28,FALSE),"")="HUB", IFERROR(VLOOKUP(A31,勤務統計!A:W,23,FALSE),"")&lt;&gt;"HUB")
      ),
      _xlfn.TEXTJOIN(
        "，",
        TRUE,
        IF(AND(勤務統計!$D$1&lt;&gt;"--", IFERROR(VLOOKUP(A31,'0919門市清單主檔'!B:AH,31,FALSE),"")=勤務統計!$D$1, IFERROR(VLOOKUP(A31,勤務統計!A:Q,17,FALSE),"")&lt;&gt;勤務統計!$D$1), 勤務統計!$D$1, ""),
        IF(AND(勤務統計!$E$1&lt;&gt;"--", IFERROR(VLOOKUP(A31,'0919門市清單主檔'!B:AH,32,FALSE),"")=勤務統計!$E$1, IFERROR(VLOOKUP(A31,勤務統計!A:S,19,FALSE),"")&lt;&gt;勤務統計!$E$1), 勤務統計!$E$1, ""),
        IF(AND(勤務統計!$F$1&lt;&gt;"--", IFERROR(VLOOKUP(A31,'0919門市清單主檔'!B:AH,33,FALSE),"")=勤務統計!$F$1, IFERROR(VLOOKUP(A31,勤務統計!A:U,21,FALSE),"")&lt;&gt;勤務統計!$F$1), 勤務統計!$F$1, ""),
        IF(AND(IFERROR(VLOOKUP(A31,'0919門市清單主檔'!B:AH,28,FALSE),"")="HUB", IFERROR(VLOOKUP(A31,勤務統計!A:W,23,FALSE),"")&lt;&gt;"HUB"), "HUB", "")
      ) &amp; "未完工",
      "已完工"
    )
  )
)</f>
        <v>未完工</v>
      </c>
      <c r="P31" s="403" t="str">
        <f>(TEXT(I31,"yyyymmdd"))&amp;勤務統計!$V$2&amp;A31&amp;勤務統計!$V$2&amp;B31&amp;勤務統計!$S$2</f>
        <v>PMQ1-3878-林口清梅店(定保)</v>
      </c>
      <c r="Q31" s="420" t="str">
        <f t="array" ref="Q31">IF(AND(SUMPRODUCT((IM!$F$2:$F$5000=A31)*(ISNUMBER(SEARCH(勤務統計!$D$1, IM!$AC$2:$AC$5000))))&gt;0), 勤務統計!$D$1, "")</f>
        <v/>
      </c>
      <c r="R31" s="421" t="str">
        <f t="array" ref="R31">IFERROR(INDEX(IM!$AM$2:$AM$5000, MATCH(1, (IM!$F$2:$F$5000=A31) * (ISNUMBER(SEARCH(勤務統計!$D$1, IM!$AC$2:$AC$5000))), 0)), "")</f>
        <v/>
      </c>
      <c r="S31" s="406" t="str" cm="1">
        <f t="array" ref="S31">IF(AND(SUMPRODUCT((IM!$F$2:$F$5000=A31)*(ISNUMBER(SEARCH(勤務統計!$E$1, IM!$AC$2:$AC$5000))))&gt;0), 勤務統計!$E$1, "")</f>
        <v>+L90</v>
      </c>
      <c r="T31" s="422">
        <f t="array" ref="T31">IFERROR(INDEX(IM!$AM$2:$AM$5000, MATCH(1, (IM!$F$2:$F$5000=A31) * (ISNUMBER(SEARCH(勤務統計!$E$1, IM!$AC$2:$AC$5000))), 0)), "")</f>
        <v>45992</v>
      </c>
      <c r="U31" s="406" t="str" cm="1">
        <f t="array" ref="U31">IF(AND(SUMPRODUCT((IM!$F$2:$F$5000=A31)*(ISNUMBER(SEARCH(勤務統計!$F$1, IM!$AC$2:$AC$5000))))&gt;0), 勤務統計!$F$1, "")</f>
        <v>+721</v>
      </c>
      <c r="V31" s="413">
        <f t="array" ref="V31">IFERROR(INDEX(IM!$AM$2:$AM$5000, MATCH(1, (IM!$F$2:$F$5000=A31) * (ISNUMBER(SEARCH(勤務統計!$F$1, IM!$AC$2:$AC$5000))), 0)), "")</f>
        <v>46030</v>
      </c>
      <c r="W31" s="414" t="str">
        <f>IF(VLOOKUP(A31,'0919門市清單主檔'!B:AC,28,FALSE)=0,"",VLOOKUP(A31,'0919門市清單主檔'!B:AC,28,FALSE))</f>
        <v/>
      </c>
    </row>
    <row r="32" spans="1:23" ht="21.6" customHeight="1">
      <c r="A32" s="423">
        <v>4057</v>
      </c>
      <c r="B32" s="416" t="str">
        <f>VLOOKUP(A32,'0919門市清單主檔'!B:C,2,FALSE)</f>
        <v>林口香澄店</v>
      </c>
      <c r="C32" s="415" t="str">
        <f>VLOOKUP($A32,'0919門市清單主檔'!B:V,20,FALSE)</f>
        <v>新北市</v>
      </c>
      <c r="D32" s="410" t="str">
        <f>VLOOKUP($A32,'0919門市清單主檔'!B:V,21,FALSE)</f>
        <v>林口區</v>
      </c>
      <c r="E32" s="397" t="str">
        <f>VLOOKUP(D32,門市狀態!G:H,2,FALSE)</f>
        <v>吳宗鴻</v>
      </c>
      <c r="F32" s="410" t="str">
        <f>IFERROR(IF(VLOOKUP(A32,門市狀態!A:D,4,FALSE)=0,"",VLOOKUP(A32,門市狀態!A:D,4,FALSE)),"")</f>
        <v/>
      </c>
      <c r="G32" s="424"/>
      <c r="H32" s="425" t="str">
        <f>IF(I32&gt;0,(TEXT(I32,"yyyymmdd")&amp;勤務統計!$V$2&amp;A32&amp;勤務統計!$V$2&amp;B32&amp;勤務統計!$S$2),"")</f>
        <v>PMQ1-4057-林口香澄店(定保)</v>
      </c>
      <c r="I32" s="247" t="str">
        <f t="array" ref="I32">IF(AND(SUMPRODUCT((IM!$F$2:$F$5000=A32)*(ISNUMBER(SEARCH(勤務統計!$C$1, IM!$AC$2:$AC$5000))))&gt;0), 勤務統計!$C$1, "")</f>
        <v>PMQ1</v>
      </c>
      <c r="J32" s="399">
        <f t="array" ref="J32">IFERROR(INDEX(IM!$AM$2:$AM$5000, MATCH(1, (IM!$F$2:$F$5000=A32) * (ISNUMBER(SEARCH(勤務統計!$C$1, IM!$AC$2:$AC$5000))), 0)), "")</f>
        <v>46030</v>
      </c>
      <c r="K32" s="400">
        <f t="array" ref="K32">SUMPRODUCT((IM!$F$2:$F$5000=A32)*(IM!$AD$2:$AD$5000="O")*(ISNUMBER(SEARCH(勤務統計!$C$1, IM!$AC$2:$AC$5000))))</f>
        <v>1</v>
      </c>
      <c r="L32" s="401" t="str">
        <f t="array" ref="L32">IF(K32&gt;0,IFERROR(HYPERLINK("#'IM'!AC"&amp;MATCH(1,(IM!$F$1:$F$5000=A32)*(ISNUMBER(SEARCH(勤務統計!$C$1,IM!$AC$1:$AC$5000))),0),"檢核"),"未登錄"),"")</f>
        <v>檢核</v>
      </c>
      <c r="M32" s="402" t="str">
        <f t="shared" si="0"/>
        <v>+L90+721</v>
      </c>
      <c r="N32" s="402" t="str">
        <f t="array" ref="N32">IF(AND(
    SUMPRODUCT(
        (IM!$F$2:$F$522=A32) *
        ISNUMBER(SEARCH("*HUB*", IM!$AC$2:$AC$522)) *
        (IM!$X$2:$X$522&gt;=勤務統計!$A$1) *
        (IM!$X$2:$X$522&lt;=勤務統計!$B$1)*(W32="HUB")
    ) &gt; 0
), "HUB", "")</f>
        <v/>
      </c>
      <c r="O32" s="400" t="str">
        <f>IF(
  IFERROR(VLOOKUP(A32,勤務統計!A:I,9,FALSE),"")&lt;&gt;勤務統計!$C$1,
  "未完工",
  IF(
    AND(勤務統計!$D$1="--",勤務統計!$E$1="--",勤務統計!$F$1="--"),
    "已完工",
    IF(
      OR(
        AND(勤務統計!$D$1&lt;&gt;"--", IFERROR(VLOOKUP(A32,'0919門市清單主檔'!B:AH,31,FALSE),"")=勤務統計!$D$1, IFERROR(VLOOKUP(A32,勤務統計!A:Q,17,FALSE),"")&lt;&gt;勤務統計!$D$1),
        AND(勤務統計!$E$1&lt;&gt;"--", IFERROR(VLOOKUP(A32,'0919門市清單主檔'!B:AH,32,FALSE),"")=勤務統計!$E$1, IFERROR(VLOOKUP(A32,勤務統計!A:S,19,FALSE),"")&lt;&gt;勤務統計!$E$1),
        AND(勤務統計!$F$1&lt;&gt;"--", IFERROR(VLOOKUP(A32,'0919門市清單主檔'!B:AH,33,FALSE),"")=勤務統計!$F$1, IFERROR(VLOOKUP(A32,勤務統計!A:U,21,FALSE),"")&lt;&gt;勤務統計!$F$1),
        AND(IFERROR(VLOOKUP(A32,'0919門市清單主檔'!B:AH,28,FALSE),"")="HUB", IFERROR(VLOOKUP(A32,勤務統計!A:W,23,FALSE),"")&lt;&gt;"HUB")
      ),
      _xlfn.TEXTJOIN(
        "，",
        TRUE,
        IF(AND(勤務統計!$D$1&lt;&gt;"--", IFERROR(VLOOKUP(A32,'0919門市清單主檔'!B:AH,31,FALSE),"")=勤務統計!$D$1, IFERROR(VLOOKUP(A32,勤務統計!A:Q,17,FALSE),"")&lt;&gt;勤務統計!$D$1), 勤務統計!$D$1, ""),
        IF(AND(勤務統計!$E$1&lt;&gt;"--", IFERROR(VLOOKUP(A32,'0919門市清單主檔'!B:AH,32,FALSE),"")=勤務統計!$E$1, IFERROR(VLOOKUP(A32,勤務統計!A:S,19,FALSE),"")&lt;&gt;勤務統計!$E$1), 勤務統計!$E$1, ""),
        IF(AND(勤務統計!$F$1&lt;&gt;"--", IFERROR(VLOOKUP(A32,'0919門市清單主檔'!B:AH,33,FALSE),"")=勤務統計!$F$1, IFERROR(VLOOKUP(A32,勤務統計!A:U,21,FALSE),"")&lt;&gt;勤務統計!$F$1), 勤務統計!$F$1, ""),
        IF(AND(IFERROR(VLOOKUP(A32,'0919門市清單主檔'!B:AH,28,FALSE),"")="HUB", IFERROR(VLOOKUP(A32,勤務統計!A:W,23,FALSE),"")&lt;&gt;"HUB"), "HUB", "")
      ) &amp; "未完工",
      "已完工"
    )
  )
)</f>
        <v>未完工</v>
      </c>
      <c r="P32" s="403" t="str">
        <f>(TEXT(I32,"yyyymmdd"))&amp;勤務統計!$V$2&amp;A32&amp;勤務統計!$V$2&amp;B32&amp;勤務統計!$S$2</f>
        <v>PMQ1-4057-林口香澄店(定保)</v>
      </c>
      <c r="Q32" s="420" t="str">
        <f t="array" ref="Q32">IF(AND(SUMPRODUCT((IM!$F$2:$F$5000=A32)*(ISNUMBER(SEARCH(勤務統計!$D$1, IM!$AC$2:$AC$5000))))&gt;0), 勤務統計!$D$1, "")</f>
        <v/>
      </c>
      <c r="R32" s="421" t="str">
        <f t="array" ref="R32">IFERROR(INDEX(IM!$AM$2:$AM$5000, MATCH(1, (IM!$F$2:$F$5000=A32) * (ISNUMBER(SEARCH(勤務統計!$D$1, IM!$AC$2:$AC$5000))), 0)), "")</f>
        <v/>
      </c>
      <c r="S32" s="406" t="str" cm="1">
        <f t="array" ref="S32">IF(AND(SUMPRODUCT((IM!$F$2:$F$5000=A32)*(ISNUMBER(SEARCH(勤務統計!$E$1, IM!$AC$2:$AC$5000))))&gt;0), 勤務統計!$E$1, "")</f>
        <v>+L90</v>
      </c>
      <c r="T32" s="422">
        <f t="array" ref="T32">IFERROR(INDEX(IM!$AM$2:$AM$5000, MATCH(1, (IM!$F$2:$F$5000=A32) * (ISNUMBER(SEARCH(勤務統計!$E$1, IM!$AC$2:$AC$5000))), 0)), "")</f>
        <v>45992</v>
      </c>
      <c r="U32" s="406" t="str" cm="1">
        <f t="array" ref="U32">IF(AND(SUMPRODUCT((IM!$F$2:$F$5000=A32)*(ISNUMBER(SEARCH(勤務統計!$F$1, IM!$AC$2:$AC$5000))))&gt;0), 勤務統計!$F$1, "")</f>
        <v>+721</v>
      </c>
      <c r="V32" s="413">
        <f t="array" ref="V32">IFERROR(INDEX(IM!$AM$2:$AM$5000, MATCH(1, (IM!$F$2:$F$5000=A32) * (ISNUMBER(SEARCH(勤務統計!$F$1, IM!$AC$2:$AC$5000))), 0)), "")</f>
        <v>46030</v>
      </c>
      <c r="W32" s="414" t="str">
        <f>IF(VLOOKUP(A32,'0919門市清單主檔'!B:AC,28,FALSE)=0,"",VLOOKUP(A32,'0919門市清單主檔'!B:AC,28,FALSE))</f>
        <v/>
      </c>
    </row>
    <row r="33" spans="1:23" ht="21.6" customHeight="1">
      <c r="A33" s="423" t="s">
        <v>46</v>
      </c>
      <c r="B33" s="416" t="str">
        <f>VLOOKUP(A33,'0919門市清單主檔'!B:C,2,FALSE)</f>
        <v>車麗屋林口店</v>
      </c>
      <c r="C33" s="415" t="str">
        <f>VLOOKUP($A33,'0919門市清單主檔'!B:V,20,FALSE)</f>
        <v>新北市</v>
      </c>
      <c r="D33" s="410" t="str">
        <f>VLOOKUP($A33,'0919門市清單主檔'!B:V,21,FALSE)</f>
        <v>林口區</v>
      </c>
      <c r="E33" s="397" t="str">
        <f>VLOOKUP(D33,門市狀態!G:H,2,FALSE)</f>
        <v>吳宗鴻</v>
      </c>
      <c r="F33" s="410" t="str">
        <f>IFERROR(IF(VLOOKUP(A33,門市狀態!A:D,4,FALSE)=0,"",VLOOKUP(A33,門市狀態!A:D,4,FALSE)),"")</f>
        <v/>
      </c>
      <c r="G33" s="424" t="s">
        <v>47</v>
      </c>
      <c r="H33" s="425" t="str">
        <f>IF(I33&gt;0,(TEXT(I33,"yyyymmdd")&amp;勤務統計!$V$2&amp;A33&amp;勤務統計!$V$2&amp;B33&amp;勤務統計!$S$2),"")</f>
        <v>PMQ1-L519-車麗屋林口店(定保)</v>
      </c>
      <c r="I33" s="247" t="str">
        <f t="array" ref="I33">IF(AND(SUMPRODUCT((IM!$F$2:$F$5000=A33)*(ISNUMBER(SEARCH(勤務統計!$C$1, IM!$AC$2:$AC$5000))))&gt;0), 勤務統計!$C$1, "")</f>
        <v>PMQ1</v>
      </c>
      <c r="J33" s="399">
        <f t="array" ref="J33">IFERROR(INDEX(IM!$AM$2:$AM$5000, MATCH(1, (IM!$F$2:$F$5000=A33) * (ISNUMBER(SEARCH(勤務統計!$C$1, IM!$AC$2:$AC$5000))), 0)), "")</f>
        <v>46030</v>
      </c>
      <c r="K33" s="400">
        <f t="array" ref="K33">SUMPRODUCT((IM!$F$2:$F$5000=A33)*(IM!$AD$2:$AD$5000="O")*(ISNUMBER(SEARCH(勤務統計!$C$1, IM!$AC$2:$AC$5000))))</f>
        <v>1</v>
      </c>
      <c r="L33" s="401" t="str">
        <f t="array" ref="L33">IF(K33&gt;0,IFERROR(HYPERLINK("#'IM'!AC"&amp;MATCH(1,(IM!$F$1:$F$5000=A33)*(ISNUMBER(SEARCH(勤務統計!$C$1,IM!$AC$1:$AC$5000))),0),"檢核"),"未登錄"),"")</f>
        <v>檢核</v>
      </c>
      <c r="M33" s="402" t="str">
        <f t="shared" si="0"/>
        <v/>
      </c>
      <c r="N33" s="402" t="str">
        <f t="array" ref="N33">IF(AND(
    SUMPRODUCT(
        (IM!$F$2:$F$522=A33) *
        ISNUMBER(SEARCH("*HUB*", IM!$AC$2:$AC$522)) *
        (IM!$X$2:$X$522&gt;=勤務統計!$A$1) *
        (IM!$X$2:$X$522&lt;=勤務統計!$B$1)*(W33="HUB")
    ) &gt; 0
), "HUB", "")</f>
        <v/>
      </c>
      <c r="O33" s="400" t="str">
        <f>IF(
  IFERROR(VLOOKUP(A33,勤務統計!A:I,9,FALSE),"")&lt;&gt;勤務統計!$C$1,
  "未完工",
  IF(
    AND(勤務統計!$D$1="--",勤務統計!$E$1="--",勤務統計!$F$1="--"),
    "已完工",
    IF(
      OR(
        AND(勤務統計!$D$1&lt;&gt;"--", IFERROR(VLOOKUP(A33,'0919門市清單主檔'!B:AH,31,FALSE),"")=勤務統計!$D$1, IFERROR(VLOOKUP(A33,勤務統計!A:Q,17,FALSE),"")&lt;&gt;勤務統計!$D$1),
        AND(勤務統計!$E$1&lt;&gt;"--", IFERROR(VLOOKUP(A33,'0919門市清單主檔'!B:AH,32,FALSE),"")=勤務統計!$E$1, IFERROR(VLOOKUP(A33,勤務統計!A:S,19,FALSE),"")&lt;&gt;勤務統計!$E$1),
        AND(勤務統計!$F$1&lt;&gt;"--", IFERROR(VLOOKUP(A33,'0919門市清單主檔'!B:AH,33,FALSE),"")=勤務統計!$F$1, IFERROR(VLOOKUP(A33,勤務統計!A:U,21,FALSE),"")&lt;&gt;勤務統計!$F$1),
        AND(IFERROR(VLOOKUP(A33,'0919門市清單主檔'!B:AH,28,FALSE),"")="HUB", IFERROR(VLOOKUP(A33,勤務統計!A:W,23,FALSE),"")&lt;&gt;"HUB")
      ),
      _xlfn.TEXTJOIN(
        "，",
        TRUE,
        IF(AND(勤務統計!$D$1&lt;&gt;"--", IFERROR(VLOOKUP(A33,'0919門市清單主檔'!B:AH,31,FALSE),"")=勤務統計!$D$1, IFERROR(VLOOKUP(A33,勤務統計!A:Q,17,FALSE),"")&lt;&gt;勤務統計!$D$1), 勤務統計!$D$1, ""),
        IF(AND(勤務統計!$E$1&lt;&gt;"--", IFERROR(VLOOKUP(A33,'0919門市清單主檔'!B:AH,32,FALSE),"")=勤務統計!$E$1, IFERROR(VLOOKUP(A33,勤務統計!A:S,19,FALSE),"")&lt;&gt;勤務統計!$E$1), 勤務統計!$E$1, ""),
        IF(AND(勤務統計!$F$1&lt;&gt;"--", IFERROR(VLOOKUP(A33,'0919門市清單主檔'!B:AH,33,FALSE),"")=勤務統計!$F$1, IFERROR(VLOOKUP(A33,勤務統計!A:U,21,FALSE),"")&lt;&gt;勤務統計!$F$1), 勤務統計!$F$1, ""),
        IF(AND(IFERROR(VLOOKUP(A33,'0919門市清單主檔'!B:AH,28,FALSE),"")="HUB", IFERROR(VLOOKUP(A33,勤務統計!A:W,23,FALSE),"")&lt;&gt;"HUB"), "HUB", "")
      ) &amp; "未完工",
      "已完工"
    )
  )
)</f>
        <v>未完工</v>
      </c>
      <c r="P33" s="403" t="str">
        <f>(TEXT(I33,"yyyymmdd"))&amp;勤務統計!$V$2&amp;A33&amp;勤務統計!$V$2&amp;B33&amp;勤務統計!$S$2</f>
        <v>PMQ1-L519-車麗屋林口店(定保)</v>
      </c>
      <c r="Q33" s="420" t="str">
        <f t="array" ref="Q33">IF(AND(SUMPRODUCT((IM!$F$2:$F$5000=A33)*(ISNUMBER(SEARCH(勤務統計!$D$1, IM!$AC$2:$AC$5000))))&gt;0), 勤務統計!$D$1, "")</f>
        <v/>
      </c>
      <c r="R33" s="421" t="str">
        <f t="array" ref="R33">IFERROR(INDEX(IM!$AM$2:$AM$5000, MATCH(1, (IM!$F$2:$F$5000=A33) * (ISNUMBER(SEARCH(勤務統計!$D$1, IM!$AC$2:$AC$5000))), 0)), "")</f>
        <v/>
      </c>
      <c r="S33" s="406" t="str" cm="1">
        <f t="array" ref="S33">IF(AND(SUMPRODUCT((IM!$F$2:$F$5000=A33)*(ISNUMBER(SEARCH(勤務統計!$E$1, IM!$AC$2:$AC$5000))))&gt;0), 勤務統計!$E$1, "")</f>
        <v/>
      </c>
      <c r="T33" s="422" t="str">
        <f t="array" ref="T33">IFERROR(INDEX(IM!$AM$2:$AM$5000, MATCH(1, (IM!$F$2:$F$5000=A33) * (ISNUMBER(SEARCH(勤務統計!$E$1, IM!$AC$2:$AC$5000))), 0)), "")</f>
        <v/>
      </c>
      <c r="U33" s="406" t="str" cm="1">
        <f t="array" ref="U33">IF(AND(SUMPRODUCT((IM!$F$2:$F$5000=A33)*(ISNUMBER(SEARCH(勤務統計!$F$1, IM!$AC$2:$AC$5000))))&gt;0), 勤務統計!$F$1, "")</f>
        <v/>
      </c>
      <c r="V33" s="413" t="str">
        <f t="array" ref="V33">IFERROR(INDEX(IM!$AM$2:$AM$5000, MATCH(1, (IM!$F$2:$F$5000=A33) * (ISNUMBER(SEARCH(勤務統計!$F$1, IM!$AC$2:$AC$5000))), 0)), "")</f>
        <v/>
      </c>
      <c r="W33" s="414" t="str">
        <f>IF(VLOOKUP(A33,'0919門市清單主檔'!B:AC,28,FALSE)=0,"",VLOOKUP(A33,'0919門市清單主檔'!B:AC,28,FALSE))</f>
        <v/>
      </c>
    </row>
    <row r="34" spans="1:23" ht="21.6" customHeight="1">
      <c r="A34" s="423">
        <v>4326</v>
      </c>
      <c r="B34" s="416" t="str">
        <f>VLOOKUP(A34,'0919門市清單主檔'!B:C,2,FALSE)</f>
        <v>林口建安店</v>
      </c>
      <c r="C34" s="415" t="str">
        <f>VLOOKUP($A34,'0919門市清單主檔'!B:V,20,FALSE)</f>
        <v>新北市</v>
      </c>
      <c r="D34" s="410" t="str">
        <f>VLOOKUP($A34,'0919門市清單主檔'!B:V,21,FALSE)</f>
        <v>林口區</v>
      </c>
      <c r="E34" s="397" t="str">
        <f>VLOOKUP(D34,門市狀態!G:H,2,FALSE)</f>
        <v>吳宗鴻</v>
      </c>
      <c r="F34" s="410" t="str">
        <f>IFERROR(IF(VLOOKUP(A34,門市狀態!A:D,4,FALSE)=0,"",VLOOKUP(A34,門市狀態!A:D,4,FALSE)),"")</f>
        <v/>
      </c>
      <c r="G34" s="424"/>
      <c r="H34" s="425" t="str">
        <f>IF(I34&gt;0,(TEXT(I34,"yyyymmdd")&amp;勤務統計!$V$2&amp;A34&amp;勤務統計!$V$2&amp;B34&amp;勤務統計!$S$2),"")</f>
        <v>PMQ1-4326-林口建安店(定保)</v>
      </c>
      <c r="I34" s="247" t="str">
        <f t="array" ref="I34">IF(AND(SUMPRODUCT((IM!$F$2:$F$5000=A34)*(ISNUMBER(SEARCH(勤務統計!$C$1, IM!$AC$2:$AC$5000))))&gt;0), 勤務統計!$C$1, "")</f>
        <v>PMQ1</v>
      </c>
      <c r="J34" s="399">
        <f t="array" ref="J34">IFERROR(INDEX(IM!$AM$2:$AM$5000, MATCH(1, (IM!$F$2:$F$5000=A34) * (ISNUMBER(SEARCH(勤務統計!$C$1, IM!$AC$2:$AC$5000))), 0)), "")</f>
        <v>46030</v>
      </c>
      <c r="K34" s="400">
        <f t="array" ref="K34">SUMPRODUCT((IM!$F$2:$F$5000=A34)*(IM!$AD$2:$AD$5000="O")*(ISNUMBER(SEARCH(勤務統計!$C$1, IM!$AC$2:$AC$5000))))</f>
        <v>1</v>
      </c>
      <c r="L34" s="401" t="str">
        <f t="array" ref="L34">IF(K34&gt;0,IFERROR(HYPERLINK("#'IM'!AC"&amp;MATCH(1,(IM!$F$1:$F$5000=A34)*(ISNUMBER(SEARCH(勤務統計!$C$1,IM!$AC$1:$AC$5000))),0),"檢核"),"未登錄"),"")</f>
        <v>檢核</v>
      </c>
      <c r="M34" s="402" t="str">
        <f t="shared" si="0"/>
        <v>+L90+721</v>
      </c>
      <c r="N34" s="402" t="str">
        <f t="array" ref="N34">IF(AND(
    SUMPRODUCT(
        (IM!$F$2:$F$522=A34) *
        ISNUMBER(SEARCH("*HUB*", IM!$AC$2:$AC$522)) *
        (IM!$X$2:$X$522&gt;=勤務統計!$A$1) *
        (IM!$X$2:$X$522&lt;=勤務統計!$B$1)*(W34="HUB")
    ) &gt; 0
), "HUB", "")</f>
        <v/>
      </c>
      <c r="O34" s="400" t="str">
        <f>IF(
  IFERROR(VLOOKUP(A34,勤務統計!A:I,9,FALSE),"")&lt;&gt;勤務統計!$C$1,
  "未完工",
  IF(
    AND(勤務統計!$D$1="--",勤務統計!$E$1="--",勤務統計!$F$1="--"),
    "已完工",
    IF(
      OR(
        AND(勤務統計!$D$1&lt;&gt;"--", IFERROR(VLOOKUP(A34,'0919門市清單主檔'!B:AH,31,FALSE),"")=勤務統計!$D$1, IFERROR(VLOOKUP(A34,勤務統計!A:Q,17,FALSE),"")&lt;&gt;勤務統計!$D$1),
        AND(勤務統計!$E$1&lt;&gt;"--", IFERROR(VLOOKUP(A34,'0919門市清單主檔'!B:AH,32,FALSE),"")=勤務統計!$E$1, IFERROR(VLOOKUP(A34,勤務統計!A:S,19,FALSE),"")&lt;&gt;勤務統計!$E$1),
        AND(勤務統計!$F$1&lt;&gt;"--", IFERROR(VLOOKUP(A34,'0919門市清單主檔'!B:AH,33,FALSE),"")=勤務統計!$F$1, IFERROR(VLOOKUP(A34,勤務統計!A:U,21,FALSE),"")&lt;&gt;勤務統計!$F$1),
        AND(IFERROR(VLOOKUP(A34,'0919門市清單主檔'!B:AH,28,FALSE),"")="HUB", IFERROR(VLOOKUP(A34,勤務統計!A:W,23,FALSE),"")&lt;&gt;"HUB")
      ),
      _xlfn.TEXTJOIN(
        "，",
        TRUE,
        IF(AND(勤務統計!$D$1&lt;&gt;"--", IFERROR(VLOOKUP(A34,'0919門市清單主檔'!B:AH,31,FALSE),"")=勤務統計!$D$1, IFERROR(VLOOKUP(A34,勤務統計!A:Q,17,FALSE),"")&lt;&gt;勤務統計!$D$1), 勤務統計!$D$1, ""),
        IF(AND(勤務統計!$E$1&lt;&gt;"--", IFERROR(VLOOKUP(A34,'0919門市清單主檔'!B:AH,32,FALSE),"")=勤務統計!$E$1, IFERROR(VLOOKUP(A34,勤務統計!A:S,19,FALSE),"")&lt;&gt;勤務統計!$E$1), 勤務統計!$E$1, ""),
        IF(AND(勤務統計!$F$1&lt;&gt;"--", IFERROR(VLOOKUP(A34,'0919門市清單主檔'!B:AH,33,FALSE),"")=勤務統計!$F$1, IFERROR(VLOOKUP(A34,勤務統計!A:U,21,FALSE),"")&lt;&gt;勤務統計!$F$1), 勤務統計!$F$1, ""),
        IF(AND(IFERROR(VLOOKUP(A34,'0919門市清單主檔'!B:AH,28,FALSE),"")="HUB", IFERROR(VLOOKUP(A34,勤務統計!A:W,23,FALSE),"")&lt;&gt;"HUB"), "HUB", "")
      ) &amp; "未完工",
      "已完工"
    )
  )
)</f>
        <v>未完工</v>
      </c>
      <c r="P34" s="403" t="str">
        <f>(TEXT(I34,"yyyymmdd"))&amp;勤務統計!$V$2&amp;A34&amp;勤務統計!$V$2&amp;B34&amp;勤務統計!$S$2</f>
        <v>PMQ1-4326-林口建安店(定保)</v>
      </c>
      <c r="Q34" s="420" t="str">
        <f t="array" ref="Q34">IF(AND(SUMPRODUCT((IM!$F$2:$F$5000=A34)*(ISNUMBER(SEARCH(勤務統計!$D$1, IM!$AC$2:$AC$5000))))&gt;0), 勤務統計!$D$1, "")</f>
        <v/>
      </c>
      <c r="R34" s="421" t="str">
        <f t="array" ref="R34">IFERROR(INDEX(IM!$AM$2:$AM$5000, MATCH(1, (IM!$F$2:$F$5000=A34) * (ISNUMBER(SEARCH(勤務統計!$D$1, IM!$AC$2:$AC$5000))), 0)), "")</f>
        <v/>
      </c>
      <c r="S34" s="406" t="str" cm="1">
        <f t="array" ref="S34">IF(AND(SUMPRODUCT((IM!$F$2:$F$5000=A34)*(ISNUMBER(SEARCH(勤務統計!$E$1, IM!$AC$2:$AC$5000))))&gt;0), 勤務統計!$E$1, "")</f>
        <v>+L90</v>
      </c>
      <c r="T34" s="422">
        <f t="array" ref="T34">IFERROR(INDEX(IM!$AM$2:$AM$5000, MATCH(1, (IM!$F$2:$F$5000=A34) * (ISNUMBER(SEARCH(勤務統計!$E$1, IM!$AC$2:$AC$5000))), 0)), "")</f>
        <v>45992</v>
      </c>
      <c r="U34" s="406" t="str" cm="1">
        <f t="array" ref="U34">IF(AND(SUMPRODUCT((IM!$F$2:$F$5000=A34)*(ISNUMBER(SEARCH(勤務統計!$F$1, IM!$AC$2:$AC$5000))))&gt;0), 勤務統計!$F$1, "")</f>
        <v>+721</v>
      </c>
      <c r="V34" s="413">
        <f t="array" ref="V34">IFERROR(INDEX(IM!$AM$2:$AM$5000, MATCH(1, (IM!$F$2:$F$5000=A34) * (ISNUMBER(SEARCH(勤務統計!$F$1, IM!$AC$2:$AC$5000))), 0)), "")</f>
        <v>46030</v>
      </c>
      <c r="W34" s="414" t="str">
        <f>IF(VLOOKUP(A34,'0919門市清單主檔'!B:AC,28,FALSE)=0,"",VLOOKUP(A34,'0919門市清單主檔'!B:AC,28,FALSE))</f>
        <v/>
      </c>
    </row>
    <row r="35" spans="1:23" ht="21.6" customHeight="1">
      <c r="A35" s="423">
        <v>4834</v>
      </c>
      <c r="B35" s="416" t="str">
        <f>VLOOKUP(A35,'0919門市清單主檔'!B:C,2,FALSE)</f>
        <v>林口大千苑店</v>
      </c>
      <c r="C35" s="415" t="str">
        <f>VLOOKUP($A35,'0919門市清單主檔'!B:V,20,FALSE)</f>
        <v>新北市</v>
      </c>
      <c r="D35" s="410" t="str">
        <f>VLOOKUP($A35,'0919門市清單主檔'!B:V,21,FALSE)</f>
        <v>林口區</v>
      </c>
      <c r="E35" s="397" t="str">
        <f>VLOOKUP(D35,門市狀態!G:H,2,FALSE)</f>
        <v>吳宗鴻</v>
      </c>
      <c r="F35" s="410" t="str">
        <f>IFERROR(IF(VLOOKUP(A35,門市狀態!A:D,4,FALSE)=0,"",VLOOKUP(A35,門市狀態!A:D,4,FALSE)),"")</f>
        <v/>
      </c>
      <c r="G35" s="424"/>
      <c r="H35" s="425" t="str">
        <f>IF(I35&gt;0,(TEXT(I35,"yyyymmdd")&amp;勤務統計!$V$2&amp;A35&amp;勤務統計!$V$2&amp;B35&amp;勤務統計!$S$2),"")</f>
        <v>PMQ1-4834-林口大千苑店(定保)</v>
      </c>
      <c r="I35" s="247" t="str">
        <f t="array" ref="I35">IF(AND(SUMPRODUCT((IM!$F$2:$F$5000=A35)*(ISNUMBER(SEARCH(勤務統計!$C$1, IM!$AC$2:$AC$5000))))&gt;0), 勤務統計!$C$1, "")</f>
        <v>PMQ1</v>
      </c>
      <c r="J35" s="399">
        <f t="array" ref="J35">IFERROR(INDEX(IM!$AM$2:$AM$5000, MATCH(1, (IM!$F$2:$F$5000=A35) * (ISNUMBER(SEARCH(勤務統計!$C$1, IM!$AC$2:$AC$5000))), 0)), "")</f>
        <v>46030</v>
      </c>
      <c r="K35" s="400">
        <f t="array" ref="K35">SUMPRODUCT((IM!$F$2:$F$5000=A35)*(IM!$AD$2:$AD$5000="O")*(ISNUMBER(SEARCH(勤務統計!$C$1, IM!$AC$2:$AC$5000))))</f>
        <v>1</v>
      </c>
      <c r="L35" s="401" t="str">
        <f t="array" ref="L35">IF(K35&gt;0,IFERROR(HYPERLINK("#'IM'!AC"&amp;MATCH(1,(IM!$F$1:$F$5000=A35)*(ISNUMBER(SEARCH(勤務統計!$C$1,IM!$AC$1:$AC$5000))),0),"檢核"),"未登錄"),"")</f>
        <v>檢核</v>
      </c>
      <c r="M35" s="402" t="str">
        <f t="shared" si="0"/>
        <v>+L90+721</v>
      </c>
      <c r="N35" s="402" t="str">
        <f t="array" ref="N35">IF(AND(
    SUMPRODUCT(
        (IM!$F$2:$F$522=A35) *
        ISNUMBER(SEARCH("*HUB*", IM!$AC$2:$AC$522)) *
        (IM!$X$2:$X$522&gt;=勤務統計!$A$1) *
        (IM!$X$2:$X$522&lt;=勤務統計!$B$1)*(W35="HUB")
    ) &gt; 0
), "HUB", "")</f>
        <v/>
      </c>
      <c r="O35" s="400" t="str">
        <f>IF(
  IFERROR(VLOOKUP(A35,勤務統計!A:I,9,FALSE),"")&lt;&gt;勤務統計!$C$1,
  "未完工",
  IF(
    AND(勤務統計!$D$1="--",勤務統計!$E$1="--",勤務統計!$F$1="--"),
    "已完工",
    IF(
      OR(
        AND(勤務統計!$D$1&lt;&gt;"--", IFERROR(VLOOKUP(A35,'0919門市清單主檔'!B:AH,31,FALSE),"")=勤務統計!$D$1, IFERROR(VLOOKUP(A35,勤務統計!A:Q,17,FALSE),"")&lt;&gt;勤務統計!$D$1),
        AND(勤務統計!$E$1&lt;&gt;"--", IFERROR(VLOOKUP(A35,'0919門市清單主檔'!B:AH,32,FALSE),"")=勤務統計!$E$1, IFERROR(VLOOKUP(A35,勤務統計!A:S,19,FALSE),"")&lt;&gt;勤務統計!$E$1),
        AND(勤務統計!$F$1&lt;&gt;"--", IFERROR(VLOOKUP(A35,'0919門市清單主檔'!B:AH,33,FALSE),"")=勤務統計!$F$1, IFERROR(VLOOKUP(A35,勤務統計!A:U,21,FALSE),"")&lt;&gt;勤務統計!$F$1),
        AND(IFERROR(VLOOKUP(A35,'0919門市清單主檔'!B:AH,28,FALSE),"")="HUB", IFERROR(VLOOKUP(A35,勤務統計!A:W,23,FALSE),"")&lt;&gt;"HUB")
      ),
      _xlfn.TEXTJOIN(
        "，",
        TRUE,
        IF(AND(勤務統計!$D$1&lt;&gt;"--", IFERROR(VLOOKUP(A35,'0919門市清單主檔'!B:AH,31,FALSE),"")=勤務統計!$D$1, IFERROR(VLOOKUP(A35,勤務統計!A:Q,17,FALSE),"")&lt;&gt;勤務統計!$D$1), 勤務統計!$D$1, ""),
        IF(AND(勤務統計!$E$1&lt;&gt;"--", IFERROR(VLOOKUP(A35,'0919門市清單主檔'!B:AH,32,FALSE),"")=勤務統計!$E$1, IFERROR(VLOOKUP(A35,勤務統計!A:S,19,FALSE),"")&lt;&gt;勤務統計!$E$1), 勤務統計!$E$1, ""),
        IF(AND(勤務統計!$F$1&lt;&gt;"--", IFERROR(VLOOKUP(A35,'0919門市清單主檔'!B:AH,33,FALSE),"")=勤務統計!$F$1, IFERROR(VLOOKUP(A35,勤務統計!A:U,21,FALSE),"")&lt;&gt;勤務統計!$F$1), 勤務統計!$F$1, ""),
        IF(AND(IFERROR(VLOOKUP(A35,'0919門市清單主檔'!B:AH,28,FALSE),"")="HUB", IFERROR(VLOOKUP(A35,勤務統計!A:W,23,FALSE),"")&lt;&gt;"HUB"), "HUB", "")
      ) &amp; "未完工",
      "已完工"
    )
  )
)</f>
        <v>未完工</v>
      </c>
      <c r="P35" s="403" t="str">
        <f>(TEXT(I35,"yyyymmdd"))&amp;勤務統計!$V$2&amp;A35&amp;勤務統計!$V$2&amp;B35&amp;勤務統計!$S$2</f>
        <v>PMQ1-4834-林口大千苑店(定保)</v>
      </c>
      <c r="Q35" s="420" t="str">
        <f t="array" ref="Q35">IF(AND(SUMPRODUCT((IM!$F$2:$F$5000=A35)*(ISNUMBER(SEARCH(勤務統計!$D$1, IM!$AC$2:$AC$5000))))&gt;0), 勤務統計!$D$1, "")</f>
        <v/>
      </c>
      <c r="R35" s="421" t="str">
        <f t="array" ref="R35">IFERROR(INDEX(IM!$AM$2:$AM$5000, MATCH(1, (IM!$F$2:$F$5000=A35) * (ISNUMBER(SEARCH(勤務統計!$D$1, IM!$AC$2:$AC$5000))), 0)), "")</f>
        <v/>
      </c>
      <c r="S35" s="406" t="str" cm="1">
        <f t="array" ref="S35">IF(AND(SUMPRODUCT((IM!$F$2:$F$5000=A35)*(ISNUMBER(SEARCH(勤務統計!$E$1, IM!$AC$2:$AC$5000))))&gt;0), 勤務統計!$E$1, "")</f>
        <v>+L90</v>
      </c>
      <c r="T35" s="422">
        <f t="array" ref="T35">IFERROR(INDEX(IM!$AM$2:$AM$5000, MATCH(1, (IM!$F$2:$F$5000=A35) * (ISNUMBER(SEARCH(勤務統計!$E$1, IM!$AC$2:$AC$5000))), 0)), "")</f>
        <v>45992</v>
      </c>
      <c r="U35" s="406" t="str" cm="1">
        <f t="array" ref="U35">IF(AND(SUMPRODUCT((IM!$F$2:$F$5000=A35)*(ISNUMBER(SEARCH(勤務統計!$F$1, IM!$AC$2:$AC$5000))))&gt;0), 勤務統計!$F$1, "")</f>
        <v>+721</v>
      </c>
      <c r="V35" s="413">
        <f t="array" ref="V35">IFERROR(INDEX(IM!$AM$2:$AM$5000, MATCH(1, (IM!$F$2:$F$5000=A35) * (ISNUMBER(SEARCH(勤務統計!$F$1, IM!$AC$2:$AC$5000))), 0)), "")</f>
        <v>46030</v>
      </c>
      <c r="W35" s="414" t="str">
        <f>IF(VLOOKUP(A35,'0919門市清單主檔'!B:AC,28,FALSE)=0,"",VLOOKUP(A35,'0919門市清單主檔'!B:AC,28,FALSE))</f>
        <v/>
      </c>
    </row>
    <row r="36" spans="1:23" ht="21.6" customHeight="1">
      <c r="A36" s="423" t="s">
        <v>48</v>
      </c>
      <c r="B36" s="416" t="str">
        <f>VLOOKUP(A36,'0919門市清單主檔'!B:C,2,FALSE)</f>
        <v>北縣府中店</v>
      </c>
      <c r="C36" s="415" t="str">
        <f>VLOOKUP($A36,'0919門市清單主檔'!B:V,20,FALSE)</f>
        <v>新北市</v>
      </c>
      <c r="D36" s="410" t="str">
        <f>VLOOKUP($A36,'0919門市清單主檔'!B:V,21,FALSE)</f>
        <v>板橋區</v>
      </c>
      <c r="E36" s="397" t="str">
        <f>VLOOKUP(D36,門市狀態!G:H,2,FALSE)</f>
        <v>狄澤洋</v>
      </c>
      <c r="F36" s="410" t="str">
        <f>IFERROR(IF(VLOOKUP(A36,門市狀態!A:D,4,FALSE)=0,"",VLOOKUP(A36,門市狀態!A:D,4,FALSE)),"")</f>
        <v/>
      </c>
      <c r="G36" s="424"/>
      <c r="H36" s="425" t="str">
        <f>IF(I36&gt;0,(TEXT(I36,"yyyymmdd")&amp;勤務統計!$V$2&amp;A36&amp;勤務統計!$V$2&amp;B36&amp;勤務統計!$S$2),"")</f>
        <v>PMQ1-D111-北縣府中店(定保)</v>
      </c>
      <c r="I36" s="247" t="str">
        <f t="array" ref="I36">IF(AND(SUMPRODUCT((IM!$F$2:$F$5000=A36)*(ISNUMBER(SEARCH(勤務統計!$C$1, IM!$AC$2:$AC$5000))))&gt;0), 勤務統計!$C$1, "")</f>
        <v>PMQ1</v>
      </c>
      <c r="J36" s="399">
        <f t="array" ref="J36">IFERROR(INDEX(IM!$AM$2:$AM$5000, MATCH(1, (IM!$F$2:$F$5000=A36) * (ISNUMBER(SEARCH(勤務統計!$C$1, IM!$AC$2:$AC$5000))), 0)), "")</f>
        <v>46030</v>
      </c>
      <c r="K36" s="400">
        <f t="array" ref="K36">SUMPRODUCT((IM!$F$2:$F$5000=A36)*(IM!$AD$2:$AD$5000="O")*(ISNUMBER(SEARCH(勤務統計!$C$1, IM!$AC$2:$AC$5000))))</f>
        <v>1</v>
      </c>
      <c r="L36" s="401" t="str">
        <f t="array" ref="L36">IF(K36&gt;0,IFERROR(HYPERLINK("#'IM'!AC"&amp;MATCH(1,(IM!$F$1:$F$5000=A36)*(ISNUMBER(SEARCH(勤務統計!$C$1,IM!$AC$1:$AC$5000))),0),"檢核"),"未登錄"),"")</f>
        <v>檢核</v>
      </c>
      <c r="M36" s="402" t="str">
        <f t="shared" si="0"/>
        <v>+721</v>
      </c>
      <c r="N36" s="402" t="str">
        <f t="array" ref="N36">IF(AND(
    SUMPRODUCT(
        (IM!$F$2:$F$522=A36) *
        ISNUMBER(SEARCH("*HUB*", IM!$AC$2:$AC$522)) *
        (IM!$X$2:$X$522&gt;=勤務統計!$A$1) *
        (IM!$X$2:$X$522&lt;=勤務統計!$B$1)*(W36="HUB")
    ) &gt; 0
), "HUB", "")</f>
        <v/>
      </c>
      <c r="O36" s="400" t="str">
        <f>IF(
  IFERROR(VLOOKUP(A36,勤務統計!A:I,9,FALSE),"")&lt;&gt;勤務統計!$C$1,
  "未完工",
  IF(
    AND(勤務統計!$D$1="--",勤務統計!$E$1="--",勤務統計!$F$1="--"),
    "已完工",
    IF(
      OR(
        AND(勤務統計!$D$1&lt;&gt;"--", IFERROR(VLOOKUP(A36,'0919門市清單主檔'!B:AH,31,FALSE),"")=勤務統計!$D$1, IFERROR(VLOOKUP(A36,勤務統計!A:Q,17,FALSE),"")&lt;&gt;勤務統計!$D$1),
        AND(勤務統計!$E$1&lt;&gt;"--", IFERROR(VLOOKUP(A36,'0919門市清單主檔'!B:AH,32,FALSE),"")=勤務統計!$E$1, IFERROR(VLOOKUP(A36,勤務統計!A:S,19,FALSE),"")&lt;&gt;勤務統計!$E$1),
        AND(勤務統計!$F$1&lt;&gt;"--", IFERROR(VLOOKUP(A36,'0919門市清單主檔'!B:AH,33,FALSE),"")=勤務統計!$F$1, IFERROR(VLOOKUP(A36,勤務統計!A:U,21,FALSE),"")&lt;&gt;勤務統計!$F$1),
        AND(IFERROR(VLOOKUP(A36,'0919門市清單主檔'!B:AH,28,FALSE),"")="HUB", IFERROR(VLOOKUP(A36,勤務統計!A:W,23,FALSE),"")&lt;&gt;"HUB")
      ),
      _xlfn.TEXTJOIN(
        "，",
        TRUE,
        IF(AND(勤務統計!$D$1&lt;&gt;"--", IFERROR(VLOOKUP(A36,'0919門市清單主檔'!B:AH,31,FALSE),"")=勤務統計!$D$1, IFERROR(VLOOKUP(A36,勤務統計!A:Q,17,FALSE),"")&lt;&gt;勤務統計!$D$1), 勤務統計!$D$1, ""),
        IF(AND(勤務統計!$E$1&lt;&gt;"--", IFERROR(VLOOKUP(A36,'0919門市清單主檔'!B:AH,32,FALSE),"")=勤務統計!$E$1, IFERROR(VLOOKUP(A36,勤務統計!A:S,19,FALSE),"")&lt;&gt;勤務統計!$E$1), 勤務統計!$E$1, ""),
        IF(AND(勤務統計!$F$1&lt;&gt;"--", IFERROR(VLOOKUP(A36,'0919門市清單主檔'!B:AH,33,FALSE),"")=勤務統計!$F$1, IFERROR(VLOOKUP(A36,勤務統計!A:U,21,FALSE),"")&lt;&gt;勤務統計!$F$1), 勤務統計!$F$1, ""),
        IF(AND(IFERROR(VLOOKUP(A36,'0919門市清單主檔'!B:AH,28,FALSE),"")="HUB", IFERROR(VLOOKUP(A36,勤務統計!A:W,23,FALSE),"")&lt;&gt;"HUB"), "HUB", "")
      ) &amp; "未完工",
      "已完工"
    )
  )
)</f>
        <v>未完工</v>
      </c>
      <c r="P36" s="403" t="str">
        <f>(TEXT(I36,"yyyymmdd"))&amp;勤務統計!$V$2&amp;A36&amp;勤務統計!$V$2&amp;B36&amp;勤務統計!$S$2</f>
        <v>PMQ1-D111-北縣府中店(定保)</v>
      </c>
      <c r="Q36" s="420" t="str">
        <f t="array" ref="Q36">IF(AND(SUMPRODUCT((IM!$F$2:$F$5000=A36)*(ISNUMBER(SEARCH(勤務統計!$D$1, IM!$AC$2:$AC$5000))))&gt;0), 勤務統計!$D$1, "")</f>
        <v/>
      </c>
      <c r="R36" s="421" t="str">
        <f t="array" ref="R36">IFERROR(INDEX(IM!$AM$2:$AM$5000, MATCH(1, (IM!$F$2:$F$5000=A36) * (ISNUMBER(SEARCH(勤務統計!$D$1, IM!$AC$2:$AC$5000))), 0)), "")</f>
        <v/>
      </c>
      <c r="S36" s="406" t="str" cm="1">
        <f t="array" ref="S36">IF(AND(SUMPRODUCT((IM!$F$2:$F$5000=A36)*(ISNUMBER(SEARCH(勤務統計!$E$1, IM!$AC$2:$AC$5000))))&gt;0), 勤務統計!$E$1, "")</f>
        <v/>
      </c>
      <c r="T36" s="422" t="str">
        <f t="array" ref="T36">IFERROR(INDEX(IM!$AM$2:$AM$5000, MATCH(1, (IM!$F$2:$F$5000=A36) * (ISNUMBER(SEARCH(勤務統計!$E$1, IM!$AC$2:$AC$5000))), 0)), "")</f>
        <v/>
      </c>
      <c r="U36" s="406" t="str" cm="1">
        <f t="array" ref="U36">IF(AND(SUMPRODUCT((IM!$F$2:$F$5000=A36)*(ISNUMBER(SEARCH(勤務統計!$F$1, IM!$AC$2:$AC$5000))))&gt;0), 勤務統計!$F$1, "")</f>
        <v>+721</v>
      </c>
      <c r="V36" s="413">
        <f t="array" ref="V36">IFERROR(INDEX(IM!$AM$2:$AM$5000, MATCH(1, (IM!$F$2:$F$5000=A36) * (ISNUMBER(SEARCH(勤務統計!$F$1, IM!$AC$2:$AC$5000))), 0)), "")</f>
        <v>46030</v>
      </c>
      <c r="W36" s="414" t="str">
        <f>IF(VLOOKUP(A36,'0919門市清單主檔'!B:AC,28,FALSE)=0,"",VLOOKUP(A36,'0919門市清單主檔'!B:AC,28,FALSE))</f>
        <v/>
      </c>
    </row>
    <row r="37" spans="1:23" ht="21.6" customHeight="1">
      <c r="A37" s="423">
        <v>5451</v>
      </c>
      <c r="B37" s="416" t="str">
        <f>VLOOKUP(A37,'0919門市清單主檔'!B:C,2,FALSE)</f>
        <v>板橋懷仁店</v>
      </c>
      <c r="C37" s="415" t="str">
        <f>VLOOKUP($A37,'0919門市清單主檔'!B:V,20,FALSE)</f>
        <v>新北市</v>
      </c>
      <c r="D37" s="410" t="str">
        <f>VLOOKUP($A37,'0919門市清單主檔'!B:V,21,FALSE)</f>
        <v>板橋區</v>
      </c>
      <c r="E37" s="397" t="str">
        <f>VLOOKUP(D37,門市狀態!G:H,2,FALSE)</f>
        <v>狄澤洋</v>
      </c>
      <c r="F37" s="410" t="str">
        <f>IFERROR(IF(VLOOKUP(A37,門市狀態!A:D,4,FALSE)=0,"",VLOOKUP(A37,門市狀態!A:D,4,FALSE)),"")</f>
        <v/>
      </c>
      <c r="G37" s="424"/>
      <c r="H37" s="425" t="str">
        <f>IF(I37&gt;0,(TEXT(I37,"yyyymmdd")&amp;勤務統計!$V$2&amp;A37&amp;勤務統計!$V$2&amp;B37&amp;勤務統計!$S$2),"")</f>
        <v>PMQ1-5451-板橋懷仁店(定保)</v>
      </c>
      <c r="I37" s="247" t="str">
        <f t="array" ref="I37">IF(AND(SUMPRODUCT((IM!$F$2:$F$5000=A37)*(ISNUMBER(SEARCH(勤務統計!$C$1, IM!$AC$2:$AC$5000))))&gt;0), 勤務統計!$C$1, "")</f>
        <v>PMQ1</v>
      </c>
      <c r="J37" s="399">
        <f t="array" ref="J37">IFERROR(INDEX(IM!$AM$2:$AM$5000, MATCH(1, (IM!$F$2:$F$5000=A37) * (ISNUMBER(SEARCH(勤務統計!$C$1, IM!$AC$2:$AC$5000))), 0)), "")</f>
        <v>46030</v>
      </c>
      <c r="K37" s="400">
        <f t="array" ref="K37">SUMPRODUCT((IM!$F$2:$F$5000=A37)*(IM!$AD$2:$AD$5000="O")*(ISNUMBER(SEARCH(勤務統計!$C$1, IM!$AC$2:$AC$5000))))</f>
        <v>1</v>
      </c>
      <c r="L37" s="401" t="str">
        <f t="array" ref="L37">IF(K37&gt;0,IFERROR(HYPERLINK("#'IM'!AC"&amp;MATCH(1,(IM!$F$1:$F$5000=A37)*(ISNUMBER(SEARCH(勤務統計!$C$1,IM!$AC$1:$AC$5000))),0),"檢核"),"未登錄"),"")</f>
        <v>檢核</v>
      </c>
      <c r="M37" s="402" t="str">
        <f t="shared" si="0"/>
        <v/>
      </c>
      <c r="N37" s="402" t="str">
        <f t="array" ref="N37">IF(AND(
    SUMPRODUCT(
        (IM!$F$2:$F$522=A37) *
        ISNUMBER(SEARCH("*HUB*", IM!$AC$2:$AC$522)) *
        (IM!$X$2:$X$522&gt;=勤務統計!$A$1) *
        (IM!$X$2:$X$522&lt;=勤務統計!$B$1)*(W37="HUB")
    ) &gt; 0
), "HUB", "")</f>
        <v/>
      </c>
      <c r="O37" s="400" t="str">
        <f>IF(
  IFERROR(VLOOKUP(A37,勤務統計!A:I,9,FALSE),"")&lt;&gt;勤務統計!$C$1,
  "未完工",
  IF(
    AND(勤務統計!$D$1="--",勤務統計!$E$1="--",勤務統計!$F$1="--"),
    "已完工",
    IF(
      OR(
        AND(勤務統計!$D$1&lt;&gt;"--", IFERROR(VLOOKUP(A37,'0919門市清單主檔'!B:AH,31,FALSE),"")=勤務統計!$D$1, IFERROR(VLOOKUP(A37,勤務統計!A:Q,17,FALSE),"")&lt;&gt;勤務統計!$D$1),
        AND(勤務統計!$E$1&lt;&gt;"--", IFERROR(VLOOKUP(A37,'0919門市清單主檔'!B:AH,32,FALSE),"")=勤務統計!$E$1, IFERROR(VLOOKUP(A37,勤務統計!A:S,19,FALSE),"")&lt;&gt;勤務統計!$E$1),
        AND(勤務統計!$F$1&lt;&gt;"--", IFERROR(VLOOKUP(A37,'0919門市清單主檔'!B:AH,33,FALSE),"")=勤務統計!$F$1, IFERROR(VLOOKUP(A37,勤務統計!A:U,21,FALSE),"")&lt;&gt;勤務統計!$F$1),
        AND(IFERROR(VLOOKUP(A37,'0919門市清單主檔'!B:AH,28,FALSE),"")="HUB", IFERROR(VLOOKUP(A37,勤務統計!A:W,23,FALSE),"")&lt;&gt;"HUB")
      ),
      _xlfn.TEXTJOIN(
        "，",
        TRUE,
        IF(AND(勤務統計!$D$1&lt;&gt;"--", IFERROR(VLOOKUP(A37,'0919門市清單主檔'!B:AH,31,FALSE),"")=勤務統計!$D$1, IFERROR(VLOOKUP(A37,勤務統計!A:Q,17,FALSE),"")&lt;&gt;勤務統計!$D$1), 勤務統計!$D$1, ""),
        IF(AND(勤務統計!$E$1&lt;&gt;"--", IFERROR(VLOOKUP(A37,'0919門市清單主檔'!B:AH,32,FALSE),"")=勤務統計!$E$1, IFERROR(VLOOKUP(A37,勤務統計!A:S,19,FALSE),"")&lt;&gt;勤務統計!$E$1), 勤務統計!$E$1, ""),
        IF(AND(勤務統計!$F$1&lt;&gt;"--", IFERROR(VLOOKUP(A37,'0919門市清單主檔'!B:AH,33,FALSE),"")=勤務統計!$F$1, IFERROR(VLOOKUP(A37,勤務統計!A:U,21,FALSE),"")&lt;&gt;勤務統計!$F$1), 勤務統計!$F$1, ""),
        IF(AND(IFERROR(VLOOKUP(A37,'0919門市清單主檔'!B:AH,28,FALSE),"")="HUB", IFERROR(VLOOKUP(A37,勤務統計!A:W,23,FALSE),"")&lt;&gt;"HUB"), "HUB", "")
      ) &amp; "未完工",
      "已完工"
    )
  )
)</f>
        <v>未完工</v>
      </c>
      <c r="P37" s="403" t="str">
        <f>(TEXT(I37,"yyyymmdd"))&amp;勤務統計!$V$2&amp;A37&amp;勤務統計!$V$2&amp;B37&amp;勤務統計!$S$2</f>
        <v>PMQ1-5451-板橋懷仁店(定保)</v>
      </c>
      <c r="Q37" s="420" t="str">
        <f t="array" ref="Q37">IF(AND(SUMPRODUCT((IM!$F$2:$F$5000=A37)*(ISNUMBER(SEARCH(勤務統計!$D$1, IM!$AC$2:$AC$5000))))&gt;0), 勤務統計!$D$1, "")</f>
        <v/>
      </c>
      <c r="R37" s="421" t="str">
        <f t="array" ref="R37">IFERROR(INDEX(IM!$AM$2:$AM$5000, MATCH(1, (IM!$F$2:$F$5000=A37) * (ISNUMBER(SEARCH(勤務統計!$D$1, IM!$AC$2:$AC$5000))), 0)), "")</f>
        <v/>
      </c>
      <c r="S37" s="406" t="str" cm="1">
        <f t="array" ref="S37">IF(AND(SUMPRODUCT((IM!$F$2:$F$5000=A37)*(ISNUMBER(SEARCH(勤務統計!$E$1, IM!$AC$2:$AC$5000))))&gt;0), 勤務統計!$E$1, "")</f>
        <v/>
      </c>
      <c r="T37" s="422" t="str">
        <f t="array" ref="T37">IFERROR(INDEX(IM!$AM$2:$AM$5000, MATCH(1, (IM!$F$2:$F$5000=A37) * (ISNUMBER(SEARCH(勤務統計!$E$1, IM!$AC$2:$AC$5000))), 0)), "")</f>
        <v/>
      </c>
      <c r="U37" s="406" t="str" cm="1">
        <f t="array" ref="U37">IF(AND(SUMPRODUCT((IM!$F$2:$F$5000=A37)*(ISNUMBER(SEARCH(勤務統計!$F$1, IM!$AC$2:$AC$5000))))&gt;0), 勤務統計!$F$1, "")</f>
        <v/>
      </c>
      <c r="V37" s="413" t="str">
        <f t="array" ref="V37">IFERROR(INDEX(IM!$AM$2:$AM$5000, MATCH(1, (IM!$F$2:$F$5000=A37) * (ISNUMBER(SEARCH(勤務統計!$F$1, IM!$AC$2:$AC$5000))), 0)), "")</f>
        <v/>
      </c>
      <c r="W37" s="414" t="str">
        <f>IF(VLOOKUP(A37,'0919門市清單主檔'!B:AC,28,FALSE)=0,"",VLOOKUP(A37,'0919門市清單主檔'!B:AC,28,FALSE))</f>
        <v/>
      </c>
    </row>
    <row r="38" spans="1:23" ht="21.6" customHeight="1">
      <c r="A38" s="423" t="s">
        <v>49</v>
      </c>
      <c r="B38" s="416" t="str">
        <f>VLOOKUP(A38,'0919門市清單主檔'!B:C,2,FALSE)</f>
        <v>林口顧家店</v>
      </c>
      <c r="C38" s="415" t="str">
        <f>VLOOKUP($A38,'0919門市清單主檔'!B:V,20,FALSE)</f>
        <v>新北市</v>
      </c>
      <c r="D38" s="410" t="str">
        <f>VLOOKUP($A38,'0919門市清單主檔'!B:V,21,FALSE)</f>
        <v>林口區</v>
      </c>
      <c r="E38" s="397" t="str">
        <f>VLOOKUP(D38,門市狀態!G:H,2,FALSE)</f>
        <v>吳宗鴻</v>
      </c>
      <c r="F38" s="410" t="str">
        <f>IFERROR(IF(VLOOKUP(A38,門市狀態!A:D,4,FALSE)=0,"",VLOOKUP(A38,門市狀態!A:D,4,FALSE)),"")</f>
        <v/>
      </c>
      <c r="G38" s="424" t="s">
        <v>47</v>
      </c>
      <c r="H38" s="425" t="str">
        <f>IF(I38&gt;0,(TEXT(I38,"yyyymmdd")&amp;勤務統計!$V$2&amp;A38&amp;勤務統計!$V$2&amp;B38&amp;勤務統計!$S$2),"")</f>
        <v>PMQ1-L551-林口顧家店(定保)</v>
      </c>
      <c r="I38" s="247" t="str">
        <f t="array" ref="I38">IF(AND(SUMPRODUCT((IM!$F$2:$F$5000=A38)*(ISNUMBER(SEARCH(勤務統計!$C$1, IM!$AC$2:$AC$5000))))&gt;0), 勤務統計!$C$1, "")</f>
        <v>PMQ1</v>
      </c>
      <c r="J38" s="399">
        <f t="array" ref="J38">IFERROR(INDEX(IM!$AM$2:$AM$5000, MATCH(1, (IM!$F$2:$F$5000=A38) * (ISNUMBER(SEARCH(勤務統計!$C$1, IM!$AC$2:$AC$5000))), 0)), "")</f>
        <v>46030</v>
      </c>
      <c r="K38" s="400">
        <f t="array" ref="K38">SUMPRODUCT((IM!$F$2:$F$5000=A38)*(IM!$AD$2:$AD$5000="O")*(ISNUMBER(SEARCH(勤務統計!$C$1, IM!$AC$2:$AC$5000))))</f>
        <v>1</v>
      </c>
      <c r="L38" s="401" t="str">
        <f t="array" ref="L38">IF(K38&gt;0,IFERROR(HYPERLINK("#'IM'!AC"&amp;MATCH(1,(IM!$F$1:$F$5000=A38)*(ISNUMBER(SEARCH(勤務統計!$C$1,IM!$AC$1:$AC$5000))),0),"檢核"),"未登錄"),"")</f>
        <v>檢核</v>
      </c>
      <c r="M38" s="402" t="str">
        <f t="shared" si="0"/>
        <v/>
      </c>
      <c r="N38" s="402" t="str">
        <f t="array" ref="N38">IF(AND(
    SUMPRODUCT(
        (IM!$F$2:$F$522=A38) *
        ISNUMBER(SEARCH("*HUB*", IM!$AC$2:$AC$522)) *
        (IM!$X$2:$X$522&gt;=勤務統計!$A$1) *
        (IM!$X$2:$X$522&lt;=勤務統計!$B$1)*(W38="HUB")
    ) &gt; 0
), "HUB", "")</f>
        <v/>
      </c>
      <c r="O38" s="400" t="str">
        <f>IF(
  IFERROR(VLOOKUP(A38,勤務統計!A:I,9,FALSE),"")&lt;&gt;勤務統計!$C$1,
  "未完工",
  IF(
    AND(勤務統計!$D$1="--",勤務統計!$E$1="--",勤務統計!$F$1="--"),
    "已完工",
    IF(
      OR(
        AND(勤務統計!$D$1&lt;&gt;"--", IFERROR(VLOOKUP(A38,'0919門市清單主檔'!B:AH,31,FALSE),"")=勤務統計!$D$1, IFERROR(VLOOKUP(A38,勤務統計!A:Q,17,FALSE),"")&lt;&gt;勤務統計!$D$1),
        AND(勤務統計!$E$1&lt;&gt;"--", IFERROR(VLOOKUP(A38,'0919門市清單主檔'!B:AH,32,FALSE),"")=勤務統計!$E$1, IFERROR(VLOOKUP(A38,勤務統計!A:S,19,FALSE),"")&lt;&gt;勤務統計!$E$1),
        AND(勤務統計!$F$1&lt;&gt;"--", IFERROR(VLOOKUP(A38,'0919門市清單主檔'!B:AH,33,FALSE),"")=勤務統計!$F$1, IFERROR(VLOOKUP(A38,勤務統計!A:U,21,FALSE),"")&lt;&gt;勤務統計!$F$1),
        AND(IFERROR(VLOOKUP(A38,'0919門市清單主檔'!B:AH,28,FALSE),"")="HUB", IFERROR(VLOOKUP(A38,勤務統計!A:W,23,FALSE),"")&lt;&gt;"HUB")
      ),
      _xlfn.TEXTJOIN(
        "，",
        TRUE,
        IF(AND(勤務統計!$D$1&lt;&gt;"--", IFERROR(VLOOKUP(A38,'0919門市清單主檔'!B:AH,31,FALSE),"")=勤務統計!$D$1, IFERROR(VLOOKUP(A38,勤務統計!A:Q,17,FALSE),"")&lt;&gt;勤務統計!$D$1), 勤務統計!$D$1, ""),
        IF(AND(勤務統計!$E$1&lt;&gt;"--", IFERROR(VLOOKUP(A38,'0919門市清單主檔'!B:AH,32,FALSE),"")=勤務統計!$E$1, IFERROR(VLOOKUP(A38,勤務統計!A:S,19,FALSE),"")&lt;&gt;勤務統計!$E$1), 勤務統計!$E$1, ""),
        IF(AND(勤務統計!$F$1&lt;&gt;"--", IFERROR(VLOOKUP(A38,'0919門市清單主檔'!B:AH,33,FALSE),"")=勤務統計!$F$1, IFERROR(VLOOKUP(A38,勤務統計!A:U,21,FALSE),"")&lt;&gt;勤務統計!$F$1), 勤務統計!$F$1, ""),
        IF(AND(IFERROR(VLOOKUP(A38,'0919門市清單主檔'!B:AH,28,FALSE),"")="HUB", IFERROR(VLOOKUP(A38,勤務統計!A:W,23,FALSE),"")&lt;&gt;"HUB"), "HUB", "")
      ) &amp; "未完工",
      "已完工"
    )
  )
)</f>
        <v>未完工</v>
      </c>
      <c r="P38" s="403" t="str">
        <f>(TEXT(I38,"yyyymmdd"))&amp;勤務統計!$V$2&amp;A38&amp;勤務統計!$V$2&amp;B38&amp;勤務統計!$S$2</f>
        <v>PMQ1-L551-林口顧家店(定保)</v>
      </c>
      <c r="Q38" s="420" t="str">
        <f t="array" ref="Q38">IF(AND(SUMPRODUCT((IM!$F$2:$F$5000=A38)*(ISNUMBER(SEARCH(勤務統計!$D$1, IM!$AC$2:$AC$5000))))&gt;0), 勤務統計!$D$1, "")</f>
        <v/>
      </c>
      <c r="R38" s="421" t="str">
        <f t="array" ref="R38">IFERROR(INDEX(IM!$AM$2:$AM$5000, MATCH(1, (IM!$F$2:$F$5000=A38) * (ISNUMBER(SEARCH(勤務統計!$D$1, IM!$AC$2:$AC$5000))), 0)), "")</f>
        <v/>
      </c>
      <c r="S38" s="406" t="str" cm="1">
        <f t="array" ref="S38">IF(AND(SUMPRODUCT((IM!$F$2:$F$5000=A38)*(ISNUMBER(SEARCH(勤務統計!$E$1, IM!$AC$2:$AC$5000))))&gt;0), 勤務統計!$E$1, "")</f>
        <v/>
      </c>
      <c r="T38" s="422" t="str">
        <f t="array" ref="T38">IFERROR(INDEX(IM!$AM$2:$AM$5000, MATCH(1, (IM!$F$2:$F$5000=A38) * (ISNUMBER(SEARCH(勤務統計!$E$1, IM!$AC$2:$AC$5000))), 0)), "")</f>
        <v/>
      </c>
      <c r="U38" s="406" t="str" cm="1">
        <f t="array" ref="U38">IF(AND(SUMPRODUCT((IM!$F$2:$F$5000=A38)*(ISNUMBER(SEARCH(勤務統計!$F$1, IM!$AC$2:$AC$5000))))&gt;0), 勤務統計!$F$1, "")</f>
        <v/>
      </c>
      <c r="V38" s="413" t="str">
        <f t="array" ref="V38">IFERROR(INDEX(IM!$AM$2:$AM$5000, MATCH(1, (IM!$F$2:$F$5000=A38) * (ISNUMBER(SEARCH(勤務統計!$F$1, IM!$AC$2:$AC$5000))), 0)), "")</f>
        <v/>
      </c>
      <c r="W38" s="414" t="str">
        <f>IF(VLOOKUP(A38,'0919門市清單主檔'!B:AC,28,FALSE)=0,"",VLOOKUP(A38,'0919門市清單主檔'!B:AC,28,FALSE))</f>
        <v/>
      </c>
    </row>
    <row r="39" spans="1:23" ht="21.6" customHeight="1">
      <c r="A39" s="423">
        <v>4538</v>
      </c>
      <c r="B39" s="416" t="str">
        <f>VLOOKUP(A39,'0919門市清單主檔'!B:C,2,FALSE)</f>
        <v>林口童樂店</v>
      </c>
      <c r="C39" s="415" t="str">
        <f>VLOOKUP($A39,'0919門市清單主檔'!B:V,20,FALSE)</f>
        <v>新北市</v>
      </c>
      <c r="D39" s="410" t="str">
        <f>VLOOKUP($A39,'0919門市清單主檔'!B:V,21,FALSE)</f>
        <v>林口區</v>
      </c>
      <c r="E39" s="397" t="str">
        <f>VLOOKUP(D39,門市狀態!G:H,2,FALSE)</f>
        <v>吳宗鴻</v>
      </c>
      <c r="F39" s="410" t="str">
        <f>IFERROR(IF(VLOOKUP(A39,門市狀態!A:D,4,FALSE)=0,"",VLOOKUP(A39,門市狀態!A:D,4,FALSE)),"")</f>
        <v/>
      </c>
      <c r="G39" s="424"/>
      <c r="H39" s="425" t="str">
        <f>IF(I39&gt;0,(TEXT(I39,"yyyymmdd")&amp;勤務統計!$V$2&amp;A39&amp;勤務統計!$V$2&amp;B39&amp;勤務統計!$S$2),"")</f>
        <v>PMQ1-4538-林口童樂店(定保)</v>
      </c>
      <c r="I39" s="247" t="str">
        <f t="array" ref="I39">IF(AND(SUMPRODUCT((IM!$F$2:$F$5000=A39)*(ISNUMBER(SEARCH(勤務統計!$C$1, IM!$AC$2:$AC$5000))))&gt;0), 勤務統計!$C$1, "")</f>
        <v>PMQ1</v>
      </c>
      <c r="J39" s="399">
        <f t="array" ref="J39">IFERROR(INDEX(IM!$AM$2:$AM$5000, MATCH(1, (IM!$F$2:$F$5000=A39) * (ISNUMBER(SEARCH(勤務統計!$C$1, IM!$AC$2:$AC$5000))), 0)), "")</f>
        <v>46030</v>
      </c>
      <c r="K39" s="400">
        <f t="array" ref="K39">SUMPRODUCT((IM!$F$2:$F$5000=A39)*(IM!$AD$2:$AD$5000="O")*(ISNUMBER(SEARCH(勤務統計!$C$1, IM!$AC$2:$AC$5000))))</f>
        <v>1</v>
      </c>
      <c r="L39" s="401" t="str">
        <f t="array" ref="L39">IF(K39&gt;0,IFERROR(HYPERLINK("#'IM'!AC"&amp;MATCH(1,(IM!$F$1:$F$5000=A39)*(ISNUMBER(SEARCH(勤務統計!$C$1,IM!$AC$1:$AC$5000))),0),"檢核"),"未登錄"),"")</f>
        <v>檢核</v>
      </c>
      <c r="M39" s="402" t="str">
        <f t="shared" si="0"/>
        <v>+L90+721</v>
      </c>
      <c r="N39" s="402" t="str">
        <f t="array" ref="N39">IF(AND(
    SUMPRODUCT(
        (IM!$F$2:$F$522=A39) *
        ISNUMBER(SEARCH("*HUB*", IM!$AC$2:$AC$522)) *
        (IM!$X$2:$X$522&gt;=勤務統計!$A$1) *
        (IM!$X$2:$X$522&lt;=勤務統計!$B$1)*(W39="HUB")
    ) &gt; 0
), "HUB", "")</f>
        <v/>
      </c>
      <c r="O39" s="400" t="str">
        <f>IF(
  IFERROR(VLOOKUP(A39,勤務統計!A:I,9,FALSE),"")&lt;&gt;勤務統計!$C$1,
  "未完工",
  IF(
    AND(勤務統計!$D$1="--",勤務統計!$E$1="--",勤務統計!$F$1="--"),
    "已完工",
    IF(
      OR(
        AND(勤務統計!$D$1&lt;&gt;"--", IFERROR(VLOOKUP(A39,'0919門市清單主檔'!B:AH,31,FALSE),"")=勤務統計!$D$1, IFERROR(VLOOKUP(A39,勤務統計!A:Q,17,FALSE),"")&lt;&gt;勤務統計!$D$1),
        AND(勤務統計!$E$1&lt;&gt;"--", IFERROR(VLOOKUP(A39,'0919門市清單主檔'!B:AH,32,FALSE),"")=勤務統計!$E$1, IFERROR(VLOOKUP(A39,勤務統計!A:S,19,FALSE),"")&lt;&gt;勤務統計!$E$1),
        AND(勤務統計!$F$1&lt;&gt;"--", IFERROR(VLOOKUP(A39,'0919門市清單主檔'!B:AH,33,FALSE),"")=勤務統計!$F$1, IFERROR(VLOOKUP(A39,勤務統計!A:U,21,FALSE),"")&lt;&gt;勤務統計!$F$1),
        AND(IFERROR(VLOOKUP(A39,'0919門市清單主檔'!B:AH,28,FALSE),"")="HUB", IFERROR(VLOOKUP(A39,勤務統計!A:W,23,FALSE),"")&lt;&gt;"HUB")
      ),
      _xlfn.TEXTJOIN(
        "，",
        TRUE,
        IF(AND(勤務統計!$D$1&lt;&gt;"--", IFERROR(VLOOKUP(A39,'0919門市清單主檔'!B:AH,31,FALSE),"")=勤務統計!$D$1, IFERROR(VLOOKUP(A39,勤務統計!A:Q,17,FALSE),"")&lt;&gt;勤務統計!$D$1), 勤務統計!$D$1, ""),
        IF(AND(勤務統計!$E$1&lt;&gt;"--", IFERROR(VLOOKUP(A39,'0919門市清單主檔'!B:AH,32,FALSE),"")=勤務統計!$E$1, IFERROR(VLOOKUP(A39,勤務統計!A:S,19,FALSE),"")&lt;&gt;勤務統計!$E$1), 勤務統計!$E$1, ""),
        IF(AND(勤務統計!$F$1&lt;&gt;"--", IFERROR(VLOOKUP(A39,'0919門市清單主檔'!B:AH,33,FALSE),"")=勤務統計!$F$1, IFERROR(VLOOKUP(A39,勤務統計!A:U,21,FALSE),"")&lt;&gt;勤務統計!$F$1), 勤務統計!$F$1, ""),
        IF(AND(IFERROR(VLOOKUP(A39,'0919門市清單主檔'!B:AH,28,FALSE),"")="HUB", IFERROR(VLOOKUP(A39,勤務統計!A:W,23,FALSE),"")&lt;&gt;"HUB"), "HUB", "")
      ) &amp; "未完工",
      "已完工"
    )
  )
)</f>
        <v>未完工</v>
      </c>
      <c r="P39" s="403" t="str">
        <f>(TEXT(I39,"yyyymmdd"))&amp;勤務統計!$V$2&amp;A39&amp;勤務統計!$V$2&amp;B39&amp;勤務統計!$S$2</f>
        <v>PMQ1-4538-林口童樂店(定保)</v>
      </c>
      <c r="Q39" s="420" t="str">
        <f t="array" ref="Q39">IF(AND(SUMPRODUCT((IM!$F$2:$F$5000=A39)*(ISNUMBER(SEARCH(勤務統計!$D$1, IM!$AC$2:$AC$5000))))&gt;0), 勤務統計!$D$1, "")</f>
        <v/>
      </c>
      <c r="R39" s="421" t="str">
        <f t="array" ref="R39">IFERROR(INDEX(IM!$AM$2:$AM$5000, MATCH(1, (IM!$F$2:$F$5000=A39) * (ISNUMBER(SEARCH(勤務統計!$D$1, IM!$AC$2:$AC$5000))), 0)), "")</f>
        <v/>
      </c>
      <c r="S39" s="406" t="str" cm="1">
        <f t="array" ref="S39">IF(AND(SUMPRODUCT((IM!$F$2:$F$5000=A39)*(ISNUMBER(SEARCH(勤務統計!$E$1, IM!$AC$2:$AC$5000))))&gt;0), 勤務統計!$E$1, "")</f>
        <v>+L90</v>
      </c>
      <c r="T39" s="422">
        <f t="array" ref="T39">IFERROR(INDEX(IM!$AM$2:$AM$5000, MATCH(1, (IM!$F$2:$F$5000=A39) * (ISNUMBER(SEARCH(勤務統計!$E$1, IM!$AC$2:$AC$5000))), 0)), "")</f>
        <v>45992</v>
      </c>
      <c r="U39" s="406" t="str" cm="1">
        <f t="array" ref="U39">IF(AND(SUMPRODUCT((IM!$F$2:$F$5000=A39)*(ISNUMBER(SEARCH(勤務統計!$F$1, IM!$AC$2:$AC$5000))))&gt;0), 勤務統計!$F$1, "")</f>
        <v>+721</v>
      </c>
      <c r="V39" s="413">
        <f t="array" ref="V39">IFERROR(INDEX(IM!$AM$2:$AM$5000, MATCH(1, (IM!$F$2:$F$5000=A39) * (ISNUMBER(SEARCH(勤務統計!$F$1, IM!$AC$2:$AC$5000))), 0)), "")</f>
        <v>46030</v>
      </c>
      <c r="W39" s="414" t="str">
        <f>IF(VLOOKUP(A39,'0919門市清單主檔'!B:AC,28,FALSE)=0,"",VLOOKUP(A39,'0919門市清單主檔'!B:AC,28,FALSE))</f>
        <v/>
      </c>
    </row>
    <row r="40" spans="1:23" ht="21.6" customHeight="1">
      <c r="A40" s="423">
        <v>4196</v>
      </c>
      <c r="B40" s="416" t="str">
        <f>VLOOKUP(A40,'0919門市清單主檔'!B:C,2,FALSE)</f>
        <v>三重蝶愛店</v>
      </c>
      <c r="C40" s="415" t="str">
        <f>VLOOKUP($A40,'0919門市清單主檔'!B:V,20,FALSE)</f>
        <v>新北市</v>
      </c>
      <c r="D40" s="410" t="str">
        <f>VLOOKUP($A40,'0919門市清單主檔'!B:V,21,FALSE)</f>
        <v>三重區</v>
      </c>
      <c r="E40" s="397" t="str">
        <f>VLOOKUP(D40,門市狀態!G:H,2,FALSE)</f>
        <v>劉柏均</v>
      </c>
      <c r="F40" s="410" t="str">
        <f>IFERROR(IF(VLOOKUP(A40,門市狀態!A:D,4,FALSE)=0,"",VLOOKUP(A40,門市狀態!A:D,4,FALSE)),"")</f>
        <v/>
      </c>
      <c r="G40" s="424"/>
      <c r="H40" s="425" t="str">
        <f>IF(I40&gt;0,(TEXT(I40,"yyyymmdd")&amp;勤務統計!$V$2&amp;A40&amp;勤務統計!$V$2&amp;B40&amp;勤務統計!$S$2),"")</f>
        <v>PMQ1-4196-三重蝶愛店(定保)</v>
      </c>
      <c r="I40" s="247" t="str">
        <f t="array" ref="I40">IF(AND(SUMPRODUCT((IM!$F$2:$F$5000=A40)*(ISNUMBER(SEARCH(勤務統計!$C$1, IM!$AC$2:$AC$5000))))&gt;0), 勤務統計!$C$1, "")</f>
        <v>PMQ1</v>
      </c>
      <c r="J40" s="399">
        <f t="array" ref="J40">IFERROR(INDEX(IM!$AM$2:$AM$5000, MATCH(1, (IM!$F$2:$F$5000=A40) * (ISNUMBER(SEARCH(勤務統計!$C$1, IM!$AC$2:$AC$5000))), 0)), "")</f>
        <v>46031</v>
      </c>
      <c r="K40" s="400">
        <f t="array" ref="K40">SUMPRODUCT((IM!$F$2:$F$5000=A40)*(IM!$AD$2:$AD$5000="O")*(ISNUMBER(SEARCH(勤務統計!$C$1, IM!$AC$2:$AC$5000))))</f>
        <v>1</v>
      </c>
      <c r="L40" s="401" t="str">
        <f t="array" ref="L40">IF(K40&gt;0,IFERROR(HYPERLINK("#'IM'!AC"&amp;MATCH(1,(IM!$F$1:$F$5000=A40)*(ISNUMBER(SEARCH(勤務統計!$C$1,IM!$AC$1:$AC$5000))),0),"檢核"),"未登錄"),"")</f>
        <v>檢核</v>
      </c>
      <c r="M40" s="402" t="str">
        <f t="shared" si="0"/>
        <v>+L90+721</v>
      </c>
      <c r="N40" s="402" t="str">
        <f t="array" ref="N40">IF(AND(
    SUMPRODUCT(
        (IM!$F$2:$F$522=A40) *
        ISNUMBER(SEARCH("*HUB*", IM!$AC$2:$AC$522)) *
        (IM!$X$2:$X$522&gt;=勤務統計!$A$1) *
        (IM!$X$2:$X$522&lt;=勤務統計!$B$1)*(W40="HUB")
    ) &gt; 0
), "HUB", "")</f>
        <v/>
      </c>
      <c r="O40" s="400" t="str">
        <f>IF(
  IFERROR(VLOOKUP(A40,勤務統計!A:I,9,FALSE),"")&lt;&gt;勤務統計!$C$1,
  "未完工",
  IF(
    AND(勤務統計!$D$1="--",勤務統計!$E$1="--",勤務統計!$F$1="--"),
    "已完工",
    IF(
      OR(
        AND(勤務統計!$D$1&lt;&gt;"--", IFERROR(VLOOKUP(A40,'0919門市清單主檔'!B:AH,31,FALSE),"")=勤務統計!$D$1, IFERROR(VLOOKUP(A40,勤務統計!A:Q,17,FALSE),"")&lt;&gt;勤務統計!$D$1),
        AND(勤務統計!$E$1&lt;&gt;"--", IFERROR(VLOOKUP(A40,'0919門市清單主檔'!B:AH,32,FALSE),"")=勤務統計!$E$1, IFERROR(VLOOKUP(A40,勤務統計!A:S,19,FALSE),"")&lt;&gt;勤務統計!$E$1),
        AND(勤務統計!$F$1&lt;&gt;"--", IFERROR(VLOOKUP(A40,'0919門市清單主檔'!B:AH,33,FALSE),"")=勤務統計!$F$1, IFERROR(VLOOKUP(A40,勤務統計!A:U,21,FALSE),"")&lt;&gt;勤務統計!$F$1),
        AND(IFERROR(VLOOKUP(A40,'0919門市清單主檔'!B:AH,28,FALSE),"")="HUB", IFERROR(VLOOKUP(A40,勤務統計!A:W,23,FALSE),"")&lt;&gt;"HUB")
      ),
      _xlfn.TEXTJOIN(
        "，",
        TRUE,
        IF(AND(勤務統計!$D$1&lt;&gt;"--", IFERROR(VLOOKUP(A40,'0919門市清單主檔'!B:AH,31,FALSE),"")=勤務統計!$D$1, IFERROR(VLOOKUP(A40,勤務統計!A:Q,17,FALSE),"")&lt;&gt;勤務統計!$D$1), 勤務統計!$D$1, ""),
        IF(AND(勤務統計!$E$1&lt;&gt;"--", IFERROR(VLOOKUP(A40,'0919門市清單主檔'!B:AH,32,FALSE),"")=勤務統計!$E$1, IFERROR(VLOOKUP(A40,勤務統計!A:S,19,FALSE),"")&lt;&gt;勤務統計!$E$1), 勤務統計!$E$1, ""),
        IF(AND(勤務統計!$F$1&lt;&gt;"--", IFERROR(VLOOKUP(A40,'0919門市清單主檔'!B:AH,33,FALSE),"")=勤務統計!$F$1, IFERROR(VLOOKUP(A40,勤務統計!A:U,21,FALSE),"")&lt;&gt;勤務統計!$F$1), 勤務統計!$F$1, ""),
        IF(AND(IFERROR(VLOOKUP(A40,'0919門市清單主檔'!B:AH,28,FALSE),"")="HUB", IFERROR(VLOOKUP(A40,勤務統計!A:W,23,FALSE),"")&lt;&gt;"HUB"), "HUB", "")
      ) &amp; "未完工",
      "已完工"
    )
  )
)</f>
        <v>未完工</v>
      </c>
      <c r="P40" s="403" t="str">
        <f>(TEXT(I40,"yyyymmdd"))&amp;勤務統計!$V$2&amp;A40&amp;勤務統計!$V$2&amp;B40&amp;勤務統計!$S$2</f>
        <v>PMQ1-4196-三重蝶愛店(定保)</v>
      </c>
      <c r="Q40" s="420" t="str">
        <f t="array" ref="Q40">IF(AND(SUMPRODUCT((IM!$F$2:$F$5000=A40)*(ISNUMBER(SEARCH(勤務統計!$D$1, IM!$AC$2:$AC$5000))))&gt;0), 勤務統計!$D$1, "")</f>
        <v/>
      </c>
      <c r="R40" s="421" t="str">
        <f t="array" ref="R40">IFERROR(INDEX(IM!$AM$2:$AM$5000, MATCH(1, (IM!$F$2:$F$5000=A40) * (ISNUMBER(SEARCH(勤務統計!$D$1, IM!$AC$2:$AC$5000))), 0)), "")</f>
        <v/>
      </c>
      <c r="S40" s="406" t="str" cm="1">
        <f t="array" ref="S40">IF(AND(SUMPRODUCT((IM!$F$2:$F$5000=A40)*(ISNUMBER(SEARCH(勤務統計!$E$1, IM!$AC$2:$AC$5000))))&gt;0), 勤務統計!$E$1, "")</f>
        <v>+L90</v>
      </c>
      <c r="T40" s="422">
        <f t="array" ref="T40">IFERROR(INDEX(IM!$AM$2:$AM$5000, MATCH(1, (IM!$F$2:$F$5000=A40) * (ISNUMBER(SEARCH(勤務統計!$E$1, IM!$AC$2:$AC$5000))), 0)), "")</f>
        <v>46014</v>
      </c>
      <c r="U40" s="406" t="str" cm="1">
        <f t="array" ref="U40">IF(AND(SUMPRODUCT((IM!$F$2:$F$5000=A40)*(ISNUMBER(SEARCH(勤務統計!$F$1, IM!$AC$2:$AC$5000))))&gt;0), 勤務統計!$F$1, "")</f>
        <v>+721</v>
      </c>
      <c r="V40" s="413">
        <f t="array" ref="V40">IFERROR(INDEX(IM!$AM$2:$AM$5000, MATCH(1, (IM!$F$2:$F$5000=A40) * (ISNUMBER(SEARCH(勤務統計!$F$1, IM!$AC$2:$AC$5000))), 0)), "")</f>
        <v>46031</v>
      </c>
      <c r="W40" s="414" t="str">
        <f>IF(VLOOKUP(A40,'0919門市清單主檔'!B:AC,28,FALSE)=0,"",VLOOKUP(A40,'0919門市清單主檔'!B:AC,28,FALSE))</f>
        <v/>
      </c>
    </row>
    <row r="41" spans="1:23" ht="21.6" customHeight="1">
      <c r="A41" s="423">
        <v>4191</v>
      </c>
      <c r="B41" s="416" t="str">
        <f>VLOOKUP(A41,'0919門市清單主檔'!B:C,2,FALSE)</f>
        <v>三重溪美店</v>
      </c>
      <c r="C41" s="415" t="str">
        <f>VLOOKUP($A41,'0919門市清單主檔'!B:V,20,FALSE)</f>
        <v>新北市</v>
      </c>
      <c r="D41" s="410" t="str">
        <f>VLOOKUP($A41,'0919門市清單主檔'!B:V,21,FALSE)</f>
        <v>三重區</v>
      </c>
      <c r="E41" s="397" t="str">
        <f>VLOOKUP(D41,門市狀態!G:H,2,FALSE)</f>
        <v>劉柏均</v>
      </c>
      <c r="F41" s="410" t="str">
        <f>IFERROR(IF(VLOOKUP(A41,門市狀態!A:D,4,FALSE)=0,"",VLOOKUP(A41,門市狀態!A:D,4,FALSE)),"")</f>
        <v/>
      </c>
      <c r="G41" s="424"/>
      <c r="H41" s="425" t="str">
        <f>IF(I41&gt;0,(TEXT(I41,"yyyymmdd")&amp;勤務統計!$V$2&amp;A41&amp;勤務統計!$V$2&amp;B41&amp;勤務統計!$S$2),"")</f>
        <v>PMQ1-4191-三重溪美店(定保)</v>
      </c>
      <c r="I41" s="247" t="str">
        <f t="array" ref="I41">IF(AND(SUMPRODUCT((IM!$F$2:$F$5000=A41)*(ISNUMBER(SEARCH(勤務統計!$C$1, IM!$AC$2:$AC$5000))))&gt;0), 勤務統計!$C$1, "")</f>
        <v>PMQ1</v>
      </c>
      <c r="J41" s="399">
        <f t="array" ref="J41">IFERROR(INDEX(IM!$AM$2:$AM$5000, MATCH(1, (IM!$F$2:$F$5000=A41) * (ISNUMBER(SEARCH(勤務統計!$C$1, IM!$AC$2:$AC$5000))), 0)), "")</f>
        <v>46031</v>
      </c>
      <c r="K41" s="400">
        <f t="array" ref="K41">SUMPRODUCT((IM!$F$2:$F$5000=A41)*(IM!$AD$2:$AD$5000="O")*(ISNUMBER(SEARCH(勤務統計!$C$1, IM!$AC$2:$AC$5000))))</f>
        <v>2</v>
      </c>
      <c r="L41" s="401" t="str">
        <f t="array" ref="L41">IF(K41&gt;0,IFERROR(HYPERLINK("#'IM'!AC"&amp;MATCH(1,(IM!$F$1:$F$5000=A41)*(ISNUMBER(SEARCH(勤務統計!$C$1,IM!$AC$1:$AC$5000))),0),"檢核"),"未登錄"),"")</f>
        <v>檢核</v>
      </c>
      <c r="M41" s="402" t="str">
        <f t="shared" si="0"/>
        <v>+L90+721</v>
      </c>
      <c r="N41" s="402" t="str">
        <f t="array" ref="N41">IF(AND(
    SUMPRODUCT(
        (IM!$F$2:$F$522=A41) *
        ISNUMBER(SEARCH("*HUB*", IM!$AC$2:$AC$522)) *
        (IM!$X$2:$X$522&gt;=勤務統計!$A$1) *
        (IM!$X$2:$X$522&lt;=勤務統計!$B$1)*(W41="HUB")
    ) &gt; 0
), "HUB", "")</f>
        <v/>
      </c>
      <c r="O41" s="400" t="str">
        <f>IF(
  IFERROR(VLOOKUP(A41,勤務統計!A:I,9,FALSE),"")&lt;&gt;勤務統計!$C$1,
  "未完工",
  IF(
    AND(勤務統計!$D$1="--",勤務統計!$E$1="--",勤務統計!$F$1="--"),
    "已完工",
    IF(
      OR(
        AND(勤務統計!$D$1&lt;&gt;"--", IFERROR(VLOOKUP(A41,'0919門市清單主檔'!B:AH,31,FALSE),"")=勤務統計!$D$1, IFERROR(VLOOKUP(A41,勤務統計!A:Q,17,FALSE),"")&lt;&gt;勤務統計!$D$1),
        AND(勤務統計!$E$1&lt;&gt;"--", IFERROR(VLOOKUP(A41,'0919門市清單主檔'!B:AH,32,FALSE),"")=勤務統計!$E$1, IFERROR(VLOOKUP(A41,勤務統計!A:S,19,FALSE),"")&lt;&gt;勤務統計!$E$1),
        AND(勤務統計!$F$1&lt;&gt;"--", IFERROR(VLOOKUP(A41,'0919門市清單主檔'!B:AH,33,FALSE),"")=勤務統計!$F$1, IFERROR(VLOOKUP(A41,勤務統計!A:U,21,FALSE),"")&lt;&gt;勤務統計!$F$1),
        AND(IFERROR(VLOOKUP(A41,'0919門市清單主檔'!B:AH,28,FALSE),"")="HUB", IFERROR(VLOOKUP(A41,勤務統計!A:W,23,FALSE),"")&lt;&gt;"HUB")
      ),
      _xlfn.TEXTJOIN(
        "，",
        TRUE,
        IF(AND(勤務統計!$D$1&lt;&gt;"--", IFERROR(VLOOKUP(A41,'0919門市清單主檔'!B:AH,31,FALSE),"")=勤務統計!$D$1, IFERROR(VLOOKUP(A41,勤務統計!A:Q,17,FALSE),"")&lt;&gt;勤務統計!$D$1), 勤務統計!$D$1, ""),
        IF(AND(勤務統計!$E$1&lt;&gt;"--", IFERROR(VLOOKUP(A41,'0919門市清單主檔'!B:AH,32,FALSE),"")=勤務統計!$E$1, IFERROR(VLOOKUP(A41,勤務統計!A:S,19,FALSE),"")&lt;&gt;勤務統計!$E$1), 勤務統計!$E$1, ""),
        IF(AND(勤務統計!$F$1&lt;&gt;"--", IFERROR(VLOOKUP(A41,'0919門市清單主檔'!B:AH,33,FALSE),"")=勤務統計!$F$1, IFERROR(VLOOKUP(A41,勤務統計!A:U,21,FALSE),"")&lt;&gt;勤務統計!$F$1), 勤務統計!$F$1, ""),
        IF(AND(IFERROR(VLOOKUP(A41,'0919門市清單主檔'!B:AH,28,FALSE),"")="HUB", IFERROR(VLOOKUP(A41,勤務統計!A:W,23,FALSE),"")&lt;&gt;"HUB"), "HUB", "")
      ) &amp; "未完工",
      "已完工"
    )
  )
)</f>
        <v>未完工</v>
      </c>
      <c r="P41" s="403" t="str">
        <f>(TEXT(I41,"yyyymmdd"))&amp;勤務統計!$V$2&amp;A41&amp;勤務統計!$V$2&amp;B41&amp;勤務統計!$S$2</f>
        <v>PMQ1-4191-三重溪美店(定保)</v>
      </c>
      <c r="Q41" s="420" t="str">
        <f t="array" ref="Q41">IF(AND(SUMPRODUCT((IM!$F$2:$F$5000=A41)*(ISNUMBER(SEARCH(勤務統計!$D$1, IM!$AC$2:$AC$5000))))&gt;0), 勤務統計!$D$1, "")</f>
        <v/>
      </c>
      <c r="R41" s="421" t="str">
        <f t="array" ref="R41">IFERROR(INDEX(IM!$AM$2:$AM$5000, MATCH(1, (IM!$F$2:$F$5000=A41) * (ISNUMBER(SEARCH(勤務統計!$D$1, IM!$AC$2:$AC$5000))), 0)), "")</f>
        <v/>
      </c>
      <c r="S41" s="406" t="str" cm="1">
        <f t="array" ref="S41">IF(AND(SUMPRODUCT((IM!$F$2:$F$5000=A41)*(ISNUMBER(SEARCH(勤務統計!$E$1, IM!$AC$2:$AC$5000))))&gt;0), 勤務統計!$E$1, "")</f>
        <v>+L90</v>
      </c>
      <c r="T41" s="422">
        <f t="array" ref="T41">IFERROR(INDEX(IM!$AM$2:$AM$5000, MATCH(1, (IM!$F$2:$F$5000=A41) * (ISNUMBER(SEARCH(勤務統計!$E$1, IM!$AC$2:$AC$5000))), 0)), "")</f>
        <v>46010</v>
      </c>
      <c r="U41" s="406" t="str" cm="1">
        <f t="array" ref="U41">IF(AND(SUMPRODUCT((IM!$F$2:$F$5000=A41)*(ISNUMBER(SEARCH(勤務統計!$F$1, IM!$AC$2:$AC$5000))))&gt;0), 勤務統計!$F$1, "")</f>
        <v>+721</v>
      </c>
      <c r="V41" s="413">
        <f t="array" ref="V41">IFERROR(INDEX(IM!$AM$2:$AM$5000, MATCH(1, (IM!$F$2:$F$5000=A41) * (ISNUMBER(SEARCH(勤務統計!$F$1, IM!$AC$2:$AC$5000))), 0)), "")</f>
        <v>46031</v>
      </c>
      <c r="W41" s="414" t="str">
        <f>IF(VLOOKUP(A41,'0919門市清單主檔'!B:AC,28,FALSE)=0,"",VLOOKUP(A41,'0919門市清單主檔'!B:AC,28,FALSE))</f>
        <v/>
      </c>
    </row>
    <row r="42" spans="1:23" ht="21.6" customHeight="1">
      <c r="A42" s="423">
        <v>4656</v>
      </c>
      <c r="B42" s="416" t="str">
        <f>VLOOKUP(A42,'0919門市清單主檔'!B:C,2,FALSE)</f>
        <v>泰山新民店</v>
      </c>
      <c r="C42" s="415" t="str">
        <f>VLOOKUP($A42,'0919門市清單主檔'!B:V,20,FALSE)</f>
        <v>新北市</v>
      </c>
      <c r="D42" s="410" t="str">
        <f>VLOOKUP($A42,'0919門市清單主檔'!B:V,21,FALSE)</f>
        <v>泰山區</v>
      </c>
      <c r="E42" s="397" t="str">
        <f>VLOOKUP(D42,門市狀態!G:H,2,FALSE)</f>
        <v>吳宗鴻</v>
      </c>
      <c r="F42" s="410" t="str">
        <f>IFERROR(IF(VLOOKUP(A42,門市狀態!A:D,4,FALSE)=0,"",VLOOKUP(A42,門市狀態!A:D,4,FALSE)),"")</f>
        <v/>
      </c>
      <c r="G42" s="424"/>
      <c r="H42" s="425" t="str">
        <f>IF(I42&gt;0,(TEXT(I42,"yyyymmdd")&amp;勤務統計!$V$2&amp;A42&amp;勤務統計!$V$2&amp;B42&amp;勤務統計!$S$2),"")</f>
        <v>PMQ1-4656-泰山新民店(定保)</v>
      </c>
      <c r="I42" s="247" t="str">
        <f t="array" ref="I42">IF(AND(SUMPRODUCT((IM!$F$2:$F$5000=A42)*(ISNUMBER(SEARCH(勤務統計!$C$1, IM!$AC$2:$AC$5000))))&gt;0), 勤務統計!$C$1, "")</f>
        <v>PMQ1</v>
      </c>
      <c r="J42" s="399">
        <f t="array" ref="J42">IFERROR(INDEX(IM!$AM$2:$AM$5000, MATCH(1, (IM!$F$2:$F$5000=A42) * (ISNUMBER(SEARCH(勤務統計!$C$1, IM!$AC$2:$AC$5000))), 0)), "")</f>
        <v>46031</v>
      </c>
      <c r="K42" s="400">
        <f t="array" ref="K42">SUMPRODUCT((IM!$F$2:$F$5000=A42)*(IM!$AD$2:$AD$5000="O")*(ISNUMBER(SEARCH(勤務統計!$C$1, IM!$AC$2:$AC$5000))))</f>
        <v>1</v>
      </c>
      <c r="L42" s="401" t="str">
        <f t="array" ref="L42">IF(K42&gt;0,IFERROR(HYPERLINK("#'IM'!AC"&amp;MATCH(1,(IM!$F$1:$F$5000=A42)*(ISNUMBER(SEARCH(勤務統計!$C$1,IM!$AC$1:$AC$5000))),0),"檢核"),"未登錄"),"")</f>
        <v>檢核</v>
      </c>
      <c r="M42" s="402" t="str">
        <f t="shared" si="0"/>
        <v>+L90+721</v>
      </c>
      <c r="N42" s="402" t="str">
        <f t="array" ref="N42">IF(AND(
    SUMPRODUCT(
        (IM!$F$2:$F$522=A42) *
        ISNUMBER(SEARCH("*HUB*", IM!$AC$2:$AC$522)) *
        (IM!$X$2:$X$522&gt;=勤務統計!$A$1) *
        (IM!$X$2:$X$522&lt;=勤務統計!$B$1)*(W42="HUB")
    ) &gt; 0
), "HUB", "")</f>
        <v/>
      </c>
      <c r="O42" s="400" t="str">
        <f>IF(
  IFERROR(VLOOKUP(A42,勤務統計!A:I,9,FALSE),"")&lt;&gt;勤務統計!$C$1,
  "未完工",
  IF(
    AND(勤務統計!$D$1="--",勤務統計!$E$1="--",勤務統計!$F$1="--"),
    "已完工",
    IF(
      OR(
        AND(勤務統計!$D$1&lt;&gt;"--", IFERROR(VLOOKUP(A42,'0919門市清單主檔'!B:AH,31,FALSE),"")=勤務統計!$D$1, IFERROR(VLOOKUP(A42,勤務統計!A:Q,17,FALSE),"")&lt;&gt;勤務統計!$D$1),
        AND(勤務統計!$E$1&lt;&gt;"--", IFERROR(VLOOKUP(A42,'0919門市清單主檔'!B:AH,32,FALSE),"")=勤務統計!$E$1, IFERROR(VLOOKUP(A42,勤務統計!A:S,19,FALSE),"")&lt;&gt;勤務統計!$E$1),
        AND(勤務統計!$F$1&lt;&gt;"--", IFERROR(VLOOKUP(A42,'0919門市清單主檔'!B:AH,33,FALSE),"")=勤務統計!$F$1, IFERROR(VLOOKUP(A42,勤務統計!A:U,21,FALSE),"")&lt;&gt;勤務統計!$F$1),
        AND(IFERROR(VLOOKUP(A42,'0919門市清單主檔'!B:AH,28,FALSE),"")="HUB", IFERROR(VLOOKUP(A42,勤務統計!A:W,23,FALSE),"")&lt;&gt;"HUB")
      ),
      _xlfn.TEXTJOIN(
        "，",
        TRUE,
        IF(AND(勤務統計!$D$1&lt;&gt;"--", IFERROR(VLOOKUP(A42,'0919門市清單主檔'!B:AH,31,FALSE),"")=勤務統計!$D$1, IFERROR(VLOOKUP(A42,勤務統計!A:Q,17,FALSE),"")&lt;&gt;勤務統計!$D$1), 勤務統計!$D$1, ""),
        IF(AND(勤務統計!$E$1&lt;&gt;"--", IFERROR(VLOOKUP(A42,'0919門市清單主檔'!B:AH,32,FALSE),"")=勤務統計!$E$1, IFERROR(VLOOKUP(A42,勤務統計!A:S,19,FALSE),"")&lt;&gt;勤務統計!$E$1), 勤務統計!$E$1, ""),
        IF(AND(勤務統計!$F$1&lt;&gt;"--", IFERROR(VLOOKUP(A42,'0919門市清單主檔'!B:AH,33,FALSE),"")=勤務統計!$F$1, IFERROR(VLOOKUP(A42,勤務統計!A:U,21,FALSE),"")&lt;&gt;勤務統計!$F$1), 勤務統計!$F$1, ""),
        IF(AND(IFERROR(VLOOKUP(A42,'0919門市清單主檔'!B:AH,28,FALSE),"")="HUB", IFERROR(VLOOKUP(A42,勤務統計!A:W,23,FALSE),"")&lt;&gt;"HUB"), "HUB", "")
      ) &amp; "未完工",
      "已完工"
    )
  )
)</f>
        <v>未完工</v>
      </c>
      <c r="P42" s="403" t="str">
        <f>(TEXT(I42,"yyyymmdd"))&amp;勤務統計!$V$2&amp;A42&amp;勤務統計!$V$2&amp;B42&amp;勤務統計!$S$2</f>
        <v>PMQ1-4656-泰山新民店(定保)</v>
      </c>
      <c r="Q42" s="420" t="str">
        <f t="array" ref="Q42">IF(AND(SUMPRODUCT((IM!$F$2:$F$5000=A42)*(ISNUMBER(SEARCH(勤務統計!$D$1, IM!$AC$2:$AC$5000))))&gt;0), 勤務統計!$D$1, "")</f>
        <v/>
      </c>
      <c r="R42" s="421" t="str">
        <f t="array" ref="R42">IFERROR(INDEX(IM!$AM$2:$AM$5000, MATCH(1, (IM!$F$2:$F$5000=A42) * (ISNUMBER(SEARCH(勤務統計!$D$1, IM!$AC$2:$AC$5000))), 0)), "")</f>
        <v/>
      </c>
      <c r="S42" s="406" t="str" cm="1">
        <f t="array" ref="S42">IF(AND(SUMPRODUCT((IM!$F$2:$F$5000=A42)*(ISNUMBER(SEARCH(勤務統計!$E$1, IM!$AC$2:$AC$5000))))&gt;0), 勤務統計!$E$1, "")</f>
        <v>+L90</v>
      </c>
      <c r="T42" s="422">
        <f t="array" ref="T42">IFERROR(INDEX(IM!$AM$2:$AM$5000, MATCH(1, (IM!$F$2:$F$5000=A42) * (ISNUMBER(SEARCH(勤務統計!$E$1, IM!$AC$2:$AC$5000))), 0)), "")</f>
        <v>45958</v>
      </c>
      <c r="U42" s="406" t="str" cm="1">
        <f t="array" ref="U42">IF(AND(SUMPRODUCT((IM!$F$2:$F$5000=A42)*(ISNUMBER(SEARCH(勤務統計!$F$1, IM!$AC$2:$AC$5000))))&gt;0), 勤務統計!$F$1, "")</f>
        <v>+721</v>
      </c>
      <c r="V42" s="413">
        <f t="array" ref="V42">IFERROR(INDEX(IM!$AM$2:$AM$5000, MATCH(1, (IM!$F$2:$F$5000=A42) * (ISNUMBER(SEARCH(勤務統計!$F$1, IM!$AC$2:$AC$5000))), 0)), "")</f>
        <v>46031</v>
      </c>
      <c r="W42" s="414" t="str">
        <f>IF(VLOOKUP(A42,'0919門市清單主檔'!B:AC,28,FALSE)=0,"",VLOOKUP(A42,'0919門市清單主檔'!B:AC,28,FALSE))</f>
        <v/>
      </c>
    </row>
    <row r="43" spans="1:23" ht="21.6" customHeight="1">
      <c r="A43" s="423">
        <v>3606</v>
      </c>
      <c r="B43" s="416" t="str">
        <f>VLOOKUP(A43,'0919門市清單主檔'!B:C,2,FALSE)</f>
        <v>北縣泰富店</v>
      </c>
      <c r="C43" s="415" t="str">
        <f>VLOOKUP($A43,'0919門市清單主檔'!B:V,20,FALSE)</f>
        <v>新北市</v>
      </c>
      <c r="D43" s="410" t="str">
        <f>VLOOKUP($A43,'0919門市清單主檔'!B:V,21,FALSE)</f>
        <v>泰山區</v>
      </c>
      <c r="E43" s="397" t="str">
        <f>VLOOKUP(D43,門市狀態!G:H,2,FALSE)</f>
        <v>吳宗鴻</v>
      </c>
      <c r="F43" s="410" t="str">
        <f>IFERROR(IF(VLOOKUP(A43,門市狀態!A:D,4,FALSE)=0,"",VLOOKUP(A43,門市狀態!A:D,4,FALSE)),"")</f>
        <v/>
      </c>
      <c r="G43" s="424"/>
      <c r="H43" s="425" t="str">
        <f>IF(I43&gt;0,(TEXT(I43,"yyyymmdd")&amp;勤務統計!$V$2&amp;A43&amp;勤務統計!$V$2&amp;B43&amp;勤務統計!$S$2),"")</f>
        <v>PMQ1-3606-北縣泰富店(定保)</v>
      </c>
      <c r="I43" s="247" t="str">
        <f t="array" ref="I43">IF(AND(SUMPRODUCT((IM!$F$2:$F$5000=A43)*(ISNUMBER(SEARCH(勤務統計!$C$1, IM!$AC$2:$AC$5000))))&gt;0), 勤務統計!$C$1, "")</f>
        <v>PMQ1</v>
      </c>
      <c r="J43" s="399">
        <f t="array" ref="J43">IFERROR(INDEX(IM!$AM$2:$AM$5000, MATCH(1, (IM!$F$2:$F$5000=A43) * (ISNUMBER(SEARCH(勤務統計!$C$1, IM!$AC$2:$AC$5000))), 0)), "")</f>
        <v>46031</v>
      </c>
      <c r="K43" s="400">
        <f t="array" ref="K43">SUMPRODUCT((IM!$F$2:$F$5000=A43)*(IM!$AD$2:$AD$5000="O")*(ISNUMBER(SEARCH(勤務統計!$C$1, IM!$AC$2:$AC$5000))))</f>
        <v>1</v>
      </c>
      <c r="L43" s="401" t="str">
        <f t="array" ref="L43">IF(K43&gt;0,IFERROR(HYPERLINK("#'IM'!AC"&amp;MATCH(1,(IM!$F$1:$F$5000=A43)*(ISNUMBER(SEARCH(勤務統計!$C$1,IM!$AC$1:$AC$5000))),0),"檢核"),"未登錄"),"")</f>
        <v>檢核</v>
      </c>
      <c r="M43" s="402" t="str">
        <f t="shared" si="0"/>
        <v>+L90+721</v>
      </c>
      <c r="N43" s="402" t="str">
        <f t="array" ref="N43">IF(AND(
    SUMPRODUCT(
        (IM!$F$2:$F$522=A43) *
        ISNUMBER(SEARCH("*HUB*", IM!$AC$2:$AC$522)) *
        (IM!$X$2:$X$522&gt;=勤務統計!$A$1) *
        (IM!$X$2:$X$522&lt;=勤務統計!$B$1)*(W43="HUB")
    ) &gt; 0
), "HUB", "")</f>
        <v/>
      </c>
      <c r="O43" s="400" t="str">
        <f>IF(
  IFERROR(VLOOKUP(A43,勤務統計!A:I,9,FALSE),"")&lt;&gt;勤務統計!$C$1,
  "未完工",
  IF(
    AND(勤務統計!$D$1="--",勤務統計!$E$1="--",勤務統計!$F$1="--"),
    "已完工",
    IF(
      OR(
        AND(勤務統計!$D$1&lt;&gt;"--", IFERROR(VLOOKUP(A43,'0919門市清單主檔'!B:AH,31,FALSE),"")=勤務統計!$D$1, IFERROR(VLOOKUP(A43,勤務統計!A:Q,17,FALSE),"")&lt;&gt;勤務統計!$D$1),
        AND(勤務統計!$E$1&lt;&gt;"--", IFERROR(VLOOKUP(A43,'0919門市清單主檔'!B:AH,32,FALSE),"")=勤務統計!$E$1, IFERROR(VLOOKUP(A43,勤務統計!A:S,19,FALSE),"")&lt;&gt;勤務統計!$E$1),
        AND(勤務統計!$F$1&lt;&gt;"--", IFERROR(VLOOKUP(A43,'0919門市清單主檔'!B:AH,33,FALSE),"")=勤務統計!$F$1, IFERROR(VLOOKUP(A43,勤務統計!A:U,21,FALSE),"")&lt;&gt;勤務統計!$F$1),
        AND(IFERROR(VLOOKUP(A43,'0919門市清單主檔'!B:AH,28,FALSE),"")="HUB", IFERROR(VLOOKUP(A43,勤務統計!A:W,23,FALSE),"")&lt;&gt;"HUB")
      ),
      _xlfn.TEXTJOIN(
        "，",
        TRUE,
        IF(AND(勤務統計!$D$1&lt;&gt;"--", IFERROR(VLOOKUP(A43,'0919門市清單主檔'!B:AH,31,FALSE),"")=勤務統計!$D$1, IFERROR(VLOOKUP(A43,勤務統計!A:Q,17,FALSE),"")&lt;&gt;勤務統計!$D$1), 勤務統計!$D$1, ""),
        IF(AND(勤務統計!$E$1&lt;&gt;"--", IFERROR(VLOOKUP(A43,'0919門市清單主檔'!B:AH,32,FALSE),"")=勤務統計!$E$1, IFERROR(VLOOKUP(A43,勤務統計!A:S,19,FALSE),"")&lt;&gt;勤務統計!$E$1), 勤務統計!$E$1, ""),
        IF(AND(勤務統計!$F$1&lt;&gt;"--", IFERROR(VLOOKUP(A43,'0919門市清單主檔'!B:AH,33,FALSE),"")=勤務統計!$F$1, IFERROR(VLOOKUP(A43,勤務統計!A:U,21,FALSE),"")&lt;&gt;勤務統計!$F$1), 勤務統計!$F$1, ""),
        IF(AND(IFERROR(VLOOKUP(A43,'0919門市清單主檔'!B:AH,28,FALSE),"")="HUB", IFERROR(VLOOKUP(A43,勤務統計!A:W,23,FALSE),"")&lt;&gt;"HUB"), "HUB", "")
      ) &amp; "未完工",
      "已完工"
    )
  )
)</f>
        <v>未完工</v>
      </c>
      <c r="P43" s="403" t="str">
        <f>(TEXT(I43,"yyyymmdd"))&amp;勤務統計!$V$2&amp;A43&amp;勤務統計!$V$2&amp;B43&amp;勤務統計!$S$2</f>
        <v>PMQ1-3606-北縣泰富店(定保)</v>
      </c>
      <c r="Q43" s="420" t="str">
        <f t="array" ref="Q43">IF(AND(SUMPRODUCT((IM!$F$2:$F$5000=A43)*(ISNUMBER(SEARCH(勤務統計!$D$1, IM!$AC$2:$AC$5000))))&gt;0), 勤務統計!$D$1, "")</f>
        <v/>
      </c>
      <c r="R43" s="421" t="str">
        <f t="array" ref="R43">IFERROR(INDEX(IM!$AM$2:$AM$5000, MATCH(1, (IM!$F$2:$F$5000=A43) * (ISNUMBER(SEARCH(勤務統計!$D$1, IM!$AC$2:$AC$5000))), 0)), "")</f>
        <v/>
      </c>
      <c r="S43" s="406" t="str" cm="1">
        <f t="array" ref="S43">IF(AND(SUMPRODUCT((IM!$F$2:$F$5000=A43)*(ISNUMBER(SEARCH(勤務統計!$E$1, IM!$AC$2:$AC$5000))))&gt;0), 勤務統計!$E$1, "")</f>
        <v>+L90</v>
      </c>
      <c r="T43" s="422">
        <f t="array" ref="T43">IFERROR(INDEX(IM!$AM$2:$AM$5000, MATCH(1, (IM!$F$2:$F$5000=A43) * (ISNUMBER(SEARCH(勤務統計!$E$1, IM!$AC$2:$AC$5000))), 0)), "")</f>
        <v>46031</v>
      </c>
      <c r="U43" s="406" t="str" cm="1">
        <f t="array" ref="U43">IF(AND(SUMPRODUCT((IM!$F$2:$F$5000=A43)*(ISNUMBER(SEARCH(勤務統計!$F$1, IM!$AC$2:$AC$5000))))&gt;0), 勤務統計!$F$1, "")</f>
        <v>+721</v>
      </c>
      <c r="V43" s="413">
        <f t="array" ref="V43">IFERROR(INDEX(IM!$AM$2:$AM$5000, MATCH(1, (IM!$F$2:$F$5000=A43) * (ISNUMBER(SEARCH(勤務統計!$F$1, IM!$AC$2:$AC$5000))), 0)), "")</f>
        <v>46031</v>
      </c>
      <c r="W43" s="414" t="str">
        <f>IF(VLOOKUP(A43,'0919門市清單主檔'!B:AC,28,FALSE)=0,"",VLOOKUP(A43,'0919門市清單主檔'!B:AC,28,FALSE))</f>
        <v/>
      </c>
    </row>
    <row r="44" spans="1:23" ht="21.6" customHeight="1">
      <c r="A44" s="423">
        <v>3052</v>
      </c>
      <c r="B44" s="416" t="str">
        <f>VLOOKUP(A44,'0919門市清單主檔'!B:C,2,FALSE)</f>
        <v>北縣莊玲店</v>
      </c>
      <c r="C44" s="415" t="str">
        <f>VLOOKUP($A44,'0919門市清單主檔'!B:V,20,FALSE)</f>
        <v>新北市</v>
      </c>
      <c r="D44" s="410" t="str">
        <f>VLOOKUP($A44,'0919門市清單主檔'!B:V,21,FALSE)</f>
        <v>新莊區</v>
      </c>
      <c r="E44" s="397" t="str">
        <f>VLOOKUP(D44,門市狀態!G:H,2,FALSE)</f>
        <v>湯家瑋</v>
      </c>
      <c r="F44" s="410" t="str">
        <f>IFERROR(IF(VLOOKUP(A44,門市狀態!A:D,4,FALSE)=0,"",VLOOKUP(A44,門市狀態!A:D,4,FALSE)),"")</f>
        <v/>
      </c>
      <c r="G44" s="424"/>
      <c r="H44" s="425" t="str">
        <f>IF(I44&gt;0,(TEXT(I44,"yyyymmdd")&amp;勤務統計!$V$2&amp;A44&amp;勤務統計!$V$2&amp;B44&amp;勤務統計!$S$2),"")</f>
        <v>PMQ1-3052-北縣莊玲店(定保)</v>
      </c>
      <c r="I44" s="247" t="str">
        <f t="array" ref="I44">IF(AND(SUMPRODUCT((IM!$F$2:$F$5000=A44)*(ISNUMBER(SEARCH(勤務統計!$C$1, IM!$AC$2:$AC$5000))))&gt;0), 勤務統計!$C$1, "")</f>
        <v>PMQ1</v>
      </c>
      <c r="J44" s="399">
        <f t="array" ref="J44">IFERROR(INDEX(IM!$AM$2:$AM$5000, MATCH(1, (IM!$F$2:$F$5000=A44) * (ISNUMBER(SEARCH(勤務統計!$C$1, IM!$AC$2:$AC$5000))), 0)), "")</f>
        <v>46034</v>
      </c>
      <c r="K44" s="400">
        <f t="array" ref="K44">SUMPRODUCT((IM!$F$2:$F$5000=A44)*(IM!$AD$2:$AD$5000="O")*(ISNUMBER(SEARCH(勤務統計!$C$1, IM!$AC$2:$AC$5000))))</f>
        <v>1</v>
      </c>
      <c r="L44" s="401" t="str">
        <f t="array" ref="L44">IF(K44&gt;0,IFERROR(HYPERLINK("#'IM'!AC"&amp;MATCH(1,(IM!$F$1:$F$5000=A44)*(ISNUMBER(SEARCH(勤務統計!$C$1,IM!$AC$1:$AC$5000))),0),"檢核"),"未登錄"),"")</f>
        <v>檢核</v>
      </c>
      <c r="M44" s="402" t="str">
        <f t="shared" si="0"/>
        <v>+L90+721</v>
      </c>
      <c r="N44" s="402" t="str">
        <f t="array" ref="N44">IF(AND(
    SUMPRODUCT(
        (IM!$F$2:$F$522=A44) *
        ISNUMBER(SEARCH("*HUB*", IM!$AC$2:$AC$522)) *
        (IM!$X$2:$X$522&gt;=勤務統計!$A$1) *
        (IM!$X$2:$X$522&lt;=勤務統計!$B$1)*(W44="HUB")
    ) &gt; 0
), "HUB", "")</f>
        <v/>
      </c>
      <c r="O44" s="400" t="str">
        <f>IF(
  IFERROR(VLOOKUP(A44,勤務統計!A:I,9,FALSE),"")&lt;&gt;勤務統計!$C$1,
  "未完工",
  IF(
    AND(勤務統計!$D$1="--",勤務統計!$E$1="--",勤務統計!$F$1="--"),
    "已完工",
    IF(
      OR(
        AND(勤務統計!$D$1&lt;&gt;"--", IFERROR(VLOOKUP(A44,'0919門市清單主檔'!B:AH,31,FALSE),"")=勤務統計!$D$1, IFERROR(VLOOKUP(A44,勤務統計!A:Q,17,FALSE),"")&lt;&gt;勤務統計!$D$1),
        AND(勤務統計!$E$1&lt;&gt;"--", IFERROR(VLOOKUP(A44,'0919門市清單主檔'!B:AH,32,FALSE),"")=勤務統計!$E$1, IFERROR(VLOOKUP(A44,勤務統計!A:S,19,FALSE),"")&lt;&gt;勤務統計!$E$1),
        AND(勤務統計!$F$1&lt;&gt;"--", IFERROR(VLOOKUP(A44,'0919門市清單主檔'!B:AH,33,FALSE),"")=勤務統計!$F$1, IFERROR(VLOOKUP(A44,勤務統計!A:U,21,FALSE),"")&lt;&gt;勤務統計!$F$1),
        AND(IFERROR(VLOOKUP(A44,'0919門市清單主檔'!B:AH,28,FALSE),"")="HUB", IFERROR(VLOOKUP(A44,勤務統計!A:W,23,FALSE),"")&lt;&gt;"HUB")
      ),
      _xlfn.TEXTJOIN(
        "，",
        TRUE,
        IF(AND(勤務統計!$D$1&lt;&gt;"--", IFERROR(VLOOKUP(A44,'0919門市清單主檔'!B:AH,31,FALSE),"")=勤務統計!$D$1, IFERROR(VLOOKUP(A44,勤務統計!A:Q,17,FALSE),"")&lt;&gt;勤務統計!$D$1), 勤務統計!$D$1, ""),
        IF(AND(勤務統計!$E$1&lt;&gt;"--", IFERROR(VLOOKUP(A44,'0919門市清單主檔'!B:AH,32,FALSE),"")=勤務統計!$E$1, IFERROR(VLOOKUP(A44,勤務統計!A:S,19,FALSE),"")&lt;&gt;勤務統計!$E$1), 勤務統計!$E$1, ""),
        IF(AND(勤務統計!$F$1&lt;&gt;"--", IFERROR(VLOOKUP(A44,'0919門市清單主檔'!B:AH,33,FALSE),"")=勤務統計!$F$1, IFERROR(VLOOKUP(A44,勤務統計!A:U,21,FALSE),"")&lt;&gt;勤務統計!$F$1), 勤務統計!$F$1, ""),
        IF(AND(IFERROR(VLOOKUP(A44,'0919門市清單主檔'!B:AH,28,FALSE),"")="HUB", IFERROR(VLOOKUP(A44,勤務統計!A:W,23,FALSE),"")&lt;&gt;"HUB"), "HUB", "")
      ) &amp; "未完工",
      "已完工"
    )
  )
)</f>
        <v>未完工</v>
      </c>
      <c r="P44" s="403" t="str">
        <f>(TEXT(I44,"yyyymmdd"))&amp;勤務統計!$V$2&amp;A44&amp;勤務統計!$V$2&amp;B44&amp;勤務統計!$S$2</f>
        <v>PMQ1-3052-北縣莊玲店(定保)</v>
      </c>
      <c r="Q44" s="420" t="str">
        <f t="array" ref="Q44">IF(AND(SUMPRODUCT((IM!$F$2:$F$5000=A44)*(ISNUMBER(SEARCH(勤務統計!$D$1, IM!$AC$2:$AC$5000))))&gt;0), 勤務統計!$D$1, "")</f>
        <v/>
      </c>
      <c r="R44" s="421" t="str">
        <f t="array" ref="R44">IFERROR(INDEX(IM!$AM$2:$AM$5000, MATCH(1, (IM!$F$2:$F$5000=A44) * (ISNUMBER(SEARCH(勤務統計!$D$1, IM!$AC$2:$AC$5000))), 0)), "")</f>
        <v/>
      </c>
      <c r="S44" s="406" t="str" cm="1">
        <f t="array" ref="S44">IF(AND(SUMPRODUCT((IM!$F$2:$F$5000=A44)*(ISNUMBER(SEARCH(勤務統計!$E$1, IM!$AC$2:$AC$5000))))&gt;0), 勤務統計!$E$1, "")</f>
        <v>+L90</v>
      </c>
      <c r="T44" s="422">
        <f t="array" ref="T44">IFERROR(INDEX(IM!$AM$2:$AM$5000, MATCH(1, (IM!$F$2:$F$5000=A44) * (ISNUMBER(SEARCH(勤務統計!$E$1, IM!$AC$2:$AC$5000))), 0)), "")</f>
        <v>46034</v>
      </c>
      <c r="U44" s="406" t="str" cm="1">
        <f t="array" ref="U44">IF(AND(SUMPRODUCT((IM!$F$2:$F$5000=A44)*(ISNUMBER(SEARCH(勤務統計!$F$1, IM!$AC$2:$AC$5000))))&gt;0), 勤務統計!$F$1, "")</f>
        <v>+721</v>
      </c>
      <c r="V44" s="413">
        <f t="array" ref="V44">IFERROR(INDEX(IM!$AM$2:$AM$5000, MATCH(1, (IM!$F$2:$F$5000=A44) * (ISNUMBER(SEARCH(勤務統計!$F$1, IM!$AC$2:$AC$5000))), 0)), "")</f>
        <v>46034</v>
      </c>
      <c r="W44" s="414" t="str">
        <f>IF(VLOOKUP(A44,'0919門市清單主檔'!B:AC,28,FALSE)=0,"",VLOOKUP(A44,'0919門市清單主檔'!B:AC,28,FALSE))</f>
        <v/>
      </c>
    </row>
    <row r="45" spans="1:23" ht="21.6" customHeight="1">
      <c r="A45" s="423">
        <v>3770</v>
      </c>
      <c r="B45" s="416" t="str">
        <f>VLOOKUP(A45,'0919門市清單主檔'!B:C,2,FALSE)</f>
        <v>北縣西雲店</v>
      </c>
      <c r="C45" s="415" t="str">
        <f>VLOOKUP($A45,'0919門市清單主檔'!B:V,20,FALSE)</f>
        <v>新北市</v>
      </c>
      <c r="D45" s="410" t="str">
        <f>VLOOKUP($A45,'0919門市清單主檔'!B:V,21,FALSE)</f>
        <v>五股區</v>
      </c>
      <c r="E45" s="397" t="str">
        <f>VLOOKUP(D45,門市狀態!G:H,2,FALSE)</f>
        <v>湯家瑋</v>
      </c>
      <c r="F45" s="410" t="str">
        <f>IFERROR(IF(VLOOKUP(A45,門市狀態!A:D,4,FALSE)=0,"",VLOOKUP(A45,門市狀態!A:D,4,FALSE)),"")</f>
        <v/>
      </c>
      <c r="G45" s="424"/>
      <c r="H45" s="425" t="str">
        <f>IF(I45&gt;0,(TEXT(I45,"yyyymmdd")&amp;勤務統計!$V$2&amp;A45&amp;勤務統計!$V$2&amp;B45&amp;勤務統計!$S$2),"")</f>
        <v>PMQ1-3770-北縣西雲店(定保)</v>
      </c>
      <c r="I45" s="247" t="str">
        <f t="array" ref="I45">IF(AND(SUMPRODUCT((IM!$F$2:$F$5000=A45)*(ISNUMBER(SEARCH(勤務統計!$C$1, IM!$AC$2:$AC$5000))))&gt;0), 勤務統計!$C$1, "")</f>
        <v>PMQ1</v>
      </c>
      <c r="J45" s="399">
        <f t="array" ref="J45">IFERROR(INDEX(IM!$AM$2:$AM$5000, MATCH(1, (IM!$F$2:$F$5000=A45) * (ISNUMBER(SEARCH(勤務統計!$C$1, IM!$AC$2:$AC$5000))), 0)), "")</f>
        <v>46034</v>
      </c>
      <c r="K45" s="400">
        <f t="array" ref="K45">SUMPRODUCT((IM!$F$2:$F$5000=A45)*(IM!$AD$2:$AD$5000="O")*(ISNUMBER(SEARCH(勤務統計!$C$1, IM!$AC$2:$AC$5000))))</f>
        <v>1</v>
      </c>
      <c r="L45" s="401" t="str">
        <f t="array" ref="L45">IF(K45&gt;0,IFERROR(HYPERLINK("#'IM'!AC"&amp;MATCH(1,(IM!$F$1:$F$5000=A45)*(ISNUMBER(SEARCH(勤務統計!$C$1,IM!$AC$1:$AC$5000))),0),"檢核"),"未登錄"),"")</f>
        <v>檢核</v>
      </c>
      <c r="M45" s="402" t="str">
        <f t="shared" si="0"/>
        <v>+L90+721</v>
      </c>
      <c r="N45" s="402" t="str">
        <f t="array" ref="N45">IF(AND(
    SUMPRODUCT(
        (IM!$F$2:$F$522=A45) *
        ISNUMBER(SEARCH("*HUB*", IM!$AC$2:$AC$522)) *
        (IM!$X$2:$X$522&gt;=勤務統計!$A$1) *
        (IM!$X$2:$X$522&lt;=勤務統計!$B$1)*(W45="HUB")
    ) &gt; 0
), "HUB", "")</f>
        <v/>
      </c>
      <c r="O45" s="400" t="str">
        <f>IF(
  IFERROR(VLOOKUP(A45,勤務統計!A:I,9,FALSE),"")&lt;&gt;勤務統計!$C$1,
  "未完工",
  IF(
    AND(勤務統計!$D$1="--",勤務統計!$E$1="--",勤務統計!$F$1="--"),
    "已完工",
    IF(
      OR(
        AND(勤務統計!$D$1&lt;&gt;"--", IFERROR(VLOOKUP(A45,'0919門市清單主檔'!B:AH,31,FALSE),"")=勤務統計!$D$1, IFERROR(VLOOKUP(A45,勤務統計!A:Q,17,FALSE),"")&lt;&gt;勤務統計!$D$1),
        AND(勤務統計!$E$1&lt;&gt;"--", IFERROR(VLOOKUP(A45,'0919門市清單主檔'!B:AH,32,FALSE),"")=勤務統計!$E$1, IFERROR(VLOOKUP(A45,勤務統計!A:S,19,FALSE),"")&lt;&gt;勤務統計!$E$1),
        AND(勤務統計!$F$1&lt;&gt;"--", IFERROR(VLOOKUP(A45,'0919門市清單主檔'!B:AH,33,FALSE),"")=勤務統計!$F$1, IFERROR(VLOOKUP(A45,勤務統計!A:U,21,FALSE),"")&lt;&gt;勤務統計!$F$1),
        AND(IFERROR(VLOOKUP(A45,'0919門市清單主檔'!B:AH,28,FALSE),"")="HUB", IFERROR(VLOOKUP(A45,勤務統計!A:W,23,FALSE),"")&lt;&gt;"HUB")
      ),
      _xlfn.TEXTJOIN(
        "，",
        TRUE,
        IF(AND(勤務統計!$D$1&lt;&gt;"--", IFERROR(VLOOKUP(A45,'0919門市清單主檔'!B:AH,31,FALSE),"")=勤務統計!$D$1, IFERROR(VLOOKUP(A45,勤務統計!A:Q,17,FALSE),"")&lt;&gt;勤務統計!$D$1), 勤務統計!$D$1, ""),
        IF(AND(勤務統計!$E$1&lt;&gt;"--", IFERROR(VLOOKUP(A45,'0919門市清單主檔'!B:AH,32,FALSE),"")=勤務統計!$E$1, IFERROR(VLOOKUP(A45,勤務統計!A:S,19,FALSE),"")&lt;&gt;勤務統計!$E$1), 勤務統計!$E$1, ""),
        IF(AND(勤務統計!$F$1&lt;&gt;"--", IFERROR(VLOOKUP(A45,'0919門市清單主檔'!B:AH,33,FALSE),"")=勤務統計!$F$1, IFERROR(VLOOKUP(A45,勤務統計!A:U,21,FALSE),"")&lt;&gt;勤務統計!$F$1), 勤務統計!$F$1, ""),
        IF(AND(IFERROR(VLOOKUP(A45,'0919門市清單主檔'!B:AH,28,FALSE),"")="HUB", IFERROR(VLOOKUP(A45,勤務統計!A:W,23,FALSE),"")&lt;&gt;"HUB"), "HUB", "")
      ) &amp; "未完工",
      "已完工"
    )
  )
)</f>
        <v>未完工</v>
      </c>
      <c r="P45" s="403" t="str">
        <f>(TEXT(I45,"yyyymmdd"))&amp;勤務統計!$V$2&amp;A45&amp;勤務統計!$V$2&amp;B45&amp;勤務統計!$S$2</f>
        <v>PMQ1-3770-北縣西雲店(定保)</v>
      </c>
      <c r="Q45" s="420" t="str">
        <f t="array" ref="Q45">IF(AND(SUMPRODUCT((IM!$F$2:$F$5000=A45)*(ISNUMBER(SEARCH(勤務統計!$D$1, IM!$AC$2:$AC$5000))))&gt;0), 勤務統計!$D$1, "")</f>
        <v/>
      </c>
      <c r="R45" s="421" t="str">
        <f t="array" ref="R45">IFERROR(INDEX(IM!$AM$2:$AM$5000, MATCH(1, (IM!$F$2:$F$5000=A45) * (ISNUMBER(SEARCH(勤務統計!$D$1, IM!$AC$2:$AC$5000))), 0)), "")</f>
        <v/>
      </c>
      <c r="S45" s="406" t="str" cm="1">
        <f t="array" ref="S45">IF(AND(SUMPRODUCT((IM!$F$2:$F$5000=A45)*(ISNUMBER(SEARCH(勤務統計!$E$1, IM!$AC$2:$AC$5000))))&gt;0), 勤務統計!$E$1, "")</f>
        <v>+L90</v>
      </c>
      <c r="T45" s="422">
        <f t="array" ref="T45">IFERROR(INDEX(IM!$AM$2:$AM$5000, MATCH(1, (IM!$F$2:$F$5000=A45) * (ISNUMBER(SEARCH(勤務統計!$E$1, IM!$AC$2:$AC$5000))), 0)), "")</f>
        <v>46034</v>
      </c>
      <c r="U45" s="406" t="str" cm="1">
        <f t="array" ref="U45">IF(AND(SUMPRODUCT((IM!$F$2:$F$5000=A45)*(ISNUMBER(SEARCH(勤務統計!$F$1, IM!$AC$2:$AC$5000))))&gt;0), 勤務統計!$F$1, "")</f>
        <v>+721</v>
      </c>
      <c r="V45" s="413">
        <f t="array" ref="V45">IFERROR(INDEX(IM!$AM$2:$AM$5000, MATCH(1, (IM!$F$2:$F$5000=A45) * (ISNUMBER(SEARCH(勤務統計!$F$1, IM!$AC$2:$AC$5000))), 0)), "")</f>
        <v>46034</v>
      </c>
      <c r="W45" s="414" t="str">
        <f>IF(VLOOKUP(A45,'0919門市清單主檔'!B:AC,28,FALSE)=0,"",VLOOKUP(A45,'0919門市清單主檔'!B:AC,28,FALSE))</f>
        <v/>
      </c>
    </row>
    <row r="46" spans="1:23" ht="21.6" customHeight="1">
      <c r="A46" s="423" t="s">
        <v>50</v>
      </c>
      <c r="B46" s="416" t="str">
        <f>VLOOKUP(A46,'0919門市清單主檔'!B:C,2,FALSE)</f>
        <v>三重運動公園</v>
      </c>
      <c r="C46" s="415" t="str">
        <f>VLOOKUP($A46,'0919門市清單主檔'!B:V,20,FALSE)</f>
        <v>新北市</v>
      </c>
      <c r="D46" s="410" t="str">
        <f>VLOOKUP($A46,'0919門市清單主檔'!B:V,21,FALSE)</f>
        <v>三重區</v>
      </c>
      <c r="E46" s="397" t="str">
        <f>VLOOKUP(D46,門市狀態!G:H,2,FALSE)</f>
        <v>劉柏均</v>
      </c>
      <c r="F46" s="410" t="str">
        <f>IFERROR(IF(VLOOKUP(A46,門市狀態!A:D,4,FALSE)=0,"",VLOOKUP(A46,門市狀態!A:D,4,FALSE)),"")</f>
        <v/>
      </c>
      <c r="G46" s="424"/>
      <c r="H46" s="425" t="str">
        <f>IF(I46&gt;0,(TEXT(I46,"yyyymmdd")&amp;勤務統計!$V$2&amp;A46&amp;勤務統計!$V$2&amp;B46&amp;勤務統計!$S$2),"")</f>
        <v>PMQ1-D649-三重運動公園(定保)</v>
      </c>
      <c r="I46" s="247" t="str">
        <f t="array" ref="I46">IF(AND(SUMPRODUCT((IM!$F$2:$F$5000=A46)*(ISNUMBER(SEARCH(勤務統計!$C$1, IM!$AC$2:$AC$5000))))&gt;0), 勤務統計!$C$1, "")</f>
        <v>PMQ1</v>
      </c>
      <c r="J46" s="399">
        <f t="array" ref="J46">IFERROR(INDEX(IM!$AM$2:$AM$5000, MATCH(1, (IM!$F$2:$F$5000=A46) * (ISNUMBER(SEARCH(勤務統計!$C$1, IM!$AC$2:$AC$5000))), 0)), "")</f>
        <v>46034</v>
      </c>
      <c r="K46" s="400">
        <f t="array" ref="K46">SUMPRODUCT((IM!$F$2:$F$5000=A46)*(IM!$AD$2:$AD$5000="O")*(ISNUMBER(SEARCH(勤務統計!$C$1, IM!$AC$2:$AC$5000))))</f>
        <v>1</v>
      </c>
      <c r="L46" s="401" t="str">
        <f t="array" ref="L46">IF(K46&gt;0,IFERROR(HYPERLINK("#'IM'!AC"&amp;MATCH(1,(IM!$F$1:$F$5000=A46)*(ISNUMBER(SEARCH(勤務統計!$C$1,IM!$AC$1:$AC$5000))),0),"檢核"),"未登錄"),"")</f>
        <v>檢核</v>
      </c>
      <c r="M46" s="402" t="str">
        <f t="shared" si="0"/>
        <v>+L90+721</v>
      </c>
      <c r="N46" s="402" t="str">
        <f t="array" ref="N46">IF(AND(
    SUMPRODUCT(
        (IM!$F$2:$F$522=A46) *
        ISNUMBER(SEARCH("*HUB*", IM!$AC$2:$AC$522)) *
        (IM!$X$2:$X$522&gt;=勤務統計!$A$1) *
        (IM!$X$2:$X$522&lt;=勤務統計!$B$1)*(W46="HUB")
    ) &gt; 0
), "HUB", "")</f>
        <v/>
      </c>
      <c r="O46" s="400" t="str">
        <f>IF(
  IFERROR(VLOOKUP(A46,勤務統計!A:I,9,FALSE),"")&lt;&gt;勤務統計!$C$1,
  "未完工",
  IF(
    AND(勤務統計!$D$1="--",勤務統計!$E$1="--",勤務統計!$F$1="--"),
    "已完工",
    IF(
      OR(
        AND(勤務統計!$D$1&lt;&gt;"--", IFERROR(VLOOKUP(A46,'0919門市清單主檔'!B:AH,31,FALSE),"")=勤務統計!$D$1, IFERROR(VLOOKUP(A46,勤務統計!A:Q,17,FALSE),"")&lt;&gt;勤務統計!$D$1),
        AND(勤務統計!$E$1&lt;&gt;"--", IFERROR(VLOOKUP(A46,'0919門市清單主檔'!B:AH,32,FALSE),"")=勤務統計!$E$1, IFERROR(VLOOKUP(A46,勤務統計!A:S,19,FALSE),"")&lt;&gt;勤務統計!$E$1),
        AND(勤務統計!$F$1&lt;&gt;"--", IFERROR(VLOOKUP(A46,'0919門市清單主檔'!B:AH,33,FALSE),"")=勤務統計!$F$1, IFERROR(VLOOKUP(A46,勤務統計!A:U,21,FALSE),"")&lt;&gt;勤務統計!$F$1),
        AND(IFERROR(VLOOKUP(A46,'0919門市清單主檔'!B:AH,28,FALSE),"")="HUB", IFERROR(VLOOKUP(A46,勤務統計!A:W,23,FALSE),"")&lt;&gt;"HUB")
      ),
      _xlfn.TEXTJOIN(
        "，",
        TRUE,
        IF(AND(勤務統計!$D$1&lt;&gt;"--", IFERROR(VLOOKUP(A46,'0919門市清單主檔'!B:AH,31,FALSE),"")=勤務統計!$D$1, IFERROR(VLOOKUP(A46,勤務統計!A:Q,17,FALSE),"")&lt;&gt;勤務統計!$D$1), 勤務統計!$D$1, ""),
        IF(AND(勤務統計!$E$1&lt;&gt;"--", IFERROR(VLOOKUP(A46,'0919門市清單主檔'!B:AH,32,FALSE),"")=勤務統計!$E$1, IFERROR(VLOOKUP(A46,勤務統計!A:S,19,FALSE),"")&lt;&gt;勤務統計!$E$1), 勤務統計!$E$1, ""),
        IF(AND(勤務統計!$F$1&lt;&gt;"--", IFERROR(VLOOKUP(A46,'0919門市清單主檔'!B:AH,33,FALSE),"")=勤務統計!$F$1, IFERROR(VLOOKUP(A46,勤務統計!A:U,21,FALSE),"")&lt;&gt;勤務統計!$F$1), 勤務統計!$F$1, ""),
        IF(AND(IFERROR(VLOOKUP(A46,'0919門市清單主檔'!B:AH,28,FALSE),"")="HUB", IFERROR(VLOOKUP(A46,勤務統計!A:W,23,FALSE),"")&lt;&gt;"HUB"), "HUB", "")
      ) &amp; "未完工",
      "已完工"
    )
  )
)</f>
        <v>未完工</v>
      </c>
      <c r="P46" s="403" t="str">
        <f>(TEXT(I46,"yyyymmdd"))&amp;勤務統計!$V$2&amp;A46&amp;勤務統計!$V$2&amp;B46&amp;勤務統計!$S$2</f>
        <v>PMQ1-D649-三重運動公園(定保)</v>
      </c>
      <c r="Q46" s="420" t="str">
        <f t="array" ref="Q46">IF(AND(SUMPRODUCT((IM!$F$2:$F$5000=A46)*(ISNUMBER(SEARCH(勤務統計!$D$1, IM!$AC$2:$AC$5000))))&gt;0), 勤務統計!$D$1, "")</f>
        <v/>
      </c>
      <c r="R46" s="421" t="str">
        <f t="array" ref="R46">IFERROR(INDEX(IM!$AM$2:$AM$5000, MATCH(1, (IM!$F$2:$F$5000=A46) * (ISNUMBER(SEARCH(勤務統計!$D$1, IM!$AC$2:$AC$5000))), 0)), "")</f>
        <v/>
      </c>
      <c r="S46" s="406" t="str" cm="1">
        <f t="array" ref="S46">IF(AND(SUMPRODUCT((IM!$F$2:$F$5000=A46)*(ISNUMBER(SEARCH(勤務統計!$E$1, IM!$AC$2:$AC$5000))))&gt;0), 勤務統計!$E$1, "")</f>
        <v>+L90</v>
      </c>
      <c r="T46" s="422">
        <f t="array" ref="T46">IFERROR(INDEX(IM!$AM$2:$AM$5000, MATCH(1, (IM!$F$2:$F$5000=A46) * (ISNUMBER(SEARCH(勤務統計!$E$1, IM!$AC$2:$AC$5000))), 0)), "")</f>
        <v>45958</v>
      </c>
      <c r="U46" s="406" t="str" cm="1">
        <f t="array" ref="U46">IF(AND(SUMPRODUCT((IM!$F$2:$F$5000=A46)*(ISNUMBER(SEARCH(勤務統計!$F$1, IM!$AC$2:$AC$5000))))&gt;0), 勤務統計!$F$1, "")</f>
        <v>+721</v>
      </c>
      <c r="V46" s="413">
        <f t="array" ref="V46">IFERROR(INDEX(IM!$AM$2:$AM$5000, MATCH(1, (IM!$F$2:$F$5000=A46) * (ISNUMBER(SEARCH(勤務統計!$F$1, IM!$AC$2:$AC$5000))), 0)), "")</f>
        <v>46034</v>
      </c>
      <c r="W46" s="414" t="str">
        <f>IF(VLOOKUP(A46,'0919門市清單主檔'!B:AC,28,FALSE)=0,"",VLOOKUP(A46,'0919門市清單主檔'!B:AC,28,FALSE))</f>
        <v/>
      </c>
    </row>
    <row r="47" spans="1:23" ht="21.6" customHeight="1">
      <c r="A47" s="423">
        <v>4210</v>
      </c>
      <c r="B47" s="416" t="str">
        <f>VLOOKUP(A47,'0919門市清單主檔'!B:C,2,FALSE)</f>
        <v>三重福華店</v>
      </c>
      <c r="C47" s="415" t="str">
        <f>VLOOKUP($A47,'0919門市清單主檔'!B:V,20,FALSE)</f>
        <v>新北市</v>
      </c>
      <c r="D47" s="410" t="str">
        <f>VLOOKUP($A47,'0919門市清單主檔'!B:V,21,FALSE)</f>
        <v>三重區</v>
      </c>
      <c r="E47" s="397" t="str">
        <f>VLOOKUP(D47,門市狀態!G:H,2,FALSE)</f>
        <v>劉柏均</v>
      </c>
      <c r="F47" s="410" t="str">
        <f>IFERROR(IF(VLOOKUP(A47,門市狀態!A:D,4,FALSE)=0,"",VLOOKUP(A47,門市狀態!A:D,4,FALSE)),"")</f>
        <v/>
      </c>
      <c r="G47" s="424"/>
      <c r="H47" s="425" t="str">
        <f>IF(I47&gt;0,(TEXT(I47,"yyyymmdd")&amp;勤務統計!$V$2&amp;A47&amp;勤務統計!$V$2&amp;B47&amp;勤務統計!$S$2),"")</f>
        <v>PMQ1-4210-三重福華店(定保)</v>
      </c>
      <c r="I47" s="247" t="str">
        <f t="array" ref="I47">IF(AND(SUMPRODUCT((IM!$F$2:$F$5000=A47)*(ISNUMBER(SEARCH(勤務統計!$C$1, IM!$AC$2:$AC$5000))))&gt;0), 勤務統計!$C$1, "")</f>
        <v>PMQ1</v>
      </c>
      <c r="J47" s="399">
        <f t="array" ref="J47">IFERROR(INDEX(IM!$AM$2:$AM$5000, MATCH(1, (IM!$F$2:$F$5000=A47) * (ISNUMBER(SEARCH(勤務統計!$C$1, IM!$AC$2:$AC$5000))), 0)), "")</f>
        <v>46034</v>
      </c>
      <c r="K47" s="400">
        <f t="array" ref="K47">SUMPRODUCT((IM!$F$2:$F$5000=A47)*(IM!$AD$2:$AD$5000="O")*(ISNUMBER(SEARCH(勤務統計!$C$1, IM!$AC$2:$AC$5000))))</f>
        <v>1</v>
      </c>
      <c r="L47" s="401" t="str">
        <f t="array" ref="L47">IF(K47&gt;0,IFERROR(HYPERLINK("#'IM'!AC"&amp;MATCH(1,(IM!$F$1:$F$5000=A47)*(ISNUMBER(SEARCH(勤務統計!$C$1,IM!$AC$1:$AC$5000))),0),"檢核"),"未登錄"),"")</f>
        <v>檢核</v>
      </c>
      <c r="M47" s="402" t="str">
        <f t="shared" si="0"/>
        <v>+L90+721</v>
      </c>
      <c r="N47" s="402" t="str">
        <f t="array" ref="N47">IF(AND(
    SUMPRODUCT(
        (IM!$F$2:$F$522=A47) *
        ISNUMBER(SEARCH("*HUB*", IM!$AC$2:$AC$522)) *
        (IM!$X$2:$X$522&gt;=勤務統計!$A$1) *
        (IM!$X$2:$X$522&lt;=勤務統計!$B$1)*(W47="HUB")
    ) &gt; 0
), "HUB", "")</f>
        <v/>
      </c>
      <c r="O47" s="400" t="str">
        <f>IF(
  IFERROR(VLOOKUP(A47,勤務統計!A:I,9,FALSE),"")&lt;&gt;勤務統計!$C$1,
  "未完工",
  IF(
    AND(勤務統計!$D$1="--",勤務統計!$E$1="--",勤務統計!$F$1="--"),
    "已完工",
    IF(
      OR(
        AND(勤務統計!$D$1&lt;&gt;"--", IFERROR(VLOOKUP(A47,'0919門市清單主檔'!B:AH,31,FALSE),"")=勤務統計!$D$1, IFERROR(VLOOKUP(A47,勤務統計!A:Q,17,FALSE),"")&lt;&gt;勤務統計!$D$1),
        AND(勤務統計!$E$1&lt;&gt;"--", IFERROR(VLOOKUP(A47,'0919門市清單主檔'!B:AH,32,FALSE),"")=勤務統計!$E$1, IFERROR(VLOOKUP(A47,勤務統計!A:S,19,FALSE),"")&lt;&gt;勤務統計!$E$1),
        AND(勤務統計!$F$1&lt;&gt;"--", IFERROR(VLOOKUP(A47,'0919門市清單主檔'!B:AH,33,FALSE),"")=勤務統計!$F$1, IFERROR(VLOOKUP(A47,勤務統計!A:U,21,FALSE),"")&lt;&gt;勤務統計!$F$1),
        AND(IFERROR(VLOOKUP(A47,'0919門市清單主檔'!B:AH,28,FALSE),"")="HUB", IFERROR(VLOOKUP(A47,勤務統計!A:W,23,FALSE),"")&lt;&gt;"HUB")
      ),
      _xlfn.TEXTJOIN(
        "，",
        TRUE,
        IF(AND(勤務統計!$D$1&lt;&gt;"--", IFERROR(VLOOKUP(A47,'0919門市清單主檔'!B:AH,31,FALSE),"")=勤務統計!$D$1, IFERROR(VLOOKUP(A47,勤務統計!A:Q,17,FALSE),"")&lt;&gt;勤務統計!$D$1), 勤務統計!$D$1, ""),
        IF(AND(勤務統計!$E$1&lt;&gt;"--", IFERROR(VLOOKUP(A47,'0919門市清單主檔'!B:AH,32,FALSE),"")=勤務統計!$E$1, IFERROR(VLOOKUP(A47,勤務統計!A:S,19,FALSE),"")&lt;&gt;勤務統計!$E$1), 勤務統計!$E$1, ""),
        IF(AND(勤務統計!$F$1&lt;&gt;"--", IFERROR(VLOOKUP(A47,'0919門市清單主檔'!B:AH,33,FALSE),"")=勤務統計!$F$1, IFERROR(VLOOKUP(A47,勤務統計!A:U,21,FALSE),"")&lt;&gt;勤務統計!$F$1), 勤務統計!$F$1, ""),
        IF(AND(IFERROR(VLOOKUP(A47,'0919門市清單主檔'!B:AH,28,FALSE),"")="HUB", IFERROR(VLOOKUP(A47,勤務統計!A:W,23,FALSE),"")&lt;&gt;"HUB"), "HUB", "")
      ) &amp; "未完工",
      "已完工"
    )
  )
)</f>
        <v>未完工</v>
      </c>
      <c r="P47" s="403" t="str">
        <f>(TEXT(I47,"yyyymmdd"))&amp;勤務統計!$V$2&amp;A47&amp;勤務統計!$V$2&amp;B47&amp;勤務統計!$S$2</f>
        <v>PMQ1-4210-三重福華店(定保)</v>
      </c>
      <c r="Q47" s="420" t="str">
        <f t="array" ref="Q47">IF(AND(SUMPRODUCT((IM!$F$2:$F$5000=A47)*(ISNUMBER(SEARCH(勤務統計!$D$1, IM!$AC$2:$AC$5000))))&gt;0), 勤務統計!$D$1, "")</f>
        <v/>
      </c>
      <c r="R47" s="421" t="str">
        <f t="array" ref="R47">IFERROR(INDEX(IM!$AM$2:$AM$5000, MATCH(1, (IM!$F$2:$F$5000=A47) * (ISNUMBER(SEARCH(勤務統計!$D$1, IM!$AC$2:$AC$5000))), 0)), "")</f>
        <v/>
      </c>
      <c r="S47" s="406" t="str" cm="1">
        <f t="array" ref="S47">IF(AND(SUMPRODUCT((IM!$F$2:$F$5000=A47)*(ISNUMBER(SEARCH(勤務統計!$E$1, IM!$AC$2:$AC$5000))))&gt;0), 勤務統計!$E$1, "")</f>
        <v>+L90</v>
      </c>
      <c r="T47" s="422">
        <f t="array" ref="T47">IFERROR(INDEX(IM!$AM$2:$AM$5000, MATCH(1, (IM!$F$2:$F$5000=A47) * (ISNUMBER(SEARCH(勤務統計!$E$1, IM!$AC$2:$AC$5000))), 0)), "")</f>
        <v>45971</v>
      </c>
      <c r="U47" s="406" t="str" cm="1">
        <f t="array" ref="U47">IF(AND(SUMPRODUCT((IM!$F$2:$F$5000=A47)*(ISNUMBER(SEARCH(勤務統計!$F$1, IM!$AC$2:$AC$5000))))&gt;0), 勤務統計!$F$1, "")</f>
        <v>+721</v>
      </c>
      <c r="V47" s="413">
        <f t="array" ref="V47">IFERROR(INDEX(IM!$AM$2:$AM$5000, MATCH(1, (IM!$F$2:$F$5000=A47) * (ISNUMBER(SEARCH(勤務統計!$F$1, IM!$AC$2:$AC$5000))), 0)), "")</f>
        <v>46034</v>
      </c>
      <c r="W47" s="414" t="str">
        <f>IF(VLOOKUP(A47,'0919門市清單主檔'!B:AC,28,FALSE)=0,"",VLOOKUP(A47,'0919門市清單主檔'!B:AC,28,FALSE))</f>
        <v/>
      </c>
    </row>
    <row r="48" spans="1:23" ht="21.6" customHeight="1">
      <c r="A48" s="423" t="s">
        <v>51</v>
      </c>
      <c r="B48" s="416" t="str">
        <f>VLOOKUP(A48,'0919門市清單主檔'!B:C,2,FALSE)</f>
        <v>新莊裕民店</v>
      </c>
      <c r="C48" s="415" t="str">
        <f>VLOOKUP($A48,'0919門市清單主檔'!B:V,20,FALSE)</f>
        <v>新北市</v>
      </c>
      <c r="D48" s="410" t="str">
        <f>VLOOKUP($A48,'0919門市清單主檔'!B:V,21,FALSE)</f>
        <v>新莊區</v>
      </c>
      <c r="E48" s="397" t="str">
        <f>VLOOKUP(D48,門市狀態!G:H,2,FALSE)</f>
        <v>湯家瑋</v>
      </c>
      <c r="F48" s="410" t="str">
        <f>IFERROR(IF(VLOOKUP(A48,門市狀態!A:D,4,FALSE)=0,"",VLOOKUP(A48,門市狀態!A:D,4,FALSE)),"")</f>
        <v/>
      </c>
      <c r="G48" s="424"/>
      <c r="H48" s="425" t="str">
        <f>IF(I48&gt;0,(TEXT(I48,"yyyymmdd")&amp;勤務統計!$V$2&amp;A48&amp;勤務統計!$V$2&amp;B48&amp;勤務統計!$S$2),"")</f>
        <v>PMQ1-D174-新莊裕民店(定保)</v>
      </c>
      <c r="I48" s="247" t="str">
        <f t="array" ref="I48">IF(AND(SUMPRODUCT((IM!$F$2:$F$5000=A48)*(ISNUMBER(SEARCH(勤務統計!$C$1, IM!$AC$2:$AC$5000))))&gt;0), 勤務統計!$C$1, "")</f>
        <v>PMQ1</v>
      </c>
      <c r="J48" s="399">
        <f t="array" ref="J48">IFERROR(INDEX(IM!$AM$2:$AM$5000, MATCH(1, (IM!$F$2:$F$5000=A48) * (ISNUMBER(SEARCH(勤務統計!$C$1, IM!$AC$2:$AC$5000))), 0)), "")</f>
        <v>46034</v>
      </c>
      <c r="K48" s="400">
        <f t="array" ref="K48">SUMPRODUCT((IM!$F$2:$F$5000=A48)*(IM!$AD$2:$AD$5000="O")*(ISNUMBER(SEARCH(勤務統計!$C$1, IM!$AC$2:$AC$5000))))</f>
        <v>1</v>
      </c>
      <c r="L48" s="401" t="str">
        <f t="array" ref="L48">IF(K48&gt;0,IFERROR(HYPERLINK("#'IM'!AC"&amp;MATCH(1,(IM!$F$1:$F$5000=A48)*(ISNUMBER(SEARCH(勤務統計!$C$1,IM!$AC$1:$AC$5000))),0),"檢核"),"未登錄"),"")</f>
        <v>檢核</v>
      </c>
      <c r="M48" s="402" t="str">
        <f t="shared" si="0"/>
        <v>+L90+721</v>
      </c>
      <c r="N48" s="402" t="str">
        <f t="array" ref="N48">IF(AND(
    SUMPRODUCT(
        (IM!$F$2:$F$522=A48) *
        ISNUMBER(SEARCH("*HUB*", IM!$AC$2:$AC$522)) *
        (IM!$X$2:$X$522&gt;=勤務統計!$A$1) *
        (IM!$X$2:$X$522&lt;=勤務統計!$B$1)*(W48="HUB")
    ) &gt; 0
), "HUB", "")</f>
        <v/>
      </c>
      <c r="O48" s="400" t="str">
        <f>IF(
  IFERROR(VLOOKUP(A48,勤務統計!A:I,9,FALSE),"")&lt;&gt;勤務統計!$C$1,
  "未完工",
  IF(
    AND(勤務統計!$D$1="--",勤務統計!$E$1="--",勤務統計!$F$1="--"),
    "已完工",
    IF(
      OR(
        AND(勤務統計!$D$1&lt;&gt;"--", IFERROR(VLOOKUP(A48,'0919門市清單主檔'!B:AH,31,FALSE),"")=勤務統計!$D$1, IFERROR(VLOOKUP(A48,勤務統計!A:Q,17,FALSE),"")&lt;&gt;勤務統計!$D$1),
        AND(勤務統計!$E$1&lt;&gt;"--", IFERROR(VLOOKUP(A48,'0919門市清單主檔'!B:AH,32,FALSE),"")=勤務統計!$E$1, IFERROR(VLOOKUP(A48,勤務統計!A:S,19,FALSE),"")&lt;&gt;勤務統計!$E$1),
        AND(勤務統計!$F$1&lt;&gt;"--", IFERROR(VLOOKUP(A48,'0919門市清單主檔'!B:AH,33,FALSE),"")=勤務統計!$F$1, IFERROR(VLOOKUP(A48,勤務統計!A:U,21,FALSE),"")&lt;&gt;勤務統計!$F$1),
        AND(IFERROR(VLOOKUP(A48,'0919門市清單主檔'!B:AH,28,FALSE),"")="HUB", IFERROR(VLOOKUP(A48,勤務統計!A:W,23,FALSE),"")&lt;&gt;"HUB")
      ),
      _xlfn.TEXTJOIN(
        "，",
        TRUE,
        IF(AND(勤務統計!$D$1&lt;&gt;"--", IFERROR(VLOOKUP(A48,'0919門市清單主檔'!B:AH,31,FALSE),"")=勤務統計!$D$1, IFERROR(VLOOKUP(A48,勤務統計!A:Q,17,FALSE),"")&lt;&gt;勤務統計!$D$1), 勤務統計!$D$1, ""),
        IF(AND(勤務統計!$E$1&lt;&gt;"--", IFERROR(VLOOKUP(A48,'0919門市清單主檔'!B:AH,32,FALSE),"")=勤務統計!$E$1, IFERROR(VLOOKUP(A48,勤務統計!A:S,19,FALSE),"")&lt;&gt;勤務統計!$E$1), 勤務統計!$E$1, ""),
        IF(AND(勤務統計!$F$1&lt;&gt;"--", IFERROR(VLOOKUP(A48,'0919門市清單主檔'!B:AH,33,FALSE),"")=勤務統計!$F$1, IFERROR(VLOOKUP(A48,勤務統計!A:U,21,FALSE),"")&lt;&gt;勤務統計!$F$1), 勤務統計!$F$1, ""),
        IF(AND(IFERROR(VLOOKUP(A48,'0919門市清單主檔'!B:AH,28,FALSE),"")="HUB", IFERROR(VLOOKUP(A48,勤務統計!A:W,23,FALSE),"")&lt;&gt;"HUB"), "HUB", "")
      ) &amp; "未完工",
      "已完工"
    )
  )
)</f>
        <v>未完工</v>
      </c>
      <c r="P48" s="403" t="str">
        <f>(TEXT(I48,"yyyymmdd"))&amp;勤務統計!$V$2&amp;A48&amp;勤務統計!$V$2&amp;B48&amp;勤務統計!$S$2</f>
        <v>PMQ1-D174-新莊裕民店(定保)</v>
      </c>
      <c r="Q48" s="420" t="str">
        <f t="array" ref="Q48">IF(AND(SUMPRODUCT((IM!$F$2:$F$5000=A48)*(ISNUMBER(SEARCH(勤務統計!$D$1, IM!$AC$2:$AC$5000))))&gt;0), 勤務統計!$D$1, "")</f>
        <v/>
      </c>
      <c r="R48" s="421" t="str">
        <f t="array" ref="R48">IFERROR(INDEX(IM!$AM$2:$AM$5000, MATCH(1, (IM!$F$2:$F$5000=A48) * (ISNUMBER(SEARCH(勤務統計!$D$1, IM!$AC$2:$AC$5000))), 0)), "")</f>
        <v/>
      </c>
      <c r="S48" s="406" t="str" cm="1">
        <f t="array" ref="S48">IF(AND(SUMPRODUCT((IM!$F$2:$F$5000=A48)*(ISNUMBER(SEARCH(勤務統計!$E$1, IM!$AC$2:$AC$5000))))&gt;0), 勤務統計!$E$1, "")</f>
        <v>+L90</v>
      </c>
      <c r="T48" s="422">
        <f t="array" ref="T48">IFERROR(INDEX(IM!$AM$2:$AM$5000, MATCH(1, (IM!$F$2:$F$5000=A48) * (ISNUMBER(SEARCH(勤務統計!$E$1, IM!$AC$2:$AC$5000))), 0)), "")</f>
        <v>45973</v>
      </c>
      <c r="U48" s="406" t="str" cm="1">
        <f t="array" ref="U48">IF(AND(SUMPRODUCT((IM!$F$2:$F$5000=A48)*(ISNUMBER(SEARCH(勤務統計!$F$1, IM!$AC$2:$AC$5000))))&gt;0), 勤務統計!$F$1, "")</f>
        <v>+721</v>
      </c>
      <c r="V48" s="413">
        <f t="array" ref="V48">IFERROR(INDEX(IM!$AM$2:$AM$5000, MATCH(1, (IM!$F$2:$F$5000=A48) * (ISNUMBER(SEARCH(勤務統計!$F$1, IM!$AC$2:$AC$5000))), 0)), "")</f>
        <v>46034</v>
      </c>
      <c r="W48" s="414" t="str">
        <f>IF(VLOOKUP(A48,'0919門市清單主檔'!B:AC,28,FALSE)=0,"",VLOOKUP(A48,'0919門市清單主檔'!B:AC,28,FALSE))</f>
        <v/>
      </c>
    </row>
    <row r="49" spans="1:23" ht="21.6" customHeight="1">
      <c r="A49" s="423">
        <v>5364</v>
      </c>
      <c r="B49" s="416" t="str">
        <f>VLOOKUP(A49,'0919門市清單主檔'!B:C,2,FALSE)</f>
        <v>林口舊街店</v>
      </c>
      <c r="C49" s="415" t="str">
        <f>VLOOKUP($A49,'0919門市清單主檔'!B:V,20,FALSE)</f>
        <v>新北市</v>
      </c>
      <c r="D49" s="410" t="str">
        <f>VLOOKUP($A49,'0919門市清單主檔'!B:V,21,FALSE)</f>
        <v>林口區</v>
      </c>
      <c r="E49" s="397" t="str">
        <f>VLOOKUP(D49,門市狀態!G:H,2,FALSE)</f>
        <v>吳宗鴻</v>
      </c>
      <c r="F49" s="410" t="str">
        <f>IFERROR(IF(VLOOKUP(A49,門市狀態!A:D,4,FALSE)=0,"",VLOOKUP(A49,門市狀態!A:D,4,FALSE)),"")</f>
        <v/>
      </c>
      <c r="G49" s="424"/>
      <c r="H49" s="425" t="str">
        <f>IF(I49&gt;0,(TEXT(I49,"yyyymmdd")&amp;勤務統計!$V$2&amp;A49&amp;勤務統計!$V$2&amp;B49&amp;勤務統計!$S$2),"")</f>
        <v>PMQ1-5364-林口舊街店(定保)</v>
      </c>
      <c r="I49" s="247" t="str">
        <f t="array" ref="I49">IF(AND(SUMPRODUCT((IM!$F$2:$F$5000=A49)*(ISNUMBER(SEARCH(勤務統計!$C$1, IM!$AC$2:$AC$5000))))&gt;0), 勤務統計!$C$1, "")</f>
        <v>PMQ1</v>
      </c>
      <c r="J49" s="399">
        <f t="array" ref="J49">IFERROR(INDEX(IM!$AM$2:$AM$5000, MATCH(1, (IM!$F$2:$F$5000=A49) * (ISNUMBER(SEARCH(勤務統計!$C$1, IM!$AC$2:$AC$5000))), 0)), "")</f>
        <v>46035</v>
      </c>
      <c r="K49" s="400">
        <f t="array" ref="K49">SUMPRODUCT((IM!$F$2:$F$5000=A49)*(IM!$AD$2:$AD$5000="O")*(ISNUMBER(SEARCH(勤務統計!$C$1, IM!$AC$2:$AC$5000))))</f>
        <v>1</v>
      </c>
      <c r="L49" s="401" t="str">
        <f t="array" ref="L49">IF(K49&gt;0,IFERROR(HYPERLINK("#'IM'!AC"&amp;MATCH(1,(IM!$F$1:$F$5000=A49)*(ISNUMBER(SEARCH(勤務統計!$C$1,IM!$AC$1:$AC$5000))),0),"檢核"),"未登錄"),"")</f>
        <v>檢核</v>
      </c>
      <c r="M49" s="402" t="str">
        <f t="shared" si="0"/>
        <v>+L90+721</v>
      </c>
      <c r="N49" s="402" t="str">
        <f t="array" ref="N49">IF(AND(
    SUMPRODUCT(
        (IM!$F$2:$F$522=A49) *
        ISNUMBER(SEARCH("*HUB*", IM!$AC$2:$AC$522)) *
        (IM!$X$2:$X$522&gt;=勤務統計!$A$1) *
        (IM!$X$2:$X$522&lt;=勤務統計!$B$1)*(W49="HUB")
    ) &gt; 0
), "HUB", "")</f>
        <v/>
      </c>
      <c r="O49" s="400" t="str">
        <f>IF(
  IFERROR(VLOOKUP(A49,勤務統計!A:I,9,FALSE),"")&lt;&gt;勤務統計!$C$1,
  "未完工",
  IF(
    AND(勤務統計!$D$1="--",勤務統計!$E$1="--",勤務統計!$F$1="--"),
    "已完工",
    IF(
      OR(
        AND(勤務統計!$D$1&lt;&gt;"--", IFERROR(VLOOKUP(A49,'0919門市清單主檔'!B:AH,31,FALSE),"")=勤務統計!$D$1, IFERROR(VLOOKUP(A49,勤務統計!A:Q,17,FALSE),"")&lt;&gt;勤務統計!$D$1),
        AND(勤務統計!$E$1&lt;&gt;"--", IFERROR(VLOOKUP(A49,'0919門市清單主檔'!B:AH,32,FALSE),"")=勤務統計!$E$1, IFERROR(VLOOKUP(A49,勤務統計!A:S,19,FALSE),"")&lt;&gt;勤務統計!$E$1),
        AND(勤務統計!$F$1&lt;&gt;"--", IFERROR(VLOOKUP(A49,'0919門市清單主檔'!B:AH,33,FALSE),"")=勤務統計!$F$1, IFERROR(VLOOKUP(A49,勤務統計!A:U,21,FALSE),"")&lt;&gt;勤務統計!$F$1),
        AND(IFERROR(VLOOKUP(A49,'0919門市清單主檔'!B:AH,28,FALSE),"")="HUB", IFERROR(VLOOKUP(A49,勤務統計!A:W,23,FALSE),"")&lt;&gt;"HUB")
      ),
      _xlfn.TEXTJOIN(
        "，",
        TRUE,
        IF(AND(勤務統計!$D$1&lt;&gt;"--", IFERROR(VLOOKUP(A49,'0919門市清單主檔'!B:AH,31,FALSE),"")=勤務統計!$D$1, IFERROR(VLOOKUP(A49,勤務統計!A:Q,17,FALSE),"")&lt;&gt;勤務統計!$D$1), 勤務統計!$D$1, ""),
        IF(AND(勤務統計!$E$1&lt;&gt;"--", IFERROR(VLOOKUP(A49,'0919門市清單主檔'!B:AH,32,FALSE),"")=勤務統計!$E$1, IFERROR(VLOOKUP(A49,勤務統計!A:S,19,FALSE),"")&lt;&gt;勤務統計!$E$1), 勤務統計!$E$1, ""),
        IF(AND(勤務統計!$F$1&lt;&gt;"--", IFERROR(VLOOKUP(A49,'0919門市清單主檔'!B:AH,33,FALSE),"")=勤務統計!$F$1, IFERROR(VLOOKUP(A49,勤務統計!A:U,21,FALSE),"")&lt;&gt;勤務統計!$F$1), 勤務統計!$F$1, ""),
        IF(AND(IFERROR(VLOOKUP(A49,'0919門市清單主檔'!B:AH,28,FALSE),"")="HUB", IFERROR(VLOOKUP(A49,勤務統計!A:W,23,FALSE),"")&lt;&gt;"HUB"), "HUB", "")
      ) &amp; "未完工",
      "已完工"
    )
  )
)</f>
        <v>未完工</v>
      </c>
      <c r="P49" s="403" t="str">
        <f>(TEXT(I49,"yyyymmdd"))&amp;勤務統計!$V$2&amp;A49&amp;勤務統計!$V$2&amp;B49&amp;勤務統計!$S$2</f>
        <v>PMQ1-5364-林口舊街店(定保)</v>
      </c>
      <c r="Q49" s="420" t="str">
        <f t="array" ref="Q49">IF(AND(SUMPRODUCT((IM!$F$2:$F$5000=A49)*(ISNUMBER(SEARCH(勤務統計!$D$1, IM!$AC$2:$AC$5000))))&gt;0), 勤務統計!$D$1, "")</f>
        <v/>
      </c>
      <c r="R49" s="421" t="str">
        <f t="array" ref="R49">IFERROR(INDEX(IM!$AM$2:$AM$5000, MATCH(1, (IM!$F$2:$F$5000=A49) * (ISNUMBER(SEARCH(勤務統計!$D$1, IM!$AC$2:$AC$5000))), 0)), "")</f>
        <v/>
      </c>
      <c r="S49" s="406" t="str" cm="1">
        <f t="array" ref="S49">IF(AND(SUMPRODUCT((IM!$F$2:$F$5000=A49)*(ISNUMBER(SEARCH(勤務統計!$E$1, IM!$AC$2:$AC$5000))))&gt;0), 勤務統計!$E$1, "")</f>
        <v>+L90</v>
      </c>
      <c r="T49" s="422">
        <f t="array" ref="T49">IFERROR(INDEX(IM!$AM$2:$AM$5000, MATCH(1, (IM!$F$2:$F$5000=A49) * (ISNUMBER(SEARCH(勤務統計!$E$1, IM!$AC$2:$AC$5000))), 0)), "")</f>
        <v>45958</v>
      </c>
      <c r="U49" s="406" t="str" cm="1">
        <f t="array" ref="U49">IF(AND(SUMPRODUCT((IM!$F$2:$F$5000=A49)*(ISNUMBER(SEARCH(勤務統計!$F$1, IM!$AC$2:$AC$5000))))&gt;0), 勤務統計!$F$1, "")</f>
        <v>+721</v>
      </c>
      <c r="V49" s="413">
        <f t="array" ref="V49">IFERROR(INDEX(IM!$AM$2:$AM$5000, MATCH(1, (IM!$F$2:$F$5000=A49) * (ISNUMBER(SEARCH(勤務統計!$F$1, IM!$AC$2:$AC$5000))), 0)), "")</f>
        <v>46035</v>
      </c>
      <c r="W49" s="414" t="str">
        <f>IF(VLOOKUP(A49,'0919門市清單主檔'!B:AC,28,FALSE)=0,"",VLOOKUP(A49,'0919門市清單主檔'!B:AC,28,FALSE))</f>
        <v/>
      </c>
    </row>
    <row r="50" spans="1:23" ht="21.6" customHeight="1">
      <c r="A50" s="423">
        <v>4609</v>
      </c>
      <c r="B50" s="416" t="str">
        <f>VLOOKUP(A50,'0919門市清單主檔'!B:C,2,FALSE)</f>
        <v>蘆洲洲正店</v>
      </c>
      <c r="C50" s="415" t="str">
        <f>VLOOKUP($A50,'0919門市清單主檔'!B:V,20,FALSE)</f>
        <v>新北市</v>
      </c>
      <c r="D50" s="410" t="str">
        <f>VLOOKUP($A50,'0919門市清單主檔'!B:V,21,FALSE)</f>
        <v>蘆洲區</v>
      </c>
      <c r="E50" s="397" t="str">
        <f>VLOOKUP(D50,門市狀態!G:H,2,FALSE)</f>
        <v>湯家瑋</v>
      </c>
      <c r="F50" s="410" t="str">
        <f>IFERROR(IF(VLOOKUP(A50,門市狀態!A:D,4,FALSE)=0,"",VLOOKUP(A50,門市狀態!A:D,4,FALSE)),"")</f>
        <v/>
      </c>
      <c r="G50" s="424"/>
      <c r="H50" s="425" t="str">
        <f>IF(I50&gt;0,(TEXT(I50,"yyyymmdd")&amp;勤務統計!$V$2&amp;A50&amp;勤務統計!$V$2&amp;B50&amp;勤務統計!$S$2),"")</f>
        <v>PMQ1-4609-蘆洲洲正店(定保)</v>
      </c>
      <c r="I50" s="247" t="str">
        <f t="array" ref="I50">IF(AND(SUMPRODUCT((IM!$F$2:$F$5000=A50)*(ISNUMBER(SEARCH(勤務統計!$C$1, IM!$AC$2:$AC$5000))))&gt;0), 勤務統計!$C$1, "")</f>
        <v>PMQ1</v>
      </c>
      <c r="J50" s="399">
        <f t="array" ref="J50">IFERROR(INDEX(IM!$AM$2:$AM$5000, MATCH(1, (IM!$F$2:$F$5000=A50) * (ISNUMBER(SEARCH(勤務統計!$C$1, IM!$AC$2:$AC$5000))), 0)), "")</f>
        <v>46035</v>
      </c>
      <c r="K50" s="400">
        <f t="array" ref="K50">SUMPRODUCT((IM!$F$2:$F$5000=A50)*(IM!$AD$2:$AD$5000="O")*(ISNUMBER(SEARCH(勤務統計!$C$1, IM!$AC$2:$AC$5000))))</f>
        <v>1</v>
      </c>
      <c r="L50" s="401" t="str">
        <f t="array" ref="L50">IF(K50&gt;0,IFERROR(HYPERLINK("#'IM'!AC"&amp;MATCH(1,(IM!$F$1:$F$5000=A50)*(ISNUMBER(SEARCH(勤務統計!$C$1,IM!$AC$1:$AC$5000))),0),"檢核"),"未登錄"),"")</f>
        <v>檢核</v>
      </c>
      <c r="M50" s="402" t="str">
        <f t="shared" si="0"/>
        <v>+L90+721</v>
      </c>
      <c r="N50" s="402" t="str">
        <f t="array" ref="N50">IF(AND(
    SUMPRODUCT(
        (IM!$F$2:$F$522=A50) *
        ISNUMBER(SEARCH("*HUB*", IM!$AC$2:$AC$522)) *
        (IM!$X$2:$X$522&gt;=勤務統計!$A$1) *
        (IM!$X$2:$X$522&lt;=勤務統計!$B$1)*(W50="HUB")
    ) &gt; 0
), "HUB", "")</f>
        <v/>
      </c>
      <c r="O50" s="400" t="str">
        <f>IF(
  IFERROR(VLOOKUP(A50,勤務統計!A:I,9,FALSE),"")&lt;&gt;勤務統計!$C$1,
  "未完工",
  IF(
    AND(勤務統計!$D$1="--",勤務統計!$E$1="--",勤務統計!$F$1="--"),
    "已完工",
    IF(
      OR(
        AND(勤務統計!$D$1&lt;&gt;"--", IFERROR(VLOOKUP(A50,'0919門市清單主檔'!B:AH,31,FALSE),"")=勤務統計!$D$1, IFERROR(VLOOKUP(A50,勤務統計!A:Q,17,FALSE),"")&lt;&gt;勤務統計!$D$1),
        AND(勤務統計!$E$1&lt;&gt;"--", IFERROR(VLOOKUP(A50,'0919門市清單主檔'!B:AH,32,FALSE),"")=勤務統計!$E$1, IFERROR(VLOOKUP(A50,勤務統計!A:S,19,FALSE),"")&lt;&gt;勤務統計!$E$1),
        AND(勤務統計!$F$1&lt;&gt;"--", IFERROR(VLOOKUP(A50,'0919門市清單主檔'!B:AH,33,FALSE),"")=勤務統計!$F$1, IFERROR(VLOOKUP(A50,勤務統計!A:U,21,FALSE),"")&lt;&gt;勤務統計!$F$1),
        AND(IFERROR(VLOOKUP(A50,'0919門市清單主檔'!B:AH,28,FALSE),"")="HUB", IFERROR(VLOOKUP(A50,勤務統計!A:W,23,FALSE),"")&lt;&gt;"HUB")
      ),
      _xlfn.TEXTJOIN(
        "，",
        TRUE,
        IF(AND(勤務統計!$D$1&lt;&gt;"--", IFERROR(VLOOKUP(A50,'0919門市清單主檔'!B:AH,31,FALSE),"")=勤務統計!$D$1, IFERROR(VLOOKUP(A50,勤務統計!A:Q,17,FALSE),"")&lt;&gt;勤務統計!$D$1), 勤務統計!$D$1, ""),
        IF(AND(勤務統計!$E$1&lt;&gt;"--", IFERROR(VLOOKUP(A50,'0919門市清單主檔'!B:AH,32,FALSE),"")=勤務統計!$E$1, IFERROR(VLOOKUP(A50,勤務統計!A:S,19,FALSE),"")&lt;&gt;勤務統計!$E$1), 勤務統計!$E$1, ""),
        IF(AND(勤務統計!$F$1&lt;&gt;"--", IFERROR(VLOOKUP(A50,'0919門市清單主檔'!B:AH,33,FALSE),"")=勤務統計!$F$1, IFERROR(VLOOKUP(A50,勤務統計!A:U,21,FALSE),"")&lt;&gt;勤務統計!$F$1), 勤務統計!$F$1, ""),
        IF(AND(IFERROR(VLOOKUP(A50,'0919門市清單主檔'!B:AH,28,FALSE),"")="HUB", IFERROR(VLOOKUP(A50,勤務統計!A:W,23,FALSE),"")&lt;&gt;"HUB"), "HUB", "")
      ) &amp; "未完工",
      "已完工"
    )
  )
)</f>
        <v>未完工</v>
      </c>
      <c r="P50" s="403" t="str">
        <f>(TEXT(I50,"yyyymmdd"))&amp;勤務統計!$V$2&amp;A50&amp;勤務統計!$V$2&amp;B50&amp;勤務統計!$S$2</f>
        <v>PMQ1-4609-蘆洲洲正店(定保)</v>
      </c>
      <c r="Q50" s="420" t="str">
        <f t="array" ref="Q50">IF(AND(SUMPRODUCT((IM!$F$2:$F$5000=A50)*(ISNUMBER(SEARCH(勤務統計!$D$1, IM!$AC$2:$AC$5000))))&gt;0), 勤務統計!$D$1, "")</f>
        <v/>
      </c>
      <c r="R50" s="421" t="str">
        <f t="array" ref="R50">IFERROR(INDEX(IM!$AM$2:$AM$5000, MATCH(1, (IM!$F$2:$F$5000=A50) * (ISNUMBER(SEARCH(勤務統計!$D$1, IM!$AC$2:$AC$5000))), 0)), "")</f>
        <v/>
      </c>
      <c r="S50" s="406" t="str" cm="1">
        <f t="array" ref="S50">IF(AND(SUMPRODUCT((IM!$F$2:$F$5000=A50)*(ISNUMBER(SEARCH(勤務統計!$E$1, IM!$AC$2:$AC$5000))))&gt;0), 勤務統計!$E$1, "")</f>
        <v>+L90</v>
      </c>
      <c r="T50" s="422">
        <f t="array" ref="T50">IFERROR(INDEX(IM!$AM$2:$AM$5000, MATCH(1, (IM!$F$2:$F$5000=A50) * (ISNUMBER(SEARCH(勤務統計!$E$1, IM!$AC$2:$AC$5000))), 0)), "")</f>
        <v>45967</v>
      </c>
      <c r="U50" s="406" t="str" cm="1">
        <f t="array" ref="U50">IF(AND(SUMPRODUCT((IM!$F$2:$F$5000=A50)*(ISNUMBER(SEARCH(勤務統計!$F$1, IM!$AC$2:$AC$5000))))&gt;0), 勤務統計!$F$1, "")</f>
        <v>+721</v>
      </c>
      <c r="V50" s="413">
        <f t="array" ref="V50">IFERROR(INDEX(IM!$AM$2:$AM$5000, MATCH(1, (IM!$F$2:$F$5000=A50) * (ISNUMBER(SEARCH(勤務統計!$F$1, IM!$AC$2:$AC$5000))), 0)), "")</f>
        <v>46035</v>
      </c>
      <c r="W50" s="414" t="str">
        <f>IF(VLOOKUP(A50,'0919門市清單主檔'!B:AC,28,FALSE)=0,"",VLOOKUP(A50,'0919門市清單主檔'!B:AC,28,FALSE))</f>
        <v/>
      </c>
    </row>
    <row r="51" spans="1:23" ht="21.6" customHeight="1">
      <c r="A51" s="423">
        <v>4483</v>
      </c>
      <c r="B51" s="416" t="str">
        <f>VLOOKUP(A51,'0919門市清單主檔'!B:C,2,FALSE)</f>
        <v>林口築夢店</v>
      </c>
      <c r="C51" s="415" t="str">
        <f>VLOOKUP($A51,'0919門市清單主檔'!B:V,20,FALSE)</f>
        <v>新北市</v>
      </c>
      <c r="D51" s="410" t="str">
        <f>VLOOKUP($A51,'0919門市清單主檔'!B:V,21,FALSE)</f>
        <v>林口區</v>
      </c>
      <c r="E51" s="397" t="str">
        <f>VLOOKUP(D51,門市狀態!G:H,2,FALSE)</f>
        <v>吳宗鴻</v>
      </c>
      <c r="F51" s="410" t="str">
        <f>IFERROR(IF(VLOOKUP(A51,門市狀態!A:D,4,FALSE)=0,"",VLOOKUP(A51,門市狀態!A:D,4,FALSE)),"")</f>
        <v/>
      </c>
      <c r="G51" s="424"/>
      <c r="H51" s="425" t="str">
        <f>IF(I51&gt;0,(TEXT(I51,"yyyymmdd")&amp;勤務統計!$V$2&amp;A51&amp;勤務統計!$V$2&amp;B51&amp;勤務統計!$S$2),"")</f>
        <v>PMQ1-4483-林口築夢店(定保)</v>
      </c>
      <c r="I51" s="247" t="str">
        <f t="array" ref="I51">IF(AND(SUMPRODUCT((IM!$F$2:$F$5000=A51)*(ISNUMBER(SEARCH(勤務統計!$C$1, IM!$AC$2:$AC$5000))))&gt;0), 勤務統計!$C$1, "")</f>
        <v>PMQ1</v>
      </c>
      <c r="J51" s="399">
        <f t="array" ref="J51">IFERROR(INDEX(IM!$AM$2:$AM$5000, MATCH(1, (IM!$F$2:$F$5000=A51) * (ISNUMBER(SEARCH(勤務統計!$C$1, IM!$AC$2:$AC$5000))), 0)), "")</f>
        <v>46035</v>
      </c>
      <c r="K51" s="400">
        <f t="array" ref="K51">SUMPRODUCT((IM!$F$2:$F$5000=A51)*(IM!$AD$2:$AD$5000="O")*(ISNUMBER(SEARCH(勤務統計!$C$1, IM!$AC$2:$AC$5000))))</f>
        <v>1</v>
      </c>
      <c r="L51" s="401" t="str">
        <f t="array" ref="L51">IF(K51&gt;0,IFERROR(HYPERLINK("#'IM'!AC"&amp;MATCH(1,(IM!$F$1:$F$5000=A51)*(ISNUMBER(SEARCH(勤務統計!$C$1,IM!$AC$1:$AC$5000))),0),"檢核"),"未登錄"),"")</f>
        <v>檢核</v>
      </c>
      <c r="M51" s="402" t="str">
        <f t="shared" si="0"/>
        <v>+L90+721</v>
      </c>
      <c r="N51" s="402" t="str">
        <f t="array" ref="N51">IF(AND(
    SUMPRODUCT(
        (IM!$F$2:$F$522=A51) *
        ISNUMBER(SEARCH("*HUB*", IM!$AC$2:$AC$522)) *
        (IM!$X$2:$X$522&gt;=勤務統計!$A$1) *
        (IM!$X$2:$X$522&lt;=勤務統計!$B$1)*(W51="HUB")
    ) &gt; 0
), "HUB", "")</f>
        <v/>
      </c>
      <c r="O51" s="400" t="str">
        <f>IF(
  IFERROR(VLOOKUP(A51,勤務統計!A:I,9,FALSE),"")&lt;&gt;勤務統計!$C$1,
  "未完工",
  IF(
    AND(勤務統計!$D$1="--",勤務統計!$E$1="--",勤務統計!$F$1="--"),
    "已完工",
    IF(
      OR(
        AND(勤務統計!$D$1&lt;&gt;"--", IFERROR(VLOOKUP(A51,'0919門市清單主檔'!B:AH,31,FALSE),"")=勤務統計!$D$1, IFERROR(VLOOKUP(A51,勤務統計!A:Q,17,FALSE),"")&lt;&gt;勤務統計!$D$1),
        AND(勤務統計!$E$1&lt;&gt;"--", IFERROR(VLOOKUP(A51,'0919門市清單主檔'!B:AH,32,FALSE),"")=勤務統計!$E$1, IFERROR(VLOOKUP(A51,勤務統計!A:S,19,FALSE),"")&lt;&gt;勤務統計!$E$1),
        AND(勤務統計!$F$1&lt;&gt;"--", IFERROR(VLOOKUP(A51,'0919門市清單主檔'!B:AH,33,FALSE),"")=勤務統計!$F$1, IFERROR(VLOOKUP(A51,勤務統計!A:U,21,FALSE),"")&lt;&gt;勤務統計!$F$1),
        AND(IFERROR(VLOOKUP(A51,'0919門市清單主檔'!B:AH,28,FALSE),"")="HUB", IFERROR(VLOOKUP(A51,勤務統計!A:W,23,FALSE),"")&lt;&gt;"HUB")
      ),
      _xlfn.TEXTJOIN(
        "，",
        TRUE,
        IF(AND(勤務統計!$D$1&lt;&gt;"--", IFERROR(VLOOKUP(A51,'0919門市清單主檔'!B:AH,31,FALSE),"")=勤務統計!$D$1, IFERROR(VLOOKUP(A51,勤務統計!A:Q,17,FALSE),"")&lt;&gt;勤務統計!$D$1), 勤務統計!$D$1, ""),
        IF(AND(勤務統計!$E$1&lt;&gt;"--", IFERROR(VLOOKUP(A51,'0919門市清單主檔'!B:AH,32,FALSE),"")=勤務統計!$E$1, IFERROR(VLOOKUP(A51,勤務統計!A:S,19,FALSE),"")&lt;&gt;勤務統計!$E$1), 勤務統計!$E$1, ""),
        IF(AND(勤務統計!$F$1&lt;&gt;"--", IFERROR(VLOOKUP(A51,'0919門市清單主檔'!B:AH,33,FALSE),"")=勤務統計!$F$1, IFERROR(VLOOKUP(A51,勤務統計!A:U,21,FALSE),"")&lt;&gt;勤務統計!$F$1), 勤務統計!$F$1, ""),
        IF(AND(IFERROR(VLOOKUP(A51,'0919門市清單主檔'!B:AH,28,FALSE),"")="HUB", IFERROR(VLOOKUP(A51,勤務統計!A:W,23,FALSE),"")&lt;&gt;"HUB"), "HUB", "")
      ) &amp; "未完工",
      "已完工"
    )
  )
)</f>
        <v>未完工</v>
      </c>
      <c r="P51" s="403" t="str">
        <f>(TEXT(I51,"yyyymmdd"))&amp;勤務統計!$V$2&amp;A51&amp;勤務統計!$V$2&amp;B51&amp;勤務統計!$S$2</f>
        <v>PMQ1-4483-林口築夢店(定保)</v>
      </c>
      <c r="Q51" s="420" t="str">
        <f t="array" ref="Q51">IF(AND(SUMPRODUCT((IM!$F$2:$F$5000=A51)*(ISNUMBER(SEARCH(勤務統計!$D$1, IM!$AC$2:$AC$5000))))&gt;0), 勤務統計!$D$1, "")</f>
        <v/>
      </c>
      <c r="R51" s="421" t="str">
        <f t="array" ref="R51">IFERROR(INDEX(IM!$AM$2:$AM$5000, MATCH(1, (IM!$F$2:$F$5000=A51) * (ISNUMBER(SEARCH(勤務統計!$D$1, IM!$AC$2:$AC$5000))), 0)), "")</f>
        <v/>
      </c>
      <c r="S51" s="406" t="str" cm="1">
        <f t="array" ref="S51">IF(AND(SUMPRODUCT((IM!$F$2:$F$5000=A51)*(ISNUMBER(SEARCH(勤務統計!$E$1, IM!$AC$2:$AC$5000))))&gt;0), 勤務統計!$E$1, "")</f>
        <v>+L90</v>
      </c>
      <c r="T51" s="422">
        <f t="array" ref="T51">IFERROR(INDEX(IM!$AM$2:$AM$5000, MATCH(1, (IM!$F$2:$F$5000=A51) * (ISNUMBER(SEARCH(勤務統計!$E$1, IM!$AC$2:$AC$5000))), 0)), "")</f>
        <v>45974</v>
      </c>
      <c r="U51" s="406" t="str" cm="1">
        <f t="array" ref="U51">IF(AND(SUMPRODUCT((IM!$F$2:$F$5000=A51)*(ISNUMBER(SEARCH(勤務統計!$F$1, IM!$AC$2:$AC$5000))))&gt;0), 勤務統計!$F$1, "")</f>
        <v>+721</v>
      </c>
      <c r="V51" s="413">
        <f t="array" ref="V51">IFERROR(INDEX(IM!$AM$2:$AM$5000, MATCH(1, (IM!$F$2:$F$5000=A51) * (ISNUMBER(SEARCH(勤務統計!$F$1, IM!$AC$2:$AC$5000))), 0)), "")</f>
        <v>46035</v>
      </c>
      <c r="W51" s="414" t="str">
        <f>IF(VLOOKUP(A51,'0919門市清單主檔'!B:AC,28,FALSE)=0,"",VLOOKUP(A51,'0919門市清單主檔'!B:AC,28,FALSE))</f>
        <v/>
      </c>
    </row>
    <row r="52" spans="1:23" ht="21.6" customHeight="1">
      <c r="A52" s="423">
        <v>4514</v>
      </c>
      <c r="B52" s="416" t="str">
        <f>VLOOKUP(A52,'0919門市清單主檔'!B:C,2,FALSE)</f>
        <v>林口老師店</v>
      </c>
      <c r="C52" s="415" t="str">
        <f>VLOOKUP($A52,'0919門市清單主檔'!B:V,20,FALSE)</f>
        <v>新北市</v>
      </c>
      <c r="D52" s="410" t="str">
        <f>VLOOKUP($A52,'0919門市清單主檔'!B:V,21,FALSE)</f>
        <v>林口區</v>
      </c>
      <c r="E52" s="397" t="str">
        <f>VLOOKUP(D52,門市狀態!G:H,2,FALSE)</f>
        <v>吳宗鴻</v>
      </c>
      <c r="F52" s="410" t="str">
        <f>IFERROR(IF(VLOOKUP(A52,門市狀態!A:D,4,FALSE)=0,"",VLOOKUP(A52,門市狀態!A:D,4,FALSE)),"")</f>
        <v/>
      </c>
      <c r="G52" s="424"/>
      <c r="H52" s="425" t="str">
        <f>IF(I52&gt;0,(TEXT(I52,"yyyymmdd")&amp;勤務統計!$V$2&amp;A52&amp;勤務統計!$V$2&amp;B52&amp;勤務統計!$S$2),"")</f>
        <v>PMQ1-4514-林口老師店(定保)</v>
      </c>
      <c r="I52" s="247" t="str">
        <f t="array" ref="I52">IF(AND(SUMPRODUCT((IM!$F$2:$F$5000=A52)*(ISNUMBER(SEARCH(勤務統計!$C$1, IM!$AC$2:$AC$5000))))&gt;0), 勤務統計!$C$1, "")</f>
        <v>PMQ1</v>
      </c>
      <c r="J52" s="399">
        <f t="array" ref="J52">IFERROR(INDEX(IM!$AM$2:$AM$5000, MATCH(1, (IM!$F$2:$F$5000=A52) * (ISNUMBER(SEARCH(勤務統計!$C$1, IM!$AC$2:$AC$5000))), 0)), "")</f>
        <v>46035</v>
      </c>
      <c r="K52" s="400">
        <f t="array" ref="K52">SUMPRODUCT((IM!$F$2:$F$5000=A52)*(IM!$AD$2:$AD$5000="O")*(ISNUMBER(SEARCH(勤務統計!$C$1, IM!$AC$2:$AC$5000))))</f>
        <v>1</v>
      </c>
      <c r="L52" s="401" t="str">
        <f t="array" ref="L52">IF(K52&gt;0,IFERROR(HYPERLINK("#'IM'!AC"&amp;MATCH(1,(IM!$F$1:$F$5000=A52)*(ISNUMBER(SEARCH(勤務統計!$C$1,IM!$AC$1:$AC$5000))),0),"檢核"),"未登錄"),"")</f>
        <v>檢核</v>
      </c>
      <c r="M52" s="402" t="str">
        <f t="shared" si="0"/>
        <v>+L90+721</v>
      </c>
      <c r="N52" s="402" t="str">
        <f t="array" ref="N52">IF(AND(
    SUMPRODUCT(
        (IM!$F$2:$F$522=A52) *
        ISNUMBER(SEARCH("*HUB*", IM!$AC$2:$AC$522)) *
        (IM!$X$2:$X$522&gt;=勤務統計!$A$1) *
        (IM!$X$2:$X$522&lt;=勤務統計!$B$1)*(W52="HUB")
    ) &gt; 0
), "HUB", "")</f>
        <v/>
      </c>
      <c r="O52" s="400" t="str">
        <f>IF(
  IFERROR(VLOOKUP(A52,勤務統計!A:I,9,FALSE),"")&lt;&gt;勤務統計!$C$1,
  "未完工",
  IF(
    AND(勤務統計!$D$1="--",勤務統計!$E$1="--",勤務統計!$F$1="--"),
    "已完工",
    IF(
      OR(
        AND(勤務統計!$D$1&lt;&gt;"--", IFERROR(VLOOKUP(A52,'0919門市清單主檔'!B:AH,31,FALSE),"")=勤務統計!$D$1, IFERROR(VLOOKUP(A52,勤務統計!A:Q,17,FALSE),"")&lt;&gt;勤務統計!$D$1),
        AND(勤務統計!$E$1&lt;&gt;"--", IFERROR(VLOOKUP(A52,'0919門市清單主檔'!B:AH,32,FALSE),"")=勤務統計!$E$1, IFERROR(VLOOKUP(A52,勤務統計!A:S,19,FALSE),"")&lt;&gt;勤務統計!$E$1),
        AND(勤務統計!$F$1&lt;&gt;"--", IFERROR(VLOOKUP(A52,'0919門市清單主檔'!B:AH,33,FALSE),"")=勤務統計!$F$1, IFERROR(VLOOKUP(A52,勤務統計!A:U,21,FALSE),"")&lt;&gt;勤務統計!$F$1),
        AND(IFERROR(VLOOKUP(A52,'0919門市清單主檔'!B:AH,28,FALSE),"")="HUB", IFERROR(VLOOKUP(A52,勤務統計!A:W,23,FALSE),"")&lt;&gt;"HUB")
      ),
      _xlfn.TEXTJOIN(
        "，",
        TRUE,
        IF(AND(勤務統計!$D$1&lt;&gt;"--", IFERROR(VLOOKUP(A52,'0919門市清單主檔'!B:AH,31,FALSE),"")=勤務統計!$D$1, IFERROR(VLOOKUP(A52,勤務統計!A:Q,17,FALSE),"")&lt;&gt;勤務統計!$D$1), 勤務統計!$D$1, ""),
        IF(AND(勤務統計!$E$1&lt;&gt;"--", IFERROR(VLOOKUP(A52,'0919門市清單主檔'!B:AH,32,FALSE),"")=勤務統計!$E$1, IFERROR(VLOOKUP(A52,勤務統計!A:S,19,FALSE),"")&lt;&gt;勤務統計!$E$1), 勤務統計!$E$1, ""),
        IF(AND(勤務統計!$F$1&lt;&gt;"--", IFERROR(VLOOKUP(A52,'0919門市清單主檔'!B:AH,33,FALSE),"")=勤務統計!$F$1, IFERROR(VLOOKUP(A52,勤務統計!A:U,21,FALSE),"")&lt;&gt;勤務統計!$F$1), 勤務統計!$F$1, ""),
        IF(AND(IFERROR(VLOOKUP(A52,'0919門市清單主檔'!B:AH,28,FALSE),"")="HUB", IFERROR(VLOOKUP(A52,勤務統計!A:W,23,FALSE),"")&lt;&gt;"HUB"), "HUB", "")
      ) &amp; "未完工",
      "已完工"
    )
  )
)</f>
        <v>未完工</v>
      </c>
      <c r="P52" s="403" t="str">
        <f>(TEXT(I52,"yyyymmdd"))&amp;勤務統計!$V$2&amp;A52&amp;勤務統計!$V$2&amp;B52&amp;勤務統計!$S$2</f>
        <v>PMQ1-4514-林口老師店(定保)</v>
      </c>
      <c r="Q52" s="420" t="str">
        <f t="array" ref="Q52">IF(AND(SUMPRODUCT((IM!$F$2:$F$5000=A52)*(ISNUMBER(SEARCH(勤務統計!$D$1, IM!$AC$2:$AC$5000))))&gt;0), 勤務統計!$D$1, "")</f>
        <v/>
      </c>
      <c r="R52" s="421" t="str">
        <f t="array" ref="R52">IFERROR(INDEX(IM!$AM$2:$AM$5000, MATCH(1, (IM!$F$2:$F$5000=A52) * (ISNUMBER(SEARCH(勤務統計!$D$1, IM!$AC$2:$AC$5000))), 0)), "")</f>
        <v/>
      </c>
      <c r="S52" s="406" t="str" cm="1">
        <f t="array" ref="S52">IF(AND(SUMPRODUCT((IM!$F$2:$F$5000=A52)*(ISNUMBER(SEARCH(勤務統計!$E$1, IM!$AC$2:$AC$5000))))&gt;0), 勤務統計!$E$1, "")</f>
        <v>+L90</v>
      </c>
      <c r="T52" s="422">
        <f t="array" ref="T52">IFERROR(INDEX(IM!$AM$2:$AM$5000, MATCH(1, (IM!$F$2:$F$5000=A52) * (ISNUMBER(SEARCH(勤務統計!$E$1, IM!$AC$2:$AC$5000))), 0)), "")</f>
        <v>45974</v>
      </c>
      <c r="U52" s="406" t="str" cm="1">
        <f t="array" ref="U52">IF(AND(SUMPRODUCT((IM!$F$2:$F$5000=A52)*(ISNUMBER(SEARCH(勤務統計!$F$1, IM!$AC$2:$AC$5000))))&gt;0), 勤務統計!$F$1, "")</f>
        <v>+721</v>
      </c>
      <c r="V52" s="413">
        <f t="array" ref="V52">IFERROR(INDEX(IM!$AM$2:$AM$5000, MATCH(1, (IM!$F$2:$F$5000=A52) * (ISNUMBER(SEARCH(勤務統計!$F$1, IM!$AC$2:$AC$5000))), 0)), "")</f>
        <v>46035</v>
      </c>
      <c r="W52" s="414" t="str">
        <f>IF(VLOOKUP(A52,'0919門市清單主檔'!B:AC,28,FALSE)=0,"",VLOOKUP(A52,'0919門市清單主檔'!B:AC,28,FALSE))</f>
        <v/>
      </c>
    </row>
    <row r="53" spans="1:23" ht="21.6" customHeight="1">
      <c r="A53" s="423">
        <v>4282</v>
      </c>
      <c r="B53" s="416" t="str">
        <f>VLOOKUP(A53,'0919門市清單主檔'!B:C,2,FALSE)</f>
        <v>林口建林店</v>
      </c>
      <c r="C53" s="415" t="str">
        <f>VLOOKUP($A53,'0919門市清單主檔'!B:V,20,FALSE)</f>
        <v>新北市</v>
      </c>
      <c r="D53" s="410" t="str">
        <f>VLOOKUP($A53,'0919門市清單主檔'!B:V,21,FALSE)</f>
        <v>林口區</v>
      </c>
      <c r="E53" s="397" t="str">
        <f>VLOOKUP(D53,門市狀態!G:H,2,FALSE)</f>
        <v>吳宗鴻</v>
      </c>
      <c r="F53" s="410" t="str">
        <f>IFERROR(IF(VLOOKUP(A53,門市狀態!A:D,4,FALSE)=0,"",VLOOKUP(A53,門市狀態!A:D,4,FALSE)),"")</f>
        <v/>
      </c>
      <c r="G53" s="424"/>
      <c r="H53" s="425" t="str">
        <f>IF(I53&gt;0,(TEXT(I53,"yyyymmdd")&amp;勤務統計!$V$2&amp;A53&amp;勤務統計!$V$2&amp;B53&amp;勤務統計!$S$2),"")</f>
        <v>PMQ1-4282-林口建林店(定保)</v>
      </c>
      <c r="I53" s="247" t="str">
        <f t="array" ref="I53">IF(AND(SUMPRODUCT((IM!$F$2:$F$5000=A53)*(ISNUMBER(SEARCH(勤務統計!$C$1, IM!$AC$2:$AC$5000))))&gt;0), 勤務統計!$C$1, "")</f>
        <v>PMQ1</v>
      </c>
      <c r="J53" s="399">
        <f t="array" ref="J53">IFERROR(INDEX(IM!$AM$2:$AM$5000, MATCH(1, (IM!$F$2:$F$5000=A53) * (ISNUMBER(SEARCH(勤務統計!$C$1, IM!$AC$2:$AC$5000))), 0)), "")</f>
        <v>46036</v>
      </c>
      <c r="K53" s="400">
        <f t="array" ref="K53">SUMPRODUCT((IM!$F$2:$F$5000=A53)*(IM!$AD$2:$AD$5000="O")*(ISNUMBER(SEARCH(勤務統計!$C$1, IM!$AC$2:$AC$5000))))</f>
        <v>1</v>
      </c>
      <c r="L53" s="401" t="str">
        <f t="array" ref="L53">IF(K53&gt;0,IFERROR(HYPERLINK("#'IM'!AC"&amp;MATCH(1,(IM!$F$1:$F$5000=A53)*(ISNUMBER(SEARCH(勤務統計!$C$1,IM!$AC$1:$AC$5000))),0),"檢核"),"未登錄"),"")</f>
        <v>檢核</v>
      </c>
      <c r="M53" s="402" t="str">
        <f t="shared" si="0"/>
        <v>+L90+721</v>
      </c>
      <c r="N53" s="402" t="str">
        <f t="array" ref="N53">IF(AND(
    SUMPRODUCT(
        (IM!$F$2:$F$522=A53) *
        ISNUMBER(SEARCH("*HUB*", IM!$AC$2:$AC$522)) *
        (IM!$X$2:$X$522&gt;=勤務統計!$A$1) *
        (IM!$X$2:$X$522&lt;=勤務統計!$B$1)*(W53="HUB")
    ) &gt; 0
), "HUB", "")</f>
        <v/>
      </c>
      <c r="O53" s="400" t="str">
        <f>IF(
  IFERROR(VLOOKUP(A53,勤務統計!A:I,9,FALSE),"")&lt;&gt;勤務統計!$C$1,
  "未完工",
  IF(
    AND(勤務統計!$D$1="--",勤務統計!$E$1="--",勤務統計!$F$1="--"),
    "已完工",
    IF(
      OR(
        AND(勤務統計!$D$1&lt;&gt;"--", IFERROR(VLOOKUP(A53,'0919門市清單主檔'!B:AH,31,FALSE),"")=勤務統計!$D$1, IFERROR(VLOOKUP(A53,勤務統計!A:Q,17,FALSE),"")&lt;&gt;勤務統計!$D$1),
        AND(勤務統計!$E$1&lt;&gt;"--", IFERROR(VLOOKUP(A53,'0919門市清單主檔'!B:AH,32,FALSE),"")=勤務統計!$E$1, IFERROR(VLOOKUP(A53,勤務統計!A:S,19,FALSE),"")&lt;&gt;勤務統計!$E$1),
        AND(勤務統計!$F$1&lt;&gt;"--", IFERROR(VLOOKUP(A53,'0919門市清單主檔'!B:AH,33,FALSE),"")=勤務統計!$F$1, IFERROR(VLOOKUP(A53,勤務統計!A:U,21,FALSE),"")&lt;&gt;勤務統計!$F$1),
        AND(IFERROR(VLOOKUP(A53,'0919門市清單主檔'!B:AH,28,FALSE),"")="HUB", IFERROR(VLOOKUP(A53,勤務統計!A:W,23,FALSE),"")&lt;&gt;"HUB")
      ),
      _xlfn.TEXTJOIN(
        "，",
        TRUE,
        IF(AND(勤務統計!$D$1&lt;&gt;"--", IFERROR(VLOOKUP(A53,'0919門市清單主檔'!B:AH,31,FALSE),"")=勤務統計!$D$1, IFERROR(VLOOKUP(A53,勤務統計!A:Q,17,FALSE),"")&lt;&gt;勤務統計!$D$1), 勤務統計!$D$1, ""),
        IF(AND(勤務統計!$E$1&lt;&gt;"--", IFERROR(VLOOKUP(A53,'0919門市清單主檔'!B:AH,32,FALSE),"")=勤務統計!$E$1, IFERROR(VLOOKUP(A53,勤務統計!A:S,19,FALSE),"")&lt;&gt;勤務統計!$E$1), 勤務統計!$E$1, ""),
        IF(AND(勤務統計!$F$1&lt;&gt;"--", IFERROR(VLOOKUP(A53,'0919門市清單主檔'!B:AH,33,FALSE),"")=勤務統計!$F$1, IFERROR(VLOOKUP(A53,勤務統計!A:U,21,FALSE),"")&lt;&gt;勤務統計!$F$1), 勤務統計!$F$1, ""),
        IF(AND(IFERROR(VLOOKUP(A53,'0919門市清單主檔'!B:AH,28,FALSE),"")="HUB", IFERROR(VLOOKUP(A53,勤務統計!A:W,23,FALSE),"")&lt;&gt;"HUB"), "HUB", "")
      ) &amp; "未完工",
      "已完工"
    )
  )
)</f>
        <v>未完工</v>
      </c>
      <c r="P53" s="403" t="str">
        <f>(TEXT(I53,"yyyymmdd"))&amp;勤務統計!$V$2&amp;A53&amp;勤務統計!$V$2&amp;B53&amp;勤務統計!$S$2</f>
        <v>PMQ1-4282-林口建林店(定保)</v>
      </c>
      <c r="Q53" s="420" t="str">
        <f t="array" ref="Q53">IF(AND(SUMPRODUCT((IM!$F$2:$F$5000=A53)*(ISNUMBER(SEARCH(勤務統計!$D$1, IM!$AC$2:$AC$5000))))&gt;0), 勤務統計!$D$1, "")</f>
        <v/>
      </c>
      <c r="R53" s="421" t="str">
        <f t="array" ref="R53">IFERROR(INDEX(IM!$AM$2:$AM$5000, MATCH(1, (IM!$F$2:$F$5000=A53) * (ISNUMBER(SEARCH(勤務統計!$D$1, IM!$AC$2:$AC$5000))), 0)), "")</f>
        <v/>
      </c>
      <c r="S53" s="406" t="str" cm="1">
        <f t="array" ref="S53">IF(AND(SUMPRODUCT((IM!$F$2:$F$5000=A53)*(ISNUMBER(SEARCH(勤務統計!$E$1, IM!$AC$2:$AC$5000))))&gt;0), 勤務統計!$E$1, "")</f>
        <v>+L90</v>
      </c>
      <c r="T53" s="422">
        <f t="array" ref="T53">IFERROR(INDEX(IM!$AM$2:$AM$5000, MATCH(1, (IM!$F$2:$F$5000=A53) * (ISNUMBER(SEARCH(勤務統計!$E$1, IM!$AC$2:$AC$5000))), 0)), "")</f>
        <v>45961</v>
      </c>
      <c r="U53" s="406" t="str" cm="1">
        <f t="array" ref="U53">IF(AND(SUMPRODUCT((IM!$F$2:$F$5000=A53)*(ISNUMBER(SEARCH(勤務統計!$F$1, IM!$AC$2:$AC$5000))))&gt;0), 勤務統計!$F$1, "")</f>
        <v>+721</v>
      </c>
      <c r="V53" s="413">
        <f t="array" ref="V53">IFERROR(INDEX(IM!$AM$2:$AM$5000, MATCH(1, (IM!$F$2:$F$5000=A53) * (ISNUMBER(SEARCH(勤務統計!$F$1, IM!$AC$2:$AC$5000))), 0)), "")</f>
        <v>46036</v>
      </c>
      <c r="W53" s="414" t="str">
        <f>IF(VLOOKUP(A53,'0919門市清單主檔'!B:AC,28,FALSE)=0,"",VLOOKUP(A53,'0919門市清單主檔'!B:AC,28,FALSE))</f>
        <v/>
      </c>
    </row>
    <row r="54" spans="1:23" ht="21.6" customHeight="1">
      <c r="A54" s="423">
        <v>4312</v>
      </c>
      <c r="B54" s="416" t="str">
        <f>VLOOKUP(A54,'0919門市清單主檔'!B:C,2,FALSE)</f>
        <v>三重文化北</v>
      </c>
      <c r="C54" s="415" t="str">
        <f>VLOOKUP($A54,'0919門市清單主檔'!B:V,20,FALSE)</f>
        <v>新北市</v>
      </c>
      <c r="D54" s="410" t="str">
        <f>VLOOKUP($A54,'0919門市清單主檔'!B:V,21,FALSE)</f>
        <v>三重區</v>
      </c>
      <c r="E54" s="397" t="str">
        <f>VLOOKUP(D54,門市狀態!G:H,2,FALSE)</f>
        <v>劉柏均</v>
      </c>
      <c r="F54" s="410" t="str">
        <f>IFERROR(IF(VLOOKUP(A54,門市狀態!A:D,4,FALSE)=0,"",VLOOKUP(A54,門市狀態!A:D,4,FALSE)),"")</f>
        <v/>
      </c>
      <c r="G54" s="424"/>
      <c r="H54" s="425" t="str">
        <f>IF(I54&gt;0,(TEXT(I54,"yyyymmdd")&amp;勤務統計!$V$2&amp;A54&amp;勤務統計!$V$2&amp;B54&amp;勤務統計!$S$2),"")</f>
        <v>PMQ1-4312-三重文化北(定保)</v>
      </c>
      <c r="I54" s="247" t="str">
        <f t="array" ref="I54">IF(AND(SUMPRODUCT((IM!$F$2:$F$5000=A54)*(ISNUMBER(SEARCH(勤務統計!$C$1, IM!$AC$2:$AC$5000))))&gt;0), 勤務統計!$C$1, "")</f>
        <v>PMQ1</v>
      </c>
      <c r="J54" s="399">
        <f t="array" ref="J54">IFERROR(INDEX(IM!$AM$2:$AM$5000, MATCH(1, (IM!$F$2:$F$5000=A54) * (ISNUMBER(SEARCH(勤務統計!$C$1, IM!$AC$2:$AC$5000))), 0)), "")</f>
        <v>46036</v>
      </c>
      <c r="K54" s="400">
        <f t="array" ref="K54">SUMPRODUCT((IM!$F$2:$F$5000=A54)*(IM!$AD$2:$AD$5000="O")*(ISNUMBER(SEARCH(勤務統計!$C$1, IM!$AC$2:$AC$5000))))</f>
        <v>1</v>
      </c>
      <c r="L54" s="401" t="str">
        <f t="array" ref="L54">IF(K54&gt;0,IFERROR(HYPERLINK("#'IM'!AC"&amp;MATCH(1,(IM!$F$1:$F$5000=A54)*(ISNUMBER(SEARCH(勤務統計!$C$1,IM!$AC$1:$AC$5000))),0),"檢核"),"未登錄"),"")</f>
        <v>檢核</v>
      </c>
      <c r="M54" s="402" t="str">
        <f t="shared" si="0"/>
        <v>+L90+721</v>
      </c>
      <c r="N54" s="402" t="str">
        <f t="array" ref="N54">IF(AND(
    SUMPRODUCT(
        (IM!$F$2:$F$522=A54) *
        ISNUMBER(SEARCH("*HUB*", IM!$AC$2:$AC$522)) *
        (IM!$X$2:$X$522&gt;=勤務統計!$A$1) *
        (IM!$X$2:$X$522&lt;=勤務統計!$B$1)*(W54="HUB")
    ) &gt; 0
), "HUB", "")</f>
        <v/>
      </c>
      <c r="O54" s="400" t="str">
        <f>IF(
  IFERROR(VLOOKUP(A54,勤務統計!A:I,9,FALSE),"")&lt;&gt;勤務統計!$C$1,
  "未完工",
  IF(
    AND(勤務統計!$D$1="--",勤務統計!$E$1="--",勤務統計!$F$1="--"),
    "已完工",
    IF(
      OR(
        AND(勤務統計!$D$1&lt;&gt;"--", IFERROR(VLOOKUP(A54,'0919門市清單主檔'!B:AH,31,FALSE),"")=勤務統計!$D$1, IFERROR(VLOOKUP(A54,勤務統計!A:Q,17,FALSE),"")&lt;&gt;勤務統計!$D$1),
        AND(勤務統計!$E$1&lt;&gt;"--", IFERROR(VLOOKUP(A54,'0919門市清單主檔'!B:AH,32,FALSE),"")=勤務統計!$E$1, IFERROR(VLOOKUP(A54,勤務統計!A:S,19,FALSE),"")&lt;&gt;勤務統計!$E$1),
        AND(勤務統計!$F$1&lt;&gt;"--", IFERROR(VLOOKUP(A54,'0919門市清單主檔'!B:AH,33,FALSE),"")=勤務統計!$F$1, IFERROR(VLOOKUP(A54,勤務統計!A:U,21,FALSE),"")&lt;&gt;勤務統計!$F$1),
        AND(IFERROR(VLOOKUP(A54,'0919門市清單主檔'!B:AH,28,FALSE),"")="HUB", IFERROR(VLOOKUP(A54,勤務統計!A:W,23,FALSE),"")&lt;&gt;"HUB")
      ),
      _xlfn.TEXTJOIN(
        "，",
        TRUE,
        IF(AND(勤務統計!$D$1&lt;&gt;"--", IFERROR(VLOOKUP(A54,'0919門市清單主檔'!B:AH,31,FALSE),"")=勤務統計!$D$1, IFERROR(VLOOKUP(A54,勤務統計!A:Q,17,FALSE),"")&lt;&gt;勤務統計!$D$1), 勤務統計!$D$1, ""),
        IF(AND(勤務統計!$E$1&lt;&gt;"--", IFERROR(VLOOKUP(A54,'0919門市清單主檔'!B:AH,32,FALSE),"")=勤務統計!$E$1, IFERROR(VLOOKUP(A54,勤務統計!A:S,19,FALSE),"")&lt;&gt;勤務統計!$E$1), 勤務統計!$E$1, ""),
        IF(AND(勤務統計!$F$1&lt;&gt;"--", IFERROR(VLOOKUP(A54,'0919門市清單主檔'!B:AH,33,FALSE),"")=勤務統計!$F$1, IFERROR(VLOOKUP(A54,勤務統計!A:U,21,FALSE),"")&lt;&gt;勤務統計!$F$1), 勤務統計!$F$1, ""),
        IF(AND(IFERROR(VLOOKUP(A54,'0919門市清單主檔'!B:AH,28,FALSE),"")="HUB", IFERROR(VLOOKUP(A54,勤務統計!A:W,23,FALSE),"")&lt;&gt;"HUB"), "HUB", "")
      ) &amp; "未完工",
      "已完工"
    )
  )
)</f>
        <v>未完工</v>
      </c>
      <c r="P54" s="403" t="str">
        <f>(TEXT(I54,"yyyymmdd"))&amp;勤務統計!$V$2&amp;A54&amp;勤務統計!$V$2&amp;B54&amp;勤務統計!$S$2</f>
        <v>PMQ1-4312-三重文化北(定保)</v>
      </c>
      <c r="Q54" s="420" t="str">
        <f t="array" ref="Q54">IF(AND(SUMPRODUCT((IM!$F$2:$F$5000=A54)*(ISNUMBER(SEARCH(勤務統計!$D$1, IM!$AC$2:$AC$5000))))&gt;0), 勤務統計!$D$1, "")</f>
        <v/>
      </c>
      <c r="R54" s="421" t="str">
        <f t="array" ref="R54">IFERROR(INDEX(IM!$AM$2:$AM$5000, MATCH(1, (IM!$F$2:$F$5000=A54) * (ISNUMBER(SEARCH(勤務統計!$D$1, IM!$AC$2:$AC$5000))), 0)), "")</f>
        <v/>
      </c>
      <c r="S54" s="406" t="str" cm="1">
        <f t="array" ref="S54">IF(AND(SUMPRODUCT((IM!$F$2:$F$5000=A54)*(ISNUMBER(SEARCH(勤務統計!$E$1, IM!$AC$2:$AC$5000))))&gt;0), 勤務統計!$E$1, "")</f>
        <v>+L90</v>
      </c>
      <c r="T54" s="422">
        <f t="array" ref="T54">IFERROR(INDEX(IM!$AM$2:$AM$5000, MATCH(1, (IM!$F$2:$F$5000=A54) * (ISNUMBER(SEARCH(勤務統計!$E$1, IM!$AC$2:$AC$5000))), 0)), "")</f>
        <v>45974</v>
      </c>
      <c r="U54" s="406" t="str" cm="1">
        <f t="array" ref="U54">IF(AND(SUMPRODUCT((IM!$F$2:$F$5000=A54)*(ISNUMBER(SEARCH(勤務統計!$F$1, IM!$AC$2:$AC$5000))))&gt;0), 勤務統計!$F$1, "")</f>
        <v>+721</v>
      </c>
      <c r="V54" s="413">
        <f t="array" ref="V54">IFERROR(INDEX(IM!$AM$2:$AM$5000, MATCH(1, (IM!$F$2:$F$5000=A54) * (ISNUMBER(SEARCH(勤務統計!$F$1, IM!$AC$2:$AC$5000))), 0)), "")</f>
        <v>46036</v>
      </c>
      <c r="W54" s="414" t="str">
        <f>IF(VLOOKUP(A54,'0919門市清單主檔'!B:AC,28,FALSE)=0,"",VLOOKUP(A54,'0919門市清單主檔'!B:AC,28,FALSE))</f>
        <v/>
      </c>
    </row>
    <row r="55" spans="1:23" ht="21.6" customHeight="1">
      <c r="A55" s="423">
        <v>3358</v>
      </c>
      <c r="B55" s="416" t="str">
        <f>VLOOKUP(A55,'0919門市清單主檔'!B:C,2,FALSE)</f>
        <v>新莊棒球場</v>
      </c>
      <c r="C55" s="415" t="str">
        <f>VLOOKUP($A55,'0919門市清單主檔'!B:V,20,FALSE)</f>
        <v>新北市</v>
      </c>
      <c r="D55" s="410" t="str">
        <f>VLOOKUP($A55,'0919門市清單主檔'!B:V,21,FALSE)</f>
        <v>新莊區</v>
      </c>
      <c r="E55" s="397" t="str">
        <f>VLOOKUP(D55,門市狀態!G:H,2,FALSE)</f>
        <v>湯家瑋</v>
      </c>
      <c r="F55" s="410" t="str">
        <f>IFERROR(IF(VLOOKUP(A55,門市狀態!A:D,4,FALSE)=0,"",VLOOKUP(A55,門市狀態!A:D,4,FALSE)),"")</f>
        <v/>
      </c>
      <c r="G55" s="424"/>
      <c r="H55" s="425" t="str">
        <f>IF(I55&gt;0,(TEXT(I55,"yyyymmdd")&amp;勤務統計!$V$2&amp;A55&amp;勤務統計!$V$2&amp;B55&amp;勤務統計!$S$2),"")</f>
        <v>PMQ1-3358-新莊棒球場(定保)</v>
      </c>
      <c r="I55" s="247" t="str">
        <f t="array" ref="I55">IF(AND(SUMPRODUCT((IM!$F$2:$F$5000=A55)*(ISNUMBER(SEARCH(勤務統計!$C$1, IM!$AC$2:$AC$5000))))&gt;0), 勤務統計!$C$1, "")</f>
        <v>PMQ1</v>
      </c>
      <c r="J55" s="399">
        <f t="array" ref="J55">IFERROR(INDEX(IM!$AM$2:$AM$5000, MATCH(1, (IM!$F$2:$F$5000=A55) * (ISNUMBER(SEARCH(勤務統計!$C$1, IM!$AC$2:$AC$5000))), 0)), "")</f>
        <v>46036</v>
      </c>
      <c r="K55" s="400">
        <f t="array" ref="K55">SUMPRODUCT((IM!$F$2:$F$5000=A55)*(IM!$AD$2:$AD$5000="O")*(ISNUMBER(SEARCH(勤務統計!$C$1, IM!$AC$2:$AC$5000))))</f>
        <v>1</v>
      </c>
      <c r="L55" s="401" t="str">
        <f t="array" ref="L55">IF(K55&gt;0,IFERROR(HYPERLINK("#'IM'!AC"&amp;MATCH(1,(IM!$F$1:$F$5000=A55)*(ISNUMBER(SEARCH(勤務統計!$C$1,IM!$AC$1:$AC$5000))),0),"檢核"),"未登錄"),"")</f>
        <v>檢核</v>
      </c>
      <c r="M55" s="402" t="str">
        <f t="shared" si="0"/>
        <v>+L90+721</v>
      </c>
      <c r="N55" s="402" t="str">
        <f t="array" ref="N55">IF(AND(
    SUMPRODUCT(
        (IM!$F$2:$F$522=A55) *
        ISNUMBER(SEARCH("*HUB*", IM!$AC$2:$AC$522)) *
        (IM!$X$2:$X$522&gt;=勤務統計!$A$1) *
        (IM!$X$2:$X$522&lt;=勤務統計!$B$1)*(W55="HUB")
    ) &gt; 0
), "HUB", "")</f>
        <v/>
      </c>
      <c r="O55" s="400" t="str">
        <f>IF(
  IFERROR(VLOOKUP(A55,勤務統計!A:I,9,FALSE),"")&lt;&gt;勤務統計!$C$1,
  "未完工",
  IF(
    AND(勤務統計!$D$1="--",勤務統計!$E$1="--",勤務統計!$F$1="--"),
    "已完工",
    IF(
      OR(
        AND(勤務統計!$D$1&lt;&gt;"--", IFERROR(VLOOKUP(A55,'0919門市清單主檔'!B:AH,31,FALSE),"")=勤務統計!$D$1, IFERROR(VLOOKUP(A55,勤務統計!A:Q,17,FALSE),"")&lt;&gt;勤務統計!$D$1),
        AND(勤務統計!$E$1&lt;&gt;"--", IFERROR(VLOOKUP(A55,'0919門市清單主檔'!B:AH,32,FALSE),"")=勤務統計!$E$1, IFERROR(VLOOKUP(A55,勤務統計!A:S,19,FALSE),"")&lt;&gt;勤務統計!$E$1),
        AND(勤務統計!$F$1&lt;&gt;"--", IFERROR(VLOOKUP(A55,'0919門市清單主檔'!B:AH,33,FALSE),"")=勤務統計!$F$1, IFERROR(VLOOKUP(A55,勤務統計!A:U,21,FALSE),"")&lt;&gt;勤務統計!$F$1),
        AND(IFERROR(VLOOKUP(A55,'0919門市清單主檔'!B:AH,28,FALSE),"")="HUB", IFERROR(VLOOKUP(A55,勤務統計!A:W,23,FALSE),"")&lt;&gt;"HUB")
      ),
      _xlfn.TEXTJOIN(
        "，",
        TRUE,
        IF(AND(勤務統計!$D$1&lt;&gt;"--", IFERROR(VLOOKUP(A55,'0919門市清單主檔'!B:AH,31,FALSE),"")=勤務統計!$D$1, IFERROR(VLOOKUP(A55,勤務統計!A:Q,17,FALSE),"")&lt;&gt;勤務統計!$D$1), 勤務統計!$D$1, ""),
        IF(AND(勤務統計!$E$1&lt;&gt;"--", IFERROR(VLOOKUP(A55,'0919門市清單主檔'!B:AH,32,FALSE),"")=勤務統計!$E$1, IFERROR(VLOOKUP(A55,勤務統計!A:S,19,FALSE),"")&lt;&gt;勤務統計!$E$1), 勤務統計!$E$1, ""),
        IF(AND(勤務統計!$F$1&lt;&gt;"--", IFERROR(VLOOKUP(A55,'0919門市清單主檔'!B:AH,33,FALSE),"")=勤務統計!$F$1, IFERROR(VLOOKUP(A55,勤務統計!A:U,21,FALSE),"")&lt;&gt;勤務統計!$F$1), 勤務統計!$F$1, ""),
        IF(AND(IFERROR(VLOOKUP(A55,'0919門市清單主檔'!B:AH,28,FALSE),"")="HUB", IFERROR(VLOOKUP(A55,勤務統計!A:W,23,FALSE),"")&lt;&gt;"HUB"), "HUB", "")
      ) &amp; "未完工",
      "已完工"
    )
  )
)</f>
        <v>未完工</v>
      </c>
      <c r="P55" s="403" t="str">
        <f>(TEXT(I55,"yyyymmdd"))&amp;勤務統計!$V$2&amp;A55&amp;勤務統計!$V$2&amp;B55&amp;勤務統計!$S$2</f>
        <v>PMQ1-3358-新莊棒球場(定保)</v>
      </c>
      <c r="Q55" s="420" t="str">
        <f t="array" ref="Q55">IF(AND(SUMPRODUCT((IM!$F$2:$F$5000=A55)*(ISNUMBER(SEARCH(勤務統計!$D$1, IM!$AC$2:$AC$5000))))&gt;0), 勤務統計!$D$1, "")</f>
        <v/>
      </c>
      <c r="R55" s="421" t="str">
        <f t="array" ref="R55">IFERROR(INDEX(IM!$AM$2:$AM$5000, MATCH(1, (IM!$F$2:$F$5000=A55) * (ISNUMBER(SEARCH(勤務統計!$D$1, IM!$AC$2:$AC$5000))), 0)), "")</f>
        <v/>
      </c>
      <c r="S55" s="406" t="str" cm="1">
        <f t="array" ref="S55">IF(AND(SUMPRODUCT((IM!$F$2:$F$5000=A55)*(ISNUMBER(SEARCH(勤務統計!$E$1, IM!$AC$2:$AC$5000))))&gt;0), 勤務統計!$E$1, "")</f>
        <v>+L90</v>
      </c>
      <c r="T55" s="422">
        <f t="array" ref="T55">IFERROR(INDEX(IM!$AM$2:$AM$5000, MATCH(1, (IM!$F$2:$F$5000=A55) * (ISNUMBER(SEARCH(勤務統計!$E$1, IM!$AC$2:$AC$5000))), 0)), "")</f>
        <v>45978</v>
      </c>
      <c r="U55" s="406" t="str" cm="1">
        <f t="array" ref="U55">IF(AND(SUMPRODUCT((IM!$F$2:$F$5000=A55)*(ISNUMBER(SEARCH(勤務統計!$F$1, IM!$AC$2:$AC$5000))))&gt;0), 勤務統計!$F$1, "")</f>
        <v>+721</v>
      </c>
      <c r="V55" s="413">
        <f t="array" ref="V55">IFERROR(INDEX(IM!$AM$2:$AM$5000, MATCH(1, (IM!$F$2:$F$5000=A55) * (ISNUMBER(SEARCH(勤務統計!$F$1, IM!$AC$2:$AC$5000))), 0)), "")</f>
        <v>46036</v>
      </c>
      <c r="W55" s="414" t="str">
        <f>IF(VLOOKUP(A55,'0919門市清單主檔'!B:AC,28,FALSE)=0,"",VLOOKUP(A55,'0919門市清單主檔'!B:AC,28,FALSE))</f>
        <v/>
      </c>
    </row>
    <row r="56" spans="1:23" ht="21.6" customHeight="1">
      <c r="A56" s="423">
        <v>5457</v>
      </c>
      <c r="B56" s="416" t="str">
        <f>VLOOKUP(A56,'0919門市清單主檔'!B:C,2,FALSE)</f>
        <v>三重鑫五華</v>
      </c>
      <c r="C56" s="415" t="str">
        <f>VLOOKUP($A56,'0919門市清單主檔'!B:V,20,FALSE)</f>
        <v>新北市</v>
      </c>
      <c r="D56" s="410" t="str">
        <f>VLOOKUP($A56,'0919門市清單主檔'!B:V,21,FALSE)</f>
        <v>三重區</v>
      </c>
      <c r="E56" s="397" t="str">
        <f>VLOOKUP(D56,門市狀態!G:H,2,FALSE)</f>
        <v>劉柏均</v>
      </c>
      <c r="F56" s="410" t="str">
        <f>IFERROR(IF(VLOOKUP(A56,門市狀態!A:D,4,FALSE)=0,"",VLOOKUP(A56,門市狀態!A:D,4,FALSE)),"")</f>
        <v/>
      </c>
      <c r="G56" s="424"/>
      <c r="H56" s="425" t="str">
        <f>IF(I56&gt;0,(TEXT(I56,"yyyymmdd")&amp;勤務統計!$V$2&amp;A56&amp;勤務統計!$V$2&amp;B56&amp;勤務統計!$S$2),"")</f>
        <v>PMQ1-5457-三重鑫五華(定保)</v>
      </c>
      <c r="I56" s="247" t="str">
        <f t="array" ref="I56">IF(AND(SUMPRODUCT((IM!$F$2:$F$5000=A56)*(ISNUMBER(SEARCH(勤務統計!$C$1, IM!$AC$2:$AC$5000))))&gt;0), 勤務統計!$C$1, "")</f>
        <v>PMQ1</v>
      </c>
      <c r="J56" s="399">
        <f t="array" ref="J56">IFERROR(INDEX(IM!$AM$2:$AM$5000, MATCH(1, (IM!$F$2:$F$5000=A56) * (ISNUMBER(SEARCH(勤務統計!$C$1, IM!$AC$2:$AC$5000))), 0)), "")</f>
        <v>46036</v>
      </c>
      <c r="K56" s="400">
        <f t="array" ref="K56">SUMPRODUCT((IM!$F$2:$F$5000=A56)*(IM!$AD$2:$AD$5000="O")*(ISNUMBER(SEARCH(勤務統計!$C$1, IM!$AC$2:$AC$5000))))</f>
        <v>1</v>
      </c>
      <c r="L56" s="401" t="str">
        <f t="array" ref="L56">IF(K56&gt;0,IFERROR(HYPERLINK("#'IM'!AC"&amp;MATCH(1,(IM!$F$1:$F$5000=A56)*(ISNUMBER(SEARCH(勤務統計!$C$1,IM!$AC$1:$AC$5000))),0),"檢核"),"未登錄"),"")</f>
        <v>檢核</v>
      </c>
      <c r="M56" s="402" t="str">
        <f t="shared" si="0"/>
        <v/>
      </c>
      <c r="N56" s="402" t="str">
        <f t="array" ref="N56">IF(AND(
    SUMPRODUCT(
        (IM!$F$2:$F$522=A56) *
        ISNUMBER(SEARCH("*HUB*", IM!$AC$2:$AC$522)) *
        (IM!$X$2:$X$522&gt;=勤務統計!$A$1) *
        (IM!$X$2:$X$522&lt;=勤務統計!$B$1)*(W56="HUB")
    ) &gt; 0
), "HUB", "")</f>
        <v/>
      </c>
      <c r="O56" s="400" t="str">
        <f>IF(
  IFERROR(VLOOKUP(A56,勤務統計!A:I,9,FALSE),"")&lt;&gt;勤務統計!$C$1,
  "未完工",
  IF(
    AND(勤務統計!$D$1="--",勤務統計!$E$1="--",勤務統計!$F$1="--"),
    "已完工",
    IF(
      OR(
        AND(勤務統計!$D$1&lt;&gt;"--", IFERROR(VLOOKUP(A56,'0919門市清單主檔'!B:AH,31,FALSE),"")=勤務統計!$D$1, IFERROR(VLOOKUP(A56,勤務統計!A:Q,17,FALSE),"")&lt;&gt;勤務統計!$D$1),
        AND(勤務統計!$E$1&lt;&gt;"--", IFERROR(VLOOKUP(A56,'0919門市清單主檔'!B:AH,32,FALSE),"")=勤務統計!$E$1, IFERROR(VLOOKUP(A56,勤務統計!A:S,19,FALSE),"")&lt;&gt;勤務統計!$E$1),
        AND(勤務統計!$F$1&lt;&gt;"--", IFERROR(VLOOKUP(A56,'0919門市清單主檔'!B:AH,33,FALSE),"")=勤務統計!$F$1, IFERROR(VLOOKUP(A56,勤務統計!A:U,21,FALSE),"")&lt;&gt;勤務統計!$F$1),
        AND(IFERROR(VLOOKUP(A56,'0919門市清單主檔'!B:AH,28,FALSE),"")="HUB", IFERROR(VLOOKUP(A56,勤務統計!A:W,23,FALSE),"")&lt;&gt;"HUB")
      ),
      _xlfn.TEXTJOIN(
        "，",
        TRUE,
        IF(AND(勤務統計!$D$1&lt;&gt;"--", IFERROR(VLOOKUP(A56,'0919門市清單主檔'!B:AH,31,FALSE),"")=勤務統計!$D$1, IFERROR(VLOOKUP(A56,勤務統計!A:Q,17,FALSE),"")&lt;&gt;勤務統計!$D$1), 勤務統計!$D$1, ""),
        IF(AND(勤務統計!$E$1&lt;&gt;"--", IFERROR(VLOOKUP(A56,'0919門市清單主檔'!B:AH,32,FALSE),"")=勤務統計!$E$1, IFERROR(VLOOKUP(A56,勤務統計!A:S,19,FALSE),"")&lt;&gt;勤務統計!$E$1), 勤務統計!$E$1, ""),
        IF(AND(勤務統計!$F$1&lt;&gt;"--", IFERROR(VLOOKUP(A56,'0919門市清單主檔'!B:AH,33,FALSE),"")=勤務統計!$F$1, IFERROR(VLOOKUP(A56,勤務統計!A:U,21,FALSE),"")&lt;&gt;勤務統計!$F$1), 勤務統計!$F$1, ""),
        IF(AND(IFERROR(VLOOKUP(A56,'0919門市清單主檔'!B:AH,28,FALSE),"")="HUB", IFERROR(VLOOKUP(A56,勤務統計!A:W,23,FALSE),"")&lt;&gt;"HUB"), "HUB", "")
      ) &amp; "未完工",
      "已完工"
    )
  )
)</f>
        <v>未完工</v>
      </c>
      <c r="P56" s="403" t="str">
        <f>(TEXT(I56,"yyyymmdd"))&amp;勤務統計!$V$2&amp;A56&amp;勤務統計!$V$2&amp;B56&amp;勤務統計!$S$2</f>
        <v>PMQ1-5457-三重鑫五華(定保)</v>
      </c>
      <c r="Q56" s="420" t="str">
        <f t="array" ref="Q56">IF(AND(SUMPRODUCT((IM!$F$2:$F$5000=A56)*(ISNUMBER(SEARCH(勤務統計!$D$1, IM!$AC$2:$AC$5000))))&gt;0), 勤務統計!$D$1, "")</f>
        <v/>
      </c>
      <c r="R56" s="421" t="str">
        <f t="array" ref="R56">IFERROR(INDEX(IM!$AM$2:$AM$5000, MATCH(1, (IM!$F$2:$F$5000=A56) * (ISNUMBER(SEARCH(勤務統計!$D$1, IM!$AC$2:$AC$5000))), 0)), "")</f>
        <v/>
      </c>
      <c r="S56" s="406" t="str" cm="1">
        <f t="array" ref="S56">IF(AND(SUMPRODUCT((IM!$F$2:$F$5000=A56)*(ISNUMBER(SEARCH(勤務統計!$E$1, IM!$AC$2:$AC$5000))))&gt;0), 勤務統計!$E$1, "")</f>
        <v/>
      </c>
      <c r="T56" s="422" t="str">
        <f t="array" ref="T56">IFERROR(INDEX(IM!$AM$2:$AM$5000, MATCH(1, (IM!$F$2:$F$5000=A56) * (ISNUMBER(SEARCH(勤務統計!$E$1, IM!$AC$2:$AC$5000))), 0)), "")</f>
        <v/>
      </c>
      <c r="U56" s="406" t="str" cm="1">
        <f t="array" ref="U56">IF(AND(SUMPRODUCT((IM!$F$2:$F$5000=A56)*(ISNUMBER(SEARCH(勤務統計!$F$1, IM!$AC$2:$AC$5000))))&gt;0), 勤務統計!$F$1, "")</f>
        <v/>
      </c>
      <c r="V56" s="413" t="str">
        <f t="array" ref="V56">IFERROR(INDEX(IM!$AM$2:$AM$5000, MATCH(1, (IM!$F$2:$F$5000=A56) * (ISNUMBER(SEARCH(勤務統計!$F$1, IM!$AC$2:$AC$5000))), 0)), "")</f>
        <v/>
      </c>
      <c r="W56" s="414" t="str">
        <f>IF(VLOOKUP(A56,'0919門市清單主檔'!B:AC,28,FALSE)=0,"",VLOOKUP(A56,'0919門市清單主檔'!B:AC,28,FALSE))</f>
        <v/>
      </c>
    </row>
    <row r="57" spans="1:23" ht="21.6" customHeight="1">
      <c r="A57" s="423">
        <v>2303</v>
      </c>
      <c r="B57" s="416" t="str">
        <f>VLOOKUP(A57,'0919門市清單主檔'!B:C,2,FALSE)</f>
        <v>三重三和夜市</v>
      </c>
      <c r="C57" s="415" t="str">
        <f>VLOOKUP($A57,'0919門市清單主檔'!B:V,20,FALSE)</f>
        <v>新北市</v>
      </c>
      <c r="D57" s="410" t="str">
        <f>VLOOKUP($A57,'0919門市清單主檔'!B:V,21,FALSE)</f>
        <v>三重區</v>
      </c>
      <c r="E57" s="397" t="str">
        <f>VLOOKUP(D57,門市狀態!G:H,2,FALSE)</f>
        <v>劉柏均</v>
      </c>
      <c r="F57" s="410" t="str">
        <f>IFERROR(IF(VLOOKUP(A57,門市狀態!A:D,4,FALSE)=0,"",VLOOKUP(A57,門市狀態!A:D,4,FALSE)),"")</f>
        <v/>
      </c>
      <c r="G57" s="424"/>
      <c r="H57" s="425" t="str">
        <f>IF(I57&gt;0,(TEXT(I57,"yyyymmdd")&amp;勤務統計!$V$2&amp;A57&amp;勤務統計!$V$2&amp;B57&amp;勤務統計!$S$2),"")</f>
        <v>PMQ1-2303-三重三和夜市(定保)</v>
      </c>
      <c r="I57" s="247" t="str">
        <f t="array" ref="I57">IF(AND(SUMPRODUCT((IM!$F$2:$F$5000=A57)*(ISNUMBER(SEARCH(勤務統計!$C$1, IM!$AC$2:$AC$5000))))&gt;0), 勤務統計!$C$1, "")</f>
        <v>PMQ1</v>
      </c>
      <c r="J57" s="399">
        <f t="array" ref="J57">IFERROR(INDEX(IM!$AM$2:$AM$5000, MATCH(1, (IM!$F$2:$F$5000=A57) * (ISNUMBER(SEARCH(勤務統計!$C$1, IM!$AC$2:$AC$5000))), 0)), "")</f>
        <v>46038</v>
      </c>
      <c r="K57" s="400">
        <f t="array" ref="K57">SUMPRODUCT((IM!$F$2:$F$5000=A57)*(IM!$AD$2:$AD$5000="O")*(ISNUMBER(SEARCH(勤務統計!$C$1, IM!$AC$2:$AC$5000))))</f>
        <v>1</v>
      </c>
      <c r="L57" s="401" t="str">
        <f t="array" ref="L57">IF(K57&gt;0,IFERROR(HYPERLINK("#'IM'!AC"&amp;MATCH(1,(IM!$F$1:$F$5000=A57)*(ISNUMBER(SEARCH(勤務統計!$C$1,IM!$AC$1:$AC$5000))),0),"檢核"),"未登錄"),"")</f>
        <v>檢核</v>
      </c>
      <c r="M57" s="402" t="str">
        <f t="shared" si="0"/>
        <v>+L90+721</v>
      </c>
      <c r="N57" s="402" t="str">
        <f t="array" ref="N57">IF(AND(
    SUMPRODUCT(
        (IM!$F$2:$F$522=A57) *
        ISNUMBER(SEARCH("*HUB*", IM!$AC$2:$AC$522)) *
        (IM!$X$2:$X$522&gt;=勤務統計!$A$1) *
        (IM!$X$2:$X$522&lt;=勤務統計!$B$1)*(W57="HUB")
    ) &gt; 0
), "HUB", "")</f>
        <v/>
      </c>
      <c r="O57" s="400" t="str">
        <f>IF(
  IFERROR(VLOOKUP(A57,勤務統計!A:I,9,FALSE),"")&lt;&gt;勤務統計!$C$1,
  "未完工",
  IF(
    AND(勤務統計!$D$1="--",勤務統計!$E$1="--",勤務統計!$F$1="--"),
    "已完工",
    IF(
      OR(
        AND(勤務統計!$D$1&lt;&gt;"--", IFERROR(VLOOKUP(A57,'0919門市清單主檔'!B:AH,31,FALSE),"")=勤務統計!$D$1, IFERROR(VLOOKUP(A57,勤務統計!A:Q,17,FALSE),"")&lt;&gt;勤務統計!$D$1),
        AND(勤務統計!$E$1&lt;&gt;"--", IFERROR(VLOOKUP(A57,'0919門市清單主檔'!B:AH,32,FALSE),"")=勤務統計!$E$1, IFERROR(VLOOKUP(A57,勤務統計!A:S,19,FALSE),"")&lt;&gt;勤務統計!$E$1),
        AND(勤務統計!$F$1&lt;&gt;"--", IFERROR(VLOOKUP(A57,'0919門市清單主檔'!B:AH,33,FALSE),"")=勤務統計!$F$1, IFERROR(VLOOKUP(A57,勤務統計!A:U,21,FALSE),"")&lt;&gt;勤務統計!$F$1),
        AND(IFERROR(VLOOKUP(A57,'0919門市清單主檔'!B:AH,28,FALSE),"")="HUB", IFERROR(VLOOKUP(A57,勤務統計!A:W,23,FALSE),"")&lt;&gt;"HUB")
      ),
      _xlfn.TEXTJOIN(
        "，",
        TRUE,
        IF(AND(勤務統計!$D$1&lt;&gt;"--", IFERROR(VLOOKUP(A57,'0919門市清單主檔'!B:AH,31,FALSE),"")=勤務統計!$D$1, IFERROR(VLOOKUP(A57,勤務統計!A:Q,17,FALSE),"")&lt;&gt;勤務統計!$D$1), 勤務統計!$D$1, ""),
        IF(AND(勤務統計!$E$1&lt;&gt;"--", IFERROR(VLOOKUP(A57,'0919門市清單主檔'!B:AH,32,FALSE),"")=勤務統計!$E$1, IFERROR(VLOOKUP(A57,勤務統計!A:S,19,FALSE),"")&lt;&gt;勤務統計!$E$1), 勤務統計!$E$1, ""),
        IF(AND(勤務統計!$F$1&lt;&gt;"--", IFERROR(VLOOKUP(A57,'0919門市清單主檔'!B:AH,33,FALSE),"")=勤務統計!$F$1, IFERROR(VLOOKUP(A57,勤務統計!A:U,21,FALSE),"")&lt;&gt;勤務統計!$F$1), 勤務統計!$F$1, ""),
        IF(AND(IFERROR(VLOOKUP(A57,'0919門市清單主檔'!B:AH,28,FALSE),"")="HUB", IFERROR(VLOOKUP(A57,勤務統計!A:W,23,FALSE),"")&lt;&gt;"HUB"), "HUB", "")
      ) &amp; "未完工",
      "已完工"
    )
  )
)</f>
        <v>未完工</v>
      </c>
      <c r="P57" s="403" t="str">
        <f>(TEXT(I57,"yyyymmdd"))&amp;勤務統計!$V$2&amp;A57&amp;勤務統計!$V$2&amp;B57&amp;勤務統計!$S$2</f>
        <v>PMQ1-2303-三重三和夜市(定保)</v>
      </c>
      <c r="Q57" s="420" t="str">
        <f t="array" ref="Q57">IF(AND(SUMPRODUCT((IM!$F$2:$F$5000=A57)*(ISNUMBER(SEARCH(勤務統計!$D$1, IM!$AC$2:$AC$5000))))&gt;0), 勤務統計!$D$1, "")</f>
        <v/>
      </c>
      <c r="R57" s="421" t="str">
        <f t="array" ref="R57">IFERROR(INDEX(IM!$AM$2:$AM$5000, MATCH(1, (IM!$F$2:$F$5000=A57) * (ISNUMBER(SEARCH(勤務統計!$D$1, IM!$AC$2:$AC$5000))), 0)), "")</f>
        <v/>
      </c>
      <c r="S57" s="406" t="str" cm="1">
        <f t="array" ref="S57">IF(AND(SUMPRODUCT((IM!$F$2:$F$5000=A57)*(ISNUMBER(SEARCH(勤務統計!$E$1, IM!$AC$2:$AC$5000))))&gt;0), 勤務統計!$E$1, "")</f>
        <v>+L90</v>
      </c>
      <c r="T57" s="422">
        <f t="array" ref="T57">IFERROR(INDEX(IM!$AM$2:$AM$5000, MATCH(1, (IM!$F$2:$F$5000=A57) * (ISNUMBER(SEARCH(勤務統計!$E$1, IM!$AC$2:$AC$5000))), 0)), "")</f>
        <v>45958</v>
      </c>
      <c r="U57" s="406" t="str" cm="1">
        <f t="array" ref="U57">IF(AND(SUMPRODUCT((IM!$F$2:$F$5000=A57)*(ISNUMBER(SEARCH(勤務統計!$F$1, IM!$AC$2:$AC$5000))))&gt;0), 勤務統計!$F$1, "")</f>
        <v>+721</v>
      </c>
      <c r="V57" s="413">
        <f t="array" ref="V57">IFERROR(INDEX(IM!$AM$2:$AM$5000, MATCH(1, (IM!$F$2:$F$5000=A57) * (ISNUMBER(SEARCH(勤務統計!$F$1, IM!$AC$2:$AC$5000))), 0)), "")</f>
        <v>46038</v>
      </c>
      <c r="W57" s="414" t="str">
        <f>IF(VLOOKUP(A57,'0919門市清單主檔'!B:AC,28,FALSE)=0,"",VLOOKUP(A57,'0919門市清單主檔'!B:AC,28,FALSE))</f>
        <v/>
      </c>
    </row>
    <row r="58" spans="1:23" ht="21.6" customHeight="1">
      <c r="A58" s="423">
        <v>5080</v>
      </c>
      <c r="B58" s="416" t="str">
        <f>VLOOKUP(A58,'0919門市清單主檔'!B:C,2,FALSE)</f>
        <v>三芝楓愛林</v>
      </c>
      <c r="C58" s="415" t="str">
        <f>VLOOKUP($A58,'0919門市清單主檔'!B:V,20,FALSE)</f>
        <v>新北市</v>
      </c>
      <c r="D58" s="410" t="str">
        <f>VLOOKUP($A58,'0919門市清單主檔'!B:V,21,FALSE)</f>
        <v>三芝區</v>
      </c>
      <c r="E58" s="397" t="str">
        <f>VLOOKUP(D58,門市狀態!G:H,2,FALSE)</f>
        <v>吳宗鴻</v>
      </c>
      <c r="F58" s="410" t="str">
        <f>IFERROR(IF(VLOOKUP(A58,門市狀態!A:D,4,FALSE)=0,"",VLOOKUP(A58,門市狀態!A:D,4,FALSE)),"")</f>
        <v/>
      </c>
      <c r="G58" s="424"/>
      <c r="H58" s="425" t="str">
        <f>IF(I58&gt;0,(TEXT(I58,"yyyymmdd")&amp;勤務統計!$V$2&amp;A58&amp;勤務統計!$V$2&amp;B58&amp;勤務統計!$S$2),"")</f>
        <v>PMQ1-5080-三芝楓愛林(定保)</v>
      </c>
      <c r="I58" s="247" t="str">
        <f t="array" ref="I58">IF(AND(SUMPRODUCT((IM!$F$2:$F$5000=A58)*(ISNUMBER(SEARCH(勤務統計!$C$1, IM!$AC$2:$AC$5000))))&gt;0), 勤務統計!$C$1, "")</f>
        <v>PMQ1</v>
      </c>
      <c r="J58" s="399">
        <f t="array" ref="J58">IFERROR(INDEX(IM!$AM$2:$AM$5000, MATCH(1, (IM!$F$2:$F$5000=A58) * (ISNUMBER(SEARCH(勤務統計!$C$1, IM!$AC$2:$AC$5000))), 0)), "")</f>
        <v>46041</v>
      </c>
      <c r="K58" s="400">
        <f t="array" ref="K58">SUMPRODUCT((IM!$F$2:$F$5000=A58)*(IM!$AD$2:$AD$5000="O")*(ISNUMBER(SEARCH(勤務統計!$C$1, IM!$AC$2:$AC$5000))))</f>
        <v>1</v>
      </c>
      <c r="L58" s="401" t="str">
        <f t="array" ref="L58">IF(K58&gt;0,IFERROR(HYPERLINK("#'IM'!AC"&amp;MATCH(1,(IM!$F$1:$F$5000=A58)*(ISNUMBER(SEARCH(勤務統計!$C$1,IM!$AC$1:$AC$5000))),0),"檢核"),"未登錄"),"")</f>
        <v>檢核</v>
      </c>
      <c r="M58" s="402" t="str">
        <f t="shared" si="0"/>
        <v>+L90+721</v>
      </c>
      <c r="N58" s="402" t="str">
        <f t="array" ref="N58">IF(AND(
    SUMPRODUCT(
        (IM!$F$2:$F$522=A58) *
        ISNUMBER(SEARCH("*HUB*", IM!$AC$2:$AC$522)) *
        (IM!$X$2:$X$522&gt;=勤務統計!$A$1) *
        (IM!$X$2:$X$522&lt;=勤務統計!$B$1)*(W58="HUB")
    ) &gt; 0
), "HUB", "")</f>
        <v/>
      </c>
      <c r="O58" s="400" t="str">
        <f>IF(
  IFERROR(VLOOKUP(A58,勤務統計!A:I,9,FALSE),"")&lt;&gt;勤務統計!$C$1,
  "未完工",
  IF(
    AND(勤務統計!$D$1="--",勤務統計!$E$1="--",勤務統計!$F$1="--"),
    "已完工",
    IF(
      OR(
        AND(勤務統計!$D$1&lt;&gt;"--", IFERROR(VLOOKUP(A58,'0919門市清單主檔'!B:AH,31,FALSE),"")=勤務統計!$D$1, IFERROR(VLOOKUP(A58,勤務統計!A:Q,17,FALSE),"")&lt;&gt;勤務統計!$D$1),
        AND(勤務統計!$E$1&lt;&gt;"--", IFERROR(VLOOKUP(A58,'0919門市清單主檔'!B:AH,32,FALSE),"")=勤務統計!$E$1, IFERROR(VLOOKUP(A58,勤務統計!A:S,19,FALSE),"")&lt;&gt;勤務統計!$E$1),
        AND(勤務統計!$F$1&lt;&gt;"--", IFERROR(VLOOKUP(A58,'0919門市清單主檔'!B:AH,33,FALSE),"")=勤務統計!$F$1, IFERROR(VLOOKUP(A58,勤務統計!A:U,21,FALSE),"")&lt;&gt;勤務統計!$F$1),
        AND(IFERROR(VLOOKUP(A58,'0919門市清單主檔'!B:AH,28,FALSE),"")="HUB", IFERROR(VLOOKUP(A58,勤務統計!A:W,23,FALSE),"")&lt;&gt;"HUB")
      ),
      _xlfn.TEXTJOIN(
        "，",
        TRUE,
        IF(AND(勤務統計!$D$1&lt;&gt;"--", IFERROR(VLOOKUP(A58,'0919門市清單主檔'!B:AH,31,FALSE),"")=勤務統計!$D$1, IFERROR(VLOOKUP(A58,勤務統計!A:Q,17,FALSE),"")&lt;&gt;勤務統計!$D$1), 勤務統計!$D$1, ""),
        IF(AND(勤務統計!$E$1&lt;&gt;"--", IFERROR(VLOOKUP(A58,'0919門市清單主檔'!B:AH,32,FALSE),"")=勤務統計!$E$1, IFERROR(VLOOKUP(A58,勤務統計!A:S,19,FALSE),"")&lt;&gt;勤務統計!$E$1), 勤務統計!$E$1, ""),
        IF(AND(勤務統計!$F$1&lt;&gt;"--", IFERROR(VLOOKUP(A58,'0919門市清單主檔'!B:AH,33,FALSE),"")=勤務統計!$F$1, IFERROR(VLOOKUP(A58,勤務統計!A:U,21,FALSE),"")&lt;&gt;勤務統計!$F$1), 勤務統計!$F$1, ""),
        IF(AND(IFERROR(VLOOKUP(A58,'0919門市清單主檔'!B:AH,28,FALSE),"")="HUB", IFERROR(VLOOKUP(A58,勤務統計!A:W,23,FALSE),"")&lt;&gt;"HUB"), "HUB", "")
      ) &amp; "未完工",
      "已完工"
    )
  )
)</f>
        <v>未完工</v>
      </c>
      <c r="P58" s="403" t="str">
        <f>(TEXT(I58,"yyyymmdd"))&amp;勤務統計!$V$2&amp;A58&amp;勤務統計!$V$2&amp;B58&amp;勤務統計!$S$2</f>
        <v>PMQ1-5080-三芝楓愛林(定保)</v>
      </c>
      <c r="Q58" s="420" t="str">
        <f t="array" ref="Q58">IF(AND(SUMPRODUCT((IM!$F$2:$F$5000=A58)*(ISNUMBER(SEARCH(勤務統計!$D$1, IM!$AC$2:$AC$5000))))&gt;0), 勤務統計!$D$1, "")</f>
        <v/>
      </c>
      <c r="R58" s="421" t="str">
        <f t="array" ref="R58">IFERROR(INDEX(IM!$AM$2:$AM$5000, MATCH(1, (IM!$F$2:$F$5000=A58) * (ISNUMBER(SEARCH(勤務統計!$D$1, IM!$AC$2:$AC$5000))), 0)), "")</f>
        <v/>
      </c>
      <c r="S58" s="406" t="str" cm="1">
        <f t="array" ref="S58">IF(AND(SUMPRODUCT((IM!$F$2:$F$5000=A58)*(ISNUMBER(SEARCH(勤務統計!$E$1, IM!$AC$2:$AC$5000))))&gt;0), 勤務統計!$E$1, "")</f>
        <v>+L90</v>
      </c>
      <c r="T58" s="422">
        <f t="array" ref="T58">IFERROR(INDEX(IM!$AM$2:$AM$5000, MATCH(1, (IM!$F$2:$F$5000=A58) * (ISNUMBER(SEARCH(勤務統計!$E$1, IM!$AC$2:$AC$5000))), 0)), "")</f>
        <v>45975</v>
      </c>
      <c r="U58" s="406" t="str" cm="1">
        <f t="array" ref="U58">IF(AND(SUMPRODUCT((IM!$F$2:$F$5000=A58)*(ISNUMBER(SEARCH(勤務統計!$F$1, IM!$AC$2:$AC$5000))))&gt;0), 勤務統計!$F$1, "")</f>
        <v>+721</v>
      </c>
      <c r="V58" s="413">
        <f t="array" ref="V58">IFERROR(INDEX(IM!$AM$2:$AM$5000, MATCH(1, (IM!$F$2:$F$5000=A58) * (ISNUMBER(SEARCH(勤務統計!$F$1, IM!$AC$2:$AC$5000))), 0)), "")</f>
        <v>46041</v>
      </c>
      <c r="W58" s="414" t="str">
        <f>IF(VLOOKUP(A58,'0919門市清單主檔'!B:AC,28,FALSE)=0,"",VLOOKUP(A58,'0919門市清單主檔'!B:AC,28,FALSE))</f>
        <v/>
      </c>
    </row>
    <row r="59" spans="1:23" ht="21.6" customHeight="1">
      <c r="A59" s="423">
        <v>2237</v>
      </c>
      <c r="B59" s="416" t="str">
        <f>VLOOKUP(A59,'0919門市清單主檔'!B:C,2,FALSE)</f>
        <v>三芝芝蘭店</v>
      </c>
      <c r="C59" s="415" t="str">
        <f>VLOOKUP($A59,'0919門市清單主檔'!B:V,20,FALSE)</f>
        <v>新北市</v>
      </c>
      <c r="D59" s="410" t="str">
        <f>VLOOKUP($A59,'0919門市清單主檔'!B:V,21,FALSE)</f>
        <v>三芝區</v>
      </c>
      <c r="E59" s="397" t="str">
        <f>VLOOKUP(D59,門市狀態!G:H,2,FALSE)</f>
        <v>吳宗鴻</v>
      </c>
      <c r="F59" s="410" t="str">
        <f>IFERROR(IF(VLOOKUP(A59,門市狀態!A:D,4,FALSE)=0,"",VLOOKUP(A59,門市狀態!A:D,4,FALSE)),"")</f>
        <v>撤店</v>
      </c>
      <c r="G59" s="424"/>
      <c r="H59" s="425" t="str">
        <f>IF(I59&gt;0,(TEXT(I59,"yyyymmdd")&amp;勤務統計!$V$2&amp;A59&amp;勤務統計!$V$2&amp;B59&amp;勤務統計!$S$2),"")</f>
        <v>PMQ1-2237-三芝芝蘭店(定保)</v>
      </c>
      <c r="I59" s="247" t="str">
        <f t="array" ref="I59">IF(AND(SUMPRODUCT((IM!$F$2:$F$5000=A59)*(ISNUMBER(SEARCH(勤務統計!$C$1, IM!$AC$2:$AC$5000))))&gt;0), 勤務統計!$C$1, "")</f>
        <v>PMQ1</v>
      </c>
      <c r="J59" s="399">
        <f t="array" ref="J59">IFERROR(INDEX(IM!$AM$2:$AM$5000, MATCH(1, (IM!$F$2:$F$5000=A59) * (ISNUMBER(SEARCH(勤務統計!$C$1, IM!$AC$2:$AC$5000))), 0)), "")</f>
        <v>46041</v>
      </c>
      <c r="K59" s="400">
        <f t="array" ref="K59">SUMPRODUCT((IM!$F$2:$F$5000=A59)*(IM!$AD$2:$AD$5000="O")*(ISNUMBER(SEARCH(勤務統計!$C$1, IM!$AC$2:$AC$5000))))</f>
        <v>1</v>
      </c>
      <c r="L59" s="401" t="str">
        <f t="array" ref="L59">IF(K59&gt;0,IFERROR(HYPERLINK("#'IM'!AC"&amp;MATCH(1,(IM!$F$1:$F$5000=A59)*(ISNUMBER(SEARCH(勤務統計!$C$1,IM!$AC$1:$AC$5000))),0),"檢核"),"未登錄"),"")</f>
        <v>檢核</v>
      </c>
      <c r="M59" s="402" t="str">
        <f t="shared" si="0"/>
        <v>+L90+721</v>
      </c>
      <c r="N59" s="402" t="str">
        <f t="array" ref="N59">IF(AND(
    SUMPRODUCT(
        (IM!$F$2:$F$522=A59) *
        ISNUMBER(SEARCH("*HUB*", IM!$AC$2:$AC$522)) *
        (IM!$X$2:$X$522&gt;=勤務統計!$A$1) *
        (IM!$X$2:$X$522&lt;=勤務統計!$B$1)*(W59="HUB")
    ) &gt; 0
), "HUB", "")</f>
        <v/>
      </c>
      <c r="O59" s="400" t="str">
        <f>IF(
  IFERROR(VLOOKUP(A59,勤務統計!A:I,9,FALSE),"")&lt;&gt;勤務統計!$C$1,
  "未完工",
  IF(
    AND(勤務統計!$D$1="--",勤務統計!$E$1="--",勤務統計!$F$1="--"),
    "已完工",
    IF(
      OR(
        AND(勤務統計!$D$1&lt;&gt;"--", IFERROR(VLOOKUP(A59,'0919門市清單主檔'!B:AH,31,FALSE),"")=勤務統計!$D$1, IFERROR(VLOOKUP(A59,勤務統計!A:Q,17,FALSE),"")&lt;&gt;勤務統計!$D$1),
        AND(勤務統計!$E$1&lt;&gt;"--", IFERROR(VLOOKUP(A59,'0919門市清單主檔'!B:AH,32,FALSE),"")=勤務統計!$E$1, IFERROR(VLOOKUP(A59,勤務統計!A:S,19,FALSE),"")&lt;&gt;勤務統計!$E$1),
        AND(勤務統計!$F$1&lt;&gt;"--", IFERROR(VLOOKUP(A59,'0919門市清單主檔'!B:AH,33,FALSE),"")=勤務統計!$F$1, IFERROR(VLOOKUP(A59,勤務統計!A:U,21,FALSE),"")&lt;&gt;勤務統計!$F$1),
        AND(IFERROR(VLOOKUP(A59,'0919門市清單主檔'!B:AH,28,FALSE),"")="HUB", IFERROR(VLOOKUP(A59,勤務統計!A:W,23,FALSE),"")&lt;&gt;"HUB")
      ),
      _xlfn.TEXTJOIN(
        "，",
        TRUE,
        IF(AND(勤務統計!$D$1&lt;&gt;"--", IFERROR(VLOOKUP(A59,'0919門市清單主檔'!B:AH,31,FALSE),"")=勤務統計!$D$1, IFERROR(VLOOKUP(A59,勤務統計!A:Q,17,FALSE),"")&lt;&gt;勤務統計!$D$1), 勤務統計!$D$1, ""),
        IF(AND(勤務統計!$E$1&lt;&gt;"--", IFERROR(VLOOKUP(A59,'0919門市清單主檔'!B:AH,32,FALSE),"")=勤務統計!$E$1, IFERROR(VLOOKUP(A59,勤務統計!A:S,19,FALSE),"")&lt;&gt;勤務統計!$E$1), 勤務統計!$E$1, ""),
        IF(AND(勤務統計!$F$1&lt;&gt;"--", IFERROR(VLOOKUP(A59,'0919門市清單主檔'!B:AH,33,FALSE),"")=勤務統計!$F$1, IFERROR(VLOOKUP(A59,勤務統計!A:U,21,FALSE),"")&lt;&gt;勤務統計!$F$1), 勤務統計!$F$1, ""),
        IF(AND(IFERROR(VLOOKUP(A59,'0919門市清單主檔'!B:AH,28,FALSE),"")="HUB", IFERROR(VLOOKUP(A59,勤務統計!A:W,23,FALSE),"")&lt;&gt;"HUB"), "HUB", "")
      ) &amp; "未完工",
      "已完工"
    )
  )
)</f>
        <v>未完工</v>
      </c>
      <c r="P59" s="403" t="str">
        <f>(TEXT(I59,"yyyymmdd"))&amp;勤務統計!$V$2&amp;A59&amp;勤務統計!$V$2&amp;B59&amp;勤務統計!$S$2</f>
        <v>PMQ1-2237-三芝芝蘭店(定保)</v>
      </c>
      <c r="Q59" s="420" t="str">
        <f t="array" ref="Q59">IF(AND(SUMPRODUCT((IM!$F$2:$F$5000=A59)*(ISNUMBER(SEARCH(勤務統計!$D$1, IM!$AC$2:$AC$5000))))&gt;0), 勤務統計!$D$1, "")</f>
        <v/>
      </c>
      <c r="R59" s="421" t="str">
        <f t="array" ref="R59">IFERROR(INDEX(IM!$AM$2:$AM$5000, MATCH(1, (IM!$F$2:$F$5000=A59) * (ISNUMBER(SEARCH(勤務統計!$D$1, IM!$AC$2:$AC$5000))), 0)), "")</f>
        <v/>
      </c>
      <c r="S59" s="406" t="str" cm="1">
        <f t="array" ref="S59">IF(AND(SUMPRODUCT((IM!$F$2:$F$5000=A59)*(ISNUMBER(SEARCH(勤務統計!$E$1, IM!$AC$2:$AC$5000))))&gt;0), 勤務統計!$E$1, "")</f>
        <v>+L90</v>
      </c>
      <c r="T59" s="422">
        <f t="array" ref="T59">IFERROR(INDEX(IM!$AM$2:$AM$5000, MATCH(1, (IM!$F$2:$F$5000=A59) * (ISNUMBER(SEARCH(勤務統計!$E$1, IM!$AC$2:$AC$5000))), 0)), "")</f>
        <v>45975</v>
      </c>
      <c r="U59" s="406" t="str" cm="1">
        <f t="array" ref="U59">IF(AND(SUMPRODUCT((IM!$F$2:$F$5000=A59)*(ISNUMBER(SEARCH(勤務統計!$F$1, IM!$AC$2:$AC$5000))))&gt;0), 勤務統計!$F$1, "")</f>
        <v>+721</v>
      </c>
      <c r="V59" s="413">
        <f t="array" ref="V59">IFERROR(INDEX(IM!$AM$2:$AM$5000, MATCH(1, (IM!$F$2:$F$5000=A59) * (ISNUMBER(SEARCH(勤務統計!$F$1, IM!$AC$2:$AC$5000))), 0)), "")</f>
        <v>46041</v>
      </c>
      <c r="W59" s="414" t="str">
        <f>IF(VLOOKUP(A59,'0919門市清單主檔'!B:AC,28,FALSE)=0,"",VLOOKUP(A59,'0919門市清單主檔'!B:AC,28,FALSE))</f>
        <v/>
      </c>
    </row>
    <row r="60" spans="1:23" ht="21.6" customHeight="1">
      <c r="A60" s="423">
        <v>2749</v>
      </c>
      <c r="B60" s="416" t="str">
        <f>VLOOKUP(A60,'0919門市清單主檔'!B:C,2,FALSE)</f>
        <v>淡水灰瑤子</v>
      </c>
      <c r="C60" s="415" t="str">
        <f>VLOOKUP($A60,'0919門市清單主檔'!B:V,20,FALSE)</f>
        <v>新北市</v>
      </c>
      <c r="D60" s="410" t="str">
        <f>VLOOKUP($A60,'0919門市清單主檔'!B:V,21,FALSE)</f>
        <v>淡水區</v>
      </c>
      <c r="E60" s="397" t="str">
        <f>VLOOKUP(D60,門市狀態!G:H,2,FALSE)</f>
        <v>吳宗鴻</v>
      </c>
      <c r="F60" s="410" t="str">
        <f>IFERROR(IF(VLOOKUP(A60,門市狀態!A:D,4,FALSE)=0,"",VLOOKUP(A60,門市狀態!A:D,4,FALSE)),"")</f>
        <v/>
      </c>
      <c r="G60" s="424"/>
      <c r="H60" s="425" t="str">
        <f>IF(I60&gt;0,(TEXT(I60,"yyyymmdd")&amp;勤務統計!$V$2&amp;A60&amp;勤務統計!$V$2&amp;B60&amp;勤務統計!$S$2),"")</f>
        <v>PMQ1-2749-淡水灰瑤子(定保)</v>
      </c>
      <c r="I60" s="247" t="str">
        <f t="array" ref="I60">IF(AND(SUMPRODUCT((IM!$F$2:$F$5000=A60)*(ISNUMBER(SEARCH(勤務統計!$C$1, IM!$AC$2:$AC$5000))))&gt;0), 勤務統計!$C$1, "")</f>
        <v>PMQ1</v>
      </c>
      <c r="J60" s="399">
        <f t="array" ref="J60">IFERROR(INDEX(IM!$AM$2:$AM$5000, MATCH(1, (IM!$F$2:$F$5000=A60) * (ISNUMBER(SEARCH(勤務統計!$C$1, IM!$AC$2:$AC$5000))), 0)), "")</f>
        <v>46041</v>
      </c>
      <c r="K60" s="400">
        <f t="array" ref="K60">SUMPRODUCT((IM!$F$2:$F$5000=A60)*(IM!$AD$2:$AD$5000="O")*(ISNUMBER(SEARCH(勤務統計!$C$1, IM!$AC$2:$AC$5000))))</f>
        <v>1</v>
      </c>
      <c r="L60" s="401" t="str">
        <f t="array" ref="L60">IF(K60&gt;0,IFERROR(HYPERLINK("#'IM'!AC"&amp;MATCH(1,(IM!$F$1:$F$5000=A60)*(ISNUMBER(SEARCH(勤務統計!$C$1,IM!$AC$1:$AC$5000))),0),"檢核"),"未登錄"),"")</f>
        <v>檢核</v>
      </c>
      <c r="M60" s="402" t="str">
        <f t="shared" si="0"/>
        <v>+L90+721</v>
      </c>
      <c r="N60" s="402" t="str">
        <f t="array" ref="N60">IF(AND(
    SUMPRODUCT(
        (IM!$F$2:$F$522=A60) *
        ISNUMBER(SEARCH("*HUB*", IM!$AC$2:$AC$522)) *
        (IM!$X$2:$X$522&gt;=勤務統計!$A$1) *
        (IM!$X$2:$X$522&lt;=勤務統計!$B$1)*(W60="HUB")
    ) &gt; 0
), "HUB", "")</f>
        <v/>
      </c>
      <c r="O60" s="400" t="str">
        <f>IF(
  IFERROR(VLOOKUP(A60,勤務統計!A:I,9,FALSE),"")&lt;&gt;勤務統計!$C$1,
  "未完工",
  IF(
    AND(勤務統計!$D$1="--",勤務統計!$E$1="--",勤務統計!$F$1="--"),
    "已完工",
    IF(
      OR(
        AND(勤務統計!$D$1&lt;&gt;"--", IFERROR(VLOOKUP(A60,'0919門市清單主檔'!B:AH,31,FALSE),"")=勤務統計!$D$1, IFERROR(VLOOKUP(A60,勤務統計!A:Q,17,FALSE),"")&lt;&gt;勤務統計!$D$1),
        AND(勤務統計!$E$1&lt;&gt;"--", IFERROR(VLOOKUP(A60,'0919門市清單主檔'!B:AH,32,FALSE),"")=勤務統計!$E$1, IFERROR(VLOOKUP(A60,勤務統計!A:S,19,FALSE),"")&lt;&gt;勤務統計!$E$1),
        AND(勤務統計!$F$1&lt;&gt;"--", IFERROR(VLOOKUP(A60,'0919門市清單主檔'!B:AH,33,FALSE),"")=勤務統計!$F$1, IFERROR(VLOOKUP(A60,勤務統計!A:U,21,FALSE),"")&lt;&gt;勤務統計!$F$1),
        AND(IFERROR(VLOOKUP(A60,'0919門市清單主檔'!B:AH,28,FALSE),"")="HUB", IFERROR(VLOOKUP(A60,勤務統計!A:W,23,FALSE),"")&lt;&gt;"HUB")
      ),
      _xlfn.TEXTJOIN(
        "，",
        TRUE,
        IF(AND(勤務統計!$D$1&lt;&gt;"--", IFERROR(VLOOKUP(A60,'0919門市清單主檔'!B:AH,31,FALSE),"")=勤務統計!$D$1, IFERROR(VLOOKUP(A60,勤務統計!A:Q,17,FALSE),"")&lt;&gt;勤務統計!$D$1), 勤務統計!$D$1, ""),
        IF(AND(勤務統計!$E$1&lt;&gt;"--", IFERROR(VLOOKUP(A60,'0919門市清單主檔'!B:AH,32,FALSE),"")=勤務統計!$E$1, IFERROR(VLOOKUP(A60,勤務統計!A:S,19,FALSE),"")&lt;&gt;勤務統計!$E$1), 勤務統計!$E$1, ""),
        IF(AND(勤務統計!$F$1&lt;&gt;"--", IFERROR(VLOOKUP(A60,'0919門市清單主檔'!B:AH,33,FALSE),"")=勤務統計!$F$1, IFERROR(VLOOKUP(A60,勤務統計!A:U,21,FALSE),"")&lt;&gt;勤務統計!$F$1), 勤務統計!$F$1, ""),
        IF(AND(IFERROR(VLOOKUP(A60,'0919門市清單主檔'!B:AH,28,FALSE),"")="HUB", IFERROR(VLOOKUP(A60,勤務統計!A:W,23,FALSE),"")&lt;&gt;"HUB"), "HUB", "")
      ) &amp; "未完工",
      "已完工"
    )
  )
)</f>
        <v>未完工</v>
      </c>
      <c r="P60" s="403" t="str">
        <f>(TEXT(I60,"yyyymmdd"))&amp;勤務統計!$V$2&amp;A60&amp;勤務統計!$V$2&amp;B60&amp;勤務統計!$S$2</f>
        <v>PMQ1-2749-淡水灰瑤子(定保)</v>
      </c>
      <c r="Q60" s="420" t="str">
        <f t="array" ref="Q60">IF(AND(SUMPRODUCT((IM!$F$2:$F$5000=A60)*(ISNUMBER(SEARCH(勤務統計!$D$1, IM!$AC$2:$AC$5000))))&gt;0), 勤務統計!$D$1, "")</f>
        <v/>
      </c>
      <c r="R60" s="421" t="str">
        <f t="array" ref="R60">IFERROR(INDEX(IM!$AM$2:$AM$5000, MATCH(1, (IM!$F$2:$F$5000=A60) * (ISNUMBER(SEARCH(勤務統計!$D$1, IM!$AC$2:$AC$5000))), 0)), "")</f>
        <v/>
      </c>
      <c r="S60" s="406" t="str" cm="1">
        <f t="array" ref="S60">IF(AND(SUMPRODUCT((IM!$F$2:$F$5000=A60)*(ISNUMBER(SEARCH(勤務統計!$E$1, IM!$AC$2:$AC$5000))))&gt;0), 勤務統計!$E$1, "")</f>
        <v>+L90</v>
      </c>
      <c r="T60" s="422">
        <f t="array" ref="T60">IFERROR(INDEX(IM!$AM$2:$AM$5000, MATCH(1, (IM!$F$2:$F$5000=A60) * (ISNUMBER(SEARCH(勤務統計!$E$1, IM!$AC$2:$AC$5000))), 0)), "")</f>
        <v>45975</v>
      </c>
      <c r="U60" s="406" t="str" cm="1">
        <f t="array" ref="U60">IF(AND(SUMPRODUCT((IM!$F$2:$F$5000=A60)*(ISNUMBER(SEARCH(勤務統計!$F$1, IM!$AC$2:$AC$5000))))&gt;0), 勤務統計!$F$1, "")</f>
        <v>+721</v>
      </c>
      <c r="V60" s="413">
        <f t="array" ref="V60">IFERROR(INDEX(IM!$AM$2:$AM$5000, MATCH(1, (IM!$F$2:$F$5000=A60) * (ISNUMBER(SEARCH(勤務統計!$F$1, IM!$AC$2:$AC$5000))), 0)), "")</f>
        <v>46041</v>
      </c>
      <c r="W60" s="414" t="str">
        <f>IF(VLOOKUP(A60,'0919門市清單主檔'!B:AC,28,FALSE)=0,"",VLOOKUP(A60,'0919門市清單主檔'!B:AC,28,FALSE))</f>
        <v/>
      </c>
    </row>
    <row r="61" spans="1:23" ht="21.6" customHeight="1">
      <c r="A61" s="423">
        <v>4739</v>
      </c>
      <c r="B61" s="416" t="str">
        <f>VLOOKUP(A61,'0919門市清單主檔'!B:C,2,FALSE)</f>
        <v>淡水櫻花店</v>
      </c>
      <c r="C61" s="415" t="str">
        <f>VLOOKUP($A61,'0919門市清單主檔'!B:V,20,FALSE)</f>
        <v>新北市</v>
      </c>
      <c r="D61" s="410" t="str">
        <f>VLOOKUP($A61,'0919門市清單主檔'!B:V,21,FALSE)</f>
        <v>淡水區</v>
      </c>
      <c r="E61" s="397" t="str">
        <f>VLOOKUP(D61,門市狀態!G:H,2,FALSE)</f>
        <v>吳宗鴻</v>
      </c>
      <c r="F61" s="410" t="str">
        <f>IFERROR(IF(VLOOKUP(A61,門市狀態!A:D,4,FALSE)=0,"",VLOOKUP(A61,門市狀態!A:D,4,FALSE)),"")</f>
        <v/>
      </c>
      <c r="G61" s="424"/>
      <c r="H61" s="425" t="str">
        <f>IF(I61&gt;0,(TEXT(I61,"yyyymmdd")&amp;勤務統計!$V$2&amp;A61&amp;勤務統計!$V$2&amp;B61&amp;勤務統計!$S$2),"")</f>
        <v>PMQ1-4739-淡水櫻花店(定保)</v>
      </c>
      <c r="I61" s="247" t="str">
        <f t="array" ref="I61">IF(AND(SUMPRODUCT((IM!$F$2:$F$5000=A61)*(ISNUMBER(SEARCH(勤務統計!$C$1, IM!$AC$2:$AC$5000))))&gt;0), 勤務統計!$C$1, "")</f>
        <v>PMQ1</v>
      </c>
      <c r="J61" s="399">
        <f t="array" ref="J61">IFERROR(INDEX(IM!$AM$2:$AM$5000, MATCH(1, (IM!$F$2:$F$5000=A61) * (ISNUMBER(SEARCH(勤務統計!$C$1, IM!$AC$2:$AC$5000))), 0)), "")</f>
        <v>46041</v>
      </c>
      <c r="K61" s="400">
        <f t="array" ref="K61">SUMPRODUCT((IM!$F$2:$F$5000=A61)*(IM!$AD$2:$AD$5000="O")*(ISNUMBER(SEARCH(勤務統計!$C$1, IM!$AC$2:$AC$5000))))</f>
        <v>1</v>
      </c>
      <c r="L61" s="401" t="str">
        <f t="array" ref="L61">IF(K61&gt;0,IFERROR(HYPERLINK("#'IM'!AC"&amp;MATCH(1,(IM!$F$1:$F$5000=A61)*(ISNUMBER(SEARCH(勤務統計!$C$1,IM!$AC$1:$AC$5000))),0),"檢核"),"未登錄"),"")</f>
        <v>檢核</v>
      </c>
      <c r="M61" s="402" t="str">
        <f t="shared" si="0"/>
        <v>+L90+721</v>
      </c>
      <c r="N61" s="402" t="str">
        <f t="array" ref="N61">IF(AND(
    SUMPRODUCT(
        (IM!$F$2:$F$522=A61) *
        ISNUMBER(SEARCH("*HUB*", IM!$AC$2:$AC$522)) *
        (IM!$X$2:$X$522&gt;=勤務統計!$A$1) *
        (IM!$X$2:$X$522&lt;=勤務統計!$B$1)*(W61="HUB")
    ) &gt; 0
), "HUB", "")</f>
        <v/>
      </c>
      <c r="O61" s="400" t="str">
        <f>IF(
  IFERROR(VLOOKUP(A61,勤務統計!A:I,9,FALSE),"")&lt;&gt;勤務統計!$C$1,
  "未完工",
  IF(
    AND(勤務統計!$D$1="--",勤務統計!$E$1="--",勤務統計!$F$1="--"),
    "已完工",
    IF(
      OR(
        AND(勤務統計!$D$1&lt;&gt;"--", IFERROR(VLOOKUP(A61,'0919門市清單主檔'!B:AH,31,FALSE),"")=勤務統計!$D$1, IFERROR(VLOOKUP(A61,勤務統計!A:Q,17,FALSE),"")&lt;&gt;勤務統計!$D$1),
        AND(勤務統計!$E$1&lt;&gt;"--", IFERROR(VLOOKUP(A61,'0919門市清單主檔'!B:AH,32,FALSE),"")=勤務統計!$E$1, IFERROR(VLOOKUP(A61,勤務統計!A:S,19,FALSE),"")&lt;&gt;勤務統計!$E$1),
        AND(勤務統計!$F$1&lt;&gt;"--", IFERROR(VLOOKUP(A61,'0919門市清單主檔'!B:AH,33,FALSE),"")=勤務統計!$F$1, IFERROR(VLOOKUP(A61,勤務統計!A:U,21,FALSE),"")&lt;&gt;勤務統計!$F$1),
        AND(IFERROR(VLOOKUP(A61,'0919門市清單主檔'!B:AH,28,FALSE),"")="HUB", IFERROR(VLOOKUP(A61,勤務統計!A:W,23,FALSE),"")&lt;&gt;"HUB")
      ),
      _xlfn.TEXTJOIN(
        "，",
        TRUE,
        IF(AND(勤務統計!$D$1&lt;&gt;"--", IFERROR(VLOOKUP(A61,'0919門市清單主檔'!B:AH,31,FALSE),"")=勤務統計!$D$1, IFERROR(VLOOKUP(A61,勤務統計!A:Q,17,FALSE),"")&lt;&gt;勤務統計!$D$1), 勤務統計!$D$1, ""),
        IF(AND(勤務統計!$E$1&lt;&gt;"--", IFERROR(VLOOKUP(A61,'0919門市清單主檔'!B:AH,32,FALSE),"")=勤務統計!$E$1, IFERROR(VLOOKUP(A61,勤務統計!A:S,19,FALSE),"")&lt;&gt;勤務統計!$E$1), 勤務統計!$E$1, ""),
        IF(AND(勤務統計!$F$1&lt;&gt;"--", IFERROR(VLOOKUP(A61,'0919門市清單主檔'!B:AH,33,FALSE),"")=勤務統計!$F$1, IFERROR(VLOOKUP(A61,勤務統計!A:U,21,FALSE),"")&lt;&gt;勤務統計!$F$1), 勤務統計!$F$1, ""),
        IF(AND(IFERROR(VLOOKUP(A61,'0919門市清單主檔'!B:AH,28,FALSE),"")="HUB", IFERROR(VLOOKUP(A61,勤務統計!A:W,23,FALSE),"")&lt;&gt;"HUB"), "HUB", "")
      ) &amp; "未完工",
      "已完工"
    )
  )
)</f>
        <v>未完工</v>
      </c>
      <c r="P61" s="403" t="str">
        <f>(TEXT(I61,"yyyymmdd"))&amp;勤務統計!$V$2&amp;A61&amp;勤務統計!$V$2&amp;B61&amp;勤務統計!$S$2</f>
        <v>PMQ1-4739-淡水櫻花店(定保)</v>
      </c>
      <c r="Q61" s="420" t="str">
        <f t="array" ref="Q61">IF(AND(SUMPRODUCT((IM!$F$2:$F$5000=A61)*(ISNUMBER(SEARCH(勤務統計!$D$1, IM!$AC$2:$AC$5000))))&gt;0), 勤務統計!$D$1, "")</f>
        <v/>
      </c>
      <c r="R61" s="421" t="str">
        <f t="array" ref="R61">IFERROR(INDEX(IM!$AM$2:$AM$5000, MATCH(1, (IM!$F$2:$F$5000=A61) * (ISNUMBER(SEARCH(勤務統計!$D$1, IM!$AC$2:$AC$5000))), 0)), "")</f>
        <v/>
      </c>
      <c r="S61" s="406" t="str" cm="1">
        <f t="array" ref="S61">IF(AND(SUMPRODUCT((IM!$F$2:$F$5000=A61)*(ISNUMBER(SEARCH(勤務統計!$E$1, IM!$AC$2:$AC$5000))))&gt;0), 勤務統計!$E$1, "")</f>
        <v>+L90</v>
      </c>
      <c r="T61" s="422">
        <f t="array" ref="T61">IFERROR(INDEX(IM!$AM$2:$AM$5000, MATCH(1, (IM!$F$2:$F$5000=A61) * (ISNUMBER(SEARCH(勤務統計!$E$1, IM!$AC$2:$AC$5000))), 0)), "")</f>
        <v>45975</v>
      </c>
      <c r="U61" s="406" t="str" cm="1">
        <f t="array" ref="U61">IF(AND(SUMPRODUCT((IM!$F$2:$F$5000=A61)*(ISNUMBER(SEARCH(勤務統計!$F$1, IM!$AC$2:$AC$5000))))&gt;0), 勤務統計!$F$1, "")</f>
        <v>+721</v>
      </c>
      <c r="V61" s="413">
        <f t="array" ref="V61">IFERROR(INDEX(IM!$AM$2:$AM$5000, MATCH(1, (IM!$F$2:$F$5000=A61) * (ISNUMBER(SEARCH(勤務統計!$F$1, IM!$AC$2:$AC$5000))), 0)), "")</f>
        <v>46041</v>
      </c>
      <c r="W61" s="414" t="str">
        <f>IF(VLOOKUP(A61,'0919門市清單主檔'!B:AC,28,FALSE)=0,"",VLOOKUP(A61,'0919門市清單主檔'!B:AC,28,FALSE))</f>
        <v/>
      </c>
    </row>
    <row r="62" spans="1:23" ht="21.6" customHeight="1">
      <c r="A62" s="423">
        <v>4844</v>
      </c>
      <c r="B62" s="416" t="str">
        <f>VLOOKUP(A62,'0919門市清單主檔'!B:C,2,FALSE)</f>
        <v>三芝天涯店</v>
      </c>
      <c r="C62" s="415" t="str">
        <f>VLOOKUP($A62,'0919門市清單主檔'!B:V,20,FALSE)</f>
        <v>新北市</v>
      </c>
      <c r="D62" s="410" t="str">
        <f>VLOOKUP($A62,'0919門市清單主檔'!B:V,21,FALSE)</f>
        <v>三芝區</v>
      </c>
      <c r="E62" s="397" t="str">
        <f>VLOOKUP(D62,門市狀態!G:H,2,FALSE)</f>
        <v>吳宗鴻</v>
      </c>
      <c r="F62" s="410" t="str">
        <f>IFERROR(IF(VLOOKUP(A62,門市狀態!A:D,4,FALSE)=0,"",VLOOKUP(A62,門市狀態!A:D,4,FALSE)),"")</f>
        <v/>
      </c>
      <c r="G62" s="424"/>
      <c r="H62" s="425" t="str">
        <f>IF(I62&gt;0,(TEXT(I62,"yyyymmdd")&amp;勤務統計!$V$2&amp;A62&amp;勤務統計!$V$2&amp;B62&amp;勤務統計!$S$2),"")</f>
        <v>PMQ1-4844-三芝天涯店(定保)</v>
      </c>
      <c r="I62" s="247" t="str">
        <f t="array" ref="I62">IF(AND(SUMPRODUCT((IM!$F$2:$F$5000=A62)*(ISNUMBER(SEARCH(勤務統計!$C$1, IM!$AC$2:$AC$5000))))&gt;0), 勤務統計!$C$1, "")</f>
        <v>PMQ1</v>
      </c>
      <c r="J62" s="399">
        <f t="array" ref="J62">IFERROR(INDEX(IM!$AM$2:$AM$5000, MATCH(1, (IM!$F$2:$F$5000=A62) * (ISNUMBER(SEARCH(勤務統計!$C$1, IM!$AC$2:$AC$5000))), 0)), "")</f>
        <v>46041</v>
      </c>
      <c r="K62" s="400">
        <f t="array" ref="K62">SUMPRODUCT((IM!$F$2:$F$5000=A62)*(IM!$AD$2:$AD$5000="O")*(ISNUMBER(SEARCH(勤務統計!$C$1, IM!$AC$2:$AC$5000))))</f>
        <v>1</v>
      </c>
      <c r="L62" s="401" t="str">
        <f t="array" ref="L62">IF(K62&gt;0,IFERROR(HYPERLINK("#'IM'!AC"&amp;MATCH(1,(IM!$F$1:$F$5000=A62)*(ISNUMBER(SEARCH(勤務統計!$C$1,IM!$AC$1:$AC$5000))),0),"檢核"),"未登錄"),"")</f>
        <v>檢核</v>
      </c>
      <c r="M62" s="402" t="str">
        <f t="shared" si="0"/>
        <v>+L90+721</v>
      </c>
      <c r="N62" s="402" t="str">
        <f t="array" ref="N62">IF(AND(
    SUMPRODUCT(
        (IM!$F$2:$F$522=A62) *
        ISNUMBER(SEARCH("*HUB*", IM!$AC$2:$AC$522)) *
        (IM!$X$2:$X$522&gt;=勤務統計!$A$1) *
        (IM!$X$2:$X$522&lt;=勤務統計!$B$1)*(W62="HUB")
    ) &gt; 0
), "HUB", "")</f>
        <v/>
      </c>
      <c r="O62" s="400" t="str">
        <f>IF(
  IFERROR(VLOOKUP(A62,勤務統計!A:I,9,FALSE),"")&lt;&gt;勤務統計!$C$1,
  "未完工",
  IF(
    AND(勤務統計!$D$1="--",勤務統計!$E$1="--",勤務統計!$F$1="--"),
    "已完工",
    IF(
      OR(
        AND(勤務統計!$D$1&lt;&gt;"--", IFERROR(VLOOKUP(A62,'0919門市清單主檔'!B:AH,31,FALSE),"")=勤務統計!$D$1, IFERROR(VLOOKUP(A62,勤務統計!A:Q,17,FALSE),"")&lt;&gt;勤務統計!$D$1),
        AND(勤務統計!$E$1&lt;&gt;"--", IFERROR(VLOOKUP(A62,'0919門市清單主檔'!B:AH,32,FALSE),"")=勤務統計!$E$1, IFERROR(VLOOKUP(A62,勤務統計!A:S,19,FALSE),"")&lt;&gt;勤務統計!$E$1),
        AND(勤務統計!$F$1&lt;&gt;"--", IFERROR(VLOOKUP(A62,'0919門市清單主檔'!B:AH,33,FALSE),"")=勤務統計!$F$1, IFERROR(VLOOKUP(A62,勤務統計!A:U,21,FALSE),"")&lt;&gt;勤務統計!$F$1),
        AND(IFERROR(VLOOKUP(A62,'0919門市清單主檔'!B:AH,28,FALSE),"")="HUB", IFERROR(VLOOKUP(A62,勤務統計!A:W,23,FALSE),"")&lt;&gt;"HUB")
      ),
      _xlfn.TEXTJOIN(
        "，",
        TRUE,
        IF(AND(勤務統計!$D$1&lt;&gt;"--", IFERROR(VLOOKUP(A62,'0919門市清單主檔'!B:AH,31,FALSE),"")=勤務統計!$D$1, IFERROR(VLOOKUP(A62,勤務統計!A:Q,17,FALSE),"")&lt;&gt;勤務統計!$D$1), 勤務統計!$D$1, ""),
        IF(AND(勤務統計!$E$1&lt;&gt;"--", IFERROR(VLOOKUP(A62,'0919門市清單主檔'!B:AH,32,FALSE),"")=勤務統計!$E$1, IFERROR(VLOOKUP(A62,勤務統計!A:S,19,FALSE),"")&lt;&gt;勤務統計!$E$1), 勤務統計!$E$1, ""),
        IF(AND(勤務統計!$F$1&lt;&gt;"--", IFERROR(VLOOKUP(A62,'0919門市清單主檔'!B:AH,33,FALSE),"")=勤務統計!$F$1, IFERROR(VLOOKUP(A62,勤務統計!A:U,21,FALSE),"")&lt;&gt;勤務統計!$F$1), 勤務統計!$F$1, ""),
        IF(AND(IFERROR(VLOOKUP(A62,'0919門市清單主檔'!B:AH,28,FALSE),"")="HUB", IFERROR(VLOOKUP(A62,勤務統計!A:W,23,FALSE),"")&lt;&gt;"HUB"), "HUB", "")
      ) &amp; "未完工",
      "已完工"
    )
  )
)</f>
        <v>未完工</v>
      </c>
      <c r="P62" s="403" t="str">
        <f>(TEXT(I62,"yyyymmdd"))&amp;勤務統計!$V$2&amp;A62&amp;勤務統計!$V$2&amp;B62&amp;勤務統計!$S$2</f>
        <v>PMQ1-4844-三芝天涯店(定保)</v>
      </c>
      <c r="Q62" s="420" t="str">
        <f t="array" ref="Q62">IF(AND(SUMPRODUCT((IM!$F$2:$F$5000=A62)*(ISNUMBER(SEARCH(勤務統計!$D$1, IM!$AC$2:$AC$5000))))&gt;0), 勤務統計!$D$1, "")</f>
        <v/>
      </c>
      <c r="R62" s="421" t="str">
        <f t="array" ref="R62">IFERROR(INDEX(IM!$AM$2:$AM$5000, MATCH(1, (IM!$F$2:$F$5000=A62) * (ISNUMBER(SEARCH(勤務統計!$D$1, IM!$AC$2:$AC$5000))), 0)), "")</f>
        <v/>
      </c>
      <c r="S62" s="406" t="str" cm="1">
        <f t="array" ref="S62">IF(AND(SUMPRODUCT((IM!$F$2:$F$5000=A62)*(ISNUMBER(SEARCH(勤務統計!$E$1, IM!$AC$2:$AC$5000))))&gt;0), 勤務統計!$E$1, "")</f>
        <v>+L90</v>
      </c>
      <c r="T62" s="422">
        <f t="array" ref="T62">IFERROR(INDEX(IM!$AM$2:$AM$5000, MATCH(1, (IM!$F$2:$F$5000=A62) * (ISNUMBER(SEARCH(勤務統計!$E$1, IM!$AC$2:$AC$5000))), 0)), "")</f>
        <v>45975</v>
      </c>
      <c r="U62" s="406" t="str" cm="1">
        <f t="array" ref="U62">IF(AND(SUMPRODUCT((IM!$F$2:$F$5000=A62)*(ISNUMBER(SEARCH(勤務統計!$F$1, IM!$AC$2:$AC$5000))))&gt;0), 勤務統計!$F$1, "")</f>
        <v>+721</v>
      </c>
      <c r="V62" s="413">
        <f t="array" ref="V62">IFERROR(INDEX(IM!$AM$2:$AM$5000, MATCH(1, (IM!$F$2:$F$5000=A62) * (ISNUMBER(SEARCH(勤務統計!$F$1, IM!$AC$2:$AC$5000))), 0)), "")</f>
        <v>46041</v>
      </c>
      <c r="W62" s="414" t="str">
        <f>IF(VLOOKUP(A62,'0919門市清單主檔'!B:AC,28,FALSE)=0,"",VLOOKUP(A62,'0919門市清單主檔'!B:AC,28,FALSE))</f>
        <v/>
      </c>
    </row>
    <row r="63" spans="1:23" ht="21.6" customHeight="1">
      <c r="A63" s="423">
        <v>4153</v>
      </c>
      <c r="B63" s="416" t="str">
        <f>VLOOKUP(A63,'0919門市清單主檔'!B:C,2,FALSE)</f>
        <v>淡水莊園店</v>
      </c>
      <c r="C63" s="415" t="str">
        <f>VLOOKUP($A63,'0919門市清單主檔'!B:V,20,FALSE)</f>
        <v>新北市</v>
      </c>
      <c r="D63" s="410" t="str">
        <f>VLOOKUP($A63,'0919門市清單主檔'!B:V,21,FALSE)</f>
        <v>淡水區</v>
      </c>
      <c r="E63" s="397" t="str">
        <f>VLOOKUP(D63,門市狀態!G:H,2,FALSE)</f>
        <v>吳宗鴻</v>
      </c>
      <c r="F63" s="410" t="str">
        <f>IFERROR(IF(VLOOKUP(A63,門市狀態!A:D,4,FALSE)=0,"",VLOOKUP(A63,門市狀態!A:D,4,FALSE)),"")</f>
        <v/>
      </c>
      <c r="G63" s="424"/>
      <c r="H63" s="425" t="str">
        <f>IF(I63&gt;0,(TEXT(I63,"yyyymmdd")&amp;勤務統計!$V$2&amp;A63&amp;勤務統計!$V$2&amp;B63&amp;勤務統計!$S$2),"")</f>
        <v>PMQ1-4153-淡水莊園店(定保)</v>
      </c>
      <c r="I63" s="247" t="str">
        <f t="array" ref="I63">IF(AND(SUMPRODUCT((IM!$F$2:$F$5000=A63)*(ISNUMBER(SEARCH(勤務統計!$C$1, IM!$AC$2:$AC$5000))))&gt;0), 勤務統計!$C$1, "")</f>
        <v>PMQ1</v>
      </c>
      <c r="J63" s="399">
        <f t="array" ref="J63">IFERROR(INDEX(IM!$AM$2:$AM$5000, MATCH(1, (IM!$F$2:$F$5000=A63) * (ISNUMBER(SEARCH(勤務統計!$C$1, IM!$AC$2:$AC$5000))), 0)), "")</f>
        <v>46041</v>
      </c>
      <c r="K63" s="400">
        <f t="array" ref="K63">SUMPRODUCT((IM!$F$2:$F$5000=A63)*(IM!$AD$2:$AD$5000="O")*(ISNUMBER(SEARCH(勤務統計!$C$1, IM!$AC$2:$AC$5000))))</f>
        <v>1</v>
      </c>
      <c r="L63" s="401" t="str">
        <f t="array" ref="L63">IF(K63&gt;0,IFERROR(HYPERLINK("#'IM'!AC"&amp;MATCH(1,(IM!$F$1:$F$5000=A63)*(ISNUMBER(SEARCH(勤務統計!$C$1,IM!$AC$1:$AC$5000))),0),"檢核"),"未登錄"),"")</f>
        <v>檢核</v>
      </c>
      <c r="M63" s="402" t="str">
        <f t="shared" si="0"/>
        <v>+L90+721</v>
      </c>
      <c r="N63" s="402" t="str">
        <f t="array" ref="N63">IF(AND(
    SUMPRODUCT(
        (IM!$F$2:$F$522=A63) *
        ISNUMBER(SEARCH("*HUB*", IM!$AC$2:$AC$522)) *
        (IM!$X$2:$X$522&gt;=勤務統計!$A$1) *
        (IM!$X$2:$X$522&lt;=勤務統計!$B$1)*(W63="HUB")
    ) &gt; 0
), "HUB", "")</f>
        <v/>
      </c>
      <c r="O63" s="400" t="str">
        <f>IF(
  IFERROR(VLOOKUP(A63,勤務統計!A:I,9,FALSE),"")&lt;&gt;勤務統計!$C$1,
  "未完工",
  IF(
    AND(勤務統計!$D$1="--",勤務統計!$E$1="--",勤務統計!$F$1="--"),
    "已完工",
    IF(
      OR(
        AND(勤務統計!$D$1&lt;&gt;"--", IFERROR(VLOOKUP(A63,'0919門市清單主檔'!B:AH,31,FALSE),"")=勤務統計!$D$1, IFERROR(VLOOKUP(A63,勤務統計!A:Q,17,FALSE),"")&lt;&gt;勤務統計!$D$1),
        AND(勤務統計!$E$1&lt;&gt;"--", IFERROR(VLOOKUP(A63,'0919門市清單主檔'!B:AH,32,FALSE),"")=勤務統計!$E$1, IFERROR(VLOOKUP(A63,勤務統計!A:S,19,FALSE),"")&lt;&gt;勤務統計!$E$1),
        AND(勤務統計!$F$1&lt;&gt;"--", IFERROR(VLOOKUP(A63,'0919門市清單主檔'!B:AH,33,FALSE),"")=勤務統計!$F$1, IFERROR(VLOOKUP(A63,勤務統計!A:U,21,FALSE),"")&lt;&gt;勤務統計!$F$1),
        AND(IFERROR(VLOOKUP(A63,'0919門市清單主檔'!B:AH,28,FALSE),"")="HUB", IFERROR(VLOOKUP(A63,勤務統計!A:W,23,FALSE),"")&lt;&gt;"HUB")
      ),
      _xlfn.TEXTJOIN(
        "，",
        TRUE,
        IF(AND(勤務統計!$D$1&lt;&gt;"--", IFERROR(VLOOKUP(A63,'0919門市清單主檔'!B:AH,31,FALSE),"")=勤務統計!$D$1, IFERROR(VLOOKUP(A63,勤務統計!A:Q,17,FALSE),"")&lt;&gt;勤務統計!$D$1), 勤務統計!$D$1, ""),
        IF(AND(勤務統計!$E$1&lt;&gt;"--", IFERROR(VLOOKUP(A63,'0919門市清單主檔'!B:AH,32,FALSE),"")=勤務統計!$E$1, IFERROR(VLOOKUP(A63,勤務統計!A:S,19,FALSE),"")&lt;&gt;勤務統計!$E$1), 勤務統計!$E$1, ""),
        IF(AND(勤務統計!$F$1&lt;&gt;"--", IFERROR(VLOOKUP(A63,'0919門市清單主檔'!B:AH,33,FALSE),"")=勤務統計!$F$1, IFERROR(VLOOKUP(A63,勤務統計!A:U,21,FALSE),"")&lt;&gt;勤務統計!$F$1), 勤務統計!$F$1, ""),
        IF(AND(IFERROR(VLOOKUP(A63,'0919門市清單主檔'!B:AH,28,FALSE),"")="HUB", IFERROR(VLOOKUP(A63,勤務統計!A:W,23,FALSE),"")&lt;&gt;"HUB"), "HUB", "")
      ) &amp; "未完工",
      "已完工"
    )
  )
)</f>
        <v>未完工</v>
      </c>
      <c r="P63" s="403" t="str">
        <f>(TEXT(I63,"yyyymmdd"))&amp;勤務統計!$V$2&amp;A63&amp;勤務統計!$V$2&amp;B63&amp;勤務統計!$S$2</f>
        <v>PMQ1-4153-淡水莊園店(定保)</v>
      </c>
      <c r="Q63" s="420" t="str">
        <f t="array" ref="Q63">IF(AND(SUMPRODUCT((IM!$F$2:$F$5000=A63)*(ISNUMBER(SEARCH(勤務統計!$D$1, IM!$AC$2:$AC$5000))))&gt;0), 勤務統計!$D$1, "")</f>
        <v/>
      </c>
      <c r="R63" s="421" t="str">
        <f t="array" ref="R63">IFERROR(INDEX(IM!$AM$2:$AM$5000, MATCH(1, (IM!$F$2:$F$5000=A63) * (ISNUMBER(SEARCH(勤務統計!$D$1, IM!$AC$2:$AC$5000))), 0)), "")</f>
        <v/>
      </c>
      <c r="S63" s="406" t="str" cm="1">
        <f t="array" ref="S63">IF(AND(SUMPRODUCT((IM!$F$2:$F$5000=A63)*(ISNUMBER(SEARCH(勤務統計!$E$1, IM!$AC$2:$AC$5000))))&gt;0), 勤務統計!$E$1, "")</f>
        <v>+L90</v>
      </c>
      <c r="T63" s="422">
        <f t="array" ref="T63">IFERROR(INDEX(IM!$AM$2:$AM$5000, MATCH(1, (IM!$F$2:$F$5000=A63) * (ISNUMBER(SEARCH(勤務統計!$E$1, IM!$AC$2:$AC$5000))), 0)), "")</f>
        <v>46000</v>
      </c>
      <c r="U63" s="406" t="str" cm="1">
        <f t="array" ref="U63">IF(AND(SUMPRODUCT((IM!$F$2:$F$5000=A63)*(ISNUMBER(SEARCH(勤務統計!$F$1, IM!$AC$2:$AC$5000))))&gt;0), 勤務統計!$F$1, "")</f>
        <v>+721</v>
      </c>
      <c r="V63" s="413">
        <f t="array" ref="V63">IFERROR(INDEX(IM!$AM$2:$AM$5000, MATCH(1, (IM!$F$2:$F$5000=A63) * (ISNUMBER(SEARCH(勤務統計!$F$1, IM!$AC$2:$AC$5000))), 0)), "")</f>
        <v>46041</v>
      </c>
      <c r="W63" s="414" t="str">
        <f>IF(VLOOKUP(A63,'0919門市清單主檔'!B:AC,28,FALSE)=0,"",VLOOKUP(A63,'0919門市清單主檔'!B:AC,28,FALSE))</f>
        <v/>
      </c>
    </row>
    <row r="64" spans="1:23" ht="21.6" customHeight="1">
      <c r="A64" s="423">
        <v>2911</v>
      </c>
      <c r="B64" s="416" t="str">
        <f>VLOOKUP(A64,'0919門市清單主檔'!B:C,2,FALSE)</f>
        <v>中和和大店</v>
      </c>
      <c r="C64" s="415" t="str">
        <f>VLOOKUP($A64,'0919門市清單主檔'!B:V,20,FALSE)</f>
        <v>新北市</v>
      </c>
      <c r="D64" s="410" t="str">
        <f>VLOOKUP($A64,'0919門市清單主檔'!B:V,21,FALSE)</f>
        <v>中和區</v>
      </c>
      <c r="E64" s="397" t="str">
        <f>VLOOKUP(D64,門市狀態!G:H,2,FALSE)</f>
        <v>劉柏均</v>
      </c>
      <c r="F64" s="410" t="str">
        <f>IFERROR(IF(VLOOKUP(A64,門市狀態!A:D,4,FALSE)=0,"",VLOOKUP(A64,門市狀態!A:D,4,FALSE)),"")</f>
        <v/>
      </c>
      <c r="G64" s="424"/>
      <c r="H64" s="425" t="str">
        <f>IF(I64&gt;0,(TEXT(I64,"yyyymmdd")&amp;勤務統計!$V$2&amp;A64&amp;勤務統計!$V$2&amp;B64&amp;勤務統計!$S$2),"")</f>
        <v>PMQ1-2911-中和和大店(定保)</v>
      </c>
      <c r="I64" s="247" t="str">
        <f t="array" ref="I64">IF(AND(SUMPRODUCT((IM!$F$2:$F$5000=A64)*(ISNUMBER(SEARCH(勤務統計!$C$1, IM!$AC$2:$AC$5000))))&gt;0), 勤務統計!$C$1, "")</f>
        <v>PMQ1</v>
      </c>
      <c r="J64" s="399">
        <f t="array" ref="J64">IFERROR(INDEX(IM!$AM$2:$AM$5000, MATCH(1, (IM!$F$2:$F$5000=A64) * (ISNUMBER(SEARCH(勤務統計!$C$1, IM!$AC$2:$AC$5000))), 0)), "")</f>
        <v>46041</v>
      </c>
      <c r="K64" s="400">
        <f t="array" ref="K64">SUMPRODUCT((IM!$F$2:$F$5000=A64)*(IM!$AD$2:$AD$5000="O")*(ISNUMBER(SEARCH(勤務統計!$C$1, IM!$AC$2:$AC$5000))))</f>
        <v>1</v>
      </c>
      <c r="L64" s="401" t="str">
        <f t="array" ref="L64">IF(K64&gt;0,IFERROR(HYPERLINK("#'IM'!AC"&amp;MATCH(1,(IM!$F$1:$F$5000=A64)*(ISNUMBER(SEARCH(勤務統計!$C$1,IM!$AC$1:$AC$5000))),0),"檢核"),"未登錄"),"")</f>
        <v>檢核</v>
      </c>
      <c r="M64" s="402" t="str">
        <f t="shared" si="0"/>
        <v>+721</v>
      </c>
      <c r="N64" s="402" t="str">
        <f t="array" ref="N64">IF(AND(
    SUMPRODUCT(
        (IM!$F$2:$F$522=A64) *
        ISNUMBER(SEARCH("*HUB*", IM!$AC$2:$AC$522)) *
        (IM!$X$2:$X$522&gt;=勤務統計!$A$1) *
        (IM!$X$2:$X$522&lt;=勤務統計!$B$1)*(W64="HUB")
    ) &gt; 0
), "HUB", "")</f>
        <v/>
      </c>
      <c r="O64" s="400" t="str">
        <f>IF(
  IFERROR(VLOOKUP(A64,勤務統計!A:I,9,FALSE),"")&lt;&gt;勤務統計!$C$1,
  "未完工",
  IF(
    AND(勤務統計!$D$1="--",勤務統計!$E$1="--",勤務統計!$F$1="--"),
    "已完工",
    IF(
      OR(
        AND(勤務統計!$D$1&lt;&gt;"--", IFERROR(VLOOKUP(A64,'0919門市清單主檔'!B:AH,31,FALSE),"")=勤務統計!$D$1, IFERROR(VLOOKUP(A64,勤務統計!A:Q,17,FALSE),"")&lt;&gt;勤務統計!$D$1),
        AND(勤務統計!$E$1&lt;&gt;"--", IFERROR(VLOOKUP(A64,'0919門市清單主檔'!B:AH,32,FALSE),"")=勤務統計!$E$1, IFERROR(VLOOKUP(A64,勤務統計!A:S,19,FALSE),"")&lt;&gt;勤務統計!$E$1),
        AND(勤務統計!$F$1&lt;&gt;"--", IFERROR(VLOOKUP(A64,'0919門市清單主檔'!B:AH,33,FALSE),"")=勤務統計!$F$1, IFERROR(VLOOKUP(A64,勤務統計!A:U,21,FALSE),"")&lt;&gt;勤務統計!$F$1),
        AND(IFERROR(VLOOKUP(A64,'0919門市清單主檔'!B:AH,28,FALSE),"")="HUB", IFERROR(VLOOKUP(A64,勤務統計!A:W,23,FALSE),"")&lt;&gt;"HUB")
      ),
      _xlfn.TEXTJOIN(
        "，",
        TRUE,
        IF(AND(勤務統計!$D$1&lt;&gt;"--", IFERROR(VLOOKUP(A64,'0919門市清單主檔'!B:AH,31,FALSE),"")=勤務統計!$D$1, IFERROR(VLOOKUP(A64,勤務統計!A:Q,17,FALSE),"")&lt;&gt;勤務統計!$D$1), 勤務統計!$D$1, ""),
        IF(AND(勤務統計!$E$1&lt;&gt;"--", IFERROR(VLOOKUP(A64,'0919門市清單主檔'!B:AH,32,FALSE),"")=勤務統計!$E$1, IFERROR(VLOOKUP(A64,勤務統計!A:S,19,FALSE),"")&lt;&gt;勤務統計!$E$1), 勤務統計!$E$1, ""),
        IF(AND(勤務統計!$F$1&lt;&gt;"--", IFERROR(VLOOKUP(A64,'0919門市清單主檔'!B:AH,33,FALSE),"")=勤務統計!$F$1, IFERROR(VLOOKUP(A64,勤務統計!A:U,21,FALSE),"")&lt;&gt;勤務統計!$F$1), 勤務統計!$F$1, ""),
        IF(AND(IFERROR(VLOOKUP(A64,'0919門市清單主檔'!B:AH,28,FALSE),"")="HUB", IFERROR(VLOOKUP(A64,勤務統計!A:W,23,FALSE),"")&lt;&gt;"HUB"), "HUB", "")
      ) &amp; "未完工",
      "已完工"
    )
  )
)</f>
        <v>未完工</v>
      </c>
      <c r="P64" s="403" t="str">
        <f>(TEXT(I64,"yyyymmdd"))&amp;勤務統計!$V$2&amp;A64&amp;勤務統計!$V$2&amp;B64&amp;勤務統計!$S$2</f>
        <v>PMQ1-2911-中和和大店(定保)</v>
      </c>
      <c r="Q64" s="420" t="str">
        <f t="array" ref="Q64">IF(AND(SUMPRODUCT((IM!$F$2:$F$5000=A64)*(ISNUMBER(SEARCH(勤務統計!$D$1, IM!$AC$2:$AC$5000))))&gt;0), 勤務統計!$D$1, "")</f>
        <v/>
      </c>
      <c r="R64" s="421" t="str">
        <f t="array" ref="R64">IFERROR(INDEX(IM!$AM$2:$AM$5000, MATCH(1, (IM!$F$2:$F$5000=A64) * (ISNUMBER(SEARCH(勤務統計!$D$1, IM!$AC$2:$AC$5000))), 0)), "")</f>
        <v/>
      </c>
      <c r="S64" s="406" t="str" cm="1">
        <f t="array" ref="S64">IF(AND(SUMPRODUCT((IM!$F$2:$F$5000=A64)*(ISNUMBER(SEARCH(勤務統計!$E$1, IM!$AC$2:$AC$5000))))&gt;0), 勤務統計!$E$1, "")</f>
        <v/>
      </c>
      <c r="T64" s="422" t="str">
        <f t="array" ref="T64">IFERROR(INDEX(IM!$AM$2:$AM$5000, MATCH(1, (IM!$F$2:$F$5000=A64) * (ISNUMBER(SEARCH(勤務統計!$E$1, IM!$AC$2:$AC$5000))), 0)), "")</f>
        <v/>
      </c>
      <c r="U64" s="406" t="str" cm="1">
        <f t="array" ref="U64">IF(AND(SUMPRODUCT((IM!$F$2:$F$5000=A64)*(ISNUMBER(SEARCH(勤務統計!$F$1, IM!$AC$2:$AC$5000))))&gt;0), 勤務統計!$F$1, "")</f>
        <v>+721</v>
      </c>
      <c r="V64" s="413">
        <f t="array" ref="V64">IFERROR(INDEX(IM!$AM$2:$AM$5000, MATCH(1, (IM!$F$2:$F$5000=A64) * (ISNUMBER(SEARCH(勤務統計!$F$1, IM!$AC$2:$AC$5000))), 0)), "")</f>
        <v>46041</v>
      </c>
      <c r="W64" s="414" t="str">
        <f>IF(VLOOKUP(A64,'0919門市清單主檔'!B:AC,28,FALSE)=0,"",VLOOKUP(A64,'0919門市清單主檔'!B:AC,28,FALSE))</f>
        <v/>
      </c>
    </row>
    <row r="65" spans="1:23" ht="21.6" customHeight="1">
      <c r="A65" s="423">
        <v>4536</v>
      </c>
      <c r="B65" s="416" t="str">
        <f>VLOOKUP(A65,'0919門市清單主檔'!B:C,2,FALSE)</f>
        <v>中和景德店</v>
      </c>
      <c r="C65" s="415" t="str">
        <f>VLOOKUP($A65,'0919門市清單主檔'!B:V,20,FALSE)</f>
        <v>新北市</v>
      </c>
      <c r="D65" s="410" t="str">
        <f>VLOOKUP($A65,'0919門市清單主檔'!B:V,21,FALSE)</f>
        <v>中和區</v>
      </c>
      <c r="E65" s="397" t="str">
        <f>VLOOKUP(D65,門市狀態!G:H,2,FALSE)</f>
        <v>劉柏均</v>
      </c>
      <c r="F65" s="410" t="str">
        <f>IFERROR(IF(VLOOKUP(A65,門市狀態!A:D,4,FALSE)=0,"",VLOOKUP(A65,門市狀態!A:D,4,FALSE)),"")</f>
        <v/>
      </c>
      <c r="G65" s="424"/>
      <c r="H65" s="425" t="str">
        <f>IF(I65&gt;0,(TEXT(I65,"yyyymmdd")&amp;勤務統計!$V$2&amp;A65&amp;勤務統計!$V$2&amp;B65&amp;勤務統計!$S$2),"")</f>
        <v>PMQ1-4536-中和景德店(定保)</v>
      </c>
      <c r="I65" s="247" t="str">
        <f t="array" ref="I65">IF(AND(SUMPRODUCT((IM!$F$2:$F$5000=A65)*(ISNUMBER(SEARCH(勤務統計!$C$1, IM!$AC$2:$AC$5000))))&gt;0), 勤務統計!$C$1, "")</f>
        <v>PMQ1</v>
      </c>
      <c r="J65" s="399">
        <f t="array" ref="J65">IFERROR(INDEX(IM!$AM$2:$AM$5000, MATCH(1, (IM!$F$2:$F$5000=A65) * (ISNUMBER(SEARCH(勤務統計!$C$1, IM!$AC$2:$AC$5000))), 0)), "")</f>
        <v>46041</v>
      </c>
      <c r="K65" s="400">
        <f t="array" ref="K65">SUMPRODUCT((IM!$F$2:$F$5000=A65)*(IM!$AD$2:$AD$5000="O")*(ISNUMBER(SEARCH(勤務統計!$C$1, IM!$AC$2:$AC$5000))))</f>
        <v>1</v>
      </c>
      <c r="L65" s="401" t="str">
        <f t="array" ref="L65">IF(K65&gt;0,IFERROR(HYPERLINK("#'IM'!AC"&amp;MATCH(1,(IM!$F$1:$F$5000=A65)*(ISNUMBER(SEARCH(勤務統計!$C$1,IM!$AC$1:$AC$5000))),0),"檢核"),"未登錄"),"")</f>
        <v>檢核</v>
      </c>
      <c r="M65" s="402" t="str">
        <f t="shared" si="0"/>
        <v>+721</v>
      </c>
      <c r="N65" s="402" t="str">
        <f t="array" ref="N65">IF(AND(
    SUMPRODUCT(
        (IM!$F$2:$F$522=A65) *
        ISNUMBER(SEARCH("*HUB*", IM!$AC$2:$AC$522)) *
        (IM!$X$2:$X$522&gt;=勤務統計!$A$1) *
        (IM!$X$2:$X$522&lt;=勤務統計!$B$1)*(W65="HUB")
    ) &gt; 0
), "HUB", "")</f>
        <v/>
      </c>
      <c r="O65" s="400" t="str">
        <f>IF(
  IFERROR(VLOOKUP(A65,勤務統計!A:I,9,FALSE),"")&lt;&gt;勤務統計!$C$1,
  "未完工",
  IF(
    AND(勤務統計!$D$1="--",勤務統計!$E$1="--",勤務統計!$F$1="--"),
    "已完工",
    IF(
      OR(
        AND(勤務統計!$D$1&lt;&gt;"--", IFERROR(VLOOKUP(A65,'0919門市清單主檔'!B:AH,31,FALSE),"")=勤務統計!$D$1, IFERROR(VLOOKUP(A65,勤務統計!A:Q,17,FALSE),"")&lt;&gt;勤務統計!$D$1),
        AND(勤務統計!$E$1&lt;&gt;"--", IFERROR(VLOOKUP(A65,'0919門市清單主檔'!B:AH,32,FALSE),"")=勤務統計!$E$1, IFERROR(VLOOKUP(A65,勤務統計!A:S,19,FALSE),"")&lt;&gt;勤務統計!$E$1),
        AND(勤務統計!$F$1&lt;&gt;"--", IFERROR(VLOOKUP(A65,'0919門市清單主檔'!B:AH,33,FALSE),"")=勤務統計!$F$1, IFERROR(VLOOKUP(A65,勤務統計!A:U,21,FALSE),"")&lt;&gt;勤務統計!$F$1),
        AND(IFERROR(VLOOKUP(A65,'0919門市清單主檔'!B:AH,28,FALSE),"")="HUB", IFERROR(VLOOKUP(A65,勤務統計!A:W,23,FALSE),"")&lt;&gt;"HUB")
      ),
      _xlfn.TEXTJOIN(
        "，",
        TRUE,
        IF(AND(勤務統計!$D$1&lt;&gt;"--", IFERROR(VLOOKUP(A65,'0919門市清單主檔'!B:AH,31,FALSE),"")=勤務統計!$D$1, IFERROR(VLOOKUP(A65,勤務統計!A:Q,17,FALSE),"")&lt;&gt;勤務統計!$D$1), 勤務統計!$D$1, ""),
        IF(AND(勤務統計!$E$1&lt;&gt;"--", IFERROR(VLOOKUP(A65,'0919門市清單主檔'!B:AH,32,FALSE),"")=勤務統計!$E$1, IFERROR(VLOOKUP(A65,勤務統計!A:S,19,FALSE),"")&lt;&gt;勤務統計!$E$1), 勤務統計!$E$1, ""),
        IF(AND(勤務統計!$F$1&lt;&gt;"--", IFERROR(VLOOKUP(A65,'0919門市清單主檔'!B:AH,33,FALSE),"")=勤務統計!$F$1, IFERROR(VLOOKUP(A65,勤務統計!A:U,21,FALSE),"")&lt;&gt;勤務統計!$F$1), 勤務統計!$F$1, ""),
        IF(AND(IFERROR(VLOOKUP(A65,'0919門市清單主檔'!B:AH,28,FALSE),"")="HUB", IFERROR(VLOOKUP(A65,勤務統計!A:W,23,FALSE),"")&lt;&gt;"HUB"), "HUB", "")
      ) &amp; "未完工",
      "已完工"
    )
  )
)</f>
        <v>未完工</v>
      </c>
      <c r="P65" s="403" t="str">
        <f>(TEXT(I65,"yyyymmdd"))&amp;勤務統計!$V$2&amp;A65&amp;勤務統計!$V$2&amp;B65&amp;勤務統計!$S$2</f>
        <v>PMQ1-4536-中和景德店(定保)</v>
      </c>
      <c r="Q65" s="420" t="str">
        <f t="array" ref="Q65">IF(AND(SUMPRODUCT((IM!$F$2:$F$5000=A65)*(ISNUMBER(SEARCH(勤務統計!$D$1, IM!$AC$2:$AC$5000))))&gt;0), 勤務統計!$D$1, "")</f>
        <v/>
      </c>
      <c r="R65" s="421" t="str">
        <f t="array" ref="R65">IFERROR(INDEX(IM!$AM$2:$AM$5000, MATCH(1, (IM!$F$2:$F$5000=A65) * (ISNUMBER(SEARCH(勤務統計!$D$1, IM!$AC$2:$AC$5000))), 0)), "")</f>
        <v/>
      </c>
      <c r="S65" s="406" t="str" cm="1">
        <f t="array" ref="S65">IF(AND(SUMPRODUCT((IM!$F$2:$F$5000=A65)*(ISNUMBER(SEARCH(勤務統計!$E$1, IM!$AC$2:$AC$5000))))&gt;0), 勤務統計!$E$1, "")</f>
        <v/>
      </c>
      <c r="T65" s="422" t="str">
        <f t="array" ref="T65">IFERROR(INDEX(IM!$AM$2:$AM$5000, MATCH(1, (IM!$F$2:$F$5000=A65) * (ISNUMBER(SEARCH(勤務統計!$E$1, IM!$AC$2:$AC$5000))), 0)), "")</f>
        <v/>
      </c>
      <c r="U65" s="406" t="str" cm="1">
        <f t="array" ref="U65">IF(AND(SUMPRODUCT((IM!$F$2:$F$5000=A65)*(ISNUMBER(SEARCH(勤務統計!$F$1, IM!$AC$2:$AC$5000))))&gt;0), 勤務統計!$F$1, "")</f>
        <v>+721</v>
      </c>
      <c r="V65" s="413">
        <f t="array" ref="V65">IFERROR(INDEX(IM!$AM$2:$AM$5000, MATCH(1, (IM!$F$2:$F$5000=A65) * (ISNUMBER(SEARCH(勤務統計!$F$1, IM!$AC$2:$AC$5000))), 0)), "")</f>
        <v>46041</v>
      </c>
      <c r="W65" s="414" t="str">
        <f>IF(VLOOKUP(A65,'0919門市清單主檔'!B:AC,28,FALSE)=0,"",VLOOKUP(A65,'0919門市清單主檔'!B:AC,28,FALSE))</f>
        <v/>
      </c>
    </row>
    <row r="66" spans="1:23" ht="21.6" customHeight="1">
      <c r="A66" s="423">
        <v>4573</v>
      </c>
      <c r="B66" s="416" t="str">
        <f>VLOOKUP(A66,'0919門市清單主檔'!B:C,2,FALSE)</f>
        <v>中和浪漫店</v>
      </c>
      <c r="C66" s="415" t="str">
        <f>VLOOKUP($A66,'0919門市清單主檔'!B:V,20,FALSE)</f>
        <v>新北市</v>
      </c>
      <c r="D66" s="410" t="str">
        <f>VLOOKUP($A66,'0919門市清單主檔'!B:V,21,FALSE)</f>
        <v>中和區</v>
      </c>
      <c r="E66" s="397" t="str">
        <f>VLOOKUP(D66,門市狀態!G:H,2,FALSE)</f>
        <v>劉柏均</v>
      </c>
      <c r="F66" s="410" t="str">
        <f>IFERROR(IF(VLOOKUP(A66,門市狀態!A:D,4,FALSE)=0,"",VLOOKUP(A66,門市狀態!A:D,4,FALSE)),"")</f>
        <v/>
      </c>
      <c r="G66" s="424"/>
      <c r="H66" s="425" t="str">
        <f>IF(I66&gt;0,(TEXT(I66,"yyyymmdd")&amp;勤務統計!$V$2&amp;A66&amp;勤務統計!$V$2&amp;B66&amp;勤務統計!$S$2),"")</f>
        <v>PMQ1-4573-中和浪漫店(定保)</v>
      </c>
      <c r="I66" s="247" t="str">
        <f t="array" ref="I66">IF(AND(SUMPRODUCT((IM!$F$2:$F$5000=A66)*(ISNUMBER(SEARCH(勤務統計!$C$1, IM!$AC$2:$AC$5000))))&gt;0), 勤務統計!$C$1, "")</f>
        <v>PMQ1</v>
      </c>
      <c r="J66" s="399">
        <f t="array" ref="J66">IFERROR(INDEX(IM!$AM$2:$AM$5000, MATCH(1, (IM!$F$2:$F$5000=A66) * (ISNUMBER(SEARCH(勤務統計!$C$1, IM!$AC$2:$AC$5000))), 0)), "")</f>
        <v>46041</v>
      </c>
      <c r="K66" s="400">
        <f t="array" ref="K66">SUMPRODUCT((IM!$F$2:$F$5000=A66)*(IM!$AD$2:$AD$5000="O")*(ISNUMBER(SEARCH(勤務統計!$C$1, IM!$AC$2:$AC$5000))))</f>
        <v>1</v>
      </c>
      <c r="L66" s="401" t="str">
        <f t="array" ref="L66">IF(K66&gt;0,IFERROR(HYPERLINK("#'IM'!AC"&amp;MATCH(1,(IM!$F$1:$F$5000=A66)*(ISNUMBER(SEARCH(勤務統計!$C$1,IM!$AC$1:$AC$5000))),0),"檢核"),"未登錄"),"")</f>
        <v>檢核</v>
      </c>
      <c r="M66" s="402" t="str">
        <f t="shared" si="0"/>
        <v>+721</v>
      </c>
      <c r="N66" s="402" t="str">
        <f t="array" ref="N66">IF(AND(
    SUMPRODUCT(
        (IM!$F$2:$F$522=A66) *
        ISNUMBER(SEARCH("*HUB*", IM!$AC$2:$AC$522)) *
        (IM!$X$2:$X$522&gt;=勤務統計!$A$1) *
        (IM!$X$2:$X$522&lt;=勤務統計!$B$1)*(W66="HUB")
    ) &gt; 0
), "HUB", "")</f>
        <v/>
      </c>
      <c r="O66" s="400" t="str">
        <f>IF(
  IFERROR(VLOOKUP(A66,勤務統計!A:I,9,FALSE),"")&lt;&gt;勤務統計!$C$1,
  "未完工",
  IF(
    AND(勤務統計!$D$1="--",勤務統計!$E$1="--",勤務統計!$F$1="--"),
    "已完工",
    IF(
      OR(
        AND(勤務統計!$D$1&lt;&gt;"--", IFERROR(VLOOKUP(A66,'0919門市清單主檔'!B:AH,31,FALSE),"")=勤務統計!$D$1, IFERROR(VLOOKUP(A66,勤務統計!A:Q,17,FALSE),"")&lt;&gt;勤務統計!$D$1),
        AND(勤務統計!$E$1&lt;&gt;"--", IFERROR(VLOOKUP(A66,'0919門市清單主檔'!B:AH,32,FALSE),"")=勤務統計!$E$1, IFERROR(VLOOKUP(A66,勤務統計!A:S,19,FALSE),"")&lt;&gt;勤務統計!$E$1),
        AND(勤務統計!$F$1&lt;&gt;"--", IFERROR(VLOOKUP(A66,'0919門市清單主檔'!B:AH,33,FALSE),"")=勤務統計!$F$1, IFERROR(VLOOKUP(A66,勤務統計!A:U,21,FALSE),"")&lt;&gt;勤務統計!$F$1),
        AND(IFERROR(VLOOKUP(A66,'0919門市清單主檔'!B:AH,28,FALSE),"")="HUB", IFERROR(VLOOKUP(A66,勤務統計!A:W,23,FALSE),"")&lt;&gt;"HUB")
      ),
      _xlfn.TEXTJOIN(
        "，",
        TRUE,
        IF(AND(勤務統計!$D$1&lt;&gt;"--", IFERROR(VLOOKUP(A66,'0919門市清單主檔'!B:AH,31,FALSE),"")=勤務統計!$D$1, IFERROR(VLOOKUP(A66,勤務統計!A:Q,17,FALSE),"")&lt;&gt;勤務統計!$D$1), 勤務統計!$D$1, ""),
        IF(AND(勤務統計!$E$1&lt;&gt;"--", IFERROR(VLOOKUP(A66,'0919門市清單主檔'!B:AH,32,FALSE),"")=勤務統計!$E$1, IFERROR(VLOOKUP(A66,勤務統計!A:S,19,FALSE),"")&lt;&gt;勤務統計!$E$1), 勤務統計!$E$1, ""),
        IF(AND(勤務統計!$F$1&lt;&gt;"--", IFERROR(VLOOKUP(A66,'0919門市清單主檔'!B:AH,33,FALSE),"")=勤務統計!$F$1, IFERROR(VLOOKUP(A66,勤務統計!A:U,21,FALSE),"")&lt;&gt;勤務統計!$F$1), 勤務統計!$F$1, ""),
        IF(AND(IFERROR(VLOOKUP(A66,'0919門市清單主檔'!B:AH,28,FALSE),"")="HUB", IFERROR(VLOOKUP(A66,勤務統計!A:W,23,FALSE),"")&lt;&gt;"HUB"), "HUB", "")
      ) &amp; "未完工",
      "已完工"
    )
  )
)</f>
        <v>未完工</v>
      </c>
      <c r="P66" s="403" t="str">
        <f>(TEXT(I66,"yyyymmdd"))&amp;勤務統計!$V$2&amp;A66&amp;勤務統計!$V$2&amp;B66&amp;勤務統計!$S$2</f>
        <v>PMQ1-4573-中和浪漫店(定保)</v>
      </c>
      <c r="Q66" s="420" t="str">
        <f t="array" ref="Q66">IF(AND(SUMPRODUCT((IM!$F$2:$F$5000=A66)*(ISNUMBER(SEARCH(勤務統計!$D$1, IM!$AC$2:$AC$5000))))&gt;0), 勤務統計!$D$1, "")</f>
        <v/>
      </c>
      <c r="R66" s="421" t="str">
        <f t="array" ref="R66">IFERROR(INDEX(IM!$AM$2:$AM$5000, MATCH(1, (IM!$F$2:$F$5000=A66) * (ISNUMBER(SEARCH(勤務統計!$D$1, IM!$AC$2:$AC$5000))), 0)), "")</f>
        <v/>
      </c>
      <c r="S66" s="406" t="str" cm="1">
        <f t="array" ref="S66">IF(AND(SUMPRODUCT((IM!$F$2:$F$5000=A66)*(ISNUMBER(SEARCH(勤務統計!$E$1, IM!$AC$2:$AC$5000))))&gt;0), 勤務統計!$E$1, "")</f>
        <v/>
      </c>
      <c r="T66" s="422" t="str">
        <f t="array" ref="T66">IFERROR(INDEX(IM!$AM$2:$AM$5000, MATCH(1, (IM!$F$2:$F$5000=A66) * (ISNUMBER(SEARCH(勤務統計!$E$1, IM!$AC$2:$AC$5000))), 0)), "")</f>
        <v/>
      </c>
      <c r="U66" s="406" t="str" cm="1">
        <f t="array" ref="U66">IF(AND(SUMPRODUCT((IM!$F$2:$F$5000=A66)*(ISNUMBER(SEARCH(勤務統計!$F$1, IM!$AC$2:$AC$5000))))&gt;0), 勤務統計!$F$1, "")</f>
        <v>+721</v>
      </c>
      <c r="V66" s="413">
        <f t="array" ref="V66">IFERROR(INDEX(IM!$AM$2:$AM$5000, MATCH(1, (IM!$F$2:$F$5000=A66) * (ISNUMBER(SEARCH(勤務統計!$F$1, IM!$AC$2:$AC$5000))), 0)), "")</f>
        <v>46041</v>
      </c>
      <c r="W66" s="414" t="str">
        <f>IF(VLOOKUP(A66,'0919門市清單主檔'!B:AC,28,FALSE)=0,"",VLOOKUP(A66,'0919門市清單主檔'!B:AC,28,FALSE))</f>
        <v/>
      </c>
    </row>
    <row r="67" spans="1:23" ht="21.6" customHeight="1">
      <c r="A67" s="423">
        <v>4770</v>
      </c>
      <c r="B67" s="416" t="str">
        <f>VLOOKUP(A67,'0919門市清單主檔'!B:C,2,FALSE)</f>
        <v>中和嘉德店</v>
      </c>
      <c r="C67" s="415" t="str">
        <f>VLOOKUP($A67,'0919門市清單主檔'!B:V,20,FALSE)</f>
        <v>新北市</v>
      </c>
      <c r="D67" s="410" t="str">
        <f>VLOOKUP($A67,'0919門市清單主檔'!B:V,21,FALSE)</f>
        <v>中和區</v>
      </c>
      <c r="E67" s="397" t="str">
        <f>VLOOKUP(D67,門市狀態!G:H,2,FALSE)</f>
        <v>劉柏均</v>
      </c>
      <c r="F67" s="410" t="str">
        <f>IFERROR(IF(VLOOKUP(A67,門市狀態!A:D,4,FALSE)=0,"",VLOOKUP(A67,門市狀態!A:D,4,FALSE)),"")</f>
        <v/>
      </c>
      <c r="G67" s="424"/>
      <c r="H67" s="425" t="str">
        <f>IF(I67&gt;0,(TEXT(I67,"yyyymmdd")&amp;勤務統計!$V$2&amp;A67&amp;勤務統計!$V$2&amp;B67&amp;勤務統計!$S$2),"")</f>
        <v>PMQ1-4770-中和嘉德店(定保)</v>
      </c>
      <c r="I67" s="247" t="str">
        <f t="array" ref="I67">IF(AND(SUMPRODUCT((IM!$F$2:$F$5000=A67)*(ISNUMBER(SEARCH(勤務統計!$C$1, IM!$AC$2:$AC$5000))))&gt;0), 勤務統計!$C$1, "")</f>
        <v>PMQ1</v>
      </c>
      <c r="J67" s="399">
        <f t="array" ref="J67">IFERROR(INDEX(IM!$AM$2:$AM$5000, MATCH(1, (IM!$F$2:$F$5000=A67) * (ISNUMBER(SEARCH(勤務統計!$C$1, IM!$AC$2:$AC$5000))), 0)), "")</f>
        <v>46041</v>
      </c>
      <c r="K67" s="400">
        <f t="array" ref="K67">SUMPRODUCT((IM!$F$2:$F$5000=A67)*(IM!$AD$2:$AD$5000="O")*(ISNUMBER(SEARCH(勤務統計!$C$1, IM!$AC$2:$AC$5000))))</f>
        <v>1</v>
      </c>
      <c r="L67" s="401" t="str">
        <f t="array" ref="L67">IF(K67&gt;0,IFERROR(HYPERLINK("#'IM'!AC"&amp;MATCH(1,(IM!$F$1:$F$5000=A67)*(ISNUMBER(SEARCH(勤務統計!$C$1,IM!$AC$1:$AC$5000))),0),"檢核"),"未登錄"),"")</f>
        <v>檢核</v>
      </c>
      <c r="M67" s="402" t="str">
        <f t="shared" ref="M67:M130" si="1">Q67&amp;S67&amp;U67</f>
        <v/>
      </c>
      <c r="N67" s="402" t="str">
        <f t="array" ref="N67">IF(AND(
    SUMPRODUCT(
        (IM!$F$2:$F$522=A67) *
        ISNUMBER(SEARCH("*HUB*", IM!$AC$2:$AC$522)) *
        (IM!$X$2:$X$522&gt;=勤務統計!$A$1) *
        (IM!$X$2:$X$522&lt;=勤務統計!$B$1)*(W67="HUB")
    ) &gt; 0
), "HUB", "")</f>
        <v/>
      </c>
      <c r="O67" s="400" t="str">
        <f>IF(
  IFERROR(VLOOKUP(A67,勤務統計!A:I,9,FALSE),"")&lt;&gt;勤務統計!$C$1,
  "未完工",
  IF(
    AND(勤務統計!$D$1="--",勤務統計!$E$1="--",勤務統計!$F$1="--"),
    "已完工",
    IF(
      OR(
        AND(勤務統計!$D$1&lt;&gt;"--", IFERROR(VLOOKUP(A67,'0919門市清單主檔'!B:AH,31,FALSE),"")=勤務統計!$D$1, IFERROR(VLOOKUP(A67,勤務統計!A:Q,17,FALSE),"")&lt;&gt;勤務統計!$D$1),
        AND(勤務統計!$E$1&lt;&gt;"--", IFERROR(VLOOKUP(A67,'0919門市清單主檔'!B:AH,32,FALSE),"")=勤務統計!$E$1, IFERROR(VLOOKUP(A67,勤務統計!A:S,19,FALSE),"")&lt;&gt;勤務統計!$E$1),
        AND(勤務統計!$F$1&lt;&gt;"--", IFERROR(VLOOKUP(A67,'0919門市清單主檔'!B:AH,33,FALSE),"")=勤務統計!$F$1, IFERROR(VLOOKUP(A67,勤務統計!A:U,21,FALSE),"")&lt;&gt;勤務統計!$F$1),
        AND(IFERROR(VLOOKUP(A67,'0919門市清單主檔'!B:AH,28,FALSE),"")="HUB", IFERROR(VLOOKUP(A67,勤務統計!A:W,23,FALSE),"")&lt;&gt;"HUB")
      ),
      _xlfn.TEXTJOIN(
        "，",
        TRUE,
        IF(AND(勤務統計!$D$1&lt;&gt;"--", IFERROR(VLOOKUP(A67,'0919門市清單主檔'!B:AH,31,FALSE),"")=勤務統計!$D$1, IFERROR(VLOOKUP(A67,勤務統計!A:Q,17,FALSE),"")&lt;&gt;勤務統計!$D$1), 勤務統計!$D$1, ""),
        IF(AND(勤務統計!$E$1&lt;&gt;"--", IFERROR(VLOOKUP(A67,'0919門市清單主檔'!B:AH,32,FALSE),"")=勤務統計!$E$1, IFERROR(VLOOKUP(A67,勤務統計!A:S,19,FALSE),"")&lt;&gt;勤務統計!$E$1), 勤務統計!$E$1, ""),
        IF(AND(勤務統計!$F$1&lt;&gt;"--", IFERROR(VLOOKUP(A67,'0919門市清單主檔'!B:AH,33,FALSE),"")=勤務統計!$F$1, IFERROR(VLOOKUP(A67,勤務統計!A:U,21,FALSE),"")&lt;&gt;勤務統計!$F$1), 勤務統計!$F$1, ""),
        IF(AND(IFERROR(VLOOKUP(A67,'0919門市清單主檔'!B:AH,28,FALSE),"")="HUB", IFERROR(VLOOKUP(A67,勤務統計!A:W,23,FALSE),"")&lt;&gt;"HUB"), "HUB", "")
      ) &amp; "未完工",
      "已完工"
    )
  )
)</f>
        <v>未完工</v>
      </c>
      <c r="P67" s="403" t="str">
        <f>(TEXT(I67,"yyyymmdd"))&amp;勤務統計!$V$2&amp;A67&amp;勤務統計!$V$2&amp;B67&amp;勤務統計!$S$2</f>
        <v>PMQ1-4770-中和嘉德店(定保)</v>
      </c>
      <c r="Q67" s="420" t="str">
        <f t="array" ref="Q67">IF(AND(SUMPRODUCT((IM!$F$2:$F$5000=A67)*(ISNUMBER(SEARCH(勤務統計!$D$1, IM!$AC$2:$AC$5000))))&gt;0), 勤務統計!$D$1, "")</f>
        <v/>
      </c>
      <c r="R67" s="421" t="str">
        <f t="array" ref="R67">IFERROR(INDEX(IM!$AM$2:$AM$5000, MATCH(1, (IM!$F$2:$F$5000=A67) * (ISNUMBER(SEARCH(勤務統計!$D$1, IM!$AC$2:$AC$5000))), 0)), "")</f>
        <v/>
      </c>
      <c r="S67" s="406" t="str" cm="1">
        <f t="array" ref="S67">IF(AND(SUMPRODUCT((IM!$F$2:$F$5000=A67)*(ISNUMBER(SEARCH(勤務統計!$E$1, IM!$AC$2:$AC$5000))))&gt;0), 勤務統計!$E$1, "")</f>
        <v/>
      </c>
      <c r="T67" s="422" t="str">
        <f t="array" ref="T67">IFERROR(INDEX(IM!$AM$2:$AM$5000, MATCH(1, (IM!$F$2:$F$5000=A67) * (ISNUMBER(SEARCH(勤務統計!$E$1, IM!$AC$2:$AC$5000))), 0)), "")</f>
        <v/>
      </c>
      <c r="U67" s="406" t="str" cm="1">
        <f t="array" ref="U67">IF(AND(SUMPRODUCT((IM!$F$2:$F$5000=A67)*(ISNUMBER(SEARCH(勤務統計!$F$1, IM!$AC$2:$AC$5000))))&gt;0), 勤務統計!$F$1, "")</f>
        <v/>
      </c>
      <c r="V67" s="413" t="str">
        <f t="array" ref="V67">IFERROR(INDEX(IM!$AM$2:$AM$5000, MATCH(1, (IM!$F$2:$F$5000=A67) * (ISNUMBER(SEARCH(勤務統計!$F$1, IM!$AC$2:$AC$5000))), 0)), "")</f>
        <v/>
      </c>
      <c r="W67" s="414" t="str">
        <f>IF(VLOOKUP(A67,'0919門市清單主檔'!B:AC,28,FALSE)=0,"",VLOOKUP(A67,'0919門市清單主檔'!B:AC,28,FALSE))</f>
        <v/>
      </c>
    </row>
    <row r="68" spans="1:23" ht="21.6" customHeight="1">
      <c r="A68" s="423" t="s">
        <v>52</v>
      </c>
      <c r="B68" s="416" t="str">
        <f>VLOOKUP(A68,'0919門市清單主檔'!B:C,2,FALSE)</f>
        <v>北縣南勢店</v>
      </c>
      <c r="C68" s="415" t="str">
        <f>VLOOKUP($A68,'0919門市清單主檔'!B:V,20,FALSE)</f>
        <v>新北市</v>
      </c>
      <c r="D68" s="410" t="str">
        <f>VLOOKUP($A68,'0919門市清單主檔'!B:V,21,FALSE)</f>
        <v>中和區</v>
      </c>
      <c r="E68" s="397" t="str">
        <f>VLOOKUP(D68,門市狀態!G:H,2,FALSE)</f>
        <v>劉柏均</v>
      </c>
      <c r="F68" s="410" t="str">
        <f>IFERROR(IF(VLOOKUP(A68,門市狀態!A:D,4,FALSE)=0,"",VLOOKUP(A68,門市狀態!A:D,4,FALSE)),"")</f>
        <v/>
      </c>
      <c r="G68" s="424"/>
      <c r="H68" s="425" t="str">
        <f>IF(I68&gt;0,(TEXT(I68,"yyyymmdd")&amp;勤務統計!$V$2&amp;A68&amp;勤務統計!$V$2&amp;B68&amp;勤務統計!$S$2),"")</f>
        <v>PMQ1-C216-北縣南勢店(定保)</v>
      </c>
      <c r="I68" s="247" t="str">
        <f t="array" ref="I68">IF(AND(SUMPRODUCT((IM!$F$2:$F$5000=A68)*(ISNUMBER(SEARCH(勤務統計!$C$1, IM!$AC$2:$AC$5000))))&gt;0), 勤務統計!$C$1, "")</f>
        <v>PMQ1</v>
      </c>
      <c r="J68" s="399">
        <f t="array" ref="J68">IFERROR(INDEX(IM!$AM$2:$AM$5000, MATCH(1, (IM!$F$2:$F$5000=A68) * (ISNUMBER(SEARCH(勤務統計!$C$1, IM!$AC$2:$AC$5000))), 0)), "")</f>
        <v>46041</v>
      </c>
      <c r="K68" s="400">
        <f t="array" ref="K68">SUMPRODUCT((IM!$F$2:$F$5000=A68)*(IM!$AD$2:$AD$5000="O")*(ISNUMBER(SEARCH(勤務統計!$C$1, IM!$AC$2:$AC$5000))))</f>
        <v>1</v>
      </c>
      <c r="L68" s="401" t="str">
        <f t="array" ref="L68">IF(K68&gt;0,IFERROR(HYPERLINK("#'IM'!AC"&amp;MATCH(1,(IM!$F$1:$F$5000=A68)*(ISNUMBER(SEARCH(勤務統計!$C$1,IM!$AC$1:$AC$5000))),0),"檢核"),"未登錄"),"")</f>
        <v>檢核</v>
      </c>
      <c r="M68" s="402" t="str">
        <f t="shared" si="1"/>
        <v>+721</v>
      </c>
      <c r="N68" s="402" t="str">
        <f t="array" ref="N68">IF(AND(
    SUMPRODUCT(
        (IM!$F$2:$F$522=A68) *
        ISNUMBER(SEARCH("*HUB*", IM!$AC$2:$AC$522)) *
        (IM!$X$2:$X$522&gt;=勤務統計!$A$1) *
        (IM!$X$2:$X$522&lt;=勤務統計!$B$1)*(W68="HUB")
    ) &gt; 0
), "HUB", "")</f>
        <v/>
      </c>
      <c r="O68" s="400" t="str">
        <f>IF(
  IFERROR(VLOOKUP(A68,勤務統計!A:I,9,FALSE),"")&lt;&gt;勤務統計!$C$1,
  "未完工",
  IF(
    AND(勤務統計!$D$1="--",勤務統計!$E$1="--",勤務統計!$F$1="--"),
    "已完工",
    IF(
      OR(
        AND(勤務統計!$D$1&lt;&gt;"--", IFERROR(VLOOKUP(A68,'0919門市清單主檔'!B:AH,31,FALSE),"")=勤務統計!$D$1, IFERROR(VLOOKUP(A68,勤務統計!A:Q,17,FALSE),"")&lt;&gt;勤務統計!$D$1),
        AND(勤務統計!$E$1&lt;&gt;"--", IFERROR(VLOOKUP(A68,'0919門市清單主檔'!B:AH,32,FALSE),"")=勤務統計!$E$1, IFERROR(VLOOKUP(A68,勤務統計!A:S,19,FALSE),"")&lt;&gt;勤務統計!$E$1),
        AND(勤務統計!$F$1&lt;&gt;"--", IFERROR(VLOOKUP(A68,'0919門市清單主檔'!B:AH,33,FALSE),"")=勤務統計!$F$1, IFERROR(VLOOKUP(A68,勤務統計!A:U,21,FALSE),"")&lt;&gt;勤務統計!$F$1),
        AND(IFERROR(VLOOKUP(A68,'0919門市清單主檔'!B:AH,28,FALSE),"")="HUB", IFERROR(VLOOKUP(A68,勤務統計!A:W,23,FALSE),"")&lt;&gt;"HUB")
      ),
      _xlfn.TEXTJOIN(
        "，",
        TRUE,
        IF(AND(勤務統計!$D$1&lt;&gt;"--", IFERROR(VLOOKUP(A68,'0919門市清單主檔'!B:AH,31,FALSE),"")=勤務統計!$D$1, IFERROR(VLOOKUP(A68,勤務統計!A:Q,17,FALSE),"")&lt;&gt;勤務統計!$D$1), 勤務統計!$D$1, ""),
        IF(AND(勤務統計!$E$1&lt;&gt;"--", IFERROR(VLOOKUP(A68,'0919門市清單主檔'!B:AH,32,FALSE),"")=勤務統計!$E$1, IFERROR(VLOOKUP(A68,勤務統計!A:S,19,FALSE),"")&lt;&gt;勤務統計!$E$1), 勤務統計!$E$1, ""),
        IF(AND(勤務統計!$F$1&lt;&gt;"--", IFERROR(VLOOKUP(A68,'0919門市清單主檔'!B:AH,33,FALSE),"")=勤務統計!$F$1, IFERROR(VLOOKUP(A68,勤務統計!A:U,21,FALSE),"")&lt;&gt;勤務統計!$F$1), 勤務統計!$F$1, ""),
        IF(AND(IFERROR(VLOOKUP(A68,'0919門市清單主檔'!B:AH,28,FALSE),"")="HUB", IFERROR(VLOOKUP(A68,勤務統計!A:W,23,FALSE),"")&lt;&gt;"HUB"), "HUB", "")
      ) &amp; "未完工",
      "已完工"
    )
  )
)</f>
        <v>未完工</v>
      </c>
      <c r="P68" s="403" t="str">
        <f>(TEXT(I68,"yyyymmdd"))&amp;勤務統計!$V$2&amp;A68&amp;勤務統計!$V$2&amp;B68&amp;勤務統計!$S$2</f>
        <v>PMQ1-C216-北縣南勢店(定保)</v>
      </c>
      <c r="Q68" s="420" t="str">
        <f t="array" ref="Q68">IF(AND(SUMPRODUCT((IM!$F$2:$F$5000=A68)*(ISNUMBER(SEARCH(勤務統計!$D$1, IM!$AC$2:$AC$5000))))&gt;0), 勤務統計!$D$1, "")</f>
        <v/>
      </c>
      <c r="R68" s="421" t="str">
        <f t="array" ref="R68">IFERROR(INDEX(IM!$AM$2:$AM$5000, MATCH(1, (IM!$F$2:$F$5000=A68) * (ISNUMBER(SEARCH(勤務統計!$D$1, IM!$AC$2:$AC$5000))), 0)), "")</f>
        <v/>
      </c>
      <c r="S68" s="406" t="str" cm="1">
        <f t="array" ref="S68">IF(AND(SUMPRODUCT((IM!$F$2:$F$5000=A68)*(ISNUMBER(SEARCH(勤務統計!$E$1, IM!$AC$2:$AC$5000))))&gt;0), 勤務統計!$E$1, "")</f>
        <v/>
      </c>
      <c r="T68" s="422" t="str">
        <f t="array" ref="T68">IFERROR(INDEX(IM!$AM$2:$AM$5000, MATCH(1, (IM!$F$2:$F$5000=A68) * (ISNUMBER(SEARCH(勤務統計!$E$1, IM!$AC$2:$AC$5000))), 0)), "")</f>
        <v/>
      </c>
      <c r="U68" s="406" t="str" cm="1">
        <f t="array" ref="U68">IF(AND(SUMPRODUCT((IM!$F$2:$F$5000=A68)*(ISNUMBER(SEARCH(勤務統計!$F$1, IM!$AC$2:$AC$5000))))&gt;0), 勤務統計!$F$1, "")</f>
        <v>+721</v>
      </c>
      <c r="V68" s="413">
        <f t="array" ref="V68">IFERROR(INDEX(IM!$AM$2:$AM$5000, MATCH(1, (IM!$F$2:$F$5000=A68) * (ISNUMBER(SEARCH(勤務統計!$F$1, IM!$AC$2:$AC$5000))), 0)), "")</f>
        <v>46041</v>
      </c>
      <c r="W68" s="414" t="str">
        <f>IF(VLOOKUP(A68,'0919門市清單主檔'!B:AC,28,FALSE)=0,"",VLOOKUP(A68,'0919門市清單主檔'!B:AC,28,FALSE))</f>
        <v/>
      </c>
    </row>
    <row r="69" spans="1:23" ht="21.6" customHeight="1">
      <c r="A69" s="423">
        <v>5401</v>
      </c>
      <c r="B69" s="416" t="str">
        <f>VLOOKUP(A69,'0919門市清單主檔'!B:C,2,FALSE)</f>
        <v>中和壽南店</v>
      </c>
      <c r="C69" s="415" t="str">
        <f>VLOOKUP($A69,'0919門市清單主檔'!B:V,20,FALSE)</f>
        <v>新北市</v>
      </c>
      <c r="D69" s="410" t="str">
        <f>VLOOKUP($A69,'0919門市清單主檔'!B:V,21,FALSE)</f>
        <v>中和區</v>
      </c>
      <c r="E69" s="397" t="str">
        <f>VLOOKUP(D69,門市狀態!G:H,2,FALSE)</f>
        <v>劉柏均</v>
      </c>
      <c r="F69" s="410" t="str">
        <f>IFERROR(IF(VLOOKUP(A69,門市狀態!A:D,4,FALSE)=0,"",VLOOKUP(A69,門市狀態!A:D,4,FALSE)),"")</f>
        <v/>
      </c>
      <c r="G69" s="424"/>
      <c r="H69" s="425" t="str">
        <f>IF(I69&gt;0,(TEXT(I69,"yyyymmdd")&amp;勤務統計!$V$2&amp;A69&amp;勤務統計!$V$2&amp;B69&amp;勤務統計!$S$2),"")</f>
        <v>PMQ1-5401-中和壽南店(定保)</v>
      </c>
      <c r="I69" s="247" t="str">
        <f t="array" ref="I69">IF(AND(SUMPRODUCT((IM!$F$2:$F$5000=A69)*(ISNUMBER(SEARCH(勤務統計!$C$1, IM!$AC$2:$AC$5000))))&gt;0), 勤務統計!$C$1, "")</f>
        <v>PMQ1</v>
      </c>
      <c r="J69" s="399">
        <f t="array" ref="J69">IFERROR(INDEX(IM!$AM$2:$AM$5000, MATCH(1, (IM!$F$2:$F$5000=A69) * (ISNUMBER(SEARCH(勤務統計!$C$1, IM!$AC$2:$AC$5000))), 0)), "")</f>
        <v>46041</v>
      </c>
      <c r="K69" s="400">
        <f t="array" ref="K69">SUMPRODUCT((IM!$F$2:$F$5000=A69)*(IM!$AD$2:$AD$5000="O")*(ISNUMBER(SEARCH(勤務統計!$C$1, IM!$AC$2:$AC$5000))))</f>
        <v>1</v>
      </c>
      <c r="L69" s="401" t="str">
        <f t="array" ref="L69">IF(K69&gt;0,IFERROR(HYPERLINK("#'IM'!AC"&amp;MATCH(1,(IM!$F$1:$F$5000=A69)*(ISNUMBER(SEARCH(勤務統計!$C$1,IM!$AC$1:$AC$5000))),0),"檢核"),"未登錄"),"")</f>
        <v>檢核</v>
      </c>
      <c r="M69" s="402" t="str">
        <f t="shared" si="1"/>
        <v>+L90+721</v>
      </c>
      <c r="N69" s="402" t="str">
        <f t="array" ref="N69">IF(AND(
    SUMPRODUCT(
        (IM!$F$2:$F$522=A69) *
        ISNUMBER(SEARCH("*HUB*", IM!$AC$2:$AC$522)) *
        (IM!$X$2:$X$522&gt;=勤務統計!$A$1) *
        (IM!$X$2:$X$522&lt;=勤務統計!$B$1)*(W69="HUB")
    ) &gt; 0
), "HUB", "")</f>
        <v/>
      </c>
      <c r="O69" s="400" t="str">
        <f>IF(
  IFERROR(VLOOKUP(A69,勤務統計!A:I,9,FALSE),"")&lt;&gt;勤務統計!$C$1,
  "未完工",
  IF(
    AND(勤務統計!$D$1="--",勤務統計!$E$1="--",勤務統計!$F$1="--"),
    "已完工",
    IF(
      OR(
        AND(勤務統計!$D$1&lt;&gt;"--", IFERROR(VLOOKUP(A69,'0919門市清單主檔'!B:AH,31,FALSE),"")=勤務統計!$D$1, IFERROR(VLOOKUP(A69,勤務統計!A:Q,17,FALSE),"")&lt;&gt;勤務統計!$D$1),
        AND(勤務統計!$E$1&lt;&gt;"--", IFERROR(VLOOKUP(A69,'0919門市清單主檔'!B:AH,32,FALSE),"")=勤務統計!$E$1, IFERROR(VLOOKUP(A69,勤務統計!A:S,19,FALSE),"")&lt;&gt;勤務統計!$E$1),
        AND(勤務統計!$F$1&lt;&gt;"--", IFERROR(VLOOKUP(A69,'0919門市清單主檔'!B:AH,33,FALSE),"")=勤務統計!$F$1, IFERROR(VLOOKUP(A69,勤務統計!A:U,21,FALSE),"")&lt;&gt;勤務統計!$F$1),
        AND(IFERROR(VLOOKUP(A69,'0919門市清單主檔'!B:AH,28,FALSE),"")="HUB", IFERROR(VLOOKUP(A69,勤務統計!A:W,23,FALSE),"")&lt;&gt;"HUB")
      ),
      _xlfn.TEXTJOIN(
        "，",
        TRUE,
        IF(AND(勤務統計!$D$1&lt;&gt;"--", IFERROR(VLOOKUP(A69,'0919門市清單主檔'!B:AH,31,FALSE),"")=勤務統計!$D$1, IFERROR(VLOOKUP(A69,勤務統計!A:Q,17,FALSE),"")&lt;&gt;勤務統計!$D$1), 勤務統計!$D$1, ""),
        IF(AND(勤務統計!$E$1&lt;&gt;"--", IFERROR(VLOOKUP(A69,'0919門市清單主檔'!B:AH,32,FALSE),"")=勤務統計!$E$1, IFERROR(VLOOKUP(A69,勤務統計!A:S,19,FALSE),"")&lt;&gt;勤務統計!$E$1), 勤務統計!$E$1, ""),
        IF(AND(勤務統計!$F$1&lt;&gt;"--", IFERROR(VLOOKUP(A69,'0919門市清單主檔'!B:AH,33,FALSE),"")=勤務統計!$F$1, IFERROR(VLOOKUP(A69,勤務統計!A:U,21,FALSE),"")&lt;&gt;勤務統計!$F$1), 勤務統計!$F$1, ""),
        IF(AND(IFERROR(VLOOKUP(A69,'0919門市清單主檔'!B:AH,28,FALSE),"")="HUB", IFERROR(VLOOKUP(A69,勤務統計!A:W,23,FALSE),"")&lt;&gt;"HUB"), "HUB", "")
      ) &amp; "未完工",
      "已完工"
    )
  )
)</f>
        <v>未完工</v>
      </c>
      <c r="P69" s="403" t="str">
        <f>(TEXT(I69,"yyyymmdd"))&amp;勤務統計!$V$2&amp;A69&amp;勤務統計!$V$2&amp;B69&amp;勤務統計!$S$2</f>
        <v>PMQ1-5401-中和壽南店(定保)</v>
      </c>
      <c r="Q69" s="420" t="str">
        <f t="array" ref="Q69">IF(AND(SUMPRODUCT((IM!$F$2:$F$5000=A69)*(ISNUMBER(SEARCH(勤務統計!$D$1, IM!$AC$2:$AC$5000))))&gt;0), 勤務統計!$D$1, "")</f>
        <v/>
      </c>
      <c r="R69" s="421" t="str">
        <f t="array" ref="R69">IFERROR(INDEX(IM!$AM$2:$AM$5000, MATCH(1, (IM!$F$2:$F$5000=A69) * (ISNUMBER(SEARCH(勤務統計!$D$1, IM!$AC$2:$AC$5000))), 0)), "")</f>
        <v/>
      </c>
      <c r="S69" s="406" t="str" cm="1">
        <f t="array" ref="S69">IF(AND(SUMPRODUCT((IM!$F$2:$F$5000=A69)*(ISNUMBER(SEARCH(勤務統計!$E$1, IM!$AC$2:$AC$5000))))&gt;0), 勤務統計!$E$1, "")</f>
        <v>+L90</v>
      </c>
      <c r="T69" s="422">
        <f t="array" ref="T69">IFERROR(INDEX(IM!$AM$2:$AM$5000, MATCH(1, (IM!$F$2:$F$5000=A69) * (ISNUMBER(SEARCH(勤務統計!$E$1, IM!$AC$2:$AC$5000))), 0)), "")</f>
        <v>46041</v>
      </c>
      <c r="U69" s="406" t="str" cm="1">
        <f t="array" ref="U69">IF(AND(SUMPRODUCT((IM!$F$2:$F$5000=A69)*(ISNUMBER(SEARCH(勤務統計!$F$1, IM!$AC$2:$AC$5000))))&gt;0), 勤務統計!$F$1, "")</f>
        <v>+721</v>
      </c>
      <c r="V69" s="413">
        <f t="array" ref="V69">IFERROR(INDEX(IM!$AM$2:$AM$5000, MATCH(1, (IM!$F$2:$F$5000=A69) * (ISNUMBER(SEARCH(勤務統計!$F$1, IM!$AC$2:$AC$5000))), 0)), "")</f>
        <v>46041</v>
      </c>
      <c r="W69" s="414" t="str">
        <f>IF(VLOOKUP(A69,'0919門市清單主檔'!B:AC,28,FALSE)=0,"",VLOOKUP(A69,'0919門市清單主檔'!B:AC,28,FALSE))</f>
        <v/>
      </c>
    </row>
    <row r="70" spans="1:23" ht="21.6" customHeight="1">
      <c r="A70" s="423">
        <v>2014</v>
      </c>
      <c r="B70" s="416" t="str">
        <f>VLOOKUP(A70,'0919門市清單主檔'!B:C,2,FALSE)</f>
        <v>三重果菜市場</v>
      </c>
      <c r="C70" s="415" t="str">
        <f>VLOOKUP($A70,'0919門市清單主檔'!B:V,20,FALSE)</f>
        <v>新北市</v>
      </c>
      <c r="D70" s="410" t="str">
        <f>VLOOKUP($A70,'0919門市清單主檔'!B:V,21,FALSE)</f>
        <v>三重區</v>
      </c>
      <c r="E70" s="397" t="str">
        <f>VLOOKUP(D70,門市狀態!G:H,2,FALSE)</f>
        <v>劉柏均</v>
      </c>
      <c r="F70" s="410" t="str">
        <f>IFERROR(IF(VLOOKUP(A70,門市狀態!A:D,4,FALSE)=0,"",VLOOKUP(A70,門市狀態!A:D,4,FALSE)),"")</f>
        <v/>
      </c>
      <c r="G70" s="424"/>
      <c r="H70" s="425" t="str">
        <f>IF(I70&gt;0,(TEXT(I70,"yyyymmdd")&amp;勤務統計!$V$2&amp;A70&amp;勤務統計!$V$2&amp;B70&amp;勤務統計!$S$2),"")</f>
        <v>PMQ1-2014-三重果菜市場(定保)</v>
      </c>
      <c r="I70" s="247" t="str">
        <f t="array" ref="I70">IF(AND(SUMPRODUCT((IM!$F$2:$F$5000=A70)*(ISNUMBER(SEARCH(勤務統計!$C$1, IM!$AC$2:$AC$5000))))&gt;0), 勤務統計!$C$1, "")</f>
        <v>PMQ1</v>
      </c>
      <c r="J70" s="399">
        <f t="array" ref="J70">IFERROR(INDEX(IM!$AM$2:$AM$5000, MATCH(1, (IM!$F$2:$F$5000=A70) * (ISNUMBER(SEARCH(勤務統計!$C$1, IM!$AC$2:$AC$5000))), 0)), "")</f>
        <v>46042</v>
      </c>
      <c r="K70" s="400">
        <f t="array" ref="K70">SUMPRODUCT((IM!$F$2:$F$5000=A70)*(IM!$AD$2:$AD$5000="O")*(ISNUMBER(SEARCH(勤務統計!$C$1, IM!$AC$2:$AC$5000))))</f>
        <v>1</v>
      </c>
      <c r="L70" s="401" t="str">
        <f t="array" ref="L70">IF(K70&gt;0,IFERROR(HYPERLINK("#'IM'!AC"&amp;MATCH(1,(IM!$F$1:$F$5000=A70)*(ISNUMBER(SEARCH(勤務統計!$C$1,IM!$AC$1:$AC$5000))),0),"檢核"),"未登錄"),"")</f>
        <v>檢核</v>
      </c>
      <c r="M70" s="402" t="str">
        <f t="shared" si="1"/>
        <v>+L90+721</v>
      </c>
      <c r="N70" s="402" t="str">
        <f t="array" ref="N70">IF(AND(
    SUMPRODUCT(
        (IM!$F$2:$F$522=A70) *
        ISNUMBER(SEARCH("*HUB*", IM!$AC$2:$AC$522)) *
        (IM!$X$2:$X$522&gt;=勤務統計!$A$1) *
        (IM!$X$2:$X$522&lt;=勤務統計!$B$1)*(W70="HUB")
    ) &gt; 0
), "HUB", "")</f>
        <v/>
      </c>
      <c r="O70" s="400" t="str">
        <f>IF(
  IFERROR(VLOOKUP(A70,勤務統計!A:I,9,FALSE),"")&lt;&gt;勤務統計!$C$1,
  "未完工",
  IF(
    AND(勤務統計!$D$1="--",勤務統計!$E$1="--",勤務統計!$F$1="--"),
    "已完工",
    IF(
      OR(
        AND(勤務統計!$D$1&lt;&gt;"--", IFERROR(VLOOKUP(A70,'0919門市清單主檔'!B:AH,31,FALSE),"")=勤務統計!$D$1, IFERROR(VLOOKUP(A70,勤務統計!A:Q,17,FALSE),"")&lt;&gt;勤務統計!$D$1),
        AND(勤務統計!$E$1&lt;&gt;"--", IFERROR(VLOOKUP(A70,'0919門市清單主檔'!B:AH,32,FALSE),"")=勤務統計!$E$1, IFERROR(VLOOKUP(A70,勤務統計!A:S,19,FALSE),"")&lt;&gt;勤務統計!$E$1),
        AND(勤務統計!$F$1&lt;&gt;"--", IFERROR(VLOOKUP(A70,'0919門市清單主檔'!B:AH,33,FALSE),"")=勤務統計!$F$1, IFERROR(VLOOKUP(A70,勤務統計!A:U,21,FALSE),"")&lt;&gt;勤務統計!$F$1),
        AND(IFERROR(VLOOKUP(A70,'0919門市清單主檔'!B:AH,28,FALSE),"")="HUB", IFERROR(VLOOKUP(A70,勤務統計!A:W,23,FALSE),"")&lt;&gt;"HUB")
      ),
      _xlfn.TEXTJOIN(
        "，",
        TRUE,
        IF(AND(勤務統計!$D$1&lt;&gt;"--", IFERROR(VLOOKUP(A70,'0919門市清單主檔'!B:AH,31,FALSE),"")=勤務統計!$D$1, IFERROR(VLOOKUP(A70,勤務統計!A:Q,17,FALSE),"")&lt;&gt;勤務統計!$D$1), 勤務統計!$D$1, ""),
        IF(AND(勤務統計!$E$1&lt;&gt;"--", IFERROR(VLOOKUP(A70,'0919門市清單主檔'!B:AH,32,FALSE),"")=勤務統計!$E$1, IFERROR(VLOOKUP(A70,勤務統計!A:S,19,FALSE),"")&lt;&gt;勤務統計!$E$1), 勤務統計!$E$1, ""),
        IF(AND(勤務統計!$F$1&lt;&gt;"--", IFERROR(VLOOKUP(A70,'0919門市清單主檔'!B:AH,33,FALSE),"")=勤務統計!$F$1, IFERROR(VLOOKUP(A70,勤務統計!A:U,21,FALSE),"")&lt;&gt;勤務統計!$F$1), 勤務統計!$F$1, ""),
        IF(AND(IFERROR(VLOOKUP(A70,'0919門市清單主檔'!B:AH,28,FALSE),"")="HUB", IFERROR(VLOOKUP(A70,勤務統計!A:W,23,FALSE),"")&lt;&gt;"HUB"), "HUB", "")
      ) &amp; "未完工",
      "已完工"
    )
  )
)</f>
        <v>未完工</v>
      </c>
      <c r="P70" s="403" t="str">
        <f>(TEXT(I70,"yyyymmdd"))&amp;勤務統計!$V$2&amp;A70&amp;勤務統計!$V$2&amp;B70&amp;勤務統計!$S$2</f>
        <v>PMQ1-2014-三重果菜市場(定保)</v>
      </c>
      <c r="Q70" s="420" t="str">
        <f t="array" ref="Q70">IF(AND(SUMPRODUCT((IM!$F$2:$F$5000=A70)*(ISNUMBER(SEARCH(勤務統計!$D$1, IM!$AC$2:$AC$5000))))&gt;0), 勤務統計!$D$1, "")</f>
        <v/>
      </c>
      <c r="R70" s="421" t="str">
        <f t="array" ref="R70">IFERROR(INDEX(IM!$AM$2:$AM$5000, MATCH(1, (IM!$F$2:$F$5000=A70) * (ISNUMBER(SEARCH(勤務統計!$D$1, IM!$AC$2:$AC$5000))), 0)), "")</f>
        <v/>
      </c>
      <c r="S70" s="406" t="str" cm="1">
        <f t="array" ref="S70">IF(AND(SUMPRODUCT((IM!$F$2:$F$5000=A70)*(ISNUMBER(SEARCH(勤務統計!$E$1, IM!$AC$2:$AC$5000))))&gt;0), 勤務統計!$E$1, "")</f>
        <v>+L90</v>
      </c>
      <c r="T70" s="422">
        <f t="array" ref="T70">IFERROR(INDEX(IM!$AM$2:$AM$5000, MATCH(1, (IM!$F$2:$F$5000=A70) * (ISNUMBER(SEARCH(勤務統計!$E$1, IM!$AC$2:$AC$5000))), 0)), "")</f>
        <v>46010</v>
      </c>
      <c r="U70" s="406" t="str" cm="1">
        <f t="array" ref="U70">IF(AND(SUMPRODUCT((IM!$F$2:$F$5000=A70)*(ISNUMBER(SEARCH(勤務統計!$F$1, IM!$AC$2:$AC$5000))))&gt;0), 勤務統計!$F$1, "")</f>
        <v>+721</v>
      </c>
      <c r="V70" s="413">
        <f t="array" ref="V70">IFERROR(INDEX(IM!$AM$2:$AM$5000, MATCH(1, (IM!$F$2:$F$5000=A70) * (ISNUMBER(SEARCH(勤務統計!$F$1, IM!$AC$2:$AC$5000))), 0)), "")</f>
        <v>46042</v>
      </c>
      <c r="W70" s="414" t="str">
        <f>IF(VLOOKUP(A70,'0919門市清單主檔'!B:AC,28,FALSE)=0,"",VLOOKUP(A70,'0919門市清單主檔'!B:AC,28,FALSE))</f>
        <v/>
      </c>
    </row>
    <row r="71" spans="1:23" ht="21.6" customHeight="1">
      <c r="A71" s="423">
        <v>2209</v>
      </c>
      <c r="B71" s="416" t="str">
        <f>VLOOKUP(A71,'0919門市清單主檔'!B:C,2,FALSE)</f>
        <v>三重圖書館</v>
      </c>
      <c r="C71" s="415" t="str">
        <f>VLOOKUP($A71,'0919門市清單主檔'!B:V,20,FALSE)</f>
        <v>新北市</v>
      </c>
      <c r="D71" s="410" t="str">
        <f>VLOOKUP($A71,'0919門市清單主檔'!B:V,21,FALSE)</f>
        <v>三重區</v>
      </c>
      <c r="E71" s="397" t="str">
        <f>VLOOKUP(D71,門市狀態!G:H,2,FALSE)</f>
        <v>劉柏均</v>
      </c>
      <c r="F71" s="410" t="str">
        <f>IFERROR(IF(VLOOKUP(A71,門市狀態!A:D,4,FALSE)=0,"",VLOOKUP(A71,門市狀態!A:D,4,FALSE)),"")</f>
        <v/>
      </c>
      <c r="G71" s="424"/>
      <c r="H71" s="425" t="str">
        <f>IF(I71&gt;0,(TEXT(I71,"yyyymmdd")&amp;勤務統計!$V$2&amp;A71&amp;勤務統計!$V$2&amp;B71&amp;勤務統計!$S$2),"")</f>
        <v>PMQ1-2209-三重圖書館(定保)</v>
      </c>
      <c r="I71" s="247" t="str">
        <f t="array" ref="I71">IF(AND(SUMPRODUCT((IM!$F$2:$F$5000=A71)*(ISNUMBER(SEARCH(勤務統計!$C$1, IM!$AC$2:$AC$5000))))&gt;0), 勤務統計!$C$1, "")</f>
        <v>PMQ1</v>
      </c>
      <c r="J71" s="399">
        <f t="array" ref="J71">IFERROR(INDEX(IM!$AM$2:$AM$5000, MATCH(1, (IM!$F$2:$F$5000=A71) * (ISNUMBER(SEARCH(勤務統計!$C$1, IM!$AC$2:$AC$5000))), 0)), "")</f>
        <v>46042</v>
      </c>
      <c r="K71" s="400">
        <f t="array" ref="K71">SUMPRODUCT((IM!$F$2:$F$5000=A71)*(IM!$AD$2:$AD$5000="O")*(ISNUMBER(SEARCH(勤務統計!$C$1, IM!$AC$2:$AC$5000))))</f>
        <v>1</v>
      </c>
      <c r="L71" s="401" t="str">
        <f t="array" ref="L71">IF(K71&gt;0,IFERROR(HYPERLINK("#'IM'!AC"&amp;MATCH(1,(IM!$F$1:$F$5000=A71)*(ISNUMBER(SEARCH(勤務統計!$C$1,IM!$AC$1:$AC$5000))),0),"檢核"),"未登錄"),"")</f>
        <v>檢核</v>
      </c>
      <c r="M71" s="402" t="str">
        <f t="shared" si="1"/>
        <v>+721</v>
      </c>
      <c r="N71" s="402" t="str">
        <f t="array" ref="N71">IF(AND(
    SUMPRODUCT(
        (IM!$F$2:$F$522=A71) *
        ISNUMBER(SEARCH("*HUB*", IM!$AC$2:$AC$522)) *
        (IM!$X$2:$X$522&gt;=勤務統計!$A$1) *
        (IM!$X$2:$X$522&lt;=勤務統計!$B$1)*(W71="HUB")
    ) &gt; 0
), "HUB", "")</f>
        <v/>
      </c>
      <c r="O71" s="400" t="str">
        <f>IF(
  IFERROR(VLOOKUP(A71,勤務統計!A:I,9,FALSE),"")&lt;&gt;勤務統計!$C$1,
  "未完工",
  IF(
    AND(勤務統計!$D$1="--",勤務統計!$E$1="--",勤務統計!$F$1="--"),
    "已完工",
    IF(
      OR(
        AND(勤務統計!$D$1&lt;&gt;"--", IFERROR(VLOOKUP(A71,'0919門市清單主檔'!B:AH,31,FALSE),"")=勤務統計!$D$1, IFERROR(VLOOKUP(A71,勤務統計!A:Q,17,FALSE),"")&lt;&gt;勤務統計!$D$1),
        AND(勤務統計!$E$1&lt;&gt;"--", IFERROR(VLOOKUP(A71,'0919門市清單主檔'!B:AH,32,FALSE),"")=勤務統計!$E$1, IFERROR(VLOOKUP(A71,勤務統計!A:S,19,FALSE),"")&lt;&gt;勤務統計!$E$1),
        AND(勤務統計!$F$1&lt;&gt;"--", IFERROR(VLOOKUP(A71,'0919門市清單主檔'!B:AH,33,FALSE),"")=勤務統計!$F$1, IFERROR(VLOOKUP(A71,勤務統計!A:U,21,FALSE),"")&lt;&gt;勤務統計!$F$1),
        AND(IFERROR(VLOOKUP(A71,'0919門市清單主檔'!B:AH,28,FALSE),"")="HUB", IFERROR(VLOOKUP(A71,勤務統計!A:W,23,FALSE),"")&lt;&gt;"HUB")
      ),
      _xlfn.TEXTJOIN(
        "，",
        TRUE,
        IF(AND(勤務統計!$D$1&lt;&gt;"--", IFERROR(VLOOKUP(A71,'0919門市清單主檔'!B:AH,31,FALSE),"")=勤務統計!$D$1, IFERROR(VLOOKUP(A71,勤務統計!A:Q,17,FALSE),"")&lt;&gt;勤務統計!$D$1), 勤務統計!$D$1, ""),
        IF(AND(勤務統計!$E$1&lt;&gt;"--", IFERROR(VLOOKUP(A71,'0919門市清單主檔'!B:AH,32,FALSE),"")=勤務統計!$E$1, IFERROR(VLOOKUP(A71,勤務統計!A:S,19,FALSE),"")&lt;&gt;勤務統計!$E$1), 勤務統計!$E$1, ""),
        IF(AND(勤務統計!$F$1&lt;&gt;"--", IFERROR(VLOOKUP(A71,'0919門市清單主檔'!B:AH,33,FALSE),"")=勤務統計!$F$1, IFERROR(VLOOKUP(A71,勤務統計!A:U,21,FALSE),"")&lt;&gt;勤務統計!$F$1), 勤務統計!$F$1, ""),
        IF(AND(IFERROR(VLOOKUP(A71,'0919門市清單主檔'!B:AH,28,FALSE),"")="HUB", IFERROR(VLOOKUP(A71,勤務統計!A:W,23,FALSE),"")&lt;&gt;"HUB"), "HUB", "")
      ) &amp; "未完工",
      "已完工"
    )
  )
)</f>
        <v>未完工</v>
      </c>
      <c r="P71" s="403" t="str">
        <f>(TEXT(I71,"yyyymmdd"))&amp;勤務統計!$V$2&amp;A71&amp;勤務統計!$V$2&amp;B71&amp;勤務統計!$S$2</f>
        <v>PMQ1-2209-三重圖書館(定保)</v>
      </c>
      <c r="Q71" s="420" t="str">
        <f t="array" ref="Q71">IF(AND(SUMPRODUCT((IM!$F$2:$F$5000=A71)*(ISNUMBER(SEARCH(勤務統計!$D$1, IM!$AC$2:$AC$5000))))&gt;0), 勤務統計!$D$1, "")</f>
        <v/>
      </c>
      <c r="R71" s="421" t="str">
        <f t="array" ref="R71">IFERROR(INDEX(IM!$AM$2:$AM$5000, MATCH(1, (IM!$F$2:$F$5000=A71) * (ISNUMBER(SEARCH(勤務統計!$D$1, IM!$AC$2:$AC$5000))), 0)), "")</f>
        <v/>
      </c>
      <c r="S71" s="406" t="str" cm="1">
        <f t="array" ref="S71">IF(AND(SUMPRODUCT((IM!$F$2:$F$5000=A71)*(ISNUMBER(SEARCH(勤務統計!$E$1, IM!$AC$2:$AC$5000))))&gt;0), 勤務統計!$E$1, "")</f>
        <v/>
      </c>
      <c r="T71" s="422" t="str">
        <f t="array" ref="T71">IFERROR(INDEX(IM!$AM$2:$AM$5000, MATCH(1, (IM!$F$2:$F$5000=A71) * (ISNUMBER(SEARCH(勤務統計!$E$1, IM!$AC$2:$AC$5000))), 0)), "")</f>
        <v/>
      </c>
      <c r="U71" s="406" t="str" cm="1">
        <f t="array" ref="U71">IF(AND(SUMPRODUCT((IM!$F$2:$F$5000=A71)*(ISNUMBER(SEARCH(勤務統計!$F$1, IM!$AC$2:$AC$5000))))&gt;0), 勤務統計!$F$1, "")</f>
        <v>+721</v>
      </c>
      <c r="V71" s="413">
        <f t="array" ref="V71">IFERROR(INDEX(IM!$AM$2:$AM$5000, MATCH(1, (IM!$F$2:$F$5000=A71) * (ISNUMBER(SEARCH(勤務統計!$F$1, IM!$AC$2:$AC$5000))), 0)), "")</f>
        <v>46042</v>
      </c>
      <c r="W71" s="414" t="str">
        <f>IF(VLOOKUP(A71,'0919門市清單主檔'!B:AC,28,FALSE)=0,"",VLOOKUP(A71,'0919門市清單主檔'!B:AC,28,FALSE))</f>
        <v/>
      </c>
    </row>
    <row r="72" spans="1:23" ht="21.6" customHeight="1">
      <c r="A72" s="423" t="s">
        <v>53</v>
      </c>
      <c r="B72" s="416" t="str">
        <f>VLOOKUP(A72,'0919門市清單主檔'!B:C,2,FALSE)</f>
        <v>北縣溪尾二店</v>
      </c>
      <c r="C72" s="415" t="str">
        <f>VLOOKUP($A72,'0919門市清單主檔'!B:V,20,FALSE)</f>
        <v>新北市</v>
      </c>
      <c r="D72" s="410" t="str">
        <f>VLOOKUP($A72,'0919門市清單主檔'!B:V,21,FALSE)</f>
        <v>三重區</v>
      </c>
      <c r="E72" s="397" t="str">
        <f>VLOOKUP(D72,門市狀態!G:H,2,FALSE)</f>
        <v>劉柏均</v>
      </c>
      <c r="F72" s="410" t="str">
        <f>IFERROR(IF(VLOOKUP(A72,門市狀態!A:D,4,FALSE)=0,"",VLOOKUP(A72,門市狀態!A:D,4,FALSE)),"")</f>
        <v/>
      </c>
      <c r="G72" s="424"/>
      <c r="H72" s="425" t="str">
        <f>IF(I72&gt;0,(TEXT(I72,"yyyymmdd")&amp;勤務統計!$V$2&amp;A72&amp;勤務統計!$V$2&amp;B72&amp;勤務統計!$S$2),"")</f>
        <v>PMQ1-D057-北縣溪尾二店(定保)</v>
      </c>
      <c r="I72" s="247" t="str">
        <f t="array" ref="I72">IF(AND(SUMPRODUCT((IM!$F$2:$F$5000=A72)*(ISNUMBER(SEARCH(勤務統計!$C$1, IM!$AC$2:$AC$5000))))&gt;0), 勤務統計!$C$1, "")</f>
        <v>PMQ1</v>
      </c>
      <c r="J72" s="399">
        <f t="array" ref="J72">IFERROR(INDEX(IM!$AM$2:$AM$5000, MATCH(1, (IM!$F$2:$F$5000=A72) * (ISNUMBER(SEARCH(勤務統計!$C$1, IM!$AC$2:$AC$5000))), 0)), "")</f>
        <v>46042</v>
      </c>
      <c r="K72" s="400">
        <f t="array" ref="K72">SUMPRODUCT((IM!$F$2:$F$5000=A72)*(IM!$AD$2:$AD$5000="O")*(ISNUMBER(SEARCH(勤務統計!$C$1, IM!$AC$2:$AC$5000))))</f>
        <v>1</v>
      </c>
      <c r="L72" s="401" t="str">
        <f t="array" ref="L72">IF(K72&gt;0,IFERROR(HYPERLINK("#'IM'!AC"&amp;MATCH(1,(IM!$F$1:$F$5000=A72)*(ISNUMBER(SEARCH(勤務統計!$C$1,IM!$AC$1:$AC$5000))),0),"檢核"),"未登錄"),"")</f>
        <v>檢核</v>
      </c>
      <c r="M72" s="402" t="str">
        <f t="shared" si="1"/>
        <v>+L90+721</v>
      </c>
      <c r="N72" s="402" t="str">
        <f t="array" ref="N72">IF(AND(
    SUMPRODUCT(
        (IM!$F$2:$F$522=A72) *
        ISNUMBER(SEARCH("*HUB*", IM!$AC$2:$AC$522)) *
        (IM!$X$2:$X$522&gt;=勤務統計!$A$1) *
        (IM!$X$2:$X$522&lt;=勤務統計!$B$1)*(W72="HUB")
    ) &gt; 0
), "HUB", "")</f>
        <v/>
      </c>
      <c r="O72" s="400" t="str">
        <f>IF(
  IFERROR(VLOOKUP(A72,勤務統計!A:I,9,FALSE),"")&lt;&gt;勤務統計!$C$1,
  "未完工",
  IF(
    AND(勤務統計!$D$1="--",勤務統計!$E$1="--",勤務統計!$F$1="--"),
    "已完工",
    IF(
      OR(
        AND(勤務統計!$D$1&lt;&gt;"--", IFERROR(VLOOKUP(A72,'0919門市清單主檔'!B:AH,31,FALSE),"")=勤務統計!$D$1, IFERROR(VLOOKUP(A72,勤務統計!A:Q,17,FALSE),"")&lt;&gt;勤務統計!$D$1),
        AND(勤務統計!$E$1&lt;&gt;"--", IFERROR(VLOOKUP(A72,'0919門市清單主檔'!B:AH,32,FALSE),"")=勤務統計!$E$1, IFERROR(VLOOKUP(A72,勤務統計!A:S,19,FALSE),"")&lt;&gt;勤務統計!$E$1),
        AND(勤務統計!$F$1&lt;&gt;"--", IFERROR(VLOOKUP(A72,'0919門市清單主檔'!B:AH,33,FALSE),"")=勤務統計!$F$1, IFERROR(VLOOKUP(A72,勤務統計!A:U,21,FALSE),"")&lt;&gt;勤務統計!$F$1),
        AND(IFERROR(VLOOKUP(A72,'0919門市清單主檔'!B:AH,28,FALSE),"")="HUB", IFERROR(VLOOKUP(A72,勤務統計!A:W,23,FALSE),"")&lt;&gt;"HUB")
      ),
      _xlfn.TEXTJOIN(
        "，",
        TRUE,
        IF(AND(勤務統計!$D$1&lt;&gt;"--", IFERROR(VLOOKUP(A72,'0919門市清單主檔'!B:AH,31,FALSE),"")=勤務統計!$D$1, IFERROR(VLOOKUP(A72,勤務統計!A:Q,17,FALSE),"")&lt;&gt;勤務統計!$D$1), 勤務統計!$D$1, ""),
        IF(AND(勤務統計!$E$1&lt;&gt;"--", IFERROR(VLOOKUP(A72,'0919門市清單主檔'!B:AH,32,FALSE),"")=勤務統計!$E$1, IFERROR(VLOOKUP(A72,勤務統計!A:S,19,FALSE),"")&lt;&gt;勤務統計!$E$1), 勤務統計!$E$1, ""),
        IF(AND(勤務統計!$F$1&lt;&gt;"--", IFERROR(VLOOKUP(A72,'0919門市清單主檔'!B:AH,33,FALSE),"")=勤務統計!$F$1, IFERROR(VLOOKUP(A72,勤務統計!A:U,21,FALSE),"")&lt;&gt;勤務統計!$F$1), 勤務統計!$F$1, ""),
        IF(AND(IFERROR(VLOOKUP(A72,'0919門市清單主檔'!B:AH,28,FALSE),"")="HUB", IFERROR(VLOOKUP(A72,勤務統計!A:W,23,FALSE),"")&lt;&gt;"HUB"), "HUB", "")
      ) &amp; "未完工",
      "已完工"
    )
  )
)</f>
        <v>未完工</v>
      </c>
      <c r="P72" s="403" t="str">
        <f>(TEXT(I72,"yyyymmdd"))&amp;勤務統計!$V$2&amp;A72&amp;勤務統計!$V$2&amp;B72&amp;勤務統計!$S$2</f>
        <v>PMQ1-D057-北縣溪尾二店(定保)</v>
      </c>
      <c r="Q72" s="420" t="str">
        <f t="array" ref="Q72">IF(AND(SUMPRODUCT((IM!$F$2:$F$5000=A72)*(ISNUMBER(SEARCH(勤務統計!$D$1, IM!$AC$2:$AC$5000))))&gt;0), 勤務統計!$D$1, "")</f>
        <v/>
      </c>
      <c r="R72" s="421" t="str">
        <f t="array" ref="R72">IFERROR(INDEX(IM!$AM$2:$AM$5000, MATCH(1, (IM!$F$2:$F$5000=A72) * (ISNUMBER(SEARCH(勤務統計!$D$1, IM!$AC$2:$AC$5000))), 0)), "")</f>
        <v/>
      </c>
      <c r="S72" s="406" t="str" cm="1">
        <f t="array" ref="S72">IF(AND(SUMPRODUCT((IM!$F$2:$F$5000=A72)*(ISNUMBER(SEARCH(勤務統計!$E$1, IM!$AC$2:$AC$5000))))&gt;0), 勤務統計!$E$1, "")</f>
        <v>+L90</v>
      </c>
      <c r="T72" s="422">
        <f t="array" ref="T72">IFERROR(INDEX(IM!$AM$2:$AM$5000, MATCH(1, (IM!$F$2:$F$5000=A72) * (ISNUMBER(SEARCH(勤務統計!$E$1, IM!$AC$2:$AC$5000))), 0)), "")</f>
        <v>45996</v>
      </c>
      <c r="U72" s="406" t="str" cm="1">
        <f t="array" ref="U72">IF(AND(SUMPRODUCT((IM!$F$2:$F$5000=A72)*(ISNUMBER(SEARCH(勤務統計!$F$1, IM!$AC$2:$AC$5000))))&gt;0), 勤務統計!$F$1, "")</f>
        <v>+721</v>
      </c>
      <c r="V72" s="413">
        <f t="array" ref="V72">IFERROR(INDEX(IM!$AM$2:$AM$5000, MATCH(1, (IM!$F$2:$F$5000=A72) * (ISNUMBER(SEARCH(勤務統計!$F$1, IM!$AC$2:$AC$5000))), 0)), "")</f>
        <v>46042</v>
      </c>
      <c r="W72" s="414" t="str">
        <f>IF(VLOOKUP(A72,'0919門市清單主檔'!B:AC,28,FALSE)=0,"",VLOOKUP(A72,'0919門市清單主檔'!B:AC,28,FALSE))</f>
        <v/>
      </c>
    </row>
    <row r="73" spans="1:23" ht="21.6" customHeight="1">
      <c r="A73" s="423">
        <v>3082</v>
      </c>
      <c r="B73" s="416" t="str">
        <f>VLOOKUP(A73,'0919門市清單主檔'!B:C,2,FALSE)</f>
        <v>永和福和花園</v>
      </c>
      <c r="C73" s="415" t="str">
        <f>VLOOKUP($A73,'0919門市清單主檔'!B:V,20,FALSE)</f>
        <v>新北市</v>
      </c>
      <c r="D73" s="410" t="str">
        <f>VLOOKUP($A73,'0919門市清單主檔'!B:V,21,FALSE)</f>
        <v>永和區</v>
      </c>
      <c r="E73" s="397" t="str">
        <f>VLOOKUP(D73,門市狀態!G:H,2,FALSE)</f>
        <v>劉柏均</v>
      </c>
      <c r="F73" s="410" t="str">
        <f>IFERROR(IF(VLOOKUP(A73,門市狀態!A:D,4,FALSE)=0,"",VLOOKUP(A73,門市狀態!A:D,4,FALSE)),"")</f>
        <v/>
      </c>
      <c r="G73" s="424"/>
      <c r="H73" s="425" t="str">
        <f>IF(I73&gt;0,(TEXT(I73,"yyyymmdd")&amp;勤務統計!$V$2&amp;A73&amp;勤務統計!$V$2&amp;B73&amp;勤務統計!$S$2),"")</f>
        <v>PMQ1-3082-永和福和花園(定保)</v>
      </c>
      <c r="I73" s="247" t="str">
        <f t="array" ref="I73">IF(AND(SUMPRODUCT((IM!$F$2:$F$5000=A73)*(ISNUMBER(SEARCH(勤務統計!$C$1, IM!$AC$2:$AC$5000))))&gt;0), 勤務統計!$C$1, "")</f>
        <v>PMQ1</v>
      </c>
      <c r="J73" s="399">
        <f t="array" ref="J73">IFERROR(INDEX(IM!$AM$2:$AM$5000, MATCH(1, (IM!$F$2:$F$5000=A73) * (ISNUMBER(SEARCH(勤務統計!$C$1, IM!$AC$2:$AC$5000))), 0)), "")</f>
        <v>46042</v>
      </c>
      <c r="K73" s="400">
        <f t="array" ref="K73">SUMPRODUCT((IM!$F$2:$F$5000=A73)*(IM!$AD$2:$AD$5000="O")*(ISNUMBER(SEARCH(勤務統計!$C$1, IM!$AC$2:$AC$5000))))</f>
        <v>1</v>
      </c>
      <c r="L73" s="401" t="str">
        <f t="array" ref="L73">IF(K73&gt;0,IFERROR(HYPERLINK("#'IM'!AC"&amp;MATCH(1,(IM!$F$1:$F$5000=A73)*(ISNUMBER(SEARCH(勤務統計!$C$1,IM!$AC$1:$AC$5000))),0),"檢核"),"未登錄"),"")</f>
        <v>檢核</v>
      </c>
      <c r="M73" s="402" t="str">
        <f t="shared" si="1"/>
        <v>+721</v>
      </c>
      <c r="N73" s="402" t="str">
        <f t="array" ref="N73">IF(AND(
    SUMPRODUCT(
        (IM!$F$2:$F$522=A73) *
        ISNUMBER(SEARCH("*HUB*", IM!$AC$2:$AC$522)) *
        (IM!$X$2:$X$522&gt;=勤務統計!$A$1) *
        (IM!$X$2:$X$522&lt;=勤務統計!$B$1)*(W73="HUB")
    ) &gt; 0
), "HUB", "")</f>
        <v/>
      </c>
      <c r="O73" s="400" t="str">
        <f>IF(
  IFERROR(VLOOKUP(A73,勤務統計!A:I,9,FALSE),"")&lt;&gt;勤務統計!$C$1,
  "未完工",
  IF(
    AND(勤務統計!$D$1="--",勤務統計!$E$1="--",勤務統計!$F$1="--"),
    "已完工",
    IF(
      OR(
        AND(勤務統計!$D$1&lt;&gt;"--", IFERROR(VLOOKUP(A73,'0919門市清單主檔'!B:AH,31,FALSE),"")=勤務統計!$D$1, IFERROR(VLOOKUP(A73,勤務統計!A:Q,17,FALSE),"")&lt;&gt;勤務統計!$D$1),
        AND(勤務統計!$E$1&lt;&gt;"--", IFERROR(VLOOKUP(A73,'0919門市清單主檔'!B:AH,32,FALSE),"")=勤務統計!$E$1, IFERROR(VLOOKUP(A73,勤務統計!A:S,19,FALSE),"")&lt;&gt;勤務統計!$E$1),
        AND(勤務統計!$F$1&lt;&gt;"--", IFERROR(VLOOKUP(A73,'0919門市清單主檔'!B:AH,33,FALSE),"")=勤務統計!$F$1, IFERROR(VLOOKUP(A73,勤務統計!A:U,21,FALSE),"")&lt;&gt;勤務統計!$F$1),
        AND(IFERROR(VLOOKUP(A73,'0919門市清單主檔'!B:AH,28,FALSE),"")="HUB", IFERROR(VLOOKUP(A73,勤務統計!A:W,23,FALSE),"")&lt;&gt;"HUB")
      ),
      _xlfn.TEXTJOIN(
        "，",
        TRUE,
        IF(AND(勤務統計!$D$1&lt;&gt;"--", IFERROR(VLOOKUP(A73,'0919門市清單主檔'!B:AH,31,FALSE),"")=勤務統計!$D$1, IFERROR(VLOOKUP(A73,勤務統計!A:Q,17,FALSE),"")&lt;&gt;勤務統計!$D$1), 勤務統計!$D$1, ""),
        IF(AND(勤務統計!$E$1&lt;&gt;"--", IFERROR(VLOOKUP(A73,'0919門市清單主檔'!B:AH,32,FALSE),"")=勤務統計!$E$1, IFERROR(VLOOKUP(A73,勤務統計!A:S,19,FALSE),"")&lt;&gt;勤務統計!$E$1), 勤務統計!$E$1, ""),
        IF(AND(勤務統計!$F$1&lt;&gt;"--", IFERROR(VLOOKUP(A73,'0919門市清單主檔'!B:AH,33,FALSE),"")=勤務統計!$F$1, IFERROR(VLOOKUP(A73,勤務統計!A:U,21,FALSE),"")&lt;&gt;勤務統計!$F$1), 勤務統計!$F$1, ""),
        IF(AND(IFERROR(VLOOKUP(A73,'0919門市清單主檔'!B:AH,28,FALSE),"")="HUB", IFERROR(VLOOKUP(A73,勤務統計!A:W,23,FALSE),"")&lt;&gt;"HUB"), "HUB", "")
      ) &amp; "未完工",
      "已完工"
    )
  )
)</f>
        <v>未完工</v>
      </c>
      <c r="P73" s="403" t="str">
        <f>(TEXT(I73,"yyyymmdd"))&amp;勤務統計!$V$2&amp;A73&amp;勤務統計!$V$2&amp;B73&amp;勤務統計!$S$2</f>
        <v>PMQ1-3082-永和福和花園(定保)</v>
      </c>
      <c r="Q73" s="420" t="str">
        <f t="array" ref="Q73">IF(AND(SUMPRODUCT((IM!$F$2:$F$5000=A73)*(ISNUMBER(SEARCH(勤務統計!$D$1, IM!$AC$2:$AC$5000))))&gt;0), 勤務統計!$D$1, "")</f>
        <v/>
      </c>
      <c r="R73" s="421" t="str">
        <f t="array" ref="R73">IFERROR(INDEX(IM!$AM$2:$AM$5000, MATCH(1, (IM!$F$2:$F$5000=A73) * (ISNUMBER(SEARCH(勤務統計!$D$1, IM!$AC$2:$AC$5000))), 0)), "")</f>
        <v/>
      </c>
      <c r="S73" s="406" t="str" cm="1">
        <f t="array" ref="S73">IF(AND(SUMPRODUCT((IM!$F$2:$F$5000=A73)*(ISNUMBER(SEARCH(勤務統計!$E$1, IM!$AC$2:$AC$5000))))&gt;0), 勤務統計!$E$1, "")</f>
        <v/>
      </c>
      <c r="T73" s="422" t="str">
        <f t="array" ref="T73">IFERROR(INDEX(IM!$AM$2:$AM$5000, MATCH(1, (IM!$F$2:$F$5000=A73) * (ISNUMBER(SEARCH(勤務統計!$E$1, IM!$AC$2:$AC$5000))), 0)), "")</f>
        <v/>
      </c>
      <c r="U73" s="406" t="str" cm="1">
        <f t="array" ref="U73">IF(AND(SUMPRODUCT((IM!$F$2:$F$5000=A73)*(ISNUMBER(SEARCH(勤務統計!$F$1, IM!$AC$2:$AC$5000))))&gt;0), 勤務統計!$F$1, "")</f>
        <v>+721</v>
      </c>
      <c r="V73" s="413">
        <f t="array" ref="V73">IFERROR(INDEX(IM!$AM$2:$AM$5000, MATCH(1, (IM!$F$2:$F$5000=A73) * (ISNUMBER(SEARCH(勤務統計!$F$1, IM!$AC$2:$AC$5000))), 0)), "")</f>
        <v>46042</v>
      </c>
      <c r="W73" s="414" t="str">
        <f>IF(VLOOKUP(A73,'0919門市清單主檔'!B:AC,28,FALSE)=0,"",VLOOKUP(A73,'0919門市清單主檔'!B:AC,28,FALSE))</f>
        <v/>
      </c>
    </row>
    <row r="74" spans="1:23" ht="21.6" customHeight="1">
      <c r="A74" s="423">
        <v>2941</v>
      </c>
      <c r="B74" s="416" t="str">
        <f>VLOOKUP(A74,'0919門市清單主檔'!B:C,2,FALSE)</f>
        <v>永和頂溪店</v>
      </c>
      <c r="C74" s="415" t="str">
        <f>VLOOKUP($A74,'0919門市清單主檔'!B:V,20,FALSE)</f>
        <v>新北市</v>
      </c>
      <c r="D74" s="410" t="str">
        <f>VLOOKUP($A74,'0919門市清單主檔'!B:V,21,FALSE)</f>
        <v>永和區</v>
      </c>
      <c r="E74" s="397" t="str">
        <f>VLOOKUP(D74,門市狀態!G:H,2,FALSE)</f>
        <v>劉柏均</v>
      </c>
      <c r="F74" s="410" t="str">
        <f>IFERROR(IF(VLOOKUP(A74,門市狀態!A:D,4,FALSE)=0,"",VLOOKUP(A74,門市狀態!A:D,4,FALSE)),"")</f>
        <v/>
      </c>
      <c r="G74" s="424"/>
      <c r="H74" s="425" t="str">
        <f>IF(I74&gt;0,(TEXT(I74,"yyyymmdd")&amp;勤務統計!$V$2&amp;A74&amp;勤務統計!$V$2&amp;B74&amp;勤務統計!$S$2),"")</f>
        <v>PMQ1-2941-永和頂溪店(定保)</v>
      </c>
      <c r="I74" s="247" t="str">
        <f t="array" ref="I74">IF(AND(SUMPRODUCT((IM!$F$2:$F$5000=A74)*(ISNUMBER(SEARCH(勤務統計!$C$1, IM!$AC$2:$AC$5000))))&gt;0), 勤務統計!$C$1, "")</f>
        <v>PMQ1</v>
      </c>
      <c r="J74" s="399">
        <f t="array" ref="J74">IFERROR(INDEX(IM!$AM$2:$AM$5000, MATCH(1, (IM!$F$2:$F$5000=A74) * (ISNUMBER(SEARCH(勤務統計!$C$1, IM!$AC$2:$AC$5000))), 0)), "")</f>
        <v>46042</v>
      </c>
      <c r="K74" s="400">
        <f t="array" ref="K74">SUMPRODUCT((IM!$F$2:$F$5000=A74)*(IM!$AD$2:$AD$5000="O")*(ISNUMBER(SEARCH(勤務統計!$C$1, IM!$AC$2:$AC$5000))))</f>
        <v>1</v>
      </c>
      <c r="L74" s="401" t="str">
        <f t="array" ref="L74">IF(K74&gt;0,IFERROR(HYPERLINK("#'IM'!AC"&amp;MATCH(1,(IM!$F$1:$F$5000=A74)*(ISNUMBER(SEARCH(勤務統計!$C$1,IM!$AC$1:$AC$5000))),0),"檢核"),"未登錄"),"")</f>
        <v>檢核</v>
      </c>
      <c r="M74" s="402" t="str">
        <f t="shared" si="1"/>
        <v>+721</v>
      </c>
      <c r="N74" s="402" t="str">
        <f t="array" ref="N74">IF(AND(
    SUMPRODUCT(
        (IM!$F$2:$F$522=A74) *
        ISNUMBER(SEARCH("*HUB*", IM!$AC$2:$AC$522)) *
        (IM!$X$2:$X$522&gt;=勤務統計!$A$1) *
        (IM!$X$2:$X$522&lt;=勤務統計!$B$1)*(W74="HUB")
    ) &gt; 0
), "HUB", "")</f>
        <v/>
      </c>
      <c r="O74" s="400" t="str">
        <f>IF(
  IFERROR(VLOOKUP(A74,勤務統計!A:I,9,FALSE),"")&lt;&gt;勤務統計!$C$1,
  "未完工",
  IF(
    AND(勤務統計!$D$1="--",勤務統計!$E$1="--",勤務統計!$F$1="--"),
    "已完工",
    IF(
      OR(
        AND(勤務統計!$D$1&lt;&gt;"--", IFERROR(VLOOKUP(A74,'0919門市清單主檔'!B:AH,31,FALSE),"")=勤務統計!$D$1, IFERROR(VLOOKUP(A74,勤務統計!A:Q,17,FALSE),"")&lt;&gt;勤務統計!$D$1),
        AND(勤務統計!$E$1&lt;&gt;"--", IFERROR(VLOOKUP(A74,'0919門市清單主檔'!B:AH,32,FALSE),"")=勤務統計!$E$1, IFERROR(VLOOKUP(A74,勤務統計!A:S,19,FALSE),"")&lt;&gt;勤務統計!$E$1),
        AND(勤務統計!$F$1&lt;&gt;"--", IFERROR(VLOOKUP(A74,'0919門市清單主檔'!B:AH,33,FALSE),"")=勤務統計!$F$1, IFERROR(VLOOKUP(A74,勤務統計!A:U,21,FALSE),"")&lt;&gt;勤務統計!$F$1),
        AND(IFERROR(VLOOKUP(A74,'0919門市清單主檔'!B:AH,28,FALSE),"")="HUB", IFERROR(VLOOKUP(A74,勤務統計!A:W,23,FALSE),"")&lt;&gt;"HUB")
      ),
      _xlfn.TEXTJOIN(
        "，",
        TRUE,
        IF(AND(勤務統計!$D$1&lt;&gt;"--", IFERROR(VLOOKUP(A74,'0919門市清單主檔'!B:AH,31,FALSE),"")=勤務統計!$D$1, IFERROR(VLOOKUP(A74,勤務統計!A:Q,17,FALSE),"")&lt;&gt;勤務統計!$D$1), 勤務統計!$D$1, ""),
        IF(AND(勤務統計!$E$1&lt;&gt;"--", IFERROR(VLOOKUP(A74,'0919門市清單主檔'!B:AH,32,FALSE),"")=勤務統計!$E$1, IFERROR(VLOOKUP(A74,勤務統計!A:S,19,FALSE),"")&lt;&gt;勤務統計!$E$1), 勤務統計!$E$1, ""),
        IF(AND(勤務統計!$F$1&lt;&gt;"--", IFERROR(VLOOKUP(A74,'0919門市清單主檔'!B:AH,33,FALSE),"")=勤務統計!$F$1, IFERROR(VLOOKUP(A74,勤務統計!A:U,21,FALSE),"")&lt;&gt;勤務統計!$F$1), 勤務統計!$F$1, ""),
        IF(AND(IFERROR(VLOOKUP(A74,'0919門市清單主檔'!B:AH,28,FALSE),"")="HUB", IFERROR(VLOOKUP(A74,勤務統計!A:W,23,FALSE),"")&lt;&gt;"HUB"), "HUB", "")
      ) &amp; "未完工",
      "已完工"
    )
  )
)</f>
        <v>未完工</v>
      </c>
      <c r="P74" s="403" t="str">
        <f>(TEXT(I74,"yyyymmdd"))&amp;勤務統計!$V$2&amp;A74&amp;勤務統計!$V$2&amp;B74&amp;勤務統計!$S$2</f>
        <v>PMQ1-2941-永和頂溪店(定保)</v>
      </c>
      <c r="Q74" s="420" t="str">
        <f t="array" ref="Q74">IF(AND(SUMPRODUCT((IM!$F$2:$F$5000=A74)*(ISNUMBER(SEARCH(勤務統計!$D$1, IM!$AC$2:$AC$5000))))&gt;0), 勤務統計!$D$1, "")</f>
        <v/>
      </c>
      <c r="R74" s="421" t="str">
        <f t="array" ref="R74">IFERROR(INDEX(IM!$AM$2:$AM$5000, MATCH(1, (IM!$F$2:$F$5000=A74) * (ISNUMBER(SEARCH(勤務統計!$D$1, IM!$AC$2:$AC$5000))), 0)), "")</f>
        <v/>
      </c>
      <c r="S74" s="406" t="str" cm="1">
        <f t="array" ref="S74">IF(AND(SUMPRODUCT((IM!$F$2:$F$5000=A74)*(ISNUMBER(SEARCH(勤務統計!$E$1, IM!$AC$2:$AC$5000))))&gt;0), 勤務統計!$E$1, "")</f>
        <v/>
      </c>
      <c r="T74" s="422" t="str">
        <f t="array" ref="T74">IFERROR(INDEX(IM!$AM$2:$AM$5000, MATCH(1, (IM!$F$2:$F$5000=A74) * (ISNUMBER(SEARCH(勤務統計!$E$1, IM!$AC$2:$AC$5000))), 0)), "")</f>
        <v/>
      </c>
      <c r="U74" s="406" t="str" cm="1">
        <f t="array" ref="U74">IF(AND(SUMPRODUCT((IM!$F$2:$F$5000=A74)*(ISNUMBER(SEARCH(勤務統計!$F$1, IM!$AC$2:$AC$5000))))&gt;0), 勤務統計!$F$1, "")</f>
        <v>+721</v>
      </c>
      <c r="V74" s="413">
        <f t="array" ref="V74">IFERROR(INDEX(IM!$AM$2:$AM$5000, MATCH(1, (IM!$F$2:$F$5000=A74) * (ISNUMBER(SEARCH(勤務統計!$F$1, IM!$AC$2:$AC$5000))), 0)), "")</f>
        <v>46042</v>
      </c>
      <c r="W74" s="414" t="str">
        <f>IF(VLOOKUP(A74,'0919門市清單主檔'!B:AC,28,FALSE)=0,"",VLOOKUP(A74,'0919門市清單主檔'!B:AC,28,FALSE))</f>
        <v/>
      </c>
    </row>
    <row r="75" spans="1:23" ht="21.6" customHeight="1">
      <c r="A75" s="423">
        <v>3968</v>
      </c>
      <c r="B75" s="416" t="str">
        <f>VLOOKUP(A75,'0919門市清單主檔'!B:C,2,FALSE)</f>
        <v>永和貞寧店</v>
      </c>
      <c r="C75" s="415" t="str">
        <f>VLOOKUP($A75,'0919門市清單主檔'!B:V,20,FALSE)</f>
        <v>新北市</v>
      </c>
      <c r="D75" s="410" t="str">
        <f>VLOOKUP($A75,'0919門市清單主檔'!B:V,21,FALSE)</f>
        <v>永和區</v>
      </c>
      <c r="E75" s="397" t="str">
        <f>VLOOKUP(D75,門市狀態!G:H,2,FALSE)</f>
        <v>劉柏均</v>
      </c>
      <c r="F75" s="410" t="str">
        <f>IFERROR(IF(VLOOKUP(A75,門市狀態!A:D,4,FALSE)=0,"",VLOOKUP(A75,門市狀態!A:D,4,FALSE)),"")</f>
        <v/>
      </c>
      <c r="G75" s="424"/>
      <c r="H75" s="425" t="str">
        <f>IF(I75&gt;0,(TEXT(I75,"yyyymmdd")&amp;勤務統計!$V$2&amp;A75&amp;勤務統計!$V$2&amp;B75&amp;勤務統計!$S$2),"")</f>
        <v>PMQ1-3968-永和貞寧店(定保)</v>
      </c>
      <c r="I75" s="247" t="str">
        <f t="array" ref="I75">IF(AND(SUMPRODUCT((IM!$F$2:$F$5000=A75)*(ISNUMBER(SEARCH(勤務統計!$C$1, IM!$AC$2:$AC$5000))))&gt;0), 勤務統計!$C$1, "")</f>
        <v>PMQ1</v>
      </c>
      <c r="J75" s="399">
        <f t="array" ref="J75">IFERROR(INDEX(IM!$AM$2:$AM$5000, MATCH(1, (IM!$F$2:$F$5000=A75) * (ISNUMBER(SEARCH(勤務統計!$C$1, IM!$AC$2:$AC$5000))), 0)), "")</f>
        <v>46042</v>
      </c>
      <c r="K75" s="400">
        <f t="array" ref="K75">SUMPRODUCT((IM!$F$2:$F$5000=A75)*(IM!$AD$2:$AD$5000="O")*(ISNUMBER(SEARCH(勤務統計!$C$1, IM!$AC$2:$AC$5000))))</f>
        <v>1</v>
      </c>
      <c r="L75" s="401" t="str">
        <f t="array" ref="L75">IF(K75&gt;0,IFERROR(HYPERLINK("#'IM'!AC"&amp;MATCH(1,(IM!$F$1:$F$5000=A75)*(ISNUMBER(SEARCH(勤務統計!$C$1,IM!$AC$1:$AC$5000))),0),"檢核"),"未登錄"),"")</f>
        <v>檢核</v>
      </c>
      <c r="M75" s="402" t="str">
        <f t="shared" si="1"/>
        <v>+721</v>
      </c>
      <c r="N75" s="402" t="str">
        <f t="array" ref="N75">IF(AND(
    SUMPRODUCT(
        (IM!$F$2:$F$522=A75) *
        ISNUMBER(SEARCH("*HUB*", IM!$AC$2:$AC$522)) *
        (IM!$X$2:$X$522&gt;=勤務統計!$A$1) *
        (IM!$X$2:$X$522&lt;=勤務統計!$B$1)*(W75="HUB")
    ) &gt; 0
), "HUB", "")</f>
        <v/>
      </c>
      <c r="O75" s="400" t="str">
        <f>IF(
  IFERROR(VLOOKUP(A75,勤務統計!A:I,9,FALSE),"")&lt;&gt;勤務統計!$C$1,
  "未完工",
  IF(
    AND(勤務統計!$D$1="--",勤務統計!$E$1="--",勤務統計!$F$1="--"),
    "已完工",
    IF(
      OR(
        AND(勤務統計!$D$1&lt;&gt;"--", IFERROR(VLOOKUP(A75,'0919門市清單主檔'!B:AH,31,FALSE),"")=勤務統計!$D$1, IFERROR(VLOOKUP(A75,勤務統計!A:Q,17,FALSE),"")&lt;&gt;勤務統計!$D$1),
        AND(勤務統計!$E$1&lt;&gt;"--", IFERROR(VLOOKUP(A75,'0919門市清單主檔'!B:AH,32,FALSE),"")=勤務統計!$E$1, IFERROR(VLOOKUP(A75,勤務統計!A:S,19,FALSE),"")&lt;&gt;勤務統計!$E$1),
        AND(勤務統計!$F$1&lt;&gt;"--", IFERROR(VLOOKUP(A75,'0919門市清單主檔'!B:AH,33,FALSE),"")=勤務統計!$F$1, IFERROR(VLOOKUP(A75,勤務統計!A:U,21,FALSE),"")&lt;&gt;勤務統計!$F$1),
        AND(IFERROR(VLOOKUP(A75,'0919門市清單主檔'!B:AH,28,FALSE),"")="HUB", IFERROR(VLOOKUP(A75,勤務統計!A:W,23,FALSE),"")&lt;&gt;"HUB")
      ),
      _xlfn.TEXTJOIN(
        "，",
        TRUE,
        IF(AND(勤務統計!$D$1&lt;&gt;"--", IFERROR(VLOOKUP(A75,'0919門市清單主檔'!B:AH,31,FALSE),"")=勤務統計!$D$1, IFERROR(VLOOKUP(A75,勤務統計!A:Q,17,FALSE),"")&lt;&gt;勤務統計!$D$1), 勤務統計!$D$1, ""),
        IF(AND(勤務統計!$E$1&lt;&gt;"--", IFERROR(VLOOKUP(A75,'0919門市清單主檔'!B:AH,32,FALSE),"")=勤務統計!$E$1, IFERROR(VLOOKUP(A75,勤務統計!A:S,19,FALSE),"")&lt;&gt;勤務統計!$E$1), 勤務統計!$E$1, ""),
        IF(AND(勤務統計!$F$1&lt;&gt;"--", IFERROR(VLOOKUP(A75,'0919門市清單主檔'!B:AH,33,FALSE),"")=勤務統計!$F$1, IFERROR(VLOOKUP(A75,勤務統計!A:U,21,FALSE),"")&lt;&gt;勤務統計!$F$1), 勤務統計!$F$1, ""),
        IF(AND(IFERROR(VLOOKUP(A75,'0919門市清單主檔'!B:AH,28,FALSE),"")="HUB", IFERROR(VLOOKUP(A75,勤務統計!A:W,23,FALSE),"")&lt;&gt;"HUB"), "HUB", "")
      ) &amp; "未完工",
      "已完工"
    )
  )
)</f>
        <v>未完工</v>
      </c>
      <c r="P75" s="403" t="str">
        <f>(TEXT(I75,"yyyymmdd"))&amp;勤務統計!$V$2&amp;A75&amp;勤務統計!$V$2&amp;B75&amp;勤務統計!$S$2</f>
        <v>PMQ1-3968-永和貞寧店(定保)</v>
      </c>
      <c r="Q75" s="420" t="str">
        <f t="array" ref="Q75">IF(AND(SUMPRODUCT((IM!$F$2:$F$5000=A75)*(ISNUMBER(SEARCH(勤務統計!$D$1, IM!$AC$2:$AC$5000))))&gt;0), 勤務統計!$D$1, "")</f>
        <v/>
      </c>
      <c r="R75" s="421" t="str">
        <f t="array" ref="R75">IFERROR(INDEX(IM!$AM$2:$AM$5000, MATCH(1, (IM!$F$2:$F$5000=A75) * (ISNUMBER(SEARCH(勤務統計!$D$1, IM!$AC$2:$AC$5000))), 0)), "")</f>
        <v/>
      </c>
      <c r="S75" s="406" t="str" cm="1">
        <f t="array" ref="S75">IF(AND(SUMPRODUCT((IM!$F$2:$F$5000=A75)*(ISNUMBER(SEARCH(勤務統計!$E$1, IM!$AC$2:$AC$5000))))&gt;0), 勤務統計!$E$1, "")</f>
        <v/>
      </c>
      <c r="T75" s="422" t="str">
        <f t="array" ref="T75">IFERROR(INDEX(IM!$AM$2:$AM$5000, MATCH(1, (IM!$F$2:$F$5000=A75) * (ISNUMBER(SEARCH(勤務統計!$E$1, IM!$AC$2:$AC$5000))), 0)), "")</f>
        <v/>
      </c>
      <c r="U75" s="406" t="str" cm="1">
        <f t="array" ref="U75">IF(AND(SUMPRODUCT((IM!$F$2:$F$5000=A75)*(ISNUMBER(SEARCH(勤務統計!$F$1, IM!$AC$2:$AC$5000))))&gt;0), 勤務統計!$F$1, "")</f>
        <v>+721</v>
      </c>
      <c r="V75" s="413">
        <f t="array" ref="V75">IFERROR(INDEX(IM!$AM$2:$AM$5000, MATCH(1, (IM!$F$2:$F$5000=A75) * (ISNUMBER(SEARCH(勤務統計!$F$1, IM!$AC$2:$AC$5000))), 0)), "")</f>
        <v>46042</v>
      </c>
      <c r="W75" s="414" t="str">
        <f>IF(VLOOKUP(A75,'0919門市清單主檔'!B:AC,28,FALSE)=0,"",VLOOKUP(A75,'0919門市清單主檔'!B:AC,28,FALSE))</f>
        <v/>
      </c>
    </row>
    <row r="76" spans="1:23" ht="21.6" customHeight="1">
      <c r="A76" s="423">
        <v>4019</v>
      </c>
      <c r="B76" s="416" t="str">
        <f>VLOOKUP(A76,'0919門市清單主檔'!B:C,2,FALSE)</f>
        <v>永和永霖店</v>
      </c>
      <c r="C76" s="415" t="str">
        <f>VLOOKUP($A76,'0919門市清單主檔'!B:V,20,FALSE)</f>
        <v>新北市</v>
      </c>
      <c r="D76" s="410" t="str">
        <f>VLOOKUP($A76,'0919門市清單主檔'!B:V,21,FALSE)</f>
        <v>永和區</v>
      </c>
      <c r="E76" s="397" t="str">
        <f>VLOOKUP(D76,門市狀態!G:H,2,FALSE)</f>
        <v>劉柏均</v>
      </c>
      <c r="F76" s="410" t="str">
        <f>IFERROR(IF(VLOOKUP(A76,門市狀態!A:D,4,FALSE)=0,"",VLOOKUP(A76,門市狀態!A:D,4,FALSE)),"")</f>
        <v/>
      </c>
      <c r="G76" s="424"/>
      <c r="H76" s="425" t="str">
        <f>IF(I76&gt;0,(TEXT(I76,"yyyymmdd")&amp;勤務統計!$V$2&amp;A76&amp;勤務統計!$V$2&amp;B76&amp;勤務統計!$S$2),"")</f>
        <v>PMQ1-4019-永和永霖店(定保)</v>
      </c>
      <c r="I76" s="247" t="str">
        <f t="array" ref="I76">IF(AND(SUMPRODUCT((IM!$F$2:$F$5000=A76)*(ISNUMBER(SEARCH(勤務統計!$C$1, IM!$AC$2:$AC$5000))))&gt;0), 勤務統計!$C$1, "")</f>
        <v>PMQ1</v>
      </c>
      <c r="J76" s="399">
        <f t="array" ref="J76">IFERROR(INDEX(IM!$AM$2:$AM$5000, MATCH(1, (IM!$F$2:$F$5000=A76) * (ISNUMBER(SEARCH(勤務統計!$C$1, IM!$AC$2:$AC$5000))), 0)), "")</f>
        <v>46042</v>
      </c>
      <c r="K76" s="400">
        <f t="array" ref="K76">SUMPRODUCT((IM!$F$2:$F$5000=A76)*(IM!$AD$2:$AD$5000="O")*(ISNUMBER(SEARCH(勤務統計!$C$1, IM!$AC$2:$AC$5000))))</f>
        <v>1</v>
      </c>
      <c r="L76" s="401" t="str">
        <f t="array" ref="L76">IF(K76&gt;0,IFERROR(HYPERLINK("#'IM'!AC"&amp;MATCH(1,(IM!$F$1:$F$5000=A76)*(ISNUMBER(SEARCH(勤務統計!$C$1,IM!$AC$1:$AC$5000))),0),"檢核"),"未登錄"),"")</f>
        <v>檢核</v>
      </c>
      <c r="M76" s="402" t="str">
        <f t="shared" si="1"/>
        <v>+721</v>
      </c>
      <c r="N76" s="402" t="str">
        <f t="array" ref="N76">IF(AND(
    SUMPRODUCT(
        (IM!$F$2:$F$522=A76) *
        ISNUMBER(SEARCH("*HUB*", IM!$AC$2:$AC$522)) *
        (IM!$X$2:$X$522&gt;=勤務統計!$A$1) *
        (IM!$X$2:$X$522&lt;=勤務統計!$B$1)*(W76="HUB")
    ) &gt; 0
), "HUB", "")</f>
        <v/>
      </c>
      <c r="O76" s="400" t="str">
        <f>IF(
  IFERROR(VLOOKUP(A76,勤務統計!A:I,9,FALSE),"")&lt;&gt;勤務統計!$C$1,
  "未完工",
  IF(
    AND(勤務統計!$D$1="--",勤務統計!$E$1="--",勤務統計!$F$1="--"),
    "已完工",
    IF(
      OR(
        AND(勤務統計!$D$1&lt;&gt;"--", IFERROR(VLOOKUP(A76,'0919門市清單主檔'!B:AH,31,FALSE),"")=勤務統計!$D$1, IFERROR(VLOOKUP(A76,勤務統計!A:Q,17,FALSE),"")&lt;&gt;勤務統計!$D$1),
        AND(勤務統計!$E$1&lt;&gt;"--", IFERROR(VLOOKUP(A76,'0919門市清單主檔'!B:AH,32,FALSE),"")=勤務統計!$E$1, IFERROR(VLOOKUP(A76,勤務統計!A:S,19,FALSE),"")&lt;&gt;勤務統計!$E$1),
        AND(勤務統計!$F$1&lt;&gt;"--", IFERROR(VLOOKUP(A76,'0919門市清單主檔'!B:AH,33,FALSE),"")=勤務統計!$F$1, IFERROR(VLOOKUP(A76,勤務統計!A:U,21,FALSE),"")&lt;&gt;勤務統計!$F$1),
        AND(IFERROR(VLOOKUP(A76,'0919門市清單主檔'!B:AH,28,FALSE),"")="HUB", IFERROR(VLOOKUP(A76,勤務統計!A:W,23,FALSE),"")&lt;&gt;"HUB")
      ),
      _xlfn.TEXTJOIN(
        "，",
        TRUE,
        IF(AND(勤務統計!$D$1&lt;&gt;"--", IFERROR(VLOOKUP(A76,'0919門市清單主檔'!B:AH,31,FALSE),"")=勤務統計!$D$1, IFERROR(VLOOKUP(A76,勤務統計!A:Q,17,FALSE),"")&lt;&gt;勤務統計!$D$1), 勤務統計!$D$1, ""),
        IF(AND(勤務統計!$E$1&lt;&gt;"--", IFERROR(VLOOKUP(A76,'0919門市清單主檔'!B:AH,32,FALSE),"")=勤務統計!$E$1, IFERROR(VLOOKUP(A76,勤務統計!A:S,19,FALSE),"")&lt;&gt;勤務統計!$E$1), 勤務統計!$E$1, ""),
        IF(AND(勤務統計!$F$1&lt;&gt;"--", IFERROR(VLOOKUP(A76,'0919門市清單主檔'!B:AH,33,FALSE),"")=勤務統計!$F$1, IFERROR(VLOOKUP(A76,勤務統計!A:U,21,FALSE),"")&lt;&gt;勤務統計!$F$1), 勤務統計!$F$1, ""),
        IF(AND(IFERROR(VLOOKUP(A76,'0919門市清單主檔'!B:AH,28,FALSE),"")="HUB", IFERROR(VLOOKUP(A76,勤務統計!A:W,23,FALSE),"")&lt;&gt;"HUB"), "HUB", "")
      ) &amp; "未完工",
      "已完工"
    )
  )
)</f>
        <v>未完工</v>
      </c>
      <c r="P76" s="403" t="str">
        <f>(TEXT(I76,"yyyymmdd"))&amp;勤務統計!$V$2&amp;A76&amp;勤務統計!$V$2&amp;B76&amp;勤務統計!$S$2</f>
        <v>PMQ1-4019-永和永霖店(定保)</v>
      </c>
      <c r="Q76" s="420" t="str">
        <f t="array" ref="Q76">IF(AND(SUMPRODUCT((IM!$F$2:$F$5000=A76)*(ISNUMBER(SEARCH(勤務統計!$D$1, IM!$AC$2:$AC$5000))))&gt;0), 勤務統計!$D$1, "")</f>
        <v/>
      </c>
      <c r="R76" s="421" t="str">
        <f t="array" ref="R76">IFERROR(INDEX(IM!$AM$2:$AM$5000, MATCH(1, (IM!$F$2:$F$5000=A76) * (ISNUMBER(SEARCH(勤務統計!$D$1, IM!$AC$2:$AC$5000))), 0)), "")</f>
        <v/>
      </c>
      <c r="S76" s="406" t="str" cm="1">
        <f t="array" ref="S76">IF(AND(SUMPRODUCT((IM!$F$2:$F$5000=A76)*(ISNUMBER(SEARCH(勤務統計!$E$1, IM!$AC$2:$AC$5000))))&gt;0), 勤務統計!$E$1, "")</f>
        <v/>
      </c>
      <c r="T76" s="422" t="str">
        <f t="array" ref="T76">IFERROR(INDEX(IM!$AM$2:$AM$5000, MATCH(1, (IM!$F$2:$F$5000=A76) * (ISNUMBER(SEARCH(勤務統計!$E$1, IM!$AC$2:$AC$5000))), 0)), "")</f>
        <v/>
      </c>
      <c r="U76" s="406" t="str" cm="1">
        <f t="array" ref="U76">IF(AND(SUMPRODUCT((IM!$F$2:$F$5000=A76)*(ISNUMBER(SEARCH(勤務統計!$F$1, IM!$AC$2:$AC$5000))))&gt;0), 勤務統計!$F$1, "")</f>
        <v>+721</v>
      </c>
      <c r="V76" s="413">
        <f t="array" ref="V76">IFERROR(INDEX(IM!$AM$2:$AM$5000, MATCH(1, (IM!$F$2:$F$5000=A76) * (ISNUMBER(SEARCH(勤務統計!$F$1, IM!$AC$2:$AC$5000))), 0)), "")</f>
        <v>46042</v>
      </c>
      <c r="W76" s="414" t="str">
        <f>IF(VLOOKUP(A76,'0919門市清單主檔'!B:AC,28,FALSE)=0,"",VLOOKUP(A76,'0919門市清單主檔'!B:AC,28,FALSE))</f>
        <v/>
      </c>
    </row>
    <row r="77" spans="1:23" ht="21.6" customHeight="1">
      <c r="A77" s="423">
        <v>4970</v>
      </c>
      <c r="B77" s="416" t="str">
        <f>VLOOKUP(A77,'0919門市清單主檔'!B:C,2,FALSE)</f>
        <v>中和一品苑</v>
      </c>
      <c r="C77" s="415" t="str">
        <f>VLOOKUP($A77,'0919門市清單主檔'!B:V,20,FALSE)</f>
        <v>新北市</v>
      </c>
      <c r="D77" s="410" t="str">
        <f>VLOOKUP($A77,'0919門市清單主檔'!B:V,21,FALSE)</f>
        <v>中和區</v>
      </c>
      <c r="E77" s="397" t="str">
        <f>VLOOKUP(D77,門市狀態!G:H,2,FALSE)</f>
        <v>劉柏均</v>
      </c>
      <c r="F77" s="410" t="str">
        <f>IFERROR(IF(VLOOKUP(A77,門市狀態!A:D,4,FALSE)=0,"",VLOOKUP(A77,門市狀態!A:D,4,FALSE)),"")</f>
        <v/>
      </c>
      <c r="G77" s="424"/>
      <c r="H77" s="425" t="str">
        <f>IF(I77&gt;0,(TEXT(I77,"yyyymmdd")&amp;勤務統計!$V$2&amp;A77&amp;勤務統計!$V$2&amp;B77&amp;勤務統計!$S$2),"")</f>
        <v>PMQ1-4970-中和一品苑(定保)</v>
      </c>
      <c r="I77" s="247" t="str">
        <f t="array" ref="I77">IF(AND(SUMPRODUCT((IM!$F$2:$F$5000=A77)*(ISNUMBER(SEARCH(勤務統計!$C$1, IM!$AC$2:$AC$5000))))&gt;0), 勤務統計!$C$1, "")</f>
        <v>PMQ1</v>
      </c>
      <c r="J77" s="399">
        <f t="array" ref="J77">IFERROR(INDEX(IM!$AM$2:$AM$5000, MATCH(1, (IM!$F$2:$F$5000=A77) * (ISNUMBER(SEARCH(勤務統計!$C$1, IM!$AC$2:$AC$5000))), 0)), "")</f>
        <v>46042</v>
      </c>
      <c r="K77" s="400">
        <f t="array" ref="K77">SUMPRODUCT((IM!$F$2:$F$5000=A77)*(IM!$AD$2:$AD$5000="O")*(ISNUMBER(SEARCH(勤務統計!$C$1, IM!$AC$2:$AC$5000))))</f>
        <v>1</v>
      </c>
      <c r="L77" s="401" t="str">
        <f t="array" ref="L77">IF(K77&gt;0,IFERROR(HYPERLINK("#'IM'!AC"&amp;MATCH(1,(IM!$F$1:$F$5000=A77)*(ISNUMBER(SEARCH(勤務統計!$C$1,IM!$AC$1:$AC$5000))),0),"檢核"),"未登錄"),"")</f>
        <v>檢核</v>
      </c>
      <c r="M77" s="402" t="str">
        <f t="shared" si="1"/>
        <v>+721</v>
      </c>
      <c r="N77" s="402" t="str">
        <f t="array" ref="N77">IF(AND(
    SUMPRODUCT(
        (IM!$F$2:$F$522=A77) *
        ISNUMBER(SEARCH("*HUB*", IM!$AC$2:$AC$522)) *
        (IM!$X$2:$X$522&gt;=勤務統計!$A$1) *
        (IM!$X$2:$X$522&lt;=勤務統計!$B$1)*(W77="HUB")
    ) &gt; 0
), "HUB", "")</f>
        <v/>
      </c>
      <c r="O77" s="400" t="str">
        <f>IF(
  IFERROR(VLOOKUP(A77,勤務統計!A:I,9,FALSE),"")&lt;&gt;勤務統計!$C$1,
  "未完工",
  IF(
    AND(勤務統計!$D$1="--",勤務統計!$E$1="--",勤務統計!$F$1="--"),
    "已完工",
    IF(
      OR(
        AND(勤務統計!$D$1&lt;&gt;"--", IFERROR(VLOOKUP(A77,'0919門市清單主檔'!B:AH,31,FALSE),"")=勤務統計!$D$1, IFERROR(VLOOKUP(A77,勤務統計!A:Q,17,FALSE),"")&lt;&gt;勤務統計!$D$1),
        AND(勤務統計!$E$1&lt;&gt;"--", IFERROR(VLOOKUP(A77,'0919門市清單主檔'!B:AH,32,FALSE),"")=勤務統計!$E$1, IFERROR(VLOOKUP(A77,勤務統計!A:S,19,FALSE),"")&lt;&gt;勤務統計!$E$1),
        AND(勤務統計!$F$1&lt;&gt;"--", IFERROR(VLOOKUP(A77,'0919門市清單主檔'!B:AH,33,FALSE),"")=勤務統計!$F$1, IFERROR(VLOOKUP(A77,勤務統計!A:U,21,FALSE),"")&lt;&gt;勤務統計!$F$1),
        AND(IFERROR(VLOOKUP(A77,'0919門市清單主檔'!B:AH,28,FALSE),"")="HUB", IFERROR(VLOOKUP(A77,勤務統計!A:W,23,FALSE),"")&lt;&gt;"HUB")
      ),
      _xlfn.TEXTJOIN(
        "，",
        TRUE,
        IF(AND(勤務統計!$D$1&lt;&gt;"--", IFERROR(VLOOKUP(A77,'0919門市清單主檔'!B:AH,31,FALSE),"")=勤務統計!$D$1, IFERROR(VLOOKUP(A77,勤務統計!A:Q,17,FALSE),"")&lt;&gt;勤務統計!$D$1), 勤務統計!$D$1, ""),
        IF(AND(勤務統計!$E$1&lt;&gt;"--", IFERROR(VLOOKUP(A77,'0919門市清單主檔'!B:AH,32,FALSE),"")=勤務統計!$E$1, IFERROR(VLOOKUP(A77,勤務統計!A:S,19,FALSE),"")&lt;&gt;勤務統計!$E$1), 勤務統計!$E$1, ""),
        IF(AND(勤務統計!$F$1&lt;&gt;"--", IFERROR(VLOOKUP(A77,'0919門市清單主檔'!B:AH,33,FALSE),"")=勤務統計!$F$1, IFERROR(VLOOKUP(A77,勤務統計!A:U,21,FALSE),"")&lt;&gt;勤務統計!$F$1), 勤務統計!$F$1, ""),
        IF(AND(IFERROR(VLOOKUP(A77,'0919門市清單主檔'!B:AH,28,FALSE),"")="HUB", IFERROR(VLOOKUP(A77,勤務統計!A:W,23,FALSE),"")&lt;&gt;"HUB"), "HUB", "")
      ) &amp; "未完工",
      "已完工"
    )
  )
)</f>
        <v>未完工</v>
      </c>
      <c r="P77" s="403" t="str">
        <f>(TEXT(I77,"yyyymmdd"))&amp;勤務統計!$V$2&amp;A77&amp;勤務統計!$V$2&amp;B77&amp;勤務統計!$S$2</f>
        <v>PMQ1-4970-中和一品苑(定保)</v>
      </c>
      <c r="Q77" s="420" t="str">
        <f t="array" ref="Q77">IF(AND(SUMPRODUCT((IM!$F$2:$F$5000=A77)*(ISNUMBER(SEARCH(勤務統計!$D$1, IM!$AC$2:$AC$5000))))&gt;0), 勤務統計!$D$1, "")</f>
        <v/>
      </c>
      <c r="R77" s="421" t="str">
        <f t="array" ref="R77">IFERROR(INDEX(IM!$AM$2:$AM$5000, MATCH(1, (IM!$F$2:$F$5000=A77) * (ISNUMBER(SEARCH(勤務統計!$D$1, IM!$AC$2:$AC$5000))), 0)), "")</f>
        <v/>
      </c>
      <c r="S77" s="406" t="str" cm="1">
        <f t="array" ref="S77">IF(AND(SUMPRODUCT((IM!$F$2:$F$5000=A77)*(ISNUMBER(SEARCH(勤務統計!$E$1, IM!$AC$2:$AC$5000))))&gt;0), 勤務統計!$E$1, "")</f>
        <v/>
      </c>
      <c r="T77" s="422" t="str">
        <f t="array" ref="T77">IFERROR(INDEX(IM!$AM$2:$AM$5000, MATCH(1, (IM!$F$2:$F$5000=A77) * (ISNUMBER(SEARCH(勤務統計!$E$1, IM!$AC$2:$AC$5000))), 0)), "")</f>
        <v/>
      </c>
      <c r="U77" s="406" t="str" cm="1">
        <f t="array" ref="U77">IF(AND(SUMPRODUCT((IM!$F$2:$F$5000=A77)*(ISNUMBER(SEARCH(勤務統計!$F$1, IM!$AC$2:$AC$5000))))&gt;0), 勤務統計!$F$1, "")</f>
        <v>+721</v>
      </c>
      <c r="V77" s="413">
        <f t="array" ref="V77">IFERROR(INDEX(IM!$AM$2:$AM$5000, MATCH(1, (IM!$F$2:$F$5000=A77) * (ISNUMBER(SEARCH(勤務統計!$F$1, IM!$AC$2:$AC$5000))), 0)), "")</f>
        <v>46042</v>
      </c>
      <c r="W77" s="414" t="str">
        <f>IF(VLOOKUP(A77,'0919門市清單主檔'!B:AC,28,FALSE)=0,"",VLOOKUP(A77,'0919門市清單主檔'!B:AC,28,FALSE))</f>
        <v/>
      </c>
    </row>
    <row r="78" spans="1:23" ht="21.6" customHeight="1">
      <c r="A78" s="423">
        <v>2315</v>
      </c>
      <c r="B78" s="416" t="str">
        <f>VLOOKUP(A78,'0919門市清單主檔'!B:C,2,FALSE)</f>
        <v>蘆竹坑口店</v>
      </c>
      <c r="C78" s="415" t="str">
        <f>VLOOKUP($A78,'0919門市清單主檔'!B:V,20,FALSE)</f>
        <v>桃園市</v>
      </c>
      <c r="D78" s="410" t="str">
        <f>VLOOKUP($A78,'0919門市清單主檔'!B:V,21,FALSE)</f>
        <v>龜山區</v>
      </c>
      <c r="E78" s="397" t="str">
        <f>VLOOKUP(D78,門市狀態!G:H,2,FALSE)</f>
        <v>吳宗鴻</v>
      </c>
      <c r="F78" s="410" t="str">
        <f>IFERROR(IF(VLOOKUP(A78,門市狀態!A:D,4,FALSE)=0,"",VLOOKUP(A78,門市狀態!A:D,4,FALSE)),"")</f>
        <v/>
      </c>
      <c r="G78" s="424"/>
      <c r="H78" s="425" t="str">
        <f>IF(I78&gt;0,(TEXT(I78,"yyyymmdd")&amp;勤務統計!$V$2&amp;A78&amp;勤務統計!$V$2&amp;B78&amp;勤務統計!$S$2),"")</f>
        <v>PMQ1-2315-蘆竹坑口店(定保)</v>
      </c>
      <c r="I78" s="247" t="str">
        <f t="array" ref="I78">IF(AND(SUMPRODUCT((IM!$F$2:$F$5000=A78)*(ISNUMBER(SEARCH(勤務統計!$C$1, IM!$AC$2:$AC$5000))))&gt;0), 勤務統計!$C$1, "")</f>
        <v>PMQ1</v>
      </c>
      <c r="J78" s="399">
        <f t="array" ref="J78">IFERROR(INDEX(IM!$AM$2:$AM$5000, MATCH(1, (IM!$F$2:$F$5000=A78) * (ISNUMBER(SEARCH(勤務統計!$C$1, IM!$AC$2:$AC$5000))), 0)), "")</f>
        <v>46043</v>
      </c>
      <c r="K78" s="400">
        <f t="array" ref="K78">SUMPRODUCT((IM!$F$2:$F$5000=A78)*(IM!$AD$2:$AD$5000="O")*(ISNUMBER(SEARCH(勤務統計!$C$1, IM!$AC$2:$AC$5000))))</f>
        <v>1</v>
      </c>
      <c r="L78" s="401" t="str">
        <f t="array" ref="L78">IF(K78&gt;0,IFERROR(HYPERLINK("#'IM'!AC"&amp;MATCH(1,(IM!$F$1:$F$5000=A78)*(ISNUMBER(SEARCH(勤務統計!$C$1,IM!$AC$1:$AC$5000))),0),"檢核"),"未登錄"),"")</f>
        <v>檢核</v>
      </c>
      <c r="M78" s="402" t="str">
        <f t="shared" si="1"/>
        <v>+L90+721</v>
      </c>
      <c r="N78" s="402" t="str">
        <f t="array" ref="N78">IF(AND(
    SUMPRODUCT(
        (IM!$F$2:$F$522=A78) *
        ISNUMBER(SEARCH("*HUB*", IM!$AC$2:$AC$522)) *
        (IM!$X$2:$X$522&gt;=勤務統計!$A$1) *
        (IM!$X$2:$X$522&lt;=勤務統計!$B$1)*(W78="HUB")
    ) &gt; 0
), "HUB", "")</f>
        <v/>
      </c>
      <c r="O78" s="400" t="str">
        <f>IF(
  IFERROR(VLOOKUP(A78,勤務統計!A:I,9,FALSE),"")&lt;&gt;勤務統計!$C$1,
  "未完工",
  IF(
    AND(勤務統計!$D$1="--",勤務統計!$E$1="--",勤務統計!$F$1="--"),
    "已完工",
    IF(
      OR(
        AND(勤務統計!$D$1&lt;&gt;"--", IFERROR(VLOOKUP(A78,'0919門市清單主檔'!B:AH,31,FALSE),"")=勤務統計!$D$1, IFERROR(VLOOKUP(A78,勤務統計!A:Q,17,FALSE),"")&lt;&gt;勤務統計!$D$1),
        AND(勤務統計!$E$1&lt;&gt;"--", IFERROR(VLOOKUP(A78,'0919門市清單主檔'!B:AH,32,FALSE),"")=勤務統計!$E$1, IFERROR(VLOOKUP(A78,勤務統計!A:S,19,FALSE),"")&lt;&gt;勤務統計!$E$1),
        AND(勤務統計!$F$1&lt;&gt;"--", IFERROR(VLOOKUP(A78,'0919門市清單主檔'!B:AH,33,FALSE),"")=勤務統計!$F$1, IFERROR(VLOOKUP(A78,勤務統計!A:U,21,FALSE),"")&lt;&gt;勤務統計!$F$1),
        AND(IFERROR(VLOOKUP(A78,'0919門市清單主檔'!B:AH,28,FALSE),"")="HUB", IFERROR(VLOOKUP(A78,勤務統計!A:W,23,FALSE),"")&lt;&gt;"HUB")
      ),
      _xlfn.TEXTJOIN(
        "，",
        TRUE,
        IF(AND(勤務統計!$D$1&lt;&gt;"--", IFERROR(VLOOKUP(A78,'0919門市清單主檔'!B:AH,31,FALSE),"")=勤務統計!$D$1, IFERROR(VLOOKUP(A78,勤務統計!A:Q,17,FALSE),"")&lt;&gt;勤務統計!$D$1), 勤務統計!$D$1, ""),
        IF(AND(勤務統計!$E$1&lt;&gt;"--", IFERROR(VLOOKUP(A78,'0919門市清單主檔'!B:AH,32,FALSE),"")=勤務統計!$E$1, IFERROR(VLOOKUP(A78,勤務統計!A:S,19,FALSE),"")&lt;&gt;勤務統計!$E$1), 勤務統計!$E$1, ""),
        IF(AND(勤務統計!$F$1&lt;&gt;"--", IFERROR(VLOOKUP(A78,'0919門市清單主檔'!B:AH,33,FALSE),"")=勤務統計!$F$1, IFERROR(VLOOKUP(A78,勤務統計!A:U,21,FALSE),"")&lt;&gt;勤務統計!$F$1), 勤務統計!$F$1, ""),
        IF(AND(IFERROR(VLOOKUP(A78,'0919門市清單主檔'!B:AH,28,FALSE),"")="HUB", IFERROR(VLOOKUP(A78,勤務統計!A:W,23,FALSE),"")&lt;&gt;"HUB"), "HUB", "")
      ) &amp; "未完工",
      "已完工"
    )
  )
)</f>
        <v>未完工</v>
      </c>
      <c r="P78" s="403" t="str">
        <f>(TEXT(I78,"yyyymmdd"))&amp;勤務統計!$V$2&amp;A78&amp;勤務統計!$V$2&amp;B78&amp;勤務統計!$S$2</f>
        <v>PMQ1-2315-蘆竹坑口店(定保)</v>
      </c>
      <c r="Q78" s="420" t="str">
        <f t="array" ref="Q78">IF(AND(SUMPRODUCT((IM!$F$2:$F$5000=A78)*(ISNUMBER(SEARCH(勤務統計!$D$1, IM!$AC$2:$AC$5000))))&gt;0), 勤務統計!$D$1, "")</f>
        <v/>
      </c>
      <c r="R78" s="421" t="str">
        <f t="array" ref="R78">IFERROR(INDEX(IM!$AM$2:$AM$5000, MATCH(1, (IM!$F$2:$F$5000=A78) * (ISNUMBER(SEARCH(勤務統計!$D$1, IM!$AC$2:$AC$5000))), 0)), "")</f>
        <v/>
      </c>
      <c r="S78" s="406" t="str" cm="1">
        <f t="array" ref="S78">IF(AND(SUMPRODUCT((IM!$F$2:$F$5000=A78)*(ISNUMBER(SEARCH(勤務統計!$E$1, IM!$AC$2:$AC$5000))))&gt;0), 勤務統計!$E$1, "")</f>
        <v>+L90</v>
      </c>
      <c r="T78" s="422">
        <f t="array" ref="T78">IFERROR(INDEX(IM!$AM$2:$AM$5000, MATCH(1, (IM!$F$2:$F$5000=A78) * (ISNUMBER(SEARCH(勤務統計!$E$1, IM!$AC$2:$AC$5000))), 0)), "")</f>
        <v>46043</v>
      </c>
      <c r="U78" s="406" t="str" cm="1">
        <f t="array" ref="U78">IF(AND(SUMPRODUCT((IM!$F$2:$F$5000=A78)*(ISNUMBER(SEARCH(勤務統計!$F$1, IM!$AC$2:$AC$5000))))&gt;0), 勤務統計!$F$1, "")</f>
        <v>+721</v>
      </c>
      <c r="V78" s="413">
        <f t="array" ref="V78">IFERROR(INDEX(IM!$AM$2:$AM$5000, MATCH(1, (IM!$F$2:$F$5000=A78) * (ISNUMBER(SEARCH(勤務統計!$F$1, IM!$AC$2:$AC$5000))), 0)), "")</f>
        <v>46043</v>
      </c>
      <c r="W78" s="414" t="str">
        <f>IF(VLOOKUP(A78,'0919門市清單主檔'!B:AC,28,FALSE)=0,"",VLOOKUP(A78,'0919門市清單主檔'!B:AC,28,FALSE))</f>
        <v/>
      </c>
    </row>
    <row r="79" spans="1:23" ht="21.6" customHeight="1">
      <c r="A79" s="423">
        <v>4572</v>
      </c>
      <c r="B79" s="416" t="str">
        <f>VLOOKUP(A79,'0919門市清單主檔'!B:C,2,FALSE)</f>
        <v>蘆竹海湖店</v>
      </c>
      <c r="C79" s="415" t="str">
        <f>VLOOKUP($A79,'0919門市清單主檔'!B:V,20,FALSE)</f>
        <v>桃園市</v>
      </c>
      <c r="D79" s="410" t="str">
        <f>VLOOKUP($A79,'0919門市清單主檔'!B:V,21,FALSE)</f>
        <v>龜山區</v>
      </c>
      <c r="E79" s="397" t="str">
        <f>VLOOKUP(D79,門市狀態!G:H,2,FALSE)</f>
        <v>吳宗鴻</v>
      </c>
      <c r="F79" s="410" t="str">
        <f>IFERROR(IF(VLOOKUP(A79,門市狀態!A:D,4,FALSE)=0,"",VLOOKUP(A79,門市狀態!A:D,4,FALSE)),"")</f>
        <v/>
      </c>
      <c r="G79" s="424"/>
      <c r="H79" s="425" t="str">
        <f>IF(I79&gt;0,(TEXT(I79,"yyyymmdd")&amp;勤務統計!$V$2&amp;A79&amp;勤務統計!$V$2&amp;B79&amp;勤務統計!$S$2),"")</f>
        <v>PMQ1-4572-蘆竹海湖店(定保)</v>
      </c>
      <c r="I79" s="247" t="str">
        <f t="array" ref="I79">IF(AND(SUMPRODUCT((IM!$F$2:$F$5000=A79)*(ISNUMBER(SEARCH(勤務統計!$C$1, IM!$AC$2:$AC$5000))))&gt;0), 勤務統計!$C$1, "")</f>
        <v>PMQ1</v>
      </c>
      <c r="J79" s="399">
        <f t="array" ref="J79">IFERROR(INDEX(IM!$AM$2:$AM$5000, MATCH(1, (IM!$F$2:$F$5000=A79) * (ISNUMBER(SEARCH(勤務統計!$C$1, IM!$AC$2:$AC$5000))), 0)), "")</f>
        <v>46043</v>
      </c>
      <c r="K79" s="400">
        <f t="array" ref="K79">SUMPRODUCT((IM!$F$2:$F$5000=A79)*(IM!$AD$2:$AD$5000="O")*(ISNUMBER(SEARCH(勤務統計!$C$1, IM!$AC$2:$AC$5000))))</f>
        <v>1</v>
      </c>
      <c r="L79" s="401" t="str">
        <f t="array" ref="L79">IF(K79&gt;0,IFERROR(HYPERLINK("#'IM'!AC"&amp;MATCH(1,(IM!$F$1:$F$5000=A79)*(ISNUMBER(SEARCH(勤務統計!$C$1,IM!$AC$1:$AC$5000))),0),"檢核"),"未登錄"),"")</f>
        <v>檢核</v>
      </c>
      <c r="M79" s="402" t="str">
        <f t="shared" si="1"/>
        <v/>
      </c>
      <c r="N79" s="402" t="str">
        <f t="array" ref="N79">IF(AND(
    SUMPRODUCT(
        (IM!$F$2:$F$522=A79) *
        ISNUMBER(SEARCH("*HUB*", IM!$AC$2:$AC$522)) *
        (IM!$X$2:$X$522&gt;=勤務統計!$A$1) *
        (IM!$X$2:$X$522&lt;=勤務統計!$B$1)*(W79="HUB")
    ) &gt; 0
), "HUB", "")</f>
        <v/>
      </c>
      <c r="O79" s="400" t="str">
        <f>IF(
  IFERROR(VLOOKUP(A79,勤務統計!A:I,9,FALSE),"")&lt;&gt;勤務統計!$C$1,
  "未完工",
  IF(
    AND(勤務統計!$D$1="--",勤務統計!$E$1="--",勤務統計!$F$1="--"),
    "已完工",
    IF(
      OR(
        AND(勤務統計!$D$1&lt;&gt;"--", IFERROR(VLOOKUP(A79,'0919門市清單主檔'!B:AH,31,FALSE),"")=勤務統計!$D$1, IFERROR(VLOOKUP(A79,勤務統計!A:Q,17,FALSE),"")&lt;&gt;勤務統計!$D$1),
        AND(勤務統計!$E$1&lt;&gt;"--", IFERROR(VLOOKUP(A79,'0919門市清單主檔'!B:AH,32,FALSE),"")=勤務統計!$E$1, IFERROR(VLOOKUP(A79,勤務統計!A:S,19,FALSE),"")&lt;&gt;勤務統計!$E$1),
        AND(勤務統計!$F$1&lt;&gt;"--", IFERROR(VLOOKUP(A79,'0919門市清單主檔'!B:AH,33,FALSE),"")=勤務統計!$F$1, IFERROR(VLOOKUP(A79,勤務統計!A:U,21,FALSE),"")&lt;&gt;勤務統計!$F$1),
        AND(IFERROR(VLOOKUP(A79,'0919門市清單主檔'!B:AH,28,FALSE),"")="HUB", IFERROR(VLOOKUP(A79,勤務統計!A:W,23,FALSE),"")&lt;&gt;"HUB")
      ),
      _xlfn.TEXTJOIN(
        "，",
        TRUE,
        IF(AND(勤務統計!$D$1&lt;&gt;"--", IFERROR(VLOOKUP(A79,'0919門市清單主檔'!B:AH,31,FALSE),"")=勤務統計!$D$1, IFERROR(VLOOKUP(A79,勤務統計!A:Q,17,FALSE),"")&lt;&gt;勤務統計!$D$1), 勤務統計!$D$1, ""),
        IF(AND(勤務統計!$E$1&lt;&gt;"--", IFERROR(VLOOKUP(A79,'0919門市清單主檔'!B:AH,32,FALSE),"")=勤務統計!$E$1, IFERROR(VLOOKUP(A79,勤務統計!A:S,19,FALSE),"")&lt;&gt;勤務統計!$E$1), 勤務統計!$E$1, ""),
        IF(AND(勤務統計!$F$1&lt;&gt;"--", IFERROR(VLOOKUP(A79,'0919門市清單主檔'!B:AH,33,FALSE),"")=勤務統計!$F$1, IFERROR(VLOOKUP(A79,勤務統計!A:U,21,FALSE),"")&lt;&gt;勤務統計!$F$1), 勤務統計!$F$1, ""),
        IF(AND(IFERROR(VLOOKUP(A79,'0919門市清單主檔'!B:AH,28,FALSE),"")="HUB", IFERROR(VLOOKUP(A79,勤務統計!A:W,23,FALSE),"")&lt;&gt;"HUB"), "HUB", "")
      ) &amp; "未完工",
      "已完工"
    )
  )
)</f>
        <v>未完工</v>
      </c>
      <c r="P79" s="403" t="str">
        <f>(TEXT(I79,"yyyymmdd"))&amp;勤務統計!$V$2&amp;A79&amp;勤務統計!$V$2&amp;B79&amp;勤務統計!$S$2</f>
        <v>PMQ1-4572-蘆竹海湖店(定保)</v>
      </c>
      <c r="Q79" s="420" t="str">
        <f t="array" ref="Q79">IF(AND(SUMPRODUCT((IM!$F$2:$F$5000=A79)*(ISNUMBER(SEARCH(勤務統計!$D$1, IM!$AC$2:$AC$5000))))&gt;0), 勤務統計!$D$1, "")</f>
        <v/>
      </c>
      <c r="R79" s="421" t="str">
        <f t="array" ref="R79">IFERROR(INDEX(IM!$AM$2:$AM$5000, MATCH(1, (IM!$F$2:$F$5000=A79) * (ISNUMBER(SEARCH(勤務統計!$D$1, IM!$AC$2:$AC$5000))), 0)), "")</f>
        <v/>
      </c>
      <c r="S79" s="406" t="str" cm="1">
        <f t="array" ref="S79">IF(AND(SUMPRODUCT((IM!$F$2:$F$5000=A79)*(ISNUMBER(SEARCH(勤務統計!$E$1, IM!$AC$2:$AC$5000))))&gt;0), 勤務統計!$E$1, "")</f>
        <v/>
      </c>
      <c r="T79" s="422" t="str">
        <f t="array" ref="T79">IFERROR(INDEX(IM!$AM$2:$AM$5000, MATCH(1, (IM!$F$2:$F$5000=A79) * (ISNUMBER(SEARCH(勤務統計!$E$1, IM!$AC$2:$AC$5000))), 0)), "")</f>
        <v/>
      </c>
      <c r="U79" s="406" t="str" cm="1">
        <f t="array" ref="U79">IF(AND(SUMPRODUCT((IM!$F$2:$F$5000=A79)*(ISNUMBER(SEARCH(勤務統計!$F$1, IM!$AC$2:$AC$5000))))&gt;0), 勤務統計!$F$1, "")</f>
        <v/>
      </c>
      <c r="V79" s="413" t="str">
        <f t="array" ref="V79">IFERROR(INDEX(IM!$AM$2:$AM$5000, MATCH(1, (IM!$F$2:$F$5000=A79) * (ISNUMBER(SEARCH(勤務統計!$F$1, IM!$AC$2:$AC$5000))), 0)), "")</f>
        <v/>
      </c>
      <c r="W79" s="414" t="str">
        <f>IF(VLOOKUP(A79,'0919門市清單主檔'!B:AC,28,FALSE)=0,"",VLOOKUP(A79,'0919門市清單主檔'!B:AC,28,FALSE))</f>
        <v/>
      </c>
    </row>
    <row r="80" spans="1:23" ht="21.6" customHeight="1">
      <c r="A80" s="423" t="s">
        <v>54</v>
      </c>
      <c r="B80" s="416" t="str">
        <f>VLOOKUP(A80,'0919門市清單主檔'!B:C,2,FALSE)</f>
        <v>蘆竹揚耀店</v>
      </c>
      <c r="C80" s="415" t="str">
        <f>VLOOKUP($A80,'0919門市清單主檔'!B:V,20,FALSE)</f>
        <v>桃園市</v>
      </c>
      <c r="D80" s="410" t="str">
        <f>VLOOKUP($A80,'0919門市清單主檔'!B:V,21,FALSE)</f>
        <v>蘆竹區</v>
      </c>
      <c r="E80" s="397" t="str">
        <f>VLOOKUP(D80,門市狀態!G:H,2,FALSE)</f>
        <v>吳宗鴻</v>
      </c>
      <c r="F80" s="410" t="str">
        <f>IFERROR(IF(VLOOKUP(A80,門市狀態!A:D,4,FALSE)=0,"",VLOOKUP(A80,門市狀態!A:D,4,FALSE)),"")</f>
        <v/>
      </c>
      <c r="G80" s="424"/>
      <c r="H80" s="425" t="str">
        <f>IF(I80&gt;0,(TEXT(I80,"yyyymmdd")&amp;勤務統計!$V$2&amp;A80&amp;勤務統計!$V$2&amp;B80&amp;勤務統計!$S$2),"")</f>
        <v>PMQ1-L556-蘆竹揚耀店(定保)</v>
      </c>
      <c r="I80" s="247" t="str">
        <f t="array" ref="I80">IF(AND(SUMPRODUCT((IM!$F$2:$F$5000=A80)*(ISNUMBER(SEARCH(勤務統計!$C$1, IM!$AC$2:$AC$5000))))&gt;0), 勤務統計!$C$1, "")</f>
        <v>PMQ1</v>
      </c>
      <c r="J80" s="399">
        <f t="array" ref="J80">IFERROR(INDEX(IM!$AM$2:$AM$5000, MATCH(1, (IM!$F$2:$F$5000=A80) * (ISNUMBER(SEARCH(勤務統計!$C$1, IM!$AC$2:$AC$5000))), 0)), "")</f>
        <v>46043</v>
      </c>
      <c r="K80" s="400">
        <f t="array" ref="K80">SUMPRODUCT((IM!$F$2:$F$5000=A80)*(IM!$AD$2:$AD$5000="O")*(ISNUMBER(SEARCH(勤務統計!$C$1, IM!$AC$2:$AC$5000))))</f>
        <v>1</v>
      </c>
      <c r="L80" s="401" t="str">
        <f t="array" ref="L80">IF(K80&gt;0,IFERROR(HYPERLINK("#'IM'!AC"&amp;MATCH(1,(IM!$F$1:$F$5000=A80)*(ISNUMBER(SEARCH(勤務統計!$C$1,IM!$AC$1:$AC$5000))),0),"檢核"),"未登錄"),"")</f>
        <v>檢核</v>
      </c>
      <c r="M80" s="402" t="str">
        <f t="shared" si="1"/>
        <v/>
      </c>
      <c r="N80" s="402" t="str">
        <f t="array" ref="N80">IF(AND(
    SUMPRODUCT(
        (IM!$F$2:$F$522=A80) *
        ISNUMBER(SEARCH("*HUB*", IM!$AC$2:$AC$522)) *
        (IM!$X$2:$X$522&gt;=勤務統計!$A$1) *
        (IM!$X$2:$X$522&lt;=勤務統計!$B$1)*(W80="HUB")
    ) &gt; 0
), "HUB", "")</f>
        <v/>
      </c>
      <c r="O80" s="400" t="str">
        <f>IF(
  IFERROR(VLOOKUP(A80,勤務統計!A:I,9,FALSE),"")&lt;&gt;勤務統計!$C$1,
  "未完工",
  IF(
    AND(勤務統計!$D$1="--",勤務統計!$E$1="--",勤務統計!$F$1="--"),
    "已完工",
    IF(
      OR(
        AND(勤務統計!$D$1&lt;&gt;"--", IFERROR(VLOOKUP(A80,'0919門市清單主檔'!B:AH,31,FALSE),"")=勤務統計!$D$1, IFERROR(VLOOKUP(A80,勤務統計!A:Q,17,FALSE),"")&lt;&gt;勤務統計!$D$1),
        AND(勤務統計!$E$1&lt;&gt;"--", IFERROR(VLOOKUP(A80,'0919門市清單主檔'!B:AH,32,FALSE),"")=勤務統計!$E$1, IFERROR(VLOOKUP(A80,勤務統計!A:S,19,FALSE),"")&lt;&gt;勤務統計!$E$1),
        AND(勤務統計!$F$1&lt;&gt;"--", IFERROR(VLOOKUP(A80,'0919門市清單主檔'!B:AH,33,FALSE),"")=勤務統計!$F$1, IFERROR(VLOOKUP(A80,勤務統計!A:U,21,FALSE),"")&lt;&gt;勤務統計!$F$1),
        AND(IFERROR(VLOOKUP(A80,'0919門市清單主檔'!B:AH,28,FALSE),"")="HUB", IFERROR(VLOOKUP(A80,勤務統計!A:W,23,FALSE),"")&lt;&gt;"HUB")
      ),
      _xlfn.TEXTJOIN(
        "，",
        TRUE,
        IF(AND(勤務統計!$D$1&lt;&gt;"--", IFERROR(VLOOKUP(A80,'0919門市清單主檔'!B:AH,31,FALSE),"")=勤務統計!$D$1, IFERROR(VLOOKUP(A80,勤務統計!A:Q,17,FALSE),"")&lt;&gt;勤務統計!$D$1), 勤務統計!$D$1, ""),
        IF(AND(勤務統計!$E$1&lt;&gt;"--", IFERROR(VLOOKUP(A80,'0919門市清單主檔'!B:AH,32,FALSE),"")=勤務統計!$E$1, IFERROR(VLOOKUP(A80,勤務統計!A:S,19,FALSE),"")&lt;&gt;勤務統計!$E$1), 勤務統計!$E$1, ""),
        IF(AND(勤務統計!$F$1&lt;&gt;"--", IFERROR(VLOOKUP(A80,'0919門市清單主檔'!B:AH,33,FALSE),"")=勤務統計!$F$1, IFERROR(VLOOKUP(A80,勤務統計!A:U,21,FALSE),"")&lt;&gt;勤務統計!$F$1), 勤務統計!$F$1, ""),
        IF(AND(IFERROR(VLOOKUP(A80,'0919門市清單主檔'!B:AH,28,FALSE),"")="HUB", IFERROR(VLOOKUP(A80,勤務統計!A:W,23,FALSE),"")&lt;&gt;"HUB"), "HUB", "")
      ) &amp; "未完工",
      "已完工"
    )
  )
)</f>
        <v>未完工</v>
      </c>
      <c r="P80" s="403" t="str">
        <f>(TEXT(I80,"yyyymmdd"))&amp;勤務統計!$V$2&amp;A80&amp;勤務統計!$V$2&amp;B80&amp;勤務統計!$S$2</f>
        <v>PMQ1-L556-蘆竹揚耀店(定保)</v>
      </c>
      <c r="Q80" s="420" t="str">
        <f t="array" ref="Q80">IF(AND(SUMPRODUCT((IM!$F$2:$F$5000=A80)*(ISNUMBER(SEARCH(勤務統計!$D$1, IM!$AC$2:$AC$5000))))&gt;0), 勤務統計!$D$1, "")</f>
        <v/>
      </c>
      <c r="R80" s="421" t="str">
        <f t="array" ref="R80">IFERROR(INDEX(IM!$AM$2:$AM$5000, MATCH(1, (IM!$F$2:$F$5000=A80) * (ISNUMBER(SEARCH(勤務統計!$D$1, IM!$AC$2:$AC$5000))), 0)), "")</f>
        <v/>
      </c>
      <c r="S80" s="406" t="str" cm="1">
        <f t="array" ref="S80">IF(AND(SUMPRODUCT((IM!$F$2:$F$5000=A80)*(ISNUMBER(SEARCH(勤務統計!$E$1, IM!$AC$2:$AC$5000))))&gt;0), 勤務統計!$E$1, "")</f>
        <v/>
      </c>
      <c r="T80" s="422" t="str">
        <f t="array" ref="T80">IFERROR(INDEX(IM!$AM$2:$AM$5000, MATCH(1, (IM!$F$2:$F$5000=A80) * (ISNUMBER(SEARCH(勤務統計!$E$1, IM!$AC$2:$AC$5000))), 0)), "")</f>
        <v/>
      </c>
      <c r="U80" s="406" t="str" cm="1">
        <f t="array" ref="U80">IF(AND(SUMPRODUCT((IM!$F$2:$F$5000=A80)*(ISNUMBER(SEARCH(勤務統計!$F$1, IM!$AC$2:$AC$5000))))&gt;0), 勤務統計!$F$1, "")</f>
        <v/>
      </c>
      <c r="V80" s="413" t="str">
        <f t="array" ref="V80">IFERROR(INDEX(IM!$AM$2:$AM$5000, MATCH(1, (IM!$F$2:$F$5000=A80) * (ISNUMBER(SEARCH(勤務統計!$F$1, IM!$AC$2:$AC$5000))), 0)), "")</f>
        <v/>
      </c>
      <c r="W80" s="414" t="str">
        <f>IF(VLOOKUP(A80,'0919門市清單主檔'!B:AC,28,FALSE)=0,"",VLOOKUP(A80,'0919門市清單主檔'!B:AC,28,FALSE))</f>
        <v/>
      </c>
    </row>
    <row r="81" spans="1:23" ht="21.6" customHeight="1">
      <c r="A81" s="423" t="s">
        <v>55</v>
      </c>
      <c r="B81" s="416" t="str">
        <f>VLOOKUP(A81,'0919門市清單主檔'!B:C,2,FALSE)</f>
        <v>匯躍蘆竹店</v>
      </c>
      <c r="C81" s="415" t="str">
        <f>VLOOKUP($A81,'0919門市清單主檔'!B:V,20,FALSE)</f>
        <v>桃園市</v>
      </c>
      <c r="D81" s="410" t="str">
        <f>VLOOKUP($A81,'0919門市清單主檔'!B:V,21,FALSE)</f>
        <v>蘆竹區</v>
      </c>
      <c r="E81" s="397" t="str">
        <f>VLOOKUP(D81,門市狀態!G:H,2,FALSE)</f>
        <v>吳宗鴻</v>
      </c>
      <c r="F81" s="410" t="str">
        <f>IFERROR(IF(VLOOKUP(A81,門市狀態!A:D,4,FALSE)=0,"",VLOOKUP(A81,門市狀態!A:D,4,FALSE)),"")</f>
        <v/>
      </c>
      <c r="G81" s="424"/>
      <c r="H81" s="425" t="str">
        <f>IF(I81&gt;0,(TEXT(I81,"yyyymmdd")&amp;勤務統計!$V$2&amp;A81&amp;勤務統計!$V$2&amp;B81&amp;勤務統計!$S$2),"")</f>
        <v>PMQ1-L565-匯躍蘆竹店(定保)</v>
      </c>
      <c r="I81" s="247" t="str">
        <f t="array" ref="I81">IF(AND(SUMPRODUCT((IM!$F$2:$F$5000=A81)*(ISNUMBER(SEARCH(勤務統計!$C$1, IM!$AC$2:$AC$5000))))&gt;0), 勤務統計!$C$1, "")</f>
        <v>PMQ1</v>
      </c>
      <c r="J81" s="399">
        <f t="array" ref="J81">IFERROR(INDEX(IM!$AM$2:$AM$5000, MATCH(1, (IM!$F$2:$F$5000=A81) * (ISNUMBER(SEARCH(勤務統計!$C$1, IM!$AC$2:$AC$5000))), 0)), "")</f>
        <v>46043</v>
      </c>
      <c r="K81" s="400">
        <f t="array" ref="K81">SUMPRODUCT((IM!$F$2:$F$5000=A81)*(IM!$AD$2:$AD$5000="O")*(ISNUMBER(SEARCH(勤務統計!$C$1, IM!$AC$2:$AC$5000))))</f>
        <v>1</v>
      </c>
      <c r="L81" s="401" t="str">
        <f t="array" ref="L81">IF(K81&gt;0,IFERROR(HYPERLINK("#'IM'!AC"&amp;MATCH(1,(IM!$F$1:$F$5000=A81)*(ISNUMBER(SEARCH(勤務統計!$C$1,IM!$AC$1:$AC$5000))),0),"檢核"),"未登錄"),"")</f>
        <v>檢核</v>
      </c>
      <c r="M81" s="402" t="str">
        <f t="shared" si="1"/>
        <v/>
      </c>
      <c r="N81" s="402" t="str">
        <f t="array" ref="N81">IF(AND(
    SUMPRODUCT(
        (IM!$F$2:$F$522=A81) *
        ISNUMBER(SEARCH("*HUB*", IM!$AC$2:$AC$522)) *
        (IM!$X$2:$X$522&gt;=勤務統計!$A$1) *
        (IM!$X$2:$X$522&lt;=勤務統計!$B$1)*(W81="HUB")
    ) &gt; 0
), "HUB", "")</f>
        <v/>
      </c>
      <c r="O81" s="400" t="str">
        <f>IF(
  IFERROR(VLOOKUP(A81,勤務統計!A:I,9,FALSE),"")&lt;&gt;勤務統計!$C$1,
  "未完工",
  IF(
    AND(勤務統計!$D$1="--",勤務統計!$E$1="--",勤務統計!$F$1="--"),
    "已完工",
    IF(
      OR(
        AND(勤務統計!$D$1&lt;&gt;"--", IFERROR(VLOOKUP(A81,'0919門市清單主檔'!B:AH,31,FALSE),"")=勤務統計!$D$1, IFERROR(VLOOKUP(A81,勤務統計!A:Q,17,FALSE),"")&lt;&gt;勤務統計!$D$1),
        AND(勤務統計!$E$1&lt;&gt;"--", IFERROR(VLOOKUP(A81,'0919門市清單主檔'!B:AH,32,FALSE),"")=勤務統計!$E$1, IFERROR(VLOOKUP(A81,勤務統計!A:S,19,FALSE),"")&lt;&gt;勤務統計!$E$1),
        AND(勤務統計!$F$1&lt;&gt;"--", IFERROR(VLOOKUP(A81,'0919門市清單主檔'!B:AH,33,FALSE),"")=勤務統計!$F$1, IFERROR(VLOOKUP(A81,勤務統計!A:U,21,FALSE),"")&lt;&gt;勤務統計!$F$1),
        AND(IFERROR(VLOOKUP(A81,'0919門市清單主檔'!B:AH,28,FALSE),"")="HUB", IFERROR(VLOOKUP(A81,勤務統計!A:W,23,FALSE),"")&lt;&gt;"HUB")
      ),
      _xlfn.TEXTJOIN(
        "，",
        TRUE,
        IF(AND(勤務統計!$D$1&lt;&gt;"--", IFERROR(VLOOKUP(A81,'0919門市清單主檔'!B:AH,31,FALSE),"")=勤務統計!$D$1, IFERROR(VLOOKUP(A81,勤務統計!A:Q,17,FALSE),"")&lt;&gt;勤務統計!$D$1), 勤務統計!$D$1, ""),
        IF(AND(勤務統計!$E$1&lt;&gt;"--", IFERROR(VLOOKUP(A81,'0919門市清單主檔'!B:AH,32,FALSE),"")=勤務統計!$E$1, IFERROR(VLOOKUP(A81,勤務統計!A:S,19,FALSE),"")&lt;&gt;勤務統計!$E$1), 勤務統計!$E$1, ""),
        IF(AND(勤務統計!$F$1&lt;&gt;"--", IFERROR(VLOOKUP(A81,'0919門市清單主檔'!B:AH,33,FALSE),"")=勤務統計!$F$1, IFERROR(VLOOKUP(A81,勤務統計!A:U,21,FALSE),"")&lt;&gt;勤務統計!$F$1), 勤務統計!$F$1, ""),
        IF(AND(IFERROR(VLOOKUP(A81,'0919門市清單主檔'!B:AH,28,FALSE),"")="HUB", IFERROR(VLOOKUP(A81,勤務統計!A:W,23,FALSE),"")&lt;&gt;"HUB"), "HUB", "")
      ) &amp; "未完工",
      "已完工"
    )
  )
)</f>
        <v>未完工</v>
      </c>
      <c r="P81" s="403" t="str">
        <f>(TEXT(I81,"yyyymmdd"))&amp;勤務統計!$V$2&amp;A81&amp;勤務統計!$V$2&amp;B81&amp;勤務統計!$S$2</f>
        <v>PMQ1-L565-匯躍蘆竹店(定保)</v>
      </c>
      <c r="Q81" s="420" t="str">
        <f t="array" ref="Q81">IF(AND(SUMPRODUCT((IM!$F$2:$F$5000=A81)*(ISNUMBER(SEARCH(勤務統計!$D$1, IM!$AC$2:$AC$5000))))&gt;0), 勤務統計!$D$1, "")</f>
        <v/>
      </c>
      <c r="R81" s="421" t="str">
        <f t="array" ref="R81">IFERROR(INDEX(IM!$AM$2:$AM$5000, MATCH(1, (IM!$F$2:$F$5000=A81) * (ISNUMBER(SEARCH(勤務統計!$D$1, IM!$AC$2:$AC$5000))), 0)), "")</f>
        <v/>
      </c>
      <c r="S81" s="406" t="str" cm="1">
        <f t="array" ref="S81">IF(AND(SUMPRODUCT((IM!$F$2:$F$5000=A81)*(ISNUMBER(SEARCH(勤務統計!$E$1, IM!$AC$2:$AC$5000))))&gt;0), 勤務統計!$E$1, "")</f>
        <v/>
      </c>
      <c r="T81" s="422" t="str">
        <f t="array" ref="T81">IFERROR(INDEX(IM!$AM$2:$AM$5000, MATCH(1, (IM!$F$2:$F$5000=A81) * (ISNUMBER(SEARCH(勤務統計!$E$1, IM!$AC$2:$AC$5000))), 0)), "")</f>
        <v/>
      </c>
      <c r="U81" s="406" t="str" cm="1">
        <f t="array" ref="U81">IF(AND(SUMPRODUCT((IM!$F$2:$F$5000=A81)*(ISNUMBER(SEARCH(勤務統計!$F$1, IM!$AC$2:$AC$5000))))&gt;0), 勤務統計!$F$1, "")</f>
        <v/>
      </c>
      <c r="V81" s="413" t="str">
        <f t="array" ref="V81">IFERROR(INDEX(IM!$AM$2:$AM$5000, MATCH(1, (IM!$F$2:$F$5000=A81) * (ISNUMBER(SEARCH(勤務統計!$F$1, IM!$AC$2:$AC$5000))), 0)), "")</f>
        <v/>
      </c>
      <c r="W81" s="414" t="str">
        <f>IF(VLOOKUP(A81,'0919門市清單主檔'!B:AC,28,FALSE)=0,"",VLOOKUP(A81,'0919門市清單主檔'!B:AC,28,FALSE))</f>
        <v/>
      </c>
    </row>
    <row r="82" spans="1:23" ht="21.6" customHeight="1">
      <c r="A82" s="423" t="s">
        <v>56</v>
      </c>
      <c r="B82" s="416" t="str">
        <f>VLOOKUP(A82,'0919門市清單主檔'!B:C,2,FALSE)</f>
        <v>三重重新店</v>
      </c>
      <c r="C82" s="415" t="str">
        <f>VLOOKUP($A82,'0919門市清單主檔'!B:V,20,FALSE)</f>
        <v>新北市</v>
      </c>
      <c r="D82" s="410" t="str">
        <f>VLOOKUP($A82,'0919門市清單主檔'!B:V,21,FALSE)</f>
        <v>三重區</v>
      </c>
      <c r="E82" s="397" t="str">
        <f>VLOOKUP(D82,門市狀態!G:H,2,FALSE)</f>
        <v>劉柏均</v>
      </c>
      <c r="F82" s="410" t="str">
        <f>IFERROR(IF(VLOOKUP(A82,門市狀態!A:D,4,FALSE)=0,"",VLOOKUP(A82,門市狀態!A:D,4,FALSE)),"")</f>
        <v/>
      </c>
      <c r="G82" s="424"/>
      <c r="H82" s="425" t="str">
        <f>IF(I82&gt;0,(TEXT(I82,"yyyymmdd")&amp;勤務統計!$V$2&amp;A82&amp;勤務統計!$V$2&amp;B82&amp;勤務統計!$S$2),"")</f>
        <v>PMQ1-D070-三重重新店(定保)</v>
      </c>
      <c r="I82" s="247" t="str">
        <f t="array" ref="I82">IF(AND(SUMPRODUCT((IM!$F$2:$F$5000=A82)*(ISNUMBER(SEARCH(勤務統計!$C$1, IM!$AC$2:$AC$5000))))&gt;0), 勤務統計!$C$1, "")</f>
        <v>PMQ1</v>
      </c>
      <c r="J82" s="399">
        <f t="array" ref="J82">IFERROR(INDEX(IM!$AM$2:$AM$5000, MATCH(1, (IM!$F$2:$F$5000=A82) * (ISNUMBER(SEARCH(勤務統計!$C$1, IM!$AC$2:$AC$5000))), 0)), "")</f>
        <v>46044</v>
      </c>
      <c r="K82" s="400">
        <f t="array" ref="K82">SUMPRODUCT((IM!$F$2:$F$5000=A82)*(IM!$AD$2:$AD$5000="O")*(ISNUMBER(SEARCH(勤務統計!$C$1, IM!$AC$2:$AC$5000))))</f>
        <v>1</v>
      </c>
      <c r="L82" s="401" t="str">
        <f t="array" ref="L82">IF(K82&gt;0,IFERROR(HYPERLINK("#'IM'!AC"&amp;MATCH(1,(IM!$F$1:$F$5000=A82)*(ISNUMBER(SEARCH(勤務統計!$C$1,IM!$AC$1:$AC$5000))),0),"檢核"),"未登錄"),"")</f>
        <v>檢核</v>
      </c>
      <c r="M82" s="402" t="str">
        <f t="shared" si="1"/>
        <v>+L90+721</v>
      </c>
      <c r="N82" s="402" t="str">
        <f t="array" ref="N82">IF(AND(
    SUMPRODUCT(
        (IM!$F$2:$F$522=A82) *
        ISNUMBER(SEARCH("*HUB*", IM!$AC$2:$AC$522)) *
        (IM!$X$2:$X$522&gt;=勤務統計!$A$1) *
        (IM!$X$2:$X$522&lt;=勤務統計!$B$1)*(W82="HUB")
    ) &gt; 0
), "HUB", "")</f>
        <v/>
      </c>
      <c r="O82" s="400" t="str">
        <f>IF(
  IFERROR(VLOOKUP(A82,勤務統計!A:I,9,FALSE),"")&lt;&gt;勤務統計!$C$1,
  "未完工",
  IF(
    AND(勤務統計!$D$1="--",勤務統計!$E$1="--",勤務統計!$F$1="--"),
    "已完工",
    IF(
      OR(
        AND(勤務統計!$D$1&lt;&gt;"--", IFERROR(VLOOKUP(A82,'0919門市清單主檔'!B:AH,31,FALSE),"")=勤務統計!$D$1, IFERROR(VLOOKUP(A82,勤務統計!A:Q,17,FALSE),"")&lt;&gt;勤務統計!$D$1),
        AND(勤務統計!$E$1&lt;&gt;"--", IFERROR(VLOOKUP(A82,'0919門市清單主檔'!B:AH,32,FALSE),"")=勤務統計!$E$1, IFERROR(VLOOKUP(A82,勤務統計!A:S,19,FALSE),"")&lt;&gt;勤務統計!$E$1),
        AND(勤務統計!$F$1&lt;&gt;"--", IFERROR(VLOOKUP(A82,'0919門市清單主檔'!B:AH,33,FALSE),"")=勤務統計!$F$1, IFERROR(VLOOKUP(A82,勤務統計!A:U,21,FALSE),"")&lt;&gt;勤務統計!$F$1),
        AND(IFERROR(VLOOKUP(A82,'0919門市清單主檔'!B:AH,28,FALSE),"")="HUB", IFERROR(VLOOKUP(A82,勤務統計!A:W,23,FALSE),"")&lt;&gt;"HUB")
      ),
      _xlfn.TEXTJOIN(
        "，",
        TRUE,
        IF(AND(勤務統計!$D$1&lt;&gt;"--", IFERROR(VLOOKUP(A82,'0919門市清單主檔'!B:AH,31,FALSE),"")=勤務統計!$D$1, IFERROR(VLOOKUP(A82,勤務統計!A:Q,17,FALSE),"")&lt;&gt;勤務統計!$D$1), 勤務統計!$D$1, ""),
        IF(AND(勤務統計!$E$1&lt;&gt;"--", IFERROR(VLOOKUP(A82,'0919門市清單主檔'!B:AH,32,FALSE),"")=勤務統計!$E$1, IFERROR(VLOOKUP(A82,勤務統計!A:S,19,FALSE),"")&lt;&gt;勤務統計!$E$1), 勤務統計!$E$1, ""),
        IF(AND(勤務統計!$F$1&lt;&gt;"--", IFERROR(VLOOKUP(A82,'0919門市清單主檔'!B:AH,33,FALSE),"")=勤務統計!$F$1, IFERROR(VLOOKUP(A82,勤務統計!A:U,21,FALSE),"")&lt;&gt;勤務統計!$F$1), 勤務統計!$F$1, ""),
        IF(AND(IFERROR(VLOOKUP(A82,'0919門市清單主檔'!B:AH,28,FALSE),"")="HUB", IFERROR(VLOOKUP(A82,勤務統計!A:W,23,FALSE),"")&lt;&gt;"HUB"), "HUB", "")
      ) &amp; "未完工",
      "已完工"
    )
  )
)</f>
        <v>未完工</v>
      </c>
      <c r="P82" s="403" t="str">
        <f>(TEXT(I82,"yyyymmdd"))&amp;勤務統計!$V$2&amp;A82&amp;勤務統計!$V$2&amp;B82&amp;勤務統計!$S$2</f>
        <v>PMQ1-D070-三重重新店(定保)</v>
      </c>
      <c r="Q82" s="420" t="str">
        <f t="array" ref="Q82">IF(AND(SUMPRODUCT((IM!$F$2:$F$5000=A82)*(ISNUMBER(SEARCH(勤務統計!$D$1, IM!$AC$2:$AC$5000))))&gt;0), 勤務統計!$D$1, "")</f>
        <v/>
      </c>
      <c r="R82" s="421" t="str">
        <f t="array" ref="R82">IFERROR(INDEX(IM!$AM$2:$AM$5000, MATCH(1, (IM!$F$2:$F$5000=A82) * (ISNUMBER(SEARCH(勤務統計!$D$1, IM!$AC$2:$AC$5000))), 0)), "")</f>
        <v/>
      </c>
      <c r="S82" s="406" t="str" cm="1">
        <f t="array" ref="S82">IF(AND(SUMPRODUCT((IM!$F$2:$F$5000=A82)*(ISNUMBER(SEARCH(勤務統計!$E$1, IM!$AC$2:$AC$5000))))&gt;0), 勤務統計!$E$1, "")</f>
        <v>+L90</v>
      </c>
      <c r="T82" s="422">
        <f t="array" ref="T82">IFERROR(INDEX(IM!$AM$2:$AM$5000, MATCH(1, (IM!$F$2:$F$5000=A82) * (ISNUMBER(SEARCH(勤務統計!$E$1, IM!$AC$2:$AC$5000))), 0)), "")</f>
        <v>45989</v>
      </c>
      <c r="U82" s="406" t="str" cm="1">
        <f t="array" ref="U82">IF(AND(SUMPRODUCT((IM!$F$2:$F$5000=A82)*(ISNUMBER(SEARCH(勤務統計!$F$1, IM!$AC$2:$AC$5000))))&gt;0), 勤務統計!$F$1, "")</f>
        <v>+721</v>
      </c>
      <c r="V82" s="413">
        <f t="array" ref="V82">IFERROR(INDEX(IM!$AM$2:$AM$5000, MATCH(1, (IM!$F$2:$F$5000=A82) * (ISNUMBER(SEARCH(勤務統計!$F$1, IM!$AC$2:$AC$5000))), 0)), "")</f>
        <v>46044</v>
      </c>
      <c r="W82" s="414" t="str">
        <f>IF(VLOOKUP(A82,'0919門市清單主檔'!B:AC,28,FALSE)=0,"",VLOOKUP(A82,'0919門市清單主檔'!B:AC,28,FALSE))</f>
        <v/>
      </c>
    </row>
    <row r="83" spans="1:23" ht="21.6" customHeight="1">
      <c r="A83" s="423">
        <v>4352</v>
      </c>
      <c r="B83" s="416" t="str">
        <f>VLOOKUP(A83,'0919門市清單主檔'!B:C,2,FALSE)</f>
        <v>三重公園店</v>
      </c>
      <c r="C83" s="415" t="str">
        <f>VLOOKUP($A83,'0919門市清單主檔'!B:V,20,FALSE)</f>
        <v>新北市</v>
      </c>
      <c r="D83" s="410" t="str">
        <f>VLOOKUP($A83,'0919門市清單主檔'!B:V,21,FALSE)</f>
        <v>三重區</v>
      </c>
      <c r="E83" s="397" t="str">
        <f>VLOOKUP(D83,門市狀態!G:H,2,FALSE)</f>
        <v>劉柏均</v>
      </c>
      <c r="F83" s="410" t="str">
        <f>IFERROR(IF(VLOOKUP(A83,門市狀態!A:D,4,FALSE)=0,"",VLOOKUP(A83,門市狀態!A:D,4,FALSE)),"")</f>
        <v/>
      </c>
      <c r="G83" s="424"/>
      <c r="H83" s="425" t="str">
        <f>IF(I83&gt;0,(TEXT(I83,"yyyymmdd")&amp;勤務統計!$V$2&amp;A83&amp;勤務統計!$V$2&amp;B83&amp;勤務統計!$S$2),"")</f>
        <v>PMQ1-4352-三重公園店(定保)</v>
      </c>
      <c r="I83" s="247" t="str">
        <f t="array" ref="I83">IF(AND(SUMPRODUCT((IM!$F$2:$F$5000=A83)*(ISNUMBER(SEARCH(勤務統計!$C$1, IM!$AC$2:$AC$5000))))&gt;0), 勤務統計!$C$1, "")</f>
        <v>PMQ1</v>
      </c>
      <c r="J83" s="399">
        <f t="array" ref="J83">IFERROR(INDEX(IM!$AM$2:$AM$5000, MATCH(1, (IM!$F$2:$F$5000=A83) * (ISNUMBER(SEARCH(勤務統計!$C$1, IM!$AC$2:$AC$5000))), 0)), "")</f>
        <v>46044</v>
      </c>
      <c r="K83" s="400">
        <f t="array" ref="K83">SUMPRODUCT((IM!$F$2:$F$5000=A83)*(IM!$AD$2:$AD$5000="O")*(ISNUMBER(SEARCH(勤務統計!$C$1, IM!$AC$2:$AC$5000))))</f>
        <v>1</v>
      </c>
      <c r="L83" s="401" t="str">
        <f t="array" ref="L83">IF(K83&gt;0,IFERROR(HYPERLINK("#'IM'!AC"&amp;MATCH(1,(IM!$F$1:$F$5000=A83)*(ISNUMBER(SEARCH(勤務統計!$C$1,IM!$AC$1:$AC$5000))),0),"檢核"),"未登錄"),"")</f>
        <v>檢核</v>
      </c>
      <c r="M83" s="402" t="str">
        <f t="shared" si="1"/>
        <v>+L90+721</v>
      </c>
      <c r="N83" s="402" t="str">
        <f t="array" ref="N83">IF(AND(
    SUMPRODUCT(
        (IM!$F$2:$F$522=A83) *
        ISNUMBER(SEARCH("*HUB*", IM!$AC$2:$AC$522)) *
        (IM!$X$2:$X$522&gt;=勤務統計!$A$1) *
        (IM!$X$2:$X$522&lt;=勤務統計!$B$1)*(W83="HUB")
    ) &gt; 0
), "HUB", "")</f>
        <v/>
      </c>
      <c r="O83" s="400" t="str">
        <f>IF(
  IFERROR(VLOOKUP(A83,勤務統計!A:I,9,FALSE),"")&lt;&gt;勤務統計!$C$1,
  "未完工",
  IF(
    AND(勤務統計!$D$1="--",勤務統計!$E$1="--",勤務統計!$F$1="--"),
    "已完工",
    IF(
      OR(
        AND(勤務統計!$D$1&lt;&gt;"--", IFERROR(VLOOKUP(A83,'0919門市清單主檔'!B:AH,31,FALSE),"")=勤務統計!$D$1, IFERROR(VLOOKUP(A83,勤務統計!A:Q,17,FALSE),"")&lt;&gt;勤務統計!$D$1),
        AND(勤務統計!$E$1&lt;&gt;"--", IFERROR(VLOOKUP(A83,'0919門市清單主檔'!B:AH,32,FALSE),"")=勤務統計!$E$1, IFERROR(VLOOKUP(A83,勤務統計!A:S,19,FALSE),"")&lt;&gt;勤務統計!$E$1),
        AND(勤務統計!$F$1&lt;&gt;"--", IFERROR(VLOOKUP(A83,'0919門市清單主檔'!B:AH,33,FALSE),"")=勤務統計!$F$1, IFERROR(VLOOKUP(A83,勤務統計!A:U,21,FALSE),"")&lt;&gt;勤務統計!$F$1),
        AND(IFERROR(VLOOKUP(A83,'0919門市清單主檔'!B:AH,28,FALSE),"")="HUB", IFERROR(VLOOKUP(A83,勤務統計!A:W,23,FALSE),"")&lt;&gt;"HUB")
      ),
      _xlfn.TEXTJOIN(
        "，",
        TRUE,
        IF(AND(勤務統計!$D$1&lt;&gt;"--", IFERROR(VLOOKUP(A83,'0919門市清單主檔'!B:AH,31,FALSE),"")=勤務統計!$D$1, IFERROR(VLOOKUP(A83,勤務統計!A:Q,17,FALSE),"")&lt;&gt;勤務統計!$D$1), 勤務統計!$D$1, ""),
        IF(AND(勤務統計!$E$1&lt;&gt;"--", IFERROR(VLOOKUP(A83,'0919門市清單主檔'!B:AH,32,FALSE),"")=勤務統計!$E$1, IFERROR(VLOOKUP(A83,勤務統計!A:S,19,FALSE),"")&lt;&gt;勤務統計!$E$1), 勤務統計!$E$1, ""),
        IF(AND(勤務統計!$F$1&lt;&gt;"--", IFERROR(VLOOKUP(A83,'0919門市清單主檔'!B:AH,33,FALSE),"")=勤務統計!$F$1, IFERROR(VLOOKUP(A83,勤務統計!A:U,21,FALSE),"")&lt;&gt;勤務統計!$F$1), 勤務統計!$F$1, ""),
        IF(AND(IFERROR(VLOOKUP(A83,'0919門市清單主檔'!B:AH,28,FALSE),"")="HUB", IFERROR(VLOOKUP(A83,勤務統計!A:W,23,FALSE),"")&lt;&gt;"HUB"), "HUB", "")
      ) &amp; "未完工",
      "已完工"
    )
  )
)</f>
        <v>未完工</v>
      </c>
      <c r="P83" s="403" t="str">
        <f>(TEXT(I83,"yyyymmdd"))&amp;勤務統計!$V$2&amp;A83&amp;勤務統計!$V$2&amp;B83&amp;勤務統計!$S$2</f>
        <v>PMQ1-4352-三重公園店(定保)</v>
      </c>
      <c r="Q83" s="420" t="str">
        <f t="array" ref="Q83">IF(AND(SUMPRODUCT((IM!$F$2:$F$5000=A83)*(ISNUMBER(SEARCH(勤務統計!$D$1, IM!$AC$2:$AC$5000))))&gt;0), 勤務統計!$D$1, "")</f>
        <v/>
      </c>
      <c r="R83" s="421" t="str">
        <f t="array" ref="R83">IFERROR(INDEX(IM!$AM$2:$AM$5000, MATCH(1, (IM!$F$2:$F$5000=A83) * (ISNUMBER(SEARCH(勤務統計!$D$1, IM!$AC$2:$AC$5000))), 0)), "")</f>
        <v/>
      </c>
      <c r="S83" s="406" t="str" cm="1">
        <f t="array" ref="S83">IF(AND(SUMPRODUCT((IM!$F$2:$F$5000=A83)*(ISNUMBER(SEARCH(勤務統計!$E$1, IM!$AC$2:$AC$5000))))&gt;0), 勤務統計!$E$1, "")</f>
        <v>+L90</v>
      </c>
      <c r="T83" s="422">
        <f t="array" ref="T83">IFERROR(INDEX(IM!$AM$2:$AM$5000, MATCH(1, (IM!$F$2:$F$5000=A83) * (ISNUMBER(SEARCH(勤務統計!$E$1, IM!$AC$2:$AC$5000))), 0)), "")</f>
        <v>46002</v>
      </c>
      <c r="U83" s="406" t="str" cm="1">
        <f t="array" ref="U83">IF(AND(SUMPRODUCT((IM!$F$2:$F$5000=A83)*(ISNUMBER(SEARCH(勤務統計!$F$1, IM!$AC$2:$AC$5000))))&gt;0), 勤務統計!$F$1, "")</f>
        <v>+721</v>
      </c>
      <c r="V83" s="413">
        <f t="array" ref="V83">IFERROR(INDEX(IM!$AM$2:$AM$5000, MATCH(1, (IM!$F$2:$F$5000=A83) * (ISNUMBER(SEARCH(勤務統計!$F$1, IM!$AC$2:$AC$5000))), 0)), "")</f>
        <v>46044</v>
      </c>
      <c r="W83" s="414" t="str">
        <f>IF(VLOOKUP(A83,'0919門市清單主檔'!B:AC,28,FALSE)=0,"",VLOOKUP(A83,'0919門市清單主檔'!B:AC,28,FALSE))</f>
        <v/>
      </c>
    </row>
    <row r="84" spans="1:23" ht="21.6" customHeight="1">
      <c r="A84" s="423">
        <v>4241</v>
      </c>
      <c r="B84" s="416" t="str">
        <f>VLOOKUP(A84,'0919門市清單主檔'!B:C,2,FALSE)</f>
        <v>三重仁義店</v>
      </c>
      <c r="C84" s="415" t="str">
        <f>VLOOKUP($A84,'0919門市清單主檔'!B:V,20,FALSE)</f>
        <v>新北市</v>
      </c>
      <c r="D84" s="410" t="str">
        <f>VLOOKUP($A84,'0919門市清單主檔'!B:V,21,FALSE)</f>
        <v>三重區</v>
      </c>
      <c r="E84" s="397" t="str">
        <f>VLOOKUP(D84,門市狀態!G:H,2,FALSE)</f>
        <v>劉柏均</v>
      </c>
      <c r="F84" s="410" t="str">
        <f>IFERROR(IF(VLOOKUP(A84,門市狀態!A:D,4,FALSE)=0,"",VLOOKUP(A84,門市狀態!A:D,4,FALSE)),"")</f>
        <v/>
      </c>
      <c r="G84" s="424"/>
      <c r="H84" s="425" t="str">
        <f>IF(I84&gt;0,(TEXT(I84,"yyyymmdd")&amp;勤務統計!$V$2&amp;A84&amp;勤務統計!$V$2&amp;B84&amp;勤務統計!$S$2),"")</f>
        <v>PMQ1-4241-三重仁義店(定保)</v>
      </c>
      <c r="I84" s="247" t="str">
        <f t="array" ref="I84">IF(AND(SUMPRODUCT((IM!$F$2:$F$5000=A84)*(ISNUMBER(SEARCH(勤務統計!$C$1, IM!$AC$2:$AC$5000))))&gt;0), 勤務統計!$C$1, "")</f>
        <v>PMQ1</v>
      </c>
      <c r="J84" s="399">
        <f t="array" ref="J84">IFERROR(INDEX(IM!$AM$2:$AM$5000, MATCH(1, (IM!$F$2:$F$5000=A84) * (ISNUMBER(SEARCH(勤務統計!$C$1, IM!$AC$2:$AC$5000))), 0)), "")</f>
        <v>46044</v>
      </c>
      <c r="K84" s="400">
        <f t="array" ref="K84">SUMPRODUCT((IM!$F$2:$F$5000=A84)*(IM!$AD$2:$AD$5000="O")*(ISNUMBER(SEARCH(勤務統計!$C$1, IM!$AC$2:$AC$5000))))</f>
        <v>1</v>
      </c>
      <c r="L84" s="401" t="str">
        <f t="array" ref="L84">IF(K84&gt;0,IFERROR(HYPERLINK("#'IM'!AC"&amp;MATCH(1,(IM!$F$1:$F$5000=A84)*(ISNUMBER(SEARCH(勤務統計!$C$1,IM!$AC$1:$AC$5000))),0),"檢核"),"未登錄"),"")</f>
        <v>檢核</v>
      </c>
      <c r="M84" s="402" t="str">
        <f t="shared" si="1"/>
        <v>+L90+721</v>
      </c>
      <c r="N84" s="402" t="str">
        <f t="array" ref="N84">IF(AND(
    SUMPRODUCT(
        (IM!$F$2:$F$522=A84) *
        ISNUMBER(SEARCH("*HUB*", IM!$AC$2:$AC$522)) *
        (IM!$X$2:$X$522&gt;=勤務統計!$A$1) *
        (IM!$X$2:$X$522&lt;=勤務統計!$B$1)*(W84="HUB")
    ) &gt; 0
), "HUB", "")</f>
        <v/>
      </c>
      <c r="O84" s="400" t="str">
        <f>IF(
  IFERROR(VLOOKUP(A84,勤務統計!A:I,9,FALSE),"")&lt;&gt;勤務統計!$C$1,
  "未完工",
  IF(
    AND(勤務統計!$D$1="--",勤務統計!$E$1="--",勤務統計!$F$1="--"),
    "已完工",
    IF(
      OR(
        AND(勤務統計!$D$1&lt;&gt;"--", IFERROR(VLOOKUP(A84,'0919門市清單主檔'!B:AH,31,FALSE),"")=勤務統計!$D$1, IFERROR(VLOOKUP(A84,勤務統計!A:Q,17,FALSE),"")&lt;&gt;勤務統計!$D$1),
        AND(勤務統計!$E$1&lt;&gt;"--", IFERROR(VLOOKUP(A84,'0919門市清單主檔'!B:AH,32,FALSE),"")=勤務統計!$E$1, IFERROR(VLOOKUP(A84,勤務統計!A:S,19,FALSE),"")&lt;&gt;勤務統計!$E$1),
        AND(勤務統計!$F$1&lt;&gt;"--", IFERROR(VLOOKUP(A84,'0919門市清單主檔'!B:AH,33,FALSE),"")=勤務統計!$F$1, IFERROR(VLOOKUP(A84,勤務統計!A:U,21,FALSE),"")&lt;&gt;勤務統計!$F$1),
        AND(IFERROR(VLOOKUP(A84,'0919門市清單主檔'!B:AH,28,FALSE),"")="HUB", IFERROR(VLOOKUP(A84,勤務統計!A:W,23,FALSE),"")&lt;&gt;"HUB")
      ),
      _xlfn.TEXTJOIN(
        "，",
        TRUE,
        IF(AND(勤務統計!$D$1&lt;&gt;"--", IFERROR(VLOOKUP(A84,'0919門市清單主檔'!B:AH,31,FALSE),"")=勤務統計!$D$1, IFERROR(VLOOKUP(A84,勤務統計!A:Q,17,FALSE),"")&lt;&gt;勤務統計!$D$1), 勤務統計!$D$1, ""),
        IF(AND(勤務統計!$E$1&lt;&gt;"--", IFERROR(VLOOKUP(A84,'0919門市清單主檔'!B:AH,32,FALSE),"")=勤務統計!$E$1, IFERROR(VLOOKUP(A84,勤務統計!A:S,19,FALSE),"")&lt;&gt;勤務統計!$E$1), 勤務統計!$E$1, ""),
        IF(AND(勤務統計!$F$1&lt;&gt;"--", IFERROR(VLOOKUP(A84,'0919門市清單主檔'!B:AH,33,FALSE),"")=勤務統計!$F$1, IFERROR(VLOOKUP(A84,勤務統計!A:U,21,FALSE),"")&lt;&gt;勤務統計!$F$1), 勤務統計!$F$1, ""),
        IF(AND(IFERROR(VLOOKUP(A84,'0919門市清單主檔'!B:AH,28,FALSE),"")="HUB", IFERROR(VLOOKUP(A84,勤務統計!A:W,23,FALSE),"")&lt;&gt;"HUB"), "HUB", "")
      ) &amp; "未完工",
      "已完工"
    )
  )
)</f>
        <v>未完工</v>
      </c>
      <c r="P84" s="403" t="str">
        <f>(TEXT(I84,"yyyymmdd"))&amp;勤務統計!$V$2&amp;A84&amp;勤務統計!$V$2&amp;B84&amp;勤務統計!$S$2</f>
        <v>PMQ1-4241-三重仁義店(定保)</v>
      </c>
      <c r="Q84" s="420" t="str">
        <f t="array" ref="Q84">IF(AND(SUMPRODUCT((IM!$F$2:$F$5000=A84)*(ISNUMBER(SEARCH(勤務統計!$D$1, IM!$AC$2:$AC$5000))))&gt;0), 勤務統計!$D$1, "")</f>
        <v/>
      </c>
      <c r="R84" s="421" t="str">
        <f t="array" ref="R84">IFERROR(INDEX(IM!$AM$2:$AM$5000, MATCH(1, (IM!$F$2:$F$5000=A84) * (ISNUMBER(SEARCH(勤務統計!$D$1, IM!$AC$2:$AC$5000))), 0)), "")</f>
        <v/>
      </c>
      <c r="S84" s="406" t="str" cm="1">
        <f t="array" ref="S84">IF(AND(SUMPRODUCT((IM!$F$2:$F$5000=A84)*(ISNUMBER(SEARCH(勤務統計!$E$1, IM!$AC$2:$AC$5000))))&gt;0), 勤務統計!$E$1, "")</f>
        <v>+L90</v>
      </c>
      <c r="T84" s="422">
        <f t="array" ref="T84">IFERROR(INDEX(IM!$AM$2:$AM$5000, MATCH(1, (IM!$F$2:$F$5000=A84) * (ISNUMBER(SEARCH(勤務統計!$E$1, IM!$AC$2:$AC$5000))), 0)), "")</f>
        <v>46002</v>
      </c>
      <c r="U84" s="406" t="str" cm="1">
        <f t="array" ref="U84">IF(AND(SUMPRODUCT((IM!$F$2:$F$5000=A84)*(ISNUMBER(SEARCH(勤務統計!$F$1, IM!$AC$2:$AC$5000))))&gt;0), 勤務統計!$F$1, "")</f>
        <v>+721</v>
      </c>
      <c r="V84" s="413">
        <f t="array" ref="V84">IFERROR(INDEX(IM!$AM$2:$AM$5000, MATCH(1, (IM!$F$2:$F$5000=A84) * (ISNUMBER(SEARCH(勤務統計!$F$1, IM!$AC$2:$AC$5000))), 0)), "")</f>
        <v>46044</v>
      </c>
      <c r="W84" s="414" t="str">
        <f>IF(VLOOKUP(A84,'0919門市清單主檔'!B:AC,28,FALSE)=0,"",VLOOKUP(A84,'0919門市清單主檔'!B:AC,28,FALSE))</f>
        <v/>
      </c>
    </row>
    <row r="85" spans="1:23" ht="21.6" customHeight="1">
      <c r="A85" s="423">
        <v>5245</v>
      </c>
      <c r="B85" s="416" t="str">
        <f>VLOOKUP(A85,'0919門市清單主檔'!B:C,2,FALSE)</f>
        <v>三重護山店</v>
      </c>
      <c r="C85" s="415" t="str">
        <f>VLOOKUP($A85,'0919門市清單主檔'!B:V,20,FALSE)</f>
        <v>新北市</v>
      </c>
      <c r="D85" s="410" t="str">
        <f>VLOOKUP($A85,'0919門市清單主檔'!B:V,21,FALSE)</f>
        <v>三重區</v>
      </c>
      <c r="E85" s="397" t="str">
        <f>VLOOKUP(D85,門市狀態!G:H,2,FALSE)</f>
        <v>劉柏均</v>
      </c>
      <c r="F85" s="410" t="str">
        <f>IFERROR(IF(VLOOKUP(A85,門市狀態!A:D,4,FALSE)=0,"",VLOOKUP(A85,門市狀態!A:D,4,FALSE)),"")</f>
        <v/>
      </c>
      <c r="G85" s="424"/>
      <c r="H85" s="425" t="str">
        <f>IF(I85&gt;0,(TEXT(I85,"yyyymmdd")&amp;勤務統計!$V$2&amp;A85&amp;勤務統計!$V$2&amp;B85&amp;勤務統計!$S$2),"")</f>
        <v>PMQ1-5245-三重護山店(定保)</v>
      </c>
      <c r="I85" s="247" t="str">
        <f t="array" ref="I85">IF(AND(SUMPRODUCT((IM!$F$2:$F$5000=A85)*(ISNUMBER(SEARCH(勤務統計!$C$1, IM!$AC$2:$AC$5000))))&gt;0), 勤務統計!$C$1, "")</f>
        <v>PMQ1</v>
      </c>
      <c r="J85" s="399">
        <f t="array" ref="J85">IFERROR(INDEX(IM!$AM$2:$AM$5000, MATCH(1, (IM!$F$2:$F$5000=A85) * (ISNUMBER(SEARCH(勤務統計!$C$1, IM!$AC$2:$AC$5000))), 0)), "")</f>
        <v>46044</v>
      </c>
      <c r="K85" s="400">
        <f t="array" ref="K85">SUMPRODUCT((IM!$F$2:$F$5000=A85)*(IM!$AD$2:$AD$5000="O")*(ISNUMBER(SEARCH(勤務統計!$C$1, IM!$AC$2:$AC$5000))))</f>
        <v>1</v>
      </c>
      <c r="L85" s="401" t="str">
        <f t="array" ref="L85">IF(K85&gt;0,IFERROR(HYPERLINK("#'IM'!AC"&amp;MATCH(1,(IM!$F$1:$F$5000=A85)*(ISNUMBER(SEARCH(勤務統計!$C$1,IM!$AC$1:$AC$5000))),0),"檢核"),"未登錄"),"")</f>
        <v>檢核</v>
      </c>
      <c r="M85" s="402" t="str">
        <f t="shared" si="1"/>
        <v>+L90+721</v>
      </c>
      <c r="N85" s="402" t="str">
        <f t="array" ref="N85">IF(AND(
    SUMPRODUCT(
        (IM!$F$2:$F$522=A85) *
        ISNUMBER(SEARCH("*HUB*", IM!$AC$2:$AC$522)) *
        (IM!$X$2:$X$522&gt;=勤務統計!$A$1) *
        (IM!$X$2:$X$522&lt;=勤務統計!$B$1)*(W85="HUB")
    ) &gt; 0
), "HUB", "")</f>
        <v/>
      </c>
      <c r="O85" s="400" t="str">
        <f>IF(
  IFERROR(VLOOKUP(A85,勤務統計!A:I,9,FALSE),"")&lt;&gt;勤務統計!$C$1,
  "未完工",
  IF(
    AND(勤務統計!$D$1="--",勤務統計!$E$1="--",勤務統計!$F$1="--"),
    "已完工",
    IF(
      OR(
        AND(勤務統計!$D$1&lt;&gt;"--", IFERROR(VLOOKUP(A85,'0919門市清單主檔'!B:AH,31,FALSE),"")=勤務統計!$D$1, IFERROR(VLOOKUP(A85,勤務統計!A:Q,17,FALSE),"")&lt;&gt;勤務統計!$D$1),
        AND(勤務統計!$E$1&lt;&gt;"--", IFERROR(VLOOKUP(A85,'0919門市清單主檔'!B:AH,32,FALSE),"")=勤務統計!$E$1, IFERROR(VLOOKUP(A85,勤務統計!A:S,19,FALSE),"")&lt;&gt;勤務統計!$E$1),
        AND(勤務統計!$F$1&lt;&gt;"--", IFERROR(VLOOKUP(A85,'0919門市清單主檔'!B:AH,33,FALSE),"")=勤務統計!$F$1, IFERROR(VLOOKUP(A85,勤務統計!A:U,21,FALSE),"")&lt;&gt;勤務統計!$F$1),
        AND(IFERROR(VLOOKUP(A85,'0919門市清單主檔'!B:AH,28,FALSE),"")="HUB", IFERROR(VLOOKUP(A85,勤務統計!A:W,23,FALSE),"")&lt;&gt;"HUB")
      ),
      _xlfn.TEXTJOIN(
        "，",
        TRUE,
        IF(AND(勤務統計!$D$1&lt;&gt;"--", IFERROR(VLOOKUP(A85,'0919門市清單主檔'!B:AH,31,FALSE),"")=勤務統計!$D$1, IFERROR(VLOOKUP(A85,勤務統計!A:Q,17,FALSE),"")&lt;&gt;勤務統計!$D$1), 勤務統計!$D$1, ""),
        IF(AND(勤務統計!$E$1&lt;&gt;"--", IFERROR(VLOOKUP(A85,'0919門市清單主檔'!B:AH,32,FALSE),"")=勤務統計!$E$1, IFERROR(VLOOKUP(A85,勤務統計!A:S,19,FALSE),"")&lt;&gt;勤務統計!$E$1), 勤務統計!$E$1, ""),
        IF(AND(勤務統計!$F$1&lt;&gt;"--", IFERROR(VLOOKUP(A85,'0919門市清單主檔'!B:AH,33,FALSE),"")=勤務統計!$F$1, IFERROR(VLOOKUP(A85,勤務統計!A:U,21,FALSE),"")&lt;&gt;勤務統計!$F$1), 勤務統計!$F$1, ""),
        IF(AND(IFERROR(VLOOKUP(A85,'0919門市清單主檔'!B:AH,28,FALSE),"")="HUB", IFERROR(VLOOKUP(A85,勤務統計!A:W,23,FALSE),"")&lt;&gt;"HUB"), "HUB", "")
      ) &amp; "未完工",
      "已完工"
    )
  )
)</f>
        <v>未完工</v>
      </c>
      <c r="P85" s="403" t="str">
        <f>(TEXT(I85,"yyyymmdd"))&amp;勤務統計!$V$2&amp;A85&amp;勤務統計!$V$2&amp;B85&amp;勤務統計!$S$2</f>
        <v>PMQ1-5245-三重護山店(定保)</v>
      </c>
      <c r="Q85" s="420" t="str">
        <f t="array" ref="Q85">IF(AND(SUMPRODUCT((IM!$F$2:$F$5000=A85)*(ISNUMBER(SEARCH(勤務統計!$D$1, IM!$AC$2:$AC$5000))))&gt;0), 勤務統計!$D$1, "")</f>
        <v/>
      </c>
      <c r="R85" s="421" t="str">
        <f t="array" ref="R85">IFERROR(INDEX(IM!$AM$2:$AM$5000, MATCH(1, (IM!$F$2:$F$5000=A85) * (ISNUMBER(SEARCH(勤務統計!$D$1, IM!$AC$2:$AC$5000))), 0)), "")</f>
        <v/>
      </c>
      <c r="S85" s="406" t="str" cm="1">
        <f t="array" ref="S85">IF(AND(SUMPRODUCT((IM!$F$2:$F$5000=A85)*(ISNUMBER(SEARCH(勤務統計!$E$1, IM!$AC$2:$AC$5000))))&gt;0), 勤務統計!$E$1, "")</f>
        <v>+L90</v>
      </c>
      <c r="T85" s="422">
        <f t="array" ref="T85">IFERROR(INDEX(IM!$AM$2:$AM$5000, MATCH(1, (IM!$F$2:$F$5000=A85) * (ISNUMBER(SEARCH(勤務統計!$E$1, IM!$AC$2:$AC$5000))), 0)), "")</f>
        <v>46010</v>
      </c>
      <c r="U85" s="406" t="str" cm="1">
        <f t="array" ref="U85">IF(AND(SUMPRODUCT((IM!$F$2:$F$5000=A85)*(ISNUMBER(SEARCH(勤務統計!$F$1, IM!$AC$2:$AC$5000))))&gt;0), 勤務統計!$F$1, "")</f>
        <v>+721</v>
      </c>
      <c r="V85" s="413">
        <f t="array" ref="V85">IFERROR(INDEX(IM!$AM$2:$AM$5000, MATCH(1, (IM!$F$2:$F$5000=A85) * (ISNUMBER(SEARCH(勤務統計!$F$1, IM!$AC$2:$AC$5000))), 0)), "")</f>
        <v>46044</v>
      </c>
      <c r="W85" s="414" t="str">
        <f>IF(VLOOKUP(A85,'0919門市清單主檔'!B:AC,28,FALSE)=0,"",VLOOKUP(A85,'0919門市清單主檔'!B:AC,28,FALSE))</f>
        <v/>
      </c>
    </row>
    <row r="86" spans="1:23" ht="21.6" customHeight="1">
      <c r="A86" s="423">
        <v>2390</v>
      </c>
      <c r="B86" s="416" t="str">
        <f>VLOOKUP(A86,'0919門市清單主檔'!B:C,2,FALSE)</f>
        <v>五股產業園區</v>
      </c>
      <c r="C86" s="415" t="str">
        <f>VLOOKUP($A86,'0919門市清單主檔'!B:V,20,FALSE)</f>
        <v>新北市</v>
      </c>
      <c r="D86" s="410" t="str">
        <f>VLOOKUP($A86,'0919門市清單主檔'!B:V,21,FALSE)</f>
        <v>五股區</v>
      </c>
      <c r="E86" s="397" t="str">
        <f>VLOOKUP(D86,門市狀態!G:H,2,FALSE)</f>
        <v>湯家瑋</v>
      </c>
      <c r="F86" s="410" t="str">
        <f>IFERROR(IF(VLOOKUP(A86,門市狀態!A:D,4,FALSE)=0,"",VLOOKUP(A86,門市狀態!A:D,4,FALSE)),"")</f>
        <v/>
      </c>
      <c r="G86" s="424"/>
      <c r="H86" s="425" t="str">
        <f>IF(I86&gt;0,(TEXT(I86,"yyyymmdd")&amp;勤務統計!$V$2&amp;A86&amp;勤務統計!$V$2&amp;B86&amp;勤務統計!$S$2),"")</f>
        <v>PMQ1-2390-五股產業園區(定保)</v>
      </c>
      <c r="I86" s="247" t="str">
        <f t="array" ref="I86">IF(AND(SUMPRODUCT((IM!$F$2:$F$5000=A86)*(ISNUMBER(SEARCH(勤務統計!$C$1, IM!$AC$2:$AC$5000))))&gt;0), 勤務統計!$C$1, "")</f>
        <v>PMQ1</v>
      </c>
      <c r="J86" s="399">
        <f t="array" ref="J86">IFERROR(INDEX(IM!$AM$2:$AM$5000, MATCH(1, (IM!$F$2:$F$5000=A86) * (ISNUMBER(SEARCH(勤務統計!$C$1, IM!$AC$2:$AC$5000))), 0)), "")</f>
        <v>46044</v>
      </c>
      <c r="K86" s="400">
        <f t="array" ref="K86">SUMPRODUCT((IM!$F$2:$F$5000=A86)*(IM!$AD$2:$AD$5000="O")*(ISNUMBER(SEARCH(勤務統計!$C$1, IM!$AC$2:$AC$5000))))</f>
        <v>1</v>
      </c>
      <c r="L86" s="401" t="str">
        <f t="array" ref="L86">IF(K86&gt;0,IFERROR(HYPERLINK("#'IM'!AC"&amp;MATCH(1,(IM!$F$1:$F$5000=A86)*(ISNUMBER(SEARCH(勤務統計!$C$1,IM!$AC$1:$AC$5000))),0),"檢核"),"未登錄"),"")</f>
        <v>檢核</v>
      </c>
      <c r="M86" s="402" t="str">
        <f t="shared" si="1"/>
        <v>+721</v>
      </c>
      <c r="N86" s="402" t="str">
        <f t="array" ref="N86">IF(AND(
    SUMPRODUCT(
        (IM!$F$2:$F$522=A86) *
        ISNUMBER(SEARCH("*HUB*", IM!$AC$2:$AC$522)) *
        (IM!$X$2:$X$522&gt;=勤務統計!$A$1) *
        (IM!$X$2:$X$522&lt;=勤務統計!$B$1)*(W86="HUB")
    ) &gt; 0
), "HUB", "")</f>
        <v/>
      </c>
      <c r="O86" s="400" t="str">
        <f>IF(
  IFERROR(VLOOKUP(A86,勤務統計!A:I,9,FALSE),"")&lt;&gt;勤務統計!$C$1,
  "未完工",
  IF(
    AND(勤務統計!$D$1="--",勤務統計!$E$1="--",勤務統計!$F$1="--"),
    "已完工",
    IF(
      OR(
        AND(勤務統計!$D$1&lt;&gt;"--", IFERROR(VLOOKUP(A86,'0919門市清單主檔'!B:AH,31,FALSE),"")=勤務統計!$D$1, IFERROR(VLOOKUP(A86,勤務統計!A:Q,17,FALSE),"")&lt;&gt;勤務統計!$D$1),
        AND(勤務統計!$E$1&lt;&gt;"--", IFERROR(VLOOKUP(A86,'0919門市清單主檔'!B:AH,32,FALSE),"")=勤務統計!$E$1, IFERROR(VLOOKUP(A86,勤務統計!A:S,19,FALSE),"")&lt;&gt;勤務統計!$E$1),
        AND(勤務統計!$F$1&lt;&gt;"--", IFERROR(VLOOKUP(A86,'0919門市清單主檔'!B:AH,33,FALSE),"")=勤務統計!$F$1, IFERROR(VLOOKUP(A86,勤務統計!A:U,21,FALSE),"")&lt;&gt;勤務統計!$F$1),
        AND(IFERROR(VLOOKUP(A86,'0919門市清單主檔'!B:AH,28,FALSE),"")="HUB", IFERROR(VLOOKUP(A86,勤務統計!A:W,23,FALSE),"")&lt;&gt;"HUB")
      ),
      _xlfn.TEXTJOIN(
        "，",
        TRUE,
        IF(AND(勤務統計!$D$1&lt;&gt;"--", IFERROR(VLOOKUP(A86,'0919門市清單主檔'!B:AH,31,FALSE),"")=勤務統計!$D$1, IFERROR(VLOOKUP(A86,勤務統計!A:Q,17,FALSE),"")&lt;&gt;勤務統計!$D$1), 勤務統計!$D$1, ""),
        IF(AND(勤務統計!$E$1&lt;&gt;"--", IFERROR(VLOOKUP(A86,'0919門市清單主檔'!B:AH,32,FALSE),"")=勤務統計!$E$1, IFERROR(VLOOKUP(A86,勤務統計!A:S,19,FALSE),"")&lt;&gt;勤務統計!$E$1), 勤務統計!$E$1, ""),
        IF(AND(勤務統計!$F$1&lt;&gt;"--", IFERROR(VLOOKUP(A86,'0919門市清單主檔'!B:AH,33,FALSE),"")=勤務統計!$F$1, IFERROR(VLOOKUP(A86,勤務統計!A:U,21,FALSE),"")&lt;&gt;勤務統計!$F$1), 勤務統計!$F$1, ""),
        IF(AND(IFERROR(VLOOKUP(A86,'0919門市清單主檔'!B:AH,28,FALSE),"")="HUB", IFERROR(VLOOKUP(A86,勤務統計!A:W,23,FALSE),"")&lt;&gt;"HUB"), "HUB", "")
      ) &amp; "未完工",
      "已完工"
    )
  )
)</f>
        <v>未完工</v>
      </c>
      <c r="P86" s="403" t="str">
        <f>(TEXT(I86,"yyyymmdd"))&amp;勤務統計!$V$2&amp;A86&amp;勤務統計!$V$2&amp;B86&amp;勤務統計!$S$2</f>
        <v>PMQ1-2390-五股產業園區(定保)</v>
      </c>
      <c r="Q86" s="420" t="str">
        <f t="array" ref="Q86">IF(AND(SUMPRODUCT((IM!$F$2:$F$5000=A86)*(ISNUMBER(SEARCH(勤務統計!$D$1, IM!$AC$2:$AC$5000))))&gt;0), 勤務統計!$D$1, "")</f>
        <v/>
      </c>
      <c r="R86" s="421" t="str">
        <f t="array" ref="R86">IFERROR(INDEX(IM!$AM$2:$AM$5000, MATCH(1, (IM!$F$2:$F$5000=A86) * (ISNUMBER(SEARCH(勤務統計!$D$1, IM!$AC$2:$AC$5000))), 0)), "")</f>
        <v/>
      </c>
      <c r="S86" s="406" t="str" cm="1">
        <f t="array" ref="S86">IF(AND(SUMPRODUCT((IM!$F$2:$F$5000=A86)*(ISNUMBER(SEARCH(勤務統計!$E$1, IM!$AC$2:$AC$5000))))&gt;0), 勤務統計!$E$1, "")</f>
        <v/>
      </c>
      <c r="T86" s="422" t="str">
        <f t="array" ref="T86">IFERROR(INDEX(IM!$AM$2:$AM$5000, MATCH(1, (IM!$F$2:$F$5000=A86) * (ISNUMBER(SEARCH(勤務統計!$E$1, IM!$AC$2:$AC$5000))), 0)), "")</f>
        <v/>
      </c>
      <c r="U86" s="406" t="str" cm="1">
        <f t="array" ref="U86">IF(AND(SUMPRODUCT((IM!$F$2:$F$5000=A86)*(ISNUMBER(SEARCH(勤務統計!$F$1, IM!$AC$2:$AC$5000))))&gt;0), 勤務統計!$F$1, "")</f>
        <v>+721</v>
      </c>
      <c r="V86" s="413">
        <f t="array" ref="V86">IFERROR(INDEX(IM!$AM$2:$AM$5000, MATCH(1, (IM!$F$2:$F$5000=A86) * (ISNUMBER(SEARCH(勤務統計!$F$1, IM!$AC$2:$AC$5000))), 0)), "")</f>
        <v>46044</v>
      </c>
      <c r="W86" s="414" t="str">
        <f>IF(VLOOKUP(A86,'0919門市清單主檔'!B:AC,28,FALSE)=0,"",VLOOKUP(A86,'0919門市清單主檔'!B:AC,28,FALSE))</f>
        <v/>
      </c>
    </row>
    <row r="87" spans="1:23" ht="21.6" customHeight="1">
      <c r="A87" s="423">
        <v>2222</v>
      </c>
      <c r="B87" s="416" t="str">
        <f>VLOOKUP(A87,'0919門市清單主檔'!B:C,2,FALSE)</f>
        <v>三重義天店</v>
      </c>
      <c r="C87" s="415" t="str">
        <f>VLOOKUP($A87,'0919門市清單主檔'!B:V,20,FALSE)</f>
        <v>新北市</v>
      </c>
      <c r="D87" s="410" t="str">
        <f>VLOOKUP($A87,'0919門市清單主檔'!B:V,21,FALSE)</f>
        <v>三重區</v>
      </c>
      <c r="E87" s="397" t="str">
        <f>VLOOKUP(D87,門市狀態!G:H,2,FALSE)</f>
        <v>劉柏均</v>
      </c>
      <c r="F87" s="410" t="str">
        <f>IFERROR(IF(VLOOKUP(A87,門市狀態!A:D,4,FALSE)=0,"",VLOOKUP(A87,門市狀態!A:D,4,FALSE)),"")</f>
        <v/>
      </c>
      <c r="G87" s="424"/>
      <c r="H87" s="425" t="str">
        <f>IF(I87&gt;0,(TEXT(I87,"yyyymmdd")&amp;勤務統計!$V$2&amp;A87&amp;勤務統計!$V$2&amp;B87&amp;勤務統計!$S$2),"")</f>
        <v>PMQ1-2222-三重義天店(定保)</v>
      </c>
      <c r="I87" s="247" t="str">
        <f t="array" ref="I87">IF(AND(SUMPRODUCT((IM!$F$2:$F$5000=A87)*(ISNUMBER(SEARCH(勤務統計!$C$1, IM!$AC$2:$AC$5000))))&gt;0), 勤務統計!$C$1, "")</f>
        <v>PMQ1</v>
      </c>
      <c r="J87" s="399">
        <f t="array" ref="J87">IFERROR(INDEX(IM!$AM$2:$AM$5000, MATCH(1, (IM!$F$2:$F$5000=A87) * (ISNUMBER(SEARCH(勤務統計!$C$1, IM!$AC$2:$AC$5000))), 0)), "")</f>
        <v>46044</v>
      </c>
      <c r="K87" s="400">
        <f t="array" ref="K87">SUMPRODUCT((IM!$F$2:$F$5000=A87)*(IM!$AD$2:$AD$5000="O")*(ISNUMBER(SEARCH(勤務統計!$C$1, IM!$AC$2:$AC$5000))))</f>
        <v>1</v>
      </c>
      <c r="L87" s="401" t="str">
        <f t="array" ref="L87">IF(K87&gt;0,IFERROR(HYPERLINK("#'IM'!AC"&amp;MATCH(1,(IM!$F$1:$F$5000=A87)*(ISNUMBER(SEARCH(勤務統計!$C$1,IM!$AC$1:$AC$5000))),0),"檢核"),"未登錄"),"")</f>
        <v>檢核</v>
      </c>
      <c r="M87" s="402" t="str">
        <f t="shared" si="1"/>
        <v>+L90+721</v>
      </c>
      <c r="N87" s="402" t="str">
        <f t="array" ref="N87">IF(AND(
    SUMPRODUCT(
        (IM!$F$2:$F$522=A87) *
        ISNUMBER(SEARCH("*HUB*", IM!$AC$2:$AC$522)) *
        (IM!$X$2:$X$522&gt;=勤務統計!$A$1) *
        (IM!$X$2:$X$522&lt;=勤務統計!$B$1)*(W87="HUB")
    ) &gt; 0
), "HUB", "")</f>
        <v/>
      </c>
      <c r="O87" s="400" t="str">
        <f>IF(
  IFERROR(VLOOKUP(A87,勤務統計!A:I,9,FALSE),"")&lt;&gt;勤務統計!$C$1,
  "未完工",
  IF(
    AND(勤務統計!$D$1="--",勤務統計!$E$1="--",勤務統計!$F$1="--"),
    "已完工",
    IF(
      OR(
        AND(勤務統計!$D$1&lt;&gt;"--", IFERROR(VLOOKUP(A87,'0919門市清單主檔'!B:AH,31,FALSE),"")=勤務統計!$D$1, IFERROR(VLOOKUP(A87,勤務統計!A:Q,17,FALSE),"")&lt;&gt;勤務統計!$D$1),
        AND(勤務統計!$E$1&lt;&gt;"--", IFERROR(VLOOKUP(A87,'0919門市清單主檔'!B:AH,32,FALSE),"")=勤務統計!$E$1, IFERROR(VLOOKUP(A87,勤務統計!A:S,19,FALSE),"")&lt;&gt;勤務統計!$E$1),
        AND(勤務統計!$F$1&lt;&gt;"--", IFERROR(VLOOKUP(A87,'0919門市清單主檔'!B:AH,33,FALSE),"")=勤務統計!$F$1, IFERROR(VLOOKUP(A87,勤務統計!A:U,21,FALSE),"")&lt;&gt;勤務統計!$F$1),
        AND(IFERROR(VLOOKUP(A87,'0919門市清單主檔'!B:AH,28,FALSE),"")="HUB", IFERROR(VLOOKUP(A87,勤務統計!A:W,23,FALSE),"")&lt;&gt;"HUB")
      ),
      _xlfn.TEXTJOIN(
        "，",
        TRUE,
        IF(AND(勤務統計!$D$1&lt;&gt;"--", IFERROR(VLOOKUP(A87,'0919門市清單主檔'!B:AH,31,FALSE),"")=勤務統計!$D$1, IFERROR(VLOOKUP(A87,勤務統計!A:Q,17,FALSE),"")&lt;&gt;勤務統計!$D$1), 勤務統計!$D$1, ""),
        IF(AND(勤務統計!$E$1&lt;&gt;"--", IFERROR(VLOOKUP(A87,'0919門市清單主檔'!B:AH,32,FALSE),"")=勤務統計!$E$1, IFERROR(VLOOKUP(A87,勤務統計!A:S,19,FALSE),"")&lt;&gt;勤務統計!$E$1), 勤務統計!$E$1, ""),
        IF(AND(勤務統計!$F$1&lt;&gt;"--", IFERROR(VLOOKUP(A87,'0919門市清單主檔'!B:AH,33,FALSE),"")=勤務統計!$F$1, IFERROR(VLOOKUP(A87,勤務統計!A:U,21,FALSE),"")&lt;&gt;勤務統計!$F$1), 勤務統計!$F$1, ""),
        IF(AND(IFERROR(VLOOKUP(A87,'0919門市清單主檔'!B:AH,28,FALSE),"")="HUB", IFERROR(VLOOKUP(A87,勤務統計!A:W,23,FALSE),"")&lt;&gt;"HUB"), "HUB", "")
      ) &amp; "未完工",
      "已完工"
    )
  )
)</f>
        <v>未完工</v>
      </c>
      <c r="P87" s="403" t="str">
        <f>(TEXT(I87,"yyyymmdd"))&amp;勤務統計!$V$2&amp;A87&amp;勤務統計!$V$2&amp;B87&amp;勤務統計!$S$2</f>
        <v>PMQ1-2222-三重義天店(定保)</v>
      </c>
      <c r="Q87" s="420" t="str">
        <f t="array" ref="Q87">IF(AND(SUMPRODUCT((IM!$F$2:$F$5000=A87)*(ISNUMBER(SEARCH(勤務統計!$D$1, IM!$AC$2:$AC$5000))))&gt;0), 勤務統計!$D$1, "")</f>
        <v/>
      </c>
      <c r="R87" s="421" t="str">
        <f t="array" ref="R87">IFERROR(INDEX(IM!$AM$2:$AM$5000, MATCH(1, (IM!$F$2:$F$5000=A87) * (ISNUMBER(SEARCH(勤務統計!$D$1, IM!$AC$2:$AC$5000))), 0)), "")</f>
        <v/>
      </c>
      <c r="S87" s="406" t="str" cm="1">
        <f t="array" ref="S87">IF(AND(SUMPRODUCT((IM!$F$2:$F$5000=A87)*(ISNUMBER(SEARCH(勤務統計!$E$1, IM!$AC$2:$AC$5000))))&gt;0), 勤務統計!$E$1, "")</f>
        <v>+L90</v>
      </c>
      <c r="T87" s="422">
        <f t="array" ref="T87">IFERROR(INDEX(IM!$AM$2:$AM$5000, MATCH(1, (IM!$F$2:$F$5000=A87) * (ISNUMBER(SEARCH(勤務統計!$E$1, IM!$AC$2:$AC$5000))), 0)), "")</f>
        <v>45999</v>
      </c>
      <c r="U87" s="406" t="str" cm="1">
        <f t="array" ref="U87">IF(AND(SUMPRODUCT((IM!$F$2:$F$5000=A87)*(ISNUMBER(SEARCH(勤務統計!$F$1, IM!$AC$2:$AC$5000))))&gt;0), 勤務統計!$F$1, "")</f>
        <v>+721</v>
      </c>
      <c r="V87" s="413">
        <f t="array" ref="V87">IFERROR(INDEX(IM!$AM$2:$AM$5000, MATCH(1, (IM!$F$2:$F$5000=A87) * (ISNUMBER(SEARCH(勤務統計!$F$1, IM!$AC$2:$AC$5000))), 0)), "")</f>
        <v>46044</v>
      </c>
      <c r="W87" s="414" t="str">
        <f>IF(VLOOKUP(A87,'0919門市清單主檔'!B:AC,28,FALSE)=0,"",VLOOKUP(A87,'0919門市清單主檔'!B:AC,28,FALSE))</f>
        <v/>
      </c>
    </row>
    <row r="88" spans="1:23" ht="21.6" customHeight="1">
      <c r="A88" s="423">
        <v>2428</v>
      </c>
      <c r="B88" s="416" t="str">
        <f>VLOOKUP(A88,'0919門市清單主檔'!B:C,2,FALSE)</f>
        <v>龜山文化二</v>
      </c>
      <c r="C88" s="415" t="str">
        <f>VLOOKUP($A88,'0919門市清單主檔'!B:V,20,FALSE)</f>
        <v>桃園市</v>
      </c>
      <c r="D88" s="410" t="str">
        <f>VLOOKUP($A88,'0919門市清單主檔'!B:V,21,FALSE)</f>
        <v>龜山區</v>
      </c>
      <c r="E88" s="397" t="str">
        <f>VLOOKUP(D88,門市狀態!G:H,2,FALSE)</f>
        <v>吳宗鴻</v>
      </c>
      <c r="F88" s="410" t="str">
        <f>IFERROR(IF(VLOOKUP(A88,門市狀態!A:D,4,FALSE)=0,"",VLOOKUP(A88,門市狀態!A:D,4,FALSE)),"")</f>
        <v/>
      </c>
      <c r="G88" s="424"/>
      <c r="H88" s="425" t="str">
        <f>IF(I88&gt;0,(TEXT(I88,"yyyymmdd")&amp;勤務統計!$V$2&amp;A88&amp;勤務統計!$V$2&amp;B88&amp;勤務統計!$S$2),"")</f>
        <v>PMQ1-2428-龜山文化二(定保)</v>
      </c>
      <c r="I88" s="247" t="str">
        <f t="array" ref="I88">IF(AND(SUMPRODUCT((IM!$F$2:$F$5000=A88)*(ISNUMBER(SEARCH(勤務統計!$C$1, IM!$AC$2:$AC$5000))))&gt;0), 勤務統計!$C$1, "")</f>
        <v>PMQ1</v>
      </c>
      <c r="J88" s="399">
        <f t="array" ref="J88">IFERROR(INDEX(IM!$AM$2:$AM$5000, MATCH(1, (IM!$F$2:$F$5000=A88) * (ISNUMBER(SEARCH(勤務統計!$C$1, IM!$AC$2:$AC$5000))), 0)), "")</f>
        <v>46044</v>
      </c>
      <c r="K88" s="400">
        <f t="array" ref="K88">SUMPRODUCT((IM!$F$2:$F$5000=A88)*(IM!$AD$2:$AD$5000="O")*(ISNUMBER(SEARCH(勤務統計!$C$1, IM!$AC$2:$AC$5000))))</f>
        <v>1</v>
      </c>
      <c r="L88" s="401" t="str">
        <f t="array" ref="L88">IF(K88&gt;0,IFERROR(HYPERLINK("#'IM'!AC"&amp;MATCH(1,(IM!$F$1:$F$5000=A88)*(ISNUMBER(SEARCH(勤務統計!$C$1,IM!$AC$1:$AC$5000))),0),"檢核"),"未登錄"),"")</f>
        <v>檢核</v>
      </c>
      <c r="M88" s="402" t="str">
        <f t="shared" si="1"/>
        <v>+L90</v>
      </c>
      <c r="N88" s="402" t="str">
        <f t="array" ref="N88">IF(AND(
    SUMPRODUCT(
        (IM!$F$2:$F$522=A88) *
        ISNUMBER(SEARCH("*HUB*", IM!$AC$2:$AC$522)) *
        (IM!$X$2:$X$522&gt;=勤務統計!$A$1) *
        (IM!$X$2:$X$522&lt;=勤務統計!$B$1)*(W88="HUB")
    ) &gt; 0
), "HUB", "")</f>
        <v/>
      </c>
      <c r="O88" s="400" t="str">
        <f>IF(
  IFERROR(VLOOKUP(A88,勤務統計!A:I,9,FALSE),"")&lt;&gt;勤務統計!$C$1,
  "未完工",
  IF(
    AND(勤務統計!$D$1="--",勤務統計!$E$1="--",勤務統計!$F$1="--"),
    "已完工",
    IF(
      OR(
        AND(勤務統計!$D$1&lt;&gt;"--", IFERROR(VLOOKUP(A88,'0919門市清單主檔'!B:AH,31,FALSE),"")=勤務統計!$D$1, IFERROR(VLOOKUP(A88,勤務統計!A:Q,17,FALSE),"")&lt;&gt;勤務統計!$D$1),
        AND(勤務統計!$E$1&lt;&gt;"--", IFERROR(VLOOKUP(A88,'0919門市清單主檔'!B:AH,32,FALSE),"")=勤務統計!$E$1, IFERROR(VLOOKUP(A88,勤務統計!A:S,19,FALSE),"")&lt;&gt;勤務統計!$E$1),
        AND(勤務統計!$F$1&lt;&gt;"--", IFERROR(VLOOKUP(A88,'0919門市清單主檔'!B:AH,33,FALSE),"")=勤務統計!$F$1, IFERROR(VLOOKUP(A88,勤務統計!A:U,21,FALSE),"")&lt;&gt;勤務統計!$F$1),
        AND(IFERROR(VLOOKUP(A88,'0919門市清單主檔'!B:AH,28,FALSE),"")="HUB", IFERROR(VLOOKUP(A88,勤務統計!A:W,23,FALSE),"")&lt;&gt;"HUB")
      ),
      _xlfn.TEXTJOIN(
        "，",
        TRUE,
        IF(AND(勤務統計!$D$1&lt;&gt;"--", IFERROR(VLOOKUP(A88,'0919門市清單主檔'!B:AH,31,FALSE),"")=勤務統計!$D$1, IFERROR(VLOOKUP(A88,勤務統計!A:Q,17,FALSE),"")&lt;&gt;勤務統計!$D$1), 勤務統計!$D$1, ""),
        IF(AND(勤務統計!$E$1&lt;&gt;"--", IFERROR(VLOOKUP(A88,'0919門市清單主檔'!B:AH,32,FALSE),"")=勤務統計!$E$1, IFERROR(VLOOKUP(A88,勤務統計!A:S,19,FALSE),"")&lt;&gt;勤務統計!$E$1), 勤務統計!$E$1, ""),
        IF(AND(勤務統計!$F$1&lt;&gt;"--", IFERROR(VLOOKUP(A88,'0919門市清單主檔'!B:AH,33,FALSE),"")=勤務統計!$F$1, IFERROR(VLOOKUP(A88,勤務統計!A:U,21,FALSE),"")&lt;&gt;勤務統計!$F$1), 勤務統計!$F$1, ""),
        IF(AND(IFERROR(VLOOKUP(A88,'0919門市清單主檔'!B:AH,28,FALSE),"")="HUB", IFERROR(VLOOKUP(A88,勤務統計!A:W,23,FALSE),"")&lt;&gt;"HUB"), "HUB", "")
      ) &amp; "未完工",
      "已完工"
    )
  )
)</f>
        <v>未完工</v>
      </c>
      <c r="P88" s="426" t="str">
        <f>(TEXT(I88,"yyyymmdd"))&amp;勤務統計!$V$2&amp;A88&amp;勤務統計!$V$2&amp;B88&amp;勤務統計!$S$2</f>
        <v>PMQ1-2428-龜山文化二(定保)</v>
      </c>
      <c r="Q88" s="420" t="str">
        <f t="array" ref="Q88">IF(AND(SUMPRODUCT((IM!$F$2:$F$5000=A88)*(ISNUMBER(SEARCH(勤務統計!$D$1, IM!$AC$2:$AC$5000))))&gt;0), 勤務統計!$D$1, "")</f>
        <v/>
      </c>
      <c r="R88" s="421" t="str">
        <f t="array" ref="R88">IFERROR(INDEX(IM!$AM$2:$AM$5000, MATCH(1, (IM!$F$2:$F$5000=A88) * (ISNUMBER(SEARCH(勤務統計!$D$1, IM!$AC$2:$AC$5000))), 0)), "")</f>
        <v/>
      </c>
      <c r="S88" s="406" t="str" cm="1">
        <f t="array" ref="S88">IF(AND(SUMPRODUCT((IM!$F$2:$F$5000=A88)*(ISNUMBER(SEARCH(勤務統計!$E$1, IM!$AC$2:$AC$5000))))&gt;0), 勤務統計!$E$1, "")</f>
        <v>+L90</v>
      </c>
      <c r="T88" s="422">
        <f t="array" ref="T88">IFERROR(INDEX(IM!$AM$2:$AM$5000, MATCH(1, (IM!$F$2:$F$5000=A88) * (ISNUMBER(SEARCH(勤務統計!$E$1, IM!$AC$2:$AC$5000))), 0)), "")</f>
        <v>46044</v>
      </c>
      <c r="U88" s="406" t="str" cm="1">
        <f t="array" ref="U88">IF(AND(SUMPRODUCT((IM!$F$2:$F$5000=A88)*(ISNUMBER(SEARCH(勤務統計!$F$1, IM!$AC$2:$AC$5000))))&gt;0), 勤務統計!$F$1, "")</f>
        <v/>
      </c>
      <c r="V88" s="413" t="str">
        <f t="array" ref="V88">IFERROR(INDEX(IM!$AM$2:$AM$5000, MATCH(1, (IM!$F$2:$F$5000=A88) * (ISNUMBER(SEARCH(勤務統計!$F$1, IM!$AC$2:$AC$5000))), 0)), "")</f>
        <v/>
      </c>
      <c r="W88" s="414" t="str">
        <f>IF(VLOOKUP(A88,'0919門市清單主檔'!B:AC,28,FALSE)=0,"",VLOOKUP(A88,'0919門市清單主檔'!B:AC,28,FALSE))</f>
        <v/>
      </c>
    </row>
    <row r="89" spans="1:23" ht="21.6" customHeight="1">
      <c r="A89" s="423">
        <v>2596</v>
      </c>
      <c r="B89" s="416" t="str">
        <f>VLOOKUP(A89,'0919門市清單主檔'!B:C,2,FALSE)</f>
        <v>桃縣桃高店</v>
      </c>
      <c r="C89" s="415" t="str">
        <f>VLOOKUP($A89,'0919門市清單主檔'!B:V,20,FALSE)</f>
        <v>桃園市</v>
      </c>
      <c r="D89" s="410" t="str">
        <f>VLOOKUP($A89,'0919門市清單主檔'!B:V,21,FALSE)</f>
        <v>龜山區</v>
      </c>
      <c r="E89" s="397" t="str">
        <f>VLOOKUP(D89,門市狀態!G:H,2,FALSE)</f>
        <v>吳宗鴻</v>
      </c>
      <c r="F89" s="410" t="str">
        <f>IFERROR(IF(VLOOKUP(A89,門市狀態!A:D,4,FALSE)=0,"",VLOOKUP(A89,門市狀態!A:D,4,FALSE)),"")</f>
        <v/>
      </c>
      <c r="G89" s="424"/>
      <c r="H89" s="425" t="str">
        <f>IF(I89&gt;0,(TEXT(I89,"yyyymmdd")&amp;勤務統計!$V$2&amp;A89&amp;勤務統計!$V$2&amp;B89&amp;勤務統計!$S$2),"")</f>
        <v>PMQ1-2596-桃縣桃高店(定保)</v>
      </c>
      <c r="I89" s="247" t="str">
        <f t="array" ref="I89">IF(AND(SUMPRODUCT((IM!$F$2:$F$5000=A89)*(ISNUMBER(SEARCH(勤務統計!$C$1, IM!$AC$2:$AC$5000))))&gt;0), 勤務統計!$C$1, "")</f>
        <v>PMQ1</v>
      </c>
      <c r="J89" s="399">
        <f t="array" ref="J89">IFERROR(INDEX(IM!$AM$2:$AM$5000, MATCH(1, (IM!$F$2:$F$5000=A89) * (ISNUMBER(SEARCH(勤務統計!$C$1, IM!$AC$2:$AC$5000))), 0)), "")</f>
        <v>46044</v>
      </c>
      <c r="K89" s="400">
        <f t="array" ref="K89">SUMPRODUCT((IM!$F$2:$F$5000=A89)*(IM!$AD$2:$AD$5000="O")*(ISNUMBER(SEARCH(勤務統計!$C$1, IM!$AC$2:$AC$5000))))</f>
        <v>1</v>
      </c>
      <c r="L89" s="401" t="str">
        <f t="array" ref="L89">IF(K89&gt;0,IFERROR(HYPERLINK("#'IM'!AC"&amp;MATCH(1,(IM!$F$1:$F$5000=A89)*(ISNUMBER(SEARCH(勤務統計!$C$1,IM!$AC$1:$AC$5000))),0),"檢核"),"未登錄"),"")</f>
        <v>檢核</v>
      </c>
      <c r="M89" s="402" t="str">
        <f t="shared" si="1"/>
        <v>+L90+721</v>
      </c>
      <c r="N89" s="402" t="str">
        <f t="array" ref="N89">IF(AND(
    SUMPRODUCT(
        (IM!$F$2:$F$522=A89) *
        ISNUMBER(SEARCH("*HUB*", IM!$AC$2:$AC$522)) *
        (IM!$X$2:$X$522&gt;=勤務統計!$A$1) *
        (IM!$X$2:$X$522&lt;=勤務統計!$B$1)*(W89="HUB")
    ) &gt; 0
), "HUB", "")</f>
        <v/>
      </c>
      <c r="O89" s="400" t="str">
        <f>IF(
  IFERROR(VLOOKUP(A89,勤務統計!A:I,9,FALSE),"")&lt;&gt;勤務統計!$C$1,
  "未完工",
  IF(
    AND(勤務統計!$D$1="--",勤務統計!$E$1="--",勤務統計!$F$1="--"),
    "已完工",
    IF(
      OR(
        AND(勤務統計!$D$1&lt;&gt;"--", IFERROR(VLOOKUP(A89,'0919門市清單主檔'!B:AH,31,FALSE),"")=勤務統計!$D$1, IFERROR(VLOOKUP(A89,勤務統計!A:Q,17,FALSE),"")&lt;&gt;勤務統計!$D$1),
        AND(勤務統計!$E$1&lt;&gt;"--", IFERROR(VLOOKUP(A89,'0919門市清單主檔'!B:AH,32,FALSE),"")=勤務統計!$E$1, IFERROR(VLOOKUP(A89,勤務統計!A:S,19,FALSE),"")&lt;&gt;勤務統計!$E$1),
        AND(勤務統計!$F$1&lt;&gt;"--", IFERROR(VLOOKUP(A89,'0919門市清單主檔'!B:AH,33,FALSE),"")=勤務統計!$F$1, IFERROR(VLOOKUP(A89,勤務統計!A:U,21,FALSE),"")&lt;&gt;勤務統計!$F$1),
        AND(IFERROR(VLOOKUP(A89,'0919門市清單主檔'!B:AH,28,FALSE),"")="HUB", IFERROR(VLOOKUP(A89,勤務統計!A:W,23,FALSE),"")&lt;&gt;"HUB")
      ),
      _xlfn.TEXTJOIN(
        "，",
        TRUE,
        IF(AND(勤務統計!$D$1&lt;&gt;"--", IFERROR(VLOOKUP(A89,'0919門市清單主檔'!B:AH,31,FALSE),"")=勤務統計!$D$1, IFERROR(VLOOKUP(A89,勤務統計!A:Q,17,FALSE),"")&lt;&gt;勤務統計!$D$1), 勤務統計!$D$1, ""),
        IF(AND(勤務統計!$E$1&lt;&gt;"--", IFERROR(VLOOKUP(A89,'0919門市清單主檔'!B:AH,32,FALSE),"")=勤務統計!$E$1, IFERROR(VLOOKUP(A89,勤務統計!A:S,19,FALSE),"")&lt;&gt;勤務統計!$E$1), 勤務統計!$E$1, ""),
        IF(AND(勤務統計!$F$1&lt;&gt;"--", IFERROR(VLOOKUP(A89,'0919門市清單主檔'!B:AH,33,FALSE),"")=勤務統計!$F$1, IFERROR(VLOOKUP(A89,勤務統計!A:U,21,FALSE),"")&lt;&gt;勤務統計!$F$1), 勤務統計!$F$1, ""),
        IF(AND(IFERROR(VLOOKUP(A89,'0919門市清單主檔'!B:AH,28,FALSE),"")="HUB", IFERROR(VLOOKUP(A89,勤務統計!A:W,23,FALSE),"")&lt;&gt;"HUB"), "HUB", "")
      ) &amp; "未完工",
      "已完工"
    )
  )
)</f>
        <v>未完工</v>
      </c>
      <c r="P89" s="426" t="str">
        <f>(TEXT(I89,"yyyymmdd"))&amp;勤務統計!$V$2&amp;A89&amp;勤務統計!$V$2&amp;B89&amp;勤務統計!$S$2</f>
        <v>PMQ1-2596-桃縣桃高店(定保)</v>
      </c>
      <c r="Q89" s="420" t="str">
        <f t="array" ref="Q89">IF(AND(SUMPRODUCT((IM!$F$2:$F$5000=A89)*(ISNUMBER(SEARCH(勤務統計!$D$1, IM!$AC$2:$AC$5000))))&gt;0), 勤務統計!$D$1, "")</f>
        <v/>
      </c>
      <c r="R89" s="421" t="str">
        <f t="array" ref="R89">IFERROR(INDEX(IM!$AM$2:$AM$5000, MATCH(1, (IM!$F$2:$F$5000=A89) * (ISNUMBER(SEARCH(勤務統計!$D$1, IM!$AC$2:$AC$5000))), 0)), "")</f>
        <v/>
      </c>
      <c r="S89" s="406" t="str" cm="1">
        <f t="array" ref="S89">IF(AND(SUMPRODUCT((IM!$F$2:$F$5000=A89)*(ISNUMBER(SEARCH(勤務統計!$E$1, IM!$AC$2:$AC$5000))))&gt;0), 勤務統計!$E$1, "")</f>
        <v>+L90</v>
      </c>
      <c r="T89" s="422">
        <f t="array" ref="T89">IFERROR(INDEX(IM!$AM$2:$AM$5000, MATCH(1, (IM!$F$2:$F$5000=A89) * (ISNUMBER(SEARCH(勤務統計!$E$1, IM!$AC$2:$AC$5000))), 0)), "")</f>
        <v>46044</v>
      </c>
      <c r="U89" s="406" t="str" cm="1">
        <f t="array" ref="U89">IF(AND(SUMPRODUCT((IM!$F$2:$F$5000=A89)*(ISNUMBER(SEARCH(勤務統計!$F$1, IM!$AC$2:$AC$5000))))&gt;0), 勤務統計!$F$1, "")</f>
        <v>+721</v>
      </c>
      <c r="V89" s="413">
        <f t="array" ref="V89">IFERROR(INDEX(IM!$AM$2:$AM$5000, MATCH(1, (IM!$F$2:$F$5000=A89) * (ISNUMBER(SEARCH(勤務統計!$F$1, IM!$AC$2:$AC$5000))), 0)), "")</f>
        <v>46044</v>
      </c>
      <c r="W89" s="414" t="str">
        <f>IF(VLOOKUP(A89,'0919門市清單主檔'!B:AC,28,FALSE)=0,"",VLOOKUP(A89,'0919門市清單主檔'!B:AC,28,FALSE))</f>
        <v/>
      </c>
    </row>
    <row r="90" spans="1:23" ht="21.6" customHeight="1">
      <c r="A90" s="423">
        <v>4503</v>
      </c>
      <c r="B90" s="416" t="str">
        <f>VLOOKUP(A90,'0919門市清單主檔'!B:C,2,FALSE)</f>
        <v>龜山復恆店</v>
      </c>
      <c r="C90" s="415" t="str">
        <f>VLOOKUP($A90,'0919門市清單主檔'!B:V,20,FALSE)</f>
        <v>桃園市</v>
      </c>
      <c r="D90" s="410" t="str">
        <f>VLOOKUP($A90,'0919門市清單主檔'!B:V,21,FALSE)</f>
        <v>龜山區</v>
      </c>
      <c r="E90" s="397" t="str">
        <f>VLOOKUP(D90,門市狀態!G:H,2,FALSE)</f>
        <v>吳宗鴻</v>
      </c>
      <c r="F90" s="410" t="str">
        <f>IFERROR(IF(VLOOKUP(A90,門市狀態!A:D,4,FALSE)=0,"",VLOOKUP(A90,門市狀態!A:D,4,FALSE)),"")</f>
        <v/>
      </c>
      <c r="G90" s="424"/>
      <c r="H90" s="425" t="str">
        <f>IF(I90&gt;0,(TEXT(I90,"yyyymmdd")&amp;勤務統計!$V$2&amp;A90&amp;勤務統計!$V$2&amp;B90&amp;勤務統計!$S$2),"")</f>
        <v>PMQ1-4503-龜山復恆店(定保)</v>
      </c>
      <c r="I90" s="247" t="str">
        <f t="array" ref="I90">IF(AND(SUMPRODUCT((IM!$F$2:$F$5000=A90)*(ISNUMBER(SEARCH(勤務統計!$C$1, IM!$AC$2:$AC$5000))))&gt;0), 勤務統計!$C$1, "")</f>
        <v>PMQ1</v>
      </c>
      <c r="J90" s="399">
        <f t="array" ref="J90">IFERROR(INDEX(IM!$AM$2:$AM$5000, MATCH(1, (IM!$F$2:$F$5000=A90) * (ISNUMBER(SEARCH(勤務統計!$C$1, IM!$AC$2:$AC$5000))), 0)), "")</f>
        <v>46044</v>
      </c>
      <c r="K90" s="400">
        <f t="array" ref="K90">SUMPRODUCT((IM!$F$2:$F$5000=A90)*(IM!$AD$2:$AD$5000="O")*(ISNUMBER(SEARCH(勤務統計!$C$1, IM!$AC$2:$AC$5000))))</f>
        <v>1</v>
      </c>
      <c r="L90" s="401" t="str">
        <f t="array" ref="L90">IF(K90&gt;0,IFERROR(HYPERLINK("#'IM'!AC"&amp;MATCH(1,(IM!$F$1:$F$5000=A90)*(ISNUMBER(SEARCH(勤務統計!$C$1,IM!$AC$1:$AC$5000))),0),"檢核"),"未登錄"),"")</f>
        <v>檢核</v>
      </c>
      <c r="M90" s="402" t="str">
        <f t="shared" si="1"/>
        <v>+L90+721</v>
      </c>
      <c r="N90" s="402" t="str">
        <f t="array" ref="N90">IF(AND(
    SUMPRODUCT(
        (IM!$F$2:$F$522=A90) *
        ISNUMBER(SEARCH("*HUB*", IM!$AC$2:$AC$522)) *
        (IM!$X$2:$X$522&gt;=勤務統計!$A$1) *
        (IM!$X$2:$X$522&lt;=勤務統計!$B$1)*(W90="HUB")
    ) &gt; 0
), "HUB", "")</f>
        <v/>
      </c>
      <c r="O90" s="400" t="str">
        <f>IF(
  IFERROR(VLOOKUP(A90,勤務統計!A:I,9,FALSE),"")&lt;&gt;勤務統計!$C$1,
  "未完工",
  IF(
    AND(勤務統計!$D$1="--",勤務統計!$E$1="--",勤務統計!$F$1="--"),
    "已完工",
    IF(
      OR(
        AND(勤務統計!$D$1&lt;&gt;"--", IFERROR(VLOOKUP(A90,'0919門市清單主檔'!B:AH,31,FALSE),"")=勤務統計!$D$1, IFERROR(VLOOKUP(A90,勤務統計!A:Q,17,FALSE),"")&lt;&gt;勤務統計!$D$1),
        AND(勤務統計!$E$1&lt;&gt;"--", IFERROR(VLOOKUP(A90,'0919門市清單主檔'!B:AH,32,FALSE),"")=勤務統計!$E$1, IFERROR(VLOOKUP(A90,勤務統計!A:S,19,FALSE),"")&lt;&gt;勤務統計!$E$1),
        AND(勤務統計!$F$1&lt;&gt;"--", IFERROR(VLOOKUP(A90,'0919門市清單主檔'!B:AH,33,FALSE),"")=勤務統計!$F$1, IFERROR(VLOOKUP(A90,勤務統計!A:U,21,FALSE),"")&lt;&gt;勤務統計!$F$1),
        AND(IFERROR(VLOOKUP(A90,'0919門市清單主檔'!B:AH,28,FALSE),"")="HUB", IFERROR(VLOOKUP(A90,勤務統計!A:W,23,FALSE),"")&lt;&gt;"HUB")
      ),
      _xlfn.TEXTJOIN(
        "，",
        TRUE,
        IF(AND(勤務統計!$D$1&lt;&gt;"--", IFERROR(VLOOKUP(A90,'0919門市清單主檔'!B:AH,31,FALSE),"")=勤務統計!$D$1, IFERROR(VLOOKUP(A90,勤務統計!A:Q,17,FALSE),"")&lt;&gt;勤務統計!$D$1), 勤務統計!$D$1, ""),
        IF(AND(勤務統計!$E$1&lt;&gt;"--", IFERROR(VLOOKUP(A90,'0919門市清單主檔'!B:AH,32,FALSE),"")=勤務統計!$E$1, IFERROR(VLOOKUP(A90,勤務統計!A:S,19,FALSE),"")&lt;&gt;勤務統計!$E$1), 勤務統計!$E$1, ""),
        IF(AND(勤務統計!$F$1&lt;&gt;"--", IFERROR(VLOOKUP(A90,'0919門市清單主檔'!B:AH,33,FALSE),"")=勤務統計!$F$1, IFERROR(VLOOKUP(A90,勤務統計!A:U,21,FALSE),"")&lt;&gt;勤務統計!$F$1), 勤務統計!$F$1, ""),
        IF(AND(IFERROR(VLOOKUP(A90,'0919門市清單主檔'!B:AH,28,FALSE),"")="HUB", IFERROR(VLOOKUP(A90,勤務統計!A:W,23,FALSE),"")&lt;&gt;"HUB"), "HUB", "")
      ) &amp; "未完工",
      "已完工"
    )
  )
)</f>
        <v>未完工</v>
      </c>
      <c r="P90" s="426" t="str">
        <f>(TEXT(I90,"yyyymmdd"))&amp;勤務統計!$V$2&amp;A90&amp;勤務統計!$V$2&amp;B90&amp;勤務統計!$S$2</f>
        <v>PMQ1-4503-龜山復恆店(定保)</v>
      </c>
      <c r="Q90" s="420" t="str">
        <f t="array" ref="Q90">IF(AND(SUMPRODUCT((IM!$F$2:$F$5000=A90)*(ISNUMBER(SEARCH(勤務統計!$D$1, IM!$AC$2:$AC$5000))))&gt;0), 勤務統計!$D$1, "")</f>
        <v/>
      </c>
      <c r="R90" s="421" t="str">
        <f t="array" ref="R90">IFERROR(INDEX(IM!$AM$2:$AM$5000, MATCH(1, (IM!$F$2:$F$5000=A90) * (ISNUMBER(SEARCH(勤務統計!$D$1, IM!$AC$2:$AC$5000))), 0)), "")</f>
        <v/>
      </c>
      <c r="S90" s="406" t="str" cm="1">
        <f t="array" ref="S90">IF(AND(SUMPRODUCT((IM!$F$2:$F$5000=A90)*(ISNUMBER(SEARCH(勤務統計!$E$1, IM!$AC$2:$AC$5000))))&gt;0), 勤務統計!$E$1, "")</f>
        <v>+L90</v>
      </c>
      <c r="T90" s="422">
        <f t="array" ref="T90">IFERROR(INDEX(IM!$AM$2:$AM$5000, MATCH(1, (IM!$F$2:$F$5000=A90) * (ISNUMBER(SEARCH(勤務統計!$E$1, IM!$AC$2:$AC$5000))), 0)), "")</f>
        <v>46044</v>
      </c>
      <c r="U90" s="406" t="str" cm="1">
        <f t="array" ref="U90">IF(AND(SUMPRODUCT((IM!$F$2:$F$5000=A90)*(ISNUMBER(SEARCH(勤務統計!$F$1, IM!$AC$2:$AC$5000))))&gt;0), 勤務統計!$F$1, "")</f>
        <v>+721</v>
      </c>
      <c r="V90" s="413">
        <f t="array" ref="V90">IFERROR(INDEX(IM!$AM$2:$AM$5000, MATCH(1, (IM!$F$2:$F$5000=A90) * (ISNUMBER(SEARCH(勤務統計!$F$1, IM!$AC$2:$AC$5000))), 0)), "")</f>
        <v>46044</v>
      </c>
      <c r="W90" s="414" t="str">
        <f>IF(VLOOKUP(A90,'0919門市清單主檔'!B:AC,28,FALSE)=0,"",VLOOKUP(A90,'0919門市清單主檔'!B:AC,28,FALSE))</f>
        <v/>
      </c>
    </row>
    <row r="91" spans="1:23" ht="21.6" customHeight="1">
      <c r="A91" s="423">
        <v>4902</v>
      </c>
      <c r="B91" s="416" t="str">
        <f>VLOOKUP(A91,'0919門市清單主檔'!B:C,2,FALSE)</f>
        <v>龜山玄武店</v>
      </c>
      <c r="C91" s="415" t="str">
        <f>VLOOKUP($A91,'0919門市清單主檔'!B:V,20,FALSE)</f>
        <v>桃園市</v>
      </c>
      <c r="D91" s="410" t="str">
        <f>VLOOKUP($A91,'0919門市清單主檔'!B:V,21,FALSE)</f>
        <v>蘆竹區</v>
      </c>
      <c r="E91" s="397" t="str">
        <f>VLOOKUP(D91,門市狀態!G:H,2,FALSE)</f>
        <v>吳宗鴻</v>
      </c>
      <c r="F91" s="410" t="str">
        <f>IFERROR(IF(VLOOKUP(A91,門市狀態!A:D,4,FALSE)=0,"",VLOOKUP(A91,門市狀態!A:D,4,FALSE)),"")</f>
        <v/>
      </c>
      <c r="G91" s="424"/>
      <c r="H91" s="425" t="str">
        <f>IF(I91&gt;0,(TEXT(I91,"yyyymmdd")&amp;勤務統計!$V$2&amp;A91&amp;勤務統計!$V$2&amp;B91&amp;勤務統計!$S$2),"")</f>
        <v>PMQ1-4902-龜山玄武店(定保)</v>
      </c>
      <c r="I91" s="247" t="str">
        <f t="array" ref="I91">IF(AND(SUMPRODUCT((IM!$F$2:$F$5000=A91)*(ISNUMBER(SEARCH(勤務統計!$C$1, IM!$AC$2:$AC$5000))))&gt;0), 勤務統計!$C$1, "")</f>
        <v>PMQ1</v>
      </c>
      <c r="J91" s="399">
        <f t="array" ref="J91">IFERROR(INDEX(IM!$AM$2:$AM$5000, MATCH(1, (IM!$F$2:$F$5000=A91) * (ISNUMBER(SEARCH(勤務統計!$C$1, IM!$AC$2:$AC$5000))), 0)), "")</f>
        <v>46044</v>
      </c>
      <c r="K91" s="400">
        <f t="array" ref="K91">SUMPRODUCT((IM!$F$2:$F$5000=A91)*(IM!$AD$2:$AD$5000="O")*(ISNUMBER(SEARCH(勤務統計!$C$1, IM!$AC$2:$AC$5000))))</f>
        <v>1</v>
      </c>
      <c r="L91" s="401" t="str">
        <f t="array" ref="L91">IF(K91&gt;0,IFERROR(HYPERLINK("#'IM'!AC"&amp;MATCH(1,(IM!$F$1:$F$5000=A91)*(ISNUMBER(SEARCH(勤務統計!$C$1,IM!$AC$1:$AC$5000))),0),"檢核"),"未登錄"),"")</f>
        <v>檢核</v>
      </c>
      <c r="M91" s="402" t="str">
        <f t="shared" si="1"/>
        <v>+L90+721</v>
      </c>
      <c r="N91" s="402" t="str">
        <f t="array" ref="N91">IF(AND(
    SUMPRODUCT(
        (IM!$F$2:$F$522=A91) *
        ISNUMBER(SEARCH("*HUB*", IM!$AC$2:$AC$522)) *
        (IM!$X$2:$X$522&gt;=勤務統計!$A$1) *
        (IM!$X$2:$X$522&lt;=勤務統計!$B$1)*(W91="HUB")
    ) &gt; 0
), "HUB", "")</f>
        <v/>
      </c>
      <c r="O91" s="400" t="str">
        <f>IF(
  IFERROR(VLOOKUP(A91,勤務統計!A:I,9,FALSE),"")&lt;&gt;勤務統計!$C$1,
  "未完工",
  IF(
    AND(勤務統計!$D$1="--",勤務統計!$E$1="--",勤務統計!$F$1="--"),
    "已完工",
    IF(
      OR(
        AND(勤務統計!$D$1&lt;&gt;"--", IFERROR(VLOOKUP(A91,'0919門市清單主檔'!B:AH,31,FALSE),"")=勤務統計!$D$1, IFERROR(VLOOKUP(A91,勤務統計!A:Q,17,FALSE),"")&lt;&gt;勤務統計!$D$1),
        AND(勤務統計!$E$1&lt;&gt;"--", IFERROR(VLOOKUP(A91,'0919門市清單主檔'!B:AH,32,FALSE),"")=勤務統計!$E$1, IFERROR(VLOOKUP(A91,勤務統計!A:S,19,FALSE),"")&lt;&gt;勤務統計!$E$1),
        AND(勤務統計!$F$1&lt;&gt;"--", IFERROR(VLOOKUP(A91,'0919門市清單主檔'!B:AH,33,FALSE),"")=勤務統計!$F$1, IFERROR(VLOOKUP(A91,勤務統計!A:U,21,FALSE),"")&lt;&gt;勤務統計!$F$1),
        AND(IFERROR(VLOOKUP(A91,'0919門市清單主檔'!B:AH,28,FALSE),"")="HUB", IFERROR(VLOOKUP(A91,勤務統計!A:W,23,FALSE),"")&lt;&gt;"HUB")
      ),
      _xlfn.TEXTJOIN(
        "，",
        TRUE,
        IF(AND(勤務統計!$D$1&lt;&gt;"--", IFERROR(VLOOKUP(A91,'0919門市清單主檔'!B:AH,31,FALSE),"")=勤務統計!$D$1, IFERROR(VLOOKUP(A91,勤務統計!A:Q,17,FALSE),"")&lt;&gt;勤務統計!$D$1), 勤務統計!$D$1, ""),
        IF(AND(勤務統計!$E$1&lt;&gt;"--", IFERROR(VLOOKUP(A91,'0919門市清單主檔'!B:AH,32,FALSE),"")=勤務統計!$E$1, IFERROR(VLOOKUP(A91,勤務統計!A:S,19,FALSE),"")&lt;&gt;勤務統計!$E$1), 勤務統計!$E$1, ""),
        IF(AND(勤務統計!$F$1&lt;&gt;"--", IFERROR(VLOOKUP(A91,'0919門市清單主檔'!B:AH,33,FALSE),"")=勤務統計!$F$1, IFERROR(VLOOKUP(A91,勤務統計!A:U,21,FALSE),"")&lt;&gt;勤務統計!$F$1), 勤務統計!$F$1, ""),
        IF(AND(IFERROR(VLOOKUP(A91,'0919門市清單主檔'!B:AH,28,FALSE),"")="HUB", IFERROR(VLOOKUP(A91,勤務統計!A:W,23,FALSE),"")&lt;&gt;"HUB"), "HUB", "")
      ) &amp; "未完工",
      "已完工"
    )
  )
)</f>
        <v>未完工</v>
      </c>
      <c r="P91" s="426" t="str">
        <f>(TEXT(I91,"yyyymmdd"))&amp;勤務統計!$V$2&amp;A91&amp;勤務統計!$V$2&amp;B91&amp;勤務統計!$S$2</f>
        <v>PMQ1-4902-龜山玄武店(定保)</v>
      </c>
      <c r="Q91" s="420" t="str">
        <f t="array" ref="Q91">IF(AND(SUMPRODUCT((IM!$F$2:$F$5000=A91)*(ISNUMBER(SEARCH(勤務統計!$D$1, IM!$AC$2:$AC$5000))))&gt;0), 勤務統計!$D$1, "")</f>
        <v/>
      </c>
      <c r="R91" s="421" t="str">
        <f t="array" ref="R91">IFERROR(INDEX(IM!$AM$2:$AM$5000, MATCH(1, (IM!$F$2:$F$5000=A91) * (ISNUMBER(SEARCH(勤務統計!$D$1, IM!$AC$2:$AC$5000))), 0)), "")</f>
        <v/>
      </c>
      <c r="S91" s="406" t="str" cm="1">
        <f t="array" ref="S91">IF(AND(SUMPRODUCT((IM!$F$2:$F$5000=A91)*(ISNUMBER(SEARCH(勤務統計!$E$1, IM!$AC$2:$AC$5000))))&gt;0), 勤務統計!$E$1, "")</f>
        <v>+L90</v>
      </c>
      <c r="T91" s="422">
        <f t="array" ref="T91">IFERROR(INDEX(IM!$AM$2:$AM$5000, MATCH(1, (IM!$F$2:$F$5000=A91) * (ISNUMBER(SEARCH(勤務統計!$E$1, IM!$AC$2:$AC$5000))), 0)), "")</f>
        <v>46044</v>
      </c>
      <c r="U91" s="406" t="str" cm="1">
        <f t="array" ref="U91">IF(AND(SUMPRODUCT((IM!$F$2:$F$5000=A91)*(ISNUMBER(SEARCH(勤務統計!$F$1, IM!$AC$2:$AC$5000))))&gt;0), 勤務統計!$F$1, "")</f>
        <v>+721</v>
      </c>
      <c r="V91" s="413">
        <f t="array" ref="V91">IFERROR(INDEX(IM!$AM$2:$AM$5000, MATCH(1, (IM!$F$2:$F$5000=A91) * (ISNUMBER(SEARCH(勤務統計!$F$1, IM!$AC$2:$AC$5000))), 0)), "")</f>
        <v>46044</v>
      </c>
      <c r="W91" s="414" t="str">
        <f>IF(VLOOKUP(A91,'0919門市清單主檔'!B:AC,28,FALSE)=0,"",VLOOKUP(A91,'0919門市清單主檔'!B:AC,28,FALSE))</f>
        <v/>
      </c>
    </row>
    <row r="92" spans="1:23" ht="21.6" customHeight="1">
      <c r="A92" s="423">
        <v>4981</v>
      </c>
      <c r="B92" s="416" t="str">
        <f>VLOOKUP(A92,'0919門市清單主檔'!B:C,2,FALSE)</f>
        <v>龜山樂學店</v>
      </c>
      <c r="C92" s="415" t="str">
        <f>VLOOKUP($A92,'0919門市清單主檔'!B:V,20,FALSE)</f>
        <v>桃園市</v>
      </c>
      <c r="D92" s="410" t="str">
        <f>VLOOKUP($A92,'0919門市清單主檔'!B:V,21,FALSE)</f>
        <v>蘆竹區</v>
      </c>
      <c r="E92" s="397" t="str">
        <f>VLOOKUP(D92,門市狀態!G:H,2,FALSE)</f>
        <v>吳宗鴻</v>
      </c>
      <c r="F92" s="410" t="str">
        <f>IFERROR(IF(VLOOKUP(A92,門市狀態!A:D,4,FALSE)=0,"",VLOOKUP(A92,門市狀態!A:D,4,FALSE)),"")</f>
        <v/>
      </c>
      <c r="G92" s="424"/>
      <c r="H92" s="425" t="str">
        <f>IF(I92&gt;0,(TEXT(I92,"yyyymmdd")&amp;勤務統計!$V$2&amp;A92&amp;勤務統計!$V$2&amp;B92&amp;勤務統計!$S$2),"")</f>
        <v>PMQ1-4981-龜山樂學店(定保)</v>
      </c>
      <c r="I92" s="247" t="str">
        <f t="array" ref="I92">IF(AND(SUMPRODUCT((IM!$F$2:$F$5000=A92)*(ISNUMBER(SEARCH(勤務統計!$C$1, IM!$AC$2:$AC$5000))))&gt;0), 勤務統計!$C$1, "")</f>
        <v>PMQ1</v>
      </c>
      <c r="J92" s="399">
        <f t="array" ref="J92">IFERROR(INDEX(IM!$AM$2:$AM$5000, MATCH(1, (IM!$F$2:$F$5000=A92) * (ISNUMBER(SEARCH(勤務統計!$C$1, IM!$AC$2:$AC$5000))), 0)), "")</f>
        <v>46044</v>
      </c>
      <c r="K92" s="400">
        <f t="array" ref="K92">SUMPRODUCT((IM!$F$2:$F$5000=A92)*(IM!$AD$2:$AD$5000="O")*(ISNUMBER(SEARCH(勤務統計!$C$1, IM!$AC$2:$AC$5000))))</f>
        <v>1</v>
      </c>
      <c r="L92" s="401" t="str">
        <f t="array" ref="L92">IF(K92&gt;0,IFERROR(HYPERLINK("#'IM'!AC"&amp;MATCH(1,(IM!$F$1:$F$5000=A92)*(ISNUMBER(SEARCH(勤務統計!$C$1,IM!$AC$1:$AC$5000))),0),"檢核"),"未登錄"),"")</f>
        <v>檢核</v>
      </c>
      <c r="M92" s="402" t="str">
        <f t="shared" si="1"/>
        <v>+L90+721</v>
      </c>
      <c r="N92" s="402" t="str">
        <f t="array" ref="N92">IF(AND(
    SUMPRODUCT(
        (IM!$F$2:$F$522=A92) *
        ISNUMBER(SEARCH("*HUB*", IM!$AC$2:$AC$522)) *
        (IM!$X$2:$X$522&gt;=勤務統計!$A$1) *
        (IM!$X$2:$X$522&lt;=勤務統計!$B$1)*(W92="HUB")
    ) &gt; 0
), "HUB", "")</f>
        <v/>
      </c>
      <c r="O92" s="400" t="str">
        <f>IF(
  IFERROR(VLOOKUP(A92,勤務統計!A:I,9,FALSE),"")&lt;&gt;勤務統計!$C$1,
  "未完工",
  IF(
    AND(勤務統計!$D$1="--",勤務統計!$E$1="--",勤務統計!$F$1="--"),
    "已完工",
    IF(
      OR(
        AND(勤務統計!$D$1&lt;&gt;"--", IFERROR(VLOOKUP(A92,'0919門市清單主檔'!B:AH,31,FALSE),"")=勤務統計!$D$1, IFERROR(VLOOKUP(A92,勤務統計!A:Q,17,FALSE),"")&lt;&gt;勤務統計!$D$1),
        AND(勤務統計!$E$1&lt;&gt;"--", IFERROR(VLOOKUP(A92,'0919門市清單主檔'!B:AH,32,FALSE),"")=勤務統計!$E$1, IFERROR(VLOOKUP(A92,勤務統計!A:S,19,FALSE),"")&lt;&gt;勤務統計!$E$1),
        AND(勤務統計!$F$1&lt;&gt;"--", IFERROR(VLOOKUP(A92,'0919門市清單主檔'!B:AH,33,FALSE),"")=勤務統計!$F$1, IFERROR(VLOOKUP(A92,勤務統計!A:U,21,FALSE),"")&lt;&gt;勤務統計!$F$1),
        AND(IFERROR(VLOOKUP(A92,'0919門市清單主檔'!B:AH,28,FALSE),"")="HUB", IFERROR(VLOOKUP(A92,勤務統計!A:W,23,FALSE),"")&lt;&gt;"HUB")
      ),
      _xlfn.TEXTJOIN(
        "，",
        TRUE,
        IF(AND(勤務統計!$D$1&lt;&gt;"--", IFERROR(VLOOKUP(A92,'0919門市清單主檔'!B:AH,31,FALSE),"")=勤務統計!$D$1, IFERROR(VLOOKUP(A92,勤務統計!A:Q,17,FALSE),"")&lt;&gt;勤務統計!$D$1), 勤務統計!$D$1, ""),
        IF(AND(勤務統計!$E$1&lt;&gt;"--", IFERROR(VLOOKUP(A92,'0919門市清單主檔'!B:AH,32,FALSE),"")=勤務統計!$E$1, IFERROR(VLOOKUP(A92,勤務統計!A:S,19,FALSE),"")&lt;&gt;勤務統計!$E$1), 勤務統計!$E$1, ""),
        IF(AND(勤務統計!$F$1&lt;&gt;"--", IFERROR(VLOOKUP(A92,'0919門市清單主檔'!B:AH,33,FALSE),"")=勤務統計!$F$1, IFERROR(VLOOKUP(A92,勤務統計!A:U,21,FALSE),"")&lt;&gt;勤務統計!$F$1), 勤務統計!$F$1, ""),
        IF(AND(IFERROR(VLOOKUP(A92,'0919門市清單主檔'!B:AH,28,FALSE),"")="HUB", IFERROR(VLOOKUP(A92,勤務統計!A:W,23,FALSE),"")&lt;&gt;"HUB"), "HUB", "")
      ) &amp; "未完工",
      "已完工"
    )
  )
)</f>
        <v>未完工</v>
      </c>
      <c r="P92" s="426" t="str">
        <f>(TEXT(I92,"yyyymmdd"))&amp;勤務統計!$V$2&amp;A92&amp;勤務統計!$V$2&amp;B92&amp;勤務統計!$S$2</f>
        <v>PMQ1-4981-龜山樂學店(定保)</v>
      </c>
      <c r="Q92" s="420" t="str">
        <f t="array" ref="Q92">IF(AND(SUMPRODUCT((IM!$F$2:$F$5000=A92)*(ISNUMBER(SEARCH(勤務統計!$D$1, IM!$AC$2:$AC$5000))))&gt;0), 勤務統計!$D$1, "")</f>
        <v/>
      </c>
      <c r="R92" s="421" t="str">
        <f t="array" ref="R92">IFERROR(INDEX(IM!$AM$2:$AM$5000, MATCH(1, (IM!$F$2:$F$5000=A92) * (ISNUMBER(SEARCH(勤務統計!$D$1, IM!$AC$2:$AC$5000))), 0)), "")</f>
        <v/>
      </c>
      <c r="S92" s="406" t="str" cm="1">
        <f t="array" ref="S92">IF(AND(SUMPRODUCT((IM!$F$2:$F$5000=A92)*(ISNUMBER(SEARCH(勤務統計!$E$1, IM!$AC$2:$AC$5000))))&gt;0), 勤務統計!$E$1, "")</f>
        <v>+L90</v>
      </c>
      <c r="T92" s="422">
        <f t="array" ref="T92">IFERROR(INDEX(IM!$AM$2:$AM$5000, MATCH(1, (IM!$F$2:$F$5000=A92) * (ISNUMBER(SEARCH(勤務統計!$E$1, IM!$AC$2:$AC$5000))), 0)), "")</f>
        <v>46044</v>
      </c>
      <c r="U92" s="406" t="str" cm="1">
        <f t="array" ref="U92">IF(AND(SUMPRODUCT((IM!$F$2:$F$5000=A92)*(ISNUMBER(SEARCH(勤務統計!$F$1, IM!$AC$2:$AC$5000))))&gt;0), 勤務統計!$F$1, "")</f>
        <v>+721</v>
      </c>
      <c r="V92" s="413">
        <f t="array" ref="V92">IFERROR(INDEX(IM!$AM$2:$AM$5000, MATCH(1, (IM!$F$2:$F$5000=A92) * (ISNUMBER(SEARCH(勤務統計!$F$1, IM!$AC$2:$AC$5000))), 0)), "")</f>
        <v>46044</v>
      </c>
      <c r="W92" s="414" t="str">
        <f>IF(VLOOKUP(A92,'0919門市清單主檔'!B:AC,28,FALSE)=0,"",VLOOKUP(A92,'0919門市清單主檔'!B:AC,28,FALSE))</f>
        <v/>
      </c>
    </row>
    <row r="93" spans="1:23" ht="21.6" customHeight="1">
      <c r="A93" s="423">
        <v>5016</v>
      </c>
      <c r="B93" s="416" t="str">
        <f>VLOOKUP(A93,'0919門市清單主檔'!B:C,2,FALSE)</f>
        <v>龜山樂善店</v>
      </c>
      <c r="C93" s="415" t="str">
        <f>VLOOKUP($A93,'0919門市清單主檔'!B:V,20,FALSE)</f>
        <v>桃園市</v>
      </c>
      <c r="D93" s="410" t="str">
        <f>VLOOKUP($A93,'0919門市清單主檔'!B:V,21,FALSE)</f>
        <v>蘆竹區</v>
      </c>
      <c r="E93" s="397" t="str">
        <f>VLOOKUP(D93,門市狀態!G:H,2,FALSE)</f>
        <v>吳宗鴻</v>
      </c>
      <c r="F93" s="410" t="str">
        <f>IFERROR(IF(VLOOKUP(A93,門市狀態!A:D,4,FALSE)=0,"",VLOOKUP(A93,門市狀態!A:D,4,FALSE)),"")</f>
        <v/>
      </c>
      <c r="G93" s="424"/>
      <c r="H93" s="425" t="str">
        <f>IF(I93&gt;0,(TEXT(I93,"yyyymmdd")&amp;勤務統計!$V$2&amp;A93&amp;勤務統計!$V$2&amp;B93&amp;勤務統計!$S$2),"")</f>
        <v>PMQ1-5016-龜山樂善店(定保)</v>
      </c>
      <c r="I93" s="247" t="str">
        <f t="array" ref="I93">IF(AND(SUMPRODUCT((IM!$F$2:$F$5000=A93)*(ISNUMBER(SEARCH(勤務統計!$C$1, IM!$AC$2:$AC$5000))))&gt;0), 勤務統計!$C$1, "")</f>
        <v>PMQ1</v>
      </c>
      <c r="J93" s="399">
        <f t="array" ref="J93">IFERROR(INDEX(IM!$AM$2:$AM$5000, MATCH(1, (IM!$F$2:$F$5000=A93) * (ISNUMBER(SEARCH(勤務統計!$C$1, IM!$AC$2:$AC$5000))), 0)), "")</f>
        <v>46044</v>
      </c>
      <c r="K93" s="400">
        <f t="array" ref="K93">SUMPRODUCT((IM!$F$2:$F$5000=A93)*(IM!$AD$2:$AD$5000="O")*(ISNUMBER(SEARCH(勤務統計!$C$1, IM!$AC$2:$AC$5000))))</f>
        <v>1</v>
      </c>
      <c r="L93" s="401" t="str">
        <f t="array" ref="L93">IF(K93&gt;0,IFERROR(HYPERLINK("#'IM'!AC"&amp;MATCH(1,(IM!$F$1:$F$5000=A93)*(ISNUMBER(SEARCH(勤務統計!$C$1,IM!$AC$1:$AC$5000))),0),"檢核"),"未登錄"),"")</f>
        <v>檢核</v>
      </c>
      <c r="M93" s="402" t="str">
        <f t="shared" si="1"/>
        <v>+L90+721</v>
      </c>
      <c r="N93" s="402" t="str">
        <f t="array" ref="N93">IF(AND(
    SUMPRODUCT(
        (IM!$F$2:$F$522=A93) *
        ISNUMBER(SEARCH("*HUB*", IM!$AC$2:$AC$522)) *
        (IM!$X$2:$X$522&gt;=勤務統計!$A$1) *
        (IM!$X$2:$X$522&lt;=勤務統計!$B$1)*(W93="HUB")
    ) &gt; 0
), "HUB", "")</f>
        <v/>
      </c>
      <c r="O93" s="400" t="str">
        <f>IF(
  IFERROR(VLOOKUP(A93,勤務統計!A:I,9,FALSE),"")&lt;&gt;勤務統計!$C$1,
  "未完工",
  IF(
    AND(勤務統計!$D$1="--",勤務統計!$E$1="--",勤務統計!$F$1="--"),
    "已完工",
    IF(
      OR(
        AND(勤務統計!$D$1&lt;&gt;"--", IFERROR(VLOOKUP(A93,'0919門市清單主檔'!B:AH,31,FALSE),"")=勤務統計!$D$1, IFERROR(VLOOKUP(A93,勤務統計!A:Q,17,FALSE),"")&lt;&gt;勤務統計!$D$1),
        AND(勤務統計!$E$1&lt;&gt;"--", IFERROR(VLOOKUP(A93,'0919門市清單主檔'!B:AH,32,FALSE),"")=勤務統計!$E$1, IFERROR(VLOOKUP(A93,勤務統計!A:S,19,FALSE),"")&lt;&gt;勤務統計!$E$1),
        AND(勤務統計!$F$1&lt;&gt;"--", IFERROR(VLOOKUP(A93,'0919門市清單主檔'!B:AH,33,FALSE),"")=勤務統計!$F$1, IFERROR(VLOOKUP(A93,勤務統計!A:U,21,FALSE),"")&lt;&gt;勤務統計!$F$1),
        AND(IFERROR(VLOOKUP(A93,'0919門市清單主檔'!B:AH,28,FALSE),"")="HUB", IFERROR(VLOOKUP(A93,勤務統計!A:W,23,FALSE),"")&lt;&gt;"HUB")
      ),
      _xlfn.TEXTJOIN(
        "，",
        TRUE,
        IF(AND(勤務統計!$D$1&lt;&gt;"--", IFERROR(VLOOKUP(A93,'0919門市清單主檔'!B:AH,31,FALSE),"")=勤務統計!$D$1, IFERROR(VLOOKUP(A93,勤務統計!A:Q,17,FALSE),"")&lt;&gt;勤務統計!$D$1), 勤務統計!$D$1, ""),
        IF(AND(勤務統計!$E$1&lt;&gt;"--", IFERROR(VLOOKUP(A93,'0919門市清單主檔'!B:AH,32,FALSE),"")=勤務統計!$E$1, IFERROR(VLOOKUP(A93,勤務統計!A:S,19,FALSE),"")&lt;&gt;勤務統計!$E$1), 勤務統計!$E$1, ""),
        IF(AND(勤務統計!$F$1&lt;&gt;"--", IFERROR(VLOOKUP(A93,'0919門市清單主檔'!B:AH,33,FALSE),"")=勤務統計!$F$1, IFERROR(VLOOKUP(A93,勤務統計!A:U,21,FALSE),"")&lt;&gt;勤務統計!$F$1), 勤務統計!$F$1, ""),
        IF(AND(IFERROR(VLOOKUP(A93,'0919門市清單主檔'!B:AH,28,FALSE),"")="HUB", IFERROR(VLOOKUP(A93,勤務統計!A:W,23,FALSE),"")&lt;&gt;"HUB"), "HUB", "")
      ) &amp; "未完工",
      "已完工"
    )
  )
)</f>
        <v>未完工</v>
      </c>
      <c r="P93" s="426" t="str">
        <f>(TEXT(I93,"yyyymmdd"))&amp;勤務統計!$V$2&amp;A93&amp;勤務統計!$V$2&amp;B93&amp;勤務統計!$S$2</f>
        <v>PMQ1-5016-龜山樂善店(定保)</v>
      </c>
      <c r="Q93" s="420" t="str">
        <f t="array" ref="Q93">IF(AND(SUMPRODUCT((IM!$F$2:$F$5000=A93)*(ISNUMBER(SEARCH(勤務統計!$D$1, IM!$AC$2:$AC$5000))))&gt;0), 勤務統計!$D$1, "")</f>
        <v/>
      </c>
      <c r="R93" s="421" t="str">
        <f t="array" ref="R93">IFERROR(INDEX(IM!$AM$2:$AM$5000, MATCH(1, (IM!$F$2:$F$5000=A93) * (ISNUMBER(SEARCH(勤務統計!$D$1, IM!$AC$2:$AC$5000))), 0)), "")</f>
        <v/>
      </c>
      <c r="S93" s="406" t="str" cm="1">
        <f t="array" ref="S93">IF(AND(SUMPRODUCT((IM!$F$2:$F$5000=A93)*(ISNUMBER(SEARCH(勤務統計!$E$1, IM!$AC$2:$AC$5000))))&gt;0), 勤務統計!$E$1, "")</f>
        <v>+L90</v>
      </c>
      <c r="T93" s="422">
        <f t="array" ref="T93">IFERROR(INDEX(IM!$AM$2:$AM$5000, MATCH(1, (IM!$F$2:$F$5000=A93) * (ISNUMBER(SEARCH(勤務統計!$E$1, IM!$AC$2:$AC$5000))), 0)), "")</f>
        <v>46044</v>
      </c>
      <c r="U93" s="406" t="str" cm="1">
        <f t="array" ref="U93">IF(AND(SUMPRODUCT((IM!$F$2:$F$5000=A93)*(ISNUMBER(SEARCH(勤務統計!$F$1, IM!$AC$2:$AC$5000))))&gt;0), 勤務統計!$F$1, "")</f>
        <v>+721</v>
      </c>
      <c r="V93" s="413">
        <f t="array" ref="V93">IFERROR(INDEX(IM!$AM$2:$AM$5000, MATCH(1, (IM!$F$2:$F$5000=A93) * (ISNUMBER(SEARCH(勤務統計!$F$1, IM!$AC$2:$AC$5000))), 0)), "")</f>
        <v>46044</v>
      </c>
      <c r="W93" s="414" t="str">
        <f>IF(VLOOKUP(A93,'0919門市清單主檔'!B:AC,28,FALSE)=0,"",VLOOKUP(A93,'0919門市清單主檔'!B:AC,28,FALSE))</f>
        <v/>
      </c>
    </row>
    <row r="94" spans="1:23" ht="21.6" customHeight="1">
      <c r="A94" s="427">
        <v>4084</v>
      </c>
      <c r="B94" s="416" t="str">
        <f>VLOOKUP(A94,'0919門市清單主檔'!B:C,2,FALSE)</f>
        <v>三重昌隆店</v>
      </c>
      <c r="C94" s="427" t="str">
        <f>VLOOKUP($A94,'0919門市清單主檔'!B:V,20,FALSE)</f>
        <v>新北市</v>
      </c>
      <c r="D94" s="428" t="str">
        <f>VLOOKUP($A94,'0919門市清單主檔'!B:V,21,FALSE)</f>
        <v>三重區</v>
      </c>
      <c r="E94" s="397" t="str">
        <f>VLOOKUP(D94,門市狀態!G:H,2,FALSE)</f>
        <v>劉柏均</v>
      </c>
      <c r="F94" s="410" t="str">
        <f>IFERROR(IF(VLOOKUP(A94,門市狀態!A:D,4,FALSE)=0,"",VLOOKUP(A94,門市狀態!A:D,4,FALSE)),"")</f>
        <v/>
      </c>
      <c r="G94" s="424"/>
      <c r="H94" s="425" t="str">
        <f>IF(I94&gt;0,(TEXT(I94,"yyyymmdd")&amp;勤務統計!$V$2&amp;A94&amp;勤務統計!$V$2&amp;B94&amp;勤務統計!$S$2),"")</f>
        <v>-4084-三重昌隆店(定保)</v>
      </c>
      <c r="I94" s="247" t="str">
        <f t="array" ref="I94">IF(AND(SUMPRODUCT((IM!$F$2:$F$5000=A94)*(ISNUMBER(SEARCH(勤務統計!$C$1, IM!$AC$2:$AC$5000))))&gt;0), 勤務統計!$C$1, "")</f>
        <v/>
      </c>
      <c r="J94" s="399" t="str">
        <f t="array" ref="J94">IFERROR(INDEX(IM!$AM$2:$AM$5000, MATCH(1, (IM!$F$2:$F$5000=A94) * (ISNUMBER(SEARCH(勤務統計!$C$1, IM!$AC$2:$AC$5000))), 0)), "")</f>
        <v/>
      </c>
      <c r="K94" s="400">
        <f t="array" ref="K94">SUMPRODUCT((IM!$F$2:$F$5000=A94)*(IM!$AD$2:$AD$5000="O")*(ISNUMBER(SEARCH(勤務統計!$C$1, IM!$AC$2:$AC$5000))))</f>
        <v>0</v>
      </c>
      <c r="L94" s="401" t="str">
        <f t="array" ref="L94">IF(K94&gt;0,IFERROR(HYPERLINK("#'IM'!AC"&amp;MATCH(1,(IM!$F$1:$F$5000=A94)*(ISNUMBER(SEARCH(勤務統計!$C$1,IM!$AC$1:$AC$5000))),0),"檢核"),"未登錄"),"")</f>
        <v/>
      </c>
      <c r="M94" s="402" t="str">
        <f t="shared" si="1"/>
        <v>+L90</v>
      </c>
      <c r="N94" s="402" t="str">
        <f t="array" ref="N94">IF(AND(
    SUMPRODUCT(
        (IM!$F$2:$F$522=A94) *
        ISNUMBER(SEARCH("*HUB*", IM!$AC$2:$AC$522)) *
        (IM!$X$2:$X$522&gt;=勤務統計!$A$1) *
        (IM!$X$2:$X$522&lt;=勤務統計!$B$1)*(W94="HUB")
    ) &gt; 0
), "HUB", "")</f>
        <v/>
      </c>
      <c r="O94" s="400" t="str">
        <f>IF(
  IFERROR(VLOOKUP(A94,勤務統計!A:I,9,FALSE),"")&lt;&gt;勤務統計!$C$1,
  "未完工",
  IF(
    AND(勤務統計!$D$1="--",勤務統計!$E$1="--",勤務統計!$F$1="--"),
    "已完工",
    IF(
      OR(
        AND(勤務統計!$D$1&lt;&gt;"--", IFERROR(VLOOKUP(A94,'0919門市清單主檔'!B:AH,31,FALSE),"")=勤務統計!$D$1, IFERROR(VLOOKUP(A94,勤務統計!A:Q,17,FALSE),"")&lt;&gt;勤務統計!$D$1),
        AND(勤務統計!$E$1&lt;&gt;"--", IFERROR(VLOOKUP(A94,'0919門市清單主檔'!B:AH,32,FALSE),"")=勤務統計!$E$1, IFERROR(VLOOKUP(A94,勤務統計!A:S,19,FALSE),"")&lt;&gt;勤務統計!$E$1),
        AND(勤務統計!$F$1&lt;&gt;"--", IFERROR(VLOOKUP(A94,'0919門市清單主檔'!B:AH,33,FALSE),"")=勤務統計!$F$1, IFERROR(VLOOKUP(A94,勤務統計!A:U,21,FALSE),"")&lt;&gt;勤務統計!$F$1),
        AND(IFERROR(VLOOKUP(A94,'0919門市清單主檔'!B:AH,28,FALSE),"")="HUB", IFERROR(VLOOKUP(A94,勤務統計!A:W,23,FALSE),"")&lt;&gt;"HUB")
      ),
      _xlfn.TEXTJOIN(
        "，",
        TRUE,
        IF(AND(勤務統計!$D$1&lt;&gt;"--", IFERROR(VLOOKUP(A94,'0919門市清單主檔'!B:AH,31,FALSE),"")=勤務統計!$D$1, IFERROR(VLOOKUP(A94,勤務統計!A:Q,17,FALSE),"")&lt;&gt;勤務統計!$D$1), 勤務統計!$D$1, ""),
        IF(AND(勤務統計!$E$1&lt;&gt;"--", IFERROR(VLOOKUP(A94,'0919門市清單主檔'!B:AH,32,FALSE),"")=勤務統計!$E$1, IFERROR(VLOOKUP(A94,勤務統計!A:S,19,FALSE),"")&lt;&gt;勤務統計!$E$1), 勤務統計!$E$1, ""),
        IF(AND(勤務統計!$F$1&lt;&gt;"--", IFERROR(VLOOKUP(A94,'0919門市清單主檔'!B:AH,33,FALSE),"")=勤務統計!$F$1, IFERROR(VLOOKUP(A94,勤務統計!A:U,21,FALSE),"")&lt;&gt;勤務統計!$F$1), 勤務統計!$F$1, ""),
        IF(AND(IFERROR(VLOOKUP(A94,'0919門市清單主檔'!B:AH,28,FALSE),"")="HUB", IFERROR(VLOOKUP(A94,勤務統計!A:W,23,FALSE),"")&lt;&gt;"HUB"), "HUB", "")
      ) &amp; "未完工",
      "已完工"
    )
  )
)</f>
        <v>未完工</v>
      </c>
      <c r="P94" s="403" t="str">
        <f>(TEXT(I94,"yyyymmdd"))&amp;勤務統計!$V$2&amp;A94&amp;勤務統計!$V$2&amp;B94&amp;勤務統計!$S$2</f>
        <v>-4084-三重昌隆店(定保)</v>
      </c>
      <c r="Q94" s="420" t="str">
        <f t="array" ref="Q94">IF(AND(SUMPRODUCT((IM!$F$2:$F$5000=A94)*(ISNUMBER(SEARCH(勤務統計!$D$1, IM!$AC$2:$AC$5000))))&gt;0), 勤務統計!$D$1, "")</f>
        <v/>
      </c>
      <c r="R94" s="421" t="str">
        <f t="array" ref="R94">IFERROR(INDEX(IM!$AM$2:$AM$5000, MATCH(1, (IM!$F$2:$F$5000=A94) * (ISNUMBER(SEARCH(勤務統計!$D$1, IM!$AC$2:$AC$5000))), 0)), "")</f>
        <v/>
      </c>
      <c r="S94" s="406" t="str" cm="1">
        <f t="array" ref="S94">IF(AND(SUMPRODUCT((IM!$F$2:$F$5000=A94)*(ISNUMBER(SEARCH(勤務統計!$E$1, IM!$AC$2:$AC$5000))))&gt;0), 勤務統計!$E$1, "")</f>
        <v>+L90</v>
      </c>
      <c r="T94" s="422">
        <f t="array" ref="T94">IFERROR(INDEX(IM!$AM$2:$AM$5000, MATCH(1, (IM!$F$2:$F$5000=A94) * (ISNUMBER(SEARCH(勤務統計!$E$1, IM!$AC$2:$AC$5000))), 0)), "")</f>
        <v>46002</v>
      </c>
      <c r="U94" s="406" t="str" cm="1">
        <f t="array" ref="U94">IF(AND(SUMPRODUCT((IM!$F$2:$F$5000=A94)*(ISNUMBER(SEARCH(勤務統計!$F$1, IM!$AC$2:$AC$5000))))&gt;0), 勤務統計!$F$1, "")</f>
        <v/>
      </c>
      <c r="V94" s="413" t="str">
        <f t="array" ref="V94">IFERROR(INDEX(IM!$AM$2:$AM$5000, MATCH(1, (IM!$F$2:$F$5000=A94) * (ISNUMBER(SEARCH(勤務統計!$F$1, IM!$AC$2:$AC$5000))), 0)), "")</f>
        <v/>
      </c>
      <c r="W94" s="414" t="str">
        <f>IF(VLOOKUP(A94,'0919門市清單主檔'!B:AC,28,FALSE)=0,"",VLOOKUP(A94,'0919門市清單主檔'!B:AC,28,FALSE))</f>
        <v/>
      </c>
    </row>
    <row r="95" spans="1:23" ht="21.6" customHeight="1">
      <c r="A95" s="423">
        <v>3627</v>
      </c>
      <c r="B95" s="416" t="str">
        <f>VLOOKUP(A95,'0919門市清單主檔'!B:C,2,FALSE)</f>
        <v>三重重新橋</v>
      </c>
      <c r="C95" s="415" t="str">
        <f>VLOOKUP($A95,'0919門市清單主檔'!B:V,20,FALSE)</f>
        <v>新北市</v>
      </c>
      <c r="D95" s="410" t="str">
        <f>VLOOKUP($A95,'0919門市清單主檔'!B:V,21,FALSE)</f>
        <v>三重區</v>
      </c>
      <c r="E95" s="397" t="str">
        <f>VLOOKUP(D95,門市狀態!G:H,2,FALSE)</f>
        <v>劉柏均</v>
      </c>
      <c r="F95" s="410" t="str">
        <f>IFERROR(IF(VLOOKUP(A95,門市狀態!A:D,4,FALSE)=0,"",VLOOKUP(A95,門市狀態!A:D,4,FALSE)),"")</f>
        <v/>
      </c>
      <c r="G95" s="424"/>
      <c r="H95" s="425" t="str">
        <f>IF(I95&gt;0,(TEXT(I95,"yyyymmdd")&amp;勤務統計!$V$2&amp;A95&amp;勤務統計!$V$2&amp;B95&amp;勤務統計!$S$2),"")</f>
        <v>-3627-三重重新橋(定保)</v>
      </c>
      <c r="I95" s="247" t="str">
        <f t="array" ref="I95">IF(AND(SUMPRODUCT((IM!$F$2:$F$5000=A95)*(ISNUMBER(SEARCH(勤務統計!$C$1, IM!$AC$2:$AC$5000))))&gt;0), 勤務統計!$C$1, "")</f>
        <v/>
      </c>
      <c r="J95" s="399" t="str">
        <f t="array" ref="J95">IFERROR(INDEX(IM!$AM$2:$AM$5000, MATCH(1, (IM!$F$2:$F$5000=A95) * (ISNUMBER(SEARCH(勤務統計!$C$1, IM!$AC$2:$AC$5000))), 0)), "")</f>
        <v/>
      </c>
      <c r="K95" s="400">
        <f t="array" ref="K95">SUMPRODUCT((IM!$F$2:$F$5000=A95)*(IM!$AD$2:$AD$5000="O")*(ISNUMBER(SEARCH(勤務統計!$C$1, IM!$AC$2:$AC$5000))))</f>
        <v>0</v>
      </c>
      <c r="L95" s="401" t="str">
        <f t="array" ref="L95">IF(K95&gt;0,IFERROR(HYPERLINK("#'IM'!AC"&amp;MATCH(1,(IM!$F$1:$F$5000=A95)*(ISNUMBER(SEARCH(勤務統計!$C$1,IM!$AC$1:$AC$5000))),0),"檢核"),"未登錄"),"")</f>
        <v/>
      </c>
      <c r="M95" s="402" t="str">
        <f t="shared" si="1"/>
        <v>+L90</v>
      </c>
      <c r="N95" s="402" t="str">
        <f t="array" ref="N95">IF(AND(
    SUMPRODUCT(
        (IM!$F$2:$F$522=A95) *
        ISNUMBER(SEARCH("*HUB*", IM!$AC$2:$AC$522)) *
        (IM!$X$2:$X$522&gt;=勤務統計!$A$1) *
        (IM!$X$2:$X$522&lt;=勤務統計!$B$1)*(W95="HUB")
    ) &gt; 0
), "HUB", "")</f>
        <v/>
      </c>
      <c r="O95" s="400" t="str">
        <f>IF(
  IFERROR(VLOOKUP(A95,勤務統計!A:I,9,FALSE),"")&lt;&gt;勤務統計!$C$1,
  "未完工",
  IF(
    AND(勤務統計!$D$1="--",勤務統計!$E$1="--",勤務統計!$F$1="--"),
    "已完工",
    IF(
      OR(
        AND(勤務統計!$D$1&lt;&gt;"--", IFERROR(VLOOKUP(A95,'0919門市清單主檔'!B:AH,31,FALSE),"")=勤務統計!$D$1, IFERROR(VLOOKUP(A95,勤務統計!A:Q,17,FALSE),"")&lt;&gt;勤務統計!$D$1),
        AND(勤務統計!$E$1&lt;&gt;"--", IFERROR(VLOOKUP(A95,'0919門市清單主檔'!B:AH,32,FALSE),"")=勤務統計!$E$1, IFERROR(VLOOKUP(A95,勤務統計!A:S,19,FALSE),"")&lt;&gt;勤務統計!$E$1),
        AND(勤務統計!$F$1&lt;&gt;"--", IFERROR(VLOOKUP(A95,'0919門市清單主檔'!B:AH,33,FALSE),"")=勤務統計!$F$1, IFERROR(VLOOKUP(A95,勤務統計!A:U,21,FALSE),"")&lt;&gt;勤務統計!$F$1),
        AND(IFERROR(VLOOKUP(A95,'0919門市清單主檔'!B:AH,28,FALSE),"")="HUB", IFERROR(VLOOKUP(A95,勤務統計!A:W,23,FALSE),"")&lt;&gt;"HUB")
      ),
      _xlfn.TEXTJOIN(
        "，",
        TRUE,
        IF(AND(勤務統計!$D$1&lt;&gt;"--", IFERROR(VLOOKUP(A95,'0919門市清單主檔'!B:AH,31,FALSE),"")=勤務統計!$D$1, IFERROR(VLOOKUP(A95,勤務統計!A:Q,17,FALSE),"")&lt;&gt;勤務統計!$D$1), 勤務統計!$D$1, ""),
        IF(AND(勤務統計!$E$1&lt;&gt;"--", IFERROR(VLOOKUP(A95,'0919門市清單主檔'!B:AH,32,FALSE),"")=勤務統計!$E$1, IFERROR(VLOOKUP(A95,勤務統計!A:S,19,FALSE),"")&lt;&gt;勤務統計!$E$1), 勤務統計!$E$1, ""),
        IF(AND(勤務統計!$F$1&lt;&gt;"--", IFERROR(VLOOKUP(A95,'0919門市清單主檔'!B:AH,33,FALSE),"")=勤務統計!$F$1, IFERROR(VLOOKUP(A95,勤務統計!A:U,21,FALSE),"")&lt;&gt;勤務統計!$F$1), 勤務統計!$F$1, ""),
        IF(AND(IFERROR(VLOOKUP(A95,'0919門市清單主檔'!B:AH,28,FALSE),"")="HUB", IFERROR(VLOOKUP(A95,勤務統計!A:W,23,FALSE),"")&lt;&gt;"HUB"), "HUB", "")
      ) &amp; "未完工",
      "已完工"
    )
  )
)</f>
        <v>未完工</v>
      </c>
      <c r="P95" s="403" t="str">
        <f>(TEXT(I95,"yyyymmdd"))&amp;勤務統計!$V$2&amp;A95&amp;勤務統計!$V$2&amp;B95&amp;勤務統計!$S$2</f>
        <v>-3627-三重重新橋(定保)</v>
      </c>
      <c r="Q95" s="420" t="str">
        <f t="array" ref="Q95">IF(AND(SUMPRODUCT((IM!$F$2:$F$5000=A95)*(ISNUMBER(SEARCH(勤務統計!$D$1, IM!$AC$2:$AC$5000))))&gt;0), 勤務統計!$D$1, "")</f>
        <v/>
      </c>
      <c r="R95" s="421" t="str">
        <f t="array" ref="R95">IFERROR(INDEX(IM!$AM$2:$AM$5000, MATCH(1, (IM!$F$2:$F$5000=A95) * (ISNUMBER(SEARCH(勤務統計!$D$1, IM!$AC$2:$AC$5000))), 0)), "")</f>
        <v/>
      </c>
      <c r="S95" s="406" t="str" cm="1">
        <f t="array" ref="S95">IF(AND(SUMPRODUCT((IM!$F$2:$F$5000=A95)*(ISNUMBER(SEARCH(勤務統計!$E$1, IM!$AC$2:$AC$5000))))&gt;0), 勤務統計!$E$1, "")</f>
        <v>+L90</v>
      </c>
      <c r="T95" s="422">
        <f t="array" ref="T95">IFERROR(INDEX(IM!$AM$2:$AM$5000, MATCH(1, (IM!$F$2:$F$5000=A95) * (ISNUMBER(SEARCH(勤務統計!$E$1, IM!$AC$2:$AC$5000))), 0)), "")</f>
        <v>46002</v>
      </c>
      <c r="U95" s="406" t="str" cm="1">
        <f t="array" ref="U95">IF(AND(SUMPRODUCT((IM!$F$2:$F$5000=A95)*(ISNUMBER(SEARCH(勤務統計!$F$1, IM!$AC$2:$AC$5000))))&gt;0), 勤務統計!$F$1, "")</f>
        <v/>
      </c>
      <c r="V95" s="413" t="str">
        <f t="array" ref="V95">IFERROR(INDEX(IM!$AM$2:$AM$5000, MATCH(1, (IM!$F$2:$F$5000=A95) * (ISNUMBER(SEARCH(勤務統計!$F$1, IM!$AC$2:$AC$5000))), 0)), "")</f>
        <v/>
      </c>
      <c r="W95" s="414" t="str">
        <f>IF(VLOOKUP(A95,'0919門市清單主檔'!B:AC,28,FALSE)=0,"",VLOOKUP(A95,'0919門市清單主檔'!B:AC,28,FALSE))</f>
        <v/>
      </c>
    </row>
    <row r="96" spans="1:23" ht="21.6" customHeight="1">
      <c r="A96" s="423">
        <v>4260</v>
      </c>
      <c r="B96" s="416" t="str">
        <f>VLOOKUP(A96,'0919門市清單主檔'!B:C,2,FALSE)</f>
        <v>三重高中店</v>
      </c>
      <c r="C96" s="415" t="str">
        <f>VLOOKUP($A96,'0919門市清單主檔'!B:V,20,FALSE)</f>
        <v>新北市</v>
      </c>
      <c r="D96" s="410" t="str">
        <f>VLOOKUP($A96,'0919門市清單主檔'!B:V,21,FALSE)</f>
        <v>三重區</v>
      </c>
      <c r="E96" s="397" t="str">
        <f>VLOOKUP(D96,門市狀態!G:H,2,FALSE)</f>
        <v>劉柏均</v>
      </c>
      <c r="F96" s="410" t="str">
        <f>IFERROR(IF(VLOOKUP(A96,門市狀態!A:D,4,FALSE)=0,"",VLOOKUP(A96,門市狀態!A:D,4,FALSE)),"")</f>
        <v/>
      </c>
      <c r="G96" s="424"/>
      <c r="H96" s="425" t="str">
        <f>IF(I96&gt;0,(TEXT(I96,"yyyymmdd")&amp;勤務統計!$V$2&amp;A96&amp;勤務統計!$V$2&amp;B96&amp;勤務統計!$S$2),"")</f>
        <v>-4260-三重高中店(定保)</v>
      </c>
      <c r="I96" s="247" t="str">
        <f t="array" ref="I96">IF(AND(SUMPRODUCT((IM!$F$2:$F$5000=A96)*(ISNUMBER(SEARCH(勤務統計!$C$1, IM!$AC$2:$AC$5000))))&gt;0), 勤務統計!$C$1, "")</f>
        <v/>
      </c>
      <c r="J96" s="399" t="str">
        <f t="array" ref="J96">IFERROR(INDEX(IM!$AM$2:$AM$5000, MATCH(1, (IM!$F$2:$F$5000=A96) * (ISNUMBER(SEARCH(勤務統計!$C$1, IM!$AC$2:$AC$5000))), 0)), "")</f>
        <v/>
      </c>
      <c r="K96" s="400">
        <f t="array" ref="K96">SUMPRODUCT((IM!$F$2:$F$5000=A96)*(IM!$AD$2:$AD$5000="O")*(ISNUMBER(SEARCH(勤務統計!$C$1, IM!$AC$2:$AC$5000))))</f>
        <v>0</v>
      </c>
      <c r="L96" s="401" t="str">
        <f t="array" ref="L96">IF(K96&gt;0,IFERROR(HYPERLINK("#'IM'!AC"&amp;MATCH(1,(IM!$F$1:$F$5000=A96)*(ISNUMBER(SEARCH(勤務統計!$C$1,IM!$AC$1:$AC$5000))),0),"檢核"),"未登錄"),"")</f>
        <v/>
      </c>
      <c r="M96" s="402" t="str">
        <f t="shared" si="1"/>
        <v>+L90</v>
      </c>
      <c r="N96" s="402" t="str">
        <f t="array" ref="N96">IF(AND(
    SUMPRODUCT(
        (IM!$F$2:$F$522=A96) *
        ISNUMBER(SEARCH("*HUB*", IM!$AC$2:$AC$522)) *
        (IM!$X$2:$X$522&gt;=勤務統計!$A$1) *
        (IM!$X$2:$X$522&lt;=勤務統計!$B$1)*(W96="HUB")
    ) &gt; 0
), "HUB", "")</f>
        <v/>
      </c>
      <c r="O96" s="400" t="str">
        <f>IF(
  IFERROR(VLOOKUP(A96,勤務統計!A:I,9,FALSE),"")&lt;&gt;勤務統計!$C$1,
  "未完工",
  IF(
    AND(勤務統計!$D$1="--",勤務統計!$E$1="--",勤務統計!$F$1="--"),
    "已完工",
    IF(
      OR(
        AND(勤務統計!$D$1&lt;&gt;"--", IFERROR(VLOOKUP(A96,'0919門市清單主檔'!B:AH,31,FALSE),"")=勤務統計!$D$1, IFERROR(VLOOKUP(A96,勤務統計!A:Q,17,FALSE),"")&lt;&gt;勤務統計!$D$1),
        AND(勤務統計!$E$1&lt;&gt;"--", IFERROR(VLOOKUP(A96,'0919門市清單主檔'!B:AH,32,FALSE),"")=勤務統計!$E$1, IFERROR(VLOOKUP(A96,勤務統計!A:S,19,FALSE),"")&lt;&gt;勤務統計!$E$1),
        AND(勤務統計!$F$1&lt;&gt;"--", IFERROR(VLOOKUP(A96,'0919門市清單主檔'!B:AH,33,FALSE),"")=勤務統計!$F$1, IFERROR(VLOOKUP(A96,勤務統計!A:U,21,FALSE),"")&lt;&gt;勤務統計!$F$1),
        AND(IFERROR(VLOOKUP(A96,'0919門市清單主檔'!B:AH,28,FALSE),"")="HUB", IFERROR(VLOOKUP(A96,勤務統計!A:W,23,FALSE),"")&lt;&gt;"HUB")
      ),
      _xlfn.TEXTJOIN(
        "，",
        TRUE,
        IF(AND(勤務統計!$D$1&lt;&gt;"--", IFERROR(VLOOKUP(A96,'0919門市清單主檔'!B:AH,31,FALSE),"")=勤務統計!$D$1, IFERROR(VLOOKUP(A96,勤務統計!A:Q,17,FALSE),"")&lt;&gt;勤務統計!$D$1), 勤務統計!$D$1, ""),
        IF(AND(勤務統計!$E$1&lt;&gt;"--", IFERROR(VLOOKUP(A96,'0919門市清單主檔'!B:AH,32,FALSE),"")=勤務統計!$E$1, IFERROR(VLOOKUP(A96,勤務統計!A:S,19,FALSE),"")&lt;&gt;勤務統計!$E$1), 勤務統計!$E$1, ""),
        IF(AND(勤務統計!$F$1&lt;&gt;"--", IFERROR(VLOOKUP(A96,'0919門市清單主檔'!B:AH,33,FALSE),"")=勤務統計!$F$1, IFERROR(VLOOKUP(A96,勤務統計!A:U,21,FALSE),"")&lt;&gt;勤務統計!$F$1), 勤務統計!$F$1, ""),
        IF(AND(IFERROR(VLOOKUP(A96,'0919門市清單主檔'!B:AH,28,FALSE),"")="HUB", IFERROR(VLOOKUP(A96,勤務統計!A:W,23,FALSE),"")&lt;&gt;"HUB"), "HUB", "")
      ) &amp; "未完工",
      "已完工"
    )
  )
)</f>
        <v>未完工</v>
      </c>
      <c r="P96" s="403" t="str">
        <f>(TEXT(I96,"yyyymmdd"))&amp;勤務統計!$V$2&amp;A96&amp;勤務統計!$V$2&amp;B96&amp;勤務統計!$S$2</f>
        <v>-4260-三重高中店(定保)</v>
      </c>
      <c r="Q96" s="420" t="str">
        <f t="array" ref="Q96">IF(AND(SUMPRODUCT((IM!$F$2:$F$5000=A96)*(ISNUMBER(SEARCH(勤務統計!$D$1, IM!$AC$2:$AC$5000))))&gt;0), 勤務統計!$D$1, "")</f>
        <v/>
      </c>
      <c r="R96" s="421" t="str">
        <f t="array" ref="R96">IFERROR(INDEX(IM!$AM$2:$AM$5000, MATCH(1, (IM!$F$2:$F$5000=A96) * (ISNUMBER(SEARCH(勤務統計!$D$1, IM!$AC$2:$AC$5000))), 0)), "")</f>
        <v/>
      </c>
      <c r="S96" s="406" t="str" cm="1">
        <f t="array" ref="S96">IF(AND(SUMPRODUCT((IM!$F$2:$F$5000=A96)*(ISNUMBER(SEARCH(勤務統計!$E$1, IM!$AC$2:$AC$5000))))&gt;0), 勤務統計!$E$1, "")</f>
        <v>+L90</v>
      </c>
      <c r="T96" s="422">
        <f t="array" ref="T96">IFERROR(INDEX(IM!$AM$2:$AM$5000, MATCH(1, (IM!$F$2:$F$5000=A96) * (ISNUMBER(SEARCH(勤務統計!$E$1, IM!$AC$2:$AC$5000))), 0)), "")</f>
        <v>46002</v>
      </c>
      <c r="U96" s="406" t="str" cm="1">
        <f t="array" ref="U96">IF(AND(SUMPRODUCT((IM!$F$2:$F$5000=A96)*(ISNUMBER(SEARCH(勤務統計!$F$1, IM!$AC$2:$AC$5000))))&gt;0), 勤務統計!$F$1, "")</f>
        <v/>
      </c>
      <c r="V96" s="413" t="str">
        <f t="array" ref="V96">IFERROR(INDEX(IM!$AM$2:$AM$5000, MATCH(1, (IM!$F$2:$F$5000=A96) * (ISNUMBER(SEARCH(勤務統計!$F$1, IM!$AC$2:$AC$5000))), 0)), "")</f>
        <v/>
      </c>
      <c r="W96" s="414" t="str">
        <f>IF(VLOOKUP(A96,'0919門市清單主檔'!B:AC,28,FALSE)=0,"",VLOOKUP(A96,'0919門市清單主檔'!B:AC,28,FALSE))</f>
        <v/>
      </c>
    </row>
    <row r="97" spans="1:23" ht="21.6" customHeight="1">
      <c r="A97" s="423" t="s">
        <v>57</v>
      </c>
      <c r="B97" s="416" t="str">
        <f>VLOOKUP(A97,'0919門市清單主檔'!B:C,2,FALSE)</f>
        <v>三重大有店</v>
      </c>
      <c r="C97" s="415" t="str">
        <f>VLOOKUP($A97,'0919門市清單主檔'!B:V,20,FALSE)</f>
        <v>新北市</v>
      </c>
      <c r="D97" s="410" t="str">
        <f>VLOOKUP($A97,'0919門市清單主檔'!B:V,21,FALSE)</f>
        <v>三重區</v>
      </c>
      <c r="E97" s="397" t="str">
        <f>VLOOKUP(D97,門市狀態!G:H,2,FALSE)</f>
        <v>劉柏均</v>
      </c>
      <c r="F97" s="410" t="str">
        <f>IFERROR(IF(VLOOKUP(A97,門市狀態!A:D,4,FALSE)=0,"",VLOOKUP(A97,門市狀態!A:D,4,FALSE)),"")</f>
        <v/>
      </c>
      <c r="G97" s="424"/>
      <c r="H97" s="425" t="str">
        <f>IF(I97&gt;0,(TEXT(I97,"yyyymmdd")&amp;勤務統計!$V$2&amp;A97&amp;勤務統計!$V$2&amp;B97&amp;勤務統計!$S$2),"")</f>
        <v>-D390-三重大有店(定保)</v>
      </c>
      <c r="I97" s="247" t="str">
        <f t="array" ref="I97">IF(AND(SUMPRODUCT((IM!$F$2:$F$5000=A97)*(ISNUMBER(SEARCH(勤務統計!$C$1, IM!$AC$2:$AC$5000))))&gt;0), 勤務統計!$C$1, "")</f>
        <v/>
      </c>
      <c r="J97" s="399" t="str">
        <f t="array" ref="J97">IFERROR(INDEX(IM!$AM$2:$AM$5000, MATCH(1, (IM!$F$2:$F$5000=A97) * (ISNUMBER(SEARCH(勤務統計!$C$1, IM!$AC$2:$AC$5000))), 0)), "")</f>
        <v/>
      </c>
      <c r="K97" s="400">
        <f t="array" ref="K97">SUMPRODUCT((IM!$F$2:$F$5000=A97)*(IM!$AD$2:$AD$5000="O")*(ISNUMBER(SEARCH(勤務統計!$C$1, IM!$AC$2:$AC$5000))))</f>
        <v>0</v>
      </c>
      <c r="L97" s="401" t="str">
        <f t="array" ref="L97">IF(K97&gt;0,IFERROR(HYPERLINK("#'IM'!AC"&amp;MATCH(1,(IM!$F$1:$F$5000=A97)*(ISNUMBER(SEARCH(勤務統計!$C$1,IM!$AC$1:$AC$5000))),0),"檢核"),"未登錄"),"")</f>
        <v/>
      </c>
      <c r="M97" s="402" t="str">
        <f t="shared" si="1"/>
        <v>+L90</v>
      </c>
      <c r="N97" s="402" t="str">
        <f t="array" ref="N97">IF(AND(
    SUMPRODUCT(
        (IM!$F$2:$F$522=A97) *
        ISNUMBER(SEARCH("*HUB*", IM!$AC$2:$AC$522)) *
        (IM!$X$2:$X$522&gt;=勤務統計!$A$1) *
        (IM!$X$2:$X$522&lt;=勤務統計!$B$1)*(W97="HUB")
    ) &gt; 0
), "HUB", "")</f>
        <v/>
      </c>
      <c r="O97" s="400" t="str">
        <f>IF(
  IFERROR(VLOOKUP(A97,勤務統計!A:I,9,FALSE),"")&lt;&gt;勤務統計!$C$1,
  "未完工",
  IF(
    AND(勤務統計!$D$1="--",勤務統計!$E$1="--",勤務統計!$F$1="--"),
    "已完工",
    IF(
      OR(
        AND(勤務統計!$D$1&lt;&gt;"--", IFERROR(VLOOKUP(A97,'0919門市清單主檔'!B:AH,31,FALSE),"")=勤務統計!$D$1, IFERROR(VLOOKUP(A97,勤務統計!A:Q,17,FALSE),"")&lt;&gt;勤務統計!$D$1),
        AND(勤務統計!$E$1&lt;&gt;"--", IFERROR(VLOOKUP(A97,'0919門市清單主檔'!B:AH,32,FALSE),"")=勤務統計!$E$1, IFERROR(VLOOKUP(A97,勤務統計!A:S,19,FALSE),"")&lt;&gt;勤務統計!$E$1),
        AND(勤務統計!$F$1&lt;&gt;"--", IFERROR(VLOOKUP(A97,'0919門市清單主檔'!B:AH,33,FALSE),"")=勤務統計!$F$1, IFERROR(VLOOKUP(A97,勤務統計!A:U,21,FALSE),"")&lt;&gt;勤務統計!$F$1),
        AND(IFERROR(VLOOKUP(A97,'0919門市清單主檔'!B:AH,28,FALSE),"")="HUB", IFERROR(VLOOKUP(A97,勤務統計!A:W,23,FALSE),"")&lt;&gt;"HUB")
      ),
      _xlfn.TEXTJOIN(
        "，",
        TRUE,
        IF(AND(勤務統計!$D$1&lt;&gt;"--", IFERROR(VLOOKUP(A97,'0919門市清單主檔'!B:AH,31,FALSE),"")=勤務統計!$D$1, IFERROR(VLOOKUP(A97,勤務統計!A:Q,17,FALSE),"")&lt;&gt;勤務統計!$D$1), 勤務統計!$D$1, ""),
        IF(AND(勤務統計!$E$1&lt;&gt;"--", IFERROR(VLOOKUP(A97,'0919門市清單主檔'!B:AH,32,FALSE),"")=勤務統計!$E$1, IFERROR(VLOOKUP(A97,勤務統計!A:S,19,FALSE),"")&lt;&gt;勤務統計!$E$1), 勤務統計!$E$1, ""),
        IF(AND(勤務統計!$F$1&lt;&gt;"--", IFERROR(VLOOKUP(A97,'0919門市清單主檔'!B:AH,33,FALSE),"")=勤務統計!$F$1, IFERROR(VLOOKUP(A97,勤務統計!A:U,21,FALSE),"")&lt;&gt;勤務統計!$F$1), 勤務統計!$F$1, ""),
        IF(AND(IFERROR(VLOOKUP(A97,'0919門市清單主檔'!B:AH,28,FALSE),"")="HUB", IFERROR(VLOOKUP(A97,勤務統計!A:W,23,FALSE),"")&lt;&gt;"HUB"), "HUB", "")
      ) &amp; "未完工",
      "已完工"
    )
  )
)</f>
        <v>未完工</v>
      </c>
      <c r="P97" s="403" t="str">
        <f>(TEXT(I97,"yyyymmdd"))&amp;勤務統計!$V$2&amp;A97&amp;勤務統計!$V$2&amp;B97&amp;勤務統計!$S$2</f>
        <v>-D390-三重大有店(定保)</v>
      </c>
      <c r="Q97" s="420" t="str">
        <f t="array" ref="Q97">IF(AND(SUMPRODUCT((IM!$F$2:$F$5000=A97)*(ISNUMBER(SEARCH(勤務統計!$D$1, IM!$AC$2:$AC$5000))))&gt;0), 勤務統計!$D$1, "")</f>
        <v/>
      </c>
      <c r="R97" s="421" t="str">
        <f t="array" ref="R97">IFERROR(INDEX(IM!$AM$2:$AM$5000, MATCH(1, (IM!$F$2:$F$5000=A97) * (ISNUMBER(SEARCH(勤務統計!$D$1, IM!$AC$2:$AC$5000))), 0)), "")</f>
        <v/>
      </c>
      <c r="S97" s="406" t="str" cm="1">
        <f t="array" ref="S97">IF(AND(SUMPRODUCT((IM!$F$2:$F$5000=A97)*(ISNUMBER(SEARCH(勤務統計!$E$1, IM!$AC$2:$AC$5000))))&gt;0), 勤務統計!$E$1, "")</f>
        <v>+L90</v>
      </c>
      <c r="T97" s="422">
        <f t="array" ref="T97">IFERROR(INDEX(IM!$AM$2:$AM$5000, MATCH(1, (IM!$F$2:$F$5000=A97) * (ISNUMBER(SEARCH(勤務統計!$E$1, IM!$AC$2:$AC$5000))), 0)), "")</f>
        <v>45993</v>
      </c>
      <c r="U97" s="406" t="str" cm="1">
        <f t="array" ref="U97">IF(AND(SUMPRODUCT((IM!$F$2:$F$5000=A97)*(ISNUMBER(SEARCH(勤務統計!$F$1, IM!$AC$2:$AC$5000))))&gt;0), 勤務統計!$F$1, "")</f>
        <v/>
      </c>
      <c r="V97" s="413" t="str">
        <f t="array" ref="V97">IFERROR(INDEX(IM!$AM$2:$AM$5000, MATCH(1, (IM!$F$2:$F$5000=A97) * (ISNUMBER(SEARCH(勤務統計!$F$1, IM!$AC$2:$AC$5000))), 0)), "")</f>
        <v/>
      </c>
      <c r="W97" s="414" t="str">
        <f>IF(VLOOKUP(A97,'0919門市清單主檔'!B:AC,28,FALSE)=0,"",VLOOKUP(A97,'0919門市清單主檔'!B:AC,28,FALSE))</f>
        <v/>
      </c>
    </row>
    <row r="98" spans="1:23" ht="21.6" customHeight="1">
      <c r="A98" s="423">
        <v>4397</v>
      </c>
      <c r="B98" s="416" t="str">
        <f>VLOOKUP(A98,'0919門市清單主檔'!B:C,2,FALSE)</f>
        <v>三重仁旺店</v>
      </c>
      <c r="C98" s="415" t="str">
        <f>VLOOKUP($A98,'0919門市清單主檔'!B:V,20,FALSE)</f>
        <v>新北市</v>
      </c>
      <c r="D98" s="410" t="str">
        <f>VLOOKUP($A98,'0919門市清單主檔'!B:V,21,FALSE)</f>
        <v>三重區</v>
      </c>
      <c r="E98" s="397" t="str">
        <f>VLOOKUP(D98,門市狀態!G:H,2,FALSE)</f>
        <v>劉柏均</v>
      </c>
      <c r="F98" s="410" t="str">
        <f>IFERROR(IF(VLOOKUP(A98,門市狀態!A:D,4,FALSE)=0,"",VLOOKUP(A98,門市狀態!A:D,4,FALSE)),"")</f>
        <v/>
      </c>
      <c r="G98" s="424"/>
      <c r="H98" s="425" t="str">
        <f>IF(I98&gt;0,(TEXT(I98,"yyyymmdd")&amp;勤務統計!$V$2&amp;A98&amp;勤務統計!$V$2&amp;B98&amp;勤務統計!$S$2),"")</f>
        <v>-4397-三重仁旺店(定保)</v>
      </c>
      <c r="I98" s="247" t="str">
        <f t="array" ref="I98">IF(AND(SUMPRODUCT((IM!$F$2:$F$5000=A98)*(ISNUMBER(SEARCH(勤務統計!$C$1, IM!$AC$2:$AC$5000))))&gt;0), 勤務統計!$C$1, "")</f>
        <v/>
      </c>
      <c r="J98" s="399" t="str">
        <f t="array" ref="J98">IFERROR(INDEX(IM!$AM$2:$AM$5000, MATCH(1, (IM!$F$2:$F$5000=A98) * (ISNUMBER(SEARCH(勤務統計!$C$1, IM!$AC$2:$AC$5000))), 0)), "")</f>
        <v/>
      </c>
      <c r="K98" s="400">
        <f t="array" ref="K98">SUMPRODUCT((IM!$F$2:$F$5000=A98)*(IM!$AD$2:$AD$5000="O")*(ISNUMBER(SEARCH(勤務統計!$C$1, IM!$AC$2:$AC$5000))))</f>
        <v>0</v>
      </c>
      <c r="L98" s="401" t="str">
        <f t="array" ref="L98">IF(K98&gt;0,IFERROR(HYPERLINK("#'IM'!AC"&amp;MATCH(1,(IM!$F$1:$F$5000=A98)*(ISNUMBER(SEARCH(勤務統計!$C$1,IM!$AC$1:$AC$5000))),0),"檢核"),"未登錄"),"")</f>
        <v/>
      </c>
      <c r="M98" s="402" t="str">
        <f t="shared" si="1"/>
        <v>+L90</v>
      </c>
      <c r="N98" s="402" t="str">
        <f t="array" ref="N98">IF(AND(
    SUMPRODUCT(
        (IM!$F$2:$F$522=A98) *
        ISNUMBER(SEARCH("*HUB*", IM!$AC$2:$AC$522)) *
        (IM!$X$2:$X$522&gt;=勤務統計!$A$1) *
        (IM!$X$2:$X$522&lt;=勤務統計!$B$1)*(W98="HUB")
    ) &gt; 0
), "HUB", "")</f>
        <v/>
      </c>
      <c r="O98" s="400" t="str">
        <f>IF(
  IFERROR(VLOOKUP(A98,勤務統計!A:I,9,FALSE),"")&lt;&gt;勤務統計!$C$1,
  "未完工",
  IF(
    AND(勤務統計!$D$1="--",勤務統計!$E$1="--",勤務統計!$F$1="--"),
    "已完工",
    IF(
      OR(
        AND(勤務統計!$D$1&lt;&gt;"--", IFERROR(VLOOKUP(A98,'0919門市清單主檔'!B:AH,31,FALSE),"")=勤務統計!$D$1, IFERROR(VLOOKUP(A98,勤務統計!A:Q,17,FALSE),"")&lt;&gt;勤務統計!$D$1),
        AND(勤務統計!$E$1&lt;&gt;"--", IFERROR(VLOOKUP(A98,'0919門市清單主檔'!B:AH,32,FALSE),"")=勤務統計!$E$1, IFERROR(VLOOKUP(A98,勤務統計!A:S,19,FALSE),"")&lt;&gt;勤務統計!$E$1),
        AND(勤務統計!$F$1&lt;&gt;"--", IFERROR(VLOOKUP(A98,'0919門市清單主檔'!B:AH,33,FALSE),"")=勤務統計!$F$1, IFERROR(VLOOKUP(A98,勤務統計!A:U,21,FALSE),"")&lt;&gt;勤務統計!$F$1),
        AND(IFERROR(VLOOKUP(A98,'0919門市清單主檔'!B:AH,28,FALSE),"")="HUB", IFERROR(VLOOKUP(A98,勤務統計!A:W,23,FALSE),"")&lt;&gt;"HUB")
      ),
      _xlfn.TEXTJOIN(
        "，",
        TRUE,
        IF(AND(勤務統計!$D$1&lt;&gt;"--", IFERROR(VLOOKUP(A98,'0919門市清單主檔'!B:AH,31,FALSE),"")=勤務統計!$D$1, IFERROR(VLOOKUP(A98,勤務統計!A:Q,17,FALSE),"")&lt;&gt;勤務統計!$D$1), 勤務統計!$D$1, ""),
        IF(AND(勤務統計!$E$1&lt;&gt;"--", IFERROR(VLOOKUP(A98,'0919門市清單主檔'!B:AH,32,FALSE),"")=勤務統計!$E$1, IFERROR(VLOOKUP(A98,勤務統計!A:S,19,FALSE),"")&lt;&gt;勤務統計!$E$1), 勤務統計!$E$1, ""),
        IF(AND(勤務統計!$F$1&lt;&gt;"--", IFERROR(VLOOKUP(A98,'0919門市清單主檔'!B:AH,33,FALSE),"")=勤務統計!$F$1, IFERROR(VLOOKUP(A98,勤務統計!A:U,21,FALSE),"")&lt;&gt;勤務統計!$F$1), 勤務統計!$F$1, ""),
        IF(AND(IFERROR(VLOOKUP(A98,'0919門市清單主檔'!B:AH,28,FALSE),"")="HUB", IFERROR(VLOOKUP(A98,勤務統計!A:W,23,FALSE),"")&lt;&gt;"HUB"), "HUB", "")
      ) &amp; "未完工",
      "已完工"
    )
  )
)</f>
        <v>未完工</v>
      </c>
      <c r="P98" s="403" t="str">
        <f>(TEXT(I98,"yyyymmdd"))&amp;勤務統計!$V$2&amp;A98&amp;勤務統計!$V$2&amp;B98&amp;勤務統計!$S$2</f>
        <v>-4397-三重仁旺店(定保)</v>
      </c>
      <c r="Q98" s="420" t="str">
        <f t="array" ref="Q98">IF(AND(SUMPRODUCT((IM!$F$2:$F$5000=A98)*(ISNUMBER(SEARCH(勤務統計!$D$1, IM!$AC$2:$AC$5000))))&gt;0), 勤務統計!$D$1, "")</f>
        <v/>
      </c>
      <c r="R98" s="421" t="str">
        <f t="array" ref="R98">IFERROR(INDEX(IM!$AM$2:$AM$5000, MATCH(1, (IM!$F$2:$F$5000=A98) * (ISNUMBER(SEARCH(勤務統計!$D$1, IM!$AC$2:$AC$5000))), 0)), "")</f>
        <v/>
      </c>
      <c r="S98" s="406" t="str" cm="1">
        <f t="array" ref="S98">IF(AND(SUMPRODUCT((IM!$F$2:$F$5000=A98)*(ISNUMBER(SEARCH(勤務統計!$E$1, IM!$AC$2:$AC$5000))))&gt;0), 勤務統計!$E$1, "")</f>
        <v>+L90</v>
      </c>
      <c r="T98" s="422">
        <f t="array" ref="T98">IFERROR(INDEX(IM!$AM$2:$AM$5000, MATCH(1, (IM!$F$2:$F$5000=A98) * (ISNUMBER(SEARCH(勤務統計!$E$1, IM!$AC$2:$AC$5000))), 0)), "")</f>
        <v>46002</v>
      </c>
      <c r="U98" s="406" t="str" cm="1">
        <f t="array" ref="U98">IF(AND(SUMPRODUCT((IM!$F$2:$F$5000=A98)*(ISNUMBER(SEARCH(勤務統計!$F$1, IM!$AC$2:$AC$5000))))&gt;0), 勤務統計!$F$1, "")</f>
        <v/>
      </c>
      <c r="V98" s="413" t="str">
        <f t="array" ref="V98">IFERROR(INDEX(IM!$AM$2:$AM$5000, MATCH(1, (IM!$F$2:$F$5000=A98) * (ISNUMBER(SEARCH(勤務統計!$F$1, IM!$AC$2:$AC$5000))), 0)), "")</f>
        <v/>
      </c>
      <c r="W98" s="414" t="str">
        <f>IF(VLOOKUP(A98,'0919門市清單主檔'!B:AC,28,FALSE)=0,"",VLOOKUP(A98,'0919門市清單主檔'!B:AC,28,FALSE))</f>
        <v/>
      </c>
    </row>
    <row r="99" spans="1:23" ht="21.6" customHeight="1">
      <c r="A99" s="423">
        <v>4586</v>
      </c>
      <c r="B99" s="416" t="str">
        <f>VLOOKUP(A99,'0919門市清單主檔'!B:C,2,FALSE)</f>
        <v>三重三文店</v>
      </c>
      <c r="C99" s="415" t="str">
        <f>VLOOKUP($A99,'0919門市清單主檔'!B:V,20,FALSE)</f>
        <v>新北市</v>
      </c>
      <c r="D99" s="410" t="str">
        <f>VLOOKUP($A99,'0919門市清單主檔'!B:V,21,FALSE)</f>
        <v>三重區</v>
      </c>
      <c r="E99" s="397" t="str">
        <f>VLOOKUP(D99,門市狀態!G:H,2,FALSE)</f>
        <v>劉柏均</v>
      </c>
      <c r="F99" s="410" t="str">
        <f>IFERROR(IF(VLOOKUP(A99,門市狀態!A:D,4,FALSE)=0,"",VLOOKUP(A99,門市狀態!A:D,4,FALSE)),"")</f>
        <v/>
      </c>
      <c r="G99" s="424"/>
      <c r="H99" s="425" t="str">
        <f>IF(I99&gt;0,(TEXT(I99,"yyyymmdd")&amp;勤務統計!$V$2&amp;A99&amp;勤務統計!$V$2&amp;B99&amp;勤務統計!$S$2),"")</f>
        <v>-4586-三重三文店(定保)</v>
      </c>
      <c r="I99" s="247" t="str">
        <f t="array" ref="I99">IF(AND(SUMPRODUCT((IM!$F$2:$F$5000=A99)*(ISNUMBER(SEARCH(勤務統計!$C$1, IM!$AC$2:$AC$5000))))&gt;0), 勤務統計!$C$1, "")</f>
        <v/>
      </c>
      <c r="J99" s="399" t="str">
        <f t="array" ref="J99">IFERROR(INDEX(IM!$AM$2:$AM$5000, MATCH(1, (IM!$F$2:$F$5000=A99) * (ISNUMBER(SEARCH(勤務統計!$C$1, IM!$AC$2:$AC$5000))), 0)), "")</f>
        <v/>
      </c>
      <c r="K99" s="400">
        <f t="array" ref="K99">SUMPRODUCT((IM!$F$2:$F$5000=A99)*(IM!$AD$2:$AD$5000="O")*(ISNUMBER(SEARCH(勤務統計!$C$1, IM!$AC$2:$AC$5000))))</f>
        <v>0</v>
      </c>
      <c r="L99" s="401" t="str">
        <f t="array" ref="L99">IF(K99&gt;0,IFERROR(HYPERLINK("#'IM'!AC"&amp;MATCH(1,(IM!$F$1:$F$5000=A99)*(ISNUMBER(SEARCH(勤務統計!$C$1,IM!$AC$1:$AC$5000))),0),"檢核"),"未登錄"),"")</f>
        <v/>
      </c>
      <c r="M99" s="402" t="str">
        <f t="shared" si="1"/>
        <v>+L90</v>
      </c>
      <c r="N99" s="402" t="str">
        <f t="array" ref="N99">IF(AND(
    SUMPRODUCT(
        (IM!$F$2:$F$522=A99) *
        ISNUMBER(SEARCH("*HUB*", IM!$AC$2:$AC$522)) *
        (IM!$X$2:$X$522&gt;=勤務統計!$A$1) *
        (IM!$X$2:$X$522&lt;=勤務統計!$B$1)*(W99="HUB")
    ) &gt; 0
), "HUB", "")</f>
        <v/>
      </c>
      <c r="O99" s="400" t="str">
        <f>IF(
  IFERROR(VLOOKUP(A99,勤務統計!A:I,9,FALSE),"")&lt;&gt;勤務統計!$C$1,
  "未完工",
  IF(
    AND(勤務統計!$D$1="--",勤務統計!$E$1="--",勤務統計!$F$1="--"),
    "已完工",
    IF(
      OR(
        AND(勤務統計!$D$1&lt;&gt;"--", IFERROR(VLOOKUP(A99,'0919門市清單主檔'!B:AH,31,FALSE),"")=勤務統計!$D$1, IFERROR(VLOOKUP(A99,勤務統計!A:Q,17,FALSE),"")&lt;&gt;勤務統計!$D$1),
        AND(勤務統計!$E$1&lt;&gt;"--", IFERROR(VLOOKUP(A99,'0919門市清單主檔'!B:AH,32,FALSE),"")=勤務統計!$E$1, IFERROR(VLOOKUP(A99,勤務統計!A:S,19,FALSE),"")&lt;&gt;勤務統計!$E$1),
        AND(勤務統計!$F$1&lt;&gt;"--", IFERROR(VLOOKUP(A99,'0919門市清單主檔'!B:AH,33,FALSE),"")=勤務統計!$F$1, IFERROR(VLOOKUP(A99,勤務統計!A:U,21,FALSE),"")&lt;&gt;勤務統計!$F$1),
        AND(IFERROR(VLOOKUP(A99,'0919門市清單主檔'!B:AH,28,FALSE),"")="HUB", IFERROR(VLOOKUP(A99,勤務統計!A:W,23,FALSE),"")&lt;&gt;"HUB")
      ),
      _xlfn.TEXTJOIN(
        "，",
        TRUE,
        IF(AND(勤務統計!$D$1&lt;&gt;"--", IFERROR(VLOOKUP(A99,'0919門市清單主檔'!B:AH,31,FALSE),"")=勤務統計!$D$1, IFERROR(VLOOKUP(A99,勤務統計!A:Q,17,FALSE),"")&lt;&gt;勤務統計!$D$1), 勤務統計!$D$1, ""),
        IF(AND(勤務統計!$E$1&lt;&gt;"--", IFERROR(VLOOKUP(A99,'0919門市清單主檔'!B:AH,32,FALSE),"")=勤務統計!$E$1, IFERROR(VLOOKUP(A99,勤務統計!A:S,19,FALSE),"")&lt;&gt;勤務統計!$E$1), 勤務統計!$E$1, ""),
        IF(AND(勤務統計!$F$1&lt;&gt;"--", IFERROR(VLOOKUP(A99,'0919門市清單主檔'!B:AH,33,FALSE),"")=勤務統計!$F$1, IFERROR(VLOOKUP(A99,勤務統計!A:U,21,FALSE),"")&lt;&gt;勤務統計!$F$1), 勤務統計!$F$1, ""),
        IF(AND(IFERROR(VLOOKUP(A99,'0919門市清單主檔'!B:AH,28,FALSE),"")="HUB", IFERROR(VLOOKUP(A99,勤務統計!A:W,23,FALSE),"")&lt;&gt;"HUB"), "HUB", "")
      ) &amp; "未完工",
      "已完工"
    )
  )
)</f>
        <v>未完工</v>
      </c>
      <c r="P99" s="403" t="str">
        <f>(TEXT(I99,"yyyymmdd"))&amp;勤務統計!$V$2&amp;A99&amp;勤務統計!$V$2&amp;B99&amp;勤務統計!$S$2</f>
        <v>-4586-三重三文店(定保)</v>
      </c>
      <c r="Q99" s="420" t="str">
        <f t="array" ref="Q99">IF(AND(SUMPRODUCT((IM!$F$2:$F$5000=A99)*(ISNUMBER(SEARCH(勤務統計!$D$1, IM!$AC$2:$AC$5000))))&gt;0), 勤務統計!$D$1, "")</f>
        <v/>
      </c>
      <c r="R99" s="421" t="str">
        <f t="array" ref="R99">IFERROR(INDEX(IM!$AM$2:$AM$5000, MATCH(1, (IM!$F$2:$F$5000=A99) * (ISNUMBER(SEARCH(勤務統計!$D$1, IM!$AC$2:$AC$5000))), 0)), "")</f>
        <v/>
      </c>
      <c r="S99" s="406" t="str" cm="1">
        <f t="array" ref="S99">IF(AND(SUMPRODUCT((IM!$F$2:$F$5000=A99)*(ISNUMBER(SEARCH(勤務統計!$E$1, IM!$AC$2:$AC$5000))))&gt;0), 勤務統計!$E$1, "")</f>
        <v>+L90</v>
      </c>
      <c r="T99" s="422">
        <f t="array" ref="T99">IFERROR(INDEX(IM!$AM$2:$AM$5000, MATCH(1, (IM!$F$2:$F$5000=A99) * (ISNUMBER(SEARCH(勤務統計!$E$1, IM!$AC$2:$AC$5000))), 0)), "")</f>
        <v>46002</v>
      </c>
      <c r="U99" s="406" t="str" cm="1">
        <f t="array" ref="U99">IF(AND(SUMPRODUCT((IM!$F$2:$F$5000=A99)*(ISNUMBER(SEARCH(勤務統計!$F$1, IM!$AC$2:$AC$5000))))&gt;0), 勤務統計!$F$1, "")</f>
        <v/>
      </c>
      <c r="V99" s="413" t="str">
        <f t="array" ref="V99">IFERROR(INDEX(IM!$AM$2:$AM$5000, MATCH(1, (IM!$F$2:$F$5000=A99) * (ISNUMBER(SEARCH(勤務統計!$F$1, IM!$AC$2:$AC$5000))), 0)), "")</f>
        <v/>
      </c>
      <c r="W99" s="414" t="str">
        <f>IF(VLOOKUP(A99,'0919門市清單主檔'!B:AC,28,FALSE)=0,"",VLOOKUP(A99,'0919門市清單主檔'!B:AC,28,FALSE))</f>
        <v/>
      </c>
    </row>
    <row r="100" spans="1:23" ht="21.6" customHeight="1">
      <c r="A100" s="423">
        <v>3840</v>
      </c>
      <c r="B100" s="416" t="str">
        <f>VLOOKUP(A100,'0919門市清單主檔'!B:C,2,FALSE)</f>
        <v>北縣天龍店</v>
      </c>
      <c r="C100" s="415" t="str">
        <f>VLOOKUP($A100,'0919門市清單主檔'!B:V,20,FALSE)</f>
        <v>新北市</v>
      </c>
      <c r="D100" s="410" t="str">
        <f>VLOOKUP($A100,'0919門市清單主檔'!B:V,21,FALSE)</f>
        <v>三重區</v>
      </c>
      <c r="E100" s="397" t="str">
        <f>VLOOKUP(D100,門市狀態!G:H,2,FALSE)</f>
        <v>劉柏均</v>
      </c>
      <c r="F100" s="410" t="str">
        <f>IFERROR(IF(VLOOKUP(A100,門市狀態!A:D,4,FALSE)=0,"",VLOOKUP(A100,門市狀態!A:D,4,FALSE)),"")</f>
        <v/>
      </c>
      <c r="G100" s="424"/>
      <c r="H100" s="425" t="str">
        <f>IF(I100&gt;0,(TEXT(I100,"yyyymmdd")&amp;勤務統計!$V$2&amp;A100&amp;勤務統計!$V$2&amp;B100&amp;勤務統計!$S$2),"")</f>
        <v>-3840-北縣天龍店(定保)</v>
      </c>
      <c r="I100" s="247" t="str">
        <f t="array" ref="I100">IF(AND(SUMPRODUCT((IM!$F$2:$F$5000=A100)*(ISNUMBER(SEARCH(勤務統計!$C$1, IM!$AC$2:$AC$5000))))&gt;0), 勤務統計!$C$1, "")</f>
        <v/>
      </c>
      <c r="J100" s="399" t="str">
        <f t="array" ref="J100">IFERROR(INDEX(IM!$AM$2:$AM$5000, MATCH(1, (IM!$F$2:$F$5000=A100) * (ISNUMBER(SEARCH(勤務統計!$C$1, IM!$AC$2:$AC$5000))), 0)), "")</f>
        <v/>
      </c>
      <c r="K100" s="400">
        <f t="array" ref="K100">SUMPRODUCT((IM!$F$2:$F$5000=A100)*(IM!$AD$2:$AD$5000="O")*(ISNUMBER(SEARCH(勤務統計!$C$1, IM!$AC$2:$AC$5000))))</f>
        <v>0</v>
      </c>
      <c r="L100" s="401" t="str">
        <f t="array" ref="L100">IF(K100&gt;0,IFERROR(HYPERLINK("#'IM'!AC"&amp;MATCH(1,(IM!$F$1:$F$5000=A100)*(ISNUMBER(SEARCH(勤務統計!$C$1,IM!$AC$1:$AC$5000))),0),"檢核"),"未登錄"),"")</f>
        <v/>
      </c>
      <c r="M100" s="402" t="str">
        <f t="shared" si="1"/>
        <v>+L90</v>
      </c>
      <c r="N100" s="402" t="str">
        <f t="array" ref="N100">IF(AND(
    SUMPRODUCT(
        (IM!$F$2:$F$522=A100) *
        ISNUMBER(SEARCH("*HUB*", IM!$AC$2:$AC$522)) *
        (IM!$X$2:$X$522&gt;=勤務統計!$A$1) *
        (IM!$X$2:$X$522&lt;=勤務統計!$B$1)*(W100="HUB")
    ) &gt; 0
), "HUB", "")</f>
        <v/>
      </c>
      <c r="O100" s="400" t="str">
        <f>IF(
  IFERROR(VLOOKUP(A100,勤務統計!A:I,9,FALSE),"")&lt;&gt;勤務統計!$C$1,
  "未完工",
  IF(
    AND(勤務統計!$D$1="--",勤務統計!$E$1="--",勤務統計!$F$1="--"),
    "已完工",
    IF(
      OR(
        AND(勤務統計!$D$1&lt;&gt;"--", IFERROR(VLOOKUP(A100,'0919門市清單主檔'!B:AH,31,FALSE),"")=勤務統計!$D$1, IFERROR(VLOOKUP(A100,勤務統計!A:Q,17,FALSE),"")&lt;&gt;勤務統計!$D$1),
        AND(勤務統計!$E$1&lt;&gt;"--", IFERROR(VLOOKUP(A100,'0919門市清單主檔'!B:AH,32,FALSE),"")=勤務統計!$E$1, IFERROR(VLOOKUP(A100,勤務統計!A:S,19,FALSE),"")&lt;&gt;勤務統計!$E$1),
        AND(勤務統計!$F$1&lt;&gt;"--", IFERROR(VLOOKUP(A100,'0919門市清單主檔'!B:AH,33,FALSE),"")=勤務統計!$F$1, IFERROR(VLOOKUP(A100,勤務統計!A:U,21,FALSE),"")&lt;&gt;勤務統計!$F$1),
        AND(IFERROR(VLOOKUP(A100,'0919門市清單主檔'!B:AH,28,FALSE),"")="HUB", IFERROR(VLOOKUP(A100,勤務統計!A:W,23,FALSE),"")&lt;&gt;"HUB")
      ),
      _xlfn.TEXTJOIN(
        "，",
        TRUE,
        IF(AND(勤務統計!$D$1&lt;&gt;"--", IFERROR(VLOOKUP(A100,'0919門市清單主檔'!B:AH,31,FALSE),"")=勤務統計!$D$1, IFERROR(VLOOKUP(A100,勤務統計!A:Q,17,FALSE),"")&lt;&gt;勤務統計!$D$1), 勤務統計!$D$1, ""),
        IF(AND(勤務統計!$E$1&lt;&gt;"--", IFERROR(VLOOKUP(A100,'0919門市清單主檔'!B:AH,32,FALSE),"")=勤務統計!$E$1, IFERROR(VLOOKUP(A100,勤務統計!A:S,19,FALSE),"")&lt;&gt;勤務統計!$E$1), 勤務統計!$E$1, ""),
        IF(AND(勤務統計!$F$1&lt;&gt;"--", IFERROR(VLOOKUP(A100,'0919門市清單主檔'!B:AH,33,FALSE),"")=勤務統計!$F$1, IFERROR(VLOOKUP(A100,勤務統計!A:U,21,FALSE),"")&lt;&gt;勤務統計!$F$1), 勤務統計!$F$1, ""),
        IF(AND(IFERROR(VLOOKUP(A100,'0919門市清單主檔'!B:AH,28,FALSE),"")="HUB", IFERROR(VLOOKUP(A100,勤務統計!A:W,23,FALSE),"")&lt;&gt;"HUB"), "HUB", "")
      ) &amp; "未完工",
      "已完工"
    )
  )
)</f>
        <v>未完工</v>
      </c>
      <c r="P100" s="403" t="str">
        <f>(TEXT(I100,"yyyymmdd"))&amp;勤務統計!$V$2&amp;A100&amp;勤務統計!$V$2&amp;B100&amp;勤務統計!$S$2</f>
        <v>-3840-北縣天龍店(定保)</v>
      </c>
      <c r="Q100" s="420" t="str">
        <f t="array" ref="Q100">IF(AND(SUMPRODUCT((IM!$F$2:$F$5000=A100)*(ISNUMBER(SEARCH(勤務統計!$D$1, IM!$AC$2:$AC$5000))))&gt;0), 勤務統計!$D$1, "")</f>
        <v/>
      </c>
      <c r="R100" s="421" t="str">
        <f t="array" ref="R100">IFERROR(INDEX(IM!$AM$2:$AM$5000, MATCH(1, (IM!$F$2:$F$5000=A100) * (ISNUMBER(SEARCH(勤務統計!$D$1, IM!$AC$2:$AC$5000))), 0)), "")</f>
        <v/>
      </c>
      <c r="S100" s="406" t="str" cm="1">
        <f t="array" ref="S100">IF(AND(SUMPRODUCT((IM!$F$2:$F$5000=A100)*(ISNUMBER(SEARCH(勤務統計!$E$1, IM!$AC$2:$AC$5000))))&gt;0), 勤務統計!$E$1, "")</f>
        <v>+L90</v>
      </c>
      <c r="T100" s="422">
        <f t="array" ref="T100">IFERROR(INDEX(IM!$AM$2:$AM$5000, MATCH(1, (IM!$F$2:$F$5000=A100) * (ISNUMBER(SEARCH(勤務統計!$E$1, IM!$AC$2:$AC$5000))), 0)), "")</f>
        <v>46002</v>
      </c>
      <c r="U100" s="406" t="str" cm="1">
        <f t="array" ref="U100">IF(AND(SUMPRODUCT((IM!$F$2:$F$5000=A100)*(ISNUMBER(SEARCH(勤務統計!$F$1, IM!$AC$2:$AC$5000))))&gt;0), 勤務統計!$F$1, "")</f>
        <v/>
      </c>
      <c r="V100" s="413" t="str">
        <f t="array" ref="V100">IFERROR(INDEX(IM!$AM$2:$AM$5000, MATCH(1, (IM!$F$2:$F$5000=A100) * (ISNUMBER(SEARCH(勤務統計!$F$1, IM!$AC$2:$AC$5000))), 0)), "")</f>
        <v/>
      </c>
      <c r="W100" s="414" t="str">
        <f>IF(VLOOKUP(A100,'0919門市清單主檔'!B:AC,28,FALSE)=0,"",VLOOKUP(A100,'0919門市清單主檔'!B:AC,28,FALSE))</f>
        <v/>
      </c>
    </row>
    <row r="101" spans="1:23" ht="21.6" customHeight="1">
      <c r="A101" s="423">
        <v>2259</v>
      </c>
      <c r="B101" s="416" t="str">
        <f>VLOOKUP(A101,'0919門市清單主檔'!B:C,2,FALSE)</f>
        <v>三重興華店</v>
      </c>
      <c r="C101" s="415" t="str">
        <f>VLOOKUP($A101,'0919門市清單主檔'!B:V,20,FALSE)</f>
        <v>新北市</v>
      </c>
      <c r="D101" s="410" t="str">
        <f>VLOOKUP($A101,'0919門市清單主檔'!B:V,21,FALSE)</f>
        <v>三重區</v>
      </c>
      <c r="E101" s="397" t="str">
        <f>VLOOKUP(D101,門市狀態!G:H,2,FALSE)</f>
        <v>劉柏均</v>
      </c>
      <c r="F101" s="410" t="str">
        <f>IFERROR(IF(VLOOKUP(A101,門市狀態!A:D,4,FALSE)=0,"",VLOOKUP(A101,門市狀態!A:D,4,FALSE)),"")</f>
        <v/>
      </c>
      <c r="G101" s="424"/>
      <c r="H101" s="425" t="str">
        <f>IF(I101&gt;0,(TEXT(I101,"yyyymmdd")&amp;勤務統計!$V$2&amp;A101&amp;勤務統計!$V$2&amp;B101&amp;勤務統計!$S$2),"")</f>
        <v>-2259-三重興華店(定保)</v>
      </c>
      <c r="I101" s="247" t="str">
        <f t="array" ref="I101">IF(AND(SUMPRODUCT((IM!$F$2:$F$5000=A101)*(ISNUMBER(SEARCH(勤務統計!$C$1, IM!$AC$2:$AC$5000))))&gt;0), 勤務統計!$C$1, "")</f>
        <v/>
      </c>
      <c r="J101" s="399" t="str">
        <f t="array" ref="J101">IFERROR(INDEX(IM!$AM$2:$AM$5000, MATCH(1, (IM!$F$2:$F$5000=A101) * (ISNUMBER(SEARCH(勤務統計!$C$1, IM!$AC$2:$AC$5000))), 0)), "")</f>
        <v/>
      </c>
      <c r="K101" s="400">
        <f t="array" ref="K101">SUMPRODUCT((IM!$F$2:$F$5000=A101)*(IM!$AD$2:$AD$5000="O")*(ISNUMBER(SEARCH(勤務統計!$C$1, IM!$AC$2:$AC$5000))))</f>
        <v>0</v>
      </c>
      <c r="L101" s="401" t="str">
        <f t="array" ref="L101">IF(K101&gt;0,IFERROR(HYPERLINK("#'IM'!AC"&amp;MATCH(1,(IM!$F$1:$F$5000=A101)*(ISNUMBER(SEARCH(勤務統計!$C$1,IM!$AC$1:$AC$5000))),0),"檢核"),"未登錄"),"")</f>
        <v/>
      </c>
      <c r="M101" s="402" t="str">
        <f t="shared" si="1"/>
        <v>+L90</v>
      </c>
      <c r="N101" s="402" t="str">
        <f t="array" ref="N101">IF(AND(
    SUMPRODUCT(
        (IM!$F$2:$F$522=A101) *
        ISNUMBER(SEARCH("*HUB*", IM!$AC$2:$AC$522)) *
        (IM!$X$2:$X$522&gt;=勤務統計!$A$1) *
        (IM!$X$2:$X$522&lt;=勤務統計!$B$1)*(W101="HUB")
    ) &gt; 0
), "HUB", "")</f>
        <v/>
      </c>
      <c r="O101" s="400" t="str">
        <f>IF(
  IFERROR(VLOOKUP(A101,勤務統計!A:I,9,FALSE),"")&lt;&gt;勤務統計!$C$1,
  "未完工",
  IF(
    AND(勤務統計!$D$1="--",勤務統計!$E$1="--",勤務統計!$F$1="--"),
    "已完工",
    IF(
      OR(
        AND(勤務統計!$D$1&lt;&gt;"--", IFERROR(VLOOKUP(A101,'0919門市清單主檔'!B:AH,31,FALSE),"")=勤務統計!$D$1, IFERROR(VLOOKUP(A101,勤務統計!A:Q,17,FALSE),"")&lt;&gt;勤務統計!$D$1),
        AND(勤務統計!$E$1&lt;&gt;"--", IFERROR(VLOOKUP(A101,'0919門市清單主檔'!B:AH,32,FALSE),"")=勤務統計!$E$1, IFERROR(VLOOKUP(A101,勤務統計!A:S,19,FALSE),"")&lt;&gt;勤務統計!$E$1),
        AND(勤務統計!$F$1&lt;&gt;"--", IFERROR(VLOOKUP(A101,'0919門市清單主檔'!B:AH,33,FALSE),"")=勤務統計!$F$1, IFERROR(VLOOKUP(A101,勤務統計!A:U,21,FALSE),"")&lt;&gt;勤務統計!$F$1),
        AND(IFERROR(VLOOKUP(A101,'0919門市清單主檔'!B:AH,28,FALSE),"")="HUB", IFERROR(VLOOKUP(A101,勤務統計!A:W,23,FALSE),"")&lt;&gt;"HUB")
      ),
      _xlfn.TEXTJOIN(
        "，",
        TRUE,
        IF(AND(勤務統計!$D$1&lt;&gt;"--", IFERROR(VLOOKUP(A101,'0919門市清單主檔'!B:AH,31,FALSE),"")=勤務統計!$D$1, IFERROR(VLOOKUP(A101,勤務統計!A:Q,17,FALSE),"")&lt;&gt;勤務統計!$D$1), 勤務統計!$D$1, ""),
        IF(AND(勤務統計!$E$1&lt;&gt;"--", IFERROR(VLOOKUP(A101,'0919門市清單主檔'!B:AH,32,FALSE),"")=勤務統計!$E$1, IFERROR(VLOOKUP(A101,勤務統計!A:S,19,FALSE),"")&lt;&gt;勤務統計!$E$1), 勤務統計!$E$1, ""),
        IF(AND(勤務統計!$F$1&lt;&gt;"--", IFERROR(VLOOKUP(A101,'0919門市清單主檔'!B:AH,33,FALSE),"")=勤務統計!$F$1, IFERROR(VLOOKUP(A101,勤務統計!A:U,21,FALSE),"")&lt;&gt;勤務統計!$F$1), 勤務統計!$F$1, ""),
        IF(AND(IFERROR(VLOOKUP(A101,'0919門市清單主檔'!B:AH,28,FALSE),"")="HUB", IFERROR(VLOOKUP(A101,勤務統計!A:W,23,FALSE),"")&lt;&gt;"HUB"), "HUB", "")
      ) &amp; "未完工",
      "已完工"
    )
  )
)</f>
        <v>未完工</v>
      </c>
      <c r="P101" s="403" t="str">
        <f>(TEXT(I101,"yyyymmdd"))&amp;勤務統計!$V$2&amp;A101&amp;勤務統計!$V$2&amp;B101&amp;勤務統計!$S$2</f>
        <v>-2259-三重興華店(定保)</v>
      </c>
      <c r="Q101" s="420" t="str">
        <f t="array" ref="Q101">IF(AND(SUMPRODUCT((IM!$F$2:$F$5000=A101)*(ISNUMBER(SEARCH(勤務統計!$D$1, IM!$AC$2:$AC$5000))))&gt;0), 勤務統計!$D$1, "")</f>
        <v/>
      </c>
      <c r="R101" s="421" t="str">
        <f t="array" ref="R101">IFERROR(INDEX(IM!$AM$2:$AM$5000, MATCH(1, (IM!$F$2:$F$5000=A101) * (ISNUMBER(SEARCH(勤務統計!$D$1, IM!$AC$2:$AC$5000))), 0)), "")</f>
        <v/>
      </c>
      <c r="S101" s="406" t="str" cm="1">
        <f t="array" ref="S101">IF(AND(SUMPRODUCT((IM!$F$2:$F$5000=A101)*(ISNUMBER(SEARCH(勤務統計!$E$1, IM!$AC$2:$AC$5000))))&gt;0), 勤務統計!$E$1, "")</f>
        <v>+L90</v>
      </c>
      <c r="T101" s="422">
        <f t="array" ref="T101">IFERROR(INDEX(IM!$AM$2:$AM$5000, MATCH(1, (IM!$F$2:$F$5000=A101) * (ISNUMBER(SEARCH(勤務統計!$E$1, IM!$AC$2:$AC$5000))), 0)), "")</f>
        <v>45968</v>
      </c>
      <c r="U101" s="406" t="str" cm="1">
        <f t="array" ref="U101">IF(AND(SUMPRODUCT((IM!$F$2:$F$5000=A101)*(ISNUMBER(SEARCH(勤務統計!$F$1, IM!$AC$2:$AC$5000))))&gt;0), 勤務統計!$F$1, "")</f>
        <v/>
      </c>
      <c r="V101" s="413" t="str">
        <f t="array" ref="V101">IFERROR(INDEX(IM!$AM$2:$AM$5000, MATCH(1, (IM!$F$2:$F$5000=A101) * (ISNUMBER(SEARCH(勤務統計!$F$1, IM!$AC$2:$AC$5000))), 0)), "")</f>
        <v/>
      </c>
      <c r="W101" s="414" t="str">
        <f>IF(VLOOKUP(A101,'0919門市清單主檔'!B:AC,28,FALSE)=0,"",VLOOKUP(A101,'0919門市清單主檔'!B:AC,28,FALSE))</f>
        <v/>
      </c>
    </row>
    <row r="102" spans="1:23" ht="21.6" customHeight="1">
      <c r="A102" s="423">
        <v>2837</v>
      </c>
      <c r="B102" s="416" t="str">
        <f>VLOOKUP(A102,'0919門市清單主檔'!B:C,2,FALSE)</f>
        <v>三重洛陽店</v>
      </c>
      <c r="C102" s="415" t="str">
        <f>VLOOKUP($A102,'0919門市清單主檔'!B:V,20,FALSE)</f>
        <v>新北市</v>
      </c>
      <c r="D102" s="410" t="str">
        <f>VLOOKUP($A102,'0919門市清單主檔'!B:V,21,FALSE)</f>
        <v>三重區</v>
      </c>
      <c r="E102" s="397" t="str">
        <f>VLOOKUP(D102,門市狀態!G:H,2,FALSE)</f>
        <v>劉柏均</v>
      </c>
      <c r="F102" s="410" t="str">
        <f>IFERROR(IF(VLOOKUP(A102,門市狀態!A:D,4,FALSE)=0,"",VLOOKUP(A102,門市狀態!A:D,4,FALSE)),"")</f>
        <v/>
      </c>
      <c r="G102" s="424"/>
      <c r="H102" s="425" t="str">
        <f>IF(I102&gt;0,(TEXT(I102,"yyyymmdd")&amp;勤務統計!$V$2&amp;A102&amp;勤務統計!$V$2&amp;B102&amp;勤務統計!$S$2),"")</f>
        <v>-2837-三重洛陽店(定保)</v>
      </c>
      <c r="I102" s="247" t="str">
        <f t="array" ref="I102">IF(AND(SUMPRODUCT((IM!$F$2:$F$5000=A102)*(ISNUMBER(SEARCH(勤務統計!$C$1, IM!$AC$2:$AC$5000))))&gt;0), 勤務統計!$C$1, "")</f>
        <v/>
      </c>
      <c r="J102" s="399" t="str">
        <f t="array" ref="J102">IFERROR(INDEX(IM!$AM$2:$AM$5000, MATCH(1, (IM!$F$2:$F$5000=A102) * (ISNUMBER(SEARCH(勤務統計!$C$1, IM!$AC$2:$AC$5000))), 0)), "")</f>
        <v/>
      </c>
      <c r="K102" s="400">
        <f t="array" ref="K102">SUMPRODUCT((IM!$F$2:$F$5000=A102)*(IM!$AD$2:$AD$5000="O")*(ISNUMBER(SEARCH(勤務統計!$C$1, IM!$AC$2:$AC$5000))))</f>
        <v>0</v>
      </c>
      <c r="L102" s="401" t="str">
        <f t="array" ref="L102">IF(K102&gt;0,IFERROR(HYPERLINK("#'IM'!AC"&amp;MATCH(1,(IM!$F$1:$F$5000=A102)*(ISNUMBER(SEARCH(勤務統計!$C$1,IM!$AC$1:$AC$5000))),0),"檢核"),"未登錄"),"")</f>
        <v/>
      </c>
      <c r="M102" s="402" t="str">
        <f t="shared" si="1"/>
        <v>+L90</v>
      </c>
      <c r="N102" s="402" t="str">
        <f t="array" ref="N102">IF(AND(
    SUMPRODUCT(
        (IM!$F$2:$F$522=A102) *
        ISNUMBER(SEARCH("*HUB*", IM!$AC$2:$AC$522)) *
        (IM!$X$2:$X$522&gt;=勤務統計!$A$1) *
        (IM!$X$2:$X$522&lt;=勤務統計!$B$1)*(W102="HUB")
    ) &gt; 0
), "HUB", "")</f>
        <v/>
      </c>
      <c r="O102" s="400" t="str">
        <f>IF(
  IFERROR(VLOOKUP(A102,勤務統計!A:I,9,FALSE),"")&lt;&gt;勤務統計!$C$1,
  "未完工",
  IF(
    AND(勤務統計!$D$1="--",勤務統計!$E$1="--",勤務統計!$F$1="--"),
    "已完工",
    IF(
      OR(
        AND(勤務統計!$D$1&lt;&gt;"--", IFERROR(VLOOKUP(A102,'0919門市清單主檔'!B:AH,31,FALSE),"")=勤務統計!$D$1, IFERROR(VLOOKUP(A102,勤務統計!A:Q,17,FALSE),"")&lt;&gt;勤務統計!$D$1),
        AND(勤務統計!$E$1&lt;&gt;"--", IFERROR(VLOOKUP(A102,'0919門市清單主檔'!B:AH,32,FALSE),"")=勤務統計!$E$1, IFERROR(VLOOKUP(A102,勤務統計!A:S,19,FALSE),"")&lt;&gt;勤務統計!$E$1),
        AND(勤務統計!$F$1&lt;&gt;"--", IFERROR(VLOOKUP(A102,'0919門市清單主檔'!B:AH,33,FALSE),"")=勤務統計!$F$1, IFERROR(VLOOKUP(A102,勤務統計!A:U,21,FALSE),"")&lt;&gt;勤務統計!$F$1),
        AND(IFERROR(VLOOKUP(A102,'0919門市清單主檔'!B:AH,28,FALSE),"")="HUB", IFERROR(VLOOKUP(A102,勤務統計!A:W,23,FALSE),"")&lt;&gt;"HUB")
      ),
      _xlfn.TEXTJOIN(
        "，",
        TRUE,
        IF(AND(勤務統計!$D$1&lt;&gt;"--", IFERROR(VLOOKUP(A102,'0919門市清單主檔'!B:AH,31,FALSE),"")=勤務統計!$D$1, IFERROR(VLOOKUP(A102,勤務統計!A:Q,17,FALSE),"")&lt;&gt;勤務統計!$D$1), 勤務統計!$D$1, ""),
        IF(AND(勤務統計!$E$1&lt;&gt;"--", IFERROR(VLOOKUP(A102,'0919門市清單主檔'!B:AH,32,FALSE),"")=勤務統計!$E$1, IFERROR(VLOOKUP(A102,勤務統計!A:S,19,FALSE),"")&lt;&gt;勤務統計!$E$1), 勤務統計!$E$1, ""),
        IF(AND(勤務統計!$F$1&lt;&gt;"--", IFERROR(VLOOKUP(A102,'0919門市清單主檔'!B:AH,33,FALSE),"")=勤務統計!$F$1, IFERROR(VLOOKUP(A102,勤務統計!A:U,21,FALSE),"")&lt;&gt;勤務統計!$F$1), 勤務統計!$F$1, ""),
        IF(AND(IFERROR(VLOOKUP(A102,'0919門市清單主檔'!B:AH,28,FALSE),"")="HUB", IFERROR(VLOOKUP(A102,勤務統計!A:W,23,FALSE),"")&lt;&gt;"HUB"), "HUB", "")
      ) &amp; "未完工",
      "已完工"
    )
  )
)</f>
        <v>未完工</v>
      </c>
      <c r="P102" s="403" t="str">
        <f>(TEXT(I102,"yyyymmdd"))&amp;勤務統計!$V$2&amp;A102&amp;勤務統計!$V$2&amp;B102&amp;勤務統計!$S$2</f>
        <v>-2837-三重洛陽店(定保)</v>
      </c>
      <c r="Q102" s="420" t="str">
        <f t="array" ref="Q102">IF(AND(SUMPRODUCT((IM!$F$2:$F$5000=A102)*(ISNUMBER(SEARCH(勤務統計!$D$1, IM!$AC$2:$AC$5000))))&gt;0), 勤務統計!$D$1, "")</f>
        <v/>
      </c>
      <c r="R102" s="421" t="str">
        <f t="array" ref="R102">IFERROR(INDEX(IM!$AM$2:$AM$5000, MATCH(1, (IM!$F$2:$F$5000=A102) * (ISNUMBER(SEARCH(勤務統計!$D$1, IM!$AC$2:$AC$5000))), 0)), "")</f>
        <v/>
      </c>
      <c r="S102" s="406" t="str" cm="1">
        <f t="array" ref="S102">IF(AND(SUMPRODUCT((IM!$F$2:$F$5000=A102)*(ISNUMBER(SEARCH(勤務統計!$E$1, IM!$AC$2:$AC$5000))))&gt;0), 勤務統計!$E$1, "")</f>
        <v>+L90</v>
      </c>
      <c r="T102" s="422">
        <f t="array" ref="T102">IFERROR(INDEX(IM!$AM$2:$AM$5000, MATCH(1, (IM!$F$2:$F$5000=A102) * (ISNUMBER(SEARCH(勤務統計!$E$1, IM!$AC$2:$AC$5000))), 0)), "")</f>
        <v>46010</v>
      </c>
      <c r="U102" s="406" t="str" cm="1">
        <f t="array" ref="U102">IF(AND(SUMPRODUCT((IM!$F$2:$F$5000=A102)*(ISNUMBER(SEARCH(勤務統計!$F$1, IM!$AC$2:$AC$5000))))&gt;0), 勤務統計!$F$1, "")</f>
        <v/>
      </c>
      <c r="V102" s="413" t="str">
        <f t="array" ref="V102">IFERROR(INDEX(IM!$AM$2:$AM$5000, MATCH(1, (IM!$F$2:$F$5000=A102) * (ISNUMBER(SEARCH(勤務統計!$F$1, IM!$AC$2:$AC$5000))), 0)), "")</f>
        <v/>
      </c>
      <c r="W102" s="414" t="str">
        <f>IF(VLOOKUP(A102,'0919門市清單主檔'!B:AC,28,FALSE)=0,"",VLOOKUP(A102,'0919門市清單主檔'!B:AC,28,FALSE))</f>
        <v/>
      </c>
    </row>
    <row r="103" spans="1:23" ht="21.6" customHeight="1">
      <c r="A103" s="423" t="s">
        <v>58</v>
      </c>
      <c r="B103" s="416" t="str">
        <f>VLOOKUP(A103,'0919門市清單主檔'!B:C,2,FALSE)</f>
        <v>三重三民店</v>
      </c>
      <c r="C103" s="415" t="str">
        <f>VLOOKUP($A103,'0919門市清單主檔'!B:V,20,FALSE)</f>
        <v>新北市</v>
      </c>
      <c r="D103" s="410" t="str">
        <f>VLOOKUP($A103,'0919門市清單主檔'!B:V,21,FALSE)</f>
        <v>三重區</v>
      </c>
      <c r="E103" s="397" t="str">
        <f>VLOOKUP(D103,門市狀態!G:H,2,FALSE)</f>
        <v>劉柏均</v>
      </c>
      <c r="F103" s="410" t="str">
        <f>IFERROR(IF(VLOOKUP(A103,門市狀態!A:D,4,FALSE)=0,"",VLOOKUP(A103,門市狀態!A:D,4,FALSE)),"")</f>
        <v/>
      </c>
      <c r="G103" s="424"/>
      <c r="H103" s="425" t="str">
        <f>IF(I103&gt;0,(TEXT(I103,"yyyymmdd")&amp;勤務統計!$V$2&amp;A103&amp;勤務統計!$V$2&amp;B103&amp;勤務統計!$S$2),"")</f>
        <v>-D024-三重三民店(定保)</v>
      </c>
      <c r="I103" s="247" t="str">
        <f t="array" ref="I103">IF(AND(SUMPRODUCT((IM!$F$2:$F$5000=A103)*(ISNUMBER(SEARCH(勤務統計!$C$1, IM!$AC$2:$AC$5000))))&gt;0), 勤務統計!$C$1, "")</f>
        <v/>
      </c>
      <c r="J103" s="399" t="str">
        <f t="array" ref="J103">IFERROR(INDEX(IM!$AM$2:$AM$5000, MATCH(1, (IM!$F$2:$F$5000=A103) * (ISNUMBER(SEARCH(勤務統計!$C$1, IM!$AC$2:$AC$5000))), 0)), "")</f>
        <v/>
      </c>
      <c r="K103" s="400">
        <f t="array" ref="K103">SUMPRODUCT((IM!$F$2:$F$5000=A103)*(IM!$AD$2:$AD$5000="O")*(ISNUMBER(SEARCH(勤務統計!$C$1, IM!$AC$2:$AC$5000))))</f>
        <v>0</v>
      </c>
      <c r="L103" s="401" t="str">
        <f t="array" ref="L103">IF(K103&gt;0,IFERROR(HYPERLINK("#'IM'!AC"&amp;MATCH(1,(IM!$F$1:$F$5000=A103)*(ISNUMBER(SEARCH(勤務統計!$C$1,IM!$AC$1:$AC$5000))),0),"檢核"),"未登錄"),"")</f>
        <v/>
      </c>
      <c r="M103" s="402" t="str">
        <f t="shared" si="1"/>
        <v>+L90</v>
      </c>
      <c r="N103" s="402" t="str">
        <f t="array" ref="N103">IF(AND(
    SUMPRODUCT(
        (IM!$F$2:$F$522=A103) *
        ISNUMBER(SEARCH("*HUB*", IM!$AC$2:$AC$522)) *
        (IM!$X$2:$X$522&gt;=勤務統計!$A$1) *
        (IM!$X$2:$X$522&lt;=勤務統計!$B$1)*(W103="HUB")
    ) &gt; 0
), "HUB", "")</f>
        <v/>
      </c>
      <c r="O103" s="400" t="str">
        <f>IF(
  IFERROR(VLOOKUP(A103,勤務統計!A:I,9,FALSE),"")&lt;&gt;勤務統計!$C$1,
  "未完工",
  IF(
    AND(勤務統計!$D$1="--",勤務統計!$E$1="--",勤務統計!$F$1="--"),
    "已完工",
    IF(
      OR(
        AND(勤務統計!$D$1&lt;&gt;"--", IFERROR(VLOOKUP(A103,'0919門市清單主檔'!B:AH,31,FALSE),"")=勤務統計!$D$1, IFERROR(VLOOKUP(A103,勤務統計!A:Q,17,FALSE),"")&lt;&gt;勤務統計!$D$1),
        AND(勤務統計!$E$1&lt;&gt;"--", IFERROR(VLOOKUP(A103,'0919門市清單主檔'!B:AH,32,FALSE),"")=勤務統計!$E$1, IFERROR(VLOOKUP(A103,勤務統計!A:S,19,FALSE),"")&lt;&gt;勤務統計!$E$1),
        AND(勤務統計!$F$1&lt;&gt;"--", IFERROR(VLOOKUP(A103,'0919門市清單主檔'!B:AH,33,FALSE),"")=勤務統計!$F$1, IFERROR(VLOOKUP(A103,勤務統計!A:U,21,FALSE),"")&lt;&gt;勤務統計!$F$1),
        AND(IFERROR(VLOOKUP(A103,'0919門市清單主檔'!B:AH,28,FALSE),"")="HUB", IFERROR(VLOOKUP(A103,勤務統計!A:W,23,FALSE),"")&lt;&gt;"HUB")
      ),
      _xlfn.TEXTJOIN(
        "，",
        TRUE,
        IF(AND(勤務統計!$D$1&lt;&gt;"--", IFERROR(VLOOKUP(A103,'0919門市清單主檔'!B:AH,31,FALSE),"")=勤務統計!$D$1, IFERROR(VLOOKUP(A103,勤務統計!A:Q,17,FALSE),"")&lt;&gt;勤務統計!$D$1), 勤務統計!$D$1, ""),
        IF(AND(勤務統計!$E$1&lt;&gt;"--", IFERROR(VLOOKUP(A103,'0919門市清單主檔'!B:AH,32,FALSE),"")=勤務統計!$E$1, IFERROR(VLOOKUP(A103,勤務統計!A:S,19,FALSE),"")&lt;&gt;勤務統計!$E$1), 勤務統計!$E$1, ""),
        IF(AND(勤務統計!$F$1&lt;&gt;"--", IFERROR(VLOOKUP(A103,'0919門市清單主檔'!B:AH,33,FALSE),"")=勤務統計!$F$1, IFERROR(VLOOKUP(A103,勤務統計!A:U,21,FALSE),"")&lt;&gt;勤務統計!$F$1), 勤務統計!$F$1, ""),
        IF(AND(IFERROR(VLOOKUP(A103,'0919門市清單主檔'!B:AH,28,FALSE),"")="HUB", IFERROR(VLOOKUP(A103,勤務統計!A:W,23,FALSE),"")&lt;&gt;"HUB"), "HUB", "")
      ) &amp; "未完工",
      "已完工"
    )
  )
)</f>
        <v>未完工</v>
      </c>
      <c r="P103" s="403" t="str">
        <f>(TEXT(I103,"yyyymmdd"))&amp;勤務統計!$V$2&amp;A103&amp;勤務統計!$V$2&amp;B103&amp;勤務統計!$S$2</f>
        <v>-D024-三重三民店(定保)</v>
      </c>
      <c r="Q103" s="420" t="str">
        <f t="array" ref="Q103">IF(AND(SUMPRODUCT((IM!$F$2:$F$5000=A103)*(ISNUMBER(SEARCH(勤務統計!$D$1, IM!$AC$2:$AC$5000))))&gt;0), 勤務統計!$D$1, "")</f>
        <v/>
      </c>
      <c r="R103" s="421" t="str">
        <f t="array" ref="R103">IFERROR(INDEX(IM!$AM$2:$AM$5000, MATCH(1, (IM!$F$2:$F$5000=A103) * (ISNUMBER(SEARCH(勤務統計!$D$1, IM!$AC$2:$AC$5000))), 0)), "")</f>
        <v/>
      </c>
      <c r="S103" s="406" t="str" cm="1">
        <f t="array" ref="S103">IF(AND(SUMPRODUCT((IM!$F$2:$F$5000=A103)*(ISNUMBER(SEARCH(勤務統計!$E$1, IM!$AC$2:$AC$5000))))&gt;0), 勤務統計!$E$1, "")</f>
        <v>+L90</v>
      </c>
      <c r="T103" s="422">
        <f t="array" ref="T103">IFERROR(INDEX(IM!$AM$2:$AM$5000, MATCH(1, (IM!$F$2:$F$5000=A103) * (ISNUMBER(SEARCH(勤務統計!$E$1, IM!$AC$2:$AC$5000))), 0)), "")</f>
        <v>46010</v>
      </c>
      <c r="U103" s="406" t="str" cm="1">
        <f t="array" ref="U103">IF(AND(SUMPRODUCT((IM!$F$2:$F$5000=A103)*(ISNUMBER(SEARCH(勤務統計!$F$1, IM!$AC$2:$AC$5000))))&gt;0), 勤務統計!$F$1, "")</f>
        <v/>
      </c>
      <c r="V103" s="413" t="str">
        <f t="array" ref="V103">IFERROR(INDEX(IM!$AM$2:$AM$5000, MATCH(1, (IM!$F$2:$F$5000=A103) * (ISNUMBER(SEARCH(勤務統計!$F$1, IM!$AC$2:$AC$5000))), 0)), "")</f>
        <v/>
      </c>
      <c r="W103" s="414" t="str">
        <f>IF(VLOOKUP(A103,'0919門市清單主檔'!B:AC,28,FALSE)=0,"",VLOOKUP(A103,'0919門市清單主檔'!B:AC,28,FALSE))</f>
        <v/>
      </c>
    </row>
    <row r="104" spans="1:23" ht="21.6" customHeight="1">
      <c r="A104" s="423">
        <v>3676</v>
      </c>
      <c r="B104" s="416" t="str">
        <f>VLOOKUP(A104,'0919門市清單主檔'!B:C,2,FALSE)</f>
        <v>三重田心店</v>
      </c>
      <c r="C104" s="415" t="str">
        <f>VLOOKUP($A104,'0919門市清單主檔'!B:V,20,FALSE)</f>
        <v>新北市</v>
      </c>
      <c r="D104" s="410" t="str">
        <f>VLOOKUP($A104,'0919門市清單主檔'!B:V,21,FALSE)</f>
        <v>三重區</v>
      </c>
      <c r="E104" s="397" t="str">
        <f>VLOOKUP(D104,門市狀態!G:H,2,FALSE)</f>
        <v>劉柏均</v>
      </c>
      <c r="F104" s="410" t="str">
        <f>IFERROR(IF(VLOOKUP(A104,門市狀態!A:D,4,FALSE)=0,"",VLOOKUP(A104,門市狀態!A:D,4,FALSE)),"")</f>
        <v/>
      </c>
      <c r="G104" s="424"/>
      <c r="H104" s="425" t="str">
        <f>IF(I104&gt;0,(TEXT(I104,"yyyymmdd")&amp;勤務統計!$V$2&amp;A104&amp;勤務統計!$V$2&amp;B104&amp;勤務統計!$S$2),"")</f>
        <v>-3676-三重田心店(定保)</v>
      </c>
      <c r="I104" s="247" t="str">
        <f t="array" ref="I104">IF(AND(SUMPRODUCT((IM!$F$2:$F$5000=A104)*(ISNUMBER(SEARCH(勤務統計!$C$1, IM!$AC$2:$AC$5000))))&gt;0), 勤務統計!$C$1, "")</f>
        <v/>
      </c>
      <c r="J104" s="399" t="str">
        <f t="array" ref="J104">IFERROR(INDEX(IM!$AM$2:$AM$5000, MATCH(1, (IM!$F$2:$F$5000=A104) * (ISNUMBER(SEARCH(勤務統計!$C$1, IM!$AC$2:$AC$5000))), 0)), "")</f>
        <v/>
      </c>
      <c r="K104" s="400">
        <f t="array" ref="K104">SUMPRODUCT((IM!$F$2:$F$5000=A104)*(IM!$AD$2:$AD$5000="O")*(ISNUMBER(SEARCH(勤務統計!$C$1, IM!$AC$2:$AC$5000))))</f>
        <v>0</v>
      </c>
      <c r="L104" s="401" t="str">
        <f t="array" ref="L104">IF(K104&gt;0,IFERROR(HYPERLINK("#'IM'!AC"&amp;MATCH(1,(IM!$F$1:$F$5000=A104)*(ISNUMBER(SEARCH(勤務統計!$C$1,IM!$AC$1:$AC$5000))),0),"檢核"),"未登錄"),"")</f>
        <v/>
      </c>
      <c r="M104" s="402" t="str">
        <f t="shared" si="1"/>
        <v>+L90</v>
      </c>
      <c r="N104" s="402" t="str">
        <f t="array" ref="N104">IF(AND(
    SUMPRODUCT(
        (IM!$F$2:$F$522=A104) *
        ISNUMBER(SEARCH("*HUB*", IM!$AC$2:$AC$522)) *
        (IM!$X$2:$X$522&gt;=勤務統計!$A$1) *
        (IM!$X$2:$X$522&lt;=勤務統計!$B$1)*(W104="HUB")
    ) &gt; 0
), "HUB", "")</f>
        <v/>
      </c>
      <c r="O104" s="400" t="str">
        <f>IF(
  IFERROR(VLOOKUP(A104,勤務統計!A:I,9,FALSE),"")&lt;&gt;勤務統計!$C$1,
  "未完工",
  IF(
    AND(勤務統計!$D$1="--",勤務統計!$E$1="--",勤務統計!$F$1="--"),
    "已完工",
    IF(
      OR(
        AND(勤務統計!$D$1&lt;&gt;"--", IFERROR(VLOOKUP(A104,'0919門市清單主檔'!B:AH,31,FALSE),"")=勤務統計!$D$1, IFERROR(VLOOKUP(A104,勤務統計!A:Q,17,FALSE),"")&lt;&gt;勤務統計!$D$1),
        AND(勤務統計!$E$1&lt;&gt;"--", IFERROR(VLOOKUP(A104,'0919門市清單主檔'!B:AH,32,FALSE),"")=勤務統計!$E$1, IFERROR(VLOOKUP(A104,勤務統計!A:S,19,FALSE),"")&lt;&gt;勤務統計!$E$1),
        AND(勤務統計!$F$1&lt;&gt;"--", IFERROR(VLOOKUP(A104,'0919門市清單主檔'!B:AH,33,FALSE),"")=勤務統計!$F$1, IFERROR(VLOOKUP(A104,勤務統計!A:U,21,FALSE),"")&lt;&gt;勤務統計!$F$1),
        AND(IFERROR(VLOOKUP(A104,'0919門市清單主檔'!B:AH,28,FALSE),"")="HUB", IFERROR(VLOOKUP(A104,勤務統計!A:W,23,FALSE),"")&lt;&gt;"HUB")
      ),
      _xlfn.TEXTJOIN(
        "，",
        TRUE,
        IF(AND(勤務統計!$D$1&lt;&gt;"--", IFERROR(VLOOKUP(A104,'0919門市清單主檔'!B:AH,31,FALSE),"")=勤務統計!$D$1, IFERROR(VLOOKUP(A104,勤務統計!A:Q,17,FALSE),"")&lt;&gt;勤務統計!$D$1), 勤務統計!$D$1, ""),
        IF(AND(勤務統計!$E$1&lt;&gt;"--", IFERROR(VLOOKUP(A104,'0919門市清單主檔'!B:AH,32,FALSE),"")=勤務統計!$E$1, IFERROR(VLOOKUP(A104,勤務統計!A:S,19,FALSE),"")&lt;&gt;勤務統計!$E$1), 勤務統計!$E$1, ""),
        IF(AND(勤務統計!$F$1&lt;&gt;"--", IFERROR(VLOOKUP(A104,'0919門市清單主檔'!B:AH,33,FALSE),"")=勤務統計!$F$1, IFERROR(VLOOKUP(A104,勤務統計!A:U,21,FALSE),"")&lt;&gt;勤務統計!$F$1), 勤務統計!$F$1, ""),
        IF(AND(IFERROR(VLOOKUP(A104,'0919門市清單主檔'!B:AH,28,FALSE),"")="HUB", IFERROR(VLOOKUP(A104,勤務統計!A:W,23,FALSE),"")&lt;&gt;"HUB"), "HUB", "")
      ) &amp; "未完工",
      "已完工"
    )
  )
)</f>
        <v>未完工</v>
      </c>
      <c r="P104" s="403" t="str">
        <f>(TEXT(I104,"yyyymmdd"))&amp;勤務統計!$V$2&amp;A104&amp;勤務統計!$V$2&amp;B104&amp;勤務統計!$S$2</f>
        <v>-3676-三重田心店(定保)</v>
      </c>
      <c r="Q104" s="420" t="str">
        <f t="array" ref="Q104">IF(AND(SUMPRODUCT((IM!$F$2:$F$5000=A104)*(ISNUMBER(SEARCH(勤務統計!$D$1, IM!$AC$2:$AC$5000))))&gt;0), 勤務統計!$D$1, "")</f>
        <v/>
      </c>
      <c r="R104" s="421" t="str">
        <f t="array" ref="R104">IFERROR(INDEX(IM!$AM$2:$AM$5000, MATCH(1, (IM!$F$2:$F$5000=A104) * (ISNUMBER(SEARCH(勤務統計!$D$1, IM!$AC$2:$AC$5000))), 0)), "")</f>
        <v/>
      </c>
      <c r="S104" s="406" t="str" cm="1">
        <f t="array" ref="S104">IF(AND(SUMPRODUCT((IM!$F$2:$F$5000=A104)*(ISNUMBER(SEARCH(勤務統計!$E$1, IM!$AC$2:$AC$5000))))&gt;0), 勤務統計!$E$1, "")</f>
        <v>+L90</v>
      </c>
      <c r="T104" s="422">
        <f t="array" ref="T104">IFERROR(INDEX(IM!$AM$2:$AM$5000, MATCH(1, (IM!$F$2:$F$5000=A104) * (ISNUMBER(SEARCH(勤務統計!$E$1, IM!$AC$2:$AC$5000))), 0)), "")</f>
        <v>46010</v>
      </c>
      <c r="U104" s="406" t="str" cm="1">
        <f t="array" ref="U104">IF(AND(SUMPRODUCT((IM!$F$2:$F$5000=A104)*(ISNUMBER(SEARCH(勤務統計!$F$1, IM!$AC$2:$AC$5000))))&gt;0), 勤務統計!$F$1, "")</f>
        <v/>
      </c>
      <c r="V104" s="413" t="str">
        <f t="array" ref="V104">IFERROR(INDEX(IM!$AM$2:$AM$5000, MATCH(1, (IM!$F$2:$F$5000=A104) * (ISNUMBER(SEARCH(勤務統計!$F$1, IM!$AC$2:$AC$5000))), 0)), "")</f>
        <v/>
      </c>
      <c r="W104" s="414" t="str">
        <f>IF(VLOOKUP(A104,'0919門市清單主檔'!B:AC,28,FALSE)=0,"",VLOOKUP(A104,'0919門市清單主檔'!B:AC,28,FALSE))</f>
        <v/>
      </c>
    </row>
    <row r="105" spans="1:23" ht="21.6" customHeight="1">
      <c r="A105" s="423">
        <v>3623</v>
      </c>
      <c r="B105" s="416" t="str">
        <f>VLOOKUP(A105,'0919門市清單主檔'!B:C,2,FALSE)</f>
        <v>三重自強店</v>
      </c>
      <c r="C105" s="415" t="str">
        <f>VLOOKUP($A105,'0919門市清單主檔'!B:V,20,FALSE)</f>
        <v>新北市</v>
      </c>
      <c r="D105" s="410" t="str">
        <f>VLOOKUP($A105,'0919門市清單主檔'!B:V,21,FALSE)</f>
        <v>三重區</v>
      </c>
      <c r="E105" s="397" t="str">
        <f>VLOOKUP(D105,門市狀態!G:H,2,FALSE)</f>
        <v>劉柏均</v>
      </c>
      <c r="F105" s="410" t="str">
        <f>IFERROR(IF(VLOOKUP(A105,門市狀態!A:D,4,FALSE)=0,"",VLOOKUP(A105,門市狀態!A:D,4,FALSE)),"")</f>
        <v/>
      </c>
      <c r="G105" s="424"/>
      <c r="H105" s="425" t="str">
        <f>IF(I105&gt;0,(TEXT(I105,"yyyymmdd")&amp;勤務統計!$V$2&amp;A105&amp;勤務統計!$V$2&amp;B105&amp;勤務統計!$S$2),"")</f>
        <v>-3623-三重自強店(定保)</v>
      </c>
      <c r="I105" s="247" t="str">
        <f t="array" ref="I105">IF(AND(SUMPRODUCT((IM!$F$2:$F$5000=A105)*(ISNUMBER(SEARCH(勤務統計!$C$1, IM!$AC$2:$AC$5000))))&gt;0), 勤務統計!$C$1, "")</f>
        <v/>
      </c>
      <c r="J105" s="399" t="str">
        <f t="array" ref="J105">IFERROR(INDEX(IM!$AM$2:$AM$5000, MATCH(1, (IM!$F$2:$F$5000=A105) * (ISNUMBER(SEARCH(勤務統計!$C$1, IM!$AC$2:$AC$5000))), 0)), "")</f>
        <v/>
      </c>
      <c r="K105" s="400">
        <f t="array" ref="K105">SUMPRODUCT((IM!$F$2:$F$5000=A105)*(IM!$AD$2:$AD$5000="O")*(ISNUMBER(SEARCH(勤務統計!$C$1, IM!$AC$2:$AC$5000))))</f>
        <v>0</v>
      </c>
      <c r="L105" s="401" t="str">
        <f t="array" ref="L105">IF(K105&gt;0,IFERROR(HYPERLINK("#'IM'!AC"&amp;MATCH(1,(IM!$F$1:$F$5000=A105)*(ISNUMBER(SEARCH(勤務統計!$C$1,IM!$AC$1:$AC$5000))),0),"檢核"),"未登錄"),"")</f>
        <v/>
      </c>
      <c r="M105" s="402" t="str">
        <f t="shared" si="1"/>
        <v/>
      </c>
      <c r="N105" s="402" t="str">
        <f t="array" ref="N105">IF(AND(
    SUMPRODUCT(
        (IM!$F$2:$F$522=A105) *
        ISNUMBER(SEARCH("*HUB*", IM!$AC$2:$AC$522)) *
        (IM!$X$2:$X$522&gt;=勤務統計!$A$1) *
        (IM!$X$2:$X$522&lt;=勤務統計!$B$1)*(W105="HUB")
    ) &gt; 0
), "HUB", "")</f>
        <v/>
      </c>
      <c r="O105" s="400" t="str">
        <f>IF(
  IFERROR(VLOOKUP(A105,勤務統計!A:I,9,FALSE),"")&lt;&gt;勤務統計!$C$1,
  "未完工",
  IF(
    AND(勤務統計!$D$1="--",勤務統計!$E$1="--",勤務統計!$F$1="--"),
    "已完工",
    IF(
      OR(
        AND(勤務統計!$D$1&lt;&gt;"--", IFERROR(VLOOKUP(A105,'0919門市清單主檔'!B:AH,31,FALSE),"")=勤務統計!$D$1, IFERROR(VLOOKUP(A105,勤務統計!A:Q,17,FALSE),"")&lt;&gt;勤務統計!$D$1),
        AND(勤務統計!$E$1&lt;&gt;"--", IFERROR(VLOOKUP(A105,'0919門市清單主檔'!B:AH,32,FALSE),"")=勤務統計!$E$1, IFERROR(VLOOKUP(A105,勤務統計!A:S,19,FALSE),"")&lt;&gt;勤務統計!$E$1),
        AND(勤務統計!$F$1&lt;&gt;"--", IFERROR(VLOOKUP(A105,'0919門市清單主檔'!B:AH,33,FALSE),"")=勤務統計!$F$1, IFERROR(VLOOKUP(A105,勤務統計!A:U,21,FALSE),"")&lt;&gt;勤務統計!$F$1),
        AND(IFERROR(VLOOKUP(A105,'0919門市清單主檔'!B:AH,28,FALSE),"")="HUB", IFERROR(VLOOKUP(A105,勤務統計!A:W,23,FALSE),"")&lt;&gt;"HUB")
      ),
      _xlfn.TEXTJOIN(
        "，",
        TRUE,
        IF(AND(勤務統計!$D$1&lt;&gt;"--", IFERROR(VLOOKUP(A105,'0919門市清單主檔'!B:AH,31,FALSE),"")=勤務統計!$D$1, IFERROR(VLOOKUP(A105,勤務統計!A:Q,17,FALSE),"")&lt;&gt;勤務統計!$D$1), 勤務統計!$D$1, ""),
        IF(AND(勤務統計!$E$1&lt;&gt;"--", IFERROR(VLOOKUP(A105,'0919門市清單主檔'!B:AH,32,FALSE),"")=勤務統計!$E$1, IFERROR(VLOOKUP(A105,勤務統計!A:S,19,FALSE),"")&lt;&gt;勤務統計!$E$1), 勤務統計!$E$1, ""),
        IF(AND(勤務統計!$F$1&lt;&gt;"--", IFERROR(VLOOKUP(A105,'0919門市清單主檔'!B:AH,33,FALSE),"")=勤務統計!$F$1, IFERROR(VLOOKUP(A105,勤務統計!A:U,21,FALSE),"")&lt;&gt;勤務統計!$F$1), 勤務統計!$F$1, ""),
        IF(AND(IFERROR(VLOOKUP(A105,'0919門市清單主檔'!B:AH,28,FALSE),"")="HUB", IFERROR(VLOOKUP(A105,勤務統計!A:W,23,FALSE),"")&lt;&gt;"HUB"), "HUB", "")
      ) &amp; "未完工",
      "已完工"
    )
  )
)</f>
        <v>未完工</v>
      </c>
      <c r="P105" s="403" t="str">
        <f>(TEXT(I105,"yyyymmdd"))&amp;勤務統計!$V$2&amp;A105&amp;勤務統計!$V$2&amp;B105&amp;勤務統計!$S$2</f>
        <v>-3623-三重自強店(定保)</v>
      </c>
      <c r="Q105" s="420" t="str">
        <f t="array" ref="Q105">IF(AND(SUMPRODUCT((IM!$F$2:$F$5000=A105)*(ISNUMBER(SEARCH(勤務統計!$D$1, IM!$AC$2:$AC$5000))))&gt;0), 勤務統計!$D$1, "")</f>
        <v/>
      </c>
      <c r="R105" s="421" t="str">
        <f t="array" ref="R105">IFERROR(INDEX(IM!$AM$2:$AM$5000, MATCH(1, (IM!$F$2:$F$5000=A105) * (ISNUMBER(SEARCH(勤務統計!$D$1, IM!$AC$2:$AC$5000))), 0)), "")</f>
        <v/>
      </c>
      <c r="S105" s="406" t="str" cm="1">
        <f t="array" ref="S105">IF(AND(SUMPRODUCT((IM!$F$2:$F$5000=A105)*(ISNUMBER(SEARCH(勤務統計!$E$1, IM!$AC$2:$AC$5000))))&gt;0), 勤務統計!$E$1, "")</f>
        <v/>
      </c>
      <c r="T105" s="422" t="str">
        <f t="array" ref="T105">IFERROR(INDEX(IM!$AM$2:$AM$5000, MATCH(1, (IM!$F$2:$F$5000=A105) * (ISNUMBER(SEARCH(勤務統計!$E$1, IM!$AC$2:$AC$5000))), 0)), "")</f>
        <v/>
      </c>
      <c r="U105" s="406" t="str" cm="1">
        <f t="array" ref="U105">IF(AND(SUMPRODUCT((IM!$F$2:$F$5000=A105)*(ISNUMBER(SEARCH(勤務統計!$F$1, IM!$AC$2:$AC$5000))))&gt;0), 勤務統計!$F$1, "")</f>
        <v/>
      </c>
      <c r="V105" s="413" t="str">
        <f t="array" ref="V105">IFERROR(INDEX(IM!$AM$2:$AM$5000, MATCH(1, (IM!$F$2:$F$5000=A105) * (ISNUMBER(SEARCH(勤務統計!$F$1, IM!$AC$2:$AC$5000))), 0)), "")</f>
        <v/>
      </c>
      <c r="W105" s="414" t="str">
        <f>IF(VLOOKUP(A105,'0919門市清單主檔'!B:AC,28,FALSE)=0,"",VLOOKUP(A105,'0919門市清單主檔'!B:AC,28,FALSE))</f>
        <v/>
      </c>
    </row>
    <row r="106" spans="1:23" ht="21.6" customHeight="1">
      <c r="A106" s="423">
        <v>4680</v>
      </c>
      <c r="B106" s="416" t="str">
        <f>VLOOKUP(A106,'0919門市清單主檔'!B:C,2,FALSE)</f>
        <v>板橋江寧店</v>
      </c>
      <c r="C106" s="415" t="str">
        <f>VLOOKUP($A106,'0919門市清單主檔'!B:V,20,FALSE)</f>
        <v>新北市</v>
      </c>
      <c r="D106" s="410" t="str">
        <f>VLOOKUP($A106,'0919門市清單主檔'!B:V,21,FALSE)</f>
        <v>板橋區</v>
      </c>
      <c r="E106" s="397" t="str">
        <f>VLOOKUP(D106,門市狀態!G:H,2,FALSE)</f>
        <v>狄澤洋</v>
      </c>
      <c r="F106" s="410" t="str">
        <f>IFERROR(IF(VLOOKUP(A106,門市狀態!A:D,4,FALSE)=0,"",VLOOKUP(A106,門市狀態!A:D,4,FALSE)),"")</f>
        <v/>
      </c>
      <c r="G106" s="424"/>
      <c r="H106" s="425" t="str">
        <f>IF(I106&gt;0,(TEXT(I106,"yyyymmdd")&amp;勤務統計!$V$2&amp;A106&amp;勤務統計!$V$2&amp;B106&amp;勤務統計!$S$2),"")</f>
        <v>-4680-板橋江寧店(定保)</v>
      </c>
      <c r="I106" s="247" t="str">
        <f t="array" ref="I106">IF(AND(SUMPRODUCT((IM!$F$2:$F$5000=A106)*(ISNUMBER(SEARCH(勤務統計!$C$1, IM!$AC$2:$AC$5000))))&gt;0), 勤務統計!$C$1, "")</f>
        <v/>
      </c>
      <c r="J106" s="399" t="str">
        <f t="array" ref="J106">IFERROR(INDEX(IM!$AM$2:$AM$5000, MATCH(1, (IM!$F$2:$F$5000=A106) * (ISNUMBER(SEARCH(勤務統計!$C$1, IM!$AC$2:$AC$5000))), 0)), "")</f>
        <v/>
      </c>
      <c r="K106" s="400">
        <f t="array" ref="K106">SUMPRODUCT((IM!$F$2:$F$5000=A106)*(IM!$AD$2:$AD$5000="O")*(ISNUMBER(SEARCH(勤務統計!$C$1, IM!$AC$2:$AC$5000))))</f>
        <v>0</v>
      </c>
      <c r="L106" s="401" t="str">
        <f t="array" ref="L106">IF(K106&gt;0,IFERROR(HYPERLINK("#'IM'!AC"&amp;MATCH(1,(IM!$F$1:$F$5000=A106)*(ISNUMBER(SEARCH(勤務統計!$C$1,IM!$AC$1:$AC$5000))),0),"檢核"),"未登錄"),"")</f>
        <v/>
      </c>
      <c r="M106" s="402" t="str">
        <f t="shared" si="1"/>
        <v/>
      </c>
      <c r="N106" s="402" t="str">
        <f t="array" ref="N106">IF(AND(
    SUMPRODUCT(
        (IM!$F$2:$F$522=A106) *
        ISNUMBER(SEARCH("*HUB*", IM!$AC$2:$AC$522)) *
        (IM!$X$2:$X$522&gt;=勤務統計!$A$1) *
        (IM!$X$2:$X$522&lt;=勤務統計!$B$1)*(W106="HUB")
    ) &gt; 0
), "HUB", "")</f>
        <v/>
      </c>
      <c r="O106" s="400" t="str">
        <f>IF(
  IFERROR(VLOOKUP(A106,勤務統計!A:I,9,FALSE),"")&lt;&gt;勤務統計!$C$1,
  "未完工",
  IF(
    AND(勤務統計!$D$1="--",勤務統計!$E$1="--",勤務統計!$F$1="--"),
    "已完工",
    IF(
      OR(
        AND(勤務統計!$D$1&lt;&gt;"--", IFERROR(VLOOKUP(A106,'0919門市清單主檔'!B:AH,31,FALSE),"")=勤務統計!$D$1, IFERROR(VLOOKUP(A106,勤務統計!A:Q,17,FALSE),"")&lt;&gt;勤務統計!$D$1),
        AND(勤務統計!$E$1&lt;&gt;"--", IFERROR(VLOOKUP(A106,'0919門市清單主檔'!B:AH,32,FALSE),"")=勤務統計!$E$1, IFERROR(VLOOKUP(A106,勤務統計!A:S,19,FALSE),"")&lt;&gt;勤務統計!$E$1),
        AND(勤務統計!$F$1&lt;&gt;"--", IFERROR(VLOOKUP(A106,'0919門市清單主檔'!B:AH,33,FALSE),"")=勤務統計!$F$1, IFERROR(VLOOKUP(A106,勤務統計!A:U,21,FALSE),"")&lt;&gt;勤務統計!$F$1),
        AND(IFERROR(VLOOKUP(A106,'0919門市清單主檔'!B:AH,28,FALSE),"")="HUB", IFERROR(VLOOKUP(A106,勤務統計!A:W,23,FALSE),"")&lt;&gt;"HUB")
      ),
      _xlfn.TEXTJOIN(
        "，",
        TRUE,
        IF(AND(勤務統計!$D$1&lt;&gt;"--", IFERROR(VLOOKUP(A106,'0919門市清單主檔'!B:AH,31,FALSE),"")=勤務統計!$D$1, IFERROR(VLOOKUP(A106,勤務統計!A:Q,17,FALSE),"")&lt;&gt;勤務統計!$D$1), 勤務統計!$D$1, ""),
        IF(AND(勤務統計!$E$1&lt;&gt;"--", IFERROR(VLOOKUP(A106,'0919門市清單主檔'!B:AH,32,FALSE),"")=勤務統計!$E$1, IFERROR(VLOOKUP(A106,勤務統計!A:S,19,FALSE),"")&lt;&gt;勤務統計!$E$1), 勤務統計!$E$1, ""),
        IF(AND(勤務統計!$F$1&lt;&gt;"--", IFERROR(VLOOKUP(A106,'0919門市清單主檔'!B:AH,33,FALSE),"")=勤務統計!$F$1, IFERROR(VLOOKUP(A106,勤務統計!A:U,21,FALSE),"")&lt;&gt;勤務統計!$F$1), 勤務統計!$F$1, ""),
        IF(AND(IFERROR(VLOOKUP(A106,'0919門市清單主檔'!B:AH,28,FALSE),"")="HUB", IFERROR(VLOOKUP(A106,勤務統計!A:W,23,FALSE),"")&lt;&gt;"HUB"), "HUB", "")
      ) &amp; "未完工",
      "已完工"
    )
  )
)</f>
        <v>未完工</v>
      </c>
      <c r="P106" s="403" t="str">
        <f>(TEXT(I106,"yyyymmdd"))&amp;勤務統計!$V$2&amp;A106&amp;勤務統計!$V$2&amp;B106&amp;勤務統計!$S$2</f>
        <v>-4680-板橋江寧店(定保)</v>
      </c>
      <c r="Q106" s="420" t="str">
        <f t="array" ref="Q106">IF(AND(SUMPRODUCT((IM!$F$2:$F$5000=A106)*(ISNUMBER(SEARCH(勤務統計!$D$1, IM!$AC$2:$AC$5000))))&gt;0), 勤務統計!$D$1, "")</f>
        <v/>
      </c>
      <c r="R106" s="421" t="str">
        <f t="array" ref="R106">IFERROR(INDEX(IM!$AM$2:$AM$5000, MATCH(1, (IM!$F$2:$F$5000=A106) * (ISNUMBER(SEARCH(勤務統計!$D$1, IM!$AC$2:$AC$5000))), 0)), "")</f>
        <v/>
      </c>
      <c r="S106" s="406" t="str" cm="1">
        <f t="array" ref="S106">IF(AND(SUMPRODUCT((IM!$F$2:$F$5000=A106)*(ISNUMBER(SEARCH(勤務統計!$E$1, IM!$AC$2:$AC$5000))))&gt;0), 勤務統計!$E$1, "")</f>
        <v/>
      </c>
      <c r="T106" s="422" t="str">
        <f t="array" ref="T106">IFERROR(INDEX(IM!$AM$2:$AM$5000, MATCH(1, (IM!$F$2:$F$5000=A106) * (ISNUMBER(SEARCH(勤務統計!$E$1, IM!$AC$2:$AC$5000))), 0)), "")</f>
        <v/>
      </c>
      <c r="U106" s="406" t="str" cm="1">
        <f t="array" ref="U106">IF(AND(SUMPRODUCT((IM!$F$2:$F$5000=A106)*(ISNUMBER(SEARCH(勤務統計!$F$1, IM!$AC$2:$AC$5000))))&gt;0), 勤務統計!$F$1, "")</f>
        <v/>
      </c>
      <c r="V106" s="413" t="str">
        <f t="array" ref="V106">IFERROR(INDEX(IM!$AM$2:$AM$5000, MATCH(1, (IM!$F$2:$F$5000=A106) * (ISNUMBER(SEARCH(勤務統計!$F$1, IM!$AC$2:$AC$5000))), 0)), "")</f>
        <v/>
      </c>
      <c r="W106" s="414" t="str">
        <f>IF(VLOOKUP(A106,'0919門市清單主檔'!B:AC,28,FALSE)=0,"",VLOOKUP(A106,'0919門市清單主檔'!B:AC,28,FALSE))</f>
        <v/>
      </c>
    </row>
    <row r="107" spans="1:23" ht="21.6" customHeight="1">
      <c r="A107" s="423">
        <v>4155</v>
      </c>
      <c r="B107" s="416" t="str">
        <f>VLOOKUP(A107,'0919門市清單主檔'!B:C,2,FALSE)</f>
        <v>三重穀保店</v>
      </c>
      <c r="C107" s="415" t="str">
        <f>VLOOKUP($A107,'0919門市清單主檔'!B:V,20,FALSE)</f>
        <v>新北市</v>
      </c>
      <c r="D107" s="410" t="str">
        <f>VLOOKUP($A107,'0919門市清單主檔'!B:V,21,FALSE)</f>
        <v>三重區</v>
      </c>
      <c r="E107" s="397" t="str">
        <f>VLOOKUP(D107,門市狀態!G:H,2,FALSE)</f>
        <v>劉柏均</v>
      </c>
      <c r="F107" s="410" t="str">
        <f>IFERROR(IF(VLOOKUP(A107,門市狀態!A:D,4,FALSE)=0,"",VLOOKUP(A107,門市狀態!A:D,4,FALSE)),"")</f>
        <v/>
      </c>
      <c r="G107" s="424"/>
      <c r="H107" s="425" t="str">
        <f>IF(I107&gt;0,(TEXT(I107,"yyyymmdd")&amp;勤務統計!$V$2&amp;A107&amp;勤務統計!$V$2&amp;B107&amp;勤務統計!$S$2),"")</f>
        <v>-4155-三重穀保店(定保)</v>
      </c>
      <c r="I107" s="247" t="str">
        <f t="array" ref="I107">IF(AND(SUMPRODUCT((IM!$F$2:$F$5000=A107)*(ISNUMBER(SEARCH(勤務統計!$C$1, IM!$AC$2:$AC$5000))))&gt;0), 勤務統計!$C$1, "")</f>
        <v/>
      </c>
      <c r="J107" s="399" t="str">
        <f t="array" ref="J107">IFERROR(INDEX(IM!$AM$2:$AM$5000, MATCH(1, (IM!$F$2:$F$5000=A107) * (ISNUMBER(SEARCH(勤務統計!$C$1, IM!$AC$2:$AC$5000))), 0)), "")</f>
        <v/>
      </c>
      <c r="K107" s="400">
        <f t="array" ref="K107">SUMPRODUCT((IM!$F$2:$F$5000=A107)*(IM!$AD$2:$AD$5000="O")*(ISNUMBER(SEARCH(勤務統計!$C$1, IM!$AC$2:$AC$5000))))</f>
        <v>0</v>
      </c>
      <c r="L107" s="401" t="str">
        <f t="array" ref="L107">IF(K107&gt;0,IFERROR(HYPERLINK("#'IM'!AC"&amp;MATCH(1,(IM!$F$1:$F$5000=A107)*(ISNUMBER(SEARCH(勤務統計!$C$1,IM!$AC$1:$AC$5000))),0),"檢核"),"未登錄"),"")</f>
        <v/>
      </c>
      <c r="M107" s="402" t="str">
        <f t="shared" si="1"/>
        <v>+L90</v>
      </c>
      <c r="N107" s="402" t="str">
        <f t="array" ref="N107">IF(AND(
    SUMPRODUCT(
        (IM!$F$2:$F$522=A107) *
        ISNUMBER(SEARCH("*HUB*", IM!$AC$2:$AC$522)) *
        (IM!$X$2:$X$522&gt;=勤務統計!$A$1) *
        (IM!$X$2:$X$522&lt;=勤務統計!$B$1)*(W107="HUB")
    ) &gt; 0
), "HUB", "")</f>
        <v/>
      </c>
      <c r="O107" s="400" t="str">
        <f>IF(
  IFERROR(VLOOKUP(A107,勤務統計!A:I,9,FALSE),"")&lt;&gt;勤務統計!$C$1,
  "未完工",
  IF(
    AND(勤務統計!$D$1="--",勤務統計!$E$1="--",勤務統計!$F$1="--"),
    "已完工",
    IF(
      OR(
        AND(勤務統計!$D$1&lt;&gt;"--", IFERROR(VLOOKUP(A107,'0919門市清單主檔'!B:AH,31,FALSE),"")=勤務統計!$D$1, IFERROR(VLOOKUP(A107,勤務統計!A:Q,17,FALSE),"")&lt;&gt;勤務統計!$D$1),
        AND(勤務統計!$E$1&lt;&gt;"--", IFERROR(VLOOKUP(A107,'0919門市清單主檔'!B:AH,32,FALSE),"")=勤務統計!$E$1, IFERROR(VLOOKUP(A107,勤務統計!A:S,19,FALSE),"")&lt;&gt;勤務統計!$E$1),
        AND(勤務統計!$F$1&lt;&gt;"--", IFERROR(VLOOKUP(A107,'0919門市清單主檔'!B:AH,33,FALSE),"")=勤務統計!$F$1, IFERROR(VLOOKUP(A107,勤務統計!A:U,21,FALSE),"")&lt;&gt;勤務統計!$F$1),
        AND(IFERROR(VLOOKUP(A107,'0919門市清單主檔'!B:AH,28,FALSE),"")="HUB", IFERROR(VLOOKUP(A107,勤務統計!A:W,23,FALSE),"")&lt;&gt;"HUB")
      ),
      _xlfn.TEXTJOIN(
        "，",
        TRUE,
        IF(AND(勤務統計!$D$1&lt;&gt;"--", IFERROR(VLOOKUP(A107,'0919門市清單主檔'!B:AH,31,FALSE),"")=勤務統計!$D$1, IFERROR(VLOOKUP(A107,勤務統計!A:Q,17,FALSE),"")&lt;&gt;勤務統計!$D$1), 勤務統計!$D$1, ""),
        IF(AND(勤務統計!$E$1&lt;&gt;"--", IFERROR(VLOOKUP(A107,'0919門市清單主檔'!B:AH,32,FALSE),"")=勤務統計!$E$1, IFERROR(VLOOKUP(A107,勤務統計!A:S,19,FALSE),"")&lt;&gt;勤務統計!$E$1), 勤務統計!$E$1, ""),
        IF(AND(勤務統計!$F$1&lt;&gt;"--", IFERROR(VLOOKUP(A107,'0919門市清單主檔'!B:AH,33,FALSE),"")=勤務統計!$F$1, IFERROR(VLOOKUP(A107,勤務統計!A:U,21,FALSE),"")&lt;&gt;勤務統計!$F$1), 勤務統計!$F$1, ""),
        IF(AND(IFERROR(VLOOKUP(A107,'0919門市清單主檔'!B:AH,28,FALSE),"")="HUB", IFERROR(VLOOKUP(A107,勤務統計!A:W,23,FALSE),"")&lt;&gt;"HUB"), "HUB", "")
      ) &amp; "未完工",
      "已完工"
    )
  )
)</f>
        <v>未完工</v>
      </c>
      <c r="P107" s="403" t="str">
        <f>(TEXT(I107,"yyyymmdd"))&amp;勤務統計!$V$2&amp;A107&amp;勤務統計!$V$2&amp;B107&amp;勤務統計!$S$2</f>
        <v>-4155-三重穀保店(定保)</v>
      </c>
      <c r="Q107" s="420" t="str">
        <f t="array" ref="Q107">IF(AND(SUMPRODUCT((IM!$F$2:$F$5000=A107)*(ISNUMBER(SEARCH(勤務統計!$D$1, IM!$AC$2:$AC$5000))))&gt;0), 勤務統計!$D$1, "")</f>
        <v/>
      </c>
      <c r="R107" s="421" t="str">
        <f t="array" ref="R107">IFERROR(INDEX(IM!$AM$2:$AM$5000, MATCH(1, (IM!$F$2:$F$5000=A107) * (ISNUMBER(SEARCH(勤務統計!$D$1, IM!$AC$2:$AC$5000))), 0)), "")</f>
        <v/>
      </c>
      <c r="S107" s="406" t="str" cm="1">
        <f t="array" ref="S107">IF(AND(SUMPRODUCT((IM!$F$2:$F$5000=A107)*(ISNUMBER(SEARCH(勤務統計!$E$1, IM!$AC$2:$AC$5000))))&gt;0), 勤務統計!$E$1, "")</f>
        <v>+L90</v>
      </c>
      <c r="T107" s="422">
        <f t="array" ref="T107">IFERROR(INDEX(IM!$AM$2:$AM$5000, MATCH(1, (IM!$F$2:$F$5000=A107) * (ISNUMBER(SEARCH(勤務統計!$E$1, IM!$AC$2:$AC$5000))), 0)), "")</f>
        <v>45988</v>
      </c>
      <c r="U107" s="406" t="str" cm="1">
        <f t="array" ref="U107">IF(AND(SUMPRODUCT((IM!$F$2:$F$5000=A107)*(ISNUMBER(SEARCH(勤務統計!$F$1, IM!$AC$2:$AC$5000))))&gt;0), 勤務統計!$F$1, "")</f>
        <v/>
      </c>
      <c r="V107" s="413" t="str">
        <f t="array" ref="V107">IFERROR(INDEX(IM!$AM$2:$AM$5000, MATCH(1, (IM!$F$2:$F$5000=A107) * (ISNUMBER(SEARCH(勤務統計!$F$1, IM!$AC$2:$AC$5000))), 0)), "")</f>
        <v/>
      </c>
      <c r="W107" s="414" t="str">
        <f>IF(VLOOKUP(A107,'0919門市清單主檔'!B:AC,28,FALSE)=0,"",VLOOKUP(A107,'0919門市清單主檔'!B:AC,28,FALSE))</f>
        <v/>
      </c>
    </row>
    <row r="108" spans="1:23" ht="21.6" customHeight="1">
      <c r="A108" s="423">
        <v>4652</v>
      </c>
      <c r="B108" s="416" t="str">
        <f>VLOOKUP(A108,'0919門市清單主檔'!B:C,2,FALSE)</f>
        <v>三重商工店</v>
      </c>
      <c r="C108" s="415" t="str">
        <f>VLOOKUP($A108,'0919門市清單主檔'!B:V,20,FALSE)</f>
        <v>新北市</v>
      </c>
      <c r="D108" s="410" t="str">
        <f>VLOOKUP($A108,'0919門市清單主檔'!B:V,21,FALSE)</f>
        <v>三重區</v>
      </c>
      <c r="E108" s="397" t="str">
        <f>VLOOKUP(D108,門市狀態!G:H,2,FALSE)</f>
        <v>劉柏均</v>
      </c>
      <c r="F108" s="410" t="str">
        <f>IFERROR(IF(VLOOKUP(A108,門市狀態!A:D,4,FALSE)=0,"",VLOOKUP(A108,門市狀態!A:D,4,FALSE)),"")</f>
        <v/>
      </c>
      <c r="G108" s="424"/>
      <c r="H108" s="425" t="str">
        <f>IF(I108&gt;0,(TEXT(I108,"yyyymmdd")&amp;勤務統計!$V$2&amp;A108&amp;勤務統計!$V$2&amp;B108&amp;勤務統計!$S$2),"")</f>
        <v>-4652-三重商工店(定保)</v>
      </c>
      <c r="I108" s="247" t="str">
        <f t="array" ref="I108">IF(AND(SUMPRODUCT((IM!$F$2:$F$5000=A108)*(ISNUMBER(SEARCH(勤務統計!$C$1, IM!$AC$2:$AC$5000))))&gt;0), 勤務統計!$C$1, "")</f>
        <v/>
      </c>
      <c r="J108" s="399" t="str">
        <f t="array" ref="J108">IFERROR(INDEX(IM!$AM$2:$AM$5000, MATCH(1, (IM!$F$2:$F$5000=A108) * (ISNUMBER(SEARCH(勤務統計!$C$1, IM!$AC$2:$AC$5000))), 0)), "")</f>
        <v/>
      </c>
      <c r="K108" s="400">
        <f t="array" ref="K108">SUMPRODUCT((IM!$F$2:$F$5000=A108)*(IM!$AD$2:$AD$5000="O")*(ISNUMBER(SEARCH(勤務統計!$C$1, IM!$AC$2:$AC$5000))))</f>
        <v>0</v>
      </c>
      <c r="L108" s="401" t="str">
        <f t="array" ref="L108">IF(K108&gt;0,IFERROR(HYPERLINK("#'IM'!AC"&amp;MATCH(1,(IM!$F$1:$F$5000=A108)*(ISNUMBER(SEARCH(勤務統計!$C$1,IM!$AC$1:$AC$5000))),0),"檢核"),"未登錄"),"")</f>
        <v/>
      </c>
      <c r="M108" s="402" t="str">
        <f t="shared" si="1"/>
        <v>+L90</v>
      </c>
      <c r="N108" s="402" t="str">
        <f t="array" ref="N108">IF(AND(
    SUMPRODUCT(
        (IM!$F$2:$F$522=A108) *
        ISNUMBER(SEARCH("*HUB*", IM!$AC$2:$AC$522)) *
        (IM!$X$2:$X$522&gt;=勤務統計!$A$1) *
        (IM!$X$2:$X$522&lt;=勤務統計!$B$1)*(W108="HUB")
    ) &gt; 0
), "HUB", "")</f>
        <v/>
      </c>
      <c r="O108" s="400" t="str">
        <f>IF(
  IFERROR(VLOOKUP(A108,勤務統計!A:I,9,FALSE),"")&lt;&gt;勤務統計!$C$1,
  "未完工",
  IF(
    AND(勤務統計!$D$1="--",勤務統計!$E$1="--",勤務統計!$F$1="--"),
    "已完工",
    IF(
      OR(
        AND(勤務統計!$D$1&lt;&gt;"--", IFERROR(VLOOKUP(A108,'0919門市清單主檔'!B:AH,31,FALSE),"")=勤務統計!$D$1, IFERROR(VLOOKUP(A108,勤務統計!A:Q,17,FALSE),"")&lt;&gt;勤務統計!$D$1),
        AND(勤務統計!$E$1&lt;&gt;"--", IFERROR(VLOOKUP(A108,'0919門市清單主檔'!B:AH,32,FALSE),"")=勤務統計!$E$1, IFERROR(VLOOKUP(A108,勤務統計!A:S,19,FALSE),"")&lt;&gt;勤務統計!$E$1),
        AND(勤務統計!$F$1&lt;&gt;"--", IFERROR(VLOOKUP(A108,'0919門市清單主檔'!B:AH,33,FALSE),"")=勤務統計!$F$1, IFERROR(VLOOKUP(A108,勤務統計!A:U,21,FALSE),"")&lt;&gt;勤務統計!$F$1),
        AND(IFERROR(VLOOKUP(A108,'0919門市清單主檔'!B:AH,28,FALSE),"")="HUB", IFERROR(VLOOKUP(A108,勤務統計!A:W,23,FALSE),"")&lt;&gt;"HUB")
      ),
      _xlfn.TEXTJOIN(
        "，",
        TRUE,
        IF(AND(勤務統計!$D$1&lt;&gt;"--", IFERROR(VLOOKUP(A108,'0919門市清單主檔'!B:AH,31,FALSE),"")=勤務統計!$D$1, IFERROR(VLOOKUP(A108,勤務統計!A:Q,17,FALSE),"")&lt;&gt;勤務統計!$D$1), 勤務統計!$D$1, ""),
        IF(AND(勤務統計!$E$1&lt;&gt;"--", IFERROR(VLOOKUP(A108,'0919門市清單主檔'!B:AH,32,FALSE),"")=勤務統計!$E$1, IFERROR(VLOOKUP(A108,勤務統計!A:S,19,FALSE),"")&lt;&gt;勤務統計!$E$1), 勤務統計!$E$1, ""),
        IF(AND(勤務統計!$F$1&lt;&gt;"--", IFERROR(VLOOKUP(A108,'0919門市清單主檔'!B:AH,33,FALSE),"")=勤務統計!$F$1, IFERROR(VLOOKUP(A108,勤務統計!A:U,21,FALSE),"")&lt;&gt;勤務統計!$F$1), 勤務統計!$F$1, ""),
        IF(AND(IFERROR(VLOOKUP(A108,'0919門市清單主檔'!B:AH,28,FALSE),"")="HUB", IFERROR(VLOOKUP(A108,勤務統計!A:W,23,FALSE),"")&lt;&gt;"HUB"), "HUB", "")
      ) &amp; "未完工",
      "已完工"
    )
  )
)</f>
        <v>未完工</v>
      </c>
      <c r="P108" s="403" t="str">
        <f>(TEXT(I108,"yyyymmdd"))&amp;勤務統計!$V$2&amp;A108&amp;勤務統計!$V$2&amp;B108&amp;勤務統計!$S$2</f>
        <v>-4652-三重商工店(定保)</v>
      </c>
      <c r="Q108" s="420" t="str">
        <f t="array" ref="Q108">IF(AND(SUMPRODUCT((IM!$F$2:$F$5000=A108)*(ISNUMBER(SEARCH(勤務統計!$D$1, IM!$AC$2:$AC$5000))))&gt;0), 勤務統計!$D$1, "")</f>
        <v/>
      </c>
      <c r="R108" s="421" t="str">
        <f t="array" ref="R108">IFERROR(INDEX(IM!$AM$2:$AM$5000, MATCH(1, (IM!$F$2:$F$5000=A108) * (ISNUMBER(SEARCH(勤務統計!$D$1, IM!$AC$2:$AC$5000))), 0)), "")</f>
        <v/>
      </c>
      <c r="S108" s="406" t="str" cm="1">
        <f t="array" ref="S108">IF(AND(SUMPRODUCT((IM!$F$2:$F$5000=A108)*(ISNUMBER(SEARCH(勤務統計!$E$1, IM!$AC$2:$AC$5000))))&gt;0), 勤務統計!$E$1, "")</f>
        <v>+L90</v>
      </c>
      <c r="T108" s="422">
        <f t="array" ref="T108">IFERROR(INDEX(IM!$AM$2:$AM$5000, MATCH(1, (IM!$F$2:$F$5000=A108) * (ISNUMBER(SEARCH(勤務統計!$E$1, IM!$AC$2:$AC$5000))), 0)), "")</f>
        <v>46010</v>
      </c>
      <c r="U108" s="406" t="str" cm="1">
        <f t="array" ref="U108">IF(AND(SUMPRODUCT((IM!$F$2:$F$5000=A108)*(ISNUMBER(SEARCH(勤務統計!$F$1, IM!$AC$2:$AC$5000))))&gt;0), 勤務統計!$F$1, "")</f>
        <v/>
      </c>
      <c r="V108" s="413" t="str">
        <f t="array" ref="V108">IFERROR(INDEX(IM!$AM$2:$AM$5000, MATCH(1, (IM!$F$2:$F$5000=A108) * (ISNUMBER(SEARCH(勤務統計!$F$1, IM!$AC$2:$AC$5000))), 0)), "")</f>
        <v/>
      </c>
      <c r="W108" s="414" t="str">
        <f>IF(VLOOKUP(A108,'0919門市清單主檔'!B:AC,28,FALSE)=0,"",VLOOKUP(A108,'0919門市清單主檔'!B:AC,28,FALSE))</f>
        <v/>
      </c>
    </row>
    <row r="109" spans="1:23" ht="21.6" customHeight="1">
      <c r="A109" s="423">
        <v>4388</v>
      </c>
      <c r="B109" s="416" t="str">
        <f>VLOOKUP(A109,'0919門市清單主檔'!B:C,2,FALSE)</f>
        <v>三重薔薇店</v>
      </c>
      <c r="C109" s="415" t="str">
        <f>VLOOKUP($A109,'0919門市清單主檔'!B:V,20,FALSE)</f>
        <v>新北市</v>
      </c>
      <c r="D109" s="410" t="str">
        <f>VLOOKUP($A109,'0919門市清單主檔'!B:V,21,FALSE)</f>
        <v>三重區</v>
      </c>
      <c r="E109" s="397" t="str">
        <f>VLOOKUP(D109,門市狀態!G:H,2,FALSE)</f>
        <v>劉柏均</v>
      </c>
      <c r="F109" s="410" t="str">
        <f>IFERROR(IF(VLOOKUP(A109,門市狀態!A:D,4,FALSE)=0,"",VLOOKUP(A109,門市狀態!A:D,4,FALSE)),"")</f>
        <v/>
      </c>
      <c r="G109" s="424"/>
      <c r="H109" s="425" t="str">
        <f>IF(I109&gt;0,(TEXT(I109,"yyyymmdd")&amp;勤務統計!$V$2&amp;A109&amp;勤務統計!$V$2&amp;B109&amp;勤務統計!$S$2),"")</f>
        <v>-4388-三重薔薇店(定保)</v>
      </c>
      <c r="I109" s="247" t="str">
        <f t="array" ref="I109">IF(AND(SUMPRODUCT((IM!$F$2:$F$5000=A109)*(ISNUMBER(SEARCH(勤務統計!$C$1, IM!$AC$2:$AC$5000))))&gt;0), 勤務統計!$C$1, "")</f>
        <v/>
      </c>
      <c r="J109" s="399" t="str">
        <f t="array" ref="J109">IFERROR(INDEX(IM!$AM$2:$AM$5000, MATCH(1, (IM!$F$2:$F$5000=A109) * (ISNUMBER(SEARCH(勤務統計!$C$1, IM!$AC$2:$AC$5000))), 0)), "")</f>
        <v/>
      </c>
      <c r="K109" s="400">
        <f t="array" ref="K109">SUMPRODUCT((IM!$F$2:$F$5000=A109)*(IM!$AD$2:$AD$5000="O")*(ISNUMBER(SEARCH(勤務統計!$C$1, IM!$AC$2:$AC$5000))))</f>
        <v>0</v>
      </c>
      <c r="L109" s="401" t="str">
        <f t="array" ref="L109">IF(K109&gt;0,IFERROR(HYPERLINK("#'IM'!AC"&amp;MATCH(1,(IM!$F$1:$F$5000=A109)*(ISNUMBER(SEARCH(勤務統計!$C$1,IM!$AC$1:$AC$5000))),0),"檢核"),"未登錄"),"")</f>
        <v/>
      </c>
      <c r="M109" s="402" t="str">
        <f t="shared" si="1"/>
        <v>+L90</v>
      </c>
      <c r="N109" s="402" t="str">
        <f t="array" ref="N109">IF(AND(
    SUMPRODUCT(
        (IM!$F$2:$F$522=A109) *
        ISNUMBER(SEARCH("*HUB*", IM!$AC$2:$AC$522)) *
        (IM!$X$2:$X$522&gt;=勤務統計!$A$1) *
        (IM!$X$2:$X$522&lt;=勤務統計!$B$1)*(W109="HUB")
    ) &gt; 0
), "HUB", "")</f>
        <v/>
      </c>
      <c r="O109" s="400" t="str">
        <f>IF(
  IFERROR(VLOOKUP(A109,勤務統計!A:I,9,FALSE),"")&lt;&gt;勤務統計!$C$1,
  "未完工",
  IF(
    AND(勤務統計!$D$1="--",勤務統計!$E$1="--",勤務統計!$F$1="--"),
    "已完工",
    IF(
      OR(
        AND(勤務統計!$D$1&lt;&gt;"--", IFERROR(VLOOKUP(A109,'0919門市清單主檔'!B:AH,31,FALSE),"")=勤務統計!$D$1, IFERROR(VLOOKUP(A109,勤務統計!A:Q,17,FALSE),"")&lt;&gt;勤務統計!$D$1),
        AND(勤務統計!$E$1&lt;&gt;"--", IFERROR(VLOOKUP(A109,'0919門市清單主檔'!B:AH,32,FALSE),"")=勤務統計!$E$1, IFERROR(VLOOKUP(A109,勤務統計!A:S,19,FALSE),"")&lt;&gt;勤務統計!$E$1),
        AND(勤務統計!$F$1&lt;&gt;"--", IFERROR(VLOOKUP(A109,'0919門市清單主檔'!B:AH,33,FALSE),"")=勤務統計!$F$1, IFERROR(VLOOKUP(A109,勤務統計!A:U,21,FALSE),"")&lt;&gt;勤務統計!$F$1),
        AND(IFERROR(VLOOKUP(A109,'0919門市清單主檔'!B:AH,28,FALSE),"")="HUB", IFERROR(VLOOKUP(A109,勤務統計!A:W,23,FALSE),"")&lt;&gt;"HUB")
      ),
      _xlfn.TEXTJOIN(
        "，",
        TRUE,
        IF(AND(勤務統計!$D$1&lt;&gt;"--", IFERROR(VLOOKUP(A109,'0919門市清單主檔'!B:AH,31,FALSE),"")=勤務統計!$D$1, IFERROR(VLOOKUP(A109,勤務統計!A:Q,17,FALSE),"")&lt;&gt;勤務統計!$D$1), 勤務統計!$D$1, ""),
        IF(AND(勤務統計!$E$1&lt;&gt;"--", IFERROR(VLOOKUP(A109,'0919門市清單主檔'!B:AH,32,FALSE),"")=勤務統計!$E$1, IFERROR(VLOOKUP(A109,勤務統計!A:S,19,FALSE),"")&lt;&gt;勤務統計!$E$1), 勤務統計!$E$1, ""),
        IF(AND(勤務統計!$F$1&lt;&gt;"--", IFERROR(VLOOKUP(A109,'0919門市清單主檔'!B:AH,33,FALSE),"")=勤務統計!$F$1, IFERROR(VLOOKUP(A109,勤務統計!A:U,21,FALSE),"")&lt;&gt;勤務統計!$F$1), 勤務統計!$F$1, ""),
        IF(AND(IFERROR(VLOOKUP(A109,'0919門市清單主檔'!B:AH,28,FALSE),"")="HUB", IFERROR(VLOOKUP(A109,勤務統計!A:W,23,FALSE),"")&lt;&gt;"HUB"), "HUB", "")
      ) &amp; "未完工",
      "已完工"
    )
  )
)</f>
        <v>未完工</v>
      </c>
      <c r="P109" s="403" t="str">
        <f>(TEXT(I109,"yyyymmdd"))&amp;勤務統計!$V$2&amp;A109&amp;勤務統計!$V$2&amp;B109&amp;勤務統計!$S$2</f>
        <v>-4388-三重薔薇店(定保)</v>
      </c>
      <c r="Q109" s="420" t="str">
        <f t="array" ref="Q109">IF(AND(SUMPRODUCT((IM!$F$2:$F$5000=A109)*(ISNUMBER(SEARCH(勤務統計!$D$1, IM!$AC$2:$AC$5000))))&gt;0), 勤務統計!$D$1, "")</f>
        <v/>
      </c>
      <c r="R109" s="421" t="str">
        <f t="array" ref="R109">IFERROR(INDEX(IM!$AM$2:$AM$5000, MATCH(1, (IM!$F$2:$F$5000=A109) * (ISNUMBER(SEARCH(勤務統計!$D$1, IM!$AC$2:$AC$5000))), 0)), "")</f>
        <v/>
      </c>
      <c r="S109" s="406" t="str" cm="1">
        <f t="array" ref="S109">IF(AND(SUMPRODUCT((IM!$F$2:$F$5000=A109)*(ISNUMBER(SEARCH(勤務統計!$E$1, IM!$AC$2:$AC$5000))))&gt;0), 勤務統計!$E$1, "")</f>
        <v>+L90</v>
      </c>
      <c r="T109" s="422">
        <f t="array" ref="T109">IFERROR(INDEX(IM!$AM$2:$AM$5000, MATCH(1, (IM!$F$2:$F$5000=A109) * (ISNUMBER(SEARCH(勤務統計!$E$1, IM!$AC$2:$AC$5000))), 0)), "")</f>
        <v>45981</v>
      </c>
      <c r="U109" s="406" t="str" cm="1">
        <f t="array" ref="U109">IF(AND(SUMPRODUCT((IM!$F$2:$F$5000=A109)*(ISNUMBER(SEARCH(勤務統計!$F$1, IM!$AC$2:$AC$5000))))&gt;0), 勤務統計!$F$1, "")</f>
        <v/>
      </c>
      <c r="V109" s="413" t="str">
        <f t="array" ref="V109">IFERROR(INDEX(IM!$AM$2:$AM$5000, MATCH(1, (IM!$F$2:$F$5000=A109) * (ISNUMBER(SEARCH(勤務統計!$F$1, IM!$AC$2:$AC$5000))), 0)), "")</f>
        <v/>
      </c>
      <c r="W109" s="414" t="str">
        <f>IF(VLOOKUP(A109,'0919門市清單主檔'!B:AC,28,FALSE)=0,"",VLOOKUP(A109,'0919門市清單主檔'!B:AC,28,FALSE))</f>
        <v/>
      </c>
    </row>
    <row r="110" spans="1:23" ht="21.6" customHeight="1">
      <c r="A110" s="423">
        <v>4968</v>
      </c>
      <c r="B110" s="416" t="str">
        <f>VLOOKUP(A110,'0919門市清單主檔'!B:C,2,FALSE)</f>
        <v>三重太璞宮</v>
      </c>
      <c r="C110" s="415" t="str">
        <f>VLOOKUP($A110,'0919門市清單主檔'!B:V,20,FALSE)</f>
        <v>新北市</v>
      </c>
      <c r="D110" s="410" t="str">
        <f>VLOOKUP($A110,'0919門市清單主檔'!B:V,21,FALSE)</f>
        <v>三重區</v>
      </c>
      <c r="E110" s="397" t="str">
        <f>VLOOKUP(D110,門市狀態!G:H,2,FALSE)</f>
        <v>劉柏均</v>
      </c>
      <c r="F110" s="410" t="str">
        <f>IFERROR(IF(VLOOKUP(A110,門市狀態!A:D,4,FALSE)=0,"",VLOOKUP(A110,門市狀態!A:D,4,FALSE)),"")</f>
        <v/>
      </c>
      <c r="G110" s="424"/>
      <c r="H110" s="425" t="str">
        <f>IF(I110&gt;0,(TEXT(I110,"yyyymmdd")&amp;勤務統計!$V$2&amp;A110&amp;勤務統計!$V$2&amp;B110&amp;勤務統計!$S$2),"")</f>
        <v>-4968-三重太璞宮(定保)</v>
      </c>
      <c r="I110" s="247" t="str">
        <f t="array" ref="I110">IF(AND(SUMPRODUCT((IM!$F$2:$F$5000=A110)*(ISNUMBER(SEARCH(勤務統計!$C$1, IM!$AC$2:$AC$5000))))&gt;0), 勤務統計!$C$1, "")</f>
        <v/>
      </c>
      <c r="J110" s="399" t="str">
        <f t="array" ref="J110">IFERROR(INDEX(IM!$AM$2:$AM$5000, MATCH(1, (IM!$F$2:$F$5000=A110) * (ISNUMBER(SEARCH(勤務統計!$C$1, IM!$AC$2:$AC$5000))), 0)), "")</f>
        <v/>
      </c>
      <c r="K110" s="400">
        <f t="array" ref="K110">SUMPRODUCT((IM!$F$2:$F$5000=A110)*(IM!$AD$2:$AD$5000="O")*(ISNUMBER(SEARCH(勤務統計!$C$1, IM!$AC$2:$AC$5000))))</f>
        <v>0</v>
      </c>
      <c r="L110" s="401" t="str">
        <f t="array" ref="L110">IF(K110&gt;0,IFERROR(HYPERLINK("#'IM'!AC"&amp;MATCH(1,(IM!$F$1:$F$5000=A110)*(ISNUMBER(SEARCH(勤務統計!$C$1,IM!$AC$1:$AC$5000))),0),"檢核"),"未登錄"),"")</f>
        <v/>
      </c>
      <c r="M110" s="402" t="str">
        <f t="shared" si="1"/>
        <v>+L90</v>
      </c>
      <c r="N110" s="402" t="str">
        <f t="array" ref="N110">IF(AND(
    SUMPRODUCT(
        (IM!$F$2:$F$522=A110) *
        ISNUMBER(SEARCH("*HUB*", IM!$AC$2:$AC$522)) *
        (IM!$X$2:$X$522&gt;=勤務統計!$A$1) *
        (IM!$X$2:$X$522&lt;=勤務統計!$B$1)*(W110="HUB")
    ) &gt; 0
), "HUB", "")</f>
        <v/>
      </c>
      <c r="O110" s="400" t="str">
        <f>IF(
  IFERROR(VLOOKUP(A110,勤務統計!A:I,9,FALSE),"")&lt;&gt;勤務統計!$C$1,
  "未完工",
  IF(
    AND(勤務統計!$D$1="--",勤務統計!$E$1="--",勤務統計!$F$1="--"),
    "已完工",
    IF(
      OR(
        AND(勤務統計!$D$1&lt;&gt;"--", IFERROR(VLOOKUP(A110,'0919門市清單主檔'!B:AH,31,FALSE),"")=勤務統計!$D$1, IFERROR(VLOOKUP(A110,勤務統計!A:Q,17,FALSE),"")&lt;&gt;勤務統計!$D$1),
        AND(勤務統計!$E$1&lt;&gt;"--", IFERROR(VLOOKUP(A110,'0919門市清單主檔'!B:AH,32,FALSE),"")=勤務統計!$E$1, IFERROR(VLOOKUP(A110,勤務統計!A:S,19,FALSE),"")&lt;&gt;勤務統計!$E$1),
        AND(勤務統計!$F$1&lt;&gt;"--", IFERROR(VLOOKUP(A110,'0919門市清單主檔'!B:AH,33,FALSE),"")=勤務統計!$F$1, IFERROR(VLOOKUP(A110,勤務統計!A:U,21,FALSE),"")&lt;&gt;勤務統計!$F$1),
        AND(IFERROR(VLOOKUP(A110,'0919門市清單主檔'!B:AH,28,FALSE),"")="HUB", IFERROR(VLOOKUP(A110,勤務統計!A:W,23,FALSE),"")&lt;&gt;"HUB")
      ),
      _xlfn.TEXTJOIN(
        "，",
        TRUE,
        IF(AND(勤務統計!$D$1&lt;&gt;"--", IFERROR(VLOOKUP(A110,'0919門市清單主檔'!B:AH,31,FALSE),"")=勤務統計!$D$1, IFERROR(VLOOKUP(A110,勤務統計!A:Q,17,FALSE),"")&lt;&gt;勤務統計!$D$1), 勤務統計!$D$1, ""),
        IF(AND(勤務統計!$E$1&lt;&gt;"--", IFERROR(VLOOKUP(A110,'0919門市清單主檔'!B:AH,32,FALSE),"")=勤務統計!$E$1, IFERROR(VLOOKUP(A110,勤務統計!A:S,19,FALSE),"")&lt;&gt;勤務統計!$E$1), 勤務統計!$E$1, ""),
        IF(AND(勤務統計!$F$1&lt;&gt;"--", IFERROR(VLOOKUP(A110,'0919門市清單主檔'!B:AH,33,FALSE),"")=勤務統計!$F$1, IFERROR(VLOOKUP(A110,勤務統計!A:U,21,FALSE),"")&lt;&gt;勤務統計!$F$1), 勤務統計!$F$1, ""),
        IF(AND(IFERROR(VLOOKUP(A110,'0919門市清單主檔'!B:AH,28,FALSE),"")="HUB", IFERROR(VLOOKUP(A110,勤務統計!A:W,23,FALSE),"")&lt;&gt;"HUB"), "HUB", "")
      ) &amp; "未完工",
      "已完工"
    )
  )
)</f>
        <v>未完工</v>
      </c>
      <c r="P110" s="403" t="str">
        <f>(TEXT(I110,"yyyymmdd"))&amp;勤務統計!$V$2&amp;A110&amp;勤務統計!$V$2&amp;B110&amp;勤務統計!$S$2</f>
        <v>-4968-三重太璞宮(定保)</v>
      </c>
      <c r="Q110" s="420" t="str">
        <f t="array" ref="Q110">IF(AND(SUMPRODUCT((IM!$F$2:$F$5000=A110)*(ISNUMBER(SEARCH(勤務統計!$D$1, IM!$AC$2:$AC$5000))))&gt;0), 勤務統計!$D$1, "")</f>
        <v/>
      </c>
      <c r="R110" s="421" t="str">
        <f t="array" ref="R110">IFERROR(INDEX(IM!$AM$2:$AM$5000, MATCH(1, (IM!$F$2:$F$5000=A110) * (ISNUMBER(SEARCH(勤務統計!$D$1, IM!$AC$2:$AC$5000))), 0)), "")</f>
        <v/>
      </c>
      <c r="S110" s="406" t="str" cm="1">
        <f t="array" ref="S110">IF(AND(SUMPRODUCT((IM!$F$2:$F$5000=A110)*(ISNUMBER(SEARCH(勤務統計!$E$1, IM!$AC$2:$AC$5000))))&gt;0), 勤務統計!$E$1, "")</f>
        <v>+L90</v>
      </c>
      <c r="T110" s="422">
        <f t="array" ref="T110">IFERROR(INDEX(IM!$AM$2:$AM$5000, MATCH(1, (IM!$F$2:$F$5000=A110) * (ISNUMBER(SEARCH(勤務統計!$E$1, IM!$AC$2:$AC$5000))), 0)), "")</f>
        <v>46010</v>
      </c>
      <c r="U110" s="406" t="str" cm="1">
        <f t="array" ref="U110">IF(AND(SUMPRODUCT((IM!$F$2:$F$5000=A110)*(ISNUMBER(SEARCH(勤務統計!$F$1, IM!$AC$2:$AC$5000))))&gt;0), 勤務統計!$F$1, "")</f>
        <v/>
      </c>
      <c r="V110" s="413" t="str">
        <f t="array" ref="V110">IFERROR(INDEX(IM!$AM$2:$AM$5000, MATCH(1, (IM!$F$2:$F$5000=A110) * (ISNUMBER(SEARCH(勤務統計!$F$1, IM!$AC$2:$AC$5000))), 0)), "")</f>
        <v/>
      </c>
      <c r="W110" s="414" t="str">
        <f>IF(VLOOKUP(A110,'0919門市清單主檔'!B:AC,28,FALSE)=0,"",VLOOKUP(A110,'0919門市清單主檔'!B:AC,28,FALSE))</f>
        <v/>
      </c>
    </row>
    <row r="111" spans="1:23" ht="21.6" customHeight="1">
      <c r="A111" s="423">
        <v>2325</v>
      </c>
      <c r="B111" s="416" t="str">
        <f>VLOOKUP(A111,'0919門市清單主檔'!B:C,2,FALSE)</f>
        <v>北縣五泰店</v>
      </c>
      <c r="C111" s="415" t="str">
        <f>VLOOKUP($A111,'0919門市清單主檔'!B:V,20,FALSE)</f>
        <v>新北市</v>
      </c>
      <c r="D111" s="410" t="str">
        <f>VLOOKUP($A111,'0919門市清單主檔'!B:V,21,FALSE)</f>
        <v>五股區</v>
      </c>
      <c r="E111" s="397" t="str">
        <f>VLOOKUP(D111,門市狀態!G:H,2,FALSE)</f>
        <v>湯家瑋</v>
      </c>
      <c r="F111" s="410" t="str">
        <f>IFERROR(IF(VLOOKUP(A111,門市狀態!A:D,4,FALSE)=0,"",VLOOKUP(A111,門市狀態!A:D,4,FALSE)),"")</f>
        <v/>
      </c>
      <c r="G111" s="424"/>
      <c r="H111" s="425" t="str">
        <f>IF(I111&gt;0,(TEXT(I111,"yyyymmdd")&amp;勤務統計!$V$2&amp;A111&amp;勤務統計!$V$2&amp;B111&amp;勤務統計!$S$2),"")</f>
        <v>-2325-北縣五泰店(定保)</v>
      </c>
      <c r="I111" s="247" t="str">
        <f t="array" ref="I111">IF(AND(SUMPRODUCT((IM!$F$2:$F$5000=A111)*(ISNUMBER(SEARCH(勤務統計!$C$1, IM!$AC$2:$AC$5000))))&gt;0), 勤務統計!$C$1, "")</f>
        <v/>
      </c>
      <c r="J111" s="399" t="str">
        <f t="array" ref="J111">IFERROR(INDEX(IM!$AM$2:$AM$5000, MATCH(1, (IM!$F$2:$F$5000=A111) * (ISNUMBER(SEARCH(勤務統計!$C$1, IM!$AC$2:$AC$5000))), 0)), "")</f>
        <v/>
      </c>
      <c r="K111" s="400">
        <f t="array" ref="K111">SUMPRODUCT((IM!$F$2:$F$5000=A111)*(IM!$AD$2:$AD$5000="O")*(ISNUMBER(SEARCH(勤務統計!$C$1, IM!$AC$2:$AC$5000))))</f>
        <v>0</v>
      </c>
      <c r="L111" s="401" t="str">
        <f t="array" ref="L111">IF(K111&gt;0,IFERROR(HYPERLINK("#'IM'!AC"&amp;MATCH(1,(IM!$F$1:$F$5000=A111)*(ISNUMBER(SEARCH(勤務統計!$C$1,IM!$AC$1:$AC$5000))),0),"檢核"),"未登錄"),"")</f>
        <v/>
      </c>
      <c r="M111" s="402" t="str">
        <f t="shared" si="1"/>
        <v/>
      </c>
      <c r="N111" s="402" t="str">
        <f t="array" ref="N111">IF(AND(
    SUMPRODUCT(
        (IM!$F$2:$F$522=A111) *
        ISNUMBER(SEARCH("*HUB*", IM!$AC$2:$AC$522)) *
        (IM!$X$2:$X$522&gt;=勤務統計!$A$1) *
        (IM!$X$2:$X$522&lt;=勤務統計!$B$1)*(W111="HUB")
    ) &gt; 0
), "HUB", "")</f>
        <v/>
      </c>
      <c r="O111" s="400" t="str">
        <f>IF(
  IFERROR(VLOOKUP(A111,勤務統計!A:I,9,FALSE),"")&lt;&gt;勤務統計!$C$1,
  "未完工",
  IF(
    AND(勤務統計!$D$1="--",勤務統計!$E$1="--",勤務統計!$F$1="--"),
    "已完工",
    IF(
      OR(
        AND(勤務統計!$D$1&lt;&gt;"--", IFERROR(VLOOKUP(A111,'0919門市清單主檔'!B:AH,31,FALSE),"")=勤務統計!$D$1, IFERROR(VLOOKUP(A111,勤務統計!A:Q,17,FALSE),"")&lt;&gt;勤務統計!$D$1),
        AND(勤務統計!$E$1&lt;&gt;"--", IFERROR(VLOOKUP(A111,'0919門市清單主檔'!B:AH,32,FALSE),"")=勤務統計!$E$1, IFERROR(VLOOKUP(A111,勤務統計!A:S,19,FALSE),"")&lt;&gt;勤務統計!$E$1),
        AND(勤務統計!$F$1&lt;&gt;"--", IFERROR(VLOOKUP(A111,'0919門市清單主檔'!B:AH,33,FALSE),"")=勤務統計!$F$1, IFERROR(VLOOKUP(A111,勤務統計!A:U,21,FALSE),"")&lt;&gt;勤務統計!$F$1),
        AND(IFERROR(VLOOKUP(A111,'0919門市清單主檔'!B:AH,28,FALSE),"")="HUB", IFERROR(VLOOKUP(A111,勤務統計!A:W,23,FALSE),"")&lt;&gt;"HUB")
      ),
      _xlfn.TEXTJOIN(
        "，",
        TRUE,
        IF(AND(勤務統計!$D$1&lt;&gt;"--", IFERROR(VLOOKUP(A111,'0919門市清單主檔'!B:AH,31,FALSE),"")=勤務統計!$D$1, IFERROR(VLOOKUP(A111,勤務統計!A:Q,17,FALSE),"")&lt;&gt;勤務統計!$D$1), 勤務統計!$D$1, ""),
        IF(AND(勤務統計!$E$1&lt;&gt;"--", IFERROR(VLOOKUP(A111,'0919門市清單主檔'!B:AH,32,FALSE),"")=勤務統計!$E$1, IFERROR(VLOOKUP(A111,勤務統計!A:S,19,FALSE),"")&lt;&gt;勤務統計!$E$1), 勤務統計!$E$1, ""),
        IF(AND(勤務統計!$F$1&lt;&gt;"--", IFERROR(VLOOKUP(A111,'0919門市清單主檔'!B:AH,33,FALSE),"")=勤務統計!$F$1, IFERROR(VLOOKUP(A111,勤務統計!A:U,21,FALSE),"")&lt;&gt;勤務統計!$F$1), 勤務統計!$F$1, ""),
        IF(AND(IFERROR(VLOOKUP(A111,'0919門市清單主檔'!B:AH,28,FALSE),"")="HUB", IFERROR(VLOOKUP(A111,勤務統計!A:W,23,FALSE),"")&lt;&gt;"HUB"), "HUB", "")
      ) &amp; "未完工",
      "已完工"
    )
  )
)</f>
        <v>未完工</v>
      </c>
      <c r="P111" s="403" t="str">
        <f>(TEXT(I111,"yyyymmdd"))&amp;勤務統計!$V$2&amp;A111&amp;勤務統計!$V$2&amp;B111&amp;勤務統計!$S$2</f>
        <v>-2325-北縣五泰店(定保)</v>
      </c>
      <c r="Q111" s="420" t="str">
        <f t="array" ref="Q111">IF(AND(SUMPRODUCT((IM!$F$2:$F$5000=A111)*(ISNUMBER(SEARCH(勤務統計!$D$1, IM!$AC$2:$AC$5000))))&gt;0), 勤務統計!$D$1, "")</f>
        <v/>
      </c>
      <c r="R111" s="421" t="str">
        <f t="array" ref="R111">IFERROR(INDEX(IM!$AM$2:$AM$5000, MATCH(1, (IM!$F$2:$F$5000=A111) * (ISNUMBER(SEARCH(勤務統計!$D$1, IM!$AC$2:$AC$5000))), 0)), "")</f>
        <v/>
      </c>
      <c r="S111" s="406" t="str" cm="1">
        <f t="array" ref="S111">IF(AND(SUMPRODUCT((IM!$F$2:$F$5000=A111)*(ISNUMBER(SEARCH(勤務統計!$E$1, IM!$AC$2:$AC$5000))))&gt;0), 勤務統計!$E$1, "")</f>
        <v/>
      </c>
      <c r="T111" s="422" t="str">
        <f t="array" ref="T111">IFERROR(INDEX(IM!$AM$2:$AM$5000, MATCH(1, (IM!$F$2:$F$5000=A111) * (ISNUMBER(SEARCH(勤務統計!$E$1, IM!$AC$2:$AC$5000))), 0)), "")</f>
        <v/>
      </c>
      <c r="U111" s="406" t="str" cm="1">
        <f t="array" ref="U111">IF(AND(SUMPRODUCT((IM!$F$2:$F$5000=A111)*(ISNUMBER(SEARCH(勤務統計!$F$1, IM!$AC$2:$AC$5000))))&gt;0), 勤務統計!$F$1, "")</f>
        <v/>
      </c>
      <c r="V111" s="413" t="str">
        <f t="array" ref="V111">IFERROR(INDEX(IM!$AM$2:$AM$5000, MATCH(1, (IM!$F$2:$F$5000=A111) * (ISNUMBER(SEARCH(勤務統計!$F$1, IM!$AC$2:$AC$5000))), 0)), "")</f>
        <v/>
      </c>
      <c r="W111" s="414" t="str">
        <f>IF(VLOOKUP(A111,'0919門市清單主檔'!B:AC,28,FALSE)=0,"",VLOOKUP(A111,'0919門市清單主檔'!B:AC,28,FALSE))</f>
        <v/>
      </c>
    </row>
    <row r="112" spans="1:23" ht="21.6" customHeight="1">
      <c r="A112" s="423">
        <v>4819</v>
      </c>
      <c r="B112" s="416" t="str">
        <f>VLOOKUP(A112,'0919門市清單主檔'!B:C,2,FALSE)</f>
        <v>五股凌雲店</v>
      </c>
      <c r="C112" s="415" t="str">
        <f>VLOOKUP($A112,'0919門市清單主檔'!B:V,20,FALSE)</f>
        <v>新北市</v>
      </c>
      <c r="D112" s="410" t="str">
        <f>VLOOKUP($A112,'0919門市清單主檔'!B:V,21,FALSE)</f>
        <v>五股區</v>
      </c>
      <c r="E112" s="397" t="str">
        <f>VLOOKUP(D112,門市狀態!G:H,2,FALSE)</f>
        <v>湯家瑋</v>
      </c>
      <c r="F112" s="410" t="str">
        <f>IFERROR(IF(VLOOKUP(A112,門市狀態!A:D,4,FALSE)=0,"",VLOOKUP(A112,門市狀態!A:D,4,FALSE)),"")</f>
        <v/>
      </c>
      <c r="G112" s="424"/>
      <c r="H112" s="425" t="str">
        <f>IF(I112&gt;0,(TEXT(I112,"yyyymmdd")&amp;勤務統計!$V$2&amp;A112&amp;勤務統計!$V$2&amp;B112&amp;勤務統計!$S$2),"")</f>
        <v>-4819-五股凌雲店(定保)</v>
      </c>
      <c r="I112" s="247" t="str">
        <f t="array" ref="I112">IF(AND(SUMPRODUCT((IM!$F$2:$F$5000=A112)*(ISNUMBER(SEARCH(勤務統計!$C$1, IM!$AC$2:$AC$5000))))&gt;0), 勤務統計!$C$1, "")</f>
        <v/>
      </c>
      <c r="J112" s="399" t="str">
        <f t="array" ref="J112">IFERROR(INDEX(IM!$AM$2:$AM$5000, MATCH(1, (IM!$F$2:$F$5000=A112) * (ISNUMBER(SEARCH(勤務統計!$C$1, IM!$AC$2:$AC$5000))), 0)), "")</f>
        <v/>
      </c>
      <c r="K112" s="400">
        <f t="array" ref="K112">SUMPRODUCT((IM!$F$2:$F$5000=A112)*(IM!$AD$2:$AD$5000="O")*(ISNUMBER(SEARCH(勤務統計!$C$1, IM!$AC$2:$AC$5000))))</f>
        <v>0</v>
      </c>
      <c r="L112" s="401" t="str">
        <f t="array" ref="L112">IF(K112&gt;0,IFERROR(HYPERLINK("#'IM'!AC"&amp;MATCH(1,(IM!$F$1:$F$5000=A112)*(ISNUMBER(SEARCH(勤務統計!$C$1,IM!$AC$1:$AC$5000))),0),"檢核"),"未登錄"),"")</f>
        <v/>
      </c>
      <c r="M112" s="402" t="str">
        <f t="shared" si="1"/>
        <v/>
      </c>
      <c r="N112" s="402" t="str">
        <f t="array" ref="N112">IF(AND(
    SUMPRODUCT(
        (IM!$F$2:$F$522=A112) *
        ISNUMBER(SEARCH("*HUB*", IM!$AC$2:$AC$522)) *
        (IM!$X$2:$X$522&gt;=勤務統計!$A$1) *
        (IM!$X$2:$X$522&lt;=勤務統計!$B$1)*(W112="HUB")
    ) &gt; 0
), "HUB", "")</f>
        <v/>
      </c>
      <c r="O112" s="400" t="str">
        <f>IF(
  IFERROR(VLOOKUP(A112,勤務統計!A:I,9,FALSE),"")&lt;&gt;勤務統計!$C$1,
  "未完工",
  IF(
    AND(勤務統計!$D$1="--",勤務統計!$E$1="--",勤務統計!$F$1="--"),
    "已完工",
    IF(
      OR(
        AND(勤務統計!$D$1&lt;&gt;"--", IFERROR(VLOOKUP(A112,'0919門市清單主檔'!B:AH,31,FALSE),"")=勤務統計!$D$1, IFERROR(VLOOKUP(A112,勤務統計!A:Q,17,FALSE),"")&lt;&gt;勤務統計!$D$1),
        AND(勤務統計!$E$1&lt;&gt;"--", IFERROR(VLOOKUP(A112,'0919門市清單主檔'!B:AH,32,FALSE),"")=勤務統計!$E$1, IFERROR(VLOOKUP(A112,勤務統計!A:S,19,FALSE),"")&lt;&gt;勤務統計!$E$1),
        AND(勤務統計!$F$1&lt;&gt;"--", IFERROR(VLOOKUP(A112,'0919門市清單主檔'!B:AH,33,FALSE),"")=勤務統計!$F$1, IFERROR(VLOOKUP(A112,勤務統計!A:U,21,FALSE),"")&lt;&gt;勤務統計!$F$1),
        AND(IFERROR(VLOOKUP(A112,'0919門市清單主檔'!B:AH,28,FALSE),"")="HUB", IFERROR(VLOOKUP(A112,勤務統計!A:W,23,FALSE),"")&lt;&gt;"HUB")
      ),
      _xlfn.TEXTJOIN(
        "，",
        TRUE,
        IF(AND(勤務統計!$D$1&lt;&gt;"--", IFERROR(VLOOKUP(A112,'0919門市清單主檔'!B:AH,31,FALSE),"")=勤務統計!$D$1, IFERROR(VLOOKUP(A112,勤務統計!A:Q,17,FALSE),"")&lt;&gt;勤務統計!$D$1), 勤務統計!$D$1, ""),
        IF(AND(勤務統計!$E$1&lt;&gt;"--", IFERROR(VLOOKUP(A112,'0919門市清單主檔'!B:AH,32,FALSE),"")=勤務統計!$E$1, IFERROR(VLOOKUP(A112,勤務統計!A:S,19,FALSE),"")&lt;&gt;勤務統計!$E$1), 勤務統計!$E$1, ""),
        IF(AND(勤務統計!$F$1&lt;&gt;"--", IFERROR(VLOOKUP(A112,'0919門市清單主檔'!B:AH,33,FALSE),"")=勤務統計!$F$1, IFERROR(VLOOKUP(A112,勤務統計!A:U,21,FALSE),"")&lt;&gt;勤務統計!$F$1), 勤務統計!$F$1, ""),
        IF(AND(IFERROR(VLOOKUP(A112,'0919門市清單主檔'!B:AH,28,FALSE),"")="HUB", IFERROR(VLOOKUP(A112,勤務統計!A:W,23,FALSE),"")&lt;&gt;"HUB"), "HUB", "")
      ) &amp; "未完工",
      "已完工"
    )
  )
)</f>
        <v>未完工</v>
      </c>
      <c r="P112" s="403" t="str">
        <f>(TEXT(I112,"yyyymmdd"))&amp;勤務統計!$V$2&amp;A112&amp;勤務統計!$V$2&amp;B112&amp;勤務統計!$S$2</f>
        <v>-4819-五股凌雲店(定保)</v>
      </c>
      <c r="Q112" s="420" t="str">
        <f t="array" ref="Q112">IF(AND(SUMPRODUCT((IM!$F$2:$F$5000=A112)*(ISNUMBER(SEARCH(勤務統計!$D$1, IM!$AC$2:$AC$5000))))&gt;0), 勤務統計!$D$1, "")</f>
        <v/>
      </c>
      <c r="R112" s="421" t="str">
        <f t="array" ref="R112">IFERROR(INDEX(IM!$AM$2:$AM$5000, MATCH(1, (IM!$F$2:$F$5000=A112) * (ISNUMBER(SEARCH(勤務統計!$D$1, IM!$AC$2:$AC$5000))), 0)), "")</f>
        <v/>
      </c>
      <c r="S112" s="406" t="str" cm="1">
        <f t="array" ref="S112">IF(AND(SUMPRODUCT((IM!$F$2:$F$5000=A112)*(ISNUMBER(SEARCH(勤務統計!$E$1, IM!$AC$2:$AC$5000))))&gt;0), 勤務統計!$E$1, "")</f>
        <v/>
      </c>
      <c r="T112" s="422" t="str">
        <f t="array" ref="T112">IFERROR(INDEX(IM!$AM$2:$AM$5000, MATCH(1, (IM!$F$2:$F$5000=A112) * (ISNUMBER(SEARCH(勤務統計!$E$1, IM!$AC$2:$AC$5000))), 0)), "")</f>
        <v/>
      </c>
      <c r="U112" s="406" t="str" cm="1">
        <f t="array" ref="U112">IF(AND(SUMPRODUCT((IM!$F$2:$F$5000=A112)*(ISNUMBER(SEARCH(勤務統計!$F$1, IM!$AC$2:$AC$5000))))&gt;0), 勤務統計!$F$1, "")</f>
        <v/>
      </c>
      <c r="V112" s="413" t="str">
        <f t="array" ref="V112">IFERROR(INDEX(IM!$AM$2:$AM$5000, MATCH(1, (IM!$F$2:$F$5000=A112) * (ISNUMBER(SEARCH(勤務統計!$F$1, IM!$AC$2:$AC$5000))), 0)), "")</f>
        <v/>
      </c>
      <c r="W112" s="414" t="str">
        <f>IF(VLOOKUP(A112,'0919門市清單主檔'!B:AC,28,FALSE)=0,"",VLOOKUP(A112,'0919門市清單主檔'!B:AC,28,FALSE))</f>
        <v/>
      </c>
    </row>
    <row r="113" spans="1:23" ht="21.6" customHeight="1">
      <c r="A113" s="423">
        <v>4801</v>
      </c>
      <c r="B113" s="416" t="str">
        <f>VLOOKUP(A113,'0919門市清單主檔'!B:C,2,FALSE)</f>
        <v>五股成州店</v>
      </c>
      <c r="C113" s="415" t="str">
        <f>VLOOKUP($A113,'0919門市清單主檔'!B:V,20,FALSE)</f>
        <v>新北市</v>
      </c>
      <c r="D113" s="410" t="str">
        <f>VLOOKUP($A113,'0919門市清單主檔'!B:V,21,FALSE)</f>
        <v>五股區</v>
      </c>
      <c r="E113" s="397" t="str">
        <f>VLOOKUP(D113,門市狀態!G:H,2,FALSE)</f>
        <v>湯家瑋</v>
      </c>
      <c r="F113" s="410" t="str">
        <f>IFERROR(IF(VLOOKUP(A113,門市狀態!A:D,4,FALSE)=0,"",VLOOKUP(A113,門市狀態!A:D,4,FALSE)),"")</f>
        <v/>
      </c>
      <c r="G113" s="424"/>
      <c r="H113" s="425" t="str">
        <f>IF(I113&gt;0,(TEXT(I113,"yyyymmdd")&amp;勤務統計!$V$2&amp;A113&amp;勤務統計!$V$2&amp;B113&amp;勤務統計!$S$2),"")</f>
        <v>-4801-五股成州店(定保)</v>
      </c>
      <c r="I113" s="247" t="str">
        <f t="array" ref="I113">IF(AND(SUMPRODUCT((IM!$F$2:$F$5000=A113)*(ISNUMBER(SEARCH(勤務統計!$C$1, IM!$AC$2:$AC$5000))))&gt;0), 勤務統計!$C$1, "")</f>
        <v/>
      </c>
      <c r="J113" s="399" t="str">
        <f t="array" ref="J113">IFERROR(INDEX(IM!$AM$2:$AM$5000, MATCH(1, (IM!$F$2:$F$5000=A113) * (ISNUMBER(SEARCH(勤務統計!$C$1, IM!$AC$2:$AC$5000))), 0)), "")</f>
        <v/>
      </c>
      <c r="K113" s="400">
        <f t="array" ref="K113">SUMPRODUCT((IM!$F$2:$F$5000=A113)*(IM!$AD$2:$AD$5000="O")*(ISNUMBER(SEARCH(勤務統計!$C$1, IM!$AC$2:$AC$5000))))</f>
        <v>0</v>
      </c>
      <c r="L113" s="401" t="str">
        <f t="array" ref="L113">IF(K113&gt;0,IFERROR(HYPERLINK("#'IM'!AC"&amp;MATCH(1,(IM!$F$1:$F$5000=A113)*(ISNUMBER(SEARCH(勤務統計!$C$1,IM!$AC$1:$AC$5000))),0),"檢核"),"未登錄"),"")</f>
        <v/>
      </c>
      <c r="M113" s="402" t="str">
        <f t="shared" si="1"/>
        <v/>
      </c>
      <c r="N113" s="402" t="str">
        <f t="array" ref="N113">IF(AND(
    SUMPRODUCT(
        (IM!$F$2:$F$522=A113) *
        ISNUMBER(SEARCH("*HUB*", IM!$AC$2:$AC$522)) *
        (IM!$X$2:$X$522&gt;=勤務統計!$A$1) *
        (IM!$X$2:$X$522&lt;=勤務統計!$B$1)*(W113="HUB")
    ) &gt; 0
), "HUB", "")</f>
        <v/>
      </c>
      <c r="O113" s="400" t="str">
        <f>IF(
  IFERROR(VLOOKUP(A113,勤務統計!A:I,9,FALSE),"")&lt;&gt;勤務統計!$C$1,
  "未完工",
  IF(
    AND(勤務統計!$D$1="--",勤務統計!$E$1="--",勤務統計!$F$1="--"),
    "已完工",
    IF(
      OR(
        AND(勤務統計!$D$1&lt;&gt;"--", IFERROR(VLOOKUP(A113,'0919門市清單主檔'!B:AH,31,FALSE),"")=勤務統計!$D$1, IFERROR(VLOOKUP(A113,勤務統計!A:Q,17,FALSE),"")&lt;&gt;勤務統計!$D$1),
        AND(勤務統計!$E$1&lt;&gt;"--", IFERROR(VLOOKUP(A113,'0919門市清單主檔'!B:AH,32,FALSE),"")=勤務統計!$E$1, IFERROR(VLOOKUP(A113,勤務統計!A:S,19,FALSE),"")&lt;&gt;勤務統計!$E$1),
        AND(勤務統計!$F$1&lt;&gt;"--", IFERROR(VLOOKUP(A113,'0919門市清單主檔'!B:AH,33,FALSE),"")=勤務統計!$F$1, IFERROR(VLOOKUP(A113,勤務統計!A:U,21,FALSE),"")&lt;&gt;勤務統計!$F$1),
        AND(IFERROR(VLOOKUP(A113,'0919門市清單主檔'!B:AH,28,FALSE),"")="HUB", IFERROR(VLOOKUP(A113,勤務統計!A:W,23,FALSE),"")&lt;&gt;"HUB")
      ),
      _xlfn.TEXTJOIN(
        "，",
        TRUE,
        IF(AND(勤務統計!$D$1&lt;&gt;"--", IFERROR(VLOOKUP(A113,'0919門市清單主檔'!B:AH,31,FALSE),"")=勤務統計!$D$1, IFERROR(VLOOKUP(A113,勤務統計!A:Q,17,FALSE),"")&lt;&gt;勤務統計!$D$1), 勤務統計!$D$1, ""),
        IF(AND(勤務統計!$E$1&lt;&gt;"--", IFERROR(VLOOKUP(A113,'0919門市清單主檔'!B:AH,32,FALSE),"")=勤務統計!$E$1, IFERROR(VLOOKUP(A113,勤務統計!A:S,19,FALSE),"")&lt;&gt;勤務統計!$E$1), 勤務統計!$E$1, ""),
        IF(AND(勤務統計!$F$1&lt;&gt;"--", IFERROR(VLOOKUP(A113,'0919門市清單主檔'!B:AH,33,FALSE),"")=勤務統計!$F$1, IFERROR(VLOOKUP(A113,勤務統計!A:U,21,FALSE),"")&lt;&gt;勤務統計!$F$1), 勤務統計!$F$1, ""),
        IF(AND(IFERROR(VLOOKUP(A113,'0919門市清單主檔'!B:AH,28,FALSE),"")="HUB", IFERROR(VLOOKUP(A113,勤務統計!A:W,23,FALSE),"")&lt;&gt;"HUB"), "HUB", "")
      ) &amp; "未完工",
      "已完工"
    )
  )
)</f>
        <v>未完工</v>
      </c>
      <c r="P113" s="403" t="str">
        <f>(TEXT(I113,"yyyymmdd"))&amp;勤務統計!$V$2&amp;A113&amp;勤務統計!$V$2&amp;B113&amp;勤務統計!$S$2</f>
        <v>-4801-五股成州店(定保)</v>
      </c>
      <c r="Q113" s="420" t="str">
        <f t="array" ref="Q113">IF(AND(SUMPRODUCT((IM!$F$2:$F$5000=A113)*(ISNUMBER(SEARCH(勤務統計!$D$1, IM!$AC$2:$AC$5000))))&gt;0), 勤務統計!$D$1, "")</f>
        <v/>
      </c>
      <c r="R113" s="421" t="str">
        <f t="array" ref="R113">IFERROR(INDEX(IM!$AM$2:$AM$5000, MATCH(1, (IM!$F$2:$F$5000=A113) * (ISNUMBER(SEARCH(勤務統計!$D$1, IM!$AC$2:$AC$5000))), 0)), "")</f>
        <v/>
      </c>
      <c r="S113" s="406" t="str" cm="1">
        <f t="array" ref="S113">IF(AND(SUMPRODUCT((IM!$F$2:$F$5000=A113)*(ISNUMBER(SEARCH(勤務統計!$E$1, IM!$AC$2:$AC$5000))))&gt;0), 勤務統計!$E$1, "")</f>
        <v/>
      </c>
      <c r="T113" s="422" t="str">
        <f t="array" ref="T113">IFERROR(INDEX(IM!$AM$2:$AM$5000, MATCH(1, (IM!$F$2:$F$5000=A113) * (ISNUMBER(SEARCH(勤務統計!$E$1, IM!$AC$2:$AC$5000))), 0)), "")</f>
        <v/>
      </c>
      <c r="U113" s="406" t="str" cm="1">
        <f t="array" ref="U113">IF(AND(SUMPRODUCT((IM!$F$2:$F$5000=A113)*(ISNUMBER(SEARCH(勤務統計!$F$1, IM!$AC$2:$AC$5000))))&gt;0), 勤務統計!$F$1, "")</f>
        <v/>
      </c>
      <c r="V113" s="413" t="str">
        <f t="array" ref="V113">IFERROR(INDEX(IM!$AM$2:$AM$5000, MATCH(1, (IM!$F$2:$F$5000=A113) * (ISNUMBER(SEARCH(勤務統計!$F$1, IM!$AC$2:$AC$5000))), 0)), "")</f>
        <v/>
      </c>
      <c r="W113" s="414" t="str">
        <f>IF(VLOOKUP(A113,'0919門市清單主檔'!B:AC,28,FALSE)=0,"",VLOOKUP(A113,'0919門市清單主檔'!B:AC,28,FALSE))</f>
        <v/>
      </c>
    </row>
    <row r="114" spans="1:23" ht="21.6" customHeight="1">
      <c r="A114" s="423">
        <v>3983</v>
      </c>
      <c r="B114" s="416" t="str">
        <f>VLOOKUP(A114,'0919門市清單主檔'!B:C,2,FALSE)</f>
        <v>三重星光店</v>
      </c>
      <c r="C114" s="415" t="str">
        <f>VLOOKUP($A114,'0919門市清單主檔'!B:V,20,FALSE)</f>
        <v>新北市</v>
      </c>
      <c r="D114" s="410" t="str">
        <f>VLOOKUP($A114,'0919門市清單主檔'!B:V,21,FALSE)</f>
        <v>三重區</v>
      </c>
      <c r="E114" s="397" t="str">
        <f>VLOOKUP(D114,門市狀態!G:H,2,FALSE)</f>
        <v>劉柏均</v>
      </c>
      <c r="F114" s="410" t="str">
        <f>IFERROR(IF(VLOOKUP(A114,門市狀態!A:D,4,FALSE)=0,"",VLOOKUP(A114,門市狀態!A:D,4,FALSE)),"")</f>
        <v/>
      </c>
      <c r="G114" s="424"/>
      <c r="H114" s="425" t="str">
        <f>IF(I114&gt;0,(TEXT(I114,"yyyymmdd")&amp;勤務統計!$V$2&amp;A114&amp;勤務統計!$V$2&amp;B114&amp;勤務統計!$S$2),"")</f>
        <v>-3983-三重星光店(定保)</v>
      </c>
      <c r="I114" s="247" t="str">
        <f t="array" ref="I114">IF(AND(SUMPRODUCT((IM!$F$2:$F$5000=A114)*(ISNUMBER(SEARCH(勤務統計!$C$1, IM!$AC$2:$AC$5000))))&gt;0), 勤務統計!$C$1, "")</f>
        <v/>
      </c>
      <c r="J114" s="399" t="str">
        <f t="array" ref="J114">IFERROR(INDEX(IM!$AM$2:$AM$5000, MATCH(1, (IM!$F$2:$F$5000=A114) * (ISNUMBER(SEARCH(勤務統計!$C$1, IM!$AC$2:$AC$5000))), 0)), "")</f>
        <v/>
      </c>
      <c r="K114" s="400">
        <f t="array" ref="K114">SUMPRODUCT((IM!$F$2:$F$5000=A114)*(IM!$AD$2:$AD$5000="O")*(ISNUMBER(SEARCH(勤務統計!$C$1, IM!$AC$2:$AC$5000))))</f>
        <v>0</v>
      </c>
      <c r="L114" s="401" t="str">
        <f t="array" ref="L114">IF(K114&gt;0,IFERROR(HYPERLINK("#'IM'!AC"&amp;MATCH(1,(IM!$F$1:$F$5000=A114)*(ISNUMBER(SEARCH(勤務統計!$C$1,IM!$AC$1:$AC$5000))),0),"檢核"),"未登錄"),"")</f>
        <v/>
      </c>
      <c r="M114" s="402" t="str">
        <f t="shared" si="1"/>
        <v>+L90</v>
      </c>
      <c r="N114" s="402" t="str">
        <f t="array" ref="N114">IF(AND(
    SUMPRODUCT(
        (IM!$F$2:$F$522=A114) *
        ISNUMBER(SEARCH("*HUB*", IM!$AC$2:$AC$522)) *
        (IM!$X$2:$X$522&gt;=勤務統計!$A$1) *
        (IM!$X$2:$X$522&lt;=勤務統計!$B$1)*(W114="HUB")
    ) &gt; 0
), "HUB", "")</f>
        <v/>
      </c>
      <c r="O114" s="400" t="str">
        <f>IF(
  IFERROR(VLOOKUP(A114,勤務統計!A:I,9,FALSE),"")&lt;&gt;勤務統計!$C$1,
  "未完工",
  IF(
    AND(勤務統計!$D$1="--",勤務統計!$E$1="--",勤務統計!$F$1="--"),
    "已完工",
    IF(
      OR(
        AND(勤務統計!$D$1&lt;&gt;"--", IFERROR(VLOOKUP(A114,'0919門市清單主檔'!B:AH,31,FALSE),"")=勤務統計!$D$1, IFERROR(VLOOKUP(A114,勤務統計!A:Q,17,FALSE),"")&lt;&gt;勤務統計!$D$1),
        AND(勤務統計!$E$1&lt;&gt;"--", IFERROR(VLOOKUP(A114,'0919門市清單主檔'!B:AH,32,FALSE),"")=勤務統計!$E$1, IFERROR(VLOOKUP(A114,勤務統計!A:S,19,FALSE),"")&lt;&gt;勤務統計!$E$1),
        AND(勤務統計!$F$1&lt;&gt;"--", IFERROR(VLOOKUP(A114,'0919門市清單主檔'!B:AH,33,FALSE),"")=勤務統計!$F$1, IFERROR(VLOOKUP(A114,勤務統計!A:U,21,FALSE),"")&lt;&gt;勤務統計!$F$1),
        AND(IFERROR(VLOOKUP(A114,'0919門市清單主檔'!B:AH,28,FALSE),"")="HUB", IFERROR(VLOOKUP(A114,勤務統計!A:W,23,FALSE),"")&lt;&gt;"HUB")
      ),
      _xlfn.TEXTJOIN(
        "，",
        TRUE,
        IF(AND(勤務統計!$D$1&lt;&gt;"--", IFERROR(VLOOKUP(A114,'0919門市清單主檔'!B:AH,31,FALSE),"")=勤務統計!$D$1, IFERROR(VLOOKUP(A114,勤務統計!A:Q,17,FALSE),"")&lt;&gt;勤務統計!$D$1), 勤務統計!$D$1, ""),
        IF(AND(勤務統計!$E$1&lt;&gt;"--", IFERROR(VLOOKUP(A114,'0919門市清單主檔'!B:AH,32,FALSE),"")=勤務統計!$E$1, IFERROR(VLOOKUP(A114,勤務統計!A:S,19,FALSE),"")&lt;&gt;勤務統計!$E$1), 勤務統計!$E$1, ""),
        IF(AND(勤務統計!$F$1&lt;&gt;"--", IFERROR(VLOOKUP(A114,'0919門市清單主檔'!B:AH,33,FALSE),"")=勤務統計!$F$1, IFERROR(VLOOKUP(A114,勤務統計!A:U,21,FALSE),"")&lt;&gt;勤務統計!$F$1), 勤務統計!$F$1, ""),
        IF(AND(IFERROR(VLOOKUP(A114,'0919門市清單主檔'!B:AH,28,FALSE),"")="HUB", IFERROR(VLOOKUP(A114,勤務統計!A:W,23,FALSE),"")&lt;&gt;"HUB"), "HUB", "")
      ) &amp; "未完工",
      "已完工"
    )
  )
)</f>
        <v>未完工</v>
      </c>
      <c r="P114" s="403" t="str">
        <f>(TEXT(I114,"yyyymmdd"))&amp;勤務統計!$V$2&amp;A114&amp;勤務統計!$V$2&amp;B114&amp;勤務統計!$S$2</f>
        <v>-3983-三重星光店(定保)</v>
      </c>
      <c r="Q114" s="420" t="str">
        <f t="array" ref="Q114">IF(AND(SUMPRODUCT((IM!$F$2:$F$5000=A114)*(ISNUMBER(SEARCH(勤務統計!$D$1, IM!$AC$2:$AC$5000))))&gt;0), 勤務統計!$D$1, "")</f>
        <v/>
      </c>
      <c r="R114" s="421" t="str">
        <f t="array" ref="R114">IFERROR(INDEX(IM!$AM$2:$AM$5000, MATCH(1, (IM!$F$2:$F$5000=A114) * (ISNUMBER(SEARCH(勤務統計!$D$1, IM!$AC$2:$AC$5000))), 0)), "")</f>
        <v/>
      </c>
      <c r="S114" s="406" t="str" cm="1">
        <f t="array" ref="S114">IF(AND(SUMPRODUCT((IM!$F$2:$F$5000=A114)*(ISNUMBER(SEARCH(勤務統計!$E$1, IM!$AC$2:$AC$5000))))&gt;0), 勤務統計!$E$1, "")</f>
        <v>+L90</v>
      </c>
      <c r="T114" s="422">
        <f t="array" ref="T114">IFERROR(INDEX(IM!$AM$2:$AM$5000, MATCH(1, (IM!$F$2:$F$5000=A114) * (ISNUMBER(SEARCH(勤務統計!$E$1, IM!$AC$2:$AC$5000))), 0)), "")</f>
        <v>46002</v>
      </c>
      <c r="U114" s="406" t="str" cm="1">
        <f t="array" ref="U114">IF(AND(SUMPRODUCT((IM!$F$2:$F$5000=A114)*(ISNUMBER(SEARCH(勤務統計!$F$1, IM!$AC$2:$AC$5000))))&gt;0), 勤務統計!$F$1, "")</f>
        <v/>
      </c>
      <c r="V114" s="413" t="str">
        <f t="array" ref="V114">IFERROR(INDEX(IM!$AM$2:$AM$5000, MATCH(1, (IM!$F$2:$F$5000=A114) * (ISNUMBER(SEARCH(勤務統計!$F$1, IM!$AC$2:$AC$5000))), 0)), "")</f>
        <v/>
      </c>
      <c r="W114" s="414" t="str">
        <f>IF(VLOOKUP(A114,'0919門市清單主檔'!B:AC,28,FALSE)=0,"",VLOOKUP(A114,'0919門市清單主檔'!B:AC,28,FALSE))</f>
        <v/>
      </c>
    </row>
    <row r="115" spans="1:23" ht="21.6" customHeight="1">
      <c r="A115" s="423" t="s">
        <v>59</v>
      </c>
      <c r="B115" s="416" t="str">
        <f>VLOOKUP(A115,'0919門市清單主檔'!B:C,2,FALSE)</f>
        <v>三重中興北二</v>
      </c>
      <c r="C115" s="415" t="str">
        <f>VLOOKUP($A115,'0919門市清單主檔'!B:V,20,FALSE)</f>
        <v>新北市</v>
      </c>
      <c r="D115" s="410" t="str">
        <f>VLOOKUP($A115,'0919門市清單主檔'!B:V,21,FALSE)</f>
        <v>三重區</v>
      </c>
      <c r="E115" s="397" t="str">
        <f>VLOOKUP(D115,門市狀態!G:H,2,FALSE)</f>
        <v>劉柏均</v>
      </c>
      <c r="F115" s="410" t="str">
        <f>IFERROR(IF(VLOOKUP(A115,門市狀態!A:D,4,FALSE)=0,"",VLOOKUP(A115,門市狀態!A:D,4,FALSE)),"")</f>
        <v/>
      </c>
      <c r="G115" s="424"/>
      <c r="H115" s="425" t="str">
        <f>IF(I115&gt;0,(TEXT(I115,"yyyymmdd")&amp;勤務統計!$V$2&amp;A115&amp;勤務統計!$V$2&amp;B115&amp;勤務統計!$S$2),"")</f>
        <v>-D138-三重中興北二(定保)</v>
      </c>
      <c r="I115" s="247" t="str">
        <f t="array" ref="I115">IF(AND(SUMPRODUCT((IM!$F$2:$F$5000=A115)*(ISNUMBER(SEARCH(勤務統計!$C$1, IM!$AC$2:$AC$5000))))&gt;0), 勤務統計!$C$1, "")</f>
        <v/>
      </c>
      <c r="J115" s="399" t="str">
        <f t="array" ref="J115">IFERROR(INDEX(IM!$AM$2:$AM$5000, MATCH(1, (IM!$F$2:$F$5000=A115) * (ISNUMBER(SEARCH(勤務統計!$C$1, IM!$AC$2:$AC$5000))), 0)), "")</f>
        <v/>
      </c>
      <c r="K115" s="400">
        <f t="array" ref="K115">SUMPRODUCT((IM!$F$2:$F$5000=A115)*(IM!$AD$2:$AD$5000="O")*(ISNUMBER(SEARCH(勤務統計!$C$1, IM!$AC$2:$AC$5000))))</f>
        <v>0</v>
      </c>
      <c r="L115" s="401" t="str">
        <f t="array" ref="L115">IF(K115&gt;0,IFERROR(HYPERLINK("#'IM'!AC"&amp;MATCH(1,(IM!$F$1:$F$5000=A115)*(ISNUMBER(SEARCH(勤務統計!$C$1,IM!$AC$1:$AC$5000))),0),"檢核"),"未登錄"),"")</f>
        <v/>
      </c>
      <c r="M115" s="402" t="str">
        <f t="shared" si="1"/>
        <v>+L90</v>
      </c>
      <c r="N115" s="402" t="str">
        <f t="array" ref="N115">IF(AND(
    SUMPRODUCT(
        (IM!$F$2:$F$522=A115) *
        ISNUMBER(SEARCH("*HUB*", IM!$AC$2:$AC$522)) *
        (IM!$X$2:$X$522&gt;=勤務統計!$A$1) *
        (IM!$X$2:$X$522&lt;=勤務統計!$B$1)*(W115="HUB")
    ) &gt; 0
), "HUB", "")</f>
        <v/>
      </c>
      <c r="O115" s="400" t="str">
        <f>IF(
  IFERROR(VLOOKUP(A115,勤務統計!A:I,9,FALSE),"")&lt;&gt;勤務統計!$C$1,
  "未完工",
  IF(
    AND(勤務統計!$D$1="--",勤務統計!$E$1="--",勤務統計!$F$1="--"),
    "已完工",
    IF(
      OR(
        AND(勤務統計!$D$1&lt;&gt;"--", IFERROR(VLOOKUP(A115,'0919門市清單主檔'!B:AH,31,FALSE),"")=勤務統計!$D$1, IFERROR(VLOOKUP(A115,勤務統計!A:Q,17,FALSE),"")&lt;&gt;勤務統計!$D$1),
        AND(勤務統計!$E$1&lt;&gt;"--", IFERROR(VLOOKUP(A115,'0919門市清單主檔'!B:AH,32,FALSE),"")=勤務統計!$E$1, IFERROR(VLOOKUP(A115,勤務統計!A:S,19,FALSE),"")&lt;&gt;勤務統計!$E$1),
        AND(勤務統計!$F$1&lt;&gt;"--", IFERROR(VLOOKUP(A115,'0919門市清單主檔'!B:AH,33,FALSE),"")=勤務統計!$F$1, IFERROR(VLOOKUP(A115,勤務統計!A:U,21,FALSE),"")&lt;&gt;勤務統計!$F$1),
        AND(IFERROR(VLOOKUP(A115,'0919門市清單主檔'!B:AH,28,FALSE),"")="HUB", IFERROR(VLOOKUP(A115,勤務統計!A:W,23,FALSE),"")&lt;&gt;"HUB")
      ),
      _xlfn.TEXTJOIN(
        "，",
        TRUE,
        IF(AND(勤務統計!$D$1&lt;&gt;"--", IFERROR(VLOOKUP(A115,'0919門市清單主檔'!B:AH,31,FALSE),"")=勤務統計!$D$1, IFERROR(VLOOKUP(A115,勤務統計!A:Q,17,FALSE),"")&lt;&gt;勤務統計!$D$1), 勤務統計!$D$1, ""),
        IF(AND(勤務統計!$E$1&lt;&gt;"--", IFERROR(VLOOKUP(A115,'0919門市清單主檔'!B:AH,32,FALSE),"")=勤務統計!$E$1, IFERROR(VLOOKUP(A115,勤務統計!A:S,19,FALSE),"")&lt;&gt;勤務統計!$E$1), 勤務統計!$E$1, ""),
        IF(AND(勤務統計!$F$1&lt;&gt;"--", IFERROR(VLOOKUP(A115,'0919門市清單主檔'!B:AH,33,FALSE),"")=勤務統計!$F$1, IFERROR(VLOOKUP(A115,勤務統計!A:U,21,FALSE),"")&lt;&gt;勤務統計!$F$1), 勤務統計!$F$1, ""),
        IF(AND(IFERROR(VLOOKUP(A115,'0919門市清單主檔'!B:AH,28,FALSE),"")="HUB", IFERROR(VLOOKUP(A115,勤務統計!A:W,23,FALSE),"")&lt;&gt;"HUB"), "HUB", "")
      ) &amp; "未完工",
      "已完工"
    )
  )
)</f>
        <v>未完工</v>
      </c>
      <c r="P115" s="403" t="str">
        <f>(TEXT(I115,"yyyymmdd"))&amp;勤務統計!$V$2&amp;A115&amp;勤務統計!$V$2&amp;B115&amp;勤務統計!$S$2</f>
        <v>-D138-三重中興北二(定保)</v>
      </c>
      <c r="Q115" s="420" t="str">
        <f t="array" ref="Q115">IF(AND(SUMPRODUCT((IM!$F$2:$F$5000=A115)*(ISNUMBER(SEARCH(勤務統計!$D$1, IM!$AC$2:$AC$5000))))&gt;0), 勤務統計!$D$1, "")</f>
        <v/>
      </c>
      <c r="R115" s="421" t="str">
        <f t="array" ref="R115">IFERROR(INDEX(IM!$AM$2:$AM$5000, MATCH(1, (IM!$F$2:$F$5000=A115) * (ISNUMBER(SEARCH(勤務統計!$D$1, IM!$AC$2:$AC$5000))), 0)), "")</f>
        <v/>
      </c>
      <c r="S115" s="406" t="str" cm="1">
        <f t="array" ref="S115">IF(AND(SUMPRODUCT((IM!$F$2:$F$5000=A115)*(ISNUMBER(SEARCH(勤務統計!$E$1, IM!$AC$2:$AC$5000))))&gt;0), 勤務統計!$E$1, "")</f>
        <v>+L90</v>
      </c>
      <c r="T115" s="422">
        <f t="array" ref="T115">IFERROR(INDEX(IM!$AM$2:$AM$5000, MATCH(1, (IM!$F$2:$F$5000=A115) * (ISNUMBER(SEARCH(勤務統計!$E$1, IM!$AC$2:$AC$5000))), 0)), "")</f>
        <v>45972</v>
      </c>
      <c r="U115" s="406" t="str" cm="1">
        <f t="array" ref="U115">IF(AND(SUMPRODUCT((IM!$F$2:$F$5000=A115)*(ISNUMBER(SEARCH(勤務統計!$F$1, IM!$AC$2:$AC$5000))))&gt;0), 勤務統計!$F$1, "")</f>
        <v/>
      </c>
      <c r="V115" s="413" t="str">
        <f t="array" ref="V115">IFERROR(INDEX(IM!$AM$2:$AM$5000, MATCH(1, (IM!$F$2:$F$5000=A115) * (ISNUMBER(SEARCH(勤務統計!$F$1, IM!$AC$2:$AC$5000))), 0)), "")</f>
        <v/>
      </c>
      <c r="W115" s="414" t="str">
        <f>IF(VLOOKUP(A115,'0919門市清單主檔'!B:AC,28,FALSE)=0,"",VLOOKUP(A115,'0919門市清單主檔'!B:AC,28,FALSE))</f>
        <v/>
      </c>
    </row>
    <row r="116" spans="1:23" ht="21.6" customHeight="1">
      <c r="A116" s="423" t="s">
        <v>60</v>
      </c>
      <c r="B116" s="416" t="str">
        <f>VLOOKUP(A116,'0919門市清單主檔'!B:C,2,FALSE)</f>
        <v>北縣五華三店</v>
      </c>
      <c r="C116" s="415" t="str">
        <f>VLOOKUP($A116,'0919門市清單主檔'!B:V,20,FALSE)</f>
        <v>新北市</v>
      </c>
      <c r="D116" s="410" t="str">
        <f>VLOOKUP($A116,'0919門市清單主檔'!B:V,21,FALSE)</f>
        <v>三重區</v>
      </c>
      <c r="E116" s="397" t="str">
        <f>VLOOKUP(D116,門市狀態!G:H,2,FALSE)</f>
        <v>劉柏均</v>
      </c>
      <c r="F116" s="410" t="str">
        <f>IFERROR(IF(VLOOKUP(A116,門市狀態!A:D,4,FALSE)=0,"",VLOOKUP(A116,門市狀態!A:D,4,FALSE)),"")</f>
        <v/>
      </c>
      <c r="G116" s="424"/>
      <c r="H116" s="425" t="str">
        <f>IF(I116&gt;0,(TEXT(I116,"yyyymmdd")&amp;勤務統計!$V$2&amp;A116&amp;勤務統計!$V$2&amp;B116&amp;勤務統計!$S$2),"")</f>
        <v>-D194-北縣五華三店(定保)</v>
      </c>
      <c r="I116" s="247" t="str">
        <f t="array" ref="I116">IF(AND(SUMPRODUCT((IM!$F$2:$F$5000=A116)*(ISNUMBER(SEARCH(勤務統計!$C$1, IM!$AC$2:$AC$5000))))&gt;0), 勤務統計!$C$1, "")</f>
        <v/>
      </c>
      <c r="J116" s="399" t="str">
        <f t="array" ref="J116">IFERROR(INDEX(IM!$AM$2:$AM$5000, MATCH(1, (IM!$F$2:$F$5000=A116) * (ISNUMBER(SEARCH(勤務統計!$C$1, IM!$AC$2:$AC$5000))), 0)), "")</f>
        <v/>
      </c>
      <c r="K116" s="400">
        <f t="array" ref="K116">SUMPRODUCT((IM!$F$2:$F$5000=A116)*(IM!$AD$2:$AD$5000="O")*(ISNUMBER(SEARCH(勤務統計!$C$1, IM!$AC$2:$AC$5000))))</f>
        <v>0</v>
      </c>
      <c r="L116" s="401" t="str">
        <f t="array" ref="L116">IF(K116&gt;0,IFERROR(HYPERLINK("#'IM'!AC"&amp;MATCH(1,(IM!$F$1:$F$5000=A116)*(ISNUMBER(SEARCH(勤務統計!$C$1,IM!$AC$1:$AC$5000))),0),"檢核"),"未登錄"),"")</f>
        <v/>
      </c>
      <c r="M116" s="402" t="str">
        <f t="shared" si="1"/>
        <v>+L90</v>
      </c>
      <c r="N116" s="402" t="str">
        <f t="array" ref="N116">IF(AND(
    SUMPRODUCT(
        (IM!$F$2:$F$522=A116) *
        ISNUMBER(SEARCH("*HUB*", IM!$AC$2:$AC$522)) *
        (IM!$X$2:$X$522&gt;=勤務統計!$A$1) *
        (IM!$X$2:$X$522&lt;=勤務統計!$B$1)*(W116="HUB")
    ) &gt; 0
), "HUB", "")</f>
        <v/>
      </c>
      <c r="O116" s="400" t="str">
        <f>IF(
  IFERROR(VLOOKUP(A116,勤務統計!A:I,9,FALSE),"")&lt;&gt;勤務統計!$C$1,
  "未完工",
  IF(
    AND(勤務統計!$D$1="--",勤務統計!$E$1="--",勤務統計!$F$1="--"),
    "已完工",
    IF(
      OR(
        AND(勤務統計!$D$1&lt;&gt;"--", IFERROR(VLOOKUP(A116,'0919門市清單主檔'!B:AH,31,FALSE),"")=勤務統計!$D$1, IFERROR(VLOOKUP(A116,勤務統計!A:Q,17,FALSE),"")&lt;&gt;勤務統計!$D$1),
        AND(勤務統計!$E$1&lt;&gt;"--", IFERROR(VLOOKUP(A116,'0919門市清單主檔'!B:AH,32,FALSE),"")=勤務統計!$E$1, IFERROR(VLOOKUP(A116,勤務統計!A:S,19,FALSE),"")&lt;&gt;勤務統計!$E$1),
        AND(勤務統計!$F$1&lt;&gt;"--", IFERROR(VLOOKUP(A116,'0919門市清單主檔'!B:AH,33,FALSE),"")=勤務統計!$F$1, IFERROR(VLOOKUP(A116,勤務統計!A:U,21,FALSE),"")&lt;&gt;勤務統計!$F$1),
        AND(IFERROR(VLOOKUP(A116,'0919門市清單主檔'!B:AH,28,FALSE),"")="HUB", IFERROR(VLOOKUP(A116,勤務統計!A:W,23,FALSE),"")&lt;&gt;"HUB")
      ),
      _xlfn.TEXTJOIN(
        "，",
        TRUE,
        IF(AND(勤務統計!$D$1&lt;&gt;"--", IFERROR(VLOOKUP(A116,'0919門市清單主檔'!B:AH,31,FALSE),"")=勤務統計!$D$1, IFERROR(VLOOKUP(A116,勤務統計!A:Q,17,FALSE),"")&lt;&gt;勤務統計!$D$1), 勤務統計!$D$1, ""),
        IF(AND(勤務統計!$E$1&lt;&gt;"--", IFERROR(VLOOKUP(A116,'0919門市清單主檔'!B:AH,32,FALSE),"")=勤務統計!$E$1, IFERROR(VLOOKUP(A116,勤務統計!A:S,19,FALSE),"")&lt;&gt;勤務統計!$E$1), 勤務統計!$E$1, ""),
        IF(AND(勤務統計!$F$1&lt;&gt;"--", IFERROR(VLOOKUP(A116,'0919門市清單主檔'!B:AH,33,FALSE),"")=勤務統計!$F$1, IFERROR(VLOOKUP(A116,勤務統計!A:U,21,FALSE),"")&lt;&gt;勤務統計!$F$1), 勤務統計!$F$1, ""),
        IF(AND(IFERROR(VLOOKUP(A116,'0919門市清單主檔'!B:AH,28,FALSE),"")="HUB", IFERROR(VLOOKUP(A116,勤務統計!A:W,23,FALSE),"")&lt;&gt;"HUB"), "HUB", "")
      ) &amp; "未完工",
      "已完工"
    )
  )
)</f>
        <v>未完工</v>
      </c>
      <c r="P116" s="403" t="str">
        <f>(TEXT(I116,"yyyymmdd"))&amp;勤務統計!$V$2&amp;A116&amp;勤務統計!$V$2&amp;B116&amp;勤務統計!$S$2</f>
        <v>-D194-北縣五華三店(定保)</v>
      </c>
      <c r="Q116" s="420" t="str">
        <f t="array" ref="Q116">IF(AND(SUMPRODUCT((IM!$F$2:$F$5000=A116)*(ISNUMBER(SEARCH(勤務統計!$D$1, IM!$AC$2:$AC$5000))))&gt;0), 勤務統計!$D$1, "")</f>
        <v/>
      </c>
      <c r="R116" s="421" t="str">
        <f t="array" ref="R116">IFERROR(INDEX(IM!$AM$2:$AM$5000, MATCH(1, (IM!$F$2:$F$5000=A116) * (ISNUMBER(SEARCH(勤務統計!$D$1, IM!$AC$2:$AC$5000))), 0)), "")</f>
        <v/>
      </c>
      <c r="S116" s="406" t="str" cm="1">
        <f t="array" ref="S116">IF(AND(SUMPRODUCT((IM!$F$2:$F$5000=A116)*(ISNUMBER(SEARCH(勤務統計!$E$1, IM!$AC$2:$AC$5000))))&gt;0), 勤務統計!$E$1, "")</f>
        <v>+L90</v>
      </c>
      <c r="T116" s="422">
        <f t="array" ref="T116">IFERROR(INDEX(IM!$AM$2:$AM$5000, MATCH(1, (IM!$F$2:$F$5000=A116) * (ISNUMBER(SEARCH(勤務統計!$E$1, IM!$AC$2:$AC$5000))), 0)), "")</f>
        <v>46010</v>
      </c>
      <c r="U116" s="406" t="str" cm="1">
        <f t="array" ref="U116">IF(AND(SUMPRODUCT((IM!$F$2:$F$5000=A116)*(ISNUMBER(SEARCH(勤務統計!$F$1, IM!$AC$2:$AC$5000))))&gt;0), 勤務統計!$F$1, "")</f>
        <v/>
      </c>
      <c r="V116" s="413" t="str">
        <f t="array" ref="V116">IFERROR(INDEX(IM!$AM$2:$AM$5000, MATCH(1, (IM!$F$2:$F$5000=A116) * (ISNUMBER(SEARCH(勤務統計!$F$1, IM!$AC$2:$AC$5000))), 0)), "")</f>
        <v/>
      </c>
      <c r="W116" s="414" t="str">
        <f>IF(VLOOKUP(A116,'0919門市清單主檔'!B:AC,28,FALSE)=0,"",VLOOKUP(A116,'0919門市清單主檔'!B:AC,28,FALSE))</f>
        <v/>
      </c>
    </row>
    <row r="117" spans="1:23" ht="21.6" customHeight="1">
      <c r="A117" s="423">
        <v>3741</v>
      </c>
      <c r="B117" s="416" t="str">
        <f>VLOOKUP(A117,'0919門市清單主檔'!B:C,2,FALSE)</f>
        <v>三重重新三</v>
      </c>
      <c r="C117" s="415" t="str">
        <f>VLOOKUP($A117,'0919門市清單主檔'!B:V,20,FALSE)</f>
        <v>新北市</v>
      </c>
      <c r="D117" s="410" t="str">
        <f>VLOOKUP($A117,'0919門市清單主檔'!B:V,21,FALSE)</f>
        <v>三重區</v>
      </c>
      <c r="E117" s="397" t="str">
        <f>VLOOKUP(D117,門市狀態!G:H,2,FALSE)</f>
        <v>劉柏均</v>
      </c>
      <c r="F117" s="410" t="str">
        <f>IFERROR(IF(VLOOKUP(A117,門市狀態!A:D,4,FALSE)=0,"",VLOOKUP(A117,門市狀態!A:D,4,FALSE)),"")</f>
        <v/>
      </c>
      <c r="G117" s="424"/>
      <c r="H117" s="425" t="str">
        <f>IF(I117&gt;0,(TEXT(I117,"yyyymmdd")&amp;勤務統計!$V$2&amp;A117&amp;勤務統計!$V$2&amp;B117&amp;勤務統計!$S$2),"")</f>
        <v>-3741-三重重新三(定保)</v>
      </c>
      <c r="I117" s="247" t="str">
        <f t="array" ref="I117">IF(AND(SUMPRODUCT((IM!$F$2:$F$5000=A117)*(ISNUMBER(SEARCH(勤務統計!$C$1, IM!$AC$2:$AC$5000))))&gt;0), 勤務統計!$C$1, "")</f>
        <v/>
      </c>
      <c r="J117" s="399" t="str">
        <f t="array" ref="J117">IFERROR(INDEX(IM!$AM$2:$AM$5000, MATCH(1, (IM!$F$2:$F$5000=A117) * (ISNUMBER(SEARCH(勤務統計!$C$1, IM!$AC$2:$AC$5000))), 0)), "")</f>
        <v/>
      </c>
      <c r="K117" s="400">
        <f t="array" ref="K117">SUMPRODUCT((IM!$F$2:$F$5000=A117)*(IM!$AD$2:$AD$5000="O")*(ISNUMBER(SEARCH(勤務統計!$C$1, IM!$AC$2:$AC$5000))))</f>
        <v>0</v>
      </c>
      <c r="L117" s="401" t="str">
        <f t="array" ref="L117">IF(K117&gt;0,IFERROR(HYPERLINK("#'IM'!AC"&amp;MATCH(1,(IM!$F$1:$F$5000=A117)*(ISNUMBER(SEARCH(勤務統計!$C$1,IM!$AC$1:$AC$5000))),0),"檢核"),"未登錄"),"")</f>
        <v/>
      </c>
      <c r="M117" s="402" t="str">
        <f t="shared" si="1"/>
        <v>+L90</v>
      </c>
      <c r="N117" s="402" t="str">
        <f t="array" ref="N117">IF(AND(
    SUMPRODUCT(
        (IM!$F$2:$F$522=A117) *
        ISNUMBER(SEARCH("*HUB*", IM!$AC$2:$AC$522)) *
        (IM!$X$2:$X$522&gt;=勤務統計!$A$1) *
        (IM!$X$2:$X$522&lt;=勤務統計!$B$1)*(W117="HUB")
    ) &gt; 0
), "HUB", "")</f>
        <v/>
      </c>
      <c r="O117" s="400" t="str">
        <f>IF(
  IFERROR(VLOOKUP(A117,勤務統計!A:I,9,FALSE),"")&lt;&gt;勤務統計!$C$1,
  "未完工",
  IF(
    AND(勤務統計!$D$1="--",勤務統計!$E$1="--",勤務統計!$F$1="--"),
    "已完工",
    IF(
      OR(
        AND(勤務統計!$D$1&lt;&gt;"--", IFERROR(VLOOKUP(A117,'0919門市清單主檔'!B:AH,31,FALSE),"")=勤務統計!$D$1, IFERROR(VLOOKUP(A117,勤務統計!A:Q,17,FALSE),"")&lt;&gt;勤務統計!$D$1),
        AND(勤務統計!$E$1&lt;&gt;"--", IFERROR(VLOOKUP(A117,'0919門市清單主檔'!B:AH,32,FALSE),"")=勤務統計!$E$1, IFERROR(VLOOKUP(A117,勤務統計!A:S,19,FALSE),"")&lt;&gt;勤務統計!$E$1),
        AND(勤務統計!$F$1&lt;&gt;"--", IFERROR(VLOOKUP(A117,'0919門市清單主檔'!B:AH,33,FALSE),"")=勤務統計!$F$1, IFERROR(VLOOKUP(A117,勤務統計!A:U,21,FALSE),"")&lt;&gt;勤務統計!$F$1),
        AND(IFERROR(VLOOKUP(A117,'0919門市清單主檔'!B:AH,28,FALSE),"")="HUB", IFERROR(VLOOKUP(A117,勤務統計!A:W,23,FALSE),"")&lt;&gt;"HUB")
      ),
      _xlfn.TEXTJOIN(
        "，",
        TRUE,
        IF(AND(勤務統計!$D$1&lt;&gt;"--", IFERROR(VLOOKUP(A117,'0919門市清單主檔'!B:AH,31,FALSE),"")=勤務統計!$D$1, IFERROR(VLOOKUP(A117,勤務統計!A:Q,17,FALSE),"")&lt;&gt;勤務統計!$D$1), 勤務統計!$D$1, ""),
        IF(AND(勤務統計!$E$1&lt;&gt;"--", IFERROR(VLOOKUP(A117,'0919門市清單主檔'!B:AH,32,FALSE),"")=勤務統計!$E$1, IFERROR(VLOOKUP(A117,勤務統計!A:S,19,FALSE),"")&lt;&gt;勤務統計!$E$1), 勤務統計!$E$1, ""),
        IF(AND(勤務統計!$F$1&lt;&gt;"--", IFERROR(VLOOKUP(A117,'0919門市清單主檔'!B:AH,33,FALSE),"")=勤務統計!$F$1, IFERROR(VLOOKUP(A117,勤務統計!A:U,21,FALSE),"")&lt;&gt;勤務統計!$F$1), 勤務統計!$F$1, ""),
        IF(AND(IFERROR(VLOOKUP(A117,'0919門市清單主檔'!B:AH,28,FALSE),"")="HUB", IFERROR(VLOOKUP(A117,勤務統計!A:W,23,FALSE),"")&lt;&gt;"HUB"), "HUB", "")
      ) &amp; "未完工",
      "已完工"
    )
  )
)</f>
        <v>未完工</v>
      </c>
      <c r="P117" s="403" t="str">
        <f>(TEXT(I117,"yyyymmdd"))&amp;勤務統計!$V$2&amp;A117&amp;勤務統計!$V$2&amp;B117&amp;勤務統計!$S$2</f>
        <v>-3741-三重重新三(定保)</v>
      </c>
      <c r="Q117" s="420" t="str">
        <f t="array" ref="Q117">IF(AND(SUMPRODUCT((IM!$F$2:$F$5000=A117)*(ISNUMBER(SEARCH(勤務統計!$D$1, IM!$AC$2:$AC$5000))))&gt;0), 勤務統計!$D$1, "")</f>
        <v/>
      </c>
      <c r="R117" s="421" t="str">
        <f t="array" ref="R117">IFERROR(INDEX(IM!$AM$2:$AM$5000, MATCH(1, (IM!$F$2:$F$5000=A117) * (ISNUMBER(SEARCH(勤務統計!$D$1, IM!$AC$2:$AC$5000))), 0)), "")</f>
        <v/>
      </c>
      <c r="S117" s="406" t="str" cm="1">
        <f t="array" ref="S117">IF(AND(SUMPRODUCT((IM!$F$2:$F$5000=A117)*(ISNUMBER(SEARCH(勤務統計!$E$1, IM!$AC$2:$AC$5000))))&gt;0), 勤務統計!$E$1, "")</f>
        <v>+L90</v>
      </c>
      <c r="T117" s="422">
        <f t="array" ref="T117">IFERROR(INDEX(IM!$AM$2:$AM$5000, MATCH(1, (IM!$F$2:$F$5000=A117) * (ISNUMBER(SEARCH(勤務統計!$E$1, IM!$AC$2:$AC$5000))), 0)), "")</f>
        <v>46002</v>
      </c>
      <c r="U117" s="406" t="str" cm="1">
        <f t="array" ref="U117">IF(AND(SUMPRODUCT((IM!$F$2:$F$5000=A117)*(ISNUMBER(SEARCH(勤務統計!$F$1, IM!$AC$2:$AC$5000))))&gt;0), 勤務統計!$F$1, "")</f>
        <v/>
      </c>
      <c r="V117" s="413" t="str">
        <f t="array" ref="V117">IFERROR(INDEX(IM!$AM$2:$AM$5000, MATCH(1, (IM!$F$2:$F$5000=A117) * (ISNUMBER(SEARCH(勤務統計!$F$1, IM!$AC$2:$AC$5000))), 0)), "")</f>
        <v/>
      </c>
      <c r="W117" s="414" t="str">
        <f>IF(VLOOKUP(A117,'0919門市清單主檔'!B:AC,28,FALSE)=0,"",VLOOKUP(A117,'0919門市清單主檔'!B:AC,28,FALSE))</f>
        <v/>
      </c>
    </row>
    <row r="118" spans="1:23" ht="21.6" customHeight="1">
      <c r="A118" s="423">
        <v>2321</v>
      </c>
      <c r="B118" s="416" t="str">
        <f>VLOOKUP(A118,'0919門市清單主檔'!B:C,2,FALSE)</f>
        <v>三重同安店</v>
      </c>
      <c r="C118" s="415" t="str">
        <f>VLOOKUP($A118,'0919門市清單主檔'!B:V,20,FALSE)</f>
        <v>新北市</v>
      </c>
      <c r="D118" s="410" t="str">
        <f>VLOOKUP($A118,'0919門市清單主檔'!B:V,21,FALSE)</f>
        <v>三重區</v>
      </c>
      <c r="E118" s="397" t="str">
        <f>VLOOKUP(D118,門市狀態!G:H,2,FALSE)</f>
        <v>劉柏均</v>
      </c>
      <c r="F118" s="410" t="str">
        <f>IFERROR(IF(VLOOKUP(A118,門市狀態!A:D,4,FALSE)=0,"",VLOOKUP(A118,門市狀態!A:D,4,FALSE)),"")</f>
        <v/>
      </c>
      <c r="G118" s="424"/>
      <c r="H118" s="425" t="str">
        <f>IF(I118&gt;0,(TEXT(I118,"yyyymmdd")&amp;勤務統計!$V$2&amp;A118&amp;勤務統計!$V$2&amp;B118&amp;勤務統計!$S$2),"")</f>
        <v>-2321-三重同安店(定保)</v>
      </c>
      <c r="I118" s="247" t="str">
        <f t="array" ref="I118">IF(AND(SUMPRODUCT((IM!$F$2:$F$5000=A118)*(ISNUMBER(SEARCH(勤務統計!$C$1, IM!$AC$2:$AC$5000))))&gt;0), 勤務統計!$C$1, "")</f>
        <v/>
      </c>
      <c r="J118" s="399" t="str">
        <f t="array" ref="J118">IFERROR(INDEX(IM!$AM$2:$AM$5000, MATCH(1, (IM!$F$2:$F$5000=A118) * (ISNUMBER(SEARCH(勤務統計!$C$1, IM!$AC$2:$AC$5000))), 0)), "")</f>
        <v/>
      </c>
      <c r="K118" s="400">
        <f t="array" ref="K118">SUMPRODUCT((IM!$F$2:$F$5000=A118)*(IM!$AD$2:$AD$5000="O")*(ISNUMBER(SEARCH(勤務統計!$C$1, IM!$AC$2:$AC$5000))))</f>
        <v>0</v>
      </c>
      <c r="L118" s="401" t="str">
        <f t="array" ref="L118">IF(K118&gt;0,IFERROR(HYPERLINK("#'IM'!AC"&amp;MATCH(1,(IM!$F$1:$F$5000=A118)*(ISNUMBER(SEARCH(勤務統計!$C$1,IM!$AC$1:$AC$5000))),0),"檢核"),"未登錄"),"")</f>
        <v/>
      </c>
      <c r="M118" s="402" t="str">
        <f t="shared" si="1"/>
        <v>+L90</v>
      </c>
      <c r="N118" s="402" t="str">
        <f t="array" ref="N118">IF(AND(
    SUMPRODUCT(
        (IM!$F$2:$F$522=A118) *
        ISNUMBER(SEARCH("*HUB*", IM!$AC$2:$AC$522)) *
        (IM!$X$2:$X$522&gt;=勤務統計!$A$1) *
        (IM!$X$2:$X$522&lt;=勤務統計!$B$1)*(W118="HUB")
    ) &gt; 0
), "HUB", "")</f>
        <v/>
      </c>
      <c r="O118" s="400" t="str">
        <f>IF(
  IFERROR(VLOOKUP(A118,勤務統計!A:I,9,FALSE),"")&lt;&gt;勤務統計!$C$1,
  "未完工",
  IF(
    AND(勤務統計!$D$1="--",勤務統計!$E$1="--",勤務統計!$F$1="--"),
    "已完工",
    IF(
      OR(
        AND(勤務統計!$D$1&lt;&gt;"--", IFERROR(VLOOKUP(A118,'0919門市清單主檔'!B:AH,31,FALSE),"")=勤務統計!$D$1, IFERROR(VLOOKUP(A118,勤務統計!A:Q,17,FALSE),"")&lt;&gt;勤務統計!$D$1),
        AND(勤務統計!$E$1&lt;&gt;"--", IFERROR(VLOOKUP(A118,'0919門市清單主檔'!B:AH,32,FALSE),"")=勤務統計!$E$1, IFERROR(VLOOKUP(A118,勤務統計!A:S,19,FALSE),"")&lt;&gt;勤務統計!$E$1),
        AND(勤務統計!$F$1&lt;&gt;"--", IFERROR(VLOOKUP(A118,'0919門市清單主檔'!B:AH,33,FALSE),"")=勤務統計!$F$1, IFERROR(VLOOKUP(A118,勤務統計!A:U,21,FALSE),"")&lt;&gt;勤務統計!$F$1),
        AND(IFERROR(VLOOKUP(A118,'0919門市清單主檔'!B:AH,28,FALSE),"")="HUB", IFERROR(VLOOKUP(A118,勤務統計!A:W,23,FALSE),"")&lt;&gt;"HUB")
      ),
      _xlfn.TEXTJOIN(
        "，",
        TRUE,
        IF(AND(勤務統計!$D$1&lt;&gt;"--", IFERROR(VLOOKUP(A118,'0919門市清單主檔'!B:AH,31,FALSE),"")=勤務統計!$D$1, IFERROR(VLOOKUP(A118,勤務統計!A:Q,17,FALSE),"")&lt;&gt;勤務統計!$D$1), 勤務統計!$D$1, ""),
        IF(AND(勤務統計!$E$1&lt;&gt;"--", IFERROR(VLOOKUP(A118,'0919門市清單主檔'!B:AH,32,FALSE),"")=勤務統計!$E$1, IFERROR(VLOOKUP(A118,勤務統計!A:S,19,FALSE),"")&lt;&gt;勤務統計!$E$1), 勤務統計!$E$1, ""),
        IF(AND(勤務統計!$F$1&lt;&gt;"--", IFERROR(VLOOKUP(A118,'0919門市清單主檔'!B:AH,33,FALSE),"")=勤務統計!$F$1, IFERROR(VLOOKUP(A118,勤務統計!A:U,21,FALSE),"")&lt;&gt;勤務統計!$F$1), 勤務統計!$F$1, ""),
        IF(AND(IFERROR(VLOOKUP(A118,'0919門市清單主檔'!B:AH,28,FALSE),"")="HUB", IFERROR(VLOOKUP(A118,勤務統計!A:W,23,FALSE),"")&lt;&gt;"HUB"), "HUB", "")
      ) &amp; "未完工",
      "已完工"
    )
  )
)</f>
        <v>未完工</v>
      </c>
      <c r="P118" s="403" t="str">
        <f>(TEXT(I118,"yyyymmdd"))&amp;勤務統計!$V$2&amp;A118&amp;勤務統計!$V$2&amp;B118&amp;勤務統計!$S$2</f>
        <v>-2321-三重同安店(定保)</v>
      </c>
      <c r="Q118" s="420" t="str">
        <f t="array" ref="Q118">IF(AND(SUMPRODUCT((IM!$F$2:$F$5000=A118)*(ISNUMBER(SEARCH(勤務統計!$D$1, IM!$AC$2:$AC$5000))))&gt;0), 勤務統計!$D$1, "")</f>
        <v/>
      </c>
      <c r="R118" s="421" t="str">
        <f t="array" ref="R118">IFERROR(INDEX(IM!$AM$2:$AM$5000, MATCH(1, (IM!$F$2:$F$5000=A118) * (ISNUMBER(SEARCH(勤務統計!$D$1, IM!$AC$2:$AC$5000))), 0)), "")</f>
        <v/>
      </c>
      <c r="S118" s="406" t="str" cm="1">
        <f t="array" ref="S118">IF(AND(SUMPRODUCT((IM!$F$2:$F$5000=A118)*(ISNUMBER(SEARCH(勤務統計!$E$1, IM!$AC$2:$AC$5000))))&gt;0), 勤務統計!$E$1, "")</f>
        <v>+L90</v>
      </c>
      <c r="T118" s="422">
        <f t="array" ref="T118">IFERROR(INDEX(IM!$AM$2:$AM$5000, MATCH(1, (IM!$F$2:$F$5000=A118) * (ISNUMBER(SEARCH(勤務統計!$E$1, IM!$AC$2:$AC$5000))), 0)), "")</f>
        <v>46002</v>
      </c>
      <c r="U118" s="406" t="str" cm="1">
        <f t="array" ref="U118">IF(AND(SUMPRODUCT((IM!$F$2:$F$5000=A118)*(ISNUMBER(SEARCH(勤務統計!$F$1, IM!$AC$2:$AC$5000))))&gt;0), 勤務統計!$F$1, "")</f>
        <v/>
      </c>
      <c r="V118" s="413" t="str">
        <f t="array" ref="V118">IFERROR(INDEX(IM!$AM$2:$AM$5000, MATCH(1, (IM!$F$2:$F$5000=A118) * (ISNUMBER(SEARCH(勤務統計!$F$1, IM!$AC$2:$AC$5000))), 0)), "")</f>
        <v/>
      </c>
      <c r="W118" s="414" t="str">
        <f>IF(VLOOKUP(A118,'0919門市清單主檔'!B:AC,28,FALSE)=0,"",VLOOKUP(A118,'0919門市清單主檔'!B:AC,28,FALSE))</f>
        <v/>
      </c>
    </row>
    <row r="119" spans="1:23" ht="21.6" customHeight="1">
      <c r="A119" s="423">
        <v>4134</v>
      </c>
      <c r="B119" s="416" t="str">
        <f>VLOOKUP(A119,'0919門市清單主檔'!B:C,2,FALSE)</f>
        <v>三重大同南</v>
      </c>
      <c r="C119" s="415" t="str">
        <f>VLOOKUP($A119,'0919門市清單主檔'!B:V,20,FALSE)</f>
        <v>新北市</v>
      </c>
      <c r="D119" s="410" t="str">
        <f>VLOOKUP($A119,'0919門市清單主檔'!B:V,21,FALSE)</f>
        <v>三重區</v>
      </c>
      <c r="E119" s="397" t="str">
        <f>VLOOKUP(D119,門市狀態!G:H,2,FALSE)</f>
        <v>劉柏均</v>
      </c>
      <c r="F119" s="410" t="str">
        <f>IFERROR(IF(VLOOKUP(A119,門市狀態!A:D,4,FALSE)=0,"",VLOOKUP(A119,門市狀態!A:D,4,FALSE)),"")</f>
        <v/>
      </c>
      <c r="G119" s="424"/>
      <c r="H119" s="425" t="str">
        <f>IF(I119&gt;0,(TEXT(I119,"yyyymmdd")&amp;勤務統計!$V$2&amp;A119&amp;勤務統計!$V$2&amp;B119&amp;勤務統計!$S$2),"")</f>
        <v>-4134-三重大同南(定保)</v>
      </c>
      <c r="I119" s="247" t="str">
        <f t="array" ref="I119">IF(AND(SUMPRODUCT((IM!$F$2:$F$5000=A119)*(ISNUMBER(SEARCH(勤務統計!$C$1, IM!$AC$2:$AC$5000))))&gt;0), 勤務統計!$C$1, "")</f>
        <v/>
      </c>
      <c r="J119" s="399" t="str">
        <f t="array" ref="J119">IFERROR(INDEX(IM!$AM$2:$AM$5000, MATCH(1, (IM!$F$2:$F$5000=A119) * (ISNUMBER(SEARCH(勤務統計!$C$1, IM!$AC$2:$AC$5000))), 0)), "")</f>
        <v/>
      </c>
      <c r="K119" s="400">
        <f t="array" ref="K119">SUMPRODUCT((IM!$F$2:$F$5000=A119)*(IM!$AD$2:$AD$5000="O")*(ISNUMBER(SEARCH(勤務統計!$C$1, IM!$AC$2:$AC$5000))))</f>
        <v>0</v>
      </c>
      <c r="L119" s="401" t="str">
        <f t="array" ref="L119">IF(K119&gt;0,IFERROR(HYPERLINK("#'IM'!AC"&amp;MATCH(1,(IM!$F$1:$F$5000=A119)*(ISNUMBER(SEARCH(勤務統計!$C$1,IM!$AC$1:$AC$5000))),0),"檢核"),"未登錄"),"")</f>
        <v/>
      </c>
      <c r="M119" s="402" t="str">
        <f t="shared" si="1"/>
        <v>+L90</v>
      </c>
      <c r="N119" s="402" t="str">
        <f t="array" ref="N119">IF(AND(
    SUMPRODUCT(
        (IM!$F$2:$F$522=A119) *
        ISNUMBER(SEARCH("*HUB*", IM!$AC$2:$AC$522)) *
        (IM!$X$2:$X$522&gt;=勤務統計!$A$1) *
        (IM!$X$2:$X$522&lt;=勤務統計!$B$1)*(W119="HUB")
    ) &gt; 0
), "HUB", "")</f>
        <v/>
      </c>
      <c r="O119" s="400" t="str">
        <f>IF(
  IFERROR(VLOOKUP(A119,勤務統計!A:I,9,FALSE),"")&lt;&gt;勤務統計!$C$1,
  "未完工",
  IF(
    AND(勤務統計!$D$1="--",勤務統計!$E$1="--",勤務統計!$F$1="--"),
    "已完工",
    IF(
      OR(
        AND(勤務統計!$D$1&lt;&gt;"--", IFERROR(VLOOKUP(A119,'0919門市清單主檔'!B:AH,31,FALSE),"")=勤務統計!$D$1, IFERROR(VLOOKUP(A119,勤務統計!A:Q,17,FALSE),"")&lt;&gt;勤務統計!$D$1),
        AND(勤務統計!$E$1&lt;&gt;"--", IFERROR(VLOOKUP(A119,'0919門市清單主檔'!B:AH,32,FALSE),"")=勤務統計!$E$1, IFERROR(VLOOKUP(A119,勤務統計!A:S,19,FALSE),"")&lt;&gt;勤務統計!$E$1),
        AND(勤務統計!$F$1&lt;&gt;"--", IFERROR(VLOOKUP(A119,'0919門市清單主檔'!B:AH,33,FALSE),"")=勤務統計!$F$1, IFERROR(VLOOKUP(A119,勤務統計!A:U,21,FALSE),"")&lt;&gt;勤務統計!$F$1),
        AND(IFERROR(VLOOKUP(A119,'0919門市清單主檔'!B:AH,28,FALSE),"")="HUB", IFERROR(VLOOKUP(A119,勤務統計!A:W,23,FALSE),"")&lt;&gt;"HUB")
      ),
      _xlfn.TEXTJOIN(
        "，",
        TRUE,
        IF(AND(勤務統計!$D$1&lt;&gt;"--", IFERROR(VLOOKUP(A119,'0919門市清單主檔'!B:AH,31,FALSE),"")=勤務統計!$D$1, IFERROR(VLOOKUP(A119,勤務統計!A:Q,17,FALSE),"")&lt;&gt;勤務統計!$D$1), 勤務統計!$D$1, ""),
        IF(AND(勤務統計!$E$1&lt;&gt;"--", IFERROR(VLOOKUP(A119,'0919門市清單主檔'!B:AH,32,FALSE),"")=勤務統計!$E$1, IFERROR(VLOOKUP(A119,勤務統計!A:S,19,FALSE),"")&lt;&gt;勤務統計!$E$1), 勤務統計!$E$1, ""),
        IF(AND(勤務統計!$F$1&lt;&gt;"--", IFERROR(VLOOKUP(A119,'0919門市清單主檔'!B:AH,33,FALSE),"")=勤務統計!$F$1, IFERROR(VLOOKUP(A119,勤務統計!A:U,21,FALSE),"")&lt;&gt;勤務統計!$F$1), 勤務統計!$F$1, ""),
        IF(AND(IFERROR(VLOOKUP(A119,'0919門市清單主檔'!B:AH,28,FALSE),"")="HUB", IFERROR(VLOOKUP(A119,勤務統計!A:W,23,FALSE),"")&lt;&gt;"HUB"), "HUB", "")
      ) &amp; "未完工",
      "已完工"
    )
  )
)</f>
        <v>未完工</v>
      </c>
      <c r="P119" s="403" t="str">
        <f>(TEXT(I119,"yyyymmdd"))&amp;勤務統計!$V$2&amp;A119&amp;勤務統計!$V$2&amp;B119&amp;勤務統計!$S$2</f>
        <v>-4134-三重大同南(定保)</v>
      </c>
      <c r="Q119" s="420" t="str">
        <f t="array" ref="Q119">IF(AND(SUMPRODUCT((IM!$F$2:$F$5000=A119)*(ISNUMBER(SEARCH(勤務統計!$D$1, IM!$AC$2:$AC$5000))))&gt;0), 勤務統計!$D$1, "")</f>
        <v/>
      </c>
      <c r="R119" s="421" t="str">
        <f t="array" ref="R119">IFERROR(INDEX(IM!$AM$2:$AM$5000, MATCH(1, (IM!$F$2:$F$5000=A119) * (ISNUMBER(SEARCH(勤務統計!$D$1, IM!$AC$2:$AC$5000))), 0)), "")</f>
        <v/>
      </c>
      <c r="S119" s="406" t="str" cm="1">
        <f t="array" ref="S119">IF(AND(SUMPRODUCT((IM!$F$2:$F$5000=A119)*(ISNUMBER(SEARCH(勤務統計!$E$1, IM!$AC$2:$AC$5000))))&gt;0), 勤務統計!$E$1, "")</f>
        <v>+L90</v>
      </c>
      <c r="T119" s="422">
        <f t="array" ref="T119">IFERROR(INDEX(IM!$AM$2:$AM$5000, MATCH(1, (IM!$F$2:$F$5000=A119) * (ISNUMBER(SEARCH(勤務統計!$E$1, IM!$AC$2:$AC$5000))), 0)), "")</f>
        <v>46002</v>
      </c>
      <c r="U119" s="406" t="str" cm="1">
        <f t="array" ref="U119">IF(AND(SUMPRODUCT((IM!$F$2:$F$5000=A119)*(ISNUMBER(SEARCH(勤務統計!$F$1, IM!$AC$2:$AC$5000))))&gt;0), 勤務統計!$F$1, "")</f>
        <v/>
      </c>
      <c r="V119" s="413" t="str">
        <f t="array" ref="V119">IFERROR(INDEX(IM!$AM$2:$AM$5000, MATCH(1, (IM!$F$2:$F$5000=A119) * (ISNUMBER(SEARCH(勤務統計!$F$1, IM!$AC$2:$AC$5000))), 0)), "")</f>
        <v/>
      </c>
      <c r="W119" s="414" t="str">
        <f>IF(VLOOKUP(A119,'0919門市清單主檔'!B:AC,28,FALSE)=0,"",VLOOKUP(A119,'0919門市清單主檔'!B:AC,28,FALSE))</f>
        <v/>
      </c>
    </row>
    <row r="120" spans="1:23" ht="21.6" customHeight="1">
      <c r="A120" s="423">
        <v>2302</v>
      </c>
      <c r="B120" s="416" t="str">
        <f>VLOOKUP(A120,'0919門市清單主檔'!B:C,2,FALSE)</f>
        <v>三重重安店</v>
      </c>
      <c r="C120" s="415" t="str">
        <f>VLOOKUP($A120,'0919門市清單主檔'!B:V,20,FALSE)</f>
        <v>新北市</v>
      </c>
      <c r="D120" s="410" t="str">
        <f>VLOOKUP($A120,'0919門市清單主檔'!B:V,21,FALSE)</f>
        <v>三重區</v>
      </c>
      <c r="E120" s="397" t="str">
        <f>VLOOKUP(D120,門市狀態!G:H,2,FALSE)</f>
        <v>劉柏均</v>
      </c>
      <c r="F120" s="410" t="str">
        <f>IFERROR(IF(VLOOKUP(A120,門市狀態!A:D,4,FALSE)=0,"",VLOOKUP(A120,門市狀態!A:D,4,FALSE)),"")</f>
        <v/>
      </c>
      <c r="G120" s="424"/>
      <c r="H120" s="425" t="str">
        <f>IF(I120&gt;0,(TEXT(I120,"yyyymmdd")&amp;勤務統計!$V$2&amp;A120&amp;勤務統計!$V$2&amp;B120&amp;勤務統計!$S$2),"")</f>
        <v>-2302-三重重安店(定保)</v>
      </c>
      <c r="I120" s="247" t="str">
        <f t="array" ref="I120">IF(AND(SUMPRODUCT((IM!$F$2:$F$5000=A120)*(ISNUMBER(SEARCH(勤務統計!$C$1, IM!$AC$2:$AC$5000))))&gt;0), 勤務統計!$C$1, "")</f>
        <v/>
      </c>
      <c r="J120" s="399" t="str">
        <f t="array" ref="J120">IFERROR(INDEX(IM!$AM$2:$AM$5000, MATCH(1, (IM!$F$2:$F$5000=A120) * (ISNUMBER(SEARCH(勤務統計!$C$1, IM!$AC$2:$AC$5000))), 0)), "")</f>
        <v/>
      </c>
      <c r="K120" s="400">
        <f t="array" ref="K120">SUMPRODUCT((IM!$F$2:$F$5000=A120)*(IM!$AD$2:$AD$5000="O")*(ISNUMBER(SEARCH(勤務統計!$C$1, IM!$AC$2:$AC$5000))))</f>
        <v>0</v>
      </c>
      <c r="L120" s="401" t="str">
        <f t="array" ref="L120">IF(K120&gt;0,IFERROR(HYPERLINK("#'IM'!AC"&amp;MATCH(1,(IM!$F$1:$F$5000=A120)*(ISNUMBER(SEARCH(勤務統計!$C$1,IM!$AC$1:$AC$5000))),0),"檢核"),"未登錄"),"")</f>
        <v/>
      </c>
      <c r="M120" s="402" t="str">
        <f t="shared" si="1"/>
        <v>+L90</v>
      </c>
      <c r="N120" s="402" t="str">
        <f t="array" ref="N120">IF(AND(
    SUMPRODUCT(
        (IM!$F$2:$F$522=A120) *
        ISNUMBER(SEARCH("*HUB*", IM!$AC$2:$AC$522)) *
        (IM!$X$2:$X$522&gt;=勤務統計!$A$1) *
        (IM!$X$2:$X$522&lt;=勤務統計!$B$1)*(W120="HUB")
    ) &gt; 0
), "HUB", "")</f>
        <v/>
      </c>
      <c r="O120" s="400" t="str">
        <f>IF(
  IFERROR(VLOOKUP(A120,勤務統計!A:I,9,FALSE),"")&lt;&gt;勤務統計!$C$1,
  "未完工",
  IF(
    AND(勤務統計!$D$1="--",勤務統計!$E$1="--",勤務統計!$F$1="--"),
    "已完工",
    IF(
      OR(
        AND(勤務統計!$D$1&lt;&gt;"--", IFERROR(VLOOKUP(A120,'0919門市清單主檔'!B:AH,31,FALSE),"")=勤務統計!$D$1, IFERROR(VLOOKUP(A120,勤務統計!A:Q,17,FALSE),"")&lt;&gt;勤務統計!$D$1),
        AND(勤務統計!$E$1&lt;&gt;"--", IFERROR(VLOOKUP(A120,'0919門市清單主檔'!B:AH,32,FALSE),"")=勤務統計!$E$1, IFERROR(VLOOKUP(A120,勤務統計!A:S,19,FALSE),"")&lt;&gt;勤務統計!$E$1),
        AND(勤務統計!$F$1&lt;&gt;"--", IFERROR(VLOOKUP(A120,'0919門市清單主檔'!B:AH,33,FALSE),"")=勤務統計!$F$1, IFERROR(VLOOKUP(A120,勤務統計!A:U,21,FALSE),"")&lt;&gt;勤務統計!$F$1),
        AND(IFERROR(VLOOKUP(A120,'0919門市清單主檔'!B:AH,28,FALSE),"")="HUB", IFERROR(VLOOKUP(A120,勤務統計!A:W,23,FALSE),"")&lt;&gt;"HUB")
      ),
      _xlfn.TEXTJOIN(
        "，",
        TRUE,
        IF(AND(勤務統計!$D$1&lt;&gt;"--", IFERROR(VLOOKUP(A120,'0919門市清單主檔'!B:AH,31,FALSE),"")=勤務統計!$D$1, IFERROR(VLOOKUP(A120,勤務統計!A:Q,17,FALSE),"")&lt;&gt;勤務統計!$D$1), 勤務統計!$D$1, ""),
        IF(AND(勤務統計!$E$1&lt;&gt;"--", IFERROR(VLOOKUP(A120,'0919門市清單主檔'!B:AH,32,FALSE),"")=勤務統計!$E$1, IFERROR(VLOOKUP(A120,勤務統計!A:S,19,FALSE),"")&lt;&gt;勤務統計!$E$1), 勤務統計!$E$1, ""),
        IF(AND(勤務統計!$F$1&lt;&gt;"--", IFERROR(VLOOKUP(A120,'0919門市清單主檔'!B:AH,33,FALSE),"")=勤務統計!$F$1, IFERROR(VLOOKUP(A120,勤務統計!A:U,21,FALSE),"")&lt;&gt;勤務統計!$F$1), 勤務統計!$F$1, ""),
        IF(AND(IFERROR(VLOOKUP(A120,'0919門市清單主檔'!B:AH,28,FALSE),"")="HUB", IFERROR(VLOOKUP(A120,勤務統計!A:W,23,FALSE),"")&lt;&gt;"HUB"), "HUB", "")
      ) &amp; "未完工",
      "已完工"
    )
  )
)</f>
        <v>未完工</v>
      </c>
      <c r="P120" s="403" t="str">
        <f>(TEXT(I120,"yyyymmdd"))&amp;勤務統計!$V$2&amp;A120&amp;勤務統計!$V$2&amp;B120&amp;勤務統計!$S$2</f>
        <v>-2302-三重重安店(定保)</v>
      </c>
      <c r="Q120" s="420" t="str">
        <f t="array" ref="Q120">IF(AND(SUMPRODUCT((IM!$F$2:$F$5000=A120)*(ISNUMBER(SEARCH(勤務統計!$D$1, IM!$AC$2:$AC$5000))))&gt;0), 勤務統計!$D$1, "")</f>
        <v/>
      </c>
      <c r="R120" s="421" t="str">
        <f t="array" ref="R120">IFERROR(INDEX(IM!$AM$2:$AM$5000, MATCH(1, (IM!$F$2:$F$5000=A120) * (ISNUMBER(SEARCH(勤務統計!$D$1, IM!$AC$2:$AC$5000))), 0)), "")</f>
        <v/>
      </c>
      <c r="S120" s="406" t="str" cm="1">
        <f t="array" ref="S120">IF(AND(SUMPRODUCT((IM!$F$2:$F$5000=A120)*(ISNUMBER(SEARCH(勤務統計!$E$1, IM!$AC$2:$AC$5000))))&gt;0), 勤務統計!$E$1, "")</f>
        <v>+L90</v>
      </c>
      <c r="T120" s="422">
        <f t="array" ref="T120">IFERROR(INDEX(IM!$AM$2:$AM$5000, MATCH(1, (IM!$F$2:$F$5000=A120) * (ISNUMBER(SEARCH(勤務統計!$E$1, IM!$AC$2:$AC$5000))), 0)), "")</f>
        <v>46002</v>
      </c>
      <c r="U120" s="406" t="str" cm="1">
        <f t="array" ref="U120">IF(AND(SUMPRODUCT((IM!$F$2:$F$5000=A120)*(ISNUMBER(SEARCH(勤務統計!$F$1, IM!$AC$2:$AC$5000))))&gt;0), 勤務統計!$F$1, "")</f>
        <v/>
      </c>
      <c r="V120" s="413" t="str">
        <f t="array" ref="V120">IFERROR(INDEX(IM!$AM$2:$AM$5000, MATCH(1, (IM!$F$2:$F$5000=A120) * (ISNUMBER(SEARCH(勤務統計!$F$1, IM!$AC$2:$AC$5000))), 0)), "")</f>
        <v/>
      </c>
      <c r="W120" s="414" t="str">
        <f>IF(VLOOKUP(A120,'0919門市清單主檔'!B:AC,28,FALSE)=0,"",VLOOKUP(A120,'0919門市清單主檔'!B:AC,28,FALSE))</f>
        <v/>
      </c>
    </row>
    <row r="121" spans="1:23" ht="21.6" customHeight="1">
      <c r="A121" s="423">
        <v>4802</v>
      </c>
      <c r="B121" s="416" t="str">
        <f>VLOOKUP(A121,'0919門市清單主檔'!B:C,2,FALSE)</f>
        <v>淡水沙崙店</v>
      </c>
      <c r="C121" s="415" t="str">
        <f>VLOOKUP($A121,'0919門市清單主檔'!B:V,20,FALSE)</f>
        <v>新北市</v>
      </c>
      <c r="D121" s="410" t="str">
        <f>VLOOKUP($A121,'0919門市清單主檔'!B:V,21,FALSE)</f>
        <v>淡水區</v>
      </c>
      <c r="E121" s="397" t="str">
        <f>VLOOKUP(D121,門市狀態!G:H,2,FALSE)</f>
        <v>吳宗鴻</v>
      </c>
      <c r="F121" s="410" t="str">
        <f>IFERROR(IF(VLOOKUP(A121,門市狀態!A:D,4,FALSE)=0,"",VLOOKUP(A121,門市狀態!A:D,4,FALSE)),"")</f>
        <v/>
      </c>
      <c r="G121" s="424"/>
      <c r="H121" s="425" t="str">
        <f>IF(I121&gt;0,(TEXT(I121,"yyyymmdd")&amp;勤務統計!$V$2&amp;A121&amp;勤務統計!$V$2&amp;B121&amp;勤務統計!$S$2),"")</f>
        <v>-4802-淡水沙崙店(定保)</v>
      </c>
      <c r="I121" s="247" t="str">
        <f t="array" ref="I121">IF(AND(SUMPRODUCT((IM!$F$2:$F$5000=A121)*(ISNUMBER(SEARCH(勤務統計!$C$1, IM!$AC$2:$AC$5000))))&gt;0), 勤務統計!$C$1, "")</f>
        <v/>
      </c>
      <c r="J121" s="399" t="str">
        <f t="array" ref="J121">IFERROR(INDEX(IM!$AM$2:$AM$5000, MATCH(1, (IM!$F$2:$F$5000=A121) * (ISNUMBER(SEARCH(勤務統計!$C$1, IM!$AC$2:$AC$5000))), 0)), "")</f>
        <v/>
      </c>
      <c r="K121" s="400">
        <f t="array" ref="K121">SUMPRODUCT((IM!$F$2:$F$5000=A121)*(IM!$AD$2:$AD$5000="O")*(ISNUMBER(SEARCH(勤務統計!$C$1, IM!$AC$2:$AC$5000))))</f>
        <v>0</v>
      </c>
      <c r="L121" s="401" t="str">
        <f t="array" ref="L121">IF(K121&gt;0,IFERROR(HYPERLINK("#'IM'!AC"&amp;MATCH(1,(IM!$F$1:$F$5000=A121)*(ISNUMBER(SEARCH(勤務統計!$C$1,IM!$AC$1:$AC$5000))),0),"檢核"),"未登錄"),"")</f>
        <v/>
      </c>
      <c r="M121" s="402" t="str">
        <f t="shared" si="1"/>
        <v>+L90</v>
      </c>
      <c r="N121" s="402" t="str">
        <f t="array" ref="N121">IF(AND(
    SUMPRODUCT(
        (IM!$F$2:$F$522=A121) *
        ISNUMBER(SEARCH("*HUB*", IM!$AC$2:$AC$522)) *
        (IM!$X$2:$X$522&gt;=勤務統計!$A$1) *
        (IM!$X$2:$X$522&lt;=勤務統計!$B$1)*(W121="HUB")
    ) &gt; 0
), "HUB", "")</f>
        <v/>
      </c>
      <c r="O121" s="400" t="str">
        <f>IF(
  IFERROR(VLOOKUP(A121,勤務統計!A:I,9,FALSE),"")&lt;&gt;勤務統計!$C$1,
  "未完工",
  IF(
    AND(勤務統計!$D$1="--",勤務統計!$E$1="--",勤務統計!$F$1="--"),
    "已完工",
    IF(
      OR(
        AND(勤務統計!$D$1&lt;&gt;"--", IFERROR(VLOOKUP(A121,'0919門市清單主檔'!B:AH,31,FALSE),"")=勤務統計!$D$1, IFERROR(VLOOKUP(A121,勤務統計!A:Q,17,FALSE),"")&lt;&gt;勤務統計!$D$1),
        AND(勤務統計!$E$1&lt;&gt;"--", IFERROR(VLOOKUP(A121,'0919門市清單主檔'!B:AH,32,FALSE),"")=勤務統計!$E$1, IFERROR(VLOOKUP(A121,勤務統計!A:S,19,FALSE),"")&lt;&gt;勤務統計!$E$1),
        AND(勤務統計!$F$1&lt;&gt;"--", IFERROR(VLOOKUP(A121,'0919門市清單主檔'!B:AH,33,FALSE),"")=勤務統計!$F$1, IFERROR(VLOOKUP(A121,勤務統計!A:U,21,FALSE),"")&lt;&gt;勤務統計!$F$1),
        AND(IFERROR(VLOOKUP(A121,'0919門市清單主檔'!B:AH,28,FALSE),"")="HUB", IFERROR(VLOOKUP(A121,勤務統計!A:W,23,FALSE),"")&lt;&gt;"HUB")
      ),
      _xlfn.TEXTJOIN(
        "，",
        TRUE,
        IF(AND(勤務統計!$D$1&lt;&gt;"--", IFERROR(VLOOKUP(A121,'0919門市清單主檔'!B:AH,31,FALSE),"")=勤務統計!$D$1, IFERROR(VLOOKUP(A121,勤務統計!A:Q,17,FALSE),"")&lt;&gt;勤務統計!$D$1), 勤務統計!$D$1, ""),
        IF(AND(勤務統計!$E$1&lt;&gt;"--", IFERROR(VLOOKUP(A121,'0919門市清單主檔'!B:AH,32,FALSE),"")=勤務統計!$E$1, IFERROR(VLOOKUP(A121,勤務統計!A:S,19,FALSE),"")&lt;&gt;勤務統計!$E$1), 勤務統計!$E$1, ""),
        IF(AND(勤務統計!$F$1&lt;&gt;"--", IFERROR(VLOOKUP(A121,'0919門市清單主檔'!B:AH,33,FALSE),"")=勤務統計!$F$1, IFERROR(VLOOKUP(A121,勤務統計!A:U,21,FALSE),"")&lt;&gt;勤務統計!$F$1), 勤務統計!$F$1, ""),
        IF(AND(IFERROR(VLOOKUP(A121,'0919門市清單主檔'!B:AH,28,FALSE),"")="HUB", IFERROR(VLOOKUP(A121,勤務統計!A:W,23,FALSE),"")&lt;&gt;"HUB"), "HUB", "")
      ) &amp; "未完工",
      "已完工"
    )
  )
)</f>
        <v>未完工</v>
      </c>
      <c r="P121" s="403" t="str">
        <f>(TEXT(I121,"yyyymmdd"))&amp;勤務統計!$V$2&amp;A121&amp;勤務統計!$V$2&amp;B121&amp;勤務統計!$S$2</f>
        <v>-4802-淡水沙崙店(定保)</v>
      </c>
      <c r="Q121" s="420" t="str">
        <f t="array" ref="Q121">IF(AND(SUMPRODUCT((IM!$F$2:$F$5000=A121)*(ISNUMBER(SEARCH(勤務統計!$D$1, IM!$AC$2:$AC$5000))))&gt;0), 勤務統計!$D$1, "")</f>
        <v/>
      </c>
      <c r="R121" s="421" t="str">
        <f t="array" ref="R121">IFERROR(INDEX(IM!$AM$2:$AM$5000, MATCH(1, (IM!$F$2:$F$5000=A121) * (ISNUMBER(SEARCH(勤務統計!$D$1, IM!$AC$2:$AC$5000))), 0)), "")</f>
        <v/>
      </c>
      <c r="S121" s="406" t="str" cm="1">
        <f t="array" ref="S121">IF(AND(SUMPRODUCT((IM!$F$2:$F$5000=A121)*(ISNUMBER(SEARCH(勤務統計!$E$1, IM!$AC$2:$AC$5000))))&gt;0), 勤務統計!$E$1, "")</f>
        <v>+L90</v>
      </c>
      <c r="T121" s="422">
        <f t="array" ref="T121">IFERROR(INDEX(IM!$AM$2:$AM$5000, MATCH(1, (IM!$F$2:$F$5000=A121) * (ISNUMBER(SEARCH(勤務統計!$E$1, IM!$AC$2:$AC$5000))), 0)), "")</f>
        <v>46000</v>
      </c>
      <c r="U121" s="406" t="str" cm="1">
        <f t="array" ref="U121">IF(AND(SUMPRODUCT((IM!$F$2:$F$5000=A121)*(ISNUMBER(SEARCH(勤務統計!$F$1, IM!$AC$2:$AC$5000))))&gt;0), 勤務統計!$F$1, "")</f>
        <v/>
      </c>
      <c r="V121" s="413" t="str">
        <f t="array" ref="V121">IFERROR(INDEX(IM!$AM$2:$AM$5000, MATCH(1, (IM!$F$2:$F$5000=A121) * (ISNUMBER(SEARCH(勤務統計!$F$1, IM!$AC$2:$AC$5000))), 0)), "")</f>
        <v/>
      </c>
      <c r="W121" s="414" t="str">
        <f>IF(VLOOKUP(A121,'0919門市清單主檔'!B:AC,28,FALSE)=0,"",VLOOKUP(A121,'0919門市清單主檔'!B:AC,28,FALSE))</f>
        <v/>
      </c>
    </row>
    <row r="122" spans="1:23" ht="21.6" customHeight="1">
      <c r="A122" s="423">
        <v>5057</v>
      </c>
      <c r="B122" s="416" t="str">
        <f>VLOOKUP(A122,'0919門市清單主檔'!B:C,2,FALSE)</f>
        <v>新莊中港店</v>
      </c>
      <c r="C122" s="415" t="str">
        <f>VLOOKUP($A122,'0919門市清單主檔'!B:V,20,FALSE)</f>
        <v>新北市</v>
      </c>
      <c r="D122" s="410" t="str">
        <f>VLOOKUP($A122,'0919門市清單主檔'!B:V,21,FALSE)</f>
        <v>新莊區</v>
      </c>
      <c r="E122" s="397" t="str">
        <f>VLOOKUP(D122,門市狀態!G:H,2,FALSE)</f>
        <v>湯家瑋</v>
      </c>
      <c r="F122" s="410" t="str">
        <f>IFERROR(IF(VLOOKUP(A122,門市狀態!A:D,4,FALSE)=0,"",VLOOKUP(A122,門市狀態!A:D,4,FALSE)),"")</f>
        <v/>
      </c>
      <c r="G122" s="424"/>
      <c r="H122" s="425" t="str">
        <f>IF(I122&gt;0,(TEXT(I122,"yyyymmdd")&amp;勤務統計!$V$2&amp;A122&amp;勤務統計!$V$2&amp;B122&amp;勤務統計!$S$2),"")</f>
        <v>-5057-新莊中港店(定保)</v>
      </c>
      <c r="I122" s="247" t="str">
        <f t="array" ref="I122">IF(AND(SUMPRODUCT((IM!$F$2:$F$5000=A122)*(ISNUMBER(SEARCH(勤務統計!$C$1, IM!$AC$2:$AC$5000))))&gt;0), 勤務統計!$C$1, "")</f>
        <v/>
      </c>
      <c r="J122" s="399" t="str">
        <f t="array" ref="J122">IFERROR(INDEX(IM!$AM$2:$AM$5000, MATCH(1, (IM!$F$2:$F$5000=A122) * (ISNUMBER(SEARCH(勤務統計!$C$1, IM!$AC$2:$AC$5000))), 0)), "")</f>
        <v/>
      </c>
      <c r="K122" s="400">
        <f t="array" ref="K122">SUMPRODUCT((IM!$F$2:$F$5000=A122)*(IM!$AD$2:$AD$5000="O")*(ISNUMBER(SEARCH(勤務統計!$C$1, IM!$AC$2:$AC$5000))))</f>
        <v>0</v>
      </c>
      <c r="L122" s="401" t="str">
        <f t="array" ref="L122">IF(K122&gt;0,IFERROR(HYPERLINK("#'IM'!AC"&amp;MATCH(1,(IM!$F$1:$F$5000=A122)*(ISNUMBER(SEARCH(勤務統計!$C$1,IM!$AC$1:$AC$5000))),0),"檢核"),"未登錄"),"")</f>
        <v/>
      </c>
      <c r="M122" s="402" t="str">
        <f t="shared" si="1"/>
        <v/>
      </c>
      <c r="N122" s="402" t="str">
        <f t="array" ref="N122">IF(AND(
    SUMPRODUCT(
        (IM!$F$2:$F$522=A122) *
        ISNUMBER(SEARCH("*HUB*", IM!$AC$2:$AC$522)) *
        (IM!$X$2:$X$522&gt;=勤務統計!$A$1) *
        (IM!$X$2:$X$522&lt;=勤務統計!$B$1)*(W122="HUB")
    ) &gt; 0
), "HUB", "")</f>
        <v/>
      </c>
      <c r="O122" s="400" t="str">
        <f>IF(
  IFERROR(VLOOKUP(A122,勤務統計!A:I,9,FALSE),"")&lt;&gt;勤務統計!$C$1,
  "未完工",
  IF(
    AND(勤務統計!$D$1="--",勤務統計!$E$1="--",勤務統計!$F$1="--"),
    "已完工",
    IF(
      OR(
        AND(勤務統計!$D$1&lt;&gt;"--", IFERROR(VLOOKUP(A122,'0919門市清單主檔'!B:AH,31,FALSE),"")=勤務統計!$D$1, IFERROR(VLOOKUP(A122,勤務統計!A:Q,17,FALSE),"")&lt;&gt;勤務統計!$D$1),
        AND(勤務統計!$E$1&lt;&gt;"--", IFERROR(VLOOKUP(A122,'0919門市清單主檔'!B:AH,32,FALSE),"")=勤務統計!$E$1, IFERROR(VLOOKUP(A122,勤務統計!A:S,19,FALSE),"")&lt;&gt;勤務統計!$E$1),
        AND(勤務統計!$F$1&lt;&gt;"--", IFERROR(VLOOKUP(A122,'0919門市清單主檔'!B:AH,33,FALSE),"")=勤務統計!$F$1, IFERROR(VLOOKUP(A122,勤務統計!A:U,21,FALSE),"")&lt;&gt;勤務統計!$F$1),
        AND(IFERROR(VLOOKUP(A122,'0919門市清單主檔'!B:AH,28,FALSE),"")="HUB", IFERROR(VLOOKUP(A122,勤務統計!A:W,23,FALSE),"")&lt;&gt;"HUB")
      ),
      _xlfn.TEXTJOIN(
        "，",
        TRUE,
        IF(AND(勤務統計!$D$1&lt;&gt;"--", IFERROR(VLOOKUP(A122,'0919門市清單主檔'!B:AH,31,FALSE),"")=勤務統計!$D$1, IFERROR(VLOOKUP(A122,勤務統計!A:Q,17,FALSE),"")&lt;&gt;勤務統計!$D$1), 勤務統計!$D$1, ""),
        IF(AND(勤務統計!$E$1&lt;&gt;"--", IFERROR(VLOOKUP(A122,'0919門市清單主檔'!B:AH,32,FALSE),"")=勤務統計!$E$1, IFERROR(VLOOKUP(A122,勤務統計!A:S,19,FALSE),"")&lt;&gt;勤務統計!$E$1), 勤務統計!$E$1, ""),
        IF(AND(勤務統計!$F$1&lt;&gt;"--", IFERROR(VLOOKUP(A122,'0919門市清單主檔'!B:AH,33,FALSE),"")=勤務統計!$F$1, IFERROR(VLOOKUP(A122,勤務統計!A:U,21,FALSE),"")&lt;&gt;勤務統計!$F$1), 勤務統計!$F$1, ""),
        IF(AND(IFERROR(VLOOKUP(A122,'0919門市清單主檔'!B:AH,28,FALSE),"")="HUB", IFERROR(VLOOKUP(A122,勤務統計!A:W,23,FALSE),"")&lt;&gt;"HUB"), "HUB", "")
      ) &amp; "未完工",
      "已完工"
    )
  )
)</f>
        <v>未完工</v>
      </c>
      <c r="P122" s="403" t="str">
        <f>(TEXT(I122,"yyyymmdd"))&amp;勤務統計!$V$2&amp;A122&amp;勤務統計!$V$2&amp;B122&amp;勤務統計!$S$2</f>
        <v>-5057-新莊中港店(定保)</v>
      </c>
      <c r="Q122" s="420" t="str">
        <f t="array" ref="Q122">IF(AND(SUMPRODUCT((IM!$F$2:$F$5000=A122)*(ISNUMBER(SEARCH(勤務統計!$D$1, IM!$AC$2:$AC$5000))))&gt;0), 勤務統計!$D$1, "")</f>
        <v/>
      </c>
      <c r="R122" s="421" t="str">
        <f t="array" ref="R122">IFERROR(INDEX(IM!$AM$2:$AM$5000, MATCH(1, (IM!$F$2:$F$5000=A122) * (ISNUMBER(SEARCH(勤務統計!$D$1, IM!$AC$2:$AC$5000))), 0)), "")</f>
        <v/>
      </c>
      <c r="S122" s="406" t="str" cm="1">
        <f t="array" ref="S122">IF(AND(SUMPRODUCT((IM!$F$2:$F$5000=A122)*(ISNUMBER(SEARCH(勤務統計!$E$1, IM!$AC$2:$AC$5000))))&gt;0), 勤務統計!$E$1, "")</f>
        <v/>
      </c>
      <c r="T122" s="422" t="str">
        <f t="array" ref="T122">IFERROR(INDEX(IM!$AM$2:$AM$5000, MATCH(1, (IM!$F$2:$F$5000=A122) * (ISNUMBER(SEARCH(勤務統計!$E$1, IM!$AC$2:$AC$5000))), 0)), "")</f>
        <v/>
      </c>
      <c r="U122" s="406" t="str" cm="1">
        <f t="array" ref="U122">IF(AND(SUMPRODUCT((IM!$F$2:$F$5000=A122)*(ISNUMBER(SEARCH(勤務統計!$F$1, IM!$AC$2:$AC$5000))))&gt;0), 勤務統計!$F$1, "")</f>
        <v/>
      </c>
      <c r="V122" s="413" t="str">
        <f t="array" ref="V122">IFERROR(INDEX(IM!$AM$2:$AM$5000, MATCH(1, (IM!$F$2:$F$5000=A122) * (ISNUMBER(SEARCH(勤務統計!$F$1, IM!$AC$2:$AC$5000))), 0)), "")</f>
        <v/>
      </c>
      <c r="W122" s="414" t="str">
        <f>IF(VLOOKUP(A122,'0919門市清單主檔'!B:AC,28,FALSE)=0,"",VLOOKUP(A122,'0919門市清單主檔'!B:AC,28,FALSE))</f>
        <v/>
      </c>
    </row>
    <row r="123" spans="1:23" ht="21.6" customHeight="1">
      <c r="A123" s="423">
        <v>4046</v>
      </c>
      <c r="B123" s="416" t="str">
        <f>VLOOKUP(A123,'0919門市清單主檔'!B:C,2,FALSE)</f>
        <v>板橋福康店</v>
      </c>
      <c r="C123" s="415" t="str">
        <f>VLOOKUP($A123,'0919門市清單主檔'!B:V,20,FALSE)</f>
        <v>新北市</v>
      </c>
      <c r="D123" s="410" t="str">
        <f>VLOOKUP($A123,'0919門市清單主檔'!B:V,21,FALSE)</f>
        <v>板橋區</v>
      </c>
      <c r="E123" s="397" t="str">
        <f>VLOOKUP(D123,門市狀態!G:H,2,FALSE)</f>
        <v>狄澤洋</v>
      </c>
      <c r="F123" s="410" t="str">
        <f>IFERROR(IF(VLOOKUP(A123,門市狀態!A:D,4,FALSE)=0,"",VLOOKUP(A123,門市狀態!A:D,4,FALSE)),"")</f>
        <v/>
      </c>
      <c r="G123" s="424"/>
      <c r="H123" s="425" t="str">
        <f>IF(I123&gt;0,(TEXT(I123,"yyyymmdd")&amp;勤務統計!$V$2&amp;A123&amp;勤務統計!$V$2&amp;B123&amp;勤務統計!$S$2),"")</f>
        <v>-4046-板橋福康店(定保)</v>
      </c>
      <c r="I123" s="247" t="str">
        <f t="array" ref="I123">IF(AND(SUMPRODUCT((IM!$F$2:$F$5000=A123)*(ISNUMBER(SEARCH(勤務統計!$C$1, IM!$AC$2:$AC$5000))))&gt;0), 勤務統計!$C$1, "")</f>
        <v/>
      </c>
      <c r="J123" s="399" t="str">
        <f t="array" ref="J123">IFERROR(INDEX(IM!$AM$2:$AM$5000, MATCH(1, (IM!$F$2:$F$5000=A123) * (ISNUMBER(SEARCH(勤務統計!$C$1, IM!$AC$2:$AC$5000))), 0)), "")</f>
        <v/>
      </c>
      <c r="K123" s="400">
        <f t="array" ref="K123">SUMPRODUCT((IM!$F$2:$F$5000=A123)*(IM!$AD$2:$AD$5000="O")*(ISNUMBER(SEARCH(勤務統計!$C$1, IM!$AC$2:$AC$5000))))</f>
        <v>0</v>
      </c>
      <c r="L123" s="401" t="str">
        <f t="array" ref="L123">IF(K123&gt;0,IFERROR(HYPERLINK("#'IM'!AC"&amp;MATCH(1,(IM!$F$1:$F$5000=A123)*(ISNUMBER(SEARCH(勤務統計!$C$1,IM!$AC$1:$AC$5000))),0),"檢核"),"未登錄"),"")</f>
        <v/>
      </c>
      <c r="M123" s="402" t="str">
        <f t="shared" si="1"/>
        <v/>
      </c>
      <c r="N123" s="402" t="str">
        <f t="array" ref="N123">IF(AND(
    SUMPRODUCT(
        (IM!$F$2:$F$522=A123) *
        ISNUMBER(SEARCH("*HUB*", IM!$AC$2:$AC$522)) *
        (IM!$X$2:$X$522&gt;=勤務統計!$A$1) *
        (IM!$X$2:$X$522&lt;=勤務統計!$B$1)*(W123="HUB")
    ) &gt; 0
), "HUB", "")</f>
        <v/>
      </c>
      <c r="O123" s="400" t="str">
        <f>IF(
  IFERROR(VLOOKUP(A123,勤務統計!A:I,9,FALSE),"")&lt;&gt;勤務統計!$C$1,
  "未完工",
  IF(
    AND(勤務統計!$D$1="--",勤務統計!$E$1="--",勤務統計!$F$1="--"),
    "已完工",
    IF(
      OR(
        AND(勤務統計!$D$1&lt;&gt;"--", IFERROR(VLOOKUP(A123,'0919門市清單主檔'!B:AH,31,FALSE),"")=勤務統計!$D$1, IFERROR(VLOOKUP(A123,勤務統計!A:Q,17,FALSE),"")&lt;&gt;勤務統計!$D$1),
        AND(勤務統計!$E$1&lt;&gt;"--", IFERROR(VLOOKUP(A123,'0919門市清單主檔'!B:AH,32,FALSE),"")=勤務統計!$E$1, IFERROR(VLOOKUP(A123,勤務統計!A:S,19,FALSE),"")&lt;&gt;勤務統計!$E$1),
        AND(勤務統計!$F$1&lt;&gt;"--", IFERROR(VLOOKUP(A123,'0919門市清單主檔'!B:AH,33,FALSE),"")=勤務統計!$F$1, IFERROR(VLOOKUP(A123,勤務統計!A:U,21,FALSE),"")&lt;&gt;勤務統計!$F$1),
        AND(IFERROR(VLOOKUP(A123,'0919門市清單主檔'!B:AH,28,FALSE),"")="HUB", IFERROR(VLOOKUP(A123,勤務統計!A:W,23,FALSE),"")&lt;&gt;"HUB")
      ),
      _xlfn.TEXTJOIN(
        "，",
        TRUE,
        IF(AND(勤務統計!$D$1&lt;&gt;"--", IFERROR(VLOOKUP(A123,'0919門市清單主檔'!B:AH,31,FALSE),"")=勤務統計!$D$1, IFERROR(VLOOKUP(A123,勤務統計!A:Q,17,FALSE),"")&lt;&gt;勤務統計!$D$1), 勤務統計!$D$1, ""),
        IF(AND(勤務統計!$E$1&lt;&gt;"--", IFERROR(VLOOKUP(A123,'0919門市清單主檔'!B:AH,32,FALSE),"")=勤務統計!$E$1, IFERROR(VLOOKUP(A123,勤務統計!A:S,19,FALSE),"")&lt;&gt;勤務統計!$E$1), 勤務統計!$E$1, ""),
        IF(AND(勤務統計!$F$1&lt;&gt;"--", IFERROR(VLOOKUP(A123,'0919門市清單主檔'!B:AH,33,FALSE),"")=勤務統計!$F$1, IFERROR(VLOOKUP(A123,勤務統計!A:U,21,FALSE),"")&lt;&gt;勤務統計!$F$1), 勤務統計!$F$1, ""),
        IF(AND(IFERROR(VLOOKUP(A123,'0919門市清單主檔'!B:AH,28,FALSE),"")="HUB", IFERROR(VLOOKUP(A123,勤務統計!A:W,23,FALSE),"")&lt;&gt;"HUB"), "HUB", "")
      ) &amp; "未完工",
      "已完工"
    )
  )
)</f>
        <v>未完工</v>
      </c>
      <c r="P123" s="403" t="str">
        <f>(TEXT(I123,"yyyymmdd"))&amp;勤務統計!$V$2&amp;A123&amp;勤務統計!$V$2&amp;B123&amp;勤務統計!$S$2</f>
        <v>-4046-板橋福康店(定保)</v>
      </c>
      <c r="Q123" s="420" t="str">
        <f t="array" ref="Q123">IF(AND(SUMPRODUCT((IM!$F$2:$F$5000=A123)*(ISNUMBER(SEARCH(勤務統計!$D$1, IM!$AC$2:$AC$5000))))&gt;0), 勤務統計!$D$1, "")</f>
        <v/>
      </c>
      <c r="R123" s="421" t="str">
        <f t="array" ref="R123">IFERROR(INDEX(IM!$AM$2:$AM$5000, MATCH(1, (IM!$F$2:$F$5000=A123) * (ISNUMBER(SEARCH(勤務統計!$D$1, IM!$AC$2:$AC$5000))), 0)), "")</f>
        <v/>
      </c>
      <c r="S123" s="406" t="str" cm="1">
        <f t="array" ref="S123">IF(AND(SUMPRODUCT((IM!$F$2:$F$5000=A123)*(ISNUMBER(SEARCH(勤務統計!$E$1, IM!$AC$2:$AC$5000))))&gt;0), 勤務統計!$E$1, "")</f>
        <v/>
      </c>
      <c r="T123" s="422" t="str">
        <f t="array" ref="T123">IFERROR(INDEX(IM!$AM$2:$AM$5000, MATCH(1, (IM!$F$2:$F$5000=A123) * (ISNUMBER(SEARCH(勤務統計!$E$1, IM!$AC$2:$AC$5000))), 0)), "")</f>
        <v/>
      </c>
      <c r="U123" s="406" t="str" cm="1">
        <f t="array" ref="U123">IF(AND(SUMPRODUCT((IM!$F$2:$F$5000=A123)*(ISNUMBER(SEARCH(勤務統計!$F$1, IM!$AC$2:$AC$5000))))&gt;0), 勤務統計!$F$1, "")</f>
        <v/>
      </c>
      <c r="V123" s="413" t="str">
        <f t="array" ref="V123">IFERROR(INDEX(IM!$AM$2:$AM$5000, MATCH(1, (IM!$F$2:$F$5000=A123) * (ISNUMBER(SEARCH(勤務統計!$F$1, IM!$AC$2:$AC$5000))), 0)), "")</f>
        <v/>
      </c>
      <c r="W123" s="414" t="str">
        <f>IF(VLOOKUP(A123,'0919門市清單主檔'!B:AC,28,FALSE)=0,"",VLOOKUP(A123,'0919門市清單主檔'!B:AC,28,FALSE))</f>
        <v/>
      </c>
    </row>
    <row r="124" spans="1:23" ht="21.6" customHeight="1">
      <c r="A124" s="423">
        <v>4856</v>
      </c>
      <c r="B124" s="416" t="str">
        <f>VLOOKUP(A124,'0919門市清單主檔'!B:C,2,FALSE)</f>
        <v>新莊小胖店</v>
      </c>
      <c r="C124" s="415" t="str">
        <f>VLOOKUP($A124,'0919門市清單主檔'!B:V,20,FALSE)</f>
        <v>新北市</v>
      </c>
      <c r="D124" s="410" t="str">
        <f>VLOOKUP($A124,'0919門市清單主檔'!B:V,21,FALSE)</f>
        <v>新莊區</v>
      </c>
      <c r="E124" s="397" t="str">
        <f>VLOOKUP(D124,門市狀態!G:H,2,FALSE)</f>
        <v>湯家瑋</v>
      </c>
      <c r="F124" s="410" t="str">
        <f>IFERROR(IF(VLOOKUP(A124,門市狀態!A:D,4,FALSE)=0,"",VLOOKUP(A124,門市狀態!A:D,4,FALSE)),"")</f>
        <v/>
      </c>
      <c r="G124" s="424"/>
      <c r="H124" s="425" t="str">
        <f>IF(I124&gt;0,(TEXT(I124,"yyyymmdd")&amp;勤務統計!$V$2&amp;A124&amp;勤務統計!$V$2&amp;B124&amp;勤務統計!$S$2),"")</f>
        <v>-4856-新莊小胖店(定保)</v>
      </c>
      <c r="I124" s="247" t="str">
        <f t="array" ref="I124">IF(AND(SUMPRODUCT((IM!$F$2:$F$5000=A124)*(ISNUMBER(SEARCH(勤務統計!$C$1, IM!$AC$2:$AC$5000))))&gt;0), 勤務統計!$C$1, "")</f>
        <v/>
      </c>
      <c r="J124" s="399" t="str">
        <f t="array" ref="J124">IFERROR(INDEX(IM!$AM$2:$AM$5000, MATCH(1, (IM!$F$2:$F$5000=A124) * (ISNUMBER(SEARCH(勤務統計!$C$1, IM!$AC$2:$AC$5000))), 0)), "")</f>
        <v/>
      </c>
      <c r="K124" s="400">
        <f t="array" ref="K124">SUMPRODUCT((IM!$F$2:$F$5000=A124)*(IM!$AD$2:$AD$5000="O")*(ISNUMBER(SEARCH(勤務統計!$C$1, IM!$AC$2:$AC$5000))))</f>
        <v>0</v>
      </c>
      <c r="L124" s="401" t="str">
        <f t="array" ref="L124">IF(K124&gt;0,IFERROR(HYPERLINK("#'IM'!AC"&amp;MATCH(1,(IM!$F$1:$F$5000=A124)*(ISNUMBER(SEARCH(勤務統計!$C$1,IM!$AC$1:$AC$5000))),0),"檢核"),"未登錄"),"")</f>
        <v/>
      </c>
      <c r="M124" s="402" t="str">
        <f t="shared" si="1"/>
        <v/>
      </c>
      <c r="N124" s="402" t="str">
        <f t="array" ref="N124">IF(AND(
    SUMPRODUCT(
        (IM!$F$2:$F$522=A124) *
        ISNUMBER(SEARCH("*HUB*", IM!$AC$2:$AC$522)) *
        (IM!$X$2:$X$522&gt;=勤務統計!$A$1) *
        (IM!$X$2:$X$522&lt;=勤務統計!$B$1)*(W124="HUB")
    ) &gt; 0
), "HUB", "")</f>
        <v/>
      </c>
      <c r="O124" s="400" t="str">
        <f>IF(
  IFERROR(VLOOKUP(A124,勤務統計!A:I,9,FALSE),"")&lt;&gt;勤務統計!$C$1,
  "未完工",
  IF(
    AND(勤務統計!$D$1="--",勤務統計!$E$1="--",勤務統計!$F$1="--"),
    "已完工",
    IF(
      OR(
        AND(勤務統計!$D$1&lt;&gt;"--", IFERROR(VLOOKUP(A124,'0919門市清單主檔'!B:AH,31,FALSE),"")=勤務統計!$D$1, IFERROR(VLOOKUP(A124,勤務統計!A:Q,17,FALSE),"")&lt;&gt;勤務統計!$D$1),
        AND(勤務統計!$E$1&lt;&gt;"--", IFERROR(VLOOKUP(A124,'0919門市清單主檔'!B:AH,32,FALSE),"")=勤務統計!$E$1, IFERROR(VLOOKUP(A124,勤務統計!A:S,19,FALSE),"")&lt;&gt;勤務統計!$E$1),
        AND(勤務統計!$F$1&lt;&gt;"--", IFERROR(VLOOKUP(A124,'0919門市清單主檔'!B:AH,33,FALSE),"")=勤務統計!$F$1, IFERROR(VLOOKUP(A124,勤務統計!A:U,21,FALSE),"")&lt;&gt;勤務統計!$F$1),
        AND(IFERROR(VLOOKUP(A124,'0919門市清單主檔'!B:AH,28,FALSE),"")="HUB", IFERROR(VLOOKUP(A124,勤務統計!A:W,23,FALSE),"")&lt;&gt;"HUB")
      ),
      _xlfn.TEXTJOIN(
        "，",
        TRUE,
        IF(AND(勤務統計!$D$1&lt;&gt;"--", IFERROR(VLOOKUP(A124,'0919門市清單主檔'!B:AH,31,FALSE),"")=勤務統計!$D$1, IFERROR(VLOOKUP(A124,勤務統計!A:Q,17,FALSE),"")&lt;&gt;勤務統計!$D$1), 勤務統計!$D$1, ""),
        IF(AND(勤務統計!$E$1&lt;&gt;"--", IFERROR(VLOOKUP(A124,'0919門市清單主檔'!B:AH,32,FALSE),"")=勤務統計!$E$1, IFERROR(VLOOKUP(A124,勤務統計!A:S,19,FALSE),"")&lt;&gt;勤務統計!$E$1), 勤務統計!$E$1, ""),
        IF(AND(勤務統計!$F$1&lt;&gt;"--", IFERROR(VLOOKUP(A124,'0919門市清單主檔'!B:AH,33,FALSE),"")=勤務統計!$F$1, IFERROR(VLOOKUP(A124,勤務統計!A:U,21,FALSE),"")&lt;&gt;勤務統計!$F$1), 勤務統計!$F$1, ""),
        IF(AND(IFERROR(VLOOKUP(A124,'0919門市清單主檔'!B:AH,28,FALSE),"")="HUB", IFERROR(VLOOKUP(A124,勤務統計!A:W,23,FALSE),"")&lt;&gt;"HUB"), "HUB", "")
      ) &amp; "未完工",
      "已完工"
    )
  )
)</f>
        <v>未完工</v>
      </c>
      <c r="P124" s="403" t="str">
        <f>(TEXT(I124,"yyyymmdd"))&amp;勤務統計!$V$2&amp;A124&amp;勤務統計!$V$2&amp;B124&amp;勤務統計!$S$2</f>
        <v>-4856-新莊小胖店(定保)</v>
      </c>
      <c r="Q124" s="420" t="str">
        <f t="array" ref="Q124">IF(AND(SUMPRODUCT((IM!$F$2:$F$5000=A124)*(ISNUMBER(SEARCH(勤務統計!$D$1, IM!$AC$2:$AC$5000))))&gt;0), 勤務統計!$D$1, "")</f>
        <v/>
      </c>
      <c r="R124" s="421" t="str">
        <f t="array" ref="R124">IFERROR(INDEX(IM!$AM$2:$AM$5000, MATCH(1, (IM!$F$2:$F$5000=A124) * (ISNUMBER(SEARCH(勤務統計!$D$1, IM!$AC$2:$AC$5000))), 0)), "")</f>
        <v/>
      </c>
      <c r="S124" s="406" t="str" cm="1">
        <f t="array" ref="S124">IF(AND(SUMPRODUCT((IM!$F$2:$F$5000=A124)*(ISNUMBER(SEARCH(勤務統計!$E$1, IM!$AC$2:$AC$5000))))&gt;0), 勤務統計!$E$1, "")</f>
        <v/>
      </c>
      <c r="T124" s="422" t="str">
        <f t="array" ref="T124">IFERROR(INDEX(IM!$AM$2:$AM$5000, MATCH(1, (IM!$F$2:$F$5000=A124) * (ISNUMBER(SEARCH(勤務統計!$E$1, IM!$AC$2:$AC$5000))), 0)), "")</f>
        <v/>
      </c>
      <c r="U124" s="406" t="str" cm="1">
        <f t="array" ref="U124">IF(AND(SUMPRODUCT((IM!$F$2:$F$5000=A124)*(ISNUMBER(SEARCH(勤務統計!$F$1, IM!$AC$2:$AC$5000))))&gt;0), 勤務統計!$F$1, "")</f>
        <v/>
      </c>
      <c r="V124" s="413" t="str">
        <f t="array" ref="V124">IFERROR(INDEX(IM!$AM$2:$AM$5000, MATCH(1, (IM!$F$2:$F$5000=A124) * (ISNUMBER(SEARCH(勤務統計!$F$1, IM!$AC$2:$AC$5000))), 0)), "")</f>
        <v/>
      </c>
      <c r="W124" s="414" t="str">
        <f>IF(VLOOKUP(A124,'0919門市清單主檔'!B:AC,28,FALSE)=0,"",VLOOKUP(A124,'0919門市清單主檔'!B:AC,28,FALSE))</f>
        <v/>
      </c>
    </row>
    <row r="125" spans="1:23" ht="21.6" customHeight="1">
      <c r="A125" s="423">
        <v>4552</v>
      </c>
      <c r="B125" s="416" t="str">
        <f>VLOOKUP(A125,'0919門市清單主檔'!B:C,2,FALSE)</f>
        <v>新莊福慧店</v>
      </c>
      <c r="C125" s="415" t="str">
        <f>VLOOKUP($A125,'0919門市清單主檔'!B:V,20,FALSE)</f>
        <v>新北市</v>
      </c>
      <c r="D125" s="410" t="str">
        <f>VLOOKUP($A125,'0919門市清單主檔'!B:V,21,FALSE)</f>
        <v>新莊區</v>
      </c>
      <c r="E125" s="397" t="str">
        <f>VLOOKUP(D125,門市狀態!G:H,2,FALSE)</f>
        <v>湯家瑋</v>
      </c>
      <c r="F125" s="410" t="str">
        <f>IFERROR(IF(VLOOKUP(A125,門市狀態!A:D,4,FALSE)=0,"",VLOOKUP(A125,門市狀態!A:D,4,FALSE)),"")</f>
        <v/>
      </c>
      <c r="G125" s="424"/>
      <c r="H125" s="425" t="str">
        <f>IF(I125&gt;0,(TEXT(I125,"yyyymmdd")&amp;勤務統計!$V$2&amp;A125&amp;勤務統計!$V$2&amp;B125&amp;勤務統計!$S$2),"")</f>
        <v>-4552-新莊福慧店(定保)</v>
      </c>
      <c r="I125" s="247" t="str">
        <f t="array" ref="I125">IF(AND(SUMPRODUCT((IM!$F$2:$F$5000=A125)*(ISNUMBER(SEARCH(勤務統計!$C$1, IM!$AC$2:$AC$5000))))&gt;0), 勤務統計!$C$1, "")</f>
        <v/>
      </c>
      <c r="J125" s="399" t="str">
        <f t="array" ref="J125">IFERROR(INDEX(IM!$AM$2:$AM$5000, MATCH(1, (IM!$F$2:$F$5000=A125) * (ISNUMBER(SEARCH(勤務統計!$C$1, IM!$AC$2:$AC$5000))), 0)), "")</f>
        <v/>
      </c>
      <c r="K125" s="400">
        <f t="array" ref="K125">SUMPRODUCT((IM!$F$2:$F$5000=A125)*(IM!$AD$2:$AD$5000="O")*(ISNUMBER(SEARCH(勤務統計!$C$1, IM!$AC$2:$AC$5000))))</f>
        <v>0</v>
      </c>
      <c r="L125" s="401" t="str">
        <f t="array" ref="L125">IF(K125&gt;0,IFERROR(HYPERLINK("#'IM'!AC"&amp;MATCH(1,(IM!$F$1:$F$5000=A125)*(ISNUMBER(SEARCH(勤務統計!$C$1,IM!$AC$1:$AC$5000))),0),"檢核"),"未登錄"),"")</f>
        <v/>
      </c>
      <c r="M125" s="402" t="str">
        <f t="shared" si="1"/>
        <v/>
      </c>
      <c r="N125" s="402" t="str">
        <f t="array" ref="N125">IF(AND(
    SUMPRODUCT(
        (IM!$F$2:$F$522=A125) *
        ISNUMBER(SEARCH("*HUB*", IM!$AC$2:$AC$522)) *
        (IM!$X$2:$X$522&gt;=勤務統計!$A$1) *
        (IM!$X$2:$X$522&lt;=勤務統計!$B$1)*(W125="HUB")
    ) &gt; 0
), "HUB", "")</f>
        <v/>
      </c>
      <c r="O125" s="400" t="str">
        <f>IF(
  IFERROR(VLOOKUP(A125,勤務統計!A:I,9,FALSE),"")&lt;&gt;勤務統計!$C$1,
  "未完工",
  IF(
    AND(勤務統計!$D$1="--",勤務統計!$E$1="--",勤務統計!$F$1="--"),
    "已完工",
    IF(
      OR(
        AND(勤務統計!$D$1&lt;&gt;"--", IFERROR(VLOOKUP(A125,'0919門市清單主檔'!B:AH,31,FALSE),"")=勤務統計!$D$1, IFERROR(VLOOKUP(A125,勤務統計!A:Q,17,FALSE),"")&lt;&gt;勤務統計!$D$1),
        AND(勤務統計!$E$1&lt;&gt;"--", IFERROR(VLOOKUP(A125,'0919門市清單主檔'!B:AH,32,FALSE),"")=勤務統計!$E$1, IFERROR(VLOOKUP(A125,勤務統計!A:S,19,FALSE),"")&lt;&gt;勤務統計!$E$1),
        AND(勤務統計!$F$1&lt;&gt;"--", IFERROR(VLOOKUP(A125,'0919門市清單主檔'!B:AH,33,FALSE),"")=勤務統計!$F$1, IFERROR(VLOOKUP(A125,勤務統計!A:U,21,FALSE),"")&lt;&gt;勤務統計!$F$1),
        AND(IFERROR(VLOOKUP(A125,'0919門市清單主檔'!B:AH,28,FALSE),"")="HUB", IFERROR(VLOOKUP(A125,勤務統計!A:W,23,FALSE),"")&lt;&gt;"HUB")
      ),
      _xlfn.TEXTJOIN(
        "，",
        TRUE,
        IF(AND(勤務統計!$D$1&lt;&gt;"--", IFERROR(VLOOKUP(A125,'0919門市清單主檔'!B:AH,31,FALSE),"")=勤務統計!$D$1, IFERROR(VLOOKUP(A125,勤務統計!A:Q,17,FALSE),"")&lt;&gt;勤務統計!$D$1), 勤務統計!$D$1, ""),
        IF(AND(勤務統計!$E$1&lt;&gt;"--", IFERROR(VLOOKUP(A125,'0919門市清單主檔'!B:AH,32,FALSE),"")=勤務統計!$E$1, IFERROR(VLOOKUP(A125,勤務統計!A:S,19,FALSE),"")&lt;&gt;勤務統計!$E$1), 勤務統計!$E$1, ""),
        IF(AND(勤務統計!$F$1&lt;&gt;"--", IFERROR(VLOOKUP(A125,'0919門市清單主檔'!B:AH,33,FALSE),"")=勤務統計!$F$1, IFERROR(VLOOKUP(A125,勤務統計!A:U,21,FALSE),"")&lt;&gt;勤務統計!$F$1), 勤務統計!$F$1, ""),
        IF(AND(IFERROR(VLOOKUP(A125,'0919門市清單主檔'!B:AH,28,FALSE),"")="HUB", IFERROR(VLOOKUP(A125,勤務統計!A:W,23,FALSE),"")&lt;&gt;"HUB"), "HUB", "")
      ) &amp; "未完工",
      "已完工"
    )
  )
)</f>
        <v>未完工</v>
      </c>
      <c r="P125" s="403" t="str">
        <f>(TEXT(I125,"yyyymmdd"))&amp;勤務統計!$V$2&amp;A125&amp;勤務統計!$V$2&amp;B125&amp;勤務統計!$S$2</f>
        <v>-4552-新莊福慧店(定保)</v>
      </c>
      <c r="Q125" s="420" t="str">
        <f t="array" ref="Q125">IF(AND(SUMPRODUCT((IM!$F$2:$F$5000=A125)*(ISNUMBER(SEARCH(勤務統計!$D$1, IM!$AC$2:$AC$5000))))&gt;0), 勤務統計!$D$1, "")</f>
        <v/>
      </c>
      <c r="R125" s="421" t="str">
        <f t="array" ref="R125">IFERROR(INDEX(IM!$AM$2:$AM$5000, MATCH(1, (IM!$F$2:$F$5000=A125) * (ISNUMBER(SEARCH(勤務統計!$D$1, IM!$AC$2:$AC$5000))), 0)), "")</f>
        <v/>
      </c>
      <c r="S125" s="406" t="str" cm="1">
        <f t="array" ref="S125">IF(AND(SUMPRODUCT((IM!$F$2:$F$5000=A125)*(ISNUMBER(SEARCH(勤務統計!$E$1, IM!$AC$2:$AC$5000))))&gt;0), 勤務統計!$E$1, "")</f>
        <v/>
      </c>
      <c r="T125" s="422" t="str">
        <f t="array" ref="T125">IFERROR(INDEX(IM!$AM$2:$AM$5000, MATCH(1, (IM!$F$2:$F$5000=A125) * (ISNUMBER(SEARCH(勤務統計!$E$1, IM!$AC$2:$AC$5000))), 0)), "")</f>
        <v/>
      </c>
      <c r="U125" s="406" t="str" cm="1">
        <f t="array" ref="U125">IF(AND(SUMPRODUCT((IM!$F$2:$F$5000=A125)*(ISNUMBER(SEARCH(勤務統計!$F$1, IM!$AC$2:$AC$5000))))&gt;0), 勤務統計!$F$1, "")</f>
        <v/>
      </c>
      <c r="V125" s="413" t="str">
        <f t="array" ref="V125">IFERROR(INDEX(IM!$AM$2:$AM$5000, MATCH(1, (IM!$F$2:$F$5000=A125) * (ISNUMBER(SEARCH(勤務統計!$F$1, IM!$AC$2:$AC$5000))), 0)), "")</f>
        <v/>
      </c>
      <c r="W125" s="414" t="str">
        <f>IF(VLOOKUP(A125,'0919門市清單主檔'!B:AC,28,FALSE)=0,"",VLOOKUP(A125,'0919門市清單主檔'!B:AC,28,FALSE))</f>
        <v/>
      </c>
    </row>
    <row r="126" spans="1:23" ht="21.6" customHeight="1">
      <c r="A126" s="423">
        <v>4144</v>
      </c>
      <c r="B126" s="416" t="str">
        <f>VLOOKUP(A126,'0919門市清單主檔'!B:C,2,FALSE)</f>
        <v>新莊頭前店</v>
      </c>
      <c r="C126" s="415" t="str">
        <f>VLOOKUP($A126,'0919門市清單主檔'!B:V,20,FALSE)</f>
        <v>新北市</v>
      </c>
      <c r="D126" s="410" t="str">
        <f>VLOOKUP($A126,'0919門市清單主檔'!B:V,21,FALSE)</f>
        <v>新莊區</v>
      </c>
      <c r="E126" s="397" t="str">
        <f>VLOOKUP(D126,門市狀態!G:H,2,FALSE)</f>
        <v>湯家瑋</v>
      </c>
      <c r="F126" s="410" t="str">
        <f>IFERROR(IF(VLOOKUP(A126,門市狀態!A:D,4,FALSE)=0,"",VLOOKUP(A126,門市狀態!A:D,4,FALSE)),"")</f>
        <v/>
      </c>
      <c r="G126" s="424"/>
      <c r="H126" s="425" t="str">
        <f>IF(I126&gt;0,(TEXT(I126,"yyyymmdd")&amp;勤務統計!$V$2&amp;A126&amp;勤務統計!$V$2&amp;B126&amp;勤務統計!$S$2),"")</f>
        <v>-4144-新莊頭前店(定保)</v>
      </c>
      <c r="I126" s="247" t="str">
        <f t="array" ref="I126">IF(AND(SUMPRODUCT((IM!$F$2:$F$5000=A126)*(ISNUMBER(SEARCH(勤務統計!$C$1, IM!$AC$2:$AC$5000))))&gt;0), 勤務統計!$C$1, "")</f>
        <v/>
      </c>
      <c r="J126" s="399" t="str">
        <f t="array" ref="J126">IFERROR(INDEX(IM!$AM$2:$AM$5000, MATCH(1, (IM!$F$2:$F$5000=A126) * (ISNUMBER(SEARCH(勤務統計!$C$1, IM!$AC$2:$AC$5000))), 0)), "")</f>
        <v/>
      </c>
      <c r="K126" s="400">
        <f t="array" ref="K126">SUMPRODUCT((IM!$F$2:$F$5000=A126)*(IM!$AD$2:$AD$5000="O")*(ISNUMBER(SEARCH(勤務統計!$C$1, IM!$AC$2:$AC$5000))))</f>
        <v>0</v>
      </c>
      <c r="L126" s="401" t="str">
        <f t="array" ref="L126">IF(K126&gt;0,IFERROR(HYPERLINK("#'IM'!AC"&amp;MATCH(1,(IM!$F$1:$F$5000=A126)*(ISNUMBER(SEARCH(勤務統計!$C$1,IM!$AC$1:$AC$5000))),0),"檢核"),"未登錄"),"")</f>
        <v/>
      </c>
      <c r="M126" s="402" t="str">
        <f t="shared" si="1"/>
        <v/>
      </c>
      <c r="N126" s="402" t="str">
        <f t="array" ref="N126">IF(AND(
    SUMPRODUCT(
        (IM!$F$2:$F$522=A126) *
        ISNUMBER(SEARCH("*HUB*", IM!$AC$2:$AC$522)) *
        (IM!$X$2:$X$522&gt;=勤務統計!$A$1) *
        (IM!$X$2:$X$522&lt;=勤務統計!$B$1)*(W126="HUB")
    ) &gt; 0
), "HUB", "")</f>
        <v/>
      </c>
      <c r="O126" s="400" t="str">
        <f>IF(
  IFERROR(VLOOKUP(A126,勤務統計!A:I,9,FALSE),"")&lt;&gt;勤務統計!$C$1,
  "未完工",
  IF(
    AND(勤務統計!$D$1="--",勤務統計!$E$1="--",勤務統計!$F$1="--"),
    "已完工",
    IF(
      OR(
        AND(勤務統計!$D$1&lt;&gt;"--", IFERROR(VLOOKUP(A126,'0919門市清單主檔'!B:AH,31,FALSE),"")=勤務統計!$D$1, IFERROR(VLOOKUP(A126,勤務統計!A:Q,17,FALSE),"")&lt;&gt;勤務統計!$D$1),
        AND(勤務統計!$E$1&lt;&gt;"--", IFERROR(VLOOKUP(A126,'0919門市清單主檔'!B:AH,32,FALSE),"")=勤務統計!$E$1, IFERROR(VLOOKUP(A126,勤務統計!A:S,19,FALSE),"")&lt;&gt;勤務統計!$E$1),
        AND(勤務統計!$F$1&lt;&gt;"--", IFERROR(VLOOKUP(A126,'0919門市清單主檔'!B:AH,33,FALSE),"")=勤務統計!$F$1, IFERROR(VLOOKUP(A126,勤務統計!A:U,21,FALSE),"")&lt;&gt;勤務統計!$F$1),
        AND(IFERROR(VLOOKUP(A126,'0919門市清單主檔'!B:AH,28,FALSE),"")="HUB", IFERROR(VLOOKUP(A126,勤務統計!A:W,23,FALSE),"")&lt;&gt;"HUB")
      ),
      _xlfn.TEXTJOIN(
        "，",
        TRUE,
        IF(AND(勤務統計!$D$1&lt;&gt;"--", IFERROR(VLOOKUP(A126,'0919門市清單主檔'!B:AH,31,FALSE),"")=勤務統計!$D$1, IFERROR(VLOOKUP(A126,勤務統計!A:Q,17,FALSE),"")&lt;&gt;勤務統計!$D$1), 勤務統計!$D$1, ""),
        IF(AND(勤務統計!$E$1&lt;&gt;"--", IFERROR(VLOOKUP(A126,'0919門市清單主檔'!B:AH,32,FALSE),"")=勤務統計!$E$1, IFERROR(VLOOKUP(A126,勤務統計!A:S,19,FALSE),"")&lt;&gt;勤務統計!$E$1), 勤務統計!$E$1, ""),
        IF(AND(勤務統計!$F$1&lt;&gt;"--", IFERROR(VLOOKUP(A126,'0919門市清單主檔'!B:AH,33,FALSE),"")=勤務統計!$F$1, IFERROR(VLOOKUP(A126,勤務統計!A:U,21,FALSE),"")&lt;&gt;勤務統計!$F$1), 勤務統計!$F$1, ""),
        IF(AND(IFERROR(VLOOKUP(A126,'0919門市清單主檔'!B:AH,28,FALSE),"")="HUB", IFERROR(VLOOKUP(A126,勤務統計!A:W,23,FALSE),"")&lt;&gt;"HUB"), "HUB", "")
      ) &amp; "未完工",
      "已完工"
    )
  )
)</f>
        <v>未完工</v>
      </c>
      <c r="P126" s="403" t="str">
        <f>(TEXT(I126,"yyyymmdd"))&amp;勤務統計!$V$2&amp;A126&amp;勤務統計!$V$2&amp;B126&amp;勤務統計!$S$2</f>
        <v>-4144-新莊頭前店(定保)</v>
      </c>
      <c r="Q126" s="420" t="str">
        <f t="array" ref="Q126">IF(AND(SUMPRODUCT((IM!$F$2:$F$5000=A126)*(ISNUMBER(SEARCH(勤務統計!$D$1, IM!$AC$2:$AC$5000))))&gt;0), 勤務統計!$D$1, "")</f>
        <v/>
      </c>
      <c r="R126" s="421" t="str">
        <f t="array" ref="R126">IFERROR(INDEX(IM!$AM$2:$AM$5000, MATCH(1, (IM!$F$2:$F$5000=A126) * (ISNUMBER(SEARCH(勤務統計!$D$1, IM!$AC$2:$AC$5000))), 0)), "")</f>
        <v/>
      </c>
      <c r="S126" s="406" t="str" cm="1">
        <f t="array" ref="S126">IF(AND(SUMPRODUCT((IM!$F$2:$F$5000=A126)*(ISNUMBER(SEARCH(勤務統計!$E$1, IM!$AC$2:$AC$5000))))&gt;0), 勤務統計!$E$1, "")</f>
        <v/>
      </c>
      <c r="T126" s="422" t="str">
        <f t="array" ref="T126">IFERROR(INDEX(IM!$AM$2:$AM$5000, MATCH(1, (IM!$F$2:$F$5000=A126) * (ISNUMBER(SEARCH(勤務統計!$E$1, IM!$AC$2:$AC$5000))), 0)), "")</f>
        <v/>
      </c>
      <c r="U126" s="406" t="str" cm="1">
        <f t="array" ref="U126">IF(AND(SUMPRODUCT((IM!$F$2:$F$5000=A126)*(ISNUMBER(SEARCH(勤務統計!$F$1, IM!$AC$2:$AC$5000))))&gt;0), 勤務統計!$F$1, "")</f>
        <v/>
      </c>
      <c r="V126" s="413" t="str">
        <f t="array" ref="V126">IFERROR(INDEX(IM!$AM$2:$AM$5000, MATCH(1, (IM!$F$2:$F$5000=A126) * (ISNUMBER(SEARCH(勤務統計!$F$1, IM!$AC$2:$AC$5000))), 0)), "")</f>
        <v/>
      </c>
      <c r="W126" s="414" t="str">
        <f>IF(VLOOKUP(A126,'0919門市清單主檔'!B:AC,28,FALSE)=0,"",VLOOKUP(A126,'0919門市清單主檔'!B:AC,28,FALSE))</f>
        <v/>
      </c>
    </row>
    <row r="127" spans="1:23" ht="21.6" customHeight="1">
      <c r="A127" s="423" t="s">
        <v>61</v>
      </c>
      <c r="B127" s="416" t="str">
        <f>VLOOKUP(A127,'0919門市清單主檔'!B:C,2,FALSE)</f>
        <v>板橋成都店</v>
      </c>
      <c r="C127" s="415" t="str">
        <f>VLOOKUP($A127,'0919門市清單主檔'!B:V,20,FALSE)</f>
        <v>新北市</v>
      </c>
      <c r="D127" s="410" t="str">
        <f>VLOOKUP($A127,'0919門市清單主檔'!B:V,21,FALSE)</f>
        <v>板橋區</v>
      </c>
      <c r="E127" s="397" t="str">
        <f>VLOOKUP(D127,門市狀態!G:H,2,FALSE)</f>
        <v>狄澤洋</v>
      </c>
      <c r="F127" s="410" t="str">
        <f>IFERROR(IF(VLOOKUP(A127,門市狀態!A:D,4,FALSE)=0,"",VLOOKUP(A127,門市狀態!A:D,4,FALSE)),"")</f>
        <v/>
      </c>
      <c r="G127" s="424"/>
      <c r="H127" s="425" t="str">
        <f>IF(I127&gt;0,(TEXT(I127,"yyyymmdd")&amp;勤務統計!$V$2&amp;A127&amp;勤務統計!$V$2&amp;B127&amp;勤務統計!$S$2),"")</f>
        <v>-D349-板橋成都店(定保)</v>
      </c>
      <c r="I127" s="247" t="str">
        <f t="array" ref="I127">IF(AND(SUMPRODUCT((IM!$F$2:$F$5000=A127)*(ISNUMBER(SEARCH(勤務統計!$C$1, IM!$AC$2:$AC$5000))))&gt;0), 勤務統計!$C$1, "")</f>
        <v/>
      </c>
      <c r="J127" s="399" t="str">
        <f t="array" ref="J127">IFERROR(INDEX(IM!$AM$2:$AM$5000, MATCH(1, (IM!$F$2:$F$5000=A127) * (ISNUMBER(SEARCH(勤務統計!$C$1, IM!$AC$2:$AC$5000))), 0)), "")</f>
        <v/>
      </c>
      <c r="K127" s="400">
        <f t="array" ref="K127">SUMPRODUCT((IM!$F$2:$F$5000=A127)*(IM!$AD$2:$AD$5000="O")*(ISNUMBER(SEARCH(勤務統計!$C$1, IM!$AC$2:$AC$5000))))</f>
        <v>0</v>
      </c>
      <c r="L127" s="401" t="str">
        <f t="array" ref="L127">IF(K127&gt;0,IFERROR(HYPERLINK("#'IM'!AC"&amp;MATCH(1,(IM!$F$1:$F$5000=A127)*(ISNUMBER(SEARCH(勤務統計!$C$1,IM!$AC$1:$AC$5000))),0),"檢核"),"未登錄"),"")</f>
        <v/>
      </c>
      <c r="M127" s="402" t="str">
        <f t="shared" si="1"/>
        <v>+L90</v>
      </c>
      <c r="N127" s="402" t="str">
        <f t="array" ref="N127">IF(AND(
    SUMPRODUCT(
        (IM!$F$2:$F$522=A127) *
        ISNUMBER(SEARCH("*HUB*", IM!$AC$2:$AC$522)) *
        (IM!$X$2:$X$522&gt;=勤務統計!$A$1) *
        (IM!$X$2:$X$522&lt;=勤務統計!$B$1)*(W127="HUB")
    ) &gt; 0
), "HUB", "")</f>
        <v/>
      </c>
      <c r="O127" s="400" t="str">
        <f>IF(
  IFERROR(VLOOKUP(A127,勤務統計!A:I,9,FALSE),"")&lt;&gt;勤務統計!$C$1,
  "未完工",
  IF(
    AND(勤務統計!$D$1="--",勤務統計!$E$1="--",勤務統計!$F$1="--"),
    "已完工",
    IF(
      OR(
        AND(勤務統計!$D$1&lt;&gt;"--", IFERROR(VLOOKUP(A127,'0919門市清單主檔'!B:AH,31,FALSE),"")=勤務統計!$D$1, IFERROR(VLOOKUP(A127,勤務統計!A:Q,17,FALSE),"")&lt;&gt;勤務統計!$D$1),
        AND(勤務統計!$E$1&lt;&gt;"--", IFERROR(VLOOKUP(A127,'0919門市清單主檔'!B:AH,32,FALSE),"")=勤務統計!$E$1, IFERROR(VLOOKUP(A127,勤務統計!A:S,19,FALSE),"")&lt;&gt;勤務統計!$E$1),
        AND(勤務統計!$F$1&lt;&gt;"--", IFERROR(VLOOKUP(A127,'0919門市清單主檔'!B:AH,33,FALSE),"")=勤務統計!$F$1, IFERROR(VLOOKUP(A127,勤務統計!A:U,21,FALSE),"")&lt;&gt;勤務統計!$F$1),
        AND(IFERROR(VLOOKUP(A127,'0919門市清單主檔'!B:AH,28,FALSE),"")="HUB", IFERROR(VLOOKUP(A127,勤務統計!A:W,23,FALSE),"")&lt;&gt;"HUB")
      ),
      _xlfn.TEXTJOIN(
        "，",
        TRUE,
        IF(AND(勤務統計!$D$1&lt;&gt;"--", IFERROR(VLOOKUP(A127,'0919門市清單主檔'!B:AH,31,FALSE),"")=勤務統計!$D$1, IFERROR(VLOOKUP(A127,勤務統計!A:Q,17,FALSE),"")&lt;&gt;勤務統計!$D$1), 勤務統計!$D$1, ""),
        IF(AND(勤務統計!$E$1&lt;&gt;"--", IFERROR(VLOOKUP(A127,'0919門市清單主檔'!B:AH,32,FALSE),"")=勤務統計!$E$1, IFERROR(VLOOKUP(A127,勤務統計!A:S,19,FALSE),"")&lt;&gt;勤務統計!$E$1), 勤務統計!$E$1, ""),
        IF(AND(勤務統計!$F$1&lt;&gt;"--", IFERROR(VLOOKUP(A127,'0919門市清單主檔'!B:AH,33,FALSE),"")=勤務統計!$F$1, IFERROR(VLOOKUP(A127,勤務統計!A:U,21,FALSE),"")&lt;&gt;勤務統計!$F$1), 勤務統計!$F$1, ""),
        IF(AND(IFERROR(VLOOKUP(A127,'0919門市清單主檔'!B:AH,28,FALSE),"")="HUB", IFERROR(VLOOKUP(A127,勤務統計!A:W,23,FALSE),"")&lt;&gt;"HUB"), "HUB", "")
      ) &amp; "未完工",
      "已完工"
    )
  )
)</f>
        <v>未完工</v>
      </c>
      <c r="P127" s="403" t="str">
        <f>(TEXT(I127,"yyyymmdd"))&amp;勤務統計!$V$2&amp;A127&amp;勤務統計!$V$2&amp;B127&amp;勤務統計!$S$2</f>
        <v>-D349-板橋成都店(定保)</v>
      </c>
      <c r="Q127" s="420" t="str">
        <f t="array" ref="Q127">IF(AND(SUMPRODUCT((IM!$F$2:$F$5000=A127)*(ISNUMBER(SEARCH(勤務統計!$D$1, IM!$AC$2:$AC$5000))))&gt;0), 勤務統計!$D$1, "")</f>
        <v/>
      </c>
      <c r="R127" s="421" t="str">
        <f t="array" ref="R127">IFERROR(INDEX(IM!$AM$2:$AM$5000, MATCH(1, (IM!$F$2:$F$5000=A127) * (ISNUMBER(SEARCH(勤務統計!$D$1, IM!$AC$2:$AC$5000))), 0)), "")</f>
        <v/>
      </c>
      <c r="S127" s="406" t="str" cm="1">
        <f t="array" ref="S127">IF(AND(SUMPRODUCT((IM!$F$2:$F$5000=A127)*(ISNUMBER(SEARCH(勤務統計!$E$1, IM!$AC$2:$AC$5000))))&gt;0), 勤務統計!$E$1, "")</f>
        <v>+L90</v>
      </c>
      <c r="T127" s="422">
        <f t="array" ref="T127">IFERROR(INDEX(IM!$AM$2:$AM$5000, MATCH(1, (IM!$F$2:$F$5000=A127) * (ISNUMBER(SEARCH(勤務統計!$E$1, IM!$AC$2:$AC$5000))), 0)), "")</f>
        <v>45958</v>
      </c>
      <c r="U127" s="406" t="str" cm="1">
        <f t="array" ref="U127">IF(AND(SUMPRODUCT((IM!$F$2:$F$5000=A127)*(ISNUMBER(SEARCH(勤務統計!$F$1, IM!$AC$2:$AC$5000))))&gt;0), 勤務統計!$F$1, "")</f>
        <v/>
      </c>
      <c r="V127" s="413" t="str">
        <f t="array" ref="V127">IFERROR(INDEX(IM!$AM$2:$AM$5000, MATCH(1, (IM!$F$2:$F$5000=A127) * (ISNUMBER(SEARCH(勤務統計!$F$1, IM!$AC$2:$AC$5000))), 0)), "")</f>
        <v/>
      </c>
      <c r="W127" s="414" t="str">
        <f>IF(VLOOKUP(A127,'0919門市清單主檔'!B:AC,28,FALSE)=0,"",VLOOKUP(A127,'0919門市清單主檔'!B:AC,28,FALSE))</f>
        <v/>
      </c>
    </row>
    <row r="128" spans="1:23" ht="21.6" customHeight="1">
      <c r="A128" s="423" t="s">
        <v>62</v>
      </c>
      <c r="B128" s="416" t="str">
        <f>VLOOKUP(A128,'0919門市清單主檔'!B:C,2,FALSE)</f>
        <v>三重正義北店</v>
      </c>
      <c r="C128" s="415" t="str">
        <f>VLOOKUP($A128,'0919門市清單主檔'!B:V,20,FALSE)</f>
        <v>新北市</v>
      </c>
      <c r="D128" s="410" t="str">
        <f>VLOOKUP($A128,'0919門市清單主檔'!B:V,21,FALSE)</f>
        <v>三重區</v>
      </c>
      <c r="E128" s="397" t="str">
        <f>VLOOKUP(D128,門市狀態!G:H,2,FALSE)</f>
        <v>劉柏均</v>
      </c>
      <c r="F128" s="410" t="str">
        <f>IFERROR(IF(VLOOKUP(A128,門市狀態!A:D,4,FALSE)=0,"",VLOOKUP(A128,門市狀態!A:D,4,FALSE)),"")</f>
        <v/>
      </c>
      <c r="G128" s="424"/>
      <c r="H128" s="425" t="str">
        <f>IF(I128&gt;0,(TEXT(I128,"yyyymmdd")&amp;勤務統計!$V$2&amp;A128&amp;勤務統計!$V$2&amp;B128&amp;勤務統計!$S$2),"")</f>
        <v>-D028-三重正義北店(定保)</v>
      </c>
      <c r="I128" s="247" t="str">
        <f t="array" ref="I128">IF(AND(SUMPRODUCT((IM!$F$2:$F$5000=A128)*(ISNUMBER(SEARCH(勤務統計!$C$1, IM!$AC$2:$AC$5000))))&gt;0), 勤務統計!$C$1, "")</f>
        <v/>
      </c>
      <c r="J128" s="399" t="str">
        <f t="array" ref="J128">IFERROR(INDEX(IM!$AM$2:$AM$5000, MATCH(1, (IM!$F$2:$F$5000=A128) * (ISNUMBER(SEARCH(勤務統計!$C$1, IM!$AC$2:$AC$5000))), 0)), "")</f>
        <v/>
      </c>
      <c r="K128" s="400">
        <f t="array" ref="K128">SUMPRODUCT((IM!$F$2:$F$5000=A128)*(IM!$AD$2:$AD$5000="O")*(ISNUMBER(SEARCH(勤務統計!$C$1, IM!$AC$2:$AC$5000))))</f>
        <v>0</v>
      </c>
      <c r="L128" s="401" t="str">
        <f t="array" ref="L128">IF(K128&gt;0,IFERROR(HYPERLINK("#'IM'!AC"&amp;MATCH(1,(IM!$F$1:$F$5000=A128)*(ISNUMBER(SEARCH(勤務統計!$C$1,IM!$AC$1:$AC$5000))),0),"檢核"),"未登錄"),"")</f>
        <v/>
      </c>
      <c r="M128" s="402" t="str">
        <f t="shared" si="1"/>
        <v>+L90</v>
      </c>
      <c r="N128" s="402" t="str">
        <f t="array" ref="N128">IF(AND(
    SUMPRODUCT(
        (IM!$F$2:$F$522=A128) *
        ISNUMBER(SEARCH("*HUB*", IM!$AC$2:$AC$522)) *
        (IM!$X$2:$X$522&gt;=勤務統計!$A$1) *
        (IM!$X$2:$X$522&lt;=勤務統計!$B$1)*(W128="HUB")
    ) &gt; 0
), "HUB", "")</f>
        <v/>
      </c>
      <c r="O128" s="400" t="str">
        <f>IF(
  IFERROR(VLOOKUP(A128,勤務統計!A:I,9,FALSE),"")&lt;&gt;勤務統計!$C$1,
  "未完工",
  IF(
    AND(勤務統計!$D$1="--",勤務統計!$E$1="--",勤務統計!$F$1="--"),
    "已完工",
    IF(
      OR(
        AND(勤務統計!$D$1&lt;&gt;"--", IFERROR(VLOOKUP(A128,'0919門市清單主檔'!B:AH,31,FALSE),"")=勤務統計!$D$1, IFERROR(VLOOKUP(A128,勤務統計!A:Q,17,FALSE),"")&lt;&gt;勤務統計!$D$1),
        AND(勤務統計!$E$1&lt;&gt;"--", IFERROR(VLOOKUP(A128,'0919門市清單主檔'!B:AH,32,FALSE),"")=勤務統計!$E$1, IFERROR(VLOOKUP(A128,勤務統計!A:S,19,FALSE),"")&lt;&gt;勤務統計!$E$1),
        AND(勤務統計!$F$1&lt;&gt;"--", IFERROR(VLOOKUP(A128,'0919門市清單主檔'!B:AH,33,FALSE),"")=勤務統計!$F$1, IFERROR(VLOOKUP(A128,勤務統計!A:U,21,FALSE),"")&lt;&gt;勤務統計!$F$1),
        AND(IFERROR(VLOOKUP(A128,'0919門市清單主檔'!B:AH,28,FALSE),"")="HUB", IFERROR(VLOOKUP(A128,勤務統計!A:W,23,FALSE),"")&lt;&gt;"HUB")
      ),
      _xlfn.TEXTJOIN(
        "，",
        TRUE,
        IF(AND(勤務統計!$D$1&lt;&gt;"--", IFERROR(VLOOKUP(A128,'0919門市清單主檔'!B:AH,31,FALSE),"")=勤務統計!$D$1, IFERROR(VLOOKUP(A128,勤務統計!A:Q,17,FALSE),"")&lt;&gt;勤務統計!$D$1), 勤務統計!$D$1, ""),
        IF(AND(勤務統計!$E$1&lt;&gt;"--", IFERROR(VLOOKUP(A128,'0919門市清單主檔'!B:AH,32,FALSE),"")=勤務統計!$E$1, IFERROR(VLOOKUP(A128,勤務統計!A:S,19,FALSE),"")&lt;&gt;勤務統計!$E$1), 勤務統計!$E$1, ""),
        IF(AND(勤務統計!$F$1&lt;&gt;"--", IFERROR(VLOOKUP(A128,'0919門市清單主檔'!B:AH,33,FALSE),"")=勤務統計!$F$1, IFERROR(VLOOKUP(A128,勤務統計!A:U,21,FALSE),"")&lt;&gt;勤務統計!$F$1), 勤務統計!$F$1, ""),
        IF(AND(IFERROR(VLOOKUP(A128,'0919門市清單主檔'!B:AH,28,FALSE),"")="HUB", IFERROR(VLOOKUP(A128,勤務統計!A:W,23,FALSE),"")&lt;&gt;"HUB"), "HUB", "")
      ) &amp; "未完工",
      "已完工"
    )
  )
)</f>
        <v>未完工</v>
      </c>
      <c r="P128" s="403" t="str">
        <f>(TEXT(I128,"yyyymmdd"))&amp;勤務統計!$V$2&amp;A128&amp;勤務統計!$V$2&amp;B128&amp;勤務統計!$S$2</f>
        <v>-D028-三重正義北店(定保)</v>
      </c>
      <c r="Q128" s="420" t="str">
        <f t="array" ref="Q128">IF(AND(SUMPRODUCT((IM!$F$2:$F$5000=A128)*(ISNUMBER(SEARCH(勤務統計!$D$1, IM!$AC$2:$AC$5000))))&gt;0), 勤務統計!$D$1, "")</f>
        <v/>
      </c>
      <c r="R128" s="421" t="str">
        <f t="array" ref="R128">IFERROR(INDEX(IM!$AM$2:$AM$5000, MATCH(1, (IM!$F$2:$F$5000=A128) * (ISNUMBER(SEARCH(勤務統計!$D$1, IM!$AC$2:$AC$5000))), 0)), "")</f>
        <v/>
      </c>
      <c r="S128" s="406" t="str" cm="1">
        <f t="array" ref="S128">IF(AND(SUMPRODUCT((IM!$F$2:$F$5000=A128)*(ISNUMBER(SEARCH(勤務統計!$E$1, IM!$AC$2:$AC$5000))))&gt;0), 勤務統計!$E$1, "")</f>
        <v>+L90</v>
      </c>
      <c r="T128" s="422">
        <f t="array" ref="T128">IFERROR(INDEX(IM!$AM$2:$AM$5000, MATCH(1, (IM!$F$2:$F$5000=A128) * (ISNUMBER(SEARCH(勤務統計!$E$1, IM!$AC$2:$AC$5000))), 0)), "")</f>
        <v>45958</v>
      </c>
      <c r="U128" s="406" t="str" cm="1">
        <f t="array" ref="U128">IF(AND(SUMPRODUCT((IM!$F$2:$F$5000=A128)*(ISNUMBER(SEARCH(勤務統計!$F$1, IM!$AC$2:$AC$5000))))&gt;0), 勤務統計!$F$1, "")</f>
        <v/>
      </c>
      <c r="V128" s="413" t="str">
        <f t="array" ref="V128">IFERROR(INDEX(IM!$AM$2:$AM$5000, MATCH(1, (IM!$F$2:$F$5000=A128) * (ISNUMBER(SEARCH(勤務統計!$F$1, IM!$AC$2:$AC$5000))), 0)), "")</f>
        <v/>
      </c>
      <c r="W128" s="414" t="str">
        <f>IF(VLOOKUP(A128,'0919門市清單主檔'!B:AC,28,FALSE)=0,"",VLOOKUP(A128,'0919門市清單主檔'!B:AC,28,FALSE))</f>
        <v/>
      </c>
    </row>
    <row r="129" spans="1:23" ht="21.6" customHeight="1">
      <c r="A129" s="423">
        <v>4560</v>
      </c>
      <c r="B129" s="416" t="str">
        <f>VLOOKUP(A129,'0919門市清單主檔'!B:C,2,FALSE)</f>
        <v>三重大院店</v>
      </c>
      <c r="C129" s="415" t="str">
        <f>VLOOKUP($A129,'0919門市清單主檔'!B:V,20,FALSE)</f>
        <v>新北市</v>
      </c>
      <c r="D129" s="410" t="str">
        <f>VLOOKUP($A129,'0919門市清單主檔'!B:V,21,FALSE)</f>
        <v>三重區</v>
      </c>
      <c r="E129" s="397" t="str">
        <f>VLOOKUP(D129,門市狀態!G:H,2,FALSE)</f>
        <v>劉柏均</v>
      </c>
      <c r="F129" s="410" t="str">
        <f>IFERROR(IF(VLOOKUP(A129,門市狀態!A:D,4,FALSE)=0,"",VLOOKUP(A129,門市狀態!A:D,4,FALSE)),"")</f>
        <v/>
      </c>
      <c r="G129" s="424"/>
      <c r="H129" s="425" t="str">
        <f>IF(I129&gt;0,(TEXT(I129,"yyyymmdd")&amp;勤務統計!$V$2&amp;A129&amp;勤務統計!$V$2&amp;B129&amp;勤務統計!$S$2),"")</f>
        <v>-4560-三重大院店(定保)</v>
      </c>
      <c r="I129" s="247" t="str">
        <f t="array" ref="I129">IF(AND(SUMPRODUCT((IM!$F$2:$F$5000=A129)*(ISNUMBER(SEARCH(勤務統計!$C$1, IM!$AC$2:$AC$5000))))&gt;0), 勤務統計!$C$1, "")</f>
        <v/>
      </c>
      <c r="J129" s="399" t="str">
        <f t="array" ref="J129">IFERROR(INDEX(IM!$AM$2:$AM$5000, MATCH(1, (IM!$F$2:$F$5000=A129) * (ISNUMBER(SEARCH(勤務統計!$C$1, IM!$AC$2:$AC$5000))), 0)), "")</f>
        <v/>
      </c>
      <c r="K129" s="400">
        <f t="array" ref="K129">SUMPRODUCT((IM!$F$2:$F$5000=A129)*(IM!$AD$2:$AD$5000="O")*(ISNUMBER(SEARCH(勤務統計!$C$1, IM!$AC$2:$AC$5000))))</f>
        <v>0</v>
      </c>
      <c r="L129" s="401" t="str">
        <f t="array" ref="L129">IF(K129&gt;0,IFERROR(HYPERLINK("#'IM'!AC"&amp;MATCH(1,(IM!$F$1:$F$5000=A129)*(ISNUMBER(SEARCH(勤務統計!$C$1,IM!$AC$1:$AC$5000))),0),"檢核"),"未登錄"),"")</f>
        <v/>
      </c>
      <c r="M129" s="402" t="str">
        <f t="shared" si="1"/>
        <v>+L90</v>
      </c>
      <c r="N129" s="402" t="str">
        <f t="array" ref="N129">IF(AND(
    SUMPRODUCT(
        (IM!$F$2:$F$522=A129) *
        ISNUMBER(SEARCH("*HUB*", IM!$AC$2:$AC$522)) *
        (IM!$X$2:$X$522&gt;=勤務統計!$A$1) *
        (IM!$X$2:$X$522&lt;=勤務統計!$B$1)*(W129="HUB")
    ) &gt; 0
), "HUB", "")</f>
        <v/>
      </c>
      <c r="O129" s="400" t="str">
        <f>IF(
  IFERROR(VLOOKUP(A129,勤務統計!A:I,9,FALSE),"")&lt;&gt;勤務統計!$C$1,
  "未完工",
  IF(
    AND(勤務統計!$D$1="--",勤務統計!$E$1="--",勤務統計!$F$1="--"),
    "已完工",
    IF(
      OR(
        AND(勤務統計!$D$1&lt;&gt;"--", IFERROR(VLOOKUP(A129,'0919門市清單主檔'!B:AH,31,FALSE),"")=勤務統計!$D$1, IFERROR(VLOOKUP(A129,勤務統計!A:Q,17,FALSE),"")&lt;&gt;勤務統計!$D$1),
        AND(勤務統計!$E$1&lt;&gt;"--", IFERROR(VLOOKUP(A129,'0919門市清單主檔'!B:AH,32,FALSE),"")=勤務統計!$E$1, IFERROR(VLOOKUP(A129,勤務統計!A:S,19,FALSE),"")&lt;&gt;勤務統計!$E$1),
        AND(勤務統計!$F$1&lt;&gt;"--", IFERROR(VLOOKUP(A129,'0919門市清單主檔'!B:AH,33,FALSE),"")=勤務統計!$F$1, IFERROR(VLOOKUP(A129,勤務統計!A:U,21,FALSE),"")&lt;&gt;勤務統計!$F$1),
        AND(IFERROR(VLOOKUP(A129,'0919門市清單主檔'!B:AH,28,FALSE),"")="HUB", IFERROR(VLOOKUP(A129,勤務統計!A:W,23,FALSE),"")&lt;&gt;"HUB")
      ),
      _xlfn.TEXTJOIN(
        "，",
        TRUE,
        IF(AND(勤務統計!$D$1&lt;&gt;"--", IFERROR(VLOOKUP(A129,'0919門市清單主檔'!B:AH,31,FALSE),"")=勤務統計!$D$1, IFERROR(VLOOKUP(A129,勤務統計!A:Q,17,FALSE),"")&lt;&gt;勤務統計!$D$1), 勤務統計!$D$1, ""),
        IF(AND(勤務統計!$E$1&lt;&gt;"--", IFERROR(VLOOKUP(A129,'0919門市清單主檔'!B:AH,32,FALSE),"")=勤務統計!$E$1, IFERROR(VLOOKUP(A129,勤務統計!A:S,19,FALSE),"")&lt;&gt;勤務統計!$E$1), 勤務統計!$E$1, ""),
        IF(AND(勤務統計!$F$1&lt;&gt;"--", IFERROR(VLOOKUP(A129,'0919門市清單主檔'!B:AH,33,FALSE),"")=勤務統計!$F$1, IFERROR(VLOOKUP(A129,勤務統計!A:U,21,FALSE),"")&lt;&gt;勤務統計!$F$1), 勤務統計!$F$1, ""),
        IF(AND(IFERROR(VLOOKUP(A129,'0919門市清單主檔'!B:AH,28,FALSE),"")="HUB", IFERROR(VLOOKUP(A129,勤務統計!A:W,23,FALSE),"")&lt;&gt;"HUB"), "HUB", "")
      ) &amp; "未完工",
      "已完工"
    )
  )
)</f>
        <v>未完工</v>
      </c>
      <c r="P129" s="403" t="str">
        <f>(TEXT(I129,"yyyymmdd"))&amp;勤務統計!$V$2&amp;A129&amp;勤務統計!$V$2&amp;B129&amp;勤務統計!$S$2</f>
        <v>-4560-三重大院店(定保)</v>
      </c>
      <c r="Q129" s="420" t="str">
        <f t="array" ref="Q129">IF(AND(SUMPRODUCT((IM!$F$2:$F$5000=A129)*(ISNUMBER(SEARCH(勤務統計!$D$1, IM!$AC$2:$AC$5000))))&gt;0), 勤務統計!$D$1, "")</f>
        <v/>
      </c>
      <c r="R129" s="421" t="str">
        <f t="array" ref="R129">IFERROR(INDEX(IM!$AM$2:$AM$5000, MATCH(1, (IM!$F$2:$F$5000=A129) * (ISNUMBER(SEARCH(勤務統計!$D$1, IM!$AC$2:$AC$5000))), 0)), "")</f>
        <v/>
      </c>
      <c r="S129" s="406" t="str" cm="1">
        <f t="array" ref="S129">IF(AND(SUMPRODUCT((IM!$F$2:$F$5000=A129)*(ISNUMBER(SEARCH(勤務統計!$E$1, IM!$AC$2:$AC$5000))))&gt;0), 勤務統計!$E$1, "")</f>
        <v>+L90</v>
      </c>
      <c r="T129" s="422">
        <f t="array" ref="T129">IFERROR(INDEX(IM!$AM$2:$AM$5000, MATCH(1, (IM!$F$2:$F$5000=A129) * (ISNUMBER(SEARCH(勤務統計!$E$1, IM!$AC$2:$AC$5000))), 0)), "")</f>
        <v>45958</v>
      </c>
      <c r="U129" s="406" t="str" cm="1">
        <f t="array" ref="U129">IF(AND(SUMPRODUCT((IM!$F$2:$F$5000=A129)*(ISNUMBER(SEARCH(勤務統計!$F$1, IM!$AC$2:$AC$5000))))&gt;0), 勤務統計!$F$1, "")</f>
        <v/>
      </c>
      <c r="V129" s="413" t="str">
        <f t="array" ref="V129">IFERROR(INDEX(IM!$AM$2:$AM$5000, MATCH(1, (IM!$F$2:$F$5000=A129) * (ISNUMBER(SEARCH(勤務統計!$F$1, IM!$AC$2:$AC$5000))), 0)), "")</f>
        <v/>
      </c>
      <c r="W129" s="414" t="str">
        <f>IF(VLOOKUP(A129,'0919門市清單主檔'!B:AC,28,FALSE)=0,"",VLOOKUP(A129,'0919門市清單主檔'!B:AC,28,FALSE))</f>
        <v/>
      </c>
    </row>
    <row r="130" spans="1:23" ht="21.6" customHeight="1">
      <c r="A130" s="423">
        <v>2042</v>
      </c>
      <c r="B130" s="416" t="str">
        <f>VLOOKUP(A130,'0919門市清單主檔'!B:C,2,FALSE)</f>
        <v>三重中央北店</v>
      </c>
      <c r="C130" s="415" t="str">
        <f>VLOOKUP($A130,'0919門市清單主檔'!B:V,20,FALSE)</f>
        <v>新北市</v>
      </c>
      <c r="D130" s="410" t="str">
        <f>VLOOKUP($A130,'0919門市清單主檔'!B:V,21,FALSE)</f>
        <v>三重區</v>
      </c>
      <c r="E130" s="397" t="str">
        <f>VLOOKUP(D130,門市狀態!G:H,2,FALSE)</f>
        <v>劉柏均</v>
      </c>
      <c r="F130" s="410" t="str">
        <f>IFERROR(IF(VLOOKUP(A130,門市狀態!A:D,4,FALSE)=0,"",VLOOKUP(A130,門市狀態!A:D,4,FALSE)),"")</f>
        <v/>
      </c>
      <c r="G130" s="424"/>
      <c r="H130" s="425" t="str">
        <f>IF(I130&gt;0,(TEXT(I130,"yyyymmdd")&amp;勤務統計!$V$2&amp;A130&amp;勤務統計!$V$2&amp;B130&amp;勤務統計!$S$2),"")</f>
        <v>-2042-三重中央北店(定保)</v>
      </c>
      <c r="I130" s="247" t="str">
        <f t="array" ref="I130">IF(AND(SUMPRODUCT((IM!$F$2:$F$5000=A130)*(ISNUMBER(SEARCH(勤務統計!$C$1, IM!$AC$2:$AC$5000))))&gt;0), 勤務統計!$C$1, "")</f>
        <v/>
      </c>
      <c r="J130" s="399" t="str">
        <f t="array" ref="J130">IFERROR(INDEX(IM!$AM$2:$AM$5000, MATCH(1, (IM!$F$2:$F$5000=A130) * (ISNUMBER(SEARCH(勤務統計!$C$1, IM!$AC$2:$AC$5000))), 0)), "")</f>
        <v/>
      </c>
      <c r="K130" s="400">
        <f t="array" ref="K130">SUMPRODUCT((IM!$F$2:$F$5000=A130)*(IM!$AD$2:$AD$5000="O")*(ISNUMBER(SEARCH(勤務統計!$C$1, IM!$AC$2:$AC$5000))))</f>
        <v>0</v>
      </c>
      <c r="L130" s="401" t="str">
        <f t="array" ref="L130">IF(K130&gt;0,IFERROR(HYPERLINK("#'IM'!AC"&amp;MATCH(1,(IM!$F$1:$F$5000=A130)*(ISNUMBER(SEARCH(勤務統計!$C$1,IM!$AC$1:$AC$5000))),0),"檢核"),"未登錄"),"")</f>
        <v/>
      </c>
      <c r="M130" s="402" t="str">
        <f t="shared" si="1"/>
        <v>+L90</v>
      </c>
      <c r="N130" s="402" t="str">
        <f t="array" ref="N130">IF(AND(
    SUMPRODUCT(
        (IM!$F$2:$F$522=A130) *
        ISNUMBER(SEARCH("*HUB*", IM!$AC$2:$AC$522)) *
        (IM!$X$2:$X$522&gt;=勤務統計!$A$1) *
        (IM!$X$2:$X$522&lt;=勤務統計!$B$1)*(W130="HUB")
    ) &gt; 0
), "HUB", "")</f>
        <v/>
      </c>
      <c r="O130" s="400" t="str">
        <f>IF(
  IFERROR(VLOOKUP(A130,勤務統計!A:I,9,FALSE),"")&lt;&gt;勤務統計!$C$1,
  "未完工",
  IF(
    AND(勤務統計!$D$1="--",勤務統計!$E$1="--",勤務統計!$F$1="--"),
    "已完工",
    IF(
      OR(
        AND(勤務統計!$D$1&lt;&gt;"--", IFERROR(VLOOKUP(A130,'0919門市清單主檔'!B:AH,31,FALSE),"")=勤務統計!$D$1, IFERROR(VLOOKUP(A130,勤務統計!A:Q,17,FALSE),"")&lt;&gt;勤務統計!$D$1),
        AND(勤務統計!$E$1&lt;&gt;"--", IFERROR(VLOOKUP(A130,'0919門市清單主檔'!B:AH,32,FALSE),"")=勤務統計!$E$1, IFERROR(VLOOKUP(A130,勤務統計!A:S,19,FALSE),"")&lt;&gt;勤務統計!$E$1),
        AND(勤務統計!$F$1&lt;&gt;"--", IFERROR(VLOOKUP(A130,'0919門市清單主檔'!B:AH,33,FALSE),"")=勤務統計!$F$1, IFERROR(VLOOKUP(A130,勤務統計!A:U,21,FALSE),"")&lt;&gt;勤務統計!$F$1),
        AND(IFERROR(VLOOKUP(A130,'0919門市清單主檔'!B:AH,28,FALSE),"")="HUB", IFERROR(VLOOKUP(A130,勤務統計!A:W,23,FALSE),"")&lt;&gt;"HUB")
      ),
      _xlfn.TEXTJOIN(
        "，",
        TRUE,
        IF(AND(勤務統計!$D$1&lt;&gt;"--", IFERROR(VLOOKUP(A130,'0919門市清單主檔'!B:AH,31,FALSE),"")=勤務統計!$D$1, IFERROR(VLOOKUP(A130,勤務統計!A:Q,17,FALSE),"")&lt;&gt;勤務統計!$D$1), 勤務統計!$D$1, ""),
        IF(AND(勤務統計!$E$1&lt;&gt;"--", IFERROR(VLOOKUP(A130,'0919門市清單主檔'!B:AH,32,FALSE),"")=勤務統計!$E$1, IFERROR(VLOOKUP(A130,勤務統計!A:S,19,FALSE),"")&lt;&gt;勤務統計!$E$1), 勤務統計!$E$1, ""),
        IF(AND(勤務統計!$F$1&lt;&gt;"--", IFERROR(VLOOKUP(A130,'0919門市清單主檔'!B:AH,33,FALSE),"")=勤務統計!$F$1, IFERROR(VLOOKUP(A130,勤務統計!A:U,21,FALSE),"")&lt;&gt;勤務統計!$F$1), 勤務統計!$F$1, ""),
        IF(AND(IFERROR(VLOOKUP(A130,'0919門市清單主檔'!B:AH,28,FALSE),"")="HUB", IFERROR(VLOOKUP(A130,勤務統計!A:W,23,FALSE),"")&lt;&gt;"HUB"), "HUB", "")
      ) &amp; "未完工",
      "已完工"
    )
  )
)</f>
        <v>未完工</v>
      </c>
      <c r="P130" s="403" t="str">
        <f>(TEXT(I130,"yyyymmdd"))&amp;勤務統計!$V$2&amp;A130&amp;勤務統計!$V$2&amp;B130&amp;勤務統計!$S$2</f>
        <v>-2042-三重中央北店(定保)</v>
      </c>
      <c r="Q130" s="420" t="str">
        <f t="array" ref="Q130">IF(AND(SUMPRODUCT((IM!$F$2:$F$5000=A130)*(ISNUMBER(SEARCH(勤務統計!$D$1, IM!$AC$2:$AC$5000))))&gt;0), 勤務統計!$D$1, "")</f>
        <v/>
      </c>
      <c r="R130" s="421" t="str">
        <f t="array" ref="R130">IFERROR(INDEX(IM!$AM$2:$AM$5000, MATCH(1, (IM!$F$2:$F$5000=A130) * (ISNUMBER(SEARCH(勤務統計!$D$1, IM!$AC$2:$AC$5000))), 0)), "")</f>
        <v/>
      </c>
      <c r="S130" s="406" t="str" cm="1">
        <f t="array" ref="S130">IF(AND(SUMPRODUCT((IM!$F$2:$F$5000=A130)*(ISNUMBER(SEARCH(勤務統計!$E$1, IM!$AC$2:$AC$5000))))&gt;0), 勤務統計!$E$1, "")</f>
        <v>+L90</v>
      </c>
      <c r="T130" s="422">
        <f t="array" ref="T130">IFERROR(INDEX(IM!$AM$2:$AM$5000, MATCH(1, (IM!$F$2:$F$5000=A130) * (ISNUMBER(SEARCH(勤務統計!$E$1, IM!$AC$2:$AC$5000))), 0)), "")</f>
        <v>45958</v>
      </c>
      <c r="U130" s="406" t="str" cm="1">
        <f t="array" ref="U130">IF(AND(SUMPRODUCT((IM!$F$2:$F$5000=A130)*(ISNUMBER(SEARCH(勤務統計!$F$1, IM!$AC$2:$AC$5000))))&gt;0), 勤務統計!$F$1, "")</f>
        <v/>
      </c>
      <c r="V130" s="413" t="str">
        <f t="array" ref="V130">IFERROR(INDEX(IM!$AM$2:$AM$5000, MATCH(1, (IM!$F$2:$F$5000=A130) * (ISNUMBER(SEARCH(勤務統計!$F$1, IM!$AC$2:$AC$5000))), 0)), "")</f>
        <v/>
      </c>
      <c r="W130" s="414" t="str">
        <f>IF(VLOOKUP(A130,'0919門市清單主檔'!B:AC,28,FALSE)=0,"",VLOOKUP(A130,'0919門市清單主檔'!B:AC,28,FALSE))</f>
        <v/>
      </c>
    </row>
    <row r="131" spans="1:23" ht="21.6" customHeight="1">
      <c r="A131" s="423">
        <v>2935</v>
      </c>
      <c r="B131" s="416" t="str">
        <f>VLOOKUP(A131,'0919門市清單主檔'!B:C,2,FALSE)</f>
        <v>三重夜市口</v>
      </c>
      <c r="C131" s="415" t="str">
        <f>VLOOKUP($A131,'0919門市清單主檔'!B:V,20,FALSE)</f>
        <v>新北市</v>
      </c>
      <c r="D131" s="410" t="str">
        <f>VLOOKUP($A131,'0919門市清單主檔'!B:V,21,FALSE)</f>
        <v>三重區</v>
      </c>
      <c r="E131" s="397" t="str">
        <f>VLOOKUP(D131,門市狀態!G:H,2,FALSE)</f>
        <v>劉柏均</v>
      </c>
      <c r="F131" s="410" t="str">
        <f>IFERROR(IF(VLOOKUP(A131,門市狀態!A:D,4,FALSE)=0,"",VLOOKUP(A131,門市狀態!A:D,4,FALSE)),"")</f>
        <v/>
      </c>
      <c r="G131" s="424"/>
      <c r="H131" s="425" t="str">
        <f>IF(I131&gt;0,(TEXT(I131,"yyyymmdd")&amp;勤務統計!$V$2&amp;A131&amp;勤務統計!$V$2&amp;B131&amp;勤務統計!$S$2),"")</f>
        <v>-2935-三重夜市口(定保)</v>
      </c>
      <c r="I131" s="247" t="str">
        <f t="array" ref="I131">IF(AND(SUMPRODUCT((IM!$F$2:$F$5000=A131)*(ISNUMBER(SEARCH(勤務統計!$C$1, IM!$AC$2:$AC$5000))))&gt;0), 勤務統計!$C$1, "")</f>
        <v/>
      </c>
      <c r="J131" s="399" t="str">
        <f t="array" ref="J131">IFERROR(INDEX(IM!$AM$2:$AM$5000, MATCH(1, (IM!$F$2:$F$5000=A131) * (ISNUMBER(SEARCH(勤務統計!$C$1, IM!$AC$2:$AC$5000))), 0)), "")</f>
        <v/>
      </c>
      <c r="K131" s="400">
        <f t="array" ref="K131">SUMPRODUCT((IM!$F$2:$F$5000=A131)*(IM!$AD$2:$AD$5000="O")*(ISNUMBER(SEARCH(勤務統計!$C$1, IM!$AC$2:$AC$5000))))</f>
        <v>0</v>
      </c>
      <c r="L131" s="401" t="str">
        <f t="array" ref="L131">IF(K131&gt;0,IFERROR(HYPERLINK("#'IM'!AC"&amp;MATCH(1,(IM!$F$1:$F$5000=A131)*(ISNUMBER(SEARCH(勤務統計!$C$1,IM!$AC$1:$AC$5000))),0),"檢核"),"未登錄"),"")</f>
        <v/>
      </c>
      <c r="M131" s="402" t="str">
        <f t="shared" ref="M131:M194" si="2">Q131&amp;S131&amp;U131</f>
        <v>+L90</v>
      </c>
      <c r="N131" s="402" t="str">
        <f t="array" ref="N131">IF(AND(
    SUMPRODUCT(
        (IM!$F$2:$F$522=A131) *
        ISNUMBER(SEARCH("*HUB*", IM!$AC$2:$AC$522)) *
        (IM!$X$2:$X$522&gt;=勤務統計!$A$1) *
        (IM!$X$2:$X$522&lt;=勤務統計!$B$1)*(W131="HUB")
    ) &gt; 0
), "HUB", "")</f>
        <v/>
      </c>
      <c r="O131" s="400" t="str">
        <f>IF(
  IFERROR(VLOOKUP(A131,勤務統計!A:I,9,FALSE),"")&lt;&gt;勤務統計!$C$1,
  "未完工",
  IF(
    AND(勤務統計!$D$1="--",勤務統計!$E$1="--",勤務統計!$F$1="--"),
    "已完工",
    IF(
      OR(
        AND(勤務統計!$D$1&lt;&gt;"--", IFERROR(VLOOKUP(A131,'0919門市清單主檔'!B:AH,31,FALSE),"")=勤務統計!$D$1, IFERROR(VLOOKUP(A131,勤務統計!A:Q,17,FALSE),"")&lt;&gt;勤務統計!$D$1),
        AND(勤務統計!$E$1&lt;&gt;"--", IFERROR(VLOOKUP(A131,'0919門市清單主檔'!B:AH,32,FALSE),"")=勤務統計!$E$1, IFERROR(VLOOKUP(A131,勤務統計!A:S,19,FALSE),"")&lt;&gt;勤務統計!$E$1),
        AND(勤務統計!$F$1&lt;&gt;"--", IFERROR(VLOOKUP(A131,'0919門市清單主檔'!B:AH,33,FALSE),"")=勤務統計!$F$1, IFERROR(VLOOKUP(A131,勤務統計!A:U,21,FALSE),"")&lt;&gt;勤務統計!$F$1),
        AND(IFERROR(VLOOKUP(A131,'0919門市清單主檔'!B:AH,28,FALSE),"")="HUB", IFERROR(VLOOKUP(A131,勤務統計!A:W,23,FALSE),"")&lt;&gt;"HUB")
      ),
      _xlfn.TEXTJOIN(
        "，",
        TRUE,
        IF(AND(勤務統計!$D$1&lt;&gt;"--", IFERROR(VLOOKUP(A131,'0919門市清單主檔'!B:AH,31,FALSE),"")=勤務統計!$D$1, IFERROR(VLOOKUP(A131,勤務統計!A:Q,17,FALSE),"")&lt;&gt;勤務統計!$D$1), 勤務統計!$D$1, ""),
        IF(AND(勤務統計!$E$1&lt;&gt;"--", IFERROR(VLOOKUP(A131,'0919門市清單主檔'!B:AH,32,FALSE),"")=勤務統計!$E$1, IFERROR(VLOOKUP(A131,勤務統計!A:S,19,FALSE),"")&lt;&gt;勤務統計!$E$1), 勤務統計!$E$1, ""),
        IF(AND(勤務統計!$F$1&lt;&gt;"--", IFERROR(VLOOKUP(A131,'0919門市清單主檔'!B:AH,33,FALSE),"")=勤務統計!$F$1, IFERROR(VLOOKUP(A131,勤務統計!A:U,21,FALSE),"")&lt;&gt;勤務統計!$F$1), 勤務統計!$F$1, ""),
        IF(AND(IFERROR(VLOOKUP(A131,'0919門市清單主檔'!B:AH,28,FALSE),"")="HUB", IFERROR(VLOOKUP(A131,勤務統計!A:W,23,FALSE),"")&lt;&gt;"HUB"), "HUB", "")
      ) &amp; "未完工",
      "已完工"
    )
  )
)</f>
        <v>未完工</v>
      </c>
      <c r="P131" s="403" t="str">
        <f>(TEXT(I131,"yyyymmdd"))&amp;勤務統計!$V$2&amp;A131&amp;勤務統計!$V$2&amp;B131&amp;勤務統計!$S$2</f>
        <v>-2935-三重夜市口(定保)</v>
      </c>
      <c r="Q131" s="420" t="str">
        <f t="array" ref="Q131">IF(AND(SUMPRODUCT((IM!$F$2:$F$5000=A131)*(ISNUMBER(SEARCH(勤務統計!$D$1, IM!$AC$2:$AC$5000))))&gt;0), 勤務統計!$D$1, "")</f>
        <v/>
      </c>
      <c r="R131" s="421" t="str">
        <f t="array" ref="R131">IFERROR(INDEX(IM!$AM$2:$AM$5000, MATCH(1, (IM!$F$2:$F$5000=A131) * (ISNUMBER(SEARCH(勤務統計!$D$1, IM!$AC$2:$AC$5000))), 0)), "")</f>
        <v/>
      </c>
      <c r="S131" s="406" t="str" cm="1">
        <f t="array" ref="S131">IF(AND(SUMPRODUCT((IM!$F$2:$F$5000=A131)*(ISNUMBER(SEARCH(勤務統計!$E$1, IM!$AC$2:$AC$5000))))&gt;0), 勤務統計!$E$1, "")</f>
        <v>+L90</v>
      </c>
      <c r="T131" s="422">
        <f t="array" ref="T131">IFERROR(INDEX(IM!$AM$2:$AM$5000, MATCH(1, (IM!$F$2:$F$5000=A131) * (ISNUMBER(SEARCH(勤務統計!$E$1, IM!$AC$2:$AC$5000))), 0)), "")</f>
        <v>45958</v>
      </c>
      <c r="U131" s="406" t="str" cm="1">
        <f t="array" ref="U131">IF(AND(SUMPRODUCT((IM!$F$2:$F$5000=A131)*(ISNUMBER(SEARCH(勤務統計!$F$1, IM!$AC$2:$AC$5000))))&gt;0), 勤務統計!$F$1, "")</f>
        <v/>
      </c>
      <c r="V131" s="413" t="str">
        <f t="array" ref="V131">IFERROR(INDEX(IM!$AM$2:$AM$5000, MATCH(1, (IM!$F$2:$F$5000=A131) * (ISNUMBER(SEARCH(勤務統計!$F$1, IM!$AC$2:$AC$5000))), 0)), "")</f>
        <v/>
      </c>
      <c r="W131" s="414" t="str">
        <f>IF(VLOOKUP(A131,'0919門市清單主檔'!B:AC,28,FALSE)=0,"",VLOOKUP(A131,'0919門市清單主檔'!B:AC,28,FALSE))</f>
        <v/>
      </c>
    </row>
    <row r="132" spans="1:23" ht="21.6" customHeight="1">
      <c r="A132" s="423">
        <v>3380</v>
      </c>
      <c r="B132" s="416" t="str">
        <f>VLOOKUP(A132,'0919門市清單主檔'!B:C,2,FALSE)</f>
        <v>北縣莊勝店</v>
      </c>
      <c r="C132" s="415" t="str">
        <f>VLOOKUP($A132,'0919門市清單主檔'!B:V,20,FALSE)</f>
        <v>新北市</v>
      </c>
      <c r="D132" s="410" t="str">
        <f>VLOOKUP($A132,'0919門市清單主檔'!B:V,21,FALSE)</f>
        <v>新莊區</v>
      </c>
      <c r="E132" s="397" t="str">
        <f>VLOOKUP(D132,門市狀態!G:H,2,FALSE)</f>
        <v>湯家瑋</v>
      </c>
      <c r="F132" s="410" t="str">
        <f>IFERROR(IF(VLOOKUP(A132,門市狀態!A:D,4,FALSE)=0,"",VLOOKUP(A132,門市狀態!A:D,4,FALSE)),"")</f>
        <v/>
      </c>
      <c r="G132" s="424"/>
      <c r="H132" s="425" t="str">
        <f>IF(I132&gt;0,(TEXT(I132,"yyyymmdd")&amp;勤務統計!$V$2&amp;A132&amp;勤務統計!$V$2&amp;B132&amp;勤務統計!$S$2),"")</f>
        <v>-3380-北縣莊勝店(定保)</v>
      </c>
      <c r="I132" s="247" t="str">
        <f t="array" ref="I132">IF(AND(SUMPRODUCT((IM!$F$2:$F$5000=A132)*(ISNUMBER(SEARCH(勤務統計!$C$1, IM!$AC$2:$AC$5000))))&gt;0), 勤務統計!$C$1, "")</f>
        <v/>
      </c>
      <c r="J132" s="399" t="str">
        <f t="array" ref="J132">IFERROR(INDEX(IM!$AM$2:$AM$5000, MATCH(1, (IM!$F$2:$F$5000=A132) * (ISNUMBER(SEARCH(勤務統計!$C$1, IM!$AC$2:$AC$5000))), 0)), "")</f>
        <v/>
      </c>
      <c r="K132" s="400">
        <f t="array" ref="K132">SUMPRODUCT((IM!$F$2:$F$5000=A132)*(IM!$AD$2:$AD$5000="O")*(ISNUMBER(SEARCH(勤務統計!$C$1, IM!$AC$2:$AC$5000))))</f>
        <v>0</v>
      </c>
      <c r="L132" s="401" t="str">
        <f t="array" ref="L132">IF(K132&gt;0,IFERROR(HYPERLINK("#'IM'!AC"&amp;MATCH(1,(IM!$F$1:$F$5000=A132)*(ISNUMBER(SEARCH(勤務統計!$C$1,IM!$AC$1:$AC$5000))),0),"檢核"),"未登錄"),"")</f>
        <v/>
      </c>
      <c r="M132" s="402" t="str">
        <f t="shared" si="2"/>
        <v>+L90</v>
      </c>
      <c r="N132" s="402" t="str">
        <f t="array" ref="N132">IF(AND(
    SUMPRODUCT(
        (IM!$F$2:$F$522=A132) *
        ISNUMBER(SEARCH("*HUB*", IM!$AC$2:$AC$522)) *
        (IM!$X$2:$X$522&gt;=勤務統計!$A$1) *
        (IM!$X$2:$X$522&lt;=勤務統計!$B$1)*(W132="HUB")
    ) &gt; 0
), "HUB", "")</f>
        <v/>
      </c>
      <c r="O132" s="400" t="str">
        <f>IF(
  IFERROR(VLOOKUP(A132,勤務統計!A:I,9,FALSE),"")&lt;&gt;勤務統計!$C$1,
  "未完工",
  IF(
    AND(勤務統計!$D$1="--",勤務統計!$E$1="--",勤務統計!$F$1="--"),
    "已完工",
    IF(
      OR(
        AND(勤務統計!$D$1&lt;&gt;"--", IFERROR(VLOOKUP(A132,'0919門市清單主檔'!B:AH,31,FALSE),"")=勤務統計!$D$1, IFERROR(VLOOKUP(A132,勤務統計!A:Q,17,FALSE),"")&lt;&gt;勤務統計!$D$1),
        AND(勤務統計!$E$1&lt;&gt;"--", IFERROR(VLOOKUP(A132,'0919門市清單主檔'!B:AH,32,FALSE),"")=勤務統計!$E$1, IFERROR(VLOOKUP(A132,勤務統計!A:S,19,FALSE),"")&lt;&gt;勤務統計!$E$1),
        AND(勤務統計!$F$1&lt;&gt;"--", IFERROR(VLOOKUP(A132,'0919門市清單主檔'!B:AH,33,FALSE),"")=勤務統計!$F$1, IFERROR(VLOOKUP(A132,勤務統計!A:U,21,FALSE),"")&lt;&gt;勤務統計!$F$1),
        AND(IFERROR(VLOOKUP(A132,'0919門市清單主檔'!B:AH,28,FALSE),"")="HUB", IFERROR(VLOOKUP(A132,勤務統計!A:W,23,FALSE),"")&lt;&gt;"HUB")
      ),
      _xlfn.TEXTJOIN(
        "，",
        TRUE,
        IF(AND(勤務統計!$D$1&lt;&gt;"--", IFERROR(VLOOKUP(A132,'0919門市清單主檔'!B:AH,31,FALSE),"")=勤務統計!$D$1, IFERROR(VLOOKUP(A132,勤務統計!A:Q,17,FALSE),"")&lt;&gt;勤務統計!$D$1), 勤務統計!$D$1, ""),
        IF(AND(勤務統計!$E$1&lt;&gt;"--", IFERROR(VLOOKUP(A132,'0919門市清單主檔'!B:AH,32,FALSE),"")=勤務統計!$E$1, IFERROR(VLOOKUP(A132,勤務統計!A:S,19,FALSE),"")&lt;&gt;勤務統計!$E$1), 勤務統計!$E$1, ""),
        IF(AND(勤務統計!$F$1&lt;&gt;"--", IFERROR(VLOOKUP(A132,'0919門市清單主檔'!B:AH,33,FALSE),"")=勤務統計!$F$1, IFERROR(VLOOKUP(A132,勤務統計!A:U,21,FALSE),"")&lt;&gt;勤務統計!$F$1), 勤務統計!$F$1, ""),
        IF(AND(IFERROR(VLOOKUP(A132,'0919門市清單主檔'!B:AH,28,FALSE),"")="HUB", IFERROR(VLOOKUP(A132,勤務統計!A:W,23,FALSE),"")&lt;&gt;"HUB"), "HUB", "")
      ) &amp; "未完工",
      "已完工"
    )
  )
)</f>
        <v>未完工</v>
      </c>
      <c r="P132" s="403" t="str">
        <f>(TEXT(I132,"yyyymmdd"))&amp;勤務統計!$V$2&amp;A132&amp;勤務統計!$V$2&amp;B132&amp;勤務統計!$S$2</f>
        <v>-3380-北縣莊勝店(定保)</v>
      </c>
      <c r="Q132" s="420" t="str">
        <f t="array" ref="Q132">IF(AND(SUMPRODUCT((IM!$F$2:$F$5000=A132)*(ISNUMBER(SEARCH(勤務統計!$D$1, IM!$AC$2:$AC$5000))))&gt;0), 勤務統計!$D$1, "")</f>
        <v/>
      </c>
      <c r="R132" s="421" t="str">
        <f t="array" ref="R132">IFERROR(INDEX(IM!$AM$2:$AM$5000, MATCH(1, (IM!$F$2:$F$5000=A132) * (ISNUMBER(SEARCH(勤務統計!$D$1, IM!$AC$2:$AC$5000))), 0)), "")</f>
        <v/>
      </c>
      <c r="S132" s="406" t="str" cm="1">
        <f t="array" ref="S132">IF(AND(SUMPRODUCT((IM!$F$2:$F$5000=A132)*(ISNUMBER(SEARCH(勤務統計!$E$1, IM!$AC$2:$AC$5000))))&gt;0), 勤務統計!$E$1, "")</f>
        <v>+L90</v>
      </c>
      <c r="T132" s="422">
        <f t="array" ref="T132">IFERROR(INDEX(IM!$AM$2:$AM$5000, MATCH(1, (IM!$F$2:$F$5000=A132) * (ISNUMBER(SEARCH(勤務統計!$E$1, IM!$AC$2:$AC$5000))), 0)), "")</f>
        <v>45959</v>
      </c>
      <c r="U132" s="406" t="str" cm="1">
        <f t="array" ref="U132">IF(AND(SUMPRODUCT((IM!$F$2:$F$5000=A132)*(ISNUMBER(SEARCH(勤務統計!$F$1, IM!$AC$2:$AC$5000))))&gt;0), 勤務統計!$F$1, "")</f>
        <v/>
      </c>
      <c r="V132" s="413" t="str">
        <f t="array" ref="V132">IFERROR(INDEX(IM!$AM$2:$AM$5000, MATCH(1, (IM!$F$2:$F$5000=A132) * (ISNUMBER(SEARCH(勤務統計!$F$1, IM!$AC$2:$AC$5000))), 0)), "")</f>
        <v/>
      </c>
      <c r="W132" s="414" t="str">
        <f>IF(VLOOKUP(A132,'0919門市清單主檔'!B:AC,28,FALSE)=0,"",VLOOKUP(A132,'0919門市清單主檔'!B:AC,28,FALSE))</f>
        <v/>
      </c>
    </row>
    <row r="133" spans="1:23" ht="21.6" customHeight="1">
      <c r="A133" s="423">
        <v>2362</v>
      </c>
      <c r="B133" s="416" t="str">
        <f>VLOOKUP(A133,'0919門市清單主檔'!B:C,2,FALSE)</f>
        <v>新莊化成店</v>
      </c>
      <c r="C133" s="415" t="str">
        <f>VLOOKUP($A133,'0919門市清單主檔'!B:V,20,FALSE)</f>
        <v>新北市</v>
      </c>
      <c r="D133" s="410" t="str">
        <f>VLOOKUP($A133,'0919門市清單主檔'!B:V,21,FALSE)</f>
        <v>新莊區</v>
      </c>
      <c r="E133" s="397" t="str">
        <f>VLOOKUP(D133,門市狀態!G:H,2,FALSE)</f>
        <v>湯家瑋</v>
      </c>
      <c r="F133" s="410" t="str">
        <f>IFERROR(IF(VLOOKUP(A133,門市狀態!A:D,4,FALSE)=0,"",VLOOKUP(A133,門市狀態!A:D,4,FALSE)),"")</f>
        <v/>
      </c>
      <c r="G133" s="424"/>
      <c r="H133" s="425" t="str">
        <f>IF(I133&gt;0,(TEXT(I133,"yyyymmdd")&amp;勤務統計!$V$2&amp;A133&amp;勤務統計!$V$2&amp;B133&amp;勤務統計!$S$2),"")</f>
        <v>-2362-新莊化成店(定保)</v>
      </c>
      <c r="I133" s="247" t="str">
        <f t="array" ref="I133">IF(AND(SUMPRODUCT((IM!$F$2:$F$5000=A133)*(ISNUMBER(SEARCH(勤務統計!$C$1, IM!$AC$2:$AC$5000))))&gt;0), 勤務統計!$C$1, "")</f>
        <v/>
      </c>
      <c r="J133" s="399" t="str">
        <f t="array" ref="J133">IFERROR(INDEX(IM!$AM$2:$AM$5000, MATCH(1, (IM!$F$2:$F$5000=A133) * (ISNUMBER(SEARCH(勤務統計!$C$1, IM!$AC$2:$AC$5000))), 0)), "")</f>
        <v/>
      </c>
      <c r="K133" s="400">
        <f t="array" ref="K133">SUMPRODUCT((IM!$F$2:$F$5000=A133)*(IM!$AD$2:$AD$5000="O")*(ISNUMBER(SEARCH(勤務統計!$C$1, IM!$AC$2:$AC$5000))))</f>
        <v>0</v>
      </c>
      <c r="L133" s="401" t="str">
        <f t="array" ref="L133">IF(K133&gt;0,IFERROR(HYPERLINK("#'IM'!AC"&amp;MATCH(1,(IM!$F$1:$F$5000=A133)*(ISNUMBER(SEARCH(勤務統計!$C$1,IM!$AC$1:$AC$5000))),0),"檢核"),"未登錄"),"")</f>
        <v/>
      </c>
      <c r="M133" s="402" t="str">
        <f t="shared" si="2"/>
        <v>+L90</v>
      </c>
      <c r="N133" s="402" t="str">
        <f t="array" ref="N133">IF(AND(
    SUMPRODUCT(
        (IM!$F$2:$F$522=A133) *
        ISNUMBER(SEARCH("*HUB*", IM!$AC$2:$AC$522)) *
        (IM!$X$2:$X$522&gt;=勤務統計!$A$1) *
        (IM!$X$2:$X$522&lt;=勤務統計!$B$1)*(W133="HUB")
    ) &gt; 0
), "HUB", "")</f>
        <v/>
      </c>
      <c r="O133" s="400" t="str">
        <f>IF(
  IFERROR(VLOOKUP(A133,勤務統計!A:I,9,FALSE),"")&lt;&gt;勤務統計!$C$1,
  "未完工",
  IF(
    AND(勤務統計!$D$1="--",勤務統計!$E$1="--",勤務統計!$F$1="--"),
    "已完工",
    IF(
      OR(
        AND(勤務統計!$D$1&lt;&gt;"--", IFERROR(VLOOKUP(A133,'0919門市清單主檔'!B:AH,31,FALSE),"")=勤務統計!$D$1, IFERROR(VLOOKUP(A133,勤務統計!A:Q,17,FALSE),"")&lt;&gt;勤務統計!$D$1),
        AND(勤務統計!$E$1&lt;&gt;"--", IFERROR(VLOOKUP(A133,'0919門市清單主檔'!B:AH,32,FALSE),"")=勤務統計!$E$1, IFERROR(VLOOKUP(A133,勤務統計!A:S,19,FALSE),"")&lt;&gt;勤務統計!$E$1),
        AND(勤務統計!$F$1&lt;&gt;"--", IFERROR(VLOOKUP(A133,'0919門市清單主檔'!B:AH,33,FALSE),"")=勤務統計!$F$1, IFERROR(VLOOKUP(A133,勤務統計!A:U,21,FALSE),"")&lt;&gt;勤務統計!$F$1),
        AND(IFERROR(VLOOKUP(A133,'0919門市清單主檔'!B:AH,28,FALSE),"")="HUB", IFERROR(VLOOKUP(A133,勤務統計!A:W,23,FALSE),"")&lt;&gt;"HUB")
      ),
      _xlfn.TEXTJOIN(
        "，",
        TRUE,
        IF(AND(勤務統計!$D$1&lt;&gt;"--", IFERROR(VLOOKUP(A133,'0919門市清單主檔'!B:AH,31,FALSE),"")=勤務統計!$D$1, IFERROR(VLOOKUP(A133,勤務統計!A:Q,17,FALSE),"")&lt;&gt;勤務統計!$D$1), 勤務統計!$D$1, ""),
        IF(AND(勤務統計!$E$1&lt;&gt;"--", IFERROR(VLOOKUP(A133,'0919門市清單主檔'!B:AH,32,FALSE),"")=勤務統計!$E$1, IFERROR(VLOOKUP(A133,勤務統計!A:S,19,FALSE),"")&lt;&gt;勤務統計!$E$1), 勤務統計!$E$1, ""),
        IF(AND(勤務統計!$F$1&lt;&gt;"--", IFERROR(VLOOKUP(A133,'0919門市清單主檔'!B:AH,33,FALSE),"")=勤務統計!$F$1, IFERROR(VLOOKUP(A133,勤務統計!A:U,21,FALSE),"")&lt;&gt;勤務統計!$F$1), 勤務統計!$F$1, ""),
        IF(AND(IFERROR(VLOOKUP(A133,'0919門市清單主檔'!B:AH,28,FALSE),"")="HUB", IFERROR(VLOOKUP(A133,勤務統計!A:W,23,FALSE),"")&lt;&gt;"HUB"), "HUB", "")
      ) &amp; "未完工",
      "已完工"
    )
  )
)</f>
        <v>未完工</v>
      </c>
      <c r="P133" s="403" t="str">
        <f>(TEXT(I133,"yyyymmdd"))&amp;勤務統計!$V$2&amp;A133&amp;勤務統計!$V$2&amp;B133&amp;勤務統計!$S$2</f>
        <v>-2362-新莊化成店(定保)</v>
      </c>
      <c r="Q133" s="420" t="str">
        <f t="array" ref="Q133">IF(AND(SUMPRODUCT((IM!$F$2:$F$5000=A133)*(ISNUMBER(SEARCH(勤務統計!$D$1, IM!$AC$2:$AC$5000))))&gt;0), 勤務統計!$D$1, "")</f>
        <v/>
      </c>
      <c r="R133" s="421" t="str">
        <f t="array" ref="R133">IFERROR(INDEX(IM!$AM$2:$AM$5000, MATCH(1, (IM!$F$2:$F$5000=A133) * (ISNUMBER(SEARCH(勤務統計!$D$1, IM!$AC$2:$AC$5000))), 0)), "")</f>
        <v/>
      </c>
      <c r="S133" s="406" t="str" cm="1">
        <f t="array" ref="S133">IF(AND(SUMPRODUCT((IM!$F$2:$F$5000=A133)*(ISNUMBER(SEARCH(勤務統計!$E$1, IM!$AC$2:$AC$5000))))&gt;0), 勤務統計!$E$1, "")</f>
        <v>+L90</v>
      </c>
      <c r="T133" s="422">
        <f t="array" ref="T133">IFERROR(INDEX(IM!$AM$2:$AM$5000, MATCH(1, (IM!$F$2:$F$5000=A133) * (ISNUMBER(SEARCH(勤務統計!$E$1, IM!$AC$2:$AC$5000))), 0)), "")</f>
        <v>45961</v>
      </c>
      <c r="U133" s="406" t="str" cm="1">
        <f t="array" ref="U133">IF(AND(SUMPRODUCT((IM!$F$2:$F$5000=A133)*(ISNUMBER(SEARCH(勤務統計!$F$1, IM!$AC$2:$AC$5000))))&gt;0), 勤務統計!$F$1, "")</f>
        <v/>
      </c>
      <c r="V133" s="413" t="str">
        <f t="array" ref="V133">IFERROR(INDEX(IM!$AM$2:$AM$5000, MATCH(1, (IM!$F$2:$F$5000=A133) * (ISNUMBER(SEARCH(勤務統計!$F$1, IM!$AC$2:$AC$5000))), 0)), "")</f>
        <v/>
      </c>
      <c r="W133" s="414" t="str">
        <f>IF(VLOOKUP(A133,'0919門市清單主檔'!B:AC,28,FALSE)=0,"",VLOOKUP(A133,'0919門市清單主檔'!B:AC,28,FALSE))</f>
        <v/>
      </c>
    </row>
    <row r="134" spans="1:23" ht="21.6" customHeight="1">
      <c r="A134" s="423">
        <v>4541</v>
      </c>
      <c r="B134" s="416" t="str">
        <f>VLOOKUP(A134,'0919門市清單主檔'!B:C,2,FALSE)</f>
        <v>淡水海天店</v>
      </c>
      <c r="C134" s="415" t="str">
        <f>VLOOKUP($A134,'0919門市清單主檔'!B:V,20,FALSE)</f>
        <v>新北市</v>
      </c>
      <c r="D134" s="410" t="str">
        <f>VLOOKUP($A134,'0919門市清單主檔'!B:V,21,FALSE)</f>
        <v>淡水區</v>
      </c>
      <c r="E134" s="397" t="str">
        <f>VLOOKUP(D134,門市狀態!G:H,2,FALSE)</f>
        <v>吳宗鴻</v>
      </c>
      <c r="F134" s="410" t="str">
        <f>IFERROR(IF(VLOOKUP(A134,門市狀態!A:D,4,FALSE)=0,"",VLOOKUP(A134,門市狀態!A:D,4,FALSE)),"")</f>
        <v/>
      </c>
      <c r="G134" s="424"/>
      <c r="H134" s="425" t="str">
        <f>IF(I134&gt;0,(TEXT(I134,"yyyymmdd")&amp;勤務統計!$V$2&amp;A134&amp;勤務統計!$V$2&amp;B134&amp;勤務統計!$S$2),"")</f>
        <v>-4541-淡水海天店(定保)</v>
      </c>
      <c r="I134" s="247" t="str">
        <f t="array" ref="I134">IF(AND(SUMPRODUCT((IM!$F$2:$F$5000=A134)*(ISNUMBER(SEARCH(勤務統計!$C$1, IM!$AC$2:$AC$5000))))&gt;0), 勤務統計!$C$1, "")</f>
        <v/>
      </c>
      <c r="J134" s="399" t="str">
        <f t="array" ref="J134">IFERROR(INDEX(IM!$AM$2:$AM$5000, MATCH(1, (IM!$F$2:$F$5000=A134) * (ISNUMBER(SEARCH(勤務統計!$C$1, IM!$AC$2:$AC$5000))), 0)), "")</f>
        <v/>
      </c>
      <c r="K134" s="400">
        <f t="array" ref="K134">SUMPRODUCT((IM!$F$2:$F$5000=A134)*(IM!$AD$2:$AD$5000="O")*(ISNUMBER(SEARCH(勤務統計!$C$1, IM!$AC$2:$AC$5000))))</f>
        <v>0</v>
      </c>
      <c r="L134" s="401" t="str">
        <f t="array" ref="L134">IF(K134&gt;0,IFERROR(HYPERLINK("#'IM'!AC"&amp;MATCH(1,(IM!$F$1:$F$5000=A134)*(ISNUMBER(SEARCH(勤務統計!$C$1,IM!$AC$1:$AC$5000))),0),"檢核"),"未登錄"),"")</f>
        <v/>
      </c>
      <c r="M134" s="402" t="str">
        <f t="shared" si="2"/>
        <v>+L90</v>
      </c>
      <c r="N134" s="402" t="str">
        <f t="array" ref="N134">IF(AND(
    SUMPRODUCT(
        (IM!$F$2:$F$522=A134) *
        ISNUMBER(SEARCH("*HUB*", IM!$AC$2:$AC$522)) *
        (IM!$X$2:$X$522&gt;=勤務統計!$A$1) *
        (IM!$X$2:$X$522&lt;=勤務統計!$B$1)*(W134="HUB")
    ) &gt; 0
), "HUB", "")</f>
        <v/>
      </c>
      <c r="O134" s="400" t="str">
        <f>IF(
  IFERROR(VLOOKUP(A134,勤務統計!A:I,9,FALSE),"")&lt;&gt;勤務統計!$C$1,
  "未完工",
  IF(
    AND(勤務統計!$D$1="--",勤務統計!$E$1="--",勤務統計!$F$1="--"),
    "已完工",
    IF(
      OR(
        AND(勤務統計!$D$1&lt;&gt;"--", IFERROR(VLOOKUP(A134,'0919門市清單主檔'!B:AH,31,FALSE),"")=勤務統計!$D$1, IFERROR(VLOOKUP(A134,勤務統計!A:Q,17,FALSE),"")&lt;&gt;勤務統計!$D$1),
        AND(勤務統計!$E$1&lt;&gt;"--", IFERROR(VLOOKUP(A134,'0919門市清單主檔'!B:AH,32,FALSE),"")=勤務統計!$E$1, IFERROR(VLOOKUP(A134,勤務統計!A:S,19,FALSE),"")&lt;&gt;勤務統計!$E$1),
        AND(勤務統計!$F$1&lt;&gt;"--", IFERROR(VLOOKUP(A134,'0919門市清單主檔'!B:AH,33,FALSE),"")=勤務統計!$F$1, IFERROR(VLOOKUP(A134,勤務統計!A:U,21,FALSE),"")&lt;&gt;勤務統計!$F$1),
        AND(IFERROR(VLOOKUP(A134,'0919門市清單主檔'!B:AH,28,FALSE),"")="HUB", IFERROR(VLOOKUP(A134,勤務統計!A:W,23,FALSE),"")&lt;&gt;"HUB")
      ),
      _xlfn.TEXTJOIN(
        "，",
        TRUE,
        IF(AND(勤務統計!$D$1&lt;&gt;"--", IFERROR(VLOOKUP(A134,'0919門市清單主檔'!B:AH,31,FALSE),"")=勤務統計!$D$1, IFERROR(VLOOKUP(A134,勤務統計!A:Q,17,FALSE),"")&lt;&gt;勤務統計!$D$1), 勤務統計!$D$1, ""),
        IF(AND(勤務統計!$E$1&lt;&gt;"--", IFERROR(VLOOKUP(A134,'0919門市清單主檔'!B:AH,32,FALSE),"")=勤務統計!$E$1, IFERROR(VLOOKUP(A134,勤務統計!A:S,19,FALSE),"")&lt;&gt;勤務統計!$E$1), 勤務統計!$E$1, ""),
        IF(AND(勤務統計!$F$1&lt;&gt;"--", IFERROR(VLOOKUP(A134,'0919門市清單主檔'!B:AH,33,FALSE),"")=勤務統計!$F$1, IFERROR(VLOOKUP(A134,勤務統計!A:U,21,FALSE),"")&lt;&gt;勤務統計!$F$1), 勤務統計!$F$1, ""),
        IF(AND(IFERROR(VLOOKUP(A134,'0919門市清單主檔'!B:AH,28,FALSE),"")="HUB", IFERROR(VLOOKUP(A134,勤務統計!A:W,23,FALSE),"")&lt;&gt;"HUB"), "HUB", "")
      ) &amp; "未完工",
      "已完工"
    )
  )
)</f>
        <v>未完工</v>
      </c>
      <c r="P134" s="403" t="str">
        <f>(TEXT(I134,"yyyymmdd"))&amp;勤務統計!$V$2&amp;A134&amp;勤務統計!$V$2&amp;B134&amp;勤務統計!$S$2</f>
        <v>-4541-淡水海天店(定保)</v>
      </c>
      <c r="Q134" s="420" t="str">
        <f t="array" ref="Q134">IF(AND(SUMPRODUCT((IM!$F$2:$F$5000=A134)*(ISNUMBER(SEARCH(勤務統計!$D$1, IM!$AC$2:$AC$5000))))&gt;0), 勤務統計!$D$1, "")</f>
        <v/>
      </c>
      <c r="R134" s="421" t="str">
        <f t="array" ref="R134">IFERROR(INDEX(IM!$AM$2:$AM$5000, MATCH(1, (IM!$F$2:$F$5000=A134) * (ISNUMBER(SEARCH(勤務統計!$D$1, IM!$AC$2:$AC$5000))), 0)), "")</f>
        <v/>
      </c>
      <c r="S134" s="406" t="str" cm="1">
        <f t="array" ref="S134">IF(AND(SUMPRODUCT((IM!$F$2:$F$5000=A134)*(ISNUMBER(SEARCH(勤務統計!$E$1, IM!$AC$2:$AC$5000))))&gt;0), 勤務統計!$E$1, "")</f>
        <v>+L90</v>
      </c>
      <c r="T134" s="422">
        <f t="array" ref="T134">IFERROR(INDEX(IM!$AM$2:$AM$5000, MATCH(1, (IM!$F$2:$F$5000=A134) * (ISNUMBER(SEARCH(勤務統計!$E$1, IM!$AC$2:$AC$5000))), 0)), "")</f>
        <v>45964</v>
      </c>
      <c r="U134" s="406" t="str" cm="1">
        <f t="array" ref="U134">IF(AND(SUMPRODUCT((IM!$F$2:$F$5000=A134)*(ISNUMBER(SEARCH(勤務統計!$F$1, IM!$AC$2:$AC$5000))))&gt;0), 勤務統計!$F$1, "")</f>
        <v/>
      </c>
      <c r="V134" s="413" t="str">
        <f t="array" ref="V134">IFERROR(INDEX(IM!$AM$2:$AM$5000, MATCH(1, (IM!$F$2:$F$5000=A134) * (ISNUMBER(SEARCH(勤務統計!$F$1, IM!$AC$2:$AC$5000))), 0)), "")</f>
        <v/>
      </c>
      <c r="W134" s="414" t="str">
        <f>IF(VLOOKUP(A134,'0919門市清單主檔'!B:AC,28,FALSE)=0,"",VLOOKUP(A134,'0919門市清單主檔'!B:AC,28,FALSE))</f>
        <v/>
      </c>
    </row>
    <row r="135" spans="1:23" ht="21.6" customHeight="1">
      <c r="A135" s="423" t="s">
        <v>63</v>
      </c>
      <c r="B135" s="416" t="str">
        <f>VLOOKUP(A135,'0919門市清單主檔'!B:C,2,FALSE)</f>
        <v>三重車路頭</v>
      </c>
      <c r="C135" s="415" t="str">
        <f>VLOOKUP($A135,'0919門市清單主檔'!B:V,20,FALSE)</f>
        <v>新北市</v>
      </c>
      <c r="D135" s="410" t="str">
        <f>VLOOKUP($A135,'0919門市清單主檔'!B:V,21,FALSE)</f>
        <v>三重區</v>
      </c>
      <c r="E135" s="397" t="str">
        <f>VLOOKUP(D135,門市狀態!G:H,2,FALSE)</f>
        <v>劉柏均</v>
      </c>
      <c r="F135" s="410" t="str">
        <f>IFERROR(IF(VLOOKUP(A135,門市狀態!A:D,4,FALSE)=0,"",VLOOKUP(A135,門市狀態!A:D,4,FALSE)),"")</f>
        <v/>
      </c>
      <c r="G135" s="424"/>
      <c r="H135" s="425" t="str">
        <f>IF(I135&gt;0,(TEXT(I135,"yyyymmdd")&amp;勤務統計!$V$2&amp;A135&amp;勤務統計!$V$2&amp;B135&amp;勤務統計!$S$2),"")</f>
        <v>-D195-三重車路頭(定保)</v>
      </c>
      <c r="I135" s="247" t="str">
        <f t="array" ref="I135">IF(AND(SUMPRODUCT((IM!$F$2:$F$5000=A135)*(ISNUMBER(SEARCH(勤務統計!$C$1, IM!$AC$2:$AC$5000))))&gt;0), 勤務統計!$C$1, "")</f>
        <v/>
      </c>
      <c r="J135" s="399" t="str">
        <f t="array" ref="J135">IFERROR(INDEX(IM!$AM$2:$AM$5000, MATCH(1, (IM!$F$2:$F$5000=A135) * (ISNUMBER(SEARCH(勤務統計!$C$1, IM!$AC$2:$AC$5000))), 0)), "")</f>
        <v/>
      </c>
      <c r="K135" s="400">
        <f t="array" ref="K135">SUMPRODUCT((IM!$F$2:$F$5000=A135)*(IM!$AD$2:$AD$5000="O")*(ISNUMBER(SEARCH(勤務統計!$C$1, IM!$AC$2:$AC$5000))))</f>
        <v>0</v>
      </c>
      <c r="L135" s="401" t="str">
        <f t="array" ref="L135">IF(K135&gt;0,IFERROR(HYPERLINK("#'IM'!AC"&amp;MATCH(1,(IM!$F$1:$F$5000=A135)*(ISNUMBER(SEARCH(勤務統計!$C$1,IM!$AC$1:$AC$5000))),0),"檢核"),"未登錄"),"")</f>
        <v/>
      </c>
      <c r="M135" s="402" t="str">
        <f t="shared" si="2"/>
        <v>+L90</v>
      </c>
      <c r="N135" s="402" t="str">
        <f t="array" ref="N135">IF(AND(
    SUMPRODUCT(
        (IM!$F$2:$F$522=A135) *
        ISNUMBER(SEARCH("*HUB*", IM!$AC$2:$AC$522)) *
        (IM!$X$2:$X$522&gt;=勤務統計!$A$1) *
        (IM!$X$2:$X$522&lt;=勤務統計!$B$1)*(W135="HUB")
    ) &gt; 0
), "HUB", "")</f>
        <v/>
      </c>
      <c r="O135" s="400" t="str">
        <f>IF(
  IFERROR(VLOOKUP(A135,勤務統計!A:I,9,FALSE),"")&lt;&gt;勤務統計!$C$1,
  "未完工",
  IF(
    AND(勤務統計!$D$1="--",勤務統計!$E$1="--",勤務統計!$F$1="--"),
    "已完工",
    IF(
      OR(
        AND(勤務統計!$D$1&lt;&gt;"--", IFERROR(VLOOKUP(A135,'0919門市清單主檔'!B:AH,31,FALSE),"")=勤務統計!$D$1, IFERROR(VLOOKUP(A135,勤務統計!A:Q,17,FALSE),"")&lt;&gt;勤務統計!$D$1),
        AND(勤務統計!$E$1&lt;&gt;"--", IFERROR(VLOOKUP(A135,'0919門市清單主檔'!B:AH,32,FALSE),"")=勤務統計!$E$1, IFERROR(VLOOKUP(A135,勤務統計!A:S,19,FALSE),"")&lt;&gt;勤務統計!$E$1),
        AND(勤務統計!$F$1&lt;&gt;"--", IFERROR(VLOOKUP(A135,'0919門市清單主檔'!B:AH,33,FALSE),"")=勤務統計!$F$1, IFERROR(VLOOKUP(A135,勤務統計!A:U,21,FALSE),"")&lt;&gt;勤務統計!$F$1),
        AND(IFERROR(VLOOKUP(A135,'0919門市清單主檔'!B:AH,28,FALSE),"")="HUB", IFERROR(VLOOKUP(A135,勤務統計!A:W,23,FALSE),"")&lt;&gt;"HUB")
      ),
      _xlfn.TEXTJOIN(
        "，",
        TRUE,
        IF(AND(勤務統計!$D$1&lt;&gt;"--", IFERROR(VLOOKUP(A135,'0919門市清單主檔'!B:AH,31,FALSE),"")=勤務統計!$D$1, IFERROR(VLOOKUP(A135,勤務統計!A:Q,17,FALSE),"")&lt;&gt;勤務統計!$D$1), 勤務統計!$D$1, ""),
        IF(AND(勤務統計!$E$1&lt;&gt;"--", IFERROR(VLOOKUP(A135,'0919門市清單主檔'!B:AH,32,FALSE),"")=勤務統計!$E$1, IFERROR(VLOOKUP(A135,勤務統計!A:S,19,FALSE),"")&lt;&gt;勤務統計!$E$1), 勤務統計!$E$1, ""),
        IF(AND(勤務統計!$F$1&lt;&gt;"--", IFERROR(VLOOKUP(A135,'0919門市清單主檔'!B:AH,33,FALSE),"")=勤務統計!$F$1, IFERROR(VLOOKUP(A135,勤務統計!A:U,21,FALSE),"")&lt;&gt;勤務統計!$F$1), 勤務統計!$F$1, ""),
        IF(AND(IFERROR(VLOOKUP(A135,'0919門市清單主檔'!B:AH,28,FALSE),"")="HUB", IFERROR(VLOOKUP(A135,勤務統計!A:W,23,FALSE),"")&lt;&gt;"HUB"), "HUB", "")
      ) &amp; "未完工",
      "已完工"
    )
  )
)</f>
        <v>未完工</v>
      </c>
      <c r="P135" s="403" t="str">
        <f>(TEXT(I135,"yyyymmdd"))&amp;勤務統計!$V$2&amp;A135&amp;勤務統計!$V$2&amp;B135&amp;勤務統計!$S$2</f>
        <v>-D195-三重車路頭(定保)</v>
      </c>
      <c r="Q135" s="420" t="str">
        <f t="array" ref="Q135">IF(AND(SUMPRODUCT((IM!$F$2:$F$5000=A135)*(ISNUMBER(SEARCH(勤務統計!$D$1, IM!$AC$2:$AC$5000))))&gt;0), 勤務統計!$D$1, "")</f>
        <v/>
      </c>
      <c r="R135" s="421" t="str">
        <f t="array" ref="R135">IFERROR(INDEX(IM!$AM$2:$AM$5000, MATCH(1, (IM!$F$2:$F$5000=A135) * (ISNUMBER(SEARCH(勤務統計!$D$1, IM!$AC$2:$AC$5000))), 0)), "")</f>
        <v/>
      </c>
      <c r="S135" s="406" t="str" cm="1">
        <f t="array" ref="S135">IF(AND(SUMPRODUCT((IM!$F$2:$F$5000=A135)*(ISNUMBER(SEARCH(勤務統計!$E$1, IM!$AC$2:$AC$5000))))&gt;0), 勤務統計!$E$1, "")</f>
        <v>+L90</v>
      </c>
      <c r="T135" s="422">
        <f t="array" ref="T135">IFERROR(INDEX(IM!$AM$2:$AM$5000, MATCH(1, (IM!$F$2:$F$5000=A135) * (ISNUMBER(SEARCH(勤務統計!$E$1, IM!$AC$2:$AC$5000))), 0)), "")</f>
        <v>45964</v>
      </c>
      <c r="U135" s="406" t="str" cm="1">
        <f t="array" ref="U135">IF(AND(SUMPRODUCT((IM!$F$2:$F$5000=A135)*(ISNUMBER(SEARCH(勤務統計!$F$1, IM!$AC$2:$AC$5000))))&gt;0), 勤務統計!$F$1, "")</f>
        <v/>
      </c>
      <c r="V135" s="413" t="str">
        <f t="array" ref="V135">IFERROR(INDEX(IM!$AM$2:$AM$5000, MATCH(1, (IM!$F$2:$F$5000=A135) * (ISNUMBER(SEARCH(勤務統計!$F$1, IM!$AC$2:$AC$5000))), 0)), "")</f>
        <v/>
      </c>
      <c r="W135" s="414" t="str">
        <f>IF(VLOOKUP(A135,'0919門市清單主檔'!B:AC,28,FALSE)=0,"",VLOOKUP(A135,'0919門市清單主檔'!B:AC,28,FALSE))</f>
        <v/>
      </c>
    </row>
    <row r="136" spans="1:23" ht="21.6" customHeight="1">
      <c r="A136" s="423" t="s">
        <v>64</v>
      </c>
      <c r="B136" s="416" t="str">
        <f>VLOOKUP(A136,'0919門市清單主檔'!B:C,2,FALSE)</f>
        <v>三重福隆店</v>
      </c>
      <c r="C136" s="415" t="str">
        <f>VLOOKUP($A136,'0919門市清單主檔'!B:V,20,FALSE)</f>
        <v>新北市</v>
      </c>
      <c r="D136" s="410" t="str">
        <f>VLOOKUP($A136,'0919門市清單主檔'!B:V,21,FALSE)</f>
        <v>三重區</v>
      </c>
      <c r="E136" s="397" t="str">
        <f>VLOOKUP(D136,門市狀態!G:H,2,FALSE)</f>
        <v>劉柏均</v>
      </c>
      <c r="F136" s="410" t="str">
        <f>IFERROR(IF(VLOOKUP(A136,門市狀態!A:D,4,FALSE)=0,"",VLOOKUP(A136,門市狀態!A:D,4,FALSE)),"")</f>
        <v/>
      </c>
      <c r="G136" s="424"/>
      <c r="H136" s="425" t="str">
        <f>IF(I136&gt;0,(TEXT(I136,"yyyymmdd")&amp;勤務統計!$V$2&amp;A136&amp;勤務統計!$V$2&amp;B136&amp;勤務統計!$S$2),"")</f>
        <v>-D620-三重福隆店(定保)</v>
      </c>
      <c r="I136" s="247" t="str">
        <f t="array" ref="I136">IF(AND(SUMPRODUCT((IM!$F$2:$F$5000=A136)*(ISNUMBER(SEARCH(勤務統計!$C$1, IM!$AC$2:$AC$5000))))&gt;0), 勤務統計!$C$1, "")</f>
        <v/>
      </c>
      <c r="J136" s="399" t="str">
        <f t="array" ref="J136">IFERROR(INDEX(IM!$AM$2:$AM$5000, MATCH(1, (IM!$F$2:$F$5000=A136) * (ISNUMBER(SEARCH(勤務統計!$C$1, IM!$AC$2:$AC$5000))), 0)), "")</f>
        <v/>
      </c>
      <c r="K136" s="400">
        <f t="array" ref="K136">SUMPRODUCT((IM!$F$2:$F$5000=A136)*(IM!$AD$2:$AD$5000="O")*(ISNUMBER(SEARCH(勤務統計!$C$1, IM!$AC$2:$AC$5000))))</f>
        <v>0</v>
      </c>
      <c r="L136" s="401" t="str">
        <f t="array" ref="L136">IF(K136&gt;0,IFERROR(HYPERLINK("#'IM'!AC"&amp;MATCH(1,(IM!$F$1:$F$5000=A136)*(ISNUMBER(SEARCH(勤務統計!$C$1,IM!$AC$1:$AC$5000))),0),"檢核"),"未登錄"),"")</f>
        <v/>
      </c>
      <c r="M136" s="402" t="str">
        <f t="shared" si="2"/>
        <v>+L90</v>
      </c>
      <c r="N136" s="402" t="str">
        <f t="array" ref="N136">IF(AND(
    SUMPRODUCT(
        (IM!$F$2:$F$522=A136) *
        ISNUMBER(SEARCH("*HUB*", IM!$AC$2:$AC$522)) *
        (IM!$X$2:$X$522&gt;=勤務統計!$A$1) *
        (IM!$X$2:$X$522&lt;=勤務統計!$B$1)*(W136="HUB")
    ) &gt; 0
), "HUB", "")</f>
        <v/>
      </c>
      <c r="O136" s="400" t="str">
        <f>IF(
  IFERROR(VLOOKUP(A136,勤務統計!A:I,9,FALSE),"")&lt;&gt;勤務統計!$C$1,
  "未完工",
  IF(
    AND(勤務統計!$D$1="--",勤務統計!$E$1="--",勤務統計!$F$1="--"),
    "已完工",
    IF(
      OR(
        AND(勤務統計!$D$1&lt;&gt;"--", IFERROR(VLOOKUP(A136,'0919門市清單主檔'!B:AH,31,FALSE),"")=勤務統計!$D$1, IFERROR(VLOOKUP(A136,勤務統計!A:Q,17,FALSE),"")&lt;&gt;勤務統計!$D$1),
        AND(勤務統計!$E$1&lt;&gt;"--", IFERROR(VLOOKUP(A136,'0919門市清單主檔'!B:AH,32,FALSE),"")=勤務統計!$E$1, IFERROR(VLOOKUP(A136,勤務統計!A:S,19,FALSE),"")&lt;&gt;勤務統計!$E$1),
        AND(勤務統計!$F$1&lt;&gt;"--", IFERROR(VLOOKUP(A136,'0919門市清單主檔'!B:AH,33,FALSE),"")=勤務統計!$F$1, IFERROR(VLOOKUP(A136,勤務統計!A:U,21,FALSE),"")&lt;&gt;勤務統計!$F$1),
        AND(IFERROR(VLOOKUP(A136,'0919門市清單主檔'!B:AH,28,FALSE),"")="HUB", IFERROR(VLOOKUP(A136,勤務統計!A:W,23,FALSE),"")&lt;&gt;"HUB")
      ),
      _xlfn.TEXTJOIN(
        "，",
        TRUE,
        IF(AND(勤務統計!$D$1&lt;&gt;"--", IFERROR(VLOOKUP(A136,'0919門市清單主檔'!B:AH,31,FALSE),"")=勤務統計!$D$1, IFERROR(VLOOKUP(A136,勤務統計!A:Q,17,FALSE),"")&lt;&gt;勤務統計!$D$1), 勤務統計!$D$1, ""),
        IF(AND(勤務統計!$E$1&lt;&gt;"--", IFERROR(VLOOKUP(A136,'0919門市清單主檔'!B:AH,32,FALSE),"")=勤務統計!$E$1, IFERROR(VLOOKUP(A136,勤務統計!A:S,19,FALSE),"")&lt;&gt;勤務統計!$E$1), 勤務統計!$E$1, ""),
        IF(AND(勤務統計!$F$1&lt;&gt;"--", IFERROR(VLOOKUP(A136,'0919門市清單主檔'!B:AH,33,FALSE),"")=勤務統計!$F$1, IFERROR(VLOOKUP(A136,勤務統計!A:U,21,FALSE),"")&lt;&gt;勤務統計!$F$1), 勤務統計!$F$1, ""),
        IF(AND(IFERROR(VLOOKUP(A136,'0919門市清單主檔'!B:AH,28,FALSE),"")="HUB", IFERROR(VLOOKUP(A136,勤務統計!A:W,23,FALSE),"")&lt;&gt;"HUB"), "HUB", "")
      ) &amp; "未完工",
      "已完工"
    )
  )
)</f>
        <v>未完工</v>
      </c>
      <c r="P136" s="403" t="str">
        <f>(TEXT(I136,"yyyymmdd"))&amp;勤務統計!$V$2&amp;A136&amp;勤務統計!$V$2&amp;B136&amp;勤務統計!$S$2</f>
        <v>-D620-三重福隆店(定保)</v>
      </c>
      <c r="Q136" s="420" t="str">
        <f t="array" ref="Q136">IF(AND(SUMPRODUCT((IM!$F$2:$F$5000=A136)*(ISNUMBER(SEARCH(勤務統計!$D$1, IM!$AC$2:$AC$5000))))&gt;0), 勤務統計!$D$1, "")</f>
        <v/>
      </c>
      <c r="R136" s="421" t="str">
        <f t="array" ref="R136">IFERROR(INDEX(IM!$AM$2:$AM$5000, MATCH(1, (IM!$F$2:$F$5000=A136) * (ISNUMBER(SEARCH(勤務統計!$D$1, IM!$AC$2:$AC$5000))), 0)), "")</f>
        <v/>
      </c>
      <c r="S136" s="406" t="str" cm="1">
        <f t="array" ref="S136">IF(AND(SUMPRODUCT((IM!$F$2:$F$5000=A136)*(ISNUMBER(SEARCH(勤務統計!$E$1, IM!$AC$2:$AC$5000))))&gt;0), 勤務統計!$E$1, "")</f>
        <v>+L90</v>
      </c>
      <c r="T136" s="422">
        <f t="array" ref="T136">IFERROR(INDEX(IM!$AM$2:$AM$5000, MATCH(1, (IM!$F$2:$F$5000=A136) * (ISNUMBER(SEARCH(勤務統計!$E$1, IM!$AC$2:$AC$5000))), 0)), "")</f>
        <v>45966</v>
      </c>
      <c r="U136" s="406" t="str" cm="1">
        <f t="array" ref="U136">IF(AND(SUMPRODUCT((IM!$F$2:$F$5000=A136)*(ISNUMBER(SEARCH(勤務統計!$F$1, IM!$AC$2:$AC$5000))))&gt;0), 勤務統計!$F$1, "")</f>
        <v/>
      </c>
      <c r="V136" s="413" t="str">
        <f t="array" ref="V136">IFERROR(INDEX(IM!$AM$2:$AM$5000, MATCH(1, (IM!$F$2:$F$5000=A136) * (ISNUMBER(SEARCH(勤務統計!$F$1, IM!$AC$2:$AC$5000))), 0)), "")</f>
        <v/>
      </c>
      <c r="W136" s="414" t="str">
        <f>IF(VLOOKUP(A136,'0919門市清單主檔'!B:AC,28,FALSE)=0,"",VLOOKUP(A136,'0919門市清單主檔'!B:AC,28,FALSE))</f>
        <v/>
      </c>
    </row>
    <row r="137" spans="1:23" ht="21.6" customHeight="1">
      <c r="A137" s="423" t="s">
        <v>65</v>
      </c>
      <c r="B137" s="416" t="str">
        <f>VLOOKUP(A137,'0919門市清單主檔'!B:C,2,FALSE)</f>
        <v>三重中興北</v>
      </c>
      <c r="C137" s="415" t="str">
        <f>VLOOKUP($A137,'0919門市清單主檔'!B:V,20,FALSE)</f>
        <v>新北市</v>
      </c>
      <c r="D137" s="410" t="str">
        <f>VLOOKUP($A137,'0919門市清單主檔'!B:V,21,FALSE)</f>
        <v>三重區</v>
      </c>
      <c r="E137" s="397" t="str">
        <f>VLOOKUP(D137,門市狀態!G:H,2,FALSE)</f>
        <v>劉柏均</v>
      </c>
      <c r="F137" s="410" t="str">
        <f>IFERROR(IF(VLOOKUP(A137,門市狀態!A:D,4,FALSE)=0,"",VLOOKUP(A137,門市狀態!A:D,4,FALSE)),"")</f>
        <v/>
      </c>
      <c r="G137" s="424"/>
      <c r="H137" s="425" t="str">
        <f>IF(I137&gt;0,(TEXT(I137,"yyyymmdd")&amp;勤務統計!$V$2&amp;A137&amp;勤務統計!$V$2&amp;B137&amp;勤務統計!$S$2),"")</f>
        <v>-D087-三重中興北(定保)</v>
      </c>
      <c r="I137" s="247" t="str">
        <f t="array" ref="I137">IF(AND(SUMPRODUCT((IM!$F$2:$F$5000=A137)*(ISNUMBER(SEARCH(勤務統計!$C$1, IM!$AC$2:$AC$5000))))&gt;0), 勤務統計!$C$1, "")</f>
        <v/>
      </c>
      <c r="J137" s="399" t="str">
        <f t="array" ref="J137">IFERROR(INDEX(IM!$AM$2:$AM$5000, MATCH(1, (IM!$F$2:$F$5000=A137) * (ISNUMBER(SEARCH(勤務統計!$C$1, IM!$AC$2:$AC$5000))), 0)), "")</f>
        <v/>
      </c>
      <c r="K137" s="400">
        <f t="array" ref="K137">SUMPRODUCT((IM!$F$2:$F$5000=A137)*(IM!$AD$2:$AD$5000="O")*(ISNUMBER(SEARCH(勤務統計!$C$1, IM!$AC$2:$AC$5000))))</f>
        <v>0</v>
      </c>
      <c r="L137" s="401" t="str">
        <f t="array" ref="L137">IF(K137&gt;0,IFERROR(HYPERLINK("#'IM'!AC"&amp;MATCH(1,(IM!$F$1:$F$5000=A137)*(ISNUMBER(SEARCH(勤務統計!$C$1,IM!$AC$1:$AC$5000))),0),"檢核"),"未登錄"),"")</f>
        <v/>
      </c>
      <c r="M137" s="402" t="str">
        <f t="shared" si="2"/>
        <v>+L90</v>
      </c>
      <c r="N137" s="402" t="str">
        <f t="array" ref="N137">IF(AND(
    SUMPRODUCT(
        (IM!$F$2:$F$522=A137) *
        ISNUMBER(SEARCH("*HUB*", IM!$AC$2:$AC$522)) *
        (IM!$X$2:$X$522&gt;=勤務統計!$A$1) *
        (IM!$X$2:$X$522&lt;=勤務統計!$B$1)*(W137="HUB")
    ) &gt; 0
), "HUB", "")</f>
        <v/>
      </c>
      <c r="O137" s="400" t="str">
        <f>IF(
  IFERROR(VLOOKUP(A137,勤務統計!A:I,9,FALSE),"")&lt;&gt;勤務統計!$C$1,
  "未完工",
  IF(
    AND(勤務統計!$D$1="--",勤務統計!$E$1="--",勤務統計!$F$1="--"),
    "已完工",
    IF(
      OR(
        AND(勤務統計!$D$1&lt;&gt;"--", IFERROR(VLOOKUP(A137,'0919門市清單主檔'!B:AH,31,FALSE),"")=勤務統計!$D$1, IFERROR(VLOOKUP(A137,勤務統計!A:Q,17,FALSE),"")&lt;&gt;勤務統計!$D$1),
        AND(勤務統計!$E$1&lt;&gt;"--", IFERROR(VLOOKUP(A137,'0919門市清單主檔'!B:AH,32,FALSE),"")=勤務統計!$E$1, IFERROR(VLOOKUP(A137,勤務統計!A:S,19,FALSE),"")&lt;&gt;勤務統計!$E$1),
        AND(勤務統計!$F$1&lt;&gt;"--", IFERROR(VLOOKUP(A137,'0919門市清單主檔'!B:AH,33,FALSE),"")=勤務統計!$F$1, IFERROR(VLOOKUP(A137,勤務統計!A:U,21,FALSE),"")&lt;&gt;勤務統計!$F$1),
        AND(IFERROR(VLOOKUP(A137,'0919門市清單主檔'!B:AH,28,FALSE),"")="HUB", IFERROR(VLOOKUP(A137,勤務統計!A:W,23,FALSE),"")&lt;&gt;"HUB")
      ),
      _xlfn.TEXTJOIN(
        "，",
        TRUE,
        IF(AND(勤務統計!$D$1&lt;&gt;"--", IFERROR(VLOOKUP(A137,'0919門市清單主檔'!B:AH,31,FALSE),"")=勤務統計!$D$1, IFERROR(VLOOKUP(A137,勤務統計!A:Q,17,FALSE),"")&lt;&gt;勤務統計!$D$1), 勤務統計!$D$1, ""),
        IF(AND(勤務統計!$E$1&lt;&gt;"--", IFERROR(VLOOKUP(A137,'0919門市清單主檔'!B:AH,32,FALSE),"")=勤務統計!$E$1, IFERROR(VLOOKUP(A137,勤務統計!A:S,19,FALSE),"")&lt;&gt;勤務統計!$E$1), 勤務統計!$E$1, ""),
        IF(AND(勤務統計!$F$1&lt;&gt;"--", IFERROR(VLOOKUP(A137,'0919門市清單主檔'!B:AH,33,FALSE),"")=勤務統計!$F$1, IFERROR(VLOOKUP(A137,勤務統計!A:U,21,FALSE),"")&lt;&gt;勤務統計!$F$1), 勤務統計!$F$1, ""),
        IF(AND(IFERROR(VLOOKUP(A137,'0919門市清單主檔'!B:AH,28,FALSE),"")="HUB", IFERROR(VLOOKUP(A137,勤務統計!A:W,23,FALSE),"")&lt;&gt;"HUB"), "HUB", "")
      ) &amp; "未完工",
      "已完工"
    )
  )
)</f>
        <v>未完工</v>
      </c>
      <c r="P137" s="403" t="str">
        <f>(TEXT(I137,"yyyymmdd"))&amp;勤務統計!$V$2&amp;A137&amp;勤務統計!$V$2&amp;B137&amp;勤務統計!$S$2</f>
        <v>-D087-三重中興北(定保)</v>
      </c>
      <c r="Q137" s="420" t="str">
        <f t="array" ref="Q137">IF(AND(SUMPRODUCT((IM!$F$2:$F$5000=A137)*(ISNUMBER(SEARCH(勤務統計!$D$1, IM!$AC$2:$AC$5000))))&gt;0), 勤務統計!$D$1, "")</f>
        <v/>
      </c>
      <c r="R137" s="421" t="str">
        <f t="array" ref="R137">IFERROR(INDEX(IM!$AM$2:$AM$5000, MATCH(1, (IM!$F$2:$F$5000=A137) * (ISNUMBER(SEARCH(勤務統計!$D$1, IM!$AC$2:$AC$5000))), 0)), "")</f>
        <v/>
      </c>
      <c r="S137" s="406" t="str" cm="1">
        <f t="array" ref="S137">IF(AND(SUMPRODUCT((IM!$F$2:$F$5000=A137)*(ISNUMBER(SEARCH(勤務統計!$E$1, IM!$AC$2:$AC$5000))))&gt;0), 勤務統計!$E$1, "")</f>
        <v>+L90</v>
      </c>
      <c r="T137" s="422">
        <f t="array" ref="T137">IFERROR(INDEX(IM!$AM$2:$AM$5000, MATCH(1, (IM!$F$2:$F$5000=A137) * (ISNUMBER(SEARCH(勤務統計!$E$1, IM!$AC$2:$AC$5000))), 0)), "")</f>
        <v>45966</v>
      </c>
      <c r="U137" s="406" t="str" cm="1">
        <f t="array" ref="U137">IF(AND(SUMPRODUCT((IM!$F$2:$F$5000=A137)*(ISNUMBER(SEARCH(勤務統計!$F$1, IM!$AC$2:$AC$5000))))&gt;0), 勤務統計!$F$1, "")</f>
        <v/>
      </c>
      <c r="V137" s="413" t="str">
        <f t="array" ref="V137">IFERROR(INDEX(IM!$AM$2:$AM$5000, MATCH(1, (IM!$F$2:$F$5000=A137) * (ISNUMBER(SEARCH(勤務統計!$F$1, IM!$AC$2:$AC$5000))), 0)), "")</f>
        <v/>
      </c>
      <c r="W137" s="414" t="str">
        <f>IF(VLOOKUP(A137,'0919門市清單主檔'!B:AC,28,FALSE)=0,"",VLOOKUP(A137,'0919門市清單主檔'!B:AC,28,FALSE))</f>
        <v/>
      </c>
    </row>
    <row r="138" spans="1:23" ht="21.6" customHeight="1">
      <c r="A138" s="423">
        <v>4977</v>
      </c>
      <c r="B138" s="416" t="str">
        <f>VLOOKUP(A138,'0919門市清單主檔'!B:C,2,FALSE)</f>
        <v>三重初戀店</v>
      </c>
      <c r="C138" s="415" t="str">
        <f>VLOOKUP($A138,'0919門市清單主檔'!B:V,20,FALSE)</f>
        <v>新北市</v>
      </c>
      <c r="D138" s="410" t="str">
        <f>VLOOKUP($A138,'0919門市清單主檔'!B:V,21,FALSE)</f>
        <v>三重區</v>
      </c>
      <c r="E138" s="397" t="str">
        <f>VLOOKUP(D138,門市狀態!G:H,2,FALSE)</f>
        <v>劉柏均</v>
      </c>
      <c r="F138" s="410" t="str">
        <f>IFERROR(IF(VLOOKUP(A138,門市狀態!A:D,4,FALSE)=0,"",VLOOKUP(A138,門市狀態!A:D,4,FALSE)),"")</f>
        <v/>
      </c>
      <c r="G138" s="424"/>
      <c r="H138" s="425" t="str">
        <f>IF(I138&gt;0,(TEXT(I138,"yyyymmdd")&amp;勤務統計!$V$2&amp;A138&amp;勤務統計!$V$2&amp;B138&amp;勤務統計!$S$2),"")</f>
        <v>-4977-三重初戀店(定保)</v>
      </c>
      <c r="I138" s="247" t="str">
        <f t="array" ref="I138">IF(AND(SUMPRODUCT((IM!$F$2:$F$5000=A138)*(ISNUMBER(SEARCH(勤務統計!$C$1, IM!$AC$2:$AC$5000))))&gt;0), 勤務統計!$C$1, "")</f>
        <v/>
      </c>
      <c r="J138" s="399" t="str">
        <f t="array" ref="J138">IFERROR(INDEX(IM!$AM$2:$AM$5000, MATCH(1, (IM!$F$2:$F$5000=A138) * (ISNUMBER(SEARCH(勤務統計!$C$1, IM!$AC$2:$AC$5000))), 0)), "")</f>
        <v/>
      </c>
      <c r="K138" s="400">
        <f t="array" ref="K138">SUMPRODUCT((IM!$F$2:$F$5000=A138)*(IM!$AD$2:$AD$5000="O")*(ISNUMBER(SEARCH(勤務統計!$C$1, IM!$AC$2:$AC$5000))))</f>
        <v>0</v>
      </c>
      <c r="L138" s="401" t="str">
        <f t="array" ref="L138">IF(K138&gt;0,IFERROR(HYPERLINK("#'IM'!AC"&amp;MATCH(1,(IM!$F$1:$F$5000=A138)*(ISNUMBER(SEARCH(勤務統計!$C$1,IM!$AC$1:$AC$5000))),0),"檢核"),"未登錄"),"")</f>
        <v/>
      </c>
      <c r="M138" s="402" t="str">
        <f t="shared" si="2"/>
        <v>+L90</v>
      </c>
      <c r="N138" s="402" t="str">
        <f t="array" ref="N138">IF(AND(
    SUMPRODUCT(
        (IM!$F$2:$F$522=A138) *
        ISNUMBER(SEARCH("*HUB*", IM!$AC$2:$AC$522)) *
        (IM!$X$2:$X$522&gt;=勤務統計!$A$1) *
        (IM!$X$2:$X$522&lt;=勤務統計!$B$1)*(W138="HUB")
    ) &gt; 0
), "HUB", "")</f>
        <v/>
      </c>
      <c r="O138" s="400" t="str">
        <f>IF(
  IFERROR(VLOOKUP(A138,勤務統計!A:I,9,FALSE),"")&lt;&gt;勤務統計!$C$1,
  "未完工",
  IF(
    AND(勤務統計!$D$1="--",勤務統計!$E$1="--",勤務統計!$F$1="--"),
    "已完工",
    IF(
      OR(
        AND(勤務統計!$D$1&lt;&gt;"--", IFERROR(VLOOKUP(A138,'0919門市清單主檔'!B:AH,31,FALSE),"")=勤務統計!$D$1, IFERROR(VLOOKUP(A138,勤務統計!A:Q,17,FALSE),"")&lt;&gt;勤務統計!$D$1),
        AND(勤務統計!$E$1&lt;&gt;"--", IFERROR(VLOOKUP(A138,'0919門市清單主檔'!B:AH,32,FALSE),"")=勤務統計!$E$1, IFERROR(VLOOKUP(A138,勤務統計!A:S,19,FALSE),"")&lt;&gt;勤務統計!$E$1),
        AND(勤務統計!$F$1&lt;&gt;"--", IFERROR(VLOOKUP(A138,'0919門市清單主檔'!B:AH,33,FALSE),"")=勤務統計!$F$1, IFERROR(VLOOKUP(A138,勤務統計!A:U,21,FALSE),"")&lt;&gt;勤務統計!$F$1),
        AND(IFERROR(VLOOKUP(A138,'0919門市清單主檔'!B:AH,28,FALSE),"")="HUB", IFERROR(VLOOKUP(A138,勤務統計!A:W,23,FALSE),"")&lt;&gt;"HUB")
      ),
      _xlfn.TEXTJOIN(
        "，",
        TRUE,
        IF(AND(勤務統計!$D$1&lt;&gt;"--", IFERROR(VLOOKUP(A138,'0919門市清單主檔'!B:AH,31,FALSE),"")=勤務統計!$D$1, IFERROR(VLOOKUP(A138,勤務統計!A:Q,17,FALSE),"")&lt;&gt;勤務統計!$D$1), 勤務統計!$D$1, ""),
        IF(AND(勤務統計!$E$1&lt;&gt;"--", IFERROR(VLOOKUP(A138,'0919門市清單主檔'!B:AH,32,FALSE),"")=勤務統計!$E$1, IFERROR(VLOOKUP(A138,勤務統計!A:S,19,FALSE),"")&lt;&gt;勤務統計!$E$1), 勤務統計!$E$1, ""),
        IF(AND(勤務統計!$F$1&lt;&gt;"--", IFERROR(VLOOKUP(A138,'0919門市清單主檔'!B:AH,33,FALSE),"")=勤務統計!$F$1, IFERROR(VLOOKUP(A138,勤務統計!A:U,21,FALSE),"")&lt;&gt;勤務統計!$F$1), 勤務統計!$F$1, ""),
        IF(AND(IFERROR(VLOOKUP(A138,'0919門市清單主檔'!B:AH,28,FALSE),"")="HUB", IFERROR(VLOOKUP(A138,勤務統計!A:W,23,FALSE),"")&lt;&gt;"HUB"), "HUB", "")
      ) &amp; "未完工",
      "已完工"
    )
  )
)</f>
        <v>未完工</v>
      </c>
      <c r="P138" s="403" t="str">
        <f>(TEXT(I138,"yyyymmdd"))&amp;勤務統計!$V$2&amp;A138&amp;勤務統計!$V$2&amp;B138&amp;勤務統計!$S$2</f>
        <v>-4977-三重初戀店(定保)</v>
      </c>
      <c r="Q138" s="420" t="str">
        <f t="array" ref="Q138">IF(AND(SUMPRODUCT((IM!$F$2:$F$5000=A138)*(ISNUMBER(SEARCH(勤務統計!$D$1, IM!$AC$2:$AC$5000))))&gt;0), 勤務統計!$D$1, "")</f>
        <v/>
      </c>
      <c r="R138" s="421" t="str">
        <f t="array" ref="R138">IFERROR(INDEX(IM!$AM$2:$AM$5000, MATCH(1, (IM!$F$2:$F$5000=A138) * (ISNUMBER(SEARCH(勤務統計!$D$1, IM!$AC$2:$AC$5000))), 0)), "")</f>
        <v/>
      </c>
      <c r="S138" s="406" t="str" cm="1">
        <f t="array" ref="S138">IF(AND(SUMPRODUCT((IM!$F$2:$F$5000=A138)*(ISNUMBER(SEARCH(勤務統計!$E$1, IM!$AC$2:$AC$5000))))&gt;0), 勤務統計!$E$1, "")</f>
        <v>+L90</v>
      </c>
      <c r="T138" s="422">
        <f t="array" ref="T138">IFERROR(INDEX(IM!$AM$2:$AM$5000, MATCH(1, (IM!$F$2:$F$5000=A138) * (ISNUMBER(SEARCH(勤務統計!$E$1, IM!$AC$2:$AC$5000))), 0)), "")</f>
        <v>45966</v>
      </c>
      <c r="U138" s="406" t="str" cm="1">
        <f t="array" ref="U138">IF(AND(SUMPRODUCT((IM!$F$2:$F$5000=A138)*(ISNUMBER(SEARCH(勤務統計!$F$1, IM!$AC$2:$AC$5000))))&gt;0), 勤務統計!$F$1, "")</f>
        <v/>
      </c>
      <c r="V138" s="413" t="str">
        <f t="array" ref="V138">IFERROR(INDEX(IM!$AM$2:$AM$5000, MATCH(1, (IM!$F$2:$F$5000=A138) * (ISNUMBER(SEARCH(勤務統計!$F$1, IM!$AC$2:$AC$5000))), 0)), "")</f>
        <v/>
      </c>
      <c r="W138" s="414" t="str">
        <f>IF(VLOOKUP(A138,'0919門市清單主檔'!B:AC,28,FALSE)=0,"",VLOOKUP(A138,'0919門市清單主檔'!B:AC,28,FALSE))</f>
        <v/>
      </c>
    </row>
    <row r="139" spans="1:23" ht="21.6" customHeight="1">
      <c r="A139" s="423">
        <v>5316</v>
      </c>
      <c r="B139" s="416" t="str">
        <f>VLOOKUP(A139,'0919門市清單主檔'!B:C,2,FALSE)</f>
        <v>三重五常店</v>
      </c>
      <c r="C139" s="415" t="str">
        <f>VLOOKUP($A139,'0919門市清單主檔'!B:V,20,FALSE)</f>
        <v>新北市</v>
      </c>
      <c r="D139" s="410" t="str">
        <f>VLOOKUP($A139,'0919門市清單主檔'!B:V,21,FALSE)</f>
        <v>三重區</v>
      </c>
      <c r="E139" s="397" t="str">
        <f>VLOOKUP(D139,門市狀態!G:H,2,FALSE)</f>
        <v>劉柏均</v>
      </c>
      <c r="F139" s="410" t="str">
        <f>IFERROR(IF(VLOOKUP(A139,門市狀態!A:D,4,FALSE)=0,"",VLOOKUP(A139,門市狀態!A:D,4,FALSE)),"")</f>
        <v/>
      </c>
      <c r="G139" s="424"/>
      <c r="H139" s="425" t="str">
        <f>IF(I139&gt;0,(TEXT(I139,"yyyymmdd")&amp;勤務統計!$V$2&amp;A139&amp;勤務統計!$V$2&amp;B139&amp;勤務統計!$S$2),"")</f>
        <v>-5316-三重五常店(定保)</v>
      </c>
      <c r="I139" s="247" t="str">
        <f t="array" ref="I139">IF(AND(SUMPRODUCT((IM!$F$2:$F$5000=A139)*(ISNUMBER(SEARCH(勤務統計!$C$1, IM!$AC$2:$AC$5000))))&gt;0), 勤務統計!$C$1, "")</f>
        <v/>
      </c>
      <c r="J139" s="399" t="str">
        <f t="array" ref="J139">IFERROR(INDEX(IM!$AM$2:$AM$5000, MATCH(1, (IM!$F$2:$F$5000=A139) * (ISNUMBER(SEARCH(勤務統計!$C$1, IM!$AC$2:$AC$5000))), 0)), "")</f>
        <v/>
      </c>
      <c r="K139" s="400">
        <f t="array" ref="K139">SUMPRODUCT((IM!$F$2:$F$5000=A139)*(IM!$AD$2:$AD$5000="O")*(ISNUMBER(SEARCH(勤務統計!$C$1, IM!$AC$2:$AC$5000))))</f>
        <v>0</v>
      </c>
      <c r="L139" s="401" t="str">
        <f t="array" ref="L139">IF(K139&gt;0,IFERROR(HYPERLINK("#'IM'!AC"&amp;MATCH(1,(IM!$F$1:$F$5000=A139)*(ISNUMBER(SEARCH(勤務統計!$C$1,IM!$AC$1:$AC$5000))),0),"檢核"),"未登錄"),"")</f>
        <v/>
      </c>
      <c r="M139" s="402" t="str">
        <f t="shared" si="2"/>
        <v>+L90</v>
      </c>
      <c r="N139" s="402" t="str">
        <f t="array" ref="N139">IF(AND(
    SUMPRODUCT(
        (IM!$F$2:$F$522=A139) *
        ISNUMBER(SEARCH("*HUB*", IM!$AC$2:$AC$522)) *
        (IM!$X$2:$X$522&gt;=勤務統計!$A$1) *
        (IM!$X$2:$X$522&lt;=勤務統計!$B$1)*(W139="HUB")
    ) &gt; 0
), "HUB", "")</f>
        <v/>
      </c>
      <c r="O139" s="400" t="str">
        <f>IF(
  IFERROR(VLOOKUP(A139,勤務統計!A:I,9,FALSE),"")&lt;&gt;勤務統計!$C$1,
  "未完工",
  IF(
    AND(勤務統計!$D$1="--",勤務統計!$E$1="--",勤務統計!$F$1="--"),
    "已完工",
    IF(
      OR(
        AND(勤務統計!$D$1&lt;&gt;"--", IFERROR(VLOOKUP(A139,'0919門市清單主檔'!B:AH,31,FALSE),"")=勤務統計!$D$1, IFERROR(VLOOKUP(A139,勤務統計!A:Q,17,FALSE),"")&lt;&gt;勤務統計!$D$1),
        AND(勤務統計!$E$1&lt;&gt;"--", IFERROR(VLOOKUP(A139,'0919門市清單主檔'!B:AH,32,FALSE),"")=勤務統計!$E$1, IFERROR(VLOOKUP(A139,勤務統計!A:S,19,FALSE),"")&lt;&gt;勤務統計!$E$1),
        AND(勤務統計!$F$1&lt;&gt;"--", IFERROR(VLOOKUP(A139,'0919門市清單主檔'!B:AH,33,FALSE),"")=勤務統計!$F$1, IFERROR(VLOOKUP(A139,勤務統計!A:U,21,FALSE),"")&lt;&gt;勤務統計!$F$1),
        AND(IFERROR(VLOOKUP(A139,'0919門市清單主檔'!B:AH,28,FALSE),"")="HUB", IFERROR(VLOOKUP(A139,勤務統計!A:W,23,FALSE),"")&lt;&gt;"HUB")
      ),
      _xlfn.TEXTJOIN(
        "，",
        TRUE,
        IF(AND(勤務統計!$D$1&lt;&gt;"--", IFERROR(VLOOKUP(A139,'0919門市清單主檔'!B:AH,31,FALSE),"")=勤務統計!$D$1, IFERROR(VLOOKUP(A139,勤務統計!A:Q,17,FALSE),"")&lt;&gt;勤務統計!$D$1), 勤務統計!$D$1, ""),
        IF(AND(勤務統計!$E$1&lt;&gt;"--", IFERROR(VLOOKUP(A139,'0919門市清單主檔'!B:AH,32,FALSE),"")=勤務統計!$E$1, IFERROR(VLOOKUP(A139,勤務統計!A:S,19,FALSE),"")&lt;&gt;勤務統計!$E$1), 勤務統計!$E$1, ""),
        IF(AND(勤務統計!$F$1&lt;&gt;"--", IFERROR(VLOOKUP(A139,'0919門市清單主檔'!B:AH,33,FALSE),"")=勤務統計!$F$1, IFERROR(VLOOKUP(A139,勤務統計!A:U,21,FALSE),"")&lt;&gt;勤務統計!$F$1), 勤務統計!$F$1, ""),
        IF(AND(IFERROR(VLOOKUP(A139,'0919門市清單主檔'!B:AH,28,FALSE),"")="HUB", IFERROR(VLOOKUP(A139,勤務統計!A:W,23,FALSE),"")&lt;&gt;"HUB"), "HUB", "")
      ) &amp; "未完工",
      "已完工"
    )
  )
)</f>
        <v>未完工</v>
      </c>
      <c r="P139" s="403" t="str">
        <f>(TEXT(I139,"yyyymmdd"))&amp;勤務統計!$V$2&amp;A139&amp;勤務統計!$V$2&amp;B139&amp;勤務統計!$S$2</f>
        <v>-5316-三重五常店(定保)</v>
      </c>
      <c r="Q139" s="420" t="str">
        <f t="array" ref="Q139">IF(AND(SUMPRODUCT((IM!$F$2:$F$5000=A139)*(ISNUMBER(SEARCH(勤務統計!$D$1, IM!$AC$2:$AC$5000))))&gt;0), 勤務統計!$D$1, "")</f>
        <v/>
      </c>
      <c r="R139" s="421" t="str">
        <f t="array" ref="R139">IFERROR(INDEX(IM!$AM$2:$AM$5000, MATCH(1, (IM!$F$2:$F$5000=A139) * (ISNUMBER(SEARCH(勤務統計!$D$1, IM!$AC$2:$AC$5000))), 0)), "")</f>
        <v/>
      </c>
      <c r="S139" s="406" t="str" cm="1">
        <f t="array" ref="S139">IF(AND(SUMPRODUCT((IM!$F$2:$F$5000=A139)*(ISNUMBER(SEARCH(勤務統計!$E$1, IM!$AC$2:$AC$5000))))&gt;0), 勤務統計!$E$1, "")</f>
        <v>+L90</v>
      </c>
      <c r="T139" s="422">
        <f t="array" ref="T139">IFERROR(INDEX(IM!$AM$2:$AM$5000, MATCH(1, (IM!$F$2:$F$5000=A139) * (ISNUMBER(SEARCH(勤務統計!$E$1, IM!$AC$2:$AC$5000))), 0)), "")</f>
        <v>45966</v>
      </c>
      <c r="U139" s="406" t="str" cm="1">
        <f t="array" ref="U139">IF(AND(SUMPRODUCT((IM!$F$2:$F$5000=A139)*(ISNUMBER(SEARCH(勤務統計!$F$1, IM!$AC$2:$AC$5000))))&gt;0), 勤務統計!$F$1, "")</f>
        <v/>
      </c>
      <c r="V139" s="413" t="str">
        <f t="array" ref="V139">IFERROR(INDEX(IM!$AM$2:$AM$5000, MATCH(1, (IM!$F$2:$F$5000=A139) * (ISNUMBER(SEARCH(勤務統計!$F$1, IM!$AC$2:$AC$5000))), 0)), "")</f>
        <v/>
      </c>
      <c r="W139" s="414" t="str">
        <f>IF(VLOOKUP(A139,'0919門市清單主檔'!B:AC,28,FALSE)=0,"",VLOOKUP(A139,'0919門市清單主檔'!B:AC,28,FALSE))</f>
        <v/>
      </c>
    </row>
    <row r="140" spans="1:23" ht="21.6" customHeight="1">
      <c r="A140" s="423">
        <v>3359</v>
      </c>
      <c r="B140" s="416" t="str">
        <f>VLOOKUP(A140,'0919門市清單主檔'!B:C,2,FALSE)</f>
        <v>三重金陵店</v>
      </c>
      <c r="C140" s="415" t="str">
        <f>VLOOKUP($A140,'0919門市清單主檔'!B:V,20,FALSE)</f>
        <v>新北市</v>
      </c>
      <c r="D140" s="410" t="str">
        <f>VLOOKUP($A140,'0919門市清單主檔'!B:V,21,FALSE)</f>
        <v>三重區</v>
      </c>
      <c r="E140" s="397" t="str">
        <f>VLOOKUP(D140,門市狀態!G:H,2,FALSE)</f>
        <v>劉柏均</v>
      </c>
      <c r="F140" s="410" t="str">
        <f>IFERROR(IF(VLOOKUP(A140,門市狀態!A:D,4,FALSE)=0,"",VLOOKUP(A140,門市狀態!A:D,4,FALSE)),"")</f>
        <v/>
      </c>
      <c r="G140" s="424" t="s">
        <v>66</v>
      </c>
      <c r="H140" s="425" t="str">
        <f>IF(I140&gt;0,(TEXT(I140,"yyyymmdd")&amp;勤務統計!$V$2&amp;A140&amp;勤務統計!$V$2&amp;B140&amp;勤務統計!$S$2),"")</f>
        <v>-3359-三重金陵店(定保)</v>
      </c>
      <c r="I140" s="247" t="str">
        <f t="array" ref="I140">IF(AND(SUMPRODUCT((IM!$F$2:$F$5000=A140)*(ISNUMBER(SEARCH(勤務統計!$C$1, IM!$AC$2:$AC$5000))))&gt;0), 勤務統計!$C$1, "")</f>
        <v/>
      </c>
      <c r="J140" s="399" t="str">
        <f t="array" ref="J140">IFERROR(INDEX(IM!$AM$2:$AM$5000, MATCH(1, (IM!$F$2:$F$5000=A140) * (ISNUMBER(SEARCH(勤務統計!$C$1, IM!$AC$2:$AC$5000))), 0)), "")</f>
        <v/>
      </c>
      <c r="K140" s="400">
        <f t="array" ref="K140">SUMPRODUCT((IM!$F$2:$F$5000=A140)*(IM!$AD$2:$AD$5000="O")*(ISNUMBER(SEARCH(勤務統計!$C$1, IM!$AC$2:$AC$5000))))</f>
        <v>0</v>
      </c>
      <c r="L140" s="401" t="str">
        <f t="array" ref="L140">IF(K140&gt;0,IFERROR(HYPERLINK("#'IM'!AC"&amp;MATCH(1,(IM!$F$1:$F$5000=A140)*(ISNUMBER(SEARCH(勤務統計!$C$1,IM!$AC$1:$AC$5000))),0),"檢核"),"未登錄"),"")</f>
        <v/>
      </c>
      <c r="M140" s="402" t="str">
        <f t="shared" si="2"/>
        <v/>
      </c>
      <c r="N140" s="402" t="str">
        <f t="array" ref="N140">IF(AND(
    SUMPRODUCT(
        (IM!$F$2:$F$522=A140) *
        ISNUMBER(SEARCH("*HUB*", IM!$AC$2:$AC$522)) *
        (IM!$X$2:$X$522&gt;=勤務統計!$A$1) *
        (IM!$X$2:$X$522&lt;=勤務統計!$B$1)*(W140="HUB")
    ) &gt; 0
), "HUB", "")</f>
        <v/>
      </c>
      <c r="O140" s="400" t="str">
        <f>IF(
  IFERROR(VLOOKUP(A140,勤務統計!A:I,9,FALSE),"")&lt;&gt;勤務統計!$C$1,
  "未完工",
  IF(
    AND(勤務統計!$D$1="--",勤務統計!$E$1="--",勤務統計!$F$1="--"),
    "已完工",
    IF(
      OR(
        AND(勤務統計!$D$1&lt;&gt;"--", IFERROR(VLOOKUP(A140,'0919門市清單主檔'!B:AH,31,FALSE),"")=勤務統計!$D$1, IFERROR(VLOOKUP(A140,勤務統計!A:Q,17,FALSE),"")&lt;&gt;勤務統計!$D$1),
        AND(勤務統計!$E$1&lt;&gt;"--", IFERROR(VLOOKUP(A140,'0919門市清單主檔'!B:AH,32,FALSE),"")=勤務統計!$E$1, IFERROR(VLOOKUP(A140,勤務統計!A:S,19,FALSE),"")&lt;&gt;勤務統計!$E$1),
        AND(勤務統計!$F$1&lt;&gt;"--", IFERROR(VLOOKUP(A140,'0919門市清單主檔'!B:AH,33,FALSE),"")=勤務統計!$F$1, IFERROR(VLOOKUP(A140,勤務統計!A:U,21,FALSE),"")&lt;&gt;勤務統計!$F$1),
        AND(IFERROR(VLOOKUP(A140,'0919門市清單主檔'!B:AH,28,FALSE),"")="HUB", IFERROR(VLOOKUP(A140,勤務統計!A:W,23,FALSE),"")&lt;&gt;"HUB")
      ),
      _xlfn.TEXTJOIN(
        "，",
        TRUE,
        IF(AND(勤務統計!$D$1&lt;&gt;"--", IFERROR(VLOOKUP(A140,'0919門市清單主檔'!B:AH,31,FALSE),"")=勤務統計!$D$1, IFERROR(VLOOKUP(A140,勤務統計!A:Q,17,FALSE),"")&lt;&gt;勤務統計!$D$1), 勤務統計!$D$1, ""),
        IF(AND(勤務統計!$E$1&lt;&gt;"--", IFERROR(VLOOKUP(A140,'0919門市清單主檔'!B:AH,32,FALSE),"")=勤務統計!$E$1, IFERROR(VLOOKUP(A140,勤務統計!A:S,19,FALSE),"")&lt;&gt;勤務統計!$E$1), 勤務統計!$E$1, ""),
        IF(AND(勤務統計!$F$1&lt;&gt;"--", IFERROR(VLOOKUP(A140,'0919門市清單主檔'!B:AH,33,FALSE),"")=勤務統計!$F$1, IFERROR(VLOOKUP(A140,勤務統計!A:U,21,FALSE),"")&lt;&gt;勤務統計!$F$1), 勤務統計!$F$1, ""),
        IF(AND(IFERROR(VLOOKUP(A140,'0919門市清單主檔'!B:AH,28,FALSE),"")="HUB", IFERROR(VLOOKUP(A140,勤務統計!A:W,23,FALSE),"")&lt;&gt;"HUB"), "HUB", "")
      ) &amp; "未完工",
      "已完工"
    )
  )
)</f>
        <v>未完工</v>
      </c>
      <c r="P140" s="403" t="str">
        <f>(TEXT(I140,"yyyymmdd"))&amp;勤務統計!$V$2&amp;A140&amp;勤務統計!$V$2&amp;B140&amp;勤務統計!$S$2</f>
        <v>-3359-三重金陵店(定保)</v>
      </c>
      <c r="Q140" s="420" t="str">
        <f t="array" ref="Q140">IF(AND(SUMPRODUCT((IM!$F$2:$F$5000=A140)*(ISNUMBER(SEARCH(勤務統計!$D$1, IM!$AC$2:$AC$5000))))&gt;0), 勤務統計!$D$1, "")</f>
        <v/>
      </c>
      <c r="R140" s="421" t="str">
        <f t="array" ref="R140">IFERROR(INDEX(IM!$AM$2:$AM$5000, MATCH(1, (IM!$F$2:$F$5000=A140) * (ISNUMBER(SEARCH(勤務統計!$D$1, IM!$AC$2:$AC$5000))), 0)), "")</f>
        <v/>
      </c>
      <c r="S140" s="406" t="str" cm="1">
        <f t="array" ref="S140">IF(AND(SUMPRODUCT((IM!$F$2:$F$5000=A140)*(ISNUMBER(SEARCH(勤務統計!$E$1, IM!$AC$2:$AC$5000))))&gt;0), 勤務統計!$E$1, "")</f>
        <v/>
      </c>
      <c r="T140" s="422" t="str">
        <f t="array" ref="T140">IFERROR(INDEX(IM!$AM$2:$AM$5000, MATCH(1, (IM!$F$2:$F$5000=A140) * (ISNUMBER(SEARCH(勤務統計!$E$1, IM!$AC$2:$AC$5000))), 0)), "")</f>
        <v/>
      </c>
      <c r="U140" s="406" t="str" cm="1">
        <f t="array" ref="U140">IF(AND(SUMPRODUCT((IM!$F$2:$F$5000=A140)*(ISNUMBER(SEARCH(勤務統計!$F$1, IM!$AC$2:$AC$5000))))&gt;0), 勤務統計!$F$1, "")</f>
        <v/>
      </c>
      <c r="V140" s="413" t="str">
        <f t="array" ref="V140">IFERROR(INDEX(IM!$AM$2:$AM$5000, MATCH(1, (IM!$F$2:$F$5000=A140) * (ISNUMBER(SEARCH(勤務統計!$F$1, IM!$AC$2:$AC$5000))), 0)), "")</f>
        <v/>
      </c>
      <c r="W140" s="414" t="str">
        <f>IF(VLOOKUP(A140,'0919門市清單主檔'!B:AC,28,FALSE)=0,"",VLOOKUP(A140,'0919門市清單主檔'!B:AC,28,FALSE))</f>
        <v/>
      </c>
    </row>
    <row r="141" spans="1:23" ht="21.6" customHeight="1">
      <c r="A141" s="423">
        <v>4125</v>
      </c>
      <c r="B141" s="416" t="str">
        <f>VLOOKUP(A141,'0919門市清單主檔'!B:C,2,FALSE)</f>
        <v>蘆洲長樂店</v>
      </c>
      <c r="C141" s="415" t="str">
        <f>VLOOKUP($A141,'0919門市清單主檔'!B:V,20,FALSE)</f>
        <v>新北市</v>
      </c>
      <c r="D141" s="410" t="str">
        <f>VLOOKUP($A141,'0919門市清單主檔'!B:V,21,FALSE)</f>
        <v>蘆洲區</v>
      </c>
      <c r="E141" s="397" t="str">
        <f>VLOOKUP(D141,門市狀態!G:H,2,FALSE)</f>
        <v>湯家瑋</v>
      </c>
      <c r="F141" s="410" t="str">
        <f>IFERROR(IF(VLOOKUP(A141,門市狀態!A:D,4,FALSE)=0,"",VLOOKUP(A141,門市狀態!A:D,4,FALSE)),"")</f>
        <v/>
      </c>
      <c r="G141" s="424"/>
      <c r="H141" s="425" t="str">
        <f>IF(I141&gt;0,(TEXT(I141,"yyyymmdd")&amp;勤務統計!$V$2&amp;A141&amp;勤務統計!$V$2&amp;B141&amp;勤務統計!$S$2),"")</f>
        <v>-4125-蘆洲長樂店(定保)</v>
      </c>
      <c r="I141" s="247" t="str">
        <f t="array" ref="I141">IF(AND(SUMPRODUCT((IM!$F$2:$F$5000=A141)*(ISNUMBER(SEARCH(勤務統計!$C$1, IM!$AC$2:$AC$5000))))&gt;0), 勤務統計!$C$1, "")</f>
        <v/>
      </c>
      <c r="J141" s="399" t="str">
        <f t="array" ref="J141">IFERROR(INDEX(IM!$AM$2:$AM$5000, MATCH(1, (IM!$F$2:$F$5000=A141) * (ISNUMBER(SEARCH(勤務統計!$C$1, IM!$AC$2:$AC$5000))), 0)), "")</f>
        <v/>
      </c>
      <c r="K141" s="400">
        <f t="array" ref="K141">SUMPRODUCT((IM!$F$2:$F$5000=A141)*(IM!$AD$2:$AD$5000="O")*(ISNUMBER(SEARCH(勤務統計!$C$1, IM!$AC$2:$AC$5000))))</f>
        <v>0</v>
      </c>
      <c r="L141" s="401" t="str">
        <f t="array" ref="L141">IF(K141&gt;0,IFERROR(HYPERLINK("#'IM'!AC"&amp;MATCH(1,(IM!$F$1:$F$5000=A141)*(ISNUMBER(SEARCH(勤務統計!$C$1,IM!$AC$1:$AC$5000))),0),"檢核"),"未登錄"),"")</f>
        <v/>
      </c>
      <c r="M141" s="402" t="str">
        <f t="shared" si="2"/>
        <v>+L90</v>
      </c>
      <c r="N141" s="402" t="str">
        <f t="array" ref="N141">IF(AND(
    SUMPRODUCT(
        (IM!$F$2:$F$522=A141) *
        ISNUMBER(SEARCH("*HUB*", IM!$AC$2:$AC$522)) *
        (IM!$X$2:$X$522&gt;=勤務統計!$A$1) *
        (IM!$X$2:$X$522&lt;=勤務統計!$B$1)*(W141="HUB")
    ) &gt; 0
), "HUB", "")</f>
        <v/>
      </c>
      <c r="O141" s="400" t="str">
        <f>IF(
  IFERROR(VLOOKUP(A141,勤務統計!A:I,9,FALSE),"")&lt;&gt;勤務統計!$C$1,
  "未完工",
  IF(
    AND(勤務統計!$D$1="--",勤務統計!$E$1="--",勤務統計!$F$1="--"),
    "已完工",
    IF(
      OR(
        AND(勤務統計!$D$1&lt;&gt;"--", IFERROR(VLOOKUP(A141,'0919門市清單主檔'!B:AH,31,FALSE),"")=勤務統計!$D$1, IFERROR(VLOOKUP(A141,勤務統計!A:Q,17,FALSE),"")&lt;&gt;勤務統計!$D$1),
        AND(勤務統計!$E$1&lt;&gt;"--", IFERROR(VLOOKUP(A141,'0919門市清單主檔'!B:AH,32,FALSE),"")=勤務統計!$E$1, IFERROR(VLOOKUP(A141,勤務統計!A:S,19,FALSE),"")&lt;&gt;勤務統計!$E$1),
        AND(勤務統計!$F$1&lt;&gt;"--", IFERROR(VLOOKUP(A141,'0919門市清單主檔'!B:AH,33,FALSE),"")=勤務統計!$F$1, IFERROR(VLOOKUP(A141,勤務統計!A:U,21,FALSE),"")&lt;&gt;勤務統計!$F$1),
        AND(IFERROR(VLOOKUP(A141,'0919門市清單主檔'!B:AH,28,FALSE),"")="HUB", IFERROR(VLOOKUP(A141,勤務統計!A:W,23,FALSE),"")&lt;&gt;"HUB")
      ),
      _xlfn.TEXTJOIN(
        "，",
        TRUE,
        IF(AND(勤務統計!$D$1&lt;&gt;"--", IFERROR(VLOOKUP(A141,'0919門市清單主檔'!B:AH,31,FALSE),"")=勤務統計!$D$1, IFERROR(VLOOKUP(A141,勤務統計!A:Q,17,FALSE),"")&lt;&gt;勤務統計!$D$1), 勤務統計!$D$1, ""),
        IF(AND(勤務統計!$E$1&lt;&gt;"--", IFERROR(VLOOKUP(A141,'0919門市清單主檔'!B:AH,32,FALSE),"")=勤務統計!$E$1, IFERROR(VLOOKUP(A141,勤務統計!A:S,19,FALSE),"")&lt;&gt;勤務統計!$E$1), 勤務統計!$E$1, ""),
        IF(AND(勤務統計!$F$1&lt;&gt;"--", IFERROR(VLOOKUP(A141,'0919門市清單主檔'!B:AH,33,FALSE),"")=勤務統計!$F$1, IFERROR(VLOOKUP(A141,勤務統計!A:U,21,FALSE),"")&lt;&gt;勤務統計!$F$1), 勤務統計!$F$1, ""),
        IF(AND(IFERROR(VLOOKUP(A141,'0919門市清單主檔'!B:AH,28,FALSE),"")="HUB", IFERROR(VLOOKUP(A141,勤務統計!A:W,23,FALSE),"")&lt;&gt;"HUB"), "HUB", "")
      ) &amp; "未完工",
      "已完工"
    )
  )
)</f>
        <v>未完工</v>
      </c>
      <c r="P141" s="403" t="str">
        <f>(TEXT(I141,"yyyymmdd"))&amp;勤務統計!$V$2&amp;A141&amp;勤務統計!$V$2&amp;B141&amp;勤務統計!$S$2</f>
        <v>-4125-蘆洲長樂店(定保)</v>
      </c>
      <c r="Q141" s="420" t="str">
        <f t="array" ref="Q141">IF(AND(SUMPRODUCT((IM!$F$2:$F$5000=A141)*(ISNUMBER(SEARCH(勤務統計!$D$1, IM!$AC$2:$AC$5000))))&gt;0), 勤務統計!$D$1, "")</f>
        <v/>
      </c>
      <c r="R141" s="421" t="str">
        <f t="array" ref="R141">IFERROR(INDEX(IM!$AM$2:$AM$5000, MATCH(1, (IM!$F$2:$F$5000=A141) * (ISNUMBER(SEARCH(勤務統計!$D$1, IM!$AC$2:$AC$5000))), 0)), "")</f>
        <v/>
      </c>
      <c r="S141" s="406" t="str" cm="1">
        <f t="array" ref="S141">IF(AND(SUMPRODUCT((IM!$F$2:$F$5000=A141)*(ISNUMBER(SEARCH(勤務統計!$E$1, IM!$AC$2:$AC$5000))))&gt;0), 勤務統計!$E$1, "")</f>
        <v>+L90</v>
      </c>
      <c r="T141" s="422">
        <f t="array" ref="T141">IFERROR(INDEX(IM!$AM$2:$AM$5000, MATCH(1, (IM!$F$2:$F$5000=A141) * (ISNUMBER(SEARCH(勤務統計!$E$1, IM!$AC$2:$AC$5000))), 0)), "")</f>
        <v>45967</v>
      </c>
      <c r="U141" s="406" t="str" cm="1">
        <f t="array" ref="U141">IF(AND(SUMPRODUCT((IM!$F$2:$F$5000=A141)*(ISNUMBER(SEARCH(勤務統計!$F$1, IM!$AC$2:$AC$5000))))&gt;0), 勤務統計!$F$1, "")</f>
        <v/>
      </c>
      <c r="V141" s="413" t="str">
        <f t="array" ref="V141">IFERROR(INDEX(IM!$AM$2:$AM$5000, MATCH(1, (IM!$F$2:$F$5000=A141) * (ISNUMBER(SEARCH(勤務統計!$F$1, IM!$AC$2:$AC$5000))), 0)), "")</f>
        <v/>
      </c>
      <c r="W141" s="414" t="str">
        <f>IF(VLOOKUP(A141,'0919門市清單主檔'!B:AC,28,FALSE)=0,"",VLOOKUP(A141,'0919門市清單主檔'!B:AC,28,FALSE))</f>
        <v/>
      </c>
    </row>
    <row r="142" spans="1:23" ht="21.6" customHeight="1">
      <c r="A142" s="423">
        <v>2958</v>
      </c>
      <c r="B142" s="416" t="str">
        <f>VLOOKUP(A142,'0919門市清單主檔'!B:C,2,FALSE)</f>
        <v>北縣蘆旺店</v>
      </c>
      <c r="C142" s="415" t="str">
        <f>VLOOKUP($A142,'0919門市清單主檔'!B:V,20,FALSE)</f>
        <v>新北市</v>
      </c>
      <c r="D142" s="410" t="str">
        <f>VLOOKUP($A142,'0919門市清單主檔'!B:V,21,FALSE)</f>
        <v>蘆洲區</v>
      </c>
      <c r="E142" s="397" t="str">
        <f>VLOOKUP(D142,門市狀態!G:H,2,FALSE)</f>
        <v>湯家瑋</v>
      </c>
      <c r="F142" s="410" t="str">
        <f>IFERROR(IF(VLOOKUP(A142,門市狀態!A:D,4,FALSE)=0,"",VLOOKUP(A142,門市狀態!A:D,4,FALSE)),"")</f>
        <v/>
      </c>
      <c r="G142" s="424"/>
      <c r="H142" s="425" t="str">
        <f>IF(I142&gt;0,(TEXT(I142,"yyyymmdd")&amp;勤務統計!$V$2&amp;A142&amp;勤務統計!$V$2&amp;B142&amp;勤務統計!$S$2),"")</f>
        <v>-2958-北縣蘆旺店(定保)</v>
      </c>
      <c r="I142" s="247" t="str">
        <f t="array" ref="I142">IF(AND(SUMPRODUCT((IM!$F$2:$F$5000=A142)*(ISNUMBER(SEARCH(勤務統計!$C$1, IM!$AC$2:$AC$5000))))&gt;0), 勤務統計!$C$1, "")</f>
        <v/>
      </c>
      <c r="J142" s="399" t="str">
        <f t="array" ref="J142">IFERROR(INDEX(IM!$AM$2:$AM$5000, MATCH(1, (IM!$F$2:$F$5000=A142) * (ISNUMBER(SEARCH(勤務統計!$C$1, IM!$AC$2:$AC$5000))), 0)), "")</f>
        <v/>
      </c>
      <c r="K142" s="400">
        <f t="array" ref="K142">SUMPRODUCT((IM!$F$2:$F$5000=A142)*(IM!$AD$2:$AD$5000="O")*(ISNUMBER(SEARCH(勤務統計!$C$1, IM!$AC$2:$AC$5000))))</f>
        <v>0</v>
      </c>
      <c r="L142" s="401" t="str">
        <f t="array" ref="L142">IF(K142&gt;0,IFERROR(HYPERLINK("#'IM'!AC"&amp;MATCH(1,(IM!$F$1:$F$5000=A142)*(ISNUMBER(SEARCH(勤務統計!$C$1,IM!$AC$1:$AC$5000))),0),"檢核"),"未登錄"),"")</f>
        <v/>
      </c>
      <c r="M142" s="402" t="str">
        <f t="shared" si="2"/>
        <v>+L90</v>
      </c>
      <c r="N142" s="402" t="str">
        <f t="array" ref="N142">IF(AND(
    SUMPRODUCT(
        (IM!$F$2:$F$522=A142) *
        ISNUMBER(SEARCH("*HUB*", IM!$AC$2:$AC$522)) *
        (IM!$X$2:$X$522&gt;=勤務統計!$A$1) *
        (IM!$X$2:$X$522&lt;=勤務統計!$B$1)*(W142="HUB")
    ) &gt; 0
), "HUB", "")</f>
        <v/>
      </c>
      <c r="O142" s="400" t="str">
        <f>IF(
  IFERROR(VLOOKUP(A142,勤務統計!A:I,9,FALSE),"")&lt;&gt;勤務統計!$C$1,
  "未完工",
  IF(
    AND(勤務統計!$D$1="--",勤務統計!$E$1="--",勤務統計!$F$1="--"),
    "已完工",
    IF(
      OR(
        AND(勤務統計!$D$1&lt;&gt;"--", IFERROR(VLOOKUP(A142,'0919門市清單主檔'!B:AH,31,FALSE),"")=勤務統計!$D$1, IFERROR(VLOOKUP(A142,勤務統計!A:Q,17,FALSE),"")&lt;&gt;勤務統計!$D$1),
        AND(勤務統計!$E$1&lt;&gt;"--", IFERROR(VLOOKUP(A142,'0919門市清單主檔'!B:AH,32,FALSE),"")=勤務統計!$E$1, IFERROR(VLOOKUP(A142,勤務統計!A:S,19,FALSE),"")&lt;&gt;勤務統計!$E$1),
        AND(勤務統計!$F$1&lt;&gt;"--", IFERROR(VLOOKUP(A142,'0919門市清單主檔'!B:AH,33,FALSE),"")=勤務統計!$F$1, IFERROR(VLOOKUP(A142,勤務統計!A:U,21,FALSE),"")&lt;&gt;勤務統計!$F$1),
        AND(IFERROR(VLOOKUP(A142,'0919門市清單主檔'!B:AH,28,FALSE),"")="HUB", IFERROR(VLOOKUP(A142,勤務統計!A:W,23,FALSE),"")&lt;&gt;"HUB")
      ),
      _xlfn.TEXTJOIN(
        "，",
        TRUE,
        IF(AND(勤務統計!$D$1&lt;&gt;"--", IFERROR(VLOOKUP(A142,'0919門市清單主檔'!B:AH,31,FALSE),"")=勤務統計!$D$1, IFERROR(VLOOKUP(A142,勤務統計!A:Q,17,FALSE),"")&lt;&gt;勤務統計!$D$1), 勤務統計!$D$1, ""),
        IF(AND(勤務統計!$E$1&lt;&gt;"--", IFERROR(VLOOKUP(A142,'0919門市清單主檔'!B:AH,32,FALSE),"")=勤務統計!$E$1, IFERROR(VLOOKUP(A142,勤務統計!A:S,19,FALSE),"")&lt;&gt;勤務統計!$E$1), 勤務統計!$E$1, ""),
        IF(AND(勤務統計!$F$1&lt;&gt;"--", IFERROR(VLOOKUP(A142,'0919門市清單主檔'!B:AH,33,FALSE),"")=勤務統計!$F$1, IFERROR(VLOOKUP(A142,勤務統計!A:U,21,FALSE),"")&lt;&gt;勤務統計!$F$1), 勤務統計!$F$1, ""),
        IF(AND(IFERROR(VLOOKUP(A142,'0919門市清單主檔'!B:AH,28,FALSE),"")="HUB", IFERROR(VLOOKUP(A142,勤務統計!A:W,23,FALSE),"")&lt;&gt;"HUB"), "HUB", "")
      ) &amp; "未完工",
      "已完工"
    )
  )
)</f>
        <v>未完工</v>
      </c>
      <c r="P142" s="403" t="str">
        <f>(TEXT(I142,"yyyymmdd"))&amp;勤務統計!$V$2&amp;A142&amp;勤務統計!$V$2&amp;B142&amp;勤務統計!$S$2</f>
        <v>-2958-北縣蘆旺店(定保)</v>
      </c>
      <c r="Q142" s="420" t="str">
        <f t="array" ref="Q142">IF(AND(SUMPRODUCT((IM!$F$2:$F$5000=A142)*(ISNUMBER(SEARCH(勤務統計!$D$1, IM!$AC$2:$AC$5000))))&gt;0), 勤務統計!$D$1, "")</f>
        <v/>
      </c>
      <c r="R142" s="421" t="str">
        <f t="array" ref="R142">IFERROR(INDEX(IM!$AM$2:$AM$5000, MATCH(1, (IM!$F$2:$F$5000=A142) * (ISNUMBER(SEARCH(勤務統計!$D$1, IM!$AC$2:$AC$5000))), 0)), "")</f>
        <v/>
      </c>
      <c r="S142" s="406" t="str" cm="1">
        <f t="array" ref="S142">IF(AND(SUMPRODUCT((IM!$F$2:$F$5000=A142)*(ISNUMBER(SEARCH(勤務統計!$E$1, IM!$AC$2:$AC$5000))))&gt;0), 勤務統計!$E$1, "")</f>
        <v>+L90</v>
      </c>
      <c r="T142" s="422">
        <f t="array" ref="T142">IFERROR(INDEX(IM!$AM$2:$AM$5000, MATCH(1, (IM!$F$2:$F$5000=A142) * (ISNUMBER(SEARCH(勤務統計!$E$1, IM!$AC$2:$AC$5000))), 0)), "")</f>
        <v>45967</v>
      </c>
      <c r="U142" s="406" t="str" cm="1">
        <f t="array" ref="U142">IF(AND(SUMPRODUCT((IM!$F$2:$F$5000=A142)*(ISNUMBER(SEARCH(勤務統計!$F$1, IM!$AC$2:$AC$5000))))&gt;0), 勤務統計!$F$1, "")</f>
        <v/>
      </c>
      <c r="V142" s="413" t="str">
        <f t="array" ref="V142">IFERROR(INDEX(IM!$AM$2:$AM$5000, MATCH(1, (IM!$F$2:$F$5000=A142) * (ISNUMBER(SEARCH(勤務統計!$F$1, IM!$AC$2:$AC$5000))), 0)), "")</f>
        <v/>
      </c>
      <c r="W142" s="414" t="str">
        <f>IF(VLOOKUP(A142,'0919門市清單主檔'!B:AC,28,FALSE)=0,"",VLOOKUP(A142,'0919門市清單主檔'!B:AC,28,FALSE))</f>
        <v/>
      </c>
    </row>
    <row r="143" spans="1:23" ht="21.6" customHeight="1">
      <c r="A143" s="423">
        <v>3929</v>
      </c>
      <c r="B143" s="416" t="str">
        <f>VLOOKUP(A143,'0919門市清單主檔'!B:C,2,FALSE)</f>
        <v>蘆洲中山一</v>
      </c>
      <c r="C143" s="415" t="str">
        <f>VLOOKUP($A143,'0919門市清單主檔'!B:V,20,FALSE)</f>
        <v>新北市</v>
      </c>
      <c r="D143" s="410" t="str">
        <f>VLOOKUP($A143,'0919門市清單主檔'!B:V,21,FALSE)</f>
        <v>蘆洲區</v>
      </c>
      <c r="E143" s="397" t="str">
        <f>VLOOKUP(D143,門市狀態!G:H,2,FALSE)</f>
        <v>湯家瑋</v>
      </c>
      <c r="F143" s="410" t="str">
        <f>IFERROR(IF(VLOOKUP(A143,門市狀態!A:D,4,FALSE)=0,"",VLOOKUP(A143,門市狀態!A:D,4,FALSE)),"")</f>
        <v/>
      </c>
      <c r="G143" s="424"/>
      <c r="H143" s="425" t="str">
        <f>IF(I143&gt;0,(TEXT(I143,"yyyymmdd")&amp;勤務統計!$V$2&amp;A143&amp;勤務統計!$V$2&amp;B143&amp;勤務統計!$S$2),"")</f>
        <v>-3929-蘆洲中山一(定保)</v>
      </c>
      <c r="I143" s="247" t="str">
        <f t="array" ref="I143">IF(AND(SUMPRODUCT((IM!$F$2:$F$5000=A143)*(ISNUMBER(SEARCH(勤務統計!$C$1, IM!$AC$2:$AC$5000))))&gt;0), 勤務統計!$C$1, "")</f>
        <v/>
      </c>
      <c r="J143" s="399" t="str">
        <f t="array" ref="J143">IFERROR(INDEX(IM!$AM$2:$AM$5000, MATCH(1, (IM!$F$2:$F$5000=A143) * (ISNUMBER(SEARCH(勤務統計!$C$1, IM!$AC$2:$AC$5000))), 0)), "")</f>
        <v/>
      </c>
      <c r="K143" s="400">
        <f t="array" ref="K143">SUMPRODUCT((IM!$F$2:$F$5000=A143)*(IM!$AD$2:$AD$5000="O")*(ISNUMBER(SEARCH(勤務統計!$C$1, IM!$AC$2:$AC$5000))))</f>
        <v>0</v>
      </c>
      <c r="L143" s="401" t="str">
        <f t="array" ref="L143">IF(K143&gt;0,IFERROR(HYPERLINK("#'IM'!AC"&amp;MATCH(1,(IM!$F$1:$F$5000=A143)*(ISNUMBER(SEARCH(勤務統計!$C$1,IM!$AC$1:$AC$5000))),0),"檢核"),"未登錄"),"")</f>
        <v/>
      </c>
      <c r="M143" s="402" t="str">
        <f t="shared" si="2"/>
        <v>+L90</v>
      </c>
      <c r="N143" s="402" t="str">
        <f t="array" ref="N143">IF(AND(
    SUMPRODUCT(
        (IM!$F$2:$F$522=A143) *
        ISNUMBER(SEARCH("*HUB*", IM!$AC$2:$AC$522)) *
        (IM!$X$2:$X$522&gt;=勤務統計!$A$1) *
        (IM!$X$2:$X$522&lt;=勤務統計!$B$1)*(W143="HUB")
    ) &gt; 0
), "HUB", "")</f>
        <v/>
      </c>
      <c r="O143" s="400" t="str">
        <f>IF(
  IFERROR(VLOOKUP(A143,勤務統計!A:I,9,FALSE),"")&lt;&gt;勤務統計!$C$1,
  "未完工",
  IF(
    AND(勤務統計!$D$1="--",勤務統計!$E$1="--",勤務統計!$F$1="--"),
    "已完工",
    IF(
      OR(
        AND(勤務統計!$D$1&lt;&gt;"--", IFERROR(VLOOKUP(A143,'0919門市清單主檔'!B:AH,31,FALSE),"")=勤務統計!$D$1, IFERROR(VLOOKUP(A143,勤務統計!A:Q,17,FALSE),"")&lt;&gt;勤務統計!$D$1),
        AND(勤務統計!$E$1&lt;&gt;"--", IFERROR(VLOOKUP(A143,'0919門市清單主檔'!B:AH,32,FALSE),"")=勤務統計!$E$1, IFERROR(VLOOKUP(A143,勤務統計!A:S,19,FALSE),"")&lt;&gt;勤務統計!$E$1),
        AND(勤務統計!$F$1&lt;&gt;"--", IFERROR(VLOOKUP(A143,'0919門市清單主檔'!B:AH,33,FALSE),"")=勤務統計!$F$1, IFERROR(VLOOKUP(A143,勤務統計!A:U,21,FALSE),"")&lt;&gt;勤務統計!$F$1),
        AND(IFERROR(VLOOKUP(A143,'0919門市清單主檔'!B:AH,28,FALSE),"")="HUB", IFERROR(VLOOKUP(A143,勤務統計!A:W,23,FALSE),"")&lt;&gt;"HUB")
      ),
      _xlfn.TEXTJOIN(
        "，",
        TRUE,
        IF(AND(勤務統計!$D$1&lt;&gt;"--", IFERROR(VLOOKUP(A143,'0919門市清單主檔'!B:AH,31,FALSE),"")=勤務統計!$D$1, IFERROR(VLOOKUP(A143,勤務統計!A:Q,17,FALSE),"")&lt;&gt;勤務統計!$D$1), 勤務統計!$D$1, ""),
        IF(AND(勤務統計!$E$1&lt;&gt;"--", IFERROR(VLOOKUP(A143,'0919門市清單主檔'!B:AH,32,FALSE),"")=勤務統計!$E$1, IFERROR(VLOOKUP(A143,勤務統計!A:S,19,FALSE),"")&lt;&gt;勤務統計!$E$1), 勤務統計!$E$1, ""),
        IF(AND(勤務統計!$F$1&lt;&gt;"--", IFERROR(VLOOKUP(A143,'0919門市清單主檔'!B:AH,33,FALSE),"")=勤務統計!$F$1, IFERROR(VLOOKUP(A143,勤務統計!A:U,21,FALSE),"")&lt;&gt;勤務統計!$F$1), 勤務統計!$F$1, ""),
        IF(AND(IFERROR(VLOOKUP(A143,'0919門市清單主檔'!B:AH,28,FALSE),"")="HUB", IFERROR(VLOOKUP(A143,勤務統計!A:W,23,FALSE),"")&lt;&gt;"HUB"), "HUB", "")
      ) &amp; "未完工",
      "已完工"
    )
  )
)</f>
        <v>未完工</v>
      </c>
      <c r="P143" s="403" t="str">
        <f>(TEXT(I143,"yyyymmdd"))&amp;勤務統計!$V$2&amp;A143&amp;勤務統計!$V$2&amp;B143&amp;勤務統計!$S$2</f>
        <v>-3929-蘆洲中山一(定保)</v>
      </c>
      <c r="Q143" s="420" t="str">
        <f t="array" ref="Q143">IF(AND(SUMPRODUCT((IM!$F$2:$F$5000=A143)*(ISNUMBER(SEARCH(勤務統計!$D$1, IM!$AC$2:$AC$5000))))&gt;0), 勤務統計!$D$1, "")</f>
        <v/>
      </c>
      <c r="R143" s="421" t="str">
        <f t="array" ref="R143">IFERROR(INDEX(IM!$AM$2:$AM$5000, MATCH(1, (IM!$F$2:$F$5000=A143) * (ISNUMBER(SEARCH(勤務統計!$D$1, IM!$AC$2:$AC$5000))), 0)), "")</f>
        <v/>
      </c>
      <c r="S143" s="406" t="str" cm="1">
        <f t="array" ref="S143">IF(AND(SUMPRODUCT((IM!$F$2:$F$5000=A143)*(ISNUMBER(SEARCH(勤務統計!$E$1, IM!$AC$2:$AC$5000))))&gt;0), 勤務統計!$E$1, "")</f>
        <v>+L90</v>
      </c>
      <c r="T143" s="422">
        <f t="array" ref="T143">IFERROR(INDEX(IM!$AM$2:$AM$5000, MATCH(1, (IM!$F$2:$F$5000=A143) * (ISNUMBER(SEARCH(勤務統計!$E$1, IM!$AC$2:$AC$5000))), 0)), "")</f>
        <v>45967</v>
      </c>
      <c r="U143" s="406" t="str" cm="1">
        <f t="array" ref="U143">IF(AND(SUMPRODUCT((IM!$F$2:$F$5000=A143)*(ISNUMBER(SEARCH(勤務統計!$F$1, IM!$AC$2:$AC$5000))))&gt;0), 勤務統計!$F$1, "")</f>
        <v/>
      </c>
      <c r="V143" s="413" t="str">
        <f t="array" ref="V143">IFERROR(INDEX(IM!$AM$2:$AM$5000, MATCH(1, (IM!$F$2:$F$5000=A143) * (ISNUMBER(SEARCH(勤務統計!$F$1, IM!$AC$2:$AC$5000))), 0)), "")</f>
        <v/>
      </c>
      <c r="W143" s="414" t="str">
        <f>IF(VLOOKUP(A143,'0919門市清單主檔'!B:AC,28,FALSE)=0,"",VLOOKUP(A143,'0919門市清單主檔'!B:AC,28,FALSE))</f>
        <v/>
      </c>
    </row>
    <row r="144" spans="1:23" ht="21.6" customHeight="1">
      <c r="A144" s="423">
        <v>3452</v>
      </c>
      <c r="B144" s="416" t="str">
        <f>VLOOKUP(A144,'0919門市清單主檔'!B:C,2,FALSE)</f>
        <v>蘆洲信義店</v>
      </c>
      <c r="C144" s="415" t="str">
        <f>VLOOKUP($A144,'0919門市清單主檔'!B:V,20,FALSE)</f>
        <v>新北市</v>
      </c>
      <c r="D144" s="410" t="str">
        <f>VLOOKUP($A144,'0919門市清單主檔'!B:V,21,FALSE)</f>
        <v>蘆洲區</v>
      </c>
      <c r="E144" s="397" t="str">
        <f>VLOOKUP(D144,門市狀態!G:H,2,FALSE)</f>
        <v>湯家瑋</v>
      </c>
      <c r="F144" s="410" t="str">
        <f>IFERROR(IF(VLOOKUP(A144,門市狀態!A:D,4,FALSE)=0,"",VLOOKUP(A144,門市狀態!A:D,4,FALSE)),"")</f>
        <v/>
      </c>
      <c r="G144" s="424"/>
      <c r="H144" s="425" t="str">
        <f>IF(I144&gt;0,(TEXT(I144,"yyyymmdd")&amp;勤務統計!$V$2&amp;A144&amp;勤務統計!$V$2&amp;B144&amp;勤務統計!$S$2),"")</f>
        <v>-3452-蘆洲信義店(定保)</v>
      </c>
      <c r="I144" s="247" t="str">
        <f t="array" ref="I144">IF(AND(SUMPRODUCT((IM!$F$2:$F$5000=A144)*(ISNUMBER(SEARCH(勤務統計!$C$1, IM!$AC$2:$AC$5000))))&gt;0), 勤務統計!$C$1, "")</f>
        <v/>
      </c>
      <c r="J144" s="399" t="str">
        <f t="array" ref="J144">IFERROR(INDEX(IM!$AM$2:$AM$5000, MATCH(1, (IM!$F$2:$F$5000=A144) * (ISNUMBER(SEARCH(勤務統計!$C$1, IM!$AC$2:$AC$5000))), 0)), "")</f>
        <v/>
      </c>
      <c r="K144" s="400">
        <f t="array" ref="K144">SUMPRODUCT((IM!$F$2:$F$5000=A144)*(IM!$AD$2:$AD$5000="O")*(ISNUMBER(SEARCH(勤務統計!$C$1, IM!$AC$2:$AC$5000))))</f>
        <v>0</v>
      </c>
      <c r="L144" s="401" t="str">
        <f t="array" ref="L144">IF(K144&gt;0,IFERROR(HYPERLINK("#'IM'!AC"&amp;MATCH(1,(IM!$F$1:$F$5000=A144)*(ISNUMBER(SEARCH(勤務統計!$C$1,IM!$AC$1:$AC$5000))),0),"檢核"),"未登錄"),"")</f>
        <v/>
      </c>
      <c r="M144" s="402" t="str">
        <f t="shared" si="2"/>
        <v>+L90</v>
      </c>
      <c r="N144" s="402" t="str">
        <f t="array" ref="N144">IF(AND(
    SUMPRODUCT(
        (IM!$F$2:$F$522=A144) *
        ISNUMBER(SEARCH("*HUB*", IM!$AC$2:$AC$522)) *
        (IM!$X$2:$X$522&gt;=勤務統計!$A$1) *
        (IM!$X$2:$X$522&lt;=勤務統計!$B$1)*(W144="HUB")
    ) &gt; 0
), "HUB", "")</f>
        <v/>
      </c>
      <c r="O144" s="400" t="str">
        <f>IF(
  IFERROR(VLOOKUP(A144,勤務統計!A:I,9,FALSE),"")&lt;&gt;勤務統計!$C$1,
  "未完工",
  IF(
    AND(勤務統計!$D$1="--",勤務統計!$E$1="--",勤務統計!$F$1="--"),
    "已完工",
    IF(
      OR(
        AND(勤務統計!$D$1&lt;&gt;"--", IFERROR(VLOOKUP(A144,'0919門市清單主檔'!B:AH,31,FALSE),"")=勤務統計!$D$1, IFERROR(VLOOKUP(A144,勤務統計!A:Q,17,FALSE),"")&lt;&gt;勤務統計!$D$1),
        AND(勤務統計!$E$1&lt;&gt;"--", IFERROR(VLOOKUP(A144,'0919門市清單主檔'!B:AH,32,FALSE),"")=勤務統計!$E$1, IFERROR(VLOOKUP(A144,勤務統計!A:S,19,FALSE),"")&lt;&gt;勤務統計!$E$1),
        AND(勤務統計!$F$1&lt;&gt;"--", IFERROR(VLOOKUP(A144,'0919門市清單主檔'!B:AH,33,FALSE),"")=勤務統計!$F$1, IFERROR(VLOOKUP(A144,勤務統計!A:U,21,FALSE),"")&lt;&gt;勤務統計!$F$1),
        AND(IFERROR(VLOOKUP(A144,'0919門市清單主檔'!B:AH,28,FALSE),"")="HUB", IFERROR(VLOOKUP(A144,勤務統計!A:W,23,FALSE),"")&lt;&gt;"HUB")
      ),
      _xlfn.TEXTJOIN(
        "，",
        TRUE,
        IF(AND(勤務統計!$D$1&lt;&gt;"--", IFERROR(VLOOKUP(A144,'0919門市清單主檔'!B:AH,31,FALSE),"")=勤務統計!$D$1, IFERROR(VLOOKUP(A144,勤務統計!A:Q,17,FALSE),"")&lt;&gt;勤務統計!$D$1), 勤務統計!$D$1, ""),
        IF(AND(勤務統計!$E$1&lt;&gt;"--", IFERROR(VLOOKUP(A144,'0919門市清單主檔'!B:AH,32,FALSE),"")=勤務統計!$E$1, IFERROR(VLOOKUP(A144,勤務統計!A:S,19,FALSE),"")&lt;&gt;勤務統計!$E$1), 勤務統計!$E$1, ""),
        IF(AND(勤務統計!$F$1&lt;&gt;"--", IFERROR(VLOOKUP(A144,'0919門市清單主檔'!B:AH,33,FALSE),"")=勤務統計!$F$1, IFERROR(VLOOKUP(A144,勤務統計!A:U,21,FALSE),"")&lt;&gt;勤務統計!$F$1), 勤務統計!$F$1, ""),
        IF(AND(IFERROR(VLOOKUP(A144,'0919門市清單主檔'!B:AH,28,FALSE),"")="HUB", IFERROR(VLOOKUP(A144,勤務統計!A:W,23,FALSE),"")&lt;&gt;"HUB"), "HUB", "")
      ) &amp; "未完工",
      "已完工"
    )
  )
)</f>
        <v>未完工</v>
      </c>
      <c r="P144" s="403" t="str">
        <f>(TEXT(I144,"yyyymmdd"))&amp;勤務統計!$V$2&amp;A144&amp;勤務統計!$V$2&amp;B144&amp;勤務統計!$S$2</f>
        <v>-3452-蘆洲信義店(定保)</v>
      </c>
      <c r="Q144" s="420" t="str">
        <f t="array" ref="Q144">IF(AND(SUMPRODUCT((IM!$F$2:$F$5000=A144)*(ISNUMBER(SEARCH(勤務統計!$D$1, IM!$AC$2:$AC$5000))))&gt;0), 勤務統計!$D$1, "")</f>
        <v/>
      </c>
      <c r="R144" s="421" t="str">
        <f t="array" ref="R144">IFERROR(INDEX(IM!$AM$2:$AM$5000, MATCH(1, (IM!$F$2:$F$5000=A144) * (ISNUMBER(SEARCH(勤務統計!$D$1, IM!$AC$2:$AC$5000))), 0)), "")</f>
        <v/>
      </c>
      <c r="S144" s="406" t="str" cm="1">
        <f t="array" ref="S144">IF(AND(SUMPRODUCT((IM!$F$2:$F$5000=A144)*(ISNUMBER(SEARCH(勤務統計!$E$1, IM!$AC$2:$AC$5000))))&gt;0), 勤務統計!$E$1, "")</f>
        <v>+L90</v>
      </c>
      <c r="T144" s="422">
        <f t="array" ref="T144">IFERROR(INDEX(IM!$AM$2:$AM$5000, MATCH(1, (IM!$F$2:$F$5000=A144) * (ISNUMBER(SEARCH(勤務統計!$E$1, IM!$AC$2:$AC$5000))), 0)), "")</f>
        <v>45967</v>
      </c>
      <c r="U144" s="406" t="str" cm="1">
        <f t="array" ref="U144">IF(AND(SUMPRODUCT((IM!$F$2:$F$5000=A144)*(ISNUMBER(SEARCH(勤務統計!$F$1, IM!$AC$2:$AC$5000))))&gt;0), 勤務統計!$F$1, "")</f>
        <v/>
      </c>
      <c r="V144" s="413" t="str">
        <f t="array" ref="V144">IFERROR(INDEX(IM!$AM$2:$AM$5000, MATCH(1, (IM!$F$2:$F$5000=A144) * (ISNUMBER(SEARCH(勤務統計!$F$1, IM!$AC$2:$AC$5000))), 0)), "")</f>
        <v/>
      </c>
      <c r="W144" s="414" t="str">
        <f>IF(VLOOKUP(A144,'0919門市清單主檔'!B:AC,28,FALSE)=0,"",VLOOKUP(A144,'0919門市清單主檔'!B:AC,28,FALSE))</f>
        <v/>
      </c>
    </row>
    <row r="145" spans="1:23" ht="21.6" customHeight="1">
      <c r="A145" s="423">
        <v>5341</v>
      </c>
      <c r="B145" s="416" t="str">
        <f>VLOOKUP(A145,'0919門市清單主檔'!B:C,2,FALSE)</f>
        <v>蘆洲切仔麵</v>
      </c>
      <c r="C145" s="415" t="str">
        <f>VLOOKUP($A145,'0919門市清單主檔'!B:V,20,FALSE)</f>
        <v>新北市</v>
      </c>
      <c r="D145" s="410" t="str">
        <f>VLOOKUP($A145,'0919門市清單主檔'!B:V,21,FALSE)</f>
        <v>蘆洲區</v>
      </c>
      <c r="E145" s="397" t="str">
        <f>VLOOKUP(D145,門市狀態!G:H,2,FALSE)</f>
        <v>湯家瑋</v>
      </c>
      <c r="F145" s="410" t="str">
        <f>IFERROR(IF(VLOOKUP(A145,門市狀態!A:D,4,FALSE)=0,"",VLOOKUP(A145,門市狀態!A:D,4,FALSE)),"")</f>
        <v/>
      </c>
      <c r="G145" s="424"/>
      <c r="H145" s="425" t="str">
        <f>IF(I145&gt;0,(TEXT(I145,"yyyymmdd")&amp;勤務統計!$V$2&amp;A145&amp;勤務統計!$V$2&amp;B145&amp;勤務統計!$S$2),"")</f>
        <v>-5341-蘆洲切仔麵(定保)</v>
      </c>
      <c r="I145" s="247" t="str">
        <f t="array" ref="I145">IF(AND(SUMPRODUCT((IM!$F$2:$F$5000=A145)*(ISNUMBER(SEARCH(勤務統計!$C$1, IM!$AC$2:$AC$5000))))&gt;0), 勤務統計!$C$1, "")</f>
        <v/>
      </c>
      <c r="J145" s="399" t="str">
        <f t="array" ref="J145">IFERROR(INDEX(IM!$AM$2:$AM$5000, MATCH(1, (IM!$F$2:$F$5000=A145) * (ISNUMBER(SEARCH(勤務統計!$C$1, IM!$AC$2:$AC$5000))), 0)), "")</f>
        <v/>
      </c>
      <c r="K145" s="400">
        <f t="array" ref="K145">SUMPRODUCT((IM!$F$2:$F$5000=A145)*(IM!$AD$2:$AD$5000="O")*(ISNUMBER(SEARCH(勤務統計!$C$1, IM!$AC$2:$AC$5000))))</f>
        <v>0</v>
      </c>
      <c r="L145" s="401" t="str">
        <f t="array" ref="L145">IF(K145&gt;0,IFERROR(HYPERLINK("#'IM'!AC"&amp;MATCH(1,(IM!$F$1:$F$5000=A145)*(ISNUMBER(SEARCH(勤務統計!$C$1,IM!$AC$1:$AC$5000))),0),"檢核"),"未登錄"),"")</f>
        <v/>
      </c>
      <c r="M145" s="402" t="str">
        <f t="shared" si="2"/>
        <v>+L90</v>
      </c>
      <c r="N145" s="402" t="str">
        <f t="array" ref="N145">IF(AND(
    SUMPRODUCT(
        (IM!$F$2:$F$522=A145) *
        ISNUMBER(SEARCH("*HUB*", IM!$AC$2:$AC$522)) *
        (IM!$X$2:$X$522&gt;=勤務統計!$A$1) *
        (IM!$X$2:$X$522&lt;=勤務統計!$B$1)*(W145="HUB")
    ) &gt; 0
), "HUB", "")</f>
        <v/>
      </c>
      <c r="O145" s="400" t="str">
        <f>IF(
  IFERROR(VLOOKUP(A145,勤務統計!A:I,9,FALSE),"")&lt;&gt;勤務統計!$C$1,
  "未完工",
  IF(
    AND(勤務統計!$D$1="--",勤務統計!$E$1="--",勤務統計!$F$1="--"),
    "已完工",
    IF(
      OR(
        AND(勤務統計!$D$1&lt;&gt;"--", IFERROR(VLOOKUP(A145,'0919門市清單主檔'!B:AH,31,FALSE),"")=勤務統計!$D$1, IFERROR(VLOOKUP(A145,勤務統計!A:Q,17,FALSE),"")&lt;&gt;勤務統計!$D$1),
        AND(勤務統計!$E$1&lt;&gt;"--", IFERROR(VLOOKUP(A145,'0919門市清單主檔'!B:AH,32,FALSE),"")=勤務統計!$E$1, IFERROR(VLOOKUP(A145,勤務統計!A:S,19,FALSE),"")&lt;&gt;勤務統計!$E$1),
        AND(勤務統計!$F$1&lt;&gt;"--", IFERROR(VLOOKUP(A145,'0919門市清單主檔'!B:AH,33,FALSE),"")=勤務統計!$F$1, IFERROR(VLOOKUP(A145,勤務統計!A:U,21,FALSE),"")&lt;&gt;勤務統計!$F$1),
        AND(IFERROR(VLOOKUP(A145,'0919門市清單主檔'!B:AH,28,FALSE),"")="HUB", IFERROR(VLOOKUP(A145,勤務統計!A:W,23,FALSE),"")&lt;&gt;"HUB")
      ),
      _xlfn.TEXTJOIN(
        "，",
        TRUE,
        IF(AND(勤務統計!$D$1&lt;&gt;"--", IFERROR(VLOOKUP(A145,'0919門市清單主檔'!B:AH,31,FALSE),"")=勤務統計!$D$1, IFERROR(VLOOKUP(A145,勤務統計!A:Q,17,FALSE),"")&lt;&gt;勤務統計!$D$1), 勤務統計!$D$1, ""),
        IF(AND(勤務統計!$E$1&lt;&gt;"--", IFERROR(VLOOKUP(A145,'0919門市清單主檔'!B:AH,32,FALSE),"")=勤務統計!$E$1, IFERROR(VLOOKUP(A145,勤務統計!A:S,19,FALSE),"")&lt;&gt;勤務統計!$E$1), 勤務統計!$E$1, ""),
        IF(AND(勤務統計!$F$1&lt;&gt;"--", IFERROR(VLOOKUP(A145,'0919門市清單主檔'!B:AH,33,FALSE),"")=勤務統計!$F$1, IFERROR(VLOOKUP(A145,勤務統計!A:U,21,FALSE),"")&lt;&gt;勤務統計!$F$1), 勤務統計!$F$1, ""),
        IF(AND(IFERROR(VLOOKUP(A145,'0919門市清單主檔'!B:AH,28,FALSE),"")="HUB", IFERROR(VLOOKUP(A145,勤務統計!A:W,23,FALSE),"")&lt;&gt;"HUB"), "HUB", "")
      ) &amp; "未完工",
      "已完工"
    )
  )
)</f>
        <v>未完工</v>
      </c>
      <c r="P145" s="403" t="str">
        <f>(TEXT(I145,"yyyymmdd"))&amp;勤務統計!$V$2&amp;A145&amp;勤務統計!$V$2&amp;B145&amp;勤務統計!$S$2</f>
        <v>-5341-蘆洲切仔麵(定保)</v>
      </c>
      <c r="Q145" s="420" t="str">
        <f t="array" ref="Q145">IF(AND(SUMPRODUCT((IM!$F$2:$F$5000=A145)*(ISNUMBER(SEARCH(勤務統計!$D$1, IM!$AC$2:$AC$5000))))&gt;0), 勤務統計!$D$1, "")</f>
        <v/>
      </c>
      <c r="R145" s="421" t="str">
        <f t="array" ref="R145">IFERROR(INDEX(IM!$AM$2:$AM$5000, MATCH(1, (IM!$F$2:$F$5000=A145) * (ISNUMBER(SEARCH(勤務統計!$D$1, IM!$AC$2:$AC$5000))), 0)), "")</f>
        <v/>
      </c>
      <c r="S145" s="406" t="str" cm="1">
        <f t="array" ref="S145">IF(AND(SUMPRODUCT((IM!$F$2:$F$5000=A145)*(ISNUMBER(SEARCH(勤務統計!$E$1, IM!$AC$2:$AC$5000))))&gt;0), 勤務統計!$E$1, "")</f>
        <v>+L90</v>
      </c>
      <c r="T145" s="422">
        <f t="array" ref="T145">IFERROR(INDEX(IM!$AM$2:$AM$5000, MATCH(1, (IM!$F$2:$F$5000=A145) * (ISNUMBER(SEARCH(勤務統計!$E$1, IM!$AC$2:$AC$5000))), 0)), "")</f>
        <v>45967</v>
      </c>
      <c r="U145" s="406" t="str" cm="1">
        <f t="array" ref="U145">IF(AND(SUMPRODUCT((IM!$F$2:$F$5000=A145)*(ISNUMBER(SEARCH(勤務統計!$F$1, IM!$AC$2:$AC$5000))))&gt;0), 勤務統計!$F$1, "")</f>
        <v/>
      </c>
      <c r="V145" s="413" t="str">
        <f t="array" ref="V145">IFERROR(INDEX(IM!$AM$2:$AM$5000, MATCH(1, (IM!$F$2:$F$5000=A145) * (ISNUMBER(SEARCH(勤務統計!$F$1, IM!$AC$2:$AC$5000))), 0)), "")</f>
        <v/>
      </c>
      <c r="W145" s="414" t="str">
        <f>IF(VLOOKUP(A145,'0919門市清單主檔'!B:AC,28,FALSE)=0,"",VLOOKUP(A145,'0919門市清單主檔'!B:AC,28,FALSE))</f>
        <v/>
      </c>
    </row>
    <row r="146" spans="1:23" ht="21.6" customHeight="1">
      <c r="A146" s="423">
        <v>4218</v>
      </c>
      <c r="B146" s="416" t="str">
        <f>VLOOKUP(A146,'0919門市清單主檔'!B:C,2,FALSE)</f>
        <v>蘆洲湧蓮店</v>
      </c>
      <c r="C146" s="415" t="str">
        <f>VLOOKUP($A146,'0919門市清單主檔'!B:V,20,FALSE)</f>
        <v>新北市</v>
      </c>
      <c r="D146" s="410" t="str">
        <f>VLOOKUP($A146,'0919門市清單主檔'!B:V,21,FALSE)</f>
        <v>蘆洲區</v>
      </c>
      <c r="E146" s="397" t="str">
        <f>VLOOKUP(D146,門市狀態!G:H,2,FALSE)</f>
        <v>湯家瑋</v>
      </c>
      <c r="F146" s="410" t="str">
        <f>IFERROR(IF(VLOOKUP(A146,門市狀態!A:D,4,FALSE)=0,"",VLOOKUP(A146,門市狀態!A:D,4,FALSE)),"")</f>
        <v/>
      </c>
      <c r="G146" s="424"/>
      <c r="H146" s="425" t="str">
        <f>IF(I146&gt;0,(TEXT(I146,"yyyymmdd")&amp;勤務統計!$V$2&amp;A146&amp;勤務統計!$V$2&amp;B146&amp;勤務統計!$S$2),"")</f>
        <v>-4218-蘆洲湧蓮店(定保)</v>
      </c>
      <c r="I146" s="247" t="str">
        <f t="array" ref="I146">IF(AND(SUMPRODUCT((IM!$F$2:$F$5000=A146)*(ISNUMBER(SEARCH(勤務統計!$C$1, IM!$AC$2:$AC$5000))))&gt;0), 勤務統計!$C$1, "")</f>
        <v/>
      </c>
      <c r="J146" s="399" t="str">
        <f t="array" ref="J146">IFERROR(INDEX(IM!$AM$2:$AM$5000, MATCH(1, (IM!$F$2:$F$5000=A146) * (ISNUMBER(SEARCH(勤務統計!$C$1, IM!$AC$2:$AC$5000))), 0)), "")</f>
        <v/>
      </c>
      <c r="K146" s="400">
        <f t="array" ref="K146">SUMPRODUCT((IM!$F$2:$F$5000=A146)*(IM!$AD$2:$AD$5000="O")*(ISNUMBER(SEARCH(勤務統計!$C$1, IM!$AC$2:$AC$5000))))</f>
        <v>0</v>
      </c>
      <c r="L146" s="401" t="str">
        <f t="array" ref="L146">IF(K146&gt;0,IFERROR(HYPERLINK("#'IM'!AC"&amp;MATCH(1,(IM!$F$1:$F$5000=A146)*(ISNUMBER(SEARCH(勤務統計!$C$1,IM!$AC$1:$AC$5000))),0),"檢核"),"未登錄"),"")</f>
        <v/>
      </c>
      <c r="M146" s="402" t="str">
        <f t="shared" si="2"/>
        <v>+L90</v>
      </c>
      <c r="N146" s="402" t="str">
        <f t="array" ref="N146">IF(AND(
    SUMPRODUCT(
        (IM!$F$2:$F$522=A146) *
        ISNUMBER(SEARCH("*HUB*", IM!$AC$2:$AC$522)) *
        (IM!$X$2:$X$522&gt;=勤務統計!$A$1) *
        (IM!$X$2:$X$522&lt;=勤務統計!$B$1)*(W146="HUB")
    ) &gt; 0
), "HUB", "")</f>
        <v/>
      </c>
      <c r="O146" s="400" t="str">
        <f>IF(
  IFERROR(VLOOKUP(A146,勤務統計!A:I,9,FALSE),"")&lt;&gt;勤務統計!$C$1,
  "未完工",
  IF(
    AND(勤務統計!$D$1="--",勤務統計!$E$1="--",勤務統計!$F$1="--"),
    "已完工",
    IF(
      OR(
        AND(勤務統計!$D$1&lt;&gt;"--", IFERROR(VLOOKUP(A146,'0919門市清單主檔'!B:AH,31,FALSE),"")=勤務統計!$D$1, IFERROR(VLOOKUP(A146,勤務統計!A:Q,17,FALSE),"")&lt;&gt;勤務統計!$D$1),
        AND(勤務統計!$E$1&lt;&gt;"--", IFERROR(VLOOKUP(A146,'0919門市清單主檔'!B:AH,32,FALSE),"")=勤務統計!$E$1, IFERROR(VLOOKUP(A146,勤務統計!A:S,19,FALSE),"")&lt;&gt;勤務統計!$E$1),
        AND(勤務統計!$F$1&lt;&gt;"--", IFERROR(VLOOKUP(A146,'0919門市清單主檔'!B:AH,33,FALSE),"")=勤務統計!$F$1, IFERROR(VLOOKUP(A146,勤務統計!A:U,21,FALSE),"")&lt;&gt;勤務統計!$F$1),
        AND(IFERROR(VLOOKUP(A146,'0919門市清單主檔'!B:AH,28,FALSE),"")="HUB", IFERROR(VLOOKUP(A146,勤務統計!A:W,23,FALSE),"")&lt;&gt;"HUB")
      ),
      _xlfn.TEXTJOIN(
        "，",
        TRUE,
        IF(AND(勤務統計!$D$1&lt;&gt;"--", IFERROR(VLOOKUP(A146,'0919門市清單主檔'!B:AH,31,FALSE),"")=勤務統計!$D$1, IFERROR(VLOOKUP(A146,勤務統計!A:Q,17,FALSE),"")&lt;&gt;勤務統計!$D$1), 勤務統計!$D$1, ""),
        IF(AND(勤務統計!$E$1&lt;&gt;"--", IFERROR(VLOOKUP(A146,'0919門市清單主檔'!B:AH,32,FALSE),"")=勤務統計!$E$1, IFERROR(VLOOKUP(A146,勤務統計!A:S,19,FALSE),"")&lt;&gt;勤務統計!$E$1), 勤務統計!$E$1, ""),
        IF(AND(勤務統計!$F$1&lt;&gt;"--", IFERROR(VLOOKUP(A146,'0919門市清單主檔'!B:AH,33,FALSE),"")=勤務統計!$F$1, IFERROR(VLOOKUP(A146,勤務統計!A:U,21,FALSE),"")&lt;&gt;勤務統計!$F$1), 勤務統計!$F$1, ""),
        IF(AND(IFERROR(VLOOKUP(A146,'0919門市清單主檔'!B:AH,28,FALSE),"")="HUB", IFERROR(VLOOKUP(A146,勤務統計!A:W,23,FALSE),"")&lt;&gt;"HUB"), "HUB", "")
      ) &amp; "未完工",
      "已完工"
    )
  )
)</f>
        <v>未完工</v>
      </c>
      <c r="P146" s="403" t="str">
        <f>(TEXT(I146,"yyyymmdd"))&amp;勤務統計!$V$2&amp;A146&amp;勤務統計!$V$2&amp;B146&amp;勤務統計!$S$2</f>
        <v>-4218-蘆洲湧蓮店(定保)</v>
      </c>
      <c r="Q146" s="420" t="str">
        <f t="array" ref="Q146">IF(AND(SUMPRODUCT((IM!$F$2:$F$5000=A146)*(ISNUMBER(SEARCH(勤務統計!$D$1, IM!$AC$2:$AC$5000))))&gt;0), 勤務統計!$D$1, "")</f>
        <v/>
      </c>
      <c r="R146" s="421" t="str">
        <f t="array" ref="R146">IFERROR(INDEX(IM!$AM$2:$AM$5000, MATCH(1, (IM!$F$2:$F$5000=A146) * (ISNUMBER(SEARCH(勤務統計!$D$1, IM!$AC$2:$AC$5000))), 0)), "")</f>
        <v/>
      </c>
      <c r="S146" s="406" t="str" cm="1">
        <f t="array" ref="S146">IF(AND(SUMPRODUCT((IM!$F$2:$F$5000=A146)*(ISNUMBER(SEARCH(勤務統計!$E$1, IM!$AC$2:$AC$5000))))&gt;0), 勤務統計!$E$1, "")</f>
        <v>+L90</v>
      </c>
      <c r="T146" s="422">
        <f t="array" ref="T146">IFERROR(INDEX(IM!$AM$2:$AM$5000, MATCH(1, (IM!$F$2:$F$5000=A146) * (ISNUMBER(SEARCH(勤務統計!$E$1, IM!$AC$2:$AC$5000))), 0)), "")</f>
        <v>45967</v>
      </c>
      <c r="U146" s="406" t="str" cm="1">
        <f t="array" ref="U146">IF(AND(SUMPRODUCT((IM!$F$2:$F$5000=A146)*(ISNUMBER(SEARCH(勤務統計!$F$1, IM!$AC$2:$AC$5000))))&gt;0), 勤務統計!$F$1, "")</f>
        <v/>
      </c>
      <c r="V146" s="413" t="str">
        <f t="array" ref="V146">IFERROR(INDEX(IM!$AM$2:$AM$5000, MATCH(1, (IM!$F$2:$F$5000=A146) * (ISNUMBER(SEARCH(勤務統計!$F$1, IM!$AC$2:$AC$5000))), 0)), "")</f>
        <v/>
      </c>
      <c r="W146" s="414" t="str">
        <f>IF(VLOOKUP(A146,'0919門市清單主檔'!B:AC,28,FALSE)=0,"",VLOOKUP(A146,'0919門市清單主檔'!B:AC,28,FALSE))</f>
        <v/>
      </c>
    </row>
    <row r="147" spans="1:23" ht="21.6" customHeight="1">
      <c r="A147" s="423" t="s">
        <v>67</v>
      </c>
      <c r="B147" s="416" t="str">
        <f>VLOOKUP(A147,'0919門市清單主檔'!B:C,2,FALSE)</f>
        <v>新莊福營店</v>
      </c>
      <c r="C147" s="415" t="str">
        <f>VLOOKUP($A147,'0919門市清單主檔'!B:V,20,FALSE)</f>
        <v>新北市</v>
      </c>
      <c r="D147" s="410" t="str">
        <f>VLOOKUP($A147,'0919門市清單主檔'!B:V,21,FALSE)</f>
        <v>新莊區</v>
      </c>
      <c r="E147" s="397" t="str">
        <f>VLOOKUP(D147,門市狀態!G:H,2,FALSE)</f>
        <v>湯家瑋</v>
      </c>
      <c r="F147" s="410" t="str">
        <f>IFERROR(IF(VLOOKUP(A147,門市狀態!A:D,4,FALSE)=0,"",VLOOKUP(A147,門市狀態!A:D,4,FALSE)),"")</f>
        <v>撤店</v>
      </c>
      <c r="G147" s="424"/>
      <c r="H147" s="425" t="str">
        <f>IF(I147&gt;0,(TEXT(I147,"yyyymmdd")&amp;勤務統計!$V$2&amp;A147&amp;勤務統計!$V$2&amp;B147&amp;勤務統計!$S$2),"")</f>
        <v>-D148-新莊福營店(定保)</v>
      </c>
      <c r="I147" s="247" t="str">
        <f t="array" ref="I147">IF(AND(SUMPRODUCT((IM!$F$2:$F$5000=A147)*(ISNUMBER(SEARCH(勤務統計!$C$1, IM!$AC$2:$AC$5000))))&gt;0), 勤務統計!$C$1, "")</f>
        <v/>
      </c>
      <c r="J147" s="399" t="str">
        <f t="array" ref="J147">IFERROR(INDEX(IM!$AM$2:$AM$5000, MATCH(1, (IM!$F$2:$F$5000=A147) * (ISNUMBER(SEARCH(勤務統計!$C$1, IM!$AC$2:$AC$5000))), 0)), "")</f>
        <v/>
      </c>
      <c r="K147" s="400">
        <f t="array" ref="K147">SUMPRODUCT((IM!$F$2:$F$5000=A147)*(IM!$AD$2:$AD$5000="O")*(ISNUMBER(SEARCH(勤務統計!$C$1, IM!$AC$2:$AC$5000))))</f>
        <v>0</v>
      </c>
      <c r="L147" s="401" t="str">
        <f t="array" ref="L147">IF(K147&gt;0,IFERROR(HYPERLINK("#'IM'!AC"&amp;MATCH(1,(IM!$F$1:$F$5000=A147)*(ISNUMBER(SEARCH(勤務統計!$C$1,IM!$AC$1:$AC$5000))),0),"檢核"),"未登錄"),"")</f>
        <v/>
      </c>
      <c r="M147" s="402" t="str">
        <f t="shared" si="2"/>
        <v>+L90</v>
      </c>
      <c r="N147" s="402" t="str">
        <f t="array" ref="N147">IF(AND(
    SUMPRODUCT(
        (IM!$F$2:$F$522=A147) *
        ISNUMBER(SEARCH("*HUB*", IM!$AC$2:$AC$522)) *
        (IM!$X$2:$X$522&gt;=勤務統計!$A$1) *
        (IM!$X$2:$X$522&lt;=勤務統計!$B$1)*(W147="HUB")
    ) &gt; 0
), "HUB", "")</f>
        <v/>
      </c>
      <c r="O147" s="400" t="str">
        <f>IF(
  IFERROR(VLOOKUP(A147,勤務統計!A:I,9,FALSE),"")&lt;&gt;勤務統計!$C$1,
  "未完工",
  IF(
    AND(勤務統計!$D$1="--",勤務統計!$E$1="--",勤務統計!$F$1="--"),
    "已完工",
    IF(
      OR(
        AND(勤務統計!$D$1&lt;&gt;"--", IFERROR(VLOOKUP(A147,'0919門市清單主檔'!B:AH,31,FALSE),"")=勤務統計!$D$1, IFERROR(VLOOKUP(A147,勤務統計!A:Q,17,FALSE),"")&lt;&gt;勤務統計!$D$1),
        AND(勤務統計!$E$1&lt;&gt;"--", IFERROR(VLOOKUP(A147,'0919門市清單主檔'!B:AH,32,FALSE),"")=勤務統計!$E$1, IFERROR(VLOOKUP(A147,勤務統計!A:S,19,FALSE),"")&lt;&gt;勤務統計!$E$1),
        AND(勤務統計!$F$1&lt;&gt;"--", IFERROR(VLOOKUP(A147,'0919門市清單主檔'!B:AH,33,FALSE),"")=勤務統計!$F$1, IFERROR(VLOOKUP(A147,勤務統計!A:U,21,FALSE),"")&lt;&gt;勤務統計!$F$1),
        AND(IFERROR(VLOOKUP(A147,'0919門市清單主檔'!B:AH,28,FALSE),"")="HUB", IFERROR(VLOOKUP(A147,勤務統計!A:W,23,FALSE),"")&lt;&gt;"HUB")
      ),
      _xlfn.TEXTJOIN(
        "，",
        TRUE,
        IF(AND(勤務統計!$D$1&lt;&gt;"--", IFERROR(VLOOKUP(A147,'0919門市清單主檔'!B:AH,31,FALSE),"")=勤務統計!$D$1, IFERROR(VLOOKUP(A147,勤務統計!A:Q,17,FALSE),"")&lt;&gt;勤務統計!$D$1), 勤務統計!$D$1, ""),
        IF(AND(勤務統計!$E$1&lt;&gt;"--", IFERROR(VLOOKUP(A147,'0919門市清單主檔'!B:AH,32,FALSE),"")=勤務統計!$E$1, IFERROR(VLOOKUP(A147,勤務統計!A:S,19,FALSE),"")&lt;&gt;勤務統計!$E$1), 勤務統計!$E$1, ""),
        IF(AND(勤務統計!$F$1&lt;&gt;"--", IFERROR(VLOOKUP(A147,'0919門市清單主檔'!B:AH,33,FALSE),"")=勤務統計!$F$1, IFERROR(VLOOKUP(A147,勤務統計!A:U,21,FALSE),"")&lt;&gt;勤務統計!$F$1), 勤務統計!$F$1, ""),
        IF(AND(IFERROR(VLOOKUP(A147,'0919門市清單主檔'!B:AH,28,FALSE),"")="HUB", IFERROR(VLOOKUP(A147,勤務統計!A:W,23,FALSE),"")&lt;&gt;"HUB"), "HUB", "")
      ) &amp; "未完工",
      "已完工"
    )
  )
)</f>
        <v>未完工</v>
      </c>
      <c r="P147" s="403" t="str">
        <f>(TEXT(I147,"yyyymmdd"))&amp;勤務統計!$V$2&amp;A147&amp;勤務統計!$V$2&amp;B147&amp;勤務統計!$S$2</f>
        <v>-D148-新莊福營店(定保)</v>
      </c>
      <c r="Q147" s="420" t="str">
        <f t="array" ref="Q147">IF(AND(SUMPRODUCT((IM!$F$2:$F$5000=A147)*(ISNUMBER(SEARCH(勤務統計!$D$1, IM!$AC$2:$AC$5000))))&gt;0), 勤務統計!$D$1, "")</f>
        <v/>
      </c>
      <c r="R147" s="421" t="str">
        <f t="array" ref="R147">IFERROR(INDEX(IM!$AM$2:$AM$5000, MATCH(1, (IM!$F$2:$F$5000=A147) * (ISNUMBER(SEARCH(勤務統計!$D$1, IM!$AC$2:$AC$5000))), 0)), "")</f>
        <v/>
      </c>
      <c r="S147" s="406" t="str" cm="1">
        <f t="array" ref="S147">IF(AND(SUMPRODUCT((IM!$F$2:$F$5000=A147)*(ISNUMBER(SEARCH(勤務統計!$E$1, IM!$AC$2:$AC$5000))))&gt;0), 勤務統計!$E$1, "")</f>
        <v>+L90</v>
      </c>
      <c r="T147" s="422">
        <f t="array" ref="T147">IFERROR(INDEX(IM!$AM$2:$AM$5000, MATCH(1, (IM!$F$2:$F$5000=A147) * (ISNUMBER(SEARCH(勤務統計!$E$1, IM!$AC$2:$AC$5000))), 0)), "")</f>
        <v>45968</v>
      </c>
      <c r="U147" s="406" t="str" cm="1">
        <f t="array" ref="U147">IF(AND(SUMPRODUCT((IM!$F$2:$F$5000=A147)*(ISNUMBER(SEARCH(勤務統計!$F$1, IM!$AC$2:$AC$5000))))&gt;0), 勤務統計!$F$1, "")</f>
        <v/>
      </c>
      <c r="V147" s="413" t="str">
        <f t="array" ref="V147">IFERROR(INDEX(IM!$AM$2:$AM$5000, MATCH(1, (IM!$F$2:$F$5000=A147) * (ISNUMBER(SEARCH(勤務統計!$F$1, IM!$AC$2:$AC$5000))), 0)), "")</f>
        <v/>
      </c>
      <c r="W147" s="414" t="str">
        <f>IF(VLOOKUP(A147,'0919門市清單主檔'!B:AC,28,FALSE)=0,"",VLOOKUP(A147,'0919門市清單主檔'!B:AC,28,FALSE))</f>
        <v/>
      </c>
    </row>
    <row r="148" spans="1:23" ht="21.6" customHeight="1">
      <c r="A148" s="423">
        <v>4539</v>
      </c>
      <c r="B148" s="416" t="str">
        <f>VLOOKUP(A148,'0919門市清單主檔'!B:C,2,FALSE)</f>
        <v>三重自信店</v>
      </c>
      <c r="C148" s="415" t="str">
        <f>VLOOKUP($A148,'0919門市清單主檔'!B:V,20,FALSE)</f>
        <v>新北市</v>
      </c>
      <c r="D148" s="410" t="str">
        <f>VLOOKUP($A148,'0919門市清單主檔'!B:V,21,FALSE)</f>
        <v>三重區</v>
      </c>
      <c r="E148" s="397" t="str">
        <f>VLOOKUP(D148,門市狀態!G:H,2,FALSE)</f>
        <v>劉柏均</v>
      </c>
      <c r="F148" s="410" t="str">
        <f>IFERROR(IF(VLOOKUP(A148,門市狀態!A:D,4,FALSE)=0,"",VLOOKUP(A148,門市狀態!A:D,4,FALSE)),"")</f>
        <v/>
      </c>
      <c r="G148" s="424"/>
      <c r="H148" s="425" t="str">
        <f>IF(I148&gt;0,(TEXT(I148,"yyyymmdd")&amp;勤務統計!$V$2&amp;A148&amp;勤務統計!$V$2&amp;B148&amp;勤務統計!$S$2),"")</f>
        <v>-4539-三重自信店(定保)</v>
      </c>
      <c r="I148" s="247" t="str">
        <f t="array" ref="I148">IF(AND(SUMPRODUCT((IM!$F$2:$F$5000=A148)*(ISNUMBER(SEARCH(勤務統計!$C$1, IM!$AC$2:$AC$5000))))&gt;0), 勤務統計!$C$1, "")</f>
        <v/>
      </c>
      <c r="J148" s="399" t="str">
        <f t="array" ref="J148">IFERROR(INDEX(IM!$AM$2:$AM$5000, MATCH(1, (IM!$F$2:$F$5000=A148) * (ISNUMBER(SEARCH(勤務統計!$C$1, IM!$AC$2:$AC$5000))), 0)), "")</f>
        <v/>
      </c>
      <c r="K148" s="400">
        <f t="array" ref="K148">SUMPRODUCT((IM!$F$2:$F$5000=A148)*(IM!$AD$2:$AD$5000="O")*(ISNUMBER(SEARCH(勤務統計!$C$1, IM!$AC$2:$AC$5000))))</f>
        <v>0</v>
      </c>
      <c r="L148" s="401" t="str">
        <f t="array" ref="L148">IF(K148&gt;0,IFERROR(HYPERLINK("#'IM'!AC"&amp;MATCH(1,(IM!$F$1:$F$5000=A148)*(ISNUMBER(SEARCH(勤務統計!$C$1,IM!$AC$1:$AC$5000))),0),"檢核"),"未登錄"),"")</f>
        <v/>
      </c>
      <c r="M148" s="402" t="str">
        <f t="shared" si="2"/>
        <v>+L90</v>
      </c>
      <c r="N148" s="402" t="str">
        <f t="array" ref="N148">IF(AND(
    SUMPRODUCT(
        (IM!$F$2:$F$522=A148) *
        ISNUMBER(SEARCH("*HUB*", IM!$AC$2:$AC$522)) *
        (IM!$X$2:$X$522&gt;=勤務統計!$A$1) *
        (IM!$X$2:$X$522&lt;=勤務統計!$B$1)*(W148="HUB")
    ) &gt; 0
), "HUB", "")</f>
        <v/>
      </c>
      <c r="O148" s="400" t="str">
        <f>IF(
  IFERROR(VLOOKUP(A148,勤務統計!A:I,9,FALSE),"")&lt;&gt;勤務統計!$C$1,
  "未完工",
  IF(
    AND(勤務統計!$D$1="--",勤務統計!$E$1="--",勤務統計!$F$1="--"),
    "已完工",
    IF(
      OR(
        AND(勤務統計!$D$1&lt;&gt;"--", IFERROR(VLOOKUP(A148,'0919門市清單主檔'!B:AH,31,FALSE),"")=勤務統計!$D$1, IFERROR(VLOOKUP(A148,勤務統計!A:Q,17,FALSE),"")&lt;&gt;勤務統計!$D$1),
        AND(勤務統計!$E$1&lt;&gt;"--", IFERROR(VLOOKUP(A148,'0919門市清單主檔'!B:AH,32,FALSE),"")=勤務統計!$E$1, IFERROR(VLOOKUP(A148,勤務統計!A:S,19,FALSE),"")&lt;&gt;勤務統計!$E$1),
        AND(勤務統計!$F$1&lt;&gt;"--", IFERROR(VLOOKUP(A148,'0919門市清單主檔'!B:AH,33,FALSE),"")=勤務統計!$F$1, IFERROR(VLOOKUP(A148,勤務統計!A:U,21,FALSE),"")&lt;&gt;勤務統計!$F$1),
        AND(IFERROR(VLOOKUP(A148,'0919門市清單主檔'!B:AH,28,FALSE),"")="HUB", IFERROR(VLOOKUP(A148,勤務統計!A:W,23,FALSE),"")&lt;&gt;"HUB")
      ),
      _xlfn.TEXTJOIN(
        "，",
        TRUE,
        IF(AND(勤務統計!$D$1&lt;&gt;"--", IFERROR(VLOOKUP(A148,'0919門市清單主檔'!B:AH,31,FALSE),"")=勤務統計!$D$1, IFERROR(VLOOKUP(A148,勤務統計!A:Q,17,FALSE),"")&lt;&gt;勤務統計!$D$1), 勤務統計!$D$1, ""),
        IF(AND(勤務統計!$E$1&lt;&gt;"--", IFERROR(VLOOKUP(A148,'0919門市清單主檔'!B:AH,32,FALSE),"")=勤務統計!$E$1, IFERROR(VLOOKUP(A148,勤務統計!A:S,19,FALSE),"")&lt;&gt;勤務統計!$E$1), 勤務統計!$E$1, ""),
        IF(AND(勤務統計!$F$1&lt;&gt;"--", IFERROR(VLOOKUP(A148,'0919門市清單主檔'!B:AH,33,FALSE),"")=勤務統計!$F$1, IFERROR(VLOOKUP(A148,勤務統計!A:U,21,FALSE),"")&lt;&gt;勤務統計!$F$1), 勤務統計!$F$1, ""),
        IF(AND(IFERROR(VLOOKUP(A148,'0919門市清單主檔'!B:AH,28,FALSE),"")="HUB", IFERROR(VLOOKUP(A148,勤務統計!A:W,23,FALSE),"")&lt;&gt;"HUB"), "HUB", "")
      ) &amp; "未完工",
      "已完工"
    )
  )
)</f>
        <v>未完工</v>
      </c>
      <c r="P148" s="403" t="str">
        <f>(TEXT(I148,"yyyymmdd"))&amp;勤務統計!$V$2&amp;A148&amp;勤務統計!$V$2&amp;B148&amp;勤務統計!$S$2</f>
        <v>-4539-三重自信店(定保)</v>
      </c>
      <c r="Q148" s="420" t="str">
        <f t="array" ref="Q148">IF(AND(SUMPRODUCT((IM!$F$2:$F$5000=A148)*(ISNUMBER(SEARCH(勤務統計!$D$1, IM!$AC$2:$AC$5000))))&gt;0), 勤務統計!$D$1, "")</f>
        <v/>
      </c>
      <c r="R148" s="421" t="str">
        <f t="array" ref="R148">IFERROR(INDEX(IM!$AM$2:$AM$5000, MATCH(1, (IM!$F$2:$F$5000=A148) * (ISNUMBER(SEARCH(勤務統計!$D$1, IM!$AC$2:$AC$5000))), 0)), "")</f>
        <v/>
      </c>
      <c r="S148" s="406" t="str" cm="1">
        <f t="array" ref="S148">IF(AND(SUMPRODUCT((IM!$F$2:$F$5000=A148)*(ISNUMBER(SEARCH(勤務統計!$E$1, IM!$AC$2:$AC$5000))))&gt;0), 勤務統計!$E$1, "")</f>
        <v>+L90</v>
      </c>
      <c r="T148" s="422">
        <f t="array" ref="T148">IFERROR(INDEX(IM!$AM$2:$AM$5000, MATCH(1, (IM!$F$2:$F$5000=A148) * (ISNUMBER(SEARCH(勤務統計!$E$1, IM!$AC$2:$AC$5000))), 0)), "")</f>
        <v>45968</v>
      </c>
      <c r="U148" s="406" t="str" cm="1">
        <f t="array" ref="U148">IF(AND(SUMPRODUCT((IM!$F$2:$F$5000=A148)*(ISNUMBER(SEARCH(勤務統計!$F$1, IM!$AC$2:$AC$5000))))&gt;0), 勤務統計!$F$1, "")</f>
        <v/>
      </c>
      <c r="V148" s="413" t="str">
        <f t="array" ref="V148">IFERROR(INDEX(IM!$AM$2:$AM$5000, MATCH(1, (IM!$F$2:$F$5000=A148) * (ISNUMBER(SEARCH(勤務統計!$F$1, IM!$AC$2:$AC$5000))), 0)), "")</f>
        <v/>
      </c>
      <c r="W148" s="414" t="str">
        <f>IF(VLOOKUP(A148,'0919門市清單主檔'!B:AC,28,FALSE)=0,"",VLOOKUP(A148,'0919門市清單主檔'!B:AC,28,FALSE))</f>
        <v/>
      </c>
    </row>
    <row r="149" spans="1:23" ht="21.6" customHeight="1">
      <c r="A149" s="423">
        <v>4184</v>
      </c>
      <c r="B149" s="416" t="str">
        <f>VLOOKUP(A149,'0919門市清單主檔'!B:C,2,FALSE)</f>
        <v>三重今大店</v>
      </c>
      <c r="C149" s="415" t="str">
        <f>VLOOKUP($A149,'0919門市清單主檔'!B:V,20,FALSE)</f>
        <v>新北市</v>
      </c>
      <c r="D149" s="410" t="str">
        <f>VLOOKUP($A149,'0919門市清單主檔'!B:V,21,FALSE)</f>
        <v>三重區</v>
      </c>
      <c r="E149" s="397" t="str">
        <f>VLOOKUP(D149,門市狀態!G:H,2,FALSE)</f>
        <v>劉柏均</v>
      </c>
      <c r="F149" s="410" t="str">
        <f>IFERROR(IF(VLOOKUP(A149,門市狀態!A:D,4,FALSE)=0,"",VLOOKUP(A149,門市狀態!A:D,4,FALSE)),"")</f>
        <v/>
      </c>
      <c r="G149" s="424"/>
      <c r="H149" s="425" t="str">
        <f>IF(I149&gt;0,(TEXT(I149,"yyyymmdd")&amp;勤務統計!$V$2&amp;A149&amp;勤務統計!$V$2&amp;B149&amp;勤務統計!$S$2),"")</f>
        <v>-4184-三重今大店(定保)</v>
      </c>
      <c r="I149" s="247" t="str">
        <f t="array" ref="I149">IF(AND(SUMPRODUCT((IM!$F$2:$F$5000=A149)*(ISNUMBER(SEARCH(勤務統計!$C$1, IM!$AC$2:$AC$5000))))&gt;0), 勤務統計!$C$1, "")</f>
        <v/>
      </c>
      <c r="J149" s="399" t="str">
        <f t="array" ref="J149">IFERROR(INDEX(IM!$AM$2:$AM$5000, MATCH(1, (IM!$F$2:$F$5000=A149) * (ISNUMBER(SEARCH(勤務統計!$C$1, IM!$AC$2:$AC$5000))), 0)), "")</f>
        <v/>
      </c>
      <c r="K149" s="400">
        <f t="array" ref="K149">SUMPRODUCT((IM!$F$2:$F$5000=A149)*(IM!$AD$2:$AD$5000="O")*(ISNUMBER(SEARCH(勤務統計!$C$1, IM!$AC$2:$AC$5000))))</f>
        <v>0</v>
      </c>
      <c r="L149" s="401" t="str">
        <f t="array" ref="L149">IF(K149&gt;0,IFERROR(HYPERLINK("#'IM'!AC"&amp;MATCH(1,(IM!$F$1:$F$5000=A149)*(ISNUMBER(SEARCH(勤務統計!$C$1,IM!$AC$1:$AC$5000))),0),"檢核"),"未登錄"),"")</f>
        <v/>
      </c>
      <c r="M149" s="402" t="str">
        <f t="shared" si="2"/>
        <v>+L90</v>
      </c>
      <c r="N149" s="402" t="str">
        <f t="array" ref="N149">IF(AND(
    SUMPRODUCT(
        (IM!$F$2:$F$522=A149) *
        ISNUMBER(SEARCH("*HUB*", IM!$AC$2:$AC$522)) *
        (IM!$X$2:$X$522&gt;=勤務統計!$A$1) *
        (IM!$X$2:$X$522&lt;=勤務統計!$B$1)*(W149="HUB")
    ) &gt; 0
), "HUB", "")</f>
        <v/>
      </c>
      <c r="O149" s="400" t="str">
        <f>IF(
  IFERROR(VLOOKUP(A149,勤務統計!A:I,9,FALSE),"")&lt;&gt;勤務統計!$C$1,
  "未完工",
  IF(
    AND(勤務統計!$D$1="--",勤務統計!$E$1="--",勤務統計!$F$1="--"),
    "已完工",
    IF(
      OR(
        AND(勤務統計!$D$1&lt;&gt;"--", IFERROR(VLOOKUP(A149,'0919門市清單主檔'!B:AH,31,FALSE),"")=勤務統計!$D$1, IFERROR(VLOOKUP(A149,勤務統計!A:Q,17,FALSE),"")&lt;&gt;勤務統計!$D$1),
        AND(勤務統計!$E$1&lt;&gt;"--", IFERROR(VLOOKUP(A149,'0919門市清單主檔'!B:AH,32,FALSE),"")=勤務統計!$E$1, IFERROR(VLOOKUP(A149,勤務統計!A:S,19,FALSE),"")&lt;&gt;勤務統計!$E$1),
        AND(勤務統計!$F$1&lt;&gt;"--", IFERROR(VLOOKUP(A149,'0919門市清單主檔'!B:AH,33,FALSE),"")=勤務統計!$F$1, IFERROR(VLOOKUP(A149,勤務統計!A:U,21,FALSE),"")&lt;&gt;勤務統計!$F$1),
        AND(IFERROR(VLOOKUP(A149,'0919門市清單主檔'!B:AH,28,FALSE),"")="HUB", IFERROR(VLOOKUP(A149,勤務統計!A:W,23,FALSE),"")&lt;&gt;"HUB")
      ),
      _xlfn.TEXTJOIN(
        "，",
        TRUE,
        IF(AND(勤務統計!$D$1&lt;&gt;"--", IFERROR(VLOOKUP(A149,'0919門市清單主檔'!B:AH,31,FALSE),"")=勤務統計!$D$1, IFERROR(VLOOKUP(A149,勤務統計!A:Q,17,FALSE),"")&lt;&gt;勤務統計!$D$1), 勤務統計!$D$1, ""),
        IF(AND(勤務統計!$E$1&lt;&gt;"--", IFERROR(VLOOKUP(A149,'0919門市清單主檔'!B:AH,32,FALSE),"")=勤務統計!$E$1, IFERROR(VLOOKUP(A149,勤務統計!A:S,19,FALSE),"")&lt;&gt;勤務統計!$E$1), 勤務統計!$E$1, ""),
        IF(AND(勤務統計!$F$1&lt;&gt;"--", IFERROR(VLOOKUP(A149,'0919門市清單主檔'!B:AH,33,FALSE),"")=勤務統計!$F$1, IFERROR(VLOOKUP(A149,勤務統計!A:U,21,FALSE),"")&lt;&gt;勤務統計!$F$1), 勤務統計!$F$1, ""),
        IF(AND(IFERROR(VLOOKUP(A149,'0919門市清單主檔'!B:AH,28,FALSE),"")="HUB", IFERROR(VLOOKUP(A149,勤務統計!A:W,23,FALSE),"")&lt;&gt;"HUB"), "HUB", "")
      ) &amp; "未完工",
      "已完工"
    )
  )
)</f>
        <v>未完工</v>
      </c>
      <c r="P149" s="403" t="str">
        <f>(TEXT(I149,"yyyymmdd"))&amp;勤務統計!$V$2&amp;A149&amp;勤務統計!$V$2&amp;B149&amp;勤務統計!$S$2</f>
        <v>-4184-三重今大店(定保)</v>
      </c>
      <c r="Q149" s="420" t="str">
        <f t="array" ref="Q149">IF(AND(SUMPRODUCT((IM!$F$2:$F$5000=A149)*(ISNUMBER(SEARCH(勤務統計!$D$1, IM!$AC$2:$AC$5000))))&gt;0), 勤務統計!$D$1, "")</f>
        <v/>
      </c>
      <c r="R149" s="421" t="str">
        <f t="array" ref="R149">IFERROR(INDEX(IM!$AM$2:$AM$5000, MATCH(1, (IM!$F$2:$F$5000=A149) * (ISNUMBER(SEARCH(勤務統計!$D$1, IM!$AC$2:$AC$5000))), 0)), "")</f>
        <v/>
      </c>
      <c r="S149" s="406" t="str" cm="1">
        <f t="array" ref="S149">IF(AND(SUMPRODUCT((IM!$F$2:$F$5000=A149)*(ISNUMBER(SEARCH(勤務統計!$E$1, IM!$AC$2:$AC$5000))))&gt;0), 勤務統計!$E$1, "")</f>
        <v>+L90</v>
      </c>
      <c r="T149" s="422">
        <f t="array" ref="T149">IFERROR(INDEX(IM!$AM$2:$AM$5000, MATCH(1, (IM!$F$2:$F$5000=A149) * (ISNUMBER(SEARCH(勤務統計!$E$1, IM!$AC$2:$AC$5000))), 0)), "")</f>
        <v>45968</v>
      </c>
      <c r="U149" s="406" t="str" cm="1">
        <f t="array" ref="U149">IF(AND(SUMPRODUCT((IM!$F$2:$F$5000=A149)*(ISNUMBER(SEARCH(勤務統計!$F$1, IM!$AC$2:$AC$5000))))&gt;0), 勤務統計!$F$1, "")</f>
        <v/>
      </c>
      <c r="V149" s="413" t="str">
        <f t="array" ref="V149">IFERROR(INDEX(IM!$AM$2:$AM$5000, MATCH(1, (IM!$F$2:$F$5000=A149) * (ISNUMBER(SEARCH(勤務統計!$F$1, IM!$AC$2:$AC$5000))), 0)), "")</f>
        <v/>
      </c>
      <c r="W149" s="414" t="str">
        <f>IF(VLOOKUP(A149,'0919門市清單主檔'!B:AC,28,FALSE)=0,"",VLOOKUP(A149,'0919門市清單主檔'!B:AC,28,FALSE))</f>
        <v/>
      </c>
    </row>
    <row r="150" spans="1:23" ht="21.6" customHeight="1">
      <c r="A150" s="423">
        <v>2543</v>
      </c>
      <c r="B150" s="416" t="str">
        <f>VLOOKUP(A150,'0919門市清單主檔'!B:C,2,FALSE)</f>
        <v>三重大仁店</v>
      </c>
      <c r="C150" s="415" t="str">
        <f>VLOOKUP($A150,'0919門市清單主檔'!B:V,20,FALSE)</f>
        <v>新北市</v>
      </c>
      <c r="D150" s="410" t="str">
        <f>VLOOKUP($A150,'0919門市清單主檔'!B:V,21,FALSE)</f>
        <v>三重區</v>
      </c>
      <c r="E150" s="397" t="str">
        <f>VLOOKUP(D150,門市狀態!G:H,2,FALSE)</f>
        <v>劉柏均</v>
      </c>
      <c r="F150" s="410" t="str">
        <f>IFERROR(IF(VLOOKUP(A150,門市狀態!A:D,4,FALSE)=0,"",VLOOKUP(A150,門市狀態!A:D,4,FALSE)),"")</f>
        <v/>
      </c>
      <c r="G150" s="424"/>
      <c r="H150" s="425" t="str">
        <f>IF(I150&gt;0,(TEXT(I150,"yyyymmdd")&amp;勤務統計!$V$2&amp;A150&amp;勤務統計!$V$2&amp;B150&amp;勤務統計!$S$2),"")</f>
        <v>-2543-三重大仁店(定保)</v>
      </c>
      <c r="I150" s="247" t="str">
        <f t="array" ref="I150">IF(AND(SUMPRODUCT((IM!$F$2:$F$5000=A150)*(ISNUMBER(SEARCH(勤務統計!$C$1, IM!$AC$2:$AC$5000))))&gt;0), 勤務統計!$C$1, "")</f>
        <v/>
      </c>
      <c r="J150" s="399" t="str">
        <f t="array" ref="J150">IFERROR(INDEX(IM!$AM$2:$AM$5000, MATCH(1, (IM!$F$2:$F$5000=A150) * (ISNUMBER(SEARCH(勤務統計!$C$1, IM!$AC$2:$AC$5000))), 0)), "")</f>
        <v/>
      </c>
      <c r="K150" s="400">
        <f t="array" ref="K150">SUMPRODUCT((IM!$F$2:$F$5000=A150)*(IM!$AD$2:$AD$5000="O")*(ISNUMBER(SEARCH(勤務統計!$C$1, IM!$AC$2:$AC$5000))))</f>
        <v>0</v>
      </c>
      <c r="L150" s="401" t="str">
        <f t="array" ref="L150">IF(K150&gt;0,IFERROR(HYPERLINK("#'IM'!AC"&amp;MATCH(1,(IM!$F$1:$F$5000=A150)*(ISNUMBER(SEARCH(勤務統計!$C$1,IM!$AC$1:$AC$5000))),0),"檢核"),"未登錄"),"")</f>
        <v/>
      </c>
      <c r="M150" s="402" t="str">
        <f t="shared" si="2"/>
        <v>+L90</v>
      </c>
      <c r="N150" s="402" t="str">
        <f t="array" ref="N150">IF(AND(
    SUMPRODUCT(
        (IM!$F$2:$F$522=A150) *
        ISNUMBER(SEARCH("*HUB*", IM!$AC$2:$AC$522)) *
        (IM!$X$2:$X$522&gt;=勤務統計!$A$1) *
        (IM!$X$2:$X$522&lt;=勤務統計!$B$1)*(W150="HUB")
    ) &gt; 0
), "HUB", "")</f>
        <v/>
      </c>
      <c r="O150" s="400" t="str">
        <f>IF(
  IFERROR(VLOOKUP(A150,勤務統計!A:I,9,FALSE),"")&lt;&gt;勤務統計!$C$1,
  "未完工",
  IF(
    AND(勤務統計!$D$1="--",勤務統計!$E$1="--",勤務統計!$F$1="--"),
    "已完工",
    IF(
      OR(
        AND(勤務統計!$D$1&lt;&gt;"--", IFERROR(VLOOKUP(A150,'0919門市清單主檔'!B:AH,31,FALSE),"")=勤務統計!$D$1, IFERROR(VLOOKUP(A150,勤務統計!A:Q,17,FALSE),"")&lt;&gt;勤務統計!$D$1),
        AND(勤務統計!$E$1&lt;&gt;"--", IFERROR(VLOOKUP(A150,'0919門市清單主檔'!B:AH,32,FALSE),"")=勤務統計!$E$1, IFERROR(VLOOKUP(A150,勤務統計!A:S,19,FALSE),"")&lt;&gt;勤務統計!$E$1),
        AND(勤務統計!$F$1&lt;&gt;"--", IFERROR(VLOOKUP(A150,'0919門市清單主檔'!B:AH,33,FALSE),"")=勤務統計!$F$1, IFERROR(VLOOKUP(A150,勤務統計!A:U,21,FALSE),"")&lt;&gt;勤務統計!$F$1),
        AND(IFERROR(VLOOKUP(A150,'0919門市清單主檔'!B:AH,28,FALSE),"")="HUB", IFERROR(VLOOKUP(A150,勤務統計!A:W,23,FALSE),"")&lt;&gt;"HUB")
      ),
      _xlfn.TEXTJOIN(
        "，",
        TRUE,
        IF(AND(勤務統計!$D$1&lt;&gt;"--", IFERROR(VLOOKUP(A150,'0919門市清單主檔'!B:AH,31,FALSE),"")=勤務統計!$D$1, IFERROR(VLOOKUP(A150,勤務統計!A:Q,17,FALSE),"")&lt;&gt;勤務統計!$D$1), 勤務統計!$D$1, ""),
        IF(AND(勤務統計!$E$1&lt;&gt;"--", IFERROR(VLOOKUP(A150,'0919門市清單主檔'!B:AH,32,FALSE),"")=勤務統計!$E$1, IFERROR(VLOOKUP(A150,勤務統計!A:S,19,FALSE),"")&lt;&gt;勤務統計!$E$1), 勤務統計!$E$1, ""),
        IF(AND(勤務統計!$F$1&lt;&gt;"--", IFERROR(VLOOKUP(A150,'0919門市清單主檔'!B:AH,33,FALSE),"")=勤務統計!$F$1, IFERROR(VLOOKUP(A150,勤務統計!A:U,21,FALSE),"")&lt;&gt;勤務統計!$F$1), 勤務統計!$F$1, ""),
        IF(AND(IFERROR(VLOOKUP(A150,'0919門市清單主檔'!B:AH,28,FALSE),"")="HUB", IFERROR(VLOOKUP(A150,勤務統計!A:W,23,FALSE),"")&lt;&gt;"HUB"), "HUB", "")
      ) &amp; "未完工",
      "已完工"
    )
  )
)</f>
        <v>未完工</v>
      </c>
      <c r="P150" s="403" t="str">
        <f>(TEXT(I150,"yyyymmdd"))&amp;勤務統計!$V$2&amp;A150&amp;勤務統計!$V$2&amp;B150&amp;勤務統計!$S$2</f>
        <v>-2543-三重大仁店(定保)</v>
      </c>
      <c r="Q150" s="420" t="str">
        <f t="array" ref="Q150">IF(AND(SUMPRODUCT((IM!$F$2:$F$5000=A150)*(ISNUMBER(SEARCH(勤務統計!$D$1, IM!$AC$2:$AC$5000))))&gt;0), 勤務統計!$D$1, "")</f>
        <v/>
      </c>
      <c r="R150" s="421" t="str">
        <f t="array" ref="R150">IFERROR(INDEX(IM!$AM$2:$AM$5000, MATCH(1, (IM!$F$2:$F$5000=A150) * (ISNUMBER(SEARCH(勤務統計!$D$1, IM!$AC$2:$AC$5000))), 0)), "")</f>
        <v/>
      </c>
      <c r="S150" s="406" t="str" cm="1">
        <f t="array" ref="S150">IF(AND(SUMPRODUCT((IM!$F$2:$F$5000=A150)*(ISNUMBER(SEARCH(勤務統計!$E$1, IM!$AC$2:$AC$5000))))&gt;0), 勤務統計!$E$1, "")</f>
        <v>+L90</v>
      </c>
      <c r="T150" s="422">
        <f t="array" ref="T150">IFERROR(INDEX(IM!$AM$2:$AM$5000, MATCH(1, (IM!$F$2:$F$5000=A150) * (ISNUMBER(SEARCH(勤務統計!$E$1, IM!$AC$2:$AC$5000))), 0)), "")</f>
        <v>45968</v>
      </c>
      <c r="U150" s="406" t="str" cm="1">
        <f t="array" ref="U150">IF(AND(SUMPRODUCT((IM!$F$2:$F$5000=A150)*(ISNUMBER(SEARCH(勤務統計!$F$1, IM!$AC$2:$AC$5000))))&gt;0), 勤務統計!$F$1, "")</f>
        <v/>
      </c>
      <c r="V150" s="413" t="str">
        <f t="array" ref="V150">IFERROR(INDEX(IM!$AM$2:$AM$5000, MATCH(1, (IM!$F$2:$F$5000=A150) * (ISNUMBER(SEARCH(勤務統計!$F$1, IM!$AC$2:$AC$5000))), 0)), "")</f>
        <v/>
      </c>
      <c r="W150" s="414" t="str">
        <f>IF(VLOOKUP(A150,'0919門市清單主檔'!B:AC,28,FALSE)=0,"",VLOOKUP(A150,'0919門市清單主檔'!B:AC,28,FALSE))</f>
        <v/>
      </c>
    </row>
    <row r="151" spans="1:23" ht="21.6" customHeight="1">
      <c r="A151" s="423">
        <v>4804</v>
      </c>
      <c r="B151" s="416" t="str">
        <f>VLOOKUP(A151,'0919門市清單主檔'!B:C,2,FALSE)</f>
        <v>三重國隆店</v>
      </c>
      <c r="C151" s="415" t="str">
        <f>VLOOKUP($A151,'0919門市清單主檔'!B:V,20,FALSE)</f>
        <v>新北市</v>
      </c>
      <c r="D151" s="410" t="str">
        <f>VLOOKUP($A151,'0919門市清單主檔'!B:V,21,FALSE)</f>
        <v>三重區</v>
      </c>
      <c r="E151" s="397" t="str">
        <f>VLOOKUP(D151,門市狀態!G:H,2,FALSE)</f>
        <v>劉柏均</v>
      </c>
      <c r="F151" s="410" t="str">
        <f>IFERROR(IF(VLOOKUP(A151,門市狀態!A:D,4,FALSE)=0,"",VLOOKUP(A151,門市狀態!A:D,4,FALSE)),"")</f>
        <v/>
      </c>
      <c r="G151" s="424"/>
      <c r="H151" s="425" t="str">
        <f>IF(I151&gt;0,(TEXT(I151,"yyyymmdd")&amp;勤務統計!$V$2&amp;A151&amp;勤務統計!$V$2&amp;B151&amp;勤務統計!$S$2),"")</f>
        <v>-4804-三重國隆店(定保)</v>
      </c>
      <c r="I151" s="247" t="str">
        <f t="array" ref="I151">IF(AND(SUMPRODUCT((IM!$F$2:$F$5000=A151)*(ISNUMBER(SEARCH(勤務統計!$C$1, IM!$AC$2:$AC$5000))))&gt;0), 勤務統計!$C$1, "")</f>
        <v/>
      </c>
      <c r="J151" s="399" t="str">
        <f t="array" ref="J151">IFERROR(INDEX(IM!$AM$2:$AM$5000, MATCH(1, (IM!$F$2:$F$5000=A151) * (ISNUMBER(SEARCH(勤務統計!$C$1, IM!$AC$2:$AC$5000))), 0)), "")</f>
        <v/>
      </c>
      <c r="K151" s="400">
        <f t="array" ref="K151">SUMPRODUCT((IM!$F$2:$F$5000=A151)*(IM!$AD$2:$AD$5000="O")*(ISNUMBER(SEARCH(勤務統計!$C$1, IM!$AC$2:$AC$5000))))</f>
        <v>0</v>
      </c>
      <c r="L151" s="401" t="str">
        <f t="array" ref="L151">IF(K151&gt;0,IFERROR(HYPERLINK("#'IM'!AC"&amp;MATCH(1,(IM!$F$1:$F$5000=A151)*(ISNUMBER(SEARCH(勤務統計!$C$1,IM!$AC$1:$AC$5000))),0),"檢核"),"未登錄"),"")</f>
        <v/>
      </c>
      <c r="M151" s="402" t="str">
        <f t="shared" si="2"/>
        <v>+L90</v>
      </c>
      <c r="N151" s="402" t="str">
        <f t="array" ref="N151">IF(AND(
    SUMPRODUCT(
        (IM!$F$2:$F$522=A151) *
        ISNUMBER(SEARCH("*HUB*", IM!$AC$2:$AC$522)) *
        (IM!$X$2:$X$522&gt;=勤務統計!$A$1) *
        (IM!$X$2:$X$522&lt;=勤務統計!$B$1)*(W151="HUB")
    ) &gt; 0
), "HUB", "")</f>
        <v/>
      </c>
      <c r="O151" s="400" t="str">
        <f>IF(
  IFERROR(VLOOKUP(A151,勤務統計!A:I,9,FALSE),"")&lt;&gt;勤務統計!$C$1,
  "未完工",
  IF(
    AND(勤務統計!$D$1="--",勤務統計!$E$1="--",勤務統計!$F$1="--"),
    "已完工",
    IF(
      OR(
        AND(勤務統計!$D$1&lt;&gt;"--", IFERROR(VLOOKUP(A151,'0919門市清單主檔'!B:AH,31,FALSE),"")=勤務統計!$D$1, IFERROR(VLOOKUP(A151,勤務統計!A:Q,17,FALSE),"")&lt;&gt;勤務統計!$D$1),
        AND(勤務統計!$E$1&lt;&gt;"--", IFERROR(VLOOKUP(A151,'0919門市清單主檔'!B:AH,32,FALSE),"")=勤務統計!$E$1, IFERROR(VLOOKUP(A151,勤務統計!A:S,19,FALSE),"")&lt;&gt;勤務統計!$E$1),
        AND(勤務統計!$F$1&lt;&gt;"--", IFERROR(VLOOKUP(A151,'0919門市清單主檔'!B:AH,33,FALSE),"")=勤務統計!$F$1, IFERROR(VLOOKUP(A151,勤務統計!A:U,21,FALSE),"")&lt;&gt;勤務統計!$F$1),
        AND(IFERROR(VLOOKUP(A151,'0919門市清單主檔'!B:AH,28,FALSE),"")="HUB", IFERROR(VLOOKUP(A151,勤務統計!A:W,23,FALSE),"")&lt;&gt;"HUB")
      ),
      _xlfn.TEXTJOIN(
        "，",
        TRUE,
        IF(AND(勤務統計!$D$1&lt;&gt;"--", IFERROR(VLOOKUP(A151,'0919門市清單主檔'!B:AH,31,FALSE),"")=勤務統計!$D$1, IFERROR(VLOOKUP(A151,勤務統計!A:Q,17,FALSE),"")&lt;&gt;勤務統計!$D$1), 勤務統計!$D$1, ""),
        IF(AND(勤務統計!$E$1&lt;&gt;"--", IFERROR(VLOOKUP(A151,'0919門市清單主檔'!B:AH,32,FALSE),"")=勤務統計!$E$1, IFERROR(VLOOKUP(A151,勤務統計!A:S,19,FALSE),"")&lt;&gt;勤務統計!$E$1), 勤務統計!$E$1, ""),
        IF(AND(勤務統計!$F$1&lt;&gt;"--", IFERROR(VLOOKUP(A151,'0919門市清單主檔'!B:AH,33,FALSE),"")=勤務統計!$F$1, IFERROR(VLOOKUP(A151,勤務統計!A:U,21,FALSE),"")&lt;&gt;勤務統計!$F$1), 勤務統計!$F$1, ""),
        IF(AND(IFERROR(VLOOKUP(A151,'0919門市清單主檔'!B:AH,28,FALSE),"")="HUB", IFERROR(VLOOKUP(A151,勤務統計!A:W,23,FALSE),"")&lt;&gt;"HUB"), "HUB", "")
      ) &amp; "未完工",
      "已完工"
    )
  )
)</f>
        <v>未完工</v>
      </c>
      <c r="P151" s="403" t="str">
        <f>(TEXT(I151,"yyyymmdd"))&amp;勤務統計!$V$2&amp;A151&amp;勤務統計!$V$2&amp;B151&amp;勤務統計!$S$2</f>
        <v>-4804-三重國隆店(定保)</v>
      </c>
      <c r="Q151" s="420" t="str">
        <f t="array" ref="Q151">IF(AND(SUMPRODUCT((IM!$F$2:$F$5000=A151)*(ISNUMBER(SEARCH(勤務統計!$D$1, IM!$AC$2:$AC$5000))))&gt;0), 勤務統計!$D$1, "")</f>
        <v/>
      </c>
      <c r="R151" s="421" t="str">
        <f t="array" ref="R151">IFERROR(INDEX(IM!$AM$2:$AM$5000, MATCH(1, (IM!$F$2:$F$5000=A151) * (ISNUMBER(SEARCH(勤務統計!$D$1, IM!$AC$2:$AC$5000))), 0)), "")</f>
        <v/>
      </c>
      <c r="S151" s="406" t="str" cm="1">
        <f t="array" ref="S151">IF(AND(SUMPRODUCT((IM!$F$2:$F$5000=A151)*(ISNUMBER(SEARCH(勤務統計!$E$1, IM!$AC$2:$AC$5000))))&gt;0), 勤務統計!$E$1, "")</f>
        <v>+L90</v>
      </c>
      <c r="T151" s="422">
        <f t="array" ref="T151">IFERROR(INDEX(IM!$AM$2:$AM$5000, MATCH(1, (IM!$F$2:$F$5000=A151) * (ISNUMBER(SEARCH(勤務統計!$E$1, IM!$AC$2:$AC$5000))), 0)), "")</f>
        <v>45968</v>
      </c>
      <c r="U151" s="406" t="str" cm="1">
        <f t="array" ref="U151">IF(AND(SUMPRODUCT((IM!$F$2:$F$5000=A151)*(ISNUMBER(SEARCH(勤務統計!$F$1, IM!$AC$2:$AC$5000))))&gt;0), 勤務統計!$F$1, "")</f>
        <v/>
      </c>
      <c r="V151" s="413" t="str">
        <f t="array" ref="V151">IFERROR(INDEX(IM!$AM$2:$AM$5000, MATCH(1, (IM!$F$2:$F$5000=A151) * (ISNUMBER(SEARCH(勤務統計!$F$1, IM!$AC$2:$AC$5000))), 0)), "")</f>
        <v/>
      </c>
      <c r="W151" s="414" t="str">
        <f>IF(VLOOKUP(A151,'0919門市清單主檔'!B:AC,28,FALSE)=0,"",VLOOKUP(A151,'0919門市清單主檔'!B:AC,28,FALSE))</f>
        <v/>
      </c>
    </row>
    <row r="152" spans="1:23" ht="21.6" customHeight="1">
      <c r="A152" s="423">
        <v>4698</v>
      </c>
      <c r="B152" s="416" t="str">
        <f>VLOOKUP(A152,'0919門市清單主檔'!B:C,2,FALSE)</f>
        <v>三重頂崁店</v>
      </c>
      <c r="C152" s="415" t="str">
        <f>VLOOKUP($A152,'0919門市清單主檔'!B:V,20,FALSE)</f>
        <v>新北市</v>
      </c>
      <c r="D152" s="410" t="str">
        <f>VLOOKUP($A152,'0919門市清單主檔'!B:V,21,FALSE)</f>
        <v>三重區</v>
      </c>
      <c r="E152" s="397" t="str">
        <f>VLOOKUP(D152,門市狀態!G:H,2,FALSE)</f>
        <v>劉柏均</v>
      </c>
      <c r="F152" s="410" t="str">
        <f>IFERROR(IF(VLOOKUP(A152,門市狀態!A:D,4,FALSE)=0,"",VLOOKUP(A152,門市狀態!A:D,4,FALSE)),"")</f>
        <v/>
      </c>
      <c r="G152" s="424"/>
      <c r="H152" s="425" t="str">
        <f>IF(I152&gt;0,(TEXT(I152,"yyyymmdd")&amp;勤務統計!$V$2&amp;A152&amp;勤務統計!$V$2&amp;B152&amp;勤務統計!$S$2),"")</f>
        <v>-4698-三重頂崁店(定保)</v>
      </c>
      <c r="I152" s="247" t="str">
        <f t="array" ref="I152">IF(AND(SUMPRODUCT((IM!$F$2:$F$5000=A152)*(ISNUMBER(SEARCH(勤務統計!$C$1, IM!$AC$2:$AC$5000))))&gt;0), 勤務統計!$C$1, "")</f>
        <v/>
      </c>
      <c r="J152" s="399" t="str">
        <f t="array" ref="J152">IFERROR(INDEX(IM!$AM$2:$AM$5000, MATCH(1, (IM!$F$2:$F$5000=A152) * (ISNUMBER(SEARCH(勤務統計!$C$1, IM!$AC$2:$AC$5000))), 0)), "")</f>
        <v/>
      </c>
      <c r="K152" s="400">
        <f t="array" ref="K152">SUMPRODUCT((IM!$F$2:$F$5000=A152)*(IM!$AD$2:$AD$5000="O")*(ISNUMBER(SEARCH(勤務統計!$C$1, IM!$AC$2:$AC$5000))))</f>
        <v>0</v>
      </c>
      <c r="L152" s="401" t="str">
        <f t="array" ref="L152">IF(K152&gt;0,IFERROR(HYPERLINK("#'IM'!AC"&amp;MATCH(1,(IM!$F$1:$F$5000=A152)*(ISNUMBER(SEARCH(勤務統計!$C$1,IM!$AC$1:$AC$5000))),0),"檢核"),"未登錄"),"")</f>
        <v/>
      </c>
      <c r="M152" s="402" t="str">
        <f t="shared" si="2"/>
        <v>+L90</v>
      </c>
      <c r="N152" s="402" t="str">
        <f t="array" ref="N152">IF(AND(
    SUMPRODUCT(
        (IM!$F$2:$F$522=A152) *
        ISNUMBER(SEARCH("*HUB*", IM!$AC$2:$AC$522)) *
        (IM!$X$2:$X$522&gt;=勤務統計!$A$1) *
        (IM!$X$2:$X$522&lt;=勤務統計!$B$1)*(W152="HUB")
    ) &gt; 0
), "HUB", "")</f>
        <v/>
      </c>
      <c r="O152" s="400" t="str">
        <f>IF(
  IFERROR(VLOOKUP(A152,勤務統計!A:I,9,FALSE),"")&lt;&gt;勤務統計!$C$1,
  "未完工",
  IF(
    AND(勤務統計!$D$1="--",勤務統計!$E$1="--",勤務統計!$F$1="--"),
    "已完工",
    IF(
      OR(
        AND(勤務統計!$D$1&lt;&gt;"--", IFERROR(VLOOKUP(A152,'0919門市清單主檔'!B:AH,31,FALSE),"")=勤務統計!$D$1, IFERROR(VLOOKUP(A152,勤務統計!A:Q,17,FALSE),"")&lt;&gt;勤務統計!$D$1),
        AND(勤務統計!$E$1&lt;&gt;"--", IFERROR(VLOOKUP(A152,'0919門市清單主檔'!B:AH,32,FALSE),"")=勤務統計!$E$1, IFERROR(VLOOKUP(A152,勤務統計!A:S,19,FALSE),"")&lt;&gt;勤務統計!$E$1),
        AND(勤務統計!$F$1&lt;&gt;"--", IFERROR(VLOOKUP(A152,'0919門市清單主檔'!B:AH,33,FALSE),"")=勤務統計!$F$1, IFERROR(VLOOKUP(A152,勤務統計!A:U,21,FALSE),"")&lt;&gt;勤務統計!$F$1),
        AND(IFERROR(VLOOKUP(A152,'0919門市清單主檔'!B:AH,28,FALSE),"")="HUB", IFERROR(VLOOKUP(A152,勤務統計!A:W,23,FALSE),"")&lt;&gt;"HUB")
      ),
      _xlfn.TEXTJOIN(
        "，",
        TRUE,
        IF(AND(勤務統計!$D$1&lt;&gt;"--", IFERROR(VLOOKUP(A152,'0919門市清單主檔'!B:AH,31,FALSE),"")=勤務統計!$D$1, IFERROR(VLOOKUP(A152,勤務統計!A:Q,17,FALSE),"")&lt;&gt;勤務統計!$D$1), 勤務統計!$D$1, ""),
        IF(AND(勤務統計!$E$1&lt;&gt;"--", IFERROR(VLOOKUP(A152,'0919門市清單主檔'!B:AH,32,FALSE),"")=勤務統計!$E$1, IFERROR(VLOOKUP(A152,勤務統計!A:S,19,FALSE),"")&lt;&gt;勤務統計!$E$1), 勤務統計!$E$1, ""),
        IF(AND(勤務統計!$F$1&lt;&gt;"--", IFERROR(VLOOKUP(A152,'0919門市清單主檔'!B:AH,33,FALSE),"")=勤務統計!$F$1, IFERROR(VLOOKUP(A152,勤務統計!A:U,21,FALSE),"")&lt;&gt;勤務統計!$F$1), 勤務統計!$F$1, ""),
        IF(AND(IFERROR(VLOOKUP(A152,'0919門市清單主檔'!B:AH,28,FALSE),"")="HUB", IFERROR(VLOOKUP(A152,勤務統計!A:W,23,FALSE),"")&lt;&gt;"HUB"), "HUB", "")
      ) &amp; "未完工",
      "已完工"
    )
  )
)</f>
        <v>未完工</v>
      </c>
      <c r="P152" s="403" t="str">
        <f>(TEXT(I152,"yyyymmdd"))&amp;勤務統計!$V$2&amp;A152&amp;勤務統計!$V$2&amp;B152&amp;勤務統計!$S$2</f>
        <v>-4698-三重頂崁店(定保)</v>
      </c>
      <c r="Q152" s="420" t="str">
        <f t="array" ref="Q152">IF(AND(SUMPRODUCT((IM!$F$2:$F$5000=A152)*(ISNUMBER(SEARCH(勤務統計!$D$1, IM!$AC$2:$AC$5000))))&gt;0), 勤務統計!$D$1, "")</f>
        <v/>
      </c>
      <c r="R152" s="421" t="str">
        <f t="array" ref="R152">IFERROR(INDEX(IM!$AM$2:$AM$5000, MATCH(1, (IM!$F$2:$F$5000=A152) * (ISNUMBER(SEARCH(勤務統計!$D$1, IM!$AC$2:$AC$5000))), 0)), "")</f>
        <v/>
      </c>
      <c r="S152" s="406" t="str" cm="1">
        <f t="array" ref="S152">IF(AND(SUMPRODUCT((IM!$F$2:$F$5000=A152)*(ISNUMBER(SEARCH(勤務統計!$E$1, IM!$AC$2:$AC$5000))))&gt;0), 勤務統計!$E$1, "")</f>
        <v>+L90</v>
      </c>
      <c r="T152" s="422">
        <f t="array" ref="T152">IFERROR(INDEX(IM!$AM$2:$AM$5000, MATCH(1, (IM!$F$2:$F$5000=A152) * (ISNUMBER(SEARCH(勤務統計!$E$1, IM!$AC$2:$AC$5000))), 0)), "")</f>
        <v>45968</v>
      </c>
      <c r="U152" s="406" t="str" cm="1">
        <f t="array" ref="U152">IF(AND(SUMPRODUCT((IM!$F$2:$F$5000=A152)*(ISNUMBER(SEARCH(勤務統計!$F$1, IM!$AC$2:$AC$5000))))&gt;0), 勤務統計!$F$1, "")</f>
        <v/>
      </c>
      <c r="V152" s="413" t="str">
        <f t="array" ref="V152">IFERROR(INDEX(IM!$AM$2:$AM$5000, MATCH(1, (IM!$F$2:$F$5000=A152) * (ISNUMBER(SEARCH(勤務統計!$F$1, IM!$AC$2:$AC$5000))), 0)), "")</f>
        <v/>
      </c>
      <c r="W152" s="414" t="str">
        <f>IF(VLOOKUP(A152,'0919門市清單主檔'!B:AC,28,FALSE)=0,"",VLOOKUP(A152,'0919門市清單主檔'!B:AC,28,FALSE))</f>
        <v/>
      </c>
    </row>
    <row r="153" spans="1:23" ht="21.6" customHeight="1">
      <c r="A153" s="423">
        <v>3601</v>
      </c>
      <c r="B153" s="416" t="str">
        <f>VLOOKUP(A153,'0919門市清單主檔'!B:C,2,FALSE)</f>
        <v>三重重富店</v>
      </c>
      <c r="C153" s="415" t="str">
        <f>VLOOKUP($A153,'0919門市清單主檔'!B:V,20,FALSE)</f>
        <v>新北市</v>
      </c>
      <c r="D153" s="410" t="str">
        <f>VLOOKUP($A153,'0919門市清單主檔'!B:V,21,FALSE)</f>
        <v>三重區</v>
      </c>
      <c r="E153" s="397" t="str">
        <f>VLOOKUP(D153,門市狀態!G:H,2,FALSE)</f>
        <v>劉柏均</v>
      </c>
      <c r="F153" s="410" t="str">
        <f>IFERROR(IF(VLOOKUP(A153,門市狀態!A:D,4,FALSE)=0,"",VLOOKUP(A153,門市狀態!A:D,4,FALSE)),"")</f>
        <v/>
      </c>
      <c r="G153" s="424"/>
      <c r="H153" s="425" t="str">
        <f>IF(I153&gt;0,(TEXT(I153,"yyyymmdd")&amp;勤務統計!$V$2&amp;A153&amp;勤務統計!$V$2&amp;B153&amp;勤務統計!$S$2),"")</f>
        <v>-3601-三重重富店(定保)</v>
      </c>
      <c r="I153" s="247" t="str">
        <f t="array" ref="I153">IF(AND(SUMPRODUCT((IM!$F$2:$F$5000=A153)*(ISNUMBER(SEARCH(勤務統計!$C$1, IM!$AC$2:$AC$5000))))&gt;0), 勤務統計!$C$1, "")</f>
        <v/>
      </c>
      <c r="J153" s="399" t="str">
        <f t="array" ref="J153">IFERROR(INDEX(IM!$AM$2:$AM$5000, MATCH(1, (IM!$F$2:$F$5000=A153) * (ISNUMBER(SEARCH(勤務統計!$C$1, IM!$AC$2:$AC$5000))), 0)), "")</f>
        <v/>
      </c>
      <c r="K153" s="400">
        <f t="array" ref="K153">SUMPRODUCT((IM!$F$2:$F$5000=A153)*(IM!$AD$2:$AD$5000="O")*(ISNUMBER(SEARCH(勤務統計!$C$1, IM!$AC$2:$AC$5000))))</f>
        <v>0</v>
      </c>
      <c r="L153" s="401" t="str">
        <f t="array" ref="L153">IF(K153&gt;0,IFERROR(HYPERLINK("#'IM'!AC"&amp;MATCH(1,(IM!$F$1:$F$5000=A153)*(ISNUMBER(SEARCH(勤務統計!$C$1,IM!$AC$1:$AC$5000))),0),"檢核"),"未登錄"),"")</f>
        <v/>
      </c>
      <c r="M153" s="402" t="str">
        <f t="shared" si="2"/>
        <v>+L90</v>
      </c>
      <c r="N153" s="402" t="str">
        <f t="array" ref="N153">IF(AND(
    SUMPRODUCT(
        (IM!$F$2:$F$522=A153) *
        ISNUMBER(SEARCH("*HUB*", IM!$AC$2:$AC$522)) *
        (IM!$X$2:$X$522&gt;=勤務統計!$A$1) *
        (IM!$X$2:$X$522&lt;=勤務統計!$B$1)*(W153="HUB")
    ) &gt; 0
), "HUB", "")</f>
        <v/>
      </c>
      <c r="O153" s="400" t="str">
        <f>IF(
  IFERROR(VLOOKUP(A153,勤務統計!A:I,9,FALSE),"")&lt;&gt;勤務統計!$C$1,
  "未完工",
  IF(
    AND(勤務統計!$D$1="--",勤務統計!$E$1="--",勤務統計!$F$1="--"),
    "已完工",
    IF(
      OR(
        AND(勤務統計!$D$1&lt;&gt;"--", IFERROR(VLOOKUP(A153,'0919門市清單主檔'!B:AH,31,FALSE),"")=勤務統計!$D$1, IFERROR(VLOOKUP(A153,勤務統計!A:Q,17,FALSE),"")&lt;&gt;勤務統計!$D$1),
        AND(勤務統計!$E$1&lt;&gt;"--", IFERROR(VLOOKUP(A153,'0919門市清單主檔'!B:AH,32,FALSE),"")=勤務統計!$E$1, IFERROR(VLOOKUP(A153,勤務統計!A:S,19,FALSE),"")&lt;&gt;勤務統計!$E$1),
        AND(勤務統計!$F$1&lt;&gt;"--", IFERROR(VLOOKUP(A153,'0919門市清單主檔'!B:AH,33,FALSE),"")=勤務統計!$F$1, IFERROR(VLOOKUP(A153,勤務統計!A:U,21,FALSE),"")&lt;&gt;勤務統計!$F$1),
        AND(IFERROR(VLOOKUP(A153,'0919門市清單主檔'!B:AH,28,FALSE),"")="HUB", IFERROR(VLOOKUP(A153,勤務統計!A:W,23,FALSE),"")&lt;&gt;"HUB")
      ),
      _xlfn.TEXTJOIN(
        "，",
        TRUE,
        IF(AND(勤務統計!$D$1&lt;&gt;"--", IFERROR(VLOOKUP(A153,'0919門市清單主檔'!B:AH,31,FALSE),"")=勤務統計!$D$1, IFERROR(VLOOKUP(A153,勤務統計!A:Q,17,FALSE),"")&lt;&gt;勤務統計!$D$1), 勤務統計!$D$1, ""),
        IF(AND(勤務統計!$E$1&lt;&gt;"--", IFERROR(VLOOKUP(A153,'0919門市清單主檔'!B:AH,32,FALSE),"")=勤務統計!$E$1, IFERROR(VLOOKUP(A153,勤務統計!A:S,19,FALSE),"")&lt;&gt;勤務統計!$E$1), 勤務統計!$E$1, ""),
        IF(AND(勤務統計!$F$1&lt;&gt;"--", IFERROR(VLOOKUP(A153,'0919門市清單主檔'!B:AH,33,FALSE),"")=勤務統計!$F$1, IFERROR(VLOOKUP(A153,勤務統計!A:U,21,FALSE),"")&lt;&gt;勤務統計!$F$1), 勤務統計!$F$1, ""),
        IF(AND(IFERROR(VLOOKUP(A153,'0919門市清單主檔'!B:AH,28,FALSE),"")="HUB", IFERROR(VLOOKUP(A153,勤務統計!A:W,23,FALSE),"")&lt;&gt;"HUB"), "HUB", "")
      ) &amp; "未完工",
      "已完工"
    )
  )
)</f>
        <v>未完工</v>
      </c>
      <c r="P153" s="403" t="str">
        <f>(TEXT(I153,"yyyymmdd"))&amp;勤務統計!$V$2&amp;A153&amp;勤務統計!$V$2&amp;B153&amp;勤務統計!$S$2</f>
        <v>-3601-三重重富店(定保)</v>
      </c>
      <c r="Q153" s="420" t="str">
        <f t="array" ref="Q153">IF(AND(SUMPRODUCT((IM!$F$2:$F$5000=A153)*(ISNUMBER(SEARCH(勤務統計!$D$1, IM!$AC$2:$AC$5000))))&gt;0), 勤務統計!$D$1, "")</f>
        <v/>
      </c>
      <c r="R153" s="421" t="str">
        <f t="array" ref="R153">IFERROR(INDEX(IM!$AM$2:$AM$5000, MATCH(1, (IM!$F$2:$F$5000=A153) * (ISNUMBER(SEARCH(勤務統計!$D$1, IM!$AC$2:$AC$5000))), 0)), "")</f>
        <v/>
      </c>
      <c r="S153" s="406" t="str" cm="1">
        <f t="array" ref="S153">IF(AND(SUMPRODUCT((IM!$F$2:$F$5000=A153)*(ISNUMBER(SEARCH(勤務統計!$E$1, IM!$AC$2:$AC$5000))))&gt;0), 勤務統計!$E$1, "")</f>
        <v>+L90</v>
      </c>
      <c r="T153" s="422">
        <f t="array" ref="T153">IFERROR(INDEX(IM!$AM$2:$AM$5000, MATCH(1, (IM!$F$2:$F$5000=A153) * (ISNUMBER(SEARCH(勤務統計!$E$1, IM!$AC$2:$AC$5000))), 0)), "")</f>
        <v>45968</v>
      </c>
      <c r="U153" s="406" t="str" cm="1">
        <f t="array" ref="U153">IF(AND(SUMPRODUCT((IM!$F$2:$F$5000=A153)*(ISNUMBER(SEARCH(勤務統計!$F$1, IM!$AC$2:$AC$5000))))&gt;0), 勤務統計!$F$1, "")</f>
        <v/>
      </c>
      <c r="V153" s="413" t="str">
        <f t="array" ref="V153">IFERROR(INDEX(IM!$AM$2:$AM$5000, MATCH(1, (IM!$F$2:$F$5000=A153) * (ISNUMBER(SEARCH(勤務統計!$F$1, IM!$AC$2:$AC$5000))), 0)), "")</f>
        <v/>
      </c>
      <c r="W153" s="414" t="str">
        <f>IF(VLOOKUP(A153,'0919門市清單主檔'!B:AC,28,FALSE)=0,"",VLOOKUP(A153,'0919門市清單主檔'!B:AC,28,FALSE))</f>
        <v/>
      </c>
    </row>
    <row r="154" spans="1:23" ht="21.6" customHeight="1">
      <c r="A154" s="423" t="s">
        <v>68</v>
      </c>
      <c r="B154" s="416" t="str">
        <f>VLOOKUP(A154,'0919門市清單主檔'!B:C,2,FALSE)</f>
        <v>田倉新樹店</v>
      </c>
      <c r="C154" s="415" t="str">
        <f>VLOOKUP($A154,'0919門市清單主檔'!B:V,20,FALSE)</f>
        <v>新北市</v>
      </c>
      <c r="D154" s="410" t="str">
        <f>VLOOKUP($A154,'0919門市清單主檔'!B:V,21,FALSE)</f>
        <v>新莊區</v>
      </c>
      <c r="E154" s="397" t="str">
        <f>VLOOKUP(D154,門市狀態!G:H,2,FALSE)</f>
        <v>湯家瑋</v>
      </c>
      <c r="F154" s="410" t="str">
        <f>IFERROR(IF(VLOOKUP(A154,門市狀態!A:D,4,FALSE)=0,"",VLOOKUP(A154,門市狀態!A:D,4,FALSE)),"")</f>
        <v/>
      </c>
      <c r="G154" s="424" t="s">
        <v>47</v>
      </c>
      <c r="H154" s="425" t="str">
        <f>IF(I154&gt;0,(TEXT(I154,"yyyymmdd")&amp;勤務統計!$V$2&amp;A154&amp;勤務統計!$V$2&amp;B154&amp;勤務統計!$S$2),"")</f>
        <v>-L535-田倉新樹店(定保)</v>
      </c>
      <c r="I154" s="247" t="str">
        <f t="array" ref="I154">IF(AND(SUMPRODUCT((IM!$F$2:$F$5000=A154)*(ISNUMBER(SEARCH(勤務統計!$C$1, IM!$AC$2:$AC$5000))))&gt;0), 勤務統計!$C$1, "")</f>
        <v/>
      </c>
      <c r="J154" s="399" t="str">
        <f t="array" ref="J154">IFERROR(INDEX(IM!$AM$2:$AM$5000, MATCH(1, (IM!$F$2:$F$5000=A154) * (ISNUMBER(SEARCH(勤務統計!$C$1, IM!$AC$2:$AC$5000))), 0)), "")</f>
        <v/>
      </c>
      <c r="K154" s="400">
        <f t="array" ref="K154">SUMPRODUCT((IM!$F$2:$F$5000=A154)*(IM!$AD$2:$AD$5000="O")*(ISNUMBER(SEARCH(勤務統計!$C$1, IM!$AC$2:$AC$5000))))</f>
        <v>0</v>
      </c>
      <c r="L154" s="401" t="str">
        <f t="array" ref="L154">IF(K154&gt;0,IFERROR(HYPERLINK("#'IM'!AC"&amp;MATCH(1,(IM!$F$1:$F$5000=A154)*(ISNUMBER(SEARCH(勤務統計!$C$1,IM!$AC$1:$AC$5000))),0),"檢核"),"未登錄"),"")</f>
        <v/>
      </c>
      <c r="M154" s="402" t="str">
        <f t="shared" si="2"/>
        <v/>
      </c>
      <c r="N154" s="402" t="str">
        <f t="array" ref="N154">IF(AND(
    SUMPRODUCT(
        (IM!$F$2:$F$522=A154) *
        ISNUMBER(SEARCH("*HUB*", IM!$AC$2:$AC$522)) *
        (IM!$X$2:$X$522&gt;=勤務統計!$A$1) *
        (IM!$X$2:$X$522&lt;=勤務統計!$B$1)*(W154="HUB")
    ) &gt; 0
), "HUB", "")</f>
        <v/>
      </c>
      <c r="O154" s="400" t="str">
        <f>IF(
  IFERROR(VLOOKUP(A154,勤務統計!A:I,9,FALSE),"")&lt;&gt;勤務統計!$C$1,
  "未完工",
  IF(
    AND(勤務統計!$D$1="--",勤務統計!$E$1="--",勤務統計!$F$1="--"),
    "已完工",
    IF(
      OR(
        AND(勤務統計!$D$1&lt;&gt;"--", IFERROR(VLOOKUP(A154,'0919門市清單主檔'!B:AH,31,FALSE),"")=勤務統計!$D$1, IFERROR(VLOOKUP(A154,勤務統計!A:Q,17,FALSE),"")&lt;&gt;勤務統計!$D$1),
        AND(勤務統計!$E$1&lt;&gt;"--", IFERROR(VLOOKUP(A154,'0919門市清單主檔'!B:AH,32,FALSE),"")=勤務統計!$E$1, IFERROR(VLOOKUP(A154,勤務統計!A:S,19,FALSE),"")&lt;&gt;勤務統計!$E$1),
        AND(勤務統計!$F$1&lt;&gt;"--", IFERROR(VLOOKUP(A154,'0919門市清單主檔'!B:AH,33,FALSE),"")=勤務統計!$F$1, IFERROR(VLOOKUP(A154,勤務統計!A:U,21,FALSE),"")&lt;&gt;勤務統計!$F$1),
        AND(IFERROR(VLOOKUP(A154,'0919門市清單主檔'!B:AH,28,FALSE),"")="HUB", IFERROR(VLOOKUP(A154,勤務統計!A:W,23,FALSE),"")&lt;&gt;"HUB")
      ),
      _xlfn.TEXTJOIN(
        "，",
        TRUE,
        IF(AND(勤務統計!$D$1&lt;&gt;"--", IFERROR(VLOOKUP(A154,'0919門市清單主檔'!B:AH,31,FALSE),"")=勤務統計!$D$1, IFERROR(VLOOKUP(A154,勤務統計!A:Q,17,FALSE),"")&lt;&gt;勤務統計!$D$1), 勤務統計!$D$1, ""),
        IF(AND(勤務統計!$E$1&lt;&gt;"--", IFERROR(VLOOKUP(A154,'0919門市清單主檔'!B:AH,32,FALSE),"")=勤務統計!$E$1, IFERROR(VLOOKUP(A154,勤務統計!A:S,19,FALSE),"")&lt;&gt;勤務統計!$E$1), 勤務統計!$E$1, ""),
        IF(AND(勤務統計!$F$1&lt;&gt;"--", IFERROR(VLOOKUP(A154,'0919門市清單主檔'!B:AH,33,FALSE),"")=勤務統計!$F$1, IFERROR(VLOOKUP(A154,勤務統計!A:U,21,FALSE),"")&lt;&gt;勤務統計!$F$1), 勤務統計!$F$1, ""),
        IF(AND(IFERROR(VLOOKUP(A154,'0919門市清單主檔'!B:AH,28,FALSE),"")="HUB", IFERROR(VLOOKUP(A154,勤務統計!A:W,23,FALSE),"")&lt;&gt;"HUB"), "HUB", "")
      ) &amp; "未完工",
      "已完工"
    )
  )
)</f>
        <v>未完工</v>
      </c>
      <c r="P154" s="403" t="str">
        <f>(TEXT(I154,"yyyymmdd"))&amp;勤務統計!$V$2&amp;A154&amp;勤務統計!$V$2&amp;B154&amp;勤務統計!$S$2</f>
        <v>-L535-田倉新樹店(定保)</v>
      </c>
      <c r="Q154" s="420" t="str">
        <f t="array" ref="Q154">IF(AND(SUMPRODUCT((IM!$F$2:$F$5000=A154)*(ISNUMBER(SEARCH(勤務統計!$D$1, IM!$AC$2:$AC$5000))))&gt;0), 勤務統計!$D$1, "")</f>
        <v/>
      </c>
      <c r="R154" s="421" t="str">
        <f t="array" ref="R154">IFERROR(INDEX(IM!$AM$2:$AM$5000, MATCH(1, (IM!$F$2:$F$5000=A154) * (ISNUMBER(SEARCH(勤務統計!$D$1, IM!$AC$2:$AC$5000))), 0)), "")</f>
        <v/>
      </c>
      <c r="S154" s="406" t="str" cm="1">
        <f t="array" ref="S154">IF(AND(SUMPRODUCT((IM!$F$2:$F$5000=A154)*(ISNUMBER(SEARCH(勤務統計!$E$1, IM!$AC$2:$AC$5000))))&gt;0), 勤務統計!$E$1, "")</f>
        <v/>
      </c>
      <c r="T154" s="422" t="str">
        <f t="array" ref="T154">IFERROR(INDEX(IM!$AM$2:$AM$5000, MATCH(1, (IM!$F$2:$F$5000=A154) * (ISNUMBER(SEARCH(勤務統計!$E$1, IM!$AC$2:$AC$5000))), 0)), "")</f>
        <v/>
      </c>
      <c r="U154" s="406" t="str" cm="1">
        <f t="array" ref="U154">IF(AND(SUMPRODUCT((IM!$F$2:$F$5000=A154)*(ISNUMBER(SEARCH(勤務統計!$F$1, IM!$AC$2:$AC$5000))))&gt;0), 勤務統計!$F$1, "")</f>
        <v/>
      </c>
      <c r="V154" s="413" t="str">
        <f t="array" ref="V154">IFERROR(INDEX(IM!$AM$2:$AM$5000, MATCH(1, (IM!$F$2:$F$5000=A154) * (ISNUMBER(SEARCH(勤務統計!$F$1, IM!$AC$2:$AC$5000))), 0)), "")</f>
        <v/>
      </c>
      <c r="W154" s="414" t="str">
        <f>IF(VLOOKUP(A154,'0919門市清單主檔'!B:AC,28,FALSE)=0,"",VLOOKUP(A154,'0919門市清單主檔'!B:AC,28,FALSE))</f>
        <v/>
      </c>
    </row>
    <row r="155" spans="1:23" ht="21.6" customHeight="1">
      <c r="A155" s="423">
        <v>5291</v>
      </c>
      <c r="B155" s="416" t="str">
        <f>VLOOKUP(A155,'0919門市清單主檔'!B:C,2,FALSE)</f>
        <v>新莊國家置地</v>
      </c>
      <c r="C155" s="415" t="str">
        <f>VLOOKUP($A155,'0919門市清單主檔'!B:V,20,FALSE)</f>
        <v>新北市</v>
      </c>
      <c r="D155" s="410" t="str">
        <f>VLOOKUP($A155,'0919門市清單主檔'!B:V,21,FALSE)</f>
        <v>新莊區</v>
      </c>
      <c r="E155" s="397" t="str">
        <f>VLOOKUP(D155,門市狀態!G:H,2,FALSE)</f>
        <v>湯家瑋</v>
      </c>
      <c r="F155" s="410" t="str">
        <f>IFERROR(IF(VLOOKUP(A155,門市狀態!A:D,4,FALSE)=0,"",VLOOKUP(A155,門市狀態!A:D,4,FALSE)),"")</f>
        <v/>
      </c>
      <c r="G155" s="424"/>
      <c r="H155" s="425" t="str">
        <f>IF(I155&gt;0,(TEXT(I155,"yyyymmdd")&amp;勤務統計!$V$2&amp;A155&amp;勤務統計!$V$2&amp;B155&amp;勤務統計!$S$2),"")</f>
        <v>-5291-新莊國家置地(定保)</v>
      </c>
      <c r="I155" s="247" t="str">
        <f t="array" ref="I155">IF(AND(SUMPRODUCT((IM!$F$2:$F$5000=A155)*(ISNUMBER(SEARCH(勤務統計!$C$1, IM!$AC$2:$AC$5000))))&gt;0), 勤務統計!$C$1, "")</f>
        <v/>
      </c>
      <c r="J155" s="399" t="str">
        <f t="array" ref="J155">IFERROR(INDEX(IM!$AM$2:$AM$5000, MATCH(1, (IM!$F$2:$F$5000=A155) * (ISNUMBER(SEARCH(勤務統計!$C$1, IM!$AC$2:$AC$5000))), 0)), "")</f>
        <v/>
      </c>
      <c r="K155" s="400">
        <f t="array" ref="K155">SUMPRODUCT((IM!$F$2:$F$5000=A155)*(IM!$AD$2:$AD$5000="O")*(ISNUMBER(SEARCH(勤務統計!$C$1, IM!$AC$2:$AC$5000))))</f>
        <v>0</v>
      </c>
      <c r="L155" s="401" t="str">
        <f t="array" ref="L155">IF(K155&gt;0,IFERROR(HYPERLINK("#'IM'!AC"&amp;MATCH(1,(IM!$F$1:$F$5000=A155)*(ISNUMBER(SEARCH(勤務統計!$C$1,IM!$AC$1:$AC$5000))),0),"檢核"),"未登錄"),"")</f>
        <v/>
      </c>
      <c r="M155" s="402" t="str">
        <f t="shared" si="2"/>
        <v>+L90</v>
      </c>
      <c r="N155" s="402" t="str">
        <f t="array" ref="N155">IF(AND(
    SUMPRODUCT(
        (IM!$F$2:$F$522=A155) *
        ISNUMBER(SEARCH("*HUB*", IM!$AC$2:$AC$522)) *
        (IM!$X$2:$X$522&gt;=勤務統計!$A$1) *
        (IM!$X$2:$X$522&lt;=勤務統計!$B$1)*(W155="HUB")
    ) &gt; 0
), "HUB", "")</f>
        <v/>
      </c>
      <c r="O155" s="400" t="str">
        <f>IF(
  IFERROR(VLOOKUP(A155,勤務統計!A:I,9,FALSE),"")&lt;&gt;勤務統計!$C$1,
  "未完工",
  IF(
    AND(勤務統計!$D$1="--",勤務統計!$E$1="--",勤務統計!$F$1="--"),
    "已完工",
    IF(
      OR(
        AND(勤務統計!$D$1&lt;&gt;"--", IFERROR(VLOOKUP(A155,'0919門市清單主檔'!B:AH,31,FALSE),"")=勤務統計!$D$1, IFERROR(VLOOKUP(A155,勤務統計!A:Q,17,FALSE),"")&lt;&gt;勤務統計!$D$1),
        AND(勤務統計!$E$1&lt;&gt;"--", IFERROR(VLOOKUP(A155,'0919門市清單主檔'!B:AH,32,FALSE),"")=勤務統計!$E$1, IFERROR(VLOOKUP(A155,勤務統計!A:S,19,FALSE),"")&lt;&gt;勤務統計!$E$1),
        AND(勤務統計!$F$1&lt;&gt;"--", IFERROR(VLOOKUP(A155,'0919門市清單主檔'!B:AH,33,FALSE),"")=勤務統計!$F$1, IFERROR(VLOOKUP(A155,勤務統計!A:U,21,FALSE),"")&lt;&gt;勤務統計!$F$1),
        AND(IFERROR(VLOOKUP(A155,'0919門市清單主檔'!B:AH,28,FALSE),"")="HUB", IFERROR(VLOOKUP(A155,勤務統計!A:W,23,FALSE),"")&lt;&gt;"HUB")
      ),
      _xlfn.TEXTJOIN(
        "，",
        TRUE,
        IF(AND(勤務統計!$D$1&lt;&gt;"--", IFERROR(VLOOKUP(A155,'0919門市清單主檔'!B:AH,31,FALSE),"")=勤務統計!$D$1, IFERROR(VLOOKUP(A155,勤務統計!A:Q,17,FALSE),"")&lt;&gt;勤務統計!$D$1), 勤務統計!$D$1, ""),
        IF(AND(勤務統計!$E$1&lt;&gt;"--", IFERROR(VLOOKUP(A155,'0919門市清單主檔'!B:AH,32,FALSE),"")=勤務統計!$E$1, IFERROR(VLOOKUP(A155,勤務統計!A:S,19,FALSE),"")&lt;&gt;勤務統計!$E$1), 勤務統計!$E$1, ""),
        IF(AND(勤務統計!$F$1&lt;&gt;"--", IFERROR(VLOOKUP(A155,'0919門市清單主檔'!B:AH,33,FALSE),"")=勤務統計!$F$1, IFERROR(VLOOKUP(A155,勤務統計!A:U,21,FALSE),"")&lt;&gt;勤務統計!$F$1), 勤務統計!$F$1, ""),
        IF(AND(IFERROR(VLOOKUP(A155,'0919門市清單主檔'!B:AH,28,FALSE),"")="HUB", IFERROR(VLOOKUP(A155,勤務統計!A:W,23,FALSE),"")&lt;&gt;"HUB"), "HUB", "")
      ) &amp; "未完工",
      "已完工"
    )
  )
)</f>
        <v>未完工</v>
      </c>
      <c r="P155" s="403" t="str">
        <f>(TEXT(I155,"yyyymmdd"))&amp;勤務統計!$V$2&amp;A155&amp;勤務統計!$V$2&amp;B155&amp;勤務統計!$S$2</f>
        <v>-5291-新莊國家置地(定保)</v>
      </c>
      <c r="Q155" s="420" t="str">
        <f t="array" ref="Q155">IF(AND(SUMPRODUCT((IM!$F$2:$F$5000=A155)*(ISNUMBER(SEARCH(勤務統計!$D$1, IM!$AC$2:$AC$5000))))&gt;0), 勤務統計!$D$1, "")</f>
        <v/>
      </c>
      <c r="R155" s="421" t="str">
        <f t="array" ref="R155">IFERROR(INDEX(IM!$AM$2:$AM$5000, MATCH(1, (IM!$F$2:$F$5000=A155) * (ISNUMBER(SEARCH(勤務統計!$D$1, IM!$AC$2:$AC$5000))), 0)), "")</f>
        <v/>
      </c>
      <c r="S155" s="406" t="str" cm="1">
        <f t="array" ref="S155">IF(AND(SUMPRODUCT((IM!$F$2:$F$5000=A155)*(ISNUMBER(SEARCH(勤務統計!$E$1, IM!$AC$2:$AC$5000))))&gt;0), 勤務統計!$E$1, "")</f>
        <v>+L90</v>
      </c>
      <c r="T155" s="422">
        <f t="array" ref="T155">IFERROR(INDEX(IM!$AM$2:$AM$5000, MATCH(1, (IM!$F$2:$F$5000=A155) * (ISNUMBER(SEARCH(勤務統計!$E$1, IM!$AC$2:$AC$5000))), 0)), "")</f>
        <v>45972</v>
      </c>
      <c r="U155" s="406" t="str" cm="1">
        <f t="array" ref="U155">IF(AND(SUMPRODUCT((IM!$F$2:$F$5000=A155)*(ISNUMBER(SEARCH(勤務統計!$F$1, IM!$AC$2:$AC$5000))))&gt;0), 勤務統計!$F$1, "")</f>
        <v/>
      </c>
      <c r="V155" s="413" t="str">
        <f t="array" ref="V155">IFERROR(INDEX(IM!$AM$2:$AM$5000, MATCH(1, (IM!$F$2:$F$5000=A155) * (ISNUMBER(SEARCH(勤務統計!$F$1, IM!$AC$2:$AC$5000))), 0)), "")</f>
        <v/>
      </c>
      <c r="W155" s="414" t="str">
        <f>IF(VLOOKUP(A155,'0919門市清單主檔'!B:AC,28,FALSE)=0,"",VLOOKUP(A155,'0919門市清單主檔'!B:AC,28,FALSE))</f>
        <v/>
      </c>
    </row>
    <row r="156" spans="1:23" ht="21.6" customHeight="1">
      <c r="A156" s="423" t="s">
        <v>69</v>
      </c>
      <c r="B156" s="416" t="str">
        <f>VLOOKUP(A156,'0919門市清單主檔'!B:C,2,FALSE)</f>
        <v>三重興德店</v>
      </c>
      <c r="C156" s="415" t="str">
        <f>VLOOKUP($A156,'0919門市清單主檔'!B:V,20,FALSE)</f>
        <v>新北市</v>
      </c>
      <c r="D156" s="410" t="str">
        <f>VLOOKUP($A156,'0919門市清單主檔'!B:V,21,FALSE)</f>
        <v>三重區</v>
      </c>
      <c r="E156" s="397" t="str">
        <f>VLOOKUP(D156,門市狀態!G:H,2,FALSE)</f>
        <v>劉柏均</v>
      </c>
      <c r="F156" s="410" t="str">
        <f>IFERROR(IF(VLOOKUP(A156,門市狀態!A:D,4,FALSE)=0,"",VLOOKUP(A156,門市狀態!A:D,4,FALSE)),"")</f>
        <v/>
      </c>
      <c r="G156" s="424"/>
      <c r="H156" s="425" t="str">
        <f>IF(I156&gt;0,(TEXT(I156,"yyyymmdd")&amp;勤務統計!$V$2&amp;A156&amp;勤務統計!$V$2&amp;B156&amp;勤務統計!$S$2),"")</f>
        <v>-D191-三重興德店(定保)</v>
      </c>
      <c r="I156" s="247" t="str">
        <f t="array" ref="I156">IF(AND(SUMPRODUCT((IM!$F$2:$F$5000=A156)*(ISNUMBER(SEARCH(勤務統計!$C$1, IM!$AC$2:$AC$5000))))&gt;0), 勤務統計!$C$1, "")</f>
        <v/>
      </c>
      <c r="J156" s="399" t="str">
        <f t="array" ref="J156">IFERROR(INDEX(IM!$AM$2:$AM$5000, MATCH(1, (IM!$F$2:$F$5000=A156) * (ISNUMBER(SEARCH(勤務統計!$C$1, IM!$AC$2:$AC$5000))), 0)), "")</f>
        <v/>
      </c>
      <c r="K156" s="400">
        <f t="array" ref="K156">SUMPRODUCT((IM!$F$2:$F$5000=A156)*(IM!$AD$2:$AD$5000="O")*(ISNUMBER(SEARCH(勤務統計!$C$1, IM!$AC$2:$AC$5000))))</f>
        <v>0</v>
      </c>
      <c r="L156" s="401" t="str">
        <f t="array" ref="L156">IF(K156&gt;0,IFERROR(HYPERLINK("#'IM'!AC"&amp;MATCH(1,(IM!$F$1:$F$5000=A156)*(ISNUMBER(SEARCH(勤務統計!$C$1,IM!$AC$1:$AC$5000))),0),"檢核"),"未登錄"),"")</f>
        <v/>
      </c>
      <c r="M156" s="402" t="str">
        <f t="shared" si="2"/>
        <v>+L90</v>
      </c>
      <c r="N156" s="402" t="str">
        <f t="array" ref="N156">IF(AND(
    SUMPRODUCT(
        (IM!$F$2:$F$522=A156) *
        ISNUMBER(SEARCH("*HUB*", IM!$AC$2:$AC$522)) *
        (IM!$X$2:$X$522&gt;=勤務統計!$A$1) *
        (IM!$X$2:$X$522&lt;=勤務統計!$B$1)*(W156="HUB")
    ) &gt; 0
), "HUB", "")</f>
        <v/>
      </c>
      <c r="O156" s="400" t="str">
        <f>IF(
  IFERROR(VLOOKUP(A156,勤務統計!A:I,9,FALSE),"")&lt;&gt;勤務統計!$C$1,
  "未完工",
  IF(
    AND(勤務統計!$D$1="--",勤務統計!$E$1="--",勤務統計!$F$1="--"),
    "已完工",
    IF(
      OR(
        AND(勤務統計!$D$1&lt;&gt;"--", IFERROR(VLOOKUP(A156,'0919門市清單主檔'!B:AH,31,FALSE),"")=勤務統計!$D$1, IFERROR(VLOOKUP(A156,勤務統計!A:Q,17,FALSE),"")&lt;&gt;勤務統計!$D$1),
        AND(勤務統計!$E$1&lt;&gt;"--", IFERROR(VLOOKUP(A156,'0919門市清單主檔'!B:AH,32,FALSE),"")=勤務統計!$E$1, IFERROR(VLOOKUP(A156,勤務統計!A:S,19,FALSE),"")&lt;&gt;勤務統計!$E$1),
        AND(勤務統計!$F$1&lt;&gt;"--", IFERROR(VLOOKUP(A156,'0919門市清單主檔'!B:AH,33,FALSE),"")=勤務統計!$F$1, IFERROR(VLOOKUP(A156,勤務統計!A:U,21,FALSE),"")&lt;&gt;勤務統計!$F$1),
        AND(IFERROR(VLOOKUP(A156,'0919門市清單主檔'!B:AH,28,FALSE),"")="HUB", IFERROR(VLOOKUP(A156,勤務統計!A:W,23,FALSE),"")&lt;&gt;"HUB")
      ),
      _xlfn.TEXTJOIN(
        "，",
        TRUE,
        IF(AND(勤務統計!$D$1&lt;&gt;"--", IFERROR(VLOOKUP(A156,'0919門市清單主檔'!B:AH,31,FALSE),"")=勤務統計!$D$1, IFERROR(VLOOKUP(A156,勤務統計!A:Q,17,FALSE),"")&lt;&gt;勤務統計!$D$1), 勤務統計!$D$1, ""),
        IF(AND(勤務統計!$E$1&lt;&gt;"--", IFERROR(VLOOKUP(A156,'0919門市清單主檔'!B:AH,32,FALSE),"")=勤務統計!$E$1, IFERROR(VLOOKUP(A156,勤務統計!A:S,19,FALSE),"")&lt;&gt;勤務統計!$E$1), 勤務統計!$E$1, ""),
        IF(AND(勤務統計!$F$1&lt;&gt;"--", IFERROR(VLOOKUP(A156,'0919門市清單主檔'!B:AH,33,FALSE),"")=勤務統計!$F$1, IFERROR(VLOOKUP(A156,勤務統計!A:U,21,FALSE),"")&lt;&gt;勤務統計!$F$1), 勤務統計!$F$1, ""),
        IF(AND(IFERROR(VLOOKUP(A156,'0919門市清單主檔'!B:AH,28,FALSE),"")="HUB", IFERROR(VLOOKUP(A156,勤務統計!A:W,23,FALSE),"")&lt;&gt;"HUB"), "HUB", "")
      ) &amp; "未完工",
      "已完工"
    )
  )
)</f>
        <v>未完工</v>
      </c>
      <c r="P156" s="403" t="str">
        <f>(TEXT(I156,"yyyymmdd"))&amp;勤務統計!$V$2&amp;A156&amp;勤務統計!$V$2&amp;B156&amp;勤務統計!$S$2</f>
        <v>-D191-三重興德店(定保)</v>
      </c>
      <c r="Q156" s="420" t="str">
        <f t="array" ref="Q156">IF(AND(SUMPRODUCT((IM!$F$2:$F$5000=A156)*(ISNUMBER(SEARCH(勤務統計!$D$1, IM!$AC$2:$AC$5000))))&gt;0), 勤務統計!$D$1, "")</f>
        <v/>
      </c>
      <c r="R156" s="421" t="str">
        <f t="array" ref="R156">IFERROR(INDEX(IM!$AM$2:$AM$5000, MATCH(1, (IM!$F$2:$F$5000=A156) * (ISNUMBER(SEARCH(勤務統計!$D$1, IM!$AC$2:$AC$5000))), 0)), "")</f>
        <v/>
      </c>
      <c r="S156" s="406" t="str" cm="1">
        <f t="array" ref="S156">IF(AND(SUMPRODUCT((IM!$F$2:$F$5000=A156)*(ISNUMBER(SEARCH(勤務統計!$E$1, IM!$AC$2:$AC$5000))))&gt;0), 勤務統計!$E$1, "")</f>
        <v>+L90</v>
      </c>
      <c r="T156" s="422">
        <f t="array" ref="T156">IFERROR(INDEX(IM!$AM$2:$AM$5000, MATCH(1, (IM!$F$2:$F$5000=A156) * (ISNUMBER(SEARCH(勤務統計!$E$1, IM!$AC$2:$AC$5000))), 0)), "")</f>
        <v>45972</v>
      </c>
      <c r="U156" s="406" t="str" cm="1">
        <f t="array" ref="U156">IF(AND(SUMPRODUCT((IM!$F$2:$F$5000=A156)*(ISNUMBER(SEARCH(勤務統計!$F$1, IM!$AC$2:$AC$5000))))&gt;0), 勤務統計!$F$1, "")</f>
        <v/>
      </c>
      <c r="V156" s="413" t="str">
        <f t="array" ref="V156">IFERROR(INDEX(IM!$AM$2:$AM$5000, MATCH(1, (IM!$F$2:$F$5000=A156) * (ISNUMBER(SEARCH(勤務統計!$F$1, IM!$AC$2:$AC$5000))), 0)), "")</f>
        <v/>
      </c>
      <c r="W156" s="414" t="str">
        <f>IF(VLOOKUP(A156,'0919門市清單主檔'!B:AC,28,FALSE)=0,"",VLOOKUP(A156,'0919門市清單主檔'!B:AC,28,FALSE))</f>
        <v/>
      </c>
    </row>
    <row r="157" spans="1:23" ht="21.6" customHeight="1">
      <c r="A157" s="423">
        <v>4005</v>
      </c>
      <c r="B157" s="416" t="str">
        <f>VLOOKUP(A157,'0919門市清單主檔'!B:C,2,FALSE)</f>
        <v>新莊雙鳳店</v>
      </c>
      <c r="C157" s="415" t="str">
        <f>VLOOKUP($A157,'0919門市清單主檔'!B:V,20,FALSE)</f>
        <v>新北市</v>
      </c>
      <c r="D157" s="410" t="str">
        <f>VLOOKUP($A157,'0919門市清單主檔'!B:V,21,FALSE)</f>
        <v>新莊區</v>
      </c>
      <c r="E157" s="397" t="str">
        <f>VLOOKUP(D157,門市狀態!G:H,2,FALSE)</f>
        <v>湯家瑋</v>
      </c>
      <c r="F157" s="410" t="str">
        <f>IFERROR(IF(VLOOKUP(A157,門市狀態!A:D,4,FALSE)=0,"",VLOOKUP(A157,門市狀態!A:D,4,FALSE)),"")</f>
        <v/>
      </c>
      <c r="G157" s="424"/>
      <c r="H157" s="425" t="str">
        <f>IF(I157&gt;0,(TEXT(I157,"yyyymmdd")&amp;勤務統計!$V$2&amp;A157&amp;勤務統計!$V$2&amp;B157&amp;勤務統計!$S$2),"")</f>
        <v>-4005-新莊雙鳳店(定保)</v>
      </c>
      <c r="I157" s="247" t="str">
        <f t="array" ref="I157">IF(AND(SUMPRODUCT((IM!$F$2:$F$5000=A157)*(ISNUMBER(SEARCH(勤務統計!$C$1, IM!$AC$2:$AC$5000))))&gt;0), 勤務統計!$C$1, "")</f>
        <v/>
      </c>
      <c r="J157" s="399" t="str">
        <f t="array" ref="J157">IFERROR(INDEX(IM!$AM$2:$AM$5000, MATCH(1, (IM!$F$2:$F$5000=A157) * (ISNUMBER(SEARCH(勤務統計!$C$1, IM!$AC$2:$AC$5000))), 0)), "")</f>
        <v/>
      </c>
      <c r="K157" s="400">
        <f t="array" ref="K157">SUMPRODUCT((IM!$F$2:$F$5000=A157)*(IM!$AD$2:$AD$5000="O")*(ISNUMBER(SEARCH(勤務統計!$C$1, IM!$AC$2:$AC$5000))))</f>
        <v>0</v>
      </c>
      <c r="L157" s="401" t="str">
        <f t="array" ref="L157">IF(K157&gt;0,IFERROR(HYPERLINK("#'IM'!AC"&amp;MATCH(1,(IM!$F$1:$F$5000=A157)*(ISNUMBER(SEARCH(勤務統計!$C$1,IM!$AC$1:$AC$5000))),0),"檢核"),"未登錄"),"")</f>
        <v/>
      </c>
      <c r="M157" s="402" t="str">
        <f t="shared" si="2"/>
        <v>+L90</v>
      </c>
      <c r="N157" s="402" t="str">
        <f t="array" ref="N157">IF(AND(
    SUMPRODUCT(
        (IM!$F$2:$F$522=A157) *
        ISNUMBER(SEARCH("*HUB*", IM!$AC$2:$AC$522)) *
        (IM!$X$2:$X$522&gt;=勤務統計!$A$1) *
        (IM!$X$2:$X$522&lt;=勤務統計!$B$1)*(W157="HUB")
    ) &gt; 0
), "HUB", "")</f>
        <v/>
      </c>
      <c r="O157" s="400" t="str">
        <f>IF(
  IFERROR(VLOOKUP(A157,勤務統計!A:I,9,FALSE),"")&lt;&gt;勤務統計!$C$1,
  "未完工",
  IF(
    AND(勤務統計!$D$1="--",勤務統計!$E$1="--",勤務統計!$F$1="--"),
    "已完工",
    IF(
      OR(
        AND(勤務統計!$D$1&lt;&gt;"--", IFERROR(VLOOKUP(A157,'0919門市清單主檔'!B:AH,31,FALSE),"")=勤務統計!$D$1, IFERROR(VLOOKUP(A157,勤務統計!A:Q,17,FALSE),"")&lt;&gt;勤務統計!$D$1),
        AND(勤務統計!$E$1&lt;&gt;"--", IFERROR(VLOOKUP(A157,'0919門市清單主檔'!B:AH,32,FALSE),"")=勤務統計!$E$1, IFERROR(VLOOKUP(A157,勤務統計!A:S,19,FALSE),"")&lt;&gt;勤務統計!$E$1),
        AND(勤務統計!$F$1&lt;&gt;"--", IFERROR(VLOOKUP(A157,'0919門市清單主檔'!B:AH,33,FALSE),"")=勤務統計!$F$1, IFERROR(VLOOKUP(A157,勤務統計!A:U,21,FALSE),"")&lt;&gt;勤務統計!$F$1),
        AND(IFERROR(VLOOKUP(A157,'0919門市清單主檔'!B:AH,28,FALSE),"")="HUB", IFERROR(VLOOKUP(A157,勤務統計!A:W,23,FALSE),"")&lt;&gt;"HUB")
      ),
      _xlfn.TEXTJOIN(
        "，",
        TRUE,
        IF(AND(勤務統計!$D$1&lt;&gt;"--", IFERROR(VLOOKUP(A157,'0919門市清單主檔'!B:AH,31,FALSE),"")=勤務統計!$D$1, IFERROR(VLOOKUP(A157,勤務統計!A:Q,17,FALSE),"")&lt;&gt;勤務統計!$D$1), 勤務統計!$D$1, ""),
        IF(AND(勤務統計!$E$1&lt;&gt;"--", IFERROR(VLOOKUP(A157,'0919門市清單主檔'!B:AH,32,FALSE),"")=勤務統計!$E$1, IFERROR(VLOOKUP(A157,勤務統計!A:S,19,FALSE),"")&lt;&gt;勤務統計!$E$1), 勤務統計!$E$1, ""),
        IF(AND(勤務統計!$F$1&lt;&gt;"--", IFERROR(VLOOKUP(A157,'0919門市清單主檔'!B:AH,33,FALSE),"")=勤務統計!$F$1, IFERROR(VLOOKUP(A157,勤務統計!A:U,21,FALSE),"")&lt;&gt;勤務統計!$F$1), 勤務統計!$F$1, ""),
        IF(AND(IFERROR(VLOOKUP(A157,'0919門市清單主檔'!B:AH,28,FALSE),"")="HUB", IFERROR(VLOOKUP(A157,勤務統計!A:W,23,FALSE),"")&lt;&gt;"HUB"), "HUB", "")
      ) &amp; "未完工",
      "已完工"
    )
  )
)</f>
        <v>未完工</v>
      </c>
      <c r="P157" s="403" t="str">
        <f>(TEXT(I157,"yyyymmdd"))&amp;勤務統計!$V$2&amp;A157&amp;勤務統計!$V$2&amp;B157&amp;勤務統計!$S$2</f>
        <v>-4005-新莊雙鳳店(定保)</v>
      </c>
      <c r="Q157" s="420" t="str">
        <f t="array" ref="Q157">IF(AND(SUMPRODUCT((IM!$F$2:$F$5000=A157)*(ISNUMBER(SEARCH(勤務統計!$D$1, IM!$AC$2:$AC$5000))))&gt;0), 勤務統計!$D$1, "")</f>
        <v/>
      </c>
      <c r="R157" s="421" t="str">
        <f t="array" ref="R157">IFERROR(INDEX(IM!$AM$2:$AM$5000, MATCH(1, (IM!$F$2:$F$5000=A157) * (ISNUMBER(SEARCH(勤務統計!$D$1, IM!$AC$2:$AC$5000))), 0)), "")</f>
        <v/>
      </c>
      <c r="S157" s="406" t="str" cm="1">
        <f t="array" ref="S157">IF(AND(SUMPRODUCT((IM!$F$2:$F$5000=A157)*(ISNUMBER(SEARCH(勤務統計!$E$1, IM!$AC$2:$AC$5000))))&gt;0), 勤務統計!$E$1, "")</f>
        <v>+L90</v>
      </c>
      <c r="T157" s="422">
        <f t="array" ref="T157">IFERROR(INDEX(IM!$AM$2:$AM$5000, MATCH(1, (IM!$F$2:$F$5000=A157) * (ISNUMBER(SEARCH(勤務統計!$E$1, IM!$AC$2:$AC$5000))), 0)), "")</f>
        <v>45973</v>
      </c>
      <c r="U157" s="406" t="str" cm="1">
        <f t="array" ref="U157">IF(AND(SUMPRODUCT((IM!$F$2:$F$5000=A157)*(ISNUMBER(SEARCH(勤務統計!$F$1, IM!$AC$2:$AC$5000))))&gt;0), 勤務統計!$F$1, "")</f>
        <v/>
      </c>
      <c r="V157" s="413" t="str">
        <f t="array" ref="V157">IFERROR(INDEX(IM!$AM$2:$AM$5000, MATCH(1, (IM!$F$2:$F$5000=A157) * (ISNUMBER(SEARCH(勤務統計!$F$1, IM!$AC$2:$AC$5000))), 0)), "")</f>
        <v/>
      </c>
      <c r="W157" s="414" t="str">
        <f>IF(VLOOKUP(A157,'0919門市清單主檔'!B:AC,28,FALSE)=0,"",VLOOKUP(A157,'0919門市清單主檔'!B:AC,28,FALSE))</f>
        <v/>
      </c>
    </row>
    <row r="158" spans="1:23" ht="21.6" customHeight="1">
      <c r="A158" s="423" t="s">
        <v>70</v>
      </c>
      <c r="B158" s="416" t="str">
        <f>VLOOKUP(A158,'0919門市清單主檔'!B:C,2,FALSE)</f>
        <v>田倉民安店</v>
      </c>
      <c r="C158" s="415" t="str">
        <f>VLOOKUP($A158,'0919門市清單主檔'!B:V,20,FALSE)</f>
        <v>新北市</v>
      </c>
      <c r="D158" s="410" t="str">
        <f>VLOOKUP($A158,'0919門市清單主檔'!B:V,21,FALSE)</f>
        <v>新莊區</v>
      </c>
      <c r="E158" s="397" t="str">
        <f>VLOOKUP(D158,門市狀態!G:H,2,FALSE)</f>
        <v>湯家瑋</v>
      </c>
      <c r="F158" s="410" t="str">
        <f>IFERROR(IF(VLOOKUP(A158,門市狀態!A:D,4,FALSE)=0,"",VLOOKUP(A158,門市狀態!A:D,4,FALSE)),"")</f>
        <v/>
      </c>
      <c r="G158" s="424" t="s">
        <v>47</v>
      </c>
      <c r="H158" s="425" t="str">
        <f>IF(I158&gt;0,(TEXT(I158,"yyyymmdd")&amp;勤務統計!$V$2&amp;A158&amp;勤務統計!$V$2&amp;B158&amp;勤務統計!$S$2),"")</f>
        <v>-L562-田倉民安店(定保)</v>
      </c>
      <c r="I158" s="247" t="str">
        <f t="array" ref="I158">IF(AND(SUMPRODUCT((IM!$F$2:$F$5000=A158)*(ISNUMBER(SEARCH(勤務統計!$C$1, IM!$AC$2:$AC$5000))))&gt;0), 勤務統計!$C$1, "")</f>
        <v/>
      </c>
      <c r="J158" s="399" t="str">
        <f t="array" ref="J158">IFERROR(INDEX(IM!$AM$2:$AM$5000, MATCH(1, (IM!$F$2:$F$5000=A158) * (ISNUMBER(SEARCH(勤務統計!$C$1, IM!$AC$2:$AC$5000))), 0)), "")</f>
        <v/>
      </c>
      <c r="K158" s="400">
        <f t="array" ref="K158">SUMPRODUCT((IM!$F$2:$F$5000=A158)*(IM!$AD$2:$AD$5000="O")*(ISNUMBER(SEARCH(勤務統計!$C$1, IM!$AC$2:$AC$5000))))</f>
        <v>0</v>
      </c>
      <c r="L158" s="401" t="str">
        <f t="array" ref="L158">IF(K158&gt;0,IFERROR(HYPERLINK("#'IM'!AC"&amp;MATCH(1,(IM!$F$1:$F$5000=A158)*(ISNUMBER(SEARCH(勤務統計!$C$1,IM!$AC$1:$AC$5000))),0),"檢核"),"未登錄"),"")</f>
        <v/>
      </c>
      <c r="M158" s="402" t="str">
        <f t="shared" si="2"/>
        <v/>
      </c>
      <c r="N158" s="402" t="str">
        <f t="array" ref="N158">IF(AND(
    SUMPRODUCT(
        (IM!$F$2:$F$522=A158) *
        ISNUMBER(SEARCH("*HUB*", IM!$AC$2:$AC$522)) *
        (IM!$X$2:$X$522&gt;=勤務統計!$A$1) *
        (IM!$X$2:$X$522&lt;=勤務統計!$B$1)*(W158="HUB")
    ) &gt; 0
), "HUB", "")</f>
        <v/>
      </c>
      <c r="O158" s="400" t="str">
        <f>IF(
  IFERROR(VLOOKUP(A158,勤務統計!A:I,9,FALSE),"")&lt;&gt;勤務統計!$C$1,
  "未完工",
  IF(
    AND(勤務統計!$D$1="--",勤務統計!$E$1="--",勤務統計!$F$1="--"),
    "已完工",
    IF(
      OR(
        AND(勤務統計!$D$1&lt;&gt;"--", IFERROR(VLOOKUP(A158,'0919門市清單主檔'!B:AH,31,FALSE),"")=勤務統計!$D$1, IFERROR(VLOOKUP(A158,勤務統計!A:Q,17,FALSE),"")&lt;&gt;勤務統計!$D$1),
        AND(勤務統計!$E$1&lt;&gt;"--", IFERROR(VLOOKUP(A158,'0919門市清單主檔'!B:AH,32,FALSE),"")=勤務統計!$E$1, IFERROR(VLOOKUP(A158,勤務統計!A:S,19,FALSE),"")&lt;&gt;勤務統計!$E$1),
        AND(勤務統計!$F$1&lt;&gt;"--", IFERROR(VLOOKUP(A158,'0919門市清單主檔'!B:AH,33,FALSE),"")=勤務統計!$F$1, IFERROR(VLOOKUP(A158,勤務統計!A:U,21,FALSE),"")&lt;&gt;勤務統計!$F$1),
        AND(IFERROR(VLOOKUP(A158,'0919門市清單主檔'!B:AH,28,FALSE),"")="HUB", IFERROR(VLOOKUP(A158,勤務統計!A:W,23,FALSE),"")&lt;&gt;"HUB")
      ),
      _xlfn.TEXTJOIN(
        "，",
        TRUE,
        IF(AND(勤務統計!$D$1&lt;&gt;"--", IFERROR(VLOOKUP(A158,'0919門市清單主檔'!B:AH,31,FALSE),"")=勤務統計!$D$1, IFERROR(VLOOKUP(A158,勤務統計!A:Q,17,FALSE),"")&lt;&gt;勤務統計!$D$1), 勤務統計!$D$1, ""),
        IF(AND(勤務統計!$E$1&lt;&gt;"--", IFERROR(VLOOKUP(A158,'0919門市清單主檔'!B:AH,32,FALSE),"")=勤務統計!$E$1, IFERROR(VLOOKUP(A158,勤務統計!A:S,19,FALSE),"")&lt;&gt;勤務統計!$E$1), 勤務統計!$E$1, ""),
        IF(AND(勤務統計!$F$1&lt;&gt;"--", IFERROR(VLOOKUP(A158,'0919門市清單主檔'!B:AH,33,FALSE),"")=勤務統計!$F$1, IFERROR(VLOOKUP(A158,勤務統計!A:U,21,FALSE),"")&lt;&gt;勤務統計!$F$1), 勤務統計!$F$1, ""),
        IF(AND(IFERROR(VLOOKUP(A158,'0919門市清單主檔'!B:AH,28,FALSE),"")="HUB", IFERROR(VLOOKUP(A158,勤務統計!A:W,23,FALSE),"")&lt;&gt;"HUB"), "HUB", "")
      ) &amp; "未完工",
      "已完工"
    )
  )
)</f>
        <v>未完工</v>
      </c>
      <c r="P158" s="403" t="str">
        <f>(TEXT(I158,"yyyymmdd"))&amp;勤務統計!$V$2&amp;A158&amp;勤務統計!$V$2&amp;B158&amp;勤務統計!$S$2</f>
        <v>-L562-田倉民安店(定保)</v>
      </c>
      <c r="Q158" s="420" t="str">
        <f t="array" ref="Q158">IF(AND(SUMPRODUCT((IM!$F$2:$F$5000=A158)*(ISNUMBER(SEARCH(勤務統計!$D$1, IM!$AC$2:$AC$5000))))&gt;0), 勤務統計!$D$1, "")</f>
        <v/>
      </c>
      <c r="R158" s="421" t="str">
        <f t="array" ref="R158">IFERROR(INDEX(IM!$AM$2:$AM$5000, MATCH(1, (IM!$F$2:$F$5000=A158) * (ISNUMBER(SEARCH(勤務統計!$D$1, IM!$AC$2:$AC$5000))), 0)), "")</f>
        <v/>
      </c>
      <c r="S158" s="406" t="str" cm="1">
        <f t="array" ref="S158">IF(AND(SUMPRODUCT((IM!$F$2:$F$5000=A158)*(ISNUMBER(SEARCH(勤務統計!$E$1, IM!$AC$2:$AC$5000))))&gt;0), 勤務統計!$E$1, "")</f>
        <v/>
      </c>
      <c r="T158" s="422" t="str">
        <f t="array" ref="T158">IFERROR(INDEX(IM!$AM$2:$AM$5000, MATCH(1, (IM!$F$2:$F$5000=A158) * (ISNUMBER(SEARCH(勤務統計!$E$1, IM!$AC$2:$AC$5000))), 0)), "")</f>
        <v/>
      </c>
      <c r="U158" s="406" t="str" cm="1">
        <f t="array" ref="U158">IF(AND(SUMPRODUCT((IM!$F$2:$F$5000=A158)*(ISNUMBER(SEARCH(勤務統計!$F$1, IM!$AC$2:$AC$5000))))&gt;0), 勤務統計!$F$1, "")</f>
        <v/>
      </c>
      <c r="V158" s="413" t="str">
        <f t="array" ref="V158">IFERROR(INDEX(IM!$AM$2:$AM$5000, MATCH(1, (IM!$F$2:$F$5000=A158) * (ISNUMBER(SEARCH(勤務統計!$F$1, IM!$AC$2:$AC$5000))), 0)), "")</f>
        <v/>
      </c>
      <c r="W158" s="414" t="str">
        <f>IF(VLOOKUP(A158,'0919門市清單主檔'!B:AC,28,FALSE)=0,"",VLOOKUP(A158,'0919門市清單主檔'!B:AC,28,FALSE))</f>
        <v/>
      </c>
    </row>
    <row r="159" spans="1:23" ht="21.6" customHeight="1">
      <c r="A159" s="423">
        <v>4036</v>
      </c>
      <c r="B159" s="416" t="str">
        <f>VLOOKUP(A159,'0919門市清單主檔'!B:C,2,FALSE)</f>
        <v>蘆洲永樂店</v>
      </c>
      <c r="C159" s="415" t="str">
        <f>VLOOKUP($A159,'0919門市清單主檔'!B:V,20,FALSE)</f>
        <v>新北市</v>
      </c>
      <c r="D159" s="410" t="str">
        <f>VLOOKUP($A159,'0919門市清單主檔'!B:V,21,FALSE)</f>
        <v>蘆洲區</v>
      </c>
      <c r="E159" s="397" t="str">
        <f>VLOOKUP(D159,門市狀態!G:H,2,FALSE)</f>
        <v>湯家瑋</v>
      </c>
      <c r="F159" s="410" t="str">
        <f>IFERROR(IF(VLOOKUP(A159,門市狀態!A:D,4,FALSE)=0,"",VLOOKUP(A159,門市狀態!A:D,4,FALSE)),"")</f>
        <v/>
      </c>
      <c r="G159" s="424"/>
      <c r="H159" s="425" t="str">
        <f>IF(I159&gt;0,(TEXT(I159,"yyyymmdd")&amp;勤務統計!$V$2&amp;A159&amp;勤務統計!$V$2&amp;B159&amp;勤務統計!$S$2),"")</f>
        <v>-4036-蘆洲永樂店(定保)</v>
      </c>
      <c r="I159" s="247" t="str">
        <f t="array" ref="I159">IF(AND(SUMPRODUCT((IM!$F$2:$F$5000=A159)*(ISNUMBER(SEARCH(勤務統計!$C$1, IM!$AC$2:$AC$5000))))&gt;0), 勤務統計!$C$1, "")</f>
        <v/>
      </c>
      <c r="J159" s="399" t="str">
        <f t="array" ref="J159">IFERROR(INDEX(IM!$AM$2:$AM$5000, MATCH(1, (IM!$F$2:$F$5000=A159) * (ISNUMBER(SEARCH(勤務統計!$C$1, IM!$AC$2:$AC$5000))), 0)), "")</f>
        <v/>
      </c>
      <c r="K159" s="400">
        <f t="array" ref="K159">SUMPRODUCT((IM!$F$2:$F$5000=A159)*(IM!$AD$2:$AD$5000="O")*(ISNUMBER(SEARCH(勤務統計!$C$1, IM!$AC$2:$AC$5000))))</f>
        <v>0</v>
      </c>
      <c r="L159" s="401" t="str">
        <f t="array" ref="L159">IF(K159&gt;0,IFERROR(HYPERLINK("#'IM'!AC"&amp;MATCH(1,(IM!$F$1:$F$5000=A159)*(ISNUMBER(SEARCH(勤務統計!$C$1,IM!$AC$1:$AC$5000))),0),"檢核"),"未登錄"),"")</f>
        <v/>
      </c>
      <c r="M159" s="402" t="str">
        <f t="shared" si="2"/>
        <v>+L90</v>
      </c>
      <c r="N159" s="402" t="str">
        <f t="array" ref="N159">IF(AND(
    SUMPRODUCT(
        (IM!$F$2:$F$522=A159) *
        ISNUMBER(SEARCH("*HUB*", IM!$AC$2:$AC$522)) *
        (IM!$X$2:$X$522&gt;=勤務統計!$A$1) *
        (IM!$X$2:$X$522&lt;=勤務統計!$B$1)*(W159="HUB")
    ) &gt; 0
), "HUB", "")</f>
        <v/>
      </c>
      <c r="O159" s="400" t="str">
        <f>IF(
  IFERROR(VLOOKUP(A159,勤務統計!A:I,9,FALSE),"")&lt;&gt;勤務統計!$C$1,
  "未完工",
  IF(
    AND(勤務統計!$D$1="--",勤務統計!$E$1="--",勤務統計!$F$1="--"),
    "已完工",
    IF(
      OR(
        AND(勤務統計!$D$1&lt;&gt;"--", IFERROR(VLOOKUP(A159,'0919門市清單主檔'!B:AH,31,FALSE),"")=勤務統計!$D$1, IFERROR(VLOOKUP(A159,勤務統計!A:Q,17,FALSE),"")&lt;&gt;勤務統計!$D$1),
        AND(勤務統計!$E$1&lt;&gt;"--", IFERROR(VLOOKUP(A159,'0919門市清單主檔'!B:AH,32,FALSE),"")=勤務統計!$E$1, IFERROR(VLOOKUP(A159,勤務統計!A:S,19,FALSE),"")&lt;&gt;勤務統計!$E$1),
        AND(勤務統計!$F$1&lt;&gt;"--", IFERROR(VLOOKUP(A159,'0919門市清單主檔'!B:AH,33,FALSE),"")=勤務統計!$F$1, IFERROR(VLOOKUP(A159,勤務統計!A:U,21,FALSE),"")&lt;&gt;勤務統計!$F$1),
        AND(IFERROR(VLOOKUP(A159,'0919門市清單主檔'!B:AH,28,FALSE),"")="HUB", IFERROR(VLOOKUP(A159,勤務統計!A:W,23,FALSE),"")&lt;&gt;"HUB")
      ),
      _xlfn.TEXTJOIN(
        "，",
        TRUE,
        IF(AND(勤務統計!$D$1&lt;&gt;"--", IFERROR(VLOOKUP(A159,'0919門市清單主檔'!B:AH,31,FALSE),"")=勤務統計!$D$1, IFERROR(VLOOKUP(A159,勤務統計!A:Q,17,FALSE),"")&lt;&gt;勤務統計!$D$1), 勤務統計!$D$1, ""),
        IF(AND(勤務統計!$E$1&lt;&gt;"--", IFERROR(VLOOKUP(A159,'0919門市清單主檔'!B:AH,32,FALSE),"")=勤務統計!$E$1, IFERROR(VLOOKUP(A159,勤務統計!A:S,19,FALSE),"")&lt;&gt;勤務統計!$E$1), 勤務統計!$E$1, ""),
        IF(AND(勤務統計!$F$1&lt;&gt;"--", IFERROR(VLOOKUP(A159,'0919門市清單主檔'!B:AH,33,FALSE),"")=勤務統計!$F$1, IFERROR(VLOOKUP(A159,勤務統計!A:U,21,FALSE),"")&lt;&gt;勤務統計!$F$1), 勤務統計!$F$1, ""),
        IF(AND(IFERROR(VLOOKUP(A159,'0919門市清單主檔'!B:AH,28,FALSE),"")="HUB", IFERROR(VLOOKUP(A159,勤務統計!A:W,23,FALSE),"")&lt;&gt;"HUB"), "HUB", "")
      ) &amp; "未完工",
      "已完工"
    )
  )
)</f>
        <v>未完工</v>
      </c>
      <c r="P159" s="403" t="str">
        <f>(TEXT(I159,"yyyymmdd"))&amp;勤務統計!$V$2&amp;A159&amp;勤務統計!$V$2&amp;B159&amp;勤務統計!$S$2</f>
        <v>-4036-蘆洲永樂店(定保)</v>
      </c>
      <c r="Q159" s="420" t="str">
        <f t="array" ref="Q159">IF(AND(SUMPRODUCT((IM!$F$2:$F$5000=A159)*(ISNUMBER(SEARCH(勤務統計!$D$1, IM!$AC$2:$AC$5000))))&gt;0), 勤務統計!$D$1, "")</f>
        <v/>
      </c>
      <c r="R159" s="421" t="str">
        <f t="array" ref="R159">IFERROR(INDEX(IM!$AM$2:$AM$5000, MATCH(1, (IM!$F$2:$F$5000=A159) * (ISNUMBER(SEARCH(勤務統計!$D$1, IM!$AC$2:$AC$5000))), 0)), "")</f>
        <v/>
      </c>
      <c r="S159" s="406" t="str" cm="1">
        <f t="array" ref="S159">IF(AND(SUMPRODUCT((IM!$F$2:$F$5000=A159)*(ISNUMBER(SEARCH(勤務統計!$E$1, IM!$AC$2:$AC$5000))))&gt;0), 勤務統計!$E$1, "")</f>
        <v>+L90</v>
      </c>
      <c r="T159" s="422">
        <f t="array" ref="T159">IFERROR(INDEX(IM!$AM$2:$AM$5000, MATCH(1, (IM!$F$2:$F$5000=A159) * (ISNUMBER(SEARCH(勤務統計!$E$1, IM!$AC$2:$AC$5000))), 0)), "")</f>
        <v>45973</v>
      </c>
      <c r="U159" s="406" t="str" cm="1">
        <f t="array" ref="U159">IF(AND(SUMPRODUCT((IM!$F$2:$F$5000=A159)*(ISNUMBER(SEARCH(勤務統計!$F$1, IM!$AC$2:$AC$5000))))&gt;0), 勤務統計!$F$1, "")</f>
        <v/>
      </c>
      <c r="V159" s="413" t="str">
        <f t="array" ref="V159">IFERROR(INDEX(IM!$AM$2:$AM$5000, MATCH(1, (IM!$F$2:$F$5000=A159) * (ISNUMBER(SEARCH(勤務統計!$F$1, IM!$AC$2:$AC$5000))), 0)), "")</f>
        <v/>
      </c>
      <c r="W159" s="414" t="str">
        <f>IF(VLOOKUP(A159,'0919門市清單主檔'!B:AC,28,FALSE)=0,"",VLOOKUP(A159,'0919門市清單主檔'!B:AC,28,FALSE))</f>
        <v/>
      </c>
    </row>
    <row r="160" spans="1:23" ht="21.6" customHeight="1">
      <c r="A160" s="423">
        <v>2301</v>
      </c>
      <c r="B160" s="416" t="str">
        <f>VLOOKUP(A160,'0919門市清單主檔'!B:C,2,FALSE)</f>
        <v>蘆洲樂平店</v>
      </c>
      <c r="C160" s="415" t="str">
        <f>VLOOKUP($A160,'0919門市清單主檔'!B:V,20,FALSE)</f>
        <v>新北市</v>
      </c>
      <c r="D160" s="410" t="str">
        <f>VLOOKUP($A160,'0919門市清單主檔'!B:V,21,FALSE)</f>
        <v>蘆洲區</v>
      </c>
      <c r="E160" s="397" t="str">
        <f>VLOOKUP(D160,門市狀態!G:H,2,FALSE)</f>
        <v>湯家瑋</v>
      </c>
      <c r="F160" s="410" t="str">
        <f>IFERROR(IF(VLOOKUP(A160,門市狀態!A:D,4,FALSE)=0,"",VLOOKUP(A160,門市狀態!A:D,4,FALSE)),"")</f>
        <v/>
      </c>
      <c r="G160" s="424"/>
      <c r="H160" s="425" t="str">
        <f>IF(I160&gt;0,(TEXT(I160,"yyyymmdd")&amp;勤務統計!$V$2&amp;A160&amp;勤務統計!$V$2&amp;B160&amp;勤務統計!$S$2),"")</f>
        <v>-2301-蘆洲樂平店(定保)</v>
      </c>
      <c r="I160" s="247" t="str">
        <f t="array" ref="I160">IF(AND(SUMPRODUCT((IM!$F$2:$F$5000=A160)*(ISNUMBER(SEARCH(勤務統計!$C$1, IM!$AC$2:$AC$5000))))&gt;0), 勤務統計!$C$1, "")</f>
        <v/>
      </c>
      <c r="J160" s="399" t="str">
        <f t="array" ref="J160">IFERROR(INDEX(IM!$AM$2:$AM$5000, MATCH(1, (IM!$F$2:$F$5000=A160) * (ISNUMBER(SEARCH(勤務統計!$C$1, IM!$AC$2:$AC$5000))), 0)), "")</f>
        <v/>
      </c>
      <c r="K160" s="400">
        <f t="array" ref="K160">SUMPRODUCT((IM!$F$2:$F$5000=A160)*(IM!$AD$2:$AD$5000="O")*(ISNUMBER(SEARCH(勤務統計!$C$1, IM!$AC$2:$AC$5000))))</f>
        <v>0</v>
      </c>
      <c r="L160" s="401" t="str">
        <f t="array" ref="L160">IF(K160&gt;0,IFERROR(HYPERLINK("#'IM'!AC"&amp;MATCH(1,(IM!$F$1:$F$5000=A160)*(ISNUMBER(SEARCH(勤務統計!$C$1,IM!$AC$1:$AC$5000))),0),"檢核"),"未登錄"),"")</f>
        <v/>
      </c>
      <c r="M160" s="402" t="str">
        <f t="shared" si="2"/>
        <v>+L90</v>
      </c>
      <c r="N160" s="402" t="str">
        <f t="array" ref="N160">IF(AND(
    SUMPRODUCT(
        (IM!$F$2:$F$522=A160) *
        ISNUMBER(SEARCH("*HUB*", IM!$AC$2:$AC$522)) *
        (IM!$X$2:$X$522&gt;=勤務統計!$A$1) *
        (IM!$X$2:$X$522&lt;=勤務統計!$B$1)*(W160="HUB")
    ) &gt; 0
), "HUB", "")</f>
        <v/>
      </c>
      <c r="O160" s="400" t="str">
        <f>IF(
  IFERROR(VLOOKUP(A160,勤務統計!A:I,9,FALSE),"")&lt;&gt;勤務統計!$C$1,
  "未完工",
  IF(
    AND(勤務統計!$D$1="--",勤務統計!$E$1="--",勤務統計!$F$1="--"),
    "已完工",
    IF(
      OR(
        AND(勤務統計!$D$1&lt;&gt;"--", IFERROR(VLOOKUP(A160,'0919門市清單主檔'!B:AH,31,FALSE),"")=勤務統計!$D$1, IFERROR(VLOOKUP(A160,勤務統計!A:Q,17,FALSE),"")&lt;&gt;勤務統計!$D$1),
        AND(勤務統計!$E$1&lt;&gt;"--", IFERROR(VLOOKUP(A160,'0919門市清單主檔'!B:AH,32,FALSE),"")=勤務統計!$E$1, IFERROR(VLOOKUP(A160,勤務統計!A:S,19,FALSE),"")&lt;&gt;勤務統計!$E$1),
        AND(勤務統計!$F$1&lt;&gt;"--", IFERROR(VLOOKUP(A160,'0919門市清單主檔'!B:AH,33,FALSE),"")=勤務統計!$F$1, IFERROR(VLOOKUP(A160,勤務統計!A:U,21,FALSE),"")&lt;&gt;勤務統計!$F$1),
        AND(IFERROR(VLOOKUP(A160,'0919門市清單主檔'!B:AH,28,FALSE),"")="HUB", IFERROR(VLOOKUP(A160,勤務統計!A:W,23,FALSE),"")&lt;&gt;"HUB")
      ),
      _xlfn.TEXTJOIN(
        "，",
        TRUE,
        IF(AND(勤務統計!$D$1&lt;&gt;"--", IFERROR(VLOOKUP(A160,'0919門市清單主檔'!B:AH,31,FALSE),"")=勤務統計!$D$1, IFERROR(VLOOKUP(A160,勤務統計!A:Q,17,FALSE),"")&lt;&gt;勤務統計!$D$1), 勤務統計!$D$1, ""),
        IF(AND(勤務統計!$E$1&lt;&gt;"--", IFERROR(VLOOKUP(A160,'0919門市清單主檔'!B:AH,32,FALSE),"")=勤務統計!$E$1, IFERROR(VLOOKUP(A160,勤務統計!A:S,19,FALSE),"")&lt;&gt;勤務統計!$E$1), 勤務統計!$E$1, ""),
        IF(AND(勤務統計!$F$1&lt;&gt;"--", IFERROR(VLOOKUP(A160,'0919門市清單主檔'!B:AH,33,FALSE),"")=勤務統計!$F$1, IFERROR(VLOOKUP(A160,勤務統計!A:U,21,FALSE),"")&lt;&gt;勤務統計!$F$1), 勤務統計!$F$1, ""),
        IF(AND(IFERROR(VLOOKUP(A160,'0919門市清單主檔'!B:AH,28,FALSE),"")="HUB", IFERROR(VLOOKUP(A160,勤務統計!A:W,23,FALSE),"")&lt;&gt;"HUB"), "HUB", "")
      ) &amp; "未完工",
      "已完工"
    )
  )
)</f>
        <v>未完工</v>
      </c>
      <c r="P160" s="403" t="str">
        <f>(TEXT(I160,"yyyymmdd"))&amp;勤務統計!$V$2&amp;A160&amp;勤務統計!$V$2&amp;B160&amp;勤務統計!$S$2</f>
        <v>-2301-蘆洲樂平店(定保)</v>
      </c>
      <c r="Q160" s="420" t="str">
        <f t="array" ref="Q160">IF(AND(SUMPRODUCT((IM!$F$2:$F$5000=A160)*(ISNUMBER(SEARCH(勤務統計!$D$1, IM!$AC$2:$AC$5000))))&gt;0), 勤務統計!$D$1, "")</f>
        <v/>
      </c>
      <c r="R160" s="421" t="str">
        <f t="array" ref="R160">IFERROR(INDEX(IM!$AM$2:$AM$5000, MATCH(1, (IM!$F$2:$F$5000=A160) * (ISNUMBER(SEARCH(勤務統計!$D$1, IM!$AC$2:$AC$5000))), 0)), "")</f>
        <v/>
      </c>
      <c r="S160" s="406" t="str" cm="1">
        <f t="array" ref="S160">IF(AND(SUMPRODUCT((IM!$F$2:$F$5000=A160)*(ISNUMBER(SEARCH(勤務統計!$E$1, IM!$AC$2:$AC$5000))))&gt;0), 勤務統計!$E$1, "")</f>
        <v>+L90</v>
      </c>
      <c r="T160" s="422">
        <f t="array" ref="T160">IFERROR(INDEX(IM!$AM$2:$AM$5000, MATCH(1, (IM!$F$2:$F$5000=A160) * (ISNUMBER(SEARCH(勤務統計!$E$1, IM!$AC$2:$AC$5000))), 0)), "")</f>
        <v>45973</v>
      </c>
      <c r="U160" s="406" t="str" cm="1">
        <f t="array" ref="U160">IF(AND(SUMPRODUCT((IM!$F$2:$F$5000=A160)*(ISNUMBER(SEARCH(勤務統計!$F$1, IM!$AC$2:$AC$5000))))&gt;0), 勤務統計!$F$1, "")</f>
        <v/>
      </c>
      <c r="V160" s="413" t="str">
        <f t="array" ref="V160">IFERROR(INDEX(IM!$AM$2:$AM$5000, MATCH(1, (IM!$F$2:$F$5000=A160) * (ISNUMBER(SEARCH(勤務統計!$F$1, IM!$AC$2:$AC$5000))), 0)), "")</f>
        <v/>
      </c>
      <c r="W160" s="414" t="str">
        <f>IF(VLOOKUP(A160,'0919門市清單主檔'!B:AC,28,FALSE)=0,"",VLOOKUP(A160,'0919門市清單主檔'!B:AC,28,FALSE))</f>
        <v/>
      </c>
    </row>
    <row r="161" spans="1:23" ht="21.6" customHeight="1">
      <c r="A161" s="423">
        <v>4208</v>
      </c>
      <c r="B161" s="416" t="str">
        <f>VLOOKUP(A161,'0919門市清單主檔'!B:C,2,FALSE)</f>
        <v>新莊瓊泰店</v>
      </c>
      <c r="C161" s="415" t="str">
        <f>VLOOKUP($A161,'0919門市清單主檔'!B:V,20,FALSE)</f>
        <v>新北市</v>
      </c>
      <c r="D161" s="410" t="str">
        <f>VLOOKUP($A161,'0919門市清單主檔'!B:V,21,FALSE)</f>
        <v>新莊區</v>
      </c>
      <c r="E161" s="397" t="str">
        <f>VLOOKUP(D161,門市狀態!G:H,2,FALSE)</f>
        <v>湯家瑋</v>
      </c>
      <c r="F161" s="410" t="str">
        <f>IFERROR(IF(VLOOKUP(A161,門市狀態!A:D,4,FALSE)=0,"",VLOOKUP(A161,門市狀態!A:D,4,FALSE)),"")</f>
        <v/>
      </c>
      <c r="G161" s="424"/>
      <c r="H161" s="425" t="str">
        <f>IF(I161&gt;0,(TEXT(I161,"yyyymmdd")&amp;勤務統計!$V$2&amp;A161&amp;勤務統計!$V$2&amp;B161&amp;勤務統計!$S$2),"")</f>
        <v>-4208-新莊瓊泰店(定保)</v>
      </c>
      <c r="I161" s="247" t="str">
        <f t="array" ref="I161">IF(AND(SUMPRODUCT((IM!$F$2:$F$5000=A161)*(ISNUMBER(SEARCH(勤務統計!$C$1, IM!$AC$2:$AC$5000))))&gt;0), 勤務統計!$C$1, "")</f>
        <v/>
      </c>
      <c r="J161" s="399" t="str">
        <f t="array" ref="J161">IFERROR(INDEX(IM!$AM$2:$AM$5000, MATCH(1, (IM!$F$2:$F$5000=A161) * (ISNUMBER(SEARCH(勤務統計!$C$1, IM!$AC$2:$AC$5000))), 0)), "")</f>
        <v/>
      </c>
      <c r="K161" s="400">
        <f t="array" ref="K161">SUMPRODUCT((IM!$F$2:$F$5000=A161)*(IM!$AD$2:$AD$5000="O")*(ISNUMBER(SEARCH(勤務統計!$C$1, IM!$AC$2:$AC$5000))))</f>
        <v>0</v>
      </c>
      <c r="L161" s="401" t="str">
        <f t="array" ref="L161">IF(K161&gt;0,IFERROR(HYPERLINK("#'IM'!AC"&amp;MATCH(1,(IM!$F$1:$F$5000=A161)*(ISNUMBER(SEARCH(勤務統計!$C$1,IM!$AC$1:$AC$5000))),0),"檢核"),"未登錄"),"")</f>
        <v/>
      </c>
      <c r="M161" s="402" t="str">
        <f t="shared" si="2"/>
        <v>+L90</v>
      </c>
      <c r="N161" s="402" t="str">
        <f t="array" ref="N161">IF(AND(
    SUMPRODUCT(
        (IM!$F$2:$F$522=A161) *
        ISNUMBER(SEARCH("*HUB*", IM!$AC$2:$AC$522)) *
        (IM!$X$2:$X$522&gt;=勤務統計!$A$1) *
        (IM!$X$2:$X$522&lt;=勤務統計!$B$1)*(W161="HUB")
    ) &gt; 0
), "HUB", "")</f>
        <v/>
      </c>
      <c r="O161" s="400" t="str">
        <f>IF(
  IFERROR(VLOOKUP(A161,勤務統計!A:I,9,FALSE),"")&lt;&gt;勤務統計!$C$1,
  "未完工",
  IF(
    AND(勤務統計!$D$1="--",勤務統計!$E$1="--",勤務統計!$F$1="--"),
    "已完工",
    IF(
      OR(
        AND(勤務統計!$D$1&lt;&gt;"--", IFERROR(VLOOKUP(A161,'0919門市清單主檔'!B:AH,31,FALSE),"")=勤務統計!$D$1, IFERROR(VLOOKUP(A161,勤務統計!A:Q,17,FALSE),"")&lt;&gt;勤務統計!$D$1),
        AND(勤務統計!$E$1&lt;&gt;"--", IFERROR(VLOOKUP(A161,'0919門市清單主檔'!B:AH,32,FALSE),"")=勤務統計!$E$1, IFERROR(VLOOKUP(A161,勤務統計!A:S,19,FALSE),"")&lt;&gt;勤務統計!$E$1),
        AND(勤務統計!$F$1&lt;&gt;"--", IFERROR(VLOOKUP(A161,'0919門市清單主檔'!B:AH,33,FALSE),"")=勤務統計!$F$1, IFERROR(VLOOKUP(A161,勤務統計!A:U,21,FALSE),"")&lt;&gt;勤務統計!$F$1),
        AND(IFERROR(VLOOKUP(A161,'0919門市清單主檔'!B:AH,28,FALSE),"")="HUB", IFERROR(VLOOKUP(A161,勤務統計!A:W,23,FALSE),"")&lt;&gt;"HUB")
      ),
      _xlfn.TEXTJOIN(
        "，",
        TRUE,
        IF(AND(勤務統計!$D$1&lt;&gt;"--", IFERROR(VLOOKUP(A161,'0919門市清單主檔'!B:AH,31,FALSE),"")=勤務統計!$D$1, IFERROR(VLOOKUP(A161,勤務統計!A:Q,17,FALSE),"")&lt;&gt;勤務統計!$D$1), 勤務統計!$D$1, ""),
        IF(AND(勤務統計!$E$1&lt;&gt;"--", IFERROR(VLOOKUP(A161,'0919門市清單主檔'!B:AH,32,FALSE),"")=勤務統計!$E$1, IFERROR(VLOOKUP(A161,勤務統計!A:S,19,FALSE),"")&lt;&gt;勤務統計!$E$1), 勤務統計!$E$1, ""),
        IF(AND(勤務統計!$F$1&lt;&gt;"--", IFERROR(VLOOKUP(A161,'0919門市清單主檔'!B:AH,33,FALSE),"")=勤務統計!$F$1, IFERROR(VLOOKUP(A161,勤務統計!A:U,21,FALSE),"")&lt;&gt;勤務統計!$F$1), 勤務統計!$F$1, ""),
        IF(AND(IFERROR(VLOOKUP(A161,'0919門市清單主檔'!B:AH,28,FALSE),"")="HUB", IFERROR(VLOOKUP(A161,勤務統計!A:W,23,FALSE),"")&lt;&gt;"HUB"), "HUB", "")
      ) &amp; "未完工",
      "已完工"
    )
  )
)</f>
        <v>未完工</v>
      </c>
      <c r="P161" s="403" t="str">
        <f>(TEXT(I161,"yyyymmdd"))&amp;勤務統計!$V$2&amp;A161&amp;勤務統計!$V$2&amp;B161&amp;勤務統計!$S$2</f>
        <v>-4208-新莊瓊泰店(定保)</v>
      </c>
      <c r="Q161" s="420" t="str">
        <f t="array" ref="Q161">IF(AND(SUMPRODUCT((IM!$F$2:$F$5000=A161)*(ISNUMBER(SEARCH(勤務統計!$D$1, IM!$AC$2:$AC$5000))))&gt;0), 勤務統計!$D$1, "")</f>
        <v/>
      </c>
      <c r="R161" s="421" t="str">
        <f t="array" ref="R161">IFERROR(INDEX(IM!$AM$2:$AM$5000, MATCH(1, (IM!$F$2:$F$5000=A161) * (ISNUMBER(SEARCH(勤務統計!$D$1, IM!$AC$2:$AC$5000))), 0)), "")</f>
        <v/>
      </c>
      <c r="S161" s="406" t="str" cm="1">
        <f t="array" ref="S161">IF(AND(SUMPRODUCT((IM!$F$2:$F$5000=A161)*(ISNUMBER(SEARCH(勤務統計!$E$1, IM!$AC$2:$AC$5000))))&gt;0), 勤務統計!$E$1, "")</f>
        <v>+L90</v>
      </c>
      <c r="T161" s="422">
        <f t="array" ref="T161">IFERROR(INDEX(IM!$AM$2:$AM$5000, MATCH(1, (IM!$F$2:$F$5000=A161) * (ISNUMBER(SEARCH(勤務統計!$E$1, IM!$AC$2:$AC$5000))), 0)), "")</f>
        <v>45973</v>
      </c>
      <c r="U161" s="406" t="str" cm="1">
        <f t="array" ref="U161">IF(AND(SUMPRODUCT((IM!$F$2:$F$5000=A161)*(ISNUMBER(SEARCH(勤務統計!$F$1, IM!$AC$2:$AC$5000))))&gt;0), 勤務統計!$F$1, "")</f>
        <v/>
      </c>
      <c r="V161" s="413" t="str">
        <f t="array" ref="V161">IFERROR(INDEX(IM!$AM$2:$AM$5000, MATCH(1, (IM!$F$2:$F$5000=A161) * (ISNUMBER(SEARCH(勤務統計!$F$1, IM!$AC$2:$AC$5000))), 0)), "")</f>
        <v/>
      </c>
      <c r="W161" s="414" t="str">
        <f>IF(VLOOKUP(A161,'0919門市清單主檔'!B:AC,28,FALSE)=0,"",VLOOKUP(A161,'0919門市清單主檔'!B:AC,28,FALSE))</f>
        <v/>
      </c>
    </row>
    <row r="162" spans="1:23" ht="21.6" customHeight="1">
      <c r="A162" s="423">
        <v>3892</v>
      </c>
      <c r="B162" s="416" t="str">
        <f>VLOOKUP(A162,'0919門市清單主檔'!B:C,2,FALSE)</f>
        <v>蘆洲光榮店</v>
      </c>
      <c r="C162" s="415" t="str">
        <f>VLOOKUP($A162,'0919門市清單主檔'!B:V,20,FALSE)</f>
        <v>新北市</v>
      </c>
      <c r="D162" s="410" t="str">
        <f>VLOOKUP($A162,'0919門市清單主檔'!B:V,21,FALSE)</f>
        <v>蘆洲區</v>
      </c>
      <c r="E162" s="397" t="str">
        <f>VLOOKUP(D162,門市狀態!G:H,2,FALSE)</f>
        <v>湯家瑋</v>
      </c>
      <c r="F162" s="410" t="str">
        <f>IFERROR(IF(VLOOKUP(A162,門市狀態!A:D,4,FALSE)=0,"",VLOOKUP(A162,門市狀態!A:D,4,FALSE)),"")</f>
        <v/>
      </c>
      <c r="G162" s="424"/>
      <c r="H162" s="425" t="str">
        <f>IF(I162&gt;0,(TEXT(I162,"yyyymmdd")&amp;勤務統計!$V$2&amp;A162&amp;勤務統計!$V$2&amp;B162&amp;勤務統計!$S$2),"")</f>
        <v>-3892-蘆洲光榮店(定保)</v>
      </c>
      <c r="I162" s="247" t="str">
        <f t="array" ref="I162">IF(AND(SUMPRODUCT((IM!$F$2:$F$5000=A162)*(ISNUMBER(SEARCH(勤務統計!$C$1, IM!$AC$2:$AC$5000))))&gt;0), 勤務統計!$C$1, "")</f>
        <v/>
      </c>
      <c r="J162" s="399" t="str">
        <f t="array" ref="J162">IFERROR(INDEX(IM!$AM$2:$AM$5000, MATCH(1, (IM!$F$2:$F$5000=A162) * (ISNUMBER(SEARCH(勤務統計!$C$1, IM!$AC$2:$AC$5000))), 0)), "")</f>
        <v/>
      </c>
      <c r="K162" s="400">
        <f t="array" ref="K162">SUMPRODUCT((IM!$F$2:$F$5000=A162)*(IM!$AD$2:$AD$5000="O")*(ISNUMBER(SEARCH(勤務統計!$C$1, IM!$AC$2:$AC$5000))))</f>
        <v>0</v>
      </c>
      <c r="L162" s="401" t="str">
        <f t="array" ref="L162">IF(K162&gt;0,IFERROR(HYPERLINK("#'IM'!AC"&amp;MATCH(1,(IM!$F$1:$F$5000=A162)*(ISNUMBER(SEARCH(勤務統計!$C$1,IM!$AC$1:$AC$5000))),0),"檢核"),"未登錄"),"")</f>
        <v/>
      </c>
      <c r="M162" s="402" t="str">
        <f t="shared" si="2"/>
        <v>+L90</v>
      </c>
      <c r="N162" s="402" t="str">
        <f t="array" ref="N162">IF(AND(
    SUMPRODUCT(
        (IM!$F$2:$F$522=A162) *
        ISNUMBER(SEARCH("*HUB*", IM!$AC$2:$AC$522)) *
        (IM!$X$2:$X$522&gt;=勤務統計!$A$1) *
        (IM!$X$2:$X$522&lt;=勤務統計!$B$1)*(W162="HUB")
    ) &gt; 0
), "HUB", "")</f>
        <v/>
      </c>
      <c r="O162" s="400" t="str">
        <f>IF(
  IFERROR(VLOOKUP(A162,勤務統計!A:I,9,FALSE),"")&lt;&gt;勤務統計!$C$1,
  "未完工",
  IF(
    AND(勤務統計!$D$1="--",勤務統計!$E$1="--",勤務統計!$F$1="--"),
    "已完工",
    IF(
      OR(
        AND(勤務統計!$D$1&lt;&gt;"--", IFERROR(VLOOKUP(A162,'0919門市清單主檔'!B:AH,31,FALSE),"")=勤務統計!$D$1, IFERROR(VLOOKUP(A162,勤務統計!A:Q,17,FALSE),"")&lt;&gt;勤務統計!$D$1),
        AND(勤務統計!$E$1&lt;&gt;"--", IFERROR(VLOOKUP(A162,'0919門市清單主檔'!B:AH,32,FALSE),"")=勤務統計!$E$1, IFERROR(VLOOKUP(A162,勤務統計!A:S,19,FALSE),"")&lt;&gt;勤務統計!$E$1),
        AND(勤務統計!$F$1&lt;&gt;"--", IFERROR(VLOOKUP(A162,'0919門市清單主檔'!B:AH,33,FALSE),"")=勤務統計!$F$1, IFERROR(VLOOKUP(A162,勤務統計!A:U,21,FALSE),"")&lt;&gt;勤務統計!$F$1),
        AND(IFERROR(VLOOKUP(A162,'0919門市清單主檔'!B:AH,28,FALSE),"")="HUB", IFERROR(VLOOKUP(A162,勤務統計!A:W,23,FALSE),"")&lt;&gt;"HUB")
      ),
      _xlfn.TEXTJOIN(
        "，",
        TRUE,
        IF(AND(勤務統計!$D$1&lt;&gt;"--", IFERROR(VLOOKUP(A162,'0919門市清單主檔'!B:AH,31,FALSE),"")=勤務統計!$D$1, IFERROR(VLOOKUP(A162,勤務統計!A:Q,17,FALSE),"")&lt;&gt;勤務統計!$D$1), 勤務統計!$D$1, ""),
        IF(AND(勤務統計!$E$1&lt;&gt;"--", IFERROR(VLOOKUP(A162,'0919門市清單主檔'!B:AH,32,FALSE),"")=勤務統計!$E$1, IFERROR(VLOOKUP(A162,勤務統計!A:S,19,FALSE),"")&lt;&gt;勤務統計!$E$1), 勤務統計!$E$1, ""),
        IF(AND(勤務統計!$F$1&lt;&gt;"--", IFERROR(VLOOKUP(A162,'0919門市清單主檔'!B:AH,33,FALSE),"")=勤務統計!$F$1, IFERROR(VLOOKUP(A162,勤務統計!A:U,21,FALSE),"")&lt;&gt;勤務統計!$F$1), 勤務統計!$F$1, ""),
        IF(AND(IFERROR(VLOOKUP(A162,'0919門市清單主檔'!B:AH,28,FALSE),"")="HUB", IFERROR(VLOOKUP(A162,勤務統計!A:W,23,FALSE),"")&lt;&gt;"HUB"), "HUB", "")
      ) &amp; "未完工",
      "已完工"
    )
  )
)</f>
        <v>未完工</v>
      </c>
      <c r="P162" s="403" t="str">
        <f>(TEXT(I162,"yyyymmdd"))&amp;勤務統計!$V$2&amp;A162&amp;勤務統計!$V$2&amp;B162&amp;勤務統計!$S$2</f>
        <v>-3892-蘆洲光榮店(定保)</v>
      </c>
      <c r="Q162" s="420" t="str">
        <f t="array" ref="Q162">IF(AND(SUMPRODUCT((IM!$F$2:$F$5000=A162)*(ISNUMBER(SEARCH(勤務統計!$D$1, IM!$AC$2:$AC$5000))))&gt;0), 勤務統計!$D$1, "")</f>
        <v/>
      </c>
      <c r="R162" s="421" t="str">
        <f t="array" ref="R162">IFERROR(INDEX(IM!$AM$2:$AM$5000, MATCH(1, (IM!$F$2:$F$5000=A162) * (ISNUMBER(SEARCH(勤務統計!$D$1, IM!$AC$2:$AC$5000))), 0)), "")</f>
        <v/>
      </c>
      <c r="S162" s="406" t="str" cm="1">
        <f t="array" ref="S162">IF(AND(SUMPRODUCT((IM!$F$2:$F$5000=A162)*(ISNUMBER(SEARCH(勤務統計!$E$1, IM!$AC$2:$AC$5000))))&gt;0), 勤務統計!$E$1, "")</f>
        <v>+L90</v>
      </c>
      <c r="T162" s="422">
        <f t="array" ref="T162">IFERROR(INDEX(IM!$AM$2:$AM$5000, MATCH(1, (IM!$F$2:$F$5000=A162) * (ISNUMBER(SEARCH(勤務統計!$E$1, IM!$AC$2:$AC$5000))), 0)), "")</f>
        <v>45973</v>
      </c>
      <c r="U162" s="406" t="str" cm="1">
        <f t="array" ref="U162">IF(AND(SUMPRODUCT((IM!$F$2:$F$5000=A162)*(ISNUMBER(SEARCH(勤務統計!$F$1, IM!$AC$2:$AC$5000))))&gt;0), 勤務統計!$F$1, "")</f>
        <v/>
      </c>
      <c r="V162" s="413" t="str">
        <f t="array" ref="V162">IFERROR(INDEX(IM!$AM$2:$AM$5000, MATCH(1, (IM!$F$2:$F$5000=A162) * (ISNUMBER(SEARCH(勤務統計!$F$1, IM!$AC$2:$AC$5000))), 0)), "")</f>
        <v/>
      </c>
      <c r="W162" s="414" t="str">
        <f>IF(VLOOKUP(A162,'0919門市清單主檔'!B:AC,28,FALSE)=0,"",VLOOKUP(A162,'0919門市清單主檔'!B:AC,28,FALSE))</f>
        <v/>
      </c>
    </row>
    <row r="163" spans="1:23" ht="21.6" customHeight="1">
      <c r="A163" s="423">
        <v>2743</v>
      </c>
      <c r="B163" s="416" t="str">
        <f>VLOOKUP(A163,'0919門市清單主檔'!B:C,2,FALSE)</f>
        <v>新莊豐年店</v>
      </c>
      <c r="C163" s="415" t="str">
        <f>VLOOKUP($A163,'0919門市清單主檔'!B:V,20,FALSE)</f>
        <v>新北市</v>
      </c>
      <c r="D163" s="410" t="str">
        <f>VLOOKUP($A163,'0919門市清單主檔'!B:V,21,FALSE)</f>
        <v>新莊區</v>
      </c>
      <c r="E163" s="397" t="str">
        <f>VLOOKUP(D163,門市狀態!G:H,2,FALSE)</f>
        <v>湯家瑋</v>
      </c>
      <c r="F163" s="410" t="str">
        <f>IFERROR(IF(VLOOKUP(A163,門市狀態!A:D,4,FALSE)=0,"",VLOOKUP(A163,門市狀態!A:D,4,FALSE)),"")</f>
        <v/>
      </c>
      <c r="G163" s="424"/>
      <c r="H163" s="425" t="str">
        <f>IF(I163&gt;0,(TEXT(I163,"yyyymmdd")&amp;勤務統計!$V$2&amp;A163&amp;勤務統計!$V$2&amp;B163&amp;勤務統計!$S$2),"")</f>
        <v>-2743-新莊豐年店(定保)</v>
      </c>
      <c r="I163" s="247" t="str">
        <f t="array" ref="I163">IF(AND(SUMPRODUCT((IM!$F$2:$F$5000=A163)*(ISNUMBER(SEARCH(勤務統計!$C$1, IM!$AC$2:$AC$5000))))&gt;0), 勤務統計!$C$1, "")</f>
        <v/>
      </c>
      <c r="J163" s="399" t="str">
        <f t="array" ref="J163">IFERROR(INDEX(IM!$AM$2:$AM$5000, MATCH(1, (IM!$F$2:$F$5000=A163) * (ISNUMBER(SEARCH(勤務統計!$C$1, IM!$AC$2:$AC$5000))), 0)), "")</f>
        <v/>
      </c>
      <c r="K163" s="400">
        <f t="array" ref="K163">SUMPRODUCT((IM!$F$2:$F$5000=A163)*(IM!$AD$2:$AD$5000="O")*(ISNUMBER(SEARCH(勤務統計!$C$1, IM!$AC$2:$AC$5000))))</f>
        <v>0</v>
      </c>
      <c r="L163" s="401" t="str">
        <f t="array" ref="L163">IF(K163&gt;0,IFERROR(HYPERLINK("#'IM'!AC"&amp;MATCH(1,(IM!$F$1:$F$5000=A163)*(ISNUMBER(SEARCH(勤務統計!$C$1,IM!$AC$1:$AC$5000))),0),"檢核"),"未登錄"),"")</f>
        <v/>
      </c>
      <c r="M163" s="402" t="str">
        <f t="shared" si="2"/>
        <v>+L90</v>
      </c>
      <c r="N163" s="402" t="str">
        <f t="array" ref="N163">IF(AND(
    SUMPRODUCT(
        (IM!$F$2:$F$522=A163) *
        ISNUMBER(SEARCH("*HUB*", IM!$AC$2:$AC$522)) *
        (IM!$X$2:$X$522&gt;=勤務統計!$A$1) *
        (IM!$X$2:$X$522&lt;=勤務統計!$B$1)*(W163="HUB")
    ) &gt; 0
), "HUB", "")</f>
        <v/>
      </c>
      <c r="O163" s="400" t="str">
        <f>IF(
  IFERROR(VLOOKUP(A163,勤務統計!A:I,9,FALSE),"")&lt;&gt;勤務統計!$C$1,
  "未完工",
  IF(
    AND(勤務統計!$D$1="--",勤務統計!$E$1="--",勤務統計!$F$1="--"),
    "已完工",
    IF(
      OR(
        AND(勤務統計!$D$1&lt;&gt;"--", IFERROR(VLOOKUP(A163,'0919門市清單主檔'!B:AH,31,FALSE),"")=勤務統計!$D$1, IFERROR(VLOOKUP(A163,勤務統計!A:Q,17,FALSE),"")&lt;&gt;勤務統計!$D$1),
        AND(勤務統計!$E$1&lt;&gt;"--", IFERROR(VLOOKUP(A163,'0919門市清單主檔'!B:AH,32,FALSE),"")=勤務統計!$E$1, IFERROR(VLOOKUP(A163,勤務統計!A:S,19,FALSE),"")&lt;&gt;勤務統計!$E$1),
        AND(勤務統計!$F$1&lt;&gt;"--", IFERROR(VLOOKUP(A163,'0919門市清單主檔'!B:AH,33,FALSE),"")=勤務統計!$F$1, IFERROR(VLOOKUP(A163,勤務統計!A:U,21,FALSE),"")&lt;&gt;勤務統計!$F$1),
        AND(IFERROR(VLOOKUP(A163,'0919門市清單主檔'!B:AH,28,FALSE),"")="HUB", IFERROR(VLOOKUP(A163,勤務統計!A:W,23,FALSE),"")&lt;&gt;"HUB")
      ),
      _xlfn.TEXTJOIN(
        "，",
        TRUE,
        IF(AND(勤務統計!$D$1&lt;&gt;"--", IFERROR(VLOOKUP(A163,'0919門市清單主檔'!B:AH,31,FALSE),"")=勤務統計!$D$1, IFERROR(VLOOKUP(A163,勤務統計!A:Q,17,FALSE),"")&lt;&gt;勤務統計!$D$1), 勤務統計!$D$1, ""),
        IF(AND(勤務統計!$E$1&lt;&gt;"--", IFERROR(VLOOKUP(A163,'0919門市清單主檔'!B:AH,32,FALSE),"")=勤務統計!$E$1, IFERROR(VLOOKUP(A163,勤務統計!A:S,19,FALSE),"")&lt;&gt;勤務統計!$E$1), 勤務統計!$E$1, ""),
        IF(AND(勤務統計!$F$1&lt;&gt;"--", IFERROR(VLOOKUP(A163,'0919門市清單主檔'!B:AH,33,FALSE),"")=勤務統計!$F$1, IFERROR(VLOOKUP(A163,勤務統計!A:U,21,FALSE),"")&lt;&gt;勤務統計!$F$1), 勤務統計!$F$1, ""),
        IF(AND(IFERROR(VLOOKUP(A163,'0919門市清單主檔'!B:AH,28,FALSE),"")="HUB", IFERROR(VLOOKUP(A163,勤務統計!A:W,23,FALSE),"")&lt;&gt;"HUB"), "HUB", "")
      ) &amp; "未完工",
      "已完工"
    )
  )
)</f>
        <v>未完工</v>
      </c>
      <c r="P163" s="403" t="str">
        <f>(TEXT(I163,"yyyymmdd"))&amp;勤務統計!$V$2&amp;A163&amp;勤務統計!$V$2&amp;B163&amp;勤務統計!$S$2</f>
        <v>-2743-新莊豐年店(定保)</v>
      </c>
      <c r="Q163" s="420" t="str">
        <f t="array" ref="Q163">IF(AND(SUMPRODUCT((IM!$F$2:$F$5000=A163)*(ISNUMBER(SEARCH(勤務統計!$D$1, IM!$AC$2:$AC$5000))))&gt;0), 勤務統計!$D$1, "")</f>
        <v/>
      </c>
      <c r="R163" s="421" t="str">
        <f t="array" ref="R163">IFERROR(INDEX(IM!$AM$2:$AM$5000, MATCH(1, (IM!$F$2:$F$5000=A163) * (ISNUMBER(SEARCH(勤務統計!$D$1, IM!$AC$2:$AC$5000))), 0)), "")</f>
        <v/>
      </c>
      <c r="S163" s="406" t="str" cm="1">
        <f t="array" ref="S163">IF(AND(SUMPRODUCT((IM!$F$2:$F$5000=A163)*(ISNUMBER(SEARCH(勤務統計!$E$1, IM!$AC$2:$AC$5000))))&gt;0), 勤務統計!$E$1, "")</f>
        <v>+L90</v>
      </c>
      <c r="T163" s="422">
        <f t="array" ref="T163">IFERROR(INDEX(IM!$AM$2:$AM$5000, MATCH(1, (IM!$F$2:$F$5000=A163) * (ISNUMBER(SEARCH(勤務統計!$E$1, IM!$AC$2:$AC$5000))), 0)), "")</f>
        <v>45973</v>
      </c>
      <c r="U163" s="406" t="str" cm="1">
        <f t="array" ref="U163">IF(AND(SUMPRODUCT((IM!$F$2:$F$5000=A163)*(ISNUMBER(SEARCH(勤務統計!$F$1, IM!$AC$2:$AC$5000))))&gt;0), 勤務統計!$F$1, "")</f>
        <v/>
      </c>
      <c r="V163" s="413" t="str">
        <f t="array" ref="V163">IFERROR(INDEX(IM!$AM$2:$AM$5000, MATCH(1, (IM!$F$2:$F$5000=A163) * (ISNUMBER(SEARCH(勤務統計!$F$1, IM!$AC$2:$AC$5000))), 0)), "")</f>
        <v/>
      </c>
      <c r="W163" s="414" t="str">
        <f>IF(VLOOKUP(A163,'0919門市清單主檔'!B:AC,28,FALSE)=0,"",VLOOKUP(A163,'0919門市清單主檔'!B:AC,28,FALSE))</f>
        <v/>
      </c>
    </row>
    <row r="164" spans="1:23" ht="21.6" customHeight="1">
      <c r="A164" s="423">
        <v>4923</v>
      </c>
      <c r="B164" s="416" t="str">
        <f>VLOOKUP(A164,'0919門市清單主檔'!B:C,2,FALSE)</f>
        <v>蘆洲永平店</v>
      </c>
      <c r="C164" s="415" t="str">
        <f>VLOOKUP($A164,'0919門市清單主檔'!B:V,20,FALSE)</f>
        <v>新北市</v>
      </c>
      <c r="D164" s="410" t="str">
        <f>VLOOKUP($A164,'0919門市清單主檔'!B:V,21,FALSE)</f>
        <v>蘆洲區</v>
      </c>
      <c r="E164" s="397" t="str">
        <f>VLOOKUP(D164,門市狀態!G:H,2,FALSE)</f>
        <v>湯家瑋</v>
      </c>
      <c r="F164" s="410" t="str">
        <f>IFERROR(IF(VLOOKUP(A164,門市狀態!A:D,4,FALSE)=0,"",VLOOKUP(A164,門市狀態!A:D,4,FALSE)),"")</f>
        <v/>
      </c>
      <c r="G164" s="424"/>
      <c r="H164" s="425" t="str">
        <f>IF(I164&gt;0,(TEXT(I164,"yyyymmdd")&amp;勤務統計!$V$2&amp;A164&amp;勤務統計!$V$2&amp;B164&amp;勤務統計!$S$2),"")</f>
        <v>-4923-蘆洲永平店(定保)</v>
      </c>
      <c r="I164" s="247" t="str">
        <f t="array" ref="I164">IF(AND(SUMPRODUCT((IM!$F$2:$F$5000=A164)*(ISNUMBER(SEARCH(勤務統計!$C$1, IM!$AC$2:$AC$5000))))&gt;0), 勤務統計!$C$1, "")</f>
        <v/>
      </c>
      <c r="J164" s="399" t="str">
        <f t="array" ref="J164">IFERROR(INDEX(IM!$AM$2:$AM$5000, MATCH(1, (IM!$F$2:$F$5000=A164) * (ISNUMBER(SEARCH(勤務統計!$C$1, IM!$AC$2:$AC$5000))), 0)), "")</f>
        <v/>
      </c>
      <c r="K164" s="400">
        <f t="array" ref="K164">SUMPRODUCT((IM!$F$2:$F$5000=A164)*(IM!$AD$2:$AD$5000="O")*(ISNUMBER(SEARCH(勤務統計!$C$1, IM!$AC$2:$AC$5000))))</f>
        <v>0</v>
      </c>
      <c r="L164" s="401" t="str">
        <f t="array" ref="L164">IF(K164&gt;0,IFERROR(HYPERLINK("#'IM'!AC"&amp;MATCH(1,(IM!$F$1:$F$5000=A164)*(ISNUMBER(SEARCH(勤務統計!$C$1,IM!$AC$1:$AC$5000))),0),"檢核"),"未登錄"),"")</f>
        <v/>
      </c>
      <c r="M164" s="402" t="str">
        <f t="shared" si="2"/>
        <v>+L90</v>
      </c>
      <c r="N164" s="402" t="str">
        <f t="array" ref="N164">IF(AND(
    SUMPRODUCT(
        (IM!$F$2:$F$522=A164) *
        ISNUMBER(SEARCH("*HUB*", IM!$AC$2:$AC$522)) *
        (IM!$X$2:$X$522&gt;=勤務統計!$A$1) *
        (IM!$X$2:$X$522&lt;=勤務統計!$B$1)*(W164="HUB")
    ) &gt; 0
), "HUB", "")</f>
        <v/>
      </c>
      <c r="O164" s="400" t="str">
        <f>IF(
  IFERROR(VLOOKUP(A164,勤務統計!A:I,9,FALSE),"")&lt;&gt;勤務統計!$C$1,
  "未完工",
  IF(
    AND(勤務統計!$D$1="--",勤務統計!$E$1="--",勤務統計!$F$1="--"),
    "已完工",
    IF(
      OR(
        AND(勤務統計!$D$1&lt;&gt;"--", IFERROR(VLOOKUP(A164,'0919門市清單主檔'!B:AH,31,FALSE),"")=勤務統計!$D$1, IFERROR(VLOOKUP(A164,勤務統計!A:Q,17,FALSE),"")&lt;&gt;勤務統計!$D$1),
        AND(勤務統計!$E$1&lt;&gt;"--", IFERROR(VLOOKUP(A164,'0919門市清單主檔'!B:AH,32,FALSE),"")=勤務統計!$E$1, IFERROR(VLOOKUP(A164,勤務統計!A:S,19,FALSE),"")&lt;&gt;勤務統計!$E$1),
        AND(勤務統計!$F$1&lt;&gt;"--", IFERROR(VLOOKUP(A164,'0919門市清單主檔'!B:AH,33,FALSE),"")=勤務統計!$F$1, IFERROR(VLOOKUP(A164,勤務統計!A:U,21,FALSE),"")&lt;&gt;勤務統計!$F$1),
        AND(IFERROR(VLOOKUP(A164,'0919門市清單主檔'!B:AH,28,FALSE),"")="HUB", IFERROR(VLOOKUP(A164,勤務統計!A:W,23,FALSE),"")&lt;&gt;"HUB")
      ),
      _xlfn.TEXTJOIN(
        "，",
        TRUE,
        IF(AND(勤務統計!$D$1&lt;&gt;"--", IFERROR(VLOOKUP(A164,'0919門市清單主檔'!B:AH,31,FALSE),"")=勤務統計!$D$1, IFERROR(VLOOKUP(A164,勤務統計!A:Q,17,FALSE),"")&lt;&gt;勤務統計!$D$1), 勤務統計!$D$1, ""),
        IF(AND(勤務統計!$E$1&lt;&gt;"--", IFERROR(VLOOKUP(A164,'0919門市清單主檔'!B:AH,32,FALSE),"")=勤務統計!$E$1, IFERROR(VLOOKUP(A164,勤務統計!A:S,19,FALSE),"")&lt;&gt;勤務統計!$E$1), 勤務統計!$E$1, ""),
        IF(AND(勤務統計!$F$1&lt;&gt;"--", IFERROR(VLOOKUP(A164,'0919門市清單主檔'!B:AH,33,FALSE),"")=勤務統計!$F$1, IFERROR(VLOOKUP(A164,勤務統計!A:U,21,FALSE),"")&lt;&gt;勤務統計!$F$1), 勤務統計!$F$1, ""),
        IF(AND(IFERROR(VLOOKUP(A164,'0919門市清單主檔'!B:AH,28,FALSE),"")="HUB", IFERROR(VLOOKUP(A164,勤務統計!A:W,23,FALSE),"")&lt;&gt;"HUB"), "HUB", "")
      ) &amp; "未完工",
      "已完工"
    )
  )
)</f>
        <v>未完工</v>
      </c>
      <c r="P164" s="403" t="str">
        <f>(TEXT(I164,"yyyymmdd"))&amp;勤務統計!$V$2&amp;A164&amp;勤務統計!$V$2&amp;B164&amp;勤務統計!$S$2</f>
        <v>-4923-蘆洲永平店(定保)</v>
      </c>
      <c r="Q164" s="420" t="str">
        <f t="array" ref="Q164">IF(AND(SUMPRODUCT((IM!$F$2:$F$5000=A164)*(ISNUMBER(SEARCH(勤務統計!$D$1, IM!$AC$2:$AC$5000))))&gt;0), 勤務統計!$D$1, "")</f>
        <v/>
      </c>
      <c r="R164" s="421" t="str">
        <f t="array" ref="R164">IFERROR(INDEX(IM!$AM$2:$AM$5000, MATCH(1, (IM!$F$2:$F$5000=A164) * (ISNUMBER(SEARCH(勤務統計!$D$1, IM!$AC$2:$AC$5000))), 0)), "")</f>
        <v/>
      </c>
      <c r="S164" s="406" t="str" cm="1">
        <f t="array" ref="S164">IF(AND(SUMPRODUCT((IM!$F$2:$F$5000=A164)*(ISNUMBER(SEARCH(勤務統計!$E$1, IM!$AC$2:$AC$5000))))&gt;0), 勤務統計!$E$1, "")</f>
        <v>+L90</v>
      </c>
      <c r="T164" s="422">
        <f t="array" ref="T164">IFERROR(INDEX(IM!$AM$2:$AM$5000, MATCH(1, (IM!$F$2:$F$5000=A164) * (ISNUMBER(SEARCH(勤務統計!$E$1, IM!$AC$2:$AC$5000))), 0)), "")</f>
        <v>45973</v>
      </c>
      <c r="U164" s="406" t="str" cm="1">
        <f t="array" ref="U164">IF(AND(SUMPRODUCT((IM!$F$2:$F$5000=A164)*(ISNUMBER(SEARCH(勤務統計!$F$1, IM!$AC$2:$AC$5000))))&gt;0), 勤務統計!$F$1, "")</f>
        <v/>
      </c>
      <c r="V164" s="413" t="str">
        <f t="array" ref="V164">IFERROR(INDEX(IM!$AM$2:$AM$5000, MATCH(1, (IM!$F$2:$F$5000=A164) * (ISNUMBER(SEARCH(勤務統計!$F$1, IM!$AC$2:$AC$5000))), 0)), "")</f>
        <v/>
      </c>
      <c r="W164" s="414" t="str">
        <f>IF(VLOOKUP(A164,'0919門市清單主檔'!B:AC,28,FALSE)=0,"",VLOOKUP(A164,'0919門市清單主檔'!B:AC,28,FALSE))</f>
        <v/>
      </c>
    </row>
    <row r="165" spans="1:23" ht="21.6" customHeight="1">
      <c r="A165" s="423">
        <v>5354</v>
      </c>
      <c r="B165" s="416" t="str">
        <f>VLOOKUP(A165,'0919門市清單主檔'!B:C,2,FALSE)</f>
        <v>蘆洲希望店</v>
      </c>
      <c r="C165" s="415" t="str">
        <f>VLOOKUP($A165,'0919門市清單主檔'!B:V,20,FALSE)</f>
        <v>新北市</v>
      </c>
      <c r="D165" s="410" t="str">
        <f>VLOOKUP($A165,'0919門市清單主檔'!B:V,21,FALSE)</f>
        <v>蘆洲區</v>
      </c>
      <c r="E165" s="397" t="str">
        <f>VLOOKUP(D165,門市狀態!G:H,2,FALSE)</f>
        <v>湯家瑋</v>
      </c>
      <c r="F165" s="410" t="str">
        <f>IFERROR(IF(VLOOKUP(A165,門市狀態!A:D,4,FALSE)=0,"",VLOOKUP(A165,門市狀態!A:D,4,FALSE)),"")</f>
        <v/>
      </c>
      <c r="G165" s="424"/>
      <c r="H165" s="425" t="str">
        <f>IF(I165&gt;0,(TEXT(I165,"yyyymmdd")&amp;勤務統計!$V$2&amp;A165&amp;勤務統計!$V$2&amp;B165&amp;勤務統計!$S$2),"")</f>
        <v>-5354-蘆洲希望店(定保)</v>
      </c>
      <c r="I165" s="247" t="str">
        <f t="array" ref="I165">IF(AND(SUMPRODUCT((IM!$F$2:$F$5000=A165)*(ISNUMBER(SEARCH(勤務統計!$C$1, IM!$AC$2:$AC$5000))))&gt;0), 勤務統計!$C$1, "")</f>
        <v/>
      </c>
      <c r="J165" s="399" t="str">
        <f t="array" ref="J165">IFERROR(INDEX(IM!$AM$2:$AM$5000, MATCH(1, (IM!$F$2:$F$5000=A165) * (ISNUMBER(SEARCH(勤務統計!$C$1, IM!$AC$2:$AC$5000))), 0)), "")</f>
        <v/>
      </c>
      <c r="K165" s="400">
        <f t="array" ref="K165">SUMPRODUCT((IM!$F$2:$F$5000=A165)*(IM!$AD$2:$AD$5000="O")*(ISNUMBER(SEARCH(勤務統計!$C$1, IM!$AC$2:$AC$5000))))</f>
        <v>0</v>
      </c>
      <c r="L165" s="401" t="str">
        <f t="array" ref="L165">IF(K165&gt;0,IFERROR(HYPERLINK("#'IM'!AC"&amp;MATCH(1,(IM!$F$1:$F$5000=A165)*(ISNUMBER(SEARCH(勤務統計!$C$1,IM!$AC$1:$AC$5000))),0),"檢核"),"未登錄"),"")</f>
        <v/>
      </c>
      <c r="M165" s="402" t="str">
        <f t="shared" si="2"/>
        <v>+L90</v>
      </c>
      <c r="N165" s="402" t="str">
        <f t="array" ref="N165">IF(AND(
    SUMPRODUCT(
        (IM!$F$2:$F$522=A165) *
        ISNUMBER(SEARCH("*HUB*", IM!$AC$2:$AC$522)) *
        (IM!$X$2:$X$522&gt;=勤務統計!$A$1) *
        (IM!$X$2:$X$522&lt;=勤務統計!$B$1)*(W165="HUB")
    ) &gt; 0
), "HUB", "")</f>
        <v/>
      </c>
      <c r="O165" s="400" t="str">
        <f>IF(
  IFERROR(VLOOKUP(A165,勤務統計!A:I,9,FALSE),"")&lt;&gt;勤務統計!$C$1,
  "未完工",
  IF(
    AND(勤務統計!$D$1="--",勤務統計!$E$1="--",勤務統計!$F$1="--"),
    "已完工",
    IF(
      OR(
        AND(勤務統計!$D$1&lt;&gt;"--", IFERROR(VLOOKUP(A165,'0919門市清單主檔'!B:AH,31,FALSE),"")=勤務統計!$D$1, IFERROR(VLOOKUP(A165,勤務統計!A:Q,17,FALSE),"")&lt;&gt;勤務統計!$D$1),
        AND(勤務統計!$E$1&lt;&gt;"--", IFERROR(VLOOKUP(A165,'0919門市清單主檔'!B:AH,32,FALSE),"")=勤務統計!$E$1, IFERROR(VLOOKUP(A165,勤務統計!A:S,19,FALSE),"")&lt;&gt;勤務統計!$E$1),
        AND(勤務統計!$F$1&lt;&gt;"--", IFERROR(VLOOKUP(A165,'0919門市清單主檔'!B:AH,33,FALSE),"")=勤務統計!$F$1, IFERROR(VLOOKUP(A165,勤務統計!A:U,21,FALSE),"")&lt;&gt;勤務統計!$F$1),
        AND(IFERROR(VLOOKUP(A165,'0919門市清單主檔'!B:AH,28,FALSE),"")="HUB", IFERROR(VLOOKUP(A165,勤務統計!A:W,23,FALSE),"")&lt;&gt;"HUB")
      ),
      _xlfn.TEXTJOIN(
        "，",
        TRUE,
        IF(AND(勤務統計!$D$1&lt;&gt;"--", IFERROR(VLOOKUP(A165,'0919門市清單主檔'!B:AH,31,FALSE),"")=勤務統計!$D$1, IFERROR(VLOOKUP(A165,勤務統計!A:Q,17,FALSE),"")&lt;&gt;勤務統計!$D$1), 勤務統計!$D$1, ""),
        IF(AND(勤務統計!$E$1&lt;&gt;"--", IFERROR(VLOOKUP(A165,'0919門市清單主檔'!B:AH,32,FALSE),"")=勤務統計!$E$1, IFERROR(VLOOKUP(A165,勤務統計!A:S,19,FALSE),"")&lt;&gt;勤務統計!$E$1), 勤務統計!$E$1, ""),
        IF(AND(勤務統計!$F$1&lt;&gt;"--", IFERROR(VLOOKUP(A165,'0919門市清單主檔'!B:AH,33,FALSE),"")=勤務統計!$F$1, IFERROR(VLOOKUP(A165,勤務統計!A:U,21,FALSE),"")&lt;&gt;勤務統計!$F$1), 勤務統計!$F$1, ""),
        IF(AND(IFERROR(VLOOKUP(A165,'0919門市清單主檔'!B:AH,28,FALSE),"")="HUB", IFERROR(VLOOKUP(A165,勤務統計!A:W,23,FALSE),"")&lt;&gt;"HUB"), "HUB", "")
      ) &amp; "未完工",
      "已完工"
    )
  )
)</f>
        <v>未完工</v>
      </c>
      <c r="P165" s="403" t="str">
        <f>(TEXT(I165,"yyyymmdd"))&amp;勤務統計!$V$2&amp;A165&amp;勤務統計!$V$2&amp;B165&amp;勤務統計!$S$2</f>
        <v>-5354-蘆洲希望店(定保)</v>
      </c>
      <c r="Q165" s="420" t="str">
        <f t="array" ref="Q165">IF(AND(SUMPRODUCT((IM!$F$2:$F$5000=A165)*(ISNUMBER(SEARCH(勤務統計!$D$1, IM!$AC$2:$AC$5000))))&gt;0), 勤務統計!$D$1, "")</f>
        <v/>
      </c>
      <c r="R165" s="421" t="str">
        <f t="array" ref="R165">IFERROR(INDEX(IM!$AM$2:$AM$5000, MATCH(1, (IM!$F$2:$F$5000=A165) * (ISNUMBER(SEARCH(勤務統計!$D$1, IM!$AC$2:$AC$5000))), 0)), "")</f>
        <v/>
      </c>
      <c r="S165" s="406" t="str" cm="1">
        <f t="array" ref="S165">IF(AND(SUMPRODUCT((IM!$F$2:$F$5000=A165)*(ISNUMBER(SEARCH(勤務統計!$E$1, IM!$AC$2:$AC$5000))))&gt;0), 勤務統計!$E$1, "")</f>
        <v>+L90</v>
      </c>
      <c r="T165" s="422">
        <f t="array" ref="T165">IFERROR(INDEX(IM!$AM$2:$AM$5000, MATCH(1, (IM!$F$2:$F$5000=A165) * (ISNUMBER(SEARCH(勤務統計!$E$1, IM!$AC$2:$AC$5000))), 0)), "")</f>
        <v>45973</v>
      </c>
      <c r="U165" s="406" t="str" cm="1">
        <f t="array" ref="U165">IF(AND(SUMPRODUCT((IM!$F$2:$F$5000=A165)*(ISNUMBER(SEARCH(勤務統計!$F$1, IM!$AC$2:$AC$5000))))&gt;0), 勤務統計!$F$1, "")</f>
        <v/>
      </c>
      <c r="V165" s="413" t="str">
        <f t="array" ref="V165">IFERROR(INDEX(IM!$AM$2:$AM$5000, MATCH(1, (IM!$F$2:$F$5000=A165) * (ISNUMBER(SEARCH(勤務統計!$F$1, IM!$AC$2:$AC$5000))), 0)), "")</f>
        <v/>
      </c>
      <c r="W165" s="414" t="str">
        <f>IF(VLOOKUP(A165,'0919門市清單主檔'!B:AC,28,FALSE)=0,"",VLOOKUP(A165,'0919門市清單主檔'!B:AC,28,FALSE))</f>
        <v/>
      </c>
    </row>
    <row r="166" spans="1:23" ht="21.6" customHeight="1">
      <c r="A166" s="423">
        <v>3243</v>
      </c>
      <c r="B166" s="416" t="str">
        <f>VLOOKUP(A166,'0919門市清單主檔'!B:C,2,FALSE)</f>
        <v>北縣醒吾店</v>
      </c>
      <c r="C166" s="415" t="str">
        <f>VLOOKUP($A166,'0919門市清單主檔'!B:V,20,FALSE)</f>
        <v>新北市</v>
      </c>
      <c r="D166" s="410" t="str">
        <f>VLOOKUP($A166,'0919門市清單主檔'!B:V,21,FALSE)</f>
        <v>林口區</v>
      </c>
      <c r="E166" s="397" t="str">
        <f>VLOOKUP(D166,門市狀態!G:H,2,FALSE)</f>
        <v>吳宗鴻</v>
      </c>
      <c r="F166" s="410" t="str">
        <f>IFERROR(IF(VLOOKUP(A166,門市狀態!A:D,4,FALSE)=0,"",VLOOKUP(A166,門市狀態!A:D,4,FALSE)),"")</f>
        <v/>
      </c>
      <c r="G166" s="424" t="s">
        <v>66</v>
      </c>
      <c r="H166" s="425" t="str">
        <f>IF(I166&gt;0,(TEXT(I166,"yyyymmdd")&amp;勤務統計!$V$2&amp;A166&amp;勤務統計!$V$2&amp;B166&amp;勤務統計!$S$2),"")</f>
        <v>-3243-北縣醒吾店(定保)</v>
      </c>
      <c r="I166" s="247" t="str">
        <f t="array" ref="I166">IF(AND(SUMPRODUCT((IM!$F$2:$F$5000=A166)*(ISNUMBER(SEARCH(勤務統計!$C$1, IM!$AC$2:$AC$5000))))&gt;0), 勤務統計!$C$1, "")</f>
        <v/>
      </c>
      <c r="J166" s="399" t="str">
        <f t="array" ref="J166">IFERROR(INDEX(IM!$AM$2:$AM$5000, MATCH(1, (IM!$F$2:$F$5000=A166) * (ISNUMBER(SEARCH(勤務統計!$C$1, IM!$AC$2:$AC$5000))), 0)), "")</f>
        <v/>
      </c>
      <c r="K166" s="400">
        <f t="array" ref="K166">SUMPRODUCT((IM!$F$2:$F$5000=A166)*(IM!$AD$2:$AD$5000="O")*(ISNUMBER(SEARCH(勤務統計!$C$1, IM!$AC$2:$AC$5000))))</f>
        <v>0</v>
      </c>
      <c r="L166" s="401" t="str">
        <f t="array" ref="L166">IF(K166&gt;0,IFERROR(HYPERLINK("#'IM'!AC"&amp;MATCH(1,(IM!$F$1:$F$5000=A166)*(ISNUMBER(SEARCH(勤務統計!$C$1,IM!$AC$1:$AC$5000))),0),"檢核"),"未登錄"),"")</f>
        <v/>
      </c>
      <c r="M166" s="402" t="str">
        <f t="shared" si="2"/>
        <v>+L90</v>
      </c>
      <c r="N166" s="402" t="str">
        <f t="array" ref="N166">IF(AND(
    SUMPRODUCT(
        (IM!$F$2:$F$522=A166) *
        ISNUMBER(SEARCH("*HUB*", IM!$AC$2:$AC$522)) *
        (IM!$X$2:$X$522&gt;=勤務統計!$A$1) *
        (IM!$X$2:$X$522&lt;=勤務統計!$B$1)*(W166="HUB")
    ) &gt; 0
), "HUB", "")</f>
        <v/>
      </c>
      <c r="O166" s="400" t="str">
        <f>IF(
  IFERROR(VLOOKUP(A166,勤務統計!A:I,9,FALSE),"")&lt;&gt;勤務統計!$C$1,
  "未完工",
  IF(
    AND(勤務統計!$D$1="--",勤務統計!$E$1="--",勤務統計!$F$1="--"),
    "已完工",
    IF(
      OR(
        AND(勤務統計!$D$1&lt;&gt;"--", IFERROR(VLOOKUP(A166,'0919門市清單主檔'!B:AH,31,FALSE),"")=勤務統計!$D$1, IFERROR(VLOOKUP(A166,勤務統計!A:Q,17,FALSE),"")&lt;&gt;勤務統計!$D$1),
        AND(勤務統計!$E$1&lt;&gt;"--", IFERROR(VLOOKUP(A166,'0919門市清單主檔'!B:AH,32,FALSE),"")=勤務統計!$E$1, IFERROR(VLOOKUP(A166,勤務統計!A:S,19,FALSE),"")&lt;&gt;勤務統計!$E$1),
        AND(勤務統計!$F$1&lt;&gt;"--", IFERROR(VLOOKUP(A166,'0919門市清單主檔'!B:AH,33,FALSE),"")=勤務統計!$F$1, IFERROR(VLOOKUP(A166,勤務統計!A:U,21,FALSE),"")&lt;&gt;勤務統計!$F$1),
        AND(IFERROR(VLOOKUP(A166,'0919門市清單主檔'!B:AH,28,FALSE),"")="HUB", IFERROR(VLOOKUP(A166,勤務統計!A:W,23,FALSE),"")&lt;&gt;"HUB")
      ),
      _xlfn.TEXTJOIN(
        "，",
        TRUE,
        IF(AND(勤務統計!$D$1&lt;&gt;"--", IFERROR(VLOOKUP(A166,'0919門市清單主檔'!B:AH,31,FALSE),"")=勤務統計!$D$1, IFERROR(VLOOKUP(A166,勤務統計!A:Q,17,FALSE),"")&lt;&gt;勤務統計!$D$1), 勤務統計!$D$1, ""),
        IF(AND(勤務統計!$E$1&lt;&gt;"--", IFERROR(VLOOKUP(A166,'0919門市清單主檔'!B:AH,32,FALSE),"")=勤務統計!$E$1, IFERROR(VLOOKUP(A166,勤務統計!A:S,19,FALSE),"")&lt;&gt;勤務統計!$E$1), 勤務統計!$E$1, ""),
        IF(AND(勤務統計!$F$1&lt;&gt;"--", IFERROR(VLOOKUP(A166,'0919門市清單主檔'!B:AH,33,FALSE),"")=勤務統計!$F$1, IFERROR(VLOOKUP(A166,勤務統計!A:U,21,FALSE),"")&lt;&gt;勤務統計!$F$1), 勤務統計!$F$1, ""),
        IF(AND(IFERROR(VLOOKUP(A166,'0919門市清單主檔'!B:AH,28,FALSE),"")="HUB", IFERROR(VLOOKUP(A166,勤務統計!A:W,23,FALSE),"")&lt;&gt;"HUB"), "HUB", "")
      ) &amp; "未完工",
      "已完工"
    )
  )
)</f>
        <v>未完工</v>
      </c>
      <c r="P166" s="403" t="str">
        <f>(TEXT(I166,"yyyymmdd"))&amp;勤務統計!$V$2&amp;A166&amp;勤務統計!$V$2&amp;B166&amp;勤務統計!$S$2</f>
        <v>-3243-北縣醒吾店(定保)</v>
      </c>
      <c r="Q166" s="420" t="str">
        <f t="array" ref="Q166">IF(AND(SUMPRODUCT((IM!$F$2:$F$5000=A166)*(ISNUMBER(SEARCH(勤務統計!$D$1, IM!$AC$2:$AC$5000))))&gt;0), 勤務統計!$D$1, "")</f>
        <v/>
      </c>
      <c r="R166" s="421" t="str">
        <f t="array" ref="R166">IFERROR(INDEX(IM!$AM$2:$AM$5000, MATCH(1, (IM!$F$2:$F$5000=A166) * (ISNUMBER(SEARCH(勤務統計!$D$1, IM!$AC$2:$AC$5000))), 0)), "")</f>
        <v/>
      </c>
      <c r="S166" s="406" t="str" cm="1">
        <f t="array" ref="S166">IF(AND(SUMPRODUCT((IM!$F$2:$F$5000=A166)*(ISNUMBER(SEARCH(勤務統計!$E$1, IM!$AC$2:$AC$5000))))&gt;0), 勤務統計!$E$1, "")</f>
        <v>+L90</v>
      </c>
      <c r="T166" s="422">
        <f t="array" ref="T166">IFERROR(INDEX(IM!$AM$2:$AM$5000, MATCH(1, (IM!$F$2:$F$5000=A166) * (ISNUMBER(SEARCH(勤務統計!$E$1, IM!$AC$2:$AC$5000))), 0)), "")</f>
        <v>45974</v>
      </c>
      <c r="U166" s="406" t="str" cm="1">
        <f t="array" ref="U166">IF(AND(SUMPRODUCT((IM!$F$2:$F$5000=A166)*(ISNUMBER(SEARCH(勤務統計!$F$1, IM!$AC$2:$AC$5000))))&gt;0), 勤務統計!$F$1, "")</f>
        <v/>
      </c>
      <c r="V166" s="413" t="str">
        <f t="array" ref="V166">IFERROR(INDEX(IM!$AM$2:$AM$5000, MATCH(1, (IM!$F$2:$F$5000=A166) * (ISNUMBER(SEARCH(勤務統計!$F$1, IM!$AC$2:$AC$5000))), 0)), "")</f>
        <v/>
      </c>
      <c r="W166" s="414" t="str">
        <f>IF(VLOOKUP(A166,'0919門市清單主檔'!B:AC,28,FALSE)=0,"",VLOOKUP(A166,'0919門市清單主檔'!B:AC,28,FALSE))</f>
        <v/>
      </c>
    </row>
    <row r="167" spans="1:23" ht="21.6" customHeight="1">
      <c r="A167" s="423">
        <v>5352</v>
      </c>
      <c r="B167" s="416" t="str">
        <f>VLOOKUP(A167,'0919門市清單主檔'!B:C,2,FALSE)</f>
        <v>三重重陽店</v>
      </c>
      <c r="C167" s="415" t="str">
        <f>VLOOKUP($A167,'0919門市清單主檔'!B:V,20,FALSE)</f>
        <v>新北市</v>
      </c>
      <c r="D167" s="410" t="str">
        <f>VLOOKUP($A167,'0919門市清單主檔'!B:V,21,FALSE)</f>
        <v>三重區</v>
      </c>
      <c r="E167" s="397" t="str">
        <f>VLOOKUP(D167,門市狀態!G:H,2,FALSE)</f>
        <v>劉柏均</v>
      </c>
      <c r="F167" s="410" t="str">
        <f>IFERROR(IF(VLOOKUP(A167,門市狀態!A:D,4,FALSE)=0,"",VLOOKUP(A167,門市狀態!A:D,4,FALSE)),"")</f>
        <v/>
      </c>
      <c r="G167" s="424"/>
      <c r="H167" s="425" t="str">
        <f>IF(I167&gt;0,(TEXT(I167,"yyyymmdd")&amp;勤務統計!$V$2&amp;A167&amp;勤務統計!$V$2&amp;B167&amp;勤務統計!$S$2),"")</f>
        <v>-5352-三重重陽店(定保)</v>
      </c>
      <c r="I167" s="247" t="str">
        <f t="array" ref="I167">IF(AND(SUMPRODUCT((IM!$F$2:$F$5000=A167)*(ISNUMBER(SEARCH(勤務統計!$C$1, IM!$AC$2:$AC$5000))))&gt;0), 勤務統計!$C$1, "")</f>
        <v/>
      </c>
      <c r="J167" s="399" t="str">
        <f t="array" ref="J167">IFERROR(INDEX(IM!$AM$2:$AM$5000, MATCH(1, (IM!$F$2:$F$5000=A167) * (ISNUMBER(SEARCH(勤務統計!$C$1, IM!$AC$2:$AC$5000))), 0)), "")</f>
        <v/>
      </c>
      <c r="K167" s="400">
        <f t="array" ref="K167">SUMPRODUCT((IM!$F$2:$F$5000=A167)*(IM!$AD$2:$AD$5000="O")*(ISNUMBER(SEARCH(勤務統計!$C$1, IM!$AC$2:$AC$5000))))</f>
        <v>0</v>
      </c>
      <c r="L167" s="401" t="str">
        <f t="array" ref="L167">IF(K167&gt;0,IFERROR(HYPERLINK("#'IM'!AC"&amp;MATCH(1,(IM!$F$1:$F$5000=A167)*(ISNUMBER(SEARCH(勤務統計!$C$1,IM!$AC$1:$AC$5000))),0),"檢核"),"未登錄"),"")</f>
        <v/>
      </c>
      <c r="M167" s="402" t="str">
        <f t="shared" si="2"/>
        <v>+L90</v>
      </c>
      <c r="N167" s="402" t="str">
        <f t="array" ref="N167">IF(AND(
    SUMPRODUCT(
        (IM!$F$2:$F$522=A167) *
        ISNUMBER(SEARCH("*HUB*", IM!$AC$2:$AC$522)) *
        (IM!$X$2:$X$522&gt;=勤務統計!$A$1) *
        (IM!$X$2:$X$522&lt;=勤務統計!$B$1)*(W167="HUB")
    ) &gt; 0
), "HUB", "")</f>
        <v/>
      </c>
      <c r="O167" s="400" t="str">
        <f>IF(
  IFERROR(VLOOKUP(A167,勤務統計!A:I,9,FALSE),"")&lt;&gt;勤務統計!$C$1,
  "未完工",
  IF(
    AND(勤務統計!$D$1="--",勤務統計!$E$1="--",勤務統計!$F$1="--"),
    "已完工",
    IF(
      OR(
        AND(勤務統計!$D$1&lt;&gt;"--", IFERROR(VLOOKUP(A167,'0919門市清單主檔'!B:AH,31,FALSE),"")=勤務統計!$D$1, IFERROR(VLOOKUP(A167,勤務統計!A:Q,17,FALSE),"")&lt;&gt;勤務統計!$D$1),
        AND(勤務統計!$E$1&lt;&gt;"--", IFERROR(VLOOKUP(A167,'0919門市清單主檔'!B:AH,32,FALSE),"")=勤務統計!$E$1, IFERROR(VLOOKUP(A167,勤務統計!A:S,19,FALSE),"")&lt;&gt;勤務統計!$E$1),
        AND(勤務統計!$F$1&lt;&gt;"--", IFERROR(VLOOKUP(A167,'0919門市清單主檔'!B:AH,33,FALSE),"")=勤務統計!$F$1, IFERROR(VLOOKUP(A167,勤務統計!A:U,21,FALSE),"")&lt;&gt;勤務統計!$F$1),
        AND(IFERROR(VLOOKUP(A167,'0919門市清單主檔'!B:AH,28,FALSE),"")="HUB", IFERROR(VLOOKUP(A167,勤務統計!A:W,23,FALSE),"")&lt;&gt;"HUB")
      ),
      _xlfn.TEXTJOIN(
        "，",
        TRUE,
        IF(AND(勤務統計!$D$1&lt;&gt;"--", IFERROR(VLOOKUP(A167,'0919門市清單主檔'!B:AH,31,FALSE),"")=勤務統計!$D$1, IFERROR(VLOOKUP(A167,勤務統計!A:Q,17,FALSE),"")&lt;&gt;勤務統計!$D$1), 勤務統計!$D$1, ""),
        IF(AND(勤務統計!$E$1&lt;&gt;"--", IFERROR(VLOOKUP(A167,'0919門市清單主檔'!B:AH,32,FALSE),"")=勤務統計!$E$1, IFERROR(VLOOKUP(A167,勤務統計!A:S,19,FALSE),"")&lt;&gt;勤務統計!$E$1), 勤務統計!$E$1, ""),
        IF(AND(勤務統計!$F$1&lt;&gt;"--", IFERROR(VLOOKUP(A167,'0919門市清單主檔'!B:AH,33,FALSE),"")=勤務統計!$F$1, IFERROR(VLOOKUP(A167,勤務統計!A:U,21,FALSE),"")&lt;&gt;勤務統計!$F$1), 勤務統計!$F$1, ""),
        IF(AND(IFERROR(VLOOKUP(A167,'0919門市清單主檔'!B:AH,28,FALSE),"")="HUB", IFERROR(VLOOKUP(A167,勤務統計!A:W,23,FALSE),"")&lt;&gt;"HUB"), "HUB", "")
      ) &amp; "未完工",
      "已完工"
    )
  )
)</f>
        <v>未完工</v>
      </c>
      <c r="P167" s="403" t="str">
        <f>(TEXT(I167,"yyyymmdd"))&amp;勤務統計!$V$2&amp;A167&amp;勤務統計!$V$2&amp;B167&amp;勤務統計!$S$2</f>
        <v>-5352-三重重陽店(定保)</v>
      </c>
      <c r="Q167" s="420" t="str">
        <f t="array" ref="Q167">IF(AND(SUMPRODUCT((IM!$F$2:$F$5000=A167)*(ISNUMBER(SEARCH(勤務統計!$D$1, IM!$AC$2:$AC$5000))))&gt;0), 勤務統計!$D$1, "")</f>
        <v/>
      </c>
      <c r="R167" s="421" t="str">
        <f t="array" ref="R167">IFERROR(INDEX(IM!$AM$2:$AM$5000, MATCH(1, (IM!$F$2:$F$5000=A167) * (ISNUMBER(SEARCH(勤務統計!$D$1, IM!$AC$2:$AC$5000))), 0)), "")</f>
        <v/>
      </c>
      <c r="S167" s="406" t="str" cm="1">
        <f t="array" ref="S167">IF(AND(SUMPRODUCT((IM!$F$2:$F$5000=A167)*(ISNUMBER(SEARCH(勤務統計!$E$1, IM!$AC$2:$AC$5000))))&gt;0), 勤務統計!$E$1, "")</f>
        <v>+L90</v>
      </c>
      <c r="T167" s="422">
        <f t="array" ref="T167">IFERROR(INDEX(IM!$AM$2:$AM$5000, MATCH(1, (IM!$F$2:$F$5000=A167) * (ISNUMBER(SEARCH(勤務統計!$E$1, IM!$AC$2:$AC$5000))), 0)), "")</f>
        <v>45974</v>
      </c>
      <c r="U167" s="406" t="str" cm="1">
        <f t="array" ref="U167">IF(AND(SUMPRODUCT((IM!$F$2:$F$5000=A167)*(ISNUMBER(SEARCH(勤務統計!$F$1, IM!$AC$2:$AC$5000))))&gt;0), 勤務統計!$F$1, "")</f>
        <v/>
      </c>
      <c r="V167" s="413" t="str">
        <f t="array" ref="V167">IFERROR(INDEX(IM!$AM$2:$AM$5000, MATCH(1, (IM!$F$2:$F$5000=A167) * (ISNUMBER(SEARCH(勤務統計!$F$1, IM!$AC$2:$AC$5000))), 0)), "")</f>
        <v/>
      </c>
      <c r="W167" s="414" t="str">
        <f>IF(VLOOKUP(A167,'0919門市清單主檔'!B:AC,28,FALSE)=0,"",VLOOKUP(A167,'0919門市清單主檔'!B:AC,28,FALSE))</f>
        <v/>
      </c>
    </row>
    <row r="168" spans="1:23" ht="21.6" customHeight="1">
      <c r="A168" s="423" t="s">
        <v>71</v>
      </c>
      <c r="B168" s="416" t="str">
        <f>VLOOKUP(A168,'0919門市清單主檔'!B:C,2,FALSE)</f>
        <v>淡水金龍店</v>
      </c>
      <c r="C168" s="415" t="str">
        <f>VLOOKUP($A168,'0919門市清單主檔'!B:V,20,FALSE)</f>
        <v>新北市</v>
      </c>
      <c r="D168" s="410" t="str">
        <f>VLOOKUP($A168,'0919門市清單主檔'!B:V,21,FALSE)</f>
        <v>淡水區</v>
      </c>
      <c r="E168" s="397" t="str">
        <f>VLOOKUP(D168,門市狀態!G:H,2,FALSE)</f>
        <v>吳宗鴻</v>
      </c>
      <c r="F168" s="410" t="str">
        <f>IFERROR(IF(VLOOKUP(A168,門市狀態!A:D,4,FALSE)=0,"",VLOOKUP(A168,門市狀態!A:D,4,FALSE)),"")</f>
        <v/>
      </c>
      <c r="G168" s="424"/>
      <c r="H168" s="425" t="str">
        <f>IF(I168&gt;0,(TEXT(I168,"yyyymmdd")&amp;勤務統計!$V$2&amp;A168&amp;勤務統計!$V$2&amp;B168&amp;勤務統計!$S$2),"")</f>
        <v>-A171-淡水金龍店(定保)</v>
      </c>
      <c r="I168" s="247" t="str">
        <f t="array" ref="I168">IF(AND(SUMPRODUCT((IM!$F$2:$F$5000=A168)*(ISNUMBER(SEARCH(勤務統計!$C$1, IM!$AC$2:$AC$5000))))&gt;0), 勤務統計!$C$1, "")</f>
        <v/>
      </c>
      <c r="J168" s="399" t="str">
        <f t="array" ref="J168">IFERROR(INDEX(IM!$AM$2:$AM$5000, MATCH(1, (IM!$F$2:$F$5000=A168) * (ISNUMBER(SEARCH(勤務統計!$C$1, IM!$AC$2:$AC$5000))), 0)), "")</f>
        <v/>
      </c>
      <c r="K168" s="400">
        <f t="array" ref="K168">SUMPRODUCT((IM!$F$2:$F$5000=A168)*(IM!$AD$2:$AD$5000="O")*(ISNUMBER(SEARCH(勤務統計!$C$1, IM!$AC$2:$AC$5000))))</f>
        <v>0</v>
      </c>
      <c r="L168" s="401" t="str">
        <f t="array" ref="L168">IF(K168&gt;0,IFERROR(HYPERLINK("#'IM'!AC"&amp;MATCH(1,(IM!$F$1:$F$5000=A168)*(ISNUMBER(SEARCH(勤務統計!$C$1,IM!$AC$1:$AC$5000))),0),"檢核"),"未登錄"),"")</f>
        <v/>
      </c>
      <c r="M168" s="402" t="str">
        <f t="shared" si="2"/>
        <v>+L90</v>
      </c>
      <c r="N168" s="402" t="str">
        <f t="array" ref="N168">IF(AND(
    SUMPRODUCT(
        (IM!$F$2:$F$522=A168) *
        ISNUMBER(SEARCH("*HUB*", IM!$AC$2:$AC$522)) *
        (IM!$X$2:$X$522&gt;=勤務統計!$A$1) *
        (IM!$X$2:$X$522&lt;=勤務統計!$B$1)*(W168="HUB")
    ) &gt; 0
), "HUB", "")</f>
        <v/>
      </c>
      <c r="O168" s="400" t="str">
        <f>IF(
  IFERROR(VLOOKUP(A168,勤務統計!A:I,9,FALSE),"")&lt;&gt;勤務統計!$C$1,
  "未完工",
  IF(
    AND(勤務統計!$D$1="--",勤務統計!$E$1="--",勤務統計!$F$1="--"),
    "已完工",
    IF(
      OR(
        AND(勤務統計!$D$1&lt;&gt;"--", IFERROR(VLOOKUP(A168,'0919門市清單主檔'!B:AH,31,FALSE),"")=勤務統計!$D$1, IFERROR(VLOOKUP(A168,勤務統計!A:Q,17,FALSE),"")&lt;&gt;勤務統計!$D$1),
        AND(勤務統計!$E$1&lt;&gt;"--", IFERROR(VLOOKUP(A168,'0919門市清單主檔'!B:AH,32,FALSE),"")=勤務統計!$E$1, IFERROR(VLOOKUP(A168,勤務統計!A:S,19,FALSE),"")&lt;&gt;勤務統計!$E$1),
        AND(勤務統計!$F$1&lt;&gt;"--", IFERROR(VLOOKUP(A168,'0919門市清單主檔'!B:AH,33,FALSE),"")=勤務統計!$F$1, IFERROR(VLOOKUP(A168,勤務統計!A:U,21,FALSE),"")&lt;&gt;勤務統計!$F$1),
        AND(IFERROR(VLOOKUP(A168,'0919門市清單主檔'!B:AH,28,FALSE),"")="HUB", IFERROR(VLOOKUP(A168,勤務統計!A:W,23,FALSE),"")&lt;&gt;"HUB")
      ),
      _xlfn.TEXTJOIN(
        "，",
        TRUE,
        IF(AND(勤務統計!$D$1&lt;&gt;"--", IFERROR(VLOOKUP(A168,'0919門市清單主檔'!B:AH,31,FALSE),"")=勤務統計!$D$1, IFERROR(VLOOKUP(A168,勤務統計!A:Q,17,FALSE),"")&lt;&gt;勤務統計!$D$1), 勤務統計!$D$1, ""),
        IF(AND(勤務統計!$E$1&lt;&gt;"--", IFERROR(VLOOKUP(A168,'0919門市清單主檔'!B:AH,32,FALSE),"")=勤務統計!$E$1, IFERROR(VLOOKUP(A168,勤務統計!A:S,19,FALSE),"")&lt;&gt;勤務統計!$E$1), 勤務統計!$E$1, ""),
        IF(AND(勤務統計!$F$1&lt;&gt;"--", IFERROR(VLOOKUP(A168,'0919門市清單主檔'!B:AH,33,FALSE),"")=勤務統計!$F$1, IFERROR(VLOOKUP(A168,勤務統計!A:U,21,FALSE),"")&lt;&gt;勤務統計!$F$1), 勤務統計!$F$1, ""),
        IF(AND(IFERROR(VLOOKUP(A168,'0919門市清單主檔'!B:AH,28,FALSE),"")="HUB", IFERROR(VLOOKUP(A168,勤務統計!A:W,23,FALSE),"")&lt;&gt;"HUB"), "HUB", "")
      ) &amp; "未完工",
      "已完工"
    )
  )
)</f>
        <v>未完工</v>
      </c>
      <c r="P168" s="403" t="str">
        <f>(TEXT(I168,"yyyymmdd"))&amp;勤務統計!$V$2&amp;A168&amp;勤務統計!$V$2&amp;B168&amp;勤務統計!$S$2</f>
        <v>-A171-淡水金龍店(定保)</v>
      </c>
      <c r="Q168" s="420" t="str">
        <f t="array" ref="Q168">IF(AND(SUMPRODUCT((IM!$F$2:$F$5000=A168)*(ISNUMBER(SEARCH(勤務統計!$D$1, IM!$AC$2:$AC$5000))))&gt;0), 勤務統計!$D$1, "")</f>
        <v/>
      </c>
      <c r="R168" s="421" t="str">
        <f t="array" ref="R168">IFERROR(INDEX(IM!$AM$2:$AM$5000, MATCH(1, (IM!$F$2:$F$5000=A168) * (ISNUMBER(SEARCH(勤務統計!$D$1, IM!$AC$2:$AC$5000))), 0)), "")</f>
        <v/>
      </c>
      <c r="S168" s="406" t="str" cm="1">
        <f t="array" ref="S168">IF(AND(SUMPRODUCT((IM!$F$2:$F$5000=A168)*(ISNUMBER(SEARCH(勤務統計!$E$1, IM!$AC$2:$AC$5000))))&gt;0), 勤務統計!$E$1, "")</f>
        <v>+L90</v>
      </c>
      <c r="T168" s="422">
        <f t="array" ref="T168">IFERROR(INDEX(IM!$AM$2:$AM$5000, MATCH(1, (IM!$F$2:$F$5000=A168) * (ISNUMBER(SEARCH(勤務統計!$E$1, IM!$AC$2:$AC$5000))), 0)), "")</f>
        <v>45975</v>
      </c>
      <c r="U168" s="406" t="str" cm="1">
        <f t="array" ref="U168">IF(AND(SUMPRODUCT((IM!$F$2:$F$5000=A168)*(ISNUMBER(SEARCH(勤務統計!$F$1, IM!$AC$2:$AC$5000))))&gt;0), 勤務統計!$F$1, "")</f>
        <v/>
      </c>
      <c r="V168" s="413" t="str">
        <f t="array" ref="V168">IFERROR(INDEX(IM!$AM$2:$AM$5000, MATCH(1, (IM!$F$2:$F$5000=A168) * (ISNUMBER(SEARCH(勤務統計!$F$1, IM!$AC$2:$AC$5000))), 0)), "")</f>
        <v/>
      </c>
      <c r="W168" s="414" t="str">
        <f>IF(VLOOKUP(A168,'0919門市清單主檔'!B:AC,28,FALSE)=0,"",VLOOKUP(A168,'0919門市清單主檔'!B:AC,28,FALSE))</f>
        <v/>
      </c>
    </row>
    <row r="169" spans="1:23" ht="21.6" customHeight="1">
      <c r="A169" s="423">
        <v>4511</v>
      </c>
      <c r="B169" s="416" t="str">
        <f>VLOOKUP(A169,'0919門市清單主檔'!B:C,2,FALSE)</f>
        <v>淡水屯山店</v>
      </c>
      <c r="C169" s="415" t="str">
        <f>VLOOKUP($A169,'0919門市清單主檔'!B:V,20,FALSE)</f>
        <v>新北市</v>
      </c>
      <c r="D169" s="410" t="str">
        <f>VLOOKUP($A169,'0919門市清單主檔'!B:V,21,FALSE)</f>
        <v>淡水區</v>
      </c>
      <c r="E169" s="397" t="str">
        <f>VLOOKUP(D169,門市狀態!G:H,2,FALSE)</f>
        <v>吳宗鴻</v>
      </c>
      <c r="F169" s="410" t="str">
        <f>IFERROR(IF(VLOOKUP(A169,門市狀態!A:D,4,FALSE)=0,"",VLOOKUP(A169,門市狀態!A:D,4,FALSE)),"")</f>
        <v>撤店</v>
      </c>
      <c r="G169" s="424"/>
      <c r="H169" s="425" t="str">
        <f>IF(I169&gt;0,(TEXT(I169,"yyyymmdd")&amp;勤務統計!$V$2&amp;A169&amp;勤務統計!$V$2&amp;B169&amp;勤務統計!$S$2),"")</f>
        <v>-4511-淡水屯山店(定保)</v>
      </c>
      <c r="I169" s="247" t="str">
        <f t="array" ref="I169">IF(AND(SUMPRODUCT((IM!$F$2:$F$5000=A169)*(ISNUMBER(SEARCH(勤務統計!$C$1, IM!$AC$2:$AC$5000))))&gt;0), 勤務統計!$C$1, "")</f>
        <v/>
      </c>
      <c r="J169" s="399" t="str">
        <f t="array" ref="J169">IFERROR(INDEX(IM!$AM$2:$AM$5000, MATCH(1, (IM!$F$2:$F$5000=A169) * (ISNUMBER(SEARCH(勤務統計!$C$1, IM!$AC$2:$AC$5000))), 0)), "")</f>
        <v/>
      </c>
      <c r="K169" s="400">
        <f t="array" ref="K169">SUMPRODUCT((IM!$F$2:$F$5000=A169)*(IM!$AD$2:$AD$5000="O")*(ISNUMBER(SEARCH(勤務統計!$C$1, IM!$AC$2:$AC$5000))))</f>
        <v>0</v>
      </c>
      <c r="L169" s="401" t="str">
        <f t="array" ref="L169">IF(K169&gt;0,IFERROR(HYPERLINK("#'IM'!AC"&amp;MATCH(1,(IM!$F$1:$F$5000=A169)*(ISNUMBER(SEARCH(勤務統計!$C$1,IM!$AC$1:$AC$5000))),0),"檢核"),"未登錄"),"")</f>
        <v/>
      </c>
      <c r="M169" s="402" t="str">
        <f t="shared" si="2"/>
        <v>+L90</v>
      </c>
      <c r="N169" s="402" t="str">
        <f t="array" ref="N169">IF(AND(
    SUMPRODUCT(
        (IM!$F$2:$F$522=A169) *
        ISNUMBER(SEARCH("*HUB*", IM!$AC$2:$AC$522)) *
        (IM!$X$2:$X$522&gt;=勤務統計!$A$1) *
        (IM!$X$2:$X$522&lt;=勤務統計!$B$1)*(W169="HUB")
    ) &gt; 0
), "HUB", "")</f>
        <v/>
      </c>
      <c r="O169" s="400" t="str">
        <f>IF(
  IFERROR(VLOOKUP(A169,勤務統計!A:I,9,FALSE),"")&lt;&gt;勤務統計!$C$1,
  "未完工",
  IF(
    AND(勤務統計!$D$1="--",勤務統計!$E$1="--",勤務統計!$F$1="--"),
    "已完工",
    IF(
      OR(
        AND(勤務統計!$D$1&lt;&gt;"--", IFERROR(VLOOKUP(A169,'0919門市清單主檔'!B:AH,31,FALSE),"")=勤務統計!$D$1, IFERROR(VLOOKUP(A169,勤務統計!A:Q,17,FALSE),"")&lt;&gt;勤務統計!$D$1),
        AND(勤務統計!$E$1&lt;&gt;"--", IFERROR(VLOOKUP(A169,'0919門市清單主檔'!B:AH,32,FALSE),"")=勤務統計!$E$1, IFERROR(VLOOKUP(A169,勤務統計!A:S,19,FALSE),"")&lt;&gt;勤務統計!$E$1),
        AND(勤務統計!$F$1&lt;&gt;"--", IFERROR(VLOOKUP(A169,'0919門市清單主檔'!B:AH,33,FALSE),"")=勤務統計!$F$1, IFERROR(VLOOKUP(A169,勤務統計!A:U,21,FALSE),"")&lt;&gt;勤務統計!$F$1),
        AND(IFERROR(VLOOKUP(A169,'0919門市清單主檔'!B:AH,28,FALSE),"")="HUB", IFERROR(VLOOKUP(A169,勤務統計!A:W,23,FALSE),"")&lt;&gt;"HUB")
      ),
      _xlfn.TEXTJOIN(
        "，",
        TRUE,
        IF(AND(勤務統計!$D$1&lt;&gt;"--", IFERROR(VLOOKUP(A169,'0919門市清單主檔'!B:AH,31,FALSE),"")=勤務統計!$D$1, IFERROR(VLOOKUP(A169,勤務統計!A:Q,17,FALSE),"")&lt;&gt;勤務統計!$D$1), 勤務統計!$D$1, ""),
        IF(AND(勤務統計!$E$1&lt;&gt;"--", IFERROR(VLOOKUP(A169,'0919門市清單主檔'!B:AH,32,FALSE),"")=勤務統計!$E$1, IFERROR(VLOOKUP(A169,勤務統計!A:S,19,FALSE),"")&lt;&gt;勤務統計!$E$1), 勤務統計!$E$1, ""),
        IF(AND(勤務統計!$F$1&lt;&gt;"--", IFERROR(VLOOKUP(A169,'0919門市清單主檔'!B:AH,33,FALSE),"")=勤務統計!$F$1, IFERROR(VLOOKUP(A169,勤務統計!A:U,21,FALSE),"")&lt;&gt;勤務統計!$F$1), 勤務統計!$F$1, ""),
        IF(AND(IFERROR(VLOOKUP(A169,'0919門市清單主檔'!B:AH,28,FALSE),"")="HUB", IFERROR(VLOOKUP(A169,勤務統計!A:W,23,FALSE),"")&lt;&gt;"HUB"), "HUB", "")
      ) &amp; "未完工",
      "已完工"
    )
  )
)</f>
        <v>未完工</v>
      </c>
      <c r="P169" s="403" t="str">
        <f>(TEXT(I169,"yyyymmdd"))&amp;勤務統計!$V$2&amp;A169&amp;勤務統計!$V$2&amp;B169&amp;勤務統計!$S$2</f>
        <v>-4511-淡水屯山店(定保)</v>
      </c>
      <c r="Q169" s="420" t="str">
        <f t="array" ref="Q169">IF(AND(SUMPRODUCT((IM!$F$2:$F$5000=A169)*(ISNUMBER(SEARCH(勤務統計!$D$1, IM!$AC$2:$AC$5000))))&gt;0), 勤務統計!$D$1, "")</f>
        <v/>
      </c>
      <c r="R169" s="421" t="str">
        <f t="array" ref="R169">IFERROR(INDEX(IM!$AM$2:$AM$5000, MATCH(1, (IM!$F$2:$F$5000=A169) * (ISNUMBER(SEARCH(勤務統計!$D$1, IM!$AC$2:$AC$5000))), 0)), "")</f>
        <v/>
      </c>
      <c r="S169" s="406" t="str" cm="1">
        <f t="array" ref="S169">IF(AND(SUMPRODUCT((IM!$F$2:$F$5000=A169)*(ISNUMBER(SEARCH(勤務統計!$E$1, IM!$AC$2:$AC$5000))))&gt;0), 勤務統計!$E$1, "")</f>
        <v>+L90</v>
      </c>
      <c r="T169" s="422">
        <f t="array" ref="T169">IFERROR(INDEX(IM!$AM$2:$AM$5000, MATCH(1, (IM!$F$2:$F$5000=A169) * (ISNUMBER(SEARCH(勤務統計!$E$1, IM!$AC$2:$AC$5000))), 0)), "")</f>
        <v>45975</v>
      </c>
      <c r="U169" s="406" t="str" cm="1">
        <f t="array" ref="U169">IF(AND(SUMPRODUCT((IM!$F$2:$F$5000=A169)*(ISNUMBER(SEARCH(勤務統計!$F$1, IM!$AC$2:$AC$5000))))&gt;0), 勤務統計!$F$1, "")</f>
        <v/>
      </c>
      <c r="V169" s="413" t="str">
        <f t="array" ref="V169">IFERROR(INDEX(IM!$AM$2:$AM$5000, MATCH(1, (IM!$F$2:$F$5000=A169) * (ISNUMBER(SEARCH(勤務統計!$F$1, IM!$AC$2:$AC$5000))), 0)), "")</f>
        <v/>
      </c>
      <c r="W169" s="414" t="str">
        <f>IF(VLOOKUP(A169,'0919門市清單主檔'!B:AC,28,FALSE)=0,"",VLOOKUP(A169,'0919門市清單主檔'!B:AC,28,FALSE))</f>
        <v/>
      </c>
    </row>
    <row r="170" spans="1:23" ht="21.6" customHeight="1">
      <c r="A170" s="423">
        <v>3137</v>
      </c>
      <c r="B170" s="416" t="str">
        <f>VLOOKUP(A170,'0919門市清單主檔'!B:C,2,FALSE)</f>
        <v>北縣黎明店</v>
      </c>
      <c r="C170" s="415" t="str">
        <f>VLOOKUP($A170,'0919門市清單主檔'!B:V,20,FALSE)</f>
        <v>新北市</v>
      </c>
      <c r="D170" s="410" t="str">
        <f>VLOOKUP($A170,'0919門市清單主檔'!B:V,21,FALSE)</f>
        <v>泰山區</v>
      </c>
      <c r="E170" s="397" t="str">
        <f>VLOOKUP(D170,門市狀態!G:H,2,FALSE)</f>
        <v>吳宗鴻</v>
      </c>
      <c r="F170" s="410" t="str">
        <f>IFERROR(IF(VLOOKUP(A170,門市狀態!A:D,4,FALSE)=0,"",VLOOKUP(A170,門市狀態!A:D,4,FALSE)),"")</f>
        <v/>
      </c>
      <c r="G170" s="424" t="s">
        <v>66</v>
      </c>
      <c r="H170" s="425" t="str">
        <f>IF(I170&gt;0,(TEXT(I170,"yyyymmdd")&amp;勤務統計!$V$2&amp;A170&amp;勤務統計!$V$2&amp;B170&amp;勤務統計!$S$2),"")</f>
        <v>-3137-北縣黎明店(定保)</v>
      </c>
      <c r="I170" s="247" t="str">
        <f t="array" ref="I170">IF(AND(SUMPRODUCT((IM!$F$2:$F$5000=A170)*(ISNUMBER(SEARCH(勤務統計!$C$1, IM!$AC$2:$AC$5000))))&gt;0), 勤務統計!$C$1, "")</f>
        <v/>
      </c>
      <c r="J170" s="399" t="str">
        <f t="array" ref="J170">IFERROR(INDEX(IM!$AM$2:$AM$5000, MATCH(1, (IM!$F$2:$F$5000=A170) * (ISNUMBER(SEARCH(勤務統計!$C$1, IM!$AC$2:$AC$5000))), 0)), "")</f>
        <v/>
      </c>
      <c r="K170" s="400">
        <f t="array" ref="K170">SUMPRODUCT((IM!$F$2:$F$5000=A170)*(IM!$AD$2:$AD$5000="O")*(ISNUMBER(SEARCH(勤務統計!$C$1, IM!$AC$2:$AC$5000))))</f>
        <v>0</v>
      </c>
      <c r="L170" s="401" t="str">
        <f t="array" ref="L170">IF(K170&gt;0,IFERROR(HYPERLINK("#'IM'!AC"&amp;MATCH(1,(IM!$F$1:$F$5000=A170)*(ISNUMBER(SEARCH(勤務統計!$C$1,IM!$AC$1:$AC$5000))),0),"檢核"),"未登錄"),"")</f>
        <v/>
      </c>
      <c r="M170" s="402" t="str">
        <f t="shared" si="2"/>
        <v>+L90</v>
      </c>
      <c r="N170" s="402" t="str">
        <f t="array" ref="N170">IF(AND(
    SUMPRODUCT(
        (IM!$F$2:$F$522=A170) *
        ISNUMBER(SEARCH("*HUB*", IM!$AC$2:$AC$522)) *
        (IM!$X$2:$X$522&gt;=勤務統計!$A$1) *
        (IM!$X$2:$X$522&lt;=勤務統計!$B$1)*(W170="HUB")
    ) &gt; 0
), "HUB", "")</f>
        <v/>
      </c>
      <c r="O170" s="400" t="str">
        <f>IF(
  IFERROR(VLOOKUP(A170,勤務統計!A:I,9,FALSE),"")&lt;&gt;勤務統計!$C$1,
  "未完工",
  IF(
    AND(勤務統計!$D$1="--",勤務統計!$E$1="--",勤務統計!$F$1="--"),
    "已完工",
    IF(
      OR(
        AND(勤務統計!$D$1&lt;&gt;"--", IFERROR(VLOOKUP(A170,'0919門市清單主檔'!B:AH,31,FALSE),"")=勤務統計!$D$1, IFERROR(VLOOKUP(A170,勤務統計!A:Q,17,FALSE),"")&lt;&gt;勤務統計!$D$1),
        AND(勤務統計!$E$1&lt;&gt;"--", IFERROR(VLOOKUP(A170,'0919門市清單主檔'!B:AH,32,FALSE),"")=勤務統計!$E$1, IFERROR(VLOOKUP(A170,勤務統計!A:S,19,FALSE),"")&lt;&gt;勤務統計!$E$1),
        AND(勤務統計!$F$1&lt;&gt;"--", IFERROR(VLOOKUP(A170,'0919門市清單主檔'!B:AH,33,FALSE),"")=勤務統計!$F$1, IFERROR(VLOOKUP(A170,勤務統計!A:U,21,FALSE),"")&lt;&gt;勤務統計!$F$1),
        AND(IFERROR(VLOOKUP(A170,'0919門市清單主檔'!B:AH,28,FALSE),"")="HUB", IFERROR(VLOOKUP(A170,勤務統計!A:W,23,FALSE),"")&lt;&gt;"HUB")
      ),
      _xlfn.TEXTJOIN(
        "，",
        TRUE,
        IF(AND(勤務統計!$D$1&lt;&gt;"--", IFERROR(VLOOKUP(A170,'0919門市清單主檔'!B:AH,31,FALSE),"")=勤務統計!$D$1, IFERROR(VLOOKUP(A170,勤務統計!A:Q,17,FALSE),"")&lt;&gt;勤務統計!$D$1), 勤務統計!$D$1, ""),
        IF(AND(勤務統計!$E$1&lt;&gt;"--", IFERROR(VLOOKUP(A170,'0919門市清單主檔'!B:AH,32,FALSE),"")=勤務統計!$E$1, IFERROR(VLOOKUP(A170,勤務統計!A:S,19,FALSE),"")&lt;&gt;勤務統計!$E$1), 勤務統計!$E$1, ""),
        IF(AND(勤務統計!$F$1&lt;&gt;"--", IFERROR(VLOOKUP(A170,'0919門市清單主檔'!B:AH,33,FALSE),"")=勤務統計!$F$1, IFERROR(VLOOKUP(A170,勤務統計!A:U,21,FALSE),"")&lt;&gt;勤務統計!$F$1), 勤務統計!$F$1, ""),
        IF(AND(IFERROR(VLOOKUP(A170,'0919門市清單主檔'!B:AH,28,FALSE),"")="HUB", IFERROR(VLOOKUP(A170,勤務統計!A:W,23,FALSE),"")&lt;&gt;"HUB"), "HUB", "")
      ) &amp; "未完工",
      "已完工"
    )
  )
)</f>
        <v>未完工</v>
      </c>
      <c r="P170" s="403" t="str">
        <f>(TEXT(I170,"yyyymmdd"))&amp;勤務統計!$V$2&amp;A170&amp;勤務統計!$V$2&amp;B170&amp;勤務統計!$S$2</f>
        <v>-3137-北縣黎明店(定保)</v>
      </c>
      <c r="Q170" s="420" t="str">
        <f t="array" ref="Q170">IF(AND(SUMPRODUCT((IM!$F$2:$F$5000=A170)*(ISNUMBER(SEARCH(勤務統計!$D$1, IM!$AC$2:$AC$5000))))&gt;0), 勤務統計!$D$1, "")</f>
        <v/>
      </c>
      <c r="R170" s="421" t="str">
        <f t="array" ref="R170">IFERROR(INDEX(IM!$AM$2:$AM$5000, MATCH(1, (IM!$F$2:$F$5000=A170) * (ISNUMBER(SEARCH(勤務統計!$D$1, IM!$AC$2:$AC$5000))), 0)), "")</f>
        <v/>
      </c>
      <c r="S170" s="406" t="str" cm="1">
        <f t="array" ref="S170">IF(AND(SUMPRODUCT((IM!$F$2:$F$5000=A170)*(ISNUMBER(SEARCH(勤務統計!$E$1, IM!$AC$2:$AC$5000))))&gt;0), 勤務統計!$E$1, "")</f>
        <v>+L90</v>
      </c>
      <c r="T170" s="422">
        <f t="array" ref="T170">IFERROR(INDEX(IM!$AM$2:$AM$5000, MATCH(1, (IM!$F$2:$F$5000=A170) * (ISNUMBER(SEARCH(勤務統計!$E$1, IM!$AC$2:$AC$5000))), 0)), "")</f>
        <v>45975</v>
      </c>
      <c r="U170" s="406" t="str" cm="1">
        <f t="array" ref="U170">IF(AND(SUMPRODUCT((IM!$F$2:$F$5000=A170)*(ISNUMBER(SEARCH(勤務統計!$F$1, IM!$AC$2:$AC$5000))))&gt;0), 勤務統計!$F$1, "")</f>
        <v/>
      </c>
      <c r="V170" s="413" t="str">
        <f t="array" ref="V170">IFERROR(INDEX(IM!$AM$2:$AM$5000, MATCH(1, (IM!$F$2:$F$5000=A170) * (ISNUMBER(SEARCH(勤務統計!$F$1, IM!$AC$2:$AC$5000))), 0)), "")</f>
        <v/>
      </c>
      <c r="W170" s="414" t="str">
        <f>IF(VLOOKUP(A170,'0919門市清單主檔'!B:AC,28,FALSE)=0,"",VLOOKUP(A170,'0919門市清單主檔'!B:AC,28,FALSE))</f>
        <v/>
      </c>
    </row>
    <row r="171" spans="1:23" ht="21.6" customHeight="1">
      <c r="A171" s="423">
        <v>2069</v>
      </c>
      <c r="B171" s="416" t="str">
        <f>VLOOKUP(A171,'0919門市清單主檔'!B:C,2,FALSE)</f>
        <v>板橋江子翠站</v>
      </c>
      <c r="C171" s="415" t="str">
        <f>VLOOKUP($A171,'0919門市清單主檔'!B:V,20,FALSE)</f>
        <v>新北市</v>
      </c>
      <c r="D171" s="410" t="str">
        <f>VLOOKUP($A171,'0919門市清單主檔'!B:V,21,FALSE)</f>
        <v>板橋區</v>
      </c>
      <c r="E171" s="397" t="str">
        <f>VLOOKUP(D171,門市狀態!G:H,2,FALSE)</f>
        <v>狄澤洋</v>
      </c>
      <c r="F171" s="410" t="str">
        <f>IFERROR(IF(VLOOKUP(A171,門市狀態!A:D,4,FALSE)=0,"",VLOOKUP(A171,門市狀態!A:D,4,FALSE)),"")</f>
        <v/>
      </c>
      <c r="G171" s="424"/>
      <c r="H171" s="425" t="str">
        <f>IF(I171&gt;0,(TEXT(I171,"yyyymmdd")&amp;勤務統計!$V$2&amp;A171&amp;勤務統計!$V$2&amp;B171&amp;勤務統計!$S$2),"")</f>
        <v>-2069-板橋江子翠站(定保)</v>
      </c>
      <c r="I171" s="247" t="str">
        <f t="array" ref="I171">IF(AND(SUMPRODUCT((IM!$F$2:$F$5000=A171)*(ISNUMBER(SEARCH(勤務統計!$C$1, IM!$AC$2:$AC$5000))))&gt;0), 勤務統計!$C$1, "")</f>
        <v/>
      </c>
      <c r="J171" s="399" t="str">
        <f t="array" ref="J171">IFERROR(INDEX(IM!$AM$2:$AM$5000, MATCH(1, (IM!$F$2:$F$5000=A171) * (ISNUMBER(SEARCH(勤務統計!$C$1, IM!$AC$2:$AC$5000))), 0)), "")</f>
        <v/>
      </c>
      <c r="K171" s="400">
        <f t="array" ref="K171">SUMPRODUCT((IM!$F$2:$F$5000=A171)*(IM!$AD$2:$AD$5000="O")*(ISNUMBER(SEARCH(勤務統計!$C$1, IM!$AC$2:$AC$5000))))</f>
        <v>0</v>
      </c>
      <c r="L171" s="401" t="str">
        <f t="array" ref="L171">IF(K171&gt;0,IFERROR(HYPERLINK("#'IM'!AC"&amp;MATCH(1,(IM!$F$1:$F$5000=A171)*(ISNUMBER(SEARCH(勤務統計!$C$1,IM!$AC$1:$AC$5000))),0),"檢核"),"未登錄"),"")</f>
        <v/>
      </c>
      <c r="M171" s="402" t="str">
        <f t="shared" si="2"/>
        <v>+L90</v>
      </c>
      <c r="N171" s="402" t="str">
        <f t="array" ref="N171">IF(AND(
    SUMPRODUCT(
        (IM!$F$2:$F$522=A171) *
        ISNUMBER(SEARCH("*HUB*", IM!$AC$2:$AC$522)) *
        (IM!$X$2:$X$522&gt;=勤務統計!$A$1) *
        (IM!$X$2:$X$522&lt;=勤務統計!$B$1)*(W171="HUB")
    ) &gt; 0
), "HUB", "")</f>
        <v/>
      </c>
      <c r="O171" s="400" t="str">
        <f>IF(
  IFERROR(VLOOKUP(A171,勤務統計!A:I,9,FALSE),"")&lt;&gt;勤務統計!$C$1,
  "未完工",
  IF(
    AND(勤務統計!$D$1="--",勤務統計!$E$1="--",勤務統計!$F$1="--"),
    "已完工",
    IF(
      OR(
        AND(勤務統計!$D$1&lt;&gt;"--", IFERROR(VLOOKUP(A171,'0919門市清單主檔'!B:AH,31,FALSE),"")=勤務統計!$D$1, IFERROR(VLOOKUP(A171,勤務統計!A:Q,17,FALSE),"")&lt;&gt;勤務統計!$D$1),
        AND(勤務統計!$E$1&lt;&gt;"--", IFERROR(VLOOKUP(A171,'0919門市清單主檔'!B:AH,32,FALSE),"")=勤務統計!$E$1, IFERROR(VLOOKUP(A171,勤務統計!A:S,19,FALSE),"")&lt;&gt;勤務統計!$E$1),
        AND(勤務統計!$F$1&lt;&gt;"--", IFERROR(VLOOKUP(A171,'0919門市清單主檔'!B:AH,33,FALSE),"")=勤務統計!$F$1, IFERROR(VLOOKUP(A171,勤務統計!A:U,21,FALSE),"")&lt;&gt;勤務統計!$F$1),
        AND(IFERROR(VLOOKUP(A171,'0919門市清單主檔'!B:AH,28,FALSE),"")="HUB", IFERROR(VLOOKUP(A171,勤務統計!A:W,23,FALSE),"")&lt;&gt;"HUB")
      ),
      _xlfn.TEXTJOIN(
        "，",
        TRUE,
        IF(AND(勤務統計!$D$1&lt;&gt;"--", IFERROR(VLOOKUP(A171,'0919門市清單主檔'!B:AH,31,FALSE),"")=勤務統計!$D$1, IFERROR(VLOOKUP(A171,勤務統計!A:Q,17,FALSE),"")&lt;&gt;勤務統計!$D$1), 勤務統計!$D$1, ""),
        IF(AND(勤務統計!$E$1&lt;&gt;"--", IFERROR(VLOOKUP(A171,'0919門市清單主檔'!B:AH,32,FALSE),"")=勤務統計!$E$1, IFERROR(VLOOKUP(A171,勤務統計!A:S,19,FALSE),"")&lt;&gt;勤務統計!$E$1), 勤務統計!$E$1, ""),
        IF(AND(勤務統計!$F$1&lt;&gt;"--", IFERROR(VLOOKUP(A171,'0919門市清單主檔'!B:AH,33,FALSE),"")=勤務統計!$F$1, IFERROR(VLOOKUP(A171,勤務統計!A:U,21,FALSE),"")&lt;&gt;勤務統計!$F$1), 勤務統計!$F$1, ""),
        IF(AND(IFERROR(VLOOKUP(A171,'0919門市清單主檔'!B:AH,28,FALSE),"")="HUB", IFERROR(VLOOKUP(A171,勤務統計!A:W,23,FALSE),"")&lt;&gt;"HUB"), "HUB", "")
      ) &amp; "未完工",
      "已完工"
    )
  )
)</f>
        <v>未完工</v>
      </c>
      <c r="P171" s="403" t="str">
        <f>(TEXT(I171,"yyyymmdd"))&amp;勤務統計!$V$2&amp;A171&amp;勤務統計!$V$2&amp;B171&amp;勤務統計!$S$2</f>
        <v>-2069-板橋江子翠站(定保)</v>
      </c>
      <c r="Q171" s="420" t="str">
        <f t="array" ref="Q171">IF(AND(SUMPRODUCT((IM!$F$2:$F$5000=A171)*(ISNUMBER(SEARCH(勤務統計!$D$1, IM!$AC$2:$AC$5000))))&gt;0), 勤務統計!$D$1, "")</f>
        <v/>
      </c>
      <c r="R171" s="421" t="str">
        <f t="array" ref="R171">IFERROR(INDEX(IM!$AM$2:$AM$5000, MATCH(1, (IM!$F$2:$F$5000=A171) * (ISNUMBER(SEARCH(勤務統計!$D$1, IM!$AC$2:$AC$5000))), 0)), "")</f>
        <v/>
      </c>
      <c r="S171" s="406" t="str" cm="1">
        <f t="array" ref="S171">IF(AND(SUMPRODUCT((IM!$F$2:$F$5000=A171)*(ISNUMBER(SEARCH(勤務統計!$E$1, IM!$AC$2:$AC$5000))))&gt;0), 勤務統計!$E$1, "")</f>
        <v>+L90</v>
      </c>
      <c r="T171" s="422">
        <f t="array" ref="T171">IFERROR(INDEX(IM!$AM$2:$AM$5000, MATCH(1, (IM!$F$2:$F$5000=A171) * (ISNUMBER(SEARCH(勤務統計!$E$1, IM!$AC$2:$AC$5000))), 0)), "")</f>
        <v>45978</v>
      </c>
      <c r="U171" s="406" t="str" cm="1">
        <f t="array" ref="U171">IF(AND(SUMPRODUCT((IM!$F$2:$F$5000=A171)*(ISNUMBER(SEARCH(勤務統計!$F$1, IM!$AC$2:$AC$5000))))&gt;0), 勤務統計!$F$1, "")</f>
        <v/>
      </c>
      <c r="V171" s="413" t="str">
        <f t="array" ref="V171">IFERROR(INDEX(IM!$AM$2:$AM$5000, MATCH(1, (IM!$F$2:$F$5000=A171) * (ISNUMBER(SEARCH(勤務統計!$F$1, IM!$AC$2:$AC$5000))), 0)), "")</f>
        <v/>
      </c>
      <c r="W171" s="414" t="str">
        <f>IF(VLOOKUP(A171,'0919門市清單主檔'!B:AC,28,FALSE)=0,"",VLOOKUP(A171,'0919門市清單主檔'!B:AC,28,FALSE))</f>
        <v/>
      </c>
    </row>
    <row r="172" spans="1:23" ht="21.6" customHeight="1">
      <c r="A172" s="423">
        <v>3851</v>
      </c>
      <c r="B172" s="416" t="str">
        <f>VLOOKUP(A172,'0919門市清單主檔'!B:C,2,FALSE)</f>
        <v>新莊輔園店</v>
      </c>
      <c r="C172" s="415" t="str">
        <f>VLOOKUP($A172,'0919門市清單主檔'!B:V,20,FALSE)</f>
        <v>新北市</v>
      </c>
      <c r="D172" s="410" t="str">
        <f>VLOOKUP($A172,'0919門市清單主檔'!B:V,21,FALSE)</f>
        <v>新莊區</v>
      </c>
      <c r="E172" s="397" t="str">
        <f>VLOOKUP(D172,門市狀態!G:H,2,FALSE)</f>
        <v>湯家瑋</v>
      </c>
      <c r="F172" s="410" t="str">
        <f>IFERROR(IF(VLOOKUP(A172,門市狀態!A:D,4,FALSE)=0,"",VLOOKUP(A172,門市狀態!A:D,4,FALSE)),"")</f>
        <v/>
      </c>
      <c r="G172" s="424" t="s">
        <v>66</v>
      </c>
      <c r="H172" s="425" t="str">
        <f>IF(I172&gt;0,(TEXT(I172,"yyyymmdd")&amp;勤務統計!$V$2&amp;A172&amp;勤務統計!$V$2&amp;B172&amp;勤務統計!$S$2),"")</f>
        <v>-3851-新莊輔園店(定保)</v>
      </c>
      <c r="I172" s="247" t="str">
        <f t="array" ref="I172">IF(AND(SUMPRODUCT((IM!$F$2:$F$5000=A172)*(ISNUMBER(SEARCH(勤務統計!$C$1, IM!$AC$2:$AC$5000))))&gt;0), 勤務統計!$C$1, "")</f>
        <v/>
      </c>
      <c r="J172" s="399" t="str">
        <f t="array" ref="J172">IFERROR(INDEX(IM!$AM$2:$AM$5000, MATCH(1, (IM!$F$2:$F$5000=A172) * (ISNUMBER(SEARCH(勤務統計!$C$1, IM!$AC$2:$AC$5000))), 0)), "")</f>
        <v/>
      </c>
      <c r="K172" s="400">
        <f t="array" ref="K172">SUMPRODUCT((IM!$F$2:$F$5000=A172)*(IM!$AD$2:$AD$5000="O")*(ISNUMBER(SEARCH(勤務統計!$C$1, IM!$AC$2:$AC$5000))))</f>
        <v>0</v>
      </c>
      <c r="L172" s="401" t="str">
        <f t="array" ref="L172">IF(K172&gt;0,IFERROR(HYPERLINK("#'IM'!AC"&amp;MATCH(1,(IM!$F$1:$F$5000=A172)*(ISNUMBER(SEARCH(勤務統計!$C$1,IM!$AC$1:$AC$5000))),0),"檢核"),"未登錄"),"")</f>
        <v/>
      </c>
      <c r="M172" s="402" t="str">
        <f t="shared" si="2"/>
        <v>+L90</v>
      </c>
      <c r="N172" s="402" t="str">
        <f t="array" ref="N172">IF(AND(
    SUMPRODUCT(
        (IM!$F$2:$F$522=A172) *
        ISNUMBER(SEARCH("*HUB*", IM!$AC$2:$AC$522)) *
        (IM!$X$2:$X$522&gt;=勤務統計!$A$1) *
        (IM!$X$2:$X$522&lt;=勤務統計!$B$1)*(W172="HUB")
    ) &gt; 0
), "HUB", "")</f>
        <v/>
      </c>
      <c r="O172" s="400" t="str">
        <f>IF(
  IFERROR(VLOOKUP(A172,勤務統計!A:I,9,FALSE),"")&lt;&gt;勤務統計!$C$1,
  "未完工",
  IF(
    AND(勤務統計!$D$1="--",勤務統計!$E$1="--",勤務統計!$F$1="--"),
    "已完工",
    IF(
      OR(
        AND(勤務統計!$D$1&lt;&gt;"--", IFERROR(VLOOKUP(A172,'0919門市清單主檔'!B:AH,31,FALSE),"")=勤務統計!$D$1, IFERROR(VLOOKUP(A172,勤務統計!A:Q,17,FALSE),"")&lt;&gt;勤務統計!$D$1),
        AND(勤務統計!$E$1&lt;&gt;"--", IFERROR(VLOOKUP(A172,'0919門市清單主檔'!B:AH,32,FALSE),"")=勤務統計!$E$1, IFERROR(VLOOKUP(A172,勤務統計!A:S,19,FALSE),"")&lt;&gt;勤務統計!$E$1),
        AND(勤務統計!$F$1&lt;&gt;"--", IFERROR(VLOOKUP(A172,'0919門市清單主檔'!B:AH,33,FALSE),"")=勤務統計!$F$1, IFERROR(VLOOKUP(A172,勤務統計!A:U,21,FALSE),"")&lt;&gt;勤務統計!$F$1),
        AND(IFERROR(VLOOKUP(A172,'0919門市清單主檔'!B:AH,28,FALSE),"")="HUB", IFERROR(VLOOKUP(A172,勤務統計!A:W,23,FALSE),"")&lt;&gt;"HUB")
      ),
      _xlfn.TEXTJOIN(
        "，",
        TRUE,
        IF(AND(勤務統計!$D$1&lt;&gt;"--", IFERROR(VLOOKUP(A172,'0919門市清單主檔'!B:AH,31,FALSE),"")=勤務統計!$D$1, IFERROR(VLOOKUP(A172,勤務統計!A:Q,17,FALSE),"")&lt;&gt;勤務統計!$D$1), 勤務統計!$D$1, ""),
        IF(AND(勤務統計!$E$1&lt;&gt;"--", IFERROR(VLOOKUP(A172,'0919門市清單主檔'!B:AH,32,FALSE),"")=勤務統計!$E$1, IFERROR(VLOOKUP(A172,勤務統計!A:S,19,FALSE),"")&lt;&gt;勤務統計!$E$1), 勤務統計!$E$1, ""),
        IF(AND(勤務統計!$F$1&lt;&gt;"--", IFERROR(VLOOKUP(A172,'0919門市清單主檔'!B:AH,33,FALSE),"")=勤務統計!$F$1, IFERROR(VLOOKUP(A172,勤務統計!A:U,21,FALSE),"")&lt;&gt;勤務統計!$F$1), 勤務統計!$F$1, ""),
        IF(AND(IFERROR(VLOOKUP(A172,'0919門市清單主檔'!B:AH,28,FALSE),"")="HUB", IFERROR(VLOOKUP(A172,勤務統計!A:W,23,FALSE),"")&lt;&gt;"HUB"), "HUB", "")
      ) &amp; "未完工",
      "已完工"
    )
  )
)</f>
        <v>未完工</v>
      </c>
      <c r="P172" s="403" t="str">
        <f>(TEXT(I172,"yyyymmdd"))&amp;勤務統計!$V$2&amp;A172&amp;勤務統計!$V$2&amp;B172&amp;勤務統計!$S$2</f>
        <v>-3851-新莊輔園店(定保)</v>
      </c>
      <c r="Q172" s="420" t="str">
        <f t="array" ref="Q172">IF(AND(SUMPRODUCT((IM!$F$2:$F$5000=A172)*(ISNUMBER(SEARCH(勤務統計!$D$1, IM!$AC$2:$AC$5000))))&gt;0), 勤務統計!$D$1, "")</f>
        <v/>
      </c>
      <c r="R172" s="421" t="str">
        <f t="array" ref="R172">IFERROR(INDEX(IM!$AM$2:$AM$5000, MATCH(1, (IM!$F$2:$F$5000=A172) * (ISNUMBER(SEARCH(勤務統計!$D$1, IM!$AC$2:$AC$5000))), 0)), "")</f>
        <v/>
      </c>
      <c r="S172" s="406" t="str" cm="1">
        <f t="array" ref="S172">IF(AND(SUMPRODUCT((IM!$F$2:$F$5000=A172)*(ISNUMBER(SEARCH(勤務統計!$E$1, IM!$AC$2:$AC$5000))))&gt;0), 勤務統計!$E$1, "")</f>
        <v>+L90</v>
      </c>
      <c r="T172" s="422">
        <f t="array" ref="T172">IFERROR(INDEX(IM!$AM$2:$AM$5000, MATCH(1, (IM!$F$2:$F$5000=A172) * (ISNUMBER(SEARCH(勤務統計!$E$1, IM!$AC$2:$AC$5000))), 0)), "")</f>
        <v>45978</v>
      </c>
      <c r="U172" s="406" t="str" cm="1">
        <f t="array" ref="U172">IF(AND(SUMPRODUCT((IM!$F$2:$F$5000=A172)*(ISNUMBER(SEARCH(勤務統計!$F$1, IM!$AC$2:$AC$5000))))&gt;0), 勤務統計!$F$1, "")</f>
        <v/>
      </c>
      <c r="V172" s="413" t="str">
        <f t="array" ref="V172">IFERROR(INDEX(IM!$AM$2:$AM$5000, MATCH(1, (IM!$F$2:$F$5000=A172) * (ISNUMBER(SEARCH(勤務統計!$F$1, IM!$AC$2:$AC$5000))), 0)), "")</f>
        <v/>
      </c>
      <c r="W172" s="414" t="str">
        <f>IF(VLOOKUP(A172,'0919門市清單主檔'!B:AC,28,FALSE)=0,"",VLOOKUP(A172,'0919門市清單主檔'!B:AC,28,FALSE))</f>
        <v/>
      </c>
    </row>
    <row r="173" spans="1:23" ht="21.6" customHeight="1">
      <c r="A173" s="423" t="s">
        <v>72</v>
      </c>
      <c r="B173" s="416" t="str">
        <f>VLOOKUP(A173,'0919門市清單主檔'!B:C,2,FALSE)</f>
        <v>三重溪尾店</v>
      </c>
      <c r="C173" s="415" t="str">
        <f>VLOOKUP($A173,'0919門市清單主檔'!B:V,20,FALSE)</f>
        <v>新北市</v>
      </c>
      <c r="D173" s="410" t="str">
        <f>VLOOKUP($A173,'0919門市清單主檔'!B:V,21,FALSE)</f>
        <v>三重區</v>
      </c>
      <c r="E173" s="397" t="str">
        <f>VLOOKUP(D173,門市狀態!G:H,2,FALSE)</f>
        <v>劉柏均</v>
      </c>
      <c r="F173" s="410" t="str">
        <f>IFERROR(IF(VLOOKUP(A173,門市狀態!A:D,4,FALSE)=0,"",VLOOKUP(A173,門市狀態!A:D,4,FALSE)),"")</f>
        <v/>
      </c>
      <c r="G173" s="424"/>
      <c r="H173" s="425" t="str">
        <f>IF(I173&gt;0,(TEXT(I173,"yyyymmdd")&amp;勤務統計!$V$2&amp;A173&amp;勤務統計!$V$2&amp;B173&amp;勤務統計!$S$2),"")</f>
        <v>-D022-三重溪尾店(定保)</v>
      </c>
      <c r="I173" s="247" t="str">
        <f t="array" ref="I173">IF(AND(SUMPRODUCT((IM!$F$2:$F$5000=A173)*(ISNUMBER(SEARCH(勤務統計!$C$1, IM!$AC$2:$AC$5000))))&gt;0), 勤務統計!$C$1, "")</f>
        <v/>
      </c>
      <c r="J173" s="399" t="str">
        <f t="array" ref="J173">IFERROR(INDEX(IM!$AM$2:$AM$5000, MATCH(1, (IM!$F$2:$F$5000=A173) * (ISNUMBER(SEARCH(勤務統計!$C$1, IM!$AC$2:$AC$5000))), 0)), "")</f>
        <v/>
      </c>
      <c r="K173" s="400">
        <f t="array" ref="K173">SUMPRODUCT((IM!$F$2:$F$5000=A173)*(IM!$AD$2:$AD$5000="O")*(ISNUMBER(SEARCH(勤務統計!$C$1, IM!$AC$2:$AC$5000))))</f>
        <v>0</v>
      </c>
      <c r="L173" s="401" t="str">
        <f t="array" ref="L173">IF(K173&gt;0,IFERROR(HYPERLINK("#'IM'!AC"&amp;MATCH(1,(IM!$F$1:$F$5000=A173)*(ISNUMBER(SEARCH(勤務統計!$C$1,IM!$AC$1:$AC$5000))),0),"檢核"),"未登錄"),"")</f>
        <v/>
      </c>
      <c r="M173" s="402" t="str">
        <f t="shared" si="2"/>
        <v>+L90</v>
      </c>
      <c r="N173" s="402" t="str">
        <f t="array" ref="N173">IF(AND(
    SUMPRODUCT(
        (IM!$F$2:$F$522=A173) *
        ISNUMBER(SEARCH("*HUB*", IM!$AC$2:$AC$522)) *
        (IM!$X$2:$X$522&gt;=勤務統計!$A$1) *
        (IM!$X$2:$X$522&lt;=勤務統計!$B$1)*(W173="HUB")
    ) &gt; 0
), "HUB", "")</f>
        <v/>
      </c>
      <c r="O173" s="400" t="str">
        <f>IF(
  IFERROR(VLOOKUP(A173,勤務統計!A:I,9,FALSE),"")&lt;&gt;勤務統計!$C$1,
  "未完工",
  IF(
    AND(勤務統計!$D$1="--",勤務統計!$E$1="--",勤務統計!$F$1="--"),
    "已完工",
    IF(
      OR(
        AND(勤務統計!$D$1&lt;&gt;"--", IFERROR(VLOOKUP(A173,'0919門市清單主檔'!B:AH,31,FALSE),"")=勤務統計!$D$1, IFERROR(VLOOKUP(A173,勤務統計!A:Q,17,FALSE),"")&lt;&gt;勤務統計!$D$1),
        AND(勤務統計!$E$1&lt;&gt;"--", IFERROR(VLOOKUP(A173,'0919門市清單主檔'!B:AH,32,FALSE),"")=勤務統計!$E$1, IFERROR(VLOOKUP(A173,勤務統計!A:S,19,FALSE),"")&lt;&gt;勤務統計!$E$1),
        AND(勤務統計!$F$1&lt;&gt;"--", IFERROR(VLOOKUP(A173,'0919門市清單主檔'!B:AH,33,FALSE),"")=勤務統計!$F$1, IFERROR(VLOOKUP(A173,勤務統計!A:U,21,FALSE),"")&lt;&gt;勤務統計!$F$1),
        AND(IFERROR(VLOOKUP(A173,'0919門市清單主檔'!B:AH,28,FALSE),"")="HUB", IFERROR(VLOOKUP(A173,勤務統計!A:W,23,FALSE),"")&lt;&gt;"HUB")
      ),
      _xlfn.TEXTJOIN(
        "，",
        TRUE,
        IF(AND(勤務統計!$D$1&lt;&gt;"--", IFERROR(VLOOKUP(A173,'0919門市清單主檔'!B:AH,31,FALSE),"")=勤務統計!$D$1, IFERROR(VLOOKUP(A173,勤務統計!A:Q,17,FALSE),"")&lt;&gt;勤務統計!$D$1), 勤務統計!$D$1, ""),
        IF(AND(勤務統計!$E$1&lt;&gt;"--", IFERROR(VLOOKUP(A173,'0919門市清單主檔'!B:AH,32,FALSE),"")=勤務統計!$E$1, IFERROR(VLOOKUP(A173,勤務統計!A:S,19,FALSE),"")&lt;&gt;勤務統計!$E$1), 勤務統計!$E$1, ""),
        IF(AND(勤務統計!$F$1&lt;&gt;"--", IFERROR(VLOOKUP(A173,'0919門市清單主檔'!B:AH,33,FALSE),"")=勤務統計!$F$1, IFERROR(VLOOKUP(A173,勤務統計!A:U,21,FALSE),"")&lt;&gt;勤務統計!$F$1), 勤務統計!$F$1, ""),
        IF(AND(IFERROR(VLOOKUP(A173,'0919門市清單主檔'!B:AH,28,FALSE),"")="HUB", IFERROR(VLOOKUP(A173,勤務統計!A:W,23,FALSE),"")&lt;&gt;"HUB"), "HUB", "")
      ) &amp; "未完工",
      "已完工"
    )
  )
)</f>
        <v>未完工</v>
      </c>
      <c r="P173" s="403" t="str">
        <f>(TEXT(I173,"yyyymmdd"))&amp;勤務統計!$V$2&amp;A173&amp;勤務統計!$V$2&amp;B173&amp;勤務統計!$S$2</f>
        <v>-D022-三重溪尾店(定保)</v>
      </c>
      <c r="Q173" s="420" t="str">
        <f t="array" ref="Q173">IF(AND(SUMPRODUCT((IM!$F$2:$F$5000=A173)*(ISNUMBER(SEARCH(勤務統計!$D$1, IM!$AC$2:$AC$5000))))&gt;0), 勤務統計!$D$1, "")</f>
        <v/>
      </c>
      <c r="R173" s="421" t="str">
        <f t="array" ref="R173">IFERROR(INDEX(IM!$AM$2:$AM$5000, MATCH(1, (IM!$F$2:$F$5000=A173) * (ISNUMBER(SEARCH(勤務統計!$D$1, IM!$AC$2:$AC$5000))), 0)), "")</f>
        <v/>
      </c>
      <c r="S173" s="406" t="str" cm="1">
        <f t="array" ref="S173">IF(AND(SUMPRODUCT((IM!$F$2:$F$5000=A173)*(ISNUMBER(SEARCH(勤務統計!$E$1, IM!$AC$2:$AC$5000))))&gt;0), 勤務統計!$E$1, "")</f>
        <v>+L90</v>
      </c>
      <c r="T173" s="422">
        <f t="array" ref="T173">IFERROR(INDEX(IM!$AM$2:$AM$5000, MATCH(1, (IM!$F$2:$F$5000=A173) * (ISNUMBER(SEARCH(勤務統計!$E$1, IM!$AC$2:$AC$5000))), 0)), "")</f>
        <v>45978</v>
      </c>
      <c r="U173" s="406" t="str" cm="1">
        <f t="array" ref="U173">IF(AND(SUMPRODUCT((IM!$F$2:$F$5000=A173)*(ISNUMBER(SEARCH(勤務統計!$F$1, IM!$AC$2:$AC$5000))))&gt;0), 勤務統計!$F$1, "")</f>
        <v/>
      </c>
      <c r="V173" s="413" t="str">
        <f t="array" ref="V173">IFERROR(INDEX(IM!$AM$2:$AM$5000, MATCH(1, (IM!$F$2:$F$5000=A173) * (ISNUMBER(SEARCH(勤務統計!$F$1, IM!$AC$2:$AC$5000))), 0)), "")</f>
        <v/>
      </c>
      <c r="W173" s="414" t="str">
        <f>IF(VLOOKUP(A173,'0919門市清單主檔'!B:AC,28,FALSE)=0,"",VLOOKUP(A173,'0919門市清單主檔'!B:AC,28,FALSE))</f>
        <v/>
      </c>
    </row>
    <row r="174" spans="1:23" ht="21.6" customHeight="1">
      <c r="A174" s="423">
        <v>4917</v>
      </c>
      <c r="B174" s="416" t="str">
        <f>VLOOKUP(A174,'0919門市清單主檔'!B:C,2,FALSE)</f>
        <v>板橋翠華店</v>
      </c>
      <c r="C174" s="415" t="str">
        <f>VLOOKUP($A174,'0919門市清單主檔'!B:V,20,FALSE)</f>
        <v>新北市</v>
      </c>
      <c r="D174" s="410" t="str">
        <f>VLOOKUP($A174,'0919門市清單主檔'!B:V,21,FALSE)</f>
        <v>板橋區</v>
      </c>
      <c r="E174" s="397" t="str">
        <f>VLOOKUP(D174,門市狀態!G:H,2,FALSE)</f>
        <v>狄澤洋</v>
      </c>
      <c r="F174" s="410" t="str">
        <f>IFERROR(IF(VLOOKUP(A174,門市狀態!A:D,4,FALSE)=0,"",VLOOKUP(A174,門市狀態!A:D,4,FALSE)),"")</f>
        <v/>
      </c>
      <c r="G174" s="424"/>
      <c r="H174" s="425" t="str">
        <f>IF(I174&gt;0,(TEXT(I174,"yyyymmdd")&amp;勤務統計!$V$2&amp;A174&amp;勤務統計!$V$2&amp;B174&amp;勤務統計!$S$2),"")</f>
        <v>-4917-板橋翠華店(定保)</v>
      </c>
      <c r="I174" s="247" t="str">
        <f t="array" ref="I174">IF(AND(SUMPRODUCT((IM!$F$2:$F$5000=A174)*(ISNUMBER(SEARCH(勤務統計!$C$1, IM!$AC$2:$AC$5000))))&gt;0), 勤務統計!$C$1, "")</f>
        <v/>
      </c>
      <c r="J174" s="399" t="str">
        <f t="array" ref="J174">IFERROR(INDEX(IM!$AM$2:$AM$5000, MATCH(1, (IM!$F$2:$F$5000=A174) * (ISNUMBER(SEARCH(勤務統計!$C$1, IM!$AC$2:$AC$5000))), 0)), "")</f>
        <v/>
      </c>
      <c r="K174" s="400">
        <f t="array" ref="K174">SUMPRODUCT((IM!$F$2:$F$5000=A174)*(IM!$AD$2:$AD$5000="O")*(ISNUMBER(SEARCH(勤務統計!$C$1, IM!$AC$2:$AC$5000))))</f>
        <v>0</v>
      </c>
      <c r="L174" s="401" t="str">
        <f t="array" ref="L174">IF(K174&gt;0,IFERROR(HYPERLINK("#'IM'!AC"&amp;MATCH(1,(IM!$F$1:$F$5000=A174)*(ISNUMBER(SEARCH(勤務統計!$C$1,IM!$AC$1:$AC$5000))),0),"檢核"),"未登錄"),"")</f>
        <v/>
      </c>
      <c r="M174" s="402" t="str">
        <f t="shared" si="2"/>
        <v>+L90</v>
      </c>
      <c r="N174" s="402" t="str">
        <f t="array" ref="N174">IF(AND(
    SUMPRODUCT(
        (IM!$F$2:$F$522=A174) *
        ISNUMBER(SEARCH("*HUB*", IM!$AC$2:$AC$522)) *
        (IM!$X$2:$X$522&gt;=勤務統計!$A$1) *
        (IM!$X$2:$X$522&lt;=勤務統計!$B$1)*(W174="HUB")
    ) &gt; 0
), "HUB", "")</f>
        <v/>
      </c>
      <c r="O174" s="400" t="str">
        <f>IF(
  IFERROR(VLOOKUP(A174,勤務統計!A:I,9,FALSE),"")&lt;&gt;勤務統計!$C$1,
  "未完工",
  IF(
    AND(勤務統計!$D$1="--",勤務統計!$E$1="--",勤務統計!$F$1="--"),
    "已完工",
    IF(
      OR(
        AND(勤務統計!$D$1&lt;&gt;"--", IFERROR(VLOOKUP(A174,'0919門市清單主檔'!B:AH,31,FALSE),"")=勤務統計!$D$1, IFERROR(VLOOKUP(A174,勤務統計!A:Q,17,FALSE),"")&lt;&gt;勤務統計!$D$1),
        AND(勤務統計!$E$1&lt;&gt;"--", IFERROR(VLOOKUP(A174,'0919門市清單主檔'!B:AH,32,FALSE),"")=勤務統計!$E$1, IFERROR(VLOOKUP(A174,勤務統計!A:S,19,FALSE),"")&lt;&gt;勤務統計!$E$1),
        AND(勤務統計!$F$1&lt;&gt;"--", IFERROR(VLOOKUP(A174,'0919門市清單主檔'!B:AH,33,FALSE),"")=勤務統計!$F$1, IFERROR(VLOOKUP(A174,勤務統計!A:U,21,FALSE),"")&lt;&gt;勤務統計!$F$1),
        AND(IFERROR(VLOOKUP(A174,'0919門市清單主檔'!B:AH,28,FALSE),"")="HUB", IFERROR(VLOOKUP(A174,勤務統計!A:W,23,FALSE),"")&lt;&gt;"HUB")
      ),
      _xlfn.TEXTJOIN(
        "，",
        TRUE,
        IF(AND(勤務統計!$D$1&lt;&gt;"--", IFERROR(VLOOKUP(A174,'0919門市清單主檔'!B:AH,31,FALSE),"")=勤務統計!$D$1, IFERROR(VLOOKUP(A174,勤務統計!A:Q,17,FALSE),"")&lt;&gt;勤務統計!$D$1), 勤務統計!$D$1, ""),
        IF(AND(勤務統計!$E$1&lt;&gt;"--", IFERROR(VLOOKUP(A174,'0919門市清單主檔'!B:AH,32,FALSE),"")=勤務統計!$E$1, IFERROR(VLOOKUP(A174,勤務統計!A:S,19,FALSE),"")&lt;&gt;勤務統計!$E$1), 勤務統計!$E$1, ""),
        IF(AND(勤務統計!$F$1&lt;&gt;"--", IFERROR(VLOOKUP(A174,'0919門市清單主檔'!B:AH,33,FALSE),"")=勤務統計!$F$1, IFERROR(VLOOKUP(A174,勤務統計!A:U,21,FALSE),"")&lt;&gt;勤務統計!$F$1), 勤務統計!$F$1, ""),
        IF(AND(IFERROR(VLOOKUP(A174,'0919門市清單主檔'!B:AH,28,FALSE),"")="HUB", IFERROR(VLOOKUP(A174,勤務統計!A:W,23,FALSE),"")&lt;&gt;"HUB"), "HUB", "")
      ) &amp; "未完工",
      "已完工"
    )
  )
)</f>
        <v>未完工</v>
      </c>
      <c r="P174" s="403" t="str">
        <f>(TEXT(I174,"yyyymmdd"))&amp;勤務統計!$V$2&amp;A174&amp;勤務統計!$V$2&amp;B174&amp;勤務統計!$S$2</f>
        <v>-4917-板橋翠華店(定保)</v>
      </c>
      <c r="Q174" s="420" t="str">
        <f t="array" ref="Q174">IF(AND(SUMPRODUCT((IM!$F$2:$F$5000=A174)*(ISNUMBER(SEARCH(勤務統計!$D$1, IM!$AC$2:$AC$5000))))&gt;0), 勤務統計!$D$1, "")</f>
        <v/>
      </c>
      <c r="R174" s="421" t="str">
        <f t="array" ref="R174">IFERROR(INDEX(IM!$AM$2:$AM$5000, MATCH(1, (IM!$F$2:$F$5000=A174) * (ISNUMBER(SEARCH(勤務統計!$D$1, IM!$AC$2:$AC$5000))), 0)), "")</f>
        <v/>
      </c>
      <c r="S174" s="406" t="str" cm="1">
        <f t="array" ref="S174">IF(AND(SUMPRODUCT((IM!$F$2:$F$5000=A174)*(ISNUMBER(SEARCH(勤務統計!$E$1, IM!$AC$2:$AC$5000))))&gt;0), 勤務統計!$E$1, "")</f>
        <v>+L90</v>
      </c>
      <c r="T174" s="422">
        <f t="array" ref="T174">IFERROR(INDEX(IM!$AM$2:$AM$5000, MATCH(1, (IM!$F$2:$F$5000=A174) * (ISNUMBER(SEARCH(勤務統計!$E$1, IM!$AC$2:$AC$5000))), 0)), "")</f>
        <v>45981</v>
      </c>
      <c r="U174" s="406" t="str" cm="1">
        <f t="array" ref="U174">IF(AND(SUMPRODUCT((IM!$F$2:$F$5000=A174)*(ISNUMBER(SEARCH(勤務統計!$F$1, IM!$AC$2:$AC$5000))))&gt;0), 勤務統計!$F$1, "")</f>
        <v/>
      </c>
      <c r="V174" s="413" t="str">
        <f t="array" ref="V174">IFERROR(INDEX(IM!$AM$2:$AM$5000, MATCH(1, (IM!$F$2:$F$5000=A174) * (ISNUMBER(SEARCH(勤務統計!$F$1, IM!$AC$2:$AC$5000))), 0)), "")</f>
        <v/>
      </c>
      <c r="W174" s="414" t="str">
        <f>IF(VLOOKUP(A174,'0919門市清單主檔'!B:AC,28,FALSE)=0,"",VLOOKUP(A174,'0919門市清單主檔'!B:AC,28,FALSE))</f>
        <v/>
      </c>
    </row>
    <row r="175" spans="1:23" ht="21.6" customHeight="1">
      <c r="A175" s="423">
        <v>4098</v>
      </c>
      <c r="B175" s="416" t="str">
        <f>VLOOKUP(A175,'0919門市清單主檔'!B:C,2,FALSE)</f>
        <v>三重仁美店</v>
      </c>
      <c r="C175" s="415" t="str">
        <f>VLOOKUP($A175,'0919門市清單主檔'!B:V,20,FALSE)</f>
        <v>新北市</v>
      </c>
      <c r="D175" s="410" t="str">
        <f>VLOOKUP($A175,'0919門市清單主檔'!B:V,21,FALSE)</f>
        <v>三重區</v>
      </c>
      <c r="E175" s="397" t="str">
        <f>VLOOKUP(D175,門市狀態!G:H,2,FALSE)</f>
        <v>劉柏均</v>
      </c>
      <c r="F175" s="410" t="str">
        <f>IFERROR(IF(VLOOKUP(A175,門市狀態!A:D,4,FALSE)=0,"",VLOOKUP(A175,門市狀態!A:D,4,FALSE)),"")</f>
        <v/>
      </c>
      <c r="G175" s="424"/>
      <c r="H175" s="425" t="str">
        <f>IF(I175&gt;0,(TEXT(I175,"yyyymmdd")&amp;勤務統計!$V$2&amp;A175&amp;勤務統計!$V$2&amp;B175&amp;勤務統計!$S$2),"")</f>
        <v>-4098-三重仁美店(定保)</v>
      </c>
      <c r="I175" s="247" t="str">
        <f t="array" ref="I175">IF(AND(SUMPRODUCT((IM!$F$2:$F$5000=A175)*(ISNUMBER(SEARCH(勤務統計!$C$1, IM!$AC$2:$AC$5000))))&gt;0), 勤務統計!$C$1, "")</f>
        <v/>
      </c>
      <c r="J175" s="399" t="str">
        <f t="array" ref="J175">IFERROR(INDEX(IM!$AM$2:$AM$5000, MATCH(1, (IM!$F$2:$F$5000=A175) * (ISNUMBER(SEARCH(勤務統計!$C$1, IM!$AC$2:$AC$5000))), 0)), "")</f>
        <v/>
      </c>
      <c r="K175" s="400">
        <f t="array" ref="K175">SUMPRODUCT((IM!$F$2:$F$5000=A175)*(IM!$AD$2:$AD$5000="O")*(ISNUMBER(SEARCH(勤務統計!$C$1, IM!$AC$2:$AC$5000))))</f>
        <v>0</v>
      </c>
      <c r="L175" s="401" t="str">
        <f t="array" ref="L175">IF(K175&gt;0,IFERROR(HYPERLINK("#'IM'!AC"&amp;MATCH(1,(IM!$F$1:$F$5000=A175)*(ISNUMBER(SEARCH(勤務統計!$C$1,IM!$AC$1:$AC$5000))),0),"檢核"),"未登錄"),"")</f>
        <v/>
      </c>
      <c r="M175" s="402" t="str">
        <f t="shared" si="2"/>
        <v>+L90</v>
      </c>
      <c r="N175" s="402" t="str">
        <f t="array" ref="N175">IF(AND(
    SUMPRODUCT(
        (IM!$F$2:$F$522=A175) *
        ISNUMBER(SEARCH("*HUB*", IM!$AC$2:$AC$522)) *
        (IM!$X$2:$X$522&gt;=勤務統計!$A$1) *
        (IM!$X$2:$X$522&lt;=勤務統計!$B$1)*(W175="HUB")
    ) &gt; 0
), "HUB", "")</f>
        <v/>
      </c>
      <c r="O175" s="400" t="str">
        <f>IF(
  IFERROR(VLOOKUP(A175,勤務統計!A:I,9,FALSE),"")&lt;&gt;勤務統計!$C$1,
  "未完工",
  IF(
    AND(勤務統計!$D$1="--",勤務統計!$E$1="--",勤務統計!$F$1="--"),
    "已完工",
    IF(
      OR(
        AND(勤務統計!$D$1&lt;&gt;"--", IFERROR(VLOOKUP(A175,'0919門市清單主檔'!B:AH,31,FALSE),"")=勤務統計!$D$1, IFERROR(VLOOKUP(A175,勤務統計!A:Q,17,FALSE),"")&lt;&gt;勤務統計!$D$1),
        AND(勤務統計!$E$1&lt;&gt;"--", IFERROR(VLOOKUP(A175,'0919門市清單主檔'!B:AH,32,FALSE),"")=勤務統計!$E$1, IFERROR(VLOOKUP(A175,勤務統計!A:S,19,FALSE),"")&lt;&gt;勤務統計!$E$1),
        AND(勤務統計!$F$1&lt;&gt;"--", IFERROR(VLOOKUP(A175,'0919門市清單主檔'!B:AH,33,FALSE),"")=勤務統計!$F$1, IFERROR(VLOOKUP(A175,勤務統計!A:U,21,FALSE),"")&lt;&gt;勤務統計!$F$1),
        AND(IFERROR(VLOOKUP(A175,'0919門市清單主檔'!B:AH,28,FALSE),"")="HUB", IFERROR(VLOOKUP(A175,勤務統計!A:W,23,FALSE),"")&lt;&gt;"HUB")
      ),
      _xlfn.TEXTJOIN(
        "，",
        TRUE,
        IF(AND(勤務統計!$D$1&lt;&gt;"--", IFERROR(VLOOKUP(A175,'0919門市清單主檔'!B:AH,31,FALSE),"")=勤務統計!$D$1, IFERROR(VLOOKUP(A175,勤務統計!A:Q,17,FALSE),"")&lt;&gt;勤務統計!$D$1), 勤務統計!$D$1, ""),
        IF(AND(勤務統計!$E$1&lt;&gt;"--", IFERROR(VLOOKUP(A175,'0919門市清單主檔'!B:AH,32,FALSE),"")=勤務統計!$E$1, IFERROR(VLOOKUP(A175,勤務統計!A:S,19,FALSE),"")&lt;&gt;勤務統計!$E$1), 勤務統計!$E$1, ""),
        IF(AND(勤務統計!$F$1&lt;&gt;"--", IFERROR(VLOOKUP(A175,'0919門市清單主檔'!B:AH,33,FALSE),"")=勤務統計!$F$1, IFERROR(VLOOKUP(A175,勤務統計!A:U,21,FALSE),"")&lt;&gt;勤務統計!$F$1), 勤務統計!$F$1, ""),
        IF(AND(IFERROR(VLOOKUP(A175,'0919門市清單主檔'!B:AH,28,FALSE),"")="HUB", IFERROR(VLOOKUP(A175,勤務統計!A:W,23,FALSE),"")&lt;&gt;"HUB"), "HUB", "")
      ) &amp; "未完工",
      "已完工"
    )
  )
)</f>
        <v>未完工</v>
      </c>
      <c r="P175" s="403" t="str">
        <f>(TEXT(I175,"yyyymmdd"))&amp;勤務統計!$V$2&amp;A175&amp;勤務統計!$V$2&amp;B175&amp;勤務統計!$S$2</f>
        <v>-4098-三重仁美店(定保)</v>
      </c>
      <c r="Q175" s="420" t="str">
        <f t="array" ref="Q175">IF(AND(SUMPRODUCT((IM!$F$2:$F$5000=A175)*(ISNUMBER(SEARCH(勤務統計!$D$1, IM!$AC$2:$AC$5000))))&gt;0), 勤務統計!$D$1, "")</f>
        <v/>
      </c>
      <c r="R175" s="421" t="str">
        <f t="array" ref="R175">IFERROR(INDEX(IM!$AM$2:$AM$5000, MATCH(1, (IM!$F$2:$F$5000=A175) * (ISNUMBER(SEARCH(勤務統計!$D$1, IM!$AC$2:$AC$5000))), 0)), "")</f>
        <v/>
      </c>
      <c r="S175" s="406" t="str" cm="1">
        <f t="array" ref="S175">IF(AND(SUMPRODUCT((IM!$F$2:$F$5000=A175)*(ISNUMBER(SEARCH(勤務統計!$E$1, IM!$AC$2:$AC$5000))))&gt;0), 勤務統計!$E$1, "")</f>
        <v>+L90</v>
      </c>
      <c r="T175" s="422">
        <f t="array" ref="T175">IFERROR(INDEX(IM!$AM$2:$AM$5000, MATCH(1, (IM!$F$2:$F$5000=A175) * (ISNUMBER(SEARCH(勤務統計!$E$1, IM!$AC$2:$AC$5000))), 0)), "")</f>
        <v>45981</v>
      </c>
      <c r="U175" s="406" t="str" cm="1">
        <f t="array" ref="U175">IF(AND(SUMPRODUCT((IM!$F$2:$F$5000=A175)*(ISNUMBER(SEARCH(勤務統計!$F$1, IM!$AC$2:$AC$5000))))&gt;0), 勤務統計!$F$1, "")</f>
        <v/>
      </c>
      <c r="V175" s="413" t="str">
        <f t="array" ref="V175">IFERROR(INDEX(IM!$AM$2:$AM$5000, MATCH(1, (IM!$F$2:$F$5000=A175) * (ISNUMBER(SEARCH(勤務統計!$F$1, IM!$AC$2:$AC$5000))), 0)), "")</f>
        <v/>
      </c>
      <c r="W175" s="414" t="str">
        <f>IF(VLOOKUP(A175,'0919門市清單主檔'!B:AC,28,FALSE)=0,"",VLOOKUP(A175,'0919門市清單主檔'!B:AC,28,FALSE))</f>
        <v/>
      </c>
    </row>
    <row r="176" spans="1:23" ht="21.6" customHeight="1">
      <c r="A176" s="423">
        <v>4029</v>
      </c>
      <c r="B176" s="416" t="str">
        <f>VLOOKUP(A176,'0919門市清單主檔'!B:C,2,FALSE)</f>
        <v>三重龍濱店</v>
      </c>
      <c r="C176" s="415" t="str">
        <f>VLOOKUP($A176,'0919門市清單主檔'!B:V,20,FALSE)</f>
        <v>新北市</v>
      </c>
      <c r="D176" s="410" t="str">
        <f>VLOOKUP($A176,'0919門市清單主檔'!B:V,21,FALSE)</f>
        <v>三重區</v>
      </c>
      <c r="E176" s="397" t="str">
        <f>VLOOKUP(D176,門市狀態!G:H,2,FALSE)</f>
        <v>劉柏均</v>
      </c>
      <c r="F176" s="410" t="str">
        <f>IFERROR(IF(VLOOKUP(A176,門市狀態!A:D,4,FALSE)=0,"",VLOOKUP(A176,門市狀態!A:D,4,FALSE)),"")</f>
        <v/>
      </c>
      <c r="G176" s="424"/>
      <c r="H176" s="425" t="str">
        <f>IF(I176&gt;0,(TEXT(I176,"yyyymmdd")&amp;勤務統計!$V$2&amp;A176&amp;勤務統計!$V$2&amp;B176&amp;勤務統計!$S$2),"")</f>
        <v>-4029-三重龍濱店(定保)</v>
      </c>
      <c r="I176" s="247" t="str">
        <f t="array" ref="I176">IF(AND(SUMPRODUCT((IM!$F$2:$F$5000=A176)*(ISNUMBER(SEARCH(勤務統計!$C$1, IM!$AC$2:$AC$5000))))&gt;0), 勤務統計!$C$1, "")</f>
        <v/>
      </c>
      <c r="J176" s="399" t="str">
        <f t="array" ref="J176">IFERROR(INDEX(IM!$AM$2:$AM$5000, MATCH(1, (IM!$F$2:$F$5000=A176) * (ISNUMBER(SEARCH(勤務統計!$C$1, IM!$AC$2:$AC$5000))), 0)), "")</f>
        <v/>
      </c>
      <c r="K176" s="400">
        <f t="array" ref="K176">SUMPRODUCT((IM!$F$2:$F$5000=A176)*(IM!$AD$2:$AD$5000="O")*(ISNUMBER(SEARCH(勤務統計!$C$1, IM!$AC$2:$AC$5000))))</f>
        <v>0</v>
      </c>
      <c r="L176" s="401" t="str">
        <f t="array" ref="L176">IF(K176&gt;0,IFERROR(HYPERLINK("#'IM'!AC"&amp;MATCH(1,(IM!$F$1:$F$5000=A176)*(ISNUMBER(SEARCH(勤務統計!$C$1,IM!$AC$1:$AC$5000))),0),"檢核"),"未登錄"),"")</f>
        <v/>
      </c>
      <c r="M176" s="402" t="str">
        <f t="shared" si="2"/>
        <v>+L90</v>
      </c>
      <c r="N176" s="402" t="str">
        <f t="array" ref="N176">IF(AND(
    SUMPRODUCT(
        (IM!$F$2:$F$522=A176) *
        ISNUMBER(SEARCH("*HUB*", IM!$AC$2:$AC$522)) *
        (IM!$X$2:$X$522&gt;=勤務統計!$A$1) *
        (IM!$X$2:$X$522&lt;=勤務統計!$B$1)*(W176="HUB")
    ) &gt; 0
), "HUB", "")</f>
        <v/>
      </c>
      <c r="O176" s="400" t="str">
        <f>IF(
  IFERROR(VLOOKUP(A176,勤務統計!A:I,9,FALSE),"")&lt;&gt;勤務統計!$C$1,
  "未完工",
  IF(
    AND(勤務統計!$D$1="--",勤務統計!$E$1="--",勤務統計!$F$1="--"),
    "已完工",
    IF(
      OR(
        AND(勤務統計!$D$1&lt;&gt;"--", IFERROR(VLOOKUP(A176,'0919門市清單主檔'!B:AH,31,FALSE),"")=勤務統計!$D$1, IFERROR(VLOOKUP(A176,勤務統計!A:Q,17,FALSE),"")&lt;&gt;勤務統計!$D$1),
        AND(勤務統計!$E$1&lt;&gt;"--", IFERROR(VLOOKUP(A176,'0919門市清單主檔'!B:AH,32,FALSE),"")=勤務統計!$E$1, IFERROR(VLOOKUP(A176,勤務統計!A:S,19,FALSE),"")&lt;&gt;勤務統計!$E$1),
        AND(勤務統計!$F$1&lt;&gt;"--", IFERROR(VLOOKUP(A176,'0919門市清單主檔'!B:AH,33,FALSE),"")=勤務統計!$F$1, IFERROR(VLOOKUP(A176,勤務統計!A:U,21,FALSE),"")&lt;&gt;勤務統計!$F$1),
        AND(IFERROR(VLOOKUP(A176,'0919門市清單主檔'!B:AH,28,FALSE),"")="HUB", IFERROR(VLOOKUP(A176,勤務統計!A:W,23,FALSE),"")&lt;&gt;"HUB")
      ),
      _xlfn.TEXTJOIN(
        "，",
        TRUE,
        IF(AND(勤務統計!$D$1&lt;&gt;"--", IFERROR(VLOOKUP(A176,'0919門市清單主檔'!B:AH,31,FALSE),"")=勤務統計!$D$1, IFERROR(VLOOKUP(A176,勤務統計!A:Q,17,FALSE),"")&lt;&gt;勤務統計!$D$1), 勤務統計!$D$1, ""),
        IF(AND(勤務統計!$E$1&lt;&gt;"--", IFERROR(VLOOKUP(A176,'0919門市清單主檔'!B:AH,32,FALSE),"")=勤務統計!$E$1, IFERROR(VLOOKUP(A176,勤務統計!A:S,19,FALSE),"")&lt;&gt;勤務統計!$E$1), 勤務統計!$E$1, ""),
        IF(AND(勤務統計!$F$1&lt;&gt;"--", IFERROR(VLOOKUP(A176,'0919門市清單主檔'!B:AH,33,FALSE),"")=勤務統計!$F$1, IFERROR(VLOOKUP(A176,勤務統計!A:U,21,FALSE),"")&lt;&gt;勤務統計!$F$1), 勤務統計!$F$1, ""),
        IF(AND(IFERROR(VLOOKUP(A176,'0919門市清單主檔'!B:AH,28,FALSE),"")="HUB", IFERROR(VLOOKUP(A176,勤務統計!A:W,23,FALSE),"")&lt;&gt;"HUB"), "HUB", "")
      ) &amp; "未完工",
      "已完工"
    )
  )
)</f>
        <v>未完工</v>
      </c>
      <c r="P176" s="403" t="str">
        <f>(TEXT(I176,"yyyymmdd"))&amp;勤務統計!$V$2&amp;A176&amp;勤務統計!$V$2&amp;B176&amp;勤務統計!$S$2</f>
        <v>-4029-三重龍濱店(定保)</v>
      </c>
      <c r="Q176" s="420" t="str">
        <f t="array" ref="Q176">IF(AND(SUMPRODUCT((IM!$F$2:$F$5000=A176)*(ISNUMBER(SEARCH(勤務統計!$D$1, IM!$AC$2:$AC$5000))))&gt;0), 勤務統計!$D$1, "")</f>
        <v/>
      </c>
      <c r="R176" s="421" t="str">
        <f t="array" ref="R176">IFERROR(INDEX(IM!$AM$2:$AM$5000, MATCH(1, (IM!$F$2:$F$5000=A176) * (ISNUMBER(SEARCH(勤務統計!$D$1, IM!$AC$2:$AC$5000))), 0)), "")</f>
        <v/>
      </c>
      <c r="S176" s="406" t="str" cm="1">
        <f t="array" ref="S176">IF(AND(SUMPRODUCT((IM!$F$2:$F$5000=A176)*(ISNUMBER(SEARCH(勤務統計!$E$1, IM!$AC$2:$AC$5000))))&gt;0), 勤務統計!$E$1, "")</f>
        <v>+L90</v>
      </c>
      <c r="T176" s="422">
        <f t="array" ref="T176">IFERROR(INDEX(IM!$AM$2:$AM$5000, MATCH(1, (IM!$F$2:$F$5000=A176) * (ISNUMBER(SEARCH(勤務統計!$E$1, IM!$AC$2:$AC$5000))), 0)), "")</f>
        <v>45985</v>
      </c>
      <c r="U176" s="406" t="str" cm="1">
        <f t="array" ref="U176">IF(AND(SUMPRODUCT((IM!$F$2:$F$5000=A176)*(ISNUMBER(SEARCH(勤務統計!$F$1, IM!$AC$2:$AC$5000))))&gt;0), 勤務統計!$F$1, "")</f>
        <v/>
      </c>
      <c r="V176" s="413" t="str">
        <f t="array" ref="V176">IFERROR(INDEX(IM!$AM$2:$AM$5000, MATCH(1, (IM!$F$2:$F$5000=A176) * (ISNUMBER(SEARCH(勤務統計!$F$1, IM!$AC$2:$AC$5000))), 0)), "")</f>
        <v/>
      </c>
      <c r="W176" s="414" t="str">
        <f>IF(VLOOKUP(A176,'0919門市清單主檔'!B:AC,28,FALSE)=0,"",VLOOKUP(A176,'0919門市清單主檔'!B:AC,28,FALSE))</f>
        <v/>
      </c>
    </row>
    <row r="177" spans="1:23" ht="21.6" customHeight="1">
      <c r="A177" s="423">
        <v>2759</v>
      </c>
      <c r="B177" s="416" t="str">
        <f>VLOOKUP(A177,'0919門市清單主檔'!B:C,2,FALSE)</f>
        <v>三重仁化店</v>
      </c>
      <c r="C177" s="415" t="str">
        <f>VLOOKUP($A177,'0919門市清單主檔'!B:V,20,FALSE)</f>
        <v>新北市</v>
      </c>
      <c r="D177" s="410" t="str">
        <f>VLOOKUP($A177,'0919門市清單主檔'!B:V,21,FALSE)</f>
        <v>三重區</v>
      </c>
      <c r="E177" s="397" t="str">
        <f>VLOOKUP(D177,門市狀態!G:H,2,FALSE)</f>
        <v>劉柏均</v>
      </c>
      <c r="F177" s="410" t="str">
        <f>IFERROR(IF(VLOOKUP(A177,門市狀態!A:D,4,FALSE)=0,"",VLOOKUP(A177,門市狀態!A:D,4,FALSE)),"")</f>
        <v/>
      </c>
      <c r="G177" s="424"/>
      <c r="H177" s="425" t="str">
        <f>IF(I177&gt;0,(TEXT(I177,"yyyymmdd")&amp;勤務統計!$V$2&amp;A177&amp;勤務統計!$V$2&amp;B177&amp;勤務統計!$S$2),"")</f>
        <v>-2759-三重仁化店(定保)</v>
      </c>
      <c r="I177" s="247" t="str">
        <f t="array" ref="I177">IF(AND(SUMPRODUCT((IM!$F$2:$F$5000=A177)*(ISNUMBER(SEARCH(勤務統計!$C$1, IM!$AC$2:$AC$5000))))&gt;0), 勤務統計!$C$1, "")</f>
        <v/>
      </c>
      <c r="J177" s="399" t="str">
        <f t="array" ref="J177">IFERROR(INDEX(IM!$AM$2:$AM$5000, MATCH(1, (IM!$F$2:$F$5000=A177) * (ISNUMBER(SEARCH(勤務統計!$C$1, IM!$AC$2:$AC$5000))), 0)), "")</f>
        <v/>
      </c>
      <c r="K177" s="400">
        <f t="array" ref="K177">SUMPRODUCT((IM!$F$2:$F$5000=A177)*(IM!$AD$2:$AD$5000="O")*(ISNUMBER(SEARCH(勤務統計!$C$1, IM!$AC$2:$AC$5000))))</f>
        <v>0</v>
      </c>
      <c r="L177" s="401" t="str">
        <f t="array" ref="L177">IF(K177&gt;0,IFERROR(HYPERLINK("#'IM'!AC"&amp;MATCH(1,(IM!$F$1:$F$5000=A177)*(ISNUMBER(SEARCH(勤務統計!$C$1,IM!$AC$1:$AC$5000))),0),"檢核"),"未登錄"),"")</f>
        <v/>
      </c>
      <c r="M177" s="402" t="str">
        <f t="shared" si="2"/>
        <v>+L90</v>
      </c>
      <c r="N177" s="402" t="str">
        <f t="array" ref="N177">IF(AND(
    SUMPRODUCT(
        (IM!$F$2:$F$522=A177) *
        ISNUMBER(SEARCH("*HUB*", IM!$AC$2:$AC$522)) *
        (IM!$X$2:$X$522&gt;=勤務統計!$A$1) *
        (IM!$X$2:$X$522&lt;=勤務統計!$B$1)*(W177="HUB")
    ) &gt; 0
), "HUB", "")</f>
        <v/>
      </c>
      <c r="O177" s="400" t="str">
        <f>IF(
  IFERROR(VLOOKUP(A177,勤務統計!A:I,9,FALSE),"")&lt;&gt;勤務統計!$C$1,
  "未完工",
  IF(
    AND(勤務統計!$D$1="--",勤務統計!$E$1="--",勤務統計!$F$1="--"),
    "已完工",
    IF(
      OR(
        AND(勤務統計!$D$1&lt;&gt;"--", IFERROR(VLOOKUP(A177,'0919門市清單主檔'!B:AH,31,FALSE),"")=勤務統計!$D$1, IFERROR(VLOOKUP(A177,勤務統計!A:Q,17,FALSE),"")&lt;&gt;勤務統計!$D$1),
        AND(勤務統計!$E$1&lt;&gt;"--", IFERROR(VLOOKUP(A177,'0919門市清單主檔'!B:AH,32,FALSE),"")=勤務統計!$E$1, IFERROR(VLOOKUP(A177,勤務統計!A:S,19,FALSE),"")&lt;&gt;勤務統計!$E$1),
        AND(勤務統計!$F$1&lt;&gt;"--", IFERROR(VLOOKUP(A177,'0919門市清單主檔'!B:AH,33,FALSE),"")=勤務統計!$F$1, IFERROR(VLOOKUP(A177,勤務統計!A:U,21,FALSE),"")&lt;&gt;勤務統計!$F$1),
        AND(IFERROR(VLOOKUP(A177,'0919門市清單主檔'!B:AH,28,FALSE),"")="HUB", IFERROR(VLOOKUP(A177,勤務統計!A:W,23,FALSE),"")&lt;&gt;"HUB")
      ),
      _xlfn.TEXTJOIN(
        "，",
        TRUE,
        IF(AND(勤務統計!$D$1&lt;&gt;"--", IFERROR(VLOOKUP(A177,'0919門市清單主檔'!B:AH,31,FALSE),"")=勤務統計!$D$1, IFERROR(VLOOKUP(A177,勤務統計!A:Q,17,FALSE),"")&lt;&gt;勤務統計!$D$1), 勤務統計!$D$1, ""),
        IF(AND(勤務統計!$E$1&lt;&gt;"--", IFERROR(VLOOKUP(A177,'0919門市清單主檔'!B:AH,32,FALSE),"")=勤務統計!$E$1, IFERROR(VLOOKUP(A177,勤務統計!A:S,19,FALSE),"")&lt;&gt;勤務統計!$E$1), 勤務統計!$E$1, ""),
        IF(AND(勤務統計!$F$1&lt;&gt;"--", IFERROR(VLOOKUP(A177,'0919門市清單主檔'!B:AH,33,FALSE),"")=勤務統計!$F$1, IFERROR(VLOOKUP(A177,勤務統計!A:U,21,FALSE),"")&lt;&gt;勤務統計!$F$1), 勤務統計!$F$1, ""),
        IF(AND(IFERROR(VLOOKUP(A177,'0919門市清單主檔'!B:AH,28,FALSE),"")="HUB", IFERROR(VLOOKUP(A177,勤務統計!A:W,23,FALSE),"")&lt;&gt;"HUB"), "HUB", "")
      ) &amp; "未完工",
      "已完工"
    )
  )
)</f>
        <v>未完工</v>
      </c>
      <c r="P177" s="403" t="str">
        <f>(TEXT(I177,"yyyymmdd"))&amp;勤務統計!$V$2&amp;A177&amp;勤務統計!$V$2&amp;B177&amp;勤務統計!$S$2</f>
        <v>-2759-三重仁化店(定保)</v>
      </c>
      <c r="Q177" s="420" t="str">
        <f t="array" ref="Q177">IF(AND(SUMPRODUCT((IM!$F$2:$F$5000=A177)*(ISNUMBER(SEARCH(勤務統計!$D$1, IM!$AC$2:$AC$5000))))&gt;0), 勤務統計!$D$1, "")</f>
        <v/>
      </c>
      <c r="R177" s="421" t="str">
        <f t="array" ref="R177">IFERROR(INDEX(IM!$AM$2:$AM$5000, MATCH(1, (IM!$F$2:$F$5000=A177) * (ISNUMBER(SEARCH(勤務統計!$D$1, IM!$AC$2:$AC$5000))), 0)), "")</f>
        <v/>
      </c>
      <c r="S177" s="406" t="str" cm="1">
        <f t="array" ref="S177">IF(AND(SUMPRODUCT((IM!$F$2:$F$5000=A177)*(ISNUMBER(SEARCH(勤務統計!$E$1, IM!$AC$2:$AC$5000))))&gt;0), 勤務統計!$E$1, "")</f>
        <v>+L90</v>
      </c>
      <c r="T177" s="422">
        <f t="array" ref="T177">IFERROR(INDEX(IM!$AM$2:$AM$5000, MATCH(1, (IM!$F$2:$F$5000=A177) * (ISNUMBER(SEARCH(勤務統計!$E$1, IM!$AC$2:$AC$5000))), 0)), "")</f>
        <v>45985</v>
      </c>
      <c r="U177" s="406" t="str" cm="1">
        <f t="array" ref="U177">IF(AND(SUMPRODUCT((IM!$F$2:$F$5000=A177)*(ISNUMBER(SEARCH(勤務統計!$F$1, IM!$AC$2:$AC$5000))))&gt;0), 勤務統計!$F$1, "")</f>
        <v/>
      </c>
      <c r="V177" s="413" t="str">
        <f t="array" ref="V177">IFERROR(INDEX(IM!$AM$2:$AM$5000, MATCH(1, (IM!$F$2:$F$5000=A177) * (ISNUMBER(SEARCH(勤務統計!$F$1, IM!$AC$2:$AC$5000))), 0)), "")</f>
        <v/>
      </c>
      <c r="W177" s="414" t="str">
        <f>IF(VLOOKUP(A177,'0919門市清單主檔'!B:AC,28,FALSE)=0,"",VLOOKUP(A177,'0919門市清單主檔'!B:AC,28,FALSE))</f>
        <v/>
      </c>
    </row>
    <row r="178" spans="1:23" ht="21.6" customHeight="1">
      <c r="A178" s="423" t="s">
        <v>73</v>
      </c>
      <c r="B178" s="416" t="str">
        <f>VLOOKUP(A178,'0919門市清單主檔'!B:C,2,FALSE)</f>
        <v>北縣僑中三店</v>
      </c>
      <c r="C178" s="415" t="str">
        <f>VLOOKUP($A178,'0919門市清單主檔'!B:V,20,FALSE)</f>
        <v>新北市</v>
      </c>
      <c r="D178" s="410" t="str">
        <f>VLOOKUP($A178,'0919門市清單主檔'!B:V,21,FALSE)</f>
        <v>板橋區</v>
      </c>
      <c r="E178" s="397" t="str">
        <f>VLOOKUP(D178,門市狀態!G:H,2,FALSE)</f>
        <v>狄澤洋</v>
      </c>
      <c r="F178" s="410" t="str">
        <f>IFERROR(IF(VLOOKUP(A178,門市狀態!A:D,4,FALSE)=0,"",VLOOKUP(A178,門市狀態!A:D,4,FALSE)),"")</f>
        <v/>
      </c>
      <c r="G178" s="424"/>
      <c r="H178" s="425" t="str">
        <f>IF(I178&gt;0,(TEXT(I178,"yyyymmdd")&amp;勤務統計!$V$2&amp;A178&amp;勤務統計!$V$2&amp;B178&amp;勤務統計!$S$2),"")</f>
        <v>-D161-北縣僑中三店(定保)</v>
      </c>
      <c r="I178" s="247" t="str">
        <f t="array" ref="I178">IF(AND(SUMPRODUCT((IM!$F$2:$F$5000=A178)*(ISNUMBER(SEARCH(勤務統計!$C$1, IM!$AC$2:$AC$5000))))&gt;0), 勤務統計!$C$1, "")</f>
        <v/>
      </c>
      <c r="J178" s="399" t="str">
        <f t="array" ref="J178">IFERROR(INDEX(IM!$AM$2:$AM$5000, MATCH(1, (IM!$F$2:$F$5000=A178) * (ISNUMBER(SEARCH(勤務統計!$C$1, IM!$AC$2:$AC$5000))), 0)), "")</f>
        <v/>
      </c>
      <c r="K178" s="400">
        <f t="array" ref="K178">SUMPRODUCT((IM!$F$2:$F$5000=A178)*(IM!$AD$2:$AD$5000="O")*(ISNUMBER(SEARCH(勤務統計!$C$1, IM!$AC$2:$AC$5000))))</f>
        <v>0</v>
      </c>
      <c r="L178" s="401" t="str">
        <f t="array" ref="L178">IF(K178&gt;0,IFERROR(HYPERLINK("#'IM'!AC"&amp;MATCH(1,(IM!$F$1:$F$5000=A178)*(ISNUMBER(SEARCH(勤務統計!$C$1,IM!$AC$1:$AC$5000))),0),"檢核"),"未登錄"),"")</f>
        <v/>
      </c>
      <c r="M178" s="402" t="str">
        <f t="shared" si="2"/>
        <v>+L90</v>
      </c>
      <c r="N178" s="402" t="str">
        <f t="array" ref="N178">IF(AND(
    SUMPRODUCT(
        (IM!$F$2:$F$522=A178) *
        ISNUMBER(SEARCH("*HUB*", IM!$AC$2:$AC$522)) *
        (IM!$X$2:$X$522&gt;=勤務統計!$A$1) *
        (IM!$X$2:$X$522&lt;=勤務統計!$B$1)*(W178="HUB")
    ) &gt; 0
), "HUB", "")</f>
        <v/>
      </c>
      <c r="O178" s="400" t="str">
        <f>IF(
  IFERROR(VLOOKUP(A178,勤務統計!A:I,9,FALSE),"")&lt;&gt;勤務統計!$C$1,
  "未完工",
  IF(
    AND(勤務統計!$D$1="--",勤務統計!$E$1="--",勤務統計!$F$1="--"),
    "已完工",
    IF(
      OR(
        AND(勤務統計!$D$1&lt;&gt;"--", IFERROR(VLOOKUP(A178,'0919門市清單主檔'!B:AH,31,FALSE),"")=勤務統計!$D$1, IFERROR(VLOOKUP(A178,勤務統計!A:Q,17,FALSE),"")&lt;&gt;勤務統計!$D$1),
        AND(勤務統計!$E$1&lt;&gt;"--", IFERROR(VLOOKUP(A178,'0919門市清單主檔'!B:AH,32,FALSE),"")=勤務統計!$E$1, IFERROR(VLOOKUP(A178,勤務統計!A:S,19,FALSE),"")&lt;&gt;勤務統計!$E$1),
        AND(勤務統計!$F$1&lt;&gt;"--", IFERROR(VLOOKUP(A178,'0919門市清單主檔'!B:AH,33,FALSE),"")=勤務統計!$F$1, IFERROR(VLOOKUP(A178,勤務統計!A:U,21,FALSE),"")&lt;&gt;勤務統計!$F$1),
        AND(IFERROR(VLOOKUP(A178,'0919門市清單主檔'!B:AH,28,FALSE),"")="HUB", IFERROR(VLOOKUP(A178,勤務統計!A:W,23,FALSE),"")&lt;&gt;"HUB")
      ),
      _xlfn.TEXTJOIN(
        "，",
        TRUE,
        IF(AND(勤務統計!$D$1&lt;&gt;"--", IFERROR(VLOOKUP(A178,'0919門市清單主檔'!B:AH,31,FALSE),"")=勤務統計!$D$1, IFERROR(VLOOKUP(A178,勤務統計!A:Q,17,FALSE),"")&lt;&gt;勤務統計!$D$1), 勤務統計!$D$1, ""),
        IF(AND(勤務統計!$E$1&lt;&gt;"--", IFERROR(VLOOKUP(A178,'0919門市清單主檔'!B:AH,32,FALSE),"")=勤務統計!$E$1, IFERROR(VLOOKUP(A178,勤務統計!A:S,19,FALSE),"")&lt;&gt;勤務統計!$E$1), 勤務統計!$E$1, ""),
        IF(AND(勤務統計!$F$1&lt;&gt;"--", IFERROR(VLOOKUP(A178,'0919門市清單主檔'!B:AH,33,FALSE),"")=勤務統計!$F$1, IFERROR(VLOOKUP(A178,勤務統計!A:U,21,FALSE),"")&lt;&gt;勤務統計!$F$1), 勤務統計!$F$1, ""),
        IF(AND(IFERROR(VLOOKUP(A178,'0919門市清單主檔'!B:AH,28,FALSE),"")="HUB", IFERROR(VLOOKUP(A178,勤務統計!A:W,23,FALSE),"")&lt;&gt;"HUB"), "HUB", "")
      ) &amp; "未完工",
      "已完工"
    )
  )
)</f>
        <v>未完工</v>
      </c>
      <c r="P178" s="403" t="str">
        <f>(TEXT(I178,"yyyymmdd"))&amp;勤務統計!$V$2&amp;A178&amp;勤務統計!$V$2&amp;B178&amp;勤務統計!$S$2</f>
        <v>-D161-北縣僑中三店(定保)</v>
      </c>
      <c r="Q178" s="420" t="str">
        <f t="array" ref="Q178">IF(AND(SUMPRODUCT((IM!$F$2:$F$5000=A178)*(ISNUMBER(SEARCH(勤務統計!$D$1, IM!$AC$2:$AC$5000))))&gt;0), 勤務統計!$D$1, "")</f>
        <v/>
      </c>
      <c r="R178" s="421" t="str">
        <f t="array" ref="R178">IFERROR(INDEX(IM!$AM$2:$AM$5000, MATCH(1, (IM!$F$2:$F$5000=A178) * (ISNUMBER(SEARCH(勤務統計!$D$1, IM!$AC$2:$AC$5000))), 0)), "")</f>
        <v/>
      </c>
      <c r="S178" s="406" t="str" cm="1">
        <f t="array" ref="S178">IF(AND(SUMPRODUCT((IM!$F$2:$F$5000=A178)*(ISNUMBER(SEARCH(勤務統計!$E$1, IM!$AC$2:$AC$5000))))&gt;0), 勤務統計!$E$1, "")</f>
        <v>+L90</v>
      </c>
      <c r="T178" s="422">
        <f t="array" ref="T178">IFERROR(INDEX(IM!$AM$2:$AM$5000, MATCH(1, (IM!$F$2:$F$5000=A178) * (ISNUMBER(SEARCH(勤務統計!$E$1, IM!$AC$2:$AC$5000))), 0)), "")</f>
        <v>45986</v>
      </c>
      <c r="U178" s="406" t="str" cm="1">
        <f t="array" ref="U178">IF(AND(SUMPRODUCT((IM!$F$2:$F$5000=A178)*(ISNUMBER(SEARCH(勤務統計!$F$1, IM!$AC$2:$AC$5000))))&gt;0), 勤務統計!$F$1, "")</f>
        <v/>
      </c>
      <c r="V178" s="413" t="str">
        <f t="array" ref="V178">IFERROR(INDEX(IM!$AM$2:$AM$5000, MATCH(1, (IM!$F$2:$F$5000=A178) * (ISNUMBER(SEARCH(勤務統計!$F$1, IM!$AC$2:$AC$5000))), 0)), "")</f>
        <v/>
      </c>
      <c r="W178" s="414" t="str">
        <f>IF(VLOOKUP(A178,'0919門市清單主檔'!B:AC,28,FALSE)=0,"",VLOOKUP(A178,'0919門市清單主檔'!B:AC,28,FALSE))</f>
        <v/>
      </c>
    </row>
    <row r="179" spans="1:23" ht="21.6" customHeight="1">
      <c r="A179" s="423" t="s">
        <v>74</v>
      </c>
      <c r="B179" s="416" t="str">
        <f>VLOOKUP(A179,'0919門市清單主檔'!B:C,2,FALSE)</f>
        <v>板橋僑福店</v>
      </c>
      <c r="C179" s="415" t="str">
        <f>VLOOKUP($A179,'0919門市清單主檔'!B:V,20,FALSE)</f>
        <v>新北市</v>
      </c>
      <c r="D179" s="410" t="str">
        <f>VLOOKUP($A179,'0919門市清單主檔'!B:V,21,FALSE)</f>
        <v>板橋區</v>
      </c>
      <c r="E179" s="397" t="str">
        <f>VLOOKUP(D179,門市狀態!G:H,2,FALSE)</f>
        <v>狄澤洋</v>
      </c>
      <c r="F179" s="410" t="str">
        <f>IFERROR(IF(VLOOKUP(A179,門市狀態!A:D,4,FALSE)=0,"",VLOOKUP(A179,門市狀態!A:D,4,FALSE)),"")</f>
        <v/>
      </c>
      <c r="G179" s="424"/>
      <c r="H179" s="425" t="str">
        <f>IF(I179&gt;0,(TEXT(I179,"yyyymmdd")&amp;勤務統計!$V$2&amp;A179&amp;勤務統計!$V$2&amp;B179&amp;勤務統計!$S$2),"")</f>
        <v>-D072-板橋僑福店(定保)</v>
      </c>
      <c r="I179" s="247" t="str">
        <f t="array" ref="I179">IF(AND(SUMPRODUCT((IM!$F$2:$F$5000=A179)*(ISNUMBER(SEARCH(勤務統計!$C$1, IM!$AC$2:$AC$5000))))&gt;0), 勤務統計!$C$1, "")</f>
        <v/>
      </c>
      <c r="J179" s="399" t="str">
        <f t="array" ref="J179">IFERROR(INDEX(IM!$AM$2:$AM$5000, MATCH(1, (IM!$F$2:$F$5000=A179) * (ISNUMBER(SEARCH(勤務統計!$C$1, IM!$AC$2:$AC$5000))), 0)), "")</f>
        <v/>
      </c>
      <c r="K179" s="400">
        <f t="array" ref="K179">SUMPRODUCT((IM!$F$2:$F$5000=A179)*(IM!$AD$2:$AD$5000="O")*(ISNUMBER(SEARCH(勤務統計!$C$1, IM!$AC$2:$AC$5000))))</f>
        <v>0</v>
      </c>
      <c r="L179" s="401" t="str">
        <f t="array" ref="L179">IF(K179&gt;0,IFERROR(HYPERLINK("#'IM'!AC"&amp;MATCH(1,(IM!$F$1:$F$5000=A179)*(ISNUMBER(SEARCH(勤務統計!$C$1,IM!$AC$1:$AC$5000))),0),"檢核"),"未登錄"),"")</f>
        <v/>
      </c>
      <c r="M179" s="402" t="str">
        <f t="shared" si="2"/>
        <v>+L90</v>
      </c>
      <c r="N179" s="402" t="str">
        <f t="array" ref="N179">IF(AND(
    SUMPRODUCT(
        (IM!$F$2:$F$522=A179) *
        ISNUMBER(SEARCH("*HUB*", IM!$AC$2:$AC$522)) *
        (IM!$X$2:$X$522&gt;=勤務統計!$A$1) *
        (IM!$X$2:$X$522&lt;=勤務統計!$B$1)*(W179="HUB")
    ) &gt; 0
), "HUB", "")</f>
        <v/>
      </c>
      <c r="O179" s="400" t="str">
        <f>IF(
  IFERROR(VLOOKUP(A179,勤務統計!A:I,9,FALSE),"")&lt;&gt;勤務統計!$C$1,
  "未完工",
  IF(
    AND(勤務統計!$D$1="--",勤務統計!$E$1="--",勤務統計!$F$1="--"),
    "已完工",
    IF(
      OR(
        AND(勤務統計!$D$1&lt;&gt;"--", IFERROR(VLOOKUP(A179,'0919門市清單主檔'!B:AH,31,FALSE),"")=勤務統計!$D$1, IFERROR(VLOOKUP(A179,勤務統計!A:Q,17,FALSE),"")&lt;&gt;勤務統計!$D$1),
        AND(勤務統計!$E$1&lt;&gt;"--", IFERROR(VLOOKUP(A179,'0919門市清單主檔'!B:AH,32,FALSE),"")=勤務統計!$E$1, IFERROR(VLOOKUP(A179,勤務統計!A:S,19,FALSE),"")&lt;&gt;勤務統計!$E$1),
        AND(勤務統計!$F$1&lt;&gt;"--", IFERROR(VLOOKUP(A179,'0919門市清單主檔'!B:AH,33,FALSE),"")=勤務統計!$F$1, IFERROR(VLOOKUP(A179,勤務統計!A:U,21,FALSE),"")&lt;&gt;勤務統計!$F$1),
        AND(IFERROR(VLOOKUP(A179,'0919門市清單主檔'!B:AH,28,FALSE),"")="HUB", IFERROR(VLOOKUP(A179,勤務統計!A:W,23,FALSE),"")&lt;&gt;"HUB")
      ),
      _xlfn.TEXTJOIN(
        "，",
        TRUE,
        IF(AND(勤務統計!$D$1&lt;&gt;"--", IFERROR(VLOOKUP(A179,'0919門市清單主檔'!B:AH,31,FALSE),"")=勤務統計!$D$1, IFERROR(VLOOKUP(A179,勤務統計!A:Q,17,FALSE),"")&lt;&gt;勤務統計!$D$1), 勤務統計!$D$1, ""),
        IF(AND(勤務統計!$E$1&lt;&gt;"--", IFERROR(VLOOKUP(A179,'0919門市清單主檔'!B:AH,32,FALSE),"")=勤務統計!$E$1, IFERROR(VLOOKUP(A179,勤務統計!A:S,19,FALSE),"")&lt;&gt;勤務統計!$E$1), 勤務統計!$E$1, ""),
        IF(AND(勤務統計!$F$1&lt;&gt;"--", IFERROR(VLOOKUP(A179,'0919門市清單主檔'!B:AH,33,FALSE),"")=勤務統計!$F$1, IFERROR(VLOOKUP(A179,勤務統計!A:U,21,FALSE),"")&lt;&gt;勤務統計!$F$1), 勤務統計!$F$1, ""),
        IF(AND(IFERROR(VLOOKUP(A179,'0919門市清單主檔'!B:AH,28,FALSE),"")="HUB", IFERROR(VLOOKUP(A179,勤務統計!A:W,23,FALSE),"")&lt;&gt;"HUB"), "HUB", "")
      ) &amp; "未完工",
      "已完工"
    )
  )
)</f>
        <v>未完工</v>
      </c>
      <c r="P179" s="403" t="str">
        <f>(TEXT(I179,"yyyymmdd"))&amp;勤務統計!$V$2&amp;A179&amp;勤務統計!$V$2&amp;B179&amp;勤務統計!$S$2</f>
        <v>-D072-板橋僑福店(定保)</v>
      </c>
      <c r="Q179" s="420" t="str">
        <f t="array" ref="Q179">IF(AND(SUMPRODUCT((IM!$F$2:$F$5000=A179)*(ISNUMBER(SEARCH(勤務統計!$D$1, IM!$AC$2:$AC$5000))))&gt;0), 勤務統計!$D$1, "")</f>
        <v/>
      </c>
      <c r="R179" s="421" t="str">
        <f t="array" ref="R179">IFERROR(INDEX(IM!$AM$2:$AM$5000, MATCH(1, (IM!$F$2:$F$5000=A179) * (ISNUMBER(SEARCH(勤務統計!$D$1, IM!$AC$2:$AC$5000))), 0)), "")</f>
        <v/>
      </c>
      <c r="S179" s="406" t="str" cm="1">
        <f t="array" ref="S179">IF(AND(SUMPRODUCT((IM!$F$2:$F$5000=A179)*(ISNUMBER(SEARCH(勤務統計!$E$1, IM!$AC$2:$AC$5000))))&gt;0), 勤務統計!$E$1, "")</f>
        <v>+L90</v>
      </c>
      <c r="T179" s="422">
        <f t="array" ref="T179">IFERROR(INDEX(IM!$AM$2:$AM$5000, MATCH(1, (IM!$F$2:$F$5000=A179) * (ISNUMBER(SEARCH(勤務統計!$E$1, IM!$AC$2:$AC$5000))), 0)), "")</f>
        <v>45986</v>
      </c>
      <c r="U179" s="406" t="str" cm="1">
        <f t="array" ref="U179">IF(AND(SUMPRODUCT((IM!$F$2:$F$5000=A179)*(ISNUMBER(SEARCH(勤務統計!$F$1, IM!$AC$2:$AC$5000))))&gt;0), 勤務統計!$F$1, "")</f>
        <v/>
      </c>
      <c r="V179" s="413" t="str">
        <f t="array" ref="V179">IFERROR(INDEX(IM!$AM$2:$AM$5000, MATCH(1, (IM!$F$2:$F$5000=A179) * (ISNUMBER(SEARCH(勤務統計!$F$1, IM!$AC$2:$AC$5000))), 0)), "")</f>
        <v/>
      </c>
      <c r="W179" s="414" t="str">
        <f>IF(VLOOKUP(A179,'0919門市清單主檔'!B:AC,28,FALSE)=0,"",VLOOKUP(A179,'0919門市清單主檔'!B:AC,28,FALSE))</f>
        <v/>
      </c>
    </row>
    <row r="180" spans="1:23" ht="21.6" customHeight="1">
      <c r="A180" s="423">
        <v>5003</v>
      </c>
      <c r="B180" s="416" t="str">
        <f>VLOOKUP(A180,'0919門市清單主檔'!B:C,2,FALSE)</f>
        <v>五股更寮店</v>
      </c>
      <c r="C180" s="415" t="str">
        <f>VLOOKUP($A180,'0919門市清單主檔'!B:V,20,FALSE)</f>
        <v>新北市</v>
      </c>
      <c r="D180" s="410" t="str">
        <f>VLOOKUP($A180,'0919門市清單主檔'!B:V,21,FALSE)</f>
        <v>五股區</v>
      </c>
      <c r="E180" s="397" t="str">
        <f>VLOOKUP(D180,門市狀態!G:H,2,FALSE)</f>
        <v>湯家瑋</v>
      </c>
      <c r="F180" s="410" t="str">
        <f>IFERROR(IF(VLOOKUP(A180,門市狀態!A:D,4,FALSE)=0,"",VLOOKUP(A180,門市狀態!A:D,4,FALSE)),"")</f>
        <v/>
      </c>
      <c r="G180" s="424"/>
      <c r="H180" s="425" t="str">
        <f>IF(I180&gt;0,(TEXT(I180,"yyyymmdd")&amp;勤務統計!$V$2&amp;A180&amp;勤務統計!$V$2&amp;B180&amp;勤務統計!$S$2),"")</f>
        <v>-5003-五股更寮店(定保)</v>
      </c>
      <c r="I180" s="247" t="str">
        <f t="array" ref="I180">IF(AND(SUMPRODUCT((IM!$F$2:$F$5000=A180)*(ISNUMBER(SEARCH(勤務統計!$C$1, IM!$AC$2:$AC$5000))))&gt;0), 勤務統計!$C$1, "")</f>
        <v/>
      </c>
      <c r="J180" s="399" t="str">
        <f t="array" ref="J180">IFERROR(INDEX(IM!$AM$2:$AM$5000, MATCH(1, (IM!$F$2:$F$5000=A180) * (ISNUMBER(SEARCH(勤務統計!$C$1, IM!$AC$2:$AC$5000))), 0)), "")</f>
        <v/>
      </c>
      <c r="K180" s="400">
        <f t="array" ref="K180">SUMPRODUCT((IM!$F$2:$F$5000=A180)*(IM!$AD$2:$AD$5000="O")*(ISNUMBER(SEARCH(勤務統計!$C$1, IM!$AC$2:$AC$5000))))</f>
        <v>0</v>
      </c>
      <c r="L180" s="401" t="str">
        <f t="array" ref="L180">IF(K180&gt;0,IFERROR(HYPERLINK("#'IM'!AC"&amp;MATCH(1,(IM!$F$1:$F$5000=A180)*(ISNUMBER(SEARCH(勤務統計!$C$1,IM!$AC$1:$AC$5000))),0),"檢核"),"未登錄"),"")</f>
        <v/>
      </c>
      <c r="M180" s="402" t="str">
        <f t="shared" si="2"/>
        <v>+L90</v>
      </c>
      <c r="N180" s="402" t="str">
        <f t="array" ref="N180">IF(AND(
    SUMPRODUCT(
        (IM!$F$2:$F$522=A180) *
        ISNUMBER(SEARCH("*HUB*", IM!$AC$2:$AC$522)) *
        (IM!$X$2:$X$522&gt;=勤務統計!$A$1) *
        (IM!$X$2:$X$522&lt;=勤務統計!$B$1)*(W180="HUB")
    ) &gt; 0
), "HUB", "")</f>
        <v/>
      </c>
      <c r="O180" s="400" t="str">
        <f>IF(
  IFERROR(VLOOKUP(A180,勤務統計!A:I,9,FALSE),"")&lt;&gt;勤務統計!$C$1,
  "未完工",
  IF(
    AND(勤務統計!$D$1="--",勤務統計!$E$1="--",勤務統計!$F$1="--"),
    "已完工",
    IF(
      OR(
        AND(勤務統計!$D$1&lt;&gt;"--", IFERROR(VLOOKUP(A180,'0919門市清單主檔'!B:AH,31,FALSE),"")=勤務統計!$D$1, IFERROR(VLOOKUP(A180,勤務統計!A:Q,17,FALSE),"")&lt;&gt;勤務統計!$D$1),
        AND(勤務統計!$E$1&lt;&gt;"--", IFERROR(VLOOKUP(A180,'0919門市清單主檔'!B:AH,32,FALSE),"")=勤務統計!$E$1, IFERROR(VLOOKUP(A180,勤務統計!A:S,19,FALSE),"")&lt;&gt;勤務統計!$E$1),
        AND(勤務統計!$F$1&lt;&gt;"--", IFERROR(VLOOKUP(A180,'0919門市清單主檔'!B:AH,33,FALSE),"")=勤務統計!$F$1, IFERROR(VLOOKUP(A180,勤務統計!A:U,21,FALSE),"")&lt;&gt;勤務統計!$F$1),
        AND(IFERROR(VLOOKUP(A180,'0919門市清單主檔'!B:AH,28,FALSE),"")="HUB", IFERROR(VLOOKUP(A180,勤務統計!A:W,23,FALSE),"")&lt;&gt;"HUB")
      ),
      _xlfn.TEXTJOIN(
        "，",
        TRUE,
        IF(AND(勤務統計!$D$1&lt;&gt;"--", IFERROR(VLOOKUP(A180,'0919門市清單主檔'!B:AH,31,FALSE),"")=勤務統計!$D$1, IFERROR(VLOOKUP(A180,勤務統計!A:Q,17,FALSE),"")&lt;&gt;勤務統計!$D$1), 勤務統計!$D$1, ""),
        IF(AND(勤務統計!$E$1&lt;&gt;"--", IFERROR(VLOOKUP(A180,'0919門市清單主檔'!B:AH,32,FALSE),"")=勤務統計!$E$1, IFERROR(VLOOKUP(A180,勤務統計!A:S,19,FALSE),"")&lt;&gt;勤務統計!$E$1), 勤務統計!$E$1, ""),
        IF(AND(勤務統計!$F$1&lt;&gt;"--", IFERROR(VLOOKUP(A180,'0919門市清單主檔'!B:AH,33,FALSE),"")=勤務統計!$F$1, IFERROR(VLOOKUP(A180,勤務統計!A:U,21,FALSE),"")&lt;&gt;勤務統計!$F$1), 勤務統計!$F$1, ""),
        IF(AND(IFERROR(VLOOKUP(A180,'0919門市清單主檔'!B:AH,28,FALSE),"")="HUB", IFERROR(VLOOKUP(A180,勤務統計!A:W,23,FALSE),"")&lt;&gt;"HUB"), "HUB", "")
      ) &amp; "未完工",
      "已完工"
    )
  )
)</f>
        <v>未完工</v>
      </c>
      <c r="P180" s="403" t="str">
        <f>(TEXT(I180,"yyyymmdd"))&amp;勤務統計!$V$2&amp;A180&amp;勤務統計!$V$2&amp;B180&amp;勤務統計!$S$2</f>
        <v>-5003-五股更寮店(定保)</v>
      </c>
      <c r="Q180" s="420" t="str">
        <f t="array" ref="Q180">IF(AND(SUMPRODUCT((IM!$F$2:$F$5000=A180)*(ISNUMBER(SEARCH(勤務統計!$D$1, IM!$AC$2:$AC$5000))))&gt;0), 勤務統計!$D$1, "")</f>
        <v/>
      </c>
      <c r="R180" s="421" t="str">
        <f t="array" ref="R180">IFERROR(INDEX(IM!$AM$2:$AM$5000, MATCH(1, (IM!$F$2:$F$5000=A180) * (ISNUMBER(SEARCH(勤務統計!$D$1, IM!$AC$2:$AC$5000))), 0)), "")</f>
        <v/>
      </c>
      <c r="S180" s="406" t="str" cm="1">
        <f t="array" ref="S180">IF(AND(SUMPRODUCT((IM!$F$2:$F$5000=A180)*(ISNUMBER(SEARCH(勤務統計!$E$1, IM!$AC$2:$AC$5000))))&gt;0), 勤務統計!$E$1, "")</f>
        <v>+L90</v>
      </c>
      <c r="T180" s="422">
        <f t="array" ref="T180">IFERROR(INDEX(IM!$AM$2:$AM$5000, MATCH(1, (IM!$F$2:$F$5000=A180) * (ISNUMBER(SEARCH(勤務統計!$E$1, IM!$AC$2:$AC$5000))), 0)), "")</f>
        <v>45986</v>
      </c>
      <c r="U180" s="406" t="str" cm="1">
        <f t="array" ref="U180">IF(AND(SUMPRODUCT((IM!$F$2:$F$5000=A180)*(ISNUMBER(SEARCH(勤務統計!$F$1, IM!$AC$2:$AC$5000))))&gt;0), 勤務統計!$F$1, "")</f>
        <v/>
      </c>
      <c r="V180" s="413" t="str">
        <f t="array" ref="V180">IFERROR(INDEX(IM!$AM$2:$AM$5000, MATCH(1, (IM!$F$2:$F$5000=A180) * (ISNUMBER(SEARCH(勤務統計!$F$1, IM!$AC$2:$AC$5000))), 0)), "")</f>
        <v/>
      </c>
      <c r="W180" s="414" t="str">
        <f>IF(VLOOKUP(A180,'0919門市清單主檔'!B:AC,28,FALSE)=0,"",VLOOKUP(A180,'0919門市清單主檔'!B:AC,28,FALSE))</f>
        <v/>
      </c>
    </row>
    <row r="181" spans="1:23" ht="21.6" customHeight="1">
      <c r="A181" s="423">
        <v>3227</v>
      </c>
      <c r="B181" s="416" t="str">
        <f>VLOOKUP(A181,'0919門市清單主檔'!B:C,2,FALSE)</f>
        <v>五股四維店</v>
      </c>
      <c r="C181" s="415" t="str">
        <f>VLOOKUP($A181,'0919門市清單主檔'!B:V,20,FALSE)</f>
        <v>新北市</v>
      </c>
      <c r="D181" s="410" t="str">
        <f>VLOOKUP($A181,'0919門市清單主檔'!B:V,21,FALSE)</f>
        <v>五股區</v>
      </c>
      <c r="E181" s="397" t="str">
        <f>VLOOKUP(D181,門市狀態!G:H,2,FALSE)</f>
        <v>湯家瑋</v>
      </c>
      <c r="F181" s="410" t="str">
        <f>IFERROR(IF(VLOOKUP(A181,門市狀態!A:D,4,FALSE)=0,"",VLOOKUP(A181,門市狀態!A:D,4,FALSE)),"")</f>
        <v/>
      </c>
      <c r="G181" s="424"/>
      <c r="H181" s="425" t="str">
        <f>IF(I181&gt;0,(TEXT(I181,"yyyymmdd")&amp;勤務統計!$V$2&amp;A181&amp;勤務統計!$V$2&amp;B181&amp;勤務統計!$S$2),"")</f>
        <v>-3227-五股四維店(定保)</v>
      </c>
      <c r="I181" s="247" t="str">
        <f t="array" ref="I181">IF(AND(SUMPRODUCT((IM!$F$2:$F$5000=A181)*(ISNUMBER(SEARCH(勤務統計!$C$1, IM!$AC$2:$AC$5000))))&gt;0), 勤務統計!$C$1, "")</f>
        <v/>
      </c>
      <c r="J181" s="399" t="str">
        <f t="array" ref="J181">IFERROR(INDEX(IM!$AM$2:$AM$5000, MATCH(1, (IM!$F$2:$F$5000=A181) * (ISNUMBER(SEARCH(勤務統計!$C$1, IM!$AC$2:$AC$5000))), 0)), "")</f>
        <v/>
      </c>
      <c r="K181" s="400">
        <f t="array" ref="K181">SUMPRODUCT((IM!$F$2:$F$5000=A181)*(IM!$AD$2:$AD$5000="O")*(ISNUMBER(SEARCH(勤務統計!$C$1, IM!$AC$2:$AC$5000))))</f>
        <v>0</v>
      </c>
      <c r="L181" s="401" t="str">
        <f t="array" ref="L181">IF(K181&gt;0,IFERROR(HYPERLINK("#'IM'!AC"&amp;MATCH(1,(IM!$F$1:$F$5000=A181)*(ISNUMBER(SEARCH(勤務統計!$C$1,IM!$AC$1:$AC$5000))),0),"檢核"),"未登錄"),"")</f>
        <v/>
      </c>
      <c r="M181" s="402" t="str">
        <f t="shared" si="2"/>
        <v>+L90</v>
      </c>
      <c r="N181" s="402" t="str">
        <f t="array" ref="N181">IF(AND(
    SUMPRODUCT(
        (IM!$F$2:$F$522=A181) *
        ISNUMBER(SEARCH("*HUB*", IM!$AC$2:$AC$522)) *
        (IM!$X$2:$X$522&gt;=勤務統計!$A$1) *
        (IM!$X$2:$X$522&lt;=勤務統計!$B$1)*(W181="HUB")
    ) &gt; 0
), "HUB", "")</f>
        <v/>
      </c>
      <c r="O181" s="400" t="str">
        <f>IF(
  IFERROR(VLOOKUP(A181,勤務統計!A:I,9,FALSE),"")&lt;&gt;勤務統計!$C$1,
  "未完工",
  IF(
    AND(勤務統計!$D$1="--",勤務統計!$E$1="--",勤務統計!$F$1="--"),
    "已完工",
    IF(
      OR(
        AND(勤務統計!$D$1&lt;&gt;"--", IFERROR(VLOOKUP(A181,'0919門市清單主檔'!B:AH,31,FALSE),"")=勤務統計!$D$1, IFERROR(VLOOKUP(A181,勤務統計!A:Q,17,FALSE),"")&lt;&gt;勤務統計!$D$1),
        AND(勤務統計!$E$1&lt;&gt;"--", IFERROR(VLOOKUP(A181,'0919門市清單主檔'!B:AH,32,FALSE),"")=勤務統計!$E$1, IFERROR(VLOOKUP(A181,勤務統計!A:S,19,FALSE),"")&lt;&gt;勤務統計!$E$1),
        AND(勤務統計!$F$1&lt;&gt;"--", IFERROR(VLOOKUP(A181,'0919門市清單主檔'!B:AH,33,FALSE),"")=勤務統計!$F$1, IFERROR(VLOOKUP(A181,勤務統計!A:U,21,FALSE),"")&lt;&gt;勤務統計!$F$1),
        AND(IFERROR(VLOOKUP(A181,'0919門市清單主檔'!B:AH,28,FALSE),"")="HUB", IFERROR(VLOOKUP(A181,勤務統計!A:W,23,FALSE),"")&lt;&gt;"HUB")
      ),
      _xlfn.TEXTJOIN(
        "，",
        TRUE,
        IF(AND(勤務統計!$D$1&lt;&gt;"--", IFERROR(VLOOKUP(A181,'0919門市清單主檔'!B:AH,31,FALSE),"")=勤務統計!$D$1, IFERROR(VLOOKUP(A181,勤務統計!A:Q,17,FALSE),"")&lt;&gt;勤務統計!$D$1), 勤務統計!$D$1, ""),
        IF(AND(勤務統計!$E$1&lt;&gt;"--", IFERROR(VLOOKUP(A181,'0919門市清單主檔'!B:AH,32,FALSE),"")=勤務統計!$E$1, IFERROR(VLOOKUP(A181,勤務統計!A:S,19,FALSE),"")&lt;&gt;勤務統計!$E$1), 勤務統計!$E$1, ""),
        IF(AND(勤務統計!$F$1&lt;&gt;"--", IFERROR(VLOOKUP(A181,'0919門市清單主檔'!B:AH,33,FALSE),"")=勤務統計!$F$1, IFERROR(VLOOKUP(A181,勤務統計!A:U,21,FALSE),"")&lt;&gt;勤務統計!$F$1), 勤務統計!$F$1, ""),
        IF(AND(IFERROR(VLOOKUP(A181,'0919門市清單主檔'!B:AH,28,FALSE),"")="HUB", IFERROR(VLOOKUP(A181,勤務統計!A:W,23,FALSE),"")&lt;&gt;"HUB"), "HUB", "")
      ) &amp; "未完工",
      "已完工"
    )
  )
)</f>
        <v>未完工</v>
      </c>
      <c r="P181" s="403" t="str">
        <f>(TEXT(I181,"yyyymmdd"))&amp;勤務統計!$V$2&amp;A181&amp;勤務統計!$V$2&amp;B181&amp;勤務統計!$S$2</f>
        <v>-3227-五股四維店(定保)</v>
      </c>
      <c r="Q181" s="420" t="str">
        <f t="array" ref="Q181">IF(AND(SUMPRODUCT((IM!$F$2:$F$5000=A181)*(ISNUMBER(SEARCH(勤務統計!$D$1, IM!$AC$2:$AC$5000))))&gt;0), 勤務統計!$D$1, "")</f>
        <v/>
      </c>
      <c r="R181" s="421" t="str">
        <f t="array" ref="R181">IFERROR(INDEX(IM!$AM$2:$AM$5000, MATCH(1, (IM!$F$2:$F$5000=A181) * (ISNUMBER(SEARCH(勤務統計!$D$1, IM!$AC$2:$AC$5000))), 0)), "")</f>
        <v/>
      </c>
      <c r="S181" s="406" t="str" cm="1">
        <f t="array" ref="S181">IF(AND(SUMPRODUCT((IM!$F$2:$F$5000=A181)*(ISNUMBER(SEARCH(勤務統計!$E$1, IM!$AC$2:$AC$5000))))&gt;0), 勤務統計!$E$1, "")</f>
        <v>+L90</v>
      </c>
      <c r="T181" s="422">
        <f t="array" ref="T181">IFERROR(INDEX(IM!$AM$2:$AM$5000, MATCH(1, (IM!$F$2:$F$5000=A181) * (ISNUMBER(SEARCH(勤務統計!$E$1, IM!$AC$2:$AC$5000))), 0)), "")</f>
        <v>45986</v>
      </c>
      <c r="U181" s="406" t="str" cm="1">
        <f t="array" ref="U181">IF(AND(SUMPRODUCT((IM!$F$2:$F$5000=A181)*(ISNUMBER(SEARCH(勤務統計!$F$1, IM!$AC$2:$AC$5000))))&gt;0), 勤務統計!$F$1, "")</f>
        <v/>
      </c>
      <c r="V181" s="413" t="str">
        <f t="array" ref="V181">IFERROR(INDEX(IM!$AM$2:$AM$5000, MATCH(1, (IM!$F$2:$F$5000=A181) * (ISNUMBER(SEARCH(勤務統計!$F$1, IM!$AC$2:$AC$5000))), 0)), "")</f>
        <v/>
      </c>
      <c r="W181" s="414" t="str">
        <f>IF(VLOOKUP(A181,'0919門市清單主檔'!B:AC,28,FALSE)=0,"",VLOOKUP(A181,'0919門市清單主檔'!B:AC,28,FALSE))</f>
        <v/>
      </c>
    </row>
    <row r="182" spans="1:23" ht="21.6" customHeight="1">
      <c r="A182" s="423">
        <v>5082</v>
      </c>
      <c r="B182" s="416" t="str">
        <f>VLOOKUP(A182,'0919門市清單主檔'!B:C,2,FALSE)</f>
        <v>蘆洲水湳店</v>
      </c>
      <c r="C182" s="415" t="str">
        <f>VLOOKUP($A182,'0919門市清單主檔'!B:V,20,FALSE)</f>
        <v>新北市</v>
      </c>
      <c r="D182" s="410" t="str">
        <f>VLOOKUP($A182,'0919門市清單主檔'!B:V,21,FALSE)</f>
        <v>蘆洲區</v>
      </c>
      <c r="E182" s="397" t="str">
        <f>VLOOKUP(D182,門市狀態!G:H,2,FALSE)</f>
        <v>湯家瑋</v>
      </c>
      <c r="F182" s="410" t="str">
        <f>IFERROR(IF(VLOOKUP(A182,門市狀態!A:D,4,FALSE)=0,"",VLOOKUP(A182,門市狀態!A:D,4,FALSE)),"")</f>
        <v/>
      </c>
      <c r="G182" s="424"/>
      <c r="H182" s="425" t="str">
        <f>IF(I182&gt;0,(TEXT(I182,"yyyymmdd")&amp;勤務統計!$V$2&amp;A182&amp;勤務統計!$V$2&amp;B182&amp;勤務統計!$S$2),"")</f>
        <v>-5082-蘆洲水湳店(定保)</v>
      </c>
      <c r="I182" s="247" t="str">
        <f t="array" ref="I182">IF(AND(SUMPRODUCT((IM!$F$2:$F$5000=A182)*(ISNUMBER(SEARCH(勤務統計!$C$1, IM!$AC$2:$AC$5000))))&gt;0), 勤務統計!$C$1, "")</f>
        <v/>
      </c>
      <c r="J182" s="399" t="str">
        <f t="array" ref="J182">IFERROR(INDEX(IM!$AM$2:$AM$5000, MATCH(1, (IM!$F$2:$F$5000=A182) * (ISNUMBER(SEARCH(勤務統計!$C$1, IM!$AC$2:$AC$5000))), 0)), "")</f>
        <v/>
      </c>
      <c r="K182" s="400">
        <f t="array" ref="K182">SUMPRODUCT((IM!$F$2:$F$5000=A182)*(IM!$AD$2:$AD$5000="O")*(ISNUMBER(SEARCH(勤務統計!$C$1, IM!$AC$2:$AC$5000))))</f>
        <v>0</v>
      </c>
      <c r="L182" s="401" t="str">
        <f t="array" ref="L182">IF(K182&gt;0,IFERROR(HYPERLINK("#'IM'!AC"&amp;MATCH(1,(IM!$F$1:$F$5000=A182)*(ISNUMBER(SEARCH(勤務統計!$C$1,IM!$AC$1:$AC$5000))),0),"檢核"),"未登錄"),"")</f>
        <v/>
      </c>
      <c r="M182" s="402" t="str">
        <f t="shared" si="2"/>
        <v>+L90</v>
      </c>
      <c r="N182" s="402" t="str">
        <f t="array" ref="N182">IF(AND(
    SUMPRODUCT(
        (IM!$F$2:$F$522=A182) *
        ISNUMBER(SEARCH("*HUB*", IM!$AC$2:$AC$522)) *
        (IM!$X$2:$X$522&gt;=勤務統計!$A$1) *
        (IM!$X$2:$X$522&lt;=勤務統計!$B$1)*(W182="HUB")
    ) &gt; 0
), "HUB", "")</f>
        <v/>
      </c>
      <c r="O182" s="400" t="str">
        <f>IF(
  IFERROR(VLOOKUP(A182,勤務統計!A:I,9,FALSE),"")&lt;&gt;勤務統計!$C$1,
  "未完工",
  IF(
    AND(勤務統計!$D$1="--",勤務統計!$E$1="--",勤務統計!$F$1="--"),
    "已完工",
    IF(
      OR(
        AND(勤務統計!$D$1&lt;&gt;"--", IFERROR(VLOOKUP(A182,'0919門市清單主檔'!B:AH,31,FALSE),"")=勤務統計!$D$1, IFERROR(VLOOKUP(A182,勤務統計!A:Q,17,FALSE),"")&lt;&gt;勤務統計!$D$1),
        AND(勤務統計!$E$1&lt;&gt;"--", IFERROR(VLOOKUP(A182,'0919門市清單主檔'!B:AH,32,FALSE),"")=勤務統計!$E$1, IFERROR(VLOOKUP(A182,勤務統計!A:S,19,FALSE),"")&lt;&gt;勤務統計!$E$1),
        AND(勤務統計!$F$1&lt;&gt;"--", IFERROR(VLOOKUP(A182,'0919門市清單主檔'!B:AH,33,FALSE),"")=勤務統計!$F$1, IFERROR(VLOOKUP(A182,勤務統計!A:U,21,FALSE),"")&lt;&gt;勤務統計!$F$1),
        AND(IFERROR(VLOOKUP(A182,'0919門市清單主檔'!B:AH,28,FALSE),"")="HUB", IFERROR(VLOOKUP(A182,勤務統計!A:W,23,FALSE),"")&lt;&gt;"HUB")
      ),
      _xlfn.TEXTJOIN(
        "，",
        TRUE,
        IF(AND(勤務統計!$D$1&lt;&gt;"--", IFERROR(VLOOKUP(A182,'0919門市清單主檔'!B:AH,31,FALSE),"")=勤務統計!$D$1, IFERROR(VLOOKUP(A182,勤務統計!A:Q,17,FALSE),"")&lt;&gt;勤務統計!$D$1), 勤務統計!$D$1, ""),
        IF(AND(勤務統計!$E$1&lt;&gt;"--", IFERROR(VLOOKUP(A182,'0919門市清單主檔'!B:AH,32,FALSE),"")=勤務統計!$E$1, IFERROR(VLOOKUP(A182,勤務統計!A:S,19,FALSE),"")&lt;&gt;勤務統計!$E$1), 勤務統計!$E$1, ""),
        IF(AND(勤務統計!$F$1&lt;&gt;"--", IFERROR(VLOOKUP(A182,'0919門市清單主檔'!B:AH,33,FALSE),"")=勤務統計!$F$1, IFERROR(VLOOKUP(A182,勤務統計!A:U,21,FALSE),"")&lt;&gt;勤務統計!$F$1), 勤務統計!$F$1, ""),
        IF(AND(IFERROR(VLOOKUP(A182,'0919門市清單主檔'!B:AH,28,FALSE),"")="HUB", IFERROR(VLOOKUP(A182,勤務統計!A:W,23,FALSE),"")&lt;&gt;"HUB"), "HUB", "")
      ) &amp; "未完工",
      "已完工"
    )
  )
)</f>
        <v>未完工</v>
      </c>
      <c r="P182" s="403" t="str">
        <f>(TEXT(I182,"yyyymmdd"))&amp;勤務統計!$V$2&amp;A182&amp;勤務統計!$V$2&amp;B182&amp;勤務統計!$S$2</f>
        <v>-5082-蘆洲水湳店(定保)</v>
      </c>
      <c r="Q182" s="420" t="str">
        <f t="array" ref="Q182">IF(AND(SUMPRODUCT((IM!$F$2:$F$5000=A182)*(ISNUMBER(SEARCH(勤務統計!$D$1, IM!$AC$2:$AC$5000))))&gt;0), 勤務統計!$D$1, "")</f>
        <v/>
      </c>
      <c r="R182" s="421" t="str">
        <f t="array" ref="R182">IFERROR(INDEX(IM!$AM$2:$AM$5000, MATCH(1, (IM!$F$2:$F$5000=A182) * (ISNUMBER(SEARCH(勤務統計!$D$1, IM!$AC$2:$AC$5000))), 0)), "")</f>
        <v/>
      </c>
      <c r="S182" s="406" t="str" cm="1">
        <f t="array" ref="S182">IF(AND(SUMPRODUCT((IM!$F$2:$F$5000=A182)*(ISNUMBER(SEARCH(勤務統計!$E$1, IM!$AC$2:$AC$5000))))&gt;0), 勤務統計!$E$1, "")</f>
        <v>+L90</v>
      </c>
      <c r="T182" s="422">
        <f t="array" ref="T182">IFERROR(INDEX(IM!$AM$2:$AM$5000, MATCH(1, (IM!$F$2:$F$5000=A182) * (ISNUMBER(SEARCH(勤務統計!$E$1, IM!$AC$2:$AC$5000))), 0)), "")</f>
        <v>45986</v>
      </c>
      <c r="U182" s="406" t="str" cm="1">
        <f t="array" ref="U182">IF(AND(SUMPRODUCT((IM!$F$2:$F$5000=A182)*(ISNUMBER(SEARCH(勤務統計!$F$1, IM!$AC$2:$AC$5000))))&gt;0), 勤務統計!$F$1, "")</f>
        <v/>
      </c>
      <c r="V182" s="413" t="str">
        <f t="array" ref="V182">IFERROR(INDEX(IM!$AM$2:$AM$5000, MATCH(1, (IM!$F$2:$F$5000=A182) * (ISNUMBER(SEARCH(勤務統計!$F$1, IM!$AC$2:$AC$5000))), 0)), "")</f>
        <v/>
      </c>
      <c r="W182" s="414" t="str">
        <f>IF(VLOOKUP(A182,'0919門市清單主檔'!B:AC,28,FALSE)=0,"",VLOOKUP(A182,'0919門市清單主檔'!B:AC,28,FALSE))</f>
        <v/>
      </c>
    </row>
    <row r="183" spans="1:23" ht="21.6" customHeight="1">
      <c r="A183" s="423" t="s">
        <v>75</v>
      </c>
      <c r="B183" s="416" t="str">
        <f>VLOOKUP(A183,'0919門市清單主檔'!B:C,2,FALSE)</f>
        <v>車麗屋蘆洲店</v>
      </c>
      <c r="C183" s="415" t="str">
        <f>VLOOKUP($A183,'0919門市清單主檔'!B:V,20,FALSE)</f>
        <v>新北市</v>
      </c>
      <c r="D183" s="410" t="str">
        <f>VLOOKUP($A183,'0919門市清單主檔'!B:V,21,FALSE)</f>
        <v>蘆洲區</v>
      </c>
      <c r="E183" s="397" t="str">
        <f>VLOOKUP(D183,門市狀態!G:H,2,FALSE)</f>
        <v>湯家瑋</v>
      </c>
      <c r="F183" s="410" t="str">
        <f>IFERROR(IF(VLOOKUP(A183,門市狀態!A:D,4,FALSE)=0,"",VLOOKUP(A183,門市狀態!A:D,4,FALSE)),"")</f>
        <v/>
      </c>
      <c r="G183" s="424" t="s">
        <v>47</v>
      </c>
      <c r="H183" s="425" t="str">
        <f>IF(I183&gt;0,(TEXT(I183,"yyyymmdd")&amp;勤務統計!$V$2&amp;A183&amp;勤務統計!$V$2&amp;B183&amp;勤務統計!$S$2),"")</f>
        <v>-L517-車麗屋蘆洲店(定保)</v>
      </c>
      <c r="I183" s="247" t="str">
        <f t="array" ref="I183">IF(AND(SUMPRODUCT((IM!$F$2:$F$5000=A183)*(ISNUMBER(SEARCH(勤務統計!$C$1, IM!$AC$2:$AC$5000))))&gt;0), 勤務統計!$C$1, "")</f>
        <v/>
      </c>
      <c r="J183" s="399" t="str">
        <f t="array" ref="J183">IFERROR(INDEX(IM!$AM$2:$AM$5000, MATCH(1, (IM!$F$2:$F$5000=A183) * (ISNUMBER(SEARCH(勤務統計!$C$1, IM!$AC$2:$AC$5000))), 0)), "")</f>
        <v/>
      </c>
      <c r="K183" s="400">
        <f t="array" ref="K183">SUMPRODUCT((IM!$F$2:$F$5000=A183)*(IM!$AD$2:$AD$5000="O")*(ISNUMBER(SEARCH(勤務統計!$C$1, IM!$AC$2:$AC$5000))))</f>
        <v>0</v>
      </c>
      <c r="L183" s="401" t="str">
        <f t="array" ref="L183">IF(K183&gt;0,IFERROR(HYPERLINK("#'IM'!AC"&amp;MATCH(1,(IM!$F$1:$F$5000=A183)*(ISNUMBER(SEARCH(勤務統計!$C$1,IM!$AC$1:$AC$5000))),0),"檢核"),"未登錄"),"")</f>
        <v/>
      </c>
      <c r="M183" s="402" t="str">
        <f t="shared" si="2"/>
        <v/>
      </c>
      <c r="N183" s="402" t="str">
        <f t="array" ref="N183">IF(AND(
    SUMPRODUCT(
        (IM!$F$2:$F$522=A183) *
        ISNUMBER(SEARCH("*HUB*", IM!$AC$2:$AC$522)) *
        (IM!$X$2:$X$522&gt;=勤務統計!$A$1) *
        (IM!$X$2:$X$522&lt;=勤務統計!$B$1)*(W183="HUB")
    ) &gt; 0
), "HUB", "")</f>
        <v/>
      </c>
      <c r="O183" s="400" t="str">
        <f>IF(
  IFERROR(VLOOKUP(A183,勤務統計!A:I,9,FALSE),"")&lt;&gt;勤務統計!$C$1,
  "未完工",
  IF(
    AND(勤務統計!$D$1="--",勤務統計!$E$1="--",勤務統計!$F$1="--"),
    "已完工",
    IF(
      OR(
        AND(勤務統計!$D$1&lt;&gt;"--", IFERROR(VLOOKUP(A183,'0919門市清單主檔'!B:AH,31,FALSE),"")=勤務統計!$D$1, IFERROR(VLOOKUP(A183,勤務統計!A:Q,17,FALSE),"")&lt;&gt;勤務統計!$D$1),
        AND(勤務統計!$E$1&lt;&gt;"--", IFERROR(VLOOKUP(A183,'0919門市清單主檔'!B:AH,32,FALSE),"")=勤務統計!$E$1, IFERROR(VLOOKUP(A183,勤務統計!A:S,19,FALSE),"")&lt;&gt;勤務統計!$E$1),
        AND(勤務統計!$F$1&lt;&gt;"--", IFERROR(VLOOKUP(A183,'0919門市清單主檔'!B:AH,33,FALSE),"")=勤務統計!$F$1, IFERROR(VLOOKUP(A183,勤務統計!A:U,21,FALSE),"")&lt;&gt;勤務統計!$F$1),
        AND(IFERROR(VLOOKUP(A183,'0919門市清單主檔'!B:AH,28,FALSE),"")="HUB", IFERROR(VLOOKUP(A183,勤務統計!A:W,23,FALSE),"")&lt;&gt;"HUB")
      ),
      _xlfn.TEXTJOIN(
        "，",
        TRUE,
        IF(AND(勤務統計!$D$1&lt;&gt;"--", IFERROR(VLOOKUP(A183,'0919門市清單主檔'!B:AH,31,FALSE),"")=勤務統計!$D$1, IFERROR(VLOOKUP(A183,勤務統計!A:Q,17,FALSE),"")&lt;&gt;勤務統計!$D$1), 勤務統計!$D$1, ""),
        IF(AND(勤務統計!$E$1&lt;&gt;"--", IFERROR(VLOOKUP(A183,'0919門市清單主檔'!B:AH,32,FALSE),"")=勤務統計!$E$1, IFERROR(VLOOKUP(A183,勤務統計!A:S,19,FALSE),"")&lt;&gt;勤務統計!$E$1), 勤務統計!$E$1, ""),
        IF(AND(勤務統計!$F$1&lt;&gt;"--", IFERROR(VLOOKUP(A183,'0919門市清單主檔'!B:AH,33,FALSE),"")=勤務統計!$F$1, IFERROR(VLOOKUP(A183,勤務統計!A:U,21,FALSE),"")&lt;&gt;勤務統計!$F$1), 勤務統計!$F$1, ""),
        IF(AND(IFERROR(VLOOKUP(A183,'0919門市清單主檔'!B:AH,28,FALSE),"")="HUB", IFERROR(VLOOKUP(A183,勤務統計!A:W,23,FALSE),"")&lt;&gt;"HUB"), "HUB", "")
      ) &amp; "未完工",
      "已完工"
    )
  )
)</f>
        <v>未完工</v>
      </c>
      <c r="P183" s="403" t="str">
        <f>(TEXT(I183,"yyyymmdd"))&amp;勤務統計!$V$2&amp;A183&amp;勤務統計!$V$2&amp;B183&amp;勤務統計!$S$2</f>
        <v>-L517-車麗屋蘆洲店(定保)</v>
      </c>
      <c r="Q183" s="420" t="str">
        <f t="array" ref="Q183">IF(AND(SUMPRODUCT((IM!$F$2:$F$5000=A183)*(ISNUMBER(SEARCH(勤務統計!$D$1, IM!$AC$2:$AC$5000))))&gt;0), 勤務統計!$D$1, "")</f>
        <v/>
      </c>
      <c r="R183" s="421" t="str">
        <f t="array" ref="R183">IFERROR(INDEX(IM!$AM$2:$AM$5000, MATCH(1, (IM!$F$2:$F$5000=A183) * (ISNUMBER(SEARCH(勤務統計!$D$1, IM!$AC$2:$AC$5000))), 0)), "")</f>
        <v/>
      </c>
      <c r="S183" s="406" t="str" cm="1">
        <f t="array" ref="S183">IF(AND(SUMPRODUCT((IM!$F$2:$F$5000=A183)*(ISNUMBER(SEARCH(勤務統計!$E$1, IM!$AC$2:$AC$5000))))&gt;0), 勤務統計!$E$1, "")</f>
        <v/>
      </c>
      <c r="T183" s="422" t="str">
        <f t="array" ref="T183">IFERROR(INDEX(IM!$AM$2:$AM$5000, MATCH(1, (IM!$F$2:$F$5000=A183) * (ISNUMBER(SEARCH(勤務統計!$E$1, IM!$AC$2:$AC$5000))), 0)), "")</f>
        <v/>
      </c>
      <c r="U183" s="406" t="str" cm="1">
        <f t="array" ref="U183">IF(AND(SUMPRODUCT((IM!$F$2:$F$5000=A183)*(ISNUMBER(SEARCH(勤務統計!$F$1, IM!$AC$2:$AC$5000))))&gt;0), 勤務統計!$F$1, "")</f>
        <v/>
      </c>
      <c r="V183" s="413" t="str">
        <f t="array" ref="V183">IFERROR(INDEX(IM!$AM$2:$AM$5000, MATCH(1, (IM!$F$2:$F$5000=A183) * (ISNUMBER(SEARCH(勤務統計!$F$1, IM!$AC$2:$AC$5000))), 0)), "")</f>
        <v/>
      </c>
      <c r="W183" s="414" t="str">
        <f>IF(VLOOKUP(A183,'0919門市清單主檔'!B:AC,28,FALSE)=0,"",VLOOKUP(A183,'0919門市清單主檔'!B:AC,28,FALSE))</f>
        <v/>
      </c>
    </row>
    <row r="184" spans="1:23" ht="21.6" customHeight="1">
      <c r="A184" s="423" t="s">
        <v>76</v>
      </c>
      <c r="B184" s="416" t="str">
        <f>VLOOKUP(A184,'0919門市清單主檔'!B:C,2,FALSE)</f>
        <v>蘆洲權義店</v>
      </c>
      <c r="C184" s="415" t="str">
        <f>VLOOKUP($A184,'0919門市清單主檔'!B:V,20,FALSE)</f>
        <v>新北市</v>
      </c>
      <c r="D184" s="410" t="str">
        <f>VLOOKUP($A184,'0919門市清單主檔'!B:V,21,FALSE)</f>
        <v>蘆洲區</v>
      </c>
      <c r="E184" s="397" t="str">
        <f>VLOOKUP(D184,門市狀態!G:H,2,FALSE)</f>
        <v>湯家瑋</v>
      </c>
      <c r="F184" s="410" t="str">
        <f>IFERROR(IF(VLOOKUP(A184,門市狀態!A:D,4,FALSE)=0,"",VLOOKUP(A184,門市狀態!A:D,4,FALSE)),"")</f>
        <v/>
      </c>
      <c r="G184" s="424"/>
      <c r="H184" s="425" t="str">
        <f>IF(I184&gt;0,(TEXT(I184,"yyyymmdd")&amp;勤務統計!$V$2&amp;A184&amp;勤務統計!$V$2&amp;B184&amp;勤務統計!$S$2),"")</f>
        <v>-D193-蘆洲權義店(定保)</v>
      </c>
      <c r="I184" s="247" t="str">
        <f t="array" ref="I184">IF(AND(SUMPRODUCT((IM!$F$2:$F$5000=A184)*(ISNUMBER(SEARCH(勤務統計!$C$1, IM!$AC$2:$AC$5000))))&gt;0), 勤務統計!$C$1, "")</f>
        <v/>
      </c>
      <c r="J184" s="399" t="str">
        <f t="array" ref="J184">IFERROR(INDEX(IM!$AM$2:$AM$5000, MATCH(1, (IM!$F$2:$F$5000=A184) * (ISNUMBER(SEARCH(勤務統計!$C$1, IM!$AC$2:$AC$5000))), 0)), "")</f>
        <v/>
      </c>
      <c r="K184" s="400">
        <f t="array" ref="K184">SUMPRODUCT((IM!$F$2:$F$5000=A184)*(IM!$AD$2:$AD$5000="O")*(ISNUMBER(SEARCH(勤務統計!$C$1, IM!$AC$2:$AC$5000))))</f>
        <v>0</v>
      </c>
      <c r="L184" s="401" t="str">
        <f t="array" ref="L184">IF(K184&gt;0,IFERROR(HYPERLINK("#'IM'!AC"&amp;MATCH(1,(IM!$F$1:$F$5000=A184)*(ISNUMBER(SEARCH(勤務統計!$C$1,IM!$AC$1:$AC$5000))),0),"檢核"),"未登錄"),"")</f>
        <v/>
      </c>
      <c r="M184" s="402" t="str">
        <f t="shared" si="2"/>
        <v>+L90</v>
      </c>
      <c r="N184" s="402" t="str">
        <f t="array" ref="N184">IF(AND(
    SUMPRODUCT(
        (IM!$F$2:$F$522=A184) *
        ISNUMBER(SEARCH("*HUB*", IM!$AC$2:$AC$522)) *
        (IM!$X$2:$X$522&gt;=勤務統計!$A$1) *
        (IM!$X$2:$X$522&lt;=勤務統計!$B$1)*(W184="HUB")
    ) &gt; 0
), "HUB", "")</f>
        <v/>
      </c>
      <c r="O184" s="400" t="str">
        <f>IF(
  IFERROR(VLOOKUP(A184,勤務統計!A:I,9,FALSE),"")&lt;&gt;勤務統計!$C$1,
  "未完工",
  IF(
    AND(勤務統計!$D$1="--",勤務統計!$E$1="--",勤務統計!$F$1="--"),
    "已完工",
    IF(
      OR(
        AND(勤務統計!$D$1&lt;&gt;"--", IFERROR(VLOOKUP(A184,'0919門市清單主檔'!B:AH,31,FALSE),"")=勤務統計!$D$1, IFERROR(VLOOKUP(A184,勤務統計!A:Q,17,FALSE),"")&lt;&gt;勤務統計!$D$1),
        AND(勤務統計!$E$1&lt;&gt;"--", IFERROR(VLOOKUP(A184,'0919門市清單主檔'!B:AH,32,FALSE),"")=勤務統計!$E$1, IFERROR(VLOOKUP(A184,勤務統計!A:S,19,FALSE),"")&lt;&gt;勤務統計!$E$1),
        AND(勤務統計!$F$1&lt;&gt;"--", IFERROR(VLOOKUP(A184,'0919門市清單主檔'!B:AH,33,FALSE),"")=勤務統計!$F$1, IFERROR(VLOOKUP(A184,勤務統計!A:U,21,FALSE),"")&lt;&gt;勤務統計!$F$1),
        AND(IFERROR(VLOOKUP(A184,'0919門市清單主檔'!B:AH,28,FALSE),"")="HUB", IFERROR(VLOOKUP(A184,勤務統計!A:W,23,FALSE),"")&lt;&gt;"HUB")
      ),
      _xlfn.TEXTJOIN(
        "，",
        TRUE,
        IF(AND(勤務統計!$D$1&lt;&gt;"--", IFERROR(VLOOKUP(A184,'0919門市清單主檔'!B:AH,31,FALSE),"")=勤務統計!$D$1, IFERROR(VLOOKUP(A184,勤務統計!A:Q,17,FALSE),"")&lt;&gt;勤務統計!$D$1), 勤務統計!$D$1, ""),
        IF(AND(勤務統計!$E$1&lt;&gt;"--", IFERROR(VLOOKUP(A184,'0919門市清單主檔'!B:AH,32,FALSE),"")=勤務統計!$E$1, IFERROR(VLOOKUP(A184,勤務統計!A:S,19,FALSE),"")&lt;&gt;勤務統計!$E$1), 勤務統計!$E$1, ""),
        IF(AND(勤務統計!$F$1&lt;&gt;"--", IFERROR(VLOOKUP(A184,'0919門市清單主檔'!B:AH,33,FALSE),"")=勤務統計!$F$1, IFERROR(VLOOKUP(A184,勤務統計!A:U,21,FALSE),"")&lt;&gt;勤務統計!$F$1), 勤務統計!$F$1, ""),
        IF(AND(IFERROR(VLOOKUP(A184,'0919門市清單主檔'!B:AH,28,FALSE),"")="HUB", IFERROR(VLOOKUP(A184,勤務統計!A:W,23,FALSE),"")&lt;&gt;"HUB"), "HUB", "")
      ) &amp; "未完工",
      "已完工"
    )
  )
)</f>
        <v>未完工</v>
      </c>
      <c r="P184" s="403" t="str">
        <f>(TEXT(I184,"yyyymmdd"))&amp;勤務統計!$V$2&amp;A184&amp;勤務統計!$V$2&amp;B184&amp;勤務統計!$S$2</f>
        <v>-D193-蘆洲權義店(定保)</v>
      </c>
      <c r="Q184" s="420" t="str">
        <f t="array" ref="Q184">IF(AND(SUMPRODUCT((IM!$F$2:$F$5000=A184)*(ISNUMBER(SEARCH(勤務統計!$D$1, IM!$AC$2:$AC$5000))))&gt;0), 勤務統計!$D$1, "")</f>
        <v/>
      </c>
      <c r="R184" s="421" t="str">
        <f t="array" ref="R184">IFERROR(INDEX(IM!$AM$2:$AM$5000, MATCH(1, (IM!$F$2:$F$5000=A184) * (ISNUMBER(SEARCH(勤務統計!$D$1, IM!$AC$2:$AC$5000))), 0)), "")</f>
        <v/>
      </c>
      <c r="S184" s="406" t="str" cm="1">
        <f t="array" ref="S184">IF(AND(SUMPRODUCT((IM!$F$2:$F$5000=A184)*(ISNUMBER(SEARCH(勤務統計!$E$1, IM!$AC$2:$AC$5000))))&gt;0), 勤務統計!$E$1, "")</f>
        <v>+L90</v>
      </c>
      <c r="T184" s="422">
        <f t="array" ref="T184">IFERROR(INDEX(IM!$AM$2:$AM$5000, MATCH(1, (IM!$F$2:$F$5000=A184) * (ISNUMBER(SEARCH(勤務統計!$E$1, IM!$AC$2:$AC$5000))), 0)), "")</f>
        <v>45986</v>
      </c>
      <c r="U184" s="406" t="str" cm="1">
        <f t="array" ref="U184">IF(AND(SUMPRODUCT((IM!$F$2:$F$5000=A184)*(ISNUMBER(SEARCH(勤務統計!$F$1, IM!$AC$2:$AC$5000))))&gt;0), 勤務統計!$F$1, "")</f>
        <v/>
      </c>
      <c r="V184" s="413" t="str">
        <f t="array" ref="V184">IFERROR(INDEX(IM!$AM$2:$AM$5000, MATCH(1, (IM!$F$2:$F$5000=A184) * (ISNUMBER(SEARCH(勤務統計!$F$1, IM!$AC$2:$AC$5000))), 0)), "")</f>
        <v/>
      </c>
      <c r="W184" s="414" t="str">
        <f>IF(VLOOKUP(A184,'0919門市清單主檔'!B:AC,28,FALSE)=0,"",VLOOKUP(A184,'0919門市清單主檔'!B:AC,28,FALSE))</f>
        <v/>
      </c>
    </row>
    <row r="185" spans="1:23" ht="21.6" customHeight="1">
      <c r="A185" s="423">
        <v>2890</v>
      </c>
      <c r="B185" s="416" t="str">
        <f>VLOOKUP(A185,'0919門市清單主檔'!B:C,2,FALSE)</f>
        <v>蘆洲鷺江店</v>
      </c>
      <c r="C185" s="415" t="str">
        <f>VLOOKUP($A185,'0919門市清單主檔'!B:V,20,FALSE)</f>
        <v>新北市</v>
      </c>
      <c r="D185" s="410" t="str">
        <f>VLOOKUP($A185,'0919門市清單主檔'!B:V,21,FALSE)</f>
        <v>蘆洲區</v>
      </c>
      <c r="E185" s="397" t="str">
        <f>VLOOKUP(D185,門市狀態!G:H,2,FALSE)</f>
        <v>湯家瑋</v>
      </c>
      <c r="F185" s="410" t="str">
        <f>IFERROR(IF(VLOOKUP(A185,門市狀態!A:D,4,FALSE)=0,"",VLOOKUP(A185,門市狀態!A:D,4,FALSE)),"")</f>
        <v/>
      </c>
      <c r="G185" s="424"/>
      <c r="H185" s="425" t="str">
        <f>IF(I185&gt;0,(TEXT(I185,"yyyymmdd")&amp;勤務統計!$V$2&amp;A185&amp;勤務統計!$V$2&amp;B185&amp;勤務統計!$S$2),"")</f>
        <v>-2890-蘆洲鷺江店(定保)</v>
      </c>
      <c r="I185" s="247" t="str">
        <f t="array" ref="I185">IF(AND(SUMPRODUCT((IM!$F$2:$F$5000=A185)*(ISNUMBER(SEARCH(勤務統計!$C$1, IM!$AC$2:$AC$5000))))&gt;0), 勤務統計!$C$1, "")</f>
        <v/>
      </c>
      <c r="J185" s="399" t="str">
        <f t="array" ref="J185">IFERROR(INDEX(IM!$AM$2:$AM$5000, MATCH(1, (IM!$F$2:$F$5000=A185) * (ISNUMBER(SEARCH(勤務統計!$C$1, IM!$AC$2:$AC$5000))), 0)), "")</f>
        <v/>
      </c>
      <c r="K185" s="400">
        <f t="array" ref="K185">SUMPRODUCT((IM!$F$2:$F$5000=A185)*(IM!$AD$2:$AD$5000="O")*(ISNUMBER(SEARCH(勤務統計!$C$1, IM!$AC$2:$AC$5000))))</f>
        <v>0</v>
      </c>
      <c r="L185" s="401" t="str">
        <f t="array" ref="L185">IF(K185&gt;0,IFERROR(HYPERLINK("#'IM'!AC"&amp;MATCH(1,(IM!$F$1:$F$5000=A185)*(ISNUMBER(SEARCH(勤務統計!$C$1,IM!$AC$1:$AC$5000))),0),"檢核"),"未登錄"),"")</f>
        <v/>
      </c>
      <c r="M185" s="402" t="str">
        <f t="shared" si="2"/>
        <v>+L90</v>
      </c>
      <c r="N185" s="402" t="str">
        <f t="array" ref="N185">IF(AND(
    SUMPRODUCT(
        (IM!$F$2:$F$522=A185) *
        ISNUMBER(SEARCH("*HUB*", IM!$AC$2:$AC$522)) *
        (IM!$X$2:$X$522&gt;=勤務統計!$A$1) *
        (IM!$X$2:$X$522&lt;=勤務統計!$B$1)*(W185="HUB")
    ) &gt; 0
), "HUB", "")</f>
        <v/>
      </c>
      <c r="O185" s="400" t="str">
        <f>IF(
  IFERROR(VLOOKUP(A185,勤務統計!A:I,9,FALSE),"")&lt;&gt;勤務統計!$C$1,
  "未完工",
  IF(
    AND(勤務統計!$D$1="--",勤務統計!$E$1="--",勤務統計!$F$1="--"),
    "已完工",
    IF(
      OR(
        AND(勤務統計!$D$1&lt;&gt;"--", IFERROR(VLOOKUP(A185,'0919門市清單主檔'!B:AH,31,FALSE),"")=勤務統計!$D$1, IFERROR(VLOOKUP(A185,勤務統計!A:Q,17,FALSE),"")&lt;&gt;勤務統計!$D$1),
        AND(勤務統計!$E$1&lt;&gt;"--", IFERROR(VLOOKUP(A185,'0919門市清單主檔'!B:AH,32,FALSE),"")=勤務統計!$E$1, IFERROR(VLOOKUP(A185,勤務統計!A:S,19,FALSE),"")&lt;&gt;勤務統計!$E$1),
        AND(勤務統計!$F$1&lt;&gt;"--", IFERROR(VLOOKUP(A185,'0919門市清單主檔'!B:AH,33,FALSE),"")=勤務統計!$F$1, IFERROR(VLOOKUP(A185,勤務統計!A:U,21,FALSE),"")&lt;&gt;勤務統計!$F$1),
        AND(IFERROR(VLOOKUP(A185,'0919門市清單主檔'!B:AH,28,FALSE),"")="HUB", IFERROR(VLOOKUP(A185,勤務統計!A:W,23,FALSE),"")&lt;&gt;"HUB")
      ),
      _xlfn.TEXTJOIN(
        "，",
        TRUE,
        IF(AND(勤務統計!$D$1&lt;&gt;"--", IFERROR(VLOOKUP(A185,'0919門市清單主檔'!B:AH,31,FALSE),"")=勤務統計!$D$1, IFERROR(VLOOKUP(A185,勤務統計!A:Q,17,FALSE),"")&lt;&gt;勤務統計!$D$1), 勤務統計!$D$1, ""),
        IF(AND(勤務統計!$E$1&lt;&gt;"--", IFERROR(VLOOKUP(A185,'0919門市清單主檔'!B:AH,32,FALSE),"")=勤務統計!$E$1, IFERROR(VLOOKUP(A185,勤務統計!A:S,19,FALSE),"")&lt;&gt;勤務統計!$E$1), 勤務統計!$E$1, ""),
        IF(AND(勤務統計!$F$1&lt;&gt;"--", IFERROR(VLOOKUP(A185,'0919門市清單主檔'!B:AH,33,FALSE),"")=勤務統計!$F$1, IFERROR(VLOOKUP(A185,勤務統計!A:U,21,FALSE),"")&lt;&gt;勤務統計!$F$1), 勤務統計!$F$1, ""),
        IF(AND(IFERROR(VLOOKUP(A185,'0919門市清單主檔'!B:AH,28,FALSE),"")="HUB", IFERROR(VLOOKUP(A185,勤務統計!A:W,23,FALSE),"")&lt;&gt;"HUB"), "HUB", "")
      ) &amp; "未完工",
      "已完工"
    )
  )
)</f>
        <v>未完工</v>
      </c>
      <c r="P185" s="403" t="str">
        <f>(TEXT(I185,"yyyymmdd"))&amp;勤務統計!$V$2&amp;A185&amp;勤務統計!$V$2&amp;B185&amp;勤務統計!$S$2</f>
        <v>-2890-蘆洲鷺江店(定保)</v>
      </c>
      <c r="Q185" s="420" t="str">
        <f t="array" ref="Q185">IF(AND(SUMPRODUCT((IM!$F$2:$F$5000=A185)*(ISNUMBER(SEARCH(勤務統計!$D$1, IM!$AC$2:$AC$5000))))&gt;0), 勤務統計!$D$1, "")</f>
        <v/>
      </c>
      <c r="R185" s="421" t="str">
        <f t="array" ref="R185">IFERROR(INDEX(IM!$AM$2:$AM$5000, MATCH(1, (IM!$F$2:$F$5000=A185) * (ISNUMBER(SEARCH(勤務統計!$D$1, IM!$AC$2:$AC$5000))), 0)), "")</f>
        <v/>
      </c>
      <c r="S185" s="406" t="str" cm="1">
        <f t="array" ref="S185">IF(AND(SUMPRODUCT((IM!$F$2:$F$5000=A185)*(ISNUMBER(SEARCH(勤務統計!$E$1, IM!$AC$2:$AC$5000))))&gt;0), 勤務統計!$E$1, "")</f>
        <v>+L90</v>
      </c>
      <c r="T185" s="422">
        <f t="array" ref="T185">IFERROR(INDEX(IM!$AM$2:$AM$5000, MATCH(1, (IM!$F$2:$F$5000=A185) * (ISNUMBER(SEARCH(勤務統計!$E$1, IM!$AC$2:$AC$5000))), 0)), "")</f>
        <v>45986</v>
      </c>
      <c r="U185" s="406" t="str" cm="1">
        <f t="array" ref="U185">IF(AND(SUMPRODUCT((IM!$F$2:$F$5000=A185)*(ISNUMBER(SEARCH(勤務統計!$F$1, IM!$AC$2:$AC$5000))))&gt;0), 勤務統計!$F$1, "")</f>
        <v/>
      </c>
      <c r="V185" s="413" t="str">
        <f t="array" ref="V185">IFERROR(INDEX(IM!$AM$2:$AM$5000, MATCH(1, (IM!$F$2:$F$5000=A185) * (ISNUMBER(SEARCH(勤務統計!$F$1, IM!$AC$2:$AC$5000))), 0)), "")</f>
        <v/>
      </c>
      <c r="W185" s="414" t="str">
        <f>IF(VLOOKUP(A185,'0919門市清單主檔'!B:AC,28,FALSE)=0,"",VLOOKUP(A185,'0919門市清單主檔'!B:AC,28,FALSE))</f>
        <v/>
      </c>
    </row>
    <row r="186" spans="1:23" ht="21.6" customHeight="1">
      <c r="A186" s="423">
        <v>4845</v>
      </c>
      <c r="B186" s="416" t="str">
        <f>VLOOKUP(A186,'0919門市清單主檔'!B:C,2,FALSE)</f>
        <v>石門海角店</v>
      </c>
      <c r="C186" s="415" t="str">
        <f>VLOOKUP($A186,'0919門市清單主檔'!B:V,20,FALSE)</f>
        <v>新北市</v>
      </c>
      <c r="D186" s="410" t="str">
        <f>VLOOKUP($A186,'0919門市清單主檔'!B:V,21,FALSE)</f>
        <v>石門區</v>
      </c>
      <c r="E186" s="397" t="str">
        <f>VLOOKUP(D186,門市狀態!G:H,2,FALSE)</f>
        <v>吳宗鴻</v>
      </c>
      <c r="F186" s="410" t="str">
        <f>IFERROR(IF(VLOOKUP(A186,門市狀態!A:D,4,FALSE)=0,"",VLOOKUP(A186,門市狀態!A:D,4,FALSE)),"")</f>
        <v/>
      </c>
      <c r="G186" s="424"/>
      <c r="H186" s="425" t="str">
        <f>IF(I186&gt;0,(TEXT(I186,"yyyymmdd")&amp;勤務統計!$V$2&amp;A186&amp;勤務統計!$V$2&amp;B186&amp;勤務統計!$S$2),"")</f>
        <v>-4845-石門海角店(定保)</v>
      </c>
      <c r="I186" s="247" t="str">
        <f t="array" ref="I186">IF(AND(SUMPRODUCT((IM!$F$2:$F$5000=A186)*(ISNUMBER(SEARCH(勤務統計!$C$1, IM!$AC$2:$AC$5000))))&gt;0), 勤務統計!$C$1, "")</f>
        <v/>
      </c>
      <c r="J186" s="399" t="str">
        <f t="array" ref="J186">IFERROR(INDEX(IM!$AM$2:$AM$5000, MATCH(1, (IM!$F$2:$F$5000=A186) * (ISNUMBER(SEARCH(勤務統計!$C$1, IM!$AC$2:$AC$5000))), 0)), "")</f>
        <v/>
      </c>
      <c r="K186" s="400">
        <f t="array" ref="K186">SUMPRODUCT((IM!$F$2:$F$5000=A186)*(IM!$AD$2:$AD$5000="O")*(ISNUMBER(SEARCH(勤務統計!$C$1, IM!$AC$2:$AC$5000))))</f>
        <v>0</v>
      </c>
      <c r="L186" s="401" t="str">
        <f t="array" ref="L186">IF(K186&gt;0,IFERROR(HYPERLINK("#'IM'!AC"&amp;MATCH(1,(IM!$F$1:$F$5000=A186)*(ISNUMBER(SEARCH(勤務統計!$C$1,IM!$AC$1:$AC$5000))),0),"檢核"),"未登錄"),"")</f>
        <v/>
      </c>
      <c r="M186" s="402" t="str">
        <f t="shared" si="2"/>
        <v>+L90</v>
      </c>
      <c r="N186" s="402" t="str">
        <f t="array" ref="N186">IF(AND(
    SUMPRODUCT(
        (IM!$F$2:$F$522=A186) *
        ISNUMBER(SEARCH("*HUB*", IM!$AC$2:$AC$522)) *
        (IM!$X$2:$X$522&gt;=勤務統計!$A$1) *
        (IM!$X$2:$X$522&lt;=勤務統計!$B$1)*(W186="HUB")
    ) &gt; 0
), "HUB", "")</f>
        <v/>
      </c>
      <c r="O186" s="400" t="str">
        <f>IF(
  IFERROR(VLOOKUP(A186,勤務統計!A:I,9,FALSE),"")&lt;&gt;勤務統計!$C$1,
  "未完工",
  IF(
    AND(勤務統計!$D$1="--",勤務統計!$E$1="--",勤務統計!$F$1="--"),
    "已完工",
    IF(
      OR(
        AND(勤務統計!$D$1&lt;&gt;"--", IFERROR(VLOOKUP(A186,'0919門市清單主檔'!B:AH,31,FALSE),"")=勤務統計!$D$1, IFERROR(VLOOKUP(A186,勤務統計!A:Q,17,FALSE),"")&lt;&gt;勤務統計!$D$1),
        AND(勤務統計!$E$1&lt;&gt;"--", IFERROR(VLOOKUP(A186,'0919門市清單主檔'!B:AH,32,FALSE),"")=勤務統計!$E$1, IFERROR(VLOOKUP(A186,勤務統計!A:S,19,FALSE),"")&lt;&gt;勤務統計!$E$1),
        AND(勤務統計!$F$1&lt;&gt;"--", IFERROR(VLOOKUP(A186,'0919門市清單主檔'!B:AH,33,FALSE),"")=勤務統計!$F$1, IFERROR(VLOOKUP(A186,勤務統計!A:U,21,FALSE),"")&lt;&gt;勤務統計!$F$1),
        AND(IFERROR(VLOOKUP(A186,'0919門市清單主檔'!B:AH,28,FALSE),"")="HUB", IFERROR(VLOOKUP(A186,勤務統計!A:W,23,FALSE),"")&lt;&gt;"HUB")
      ),
      _xlfn.TEXTJOIN(
        "，",
        TRUE,
        IF(AND(勤務統計!$D$1&lt;&gt;"--", IFERROR(VLOOKUP(A186,'0919門市清單主檔'!B:AH,31,FALSE),"")=勤務統計!$D$1, IFERROR(VLOOKUP(A186,勤務統計!A:Q,17,FALSE),"")&lt;&gt;勤務統計!$D$1), 勤務統計!$D$1, ""),
        IF(AND(勤務統計!$E$1&lt;&gt;"--", IFERROR(VLOOKUP(A186,'0919門市清單主檔'!B:AH,32,FALSE),"")=勤務統計!$E$1, IFERROR(VLOOKUP(A186,勤務統計!A:S,19,FALSE),"")&lt;&gt;勤務統計!$E$1), 勤務統計!$E$1, ""),
        IF(AND(勤務統計!$F$1&lt;&gt;"--", IFERROR(VLOOKUP(A186,'0919門市清單主檔'!B:AH,33,FALSE),"")=勤務統計!$F$1, IFERROR(VLOOKUP(A186,勤務統計!A:U,21,FALSE),"")&lt;&gt;勤務統計!$F$1), 勤務統計!$F$1, ""),
        IF(AND(IFERROR(VLOOKUP(A186,'0919門市清單主檔'!B:AH,28,FALSE),"")="HUB", IFERROR(VLOOKUP(A186,勤務統計!A:W,23,FALSE),"")&lt;&gt;"HUB"), "HUB", "")
      ) &amp; "未完工",
      "已完工"
    )
  )
)</f>
        <v>未完工</v>
      </c>
      <c r="P186" s="403" t="str">
        <f>(TEXT(I186,"yyyymmdd"))&amp;勤務統計!$V$2&amp;A186&amp;勤務統計!$V$2&amp;B186&amp;勤務統計!$S$2</f>
        <v>-4845-石門海角店(定保)</v>
      </c>
      <c r="Q186" s="420" t="str">
        <f t="array" ref="Q186">IF(AND(SUMPRODUCT((IM!$F$2:$F$5000=A186)*(ISNUMBER(SEARCH(勤務統計!$D$1, IM!$AC$2:$AC$5000))))&gt;0), 勤務統計!$D$1, "")</f>
        <v/>
      </c>
      <c r="R186" s="421" t="str">
        <f t="array" ref="R186">IFERROR(INDEX(IM!$AM$2:$AM$5000, MATCH(1, (IM!$F$2:$F$5000=A186) * (ISNUMBER(SEARCH(勤務統計!$D$1, IM!$AC$2:$AC$5000))), 0)), "")</f>
        <v/>
      </c>
      <c r="S186" s="406" t="str" cm="1">
        <f t="array" ref="S186">IF(AND(SUMPRODUCT((IM!$F$2:$F$5000=A186)*(ISNUMBER(SEARCH(勤務統計!$E$1, IM!$AC$2:$AC$5000))))&gt;0), 勤務統計!$E$1, "")</f>
        <v>+L90</v>
      </c>
      <c r="T186" s="422">
        <f t="array" ref="T186">IFERROR(INDEX(IM!$AM$2:$AM$5000, MATCH(1, (IM!$F$2:$F$5000=A186) * (ISNUMBER(SEARCH(勤務統計!$E$1, IM!$AC$2:$AC$5000))), 0)), "")</f>
        <v>45987</v>
      </c>
      <c r="U186" s="406" t="str" cm="1">
        <f t="array" ref="U186">IF(AND(SUMPRODUCT((IM!$F$2:$F$5000=A186)*(ISNUMBER(SEARCH(勤務統計!$F$1, IM!$AC$2:$AC$5000))))&gt;0), 勤務統計!$F$1, "")</f>
        <v/>
      </c>
      <c r="V186" s="413" t="str">
        <f t="array" ref="V186">IFERROR(INDEX(IM!$AM$2:$AM$5000, MATCH(1, (IM!$F$2:$F$5000=A186) * (ISNUMBER(SEARCH(勤務統計!$F$1, IM!$AC$2:$AC$5000))), 0)), "")</f>
        <v/>
      </c>
      <c r="W186" s="414" t="str">
        <f>IF(VLOOKUP(A186,'0919門市清單主檔'!B:AC,28,FALSE)=0,"",VLOOKUP(A186,'0919門市清單主檔'!B:AC,28,FALSE))</f>
        <v/>
      </c>
    </row>
    <row r="187" spans="1:23" ht="21.6" customHeight="1">
      <c r="A187" s="423">
        <v>2267</v>
      </c>
      <c r="B187" s="416" t="str">
        <f>VLOOKUP(A187,'0919門市清單主檔'!B:C,2,FALSE)</f>
        <v>北縣金陽店</v>
      </c>
      <c r="C187" s="415" t="str">
        <f>VLOOKUP($A187,'0919門市清單主檔'!B:V,20,FALSE)</f>
        <v>新北市</v>
      </c>
      <c r="D187" s="410" t="str">
        <f>VLOOKUP($A187,'0919門市清單主檔'!B:V,21,FALSE)</f>
        <v>金山區</v>
      </c>
      <c r="E187" s="397" t="str">
        <f>VLOOKUP(D187,門市狀態!G:H,2,FALSE)</f>
        <v>吳宗鴻</v>
      </c>
      <c r="F187" s="410" t="str">
        <f>IFERROR(IF(VLOOKUP(A187,門市狀態!A:D,4,FALSE)=0,"",VLOOKUP(A187,門市狀態!A:D,4,FALSE)),"")</f>
        <v/>
      </c>
      <c r="G187" s="424"/>
      <c r="H187" s="425" t="str">
        <f>IF(I187&gt;0,(TEXT(I187,"yyyymmdd")&amp;勤務統計!$V$2&amp;A187&amp;勤務統計!$V$2&amp;B187&amp;勤務統計!$S$2),"")</f>
        <v>-2267-北縣金陽店(定保)</v>
      </c>
      <c r="I187" s="247" t="str">
        <f t="array" ref="I187">IF(AND(SUMPRODUCT((IM!$F$2:$F$5000=A187)*(ISNUMBER(SEARCH(勤務統計!$C$1, IM!$AC$2:$AC$5000))))&gt;0), 勤務統計!$C$1, "")</f>
        <v/>
      </c>
      <c r="J187" s="399" t="str">
        <f t="array" ref="J187">IFERROR(INDEX(IM!$AM$2:$AM$5000, MATCH(1, (IM!$F$2:$F$5000=A187) * (ISNUMBER(SEARCH(勤務統計!$C$1, IM!$AC$2:$AC$5000))), 0)), "")</f>
        <v/>
      </c>
      <c r="K187" s="400">
        <f t="array" ref="K187">SUMPRODUCT((IM!$F$2:$F$5000=A187)*(IM!$AD$2:$AD$5000="O")*(ISNUMBER(SEARCH(勤務統計!$C$1, IM!$AC$2:$AC$5000))))</f>
        <v>0</v>
      </c>
      <c r="L187" s="401" t="str">
        <f t="array" ref="L187">IF(K187&gt;0,IFERROR(HYPERLINK("#'IM'!AC"&amp;MATCH(1,(IM!$F$1:$F$5000=A187)*(ISNUMBER(SEARCH(勤務統計!$C$1,IM!$AC$1:$AC$5000))),0),"檢核"),"未登錄"),"")</f>
        <v/>
      </c>
      <c r="M187" s="402" t="str">
        <f t="shared" si="2"/>
        <v>+L90</v>
      </c>
      <c r="N187" s="402" t="str">
        <f t="array" ref="N187">IF(AND(
    SUMPRODUCT(
        (IM!$F$2:$F$522=A187) *
        ISNUMBER(SEARCH("*HUB*", IM!$AC$2:$AC$522)) *
        (IM!$X$2:$X$522&gt;=勤務統計!$A$1) *
        (IM!$X$2:$X$522&lt;=勤務統計!$B$1)*(W187="HUB")
    ) &gt; 0
), "HUB", "")</f>
        <v/>
      </c>
      <c r="O187" s="400" t="str">
        <f>IF(
  IFERROR(VLOOKUP(A187,勤務統計!A:I,9,FALSE),"")&lt;&gt;勤務統計!$C$1,
  "未完工",
  IF(
    AND(勤務統計!$D$1="--",勤務統計!$E$1="--",勤務統計!$F$1="--"),
    "已完工",
    IF(
      OR(
        AND(勤務統計!$D$1&lt;&gt;"--", IFERROR(VLOOKUP(A187,'0919門市清單主檔'!B:AH,31,FALSE),"")=勤務統計!$D$1, IFERROR(VLOOKUP(A187,勤務統計!A:Q,17,FALSE),"")&lt;&gt;勤務統計!$D$1),
        AND(勤務統計!$E$1&lt;&gt;"--", IFERROR(VLOOKUP(A187,'0919門市清單主檔'!B:AH,32,FALSE),"")=勤務統計!$E$1, IFERROR(VLOOKUP(A187,勤務統計!A:S,19,FALSE),"")&lt;&gt;勤務統計!$E$1),
        AND(勤務統計!$F$1&lt;&gt;"--", IFERROR(VLOOKUP(A187,'0919門市清單主檔'!B:AH,33,FALSE),"")=勤務統計!$F$1, IFERROR(VLOOKUP(A187,勤務統計!A:U,21,FALSE),"")&lt;&gt;勤務統計!$F$1),
        AND(IFERROR(VLOOKUP(A187,'0919門市清單主檔'!B:AH,28,FALSE),"")="HUB", IFERROR(VLOOKUP(A187,勤務統計!A:W,23,FALSE),"")&lt;&gt;"HUB")
      ),
      _xlfn.TEXTJOIN(
        "，",
        TRUE,
        IF(AND(勤務統計!$D$1&lt;&gt;"--", IFERROR(VLOOKUP(A187,'0919門市清單主檔'!B:AH,31,FALSE),"")=勤務統計!$D$1, IFERROR(VLOOKUP(A187,勤務統計!A:Q,17,FALSE),"")&lt;&gt;勤務統計!$D$1), 勤務統計!$D$1, ""),
        IF(AND(勤務統計!$E$1&lt;&gt;"--", IFERROR(VLOOKUP(A187,'0919門市清單主檔'!B:AH,32,FALSE),"")=勤務統計!$E$1, IFERROR(VLOOKUP(A187,勤務統計!A:S,19,FALSE),"")&lt;&gt;勤務統計!$E$1), 勤務統計!$E$1, ""),
        IF(AND(勤務統計!$F$1&lt;&gt;"--", IFERROR(VLOOKUP(A187,'0919門市清單主檔'!B:AH,33,FALSE),"")=勤務統計!$F$1, IFERROR(VLOOKUP(A187,勤務統計!A:U,21,FALSE),"")&lt;&gt;勤務統計!$F$1), 勤務統計!$F$1, ""),
        IF(AND(IFERROR(VLOOKUP(A187,'0919門市清單主檔'!B:AH,28,FALSE),"")="HUB", IFERROR(VLOOKUP(A187,勤務統計!A:W,23,FALSE),"")&lt;&gt;"HUB"), "HUB", "")
      ) &amp; "未完工",
      "已完工"
    )
  )
)</f>
        <v>未完工</v>
      </c>
      <c r="P187" s="403" t="str">
        <f>(TEXT(I187,"yyyymmdd"))&amp;勤務統計!$V$2&amp;A187&amp;勤務統計!$V$2&amp;B187&amp;勤務統計!$S$2</f>
        <v>-2267-北縣金陽店(定保)</v>
      </c>
      <c r="Q187" s="420" t="str">
        <f t="array" ref="Q187">IF(AND(SUMPRODUCT((IM!$F$2:$F$5000=A187)*(ISNUMBER(SEARCH(勤務統計!$D$1, IM!$AC$2:$AC$5000))))&gt;0), 勤務統計!$D$1, "")</f>
        <v/>
      </c>
      <c r="R187" s="421" t="str">
        <f t="array" ref="R187">IFERROR(INDEX(IM!$AM$2:$AM$5000, MATCH(1, (IM!$F$2:$F$5000=A187) * (ISNUMBER(SEARCH(勤務統計!$D$1, IM!$AC$2:$AC$5000))), 0)), "")</f>
        <v/>
      </c>
      <c r="S187" s="406" t="str" cm="1">
        <f t="array" ref="S187">IF(AND(SUMPRODUCT((IM!$F$2:$F$5000=A187)*(ISNUMBER(SEARCH(勤務統計!$E$1, IM!$AC$2:$AC$5000))))&gt;0), 勤務統計!$E$1, "")</f>
        <v>+L90</v>
      </c>
      <c r="T187" s="422">
        <f t="array" ref="T187">IFERROR(INDEX(IM!$AM$2:$AM$5000, MATCH(1, (IM!$F$2:$F$5000=A187) * (ISNUMBER(SEARCH(勤務統計!$E$1, IM!$AC$2:$AC$5000))), 0)), "")</f>
        <v>45987</v>
      </c>
      <c r="U187" s="406" t="str" cm="1">
        <f t="array" ref="U187">IF(AND(SUMPRODUCT((IM!$F$2:$F$5000=A187)*(ISNUMBER(SEARCH(勤務統計!$F$1, IM!$AC$2:$AC$5000))))&gt;0), 勤務統計!$F$1, "")</f>
        <v/>
      </c>
      <c r="V187" s="413" t="str">
        <f t="array" ref="V187">IFERROR(INDEX(IM!$AM$2:$AM$5000, MATCH(1, (IM!$F$2:$F$5000=A187) * (ISNUMBER(SEARCH(勤務統計!$F$1, IM!$AC$2:$AC$5000))), 0)), "")</f>
        <v/>
      </c>
      <c r="W187" s="414" t="str">
        <f>IF(VLOOKUP(A187,'0919門市清單主檔'!B:AC,28,FALSE)=0,"",VLOOKUP(A187,'0919門市清單主檔'!B:AC,28,FALSE))</f>
        <v/>
      </c>
    </row>
    <row r="188" spans="1:23" ht="21.6" customHeight="1">
      <c r="A188" s="423">
        <v>4906</v>
      </c>
      <c r="B188" s="416" t="str">
        <f>VLOOKUP(A188,'0919門市清單主檔'!B:C,2,FALSE)</f>
        <v>金山銀山店</v>
      </c>
      <c r="C188" s="415" t="str">
        <f>VLOOKUP($A188,'0919門市清單主檔'!B:V,20,FALSE)</f>
        <v>新北市</v>
      </c>
      <c r="D188" s="410" t="str">
        <f>VLOOKUP($A188,'0919門市清單主檔'!B:V,21,FALSE)</f>
        <v>金山區</v>
      </c>
      <c r="E188" s="397" t="str">
        <f>VLOOKUP(D188,門市狀態!G:H,2,FALSE)</f>
        <v>吳宗鴻</v>
      </c>
      <c r="F188" s="410" t="str">
        <f>IFERROR(IF(VLOOKUP(A188,門市狀態!A:D,4,FALSE)=0,"",VLOOKUP(A188,門市狀態!A:D,4,FALSE)),"")</f>
        <v/>
      </c>
      <c r="G188" s="424"/>
      <c r="H188" s="425" t="str">
        <f>IF(I188&gt;0,(TEXT(I188,"yyyymmdd")&amp;勤務統計!$V$2&amp;A188&amp;勤務統計!$V$2&amp;B188&amp;勤務統計!$S$2),"")</f>
        <v>-4906-金山銀山店(定保)</v>
      </c>
      <c r="I188" s="247" t="str">
        <f t="array" ref="I188">IF(AND(SUMPRODUCT((IM!$F$2:$F$5000=A188)*(ISNUMBER(SEARCH(勤務統計!$C$1, IM!$AC$2:$AC$5000))))&gt;0), 勤務統計!$C$1, "")</f>
        <v/>
      </c>
      <c r="J188" s="399" t="str">
        <f t="array" ref="J188">IFERROR(INDEX(IM!$AM$2:$AM$5000, MATCH(1, (IM!$F$2:$F$5000=A188) * (ISNUMBER(SEARCH(勤務統計!$C$1, IM!$AC$2:$AC$5000))), 0)), "")</f>
        <v/>
      </c>
      <c r="K188" s="400">
        <f t="array" ref="K188">SUMPRODUCT((IM!$F$2:$F$5000=A188)*(IM!$AD$2:$AD$5000="O")*(ISNUMBER(SEARCH(勤務統計!$C$1, IM!$AC$2:$AC$5000))))</f>
        <v>0</v>
      </c>
      <c r="L188" s="401" t="str">
        <f t="array" ref="L188">IF(K188&gt;0,IFERROR(HYPERLINK("#'IM'!AC"&amp;MATCH(1,(IM!$F$1:$F$5000=A188)*(ISNUMBER(SEARCH(勤務統計!$C$1,IM!$AC$1:$AC$5000))),0),"檢核"),"未登錄"),"")</f>
        <v/>
      </c>
      <c r="M188" s="402" t="str">
        <f t="shared" si="2"/>
        <v>+L90</v>
      </c>
      <c r="N188" s="402" t="str">
        <f t="array" ref="N188">IF(AND(
    SUMPRODUCT(
        (IM!$F$2:$F$522=A188) *
        ISNUMBER(SEARCH("*HUB*", IM!$AC$2:$AC$522)) *
        (IM!$X$2:$X$522&gt;=勤務統計!$A$1) *
        (IM!$X$2:$X$522&lt;=勤務統計!$B$1)*(W188="HUB")
    ) &gt; 0
), "HUB", "")</f>
        <v/>
      </c>
      <c r="O188" s="400" t="str">
        <f>IF(
  IFERROR(VLOOKUP(A188,勤務統計!A:I,9,FALSE),"")&lt;&gt;勤務統計!$C$1,
  "未完工",
  IF(
    AND(勤務統計!$D$1="--",勤務統計!$E$1="--",勤務統計!$F$1="--"),
    "已完工",
    IF(
      OR(
        AND(勤務統計!$D$1&lt;&gt;"--", IFERROR(VLOOKUP(A188,'0919門市清單主檔'!B:AH,31,FALSE),"")=勤務統計!$D$1, IFERROR(VLOOKUP(A188,勤務統計!A:Q,17,FALSE),"")&lt;&gt;勤務統計!$D$1),
        AND(勤務統計!$E$1&lt;&gt;"--", IFERROR(VLOOKUP(A188,'0919門市清單主檔'!B:AH,32,FALSE),"")=勤務統計!$E$1, IFERROR(VLOOKUP(A188,勤務統計!A:S,19,FALSE),"")&lt;&gt;勤務統計!$E$1),
        AND(勤務統計!$F$1&lt;&gt;"--", IFERROR(VLOOKUP(A188,'0919門市清單主檔'!B:AH,33,FALSE),"")=勤務統計!$F$1, IFERROR(VLOOKUP(A188,勤務統計!A:U,21,FALSE),"")&lt;&gt;勤務統計!$F$1),
        AND(IFERROR(VLOOKUP(A188,'0919門市清單主檔'!B:AH,28,FALSE),"")="HUB", IFERROR(VLOOKUP(A188,勤務統計!A:W,23,FALSE),"")&lt;&gt;"HUB")
      ),
      _xlfn.TEXTJOIN(
        "，",
        TRUE,
        IF(AND(勤務統計!$D$1&lt;&gt;"--", IFERROR(VLOOKUP(A188,'0919門市清單主檔'!B:AH,31,FALSE),"")=勤務統計!$D$1, IFERROR(VLOOKUP(A188,勤務統計!A:Q,17,FALSE),"")&lt;&gt;勤務統計!$D$1), 勤務統計!$D$1, ""),
        IF(AND(勤務統計!$E$1&lt;&gt;"--", IFERROR(VLOOKUP(A188,'0919門市清單主檔'!B:AH,32,FALSE),"")=勤務統計!$E$1, IFERROR(VLOOKUP(A188,勤務統計!A:S,19,FALSE),"")&lt;&gt;勤務統計!$E$1), 勤務統計!$E$1, ""),
        IF(AND(勤務統計!$F$1&lt;&gt;"--", IFERROR(VLOOKUP(A188,'0919門市清單主檔'!B:AH,33,FALSE),"")=勤務統計!$F$1, IFERROR(VLOOKUP(A188,勤務統計!A:U,21,FALSE),"")&lt;&gt;勤務統計!$F$1), 勤務統計!$F$1, ""),
        IF(AND(IFERROR(VLOOKUP(A188,'0919門市清單主檔'!B:AH,28,FALSE),"")="HUB", IFERROR(VLOOKUP(A188,勤務統計!A:W,23,FALSE),"")&lt;&gt;"HUB"), "HUB", "")
      ) &amp; "未完工",
      "已完工"
    )
  )
)</f>
        <v>未完工</v>
      </c>
      <c r="P188" s="403" t="str">
        <f>(TEXT(I188,"yyyymmdd"))&amp;勤務統計!$V$2&amp;A188&amp;勤務統計!$V$2&amp;B188&amp;勤務統計!$S$2</f>
        <v>-4906-金山銀山店(定保)</v>
      </c>
      <c r="Q188" s="420" t="str">
        <f t="array" ref="Q188">IF(AND(SUMPRODUCT((IM!$F$2:$F$5000=A188)*(ISNUMBER(SEARCH(勤務統計!$D$1, IM!$AC$2:$AC$5000))))&gt;0), 勤務統計!$D$1, "")</f>
        <v/>
      </c>
      <c r="R188" s="421" t="str">
        <f t="array" ref="R188">IFERROR(INDEX(IM!$AM$2:$AM$5000, MATCH(1, (IM!$F$2:$F$5000=A188) * (ISNUMBER(SEARCH(勤務統計!$D$1, IM!$AC$2:$AC$5000))), 0)), "")</f>
        <v/>
      </c>
      <c r="S188" s="406" t="str" cm="1">
        <f t="array" ref="S188">IF(AND(SUMPRODUCT((IM!$F$2:$F$5000=A188)*(ISNUMBER(SEARCH(勤務統計!$E$1, IM!$AC$2:$AC$5000))))&gt;0), 勤務統計!$E$1, "")</f>
        <v>+L90</v>
      </c>
      <c r="T188" s="422">
        <f t="array" ref="T188">IFERROR(INDEX(IM!$AM$2:$AM$5000, MATCH(1, (IM!$F$2:$F$5000=A188) * (ISNUMBER(SEARCH(勤務統計!$E$1, IM!$AC$2:$AC$5000))), 0)), "")</f>
        <v>45987</v>
      </c>
      <c r="U188" s="406" t="str" cm="1">
        <f t="array" ref="U188">IF(AND(SUMPRODUCT((IM!$F$2:$F$5000=A188)*(ISNUMBER(SEARCH(勤務統計!$F$1, IM!$AC$2:$AC$5000))))&gt;0), 勤務統計!$F$1, "")</f>
        <v/>
      </c>
      <c r="V188" s="413" t="str">
        <f t="array" ref="V188">IFERROR(INDEX(IM!$AM$2:$AM$5000, MATCH(1, (IM!$F$2:$F$5000=A188) * (ISNUMBER(SEARCH(勤務統計!$F$1, IM!$AC$2:$AC$5000))), 0)), "")</f>
        <v/>
      </c>
      <c r="W188" s="414" t="str">
        <f>IF(VLOOKUP(A188,'0919門市清單主檔'!B:AC,28,FALSE)=0,"",VLOOKUP(A188,'0919門市清單主檔'!B:AC,28,FALSE))</f>
        <v/>
      </c>
    </row>
    <row r="189" spans="1:23" ht="21.6" customHeight="1">
      <c r="A189" s="423">
        <v>2318</v>
      </c>
      <c r="B189" s="416" t="str">
        <f>VLOOKUP(A189,'0919門市清單主檔'!B:C,2,FALSE)</f>
        <v>北縣淡俊店</v>
      </c>
      <c r="C189" s="415" t="str">
        <f>VLOOKUP($A189,'0919門市清單主檔'!B:V,20,FALSE)</f>
        <v>新北市</v>
      </c>
      <c r="D189" s="410" t="str">
        <f>VLOOKUP($A189,'0919門市清單主檔'!B:V,21,FALSE)</f>
        <v>淡水區</v>
      </c>
      <c r="E189" s="397" t="str">
        <f>VLOOKUP(D189,門市狀態!G:H,2,FALSE)</f>
        <v>吳宗鴻</v>
      </c>
      <c r="F189" s="410" t="str">
        <f>IFERROR(IF(VLOOKUP(A189,門市狀態!A:D,4,FALSE)=0,"",VLOOKUP(A189,門市狀態!A:D,4,FALSE)),"")</f>
        <v/>
      </c>
      <c r="G189" s="424"/>
      <c r="H189" s="425" t="str">
        <f>IF(I189&gt;0,(TEXT(I189,"yyyymmdd")&amp;勤務統計!$V$2&amp;A189&amp;勤務統計!$V$2&amp;B189&amp;勤務統計!$S$2),"")</f>
        <v>-2318-北縣淡俊店(定保)</v>
      </c>
      <c r="I189" s="247" t="str">
        <f t="array" ref="I189">IF(AND(SUMPRODUCT((IM!$F$2:$F$5000=A189)*(ISNUMBER(SEARCH(勤務統計!$C$1, IM!$AC$2:$AC$5000))))&gt;0), 勤務統計!$C$1, "")</f>
        <v/>
      </c>
      <c r="J189" s="399" t="str">
        <f t="array" ref="J189">IFERROR(INDEX(IM!$AM$2:$AM$5000, MATCH(1, (IM!$F$2:$F$5000=A189) * (ISNUMBER(SEARCH(勤務統計!$C$1, IM!$AC$2:$AC$5000))), 0)), "")</f>
        <v/>
      </c>
      <c r="K189" s="400">
        <f t="array" ref="K189">SUMPRODUCT((IM!$F$2:$F$5000=A189)*(IM!$AD$2:$AD$5000="O")*(ISNUMBER(SEARCH(勤務統計!$C$1, IM!$AC$2:$AC$5000))))</f>
        <v>0</v>
      </c>
      <c r="L189" s="401" t="str">
        <f t="array" ref="L189">IF(K189&gt;0,IFERROR(HYPERLINK("#'IM'!AC"&amp;MATCH(1,(IM!$F$1:$F$5000=A189)*(ISNUMBER(SEARCH(勤務統計!$C$1,IM!$AC$1:$AC$5000))),0),"檢核"),"未登錄"),"")</f>
        <v/>
      </c>
      <c r="M189" s="402" t="str">
        <f t="shared" si="2"/>
        <v>+L90</v>
      </c>
      <c r="N189" s="402" t="str">
        <f t="array" ref="N189">IF(AND(
    SUMPRODUCT(
        (IM!$F$2:$F$522=A189) *
        ISNUMBER(SEARCH("*HUB*", IM!$AC$2:$AC$522)) *
        (IM!$X$2:$X$522&gt;=勤務統計!$A$1) *
        (IM!$X$2:$X$522&lt;=勤務統計!$B$1)*(W189="HUB")
    ) &gt; 0
), "HUB", "")</f>
        <v/>
      </c>
      <c r="O189" s="400" t="str">
        <f>IF(
  IFERROR(VLOOKUP(A189,勤務統計!A:I,9,FALSE),"")&lt;&gt;勤務統計!$C$1,
  "未完工",
  IF(
    AND(勤務統計!$D$1="--",勤務統計!$E$1="--",勤務統計!$F$1="--"),
    "已完工",
    IF(
      OR(
        AND(勤務統計!$D$1&lt;&gt;"--", IFERROR(VLOOKUP(A189,'0919門市清單主檔'!B:AH,31,FALSE),"")=勤務統計!$D$1, IFERROR(VLOOKUP(A189,勤務統計!A:Q,17,FALSE),"")&lt;&gt;勤務統計!$D$1),
        AND(勤務統計!$E$1&lt;&gt;"--", IFERROR(VLOOKUP(A189,'0919門市清單主檔'!B:AH,32,FALSE),"")=勤務統計!$E$1, IFERROR(VLOOKUP(A189,勤務統計!A:S,19,FALSE),"")&lt;&gt;勤務統計!$E$1),
        AND(勤務統計!$F$1&lt;&gt;"--", IFERROR(VLOOKUP(A189,'0919門市清單主檔'!B:AH,33,FALSE),"")=勤務統計!$F$1, IFERROR(VLOOKUP(A189,勤務統計!A:U,21,FALSE),"")&lt;&gt;勤務統計!$F$1),
        AND(IFERROR(VLOOKUP(A189,'0919門市清單主檔'!B:AH,28,FALSE),"")="HUB", IFERROR(VLOOKUP(A189,勤務統計!A:W,23,FALSE),"")&lt;&gt;"HUB")
      ),
      _xlfn.TEXTJOIN(
        "，",
        TRUE,
        IF(AND(勤務統計!$D$1&lt;&gt;"--", IFERROR(VLOOKUP(A189,'0919門市清單主檔'!B:AH,31,FALSE),"")=勤務統計!$D$1, IFERROR(VLOOKUP(A189,勤務統計!A:Q,17,FALSE),"")&lt;&gt;勤務統計!$D$1), 勤務統計!$D$1, ""),
        IF(AND(勤務統計!$E$1&lt;&gt;"--", IFERROR(VLOOKUP(A189,'0919門市清單主檔'!B:AH,32,FALSE),"")=勤務統計!$E$1, IFERROR(VLOOKUP(A189,勤務統計!A:S,19,FALSE),"")&lt;&gt;勤務統計!$E$1), 勤務統計!$E$1, ""),
        IF(AND(勤務統計!$F$1&lt;&gt;"--", IFERROR(VLOOKUP(A189,'0919門市清單主檔'!B:AH,33,FALSE),"")=勤務統計!$F$1, IFERROR(VLOOKUP(A189,勤務統計!A:U,21,FALSE),"")&lt;&gt;勤務統計!$F$1), 勤務統計!$F$1, ""),
        IF(AND(IFERROR(VLOOKUP(A189,'0919門市清單主檔'!B:AH,28,FALSE),"")="HUB", IFERROR(VLOOKUP(A189,勤務統計!A:W,23,FALSE),"")&lt;&gt;"HUB"), "HUB", "")
      ) &amp; "未完工",
      "已完工"
    )
  )
)</f>
        <v>未完工</v>
      </c>
      <c r="P189" s="403" t="str">
        <f>(TEXT(I189,"yyyymmdd"))&amp;勤務統計!$V$2&amp;A189&amp;勤務統計!$V$2&amp;B189&amp;勤務統計!$S$2</f>
        <v>-2318-北縣淡俊店(定保)</v>
      </c>
      <c r="Q189" s="420" t="str">
        <f t="array" ref="Q189">IF(AND(SUMPRODUCT((IM!$F$2:$F$5000=A189)*(ISNUMBER(SEARCH(勤務統計!$D$1, IM!$AC$2:$AC$5000))))&gt;0), 勤務統計!$D$1, "")</f>
        <v/>
      </c>
      <c r="R189" s="421" t="str">
        <f t="array" ref="R189">IFERROR(INDEX(IM!$AM$2:$AM$5000, MATCH(1, (IM!$F$2:$F$5000=A189) * (ISNUMBER(SEARCH(勤務統計!$D$1, IM!$AC$2:$AC$5000))), 0)), "")</f>
        <v/>
      </c>
      <c r="S189" s="406" t="str" cm="1">
        <f t="array" ref="S189">IF(AND(SUMPRODUCT((IM!$F$2:$F$5000=A189)*(ISNUMBER(SEARCH(勤務統計!$E$1, IM!$AC$2:$AC$5000))))&gt;0), 勤務統計!$E$1, "")</f>
        <v>+L90</v>
      </c>
      <c r="T189" s="422">
        <f t="array" ref="T189">IFERROR(INDEX(IM!$AM$2:$AM$5000, MATCH(1, (IM!$F$2:$F$5000=A189) * (ISNUMBER(SEARCH(勤務統計!$E$1, IM!$AC$2:$AC$5000))), 0)), "")</f>
        <v>45988</v>
      </c>
      <c r="U189" s="406" t="str" cm="1">
        <f t="array" ref="U189">IF(AND(SUMPRODUCT((IM!$F$2:$F$5000=A189)*(ISNUMBER(SEARCH(勤務統計!$F$1, IM!$AC$2:$AC$5000))))&gt;0), 勤務統計!$F$1, "")</f>
        <v/>
      </c>
      <c r="V189" s="413" t="str">
        <f t="array" ref="V189">IFERROR(INDEX(IM!$AM$2:$AM$5000, MATCH(1, (IM!$F$2:$F$5000=A189) * (ISNUMBER(SEARCH(勤務統計!$F$1, IM!$AC$2:$AC$5000))), 0)), "")</f>
        <v/>
      </c>
      <c r="W189" s="414" t="str">
        <f>IF(VLOOKUP(A189,'0919門市清單主檔'!B:AC,28,FALSE)=0,"",VLOOKUP(A189,'0919門市清單主檔'!B:AC,28,FALSE))</f>
        <v/>
      </c>
    </row>
    <row r="190" spans="1:23" ht="21.6" customHeight="1">
      <c r="A190" s="423">
        <v>2897</v>
      </c>
      <c r="B190" s="416" t="str">
        <f>VLOOKUP(A190,'0919門市清單主檔'!B:C,2,FALSE)</f>
        <v>淡水台電宿舍</v>
      </c>
      <c r="C190" s="415" t="str">
        <f>VLOOKUP($A190,'0919門市清單主檔'!B:V,20,FALSE)</f>
        <v>新北市</v>
      </c>
      <c r="D190" s="410" t="str">
        <f>VLOOKUP($A190,'0919門市清單主檔'!B:V,21,FALSE)</f>
        <v>淡水區</v>
      </c>
      <c r="E190" s="397" t="str">
        <f>VLOOKUP(D190,門市狀態!G:H,2,FALSE)</f>
        <v>吳宗鴻</v>
      </c>
      <c r="F190" s="410" t="str">
        <f>IFERROR(IF(VLOOKUP(A190,門市狀態!A:D,4,FALSE)=0,"",VLOOKUP(A190,門市狀態!A:D,4,FALSE)),"")</f>
        <v/>
      </c>
      <c r="G190" s="424"/>
      <c r="H190" s="425" t="str">
        <f>IF(I190&gt;0,(TEXT(I190,"yyyymmdd")&amp;勤務統計!$V$2&amp;A190&amp;勤務統計!$V$2&amp;B190&amp;勤務統計!$S$2),"")</f>
        <v>-2897-淡水台電宿舍(定保)</v>
      </c>
      <c r="I190" s="247" t="str">
        <f t="array" ref="I190">IF(AND(SUMPRODUCT((IM!$F$2:$F$5000=A190)*(ISNUMBER(SEARCH(勤務統計!$C$1, IM!$AC$2:$AC$5000))))&gt;0), 勤務統計!$C$1, "")</f>
        <v/>
      </c>
      <c r="J190" s="399" t="str">
        <f t="array" ref="J190">IFERROR(INDEX(IM!$AM$2:$AM$5000, MATCH(1, (IM!$F$2:$F$5000=A190) * (ISNUMBER(SEARCH(勤務統計!$C$1, IM!$AC$2:$AC$5000))), 0)), "")</f>
        <v/>
      </c>
      <c r="K190" s="400">
        <f t="array" ref="K190">SUMPRODUCT((IM!$F$2:$F$5000=A190)*(IM!$AD$2:$AD$5000="O")*(ISNUMBER(SEARCH(勤務統計!$C$1, IM!$AC$2:$AC$5000))))</f>
        <v>0</v>
      </c>
      <c r="L190" s="401" t="str">
        <f t="array" ref="L190">IF(K190&gt;0,IFERROR(HYPERLINK("#'IM'!AC"&amp;MATCH(1,(IM!$F$1:$F$5000=A190)*(ISNUMBER(SEARCH(勤務統計!$C$1,IM!$AC$1:$AC$5000))),0),"檢核"),"未登錄"),"")</f>
        <v/>
      </c>
      <c r="M190" s="402" t="str">
        <f t="shared" si="2"/>
        <v>+L90</v>
      </c>
      <c r="N190" s="402" t="str">
        <f t="array" ref="N190">IF(AND(
    SUMPRODUCT(
        (IM!$F$2:$F$522=A190) *
        ISNUMBER(SEARCH("*HUB*", IM!$AC$2:$AC$522)) *
        (IM!$X$2:$X$522&gt;=勤務統計!$A$1) *
        (IM!$X$2:$X$522&lt;=勤務統計!$B$1)*(W190="HUB")
    ) &gt; 0
), "HUB", "")</f>
        <v/>
      </c>
      <c r="O190" s="400" t="str">
        <f>IF(
  IFERROR(VLOOKUP(A190,勤務統計!A:I,9,FALSE),"")&lt;&gt;勤務統計!$C$1,
  "未完工",
  IF(
    AND(勤務統計!$D$1="--",勤務統計!$E$1="--",勤務統計!$F$1="--"),
    "已完工",
    IF(
      OR(
        AND(勤務統計!$D$1&lt;&gt;"--", IFERROR(VLOOKUP(A190,'0919門市清單主檔'!B:AH,31,FALSE),"")=勤務統計!$D$1, IFERROR(VLOOKUP(A190,勤務統計!A:Q,17,FALSE),"")&lt;&gt;勤務統計!$D$1),
        AND(勤務統計!$E$1&lt;&gt;"--", IFERROR(VLOOKUP(A190,'0919門市清單主檔'!B:AH,32,FALSE),"")=勤務統計!$E$1, IFERROR(VLOOKUP(A190,勤務統計!A:S,19,FALSE),"")&lt;&gt;勤務統計!$E$1),
        AND(勤務統計!$F$1&lt;&gt;"--", IFERROR(VLOOKUP(A190,'0919門市清單主檔'!B:AH,33,FALSE),"")=勤務統計!$F$1, IFERROR(VLOOKUP(A190,勤務統計!A:U,21,FALSE),"")&lt;&gt;勤務統計!$F$1),
        AND(IFERROR(VLOOKUP(A190,'0919門市清單主檔'!B:AH,28,FALSE),"")="HUB", IFERROR(VLOOKUP(A190,勤務統計!A:W,23,FALSE),"")&lt;&gt;"HUB")
      ),
      _xlfn.TEXTJOIN(
        "，",
        TRUE,
        IF(AND(勤務統計!$D$1&lt;&gt;"--", IFERROR(VLOOKUP(A190,'0919門市清單主檔'!B:AH,31,FALSE),"")=勤務統計!$D$1, IFERROR(VLOOKUP(A190,勤務統計!A:Q,17,FALSE),"")&lt;&gt;勤務統計!$D$1), 勤務統計!$D$1, ""),
        IF(AND(勤務統計!$E$1&lt;&gt;"--", IFERROR(VLOOKUP(A190,'0919門市清單主檔'!B:AH,32,FALSE),"")=勤務統計!$E$1, IFERROR(VLOOKUP(A190,勤務統計!A:S,19,FALSE),"")&lt;&gt;勤務統計!$E$1), 勤務統計!$E$1, ""),
        IF(AND(勤務統計!$F$1&lt;&gt;"--", IFERROR(VLOOKUP(A190,'0919門市清單主檔'!B:AH,33,FALSE),"")=勤務統計!$F$1, IFERROR(VLOOKUP(A190,勤務統計!A:U,21,FALSE),"")&lt;&gt;勤務統計!$F$1), 勤務統計!$F$1, ""),
        IF(AND(IFERROR(VLOOKUP(A190,'0919門市清單主檔'!B:AH,28,FALSE),"")="HUB", IFERROR(VLOOKUP(A190,勤務統計!A:W,23,FALSE),"")&lt;&gt;"HUB"), "HUB", "")
      ) &amp; "未完工",
      "已完工"
    )
  )
)</f>
        <v>未完工</v>
      </c>
      <c r="P190" s="403" t="str">
        <f>(TEXT(I190,"yyyymmdd"))&amp;勤務統計!$V$2&amp;A190&amp;勤務統計!$V$2&amp;B190&amp;勤務統計!$S$2</f>
        <v>-2897-淡水台電宿舍(定保)</v>
      </c>
      <c r="Q190" s="420" t="str">
        <f t="array" ref="Q190">IF(AND(SUMPRODUCT((IM!$F$2:$F$5000=A190)*(ISNUMBER(SEARCH(勤務統計!$D$1, IM!$AC$2:$AC$5000))))&gt;0), 勤務統計!$D$1, "")</f>
        <v/>
      </c>
      <c r="R190" s="421" t="str">
        <f t="array" ref="R190">IFERROR(INDEX(IM!$AM$2:$AM$5000, MATCH(1, (IM!$F$2:$F$5000=A190) * (ISNUMBER(SEARCH(勤務統計!$D$1, IM!$AC$2:$AC$5000))), 0)), "")</f>
        <v/>
      </c>
      <c r="S190" s="406" t="str" cm="1">
        <f t="array" ref="S190">IF(AND(SUMPRODUCT((IM!$F$2:$F$5000=A190)*(ISNUMBER(SEARCH(勤務統計!$E$1, IM!$AC$2:$AC$5000))))&gt;0), 勤務統計!$E$1, "")</f>
        <v>+L90</v>
      </c>
      <c r="T190" s="422">
        <f t="array" ref="T190">IFERROR(INDEX(IM!$AM$2:$AM$5000, MATCH(1, (IM!$F$2:$F$5000=A190) * (ISNUMBER(SEARCH(勤務統計!$E$1, IM!$AC$2:$AC$5000))), 0)), "")</f>
        <v>45988</v>
      </c>
      <c r="U190" s="406" t="str" cm="1">
        <f t="array" ref="U190">IF(AND(SUMPRODUCT((IM!$F$2:$F$5000=A190)*(ISNUMBER(SEARCH(勤務統計!$F$1, IM!$AC$2:$AC$5000))))&gt;0), 勤務統計!$F$1, "")</f>
        <v/>
      </c>
      <c r="V190" s="413" t="str">
        <f t="array" ref="V190">IFERROR(INDEX(IM!$AM$2:$AM$5000, MATCH(1, (IM!$F$2:$F$5000=A190) * (ISNUMBER(SEARCH(勤務統計!$F$1, IM!$AC$2:$AC$5000))), 0)), "")</f>
        <v/>
      </c>
      <c r="W190" s="414" t="str">
        <f>IF(VLOOKUP(A190,'0919門市清單主檔'!B:AC,28,FALSE)=0,"",VLOOKUP(A190,'0919門市清單主檔'!B:AC,28,FALSE))</f>
        <v/>
      </c>
    </row>
    <row r="191" spans="1:23" ht="21.6" customHeight="1">
      <c r="A191" s="423">
        <v>4025</v>
      </c>
      <c r="B191" s="416" t="str">
        <f>VLOOKUP(A191,'0919門市清單主檔'!B:C,2,FALSE)</f>
        <v>新莊祐信店</v>
      </c>
      <c r="C191" s="415" t="str">
        <f>VLOOKUP($A191,'0919門市清單主檔'!B:V,20,FALSE)</f>
        <v>新北市</v>
      </c>
      <c r="D191" s="410" t="str">
        <f>VLOOKUP($A191,'0919門市清單主檔'!B:V,21,FALSE)</f>
        <v>新莊區</v>
      </c>
      <c r="E191" s="397" t="str">
        <f>VLOOKUP(D191,門市狀態!G:H,2,FALSE)</f>
        <v>湯家瑋</v>
      </c>
      <c r="F191" s="410" t="str">
        <f>IFERROR(IF(VLOOKUP(A191,門市狀態!A:D,4,FALSE)=0,"",VLOOKUP(A191,門市狀態!A:D,4,FALSE)),"")</f>
        <v/>
      </c>
      <c r="G191" s="424"/>
      <c r="H191" s="425" t="str">
        <f>IF(I191&gt;0,(TEXT(I191,"yyyymmdd")&amp;勤務統計!$V$2&amp;A191&amp;勤務統計!$V$2&amp;B191&amp;勤務統計!$S$2),"")</f>
        <v>-4025-新莊祐信店(定保)</v>
      </c>
      <c r="I191" s="247" t="str">
        <f t="array" ref="I191">IF(AND(SUMPRODUCT((IM!$F$2:$F$5000=A191)*(ISNUMBER(SEARCH(勤務統計!$C$1, IM!$AC$2:$AC$5000))))&gt;0), 勤務統計!$C$1, "")</f>
        <v/>
      </c>
      <c r="J191" s="399" t="str">
        <f t="array" ref="J191">IFERROR(INDEX(IM!$AM$2:$AM$5000, MATCH(1, (IM!$F$2:$F$5000=A191) * (ISNUMBER(SEARCH(勤務統計!$C$1, IM!$AC$2:$AC$5000))), 0)), "")</f>
        <v/>
      </c>
      <c r="K191" s="400">
        <f t="array" ref="K191">SUMPRODUCT((IM!$F$2:$F$5000=A191)*(IM!$AD$2:$AD$5000="O")*(ISNUMBER(SEARCH(勤務統計!$C$1, IM!$AC$2:$AC$5000))))</f>
        <v>0</v>
      </c>
      <c r="L191" s="401" t="str">
        <f t="array" ref="L191">IF(K191&gt;0,IFERROR(HYPERLINK("#'IM'!AC"&amp;MATCH(1,(IM!$F$1:$F$5000=A191)*(ISNUMBER(SEARCH(勤務統計!$C$1,IM!$AC$1:$AC$5000))),0),"檢核"),"未登錄"),"")</f>
        <v/>
      </c>
      <c r="M191" s="402" t="str">
        <f t="shared" si="2"/>
        <v>+L90</v>
      </c>
      <c r="N191" s="402" t="str">
        <f t="array" ref="N191">IF(AND(
    SUMPRODUCT(
        (IM!$F$2:$F$522=A191) *
        ISNUMBER(SEARCH("*HUB*", IM!$AC$2:$AC$522)) *
        (IM!$X$2:$X$522&gt;=勤務統計!$A$1) *
        (IM!$X$2:$X$522&lt;=勤務統計!$B$1)*(W191="HUB")
    ) &gt; 0
), "HUB", "")</f>
        <v/>
      </c>
      <c r="O191" s="400" t="str">
        <f>IF(
  IFERROR(VLOOKUP(A191,勤務統計!A:I,9,FALSE),"")&lt;&gt;勤務統計!$C$1,
  "未完工",
  IF(
    AND(勤務統計!$D$1="--",勤務統計!$E$1="--",勤務統計!$F$1="--"),
    "已完工",
    IF(
      OR(
        AND(勤務統計!$D$1&lt;&gt;"--", IFERROR(VLOOKUP(A191,'0919門市清單主檔'!B:AH,31,FALSE),"")=勤務統計!$D$1, IFERROR(VLOOKUP(A191,勤務統計!A:Q,17,FALSE),"")&lt;&gt;勤務統計!$D$1),
        AND(勤務統計!$E$1&lt;&gt;"--", IFERROR(VLOOKUP(A191,'0919門市清單主檔'!B:AH,32,FALSE),"")=勤務統計!$E$1, IFERROR(VLOOKUP(A191,勤務統計!A:S,19,FALSE),"")&lt;&gt;勤務統計!$E$1),
        AND(勤務統計!$F$1&lt;&gt;"--", IFERROR(VLOOKUP(A191,'0919門市清單主檔'!B:AH,33,FALSE),"")=勤務統計!$F$1, IFERROR(VLOOKUP(A191,勤務統計!A:U,21,FALSE),"")&lt;&gt;勤務統計!$F$1),
        AND(IFERROR(VLOOKUP(A191,'0919門市清單主檔'!B:AH,28,FALSE),"")="HUB", IFERROR(VLOOKUP(A191,勤務統計!A:W,23,FALSE),"")&lt;&gt;"HUB")
      ),
      _xlfn.TEXTJOIN(
        "，",
        TRUE,
        IF(AND(勤務統計!$D$1&lt;&gt;"--", IFERROR(VLOOKUP(A191,'0919門市清單主檔'!B:AH,31,FALSE),"")=勤務統計!$D$1, IFERROR(VLOOKUP(A191,勤務統計!A:Q,17,FALSE),"")&lt;&gt;勤務統計!$D$1), 勤務統計!$D$1, ""),
        IF(AND(勤務統計!$E$1&lt;&gt;"--", IFERROR(VLOOKUP(A191,'0919門市清單主檔'!B:AH,32,FALSE),"")=勤務統計!$E$1, IFERROR(VLOOKUP(A191,勤務統計!A:S,19,FALSE),"")&lt;&gt;勤務統計!$E$1), 勤務統計!$E$1, ""),
        IF(AND(勤務統計!$F$1&lt;&gt;"--", IFERROR(VLOOKUP(A191,'0919門市清單主檔'!B:AH,33,FALSE),"")=勤務統計!$F$1, IFERROR(VLOOKUP(A191,勤務統計!A:U,21,FALSE),"")&lt;&gt;勤務統計!$F$1), 勤務統計!$F$1, ""),
        IF(AND(IFERROR(VLOOKUP(A191,'0919門市清單主檔'!B:AH,28,FALSE),"")="HUB", IFERROR(VLOOKUP(A191,勤務統計!A:W,23,FALSE),"")&lt;&gt;"HUB"), "HUB", "")
      ) &amp; "未完工",
      "已完工"
    )
  )
)</f>
        <v>未完工</v>
      </c>
      <c r="P191" s="403" t="str">
        <f>(TEXT(I191,"yyyymmdd"))&amp;勤務統計!$V$2&amp;A191&amp;勤務統計!$V$2&amp;B191&amp;勤務統計!$S$2</f>
        <v>-4025-新莊祐信店(定保)</v>
      </c>
      <c r="Q191" s="420" t="str">
        <f t="array" ref="Q191">IF(AND(SUMPRODUCT((IM!$F$2:$F$5000=A191)*(ISNUMBER(SEARCH(勤務統計!$D$1, IM!$AC$2:$AC$5000))))&gt;0), 勤務統計!$D$1, "")</f>
        <v/>
      </c>
      <c r="R191" s="421" t="str">
        <f t="array" ref="R191">IFERROR(INDEX(IM!$AM$2:$AM$5000, MATCH(1, (IM!$F$2:$F$5000=A191) * (ISNUMBER(SEARCH(勤務統計!$D$1, IM!$AC$2:$AC$5000))), 0)), "")</f>
        <v/>
      </c>
      <c r="S191" s="406" t="str" cm="1">
        <f t="array" ref="S191">IF(AND(SUMPRODUCT((IM!$F$2:$F$5000=A191)*(ISNUMBER(SEARCH(勤務統計!$E$1, IM!$AC$2:$AC$5000))))&gt;0), 勤務統計!$E$1, "")</f>
        <v>+L90</v>
      </c>
      <c r="T191" s="422">
        <f t="array" ref="T191">IFERROR(INDEX(IM!$AM$2:$AM$5000, MATCH(1, (IM!$F$2:$F$5000=A191) * (ISNUMBER(SEARCH(勤務統計!$E$1, IM!$AC$2:$AC$5000))), 0)), "")</f>
        <v>45988</v>
      </c>
      <c r="U191" s="406" t="str" cm="1">
        <f t="array" ref="U191">IF(AND(SUMPRODUCT((IM!$F$2:$F$5000=A191)*(ISNUMBER(SEARCH(勤務統計!$F$1, IM!$AC$2:$AC$5000))))&gt;0), 勤務統計!$F$1, "")</f>
        <v/>
      </c>
      <c r="V191" s="413" t="str">
        <f t="array" ref="V191">IFERROR(INDEX(IM!$AM$2:$AM$5000, MATCH(1, (IM!$F$2:$F$5000=A191) * (ISNUMBER(SEARCH(勤務統計!$F$1, IM!$AC$2:$AC$5000))), 0)), "")</f>
        <v/>
      </c>
      <c r="W191" s="414" t="str">
        <f>IF(VLOOKUP(A191,'0919門市清單主檔'!B:AC,28,FALSE)=0,"",VLOOKUP(A191,'0919門市清單主檔'!B:AC,28,FALSE))</f>
        <v/>
      </c>
    </row>
    <row r="192" spans="1:23" ht="21.6" customHeight="1">
      <c r="A192" s="423">
        <v>3796</v>
      </c>
      <c r="B192" s="416" t="str">
        <f>VLOOKUP(A192,'0919門市清單主檔'!B:C,2,FALSE)</f>
        <v>三重進安店</v>
      </c>
      <c r="C192" s="415" t="str">
        <f>VLOOKUP($A192,'0919門市清單主檔'!B:V,20,FALSE)</f>
        <v>新北市</v>
      </c>
      <c r="D192" s="410" t="str">
        <f>VLOOKUP($A192,'0919門市清單主檔'!B:V,21,FALSE)</f>
        <v>三重區</v>
      </c>
      <c r="E192" s="397" t="str">
        <f>VLOOKUP(D192,門市狀態!G:H,2,FALSE)</f>
        <v>劉柏均</v>
      </c>
      <c r="F192" s="410" t="str">
        <f>IFERROR(IF(VLOOKUP(A192,門市狀態!A:D,4,FALSE)=0,"",VLOOKUP(A192,門市狀態!A:D,4,FALSE)),"")</f>
        <v/>
      </c>
      <c r="G192" s="424"/>
      <c r="H192" s="425" t="str">
        <f>IF(I192&gt;0,(TEXT(I192,"yyyymmdd")&amp;勤務統計!$V$2&amp;A192&amp;勤務統計!$V$2&amp;B192&amp;勤務統計!$S$2),"")</f>
        <v>-3796-三重進安店(定保)</v>
      </c>
      <c r="I192" s="247" t="str">
        <f t="array" ref="I192">IF(AND(SUMPRODUCT((IM!$F$2:$F$5000=A192)*(ISNUMBER(SEARCH(勤務統計!$C$1, IM!$AC$2:$AC$5000))))&gt;0), 勤務統計!$C$1, "")</f>
        <v/>
      </c>
      <c r="J192" s="399" t="str">
        <f t="array" ref="J192">IFERROR(INDEX(IM!$AM$2:$AM$5000, MATCH(1, (IM!$F$2:$F$5000=A192) * (ISNUMBER(SEARCH(勤務統計!$C$1, IM!$AC$2:$AC$5000))), 0)), "")</f>
        <v/>
      </c>
      <c r="K192" s="400">
        <f t="array" ref="K192">SUMPRODUCT((IM!$F$2:$F$5000=A192)*(IM!$AD$2:$AD$5000="O")*(ISNUMBER(SEARCH(勤務統計!$C$1, IM!$AC$2:$AC$5000))))</f>
        <v>0</v>
      </c>
      <c r="L192" s="401" t="str">
        <f t="array" ref="L192">IF(K192&gt;0,IFERROR(HYPERLINK("#'IM'!AC"&amp;MATCH(1,(IM!$F$1:$F$5000=A192)*(ISNUMBER(SEARCH(勤務統計!$C$1,IM!$AC$1:$AC$5000))),0),"檢核"),"未登錄"),"")</f>
        <v/>
      </c>
      <c r="M192" s="402" t="str">
        <f t="shared" si="2"/>
        <v>+L90</v>
      </c>
      <c r="N192" s="402" t="str">
        <f t="array" ref="N192">IF(AND(
    SUMPRODUCT(
        (IM!$F$2:$F$522=A192) *
        ISNUMBER(SEARCH("*HUB*", IM!$AC$2:$AC$522)) *
        (IM!$X$2:$X$522&gt;=勤務統計!$A$1) *
        (IM!$X$2:$X$522&lt;=勤務統計!$B$1)*(W192="HUB")
    ) &gt; 0
), "HUB", "")</f>
        <v/>
      </c>
      <c r="O192" s="400" t="str">
        <f>IF(
  IFERROR(VLOOKUP(A192,勤務統計!A:I,9,FALSE),"")&lt;&gt;勤務統計!$C$1,
  "未完工",
  IF(
    AND(勤務統計!$D$1="--",勤務統計!$E$1="--",勤務統計!$F$1="--"),
    "已完工",
    IF(
      OR(
        AND(勤務統計!$D$1&lt;&gt;"--", IFERROR(VLOOKUP(A192,'0919門市清單主檔'!B:AH,31,FALSE),"")=勤務統計!$D$1, IFERROR(VLOOKUP(A192,勤務統計!A:Q,17,FALSE),"")&lt;&gt;勤務統計!$D$1),
        AND(勤務統計!$E$1&lt;&gt;"--", IFERROR(VLOOKUP(A192,'0919門市清單主檔'!B:AH,32,FALSE),"")=勤務統計!$E$1, IFERROR(VLOOKUP(A192,勤務統計!A:S,19,FALSE),"")&lt;&gt;勤務統計!$E$1),
        AND(勤務統計!$F$1&lt;&gt;"--", IFERROR(VLOOKUP(A192,'0919門市清單主檔'!B:AH,33,FALSE),"")=勤務統計!$F$1, IFERROR(VLOOKUP(A192,勤務統計!A:U,21,FALSE),"")&lt;&gt;勤務統計!$F$1),
        AND(IFERROR(VLOOKUP(A192,'0919門市清單主檔'!B:AH,28,FALSE),"")="HUB", IFERROR(VLOOKUP(A192,勤務統計!A:W,23,FALSE),"")&lt;&gt;"HUB")
      ),
      _xlfn.TEXTJOIN(
        "，",
        TRUE,
        IF(AND(勤務統計!$D$1&lt;&gt;"--", IFERROR(VLOOKUP(A192,'0919門市清單主檔'!B:AH,31,FALSE),"")=勤務統計!$D$1, IFERROR(VLOOKUP(A192,勤務統計!A:Q,17,FALSE),"")&lt;&gt;勤務統計!$D$1), 勤務統計!$D$1, ""),
        IF(AND(勤務統計!$E$1&lt;&gt;"--", IFERROR(VLOOKUP(A192,'0919門市清單主檔'!B:AH,32,FALSE),"")=勤務統計!$E$1, IFERROR(VLOOKUP(A192,勤務統計!A:S,19,FALSE),"")&lt;&gt;勤務統計!$E$1), 勤務統計!$E$1, ""),
        IF(AND(勤務統計!$F$1&lt;&gt;"--", IFERROR(VLOOKUP(A192,'0919門市清單主檔'!B:AH,33,FALSE),"")=勤務統計!$F$1, IFERROR(VLOOKUP(A192,勤務統計!A:U,21,FALSE),"")&lt;&gt;勤務統計!$F$1), 勤務統計!$F$1, ""),
        IF(AND(IFERROR(VLOOKUP(A192,'0919門市清單主檔'!B:AH,28,FALSE),"")="HUB", IFERROR(VLOOKUP(A192,勤務統計!A:W,23,FALSE),"")&lt;&gt;"HUB"), "HUB", "")
      ) &amp; "未完工",
      "已完工"
    )
  )
)</f>
        <v>未完工</v>
      </c>
      <c r="P192" s="403" t="str">
        <f>(TEXT(I192,"yyyymmdd"))&amp;勤務統計!$V$2&amp;A192&amp;勤務統計!$V$2&amp;B192&amp;勤務統計!$S$2</f>
        <v>-3796-三重進安店(定保)</v>
      </c>
      <c r="Q192" s="420" t="str">
        <f t="array" ref="Q192">IF(AND(SUMPRODUCT((IM!$F$2:$F$5000=A192)*(ISNUMBER(SEARCH(勤務統計!$D$1, IM!$AC$2:$AC$5000))))&gt;0), 勤務統計!$D$1, "")</f>
        <v/>
      </c>
      <c r="R192" s="421" t="str">
        <f t="array" ref="R192">IFERROR(INDEX(IM!$AM$2:$AM$5000, MATCH(1, (IM!$F$2:$F$5000=A192) * (ISNUMBER(SEARCH(勤務統計!$D$1, IM!$AC$2:$AC$5000))), 0)), "")</f>
        <v/>
      </c>
      <c r="S192" s="406" t="str" cm="1">
        <f t="array" ref="S192">IF(AND(SUMPRODUCT((IM!$F$2:$F$5000=A192)*(ISNUMBER(SEARCH(勤務統計!$E$1, IM!$AC$2:$AC$5000))))&gt;0), 勤務統計!$E$1, "")</f>
        <v>+L90</v>
      </c>
      <c r="T192" s="422">
        <f t="array" ref="T192">IFERROR(INDEX(IM!$AM$2:$AM$5000, MATCH(1, (IM!$F$2:$F$5000=A192) * (ISNUMBER(SEARCH(勤務統計!$E$1, IM!$AC$2:$AC$5000))), 0)), "")</f>
        <v>45994</v>
      </c>
      <c r="U192" s="406" t="str" cm="1">
        <f t="array" ref="U192">IF(AND(SUMPRODUCT((IM!$F$2:$F$5000=A192)*(ISNUMBER(SEARCH(勤務統計!$F$1, IM!$AC$2:$AC$5000))))&gt;0), 勤務統計!$F$1, "")</f>
        <v/>
      </c>
      <c r="V192" s="413" t="str">
        <f t="array" ref="V192">IFERROR(INDEX(IM!$AM$2:$AM$5000, MATCH(1, (IM!$F$2:$F$5000=A192) * (ISNUMBER(SEARCH(勤務統計!$F$1, IM!$AC$2:$AC$5000))), 0)), "")</f>
        <v/>
      </c>
      <c r="W192" s="414" t="str">
        <f>IF(VLOOKUP(A192,'0919門市清單主檔'!B:AC,28,FALSE)=0,"",VLOOKUP(A192,'0919門市清單主檔'!B:AC,28,FALSE))</f>
        <v/>
      </c>
    </row>
    <row r="193" spans="1:23" ht="21.6" customHeight="1">
      <c r="A193" s="423">
        <v>4083</v>
      </c>
      <c r="B193" s="416" t="str">
        <f>VLOOKUP(A193,'0919門市清單主檔'!B:C,2,FALSE)</f>
        <v>三重中央南</v>
      </c>
      <c r="C193" s="415" t="str">
        <f>VLOOKUP($A193,'0919門市清單主檔'!B:V,20,FALSE)</f>
        <v>新北市</v>
      </c>
      <c r="D193" s="410" t="str">
        <f>VLOOKUP($A193,'0919門市清單主檔'!B:V,21,FALSE)</f>
        <v>三重區</v>
      </c>
      <c r="E193" s="397" t="str">
        <f>VLOOKUP(D193,門市狀態!G:H,2,FALSE)</f>
        <v>劉柏均</v>
      </c>
      <c r="F193" s="410" t="str">
        <f>IFERROR(IF(VLOOKUP(A193,門市狀態!A:D,4,FALSE)=0,"",VLOOKUP(A193,門市狀態!A:D,4,FALSE)),"")</f>
        <v/>
      </c>
      <c r="G193" s="424"/>
      <c r="H193" s="425" t="str">
        <f>IF(I193&gt;0,(TEXT(I193,"yyyymmdd")&amp;勤務統計!$V$2&amp;A193&amp;勤務統計!$V$2&amp;B193&amp;勤務統計!$S$2),"")</f>
        <v>-4083-三重中央南(定保)</v>
      </c>
      <c r="I193" s="247" t="str">
        <f t="array" ref="I193">IF(AND(SUMPRODUCT((IM!$F$2:$F$5000=A193)*(ISNUMBER(SEARCH(勤務統計!$C$1, IM!$AC$2:$AC$5000))))&gt;0), 勤務統計!$C$1, "")</f>
        <v/>
      </c>
      <c r="J193" s="399" t="str">
        <f t="array" ref="J193">IFERROR(INDEX(IM!$AM$2:$AM$5000, MATCH(1, (IM!$F$2:$F$5000=A193) * (ISNUMBER(SEARCH(勤務統計!$C$1, IM!$AC$2:$AC$5000))), 0)), "")</f>
        <v/>
      </c>
      <c r="K193" s="400">
        <f t="array" ref="K193">SUMPRODUCT((IM!$F$2:$F$5000=A193)*(IM!$AD$2:$AD$5000="O")*(ISNUMBER(SEARCH(勤務統計!$C$1, IM!$AC$2:$AC$5000))))</f>
        <v>0</v>
      </c>
      <c r="L193" s="401" t="str">
        <f t="array" ref="L193">IF(K193&gt;0,IFERROR(HYPERLINK("#'IM'!AC"&amp;MATCH(1,(IM!$F$1:$F$5000=A193)*(ISNUMBER(SEARCH(勤務統計!$C$1,IM!$AC$1:$AC$5000))),0),"檢核"),"未登錄"),"")</f>
        <v/>
      </c>
      <c r="M193" s="402" t="str">
        <f t="shared" si="2"/>
        <v>+L90</v>
      </c>
      <c r="N193" s="402" t="str">
        <f t="array" ref="N193">IF(AND(
    SUMPRODUCT(
        (IM!$F$2:$F$522=A193) *
        ISNUMBER(SEARCH("*HUB*", IM!$AC$2:$AC$522)) *
        (IM!$X$2:$X$522&gt;=勤務統計!$A$1) *
        (IM!$X$2:$X$522&lt;=勤務統計!$B$1)*(W193="HUB")
    ) &gt; 0
), "HUB", "")</f>
        <v/>
      </c>
      <c r="O193" s="400" t="str">
        <f>IF(
  IFERROR(VLOOKUP(A193,勤務統計!A:I,9,FALSE),"")&lt;&gt;勤務統計!$C$1,
  "未完工",
  IF(
    AND(勤務統計!$D$1="--",勤務統計!$E$1="--",勤務統計!$F$1="--"),
    "已完工",
    IF(
      OR(
        AND(勤務統計!$D$1&lt;&gt;"--", IFERROR(VLOOKUP(A193,'0919門市清單主檔'!B:AH,31,FALSE),"")=勤務統計!$D$1, IFERROR(VLOOKUP(A193,勤務統計!A:Q,17,FALSE),"")&lt;&gt;勤務統計!$D$1),
        AND(勤務統計!$E$1&lt;&gt;"--", IFERROR(VLOOKUP(A193,'0919門市清單主檔'!B:AH,32,FALSE),"")=勤務統計!$E$1, IFERROR(VLOOKUP(A193,勤務統計!A:S,19,FALSE),"")&lt;&gt;勤務統計!$E$1),
        AND(勤務統計!$F$1&lt;&gt;"--", IFERROR(VLOOKUP(A193,'0919門市清單主檔'!B:AH,33,FALSE),"")=勤務統計!$F$1, IFERROR(VLOOKUP(A193,勤務統計!A:U,21,FALSE),"")&lt;&gt;勤務統計!$F$1),
        AND(IFERROR(VLOOKUP(A193,'0919門市清單主檔'!B:AH,28,FALSE),"")="HUB", IFERROR(VLOOKUP(A193,勤務統計!A:W,23,FALSE),"")&lt;&gt;"HUB")
      ),
      _xlfn.TEXTJOIN(
        "，",
        TRUE,
        IF(AND(勤務統計!$D$1&lt;&gt;"--", IFERROR(VLOOKUP(A193,'0919門市清單主檔'!B:AH,31,FALSE),"")=勤務統計!$D$1, IFERROR(VLOOKUP(A193,勤務統計!A:Q,17,FALSE),"")&lt;&gt;勤務統計!$D$1), 勤務統計!$D$1, ""),
        IF(AND(勤務統計!$E$1&lt;&gt;"--", IFERROR(VLOOKUP(A193,'0919門市清單主檔'!B:AH,32,FALSE),"")=勤務統計!$E$1, IFERROR(VLOOKUP(A193,勤務統計!A:S,19,FALSE),"")&lt;&gt;勤務統計!$E$1), 勤務統計!$E$1, ""),
        IF(AND(勤務統計!$F$1&lt;&gt;"--", IFERROR(VLOOKUP(A193,'0919門市清單主檔'!B:AH,33,FALSE),"")=勤務統計!$F$1, IFERROR(VLOOKUP(A193,勤務統計!A:U,21,FALSE),"")&lt;&gt;勤務統計!$F$1), 勤務統計!$F$1, ""),
        IF(AND(IFERROR(VLOOKUP(A193,'0919門市清單主檔'!B:AH,28,FALSE),"")="HUB", IFERROR(VLOOKUP(A193,勤務統計!A:W,23,FALSE),"")&lt;&gt;"HUB"), "HUB", "")
      ) &amp; "未完工",
      "已完工"
    )
  )
)</f>
        <v>未完工</v>
      </c>
      <c r="P193" s="403" t="str">
        <f>(TEXT(I193,"yyyymmdd"))&amp;勤務統計!$V$2&amp;A193&amp;勤務統計!$V$2&amp;B193&amp;勤務統計!$S$2</f>
        <v>-4083-三重中央南(定保)</v>
      </c>
      <c r="Q193" s="420" t="str">
        <f t="array" ref="Q193">IF(AND(SUMPRODUCT((IM!$F$2:$F$5000=A193)*(ISNUMBER(SEARCH(勤務統計!$D$1, IM!$AC$2:$AC$5000))))&gt;0), 勤務統計!$D$1, "")</f>
        <v/>
      </c>
      <c r="R193" s="421" t="str">
        <f t="array" ref="R193">IFERROR(INDEX(IM!$AM$2:$AM$5000, MATCH(1, (IM!$F$2:$F$5000=A193) * (ISNUMBER(SEARCH(勤務統計!$D$1, IM!$AC$2:$AC$5000))), 0)), "")</f>
        <v/>
      </c>
      <c r="S193" s="406" t="str" cm="1">
        <f t="array" ref="S193">IF(AND(SUMPRODUCT((IM!$F$2:$F$5000=A193)*(ISNUMBER(SEARCH(勤務統計!$E$1, IM!$AC$2:$AC$5000))))&gt;0), 勤務統計!$E$1, "")</f>
        <v>+L90</v>
      </c>
      <c r="T193" s="422">
        <f t="array" ref="T193">IFERROR(INDEX(IM!$AM$2:$AM$5000, MATCH(1, (IM!$F$2:$F$5000=A193) * (ISNUMBER(SEARCH(勤務統計!$E$1, IM!$AC$2:$AC$5000))), 0)), "")</f>
        <v>45995</v>
      </c>
      <c r="U193" s="406" t="str" cm="1">
        <f t="array" ref="U193">IF(AND(SUMPRODUCT((IM!$F$2:$F$5000=A193)*(ISNUMBER(SEARCH(勤務統計!$F$1, IM!$AC$2:$AC$5000))))&gt;0), 勤務統計!$F$1, "")</f>
        <v/>
      </c>
      <c r="V193" s="413" t="str">
        <f t="array" ref="V193">IFERROR(INDEX(IM!$AM$2:$AM$5000, MATCH(1, (IM!$F$2:$F$5000=A193) * (ISNUMBER(SEARCH(勤務統計!$F$1, IM!$AC$2:$AC$5000))), 0)), "")</f>
        <v/>
      </c>
      <c r="W193" s="414" t="str">
        <f>IF(VLOOKUP(A193,'0919門市清單主檔'!B:AC,28,FALSE)=0,"",VLOOKUP(A193,'0919門市清單主檔'!B:AC,28,FALSE))</f>
        <v/>
      </c>
    </row>
    <row r="194" spans="1:23" ht="21.6" customHeight="1">
      <c r="A194" s="423">
        <v>4101</v>
      </c>
      <c r="B194" s="416" t="str">
        <f>VLOOKUP(A194,'0919門市清單主檔'!B:C,2,FALSE)</f>
        <v>三重溪華店</v>
      </c>
      <c r="C194" s="415" t="str">
        <f>VLOOKUP($A194,'0919門市清單主檔'!B:V,20,FALSE)</f>
        <v>新北市</v>
      </c>
      <c r="D194" s="410" t="str">
        <f>VLOOKUP($A194,'0919門市清單主檔'!B:V,21,FALSE)</f>
        <v>三重區</v>
      </c>
      <c r="E194" s="397" t="str">
        <f>VLOOKUP(D194,門市狀態!G:H,2,FALSE)</f>
        <v>劉柏均</v>
      </c>
      <c r="F194" s="410" t="str">
        <f>IFERROR(IF(VLOOKUP(A194,門市狀態!A:D,4,FALSE)=0,"",VLOOKUP(A194,門市狀態!A:D,4,FALSE)),"")</f>
        <v/>
      </c>
      <c r="G194" s="424"/>
      <c r="H194" s="425" t="str">
        <f>IF(I194&gt;0,(TEXT(I194,"yyyymmdd")&amp;勤務統計!$V$2&amp;A194&amp;勤務統計!$V$2&amp;B194&amp;勤務統計!$S$2),"")</f>
        <v>-4101-三重溪華店(定保)</v>
      </c>
      <c r="I194" s="247" t="str">
        <f t="array" ref="I194">IF(AND(SUMPRODUCT((IM!$F$2:$F$5000=A194)*(ISNUMBER(SEARCH(勤務統計!$C$1, IM!$AC$2:$AC$5000))))&gt;0), 勤務統計!$C$1, "")</f>
        <v/>
      </c>
      <c r="J194" s="399" t="str">
        <f t="array" ref="J194">IFERROR(INDEX(IM!$AM$2:$AM$5000, MATCH(1, (IM!$F$2:$F$5000=A194) * (ISNUMBER(SEARCH(勤務統計!$C$1, IM!$AC$2:$AC$5000))), 0)), "")</f>
        <v/>
      </c>
      <c r="K194" s="400">
        <f t="array" ref="K194">SUMPRODUCT((IM!$F$2:$F$5000=A194)*(IM!$AD$2:$AD$5000="O")*(ISNUMBER(SEARCH(勤務統計!$C$1, IM!$AC$2:$AC$5000))))</f>
        <v>0</v>
      </c>
      <c r="L194" s="401" t="str">
        <f t="array" ref="L194">IF(K194&gt;0,IFERROR(HYPERLINK("#'IM'!AC"&amp;MATCH(1,(IM!$F$1:$F$5000=A194)*(ISNUMBER(SEARCH(勤務統計!$C$1,IM!$AC$1:$AC$5000))),0),"檢核"),"未登錄"),"")</f>
        <v/>
      </c>
      <c r="M194" s="402" t="str">
        <f t="shared" si="2"/>
        <v>+L90</v>
      </c>
      <c r="N194" s="402" t="str">
        <f t="array" ref="N194">IF(AND(
    SUMPRODUCT(
        (IM!$F$2:$F$522=A194) *
        ISNUMBER(SEARCH("*HUB*", IM!$AC$2:$AC$522)) *
        (IM!$X$2:$X$522&gt;=勤務統計!$A$1) *
        (IM!$X$2:$X$522&lt;=勤務統計!$B$1)*(W194="HUB")
    ) &gt; 0
), "HUB", "")</f>
        <v/>
      </c>
      <c r="O194" s="400" t="str">
        <f>IF(
  IFERROR(VLOOKUP(A194,勤務統計!A:I,9,FALSE),"")&lt;&gt;勤務統計!$C$1,
  "未完工",
  IF(
    AND(勤務統計!$D$1="--",勤務統計!$E$1="--",勤務統計!$F$1="--"),
    "已完工",
    IF(
      OR(
        AND(勤務統計!$D$1&lt;&gt;"--", IFERROR(VLOOKUP(A194,'0919門市清單主檔'!B:AH,31,FALSE),"")=勤務統計!$D$1, IFERROR(VLOOKUP(A194,勤務統計!A:Q,17,FALSE),"")&lt;&gt;勤務統計!$D$1),
        AND(勤務統計!$E$1&lt;&gt;"--", IFERROR(VLOOKUP(A194,'0919門市清單主檔'!B:AH,32,FALSE),"")=勤務統計!$E$1, IFERROR(VLOOKUP(A194,勤務統計!A:S,19,FALSE),"")&lt;&gt;勤務統計!$E$1),
        AND(勤務統計!$F$1&lt;&gt;"--", IFERROR(VLOOKUP(A194,'0919門市清單主檔'!B:AH,33,FALSE),"")=勤務統計!$F$1, IFERROR(VLOOKUP(A194,勤務統計!A:U,21,FALSE),"")&lt;&gt;勤務統計!$F$1),
        AND(IFERROR(VLOOKUP(A194,'0919門市清單主檔'!B:AH,28,FALSE),"")="HUB", IFERROR(VLOOKUP(A194,勤務統計!A:W,23,FALSE),"")&lt;&gt;"HUB")
      ),
      _xlfn.TEXTJOIN(
        "，",
        TRUE,
        IF(AND(勤務統計!$D$1&lt;&gt;"--", IFERROR(VLOOKUP(A194,'0919門市清單主檔'!B:AH,31,FALSE),"")=勤務統計!$D$1, IFERROR(VLOOKUP(A194,勤務統計!A:Q,17,FALSE),"")&lt;&gt;勤務統計!$D$1), 勤務統計!$D$1, ""),
        IF(AND(勤務統計!$E$1&lt;&gt;"--", IFERROR(VLOOKUP(A194,'0919門市清單主檔'!B:AH,32,FALSE),"")=勤務統計!$E$1, IFERROR(VLOOKUP(A194,勤務統計!A:S,19,FALSE),"")&lt;&gt;勤務統計!$E$1), 勤務統計!$E$1, ""),
        IF(AND(勤務統計!$F$1&lt;&gt;"--", IFERROR(VLOOKUP(A194,'0919門市清單主檔'!B:AH,33,FALSE),"")=勤務統計!$F$1, IFERROR(VLOOKUP(A194,勤務統計!A:U,21,FALSE),"")&lt;&gt;勤務統計!$F$1), 勤務統計!$F$1, ""),
        IF(AND(IFERROR(VLOOKUP(A194,'0919門市清單主檔'!B:AH,28,FALSE),"")="HUB", IFERROR(VLOOKUP(A194,勤務統計!A:W,23,FALSE),"")&lt;&gt;"HUB"), "HUB", "")
      ) &amp; "未完工",
      "已完工"
    )
  )
)</f>
        <v>未完工</v>
      </c>
      <c r="P194" s="403" t="str">
        <f>(TEXT(I194,"yyyymmdd"))&amp;勤務統計!$V$2&amp;A194&amp;勤務統計!$V$2&amp;B194&amp;勤務統計!$S$2</f>
        <v>-4101-三重溪華店(定保)</v>
      </c>
      <c r="Q194" s="420" t="str">
        <f t="array" ref="Q194">IF(AND(SUMPRODUCT((IM!$F$2:$F$5000=A194)*(ISNUMBER(SEARCH(勤務統計!$D$1, IM!$AC$2:$AC$5000))))&gt;0), 勤務統計!$D$1, "")</f>
        <v/>
      </c>
      <c r="R194" s="421" t="str">
        <f t="array" ref="R194">IFERROR(INDEX(IM!$AM$2:$AM$5000, MATCH(1, (IM!$F$2:$F$5000=A194) * (ISNUMBER(SEARCH(勤務統計!$D$1, IM!$AC$2:$AC$5000))), 0)), "")</f>
        <v/>
      </c>
      <c r="S194" s="406" t="str" cm="1">
        <f t="array" ref="S194">IF(AND(SUMPRODUCT((IM!$F$2:$F$5000=A194)*(ISNUMBER(SEARCH(勤務統計!$E$1, IM!$AC$2:$AC$5000))))&gt;0), 勤務統計!$E$1, "")</f>
        <v>+L90</v>
      </c>
      <c r="T194" s="422">
        <f t="array" ref="T194">IFERROR(INDEX(IM!$AM$2:$AM$5000, MATCH(1, (IM!$F$2:$F$5000=A194) * (ISNUMBER(SEARCH(勤務統計!$E$1, IM!$AC$2:$AC$5000))), 0)), "")</f>
        <v>45996</v>
      </c>
      <c r="U194" s="406" t="str" cm="1">
        <f t="array" ref="U194">IF(AND(SUMPRODUCT((IM!$F$2:$F$5000=A194)*(ISNUMBER(SEARCH(勤務統計!$F$1, IM!$AC$2:$AC$5000))))&gt;0), 勤務統計!$F$1, "")</f>
        <v/>
      </c>
      <c r="V194" s="413" t="str">
        <f t="array" ref="V194">IFERROR(INDEX(IM!$AM$2:$AM$5000, MATCH(1, (IM!$F$2:$F$5000=A194) * (ISNUMBER(SEARCH(勤務統計!$F$1, IM!$AC$2:$AC$5000))), 0)), "")</f>
        <v/>
      </c>
      <c r="W194" s="414" t="str">
        <f>IF(VLOOKUP(A194,'0919門市清單主檔'!B:AC,28,FALSE)=0,"",VLOOKUP(A194,'0919門市清單主檔'!B:AC,28,FALSE))</f>
        <v/>
      </c>
    </row>
    <row r="195" spans="1:23" ht="21.6" customHeight="1">
      <c r="A195" s="423">
        <v>3811</v>
      </c>
      <c r="B195" s="416" t="str">
        <f>VLOOKUP(A195,'0919門市清單主檔'!B:C,2,FALSE)</f>
        <v>三重碧華公園</v>
      </c>
      <c r="C195" s="415" t="str">
        <f>VLOOKUP($A195,'0919門市清單主檔'!B:V,20,FALSE)</f>
        <v>新北市</v>
      </c>
      <c r="D195" s="410" t="str">
        <f>VLOOKUP($A195,'0919門市清單主檔'!B:V,21,FALSE)</f>
        <v>三重區</v>
      </c>
      <c r="E195" s="397" t="str">
        <f>VLOOKUP(D195,門市狀態!G:H,2,FALSE)</f>
        <v>劉柏均</v>
      </c>
      <c r="F195" s="410" t="str">
        <f>IFERROR(IF(VLOOKUP(A195,門市狀態!A:D,4,FALSE)=0,"",VLOOKUP(A195,門市狀態!A:D,4,FALSE)),"")</f>
        <v/>
      </c>
      <c r="G195" s="424"/>
      <c r="H195" s="425" t="str">
        <f>IF(I195&gt;0,(TEXT(I195,"yyyymmdd")&amp;勤務統計!$V$2&amp;A195&amp;勤務統計!$V$2&amp;B195&amp;勤務統計!$S$2),"")</f>
        <v>-3811-三重碧華公園(定保)</v>
      </c>
      <c r="I195" s="247" t="str">
        <f t="array" ref="I195">IF(AND(SUMPRODUCT((IM!$F$2:$F$5000=A195)*(ISNUMBER(SEARCH(勤務統計!$C$1, IM!$AC$2:$AC$5000))))&gt;0), 勤務統計!$C$1, "")</f>
        <v/>
      </c>
      <c r="J195" s="399" t="str">
        <f t="array" ref="J195">IFERROR(INDEX(IM!$AM$2:$AM$5000, MATCH(1, (IM!$F$2:$F$5000=A195) * (ISNUMBER(SEARCH(勤務統計!$C$1, IM!$AC$2:$AC$5000))), 0)), "")</f>
        <v/>
      </c>
      <c r="K195" s="400">
        <f t="array" ref="K195">SUMPRODUCT((IM!$F$2:$F$5000=A195)*(IM!$AD$2:$AD$5000="O")*(ISNUMBER(SEARCH(勤務統計!$C$1, IM!$AC$2:$AC$5000))))</f>
        <v>0</v>
      </c>
      <c r="L195" s="401" t="str">
        <f t="array" ref="L195">IF(K195&gt;0,IFERROR(HYPERLINK("#'IM'!AC"&amp;MATCH(1,(IM!$F$1:$F$5000=A195)*(ISNUMBER(SEARCH(勤務統計!$C$1,IM!$AC$1:$AC$5000))),0),"檢核"),"未登錄"),"")</f>
        <v/>
      </c>
      <c r="M195" s="402" t="str">
        <f t="shared" ref="M195:M258" si="3">Q195&amp;S195&amp;U195</f>
        <v>+L90</v>
      </c>
      <c r="N195" s="402" t="str">
        <f t="array" ref="N195">IF(AND(
    SUMPRODUCT(
        (IM!$F$2:$F$522=A195) *
        ISNUMBER(SEARCH("*HUB*", IM!$AC$2:$AC$522)) *
        (IM!$X$2:$X$522&gt;=勤務統計!$A$1) *
        (IM!$X$2:$X$522&lt;=勤務統計!$B$1)*(W195="HUB")
    ) &gt; 0
), "HUB", "")</f>
        <v/>
      </c>
      <c r="O195" s="400" t="str">
        <f>IF(
  IFERROR(VLOOKUP(A195,勤務統計!A:I,9,FALSE),"")&lt;&gt;勤務統計!$C$1,
  "未完工",
  IF(
    AND(勤務統計!$D$1="--",勤務統計!$E$1="--",勤務統計!$F$1="--"),
    "已完工",
    IF(
      OR(
        AND(勤務統計!$D$1&lt;&gt;"--", IFERROR(VLOOKUP(A195,'0919門市清單主檔'!B:AH,31,FALSE),"")=勤務統計!$D$1, IFERROR(VLOOKUP(A195,勤務統計!A:Q,17,FALSE),"")&lt;&gt;勤務統計!$D$1),
        AND(勤務統計!$E$1&lt;&gt;"--", IFERROR(VLOOKUP(A195,'0919門市清單主檔'!B:AH,32,FALSE),"")=勤務統計!$E$1, IFERROR(VLOOKUP(A195,勤務統計!A:S,19,FALSE),"")&lt;&gt;勤務統計!$E$1),
        AND(勤務統計!$F$1&lt;&gt;"--", IFERROR(VLOOKUP(A195,'0919門市清單主檔'!B:AH,33,FALSE),"")=勤務統計!$F$1, IFERROR(VLOOKUP(A195,勤務統計!A:U,21,FALSE),"")&lt;&gt;勤務統計!$F$1),
        AND(IFERROR(VLOOKUP(A195,'0919門市清單主檔'!B:AH,28,FALSE),"")="HUB", IFERROR(VLOOKUP(A195,勤務統計!A:W,23,FALSE),"")&lt;&gt;"HUB")
      ),
      _xlfn.TEXTJOIN(
        "，",
        TRUE,
        IF(AND(勤務統計!$D$1&lt;&gt;"--", IFERROR(VLOOKUP(A195,'0919門市清單主檔'!B:AH,31,FALSE),"")=勤務統計!$D$1, IFERROR(VLOOKUP(A195,勤務統計!A:Q,17,FALSE),"")&lt;&gt;勤務統計!$D$1), 勤務統計!$D$1, ""),
        IF(AND(勤務統計!$E$1&lt;&gt;"--", IFERROR(VLOOKUP(A195,'0919門市清單主檔'!B:AH,32,FALSE),"")=勤務統計!$E$1, IFERROR(VLOOKUP(A195,勤務統計!A:S,19,FALSE),"")&lt;&gt;勤務統計!$E$1), 勤務統計!$E$1, ""),
        IF(AND(勤務統計!$F$1&lt;&gt;"--", IFERROR(VLOOKUP(A195,'0919門市清單主檔'!B:AH,33,FALSE),"")=勤務統計!$F$1, IFERROR(VLOOKUP(A195,勤務統計!A:U,21,FALSE),"")&lt;&gt;勤務統計!$F$1), 勤務統計!$F$1, ""),
        IF(AND(IFERROR(VLOOKUP(A195,'0919門市清單主檔'!B:AH,28,FALSE),"")="HUB", IFERROR(VLOOKUP(A195,勤務統計!A:W,23,FALSE),"")&lt;&gt;"HUB"), "HUB", "")
      ) &amp; "未完工",
      "已完工"
    )
  )
)</f>
        <v>未完工</v>
      </c>
      <c r="P195" s="403" t="str">
        <f>(TEXT(I195,"yyyymmdd"))&amp;勤務統計!$V$2&amp;A195&amp;勤務統計!$V$2&amp;B195&amp;勤務統計!$S$2</f>
        <v>-3811-三重碧華公園(定保)</v>
      </c>
      <c r="Q195" s="420" t="str">
        <f t="array" ref="Q195">IF(AND(SUMPRODUCT((IM!$F$2:$F$5000=A195)*(ISNUMBER(SEARCH(勤務統計!$D$1, IM!$AC$2:$AC$5000))))&gt;0), 勤務統計!$D$1, "")</f>
        <v/>
      </c>
      <c r="R195" s="421" t="str">
        <f t="array" ref="R195">IFERROR(INDEX(IM!$AM$2:$AM$5000, MATCH(1, (IM!$F$2:$F$5000=A195) * (ISNUMBER(SEARCH(勤務統計!$D$1, IM!$AC$2:$AC$5000))), 0)), "")</f>
        <v/>
      </c>
      <c r="S195" s="406" t="str" cm="1">
        <f t="array" ref="S195">IF(AND(SUMPRODUCT((IM!$F$2:$F$5000=A195)*(ISNUMBER(SEARCH(勤務統計!$E$1, IM!$AC$2:$AC$5000))))&gt;0), 勤務統計!$E$1, "")</f>
        <v>+L90</v>
      </c>
      <c r="T195" s="422">
        <f t="array" ref="T195">IFERROR(INDEX(IM!$AM$2:$AM$5000, MATCH(1, (IM!$F$2:$F$5000=A195) * (ISNUMBER(SEARCH(勤務統計!$E$1, IM!$AC$2:$AC$5000))), 0)), "")</f>
        <v>45996</v>
      </c>
      <c r="U195" s="406" t="str" cm="1">
        <f t="array" ref="U195">IF(AND(SUMPRODUCT((IM!$F$2:$F$5000=A195)*(ISNUMBER(SEARCH(勤務統計!$F$1, IM!$AC$2:$AC$5000))))&gt;0), 勤務統計!$F$1, "")</f>
        <v/>
      </c>
      <c r="V195" s="413" t="str">
        <f t="array" ref="V195">IFERROR(INDEX(IM!$AM$2:$AM$5000, MATCH(1, (IM!$F$2:$F$5000=A195) * (ISNUMBER(SEARCH(勤務統計!$F$1, IM!$AC$2:$AC$5000))), 0)), "")</f>
        <v/>
      </c>
      <c r="W195" s="414" t="str">
        <f>IF(VLOOKUP(A195,'0919門市清單主檔'!B:AC,28,FALSE)=0,"",VLOOKUP(A195,'0919門市清單主檔'!B:AC,28,FALSE))</f>
        <v/>
      </c>
    </row>
    <row r="196" spans="1:23" ht="21.6" customHeight="1">
      <c r="A196" s="423">
        <v>4145</v>
      </c>
      <c r="B196" s="416" t="str">
        <f>VLOOKUP(A196,'0919門市清單主檔'!B:C,2,FALSE)</f>
        <v>板橋僑興店</v>
      </c>
      <c r="C196" s="415" t="str">
        <f>VLOOKUP($A196,'0919門市清單主檔'!B:V,20,FALSE)</f>
        <v>新北市</v>
      </c>
      <c r="D196" s="410" t="str">
        <f>VLOOKUP($A196,'0919門市清單主檔'!B:V,21,FALSE)</f>
        <v>板橋區</v>
      </c>
      <c r="E196" s="397" t="str">
        <f>VLOOKUP(D196,門市狀態!G:H,2,FALSE)</f>
        <v>狄澤洋</v>
      </c>
      <c r="F196" s="410" t="str">
        <f>IFERROR(IF(VLOOKUP(A196,門市狀態!A:D,4,FALSE)=0,"",VLOOKUP(A196,門市狀態!A:D,4,FALSE)),"")</f>
        <v/>
      </c>
      <c r="G196" s="424"/>
      <c r="H196" s="425" t="str">
        <f>IF(I196&gt;0,(TEXT(I196,"yyyymmdd")&amp;勤務統計!$V$2&amp;A196&amp;勤務統計!$V$2&amp;B196&amp;勤務統計!$S$2),"")</f>
        <v>-4145-板橋僑興店(定保)</v>
      </c>
      <c r="I196" s="247" t="str">
        <f t="array" ref="I196">IF(AND(SUMPRODUCT((IM!$F$2:$F$5000=A196)*(ISNUMBER(SEARCH(勤務統計!$C$1, IM!$AC$2:$AC$5000))))&gt;0), 勤務統計!$C$1, "")</f>
        <v/>
      </c>
      <c r="J196" s="399" t="str">
        <f t="array" ref="J196">IFERROR(INDEX(IM!$AM$2:$AM$5000, MATCH(1, (IM!$F$2:$F$5000=A196) * (ISNUMBER(SEARCH(勤務統計!$C$1, IM!$AC$2:$AC$5000))), 0)), "")</f>
        <v/>
      </c>
      <c r="K196" s="400">
        <f t="array" ref="K196">SUMPRODUCT((IM!$F$2:$F$5000=A196)*(IM!$AD$2:$AD$5000="O")*(ISNUMBER(SEARCH(勤務統計!$C$1, IM!$AC$2:$AC$5000))))</f>
        <v>0</v>
      </c>
      <c r="L196" s="401" t="str">
        <f t="array" ref="L196">IF(K196&gt;0,IFERROR(HYPERLINK("#'IM'!AC"&amp;MATCH(1,(IM!$F$1:$F$5000=A196)*(ISNUMBER(SEARCH(勤務統計!$C$1,IM!$AC$1:$AC$5000))),0),"檢核"),"未登錄"),"")</f>
        <v/>
      </c>
      <c r="M196" s="402" t="str">
        <f t="shared" si="3"/>
        <v>+L90</v>
      </c>
      <c r="N196" s="402" t="str">
        <f t="array" ref="N196">IF(AND(
    SUMPRODUCT(
        (IM!$F$2:$F$522=A196) *
        ISNUMBER(SEARCH("*HUB*", IM!$AC$2:$AC$522)) *
        (IM!$X$2:$X$522&gt;=勤務統計!$A$1) *
        (IM!$X$2:$X$522&lt;=勤務統計!$B$1)*(W196="HUB")
    ) &gt; 0
), "HUB", "")</f>
        <v/>
      </c>
      <c r="O196" s="400" t="str">
        <f>IF(
  IFERROR(VLOOKUP(A196,勤務統計!A:I,9,FALSE),"")&lt;&gt;勤務統計!$C$1,
  "未完工",
  IF(
    AND(勤務統計!$D$1="--",勤務統計!$E$1="--",勤務統計!$F$1="--"),
    "已完工",
    IF(
      OR(
        AND(勤務統計!$D$1&lt;&gt;"--", IFERROR(VLOOKUP(A196,'0919門市清單主檔'!B:AH,31,FALSE),"")=勤務統計!$D$1, IFERROR(VLOOKUP(A196,勤務統計!A:Q,17,FALSE),"")&lt;&gt;勤務統計!$D$1),
        AND(勤務統計!$E$1&lt;&gt;"--", IFERROR(VLOOKUP(A196,'0919門市清單主檔'!B:AH,32,FALSE),"")=勤務統計!$E$1, IFERROR(VLOOKUP(A196,勤務統計!A:S,19,FALSE),"")&lt;&gt;勤務統計!$E$1),
        AND(勤務統計!$F$1&lt;&gt;"--", IFERROR(VLOOKUP(A196,'0919門市清單主檔'!B:AH,33,FALSE),"")=勤務統計!$F$1, IFERROR(VLOOKUP(A196,勤務統計!A:U,21,FALSE),"")&lt;&gt;勤務統計!$F$1),
        AND(IFERROR(VLOOKUP(A196,'0919門市清單主檔'!B:AH,28,FALSE),"")="HUB", IFERROR(VLOOKUP(A196,勤務統計!A:W,23,FALSE),"")&lt;&gt;"HUB")
      ),
      _xlfn.TEXTJOIN(
        "，",
        TRUE,
        IF(AND(勤務統計!$D$1&lt;&gt;"--", IFERROR(VLOOKUP(A196,'0919門市清單主檔'!B:AH,31,FALSE),"")=勤務統計!$D$1, IFERROR(VLOOKUP(A196,勤務統計!A:Q,17,FALSE),"")&lt;&gt;勤務統計!$D$1), 勤務統計!$D$1, ""),
        IF(AND(勤務統計!$E$1&lt;&gt;"--", IFERROR(VLOOKUP(A196,'0919門市清單主檔'!B:AH,32,FALSE),"")=勤務統計!$E$1, IFERROR(VLOOKUP(A196,勤務統計!A:S,19,FALSE),"")&lt;&gt;勤務統計!$E$1), 勤務統計!$E$1, ""),
        IF(AND(勤務統計!$F$1&lt;&gt;"--", IFERROR(VLOOKUP(A196,'0919門市清單主檔'!B:AH,33,FALSE),"")=勤務統計!$F$1, IFERROR(VLOOKUP(A196,勤務統計!A:U,21,FALSE),"")&lt;&gt;勤務統計!$F$1), 勤務統計!$F$1, ""),
        IF(AND(IFERROR(VLOOKUP(A196,'0919門市清單主檔'!B:AH,28,FALSE),"")="HUB", IFERROR(VLOOKUP(A196,勤務統計!A:W,23,FALSE),"")&lt;&gt;"HUB"), "HUB", "")
      ) &amp; "未完工",
      "已完工"
    )
  )
)</f>
        <v>未完工</v>
      </c>
      <c r="P196" s="403" t="str">
        <f>(TEXT(I196,"yyyymmdd"))&amp;勤務統計!$V$2&amp;A196&amp;勤務統計!$V$2&amp;B196&amp;勤務統計!$S$2</f>
        <v>-4145-板橋僑興店(定保)</v>
      </c>
      <c r="Q196" s="420" t="str">
        <f t="array" ref="Q196">IF(AND(SUMPRODUCT((IM!$F$2:$F$5000=A196)*(ISNUMBER(SEARCH(勤務統計!$D$1, IM!$AC$2:$AC$5000))))&gt;0), 勤務統計!$D$1, "")</f>
        <v/>
      </c>
      <c r="R196" s="421" t="str">
        <f t="array" ref="R196">IFERROR(INDEX(IM!$AM$2:$AM$5000, MATCH(1, (IM!$F$2:$F$5000=A196) * (ISNUMBER(SEARCH(勤務統計!$D$1, IM!$AC$2:$AC$5000))), 0)), "")</f>
        <v/>
      </c>
      <c r="S196" s="406" t="str" cm="1">
        <f t="array" ref="S196">IF(AND(SUMPRODUCT((IM!$F$2:$F$5000=A196)*(ISNUMBER(SEARCH(勤務統計!$E$1, IM!$AC$2:$AC$5000))))&gt;0), 勤務統計!$E$1, "")</f>
        <v>+L90</v>
      </c>
      <c r="T196" s="422">
        <f t="array" ref="T196">IFERROR(INDEX(IM!$AM$2:$AM$5000, MATCH(1, (IM!$F$2:$F$5000=A196) * (ISNUMBER(SEARCH(勤務統計!$E$1, IM!$AC$2:$AC$5000))), 0)), "")</f>
        <v>45999</v>
      </c>
      <c r="U196" s="406" t="str" cm="1">
        <f t="array" ref="U196">IF(AND(SUMPRODUCT((IM!$F$2:$F$5000=A196)*(ISNUMBER(SEARCH(勤務統計!$F$1, IM!$AC$2:$AC$5000))))&gt;0), 勤務統計!$F$1, "")</f>
        <v/>
      </c>
      <c r="V196" s="413" t="str">
        <f t="array" ref="V196">IFERROR(INDEX(IM!$AM$2:$AM$5000, MATCH(1, (IM!$F$2:$F$5000=A196) * (ISNUMBER(SEARCH(勤務統計!$F$1, IM!$AC$2:$AC$5000))), 0)), "")</f>
        <v/>
      </c>
      <c r="W196" s="414" t="str">
        <f>IF(VLOOKUP(A196,'0919門市清單主檔'!B:AC,28,FALSE)=0,"",VLOOKUP(A196,'0919門市清單主檔'!B:AC,28,FALSE))</f>
        <v/>
      </c>
    </row>
    <row r="197" spans="1:23" ht="21.6" customHeight="1">
      <c r="A197" s="423">
        <v>2403</v>
      </c>
      <c r="B197" s="416" t="str">
        <f>VLOOKUP(A197,'0919門市清單主檔'!B:C,2,FALSE)</f>
        <v>板橋板龍店</v>
      </c>
      <c r="C197" s="415" t="str">
        <f>VLOOKUP($A197,'0919門市清單主檔'!B:V,20,FALSE)</f>
        <v>新北市</v>
      </c>
      <c r="D197" s="410" t="str">
        <f>VLOOKUP($A197,'0919門市清單主檔'!B:V,21,FALSE)</f>
        <v>板橋區</v>
      </c>
      <c r="E197" s="397" t="str">
        <f>VLOOKUP(D197,門市狀態!G:H,2,FALSE)</f>
        <v>狄澤洋</v>
      </c>
      <c r="F197" s="410" t="str">
        <f>IFERROR(IF(VLOOKUP(A197,門市狀態!A:D,4,FALSE)=0,"",VLOOKUP(A197,門市狀態!A:D,4,FALSE)),"")</f>
        <v/>
      </c>
      <c r="G197" s="424"/>
      <c r="H197" s="425" t="str">
        <f>IF(I197&gt;0,(TEXT(I197,"yyyymmdd")&amp;勤務統計!$V$2&amp;A197&amp;勤務統計!$V$2&amp;B197&amp;勤務統計!$S$2),"")</f>
        <v>-2403-板橋板龍店(定保)</v>
      </c>
      <c r="I197" s="247" t="str">
        <f t="array" ref="I197">IF(AND(SUMPRODUCT((IM!$F$2:$F$5000=A197)*(ISNUMBER(SEARCH(勤務統計!$C$1, IM!$AC$2:$AC$5000))))&gt;0), 勤務統計!$C$1, "")</f>
        <v/>
      </c>
      <c r="J197" s="399" t="str">
        <f t="array" ref="J197">IFERROR(INDEX(IM!$AM$2:$AM$5000, MATCH(1, (IM!$F$2:$F$5000=A197) * (ISNUMBER(SEARCH(勤務統計!$C$1, IM!$AC$2:$AC$5000))), 0)), "")</f>
        <v/>
      </c>
      <c r="K197" s="400">
        <f t="array" ref="K197">SUMPRODUCT((IM!$F$2:$F$5000=A197)*(IM!$AD$2:$AD$5000="O")*(ISNUMBER(SEARCH(勤務統計!$C$1, IM!$AC$2:$AC$5000))))</f>
        <v>0</v>
      </c>
      <c r="L197" s="401" t="str">
        <f t="array" ref="L197">IF(K197&gt;0,IFERROR(HYPERLINK("#'IM'!AC"&amp;MATCH(1,(IM!$F$1:$F$5000=A197)*(ISNUMBER(SEARCH(勤務統計!$C$1,IM!$AC$1:$AC$5000))),0),"檢核"),"未登錄"),"")</f>
        <v/>
      </c>
      <c r="M197" s="402" t="str">
        <f t="shared" si="3"/>
        <v>+L90</v>
      </c>
      <c r="N197" s="402" t="str">
        <f t="array" ref="N197">IF(AND(
    SUMPRODUCT(
        (IM!$F$2:$F$522=A197) *
        ISNUMBER(SEARCH("*HUB*", IM!$AC$2:$AC$522)) *
        (IM!$X$2:$X$522&gt;=勤務統計!$A$1) *
        (IM!$X$2:$X$522&lt;=勤務統計!$B$1)*(W197="HUB")
    ) &gt; 0
), "HUB", "")</f>
        <v/>
      </c>
      <c r="O197" s="400" t="str">
        <f>IF(
  IFERROR(VLOOKUP(A197,勤務統計!A:I,9,FALSE),"")&lt;&gt;勤務統計!$C$1,
  "未完工",
  IF(
    AND(勤務統計!$D$1="--",勤務統計!$E$1="--",勤務統計!$F$1="--"),
    "已完工",
    IF(
      OR(
        AND(勤務統計!$D$1&lt;&gt;"--", IFERROR(VLOOKUP(A197,'0919門市清單主檔'!B:AH,31,FALSE),"")=勤務統計!$D$1, IFERROR(VLOOKUP(A197,勤務統計!A:Q,17,FALSE),"")&lt;&gt;勤務統計!$D$1),
        AND(勤務統計!$E$1&lt;&gt;"--", IFERROR(VLOOKUP(A197,'0919門市清單主檔'!B:AH,32,FALSE),"")=勤務統計!$E$1, IFERROR(VLOOKUP(A197,勤務統計!A:S,19,FALSE),"")&lt;&gt;勤務統計!$E$1),
        AND(勤務統計!$F$1&lt;&gt;"--", IFERROR(VLOOKUP(A197,'0919門市清單主檔'!B:AH,33,FALSE),"")=勤務統計!$F$1, IFERROR(VLOOKUP(A197,勤務統計!A:U,21,FALSE),"")&lt;&gt;勤務統計!$F$1),
        AND(IFERROR(VLOOKUP(A197,'0919門市清單主檔'!B:AH,28,FALSE),"")="HUB", IFERROR(VLOOKUP(A197,勤務統計!A:W,23,FALSE),"")&lt;&gt;"HUB")
      ),
      _xlfn.TEXTJOIN(
        "，",
        TRUE,
        IF(AND(勤務統計!$D$1&lt;&gt;"--", IFERROR(VLOOKUP(A197,'0919門市清單主檔'!B:AH,31,FALSE),"")=勤務統計!$D$1, IFERROR(VLOOKUP(A197,勤務統計!A:Q,17,FALSE),"")&lt;&gt;勤務統計!$D$1), 勤務統計!$D$1, ""),
        IF(AND(勤務統計!$E$1&lt;&gt;"--", IFERROR(VLOOKUP(A197,'0919門市清單主檔'!B:AH,32,FALSE),"")=勤務統計!$E$1, IFERROR(VLOOKUP(A197,勤務統計!A:S,19,FALSE),"")&lt;&gt;勤務統計!$E$1), 勤務統計!$E$1, ""),
        IF(AND(勤務統計!$F$1&lt;&gt;"--", IFERROR(VLOOKUP(A197,'0919門市清單主檔'!B:AH,33,FALSE),"")=勤務統計!$F$1, IFERROR(VLOOKUP(A197,勤務統計!A:U,21,FALSE),"")&lt;&gt;勤務統計!$F$1), 勤務統計!$F$1, ""),
        IF(AND(IFERROR(VLOOKUP(A197,'0919門市清單主檔'!B:AH,28,FALSE),"")="HUB", IFERROR(VLOOKUP(A197,勤務統計!A:W,23,FALSE),"")&lt;&gt;"HUB"), "HUB", "")
      ) &amp; "未完工",
      "已完工"
    )
  )
)</f>
        <v>未完工</v>
      </c>
      <c r="P197" s="403" t="str">
        <f>(TEXT(I197,"yyyymmdd"))&amp;勤務統計!$V$2&amp;A197&amp;勤務統計!$V$2&amp;B197&amp;勤務統計!$S$2</f>
        <v>-2403-板橋板龍店(定保)</v>
      </c>
      <c r="Q197" s="420" t="str">
        <f t="array" ref="Q197">IF(AND(SUMPRODUCT((IM!$F$2:$F$5000=A197)*(ISNUMBER(SEARCH(勤務統計!$D$1, IM!$AC$2:$AC$5000))))&gt;0), 勤務統計!$D$1, "")</f>
        <v/>
      </c>
      <c r="R197" s="421" t="str">
        <f t="array" ref="R197">IFERROR(INDEX(IM!$AM$2:$AM$5000, MATCH(1, (IM!$F$2:$F$5000=A197) * (ISNUMBER(SEARCH(勤務統計!$D$1, IM!$AC$2:$AC$5000))), 0)), "")</f>
        <v/>
      </c>
      <c r="S197" s="406" t="str" cm="1">
        <f t="array" ref="S197">IF(AND(SUMPRODUCT((IM!$F$2:$F$5000=A197)*(ISNUMBER(SEARCH(勤務統計!$E$1, IM!$AC$2:$AC$5000))))&gt;0), 勤務統計!$E$1, "")</f>
        <v>+L90</v>
      </c>
      <c r="T197" s="422">
        <f t="array" ref="T197">IFERROR(INDEX(IM!$AM$2:$AM$5000, MATCH(1, (IM!$F$2:$F$5000=A197) * (ISNUMBER(SEARCH(勤務統計!$E$1, IM!$AC$2:$AC$5000))), 0)), "")</f>
        <v>45999</v>
      </c>
      <c r="U197" s="406" t="str" cm="1">
        <f t="array" ref="U197">IF(AND(SUMPRODUCT((IM!$F$2:$F$5000=A197)*(ISNUMBER(SEARCH(勤務統計!$F$1, IM!$AC$2:$AC$5000))))&gt;0), 勤務統計!$F$1, "")</f>
        <v/>
      </c>
      <c r="V197" s="413" t="str">
        <f t="array" ref="V197">IFERROR(INDEX(IM!$AM$2:$AM$5000, MATCH(1, (IM!$F$2:$F$5000=A197) * (ISNUMBER(SEARCH(勤務統計!$F$1, IM!$AC$2:$AC$5000))), 0)), "")</f>
        <v/>
      </c>
      <c r="W197" s="414" t="str">
        <f>IF(VLOOKUP(A197,'0919門市清單主檔'!B:AC,28,FALSE)=0,"",VLOOKUP(A197,'0919門市清單主檔'!B:AC,28,FALSE))</f>
        <v/>
      </c>
    </row>
    <row r="198" spans="1:23" ht="21.6" customHeight="1">
      <c r="A198" s="423" t="s">
        <v>77</v>
      </c>
      <c r="B198" s="416" t="str">
        <f>VLOOKUP(A198,'0919門市清單主檔'!B:C,2,FALSE)</f>
        <v>板橋大興店</v>
      </c>
      <c r="C198" s="415" t="str">
        <f>VLOOKUP($A198,'0919門市清單主檔'!B:V,20,FALSE)</f>
        <v>新北市</v>
      </c>
      <c r="D198" s="410" t="str">
        <f>VLOOKUP($A198,'0919門市清單主檔'!B:V,21,FALSE)</f>
        <v>板橋區</v>
      </c>
      <c r="E198" s="397" t="str">
        <f>VLOOKUP(D198,門市狀態!G:H,2,FALSE)</f>
        <v>狄澤洋</v>
      </c>
      <c r="F198" s="410" t="str">
        <f>IFERROR(IF(VLOOKUP(A198,門市狀態!A:D,4,FALSE)=0,"",VLOOKUP(A198,門市狀態!A:D,4,FALSE)),"")</f>
        <v/>
      </c>
      <c r="G198" s="424"/>
      <c r="H198" s="425" t="str">
        <f>IF(I198&gt;0,(TEXT(I198,"yyyymmdd")&amp;勤務統計!$V$2&amp;A198&amp;勤務統計!$V$2&amp;B198&amp;勤務統計!$S$2),"")</f>
        <v>-D609-板橋大興店(定保)</v>
      </c>
      <c r="I198" s="247" t="str">
        <f t="array" ref="I198">IF(AND(SUMPRODUCT((IM!$F$2:$F$5000=A198)*(ISNUMBER(SEARCH(勤務統計!$C$1, IM!$AC$2:$AC$5000))))&gt;0), 勤務統計!$C$1, "")</f>
        <v/>
      </c>
      <c r="J198" s="399" t="str">
        <f t="array" ref="J198">IFERROR(INDEX(IM!$AM$2:$AM$5000, MATCH(1, (IM!$F$2:$F$5000=A198) * (ISNUMBER(SEARCH(勤務統計!$C$1, IM!$AC$2:$AC$5000))), 0)), "")</f>
        <v/>
      </c>
      <c r="K198" s="400">
        <f t="array" ref="K198">SUMPRODUCT((IM!$F$2:$F$5000=A198)*(IM!$AD$2:$AD$5000="O")*(ISNUMBER(SEARCH(勤務統計!$C$1, IM!$AC$2:$AC$5000))))</f>
        <v>0</v>
      </c>
      <c r="L198" s="401" t="str">
        <f t="array" ref="L198">IF(K198&gt;0,IFERROR(HYPERLINK("#'IM'!AC"&amp;MATCH(1,(IM!$F$1:$F$5000=A198)*(ISNUMBER(SEARCH(勤務統計!$C$1,IM!$AC$1:$AC$5000))),0),"檢核"),"未登錄"),"")</f>
        <v/>
      </c>
      <c r="M198" s="402" t="str">
        <f t="shared" si="3"/>
        <v>+L90</v>
      </c>
      <c r="N198" s="402" t="str">
        <f t="array" ref="N198">IF(AND(
    SUMPRODUCT(
        (IM!$F$2:$F$522=A198) *
        ISNUMBER(SEARCH("*HUB*", IM!$AC$2:$AC$522)) *
        (IM!$X$2:$X$522&gt;=勤務統計!$A$1) *
        (IM!$X$2:$X$522&lt;=勤務統計!$B$1)*(W198="HUB")
    ) &gt; 0
), "HUB", "")</f>
        <v/>
      </c>
      <c r="O198" s="400" t="str">
        <f>IF(
  IFERROR(VLOOKUP(A198,勤務統計!A:I,9,FALSE),"")&lt;&gt;勤務統計!$C$1,
  "未完工",
  IF(
    AND(勤務統計!$D$1="--",勤務統計!$E$1="--",勤務統計!$F$1="--"),
    "已完工",
    IF(
      OR(
        AND(勤務統計!$D$1&lt;&gt;"--", IFERROR(VLOOKUP(A198,'0919門市清單主檔'!B:AH,31,FALSE),"")=勤務統計!$D$1, IFERROR(VLOOKUP(A198,勤務統計!A:Q,17,FALSE),"")&lt;&gt;勤務統計!$D$1),
        AND(勤務統計!$E$1&lt;&gt;"--", IFERROR(VLOOKUP(A198,'0919門市清單主檔'!B:AH,32,FALSE),"")=勤務統計!$E$1, IFERROR(VLOOKUP(A198,勤務統計!A:S,19,FALSE),"")&lt;&gt;勤務統計!$E$1),
        AND(勤務統計!$F$1&lt;&gt;"--", IFERROR(VLOOKUP(A198,'0919門市清單主檔'!B:AH,33,FALSE),"")=勤務統計!$F$1, IFERROR(VLOOKUP(A198,勤務統計!A:U,21,FALSE),"")&lt;&gt;勤務統計!$F$1),
        AND(IFERROR(VLOOKUP(A198,'0919門市清單主檔'!B:AH,28,FALSE),"")="HUB", IFERROR(VLOOKUP(A198,勤務統計!A:W,23,FALSE),"")&lt;&gt;"HUB")
      ),
      _xlfn.TEXTJOIN(
        "，",
        TRUE,
        IF(AND(勤務統計!$D$1&lt;&gt;"--", IFERROR(VLOOKUP(A198,'0919門市清單主檔'!B:AH,31,FALSE),"")=勤務統計!$D$1, IFERROR(VLOOKUP(A198,勤務統計!A:Q,17,FALSE),"")&lt;&gt;勤務統計!$D$1), 勤務統計!$D$1, ""),
        IF(AND(勤務統計!$E$1&lt;&gt;"--", IFERROR(VLOOKUP(A198,'0919門市清單主檔'!B:AH,32,FALSE),"")=勤務統計!$E$1, IFERROR(VLOOKUP(A198,勤務統計!A:S,19,FALSE),"")&lt;&gt;勤務統計!$E$1), 勤務統計!$E$1, ""),
        IF(AND(勤務統計!$F$1&lt;&gt;"--", IFERROR(VLOOKUP(A198,'0919門市清單主檔'!B:AH,33,FALSE),"")=勤務統計!$F$1, IFERROR(VLOOKUP(A198,勤務統計!A:U,21,FALSE),"")&lt;&gt;勤務統計!$F$1), 勤務統計!$F$1, ""),
        IF(AND(IFERROR(VLOOKUP(A198,'0919門市清單主檔'!B:AH,28,FALSE),"")="HUB", IFERROR(VLOOKUP(A198,勤務統計!A:W,23,FALSE),"")&lt;&gt;"HUB"), "HUB", "")
      ) &amp; "未完工",
      "已完工"
    )
  )
)</f>
        <v>未完工</v>
      </c>
      <c r="P198" s="403" t="str">
        <f>(TEXT(I198,"yyyymmdd"))&amp;勤務統計!$V$2&amp;A198&amp;勤務統計!$V$2&amp;B198&amp;勤務統計!$S$2</f>
        <v>-D609-板橋大興店(定保)</v>
      </c>
      <c r="Q198" s="420" t="str">
        <f t="array" ref="Q198">IF(AND(SUMPRODUCT((IM!$F$2:$F$5000=A198)*(ISNUMBER(SEARCH(勤務統計!$D$1, IM!$AC$2:$AC$5000))))&gt;0), 勤務統計!$D$1, "")</f>
        <v/>
      </c>
      <c r="R198" s="421" t="str">
        <f t="array" ref="R198">IFERROR(INDEX(IM!$AM$2:$AM$5000, MATCH(1, (IM!$F$2:$F$5000=A198) * (ISNUMBER(SEARCH(勤務統計!$D$1, IM!$AC$2:$AC$5000))), 0)), "")</f>
        <v/>
      </c>
      <c r="S198" s="406" t="str" cm="1">
        <f t="array" ref="S198">IF(AND(SUMPRODUCT((IM!$F$2:$F$5000=A198)*(ISNUMBER(SEARCH(勤務統計!$E$1, IM!$AC$2:$AC$5000))))&gt;0), 勤務統計!$E$1, "")</f>
        <v>+L90</v>
      </c>
      <c r="T198" s="422">
        <f t="array" ref="T198">IFERROR(INDEX(IM!$AM$2:$AM$5000, MATCH(1, (IM!$F$2:$F$5000=A198) * (ISNUMBER(SEARCH(勤務統計!$E$1, IM!$AC$2:$AC$5000))), 0)), "")</f>
        <v>45999</v>
      </c>
      <c r="U198" s="406" t="str" cm="1">
        <f t="array" ref="U198">IF(AND(SUMPRODUCT((IM!$F$2:$F$5000=A198)*(ISNUMBER(SEARCH(勤務統計!$F$1, IM!$AC$2:$AC$5000))))&gt;0), 勤務統計!$F$1, "")</f>
        <v/>
      </c>
      <c r="V198" s="413" t="str">
        <f t="array" ref="V198">IFERROR(INDEX(IM!$AM$2:$AM$5000, MATCH(1, (IM!$F$2:$F$5000=A198) * (ISNUMBER(SEARCH(勤務統計!$F$1, IM!$AC$2:$AC$5000))), 0)), "")</f>
        <v/>
      </c>
      <c r="W198" s="414" t="str">
        <f>IF(VLOOKUP(A198,'0919門市清單主檔'!B:AC,28,FALSE)=0,"",VLOOKUP(A198,'0919門市清單主檔'!B:AC,28,FALSE))</f>
        <v/>
      </c>
    </row>
    <row r="199" spans="1:23" ht="21.6" customHeight="1">
      <c r="A199" s="423">
        <v>4422</v>
      </c>
      <c r="B199" s="416" t="str">
        <f>VLOOKUP(A199,'0919門市清單主檔'!B:C,2,FALSE)</f>
        <v>板橋合安店</v>
      </c>
      <c r="C199" s="415" t="str">
        <f>VLOOKUP($A199,'0919門市清單主檔'!B:V,20,FALSE)</f>
        <v>新北市</v>
      </c>
      <c r="D199" s="410" t="str">
        <f>VLOOKUP($A199,'0919門市清單主檔'!B:V,21,FALSE)</f>
        <v>板橋區</v>
      </c>
      <c r="E199" s="397" t="str">
        <f>VLOOKUP(D199,門市狀態!G:H,2,FALSE)</f>
        <v>狄澤洋</v>
      </c>
      <c r="F199" s="410" t="str">
        <f>IFERROR(IF(VLOOKUP(A199,門市狀態!A:D,4,FALSE)=0,"",VLOOKUP(A199,門市狀態!A:D,4,FALSE)),"")</f>
        <v/>
      </c>
      <c r="G199" s="424"/>
      <c r="H199" s="425" t="str">
        <f>IF(I199&gt;0,(TEXT(I199,"yyyymmdd")&amp;勤務統計!$V$2&amp;A199&amp;勤務統計!$V$2&amp;B199&amp;勤務統計!$S$2),"")</f>
        <v>-4422-板橋合安店(定保)</v>
      </c>
      <c r="I199" s="247" t="str">
        <f t="array" ref="I199">IF(AND(SUMPRODUCT((IM!$F$2:$F$5000=A199)*(ISNUMBER(SEARCH(勤務統計!$C$1, IM!$AC$2:$AC$5000))))&gt;0), 勤務統計!$C$1, "")</f>
        <v/>
      </c>
      <c r="J199" s="399" t="str">
        <f t="array" ref="J199">IFERROR(INDEX(IM!$AM$2:$AM$5000, MATCH(1, (IM!$F$2:$F$5000=A199) * (ISNUMBER(SEARCH(勤務統計!$C$1, IM!$AC$2:$AC$5000))), 0)), "")</f>
        <v/>
      </c>
      <c r="K199" s="400">
        <f t="array" ref="K199">SUMPRODUCT((IM!$F$2:$F$5000=A199)*(IM!$AD$2:$AD$5000="O")*(ISNUMBER(SEARCH(勤務統計!$C$1, IM!$AC$2:$AC$5000))))</f>
        <v>0</v>
      </c>
      <c r="L199" s="401" t="str">
        <f t="array" ref="L199">IF(K199&gt;0,IFERROR(HYPERLINK("#'IM'!AC"&amp;MATCH(1,(IM!$F$1:$F$5000=A199)*(ISNUMBER(SEARCH(勤務統計!$C$1,IM!$AC$1:$AC$5000))),0),"檢核"),"未登錄"),"")</f>
        <v/>
      </c>
      <c r="M199" s="402" t="str">
        <f t="shared" si="3"/>
        <v>+L90</v>
      </c>
      <c r="N199" s="402" t="str">
        <f t="array" ref="N199">IF(AND(
    SUMPRODUCT(
        (IM!$F$2:$F$522=A199) *
        ISNUMBER(SEARCH("*HUB*", IM!$AC$2:$AC$522)) *
        (IM!$X$2:$X$522&gt;=勤務統計!$A$1) *
        (IM!$X$2:$X$522&lt;=勤務統計!$B$1)*(W199="HUB")
    ) &gt; 0
), "HUB", "")</f>
        <v/>
      </c>
      <c r="O199" s="400" t="str">
        <f>IF(
  IFERROR(VLOOKUP(A199,勤務統計!A:I,9,FALSE),"")&lt;&gt;勤務統計!$C$1,
  "未完工",
  IF(
    AND(勤務統計!$D$1="--",勤務統計!$E$1="--",勤務統計!$F$1="--"),
    "已完工",
    IF(
      OR(
        AND(勤務統計!$D$1&lt;&gt;"--", IFERROR(VLOOKUP(A199,'0919門市清單主檔'!B:AH,31,FALSE),"")=勤務統計!$D$1, IFERROR(VLOOKUP(A199,勤務統計!A:Q,17,FALSE),"")&lt;&gt;勤務統計!$D$1),
        AND(勤務統計!$E$1&lt;&gt;"--", IFERROR(VLOOKUP(A199,'0919門市清單主檔'!B:AH,32,FALSE),"")=勤務統計!$E$1, IFERROR(VLOOKUP(A199,勤務統計!A:S,19,FALSE),"")&lt;&gt;勤務統計!$E$1),
        AND(勤務統計!$F$1&lt;&gt;"--", IFERROR(VLOOKUP(A199,'0919門市清單主檔'!B:AH,33,FALSE),"")=勤務統計!$F$1, IFERROR(VLOOKUP(A199,勤務統計!A:U,21,FALSE),"")&lt;&gt;勤務統計!$F$1),
        AND(IFERROR(VLOOKUP(A199,'0919門市清單主檔'!B:AH,28,FALSE),"")="HUB", IFERROR(VLOOKUP(A199,勤務統計!A:W,23,FALSE),"")&lt;&gt;"HUB")
      ),
      _xlfn.TEXTJOIN(
        "，",
        TRUE,
        IF(AND(勤務統計!$D$1&lt;&gt;"--", IFERROR(VLOOKUP(A199,'0919門市清單主檔'!B:AH,31,FALSE),"")=勤務統計!$D$1, IFERROR(VLOOKUP(A199,勤務統計!A:Q,17,FALSE),"")&lt;&gt;勤務統計!$D$1), 勤務統計!$D$1, ""),
        IF(AND(勤務統計!$E$1&lt;&gt;"--", IFERROR(VLOOKUP(A199,'0919門市清單主檔'!B:AH,32,FALSE),"")=勤務統計!$E$1, IFERROR(VLOOKUP(A199,勤務統計!A:S,19,FALSE),"")&lt;&gt;勤務統計!$E$1), 勤務統計!$E$1, ""),
        IF(AND(勤務統計!$F$1&lt;&gt;"--", IFERROR(VLOOKUP(A199,'0919門市清單主檔'!B:AH,33,FALSE),"")=勤務統計!$F$1, IFERROR(VLOOKUP(A199,勤務統計!A:U,21,FALSE),"")&lt;&gt;勤務統計!$F$1), 勤務統計!$F$1, ""),
        IF(AND(IFERROR(VLOOKUP(A199,'0919門市清單主檔'!B:AH,28,FALSE),"")="HUB", IFERROR(VLOOKUP(A199,勤務統計!A:W,23,FALSE),"")&lt;&gt;"HUB"), "HUB", "")
      ) &amp; "未完工",
      "已完工"
    )
  )
)</f>
        <v>未完工</v>
      </c>
      <c r="P199" s="403" t="str">
        <f>(TEXT(I199,"yyyymmdd"))&amp;勤務統計!$V$2&amp;A199&amp;勤務統計!$V$2&amp;B199&amp;勤務統計!$S$2</f>
        <v>-4422-板橋合安店(定保)</v>
      </c>
      <c r="Q199" s="420" t="str">
        <f t="array" ref="Q199">IF(AND(SUMPRODUCT((IM!$F$2:$F$5000=A199)*(ISNUMBER(SEARCH(勤務統計!$D$1, IM!$AC$2:$AC$5000))))&gt;0), 勤務統計!$D$1, "")</f>
        <v/>
      </c>
      <c r="R199" s="421" t="str">
        <f t="array" ref="R199">IFERROR(INDEX(IM!$AM$2:$AM$5000, MATCH(1, (IM!$F$2:$F$5000=A199) * (ISNUMBER(SEARCH(勤務統計!$D$1, IM!$AC$2:$AC$5000))), 0)), "")</f>
        <v/>
      </c>
      <c r="S199" s="406" t="str" cm="1">
        <f t="array" ref="S199">IF(AND(SUMPRODUCT((IM!$F$2:$F$5000=A199)*(ISNUMBER(SEARCH(勤務統計!$E$1, IM!$AC$2:$AC$5000))))&gt;0), 勤務統計!$E$1, "")</f>
        <v>+L90</v>
      </c>
      <c r="T199" s="422">
        <f t="array" ref="T199">IFERROR(INDEX(IM!$AM$2:$AM$5000, MATCH(1, (IM!$F$2:$F$5000=A199) * (ISNUMBER(SEARCH(勤務統計!$E$1, IM!$AC$2:$AC$5000))), 0)), "")</f>
        <v>45999</v>
      </c>
      <c r="U199" s="406" t="str" cm="1">
        <f t="array" ref="U199">IF(AND(SUMPRODUCT((IM!$F$2:$F$5000=A199)*(ISNUMBER(SEARCH(勤務統計!$F$1, IM!$AC$2:$AC$5000))))&gt;0), 勤務統計!$F$1, "")</f>
        <v/>
      </c>
      <c r="V199" s="413" t="str">
        <f t="array" ref="V199">IFERROR(INDEX(IM!$AM$2:$AM$5000, MATCH(1, (IM!$F$2:$F$5000=A199) * (ISNUMBER(SEARCH(勤務統計!$F$1, IM!$AC$2:$AC$5000))), 0)), "")</f>
        <v/>
      </c>
      <c r="W199" s="414" t="str">
        <f>IF(VLOOKUP(A199,'0919門市清單主檔'!B:AC,28,FALSE)=0,"",VLOOKUP(A199,'0919門市清單主檔'!B:AC,28,FALSE))</f>
        <v/>
      </c>
    </row>
    <row r="200" spans="1:23" ht="21.6" customHeight="1">
      <c r="A200" s="423">
        <v>2349</v>
      </c>
      <c r="B200" s="416" t="str">
        <f>VLOOKUP(A200,'0919門市清單主檔'!B:C,2,FALSE)</f>
        <v>三重永福店</v>
      </c>
      <c r="C200" s="415" t="str">
        <f>VLOOKUP($A200,'0919門市清單主檔'!B:V,20,FALSE)</f>
        <v>新北市</v>
      </c>
      <c r="D200" s="410" t="str">
        <f>VLOOKUP($A200,'0919門市清單主檔'!B:V,21,FALSE)</f>
        <v>三重區</v>
      </c>
      <c r="E200" s="397" t="str">
        <f>VLOOKUP(D200,門市狀態!G:H,2,FALSE)</f>
        <v>劉柏均</v>
      </c>
      <c r="F200" s="410" t="str">
        <f>IFERROR(IF(VLOOKUP(A200,門市狀態!A:D,4,FALSE)=0,"",VLOOKUP(A200,門市狀態!A:D,4,FALSE)),"")</f>
        <v/>
      </c>
      <c r="G200" s="424"/>
      <c r="H200" s="425" t="str">
        <f>IF(I200&gt;0,(TEXT(I200,"yyyymmdd")&amp;勤務統計!$V$2&amp;A200&amp;勤務統計!$V$2&amp;B200&amp;勤務統計!$S$2),"")</f>
        <v>-2349-三重永福店(定保)</v>
      </c>
      <c r="I200" s="247" t="str">
        <f t="array" ref="I200">IF(AND(SUMPRODUCT((IM!$F$2:$F$5000=A200)*(ISNUMBER(SEARCH(勤務統計!$C$1, IM!$AC$2:$AC$5000))))&gt;0), 勤務統計!$C$1, "")</f>
        <v/>
      </c>
      <c r="J200" s="399" t="str">
        <f t="array" ref="J200">IFERROR(INDEX(IM!$AM$2:$AM$5000, MATCH(1, (IM!$F$2:$F$5000=A200) * (ISNUMBER(SEARCH(勤務統計!$C$1, IM!$AC$2:$AC$5000))), 0)), "")</f>
        <v/>
      </c>
      <c r="K200" s="400">
        <f t="array" ref="K200">SUMPRODUCT((IM!$F$2:$F$5000=A200)*(IM!$AD$2:$AD$5000="O")*(ISNUMBER(SEARCH(勤務統計!$C$1, IM!$AC$2:$AC$5000))))</f>
        <v>0</v>
      </c>
      <c r="L200" s="401" t="str">
        <f t="array" ref="L200">IF(K200&gt;0,IFERROR(HYPERLINK("#'IM'!AC"&amp;MATCH(1,(IM!$F$1:$F$5000=A200)*(ISNUMBER(SEARCH(勤務統計!$C$1,IM!$AC$1:$AC$5000))),0),"檢核"),"未登錄"),"")</f>
        <v/>
      </c>
      <c r="M200" s="402" t="str">
        <f t="shared" si="3"/>
        <v>+L90</v>
      </c>
      <c r="N200" s="402" t="str">
        <f t="array" ref="N200">IF(AND(
    SUMPRODUCT(
        (IM!$F$2:$F$522=A200) *
        ISNUMBER(SEARCH("*HUB*", IM!$AC$2:$AC$522)) *
        (IM!$X$2:$X$522&gt;=勤務統計!$A$1) *
        (IM!$X$2:$X$522&lt;=勤務統計!$B$1)*(W200="HUB")
    ) &gt; 0
), "HUB", "")</f>
        <v/>
      </c>
      <c r="O200" s="400" t="str">
        <f>IF(
  IFERROR(VLOOKUP(A200,勤務統計!A:I,9,FALSE),"")&lt;&gt;勤務統計!$C$1,
  "未完工",
  IF(
    AND(勤務統計!$D$1="--",勤務統計!$E$1="--",勤務統計!$F$1="--"),
    "已完工",
    IF(
      OR(
        AND(勤務統計!$D$1&lt;&gt;"--", IFERROR(VLOOKUP(A200,'0919門市清單主檔'!B:AH,31,FALSE),"")=勤務統計!$D$1, IFERROR(VLOOKUP(A200,勤務統計!A:Q,17,FALSE),"")&lt;&gt;勤務統計!$D$1),
        AND(勤務統計!$E$1&lt;&gt;"--", IFERROR(VLOOKUP(A200,'0919門市清單主檔'!B:AH,32,FALSE),"")=勤務統計!$E$1, IFERROR(VLOOKUP(A200,勤務統計!A:S,19,FALSE),"")&lt;&gt;勤務統計!$E$1),
        AND(勤務統計!$F$1&lt;&gt;"--", IFERROR(VLOOKUP(A200,'0919門市清單主檔'!B:AH,33,FALSE),"")=勤務統計!$F$1, IFERROR(VLOOKUP(A200,勤務統計!A:U,21,FALSE),"")&lt;&gt;勤務統計!$F$1),
        AND(IFERROR(VLOOKUP(A200,'0919門市清單主檔'!B:AH,28,FALSE),"")="HUB", IFERROR(VLOOKUP(A200,勤務統計!A:W,23,FALSE),"")&lt;&gt;"HUB")
      ),
      _xlfn.TEXTJOIN(
        "，",
        TRUE,
        IF(AND(勤務統計!$D$1&lt;&gt;"--", IFERROR(VLOOKUP(A200,'0919門市清單主檔'!B:AH,31,FALSE),"")=勤務統計!$D$1, IFERROR(VLOOKUP(A200,勤務統計!A:Q,17,FALSE),"")&lt;&gt;勤務統計!$D$1), 勤務統計!$D$1, ""),
        IF(AND(勤務統計!$E$1&lt;&gt;"--", IFERROR(VLOOKUP(A200,'0919門市清單主檔'!B:AH,32,FALSE),"")=勤務統計!$E$1, IFERROR(VLOOKUP(A200,勤務統計!A:S,19,FALSE),"")&lt;&gt;勤務統計!$E$1), 勤務統計!$E$1, ""),
        IF(AND(勤務統計!$F$1&lt;&gt;"--", IFERROR(VLOOKUP(A200,'0919門市清單主檔'!B:AH,33,FALSE),"")=勤務統計!$F$1, IFERROR(VLOOKUP(A200,勤務統計!A:U,21,FALSE),"")&lt;&gt;勤務統計!$F$1), 勤務統計!$F$1, ""),
        IF(AND(IFERROR(VLOOKUP(A200,'0919門市清單主檔'!B:AH,28,FALSE),"")="HUB", IFERROR(VLOOKUP(A200,勤務統計!A:W,23,FALSE),"")&lt;&gt;"HUB"), "HUB", "")
      ) &amp; "未完工",
      "已完工"
    )
  )
)</f>
        <v>未完工</v>
      </c>
      <c r="P200" s="403" t="str">
        <f>(TEXT(I200,"yyyymmdd"))&amp;勤務統計!$V$2&amp;A200&amp;勤務統計!$V$2&amp;B200&amp;勤務統計!$S$2</f>
        <v>-2349-三重永福店(定保)</v>
      </c>
      <c r="Q200" s="420" t="str">
        <f t="array" ref="Q200">IF(AND(SUMPRODUCT((IM!$F$2:$F$5000=A200)*(ISNUMBER(SEARCH(勤務統計!$D$1, IM!$AC$2:$AC$5000))))&gt;0), 勤務統計!$D$1, "")</f>
        <v/>
      </c>
      <c r="R200" s="421" t="str">
        <f t="array" ref="R200">IFERROR(INDEX(IM!$AM$2:$AM$5000, MATCH(1, (IM!$F$2:$F$5000=A200) * (ISNUMBER(SEARCH(勤務統計!$D$1, IM!$AC$2:$AC$5000))), 0)), "")</f>
        <v/>
      </c>
      <c r="S200" s="406" t="str" cm="1">
        <f t="array" ref="S200">IF(AND(SUMPRODUCT((IM!$F$2:$F$5000=A200)*(ISNUMBER(SEARCH(勤務統計!$E$1, IM!$AC$2:$AC$5000))))&gt;0), 勤務統計!$E$1, "")</f>
        <v>+L90</v>
      </c>
      <c r="T200" s="422">
        <f t="array" ref="T200">IFERROR(INDEX(IM!$AM$2:$AM$5000, MATCH(1, (IM!$F$2:$F$5000=A200) * (ISNUMBER(SEARCH(勤務統計!$E$1, IM!$AC$2:$AC$5000))), 0)), "")</f>
        <v>45999</v>
      </c>
      <c r="U200" s="406" t="str" cm="1">
        <f t="array" ref="U200">IF(AND(SUMPRODUCT((IM!$F$2:$F$5000=A200)*(ISNUMBER(SEARCH(勤務統計!$F$1, IM!$AC$2:$AC$5000))))&gt;0), 勤務統計!$F$1, "")</f>
        <v/>
      </c>
      <c r="V200" s="413" t="str">
        <f t="array" ref="V200">IFERROR(INDEX(IM!$AM$2:$AM$5000, MATCH(1, (IM!$F$2:$F$5000=A200) * (ISNUMBER(SEARCH(勤務統計!$F$1, IM!$AC$2:$AC$5000))), 0)), "")</f>
        <v/>
      </c>
      <c r="W200" s="414" t="str">
        <f>IF(VLOOKUP(A200,'0919門市清單主檔'!B:AC,28,FALSE)=0,"",VLOOKUP(A200,'0919門市清單主檔'!B:AC,28,FALSE))</f>
        <v/>
      </c>
    </row>
    <row r="201" spans="1:23" ht="21.6" customHeight="1">
      <c r="A201" s="423" t="s">
        <v>78</v>
      </c>
      <c r="B201" s="416" t="str">
        <f>VLOOKUP(A201,'0919門市清單主檔'!B:C,2,FALSE)</f>
        <v>三重維德店</v>
      </c>
      <c r="C201" s="415" t="str">
        <f>VLOOKUP($A201,'0919門市清單主檔'!B:V,20,FALSE)</f>
        <v>新北市</v>
      </c>
      <c r="D201" s="410" t="str">
        <f>VLOOKUP($A201,'0919門市清單主檔'!B:V,21,FALSE)</f>
        <v>三重區</v>
      </c>
      <c r="E201" s="397" t="str">
        <f>VLOOKUP(D201,門市狀態!G:H,2,FALSE)</f>
        <v>劉柏均</v>
      </c>
      <c r="F201" s="410" t="str">
        <f>IFERROR(IF(VLOOKUP(A201,門市狀態!A:D,4,FALSE)=0,"",VLOOKUP(A201,門市狀態!A:D,4,FALSE)),"")</f>
        <v/>
      </c>
      <c r="G201" s="424"/>
      <c r="H201" s="425" t="str">
        <f>IF(I201&gt;0,(TEXT(I201,"yyyymmdd")&amp;勤務統計!$V$2&amp;A201&amp;勤務統計!$V$2&amp;B201&amp;勤務統計!$S$2),"")</f>
        <v>-D346-三重維德店(定保)</v>
      </c>
      <c r="I201" s="247" t="str">
        <f t="array" ref="I201">IF(AND(SUMPRODUCT((IM!$F$2:$F$5000=A201)*(ISNUMBER(SEARCH(勤務統計!$C$1, IM!$AC$2:$AC$5000))))&gt;0), 勤務統計!$C$1, "")</f>
        <v/>
      </c>
      <c r="J201" s="399" t="str">
        <f t="array" ref="J201">IFERROR(INDEX(IM!$AM$2:$AM$5000, MATCH(1, (IM!$F$2:$F$5000=A201) * (ISNUMBER(SEARCH(勤務統計!$C$1, IM!$AC$2:$AC$5000))), 0)), "")</f>
        <v/>
      </c>
      <c r="K201" s="400">
        <f t="array" ref="K201">SUMPRODUCT((IM!$F$2:$F$5000=A201)*(IM!$AD$2:$AD$5000="O")*(ISNUMBER(SEARCH(勤務統計!$C$1, IM!$AC$2:$AC$5000))))</f>
        <v>0</v>
      </c>
      <c r="L201" s="401" t="str">
        <f t="array" ref="L201">IF(K201&gt;0,IFERROR(HYPERLINK("#'IM'!AC"&amp;MATCH(1,(IM!$F$1:$F$5000=A201)*(ISNUMBER(SEARCH(勤務統計!$C$1,IM!$AC$1:$AC$5000))),0),"檢核"),"未登錄"),"")</f>
        <v/>
      </c>
      <c r="M201" s="402" t="str">
        <f t="shared" si="3"/>
        <v>+L90</v>
      </c>
      <c r="N201" s="402" t="str">
        <f t="array" ref="N201">IF(AND(
    SUMPRODUCT(
        (IM!$F$2:$F$522=A201) *
        ISNUMBER(SEARCH("*HUB*", IM!$AC$2:$AC$522)) *
        (IM!$X$2:$X$522&gt;=勤務統計!$A$1) *
        (IM!$X$2:$X$522&lt;=勤務統計!$B$1)*(W201="HUB")
    ) &gt; 0
), "HUB", "")</f>
        <v/>
      </c>
      <c r="O201" s="400" t="str">
        <f>IF(
  IFERROR(VLOOKUP(A201,勤務統計!A:I,9,FALSE),"")&lt;&gt;勤務統計!$C$1,
  "未完工",
  IF(
    AND(勤務統計!$D$1="--",勤務統計!$E$1="--",勤務統計!$F$1="--"),
    "已完工",
    IF(
      OR(
        AND(勤務統計!$D$1&lt;&gt;"--", IFERROR(VLOOKUP(A201,'0919門市清單主檔'!B:AH,31,FALSE),"")=勤務統計!$D$1, IFERROR(VLOOKUP(A201,勤務統計!A:Q,17,FALSE),"")&lt;&gt;勤務統計!$D$1),
        AND(勤務統計!$E$1&lt;&gt;"--", IFERROR(VLOOKUP(A201,'0919門市清單主檔'!B:AH,32,FALSE),"")=勤務統計!$E$1, IFERROR(VLOOKUP(A201,勤務統計!A:S,19,FALSE),"")&lt;&gt;勤務統計!$E$1),
        AND(勤務統計!$F$1&lt;&gt;"--", IFERROR(VLOOKUP(A201,'0919門市清單主檔'!B:AH,33,FALSE),"")=勤務統計!$F$1, IFERROR(VLOOKUP(A201,勤務統計!A:U,21,FALSE),"")&lt;&gt;勤務統計!$F$1),
        AND(IFERROR(VLOOKUP(A201,'0919門市清單主檔'!B:AH,28,FALSE),"")="HUB", IFERROR(VLOOKUP(A201,勤務統計!A:W,23,FALSE),"")&lt;&gt;"HUB")
      ),
      _xlfn.TEXTJOIN(
        "，",
        TRUE,
        IF(AND(勤務統計!$D$1&lt;&gt;"--", IFERROR(VLOOKUP(A201,'0919門市清單主檔'!B:AH,31,FALSE),"")=勤務統計!$D$1, IFERROR(VLOOKUP(A201,勤務統計!A:Q,17,FALSE),"")&lt;&gt;勤務統計!$D$1), 勤務統計!$D$1, ""),
        IF(AND(勤務統計!$E$1&lt;&gt;"--", IFERROR(VLOOKUP(A201,'0919門市清單主檔'!B:AH,32,FALSE),"")=勤務統計!$E$1, IFERROR(VLOOKUP(A201,勤務統計!A:S,19,FALSE),"")&lt;&gt;勤務統計!$E$1), 勤務統計!$E$1, ""),
        IF(AND(勤務統計!$F$1&lt;&gt;"--", IFERROR(VLOOKUP(A201,'0919門市清單主檔'!B:AH,33,FALSE),"")=勤務統計!$F$1, IFERROR(VLOOKUP(A201,勤務統計!A:U,21,FALSE),"")&lt;&gt;勤務統計!$F$1), 勤務統計!$F$1, ""),
        IF(AND(IFERROR(VLOOKUP(A201,'0919門市清單主檔'!B:AH,28,FALSE),"")="HUB", IFERROR(VLOOKUP(A201,勤務統計!A:W,23,FALSE),"")&lt;&gt;"HUB"), "HUB", "")
      ) &amp; "未完工",
      "已完工"
    )
  )
)</f>
        <v>未完工</v>
      </c>
      <c r="P201" s="403" t="str">
        <f>(TEXT(I201,"yyyymmdd"))&amp;勤務統計!$V$2&amp;A201&amp;勤務統計!$V$2&amp;B201&amp;勤務統計!$S$2</f>
        <v>-D346-三重維德店(定保)</v>
      </c>
      <c r="Q201" s="420" t="str">
        <f t="array" ref="Q201">IF(AND(SUMPRODUCT((IM!$F$2:$F$5000=A201)*(ISNUMBER(SEARCH(勤務統計!$D$1, IM!$AC$2:$AC$5000))))&gt;0), 勤務統計!$D$1, "")</f>
        <v/>
      </c>
      <c r="R201" s="421" t="str">
        <f t="array" ref="R201">IFERROR(INDEX(IM!$AM$2:$AM$5000, MATCH(1, (IM!$F$2:$F$5000=A201) * (ISNUMBER(SEARCH(勤務統計!$D$1, IM!$AC$2:$AC$5000))), 0)), "")</f>
        <v/>
      </c>
      <c r="S201" s="406" t="str" cm="1">
        <f t="array" ref="S201">IF(AND(SUMPRODUCT((IM!$F$2:$F$5000=A201)*(ISNUMBER(SEARCH(勤務統計!$E$1, IM!$AC$2:$AC$5000))))&gt;0), 勤務統計!$E$1, "")</f>
        <v>+L90</v>
      </c>
      <c r="T201" s="422">
        <f t="array" ref="T201">IFERROR(INDEX(IM!$AM$2:$AM$5000, MATCH(1, (IM!$F$2:$F$5000=A201) * (ISNUMBER(SEARCH(勤務統計!$E$1, IM!$AC$2:$AC$5000))), 0)), "")</f>
        <v>45999</v>
      </c>
      <c r="U201" s="406" t="str" cm="1">
        <f t="array" ref="U201">IF(AND(SUMPRODUCT((IM!$F$2:$F$5000=A201)*(ISNUMBER(SEARCH(勤務統計!$F$1, IM!$AC$2:$AC$5000))))&gt;0), 勤務統計!$F$1, "")</f>
        <v/>
      </c>
      <c r="V201" s="413" t="str">
        <f t="array" ref="V201">IFERROR(INDEX(IM!$AM$2:$AM$5000, MATCH(1, (IM!$F$2:$F$5000=A201) * (ISNUMBER(SEARCH(勤務統計!$F$1, IM!$AC$2:$AC$5000))), 0)), "")</f>
        <v/>
      </c>
      <c r="W201" s="414" t="str">
        <f>IF(VLOOKUP(A201,'0919門市清單主檔'!B:AC,28,FALSE)=0,"",VLOOKUP(A201,'0919門市清單主檔'!B:AC,28,FALSE))</f>
        <v/>
      </c>
    </row>
    <row r="202" spans="1:23" ht="21.6" customHeight="1">
      <c r="A202" s="423">
        <v>3772</v>
      </c>
      <c r="B202" s="416" t="str">
        <f>VLOOKUP(A202,'0919門市清單主檔'!B:C,2,FALSE)</f>
        <v>三重美溪店</v>
      </c>
      <c r="C202" s="415" t="str">
        <f>VLOOKUP($A202,'0919門市清單主檔'!B:V,20,FALSE)</f>
        <v>新北市</v>
      </c>
      <c r="D202" s="410" t="str">
        <f>VLOOKUP($A202,'0919門市清單主檔'!B:V,21,FALSE)</f>
        <v>三重區</v>
      </c>
      <c r="E202" s="397" t="str">
        <f>VLOOKUP(D202,門市狀態!G:H,2,FALSE)</f>
        <v>劉柏均</v>
      </c>
      <c r="F202" s="410" t="str">
        <f>IFERROR(IF(VLOOKUP(A202,門市狀態!A:D,4,FALSE)=0,"",VLOOKUP(A202,門市狀態!A:D,4,FALSE)),"")</f>
        <v/>
      </c>
      <c r="G202" s="424"/>
      <c r="H202" s="425" t="str">
        <f>IF(I202&gt;0,(TEXT(I202,"yyyymmdd")&amp;勤務統計!$V$2&amp;A202&amp;勤務統計!$V$2&amp;B202&amp;勤務統計!$S$2),"")</f>
        <v>-3772-三重美溪店(定保)</v>
      </c>
      <c r="I202" s="247" t="str">
        <f t="array" ref="I202">IF(AND(SUMPRODUCT((IM!$F$2:$F$5000=A202)*(ISNUMBER(SEARCH(勤務統計!$C$1, IM!$AC$2:$AC$5000))))&gt;0), 勤務統計!$C$1, "")</f>
        <v/>
      </c>
      <c r="J202" s="399" t="str">
        <f t="array" ref="J202">IFERROR(INDEX(IM!$AM$2:$AM$5000, MATCH(1, (IM!$F$2:$F$5000=A202) * (ISNUMBER(SEARCH(勤務統計!$C$1, IM!$AC$2:$AC$5000))), 0)), "")</f>
        <v/>
      </c>
      <c r="K202" s="400">
        <f t="array" ref="K202">SUMPRODUCT((IM!$F$2:$F$5000=A202)*(IM!$AD$2:$AD$5000="O")*(ISNUMBER(SEARCH(勤務統計!$C$1, IM!$AC$2:$AC$5000))))</f>
        <v>0</v>
      </c>
      <c r="L202" s="401" t="str">
        <f t="array" ref="L202">IF(K202&gt;0,IFERROR(HYPERLINK("#'IM'!AC"&amp;MATCH(1,(IM!$F$1:$F$5000=A202)*(ISNUMBER(SEARCH(勤務統計!$C$1,IM!$AC$1:$AC$5000))),0),"檢核"),"未登錄"),"")</f>
        <v/>
      </c>
      <c r="M202" s="402" t="str">
        <f t="shared" si="3"/>
        <v>+L90</v>
      </c>
      <c r="N202" s="402" t="str">
        <f t="array" ref="N202">IF(AND(
    SUMPRODUCT(
        (IM!$F$2:$F$522=A202) *
        ISNUMBER(SEARCH("*HUB*", IM!$AC$2:$AC$522)) *
        (IM!$X$2:$X$522&gt;=勤務統計!$A$1) *
        (IM!$X$2:$X$522&lt;=勤務統計!$B$1)*(W202="HUB")
    ) &gt; 0
), "HUB", "")</f>
        <v/>
      </c>
      <c r="O202" s="400" t="str">
        <f>IF(
  IFERROR(VLOOKUP(A202,勤務統計!A:I,9,FALSE),"")&lt;&gt;勤務統計!$C$1,
  "未完工",
  IF(
    AND(勤務統計!$D$1="--",勤務統計!$E$1="--",勤務統計!$F$1="--"),
    "已完工",
    IF(
      OR(
        AND(勤務統計!$D$1&lt;&gt;"--", IFERROR(VLOOKUP(A202,'0919門市清單主檔'!B:AH,31,FALSE),"")=勤務統計!$D$1, IFERROR(VLOOKUP(A202,勤務統計!A:Q,17,FALSE),"")&lt;&gt;勤務統計!$D$1),
        AND(勤務統計!$E$1&lt;&gt;"--", IFERROR(VLOOKUP(A202,'0919門市清單主檔'!B:AH,32,FALSE),"")=勤務統計!$E$1, IFERROR(VLOOKUP(A202,勤務統計!A:S,19,FALSE),"")&lt;&gt;勤務統計!$E$1),
        AND(勤務統計!$F$1&lt;&gt;"--", IFERROR(VLOOKUP(A202,'0919門市清單主檔'!B:AH,33,FALSE),"")=勤務統計!$F$1, IFERROR(VLOOKUP(A202,勤務統計!A:U,21,FALSE),"")&lt;&gt;勤務統計!$F$1),
        AND(IFERROR(VLOOKUP(A202,'0919門市清單主檔'!B:AH,28,FALSE),"")="HUB", IFERROR(VLOOKUP(A202,勤務統計!A:W,23,FALSE),"")&lt;&gt;"HUB")
      ),
      _xlfn.TEXTJOIN(
        "，",
        TRUE,
        IF(AND(勤務統計!$D$1&lt;&gt;"--", IFERROR(VLOOKUP(A202,'0919門市清單主檔'!B:AH,31,FALSE),"")=勤務統計!$D$1, IFERROR(VLOOKUP(A202,勤務統計!A:Q,17,FALSE),"")&lt;&gt;勤務統計!$D$1), 勤務統計!$D$1, ""),
        IF(AND(勤務統計!$E$1&lt;&gt;"--", IFERROR(VLOOKUP(A202,'0919門市清單主檔'!B:AH,32,FALSE),"")=勤務統計!$E$1, IFERROR(VLOOKUP(A202,勤務統計!A:S,19,FALSE),"")&lt;&gt;勤務統計!$E$1), 勤務統計!$E$1, ""),
        IF(AND(勤務統計!$F$1&lt;&gt;"--", IFERROR(VLOOKUP(A202,'0919門市清單主檔'!B:AH,33,FALSE),"")=勤務統計!$F$1, IFERROR(VLOOKUP(A202,勤務統計!A:U,21,FALSE),"")&lt;&gt;勤務統計!$F$1), 勤務統計!$F$1, ""),
        IF(AND(IFERROR(VLOOKUP(A202,'0919門市清單主檔'!B:AH,28,FALSE),"")="HUB", IFERROR(VLOOKUP(A202,勤務統計!A:W,23,FALSE),"")&lt;&gt;"HUB"), "HUB", "")
      ) &amp; "未完工",
      "已完工"
    )
  )
)</f>
        <v>未完工</v>
      </c>
      <c r="P202" s="403" t="str">
        <f>(TEXT(I202,"yyyymmdd"))&amp;勤務統計!$V$2&amp;A202&amp;勤務統計!$V$2&amp;B202&amp;勤務統計!$S$2</f>
        <v>-3772-三重美溪店(定保)</v>
      </c>
      <c r="Q202" s="420" t="str">
        <f t="array" ref="Q202">IF(AND(SUMPRODUCT((IM!$F$2:$F$5000=A202)*(ISNUMBER(SEARCH(勤務統計!$D$1, IM!$AC$2:$AC$5000))))&gt;0), 勤務統計!$D$1, "")</f>
        <v/>
      </c>
      <c r="R202" s="421" t="str">
        <f t="array" ref="R202">IFERROR(INDEX(IM!$AM$2:$AM$5000, MATCH(1, (IM!$F$2:$F$5000=A202) * (ISNUMBER(SEARCH(勤務統計!$D$1, IM!$AC$2:$AC$5000))), 0)), "")</f>
        <v/>
      </c>
      <c r="S202" s="406" t="str" cm="1">
        <f t="array" ref="S202">IF(AND(SUMPRODUCT((IM!$F$2:$F$5000=A202)*(ISNUMBER(SEARCH(勤務統計!$E$1, IM!$AC$2:$AC$5000))))&gt;0), 勤務統計!$E$1, "")</f>
        <v>+L90</v>
      </c>
      <c r="T202" s="422">
        <f t="array" ref="T202">IFERROR(INDEX(IM!$AM$2:$AM$5000, MATCH(1, (IM!$F$2:$F$5000=A202) * (ISNUMBER(SEARCH(勤務統計!$E$1, IM!$AC$2:$AC$5000))), 0)), "")</f>
        <v>45999</v>
      </c>
      <c r="U202" s="406" t="str" cm="1">
        <f t="array" ref="U202">IF(AND(SUMPRODUCT((IM!$F$2:$F$5000=A202)*(ISNUMBER(SEARCH(勤務統計!$F$1, IM!$AC$2:$AC$5000))))&gt;0), 勤務統計!$F$1, "")</f>
        <v/>
      </c>
      <c r="V202" s="413" t="str">
        <f t="array" ref="V202">IFERROR(INDEX(IM!$AM$2:$AM$5000, MATCH(1, (IM!$F$2:$F$5000=A202) * (ISNUMBER(SEARCH(勤務統計!$F$1, IM!$AC$2:$AC$5000))), 0)), "")</f>
        <v/>
      </c>
      <c r="W202" s="414" t="str">
        <f>IF(VLOOKUP(A202,'0919門市清單主檔'!B:AC,28,FALSE)=0,"",VLOOKUP(A202,'0919門市清單主檔'!B:AC,28,FALSE))</f>
        <v/>
      </c>
    </row>
    <row r="203" spans="1:23" ht="21.6" customHeight="1">
      <c r="A203" s="423" t="s">
        <v>79</v>
      </c>
      <c r="B203" s="416" t="str">
        <f>VLOOKUP(A203,'0919門市清單主檔'!B:C,2,FALSE)</f>
        <v>三重徐匯站</v>
      </c>
      <c r="C203" s="415" t="str">
        <f>VLOOKUP($A203,'0919門市清單主檔'!B:V,20,FALSE)</f>
        <v>新北市</v>
      </c>
      <c r="D203" s="410" t="str">
        <f>VLOOKUP($A203,'0919門市清單主檔'!B:V,21,FALSE)</f>
        <v>三重區</v>
      </c>
      <c r="E203" s="397" t="str">
        <f>VLOOKUP(D203,門市狀態!G:H,2,FALSE)</f>
        <v>劉柏均</v>
      </c>
      <c r="F203" s="410" t="str">
        <f>IFERROR(IF(VLOOKUP(A203,門市狀態!A:D,4,FALSE)=0,"",VLOOKUP(A203,門市狀態!A:D,4,FALSE)),"")</f>
        <v/>
      </c>
      <c r="G203" s="424"/>
      <c r="H203" s="425" t="str">
        <f>IF(I203&gt;0,(TEXT(I203,"yyyymmdd")&amp;勤務統計!$V$2&amp;A203&amp;勤務統計!$V$2&amp;B203&amp;勤務統計!$S$2),"")</f>
        <v>-D350-三重徐匯站(定保)</v>
      </c>
      <c r="I203" s="247" t="str">
        <f t="array" ref="I203">IF(AND(SUMPRODUCT((IM!$F$2:$F$5000=A203)*(ISNUMBER(SEARCH(勤務統計!$C$1, IM!$AC$2:$AC$5000))))&gt;0), 勤務統計!$C$1, "")</f>
        <v/>
      </c>
      <c r="J203" s="399" t="str">
        <f t="array" ref="J203">IFERROR(INDEX(IM!$AM$2:$AM$5000, MATCH(1, (IM!$F$2:$F$5000=A203) * (ISNUMBER(SEARCH(勤務統計!$C$1, IM!$AC$2:$AC$5000))), 0)), "")</f>
        <v/>
      </c>
      <c r="K203" s="400">
        <f t="array" ref="K203">SUMPRODUCT((IM!$F$2:$F$5000=A203)*(IM!$AD$2:$AD$5000="O")*(ISNUMBER(SEARCH(勤務統計!$C$1, IM!$AC$2:$AC$5000))))</f>
        <v>0</v>
      </c>
      <c r="L203" s="401" t="str">
        <f t="array" ref="L203">IF(K203&gt;0,IFERROR(HYPERLINK("#'IM'!AC"&amp;MATCH(1,(IM!$F$1:$F$5000=A203)*(ISNUMBER(SEARCH(勤務統計!$C$1,IM!$AC$1:$AC$5000))),0),"檢核"),"未登錄"),"")</f>
        <v/>
      </c>
      <c r="M203" s="402" t="str">
        <f t="shared" si="3"/>
        <v>+L90</v>
      </c>
      <c r="N203" s="402" t="str">
        <f t="array" ref="N203">IF(AND(
    SUMPRODUCT(
        (IM!$F$2:$F$522=A203) *
        ISNUMBER(SEARCH("*HUB*", IM!$AC$2:$AC$522)) *
        (IM!$X$2:$X$522&gt;=勤務統計!$A$1) *
        (IM!$X$2:$X$522&lt;=勤務統計!$B$1)*(W203="HUB")
    ) &gt; 0
), "HUB", "")</f>
        <v/>
      </c>
      <c r="O203" s="400" t="str">
        <f>IF(
  IFERROR(VLOOKUP(A203,勤務統計!A:I,9,FALSE),"")&lt;&gt;勤務統計!$C$1,
  "未完工",
  IF(
    AND(勤務統計!$D$1="--",勤務統計!$E$1="--",勤務統計!$F$1="--"),
    "已完工",
    IF(
      OR(
        AND(勤務統計!$D$1&lt;&gt;"--", IFERROR(VLOOKUP(A203,'0919門市清單主檔'!B:AH,31,FALSE),"")=勤務統計!$D$1, IFERROR(VLOOKUP(A203,勤務統計!A:Q,17,FALSE),"")&lt;&gt;勤務統計!$D$1),
        AND(勤務統計!$E$1&lt;&gt;"--", IFERROR(VLOOKUP(A203,'0919門市清單主檔'!B:AH,32,FALSE),"")=勤務統計!$E$1, IFERROR(VLOOKUP(A203,勤務統計!A:S,19,FALSE),"")&lt;&gt;勤務統計!$E$1),
        AND(勤務統計!$F$1&lt;&gt;"--", IFERROR(VLOOKUP(A203,'0919門市清單主檔'!B:AH,33,FALSE),"")=勤務統計!$F$1, IFERROR(VLOOKUP(A203,勤務統計!A:U,21,FALSE),"")&lt;&gt;勤務統計!$F$1),
        AND(IFERROR(VLOOKUP(A203,'0919門市清單主檔'!B:AH,28,FALSE),"")="HUB", IFERROR(VLOOKUP(A203,勤務統計!A:W,23,FALSE),"")&lt;&gt;"HUB")
      ),
      _xlfn.TEXTJOIN(
        "，",
        TRUE,
        IF(AND(勤務統計!$D$1&lt;&gt;"--", IFERROR(VLOOKUP(A203,'0919門市清單主檔'!B:AH,31,FALSE),"")=勤務統計!$D$1, IFERROR(VLOOKUP(A203,勤務統計!A:Q,17,FALSE),"")&lt;&gt;勤務統計!$D$1), 勤務統計!$D$1, ""),
        IF(AND(勤務統計!$E$1&lt;&gt;"--", IFERROR(VLOOKUP(A203,'0919門市清單主檔'!B:AH,32,FALSE),"")=勤務統計!$E$1, IFERROR(VLOOKUP(A203,勤務統計!A:S,19,FALSE),"")&lt;&gt;勤務統計!$E$1), 勤務統計!$E$1, ""),
        IF(AND(勤務統計!$F$1&lt;&gt;"--", IFERROR(VLOOKUP(A203,'0919門市清單主檔'!B:AH,33,FALSE),"")=勤務統計!$F$1, IFERROR(VLOOKUP(A203,勤務統計!A:U,21,FALSE),"")&lt;&gt;勤務統計!$F$1), 勤務統計!$F$1, ""),
        IF(AND(IFERROR(VLOOKUP(A203,'0919門市清單主檔'!B:AH,28,FALSE),"")="HUB", IFERROR(VLOOKUP(A203,勤務統計!A:W,23,FALSE),"")&lt;&gt;"HUB"), "HUB", "")
      ) &amp; "未完工",
      "已完工"
    )
  )
)</f>
        <v>未完工</v>
      </c>
      <c r="P203" s="403" t="str">
        <f>(TEXT(I203,"yyyymmdd"))&amp;勤務統計!$V$2&amp;A203&amp;勤務統計!$V$2&amp;B203&amp;勤務統計!$S$2</f>
        <v>-D350-三重徐匯站(定保)</v>
      </c>
      <c r="Q203" s="420" t="str">
        <f t="array" ref="Q203">IF(AND(SUMPRODUCT((IM!$F$2:$F$5000=A203)*(ISNUMBER(SEARCH(勤務統計!$D$1, IM!$AC$2:$AC$5000))))&gt;0), 勤務統計!$D$1, "")</f>
        <v/>
      </c>
      <c r="R203" s="421" t="str">
        <f t="array" ref="R203">IFERROR(INDEX(IM!$AM$2:$AM$5000, MATCH(1, (IM!$F$2:$F$5000=A203) * (ISNUMBER(SEARCH(勤務統計!$D$1, IM!$AC$2:$AC$5000))), 0)), "")</f>
        <v/>
      </c>
      <c r="S203" s="406" t="str" cm="1">
        <f t="array" ref="S203">IF(AND(SUMPRODUCT((IM!$F$2:$F$5000=A203)*(ISNUMBER(SEARCH(勤務統計!$E$1, IM!$AC$2:$AC$5000))))&gt;0), 勤務統計!$E$1, "")</f>
        <v>+L90</v>
      </c>
      <c r="T203" s="422">
        <f t="array" ref="T203">IFERROR(INDEX(IM!$AM$2:$AM$5000, MATCH(1, (IM!$F$2:$F$5000=A203) * (ISNUMBER(SEARCH(勤務統計!$E$1, IM!$AC$2:$AC$5000))), 0)), "")</f>
        <v>45999</v>
      </c>
      <c r="U203" s="406" t="str" cm="1">
        <f t="array" ref="U203">IF(AND(SUMPRODUCT((IM!$F$2:$F$5000=A203)*(ISNUMBER(SEARCH(勤務統計!$F$1, IM!$AC$2:$AC$5000))))&gt;0), 勤務統計!$F$1, "")</f>
        <v/>
      </c>
      <c r="V203" s="413" t="str">
        <f t="array" ref="V203">IFERROR(INDEX(IM!$AM$2:$AM$5000, MATCH(1, (IM!$F$2:$F$5000=A203) * (ISNUMBER(SEARCH(勤務統計!$F$1, IM!$AC$2:$AC$5000))), 0)), "")</f>
        <v/>
      </c>
      <c r="W203" s="414" t="str">
        <f>IF(VLOOKUP(A203,'0919門市清單主檔'!B:AC,28,FALSE)=0,"",VLOOKUP(A203,'0919門市清單主檔'!B:AC,28,FALSE))</f>
        <v/>
      </c>
    </row>
    <row r="204" spans="1:23" ht="21.6" customHeight="1">
      <c r="A204" s="423">
        <v>3957</v>
      </c>
      <c r="B204" s="416" t="str">
        <f>VLOOKUP(A204,'0919門市清單主檔'!B:C,2,FALSE)</f>
        <v>三重福仁店</v>
      </c>
      <c r="C204" s="415" t="str">
        <f>VLOOKUP($A204,'0919門市清單主檔'!B:V,20,FALSE)</f>
        <v>新北市</v>
      </c>
      <c r="D204" s="410" t="str">
        <f>VLOOKUP($A204,'0919門市清單主檔'!B:V,21,FALSE)</f>
        <v>三重區</v>
      </c>
      <c r="E204" s="397" t="str">
        <f>VLOOKUP(D204,門市狀態!G:H,2,FALSE)</f>
        <v>劉柏均</v>
      </c>
      <c r="F204" s="410" t="str">
        <f>IFERROR(IF(VLOOKUP(A204,門市狀態!A:D,4,FALSE)=0,"",VLOOKUP(A204,門市狀態!A:D,4,FALSE)),"")</f>
        <v/>
      </c>
      <c r="G204" s="424"/>
      <c r="H204" s="425" t="str">
        <f>IF(I204&gt;0,(TEXT(I204,"yyyymmdd")&amp;勤務統計!$V$2&amp;A204&amp;勤務統計!$V$2&amp;B204&amp;勤務統計!$S$2),"")</f>
        <v>-3957-三重福仁店(定保)</v>
      </c>
      <c r="I204" s="247" t="str">
        <f t="array" ref="I204">IF(AND(SUMPRODUCT((IM!$F$2:$F$5000=A204)*(ISNUMBER(SEARCH(勤務統計!$C$1, IM!$AC$2:$AC$5000))))&gt;0), 勤務統計!$C$1, "")</f>
        <v/>
      </c>
      <c r="J204" s="399" t="str">
        <f t="array" ref="J204">IFERROR(INDEX(IM!$AM$2:$AM$5000, MATCH(1, (IM!$F$2:$F$5000=A204) * (ISNUMBER(SEARCH(勤務統計!$C$1, IM!$AC$2:$AC$5000))), 0)), "")</f>
        <v/>
      </c>
      <c r="K204" s="400">
        <f t="array" ref="K204">SUMPRODUCT((IM!$F$2:$F$5000=A204)*(IM!$AD$2:$AD$5000="O")*(ISNUMBER(SEARCH(勤務統計!$C$1, IM!$AC$2:$AC$5000))))</f>
        <v>0</v>
      </c>
      <c r="L204" s="401" t="str">
        <f t="array" ref="L204">IF(K204&gt;0,IFERROR(HYPERLINK("#'IM'!AC"&amp;MATCH(1,(IM!$F$1:$F$5000=A204)*(ISNUMBER(SEARCH(勤務統計!$C$1,IM!$AC$1:$AC$5000))),0),"檢核"),"未登錄"),"")</f>
        <v/>
      </c>
      <c r="M204" s="402" t="str">
        <f t="shared" si="3"/>
        <v>+L90</v>
      </c>
      <c r="N204" s="402" t="str">
        <f t="array" ref="N204">IF(AND(
    SUMPRODUCT(
        (IM!$F$2:$F$522=A204) *
        ISNUMBER(SEARCH("*HUB*", IM!$AC$2:$AC$522)) *
        (IM!$X$2:$X$522&gt;=勤務統計!$A$1) *
        (IM!$X$2:$X$522&lt;=勤務統計!$B$1)*(W204="HUB")
    ) &gt; 0
), "HUB", "")</f>
        <v/>
      </c>
      <c r="O204" s="400" t="str">
        <f>IF(
  IFERROR(VLOOKUP(A204,勤務統計!A:I,9,FALSE),"")&lt;&gt;勤務統計!$C$1,
  "未完工",
  IF(
    AND(勤務統計!$D$1="--",勤務統計!$E$1="--",勤務統計!$F$1="--"),
    "已完工",
    IF(
      OR(
        AND(勤務統計!$D$1&lt;&gt;"--", IFERROR(VLOOKUP(A204,'0919門市清單主檔'!B:AH,31,FALSE),"")=勤務統計!$D$1, IFERROR(VLOOKUP(A204,勤務統計!A:Q,17,FALSE),"")&lt;&gt;勤務統計!$D$1),
        AND(勤務統計!$E$1&lt;&gt;"--", IFERROR(VLOOKUP(A204,'0919門市清單主檔'!B:AH,32,FALSE),"")=勤務統計!$E$1, IFERROR(VLOOKUP(A204,勤務統計!A:S,19,FALSE),"")&lt;&gt;勤務統計!$E$1),
        AND(勤務統計!$F$1&lt;&gt;"--", IFERROR(VLOOKUP(A204,'0919門市清單主檔'!B:AH,33,FALSE),"")=勤務統計!$F$1, IFERROR(VLOOKUP(A204,勤務統計!A:U,21,FALSE),"")&lt;&gt;勤務統計!$F$1),
        AND(IFERROR(VLOOKUP(A204,'0919門市清單主檔'!B:AH,28,FALSE),"")="HUB", IFERROR(VLOOKUP(A204,勤務統計!A:W,23,FALSE),"")&lt;&gt;"HUB")
      ),
      _xlfn.TEXTJOIN(
        "，",
        TRUE,
        IF(AND(勤務統計!$D$1&lt;&gt;"--", IFERROR(VLOOKUP(A204,'0919門市清單主檔'!B:AH,31,FALSE),"")=勤務統計!$D$1, IFERROR(VLOOKUP(A204,勤務統計!A:Q,17,FALSE),"")&lt;&gt;勤務統計!$D$1), 勤務統計!$D$1, ""),
        IF(AND(勤務統計!$E$1&lt;&gt;"--", IFERROR(VLOOKUP(A204,'0919門市清單主檔'!B:AH,32,FALSE),"")=勤務統計!$E$1, IFERROR(VLOOKUP(A204,勤務統計!A:S,19,FALSE),"")&lt;&gt;勤務統計!$E$1), 勤務統計!$E$1, ""),
        IF(AND(勤務統計!$F$1&lt;&gt;"--", IFERROR(VLOOKUP(A204,'0919門市清單主檔'!B:AH,33,FALSE),"")=勤務統計!$F$1, IFERROR(VLOOKUP(A204,勤務統計!A:U,21,FALSE),"")&lt;&gt;勤務統計!$F$1), 勤務統計!$F$1, ""),
        IF(AND(IFERROR(VLOOKUP(A204,'0919門市清單主檔'!B:AH,28,FALSE),"")="HUB", IFERROR(VLOOKUP(A204,勤務統計!A:W,23,FALSE),"")&lt;&gt;"HUB"), "HUB", "")
      ) &amp; "未完工",
      "已完工"
    )
  )
)</f>
        <v>未完工</v>
      </c>
      <c r="P204" s="403" t="str">
        <f>(TEXT(I204,"yyyymmdd"))&amp;勤務統計!$V$2&amp;A204&amp;勤務統計!$V$2&amp;B204&amp;勤務統計!$S$2</f>
        <v>-3957-三重福仁店(定保)</v>
      </c>
      <c r="Q204" s="420" t="str">
        <f t="array" ref="Q204">IF(AND(SUMPRODUCT((IM!$F$2:$F$5000=A204)*(ISNUMBER(SEARCH(勤務統計!$D$1, IM!$AC$2:$AC$5000))))&gt;0), 勤務統計!$D$1, "")</f>
        <v/>
      </c>
      <c r="R204" s="421" t="str">
        <f t="array" ref="R204">IFERROR(INDEX(IM!$AM$2:$AM$5000, MATCH(1, (IM!$F$2:$F$5000=A204) * (ISNUMBER(SEARCH(勤務統計!$D$1, IM!$AC$2:$AC$5000))), 0)), "")</f>
        <v/>
      </c>
      <c r="S204" s="406" t="str" cm="1">
        <f t="array" ref="S204">IF(AND(SUMPRODUCT((IM!$F$2:$F$5000=A204)*(ISNUMBER(SEARCH(勤務統計!$E$1, IM!$AC$2:$AC$5000))))&gt;0), 勤務統計!$E$1, "")</f>
        <v>+L90</v>
      </c>
      <c r="T204" s="422">
        <f t="array" ref="T204">IFERROR(INDEX(IM!$AM$2:$AM$5000, MATCH(1, (IM!$F$2:$F$5000=A204) * (ISNUMBER(SEARCH(勤務統計!$E$1, IM!$AC$2:$AC$5000))), 0)), "")</f>
        <v>45999</v>
      </c>
      <c r="U204" s="406" t="str" cm="1">
        <f t="array" ref="U204">IF(AND(SUMPRODUCT((IM!$F$2:$F$5000=A204)*(ISNUMBER(SEARCH(勤務統計!$F$1, IM!$AC$2:$AC$5000))))&gt;0), 勤務統計!$F$1, "")</f>
        <v/>
      </c>
      <c r="V204" s="413" t="str">
        <f t="array" ref="V204">IFERROR(INDEX(IM!$AM$2:$AM$5000, MATCH(1, (IM!$F$2:$F$5000=A204) * (ISNUMBER(SEARCH(勤務統計!$F$1, IM!$AC$2:$AC$5000))), 0)), "")</f>
        <v/>
      </c>
      <c r="W204" s="414" t="str">
        <f>IF(VLOOKUP(A204,'0919門市清單主檔'!B:AC,28,FALSE)=0,"",VLOOKUP(A204,'0919門市清單主檔'!B:AC,28,FALSE))</f>
        <v/>
      </c>
    </row>
    <row r="205" spans="1:23" ht="21.6" customHeight="1">
      <c r="A205" s="423">
        <v>4298</v>
      </c>
      <c r="B205" s="416" t="str">
        <f>VLOOKUP(A205,'0919門市清單主檔'!B:C,2,FALSE)</f>
        <v>淡水後洲店</v>
      </c>
      <c r="C205" s="415" t="str">
        <f>VLOOKUP($A205,'0919門市清單主檔'!B:V,20,FALSE)</f>
        <v>新北市</v>
      </c>
      <c r="D205" s="410" t="str">
        <f>VLOOKUP($A205,'0919門市清單主檔'!B:V,21,FALSE)</f>
        <v>淡水區</v>
      </c>
      <c r="E205" s="397" t="str">
        <f>VLOOKUP(D205,門市狀態!G:H,2,FALSE)</f>
        <v>吳宗鴻</v>
      </c>
      <c r="F205" s="410" t="str">
        <f>IFERROR(IF(VLOOKUP(A205,門市狀態!A:D,4,FALSE)=0,"",VLOOKUP(A205,門市狀態!A:D,4,FALSE)),"")</f>
        <v/>
      </c>
      <c r="G205" s="424"/>
      <c r="H205" s="425" t="str">
        <f>IF(I205&gt;0,(TEXT(I205,"yyyymmdd")&amp;勤務統計!$V$2&amp;A205&amp;勤務統計!$V$2&amp;B205&amp;勤務統計!$S$2),"")</f>
        <v>-4298-淡水後洲店(定保)</v>
      </c>
      <c r="I205" s="247" t="str">
        <f t="array" ref="I205">IF(AND(SUMPRODUCT((IM!$F$2:$F$5000=A205)*(ISNUMBER(SEARCH(勤務統計!$C$1, IM!$AC$2:$AC$5000))))&gt;0), 勤務統計!$C$1, "")</f>
        <v/>
      </c>
      <c r="J205" s="399" t="str">
        <f t="array" ref="J205">IFERROR(INDEX(IM!$AM$2:$AM$5000, MATCH(1, (IM!$F$2:$F$5000=A205) * (ISNUMBER(SEARCH(勤務統計!$C$1, IM!$AC$2:$AC$5000))), 0)), "")</f>
        <v/>
      </c>
      <c r="K205" s="400">
        <f t="array" ref="K205">SUMPRODUCT((IM!$F$2:$F$5000=A205)*(IM!$AD$2:$AD$5000="O")*(ISNUMBER(SEARCH(勤務統計!$C$1, IM!$AC$2:$AC$5000))))</f>
        <v>0</v>
      </c>
      <c r="L205" s="401" t="str">
        <f t="array" ref="L205">IF(K205&gt;0,IFERROR(HYPERLINK("#'IM'!AC"&amp;MATCH(1,(IM!$F$1:$F$5000=A205)*(ISNUMBER(SEARCH(勤務統計!$C$1,IM!$AC$1:$AC$5000))),0),"檢核"),"未登錄"),"")</f>
        <v/>
      </c>
      <c r="M205" s="402" t="str">
        <f t="shared" si="3"/>
        <v>+L90</v>
      </c>
      <c r="N205" s="402" t="str">
        <f t="array" ref="N205">IF(AND(
    SUMPRODUCT(
        (IM!$F$2:$F$522=A205) *
        ISNUMBER(SEARCH("*HUB*", IM!$AC$2:$AC$522)) *
        (IM!$X$2:$X$522&gt;=勤務統計!$A$1) *
        (IM!$X$2:$X$522&lt;=勤務統計!$B$1)*(W205="HUB")
    ) &gt; 0
), "HUB", "")</f>
        <v/>
      </c>
      <c r="O205" s="400" t="str">
        <f>IF(
  IFERROR(VLOOKUP(A205,勤務統計!A:I,9,FALSE),"")&lt;&gt;勤務統計!$C$1,
  "未完工",
  IF(
    AND(勤務統計!$D$1="--",勤務統計!$E$1="--",勤務統計!$F$1="--"),
    "已完工",
    IF(
      OR(
        AND(勤務統計!$D$1&lt;&gt;"--", IFERROR(VLOOKUP(A205,'0919門市清單主檔'!B:AH,31,FALSE),"")=勤務統計!$D$1, IFERROR(VLOOKUP(A205,勤務統計!A:Q,17,FALSE),"")&lt;&gt;勤務統計!$D$1),
        AND(勤務統計!$E$1&lt;&gt;"--", IFERROR(VLOOKUP(A205,'0919門市清單主檔'!B:AH,32,FALSE),"")=勤務統計!$E$1, IFERROR(VLOOKUP(A205,勤務統計!A:S,19,FALSE),"")&lt;&gt;勤務統計!$E$1),
        AND(勤務統計!$F$1&lt;&gt;"--", IFERROR(VLOOKUP(A205,'0919門市清單主檔'!B:AH,33,FALSE),"")=勤務統計!$F$1, IFERROR(VLOOKUP(A205,勤務統計!A:U,21,FALSE),"")&lt;&gt;勤務統計!$F$1),
        AND(IFERROR(VLOOKUP(A205,'0919門市清單主檔'!B:AH,28,FALSE),"")="HUB", IFERROR(VLOOKUP(A205,勤務統計!A:W,23,FALSE),"")&lt;&gt;"HUB")
      ),
      _xlfn.TEXTJOIN(
        "，",
        TRUE,
        IF(AND(勤務統計!$D$1&lt;&gt;"--", IFERROR(VLOOKUP(A205,'0919門市清單主檔'!B:AH,31,FALSE),"")=勤務統計!$D$1, IFERROR(VLOOKUP(A205,勤務統計!A:Q,17,FALSE),"")&lt;&gt;勤務統計!$D$1), 勤務統計!$D$1, ""),
        IF(AND(勤務統計!$E$1&lt;&gt;"--", IFERROR(VLOOKUP(A205,'0919門市清單主檔'!B:AH,32,FALSE),"")=勤務統計!$E$1, IFERROR(VLOOKUP(A205,勤務統計!A:S,19,FALSE),"")&lt;&gt;勤務統計!$E$1), 勤務統計!$E$1, ""),
        IF(AND(勤務統計!$F$1&lt;&gt;"--", IFERROR(VLOOKUP(A205,'0919門市清單主檔'!B:AH,33,FALSE),"")=勤務統計!$F$1, IFERROR(VLOOKUP(A205,勤務統計!A:U,21,FALSE),"")&lt;&gt;勤務統計!$F$1), 勤務統計!$F$1, ""),
        IF(AND(IFERROR(VLOOKUP(A205,'0919門市清單主檔'!B:AH,28,FALSE),"")="HUB", IFERROR(VLOOKUP(A205,勤務統計!A:W,23,FALSE),"")&lt;&gt;"HUB"), "HUB", "")
      ) &amp; "未完工",
      "已完工"
    )
  )
)</f>
        <v>未完工</v>
      </c>
      <c r="P205" s="403" t="str">
        <f>(TEXT(I205,"yyyymmdd"))&amp;勤務統計!$V$2&amp;A205&amp;勤務統計!$V$2&amp;B205&amp;勤務統計!$S$2</f>
        <v>-4298-淡水後洲店(定保)</v>
      </c>
      <c r="Q205" s="420" t="str">
        <f t="array" ref="Q205">IF(AND(SUMPRODUCT((IM!$F$2:$F$5000=A205)*(ISNUMBER(SEARCH(勤務統計!$D$1, IM!$AC$2:$AC$5000))))&gt;0), 勤務統計!$D$1, "")</f>
        <v/>
      </c>
      <c r="R205" s="421" t="str">
        <f t="array" ref="R205">IFERROR(INDEX(IM!$AM$2:$AM$5000, MATCH(1, (IM!$F$2:$F$5000=A205) * (ISNUMBER(SEARCH(勤務統計!$D$1, IM!$AC$2:$AC$5000))), 0)), "")</f>
        <v/>
      </c>
      <c r="S205" s="406" t="str" cm="1">
        <f t="array" ref="S205">IF(AND(SUMPRODUCT((IM!$F$2:$F$5000=A205)*(ISNUMBER(SEARCH(勤務統計!$E$1, IM!$AC$2:$AC$5000))))&gt;0), 勤務統計!$E$1, "")</f>
        <v>+L90</v>
      </c>
      <c r="T205" s="422">
        <f t="array" ref="T205">IFERROR(INDEX(IM!$AM$2:$AM$5000, MATCH(1, (IM!$F$2:$F$5000=A205) * (ISNUMBER(SEARCH(勤務統計!$E$1, IM!$AC$2:$AC$5000))), 0)), "")</f>
        <v>46000</v>
      </c>
      <c r="U205" s="406" t="str" cm="1">
        <f t="array" ref="U205">IF(AND(SUMPRODUCT((IM!$F$2:$F$5000=A205)*(ISNUMBER(SEARCH(勤務統計!$F$1, IM!$AC$2:$AC$5000))))&gt;0), 勤務統計!$F$1, "")</f>
        <v/>
      </c>
      <c r="V205" s="413" t="str">
        <f t="array" ref="V205">IFERROR(INDEX(IM!$AM$2:$AM$5000, MATCH(1, (IM!$F$2:$F$5000=A205) * (ISNUMBER(SEARCH(勤務統計!$F$1, IM!$AC$2:$AC$5000))), 0)), "")</f>
        <v/>
      </c>
      <c r="W205" s="414" t="str">
        <f>IF(VLOOKUP(A205,'0919門市清單主檔'!B:AC,28,FALSE)=0,"",VLOOKUP(A205,'0919門市清單主檔'!B:AC,28,FALSE))</f>
        <v/>
      </c>
    </row>
    <row r="206" spans="1:23" ht="21.6" customHeight="1">
      <c r="A206" s="429">
        <v>4658</v>
      </c>
      <c r="B206" s="416" t="str">
        <f>VLOOKUP(A206,'0919門市清單主檔'!B:C,2,FALSE)</f>
        <v>淡水英才店</v>
      </c>
      <c r="C206" s="430" t="str">
        <f>VLOOKUP($A206,'0919門市清單主檔'!B:V,20,FALSE)</f>
        <v>新北市</v>
      </c>
      <c r="D206" s="431" t="str">
        <f>VLOOKUP($A206,'0919門市清單主檔'!B:V,21,FALSE)</f>
        <v>淡水區</v>
      </c>
      <c r="E206" s="397" t="str">
        <f>VLOOKUP(D206,門市狀態!G:H,2,FALSE)</f>
        <v>吳宗鴻</v>
      </c>
      <c r="F206" s="410" t="str">
        <f>IFERROR(IF(VLOOKUP(A206,門市狀態!A:D,4,FALSE)=0,"",VLOOKUP(A206,門市狀態!A:D,4,FALSE)),"")</f>
        <v/>
      </c>
      <c r="G206" s="432"/>
      <c r="H206" s="425" t="str">
        <f>IF(I206&gt;0,(TEXT(I206,"yyyymmdd")&amp;勤務統計!$V$2&amp;A206&amp;勤務統計!$V$2&amp;B206&amp;勤務統計!$S$2),"")</f>
        <v>-4658-淡水英才店(定保)</v>
      </c>
      <c r="I206" s="247" t="str">
        <f t="array" ref="I206">IF(AND(SUMPRODUCT((IM!$F$2:$F$5000=A206)*(ISNUMBER(SEARCH(勤務統計!$C$1, IM!$AC$2:$AC$5000))))&gt;0), 勤務統計!$C$1, "")</f>
        <v/>
      </c>
      <c r="J206" s="399" t="str">
        <f t="array" ref="J206">IFERROR(INDEX(IM!$AM$2:$AM$5000, MATCH(1, (IM!$F$2:$F$5000=A206) * (ISNUMBER(SEARCH(勤務統計!$C$1, IM!$AC$2:$AC$5000))), 0)), "")</f>
        <v/>
      </c>
      <c r="K206" s="400">
        <f t="array" ref="K206">SUMPRODUCT((IM!$F$2:$F$5000=A206)*(IM!$AD$2:$AD$5000="O")*(ISNUMBER(SEARCH(勤務統計!$C$1, IM!$AC$2:$AC$5000))))</f>
        <v>0</v>
      </c>
      <c r="L206" s="401" t="str">
        <f t="array" ref="L206">IF(K206&gt;0,IFERROR(HYPERLINK("#'IM'!AC"&amp;MATCH(1,(IM!$F$1:$F$5000=A206)*(ISNUMBER(SEARCH(勤務統計!$C$1,IM!$AC$1:$AC$5000))),0),"檢核"),"未登錄"),"")</f>
        <v/>
      </c>
      <c r="M206" s="402" t="str">
        <f t="shared" si="3"/>
        <v>+L90</v>
      </c>
      <c r="N206" s="402" t="str">
        <f t="array" ref="N206">IF(AND(
    SUMPRODUCT(
        (IM!$F$2:$F$522=A206) *
        ISNUMBER(SEARCH("*HUB*", IM!$AC$2:$AC$522)) *
        (IM!$X$2:$X$522&gt;=勤務統計!$A$1) *
        (IM!$X$2:$X$522&lt;=勤務統計!$B$1)*(W206="HUB")
    ) &gt; 0
), "HUB", "")</f>
        <v/>
      </c>
      <c r="O206" s="400" t="str">
        <f>IF(
  IFERROR(VLOOKUP(A206,勤務統計!A:I,9,FALSE),"")&lt;&gt;勤務統計!$C$1,
  "未完工",
  IF(
    AND(勤務統計!$D$1="--",勤務統計!$E$1="--",勤務統計!$F$1="--"),
    "已完工",
    IF(
      OR(
        AND(勤務統計!$D$1&lt;&gt;"--", IFERROR(VLOOKUP(A206,'0919門市清單主檔'!B:AH,31,FALSE),"")=勤務統計!$D$1, IFERROR(VLOOKUP(A206,勤務統計!A:Q,17,FALSE),"")&lt;&gt;勤務統計!$D$1),
        AND(勤務統計!$E$1&lt;&gt;"--", IFERROR(VLOOKUP(A206,'0919門市清單主檔'!B:AH,32,FALSE),"")=勤務統計!$E$1, IFERROR(VLOOKUP(A206,勤務統計!A:S,19,FALSE),"")&lt;&gt;勤務統計!$E$1),
        AND(勤務統計!$F$1&lt;&gt;"--", IFERROR(VLOOKUP(A206,'0919門市清單主檔'!B:AH,33,FALSE),"")=勤務統計!$F$1, IFERROR(VLOOKUP(A206,勤務統計!A:U,21,FALSE),"")&lt;&gt;勤務統計!$F$1),
        AND(IFERROR(VLOOKUP(A206,'0919門市清單主檔'!B:AH,28,FALSE),"")="HUB", IFERROR(VLOOKUP(A206,勤務統計!A:W,23,FALSE),"")&lt;&gt;"HUB")
      ),
      _xlfn.TEXTJOIN(
        "，",
        TRUE,
        IF(AND(勤務統計!$D$1&lt;&gt;"--", IFERROR(VLOOKUP(A206,'0919門市清單主檔'!B:AH,31,FALSE),"")=勤務統計!$D$1, IFERROR(VLOOKUP(A206,勤務統計!A:Q,17,FALSE),"")&lt;&gt;勤務統計!$D$1), 勤務統計!$D$1, ""),
        IF(AND(勤務統計!$E$1&lt;&gt;"--", IFERROR(VLOOKUP(A206,'0919門市清單主檔'!B:AH,32,FALSE),"")=勤務統計!$E$1, IFERROR(VLOOKUP(A206,勤務統計!A:S,19,FALSE),"")&lt;&gt;勤務統計!$E$1), 勤務統計!$E$1, ""),
        IF(AND(勤務統計!$F$1&lt;&gt;"--", IFERROR(VLOOKUP(A206,'0919門市清單主檔'!B:AH,33,FALSE),"")=勤務統計!$F$1, IFERROR(VLOOKUP(A206,勤務統計!A:U,21,FALSE),"")&lt;&gt;勤務統計!$F$1), 勤務統計!$F$1, ""),
        IF(AND(IFERROR(VLOOKUP(A206,'0919門市清單主檔'!B:AH,28,FALSE),"")="HUB", IFERROR(VLOOKUP(A206,勤務統計!A:W,23,FALSE),"")&lt;&gt;"HUB"), "HUB", "")
      ) &amp; "未完工",
      "已完工"
    )
  )
)</f>
        <v>未完工</v>
      </c>
      <c r="P206" s="403" t="str">
        <f>(TEXT(I206,"yyyymmdd"))&amp;勤務統計!$V$2&amp;A206&amp;勤務統計!$V$2&amp;B206&amp;勤務統計!$S$2</f>
        <v>-4658-淡水英才店(定保)</v>
      </c>
      <c r="Q206" s="420" t="str">
        <f t="array" ref="Q206">IF(AND(SUMPRODUCT((IM!$F$2:$F$5000=A206)*(ISNUMBER(SEARCH(勤務統計!$D$1, IM!$AC$2:$AC$5000))))&gt;0), 勤務統計!$D$1, "")</f>
        <v/>
      </c>
      <c r="R206" s="421" t="str">
        <f t="array" ref="R206">IFERROR(INDEX(IM!$AM$2:$AM$5000, MATCH(1, (IM!$F$2:$F$5000=A206) * (ISNUMBER(SEARCH(勤務統計!$D$1, IM!$AC$2:$AC$5000))), 0)), "")</f>
        <v/>
      </c>
      <c r="S206" s="406" t="str" cm="1">
        <f t="array" ref="S206">IF(AND(SUMPRODUCT((IM!$F$2:$F$5000=A206)*(ISNUMBER(SEARCH(勤務統計!$E$1, IM!$AC$2:$AC$5000))))&gt;0), 勤務統計!$E$1, "")</f>
        <v>+L90</v>
      </c>
      <c r="T206" s="422">
        <f t="array" ref="T206">IFERROR(INDEX(IM!$AM$2:$AM$5000, MATCH(1, (IM!$F$2:$F$5000=A206) * (ISNUMBER(SEARCH(勤務統計!$E$1, IM!$AC$2:$AC$5000))), 0)), "")</f>
        <v>46000</v>
      </c>
      <c r="U206" s="406" t="str" cm="1">
        <f t="array" ref="U206">IF(AND(SUMPRODUCT((IM!$F$2:$F$5000=A206)*(ISNUMBER(SEARCH(勤務統計!$F$1, IM!$AC$2:$AC$5000))))&gt;0), 勤務統計!$F$1, "")</f>
        <v/>
      </c>
      <c r="V206" s="413" t="str">
        <f t="array" ref="V206">IFERROR(INDEX(IM!$AM$2:$AM$5000, MATCH(1, (IM!$F$2:$F$5000=A206) * (ISNUMBER(SEARCH(勤務統計!$F$1, IM!$AC$2:$AC$5000))), 0)), "")</f>
        <v/>
      </c>
      <c r="W206" s="414" t="str">
        <f>IF(VLOOKUP(A206,'0919門市清單主檔'!B:AC,28,FALSE)=0,"",VLOOKUP(A206,'0919門市清單主檔'!B:AC,28,FALSE))</f>
        <v/>
      </c>
    </row>
    <row r="207" spans="1:23" ht="21.6" customHeight="1">
      <c r="A207" s="409">
        <v>3751</v>
      </c>
      <c r="B207" s="416" t="str">
        <f>VLOOKUP(A207,'0919門市清單主檔'!B:C,2,FALSE)</f>
        <v>淡水真理大</v>
      </c>
      <c r="C207" s="409" t="str">
        <f>VLOOKUP($A207,'0919門市清單主檔'!B:V,20,FALSE)</f>
        <v>新北市</v>
      </c>
      <c r="D207" s="409" t="str">
        <f>VLOOKUP($A207,'0919門市清單主檔'!B:V,21,FALSE)</f>
        <v>淡水區</v>
      </c>
      <c r="E207" s="397" t="str">
        <f>VLOOKUP(D207,門市狀態!G:H,2,FALSE)</f>
        <v>吳宗鴻</v>
      </c>
      <c r="F207" s="410" t="str">
        <f>IFERROR(IF(VLOOKUP(A207,門市狀態!A:D,4,FALSE)=0,"",VLOOKUP(A207,門市狀態!A:D,4,FALSE)),"")</f>
        <v/>
      </c>
      <c r="G207" s="409" t="s">
        <v>66</v>
      </c>
      <c r="H207" s="425" t="str">
        <f>IF(I207&gt;0,(TEXT(I207,"yyyymmdd")&amp;勤務統計!$V$2&amp;A207&amp;勤務統計!$V$2&amp;B207&amp;勤務統計!$S$2),"")</f>
        <v>-3751-淡水真理大(定保)</v>
      </c>
      <c r="I207" s="247" t="str">
        <f t="array" ref="I207">IF(AND(SUMPRODUCT((IM!$F$2:$F$5000=A207)*(ISNUMBER(SEARCH(勤務統計!$C$1, IM!$AC$2:$AC$5000))))&gt;0), 勤務統計!$C$1, "")</f>
        <v/>
      </c>
      <c r="J207" s="399" t="str">
        <f t="array" ref="J207">IFERROR(INDEX(IM!$AM$2:$AM$5000, MATCH(1, (IM!$F$2:$F$5000=A207) * (ISNUMBER(SEARCH(勤務統計!$C$1, IM!$AC$2:$AC$5000))), 0)), "")</f>
        <v/>
      </c>
      <c r="K207" s="400">
        <f t="array" ref="K207">SUMPRODUCT((IM!$F$2:$F$5000=A207)*(IM!$AD$2:$AD$5000="O")*(ISNUMBER(SEARCH(勤務統計!$C$1, IM!$AC$2:$AC$5000))))</f>
        <v>0</v>
      </c>
      <c r="L207" s="401" t="str">
        <f t="array" ref="L207">IF(K207&gt;0,IFERROR(HYPERLINK("#'IM'!AC"&amp;MATCH(1,(IM!$F$1:$F$5000=A207)*(ISNUMBER(SEARCH(勤務統計!$C$1,IM!$AC$1:$AC$5000))),0),"檢核"),"未登錄"),"")</f>
        <v/>
      </c>
      <c r="M207" s="402" t="str">
        <f t="shared" si="3"/>
        <v>+L90</v>
      </c>
      <c r="N207" s="402" t="str">
        <f t="array" ref="N207">IF(AND(
    SUMPRODUCT(
        (IM!$F$2:$F$522=A207) *
        ISNUMBER(SEARCH("*HUB*", IM!$AC$2:$AC$522)) *
        (IM!$X$2:$X$522&gt;=勤務統計!$A$1) *
        (IM!$X$2:$X$522&lt;=勤務統計!$B$1)*(W207="HUB")
    ) &gt; 0
), "HUB", "")</f>
        <v/>
      </c>
      <c r="O207" s="400" t="str">
        <f>IF(
  IFERROR(VLOOKUP(A207,勤務統計!A:I,9,FALSE),"")&lt;&gt;勤務統計!$C$1,
  "未完工",
  IF(
    AND(勤務統計!$D$1="--",勤務統計!$E$1="--",勤務統計!$F$1="--"),
    "已完工",
    IF(
      OR(
        AND(勤務統計!$D$1&lt;&gt;"--", IFERROR(VLOOKUP(A207,'0919門市清單主檔'!B:AH,31,FALSE),"")=勤務統計!$D$1, IFERROR(VLOOKUP(A207,勤務統計!A:Q,17,FALSE),"")&lt;&gt;勤務統計!$D$1),
        AND(勤務統計!$E$1&lt;&gt;"--", IFERROR(VLOOKUP(A207,'0919門市清單主檔'!B:AH,32,FALSE),"")=勤務統計!$E$1, IFERROR(VLOOKUP(A207,勤務統計!A:S,19,FALSE),"")&lt;&gt;勤務統計!$E$1),
        AND(勤務統計!$F$1&lt;&gt;"--", IFERROR(VLOOKUP(A207,'0919門市清單主檔'!B:AH,33,FALSE),"")=勤務統計!$F$1, IFERROR(VLOOKUP(A207,勤務統計!A:U,21,FALSE),"")&lt;&gt;勤務統計!$F$1),
        AND(IFERROR(VLOOKUP(A207,'0919門市清單主檔'!B:AH,28,FALSE),"")="HUB", IFERROR(VLOOKUP(A207,勤務統計!A:W,23,FALSE),"")&lt;&gt;"HUB")
      ),
      _xlfn.TEXTJOIN(
        "，",
        TRUE,
        IF(AND(勤務統計!$D$1&lt;&gt;"--", IFERROR(VLOOKUP(A207,'0919門市清單主檔'!B:AH,31,FALSE),"")=勤務統計!$D$1, IFERROR(VLOOKUP(A207,勤務統計!A:Q,17,FALSE),"")&lt;&gt;勤務統計!$D$1), 勤務統計!$D$1, ""),
        IF(AND(勤務統計!$E$1&lt;&gt;"--", IFERROR(VLOOKUP(A207,'0919門市清單主檔'!B:AH,32,FALSE),"")=勤務統計!$E$1, IFERROR(VLOOKUP(A207,勤務統計!A:S,19,FALSE),"")&lt;&gt;勤務統計!$E$1), 勤務統計!$E$1, ""),
        IF(AND(勤務統計!$F$1&lt;&gt;"--", IFERROR(VLOOKUP(A207,'0919門市清單主檔'!B:AH,33,FALSE),"")=勤務統計!$F$1, IFERROR(VLOOKUP(A207,勤務統計!A:U,21,FALSE),"")&lt;&gt;勤務統計!$F$1), 勤務統計!$F$1, ""),
        IF(AND(IFERROR(VLOOKUP(A207,'0919門市清單主檔'!B:AH,28,FALSE),"")="HUB", IFERROR(VLOOKUP(A207,勤務統計!A:W,23,FALSE),"")&lt;&gt;"HUB"), "HUB", "")
      ) &amp; "未完工",
      "已完工"
    )
  )
)</f>
        <v>未完工</v>
      </c>
      <c r="P207" s="403" t="str">
        <f>(TEXT(I207,"yyyymmdd"))&amp;勤務統計!$V$2&amp;A207&amp;勤務統計!$V$2&amp;B207&amp;勤務統計!$S$2</f>
        <v>-3751-淡水真理大(定保)</v>
      </c>
      <c r="Q207" s="420" t="str">
        <f t="array" ref="Q207">IF(AND(SUMPRODUCT((IM!$F$2:$F$5000=A207)*(ISNUMBER(SEARCH(勤務統計!$D$1, IM!$AC$2:$AC$5000))))&gt;0), 勤務統計!$D$1, "")</f>
        <v/>
      </c>
      <c r="R207" s="421" t="str">
        <f t="array" ref="R207">IFERROR(INDEX(IM!$AM$2:$AM$5000, MATCH(1, (IM!$F$2:$F$5000=A207) * (ISNUMBER(SEARCH(勤務統計!$D$1, IM!$AC$2:$AC$5000))), 0)), "")</f>
        <v/>
      </c>
      <c r="S207" s="406" t="str" cm="1">
        <f t="array" ref="S207">IF(AND(SUMPRODUCT((IM!$F$2:$F$5000=A207)*(ISNUMBER(SEARCH(勤務統計!$E$1, IM!$AC$2:$AC$5000))))&gt;0), 勤務統計!$E$1, "")</f>
        <v>+L90</v>
      </c>
      <c r="T207" s="422">
        <f t="array" ref="T207">IFERROR(INDEX(IM!$AM$2:$AM$5000, MATCH(1, (IM!$F$2:$F$5000=A207) * (ISNUMBER(SEARCH(勤務統計!$E$1, IM!$AC$2:$AC$5000))), 0)), "")</f>
        <v>46000</v>
      </c>
      <c r="U207" s="406" t="str" cm="1">
        <f t="array" ref="U207">IF(AND(SUMPRODUCT((IM!$F$2:$F$5000=A207)*(ISNUMBER(SEARCH(勤務統計!$F$1, IM!$AC$2:$AC$5000))))&gt;0), 勤務統計!$F$1, "")</f>
        <v/>
      </c>
      <c r="V207" s="413" t="str">
        <f t="array" ref="V207">IFERROR(INDEX(IM!$AM$2:$AM$5000, MATCH(1, (IM!$F$2:$F$5000=A207) * (ISNUMBER(SEARCH(勤務統計!$F$1, IM!$AC$2:$AC$5000))), 0)), "")</f>
        <v/>
      </c>
      <c r="W207" s="414" t="str">
        <f>IF(VLOOKUP(A207,'0919門市清單主檔'!B:AC,28,FALSE)=0,"",VLOOKUP(A207,'0919門市清單主檔'!B:AC,28,FALSE))</f>
        <v/>
      </c>
    </row>
    <row r="208" spans="1:23" ht="21.6" customHeight="1">
      <c r="A208" s="409">
        <v>4093</v>
      </c>
      <c r="B208" s="416" t="str">
        <f>VLOOKUP(A208,'0919門市清單主檔'!B:C,2,FALSE)</f>
        <v>淡水新市一</v>
      </c>
      <c r="C208" s="409" t="str">
        <f>VLOOKUP($A208,'0919門市清單主檔'!B:V,20,FALSE)</f>
        <v>新北市</v>
      </c>
      <c r="D208" s="409" t="str">
        <f>VLOOKUP($A208,'0919門市清單主檔'!B:V,21,FALSE)</f>
        <v>淡水區</v>
      </c>
      <c r="E208" s="397" t="str">
        <f>VLOOKUP(D208,門市狀態!G:H,2,FALSE)</f>
        <v>吳宗鴻</v>
      </c>
      <c r="F208" s="410" t="str">
        <f>IFERROR(IF(VLOOKUP(A208,門市狀態!A:D,4,FALSE)=0,"",VLOOKUP(A208,門市狀態!A:D,4,FALSE)),"")</f>
        <v/>
      </c>
      <c r="G208" s="409"/>
      <c r="H208" s="425" t="str">
        <f>IF(I208&gt;0,(TEXT(I208,"yyyymmdd")&amp;勤務統計!$V$2&amp;A208&amp;勤務統計!$V$2&amp;B208&amp;勤務統計!$S$2),"")</f>
        <v>-4093-淡水新市一(定保)</v>
      </c>
      <c r="I208" s="247" t="str">
        <f t="array" ref="I208">IF(AND(SUMPRODUCT((IM!$F$2:$F$5000=A208)*(ISNUMBER(SEARCH(勤務統計!$C$1, IM!$AC$2:$AC$5000))))&gt;0), 勤務統計!$C$1, "")</f>
        <v/>
      </c>
      <c r="J208" s="399" t="str">
        <f t="array" ref="J208">IFERROR(INDEX(IM!$AM$2:$AM$5000, MATCH(1, (IM!$F$2:$F$5000=A208) * (ISNUMBER(SEARCH(勤務統計!$C$1, IM!$AC$2:$AC$5000))), 0)), "")</f>
        <v/>
      </c>
      <c r="K208" s="400">
        <f t="array" ref="K208">SUMPRODUCT((IM!$F$2:$F$5000=A208)*(IM!$AD$2:$AD$5000="O")*(ISNUMBER(SEARCH(勤務統計!$C$1, IM!$AC$2:$AC$5000))))</f>
        <v>0</v>
      </c>
      <c r="L208" s="401" t="str">
        <f t="array" ref="L208">IF(K208&gt;0,IFERROR(HYPERLINK("#'IM'!AC"&amp;MATCH(1,(IM!$F$1:$F$5000=A208)*(ISNUMBER(SEARCH(勤務統計!$C$1,IM!$AC$1:$AC$5000))),0),"檢核"),"未登錄"),"")</f>
        <v/>
      </c>
      <c r="M208" s="402" t="str">
        <f t="shared" si="3"/>
        <v>+L90</v>
      </c>
      <c r="N208" s="402" t="str">
        <f t="array" ref="N208">IF(AND(
    SUMPRODUCT(
        (IM!$F$2:$F$522=A208) *
        ISNUMBER(SEARCH("*HUB*", IM!$AC$2:$AC$522)) *
        (IM!$X$2:$X$522&gt;=勤務統計!$A$1) *
        (IM!$X$2:$X$522&lt;=勤務統計!$B$1)*(W208="HUB")
    ) &gt; 0
), "HUB", "")</f>
        <v/>
      </c>
      <c r="O208" s="400" t="str">
        <f>IF(
  IFERROR(VLOOKUP(A208,勤務統計!A:I,9,FALSE),"")&lt;&gt;勤務統計!$C$1,
  "未完工",
  IF(
    AND(勤務統計!$D$1="--",勤務統計!$E$1="--",勤務統計!$F$1="--"),
    "已完工",
    IF(
      OR(
        AND(勤務統計!$D$1&lt;&gt;"--", IFERROR(VLOOKUP(A208,'0919門市清單主檔'!B:AH,31,FALSE),"")=勤務統計!$D$1, IFERROR(VLOOKUP(A208,勤務統計!A:Q,17,FALSE),"")&lt;&gt;勤務統計!$D$1),
        AND(勤務統計!$E$1&lt;&gt;"--", IFERROR(VLOOKUP(A208,'0919門市清單主檔'!B:AH,32,FALSE),"")=勤務統計!$E$1, IFERROR(VLOOKUP(A208,勤務統計!A:S,19,FALSE),"")&lt;&gt;勤務統計!$E$1),
        AND(勤務統計!$F$1&lt;&gt;"--", IFERROR(VLOOKUP(A208,'0919門市清單主檔'!B:AH,33,FALSE),"")=勤務統計!$F$1, IFERROR(VLOOKUP(A208,勤務統計!A:U,21,FALSE),"")&lt;&gt;勤務統計!$F$1),
        AND(IFERROR(VLOOKUP(A208,'0919門市清單主檔'!B:AH,28,FALSE),"")="HUB", IFERROR(VLOOKUP(A208,勤務統計!A:W,23,FALSE),"")&lt;&gt;"HUB")
      ),
      _xlfn.TEXTJOIN(
        "，",
        TRUE,
        IF(AND(勤務統計!$D$1&lt;&gt;"--", IFERROR(VLOOKUP(A208,'0919門市清單主檔'!B:AH,31,FALSE),"")=勤務統計!$D$1, IFERROR(VLOOKUP(A208,勤務統計!A:Q,17,FALSE),"")&lt;&gt;勤務統計!$D$1), 勤務統計!$D$1, ""),
        IF(AND(勤務統計!$E$1&lt;&gt;"--", IFERROR(VLOOKUP(A208,'0919門市清單主檔'!B:AH,32,FALSE),"")=勤務統計!$E$1, IFERROR(VLOOKUP(A208,勤務統計!A:S,19,FALSE),"")&lt;&gt;勤務統計!$E$1), 勤務統計!$E$1, ""),
        IF(AND(勤務統計!$F$1&lt;&gt;"--", IFERROR(VLOOKUP(A208,'0919門市清單主檔'!B:AH,33,FALSE),"")=勤務統計!$F$1, IFERROR(VLOOKUP(A208,勤務統計!A:U,21,FALSE),"")&lt;&gt;勤務統計!$F$1), 勤務統計!$F$1, ""),
        IF(AND(IFERROR(VLOOKUP(A208,'0919門市清單主檔'!B:AH,28,FALSE),"")="HUB", IFERROR(VLOOKUP(A208,勤務統計!A:W,23,FALSE),"")&lt;&gt;"HUB"), "HUB", "")
      ) &amp; "未完工",
      "已完工"
    )
  )
)</f>
        <v>未完工</v>
      </c>
      <c r="P208" s="403" t="str">
        <f>(TEXT(I208,"yyyymmdd"))&amp;勤務統計!$V$2&amp;A208&amp;勤務統計!$V$2&amp;B208&amp;勤務統計!$S$2</f>
        <v>-4093-淡水新市一(定保)</v>
      </c>
      <c r="Q208" s="420" t="str">
        <f t="array" ref="Q208">IF(AND(SUMPRODUCT((IM!$F$2:$F$5000=A208)*(ISNUMBER(SEARCH(勤務統計!$D$1, IM!$AC$2:$AC$5000))))&gt;0), 勤務統計!$D$1, "")</f>
        <v/>
      </c>
      <c r="R208" s="421" t="str">
        <f t="array" ref="R208">IFERROR(INDEX(IM!$AM$2:$AM$5000, MATCH(1, (IM!$F$2:$F$5000=A208) * (ISNUMBER(SEARCH(勤務統計!$D$1, IM!$AC$2:$AC$5000))), 0)), "")</f>
        <v/>
      </c>
      <c r="S208" s="406" t="str" cm="1">
        <f t="array" ref="S208">IF(AND(SUMPRODUCT((IM!$F$2:$F$5000=A208)*(ISNUMBER(SEARCH(勤務統計!$E$1, IM!$AC$2:$AC$5000))))&gt;0), 勤務統計!$E$1, "")</f>
        <v>+L90</v>
      </c>
      <c r="T208" s="422">
        <f t="array" ref="T208">IFERROR(INDEX(IM!$AM$2:$AM$5000, MATCH(1, (IM!$F$2:$F$5000=A208) * (ISNUMBER(SEARCH(勤務統計!$E$1, IM!$AC$2:$AC$5000))), 0)), "")</f>
        <v>46000</v>
      </c>
      <c r="U208" s="406" t="str" cm="1">
        <f t="array" ref="U208">IF(AND(SUMPRODUCT((IM!$F$2:$F$5000=A208)*(ISNUMBER(SEARCH(勤務統計!$F$1, IM!$AC$2:$AC$5000))))&gt;0), 勤務統計!$F$1, "")</f>
        <v/>
      </c>
      <c r="V208" s="413" t="str">
        <f t="array" ref="V208">IFERROR(INDEX(IM!$AM$2:$AM$5000, MATCH(1, (IM!$F$2:$F$5000=A208) * (ISNUMBER(SEARCH(勤務統計!$F$1, IM!$AC$2:$AC$5000))), 0)), "")</f>
        <v/>
      </c>
      <c r="W208" s="414" t="str">
        <f>IF(VLOOKUP(A208,'0919門市清單主檔'!B:AC,28,FALSE)=0,"",VLOOKUP(A208,'0919門市清單主檔'!B:AC,28,FALSE))</f>
        <v/>
      </c>
    </row>
    <row r="209" spans="1:23" ht="21.6" customHeight="1">
      <c r="A209" s="433">
        <v>4529</v>
      </c>
      <c r="B209" s="416" t="str">
        <f>VLOOKUP(A209,'0919門市清單主檔'!B:C,2,FALSE)</f>
        <v>淡水新洲店</v>
      </c>
      <c r="C209" s="433" t="str">
        <f>VLOOKUP($A209,'0919門市清單主檔'!B:V,20,FALSE)</f>
        <v>新北市</v>
      </c>
      <c r="D209" s="433" t="str">
        <f>VLOOKUP($A209,'0919門市清單主檔'!B:V,21,FALSE)</f>
        <v>淡水區</v>
      </c>
      <c r="E209" s="397" t="str">
        <f>VLOOKUP(D209,門市狀態!G:H,2,FALSE)</f>
        <v>吳宗鴻</v>
      </c>
      <c r="F209" s="431" t="str">
        <f>IFERROR(IF(VLOOKUP(A209,門市狀態!A:D,4,FALSE)=0,"",VLOOKUP(A209,門市狀態!A:D,4,FALSE)),"")</f>
        <v/>
      </c>
      <c r="G209" s="433"/>
      <c r="H209" s="434" t="str">
        <f>IF(I209&gt;0,(TEXT(I209,"yyyymmdd")&amp;勤務統計!$V$2&amp;A209&amp;勤務統計!$V$2&amp;B209&amp;勤務統計!$S$2),"")</f>
        <v>-4529-淡水新洲店(定保)</v>
      </c>
      <c r="I209" s="247" t="str">
        <f t="array" ref="I209">IF(AND(SUMPRODUCT((IM!$F$2:$F$5000=A209)*(ISNUMBER(SEARCH(勤務統計!$C$1, IM!$AC$2:$AC$5000))))&gt;0), 勤務統計!$C$1, "")</f>
        <v/>
      </c>
      <c r="J209" s="399" t="str">
        <f t="array" ref="J209">IFERROR(INDEX(IM!$AM$2:$AM$5000, MATCH(1, (IM!$F$2:$F$5000=A209) * (ISNUMBER(SEARCH(勤務統計!$C$1, IM!$AC$2:$AC$5000))), 0)), "")</f>
        <v/>
      </c>
      <c r="K209" s="400">
        <f t="array" ref="K209">SUMPRODUCT((IM!$F$2:$F$5000=A209)*(IM!$AD$2:$AD$5000="O")*(ISNUMBER(SEARCH(勤務統計!$C$1, IM!$AC$2:$AC$5000))))</f>
        <v>0</v>
      </c>
      <c r="L209" s="401" t="str">
        <f t="array" ref="L209">IF(K209&gt;0,IFERROR(HYPERLINK("#'IM'!AC"&amp;MATCH(1,(IM!$F$1:$F$5000=A209)*(ISNUMBER(SEARCH(勤務統計!$C$1,IM!$AC$1:$AC$5000))),0),"檢核"),"未登錄"),"")</f>
        <v/>
      </c>
      <c r="M209" s="402" t="str">
        <f t="shared" si="3"/>
        <v>+L90</v>
      </c>
      <c r="N209" s="402" t="str">
        <f t="array" ref="N209">IF(AND(
    SUMPRODUCT(
        (IM!$F$2:$F$522=A209) *
        ISNUMBER(SEARCH("*HUB*", IM!$AC$2:$AC$522)) *
        (IM!$X$2:$X$522&gt;=勤務統計!$A$1) *
        (IM!$X$2:$X$522&lt;=勤務統計!$B$1)*(W209="HUB")
    ) &gt; 0
), "HUB", "")</f>
        <v/>
      </c>
      <c r="O209" s="400" t="str">
        <f>IF(
  IFERROR(VLOOKUP(A209,勤務統計!A:I,9,FALSE),"")&lt;&gt;勤務統計!$C$1,
  "未完工",
  IF(
    AND(勤務統計!$D$1="--",勤務統計!$E$1="--",勤務統計!$F$1="--"),
    "已完工",
    IF(
      OR(
        AND(勤務統計!$D$1&lt;&gt;"--", IFERROR(VLOOKUP(A209,'0919門市清單主檔'!B:AH,31,FALSE),"")=勤務統計!$D$1, IFERROR(VLOOKUP(A209,勤務統計!A:Q,17,FALSE),"")&lt;&gt;勤務統計!$D$1),
        AND(勤務統計!$E$1&lt;&gt;"--", IFERROR(VLOOKUP(A209,'0919門市清單主檔'!B:AH,32,FALSE),"")=勤務統計!$E$1, IFERROR(VLOOKUP(A209,勤務統計!A:S,19,FALSE),"")&lt;&gt;勤務統計!$E$1),
        AND(勤務統計!$F$1&lt;&gt;"--", IFERROR(VLOOKUP(A209,'0919門市清單主檔'!B:AH,33,FALSE),"")=勤務統計!$F$1, IFERROR(VLOOKUP(A209,勤務統計!A:U,21,FALSE),"")&lt;&gt;勤務統計!$F$1),
        AND(IFERROR(VLOOKUP(A209,'0919門市清單主檔'!B:AH,28,FALSE),"")="HUB", IFERROR(VLOOKUP(A209,勤務統計!A:W,23,FALSE),"")&lt;&gt;"HUB")
      ),
      _xlfn.TEXTJOIN(
        "，",
        TRUE,
        IF(AND(勤務統計!$D$1&lt;&gt;"--", IFERROR(VLOOKUP(A209,'0919門市清單主檔'!B:AH,31,FALSE),"")=勤務統計!$D$1, IFERROR(VLOOKUP(A209,勤務統計!A:Q,17,FALSE),"")&lt;&gt;勤務統計!$D$1), 勤務統計!$D$1, ""),
        IF(AND(勤務統計!$E$1&lt;&gt;"--", IFERROR(VLOOKUP(A209,'0919門市清單主檔'!B:AH,32,FALSE),"")=勤務統計!$E$1, IFERROR(VLOOKUP(A209,勤務統計!A:S,19,FALSE),"")&lt;&gt;勤務統計!$E$1), 勤務統計!$E$1, ""),
        IF(AND(勤務統計!$F$1&lt;&gt;"--", IFERROR(VLOOKUP(A209,'0919門市清單主檔'!B:AH,33,FALSE),"")=勤務統計!$F$1, IFERROR(VLOOKUP(A209,勤務統計!A:U,21,FALSE),"")&lt;&gt;勤務統計!$F$1), 勤務統計!$F$1, ""),
        IF(AND(IFERROR(VLOOKUP(A209,'0919門市清單主檔'!B:AH,28,FALSE),"")="HUB", IFERROR(VLOOKUP(A209,勤務統計!A:W,23,FALSE),"")&lt;&gt;"HUB"), "HUB", "")
      ) &amp; "未完工",
      "已完工"
    )
  )
)</f>
        <v>未完工</v>
      </c>
      <c r="P209" s="403" t="str">
        <f>(TEXT(I209,"yyyymmdd"))&amp;勤務統計!$V$2&amp;A209&amp;勤務統計!$V$2&amp;B209&amp;勤務統計!$S$2</f>
        <v>-4529-淡水新洲店(定保)</v>
      </c>
      <c r="Q209" s="420" t="str">
        <f t="array" ref="Q209">IF(AND(SUMPRODUCT((IM!$F$2:$F$5000=A209)*(ISNUMBER(SEARCH(勤務統計!$D$1, IM!$AC$2:$AC$5000))))&gt;0), 勤務統計!$D$1, "")</f>
        <v/>
      </c>
      <c r="R209" s="421" t="str">
        <f t="array" ref="R209">IFERROR(INDEX(IM!$AM$2:$AM$5000, MATCH(1, (IM!$F$2:$F$5000=A209) * (ISNUMBER(SEARCH(勤務統計!$D$1, IM!$AC$2:$AC$5000))), 0)), "")</f>
        <v/>
      </c>
      <c r="S209" s="406" t="str" cm="1">
        <f t="array" ref="S209">IF(AND(SUMPRODUCT((IM!$F$2:$F$5000=A209)*(ISNUMBER(SEARCH(勤務統計!$E$1, IM!$AC$2:$AC$5000))))&gt;0), 勤務統計!$E$1, "")</f>
        <v>+L90</v>
      </c>
      <c r="T209" s="422">
        <f t="array" ref="T209">IFERROR(INDEX(IM!$AM$2:$AM$5000, MATCH(1, (IM!$F$2:$F$5000=A209) * (ISNUMBER(SEARCH(勤務統計!$E$1, IM!$AC$2:$AC$5000))), 0)), "")</f>
        <v>46000</v>
      </c>
      <c r="U209" s="406" t="str" cm="1">
        <f t="array" ref="U209">IF(AND(SUMPRODUCT((IM!$F$2:$F$5000=A209)*(ISNUMBER(SEARCH(勤務統計!$F$1, IM!$AC$2:$AC$5000))))&gt;0), 勤務統計!$F$1, "")</f>
        <v/>
      </c>
      <c r="V209" s="413" t="str">
        <f t="array" ref="V209">IFERROR(INDEX(IM!$AM$2:$AM$5000, MATCH(1, (IM!$F$2:$F$5000=A209) * (ISNUMBER(SEARCH(勤務統計!$F$1, IM!$AC$2:$AC$5000))), 0)), "")</f>
        <v/>
      </c>
      <c r="W209" s="414" t="str">
        <f>IF(VLOOKUP(A209,'0919門市清單主檔'!B:AC,28,FALSE)=0,"",VLOOKUP(A209,'0919門市清單主檔'!B:AC,28,FALSE))</f>
        <v/>
      </c>
    </row>
    <row r="210" spans="1:23" ht="21.6" customHeight="1">
      <c r="A210" s="409">
        <v>4983</v>
      </c>
      <c r="B210" s="409" t="str">
        <f>VLOOKUP(A210,'0919門市清單主檔'!B:C,2,FALSE)</f>
        <v>板橋藝文店</v>
      </c>
      <c r="C210" s="409" t="str">
        <f>VLOOKUP($A210,'0919門市清單主檔'!B:V,20,FALSE)</f>
        <v>新北市</v>
      </c>
      <c r="D210" s="409" t="str">
        <f>VLOOKUP($A210,'0919門市清單主檔'!B:V,21,FALSE)</f>
        <v>板橋區</v>
      </c>
      <c r="E210" s="397" t="str">
        <f>VLOOKUP(D210,門市狀態!G:H,2,FALSE)</f>
        <v>狄澤洋</v>
      </c>
      <c r="F210" s="409" t="str">
        <f>IFERROR(IF(VLOOKUP(A210,門市狀態!A:D,4,FALSE)=0,"",VLOOKUP(A210,門市狀態!A:D,4,FALSE)),"")</f>
        <v/>
      </c>
      <c r="G210" s="409"/>
      <c r="H210" s="411" t="str">
        <f>IF(I210&gt;0,(TEXT(I210,"yyyymmdd")&amp;勤務統計!$V$2&amp;A210&amp;勤務統計!$V$2&amp;B210&amp;勤務統計!$S$2),"")</f>
        <v>-4983-板橋藝文店(定保)</v>
      </c>
      <c r="I210" s="247" t="str">
        <f t="array" ref="I210">IF(AND(SUMPRODUCT((IM!$F$2:$F$5000=A210)*(ISNUMBER(SEARCH(勤務統計!$C$1, IM!$AC$2:$AC$5000))))&gt;0), 勤務統計!$C$1, "")</f>
        <v/>
      </c>
      <c r="J210" s="399" t="str">
        <f t="array" ref="J210">IFERROR(INDEX(IM!$AM$2:$AM$5000, MATCH(1, (IM!$F$2:$F$5000=A210) * (ISNUMBER(SEARCH(勤務統計!$C$1, IM!$AC$2:$AC$5000))), 0)), "")</f>
        <v/>
      </c>
      <c r="K210" s="400">
        <f t="array" ref="K210">SUMPRODUCT((IM!$F$2:$F$5000=A210)*(IM!$AD$2:$AD$5000="O")*(ISNUMBER(SEARCH(勤務統計!$C$1, IM!$AC$2:$AC$5000))))</f>
        <v>0</v>
      </c>
      <c r="L210" s="401" t="str">
        <f t="array" ref="L210">IF(K210&gt;0,IFERROR(HYPERLINK("#'IM'!AC"&amp;MATCH(1,(IM!$F$1:$F$5000=A210)*(ISNUMBER(SEARCH(勤務統計!$C$1,IM!$AC$1:$AC$5000))),0),"檢核"),"未登錄"),"")</f>
        <v/>
      </c>
      <c r="M210" s="402" t="str">
        <f t="shared" si="3"/>
        <v>+L90</v>
      </c>
      <c r="N210" s="402" t="str">
        <f t="array" ref="N210">IF(AND(
    SUMPRODUCT(
        (IM!$F$2:$F$522=A210) *
        ISNUMBER(SEARCH("*HUB*", IM!$AC$2:$AC$522)) *
        (IM!$X$2:$X$522&gt;=勤務統計!$A$1) *
        (IM!$X$2:$X$522&lt;=勤務統計!$B$1)*(W210="HUB")
    ) &gt; 0
), "HUB", "")</f>
        <v/>
      </c>
      <c r="O210" s="400" t="str">
        <f>IF(
  IFERROR(VLOOKUP(A210,勤務統計!A:I,9,FALSE),"")&lt;&gt;勤務統計!$C$1,
  "未完工",
  IF(
    AND(勤務統計!$D$1="--",勤務統計!$E$1="--",勤務統計!$F$1="--"),
    "已完工",
    IF(
      OR(
        AND(勤務統計!$D$1&lt;&gt;"--", IFERROR(VLOOKUP(A210,'0919門市清單主檔'!B:AH,31,FALSE),"")=勤務統計!$D$1, IFERROR(VLOOKUP(A210,勤務統計!A:Q,17,FALSE),"")&lt;&gt;勤務統計!$D$1),
        AND(勤務統計!$E$1&lt;&gt;"--", IFERROR(VLOOKUP(A210,'0919門市清單主檔'!B:AH,32,FALSE),"")=勤務統計!$E$1, IFERROR(VLOOKUP(A210,勤務統計!A:S,19,FALSE),"")&lt;&gt;勤務統計!$E$1),
        AND(勤務統計!$F$1&lt;&gt;"--", IFERROR(VLOOKUP(A210,'0919門市清單主檔'!B:AH,33,FALSE),"")=勤務統計!$F$1, IFERROR(VLOOKUP(A210,勤務統計!A:U,21,FALSE),"")&lt;&gt;勤務統計!$F$1),
        AND(IFERROR(VLOOKUP(A210,'0919門市清單主檔'!B:AH,28,FALSE),"")="HUB", IFERROR(VLOOKUP(A210,勤務統計!A:W,23,FALSE),"")&lt;&gt;"HUB")
      ),
      _xlfn.TEXTJOIN(
        "，",
        TRUE,
        IF(AND(勤務統計!$D$1&lt;&gt;"--", IFERROR(VLOOKUP(A210,'0919門市清單主檔'!B:AH,31,FALSE),"")=勤務統計!$D$1, IFERROR(VLOOKUP(A210,勤務統計!A:Q,17,FALSE),"")&lt;&gt;勤務統計!$D$1), 勤務統計!$D$1, ""),
        IF(AND(勤務統計!$E$1&lt;&gt;"--", IFERROR(VLOOKUP(A210,'0919門市清單主檔'!B:AH,32,FALSE),"")=勤務統計!$E$1, IFERROR(VLOOKUP(A210,勤務統計!A:S,19,FALSE),"")&lt;&gt;勤務統計!$E$1), 勤務統計!$E$1, ""),
        IF(AND(勤務統計!$F$1&lt;&gt;"--", IFERROR(VLOOKUP(A210,'0919門市清單主檔'!B:AH,33,FALSE),"")=勤務統計!$F$1, IFERROR(VLOOKUP(A210,勤務統計!A:U,21,FALSE),"")&lt;&gt;勤務統計!$F$1), 勤務統計!$F$1, ""),
        IF(AND(IFERROR(VLOOKUP(A210,'0919門市清單主檔'!B:AH,28,FALSE),"")="HUB", IFERROR(VLOOKUP(A210,勤務統計!A:W,23,FALSE),"")&lt;&gt;"HUB"), "HUB", "")
      ) &amp; "未完工",
      "已完工"
    )
  )
)</f>
        <v>未完工</v>
      </c>
      <c r="P210" s="403" t="str">
        <f>(TEXT(I210,"yyyymmdd"))&amp;勤務統計!$V$2&amp;A210&amp;勤務統計!$V$2&amp;B210&amp;勤務統計!$S$2</f>
        <v>-4983-板橋藝文店(定保)</v>
      </c>
      <c r="Q210" s="420" t="str">
        <f t="array" ref="Q210">IF(AND(SUMPRODUCT((IM!$F$2:$F$5000=A210)*(ISNUMBER(SEARCH(勤務統計!$D$1, IM!$AC$2:$AC$5000))))&gt;0), 勤務統計!$D$1, "")</f>
        <v/>
      </c>
      <c r="R210" s="421" t="str">
        <f t="array" ref="R210">IFERROR(INDEX(IM!$AM$2:$AM$5000, MATCH(1, (IM!$F$2:$F$5000=A210) * (ISNUMBER(SEARCH(勤務統計!$D$1, IM!$AC$2:$AC$5000))), 0)), "")</f>
        <v/>
      </c>
      <c r="S210" s="406" t="str" cm="1">
        <f t="array" ref="S210">IF(AND(SUMPRODUCT((IM!$F$2:$F$5000=A210)*(ISNUMBER(SEARCH(勤務統計!$E$1, IM!$AC$2:$AC$5000))))&gt;0), 勤務統計!$E$1, "")</f>
        <v>+L90</v>
      </c>
      <c r="T210" s="422">
        <f t="array" ref="T210">IFERROR(INDEX(IM!$AM$2:$AM$5000, MATCH(1, (IM!$F$2:$F$5000=A210) * (ISNUMBER(SEARCH(勤務統計!$E$1, IM!$AC$2:$AC$5000))), 0)), "")</f>
        <v>46000</v>
      </c>
      <c r="U210" s="406" t="str" cm="1">
        <f t="array" ref="U210">IF(AND(SUMPRODUCT((IM!$F$2:$F$5000=A210)*(ISNUMBER(SEARCH(勤務統計!$F$1, IM!$AC$2:$AC$5000))))&gt;0), 勤務統計!$F$1, "")</f>
        <v/>
      </c>
      <c r="V210" s="413" t="str">
        <f t="array" ref="V210">IFERROR(INDEX(IM!$AM$2:$AM$5000, MATCH(1, (IM!$F$2:$F$5000=A210) * (ISNUMBER(SEARCH(勤務統計!$F$1, IM!$AC$2:$AC$5000))), 0)), "")</f>
        <v/>
      </c>
      <c r="W210" s="414" t="str">
        <f>IF(VLOOKUP(A210,'0919門市清單主檔'!B:AC,28,FALSE)=0,"",VLOOKUP(A210,'0919門市清單主檔'!B:AC,28,FALSE))</f>
        <v/>
      </c>
    </row>
    <row r="211" spans="1:23" ht="21.6" customHeight="1">
      <c r="A211" s="409">
        <v>3183</v>
      </c>
      <c r="B211" s="409" t="str">
        <f>VLOOKUP(A211,'0919門市清單主檔'!B:C,2,FALSE)</f>
        <v>板橋板好店</v>
      </c>
      <c r="C211" s="409" t="str">
        <f>VLOOKUP($A211,'0919門市清單主檔'!B:V,20,FALSE)</f>
        <v>新北市</v>
      </c>
      <c r="D211" s="409" t="str">
        <f>VLOOKUP($A211,'0919門市清單主檔'!B:V,21,FALSE)</f>
        <v>板橋區</v>
      </c>
      <c r="E211" s="397" t="str">
        <f>VLOOKUP(D211,門市狀態!G:H,2,FALSE)</f>
        <v>狄澤洋</v>
      </c>
      <c r="F211" s="409" t="str">
        <f>IFERROR(IF(VLOOKUP(A211,門市狀態!A:D,4,FALSE)=0,"",VLOOKUP(A211,門市狀態!A:D,4,FALSE)),"")</f>
        <v/>
      </c>
      <c r="G211" s="409"/>
      <c r="H211" s="411" t="str">
        <f>IF(I211&gt;0,(TEXT(I211,"yyyymmdd")&amp;勤務統計!$V$2&amp;A211&amp;勤務統計!$V$2&amp;B211&amp;勤務統計!$S$2),"")</f>
        <v>-3183-板橋板好店(定保)</v>
      </c>
      <c r="I211" s="247" t="str">
        <f t="array" ref="I211">IF(AND(SUMPRODUCT((IM!$F$2:$F$5000=A211)*(ISNUMBER(SEARCH(勤務統計!$C$1, IM!$AC$2:$AC$5000))))&gt;0), 勤務統計!$C$1, "")</f>
        <v/>
      </c>
      <c r="J211" s="399" t="str">
        <f t="array" ref="J211">IFERROR(INDEX(IM!$AM$2:$AM$5000, MATCH(1, (IM!$F$2:$F$5000=A211) * (ISNUMBER(SEARCH(勤務統計!$C$1, IM!$AC$2:$AC$5000))), 0)), "")</f>
        <v/>
      </c>
      <c r="K211" s="400">
        <f t="array" ref="K211">SUMPRODUCT((IM!$F$2:$F$5000=A211)*(IM!$AD$2:$AD$5000="O")*(ISNUMBER(SEARCH(勤務統計!$C$1, IM!$AC$2:$AC$5000))))</f>
        <v>0</v>
      </c>
      <c r="L211" s="401" t="str">
        <f t="array" ref="L211">IF(K211&gt;0,IFERROR(HYPERLINK("#'IM'!AC"&amp;MATCH(1,(IM!$F$1:$F$5000=A211)*(ISNUMBER(SEARCH(勤務統計!$C$1,IM!$AC$1:$AC$5000))),0),"檢核"),"未登錄"),"")</f>
        <v/>
      </c>
      <c r="M211" s="402" t="str">
        <f t="shared" si="3"/>
        <v>+L90</v>
      </c>
      <c r="N211" s="402" t="str">
        <f t="array" ref="N211">IF(AND(
    SUMPRODUCT(
        (IM!$F$2:$F$522=A211) *
        ISNUMBER(SEARCH("*HUB*", IM!$AC$2:$AC$522)) *
        (IM!$X$2:$X$522&gt;=勤務統計!$A$1) *
        (IM!$X$2:$X$522&lt;=勤務統計!$B$1)*(W211="HUB")
    ) &gt; 0
), "HUB", "")</f>
        <v/>
      </c>
      <c r="O211" s="400" t="str">
        <f>IF(
  IFERROR(VLOOKUP(A211,勤務統計!A:I,9,FALSE),"")&lt;&gt;勤務統計!$C$1,
  "未完工",
  IF(
    AND(勤務統計!$D$1="--",勤務統計!$E$1="--",勤務統計!$F$1="--"),
    "已完工",
    IF(
      OR(
        AND(勤務統計!$D$1&lt;&gt;"--", IFERROR(VLOOKUP(A211,'0919門市清單主檔'!B:AH,31,FALSE),"")=勤務統計!$D$1, IFERROR(VLOOKUP(A211,勤務統計!A:Q,17,FALSE),"")&lt;&gt;勤務統計!$D$1),
        AND(勤務統計!$E$1&lt;&gt;"--", IFERROR(VLOOKUP(A211,'0919門市清單主檔'!B:AH,32,FALSE),"")=勤務統計!$E$1, IFERROR(VLOOKUP(A211,勤務統計!A:S,19,FALSE),"")&lt;&gt;勤務統計!$E$1),
        AND(勤務統計!$F$1&lt;&gt;"--", IFERROR(VLOOKUP(A211,'0919門市清單主檔'!B:AH,33,FALSE),"")=勤務統計!$F$1, IFERROR(VLOOKUP(A211,勤務統計!A:U,21,FALSE),"")&lt;&gt;勤務統計!$F$1),
        AND(IFERROR(VLOOKUP(A211,'0919門市清單主檔'!B:AH,28,FALSE),"")="HUB", IFERROR(VLOOKUP(A211,勤務統計!A:W,23,FALSE),"")&lt;&gt;"HUB")
      ),
      _xlfn.TEXTJOIN(
        "，",
        TRUE,
        IF(AND(勤務統計!$D$1&lt;&gt;"--", IFERROR(VLOOKUP(A211,'0919門市清單主檔'!B:AH,31,FALSE),"")=勤務統計!$D$1, IFERROR(VLOOKUP(A211,勤務統計!A:Q,17,FALSE),"")&lt;&gt;勤務統計!$D$1), 勤務統計!$D$1, ""),
        IF(AND(勤務統計!$E$1&lt;&gt;"--", IFERROR(VLOOKUP(A211,'0919門市清單主檔'!B:AH,32,FALSE),"")=勤務統計!$E$1, IFERROR(VLOOKUP(A211,勤務統計!A:S,19,FALSE),"")&lt;&gt;勤務統計!$E$1), 勤務統計!$E$1, ""),
        IF(AND(勤務統計!$F$1&lt;&gt;"--", IFERROR(VLOOKUP(A211,'0919門市清單主檔'!B:AH,33,FALSE),"")=勤務統計!$F$1, IFERROR(VLOOKUP(A211,勤務統計!A:U,21,FALSE),"")&lt;&gt;勤務統計!$F$1), 勤務統計!$F$1, ""),
        IF(AND(IFERROR(VLOOKUP(A211,'0919門市清單主檔'!B:AH,28,FALSE),"")="HUB", IFERROR(VLOOKUP(A211,勤務統計!A:W,23,FALSE),"")&lt;&gt;"HUB"), "HUB", "")
      ) &amp; "未完工",
      "已完工"
    )
  )
)</f>
        <v>未完工</v>
      </c>
      <c r="P211" s="435" t="str">
        <f>(TEXT(I211,"yyyymmdd"))&amp;勤務統計!$V$2&amp;A211&amp;勤務統計!$V$2&amp;B211&amp;勤務統計!$S$2</f>
        <v>-3183-板橋板好店(定保)</v>
      </c>
      <c r="Q211" s="420" t="str">
        <f t="array" ref="Q211">IF(AND(SUMPRODUCT((IM!$F$2:$F$5000=A211)*(ISNUMBER(SEARCH(勤務統計!$D$1, IM!$AC$2:$AC$5000))))&gt;0), 勤務統計!$D$1, "")</f>
        <v/>
      </c>
      <c r="R211" s="421" t="str">
        <f t="array" ref="R211">IFERROR(INDEX(IM!$AM$2:$AM$5000, MATCH(1, (IM!$F$2:$F$5000=A211) * (ISNUMBER(SEARCH(勤務統計!$D$1, IM!$AC$2:$AC$5000))), 0)), "")</f>
        <v/>
      </c>
      <c r="S211" s="406" t="str" cm="1">
        <f t="array" ref="S211">IF(AND(SUMPRODUCT((IM!$F$2:$F$5000=A211)*(ISNUMBER(SEARCH(勤務統計!$E$1, IM!$AC$2:$AC$5000))))&gt;0), 勤務統計!$E$1, "")</f>
        <v>+L90</v>
      </c>
      <c r="T211" s="422">
        <f t="array" ref="T211">IFERROR(INDEX(IM!$AM$2:$AM$5000, MATCH(1, (IM!$F$2:$F$5000=A211) * (ISNUMBER(SEARCH(勤務統計!$E$1, IM!$AC$2:$AC$5000))), 0)), "")</f>
        <v>46000</v>
      </c>
      <c r="U211" s="406" t="str" cm="1">
        <f t="array" ref="U211">IF(AND(SUMPRODUCT((IM!$F$2:$F$5000=A211)*(ISNUMBER(SEARCH(勤務統計!$F$1, IM!$AC$2:$AC$5000))))&gt;0), 勤務統計!$F$1, "")</f>
        <v/>
      </c>
      <c r="V211" s="413" t="str">
        <f t="array" ref="V211">IFERROR(INDEX(IM!$AM$2:$AM$5000, MATCH(1, (IM!$F$2:$F$5000=A211) * (ISNUMBER(SEARCH(勤務統計!$F$1, IM!$AC$2:$AC$5000))), 0)), "")</f>
        <v/>
      </c>
      <c r="W211" s="414" t="str">
        <f>IF(VLOOKUP(A211,'0919門市清單主檔'!B:AC,28,FALSE)=0,"",VLOOKUP(A211,'0919門市清單主檔'!B:AC,28,FALSE))</f>
        <v/>
      </c>
    </row>
    <row r="212" spans="1:23" ht="21.6" customHeight="1">
      <c r="A212" s="409">
        <v>3853</v>
      </c>
      <c r="B212" s="409" t="str">
        <f>VLOOKUP(A212,'0919門市清單主檔'!B:C,2,FALSE)</f>
        <v>板橋互助店</v>
      </c>
      <c r="C212" s="409" t="str">
        <f>VLOOKUP($A212,'0919門市清單主檔'!B:V,20,FALSE)</f>
        <v>新北市</v>
      </c>
      <c r="D212" s="409" t="str">
        <f>VLOOKUP($A212,'0919門市清單主檔'!B:V,21,FALSE)</f>
        <v>板橋區</v>
      </c>
      <c r="E212" s="397" t="str">
        <f>VLOOKUP(D212,門市狀態!G:H,2,FALSE)</f>
        <v>狄澤洋</v>
      </c>
      <c r="F212" s="409" t="str">
        <f>IFERROR(IF(VLOOKUP(A212,門市狀態!A:D,4,FALSE)=0,"",VLOOKUP(A212,門市狀態!A:D,4,FALSE)),"")</f>
        <v/>
      </c>
      <c r="G212" s="409"/>
      <c r="H212" s="411" t="str">
        <f>IF(I212&gt;0,(TEXT(I212,"yyyymmdd")&amp;勤務統計!$V$2&amp;A212&amp;勤務統計!$V$2&amp;B212&amp;勤務統計!$S$2),"")</f>
        <v>-3853-板橋互助店(定保)</v>
      </c>
      <c r="I212" s="247" t="str">
        <f t="array" ref="I212">IF(AND(SUMPRODUCT((IM!$F$2:$F$5000=A212)*(ISNUMBER(SEARCH(勤務統計!$C$1, IM!$AC$2:$AC$5000))))&gt;0), 勤務統計!$C$1, "")</f>
        <v/>
      </c>
      <c r="J212" s="399" t="str">
        <f t="array" ref="J212">IFERROR(INDEX(IM!$AM$2:$AM$5000, MATCH(1, (IM!$F$2:$F$5000=A212) * (ISNUMBER(SEARCH(勤務統計!$C$1, IM!$AC$2:$AC$5000))), 0)), "")</f>
        <v/>
      </c>
      <c r="K212" s="400">
        <f t="array" ref="K212">SUMPRODUCT((IM!$F$2:$F$5000=A212)*(IM!$AD$2:$AD$5000="O")*(ISNUMBER(SEARCH(勤務統計!$C$1, IM!$AC$2:$AC$5000))))</f>
        <v>0</v>
      </c>
      <c r="L212" s="401" t="str">
        <f t="array" ref="L212">IF(K212&gt;0,IFERROR(HYPERLINK("#'IM'!AC"&amp;MATCH(1,(IM!$F$1:$F$5000=A212)*(ISNUMBER(SEARCH(勤務統計!$C$1,IM!$AC$1:$AC$5000))),0),"檢核"),"未登錄"),"")</f>
        <v/>
      </c>
      <c r="M212" s="402" t="str">
        <f t="shared" si="3"/>
        <v>+L90</v>
      </c>
      <c r="N212" s="402" t="str">
        <f t="array" ref="N212">IF(AND(
    SUMPRODUCT(
        (IM!$F$2:$F$522=A212) *
        ISNUMBER(SEARCH("*HUB*", IM!$AC$2:$AC$522)) *
        (IM!$X$2:$X$522&gt;=勤務統計!$A$1) *
        (IM!$X$2:$X$522&lt;=勤務統計!$B$1)*(W212="HUB")
    ) &gt; 0
), "HUB", "")</f>
        <v/>
      </c>
      <c r="O212" s="400" t="str">
        <f>IF(
  IFERROR(VLOOKUP(A212,勤務統計!A:I,9,FALSE),"")&lt;&gt;勤務統計!$C$1,
  "未完工",
  IF(
    AND(勤務統計!$D$1="--",勤務統計!$E$1="--",勤務統計!$F$1="--"),
    "已完工",
    IF(
      OR(
        AND(勤務統計!$D$1&lt;&gt;"--", IFERROR(VLOOKUP(A212,'0919門市清單主檔'!B:AH,31,FALSE),"")=勤務統計!$D$1, IFERROR(VLOOKUP(A212,勤務統計!A:Q,17,FALSE),"")&lt;&gt;勤務統計!$D$1),
        AND(勤務統計!$E$1&lt;&gt;"--", IFERROR(VLOOKUP(A212,'0919門市清單主檔'!B:AH,32,FALSE),"")=勤務統計!$E$1, IFERROR(VLOOKUP(A212,勤務統計!A:S,19,FALSE),"")&lt;&gt;勤務統計!$E$1),
        AND(勤務統計!$F$1&lt;&gt;"--", IFERROR(VLOOKUP(A212,'0919門市清單主檔'!B:AH,33,FALSE),"")=勤務統計!$F$1, IFERROR(VLOOKUP(A212,勤務統計!A:U,21,FALSE),"")&lt;&gt;勤務統計!$F$1),
        AND(IFERROR(VLOOKUP(A212,'0919門市清單主檔'!B:AH,28,FALSE),"")="HUB", IFERROR(VLOOKUP(A212,勤務統計!A:W,23,FALSE),"")&lt;&gt;"HUB")
      ),
      _xlfn.TEXTJOIN(
        "，",
        TRUE,
        IF(AND(勤務統計!$D$1&lt;&gt;"--", IFERROR(VLOOKUP(A212,'0919門市清單主檔'!B:AH,31,FALSE),"")=勤務統計!$D$1, IFERROR(VLOOKUP(A212,勤務統計!A:Q,17,FALSE),"")&lt;&gt;勤務統計!$D$1), 勤務統計!$D$1, ""),
        IF(AND(勤務統計!$E$1&lt;&gt;"--", IFERROR(VLOOKUP(A212,'0919門市清單主檔'!B:AH,32,FALSE),"")=勤務統計!$E$1, IFERROR(VLOOKUP(A212,勤務統計!A:S,19,FALSE),"")&lt;&gt;勤務統計!$E$1), 勤務統計!$E$1, ""),
        IF(AND(勤務統計!$F$1&lt;&gt;"--", IFERROR(VLOOKUP(A212,'0919門市清單主檔'!B:AH,33,FALSE),"")=勤務統計!$F$1, IFERROR(VLOOKUP(A212,勤務統計!A:U,21,FALSE),"")&lt;&gt;勤務統計!$F$1), 勤務統計!$F$1, ""),
        IF(AND(IFERROR(VLOOKUP(A212,'0919門市清單主檔'!B:AH,28,FALSE),"")="HUB", IFERROR(VLOOKUP(A212,勤務統計!A:W,23,FALSE),"")&lt;&gt;"HUB"), "HUB", "")
      ) &amp; "未完工",
      "已完工"
    )
  )
)</f>
        <v>未完工</v>
      </c>
      <c r="P212" s="435" t="str">
        <f>(TEXT(I212,"yyyymmdd"))&amp;勤務統計!$V$2&amp;A212&amp;勤務統計!$V$2&amp;B212&amp;勤務統計!$S$2</f>
        <v>-3853-板橋互助店(定保)</v>
      </c>
      <c r="Q212" s="420" t="str">
        <f t="array" ref="Q212">IF(AND(SUMPRODUCT((IM!$F$2:$F$5000=A212)*(ISNUMBER(SEARCH(勤務統計!$D$1, IM!$AC$2:$AC$5000))))&gt;0), 勤務統計!$D$1, "")</f>
        <v/>
      </c>
      <c r="R212" s="421" t="str">
        <f t="array" ref="R212">IFERROR(INDEX(IM!$AM$2:$AM$5000, MATCH(1, (IM!$F$2:$F$5000=A212) * (ISNUMBER(SEARCH(勤務統計!$D$1, IM!$AC$2:$AC$5000))), 0)), "")</f>
        <v/>
      </c>
      <c r="S212" s="406" t="str" cm="1">
        <f t="array" ref="S212">IF(AND(SUMPRODUCT((IM!$F$2:$F$5000=A212)*(ISNUMBER(SEARCH(勤務統計!$E$1, IM!$AC$2:$AC$5000))))&gt;0), 勤務統計!$E$1, "")</f>
        <v>+L90</v>
      </c>
      <c r="T212" s="422">
        <f t="array" ref="T212">IFERROR(INDEX(IM!$AM$2:$AM$5000, MATCH(1, (IM!$F$2:$F$5000=A212) * (ISNUMBER(SEARCH(勤務統計!$E$1, IM!$AC$2:$AC$5000))), 0)), "")</f>
        <v>46001</v>
      </c>
      <c r="U212" s="406" t="str" cm="1">
        <f t="array" ref="U212">IF(AND(SUMPRODUCT((IM!$F$2:$F$5000=A212)*(ISNUMBER(SEARCH(勤務統計!$F$1, IM!$AC$2:$AC$5000))))&gt;0), 勤務統計!$F$1, "")</f>
        <v/>
      </c>
      <c r="V212" s="413" t="str">
        <f t="array" ref="V212">IFERROR(INDEX(IM!$AM$2:$AM$5000, MATCH(1, (IM!$F$2:$F$5000=A212) * (ISNUMBER(SEARCH(勤務統計!$F$1, IM!$AC$2:$AC$5000))), 0)), "")</f>
        <v/>
      </c>
      <c r="W212" s="414" t="str">
        <f>IF(VLOOKUP(A212,'0919門市清單主檔'!B:AC,28,FALSE)=0,"",VLOOKUP(A212,'0919門市清單主檔'!B:AC,28,FALSE))</f>
        <v/>
      </c>
    </row>
    <row r="213" spans="1:23" ht="21.6" customHeight="1">
      <c r="A213" s="409">
        <v>3955</v>
      </c>
      <c r="B213" s="409" t="str">
        <f>VLOOKUP(A213,'0919門市清單主檔'!B:C,2,FALSE)</f>
        <v>板橋海龍店</v>
      </c>
      <c r="C213" s="409" t="str">
        <f>VLOOKUP($A213,'0919門市清單主檔'!B:V,20,FALSE)</f>
        <v>新北市</v>
      </c>
      <c r="D213" s="409" t="str">
        <f>VLOOKUP($A213,'0919門市清單主檔'!B:V,21,FALSE)</f>
        <v>板橋區</v>
      </c>
      <c r="E213" s="397" t="str">
        <f>VLOOKUP(D213,門市狀態!G:H,2,FALSE)</f>
        <v>狄澤洋</v>
      </c>
      <c r="F213" s="409" t="str">
        <f>IFERROR(IF(VLOOKUP(A213,門市狀態!A:D,4,FALSE)=0,"",VLOOKUP(A213,門市狀態!A:D,4,FALSE)),"")</f>
        <v/>
      </c>
      <c r="G213" s="409"/>
      <c r="H213" s="411" t="str">
        <f>IF(I213&gt;0,(TEXT(I213,"yyyymmdd")&amp;勤務統計!$V$2&amp;A213&amp;勤務統計!$V$2&amp;B213&amp;勤務統計!$S$2),"")</f>
        <v>-3955-板橋海龍店(定保)</v>
      </c>
      <c r="I213" s="247" t="str">
        <f t="array" ref="I213">IF(AND(SUMPRODUCT((IM!$F$2:$F$5000=A213)*(ISNUMBER(SEARCH(勤務統計!$C$1, IM!$AC$2:$AC$5000))))&gt;0), 勤務統計!$C$1, "")</f>
        <v/>
      </c>
      <c r="J213" s="399" t="str">
        <f t="array" ref="J213">IFERROR(INDEX(IM!$AM$2:$AM$5000, MATCH(1, (IM!$F$2:$F$5000=A213) * (ISNUMBER(SEARCH(勤務統計!$C$1, IM!$AC$2:$AC$5000))), 0)), "")</f>
        <v/>
      </c>
      <c r="K213" s="400">
        <f t="array" ref="K213">SUMPRODUCT((IM!$F$2:$F$5000=A213)*(IM!$AD$2:$AD$5000="O")*(ISNUMBER(SEARCH(勤務統計!$C$1, IM!$AC$2:$AC$5000))))</f>
        <v>0</v>
      </c>
      <c r="L213" s="401" t="str">
        <f t="array" ref="L213">IF(K213&gt;0,IFERROR(HYPERLINK("#'IM'!AC"&amp;MATCH(1,(IM!$F$1:$F$5000=A213)*(ISNUMBER(SEARCH(勤務統計!$C$1,IM!$AC$1:$AC$5000))),0),"檢核"),"未登錄"),"")</f>
        <v/>
      </c>
      <c r="M213" s="402" t="str">
        <f t="shared" si="3"/>
        <v>+L90</v>
      </c>
      <c r="N213" s="402" t="str">
        <f t="array" ref="N213">IF(AND(
    SUMPRODUCT(
        (IM!$F$2:$F$522=A213) *
        ISNUMBER(SEARCH("*HUB*", IM!$AC$2:$AC$522)) *
        (IM!$X$2:$X$522&gt;=勤務統計!$A$1) *
        (IM!$X$2:$X$522&lt;=勤務統計!$B$1)*(W213="HUB")
    ) &gt; 0
), "HUB", "")</f>
        <v/>
      </c>
      <c r="O213" s="400" t="str">
        <f>IF(
  IFERROR(VLOOKUP(A213,勤務統計!A:I,9,FALSE),"")&lt;&gt;勤務統計!$C$1,
  "未完工",
  IF(
    AND(勤務統計!$D$1="--",勤務統計!$E$1="--",勤務統計!$F$1="--"),
    "已完工",
    IF(
      OR(
        AND(勤務統計!$D$1&lt;&gt;"--", IFERROR(VLOOKUP(A213,'0919門市清單主檔'!B:AH,31,FALSE),"")=勤務統計!$D$1, IFERROR(VLOOKUP(A213,勤務統計!A:Q,17,FALSE),"")&lt;&gt;勤務統計!$D$1),
        AND(勤務統計!$E$1&lt;&gt;"--", IFERROR(VLOOKUP(A213,'0919門市清單主檔'!B:AH,32,FALSE),"")=勤務統計!$E$1, IFERROR(VLOOKUP(A213,勤務統計!A:S,19,FALSE),"")&lt;&gt;勤務統計!$E$1),
        AND(勤務統計!$F$1&lt;&gt;"--", IFERROR(VLOOKUP(A213,'0919門市清單主檔'!B:AH,33,FALSE),"")=勤務統計!$F$1, IFERROR(VLOOKUP(A213,勤務統計!A:U,21,FALSE),"")&lt;&gt;勤務統計!$F$1),
        AND(IFERROR(VLOOKUP(A213,'0919門市清單主檔'!B:AH,28,FALSE),"")="HUB", IFERROR(VLOOKUP(A213,勤務統計!A:W,23,FALSE),"")&lt;&gt;"HUB")
      ),
      _xlfn.TEXTJOIN(
        "，",
        TRUE,
        IF(AND(勤務統計!$D$1&lt;&gt;"--", IFERROR(VLOOKUP(A213,'0919門市清單主檔'!B:AH,31,FALSE),"")=勤務統計!$D$1, IFERROR(VLOOKUP(A213,勤務統計!A:Q,17,FALSE),"")&lt;&gt;勤務統計!$D$1), 勤務統計!$D$1, ""),
        IF(AND(勤務統計!$E$1&lt;&gt;"--", IFERROR(VLOOKUP(A213,'0919門市清單主檔'!B:AH,32,FALSE),"")=勤務統計!$E$1, IFERROR(VLOOKUP(A213,勤務統計!A:S,19,FALSE),"")&lt;&gt;勤務統計!$E$1), 勤務統計!$E$1, ""),
        IF(AND(勤務統計!$F$1&lt;&gt;"--", IFERROR(VLOOKUP(A213,'0919門市清單主檔'!B:AH,33,FALSE),"")=勤務統計!$F$1, IFERROR(VLOOKUP(A213,勤務統計!A:U,21,FALSE),"")&lt;&gt;勤務統計!$F$1), 勤務統計!$F$1, ""),
        IF(AND(IFERROR(VLOOKUP(A213,'0919門市清單主檔'!B:AH,28,FALSE),"")="HUB", IFERROR(VLOOKUP(A213,勤務統計!A:W,23,FALSE),"")&lt;&gt;"HUB"), "HUB", "")
      ) &amp; "未完工",
      "已完工"
    )
  )
)</f>
        <v>未完工</v>
      </c>
      <c r="P213" s="435" t="str">
        <f>(TEXT(I213,"yyyymmdd"))&amp;勤務統計!$V$2&amp;A213&amp;勤務統計!$V$2&amp;B213&amp;勤務統計!$S$2</f>
        <v>-3955-板橋海龍店(定保)</v>
      </c>
      <c r="Q213" s="404" t="str">
        <f t="array" ref="Q213">IF(AND(SUMPRODUCT((IM!$F$2:$F$5000=A213)*(ISNUMBER(SEARCH(勤務統計!$D$1, IM!$AC$2:$AC$5000))))&gt;0), 勤務統計!$D$1, "")</f>
        <v/>
      </c>
      <c r="R213" s="405" t="str">
        <f t="array" ref="R213">IFERROR(INDEX(IM!$AM$2:$AM$5000, MATCH(1, (IM!$F$2:$F$5000=A213) * (ISNUMBER(SEARCH(勤務統計!$D$1, IM!$AC$2:$AC$5000))), 0)), "")</f>
        <v/>
      </c>
      <c r="S213" s="406" t="str" cm="1">
        <f t="array" ref="S213">IF(AND(SUMPRODUCT((IM!$F$2:$F$5000=A213)*(ISNUMBER(SEARCH(勤務統計!$E$1, IM!$AC$2:$AC$5000))))&gt;0), 勤務統計!$E$1, "")</f>
        <v>+L90</v>
      </c>
      <c r="T213" s="405">
        <f t="array" ref="T213">IFERROR(INDEX(IM!$AM$2:$AM$5000, MATCH(1, (IM!$F$2:$F$5000=A213) * (ISNUMBER(SEARCH(勤務統計!$E$1, IM!$AC$2:$AC$5000))), 0)), "")</f>
        <v>46001</v>
      </c>
      <c r="U213" s="406" t="str" cm="1">
        <f t="array" ref="U213">IF(AND(SUMPRODUCT((IM!$F$2:$F$5000=A213)*(ISNUMBER(SEARCH(勤務統計!$F$1, IM!$AC$2:$AC$5000))))&gt;0), 勤務統計!$F$1, "")</f>
        <v/>
      </c>
      <c r="V213" s="405" t="str">
        <f t="array" ref="V213">IFERROR(INDEX(IM!$AM$2:$AM$5000, MATCH(1, (IM!$F$2:$F$5000=A213) * (ISNUMBER(SEARCH(勤務統計!$F$1, IM!$AC$2:$AC$5000))), 0)), "")</f>
        <v/>
      </c>
      <c r="W213" s="436" t="str">
        <f>IF(VLOOKUP(A213,'0919門市清單主檔'!B:AC,28,FALSE)=0,"",VLOOKUP(A213,'0919門市清單主檔'!B:AC,28,FALSE))</f>
        <v/>
      </c>
    </row>
    <row r="214" spans="1:23" ht="21.6" customHeight="1">
      <c r="A214" s="409">
        <v>2221</v>
      </c>
      <c r="B214" s="409" t="str">
        <f>VLOOKUP(A214,'0919門市清單主檔'!B:C,2,FALSE)</f>
        <v>板橋雙十店</v>
      </c>
      <c r="C214" s="409" t="str">
        <f>VLOOKUP($A214,'0919門市清單主檔'!B:V,20,FALSE)</f>
        <v>新北市</v>
      </c>
      <c r="D214" s="409" t="str">
        <f>VLOOKUP($A214,'0919門市清單主檔'!B:V,21,FALSE)</f>
        <v>板橋區</v>
      </c>
      <c r="E214" s="397" t="str">
        <f>VLOOKUP(D214,門市狀態!G:H,2,FALSE)</f>
        <v>狄澤洋</v>
      </c>
      <c r="F214" s="409" t="str">
        <f>IFERROR(IF(VLOOKUP(A214,門市狀態!A:D,4,FALSE)=0,"",VLOOKUP(A214,門市狀態!A:D,4,FALSE)),"")</f>
        <v/>
      </c>
      <c r="G214" s="409"/>
      <c r="H214" s="411" t="str">
        <f>IF(I214&gt;0,(TEXT(I214,"yyyymmdd")&amp;勤務統計!$V$2&amp;A214&amp;勤務統計!$V$2&amp;B214&amp;勤務統計!$S$2),"")</f>
        <v>-2221-板橋雙十店(定保)</v>
      </c>
      <c r="I214" s="247" t="str">
        <f t="array" ref="I214">IF(AND(SUMPRODUCT((IM!$F$2:$F$5000=A214)*(ISNUMBER(SEARCH(勤務統計!$C$1, IM!$AC$2:$AC$5000))))&gt;0), 勤務統計!$C$1, "")</f>
        <v/>
      </c>
      <c r="J214" s="399" t="str">
        <f t="array" ref="J214">IFERROR(INDEX(IM!$AM$2:$AM$5000, MATCH(1, (IM!$F$2:$F$5000=A214) * (ISNUMBER(SEARCH(勤務統計!$C$1, IM!$AC$2:$AC$5000))), 0)), "")</f>
        <v/>
      </c>
      <c r="K214" s="400">
        <f t="array" ref="K214">SUMPRODUCT((IM!$F$2:$F$5000=A214)*(IM!$AD$2:$AD$5000="O")*(ISNUMBER(SEARCH(勤務統計!$C$1, IM!$AC$2:$AC$5000))))</f>
        <v>0</v>
      </c>
      <c r="L214" s="401" t="str">
        <f t="array" ref="L214">IF(K214&gt;0,IFERROR(HYPERLINK("#'IM'!AC"&amp;MATCH(1,(IM!$F$1:$F$5000=A214)*(ISNUMBER(SEARCH(勤務統計!$C$1,IM!$AC$1:$AC$5000))),0),"檢核"),"未登錄"),"")</f>
        <v/>
      </c>
      <c r="M214" s="402" t="str">
        <f t="shared" si="3"/>
        <v>+L90</v>
      </c>
      <c r="N214" s="402" t="str">
        <f t="array" ref="N214">IF(AND(
    SUMPRODUCT(
        (IM!$F$2:$F$522=A214) *
        ISNUMBER(SEARCH("*HUB*", IM!$AC$2:$AC$522)) *
        (IM!$X$2:$X$522&gt;=勤務統計!$A$1) *
        (IM!$X$2:$X$522&lt;=勤務統計!$B$1)*(W214="HUB")
    ) &gt; 0
), "HUB", "")</f>
        <v/>
      </c>
      <c r="O214" s="400" t="str">
        <f>IF(
  IFERROR(VLOOKUP(A214,勤務統計!A:I,9,FALSE),"")&lt;&gt;勤務統計!$C$1,
  "未完工",
  IF(
    AND(勤務統計!$D$1="--",勤務統計!$E$1="--",勤務統計!$F$1="--"),
    "已完工",
    IF(
      OR(
        AND(勤務統計!$D$1&lt;&gt;"--", IFERROR(VLOOKUP(A214,'0919門市清單主檔'!B:AH,31,FALSE),"")=勤務統計!$D$1, IFERROR(VLOOKUP(A214,勤務統計!A:Q,17,FALSE),"")&lt;&gt;勤務統計!$D$1),
        AND(勤務統計!$E$1&lt;&gt;"--", IFERROR(VLOOKUP(A214,'0919門市清單主檔'!B:AH,32,FALSE),"")=勤務統計!$E$1, IFERROR(VLOOKUP(A214,勤務統計!A:S,19,FALSE),"")&lt;&gt;勤務統計!$E$1),
        AND(勤務統計!$F$1&lt;&gt;"--", IFERROR(VLOOKUP(A214,'0919門市清單主檔'!B:AH,33,FALSE),"")=勤務統計!$F$1, IFERROR(VLOOKUP(A214,勤務統計!A:U,21,FALSE),"")&lt;&gt;勤務統計!$F$1),
        AND(IFERROR(VLOOKUP(A214,'0919門市清單主檔'!B:AH,28,FALSE),"")="HUB", IFERROR(VLOOKUP(A214,勤務統計!A:W,23,FALSE),"")&lt;&gt;"HUB")
      ),
      _xlfn.TEXTJOIN(
        "，",
        TRUE,
        IF(AND(勤務統計!$D$1&lt;&gt;"--", IFERROR(VLOOKUP(A214,'0919門市清單主檔'!B:AH,31,FALSE),"")=勤務統計!$D$1, IFERROR(VLOOKUP(A214,勤務統計!A:Q,17,FALSE),"")&lt;&gt;勤務統計!$D$1), 勤務統計!$D$1, ""),
        IF(AND(勤務統計!$E$1&lt;&gt;"--", IFERROR(VLOOKUP(A214,'0919門市清單主檔'!B:AH,32,FALSE),"")=勤務統計!$E$1, IFERROR(VLOOKUP(A214,勤務統計!A:S,19,FALSE),"")&lt;&gt;勤務統計!$E$1), 勤務統計!$E$1, ""),
        IF(AND(勤務統計!$F$1&lt;&gt;"--", IFERROR(VLOOKUP(A214,'0919門市清單主檔'!B:AH,33,FALSE),"")=勤務統計!$F$1, IFERROR(VLOOKUP(A214,勤務統計!A:U,21,FALSE),"")&lt;&gt;勤務統計!$F$1), 勤務統計!$F$1, ""),
        IF(AND(IFERROR(VLOOKUP(A214,'0919門市清單主檔'!B:AH,28,FALSE),"")="HUB", IFERROR(VLOOKUP(A214,勤務統計!A:W,23,FALSE),"")&lt;&gt;"HUB"), "HUB", "")
      ) &amp; "未完工",
      "已完工"
    )
  )
)</f>
        <v>未完工</v>
      </c>
      <c r="P214" s="435" t="str">
        <f>(TEXT(I214,"yyyymmdd"))&amp;勤務統計!$V$2&amp;A214&amp;勤務統計!$V$2&amp;B214&amp;勤務統計!$S$2</f>
        <v>-2221-板橋雙十店(定保)</v>
      </c>
      <c r="Q214" s="404" t="str">
        <f t="array" ref="Q214">IF(AND(SUMPRODUCT((IM!$F$2:$F$5000=A214)*(ISNUMBER(SEARCH(勤務統計!$D$1, IM!$AC$2:$AC$5000))))&gt;0), 勤務統計!$D$1, "")</f>
        <v/>
      </c>
      <c r="R214" s="405" t="str">
        <f t="array" ref="R214">IFERROR(INDEX(IM!$AM$2:$AM$5000, MATCH(1, (IM!$F$2:$F$5000=A214) * (ISNUMBER(SEARCH(勤務統計!$D$1, IM!$AC$2:$AC$5000))), 0)), "")</f>
        <v/>
      </c>
      <c r="S214" s="406" t="str" cm="1">
        <f t="array" ref="S214">IF(AND(SUMPRODUCT((IM!$F$2:$F$5000=A214)*(ISNUMBER(SEARCH(勤務統計!$E$1, IM!$AC$2:$AC$5000))))&gt;0), 勤務統計!$E$1, "")</f>
        <v>+L90</v>
      </c>
      <c r="T214" s="405">
        <f t="array" ref="T214">IFERROR(INDEX(IM!$AM$2:$AM$5000, MATCH(1, (IM!$F$2:$F$5000=A214) * (ISNUMBER(SEARCH(勤務統計!$E$1, IM!$AC$2:$AC$5000))), 0)), "")</f>
        <v>46002</v>
      </c>
      <c r="U214" s="406" t="str" cm="1">
        <f t="array" ref="U214">IF(AND(SUMPRODUCT((IM!$F$2:$F$5000=A214)*(ISNUMBER(SEARCH(勤務統計!$F$1, IM!$AC$2:$AC$5000))))&gt;0), 勤務統計!$F$1, "")</f>
        <v/>
      </c>
      <c r="V214" s="405" t="str">
        <f t="array" ref="V214">IFERROR(INDEX(IM!$AM$2:$AM$5000, MATCH(1, (IM!$F$2:$F$5000=A214) * (ISNUMBER(SEARCH(勤務統計!$F$1, IM!$AC$2:$AC$5000))), 0)), "")</f>
        <v/>
      </c>
      <c r="W214" s="436" t="str">
        <f>IF(VLOOKUP(A214,'0919門市清單主檔'!B:AC,28,FALSE)=0,"",VLOOKUP(A214,'0919門市清單主檔'!B:AC,28,FALSE))</f>
        <v/>
      </c>
    </row>
    <row r="215" spans="1:23" ht="21.6" customHeight="1">
      <c r="A215" s="409">
        <v>2746</v>
      </c>
      <c r="B215" s="409" t="str">
        <f>VLOOKUP(A215,'0919門市清單主檔'!B:C,2,FALSE)</f>
        <v>北縣板嘉店</v>
      </c>
      <c r="C215" s="409" t="str">
        <f>VLOOKUP($A215,'0919門市清單主檔'!B:V,20,FALSE)</f>
        <v>新北市</v>
      </c>
      <c r="D215" s="409" t="str">
        <f>VLOOKUP($A215,'0919門市清單主檔'!B:V,21,FALSE)</f>
        <v>板橋區</v>
      </c>
      <c r="E215" s="397" t="str">
        <f>VLOOKUP(D215,門市狀態!G:H,2,FALSE)</f>
        <v>狄澤洋</v>
      </c>
      <c r="F215" s="409" t="str">
        <f>IFERROR(IF(VLOOKUP(A215,門市狀態!A:D,4,FALSE)=0,"",VLOOKUP(A215,門市狀態!A:D,4,FALSE)),"")</f>
        <v/>
      </c>
      <c r="G215" s="409"/>
      <c r="H215" s="411" t="str">
        <f>IF(I215&gt;0,(TEXT(I215,"yyyymmdd")&amp;勤務統計!$V$2&amp;A215&amp;勤務統計!$V$2&amp;B215&amp;勤務統計!$S$2),"")</f>
        <v>-2746-北縣板嘉店(定保)</v>
      </c>
      <c r="I215" s="247" t="str">
        <f t="array" ref="I215">IF(AND(SUMPRODUCT((IM!$F$2:$F$5000=A215)*(ISNUMBER(SEARCH(勤務統計!$C$1, IM!$AC$2:$AC$5000))))&gt;0), 勤務統計!$C$1, "")</f>
        <v/>
      </c>
      <c r="J215" s="399" t="str">
        <f t="array" ref="J215">IFERROR(INDEX(IM!$AM$2:$AM$5000, MATCH(1, (IM!$F$2:$F$5000=A215) * (ISNUMBER(SEARCH(勤務統計!$C$1, IM!$AC$2:$AC$5000))), 0)), "")</f>
        <v/>
      </c>
      <c r="K215" s="400">
        <f t="array" ref="K215">SUMPRODUCT((IM!$F$2:$F$5000=A215)*(IM!$AD$2:$AD$5000="O")*(ISNUMBER(SEARCH(勤務統計!$C$1, IM!$AC$2:$AC$5000))))</f>
        <v>0</v>
      </c>
      <c r="L215" s="401" t="str">
        <f t="array" ref="L215">IF(K215&gt;0,IFERROR(HYPERLINK("#'IM'!AC"&amp;MATCH(1,(IM!$F$1:$F$5000=A215)*(ISNUMBER(SEARCH(勤務統計!$C$1,IM!$AC$1:$AC$5000))),0),"檢核"),"未登錄"),"")</f>
        <v/>
      </c>
      <c r="M215" s="402" t="str">
        <f t="shared" si="3"/>
        <v>+L90</v>
      </c>
      <c r="N215" s="402" t="str">
        <f t="array" ref="N215">IF(AND(
    SUMPRODUCT(
        (IM!$F$2:$F$522=A215) *
        ISNUMBER(SEARCH("*HUB*", IM!$AC$2:$AC$522)) *
        (IM!$X$2:$X$522&gt;=勤務統計!$A$1) *
        (IM!$X$2:$X$522&lt;=勤務統計!$B$1)*(W215="HUB")
    ) &gt; 0
), "HUB", "")</f>
        <v/>
      </c>
      <c r="O215" s="400" t="str">
        <f>IF(
  IFERROR(VLOOKUP(A215,勤務統計!A:I,9,FALSE),"")&lt;&gt;勤務統計!$C$1,
  "未完工",
  IF(
    AND(勤務統計!$D$1="--",勤務統計!$E$1="--",勤務統計!$F$1="--"),
    "已完工",
    IF(
      OR(
        AND(勤務統計!$D$1&lt;&gt;"--", IFERROR(VLOOKUP(A215,'0919門市清單主檔'!B:AH,31,FALSE),"")=勤務統計!$D$1, IFERROR(VLOOKUP(A215,勤務統計!A:Q,17,FALSE),"")&lt;&gt;勤務統計!$D$1),
        AND(勤務統計!$E$1&lt;&gt;"--", IFERROR(VLOOKUP(A215,'0919門市清單主檔'!B:AH,32,FALSE),"")=勤務統計!$E$1, IFERROR(VLOOKUP(A215,勤務統計!A:S,19,FALSE),"")&lt;&gt;勤務統計!$E$1),
        AND(勤務統計!$F$1&lt;&gt;"--", IFERROR(VLOOKUP(A215,'0919門市清單主檔'!B:AH,33,FALSE),"")=勤務統計!$F$1, IFERROR(VLOOKUP(A215,勤務統計!A:U,21,FALSE),"")&lt;&gt;勤務統計!$F$1),
        AND(IFERROR(VLOOKUP(A215,'0919門市清單主檔'!B:AH,28,FALSE),"")="HUB", IFERROR(VLOOKUP(A215,勤務統計!A:W,23,FALSE),"")&lt;&gt;"HUB")
      ),
      _xlfn.TEXTJOIN(
        "，",
        TRUE,
        IF(AND(勤務統計!$D$1&lt;&gt;"--", IFERROR(VLOOKUP(A215,'0919門市清單主檔'!B:AH,31,FALSE),"")=勤務統計!$D$1, IFERROR(VLOOKUP(A215,勤務統計!A:Q,17,FALSE),"")&lt;&gt;勤務統計!$D$1), 勤務統計!$D$1, ""),
        IF(AND(勤務統計!$E$1&lt;&gt;"--", IFERROR(VLOOKUP(A215,'0919門市清單主檔'!B:AH,32,FALSE),"")=勤務統計!$E$1, IFERROR(VLOOKUP(A215,勤務統計!A:S,19,FALSE),"")&lt;&gt;勤務統計!$E$1), 勤務統計!$E$1, ""),
        IF(AND(勤務統計!$F$1&lt;&gt;"--", IFERROR(VLOOKUP(A215,'0919門市清單主檔'!B:AH,33,FALSE),"")=勤務統計!$F$1, IFERROR(VLOOKUP(A215,勤務統計!A:U,21,FALSE),"")&lt;&gt;勤務統計!$F$1), 勤務統計!$F$1, ""),
        IF(AND(IFERROR(VLOOKUP(A215,'0919門市清單主檔'!B:AH,28,FALSE),"")="HUB", IFERROR(VLOOKUP(A215,勤務統計!A:W,23,FALSE),"")&lt;&gt;"HUB"), "HUB", "")
      ) &amp; "未完工",
      "已完工"
    )
  )
)</f>
        <v>未完工</v>
      </c>
      <c r="P215" s="435" t="str">
        <f>(TEXT(I215,"yyyymmdd"))&amp;勤務統計!$V$2&amp;A215&amp;勤務統計!$V$2&amp;B215&amp;勤務統計!$S$2</f>
        <v>-2746-北縣板嘉店(定保)</v>
      </c>
      <c r="Q215" s="404" t="str">
        <f t="array" ref="Q215">IF(AND(SUMPRODUCT((IM!$F$2:$F$5000=A215)*(ISNUMBER(SEARCH(勤務統計!$D$1, IM!$AC$2:$AC$5000))))&gt;0), 勤務統計!$D$1, "")</f>
        <v/>
      </c>
      <c r="R215" s="405" t="str">
        <f t="array" ref="R215">IFERROR(INDEX(IM!$AM$2:$AM$5000, MATCH(1, (IM!$F$2:$F$5000=A215) * (ISNUMBER(SEARCH(勤務統計!$D$1, IM!$AC$2:$AC$5000))), 0)), "")</f>
        <v/>
      </c>
      <c r="S215" s="406" t="str" cm="1">
        <f t="array" ref="S215">IF(AND(SUMPRODUCT((IM!$F$2:$F$5000=A215)*(ISNUMBER(SEARCH(勤務統計!$E$1, IM!$AC$2:$AC$5000))))&gt;0), 勤務統計!$E$1, "")</f>
        <v>+L90</v>
      </c>
      <c r="T215" s="405">
        <f t="array" ref="T215">IFERROR(INDEX(IM!$AM$2:$AM$5000, MATCH(1, (IM!$F$2:$F$5000=A215) * (ISNUMBER(SEARCH(勤務統計!$E$1, IM!$AC$2:$AC$5000))), 0)), "")</f>
        <v>46002</v>
      </c>
      <c r="U215" s="406" t="str" cm="1">
        <f t="array" ref="U215">IF(AND(SUMPRODUCT((IM!$F$2:$F$5000=A215)*(ISNUMBER(SEARCH(勤務統計!$F$1, IM!$AC$2:$AC$5000))))&gt;0), 勤務統計!$F$1, "")</f>
        <v/>
      </c>
      <c r="V215" s="405" t="str">
        <f t="array" ref="V215">IFERROR(INDEX(IM!$AM$2:$AM$5000, MATCH(1, (IM!$F$2:$F$5000=A215) * (ISNUMBER(SEARCH(勤務統計!$F$1, IM!$AC$2:$AC$5000))), 0)), "")</f>
        <v/>
      </c>
      <c r="W215" s="436" t="str">
        <f>IF(VLOOKUP(A215,'0919門市清單主檔'!B:AC,28,FALSE)=0,"",VLOOKUP(A215,'0919門市清單主檔'!B:AC,28,FALSE))</f>
        <v/>
      </c>
    </row>
    <row r="216" spans="1:23" ht="21.6" customHeight="1">
      <c r="A216" s="409">
        <v>3818</v>
      </c>
      <c r="B216" s="409" t="str">
        <f>VLOOKUP(A216,'0919門市清單主檔'!B:C,2,FALSE)</f>
        <v>板橋漢江店</v>
      </c>
      <c r="C216" s="409" t="str">
        <f>VLOOKUP($A216,'0919門市清單主檔'!B:V,20,FALSE)</f>
        <v>新北市</v>
      </c>
      <c r="D216" s="409" t="str">
        <f>VLOOKUP($A216,'0919門市清單主檔'!B:V,21,FALSE)</f>
        <v>板橋區</v>
      </c>
      <c r="E216" s="397" t="str">
        <f>VLOOKUP(D216,門市狀態!G:H,2,FALSE)</f>
        <v>狄澤洋</v>
      </c>
      <c r="F216" s="409" t="str">
        <f>IFERROR(IF(VLOOKUP(A216,門市狀態!A:D,4,FALSE)=0,"",VLOOKUP(A216,門市狀態!A:D,4,FALSE)),"")</f>
        <v>撤店</v>
      </c>
      <c r="G216" s="409"/>
      <c r="H216" s="411" t="str">
        <f>IF(I216&gt;0,(TEXT(I216,"yyyymmdd")&amp;勤務統計!$V$2&amp;A216&amp;勤務統計!$V$2&amp;B216&amp;勤務統計!$S$2),"")</f>
        <v>-3818-板橋漢江店(定保)</v>
      </c>
      <c r="I216" s="247" t="str">
        <f t="array" ref="I216">IF(AND(SUMPRODUCT((IM!$F$2:$F$5000=A216)*(ISNUMBER(SEARCH(勤務統計!$C$1, IM!$AC$2:$AC$5000))))&gt;0), 勤務統計!$C$1, "")</f>
        <v/>
      </c>
      <c r="J216" s="399" t="str">
        <f t="array" ref="J216">IFERROR(INDEX(IM!$AM$2:$AM$5000, MATCH(1, (IM!$F$2:$F$5000=A216) * (ISNUMBER(SEARCH(勤務統計!$C$1, IM!$AC$2:$AC$5000))), 0)), "")</f>
        <v/>
      </c>
      <c r="K216" s="400">
        <f t="array" ref="K216">SUMPRODUCT((IM!$F$2:$F$5000=A216)*(IM!$AD$2:$AD$5000="O")*(ISNUMBER(SEARCH(勤務統計!$C$1, IM!$AC$2:$AC$5000))))</f>
        <v>0</v>
      </c>
      <c r="L216" s="401" t="str">
        <f t="array" ref="L216">IF(K216&gt;0,IFERROR(HYPERLINK("#'IM'!AC"&amp;MATCH(1,(IM!$F$1:$F$5000=A216)*(ISNUMBER(SEARCH(勤務統計!$C$1,IM!$AC$1:$AC$5000))),0),"檢核"),"未登錄"),"")</f>
        <v/>
      </c>
      <c r="M216" s="402" t="str">
        <f t="shared" si="3"/>
        <v>+L90</v>
      </c>
      <c r="N216" s="402" t="str">
        <f t="array" ref="N216">IF(AND(
    SUMPRODUCT(
        (IM!$F$2:$F$522=A216) *
        ISNUMBER(SEARCH("*HUB*", IM!$AC$2:$AC$522)) *
        (IM!$X$2:$X$522&gt;=勤務統計!$A$1) *
        (IM!$X$2:$X$522&lt;=勤務統計!$B$1)*(W216="HUB")
    ) &gt; 0
), "HUB", "")</f>
        <v/>
      </c>
      <c r="O216" s="400" t="str">
        <f>IF(
  IFERROR(VLOOKUP(A216,勤務統計!A:I,9,FALSE),"")&lt;&gt;勤務統計!$C$1,
  "未完工",
  IF(
    AND(勤務統計!$D$1="--",勤務統計!$E$1="--",勤務統計!$F$1="--"),
    "已完工",
    IF(
      OR(
        AND(勤務統計!$D$1&lt;&gt;"--", IFERROR(VLOOKUP(A216,'0919門市清單主檔'!B:AH,31,FALSE),"")=勤務統計!$D$1, IFERROR(VLOOKUP(A216,勤務統計!A:Q,17,FALSE),"")&lt;&gt;勤務統計!$D$1),
        AND(勤務統計!$E$1&lt;&gt;"--", IFERROR(VLOOKUP(A216,'0919門市清單主檔'!B:AH,32,FALSE),"")=勤務統計!$E$1, IFERROR(VLOOKUP(A216,勤務統計!A:S,19,FALSE),"")&lt;&gt;勤務統計!$E$1),
        AND(勤務統計!$F$1&lt;&gt;"--", IFERROR(VLOOKUP(A216,'0919門市清單主檔'!B:AH,33,FALSE),"")=勤務統計!$F$1, IFERROR(VLOOKUP(A216,勤務統計!A:U,21,FALSE),"")&lt;&gt;勤務統計!$F$1),
        AND(IFERROR(VLOOKUP(A216,'0919門市清單主檔'!B:AH,28,FALSE),"")="HUB", IFERROR(VLOOKUP(A216,勤務統計!A:W,23,FALSE),"")&lt;&gt;"HUB")
      ),
      _xlfn.TEXTJOIN(
        "，",
        TRUE,
        IF(AND(勤務統計!$D$1&lt;&gt;"--", IFERROR(VLOOKUP(A216,'0919門市清單主檔'!B:AH,31,FALSE),"")=勤務統計!$D$1, IFERROR(VLOOKUP(A216,勤務統計!A:Q,17,FALSE),"")&lt;&gt;勤務統計!$D$1), 勤務統計!$D$1, ""),
        IF(AND(勤務統計!$E$1&lt;&gt;"--", IFERROR(VLOOKUP(A216,'0919門市清單主檔'!B:AH,32,FALSE),"")=勤務統計!$E$1, IFERROR(VLOOKUP(A216,勤務統計!A:S,19,FALSE),"")&lt;&gt;勤務統計!$E$1), 勤務統計!$E$1, ""),
        IF(AND(勤務統計!$F$1&lt;&gt;"--", IFERROR(VLOOKUP(A216,'0919門市清單主檔'!B:AH,33,FALSE),"")=勤務統計!$F$1, IFERROR(VLOOKUP(A216,勤務統計!A:U,21,FALSE),"")&lt;&gt;勤務統計!$F$1), 勤務統計!$F$1, ""),
        IF(AND(IFERROR(VLOOKUP(A216,'0919門市清單主檔'!B:AH,28,FALSE),"")="HUB", IFERROR(VLOOKUP(A216,勤務統計!A:W,23,FALSE),"")&lt;&gt;"HUB"), "HUB", "")
      ) &amp; "未完工",
      "已完工"
    )
  )
)</f>
        <v>未完工</v>
      </c>
      <c r="P216" s="435" t="str">
        <f>(TEXT(I216,"yyyymmdd"))&amp;勤務統計!$V$2&amp;A216&amp;勤務統計!$V$2&amp;B216&amp;勤務統計!$S$2</f>
        <v>-3818-板橋漢江店(定保)</v>
      </c>
      <c r="Q216" s="404" t="str">
        <f t="array" ref="Q216">IF(AND(SUMPRODUCT((IM!$F$2:$F$5000=A216)*(ISNUMBER(SEARCH(勤務統計!$D$1, IM!$AC$2:$AC$5000))))&gt;0), 勤務統計!$D$1, "")</f>
        <v/>
      </c>
      <c r="R216" s="405" t="str">
        <f t="array" ref="R216">IFERROR(INDEX(IM!$AM$2:$AM$5000, MATCH(1, (IM!$F$2:$F$5000=A216) * (ISNUMBER(SEARCH(勤務統計!$D$1, IM!$AC$2:$AC$5000))), 0)), "")</f>
        <v/>
      </c>
      <c r="S216" s="406" t="str" cm="1">
        <f t="array" ref="S216">IF(AND(SUMPRODUCT((IM!$F$2:$F$5000=A216)*(ISNUMBER(SEARCH(勤務統計!$E$1, IM!$AC$2:$AC$5000))))&gt;0), 勤務統計!$E$1, "")</f>
        <v>+L90</v>
      </c>
      <c r="T216" s="405">
        <f t="array" ref="T216">IFERROR(INDEX(IM!$AM$2:$AM$5000, MATCH(1, (IM!$F$2:$F$5000=A216) * (ISNUMBER(SEARCH(勤務統計!$E$1, IM!$AC$2:$AC$5000))), 0)), "")</f>
        <v>46003</v>
      </c>
      <c r="U216" s="406" t="str" cm="1">
        <f t="array" ref="U216">IF(AND(SUMPRODUCT((IM!$F$2:$F$5000=A216)*(ISNUMBER(SEARCH(勤務統計!$F$1, IM!$AC$2:$AC$5000))))&gt;0), 勤務統計!$F$1, "")</f>
        <v/>
      </c>
      <c r="V216" s="405" t="str">
        <f t="array" ref="V216">IFERROR(INDEX(IM!$AM$2:$AM$5000, MATCH(1, (IM!$F$2:$F$5000=A216) * (ISNUMBER(SEARCH(勤務統計!$F$1, IM!$AC$2:$AC$5000))), 0)), "")</f>
        <v/>
      </c>
      <c r="W216" s="436" t="str">
        <f>IF(VLOOKUP(A216,'0919門市清單主檔'!B:AC,28,FALSE)=0,"",VLOOKUP(A216,'0919門市清單主檔'!B:AC,28,FALSE))</f>
        <v/>
      </c>
    </row>
    <row r="217" spans="1:23" ht="21.6" customHeight="1">
      <c r="A217" s="409">
        <v>5384</v>
      </c>
      <c r="B217" s="409" t="str">
        <f>VLOOKUP(A217,'0919門市清單主檔'!B:C,2,FALSE)</f>
        <v>板橋民生站</v>
      </c>
      <c r="C217" s="409" t="str">
        <f>VLOOKUP($A217,'0919門市清單主檔'!B:V,20,FALSE)</f>
        <v>新北市</v>
      </c>
      <c r="D217" s="409" t="str">
        <f>VLOOKUP($A217,'0919門市清單主檔'!B:V,21,FALSE)</f>
        <v>板橋區</v>
      </c>
      <c r="E217" s="397" t="str">
        <f>VLOOKUP(D217,門市狀態!G:H,2,FALSE)</f>
        <v>狄澤洋</v>
      </c>
      <c r="F217" s="409" t="str">
        <f>IFERROR(IF(VLOOKUP(A217,門市狀態!A:D,4,FALSE)=0,"",VLOOKUP(A217,門市狀態!A:D,4,FALSE)),"")</f>
        <v/>
      </c>
      <c r="G217" s="409"/>
      <c r="H217" s="411" t="str">
        <f>IF(I217&gt;0,(TEXT(I217,"yyyymmdd")&amp;勤務統計!$V$2&amp;A217&amp;勤務統計!$V$2&amp;B217&amp;勤務統計!$S$2),"")</f>
        <v>-5384-板橋民生站(定保)</v>
      </c>
      <c r="I217" s="247" t="str">
        <f t="array" ref="I217">IF(AND(SUMPRODUCT((IM!$F$2:$F$5000=A217)*(ISNUMBER(SEARCH(勤務統計!$C$1, IM!$AC$2:$AC$5000))))&gt;0), 勤務統計!$C$1, "")</f>
        <v/>
      </c>
      <c r="J217" s="399" t="str">
        <f t="array" ref="J217">IFERROR(INDEX(IM!$AM$2:$AM$5000, MATCH(1, (IM!$F$2:$F$5000=A217) * (ISNUMBER(SEARCH(勤務統計!$C$1, IM!$AC$2:$AC$5000))), 0)), "")</f>
        <v/>
      </c>
      <c r="K217" s="400">
        <f t="array" ref="K217">SUMPRODUCT((IM!$F$2:$F$5000=A217)*(IM!$AD$2:$AD$5000="O")*(ISNUMBER(SEARCH(勤務統計!$C$1, IM!$AC$2:$AC$5000))))</f>
        <v>0</v>
      </c>
      <c r="L217" s="401" t="str">
        <f t="array" ref="L217">IF(K217&gt;0,IFERROR(HYPERLINK("#'IM'!AC"&amp;MATCH(1,(IM!$F$1:$F$5000=A217)*(ISNUMBER(SEARCH(勤務統計!$C$1,IM!$AC$1:$AC$5000))),0),"檢核"),"未登錄"),"")</f>
        <v/>
      </c>
      <c r="M217" s="402" t="str">
        <f t="shared" si="3"/>
        <v>+L90</v>
      </c>
      <c r="N217" s="402" t="str">
        <f t="array" ref="N217">IF(AND(
    SUMPRODUCT(
        (IM!$F$2:$F$522=A217) *
        ISNUMBER(SEARCH("*HUB*", IM!$AC$2:$AC$522)) *
        (IM!$X$2:$X$522&gt;=勤務統計!$A$1) *
        (IM!$X$2:$X$522&lt;=勤務統計!$B$1)*(W217="HUB")
    ) &gt; 0
), "HUB", "")</f>
        <v/>
      </c>
      <c r="O217" s="400" t="str">
        <f>IF(
  IFERROR(VLOOKUP(A217,勤務統計!A:I,9,FALSE),"")&lt;&gt;勤務統計!$C$1,
  "未完工",
  IF(
    AND(勤務統計!$D$1="--",勤務統計!$E$1="--",勤務統計!$F$1="--"),
    "已完工",
    IF(
      OR(
        AND(勤務統計!$D$1&lt;&gt;"--", IFERROR(VLOOKUP(A217,'0919門市清單主檔'!B:AH,31,FALSE),"")=勤務統計!$D$1, IFERROR(VLOOKUP(A217,勤務統計!A:Q,17,FALSE),"")&lt;&gt;勤務統計!$D$1),
        AND(勤務統計!$E$1&lt;&gt;"--", IFERROR(VLOOKUP(A217,'0919門市清單主檔'!B:AH,32,FALSE),"")=勤務統計!$E$1, IFERROR(VLOOKUP(A217,勤務統計!A:S,19,FALSE),"")&lt;&gt;勤務統計!$E$1),
        AND(勤務統計!$F$1&lt;&gt;"--", IFERROR(VLOOKUP(A217,'0919門市清單主檔'!B:AH,33,FALSE),"")=勤務統計!$F$1, IFERROR(VLOOKUP(A217,勤務統計!A:U,21,FALSE),"")&lt;&gt;勤務統計!$F$1),
        AND(IFERROR(VLOOKUP(A217,'0919門市清單主檔'!B:AH,28,FALSE),"")="HUB", IFERROR(VLOOKUP(A217,勤務統計!A:W,23,FALSE),"")&lt;&gt;"HUB")
      ),
      _xlfn.TEXTJOIN(
        "，",
        TRUE,
        IF(AND(勤務統計!$D$1&lt;&gt;"--", IFERROR(VLOOKUP(A217,'0919門市清單主檔'!B:AH,31,FALSE),"")=勤務統計!$D$1, IFERROR(VLOOKUP(A217,勤務統計!A:Q,17,FALSE),"")&lt;&gt;勤務統計!$D$1), 勤務統計!$D$1, ""),
        IF(AND(勤務統計!$E$1&lt;&gt;"--", IFERROR(VLOOKUP(A217,'0919門市清單主檔'!B:AH,32,FALSE),"")=勤務統計!$E$1, IFERROR(VLOOKUP(A217,勤務統計!A:S,19,FALSE),"")&lt;&gt;勤務統計!$E$1), 勤務統計!$E$1, ""),
        IF(AND(勤務統計!$F$1&lt;&gt;"--", IFERROR(VLOOKUP(A217,'0919門市清單主檔'!B:AH,33,FALSE),"")=勤務統計!$F$1, IFERROR(VLOOKUP(A217,勤務統計!A:U,21,FALSE),"")&lt;&gt;勤務統計!$F$1), 勤務統計!$F$1, ""),
        IF(AND(IFERROR(VLOOKUP(A217,'0919門市清單主檔'!B:AH,28,FALSE),"")="HUB", IFERROR(VLOOKUP(A217,勤務統計!A:W,23,FALSE),"")&lt;&gt;"HUB"), "HUB", "")
      ) &amp; "未完工",
      "已完工"
    )
  )
)</f>
        <v>未完工</v>
      </c>
      <c r="P217" s="435" t="str">
        <f>(TEXT(I217,"yyyymmdd"))&amp;勤務統計!$V$2&amp;A217&amp;勤務統計!$V$2&amp;B217&amp;勤務統計!$S$2</f>
        <v>-5384-板橋民生站(定保)</v>
      </c>
      <c r="Q217" s="404" t="str">
        <f t="array" ref="Q217">IF(AND(SUMPRODUCT((IM!$F$2:$F$5000=A217)*(ISNUMBER(SEARCH(勤務統計!$D$1, IM!$AC$2:$AC$5000))))&gt;0), 勤務統計!$D$1, "")</f>
        <v/>
      </c>
      <c r="R217" s="405" t="str">
        <f t="array" ref="R217">IFERROR(INDEX(IM!$AM$2:$AM$5000, MATCH(1, (IM!$F$2:$F$5000=A217) * (ISNUMBER(SEARCH(勤務統計!$D$1, IM!$AC$2:$AC$5000))), 0)), "")</f>
        <v/>
      </c>
      <c r="S217" s="406" t="str" cm="1">
        <f t="array" ref="S217">IF(AND(SUMPRODUCT((IM!$F$2:$F$5000=A217)*(ISNUMBER(SEARCH(勤務統計!$E$1, IM!$AC$2:$AC$5000))))&gt;0), 勤務統計!$E$1, "")</f>
        <v>+L90</v>
      </c>
      <c r="T217" s="405">
        <f t="array" ref="T217">IFERROR(INDEX(IM!$AM$2:$AM$5000, MATCH(1, (IM!$F$2:$F$5000=A217) * (ISNUMBER(SEARCH(勤務統計!$E$1, IM!$AC$2:$AC$5000))), 0)), "")</f>
        <v>46003</v>
      </c>
      <c r="U217" s="406" t="str" cm="1">
        <f t="array" ref="U217">IF(AND(SUMPRODUCT((IM!$F$2:$F$5000=A217)*(ISNUMBER(SEARCH(勤務統計!$F$1, IM!$AC$2:$AC$5000))))&gt;0), 勤務統計!$F$1, "")</f>
        <v/>
      </c>
      <c r="V217" s="405" t="str">
        <f t="array" ref="V217">IFERROR(INDEX(IM!$AM$2:$AM$5000, MATCH(1, (IM!$F$2:$F$5000=A217) * (ISNUMBER(SEARCH(勤務統計!$F$1, IM!$AC$2:$AC$5000))), 0)), "")</f>
        <v/>
      </c>
      <c r="W217" s="436" t="str">
        <f>IF(VLOOKUP(A217,'0919門市清單主檔'!B:AC,28,FALSE)=0,"",VLOOKUP(A217,'0919門市清單主檔'!B:AC,28,FALSE))</f>
        <v/>
      </c>
    </row>
    <row r="218" spans="1:23" ht="21.6" customHeight="1">
      <c r="A218" s="409">
        <v>3962</v>
      </c>
      <c r="B218" s="409" t="str">
        <f>VLOOKUP(A218,'0919門市清單主檔'!B:C,2,FALSE)</f>
        <v>板橋仁化店</v>
      </c>
      <c r="C218" s="409" t="str">
        <f>VLOOKUP($A218,'0919門市清單主檔'!B:V,20,FALSE)</f>
        <v>新北市</v>
      </c>
      <c r="D218" s="409" t="str">
        <f>VLOOKUP($A218,'0919門市清單主檔'!B:V,21,FALSE)</f>
        <v>板橋區</v>
      </c>
      <c r="E218" s="397" t="str">
        <f>VLOOKUP(D218,門市狀態!G:H,2,FALSE)</f>
        <v>狄澤洋</v>
      </c>
      <c r="F218" s="409" t="str">
        <f>IFERROR(IF(VLOOKUP(A218,門市狀態!A:D,4,FALSE)=0,"",VLOOKUP(A218,門市狀態!A:D,4,FALSE)),"")</f>
        <v/>
      </c>
      <c r="G218" s="409"/>
      <c r="H218" s="411" t="str">
        <f>IF(I218&gt;0,(TEXT(I218,"yyyymmdd")&amp;勤務統計!$V$2&amp;A218&amp;勤務統計!$V$2&amp;B218&amp;勤務統計!$S$2),"")</f>
        <v>-3962-板橋仁化店(定保)</v>
      </c>
      <c r="I218" s="247" t="str">
        <f t="array" ref="I218">IF(AND(SUMPRODUCT((IM!$F$2:$F$5000=A218)*(ISNUMBER(SEARCH(勤務統計!$C$1, IM!$AC$2:$AC$5000))))&gt;0), 勤務統計!$C$1, "")</f>
        <v/>
      </c>
      <c r="J218" s="399" t="str">
        <f t="array" ref="J218">IFERROR(INDEX(IM!$AM$2:$AM$5000, MATCH(1, (IM!$F$2:$F$5000=A218) * (ISNUMBER(SEARCH(勤務統計!$C$1, IM!$AC$2:$AC$5000))), 0)), "")</f>
        <v/>
      </c>
      <c r="K218" s="400">
        <f t="array" ref="K218">SUMPRODUCT((IM!$F$2:$F$5000=A218)*(IM!$AD$2:$AD$5000="O")*(ISNUMBER(SEARCH(勤務統計!$C$1, IM!$AC$2:$AC$5000))))</f>
        <v>0</v>
      </c>
      <c r="L218" s="401" t="str">
        <f t="array" ref="L218">IF(K218&gt;0,IFERROR(HYPERLINK("#'IM'!AC"&amp;MATCH(1,(IM!$F$1:$F$5000=A218)*(ISNUMBER(SEARCH(勤務統計!$C$1,IM!$AC$1:$AC$5000))),0),"檢核"),"未登錄"),"")</f>
        <v/>
      </c>
      <c r="M218" s="402" t="str">
        <f t="shared" si="3"/>
        <v>+L90</v>
      </c>
      <c r="N218" s="402" t="str">
        <f t="array" ref="N218">IF(AND(
    SUMPRODUCT(
        (IM!$F$2:$F$522=A218) *
        ISNUMBER(SEARCH("*HUB*", IM!$AC$2:$AC$522)) *
        (IM!$X$2:$X$522&gt;=勤務統計!$A$1) *
        (IM!$X$2:$X$522&lt;=勤務統計!$B$1)*(W218="HUB")
    ) &gt; 0
), "HUB", "")</f>
        <v/>
      </c>
      <c r="O218" s="400" t="str">
        <f>IF(
  IFERROR(VLOOKUP(A218,勤務統計!A:I,9,FALSE),"")&lt;&gt;勤務統計!$C$1,
  "未完工",
  IF(
    AND(勤務統計!$D$1="--",勤務統計!$E$1="--",勤務統計!$F$1="--"),
    "已完工",
    IF(
      OR(
        AND(勤務統計!$D$1&lt;&gt;"--", IFERROR(VLOOKUP(A218,'0919門市清單主檔'!B:AH,31,FALSE),"")=勤務統計!$D$1, IFERROR(VLOOKUP(A218,勤務統計!A:Q,17,FALSE),"")&lt;&gt;勤務統計!$D$1),
        AND(勤務統計!$E$1&lt;&gt;"--", IFERROR(VLOOKUP(A218,'0919門市清單主檔'!B:AH,32,FALSE),"")=勤務統計!$E$1, IFERROR(VLOOKUP(A218,勤務統計!A:S,19,FALSE),"")&lt;&gt;勤務統計!$E$1),
        AND(勤務統計!$F$1&lt;&gt;"--", IFERROR(VLOOKUP(A218,'0919門市清單主檔'!B:AH,33,FALSE),"")=勤務統計!$F$1, IFERROR(VLOOKUP(A218,勤務統計!A:U,21,FALSE),"")&lt;&gt;勤務統計!$F$1),
        AND(IFERROR(VLOOKUP(A218,'0919門市清單主檔'!B:AH,28,FALSE),"")="HUB", IFERROR(VLOOKUP(A218,勤務統計!A:W,23,FALSE),"")&lt;&gt;"HUB")
      ),
      _xlfn.TEXTJOIN(
        "，",
        TRUE,
        IF(AND(勤務統計!$D$1&lt;&gt;"--", IFERROR(VLOOKUP(A218,'0919門市清單主檔'!B:AH,31,FALSE),"")=勤務統計!$D$1, IFERROR(VLOOKUP(A218,勤務統計!A:Q,17,FALSE),"")&lt;&gt;勤務統計!$D$1), 勤務統計!$D$1, ""),
        IF(AND(勤務統計!$E$1&lt;&gt;"--", IFERROR(VLOOKUP(A218,'0919門市清單主檔'!B:AH,32,FALSE),"")=勤務統計!$E$1, IFERROR(VLOOKUP(A218,勤務統計!A:S,19,FALSE),"")&lt;&gt;勤務統計!$E$1), 勤務統計!$E$1, ""),
        IF(AND(勤務統計!$F$1&lt;&gt;"--", IFERROR(VLOOKUP(A218,'0919門市清單主檔'!B:AH,33,FALSE),"")=勤務統計!$F$1, IFERROR(VLOOKUP(A218,勤務統計!A:U,21,FALSE),"")&lt;&gt;勤務統計!$F$1), 勤務統計!$F$1, ""),
        IF(AND(IFERROR(VLOOKUP(A218,'0919門市清單主檔'!B:AH,28,FALSE),"")="HUB", IFERROR(VLOOKUP(A218,勤務統計!A:W,23,FALSE),"")&lt;&gt;"HUB"), "HUB", "")
      ) &amp; "未完工",
      "已完工"
    )
  )
)</f>
        <v>未完工</v>
      </c>
      <c r="P218" s="435" t="str">
        <f>(TEXT(I218,"yyyymmdd"))&amp;勤務統計!$V$2&amp;A218&amp;勤務統計!$V$2&amp;B218&amp;勤務統計!$S$2</f>
        <v>-3962-板橋仁化店(定保)</v>
      </c>
      <c r="Q218" s="404" t="str">
        <f t="array" ref="Q218">IF(AND(SUMPRODUCT((IM!$F$2:$F$5000=A218)*(ISNUMBER(SEARCH(勤務統計!$D$1, IM!$AC$2:$AC$5000))))&gt;0), 勤務統計!$D$1, "")</f>
        <v/>
      </c>
      <c r="R218" s="405" t="str">
        <f t="array" ref="R218">IFERROR(INDEX(IM!$AM$2:$AM$5000, MATCH(1, (IM!$F$2:$F$5000=A218) * (ISNUMBER(SEARCH(勤務統計!$D$1, IM!$AC$2:$AC$5000))), 0)), "")</f>
        <v/>
      </c>
      <c r="S218" s="406" t="str" cm="1">
        <f t="array" ref="S218">IF(AND(SUMPRODUCT((IM!$F$2:$F$5000=A218)*(ISNUMBER(SEARCH(勤務統計!$E$1, IM!$AC$2:$AC$5000))))&gt;0), 勤務統計!$E$1, "")</f>
        <v>+L90</v>
      </c>
      <c r="T218" s="405">
        <f t="array" ref="T218">IFERROR(INDEX(IM!$AM$2:$AM$5000, MATCH(1, (IM!$F$2:$F$5000=A218) * (ISNUMBER(SEARCH(勤務統計!$E$1, IM!$AC$2:$AC$5000))), 0)), "")</f>
        <v>46007</v>
      </c>
      <c r="U218" s="406" t="str" cm="1">
        <f t="array" ref="U218">IF(AND(SUMPRODUCT((IM!$F$2:$F$5000=A218)*(ISNUMBER(SEARCH(勤務統計!$F$1, IM!$AC$2:$AC$5000))))&gt;0), 勤務統計!$F$1, "")</f>
        <v/>
      </c>
      <c r="V218" s="405" t="str">
        <f t="array" ref="V218">IFERROR(INDEX(IM!$AM$2:$AM$5000, MATCH(1, (IM!$F$2:$F$5000=A218) * (ISNUMBER(SEARCH(勤務統計!$F$1, IM!$AC$2:$AC$5000))), 0)), "")</f>
        <v/>
      </c>
      <c r="W218" s="436" t="str">
        <f>IF(VLOOKUP(A218,'0919門市清單主檔'!B:AC,28,FALSE)=0,"",VLOOKUP(A218,'0919門市清單主檔'!B:AC,28,FALSE))</f>
        <v/>
      </c>
    </row>
    <row r="219" spans="1:23" ht="21.6" customHeight="1">
      <c r="A219" s="409">
        <v>2154</v>
      </c>
      <c r="B219" s="409" t="str">
        <f>VLOOKUP(A219,'0919門市清單主檔'!B:C,2,FALSE)</f>
        <v>北縣板莊店</v>
      </c>
      <c r="C219" s="409" t="str">
        <f>VLOOKUP($A219,'0919門市清單主檔'!B:V,20,FALSE)</f>
        <v>新北市</v>
      </c>
      <c r="D219" s="409" t="str">
        <f>VLOOKUP($A219,'0919門市清單主檔'!B:V,21,FALSE)</f>
        <v>板橋區</v>
      </c>
      <c r="E219" s="397" t="str">
        <f>VLOOKUP(D219,門市狀態!G:H,2,FALSE)</f>
        <v>狄澤洋</v>
      </c>
      <c r="F219" s="409" t="str">
        <f>IFERROR(IF(VLOOKUP(A219,門市狀態!A:D,4,FALSE)=0,"",VLOOKUP(A219,門市狀態!A:D,4,FALSE)),"")</f>
        <v/>
      </c>
      <c r="G219" s="409"/>
      <c r="H219" s="411" t="str">
        <f>IF(I219&gt;0,(TEXT(I219,"yyyymmdd")&amp;勤務統計!$V$2&amp;A219&amp;勤務統計!$V$2&amp;B219&amp;勤務統計!$S$2),"")</f>
        <v>-2154-北縣板莊店(定保)</v>
      </c>
      <c r="I219" s="247" t="str">
        <f t="array" ref="I219">IF(AND(SUMPRODUCT((IM!$F$2:$F$5000=A219)*(ISNUMBER(SEARCH(勤務統計!$C$1, IM!$AC$2:$AC$5000))))&gt;0), 勤務統計!$C$1, "")</f>
        <v/>
      </c>
      <c r="J219" s="399" t="str">
        <f t="array" ref="J219">IFERROR(INDEX(IM!$AM$2:$AM$5000, MATCH(1, (IM!$F$2:$F$5000=A219) * (ISNUMBER(SEARCH(勤務統計!$C$1, IM!$AC$2:$AC$5000))), 0)), "")</f>
        <v/>
      </c>
      <c r="K219" s="400">
        <f t="array" ref="K219">SUMPRODUCT((IM!$F$2:$F$5000=A219)*(IM!$AD$2:$AD$5000="O")*(ISNUMBER(SEARCH(勤務統計!$C$1, IM!$AC$2:$AC$5000))))</f>
        <v>0</v>
      </c>
      <c r="L219" s="401" t="str">
        <f t="array" ref="L219">IF(K219&gt;0,IFERROR(HYPERLINK("#'IM'!AC"&amp;MATCH(1,(IM!$F$1:$F$5000=A219)*(ISNUMBER(SEARCH(勤務統計!$C$1,IM!$AC$1:$AC$5000))),0),"檢核"),"未登錄"),"")</f>
        <v/>
      </c>
      <c r="M219" s="402" t="str">
        <f t="shared" si="3"/>
        <v>+L90</v>
      </c>
      <c r="N219" s="402" t="str">
        <f t="array" ref="N219">IF(AND(
    SUMPRODUCT(
        (IM!$F$2:$F$522=A219) *
        ISNUMBER(SEARCH("*HUB*", IM!$AC$2:$AC$522)) *
        (IM!$X$2:$X$522&gt;=勤務統計!$A$1) *
        (IM!$X$2:$X$522&lt;=勤務統計!$B$1)*(W219="HUB")
    ) &gt; 0
), "HUB", "")</f>
        <v/>
      </c>
      <c r="O219" s="400" t="str">
        <f>IF(
  IFERROR(VLOOKUP(A219,勤務統計!A:I,9,FALSE),"")&lt;&gt;勤務統計!$C$1,
  "未完工",
  IF(
    AND(勤務統計!$D$1="--",勤務統計!$E$1="--",勤務統計!$F$1="--"),
    "已完工",
    IF(
      OR(
        AND(勤務統計!$D$1&lt;&gt;"--", IFERROR(VLOOKUP(A219,'0919門市清單主檔'!B:AH,31,FALSE),"")=勤務統計!$D$1, IFERROR(VLOOKUP(A219,勤務統計!A:Q,17,FALSE),"")&lt;&gt;勤務統計!$D$1),
        AND(勤務統計!$E$1&lt;&gt;"--", IFERROR(VLOOKUP(A219,'0919門市清單主檔'!B:AH,32,FALSE),"")=勤務統計!$E$1, IFERROR(VLOOKUP(A219,勤務統計!A:S,19,FALSE),"")&lt;&gt;勤務統計!$E$1),
        AND(勤務統計!$F$1&lt;&gt;"--", IFERROR(VLOOKUP(A219,'0919門市清單主檔'!B:AH,33,FALSE),"")=勤務統計!$F$1, IFERROR(VLOOKUP(A219,勤務統計!A:U,21,FALSE),"")&lt;&gt;勤務統計!$F$1),
        AND(IFERROR(VLOOKUP(A219,'0919門市清單主檔'!B:AH,28,FALSE),"")="HUB", IFERROR(VLOOKUP(A219,勤務統計!A:W,23,FALSE),"")&lt;&gt;"HUB")
      ),
      _xlfn.TEXTJOIN(
        "，",
        TRUE,
        IF(AND(勤務統計!$D$1&lt;&gt;"--", IFERROR(VLOOKUP(A219,'0919門市清單主檔'!B:AH,31,FALSE),"")=勤務統計!$D$1, IFERROR(VLOOKUP(A219,勤務統計!A:Q,17,FALSE),"")&lt;&gt;勤務統計!$D$1), 勤務統計!$D$1, ""),
        IF(AND(勤務統計!$E$1&lt;&gt;"--", IFERROR(VLOOKUP(A219,'0919門市清單主檔'!B:AH,32,FALSE),"")=勤務統計!$E$1, IFERROR(VLOOKUP(A219,勤務統計!A:S,19,FALSE),"")&lt;&gt;勤務統計!$E$1), 勤務統計!$E$1, ""),
        IF(AND(勤務統計!$F$1&lt;&gt;"--", IFERROR(VLOOKUP(A219,'0919門市清單主檔'!B:AH,33,FALSE),"")=勤務統計!$F$1, IFERROR(VLOOKUP(A219,勤務統計!A:U,21,FALSE),"")&lt;&gt;勤務統計!$F$1), 勤務統計!$F$1, ""),
        IF(AND(IFERROR(VLOOKUP(A219,'0919門市清單主檔'!B:AH,28,FALSE),"")="HUB", IFERROR(VLOOKUP(A219,勤務統計!A:W,23,FALSE),"")&lt;&gt;"HUB"), "HUB", "")
      ) &amp; "未完工",
      "已完工"
    )
  )
)</f>
        <v>未完工</v>
      </c>
      <c r="P219" s="435" t="str">
        <f>(TEXT(I219,"yyyymmdd"))&amp;勤務統計!$V$2&amp;A219&amp;勤務統計!$V$2&amp;B219&amp;勤務統計!$S$2</f>
        <v>-2154-北縣板莊店(定保)</v>
      </c>
      <c r="Q219" s="404" t="str">
        <f t="array" ref="Q219">IF(AND(SUMPRODUCT((IM!$F$2:$F$5000=A219)*(ISNUMBER(SEARCH(勤務統計!$D$1, IM!$AC$2:$AC$5000))))&gt;0), 勤務統計!$D$1, "")</f>
        <v/>
      </c>
      <c r="R219" s="405" t="str">
        <f t="array" ref="R219">IFERROR(INDEX(IM!$AM$2:$AM$5000, MATCH(1, (IM!$F$2:$F$5000=A219) * (ISNUMBER(SEARCH(勤務統計!$D$1, IM!$AC$2:$AC$5000))), 0)), "")</f>
        <v/>
      </c>
      <c r="S219" s="406" t="str" cm="1">
        <f t="array" ref="S219">IF(AND(SUMPRODUCT((IM!$F$2:$F$5000=A219)*(ISNUMBER(SEARCH(勤務統計!$E$1, IM!$AC$2:$AC$5000))))&gt;0), 勤務統計!$E$1, "")</f>
        <v>+L90</v>
      </c>
      <c r="T219" s="405">
        <f t="array" ref="T219">IFERROR(INDEX(IM!$AM$2:$AM$5000, MATCH(1, (IM!$F$2:$F$5000=A219) * (ISNUMBER(SEARCH(勤務統計!$E$1, IM!$AC$2:$AC$5000))), 0)), "")</f>
        <v>46007</v>
      </c>
      <c r="U219" s="406" t="str" cm="1">
        <f t="array" ref="U219">IF(AND(SUMPRODUCT((IM!$F$2:$F$5000=A219)*(ISNUMBER(SEARCH(勤務統計!$F$1, IM!$AC$2:$AC$5000))))&gt;0), 勤務統計!$F$1, "")</f>
        <v/>
      </c>
      <c r="V219" s="405" t="str">
        <f t="array" ref="V219">IFERROR(INDEX(IM!$AM$2:$AM$5000, MATCH(1, (IM!$F$2:$F$5000=A219) * (ISNUMBER(SEARCH(勤務統計!$F$1, IM!$AC$2:$AC$5000))), 0)), "")</f>
        <v/>
      </c>
      <c r="W219" s="436" t="str">
        <f>IF(VLOOKUP(A219,'0919門市清單主檔'!B:AC,28,FALSE)=0,"",VLOOKUP(A219,'0919門市清單主檔'!B:AC,28,FALSE))</f>
        <v/>
      </c>
    </row>
    <row r="220" spans="1:23" ht="21.6" customHeight="1">
      <c r="A220" s="409">
        <v>4341</v>
      </c>
      <c r="B220" s="409" t="str">
        <f>VLOOKUP(A220,'0919門市清單主檔'!B:C,2,FALSE)</f>
        <v>新莊莊美店</v>
      </c>
      <c r="C220" s="409" t="str">
        <f>VLOOKUP($A220,'0919門市清單主檔'!B:V,20,FALSE)</f>
        <v>新北市</v>
      </c>
      <c r="D220" s="409" t="str">
        <f>VLOOKUP($A220,'0919門市清單主檔'!B:V,21,FALSE)</f>
        <v>新莊區</v>
      </c>
      <c r="E220" s="397" t="str">
        <f>VLOOKUP(D220,門市狀態!G:H,2,FALSE)</f>
        <v>湯家瑋</v>
      </c>
      <c r="F220" s="409" t="str">
        <f>IFERROR(IF(VLOOKUP(A220,門市狀態!A:D,4,FALSE)=0,"",VLOOKUP(A220,門市狀態!A:D,4,FALSE)),"")</f>
        <v/>
      </c>
      <c r="G220" s="409"/>
      <c r="H220" s="411" t="str">
        <f>IF(I220&gt;0,(TEXT(I220,"yyyymmdd")&amp;勤務統計!$V$2&amp;A220&amp;勤務統計!$V$2&amp;B220&amp;勤務統計!$S$2),"")</f>
        <v>-4341-新莊莊美店(定保)</v>
      </c>
      <c r="I220" s="247" t="str">
        <f t="array" ref="I220">IF(AND(SUMPRODUCT((IM!$F$2:$F$5000=A220)*(ISNUMBER(SEARCH(勤務統計!$C$1, IM!$AC$2:$AC$5000))))&gt;0), 勤務統計!$C$1, "")</f>
        <v/>
      </c>
      <c r="J220" s="399" t="str">
        <f t="array" ref="J220">IFERROR(INDEX(IM!$AM$2:$AM$5000, MATCH(1, (IM!$F$2:$F$5000=A220) * (ISNUMBER(SEARCH(勤務統計!$C$1, IM!$AC$2:$AC$5000))), 0)), "")</f>
        <v/>
      </c>
      <c r="K220" s="400">
        <f t="array" ref="K220">SUMPRODUCT((IM!$F$2:$F$5000=A220)*(IM!$AD$2:$AD$5000="O")*(ISNUMBER(SEARCH(勤務統計!$C$1, IM!$AC$2:$AC$5000))))</f>
        <v>0</v>
      </c>
      <c r="L220" s="401" t="str">
        <f t="array" ref="L220">IF(K220&gt;0,IFERROR(HYPERLINK("#'IM'!AC"&amp;MATCH(1,(IM!$F$1:$F$5000=A220)*(ISNUMBER(SEARCH(勤務統計!$C$1,IM!$AC$1:$AC$5000))),0),"檢核"),"未登錄"),"")</f>
        <v/>
      </c>
      <c r="M220" s="402" t="str">
        <f t="shared" si="3"/>
        <v>+L90</v>
      </c>
      <c r="N220" s="402" t="str">
        <f t="array" ref="N220">IF(AND(
    SUMPRODUCT(
        (IM!$F$2:$F$522=A220) *
        ISNUMBER(SEARCH("*HUB*", IM!$AC$2:$AC$522)) *
        (IM!$X$2:$X$522&gt;=勤務統計!$A$1) *
        (IM!$X$2:$X$522&lt;=勤務統計!$B$1)*(W220="HUB")
    ) &gt; 0
), "HUB", "")</f>
        <v/>
      </c>
      <c r="O220" s="400" t="str">
        <f>IF(
  IFERROR(VLOOKUP(A220,勤務統計!A:I,9,FALSE),"")&lt;&gt;勤務統計!$C$1,
  "未完工",
  IF(
    AND(勤務統計!$D$1="--",勤務統計!$E$1="--",勤務統計!$F$1="--"),
    "已完工",
    IF(
      OR(
        AND(勤務統計!$D$1&lt;&gt;"--", IFERROR(VLOOKUP(A220,'0919門市清單主檔'!B:AH,31,FALSE),"")=勤務統計!$D$1, IFERROR(VLOOKUP(A220,勤務統計!A:Q,17,FALSE),"")&lt;&gt;勤務統計!$D$1),
        AND(勤務統計!$E$1&lt;&gt;"--", IFERROR(VLOOKUP(A220,'0919門市清單主檔'!B:AH,32,FALSE),"")=勤務統計!$E$1, IFERROR(VLOOKUP(A220,勤務統計!A:S,19,FALSE),"")&lt;&gt;勤務統計!$E$1),
        AND(勤務統計!$F$1&lt;&gt;"--", IFERROR(VLOOKUP(A220,'0919門市清單主檔'!B:AH,33,FALSE),"")=勤務統計!$F$1, IFERROR(VLOOKUP(A220,勤務統計!A:U,21,FALSE),"")&lt;&gt;勤務統計!$F$1),
        AND(IFERROR(VLOOKUP(A220,'0919門市清單主檔'!B:AH,28,FALSE),"")="HUB", IFERROR(VLOOKUP(A220,勤務統計!A:W,23,FALSE),"")&lt;&gt;"HUB")
      ),
      _xlfn.TEXTJOIN(
        "，",
        TRUE,
        IF(AND(勤務統計!$D$1&lt;&gt;"--", IFERROR(VLOOKUP(A220,'0919門市清單主檔'!B:AH,31,FALSE),"")=勤務統計!$D$1, IFERROR(VLOOKUP(A220,勤務統計!A:Q,17,FALSE),"")&lt;&gt;勤務統計!$D$1), 勤務統計!$D$1, ""),
        IF(AND(勤務統計!$E$1&lt;&gt;"--", IFERROR(VLOOKUP(A220,'0919門市清單主檔'!B:AH,32,FALSE),"")=勤務統計!$E$1, IFERROR(VLOOKUP(A220,勤務統計!A:S,19,FALSE),"")&lt;&gt;勤務統計!$E$1), 勤務統計!$E$1, ""),
        IF(AND(勤務統計!$F$1&lt;&gt;"--", IFERROR(VLOOKUP(A220,'0919門市清單主檔'!B:AH,33,FALSE),"")=勤務統計!$F$1, IFERROR(VLOOKUP(A220,勤務統計!A:U,21,FALSE),"")&lt;&gt;勤務統計!$F$1), 勤務統計!$F$1, ""),
        IF(AND(IFERROR(VLOOKUP(A220,'0919門市清單主檔'!B:AH,28,FALSE),"")="HUB", IFERROR(VLOOKUP(A220,勤務統計!A:W,23,FALSE),"")&lt;&gt;"HUB"), "HUB", "")
      ) &amp; "未完工",
      "已完工"
    )
  )
)</f>
        <v>未完工</v>
      </c>
      <c r="P220" s="435" t="str">
        <f>(TEXT(I220,"yyyymmdd"))&amp;勤務統計!$V$2&amp;A220&amp;勤務統計!$V$2&amp;B220&amp;勤務統計!$S$2</f>
        <v>-4341-新莊莊美店(定保)</v>
      </c>
      <c r="Q220" s="404" t="str">
        <f t="array" ref="Q220">IF(AND(SUMPRODUCT((IM!$F$2:$F$5000=A220)*(ISNUMBER(SEARCH(勤務統計!$D$1, IM!$AC$2:$AC$5000))))&gt;0), 勤務統計!$D$1, "")</f>
        <v/>
      </c>
      <c r="R220" s="405" t="str">
        <f t="array" ref="R220">IFERROR(INDEX(IM!$AM$2:$AM$5000, MATCH(1, (IM!$F$2:$F$5000=A220) * (ISNUMBER(SEARCH(勤務統計!$D$1, IM!$AC$2:$AC$5000))), 0)), "")</f>
        <v/>
      </c>
      <c r="S220" s="406" t="str" cm="1">
        <f t="array" ref="S220">IF(AND(SUMPRODUCT((IM!$F$2:$F$5000=A220)*(ISNUMBER(SEARCH(勤務統計!$E$1, IM!$AC$2:$AC$5000))))&gt;0), 勤務統計!$E$1, "")</f>
        <v>+L90</v>
      </c>
      <c r="T220" s="405">
        <f t="array" ref="T220">IFERROR(INDEX(IM!$AM$2:$AM$5000, MATCH(1, (IM!$F$2:$F$5000=A220) * (ISNUMBER(SEARCH(勤務統計!$E$1, IM!$AC$2:$AC$5000))), 0)), "")</f>
        <v>46007</v>
      </c>
      <c r="U220" s="406" t="str" cm="1">
        <f t="array" ref="U220">IF(AND(SUMPRODUCT((IM!$F$2:$F$5000=A220)*(ISNUMBER(SEARCH(勤務統計!$F$1, IM!$AC$2:$AC$5000))))&gt;0), 勤務統計!$F$1, "")</f>
        <v/>
      </c>
      <c r="V220" s="405" t="str">
        <f t="array" ref="V220">IFERROR(INDEX(IM!$AM$2:$AM$5000, MATCH(1, (IM!$F$2:$F$5000=A220) * (ISNUMBER(SEARCH(勤務統計!$F$1, IM!$AC$2:$AC$5000))), 0)), "")</f>
        <v/>
      </c>
      <c r="W220" s="436" t="str">
        <f>IF(VLOOKUP(A220,'0919門市清單主檔'!B:AC,28,FALSE)=0,"",VLOOKUP(A220,'0919門市清單主檔'!B:AC,28,FALSE))</f>
        <v/>
      </c>
    </row>
    <row r="221" spans="1:23" ht="21.6" customHeight="1">
      <c r="A221" s="409">
        <v>4163</v>
      </c>
      <c r="B221" s="409" t="str">
        <f>VLOOKUP(A221,'0919門市清單主檔'!B:C,2,FALSE)</f>
        <v>新莊中泉店</v>
      </c>
      <c r="C221" s="409" t="str">
        <f>VLOOKUP($A221,'0919門市清單主檔'!B:V,20,FALSE)</f>
        <v>新北市</v>
      </c>
      <c r="D221" s="409" t="str">
        <f>VLOOKUP($A221,'0919門市清單主檔'!B:V,21,FALSE)</f>
        <v>新莊區</v>
      </c>
      <c r="E221" s="397" t="str">
        <f>VLOOKUP(D221,門市狀態!G:H,2,FALSE)</f>
        <v>湯家瑋</v>
      </c>
      <c r="F221" s="409" t="str">
        <f>IFERROR(IF(VLOOKUP(A221,門市狀態!A:D,4,FALSE)=0,"",VLOOKUP(A221,門市狀態!A:D,4,FALSE)),"")</f>
        <v/>
      </c>
      <c r="G221" s="409"/>
      <c r="H221" s="411" t="str">
        <f>IF(I221&gt;0,(TEXT(I221,"yyyymmdd")&amp;勤務統計!$V$2&amp;A221&amp;勤務統計!$V$2&amp;B221&amp;勤務統計!$S$2),"")</f>
        <v>-4163-新莊中泉店(定保)</v>
      </c>
      <c r="I221" s="247" t="str">
        <f t="array" ref="I221">IF(AND(SUMPRODUCT((IM!$F$2:$F$5000=A221)*(ISNUMBER(SEARCH(勤務統計!$C$1, IM!$AC$2:$AC$5000))))&gt;0), 勤務統計!$C$1, "")</f>
        <v/>
      </c>
      <c r="J221" s="399" t="str">
        <f t="array" ref="J221">IFERROR(INDEX(IM!$AM$2:$AM$5000, MATCH(1, (IM!$F$2:$F$5000=A221) * (ISNUMBER(SEARCH(勤務統計!$C$1, IM!$AC$2:$AC$5000))), 0)), "")</f>
        <v/>
      </c>
      <c r="K221" s="400">
        <f t="array" ref="K221">SUMPRODUCT((IM!$F$2:$F$5000=A221)*(IM!$AD$2:$AD$5000="O")*(ISNUMBER(SEARCH(勤務統計!$C$1, IM!$AC$2:$AC$5000))))</f>
        <v>0</v>
      </c>
      <c r="L221" s="401" t="str">
        <f t="array" ref="L221">IF(K221&gt;0,IFERROR(HYPERLINK("#'IM'!AC"&amp;MATCH(1,(IM!$F$1:$F$5000=A221)*(ISNUMBER(SEARCH(勤務統計!$C$1,IM!$AC$1:$AC$5000))),0),"檢核"),"未登錄"),"")</f>
        <v/>
      </c>
      <c r="M221" s="402" t="str">
        <f t="shared" si="3"/>
        <v>+L90</v>
      </c>
      <c r="N221" s="402" t="str">
        <f t="array" ref="N221">IF(AND(
    SUMPRODUCT(
        (IM!$F$2:$F$522=A221) *
        ISNUMBER(SEARCH("*HUB*", IM!$AC$2:$AC$522)) *
        (IM!$X$2:$X$522&gt;=勤務統計!$A$1) *
        (IM!$X$2:$X$522&lt;=勤務統計!$B$1)*(W221="HUB")
    ) &gt; 0
), "HUB", "")</f>
        <v/>
      </c>
      <c r="O221" s="400" t="str">
        <f>IF(
  IFERROR(VLOOKUP(A221,勤務統計!A:I,9,FALSE),"")&lt;&gt;勤務統計!$C$1,
  "未完工",
  IF(
    AND(勤務統計!$D$1="--",勤務統計!$E$1="--",勤務統計!$F$1="--"),
    "已完工",
    IF(
      OR(
        AND(勤務統計!$D$1&lt;&gt;"--", IFERROR(VLOOKUP(A221,'0919門市清單主檔'!B:AH,31,FALSE),"")=勤務統計!$D$1, IFERROR(VLOOKUP(A221,勤務統計!A:Q,17,FALSE),"")&lt;&gt;勤務統計!$D$1),
        AND(勤務統計!$E$1&lt;&gt;"--", IFERROR(VLOOKUP(A221,'0919門市清單主檔'!B:AH,32,FALSE),"")=勤務統計!$E$1, IFERROR(VLOOKUP(A221,勤務統計!A:S,19,FALSE),"")&lt;&gt;勤務統計!$E$1),
        AND(勤務統計!$F$1&lt;&gt;"--", IFERROR(VLOOKUP(A221,'0919門市清單主檔'!B:AH,33,FALSE),"")=勤務統計!$F$1, IFERROR(VLOOKUP(A221,勤務統計!A:U,21,FALSE),"")&lt;&gt;勤務統計!$F$1),
        AND(IFERROR(VLOOKUP(A221,'0919門市清單主檔'!B:AH,28,FALSE),"")="HUB", IFERROR(VLOOKUP(A221,勤務統計!A:W,23,FALSE),"")&lt;&gt;"HUB")
      ),
      _xlfn.TEXTJOIN(
        "，",
        TRUE,
        IF(AND(勤務統計!$D$1&lt;&gt;"--", IFERROR(VLOOKUP(A221,'0919門市清單主檔'!B:AH,31,FALSE),"")=勤務統計!$D$1, IFERROR(VLOOKUP(A221,勤務統計!A:Q,17,FALSE),"")&lt;&gt;勤務統計!$D$1), 勤務統計!$D$1, ""),
        IF(AND(勤務統計!$E$1&lt;&gt;"--", IFERROR(VLOOKUP(A221,'0919門市清單主檔'!B:AH,32,FALSE),"")=勤務統計!$E$1, IFERROR(VLOOKUP(A221,勤務統計!A:S,19,FALSE),"")&lt;&gt;勤務統計!$E$1), 勤務統計!$E$1, ""),
        IF(AND(勤務統計!$F$1&lt;&gt;"--", IFERROR(VLOOKUP(A221,'0919門市清單主檔'!B:AH,33,FALSE),"")=勤務統計!$F$1, IFERROR(VLOOKUP(A221,勤務統計!A:U,21,FALSE),"")&lt;&gt;勤務統計!$F$1), 勤務統計!$F$1, ""),
        IF(AND(IFERROR(VLOOKUP(A221,'0919門市清單主檔'!B:AH,28,FALSE),"")="HUB", IFERROR(VLOOKUP(A221,勤務統計!A:W,23,FALSE),"")&lt;&gt;"HUB"), "HUB", "")
      ) &amp; "未完工",
      "已完工"
    )
  )
)</f>
        <v>未完工</v>
      </c>
      <c r="P221" s="435" t="str">
        <f>(TEXT(I221,"yyyymmdd"))&amp;勤務統計!$V$2&amp;A221&amp;勤務統計!$V$2&amp;B221&amp;勤務統計!$S$2</f>
        <v>-4163-新莊中泉店(定保)</v>
      </c>
      <c r="Q221" s="404" t="str">
        <f t="array" ref="Q221">IF(AND(SUMPRODUCT((IM!$F$2:$F$5000=A221)*(ISNUMBER(SEARCH(勤務統計!$D$1, IM!$AC$2:$AC$5000))))&gt;0), 勤務統計!$D$1, "")</f>
        <v/>
      </c>
      <c r="R221" s="405" t="str">
        <f t="array" ref="R221">IFERROR(INDEX(IM!$AM$2:$AM$5000, MATCH(1, (IM!$F$2:$F$5000=A221) * (ISNUMBER(SEARCH(勤務統計!$D$1, IM!$AC$2:$AC$5000))), 0)), "")</f>
        <v/>
      </c>
      <c r="S221" s="406" t="str" cm="1">
        <f t="array" ref="S221">IF(AND(SUMPRODUCT((IM!$F$2:$F$5000=A221)*(ISNUMBER(SEARCH(勤務統計!$E$1, IM!$AC$2:$AC$5000))))&gt;0), 勤務統計!$E$1, "")</f>
        <v>+L90</v>
      </c>
      <c r="T221" s="405">
        <f t="array" ref="T221">IFERROR(INDEX(IM!$AM$2:$AM$5000, MATCH(1, (IM!$F$2:$F$5000=A221) * (ISNUMBER(SEARCH(勤務統計!$E$1, IM!$AC$2:$AC$5000))), 0)), "")</f>
        <v>46007</v>
      </c>
      <c r="U221" s="406" t="str" cm="1">
        <f t="array" ref="U221">IF(AND(SUMPRODUCT((IM!$F$2:$F$5000=A221)*(ISNUMBER(SEARCH(勤務統計!$F$1, IM!$AC$2:$AC$5000))))&gt;0), 勤務統計!$F$1, "")</f>
        <v/>
      </c>
      <c r="V221" s="405" t="str">
        <f t="array" ref="V221">IFERROR(INDEX(IM!$AM$2:$AM$5000, MATCH(1, (IM!$F$2:$F$5000=A221) * (ISNUMBER(SEARCH(勤務統計!$F$1, IM!$AC$2:$AC$5000))), 0)), "")</f>
        <v/>
      </c>
      <c r="W221" s="436" t="str">
        <f>IF(VLOOKUP(A221,'0919門市清單主檔'!B:AC,28,FALSE)=0,"",VLOOKUP(A221,'0919門市清單主檔'!B:AC,28,FALSE))</f>
        <v/>
      </c>
    </row>
    <row r="222" spans="1:23" ht="21.6" customHeight="1">
      <c r="A222" s="409">
        <v>2691</v>
      </c>
      <c r="B222" s="409" t="str">
        <f>VLOOKUP(A222,'0919門市清單主檔'!B:C,2,FALSE)</f>
        <v>五股興珍店</v>
      </c>
      <c r="C222" s="409" t="str">
        <f>VLOOKUP($A222,'0919門市清單主檔'!B:V,20,FALSE)</f>
        <v>新北市</v>
      </c>
      <c r="D222" s="409" t="str">
        <f>VLOOKUP($A222,'0919門市清單主檔'!B:V,21,FALSE)</f>
        <v>五股區</v>
      </c>
      <c r="E222" s="397" t="str">
        <f>VLOOKUP(D222,門市狀態!G:H,2,FALSE)</f>
        <v>湯家瑋</v>
      </c>
      <c r="F222" s="409" t="str">
        <f>IFERROR(IF(VLOOKUP(A222,門市狀態!A:D,4,FALSE)=0,"",VLOOKUP(A222,門市狀態!A:D,4,FALSE)),"")</f>
        <v/>
      </c>
      <c r="G222" s="409"/>
      <c r="H222" s="411" t="str">
        <f>IF(I222&gt;0,(TEXT(I222,"yyyymmdd")&amp;勤務統計!$V$2&amp;A222&amp;勤務統計!$V$2&amp;B222&amp;勤務統計!$S$2),"")</f>
        <v>-2691-五股興珍店(定保)</v>
      </c>
      <c r="I222" s="247" t="str">
        <f t="array" ref="I222">IF(AND(SUMPRODUCT((IM!$F$2:$F$5000=A222)*(ISNUMBER(SEARCH(勤務統計!$C$1, IM!$AC$2:$AC$5000))))&gt;0), 勤務統計!$C$1, "")</f>
        <v/>
      </c>
      <c r="J222" s="399" t="str">
        <f t="array" ref="J222">IFERROR(INDEX(IM!$AM$2:$AM$5000, MATCH(1, (IM!$F$2:$F$5000=A222) * (ISNUMBER(SEARCH(勤務統計!$C$1, IM!$AC$2:$AC$5000))), 0)), "")</f>
        <v/>
      </c>
      <c r="K222" s="400">
        <f t="array" ref="K222">SUMPRODUCT((IM!$F$2:$F$5000=A222)*(IM!$AD$2:$AD$5000="O")*(ISNUMBER(SEARCH(勤務統計!$C$1, IM!$AC$2:$AC$5000))))</f>
        <v>0</v>
      </c>
      <c r="L222" s="401" t="str">
        <f t="array" ref="L222">IF(K222&gt;0,IFERROR(HYPERLINK("#'IM'!AC"&amp;MATCH(1,(IM!$F$1:$F$5000=A222)*(ISNUMBER(SEARCH(勤務統計!$C$1,IM!$AC$1:$AC$5000))),0),"檢核"),"未登錄"),"")</f>
        <v/>
      </c>
      <c r="M222" s="402" t="str">
        <f t="shared" si="3"/>
        <v>+L90</v>
      </c>
      <c r="N222" s="402" t="str">
        <f t="array" ref="N222">IF(AND(
    SUMPRODUCT(
        (IM!$F$2:$F$522=A222) *
        ISNUMBER(SEARCH("*HUB*", IM!$AC$2:$AC$522)) *
        (IM!$X$2:$X$522&gt;=勤務統計!$A$1) *
        (IM!$X$2:$X$522&lt;=勤務統計!$B$1)*(W222="HUB")
    ) &gt; 0
), "HUB", "")</f>
        <v/>
      </c>
      <c r="O222" s="400" t="str">
        <f>IF(
  IFERROR(VLOOKUP(A222,勤務統計!A:I,9,FALSE),"")&lt;&gt;勤務統計!$C$1,
  "未完工",
  IF(
    AND(勤務統計!$D$1="--",勤務統計!$E$1="--",勤務統計!$F$1="--"),
    "已完工",
    IF(
      OR(
        AND(勤務統計!$D$1&lt;&gt;"--", IFERROR(VLOOKUP(A222,'0919門市清單主檔'!B:AH,31,FALSE),"")=勤務統計!$D$1, IFERROR(VLOOKUP(A222,勤務統計!A:Q,17,FALSE),"")&lt;&gt;勤務統計!$D$1),
        AND(勤務統計!$E$1&lt;&gt;"--", IFERROR(VLOOKUP(A222,'0919門市清單主檔'!B:AH,32,FALSE),"")=勤務統計!$E$1, IFERROR(VLOOKUP(A222,勤務統計!A:S,19,FALSE),"")&lt;&gt;勤務統計!$E$1),
        AND(勤務統計!$F$1&lt;&gt;"--", IFERROR(VLOOKUP(A222,'0919門市清單主檔'!B:AH,33,FALSE),"")=勤務統計!$F$1, IFERROR(VLOOKUP(A222,勤務統計!A:U,21,FALSE),"")&lt;&gt;勤務統計!$F$1),
        AND(IFERROR(VLOOKUP(A222,'0919門市清單主檔'!B:AH,28,FALSE),"")="HUB", IFERROR(VLOOKUP(A222,勤務統計!A:W,23,FALSE),"")&lt;&gt;"HUB")
      ),
      _xlfn.TEXTJOIN(
        "，",
        TRUE,
        IF(AND(勤務統計!$D$1&lt;&gt;"--", IFERROR(VLOOKUP(A222,'0919門市清單主檔'!B:AH,31,FALSE),"")=勤務統計!$D$1, IFERROR(VLOOKUP(A222,勤務統計!A:Q,17,FALSE),"")&lt;&gt;勤務統計!$D$1), 勤務統計!$D$1, ""),
        IF(AND(勤務統計!$E$1&lt;&gt;"--", IFERROR(VLOOKUP(A222,'0919門市清單主檔'!B:AH,32,FALSE),"")=勤務統計!$E$1, IFERROR(VLOOKUP(A222,勤務統計!A:S,19,FALSE),"")&lt;&gt;勤務統計!$E$1), 勤務統計!$E$1, ""),
        IF(AND(勤務統計!$F$1&lt;&gt;"--", IFERROR(VLOOKUP(A222,'0919門市清單主檔'!B:AH,33,FALSE),"")=勤務統計!$F$1, IFERROR(VLOOKUP(A222,勤務統計!A:U,21,FALSE),"")&lt;&gt;勤務統計!$F$1), 勤務統計!$F$1, ""),
        IF(AND(IFERROR(VLOOKUP(A222,'0919門市清單主檔'!B:AH,28,FALSE),"")="HUB", IFERROR(VLOOKUP(A222,勤務統計!A:W,23,FALSE),"")&lt;&gt;"HUB"), "HUB", "")
      ) &amp; "未完工",
      "已完工"
    )
  )
)</f>
        <v>未完工</v>
      </c>
      <c r="P222" s="435" t="str">
        <f>(TEXT(I222,"yyyymmdd"))&amp;勤務統計!$V$2&amp;A222&amp;勤務統計!$V$2&amp;B222&amp;勤務統計!$S$2</f>
        <v>-2691-五股興珍店(定保)</v>
      </c>
      <c r="Q222" s="404" t="str">
        <f t="array" ref="Q222">IF(AND(SUMPRODUCT((IM!$F$2:$F$5000=A222)*(ISNUMBER(SEARCH(勤務統計!$D$1, IM!$AC$2:$AC$5000))))&gt;0), 勤務統計!$D$1, "")</f>
        <v/>
      </c>
      <c r="R222" s="405" t="str">
        <f t="array" ref="R222">IFERROR(INDEX(IM!$AM$2:$AM$5000, MATCH(1, (IM!$F$2:$F$5000=A222) * (ISNUMBER(SEARCH(勤務統計!$D$1, IM!$AC$2:$AC$5000))), 0)), "")</f>
        <v/>
      </c>
      <c r="S222" s="406" t="str" cm="1">
        <f t="array" ref="S222">IF(AND(SUMPRODUCT((IM!$F$2:$F$5000=A222)*(ISNUMBER(SEARCH(勤務統計!$E$1, IM!$AC$2:$AC$5000))))&gt;0), 勤務統計!$E$1, "")</f>
        <v>+L90</v>
      </c>
      <c r="T222" s="405">
        <f t="array" ref="T222">IFERROR(INDEX(IM!$AM$2:$AM$5000, MATCH(1, (IM!$F$2:$F$5000=A222) * (ISNUMBER(SEARCH(勤務統計!$E$1, IM!$AC$2:$AC$5000))), 0)), "")</f>
        <v>46007</v>
      </c>
      <c r="U222" s="406" t="str" cm="1">
        <f t="array" ref="U222">IF(AND(SUMPRODUCT((IM!$F$2:$F$5000=A222)*(ISNUMBER(SEARCH(勤務統計!$F$1, IM!$AC$2:$AC$5000))))&gt;0), 勤務統計!$F$1, "")</f>
        <v/>
      </c>
      <c r="V222" s="405" t="str">
        <f t="array" ref="V222">IFERROR(INDEX(IM!$AM$2:$AM$5000, MATCH(1, (IM!$F$2:$F$5000=A222) * (ISNUMBER(SEARCH(勤務統計!$F$1, IM!$AC$2:$AC$5000))), 0)), "")</f>
        <v/>
      </c>
      <c r="W222" s="436" t="str">
        <f>IF(VLOOKUP(A222,'0919門市清單主檔'!B:AC,28,FALSE)=0,"",VLOOKUP(A222,'0919門市清單主檔'!B:AC,28,FALSE))</f>
        <v/>
      </c>
    </row>
    <row r="223" spans="1:23" ht="21.6" customHeight="1">
      <c r="A223" s="409">
        <v>4194</v>
      </c>
      <c r="B223" s="409" t="str">
        <f>VLOOKUP(A223,'0919門市清單主檔'!B:C,2,FALSE)</f>
        <v>新莊鼎苑店</v>
      </c>
      <c r="C223" s="409" t="str">
        <f>VLOOKUP($A223,'0919門市清單主檔'!B:V,20,FALSE)</f>
        <v>新北市</v>
      </c>
      <c r="D223" s="409" t="str">
        <f>VLOOKUP($A223,'0919門市清單主檔'!B:V,21,FALSE)</f>
        <v>新莊區</v>
      </c>
      <c r="E223" s="397" t="str">
        <f>VLOOKUP(D223,門市狀態!G:H,2,FALSE)</f>
        <v>湯家瑋</v>
      </c>
      <c r="F223" s="409" t="str">
        <f>IFERROR(IF(VLOOKUP(A223,門市狀態!A:D,4,FALSE)=0,"",VLOOKUP(A223,門市狀態!A:D,4,FALSE)),"")</f>
        <v/>
      </c>
      <c r="G223" s="409"/>
      <c r="H223" s="411" t="str">
        <f>IF(I223&gt;0,(TEXT(I223,"yyyymmdd")&amp;勤務統計!$V$2&amp;A223&amp;勤務統計!$V$2&amp;B223&amp;勤務統計!$S$2),"")</f>
        <v>-4194-新莊鼎苑店(定保)</v>
      </c>
      <c r="I223" s="247" t="str">
        <f t="array" ref="I223">IF(AND(SUMPRODUCT((IM!$F$2:$F$5000=A223)*(ISNUMBER(SEARCH(勤務統計!$C$1, IM!$AC$2:$AC$5000))))&gt;0), 勤務統計!$C$1, "")</f>
        <v/>
      </c>
      <c r="J223" s="399" t="str">
        <f t="array" ref="J223">IFERROR(INDEX(IM!$AM$2:$AM$5000, MATCH(1, (IM!$F$2:$F$5000=A223) * (ISNUMBER(SEARCH(勤務統計!$C$1, IM!$AC$2:$AC$5000))), 0)), "")</f>
        <v/>
      </c>
      <c r="K223" s="400">
        <f t="array" ref="K223">SUMPRODUCT((IM!$F$2:$F$5000=A223)*(IM!$AD$2:$AD$5000="O")*(ISNUMBER(SEARCH(勤務統計!$C$1, IM!$AC$2:$AC$5000))))</f>
        <v>0</v>
      </c>
      <c r="L223" s="401" t="str">
        <f t="array" ref="L223">IF(K223&gt;0,IFERROR(HYPERLINK("#'IM'!AC"&amp;MATCH(1,(IM!$F$1:$F$5000=A223)*(ISNUMBER(SEARCH(勤務統計!$C$1,IM!$AC$1:$AC$5000))),0),"檢核"),"未登錄"),"")</f>
        <v/>
      </c>
      <c r="M223" s="402" t="str">
        <f t="shared" si="3"/>
        <v>+L90</v>
      </c>
      <c r="N223" s="402" t="str">
        <f t="array" ref="N223">IF(AND(
    SUMPRODUCT(
        (IM!$F$2:$F$522=A223) *
        ISNUMBER(SEARCH("*HUB*", IM!$AC$2:$AC$522)) *
        (IM!$X$2:$X$522&gt;=勤務統計!$A$1) *
        (IM!$X$2:$X$522&lt;=勤務統計!$B$1)*(W223="HUB")
    ) &gt; 0
), "HUB", "")</f>
        <v/>
      </c>
      <c r="O223" s="400" t="str">
        <f>IF(
  IFERROR(VLOOKUP(A223,勤務統計!A:I,9,FALSE),"")&lt;&gt;勤務統計!$C$1,
  "未完工",
  IF(
    AND(勤務統計!$D$1="--",勤務統計!$E$1="--",勤務統計!$F$1="--"),
    "已完工",
    IF(
      OR(
        AND(勤務統計!$D$1&lt;&gt;"--", IFERROR(VLOOKUP(A223,'0919門市清單主檔'!B:AH,31,FALSE),"")=勤務統計!$D$1, IFERROR(VLOOKUP(A223,勤務統計!A:Q,17,FALSE),"")&lt;&gt;勤務統計!$D$1),
        AND(勤務統計!$E$1&lt;&gt;"--", IFERROR(VLOOKUP(A223,'0919門市清單主檔'!B:AH,32,FALSE),"")=勤務統計!$E$1, IFERROR(VLOOKUP(A223,勤務統計!A:S,19,FALSE),"")&lt;&gt;勤務統計!$E$1),
        AND(勤務統計!$F$1&lt;&gt;"--", IFERROR(VLOOKUP(A223,'0919門市清單主檔'!B:AH,33,FALSE),"")=勤務統計!$F$1, IFERROR(VLOOKUP(A223,勤務統計!A:U,21,FALSE),"")&lt;&gt;勤務統計!$F$1),
        AND(IFERROR(VLOOKUP(A223,'0919門市清單主檔'!B:AH,28,FALSE),"")="HUB", IFERROR(VLOOKUP(A223,勤務統計!A:W,23,FALSE),"")&lt;&gt;"HUB")
      ),
      _xlfn.TEXTJOIN(
        "，",
        TRUE,
        IF(AND(勤務統計!$D$1&lt;&gt;"--", IFERROR(VLOOKUP(A223,'0919門市清單主檔'!B:AH,31,FALSE),"")=勤務統計!$D$1, IFERROR(VLOOKUP(A223,勤務統計!A:Q,17,FALSE),"")&lt;&gt;勤務統計!$D$1), 勤務統計!$D$1, ""),
        IF(AND(勤務統計!$E$1&lt;&gt;"--", IFERROR(VLOOKUP(A223,'0919門市清單主檔'!B:AH,32,FALSE),"")=勤務統計!$E$1, IFERROR(VLOOKUP(A223,勤務統計!A:S,19,FALSE),"")&lt;&gt;勤務統計!$E$1), 勤務統計!$E$1, ""),
        IF(AND(勤務統計!$F$1&lt;&gt;"--", IFERROR(VLOOKUP(A223,'0919門市清單主檔'!B:AH,33,FALSE),"")=勤務統計!$F$1, IFERROR(VLOOKUP(A223,勤務統計!A:U,21,FALSE),"")&lt;&gt;勤務統計!$F$1), 勤務統計!$F$1, ""),
        IF(AND(IFERROR(VLOOKUP(A223,'0919門市清單主檔'!B:AH,28,FALSE),"")="HUB", IFERROR(VLOOKUP(A223,勤務統計!A:W,23,FALSE),"")&lt;&gt;"HUB"), "HUB", "")
      ) &amp; "未完工",
      "已完工"
    )
  )
)</f>
        <v>未完工</v>
      </c>
      <c r="P223" s="435" t="str">
        <f>(TEXT(I223,"yyyymmdd"))&amp;勤務統計!$V$2&amp;A223&amp;勤務統計!$V$2&amp;B223&amp;勤務統計!$S$2</f>
        <v>-4194-新莊鼎苑店(定保)</v>
      </c>
      <c r="Q223" s="404" t="str">
        <f t="array" ref="Q223">IF(AND(SUMPRODUCT((IM!$F$2:$F$5000=A223)*(ISNUMBER(SEARCH(勤務統計!$D$1, IM!$AC$2:$AC$5000))))&gt;0), 勤務統計!$D$1, "")</f>
        <v/>
      </c>
      <c r="R223" s="405" t="str">
        <f t="array" ref="R223">IFERROR(INDEX(IM!$AM$2:$AM$5000, MATCH(1, (IM!$F$2:$F$5000=A223) * (ISNUMBER(SEARCH(勤務統計!$D$1, IM!$AC$2:$AC$5000))), 0)), "")</f>
        <v/>
      </c>
      <c r="S223" s="406" t="str" cm="1">
        <f t="array" ref="S223">IF(AND(SUMPRODUCT((IM!$F$2:$F$5000=A223)*(ISNUMBER(SEARCH(勤務統計!$E$1, IM!$AC$2:$AC$5000))))&gt;0), 勤務統計!$E$1, "")</f>
        <v>+L90</v>
      </c>
      <c r="T223" s="405">
        <f t="array" ref="T223">IFERROR(INDEX(IM!$AM$2:$AM$5000, MATCH(1, (IM!$F$2:$F$5000=A223) * (ISNUMBER(SEARCH(勤務統計!$E$1, IM!$AC$2:$AC$5000))), 0)), "")</f>
        <v>46013</v>
      </c>
      <c r="U223" s="406" t="str" cm="1">
        <f t="array" ref="U223">IF(AND(SUMPRODUCT((IM!$F$2:$F$5000=A223)*(ISNUMBER(SEARCH(勤務統計!$F$1, IM!$AC$2:$AC$5000))))&gt;0), 勤務統計!$F$1, "")</f>
        <v/>
      </c>
      <c r="V223" s="405" t="str">
        <f t="array" ref="V223">IFERROR(INDEX(IM!$AM$2:$AM$5000, MATCH(1, (IM!$F$2:$F$5000=A223) * (ISNUMBER(SEARCH(勤務統計!$F$1, IM!$AC$2:$AC$5000))), 0)), "")</f>
        <v/>
      </c>
      <c r="W223" s="436" t="str">
        <f>IF(VLOOKUP(A223,'0919門市清單主檔'!B:AC,28,FALSE)=0,"",VLOOKUP(A223,'0919門市清單主檔'!B:AC,28,FALSE))</f>
        <v/>
      </c>
    </row>
    <row r="224" spans="1:23" ht="21.6" customHeight="1">
      <c r="A224" s="409">
        <v>4228</v>
      </c>
      <c r="B224" s="409" t="str">
        <f>VLOOKUP(A224,'0919門市清單主檔'!B:C,2,FALSE)</f>
        <v>新莊頭前公園</v>
      </c>
      <c r="C224" s="409" t="str">
        <f>VLOOKUP($A224,'0919門市清單主檔'!B:V,20,FALSE)</f>
        <v>新北市</v>
      </c>
      <c r="D224" s="409" t="str">
        <f>VLOOKUP($A224,'0919門市清單主檔'!B:V,21,FALSE)</f>
        <v>新莊區</v>
      </c>
      <c r="E224" s="397" t="str">
        <f>VLOOKUP(D224,門市狀態!G:H,2,FALSE)</f>
        <v>湯家瑋</v>
      </c>
      <c r="F224" s="409" t="str">
        <f>IFERROR(IF(VLOOKUP(A224,門市狀態!A:D,4,FALSE)=0,"",VLOOKUP(A224,門市狀態!A:D,4,FALSE)),"")</f>
        <v/>
      </c>
      <c r="G224" s="409"/>
      <c r="H224" s="411" t="str">
        <f>IF(I224&gt;0,(TEXT(I224,"yyyymmdd")&amp;勤務統計!$V$2&amp;A224&amp;勤務統計!$V$2&amp;B224&amp;勤務統計!$S$2),"")</f>
        <v>-4228-新莊頭前公園(定保)</v>
      </c>
      <c r="I224" s="247" t="str">
        <f t="array" ref="I224">IF(AND(SUMPRODUCT((IM!$F$2:$F$5000=A224)*(ISNUMBER(SEARCH(勤務統計!$C$1, IM!$AC$2:$AC$5000))))&gt;0), 勤務統計!$C$1, "")</f>
        <v/>
      </c>
      <c r="J224" s="399" t="str">
        <f t="array" ref="J224">IFERROR(INDEX(IM!$AM$2:$AM$5000, MATCH(1, (IM!$F$2:$F$5000=A224) * (ISNUMBER(SEARCH(勤務統計!$C$1, IM!$AC$2:$AC$5000))), 0)), "")</f>
        <v/>
      </c>
      <c r="K224" s="400">
        <f t="array" ref="K224">SUMPRODUCT((IM!$F$2:$F$5000=A224)*(IM!$AD$2:$AD$5000="O")*(ISNUMBER(SEARCH(勤務統計!$C$1, IM!$AC$2:$AC$5000))))</f>
        <v>0</v>
      </c>
      <c r="L224" s="401" t="str">
        <f t="array" ref="L224">IF(K224&gt;0,IFERROR(HYPERLINK("#'IM'!AC"&amp;MATCH(1,(IM!$F$1:$F$5000=A224)*(ISNUMBER(SEARCH(勤務統計!$C$1,IM!$AC$1:$AC$5000))),0),"檢核"),"未登錄"),"")</f>
        <v/>
      </c>
      <c r="M224" s="402" t="str">
        <f t="shared" si="3"/>
        <v>+L90</v>
      </c>
      <c r="N224" s="402" t="str">
        <f t="array" ref="N224">IF(AND(
    SUMPRODUCT(
        (IM!$F$2:$F$522=A224) *
        ISNUMBER(SEARCH("*HUB*", IM!$AC$2:$AC$522)) *
        (IM!$X$2:$X$522&gt;=勤務統計!$A$1) *
        (IM!$X$2:$X$522&lt;=勤務統計!$B$1)*(W224="HUB")
    ) &gt; 0
), "HUB", "")</f>
        <v/>
      </c>
      <c r="O224" s="400" t="str">
        <f>IF(
  IFERROR(VLOOKUP(A224,勤務統計!A:I,9,FALSE),"")&lt;&gt;勤務統計!$C$1,
  "未完工",
  IF(
    AND(勤務統計!$D$1="--",勤務統計!$E$1="--",勤務統計!$F$1="--"),
    "已完工",
    IF(
      OR(
        AND(勤務統計!$D$1&lt;&gt;"--", IFERROR(VLOOKUP(A224,'0919門市清單主檔'!B:AH,31,FALSE),"")=勤務統計!$D$1, IFERROR(VLOOKUP(A224,勤務統計!A:Q,17,FALSE),"")&lt;&gt;勤務統計!$D$1),
        AND(勤務統計!$E$1&lt;&gt;"--", IFERROR(VLOOKUP(A224,'0919門市清單主檔'!B:AH,32,FALSE),"")=勤務統計!$E$1, IFERROR(VLOOKUP(A224,勤務統計!A:S,19,FALSE),"")&lt;&gt;勤務統計!$E$1),
        AND(勤務統計!$F$1&lt;&gt;"--", IFERROR(VLOOKUP(A224,'0919門市清單主檔'!B:AH,33,FALSE),"")=勤務統計!$F$1, IFERROR(VLOOKUP(A224,勤務統計!A:U,21,FALSE),"")&lt;&gt;勤務統計!$F$1),
        AND(IFERROR(VLOOKUP(A224,'0919門市清單主檔'!B:AH,28,FALSE),"")="HUB", IFERROR(VLOOKUP(A224,勤務統計!A:W,23,FALSE),"")&lt;&gt;"HUB")
      ),
      _xlfn.TEXTJOIN(
        "，",
        TRUE,
        IF(AND(勤務統計!$D$1&lt;&gt;"--", IFERROR(VLOOKUP(A224,'0919門市清單主檔'!B:AH,31,FALSE),"")=勤務統計!$D$1, IFERROR(VLOOKUP(A224,勤務統計!A:Q,17,FALSE),"")&lt;&gt;勤務統計!$D$1), 勤務統計!$D$1, ""),
        IF(AND(勤務統計!$E$1&lt;&gt;"--", IFERROR(VLOOKUP(A224,'0919門市清單主檔'!B:AH,32,FALSE),"")=勤務統計!$E$1, IFERROR(VLOOKUP(A224,勤務統計!A:S,19,FALSE),"")&lt;&gt;勤務統計!$E$1), 勤務統計!$E$1, ""),
        IF(AND(勤務統計!$F$1&lt;&gt;"--", IFERROR(VLOOKUP(A224,'0919門市清單主檔'!B:AH,33,FALSE),"")=勤務統計!$F$1, IFERROR(VLOOKUP(A224,勤務統計!A:U,21,FALSE),"")&lt;&gt;勤務統計!$F$1), 勤務統計!$F$1, ""),
        IF(AND(IFERROR(VLOOKUP(A224,'0919門市清單主檔'!B:AH,28,FALSE),"")="HUB", IFERROR(VLOOKUP(A224,勤務統計!A:W,23,FALSE),"")&lt;&gt;"HUB"), "HUB", "")
      ) &amp; "未完工",
      "已完工"
    )
  )
)</f>
        <v>未完工</v>
      </c>
      <c r="P224" s="435" t="str">
        <f>(TEXT(I224,"yyyymmdd"))&amp;勤務統計!$V$2&amp;A224&amp;勤務統計!$V$2&amp;B224&amp;勤務統計!$S$2</f>
        <v>-4228-新莊頭前公園(定保)</v>
      </c>
      <c r="Q224" s="404" t="str">
        <f t="array" ref="Q224">IF(AND(SUMPRODUCT((IM!$F$2:$F$5000=A224)*(ISNUMBER(SEARCH(勤務統計!$D$1, IM!$AC$2:$AC$5000))))&gt;0), 勤務統計!$D$1, "")</f>
        <v/>
      </c>
      <c r="R224" s="405" t="str">
        <f t="array" ref="R224">IFERROR(INDEX(IM!$AM$2:$AM$5000, MATCH(1, (IM!$F$2:$F$5000=A224) * (ISNUMBER(SEARCH(勤務統計!$D$1, IM!$AC$2:$AC$5000))), 0)), "")</f>
        <v/>
      </c>
      <c r="S224" s="406" t="str" cm="1">
        <f t="array" ref="S224">IF(AND(SUMPRODUCT((IM!$F$2:$F$5000=A224)*(ISNUMBER(SEARCH(勤務統計!$E$1, IM!$AC$2:$AC$5000))))&gt;0), 勤務統計!$E$1, "")</f>
        <v>+L90</v>
      </c>
      <c r="T224" s="405">
        <f t="array" ref="T224">IFERROR(INDEX(IM!$AM$2:$AM$5000, MATCH(1, (IM!$F$2:$F$5000=A224) * (ISNUMBER(SEARCH(勤務統計!$E$1, IM!$AC$2:$AC$5000))), 0)), "")</f>
        <v>46013</v>
      </c>
      <c r="U224" s="406" t="str" cm="1">
        <f t="array" ref="U224">IF(AND(SUMPRODUCT((IM!$F$2:$F$5000=A224)*(ISNUMBER(SEARCH(勤務統計!$F$1, IM!$AC$2:$AC$5000))))&gt;0), 勤務統計!$F$1, "")</f>
        <v/>
      </c>
      <c r="V224" s="405" t="str">
        <f t="array" ref="V224">IFERROR(INDEX(IM!$AM$2:$AM$5000, MATCH(1, (IM!$F$2:$F$5000=A224) * (ISNUMBER(SEARCH(勤務統計!$F$1, IM!$AC$2:$AC$5000))), 0)), "")</f>
        <v/>
      </c>
      <c r="W224" s="436" t="str">
        <f>IF(VLOOKUP(A224,'0919門市清單主檔'!B:AC,28,FALSE)=0,"",VLOOKUP(A224,'0919門市清單主檔'!B:AC,28,FALSE))</f>
        <v/>
      </c>
    </row>
    <row r="225" spans="1:23" ht="21.6" customHeight="1">
      <c r="A225" s="409">
        <v>4762</v>
      </c>
      <c r="B225" s="409" t="str">
        <f>VLOOKUP(A225,'0919門市清單主檔'!B:C,2,FALSE)</f>
        <v>新莊巷口店</v>
      </c>
      <c r="C225" s="409" t="str">
        <f>VLOOKUP($A225,'0919門市清單主檔'!B:V,20,FALSE)</f>
        <v>新北市</v>
      </c>
      <c r="D225" s="409" t="str">
        <f>VLOOKUP($A225,'0919門市清單主檔'!B:V,21,FALSE)</f>
        <v>新莊區</v>
      </c>
      <c r="E225" s="397" t="str">
        <f>VLOOKUP(D225,門市狀態!G:H,2,FALSE)</f>
        <v>湯家瑋</v>
      </c>
      <c r="F225" s="409" t="str">
        <f>IFERROR(IF(VLOOKUP(A225,門市狀態!A:D,4,FALSE)=0,"",VLOOKUP(A225,門市狀態!A:D,4,FALSE)),"")</f>
        <v/>
      </c>
      <c r="G225" s="409"/>
      <c r="H225" s="411" t="str">
        <f>IF(I225&gt;0,(TEXT(I225,"yyyymmdd")&amp;勤務統計!$V$2&amp;A225&amp;勤務統計!$V$2&amp;B225&amp;勤務統計!$S$2),"")</f>
        <v>-4762-新莊巷口店(定保)</v>
      </c>
      <c r="I225" s="247" t="str">
        <f t="array" ref="I225">IF(AND(SUMPRODUCT((IM!$F$2:$F$5000=A225)*(ISNUMBER(SEARCH(勤務統計!$C$1, IM!$AC$2:$AC$5000))))&gt;0), 勤務統計!$C$1, "")</f>
        <v/>
      </c>
      <c r="J225" s="399" t="str">
        <f t="array" ref="J225">IFERROR(INDEX(IM!$AM$2:$AM$5000, MATCH(1, (IM!$F$2:$F$5000=A225) * (ISNUMBER(SEARCH(勤務統計!$C$1, IM!$AC$2:$AC$5000))), 0)), "")</f>
        <v/>
      </c>
      <c r="K225" s="400">
        <f t="array" ref="K225">SUMPRODUCT((IM!$F$2:$F$5000=A225)*(IM!$AD$2:$AD$5000="O")*(ISNUMBER(SEARCH(勤務統計!$C$1, IM!$AC$2:$AC$5000))))</f>
        <v>0</v>
      </c>
      <c r="L225" s="401" t="str">
        <f t="array" ref="L225">IF(K225&gt;0,IFERROR(HYPERLINK("#'IM'!AC"&amp;MATCH(1,(IM!$F$1:$F$5000=A225)*(ISNUMBER(SEARCH(勤務統計!$C$1,IM!$AC$1:$AC$5000))),0),"檢核"),"未登錄"),"")</f>
        <v/>
      </c>
      <c r="M225" s="402" t="str">
        <f t="shared" si="3"/>
        <v>+L90</v>
      </c>
      <c r="N225" s="402" t="str">
        <f t="array" ref="N225">IF(AND(
    SUMPRODUCT(
        (IM!$F$2:$F$522=A225) *
        ISNUMBER(SEARCH("*HUB*", IM!$AC$2:$AC$522)) *
        (IM!$X$2:$X$522&gt;=勤務統計!$A$1) *
        (IM!$X$2:$X$522&lt;=勤務統計!$B$1)*(W225="HUB")
    ) &gt; 0
), "HUB", "")</f>
        <v/>
      </c>
      <c r="O225" s="400" t="str">
        <f>IF(
  IFERROR(VLOOKUP(A225,勤務統計!A:I,9,FALSE),"")&lt;&gt;勤務統計!$C$1,
  "未完工",
  IF(
    AND(勤務統計!$D$1="--",勤務統計!$E$1="--",勤務統計!$F$1="--"),
    "已完工",
    IF(
      OR(
        AND(勤務統計!$D$1&lt;&gt;"--", IFERROR(VLOOKUP(A225,'0919門市清單主檔'!B:AH,31,FALSE),"")=勤務統計!$D$1, IFERROR(VLOOKUP(A225,勤務統計!A:Q,17,FALSE),"")&lt;&gt;勤務統計!$D$1),
        AND(勤務統計!$E$1&lt;&gt;"--", IFERROR(VLOOKUP(A225,'0919門市清單主檔'!B:AH,32,FALSE),"")=勤務統計!$E$1, IFERROR(VLOOKUP(A225,勤務統計!A:S,19,FALSE),"")&lt;&gt;勤務統計!$E$1),
        AND(勤務統計!$F$1&lt;&gt;"--", IFERROR(VLOOKUP(A225,'0919門市清單主檔'!B:AH,33,FALSE),"")=勤務統計!$F$1, IFERROR(VLOOKUP(A225,勤務統計!A:U,21,FALSE),"")&lt;&gt;勤務統計!$F$1),
        AND(IFERROR(VLOOKUP(A225,'0919門市清單主檔'!B:AH,28,FALSE),"")="HUB", IFERROR(VLOOKUP(A225,勤務統計!A:W,23,FALSE),"")&lt;&gt;"HUB")
      ),
      _xlfn.TEXTJOIN(
        "，",
        TRUE,
        IF(AND(勤務統計!$D$1&lt;&gt;"--", IFERROR(VLOOKUP(A225,'0919門市清單主檔'!B:AH,31,FALSE),"")=勤務統計!$D$1, IFERROR(VLOOKUP(A225,勤務統計!A:Q,17,FALSE),"")&lt;&gt;勤務統計!$D$1), 勤務統計!$D$1, ""),
        IF(AND(勤務統計!$E$1&lt;&gt;"--", IFERROR(VLOOKUP(A225,'0919門市清單主檔'!B:AH,32,FALSE),"")=勤務統計!$E$1, IFERROR(VLOOKUP(A225,勤務統計!A:S,19,FALSE),"")&lt;&gt;勤務統計!$E$1), 勤務統計!$E$1, ""),
        IF(AND(勤務統計!$F$1&lt;&gt;"--", IFERROR(VLOOKUP(A225,'0919門市清單主檔'!B:AH,33,FALSE),"")=勤務統計!$F$1, IFERROR(VLOOKUP(A225,勤務統計!A:U,21,FALSE),"")&lt;&gt;勤務統計!$F$1), 勤務統計!$F$1, ""),
        IF(AND(IFERROR(VLOOKUP(A225,'0919門市清單主檔'!B:AH,28,FALSE),"")="HUB", IFERROR(VLOOKUP(A225,勤務統計!A:W,23,FALSE),"")&lt;&gt;"HUB"), "HUB", "")
      ) &amp; "未完工",
      "已完工"
    )
  )
)</f>
        <v>未完工</v>
      </c>
      <c r="P225" s="435" t="str">
        <f>(TEXT(I225,"yyyymmdd"))&amp;勤務統計!$V$2&amp;A225&amp;勤務統計!$V$2&amp;B225&amp;勤務統計!$S$2</f>
        <v>-4762-新莊巷口店(定保)</v>
      </c>
      <c r="Q225" s="404" t="str">
        <f t="array" ref="Q225">IF(AND(SUMPRODUCT((IM!$F$2:$F$5000=A225)*(ISNUMBER(SEARCH(勤務統計!$D$1, IM!$AC$2:$AC$5000))))&gt;0), 勤務統計!$D$1, "")</f>
        <v/>
      </c>
      <c r="R225" s="405" t="str">
        <f t="array" ref="R225">IFERROR(INDEX(IM!$AM$2:$AM$5000, MATCH(1, (IM!$F$2:$F$5000=A225) * (ISNUMBER(SEARCH(勤務統計!$D$1, IM!$AC$2:$AC$5000))), 0)), "")</f>
        <v/>
      </c>
      <c r="S225" s="406" t="str" cm="1">
        <f t="array" ref="S225">IF(AND(SUMPRODUCT((IM!$F$2:$F$5000=A225)*(ISNUMBER(SEARCH(勤務統計!$E$1, IM!$AC$2:$AC$5000))))&gt;0), 勤務統計!$E$1, "")</f>
        <v>+L90</v>
      </c>
      <c r="T225" s="405">
        <f t="array" ref="T225">IFERROR(INDEX(IM!$AM$2:$AM$5000, MATCH(1, (IM!$F$2:$F$5000=A225) * (ISNUMBER(SEARCH(勤務統計!$E$1, IM!$AC$2:$AC$5000))), 0)), "")</f>
        <v>46013</v>
      </c>
      <c r="U225" s="406" t="str" cm="1">
        <f t="array" ref="U225">IF(AND(SUMPRODUCT((IM!$F$2:$F$5000=A225)*(ISNUMBER(SEARCH(勤務統計!$F$1, IM!$AC$2:$AC$5000))))&gt;0), 勤務統計!$F$1, "")</f>
        <v/>
      </c>
      <c r="V225" s="405" t="str">
        <f t="array" ref="V225">IFERROR(INDEX(IM!$AM$2:$AM$5000, MATCH(1, (IM!$F$2:$F$5000=A225) * (ISNUMBER(SEARCH(勤務統計!$F$1, IM!$AC$2:$AC$5000))), 0)), "")</f>
        <v/>
      </c>
      <c r="W225" s="436" t="str">
        <f>IF(VLOOKUP(A225,'0919門市清單主檔'!B:AC,28,FALSE)=0,"",VLOOKUP(A225,'0919門市清單主檔'!B:AC,28,FALSE))</f>
        <v/>
      </c>
    </row>
    <row r="226" spans="1:23" ht="21.6" customHeight="1">
      <c r="A226" s="409">
        <v>3999</v>
      </c>
      <c r="B226" s="409" t="str">
        <f>VLOOKUP(A226,'0919門市清單主檔'!B:C,2,FALSE)</f>
        <v>新莊福祐店</v>
      </c>
      <c r="C226" s="409" t="str">
        <f>VLOOKUP($A226,'0919門市清單主檔'!B:V,20,FALSE)</f>
        <v>新北市</v>
      </c>
      <c r="D226" s="409" t="str">
        <f>VLOOKUP($A226,'0919門市清單主檔'!B:V,21,FALSE)</f>
        <v>新莊區</v>
      </c>
      <c r="E226" s="397" t="str">
        <f>VLOOKUP(D226,門市狀態!G:H,2,FALSE)</f>
        <v>湯家瑋</v>
      </c>
      <c r="F226" s="409" t="str">
        <f>IFERROR(IF(VLOOKUP(A226,門市狀態!A:D,4,FALSE)=0,"",VLOOKUP(A226,門市狀態!A:D,4,FALSE)),"")</f>
        <v/>
      </c>
      <c r="G226" s="409"/>
      <c r="H226" s="411" t="str">
        <f>IF(I226&gt;0,(TEXT(I226,"yyyymmdd")&amp;勤務統計!$V$2&amp;A226&amp;勤務統計!$V$2&amp;B226&amp;勤務統計!$S$2),"")</f>
        <v>-3999-新莊福祐店(定保)</v>
      </c>
      <c r="I226" s="247" t="str">
        <f t="array" ref="I226">IF(AND(SUMPRODUCT((IM!$F$2:$F$5000=A226)*(ISNUMBER(SEARCH(勤務統計!$C$1, IM!$AC$2:$AC$5000))))&gt;0), 勤務統計!$C$1, "")</f>
        <v/>
      </c>
      <c r="J226" s="399" t="str">
        <f t="array" ref="J226">IFERROR(INDEX(IM!$AM$2:$AM$5000, MATCH(1, (IM!$F$2:$F$5000=A226) * (ISNUMBER(SEARCH(勤務統計!$C$1, IM!$AC$2:$AC$5000))), 0)), "")</f>
        <v/>
      </c>
      <c r="K226" s="400">
        <f t="array" ref="K226">SUMPRODUCT((IM!$F$2:$F$5000=A226)*(IM!$AD$2:$AD$5000="O")*(ISNUMBER(SEARCH(勤務統計!$C$1, IM!$AC$2:$AC$5000))))</f>
        <v>0</v>
      </c>
      <c r="L226" s="401" t="str">
        <f t="array" ref="L226">IF(K226&gt;0,IFERROR(HYPERLINK("#'IM'!AC"&amp;MATCH(1,(IM!$F$1:$F$5000=A226)*(ISNUMBER(SEARCH(勤務統計!$C$1,IM!$AC$1:$AC$5000))),0),"檢核"),"未登錄"),"")</f>
        <v/>
      </c>
      <c r="M226" s="402" t="str">
        <f t="shared" si="3"/>
        <v>+L90</v>
      </c>
      <c r="N226" s="402" t="str">
        <f t="array" ref="N226">IF(AND(
    SUMPRODUCT(
        (IM!$F$2:$F$522=A226) *
        ISNUMBER(SEARCH("*HUB*", IM!$AC$2:$AC$522)) *
        (IM!$X$2:$X$522&gt;=勤務統計!$A$1) *
        (IM!$X$2:$X$522&lt;=勤務統計!$B$1)*(W226="HUB")
    ) &gt; 0
), "HUB", "")</f>
        <v/>
      </c>
      <c r="O226" s="400" t="str">
        <f>IF(
  IFERROR(VLOOKUP(A226,勤務統計!A:I,9,FALSE),"")&lt;&gt;勤務統計!$C$1,
  "未完工",
  IF(
    AND(勤務統計!$D$1="--",勤務統計!$E$1="--",勤務統計!$F$1="--"),
    "已完工",
    IF(
      OR(
        AND(勤務統計!$D$1&lt;&gt;"--", IFERROR(VLOOKUP(A226,'0919門市清單主檔'!B:AH,31,FALSE),"")=勤務統計!$D$1, IFERROR(VLOOKUP(A226,勤務統計!A:Q,17,FALSE),"")&lt;&gt;勤務統計!$D$1),
        AND(勤務統計!$E$1&lt;&gt;"--", IFERROR(VLOOKUP(A226,'0919門市清單主檔'!B:AH,32,FALSE),"")=勤務統計!$E$1, IFERROR(VLOOKUP(A226,勤務統計!A:S,19,FALSE),"")&lt;&gt;勤務統計!$E$1),
        AND(勤務統計!$F$1&lt;&gt;"--", IFERROR(VLOOKUP(A226,'0919門市清單主檔'!B:AH,33,FALSE),"")=勤務統計!$F$1, IFERROR(VLOOKUP(A226,勤務統計!A:U,21,FALSE),"")&lt;&gt;勤務統計!$F$1),
        AND(IFERROR(VLOOKUP(A226,'0919門市清單主檔'!B:AH,28,FALSE),"")="HUB", IFERROR(VLOOKUP(A226,勤務統計!A:W,23,FALSE),"")&lt;&gt;"HUB")
      ),
      _xlfn.TEXTJOIN(
        "，",
        TRUE,
        IF(AND(勤務統計!$D$1&lt;&gt;"--", IFERROR(VLOOKUP(A226,'0919門市清單主檔'!B:AH,31,FALSE),"")=勤務統計!$D$1, IFERROR(VLOOKUP(A226,勤務統計!A:Q,17,FALSE),"")&lt;&gt;勤務統計!$D$1), 勤務統計!$D$1, ""),
        IF(AND(勤務統計!$E$1&lt;&gt;"--", IFERROR(VLOOKUP(A226,'0919門市清單主檔'!B:AH,32,FALSE),"")=勤務統計!$E$1, IFERROR(VLOOKUP(A226,勤務統計!A:S,19,FALSE),"")&lt;&gt;勤務統計!$E$1), 勤務統計!$E$1, ""),
        IF(AND(勤務統計!$F$1&lt;&gt;"--", IFERROR(VLOOKUP(A226,'0919門市清單主檔'!B:AH,33,FALSE),"")=勤務統計!$F$1, IFERROR(VLOOKUP(A226,勤務統計!A:U,21,FALSE),"")&lt;&gt;勤務統計!$F$1), 勤務統計!$F$1, ""),
        IF(AND(IFERROR(VLOOKUP(A226,'0919門市清單主檔'!B:AH,28,FALSE),"")="HUB", IFERROR(VLOOKUP(A226,勤務統計!A:W,23,FALSE),"")&lt;&gt;"HUB"), "HUB", "")
      ) &amp; "未完工",
      "已完工"
    )
  )
)</f>
        <v>未完工</v>
      </c>
      <c r="P226" s="435" t="str">
        <f>(TEXT(I226,"yyyymmdd"))&amp;勤務統計!$V$2&amp;A226&amp;勤務統計!$V$2&amp;B226&amp;勤務統計!$S$2</f>
        <v>-3999-新莊福祐店(定保)</v>
      </c>
      <c r="Q226" s="404" t="str">
        <f t="array" ref="Q226">IF(AND(SUMPRODUCT((IM!$F$2:$F$5000=A226)*(ISNUMBER(SEARCH(勤務統計!$D$1, IM!$AC$2:$AC$5000))))&gt;0), 勤務統計!$D$1, "")</f>
        <v/>
      </c>
      <c r="R226" s="405" t="str">
        <f t="array" ref="R226">IFERROR(INDEX(IM!$AM$2:$AM$5000, MATCH(1, (IM!$F$2:$F$5000=A226) * (ISNUMBER(SEARCH(勤務統計!$D$1, IM!$AC$2:$AC$5000))), 0)), "")</f>
        <v/>
      </c>
      <c r="S226" s="406" t="str" cm="1">
        <f t="array" ref="S226">IF(AND(SUMPRODUCT((IM!$F$2:$F$5000=A226)*(ISNUMBER(SEARCH(勤務統計!$E$1, IM!$AC$2:$AC$5000))))&gt;0), 勤務統計!$E$1, "")</f>
        <v>+L90</v>
      </c>
      <c r="T226" s="405">
        <f t="array" ref="T226">IFERROR(INDEX(IM!$AM$2:$AM$5000, MATCH(1, (IM!$F$2:$F$5000=A226) * (ISNUMBER(SEARCH(勤務統計!$E$1, IM!$AC$2:$AC$5000))), 0)), "")</f>
        <v>46013</v>
      </c>
      <c r="U226" s="406" t="str" cm="1">
        <f t="array" ref="U226">IF(AND(SUMPRODUCT((IM!$F$2:$F$5000=A226)*(ISNUMBER(SEARCH(勤務統計!$F$1, IM!$AC$2:$AC$5000))))&gt;0), 勤務統計!$F$1, "")</f>
        <v/>
      </c>
      <c r="V226" s="405" t="str">
        <f t="array" ref="V226">IFERROR(INDEX(IM!$AM$2:$AM$5000, MATCH(1, (IM!$F$2:$F$5000=A226) * (ISNUMBER(SEARCH(勤務統計!$F$1, IM!$AC$2:$AC$5000))), 0)), "")</f>
        <v/>
      </c>
      <c r="W226" s="436" t="str">
        <f>IF(VLOOKUP(A226,'0919門市清單主檔'!B:AC,28,FALSE)=0,"",VLOOKUP(A226,'0919門市清單主檔'!B:AC,28,FALSE))</f>
        <v/>
      </c>
    </row>
    <row r="227" spans="1:23" ht="21.6" customHeight="1">
      <c r="A227" s="409">
        <v>4701</v>
      </c>
      <c r="B227" s="409" t="str">
        <f>VLOOKUP(A227,'0919門市清單主檔'!B:C,2,FALSE)</f>
        <v>新莊昌平店</v>
      </c>
      <c r="C227" s="409" t="str">
        <f>VLOOKUP($A227,'0919門市清單主檔'!B:V,20,FALSE)</f>
        <v>新北市</v>
      </c>
      <c r="D227" s="409" t="str">
        <f>VLOOKUP($A227,'0919門市清單主檔'!B:V,21,FALSE)</f>
        <v>新莊區</v>
      </c>
      <c r="E227" s="397" t="str">
        <f>VLOOKUP(D227,門市狀態!G:H,2,FALSE)</f>
        <v>湯家瑋</v>
      </c>
      <c r="F227" s="409" t="str">
        <f>IFERROR(IF(VLOOKUP(A227,門市狀態!A:D,4,FALSE)=0,"",VLOOKUP(A227,門市狀態!A:D,4,FALSE)),"")</f>
        <v/>
      </c>
      <c r="G227" s="409"/>
      <c r="H227" s="411" t="str">
        <f>IF(I227&gt;0,(TEXT(I227,"yyyymmdd")&amp;勤務統計!$V$2&amp;A227&amp;勤務統計!$V$2&amp;B227&amp;勤務統計!$S$2),"")</f>
        <v>-4701-新莊昌平店(定保)</v>
      </c>
      <c r="I227" s="247" t="str">
        <f t="array" ref="I227">IF(AND(SUMPRODUCT((IM!$F$2:$F$5000=A227)*(ISNUMBER(SEARCH(勤務統計!$C$1, IM!$AC$2:$AC$5000))))&gt;0), 勤務統計!$C$1, "")</f>
        <v/>
      </c>
      <c r="J227" s="399" t="str">
        <f t="array" ref="J227">IFERROR(INDEX(IM!$AM$2:$AM$5000, MATCH(1, (IM!$F$2:$F$5000=A227) * (ISNUMBER(SEARCH(勤務統計!$C$1, IM!$AC$2:$AC$5000))), 0)), "")</f>
        <v/>
      </c>
      <c r="K227" s="400">
        <f t="array" ref="K227">SUMPRODUCT((IM!$F$2:$F$5000=A227)*(IM!$AD$2:$AD$5000="O")*(ISNUMBER(SEARCH(勤務統計!$C$1, IM!$AC$2:$AC$5000))))</f>
        <v>0</v>
      </c>
      <c r="L227" s="401" t="str">
        <f t="array" ref="L227">IF(K227&gt;0,IFERROR(HYPERLINK("#'IM'!AC"&amp;MATCH(1,(IM!$F$1:$F$5000=A227)*(ISNUMBER(SEARCH(勤務統計!$C$1,IM!$AC$1:$AC$5000))),0),"檢核"),"未登錄"),"")</f>
        <v/>
      </c>
      <c r="M227" s="402" t="str">
        <f t="shared" si="3"/>
        <v>+L90</v>
      </c>
      <c r="N227" s="402" t="str">
        <f t="array" ref="N227">IF(AND(
    SUMPRODUCT(
        (IM!$F$2:$F$522=A227) *
        ISNUMBER(SEARCH("*HUB*", IM!$AC$2:$AC$522)) *
        (IM!$X$2:$X$522&gt;=勤務統計!$A$1) *
        (IM!$X$2:$X$522&lt;=勤務統計!$B$1)*(W227="HUB")
    ) &gt; 0
), "HUB", "")</f>
        <v/>
      </c>
      <c r="O227" s="400" t="str">
        <f>IF(
  IFERROR(VLOOKUP(A227,勤務統計!A:I,9,FALSE),"")&lt;&gt;勤務統計!$C$1,
  "未完工",
  IF(
    AND(勤務統計!$D$1="--",勤務統計!$E$1="--",勤務統計!$F$1="--"),
    "已完工",
    IF(
      OR(
        AND(勤務統計!$D$1&lt;&gt;"--", IFERROR(VLOOKUP(A227,'0919門市清單主檔'!B:AH,31,FALSE),"")=勤務統計!$D$1, IFERROR(VLOOKUP(A227,勤務統計!A:Q,17,FALSE),"")&lt;&gt;勤務統計!$D$1),
        AND(勤務統計!$E$1&lt;&gt;"--", IFERROR(VLOOKUP(A227,'0919門市清單主檔'!B:AH,32,FALSE),"")=勤務統計!$E$1, IFERROR(VLOOKUP(A227,勤務統計!A:S,19,FALSE),"")&lt;&gt;勤務統計!$E$1),
        AND(勤務統計!$F$1&lt;&gt;"--", IFERROR(VLOOKUP(A227,'0919門市清單主檔'!B:AH,33,FALSE),"")=勤務統計!$F$1, IFERROR(VLOOKUP(A227,勤務統計!A:U,21,FALSE),"")&lt;&gt;勤務統計!$F$1),
        AND(IFERROR(VLOOKUP(A227,'0919門市清單主檔'!B:AH,28,FALSE),"")="HUB", IFERROR(VLOOKUP(A227,勤務統計!A:W,23,FALSE),"")&lt;&gt;"HUB")
      ),
      _xlfn.TEXTJOIN(
        "，",
        TRUE,
        IF(AND(勤務統計!$D$1&lt;&gt;"--", IFERROR(VLOOKUP(A227,'0919門市清單主檔'!B:AH,31,FALSE),"")=勤務統計!$D$1, IFERROR(VLOOKUP(A227,勤務統計!A:Q,17,FALSE),"")&lt;&gt;勤務統計!$D$1), 勤務統計!$D$1, ""),
        IF(AND(勤務統計!$E$1&lt;&gt;"--", IFERROR(VLOOKUP(A227,'0919門市清單主檔'!B:AH,32,FALSE),"")=勤務統計!$E$1, IFERROR(VLOOKUP(A227,勤務統計!A:S,19,FALSE),"")&lt;&gt;勤務統計!$E$1), 勤務統計!$E$1, ""),
        IF(AND(勤務統計!$F$1&lt;&gt;"--", IFERROR(VLOOKUP(A227,'0919門市清單主檔'!B:AH,33,FALSE),"")=勤務統計!$F$1, IFERROR(VLOOKUP(A227,勤務統計!A:U,21,FALSE),"")&lt;&gt;勤務統計!$F$1), 勤務統計!$F$1, ""),
        IF(AND(IFERROR(VLOOKUP(A227,'0919門市清單主檔'!B:AH,28,FALSE),"")="HUB", IFERROR(VLOOKUP(A227,勤務統計!A:W,23,FALSE),"")&lt;&gt;"HUB"), "HUB", "")
      ) &amp; "未完工",
      "已完工"
    )
  )
)</f>
        <v>未完工</v>
      </c>
      <c r="P227" s="435" t="str">
        <f>(TEXT(I227,"yyyymmdd"))&amp;勤務統計!$V$2&amp;A227&amp;勤務統計!$V$2&amp;B227&amp;勤務統計!$S$2</f>
        <v>-4701-新莊昌平店(定保)</v>
      </c>
      <c r="Q227" s="404" t="str">
        <f t="array" ref="Q227">IF(AND(SUMPRODUCT((IM!$F$2:$F$5000=A227)*(ISNUMBER(SEARCH(勤務統計!$D$1, IM!$AC$2:$AC$5000))))&gt;0), 勤務統計!$D$1, "")</f>
        <v/>
      </c>
      <c r="R227" s="405" t="str">
        <f t="array" ref="R227">IFERROR(INDEX(IM!$AM$2:$AM$5000, MATCH(1, (IM!$F$2:$F$5000=A227) * (ISNUMBER(SEARCH(勤務統計!$D$1, IM!$AC$2:$AC$5000))), 0)), "")</f>
        <v/>
      </c>
      <c r="S227" s="406" t="str" cm="1">
        <f t="array" ref="S227">IF(AND(SUMPRODUCT((IM!$F$2:$F$5000=A227)*(ISNUMBER(SEARCH(勤務統計!$E$1, IM!$AC$2:$AC$5000))))&gt;0), 勤務統計!$E$1, "")</f>
        <v>+L90</v>
      </c>
      <c r="T227" s="405">
        <f t="array" ref="T227">IFERROR(INDEX(IM!$AM$2:$AM$5000, MATCH(1, (IM!$F$2:$F$5000=A227) * (ISNUMBER(SEARCH(勤務統計!$E$1, IM!$AC$2:$AC$5000))), 0)), "")</f>
        <v>46013</v>
      </c>
      <c r="U227" s="406" t="str" cm="1">
        <f t="array" ref="U227">IF(AND(SUMPRODUCT((IM!$F$2:$F$5000=A227)*(ISNUMBER(SEARCH(勤務統計!$F$1, IM!$AC$2:$AC$5000))))&gt;0), 勤務統計!$F$1, "")</f>
        <v/>
      </c>
      <c r="V227" s="405" t="str">
        <f t="array" ref="V227">IFERROR(INDEX(IM!$AM$2:$AM$5000, MATCH(1, (IM!$F$2:$F$5000=A227) * (ISNUMBER(SEARCH(勤務統計!$F$1, IM!$AC$2:$AC$5000))), 0)), "")</f>
        <v/>
      </c>
      <c r="W227" s="436" t="str">
        <f>IF(VLOOKUP(A227,'0919門市清單主檔'!B:AC,28,FALSE)=0,"",VLOOKUP(A227,'0919門市清單主檔'!B:AC,28,FALSE))</f>
        <v/>
      </c>
    </row>
    <row r="228" spans="1:23" ht="21.6" customHeight="1">
      <c r="A228" s="409">
        <v>3551</v>
      </c>
      <c r="B228" s="409" t="str">
        <f>VLOOKUP(A228,'0919門市清單主檔'!B:C,2,FALSE)</f>
        <v>板橋板豐店</v>
      </c>
      <c r="C228" s="409" t="str">
        <f>VLOOKUP($A228,'0919門市清單主檔'!B:V,20,FALSE)</f>
        <v>新北市</v>
      </c>
      <c r="D228" s="409" t="str">
        <f>VLOOKUP($A228,'0919門市清單主檔'!B:V,21,FALSE)</f>
        <v>板橋區</v>
      </c>
      <c r="E228" s="397" t="str">
        <f>VLOOKUP(D228,門市狀態!G:H,2,FALSE)</f>
        <v>狄澤洋</v>
      </c>
      <c r="F228" s="409" t="str">
        <f>IFERROR(IF(VLOOKUP(A228,門市狀態!A:D,4,FALSE)=0,"",VLOOKUP(A228,門市狀態!A:D,4,FALSE)),"")</f>
        <v/>
      </c>
      <c r="G228" s="409"/>
      <c r="H228" s="411" t="str">
        <f>IF(I228&gt;0,(TEXT(I228,"yyyymmdd")&amp;勤務統計!$V$2&amp;A228&amp;勤務統計!$V$2&amp;B228&amp;勤務統計!$S$2),"")</f>
        <v>-3551-板橋板豐店(定保)</v>
      </c>
      <c r="I228" s="247" t="str">
        <f t="array" ref="I228">IF(AND(SUMPRODUCT((IM!$F$2:$F$5000=A228)*(ISNUMBER(SEARCH(勤務統計!$C$1, IM!$AC$2:$AC$5000))))&gt;0), 勤務統計!$C$1, "")</f>
        <v/>
      </c>
      <c r="J228" s="399" t="str">
        <f t="array" ref="J228">IFERROR(INDEX(IM!$AM$2:$AM$5000, MATCH(1, (IM!$F$2:$F$5000=A228) * (ISNUMBER(SEARCH(勤務統計!$C$1, IM!$AC$2:$AC$5000))), 0)), "")</f>
        <v/>
      </c>
      <c r="K228" s="400">
        <f t="array" ref="K228">SUMPRODUCT((IM!$F$2:$F$5000=A228)*(IM!$AD$2:$AD$5000="O")*(ISNUMBER(SEARCH(勤務統計!$C$1, IM!$AC$2:$AC$5000))))</f>
        <v>0</v>
      </c>
      <c r="L228" s="401" t="str">
        <f t="array" ref="L228">IF(K228&gt;0,IFERROR(HYPERLINK("#'IM'!AC"&amp;MATCH(1,(IM!$F$1:$F$5000=A228)*(ISNUMBER(SEARCH(勤務統計!$C$1,IM!$AC$1:$AC$5000))),0),"檢核"),"未登錄"),"")</f>
        <v/>
      </c>
      <c r="M228" s="402" t="str">
        <f t="shared" si="3"/>
        <v>+L90</v>
      </c>
      <c r="N228" s="402" t="str">
        <f t="array" ref="N228">IF(AND(
    SUMPRODUCT(
        (IM!$F$2:$F$522=A228) *
        ISNUMBER(SEARCH("*HUB*", IM!$AC$2:$AC$522)) *
        (IM!$X$2:$X$522&gt;=勤務統計!$A$1) *
        (IM!$X$2:$X$522&lt;=勤務統計!$B$1)*(W228="HUB")
    ) &gt; 0
), "HUB", "")</f>
        <v/>
      </c>
      <c r="O228" s="400" t="str">
        <f>IF(
  IFERROR(VLOOKUP(A228,勤務統計!A:I,9,FALSE),"")&lt;&gt;勤務統計!$C$1,
  "未完工",
  IF(
    AND(勤務統計!$D$1="--",勤務統計!$E$1="--",勤務統計!$F$1="--"),
    "已完工",
    IF(
      OR(
        AND(勤務統計!$D$1&lt;&gt;"--", IFERROR(VLOOKUP(A228,'0919門市清單主檔'!B:AH,31,FALSE),"")=勤務統計!$D$1, IFERROR(VLOOKUP(A228,勤務統計!A:Q,17,FALSE),"")&lt;&gt;勤務統計!$D$1),
        AND(勤務統計!$E$1&lt;&gt;"--", IFERROR(VLOOKUP(A228,'0919門市清單主檔'!B:AH,32,FALSE),"")=勤務統計!$E$1, IFERROR(VLOOKUP(A228,勤務統計!A:S,19,FALSE),"")&lt;&gt;勤務統計!$E$1),
        AND(勤務統計!$F$1&lt;&gt;"--", IFERROR(VLOOKUP(A228,'0919門市清單主檔'!B:AH,33,FALSE),"")=勤務統計!$F$1, IFERROR(VLOOKUP(A228,勤務統計!A:U,21,FALSE),"")&lt;&gt;勤務統計!$F$1),
        AND(IFERROR(VLOOKUP(A228,'0919門市清單主檔'!B:AH,28,FALSE),"")="HUB", IFERROR(VLOOKUP(A228,勤務統計!A:W,23,FALSE),"")&lt;&gt;"HUB")
      ),
      _xlfn.TEXTJOIN(
        "，",
        TRUE,
        IF(AND(勤務統計!$D$1&lt;&gt;"--", IFERROR(VLOOKUP(A228,'0919門市清單主檔'!B:AH,31,FALSE),"")=勤務統計!$D$1, IFERROR(VLOOKUP(A228,勤務統計!A:Q,17,FALSE),"")&lt;&gt;勤務統計!$D$1), 勤務統計!$D$1, ""),
        IF(AND(勤務統計!$E$1&lt;&gt;"--", IFERROR(VLOOKUP(A228,'0919門市清單主檔'!B:AH,32,FALSE),"")=勤務統計!$E$1, IFERROR(VLOOKUP(A228,勤務統計!A:S,19,FALSE),"")&lt;&gt;勤務統計!$E$1), 勤務統計!$E$1, ""),
        IF(AND(勤務統計!$F$1&lt;&gt;"--", IFERROR(VLOOKUP(A228,'0919門市清單主檔'!B:AH,33,FALSE),"")=勤務統計!$F$1, IFERROR(VLOOKUP(A228,勤務統計!A:U,21,FALSE),"")&lt;&gt;勤務統計!$F$1), 勤務統計!$F$1, ""),
        IF(AND(IFERROR(VLOOKUP(A228,'0919門市清單主檔'!B:AH,28,FALSE),"")="HUB", IFERROR(VLOOKUP(A228,勤務統計!A:W,23,FALSE),"")&lt;&gt;"HUB"), "HUB", "")
      ) &amp; "未完工",
      "已完工"
    )
  )
)</f>
        <v>未完工</v>
      </c>
      <c r="P228" s="435" t="str">
        <f>(TEXT(I228,"yyyymmdd"))&amp;勤務統計!$V$2&amp;A228&amp;勤務統計!$V$2&amp;B228&amp;勤務統計!$S$2</f>
        <v>-3551-板橋板豐店(定保)</v>
      </c>
      <c r="Q228" s="404" t="str">
        <f t="array" ref="Q228">IF(AND(SUMPRODUCT((IM!$F$2:$F$5000=A228)*(ISNUMBER(SEARCH(勤務統計!$D$1, IM!$AC$2:$AC$5000))))&gt;0), 勤務統計!$D$1, "")</f>
        <v/>
      </c>
      <c r="R228" s="405" t="str">
        <f t="array" ref="R228">IFERROR(INDEX(IM!$AM$2:$AM$5000, MATCH(1, (IM!$F$2:$F$5000=A228) * (ISNUMBER(SEARCH(勤務統計!$D$1, IM!$AC$2:$AC$5000))), 0)), "")</f>
        <v/>
      </c>
      <c r="S228" s="406" t="str" cm="1">
        <f t="array" ref="S228">IF(AND(SUMPRODUCT((IM!$F$2:$F$5000=A228)*(ISNUMBER(SEARCH(勤務統計!$E$1, IM!$AC$2:$AC$5000))))&gt;0), 勤務統計!$E$1, "")</f>
        <v>+L90</v>
      </c>
      <c r="T228" s="405">
        <f t="array" ref="T228">IFERROR(INDEX(IM!$AM$2:$AM$5000, MATCH(1, (IM!$F$2:$F$5000=A228) * (ISNUMBER(SEARCH(勤務統計!$E$1, IM!$AC$2:$AC$5000))), 0)), "")</f>
        <v>46015</v>
      </c>
      <c r="U228" s="406" t="str" cm="1">
        <f t="array" ref="U228">IF(AND(SUMPRODUCT((IM!$F$2:$F$5000=A228)*(ISNUMBER(SEARCH(勤務統計!$F$1, IM!$AC$2:$AC$5000))))&gt;0), 勤務統計!$F$1, "")</f>
        <v/>
      </c>
      <c r="V228" s="405" t="str">
        <f t="array" ref="V228">IFERROR(INDEX(IM!$AM$2:$AM$5000, MATCH(1, (IM!$F$2:$F$5000=A228) * (ISNUMBER(SEARCH(勤務統計!$F$1, IM!$AC$2:$AC$5000))), 0)), "")</f>
        <v/>
      </c>
      <c r="W228" s="436" t="str">
        <f>IF(VLOOKUP(A228,'0919門市清單主檔'!B:AC,28,FALSE)=0,"",VLOOKUP(A228,'0919門市清單主檔'!B:AC,28,FALSE))</f>
        <v/>
      </c>
    </row>
    <row r="229" spans="1:23" ht="21.6" customHeight="1">
      <c r="A229" s="409">
        <v>3652</v>
      </c>
      <c r="B229" s="409" t="str">
        <f>VLOOKUP(A229,'0919門市清單主檔'!B:C,2,FALSE)</f>
        <v>新莊莊民店</v>
      </c>
      <c r="C229" s="409" t="str">
        <f>VLOOKUP($A229,'0919門市清單主檔'!B:V,20,FALSE)</f>
        <v>新北市</v>
      </c>
      <c r="D229" s="409" t="str">
        <f>VLOOKUP($A229,'0919門市清單主檔'!B:V,21,FALSE)</f>
        <v>新莊區</v>
      </c>
      <c r="E229" s="397" t="str">
        <f>VLOOKUP(D229,門市狀態!G:H,2,FALSE)</f>
        <v>湯家瑋</v>
      </c>
      <c r="F229" s="409" t="str">
        <f>IFERROR(IF(VLOOKUP(A229,門市狀態!A:D,4,FALSE)=0,"",VLOOKUP(A229,門市狀態!A:D,4,FALSE)),"")</f>
        <v/>
      </c>
      <c r="G229" s="409"/>
      <c r="H229" s="411" t="str">
        <f>IF(I229&gt;0,(TEXT(I229,"yyyymmdd")&amp;勤務統計!$V$2&amp;A229&amp;勤務統計!$V$2&amp;B229&amp;勤務統計!$S$2),"")</f>
        <v>-3652-新莊莊民店(定保)</v>
      </c>
      <c r="I229" s="247" t="str">
        <f t="array" ref="I229">IF(AND(SUMPRODUCT((IM!$F$2:$F$5000=A229)*(ISNUMBER(SEARCH(勤務統計!$C$1, IM!$AC$2:$AC$5000))))&gt;0), 勤務統計!$C$1, "")</f>
        <v/>
      </c>
      <c r="J229" s="399" t="str">
        <f t="array" ref="J229">IFERROR(INDEX(IM!$AM$2:$AM$5000, MATCH(1, (IM!$F$2:$F$5000=A229) * (ISNUMBER(SEARCH(勤務統計!$C$1, IM!$AC$2:$AC$5000))), 0)), "")</f>
        <v/>
      </c>
      <c r="K229" s="400">
        <f t="array" ref="K229">SUMPRODUCT((IM!$F$2:$F$5000=A229)*(IM!$AD$2:$AD$5000="O")*(ISNUMBER(SEARCH(勤務統計!$C$1, IM!$AC$2:$AC$5000))))</f>
        <v>0</v>
      </c>
      <c r="L229" s="401" t="str">
        <f t="array" ref="L229">IF(K229&gt;0,IFERROR(HYPERLINK("#'IM'!AC"&amp;MATCH(1,(IM!$F$1:$F$5000=A229)*(ISNUMBER(SEARCH(勤務統計!$C$1,IM!$AC$1:$AC$5000))),0),"檢核"),"未登錄"),"")</f>
        <v/>
      </c>
      <c r="M229" s="402" t="str">
        <f t="shared" si="3"/>
        <v>+L90</v>
      </c>
      <c r="N229" s="402" t="str">
        <f t="array" ref="N229">IF(AND(
    SUMPRODUCT(
        (IM!$F$2:$F$522=A229) *
        ISNUMBER(SEARCH("*HUB*", IM!$AC$2:$AC$522)) *
        (IM!$X$2:$X$522&gt;=勤務統計!$A$1) *
        (IM!$X$2:$X$522&lt;=勤務統計!$B$1)*(W229="HUB")
    ) &gt; 0
), "HUB", "")</f>
        <v/>
      </c>
      <c r="O229" s="400" t="str">
        <f>IF(
  IFERROR(VLOOKUP(A229,勤務統計!A:I,9,FALSE),"")&lt;&gt;勤務統計!$C$1,
  "未完工",
  IF(
    AND(勤務統計!$D$1="--",勤務統計!$E$1="--",勤務統計!$F$1="--"),
    "已完工",
    IF(
      OR(
        AND(勤務統計!$D$1&lt;&gt;"--", IFERROR(VLOOKUP(A229,'0919門市清單主檔'!B:AH,31,FALSE),"")=勤務統計!$D$1, IFERROR(VLOOKUP(A229,勤務統計!A:Q,17,FALSE),"")&lt;&gt;勤務統計!$D$1),
        AND(勤務統計!$E$1&lt;&gt;"--", IFERROR(VLOOKUP(A229,'0919門市清單主檔'!B:AH,32,FALSE),"")=勤務統計!$E$1, IFERROR(VLOOKUP(A229,勤務統計!A:S,19,FALSE),"")&lt;&gt;勤務統計!$E$1),
        AND(勤務統計!$F$1&lt;&gt;"--", IFERROR(VLOOKUP(A229,'0919門市清單主檔'!B:AH,33,FALSE),"")=勤務統計!$F$1, IFERROR(VLOOKUP(A229,勤務統計!A:U,21,FALSE),"")&lt;&gt;勤務統計!$F$1),
        AND(IFERROR(VLOOKUP(A229,'0919門市清單主檔'!B:AH,28,FALSE),"")="HUB", IFERROR(VLOOKUP(A229,勤務統計!A:W,23,FALSE),"")&lt;&gt;"HUB")
      ),
      _xlfn.TEXTJOIN(
        "，",
        TRUE,
        IF(AND(勤務統計!$D$1&lt;&gt;"--", IFERROR(VLOOKUP(A229,'0919門市清單主檔'!B:AH,31,FALSE),"")=勤務統計!$D$1, IFERROR(VLOOKUP(A229,勤務統計!A:Q,17,FALSE),"")&lt;&gt;勤務統計!$D$1), 勤務統計!$D$1, ""),
        IF(AND(勤務統計!$E$1&lt;&gt;"--", IFERROR(VLOOKUP(A229,'0919門市清單主檔'!B:AH,32,FALSE),"")=勤務統計!$E$1, IFERROR(VLOOKUP(A229,勤務統計!A:S,19,FALSE),"")&lt;&gt;勤務統計!$E$1), 勤務統計!$E$1, ""),
        IF(AND(勤務統計!$F$1&lt;&gt;"--", IFERROR(VLOOKUP(A229,'0919門市清單主檔'!B:AH,33,FALSE),"")=勤務統計!$F$1, IFERROR(VLOOKUP(A229,勤務統計!A:U,21,FALSE),"")&lt;&gt;勤務統計!$F$1), 勤務統計!$F$1, ""),
        IF(AND(IFERROR(VLOOKUP(A229,'0919門市清單主檔'!B:AH,28,FALSE),"")="HUB", IFERROR(VLOOKUP(A229,勤務統計!A:W,23,FALSE),"")&lt;&gt;"HUB"), "HUB", "")
      ) &amp; "未完工",
      "已完工"
    )
  )
)</f>
        <v>未完工</v>
      </c>
      <c r="P229" s="435" t="str">
        <f>(TEXT(I229,"yyyymmdd"))&amp;勤務統計!$V$2&amp;A229&amp;勤務統計!$V$2&amp;B229&amp;勤務統計!$S$2</f>
        <v>-3652-新莊莊民店(定保)</v>
      </c>
      <c r="Q229" s="404" t="str">
        <f t="array" ref="Q229">IF(AND(SUMPRODUCT((IM!$F$2:$F$5000=A229)*(ISNUMBER(SEARCH(勤務統計!$D$1, IM!$AC$2:$AC$5000))))&gt;0), 勤務統計!$D$1, "")</f>
        <v/>
      </c>
      <c r="R229" s="405" t="str">
        <f t="array" ref="R229">IFERROR(INDEX(IM!$AM$2:$AM$5000, MATCH(1, (IM!$F$2:$F$5000=A229) * (ISNUMBER(SEARCH(勤務統計!$D$1, IM!$AC$2:$AC$5000))), 0)), "")</f>
        <v/>
      </c>
      <c r="S229" s="406" t="str" cm="1">
        <f t="array" ref="S229">IF(AND(SUMPRODUCT((IM!$F$2:$F$5000=A229)*(ISNUMBER(SEARCH(勤務統計!$E$1, IM!$AC$2:$AC$5000))))&gt;0), 勤務統計!$E$1, "")</f>
        <v>+L90</v>
      </c>
      <c r="T229" s="405">
        <f t="array" ref="T229">IFERROR(INDEX(IM!$AM$2:$AM$5000, MATCH(1, (IM!$F$2:$F$5000=A229) * (ISNUMBER(SEARCH(勤務統計!$E$1, IM!$AC$2:$AC$5000))), 0)), "")</f>
        <v>46015</v>
      </c>
      <c r="U229" s="406" t="str" cm="1">
        <f t="array" ref="U229">IF(AND(SUMPRODUCT((IM!$F$2:$F$5000=A229)*(ISNUMBER(SEARCH(勤務統計!$F$1, IM!$AC$2:$AC$5000))))&gt;0), 勤務統計!$F$1, "")</f>
        <v/>
      </c>
      <c r="V229" s="405" t="str">
        <f t="array" ref="V229">IFERROR(INDEX(IM!$AM$2:$AM$5000, MATCH(1, (IM!$F$2:$F$5000=A229) * (ISNUMBER(SEARCH(勤務統計!$F$1, IM!$AC$2:$AC$5000))), 0)), "")</f>
        <v/>
      </c>
      <c r="W229" s="436" t="str">
        <f>IF(VLOOKUP(A229,'0919門市清單主檔'!B:AC,28,FALSE)=0,"",VLOOKUP(A229,'0919門市清單主檔'!B:AC,28,FALSE))</f>
        <v/>
      </c>
    </row>
    <row r="230" spans="1:23" ht="21.6" customHeight="1">
      <c r="A230" s="409">
        <v>3977</v>
      </c>
      <c r="B230" s="409" t="str">
        <f>VLOOKUP(A230,'0919門市清單主檔'!B:C,2,FALSE)</f>
        <v>板橋玉川店</v>
      </c>
      <c r="C230" s="409" t="str">
        <f>VLOOKUP($A230,'0919門市清單主檔'!B:V,20,FALSE)</f>
        <v>新北市</v>
      </c>
      <c r="D230" s="409" t="str">
        <f>VLOOKUP($A230,'0919門市清單主檔'!B:V,21,FALSE)</f>
        <v>板橋區</v>
      </c>
      <c r="E230" s="397" t="str">
        <f>VLOOKUP(D230,門市狀態!G:H,2,FALSE)</f>
        <v>狄澤洋</v>
      </c>
      <c r="F230" s="409" t="str">
        <f>IFERROR(IF(VLOOKUP(A230,門市狀態!A:D,4,FALSE)=0,"",VLOOKUP(A230,門市狀態!A:D,4,FALSE)),"")</f>
        <v/>
      </c>
      <c r="G230" s="409"/>
      <c r="H230" s="411" t="str">
        <f>IF(I230&gt;0,(TEXT(I230,"yyyymmdd")&amp;勤務統計!$V$2&amp;A230&amp;勤務統計!$V$2&amp;B230&amp;勤務統計!$S$2),"")</f>
        <v>-3977-板橋玉川店(定保)</v>
      </c>
      <c r="I230" s="247" t="str">
        <f t="array" ref="I230">IF(AND(SUMPRODUCT((IM!$F$2:$F$5000=A230)*(ISNUMBER(SEARCH(勤務統計!$C$1, IM!$AC$2:$AC$5000))))&gt;0), 勤務統計!$C$1, "")</f>
        <v/>
      </c>
      <c r="J230" s="399" t="str">
        <f t="array" ref="J230">IFERROR(INDEX(IM!$AM$2:$AM$5000, MATCH(1, (IM!$F$2:$F$5000=A230) * (ISNUMBER(SEARCH(勤務統計!$C$1, IM!$AC$2:$AC$5000))), 0)), "")</f>
        <v/>
      </c>
      <c r="K230" s="400">
        <f t="array" ref="K230">SUMPRODUCT((IM!$F$2:$F$5000=A230)*(IM!$AD$2:$AD$5000="O")*(ISNUMBER(SEARCH(勤務統計!$C$1, IM!$AC$2:$AC$5000))))</f>
        <v>0</v>
      </c>
      <c r="L230" s="401" t="str">
        <f t="array" ref="L230">IF(K230&gt;0,IFERROR(HYPERLINK("#'IM'!AC"&amp;MATCH(1,(IM!$F$1:$F$5000=A230)*(ISNUMBER(SEARCH(勤務統計!$C$1,IM!$AC$1:$AC$5000))),0),"檢核"),"未登錄"),"")</f>
        <v/>
      </c>
      <c r="M230" s="402" t="str">
        <f t="shared" si="3"/>
        <v>+L90</v>
      </c>
      <c r="N230" s="402" t="str">
        <f t="array" ref="N230">IF(AND(
    SUMPRODUCT(
        (IM!$F$2:$F$522=A230) *
        ISNUMBER(SEARCH("*HUB*", IM!$AC$2:$AC$522)) *
        (IM!$X$2:$X$522&gt;=勤務統計!$A$1) *
        (IM!$X$2:$X$522&lt;=勤務統計!$B$1)*(W230="HUB")
    ) &gt; 0
), "HUB", "")</f>
        <v/>
      </c>
      <c r="O230" s="400" t="str">
        <f>IF(
  IFERROR(VLOOKUP(A230,勤務統計!A:I,9,FALSE),"")&lt;&gt;勤務統計!$C$1,
  "未完工",
  IF(
    AND(勤務統計!$D$1="--",勤務統計!$E$1="--",勤務統計!$F$1="--"),
    "已完工",
    IF(
      OR(
        AND(勤務統計!$D$1&lt;&gt;"--", IFERROR(VLOOKUP(A230,'0919門市清單主檔'!B:AH,31,FALSE),"")=勤務統計!$D$1, IFERROR(VLOOKUP(A230,勤務統計!A:Q,17,FALSE),"")&lt;&gt;勤務統計!$D$1),
        AND(勤務統計!$E$1&lt;&gt;"--", IFERROR(VLOOKUP(A230,'0919門市清單主檔'!B:AH,32,FALSE),"")=勤務統計!$E$1, IFERROR(VLOOKUP(A230,勤務統計!A:S,19,FALSE),"")&lt;&gt;勤務統計!$E$1),
        AND(勤務統計!$F$1&lt;&gt;"--", IFERROR(VLOOKUP(A230,'0919門市清單主檔'!B:AH,33,FALSE),"")=勤務統計!$F$1, IFERROR(VLOOKUP(A230,勤務統計!A:U,21,FALSE),"")&lt;&gt;勤務統計!$F$1),
        AND(IFERROR(VLOOKUP(A230,'0919門市清單主檔'!B:AH,28,FALSE),"")="HUB", IFERROR(VLOOKUP(A230,勤務統計!A:W,23,FALSE),"")&lt;&gt;"HUB")
      ),
      _xlfn.TEXTJOIN(
        "，",
        TRUE,
        IF(AND(勤務統計!$D$1&lt;&gt;"--", IFERROR(VLOOKUP(A230,'0919門市清單主檔'!B:AH,31,FALSE),"")=勤務統計!$D$1, IFERROR(VLOOKUP(A230,勤務統計!A:Q,17,FALSE),"")&lt;&gt;勤務統計!$D$1), 勤務統計!$D$1, ""),
        IF(AND(勤務統計!$E$1&lt;&gt;"--", IFERROR(VLOOKUP(A230,'0919門市清單主檔'!B:AH,32,FALSE),"")=勤務統計!$E$1, IFERROR(VLOOKUP(A230,勤務統計!A:S,19,FALSE),"")&lt;&gt;勤務統計!$E$1), 勤務統計!$E$1, ""),
        IF(AND(勤務統計!$F$1&lt;&gt;"--", IFERROR(VLOOKUP(A230,'0919門市清單主檔'!B:AH,33,FALSE),"")=勤務統計!$F$1, IFERROR(VLOOKUP(A230,勤務統計!A:U,21,FALSE),"")&lt;&gt;勤務統計!$F$1), 勤務統計!$F$1, ""),
        IF(AND(IFERROR(VLOOKUP(A230,'0919門市清單主檔'!B:AH,28,FALSE),"")="HUB", IFERROR(VLOOKUP(A230,勤務統計!A:W,23,FALSE),"")&lt;&gt;"HUB"), "HUB", "")
      ) &amp; "未完工",
      "已完工"
    )
  )
)</f>
        <v>未完工</v>
      </c>
      <c r="P230" s="435" t="str">
        <f>(TEXT(I230,"yyyymmdd"))&amp;勤務統計!$V$2&amp;A230&amp;勤務統計!$V$2&amp;B230&amp;勤務統計!$S$2</f>
        <v>-3977-板橋玉川店(定保)</v>
      </c>
      <c r="Q230" s="404" t="str">
        <f t="array" ref="Q230">IF(AND(SUMPRODUCT((IM!$F$2:$F$5000=A230)*(ISNUMBER(SEARCH(勤務統計!$D$1, IM!$AC$2:$AC$5000))))&gt;0), 勤務統計!$D$1, "")</f>
        <v/>
      </c>
      <c r="R230" s="405" t="str">
        <f t="array" ref="R230">IFERROR(INDEX(IM!$AM$2:$AM$5000, MATCH(1, (IM!$F$2:$F$5000=A230) * (ISNUMBER(SEARCH(勤務統計!$D$1, IM!$AC$2:$AC$5000))), 0)), "")</f>
        <v/>
      </c>
      <c r="S230" s="406" t="str" cm="1">
        <f t="array" ref="S230">IF(AND(SUMPRODUCT((IM!$F$2:$F$5000=A230)*(ISNUMBER(SEARCH(勤務統計!$E$1, IM!$AC$2:$AC$5000))))&gt;0), 勤務統計!$E$1, "")</f>
        <v>+L90</v>
      </c>
      <c r="T230" s="405">
        <f t="array" ref="T230">IFERROR(INDEX(IM!$AM$2:$AM$5000, MATCH(1, (IM!$F$2:$F$5000=A230) * (ISNUMBER(SEARCH(勤務統計!$E$1, IM!$AC$2:$AC$5000))), 0)), "")</f>
        <v>46017</v>
      </c>
      <c r="U230" s="406" t="str" cm="1">
        <f t="array" ref="U230">IF(AND(SUMPRODUCT((IM!$F$2:$F$5000=A230)*(ISNUMBER(SEARCH(勤務統計!$F$1, IM!$AC$2:$AC$5000))))&gt;0), 勤務統計!$F$1, "")</f>
        <v/>
      </c>
      <c r="V230" s="405" t="str">
        <f t="array" ref="V230">IFERROR(INDEX(IM!$AM$2:$AM$5000, MATCH(1, (IM!$F$2:$F$5000=A230) * (ISNUMBER(SEARCH(勤務統計!$F$1, IM!$AC$2:$AC$5000))), 0)), "")</f>
        <v/>
      </c>
      <c r="W230" s="436" t="str">
        <f>IF(VLOOKUP(A230,'0919門市清單主檔'!B:AC,28,FALSE)=0,"",VLOOKUP(A230,'0919門市清單主檔'!B:AC,28,FALSE))</f>
        <v/>
      </c>
    </row>
    <row r="231" spans="1:23" ht="21.6" customHeight="1">
      <c r="A231" s="409">
        <v>3416</v>
      </c>
      <c r="B231" s="409" t="str">
        <f>VLOOKUP(A231,'0919門市清單主檔'!B:C,2,FALSE)</f>
        <v>板橋國慶店</v>
      </c>
      <c r="C231" s="409" t="str">
        <f>VLOOKUP($A231,'0919門市清單主檔'!B:V,20,FALSE)</f>
        <v>新北市</v>
      </c>
      <c r="D231" s="409" t="str">
        <f>VLOOKUP($A231,'0919門市清單主檔'!B:V,21,FALSE)</f>
        <v>板橋區</v>
      </c>
      <c r="E231" s="397" t="str">
        <f>VLOOKUP(D231,門市狀態!G:H,2,FALSE)</f>
        <v>狄澤洋</v>
      </c>
      <c r="F231" s="409" t="str">
        <f>IFERROR(IF(VLOOKUP(A231,門市狀態!A:D,4,FALSE)=0,"",VLOOKUP(A231,門市狀態!A:D,4,FALSE)),"")</f>
        <v/>
      </c>
      <c r="G231" s="409"/>
      <c r="H231" s="411" t="str">
        <f>IF(I231&gt;0,(TEXT(I231,"yyyymmdd")&amp;勤務統計!$V$2&amp;A231&amp;勤務統計!$V$2&amp;B231&amp;勤務統計!$S$2),"")</f>
        <v>-3416-板橋國慶店(定保)</v>
      </c>
      <c r="I231" s="247" t="str">
        <f t="array" ref="I231">IF(AND(SUMPRODUCT((IM!$F$2:$F$5000=A231)*(ISNUMBER(SEARCH(勤務統計!$C$1, IM!$AC$2:$AC$5000))))&gt;0), 勤務統計!$C$1, "")</f>
        <v/>
      </c>
      <c r="J231" s="399" t="str">
        <f t="array" ref="J231">IFERROR(INDEX(IM!$AM$2:$AM$5000, MATCH(1, (IM!$F$2:$F$5000=A231) * (ISNUMBER(SEARCH(勤務統計!$C$1, IM!$AC$2:$AC$5000))), 0)), "")</f>
        <v/>
      </c>
      <c r="K231" s="400">
        <f t="array" ref="K231">SUMPRODUCT((IM!$F$2:$F$5000=A231)*(IM!$AD$2:$AD$5000="O")*(ISNUMBER(SEARCH(勤務統計!$C$1, IM!$AC$2:$AC$5000))))</f>
        <v>0</v>
      </c>
      <c r="L231" s="401" t="str">
        <f t="array" ref="L231">IF(K231&gt;0,IFERROR(HYPERLINK("#'IM'!AC"&amp;MATCH(1,(IM!$F$1:$F$5000=A231)*(ISNUMBER(SEARCH(勤務統計!$C$1,IM!$AC$1:$AC$5000))),0),"檢核"),"未登錄"),"")</f>
        <v/>
      </c>
      <c r="M231" s="402" t="str">
        <f t="shared" si="3"/>
        <v>+L90</v>
      </c>
      <c r="N231" s="402" t="str">
        <f t="array" ref="N231">IF(AND(
    SUMPRODUCT(
        (IM!$F$2:$F$522=A231) *
        ISNUMBER(SEARCH("*HUB*", IM!$AC$2:$AC$522)) *
        (IM!$X$2:$X$522&gt;=勤務統計!$A$1) *
        (IM!$X$2:$X$522&lt;=勤務統計!$B$1)*(W231="HUB")
    ) &gt; 0
), "HUB", "")</f>
        <v/>
      </c>
      <c r="O231" s="400" t="str">
        <f>IF(
  IFERROR(VLOOKUP(A231,勤務統計!A:I,9,FALSE),"")&lt;&gt;勤務統計!$C$1,
  "未完工",
  IF(
    AND(勤務統計!$D$1="--",勤務統計!$E$1="--",勤務統計!$F$1="--"),
    "已完工",
    IF(
      OR(
        AND(勤務統計!$D$1&lt;&gt;"--", IFERROR(VLOOKUP(A231,'0919門市清單主檔'!B:AH,31,FALSE),"")=勤務統計!$D$1, IFERROR(VLOOKUP(A231,勤務統計!A:Q,17,FALSE),"")&lt;&gt;勤務統計!$D$1),
        AND(勤務統計!$E$1&lt;&gt;"--", IFERROR(VLOOKUP(A231,'0919門市清單主檔'!B:AH,32,FALSE),"")=勤務統計!$E$1, IFERROR(VLOOKUP(A231,勤務統計!A:S,19,FALSE),"")&lt;&gt;勤務統計!$E$1),
        AND(勤務統計!$F$1&lt;&gt;"--", IFERROR(VLOOKUP(A231,'0919門市清單主檔'!B:AH,33,FALSE),"")=勤務統計!$F$1, IFERROR(VLOOKUP(A231,勤務統計!A:U,21,FALSE),"")&lt;&gt;勤務統計!$F$1),
        AND(IFERROR(VLOOKUP(A231,'0919門市清單主檔'!B:AH,28,FALSE),"")="HUB", IFERROR(VLOOKUP(A231,勤務統計!A:W,23,FALSE),"")&lt;&gt;"HUB")
      ),
      _xlfn.TEXTJOIN(
        "，",
        TRUE,
        IF(AND(勤務統計!$D$1&lt;&gt;"--", IFERROR(VLOOKUP(A231,'0919門市清單主檔'!B:AH,31,FALSE),"")=勤務統計!$D$1, IFERROR(VLOOKUP(A231,勤務統計!A:Q,17,FALSE),"")&lt;&gt;勤務統計!$D$1), 勤務統計!$D$1, ""),
        IF(AND(勤務統計!$E$1&lt;&gt;"--", IFERROR(VLOOKUP(A231,'0919門市清單主檔'!B:AH,32,FALSE),"")=勤務統計!$E$1, IFERROR(VLOOKUP(A231,勤務統計!A:S,19,FALSE),"")&lt;&gt;勤務統計!$E$1), 勤務統計!$E$1, ""),
        IF(AND(勤務統計!$F$1&lt;&gt;"--", IFERROR(VLOOKUP(A231,'0919門市清單主檔'!B:AH,33,FALSE),"")=勤務統計!$F$1, IFERROR(VLOOKUP(A231,勤務統計!A:U,21,FALSE),"")&lt;&gt;勤務統計!$F$1), 勤務統計!$F$1, ""),
        IF(AND(IFERROR(VLOOKUP(A231,'0919門市清單主檔'!B:AH,28,FALSE),"")="HUB", IFERROR(VLOOKUP(A231,勤務統計!A:W,23,FALSE),"")&lt;&gt;"HUB"), "HUB", "")
      ) &amp; "未完工",
      "已完工"
    )
  )
)</f>
        <v>未完工</v>
      </c>
      <c r="P231" s="435" t="str">
        <f>(TEXT(I231,"yyyymmdd"))&amp;勤務統計!$V$2&amp;A231&amp;勤務統計!$V$2&amp;B231&amp;勤務統計!$S$2</f>
        <v>-3416-板橋國慶店(定保)</v>
      </c>
      <c r="Q231" s="404" t="str">
        <f t="array" ref="Q231">IF(AND(SUMPRODUCT((IM!$F$2:$F$5000=A231)*(ISNUMBER(SEARCH(勤務統計!$D$1, IM!$AC$2:$AC$5000))))&gt;0), 勤務統計!$D$1, "")</f>
        <v/>
      </c>
      <c r="R231" s="405" t="str">
        <f t="array" ref="R231">IFERROR(INDEX(IM!$AM$2:$AM$5000, MATCH(1, (IM!$F$2:$F$5000=A231) * (ISNUMBER(SEARCH(勤務統計!$D$1, IM!$AC$2:$AC$5000))), 0)), "")</f>
        <v/>
      </c>
      <c r="S231" s="406" t="str" cm="1">
        <f t="array" ref="S231">IF(AND(SUMPRODUCT((IM!$F$2:$F$5000=A231)*(ISNUMBER(SEARCH(勤務統計!$E$1, IM!$AC$2:$AC$5000))))&gt;0), 勤務統計!$E$1, "")</f>
        <v>+L90</v>
      </c>
      <c r="T231" s="405">
        <f t="array" ref="T231">IFERROR(INDEX(IM!$AM$2:$AM$5000, MATCH(1, (IM!$F$2:$F$5000=A231) * (ISNUMBER(SEARCH(勤務統計!$E$1, IM!$AC$2:$AC$5000))), 0)), "")</f>
        <v>46017</v>
      </c>
      <c r="U231" s="406" t="str" cm="1">
        <f t="array" ref="U231">IF(AND(SUMPRODUCT((IM!$F$2:$F$5000=A231)*(ISNUMBER(SEARCH(勤務統計!$F$1, IM!$AC$2:$AC$5000))))&gt;0), 勤務統計!$F$1, "")</f>
        <v/>
      </c>
      <c r="V231" s="405" t="str">
        <f t="array" ref="V231">IFERROR(INDEX(IM!$AM$2:$AM$5000, MATCH(1, (IM!$F$2:$F$5000=A231) * (ISNUMBER(SEARCH(勤務統計!$F$1, IM!$AC$2:$AC$5000))), 0)), "")</f>
        <v/>
      </c>
      <c r="W231" s="436" t="str">
        <f>IF(VLOOKUP(A231,'0919門市清單主檔'!B:AC,28,FALSE)=0,"",VLOOKUP(A231,'0919門市清單主檔'!B:AC,28,FALSE))</f>
        <v/>
      </c>
    </row>
    <row r="232" spans="1:23" ht="21.6" customHeight="1">
      <c r="A232" s="409">
        <v>3752</v>
      </c>
      <c r="B232" s="409" t="str">
        <f>VLOOKUP(A232,'0919門市清單主檔'!B:C,2,FALSE)</f>
        <v>板橋豫章店</v>
      </c>
      <c r="C232" s="409" t="str">
        <f>VLOOKUP($A232,'0919門市清單主檔'!B:V,20,FALSE)</f>
        <v>新北市</v>
      </c>
      <c r="D232" s="409" t="str">
        <f>VLOOKUP($A232,'0919門市清單主檔'!B:V,21,FALSE)</f>
        <v>板橋區</v>
      </c>
      <c r="E232" s="397" t="str">
        <f>VLOOKUP(D232,門市狀態!G:H,2,FALSE)</f>
        <v>狄澤洋</v>
      </c>
      <c r="F232" s="409" t="str">
        <f>IFERROR(IF(VLOOKUP(A232,門市狀態!A:D,4,FALSE)=0,"",VLOOKUP(A232,門市狀態!A:D,4,FALSE)),"")</f>
        <v/>
      </c>
      <c r="G232" s="409" t="s">
        <v>66</v>
      </c>
      <c r="H232" s="411" t="str">
        <f>IF(I232&gt;0,(TEXT(I232,"yyyymmdd")&amp;勤務統計!$V$2&amp;A232&amp;勤務統計!$V$2&amp;B232&amp;勤務統計!$S$2),"")</f>
        <v>-3752-板橋豫章店(定保)</v>
      </c>
      <c r="I232" s="247" t="str">
        <f t="array" ref="I232">IF(AND(SUMPRODUCT((IM!$F$2:$F$5000=A232)*(ISNUMBER(SEARCH(勤務統計!$C$1, IM!$AC$2:$AC$5000))))&gt;0), 勤務統計!$C$1, "")</f>
        <v/>
      </c>
      <c r="J232" s="399" t="str">
        <f t="array" ref="J232">IFERROR(INDEX(IM!$AM$2:$AM$5000, MATCH(1, (IM!$F$2:$F$5000=A232) * (ISNUMBER(SEARCH(勤務統計!$C$1, IM!$AC$2:$AC$5000))), 0)), "")</f>
        <v/>
      </c>
      <c r="K232" s="400">
        <f t="array" ref="K232">SUMPRODUCT((IM!$F$2:$F$5000=A232)*(IM!$AD$2:$AD$5000="O")*(ISNUMBER(SEARCH(勤務統計!$C$1, IM!$AC$2:$AC$5000))))</f>
        <v>0</v>
      </c>
      <c r="L232" s="401" t="str">
        <f t="array" ref="L232">IF(K232&gt;0,IFERROR(HYPERLINK("#'IM'!AC"&amp;MATCH(1,(IM!$F$1:$F$5000=A232)*(ISNUMBER(SEARCH(勤務統計!$C$1,IM!$AC$1:$AC$5000))),0),"檢核"),"未登錄"),"")</f>
        <v/>
      </c>
      <c r="M232" s="402" t="str">
        <f t="shared" si="3"/>
        <v>+L90</v>
      </c>
      <c r="N232" s="402" t="str">
        <f t="array" ref="N232">IF(AND(
    SUMPRODUCT(
        (IM!$F$2:$F$522=A232) *
        ISNUMBER(SEARCH("*HUB*", IM!$AC$2:$AC$522)) *
        (IM!$X$2:$X$522&gt;=勤務統計!$A$1) *
        (IM!$X$2:$X$522&lt;=勤務統計!$B$1)*(W232="HUB")
    ) &gt; 0
), "HUB", "")</f>
        <v/>
      </c>
      <c r="O232" s="400" t="str">
        <f>IF(
  IFERROR(VLOOKUP(A232,勤務統計!A:I,9,FALSE),"")&lt;&gt;勤務統計!$C$1,
  "未完工",
  IF(
    AND(勤務統計!$D$1="--",勤務統計!$E$1="--",勤務統計!$F$1="--"),
    "已完工",
    IF(
      OR(
        AND(勤務統計!$D$1&lt;&gt;"--", IFERROR(VLOOKUP(A232,'0919門市清單主檔'!B:AH,31,FALSE),"")=勤務統計!$D$1, IFERROR(VLOOKUP(A232,勤務統計!A:Q,17,FALSE),"")&lt;&gt;勤務統計!$D$1),
        AND(勤務統計!$E$1&lt;&gt;"--", IFERROR(VLOOKUP(A232,'0919門市清單主檔'!B:AH,32,FALSE),"")=勤務統計!$E$1, IFERROR(VLOOKUP(A232,勤務統計!A:S,19,FALSE),"")&lt;&gt;勤務統計!$E$1),
        AND(勤務統計!$F$1&lt;&gt;"--", IFERROR(VLOOKUP(A232,'0919門市清單主檔'!B:AH,33,FALSE),"")=勤務統計!$F$1, IFERROR(VLOOKUP(A232,勤務統計!A:U,21,FALSE),"")&lt;&gt;勤務統計!$F$1),
        AND(IFERROR(VLOOKUP(A232,'0919門市清單主檔'!B:AH,28,FALSE),"")="HUB", IFERROR(VLOOKUP(A232,勤務統計!A:W,23,FALSE),"")&lt;&gt;"HUB")
      ),
      _xlfn.TEXTJOIN(
        "，",
        TRUE,
        IF(AND(勤務統計!$D$1&lt;&gt;"--", IFERROR(VLOOKUP(A232,'0919門市清單主檔'!B:AH,31,FALSE),"")=勤務統計!$D$1, IFERROR(VLOOKUP(A232,勤務統計!A:Q,17,FALSE),"")&lt;&gt;勤務統計!$D$1), 勤務統計!$D$1, ""),
        IF(AND(勤務統計!$E$1&lt;&gt;"--", IFERROR(VLOOKUP(A232,'0919門市清單主檔'!B:AH,32,FALSE),"")=勤務統計!$E$1, IFERROR(VLOOKUP(A232,勤務統計!A:S,19,FALSE),"")&lt;&gt;勤務統計!$E$1), 勤務統計!$E$1, ""),
        IF(AND(勤務統計!$F$1&lt;&gt;"--", IFERROR(VLOOKUP(A232,'0919門市清單主檔'!B:AH,33,FALSE),"")=勤務統計!$F$1, IFERROR(VLOOKUP(A232,勤務統計!A:U,21,FALSE),"")&lt;&gt;勤務統計!$F$1), 勤務統計!$F$1, ""),
        IF(AND(IFERROR(VLOOKUP(A232,'0919門市清單主檔'!B:AH,28,FALSE),"")="HUB", IFERROR(VLOOKUP(A232,勤務統計!A:W,23,FALSE),"")&lt;&gt;"HUB"), "HUB", "")
      ) &amp; "未完工",
      "已完工"
    )
  )
)</f>
        <v>未完工</v>
      </c>
      <c r="P232" s="435" t="str">
        <f>(TEXT(I232,"yyyymmdd"))&amp;勤務統計!$V$2&amp;A232&amp;勤務統計!$V$2&amp;B232&amp;勤務統計!$S$2</f>
        <v>-3752-板橋豫章店(定保)</v>
      </c>
      <c r="Q232" s="404" t="str">
        <f t="array" ref="Q232">IF(AND(SUMPRODUCT((IM!$F$2:$F$5000=A232)*(ISNUMBER(SEARCH(勤務統計!$D$1, IM!$AC$2:$AC$5000))))&gt;0), 勤務統計!$D$1, "")</f>
        <v/>
      </c>
      <c r="R232" s="405" t="str">
        <f t="array" ref="R232">IFERROR(INDEX(IM!$AM$2:$AM$5000, MATCH(1, (IM!$F$2:$F$5000=A232) * (ISNUMBER(SEARCH(勤務統計!$D$1, IM!$AC$2:$AC$5000))), 0)), "")</f>
        <v/>
      </c>
      <c r="S232" s="406" t="str" cm="1">
        <f t="array" ref="S232">IF(AND(SUMPRODUCT((IM!$F$2:$F$5000=A232)*(ISNUMBER(SEARCH(勤務統計!$E$1, IM!$AC$2:$AC$5000))))&gt;0), 勤務統計!$E$1, "")</f>
        <v>+L90</v>
      </c>
      <c r="T232" s="405">
        <f t="array" ref="T232">IFERROR(INDEX(IM!$AM$2:$AM$5000, MATCH(1, (IM!$F$2:$F$5000=A232) * (ISNUMBER(SEARCH(勤務統計!$E$1, IM!$AC$2:$AC$5000))), 0)), "")</f>
        <v>46017</v>
      </c>
      <c r="U232" s="406" t="str" cm="1">
        <f t="array" ref="U232">IF(AND(SUMPRODUCT((IM!$F$2:$F$5000=A232)*(ISNUMBER(SEARCH(勤務統計!$F$1, IM!$AC$2:$AC$5000))))&gt;0), 勤務統計!$F$1, "")</f>
        <v/>
      </c>
      <c r="V232" s="405" t="str">
        <f t="array" ref="V232">IFERROR(INDEX(IM!$AM$2:$AM$5000, MATCH(1, (IM!$F$2:$F$5000=A232) * (ISNUMBER(SEARCH(勤務統計!$F$1, IM!$AC$2:$AC$5000))), 0)), "")</f>
        <v/>
      </c>
      <c r="W232" s="436" t="str">
        <f>IF(VLOOKUP(A232,'0919門市清單主檔'!B:AC,28,FALSE)=0,"",VLOOKUP(A232,'0919門市清單主檔'!B:AC,28,FALSE))</f>
        <v/>
      </c>
    </row>
    <row r="233" spans="1:23" ht="21.6" customHeight="1">
      <c r="A233" s="409">
        <v>2535</v>
      </c>
      <c r="B233" s="409" t="str">
        <f>VLOOKUP(A233,'0919門市清單主檔'!B:C,2,FALSE)</f>
        <v>五股五工店</v>
      </c>
      <c r="C233" s="409" t="str">
        <f>VLOOKUP($A233,'0919門市清單主檔'!B:V,20,FALSE)</f>
        <v>新北市</v>
      </c>
      <c r="D233" s="409" t="str">
        <f>VLOOKUP($A233,'0919門市清單主檔'!B:V,21,FALSE)</f>
        <v>五股區</v>
      </c>
      <c r="E233" s="397" t="str">
        <f>VLOOKUP(D233,門市狀態!G:H,2,FALSE)</f>
        <v>湯家瑋</v>
      </c>
      <c r="F233" s="409" t="str">
        <f>IFERROR(IF(VLOOKUP(A233,門市狀態!A:D,4,FALSE)=0,"",VLOOKUP(A233,門市狀態!A:D,4,FALSE)),"")</f>
        <v/>
      </c>
      <c r="G233" s="409"/>
      <c r="H233" s="411" t="str">
        <f>IF(I233&gt;0,(TEXT(I233,"yyyymmdd")&amp;勤務統計!$V$2&amp;A233&amp;勤務統計!$V$2&amp;B233&amp;勤務統計!$S$2),"")</f>
        <v>-2535-五股五工店(定保)</v>
      </c>
      <c r="I233" s="247" t="str">
        <f t="array" ref="I233">IF(AND(SUMPRODUCT((IM!$F$2:$F$5000=A233)*(ISNUMBER(SEARCH(勤務統計!$C$1, IM!$AC$2:$AC$5000))))&gt;0), 勤務統計!$C$1, "")</f>
        <v/>
      </c>
      <c r="J233" s="399" t="str">
        <f t="array" ref="J233">IFERROR(INDEX(IM!$AM$2:$AM$5000, MATCH(1, (IM!$F$2:$F$5000=A233) * (ISNUMBER(SEARCH(勤務統計!$C$1, IM!$AC$2:$AC$5000))), 0)), "")</f>
        <v/>
      </c>
      <c r="K233" s="400">
        <f t="array" ref="K233">SUMPRODUCT((IM!$F$2:$F$5000=A233)*(IM!$AD$2:$AD$5000="O")*(ISNUMBER(SEARCH(勤務統計!$C$1, IM!$AC$2:$AC$5000))))</f>
        <v>0</v>
      </c>
      <c r="L233" s="401" t="str">
        <f t="array" ref="L233">IF(K233&gt;0,IFERROR(HYPERLINK("#'IM'!AC"&amp;MATCH(1,(IM!$F$1:$F$5000=A233)*(ISNUMBER(SEARCH(勤務統計!$C$1,IM!$AC$1:$AC$5000))),0),"檢核"),"未登錄"),"")</f>
        <v/>
      </c>
      <c r="M233" s="402" t="str">
        <f t="shared" si="3"/>
        <v>+L90</v>
      </c>
      <c r="N233" s="402" t="str">
        <f t="array" ref="N233">IF(AND(
    SUMPRODUCT(
        (IM!$F$2:$F$522=A233) *
        ISNUMBER(SEARCH("*HUB*", IM!$AC$2:$AC$522)) *
        (IM!$X$2:$X$522&gt;=勤務統計!$A$1) *
        (IM!$X$2:$X$522&lt;=勤務統計!$B$1)*(W233="HUB")
    ) &gt; 0
), "HUB", "")</f>
        <v/>
      </c>
      <c r="O233" s="400" t="str">
        <f>IF(
  IFERROR(VLOOKUP(A233,勤務統計!A:I,9,FALSE),"")&lt;&gt;勤務統計!$C$1,
  "未完工",
  IF(
    AND(勤務統計!$D$1="--",勤務統計!$E$1="--",勤務統計!$F$1="--"),
    "已完工",
    IF(
      OR(
        AND(勤務統計!$D$1&lt;&gt;"--", IFERROR(VLOOKUP(A233,'0919門市清單主檔'!B:AH,31,FALSE),"")=勤務統計!$D$1, IFERROR(VLOOKUP(A233,勤務統計!A:Q,17,FALSE),"")&lt;&gt;勤務統計!$D$1),
        AND(勤務統計!$E$1&lt;&gt;"--", IFERROR(VLOOKUP(A233,'0919門市清單主檔'!B:AH,32,FALSE),"")=勤務統計!$E$1, IFERROR(VLOOKUP(A233,勤務統計!A:S,19,FALSE),"")&lt;&gt;勤務統計!$E$1),
        AND(勤務統計!$F$1&lt;&gt;"--", IFERROR(VLOOKUP(A233,'0919門市清單主檔'!B:AH,33,FALSE),"")=勤務統計!$F$1, IFERROR(VLOOKUP(A233,勤務統計!A:U,21,FALSE),"")&lt;&gt;勤務統計!$F$1),
        AND(IFERROR(VLOOKUP(A233,'0919門市清單主檔'!B:AH,28,FALSE),"")="HUB", IFERROR(VLOOKUP(A233,勤務統計!A:W,23,FALSE),"")&lt;&gt;"HUB")
      ),
      _xlfn.TEXTJOIN(
        "，",
        TRUE,
        IF(AND(勤務統計!$D$1&lt;&gt;"--", IFERROR(VLOOKUP(A233,'0919門市清單主檔'!B:AH,31,FALSE),"")=勤務統計!$D$1, IFERROR(VLOOKUP(A233,勤務統計!A:Q,17,FALSE),"")&lt;&gt;勤務統計!$D$1), 勤務統計!$D$1, ""),
        IF(AND(勤務統計!$E$1&lt;&gt;"--", IFERROR(VLOOKUP(A233,'0919門市清單主檔'!B:AH,32,FALSE),"")=勤務統計!$E$1, IFERROR(VLOOKUP(A233,勤務統計!A:S,19,FALSE),"")&lt;&gt;勤務統計!$E$1), 勤務統計!$E$1, ""),
        IF(AND(勤務統計!$F$1&lt;&gt;"--", IFERROR(VLOOKUP(A233,'0919門市清單主檔'!B:AH,33,FALSE),"")=勤務統計!$F$1, IFERROR(VLOOKUP(A233,勤務統計!A:U,21,FALSE),"")&lt;&gt;勤務統計!$F$1), 勤務統計!$F$1, ""),
        IF(AND(IFERROR(VLOOKUP(A233,'0919門市清單主檔'!B:AH,28,FALSE),"")="HUB", IFERROR(VLOOKUP(A233,勤務統計!A:W,23,FALSE),"")&lt;&gt;"HUB"), "HUB", "")
      ) &amp; "未完工",
      "已完工"
    )
  )
)</f>
        <v>未完工</v>
      </c>
      <c r="P233" s="435" t="str">
        <f>(TEXT(I233,"yyyymmdd"))&amp;勤務統計!$V$2&amp;A233&amp;勤務統計!$V$2&amp;B233&amp;勤務統計!$S$2</f>
        <v>-2535-五股五工店(定保)</v>
      </c>
      <c r="Q233" s="404" t="str">
        <f t="array" ref="Q233">IF(AND(SUMPRODUCT((IM!$F$2:$F$5000=A233)*(ISNUMBER(SEARCH(勤務統計!$D$1, IM!$AC$2:$AC$5000))))&gt;0), 勤務統計!$D$1, "")</f>
        <v/>
      </c>
      <c r="R233" s="405" t="str">
        <f t="array" ref="R233">IFERROR(INDEX(IM!$AM$2:$AM$5000, MATCH(1, (IM!$F$2:$F$5000=A233) * (ISNUMBER(SEARCH(勤務統計!$D$1, IM!$AC$2:$AC$5000))), 0)), "")</f>
        <v/>
      </c>
      <c r="S233" s="406" t="str" cm="1">
        <f t="array" ref="S233">IF(AND(SUMPRODUCT((IM!$F$2:$F$5000=A233)*(ISNUMBER(SEARCH(勤務統計!$E$1, IM!$AC$2:$AC$5000))))&gt;0), 勤務統計!$E$1, "")</f>
        <v>+L90</v>
      </c>
      <c r="T233" s="405">
        <f t="array" ref="T233">IFERROR(INDEX(IM!$AM$2:$AM$5000, MATCH(1, (IM!$F$2:$F$5000=A233) * (ISNUMBER(SEARCH(勤務統計!$E$1, IM!$AC$2:$AC$5000))), 0)), "")</f>
        <v>46017</v>
      </c>
      <c r="U233" s="406" t="str" cm="1">
        <f t="array" ref="U233">IF(AND(SUMPRODUCT((IM!$F$2:$F$5000=A233)*(ISNUMBER(SEARCH(勤務統計!$F$1, IM!$AC$2:$AC$5000))))&gt;0), 勤務統計!$F$1, "")</f>
        <v/>
      </c>
      <c r="V233" s="405" t="str">
        <f t="array" ref="V233">IFERROR(INDEX(IM!$AM$2:$AM$5000, MATCH(1, (IM!$F$2:$F$5000=A233) * (ISNUMBER(SEARCH(勤務統計!$F$1, IM!$AC$2:$AC$5000))), 0)), "")</f>
        <v/>
      </c>
      <c r="W233" s="436" t="str">
        <f>IF(VLOOKUP(A233,'0919門市清單主檔'!B:AC,28,FALSE)=0,"",VLOOKUP(A233,'0919門市清單主檔'!B:AC,28,FALSE))</f>
        <v/>
      </c>
    </row>
    <row r="234" spans="1:23" ht="21.6" customHeight="1">
      <c r="A234" s="409" t="s">
        <v>80</v>
      </c>
      <c r="B234" s="409" t="str">
        <f>VLOOKUP(A234,'0919門市清單主檔'!B:C,2,FALSE)</f>
        <v>五股訓練教室</v>
      </c>
      <c r="C234" s="409" t="str">
        <f>VLOOKUP($A234,'0919門市清單主檔'!B:V,20,FALSE)</f>
        <v>新北市</v>
      </c>
      <c r="D234" s="409" t="str">
        <f>VLOOKUP($A234,'0919門市清單主檔'!B:V,21,FALSE)</f>
        <v>五股區</v>
      </c>
      <c r="E234" s="397" t="str">
        <f>VLOOKUP(D234,門市狀態!G:H,2,FALSE)</f>
        <v>湯家瑋</v>
      </c>
      <c r="F234" s="409" t="str">
        <f>IFERROR(IF(VLOOKUP(A234,門市狀態!A:D,4,FALSE)=0,"",VLOOKUP(A234,門市狀態!A:D,4,FALSE)),"")</f>
        <v/>
      </c>
      <c r="G234" s="409" t="s">
        <v>81</v>
      </c>
      <c r="H234" s="411" t="str">
        <f>IF(I234&gt;0,(TEXT(I234,"yyyymmdd")&amp;勤務統計!$V$2&amp;A234&amp;勤務統計!$V$2&amp;B234&amp;勤務統計!$S$2),"")</f>
        <v>-TT01-五股訓練教室(定保)</v>
      </c>
      <c r="I234" s="247" t="str">
        <f t="array" ref="I234">IF(AND(SUMPRODUCT((IM!$F$2:$F$5000=A234)*(ISNUMBER(SEARCH(勤務統計!$C$1, IM!$AC$2:$AC$5000))))&gt;0), 勤務統計!$C$1, "")</f>
        <v/>
      </c>
      <c r="J234" s="399" t="str">
        <f t="array" ref="J234">IFERROR(INDEX(IM!$AM$2:$AM$5000, MATCH(1, (IM!$F$2:$F$5000=A234) * (ISNUMBER(SEARCH(勤務統計!$C$1, IM!$AC$2:$AC$5000))), 0)), "")</f>
        <v/>
      </c>
      <c r="K234" s="400">
        <f t="array" ref="K234">SUMPRODUCT((IM!$F$2:$F$5000=A234)*(IM!$AD$2:$AD$5000="O")*(ISNUMBER(SEARCH(勤務統計!$C$1, IM!$AC$2:$AC$5000))))</f>
        <v>0</v>
      </c>
      <c r="L234" s="401" t="str">
        <f t="array" ref="L234">IF(K234&gt;0,IFERROR(HYPERLINK("#'IM'!AC"&amp;MATCH(1,(IM!$F$1:$F$5000=A234)*(ISNUMBER(SEARCH(勤務統計!$C$1,IM!$AC$1:$AC$5000))),0),"檢核"),"未登錄"),"")</f>
        <v/>
      </c>
      <c r="M234" s="402" t="str">
        <f t="shared" si="3"/>
        <v/>
      </c>
      <c r="N234" s="402" t="str">
        <f t="array" ref="N234">IF(AND(
    SUMPRODUCT(
        (IM!$F$2:$F$522=A234) *
        ISNUMBER(SEARCH("*HUB*", IM!$AC$2:$AC$522)) *
        (IM!$X$2:$X$522&gt;=勤務統計!$A$1) *
        (IM!$X$2:$X$522&lt;=勤務統計!$B$1)*(W234="HUB")
    ) &gt; 0
), "HUB", "")</f>
        <v/>
      </c>
      <c r="O234" s="400" t="str">
        <f>IF(
  IFERROR(VLOOKUP(A234,勤務統計!A:I,9,FALSE),"")&lt;&gt;勤務統計!$C$1,
  "未完工",
  IF(
    AND(勤務統計!$D$1="--",勤務統計!$E$1="--",勤務統計!$F$1="--"),
    "已完工",
    IF(
      OR(
        AND(勤務統計!$D$1&lt;&gt;"--", IFERROR(VLOOKUP(A234,'0919門市清單主檔'!B:AH,31,FALSE),"")=勤務統計!$D$1, IFERROR(VLOOKUP(A234,勤務統計!A:Q,17,FALSE),"")&lt;&gt;勤務統計!$D$1),
        AND(勤務統計!$E$1&lt;&gt;"--", IFERROR(VLOOKUP(A234,'0919門市清單主檔'!B:AH,32,FALSE),"")=勤務統計!$E$1, IFERROR(VLOOKUP(A234,勤務統計!A:S,19,FALSE),"")&lt;&gt;勤務統計!$E$1),
        AND(勤務統計!$F$1&lt;&gt;"--", IFERROR(VLOOKUP(A234,'0919門市清單主檔'!B:AH,33,FALSE),"")=勤務統計!$F$1, IFERROR(VLOOKUP(A234,勤務統計!A:U,21,FALSE),"")&lt;&gt;勤務統計!$F$1),
        AND(IFERROR(VLOOKUP(A234,'0919門市清單主檔'!B:AH,28,FALSE),"")="HUB", IFERROR(VLOOKUP(A234,勤務統計!A:W,23,FALSE),"")&lt;&gt;"HUB")
      ),
      _xlfn.TEXTJOIN(
        "，",
        TRUE,
        IF(AND(勤務統計!$D$1&lt;&gt;"--", IFERROR(VLOOKUP(A234,'0919門市清單主檔'!B:AH,31,FALSE),"")=勤務統計!$D$1, IFERROR(VLOOKUP(A234,勤務統計!A:Q,17,FALSE),"")&lt;&gt;勤務統計!$D$1), 勤務統計!$D$1, ""),
        IF(AND(勤務統計!$E$1&lt;&gt;"--", IFERROR(VLOOKUP(A234,'0919門市清單主檔'!B:AH,32,FALSE),"")=勤務統計!$E$1, IFERROR(VLOOKUP(A234,勤務統計!A:S,19,FALSE),"")&lt;&gt;勤務統計!$E$1), 勤務統計!$E$1, ""),
        IF(AND(勤務統計!$F$1&lt;&gt;"--", IFERROR(VLOOKUP(A234,'0919門市清單主檔'!B:AH,33,FALSE),"")=勤務統計!$F$1, IFERROR(VLOOKUP(A234,勤務統計!A:U,21,FALSE),"")&lt;&gt;勤務統計!$F$1), 勤務統計!$F$1, ""),
        IF(AND(IFERROR(VLOOKUP(A234,'0919門市清單主檔'!B:AH,28,FALSE),"")="HUB", IFERROR(VLOOKUP(A234,勤務統計!A:W,23,FALSE),"")&lt;&gt;"HUB"), "HUB", "")
      ) &amp; "未完工",
      "已完工"
    )
  )
)</f>
        <v>未完工</v>
      </c>
      <c r="P234" s="435" t="str">
        <f>(TEXT(I234,"yyyymmdd"))&amp;勤務統計!$V$2&amp;A234&amp;勤務統計!$V$2&amp;B234&amp;勤務統計!$S$2</f>
        <v>-TT01-五股訓練教室(定保)</v>
      </c>
      <c r="Q234" s="404" t="str">
        <f t="array" ref="Q234">IF(AND(SUMPRODUCT((IM!$F$2:$F$5000=A234)*(ISNUMBER(SEARCH(勤務統計!$D$1, IM!$AC$2:$AC$5000))))&gt;0), 勤務統計!$D$1, "")</f>
        <v/>
      </c>
      <c r="R234" s="405" t="str">
        <f t="array" ref="R234">IFERROR(INDEX(IM!$AM$2:$AM$5000, MATCH(1, (IM!$F$2:$F$5000=A234) * (ISNUMBER(SEARCH(勤務統計!$D$1, IM!$AC$2:$AC$5000))), 0)), "")</f>
        <v/>
      </c>
      <c r="S234" s="406" t="str" cm="1">
        <f t="array" ref="S234">IF(AND(SUMPRODUCT((IM!$F$2:$F$5000=A234)*(ISNUMBER(SEARCH(勤務統計!$E$1, IM!$AC$2:$AC$5000))))&gt;0), 勤務統計!$E$1, "")</f>
        <v/>
      </c>
      <c r="T234" s="405" t="str">
        <f t="array" ref="T234">IFERROR(INDEX(IM!$AM$2:$AM$5000, MATCH(1, (IM!$F$2:$F$5000=A234) * (ISNUMBER(SEARCH(勤務統計!$E$1, IM!$AC$2:$AC$5000))), 0)), "")</f>
        <v/>
      </c>
      <c r="U234" s="406" t="str" cm="1">
        <f t="array" ref="U234">IF(AND(SUMPRODUCT((IM!$F$2:$F$5000=A234)*(ISNUMBER(SEARCH(勤務統計!$F$1, IM!$AC$2:$AC$5000))))&gt;0), 勤務統計!$F$1, "")</f>
        <v/>
      </c>
      <c r="V234" s="405" t="str">
        <f t="array" ref="V234">IFERROR(INDEX(IM!$AM$2:$AM$5000, MATCH(1, (IM!$F$2:$F$5000=A234) * (ISNUMBER(SEARCH(勤務統計!$F$1, IM!$AC$2:$AC$5000))), 0)), "")</f>
        <v/>
      </c>
      <c r="W234" s="436" t="str">
        <f>IF(VLOOKUP(A234,'0919門市清單主檔'!B:AC,28,FALSE)=0,"",VLOOKUP(A234,'0919門市清單主檔'!B:AC,28,FALSE))</f>
        <v/>
      </c>
    </row>
    <row r="235" spans="1:23" ht="21.6" customHeight="1">
      <c r="A235" s="409">
        <v>3965</v>
      </c>
      <c r="B235" s="409" t="str">
        <f>VLOOKUP(A235,'0919門市清單主檔'!B:C,2,FALSE)</f>
        <v>板橋民治店</v>
      </c>
      <c r="C235" s="409" t="str">
        <f>VLOOKUP($A235,'0919門市清單主檔'!B:V,20,FALSE)</f>
        <v>新北市</v>
      </c>
      <c r="D235" s="409" t="str">
        <f>VLOOKUP($A235,'0919門市清單主檔'!B:V,21,FALSE)</f>
        <v>板橋區</v>
      </c>
      <c r="E235" s="397" t="str">
        <f>VLOOKUP(D235,門市狀態!G:H,2,FALSE)</f>
        <v>狄澤洋</v>
      </c>
      <c r="F235" s="409" t="str">
        <f>IFERROR(IF(VLOOKUP(A235,門市狀態!A:D,4,FALSE)=0,"",VLOOKUP(A235,門市狀態!A:D,4,FALSE)),"")</f>
        <v/>
      </c>
      <c r="G235" s="409"/>
      <c r="H235" s="411" t="str">
        <f>IF(I235&gt;0,(TEXT(I235,"yyyymmdd")&amp;勤務統計!$V$2&amp;A235&amp;勤務統計!$V$2&amp;B235&amp;勤務統計!$S$2),"")</f>
        <v>-3965-板橋民治店(定保)</v>
      </c>
      <c r="I235" s="247" t="str">
        <f t="array" ref="I235">IF(AND(SUMPRODUCT((IM!$F$2:$F$5000=A235)*(ISNUMBER(SEARCH(勤務統計!$C$1, IM!$AC$2:$AC$5000))))&gt;0), 勤務統計!$C$1, "")</f>
        <v/>
      </c>
      <c r="J235" s="399" t="str">
        <f t="array" ref="J235">IFERROR(INDEX(IM!$AM$2:$AM$5000, MATCH(1, (IM!$F$2:$F$5000=A235) * (ISNUMBER(SEARCH(勤務統計!$C$1, IM!$AC$2:$AC$5000))), 0)), "")</f>
        <v/>
      </c>
      <c r="K235" s="400">
        <f t="array" ref="K235">SUMPRODUCT((IM!$F$2:$F$5000=A235)*(IM!$AD$2:$AD$5000="O")*(ISNUMBER(SEARCH(勤務統計!$C$1, IM!$AC$2:$AC$5000))))</f>
        <v>0</v>
      </c>
      <c r="L235" s="401" t="str">
        <f t="array" ref="L235">IF(K235&gt;0,IFERROR(HYPERLINK("#'IM'!AC"&amp;MATCH(1,(IM!$F$1:$F$5000=A235)*(ISNUMBER(SEARCH(勤務統計!$C$1,IM!$AC$1:$AC$5000))),0),"檢核"),"未登錄"),"")</f>
        <v/>
      </c>
      <c r="M235" s="402" t="str">
        <f t="shared" si="3"/>
        <v>+L90</v>
      </c>
      <c r="N235" s="402" t="str">
        <f t="array" ref="N235">IF(AND(
    SUMPRODUCT(
        (IM!$F$2:$F$522=A235) *
        ISNUMBER(SEARCH("*HUB*", IM!$AC$2:$AC$522)) *
        (IM!$X$2:$X$522&gt;=勤務統計!$A$1) *
        (IM!$X$2:$X$522&lt;=勤務統計!$B$1)*(W235="HUB")
    ) &gt; 0
), "HUB", "")</f>
        <v/>
      </c>
      <c r="O235" s="400" t="str">
        <f>IF(
  IFERROR(VLOOKUP(A235,勤務統計!A:I,9,FALSE),"")&lt;&gt;勤務統計!$C$1,
  "未完工",
  IF(
    AND(勤務統計!$D$1="--",勤務統計!$E$1="--",勤務統計!$F$1="--"),
    "已完工",
    IF(
      OR(
        AND(勤務統計!$D$1&lt;&gt;"--", IFERROR(VLOOKUP(A235,'0919門市清單主檔'!B:AH,31,FALSE),"")=勤務統計!$D$1, IFERROR(VLOOKUP(A235,勤務統計!A:Q,17,FALSE),"")&lt;&gt;勤務統計!$D$1),
        AND(勤務統計!$E$1&lt;&gt;"--", IFERROR(VLOOKUP(A235,'0919門市清單主檔'!B:AH,32,FALSE),"")=勤務統計!$E$1, IFERROR(VLOOKUP(A235,勤務統計!A:S,19,FALSE),"")&lt;&gt;勤務統計!$E$1),
        AND(勤務統計!$F$1&lt;&gt;"--", IFERROR(VLOOKUP(A235,'0919門市清單主檔'!B:AH,33,FALSE),"")=勤務統計!$F$1, IFERROR(VLOOKUP(A235,勤務統計!A:U,21,FALSE),"")&lt;&gt;勤務統計!$F$1),
        AND(IFERROR(VLOOKUP(A235,'0919門市清單主檔'!B:AH,28,FALSE),"")="HUB", IFERROR(VLOOKUP(A235,勤務統計!A:W,23,FALSE),"")&lt;&gt;"HUB")
      ),
      _xlfn.TEXTJOIN(
        "，",
        TRUE,
        IF(AND(勤務統計!$D$1&lt;&gt;"--", IFERROR(VLOOKUP(A235,'0919門市清單主檔'!B:AH,31,FALSE),"")=勤務統計!$D$1, IFERROR(VLOOKUP(A235,勤務統計!A:Q,17,FALSE),"")&lt;&gt;勤務統計!$D$1), 勤務統計!$D$1, ""),
        IF(AND(勤務統計!$E$1&lt;&gt;"--", IFERROR(VLOOKUP(A235,'0919門市清單主檔'!B:AH,32,FALSE),"")=勤務統計!$E$1, IFERROR(VLOOKUP(A235,勤務統計!A:S,19,FALSE),"")&lt;&gt;勤務統計!$E$1), 勤務統計!$E$1, ""),
        IF(AND(勤務統計!$F$1&lt;&gt;"--", IFERROR(VLOOKUP(A235,'0919門市清單主檔'!B:AH,33,FALSE),"")=勤務統計!$F$1, IFERROR(VLOOKUP(A235,勤務統計!A:U,21,FALSE),"")&lt;&gt;勤務統計!$F$1), 勤務統計!$F$1, ""),
        IF(AND(IFERROR(VLOOKUP(A235,'0919門市清單主檔'!B:AH,28,FALSE),"")="HUB", IFERROR(VLOOKUP(A235,勤務統計!A:W,23,FALSE),"")&lt;&gt;"HUB"), "HUB", "")
      ) &amp; "未完工",
      "已完工"
    )
  )
)</f>
        <v>未完工</v>
      </c>
      <c r="P235" s="435" t="str">
        <f>(TEXT(I235,"yyyymmdd"))&amp;勤務統計!$V$2&amp;A235&amp;勤務統計!$V$2&amp;B235&amp;勤務統計!$S$2</f>
        <v>-3965-板橋民治店(定保)</v>
      </c>
      <c r="Q235" s="404" t="str">
        <f t="array" ref="Q235">IF(AND(SUMPRODUCT((IM!$F$2:$F$5000=A235)*(ISNUMBER(SEARCH(勤務統計!$D$1, IM!$AC$2:$AC$5000))))&gt;0), 勤務統計!$D$1, "")</f>
        <v/>
      </c>
      <c r="R235" s="405" t="str">
        <f t="array" ref="R235">IFERROR(INDEX(IM!$AM$2:$AM$5000, MATCH(1, (IM!$F$2:$F$5000=A235) * (ISNUMBER(SEARCH(勤務統計!$D$1, IM!$AC$2:$AC$5000))), 0)), "")</f>
        <v/>
      </c>
      <c r="S235" s="406" t="str" cm="1">
        <f t="array" ref="S235">IF(AND(SUMPRODUCT((IM!$F$2:$F$5000=A235)*(ISNUMBER(SEARCH(勤務統計!$E$1, IM!$AC$2:$AC$5000))))&gt;0), 勤務統計!$E$1, "")</f>
        <v>+L90</v>
      </c>
      <c r="T235" s="405">
        <f t="array" ref="T235">IFERROR(INDEX(IM!$AM$2:$AM$5000, MATCH(1, (IM!$F$2:$F$5000=A235) * (ISNUMBER(SEARCH(勤務統計!$E$1, IM!$AC$2:$AC$5000))), 0)), "")</f>
        <v>46020</v>
      </c>
      <c r="U235" s="406" t="str" cm="1">
        <f t="array" ref="U235">IF(AND(SUMPRODUCT((IM!$F$2:$F$5000=A235)*(ISNUMBER(SEARCH(勤務統計!$F$1, IM!$AC$2:$AC$5000))))&gt;0), 勤務統計!$F$1, "")</f>
        <v/>
      </c>
      <c r="V235" s="405" t="str">
        <f t="array" ref="V235">IFERROR(INDEX(IM!$AM$2:$AM$5000, MATCH(1, (IM!$F$2:$F$5000=A235) * (ISNUMBER(SEARCH(勤務統計!$F$1, IM!$AC$2:$AC$5000))), 0)), "")</f>
        <v/>
      </c>
      <c r="W235" s="436" t="str">
        <f>IF(VLOOKUP(A235,'0919門市清單主檔'!B:AC,28,FALSE)=0,"",VLOOKUP(A235,'0919門市清單主檔'!B:AC,28,FALSE))</f>
        <v/>
      </c>
    </row>
    <row r="236" spans="1:23" ht="21.6" customHeight="1">
      <c r="A236" s="409">
        <v>4406</v>
      </c>
      <c r="B236" s="409" t="str">
        <f>VLOOKUP(A236,'0919門市清單主檔'!B:C,2,FALSE)</f>
        <v>板橋稚暉店</v>
      </c>
      <c r="C236" s="409" t="str">
        <f>VLOOKUP($A236,'0919門市清單主檔'!B:V,20,FALSE)</f>
        <v>新北市</v>
      </c>
      <c r="D236" s="409" t="str">
        <f>VLOOKUP($A236,'0919門市清單主檔'!B:V,21,FALSE)</f>
        <v>板橋區</v>
      </c>
      <c r="E236" s="397" t="str">
        <f>VLOOKUP(D236,門市狀態!G:H,2,FALSE)</f>
        <v>狄澤洋</v>
      </c>
      <c r="F236" s="409" t="str">
        <f>IFERROR(IF(VLOOKUP(A236,門市狀態!A:D,4,FALSE)=0,"",VLOOKUP(A236,門市狀態!A:D,4,FALSE)),"")</f>
        <v/>
      </c>
      <c r="G236" s="409"/>
      <c r="H236" s="411" t="str">
        <f>IF(I236&gt;0,(TEXT(I236,"yyyymmdd")&amp;勤務統計!$V$2&amp;A236&amp;勤務統計!$V$2&amp;B236&amp;勤務統計!$S$2),"")</f>
        <v>-4406-板橋稚暉店(定保)</v>
      </c>
      <c r="I236" s="247" t="str">
        <f t="array" ref="I236">IF(AND(SUMPRODUCT((IM!$F$2:$F$5000=A236)*(ISNUMBER(SEARCH(勤務統計!$C$1, IM!$AC$2:$AC$5000))))&gt;0), 勤務統計!$C$1, "")</f>
        <v/>
      </c>
      <c r="J236" s="399" t="str">
        <f t="array" ref="J236">IFERROR(INDEX(IM!$AM$2:$AM$5000, MATCH(1, (IM!$F$2:$F$5000=A236) * (ISNUMBER(SEARCH(勤務統計!$C$1, IM!$AC$2:$AC$5000))), 0)), "")</f>
        <v/>
      </c>
      <c r="K236" s="400">
        <f t="array" ref="K236">SUMPRODUCT((IM!$F$2:$F$5000=A236)*(IM!$AD$2:$AD$5000="O")*(ISNUMBER(SEARCH(勤務統計!$C$1, IM!$AC$2:$AC$5000))))</f>
        <v>0</v>
      </c>
      <c r="L236" s="401" t="str">
        <f t="array" ref="L236">IF(K236&gt;0,IFERROR(HYPERLINK("#'IM'!AC"&amp;MATCH(1,(IM!$F$1:$F$5000=A236)*(ISNUMBER(SEARCH(勤務統計!$C$1,IM!$AC$1:$AC$5000))),0),"檢核"),"未登錄"),"")</f>
        <v/>
      </c>
      <c r="M236" s="402" t="str">
        <f t="shared" si="3"/>
        <v>+L90</v>
      </c>
      <c r="N236" s="402" t="str">
        <f t="array" ref="N236">IF(AND(
    SUMPRODUCT(
        (IM!$F$2:$F$522=A236) *
        ISNUMBER(SEARCH("*HUB*", IM!$AC$2:$AC$522)) *
        (IM!$X$2:$X$522&gt;=勤務統計!$A$1) *
        (IM!$X$2:$X$522&lt;=勤務統計!$B$1)*(W236="HUB")
    ) &gt; 0
), "HUB", "")</f>
        <v/>
      </c>
      <c r="O236" s="400" t="str">
        <f>IF(
  IFERROR(VLOOKUP(A236,勤務統計!A:I,9,FALSE),"")&lt;&gt;勤務統計!$C$1,
  "未完工",
  IF(
    AND(勤務統計!$D$1="--",勤務統計!$E$1="--",勤務統計!$F$1="--"),
    "已完工",
    IF(
      OR(
        AND(勤務統計!$D$1&lt;&gt;"--", IFERROR(VLOOKUP(A236,'0919門市清單主檔'!B:AH,31,FALSE),"")=勤務統計!$D$1, IFERROR(VLOOKUP(A236,勤務統計!A:Q,17,FALSE),"")&lt;&gt;勤務統計!$D$1),
        AND(勤務統計!$E$1&lt;&gt;"--", IFERROR(VLOOKUP(A236,'0919門市清單主檔'!B:AH,32,FALSE),"")=勤務統計!$E$1, IFERROR(VLOOKUP(A236,勤務統計!A:S,19,FALSE),"")&lt;&gt;勤務統計!$E$1),
        AND(勤務統計!$F$1&lt;&gt;"--", IFERROR(VLOOKUP(A236,'0919門市清單主檔'!B:AH,33,FALSE),"")=勤務統計!$F$1, IFERROR(VLOOKUP(A236,勤務統計!A:U,21,FALSE),"")&lt;&gt;勤務統計!$F$1),
        AND(IFERROR(VLOOKUP(A236,'0919門市清單主檔'!B:AH,28,FALSE),"")="HUB", IFERROR(VLOOKUP(A236,勤務統計!A:W,23,FALSE),"")&lt;&gt;"HUB")
      ),
      _xlfn.TEXTJOIN(
        "，",
        TRUE,
        IF(AND(勤務統計!$D$1&lt;&gt;"--", IFERROR(VLOOKUP(A236,'0919門市清單主檔'!B:AH,31,FALSE),"")=勤務統計!$D$1, IFERROR(VLOOKUP(A236,勤務統計!A:Q,17,FALSE),"")&lt;&gt;勤務統計!$D$1), 勤務統計!$D$1, ""),
        IF(AND(勤務統計!$E$1&lt;&gt;"--", IFERROR(VLOOKUP(A236,'0919門市清單主檔'!B:AH,32,FALSE),"")=勤務統計!$E$1, IFERROR(VLOOKUP(A236,勤務統計!A:S,19,FALSE),"")&lt;&gt;勤務統計!$E$1), 勤務統計!$E$1, ""),
        IF(AND(勤務統計!$F$1&lt;&gt;"--", IFERROR(VLOOKUP(A236,'0919門市清單主檔'!B:AH,33,FALSE),"")=勤務統計!$F$1, IFERROR(VLOOKUP(A236,勤務統計!A:U,21,FALSE),"")&lt;&gt;勤務統計!$F$1), 勤務統計!$F$1, ""),
        IF(AND(IFERROR(VLOOKUP(A236,'0919門市清單主檔'!B:AH,28,FALSE),"")="HUB", IFERROR(VLOOKUP(A236,勤務統計!A:W,23,FALSE),"")&lt;&gt;"HUB"), "HUB", "")
      ) &amp; "未完工",
      "已完工"
    )
  )
)</f>
        <v>未完工</v>
      </c>
      <c r="P236" s="435" t="str">
        <f>(TEXT(I236,"yyyymmdd"))&amp;勤務統計!$V$2&amp;A236&amp;勤務統計!$V$2&amp;B236&amp;勤務統計!$S$2</f>
        <v>-4406-板橋稚暉店(定保)</v>
      </c>
      <c r="Q236" s="404" t="str">
        <f t="array" ref="Q236">IF(AND(SUMPRODUCT((IM!$F$2:$F$5000=A236)*(ISNUMBER(SEARCH(勤務統計!$D$1, IM!$AC$2:$AC$5000))))&gt;0), 勤務統計!$D$1, "")</f>
        <v/>
      </c>
      <c r="R236" s="405" t="str">
        <f t="array" ref="R236">IFERROR(INDEX(IM!$AM$2:$AM$5000, MATCH(1, (IM!$F$2:$F$5000=A236) * (ISNUMBER(SEARCH(勤務統計!$D$1, IM!$AC$2:$AC$5000))), 0)), "")</f>
        <v/>
      </c>
      <c r="S236" s="406" t="str" cm="1">
        <f t="array" ref="S236">IF(AND(SUMPRODUCT((IM!$F$2:$F$5000=A236)*(ISNUMBER(SEARCH(勤務統計!$E$1, IM!$AC$2:$AC$5000))))&gt;0), 勤務統計!$E$1, "")</f>
        <v>+L90</v>
      </c>
      <c r="T236" s="405">
        <f t="array" ref="T236">IFERROR(INDEX(IM!$AM$2:$AM$5000, MATCH(1, (IM!$F$2:$F$5000=A236) * (ISNUMBER(SEARCH(勤務統計!$E$1, IM!$AC$2:$AC$5000))), 0)), "")</f>
        <v>46020</v>
      </c>
      <c r="U236" s="406" t="str" cm="1">
        <f t="array" ref="U236">IF(AND(SUMPRODUCT((IM!$F$2:$F$5000=A236)*(ISNUMBER(SEARCH(勤務統計!$F$1, IM!$AC$2:$AC$5000))))&gt;0), 勤務統計!$F$1, "")</f>
        <v/>
      </c>
      <c r="V236" s="405" t="str">
        <f t="array" ref="V236">IFERROR(INDEX(IM!$AM$2:$AM$5000, MATCH(1, (IM!$F$2:$F$5000=A236) * (ISNUMBER(SEARCH(勤務統計!$F$1, IM!$AC$2:$AC$5000))), 0)), "")</f>
        <v/>
      </c>
      <c r="W236" s="436" t="str">
        <f>IF(VLOOKUP(A236,'0919門市清單主檔'!B:AC,28,FALSE)=0,"",VLOOKUP(A236,'0919門市清單主檔'!B:AC,28,FALSE))</f>
        <v/>
      </c>
    </row>
    <row r="237" spans="1:23" ht="21.6" customHeight="1">
      <c r="A237" s="409" t="s">
        <v>82</v>
      </c>
      <c r="B237" s="409" t="str">
        <f>VLOOKUP(A237,'0919門市清單主檔'!B:C,2,FALSE)</f>
        <v>板橋寶翠店</v>
      </c>
      <c r="C237" s="409" t="str">
        <f>VLOOKUP($A237,'0919門市清單主檔'!B:V,20,FALSE)</f>
        <v>新北市</v>
      </c>
      <c r="D237" s="409" t="str">
        <f>VLOOKUP($A237,'0919門市清單主檔'!B:V,21,FALSE)</f>
        <v>板橋區</v>
      </c>
      <c r="E237" s="397" t="str">
        <f>VLOOKUP(D237,門市狀態!G:H,2,FALSE)</f>
        <v>狄澤洋</v>
      </c>
      <c r="F237" s="409" t="str">
        <f>IFERROR(IF(VLOOKUP(A237,門市狀態!A:D,4,FALSE)=0,"",VLOOKUP(A237,門市狀態!A:D,4,FALSE)),"")</f>
        <v/>
      </c>
      <c r="G237" s="409"/>
      <c r="H237" s="411" t="str">
        <f>IF(I237&gt;0,(TEXT(I237,"yyyymmdd")&amp;勤務統計!$V$2&amp;A237&amp;勤務統計!$V$2&amp;B237&amp;勤務統計!$S$2),"")</f>
        <v>-D767-板橋寶翠店(定保)</v>
      </c>
      <c r="I237" s="247" t="str">
        <f t="array" ref="I237">IF(AND(SUMPRODUCT((IM!$F$2:$F$5000=A237)*(ISNUMBER(SEARCH(勤務統計!$C$1, IM!$AC$2:$AC$5000))))&gt;0), 勤務統計!$C$1, "")</f>
        <v/>
      </c>
      <c r="J237" s="399" t="str">
        <f t="array" ref="J237">IFERROR(INDEX(IM!$AM$2:$AM$5000, MATCH(1, (IM!$F$2:$F$5000=A237) * (ISNUMBER(SEARCH(勤務統計!$C$1, IM!$AC$2:$AC$5000))), 0)), "")</f>
        <v/>
      </c>
      <c r="K237" s="400">
        <f t="array" ref="K237">SUMPRODUCT((IM!$F$2:$F$5000=A237)*(IM!$AD$2:$AD$5000="O")*(ISNUMBER(SEARCH(勤務統計!$C$1, IM!$AC$2:$AC$5000))))</f>
        <v>0</v>
      </c>
      <c r="L237" s="401" t="str">
        <f t="array" ref="L237">IF(K237&gt;0,IFERROR(HYPERLINK("#'IM'!AC"&amp;MATCH(1,(IM!$F$1:$F$5000=A237)*(ISNUMBER(SEARCH(勤務統計!$C$1,IM!$AC$1:$AC$5000))),0),"檢核"),"未登錄"),"")</f>
        <v/>
      </c>
      <c r="M237" s="402" t="str">
        <f t="shared" si="3"/>
        <v>+L90</v>
      </c>
      <c r="N237" s="402" t="str">
        <f t="array" ref="N237">IF(AND(
    SUMPRODUCT(
        (IM!$F$2:$F$522=A237) *
        ISNUMBER(SEARCH("*HUB*", IM!$AC$2:$AC$522)) *
        (IM!$X$2:$X$522&gt;=勤務統計!$A$1) *
        (IM!$X$2:$X$522&lt;=勤務統計!$B$1)*(W237="HUB")
    ) &gt; 0
), "HUB", "")</f>
        <v/>
      </c>
      <c r="O237" s="400" t="str">
        <f>IF(
  IFERROR(VLOOKUP(A237,勤務統計!A:I,9,FALSE),"")&lt;&gt;勤務統計!$C$1,
  "未完工",
  IF(
    AND(勤務統計!$D$1="--",勤務統計!$E$1="--",勤務統計!$F$1="--"),
    "已完工",
    IF(
      OR(
        AND(勤務統計!$D$1&lt;&gt;"--", IFERROR(VLOOKUP(A237,'0919門市清單主檔'!B:AH,31,FALSE),"")=勤務統計!$D$1, IFERROR(VLOOKUP(A237,勤務統計!A:Q,17,FALSE),"")&lt;&gt;勤務統計!$D$1),
        AND(勤務統計!$E$1&lt;&gt;"--", IFERROR(VLOOKUP(A237,'0919門市清單主檔'!B:AH,32,FALSE),"")=勤務統計!$E$1, IFERROR(VLOOKUP(A237,勤務統計!A:S,19,FALSE),"")&lt;&gt;勤務統計!$E$1),
        AND(勤務統計!$F$1&lt;&gt;"--", IFERROR(VLOOKUP(A237,'0919門市清單主檔'!B:AH,33,FALSE),"")=勤務統計!$F$1, IFERROR(VLOOKUP(A237,勤務統計!A:U,21,FALSE),"")&lt;&gt;勤務統計!$F$1),
        AND(IFERROR(VLOOKUP(A237,'0919門市清單主檔'!B:AH,28,FALSE),"")="HUB", IFERROR(VLOOKUP(A237,勤務統計!A:W,23,FALSE),"")&lt;&gt;"HUB")
      ),
      _xlfn.TEXTJOIN(
        "，",
        TRUE,
        IF(AND(勤務統計!$D$1&lt;&gt;"--", IFERROR(VLOOKUP(A237,'0919門市清單主檔'!B:AH,31,FALSE),"")=勤務統計!$D$1, IFERROR(VLOOKUP(A237,勤務統計!A:Q,17,FALSE),"")&lt;&gt;勤務統計!$D$1), 勤務統計!$D$1, ""),
        IF(AND(勤務統計!$E$1&lt;&gt;"--", IFERROR(VLOOKUP(A237,'0919門市清單主檔'!B:AH,32,FALSE),"")=勤務統計!$E$1, IFERROR(VLOOKUP(A237,勤務統計!A:S,19,FALSE),"")&lt;&gt;勤務統計!$E$1), 勤務統計!$E$1, ""),
        IF(AND(勤務統計!$F$1&lt;&gt;"--", IFERROR(VLOOKUP(A237,'0919門市清單主檔'!B:AH,33,FALSE),"")=勤務統計!$F$1, IFERROR(VLOOKUP(A237,勤務統計!A:U,21,FALSE),"")&lt;&gt;勤務統計!$F$1), 勤務統計!$F$1, ""),
        IF(AND(IFERROR(VLOOKUP(A237,'0919門市清單主檔'!B:AH,28,FALSE),"")="HUB", IFERROR(VLOOKUP(A237,勤務統計!A:W,23,FALSE),"")&lt;&gt;"HUB"), "HUB", "")
      ) &amp; "未完工",
      "已完工"
    )
  )
)</f>
        <v>未完工</v>
      </c>
      <c r="P237" s="435" t="str">
        <f>(TEXT(I237,"yyyymmdd"))&amp;勤務統計!$V$2&amp;A237&amp;勤務統計!$V$2&amp;B237&amp;勤務統計!$S$2</f>
        <v>-D767-板橋寶翠店(定保)</v>
      </c>
      <c r="Q237" s="404" t="str">
        <f t="array" ref="Q237">IF(AND(SUMPRODUCT((IM!$F$2:$F$5000=A237)*(ISNUMBER(SEARCH(勤務統計!$D$1, IM!$AC$2:$AC$5000))))&gt;0), 勤務統計!$D$1, "")</f>
        <v/>
      </c>
      <c r="R237" s="405" t="str">
        <f t="array" ref="R237">IFERROR(INDEX(IM!$AM$2:$AM$5000, MATCH(1, (IM!$F$2:$F$5000=A237) * (ISNUMBER(SEARCH(勤務統計!$D$1, IM!$AC$2:$AC$5000))), 0)), "")</f>
        <v/>
      </c>
      <c r="S237" s="406" t="str" cm="1">
        <f t="array" ref="S237">IF(AND(SUMPRODUCT((IM!$F$2:$F$5000=A237)*(ISNUMBER(SEARCH(勤務統計!$E$1, IM!$AC$2:$AC$5000))))&gt;0), 勤務統計!$E$1, "")</f>
        <v>+L90</v>
      </c>
      <c r="T237" s="405">
        <f t="array" ref="T237">IFERROR(INDEX(IM!$AM$2:$AM$5000, MATCH(1, (IM!$F$2:$F$5000=A237) * (ISNUMBER(SEARCH(勤務統計!$E$1, IM!$AC$2:$AC$5000))), 0)), "")</f>
        <v>46020</v>
      </c>
      <c r="U237" s="406" t="str" cm="1">
        <f t="array" ref="U237">IF(AND(SUMPRODUCT((IM!$F$2:$F$5000=A237)*(ISNUMBER(SEARCH(勤務統計!$F$1, IM!$AC$2:$AC$5000))))&gt;0), 勤務統計!$F$1, "")</f>
        <v/>
      </c>
      <c r="V237" s="405" t="str">
        <f t="array" ref="V237">IFERROR(INDEX(IM!$AM$2:$AM$5000, MATCH(1, (IM!$F$2:$F$5000=A237) * (ISNUMBER(SEARCH(勤務統計!$F$1, IM!$AC$2:$AC$5000))), 0)), "")</f>
        <v/>
      </c>
      <c r="W237" s="436" t="str">
        <f>IF(VLOOKUP(A237,'0919門市清單主檔'!B:AC,28,FALSE)=0,"",VLOOKUP(A237,'0919門市清單主檔'!B:AC,28,FALSE))</f>
        <v/>
      </c>
    </row>
    <row r="238" spans="1:23" ht="21.6" customHeight="1">
      <c r="A238" s="409">
        <v>2224</v>
      </c>
      <c r="B238" s="409" t="str">
        <f>VLOOKUP(A238,'0919門市清單主檔'!B:C,2,FALSE)</f>
        <v>板橋莒光店</v>
      </c>
      <c r="C238" s="409" t="str">
        <f>VLOOKUP($A238,'0919門市清單主檔'!B:V,20,FALSE)</f>
        <v>新北市</v>
      </c>
      <c r="D238" s="409" t="str">
        <f>VLOOKUP($A238,'0919門市清單主檔'!B:V,21,FALSE)</f>
        <v>板橋區</v>
      </c>
      <c r="E238" s="397" t="str">
        <f>VLOOKUP(D238,門市狀態!G:H,2,FALSE)</f>
        <v>狄澤洋</v>
      </c>
      <c r="F238" s="409" t="str">
        <f>IFERROR(IF(VLOOKUP(A238,門市狀態!A:D,4,FALSE)=0,"",VLOOKUP(A238,門市狀態!A:D,4,FALSE)),"")</f>
        <v/>
      </c>
      <c r="G238" s="409"/>
      <c r="H238" s="411" t="str">
        <f>IF(I238&gt;0,(TEXT(I238,"yyyymmdd")&amp;勤務統計!$V$2&amp;A238&amp;勤務統計!$V$2&amp;B238&amp;勤務統計!$S$2),"")</f>
        <v>-2224-板橋莒光店(定保)</v>
      </c>
      <c r="I238" s="247" t="str">
        <f t="array" ref="I238">IF(AND(SUMPRODUCT((IM!$F$2:$F$5000=A238)*(ISNUMBER(SEARCH(勤務統計!$C$1, IM!$AC$2:$AC$5000))))&gt;0), 勤務統計!$C$1, "")</f>
        <v/>
      </c>
      <c r="J238" s="399" t="str">
        <f t="array" ref="J238">IFERROR(INDEX(IM!$AM$2:$AM$5000, MATCH(1, (IM!$F$2:$F$5000=A238) * (ISNUMBER(SEARCH(勤務統計!$C$1, IM!$AC$2:$AC$5000))), 0)), "")</f>
        <v/>
      </c>
      <c r="K238" s="400">
        <f t="array" ref="K238">SUMPRODUCT((IM!$F$2:$F$5000=A238)*(IM!$AD$2:$AD$5000="O")*(ISNUMBER(SEARCH(勤務統計!$C$1, IM!$AC$2:$AC$5000))))</f>
        <v>0</v>
      </c>
      <c r="L238" s="401" t="str">
        <f t="array" ref="L238">IF(K238&gt;0,IFERROR(HYPERLINK("#'IM'!AC"&amp;MATCH(1,(IM!$F$1:$F$5000=A238)*(ISNUMBER(SEARCH(勤務統計!$C$1,IM!$AC$1:$AC$5000))),0),"檢核"),"未登錄"),"")</f>
        <v/>
      </c>
      <c r="M238" s="402" t="str">
        <f t="shared" si="3"/>
        <v>+L90</v>
      </c>
      <c r="N238" s="402" t="str">
        <f t="array" ref="N238">IF(AND(
    SUMPRODUCT(
        (IM!$F$2:$F$522=A238) *
        ISNUMBER(SEARCH("*HUB*", IM!$AC$2:$AC$522)) *
        (IM!$X$2:$X$522&gt;=勤務統計!$A$1) *
        (IM!$X$2:$X$522&lt;=勤務統計!$B$1)*(W238="HUB")
    ) &gt; 0
), "HUB", "")</f>
        <v/>
      </c>
      <c r="O238" s="400" t="str">
        <f>IF(
  IFERROR(VLOOKUP(A238,勤務統計!A:I,9,FALSE),"")&lt;&gt;勤務統計!$C$1,
  "未完工",
  IF(
    AND(勤務統計!$D$1="--",勤務統計!$E$1="--",勤務統計!$F$1="--"),
    "已完工",
    IF(
      OR(
        AND(勤務統計!$D$1&lt;&gt;"--", IFERROR(VLOOKUP(A238,'0919門市清單主檔'!B:AH,31,FALSE),"")=勤務統計!$D$1, IFERROR(VLOOKUP(A238,勤務統計!A:Q,17,FALSE),"")&lt;&gt;勤務統計!$D$1),
        AND(勤務統計!$E$1&lt;&gt;"--", IFERROR(VLOOKUP(A238,'0919門市清單主檔'!B:AH,32,FALSE),"")=勤務統計!$E$1, IFERROR(VLOOKUP(A238,勤務統計!A:S,19,FALSE),"")&lt;&gt;勤務統計!$E$1),
        AND(勤務統計!$F$1&lt;&gt;"--", IFERROR(VLOOKUP(A238,'0919門市清單主檔'!B:AH,33,FALSE),"")=勤務統計!$F$1, IFERROR(VLOOKUP(A238,勤務統計!A:U,21,FALSE),"")&lt;&gt;勤務統計!$F$1),
        AND(IFERROR(VLOOKUP(A238,'0919門市清單主檔'!B:AH,28,FALSE),"")="HUB", IFERROR(VLOOKUP(A238,勤務統計!A:W,23,FALSE),"")&lt;&gt;"HUB")
      ),
      _xlfn.TEXTJOIN(
        "，",
        TRUE,
        IF(AND(勤務統計!$D$1&lt;&gt;"--", IFERROR(VLOOKUP(A238,'0919門市清單主檔'!B:AH,31,FALSE),"")=勤務統計!$D$1, IFERROR(VLOOKUP(A238,勤務統計!A:Q,17,FALSE),"")&lt;&gt;勤務統計!$D$1), 勤務統計!$D$1, ""),
        IF(AND(勤務統計!$E$1&lt;&gt;"--", IFERROR(VLOOKUP(A238,'0919門市清單主檔'!B:AH,32,FALSE),"")=勤務統計!$E$1, IFERROR(VLOOKUP(A238,勤務統計!A:S,19,FALSE),"")&lt;&gt;勤務統計!$E$1), 勤務統計!$E$1, ""),
        IF(AND(勤務統計!$F$1&lt;&gt;"--", IFERROR(VLOOKUP(A238,'0919門市清單主檔'!B:AH,33,FALSE),"")=勤務統計!$F$1, IFERROR(VLOOKUP(A238,勤務統計!A:U,21,FALSE),"")&lt;&gt;勤務統計!$F$1), 勤務統計!$F$1, ""),
        IF(AND(IFERROR(VLOOKUP(A238,'0919門市清單主檔'!B:AH,28,FALSE),"")="HUB", IFERROR(VLOOKUP(A238,勤務統計!A:W,23,FALSE),"")&lt;&gt;"HUB"), "HUB", "")
      ) &amp; "未完工",
      "已完工"
    )
  )
)</f>
        <v>未完工</v>
      </c>
      <c r="P238" s="435" t="str">
        <f>(TEXT(I238,"yyyymmdd"))&amp;勤務統計!$V$2&amp;A238&amp;勤務統計!$V$2&amp;B238&amp;勤務統計!$S$2</f>
        <v>-2224-板橋莒光店(定保)</v>
      </c>
      <c r="Q238" s="404" t="str">
        <f t="array" ref="Q238">IF(AND(SUMPRODUCT((IM!$F$2:$F$5000=A238)*(ISNUMBER(SEARCH(勤務統計!$D$1, IM!$AC$2:$AC$5000))))&gt;0), 勤務統計!$D$1, "")</f>
        <v/>
      </c>
      <c r="R238" s="405" t="str">
        <f t="array" ref="R238">IFERROR(INDEX(IM!$AM$2:$AM$5000, MATCH(1, (IM!$F$2:$F$5000=A238) * (ISNUMBER(SEARCH(勤務統計!$D$1, IM!$AC$2:$AC$5000))), 0)), "")</f>
        <v/>
      </c>
      <c r="S238" s="406" t="str" cm="1">
        <f t="array" ref="S238">IF(AND(SUMPRODUCT((IM!$F$2:$F$5000=A238)*(ISNUMBER(SEARCH(勤務統計!$E$1, IM!$AC$2:$AC$5000))))&gt;0), 勤務統計!$E$1, "")</f>
        <v>+L90</v>
      </c>
      <c r="T238" s="405">
        <f t="array" ref="T238">IFERROR(INDEX(IM!$AM$2:$AM$5000, MATCH(1, (IM!$F$2:$F$5000=A238) * (ISNUMBER(SEARCH(勤務統計!$E$1, IM!$AC$2:$AC$5000))), 0)), "")</f>
        <v>46020</v>
      </c>
      <c r="U238" s="406" t="str" cm="1">
        <f t="array" ref="U238">IF(AND(SUMPRODUCT((IM!$F$2:$F$5000=A238)*(ISNUMBER(SEARCH(勤務統計!$F$1, IM!$AC$2:$AC$5000))))&gt;0), 勤務統計!$F$1, "")</f>
        <v/>
      </c>
      <c r="V238" s="405" t="str">
        <f t="array" ref="V238">IFERROR(INDEX(IM!$AM$2:$AM$5000, MATCH(1, (IM!$F$2:$F$5000=A238) * (ISNUMBER(SEARCH(勤務統計!$F$1, IM!$AC$2:$AC$5000))), 0)), "")</f>
        <v/>
      </c>
      <c r="W238" s="436" t="str">
        <f>IF(VLOOKUP(A238,'0919門市清單主檔'!B:AC,28,FALSE)=0,"",VLOOKUP(A238,'0919門市清單主檔'!B:AC,28,FALSE))</f>
        <v/>
      </c>
    </row>
    <row r="239" spans="1:23" ht="21.6" customHeight="1">
      <c r="A239" s="409">
        <v>3147</v>
      </c>
      <c r="B239" s="409" t="str">
        <f>VLOOKUP(A239,'0919門市清單主檔'!B:C,2,FALSE)</f>
        <v>北縣板明店</v>
      </c>
      <c r="C239" s="409" t="str">
        <f>VLOOKUP($A239,'0919門市清單主檔'!B:V,20,FALSE)</f>
        <v>新北市</v>
      </c>
      <c r="D239" s="409" t="str">
        <f>VLOOKUP($A239,'0919門市清單主檔'!B:V,21,FALSE)</f>
        <v>板橋區</v>
      </c>
      <c r="E239" s="397" t="str">
        <f>VLOOKUP(D239,門市狀態!G:H,2,FALSE)</f>
        <v>狄澤洋</v>
      </c>
      <c r="F239" s="409" t="str">
        <f>IFERROR(IF(VLOOKUP(A239,門市狀態!A:D,4,FALSE)=0,"",VLOOKUP(A239,門市狀態!A:D,4,FALSE)),"")</f>
        <v/>
      </c>
      <c r="G239" s="409"/>
      <c r="H239" s="411" t="str">
        <f>IF(I239&gt;0,(TEXT(I239,"yyyymmdd")&amp;勤務統計!$V$2&amp;A239&amp;勤務統計!$V$2&amp;B239&amp;勤務統計!$S$2),"")</f>
        <v>-3147-北縣板明店(定保)</v>
      </c>
      <c r="I239" s="247" t="str">
        <f t="array" ref="I239">IF(AND(SUMPRODUCT((IM!$F$2:$F$5000=A239)*(ISNUMBER(SEARCH(勤務統計!$C$1, IM!$AC$2:$AC$5000))))&gt;0), 勤務統計!$C$1, "")</f>
        <v/>
      </c>
      <c r="J239" s="399" t="str">
        <f t="array" ref="J239">IFERROR(INDEX(IM!$AM$2:$AM$5000, MATCH(1, (IM!$F$2:$F$5000=A239) * (ISNUMBER(SEARCH(勤務統計!$C$1, IM!$AC$2:$AC$5000))), 0)), "")</f>
        <v/>
      </c>
      <c r="K239" s="400">
        <f t="array" ref="K239">SUMPRODUCT((IM!$F$2:$F$5000=A239)*(IM!$AD$2:$AD$5000="O")*(ISNUMBER(SEARCH(勤務統計!$C$1, IM!$AC$2:$AC$5000))))</f>
        <v>0</v>
      </c>
      <c r="L239" s="401" t="str">
        <f t="array" ref="L239">IF(K239&gt;0,IFERROR(HYPERLINK("#'IM'!AC"&amp;MATCH(1,(IM!$F$1:$F$5000=A239)*(ISNUMBER(SEARCH(勤務統計!$C$1,IM!$AC$1:$AC$5000))),0),"檢核"),"未登錄"),"")</f>
        <v/>
      </c>
      <c r="M239" s="402" t="str">
        <f t="shared" si="3"/>
        <v>+L90</v>
      </c>
      <c r="N239" s="402" t="str">
        <f t="array" ref="N239">IF(AND(
    SUMPRODUCT(
        (IM!$F$2:$F$522=A239) *
        ISNUMBER(SEARCH("*HUB*", IM!$AC$2:$AC$522)) *
        (IM!$X$2:$X$522&gt;=勤務統計!$A$1) *
        (IM!$X$2:$X$522&lt;=勤務統計!$B$1)*(W239="HUB")
    ) &gt; 0
), "HUB", "")</f>
        <v/>
      </c>
      <c r="O239" s="400" t="str">
        <f>IF(
  IFERROR(VLOOKUP(A239,勤務統計!A:I,9,FALSE),"")&lt;&gt;勤務統計!$C$1,
  "未完工",
  IF(
    AND(勤務統計!$D$1="--",勤務統計!$E$1="--",勤務統計!$F$1="--"),
    "已完工",
    IF(
      OR(
        AND(勤務統計!$D$1&lt;&gt;"--", IFERROR(VLOOKUP(A239,'0919門市清單主檔'!B:AH,31,FALSE),"")=勤務統計!$D$1, IFERROR(VLOOKUP(A239,勤務統計!A:Q,17,FALSE),"")&lt;&gt;勤務統計!$D$1),
        AND(勤務統計!$E$1&lt;&gt;"--", IFERROR(VLOOKUP(A239,'0919門市清單主檔'!B:AH,32,FALSE),"")=勤務統計!$E$1, IFERROR(VLOOKUP(A239,勤務統計!A:S,19,FALSE),"")&lt;&gt;勤務統計!$E$1),
        AND(勤務統計!$F$1&lt;&gt;"--", IFERROR(VLOOKUP(A239,'0919門市清單主檔'!B:AH,33,FALSE),"")=勤務統計!$F$1, IFERROR(VLOOKUP(A239,勤務統計!A:U,21,FALSE),"")&lt;&gt;勤務統計!$F$1),
        AND(IFERROR(VLOOKUP(A239,'0919門市清單主檔'!B:AH,28,FALSE),"")="HUB", IFERROR(VLOOKUP(A239,勤務統計!A:W,23,FALSE),"")&lt;&gt;"HUB")
      ),
      _xlfn.TEXTJOIN(
        "，",
        TRUE,
        IF(AND(勤務統計!$D$1&lt;&gt;"--", IFERROR(VLOOKUP(A239,'0919門市清單主檔'!B:AH,31,FALSE),"")=勤務統計!$D$1, IFERROR(VLOOKUP(A239,勤務統計!A:Q,17,FALSE),"")&lt;&gt;勤務統計!$D$1), 勤務統計!$D$1, ""),
        IF(AND(勤務統計!$E$1&lt;&gt;"--", IFERROR(VLOOKUP(A239,'0919門市清單主檔'!B:AH,32,FALSE),"")=勤務統計!$E$1, IFERROR(VLOOKUP(A239,勤務統計!A:S,19,FALSE),"")&lt;&gt;勤務統計!$E$1), 勤務統計!$E$1, ""),
        IF(AND(勤務統計!$F$1&lt;&gt;"--", IFERROR(VLOOKUP(A239,'0919門市清單主檔'!B:AH,33,FALSE),"")=勤務統計!$F$1, IFERROR(VLOOKUP(A239,勤務統計!A:U,21,FALSE),"")&lt;&gt;勤務統計!$F$1), 勤務統計!$F$1, ""),
        IF(AND(IFERROR(VLOOKUP(A239,'0919門市清單主檔'!B:AH,28,FALSE),"")="HUB", IFERROR(VLOOKUP(A239,勤務統計!A:W,23,FALSE),"")&lt;&gt;"HUB"), "HUB", "")
      ) &amp; "未完工",
      "已完工"
    )
  )
)</f>
        <v>未完工</v>
      </c>
      <c r="P239" s="435" t="str">
        <f>(TEXT(I239,"yyyymmdd"))&amp;勤務統計!$V$2&amp;A239&amp;勤務統計!$V$2&amp;B239&amp;勤務統計!$S$2</f>
        <v>-3147-北縣板明店(定保)</v>
      </c>
      <c r="Q239" s="404" t="str">
        <f t="array" ref="Q239">IF(AND(SUMPRODUCT((IM!$F$2:$F$5000=A239)*(ISNUMBER(SEARCH(勤務統計!$D$1, IM!$AC$2:$AC$5000))))&gt;0), 勤務統計!$D$1, "")</f>
        <v/>
      </c>
      <c r="R239" s="405" t="str">
        <f t="array" ref="R239">IFERROR(INDEX(IM!$AM$2:$AM$5000, MATCH(1, (IM!$F$2:$F$5000=A239) * (ISNUMBER(SEARCH(勤務統計!$D$1, IM!$AC$2:$AC$5000))), 0)), "")</f>
        <v/>
      </c>
      <c r="S239" s="406" t="str" cm="1">
        <f t="array" ref="S239">IF(AND(SUMPRODUCT((IM!$F$2:$F$5000=A239)*(ISNUMBER(SEARCH(勤務統計!$E$1, IM!$AC$2:$AC$5000))))&gt;0), 勤務統計!$E$1, "")</f>
        <v>+L90</v>
      </c>
      <c r="T239" s="405">
        <f t="array" ref="T239">IFERROR(INDEX(IM!$AM$2:$AM$5000, MATCH(1, (IM!$F$2:$F$5000=A239) * (ISNUMBER(SEARCH(勤務統計!$E$1, IM!$AC$2:$AC$5000))), 0)), "")</f>
        <v>46020</v>
      </c>
      <c r="U239" s="406" t="str" cm="1">
        <f t="array" ref="U239">IF(AND(SUMPRODUCT((IM!$F$2:$F$5000=A239)*(ISNUMBER(SEARCH(勤務統計!$F$1, IM!$AC$2:$AC$5000))))&gt;0), 勤務統計!$F$1, "")</f>
        <v/>
      </c>
      <c r="V239" s="405" t="str">
        <f t="array" ref="V239">IFERROR(INDEX(IM!$AM$2:$AM$5000, MATCH(1, (IM!$F$2:$F$5000=A239) * (ISNUMBER(SEARCH(勤務統計!$F$1, IM!$AC$2:$AC$5000))), 0)), "")</f>
        <v/>
      </c>
      <c r="W239" s="436" t="str">
        <f>IF(VLOOKUP(A239,'0919門市清單主檔'!B:AC,28,FALSE)=0,"",VLOOKUP(A239,'0919門市清單主檔'!B:AC,28,FALSE))</f>
        <v/>
      </c>
    </row>
    <row r="240" spans="1:23" ht="21.6" customHeight="1">
      <c r="A240" s="409">
        <v>2995</v>
      </c>
      <c r="B240" s="409" t="str">
        <f>VLOOKUP(A240,'0919門市清單主檔'!B:C,2,FALSE)</f>
        <v>板橋湳雅夜市</v>
      </c>
      <c r="C240" s="409" t="str">
        <f>VLOOKUP($A240,'0919門市清單主檔'!B:V,20,FALSE)</f>
        <v>新北市</v>
      </c>
      <c r="D240" s="409" t="str">
        <f>VLOOKUP($A240,'0919門市清單主檔'!B:V,21,FALSE)</f>
        <v>板橋區</v>
      </c>
      <c r="E240" s="397" t="str">
        <f>VLOOKUP(D240,門市狀態!G:H,2,FALSE)</f>
        <v>狄澤洋</v>
      </c>
      <c r="F240" s="409" t="str">
        <f>IFERROR(IF(VLOOKUP(A240,門市狀態!A:D,4,FALSE)=0,"",VLOOKUP(A240,門市狀態!A:D,4,FALSE)),"")</f>
        <v/>
      </c>
      <c r="G240" s="409"/>
      <c r="H240" s="411" t="str">
        <f>IF(I240&gt;0,(TEXT(I240,"yyyymmdd")&amp;勤務統計!$V$2&amp;A240&amp;勤務統計!$V$2&amp;B240&amp;勤務統計!$S$2),"")</f>
        <v>-2995-板橋湳雅夜市(定保)</v>
      </c>
      <c r="I240" s="247" t="str">
        <f t="array" ref="I240">IF(AND(SUMPRODUCT((IM!$F$2:$F$5000=A240)*(ISNUMBER(SEARCH(勤務統計!$C$1, IM!$AC$2:$AC$5000))))&gt;0), 勤務統計!$C$1, "")</f>
        <v/>
      </c>
      <c r="J240" s="399" t="str">
        <f t="array" ref="J240">IFERROR(INDEX(IM!$AM$2:$AM$5000, MATCH(1, (IM!$F$2:$F$5000=A240) * (ISNUMBER(SEARCH(勤務統計!$C$1, IM!$AC$2:$AC$5000))), 0)), "")</f>
        <v/>
      </c>
      <c r="K240" s="400">
        <f t="array" ref="K240">SUMPRODUCT((IM!$F$2:$F$5000=A240)*(IM!$AD$2:$AD$5000="O")*(ISNUMBER(SEARCH(勤務統計!$C$1, IM!$AC$2:$AC$5000))))</f>
        <v>0</v>
      </c>
      <c r="L240" s="401" t="str">
        <f t="array" ref="L240">IF(K240&gt;0,IFERROR(HYPERLINK("#'IM'!AC"&amp;MATCH(1,(IM!$F$1:$F$5000=A240)*(ISNUMBER(SEARCH(勤務統計!$C$1,IM!$AC$1:$AC$5000))),0),"檢核"),"未登錄"),"")</f>
        <v/>
      </c>
      <c r="M240" s="402" t="str">
        <f t="shared" si="3"/>
        <v>+L90</v>
      </c>
      <c r="N240" s="402" t="str">
        <f t="array" ref="N240">IF(AND(
    SUMPRODUCT(
        (IM!$F$2:$F$522=A240) *
        ISNUMBER(SEARCH("*HUB*", IM!$AC$2:$AC$522)) *
        (IM!$X$2:$X$522&gt;=勤務統計!$A$1) *
        (IM!$X$2:$X$522&lt;=勤務統計!$B$1)*(W240="HUB")
    ) &gt; 0
), "HUB", "")</f>
        <v/>
      </c>
      <c r="O240" s="400" t="str">
        <f>IF(
  IFERROR(VLOOKUP(A240,勤務統計!A:I,9,FALSE),"")&lt;&gt;勤務統計!$C$1,
  "未完工",
  IF(
    AND(勤務統計!$D$1="--",勤務統計!$E$1="--",勤務統計!$F$1="--"),
    "已完工",
    IF(
      OR(
        AND(勤務統計!$D$1&lt;&gt;"--", IFERROR(VLOOKUP(A240,'0919門市清單主檔'!B:AH,31,FALSE),"")=勤務統計!$D$1, IFERROR(VLOOKUP(A240,勤務統計!A:Q,17,FALSE),"")&lt;&gt;勤務統計!$D$1),
        AND(勤務統計!$E$1&lt;&gt;"--", IFERROR(VLOOKUP(A240,'0919門市清單主檔'!B:AH,32,FALSE),"")=勤務統計!$E$1, IFERROR(VLOOKUP(A240,勤務統計!A:S,19,FALSE),"")&lt;&gt;勤務統計!$E$1),
        AND(勤務統計!$F$1&lt;&gt;"--", IFERROR(VLOOKUP(A240,'0919門市清單主檔'!B:AH,33,FALSE),"")=勤務統計!$F$1, IFERROR(VLOOKUP(A240,勤務統計!A:U,21,FALSE),"")&lt;&gt;勤務統計!$F$1),
        AND(IFERROR(VLOOKUP(A240,'0919門市清單主檔'!B:AH,28,FALSE),"")="HUB", IFERROR(VLOOKUP(A240,勤務統計!A:W,23,FALSE),"")&lt;&gt;"HUB")
      ),
      _xlfn.TEXTJOIN(
        "，",
        TRUE,
        IF(AND(勤務統計!$D$1&lt;&gt;"--", IFERROR(VLOOKUP(A240,'0919門市清單主檔'!B:AH,31,FALSE),"")=勤務統計!$D$1, IFERROR(VLOOKUP(A240,勤務統計!A:Q,17,FALSE),"")&lt;&gt;勤務統計!$D$1), 勤務統計!$D$1, ""),
        IF(AND(勤務統計!$E$1&lt;&gt;"--", IFERROR(VLOOKUP(A240,'0919門市清單主檔'!B:AH,32,FALSE),"")=勤務統計!$E$1, IFERROR(VLOOKUP(A240,勤務統計!A:S,19,FALSE),"")&lt;&gt;勤務統計!$E$1), 勤務統計!$E$1, ""),
        IF(AND(勤務統計!$F$1&lt;&gt;"--", IFERROR(VLOOKUP(A240,'0919門市清單主檔'!B:AH,33,FALSE),"")=勤務統計!$F$1, IFERROR(VLOOKUP(A240,勤務統計!A:U,21,FALSE),"")&lt;&gt;勤務統計!$F$1), 勤務統計!$F$1, ""),
        IF(AND(IFERROR(VLOOKUP(A240,'0919門市清單主檔'!B:AH,28,FALSE),"")="HUB", IFERROR(VLOOKUP(A240,勤務統計!A:W,23,FALSE),"")&lt;&gt;"HUB"), "HUB", "")
      ) &amp; "未完工",
      "已完工"
    )
  )
)</f>
        <v>未完工</v>
      </c>
      <c r="P240" s="435" t="str">
        <f>(TEXT(I240,"yyyymmdd"))&amp;勤務統計!$V$2&amp;A240&amp;勤務統計!$V$2&amp;B240&amp;勤務統計!$S$2</f>
        <v>-2995-板橋湳雅夜市(定保)</v>
      </c>
      <c r="Q240" s="404" t="str">
        <f t="array" ref="Q240">IF(AND(SUMPRODUCT((IM!$F$2:$F$5000=A240)*(ISNUMBER(SEARCH(勤務統計!$D$1, IM!$AC$2:$AC$5000))))&gt;0), 勤務統計!$D$1, "")</f>
        <v/>
      </c>
      <c r="R240" s="405" t="str">
        <f t="array" ref="R240">IFERROR(INDEX(IM!$AM$2:$AM$5000, MATCH(1, (IM!$F$2:$F$5000=A240) * (ISNUMBER(SEARCH(勤務統計!$D$1, IM!$AC$2:$AC$5000))), 0)), "")</f>
        <v/>
      </c>
      <c r="S240" s="406" t="str" cm="1">
        <f t="array" ref="S240">IF(AND(SUMPRODUCT((IM!$F$2:$F$5000=A240)*(ISNUMBER(SEARCH(勤務統計!$E$1, IM!$AC$2:$AC$5000))))&gt;0), 勤務統計!$E$1, "")</f>
        <v>+L90</v>
      </c>
      <c r="T240" s="405">
        <f t="array" ref="T240">IFERROR(INDEX(IM!$AM$2:$AM$5000, MATCH(1, (IM!$F$2:$F$5000=A240) * (ISNUMBER(SEARCH(勤務統計!$E$1, IM!$AC$2:$AC$5000))), 0)), "")</f>
        <v>46020</v>
      </c>
      <c r="U240" s="406" t="str" cm="1">
        <f t="array" ref="U240">IF(AND(SUMPRODUCT((IM!$F$2:$F$5000=A240)*(ISNUMBER(SEARCH(勤務統計!$F$1, IM!$AC$2:$AC$5000))))&gt;0), 勤務統計!$F$1, "")</f>
        <v/>
      </c>
      <c r="V240" s="405" t="str">
        <f t="array" ref="V240">IFERROR(INDEX(IM!$AM$2:$AM$5000, MATCH(1, (IM!$F$2:$F$5000=A240) * (ISNUMBER(SEARCH(勤務統計!$F$1, IM!$AC$2:$AC$5000))), 0)), "")</f>
        <v/>
      </c>
      <c r="W240" s="436" t="str">
        <f>IF(VLOOKUP(A240,'0919門市清單主檔'!B:AC,28,FALSE)=0,"",VLOOKUP(A240,'0919門市清單主檔'!B:AC,28,FALSE))</f>
        <v/>
      </c>
    </row>
    <row r="241" spans="1:23" ht="21.6" customHeight="1">
      <c r="A241" s="409" t="s">
        <v>83</v>
      </c>
      <c r="B241" s="409" t="str">
        <f>VLOOKUP(A241,'0919門市清單主檔'!B:C,2,FALSE)</f>
        <v>車麗屋板橋店</v>
      </c>
      <c r="C241" s="409" t="str">
        <f>VLOOKUP($A241,'0919門市清單主檔'!B:V,20,FALSE)</f>
        <v>新北市</v>
      </c>
      <c r="D241" s="409" t="str">
        <f>VLOOKUP($A241,'0919門市清單主檔'!B:V,21,FALSE)</f>
        <v>板橋區</v>
      </c>
      <c r="E241" s="397" t="str">
        <f>VLOOKUP(D241,門市狀態!G:H,2,FALSE)</f>
        <v>狄澤洋</v>
      </c>
      <c r="F241" s="409" t="str">
        <f>IFERROR(IF(VLOOKUP(A241,門市狀態!A:D,4,FALSE)=0,"",VLOOKUP(A241,門市狀態!A:D,4,FALSE)),"")</f>
        <v/>
      </c>
      <c r="G241" s="409" t="s">
        <v>47</v>
      </c>
      <c r="H241" s="411" t="str">
        <f>IF(I241&gt;0,(TEXT(I241,"yyyymmdd")&amp;勤務統計!$V$2&amp;A241&amp;勤務統計!$V$2&amp;B241&amp;勤務統計!$S$2),"")</f>
        <v>-L501-車麗屋板橋店(定保)</v>
      </c>
      <c r="I241" s="247" t="str">
        <f t="array" ref="I241">IF(AND(SUMPRODUCT((IM!$F$2:$F$5000=A241)*(ISNUMBER(SEARCH(勤務統計!$C$1, IM!$AC$2:$AC$5000))))&gt;0), 勤務統計!$C$1, "")</f>
        <v/>
      </c>
      <c r="J241" s="399" t="str">
        <f t="array" ref="J241">IFERROR(INDEX(IM!$AM$2:$AM$5000, MATCH(1, (IM!$F$2:$F$5000=A241) * (ISNUMBER(SEARCH(勤務統計!$C$1, IM!$AC$2:$AC$5000))), 0)), "")</f>
        <v/>
      </c>
      <c r="K241" s="400">
        <f t="array" ref="K241">SUMPRODUCT((IM!$F$2:$F$5000=A241)*(IM!$AD$2:$AD$5000="O")*(ISNUMBER(SEARCH(勤務統計!$C$1, IM!$AC$2:$AC$5000))))</f>
        <v>0</v>
      </c>
      <c r="L241" s="401" t="str">
        <f t="array" ref="L241">IF(K241&gt;0,IFERROR(HYPERLINK("#'IM'!AC"&amp;MATCH(1,(IM!$F$1:$F$5000=A241)*(ISNUMBER(SEARCH(勤務統計!$C$1,IM!$AC$1:$AC$5000))),0),"檢核"),"未登錄"),"")</f>
        <v/>
      </c>
      <c r="M241" s="402" t="str">
        <f t="shared" si="3"/>
        <v/>
      </c>
      <c r="N241" s="402" t="str">
        <f t="array" ref="N241">IF(AND(
    SUMPRODUCT(
        (IM!$F$2:$F$522=A241) *
        ISNUMBER(SEARCH("*HUB*", IM!$AC$2:$AC$522)) *
        (IM!$X$2:$X$522&gt;=勤務統計!$A$1) *
        (IM!$X$2:$X$522&lt;=勤務統計!$B$1)*(W241="HUB")
    ) &gt; 0
), "HUB", "")</f>
        <v/>
      </c>
      <c r="O241" s="400" t="str">
        <f>IF(
  IFERROR(VLOOKUP(A241,勤務統計!A:I,9,FALSE),"")&lt;&gt;勤務統計!$C$1,
  "未完工",
  IF(
    AND(勤務統計!$D$1="--",勤務統計!$E$1="--",勤務統計!$F$1="--"),
    "已完工",
    IF(
      OR(
        AND(勤務統計!$D$1&lt;&gt;"--", IFERROR(VLOOKUP(A241,'0919門市清單主檔'!B:AH,31,FALSE),"")=勤務統計!$D$1, IFERROR(VLOOKUP(A241,勤務統計!A:Q,17,FALSE),"")&lt;&gt;勤務統計!$D$1),
        AND(勤務統計!$E$1&lt;&gt;"--", IFERROR(VLOOKUP(A241,'0919門市清單主檔'!B:AH,32,FALSE),"")=勤務統計!$E$1, IFERROR(VLOOKUP(A241,勤務統計!A:S,19,FALSE),"")&lt;&gt;勤務統計!$E$1),
        AND(勤務統計!$F$1&lt;&gt;"--", IFERROR(VLOOKUP(A241,'0919門市清單主檔'!B:AH,33,FALSE),"")=勤務統計!$F$1, IFERROR(VLOOKUP(A241,勤務統計!A:U,21,FALSE),"")&lt;&gt;勤務統計!$F$1),
        AND(IFERROR(VLOOKUP(A241,'0919門市清單主檔'!B:AH,28,FALSE),"")="HUB", IFERROR(VLOOKUP(A241,勤務統計!A:W,23,FALSE),"")&lt;&gt;"HUB")
      ),
      _xlfn.TEXTJOIN(
        "，",
        TRUE,
        IF(AND(勤務統計!$D$1&lt;&gt;"--", IFERROR(VLOOKUP(A241,'0919門市清單主檔'!B:AH,31,FALSE),"")=勤務統計!$D$1, IFERROR(VLOOKUP(A241,勤務統計!A:Q,17,FALSE),"")&lt;&gt;勤務統計!$D$1), 勤務統計!$D$1, ""),
        IF(AND(勤務統計!$E$1&lt;&gt;"--", IFERROR(VLOOKUP(A241,'0919門市清單主檔'!B:AH,32,FALSE),"")=勤務統計!$E$1, IFERROR(VLOOKUP(A241,勤務統計!A:S,19,FALSE),"")&lt;&gt;勤務統計!$E$1), 勤務統計!$E$1, ""),
        IF(AND(勤務統計!$F$1&lt;&gt;"--", IFERROR(VLOOKUP(A241,'0919門市清單主檔'!B:AH,33,FALSE),"")=勤務統計!$F$1, IFERROR(VLOOKUP(A241,勤務統計!A:U,21,FALSE),"")&lt;&gt;勤務統計!$F$1), 勤務統計!$F$1, ""),
        IF(AND(IFERROR(VLOOKUP(A241,'0919門市清單主檔'!B:AH,28,FALSE),"")="HUB", IFERROR(VLOOKUP(A241,勤務統計!A:W,23,FALSE),"")&lt;&gt;"HUB"), "HUB", "")
      ) &amp; "未完工",
      "已完工"
    )
  )
)</f>
        <v>未完工</v>
      </c>
      <c r="P241" s="435" t="str">
        <f>(TEXT(I241,"yyyymmdd"))&amp;勤務統計!$V$2&amp;A241&amp;勤務統計!$V$2&amp;B241&amp;勤務統計!$S$2</f>
        <v>-L501-車麗屋板橋店(定保)</v>
      </c>
      <c r="Q241" s="404" t="str">
        <f t="array" ref="Q241">IF(AND(SUMPRODUCT((IM!$F$2:$F$5000=A241)*(ISNUMBER(SEARCH(勤務統計!$D$1, IM!$AC$2:$AC$5000))))&gt;0), 勤務統計!$D$1, "")</f>
        <v/>
      </c>
      <c r="R241" s="405" t="str">
        <f t="array" ref="R241">IFERROR(INDEX(IM!$AM$2:$AM$5000, MATCH(1, (IM!$F$2:$F$5000=A241) * (ISNUMBER(SEARCH(勤務統計!$D$1, IM!$AC$2:$AC$5000))), 0)), "")</f>
        <v/>
      </c>
      <c r="S241" s="406" t="str" cm="1">
        <f t="array" ref="S241">IF(AND(SUMPRODUCT((IM!$F$2:$F$5000=A241)*(ISNUMBER(SEARCH(勤務統計!$E$1, IM!$AC$2:$AC$5000))))&gt;0), 勤務統計!$E$1, "")</f>
        <v/>
      </c>
      <c r="T241" s="405" t="str">
        <f t="array" ref="T241">IFERROR(INDEX(IM!$AM$2:$AM$5000, MATCH(1, (IM!$F$2:$F$5000=A241) * (ISNUMBER(SEARCH(勤務統計!$E$1, IM!$AC$2:$AC$5000))), 0)), "")</f>
        <v/>
      </c>
      <c r="U241" s="406" t="str" cm="1">
        <f t="array" ref="U241">IF(AND(SUMPRODUCT((IM!$F$2:$F$5000=A241)*(ISNUMBER(SEARCH(勤務統計!$F$1, IM!$AC$2:$AC$5000))))&gt;0), 勤務統計!$F$1, "")</f>
        <v/>
      </c>
      <c r="V241" s="405" t="str">
        <f t="array" ref="V241">IFERROR(INDEX(IM!$AM$2:$AM$5000, MATCH(1, (IM!$F$2:$F$5000=A241) * (ISNUMBER(SEARCH(勤務統計!$F$1, IM!$AC$2:$AC$5000))), 0)), "")</f>
        <v/>
      </c>
      <c r="W241" s="436" t="str">
        <f>IF(VLOOKUP(A241,'0919門市清單主檔'!B:AC,28,FALSE)=0,"",VLOOKUP(A241,'0919門市清單主檔'!B:AC,28,FALSE))</f>
        <v/>
      </c>
    </row>
    <row r="242" spans="1:23" ht="21.6" customHeight="1">
      <c r="A242" s="409">
        <v>5060</v>
      </c>
      <c r="B242" s="409" t="str">
        <f>VLOOKUP(A242,'0919門市清單主檔'!B:C,2,FALSE)</f>
        <v>淡水魚市店</v>
      </c>
      <c r="C242" s="409" t="str">
        <f>VLOOKUP($A242,'0919門市清單主檔'!B:V,20,FALSE)</f>
        <v>新北市</v>
      </c>
      <c r="D242" s="409" t="str">
        <f>VLOOKUP($A242,'0919門市清單主檔'!B:V,21,FALSE)</f>
        <v>淡水區</v>
      </c>
      <c r="E242" s="397" t="str">
        <f>VLOOKUP(D242,門市狀態!G:H,2,FALSE)</f>
        <v>吳宗鴻</v>
      </c>
      <c r="F242" s="409" t="str">
        <f>IFERROR(IF(VLOOKUP(A242,門市狀態!A:D,4,FALSE)=0,"",VLOOKUP(A242,門市狀態!A:D,4,FALSE)),"")</f>
        <v/>
      </c>
      <c r="G242" s="409"/>
      <c r="H242" s="411" t="str">
        <f>IF(I242&gt;0,(TEXT(I242,"yyyymmdd")&amp;勤務統計!$V$2&amp;A242&amp;勤務統計!$V$2&amp;B242&amp;勤務統計!$S$2),"")</f>
        <v>-5060-淡水魚市店(定保)</v>
      </c>
      <c r="I242" s="247" t="str">
        <f t="array" ref="I242">IF(AND(SUMPRODUCT((IM!$F$2:$F$5000=A242)*(ISNUMBER(SEARCH(勤務統計!$C$1, IM!$AC$2:$AC$5000))))&gt;0), 勤務統計!$C$1, "")</f>
        <v/>
      </c>
      <c r="J242" s="399" t="str">
        <f t="array" ref="J242">IFERROR(INDEX(IM!$AM$2:$AM$5000, MATCH(1, (IM!$F$2:$F$5000=A242) * (ISNUMBER(SEARCH(勤務統計!$C$1, IM!$AC$2:$AC$5000))), 0)), "")</f>
        <v/>
      </c>
      <c r="K242" s="400">
        <f t="array" ref="K242">SUMPRODUCT((IM!$F$2:$F$5000=A242)*(IM!$AD$2:$AD$5000="O")*(ISNUMBER(SEARCH(勤務統計!$C$1, IM!$AC$2:$AC$5000))))</f>
        <v>0</v>
      </c>
      <c r="L242" s="401" t="str">
        <f t="array" ref="L242">IF(K242&gt;0,IFERROR(HYPERLINK("#'IM'!AC"&amp;MATCH(1,(IM!$F$1:$F$5000=A242)*(ISNUMBER(SEARCH(勤務統計!$C$1,IM!$AC$1:$AC$5000))),0),"檢核"),"未登錄"),"")</f>
        <v/>
      </c>
      <c r="M242" s="402" t="str">
        <f t="shared" si="3"/>
        <v>+L90</v>
      </c>
      <c r="N242" s="402" t="str">
        <f t="array" ref="N242">IF(AND(
    SUMPRODUCT(
        (IM!$F$2:$F$522=A242) *
        ISNUMBER(SEARCH("*HUB*", IM!$AC$2:$AC$522)) *
        (IM!$X$2:$X$522&gt;=勤務統計!$A$1) *
        (IM!$X$2:$X$522&lt;=勤務統計!$B$1)*(W242="HUB")
    ) &gt; 0
), "HUB", "")</f>
        <v/>
      </c>
      <c r="O242" s="400" t="str">
        <f>IF(
  IFERROR(VLOOKUP(A242,勤務統計!A:I,9,FALSE),"")&lt;&gt;勤務統計!$C$1,
  "未完工",
  IF(
    AND(勤務統計!$D$1="--",勤務統計!$E$1="--",勤務統計!$F$1="--"),
    "已完工",
    IF(
      OR(
        AND(勤務統計!$D$1&lt;&gt;"--", IFERROR(VLOOKUP(A242,'0919門市清單主檔'!B:AH,31,FALSE),"")=勤務統計!$D$1, IFERROR(VLOOKUP(A242,勤務統計!A:Q,17,FALSE),"")&lt;&gt;勤務統計!$D$1),
        AND(勤務統計!$E$1&lt;&gt;"--", IFERROR(VLOOKUP(A242,'0919門市清單主檔'!B:AH,32,FALSE),"")=勤務統計!$E$1, IFERROR(VLOOKUP(A242,勤務統計!A:S,19,FALSE),"")&lt;&gt;勤務統計!$E$1),
        AND(勤務統計!$F$1&lt;&gt;"--", IFERROR(VLOOKUP(A242,'0919門市清單主檔'!B:AH,33,FALSE),"")=勤務統計!$F$1, IFERROR(VLOOKUP(A242,勤務統計!A:U,21,FALSE),"")&lt;&gt;勤務統計!$F$1),
        AND(IFERROR(VLOOKUP(A242,'0919門市清單主檔'!B:AH,28,FALSE),"")="HUB", IFERROR(VLOOKUP(A242,勤務統計!A:W,23,FALSE),"")&lt;&gt;"HUB")
      ),
      _xlfn.TEXTJOIN(
        "，",
        TRUE,
        IF(AND(勤務統計!$D$1&lt;&gt;"--", IFERROR(VLOOKUP(A242,'0919門市清單主檔'!B:AH,31,FALSE),"")=勤務統計!$D$1, IFERROR(VLOOKUP(A242,勤務統計!A:Q,17,FALSE),"")&lt;&gt;勤務統計!$D$1), 勤務統計!$D$1, ""),
        IF(AND(勤務統計!$E$1&lt;&gt;"--", IFERROR(VLOOKUP(A242,'0919門市清單主檔'!B:AH,32,FALSE),"")=勤務統計!$E$1, IFERROR(VLOOKUP(A242,勤務統計!A:S,19,FALSE),"")&lt;&gt;勤務統計!$E$1), 勤務統計!$E$1, ""),
        IF(AND(勤務統計!$F$1&lt;&gt;"--", IFERROR(VLOOKUP(A242,'0919門市清單主檔'!B:AH,33,FALSE),"")=勤務統計!$F$1, IFERROR(VLOOKUP(A242,勤務統計!A:U,21,FALSE),"")&lt;&gt;勤務統計!$F$1), 勤務統計!$F$1, ""),
        IF(AND(IFERROR(VLOOKUP(A242,'0919門市清單主檔'!B:AH,28,FALSE),"")="HUB", IFERROR(VLOOKUP(A242,勤務統計!A:W,23,FALSE),"")&lt;&gt;"HUB"), "HUB", "")
      ) &amp; "未完工",
      "已完工"
    )
  )
)</f>
        <v>未完工</v>
      </c>
      <c r="P242" s="435" t="str">
        <f>(TEXT(I242,"yyyymmdd"))&amp;勤務統計!$V$2&amp;A242&amp;勤務統計!$V$2&amp;B242&amp;勤務統計!$S$2</f>
        <v>-5060-淡水魚市店(定保)</v>
      </c>
      <c r="Q242" s="404" t="str">
        <f t="array" ref="Q242">IF(AND(SUMPRODUCT((IM!$F$2:$F$5000=A242)*(ISNUMBER(SEARCH(勤務統計!$D$1, IM!$AC$2:$AC$5000))))&gt;0), 勤務統計!$D$1, "")</f>
        <v/>
      </c>
      <c r="R242" s="405" t="str">
        <f t="array" ref="R242">IFERROR(INDEX(IM!$AM$2:$AM$5000, MATCH(1, (IM!$F$2:$F$5000=A242) * (ISNUMBER(SEARCH(勤務統計!$D$1, IM!$AC$2:$AC$5000))), 0)), "")</f>
        <v/>
      </c>
      <c r="S242" s="406" t="str" cm="1">
        <f t="array" ref="S242">IF(AND(SUMPRODUCT((IM!$F$2:$F$5000=A242)*(ISNUMBER(SEARCH(勤務統計!$E$1, IM!$AC$2:$AC$5000))))&gt;0), 勤務統計!$E$1, "")</f>
        <v>+L90</v>
      </c>
      <c r="T242" s="405">
        <f t="array" ref="T242">IFERROR(INDEX(IM!$AM$2:$AM$5000, MATCH(1, (IM!$F$2:$F$5000=A242) * (ISNUMBER(SEARCH(勤務統計!$E$1, IM!$AC$2:$AC$5000))), 0)), "")</f>
        <v>46021</v>
      </c>
      <c r="U242" s="406" t="str" cm="1">
        <f t="array" ref="U242">IF(AND(SUMPRODUCT((IM!$F$2:$F$5000=A242)*(ISNUMBER(SEARCH(勤務統計!$F$1, IM!$AC$2:$AC$5000))))&gt;0), 勤務統計!$F$1, "")</f>
        <v/>
      </c>
      <c r="V242" s="405" t="str">
        <f t="array" ref="V242">IFERROR(INDEX(IM!$AM$2:$AM$5000, MATCH(1, (IM!$F$2:$F$5000=A242) * (ISNUMBER(SEARCH(勤務統計!$F$1, IM!$AC$2:$AC$5000))), 0)), "")</f>
        <v/>
      </c>
      <c r="W242" s="436" t="str">
        <f>IF(VLOOKUP(A242,'0919門市清單主檔'!B:AC,28,FALSE)=0,"",VLOOKUP(A242,'0919門市清單主檔'!B:AC,28,FALSE))</f>
        <v/>
      </c>
    </row>
    <row r="243" spans="1:23" ht="21.6" customHeight="1">
      <c r="A243" s="409">
        <v>2763</v>
      </c>
      <c r="B243" s="409" t="str">
        <f>VLOOKUP(A243,'0919門市清單主檔'!B:C,2,FALSE)</f>
        <v>桃縣桃燿店</v>
      </c>
      <c r="C243" s="409" t="str">
        <f>VLOOKUP($A243,'0919門市清單主檔'!B:V,20,FALSE)</f>
        <v>桃園市</v>
      </c>
      <c r="D243" s="409" t="str">
        <f>VLOOKUP($A243,'0919門市清單主檔'!B:V,21,FALSE)</f>
        <v>龜山區</v>
      </c>
      <c r="E243" s="397" t="str">
        <f>VLOOKUP(D243,門市狀態!G:H,2,FALSE)</f>
        <v>吳宗鴻</v>
      </c>
      <c r="F243" s="409" t="str">
        <f>IFERROR(IF(VLOOKUP(A243,門市狀態!A:D,4,FALSE)=0,"",VLOOKUP(A243,門市狀態!A:D,4,FALSE)),"")</f>
        <v/>
      </c>
      <c r="G243" s="409"/>
      <c r="H243" s="411" t="str">
        <f>IF(I243&gt;0,(TEXT(I243,"yyyymmdd")&amp;勤務統計!$V$2&amp;A243&amp;勤務統計!$V$2&amp;B243&amp;勤務統計!$S$2),"")</f>
        <v>-2763-桃縣桃燿店(定保)</v>
      </c>
      <c r="I243" s="247" t="str">
        <f t="array" ref="I243">IF(AND(SUMPRODUCT((IM!$F$2:$F$5000=A243)*(ISNUMBER(SEARCH(勤務統計!$C$1, IM!$AC$2:$AC$5000))))&gt;0), 勤務統計!$C$1, "")</f>
        <v/>
      </c>
      <c r="J243" s="399" t="str">
        <f t="array" ref="J243">IFERROR(INDEX(IM!$AM$2:$AM$5000, MATCH(1, (IM!$F$2:$F$5000=A243) * (ISNUMBER(SEARCH(勤務統計!$C$1, IM!$AC$2:$AC$5000))), 0)), "")</f>
        <v/>
      </c>
      <c r="K243" s="400">
        <f t="array" ref="K243">SUMPRODUCT((IM!$F$2:$F$5000=A243)*(IM!$AD$2:$AD$5000="O")*(ISNUMBER(SEARCH(勤務統計!$C$1, IM!$AC$2:$AC$5000))))</f>
        <v>0</v>
      </c>
      <c r="L243" s="401" t="str">
        <f t="array" ref="L243">IF(K243&gt;0,IFERROR(HYPERLINK("#'IM'!AC"&amp;MATCH(1,(IM!$F$1:$F$5000=A243)*(ISNUMBER(SEARCH(勤務統計!$C$1,IM!$AC$1:$AC$5000))),0),"檢核"),"未登錄"),"")</f>
        <v/>
      </c>
      <c r="M243" s="402" t="str">
        <f t="shared" si="3"/>
        <v/>
      </c>
      <c r="N243" s="402" t="str">
        <f t="array" ref="N243">IF(AND(
    SUMPRODUCT(
        (IM!$F$2:$F$522=A243) *
        ISNUMBER(SEARCH("*HUB*", IM!$AC$2:$AC$522)) *
        (IM!$X$2:$X$522&gt;=勤務統計!$A$1) *
        (IM!$X$2:$X$522&lt;=勤務統計!$B$1)*(W243="HUB")
    ) &gt; 0
), "HUB", "")</f>
        <v/>
      </c>
      <c r="O243" s="400" t="str">
        <f>IF(
  IFERROR(VLOOKUP(A243,勤務統計!A:I,9,FALSE),"")&lt;&gt;勤務統計!$C$1,
  "未完工",
  IF(
    AND(勤務統計!$D$1="--",勤務統計!$E$1="--",勤務統計!$F$1="--"),
    "已完工",
    IF(
      OR(
        AND(勤務統計!$D$1&lt;&gt;"--", IFERROR(VLOOKUP(A243,'0919門市清單主檔'!B:AH,31,FALSE),"")=勤務統計!$D$1, IFERROR(VLOOKUP(A243,勤務統計!A:Q,17,FALSE),"")&lt;&gt;勤務統計!$D$1),
        AND(勤務統計!$E$1&lt;&gt;"--", IFERROR(VLOOKUP(A243,'0919門市清單主檔'!B:AH,32,FALSE),"")=勤務統計!$E$1, IFERROR(VLOOKUP(A243,勤務統計!A:S,19,FALSE),"")&lt;&gt;勤務統計!$E$1),
        AND(勤務統計!$F$1&lt;&gt;"--", IFERROR(VLOOKUP(A243,'0919門市清單主檔'!B:AH,33,FALSE),"")=勤務統計!$F$1, IFERROR(VLOOKUP(A243,勤務統計!A:U,21,FALSE),"")&lt;&gt;勤務統計!$F$1),
        AND(IFERROR(VLOOKUP(A243,'0919門市清單主檔'!B:AH,28,FALSE),"")="HUB", IFERROR(VLOOKUP(A243,勤務統計!A:W,23,FALSE),"")&lt;&gt;"HUB")
      ),
      _xlfn.TEXTJOIN(
        "，",
        TRUE,
        IF(AND(勤務統計!$D$1&lt;&gt;"--", IFERROR(VLOOKUP(A243,'0919門市清單主檔'!B:AH,31,FALSE),"")=勤務統計!$D$1, IFERROR(VLOOKUP(A243,勤務統計!A:Q,17,FALSE),"")&lt;&gt;勤務統計!$D$1), 勤務統計!$D$1, ""),
        IF(AND(勤務統計!$E$1&lt;&gt;"--", IFERROR(VLOOKUP(A243,'0919門市清單主檔'!B:AH,32,FALSE),"")=勤務統計!$E$1, IFERROR(VLOOKUP(A243,勤務統計!A:S,19,FALSE),"")&lt;&gt;勤務統計!$E$1), 勤務統計!$E$1, ""),
        IF(AND(勤務統計!$F$1&lt;&gt;"--", IFERROR(VLOOKUP(A243,'0919門市清單主檔'!B:AH,33,FALSE),"")=勤務統計!$F$1, IFERROR(VLOOKUP(A243,勤務統計!A:U,21,FALSE),"")&lt;&gt;勤務統計!$F$1), 勤務統計!$F$1, ""),
        IF(AND(IFERROR(VLOOKUP(A243,'0919門市清單主檔'!B:AH,28,FALSE),"")="HUB", IFERROR(VLOOKUP(A243,勤務統計!A:W,23,FALSE),"")&lt;&gt;"HUB"), "HUB", "")
      ) &amp; "未完工",
      "已完工"
    )
  )
)</f>
        <v>未完工</v>
      </c>
      <c r="P243" s="435" t="str">
        <f>(TEXT(I243,"yyyymmdd"))&amp;勤務統計!$V$2&amp;A243&amp;勤務統計!$V$2&amp;B243&amp;勤務統計!$S$2</f>
        <v>-2763-桃縣桃燿店(定保)</v>
      </c>
      <c r="Q243" s="404" t="str">
        <f t="array" ref="Q243">IF(AND(SUMPRODUCT((IM!$F$2:$F$5000=A243)*(ISNUMBER(SEARCH(勤務統計!$D$1, IM!$AC$2:$AC$5000))))&gt;0), 勤務統計!$D$1, "")</f>
        <v/>
      </c>
      <c r="R243" s="405" t="str">
        <f t="array" ref="R243">IFERROR(INDEX(IM!$AM$2:$AM$5000, MATCH(1, (IM!$F$2:$F$5000=A243) * (ISNUMBER(SEARCH(勤務統計!$D$1, IM!$AC$2:$AC$5000))), 0)), "")</f>
        <v/>
      </c>
      <c r="S243" s="406" t="str" cm="1">
        <f t="array" ref="S243">IF(AND(SUMPRODUCT((IM!$F$2:$F$5000=A243)*(ISNUMBER(SEARCH(勤務統計!$E$1, IM!$AC$2:$AC$5000))))&gt;0), 勤務統計!$E$1, "")</f>
        <v/>
      </c>
      <c r="T243" s="405" t="str">
        <f t="array" ref="T243">IFERROR(INDEX(IM!$AM$2:$AM$5000, MATCH(1, (IM!$F$2:$F$5000=A243) * (ISNUMBER(SEARCH(勤務統計!$E$1, IM!$AC$2:$AC$5000))), 0)), "")</f>
        <v/>
      </c>
      <c r="U243" s="406" t="str" cm="1">
        <f t="array" ref="U243">IF(AND(SUMPRODUCT((IM!$F$2:$F$5000=A243)*(ISNUMBER(SEARCH(勤務統計!$F$1, IM!$AC$2:$AC$5000))))&gt;0), 勤務統計!$F$1, "")</f>
        <v/>
      </c>
      <c r="V243" s="405" t="str">
        <f t="array" ref="V243">IFERROR(INDEX(IM!$AM$2:$AM$5000, MATCH(1, (IM!$F$2:$F$5000=A243) * (ISNUMBER(SEARCH(勤務統計!$F$1, IM!$AC$2:$AC$5000))), 0)), "")</f>
        <v/>
      </c>
      <c r="W243" s="436" t="str">
        <f>IF(VLOOKUP(A243,'0919門市清單主檔'!B:AC,28,FALSE)=0,"",VLOOKUP(A243,'0919門市清單主檔'!B:AC,28,FALSE))</f>
        <v/>
      </c>
    </row>
    <row r="244" spans="1:23" ht="21.6" customHeight="1">
      <c r="A244" s="409">
        <v>3008</v>
      </c>
      <c r="B244" s="409" t="str">
        <f>VLOOKUP(A244,'0919門市清單主檔'!B:C,2,FALSE)</f>
        <v>龜山香品店</v>
      </c>
      <c r="C244" s="409" t="str">
        <f>VLOOKUP($A244,'0919門市清單主檔'!B:V,20,FALSE)</f>
        <v>桃園市</v>
      </c>
      <c r="D244" s="409" t="str">
        <f>VLOOKUP($A244,'0919門市清單主檔'!B:V,21,FALSE)</f>
        <v>龜山區</v>
      </c>
      <c r="E244" s="397" t="str">
        <f>VLOOKUP(D244,門市狀態!G:H,2,FALSE)</f>
        <v>吳宗鴻</v>
      </c>
      <c r="F244" s="409" t="str">
        <f>IFERROR(IF(VLOOKUP(A244,門市狀態!A:D,4,FALSE)=0,"",VLOOKUP(A244,門市狀態!A:D,4,FALSE)),"")</f>
        <v/>
      </c>
      <c r="G244" s="409"/>
      <c r="H244" s="411" t="str">
        <f>IF(I244&gt;0,(TEXT(I244,"yyyymmdd")&amp;勤務統計!$V$2&amp;A244&amp;勤務統計!$V$2&amp;B244&amp;勤務統計!$S$2),"")</f>
        <v>-3008-龜山香品店(定保)</v>
      </c>
      <c r="I244" s="247" t="str">
        <f t="array" ref="I244">IF(AND(SUMPRODUCT((IM!$F$2:$F$5000=A244)*(ISNUMBER(SEARCH(勤務統計!$C$1, IM!$AC$2:$AC$5000))))&gt;0), 勤務統計!$C$1, "")</f>
        <v/>
      </c>
      <c r="J244" s="399" t="str">
        <f t="array" ref="J244">IFERROR(INDEX(IM!$AM$2:$AM$5000, MATCH(1, (IM!$F$2:$F$5000=A244) * (ISNUMBER(SEARCH(勤務統計!$C$1, IM!$AC$2:$AC$5000))), 0)), "")</f>
        <v/>
      </c>
      <c r="K244" s="400">
        <f t="array" ref="K244">SUMPRODUCT((IM!$F$2:$F$5000=A244)*(IM!$AD$2:$AD$5000="O")*(ISNUMBER(SEARCH(勤務統計!$C$1, IM!$AC$2:$AC$5000))))</f>
        <v>0</v>
      </c>
      <c r="L244" s="401" t="str">
        <f t="array" ref="L244">IF(K244&gt;0,IFERROR(HYPERLINK("#'IM'!AC"&amp;MATCH(1,(IM!$F$1:$F$5000=A244)*(ISNUMBER(SEARCH(勤務統計!$C$1,IM!$AC$1:$AC$5000))),0),"檢核"),"未登錄"),"")</f>
        <v/>
      </c>
      <c r="M244" s="402" t="str">
        <f t="shared" si="3"/>
        <v/>
      </c>
      <c r="N244" s="402" t="str">
        <f t="array" ref="N244">IF(AND(
    SUMPRODUCT(
        (IM!$F$2:$F$522=A244) *
        ISNUMBER(SEARCH("*HUB*", IM!$AC$2:$AC$522)) *
        (IM!$X$2:$X$522&gt;=勤務統計!$A$1) *
        (IM!$X$2:$X$522&lt;=勤務統計!$B$1)*(W244="HUB")
    ) &gt; 0
), "HUB", "")</f>
        <v/>
      </c>
      <c r="O244" s="400" t="str">
        <f>IF(
  IFERROR(VLOOKUP(A244,勤務統計!A:I,9,FALSE),"")&lt;&gt;勤務統計!$C$1,
  "未完工",
  IF(
    AND(勤務統計!$D$1="--",勤務統計!$E$1="--",勤務統計!$F$1="--"),
    "已完工",
    IF(
      OR(
        AND(勤務統計!$D$1&lt;&gt;"--", IFERROR(VLOOKUP(A244,'0919門市清單主檔'!B:AH,31,FALSE),"")=勤務統計!$D$1, IFERROR(VLOOKUP(A244,勤務統計!A:Q,17,FALSE),"")&lt;&gt;勤務統計!$D$1),
        AND(勤務統計!$E$1&lt;&gt;"--", IFERROR(VLOOKUP(A244,'0919門市清單主檔'!B:AH,32,FALSE),"")=勤務統計!$E$1, IFERROR(VLOOKUP(A244,勤務統計!A:S,19,FALSE),"")&lt;&gt;勤務統計!$E$1),
        AND(勤務統計!$F$1&lt;&gt;"--", IFERROR(VLOOKUP(A244,'0919門市清單主檔'!B:AH,33,FALSE),"")=勤務統計!$F$1, IFERROR(VLOOKUP(A244,勤務統計!A:U,21,FALSE),"")&lt;&gt;勤務統計!$F$1),
        AND(IFERROR(VLOOKUP(A244,'0919門市清單主檔'!B:AH,28,FALSE),"")="HUB", IFERROR(VLOOKUP(A244,勤務統計!A:W,23,FALSE),"")&lt;&gt;"HUB")
      ),
      _xlfn.TEXTJOIN(
        "，",
        TRUE,
        IF(AND(勤務統計!$D$1&lt;&gt;"--", IFERROR(VLOOKUP(A244,'0919門市清單主檔'!B:AH,31,FALSE),"")=勤務統計!$D$1, IFERROR(VLOOKUP(A244,勤務統計!A:Q,17,FALSE),"")&lt;&gt;勤務統計!$D$1), 勤務統計!$D$1, ""),
        IF(AND(勤務統計!$E$1&lt;&gt;"--", IFERROR(VLOOKUP(A244,'0919門市清單主檔'!B:AH,32,FALSE),"")=勤務統計!$E$1, IFERROR(VLOOKUP(A244,勤務統計!A:S,19,FALSE),"")&lt;&gt;勤務統計!$E$1), 勤務統計!$E$1, ""),
        IF(AND(勤務統計!$F$1&lt;&gt;"--", IFERROR(VLOOKUP(A244,'0919門市清單主檔'!B:AH,33,FALSE),"")=勤務統計!$F$1, IFERROR(VLOOKUP(A244,勤務統計!A:U,21,FALSE),"")&lt;&gt;勤務統計!$F$1), 勤務統計!$F$1, ""),
        IF(AND(IFERROR(VLOOKUP(A244,'0919門市清單主檔'!B:AH,28,FALSE),"")="HUB", IFERROR(VLOOKUP(A244,勤務統計!A:W,23,FALSE),"")&lt;&gt;"HUB"), "HUB", "")
      ) &amp; "未完工",
      "已完工"
    )
  )
)</f>
        <v>未完工</v>
      </c>
      <c r="P244" s="435" t="str">
        <f>(TEXT(I244,"yyyymmdd"))&amp;勤務統計!$V$2&amp;A244&amp;勤務統計!$V$2&amp;B244&amp;勤務統計!$S$2</f>
        <v>-3008-龜山香品店(定保)</v>
      </c>
      <c r="Q244" s="404" t="str">
        <f t="array" ref="Q244">IF(AND(SUMPRODUCT((IM!$F$2:$F$5000=A244)*(ISNUMBER(SEARCH(勤務統計!$D$1, IM!$AC$2:$AC$5000))))&gt;0), 勤務統計!$D$1, "")</f>
        <v/>
      </c>
      <c r="R244" s="405" t="str">
        <f t="array" ref="R244">IFERROR(INDEX(IM!$AM$2:$AM$5000, MATCH(1, (IM!$F$2:$F$5000=A244) * (ISNUMBER(SEARCH(勤務統計!$D$1, IM!$AC$2:$AC$5000))), 0)), "")</f>
        <v/>
      </c>
      <c r="S244" s="406" t="str" cm="1">
        <f t="array" ref="S244">IF(AND(SUMPRODUCT((IM!$F$2:$F$5000=A244)*(ISNUMBER(SEARCH(勤務統計!$E$1, IM!$AC$2:$AC$5000))))&gt;0), 勤務統計!$E$1, "")</f>
        <v/>
      </c>
      <c r="T244" s="405" t="str">
        <f t="array" ref="T244">IFERROR(INDEX(IM!$AM$2:$AM$5000, MATCH(1, (IM!$F$2:$F$5000=A244) * (ISNUMBER(SEARCH(勤務統計!$E$1, IM!$AC$2:$AC$5000))), 0)), "")</f>
        <v/>
      </c>
      <c r="U244" s="406" t="str" cm="1">
        <f t="array" ref="U244">IF(AND(SUMPRODUCT((IM!$F$2:$F$5000=A244)*(ISNUMBER(SEARCH(勤務統計!$F$1, IM!$AC$2:$AC$5000))))&gt;0), 勤務統計!$F$1, "")</f>
        <v/>
      </c>
      <c r="V244" s="405" t="str">
        <f t="array" ref="V244">IFERROR(INDEX(IM!$AM$2:$AM$5000, MATCH(1, (IM!$F$2:$F$5000=A244) * (ISNUMBER(SEARCH(勤務統計!$F$1, IM!$AC$2:$AC$5000))), 0)), "")</f>
        <v/>
      </c>
      <c r="W244" s="436" t="str">
        <f>IF(VLOOKUP(A244,'0919門市清單主檔'!B:AC,28,FALSE)=0,"",VLOOKUP(A244,'0919門市清單主檔'!B:AC,28,FALSE))</f>
        <v/>
      </c>
    </row>
    <row r="245" spans="1:23" ht="21.6" customHeight="1">
      <c r="A245" s="409">
        <v>3692</v>
      </c>
      <c r="B245" s="409" t="str">
        <f>VLOOKUP(A245,'0919門市清單主檔'!B:C,2,FALSE)</f>
        <v>龜山頂湖店</v>
      </c>
      <c r="C245" s="409" t="str">
        <f>VLOOKUP($A245,'0919門市清單主檔'!B:V,20,FALSE)</f>
        <v>桃園市</v>
      </c>
      <c r="D245" s="409" t="str">
        <f>VLOOKUP($A245,'0919門市清單主檔'!B:V,21,FALSE)</f>
        <v>龜山區</v>
      </c>
      <c r="E245" s="397" t="str">
        <f>VLOOKUP(D245,門市狀態!G:H,2,FALSE)</f>
        <v>吳宗鴻</v>
      </c>
      <c r="F245" s="409" t="str">
        <f>IFERROR(IF(VLOOKUP(A245,門市狀態!A:D,4,FALSE)=0,"",VLOOKUP(A245,門市狀態!A:D,4,FALSE)),"")</f>
        <v/>
      </c>
      <c r="G245" s="409"/>
      <c r="H245" s="411" t="str">
        <f>IF(I245&gt;0,(TEXT(I245,"yyyymmdd")&amp;勤務統計!$V$2&amp;A245&amp;勤務統計!$V$2&amp;B245&amp;勤務統計!$S$2),"")</f>
        <v>-3692-龜山頂湖店(定保)</v>
      </c>
      <c r="I245" s="247" t="str">
        <f t="array" ref="I245">IF(AND(SUMPRODUCT((IM!$F$2:$F$5000=A245)*(ISNUMBER(SEARCH(勤務統計!$C$1, IM!$AC$2:$AC$5000))))&gt;0), 勤務統計!$C$1, "")</f>
        <v/>
      </c>
      <c r="J245" s="399" t="str">
        <f t="array" ref="J245">IFERROR(INDEX(IM!$AM$2:$AM$5000, MATCH(1, (IM!$F$2:$F$5000=A245) * (ISNUMBER(SEARCH(勤務統計!$C$1, IM!$AC$2:$AC$5000))), 0)), "")</f>
        <v/>
      </c>
      <c r="K245" s="400">
        <f t="array" ref="K245">SUMPRODUCT((IM!$F$2:$F$5000=A245)*(IM!$AD$2:$AD$5000="O")*(ISNUMBER(SEARCH(勤務統計!$C$1, IM!$AC$2:$AC$5000))))</f>
        <v>0</v>
      </c>
      <c r="L245" s="401" t="str">
        <f t="array" ref="L245">IF(K245&gt;0,IFERROR(HYPERLINK("#'IM'!AC"&amp;MATCH(1,(IM!$F$1:$F$5000=A245)*(ISNUMBER(SEARCH(勤務統計!$C$1,IM!$AC$1:$AC$5000))),0),"檢核"),"未登錄"),"")</f>
        <v/>
      </c>
      <c r="M245" s="402" t="str">
        <f t="shared" si="3"/>
        <v/>
      </c>
      <c r="N245" s="402" t="str">
        <f t="array" ref="N245">IF(AND(
    SUMPRODUCT(
        (IM!$F$2:$F$522=A245) *
        ISNUMBER(SEARCH("*HUB*", IM!$AC$2:$AC$522)) *
        (IM!$X$2:$X$522&gt;=勤務統計!$A$1) *
        (IM!$X$2:$X$522&lt;=勤務統計!$B$1)*(W245="HUB")
    ) &gt; 0
), "HUB", "")</f>
        <v/>
      </c>
      <c r="O245" s="400" t="str">
        <f>IF(
  IFERROR(VLOOKUP(A245,勤務統計!A:I,9,FALSE),"")&lt;&gt;勤務統計!$C$1,
  "未完工",
  IF(
    AND(勤務統計!$D$1="--",勤務統計!$E$1="--",勤務統計!$F$1="--"),
    "已完工",
    IF(
      OR(
        AND(勤務統計!$D$1&lt;&gt;"--", IFERROR(VLOOKUP(A245,'0919門市清單主檔'!B:AH,31,FALSE),"")=勤務統計!$D$1, IFERROR(VLOOKUP(A245,勤務統計!A:Q,17,FALSE),"")&lt;&gt;勤務統計!$D$1),
        AND(勤務統計!$E$1&lt;&gt;"--", IFERROR(VLOOKUP(A245,'0919門市清單主檔'!B:AH,32,FALSE),"")=勤務統計!$E$1, IFERROR(VLOOKUP(A245,勤務統計!A:S,19,FALSE),"")&lt;&gt;勤務統計!$E$1),
        AND(勤務統計!$F$1&lt;&gt;"--", IFERROR(VLOOKUP(A245,'0919門市清單主檔'!B:AH,33,FALSE),"")=勤務統計!$F$1, IFERROR(VLOOKUP(A245,勤務統計!A:U,21,FALSE),"")&lt;&gt;勤務統計!$F$1),
        AND(IFERROR(VLOOKUP(A245,'0919門市清單主檔'!B:AH,28,FALSE),"")="HUB", IFERROR(VLOOKUP(A245,勤務統計!A:W,23,FALSE),"")&lt;&gt;"HUB")
      ),
      _xlfn.TEXTJOIN(
        "，",
        TRUE,
        IF(AND(勤務統計!$D$1&lt;&gt;"--", IFERROR(VLOOKUP(A245,'0919門市清單主檔'!B:AH,31,FALSE),"")=勤務統計!$D$1, IFERROR(VLOOKUP(A245,勤務統計!A:Q,17,FALSE),"")&lt;&gt;勤務統計!$D$1), 勤務統計!$D$1, ""),
        IF(AND(勤務統計!$E$1&lt;&gt;"--", IFERROR(VLOOKUP(A245,'0919門市清單主檔'!B:AH,32,FALSE),"")=勤務統計!$E$1, IFERROR(VLOOKUP(A245,勤務統計!A:S,19,FALSE),"")&lt;&gt;勤務統計!$E$1), 勤務統計!$E$1, ""),
        IF(AND(勤務統計!$F$1&lt;&gt;"--", IFERROR(VLOOKUP(A245,'0919門市清單主檔'!B:AH,33,FALSE),"")=勤務統計!$F$1, IFERROR(VLOOKUP(A245,勤務統計!A:U,21,FALSE),"")&lt;&gt;勤務統計!$F$1), 勤務統計!$F$1, ""),
        IF(AND(IFERROR(VLOOKUP(A245,'0919門市清單主檔'!B:AH,28,FALSE),"")="HUB", IFERROR(VLOOKUP(A245,勤務統計!A:W,23,FALSE),"")&lt;&gt;"HUB"), "HUB", "")
      ) &amp; "未完工",
      "已完工"
    )
  )
)</f>
        <v>未完工</v>
      </c>
      <c r="P245" s="435" t="str">
        <f>(TEXT(I245,"yyyymmdd"))&amp;勤務統計!$V$2&amp;A245&amp;勤務統計!$V$2&amp;B245&amp;勤務統計!$S$2</f>
        <v>-3692-龜山頂湖店(定保)</v>
      </c>
      <c r="Q245" s="404" t="str">
        <f t="array" ref="Q245">IF(AND(SUMPRODUCT((IM!$F$2:$F$5000=A245)*(ISNUMBER(SEARCH(勤務統計!$D$1, IM!$AC$2:$AC$5000))))&gt;0), 勤務統計!$D$1, "")</f>
        <v/>
      </c>
      <c r="R245" s="405" t="str">
        <f t="array" ref="R245">IFERROR(INDEX(IM!$AM$2:$AM$5000, MATCH(1, (IM!$F$2:$F$5000=A245) * (ISNUMBER(SEARCH(勤務統計!$D$1, IM!$AC$2:$AC$5000))), 0)), "")</f>
        <v/>
      </c>
      <c r="S245" s="406" t="str" cm="1">
        <f t="array" ref="S245">IF(AND(SUMPRODUCT((IM!$F$2:$F$5000=A245)*(ISNUMBER(SEARCH(勤務統計!$E$1, IM!$AC$2:$AC$5000))))&gt;0), 勤務統計!$E$1, "")</f>
        <v/>
      </c>
      <c r="T245" s="405" t="str">
        <f t="array" ref="T245">IFERROR(INDEX(IM!$AM$2:$AM$5000, MATCH(1, (IM!$F$2:$F$5000=A245) * (ISNUMBER(SEARCH(勤務統計!$E$1, IM!$AC$2:$AC$5000))), 0)), "")</f>
        <v/>
      </c>
      <c r="U245" s="406" t="str" cm="1">
        <f t="array" ref="U245">IF(AND(SUMPRODUCT((IM!$F$2:$F$5000=A245)*(ISNUMBER(SEARCH(勤務統計!$F$1, IM!$AC$2:$AC$5000))))&gt;0), 勤務統計!$F$1, "")</f>
        <v/>
      </c>
      <c r="V245" s="405" t="str">
        <f t="array" ref="V245">IFERROR(INDEX(IM!$AM$2:$AM$5000, MATCH(1, (IM!$F$2:$F$5000=A245) * (ISNUMBER(SEARCH(勤務統計!$F$1, IM!$AC$2:$AC$5000))), 0)), "")</f>
        <v/>
      </c>
      <c r="W245" s="436" t="str">
        <f>IF(VLOOKUP(A245,'0919門市清單主檔'!B:AC,28,FALSE)=0,"",VLOOKUP(A245,'0919門市清單主檔'!B:AC,28,FALSE))</f>
        <v/>
      </c>
    </row>
    <row r="246" spans="1:23" ht="21.6" customHeight="1">
      <c r="A246" s="409">
        <v>3749</v>
      </c>
      <c r="B246" s="409" t="str">
        <f>VLOOKUP(A246,'0919門市清單主檔'!B:C,2,FALSE)</f>
        <v>龜山長庚科大</v>
      </c>
      <c r="C246" s="409" t="str">
        <f>VLOOKUP($A246,'0919門市清單主檔'!B:V,20,FALSE)</f>
        <v>桃園市</v>
      </c>
      <c r="D246" s="409" t="str">
        <f>VLOOKUP($A246,'0919門市清單主檔'!B:V,21,FALSE)</f>
        <v>龜山區</v>
      </c>
      <c r="E246" s="397" t="str">
        <f>VLOOKUP(D246,門市狀態!G:H,2,FALSE)</f>
        <v>吳宗鴻</v>
      </c>
      <c r="F246" s="409" t="str">
        <f>IFERROR(IF(VLOOKUP(A246,門市狀態!A:D,4,FALSE)=0,"",VLOOKUP(A246,門市狀態!A:D,4,FALSE)),"")</f>
        <v/>
      </c>
      <c r="G246" s="409"/>
      <c r="H246" s="411" t="str">
        <f>IF(I246&gt;0,(TEXT(I246,"yyyymmdd")&amp;勤務統計!$V$2&amp;A246&amp;勤務統計!$V$2&amp;B246&amp;勤務統計!$S$2),"")</f>
        <v>-3749-龜山長庚科大(定保)</v>
      </c>
      <c r="I246" s="247" t="str">
        <f t="array" ref="I246">IF(AND(SUMPRODUCT((IM!$F$2:$F$5000=A246)*(ISNUMBER(SEARCH(勤務統計!$C$1, IM!$AC$2:$AC$5000))))&gt;0), 勤務統計!$C$1, "")</f>
        <v/>
      </c>
      <c r="J246" s="399" t="str">
        <f t="array" ref="J246">IFERROR(INDEX(IM!$AM$2:$AM$5000, MATCH(1, (IM!$F$2:$F$5000=A246) * (ISNUMBER(SEARCH(勤務統計!$C$1, IM!$AC$2:$AC$5000))), 0)), "")</f>
        <v/>
      </c>
      <c r="K246" s="400">
        <f t="array" ref="K246">SUMPRODUCT((IM!$F$2:$F$5000=A246)*(IM!$AD$2:$AD$5000="O")*(ISNUMBER(SEARCH(勤務統計!$C$1, IM!$AC$2:$AC$5000))))</f>
        <v>0</v>
      </c>
      <c r="L246" s="401" t="str">
        <f t="array" ref="L246">IF(K246&gt;0,IFERROR(HYPERLINK("#'IM'!AC"&amp;MATCH(1,(IM!$F$1:$F$5000=A246)*(ISNUMBER(SEARCH(勤務統計!$C$1,IM!$AC$1:$AC$5000))),0),"檢核"),"未登錄"),"")</f>
        <v/>
      </c>
      <c r="M246" s="402" t="str">
        <f t="shared" si="3"/>
        <v/>
      </c>
      <c r="N246" s="402" t="str">
        <f t="array" ref="N246">IF(AND(
    SUMPRODUCT(
        (IM!$F$2:$F$522=A246) *
        ISNUMBER(SEARCH("*HUB*", IM!$AC$2:$AC$522)) *
        (IM!$X$2:$X$522&gt;=勤務統計!$A$1) *
        (IM!$X$2:$X$522&lt;=勤務統計!$B$1)*(W246="HUB")
    ) &gt; 0
), "HUB", "")</f>
        <v/>
      </c>
      <c r="O246" s="400" t="str">
        <f>IF(
  IFERROR(VLOOKUP(A246,勤務統計!A:I,9,FALSE),"")&lt;&gt;勤務統計!$C$1,
  "未完工",
  IF(
    AND(勤務統計!$D$1="--",勤務統計!$E$1="--",勤務統計!$F$1="--"),
    "已完工",
    IF(
      OR(
        AND(勤務統計!$D$1&lt;&gt;"--", IFERROR(VLOOKUP(A246,'0919門市清單主檔'!B:AH,31,FALSE),"")=勤務統計!$D$1, IFERROR(VLOOKUP(A246,勤務統計!A:Q,17,FALSE),"")&lt;&gt;勤務統計!$D$1),
        AND(勤務統計!$E$1&lt;&gt;"--", IFERROR(VLOOKUP(A246,'0919門市清單主檔'!B:AH,32,FALSE),"")=勤務統計!$E$1, IFERROR(VLOOKUP(A246,勤務統計!A:S,19,FALSE),"")&lt;&gt;勤務統計!$E$1),
        AND(勤務統計!$F$1&lt;&gt;"--", IFERROR(VLOOKUP(A246,'0919門市清單主檔'!B:AH,33,FALSE),"")=勤務統計!$F$1, IFERROR(VLOOKUP(A246,勤務統計!A:U,21,FALSE),"")&lt;&gt;勤務統計!$F$1),
        AND(IFERROR(VLOOKUP(A246,'0919門市清單主檔'!B:AH,28,FALSE),"")="HUB", IFERROR(VLOOKUP(A246,勤務統計!A:W,23,FALSE),"")&lt;&gt;"HUB")
      ),
      _xlfn.TEXTJOIN(
        "，",
        TRUE,
        IF(AND(勤務統計!$D$1&lt;&gt;"--", IFERROR(VLOOKUP(A246,'0919門市清單主檔'!B:AH,31,FALSE),"")=勤務統計!$D$1, IFERROR(VLOOKUP(A246,勤務統計!A:Q,17,FALSE),"")&lt;&gt;勤務統計!$D$1), 勤務統計!$D$1, ""),
        IF(AND(勤務統計!$E$1&lt;&gt;"--", IFERROR(VLOOKUP(A246,'0919門市清單主檔'!B:AH,32,FALSE),"")=勤務統計!$E$1, IFERROR(VLOOKUP(A246,勤務統計!A:S,19,FALSE),"")&lt;&gt;勤務統計!$E$1), 勤務統計!$E$1, ""),
        IF(AND(勤務統計!$F$1&lt;&gt;"--", IFERROR(VLOOKUP(A246,'0919門市清單主檔'!B:AH,33,FALSE),"")=勤務統計!$F$1, IFERROR(VLOOKUP(A246,勤務統計!A:U,21,FALSE),"")&lt;&gt;勤務統計!$F$1), 勤務統計!$F$1, ""),
        IF(AND(IFERROR(VLOOKUP(A246,'0919門市清單主檔'!B:AH,28,FALSE),"")="HUB", IFERROR(VLOOKUP(A246,勤務統計!A:W,23,FALSE),"")&lt;&gt;"HUB"), "HUB", "")
      ) &amp; "未完工",
      "已完工"
    )
  )
)</f>
        <v>未完工</v>
      </c>
      <c r="P246" s="435" t="str">
        <f>(TEXT(I246,"yyyymmdd"))&amp;勤務統計!$V$2&amp;A246&amp;勤務統計!$V$2&amp;B246&amp;勤務統計!$S$2</f>
        <v>-3749-龜山長庚科大(定保)</v>
      </c>
      <c r="Q246" s="404" t="str">
        <f t="array" ref="Q246">IF(AND(SUMPRODUCT((IM!$F$2:$F$5000=A246)*(ISNUMBER(SEARCH(勤務統計!$D$1, IM!$AC$2:$AC$5000))))&gt;0), 勤務統計!$D$1, "")</f>
        <v/>
      </c>
      <c r="R246" s="405" t="str">
        <f t="array" ref="R246">IFERROR(INDEX(IM!$AM$2:$AM$5000, MATCH(1, (IM!$F$2:$F$5000=A246) * (ISNUMBER(SEARCH(勤務統計!$D$1, IM!$AC$2:$AC$5000))), 0)), "")</f>
        <v/>
      </c>
      <c r="S246" s="406" t="str" cm="1">
        <f t="array" ref="S246">IF(AND(SUMPRODUCT((IM!$F$2:$F$5000=A246)*(ISNUMBER(SEARCH(勤務統計!$E$1, IM!$AC$2:$AC$5000))))&gt;0), 勤務統計!$E$1, "")</f>
        <v/>
      </c>
      <c r="T246" s="405" t="str">
        <f t="array" ref="T246">IFERROR(INDEX(IM!$AM$2:$AM$5000, MATCH(1, (IM!$F$2:$F$5000=A246) * (ISNUMBER(SEARCH(勤務統計!$E$1, IM!$AC$2:$AC$5000))), 0)), "")</f>
        <v/>
      </c>
      <c r="U246" s="406" t="str" cm="1">
        <f t="array" ref="U246">IF(AND(SUMPRODUCT((IM!$F$2:$F$5000=A246)*(ISNUMBER(SEARCH(勤務統計!$F$1, IM!$AC$2:$AC$5000))))&gt;0), 勤務統計!$F$1, "")</f>
        <v/>
      </c>
      <c r="V246" s="405" t="str">
        <f t="array" ref="V246">IFERROR(INDEX(IM!$AM$2:$AM$5000, MATCH(1, (IM!$F$2:$F$5000=A246) * (ISNUMBER(SEARCH(勤務統計!$F$1, IM!$AC$2:$AC$5000))), 0)), "")</f>
        <v/>
      </c>
      <c r="W246" s="436" t="str">
        <f>IF(VLOOKUP(A246,'0919門市清單主檔'!B:AC,28,FALSE)=0,"",VLOOKUP(A246,'0919門市清單主檔'!B:AC,28,FALSE))</f>
        <v/>
      </c>
    </row>
    <row r="247" spans="1:23" ht="21.6" customHeight="1">
      <c r="A247" s="409">
        <v>4035</v>
      </c>
      <c r="B247" s="409" t="str">
        <f>VLOOKUP(A247,'0919門市清單主檔'!B:C,2,FALSE)</f>
        <v>龜山南上店</v>
      </c>
      <c r="C247" s="409" t="str">
        <f>VLOOKUP($A247,'0919門市清單主檔'!B:V,20,FALSE)</f>
        <v>桃園市</v>
      </c>
      <c r="D247" s="409" t="str">
        <f>VLOOKUP($A247,'0919門市清單主檔'!B:V,21,FALSE)</f>
        <v>龜山區</v>
      </c>
      <c r="E247" s="397" t="str">
        <f>VLOOKUP(D247,門市狀態!G:H,2,FALSE)</f>
        <v>吳宗鴻</v>
      </c>
      <c r="F247" s="409" t="str">
        <f>IFERROR(IF(VLOOKUP(A247,門市狀態!A:D,4,FALSE)=0,"",VLOOKUP(A247,門市狀態!A:D,4,FALSE)),"")</f>
        <v/>
      </c>
      <c r="G247" s="409"/>
      <c r="H247" s="411" t="str">
        <f>IF(I247&gt;0,(TEXT(I247,"yyyymmdd")&amp;勤務統計!$V$2&amp;A247&amp;勤務統計!$V$2&amp;B247&amp;勤務統計!$S$2),"")</f>
        <v>-4035-龜山南上店(定保)</v>
      </c>
      <c r="I247" s="247" t="str">
        <f t="array" ref="I247">IF(AND(SUMPRODUCT((IM!$F$2:$F$5000=A247)*(ISNUMBER(SEARCH(勤務統計!$C$1, IM!$AC$2:$AC$5000))))&gt;0), 勤務統計!$C$1, "")</f>
        <v/>
      </c>
      <c r="J247" s="399" t="str">
        <f t="array" ref="J247">IFERROR(INDEX(IM!$AM$2:$AM$5000, MATCH(1, (IM!$F$2:$F$5000=A247) * (ISNUMBER(SEARCH(勤務統計!$C$1, IM!$AC$2:$AC$5000))), 0)), "")</f>
        <v/>
      </c>
      <c r="K247" s="400">
        <f t="array" ref="K247">SUMPRODUCT((IM!$F$2:$F$5000=A247)*(IM!$AD$2:$AD$5000="O")*(ISNUMBER(SEARCH(勤務統計!$C$1, IM!$AC$2:$AC$5000))))</f>
        <v>0</v>
      </c>
      <c r="L247" s="401" t="str">
        <f t="array" ref="L247">IF(K247&gt;0,IFERROR(HYPERLINK("#'IM'!AC"&amp;MATCH(1,(IM!$F$1:$F$5000=A247)*(ISNUMBER(SEARCH(勤務統計!$C$1,IM!$AC$1:$AC$5000))),0),"檢核"),"未登錄"),"")</f>
        <v/>
      </c>
      <c r="M247" s="402" t="str">
        <f t="shared" si="3"/>
        <v/>
      </c>
      <c r="N247" s="402" t="str">
        <f t="array" ref="N247">IF(AND(
    SUMPRODUCT(
        (IM!$F$2:$F$522=A247) *
        ISNUMBER(SEARCH("*HUB*", IM!$AC$2:$AC$522)) *
        (IM!$X$2:$X$522&gt;=勤務統計!$A$1) *
        (IM!$X$2:$X$522&lt;=勤務統計!$B$1)*(W247="HUB")
    ) &gt; 0
), "HUB", "")</f>
        <v/>
      </c>
      <c r="O247" s="400" t="str">
        <f>IF(
  IFERROR(VLOOKUP(A247,勤務統計!A:I,9,FALSE),"")&lt;&gt;勤務統計!$C$1,
  "未完工",
  IF(
    AND(勤務統計!$D$1="--",勤務統計!$E$1="--",勤務統計!$F$1="--"),
    "已完工",
    IF(
      OR(
        AND(勤務統計!$D$1&lt;&gt;"--", IFERROR(VLOOKUP(A247,'0919門市清單主檔'!B:AH,31,FALSE),"")=勤務統計!$D$1, IFERROR(VLOOKUP(A247,勤務統計!A:Q,17,FALSE),"")&lt;&gt;勤務統計!$D$1),
        AND(勤務統計!$E$1&lt;&gt;"--", IFERROR(VLOOKUP(A247,'0919門市清單主檔'!B:AH,32,FALSE),"")=勤務統計!$E$1, IFERROR(VLOOKUP(A247,勤務統計!A:S,19,FALSE),"")&lt;&gt;勤務統計!$E$1),
        AND(勤務統計!$F$1&lt;&gt;"--", IFERROR(VLOOKUP(A247,'0919門市清單主檔'!B:AH,33,FALSE),"")=勤務統計!$F$1, IFERROR(VLOOKUP(A247,勤務統計!A:U,21,FALSE),"")&lt;&gt;勤務統計!$F$1),
        AND(IFERROR(VLOOKUP(A247,'0919門市清單主檔'!B:AH,28,FALSE),"")="HUB", IFERROR(VLOOKUP(A247,勤務統計!A:W,23,FALSE),"")&lt;&gt;"HUB")
      ),
      _xlfn.TEXTJOIN(
        "，",
        TRUE,
        IF(AND(勤務統計!$D$1&lt;&gt;"--", IFERROR(VLOOKUP(A247,'0919門市清單主檔'!B:AH,31,FALSE),"")=勤務統計!$D$1, IFERROR(VLOOKUP(A247,勤務統計!A:Q,17,FALSE),"")&lt;&gt;勤務統計!$D$1), 勤務統計!$D$1, ""),
        IF(AND(勤務統計!$E$1&lt;&gt;"--", IFERROR(VLOOKUP(A247,'0919門市清單主檔'!B:AH,32,FALSE),"")=勤務統計!$E$1, IFERROR(VLOOKUP(A247,勤務統計!A:S,19,FALSE),"")&lt;&gt;勤務統計!$E$1), 勤務統計!$E$1, ""),
        IF(AND(勤務統計!$F$1&lt;&gt;"--", IFERROR(VLOOKUP(A247,'0919門市清單主檔'!B:AH,33,FALSE),"")=勤務統計!$F$1, IFERROR(VLOOKUP(A247,勤務統計!A:U,21,FALSE),"")&lt;&gt;勤務統計!$F$1), 勤務統計!$F$1, ""),
        IF(AND(IFERROR(VLOOKUP(A247,'0919門市清單主檔'!B:AH,28,FALSE),"")="HUB", IFERROR(VLOOKUP(A247,勤務統計!A:W,23,FALSE),"")&lt;&gt;"HUB"), "HUB", "")
      ) &amp; "未完工",
      "已完工"
    )
  )
)</f>
        <v>未完工</v>
      </c>
      <c r="P247" s="435" t="str">
        <f>(TEXT(I247,"yyyymmdd"))&amp;勤務統計!$V$2&amp;A247&amp;勤務統計!$V$2&amp;B247&amp;勤務統計!$S$2</f>
        <v>-4035-龜山南上店(定保)</v>
      </c>
      <c r="Q247" s="404" t="str">
        <f t="array" ref="Q247">IF(AND(SUMPRODUCT((IM!$F$2:$F$5000=A247)*(ISNUMBER(SEARCH(勤務統計!$D$1, IM!$AC$2:$AC$5000))))&gt;0), 勤務統計!$D$1, "")</f>
        <v/>
      </c>
      <c r="R247" s="405" t="str">
        <f t="array" ref="R247">IFERROR(INDEX(IM!$AM$2:$AM$5000, MATCH(1, (IM!$F$2:$F$5000=A247) * (ISNUMBER(SEARCH(勤務統計!$D$1, IM!$AC$2:$AC$5000))), 0)), "")</f>
        <v/>
      </c>
      <c r="S247" s="406" t="str" cm="1">
        <f t="array" ref="S247">IF(AND(SUMPRODUCT((IM!$F$2:$F$5000=A247)*(ISNUMBER(SEARCH(勤務統計!$E$1, IM!$AC$2:$AC$5000))))&gt;0), 勤務統計!$E$1, "")</f>
        <v/>
      </c>
      <c r="T247" s="405" t="str">
        <f t="array" ref="T247">IFERROR(INDEX(IM!$AM$2:$AM$5000, MATCH(1, (IM!$F$2:$F$5000=A247) * (ISNUMBER(SEARCH(勤務統計!$E$1, IM!$AC$2:$AC$5000))), 0)), "")</f>
        <v/>
      </c>
      <c r="U247" s="406" t="str" cm="1">
        <f t="array" ref="U247">IF(AND(SUMPRODUCT((IM!$F$2:$F$5000=A247)*(ISNUMBER(SEARCH(勤務統計!$F$1, IM!$AC$2:$AC$5000))))&gt;0), 勤務統計!$F$1, "")</f>
        <v/>
      </c>
      <c r="V247" s="405" t="str">
        <f t="array" ref="V247">IFERROR(INDEX(IM!$AM$2:$AM$5000, MATCH(1, (IM!$F$2:$F$5000=A247) * (ISNUMBER(SEARCH(勤務統計!$F$1, IM!$AC$2:$AC$5000))), 0)), "")</f>
        <v/>
      </c>
      <c r="W247" s="436" t="str">
        <f>IF(VLOOKUP(A247,'0919門市清單主檔'!B:AC,28,FALSE)=0,"",VLOOKUP(A247,'0919門市清單主檔'!B:AC,28,FALSE))</f>
        <v/>
      </c>
    </row>
    <row r="248" spans="1:23" ht="21.6" customHeight="1">
      <c r="A248" s="409">
        <v>4197</v>
      </c>
      <c r="B248" s="409" t="str">
        <f>VLOOKUP(A248,'0919門市清單主檔'!B:C,2,FALSE)</f>
        <v>龜山崇優店</v>
      </c>
      <c r="C248" s="409" t="str">
        <f>VLOOKUP($A248,'0919門市清單主檔'!B:V,20,FALSE)</f>
        <v>桃園市</v>
      </c>
      <c r="D248" s="409" t="str">
        <f>VLOOKUP($A248,'0919門市清單主檔'!B:V,21,FALSE)</f>
        <v>龜山區</v>
      </c>
      <c r="E248" s="397" t="str">
        <f>VLOOKUP(D248,門市狀態!G:H,2,FALSE)</f>
        <v>吳宗鴻</v>
      </c>
      <c r="F248" s="409" t="str">
        <f>IFERROR(IF(VLOOKUP(A248,門市狀態!A:D,4,FALSE)=0,"",VLOOKUP(A248,門市狀態!A:D,4,FALSE)),"")</f>
        <v/>
      </c>
      <c r="G248" s="409"/>
      <c r="H248" s="411" t="str">
        <f>IF(I248&gt;0,(TEXT(I248,"yyyymmdd")&amp;勤務統計!$V$2&amp;A248&amp;勤務統計!$V$2&amp;B248&amp;勤務統計!$S$2),"")</f>
        <v>-4197-龜山崇優店(定保)</v>
      </c>
      <c r="I248" s="247" t="str">
        <f t="array" ref="I248">IF(AND(SUMPRODUCT((IM!$F$2:$F$5000=A248)*(ISNUMBER(SEARCH(勤務統計!$C$1, IM!$AC$2:$AC$5000))))&gt;0), 勤務統計!$C$1, "")</f>
        <v/>
      </c>
      <c r="J248" s="399" t="str">
        <f t="array" ref="J248">IFERROR(INDEX(IM!$AM$2:$AM$5000, MATCH(1, (IM!$F$2:$F$5000=A248) * (ISNUMBER(SEARCH(勤務統計!$C$1, IM!$AC$2:$AC$5000))), 0)), "")</f>
        <v/>
      </c>
      <c r="K248" s="400">
        <f t="array" ref="K248">SUMPRODUCT((IM!$F$2:$F$5000=A248)*(IM!$AD$2:$AD$5000="O")*(ISNUMBER(SEARCH(勤務統計!$C$1, IM!$AC$2:$AC$5000))))</f>
        <v>0</v>
      </c>
      <c r="L248" s="401" t="str">
        <f t="array" ref="L248">IF(K248&gt;0,IFERROR(HYPERLINK("#'IM'!AC"&amp;MATCH(1,(IM!$F$1:$F$5000=A248)*(ISNUMBER(SEARCH(勤務統計!$C$1,IM!$AC$1:$AC$5000))),0),"檢核"),"未登錄"),"")</f>
        <v/>
      </c>
      <c r="M248" s="402" t="str">
        <f t="shared" si="3"/>
        <v/>
      </c>
      <c r="N248" s="402" t="str">
        <f t="array" ref="N248">IF(AND(
    SUMPRODUCT(
        (IM!$F$2:$F$522=A248) *
        ISNUMBER(SEARCH("*HUB*", IM!$AC$2:$AC$522)) *
        (IM!$X$2:$X$522&gt;=勤務統計!$A$1) *
        (IM!$X$2:$X$522&lt;=勤務統計!$B$1)*(W248="HUB")
    ) &gt; 0
), "HUB", "")</f>
        <v/>
      </c>
      <c r="O248" s="400" t="str">
        <f>IF(
  IFERROR(VLOOKUP(A248,勤務統計!A:I,9,FALSE),"")&lt;&gt;勤務統計!$C$1,
  "未完工",
  IF(
    AND(勤務統計!$D$1="--",勤務統計!$E$1="--",勤務統計!$F$1="--"),
    "已完工",
    IF(
      OR(
        AND(勤務統計!$D$1&lt;&gt;"--", IFERROR(VLOOKUP(A248,'0919門市清單主檔'!B:AH,31,FALSE),"")=勤務統計!$D$1, IFERROR(VLOOKUP(A248,勤務統計!A:Q,17,FALSE),"")&lt;&gt;勤務統計!$D$1),
        AND(勤務統計!$E$1&lt;&gt;"--", IFERROR(VLOOKUP(A248,'0919門市清單主檔'!B:AH,32,FALSE),"")=勤務統計!$E$1, IFERROR(VLOOKUP(A248,勤務統計!A:S,19,FALSE),"")&lt;&gt;勤務統計!$E$1),
        AND(勤務統計!$F$1&lt;&gt;"--", IFERROR(VLOOKUP(A248,'0919門市清單主檔'!B:AH,33,FALSE),"")=勤務統計!$F$1, IFERROR(VLOOKUP(A248,勤務統計!A:U,21,FALSE),"")&lt;&gt;勤務統計!$F$1),
        AND(IFERROR(VLOOKUP(A248,'0919門市清單主檔'!B:AH,28,FALSE),"")="HUB", IFERROR(VLOOKUP(A248,勤務統計!A:W,23,FALSE),"")&lt;&gt;"HUB")
      ),
      _xlfn.TEXTJOIN(
        "，",
        TRUE,
        IF(AND(勤務統計!$D$1&lt;&gt;"--", IFERROR(VLOOKUP(A248,'0919門市清單主檔'!B:AH,31,FALSE),"")=勤務統計!$D$1, IFERROR(VLOOKUP(A248,勤務統計!A:Q,17,FALSE),"")&lt;&gt;勤務統計!$D$1), 勤務統計!$D$1, ""),
        IF(AND(勤務統計!$E$1&lt;&gt;"--", IFERROR(VLOOKUP(A248,'0919門市清單主檔'!B:AH,32,FALSE),"")=勤務統計!$E$1, IFERROR(VLOOKUP(A248,勤務統計!A:S,19,FALSE),"")&lt;&gt;勤務統計!$E$1), 勤務統計!$E$1, ""),
        IF(AND(勤務統計!$F$1&lt;&gt;"--", IFERROR(VLOOKUP(A248,'0919門市清單主檔'!B:AH,33,FALSE),"")=勤務統計!$F$1, IFERROR(VLOOKUP(A248,勤務統計!A:U,21,FALSE),"")&lt;&gt;勤務統計!$F$1), 勤務統計!$F$1, ""),
        IF(AND(IFERROR(VLOOKUP(A248,'0919門市清單主檔'!B:AH,28,FALSE),"")="HUB", IFERROR(VLOOKUP(A248,勤務統計!A:W,23,FALSE),"")&lt;&gt;"HUB"), "HUB", "")
      ) &amp; "未完工",
      "已完工"
    )
  )
)</f>
        <v>未完工</v>
      </c>
      <c r="P248" s="435" t="str">
        <f>(TEXT(I248,"yyyymmdd"))&amp;勤務統計!$V$2&amp;A248&amp;勤務統計!$V$2&amp;B248&amp;勤務統計!$S$2</f>
        <v>-4197-龜山崇優店(定保)</v>
      </c>
      <c r="Q248" s="404" t="str">
        <f t="array" ref="Q248">IF(AND(SUMPRODUCT((IM!$F$2:$F$5000=A248)*(ISNUMBER(SEARCH(勤務統計!$D$1, IM!$AC$2:$AC$5000))))&gt;0), 勤務統計!$D$1, "")</f>
        <v/>
      </c>
      <c r="R248" s="405" t="str">
        <f t="array" ref="R248">IFERROR(INDEX(IM!$AM$2:$AM$5000, MATCH(1, (IM!$F$2:$F$5000=A248) * (ISNUMBER(SEARCH(勤務統計!$D$1, IM!$AC$2:$AC$5000))), 0)), "")</f>
        <v/>
      </c>
      <c r="S248" s="406" t="str" cm="1">
        <f t="array" ref="S248">IF(AND(SUMPRODUCT((IM!$F$2:$F$5000=A248)*(ISNUMBER(SEARCH(勤務統計!$E$1, IM!$AC$2:$AC$5000))))&gt;0), 勤務統計!$E$1, "")</f>
        <v/>
      </c>
      <c r="T248" s="405" t="str">
        <f t="array" ref="T248">IFERROR(INDEX(IM!$AM$2:$AM$5000, MATCH(1, (IM!$F$2:$F$5000=A248) * (ISNUMBER(SEARCH(勤務統計!$E$1, IM!$AC$2:$AC$5000))), 0)), "")</f>
        <v/>
      </c>
      <c r="U248" s="406" t="str" cm="1">
        <f t="array" ref="U248">IF(AND(SUMPRODUCT((IM!$F$2:$F$5000=A248)*(ISNUMBER(SEARCH(勤務統計!$F$1, IM!$AC$2:$AC$5000))))&gt;0), 勤務統計!$F$1, "")</f>
        <v/>
      </c>
      <c r="V248" s="405" t="str">
        <f t="array" ref="V248">IFERROR(INDEX(IM!$AM$2:$AM$5000, MATCH(1, (IM!$F$2:$F$5000=A248) * (ISNUMBER(SEARCH(勤務統計!$F$1, IM!$AC$2:$AC$5000))), 0)), "")</f>
        <v/>
      </c>
      <c r="W248" s="436" t="str">
        <f>IF(VLOOKUP(A248,'0919門市清單主檔'!B:AC,28,FALSE)=0,"",VLOOKUP(A248,'0919門市清單主檔'!B:AC,28,FALSE))</f>
        <v/>
      </c>
    </row>
    <row r="249" spans="1:23" ht="21.6" customHeight="1">
      <c r="A249" s="409">
        <v>4629</v>
      </c>
      <c r="B249" s="409" t="str">
        <f>VLOOKUP(A249,'0919門市清單主檔'!B:C,2,FALSE)</f>
        <v>龜山警大店</v>
      </c>
      <c r="C249" s="409" t="str">
        <f>VLOOKUP($A249,'0919門市清單主檔'!B:V,20,FALSE)</f>
        <v>桃園市</v>
      </c>
      <c r="D249" s="409" t="str">
        <f>VLOOKUP($A249,'0919門市清單主檔'!B:V,21,FALSE)</f>
        <v>蘆竹區</v>
      </c>
      <c r="E249" s="397" t="str">
        <f>VLOOKUP(D249,門市狀態!G:H,2,FALSE)</f>
        <v>吳宗鴻</v>
      </c>
      <c r="F249" s="409" t="str">
        <f>IFERROR(IF(VLOOKUP(A249,門市狀態!A:D,4,FALSE)=0,"",VLOOKUP(A249,門市狀態!A:D,4,FALSE)),"")</f>
        <v/>
      </c>
      <c r="G249" s="409"/>
      <c r="H249" s="411" t="str">
        <f>IF(I249&gt;0,(TEXT(I249,"yyyymmdd")&amp;勤務統計!$V$2&amp;A249&amp;勤務統計!$V$2&amp;B249&amp;勤務統計!$S$2),"")</f>
        <v>-4629-龜山警大店(定保)</v>
      </c>
      <c r="I249" s="247" t="str">
        <f t="array" ref="I249">IF(AND(SUMPRODUCT((IM!$F$2:$F$5000=A249)*(ISNUMBER(SEARCH(勤務統計!$C$1, IM!$AC$2:$AC$5000))))&gt;0), 勤務統計!$C$1, "")</f>
        <v/>
      </c>
      <c r="J249" s="399" t="str">
        <f t="array" ref="J249">IFERROR(INDEX(IM!$AM$2:$AM$5000, MATCH(1, (IM!$F$2:$F$5000=A249) * (ISNUMBER(SEARCH(勤務統計!$C$1, IM!$AC$2:$AC$5000))), 0)), "")</f>
        <v/>
      </c>
      <c r="K249" s="400">
        <f t="array" ref="K249">SUMPRODUCT((IM!$F$2:$F$5000=A249)*(IM!$AD$2:$AD$5000="O")*(ISNUMBER(SEARCH(勤務統計!$C$1, IM!$AC$2:$AC$5000))))</f>
        <v>0</v>
      </c>
      <c r="L249" s="401" t="str">
        <f t="array" ref="L249">IF(K249&gt;0,IFERROR(HYPERLINK("#'IM'!AC"&amp;MATCH(1,(IM!$F$1:$F$5000=A249)*(ISNUMBER(SEARCH(勤務統計!$C$1,IM!$AC$1:$AC$5000))),0),"檢核"),"未登錄"),"")</f>
        <v/>
      </c>
      <c r="M249" s="402" t="str">
        <f t="shared" si="3"/>
        <v/>
      </c>
      <c r="N249" s="402" t="str">
        <f t="array" ref="N249">IF(AND(
    SUMPRODUCT(
        (IM!$F$2:$F$522=A249) *
        ISNUMBER(SEARCH("*HUB*", IM!$AC$2:$AC$522)) *
        (IM!$X$2:$X$522&gt;=勤務統計!$A$1) *
        (IM!$X$2:$X$522&lt;=勤務統計!$B$1)*(W249="HUB")
    ) &gt; 0
), "HUB", "")</f>
        <v/>
      </c>
      <c r="O249" s="400" t="str">
        <f>IF(
  IFERROR(VLOOKUP(A249,勤務統計!A:I,9,FALSE),"")&lt;&gt;勤務統計!$C$1,
  "未完工",
  IF(
    AND(勤務統計!$D$1="--",勤務統計!$E$1="--",勤務統計!$F$1="--"),
    "已完工",
    IF(
      OR(
        AND(勤務統計!$D$1&lt;&gt;"--", IFERROR(VLOOKUP(A249,'0919門市清單主檔'!B:AH,31,FALSE),"")=勤務統計!$D$1, IFERROR(VLOOKUP(A249,勤務統計!A:Q,17,FALSE),"")&lt;&gt;勤務統計!$D$1),
        AND(勤務統計!$E$1&lt;&gt;"--", IFERROR(VLOOKUP(A249,'0919門市清單主檔'!B:AH,32,FALSE),"")=勤務統計!$E$1, IFERROR(VLOOKUP(A249,勤務統計!A:S,19,FALSE),"")&lt;&gt;勤務統計!$E$1),
        AND(勤務統計!$F$1&lt;&gt;"--", IFERROR(VLOOKUP(A249,'0919門市清單主檔'!B:AH,33,FALSE),"")=勤務統計!$F$1, IFERROR(VLOOKUP(A249,勤務統計!A:U,21,FALSE),"")&lt;&gt;勤務統計!$F$1),
        AND(IFERROR(VLOOKUP(A249,'0919門市清單主檔'!B:AH,28,FALSE),"")="HUB", IFERROR(VLOOKUP(A249,勤務統計!A:W,23,FALSE),"")&lt;&gt;"HUB")
      ),
      _xlfn.TEXTJOIN(
        "，",
        TRUE,
        IF(AND(勤務統計!$D$1&lt;&gt;"--", IFERROR(VLOOKUP(A249,'0919門市清單主檔'!B:AH,31,FALSE),"")=勤務統計!$D$1, IFERROR(VLOOKUP(A249,勤務統計!A:Q,17,FALSE),"")&lt;&gt;勤務統計!$D$1), 勤務統計!$D$1, ""),
        IF(AND(勤務統計!$E$1&lt;&gt;"--", IFERROR(VLOOKUP(A249,'0919門市清單主檔'!B:AH,32,FALSE),"")=勤務統計!$E$1, IFERROR(VLOOKUP(A249,勤務統計!A:S,19,FALSE),"")&lt;&gt;勤務統計!$E$1), 勤務統計!$E$1, ""),
        IF(AND(勤務統計!$F$1&lt;&gt;"--", IFERROR(VLOOKUP(A249,'0919門市清單主檔'!B:AH,33,FALSE),"")=勤務統計!$F$1, IFERROR(VLOOKUP(A249,勤務統計!A:U,21,FALSE),"")&lt;&gt;勤務統計!$F$1), 勤務統計!$F$1, ""),
        IF(AND(IFERROR(VLOOKUP(A249,'0919門市清單主檔'!B:AH,28,FALSE),"")="HUB", IFERROR(VLOOKUP(A249,勤務統計!A:W,23,FALSE),"")&lt;&gt;"HUB"), "HUB", "")
      ) &amp; "未完工",
      "已完工"
    )
  )
)</f>
        <v>未完工</v>
      </c>
      <c r="P249" s="435" t="str">
        <f>(TEXT(I249,"yyyymmdd"))&amp;勤務統計!$V$2&amp;A249&amp;勤務統計!$V$2&amp;B249&amp;勤務統計!$S$2</f>
        <v>-4629-龜山警大店(定保)</v>
      </c>
      <c r="Q249" s="404" t="str">
        <f t="array" ref="Q249">IF(AND(SUMPRODUCT((IM!$F$2:$F$5000=A249)*(ISNUMBER(SEARCH(勤務統計!$D$1, IM!$AC$2:$AC$5000))))&gt;0), 勤務統計!$D$1, "")</f>
        <v/>
      </c>
      <c r="R249" s="405" t="str">
        <f t="array" ref="R249">IFERROR(INDEX(IM!$AM$2:$AM$5000, MATCH(1, (IM!$F$2:$F$5000=A249) * (ISNUMBER(SEARCH(勤務統計!$D$1, IM!$AC$2:$AC$5000))), 0)), "")</f>
        <v/>
      </c>
      <c r="S249" s="406" t="str" cm="1">
        <f t="array" ref="S249">IF(AND(SUMPRODUCT((IM!$F$2:$F$5000=A249)*(ISNUMBER(SEARCH(勤務統計!$E$1, IM!$AC$2:$AC$5000))))&gt;0), 勤務統計!$E$1, "")</f>
        <v/>
      </c>
      <c r="T249" s="405" t="str">
        <f t="array" ref="T249">IFERROR(INDEX(IM!$AM$2:$AM$5000, MATCH(1, (IM!$F$2:$F$5000=A249) * (ISNUMBER(SEARCH(勤務統計!$E$1, IM!$AC$2:$AC$5000))), 0)), "")</f>
        <v/>
      </c>
      <c r="U249" s="406" t="str" cm="1">
        <f t="array" ref="U249">IF(AND(SUMPRODUCT((IM!$F$2:$F$5000=A249)*(ISNUMBER(SEARCH(勤務統計!$F$1, IM!$AC$2:$AC$5000))))&gt;0), 勤務統計!$F$1, "")</f>
        <v/>
      </c>
      <c r="V249" s="405" t="str">
        <f t="array" ref="V249">IFERROR(INDEX(IM!$AM$2:$AM$5000, MATCH(1, (IM!$F$2:$F$5000=A249) * (ISNUMBER(SEARCH(勤務統計!$F$1, IM!$AC$2:$AC$5000))), 0)), "")</f>
        <v/>
      </c>
      <c r="W249" s="436" t="str">
        <f>IF(VLOOKUP(A249,'0919門市清單主檔'!B:AC,28,FALSE)=0,"",VLOOKUP(A249,'0919門市清單主檔'!B:AC,28,FALSE))</f>
        <v/>
      </c>
    </row>
    <row r="250" spans="1:23" ht="21.6" customHeight="1">
      <c r="A250" s="409">
        <v>4933</v>
      </c>
      <c r="B250" s="409" t="str">
        <f>VLOOKUP(A250,'0919門市清單主檔'!B:C,2,FALSE)</f>
        <v>龜山連莊店</v>
      </c>
      <c r="C250" s="409" t="str">
        <f>VLOOKUP($A250,'0919門市清單主檔'!B:V,20,FALSE)</f>
        <v>桃園市</v>
      </c>
      <c r="D250" s="409" t="str">
        <f>VLOOKUP($A250,'0919門市清單主檔'!B:V,21,FALSE)</f>
        <v>龜山區</v>
      </c>
      <c r="E250" s="397" t="str">
        <f>VLOOKUP(D250,門市狀態!G:H,2,FALSE)</f>
        <v>吳宗鴻</v>
      </c>
      <c r="F250" s="409" t="str">
        <f>IFERROR(IF(VLOOKUP(A250,門市狀態!A:D,4,FALSE)=0,"",VLOOKUP(A250,門市狀態!A:D,4,FALSE)),"")</f>
        <v/>
      </c>
      <c r="G250" s="409"/>
      <c r="H250" s="411" t="str">
        <f>IF(I250&gt;0,(TEXT(I250,"yyyymmdd")&amp;勤務統計!$V$2&amp;A250&amp;勤務統計!$V$2&amp;B250&amp;勤務統計!$S$2),"")</f>
        <v>-4933-龜山連莊店(定保)</v>
      </c>
      <c r="I250" s="247" t="str">
        <f t="array" ref="I250">IF(AND(SUMPRODUCT((IM!$F$2:$F$5000=A250)*(ISNUMBER(SEARCH(勤務統計!$C$1, IM!$AC$2:$AC$5000))))&gt;0), 勤務統計!$C$1, "")</f>
        <v/>
      </c>
      <c r="J250" s="399" t="str">
        <f t="array" ref="J250">IFERROR(INDEX(IM!$AM$2:$AM$5000, MATCH(1, (IM!$F$2:$F$5000=A250) * (ISNUMBER(SEARCH(勤務統計!$C$1, IM!$AC$2:$AC$5000))), 0)), "")</f>
        <v/>
      </c>
      <c r="K250" s="400">
        <f t="array" ref="K250">SUMPRODUCT((IM!$F$2:$F$5000=A250)*(IM!$AD$2:$AD$5000="O")*(ISNUMBER(SEARCH(勤務統計!$C$1, IM!$AC$2:$AC$5000))))</f>
        <v>0</v>
      </c>
      <c r="L250" s="401" t="str">
        <f t="array" ref="L250">IF(K250&gt;0,IFERROR(HYPERLINK("#'IM'!AC"&amp;MATCH(1,(IM!$F$1:$F$5000=A250)*(ISNUMBER(SEARCH(勤務統計!$C$1,IM!$AC$1:$AC$5000))),0),"檢核"),"未登錄"),"")</f>
        <v/>
      </c>
      <c r="M250" s="402" t="str">
        <f t="shared" si="3"/>
        <v/>
      </c>
      <c r="N250" s="402" t="str">
        <f t="array" ref="N250">IF(AND(
    SUMPRODUCT(
        (IM!$F$2:$F$522=A250) *
        ISNUMBER(SEARCH("*HUB*", IM!$AC$2:$AC$522)) *
        (IM!$X$2:$X$522&gt;=勤務統計!$A$1) *
        (IM!$X$2:$X$522&lt;=勤務統計!$B$1)*(W250="HUB")
    ) &gt; 0
), "HUB", "")</f>
        <v/>
      </c>
      <c r="O250" s="400" t="str">
        <f>IF(
  IFERROR(VLOOKUP(A250,勤務統計!A:I,9,FALSE),"")&lt;&gt;勤務統計!$C$1,
  "未完工",
  IF(
    AND(勤務統計!$D$1="--",勤務統計!$E$1="--",勤務統計!$F$1="--"),
    "已完工",
    IF(
      OR(
        AND(勤務統計!$D$1&lt;&gt;"--", IFERROR(VLOOKUP(A250,'0919門市清單主檔'!B:AH,31,FALSE),"")=勤務統計!$D$1, IFERROR(VLOOKUP(A250,勤務統計!A:Q,17,FALSE),"")&lt;&gt;勤務統計!$D$1),
        AND(勤務統計!$E$1&lt;&gt;"--", IFERROR(VLOOKUP(A250,'0919門市清單主檔'!B:AH,32,FALSE),"")=勤務統計!$E$1, IFERROR(VLOOKUP(A250,勤務統計!A:S,19,FALSE),"")&lt;&gt;勤務統計!$E$1),
        AND(勤務統計!$F$1&lt;&gt;"--", IFERROR(VLOOKUP(A250,'0919門市清單主檔'!B:AH,33,FALSE),"")=勤務統計!$F$1, IFERROR(VLOOKUP(A250,勤務統計!A:U,21,FALSE),"")&lt;&gt;勤務統計!$F$1),
        AND(IFERROR(VLOOKUP(A250,'0919門市清單主檔'!B:AH,28,FALSE),"")="HUB", IFERROR(VLOOKUP(A250,勤務統計!A:W,23,FALSE),"")&lt;&gt;"HUB")
      ),
      _xlfn.TEXTJOIN(
        "，",
        TRUE,
        IF(AND(勤務統計!$D$1&lt;&gt;"--", IFERROR(VLOOKUP(A250,'0919門市清單主檔'!B:AH,31,FALSE),"")=勤務統計!$D$1, IFERROR(VLOOKUP(A250,勤務統計!A:Q,17,FALSE),"")&lt;&gt;勤務統計!$D$1), 勤務統計!$D$1, ""),
        IF(AND(勤務統計!$E$1&lt;&gt;"--", IFERROR(VLOOKUP(A250,'0919門市清單主檔'!B:AH,32,FALSE),"")=勤務統計!$E$1, IFERROR(VLOOKUP(A250,勤務統計!A:S,19,FALSE),"")&lt;&gt;勤務統計!$E$1), 勤務統計!$E$1, ""),
        IF(AND(勤務統計!$F$1&lt;&gt;"--", IFERROR(VLOOKUP(A250,'0919門市清單主檔'!B:AH,33,FALSE),"")=勤務統計!$F$1, IFERROR(VLOOKUP(A250,勤務統計!A:U,21,FALSE),"")&lt;&gt;勤務統計!$F$1), 勤務統計!$F$1, ""),
        IF(AND(IFERROR(VLOOKUP(A250,'0919門市清單主檔'!B:AH,28,FALSE),"")="HUB", IFERROR(VLOOKUP(A250,勤務統計!A:W,23,FALSE),"")&lt;&gt;"HUB"), "HUB", "")
      ) &amp; "未完工",
      "已完工"
    )
  )
)</f>
        <v>未完工</v>
      </c>
      <c r="P250" s="435" t="str">
        <f>(TEXT(I250,"yyyymmdd"))&amp;勤務統計!$V$2&amp;A250&amp;勤務統計!$V$2&amp;B250&amp;勤務統計!$S$2</f>
        <v>-4933-龜山連莊店(定保)</v>
      </c>
      <c r="Q250" s="404" t="str">
        <f t="array" ref="Q250">IF(AND(SUMPRODUCT((IM!$F$2:$F$5000=A250)*(ISNUMBER(SEARCH(勤務統計!$D$1, IM!$AC$2:$AC$5000))))&gt;0), 勤務統計!$D$1, "")</f>
        <v/>
      </c>
      <c r="R250" s="405" t="str">
        <f t="array" ref="R250">IFERROR(INDEX(IM!$AM$2:$AM$5000, MATCH(1, (IM!$F$2:$F$5000=A250) * (ISNUMBER(SEARCH(勤務統計!$D$1, IM!$AC$2:$AC$5000))), 0)), "")</f>
        <v/>
      </c>
      <c r="S250" s="406" t="str" cm="1">
        <f t="array" ref="S250">IF(AND(SUMPRODUCT((IM!$F$2:$F$5000=A250)*(ISNUMBER(SEARCH(勤務統計!$E$1, IM!$AC$2:$AC$5000))))&gt;0), 勤務統計!$E$1, "")</f>
        <v/>
      </c>
      <c r="T250" s="405" t="str">
        <f t="array" ref="T250">IFERROR(INDEX(IM!$AM$2:$AM$5000, MATCH(1, (IM!$F$2:$F$5000=A250) * (ISNUMBER(SEARCH(勤務統計!$E$1, IM!$AC$2:$AC$5000))), 0)), "")</f>
        <v/>
      </c>
      <c r="U250" s="406" t="str" cm="1">
        <f t="array" ref="U250">IF(AND(SUMPRODUCT((IM!$F$2:$F$5000=A250)*(ISNUMBER(SEARCH(勤務統計!$F$1, IM!$AC$2:$AC$5000))))&gt;0), 勤務統計!$F$1, "")</f>
        <v/>
      </c>
      <c r="V250" s="405" t="str">
        <f t="array" ref="V250">IFERROR(INDEX(IM!$AM$2:$AM$5000, MATCH(1, (IM!$F$2:$F$5000=A250) * (ISNUMBER(SEARCH(勤務統計!$F$1, IM!$AC$2:$AC$5000))), 0)), "")</f>
        <v/>
      </c>
      <c r="W250" s="436" t="str">
        <f>IF(VLOOKUP(A250,'0919門市清單主檔'!B:AC,28,FALSE)=0,"",VLOOKUP(A250,'0919門市清單主檔'!B:AC,28,FALSE))</f>
        <v/>
      </c>
    </row>
    <row r="251" spans="1:23" ht="21.6" customHeight="1">
      <c r="A251" s="409">
        <v>5031</v>
      </c>
      <c r="B251" s="409" t="str">
        <f>VLOOKUP(A251,'0919門市清單主檔'!B:C,2,FALSE)</f>
        <v>龜山文化七</v>
      </c>
      <c r="C251" s="409" t="str">
        <f>VLOOKUP($A251,'0919門市清單主檔'!B:V,20,FALSE)</f>
        <v>桃園市</v>
      </c>
      <c r="D251" s="409" t="str">
        <f>VLOOKUP($A251,'0919門市清單主檔'!B:V,21,FALSE)</f>
        <v>蘆竹區</v>
      </c>
      <c r="E251" s="397" t="str">
        <f>VLOOKUP(D251,門市狀態!G:H,2,FALSE)</f>
        <v>吳宗鴻</v>
      </c>
      <c r="F251" s="409" t="str">
        <f>IFERROR(IF(VLOOKUP(A251,門市狀態!A:D,4,FALSE)=0,"",VLOOKUP(A251,門市狀態!A:D,4,FALSE)),"")</f>
        <v/>
      </c>
      <c r="G251" s="409"/>
      <c r="H251" s="411" t="str">
        <f>IF(I251&gt;0,(TEXT(I251,"yyyymmdd")&amp;勤務統計!$V$2&amp;A251&amp;勤務統計!$V$2&amp;B251&amp;勤務統計!$S$2),"")</f>
        <v>-5031-龜山文化七(定保)</v>
      </c>
      <c r="I251" s="247" t="str">
        <f t="array" ref="I251">IF(AND(SUMPRODUCT((IM!$F$2:$F$5000=A251)*(ISNUMBER(SEARCH(勤務統計!$C$1, IM!$AC$2:$AC$5000))))&gt;0), 勤務統計!$C$1, "")</f>
        <v/>
      </c>
      <c r="J251" s="399" t="str">
        <f t="array" ref="J251">IFERROR(INDEX(IM!$AM$2:$AM$5000, MATCH(1, (IM!$F$2:$F$5000=A251) * (ISNUMBER(SEARCH(勤務統計!$C$1, IM!$AC$2:$AC$5000))), 0)), "")</f>
        <v/>
      </c>
      <c r="K251" s="400">
        <f t="array" ref="K251">SUMPRODUCT((IM!$F$2:$F$5000=A251)*(IM!$AD$2:$AD$5000="O")*(ISNUMBER(SEARCH(勤務統計!$C$1, IM!$AC$2:$AC$5000))))</f>
        <v>0</v>
      </c>
      <c r="L251" s="401" t="str">
        <f t="array" ref="L251">IF(K251&gt;0,IFERROR(HYPERLINK("#'IM'!AC"&amp;MATCH(1,(IM!$F$1:$F$5000=A251)*(ISNUMBER(SEARCH(勤務統計!$C$1,IM!$AC$1:$AC$5000))),0),"檢核"),"未登錄"),"")</f>
        <v/>
      </c>
      <c r="M251" s="402" t="str">
        <f t="shared" si="3"/>
        <v/>
      </c>
      <c r="N251" s="402" t="str">
        <f t="array" ref="N251">IF(AND(
    SUMPRODUCT(
        (IM!$F$2:$F$522=A251) *
        ISNUMBER(SEARCH("*HUB*", IM!$AC$2:$AC$522)) *
        (IM!$X$2:$X$522&gt;=勤務統計!$A$1) *
        (IM!$X$2:$X$522&lt;=勤務統計!$B$1)*(W251="HUB")
    ) &gt; 0
), "HUB", "")</f>
        <v/>
      </c>
      <c r="O251" s="400" t="str">
        <f>IF(
  IFERROR(VLOOKUP(A251,勤務統計!A:I,9,FALSE),"")&lt;&gt;勤務統計!$C$1,
  "未完工",
  IF(
    AND(勤務統計!$D$1="--",勤務統計!$E$1="--",勤務統計!$F$1="--"),
    "已完工",
    IF(
      OR(
        AND(勤務統計!$D$1&lt;&gt;"--", IFERROR(VLOOKUP(A251,'0919門市清單主檔'!B:AH,31,FALSE),"")=勤務統計!$D$1, IFERROR(VLOOKUP(A251,勤務統計!A:Q,17,FALSE),"")&lt;&gt;勤務統計!$D$1),
        AND(勤務統計!$E$1&lt;&gt;"--", IFERROR(VLOOKUP(A251,'0919門市清單主檔'!B:AH,32,FALSE),"")=勤務統計!$E$1, IFERROR(VLOOKUP(A251,勤務統計!A:S,19,FALSE),"")&lt;&gt;勤務統計!$E$1),
        AND(勤務統計!$F$1&lt;&gt;"--", IFERROR(VLOOKUP(A251,'0919門市清單主檔'!B:AH,33,FALSE),"")=勤務統計!$F$1, IFERROR(VLOOKUP(A251,勤務統計!A:U,21,FALSE),"")&lt;&gt;勤務統計!$F$1),
        AND(IFERROR(VLOOKUP(A251,'0919門市清單主檔'!B:AH,28,FALSE),"")="HUB", IFERROR(VLOOKUP(A251,勤務統計!A:W,23,FALSE),"")&lt;&gt;"HUB")
      ),
      _xlfn.TEXTJOIN(
        "，",
        TRUE,
        IF(AND(勤務統計!$D$1&lt;&gt;"--", IFERROR(VLOOKUP(A251,'0919門市清單主檔'!B:AH,31,FALSE),"")=勤務統計!$D$1, IFERROR(VLOOKUP(A251,勤務統計!A:Q,17,FALSE),"")&lt;&gt;勤務統計!$D$1), 勤務統計!$D$1, ""),
        IF(AND(勤務統計!$E$1&lt;&gt;"--", IFERROR(VLOOKUP(A251,'0919門市清單主檔'!B:AH,32,FALSE),"")=勤務統計!$E$1, IFERROR(VLOOKUP(A251,勤務統計!A:S,19,FALSE),"")&lt;&gt;勤務統計!$E$1), 勤務統計!$E$1, ""),
        IF(AND(勤務統計!$F$1&lt;&gt;"--", IFERROR(VLOOKUP(A251,'0919門市清單主檔'!B:AH,33,FALSE),"")=勤務統計!$F$1, IFERROR(VLOOKUP(A251,勤務統計!A:U,21,FALSE),"")&lt;&gt;勤務統計!$F$1), 勤務統計!$F$1, ""),
        IF(AND(IFERROR(VLOOKUP(A251,'0919門市清單主檔'!B:AH,28,FALSE),"")="HUB", IFERROR(VLOOKUP(A251,勤務統計!A:W,23,FALSE),"")&lt;&gt;"HUB"), "HUB", "")
      ) &amp; "未完工",
      "已完工"
    )
  )
)</f>
        <v>未完工</v>
      </c>
      <c r="P251" s="435" t="str">
        <f>(TEXT(I251,"yyyymmdd"))&amp;勤務統計!$V$2&amp;A251&amp;勤務統計!$V$2&amp;B251&amp;勤務統計!$S$2</f>
        <v>-5031-龜山文化七(定保)</v>
      </c>
      <c r="Q251" s="404" t="str">
        <f t="array" ref="Q251">IF(AND(SUMPRODUCT((IM!$F$2:$F$5000=A251)*(ISNUMBER(SEARCH(勤務統計!$D$1, IM!$AC$2:$AC$5000))))&gt;0), 勤務統計!$D$1, "")</f>
        <v/>
      </c>
      <c r="R251" s="405" t="str">
        <f t="array" ref="R251">IFERROR(INDEX(IM!$AM$2:$AM$5000, MATCH(1, (IM!$F$2:$F$5000=A251) * (ISNUMBER(SEARCH(勤務統計!$D$1, IM!$AC$2:$AC$5000))), 0)), "")</f>
        <v/>
      </c>
      <c r="S251" s="406" t="str" cm="1">
        <f t="array" ref="S251">IF(AND(SUMPRODUCT((IM!$F$2:$F$5000=A251)*(ISNUMBER(SEARCH(勤務統計!$E$1, IM!$AC$2:$AC$5000))))&gt;0), 勤務統計!$E$1, "")</f>
        <v/>
      </c>
      <c r="T251" s="405" t="str">
        <f t="array" ref="T251">IFERROR(INDEX(IM!$AM$2:$AM$5000, MATCH(1, (IM!$F$2:$F$5000=A251) * (ISNUMBER(SEARCH(勤務統計!$E$1, IM!$AC$2:$AC$5000))), 0)), "")</f>
        <v/>
      </c>
      <c r="U251" s="406" t="str" cm="1">
        <f t="array" ref="U251">IF(AND(SUMPRODUCT((IM!$F$2:$F$5000=A251)*(ISNUMBER(SEARCH(勤務統計!$F$1, IM!$AC$2:$AC$5000))))&gt;0), 勤務統計!$F$1, "")</f>
        <v/>
      </c>
      <c r="V251" s="405" t="str">
        <f t="array" ref="V251">IFERROR(INDEX(IM!$AM$2:$AM$5000, MATCH(1, (IM!$F$2:$F$5000=A251) * (ISNUMBER(SEARCH(勤務統計!$F$1, IM!$AC$2:$AC$5000))), 0)), "")</f>
        <v/>
      </c>
      <c r="W251" s="436" t="str">
        <f>IF(VLOOKUP(A251,'0919門市清單主檔'!B:AC,28,FALSE)=0,"",VLOOKUP(A251,'0919門市清單主檔'!B:AC,28,FALSE))</f>
        <v/>
      </c>
    </row>
    <row r="252" spans="1:23" ht="21.6" customHeight="1">
      <c r="A252" s="409">
        <v>5075</v>
      </c>
      <c r="B252" s="409" t="str">
        <f>VLOOKUP(A252,'0919門市清單主檔'!B:C,2,FALSE)</f>
        <v>龜山復興店</v>
      </c>
      <c r="C252" s="409" t="str">
        <f>VLOOKUP($A252,'0919門市清單主檔'!B:V,20,FALSE)</f>
        <v>桃園市</v>
      </c>
      <c r="D252" s="409" t="str">
        <f>VLOOKUP($A252,'0919門市清單主檔'!B:V,21,FALSE)</f>
        <v>蘆竹區</v>
      </c>
      <c r="E252" s="397" t="str">
        <f>VLOOKUP(D252,門市狀態!G:H,2,FALSE)</f>
        <v>吳宗鴻</v>
      </c>
      <c r="F252" s="409" t="str">
        <f>IFERROR(IF(VLOOKUP(A252,門市狀態!A:D,4,FALSE)=0,"",VLOOKUP(A252,門市狀態!A:D,4,FALSE)),"")</f>
        <v/>
      </c>
      <c r="G252" s="409"/>
      <c r="H252" s="411" t="str">
        <f>IF(I252&gt;0,(TEXT(I252,"yyyymmdd")&amp;勤務統計!$V$2&amp;A252&amp;勤務統計!$V$2&amp;B252&amp;勤務統計!$S$2),"")</f>
        <v>-5075-龜山復興店(定保)</v>
      </c>
      <c r="I252" s="247" t="str">
        <f t="array" ref="I252">IF(AND(SUMPRODUCT((IM!$F$2:$F$5000=A252)*(ISNUMBER(SEARCH(勤務統計!$C$1, IM!$AC$2:$AC$5000))))&gt;0), 勤務統計!$C$1, "")</f>
        <v/>
      </c>
      <c r="J252" s="399" t="str">
        <f t="array" ref="J252">IFERROR(INDEX(IM!$AM$2:$AM$5000, MATCH(1, (IM!$F$2:$F$5000=A252) * (ISNUMBER(SEARCH(勤務統計!$C$1, IM!$AC$2:$AC$5000))), 0)), "")</f>
        <v/>
      </c>
      <c r="K252" s="400">
        <f t="array" ref="K252">SUMPRODUCT((IM!$F$2:$F$5000=A252)*(IM!$AD$2:$AD$5000="O")*(ISNUMBER(SEARCH(勤務統計!$C$1, IM!$AC$2:$AC$5000))))</f>
        <v>0</v>
      </c>
      <c r="L252" s="401" t="str">
        <f t="array" ref="L252">IF(K252&gt;0,IFERROR(HYPERLINK("#'IM'!AC"&amp;MATCH(1,(IM!$F$1:$F$5000=A252)*(ISNUMBER(SEARCH(勤務統計!$C$1,IM!$AC$1:$AC$5000))),0),"檢核"),"未登錄"),"")</f>
        <v/>
      </c>
      <c r="M252" s="402" t="str">
        <f t="shared" si="3"/>
        <v/>
      </c>
      <c r="N252" s="402" t="str">
        <f t="array" ref="N252">IF(AND(
    SUMPRODUCT(
        (IM!$F$2:$F$522=A252) *
        ISNUMBER(SEARCH("*HUB*", IM!$AC$2:$AC$522)) *
        (IM!$X$2:$X$522&gt;=勤務統計!$A$1) *
        (IM!$X$2:$X$522&lt;=勤務統計!$B$1)*(W252="HUB")
    ) &gt; 0
), "HUB", "")</f>
        <v/>
      </c>
      <c r="O252" s="400" t="str">
        <f>IF(
  IFERROR(VLOOKUP(A252,勤務統計!A:I,9,FALSE),"")&lt;&gt;勤務統計!$C$1,
  "未完工",
  IF(
    AND(勤務統計!$D$1="--",勤務統計!$E$1="--",勤務統計!$F$1="--"),
    "已完工",
    IF(
      OR(
        AND(勤務統計!$D$1&lt;&gt;"--", IFERROR(VLOOKUP(A252,'0919門市清單主檔'!B:AH,31,FALSE),"")=勤務統計!$D$1, IFERROR(VLOOKUP(A252,勤務統計!A:Q,17,FALSE),"")&lt;&gt;勤務統計!$D$1),
        AND(勤務統計!$E$1&lt;&gt;"--", IFERROR(VLOOKUP(A252,'0919門市清單主檔'!B:AH,32,FALSE),"")=勤務統計!$E$1, IFERROR(VLOOKUP(A252,勤務統計!A:S,19,FALSE),"")&lt;&gt;勤務統計!$E$1),
        AND(勤務統計!$F$1&lt;&gt;"--", IFERROR(VLOOKUP(A252,'0919門市清單主檔'!B:AH,33,FALSE),"")=勤務統計!$F$1, IFERROR(VLOOKUP(A252,勤務統計!A:U,21,FALSE),"")&lt;&gt;勤務統計!$F$1),
        AND(IFERROR(VLOOKUP(A252,'0919門市清單主檔'!B:AH,28,FALSE),"")="HUB", IFERROR(VLOOKUP(A252,勤務統計!A:W,23,FALSE),"")&lt;&gt;"HUB")
      ),
      _xlfn.TEXTJOIN(
        "，",
        TRUE,
        IF(AND(勤務統計!$D$1&lt;&gt;"--", IFERROR(VLOOKUP(A252,'0919門市清單主檔'!B:AH,31,FALSE),"")=勤務統計!$D$1, IFERROR(VLOOKUP(A252,勤務統計!A:Q,17,FALSE),"")&lt;&gt;勤務統計!$D$1), 勤務統計!$D$1, ""),
        IF(AND(勤務統計!$E$1&lt;&gt;"--", IFERROR(VLOOKUP(A252,'0919門市清單主檔'!B:AH,32,FALSE),"")=勤務統計!$E$1, IFERROR(VLOOKUP(A252,勤務統計!A:S,19,FALSE),"")&lt;&gt;勤務統計!$E$1), 勤務統計!$E$1, ""),
        IF(AND(勤務統計!$F$1&lt;&gt;"--", IFERROR(VLOOKUP(A252,'0919門市清單主檔'!B:AH,33,FALSE),"")=勤務統計!$F$1, IFERROR(VLOOKUP(A252,勤務統計!A:U,21,FALSE),"")&lt;&gt;勤務統計!$F$1), 勤務統計!$F$1, ""),
        IF(AND(IFERROR(VLOOKUP(A252,'0919門市清單主檔'!B:AH,28,FALSE),"")="HUB", IFERROR(VLOOKUP(A252,勤務統計!A:W,23,FALSE),"")&lt;&gt;"HUB"), "HUB", "")
      ) &amp; "未完工",
      "已完工"
    )
  )
)</f>
        <v>未完工</v>
      </c>
      <c r="P252" s="435" t="str">
        <f>(TEXT(I252,"yyyymmdd"))&amp;勤務統計!$V$2&amp;A252&amp;勤務統計!$V$2&amp;B252&amp;勤務統計!$S$2</f>
        <v>-5075-龜山復興店(定保)</v>
      </c>
      <c r="Q252" s="404" t="str">
        <f t="array" ref="Q252">IF(AND(SUMPRODUCT((IM!$F$2:$F$5000=A252)*(ISNUMBER(SEARCH(勤務統計!$D$1, IM!$AC$2:$AC$5000))))&gt;0), 勤務統計!$D$1, "")</f>
        <v/>
      </c>
      <c r="R252" s="405" t="str">
        <f t="array" ref="R252">IFERROR(INDEX(IM!$AM$2:$AM$5000, MATCH(1, (IM!$F$2:$F$5000=A252) * (ISNUMBER(SEARCH(勤務統計!$D$1, IM!$AC$2:$AC$5000))), 0)), "")</f>
        <v/>
      </c>
      <c r="S252" s="406" t="str" cm="1">
        <f t="array" ref="S252">IF(AND(SUMPRODUCT((IM!$F$2:$F$5000=A252)*(ISNUMBER(SEARCH(勤務統計!$E$1, IM!$AC$2:$AC$5000))))&gt;0), 勤務統計!$E$1, "")</f>
        <v/>
      </c>
      <c r="T252" s="405" t="str">
        <f t="array" ref="T252">IFERROR(INDEX(IM!$AM$2:$AM$5000, MATCH(1, (IM!$F$2:$F$5000=A252) * (ISNUMBER(SEARCH(勤務統計!$E$1, IM!$AC$2:$AC$5000))), 0)), "")</f>
        <v/>
      </c>
      <c r="U252" s="406" t="str" cm="1">
        <f t="array" ref="U252">IF(AND(SUMPRODUCT((IM!$F$2:$F$5000=A252)*(ISNUMBER(SEARCH(勤務統計!$F$1, IM!$AC$2:$AC$5000))))&gt;0), 勤務統計!$F$1, "")</f>
        <v/>
      </c>
      <c r="V252" s="405" t="str">
        <f t="array" ref="V252">IFERROR(INDEX(IM!$AM$2:$AM$5000, MATCH(1, (IM!$F$2:$F$5000=A252) * (ISNUMBER(SEARCH(勤務統計!$F$1, IM!$AC$2:$AC$5000))), 0)), "")</f>
        <v/>
      </c>
      <c r="W252" s="436" t="str">
        <f>IF(VLOOKUP(A252,'0919門市清單主檔'!B:AC,28,FALSE)=0,"",VLOOKUP(A252,'0919門市清單主檔'!B:AC,28,FALSE))</f>
        <v/>
      </c>
    </row>
    <row r="253" spans="1:23" ht="21.6" customHeight="1">
      <c r="A253" s="409">
        <v>5178</v>
      </c>
      <c r="B253" s="409" t="str">
        <f>VLOOKUP(A253,'0919門市清單主檔'!B:C,2,FALSE)</f>
        <v>龜山茶專二店</v>
      </c>
      <c r="C253" s="409" t="str">
        <f>VLOOKUP($A253,'0919門市清單主檔'!B:V,20,FALSE)</f>
        <v>桃園市</v>
      </c>
      <c r="D253" s="409" t="str">
        <f>VLOOKUP($A253,'0919門市清單主檔'!B:V,21,FALSE)</f>
        <v>蘆竹區</v>
      </c>
      <c r="E253" s="397" t="str">
        <f>VLOOKUP(D253,門市狀態!G:H,2,FALSE)</f>
        <v>吳宗鴻</v>
      </c>
      <c r="F253" s="409" t="str">
        <f>IFERROR(IF(VLOOKUP(A253,門市狀態!A:D,4,FALSE)=0,"",VLOOKUP(A253,門市狀態!A:D,4,FALSE)),"")</f>
        <v/>
      </c>
      <c r="G253" s="409"/>
      <c r="H253" s="411" t="str">
        <f>IF(I253&gt;0,(TEXT(I253,"yyyymmdd")&amp;勤務統計!$V$2&amp;A253&amp;勤務統計!$V$2&amp;B253&amp;勤務統計!$S$2),"")</f>
        <v>-5178-龜山茶專二店(定保)</v>
      </c>
      <c r="I253" s="247" t="str">
        <f t="array" ref="I253">IF(AND(SUMPRODUCT((IM!$F$2:$F$5000=A253)*(ISNUMBER(SEARCH(勤務統計!$C$1, IM!$AC$2:$AC$5000))))&gt;0), 勤務統計!$C$1, "")</f>
        <v/>
      </c>
      <c r="J253" s="399" t="str">
        <f t="array" ref="J253">IFERROR(INDEX(IM!$AM$2:$AM$5000, MATCH(1, (IM!$F$2:$F$5000=A253) * (ISNUMBER(SEARCH(勤務統計!$C$1, IM!$AC$2:$AC$5000))), 0)), "")</f>
        <v/>
      </c>
      <c r="K253" s="400">
        <f t="array" ref="K253">SUMPRODUCT((IM!$F$2:$F$5000=A253)*(IM!$AD$2:$AD$5000="O")*(ISNUMBER(SEARCH(勤務統計!$C$1, IM!$AC$2:$AC$5000))))</f>
        <v>0</v>
      </c>
      <c r="L253" s="401" t="str">
        <f t="array" ref="L253">IF(K253&gt;0,IFERROR(HYPERLINK("#'IM'!AC"&amp;MATCH(1,(IM!$F$1:$F$5000=A253)*(ISNUMBER(SEARCH(勤務統計!$C$1,IM!$AC$1:$AC$5000))),0),"檢核"),"未登錄"),"")</f>
        <v/>
      </c>
      <c r="M253" s="402" t="str">
        <f t="shared" si="3"/>
        <v/>
      </c>
      <c r="N253" s="402" t="str">
        <f t="array" ref="N253">IF(AND(
    SUMPRODUCT(
        (IM!$F$2:$F$522=A253) *
        ISNUMBER(SEARCH("*HUB*", IM!$AC$2:$AC$522)) *
        (IM!$X$2:$X$522&gt;=勤務統計!$A$1) *
        (IM!$X$2:$X$522&lt;=勤務統計!$B$1)*(W253="HUB")
    ) &gt; 0
), "HUB", "")</f>
        <v/>
      </c>
      <c r="O253" s="400" t="str">
        <f>IF(
  IFERROR(VLOOKUP(A253,勤務統計!A:I,9,FALSE),"")&lt;&gt;勤務統計!$C$1,
  "未完工",
  IF(
    AND(勤務統計!$D$1="--",勤務統計!$E$1="--",勤務統計!$F$1="--"),
    "已完工",
    IF(
      OR(
        AND(勤務統計!$D$1&lt;&gt;"--", IFERROR(VLOOKUP(A253,'0919門市清單主檔'!B:AH,31,FALSE),"")=勤務統計!$D$1, IFERROR(VLOOKUP(A253,勤務統計!A:Q,17,FALSE),"")&lt;&gt;勤務統計!$D$1),
        AND(勤務統計!$E$1&lt;&gt;"--", IFERROR(VLOOKUP(A253,'0919門市清單主檔'!B:AH,32,FALSE),"")=勤務統計!$E$1, IFERROR(VLOOKUP(A253,勤務統計!A:S,19,FALSE),"")&lt;&gt;勤務統計!$E$1),
        AND(勤務統計!$F$1&lt;&gt;"--", IFERROR(VLOOKUP(A253,'0919門市清單主檔'!B:AH,33,FALSE),"")=勤務統計!$F$1, IFERROR(VLOOKUP(A253,勤務統計!A:U,21,FALSE),"")&lt;&gt;勤務統計!$F$1),
        AND(IFERROR(VLOOKUP(A253,'0919門市清單主檔'!B:AH,28,FALSE),"")="HUB", IFERROR(VLOOKUP(A253,勤務統計!A:W,23,FALSE),"")&lt;&gt;"HUB")
      ),
      _xlfn.TEXTJOIN(
        "，",
        TRUE,
        IF(AND(勤務統計!$D$1&lt;&gt;"--", IFERROR(VLOOKUP(A253,'0919門市清單主檔'!B:AH,31,FALSE),"")=勤務統計!$D$1, IFERROR(VLOOKUP(A253,勤務統計!A:Q,17,FALSE),"")&lt;&gt;勤務統計!$D$1), 勤務統計!$D$1, ""),
        IF(AND(勤務統計!$E$1&lt;&gt;"--", IFERROR(VLOOKUP(A253,'0919門市清單主檔'!B:AH,32,FALSE),"")=勤務統計!$E$1, IFERROR(VLOOKUP(A253,勤務統計!A:S,19,FALSE),"")&lt;&gt;勤務統計!$E$1), 勤務統計!$E$1, ""),
        IF(AND(勤務統計!$F$1&lt;&gt;"--", IFERROR(VLOOKUP(A253,'0919門市清單主檔'!B:AH,33,FALSE),"")=勤務統計!$F$1, IFERROR(VLOOKUP(A253,勤務統計!A:U,21,FALSE),"")&lt;&gt;勤務統計!$F$1), 勤務統計!$F$1, ""),
        IF(AND(IFERROR(VLOOKUP(A253,'0919門市清單主檔'!B:AH,28,FALSE),"")="HUB", IFERROR(VLOOKUP(A253,勤務統計!A:W,23,FALSE),"")&lt;&gt;"HUB"), "HUB", "")
      ) &amp; "未完工",
      "已完工"
    )
  )
)</f>
        <v>未完工</v>
      </c>
      <c r="P253" s="435" t="str">
        <f>(TEXT(I253,"yyyymmdd"))&amp;勤務統計!$V$2&amp;A253&amp;勤務統計!$V$2&amp;B253&amp;勤務統計!$S$2</f>
        <v>-5178-龜山茶專二店(定保)</v>
      </c>
      <c r="Q253" s="404" t="str">
        <f t="array" ref="Q253">IF(AND(SUMPRODUCT((IM!$F$2:$F$5000=A253)*(ISNUMBER(SEARCH(勤務統計!$D$1, IM!$AC$2:$AC$5000))))&gt;0), 勤務統計!$D$1, "")</f>
        <v/>
      </c>
      <c r="R253" s="405" t="str">
        <f t="array" ref="R253">IFERROR(INDEX(IM!$AM$2:$AM$5000, MATCH(1, (IM!$F$2:$F$5000=A253) * (ISNUMBER(SEARCH(勤務統計!$D$1, IM!$AC$2:$AC$5000))), 0)), "")</f>
        <v/>
      </c>
      <c r="S253" s="406" t="str" cm="1">
        <f t="array" ref="S253">IF(AND(SUMPRODUCT((IM!$F$2:$F$5000=A253)*(ISNUMBER(SEARCH(勤務統計!$E$1, IM!$AC$2:$AC$5000))))&gt;0), 勤務統計!$E$1, "")</f>
        <v/>
      </c>
      <c r="T253" s="405" t="str">
        <f t="array" ref="T253">IFERROR(INDEX(IM!$AM$2:$AM$5000, MATCH(1, (IM!$F$2:$F$5000=A253) * (ISNUMBER(SEARCH(勤務統計!$E$1, IM!$AC$2:$AC$5000))), 0)), "")</f>
        <v/>
      </c>
      <c r="U253" s="406" t="str" cm="1">
        <f t="array" ref="U253">IF(AND(SUMPRODUCT((IM!$F$2:$F$5000=A253)*(ISNUMBER(SEARCH(勤務統計!$F$1, IM!$AC$2:$AC$5000))))&gt;0), 勤務統計!$F$1, "")</f>
        <v/>
      </c>
      <c r="V253" s="405" t="str">
        <f t="array" ref="V253">IFERROR(INDEX(IM!$AM$2:$AM$5000, MATCH(1, (IM!$F$2:$F$5000=A253) * (ISNUMBER(SEARCH(勤務統計!$F$1, IM!$AC$2:$AC$5000))), 0)), "")</f>
        <v/>
      </c>
      <c r="W253" s="436" t="str">
        <f>IF(VLOOKUP(A253,'0919門市清單主檔'!B:AC,28,FALSE)=0,"",VLOOKUP(A253,'0919門市清單主檔'!B:AC,28,FALSE))</f>
        <v/>
      </c>
    </row>
    <row r="254" spans="1:23" ht="21.6" customHeight="1">
      <c r="A254" s="409">
        <v>5248</v>
      </c>
      <c r="B254" s="409" t="str">
        <f>VLOOKUP(A254,'0919門市清單主檔'!B:C,2,FALSE)</f>
        <v>龜山慧敏店</v>
      </c>
      <c r="C254" s="409" t="str">
        <f>VLOOKUP($A254,'0919門市清單主檔'!B:V,20,FALSE)</f>
        <v>桃園市</v>
      </c>
      <c r="D254" s="409" t="str">
        <f>VLOOKUP($A254,'0919門市清單主檔'!B:V,21,FALSE)</f>
        <v>蘆竹區</v>
      </c>
      <c r="E254" s="397" t="str">
        <f>VLOOKUP(D254,門市狀態!G:H,2,FALSE)</f>
        <v>吳宗鴻</v>
      </c>
      <c r="F254" s="409" t="str">
        <f>IFERROR(IF(VLOOKUP(A254,門市狀態!A:D,4,FALSE)=0,"",VLOOKUP(A254,門市狀態!A:D,4,FALSE)),"")</f>
        <v/>
      </c>
      <c r="G254" s="409"/>
      <c r="H254" s="411" t="str">
        <f>IF(I254&gt;0,(TEXT(I254,"yyyymmdd")&amp;勤務統計!$V$2&amp;A254&amp;勤務統計!$V$2&amp;B254&amp;勤務統計!$S$2),"")</f>
        <v>-5248-龜山慧敏店(定保)</v>
      </c>
      <c r="I254" s="247" t="str">
        <f t="array" ref="I254">IF(AND(SUMPRODUCT((IM!$F$2:$F$5000=A254)*(ISNUMBER(SEARCH(勤務統計!$C$1, IM!$AC$2:$AC$5000))))&gt;0), 勤務統計!$C$1, "")</f>
        <v/>
      </c>
      <c r="J254" s="399" t="str">
        <f t="array" ref="J254">IFERROR(INDEX(IM!$AM$2:$AM$5000, MATCH(1, (IM!$F$2:$F$5000=A254) * (ISNUMBER(SEARCH(勤務統計!$C$1, IM!$AC$2:$AC$5000))), 0)), "")</f>
        <v/>
      </c>
      <c r="K254" s="400">
        <f t="array" ref="K254">SUMPRODUCT((IM!$F$2:$F$5000=A254)*(IM!$AD$2:$AD$5000="O")*(ISNUMBER(SEARCH(勤務統計!$C$1, IM!$AC$2:$AC$5000))))</f>
        <v>0</v>
      </c>
      <c r="L254" s="401" t="str">
        <f t="array" ref="L254">IF(K254&gt;0,IFERROR(HYPERLINK("#'IM'!AC"&amp;MATCH(1,(IM!$F$1:$F$5000=A254)*(ISNUMBER(SEARCH(勤務統計!$C$1,IM!$AC$1:$AC$5000))),0),"檢核"),"未登錄"),"")</f>
        <v/>
      </c>
      <c r="M254" s="402" t="str">
        <f t="shared" si="3"/>
        <v/>
      </c>
      <c r="N254" s="402" t="str">
        <f t="array" ref="N254">IF(AND(
    SUMPRODUCT(
        (IM!$F$2:$F$522=A254) *
        ISNUMBER(SEARCH("*HUB*", IM!$AC$2:$AC$522)) *
        (IM!$X$2:$X$522&gt;=勤務統計!$A$1) *
        (IM!$X$2:$X$522&lt;=勤務統計!$B$1)*(W254="HUB")
    ) &gt; 0
), "HUB", "")</f>
        <v/>
      </c>
      <c r="O254" s="400" t="str">
        <f>IF(
  IFERROR(VLOOKUP(A254,勤務統計!A:I,9,FALSE),"")&lt;&gt;勤務統計!$C$1,
  "未完工",
  IF(
    AND(勤務統計!$D$1="--",勤務統計!$E$1="--",勤務統計!$F$1="--"),
    "已完工",
    IF(
      OR(
        AND(勤務統計!$D$1&lt;&gt;"--", IFERROR(VLOOKUP(A254,'0919門市清單主檔'!B:AH,31,FALSE),"")=勤務統計!$D$1, IFERROR(VLOOKUP(A254,勤務統計!A:Q,17,FALSE),"")&lt;&gt;勤務統計!$D$1),
        AND(勤務統計!$E$1&lt;&gt;"--", IFERROR(VLOOKUP(A254,'0919門市清單主檔'!B:AH,32,FALSE),"")=勤務統計!$E$1, IFERROR(VLOOKUP(A254,勤務統計!A:S,19,FALSE),"")&lt;&gt;勤務統計!$E$1),
        AND(勤務統計!$F$1&lt;&gt;"--", IFERROR(VLOOKUP(A254,'0919門市清單主檔'!B:AH,33,FALSE),"")=勤務統計!$F$1, IFERROR(VLOOKUP(A254,勤務統計!A:U,21,FALSE),"")&lt;&gt;勤務統計!$F$1),
        AND(IFERROR(VLOOKUP(A254,'0919門市清單主檔'!B:AH,28,FALSE),"")="HUB", IFERROR(VLOOKUP(A254,勤務統計!A:W,23,FALSE),"")&lt;&gt;"HUB")
      ),
      _xlfn.TEXTJOIN(
        "，",
        TRUE,
        IF(AND(勤務統計!$D$1&lt;&gt;"--", IFERROR(VLOOKUP(A254,'0919門市清單主檔'!B:AH,31,FALSE),"")=勤務統計!$D$1, IFERROR(VLOOKUP(A254,勤務統計!A:Q,17,FALSE),"")&lt;&gt;勤務統計!$D$1), 勤務統計!$D$1, ""),
        IF(AND(勤務統計!$E$1&lt;&gt;"--", IFERROR(VLOOKUP(A254,'0919門市清單主檔'!B:AH,32,FALSE),"")=勤務統計!$E$1, IFERROR(VLOOKUP(A254,勤務統計!A:S,19,FALSE),"")&lt;&gt;勤務統計!$E$1), 勤務統計!$E$1, ""),
        IF(AND(勤務統計!$F$1&lt;&gt;"--", IFERROR(VLOOKUP(A254,'0919門市清單主檔'!B:AH,33,FALSE),"")=勤務統計!$F$1, IFERROR(VLOOKUP(A254,勤務統計!A:U,21,FALSE),"")&lt;&gt;勤務統計!$F$1), 勤務統計!$F$1, ""),
        IF(AND(IFERROR(VLOOKUP(A254,'0919門市清單主檔'!B:AH,28,FALSE),"")="HUB", IFERROR(VLOOKUP(A254,勤務統計!A:W,23,FALSE),"")&lt;&gt;"HUB"), "HUB", "")
      ) &amp; "未完工",
      "已完工"
    )
  )
)</f>
        <v>未完工</v>
      </c>
      <c r="P254" s="435" t="str">
        <f>(TEXT(I254,"yyyymmdd"))&amp;勤務統計!$V$2&amp;A254&amp;勤務統計!$V$2&amp;B254&amp;勤務統計!$S$2</f>
        <v>-5248-龜山慧敏店(定保)</v>
      </c>
      <c r="Q254" s="404" t="str">
        <f t="array" ref="Q254">IF(AND(SUMPRODUCT((IM!$F$2:$F$5000=A254)*(ISNUMBER(SEARCH(勤務統計!$D$1, IM!$AC$2:$AC$5000))))&gt;0), 勤務統計!$D$1, "")</f>
        <v/>
      </c>
      <c r="R254" s="405" t="str">
        <f t="array" ref="R254">IFERROR(INDEX(IM!$AM$2:$AM$5000, MATCH(1, (IM!$F$2:$F$5000=A254) * (ISNUMBER(SEARCH(勤務統計!$D$1, IM!$AC$2:$AC$5000))), 0)), "")</f>
        <v/>
      </c>
      <c r="S254" s="406" t="str" cm="1">
        <f t="array" ref="S254">IF(AND(SUMPRODUCT((IM!$F$2:$F$5000=A254)*(ISNUMBER(SEARCH(勤務統計!$E$1, IM!$AC$2:$AC$5000))))&gt;0), 勤務統計!$E$1, "")</f>
        <v/>
      </c>
      <c r="T254" s="405" t="str">
        <f t="array" ref="T254">IFERROR(INDEX(IM!$AM$2:$AM$5000, MATCH(1, (IM!$F$2:$F$5000=A254) * (ISNUMBER(SEARCH(勤務統計!$E$1, IM!$AC$2:$AC$5000))), 0)), "")</f>
        <v/>
      </c>
      <c r="U254" s="406" t="str" cm="1">
        <f t="array" ref="U254">IF(AND(SUMPRODUCT((IM!$F$2:$F$5000=A254)*(ISNUMBER(SEARCH(勤務統計!$F$1, IM!$AC$2:$AC$5000))))&gt;0), 勤務統計!$F$1, "")</f>
        <v/>
      </c>
      <c r="V254" s="405" t="str">
        <f t="array" ref="V254">IFERROR(INDEX(IM!$AM$2:$AM$5000, MATCH(1, (IM!$F$2:$F$5000=A254) * (ISNUMBER(SEARCH(勤務統計!$F$1, IM!$AC$2:$AC$5000))), 0)), "")</f>
        <v/>
      </c>
      <c r="W254" s="436" t="str">
        <f>IF(VLOOKUP(A254,'0919門市清單主檔'!B:AC,28,FALSE)=0,"",VLOOKUP(A254,'0919門市清單主檔'!B:AC,28,FALSE))</f>
        <v/>
      </c>
    </row>
    <row r="255" spans="1:23" ht="21.6" customHeight="1">
      <c r="A255" s="409">
        <v>5251</v>
      </c>
      <c r="B255" s="409" t="str">
        <f>VLOOKUP(A255,'0919門市清單主檔'!B:C,2,FALSE)</f>
        <v>龜山明德樓</v>
      </c>
      <c r="C255" s="409" t="str">
        <f>VLOOKUP($A255,'0919門市清單主檔'!B:V,20,FALSE)</f>
        <v>桃園市</v>
      </c>
      <c r="D255" s="409" t="str">
        <f>VLOOKUP($A255,'0919門市清單主檔'!B:V,21,FALSE)</f>
        <v>蘆竹區</v>
      </c>
      <c r="E255" s="397" t="str">
        <f>VLOOKUP(D255,門市狀態!G:H,2,FALSE)</f>
        <v>吳宗鴻</v>
      </c>
      <c r="F255" s="409" t="str">
        <f>IFERROR(IF(VLOOKUP(A255,門市狀態!A:D,4,FALSE)=0,"",VLOOKUP(A255,門市狀態!A:D,4,FALSE)),"")</f>
        <v/>
      </c>
      <c r="G255" s="409"/>
      <c r="H255" s="411" t="str">
        <f>IF(I255&gt;0,(TEXT(I255,"yyyymmdd")&amp;勤務統計!$V$2&amp;A255&amp;勤務統計!$V$2&amp;B255&amp;勤務統計!$S$2),"")</f>
        <v>-5251-龜山明德樓(定保)</v>
      </c>
      <c r="I255" s="247" t="str">
        <f t="array" ref="I255">IF(AND(SUMPRODUCT((IM!$F$2:$F$5000=A255)*(ISNUMBER(SEARCH(勤務統計!$C$1, IM!$AC$2:$AC$5000))))&gt;0), 勤務統計!$C$1, "")</f>
        <v/>
      </c>
      <c r="J255" s="399" t="str">
        <f t="array" ref="J255">IFERROR(INDEX(IM!$AM$2:$AM$5000, MATCH(1, (IM!$F$2:$F$5000=A255) * (ISNUMBER(SEARCH(勤務統計!$C$1, IM!$AC$2:$AC$5000))), 0)), "")</f>
        <v/>
      </c>
      <c r="K255" s="400">
        <f t="array" ref="K255">SUMPRODUCT((IM!$F$2:$F$5000=A255)*(IM!$AD$2:$AD$5000="O")*(ISNUMBER(SEARCH(勤務統計!$C$1, IM!$AC$2:$AC$5000))))</f>
        <v>0</v>
      </c>
      <c r="L255" s="401" t="str">
        <f t="array" ref="L255">IF(K255&gt;0,IFERROR(HYPERLINK("#'IM'!AC"&amp;MATCH(1,(IM!$F$1:$F$5000=A255)*(ISNUMBER(SEARCH(勤務統計!$C$1,IM!$AC$1:$AC$5000))),0),"檢核"),"未登錄"),"")</f>
        <v/>
      </c>
      <c r="M255" s="402" t="str">
        <f t="shared" si="3"/>
        <v/>
      </c>
      <c r="N255" s="402" t="str">
        <f t="array" ref="N255">IF(AND(
    SUMPRODUCT(
        (IM!$F$2:$F$522=A255) *
        ISNUMBER(SEARCH("*HUB*", IM!$AC$2:$AC$522)) *
        (IM!$X$2:$X$522&gt;=勤務統計!$A$1) *
        (IM!$X$2:$X$522&lt;=勤務統計!$B$1)*(W255="HUB")
    ) &gt; 0
), "HUB", "")</f>
        <v/>
      </c>
      <c r="O255" s="400" t="str">
        <f>IF(
  IFERROR(VLOOKUP(A255,勤務統計!A:I,9,FALSE),"")&lt;&gt;勤務統計!$C$1,
  "未完工",
  IF(
    AND(勤務統計!$D$1="--",勤務統計!$E$1="--",勤務統計!$F$1="--"),
    "已完工",
    IF(
      OR(
        AND(勤務統計!$D$1&lt;&gt;"--", IFERROR(VLOOKUP(A255,'0919門市清單主檔'!B:AH,31,FALSE),"")=勤務統計!$D$1, IFERROR(VLOOKUP(A255,勤務統計!A:Q,17,FALSE),"")&lt;&gt;勤務統計!$D$1),
        AND(勤務統計!$E$1&lt;&gt;"--", IFERROR(VLOOKUP(A255,'0919門市清單主檔'!B:AH,32,FALSE),"")=勤務統計!$E$1, IFERROR(VLOOKUP(A255,勤務統計!A:S,19,FALSE),"")&lt;&gt;勤務統計!$E$1),
        AND(勤務統計!$F$1&lt;&gt;"--", IFERROR(VLOOKUP(A255,'0919門市清單主檔'!B:AH,33,FALSE),"")=勤務統計!$F$1, IFERROR(VLOOKUP(A255,勤務統計!A:U,21,FALSE),"")&lt;&gt;勤務統計!$F$1),
        AND(IFERROR(VLOOKUP(A255,'0919門市清單主檔'!B:AH,28,FALSE),"")="HUB", IFERROR(VLOOKUP(A255,勤務統計!A:W,23,FALSE),"")&lt;&gt;"HUB")
      ),
      _xlfn.TEXTJOIN(
        "，",
        TRUE,
        IF(AND(勤務統計!$D$1&lt;&gt;"--", IFERROR(VLOOKUP(A255,'0919門市清單主檔'!B:AH,31,FALSE),"")=勤務統計!$D$1, IFERROR(VLOOKUP(A255,勤務統計!A:Q,17,FALSE),"")&lt;&gt;勤務統計!$D$1), 勤務統計!$D$1, ""),
        IF(AND(勤務統計!$E$1&lt;&gt;"--", IFERROR(VLOOKUP(A255,'0919門市清單主檔'!B:AH,32,FALSE),"")=勤務統計!$E$1, IFERROR(VLOOKUP(A255,勤務統計!A:S,19,FALSE),"")&lt;&gt;勤務統計!$E$1), 勤務統計!$E$1, ""),
        IF(AND(勤務統計!$F$1&lt;&gt;"--", IFERROR(VLOOKUP(A255,'0919門市清單主檔'!B:AH,33,FALSE),"")=勤務統計!$F$1, IFERROR(VLOOKUP(A255,勤務統計!A:U,21,FALSE),"")&lt;&gt;勤務統計!$F$1), 勤務統計!$F$1, ""),
        IF(AND(IFERROR(VLOOKUP(A255,'0919門市清單主檔'!B:AH,28,FALSE),"")="HUB", IFERROR(VLOOKUP(A255,勤務統計!A:W,23,FALSE),"")&lt;&gt;"HUB"), "HUB", "")
      ) &amp; "未完工",
      "已完工"
    )
  )
)</f>
        <v>未完工</v>
      </c>
      <c r="P255" s="435" t="str">
        <f>(TEXT(I255,"yyyymmdd"))&amp;勤務統計!$V$2&amp;A255&amp;勤務統計!$V$2&amp;B255&amp;勤務統計!$S$2</f>
        <v>-5251-龜山明德樓(定保)</v>
      </c>
      <c r="Q255" s="404" t="str">
        <f t="array" ref="Q255">IF(AND(SUMPRODUCT((IM!$F$2:$F$5000=A255)*(ISNUMBER(SEARCH(勤務統計!$D$1, IM!$AC$2:$AC$5000))))&gt;0), 勤務統計!$D$1, "")</f>
        <v/>
      </c>
      <c r="R255" s="405" t="str">
        <f t="array" ref="R255">IFERROR(INDEX(IM!$AM$2:$AM$5000, MATCH(1, (IM!$F$2:$F$5000=A255) * (ISNUMBER(SEARCH(勤務統計!$D$1, IM!$AC$2:$AC$5000))), 0)), "")</f>
        <v/>
      </c>
      <c r="S255" s="406" t="str" cm="1">
        <f t="array" ref="S255">IF(AND(SUMPRODUCT((IM!$F$2:$F$5000=A255)*(ISNUMBER(SEARCH(勤務統計!$E$1, IM!$AC$2:$AC$5000))))&gt;0), 勤務統計!$E$1, "")</f>
        <v/>
      </c>
      <c r="T255" s="405" t="str">
        <f t="array" ref="T255">IFERROR(INDEX(IM!$AM$2:$AM$5000, MATCH(1, (IM!$F$2:$F$5000=A255) * (ISNUMBER(SEARCH(勤務統計!$E$1, IM!$AC$2:$AC$5000))), 0)), "")</f>
        <v/>
      </c>
      <c r="U255" s="406" t="str" cm="1">
        <f t="array" ref="U255">IF(AND(SUMPRODUCT((IM!$F$2:$F$5000=A255)*(ISNUMBER(SEARCH(勤務統計!$F$1, IM!$AC$2:$AC$5000))))&gt;0), 勤務統計!$F$1, "")</f>
        <v/>
      </c>
      <c r="V255" s="405" t="str">
        <f t="array" ref="V255">IFERROR(INDEX(IM!$AM$2:$AM$5000, MATCH(1, (IM!$F$2:$F$5000=A255) * (ISNUMBER(SEARCH(勤務統計!$F$1, IM!$AC$2:$AC$5000))), 0)), "")</f>
        <v/>
      </c>
      <c r="W255" s="436" t="str">
        <f>IF(VLOOKUP(A255,'0919門市清單主檔'!B:AC,28,FALSE)=0,"",VLOOKUP(A255,'0919門市清單主檔'!B:AC,28,FALSE))</f>
        <v/>
      </c>
    </row>
    <row r="256" spans="1:23" ht="21.6" customHeight="1">
      <c r="A256" s="409">
        <v>5402</v>
      </c>
      <c r="B256" s="409" t="str">
        <f>VLOOKUP(A256,'0919門市清單主檔'!B:C,2,FALSE)</f>
        <v>龜山A8站</v>
      </c>
      <c r="C256" s="409" t="str">
        <f>VLOOKUP($A256,'0919門市清單主檔'!B:V,20,FALSE)</f>
        <v>桃園市</v>
      </c>
      <c r="D256" s="409" t="str">
        <f>VLOOKUP($A256,'0919門市清單主檔'!B:V,21,FALSE)</f>
        <v>蘆竹區</v>
      </c>
      <c r="E256" s="397" t="str">
        <f>VLOOKUP(D256,門市狀態!G:H,2,FALSE)</f>
        <v>吳宗鴻</v>
      </c>
      <c r="F256" s="409" t="str">
        <f>IFERROR(IF(VLOOKUP(A256,門市狀態!A:D,4,FALSE)=0,"",VLOOKUP(A256,門市狀態!A:D,4,FALSE)),"")</f>
        <v/>
      </c>
      <c r="G256" s="409"/>
      <c r="H256" s="411" t="str">
        <f>IF(I256&gt;0,(TEXT(I256,"yyyymmdd")&amp;勤務統計!$V$2&amp;A256&amp;勤務統計!$V$2&amp;B256&amp;勤務統計!$S$2),"")</f>
        <v>-5402-龜山A8站(定保)</v>
      </c>
      <c r="I256" s="247" t="str">
        <f t="array" ref="I256">IF(AND(SUMPRODUCT((IM!$F$2:$F$5000=A256)*(ISNUMBER(SEARCH(勤務統計!$C$1, IM!$AC$2:$AC$5000))))&gt;0), 勤務統計!$C$1, "")</f>
        <v/>
      </c>
      <c r="J256" s="399" t="str">
        <f t="array" ref="J256">IFERROR(INDEX(IM!$AM$2:$AM$5000, MATCH(1, (IM!$F$2:$F$5000=A256) * (ISNUMBER(SEARCH(勤務統計!$C$1, IM!$AC$2:$AC$5000))), 0)), "")</f>
        <v/>
      </c>
      <c r="K256" s="400">
        <f t="array" ref="K256">SUMPRODUCT((IM!$F$2:$F$5000=A256)*(IM!$AD$2:$AD$5000="O")*(ISNUMBER(SEARCH(勤務統計!$C$1, IM!$AC$2:$AC$5000))))</f>
        <v>0</v>
      </c>
      <c r="L256" s="401" t="str">
        <f t="array" ref="L256">IF(K256&gt;0,IFERROR(HYPERLINK("#'IM'!AC"&amp;MATCH(1,(IM!$F$1:$F$5000=A256)*(ISNUMBER(SEARCH(勤務統計!$C$1,IM!$AC$1:$AC$5000))),0),"檢核"),"未登錄"),"")</f>
        <v/>
      </c>
      <c r="M256" s="402" t="str">
        <f t="shared" si="3"/>
        <v/>
      </c>
      <c r="N256" s="402" t="str">
        <f t="array" ref="N256">IF(AND(
    SUMPRODUCT(
        (IM!$F$2:$F$522=A256) *
        ISNUMBER(SEARCH("*HUB*", IM!$AC$2:$AC$522)) *
        (IM!$X$2:$X$522&gt;=勤務統計!$A$1) *
        (IM!$X$2:$X$522&lt;=勤務統計!$B$1)*(W256="HUB")
    ) &gt; 0
), "HUB", "")</f>
        <v/>
      </c>
      <c r="O256" s="400" t="str">
        <f>IF(
  IFERROR(VLOOKUP(A256,勤務統計!A:I,9,FALSE),"")&lt;&gt;勤務統計!$C$1,
  "未完工",
  IF(
    AND(勤務統計!$D$1="--",勤務統計!$E$1="--",勤務統計!$F$1="--"),
    "已完工",
    IF(
      OR(
        AND(勤務統計!$D$1&lt;&gt;"--", IFERROR(VLOOKUP(A256,'0919門市清單主檔'!B:AH,31,FALSE),"")=勤務統計!$D$1, IFERROR(VLOOKUP(A256,勤務統計!A:Q,17,FALSE),"")&lt;&gt;勤務統計!$D$1),
        AND(勤務統計!$E$1&lt;&gt;"--", IFERROR(VLOOKUP(A256,'0919門市清單主檔'!B:AH,32,FALSE),"")=勤務統計!$E$1, IFERROR(VLOOKUP(A256,勤務統計!A:S,19,FALSE),"")&lt;&gt;勤務統計!$E$1),
        AND(勤務統計!$F$1&lt;&gt;"--", IFERROR(VLOOKUP(A256,'0919門市清單主檔'!B:AH,33,FALSE),"")=勤務統計!$F$1, IFERROR(VLOOKUP(A256,勤務統計!A:U,21,FALSE),"")&lt;&gt;勤務統計!$F$1),
        AND(IFERROR(VLOOKUP(A256,'0919門市清單主檔'!B:AH,28,FALSE),"")="HUB", IFERROR(VLOOKUP(A256,勤務統計!A:W,23,FALSE),"")&lt;&gt;"HUB")
      ),
      _xlfn.TEXTJOIN(
        "，",
        TRUE,
        IF(AND(勤務統計!$D$1&lt;&gt;"--", IFERROR(VLOOKUP(A256,'0919門市清單主檔'!B:AH,31,FALSE),"")=勤務統計!$D$1, IFERROR(VLOOKUP(A256,勤務統計!A:Q,17,FALSE),"")&lt;&gt;勤務統計!$D$1), 勤務統計!$D$1, ""),
        IF(AND(勤務統計!$E$1&lt;&gt;"--", IFERROR(VLOOKUP(A256,'0919門市清單主檔'!B:AH,32,FALSE),"")=勤務統計!$E$1, IFERROR(VLOOKUP(A256,勤務統計!A:S,19,FALSE),"")&lt;&gt;勤務統計!$E$1), 勤務統計!$E$1, ""),
        IF(AND(勤務統計!$F$1&lt;&gt;"--", IFERROR(VLOOKUP(A256,'0919門市清單主檔'!B:AH,33,FALSE),"")=勤務統計!$F$1, IFERROR(VLOOKUP(A256,勤務統計!A:U,21,FALSE),"")&lt;&gt;勤務統計!$F$1), 勤務統計!$F$1, ""),
        IF(AND(IFERROR(VLOOKUP(A256,'0919門市清單主檔'!B:AH,28,FALSE),"")="HUB", IFERROR(VLOOKUP(A256,勤務統計!A:W,23,FALSE),"")&lt;&gt;"HUB"), "HUB", "")
      ) &amp; "未完工",
      "已完工"
    )
  )
)</f>
        <v>未完工</v>
      </c>
      <c r="P256" s="435" t="str">
        <f>(TEXT(I256,"yyyymmdd"))&amp;勤務統計!$V$2&amp;A256&amp;勤務統計!$V$2&amp;B256&amp;勤務統計!$S$2</f>
        <v>-5402-龜山A8站(定保)</v>
      </c>
      <c r="Q256" s="404" t="str">
        <f t="array" ref="Q256">IF(AND(SUMPRODUCT((IM!$F$2:$F$5000=A256)*(ISNUMBER(SEARCH(勤務統計!$D$1, IM!$AC$2:$AC$5000))))&gt;0), 勤務統計!$D$1, "")</f>
        <v/>
      </c>
      <c r="R256" s="405" t="str">
        <f t="array" ref="R256">IFERROR(INDEX(IM!$AM$2:$AM$5000, MATCH(1, (IM!$F$2:$F$5000=A256) * (ISNUMBER(SEARCH(勤務統計!$D$1, IM!$AC$2:$AC$5000))), 0)), "")</f>
        <v/>
      </c>
      <c r="S256" s="406" t="str" cm="1">
        <f t="array" ref="S256">IF(AND(SUMPRODUCT((IM!$F$2:$F$5000=A256)*(ISNUMBER(SEARCH(勤務統計!$E$1, IM!$AC$2:$AC$5000))))&gt;0), 勤務統計!$E$1, "")</f>
        <v/>
      </c>
      <c r="T256" s="405" t="str">
        <f t="array" ref="T256">IFERROR(INDEX(IM!$AM$2:$AM$5000, MATCH(1, (IM!$F$2:$F$5000=A256) * (ISNUMBER(SEARCH(勤務統計!$E$1, IM!$AC$2:$AC$5000))), 0)), "")</f>
        <v/>
      </c>
      <c r="U256" s="406" t="str" cm="1">
        <f t="array" ref="U256">IF(AND(SUMPRODUCT((IM!$F$2:$F$5000=A256)*(ISNUMBER(SEARCH(勤務統計!$F$1, IM!$AC$2:$AC$5000))))&gt;0), 勤務統計!$F$1, "")</f>
        <v/>
      </c>
      <c r="V256" s="405" t="str">
        <f t="array" ref="V256">IFERROR(INDEX(IM!$AM$2:$AM$5000, MATCH(1, (IM!$F$2:$F$5000=A256) * (ISNUMBER(SEARCH(勤務統計!$F$1, IM!$AC$2:$AC$5000))), 0)), "")</f>
        <v/>
      </c>
      <c r="W256" s="436" t="str">
        <f>IF(VLOOKUP(A256,'0919門市清單主檔'!B:AC,28,FALSE)=0,"",VLOOKUP(A256,'0919門市清單主檔'!B:AC,28,FALSE))</f>
        <v/>
      </c>
    </row>
    <row r="257" spans="1:23" ht="21.6" customHeight="1">
      <c r="A257" s="409">
        <v>5465</v>
      </c>
      <c r="B257" s="409" t="str">
        <f>VLOOKUP(A257,'0919門市清單主檔'!B:C,2,FALSE)</f>
        <v>龜山庚勤樓</v>
      </c>
      <c r="C257" s="409" t="str">
        <f>VLOOKUP($A257,'0919門市清單主檔'!B:V,20,FALSE)</f>
        <v>桃園市</v>
      </c>
      <c r="D257" s="409" t="str">
        <f>VLOOKUP($A257,'0919門市清單主檔'!B:V,21,FALSE)</f>
        <v>蘆竹區</v>
      </c>
      <c r="E257" s="397" t="str">
        <f>VLOOKUP(D257,門市狀態!G:H,2,FALSE)</f>
        <v>吳宗鴻</v>
      </c>
      <c r="F257" s="409" t="str">
        <f>IFERROR(IF(VLOOKUP(A257,門市狀態!A:D,4,FALSE)=0,"",VLOOKUP(A257,門市狀態!A:D,4,FALSE)),"")</f>
        <v/>
      </c>
      <c r="G257" s="409"/>
      <c r="H257" s="411" t="str">
        <f>IF(I257&gt;0,(TEXT(I257,"yyyymmdd")&amp;勤務統計!$V$2&amp;A257&amp;勤務統計!$V$2&amp;B257&amp;勤務統計!$S$2),"")</f>
        <v>-5465-龜山庚勤樓(定保)</v>
      </c>
      <c r="I257" s="247" t="str">
        <f t="array" ref="I257">IF(AND(SUMPRODUCT((IM!$F$2:$F$5000=A257)*(ISNUMBER(SEARCH(勤務統計!$C$1, IM!$AC$2:$AC$5000))))&gt;0), 勤務統計!$C$1, "")</f>
        <v/>
      </c>
      <c r="J257" s="399" t="str">
        <f t="array" ref="J257">IFERROR(INDEX(IM!$AM$2:$AM$5000, MATCH(1, (IM!$F$2:$F$5000=A257) * (ISNUMBER(SEARCH(勤務統計!$C$1, IM!$AC$2:$AC$5000))), 0)), "")</f>
        <v/>
      </c>
      <c r="K257" s="400">
        <f t="array" ref="K257">SUMPRODUCT((IM!$F$2:$F$5000=A257)*(IM!$AD$2:$AD$5000="O")*(ISNUMBER(SEARCH(勤務統計!$C$1, IM!$AC$2:$AC$5000))))</f>
        <v>0</v>
      </c>
      <c r="L257" s="401" t="str">
        <f t="array" ref="L257">IF(K257&gt;0,IFERROR(HYPERLINK("#'IM'!AC"&amp;MATCH(1,(IM!$F$1:$F$5000=A257)*(ISNUMBER(SEARCH(勤務統計!$C$1,IM!$AC$1:$AC$5000))),0),"檢核"),"未登錄"),"")</f>
        <v/>
      </c>
      <c r="M257" s="402" t="str">
        <f t="shared" si="3"/>
        <v/>
      </c>
      <c r="N257" s="402" t="str">
        <f t="array" ref="N257">IF(AND(
    SUMPRODUCT(
        (IM!$F$2:$F$522=A257) *
        ISNUMBER(SEARCH("*HUB*", IM!$AC$2:$AC$522)) *
        (IM!$X$2:$X$522&gt;=勤務統計!$A$1) *
        (IM!$X$2:$X$522&lt;=勤務統計!$B$1)*(W257="HUB")
    ) &gt; 0
), "HUB", "")</f>
        <v/>
      </c>
      <c r="O257" s="400" t="str">
        <f>IF(
  IFERROR(VLOOKUP(A257,勤務統計!A:I,9,FALSE),"")&lt;&gt;勤務統計!$C$1,
  "未完工",
  IF(
    AND(勤務統計!$D$1="--",勤務統計!$E$1="--",勤務統計!$F$1="--"),
    "已完工",
    IF(
      OR(
        AND(勤務統計!$D$1&lt;&gt;"--", IFERROR(VLOOKUP(A257,'0919門市清單主檔'!B:AH,31,FALSE),"")=勤務統計!$D$1, IFERROR(VLOOKUP(A257,勤務統計!A:Q,17,FALSE),"")&lt;&gt;勤務統計!$D$1),
        AND(勤務統計!$E$1&lt;&gt;"--", IFERROR(VLOOKUP(A257,'0919門市清單主檔'!B:AH,32,FALSE),"")=勤務統計!$E$1, IFERROR(VLOOKUP(A257,勤務統計!A:S,19,FALSE),"")&lt;&gt;勤務統計!$E$1),
        AND(勤務統計!$F$1&lt;&gt;"--", IFERROR(VLOOKUP(A257,'0919門市清單主檔'!B:AH,33,FALSE),"")=勤務統計!$F$1, IFERROR(VLOOKUP(A257,勤務統計!A:U,21,FALSE),"")&lt;&gt;勤務統計!$F$1),
        AND(IFERROR(VLOOKUP(A257,'0919門市清單主檔'!B:AH,28,FALSE),"")="HUB", IFERROR(VLOOKUP(A257,勤務統計!A:W,23,FALSE),"")&lt;&gt;"HUB")
      ),
      _xlfn.TEXTJOIN(
        "，",
        TRUE,
        IF(AND(勤務統計!$D$1&lt;&gt;"--", IFERROR(VLOOKUP(A257,'0919門市清單主檔'!B:AH,31,FALSE),"")=勤務統計!$D$1, IFERROR(VLOOKUP(A257,勤務統計!A:Q,17,FALSE),"")&lt;&gt;勤務統計!$D$1), 勤務統計!$D$1, ""),
        IF(AND(勤務統計!$E$1&lt;&gt;"--", IFERROR(VLOOKUP(A257,'0919門市清單主檔'!B:AH,32,FALSE),"")=勤務統計!$E$1, IFERROR(VLOOKUP(A257,勤務統計!A:S,19,FALSE),"")&lt;&gt;勤務統計!$E$1), 勤務統計!$E$1, ""),
        IF(AND(勤務統計!$F$1&lt;&gt;"--", IFERROR(VLOOKUP(A257,'0919門市清單主檔'!B:AH,33,FALSE),"")=勤務統計!$F$1, IFERROR(VLOOKUP(A257,勤務統計!A:U,21,FALSE),"")&lt;&gt;勤務統計!$F$1), 勤務統計!$F$1, ""),
        IF(AND(IFERROR(VLOOKUP(A257,'0919門市清單主檔'!B:AH,28,FALSE),"")="HUB", IFERROR(VLOOKUP(A257,勤務統計!A:W,23,FALSE),"")&lt;&gt;"HUB"), "HUB", "")
      ) &amp; "未完工",
      "已完工"
    )
  )
)</f>
        <v>未完工</v>
      </c>
      <c r="P257" s="435" t="str">
        <f>(TEXT(I257,"yyyymmdd"))&amp;勤務統計!$V$2&amp;A257&amp;勤務統計!$V$2&amp;B257&amp;勤務統計!$S$2</f>
        <v>-5465-龜山庚勤樓(定保)</v>
      </c>
      <c r="Q257" s="404" t="str">
        <f t="array" ref="Q257">IF(AND(SUMPRODUCT((IM!$F$2:$F$5000=A257)*(ISNUMBER(SEARCH(勤務統計!$D$1, IM!$AC$2:$AC$5000))))&gt;0), 勤務統計!$D$1, "")</f>
        <v/>
      </c>
      <c r="R257" s="405" t="str">
        <f t="array" ref="R257">IFERROR(INDEX(IM!$AM$2:$AM$5000, MATCH(1, (IM!$F$2:$F$5000=A257) * (ISNUMBER(SEARCH(勤務統計!$D$1, IM!$AC$2:$AC$5000))), 0)), "")</f>
        <v/>
      </c>
      <c r="S257" s="406" t="str" cm="1">
        <f t="array" ref="S257">IF(AND(SUMPRODUCT((IM!$F$2:$F$5000=A257)*(ISNUMBER(SEARCH(勤務統計!$E$1, IM!$AC$2:$AC$5000))))&gt;0), 勤務統計!$E$1, "")</f>
        <v/>
      </c>
      <c r="T257" s="405" t="str">
        <f t="array" ref="T257">IFERROR(INDEX(IM!$AM$2:$AM$5000, MATCH(1, (IM!$F$2:$F$5000=A257) * (ISNUMBER(SEARCH(勤務統計!$E$1, IM!$AC$2:$AC$5000))), 0)), "")</f>
        <v/>
      </c>
      <c r="U257" s="406" t="str" cm="1">
        <f t="array" ref="U257">IF(AND(SUMPRODUCT((IM!$F$2:$F$5000=A257)*(ISNUMBER(SEARCH(勤務統計!$F$1, IM!$AC$2:$AC$5000))))&gt;0), 勤務統計!$F$1, "")</f>
        <v/>
      </c>
      <c r="V257" s="405" t="str">
        <f t="array" ref="V257">IFERROR(INDEX(IM!$AM$2:$AM$5000, MATCH(1, (IM!$F$2:$F$5000=A257) * (ISNUMBER(SEARCH(勤務統計!$F$1, IM!$AC$2:$AC$5000))), 0)), "")</f>
        <v/>
      </c>
      <c r="W257" s="436" t="str">
        <f>IF(VLOOKUP(A257,'0919門市清單主檔'!B:AC,28,FALSE)=0,"",VLOOKUP(A257,'0919門市清單主檔'!B:AC,28,FALSE))</f>
        <v/>
      </c>
    </row>
    <row r="258" spans="1:23" ht="21.6" customHeight="1">
      <c r="A258" s="409" t="s">
        <v>84</v>
      </c>
      <c r="B258" s="409" t="str">
        <f>VLOOKUP(A258,'0919門市清單主檔'!B:C,2,FALSE)</f>
        <v>田倉復興店</v>
      </c>
      <c r="C258" s="409" t="str">
        <f>VLOOKUP($A258,'0919門市清單主檔'!B:V,20,FALSE)</f>
        <v>桃園市</v>
      </c>
      <c r="D258" s="409" t="str">
        <f>VLOOKUP($A258,'0919門市清單主檔'!B:V,21,FALSE)</f>
        <v>蘆竹區</v>
      </c>
      <c r="E258" s="397" t="str">
        <f>VLOOKUP(D258,門市狀態!G:H,2,FALSE)</f>
        <v>吳宗鴻</v>
      </c>
      <c r="F258" s="409" t="str">
        <f>IFERROR(IF(VLOOKUP(A258,門市狀態!A:D,4,FALSE)=0,"",VLOOKUP(A258,門市狀態!A:D,4,FALSE)),"")</f>
        <v/>
      </c>
      <c r="G258" s="409"/>
      <c r="H258" s="411" t="str">
        <f>IF(I258&gt;0,(TEXT(I258,"yyyymmdd")&amp;勤務統計!$V$2&amp;A258&amp;勤務統計!$V$2&amp;B258&amp;勤務統計!$S$2),"")</f>
        <v>-L533-田倉復興店(定保)</v>
      </c>
      <c r="I258" s="247" t="str">
        <f t="array" ref="I258">IF(AND(SUMPRODUCT((IM!$F$2:$F$5000=A258)*(ISNUMBER(SEARCH(勤務統計!$C$1, IM!$AC$2:$AC$5000))))&gt;0), 勤務統計!$C$1, "")</f>
        <v/>
      </c>
      <c r="J258" s="399" t="str">
        <f t="array" ref="J258">IFERROR(INDEX(IM!$AM$2:$AM$5000, MATCH(1, (IM!$F$2:$F$5000=A258) * (ISNUMBER(SEARCH(勤務統計!$C$1, IM!$AC$2:$AC$5000))), 0)), "")</f>
        <v/>
      </c>
      <c r="K258" s="400">
        <f t="array" ref="K258">SUMPRODUCT((IM!$F$2:$F$5000=A258)*(IM!$AD$2:$AD$5000="O")*(ISNUMBER(SEARCH(勤務統計!$C$1, IM!$AC$2:$AC$5000))))</f>
        <v>0</v>
      </c>
      <c r="L258" s="401" t="str">
        <f t="array" ref="L258">IF(K258&gt;0,IFERROR(HYPERLINK("#'IM'!AC"&amp;MATCH(1,(IM!$F$1:$F$5000=A258)*(ISNUMBER(SEARCH(勤務統計!$C$1,IM!$AC$1:$AC$5000))),0),"檢核"),"未登錄"),"")</f>
        <v/>
      </c>
      <c r="M258" s="402" t="str">
        <f t="shared" si="3"/>
        <v/>
      </c>
      <c r="N258" s="402" t="str">
        <f t="array" ref="N258">IF(AND(
    SUMPRODUCT(
        (IM!$F$2:$F$522=A258) *
        ISNUMBER(SEARCH("*HUB*", IM!$AC$2:$AC$522)) *
        (IM!$X$2:$X$522&gt;=勤務統計!$A$1) *
        (IM!$X$2:$X$522&lt;=勤務統計!$B$1)*(W258="HUB")
    ) &gt; 0
), "HUB", "")</f>
        <v/>
      </c>
      <c r="O258" s="400" t="str">
        <f>IF(
  IFERROR(VLOOKUP(A258,勤務統計!A:I,9,FALSE),"")&lt;&gt;勤務統計!$C$1,
  "未完工",
  IF(
    AND(勤務統計!$D$1="--",勤務統計!$E$1="--",勤務統計!$F$1="--"),
    "已完工",
    IF(
      OR(
        AND(勤務統計!$D$1&lt;&gt;"--", IFERROR(VLOOKUP(A258,'0919門市清單主檔'!B:AH,31,FALSE),"")=勤務統計!$D$1, IFERROR(VLOOKUP(A258,勤務統計!A:Q,17,FALSE),"")&lt;&gt;勤務統計!$D$1),
        AND(勤務統計!$E$1&lt;&gt;"--", IFERROR(VLOOKUP(A258,'0919門市清單主檔'!B:AH,32,FALSE),"")=勤務統計!$E$1, IFERROR(VLOOKUP(A258,勤務統計!A:S,19,FALSE),"")&lt;&gt;勤務統計!$E$1),
        AND(勤務統計!$F$1&lt;&gt;"--", IFERROR(VLOOKUP(A258,'0919門市清單主檔'!B:AH,33,FALSE),"")=勤務統計!$F$1, IFERROR(VLOOKUP(A258,勤務統計!A:U,21,FALSE),"")&lt;&gt;勤務統計!$F$1),
        AND(IFERROR(VLOOKUP(A258,'0919門市清單主檔'!B:AH,28,FALSE),"")="HUB", IFERROR(VLOOKUP(A258,勤務統計!A:W,23,FALSE),"")&lt;&gt;"HUB")
      ),
      _xlfn.TEXTJOIN(
        "，",
        TRUE,
        IF(AND(勤務統計!$D$1&lt;&gt;"--", IFERROR(VLOOKUP(A258,'0919門市清單主檔'!B:AH,31,FALSE),"")=勤務統計!$D$1, IFERROR(VLOOKUP(A258,勤務統計!A:Q,17,FALSE),"")&lt;&gt;勤務統計!$D$1), 勤務統計!$D$1, ""),
        IF(AND(勤務統計!$E$1&lt;&gt;"--", IFERROR(VLOOKUP(A258,'0919門市清單主檔'!B:AH,32,FALSE),"")=勤務統計!$E$1, IFERROR(VLOOKUP(A258,勤務統計!A:S,19,FALSE),"")&lt;&gt;勤務統計!$E$1), 勤務統計!$E$1, ""),
        IF(AND(勤務統計!$F$1&lt;&gt;"--", IFERROR(VLOOKUP(A258,'0919門市清單主檔'!B:AH,33,FALSE),"")=勤務統計!$F$1, IFERROR(VLOOKUP(A258,勤務統計!A:U,21,FALSE),"")&lt;&gt;勤務統計!$F$1), 勤務統計!$F$1, ""),
        IF(AND(IFERROR(VLOOKUP(A258,'0919門市清單主檔'!B:AH,28,FALSE),"")="HUB", IFERROR(VLOOKUP(A258,勤務統計!A:W,23,FALSE),"")&lt;&gt;"HUB"), "HUB", "")
      ) &amp; "未完工",
      "已完工"
    )
  )
)</f>
        <v>未完工</v>
      </c>
      <c r="P258" s="435" t="str">
        <f>(TEXT(I258,"yyyymmdd"))&amp;勤務統計!$V$2&amp;A258&amp;勤務統計!$V$2&amp;B258&amp;勤務統計!$S$2</f>
        <v>-L533-田倉復興店(定保)</v>
      </c>
      <c r="Q258" s="404" t="str">
        <f t="array" ref="Q258">IF(AND(SUMPRODUCT((IM!$F$2:$F$5000=A258)*(ISNUMBER(SEARCH(勤務統計!$D$1, IM!$AC$2:$AC$5000))))&gt;0), 勤務統計!$D$1, "")</f>
        <v/>
      </c>
      <c r="R258" s="405" t="str">
        <f t="array" ref="R258">IFERROR(INDEX(IM!$AM$2:$AM$5000, MATCH(1, (IM!$F$2:$F$5000=A258) * (ISNUMBER(SEARCH(勤務統計!$D$1, IM!$AC$2:$AC$5000))), 0)), "")</f>
        <v/>
      </c>
      <c r="S258" s="406" t="str" cm="1">
        <f t="array" ref="S258">IF(AND(SUMPRODUCT((IM!$F$2:$F$5000=A258)*(ISNUMBER(SEARCH(勤務統計!$E$1, IM!$AC$2:$AC$5000))))&gt;0), 勤務統計!$E$1, "")</f>
        <v/>
      </c>
      <c r="T258" s="405" t="str">
        <f t="array" ref="T258">IFERROR(INDEX(IM!$AM$2:$AM$5000, MATCH(1, (IM!$F$2:$F$5000=A258) * (ISNUMBER(SEARCH(勤務統計!$E$1, IM!$AC$2:$AC$5000))), 0)), "")</f>
        <v/>
      </c>
      <c r="U258" s="406" t="str" cm="1">
        <f t="array" ref="U258">IF(AND(SUMPRODUCT((IM!$F$2:$F$5000=A258)*(ISNUMBER(SEARCH(勤務統計!$F$1, IM!$AC$2:$AC$5000))))&gt;0), 勤務統計!$F$1, "")</f>
        <v/>
      </c>
      <c r="V258" s="405" t="str">
        <f t="array" ref="V258">IFERROR(INDEX(IM!$AM$2:$AM$5000, MATCH(1, (IM!$F$2:$F$5000=A258) * (ISNUMBER(SEARCH(勤務統計!$F$1, IM!$AC$2:$AC$5000))), 0)), "")</f>
        <v/>
      </c>
      <c r="W258" s="436" t="str">
        <f>IF(VLOOKUP(A258,'0919門市清單主檔'!B:AC,28,FALSE)=0,"",VLOOKUP(A258,'0919門市清單主檔'!B:AC,28,FALSE))</f>
        <v/>
      </c>
    </row>
    <row r="259" spans="1:23" ht="21.6" customHeight="1">
      <c r="A259" s="409" t="s">
        <v>85</v>
      </c>
      <c r="B259" s="409" t="str">
        <f>VLOOKUP(A259,'0919門市清單主檔'!B:C,2,FALSE)</f>
        <v>田倉文興店</v>
      </c>
      <c r="C259" s="409" t="str">
        <f>VLOOKUP($A259,'0919門市清單主檔'!B:V,20,FALSE)</f>
        <v>桃園市</v>
      </c>
      <c r="D259" s="409" t="str">
        <f>VLOOKUP($A259,'0919門市清單主檔'!B:V,21,FALSE)</f>
        <v>蘆竹區</v>
      </c>
      <c r="E259" s="397" t="str">
        <f>VLOOKUP(D259,門市狀態!G:H,2,FALSE)</f>
        <v>吳宗鴻</v>
      </c>
      <c r="F259" s="409" t="str">
        <f>IFERROR(IF(VLOOKUP(A259,門市狀態!A:D,4,FALSE)=0,"",VLOOKUP(A259,門市狀態!A:D,4,FALSE)),"")</f>
        <v/>
      </c>
      <c r="G259" s="409"/>
      <c r="H259" s="411" t="str">
        <f>IF(I259&gt;0,(TEXT(I259,"yyyymmdd")&amp;勤務統計!$V$2&amp;A259&amp;勤務統計!$V$2&amp;B259&amp;勤務統計!$S$2),"")</f>
        <v>-L534-田倉文興店(定保)</v>
      </c>
      <c r="I259" s="247" t="str">
        <f t="array" ref="I259">IF(AND(SUMPRODUCT((IM!$F$2:$F$5000=A259)*(ISNUMBER(SEARCH(勤務統計!$C$1, IM!$AC$2:$AC$5000))))&gt;0), 勤務統計!$C$1, "")</f>
        <v/>
      </c>
      <c r="J259" s="399" t="str">
        <f t="array" ref="J259">IFERROR(INDEX(IM!$AM$2:$AM$5000, MATCH(1, (IM!$F$2:$F$5000=A259) * (ISNUMBER(SEARCH(勤務統計!$C$1, IM!$AC$2:$AC$5000))), 0)), "")</f>
        <v/>
      </c>
      <c r="K259" s="400">
        <f t="array" ref="K259">SUMPRODUCT((IM!$F$2:$F$5000=A259)*(IM!$AD$2:$AD$5000="O")*(ISNUMBER(SEARCH(勤務統計!$C$1, IM!$AC$2:$AC$5000))))</f>
        <v>0</v>
      </c>
      <c r="L259" s="401" t="str">
        <f t="array" ref="L259">IF(K259&gt;0,IFERROR(HYPERLINK("#'IM'!AC"&amp;MATCH(1,(IM!$F$1:$F$5000=A259)*(ISNUMBER(SEARCH(勤務統計!$C$1,IM!$AC$1:$AC$5000))),0),"檢核"),"未登錄"),"")</f>
        <v/>
      </c>
      <c r="M259" s="402" t="str">
        <f t="shared" ref="M259:M311" si="4">Q259&amp;S259&amp;U259</f>
        <v/>
      </c>
      <c r="N259" s="402" t="str">
        <f t="array" ref="N259">IF(AND(
    SUMPRODUCT(
        (IM!$F$2:$F$522=A259) *
        ISNUMBER(SEARCH("*HUB*", IM!$AC$2:$AC$522)) *
        (IM!$X$2:$X$522&gt;=勤務統計!$A$1) *
        (IM!$X$2:$X$522&lt;=勤務統計!$B$1)*(W259="HUB")
    ) &gt; 0
), "HUB", "")</f>
        <v/>
      </c>
      <c r="O259" s="400" t="str">
        <f>IF(
  IFERROR(VLOOKUP(A259,勤務統計!A:I,9,FALSE),"")&lt;&gt;勤務統計!$C$1,
  "未完工",
  IF(
    AND(勤務統計!$D$1="--",勤務統計!$E$1="--",勤務統計!$F$1="--"),
    "已完工",
    IF(
      OR(
        AND(勤務統計!$D$1&lt;&gt;"--", IFERROR(VLOOKUP(A259,'0919門市清單主檔'!B:AH,31,FALSE),"")=勤務統計!$D$1, IFERROR(VLOOKUP(A259,勤務統計!A:Q,17,FALSE),"")&lt;&gt;勤務統計!$D$1),
        AND(勤務統計!$E$1&lt;&gt;"--", IFERROR(VLOOKUP(A259,'0919門市清單主檔'!B:AH,32,FALSE),"")=勤務統計!$E$1, IFERROR(VLOOKUP(A259,勤務統計!A:S,19,FALSE),"")&lt;&gt;勤務統計!$E$1),
        AND(勤務統計!$F$1&lt;&gt;"--", IFERROR(VLOOKUP(A259,'0919門市清單主檔'!B:AH,33,FALSE),"")=勤務統計!$F$1, IFERROR(VLOOKUP(A259,勤務統計!A:U,21,FALSE),"")&lt;&gt;勤務統計!$F$1),
        AND(IFERROR(VLOOKUP(A259,'0919門市清單主檔'!B:AH,28,FALSE),"")="HUB", IFERROR(VLOOKUP(A259,勤務統計!A:W,23,FALSE),"")&lt;&gt;"HUB")
      ),
      _xlfn.TEXTJOIN(
        "，",
        TRUE,
        IF(AND(勤務統計!$D$1&lt;&gt;"--", IFERROR(VLOOKUP(A259,'0919門市清單主檔'!B:AH,31,FALSE),"")=勤務統計!$D$1, IFERROR(VLOOKUP(A259,勤務統計!A:Q,17,FALSE),"")&lt;&gt;勤務統計!$D$1), 勤務統計!$D$1, ""),
        IF(AND(勤務統計!$E$1&lt;&gt;"--", IFERROR(VLOOKUP(A259,'0919門市清單主檔'!B:AH,32,FALSE),"")=勤務統計!$E$1, IFERROR(VLOOKUP(A259,勤務統計!A:S,19,FALSE),"")&lt;&gt;勤務統計!$E$1), 勤務統計!$E$1, ""),
        IF(AND(勤務統計!$F$1&lt;&gt;"--", IFERROR(VLOOKUP(A259,'0919門市清單主檔'!B:AH,33,FALSE),"")=勤務統計!$F$1, IFERROR(VLOOKUP(A259,勤務統計!A:U,21,FALSE),"")&lt;&gt;勤務統計!$F$1), 勤務統計!$F$1, ""),
        IF(AND(IFERROR(VLOOKUP(A259,'0919門市清單主檔'!B:AH,28,FALSE),"")="HUB", IFERROR(VLOOKUP(A259,勤務統計!A:W,23,FALSE),"")&lt;&gt;"HUB"), "HUB", "")
      ) &amp; "未完工",
      "已完工"
    )
  )
)</f>
        <v>未完工</v>
      </c>
      <c r="P259" s="435" t="str">
        <f>(TEXT(I259,"yyyymmdd"))&amp;勤務統計!$V$2&amp;A259&amp;勤務統計!$V$2&amp;B259&amp;勤務統計!$S$2</f>
        <v>-L534-田倉文興店(定保)</v>
      </c>
      <c r="Q259" s="404" t="str">
        <f t="array" ref="Q259">IF(AND(SUMPRODUCT((IM!$F$2:$F$5000=A259)*(ISNUMBER(SEARCH(勤務統計!$D$1, IM!$AC$2:$AC$5000))))&gt;0), 勤務統計!$D$1, "")</f>
        <v/>
      </c>
      <c r="R259" s="405" t="str">
        <f t="array" ref="R259">IFERROR(INDEX(IM!$AM$2:$AM$5000, MATCH(1, (IM!$F$2:$F$5000=A259) * (ISNUMBER(SEARCH(勤務統計!$D$1, IM!$AC$2:$AC$5000))), 0)), "")</f>
        <v/>
      </c>
      <c r="S259" s="406" t="str" cm="1">
        <f t="array" ref="S259">IF(AND(SUMPRODUCT((IM!$F$2:$F$5000=A259)*(ISNUMBER(SEARCH(勤務統計!$E$1, IM!$AC$2:$AC$5000))))&gt;0), 勤務統計!$E$1, "")</f>
        <v/>
      </c>
      <c r="T259" s="405" t="str">
        <f t="array" ref="T259">IFERROR(INDEX(IM!$AM$2:$AM$5000, MATCH(1, (IM!$F$2:$F$5000=A259) * (ISNUMBER(SEARCH(勤務統計!$E$1, IM!$AC$2:$AC$5000))), 0)), "")</f>
        <v/>
      </c>
      <c r="U259" s="406" t="str" cm="1">
        <f t="array" ref="U259">IF(AND(SUMPRODUCT((IM!$F$2:$F$5000=A259)*(ISNUMBER(SEARCH(勤務統計!$F$1, IM!$AC$2:$AC$5000))))&gt;0), 勤務統計!$F$1, "")</f>
        <v/>
      </c>
      <c r="V259" s="405" t="str">
        <f t="array" ref="V259">IFERROR(INDEX(IM!$AM$2:$AM$5000, MATCH(1, (IM!$F$2:$F$5000=A259) * (ISNUMBER(SEARCH(勤務統計!$F$1, IM!$AC$2:$AC$5000))), 0)), "")</f>
        <v/>
      </c>
      <c r="W259" s="436" t="str">
        <f>IF(VLOOKUP(A259,'0919門市清單主檔'!B:AC,28,FALSE)=0,"",VLOOKUP(A259,'0919門市清單主檔'!B:AC,28,FALSE))</f>
        <v/>
      </c>
    </row>
    <row r="260" spans="1:23" ht="21.6" customHeight="1">
      <c r="A260" s="409">
        <v>2201</v>
      </c>
      <c r="B260" s="409" t="str">
        <f>VLOOKUP(A260,'0919門市清單主檔'!B:C,2,FALSE)</f>
        <v>桃縣內溪店</v>
      </c>
      <c r="C260" s="409" t="str">
        <f>VLOOKUP($A260,'0919門市清單主檔'!B:V,20,FALSE)</f>
        <v>桃園市</v>
      </c>
      <c r="D260" s="409" t="str">
        <f>VLOOKUP($A260,'0919門市清單主檔'!B:V,21,FALSE)</f>
        <v>龜山區</v>
      </c>
      <c r="E260" s="397" t="str">
        <f>VLOOKUP(D260,門市狀態!G:H,2,FALSE)</f>
        <v>吳宗鴻</v>
      </c>
      <c r="F260" s="409" t="str">
        <f>IFERROR(IF(VLOOKUP(A260,門市狀態!A:D,4,FALSE)=0,"",VLOOKUP(A260,門市狀態!A:D,4,FALSE)),"")</f>
        <v/>
      </c>
      <c r="G260" s="409"/>
      <c r="H260" s="411" t="str">
        <f>IF(I260&gt;0,(TEXT(I260,"yyyymmdd")&amp;勤務統計!$V$2&amp;A260&amp;勤務統計!$V$2&amp;B260&amp;勤務統計!$S$2),"")</f>
        <v>-2201-桃縣內溪店(定保)</v>
      </c>
      <c r="I260" s="247" t="str">
        <f t="array" ref="I260">IF(AND(SUMPRODUCT((IM!$F$2:$F$5000=A260)*(ISNUMBER(SEARCH(勤務統計!$C$1, IM!$AC$2:$AC$5000))))&gt;0), 勤務統計!$C$1, "")</f>
        <v/>
      </c>
      <c r="J260" s="399" t="str">
        <f t="array" ref="J260">IFERROR(INDEX(IM!$AM$2:$AM$5000, MATCH(1, (IM!$F$2:$F$5000=A260) * (ISNUMBER(SEARCH(勤務統計!$C$1, IM!$AC$2:$AC$5000))), 0)), "")</f>
        <v/>
      </c>
      <c r="K260" s="400">
        <f t="array" ref="K260">SUMPRODUCT((IM!$F$2:$F$5000=A260)*(IM!$AD$2:$AD$5000="O")*(ISNUMBER(SEARCH(勤務統計!$C$1, IM!$AC$2:$AC$5000))))</f>
        <v>0</v>
      </c>
      <c r="L260" s="401" t="str">
        <f t="array" ref="L260">IF(K260&gt;0,IFERROR(HYPERLINK("#'IM'!AC"&amp;MATCH(1,(IM!$F$1:$F$5000=A260)*(ISNUMBER(SEARCH(勤務統計!$C$1,IM!$AC$1:$AC$5000))),0),"檢核"),"未登錄"),"")</f>
        <v/>
      </c>
      <c r="M260" s="402" t="str">
        <f t="shared" si="4"/>
        <v/>
      </c>
      <c r="N260" s="402" t="str">
        <f t="array" ref="N260">IF(AND(
    SUMPRODUCT(
        (IM!$F$2:$F$522=A260) *
        ISNUMBER(SEARCH("*HUB*", IM!$AC$2:$AC$522)) *
        (IM!$X$2:$X$522&gt;=勤務統計!$A$1) *
        (IM!$X$2:$X$522&lt;=勤務統計!$B$1)*(W260="HUB")
    ) &gt; 0
), "HUB", "")</f>
        <v/>
      </c>
      <c r="O260" s="400" t="str">
        <f>IF(
  IFERROR(VLOOKUP(A260,勤務統計!A:I,9,FALSE),"")&lt;&gt;勤務統計!$C$1,
  "未完工",
  IF(
    AND(勤務統計!$D$1="--",勤務統計!$E$1="--",勤務統計!$F$1="--"),
    "已完工",
    IF(
      OR(
        AND(勤務統計!$D$1&lt;&gt;"--", IFERROR(VLOOKUP(A260,'0919門市清單主檔'!B:AH,31,FALSE),"")=勤務統計!$D$1, IFERROR(VLOOKUP(A260,勤務統計!A:Q,17,FALSE),"")&lt;&gt;勤務統計!$D$1),
        AND(勤務統計!$E$1&lt;&gt;"--", IFERROR(VLOOKUP(A260,'0919門市清單主檔'!B:AH,32,FALSE),"")=勤務統計!$E$1, IFERROR(VLOOKUP(A260,勤務統計!A:S,19,FALSE),"")&lt;&gt;勤務統計!$E$1),
        AND(勤務統計!$F$1&lt;&gt;"--", IFERROR(VLOOKUP(A260,'0919門市清單主檔'!B:AH,33,FALSE),"")=勤務統計!$F$1, IFERROR(VLOOKUP(A260,勤務統計!A:U,21,FALSE),"")&lt;&gt;勤務統計!$F$1),
        AND(IFERROR(VLOOKUP(A260,'0919門市清單主檔'!B:AH,28,FALSE),"")="HUB", IFERROR(VLOOKUP(A260,勤務統計!A:W,23,FALSE),"")&lt;&gt;"HUB")
      ),
      _xlfn.TEXTJOIN(
        "，",
        TRUE,
        IF(AND(勤務統計!$D$1&lt;&gt;"--", IFERROR(VLOOKUP(A260,'0919門市清單主檔'!B:AH,31,FALSE),"")=勤務統計!$D$1, IFERROR(VLOOKUP(A260,勤務統計!A:Q,17,FALSE),"")&lt;&gt;勤務統計!$D$1), 勤務統計!$D$1, ""),
        IF(AND(勤務統計!$E$1&lt;&gt;"--", IFERROR(VLOOKUP(A260,'0919門市清單主檔'!B:AH,32,FALSE),"")=勤務統計!$E$1, IFERROR(VLOOKUP(A260,勤務統計!A:S,19,FALSE),"")&lt;&gt;勤務統計!$E$1), 勤務統計!$E$1, ""),
        IF(AND(勤務統計!$F$1&lt;&gt;"--", IFERROR(VLOOKUP(A260,'0919門市清單主檔'!B:AH,33,FALSE),"")=勤務統計!$F$1, IFERROR(VLOOKUP(A260,勤務統計!A:U,21,FALSE),"")&lt;&gt;勤務統計!$F$1), 勤務統計!$F$1, ""),
        IF(AND(IFERROR(VLOOKUP(A260,'0919門市清單主檔'!B:AH,28,FALSE),"")="HUB", IFERROR(VLOOKUP(A260,勤務統計!A:W,23,FALSE),"")&lt;&gt;"HUB"), "HUB", "")
      ) &amp; "未完工",
      "已完工"
    )
  )
)</f>
        <v>未完工</v>
      </c>
      <c r="P260" s="435" t="str">
        <f>(TEXT(I260,"yyyymmdd"))&amp;勤務統計!$V$2&amp;A260&amp;勤務統計!$V$2&amp;B260&amp;勤務統計!$S$2</f>
        <v>-2201-桃縣內溪店(定保)</v>
      </c>
      <c r="Q260" s="404" t="str">
        <f t="array" ref="Q260">IF(AND(SUMPRODUCT((IM!$F$2:$F$5000=A260)*(ISNUMBER(SEARCH(勤務統計!$D$1, IM!$AC$2:$AC$5000))))&gt;0), 勤務統計!$D$1, "")</f>
        <v/>
      </c>
      <c r="R260" s="405" t="str">
        <f t="array" ref="R260">IFERROR(INDEX(IM!$AM$2:$AM$5000, MATCH(1, (IM!$F$2:$F$5000=A260) * (ISNUMBER(SEARCH(勤務統計!$D$1, IM!$AC$2:$AC$5000))), 0)), "")</f>
        <v/>
      </c>
      <c r="S260" s="406" t="str" cm="1">
        <f t="array" ref="S260">IF(AND(SUMPRODUCT((IM!$F$2:$F$5000=A260)*(ISNUMBER(SEARCH(勤務統計!$E$1, IM!$AC$2:$AC$5000))))&gt;0), 勤務統計!$E$1, "")</f>
        <v/>
      </c>
      <c r="T260" s="405" t="str">
        <f t="array" ref="T260">IFERROR(INDEX(IM!$AM$2:$AM$5000, MATCH(1, (IM!$F$2:$F$5000=A260) * (ISNUMBER(SEARCH(勤務統計!$E$1, IM!$AC$2:$AC$5000))), 0)), "")</f>
        <v/>
      </c>
      <c r="U260" s="406" t="str" cm="1">
        <f t="array" ref="U260">IF(AND(SUMPRODUCT((IM!$F$2:$F$5000=A260)*(ISNUMBER(SEARCH(勤務統計!$F$1, IM!$AC$2:$AC$5000))))&gt;0), 勤務統計!$F$1, "")</f>
        <v/>
      </c>
      <c r="V260" s="405" t="str">
        <f t="array" ref="V260">IFERROR(INDEX(IM!$AM$2:$AM$5000, MATCH(1, (IM!$F$2:$F$5000=A260) * (ISNUMBER(SEARCH(勤務統計!$F$1, IM!$AC$2:$AC$5000))), 0)), "")</f>
        <v/>
      </c>
      <c r="W260" s="436" t="str">
        <f>IF(VLOOKUP(A260,'0919門市清單主檔'!B:AC,28,FALSE)=0,"",VLOOKUP(A260,'0919門市清單主檔'!B:AC,28,FALSE))</f>
        <v/>
      </c>
    </row>
    <row r="261" spans="1:23" ht="21.6" customHeight="1">
      <c r="A261" s="409">
        <v>2255</v>
      </c>
      <c r="B261" s="409" t="str">
        <f>VLOOKUP(A261,'0919門市清單主檔'!B:C,2,FALSE)</f>
        <v>蘆竹六福店</v>
      </c>
      <c r="C261" s="409" t="str">
        <f>VLOOKUP($A261,'0919門市清單主檔'!B:V,20,FALSE)</f>
        <v>桃園市</v>
      </c>
      <c r="D261" s="409" t="str">
        <f>VLOOKUP($A261,'0919門市清單主檔'!B:V,21,FALSE)</f>
        <v>龜山區</v>
      </c>
      <c r="E261" s="397" t="str">
        <f>VLOOKUP(D261,門市狀態!G:H,2,FALSE)</f>
        <v>吳宗鴻</v>
      </c>
      <c r="F261" s="409" t="str">
        <f>IFERROR(IF(VLOOKUP(A261,門市狀態!A:D,4,FALSE)=0,"",VLOOKUP(A261,門市狀態!A:D,4,FALSE)),"")</f>
        <v/>
      </c>
      <c r="G261" s="409"/>
      <c r="H261" s="411" t="str">
        <f>IF(I261&gt;0,(TEXT(I261,"yyyymmdd")&amp;勤務統計!$V$2&amp;A261&amp;勤務統計!$V$2&amp;B261&amp;勤務統計!$S$2),"")</f>
        <v>-2255-蘆竹六福店(定保)</v>
      </c>
      <c r="I261" s="247" t="str">
        <f t="array" ref="I261">IF(AND(SUMPRODUCT((IM!$F$2:$F$5000=A261)*(ISNUMBER(SEARCH(勤務統計!$C$1, IM!$AC$2:$AC$5000))))&gt;0), 勤務統計!$C$1, "")</f>
        <v/>
      </c>
      <c r="J261" s="399" t="str">
        <f t="array" ref="J261">IFERROR(INDEX(IM!$AM$2:$AM$5000, MATCH(1, (IM!$F$2:$F$5000=A261) * (ISNUMBER(SEARCH(勤務統計!$C$1, IM!$AC$2:$AC$5000))), 0)), "")</f>
        <v/>
      </c>
      <c r="K261" s="400">
        <f t="array" ref="K261">SUMPRODUCT((IM!$F$2:$F$5000=A261)*(IM!$AD$2:$AD$5000="O")*(ISNUMBER(SEARCH(勤務統計!$C$1, IM!$AC$2:$AC$5000))))</f>
        <v>0</v>
      </c>
      <c r="L261" s="401" t="str">
        <f t="array" ref="L261">IF(K261&gt;0,IFERROR(HYPERLINK("#'IM'!AC"&amp;MATCH(1,(IM!$F$1:$F$5000=A261)*(ISNUMBER(SEARCH(勤務統計!$C$1,IM!$AC$1:$AC$5000))),0),"檢核"),"未登錄"),"")</f>
        <v/>
      </c>
      <c r="M261" s="402" t="str">
        <f t="shared" si="4"/>
        <v/>
      </c>
      <c r="N261" s="402" t="str">
        <f t="array" ref="N261">IF(AND(
    SUMPRODUCT(
        (IM!$F$2:$F$522=A261) *
        ISNUMBER(SEARCH("*HUB*", IM!$AC$2:$AC$522)) *
        (IM!$X$2:$X$522&gt;=勤務統計!$A$1) *
        (IM!$X$2:$X$522&lt;=勤務統計!$B$1)*(W261="HUB")
    ) &gt; 0
), "HUB", "")</f>
        <v/>
      </c>
      <c r="O261" s="400" t="str">
        <f>IF(
  IFERROR(VLOOKUP(A261,勤務統計!A:I,9,FALSE),"")&lt;&gt;勤務統計!$C$1,
  "未完工",
  IF(
    AND(勤務統計!$D$1="--",勤務統計!$E$1="--",勤務統計!$F$1="--"),
    "已完工",
    IF(
      OR(
        AND(勤務統計!$D$1&lt;&gt;"--", IFERROR(VLOOKUP(A261,'0919門市清單主檔'!B:AH,31,FALSE),"")=勤務統計!$D$1, IFERROR(VLOOKUP(A261,勤務統計!A:Q,17,FALSE),"")&lt;&gt;勤務統計!$D$1),
        AND(勤務統計!$E$1&lt;&gt;"--", IFERROR(VLOOKUP(A261,'0919門市清單主檔'!B:AH,32,FALSE),"")=勤務統計!$E$1, IFERROR(VLOOKUP(A261,勤務統計!A:S,19,FALSE),"")&lt;&gt;勤務統計!$E$1),
        AND(勤務統計!$F$1&lt;&gt;"--", IFERROR(VLOOKUP(A261,'0919門市清單主檔'!B:AH,33,FALSE),"")=勤務統計!$F$1, IFERROR(VLOOKUP(A261,勤務統計!A:U,21,FALSE),"")&lt;&gt;勤務統計!$F$1),
        AND(IFERROR(VLOOKUP(A261,'0919門市清單主檔'!B:AH,28,FALSE),"")="HUB", IFERROR(VLOOKUP(A261,勤務統計!A:W,23,FALSE),"")&lt;&gt;"HUB")
      ),
      _xlfn.TEXTJOIN(
        "，",
        TRUE,
        IF(AND(勤務統計!$D$1&lt;&gt;"--", IFERROR(VLOOKUP(A261,'0919門市清單主檔'!B:AH,31,FALSE),"")=勤務統計!$D$1, IFERROR(VLOOKUP(A261,勤務統計!A:Q,17,FALSE),"")&lt;&gt;勤務統計!$D$1), 勤務統計!$D$1, ""),
        IF(AND(勤務統計!$E$1&lt;&gt;"--", IFERROR(VLOOKUP(A261,'0919門市清單主檔'!B:AH,32,FALSE),"")=勤務統計!$E$1, IFERROR(VLOOKUP(A261,勤務統計!A:S,19,FALSE),"")&lt;&gt;勤務統計!$E$1), 勤務統計!$E$1, ""),
        IF(AND(勤務統計!$F$1&lt;&gt;"--", IFERROR(VLOOKUP(A261,'0919門市清單主檔'!B:AH,33,FALSE),"")=勤務統計!$F$1, IFERROR(VLOOKUP(A261,勤務統計!A:U,21,FALSE),"")&lt;&gt;勤務統計!$F$1), 勤務統計!$F$1, ""),
        IF(AND(IFERROR(VLOOKUP(A261,'0919門市清單主檔'!B:AH,28,FALSE),"")="HUB", IFERROR(VLOOKUP(A261,勤務統計!A:W,23,FALSE),"")&lt;&gt;"HUB"), "HUB", "")
      ) &amp; "未完工",
      "已完工"
    )
  )
)</f>
        <v>未完工</v>
      </c>
      <c r="P261" s="435" t="str">
        <f>(TEXT(I261,"yyyymmdd"))&amp;勤務統計!$V$2&amp;A261&amp;勤務統計!$V$2&amp;B261&amp;勤務統計!$S$2</f>
        <v>-2255-蘆竹六福店(定保)</v>
      </c>
      <c r="Q261" s="404" t="str">
        <f t="array" ref="Q261">IF(AND(SUMPRODUCT((IM!$F$2:$F$5000=A261)*(ISNUMBER(SEARCH(勤務統計!$D$1, IM!$AC$2:$AC$5000))))&gt;0), 勤務統計!$D$1, "")</f>
        <v/>
      </c>
      <c r="R261" s="405" t="str">
        <f t="array" ref="R261">IFERROR(INDEX(IM!$AM$2:$AM$5000, MATCH(1, (IM!$F$2:$F$5000=A261) * (ISNUMBER(SEARCH(勤務統計!$D$1, IM!$AC$2:$AC$5000))), 0)), "")</f>
        <v/>
      </c>
      <c r="S261" s="406" t="str" cm="1">
        <f t="array" ref="S261">IF(AND(SUMPRODUCT((IM!$F$2:$F$5000=A261)*(ISNUMBER(SEARCH(勤務統計!$E$1, IM!$AC$2:$AC$5000))))&gt;0), 勤務統計!$E$1, "")</f>
        <v/>
      </c>
      <c r="T261" s="405" t="str">
        <f t="array" ref="T261">IFERROR(INDEX(IM!$AM$2:$AM$5000, MATCH(1, (IM!$F$2:$F$5000=A261) * (ISNUMBER(SEARCH(勤務統計!$E$1, IM!$AC$2:$AC$5000))), 0)), "")</f>
        <v/>
      </c>
      <c r="U261" s="406" t="str" cm="1">
        <f t="array" ref="U261">IF(AND(SUMPRODUCT((IM!$F$2:$F$5000=A261)*(ISNUMBER(SEARCH(勤務統計!$F$1, IM!$AC$2:$AC$5000))))&gt;0), 勤務統計!$F$1, "")</f>
        <v/>
      </c>
      <c r="V261" s="405" t="str">
        <f t="array" ref="V261">IFERROR(INDEX(IM!$AM$2:$AM$5000, MATCH(1, (IM!$F$2:$F$5000=A261) * (ISNUMBER(SEARCH(勤務統計!$F$1, IM!$AC$2:$AC$5000))), 0)), "")</f>
        <v/>
      </c>
      <c r="W261" s="436" t="str">
        <f>IF(VLOOKUP(A261,'0919門市清單主檔'!B:AC,28,FALSE)=0,"",VLOOKUP(A261,'0919門市清單主檔'!B:AC,28,FALSE))</f>
        <v/>
      </c>
    </row>
    <row r="262" spans="1:23" ht="21.6" customHeight="1">
      <c r="A262" s="409">
        <v>2322</v>
      </c>
      <c r="B262" s="409" t="str">
        <f>VLOOKUP(A262,'0919門市清單主檔'!B:C,2,FALSE)</f>
        <v>蘆竹大華店</v>
      </c>
      <c r="C262" s="409" t="str">
        <f>VLOOKUP($A262,'0919門市清單主檔'!B:V,20,FALSE)</f>
        <v>桃園市</v>
      </c>
      <c r="D262" s="409" t="str">
        <f>VLOOKUP($A262,'0919門市清單主檔'!B:V,21,FALSE)</f>
        <v>龜山區</v>
      </c>
      <c r="E262" s="397" t="str">
        <f>VLOOKUP(D262,門市狀態!G:H,2,FALSE)</f>
        <v>吳宗鴻</v>
      </c>
      <c r="F262" s="409" t="str">
        <f>IFERROR(IF(VLOOKUP(A262,門市狀態!A:D,4,FALSE)=0,"",VLOOKUP(A262,門市狀態!A:D,4,FALSE)),"")</f>
        <v/>
      </c>
      <c r="G262" s="409"/>
      <c r="H262" s="411" t="str">
        <f>IF(I262&gt;0,(TEXT(I262,"yyyymmdd")&amp;勤務統計!$V$2&amp;A262&amp;勤務統計!$V$2&amp;B262&amp;勤務統計!$S$2),"")</f>
        <v>-2322-蘆竹大華店(定保)</v>
      </c>
      <c r="I262" s="247" t="str">
        <f t="array" ref="I262">IF(AND(SUMPRODUCT((IM!$F$2:$F$5000=A262)*(ISNUMBER(SEARCH(勤務統計!$C$1, IM!$AC$2:$AC$5000))))&gt;0), 勤務統計!$C$1, "")</f>
        <v/>
      </c>
      <c r="J262" s="399" t="str">
        <f t="array" ref="J262">IFERROR(INDEX(IM!$AM$2:$AM$5000, MATCH(1, (IM!$F$2:$F$5000=A262) * (ISNUMBER(SEARCH(勤務統計!$C$1, IM!$AC$2:$AC$5000))), 0)), "")</f>
        <v/>
      </c>
      <c r="K262" s="400">
        <f t="array" ref="K262">SUMPRODUCT((IM!$F$2:$F$5000=A262)*(IM!$AD$2:$AD$5000="O")*(ISNUMBER(SEARCH(勤務統計!$C$1, IM!$AC$2:$AC$5000))))</f>
        <v>0</v>
      </c>
      <c r="L262" s="401" t="str">
        <f t="array" ref="L262">IF(K262&gt;0,IFERROR(HYPERLINK("#'IM'!AC"&amp;MATCH(1,(IM!$F$1:$F$5000=A262)*(ISNUMBER(SEARCH(勤務統計!$C$1,IM!$AC$1:$AC$5000))),0),"檢核"),"未登錄"),"")</f>
        <v/>
      </c>
      <c r="M262" s="402" t="str">
        <f t="shared" si="4"/>
        <v/>
      </c>
      <c r="N262" s="402" t="str">
        <f t="array" ref="N262">IF(AND(
    SUMPRODUCT(
        (IM!$F$2:$F$522=A262) *
        ISNUMBER(SEARCH("*HUB*", IM!$AC$2:$AC$522)) *
        (IM!$X$2:$X$522&gt;=勤務統計!$A$1) *
        (IM!$X$2:$X$522&lt;=勤務統計!$B$1)*(W262="HUB")
    ) &gt; 0
), "HUB", "")</f>
        <v/>
      </c>
      <c r="O262" s="400" t="str">
        <f>IF(
  IFERROR(VLOOKUP(A262,勤務統計!A:I,9,FALSE),"")&lt;&gt;勤務統計!$C$1,
  "未完工",
  IF(
    AND(勤務統計!$D$1="--",勤務統計!$E$1="--",勤務統計!$F$1="--"),
    "已完工",
    IF(
      OR(
        AND(勤務統計!$D$1&lt;&gt;"--", IFERROR(VLOOKUP(A262,'0919門市清單主檔'!B:AH,31,FALSE),"")=勤務統計!$D$1, IFERROR(VLOOKUP(A262,勤務統計!A:Q,17,FALSE),"")&lt;&gt;勤務統計!$D$1),
        AND(勤務統計!$E$1&lt;&gt;"--", IFERROR(VLOOKUP(A262,'0919門市清單主檔'!B:AH,32,FALSE),"")=勤務統計!$E$1, IFERROR(VLOOKUP(A262,勤務統計!A:S,19,FALSE),"")&lt;&gt;勤務統計!$E$1),
        AND(勤務統計!$F$1&lt;&gt;"--", IFERROR(VLOOKUP(A262,'0919門市清單主檔'!B:AH,33,FALSE),"")=勤務統計!$F$1, IFERROR(VLOOKUP(A262,勤務統計!A:U,21,FALSE),"")&lt;&gt;勤務統計!$F$1),
        AND(IFERROR(VLOOKUP(A262,'0919門市清單主檔'!B:AH,28,FALSE),"")="HUB", IFERROR(VLOOKUP(A262,勤務統計!A:W,23,FALSE),"")&lt;&gt;"HUB")
      ),
      _xlfn.TEXTJOIN(
        "，",
        TRUE,
        IF(AND(勤務統計!$D$1&lt;&gt;"--", IFERROR(VLOOKUP(A262,'0919門市清單主檔'!B:AH,31,FALSE),"")=勤務統計!$D$1, IFERROR(VLOOKUP(A262,勤務統計!A:Q,17,FALSE),"")&lt;&gt;勤務統計!$D$1), 勤務統計!$D$1, ""),
        IF(AND(勤務統計!$E$1&lt;&gt;"--", IFERROR(VLOOKUP(A262,'0919門市清單主檔'!B:AH,32,FALSE),"")=勤務統計!$E$1, IFERROR(VLOOKUP(A262,勤務統計!A:S,19,FALSE),"")&lt;&gt;勤務統計!$E$1), 勤務統計!$E$1, ""),
        IF(AND(勤務統計!$F$1&lt;&gt;"--", IFERROR(VLOOKUP(A262,'0919門市清單主檔'!B:AH,33,FALSE),"")=勤務統計!$F$1, IFERROR(VLOOKUP(A262,勤務統計!A:U,21,FALSE),"")&lt;&gt;勤務統計!$F$1), 勤務統計!$F$1, ""),
        IF(AND(IFERROR(VLOOKUP(A262,'0919門市清單主檔'!B:AH,28,FALSE),"")="HUB", IFERROR(VLOOKUP(A262,勤務統計!A:W,23,FALSE),"")&lt;&gt;"HUB"), "HUB", "")
      ) &amp; "未完工",
      "已完工"
    )
  )
)</f>
        <v>未完工</v>
      </c>
      <c r="P262" s="435" t="str">
        <f>(TEXT(I262,"yyyymmdd"))&amp;勤務統計!$V$2&amp;A262&amp;勤務統計!$V$2&amp;B262&amp;勤務統計!$S$2</f>
        <v>-2322-蘆竹大華店(定保)</v>
      </c>
      <c r="Q262" s="404" t="str">
        <f t="array" ref="Q262">IF(AND(SUMPRODUCT((IM!$F$2:$F$5000=A262)*(ISNUMBER(SEARCH(勤務統計!$D$1, IM!$AC$2:$AC$5000))))&gt;0), 勤務統計!$D$1, "")</f>
        <v/>
      </c>
      <c r="R262" s="405" t="str">
        <f t="array" ref="R262">IFERROR(INDEX(IM!$AM$2:$AM$5000, MATCH(1, (IM!$F$2:$F$5000=A262) * (ISNUMBER(SEARCH(勤務統計!$D$1, IM!$AC$2:$AC$5000))), 0)), "")</f>
        <v/>
      </c>
      <c r="S262" s="406" t="str" cm="1">
        <f t="array" ref="S262">IF(AND(SUMPRODUCT((IM!$F$2:$F$5000=A262)*(ISNUMBER(SEARCH(勤務統計!$E$1, IM!$AC$2:$AC$5000))))&gt;0), 勤務統計!$E$1, "")</f>
        <v/>
      </c>
      <c r="T262" s="405" t="str">
        <f t="array" ref="T262">IFERROR(INDEX(IM!$AM$2:$AM$5000, MATCH(1, (IM!$F$2:$F$5000=A262) * (ISNUMBER(SEARCH(勤務統計!$E$1, IM!$AC$2:$AC$5000))), 0)), "")</f>
        <v/>
      </c>
      <c r="U262" s="406" t="str" cm="1">
        <f t="array" ref="U262">IF(AND(SUMPRODUCT((IM!$F$2:$F$5000=A262)*(ISNUMBER(SEARCH(勤務統計!$F$1, IM!$AC$2:$AC$5000))))&gt;0), 勤務統計!$F$1, "")</f>
        <v/>
      </c>
      <c r="V262" s="405" t="str">
        <f t="array" ref="V262">IFERROR(INDEX(IM!$AM$2:$AM$5000, MATCH(1, (IM!$F$2:$F$5000=A262) * (ISNUMBER(SEARCH(勤務統計!$F$1, IM!$AC$2:$AC$5000))), 0)), "")</f>
        <v/>
      </c>
      <c r="W262" s="436" t="str">
        <f>IF(VLOOKUP(A262,'0919門市清單主檔'!B:AC,28,FALSE)=0,"",VLOOKUP(A262,'0919門市清單主檔'!B:AC,28,FALSE))</f>
        <v/>
      </c>
    </row>
    <row r="263" spans="1:23" ht="21.6" customHeight="1">
      <c r="A263" s="409">
        <v>2401</v>
      </c>
      <c r="B263" s="409" t="str">
        <f>VLOOKUP(A263,'0919門市清單主檔'!B:C,2,FALSE)</f>
        <v>蘆竹南工店</v>
      </c>
      <c r="C263" s="409" t="str">
        <f>VLOOKUP($A263,'0919門市清單主檔'!B:V,20,FALSE)</f>
        <v>桃園市</v>
      </c>
      <c r="D263" s="409" t="str">
        <f>VLOOKUP($A263,'0919門市清單主檔'!B:V,21,FALSE)</f>
        <v>龜山區</v>
      </c>
      <c r="E263" s="397" t="str">
        <f>VLOOKUP(D263,門市狀態!G:H,2,FALSE)</f>
        <v>吳宗鴻</v>
      </c>
      <c r="F263" s="409" t="str">
        <f>IFERROR(IF(VLOOKUP(A263,門市狀態!A:D,4,FALSE)=0,"",VLOOKUP(A263,門市狀態!A:D,4,FALSE)),"")</f>
        <v/>
      </c>
      <c r="G263" s="409"/>
      <c r="H263" s="411" t="str">
        <f>IF(I263&gt;0,(TEXT(I263,"yyyymmdd")&amp;勤務統計!$V$2&amp;A263&amp;勤務統計!$V$2&amp;B263&amp;勤務統計!$S$2),"")</f>
        <v>-2401-蘆竹南工店(定保)</v>
      </c>
      <c r="I263" s="247" t="str">
        <f t="array" ref="I263">IF(AND(SUMPRODUCT((IM!$F$2:$F$5000=A263)*(ISNUMBER(SEARCH(勤務統計!$C$1, IM!$AC$2:$AC$5000))))&gt;0), 勤務統計!$C$1, "")</f>
        <v/>
      </c>
      <c r="J263" s="399" t="str">
        <f t="array" ref="J263">IFERROR(INDEX(IM!$AM$2:$AM$5000, MATCH(1, (IM!$F$2:$F$5000=A263) * (ISNUMBER(SEARCH(勤務統計!$C$1, IM!$AC$2:$AC$5000))), 0)), "")</f>
        <v/>
      </c>
      <c r="K263" s="400">
        <f t="array" ref="K263">SUMPRODUCT((IM!$F$2:$F$5000=A263)*(IM!$AD$2:$AD$5000="O")*(ISNUMBER(SEARCH(勤務統計!$C$1, IM!$AC$2:$AC$5000))))</f>
        <v>0</v>
      </c>
      <c r="L263" s="401" t="str">
        <f t="array" ref="L263">IF(K263&gt;0,IFERROR(HYPERLINK("#'IM'!AC"&amp;MATCH(1,(IM!$F$1:$F$5000=A263)*(ISNUMBER(SEARCH(勤務統計!$C$1,IM!$AC$1:$AC$5000))),0),"檢核"),"未登錄"),"")</f>
        <v/>
      </c>
      <c r="M263" s="402" t="str">
        <f t="shared" si="4"/>
        <v/>
      </c>
      <c r="N263" s="402" t="str">
        <f t="array" ref="N263">IF(AND(
    SUMPRODUCT(
        (IM!$F$2:$F$522=A263) *
        ISNUMBER(SEARCH("*HUB*", IM!$AC$2:$AC$522)) *
        (IM!$X$2:$X$522&gt;=勤務統計!$A$1) *
        (IM!$X$2:$X$522&lt;=勤務統計!$B$1)*(W263="HUB")
    ) &gt; 0
), "HUB", "")</f>
        <v/>
      </c>
      <c r="O263" s="400" t="str">
        <f>IF(
  IFERROR(VLOOKUP(A263,勤務統計!A:I,9,FALSE),"")&lt;&gt;勤務統計!$C$1,
  "未完工",
  IF(
    AND(勤務統計!$D$1="--",勤務統計!$E$1="--",勤務統計!$F$1="--"),
    "已完工",
    IF(
      OR(
        AND(勤務統計!$D$1&lt;&gt;"--", IFERROR(VLOOKUP(A263,'0919門市清單主檔'!B:AH,31,FALSE),"")=勤務統計!$D$1, IFERROR(VLOOKUP(A263,勤務統計!A:Q,17,FALSE),"")&lt;&gt;勤務統計!$D$1),
        AND(勤務統計!$E$1&lt;&gt;"--", IFERROR(VLOOKUP(A263,'0919門市清單主檔'!B:AH,32,FALSE),"")=勤務統計!$E$1, IFERROR(VLOOKUP(A263,勤務統計!A:S,19,FALSE),"")&lt;&gt;勤務統計!$E$1),
        AND(勤務統計!$F$1&lt;&gt;"--", IFERROR(VLOOKUP(A263,'0919門市清單主檔'!B:AH,33,FALSE),"")=勤務統計!$F$1, IFERROR(VLOOKUP(A263,勤務統計!A:U,21,FALSE),"")&lt;&gt;勤務統計!$F$1),
        AND(IFERROR(VLOOKUP(A263,'0919門市清單主檔'!B:AH,28,FALSE),"")="HUB", IFERROR(VLOOKUP(A263,勤務統計!A:W,23,FALSE),"")&lt;&gt;"HUB")
      ),
      _xlfn.TEXTJOIN(
        "，",
        TRUE,
        IF(AND(勤務統計!$D$1&lt;&gt;"--", IFERROR(VLOOKUP(A263,'0919門市清單主檔'!B:AH,31,FALSE),"")=勤務統計!$D$1, IFERROR(VLOOKUP(A263,勤務統計!A:Q,17,FALSE),"")&lt;&gt;勤務統計!$D$1), 勤務統計!$D$1, ""),
        IF(AND(勤務統計!$E$1&lt;&gt;"--", IFERROR(VLOOKUP(A263,'0919門市清單主檔'!B:AH,32,FALSE),"")=勤務統計!$E$1, IFERROR(VLOOKUP(A263,勤務統計!A:S,19,FALSE),"")&lt;&gt;勤務統計!$E$1), 勤務統計!$E$1, ""),
        IF(AND(勤務統計!$F$1&lt;&gt;"--", IFERROR(VLOOKUP(A263,'0919門市清單主檔'!B:AH,33,FALSE),"")=勤務統計!$F$1, IFERROR(VLOOKUP(A263,勤務統計!A:U,21,FALSE),"")&lt;&gt;勤務統計!$F$1), 勤務統計!$F$1, ""),
        IF(AND(IFERROR(VLOOKUP(A263,'0919門市清單主檔'!B:AH,28,FALSE),"")="HUB", IFERROR(VLOOKUP(A263,勤務統計!A:W,23,FALSE),"")&lt;&gt;"HUB"), "HUB", "")
      ) &amp; "未完工",
      "已完工"
    )
  )
)</f>
        <v>未完工</v>
      </c>
      <c r="P263" s="435" t="str">
        <f>(TEXT(I263,"yyyymmdd"))&amp;勤務統計!$V$2&amp;A263&amp;勤務統計!$V$2&amp;B263&amp;勤務統計!$S$2</f>
        <v>-2401-蘆竹南工店(定保)</v>
      </c>
      <c r="Q263" s="404" t="str">
        <f t="array" ref="Q263">IF(AND(SUMPRODUCT((IM!$F$2:$F$5000=A263)*(ISNUMBER(SEARCH(勤務統計!$D$1, IM!$AC$2:$AC$5000))))&gt;0), 勤務統計!$D$1, "")</f>
        <v/>
      </c>
      <c r="R263" s="405" t="str">
        <f t="array" ref="R263">IFERROR(INDEX(IM!$AM$2:$AM$5000, MATCH(1, (IM!$F$2:$F$5000=A263) * (ISNUMBER(SEARCH(勤務統計!$D$1, IM!$AC$2:$AC$5000))), 0)), "")</f>
        <v/>
      </c>
      <c r="S263" s="406" t="str" cm="1">
        <f t="array" ref="S263">IF(AND(SUMPRODUCT((IM!$F$2:$F$5000=A263)*(ISNUMBER(SEARCH(勤務統計!$E$1, IM!$AC$2:$AC$5000))))&gt;0), 勤務統計!$E$1, "")</f>
        <v/>
      </c>
      <c r="T263" s="405" t="str">
        <f t="array" ref="T263">IFERROR(INDEX(IM!$AM$2:$AM$5000, MATCH(1, (IM!$F$2:$F$5000=A263) * (ISNUMBER(SEARCH(勤務統計!$E$1, IM!$AC$2:$AC$5000))), 0)), "")</f>
        <v/>
      </c>
      <c r="U263" s="406" t="str" cm="1">
        <f t="array" ref="U263">IF(AND(SUMPRODUCT((IM!$F$2:$F$5000=A263)*(ISNUMBER(SEARCH(勤務統計!$F$1, IM!$AC$2:$AC$5000))))&gt;0), 勤務統計!$F$1, "")</f>
        <v/>
      </c>
      <c r="V263" s="405" t="str">
        <f t="array" ref="V263">IFERROR(INDEX(IM!$AM$2:$AM$5000, MATCH(1, (IM!$F$2:$F$5000=A263) * (ISNUMBER(SEARCH(勤務統計!$F$1, IM!$AC$2:$AC$5000))), 0)), "")</f>
        <v/>
      </c>
      <c r="W263" s="436" t="str">
        <f>IF(VLOOKUP(A263,'0919門市清單主檔'!B:AC,28,FALSE)=0,"",VLOOKUP(A263,'0919門市清單主檔'!B:AC,28,FALSE))</f>
        <v/>
      </c>
    </row>
    <row r="264" spans="1:23" ht="21.6" customHeight="1">
      <c r="A264" s="409">
        <v>2482</v>
      </c>
      <c r="B264" s="409" t="str">
        <f>VLOOKUP(A264,'0919門市清單主檔'!B:C,2,FALSE)</f>
        <v>蘆竹光明店</v>
      </c>
      <c r="C264" s="409" t="str">
        <f>VLOOKUP($A264,'0919門市清單主檔'!B:V,20,FALSE)</f>
        <v>桃園市</v>
      </c>
      <c r="D264" s="409" t="str">
        <f>VLOOKUP($A264,'0919門市清單主檔'!B:V,21,FALSE)</f>
        <v>龜山區</v>
      </c>
      <c r="E264" s="397" t="str">
        <f>VLOOKUP(D264,門市狀態!G:H,2,FALSE)</f>
        <v>吳宗鴻</v>
      </c>
      <c r="F264" s="409" t="str">
        <f>IFERROR(IF(VLOOKUP(A264,門市狀態!A:D,4,FALSE)=0,"",VLOOKUP(A264,門市狀態!A:D,4,FALSE)),"")</f>
        <v/>
      </c>
      <c r="G264" s="409"/>
      <c r="H264" s="411" t="str">
        <f>IF(I264&gt;0,(TEXT(I264,"yyyymmdd")&amp;勤務統計!$V$2&amp;A264&amp;勤務統計!$V$2&amp;B264&amp;勤務統計!$S$2),"")</f>
        <v>-2482-蘆竹光明店(定保)</v>
      </c>
      <c r="I264" s="247" t="str">
        <f t="array" ref="I264">IF(AND(SUMPRODUCT((IM!$F$2:$F$5000=A264)*(ISNUMBER(SEARCH(勤務統計!$C$1, IM!$AC$2:$AC$5000))))&gt;0), 勤務統計!$C$1, "")</f>
        <v/>
      </c>
      <c r="J264" s="399" t="str">
        <f t="array" ref="J264">IFERROR(INDEX(IM!$AM$2:$AM$5000, MATCH(1, (IM!$F$2:$F$5000=A264) * (ISNUMBER(SEARCH(勤務統計!$C$1, IM!$AC$2:$AC$5000))), 0)), "")</f>
        <v/>
      </c>
      <c r="K264" s="400">
        <f t="array" ref="K264">SUMPRODUCT((IM!$F$2:$F$5000=A264)*(IM!$AD$2:$AD$5000="O")*(ISNUMBER(SEARCH(勤務統計!$C$1, IM!$AC$2:$AC$5000))))</f>
        <v>0</v>
      </c>
      <c r="L264" s="401" t="str">
        <f t="array" ref="L264">IF(K264&gt;0,IFERROR(HYPERLINK("#'IM'!AC"&amp;MATCH(1,(IM!$F$1:$F$5000=A264)*(ISNUMBER(SEARCH(勤務統計!$C$1,IM!$AC$1:$AC$5000))),0),"檢核"),"未登錄"),"")</f>
        <v/>
      </c>
      <c r="M264" s="402" t="str">
        <f t="shared" si="4"/>
        <v/>
      </c>
      <c r="N264" s="402" t="str">
        <f t="array" ref="N264">IF(AND(
    SUMPRODUCT(
        (IM!$F$2:$F$522=A264) *
        ISNUMBER(SEARCH("*HUB*", IM!$AC$2:$AC$522)) *
        (IM!$X$2:$X$522&gt;=勤務統計!$A$1) *
        (IM!$X$2:$X$522&lt;=勤務統計!$B$1)*(W264="HUB")
    ) &gt; 0
), "HUB", "")</f>
        <v/>
      </c>
      <c r="O264" s="400" t="str">
        <f>IF(
  IFERROR(VLOOKUP(A264,勤務統計!A:I,9,FALSE),"")&lt;&gt;勤務統計!$C$1,
  "未完工",
  IF(
    AND(勤務統計!$D$1="--",勤務統計!$E$1="--",勤務統計!$F$1="--"),
    "已完工",
    IF(
      OR(
        AND(勤務統計!$D$1&lt;&gt;"--", IFERROR(VLOOKUP(A264,'0919門市清單主檔'!B:AH,31,FALSE),"")=勤務統計!$D$1, IFERROR(VLOOKUP(A264,勤務統計!A:Q,17,FALSE),"")&lt;&gt;勤務統計!$D$1),
        AND(勤務統計!$E$1&lt;&gt;"--", IFERROR(VLOOKUP(A264,'0919門市清單主檔'!B:AH,32,FALSE),"")=勤務統計!$E$1, IFERROR(VLOOKUP(A264,勤務統計!A:S,19,FALSE),"")&lt;&gt;勤務統計!$E$1),
        AND(勤務統計!$F$1&lt;&gt;"--", IFERROR(VLOOKUP(A264,'0919門市清單主檔'!B:AH,33,FALSE),"")=勤務統計!$F$1, IFERROR(VLOOKUP(A264,勤務統計!A:U,21,FALSE),"")&lt;&gt;勤務統計!$F$1),
        AND(IFERROR(VLOOKUP(A264,'0919門市清單主檔'!B:AH,28,FALSE),"")="HUB", IFERROR(VLOOKUP(A264,勤務統計!A:W,23,FALSE),"")&lt;&gt;"HUB")
      ),
      _xlfn.TEXTJOIN(
        "，",
        TRUE,
        IF(AND(勤務統計!$D$1&lt;&gt;"--", IFERROR(VLOOKUP(A264,'0919門市清單主檔'!B:AH,31,FALSE),"")=勤務統計!$D$1, IFERROR(VLOOKUP(A264,勤務統計!A:Q,17,FALSE),"")&lt;&gt;勤務統計!$D$1), 勤務統計!$D$1, ""),
        IF(AND(勤務統計!$E$1&lt;&gt;"--", IFERROR(VLOOKUP(A264,'0919門市清單主檔'!B:AH,32,FALSE),"")=勤務統計!$E$1, IFERROR(VLOOKUP(A264,勤務統計!A:S,19,FALSE),"")&lt;&gt;勤務統計!$E$1), 勤務統計!$E$1, ""),
        IF(AND(勤務統計!$F$1&lt;&gt;"--", IFERROR(VLOOKUP(A264,'0919門市清單主檔'!B:AH,33,FALSE),"")=勤務統計!$F$1, IFERROR(VLOOKUP(A264,勤務統計!A:U,21,FALSE),"")&lt;&gt;勤務統計!$F$1), 勤務統計!$F$1, ""),
        IF(AND(IFERROR(VLOOKUP(A264,'0919門市清單主檔'!B:AH,28,FALSE),"")="HUB", IFERROR(VLOOKUP(A264,勤務統計!A:W,23,FALSE),"")&lt;&gt;"HUB"), "HUB", "")
      ) &amp; "未完工",
      "已完工"
    )
  )
)</f>
        <v>未完工</v>
      </c>
      <c r="P264" s="435" t="str">
        <f>(TEXT(I264,"yyyymmdd"))&amp;勤務統計!$V$2&amp;A264&amp;勤務統計!$V$2&amp;B264&amp;勤務統計!$S$2</f>
        <v>-2482-蘆竹光明店(定保)</v>
      </c>
      <c r="Q264" s="404" t="str">
        <f t="array" ref="Q264">IF(AND(SUMPRODUCT((IM!$F$2:$F$5000=A264)*(ISNUMBER(SEARCH(勤務統計!$D$1, IM!$AC$2:$AC$5000))))&gt;0), 勤務統計!$D$1, "")</f>
        <v/>
      </c>
      <c r="R264" s="405" t="str">
        <f t="array" ref="R264">IFERROR(INDEX(IM!$AM$2:$AM$5000, MATCH(1, (IM!$F$2:$F$5000=A264) * (ISNUMBER(SEARCH(勤務統計!$D$1, IM!$AC$2:$AC$5000))), 0)), "")</f>
        <v/>
      </c>
      <c r="S264" s="406" t="str" cm="1">
        <f t="array" ref="S264">IF(AND(SUMPRODUCT((IM!$F$2:$F$5000=A264)*(ISNUMBER(SEARCH(勤務統計!$E$1, IM!$AC$2:$AC$5000))))&gt;0), 勤務統計!$E$1, "")</f>
        <v/>
      </c>
      <c r="T264" s="405" t="str">
        <f t="array" ref="T264">IFERROR(INDEX(IM!$AM$2:$AM$5000, MATCH(1, (IM!$F$2:$F$5000=A264) * (ISNUMBER(SEARCH(勤務統計!$E$1, IM!$AC$2:$AC$5000))), 0)), "")</f>
        <v/>
      </c>
      <c r="U264" s="406" t="str" cm="1">
        <f t="array" ref="U264">IF(AND(SUMPRODUCT((IM!$F$2:$F$5000=A264)*(ISNUMBER(SEARCH(勤務統計!$F$1, IM!$AC$2:$AC$5000))))&gt;0), 勤務統計!$F$1, "")</f>
        <v/>
      </c>
      <c r="V264" s="405" t="str">
        <f t="array" ref="V264">IFERROR(INDEX(IM!$AM$2:$AM$5000, MATCH(1, (IM!$F$2:$F$5000=A264) * (ISNUMBER(SEARCH(勤務統計!$F$1, IM!$AC$2:$AC$5000))), 0)), "")</f>
        <v/>
      </c>
      <c r="W264" s="436" t="str">
        <f>IF(VLOOKUP(A264,'0919門市清單主檔'!B:AC,28,FALSE)=0,"",VLOOKUP(A264,'0919門市清單主檔'!B:AC,28,FALSE))</f>
        <v/>
      </c>
    </row>
    <row r="265" spans="1:23" ht="21.6" customHeight="1">
      <c r="A265" s="409">
        <v>2501</v>
      </c>
      <c r="B265" s="409" t="str">
        <f>VLOOKUP(A265,'0919門市清單主檔'!B:C,2,FALSE)</f>
        <v>蘆竹南山店</v>
      </c>
      <c r="C265" s="409" t="str">
        <f>VLOOKUP($A265,'0919門市清單主檔'!B:V,20,FALSE)</f>
        <v>桃園市</v>
      </c>
      <c r="D265" s="409" t="str">
        <f>VLOOKUP($A265,'0919門市清單主檔'!B:V,21,FALSE)</f>
        <v>龜山區</v>
      </c>
      <c r="E265" s="397" t="str">
        <f>VLOOKUP(D265,門市狀態!G:H,2,FALSE)</f>
        <v>吳宗鴻</v>
      </c>
      <c r="F265" s="409" t="str">
        <f>IFERROR(IF(VLOOKUP(A265,門市狀態!A:D,4,FALSE)=0,"",VLOOKUP(A265,門市狀態!A:D,4,FALSE)),"")</f>
        <v/>
      </c>
      <c r="G265" s="409"/>
      <c r="H265" s="411" t="str">
        <f>IF(I265&gt;0,(TEXT(I265,"yyyymmdd")&amp;勤務統計!$V$2&amp;A265&amp;勤務統計!$V$2&amp;B265&amp;勤務統計!$S$2),"")</f>
        <v>-2501-蘆竹南山店(定保)</v>
      </c>
      <c r="I265" s="247" t="str">
        <f t="array" ref="I265">IF(AND(SUMPRODUCT((IM!$F$2:$F$5000=A265)*(ISNUMBER(SEARCH(勤務統計!$C$1, IM!$AC$2:$AC$5000))))&gt;0), 勤務統計!$C$1, "")</f>
        <v/>
      </c>
      <c r="J265" s="399" t="str">
        <f t="array" ref="J265">IFERROR(INDEX(IM!$AM$2:$AM$5000, MATCH(1, (IM!$F$2:$F$5000=A265) * (ISNUMBER(SEARCH(勤務統計!$C$1, IM!$AC$2:$AC$5000))), 0)), "")</f>
        <v/>
      </c>
      <c r="K265" s="400">
        <f t="array" ref="K265">SUMPRODUCT((IM!$F$2:$F$5000=A265)*(IM!$AD$2:$AD$5000="O")*(ISNUMBER(SEARCH(勤務統計!$C$1, IM!$AC$2:$AC$5000))))</f>
        <v>0</v>
      </c>
      <c r="L265" s="401" t="str">
        <f t="array" ref="L265">IF(K265&gt;0,IFERROR(HYPERLINK("#'IM'!AC"&amp;MATCH(1,(IM!$F$1:$F$5000=A265)*(ISNUMBER(SEARCH(勤務統計!$C$1,IM!$AC$1:$AC$5000))),0),"檢核"),"未登錄"),"")</f>
        <v/>
      </c>
      <c r="M265" s="402" t="str">
        <f t="shared" si="4"/>
        <v/>
      </c>
      <c r="N265" s="402" t="str">
        <f t="array" ref="N265">IF(AND(
    SUMPRODUCT(
        (IM!$F$2:$F$522=A265) *
        ISNUMBER(SEARCH("*HUB*", IM!$AC$2:$AC$522)) *
        (IM!$X$2:$X$522&gt;=勤務統計!$A$1) *
        (IM!$X$2:$X$522&lt;=勤務統計!$B$1)*(W265="HUB")
    ) &gt; 0
), "HUB", "")</f>
        <v/>
      </c>
      <c r="O265" s="400" t="str">
        <f>IF(
  IFERROR(VLOOKUP(A265,勤務統計!A:I,9,FALSE),"")&lt;&gt;勤務統計!$C$1,
  "未完工",
  IF(
    AND(勤務統計!$D$1="--",勤務統計!$E$1="--",勤務統計!$F$1="--"),
    "已完工",
    IF(
      OR(
        AND(勤務統計!$D$1&lt;&gt;"--", IFERROR(VLOOKUP(A265,'0919門市清單主檔'!B:AH,31,FALSE),"")=勤務統計!$D$1, IFERROR(VLOOKUP(A265,勤務統計!A:Q,17,FALSE),"")&lt;&gt;勤務統計!$D$1),
        AND(勤務統計!$E$1&lt;&gt;"--", IFERROR(VLOOKUP(A265,'0919門市清單主檔'!B:AH,32,FALSE),"")=勤務統計!$E$1, IFERROR(VLOOKUP(A265,勤務統計!A:S,19,FALSE),"")&lt;&gt;勤務統計!$E$1),
        AND(勤務統計!$F$1&lt;&gt;"--", IFERROR(VLOOKUP(A265,'0919門市清單主檔'!B:AH,33,FALSE),"")=勤務統計!$F$1, IFERROR(VLOOKUP(A265,勤務統計!A:U,21,FALSE),"")&lt;&gt;勤務統計!$F$1),
        AND(IFERROR(VLOOKUP(A265,'0919門市清單主檔'!B:AH,28,FALSE),"")="HUB", IFERROR(VLOOKUP(A265,勤務統計!A:W,23,FALSE),"")&lt;&gt;"HUB")
      ),
      _xlfn.TEXTJOIN(
        "，",
        TRUE,
        IF(AND(勤務統計!$D$1&lt;&gt;"--", IFERROR(VLOOKUP(A265,'0919門市清單主檔'!B:AH,31,FALSE),"")=勤務統計!$D$1, IFERROR(VLOOKUP(A265,勤務統計!A:Q,17,FALSE),"")&lt;&gt;勤務統計!$D$1), 勤務統計!$D$1, ""),
        IF(AND(勤務統計!$E$1&lt;&gt;"--", IFERROR(VLOOKUP(A265,'0919門市清單主檔'!B:AH,32,FALSE),"")=勤務統計!$E$1, IFERROR(VLOOKUP(A265,勤務統計!A:S,19,FALSE),"")&lt;&gt;勤務統計!$E$1), 勤務統計!$E$1, ""),
        IF(AND(勤務統計!$F$1&lt;&gt;"--", IFERROR(VLOOKUP(A265,'0919門市清單主檔'!B:AH,33,FALSE),"")=勤務統計!$F$1, IFERROR(VLOOKUP(A265,勤務統計!A:U,21,FALSE),"")&lt;&gt;勤務統計!$F$1), 勤務統計!$F$1, ""),
        IF(AND(IFERROR(VLOOKUP(A265,'0919門市清單主檔'!B:AH,28,FALSE),"")="HUB", IFERROR(VLOOKUP(A265,勤務統計!A:W,23,FALSE),"")&lt;&gt;"HUB"), "HUB", "")
      ) &amp; "未完工",
      "已完工"
    )
  )
)</f>
        <v>未完工</v>
      </c>
      <c r="P265" s="435" t="str">
        <f>(TEXT(I265,"yyyymmdd"))&amp;勤務統計!$V$2&amp;A265&amp;勤務統計!$V$2&amp;B265&amp;勤務統計!$S$2</f>
        <v>-2501-蘆竹南山店(定保)</v>
      </c>
      <c r="Q265" s="404" t="str">
        <f t="array" ref="Q265">IF(AND(SUMPRODUCT((IM!$F$2:$F$5000=A265)*(ISNUMBER(SEARCH(勤務統計!$D$1, IM!$AC$2:$AC$5000))))&gt;0), 勤務統計!$D$1, "")</f>
        <v/>
      </c>
      <c r="R265" s="405" t="str">
        <f t="array" ref="R265">IFERROR(INDEX(IM!$AM$2:$AM$5000, MATCH(1, (IM!$F$2:$F$5000=A265) * (ISNUMBER(SEARCH(勤務統計!$D$1, IM!$AC$2:$AC$5000))), 0)), "")</f>
        <v/>
      </c>
      <c r="S265" s="406" t="str" cm="1">
        <f t="array" ref="S265">IF(AND(SUMPRODUCT((IM!$F$2:$F$5000=A265)*(ISNUMBER(SEARCH(勤務統計!$E$1, IM!$AC$2:$AC$5000))))&gt;0), 勤務統計!$E$1, "")</f>
        <v/>
      </c>
      <c r="T265" s="405" t="str">
        <f t="array" ref="T265">IFERROR(INDEX(IM!$AM$2:$AM$5000, MATCH(1, (IM!$F$2:$F$5000=A265) * (ISNUMBER(SEARCH(勤務統計!$E$1, IM!$AC$2:$AC$5000))), 0)), "")</f>
        <v/>
      </c>
      <c r="U265" s="406" t="str" cm="1">
        <f t="array" ref="U265">IF(AND(SUMPRODUCT((IM!$F$2:$F$5000=A265)*(ISNUMBER(SEARCH(勤務統計!$F$1, IM!$AC$2:$AC$5000))))&gt;0), 勤務統計!$F$1, "")</f>
        <v/>
      </c>
      <c r="V265" s="405" t="str">
        <f t="array" ref="V265">IFERROR(INDEX(IM!$AM$2:$AM$5000, MATCH(1, (IM!$F$2:$F$5000=A265) * (ISNUMBER(SEARCH(勤務統計!$F$1, IM!$AC$2:$AC$5000))), 0)), "")</f>
        <v/>
      </c>
      <c r="W265" s="436" t="str">
        <f>IF(VLOOKUP(A265,'0919門市清單主檔'!B:AC,28,FALSE)=0,"",VLOOKUP(A265,'0919門市清單主檔'!B:AC,28,FALSE))</f>
        <v/>
      </c>
    </row>
    <row r="266" spans="1:23" ht="21.6" customHeight="1">
      <c r="A266" s="409">
        <v>2566</v>
      </c>
      <c r="B266" s="409" t="str">
        <f>VLOOKUP(A266,'0919門市清單主檔'!B:C,2,FALSE)</f>
        <v>桃縣桃旺店</v>
      </c>
      <c r="C266" s="409" t="str">
        <f>VLOOKUP($A266,'0919門市清單主檔'!B:V,20,FALSE)</f>
        <v>桃園市</v>
      </c>
      <c r="D266" s="409" t="str">
        <f>VLOOKUP($A266,'0919門市清單主檔'!B:V,21,FALSE)</f>
        <v>龜山區</v>
      </c>
      <c r="E266" s="397" t="str">
        <f>VLOOKUP(D266,門市狀態!G:H,2,FALSE)</f>
        <v>吳宗鴻</v>
      </c>
      <c r="F266" s="409" t="str">
        <f>IFERROR(IF(VLOOKUP(A266,門市狀態!A:D,4,FALSE)=0,"",VLOOKUP(A266,門市狀態!A:D,4,FALSE)),"")</f>
        <v/>
      </c>
      <c r="G266" s="409"/>
      <c r="H266" s="411" t="str">
        <f>IF(I266&gt;0,(TEXT(I266,"yyyymmdd")&amp;勤務統計!$V$2&amp;A266&amp;勤務統計!$V$2&amp;B266&amp;勤務統計!$S$2),"")</f>
        <v>-2566-桃縣桃旺店(定保)</v>
      </c>
      <c r="I266" s="247" t="str">
        <f t="array" ref="I266">IF(AND(SUMPRODUCT((IM!$F$2:$F$5000=A266)*(ISNUMBER(SEARCH(勤務統計!$C$1, IM!$AC$2:$AC$5000))))&gt;0), 勤務統計!$C$1, "")</f>
        <v/>
      </c>
      <c r="J266" s="399" t="str">
        <f t="array" ref="J266">IFERROR(INDEX(IM!$AM$2:$AM$5000, MATCH(1, (IM!$F$2:$F$5000=A266) * (ISNUMBER(SEARCH(勤務統計!$C$1, IM!$AC$2:$AC$5000))), 0)), "")</f>
        <v/>
      </c>
      <c r="K266" s="400">
        <f t="array" ref="K266">SUMPRODUCT((IM!$F$2:$F$5000=A266)*(IM!$AD$2:$AD$5000="O")*(ISNUMBER(SEARCH(勤務統計!$C$1, IM!$AC$2:$AC$5000))))</f>
        <v>0</v>
      </c>
      <c r="L266" s="401" t="str">
        <f t="array" ref="L266">IF(K266&gt;0,IFERROR(HYPERLINK("#'IM'!AC"&amp;MATCH(1,(IM!$F$1:$F$5000=A266)*(ISNUMBER(SEARCH(勤務統計!$C$1,IM!$AC$1:$AC$5000))),0),"檢核"),"未登錄"),"")</f>
        <v/>
      </c>
      <c r="M266" s="402" t="str">
        <f t="shared" si="4"/>
        <v/>
      </c>
      <c r="N266" s="402" t="str">
        <f t="array" ref="N266">IF(AND(
    SUMPRODUCT(
        (IM!$F$2:$F$522=A266) *
        ISNUMBER(SEARCH("*HUB*", IM!$AC$2:$AC$522)) *
        (IM!$X$2:$X$522&gt;=勤務統計!$A$1) *
        (IM!$X$2:$X$522&lt;=勤務統計!$B$1)*(W266="HUB")
    ) &gt; 0
), "HUB", "")</f>
        <v/>
      </c>
      <c r="O266" s="400" t="str">
        <f>IF(
  IFERROR(VLOOKUP(A266,勤務統計!A:I,9,FALSE),"")&lt;&gt;勤務統計!$C$1,
  "未完工",
  IF(
    AND(勤務統計!$D$1="--",勤務統計!$E$1="--",勤務統計!$F$1="--"),
    "已完工",
    IF(
      OR(
        AND(勤務統計!$D$1&lt;&gt;"--", IFERROR(VLOOKUP(A266,'0919門市清單主檔'!B:AH,31,FALSE),"")=勤務統計!$D$1, IFERROR(VLOOKUP(A266,勤務統計!A:Q,17,FALSE),"")&lt;&gt;勤務統計!$D$1),
        AND(勤務統計!$E$1&lt;&gt;"--", IFERROR(VLOOKUP(A266,'0919門市清單主檔'!B:AH,32,FALSE),"")=勤務統計!$E$1, IFERROR(VLOOKUP(A266,勤務統計!A:S,19,FALSE),"")&lt;&gt;勤務統計!$E$1),
        AND(勤務統計!$F$1&lt;&gt;"--", IFERROR(VLOOKUP(A266,'0919門市清單主檔'!B:AH,33,FALSE),"")=勤務統計!$F$1, IFERROR(VLOOKUP(A266,勤務統計!A:U,21,FALSE),"")&lt;&gt;勤務統計!$F$1),
        AND(IFERROR(VLOOKUP(A266,'0919門市清單主檔'!B:AH,28,FALSE),"")="HUB", IFERROR(VLOOKUP(A266,勤務統計!A:W,23,FALSE),"")&lt;&gt;"HUB")
      ),
      _xlfn.TEXTJOIN(
        "，",
        TRUE,
        IF(AND(勤務統計!$D$1&lt;&gt;"--", IFERROR(VLOOKUP(A266,'0919門市清單主檔'!B:AH,31,FALSE),"")=勤務統計!$D$1, IFERROR(VLOOKUP(A266,勤務統計!A:Q,17,FALSE),"")&lt;&gt;勤務統計!$D$1), 勤務統計!$D$1, ""),
        IF(AND(勤務統計!$E$1&lt;&gt;"--", IFERROR(VLOOKUP(A266,'0919門市清單主檔'!B:AH,32,FALSE),"")=勤務統計!$E$1, IFERROR(VLOOKUP(A266,勤務統計!A:S,19,FALSE),"")&lt;&gt;勤務統計!$E$1), 勤務統計!$E$1, ""),
        IF(AND(勤務統計!$F$1&lt;&gt;"--", IFERROR(VLOOKUP(A266,'0919門市清單主檔'!B:AH,33,FALSE),"")=勤務統計!$F$1, IFERROR(VLOOKUP(A266,勤務統計!A:U,21,FALSE),"")&lt;&gt;勤務統計!$F$1), 勤務統計!$F$1, ""),
        IF(AND(IFERROR(VLOOKUP(A266,'0919門市清單主檔'!B:AH,28,FALSE),"")="HUB", IFERROR(VLOOKUP(A266,勤務統計!A:W,23,FALSE),"")&lt;&gt;"HUB"), "HUB", "")
      ) &amp; "未完工",
      "已完工"
    )
  )
)</f>
        <v>未完工</v>
      </c>
      <c r="P266" s="435" t="str">
        <f>(TEXT(I266,"yyyymmdd"))&amp;勤務統計!$V$2&amp;A266&amp;勤務統計!$V$2&amp;B266&amp;勤務統計!$S$2</f>
        <v>-2566-桃縣桃旺店(定保)</v>
      </c>
      <c r="Q266" s="404" t="str">
        <f t="array" ref="Q266">IF(AND(SUMPRODUCT((IM!$F$2:$F$5000=A266)*(ISNUMBER(SEARCH(勤務統計!$D$1, IM!$AC$2:$AC$5000))))&gt;0), 勤務統計!$D$1, "")</f>
        <v/>
      </c>
      <c r="R266" s="405" t="str">
        <f t="array" ref="R266">IFERROR(INDEX(IM!$AM$2:$AM$5000, MATCH(1, (IM!$F$2:$F$5000=A266) * (ISNUMBER(SEARCH(勤務統計!$D$1, IM!$AC$2:$AC$5000))), 0)), "")</f>
        <v/>
      </c>
      <c r="S266" s="406" t="str" cm="1">
        <f t="array" ref="S266">IF(AND(SUMPRODUCT((IM!$F$2:$F$5000=A266)*(ISNUMBER(SEARCH(勤務統計!$E$1, IM!$AC$2:$AC$5000))))&gt;0), 勤務統計!$E$1, "")</f>
        <v/>
      </c>
      <c r="T266" s="405" t="str">
        <f t="array" ref="T266">IFERROR(INDEX(IM!$AM$2:$AM$5000, MATCH(1, (IM!$F$2:$F$5000=A266) * (ISNUMBER(SEARCH(勤務統計!$E$1, IM!$AC$2:$AC$5000))), 0)), "")</f>
        <v/>
      </c>
      <c r="U266" s="406" t="str" cm="1">
        <f t="array" ref="U266">IF(AND(SUMPRODUCT((IM!$F$2:$F$5000=A266)*(ISNUMBER(SEARCH(勤務統計!$F$1, IM!$AC$2:$AC$5000))))&gt;0), 勤務統計!$F$1, "")</f>
        <v/>
      </c>
      <c r="V266" s="405" t="str">
        <f t="array" ref="V266">IFERROR(INDEX(IM!$AM$2:$AM$5000, MATCH(1, (IM!$F$2:$F$5000=A266) * (ISNUMBER(SEARCH(勤務統計!$F$1, IM!$AC$2:$AC$5000))), 0)), "")</f>
        <v/>
      </c>
      <c r="W266" s="436" t="str">
        <f>IF(VLOOKUP(A266,'0919門市清單主檔'!B:AC,28,FALSE)=0,"",VLOOKUP(A266,'0919門市清單主檔'!B:AC,28,FALSE))</f>
        <v/>
      </c>
    </row>
    <row r="267" spans="1:23" ht="21.6" customHeight="1">
      <c r="A267" s="409">
        <v>2620</v>
      </c>
      <c r="B267" s="409" t="str">
        <f>VLOOKUP(A267,'0919門市清單主檔'!B:C,2,FALSE)</f>
        <v>桃縣桃科店</v>
      </c>
      <c r="C267" s="409" t="str">
        <f>VLOOKUP($A267,'0919門市清單主檔'!B:V,20,FALSE)</f>
        <v>桃園市</v>
      </c>
      <c r="D267" s="409" t="str">
        <f>VLOOKUP($A267,'0919門市清單主檔'!B:V,21,FALSE)</f>
        <v>龜山區</v>
      </c>
      <c r="E267" s="397" t="str">
        <f>VLOOKUP(D267,門市狀態!G:H,2,FALSE)</f>
        <v>吳宗鴻</v>
      </c>
      <c r="F267" s="409" t="str">
        <f>IFERROR(IF(VLOOKUP(A267,門市狀態!A:D,4,FALSE)=0,"",VLOOKUP(A267,門市狀態!A:D,4,FALSE)),"")</f>
        <v/>
      </c>
      <c r="G267" s="409"/>
      <c r="H267" s="411" t="str">
        <f>IF(I267&gt;0,(TEXT(I267,"yyyymmdd")&amp;勤務統計!$V$2&amp;A267&amp;勤務統計!$V$2&amp;B267&amp;勤務統計!$S$2),"")</f>
        <v>-2620-桃縣桃科店(定保)</v>
      </c>
      <c r="I267" s="247" t="str">
        <f t="array" ref="I267">IF(AND(SUMPRODUCT((IM!$F$2:$F$5000=A267)*(ISNUMBER(SEARCH(勤務統計!$C$1, IM!$AC$2:$AC$5000))))&gt;0), 勤務統計!$C$1, "")</f>
        <v/>
      </c>
      <c r="J267" s="399" t="str">
        <f t="array" ref="J267">IFERROR(INDEX(IM!$AM$2:$AM$5000, MATCH(1, (IM!$F$2:$F$5000=A267) * (ISNUMBER(SEARCH(勤務統計!$C$1, IM!$AC$2:$AC$5000))), 0)), "")</f>
        <v/>
      </c>
      <c r="K267" s="400">
        <f t="array" ref="K267">SUMPRODUCT((IM!$F$2:$F$5000=A267)*(IM!$AD$2:$AD$5000="O")*(ISNUMBER(SEARCH(勤務統計!$C$1, IM!$AC$2:$AC$5000))))</f>
        <v>0</v>
      </c>
      <c r="L267" s="401" t="str">
        <f t="array" ref="L267">IF(K267&gt;0,IFERROR(HYPERLINK("#'IM'!AC"&amp;MATCH(1,(IM!$F$1:$F$5000=A267)*(ISNUMBER(SEARCH(勤務統計!$C$1,IM!$AC$1:$AC$5000))),0),"檢核"),"未登錄"),"")</f>
        <v/>
      </c>
      <c r="M267" s="402" t="str">
        <f t="shared" si="4"/>
        <v/>
      </c>
      <c r="N267" s="402" t="str">
        <f t="array" ref="N267">IF(AND(
    SUMPRODUCT(
        (IM!$F$2:$F$522=A267) *
        ISNUMBER(SEARCH("*HUB*", IM!$AC$2:$AC$522)) *
        (IM!$X$2:$X$522&gt;=勤務統計!$A$1) *
        (IM!$X$2:$X$522&lt;=勤務統計!$B$1)*(W267="HUB")
    ) &gt; 0
), "HUB", "")</f>
        <v/>
      </c>
      <c r="O267" s="400" t="str">
        <f>IF(
  IFERROR(VLOOKUP(A267,勤務統計!A:I,9,FALSE),"")&lt;&gt;勤務統計!$C$1,
  "未完工",
  IF(
    AND(勤務統計!$D$1="--",勤務統計!$E$1="--",勤務統計!$F$1="--"),
    "已完工",
    IF(
      OR(
        AND(勤務統計!$D$1&lt;&gt;"--", IFERROR(VLOOKUP(A267,'0919門市清單主檔'!B:AH,31,FALSE),"")=勤務統計!$D$1, IFERROR(VLOOKUP(A267,勤務統計!A:Q,17,FALSE),"")&lt;&gt;勤務統計!$D$1),
        AND(勤務統計!$E$1&lt;&gt;"--", IFERROR(VLOOKUP(A267,'0919門市清單主檔'!B:AH,32,FALSE),"")=勤務統計!$E$1, IFERROR(VLOOKUP(A267,勤務統計!A:S,19,FALSE),"")&lt;&gt;勤務統計!$E$1),
        AND(勤務統計!$F$1&lt;&gt;"--", IFERROR(VLOOKUP(A267,'0919門市清單主檔'!B:AH,33,FALSE),"")=勤務統計!$F$1, IFERROR(VLOOKUP(A267,勤務統計!A:U,21,FALSE),"")&lt;&gt;勤務統計!$F$1),
        AND(IFERROR(VLOOKUP(A267,'0919門市清單主檔'!B:AH,28,FALSE),"")="HUB", IFERROR(VLOOKUP(A267,勤務統計!A:W,23,FALSE),"")&lt;&gt;"HUB")
      ),
      _xlfn.TEXTJOIN(
        "，",
        TRUE,
        IF(AND(勤務統計!$D$1&lt;&gt;"--", IFERROR(VLOOKUP(A267,'0919門市清單主檔'!B:AH,31,FALSE),"")=勤務統計!$D$1, IFERROR(VLOOKUP(A267,勤務統計!A:Q,17,FALSE),"")&lt;&gt;勤務統計!$D$1), 勤務統計!$D$1, ""),
        IF(AND(勤務統計!$E$1&lt;&gt;"--", IFERROR(VLOOKUP(A267,'0919門市清單主檔'!B:AH,32,FALSE),"")=勤務統計!$E$1, IFERROR(VLOOKUP(A267,勤務統計!A:S,19,FALSE),"")&lt;&gt;勤務統計!$E$1), 勤務統計!$E$1, ""),
        IF(AND(勤務統計!$F$1&lt;&gt;"--", IFERROR(VLOOKUP(A267,'0919門市清單主檔'!B:AH,33,FALSE),"")=勤務統計!$F$1, IFERROR(VLOOKUP(A267,勤務統計!A:U,21,FALSE),"")&lt;&gt;勤務統計!$F$1), 勤務統計!$F$1, ""),
        IF(AND(IFERROR(VLOOKUP(A267,'0919門市清單主檔'!B:AH,28,FALSE),"")="HUB", IFERROR(VLOOKUP(A267,勤務統計!A:W,23,FALSE),"")&lt;&gt;"HUB"), "HUB", "")
      ) &amp; "未完工",
      "已完工"
    )
  )
)</f>
        <v>未完工</v>
      </c>
      <c r="P267" s="435" t="str">
        <f>(TEXT(I267,"yyyymmdd"))&amp;勤務統計!$V$2&amp;A267&amp;勤務統計!$V$2&amp;B267&amp;勤務統計!$S$2</f>
        <v>-2620-桃縣桃科店(定保)</v>
      </c>
      <c r="Q267" s="404" t="str">
        <f t="array" ref="Q267">IF(AND(SUMPRODUCT((IM!$F$2:$F$5000=A267)*(ISNUMBER(SEARCH(勤務統計!$D$1, IM!$AC$2:$AC$5000))))&gt;0), 勤務統計!$D$1, "")</f>
        <v/>
      </c>
      <c r="R267" s="405" t="str">
        <f t="array" ref="R267">IFERROR(INDEX(IM!$AM$2:$AM$5000, MATCH(1, (IM!$F$2:$F$5000=A267) * (ISNUMBER(SEARCH(勤務統計!$D$1, IM!$AC$2:$AC$5000))), 0)), "")</f>
        <v/>
      </c>
      <c r="S267" s="406" t="str" cm="1">
        <f t="array" ref="S267">IF(AND(SUMPRODUCT((IM!$F$2:$F$5000=A267)*(ISNUMBER(SEARCH(勤務統計!$E$1, IM!$AC$2:$AC$5000))))&gt;0), 勤務統計!$E$1, "")</f>
        <v/>
      </c>
      <c r="T267" s="405" t="str">
        <f t="array" ref="T267">IFERROR(INDEX(IM!$AM$2:$AM$5000, MATCH(1, (IM!$F$2:$F$5000=A267) * (ISNUMBER(SEARCH(勤務統計!$E$1, IM!$AC$2:$AC$5000))), 0)), "")</f>
        <v/>
      </c>
      <c r="U267" s="406" t="str" cm="1">
        <f t="array" ref="U267">IF(AND(SUMPRODUCT((IM!$F$2:$F$5000=A267)*(ISNUMBER(SEARCH(勤務統計!$F$1, IM!$AC$2:$AC$5000))))&gt;0), 勤務統計!$F$1, "")</f>
        <v/>
      </c>
      <c r="V267" s="405" t="str">
        <f t="array" ref="V267">IFERROR(INDEX(IM!$AM$2:$AM$5000, MATCH(1, (IM!$F$2:$F$5000=A267) * (ISNUMBER(SEARCH(勤務統計!$F$1, IM!$AC$2:$AC$5000))), 0)), "")</f>
        <v/>
      </c>
      <c r="W267" s="436" t="str">
        <f>IF(VLOOKUP(A267,'0919門市清單主檔'!B:AC,28,FALSE)=0,"",VLOOKUP(A267,'0919門市清單主檔'!B:AC,28,FALSE))</f>
        <v/>
      </c>
    </row>
    <row r="268" spans="1:23" ht="21.6" customHeight="1">
      <c r="A268" s="409">
        <v>2622</v>
      </c>
      <c r="B268" s="409" t="str">
        <f>VLOOKUP(A268,'0919門市清單主檔'!B:C,2,FALSE)</f>
        <v>蘆竹君悅店</v>
      </c>
      <c r="C268" s="409" t="str">
        <f>VLOOKUP($A268,'0919門市清單主檔'!B:V,20,FALSE)</f>
        <v>桃園市</v>
      </c>
      <c r="D268" s="409" t="str">
        <f>VLOOKUP($A268,'0919門市清單主檔'!B:V,21,FALSE)</f>
        <v>龜山區</v>
      </c>
      <c r="E268" s="397" t="str">
        <f>VLOOKUP(D268,門市狀態!G:H,2,FALSE)</f>
        <v>吳宗鴻</v>
      </c>
      <c r="F268" s="409" t="str">
        <f>IFERROR(IF(VLOOKUP(A268,門市狀態!A:D,4,FALSE)=0,"",VLOOKUP(A268,門市狀態!A:D,4,FALSE)),"")</f>
        <v/>
      </c>
      <c r="G268" s="409"/>
      <c r="H268" s="411" t="str">
        <f>IF(I268&gt;0,(TEXT(I268,"yyyymmdd")&amp;勤務統計!$V$2&amp;A268&amp;勤務統計!$V$2&amp;B268&amp;勤務統計!$S$2),"")</f>
        <v>-2622-蘆竹君悅店(定保)</v>
      </c>
      <c r="I268" s="247" t="str">
        <f t="array" ref="I268">IF(AND(SUMPRODUCT((IM!$F$2:$F$5000=A268)*(ISNUMBER(SEARCH(勤務統計!$C$1, IM!$AC$2:$AC$5000))))&gt;0), 勤務統計!$C$1, "")</f>
        <v/>
      </c>
      <c r="J268" s="399" t="str">
        <f t="array" ref="J268">IFERROR(INDEX(IM!$AM$2:$AM$5000, MATCH(1, (IM!$F$2:$F$5000=A268) * (ISNUMBER(SEARCH(勤務統計!$C$1, IM!$AC$2:$AC$5000))), 0)), "")</f>
        <v/>
      </c>
      <c r="K268" s="400">
        <f t="array" ref="K268">SUMPRODUCT((IM!$F$2:$F$5000=A268)*(IM!$AD$2:$AD$5000="O")*(ISNUMBER(SEARCH(勤務統計!$C$1, IM!$AC$2:$AC$5000))))</f>
        <v>0</v>
      </c>
      <c r="L268" s="401" t="str">
        <f t="array" ref="L268">IF(K268&gt;0,IFERROR(HYPERLINK("#'IM'!AC"&amp;MATCH(1,(IM!$F$1:$F$5000=A268)*(ISNUMBER(SEARCH(勤務統計!$C$1,IM!$AC$1:$AC$5000))),0),"檢核"),"未登錄"),"")</f>
        <v/>
      </c>
      <c r="M268" s="402" t="str">
        <f t="shared" si="4"/>
        <v/>
      </c>
      <c r="N268" s="402" t="str">
        <f t="array" ref="N268">IF(AND(
    SUMPRODUCT(
        (IM!$F$2:$F$522=A268) *
        ISNUMBER(SEARCH("*HUB*", IM!$AC$2:$AC$522)) *
        (IM!$X$2:$X$522&gt;=勤務統計!$A$1) *
        (IM!$X$2:$X$522&lt;=勤務統計!$B$1)*(W268="HUB")
    ) &gt; 0
), "HUB", "")</f>
        <v/>
      </c>
      <c r="O268" s="400" t="str">
        <f>IF(
  IFERROR(VLOOKUP(A268,勤務統計!A:I,9,FALSE),"")&lt;&gt;勤務統計!$C$1,
  "未完工",
  IF(
    AND(勤務統計!$D$1="--",勤務統計!$E$1="--",勤務統計!$F$1="--"),
    "已完工",
    IF(
      OR(
        AND(勤務統計!$D$1&lt;&gt;"--", IFERROR(VLOOKUP(A268,'0919門市清單主檔'!B:AH,31,FALSE),"")=勤務統計!$D$1, IFERROR(VLOOKUP(A268,勤務統計!A:Q,17,FALSE),"")&lt;&gt;勤務統計!$D$1),
        AND(勤務統計!$E$1&lt;&gt;"--", IFERROR(VLOOKUP(A268,'0919門市清單主檔'!B:AH,32,FALSE),"")=勤務統計!$E$1, IFERROR(VLOOKUP(A268,勤務統計!A:S,19,FALSE),"")&lt;&gt;勤務統計!$E$1),
        AND(勤務統計!$F$1&lt;&gt;"--", IFERROR(VLOOKUP(A268,'0919門市清單主檔'!B:AH,33,FALSE),"")=勤務統計!$F$1, IFERROR(VLOOKUP(A268,勤務統計!A:U,21,FALSE),"")&lt;&gt;勤務統計!$F$1),
        AND(IFERROR(VLOOKUP(A268,'0919門市清單主檔'!B:AH,28,FALSE),"")="HUB", IFERROR(VLOOKUP(A268,勤務統計!A:W,23,FALSE),"")&lt;&gt;"HUB")
      ),
      _xlfn.TEXTJOIN(
        "，",
        TRUE,
        IF(AND(勤務統計!$D$1&lt;&gt;"--", IFERROR(VLOOKUP(A268,'0919門市清單主檔'!B:AH,31,FALSE),"")=勤務統計!$D$1, IFERROR(VLOOKUP(A268,勤務統計!A:Q,17,FALSE),"")&lt;&gt;勤務統計!$D$1), 勤務統計!$D$1, ""),
        IF(AND(勤務統計!$E$1&lt;&gt;"--", IFERROR(VLOOKUP(A268,'0919門市清單主檔'!B:AH,32,FALSE),"")=勤務統計!$E$1, IFERROR(VLOOKUP(A268,勤務統計!A:S,19,FALSE),"")&lt;&gt;勤務統計!$E$1), 勤務統計!$E$1, ""),
        IF(AND(勤務統計!$F$1&lt;&gt;"--", IFERROR(VLOOKUP(A268,'0919門市清單主檔'!B:AH,33,FALSE),"")=勤務統計!$F$1, IFERROR(VLOOKUP(A268,勤務統計!A:U,21,FALSE),"")&lt;&gt;勤務統計!$F$1), 勤務統計!$F$1, ""),
        IF(AND(IFERROR(VLOOKUP(A268,'0919門市清單主檔'!B:AH,28,FALSE),"")="HUB", IFERROR(VLOOKUP(A268,勤務統計!A:W,23,FALSE),"")&lt;&gt;"HUB"), "HUB", "")
      ) &amp; "未完工",
      "已完工"
    )
  )
)</f>
        <v>未完工</v>
      </c>
      <c r="P268" s="435" t="str">
        <f>(TEXT(I268,"yyyymmdd"))&amp;勤務統計!$V$2&amp;A268&amp;勤務統計!$V$2&amp;B268&amp;勤務統計!$S$2</f>
        <v>-2622-蘆竹君悅店(定保)</v>
      </c>
      <c r="Q268" s="404" t="str">
        <f t="array" ref="Q268">IF(AND(SUMPRODUCT((IM!$F$2:$F$5000=A268)*(ISNUMBER(SEARCH(勤務統計!$D$1, IM!$AC$2:$AC$5000))))&gt;0), 勤務統計!$D$1, "")</f>
        <v/>
      </c>
      <c r="R268" s="405" t="str">
        <f t="array" ref="R268">IFERROR(INDEX(IM!$AM$2:$AM$5000, MATCH(1, (IM!$F$2:$F$5000=A268) * (ISNUMBER(SEARCH(勤務統計!$D$1, IM!$AC$2:$AC$5000))), 0)), "")</f>
        <v/>
      </c>
      <c r="S268" s="406" t="str" cm="1">
        <f t="array" ref="S268">IF(AND(SUMPRODUCT((IM!$F$2:$F$5000=A268)*(ISNUMBER(SEARCH(勤務統計!$E$1, IM!$AC$2:$AC$5000))))&gt;0), 勤務統計!$E$1, "")</f>
        <v/>
      </c>
      <c r="T268" s="405" t="str">
        <f t="array" ref="T268">IFERROR(INDEX(IM!$AM$2:$AM$5000, MATCH(1, (IM!$F$2:$F$5000=A268) * (ISNUMBER(SEARCH(勤務統計!$E$1, IM!$AC$2:$AC$5000))), 0)), "")</f>
        <v/>
      </c>
      <c r="U268" s="406" t="str" cm="1">
        <f t="array" ref="U268">IF(AND(SUMPRODUCT((IM!$F$2:$F$5000=A268)*(ISNUMBER(SEARCH(勤務統計!$F$1, IM!$AC$2:$AC$5000))))&gt;0), 勤務統計!$F$1, "")</f>
        <v/>
      </c>
      <c r="V268" s="405" t="str">
        <f t="array" ref="V268">IFERROR(INDEX(IM!$AM$2:$AM$5000, MATCH(1, (IM!$F$2:$F$5000=A268) * (ISNUMBER(SEARCH(勤務統計!$F$1, IM!$AC$2:$AC$5000))), 0)), "")</f>
        <v/>
      </c>
      <c r="W268" s="436" t="str">
        <f>IF(VLOOKUP(A268,'0919門市清單主檔'!B:AC,28,FALSE)=0,"",VLOOKUP(A268,'0919門市清單主檔'!B:AC,28,FALSE))</f>
        <v/>
      </c>
    </row>
    <row r="269" spans="1:23" ht="21.6" customHeight="1">
      <c r="A269" s="409">
        <v>2988</v>
      </c>
      <c r="B269" s="409" t="str">
        <f>VLOOKUP(A269,'0919門市清單主檔'!B:C,2,FALSE)</f>
        <v>蘆竹蘆興店</v>
      </c>
      <c r="C269" s="409" t="str">
        <f>VLOOKUP($A269,'0919門市清單主檔'!B:V,20,FALSE)</f>
        <v>桃園市</v>
      </c>
      <c r="D269" s="409" t="str">
        <f>VLOOKUP($A269,'0919門市清單主檔'!B:V,21,FALSE)</f>
        <v>龜山區</v>
      </c>
      <c r="E269" s="397" t="str">
        <f>VLOOKUP(D269,門市狀態!G:H,2,FALSE)</f>
        <v>吳宗鴻</v>
      </c>
      <c r="F269" s="409" t="str">
        <f>IFERROR(IF(VLOOKUP(A269,門市狀態!A:D,4,FALSE)=0,"",VLOOKUP(A269,門市狀態!A:D,4,FALSE)),"")</f>
        <v/>
      </c>
      <c r="G269" s="409"/>
      <c r="H269" s="411" t="str">
        <f>IF(I269&gt;0,(TEXT(I269,"yyyymmdd")&amp;勤務統計!$V$2&amp;A269&amp;勤務統計!$V$2&amp;B269&amp;勤務統計!$S$2),"")</f>
        <v>-2988-蘆竹蘆興店(定保)</v>
      </c>
      <c r="I269" s="247" t="str">
        <f t="array" ref="I269">IF(AND(SUMPRODUCT((IM!$F$2:$F$5000=A269)*(ISNUMBER(SEARCH(勤務統計!$C$1, IM!$AC$2:$AC$5000))))&gt;0), 勤務統計!$C$1, "")</f>
        <v/>
      </c>
      <c r="J269" s="399" t="str">
        <f t="array" ref="J269">IFERROR(INDEX(IM!$AM$2:$AM$5000, MATCH(1, (IM!$F$2:$F$5000=A269) * (ISNUMBER(SEARCH(勤務統計!$C$1, IM!$AC$2:$AC$5000))), 0)), "")</f>
        <v/>
      </c>
      <c r="K269" s="400">
        <f t="array" ref="K269">SUMPRODUCT((IM!$F$2:$F$5000=A269)*(IM!$AD$2:$AD$5000="O")*(ISNUMBER(SEARCH(勤務統計!$C$1, IM!$AC$2:$AC$5000))))</f>
        <v>0</v>
      </c>
      <c r="L269" s="401" t="str">
        <f t="array" ref="L269">IF(K269&gt;0,IFERROR(HYPERLINK("#'IM'!AC"&amp;MATCH(1,(IM!$F$1:$F$5000=A269)*(ISNUMBER(SEARCH(勤務統計!$C$1,IM!$AC$1:$AC$5000))),0),"檢核"),"未登錄"),"")</f>
        <v/>
      </c>
      <c r="M269" s="402" t="str">
        <f t="shared" si="4"/>
        <v/>
      </c>
      <c r="N269" s="402" t="str">
        <f t="array" ref="N269">IF(AND(
    SUMPRODUCT(
        (IM!$F$2:$F$522=A269) *
        ISNUMBER(SEARCH("*HUB*", IM!$AC$2:$AC$522)) *
        (IM!$X$2:$X$522&gt;=勤務統計!$A$1) *
        (IM!$X$2:$X$522&lt;=勤務統計!$B$1)*(W269="HUB")
    ) &gt; 0
), "HUB", "")</f>
        <v/>
      </c>
      <c r="O269" s="400" t="str">
        <f>IF(
  IFERROR(VLOOKUP(A269,勤務統計!A:I,9,FALSE),"")&lt;&gt;勤務統計!$C$1,
  "未完工",
  IF(
    AND(勤務統計!$D$1="--",勤務統計!$E$1="--",勤務統計!$F$1="--"),
    "已完工",
    IF(
      OR(
        AND(勤務統計!$D$1&lt;&gt;"--", IFERROR(VLOOKUP(A269,'0919門市清單主檔'!B:AH,31,FALSE),"")=勤務統計!$D$1, IFERROR(VLOOKUP(A269,勤務統計!A:Q,17,FALSE),"")&lt;&gt;勤務統計!$D$1),
        AND(勤務統計!$E$1&lt;&gt;"--", IFERROR(VLOOKUP(A269,'0919門市清單主檔'!B:AH,32,FALSE),"")=勤務統計!$E$1, IFERROR(VLOOKUP(A269,勤務統計!A:S,19,FALSE),"")&lt;&gt;勤務統計!$E$1),
        AND(勤務統計!$F$1&lt;&gt;"--", IFERROR(VLOOKUP(A269,'0919門市清單主檔'!B:AH,33,FALSE),"")=勤務統計!$F$1, IFERROR(VLOOKUP(A269,勤務統計!A:U,21,FALSE),"")&lt;&gt;勤務統計!$F$1),
        AND(IFERROR(VLOOKUP(A269,'0919門市清單主檔'!B:AH,28,FALSE),"")="HUB", IFERROR(VLOOKUP(A269,勤務統計!A:W,23,FALSE),"")&lt;&gt;"HUB")
      ),
      _xlfn.TEXTJOIN(
        "，",
        TRUE,
        IF(AND(勤務統計!$D$1&lt;&gt;"--", IFERROR(VLOOKUP(A269,'0919門市清單主檔'!B:AH,31,FALSE),"")=勤務統計!$D$1, IFERROR(VLOOKUP(A269,勤務統計!A:Q,17,FALSE),"")&lt;&gt;勤務統計!$D$1), 勤務統計!$D$1, ""),
        IF(AND(勤務統計!$E$1&lt;&gt;"--", IFERROR(VLOOKUP(A269,'0919門市清單主檔'!B:AH,32,FALSE),"")=勤務統計!$E$1, IFERROR(VLOOKUP(A269,勤務統計!A:S,19,FALSE),"")&lt;&gt;勤務統計!$E$1), 勤務統計!$E$1, ""),
        IF(AND(勤務統計!$F$1&lt;&gt;"--", IFERROR(VLOOKUP(A269,'0919門市清單主檔'!B:AH,33,FALSE),"")=勤務統計!$F$1, IFERROR(VLOOKUP(A269,勤務統計!A:U,21,FALSE),"")&lt;&gt;勤務統計!$F$1), 勤務統計!$F$1, ""),
        IF(AND(IFERROR(VLOOKUP(A269,'0919門市清單主檔'!B:AH,28,FALSE),"")="HUB", IFERROR(VLOOKUP(A269,勤務統計!A:W,23,FALSE),"")&lt;&gt;"HUB"), "HUB", "")
      ) &amp; "未完工",
      "已完工"
    )
  )
)</f>
        <v>未完工</v>
      </c>
      <c r="P269" s="435" t="str">
        <f>(TEXT(I269,"yyyymmdd"))&amp;勤務統計!$V$2&amp;A269&amp;勤務統計!$V$2&amp;B269&amp;勤務統計!$S$2</f>
        <v>-2988-蘆竹蘆興店(定保)</v>
      </c>
      <c r="Q269" s="404" t="str">
        <f t="array" ref="Q269">IF(AND(SUMPRODUCT((IM!$F$2:$F$5000=A269)*(ISNUMBER(SEARCH(勤務統計!$D$1, IM!$AC$2:$AC$5000))))&gt;0), 勤務統計!$D$1, "")</f>
        <v/>
      </c>
      <c r="R269" s="405" t="str">
        <f t="array" ref="R269">IFERROR(INDEX(IM!$AM$2:$AM$5000, MATCH(1, (IM!$F$2:$F$5000=A269) * (ISNUMBER(SEARCH(勤務統計!$D$1, IM!$AC$2:$AC$5000))), 0)), "")</f>
        <v/>
      </c>
      <c r="S269" s="406" t="str" cm="1">
        <f t="array" ref="S269">IF(AND(SUMPRODUCT((IM!$F$2:$F$5000=A269)*(ISNUMBER(SEARCH(勤務統計!$E$1, IM!$AC$2:$AC$5000))))&gt;0), 勤務統計!$E$1, "")</f>
        <v/>
      </c>
      <c r="T269" s="405" t="str">
        <f t="array" ref="T269">IFERROR(INDEX(IM!$AM$2:$AM$5000, MATCH(1, (IM!$F$2:$F$5000=A269) * (ISNUMBER(SEARCH(勤務統計!$E$1, IM!$AC$2:$AC$5000))), 0)), "")</f>
        <v/>
      </c>
      <c r="U269" s="406" t="str" cm="1">
        <f t="array" ref="U269">IF(AND(SUMPRODUCT((IM!$F$2:$F$5000=A269)*(ISNUMBER(SEARCH(勤務統計!$F$1, IM!$AC$2:$AC$5000))))&gt;0), 勤務統計!$F$1, "")</f>
        <v/>
      </c>
      <c r="V269" s="405" t="str">
        <f t="array" ref="V269">IFERROR(INDEX(IM!$AM$2:$AM$5000, MATCH(1, (IM!$F$2:$F$5000=A269) * (ISNUMBER(SEARCH(勤務統計!$F$1, IM!$AC$2:$AC$5000))), 0)), "")</f>
        <v/>
      </c>
      <c r="W269" s="436" t="str">
        <f>IF(VLOOKUP(A269,'0919門市清單主檔'!B:AC,28,FALSE)=0,"",VLOOKUP(A269,'0919門市清單主檔'!B:AC,28,FALSE))</f>
        <v/>
      </c>
    </row>
    <row r="270" spans="1:23" ht="21.6" customHeight="1">
      <c r="A270" s="409">
        <v>3045</v>
      </c>
      <c r="B270" s="409" t="str">
        <f>VLOOKUP(A270,'0919門市清單主檔'!B:C,2,FALSE)</f>
        <v>桃縣桃楚店</v>
      </c>
      <c r="C270" s="409" t="str">
        <f>VLOOKUP($A270,'0919門市清單主檔'!B:V,20,FALSE)</f>
        <v>桃園市</v>
      </c>
      <c r="D270" s="409" t="str">
        <f>VLOOKUP($A270,'0919門市清單主檔'!B:V,21,FALSE)</f>
        <v>龜山區</v>
      </c>
      <c r="E270" s="397" t="str">
        <f>VLOOKUP(D270,門市狀態!G:H,2,FALSE)</f>
        <v>吳宗鴻</v>
      </c>
      <c r="F270" s="409" t="str">
        <f>IFERROR(IF(VLOOKUP(A270,門市狀態!A:D,4,FALSE)=0,"",VLOOKUP(A270,門市狀態!A:D,4,FALSE)),"")</f>
        <v/>
      </c>
      <c r="G270" s="409"/>
      <c r="H270" s="411" t="str">
        <f>IF(I270&gt;0,(TEXT(I270,"yyyymmdd")&amp;勤務統計!$V$2&amp;A270&amp;勤務統計!$V$2&amp;B270&amp;勤務統計!$S$2),"")</f>
        <v>-3045-桃縣桃楚店(定保)</v>
      </c>
      <c r="I270" s="247" t="str">
        <f t="array" ref="I270">IF(AND(SUMPRODUCT((IM!$F$2:$F$5000=A270)*(ISNUMBER(SEARCH(勤務統計!$C$1, IM!$AC$2:$AC$5000))))&gt;0), 勤務統計!$C$1, "")</f>
        <v/>
      </c>
      <c r="J270" s="399" t="str">
        <f t="array" ref="J270">IFERROR(INDEX(IM!$AM$2:$AM$5000, MATCH(1, (IM!$F$2:$F$5000=A270) * (ISNUMBER(SEARCH(勤務統計!$C$1, IM!$AC$2:$AC$5000))), 0)), "")</f>
        <v/>
      </c>
      <c r="K270" s="400">
        <f t="array" ref="K270">SUMPRODUCT((IM!$F$2:$F$5000=A270)*(IM!$AD$2:$AD$5000="O")*(ISNUMBER(SEARCH(勤務統計!$C$1, IM!$AC$2:$AC$5000))))</f>
        <v>0</v>
      </c>
      <c r="L270" s="401" t="str">
        <f t="array" ref="L270">IF(K270&gt;0,IFERROR(HYPERLINK("#'IM'!AC"&amp;MATCH(1,(IM!$F$1:$F$5000=A270)*(ISNUMBER(SEARCH(勤務統計!$C$1,IM!$AC$1:$AC$5000))),0),"檢核"),"未登錄"),"")</f>
        <v/>
      </c>
      <c r="M270" s="402" t="str">
        <f t="shared" si="4"/>
        <v/>
      </c>
      <c r="N270" s="402" t="str">
        <f t="array" ref="N270">IF(AND(
    SUMPRODUCT(
        (IM!$F$2:$F$522=A270) *
        ISNUMBER(SEARCH("*HUB*", IM!$AC$2:$AC$522)) *
        (IM!$X$2:$X$522&gt;=勤務統計!$A$1) *
        (IM!$X$2:$X$522&lt;=勤務統計!$B$1)*(W270="HUB")
    ) &gt; 0
), "HUB", "")</f>
        <v/>
      </c>
      <c r="O270" s="400" t="str">
        <f>IF(
  IFERROR(VLOOKUP(A270,勤務統計!A:I,9,FALSE),"")&lt;&gt;勤務統計!$C$1,
  "未完工",
  IF(
    AND(勤務統計!$D$1="--",勤務統計!$E$1="--",勤務統計!$F$1="--"),
    "已完工",
    IF(
      OR(
        AND(勤務統計!$D$1&lt;&gt;"--", IFERROR(VLOOKUP(A270,'0919門市清單主檔'!B:AH,31,FALSE),"")=勤務統計!$D$1, IFERROR(VLOOKUP(A270,勤務統計!A:Q,17,FALSE),"")&lt;&gt;勤務統計!$D$1),
        AND(勤務統計!$E$1&lt;&gt;"--", IFERROR(VLOOKUP(A270,'0919門市清單主檔'!B:AH,32,FALSE),"")=勤務統計!$E$1, IFERROR(VLOOKUP(A270,勤務統計!A:S,19,FALSE),"")&lt;&gt;勤務統計!$E$1),
        AND(勤務統計!$F$1&lt;&gt;"--", IFERROR(VLOOKUP(A270,'0919門市清單主檔'!B:AH,33,FALSE),"")=勤務統計!$F$1, IFERROR(VLOOKUP(A270,勤務統計!A:U,21,FALSE),"")&lt;&gt;勤務統計!$F$1),
        AND(IFERROR(VLOOKUP(A270,'0919門市清單主檔'!B:AH,28,FALSE),"")="HUB", IFERROR(VLOOKUP(A270,勤務統計!A:W,23,FALSE),"")&lt;&gt;"HUB")
      ),
      _xlfn.TEXTJOIN(
        "，",
        TRUE,
        IF(AND(勤務統計!$D$1&lt;&gt;"--", IFERROR(VLOOKUP(A270,'0919門市清單主檔'!B:AH,31,FALSE),"")=勤務統計!$D$1, IFERROR(VLOOKUP(A270,勤務統計!A:Q,17,FALSE),"")&lt;&gt;勤務統計!$D$1), 勤務統計!$D$1, ""),
        IF(AND(勤務統計!$E$1&lt;&gt;"--", IFERROR(VLOOKUP(A270,'0919門市清單主檔'!B:AH,32,FALSE),"")=勤務統計!$E$1, IFERROR(VLOOKUP(A270,勤務統計!A:S,19,FALSE),"")&lt;&gt;勤務統計!$E$1), 勤務統計!$E$1, ""),
        IF(AND(勤務統計!$F$1&lt;&gt;"--", IFERROR(VLOOKUP(A270,'0919門市清單主檔'!B:AH,33,FALSE),"")=勤務統計!$F$1, IFERROR(VLOOKUP(A270,勤務統計!A:U,21,FALSE),"")&lt;&gt;勤務統計!$F$1), 勤務統計!$F$1, ""),
        IF(AND(IFERROR(VLOOKUP(A270,'0919門市清單主檔'!B:AH,28,FALSE),"")="HUB", IFERROR(VLOOKUP(A270,勤務統計!A:W,23,FALSE),"")&lt;&gt;"HUB"), "HUB", "")
      ) &amp; "未完工",
      "已完工"
    )
  )
)</f>
        <v>未完工</v>
      </c>
      <c r="P270" s="435" t="str">
        <f>(TEXT(I270,"yyyymmdd"))&amp;勤務統計!$V$2&amp;A270&amp;勤務統計!$V$2&amp;B270&amp;勤務統計!$S$2</f>
        <v>-3045-桃縣桃楚店(定保)</v>
      </c>
      <c r="Q270" s="404" t="str">
        <f t="array" ref="Q270">IF(AND(SUMPRODUCT((IM!$F$2:$F$5000=A270)*(ISNUMBER(SEARCH(勤務統計!$D$1, IM!$AC$2:$AC$5000))))&gt;0), 勤務統計!$D$1, "")</f>
        <v/>
      </c>
      <c r="R270" s="405" t="str">
        <f t="array" ref="R270">IFERROR(INDEX(IM!$AM$2:$AM$5000, MATCH(1, (IM!$F$2:$F$5000=A270) * (ISNUMBER(SEARCH(勤務統計!$D$1, IM!$AC$2:$AC$5000))), 0)), "")</f>
        <v/>
      </c>
      <c r="S270" s="406" t="str" cm="1">
        <f t="array" ref="S270">IF(AND(SUMPRODUCT((IM!$F$2:$F$5000=A270)*(ISNUMBER(SEARCH(勤務統計!$E$1, IM!$AC$2:$AC$5000))))&gt;0), 勤務統計!$E$1, "")</f>
        <v/>
      </c>
      <c r="T270" s="405" t="str">
        <f t="array" ref="T270">IFERROR(INDEX(IM!$AM$2:$AM$5000, MATCH(1, (IM!$F$2:$F$5000=A270) * (ISNUMBER(SEARCH(勤務統計!$E$1, IM!$AC$2:$AC$5000))), 0)), "")</f>
        <v/>
      </c>
      <c r="U270" s="406" t="str" cm="1">
        <f t="array" ref="U270">IF(AND(SUMPRODUCT((IM!$F$2:$F$5000=A270)*(ISNUMBER(SEARCH(勤務統計!$F$1, IM!$AC$2:$AC$5000))))&gt;0), 勤務統計!$F$1, "")</f>
        <v/>
      </c>
      <c r="V270" s="405" t="str">
        <f t="array" ref="V270">IFERROR(INDEX(IM!$AM$2:$AM$5000, MATCH(1, (IM!$F$2:$F$5000=A270) * (ISNUMBER(SEARCH(勤務統計!$F$1, IM!$AC$2:$AC$5000))), 0)), "")</f>
        <v/>
      </c>
      <c r="W270" s="436" t="str">
        <f>IF(VLOOKUP(A270,'0919門市清單主檔'!B:AC,28,FALSE)=0,"",VLOOKUP(A270,'0919門市清單主檔'!B:AC,28,FALSE))</f>
        <v/>
      </c>
    </row>
    <row r="271" spans="1:23" ht="21.6" customHeight="1">
      <c r="A271" s="409">
        <v>3556</v>
      </c>
      <c r="B271" s="409" t="str">
        <f>VLOOKUP(A271,'0919門市清單主檔'!B:C,2,FALSE)</f>
        <v>桃縣蘆華店</v>
      </c>
      <c r="C271" s="409" t="str">
        <f>VLOOKUP($A271,'0919門市清單主檔'!B:V,20,FALSE)</f>
        <v>桃園市</v>
      </c>
      <c r="D271" s="409" t="str">
        <f>VLOOKUP($A271,'0919門市清單主檔'!B:V,21,FALSE)</f>
        <v>龜山區</v>
      </c>
      <c r="E271" s="397" t="str">
        <f>VLOOKUP(D271,門市狀態!G:H,2,FALSE)</f>
        <v>吳宗鴻</v>
      </c>
      <c r="F271" s="409" t="str">
        <f>IFERROR(IF(VLOOKUP(A271,門市狀態!A:D,4,FALSE)=0,"",VLOOKUP(A271,門市狀態!A:D,4,FALSE)),"")</f>
        <v/>
      </c>
      <c r="G271" s="409"/>
      <c r="H271" s="411" t="str">
        <f>IF(I271&gt;0,(TEXT(I271,"yyyymmdd")&amp;勤務統計!$V$2&amp;A271&amp;勤務統計!$V$2&amp;B271&amp;勤務統計!$S$2),"")</f>
        <v>-3556-桃縣蘆華店(定保)</v>
      </c>
      <c r="I271" s="247" t="str">
        <f t="array" ref="I271">IF(AND(SUMPRODUCT((IM!$F$2:$F$5000=A271)*(ISNUMBER(SEARCH(勤務統計!$C$1, IM!$AC$2:$AC$5000))))&gt;0), 勤務統計!$C$1, "")</f>
        <v/>
      </c>
      <c r="J271" s="399" t="str">
        <f t="array" ref="J271">IFERROR(INDEX(IM!$AM$2:$AM$5000, MATCH(1, (IM!$F$2:$F$5000=A271) * (ISNUMBER(SEARCH(勤務統計!$C$1, IM!$AC$2:$AC$5000))), 0)), "")</f>
        <v/>
      </c>
      <c r="K271" s="400">
        <f t="array" ref="K271">SUMPRODUCT((IM!$F$2:$F$5000=A271)*(IM!$AD$2:$AD$5000="O")*(ISNUMBER(SEARCH(勤務統計!$C$1, IM!$AC$2:$AC$5000))))</f>
        <v>0</v>
      </c>
      <c r="L271" s="401" t="str">
        <f t="array" ref="L271">IF(K271&gt;0,IFERROR(HYPERLINK("#'IM'!AC"&amp;MATCH(1,(IM!$F$1:$F$5000=A271)*(ISNUMBER(SEARCH(勤務統計!$C$1,IM!$AC$1:$AC$5000))),0),"檢核"),"未登錄"),"")</f>
        <v/>
      </c>
      <c r="M271" s="402" t="str">
        <f t="shared" si="4"/>
        <v/>
      </c>
      <c r="N271" s="402" t="str">
        <f t="array" ref="N271">IF(AND(
    SUMPRODUCT(
        (IM!$F$2:$F$522=A271) *
        ISNUMBER(SEARCH("*HUB*", IM!$AC$2:$AC$522)) *
        (IM!$X$2:$X$522&gt;=勤務統計!$A$1) *
        (IM!$X$2:$X$522&lt;=勤務統計!$B$1)*(W271="HUB")
    ) &gt; 0
), "HUB", "")</f>
        <v/>
      </c>
      <c r="O271" s="400" t="str">
        <f>IF(
  IFERROR(VLOOKUP(A271,勤務統計!A:I,9,FALSE),"")&lt;&gt;勤務統計!$C$1,
  "未完工",
  IF(
    AND(勤務統計!$D$1="--",勤務統計!$E$1="--",勤務統計!$F$1="--"),
    "已完工",
    IF(
      OR(
        AND(勤務統計!$D$1&lt;&gt;"--", IFERROR(VLOOKUP(A271,'0919門市清單主檔'!B:AH,31,FALSE),"")=勤務統計!$D$1, IFERROR(VLOOKUP(A271,勤務統計!A:Q,17,FALSE),"")&lt;&gt;勤務統計!$D$1),
        AND(勤務統計!$E$1&lt;&gt;"--", IFERROR(VLOOKUP(A271,'0919門市清單主檔'!B:AH,32,FALSE),"")=勤務統計!$E$1, IFERROR(VLOOKUP(A271,勤務統計!A:S,19,FALSE),"")&lt;&gt;勤務統計!$E$1),
        AND(勤務統計!$F$1&lt;&gt;"--", IFERROR(VLOOKUP(A271,'0919門市清單主檔'!B:AH,33,FALSE),"")=勤務統計!$F$1, IFERROR(VLOOKUP(A271,勤務統計!A:U,21,FALSE),"")&lt;&gt;勤務統計!$F$1),
        AND(IFERROR(VLOOKUP(A271,'0919門市清單主檔'!B:AH,28,FALSE),"")="HUB", IFERROR(VLOOKUP(A271,勤務統計!A:W,23,FALSE),"")&lt;&gt;"HUB")
      ),
      _xlfn.TEXTJOIN(
        "，",
        TRUE,
        IF(AND(勤務統計!$D$1&lt;&gt;"--", IFERROR(VLOOKUP(A271,'0919門市清單主檔'!B:AH,31,FALSE),"")=勤務統計!$D$1, IFERROR(VLOOKUP(A271,勤務統計!A:Q,17,FALSE),"")&lt;&gt;勤務統計!$D$1), 勤務統計!$D$1, ""),
        IF(AND(勤務統計!$E$1&lt;&gt;"--", IFERROR(VLOOKUP(A271,'0919門市清單主檔'!B:AH,32,FALSE),"")=勤務統計!$E$1, IFERROR(VLOOKUP(A271,勤務統計!A:S,19,FALSE),"")&lt;&gt;勤務統計!$E$1), 勤務統計!$E$1, ""),
        IF(AND(勤務統計!$F$1&lt;&gt;"--", IFERROR(VLOOKUP(A271,'0919門市清單主檔'!B:AH,33,FALSE),"")=勤務統計!$F$1, IFERROR(VLOOKUP(A271,勤務統計!A:U,21,FALSE),"")&lt;&gt;勤務統計!$F$1), 勤務統計!$F$1, ""),
        IF(AND(IFERROR(VLOOKUP(A271,'0919門市清單主檔'!B:AH,28,FALSE),"")="HUB", IFERROR(VLOOKUP(A271,勤務統計!A:W,23,FALSE),"")&lt;&gt;"HUB"), "HUB", "")
      ) &amp; "未完工",
      "已完工"
    )
  )
)</f>
        <v>未完工</v>
      </c>
      <c r="P271" s="435" t="str">
        <f>(TEXT(I271,"yyyymmdd"))&amp;勤務統計!$V$2&amp;A271&amp;勤務統計!$V$2&amp;B271&amp;勤務統計!$S$2</f>
        <v>-3556-桃縣蘆華店(定保)</v>
      </c>
      <c r="Q271" s="404" t="str">
        <f t="array" ref="Q271">IF(AND(SUMPRODUCT((IM!$F$2:$F$5000=A271)*(ISNUMBER(SEARCH(勤務統計!$D$1, IM!$AC$2:$AC$5000))))&gt;0), 勤務統計!$D$1, "")</f>
        <v/>
      </c>
      <c r="R271" s="405" t="str">
        <f t="array" ref="R271">IFERROR(INDEX(IM!$AM$2:$AM$5000, MATCH(1, (IM!$F$2:$F$5000=A271) * (ISNUMBER(SEARCH(勤務統計!$D$1, IM!$AC$2:$AC$5000))), 0)), "")</f>
        <v/>
      </c>
      <c r="S271" s="406" t="str" cm="1">
        <f t="array" ref="S271">IF(AND(SUMPRODUCT((IM!$F$2:$F$5000=A271)*(ISNUMBER(SEARCH(勤務統計!$E$1, IM!$AC$2:$AC$5000))))&gt;0), 勤務統計!$E$1, "")</f>
        <v/>
      </c>
      <c r="T271" s="405" t="str">
        <f t="array" ref="T271">IFERROR(INDEX(IM!$AM$2:$AM$5000, MATCH(1, (IM!$F$2:$F$5000=A271) * (ISNUMBER(SEARCH(勤務統計!$E$1, IM!$AC$2:$AC$5000))), 0)), "")</f>
        <v/>
      </c>
      <c r="U271" s="406" t="str" cm="1">
        <f t="array" ref="U271">IF(AND(SUMPRODUCT((IM!$F$2:$F$5000=A271)*(ISNUMBER(SEARCH(勤務統計!$F$1, IM!$AC$2:$AC$5000))))&gt;0), 勤務統計!$F$1, "")</f>
        <v/>
      </c>
      <c r="V271" s="405" t="str">
        <f t="array" ref="V271">IFERROR(INDEX(IM!$AM$2:$AM$5000, MATCH(1, (IM!$F$2:$F$5000=A271) * (ISNUMBER(SEARCH(勤務統計!$F$1, IM!$AC$2:$AC$5000))), 0)), "")</f>
        <v/>
      </c>
      <c r="W271" s="436" t="str">
        <f>IF(VLOOKUP(A271,'0919門市清單主檔'!B:AC,28,FALSE)=0,"",VLOOKUP(A271,'0919門市清單主檔'!B:AC,28,FALSE))</f>
        <v/>
      </c>
    </row>
    <row r="272" spans="1:23" ht="21.6" customHeight="1">
      <c r="A272" s="409">
        <v>3880</v>
      </c>
      <c r="B272" s="409" t="str">
        <f>VLOOKUP(A272,'0919門市清單主檔'!B:C,2,FALSE)</f>
        <v>桃縣富竹店</v>
      </c>
      <c r="C272" s="409" t="str">
        <f>VLOOKUP($A272,'0919門市清單主檔'!B:V,20,FALSE)</f>
        <v>桃園市</v>
      </c>
      <c r="D272" s="409" t="str">
        <f>VLOOKUP($A272,'0919門市清單主檔'!B:V,21,FALSE)</f>
        <v>龜山區</v>
      </c>
      <c r="E272" s="397" t="str">
        <f>VLOOKUP(D272,門市狀態!G:H,2,FALSE)</f>
        <v>吳宗鴻</v>
      </c>
      <c r="F272" s="409" t="str">
        <f>IFERROR(IF(VLOOKUP(A272,門市狀態!A:D,4,FALSE)=0,"",VLOOKUP(A272,門市狀態!A:D,4,FALSE)),"")</f>
        <v/>
      </c>
      <c r="G272" s="409"/>
      <c r="H272" s="411" t="str">
        <f>IF(I272&gt;0,(TEXT(I272,"yyyymmdd")&amp;勤務統計!$V$2&amp;A272&amp;勤務統計!$V$2&amp;B272&amp;勤務統計!$S$2),"")</f>
        <v>-3880-桃縣富竹店(定保)</v>
      </c>
      <c r="I272" s="247" t="str">
        <f t="array" ref="I272">IF(AND(SUMPRODUCT((IM!$F$2:$F$5000=A272)*(ISNUMBER(SEARCH(勤務統計!$C$1, IM!$AC$2:$AC$5000))))&gt;0), 勤務統計!$C$1, "")</f>
        <v/>
      </c>
      <c r="J272" s="399" t="str">
        <f t="array" ref="J272">IFERROR(INDEX(IM!$AM$2:$AM$5000, MATCH(1, (IM!$F$2:$F$5000=A272) * (ISNUMBER(SEARCH(勤務統計!$C$1, IM!$AC$2:$AC$5000))), 0)), "")</f>
        <v/>
      </c>
      <c r="K272" s="400">
        <f t="array" ref="K272">SUMPRODUCT((IM!$F$2:$F$5000=A272)*(IM!$AD$2:$AD$5000="O")*(ISNUMBER(SEARCH(勤務統計!$C$1, IM!$AC$2:$AC$5000))))</f>
        <v>0</v>
      </c>
      <c r="L272" s="401" t="str">
        <f t="array" ref="L272">IF(K272&gt;0,IFERROR(HYPERLINK("#'IM'!AC"&amp;MATCH(1,(IM!$F$1:$F$5000=A272)*(ISNUMBER(SEARCH(勤務統計!$C$1,IM!$AC$1:$AC$5000))),0),"檢核"),"未登錄"),"")</f>
        <v/>
      </c>
      <c r="M272" s="402" t="str">
        <f t="shared" si="4"/>
        <v/>
      </c>
      <c r="N272" s="402" t="str">
        <f t="array" ref="N272">IF(AND(
    SUMPRODUCT(
        (IM!$F$2:$F$522=A272) *
        ISNUMBER(SEARCH("*HUB*", IM!$AC$2:$AC$522)) *
        (IM!$X$2:$X$522&gt;=勤務統計!$A$1) *
        (IM!$X$2:$X$522&lt;=勤務統計!$B$1)*(W272="HUB")
    ) &gt; 0
), "HUB", "")</f>
        <v/>
      </c>
      <c r="O272" s="400" t="str">
        <f>IF(
  IFERROR(VLOOKUP(A272,勤務統計!A:I,9,FALSE),"")&lt;&gt;勤務統計!$C$1,
  "未完工",
  IF(
    AND(勤務統計!$D$1="--",勤務統計!$E$1="--",勤務統計!$F$1="--"),
    "已完工",
    IF(
      OR(
        AND(勤務統計!$D$1&lt;&gt;"--", IFERROR(VLOOKUP(A272,'0919門市清單主檔'!B:AH,31,FALSE),"")=勤務統計!$D$1, IFERROR(VLOOKUP(A272,勤務統計!A:Q,17,FALSE),"")&lt;&gt;勤務統計!$D$1),
        AND(勤務統計!$E$1&lt;&gt;"--", IFERROR(VLOOKUP(A272,'0919門市清單主檔'!B:AH,32,FALSE),"")=勤務統計!$E$1, IFERROR(VLOOKUP(A272,勤務統計!A:S,19,FALSE),"")&lt;&gt;勤務統計!$E$1),
        AND(勤務統計!$F$1&lt;&gt;"--", IFERROR(VLOOKUP(A272,'0919門市清單主檔'!B:AH,33,FALSE),"")=勤務統計!$F$1, IFERROR(VLOOKUP(A272,勤務統計!A:U,21,FALSE),"")&lt;&gt;勤務統計!$F$1),
        AND(IFERROR(VLOOKUP(A272,'0919門市清單主檔'!B:AH,28,FALSE),"")="HUB", IFERROR(VLOOKUP(A272,勤務統計!A:W,23,FALSE),"")&lt;&gt;"HUB")
      ),
      _xlfn.TEXTJOIN(
        "，",
        TRUE,
        IF(AND(勤務統計!$D$1&lt;&gt;"--", IFERROR(VLOOKUP(A272,'0919門市清單主檔'!B:AH,31,FALSE),"")=勤務統計!$D$1, IFERROR(VLOOKUP(A272,勤務統計!A:Q,17,FALSE),"")&lt;&gt;勤務統計!$D$1), 勤務統計!$D$1, ""),
        IF(AND(勤務統計!$E$1&lt;&gt;"--", IFERROR(VLOOKUP(A272,'0919門市清單主檔'!B:AH,32,FALSE),"")=勤務統計!$E$1, IFERROR(VLOOKUP(A272,勤務統計!A:S,19,FALSE),"")&lt;&gt;勤務統計!$E$1), 勤務統計!$E$1, ""),
        IF(AND(勤務統計!$F$1&lt;&gt;"--", IFERROR(VLOOKUP(A272,'0919門市清單主檔'!B:AH,33,FALSE),"")=勤務統計!$F$1, IFERROR(VLOOKUP(A272,勤務統計!A:U,21,FALSE),"")&lt;&gt;勤務統計!$F$1), 勤務統計!$F$1, ""),
        IF(AND(IFERROR(VLOOKUP(A272,'0919門市清單主檔'!B:AH,28,FALSE),"")="HUB", IFERROR(VLOOKUP(A272,勤務統計!A:W,23,FALSE),"")&lt;&gt;"HUB"), "HUB", "")
      ) &amp; "未完工",
      "已完工"
    )
  )
)</f>
        <v>未完工</v>
      </c>
      <c r="P272" s="435" t="str">
        <f>(TEXT(I272,"yyyymmdd"))&amp;勤務統計!$V$2&amp;A272&amp;勤務統計!$V$2&amp;B272&amp;勤務統計!$S$2</f>
        <v>-3880-桃縣富竹店(定保)</v>
      </c>
      <c r="Q272" s="404" t="str">
        <f t="array" ref="Q272">IF(AND(SUMPRODUCT((IM!$F$2:$F$5000=A272)*(ISNUMBER(SEARCH(勤務統計!$D$1, IM!$AC$2:$AC$5000))))&gt;0), 勤務統計!$D$1, "")</f>
        <v/>
      </c>
      <c r="R272" s="405" t="str">
        <f t="array" ref="R272">IFERROR(INDEX(IM!$AM$2:$AM$5000, MATCH(1, (IM!$F$2:$F$5000=A272) * (ISNUMBER(SEARCH(勤務統計!$D$1, IM!$AC$2:$AC$5000))), 0)), "")</f>
        <v/>
      </c>
      <c r="S272" s="406" t="str" cm="1">
        <f t="array" ref="S272">IF(AND(SUMPRODUCT((IM!$F$2:$F$5000=A272)*(ISNUMBER(SEARCH(勤務統計!$E$1, IM!$AC$2:$AC$5000))))&gt;0), 勤務統計!$E$1, "")</f>
        <v/>
      </c>
      <c r="T272" s="405" t="str">
        <f t="array" ref="T272">IFERROR(INDEX(IM!$AM$2:$AM$5000, MATCH(1, (IM!$F$2:$F$5000=A272) * (ISNUMBER(SEARCH(勤務統計!$E$1, IM!$AC$2:$AC$5000))), 0)), "")</f>
        <v/>
      </c>
      <c r="U272" s="406" t="str" cm="1">
        <f t="array" ref="U272">IF(AND(SUMPRODUCT((IM!$F$2:$F$5000=A272)*(ISNUMBER(SEARCH(勤務統計!$F$1, IM!$AC$2:$AC$5000))))&gt;0), 勤務統計!$F$1, "")</f>
        <v/>
      </c>
      <c r="V272" s="405" t="str">
        <f t="array" ref="V272">IFERROR(INDEX(IM!$AM$2:$AM$5000, MATCH(1, (IM!$F$2:$F$5000=A272) * (ISNUMBER(SEARCH(勤務統計!$F$1, IM!$AC$2:$AC$5000))), 0)), "")</f>
        <v/>
      </c>
      <c r="W272" s="436" t="str">
        <f>IF(VLOOKUP(A272,'0919門市清單主檔'!B:AC,28,FALSE)=0,"",VLOOKUP(A272,'0919門市清單主檔'!B:AC,28,FALSE))</f>
        <v/>
      </c>
    </row>
    <row r="273" spans="1:23" ht="21.6" customHeight="1">
      <c r="A273" s="409">
        <v>3881</v>
      </c>
      <c r="B273" s="409" t="str">
        <f>VLOOKUP(A273,'0919門市清單主檔'!B:C,2,FALSE)</f>
        <v>蘆竹蘆東店</v>
      </c>
      <c r="C273" s="409" t="str">
        <f>VLOOKUP($A273,'0919門市清單主檔'!B:V,20,FALSE)</f>
        <v>桃園市</v>
      </c>
      <c r="D273" s="409" t="str">
        <f>VLOOKUP($A273,'0919門市清單主檔'!B:V,21,FALSE)</f>
        <v>龜山區</v>
      </c>
      <c r="E273" s="397" t="str">
        <f>VLOOKUP(D273,門市狀態!G:H,2,FALSE)</f>
        <v>吳宗鴻</v>
      </c>
      <c r="F273" s="409" t="str">
        <f>IFERROR(IF(VLOOKUP(A273,門市狀態!A:D,4,FALSE)=0,"",VLOOKUP(A273,門市狀態!A:D,4,FALSE)),"")</f>
        <v/>
      </c>
      <c r="G273" s="409"/>
      <c r="H273" s="411" t="str">
        <f>IF(I273&gt;0,(TEXT(I273,"yyyymmdd")&amp;勤務統計!$V$2&amp;A273&amp;勤務統計!$V$2&amp;B273&amp;勤務統計!$S$2),"")</f>
        <v>-3881-蘆竹蘆東店(定保)</v>
      </c>
      <c r="I273" s="247" t="str">
        <f t="array" ref="I273">IF(AND(SUMPRODUCT((IM!$F$2:$F$5000=A273)*(ISNUMBER(SEARCH(勤務統計!$C$1, IM!$AC$2:$AC$5000))))&gt;0), 勤務統計!$C$1, "")</f>
        <v/>
      </c>
      <c r="J273" s="399" t="str">
        <f t="array" ref="J273">IFERROR(INDEX(IM!$AM$2:$AM$5000, MATCH(1, (IM!$F$2:$F$5000=A273) * (ISNUMBER(SEARCH(勤務統計!$C$1, IM!$AC$2:$AC$5000))), 0)), "")</f>
        <v/>
      </c>
      <c r="K273" s="400">
        <f t="array" ref="K273">SUMPRODUCT((IM!$F$2:$F$5000=A273)*(IM!$AD$2:$AD$5000="O")*(ISNUMBER(SEARCH(勤務統計!$C$1, IM!$AC$2:$AC$5000))))</f>
        <v>0</v>
      </c>
      <c r="L273" s="401" t="str">
        <f t="array" ref="L273">IF(K273&gt;0,IFERROR(HYPERLINK("#'IM'!AC"&amp;MATCH(1,(IM!$F$1:$F$5000=A273)*(ISNUMBER(SEARCH(勤務統計!$C$1,IM!$AC$1:$AC$5000))),0),"檢核"),"未登錄"),"")</f>
        <v/>
      </c>
      <c r="M273" s="402" t="str">
        <f t="shared" si="4"/>
        <v/>
      </c>
      <c r="N273" s="402" t="str">
        <f t="array" ref="N273">IF(AND(
    SUMPRODUCT(
        (IM!$F$2:$F$522=A273) *
        ISNUMBER(SEARCH("*HUB*", IM!$AC$2:$AC$522)) *
        (IM!$X$2:$X$522&gt;=勤務統計!$A$1) *
        (IM!$X$2:$X$522&lt;=勤務統計!$B$1)*(W273="HUB")
    ) &gt; 0
), "HUB", "")</f>
        <v/>
      </c>
      <c r="O273" s="400" t="str">
        <f>IF(
  IFERROR(VLOOKUP(A273,勤務統計!A:I,9,FALSE),"")&lt;&gt;勤務統計!$C$1,
  "未完工",
  IF(
    AND(勤務統計!$D$1="--",勤務統計!$E$1="--",勤務統計!$F$1="--"),
    "已完工",
    IF(
      OR(
        AND(勤務統計!$D$1&lt;&gt;"--", IFERROR(VLOOKUP(A273,'0919門市清單主檔'!B:AH,31,FALSE),"")=勤務統計!$D$1, IFERROR(VLOOKUP(A273,勤務統計!A:Q,17,FALSE),"")&lt;&gt;勤務統計!$D$1),
        AND(勤務統計!$E$1&lt;&gt;"--", IFERROR(VLOOKUP(A273,'0919門市清單主檔'!B:AH,32,FALSE),"")=勤務統計!$E$1, IFERROR(VLOOKUP(A273,勤務統計!A:S,19,FALSE),"")&lt;&gt;勤務統計!$E$1),
        AND(勤務統計!$F$1&lt;&gt;"--", IFERROR(VLOOKUP(A273,'0919門市清單主檔'!B:AH,33,FALSE),"")=勤務統計!$F$1, IFERROR(VLOOKUP(A273,勤務統計!A:U,21,FALSE),"")&lt;&gt;勤務統計!$F$1),
        AND(IFERROR(VLOOKUP(A273,'0919門市清單主檔'!B:AH,28,FALSE),"")="HUB", IFERROR(VLOOKUP(A273,勤務統計!A:W,23,FALSE),"")&lt;&gt;"HUB")
      ),
      _xlfn.TEXTJOIN(
        "，",
        TRUE,
        IF(AND(勤務統計!$D$1&lt;&gt;"--", IFERROR(VLOOKUP(A273,'0919門市清單主檔'!B:AH,31,FALSE),"")=勤務統計!$D$1, IFERROR(VLOOKUP(A273,勤務統計!A:Q,17,FALSE),"")&lt;&gt;勤務統計!$D$1), 勤務統計!$D$1, ""),
        IF(AND(勤務統計!$E$1&lt;&gt;"--", IFERROR(VLOOKUP(A273,'0919門市清單主檔'!B:AH,32,FALSE),"")=勤務統計!$E$1, IFERROR(VLOOKUP(A273,勤務統計!A:S,19,FALSE),"")&lt;&gt;勤務統計!$E$1), 勤務統計!$E$1, ""),
        IF(AND(勤務統計!$F$1&lt;&gt;"--", IFERROR(VLOOKUP(A273,'0919門市清單主檔'!B:AH,33,FALSE),"")=勤務統計!$F$1, IFERROR(VLOOKUP(A273,勤務統計!A:U,21,FALSE),"")&lt;&gt;勤務統計!$F$1), 勤務統計!$F$1, ""),
        IF(AND(IFERROR(VLOOKUP(A273,'0919門市清單主檔'!B:AH,28,FALSE),"")="HUB", IFERROR(VLOOKUP(A273,勤務統計!A:W,23,FALSE),"")&lt;&gt;"HUB"), "HUB", "")
      ) &amp; "未完工",
      "已完工"
    )
  )
)</f>
        <v>未完工</v>
      </c>
      <c r="P273" s="435" t="str">
        <f>(TEXT(I273,"yyyymmdd"))&amp;勤務統計!$V$2&amp;A273&amp;勤務統計!$V$2&amp;B273&amp;勤務統計!$S$2</f>
        <v>-3881-蘆竹蘆東店(定保)</v>
      </c>
      <c r="Q273" s="404" t="str">
        <f t="array" ref="Q273">IF(AND(SUMPRODUCT((IM!$F$2:$F$5000=A273)*(ISNUMBER(SEARCH(勤務統計!$D$1, IM!$AC$2:$AC$5000))))&gt;0), 勤務統計!$D$1, "")</f>
        <v/>
      </c>
      <c r="R273" s="405" t="str">
        <f t="array" ref="R273">IFERROR(INDEX(IM!$AM$2:$AM$5000, MATCH(1, (IM!$F$2:$F$5000=A273) * (ISNUMBER(SEARCH(勤務統計!$D$1, IM!$AC$2:$AC$5000))), 0)), "")</f>
        <v/>
      </c>
      <c r="S273" s="406" t="str" cm="1">
        <f t="array" ref="S273">IF(AND(SUMPRODUCT((IM!$F$2:$F$5000=A273)*(ISNUMBER(SEARCH(勤務統計!$E$1, IM!$AC$2:$AC$5000))))&gt;0), 勤務統計!$E$1, "")</f>
        <v/>
      </c>
      <c r="T273" s="405" t="str">
        <f t="array" ref="T273">IFERROR(INDEX(IM!$AM$2:$AM$5000, MATCH(1, (IM!$F$2:$F$5000=A273) * (ISNUMBER(SEARCH(勤務統計!$E$1, IM!$AC$2:$AC$5000))), 0)), "")</f>
        <v/>
      </c>
      <c r="U273" s="406" t="str" cm="1">
        <f t="array" ref="U273">IF(AND(SUMPRODUCT((IM!$F$2:$F$5000=A273)*(ISNUMBER(SEARCH(勤務統計!$F$1, IM!$AC$2:$AC$5000))))&gt;0), 勤務統計!$F$1, "")</f>
        <v/>
      </c>
      <c r="V273" s="405" t="str">
        <f t="array" ref="V273">IFERROR(INDEX(IM!$AM$2:$AM$5000, MATCH(1, (IM!$F$2:$F$5000=A273) * (ISNUMBER(SEARCH(勤務統計!$F$1, IM!$AC$2:$AC$5000))), 0)), "")</f>
        <v/>
      </c>
      <c r="W273" s="436" t="str">
        <f>IF(VLOOKUP(A273,'0919門市清單主檔'!B:AC,28,FALSE)=0,"",VLOOKUP(A273,'0919門市清單主檔'!B:AC,28,FALSE))</f>
        <v/>
      </c>
    </row>
    <row r="274" spans="1:23" ht="21.6" customHeight="1">
      <c r="A274" s="409">
        <v>4272</v>
      </c>
      <c r="B274" s="409" t="str">
        <f>VLOOKUP(A274,'0919門市清單主檔'!B:C,2,FALSE)</f>
        <v>蘆竹南福店</v>
      </c>
      <c r="C274" s="409" t="str">
        <f>VLOOKUP($A274,'0919門市清單主檔'!B:V,20,FALSE)</f>
        <v>桃園市</v>
      </c>
      <c r="D274" s="409" t="str">
        <f>VLOOKUP($A274,'0919門市清單主檔'!B:V,21,FALSE)</f>
        <v>龜山區</v>
      </c>
      <c r="E274" s="397" t="str">
        <f>VLOOKUP(D274,門市狀態!G:H,2,FALSE)</f>
        <v>吳宗鴻</v>
      </c>
      <c r="F274" s="409" t="str">
        <f>IFERROR(IF(VLOOKUP(A274,門市狀態!A:D,4,FALSE)=0,"",VLOOKUP(A274,門市狀態!A:D,4,FALSE)),"")</f>
        <v/>
      </c>
      <c r="G274" s="409"/>
      <c r="H274" s="411" t="str">
        <f>IF(I274&gt;0,(TEXT(I274,"yyyymmdd")&amp;勤務統計!$V$2&amp;A274&amp;勤務統計!$V$2&amp;B274&amp;勤務統計!$S$2),"")</f>
        <v>-4272-蘆竹南福店(定保)</v>
      </c>
      <c r="I274" s="247" t="str">
        <f t="array" ref="I274">IF(AND(SUMPRODUCT((IM!$F$2:$F$5000=A274)*(ISNUMBER(SEARCH(勤務統計!$C$1, IM!$AC$2:$AC$5000))))&gt;0), 勤務統計!$C$1, "")</f>
        <v/>
      </c>
      <c r="J274" s="399" t="str">
        <f t="array" ref="J274">IFERROR(INDEX(IM!$AM$2:$AM$5000, MATCH(1, (IM!$F$2:$F$5000=A274) * (ISNUMBER(SEARCH(勤務統計!$C$1, IM!$AC$2:$AC$5000))), 0)), "")</f>
        <v/>
      </c>
      <c r="K274" s="400">
        <f t="array" ref="K274">SUMPRODUCT((IM!$F$2:$F$5000=A274)*(IM!$AD$2:$AD$5000="O")*(ISNUMBER(SEARCH(勤務統計!$C$1, IM!$AC$2:$AC$5000))))</f>
        <v>0</v>
      </c>
      <c r="L274" s="401" t="str">
        <f t="array" ref="L274">IF(K274&gt;0,IFERROR(HYPERLINK("#'IM'!AC"&amp;MATCH(1,(IM!$F$1:$F$5000=A274)*(ISNUMBER(SEARCH(勤務統計!$C$1,IM!$AC$1:$AC$5000))),0),"檢核"),"未登錄"),"")</f>
        <v/>
      </c>
      <c r="M274" s="402" t="str">
        <f t="shared" si="4"/>
        <v/>
      </c>
      <c r="N274" s="402" t="str">
        <f t="array" ref="N274">IF(AND(
    SUMPRODUCT(
        (IM!$F$2:$F$522=A274) *
        ISNUMBER(SEARCH("*HUB*", IM!$AC$2:$AC$522)) *
        (IM!$X$2:$X$522&gt;=勤務統計!$A$1) *
        (IM!$X$2:$X$522&lt;=勤務統計!$B$1)*(W274="HUB")
    ) &gt; 0
), "HUB", "")</f>
        <v/>
      </c>
      <c r="O274" s="400" t="str">
        <f>IF(
  IFERROR(VLOOKUP(A274,勤務統計!A:I,9,FALSE),"")&lt;&gt;勤務統計!$C$1,
  "未完工",
  IF(
    AND(勤務統計!$D$1="--",勤務統計!$E$1="--",勤務統計!$F$1="--"),
    "已完工",
    IF(
      OR(
        AND(勤務統計!$D$1&lt;&gt;"--", IFERROR(VLOOKUP(A274,'0919門市清單主檔'!B:AH,31,FALSE),"")=勤務統計!$D$1, IFERROR(VLOOKUP(A274,勤務統計!A:Q,17,FALSE),"")&lt;&gt;勤務統計!$D$1),
        AND(勤務統計!$E$1&lt;&gt;"--", IFERROR(VLOOKUP(A274,'0919門市清單主檔'!B:AH,32,FALSE),"")=勤務統計!$E$1, IFERROR(VLOOKUP(A274,勤務統計!A:S,19,FALSE),"")&lt;&gt;勤務統計!$E$1),
        AND(勤務統計!$F$1&lt;&gt;"--", IFERROR(VLOOKUP(A274,'0919門市清單主檔'!B:AH,33,FALSE),"")=勤務統計!$F$1, IFERROR(VLOOKUP(A274,勤務統計!A:U,21,FALSE),"")&lt;&gt;勤務統計!$F$1),
        AND(IFERROR(VLOOKUP(A274,'0919門市清單主檔'!B:AH,28,FALSE),"")="HUB", IFERROR(VLOOKUP(A274,勤務統計!A:W,23,FALSE),"")&lt;&gt;"HUB")
      ),
      _xlfn.TEXTJOIN(
        "，",
        TRUE,
        IF(AND(勤務統計!$D$1&lt;&gt;"--", IFERROR(VLOOKUP(A274,'0919門市清單主檔'!B:AH,31,FALSE),"")=勤務統計!$D$1, IFERROR(VLOOKUP(A274,勤務統計!A:Q,17,FALSE),"")&lt;&gt;勤務統計!$D$1), 勤務統計!$D$1, ""),
        IF(AND(勤務統計!$E$1&lt;&gt;"--", IFERROR(VLOOKUP(A274,'0919門市清單主檔'!B:AH,32,FALSE),"")=勤務統計!$E$1, IFERROR(VLOOKUP(A274,勤務統計!A:S,19,FALSE),"")&lt;&gt;勤務統計!$E$1), 勤務統計!$E$1, ""),
        IF(AND(勤務統計!$F$1&lt;&gt;"--", IFERROR(VLOOKUP(A274,'0919門市清單主檔'!B:AH,33,FALSE),"")=勤務統計!$F$1, IFERROR(VLOOKUP(A274,勤務統計!A:U,21,FALSE),"")&lt;&gt;勤務統計!$F$1), 勤務統計!$F$1, ""),
        IF(AND(IFERROR(VLOOKUP(A274,'0919門市清單主檔'!B:AH,28,FALSE),"")="HUB", IFERROR(VLOOKUP(A274,勤務統計!A:W,23,FALSE),"")&lt;&gt;"HUB"), "HUB", "")
      ) &amp; "未完工",
      "已完工"
    )
  )
)</f>
        <v>未完工</v>
      </c>
      <c r="P274" s="435" t="str">
        <f>(TEXT(I274,"yyyymmdd"))&amp;勤務統計!$V$2&amp;A274&amp;勤務統計!$V$2&amp;B274&amp;勤務統計!$S$2</f>
        <v>-4272-蘆竹南福店(定保)</v>
      </c>
      <c r="Q274" s="404" t="str">
        <f t="array" ref="Q274">IF(AND(SUMPRODUCT((IM!$F$2:$F$5000=A274)*(ISNUMBER(SEARCH(勤務統計!$D$1, IM!$AC$2:$AC$5000))))&gt;0), 勤務統計!$D$1, "")</f>
        <v/>
      </c>
      <c r="R274" s="405" t="str">
        <f t="array" ref="R274">IFERROR(INDEX(IM!$AM$2:$AM$5000, MATCH(1, (IM!$F$2:$F$5000=A274) * (ISNUMBER(SEARCH(勤務統計!$D$1, IM!$AC$2:$AC$5000))), 0)), "")</f>
        <v/>
      </c>
      <c r="S274" s="406" t="str" cm="1">
        <f t="array" ref="S274">IF(AND(SUMPRODUCT((IM!$F$2:$F$5000=A274)*(ISNUMBER(SEARCH(勤務統計!$E$1, IM!$AC$2:$AC$5000))))&gt;0), 勤務統計!$E$1, "")</f>
        <v/>
      </c>
      <c r="T274" s="405" t="str">
        <f t="array" ref="T274">IFERROR(INDEX(IM!$AM$2:$AM$5000, MATCH(1, (IM!$F$2:$F$5000=A274) * (ISNUMBER(SEARCH(勤務統計!$E$1, IM!$AC$2:$AC$5000))), 0)), "")</f>
        <v/>
      </c>
      <c r="U274" s="406" t="str" cm="1">
        <f t="array" ref="U274">IF(AND(SUMPRODUCT((IM!$F$2:$F$5000=A274)*(ISNUMBER(SEARCH(勤務統計!$F$1, IM!$AC$2:$AC$5000))))&gt;0), 勤務統計!$F$1, "")</f>
        <v/>
      </c>
      <c r="V274" s="405" t="str">
        <f t="array" ref="V274">IFERROR(INDEX(IM!$AM$2:$AM$5000, MATCH(1, (IM!$F$2:$F$5000=A274) * (ISNUMBER(SEARCH(勤務統計!$F$1, IM!$AC$2:$AC$5000))), 0)), "")</f>
        <v/>
      </c>
      <c r="W274" s="436" t="str">
        <f>IF(VLOOKUP(A274,'0919門市清單主檔'!B:AC,28,FALSE)=0,"",VLOOKUP(A274,'0919門市清單主檔'!B:AC,28,FALSE))</f>
        <v/>
      </c>
    </row>
    <row r="275" spans="1:23" ht="21.6" customHeight="1">
      <c r="A275" s="409">
        <v>4289</v>
      </c>
      <c r="B275" s="409" t="str">
        <f>VLOOKUP(A275,'0919門市清單主檔'!B:C,2,FALSE)</f>
        <v>蘆竹六股埤</v>
      </c>
      <c r="C275" s="409" t="str">
        <f>VLOOKUP($A275,'0919門市清單主檔'!B:V,20,FALSE)</f>
        <v>桃園市</v>
      </c>
      <c r="D275" s="409" t="str">
        <f>VLOOKUP($A275,'0919門市清單主檔'!B:V,21,FALSE)</f>
        <v>龜山區</v>
      </c>
      <c r="E275" s="397" t="str">
        <f>VLOOKUP(D275,門市狀態!G:H,2,FALSE)</f>
        <v>吳宗鴻</v>
      </c>
      <c r="F275" s="409" t="str">
        <f>IFERROR(IF(VLOOKUP(A275,門市狀態!A:D,4,FALSE)=0,"",VLOOKUP(A275,門市狀態!A:D,4,FALSE)),"")</f>
        <v/>
      </c>
      <c r="G275" s="409"/>
      <c r="H275" s="411" t="str">
        <f>IF(I275&gt;0,(TEXT(I275,"yyyymmdd")&amp;勤務統計!$V$2&amp;A275&amp;勤務統計!$V$2&amp;B275&amp;勤務統計!$S$2),"")</f>
        <v>-4289-蘆竹六股埤(定保)</v>
      </c>
      <c r="I275" s="247" t="str">
        <f t="array" ref="I275">IF(AND(SUMPRODUCT((IM!$F$2:$F$5000=A275)*(ISNUMBER(SEARCH(勤務統計!$C$1, IM!$AC$2:$AC$5000))))&gt;0), 勤務統計!$C$1, "")</f>
        <v/>
      </c>
      <c r="J275" s="399" t="str">
        <f t="array" ref="J275">IFERROR(INDEX(IM!$AM$2:$AM$5000, MATCH(1, (IM!$F$2:$F$5000=A275) * (ISNUMBER(SEARCH(勤務統計!$C$1, IM!$AC$2:$AC$5000))), 0)), "")</f>
        <v/>
      </c>
      <c r="K275" s="400">
        <f t="array" ref="K275">SUMPRODUCT((IM!$F$2:$F$5000=A275)*(IM!$AD$2:$AD$5000="O")*(ISNUMBER(SEARCH(勤務統計!$C$1, IM!$AC$2:$AC$5000))))</f>
        <v>0</v>
      </c>
      <c r="L275" s="401" t="str">
        <f t="array" ref="L275">IF(K275&gt;0,IFERROR(HYPERLINK("#'IM'!AC"&amp;MATCH(1,(IM!$F$1:$F$5000=A275)*(ISNUMBER(SEARCH(勤務統計!$C$1,IM!$AC$1:$AC$5000))),0),"檢核"),"未登錄"),"")</f>
        <v/>
      </c>
      <c r="M275" s="402" t="str">
        <f t="shared" si="4"/>
        <v/>
      </c>
      <c r="N275" s="402" t="str">
        <f t="array" ref="N275">IF(AND(
    SUMPRODUCT(
        (IM!$F$2:$F$522=A275) *
        ISNUMBER(SEARCH("*HUB*", IM!$AC$2:$AC$522)) *
        (IM!$X$2:$X$522&gt;=勤務統計!$A$1) *
        (IM!$X$2:$X$522&lt;=勤務統計!$B$1)*(W275="HUB")
    ) &gt; 0
), "HUB", "")</f>
        <v/>
      </c>
      <c r="O275" s="400" t="str">
        <f>IF(
  IFERROR(VLOOKUP(A275,勤務統計!A:I,9,FALSE),"")&lt;&gt;勤務統計!$C$1,
  "未完工",
  IF(
    AND(勤務統計!$D$1="--",勤務統計!$E$1="--",勤務統計!$F$1="--"),
    "已完工",
    IF(
      OR(
        AND(勤務統計!$D$1&lt;&gt;"--", IFERROR(VLOOKUP(A275,'0919門市清單主檔'!B:AH,31,FALSE),"")=勤務統計!$D$1, IFERROR(VLOOKUP(A275,勤務統計!A:Q,17,FALSE),"")&lt;&gt;勤務統計!$D$1),
        AND(勤務統計!$E$1&lt;&gt;"--", IFERROR(VLOOKUP(A275,'0919門市清單主檔'!B:AH,32,FALSE),"")=勤務統計!$E$1, IFERROR(VLOOKUP(A275,勤務統計!A:S,19,FALSE),"")&lt;&gt;勤務統計!$E$1),
        AND(勤務統計!$F$1&lt;&gt;"--", IFERROR(VLOOKUP(A275,'0919門市清單主檔'!B:AH,33,FALSE),"")=勤務統計!$F$1, IFERROR(VLOOKUP(A275,勤務統計!A:U,21,FALSE),"")&lt;&gt;勤務統計!$F$1),
        AND(IFERROR(VLOOKUP(A275,'0919門市清單主檔'!B:AH,28,FALSE),"")="HUB", IFERROR(VLOOKUP(A275,勤務統計!A:W,23,FALSE),"")&lt;&gt;"HUB")
      ),
      _xlfn.TEXTJOIN(
        "，",
        TRUE,
        IF(AND(勤務統計!$D$1&lt;&gt;"--", IFERROR(VLOOKUP(A275,'0919門市清單主檔'!B:AH,31,FALSE),"")=勤務統計!$D$1, IFERROR(VLOOKUP(A275,勤務統計!A:Q,17,FALSE),"")&lt;&gt;勤務統計!$D$1), 勤務統計!$D$1, ""),
        IF(AND(勤務統計!$E$1&lt;&gt;"--", IFERROR(VLOOKUP(A275,'0919門市清單主檔'!B:AH,32,FALSE),"")=勤務統計!$E$1, IFERROR(VLOOKUP(A275,勤務統計!A:S,19,FALSE),"")&lt;&gt;勤務統計!$E$1), 勤務統計!$E$1, ""),
        IF(AND(勤務統計!$F$1&lt;&gt;"--", IFERROR(VLOOKUP(A275,'0919門市清單主檔'!B:AH,33,FALSE),"")=勤務統計!$F$1, IFERROR(VLOOKUP(A275,勤務統計!A:U,21,FALSE),"")&lt;&gt;勤務統計!$F$1), 勤務統計!$F$1, ""),
        IF(AND(IFERROR(VLOOKUP(A275,'0919門市清單主檔'!B:AH,28,FALSE),"")="HUB", IFERROR(VLOOKUP(A275,勤務統計!A:W,23,FALSE),"")&lt;&gt;"HUB"), "HUB", "")
      ) &amp; "未完工",
      "已完工"
    )
  )
)</f>
        <v>未完工</v>
      </c>
      <c r="P275" s="435" t="str">
        <f>(TEXT(I275,"yyyymmdd"))&amp;勤務統計!$V$2&amp;A275&amp;勤務統計!$V$2&amp;B275&amp;勤務統計!$S$2</f>
        <v>-4289-蘆竹六股埤(定保)</v>
      </c>
      <c r="Q275" s="404" t="str">
        <f t="array" ref="Q275">IF(AND(SUMPRODUCT((IM!$F$2:$F$5000=A275)*(ISNUMBER(SEARCH(勤務統計!$D$1, IM!$AC$2:$AC$5000))))&gt;0), 勤務統計!$D$1, "")</f>
        <v/>
      </c>
      <c r="R275" s="405" t="str">
        <f t="array" ref="R275">IFERROR(INDEX(IM!$AM$2:$AM$5000, MATCH(1, (IM!$F$2:$F$5000=A275) * (ISNUMBER(SEARCH(勤務統計!$D$1, IM!$AC$2:$AC$5000))), 0)), "")</f>
        <v/>
      </c>
      <c r="S275" s="406" t="str" cm="1">
        <f t="array" ref="S275">IF(AND(SUMPRODUCT((IM!$F$2:$F$5000=A275)*(ISNUMBER(SEARCH(勤務統計!$E$1, IM!$AC$2:$AC$5000))))&gt;0), 勤務統計!$E$1, "")</f>
        <v/>
      </c>
      <c r="T275" s="405" t="str">
        <f t="array" ref="T275">IFERROR(INDEX(IM!$AM$2:$AM$5000, MATCH(1, (IM!$F$2:$F$5000=A275) * (ISNUMBER(SEARCH(勤務統計!$E$1, IM!$AC$2:$AC$5000))), 0)), "")</f>
        <v/>
      </c>
      <c r="U275" s="406" t="str" cm="1">
        <f t="array" ref="U275">IF(AND(SUMPRODUCT((IM!$F$2:$F$5000=A275)*(ISNUMBER(SEARCH(勤務統計!$F$1, IM!$AC$2:$AC$5000))))&gt;0), 勤務統計!$F$1, "")</f>
        <v/>
      </c>
      <c r="V275" s="405" t="str">
        <f t="array" ref="V275">IFERROR(INDEX(IM!$AM$2:$AM$5000, MATCH(1, (IM!$F$2:$F$5000=A275) * (ISNUMBER(SEARCH(勤務統計!$F$1, IM!$AC$2:$AC$5000))), 0)), "")</f>
        <v/>
      </c>
      <c r="W275" s="436" t="str">
        <f>IF(VLOOKUP(A275,'0919門市清單主檔'!B:AC,28,FALSE)=0,"",VLOOKUP(A275,'0919門市清單主檔'!B:AC,28,FALSE))</f>
        <v/>
      </c>
    </row>
    <row r="276" spans="1:23" ht="21.6" customHeight="1">
      <c r="A276" s="409">
        <v>4342</v>
      </c>
      <c r="B276" s="409" t="str">
        <f>VLOOKUP(A276,'0919門市清單主檔'!B:C,2,FALSE)</f>
        <v>蘆竹南崁店</v>
      </c>
      <c r="C276" s="409" t="str">
        <f>VLOOKUP($A276,'0919門市清單主檔'!B:V,20,FALSE)</f>
        <v>桃園市</v>
      </c>
      <c r="D276" s="409" t="str">
        <f>VLOOKUP($A276,'0919門市清單主檔'!B:V,21,FALSE)</f>
        <v>龜山區</v>
      </c>
      <c r="E276" s="397" t="str">
        <f>VLOOKUP(D276,門市狀態!G:H,2,FALSE)</f>
        <v>吳宗鴻</v>
      </c>
      <c r="F276" s="409" t="str">
        <f>IFERROR(IF(VLOOKUP(A276,門市狀態!A:D,4,FALSE)=0,"",VLOOKUP(A276,門市狀態!A:D,4,FALSE)),"")</f>
        <v/>
      </c>
      <c r="G276" s="409"/>
      <c r="H276" s="411" t="str">
        <f>IF(I276&gt;0,(TEXT(I276,"yyyymmdd")&amp;勤務統計!$V$2&amp;A276&amp;勤務統計!$V$2&amp;B276&amp;勤務統計!$S$2),"")</f>
        <v>-4342-蘆竹南崁店(定保)</v>
      </c>
      <c r="I276" s="247" t="str">
        <f t="array" ref="I276">IF(AND(SUMPRODUCT((IM!$F$2:$F$5000=A276)*(ISNUMBER(SEARCH(勤務統計!$C$1, IM!$AC$2:$AC$5000))))&gt;0), 勤務統計!$C$1, "")</f>
        <v/>
      </c>
      <c r="J276" s="399" t="str">
        <f t="array" ref="J276">IFERROR(INDEX(IM!$AM$2:$AM$5000, MATCH(1, (IM!$F$2:$F$5000=A276) * (ISNUMBER(SEARCH(勤務統計!$C$1, IM!$AC$2:$AC$5000))), 0)), "")</f>
        <v/>
      </c>
      <c r="K276" s="400">
        <f t="array" ref="K276">SUMPRODUCT((IM!$F$2:$F$5000=A276)*(IM!$AD$2:$AD$5000="O")*(ISNUMBER(SEARCH(勤務統計!$C$1, IM!$AC$2:$AC$5000))))</f>
        <v>0</v>
      </c>
      <c r="L276" s="401" t="str">
        <f t="array" ref="L276">IF(K276&gt;0,IFERROR(HYPERLINK("#'IM'!AC"&amp;MATCH(1,(IM!$F$1:$F$5000=A276)*(ISNUMBER(SEARCH(勤務統計!$C$1,IM!$AC$1:$AC$5000))),0),"檢核"),"未登錄"),"")</f>
        <v/>
      </c>
      <c r="M276" s="402" t="str">
        <f t="shared" si="4"/>
        <v/>
      </c>
      <c r="N276" s="402" t="str">
        <f t="array" ref="N276">IF(AND(
    SUMPRODUCT(
        (IM!$F$2:$F$522=A276) *
        ISNUMBER(SEARCH("*HUB*", IM!$AC$2:$AC$522)) *
        (IM!$X$2:$X$522&gt;=勤務統計!$A$1) *
        (IM!$X$2:$X$522&lt;=勤務統計!$B$1)*(W276="HUB")
    ) &gt; 0
), "HUB", "")</f>
        <v/>
      </c>
      <c r="O276" s="400" t="str">
        <f>IF(
  IFERROR(VLOOKUP(A276,勤務統計!A:I,9,FALSE),"")&lt;&gt;勤務統計!$C$1,
  "未完工",
  IF(
    AND(勤務統計!$D$1="--",勤務統計!$E$1="--",勤務統計!$F$1="--"),
    "已完工",
    IF(
      OR(
        AND(勤務統計!$D$1&lt;&gt;"--", IFERROR(VLOOKUP(A276,'0919門市清單主檔'!B:AH,31,FALSE),"")=勤務統計!$D$1, IFERROR(VLOOKUP(A276,勤務統計!A:Q,17,FALSE),"")&lt;&gt;勤務統計!$D$1),
        AND(勤務統計!$E$1&lt;&gt;"--", IFERROR(VLOOKUP(A276,'0919門市清單主檔'!B:AH,32,FALSE),"")=勤務統計!$E$1, IFERROR(VLOOKUP(A276,勤務統計!A:S,19,FALSE),"")&lt;&gt;勤務統計!$E$1),
        AND(勤務統計!$F$1&lt;&gt;"--", IFERROR(VLOOKUP(A276,'0919門市清單主檔'!B:AH,33,FALSE),"")=勤務統計!$F$1, IFERROR(VLOOKUP(A276,勤務統計!A:U,21,FALSE),"")&lt;&gt;勤務統計!$F$1),
        AND(IFERROR(VLOOKUP(A276,'0919門市清單主檔'!B:AH,28,FALSE),"")="HUB", IFERROR(VLOOKUP(A276,勤務統計!A:W,23,FALSE),"")&lt;&gt;"HUB")
      ),
      _xlfn.TEXTJOIN(
        "，",
        TRUE,
        IF(AND(勤務統計!$D$1&lt;&gt;"--", IFERROR(VLOOKUP(A276,'0919門市清單主檔'!B:AH,31,FALSE),"")=勤務統計!$D$1, IFERROR(VLOOKUP(A276,勤務統計!A:Q,17,FALSE),"")&lt;&gt;勤務統計!$D$1), 勤務統計!$D$1, ""),
        IF(AND(勤務統計!$E$1&lt;&gt;"--", IFERROR(VLOOKUP(A276,'0919門市清單主檔'!B:AH,32,FALSE),"")=勤務統計!$E$1, IFERROR(VLOOKUP(A276,勤務統計!A:S,19,FALSE),"")&lt;&gt;勤務統計!$E$1), 勤務統計!$E$1, ""),
        IF(AND(勤務統計!$F$1&lt;&gt;"--", IFERROR(VLOOKUP(A276,'0919門市清單主檔'!B:AH,33,FALSE),"")=勤務統計!$F$1, IFERROR(VLOOKUP(A276,勤務統計!A:U,21,FALSE),"")&lt;&gt;勤務統計!$F$1), 勤務統計!$F$1, ""),
        IF(AND(IFERROR(VLOOKUP(A276,'0919門市清單主檔'!B:AH,28,FALSE),"")="HUB", IFERROR(VLOOKUP(A276,勤務統計!A:W,23,FALSE),"")&lt;&gt;"HUB"), "HUB", "")
      ) &amp; "未完工",
      "已完工"
    )
  )
)</f>
        <v>未完工</v>
      </c>
      <c r="P276" s="435" t="str">
        <f>(TEXT(I276,"yyyymmdd"))&amp;勤務統計!$V$2&amp;A276&amp;勤務統計!$V$2&amp;B276&amp;勤務統計!$S$2</f>
        <v>-4342-蘆竹南崁店(定保)</v>
      </c>
      <c r="Q276" s="404" t="str">
        <f t="array" ref="Q276">IF(AND(SUMPRODUCT((IM!$F$2:$F$5000=A276)*(ISNUMBER(SEARCH(勤務統計!$D$1, IM!$AC$2:$AC$5000))))&gt;0), 勤務統計!$D$1, "")</f>
        <v/>
      </c>
      <c r="R276" s="405" t="str">
        <f t="array" ref="R276">IFERROR(INDEX(IM!$AM$2:$AM$5000, MATCH(1, (IM!$F$2:$F$5000=A276) * (ISNUMBER(SEARCH(勤務統計!$D$1, IM!$AC$2:$AC$5000))), 0)), "")</f>
        <v/>
      </c>
      <c r="S276" s="406" t="str" cm="1">
        <f t="array" ref="S276">IF(AND(SUMPRODUCT((IM!$F$2:$F$5000=A276)*(ISNUMBER(SEARCH(勤務統計!$E$1, IM!$AC$2:$AC$5000))))&gt;0), 勤務統計!$E$1, "")</f>
        <v/>
      </c>
      <c r="T276" s="405" t="str">
        <f t="array" ref="T276">IFERROR(INDEX(IM!$AM$2:$AM$5000, MATCH(1, (IM!$F$2:$F$5000=A276) * (ISNUMBER(SEARCH(勤務統計!$E$1, IM!$AC$2:$AC$5000))), 0)), "")</f>
        <v/>
      </c>
      <c r="U276" s="406" t="str" cm="1">
        <f t="array" ref="U276">IF(AND(SUMPRODUCT((IM!$F$2:$F$5000=A276)*(ISNUMBER(SEARCH(勤務統計!$F$1, IM!$AC$2:$AC$5000))))&gt;0), 勤務統計!$F$1, "")</f>
        <v/>
      </c>
      <c r="V276" s="405" t="str">
        <f t="array" ref="V276">IFERROR(INDEX(IM!$AM$2:$AM$5000, MATCH(1, (IM!$F$2:$F$5000=A276) * (ISNUMBER(SEARCH(勤務統計!$F$1, IM!$AC$2:$AC$5000))), 0)), "")</f>
        <v/>
      </c>
      <c r="W276" s="436" t="str">
        <f>IF(VLOOKUP(A276,'0919門市清單主檔'!B:AC,28,FALSE)=0,"",VLOOKUP(A276,'0919門市清單主檔'!B:AC,28,FALSE))</f>
        <v/>
      </c>
    </row>
    <row r="277" spans="1:23" ht="21.6" customHeight="1">
      <c r="A277" s="409">
        <v>4456</v>
      </c>
      <c r="B277" s="409" t="str">
        <f>VLOOKUP(A277,'0919門市清單主檔'!B:C,2,FALSE)</f>
        <v>蘆竹華麗店</v>
      </c>
      <c r="C277" s="409" t="str">
        <f>VLOOKUP($A277,'0919門市清單主檔'!B:V,20,FALSE)</f>
        <v>桃園市</v>
      </c>
      <c r="D277" s="409" t="str">
        <f>VLOOKUP($A277,'0919門市清單主檔'!B:V,21,FALSE)</f>
        <v>龜山區</v>
      </c>
      <c r="E277" s="397" t="str">
        <f>VLOOKUP(D277,門市狀態!G:H,2,FALSE)</f>
        <v>吳宗鴻</v>
      </c>
      <c r="F277" s="409" t="str">
        <f>IFERROR(IF(VLOOKUP(A277,門市狀態!A:D,4,FALSE)=0,"",VLOOKUP(A277,門市狀態!A:D,4,FALSE)),"")</f>
        <v/>
      </c>
      <c r="G277" s="409"/>
      <c r="H277" s="411" t="str">
        <f>IF(I277&gt;0,(TEXT(I277,"yyyymmdd")&amp;勤務統計!$V$2&amp;A277&amp;勤務統計!$V$2&amp;B277&amp;勤務統計!$S$2),"")</f>
        <v>-4456-蘆竹華麗店(定保)</v>
      </c>
      <c r="I277" s="247" t="str">
        <f t="array" ref="I277">IF(AND(SUMPRODUCT((IM!$F$2:$F$5000=A277)*(ISNUMBER(SEARCH(勤務統計!$C$1, IM!$AC$2:$AC$5000))))&gt;0), 勤務統計!$C$1, "")</f>
        <v/>
      </c>
      <c r="J277" s="399" t="str">
        <f t="array" ref="J277">IFERROR(INDEX(IM!$AM$2:$AM$5000, MATCH(1, (IM!$F$2:$F$5000=A277) * (ISNUMBER(SEARCH(勤務統計!$C$1, IM!$AC$2:$AC$5000))), 0)), "")</f>
        <v/>
      </c>
      <c r="K277" s="400">
        <f t="array" ref="K277">SUMPRODUCT((IM!$F$2:$F$5000=A277)*(IM!$AD$2:$AD$5000="O")*(ISNUMBER(SEARCH(勤務統計!$C$1, IM!$AC$2:$AC$5000))))</f>
        <v>0</v>
      </c>
      <c r="L277" s="401" t="str">
        <f t="array" ref="L277">IF(K277&gt;0,IFERROR(HYPERLINK("#'IM'!AC"&amp;MATCH(1,(IM!$F$1:$F$5000=A277)*(ISNUMBER(SEARCH(勤務統計!$C$1,IM!$AC$1:$AC$5000))),0),"檢核"),"未登錄"),"")</f>
        <v/>
      </c>
      <c r="M277" s="402" t="str">
        <f t="shared" si="4"/>
        <v/>
      </c>
      <c r="N277" s="402" t="str">
        <f t="array" ref="N277">IF(AND(
    SUMPRODUCT(
        (IM!$F$2:$F$522=A277) *
        ISNUMBER(SEARCH("*HUB*", IM!$AC$2:$AC$522)) *
        (IM!$X$2:$X$522&gt;=勤務統計!$A$1) *
        (IM!$X$2:$X$522&lt;=勤務統計!$B$1)*(W277="HUB")
    ) &gt; 0
), "HUB", "")</f>
        <v/>
      </c>
      <c r="O277" s="400" t="str">
        <f>IF(
  IFERROR(VLOOKUP(A277,勤務統計!A:I,9,FALSE),"")&lt;&gt;勤務統計!$C$1,
  "未完工",
  IF(
    AND(勤務統計!$D$1="--",勤務統計!$E$1="--",勤務統計!$F$1="--"),
    "已完工",
    IF(
      OR(
        AND(勤務統計!$D$1&lt;&gt;"--", IFERROR(VLOOKUP(A277,'0919門市清單主檔'!B:AH,31,FALSE),"")=勤務統計!$D$1, IFERROR(VLOOKUP(A277,勤務統計!A:Q,17,FALSE),"")&lt;&gt;勤務統計!$D$1),
        AND(勤務統計!$E$1&lt;&gt;"--", IFERROR(VLOOKUP(A277,'0919門市清單主檔'!B:AH,32,FALSE),"")=勤務統計!$E$1, IFERROR(VLOOKUP(A277,勤務統計!A:S,19,FALSE),"")&lt;&gt;勤務統計!$E$1),
        AND(勤務統計!$F$1&lt;&gt;"--", IFERROR(VLOOKUP(A277,'0919門市清單主檔'!B:AH,33,FALSE),"")=勤務統計!$F$1, IFERROR(VLOOKUP(A277,勤務統計!A:U,21,FALSE),"")&lt;&gt;勤務統計!$F$1),
        AND(IFERROR(VLOOKUP(A277,'0919門市清單主檔'!B:AH,28,FALSE),"")="HUB", IFERROR(VLOOKUP(A277,勤務統計!A:W,23,FALSE),"")&lt;&gt;"HUB")
      ),
      _xlfn.TEXTJOIN(
        "，",
        TRUE,
        IF(AND(勤務統計!$D$1&lt;&gt;"--", IFERROR(VLOOKUP(A277,'0919門市清單主檔'!B:AH,31,FALSE),"")=勤務統計!$D$1, IFERROR(VLOOKUP(A277,勤務統計!A:Q,17,FALSE),"")&lt;&gt;勤務統計!$D$1), 勤務統計!$D$1, ""),
        IF(AND(勤務統計!$E$1&lt;&gt;"--", IFERROR(VLOOKUP(A277,'0919門市清單主檔'!B:AH,32,FALSE),"")=勤務統計!$E$1, IFERROR(VLOOKUP(A277,勤務統計!A:S,19,FALSE),"")&lt;&gt;勤務統計!$E$1), 勤務統計!$E$1, ""),
        IF(AND(勤務統計!$F$1&lt;&gt;"--", IFERROR(VLOOKUP(A277,'0919門市清單主檔'!B:AH,33,FALSE),"")=勤務統計!$F$1, IFERROR(VLOOKUP(A277,勤務統計!A:U,21,FALSE),"")&lt;&gt;勤務統計!$F$1), 勤務統計!$F$1, ""),
        IF(AND(IFERROR(VLOOKUP(A277,'0919門市清單主檔'!B:AH,28,FALSE),"")="HUB", IFERROR(VLOOKUP(A277,勤務統計!A:W,23,FALSE),"")&lt;&gt;"HUB"), "HUB", "")
      ) &amp; "未完工",
      "已完工"
    )
  )
)</f>
        <v>未完工</v>
      </c>
      <c r="P277" s="435" t="str">
        <f>(TEXT(I277,"yyyymmdd"))&amp;勤務統計!$V$2&amp;A277&amp;勤務統計!$V$2&amp;B277&amp;勤務統計!$S$2</f>
        <v>-4456-蘆竹華麗店(定保)</v>
      </c>
      <c r="Q277" s="404" t="str">
        <f t="array" ref="Q277">IF(AND(SUMPRODUCT((IM!$F$2:$F$5000=A277)*(ISNUMBER(SEARCH(勤務統計!$D$1, IM!$AC$2:$AC$5000))))&gt;0), 勤務統計!$D$1, "")</f>
        <v/>
      </c>
      <c r="R277" s="405" t="str">
        <f t="array" ref="R277">IFERROR(INDEX(IM!$AM$2:$AM$5000, MATCH(1, (IM!$F$2:$F$5000=A277) * (ISNUMBER(SEARCH(勤務統計!$D$1, IM!$AC$2:$AC$5000))), 0)), "")</f>
        <v/>
      </c>
      <c r="S277" s="406" t="str" cm="1">
        <f t="array" ref="S277">IF(AND(SUMPRODUCT((IM!$F$2:$F$5000=A277)*(ISNUMBER(SEARCH(勤務統計!$E$1, IM!$AC$2:$AC$5000))))&gt;0), 勤務統計!$E$1, "")</f>
        <v/>
      </c>
      <c r="T277" s="405" t="str">
        <f t="array" ref="T277">IFERROR(INDEX(IM!$AM$2:$AM$5000, MATCH(1, (IM!$F$2:$F$5000=A277) * (ISNUMBER(SEARCH(勤務統計!$E$1, IM!$AC$2:$AC$5000))), 0)), "")</f>
        <v/>
      </c>
      <c r="U277" s="406" t="str" cm="1">
        <f t="array" ref="U277">IF(AND(SUMPRODUCT((IM!$F$2:$F$5000=A277)*(ISNUMBER(SEARCH(勤務統計!$F$1, IM!$AC$2:$AC$5000))))&gt;0), 勤務統計!$F$1, "")</f>
        <v/>
      </c>
      <c r="V277" s="405" t="str">
        <f t="array" ref="V277">IFERROR(INDEX(IM!$AM$2:$AM$5000, MATCH(1, (IM!$F$2:$F$5000=A277) * (ISNUMBER(SEARCH(勤務統計!$F$1, IM!$AC$2:$AC$5000))), 0)), "")</f>
        <v/>
      </c>
      <c r="W277" s="436" t="str">
        <f>IF(VLOOKUP(A277,'0919門市清單主檔'!B:AC,28,FALSE)=0,"",VLOOKUP(A277,'0919門市清單主檔'!B:AC,28,FALSE))</f>
        <v/>
      </c>
    </row>
    <row r="278" spans="1:23" ht="21.6" customHeight="1">
      <c r="A278" s="409">
        <v>4601</v>
      </c>
      <c r="B278" s="409" t="str">
        <f>VLOOKUP(A278,'0919門市清單主檔'!B:C,2,FALSE)</f>
        <v>蘆竹領航店</v>
      </c>
      <c r="C278" s="409" t="str">
        <f>VLOOKUP($A278,'0919門市清單主檔'!B:V,20,FALSE)</f>
        <v>桃園市</v>
      </c>
      <c r="D278" s="409" t="str">
        <f>VLOOKUP($A278,'0919門市清單主檔'!B:V,21,FALSE)</f>
        <v>龜山區</v>
      </c>
      <c r="E278" s="397" t="str">
        <f>VLOOKUP(D278,門市狀態!G:H,2,FALSE)</f>
        <v>吳宗鴻</v>
      </c>
      <c r="F278" s="409" t="str">
        <f>IFERROR(IF(VLOOKUP(A278,門市狀態!A:D,4,FALSE)=0,"",VLOOKUP(A278,門市狀態!A:D,4,FALSE)),"")</f>
        <v/>
      </c>
      <c r="G278" s="409"/>
      <c r="H278" s="411" t="str">
        <f>IF(I278&gt;0,(TEXT(I278,"yyyymmdd")&amp;勤務統計!$V$2&amp;A278&amp;勤務統計!$V$2&amp;B278&amp;勤務統計!$S$2),"")</f>
        <v>-4601-蘆竹領航店(定保)</v>
      </c>
      <c r="I278" s="247" t="str">
        <f t="array" ref="I278">IF(AND(SUMPRODUCT((IM!$F$2:$F$5000=A278)*(ISNUMBER(SEARCH(勤務統計!$C$1, IM!$AC$2:$AC$5000))))&gt;0), 勤務統計!$C$1, "")</f>
        <v/>
      </c>
      <c r="J278" s="399" t="str">
        <f t="array" ref="J278">IFERROR(INDEX(IM!$AM$2:$AM$5000, MATCH(1, (IM!$F$2:$F$5000=A278) * (ISNUMBER(SEARCH(勤務統計!$C$1, IM!$AC$2:$AC$5000))), 0)), "")</f>
        <v/>
      </c>
      <c r="K278" s="400">
        <f t="array" ref="K278">SUMPRODUCT((IM!$F$2:$F$5000=A278)*(IM!$AD$2:$AD$5000="O")*(ISNUMBER(SEARCH(勤務統計!$C$1, IM!$AC$2:$AC$5000))))</f>
        <v>0</v>
      </c>
      <c r="L278" s="401" t="str">
        <f t="array" ref="L278">IF(K278&gt;0,IFERROR(HYPERLINK("#'IM'!AC"&amp;MATCH(1,(IM!$F$1:$F$5000=A278)*(ISNUMBER(SEARCH(勤務統計!$C$1,IM!$AC$1:$AC$5000))),0),"檢核"),"未登錄"),"")</f>
        <v/>
      </c>
      <c r="M278" s="402" t="str">
        <f t="shared" si="4"/>
        <v/>
      </c>
      <c r="N278" s="402" t="str">
        <f t="array" ref="N278">IF(AND(
    SUMPRODUCT(
        (IM!$F$2:$F$522=A278) *
        ISNUMBER(SEARCH("*HUB*", IM!$AC$2:$AC$522)) *
        (IM!$X$2:$X$522&gt;=勤務統計!$A$1) *
        (IM!$X$2:$X$522&lt;=勤務統計!$B$1)*(W278="HUB")
    ) &gt; 0
), "HUB", "")</f>
        <v/>
      </c>
      <c r="O278" s="400" t="str">
        <f>IF(
  IFERROR(VLOOKUP(A278,勤務統計!A:I,9,FALSE),"")&lt;&gt;勤務統計!$C$1,
  "未完工",
  IF(
    AND(勤務統計!$D$1="--",勤務統計!$E$1="--",勤務統計!$F$1="--"),
    "已完工",
    IF(
      OR(
        AND(勤務統計!$D$1&lt;&gt;"--", IFERROR(VLOOKUP(A278,'0919門市清單主檔'!B:AH,31,FALSE),"")=勤務統計!$D$1, IFERROR(VLOOKUP(A278,勤務統計!A:Q,17,FALSE),"")&lt;&gt;勤務統計!$D$1),
        AND(勤務統計!$E$1&lt;&gt;"--", IFERROR(VLOOKUP(A278,'0919門市清單主檔'!B:AH,32,FALSE),"")=勤務統計!$E$1, IFERROR(VLOOKUP(A278,勤務統計!A:S,19,FALSE),"")&lt;&gt;勤務統計!$E$1),
        AND(勤務統計!$F$1&lt;&gt;"--", IFERROR(VLOOKUP(A278,'0919門市清單主檔'!B:AH,33,FALSE),"")=勤務統計!$F$1, IFERROR(VLOOKUP(A278,勤務統計!A:U,21,FALSE),"")&lt;&gt;勤務統計!$F$1),
        AND(IFERROR(VLOOKUP(A278,'0919門市清單主檔'!B:AH,28,FALSE),"")="HUB", IFERROR(VLOOKUP(A278,勤務統計!A:W,23,FALSE),"")&lt;&gt;"HUB")
      ),
      _xlfn.TEXTJOIN(
        "，",
        TRUE,
        IF(AND(勤務統計!$D$1&lt;&gt;"--", IFERROR(VLOOKUP(A278,'0919門市清單主檔'!B:AH,31,FALSE),"")=勤務統計!$D$1, IFERROR(VLOOKUP(A278,勤務統計!A:Q,17,FALSE),"")&lt;&gt;勤務統計!$D$1), 勤務統計!$D$1, ""),
        IF(AND(勤務統計!$E$1&lt;&gt;"--", IFERROR(VLOOKUP(A278,'0919門市清單主檔'!B:AH,32,FALSE),"")=勤務統計!$E$1, IFERROR(VLOOKUP(A278,勤務統計!A:S,19,FALSE),"")&lt;&gt;勤務統計!$E$1), 勤務統計!$E$1, ""),
        IF(AND(勤務統計!$F$1&lt;&gt;"--", IFERROR(VLOOKUP(A278,'0919門市清單主檔'!B:AH,33,FALSE),"")=勤務統計!$F$1, IFERROR(VLOOKUP(A278,勤務統計!A:U,21,FALSE),"")&lt;&gt;勤務統計!$F$1), 勤務統計!$F$1, ""),
        IF(AND(IFERROR(VLOOKUP(A278,'0919門市清單主檔'!B:AH,28,FALSE),"")="HUB", IFERROR(VLOOKUP(A278,勤務統計!A:W,23,FALSE),"")&lt;&gt;"HUB"), "HUB", "")
      ) &amp; "未完工",
      "已完工"
    )
  )
)</f>
        <v>未完工</v>
      </c>
      <c r="P278" s="435" t="str">
        <f>(TEXT(I278,"yyyymmdd"))&amp;勤務統計!$V$2&amp;A278&amp;勤務統計!$V$2&amp;B278&amp;勤務統計!$S$2</f>
        <v>-4601-蘆竹領航店(定保)</v>
      </c>
      <c r="Q278" s="404" t="str">
        <f t="array" ref="Q278">IF(AND(SUMPRODUCT((IM!$F$2:$F$5000=A278)*(ISNUMBER(SEARCH(勤務統計!$D$1, IM!$AC$2:$AC$5000))))&gt;0), 勤務統計!$D$1, "")</f>
        <v/>
      </c>
      <c r="R278" s="405" t="str">
        <f t="array" ref="R278">IFERROR(INDEX(IM!$AM$2:$AM$5000, MATCH(1, (IM!$F$2:$F$5000=A278) * (ISNUMBER(SEARCH(勤務統計!$D$1, IM!$AC$2:$AC$5000))), 0)), "")</f>
        <v/>
      </c>
      <c r="S278" s="406" t="str" cm="1">
        <f t="array" ref="S278">IF(AND(SUMPRODUCT((IM!$F$2:$F$5000=A278)*(ISNUMBER(SEARCH(勤務統計!$E$1, IM!$AC$2:$AC$5000))))&gt;0), 勤務統計!$E$1, "")</f>
        <v/>
      </c>
      <c r="T278" s="405" t="str">
        <f t="array" ref="T278">IFERROR(INDEX(IM!$AM$2:$AM$5000, MATCH(1, (IM!$F$2:$F$5000=A278) * (ISNUMBER(SEARCH(勤務統計!$E$1, IM!$AC$2:$AC$5000))), 0)), "")</f>
        <v/>
      </c>
      <c r="U278" s="406" t="str" cm="1">
        <f t="array" ref="U278">IF(AND(SUMPRODUCT((IM!$F$2:$F$5000=A278)*(ISNUMBER(SEARCH(勤務統計!$F$1, IM!$AC$2:$AC$5000))))&gt;0), 勤務統計!$F$1, "")</f>
        <v/>
      </c>
      <c r="V278" s="405" t="str">
        <f t="array" ref="V278">IFERROR(INDEX(IM!$AM$2:$AM$5000, MATCH(1, (IM!$F$2:$F$5000=A278) * (ISNUMBER(SEARCH(勤務統計!$F$1, IM!$AC$2:$AC$5000))), 0)), "")</f>
        <v/>
      </c>
      <c r="W278" s="436" t="str">
        <f>IF(VLOOKUP(A278,'0919門市清單主檔'!B:AC,28,FALSE)=0,"",VLOOKUP(A278,'0919門市清單主檔'!B:AC,28,FALSE))</f>
        <v/>
      </c>
    </row>
    <row r="279" spans="1:23" ht="21.6" customHeight="1">
      <c r="A279" s="409">
        <v>4673</v>
      </c>
      <c r="B279" s="409" t="str">
        <f>VLOOKUP(A279,'0919門市清單主檔'!B:C,2,FALSE)</f>
        <v>蘆竹海山店</v>
      </c>
      <c r="C279" s="409" t="str">
        <f>VLOOKUP($A279,'0919門市清單主檔'!B:V,20,FALSE)</f>
        <v>桃園市</v>
      </c>
      <c r="D279" s="409" t="str">
        <f>VLOOKUP($A279,'0919門市清單主檔'!B:V,21,FALSE)</f>
        <v>蘆竹區</v>
      </c>
      <c r="E279" s="397" t="str">
        <f>VLOOKUP(D279,門市狀態!G:H,2,FALSE)</f>
        <v>吳宗鴻</v>
      </c>
      <c r="F279" s="409" t="str">
        <f>IFERROR(IF(VLOOKUP(A279,門市狀態!A:D,4,FALSE)=0,"",VLOOKUP(A279,門市狀態!A:D,4,FALSE)),"")</f>
        <v/>
      </c>
      <c r="G279" s="409"/>
      <c r="H279" s="411" t="str">
        <f>IF(I279&gt;0,(TEXT(I279,"yyyymmdd")&amp;勤務統計!$V$2&amp;A279&amp;勤務統計!$V$2&amp;B279&amp;勤務統計!$S$2),"")</f>
        <v>-4673-蘆竹海山店(定保)</v>
      </c>
      <c r="I279" s="247" t="str">
        <f t="array" ref="I279">IF(AND(SUMPRODUCT((IM!$F$2:$F$5000=A279)*(ISNUMBER(SEARCH(勤務統計!$C$1, IM!$AC$2:$AC$5000))))&gt;0), 勤務統計!$C$1, "")</f>
        <v/>
      </c>
      <c r="J279" s="399" t="str">
        <f t="array" ref="J279">IFERROR(INDEX(IM!$AM$2:$AM$5000, MATCH(1, (IM!$F$2:$F$5000=A279) * (ISNUMBER(SEARCH(勤務統計!$C$1, IM!$AC$2:$AC$5000))), 0)), "")</f>
        <v/>
      </c>
      <c r="K279" s="400">
        <f t="array" ref="K279">SUMPRODUCT((IM!$F$2:$F$5000=A279)*(IM!$AD$2:$AD$5000="O")*(ISNUMBER(SEARCH(勤務統計!$C$1, IM!$AC$2:$AC$5000))))</f>
        <v>0</v>
      </c>
      <c r="L279" s="401" t="str">
        <f t="array" ref="L279">IF(K279&gt;0,IFERROR(HYPERLINK("#'IM'!AC"&amp;MATCH(1,(IM!$F$1:$F$5000=A279)*(ISNUMBER(SEARCH(勤務統計!$C$1,IM!$AC$1:$AC$5000))),0),"檢核"),"未登錄"),"")</f>
        <v/>
      </c>
      <c r="M279" s="402" t="str">
        <f t="shared" si="4"/>
        <v/>
      </c>
      <c r="N279" s="402" t="str">
        <f t="array" ref="N279">IF(AND(
    SUMPRODUCT(
        (IM!$F$2:$F$522=A279) *
        ISNUMBER(SEARCH("*HUB*", IM!$AC$2:$AC$522)) *
        (IM!$X$2:$X$522&gt;=勤務統計!$A$1) *
        (IM!$X$2:$X$522&lt;=勤務統計!$B$1)*(W279="HUB")
    ) &gt; 0
), "HUB", "")</f>
        <v/>
      </c>
      <c r="O279" s="400" t="str">
        <f>IF(
  IFERROR(VLOOKUP(A279,勤務統計!A:I,9,FALSE),"")&lt;&gt;勤務統計!$C$1,
  "未完工",
  IF(
    AND(勤務統計!$D$1="--",勤務統計!$E$1="--",勤務統計!$F$1="--"),
    "已完工",
    IF(
      OR(
        AND(勤務統計!$D$1&lt;&gt;"--", IFERROR(VLOOKUP(A279,'0919門市清單主檔'!B:AH,31,FALSE),"")=勤務統計!$D$1, IFERROR(VLOOKUP(A279,勤務統計!A:Q,17,FALSE),"")&lt;&gt;勤務統計!$D$1),
        AND(勤務統計!$E$1&lt;&gt;"--", IFERROR(VLOOKUP(A279,'0919門市清單主檔'!B:AH,32,FALSE),"")=勤務統計!$E$1, IFERROR(VLOOKUP(A279,勤務統計!A:S,19,FALSE),"")&lt;&gt;勤務統計!$E$1),
        AND(勤務統計!$F$1&lt;&gt;"--", IFERROR(VLOOKUP(A279,'0919門市清單主檔'!B:AH,33,FALSE),"")=勤務統計!$F$1, IFERROR(VLOOKUP(A279,勤務統計!A:U,21,FALSE),"")&lt;&gt;勤務統計!$F$1),
        AND(IFERROR(VLOOKUP(A279,'0919門市清單主檔'!B:AH,28,FALSE),"")="HUB", IFERROR(VLOOKUP(A279,勤務統計!A:W,23,FALSE),"")&lt;&gt;"HUB")
      ),
      _xlfn.TEXTJOIN(
        "，",
        TRUE,
        IF(AND(勤務統計!$D$1&lt;&gt;"--", IFERROR(VLOOKUP(A279,'0919門市清單主檔'!B:AH,31,FALSE),"")=勤務統計!$D$1, IFERROR(VLOOKUP(A279,勤務統計!A:Q,17,FALSE),"")&lt;&gt;勤務統計!$D$1), 勤務統計!$D$1, ""),
        IF(AND(勤務統計!$E$1&lt;&gt;"--", IFERROR(VLOOKUP(A279,'0919門市清單主檔'!B:AH,32,FALSE),"")=勤務統計!$E$1, IFERROR(VLOOKUP(A279,勤務統計!A:S,19,FALSE),"")&lt;&gt;勤務統計!$E$1), 勤務統計!$E$1, ""),
        IF(AND(勤務統計!$F$1&lt;&gt;"--", IFERROR(VLOOKUP(A279,'0919門市清單主檔'!B:AH,33,FALSE),"")=勤務統計!$F$1, IFERROR(VLOOKUP(A279,勤務統計!A:U,21,FALSE),"")&lt;&gt;勤務統計!$F$1), 勤務統計!$F$1, ""),
        IF(AND(IFERROR(VLOOKUP(A279,'0919門市清單主檔'!B:AH,28,FALSE),"")="HUB", IFERROR(VLOOKUP(A279,勤務統計!A:W,23,FALSE),"")&lt;&gt;"HUB"), "HUB", "")
      ) &amp; "未完工",
      "已完工"
    )
  )
)</f>
        <v>未完工</v>
      </c>
      <c r="P279" s="435" t="str">
        <f>(TEXT(I279,"yyyymmdd"))&amp;勤務統計!$V$2&amp;A279&amp;勤務統計!$V$2&amp;B279&amp;勤務統計!$S$2</f>
        <v>-4673-蘆竹海山店(定保)</v>
      </c>
      <c r="Q279" s="404" t="str">
        <f t="array" ref="Q279">IF(AND(SUMPRODUCT((IM!$F$2:$F$5000=A279)*(ISNUMBER(SEARCH(勤務統計!$D$1, IM!$AC$2:$AC$5000))))&gt;0), 勤務統計!$D$1, "")</f>
        <v/>
      </c>
      <c r="R279" s="405" t="str">
        <f t="array" ref="R279">IFERROR(INDEX(IM!$AM$2:$AM$5000, MATCH(1, (IM!$F$2:$F$5000=A279) * (ISNUMBER(SEARCH(勤務統計!$D$1, IM!$AC$2:$AC$5000))), 0)), "")</f>
        <v/>
      </c>
      <c r="S279" s="406" t="str" cm="1">
        <f t="array" ref="S279">IF(AND(SUMPRODUCT((IM!$F$2:$F$5000=A279)*(ISNUMBER(SEARCH(勤務統計!$E$1, IM!$AC$2:$AC$5000))))&gt;0), 勤務統計!$E$1, "")</f>
        <v/>
      </c>
      <c r="T279" s="405" t="str">
        <f t="array" ref="T279">IFERROR(INDEX(IM!$AM$2:$AM$5000, MATCH(1, (IM!$F$2:$F$5000=A279) * (ISNUMBER(SEARCH(勤務統計!$E$1, IM!$AC$2:$AC$5000))), 0)), "")</f>
        <v/>
      </c>
      <c r="U279" s="406" t="str" cm="1">
        <f t="array" ref="U279">IF(AND(SUMPRODUCT((IM!$F$2:$F$5000=A279)*(ISNUMBER(SEARCH(勤務統計!$F$1, IM!$AC$2:$AC$5000))))&gt;0), 勤務統計!$F$1, "")</f>
        <v/>
      </c>
      <c r="V279" s="405" t="str">
        <f t="array" ref="V279">IFERROR(INDEX(IM!$AM$2:$AM$5000, MATCH(1, (IM!$F$2:$F$5000=A279) * (ISNUMBER(SEARCH(勤務統計!$F$1, IM!$AC$2:$AC$5000))), 0)), "")</f>
        <v/>
      </c>
      <c r="W279" s="436" t="str">
        <f>IF(VLOOKUP(A279,'0919門市清單主檔'!B:AC,28,FALSE)=0,"",VLOOKUP(A279,'0919門市清單主檔'!B:AC,28,FALSE))</f>
        <v/>
      </c>
    </row>
    <row r="280" spans="1:23" ht="21.6" customHeight="1">
      <c r="A280" s="409">
        <v>5110</v>
      </c>
      <c r="B280" s="409" t="str">
        <f>VLOOKUP(A280,'0919門市清單主檔'!B:C,2,FALSE)</f>
        <v>蘆竹龍安店</v>
      </c>
      <c r="C280" s="409" t="str">
        <f>VLOOKUP($A280,'0919門市清單主檔'!B:V,20,FALSE)</f>
        <v>桃園市</v>
      </c>
      <c r="D280" s="409" t="str">
        <f>VLOOKUP($A280,'0919門市清單主檔'!B:V,21,FALSE)</f>
        <v>蘆竹區</v>
      </c>
      <c r="E280" s="397" t="str">
        <f>VLOOKUP(D280,門市狀態!G:H,2,FALSE)</f>
        <v>吳宗鴻</v>
      </c>
      <c r="F280" s="409" t="str">
        <f>IFERROR(IF(VLOOKUP(A280,門市狀態!A:D,4,FALSE)=0,"",VLOOKUP(A280,門市狀態!A:D,4,FALSE)),"")</f>
        <v/>
      </c>
      <c r="G280" s="409"/>
      <c r="H280" s="411" t="str">
        <f>IF(I280&gt;0,(TEXT(I280,"yyyymmdd")&amp;勤務統計!$V$2&amp;A280&amp;勤務統計!$V$2&amp;B280&amp;勤務統計!$S$2),"")</f>
        <v>-5110-蘆竹龍安店(定保)</v>
      </c>
      <c r="I280" s="247" t="str">
        <f t="array" ref="I280">IF(AND(SUMPRODUCT((IM!$F$2:$F$5000=A280)*(ISNUMBER(SEARCH(勤務統計!$C$1, IM!$AC$2:$AC$5000))))&gt;0), 勤務統計!$C$1, "")</f>
        <v/>
      </c>
      <c r="J280" s="399" t="str">
        <f t="array" ref="J280">IFERROR(INDEX(IM!$AM$2:$AM$5000, MATCH(1, (IM!$F$2:$F$5000=A280) * (ISNUMBER(SEARCH(勤務統計!$C$1, IM!$AC$2:$AC$5000))), 0)), "")</f>
        <v/>
      </c>
      <c r="K280" s="400">
        <f t="array" ref="K280">SUMPRODUCT((IM!$F$2:$F$5000=A280)*(IM!$AD$2:$AD$5000="O")*(ISNUMBER(SEARCH(勤務統計!$C$1, IM!$AC$2:$AC$5000))))</f>
        <v>0</v>
      </c>
      <c r="L280" s="401" t="str">
        <f t="array" ref="L280">IF(K280&gt;0,IFERROR(HYPERLINK("#'IM'!AC"&amp;MATCH(1,(IM!$F$1:$F$5000=A280)*(ISNUMBER(SEARCH(勤務統計!$C$1,IM!$AC$1:$AC$5000))),0),"檢核"),"未登錄"),"")</f>
        <v/>
      </c>
      <c r="M280" s="402" t="str">
        <f t="shared" si="4"/>
        <v/>
      </c>
      <c r="N280" s="402" t="str">
        <f t="array" ref="N280">IF(AND(
    SUMPRODUCT(
        (IM!$F$2:$F$522=A280) *
        ISNUMBER(SEARCH("*HUB*", IM!$AC$2:$AC$522)) *
        (IM!$X$2:$X$522&gt;=勤務統計!$A$1) *
        (IM!$X$2:$X$522&lt;=勤務統計!$B$1)*(W280="HUB")
    ) &gt; 0
), "HUB", "")</f>
        <v/>
      </c>
      <c r="O280" s="400" t="str">
        <f>IF(
  IFERROR(VLOOKUP(A280,勤務統計!A:I,9,FALSE),"")&lt;&gt;勤務統計!$C$1,
  "未完工",
  IF(
    AND(勤務統計!$D$1="--",勤務統計!$E$1="--",勤務統計!$F$1="--"),
    "已完工",
    IF(
      OR(
        AND(勤務統計!$D$1&lt;&gt;"--", IFERROR(VLOOKUP(A280,'0919門市清單主檔'!B:AH,31,FALSE),"")=勤務統計!$D$1, IFERROR(VLOOKUP(A280,勤務統計!A:Q,17,FALSE),"")&lt;&gt;勤務統計!$D$1),
        AND(勤務統計!$E$1&lt;&gt;"--", IFERROR(VLOOKUP(A280,'0919門市清單主檔'!B:AH,32,FALSE),"")=勤務統計!$E$1, IFERROR(VLOOKUP(A280,勤務統計!A:S,19,FALSE),"")&lt;&gt;勤務統計!$E$1),
        AND(勤務統計!$F$1&lt;&gt;"--", IFERROR(VLOOKUP(A280,'0919門市清單主檔'!B:AH,33,FALSE),"")=勤務統計!$F$1, IFERROR(VLOOKUP(A280,勤務統計!A:U,21,FALSE),"")&lt;&gt;勤務統計!$F$1),
        AND(IFERROR(VLOOKUP(A280,'0919門市清單主檔'!B:AH,28,FALSE),"")="HUB", IFERROR(VLOOKUP(A280,勤務統計!A:W,23,FALSE),"")&lt;&gt;"HUB")
      ),
      _xlfn.TEXTJOIN(
        "，",
        TRUE,
        IF(AND(勤務統計!$D$1&lt;&gt;"--", IFERROR(VLOOKUP(A280,'0919門市清單主檔'!B:AH,31,FALSE),"")=勤務統計!$D$1, IFERROR(VLOOKUP(A280,勤務統計!A:Q,17,FALSE),"")&lt;&gt;勤務統計!$D$1), 勤務統計!$D$1, ""),
        IF(AND(勤務統計!$E$1&lt;&gt;"--", IFERROR(VLOOKUP(A280,'0919門市清單主檔'!B:AH,32,FALSE),"")=勤務統計!$E$1, IFERROR(VLOOKUP(A280,勤務統計!A:S,19,FALSE),"")&lt;&gt;勤務統計!$E$1), 勤務統計!$E$1, ""),
        IF(AND(勤務統計!$F$1&lt;&gt;"--", IFERROR(VLOOKUP(A280,'0919門市清單主檔'!B:AH,33,FALSE),"")=勤務統計!$F$1, IFERROR(VLOOKUP(A280,勤務統計!A:U,21,FALSE),"")&lt;&gt;勤務統計!$F$1), 勤務統計!$F$1, ""),
        IF(AND(IFERROR(VLOOKUP(A280,'0919門市清單主檔'!B:AH,28,FALSE),"")="HUB", IFERROR(VLOOKUP(A280,勤務統計!A:W,23,FALSE),"")&lt;&gt;"HUB"), "HUB", "")
      ) &amp; "未完工",
      "已完工"
    )
  )
)</f>
        <v>未完工</v>
      </c>
      <c r="P280" s="435" t="str">
        <f>(TEXT(I280,"yyyymmdd"))&amp;勤務統計!$V$2&amp;A280&amp;勤務統計!$V$2&amp;B280&amp;勤務統計!$S$2</f>
        <v>-5110-蘆竹龍安店(定保)</v>
      </c>
      <c r="Q280" s="404" t="str">
        <f t="array" ref="Q280">IF(AND(SUMPRODUCT((IM!$F$2:$F$5000=A280)*(ISNUMBER(SEARCH(勤務統計!$D$1, IM!$AC$2:$AC$5000))))&gt;0), 勤務統計!$D$1, "")</f>
        <v/>
      </c>
      <c r="R280" s="405" t="str">
        <f t="array" ref="R280">IFERROR(INDEX(IM!$AM$2:$AM$5000, MATCH(1, (IM!$F$2:$F$5000=A280) * (ISNUMBER(SEARCH(勤務統計!$D$1, IM!$AC$2:$AC$5000))), 0)), "")</f>
        <v/>
      </c>
      <c r="S280" s="406" t="str" cm="1">
        <f t="array" ref="S280">IF(AND(SUMPRODUCT((IM!$F$2:$F$5000=A280)*(ISNUMBER(SEARCH(勤務統計!$E$1, IM!$AC$2:$AC$5000))))&gt;0), 勤務統計!$E$1, "")</f>
        <v/>
      </c>
      <c r="T280" s="405" t="str">
        <f t="array" ref="T280">IFERROR(INDEX(IM!$AM$2:$AM$5000, MATCH(1, (IM!$F$2:$F$5000=A280) * (ISNUMBER(SEARCH(勤務統計!$E$1, IM!$AC$2:$AC$5000))), 0)), "")</f>
        <v/>
      </c>
      <c r="U280" s="406" t="str" cm="1">
        <f t="array" ref="U280">IF(AND(SUMPRODUCT((IM!$F$2:$F$5000=A280)*(ISNUMBER(SEARCH(勤務統計!$F$1, IM!$AC$2:$AC$5000))))&gt;0), 勤務統計!$F$1, "")</f>
        <v/>
      </c>
      <c r="V280" s="405" t="str">
        <f t="array" ref="V280">IFERROR(INDEX(IM!$AM$2:$AM$5000, MATCH(1, (IM!$F$2:$F$5000=A280) * (ISNUMBER(SEARCH(勤務統計!$F$1, IM!$AC$2:$AC$5000))), 0)), "")</f>
        <v/>
      </c>
      <c r="W280" s="436" t="str">
        <f>IF(VLOOKUP(A280,'0919門市清單主檔'!B:AC,28,FALSE)=0,"",VLOOKUP(A280,'0919門市清單主檔'!B:AC,28,FALSE))</f>
        <v/>
      </c>
    </row>
    <row r="281" spans="1:23" ht="21.6" customHeight="1">
      <c r="A281" s="409">
        <v>5357</v>
      </c>
      <c r="B281" s="409" t="str">
        <f>VLOOKUP(A281,'0919門市清單主檔'!B:C,2,FALSE)</f>
        <v>蘆竹南山北</v>
      </c>
      <c r="C281" s="409" t="str">
        <f>VLOOKUP($A281,'0919門市清單主檔'!B:V,20,FALSE)</f>
        <v>桃園市</v>
      </c>
      <c r="D281" s="409" t="str">
        <f>VLOOKUP($A281,'0919門市清單主檔'!B:V,21,FALSE)</f>
        <v>蘆竹區</v>
      </c>
      <c r="E281" s="397" t="str">
        <f>VLOOKUP(D281,門市狀態!G:H,2,FALSE)</f>
        <v>吳宗鴻</v>
      </c>
      <c r="F281" s="409" t="str">
        <f>IFERROR(IF(VLOOKUP(A281,門市狀態!A:D,4,FALSE)=0,"",VLOOKUP(A281,門市狀態!A:D,4,FALSE)),"")</f>
        <v/>
      </c>
      <c r="G281" s="409"/>
      <c r="H281" s="411" t="str">
        <f>IF(I281&gt;0,(TEXT(I281,"yyyymmdd")&amp;勤務統計!$V$2&amp;A281&amp;勤務統計!$V$2&amp;B281&amp;勤務統計!$S$2),"")</f>
        <v>-5357-蘆竹南山北(定保)</v>
      </c>
      <c r="I281" s="247" t="str">
        <f t="array" ref="I281">IF(AND(SUMPRODUCT((IM!$F$2:$F$5000=A281)*(ISNUMBER(SEARCH(勤務統計!$C$1, IM!$AC$2:$AC$5000))))&gt;0), 勤務統計!$C$1, "")</f>
        <v/>
      </c>
      <c r="J281" s="399" t="str">
        <f t="array" ref="J281">IFERROR(INDEX(IM!$AM$2:$AM$5000, MATCH(1, (IM!$F$2:$F$5000=A281) * (ISNUMBER(SEARCH(勤務統計!$C$1, IM!$AC$2:$AC$5000))), 0)), "")</f>
        <v/>
      </c>
      <c r="K281" s="400">
        <f t="array" ref="K281">SUMPRODUCT((IM!$F$2:$F$5000=A281)*(IM!$AD$2:$AD$5000="O")*(ISNUMBER(SEARCH(勤務統計!$C$1, IM!$AC$2:$AC$5000))))</f>
        <v>0</v>
      </c>
      <c r="L281" s="401" t="str">
        <f t="array" ref="L281">IF(K281&gt;0,IFERROR(HYPERLINK("#'IM'!AC"&amp;MATCH(1,(IM!$F$1:$F$5000=A281)*(ISNUMBER(SEARCH(勤務統計!$C$1,IM!$AC$1:$AC$5000))),0),"檢核"),"未登錄"),"")</f>
        <v/>
      </c>
      <c r="M281" s="402" t="str">
        <f t="shared" si="4"/>
        <v/>
      </c>
      <c r="N281" s="402" t="str">
        <f t="array" ref="N281">IF(AND(
    SUMPRODUCT(
        (IM!$F$2:$F$522=A281) *
        ISNUMBER(SEARCH("*HUB*", IM!$AC$2:$AC$522)) *
        (IM!$X$2:$X$522&gt;=勤務統計!$A$1) *
        (IM!$X$2:$X$522&lt;=勤務統計!$B$1)*(W281="HUB")
    ) &gt; 0
), "HUB", "")</f>
        <v/>
      </c>
      <c r="O281" s="400" t="str">
        <f>IF(
  IFERROR(VLOOKUP(A281,勤務統計!A:I,9,FALSE),"")&lt;&gt;勤務統計!$C$1,
  "未完工",
  IF(
    AND(勤務統計!$D$1="--",勤務統計!$E$1="--",勤務統計!$F$1="--"),
    "已完工",
    IF(
      OR(
        AND(勤務統計!$D$1&lt;&gt;"--", IFERROR(VLOOKUP(A281,'0919門市清單主檔'!B:AH,31,FALSE),"")=勤務統計!$D$1, IFERROR(VLOOKUP(A281,勤務統計!A:Q,17,FALSE),"")&lt;&gt;勤務統計!$D$1),
        AND(勤務統計!$E$1&lt;&gt;"--", IFERROR(VLOOKUP(A281,'0919門市清單主檔'!B:AH,32,FALSE),"")=勤務統計!$E$1, IFERROR(VLOOKUP(A281,勤務統計!A:S,19,FALSE),"")&lt;&gt;勤務統計!$E$1),
        AND(勤務統計!$F$1&lt;&gt;"--", IFERROR(VLOOKUP(A281,'0919門市清單主檔'!B:AH,33,FALSE),"")=勤務統計!$F$1, IFERROR(VLOOKUP(A281,勤務統計!A:U,21,FALSE),"")&lt;&gt;勤務統計!$F$1),
        AND(IFERROR(VLOOKUP(A281,'0919門市清單主檔'!B:AH,28,FALSE),"")="HUB", IFERROR(VLOOKUP(A281,勤務統計!A:W,23,FALSE),"")&lt;&gt;"HUB")
      ),
      _xlfn.TEXTJOIN(
        "，",
        TRUE,
        IF(AND(勤務統計!$D$1&lt;&gt;"--", IFERROR(VLOOKUP(A281,'0919門市清單主檔'!B:AH,31,FALSE),"")=勤務統計!$D$1, IFERROR(VLOOKUP(A281,勤務統計!A:Q,17,FALSE),"")&lt;&gt;勤務統計!$D$1), 勤務統計!$D$1, ""),
        IF(AND(勤務統計!$E$1&lt;&gt;"--", IFERROR(VLOOKUP(A281,'0919門市清單主檔'!B:AH,32,FALSE),"")=勤務統計!$E$1, IFERROR(VLOOKUP(A281,勤務統計!A:S,19,FALSE),"")&lt;&gt;勤務統計!$E$1), 勤務統計!$E$1, ""),
        IF(AND(勤務統計!$F$1&lt;&gt;"--", IFERROR(VLOOKUP(A281,'0919門市清單主檔'!B:AH,33,FALSE),"")=勤務統計!$F$1, IFERROR(VLOOKUP(A281,勤務統計!A:U,21,FALSE),"")&lt;&gt;勤務統計!$F$1), 勤務統計!$F$1, ""),
        IF(AND(IFERROR(VLOOKUP(A281,'0919門市清單主檔'!B:AH,28,FALSE),"")="HUB", IFERROR(VLOOKUP(A281,勤務統計!A:W,23,FALSE),"")&lt;&gt;"HUB"), "HUB", "")
      ) &amp; "未完工",
      "已完工"
    )
  )
)</f>
        <v>未完工</v>
      </c>
      <c r="P281" s="435" t="str">
        <f>(TEXT(I281,"yyyymmdd"))&amp;勤務統計!$V$2&amp;A281&amp;勤務統計!$V$2&amp;B281&amp;勤務統計!$S$2</f>
        <v>-5357-蘆竹南山北(定保)</v>
      </c>
      <c r="Q281" s="404" t="str">
        <f t="array" ref="Q281">IF(AND(SUMPRODUCT((IM!$F$2:$F$5000=A281)*(ISNUMBER(SEARCH(勤務統計!$D$1, IM!$AC$2:$AC$5000))))&gt;0), 勤務統計!$D$1, "")</f>
        <v/>
      </c>
      <c r="R281" s="405" t="str">
        <f t="array" ref="R281">IFERROR(INDEX(IM!$AM$2:$AM$5000, MATCH(1, (IM!$F$2:$F$5000=A281) * (ISNUMBER(SEARCH(勤務統計!$D$1, IM!$AC$2:$AC$5000))), 0)), "")</f>
        <v/>
      </c>
      <c r="S281" s="406" t="str" cm="1">
        <f t="array" ref="S281">IF(AND(SUMPRODUCT((IM!$F$2:$F$5000=A281)*(ISNUMBER(SEARCH(勤務統計!$E$1, IM!$AC$2:$AC$5000))))&gt;0), 勤務統計!$E$1, "")</f>
        <v/>
      </c>
      <c r="T281" s="405" t="str">
        <f t="array" ref="T281">IFERROR(INDEX(IM!$AM$2:$AM$5000, MATCH(1, (IM!$F$2:$F$5000=A281) * (ISNUMBER(SEARCH(勤務統計!$E$1, IM!$AC$2:$AC$5000))), 0)), "")</f>
        <v/>
      </c>
      <c r="U281" s="406" t="str" cm="1">
        <f t="array" ref="U281">IF(AND(SUMPRODUCT((IM!$F$2:$F$5000=A281)*(ISNUMBER(SEARCH(勤務統計!$F$1, IM!$AC$2:$AC$5000))))&gt;0), 勤務統計!$F$1, "")</f>
        <v/>
      </c>
      <c r="V281" s="405" t="str">
        <f t="array" ref="V281">IFERROR(INDEX(IM!$AM$2:$AM$5000, MATCH(1, (IM!$F$2:$F$5000=A281) * (ISNUMBER(SEARCH(勤務統計!$F$1, IM!$AC$2:$AC$5000))), 0)), "")</f>
        <v/>
      </c>
      <c r="W281" s="436" t="str">
        <f>IF(VLOOKUP(A281,'0919門市清單主檔'!B:AC,28,FALSE)=0,"",VLOOKUP(A281,'0919門市清單主檔'!B:AC,28,FALSE))</f>
        <v/>
      </c>
    </row>
    <row r="282" spans="1:23" ht="21.6" customHeight="1">
      <c r="A282" s="409">
        <v>5368</v>
      </c>
      <c r="B282" s="409" t="str">
        <f>VLOOKUP(A282,'0919門市清單主檔'!B:C,2,FALSE)</f>
        <v>蘆竹山鼻店</v>
      </c>
      <c r="C282" s="409" t="str">
        <f>VLOOKUP($A282,'0919門市清單主檔'!B:V,20,FALSE)</f>
        <v>桃園市</v>
      </c>
      <c r="D282" s="409" t="str">
        <f>VLOOKUP($A282,'0919門市清單主檔'!B:V,21,FALSE)</f>
        <v>蘆竹區</v>
      </c>
      <c r="E282" s="397" t="str">
        <f>VLOOKUP(D282,門市狀態!G:H,2,FALSE)</f>
        <v>吳宗鴻</v>
      </c>
      <c r="F282" s="409" t="str">
        <f>IFERROR(IF(VLOOKUP(A282,門市狀態!A:D,4,FALSE)=0,"",VLOOKUP(A282,門市狀態!A:D,4,FALSE)),"")</f>
        <v/>
      </c>
      <c r="G282" s="409"/>
      <c r="H282" s="411" t="str">
        <f>IF(I282&gt;0,(TEXT(I282,"yyyymmdd")&amp;勤務統計!$V$2&amp;A282&amp;勤務統計!$V$2&amp;B282&amp;勤務統計!$S$2),"")</f>
        <v>-5368-蘆竹山鼻店(定保)</v>
      </c>
      <c r="I282" s="247" t="str">
        <f t="array" ref="I282">IF(AND(SUMPRODUCT((IM!$F$2:$F$5000=A282)*(ISNUMBER(SEARCH(勤務統計!$C$1, IM!$AC$2:$AC$5000))))&gt;0), 勤務統計!$C$1, "")</f>
        <v/>
      </c>
      <c r="J282" s="399" t="str">
        <f t="array" ref="J282">IFERROR(INDEX(IM!$AM$2:$AM$5000, MATCH(1, (IM!$F$2:$F$5000=A282) * (ISNUMBER(SEARCH(勤務統計!$C$1, IM!$AC$2:$AC$5000))), 0)), "")</f>
        <v/>
      </c>
      <c r="K282" s="400">
        <f t="array" ref="K282">SUMPRODUCT((IM!$F$2:$F$5000=A282)*(IM!$AD$2:$AD$5000="O")*(ISNUMBER(SEARCH(勤務統計!$C$1, IM!$AC$2:$AC$5000))))</f>
        <v>0</v>
      </c>
      <c r="L282" s="401" t="str">
        <f t="array" ref="L282">IF(K282&gt;0,IFERROR(HYPERLINK("#'IM'!AC"&amp;MATCH(1,(IM!$F$1:$F$5000=A282)*(ISNUMBER(SEARCH(勤務統計!$C$1,IM!$AC$1:$AC$5000))),0),"檢核"),"未登錄"),"")</f>
        <v/>
      </c>
      <c r="M282" s="402" t="str">
        <f t="shared" si="4"/>
        <v/>
      </c>
      <c r="N282" s="402" t="str">
        <f t="array" ref="N282">IF(AND(
    SUMPRODUCT(
        (IM!$F$2:$F$522=A282) *
        ISNUMBER(SEARCH("*HUB*", IM!$AC$2:$AC$522)) *
        (IM!$X$2:$X$522&gt;=勤務統計!$A$1) *
        (IM!$X$2:$X$522&lt;=勤務統計!$B$1)*(W282="HUB")
    ) &gt; 0
), "HUB", "")</f>
        <v/>
      </c>
      <c r="O282" s="400" t="str">
        <f>IF(
  IFERROR(VLOOKUP(A282,勤務統計!A:I,9,FALSE),"")&lt;&gt;勤務統計!$C$1,
  "未完工",
  IF(
    AND(勤務統計!$D$1="--",勤務統計!$E$1="--",勤務統計!$F$1="--"),
    "已完工",
    IF(
      OR(
        AND(勤務統計!$D$1&lt;&gt;"--", IFERROR(VLOOKUP(A282,'0919門市清單主檔'!B:AH,31,FALSE),"")=勤務統計!$D$1, IFERROR(VLOOKUP(A282,勤務統計!A:Q,17,FALSE),"")&lt;&gt;勤務統計!$D$1),
        AND(勤務統計!$E$1&lt;&gt;"--", IFERROR(VLOOKUP(A282,'0919門市清單主檔'!B:AH,32,FALSE),"")=勤務統計!$E$1, IFERROR(VLOOKUP(A282,勤務統計!A:S,19,FALSE),"")&lt;&gt;勤務統計!$E$1),
        AND(勤務統計!$F$1&lt;&gt;"--", IFERROR(VLOOKUP(A282,'0919門市清單主檔'!B:AH,33,FALSE),"")=勤務統計!$F$1, IFERROR(VLOOKUP(A282,勤務統計!A:U,21,FALSE),"")&lt;&gt;勤務統計!$F$1),
        AND(IFERROR(VLOOKUP(A282,'0919門市清單主檔'!B:AH,28,FALSE),"")="HUB", IFERROR(VLOOKUP(A282,勤務統計!A:W,23,FALSE),"")&lt;&gt;"HUB")
      ),
      _xlfn.TEXTJOIN(
        "，",
        TRUE,
        IF(AND(勤務統計!$D$1&lt;&gt;"--", IFERROR(VLOOKUP(A282,'0919門市清單主檔'!B:AH,31,FALSE),"")=勤務統計!$D$1, IFERROR(VLOOKUP(A282,勤務統計!A:Q,17,FALSE),"")&lt;&gt;勤務統計!$D$1), 勤務統計!$D$1, ""),
        IF(AND(勤務統計!$E$1&lt;&gt;"--", IFERROR(VLOOKUP(A282,'0919門市清單主檔'!B:AH,32,FALSE),"")=勤務統計!$E$1, IFERROR(VLOOKUP(A282,勤務統計!A:S,19,FALSE),"")&lt;&gt;勤務統計!$E$1), 勤務統計!$E$1, ""),
        IF(AND(勤務統計!$F$1&lt;&gt;"--", IFERROR(VLOOKUP(A282,'0919門市清單主檔'!B:AH,33,FALSE),"")=勤務統計!$F$1, IFERROR(VLOOKUP(A282,勤務統計!A:U,21,FALSE),"")&lt;&gt;勤務統計!$F$1), 勤務統計!$F$1, ""),
        IF(AND(IFERROR(VLOOKUP(A282,'0919門市清單主檔'!B:AH,28,FALSE),"")="HUB", IFERROR(VLOOKUP(A282,勤務統計!A:W,23,FALSE),"")&lt;&gt;"HUB"), "HUB", "")
      ) &amp; "未完工",
      "已完工"
    )
  )
)</f>
        <v>未完工</v>
      </c>
      <c r="P282" s="435" t="str">
        <f>(TEXT(I282,"yyyymmdd"))&amp;勤務統計!$V$2&amp;A282&amp;勤務統計!$V$2&amp;B282&amp;勤務統計!$S$2</f>
        <v>-5368-蘆竹山鼻店(定保)</v>
      </c>
      <c r="Q282" s="404" t="str">
        <f t="array" ref="Q282">IF(AND(SUMPRODUCT((IM!$F$2:$F$5000=A282)*(ISNUMBER(SEARCH(勤務統計!$D$1, IM!$AC$2:$AC$5000))))&gt;0), 勤務統計!$D$1, "")</f>
        <v/>
      </c>
      <c r="R282" s="405" t="str">
        <f t="array" ref="R282">IFERROR(INDEX(IM!$AM$2:$AM$5000, MATCH(1, (IM!$F$2:$F$5000=A282) * (ISNUMBER(SEARCH(勤務統計!$D$1, IM!$AC$2:$AC$5000))), 0)), "")</f>
        <v/>
      </c>
      <c r="S282" s="406" t="str" cm="1">
        <f t="array" ref="S282">IF(AND(SUMPRODUCT((IM!$F$2:$F$5000=A282)*(ISNUMBER(SEARCH(勤務統計!$E$1, IM!$AC$2:$AC$5000))))&gt;0), 勤務統計!$E$1, "")</f>
        <v/>
      </c>
      <c r="T282" s="405" t="str">
        <f t="array" ref="T282">IFERROR(INDEX(IM!$AM$2:$AM$5000, MATCH(1, (IM!$F$2:$F$5000=A282) * (ISNUMBER(SEARCH(勤務統計!$E$1, IM!$AC$2:$AC$5000))), 0)), "")</f>
        <v/>
      </c>
      <c r="U282" s="406" t="str" cm="1">
        <f t="array" ref="U282">IF(AND(SUMPRODUCT((IM!$F$2:$F$5000=A282)*(ISNUMBER(SEARCH(勤務統計!$F$1, IM!$AC$2:$AC$5000))))&gt;0), 勤務統計!$F$1, "")</f>
        <v/>
      </c>
      <c r="V282" s="405" t="str">
        <f t="array" ref="V282">IFERROR(INDEX(IM!$AM$2:$AM$5000, MATCH(1, (IM!$F$2:$F$5000=A282) * (ISNUMBER(SEARCH(勤務統計!$F$1, IM!$AC$2:$AC$5000))), 0)), "")</f>
        <v/>
      </c>
      <c r="W282" s="436" t="str">
        <f>IF(VLOOKUP(A282,'0919門市清單主檔'!B:AC,28,FALSE)=0,"",VLOOKUP(A282,'0919門市清單主檔'!B:AC,28,FALSE))</f>
        <v/>
      </c>
    </row>
    <row r="283" spans="1:23" ht="21.6" customHeight="1">
      <c r="A283" s="409" t="s">
        <v>86</v>
      </c>
      <c r="B283" s="409" t="str">
        <f>VLOOKUP(A283,'0919門市清單主檔'!B:C,2,FALSE)</f>
        <v>蘆竹南華店</v>
      </c>
      <c r="C283" s="409" t="str">
        <f>VLOOKUP($A283,'0919門市清單主檔'!B:V,20,FALSE)</f>
        <v>桃園市</v>
      </c>
      <c r="D283" s="409" t="str">
        <f>VLOOKUP($A283,'0919門市清單主檔'!B:V,21,FALSE)</f>
        <v>蘆竹區</v>
      </c>
      <c r="E283" s="397" t="str">
        <f>VLOOKUP(D283,門市狀態!G:H,2,FALSE)</f>
        <v>吳宗鴻</v>
      </c>
      <c r="F283" s="409" t="str">
        <f>IFERROR(IF(VLOOKUP(A283,門市狀態!A:D,4,FALSE)=0,"",VLOOKUP(A283,門市狀態!A:D,4,FALSE)),"")</f>
        <v/>
      </c>
      <c r="G283" s="409"/>
      <c r="H283" s="411" t="str">
        <f>IF(I283&gt;0,(TEXT(I283,"yyyymmdd")&amp;勤務統計!$V$2&amp;A283&amp;勤務統計!$V$2&amp;B283&amp;勤務統計!$S$2),"")</f>
        <v>-F777-蘆竹南華店(定保)</v>
      </c>
      <c r="I283" s="247" t="str">
        <f t="array" ref="I283">IF(AND(SUMPRODUCT((IM!$F$2:$F$5000=A283)*(ISNUMBER(SEARCH(勤務統計!$C$1, IM!$AC$2:$AC$5000))))&gt;0), 勤務統計!$C$1, "")</f>
        <v/>
      </c>
      <c r="J283" s="399" t="str">
        <f t="array" ref="J283">IFERROR(INDEX(IM!$AM$2:$AM$5000, MATCH(1, (IM!$F$2:$F$5000=A283) * (ISNUMBER(SEARCH(勤務統計!$C$1, IM!$AC$2:$AC$5000))), 0)), "")</f>
        <v/>
      </c>
      <c r="K283" s="400">
        <f t="array" ref="K283">SUMPRODUCT((IM!$F$2:$F$5000=A283)*(IM!$AD$2:$AD$5000="O")*(ISNUMBER(SEARCH(勤務統計!$C$1, IM!$AC$2:$AC$5000))))</f>
        <v>0</v>
      </c>
      <c r="L283" s="401" t="str">
        <f t="array" ref="L283">IF(K283&gt;0,IFERROR(HYPERLINK("#'IM'!AC"&amp;MATCH(1,(IM!$F$1:$F$5000=A283)*(ISNUMBER(SEARCH(勤務統計!$C$1,IM!$AC$1:$AC$5000))),0),"檢核"),"未登錄"),"")</f>
        <v/>
      </c>
      <c r="M283" s="402" t="str">
        <f t="shared" si="4"/>
        <v/>
      </c>
      <c r="N283" s="402" t="str">
        <f t="array" ref="N283">IF(AND(
    SUMPRODUCT(
        (IM!$F$2:$F$522=A283) *
        ISNUMBER(SEARCH("*HUB*", IM!$AC$2:$AC$522)) *
        (IM!$X$2:$X$522&gt;=勤務統計!$A$1) *
        (IM!$X$2:$X$522&lt;=勤務統計!$B$1)*(W283="HUB")
    ) &gt; 0
), "HUB", "")</f>
        <v/>
      </c>
      <c r="O283" s="400" t="str">
        <f>IF(
  IFERROR(VLOOKUP(A283,勤務統計!A:I,9,FALSE),"")&lt;&gt;勤務統計!$C$1,
  "未完工",
  IF(
    AND(勤務統計!$D$1="--",勤務統計!$E$1="--",勤務統計!$F$1="--"),
    "已完工",
    IF(
      OR(
        AND(勤務統計!$D$1&lt;&gt;"--", IFERROR(VLOOKUP(A283,'0919門市清單主檔'!B:AH,31,FALSE),"")=勤務統計!$D$1, IFERROR(VLOOKUP(A283,勤務統計!A:Q,17,FALSE),"")&lt;&gt;勤務統計!$D$1),
        AND(勤務統計!$E$1&lt;&gt;"--", IFERROR(VLOOKUP(A283,'0919門市清單主檔'!B:AH,32,FALSE),"")=勤務統計!$E$1, IFERROR(VLOOKUP(A283,勤務統計!A:S,19,FALSE),"")&lt;&gt;勤務統計!$E$1),
        AND(勤務統計!$F$1&lt;&gt;"--", IFERROR(VLOOKUP(A283,'0919門市清單主檔'!B:AH,33,FALSE),"")=勤務統計!$F$1, IFERROR(VLOOKUP(A283,勤務統計!A:U,21,FALSE),"")&lt;&gt;勤務統計!$F$1),
        AND(IFERROR(VLOOKUP(A283,'0919門市清單主檔'!B:AH,28,FALSE),"")="HUB", IFERROR(VLOOKUP(A283,勤務統計!A:W,23,FALSE),"")&lt;&gt;"HUB")
      ),
      _xlfn.TEXTJOIN(
        "，",
        TRUE,
        IF(AND(勤務統計!$D$1&lt;&gt;"--", IFERROR(VLOOKUP(A283,'0919門市清單主檔'!B:AH,31,FALSE),"")=勤務統計!$D$1, IFERROR(VLOOKUP(A283,勤務統計!A:Q,17,FALSE),"")&lt;&gt;勤務統計!$D$1), 勤務統計!$D$1, ""),
        IF(AND(勤務統計!$E$1&lt;&gt;"--", IFERROR(VLOOKUP(A283,'0919門市清單主檔'!B:AH,32,FALSE),"")=勤務統計!$E$1, IFERROR(VLOOKUP(A283,勤務統計!A:S,19,FALSE),"")&lt;&gt;勤務統計!$E$1), 勤務統計!$E$1, ""),
        IF(AND(勤務統計!$F$1&lt;&gt;"--", IFERROR(VLOOKUP(A283,'0919門市清單主檔'!B:AH,33,FALSE),"")=勤務統計!$F$1, IFERROR(VLOOKUP(A283,勤務統計!A:U,21,FALSE),"")&lt;&gt;勤務統計!$F$1), 勤務統計!$F$1, ""),
        IF(AND(IFERROR(VLOOKUP(A283,'0919門市清單主檔'!B:AH,28,FALSE),"")="HUB", IFERROR(VLOOKUP(A283,勤務統計!A:W,23,FALSE),"")&lt;&gt;"HUB"), "HUB", "")
      ) &amp; "未完工",
      "已完工"
    )
  )
)</f>
        <v>未完工</v>
      </c>
      <c r="P283" s="435" t="str">
        <f>(TEXT(I283,"yyyymmdd"))&amp;勤務統計!$V$2&amp;A283&amp;勤務統計!$V$2&amp;B283&amp;勤務統計!$S$2</f>
        <v>-F777-蘆竹南華店(定保)</v>
      </c>
      <c r="Q283" s="404" t="str">
        <f t="array" ref="Q283">IF(AND(SUMPRODUCT((IM!$F$2:$F$5000=A283)*(ISNUMBER(SEARCH(勤務統計!$D$1, IM!$AC$2:$AC$5000))))&gt;0), 勤務統計!$D$1, "")</f>
        <v/>
      </c>
      <c r="R283" s="405" t="str">
        <f t="array" ref="R283">IFERROR(INDEX(IM!$AM$2:$AM$5000, MATCH(1, (IM!$F$2:$F$5000=A283) * (ISNUMBER(SEARCH(勤務統計!$D$1, IM!$AC$2:$AC$5000))), 0)), "")</f>
        <v/>
      </c>
      <c r="S283" s="406" t="str" cm="1">
        <f t="array" ref="S283">IF(AND(SUMPRODUCT((IM!$F$2:$F$5000=A283)*(ISNUMBER(SEARCH(勤務統計!$E$1, IM!$AC$2:$AC$5000))))&gt;0), 勤務統計!$E$1, "")</f>
        <v/>
      </c>
      <c r="T283" s="405" t="str">
        <f t="array" ref="T283">IFERROR(INDEX(IM!$AM$2:$AM$5000, MATCH(1, (IM!$F$2:$F$5000=A283) * (ISNUMBER(SEARCH(勤務統計!$E$1, IM!$AC$2:$AC$5000))), 0)), "")</f>
        <v/>
      </c>
      <c r="U283" s="406" t="str" cm="1">
        <f t="array" ref="U283">IF(AND(SUMPRODUCT((IM!$F$2:$F$5000=A283)*(ISNUMBER(SEARCH(勤務統計!$F$1, IM!$AC$2:$AC$5000))))&gt;0), 勤務統計!$F$1, "")</f>
        <v/>
      </c>
      <c r="V283" s="405" t="str">
        <f t="array" ref="V283">IFERROR(INDEX(IM!$AM$2:$AM$5000, MATCH(1, (IM!$F$2:$F$5000=A283) * (ISNUMBER(SEARCH(勤務統計!$F$1, IM!$AC$2:$AC$5000))), 0)), "")</f>
        <v/>
      </c>
      <c r="W283" s="436" t="str">
        <f>IF(VLOOKUP(A283,'0919門市清單主檔'!B:AC,28,FALSE)=0,"",VLOOKUP(A283,'0919門市清單主檔'!B:AC,28,FALSE))</f>
        <v/>
      </c>
    </row>
    <row r="284" spans="1:23" ht="21.6" customHeight="1">
      <c r="A284" s="409">
        <v>5496</v>
      </c>
      <c r="B284" s="409" t="str">
        <f>VLOOKUP(A284,'0919門市清單主檔'!B:C,2,FALSE)</f>
        <v>板橋市民廣場</v>
      </c>
      <c r="C284" s="409" t="str">
        <f>VLOOKUP($A284,'0919門市清單主檔'!B:V,20,FALSE)</f>
        <v>新北市</v>
      </c>
      <c r="D284" s="409" t="str">
        <f>VLOOKUP($A284,'0919門市清單主檔'!B:V,21,FALSE)</f>
        <v>板橋區</v>
      </c>
      <c r="E284" s="397" t="str">
        <f>VLOOKUP(D284,門市狀態!G:H,2,FALSE)</f>
        <v>狄澤洋</v>
      </c>
      <c r="F284" s="409" t="str">
        <f>IFERROR(IF(VLOOKUP(A284,門市狀態!A:D,4,FALSE)=0,"",VLOOKUP(A284,門市狀態!A:D,4,FALSE)),"")</f>
        <v/>
      </c>
      <c r="G284" s="409"/>
      <c r="H284" s="411" t="str">
        <f>IF(I284&gt;0,(TEXT(I284,"yyyymmdd")&amp;勤務統計!$V$2&amp;A284&amp;勤務統計!$V$2&amp;B284&amp;勤務統計!$S$2),"")</f>
        <v>-5496-板橋市民廣場(定保)</v>
      </c>
      <c r="I284" s="247" t="str">
        <f t="array" ref="I284">IF(AND(SUMPRODUCT((IM!$F$2:$F$5000=A284)*(ISNUMBER(SEARCH(勤務統計!$C$1, IM!$AC$2:$AC$5000))))&gt;0), 勤務統計!$C$1, "")</f>
        <v/>
      </c>
      <c r="J284" s="399" t="str">
        <f t="array" ref="J284">IFERROR(INDEX(IM!$AM$2:$AM$5000, MATCH(1, (IM!$F$2:$F$5000=A284) * (ISNUMBER(SEARCH(勤務統計!$C$1, IM!$AC$2:$AC$5000))), 0)), "")</f>
        <v/>
      </c>
      <c r="K284" s="400">
        <f t="array" ref="K284">SUMPRODUCT((IM!$F$2:$F$5000=A284)*(IM!$AD$2:$AD$5000="O")*(ISNUMBER(SEARCH(勤務統計!$C$1, IM!$AC$2:$AC$5000))))</f>
        <v>0</v>
      </c>
      <c r="L284" s="401" t="str">
        <f t="array" ref="L284">IF(K284&gt;0,IFERROR(HYPERLINK("#'IM'!AC"&amp;MATCH(1,(IM!$F$1:$F$5000=A284)*(ISNUMBER(SEARCH(勤務統計!$C$1,IM!$AC$1:$AC$5000))),0),"檢核"),"未登錄"),"")</f>
        <v/>
      </c>
      <c r="M284" s="402" t="str">
        <f t="shared" si="4"/>
        <v>+L90</v>
      </c>
      <c r="N284" s="402" t="str">
        <f t="array" ref="N284">IF(AND(
    SUMPRODUCT(
        (IM!$F$2:$F$522=A284) *
        ISNUMBER(SEARCH("*HUB*", IM!$AC$2:$AC$522)) *
        (IM!$X$2:$X$522&gt;=勤務統計!$A$1) *
        (IM!$X$2:$X$522&lt;=勤務統計!$B$1)*(W284="HUB")
    ) &gt; 0
), "HUB", "")</f>
        <v/>
      </c>
      <c r="O284" s="400" t="str">
        <f>IF(
  IFERROR(VLOOKUP(A284,勤務統計!A:I,9,FALSE),"")&lt;&gt;勤務統計!$C$1,
  "未完工",
  IF(
    AND(勤務統計!$D$1="--",勤務統計!$E$1="--",勤務統計!$F$1="--"),
    "已完工",
    IF(
      OR(
        AND(勤務統計!$D$1&lt;&gt;"--", IFERROR(VLOOKUP(A284,'0919門市清單主檔'!B:AH,31,FALSE),"")=勤務統計!$D$1, IFERROR(VLOOKUP(A284,勤務統計!A:Q,17,FALSE),"")&lt;&gt;勤務統計!$D$1),
        AND(勤務統計!$E$1&lt;&gt;"--", IFERROR(VLOOKUP(A284,'0919門市清單主檔'!B:AH,32,FALSE),"")=勤務統計!$E$1, IFERROR(VLOOKUP(A284,勤務統計!A:S,19,FALSE),"")&lt;&gt;勤務統計!$E$1),
        AND(勤務統計!$F$1&lt;&gt;"--", IFERROR(VLOOKUP(A284,'0919門市清單主檔'!B:AH,33,FALSE),"")=勤務統計!$F$1, IFERROR(VLOOKUP(A284,勤務統計!A:U,21,FALSE),"")&lt;&gt;勤務統計!$F$1),
        AND(IFERROR(VLOOKUP(A284,'0919門市清單主檔'!B:AH,28,FALSE),"")="HUB", IFERROR(VLOOKUP(A284,勤務統計!A:W,23,FALSE),"")&lt;&gt;"HUB")
      ),
      _xlfn.TEXTJOIN(
        "，",
        TRUE,
        IF(AND(勤務統計!$D$1&lt;&gt;"--", IFERROR(VLOOKUP(A284,'0919門市清單主檔'!B:AH,31,FALSE),"")=勤務統計!$D$1, IFERROR(VLOOKUP(A284,勤務統計!A:Q,17,FALSE),"")&lt;&gt;勤務統計!$D$1), 勤務統計!$D$1, ""),
        IF(AND(勤務統計!$E$1&lt;&gt;"--", IFERROR(VLOOKUP(A284,'0919門市清單主檔'!B:AH,32,FALSE),"")=勤務統計!$E$1, IFERROR(VLOOKUP(A284,勤務統計!A:S,19,FALSE),"")&lt;&gt;勤務統計!$E$1), 勤務統計!$E$1, ""),
        IF(AND(勤務統計!$F$1&lt;&gt;"--", IFERROR(VLOOKUP(A284,'0919門市清單主檔'!B:AH,33,FALSE),"")=勤務統計!$F$1, IFERROR(VLOOKUP(A284,勤務統計!A:U,21,FALSE),"")&lt;&gt;勤務統計!$F$1), 勤務統計!$F$1, ""),
        IF(AND(IFERROR(VLOOKUP(A284,'0919門市清單主檔'!B:AH,28,FALSE),"")="HUB", IFERROR(VLOOKUP(A284,勤務統計!A:W,23,FALSE),"")&lt;&gt;"HUB"), "HUB", "")
      ) &amp; "未完工",
      "已完工"
    )
  )
)</f>
        <v>未完工</v>
      </c>
      <c r="P284" s="435" t="str">
        <f>(TEXT(I284,"yyyymmdd"))&amp;勤務統計!$V$2&amp;A284&amp;勤務統計!$V$2&amp;B284&amp;勤務統計!$S$2</f>
        <v>-5496-板橋市民廣場(定保)</v>
      </c>
      <c r="Q284" s="404" t="str">
        <f t="array" ref="Q284">IF(AND(SUMPRODUCT((IM!$F$2:$F$5000=A284)*(ISNUMBER(SEARCH(勤務統計!$D$1, IM!$AC$2:$AC$5000))))&gt;0), 勤務統計!$D$1, "")</f>
        <v/>
      </c>
      <c r="R284" s="405" t="str">
        <f t="array" ref="R284">IFERROR(INDEX(IM!$AM$2:$AM$5000, MATCH(1, (IM!$F$2:$F$5000=A284) * (ISNUMBER(SEARCH(勤務統計!$D$1, IM!$AC$2:$AC$5000))), 0)), "")</f>
        <v/>
      </c>
      <c r="S284" s="406" t="str" cm="1">
        <f t="array" ref="S284">IF(AND(SUMPRODUCT((IM!$F$2:$F$5000=A284)*(ISNUMBER(SEARCH(勤務統計!$E$1, IM!$AC$2:$AC$5000))))&gt;0), 勤務統計!$E$1, "")</f>
        <v>+L90</v>
      </c>
      <c r="T284" s="405">
        <f t="array" ref="T284">IFERROR(INDEX(IM!$AM$2:$AM$5000, MATCH(1, (IM!$F$2:$F$5000=A284) * (ISNUMBER(SEARCH(勤務統計!$E$1, IM!$AC$2:$AC$5000))), 0)), "")</f>
        <v>45971</v>
      </c>
      <c r="U284" s="406" t="str" cm="1">
        <f t="array" ref="U284">IF(AND(SUMPRODUCT((IM!$F$2:$F$5000=A284)*(ISNUMBER(SEARCH(勤務統計!$F$1, IM!$AC$2:$AC$5000))))&gt;0), 勤務統計!$F$1, "")</f>
        <v/>
      </c>
      <c r="V284" s="405" t="str">
        <f t="array" ref="V284">IFERROR(INDEX(IM!$AM$2:$AM$5000, MATCH(1, (IM!$F$2:$F$5000=A284) * (ISNUMBER(SEARCH(勤務統計!$F$1, IM!$AC$2:$AC$5000))), 0)), "")</f>
        <v/>
      </c>
      <c r="W284" s="436" t="str">
        <f>IF(VLOOKUP(A284,'0919門市清單主檔'!B:AC,28,FALSE)=0,"",VLOOKUP(A284,'0919門市清單主檔'!B:AC,28,FALSE))</f>
        <v/>
      </c>
    </row>
    <row r="285" spans="1:23" ht="21.6" customHeight="1">
      <c r="A285" s="409">
        <v>5513</v>
      </c>
      <c r="B285" s="409" t="s">
        <v>87</v>
      </c>
      <c r="C285" s="409" t="str">
        <f>VLOOKUP($A285,'0919門市清單主檔'!B:V,20,FALSE)</f>
        <v>新北市</v>
      </c>
      <c r="D285" s="409" t="str">
        <f>VLOOKUP($A285,'0919門市清單主檔'!B:V,21,FALSE)</f>
        <v>新莊區</v>
      </c>
      <c r="E285" s="397" t="str">
        <f>VLOOKUP(D285,門市狀態!G:H,2,FALSE)</f>
        <v>湯家瑋</v>
      </c>
      <c r="F285" s="409" t="str">
        <f>IFERROR(IF(VLOOKUP(A285,門市狀態!A:D,4,FALSE)=0,"",VLOOKUP(A285,門市狀態!A:D,4,FALSE)),"")</f>
        <v>新開</v>
      </c>
      <c r="G285" s="409" t="s">
        <v>47</v>
      </c>
      <c r="H285" s="411" t="str">
        <f>IF(I285&gt;0,(TEXT(I285,"yyyymmdd")&amp;勤務統計!$V$2&amp;A285&amp;勤務統計!$V$2&amp;B285&amp;勤務統計!$S$2),"")</f>
        <v>-5513-新莊A3站(定保)</v>
      </c>
      <c r="I285" s="247" t="str">
        <f t="array" ref="I285">IF(AND(SUMPRODUCT((IM!$F$2:$F$5000=A285)*(ISNUMBER(SEARCH(勤務統計!$C$1, IM!$AC$2:$AC$5000))))&gt;0), 勤務統計!$C$1, "")</f>
        <v/>
      </c>
      <c r="J285" s="399" t="str">
        <f t="array" ref="J285">IFERROR(INDEX(IM!$AM$2:$AM$5000, MATCH(1, (IM!$F$2:$F$5000=A285) * (ISNUMBER(SEARCH(勤務統計!$C$1, IM!$AC$2:$AC$5000))), 0)), "")</f>
        <v/>
      </c>
      <c r="K285" s="400">
        <f t="array" ref="K285">SUMPRODUCT((IM!$F$2:$F$5000=A285)*(IM!$AD$2:$AD$5000="O")*(ISNUMBER(SEARCH(勤務統計!$C$1, IM!$AC$2:$AC$5000))))</f>
        <v>0</v>
      </c>
      <c r="L285" s="401" t="str">
        <f t="array" ref="L285">IF(K285&gt;0,IFERROR(HYPERLINK("#'IM'!AC"&amp;MATCH(1,(IM!$F$1:$F$5000=A285)*(ISNUMBER(SEARCH(勤務統計!$C$1,IM!$AC$1:$AC$5000))),0),"檢核"),"未登錄"),"")</f>
        <v/>
      </c>
      <c r="M285" s="402" t="str">
        <f t="shared" si="4"/>
        <v/>
      </c>
      <c r="N285" s="402" t="str">
        <f t="array" ref="N285">IF(AND(
    SUMPRODUCT(
        (IM!$F$2:$F$522=A285) *
        ISNUMBER(SEARCH("*HUB*", IM!$AC$2:$AC$522)) *
        (IM!$X$2:$X$522&gt;=勤務統計!$A$1) *
        (IM!$X$2:$X$522&lt;=勤務統計!$B$1)*(W285="HUB")
    ) &gt; 0
), "HUB", "")</f>
        <v/>
      </c>
      <c r="O285" s="400" t="str">
        <f>IF(
  IFERROR(VLOOKUP(A285,勤務統計!A:I,9,FALSE),"")&lt;&gt;勤務統計!$C$1,
  "未完工",
  IF(
    AND(勤務統計!$D$1="--",勤務統計!$E$1="--",勤務統計!$F$1="--"),
    "已完工",
    IF(
      OR(
        AND(勤務統計!$D$1&lt;&gt;"--", IFERROR(VLOOKUP(A285,'0919門市清單主檔'!B:AH,31,FALSE),"")=勤務統計!$D$1, IFERROR(VLOOKUP(A285,勤務統計!A:Q,17,FALSE),"")&lt;&gt;勤務統計!$D$1),
        AND(勤務統計!$E$1&lt;&gt;"--", IFERROR(VLOOKUP(A285,'0919門市清單主檔'!B:AH,32,FALSE),"")=勤務統計!$E$1, IFERROR(VLOOKUP(A285,勤務統計!A:S,19,FALSE),"")&lt;&gt;勤務統計!$E$1),
        AND(勤務統計!$F$1&lt;&gt;"--", IFERROR(VLOOKUP(A285,'0919門市清單主檔'!B:AH,33,FALSE),"")=勤務統計!$F$1, IFERROR(VLOOKUP(A285,勤務統計!A:U,21,FALSE),"")&lt;&gt;勤務統計!$F$1),
        AND(IFERROR(VLOOKUP(A285,'0919門市清單主檔'!B:AH,28,FALSE),"")="HUB", IFERROR(VLOOKUP(A285,勤務統計!A:W,23,FALSE),"")&lt;&gt;"HUB")
      ),
      _xlfn.TEXTJOIN(
        "，",
        TRUE,
        IF(AND(勤務統計!$D$1&lt;&gt;"--", IFERROR(VLOOKUP(A285,'0919門市清單主檔'!B:AH,31,FALSE),"")=勤務統計!$D$1, IFERROR(VLOOKUP(A285,勤務統計!A:Q,17,FALSE),"")&lt;&gt;勤務統計!$D$1), 勤務統計!$D$1, ""),
        IF(AND(勤務統計!$E$1&lt;&gt;"--", IFERROR(VLOOKUP(A285,'0919門市清單主檔'!B:AH,32,FALSE),"")=勤務統計!$E$1, IFERROR(VLOOKUP(A285,勤務統計!A:S,19,FALSE),"")&lt;&gt;勤務統計!$E$1), 勤務統計!$E$1, ""),
        IF(AND(勤務統計!$F$1&lt;&gt;"--", IFERROR(VLOOKUP(A285,'0919門市清單主檔'!B:AH,33,FALSE),"")=勤務統計!$F$1, IFERROR(VLOOKUP(A285,勤務統計!A:U,21,FALSE),"")&lt;&gt;勤務統計!$F$1), 勤務統計!$F$1, ""),
        IF(AND(IFERROR(VLOOKUP(A285,'0919門市清單主檔'!B:AH,28,FALSE),"")="HUB", IFERROR(VLOOKUP(A285,勤務統計!A:W,23,FALSE),"")&lt;&gt;"HUB"), "HUB", "")
      ) &amp; "未完工",
      "已完工"
    )
  )
)</f>
        <v>未完工</v>
      </c>
      <c r="P285" s="435" t="str">
        <f>(TEXT(I285,"yyyymmdd"))&amp;勤務統計!$V$2&amp;A285&amp;勤務統計!$V$2&amp;B285&amp;勤務統計!$S$2</f>
        <v>-5513-新莊A3站(定保)</v>
      </c>
      <c r="Q285" s="404" t="str">
        <f t="array" ref="Q285">IF(AND(SUMPRODUCT((IM!$F$2:$F$5000=A285)*(ISNUMBER(SEARCH(勤務統計!$D$1, IM!$AC$2:$AC$5000))))&gt;0), 勤務統計!$D$1, "")</f>
        <v/>
      </c>
      <c r="R285" s="405" t="str">
        <f t="array" ref="R285">IFERROR(INDEX(IM!$AM$2:$AM$5000, MATCH(1, (IM!$F$2:$F$5000=A285) * (ISNUMBER(SEARCH(勤務統計!$D$1, IM!$AC$2:$AC$5000))), 0)), "")</f>
        <v/>
      </c>
      <c r="S285" s="406" t="str" cm="1">
        <f t="array" ref="S285">IF(AND(SUMPRODUCT((IM!$F$2:$F$5000=A285)*(ISNUMBER(SEARCH(勤務統計!$E$1, IM!$AC$2:$AC$5000))))&gt;0), 勤務統計!$E$1, "")</f>
        <v/>
      </c>
      <c r="T285" s="405" t="str">
        <f t="array" ref="T285">IFERROR(INDEX(IM!$AM$2:$AM$5000, MATCH(1, (IM!$F$2:$F$5000=A285) * (ISNUMBER(SEARCH(勤務統計!$E$1, IM!$AC$2:$AC$5000))), 0)), "")</f>
        <v/>
      </c>
      <c r="U285" s="406" t="str" cm="1">
        <f t="array" ref="U285">IF(AND(SUMPRODUCT((IM!$F$2:$F$5000=A285)*(ISNUMBER(SEARCH(勤務統計!$F$1, IM!$AC$2:$AC$5000))))&gt;0), 勤務統計!$F$1, "")</f>
        <v/>
      </c>
      <c r="V285" s="405" t="str">
        <f t="array" ref="V285">IFERROR(INDEX(IM!$AM$2:$AM$5000, MATCH(1, (IM!$F$2:$F$5000=A285) * (ISNUMBER(SEARCH(勤務統計!$F$1, IM!$AC$2:$AC$5000))), 0)), "")</f>
        <v/>
      </c>
      <c r="W285" s="436" t="str">
        <f>IF(VLOOKUP(A285,'0919門市清單主檔'!B:AC,28,FALSE)=0,"",VLOOKUP(A285,'0919門市清單主檔'!B:AC,28,FALSE))</f>
        <v/>
      </c>
    </row>
    <row r="286" spans="1:23" ht="21.6" customHeight="1">
      <c r="A286" s="409" t="s">
        <v>88</v>
      </c>
      <c r="B286" s="409" t="str">
        <f>VLOOKUP(A286,'0919門市清單主檔'!B:C,2,FALSE)</f>
        <v>車麗屋新莊店</v>
      </c>
      <c r="C286" s="409" t="str">
        <f>VLOOKUP($A286,'0919門市清單主檔'!B:V,20,FALSE)</f>
        <v>新北市</v>
      </c>
      <c r="D286" s="409" t="str">
        <f>VLOOKUP($A286,'0919門市清單主檔'!B:V,21,FALSE)</f>
        <v>新莊區</v>
      </c>
      <c r="E286" s="397" t="str">
        <f>VLOOKUP(D286,門市狀態!G:H,2,FALSE)</f>
        <v>湯家瑋</v>
      </c>
      <c r="F286" s="409" t="str">
        <f>IFERROR(IF(VLOOKUP(A286,門市狀態!A:D,4,FALSE)=0,"",VLOOKUP(A286,門市狀態!A:D,4,FALSE)),"")</f>
        <v/>
      </c>
      <c r="G286" s="409" t="s">
        <v>47</v>
      </c>
      <c r="H286" s="411" t="str">
        <f>IF(I286&gt;0,(TEXT(I286,"yyyymmdd")&amp;勤務統計!$V$2&amp;A286&amp;勤務統計!$V$2&amp;B286&amp;勤務統計!$S$2),"")</f>
        <v>-L516-車麗屋新莊店(定保)</v>
      </c>
      <c r="I286" s="247" t="str">
        <f t="array" ref="I286">IF(AND(SUMPRODUCT((IM!$F$2:$F$5000=A286)*(ISNUMBER(SEARCH(勤務統計!$C$1, IM!$AC$2:$AC$5000))))&gt;0), 勤務統計!$C$1, "")</f>
        <v/>
      </c>
      <c r="J286" s="399" t="str">
        <f t="array" ref="J286">IFERROR(INDEX(IM!$AM$2:$AM$5000, MATCH(1, (IM!$F$2:$F$5000=A286) * (ISNUMBER(SEARCH(勤務統計!$C$1, IM!$AC$2:$AC$5000))), 0)), "")</f>
        <v/>
      </c>
      <c r="K286" s="400">
        <f t="array" ref="K286">SUMPRODUCT((IM!$F$2:$F$5000=A286)*(IM!$AD$2:$AD$5000="O")*(ISNUMBER(SEARCH(勤務統計!$C$1, IM!$AC$2:$AC$5000))))</f>
        <v>0</v>
      </c>
      <c r="L286" s="401" t="str">
        <f t="array" ref="L286">IF(K286&gt;0,IFERROR(HYPERLINK("#'IM'!AC"&amp;MATCH(1,(IM!$F$1:$F$5000=A286)*(ISNUMBER(SEARCH(勤務統計!$C$1,IM!$AC$1:$AC$5000))),0),"檢核"),"未登錄"),"")</f>
        <v/>
      </c>
      <c r="M286" s="402" t="str">
        <f t="shared" si="4"/>
        <v/>
      </c>
      <c r="N286" s="402" t="str">
        <f t="array" ref="N286">IF(AND(
    SUMPRODUCT(
        (IM!$F$2:$F$522=A286) *
        ISNUMBER(SEARCH("*HUB*", IM!$AC$2:$AC$522)) *
        (IM!$X$2:$X$522&gt;=勤務統計!$A$1) *
        (IM!$X$2:$X$522&lt;=勤務統計!$B$1)*(W286="HUB")
    ) &gt; 0
), "HUB", "")</f>
        <v/>
      </c>
      <c r="O286" s="400" t="str">
        <f>IF(
  IFERROR(VLOOKUP(A286,勤務統計!A:I,9,FALSE),"")&lt;&gt;勤務統計!$C$1,
  "未完工",
  IF(
    AND(勤務統計!$D$1="--",勤務統計!$E$1="--",勤務統計!$F$1="--"),
    "已完工",
    IF(
      OR(
        AND(勤務統計!$D$1&lt;&gt;"--", IFERROR(VLOOKUP(A286,'0919門市清單主檔'!B:AH,31,FALSE),"")=勤務統計!$D$1, IFERROR(VLOOKUP(A286,勤務統計!A:Q,17,FALSE),"")&lt;&gt;勤務統計!$D$1),
        AND(勤務統計!$E$1&lt;&gt;"--", IFERROR(VLOOKUP(A286,'0919門市清單主檔'!B:AH,32,FALSE),"")=勤務統計!$E$1, IFERROR(VLOOKUP(A286,勤務統計!A:S,19,FALSE),"")&lt;&gt;勤務統計!$E$1),
        AND(勤務統計!$F$1&lt;&gt;"--", IFERROR(VLOOKUP(A286,'0919門市清單主檔'!B:AH,33,FALSE),"")=勤務統計!$F$1, IFERROR(VLOOKUP(A286,勤務統計!A:U,21,FALSE),"")&lt;&gt;勤務統計!$F$1),
        AND(IFERROR(VLOOKUP(A286,'0919門市清單主檔'!B:AH,28,FALSE),"")="HUB", IFERROR(VLOOKUP(A286,勤務統計!A:W,23,FALSE),"")&lt;&gt;"HUB")
      ),
      _xlfn.TEXTJOIN(
        "，",
        TRUE,
        IF(AND(勤務統計!$D$1&lt;&gt;"--", IFERROR(VLOOKUP(A286,'0919門市清單主檔'!B:AH,31,FALSE),"")=勤務統計!$D$1, IFERROR(VLOOKUP(A286,勤務統計!A:Q,17,FALSE),"")&lt;&gt;勤務統計!$D$1), 勤務統計!$D$1, ""),
        IF(AND(勤務統計!$E$1&lt;&gt;"--", IFERROR(VLOOKUP(A286,'0919門市清單主檔'!B:AH,32,FALSE),"")=勤務統計!$E$1, IFERROR(VLOOKUP(A286,勤務統計!A:S,19,FALSE),"")&lt;&gt;勤務統計!$E$1), 勤務統計!$E$1, ""),
        IF(AND(勤務統計!$F$1&lt;&gt;"--", IFERROR(VLOOKUP(A286,'0919門市清單主檔'!B:AH,33,FALSE),"")=勤務統計!$F$1, IFERROR(VLOOKUP(A286,勤務統計!A:U,21,FALSE),"")&lt;&gt;勤務統計!$F$1), 勤務統計!$F$1, ""),
        IF(AND(IFERROR(VLOOKUP(A286,'0919門市清單主檔'!B:AH,28,FALSE),"")="HUB", IFERROR(VLOOKUP(A286,勤務統計!A:W,23,FALSE),"")&lt;&gt;"HUB"), "HUB", "")
      ) &amp; "未完工",
      "已完工"
    )
  )
)</f>
        <v>未完工</v>
      </c>
      <c r="P286" s="435" t="str">
        <f>(TEXT(I286,"yyyymmdd"))&amp;勤務統計!$V$2&amp;A286&amp;勤務統計!$V$2&amp;B286&amp;勤務統計!$S$2</f>
        <v>-L516-車麗屋新莊店(定保)</v>
      </c>
      <c r="Q286" s="404" t="str">
        <f t="array" ref="Q286">IF(AND(SUMPRODUCT((IM!$F$2:$F$5000=A286)*(ISNUMBER(SEARCH(勤務統計!$D$1, IM!$AC$2:$AC$5000))))&gt;0), 勤務統計!$D$1, "")</f>
        <v/>
      </c>
      <c r="R286" s="405" t="str">
        <f t="array" ref="R286">IFERROR(INDEX(IM!$AM$2:$AM$5000, MATCH(1, (IM!$F$2:$F$5000=A286) * (ISNUMBER(SEARCH(勤務統計!$D$1, IM!$AC$2:$AC$5000))), 0)), "")</f>
        <v/>
      </c>
      <c r="S286" s="406" t="str" cm="1">
        <f t="array" ref="S286">IF(AND(SUMPRODUCT((IM!$F$2:$F$5000=A286)*(ISNUMBER(SEARCH(勤務統計!$E$1, IM!$AC$2:$AC$5000))))&gt;0), 勤務統計!$E$1, "")</f>
        <v/>
      </c>
      <c r="T286" s="405" t="str">
        <f t="array" ref="T286">IFERROR(INDEX(IM!$AM$2:$AM$5000, MATCH(1, (IM!$F$2:$F$5000=A286) * (ISNUMBER(SEARCH(勤務統計!$E$1, IM!$AC$2:$AC$5000))), 0)), "")</f>
        <v/>
      </c>
      <c r="U286" s="406" t="str" cm="1">
        <f t="array" ref="U286">IF(AND(SUMPRODUCT((IM!$F$2:$F$5000=A286)*(ISNUMBER(SEARCH(勤務統計!$F$1, IM!$AC$2:$AC$5000))))&gt;0), 勤務統計!$F$1, "")</f>
        <v/>
      </c>
      <c r="V286" s="405" t="str">
        <f t="array" ref="V286">IFERROR(INDEX(IM!$AM$2:$AM$5000, MATCH(1, (IM!$F$2:$F$5000=A286) * (ISNUMBER(SEARCH(勤務統計!$F$1, IM!$AC$2:$AC$5000))), 0)), "")</f>
        <v/>
      </c>
      <c r="W286" s="436" t="str">
        <f>IF(VLOOKUP(A286,'0919門市清單主檔'!B:AC,28,FALSE)=0,"",VLOOKUP(A286,'0919門市清單主檔'!B:AC,28,FALSE))</f>
        <v/>
      </c>
    </row>
    <row r="287" spans="1:23" ht="21.6" customHeight="1">
      <c r="A287" s="409">
        <v>5430</v>
      </c>
      <c r="B287" s="409" t="str">
        <f>VLOOKUP(A287,'0919門市清單主檔'!B:C,2,FALSE)</f>
        <v>蘆洲河上洲</v>
      </c>
      <c r="C287" s="409" t="str">
        <f>VLOOKUP($A287,'0919門市清單主檔'!B:V,20,FALSE)</f>
        <v>新北市</v>
      </c>
      <c r="D287" s="409" t="str">
        <f>VLOOKUP($A287,'0919門市清單主檔'!B:V,21,FALSE)</f>
        <v>蘆洲區</v>
      </c>
      <c r="E287" s="397" t="str">
        <f>VLOOKUP(D287,門市狀態!G:H,2,FALSE)</f>
        <v>湯家瑋</v>
      </c>
      <c r="F287" s="409" t="str">
        <f>IFERROR(IF(VLOOKUP(A287,門市狀態!A:D,4,FALSE)=0,"",VLOOKUP(A287,門市狀態!A:D,4,FALSE)),"")</f>
        <v/>
      </c>
      <c r="G287" s="409"/>
      <c r="H287" s="411" t="str">
        <f>IF(I287&gt;0,(TEXT(I287,"yyyymmdd")&amp;勤務統計!$V$2&amp;A287&amp;勤務統計!$V$2&amp;B287&amp;勤務統計!$S$2),"")</f>
        <v>-5430-蘆洲河上洲(定保)</v>
      </c>
      <c r="I287" s="247" t="str">
        <f t="array" ref="I287">IF(AND(SUMPRODUCT((IM!$F$2:$F$5000=A287)*(ISNUMBER(SEARCH(勤務統計!$C$1, IM!$AC$2:$AC$5000))))&gt;0), 勤務統計!$C$1, "")</f>
        <v/>
      </c>
      <c r="J287" s="399" t="str">
        <f t="array" ref="J287">IFERROR(INDEX(IM!$AM$2:$AM$5000, MATCH(1, (IM!$F$2:$F$5000=A287) * (ISNUMBER(SEARCH(勤務統計!$C$1, IM!$AC$2:$AC$5000))), 0)), "")</f>
        <v/>
      </c>
      <c r="K287" s="400">
        <f t="array" ref="K287">SUMPRODUCT((IM!$F$2:$F$5000=A287)*(IM!$AD$2:$AD$5000="O")*(ISNUMBER(SEARCH(勤務統計!$C$1, IM!$AC$2:$AC$5000))))</f>
        <v>0</v>
      </c>
      <c r="L287" s="401" t="str">
        <f t="array" ref="L287">IF(K287&gt;0,IFERROR(HYPERLINK("#'IM'!AC"&amp;MATCH(1,(IM!$F$1:$F$5000=A287)*(ISNUMBER(SEARCH(勤務統計!$C$1,IM!$AC$1:$AC$5000))),0),"檢核"),"未登錄"),"")</f>
        <v/>
      </c>
      <c r="M287" s="402" t="str">
        <f t="shared" si="4"/>
        <v/>
      </c>
      <c r="N287" s="402" t="str">
        <f t="array" ref="N287">IF(AND(
    SUMPRODUCT(
        (IM!$F$2:$F$522=A287) *
        ISNUMBER(SEARCH("*HUB*", IM!$AC$2:$AC$522)) *
        (IM!$X$2:$X$522&gt;=勤務統計!$A$1) *
        (IM!$X$2:$X$522&lt;=勤務統計!$B$1)*(W287="HUB")
    ) &gt; 0
), "HUB", "")</f>
        <v/>
      </c>
      <c r="O287" s="400" t="str">
        <f>IF(
  IFERROR(VLOOKUP(A287,勤務統計!A:I,9,FALSE),"")&lt;&gt;勤務統計!$C$1,
  "未完工",
  IF(
    AND(勤務統計!$D$1="--",勤務統計!$E$1="--",勤務統計!$F$1="--"),
    "已完工",
    IF(
      OR(
        AND(勤務統計!$D$1&lt;&gt;"--", IFERROR(VLOOKUP(A287,'0919門市清單主檔'!B:AH,31,FALSE),"")=勤務統計!$D$1, IFERROR(VLOOKUP(A287,勤務統計!A:Q,17,FALSE),"")&lt;&gt;勤務統計!$D$1),
        AND(勤務統計!$E$1&lt;&gt;"--", IFERROR(VLOOKUP(A287,'0919門市清單主檔'!B:AH,32,FALSE),"")=勤務統計!$E$1, IFERROR(VLOOKUP(A287,勤務統計!A:S,19,FALSE),"")&lt;&gt;勤務統計!$E$1),
        AND(勤務統計!$F$1&lt;&gt;"--", IFERROR(VLOOKUP(A287,'0919門市清單主檔'!B:AH,33,FALSE),"")=勤務統計!$F$1, IFERROR(VLOOKUP(A287,勤務統計!A:U,21,FALSE),"")&lt;&gt;勤務統計!$F$1),
        AND(IFERROR(VLOOKUP(A287,'0919門市清單主檔'!B:AH,28,FALSE),"")="HUB", IFERROR(VLOOKUP(A287,勤務統計!A:W,23,FALSE),"")&lt;&gt;"HUB")
      ),
      _xlfn.TEXTJOIN(
        "，",
        TRUE,
        IF(AND(勤務統計!$D$1&lt;&gt;"--", IFERROR(VLOOKUP(A287,'0919門市清單主檔'!B:AH,31,FALSE),"")=勤務統計!$D$1, IFERROR(VLOOKUP(A287,勤務統計!A:Q,17,FALSE),"")&lt;&gt;勤務統計!$D$1), 勤務統計!$D$1, ""),
        IF(AND(勤務統計!$E$1&lt;&gt;"--", IFERROR(VLOOKUP(A287,'0919門市清單主檔'!B:AH,32,FALSE),"")=勤務統計!$E$1, IFERROR(VLOOKUP(A287,勤務統計!A:S,19,FALSE),"")&lt;&gt;勤務統計!$E$1), 勤務統計!$E$1, ""),
        IF(AND(勤務統計!$F$1&lt;&gt;"--", IFERROR(VLOOKUP(A287,'0919門市清單主檔'!B:AH,33,FALSE),"")=勤務統計!$F$1, IFERROR(VLOOKUP(A287,勤務統計!A:U,21,FALSE),"")&lt;&gt;勤務統計!$F$1), 勤務統計!$F$1, ""),
        IF(AND(IFERROR(VLOOKUP(A287,'0919門市清單主檔'!B:AH,28,FALSE),"")="HUB", IFERROR(VLOOKUP(A287,勤務統計!A:W,23,FALSE),"")&lt;&gt;"HUB"), "HUB", "")
      ) &amp; "未完工",
      "已完工"
    )
  )
)</f>
        <v>未完工</v>
      </c>
      <c r="P287" s="435" t="str">
        <f>(TEXT(I287,"yyyymmdd"))&amp;勤務統計!$V$2&amp;A287&amp;勤務統計!$V$2&amp;B287&amp;勤務統計!$S$2</f>
        <v>-5430-蘆洲河上洲(定保)</v>
      </c>
      <c r="Q287" s="404" t="str">
        <f t="array" ref="Q287">IF(AND(SUMPRODUCT((IM!$F$2:$F$5000=A287)*(ISNUMBER(SEARCH(勤務統計!$D$1, IM!$AC$2:$AC$5000))))&gt;0), 勤務統計!$D$1, "")</f>
        <v/>
      </c>
      <c r="R287" s="405" t="str">
        <f t="array" ref="R287">IFERROR(INDEX(IM!$AM$2:$AM$5000, MATCH(1, (IM!$F$2:$F$5000=A287) * (ISNUMBER(SEARCH(勤務統計!$D$1, IM!$AC$2:$AC$5000))), 0)), "")</f>
        <v/>
      </c>
      <c r="S287" s="406" t="str" cm="1">
        <f t="array" ref="S287">IF(AND(SUMPRODUCT((IM!$F$2:$F$5000=A287)*(ISNUMBER(SEARCH(勤務統計!$E$1, IM!$AC$2:$AC$5000))))&gt;0), 勤務統計!$E$1, "")</f>
        <v/>
      </c>
      <c r="T287" s="405" t="str">
        <f t="array" ref="T287">IFERROR(INDEX(IM!$AM$2:$AM$5000, MATCH(1, (IM!$F$2:$F$5000=A287) * (ISNUMBER(SEARCH(勤務統計!$E$1, IM!$AC$2:$AC$5000))), 0)), "")</f>
        <v/>
      </c>
      <c r="U287" s="406" t="str" cm="1">
        <f t="array" ref="U287">IF(AND(SUMPRODUCT((IM!$F$2:$F$5000=A287)*(ISNUMBER(SEARCH(勤務統計!$F$1, IM!$AC$2:$AC$5000))))&gt;0), 勤務統計!$F$1, "")</f>
        <v/>
      </c>
      <c r="V287" s="405" t="str">
        <f t="array" ref="V287">IFERROR(INDEX(IM!$AM$2:$AM$5000, MATCH(1, (IM!$F$2:$F$5000=A287) * (ISNUMBER(SEARCH(勤務統計!$F$1, IM!$AC$2:$AC$5000))), 0)), "")</f>
        <v/>
      </c>
      <c r="W287" s="436" t="str">
        <f>IF(VLOOKUP(A287,'0919門市清單主檔'!B:AC,28,FALSE)=0,"",VLOOKUP(A287,'0919門市清單主檔'!B:AC,28,FALSE))</f>
        <v/>
      </c>
    </row>
    <row r="288" spans="1:23" ht="21.6" customHeight="1">
      <c r="A288" s="409">
        <v>5491</v>
      </c>
      <c r="B288" s="409" t="str">
        <f>VLOOKUP(A288,'0919門市清單主檔'!B:C,2,FALSE)</f>
        <v>三重向日葵</v>
      </c>
      <c r="C288" s="409" t="str">
        <f>VLOOKUP($A288,'0919門市清單主檔'!B:V,20,FALSE)</f>
        <v>新北市</v>
      </c>
      <c r="D288" s="409" t="str">
        <f>VLOOKUP($A288,'0919門市清單主檔'!B:V,21,FALSE)</f>
        <v>三重區</v>
      </c>
      <c r="E288" s="397" t="str">
        <f>VLOOKUP(D288,門市狀態!G:H,2,FALSE)</f>
        <v>劉柏均</v>
      </c>
      <c r="F288" s="409" t="str">
        <f>IFERROR(IF(VLOOKUP(A288,門市狀態!A:D,4,FALSE)=0,"",VLOOKUP(A288,門市狀態!A:D,4,FALSE)),"")</f>
        <v>新開</v>
      </c>
      <c r="G288" s="409"/>
      <c r="H288" s="411" t="str">
        <f>IF(I288&gt;0,(TEXT(I288,"yyyymmdd")&amp;勤務統計!$V$2&amp;A288&amp;勤務統計!$V$2&amp;B288&amp;勤務統計!$S$2),"")</f>
        <v>-5491-三重向日葵(定保)</v>
      </c>
      <c r="I288" s="247" t="str">
        <f t="array" ref="I288">IF(AND(SUMPRODUCT((IM!$F$2:$F$5000=A288)*(ISNUMBER(SEARCH(勤務統計!$C$1, IM!$AC$2:$AC$5000))))&gt;0), 勤務統計!$C$1, "")</f>
        <v/>
      </c>
      <c r="J288" s="399" t="str">
        <f t="array" ref="J288">IFERROR(INDEX(IM!$AM$2:$AM$5000, MATCH(1, (IM!$F$2:$F$5000=A288) * (ISNUMBER(SEARCH(勤務統計!$C$1, IM!$AC$2:$AC$5000))), 0)), "")</f>
        <v/>
      </c>
      <c r="K288" s="400">
        <f t="array" ref="K288">SUMPRODUCT((IM!$F$2:$F$5000=A288)*(IM!$AD$2:$AD$5000="O")*(ISNUMBER(SEARCH(勤務統計!$C$1, IM!$AC$2:$AC$5000))))</f>
        <v>0</v>
      </c>
      <c r="L288" s="401" t="str">
        <f t="array" ref="L288">IF(K288&gt;0,IFERROR(HYPERLINK("#'IM'!AC"&amp;MATCH(1,(IM!$F$1:$F$5000=A288)*(ISNUMBER(SEARCH(勤務統計!$C$1,IM!$AC$1:$AC$5000))),0),"檢核"),"未登錄"),"")</f>
        <v/>
      </c>
      <c r="M288" s="402" t="str">
        <f t="shared" si="4"/>
        <v/>
      </c>
      <c r="N288" s="402" t="str">
        <f t="array" ref="N288">IF(AND(
    SUMPRODUCT(
        (IM!$F$2:$F$522=A288) *
        ISNUMBER(SEARCH("*HUB*", IM!$AC$2:$AC$522)) *
        (IM!$X$2:$X$522&gt;=勤務統計!$A$1) *
        (IM!$X$2:$X$522&lt;=勤務統計!$B$1)*(W288="HUB")
    ) &gt; 0
), "HUB", "")</f>
        <v/>
      </c>
      <c r="O288" s="400" t="str">
        <f>IF(
  IFERROR(VLOOKUP(A288,勤務統計!A:I,9,FALSE),"")&lt;&gt;勤務統計!$C$1,
  "未完工",
  IF(
    AND(勤務統計!$D$1="--",勤務統計!$E$1="--",勤務統計!$F$1="--"),
    "已完工",
    IF(
      OR(
        AND(勤務統計!$D$1&lt;&gt;"--", IFERROR(VLOOKUP(A288,'0919門市清單主檔'!B:AH,31,FALSE),"")=勤務統計!$D$1, IFERROR(VLOOKUP(A288,勤務統計!A:Q,17,FALSE),"")&lt;&gt;勤務統計!$D$1),
        AND(勤務統計!$E$1&lt;&gt;"--", IFERROR(VLOOKUP(A288,'0919門市清單主檔'!B:AH,32,FALSE),"")=勤務統計!$E$1, IFERROR(VLOOKUP(A288,勤務統計!A:S,19,FALSE),"")&lt;&gt;勤務統計!$E$1),
        AND(勤務統計!$F$1&lt;&gt;"--", IFERROR(VLOOKUP(A288,'0919門市清單主檔'!B:AH,33,FALSE),"")=勤務統計!$F$1, IFERROR(VLOOKUP(A288,勤務統計!A:U,21,FALSE),"")&lt;&gt;勤務統計!$F$1),
        AND(IFERROR(VLOOKUP(A288,'0919門市清單主檔'!B:AH,28,FALSE),"")="HUB", IFERROR(VLOOKUP(A288,勤務統計!A:W,23,FALSE),"")&lt;&gt;"HUB")
      ),
      _xlfn.TEXTJOIN(
        "，",
        TRUE,
        IF(AND(勤務統計!$D$1&lt;&gt;"--", IFERROR(VLOOKUP(A288,'0919門市清單主檔'!B:AH,31,FALSE),"")=勤務統計!$D$1, IFERROR(VLOOKUP(A288,勤務統計!A:Q,17,FALSE),"")&lt;&gt;勤務統計!$D$1), 勤務統計!$D$1, ""),
        IF(AND(勤務統計!$E$1&lt;&gt;"--", IFERROR(VLOOKUP(A288,'0919門市清單主檔'!B:AH,32,FALSE),"")=勤務統計!$E$1, IFERROR(VLOOKUP(A288,勤務統計!A:S,19,FALSE),"")&lt;&gt;勤務統計!$E$1), 勤務統計!$E$1, ""),
        IF(AND(勤務統計!$F$1&lt;&gt;"--", IFERROR(VLOOKUP(A288,'0919門市清單主檔'!B:AH,33,FALSE),"")=勤務統計!$F$1, IFERROR(VLOOKUP(A288,勤務統計!A:U,21,FALSE),"")&lt;&gt;勤務統計!$F$1), 勤務統計!$F$1, ""),
        IF(AND(IFERROR(VLOOKUP(A288,'0919門市清單主檔'!B:AH,28,FALSE),"")="HUB", IFERROR(VLOOKUP(A288,勤務統計!A:W,23,FALSE),"")&lt;&gt;"HUB"), "HUB", "")
      ) &amp; "未完工",
      "已完工"
    )
  )
)</f>
        <v>未完工</v>
      </c>
      <c r="P288" s="435" t="str">
        <f>(TEXT(I288,"yyyymmdd"))&amp;勤務統計!$V$2&amp;A288&amp;勤務統計!$V$2&amp;B288&amp;勤務統計!$S$2</f>
        <v>-5491-三重向日葵(定保)</v>
      </c>
      <c r="Q288" s="404" t="str">
        <f t="array" ref="Q288">IF(AND(SUMPRODUCT((IM!$F$2:$F$5000=A288)*(ISNUMBER(SEARCH(勤務統計!$D$1, IM!$AC$2:$AC$5000))))&gt;0), 勤務統計!$D$1, "")</f>
        <v/>
      </c>
      <c r="R288" s="405" t="str">
        <f t="array" ref="R288">IFERROR(INDEX(IM!$AM$2:$AM$5000, MATCH(1, (IM!$F$2:$F$5000=A288) * (ISNUMBER(SEARCH(勤務統計!$D$1, IM!$AC$2:$AC$5000))), 0)), "")</f>
        <v/>
      </c>
      <c r="S288" s="406" t="str" cm="1">
        <f t="array" ref="S288">IF(AND(SUMPRODUCT((IM!$F$2:$F$5000=A288)*(ISNUMBER(SEARCH(勤務統計!$E$1, IM!$AC$2:$AC$5000))))&gt;0), 勤務統計!$E$1, "")</f>
        <v/>
      </c>
      <c r="T288" s="405" t="str">
        <f t="array" ref="T288">IFERROR(INDEX(IM!$AM$2:$AM$5000, MATCH(1, (IM!$F$2:$F$5000=A288) * (ISNUMBER(SEARCH(勤務統計!$E$1, IM!$AC$2:$AC$5000))), 0)), "")</f>
        <v/>
      </c>
      <c r="U288" s="406" t="str" cm="1">
        <f t="array" ref="U288">IF(AND(SUMPRODUCT((IM!$F$2:$F$5000=A288)*(ISNUMBER(SEARCH(勤務統計!$F$1, IM!$AC$2:$AC$5000))))&gt;0), 勤務統計!$F$1, "")</f>
        <v/>
      </c>
      <c r="V288" s="405" t="str">
        <f t="array" ref="V288">IFERROR(INDEX(IM!$AM$2:$AM$5000, MATCH(1, (IM!$F$2:$F$5000=A288) * (ISNUMBER(SEARCH(勤務統計!$F$1, IM!$AC$2:$AC$5000))), 0)), "")</f>
        <v/>
      </c>
      <c r="W288" s="436" t="str">
        <f>IF(VLOOKUP(A288,'0919門市清單主檔'!B:AC,28,FALSE)=0,"",VLOOKUP(A288,'0919門市清單主檔'!B:AC,28,FALSE))</f>
        <v/>
      </c>
    </row>
    <row r="289" spans="1:23" ht="21.6" customHeight="1">
      <c r="A289" s="409">
        <v>5377</v>
      </c>
      <c r="B289" s="409" t="str">
        <f>VLOOKUP(A289,'0919門市清單主檔'!B:C,2,FALSE)</f>
        <v>三重大智店</v>
      </c>
      <c r="C289" s="409" t="str">
        <f>VLOOKUP($A289,'0919門市清單主檔'!B:V,20,FALSE)</f>
        <v>新北市</v>
      </c>
      <c r="D289" s="409" t="str">
        <f>VLOOKUP($A289,'0919門市清單主檔'!B:V,21,FALSE)</f>
        <v>三重區</v>
      </c>
      <c r="E289" s="397" t="str">
        <f>VLOOKUP(D289,門市狀態!G:H,2,FALSE)</f>
        <v>劉柏均</v>
      </c>
      <c r="F289" s="409" t="str">
        <f>IFERROR(IF(VLOOKUP(A289,門市狀態!A:D,4,FALSE)=0,"",VLOOKUP(A289,門市狀態!A:D,4,FALSE)),"")</f>
        <v/>
      </c>
      <c r="G289" s="409"/>
      <c r="H289" s="411" t="str">
        <f>IF(I289&gt;0,(TEXT(I289,"yyyymmdd")&amp;勤務統計!$V$2&amp;A289&amp;勤務統計!$V$2&amp;B289&amp;勤務統計!$S$2),"")</f>
        <v>-5377-三重大智店(定保)</v>
      </c>
      <c r="I289" s="247" t="str">
        <f t="array" ref="I289">IF(AND(SUMPRODUCT((IM!$F$2:$F$5000=A289)*(ISNUMBER(SEARCH(勤務統計!$C$1, IM!$AC$2:$AC$5000))))&gt;0), 勤務統計!$C$1, "")</f>
        <v/>
      </c>
      <c r="J289" s="399" t="str">
        <f t="array" ref="J289">IFERROR(INDEX(IM!$AM$2:$AM$5000, MATCH(1, (IM!$F$2:$F$5000=A289) * (ISNUMBER(SEARCH(勤務統計!$C$1, IM!$AC$2:$AC$5000))), 0)), "")</f>
        <v/>
      </c>
      <c r="K289" s="400">
        <f t="array" ref="K289">SUMPRODUCT((IM!$F$2:$F$5000=A289)*(IM!$AD$2:$AD$5000="O")*(ISNUMBER(SEARCH(勤務統計!$C$1, IM!$AC$2:$AC$5000))))</f>
        <v>0</v>
      </c>
      <c r="L289" s="401" t="str">
        <f t="array" ref="L289">IF(K289&gt;0,IFERROR(HYPERLINK("#'IM'!AC"&amp;MATCH(1,(IM!$F$1:$F$5000=A289)*(ISNUMBER(SEARCH(勤務統計!$C$1,IM!$AC$1:$AC$5000))),0),"檢核"),"未登錄"),"")</f>
        <v/>
      </c>
      <c r="M289" s="402" t="str">
        <f t="shared" si="4"/>
        <v/>
      </c>
      <c r="N289" s="402" t="str">
        <f t="array" ref="N289">IF(AND(
    SUMPRODUCT(
        (IM!$F$2:$F$522=A289) *
        ISNUMBER(SEARCH("*HUB*", IM!$AC$2:$AC$522)) *
        (IM!$X$2:$X$522&gt;=勤務統計!$A$1) *
        (IM!$X$2:$X$522&lt;=勤務統計!$B$1)*(W289="HUB")
    ) &gt; 0
), "HUB", "")</f>
        <v/>
      </c>
      <c r="O289" s="400" t="str">
        <f>IF(
  IFERROR(VLOOKUP(A289,勤務統計!A:I,9,FALSE),"")&lt;&gt;勤務統計!$C$1,
  "未完工",
  IF(
    AND(勤務統計!$D$1="--",勤務統計!$E$1="--",勤務統計!$F$1="--"),
    "已完工",
    IF(
      OR(
        AND(勤務統計!$D$1&lt;&gt;"--", IFERROR(VLOOKUP(A289,'0919門市清單主檔'!B:AH,31,FALSE),"")=勤務統計!$D$1, IFERROR(VLOOKUP(A289,勤務統計!A:Q,17,FALSE),"")&lt;&gt;勤務統計!$D$1),
        AND(勤務統計!$E$1&lt;&gt;"--", IFERROR(VLOOKUP(A289,'0919門市清單主檔'!B:AH,32,FALSE),"")=勤務統計!$E$1, IFERROR(VLOOKUP(A289,勤務統計!A:S,19,FALSE),"")&lt;&gt;勤務統計!$E$1),
        AND(勤務統計!$F$1&lt;&gt;"--", IFERROR(VLOOKUP(A289,'0919門市清單主檔'!B:AH,33,FALSE),"")=勤務統計!$F$1, IFERROR(VLOOKUP(A289,勤務統計!A:U,21,FALSE),"")&lt;&gt;勤務統計!$F$1),
        AND(IFERROR(VLOOKUP(A289,'0919門市清單主檔'!B:AH,28,FALSE),"")="HUB", IFERROR(VLOOKUP(A289,勤務統計!A:W,23,FALSE),"")&lt;&gt;"HUB")
      ),
      _xlfn.TEXTJOIN(
        "，",
        TRUE,
        IF(AND(勤務統計!$D$1&lt;&gt;"--", IFERROR(VLOOKUP(A289,'0919門市清單主檔'!B:AH,31,FALSE),"")=勤務統計!$D$1, IFERROR(VLOOKUP(A289,勤務統計!A:Q,17,FALSE),"")&lt;&gt;勤務統計!$D$1), 勤務統計!$D$1, ""),
        IF(AND(勤務統計!$E$1&lt;&gt;"--", IFERROR(VLOOKUP(A289,'0919門市清單主檔'!B:AH,32,FALSE),"")=勤務統計!$E$1, IFERROR(VLOOKUP(A289,勤務統計!A:S,19,FALSE),"")&lt;&gt;勤務統計!$E$1), 勤務統計!$E$1, ""),
        IF(AND(勤務統計!$F$1&lt;&gt;"--", IFERROR(VLOOKUP(A289,'0919門市清單主檔'!B:AH,33,FALSE),"")=勤務統計!$F$1, IFERROR(VLOOKUP(A289,勤務統計!A:U,21,FALSE),"")&lt;&gt;勤務統計!$F$1), 勤務統計!$F$1, ""),
        IF(AND(IFERROR(VLOOKUP(A289,'0919門市清單主檔'!B:AH,28,FALSE),"")="HUB", IFERROR(VLOOKUP(A289,勤務統計!A:W,23,FALSE),"")&lt;&gt;"HUB"), "HUB", "")
      ) &amp; "未完工",
      "已完工"
    )
  )
)</f>
        <v>未完工</v>
      </c>
      <c r="P289" s="435" t="str">
        <f>(TEXT(I289,"yyyymmdd"))&amp;勤務統計!$V$2&amp;A289&amp;勤務統計!$V$2&amp;B289&amp;勤務統計!$S$2</f>
        <v>-5377-三重大智店(定保)</v>
      </c>
      <c r="Q289" s="404" t="str">
        <f t="array" ref="Q289">IF(AND(SUMPRODUCT((IM!$F$2:$F$5000=A289)*(ISNUMBER(SEARCH(勤務統計!$D$1, IM!$AC$2:$AC$5000))))&gt;0), 勤務統計!$D$1, "")</f>
        <v/>
      </c>
      <c r="R289" s="405" t="str">
        <f t="array" ref="R289">IFERROR(INDEX(IM!$AM$2:$AM$5000, MATCH(1, (IM!$F$2:$F$5000=A289) * (ISNUMBER(SEARCH(勤務統計!$D$1, IM!$AC$2:$AC$5000))), 0)), "")</f>
        <v/>
      </c>
      <c r="S289" s="406" t="str" cm="1">
        <f t="array" ref="S289">IF(AND(SUMPRODUCT((IM!$F$2:$F$5000=A289)*(ISNUMBER(SEARCH(勤務統計!$E$1, IM!$AC$2:$AC$5000))))&gt;0), 勤務統計!$E$1, "")</f>
        <v/>
      </c>
      <c r="T289" s="405" t="str">
        <f t="array" ref="T289">IFERROR(INDEX(IM!$AM$2:$AM$5000, MATCH(1, (IM!$F$2:$F$5000=A289) * (ISNUMBER(SEARCH(勤務統計!$E$1, IM!$AC$2:$AC$5000))), 0)), "")</f>
        <v/>
      </c>
      <c r="U289" s="406" t="str" cm="1">
        <f t="array" ref="U289">IF(AND(SUMPRODUCT((IM!$F$2:$F$5000=A289)*(ISNUMBER(SEARCH(勤務統計!$F$1, IM!$AC$2:$AC$5000))))&gt;0), 勤務統計!$F$1, "")</f>
        <v/>
      </c>
      <c r="V289" s="405" t="str">
        <f t="array" ref="V289">IFERROR(INDEX(IM!$AM$2:$AM$5000, MATCH(1, (IM!$F$2:$F$5000=A289) * (ISNUMBER(SEARCH(勤務統計!$F$1, IM!$AC$2:$AC$5000))), 0)), "")</f>
        <v/>
      </c>
      <c r="W289" s="436" t="str">
        <f>IF(VLOOKUP(A289,'0919門市清單主檔'!B:AC,28,FALSE)=0,"",VLOOKUP(A289,'0919門市清單主檔'!B:AC,28,FALSE))</f>
        <v/>
      </c>
    </row>
    <row r="290" spans="1:23" ht="21.6" customHeight="1">
      <c r="A290" s="409">
        <v>5410</v>
      </c>
      <c r="B290" s="409" t="str">
        <f>VLOOKUP(A290,'0919門市清單主檔'!B:C,2,FALSE)</f>
        <v>三重力行店</v>
      </c>
      <c r="C290" s="409" t="str">
        <f>VLOOKUP($A290,'0919門市清單主檔'!B:V,20,FALSE)</f>
        <v>新北市</v>
      </c>
      <c r="D290" s="409" t="str">
        <f>VLOOKUP($A290,'0919門市清單主檔'!B:V,21,FALSE)</f>
        <v>三重區</v>
      </c>
      <c r="E290" s="397" t="str">
        <f>VLOOKUP(D290,門市狀態!G:H,2,FALSE)</f>
        <v>劉柏均</v>
      </c>
      <c r="F290" s="409" t="str">
        <f>IFERROR(IF(VLOOKUP(A290,門市狀態!A:D,4,FALSE)=0,"",VLOOKUP(A290,門市狀態!A:D,4,FALSE)),"")</f>
        <v/>
      </c>
      <c r="G290" s="409"/>
      <c r="H290" s="411" t="str">
        <f>IF(I290&gt;0,(TEXT(I290,"yyyymmdd")&amp;勤務統計!$V$2&amp;A290&amp;勤務統計!$V$2&amp;B290&amp;勤務統計!$S$2),"")</f>
        <v>-5410-三重力行店(定保)</v>
      </c>
      <c r="I290" s="247" t="str">
        <f t="array" ref="I290">IF(AND(SUMPRODUCT((IM!$F$2:$F$5000=A290)*(ISNUMBER(SEARCH(勤務統計!$C$1, IM!$AC$2:$AC$5000))))&gt;0), 勤務統計!$C$1, "")</f>
        <v/>
      </c>
      <c r="J290" s="399" t="str">
        <f t="array" ref="J290">IFERROR(INDEX(IM!$AM$2:$AM$5000, MATCH(1, (IM!$F$2:$F$5000=A290) * (ISNUMBER(SEARCH(勤務統計!$C$1, IM!$AC$2:$AC$5000))), 0)), "")</f>
        <v/>
      </c>
      <c r="K290" s="400">
        <f t="array" ref="K290">SUMPRODUCT((IM!$F$2:$F$5000=A290)*(IM!$AD$2:$AD$5000="O")*(ISNUMBER(SEARCH(勤務統計!$C$1, IM!$AC$2:$AC$5000))))</f>
        <v>0</v>
      </c>
      <c r="L290" s="401" t="str">
        <f t="array" ref="L290">IF(K290&gt;0,IFERROR(HYPERLINK("#'IM'!AC"&amp;MATCH(1,(IM!$F$1:$F$5000=A290)*(ISNUMBER(SEARCH(勤務統計!$C$1,IM!$AC$1:$AC$5000))),0),"檢核"),"未登錄"),"")</f>
        <v/>
      </c>
      <c r="M290" s="402" t="str">
        <f t="shared" si="4"/>
        <v/>
      </c>
      <c r="N290" s="402" t="str">
        <f t="array" ref="N290">IF(AND(
    SUMPRODUCT(
        (IM!$F$2:$F$522=A290) *
        ISNUMBER(SEARCH("*HUB*", IM!$AC$2:$AC$522)) *
        (IM!$X$2:$X$522&gt;=勤務統計!$A$1) *
        (IM!$X$2:$X$522&lt;=勤務統計!$B$1)*(W290="HUB")
    ) &gt; 0
), "HUB", "")</f>
        <v/>
      </c>
      <c r="O290" s="400" t="str">
        <f>IF(
  IFERROR(VLOOKUP(A290,勤務統計!A:I,9,FALSE),"")&lt;&gt;勤務統計!$C$1,
  "未完工",
  IF(
    AND(勤務統計!$D$1="--",勤務統計!$E$1="--",勤務統計!$F$1="--"),
    "已完工",
    IF(
      OR(
        AND(勤務統計!$D$1&lt;&gt;"--", IFERROR(VLOOKUP(A290,'0919門市清單主檔'!B:AH,31,FALSE),"")=勤務統計!$D$1, IFERROR(VLOOKUP(A290,勤務統計!A:Q,17,FALSE),"")&lt;&gt;勤務統計!$D$1),
        AND(勤務統計!$E$1&lt;&gt;"--", IFERROR(VLOOKUP(A290,'0919門市清單主檔'!B:AH,32,FALSE),"")=勤務統計!$E$1, IFERROR(VLOOKUP(A290,勤務統計!A:S,19,FALSE),"")&lt;&gt;勤務統計!$E$1),
        AND(勤務統計!$F$1&lt;&gt;"--", IFERROR(VLOOKUP(A290,'0919門市清單主檔'!B:AH,33,FALSE),"")=勤務統計!$F$1, IFERROR(VLOOKUP(A290,勤務統計!A:U,21,FALSE),"")&lt;&gt;勤務統計!$F$1),
        AND(IFERROR(VLOOKUP(A290,'0919門市清單主檔'!B:AH,28,FALSE),"")="HUB", IFERROR(VLOOKUP(A290,勤務統計!A:W,23,FALSE),"")&lt;&gt;"HUB")
      ),
      _xlfn.TEXTJOIN(
        "，",
        TRUE,
        IF(AND(勤務統計!$D$1&lt;&gt;"--", IFERROR(VLOOKUP(A290,'0919門市清單主檔'!B:AH,31,FALSE),"")=勤務統計!$D$1, IFERROR(VLOOKUP(A290,勤務統計!A:Q,17,FALSE),"")&lt;&gt;勤務統計!$D$1), 勤務統計!$D$1, ""),
        IF(AND(勤務統計!$E$1&lt;&gt;"--", IFERROR(VLOOKUP(A290,'0919門市清單主檔'!B:AH,32,FALSE),"")=勤務統計!$E$1, IFERROR(VLOOKUP(A290,勤務統計!A:S,19,FALSE),"")&lt;&gt;勤務統計!$E$1), 勤務統計!$E$1, ""),
        IF(AND(勤務統計!$F$1&lt;&gt;"--", IFERROR(VLOOKUP(A290,'0919門市清單主檔'!B:AH,33,FALSE),"")=勤務統計!$F$1, IFERROR(VLOOKUP(A290,勤務統計!A:U,21,FALSE),"")&lt;&gt;勤務統計!$F$1), 勤務統計!$F$1, ""),
        IF(AND(IFERROR(VLOOKUP(A290,'0919門市清單主檔'!B:AH,28,FALSE),"")="HUB", IFERROR(VLOOKUP(A290,勤務統計!A:W,23,FALSE),"")&lt;&gt;"HUB"), "HUB", "")
      ) &amp; "未完工",
      "已完工"
    )
  )
)</f>
        <v>未完工</v>
      </c>
      <c r="P290" s="435" t="str">
        <f>(TEXT(I290,"yyyymmdd"))&amp;勤務統計!$V$2&amp;A290&amp;勤務統計!$V$2&amp;B290&amp;勤務統計!$S$2</f>
        <v>-5410-三重力行店(定保)</v>
      </c>
      <c r="Q290" s="404" t="str">
        <f t="array" ref="Q290">IF(AND(SUMPRODUCT((IM!$F$2:$F$5000=A290)*(ISNUMBER(SEARCH(勤務統計!$D$1, IM!$AC$2:$AC$5000))))&gt;0), 勤務統計!$D$1, "")</f>
        <v/>
      </c>
      <c r="R290" s="405" t="str">
        <f t="array" ref="R290">IFERROR(INDEX(IM!$AM$2:$AM$5000, MATCH(1, (IM!$F$2:$F$5000=A290) * (ISNUMBER(SEARCH(勤務統計!$D$1, IM!$AC$2:$AC$5000))), 0)), "")</f>
        <v/>
      </c>
      <c r="S290" s="406" t="str" cm="1">
        <f t="array" ref="S290">IF(AND(SUMPRODUCT((IM!$F$2:$F$5000=A290)*(ISNUMBER(SEARCH(勤務統計!$E$1, IM!$AC$2:$AC$5000))))&gt;0), 勤務統計!$E$1, "")</f>
        <v/>
      </c>
      <c r="T290" s="405" t="str">
        <f t="array" ref="T290">IFERROR(INDEX(IM!$AM$2:$AM$5000, MATCH(1, (IM!$F$2:$F$5000=A290) * (ISNUMBER(SEARCH(勤務統計!$E$1, IM!$AC$2:$AC$5000))), 0)), "")</f>
        <v/>
      </c>
      <c r="U290" s="406" t="str" cm="1">
        <f t="array" ref="U290">IF(AND(SUMPRODUCT((IM!$F$2:$F$5000=A290)*(ISNUMBER(SEARCH(勤務統計!$F$1, IM!$AC$2:$AC$5000))))&gt;0), 勤務統計!$F$1, "")</f>
        <v/>
      </c>
      <c r="V290" s="405" t="str">
        <f t="array" ref="V290">IFERROR(INDEX(IM!$AM$2:$AM$5000, MATCH(1, (IM!$F$2:$F$5000=A290) * (ISNUMBER(SEARCH(勤務統計!$F$1, IM!$AC$2:$AC$5000))), 0)), "")</f>
        <v/>
      </c>
      <c r="W290" s="436" t="str">
        <f>IF(VLOOKUP(A290,'0919門市清單主檔'!B:AC,28,FALSE)=0,"",VLOOKUP(A290,'0919門市清單主檔'!B:AC,28,FALSE))</f>
        <v/>
      </c>
    </row>
    <row r="291" spans="1:23" ht="21.6" customHeight="1">
      <c r="A291" s="409">
        <v>2380</v>
      </c>
      <c r="B291" s="409" t="str">
        <f>VLOOKUP(A291,'0919門市清單主檔'!B:C,2,FALSE)</f>
        <v>永和樂華夜市</v>
      </c>
      <c r="C291" s="409" t="str">
        <f>VLOOKUP($A291,'0919門市清單主檔'!B:V,20,FALSE)</f>
        <v>新北市</v>
      </c>
      <c r="D291" s="409" t="str">
        <f>VLOOKUP($A291,'0919門市清單主檔'!B:V,21,FALSE)</f>
        <v>永和區</v>
      </c>
      <c r="E291" s="397" t="str">
        <f>VLOOKUP(D291,門市狀態!G:H,2,FALSE)</f>
        <v>劉柏均</v>
      </c>
      <c r="F291" s="409" t="str">
        <f>IFERROR(IF(VLOOKUP(A291,門市狀態!A:D,4,FALSE)=0,"",VLOOKUP(A291,門市狀態!A:D,4,FALSE)),"")</f>
        <v/>
      </c>
      <c r="G291" s="409"/>
      <c r="H291" s="411" t="str">
        <f>IF(I291&gt;0,(TEXT(I291,"yyyymmdd")&amp;勤務統計!$V$2&amp;A291&amp;勤務統計!$V$2&amp;B291&amp;勤務統計!$S$2),"")</f>
        <v>-2380-永和樂華夜市(定保)</v>
      </c>
      <c r="I291" s="247" t="str">
        <f t="array" ref="I291">IF(AND(SUMPRODUCT((IM!$F$2:$F$5000=A291)*(ISNUMBER(SEARCH(勤務統計!$C$1, IM!$AC$2:$AC$5000))))&gt;0), 勤務統計!$C$1, "")</f>
        <v/>
      </c>
      <c r="J291" s="399" t="str">
        <f t="array" ref="J291">IFERROR(INDEX(IM!$AM$2:$AM$5000, MATCH(1, (IM!$F$2:$F$5000=A291) * (ISNUMBER(SEARCH(勤務統計!$C$1, IM!$AC$2:$AC$5000))), 0)), "")</f>
        <v/>
      </c>
      <c r="K291" s="400">
        <f t="array" ref="K291">SUMPRODUCT((IM!$F$2:$F$5000=A291)*(IM!$AD$2:$AD$5000="O")*(ISNUMBER(SEARCH(勤務統計!$C$1, IM!$AC$2:$AC$5000))))</f>
        <v>0</v>
      </c>
      <c r="L291" s="401" t="str">
        <f t="array" ref="L291">IF(K291&gt;0,IFERROR(HYPERLINK("#'IM'!AC"&amp;MATCH(1,(IM!$F$1:$F$5000=A291)*(ISNUMBER(SEARCH(勤務統計!$C$1,IM!$AC$1:$AC$5000))),0),"檢核"),"未登錄"),"")</f>
        <v/>
      </c>
      <c r="M291" s="402" t="str">
        <f t="shared" si="4"/>
        <v/>
      </c>
      <c r="N291" s="402" t="str">
        <f t="array" ref="N291">IF(AND(
    SUMPRODUCT(
        (IM!$F$2:$F$522=A291) *
        ISNUMBER(SEARCH("*HUB*", IM!$AC$2:$AC$522)) *
        (IM!$X$2:$X$522&gt;=勤務統計!$A$1) *
        (IM!$X$2:$X$522&lt;=勤務統計!$B$1)*(W291="HUB")
    ) &gt; 0
), "HUB", "")</f>
        <v/>
      </c>
      <c r="O291" s="400" t="str">
        <f>IF(
  IFERROR(VLOOKUP(A291,勤務統計!A:I,9,FALSE),"")&lt;&gt;勤務統計!$C$1,
  "未完工",
  IF(
    AND(勤務統計!$D$1="--",勤務統計!$E$1="--",勤務統計!$F$1="--"),
    "已完工",
    IF(
      OR(
        AND(勤務統計!$D$1&lt;&gt;"--", IFERROR(VLOOKUP(A291,'0919門市清單主檔'!B:AH,31,FALSE),"")=勤務統計!$D$1, IFERROR(VLOOKUP(A291,勤務統計!A:Q,17,FALSE),"")&lt;&gt;勤務統計!$D$1),
        AND(勤務統計!$E$1&lt;&gt;"--", IFERROR(VLOOKUP(A291,'0919門市清單主檔'!B:AH,32,FALSE),"")=勤務統計!$E$1, IFERROR(VLOOKUP(A291,勤務統計!A:S,19,FALSE),"")&lt;&gt;勤務統計!$E$1),
        AND(勤務統計!$F$1&lt;&gt;"--", IFERROR(VLOOKUP(A291,'0919門市清單主檔'!B:AH,33,FALSE),"")=勤務統計!$F$1, IFERROR(VLOOKUP(A291,勤務統計!A:U,21,FALSE),"")&lt;&gt;勤務統計!$F$1),
        AND(IFERROR(VLOOKUP(A291,'0919門市清單主檔'!B:AH,28,FALSE),"")="HUB", IFERROR(VLOOKUP(A291,勤務統計!A:W,23,FALSE),"")&lt;&gt;"HUB")
      ),
      _xlfn.TEXTJOIN(
        "，",
        TRUE,
        IF(AND(勤務統計!$D$1&lt;&gt;"--", IFERROR(VLOOKUP(A291,'0919門市清單主檔'!B:AH,31,FALSE),"")=勤務統計!$D$1, IFERROR(VLOOKUP(A291,勤務統計!A:Q,17,FALSE),"")&lt;&gt;勤務統計!$D$1), 勤務統計!$D$1, ""),
        IF(AND(勤務統計!$E$1&lt;&gt;"--", IFERROR(VLOOKUP(A291,'0919門市清單主檔'!B:AH,32,FALSE),"")=勤務統計!$E$1, IFERROR(VLOOKUP(A291,勤務統計!A:S,19,FALSE),"")&lt;&gt;勤務統計!$E$1), 勤務統計!$E$1, ""),
        IF(AND(勤務統計!$F$1&lt;&gt;"--", IFERROR(VLOOKUP(A291,'0919門市清單主檔'!B:AH,33,FALSE),"")=勤務統計!$F$1, IFERROR(VLOOKUP(A291,勤務統計!A:U,21,FALSE),"")&lt;&gt;勤務統計!$F$1), 勤務統計!$F$1, ""),
        IF(AND(IFERROR(VLOOKUP(A291,'0919門市清單主檔'!B:AH,28,FALSE),"")="HUB", IFERROR(VLOOKUP(A291,勤務統計!A:W,23,FALSE),"")&lt;&gt;"HUB"), "HUB", "")
      ) &amp; "未完工",
      "已完工"
    )
  )
)</f>
        <v>未完工</v>
      </c>
      <c r="P291" s="435" t="str">
        <f>(TEXT(I291,"yyyymmdd"))&amp;勤務統計!$V$2&amp;A291&amp;勤務統計!$V$2&amp;B291&amp;勤務統計!$S$2</f>
        <v>-2380-永和樂華夜市(定保)</v>
      </c>
      <c r="Q291" s="404" t="str">
        <f t="array" ref="Q291">IF(AND(SUMPRODUCT((IM!$F$2:$F$5000=A291)*(ISNUMBER(SEARCH(勤務統計!$D$1, IM!$AC$2:$AC$5000))))&gt;0), 勤務統計!$D$1, "")</f>
        <v/>
      </c>
      <c r="R291" s="405" t="str">
        <f t="array" ref="R291">IFERROR(INDEX(IM!$AM$2:$AM$5000, MATCH(1, (IM!$F$2:$F$5000=A291) * (ISNUMBER(SEARCH(勤務統計!$D$1, IM!$AC$2:$AC$5000))), 0)), "")</f>
        <v/>
      </c>
      <c r="S291" s="406" t="str" cm="1">
        <f t="array" ref="S291">IF(AND(SUMPRODUCT((IM!$F$2:$F$5000=A291)*(ISNUMBER(SEARCH(勤務統計!$E$1, IM!$AC$2:$AC$5000))))&gt;0), 勤務統計!$E$1, "")</f>
        <v/>
      </c>
      <c r="T291" s="405" t="str">
        <f t="array" ref="T291">IFERROR(INDEX(IM!$AM$2:$AM$5000, MATCH(1, (IM!$F$2:$F$5000=A291) * (ISNUMBER(SEARCH(勤務統計!$E$1, IM!$AC$2:$AC$5000))), 0)), "")</f>
        <v/>
      </c>
      <c r="U291" s="406" t="str" cm="1">
        <f t="array" ref="U291">IF(AND(SUMPRODUCT((IM!$F$2:$F$5000=A291)*(ISNUMBER(SEARCH(勤務統計!$F$1, IM!$AC$2:$AC$5000))))&gt;0), 勤務統計!$F$1, "")</f>
        <v/>
      </c>
      <c r="V291" s="405" t="str">
        <f t="array" ref="V291">IFERROR(INDEX(IM!$AM$2:$AM$5000, MATCH(1, (IM!$F$2:$F$5000=A291) * (ISNUMBER(SEARCH(勤務統計!$F$1, IM!$AC$2:$AC$5000))), 0)), "")</f>
        <v/>
      </c>
      <c r="W291" s="436" t="str">
        <f>IF(VLOOKUP(A291,'0919門市清單主檔'!B:AC,28,FALSE)=0,"",VLOOKUP(A291,'0919門市清單主檔'!B:AC,28,FALSE))</f>
        <v/>
      </c>
    </row>
    <row r="292" spans="1:23" ht="21.6" customHeight="1">
      <c r="A292" s="409">
        <v>3941</v>
      </c>
      <c r="B292" s="409" t="str">
        <f>VLOOKUP(A292,'0919門市清單主檔'!B:C,2,FALSE)</f>
        <v>永和興工店</v>
      </c>
      <c r="C292" s="409" t="str">
        <f>VLOOKUP($A292,'0919門市清單主檔'!B:V,20,FALSE)</f>
        <v>新北市</v>
      </c>
      <c r="D292" s="409" t="str">
        <f>VLOOKUP($A292,'0919門市清單主檔'!B:V,21,FALSE)</f>
        <v>永和區</v>
      </c>
      <c r="E292" s="397" t="str">
        <f>VLOOKUP(D292,門市狀態!G:H,2,FALSE)</f>
        <v>劉柏均</v>
      </c>
      <c r="F292" s="409" t="str">
        <f>IFERROR(IF(VLOOKUP(A292,門市狀態!A:D,4,FALSE)=0,"",VLOOKUP(A292,門市狀態!A:D,4,FALSE)),"")</f>
        <v/>
      </c>
      <c r="G292" s="409"/>
      <c r="H292" s="411" t="str">
        <f>IF(I292&gt;0,(TEXT(I292,"yyyymmdd")&amp;勤務統計!$V$2&amp;A292&amp;勤務統計!$V$2&amp;B292&amp;勤務統計!$S$2),"")</f>
        <v>-3941-永和興工店(定保)</v>
      </c>
      <c r="I292" s="247" t="str">
        <f t="array" ref="I292">IF(AND(SUMPRODUCT((IM!$F$2:$F$5000=A292)*(ISNUMBER(SEARCH(勤務統計!$C$1, IM!$AC$2:$AC$5000))))&gt;0), 勤務統計!$C$1, "")</f>
        <v/>
      </c>
      <c r="J292" s="399" t="str">
        <f t="array" ref="J292">IFERROR(INDEX(IM!$AM$2:$AM$5000, MATCH(1, (IM!$F$2:$F$5000=A292) * (ISNUMBER(SEARCH(勤務統計!$C$1, IM!$AC$2:$AC$5000))), 0)), "")</f>
        <v/>
      </c>
      <c r="K292" s="400">
        <f t="array" ref="K292">SUMPRODUCT((IM!$F$2:$F$5000=A292)*(IM!$AD$2:$AD$5000="O")*(ISNUMBER(SEARCH(勤務統計!$C$1, IM!$AC$2:$AC$5000))))</f>
        <v>0</v>
      </c>
      <c r="L292" s="401" t="str">
        <f t="array" ref="L292">IF(K292&gt;0,IFERROR(HYPERLINK("#'IM'!AC"&amp;MATCH(1,(IM!$F$1:$F$5000=A292)*(ISNUMBER(SEARCH(勤務統計!$C$1,IM!$AC$1:$AC$5000))),0),"檢核"),"未登錄"),"")</f>
        <v/>
      </c>
      <c r="M292" s="402" t="str">
        <f t="shared" si="4"/>
        <v/>
      </c>
      <c r="N292" s="402" t="str">
        <f t="array" ref="N292">IF(AND(
    SUMPRODUCT(
        (IM!$F$2:$F$522=A292) *
        ISNUMBER(SEARCH("*HUB*", IM!$AC$2:$AC$522)) *
        (IM!$X$2:$X$522&gt;=勤務統計!$A$1) *
        (IM!$X$2:$X$522&lt;=勤務統計!$B$1)*(W292="HUB")
    ) &gt; 0
), "HUB", "")</f>
        <v/>
      </c>
      <c r="O292" s="400" t="str">
        <f>IF(
  IFERROR(VLOOKUP(A292,勤務統計!A:I,9,FALSE),"")&lt;&gt;勤務統計!$C$1,
  "未完工",
  IF(
    AND(勤務統計!$D$1="--",勤務統計!$E$1="--",勤務統計!$F$1="--"),
    "已完工",
    IF(
      OR(
        AND(勤務統計!$D$1&lt;&gt;"--", IFERROR(VLOOKUP(A292,'0919門市清單主檔'!B:AH,31,FALSE),"")=勤務統計!$D$1, IFERROR(VLOOKUP(A292,勤務統計!A:Q,17,FALSE),"")&lt;&gt;勤務統計!$D$1),
        AND(勤務統計!$E$1&lt;&gt;"--", IFERROR(VLOOKUP(A292,'0919門市清單主檔'!B:AH,32,FALSE),"")=勤務統計!$E$1, IFERROR(VLOOKUP(A292,勤務統計!A:S,19,FALSE),"")&lt;&gt;勤務統計!$E$1),
        AND(勤務統計!$F$1&lt;&gt;"--", IFERROR(VLOOKUP(A292,'0919門市清單主檔'!B:AH,33,FALSE),"")=勤務統計!$F$1, IFERROR(VLOOKUP(A292,勤務統計!A:U,21,FALSE),"")&lt;&gt;勤務統計!$F$1),
        AND(IFERROR(VLOOKUP(A292,'0919門市清單主檔'!B:AH,28,FALSE),"")="HUB", IFERROR(VLOOKUP(A292,勤務統計!A:W,23,FALSE),"")&lt;&gt;"HUB")
      ),
      _xlfn.TEXTJOIN(
        "，",
        TRUE,
        IF(AND(勤務統計!$D$1&lt;&gt;"--", IFERROR(VLOOKUP(A292,'0919門市清單主檔'!B:AH,31,FALSE),"")=勤務統計!$D$1, IFERROR(VLOOKUP(A292,勤務統計!A:Q,17,FALSE),"")&lt;&gt;勤務統計!$D$1), 勤務統計!$D$1, ""),
        IF(AND(勤務統計!$E$1&lt;&gt;"--", IFERROR(VLOOKUP(A292,'0919門市清單主檔'!B:AH,32,FALSE),"")=勤務統計!$E$1, IFERROR(VLOOKUP(A292,勤務統計!A:S,19,FALSE),"")&lt;&gt;勤務統計!$E$1), 勤務統計!$E$1, ""),
        IF(AND(勤務統計!$F$1&lt;&gt;"--", IFERROR(VLOOKUP(A292,'0919門市清單主檔'!B:AH,33,FALSE),"")=勤務統計!$F$1, IFERROR(VLOOKUP(A292,勤務統計!A:U,21,FALSE),"")&lt;&gt;勤務統計!$F$1), 勤務統計!$F$1, ""),
        IF(AND(IFERROR(VLOOKUP(A292,'0919門市清單主檔'!B:AH,28,FALSE),"")="HUB", IFERROR(VLOOKUP(A292,勤務統計!A:W,23,FALSE),"")&lt;&gt;"HUB"), "HUB", "")
      ) &amp; "未完工",
      "已完工"
    )
  )
)</f>
        <v>未完工</v>
      </c>
      <c r="P292" s="435" t="str">
        <f>(TEXT(I292,"yyyymmdd"))&amp;勤務統計!$V$2&amp;A292&amp;勤務統計!$V$2&amp;B292&amp;勤務統計!$S$2</f>
        <v>-3941-永和興工店(定保)</v>
      </c>
      <c r="Q292" s="404" t="str">
        <f t="array" ref="Q292">IF(AND(SUMPRODUCT((IM!$F$2:$F$5000=A292)*(ISNUMBER(SEARCH(勤務統計!$D$1, IM!$AC$2:$AC$5000))))&gt;0), 勤務統計!$D$1, "")</f>
        <v/>
      </c>
      <c r="R292" s="405" t="str">
        <f t="array" ref="R292">IFERROR(INDEX(IM!$AM$2:$AM$5000, MATCH(1, (IM!$F$2:$F$5000=A292) * (ISNUMBER(SEARCH(勤務統計!$D$1, IM!$AC$2:$AC$5000))), 0)), "")</f>
        <v/>
      </c>
      <c r="S292" s="406" t="str" cm="1">
        <f t="array" ref="S292">IF(AND(SUMPRODUCT((IM!$F$2:$F$5000=A292)*(ISNUMBER(SEARCH(勤務統計!$E$1, IM!$AC$2:$AC$5000))))&gt;0), 勤務統計!$E$1, "")</f>
        <v/>
      </c>
      <c r="T292" s="405" t="str">
        <f t="array" ref="T292">IFERROR(INDEX(IM!$AM$2:$AM$5000, MATCH(1, (IM!$F$2:$F$5000=A292) * (ISNUMBER(SEARCH(勤務統計!$E$1, IM!$AC$2:$AC$5000))), 0)), "")</f>
        <v/>
      </c>
      <c r="U292" s="406" t="str" cm="1">
        <f t="array" ref="U292">IF(AND(SUMPRODUCT((IM!$F$2:$F$5000=A292)*(ISNUMBER(SEARCH(勤務統計!$F$1, IM!$AC$2:$AC$5000))))&gt;0), 勤務統計!$F$1, "")</f>
        <v/>
      </c>
      <c r="V292" s="405" t="str">
        <f t="array" ref="V292">IFERROR(INDEX(IM!$AM$2:$AM$5000, MATCH(1, (IM!$F$2:$F$5000=A292) * (ISNUMBER(SEARCH(勤務統計!$F$1, IM!$AC$2:$AC$5000))), 0)), "")</f>
        <v/>
      </c>
      <c r="W292" s="436" t="str">
        <f>IF(VLOOKUP(A292,'0919門市清單主檔'!B:AC,28,FALSE)=0,"",VLOOKUP(A292,'0919門市清單主檔'!B:AC,28,FALSE))</f>
        <v/>
      </c>
    </row>
    <row r="293" spans="1:23" ht="21.6" customHeight="1">
      <c r="A293" s="409">
        <v>5240</v>
      </c>
      <c r="B293" s="409" t="str">
        <f>VLOOKUP(A293,'0919門市清單主檔'!B:C,2,FALSE)</f>
        <v>中和運動中心</v>
      </c>
      <c r="C293" s="409" t="str">
        <f>VLOOKUP($A293,'0919門市清單主檔'!B:V,20,FALSE)</f>
        <v>新北市</v>
      </c>
      <c r="D293" s="409" t="str">
        <f>VLOOKUP($A293,'0919門市清單主檔'!B:V,21,FALSE)</f>
        <v>中和區</v>
      </c>
      <c r="E293" s="397" t="str">
        <f>VLOOKUP(D293,門市狀態!G:H,2,FALSE)</f>
        <v>劉柏均</v>
      </c>
      <c r="F293" s="409" t="str">
        <f>IFERROR(IF(VLOOKUP(A293,門市狀態!A:D,4,FALSE)=0,"",VLOOKUP(A293,門市狀態!A:D,4,FALSE)),"")</f>
        <v/>
      </c>
      <c r="G293" s="409"/>
      <c r="H293" s="411" t="str">
        <f>IF(I293&gt;0,(TEXT(I293,"yyyymmdd")&amp;勤務統計!$V$2&amp;A293&amp;勤務統計!$V$2&amp;B293&amp;勤務統計!$S$2),"")</f>
        <v>-5240-中和運動中心(定保)</v>
      </c>
      <c r="I293" s="247" t="str">
        <f t="array" ref="I293">IF(AND(SUMPRODUCT((IM!$F$2:$F$5000=A293)*(ISNUMBER(SEARCH(勤務統計!$C$1, IM!$AC$2:$AC$5000))))&gt;0), 勤務統計!$C$1, "")</f>
        <v/>
      </c>
      <c r="J293" s="399" t="str">
        <f t="array" ref="J293">IFERROR(INDEX(IM!$AM$2:$AM$5000, MATCH(1, (IM!$F$2:$F$5000=A293) * (ISNUMBER(SEARCH(勤務統計!$C$1, IM!$AC$2:$AC$5000))), 0)), "")</f>
        <v/>
      </c>
      <c r="K293" s="400">
        <f t="array" ref="K293">SUMPRODUCT((IM!$F$2:$F$5000=A293)*(IM!$AD$2:$AD$5000="O")*(ISNUMBER(SEARCH(勤務統計!$C$1, IM!$AC$2:$AC$5000))))</f>
        <v>0</v>
      </c>
      <c r="L293" s="401" t="str">
        <f t="array" ref="L293">IF(K293&gt;0,IFERROR(HYPERLINK("#'IM'!AC"&amp;MATCH(1,(IM!$F$1:$F$5000=A293)*(ISNUMBER(SEARCH(勤務統計!$C$1,IM!$AC$1:$AC$5000))),0),"檢核"),"未登錄"),"")</f>
        <v/>
      </c>
      <c r="M293" s="402" t="str">
        <f t="shared" si="4"/>
        <v/>
      </c>
      <c r="N293" s="402" t="str">
        <f t="array" ref="N293">IF(AND(
    SUMPRODUCT(
        (IM!$F$2:$F$522=A293) *
        ISNUMBER(SEARCH("*HUB*", IM!$AC$2:$AC$522)) *
        (IM!$X$2:$X$522&gt;=勤務統計!$A$1) *
        (IM!$X$2:$X$522&lt;=勤務統計!$B$1)*(W293="HUB")
    ) &gt; 0
), "HUB", "")</f>
        <v/>
      </c>
      <c r="O293" s="400" t="str">
        <f>IF(
  IFERROR(VLOOKUP(A293,勤務統計!A:I,9,FALSE),"")&lt;&gt;勤務統計!$C$1,
  "未完工",
  IF(
    AND(勤務統計!$D$1="--",勤務統計!$E$1="--",勤務統計!$F$1="--"),
    "已完工",
    IF(
      OR(
        AND(勤務統計!$D$1&lt;&gt;"--", IFERROR(VLOOKUP(A293,'0919門市清單主檔'!B:AH,31,FALSE),"")=勤務統計!$D$1, IFERROR(VLOOKUP(A293,勤務統計!A:Q,17,FALSE),"")&lt;&gt;勤務統計!$D$1),
        AND(勤務統計!$E$1&lt;&gt;"--", IFERROR(VLOOKUP(A293,'0919門市清單主檔'!B:AH,32,FALSE),"")=勤務統計!$E$1, IFERROR(VLOOKUP(A293,勤務統計!A:S,19,FALSE),"")&lt;&gt;勤務統計!$E$1),
        AND(勤務統計!$F$1&lt;&gt;"--", IFERROR(VLOOKUP(A293,'0919門市清單主檔'!B:AH,33,FALSE),"")=勤務統計!$F$1, IFERROR(VLOOKUP(A293,勤務統計!A:U,21,FALSE),"")&lt;&gt;勤務統計!$F$1),
        AND(IFERROR(VLOOKUP(A293,'0919門市清單主檔'!B:AH,28,FALSE),"")="HUB", IFERROR(VLOOKUP(A293,勤務統計!A:W,23,FALSE),"")&lt;&gt;"HUB")
      ),
      _xlfn.TEXTJOIN(
        "，",
        TRUE,
        IF(AND(勤務統計!$D$1&lt;&gt;"--", IFERROR(VLOOKUP(A293,'0919門市清單主檔'!B:AH,31,FALSE),"")=勤務統計!$D$1, IFERROR(VLOOKUP(A293,勤務統計!A:Q,17,FALSE),"")&lt;&gt;勤務統計!$D$1), 勤務統計!$D$1, ""),
        IF(AND(勤務統計!$E$1&lt;&gt;"--", IFERROR(VLOOKUP(A293,'0919門市清單主檔'!B:AH,32,FALSE),"")=勤務統計!$E$1, IFERROR(VLOOKUP(A293,勤務統計!A:S,19,FALSE),"")&lt;&gt;勤務統計!$E$1), 勤務統計!$E$1, ""),
        IF(AND(勤務統計!$F$1&lt;&gt;"--", IFERROR(VLOOKUP(A293,'0919門市清單主檔'!B:AH,33,FALSE),"")=勤務統計!$F$1, IFERROR(VLOOKUP(A293,勤務統計!A:U,21,FALSE),"")&lt;&gt;勤務統計!$F$1), 勤務統計!$F$1, ""),
        IF(AND(IFERROR(VLOOKUP(A293,'0919門市清單主檔'!B:AH,28,FALSE),"")="HUB", IFERROR(VLOOKUP(A293,勤務統計!A:W,23,FALSE),"")&lt;&gt;"HUB"), "HUB", "")
      ) &amp; "未完工",
      "已完工"
    )
  )
)</f>
        <v>未完工</v>
      </c>
      <c r="P293" s="435" t="str">
        <f>(TEXT(I293,"yyyymmdd"))&amp;勤務統計!$V$2&amp;A293&amp;勤務統計!$V$2&amp;B293&amp;勤務統計!$S$2</f>
        <v>-5240-中和運動中心(定保)</v>
      </c>
      <c r="Q293" s="404" t="str">
        <f t="array" ref="Q293">IF(AND(SUMPRODUCT((IM!$F$2:$F$5000=A293)*(ISNUMBER(SEARCH(勤務統計!$D$1, IM!$AC$2:$AC$5000))))&gt;0), 勤務統計!$D$1, "")</f>
        <v/>
      </c>
      <c r="R293" s="405" t="str">
        <f t="array" ref="R293">IFERROR(INDEX(IM!$AM$2:$AM$5000, MATCH(1, (IM!$F$2:$F$5000=A293) * (ISNUMBER(SEARCH(勤務統計!$D$1, IM!$AC$2:$AC$5000))), 0)), "")</f>
        <v/>
      </c>
      <c r="S293" s="406" t="str" cm="1">
        <f t="array" ref="S293">IF(AND(SUMPRODUCT((IM!$F$2:$F$5000=A293)*(ISNUMBER(SEARCH(勤務統計!$E$1, IM!$AC$2:$AC$5000))))&gt;0), 勤務統計!$E$1, "")</f>
        <v/>
      </c>
      <c r="T293" s="405" t="str">
        <f t="array" ref="T293">IFERROR(INDEX(IM!$AM$2:$AM$5000, MATCH(1, (IM!$F$2:$F$5000=A293) * (ISNUMBER(SEARCH(勤務統計!$E$1, IM!$AC$2:$AC$5000))), 0)), "")</f>
        <v/>
      </c>
      <c r="U293" s="406" t="str" cm="1">
        <f t="array" ref="U293">IF(AND(SUMPRODUCT((IM!$F$2:$F$5000=A293)*(ISNUMBER(SEARCH(勤務統計!$F$1, IM!$AC$2:$AC$5000))))&gt;0), 勤務統計!$F$1, "")</f>
        <v/>
      </c>
      <c r="V293" s="405" t="str">
        <f t="array" ref="V293">IFERROR(INDEX(IM!$AM$2:$AM$5000, MATCH(1, (IM!$F$2:$F$5000=A293) * (ISNUMBER(SEARCH(勤務統計!$F$1, IM!$AC$2:$AC$5000))), 0)), "")</f>
        <v/>
      </c>
      <c r="W293" s="436" t="str">
        <f>IF(VLOOKUP(A293,'0919門市清單主檔'!B:AC,28,FALSE)=0,"",VLOOKUP(A293,'0919門市清單主檔'!B:AC,28,FALSE))</f>
        <v/>
      </c>
    </row>
    <row r="294" spans="1:23" ht="21.6" customHeight="1">
      <c r="A294" s="409">
        <v>2171</v>
      </c>
      <c r="B294" s="409" t="str">
        <f>VLOOKUP(A294,'0919門市清單主檔'!B:C,2,FALSE)</f>
        <v>北縣興南店</v>
      </c>
      <c r="C294" s="409" t="str">
        <f>VLOOKUP($A294,'0919門市清單主檔'!B:V,20,FALSE)</f>
        <v>新北市</v>
      </c>
      <c r="D294" s="409" t="str">
        <f>VLOOKUP($A294,'0919門市清單主檔'!B:V,21,FALSE)</f>
        <v>中和區</v>
      </c>
      <c r="E294" s="397" t="str">
        <f>VLOOKUP(D294,門市狀態!G:H,2,FALSE)</f>
        <v>劉柏均</v>
      </c>
      <c r="F294" s="409" t="str">
        <f>IFERROR(IF(VLOOKUP(A294,門市狀態!A:D,4,FALSE)=0,"",VLOOKUP(A294,門市狀態!A:D,4,FALSE)),"")</f>
        <v/>
      </c>
      <c r="G294" s="409"/>
      <c r="H294" s="411" t="str">
        <f>IF(I294&gt;0,(TEXT(I294,"yyyymmdd")&amp;勤務統計!$V$2&amp;A294&amp;勤務統計!$V$2&amp;B294&amp;勤務統計!$S$2),"")</f>
        <v>-2171-北縣興南店(定保)</v>
      </c>
      <c r="I294" s="247" t="str">
        <f t="array" ref="I294">IF(AND(SUMPRODUCT((IM!$F$2:$F$5000=A294)*(ISNUMBER(SEARCH(勤務統計!$C$1, IM!$AC$2:$AC$5000))))&gt;0), 勤務統計!$C$1, "")</f>
        <v/>
      </c>
      <c r="J294" s="399" t="str">
        <f t="array" ref="J294">IFERROR(INDEX(IM!$AM$2:$AM$5000, MATCH(1, (IM!$F$2:$F$5000=A294) * (ISNUMBER(SEARCH(勤務統計!$C$1, IM!$AC$2:$AC$5000))), 0)), "")</f>
        <v/>
      </c>
      <c r="K294" s="400">
        <f t="array" ref="K294">SUMPRODUCT((IM!$F$2:$F$5000=A294)*(IM!$AD$2:$AD$5000="O")*(ISNUMBER(SEARCH(勤務統計!$C$1, IM!$AC$2:$AC$5000))))</f>
        <v>0</v>
      </c>
      <c r="L294" s="401" t="str">
        <f t="array" ref="L294">IF(K294&gt;0,IFERROR(HYPERLINK("#'IM'!AC"&amp;MATCH(1,(IM!$F$1:$F$5000=A294)*(ISNUMBER(SEARCH(勤務統計!$C$1,IM!$AC$1:$AC$5000))),0),"檢核"),"未登錄"),"")</f>
        <v/>
      </c>
      <c r="M294" s="402" t="str">
        <f t="shared" si="4"/>
        <v/>
      </c>
      <c r="N294" s="402" t="str">
        <f t="array" ref="N294">IF(AND(
    SUMPRODUCT(
        (IM!$F$2:$F$522=A294) *
        ISNUMBER(SEARCH("*HUB*", IM!$AC$2:$AC$522)) *
        (IM!$X$2:$X$522&gt;=勤務統計!$A$1) *
        (IM!$X$2:$X$522&lt;=勤務統計!$B$1)*(W294="HUB")
    ) &gt; 0
), "HUB", "")</f>
        <v/>
      </c>
      <c r="O294" s="400" t="str">
        <f>IF(
  IFERROR(VLOOKUP(A294,勤務統計!A:I,9,FALSE),"")&lt;&gt;勤務統計!$C$1,
  "未完工",
  IF(
    AND(勤務統計!$D$1="--",勤務統計!$E$1="--",勤務統計!$F$1="--"),
    "已完工",
    IF(
      OR(
        AND(勤務統計!$D$1&lt;&gt;"--", IFERROR(VLOOKUP(A294,'0919門市清單主檔'!B:AH,31,FALSE),"")=勤務統計!$D$1, IFERROR(VLOOKUP(A294,勤務統計!A:Q,17,FALSE),"")&lt;&gt;勤務統計!$D$1),
        AND(勤務統計!$E$1&lt;&gt;"--", IFERROR(VLOOKUP(A294,'0919門市清單主檔'!B:AH,32,FALSE),"")=勤務統計!$E$1, IFERROR(VLOOKUP(A294,勤務統計!A:S,19,FALSE),"")&lt;&gt;勤務統計!$E$1),
        AND(勤務統計!$F$1&lt;&gt;"--", IFERROR(VLOOKUP(A294,'0919門市清單主檔'!B:AH,33,FALSE),"")=勤務統計!$F$1, IFERROR(VLOOKUP(A294,勤務統計!A:U,21,FALSE),"")&lt;&gt;勤務統計!$F$1),
        AND(IFERROR(VLOOKUP(A294,'0919門市清單主檔'!B:AH,28,FALSE),"")="HUB", IFERROR(VLOOKUP(A294,勤務統計!A:W,23,FALSE),"")&lt;&gt;"HUB")
      ),
      _xlfn.TEXTJOIN(
        "，",
        TRUE,
        IF(AND(勤務統計!$D$1&lt;&gt;"--", IFERROR(VLOOKUP(A294,'0919門市清單主檔'!B:AH,31,FALSE),"")=勤務統計!$D$1, IFERROR(VLOOKUP(A294,勤務統計!A:Q,17,FALSE),"")&lt;&gt;勤務統計!$D$1), 勤務統計!$D$1, ""),
        IF(AND(勤務統計!$E$1&lt;&gt;"--", IFERROR(VLOOKUP(A294,'0919門市清單主檔'!B:AH,32,FALSE),"")=勤務統計!$E$1, IFERROR(VLOOKUP(A294,勤務統計!A:S,19,FALSE),"")&lt;&gt;勤務統計!$E$1), 勤務統計!$E$1, ""),
        IF(AND(勤務統計!$F$1&lt;&gt;"--", IFERROR(VLOOKUP(A294,'0919門市清單主檔'!B:AH,33,FALSE),"")=勤務統計!$F$1, IFERROR(VLOOKUP(A294,勤務統計!A:U,21,FALSE),"")&lt;&gt;勤務統計!$F$1), 勤務統計!$F$1, ""),
        IF(AND(IFERROR(VLOOKUP(A294,'0919門市清單主檔'!B:AH,28,FALSE),"")="HUB", IFERROR(VLOOKUP(A294,勤務統計!A:W,23,FALSE),"")&lt;&gt;"HUB"), "HUB", "")
      ) &amp; "未完工",
      "已完工"
    )
  )
)</f>
        <v>未完工</v>
      </c>
      <c r="P294" s="435" t="str">
        <f>(TEXT(I294,"yyyymmdd"))&amp;勤務統計!$V$2&amp;A294&amp;勤務統計!$V$2&amp;B294&amp;勤務統計!$S$2</f>
        <v>-2171-北縣興南店(定保)</v>
      </c>
      <c r="Q294" s="404" t="str">
        <f t="array" ref="Q294">IF(AND(SUMPRODUCT((IM!$F$2:$F$5000=A294)*(ISNUMBER(SEARCH(勤務統計!$D$1, IM!$AC$2:$AC$5000))))&gt;0), 勤務統計!$D$1, "")</f>
        <v/>
      </c>
      <c r="R294" s="405" t="str">
        <f t="array" ref="R294">IFERROR(INDEX(IM!$AM$2:$AM$5000, MATCH(1, (IM!$F$2:$F$5000=A294) * (ISNUMBER(SEARCH(勤務統計!$D$1, IM!$AC$2:$AC$5000))), 0)), "")</f>
        <v/>
      </c>
      <c r="S294" s="406" t="str" cm="1">
        <f t="array" ref="S294">IF(AND(SUMPRODUCT((IM!$F$2:$F$5000=A294)*(ISNUMBER(SEARCH(勤務統計!$E$1, IM!$AC$2:$AC$5000))))&gt;0), 勤務統計!$E$1, "")</f>
        <v/>
      </c>
      <c r="T294" s="405" t="str">
        <f t="array" ref="T294">IFERROR(INDEX(IM!$AM$2:$AM$5000, MATCH(1, (IM!$F$2:$F$5000=A294) * (ISNUMBER(SEARCH(勤務統計!$E$1, IM!$AC$2:$AC$5000))), 0)), "")</f>
        <v/>
      </c>
      <c r="U294" s="406" t="str" cm="1">
        <f t="array" ref="U294">IF(AND(SUMPRODUCT((IM!$F$2:$F$5000=A294)*(ISNUMBER(SEARCH(勤務統計!$F$1, IM!$AC$2:$AC$5000))))&gt;0), 勤務統計!$F$1, "")</f>
        <v/>
      </c>
      <c r="V294" s="405" t="str">
        <f t="array" ref="V294">IFERROR(INDEX(IM!$AM$2:$AM$5000, MATCH(1, (IM!$F$2:$F$5000=A294) * (ISNUMBER(SEARCH(勤務統計!$F$1, IM!$AC$2:$AC$5000))), 0)), "")</f>
        <v/>
      </c>
      <c r="W294" s="436" t="str">
        <f>IF(VLOOKUP(A294,'0919門市清單主檔'!B:AC,28,FALSE)=0,"",VLOOKUP(A294,'0919門市清單主檔'!B:AC,28,FALSE))</f>
        <v/>
      </c>
    </row>
    <row r="295" spans="1:23" ht="21.6" customHeight="1">
      <c r="A295" s="409">
        <v>2062</v>
      </c>
      <c r="B295" s="409" t="str">
        <f>VLOOKUP(A295,'0919門市清單主檔'!B:C,2,FALSE)</f>
        <v>中和員山店</v>
      </c>
      <c r="C295" s="409" t="str">
        <f>VLOOKUP($A295,'0919門市清單主檔'!B:V,20,FALSE)</f>
        <v>新北市</v>
      </c>
      <c r="D295" s="409" t="str">
        <f>VLOOKUP($A295,'0919門市清單主檔'!B:V,21,FALSE)</f>
        <v>中和區</v>
      </c>
      <c r="E295" s="397" t="str">
        <f>VLOOKUP(D295,門市狀態!G:H,2,FALSE)</f>
        <v>劉柏均</v>
      </c>
      <c r="F295" s="409" t="str">
        <f>IFERROR(IF(VLOOKUP(A295,門市狀態!A:D,4,FALSE)=0,"",VLOOKUP(A295,門市狀態!A:D,4,FALSE)),"")</f>
        <v/>
      </c>
      <c r="G295" s="409"/>
      <c r="H295" s="411" t="str">
        <f>IF(I295&gt;0,(TEXT(I295,"yyyymmdd")&amp;勤務統計!$V$2&amp;A295&amp;勤務統計!$V$2&amp;B295&amp;勤務統計!$S$2),"")</f>
        <v>-2062-中和員山店(定保)</v>
      </c>
      <c r="I295" s="247" t="str">
        <f t="array" ref="I295">IF(AND(SUMPRODUCT((IM!$F$2:$F$5000=A295)*(ISNUMBER(SEARCH(勤務統計!$C$1, IM!$AC$2:$AC$5000))))&gt;0), 勤務統計!$C$1, "")</f>
        <v/>
      </c>
      <c r="J295" s="399" t="str">
        <f t="array" ref="J295">IFERROR(INDEX(IM!$AM$2:$AM$5000, MATCH(1, (IM!$F$2:$F$5000=A295) * (ISNUMBER(SEARCH(勤務統計!$C$1, IM!$AC$2:$AC$5000))), 0)), "")</f>
        <v/>
      </c>
      <c r="K295" s="400">
        <f t="array" ref="K295">SUMPRODUCT((IM!$F$2:$F$5000=A295)*(IM!$AD$2:$AD$5000="O")*(ISNUMBER(SEARCH(勤務統計!$C$1, IM!$AC$2:$AC$5000))))</f>
        <v>0</v>
      </c>
      <c r="L295" s="401" t="str">
        <f t="array" ref="L295">IF(K295&gt;0,IFERROR(HYPERLINK("#'IM'!AC"&amp;MATCH(1,(IM!$F$1:$F$5000=A295)*(ISNUMBER(SEARCH(勤務統計!$C$1,IM!$AC$1:$AC$5000))),0),"檢核"),"未登錄"),"")</f>
        <v/>
      </c>
      <c r="M295" s="402" t="str">
        <f t="shared" si="4"/>
        <v/>
      </c>
      <c r="N295" s="402" t="str">
        <f t="array" ref="N295">IF(AND(
    SUMPRODUCT(
        (IM!$F$2:$F$522=A295) *
        ISNUMBER(SEARCH("*HUB*", IM!$AC$2:$AC$522)) *
        (IM!$X$2:$X$522&gt;=勤務統計!$A$1) *
        (IM!$X$2:$X$522&lt;=勤務統計!$B$1)*(W295="HUB")
    ) &gt; 0
), "HUB", "")</f>
        <v/>
      </c>
      <c r="O295" s="400" t="str">
        <f>IF(
  IFERROR(VLOOKUP(A295,勤務統計!A:I,9,FALSE),"")&lt;&gt;勤務統計!$C$1,
  "未完工",
  IF(
    AND(勤務統計!$D$1="--",勤務統計!$E$1="--",勤務統計!$F$1="--"),
    "已完工",
    IF(
      OR(
        AND(勤務統計!$D$1&lt;&gt;"--", IFERROR(VLOOKUP(A295,'0919門市清單主檔'!B:AH,31,FALSE),"")=勤務統計!$D$1, IFERROR(VLOOKUP(A295,勤務統計!A:Q,17,FALSE),"")&lt;&gt;勤務統計!$D$1),
        AND(勤務統計!$E$1&lt;&gt;"--", IFERROR(VLOOKUP(A295,'0919門市清單主檔'!B:AH,32,FALSE),"")=勤務統計!$E$1, IFERROR(VLOOKUP(A295,勤務統計!A:S,19,FALSE),"")&lt;&gt;勤務統計!$E$1),
        AND(勤務統計!$F$1&lt;&gt;"--", IFERROR(VLOOKUP(A295,'0919門市清單主檔'!B:AH,33,FALSE),"")=勤務統計!$F$1, IFERROR(VLOOKUP(A295,勤務統計!A:U,21,FALSE),"")&lt;&gt;勤務統計!$F$1),
        AND(IFERROR(VLOOKUP(A295,'0919門市清單主檔'!B:AH,28,FALSE),"")="HUB", IFERROR(VLOOKUP(A295,勤務統計!A:W,23,FALSE),"")&lt;&gt;"HUB")
      ),
      _xlfn.TEXTJOIN(
        "，",
        TRUE,
        IF(AND(勤務統計!$D$1&lt;&gt;"--", IFERROR(VLOOKUP(A295,'0919門市清單主檔'!B:AH,31,FALSE),"")=勤務統計!$D$1, IFERROR(VLOOKUP(A295,勤務統計!A:Q,17,FALSE),"")&lt;&gt;勤務統計!$D$1), 勤務統計!$D$1, ""),
        IF(AND(勤務統計!$E$1&lt;&gt;"--", IFERROR(VLOOKUP(A295,'0919門市清單主檔'!B:AH,32,FALSE),"")=勤務統計!$E$1, IFERROR(VLOOKUP(A295,勤務統計!A:S,19,FALSE),"")&lt;&gt;勤務統計!$E$1), 勤務統計!$E$1, ""),
        IF(AND(勤務統計!$F$1&lt;&gt;"--", IFERROR(VLOOKUP(A295,'0919門市清單主檔'!B:AH,33,FALSE),"")=勤務統計!$F$1, IFERROR(VLOOKUP(A295,勤務統計!A:U,21,FALSE),"")&lt;&gt;勤務統計!$F$1), 勤務統計!$F$1, ""),
        IF(AND(IFERROR(VLOOKUP(A295,'0919門市清單主檔'!B:AH,28,FALSE),"")="HUB", IFERROR(VLOOKUP(A295,勤務統計!A:W,23,FALSE),"")&lt;&gt;"HUB"), "HUB", "")
      ) &amp; "未完工",
      "已完工"
    )
  )
)</f>
        <v>未完工</v>
      </c>
      <c r="P295" s="435" t="str">
        <f>(TEXT(I295,"yyyymmdd"))&amp;勤務統計!$V$2&amp;A295&amp;勤務統計!$V$2&amp;B295&amp;勤務統計!$S$2</f>
        <v>-2062-中和員山店(定保)</v>
      </c>
      <c r="Q295" s="404" t="str">
        <f t="array" ref="Q295">IF(AND(SUMPRODUCT((IM!$F$2:$F$5000=A295)*(ISNUMBER(SEARCH(勤務統計!$D$1, IM!$AC$2:$AC$5000))))&gt;0), 勤務統計!$D$1, "")</f>
        <v/>
      </c>
      <c r="R295" s="405" t="str">
        <f t="array" ref="R295">IFERROR(INDEX(IM!$AM$2:$AM$5000, MATCH(1, (IM!$F$2:$F$5000=A295) * (ISNUMBER(SEARCH(勤務統計!$D$1, IM!$AC$2:$AC$5000))), 0)), "")</f>
        <v/>
      </c>
      <c r="S295" s="406" t="str" cm="1">
        <f t="array" ref="S295">IF(AND(SUMPRODUCT((IM!$F$2:$F$5000=A295)*(ISNUMBER(SEARCH(勤務統計!$E$1, IM!$AC$2:$AC$5000))))&gt;0), 勤務統計!$E$1, "")</f>
        <v/>
      </c>
      <c r="T295" s="405" t="str">
        <f t="array" ref="T295">IFERROR(INDEX(IM!$AM$2:$AM$5000, MATCH(1, (IM!$F$2:$F$5000=A295) * (ISNUMBER(SEARCH(勤務統計!$E$1, IM!$AC$2:$AC$5000))), 0)), "")</f>
        <v/>
      </c>
      <c r="U295" s="406" t="str" cm="1">
        <f t="array" ref="U295">IF(AND(SUMPRODUCT((IM!$F$2:$F$5000=A295)*(ISNUMBER(SEARCH(勤務統計!$F$1, IM!$AC$2:$AC$5000))))&gt;0), 勤務統計!$F$1, "")</f>
        <v/>
      </c>
      <c r="V295" s="405" t="str">
        <f t="array" ref="V295">IFERROR(INDEX(IM!$AM$2:$AM$5000, MATCH(1, (IM!$F$2:$F$5000=A295) * (ISNUMBER(SEARCH(勤務統計!$F$1, IM!$AC$2:$AC$5000))), 0)), "")</f>
        <v/>
      </c>
      <c r="W295" s="436" t="str">
        <f>IF(VLOOKUP(A295,'0919門市清單主檔'!B:AC,28,FALSE)=0,"",VLOOKUP(A295,'0919門市清單主檔'!B:AC,28,FALSE))</f>
        <v/>
      </c>
    </row>
    <row r="296" spans="1:23" ht="21.6" customHeight="1">
      <c r="A296" s="409">
        <v>2180</v>
      </c>
      <c r="B296" s="409" t="str">
        <f>VLOOKUP(A296,'0919門市清單主檔'!B:C,2,FALSE)</f>
        <v>中和國際店</v>
      </c>
      <c r="C296" s="409" t="str">
        <f>VLOOKUP($A296,'0919門市清單主檔'!B:V,20,FALSE)</f>
        <v>新北市</v>
      </c>
      <c r="D296" s="409" t="str">
        <f>VLOOKUP($A296,'0919門市清單主檔'!B:V,21,FALSE)</f>
        <v>中和區</v>
      </c>
      <c r="E296" s="397" t="str">
        <f>VLOOKUP(D296,門市狀態!G:H,2,FALSE)</f>
        <v>劉柏均</v>
      </c>
      <c r="F296" s="409" t="str">
        <f>IFERROR(IF(VLOOKUP(A296,門市狀態!A:D,4,FALSE)=0,"",VLOOKUP(A296,門市狀態!A:D,4,FALSE)),"")</f>
        <v/>
      </c>
      <c r="G296" s="409"/>
      <c r="H296" s="411" t="str">
        <f>IF(I296&gt;0,(TEXT(I296,"yyyymmdd")&amp;勤務統計!$V$2&amp;A296&amp;勤務統計!$V$2&amp;B296&amp;勤務統計!$S$2),"")</f>
        <v>-2180-中和國際店(定保)</v>
      </c>
      <c r="I296" s="247" t="str">
        <f t="array" ref="I296">IF(AND(SUMPRODUCT((IM!$F$2:$F$5000=A296)*(ISNUMBER(SEARCH(勤務統計!$C$1, IM!$AC$2:$AC$5000))))&gt;0), 勤務統計!$C$1, "")</f>
        <v/>
      </c>
      <c r="J296" s="399" t="str">
        <f t="array" ref="J296">IFERROR(INDEX(IM!$AM$2:$AM$5000, MATCH(1, (IM!$F$2:$F$5000=A296) * (ISNUMBER(SEARCH(勤務統計!$C$1, IM!$AC$2:$AC$5000))), 0)), "")</f>
        <v/>
      </c>
      <c r="K296" s="400">
        <f t="array" ref="K296">SUMPRODUCT((IM!$F$2:$F$5000=A296)*(IM!$AD$2:$AD$5000="O")*(ISNUMBER(SEARCH(勤務統計!$C$1, IM!$AC$2:$AC$5000))))</f>
        <v>0</v>
      </c>
      <c r="L296" s="401" t="str">
        <f t="array" ref="L296">IF(K296&gt;0,IFERROR(HYPERLINK("#'IM'!AC"&amp;MATCH(1,(IM!$F$1:$F$5000=A296)*(ISNUMBER(SEARCH(勤務統計!$C$1,IM!$AC$1:$AC$5000))),0),"檢核"),"未登錄"),"")</f>
        <v/>
      </c>
      <c r="M296" s="402" t="str">
        <f t="shared" si="4"/>
        <v/>
      </c>
      <c r="N296" s="402" t="str">
        <f t="array" ref="N296">IF(AND(
    SUMPRODUCT(
        (IM!$F$2:$F$522=A296) *
        ISNUMBER(SEARCH("*HUB*", IM!$AC$2:$AC$522)) *
        (IM!$X$2:$X$522&gt;=勤務統計!$A$1) *
        (IM!$X$2:$X$522&lt;=勤務統計!$B$1)*(W296="HUB")
    ) &gt; 0
), "HUB", "")</f>
        <v/>
      </c>
      <c r="O296" s="400" t="str">
        <f>IF(
  IFERROR(VLOOKUP(A296,勤務統計!A:I,9,FALSE),"")&lt;&gt;勤務統計!$C$1,
  "未完工",
  IF(
    AND(勤務統計!$D$1="--",勤務統計!$E$1="--",勤務統計!$F$1="--"),
    "已完工",
    IF(
      OR(
        AND(勤務統計!$D$1&lt;&gt;"--", IFERROR(VLOOKUP(A296,'0919門市清單主檔'!B:AH,31,FALSE),"")=勤務統計!$D$1, IFERROR(VLOOKUP(A296,勤務統計!A:Q,17,FALSE),"")&lt;&gt;勤務統計!$D$1),
        AND(勤務統計!$E$1&lt;&gt;"--", IFERROR(VLOOKUP(A296,'0919門市清單主檔'!B:AH,32,FALSE),"")=勤務統計!$E$1, IFERROR(VLOOKUP(A296,勤務統計!A:S,19,FALSE),"")&lt;&gt;勤務統計!$E$1),
        AND(勤務統計!$F$1&lt;&gt;"--", IFERROR(VLOOKUP(A296,'0919門市清單主檔'!B:AH,33,FALSE),"")=勤務統計!$F$1, IFERROR(VLOOKUP(A296,勤務統計!A:U,21,FALSE),"")&lt;&gt;勤務統計!$F$1),
        AND(IFERROR(VLOOKUP(A296,'0919門市清單主檔'!B:AH,28,FALSE),"")="HUB", IFERROR(VLOOKUP(A296,勤務統計!A:W,23,FALSE),"")&lt;&gt;"HUB")
      ),
      _xlfn.TEXTJOIN(
        "，",
        TRUE,
        IF(AND(勤務統計!$D$1&lt;&gt;"--", IFERROR(VLOOKUP(A296,'0919門市清單主檔'!B:AH,31,FALSE),"")=勤務統計!$D$1, IFERROR(VLOOKUP(A296,勤務統計!A:Q,17,FALSE),"")&lt;&gt;勤務統計!$D$1), 勤務統計!$D$1, ""),
        IF(AND(勤務統計!$E$1&lt;&gt;"--", IFERROR(VLOOKUP(A296,'0919門市清單主檔'!B:AH,32,FALSE),"")=勤務統計!$E$1, IFERROR(VLOOKUP(A296,勤務統計!A:S,19,FALSE),"")&lt;&gt;勤務統計!$E$1), 勤務統計!$E$1, ""),
        IF(AND(勤務統計!$F$1&lt;&gt;"--", IFERROR(VLOOKUP(A296,'0919門市清單主檔'!B:AH,33,FALSE),"")=勤務統計!$F$1, IFERROR(VLOOKUP(A296,勤務統計!A:U,21,FALSE),"")&lt;&gt;勤務統計!$F$1), 勤務統計!$F$1, ""),
        IF(AND(IFERROR(VLOOKUP(A296,'0919門市清單主檔'!B:AH,28,FALSE),"")="HUB", IFERROR(VLOOKUP(A296,勤務統計!A:W,23,FALSE),"")&lt;&gt;"HUB"), "HUB", "")
      ) &amp; "未完工",
      "已完工"
    )
  )
)</f>
        <v>未完工</v>
      </c>
      <c r="P296" s="435" t="str">
        <f>(TEXT(I296,"yyyymmdd"))&amp;勤務統計!$V$2&amp;A296&amp;勤務統計!$V$2&amp;B296&amp;勤務統計!$S$2</f>
        <v>-2180-中和國際店(定保)</v>
      </c>
      <c r="Q296" s="404" t="str">
        <f t="array" ref="Q296">IF(AND(SUMPRODUCT((IM!$F$2:$F$5000=A296)*(ISNUMBER(SEARCH(勤務統計!$D$1, IM!$AC$2:$AC$5000))))&gt;0), 勤務統計!$D$1, "")</f>
        <v/>
      </c>
      <c r="R296" s="405" t="str">
        <f t="array" ref="R296">IFERROR(INDEX(IM!$AM$2:$AM$5000, MATCH(1, (IM!$F$2:$F$5000=A296) * (ISNUMBER(SEARCH(勤務統計!$D$1, IM!$AC$2:$AC$5000))), 0)), "")</f>
        <v/>
      </c>
      <c r="S296" s="406" t="str" cm="1">
        <f t="array" ref="S296">IF(AND(SUMPRODUCT((IM!$F$2:$F$5000=A296)*(ISNUMBER(SEARCH(勤務統計!$E$1, IM!$AC$2:$AC$5000))))&gt;0), 勤務統計!$E$1, "")</f>
        <v/>
      </c>
      <c r="T296" s="405" t="str">
        <f t="array" ref="T296">IFERROR(INDEX(IM!$AM$2:$AM$5000, MATCH(1, (IM!$F$2:$F$5000=A296) * (ISNUMBER(SEARCH(勤務統計!$E$1, IM!$AC$2:$AC$5000))), 0)), "")</f>
        <v/>
      </c>
      <c r="U296" s="406" t="str" cm="1">
        <f t="array" ref="U296">IF(AND(SUMPRODUCT((IM!$F$2:$F$5000=A296)*(ISNUMBER(SEARCH(勤務統計!$F$1, IM!$AC$2:$AC$5000))))&gt;0), 勤務統計!$F$1, "")</f>
        <v/>
      </c>
      <c r="V296" s="405" t="str">
        <f t="array" ref="V296">IFERROR(INDEX(IM!$AM$2:$AM$5000, MATCH(1, (IM!$F$2:$F$5000=A296) * (ISNUMBER(SEARCH(勤務統計!$F$1, IM!$AC$2:$AC$5000))), 0)), "")</f>
        <v/>
      </c>
      <c r="W296" s="436" t="str">
        <f>IF(VLOOKUP(A296,'0919門市清單主檔'!B:AC,28,FALSE)=0,"",VLOOKUP(A296,'0919門市清單主檔'!B:AC,28,FALSE))</f>
        <v/>
      </c>
    </row>
    <row r="297" spans="1:23" ht="21.6" customHeight="1">
      <c r="A297" s="409">
        <v>2398</v>
      </c>
      <c r="B297" s="409" t="str">
        <f>VLOOKUP(A297,'0919門市清單主檔'!B:C,2,FALSE)</f>
        <v>中和泰和店</v>
      </c>
      <c r="C297" s="409" t="str">
        <f>VLOOKUP($A297,'0919門市清單主檔'!B:V,20,FALSE)</f>
        <v>新北市</v>
      </c>
      <c r="D297" s="409" t="str">
        <f>VLOOKUP($A297,'0919門市清單主檔'!B:V,21,FALSE)</f>
        <v>中和區</v>
      </c>
      <c r="E297" s="397" t="str">
        <f>VLOOKUP(D297,門市狀態!G:H,2,FALSE)</f>
        <v>劉柏均</v>
      </c>
      <c r="F297" s="409" t="str">
        <f>IFERROR(IF(VLOOKUP(A297,門市狀態!A:D,4,FALSE)=0,"",VLOOKUP(A297,門市狀態!A:D,4,FALSE)),"")</f>
        <v/>
      </c>
      <c r="G297" s="409"/>
      <c r="H297" s="411" t="str">
        <f>IF(I297&gt;0,(TEXT(I297,"yyyymmdd")&amp;勤務統計!$V$2&amp;A297&amp;勤務統計!$V$2&amp;B297&amp;勤務統計!$S$2),"")</f>
        <v>-2398-中和泰和店(定保)</v>
      </c>
      <c r="I297" s="247" t="str">
        <f t="array" ref="I297">IF(AND(SUMPRODUCT((IM!$F$2:$F$5000=A297)*(ISNUMBER(SEARCH(勤務統計!$C$1, IM!$AC$2:$AC$5000))))&gt;0), 勤務統計!$C$1, "")</f>
        <v/>
      </c>
      <c r="J297" s="399" t="str">
        <f t="array" ref="J297">IFERROR(INDEX(IM!$AM$2:$AM$5000, MATCH(1, (IM!$F$2:$F$5000=A297) * (ISNUMBER(SEARCH(勤務統計!$C$1, IM!$AC$2:$AC$5000))), 0)), "")</f>
        <v/>
      </c>
      <c r="K297" s="400">
        <f t="array" ref="K297">SUMPRODUCT((IM!$F$2:$F$5000=A297)*(IM!$AD$2:$AD$5000="O")*(ISNUMBER(SEARCH(勤務統計!$C$1, IM!$AC$2:$AC$5000))))</f>
        <v>0</v>
      </c>
      <c r="L297" s="401" t="str">
        <f t="array" ref="L297">IF(K297&gt;0,IFERROR(HYPERLINK("#'IM'!AC"&amp;MATCH(1,(IM!$F$1:$F$5000=A297)*(ISNUMBER(SEARCH(勤務統計!$C$1,IM!$AC$1:$AC$5000))),0),"檢核"),"未登錄"),"")</f>
        <v/>
      </c>
      <c r="M297" s="402" t="str">
        <f t="shared" si="4"/>
        <v/>
      </c>
      <c r="N297" s="402" t="str">
        <f t="array" ref="N297">IF(AND(
    SUMPRODUCT(
        (IM!$F$2:$F$522=A297) *
        ISNUMBER(SEARCH("*HUB*", IM!$AC$2:$AC$522)) *
        (IM!$X$2:$X$522&gt;=勤務統計!$A$1) *
        (IM!$X$2:$X$522&lt;=勤務統計!$B$1)*(W297="HUB")
    ) &gt; 0
), "HUB", "")</f>
        <v/>
      </c>
      <c r="O297" s="400" t="str">
        <f>IF(
  IFERROR(VLOOKUP(A297,勤務統計!A:I,9,FALSE),"")&lt;&gt;勤務統計!$C$1,
  "未完工",
  IF(
    AND(勤務統計!$D$1="--",勤務統計!$E$1="--",勤務統計!$F$1="--"),
    "已完工",
    IF(
      OR(
        AND(勤務統計!$D$1&lt;&gt;"--", IFERROR(VLOOKUP(A297,'0919門市清單主檔'!B:AH,31,FALSE),"")=勤務統計!$D$1, IFERROR(VLOOKUP(A297,勤務統計!A:Q,17,FALSE),"")&lt;&gt;勤務統計!$D$1),
        AND(勤務統計!$E$1&lt;&gt;"--", IFERROR(VLOOKUP(A297,'0919門市清單主檔'!B:AH,32,FALSE),"")=勤務統計!$E$1, IFERROR(VLOOKUP(A297,勤務統計!A:S,19,FALSE),"")&lt;&gt;勤務統計!$E$1),
        AND(勤務統計!$F$1&lt;&gt;"--", IFERROR(VLOOKUP(A297,'0919門市清單主檔'!B:AH,33,FALSE),"")=勤務統計!$F$1, IFERROR(VLOOKUP(A297,勤務統計!A:U,21,FALSE),"")&lt;&gt;勤務統計!$F$1),
        AND(IFERROR(VLOOKUP(A297,'0919門市清單主檔'!B:AH,28,FALSE),"")="HUB", IFERROR(VLOOKUP(A297,勤務統計!A:W,23,FALSE),"")&lt;&gt;"HUB")
      ),
      _xlfn.TEXTJOIN(
        "，",
        TRUE,
        IF(AND(勤務統計!$D$1&lt;&gt;"--", IFERROR(VLOOKUP(A297,'0919門市清單主檔'!B:AH,31,FALSE),"")=勤務統計!$D$1, IFERROR(VLOOKUP(A297,勤務統計!A:Q,17,FALSE),"")&lt;&gt;勤務統計!$D$1), 勤務統計!$D$1, ""),
        IF(AND(勤務統計!$E$1&lt;&gt;"--", IFERROR(VLOOKUP(A297,'0919門市清單主檔'!B:AH,32,FALSE),"")=勤務統計!$E$1, IFERROR(VLOOKUP(A297,勤務統計!A:S,19,FALSE),"")&lt;&gt;勤務統計!$E$1), 勤務統計!$E$1, ""),
        IF(AND(勤務統計!$F$1&lt;&gt;"--", IFERROR(VLOOKUP(A297,'0919門市清單主檔'!B:AH,33,FALSE),"")=勤務統計!$F$1, IFERROR(VLOOKUP(A297,勤務統計!A:U,21,FALSE),"")&lt;&gt;勤務統計!$F$1), 勤務統計!$F$1, ""),
        IF(AND(IFERROR(VLOOKUP(A297,'0919門市清單主檔'!B:AH,28,FALSE),"")="HUB", IFERROR(VLOOKUP(A297,勤務統計!A:W,23,FALSE),"")&lt;&gt;"HUB"), "HUB", "")
      ) &amp; "未完工",
      "已完工"
    )
  )
)</f>
        <v>未完工</v>
      </c>
      <c r="P297" s="435" t="str">
        <f>(TEXT(I297,"yyyymmdd"))&amp;勤務統計!$V$2&amp;A297&amp;勤務統計!$V$2&amp;B297&amp;勤務統計!$S$2</f>
        <v>-2398-中和泰和店(定保)</v>
      </c>
      <c r="Q297" s="404" t="str">
        <f t="array" ref="Q297">IF(AND(SUMPRODUCT((IM!$F$2:$F$5000=A297)*(ISNUMBER(SEARCH(勤務統計!$D$1, IM!$AC$2:$AC$5000))))&gt;0), 勤務統計!$D$1, "")</f>
        <v/>
      </c>
      <c r="R297" s="405" t="str">
        <f t="array" ref="R297">IFERROR(INDEX(IM!$AM$2:$AM$5000, MATCH(1, (IM!$F$2:$F$5000=A297) * (ISNUMBER(SEARCH(勤務統計!$D$1, IM!$AC$2:$AC$5000))), 0)), "")</f>
        <v/>
      </c>
      <c r="S297" s="406" t="str" cm="1">
        <f t="array" ref="S297">IF(AND(SUMPRODUCT((IM!$F$2:$F$5000=A297)*(ISNUMBER(SEARCH(勤務統計!$E$1, IM!$AC$2:$AC$5000))))&gt;0), 勤務統計!$E$1, "")</f>
        <v/>
      </c>
      <c r="T297" s="405" t="str">
        <f t="array" ref="T297">IFERROR(INDEX(IM!$AM$2:$AM$5000, MATCH(1, (IM!$F$2:$F$5000=A297) * (ISNUMBER(SEARCH(勤務統計!$E$1, IM!$AC$2:$AC$5000))), 0)), "")</f>
        <v/>
      </c>
      <c r="U297" s="406" t="str" cm="1">
        <f t="array" ref="U297">IF(AND(SUMPRODUCT((IM!$F$2:$F$5000=A297)*(ISNUMBER(SEARCH(勤務統計!$F$1, IM!$AC$2:$AC$5000))))&gt;0), 勤務統計!$F$1, "")</f>
        <v/>
      </c>
      <c r="V297" s="405" t="str">
        <f t="array" ref="V297">IFERROR(INDEX(IM!$AM$2:$AM$5000, MATCH(1, (IM!$F$2:$F$5000=A297) * (ISNUMBER(SEARCH(勤務統計!$F$1, IM!$AC$2:$AC$5000))), 0)), "")</f>
        <v/>
      </c>
      <c r="W297" s="436" t="str">
        <f>IF(VLOOKUP(A297,'0919門市清單主檔'!B:AC,28,FALSE)=0,"",VLOOKUP(A297,'0919門市清單主檔'!B:AC,28,FALSE))</f>
        <v/>
      </c>
    </row>
    <row r="298" spans="1:23" ht="21.6" customHeight="1">
      <c r="A298" s="409">
        <v>2570</v>
      </c>
      <c r="B298" s="409" t="str">
        <f>VLOOKUP(A298,'0919門市清單主檔'!B:C,2,FALSE)</f>
        <v>中和和圓店</v>
      </c>
      <c r="C298" s="409" t="str">
        <f>VLOOKUP($A298,'0919門市清單主檔'!B:V,20,FALSE)</f>
        <v>新北市</v>
      </c>
      <c r="D298" s="409" t="str">
        <f>VLOOKUP($A298,'0919門市清單主檔'!B:V,21,FALSE)</f>
        <v>中和區</v>
      </c>
      <c r="E298" s="397" t="str">
        <f>VLOOKUP(D298,門市狀態!G:H,2,FALSE)</f>
        <v>劉柏均</v>
      </c>
      <c r="F298" s="409" t="str">
        <f>IFERROR(IF(VLOOKUP(A298,門市狀態!A:D,4,FALSE)=0,"",VLOOKUP(A298,門市狀態!A:D,4,FALSE)),"")</f>
        <v/>
      </c>
      <c r="G298" s="409"/>
      <c r="H298" s="411" t="str">
        <f>IF(I298&gt;0,(TEXT(I298,"yyyymmdd")&amp;勤務統計!$V$2&amp;A298&amp;勤務統計!$V$2&amp;B298&amp;勤務統計!$S$2),"")</f>
        <v>-2570-中和和圓店(定保)</v>
      </c>
      <c r="I298" s="247" t="str">
        <f t="array" ref="I298">IF(AND(SUMPRODUCT((IM!$F$2:$F$5000=A298)*(ISNUMBER(SEARCH(勤務統計!$C$1, IM!$AC$2:$AC$5000))))&gt;0), 勤務統計!$C$1, "")</f>
        <v/>
      </c>
      <c r="J298" s="399" t="str">
        <f t="array" ref="J298">IFERROR(INDEX(IM!$AM$2:$AM$5000, MATCH(1, (IM!$F$2:$F$5000=A298) * (ISNUMBER(SEARCH(勤務統計!$C$1, IM!$AC$2:$AC$5000))), 0)), "")</f>
        <v/>
      </c>
      <c r="K298" s="400">
        <f t="array" ref="K298">SUMPRODUCT((IM!$F$2:$F$5000=A298)*(IM!$AD$2:$AD$5000="O")*(ISNUMBER(SEARCH(勤務統計!$C$1, IM!$AC$2:$AC$5000))))</f>
        <v>0</v>
      </c>
      <c r="L298" s="401" t="str">
        <f t="array" ref="L298">IF(K298&gt;0,IFERROR(HYPERLINK("#'IM'!AC"&amp;MATCH(1,(IM!$F$1:$F$5000=A298)*(ISNUMBER(SEARCH(勤務統計!$C$1,IM!$AC$1:$AC$5000))),0),"檢核"),"未登錄"),"")</f>
        <v/>
      </c>
      <c r="M298" s="402" t="str">
        <f t="shared" si="4"/>
        <v/>
      </c>
      <c r="N298" s="402" t="str">
        <f t="array" ref="N298">IF(AND(
    SUMPRODUCT(
        (IM!$F$2:$F$522=A298) *
        ISNUMBER(SEARCH("*HUB*", IM!$AC$2:$AC$522)) *
        (IM!$X$2:$X$522&gt;=勤務統計!$A$1) *
        (IM!$X$2:$X$522&lt;=勤務統計!$B$1)*(W298="HUB")
    ) &gt; 0
), "HUB", "")</f>
        <v/>
      </c>
      <c r="O298" s="400" t="str">
        <f>IF(
  IFERROR(VLOOKUP(A298,勤務統計!A:I,9,FALSE),"")&lt;&gt;勤務統計!$C$1,
  "未完工",
  IF(
    AND(勤務統計!$D$1="--",勤務統計!$E$1="--",勤務統計!$F$1="--"),
    "已完工",
    IF(
      OR(
        AND(勤務統計!$D$1&lt;&gt;"--", IFERROR(VLOOKUP(A298,'0919門市清單主檔'!B:AH,31,FALSE),"")=勤務統計!$D$1, IFERROR(VLOOKUP(A298,勤務統計!A:Q,17,FALSE),"")&lt;&gt;勤務統計!$D$1),
        AND(勤務統計!$E$1&lt;&gt;"--", IFERROR(VLOOKUP(A298,'0919門市清單主檔'!B:AH,32,FALSE),"")=勤務統計!$E$1, IFERROR(VLOOKUP(A298,勤務統計!A:S,19,FALSE),"")&lt;&gt;勤務統計!$E$1),
        AND(勤務統計!$F$1&lt;&gt;"--", IFERROR(VLOOKUP(A298,'0919門市清單主檔'!B:AH,33,FALSE),"")=勤務統計!$F$1, IFERROR(VLOOKUP(A298,勤務統計!A:U,21,FALSE),"")&lt;&gt;勤務統計!$F$1),
        AND(IFERROR(VLOOKUP(A298,'0919門市清單主檔'!B:AH,28,FALSE),"")="HUB", IFERROR(VLOOKUP(A298,勤務統計!A:W,23,FALSE),"")&lt;&gt;"HUB")
      ),
      _xlfn.TEXTJOIN(
        "，",
        TRUE,
        IF(AND(勤務統計!$D$1&lt;&gt;"--", IFERROR(VLOOKUP(A298,'0919門市清單主檔'!B:AH,31,FALSE),"")=勤務統計!$D$1, IFERROR(VLOOKUP(A298,勤務統計!A:Q,17,FALSE),"")&lt;&gt;勤務統計!$D$1), 勤務統計!$D$1, ""),
        IF(AND(勤務統計!$E$1&lt;&gt;"--", IFERROR(VLOOKUP(A298,'0919門市清單主檔'!B:AH,32,FALSE),"")=勤務統計!$E$1, IFERROR(VLOOKUP(A298,勤務統計!A:S,19,FALSE),"")&lt;&gt;勤務統計!$E$1), 勤務統計!$E$1, ""),
        IF(AND(勤務統計!$F$1&lt;&gt;"--", IFERROR(VLOOKUP(A298,'0919門市清單主檔'!B:AH,33,FALSE),"")=勤務統計!$F$1, IFERROR(VLOOKUP(A298,勤務統計!A:U,21,FALSE),"")&lt;&gt;勤務統計!$F$1), 勤務統計!$F$1, ""),
        IF(AND(IFERROR(VLOOKUP(A298,'0919門市清單主檔'!B:AH,28,FALSE),"")="HUB", IFERROR(VLOOKUP(A298,勤務統計!A:W,23,FALSE),"")&lt;&gt;"HUB"), "HUB", "")
      ) &amp; "未完工",
      "已完工"
    )
  )
)</f>
        <v>未完工</v>
      </c>
      <c r="P298" s="435" t="str">
        <f>(TEXT(I298,"yyyymmdd"))&amp;勤務統計!$V$2&amp;A298&amp;勤務統計!$V$2&amp;B298&amp;勤務統計!$S$2</f>
        <v>-2570-中和和圓店(定保)</v>
      </c>
      <c r="Q298" s="404" t="str">
        <f t="array" ref="Q298">IF(AND(SUMPRODUCT((IM!$F$2:$F$5000=A298)*(ISNUMBER(SEARCH(勤務統計!$D$1, IM!$AC$2:$AC$5000))))&gt;0), 勤務統計!$D$1, "")</f>
        <v/>
      </c>
      <c r="R298" s="405" t="str">
        <f t="array" ref="R298">IFERROR(INDEX(IM!$AM$2:$AM$5000, MATCH(1, (IM!$F$2:$F$5000=A298) * (ISNUMBER(SEARCH(勤務統計!$D$1, IM!$AC$2:$AC$5000))), 0)), "")</f>
        <v/>
      </c>
      <c r="S298" s="406" t="str" cm="1">
        <f t="array" ref="S298">IF(AND(SUMPRODUCT((IM!$F$2:$F$5000=A298)*(ISNUMBER(SEARCH(勤務統計!$E$1, IM!$AC$2:$AC$5000))))&gt;0), 勤務統計!$E$1, "")</f>
        <v/>
      </c>
      <c r="T298" s="405" t="str">
        <f t="array" ref="T298">IFERROR(INDEX(IM!$AM$2:$AM$5000, MATCH(1, (IM!$F$2:$F$5000=A298) * (ISNUMBER(SEARCH(勤務統計!$E$1, IM!$AC$2:$AC$5000))), 0)), "")</f>
        <v/>
      </c>
      <c r="U298" s="406" t="str" cm="1">
        <f t="array" ref="U298">IF(AND(SUMPRODUCT((IM!$F$2:$F$5000=A298)*(ISNUMBER(SEARCH(勤務統計!$F$1, IM!$AC$2:$AC$5000))))&gt;0), 勤務統計!$F$1, "")</f>
        <v/>
      </c>
      <c r="V298" s="405" t="str">
        <f t="array" ref="V298">IFERROR(INDEX(IM!$AM$2:$AM$5000, MATCH(1, (IM!$F$2:$F$5000=A298) * (ISNUMBER(SEARCH(勤務統計!$F$1, IM!$AC$2:$AC$5000))), 0)), "")</f>
        <v/>
      </c>
      <c r="W298" s="436" t="str">
        <f>IF(VLOOKUP(A298,'0919門市清單主檔'!B:AC,28,FALSE)=0,"",VLOOKUP(A298,'0919門市清單主檔'!B:AC,28,FALSE))</f>
        <v/>
      </c>
    </row>
    <row r="299" spans="1:23" ht="21.6" customHeight="1">
      <c r="A299" s="409">
        <v>3318</v>
      </c>
      <c r="B299" s="409" t="str">
        <f>VLOOKUP(A299,'0919門市清單主檔'!B:C,2,FALSE)</f>
        <v>中和自治店</v>
      </c>
      <c r="C299" s="409" t="str">
        <f>VLOOKUP($A299,'0919門市清單主檔'!B:V,20,FALSE)</f>
        <v>新北市</v>
      </c>
      <c r="D299" s="409" t="str">
        <f>VLOOKUP($A299,'0919門市清單主檔'!B:V,21,FALSE)</f>
        <v>中和區</v>
      </c>
      <c r="E299" s="397" t="str">
        <f>VLOOKUP(D299,門市狀態!G:H,2,FALSE)</f>
        <v>劉柏均</v>
      </c>
      <c r="F299" s="409" t="str">
        <f>IFERROR(IF(VLOOKUP(A299,門市狀態!A:D,4,FALSE)=0,"",VLOOKUP(A299,門市狀態!A:D,4,FALSE)),"")</f>
        <v/>
      </c>
      <c r="G299" s="409"/>
      <c r="H299" s="411" t="str">
        <f>IF(I299&gt;0,(TEXT(I299,"yyyymmdd")&amp;勤務統計!$V$2&amp;A299&amp;勤務統計!$V$2&amp;B299&amp;勤務統計!$S$2),"")</f>
        <v>-3318-中和自治店(定保)</v>
      </c>
      <c r="I299" s="247" t="str">
        <f t="array" ref="I299">IF(AND(SUMPRODUCT((IM!$F$2:$F$5000=A299)*(ISNUMBER(SEARCH(勤務統計!$C$1, IM!$AC$2:$AC$5000))))&gt;0), 勤務統計!$C$1, "")</f>
        <v/>
      </c>
      <c r="J299" s="399" t="str">
        <f t="array" ref="J299">IFERROR(INDEX(IM!$AM$2:$AM$5000, MATCH(1, (IM!$F$2:$F$5000=A299) * (ISNUMBER(SEARCH(勤務統計!$C$1, IM!$AC$2:$AC$5000))), 0)), "")</f>
        <v/>
      </c>
      <c r="K299" s="400">
        <f t="array" ref="K299">SUMPRODUCT((IM!$F$2:$F$5000=A299)*(IM!$AD$2:$AD$5000="O")*(ISNUMBER(SEARCH(勤務統計!$C$1, IM!$AC$2:$AC$5000))))</f>
        <v>0</v>
      </c>
      <c r="L299" s="401" t="str">
        <f t="array" ref="L299">IF(K299&gt;0,IFERROR(HYPERLINK("#'IM'!AC"&amp;MATCH(1,(IM!$F$1:$F$5000=A299)*(ISNUMBER(SEARCH(勤務統計!$C$1,IM!$AC$1:$AC$5000))),0),"檢核"),"未登錄"),"")</f>
        <v/>
      </c>
      <c r="M299" s="402" t="str">
        <f t="shared" si="4"/>
        <v/>
      </c>
      <c r="N299" s="402" t="str">
        <f t="array" ref="N299">IF(AND(
    SUMPRODUCT(
        (IM!$F$2:$F$522=A299) *
        ISNUMBER(SEARCH("*HUB*", IM!$AC$2:$AC$522)) *
        (IM!$X$2:$X$522&gt;=勤務統計!$A$1) *
        (IM!$X$2:$X$522&lt;=勤務統計!$B$1)*(W299="HUB")
    ) &gt; 0
), "HUB", "")</f>
        <v/>
      </c>
      <c r="O299" s="400" t="str">
        <f>IF(
  IFERROR(VLOOKUP(A299,勤務統計!A:I,9,FALSE),"")&lt;&gt;勤務統計!$C$1,
  "未完工",
  IF(
    AND(勤務統計!$D$1="--",勤務統計!$E$1="--",勤務統計!$F$1="--"),
    "已完工",
    IF(
      OR(
        AND(勤務統計!$D$1&lt;&gt;"--", IFERROR(VLOOKUP(A299,'0919門市清單主檔'!B:AH,31,FALSE),"")=勤務統計!$D$1, IFERROR(VLOOKUP(A299,勤務統計!A:Q,17,FALSE),"")&lt;&gt;勤務統計!$D$1),
        AND(勤務統計!$E$1&lt;&gt;"--", IFERROR(VLOOKUP(A299,'0919門市清單主檔'!B:AH,32,FALSE),"")=勤務統計!$E$1, IFERROR(VLOOKUP(A299,勤務統計!A:S,19,FALSE),"")&lt;&gt;勤務統計!$E$1),
        AND(勤務統計!$F$1&lt;&gt;"--", IFERROR(VLOOKUP(A299,'0919門市清單主檔'!B:AH,33,FALSE),"")=勤務統計!$F$1, IFERROR(VLOOKUP(A299,勤務統計!A:U,21,FALSE),"")&lt;&gt;勤務統計!$F$1),
        AND(IFERROR(VLOOKUP(A299,'0919門市清單主檔'!B:AH,28,FALSE),"")="HUB", IFERROR(VLOOKUP(A299,勤務統計!A:W,23,FALSE),"")&lt;&gt;"HUB")
      ),
      _xlfn.TEXTJOIN(
        "，",
        TRUE,
        IF(AND(勤務統計!$D$1&lt;&gt;"--", IFERROR(VLOOKUP(A299,'0919門市清單主檔'!B:AH,31,FALSE),"")=勤務統計!$D$1, IFERROR(VLOOKUP(A299,勤務統計!A:Q,17,FALSE),"")&lt;&gt;勤務統計!$D$1), 勤務統計!$D$1, ""),
        IF(AND(勤務統計!$E$1&lt;&gt;"--", IFERROR(VLOOKUP(A299,'0919門市清單主檔'!B:AH,32,FALSE),"")=勤務統計!$E$1, IFERROR(VLOOKUP(A299,勤務統計!A:S,19,FALSE),"")&lt;&gt;勤務統計!$E$1), 勤務統計!$E$1, ""),
        IF(AND(勤務統計!$F$1&lt;&gt;"--", IFERROR(VLOOKUP(A299,'0919門市清單主檔'!B:AH,33,FALSE),"")=勤務統計!$F$1, IFERROR(VLOOKUP(A299,勤務統計!A:U,21,FALSE),"")&lt;&gt;勤務統計!$F$1), 勤務統計!$F$1, ""),
        IF(AND(IFERROR(VLOOKUP(A299,'0919門市清單主檔'!B:AH,28,FALSE),"")="HUB", IFERROR(VLOOKUP(A299,勤務統計!A:W,23,FALSE),"")&lt;&gt;"HUB"), "HUB", "")
      ) &amp; "未完工",
      "已完工"
    )
  )
)</f>
        <v>未完工</v>
      </c>
      <c r="P299" s="435" t="str">
        <f>(TEXT(I299,"yyyymmdd"))&amp;勤務統計!$V$2&amp;A299&amp;勤務統計!$V$2&amp;B299&amp;勤務統計!$S$2</f>
        <v>-3318-中和自治店(定保)</v>
      </c>
      <c r="Q299" s="404" t="str">
        <f t="array" ref="Q299">IF(AND(SUMPRODUCT((IM!$F$2:$F$5000=A299)*(ISNUMBER(SEARCH(勤務統計!$D$1, IM!$AC$2:$AC$5000))))&gt;0), 勤務統計!$D$1, "")</f>
        <v/>
      </c>
      <c r="R299" s="405" t="str">
        <f t="array" ref="R299">IFERROR(INDEX(IM!$AM$2:$AM$5000, MATCH(1, (IM!$F$2:$F$5000=A299) * (ISNUMBER(SEARCH(勤務統計!$D$1, IM!$AC$2:$AC$5000))), 0)), "")</f>
        <v/>
      </c>
      <c r="S299" s="406" t="str" cm="1">
        <f t="array" ref="S299">IF(AND(SUMPRODUCT((IM!$F$2:$F$5000=A299)*(ISNUMBER(SEARCH(勤務統計!$E$1, IM!$AC$2:$AC$5000))))&gt;0), 勤務統計!$E$1, "")</f>
        <v/>
      </c>
      <c r="T299" s="405" t="str">
        <f t="array" ref="T299">IFERROR(INDEX(IM!$AM$2:$AM$5000, MATCH(1, (IM!$F$2:$F$5000=A299) * (ISNUMBER(SEARCH(勤務統計!$E$1, IM!$AC$2:$AC$5000))), 0)), "")</f>
        <v/>
      </c>
      <c r="U299" s="406" t="str" cm="1">
        <f t="array" ref="U299">IF(AND(SUMPRODUCT((IM!$F$2:$F$5000=A299)*(ISNUMBER(SEARCH(勤務統計!$F$1, IM!$AC$2:$AC$5000))))&gt;0), 勤務統計!$F$1, "")</f>
        <v/>
      </c>
      <c r="V299" s="405" t="str">
        <f t="array" ref="V299">IFERROR(INDEX(IM!$AM$2:$AM$5000, MATCH(1, (IM!$F$2:$F$5000=A299) * (ISNUMBER(SEARCH(勤務統計!$F$1, IM!$AC$2:$AC$5000))), 0)), "")</f>
        <v/>
      </c>
      <c r="W299" s="436" t="str">
        <f>IF(VLOOKUP(A299,'0919門市清單主檔'!B:AC,28,FALSE)=0,"",VLOOKUP(A299,'0919門市清單主檔'!B:AC,28,FALSE))</f>
        <v/>
      </c>
    </row>
    <row r="300" spans="1:23" ht="21.6" customHeight="1">
      <c r="A300" s="409" t="s">
        <v>89</v>
      </c>
      <c r="B300" s="409" t="str">
        <f>VLOOKUP(A300,'0919門市清單主檔'!B:C,2,FALSE)</f>
        <v>中和連城店</v>
      </c>
      <c r="C300" s="409" t="str">
        <f>VLOOKUP($A300,'0919門市清單主檔'!B:V,20,FALSE)</f>
        <v>新北市</v>
      </c>
      <c r="D300" s="409" t="str">
        <f>VLOOKUP($A300,'0919門市清單主檔'!B:V,21,FALSE)</f>
        <v>中和區</v>
      </c>
      <c r="E300" s="397" t="str">
        <f>VLOOKUP(D300,門市狀態!G:H,2,FALSE)</f>
        <v>劉柏均</v>
      </c>
      <c r="F300" s="409" t="str">
        <f>IFERROR(IF(VLOOKUP(A300,門市狀態!A:D,4,FALSE)=0,"",VLOOKUP(A300,門市狀態!A:D,4,FALSE)),"")</f>
        <v/>
      </c>
      <c r="G300" s="409"/>
      <c r="H300" s="411" t="str">
        <f>IF(I300&gt;0,(TEXT(I300,"yyyymmdd")&amp;勤務統計!$V$2&amp;A300&amp;勤務統計!$V$2&amp;B300&amp;勤務統計!$S$2),"")</f>
        <v>-C052-中和連城店(定保)</v>
      </c>
      <c r="I300" s="247" t="str">
        <f t="array" ref="I300">IF(AND(SUMPRODUCT((IM!$F$2:$F$5000=A300)*(ISNUMBER(SEARCH(勤務統計!$C$1, IM!$AC$2:$AC$5000))))&gt;0), 勤務統計!$C$1, "")</f>
        <v/>
      </c>
      <c r="J300" s="399" t="str">
        <f t="array" ref="J300">IFERROR(INDEX(IM!$AM$2:$AM$5000, MATCH(1, (IM!$F$2:$F$5000=A300) * (ISNUMBER(SEARCH(勤務統計!$C$1, IM!$AC$2:$AC$5000))), 0)), "")</f>
        <v/>
      </c>
      <c r="K300" s="400">
        <f t="array" ref="K300">SUMPRODUCT((IM!$F$2:$F$5000=A300)*(IM!$AD$2:$AD$5000="O")*(ISNUMBER(SEARCH(勤務統計!$C$1, IM!$AC$2:$AC$5000))))</f>
        <v>0</v>
      </c>
      <c r="L300" s="401" t="str">
        <f t="array" ref="L300">IF(K300&gt;0,IFERROR(HYPERLINK("#'IM'!AC"&amp;MATCH(1,(IM!$F$1:$F$5000=A300)*(ISNUMBER(SEARCH(勤務統計!$C$1,IM!$AC$1:$AC$5000))),0),"檢核"),"未登錄"),"")</f>
        <v/>
      </c>
      <c r="M300" s="402" t="str">
        <f t="shared" si="4"/>
        <v/>
      </c>
      <c r="N300" s="402" t="str">
        <f t="array" ref="N300">IF(AND(
    SUMPRODUCT(
        (IM!$F$2:$F$522=A300) *
        ISNUMBER(SEARCH("*HUB*", IM!$AC$2:$AC$522)) *
        (IM!$X$2:$X$522&gt;=勤務統計!$A$1) *
        (IM!$X$2:$X$522&lt;=勤務統計!$B$1)*(W300="HUB")
    ) &gt; 0
), "HUB", "")</f>
        <v/>
      </c>
      <c r="O300" s="400" t="str">
        <f>IF(
  IFERROR(VLOOKUP(A300,勤務統計!A:I,9,FALSE),"")&lt;&gt;勤務統計!$C$1,
  "未完工",
  IF(
    AND(勤務統計!$D$1="--",勤務統計!$E$1="--",勤務統計!$F$1="--"),
    "已完工",
    IF(
      OR(
        AND(勤務統計!$D$1&lt;&gt;"--", IFERROR(VLOOKUP(A300,'0919門市清單主檔'!B:AH,31,FALSE),"")=勤務統計!$D$1, IFERROR(VLOOKUP(A300,勤務統計!A:Q,17,FALSE),"")&lt;&gt;勤務統計!$D$1),
        AND(勤務統計!$E$1&lt;&gt;"--", IFERROR(VLOOKUP(A300,'0919門市清單主檔'!B:AH,32,FALSE),"")=勤務統計!$E$1, IFERROR(VLOOKUP(A300,勤務統計!A:S,19,FALSE),"")&lt;&gt;勤務統計!$E$1),
        AND(勤務統計!$F$1&lt;&gt;"--", IFERROR(VLOOKUP(A300,'0919門市清單主檔'!B:AH,33,FALSE),"")=勤務統計!$F$1, IFERROR(VLOOKUP(A300,勤務統計!A:U,21,FALSE),"")&lt;&gt;勤務統計!$F$1),
        AND(IFERROR(VLOOKUP(A300,'0919門市清單主檔'!B:AH,28,FALSE),"")="HUB", IFERROR(VLOOKUP(A300,勤務統計!A:W,23,FALSE),"")&lt;&gt;"HUB")
      ),
      _xlfn.TEXTJOIN(
        "，",
        TRUE,
        IF(AND(勤務統計!$D$1&lt;&gt;"--", IFERROR(VLOOKUP(A300,'0919門市清單主檔'!B:AH,31,FALSE),"")=勤務統計!$D$1, IFERROR(VLOOKUP(A300,勤務統計!A:Q,17,FALSE),"")&lt;&gt;勤務統計!$D$1), 勤務統計!$D$1, ""),
        IF(AND(勤務統計!$E$1&lt;&gt;"--", IFERROR(VLOOKUP(A300,'0919門市清單主檔'!B:AH,32,FALSE),"")=勤務統計!$E$1, IFERROR(VLOOKUP(A300,勤務統計!A:S,19,FALSE),"")&lt;&gt;勤務統計!$E$1), 勤務統計!$E$1, ""),
        IF(AND(勤務統計!$F$1&lt;&gt;"--", IFERROR(VLOOKUP(A300,'0919門市清單主檔'!B:AH,33,FALSE),"")=勤務統計!$F$1, IFERROR(VLOOKUP(A300,勤務統計!A:U,21,FALSE),"")&lt;&gt;勤務統計!$F$1), 勤務統計!$F$1, ""),
        IF(AND(IFERROR(VLOOKUP(A300,'0919門市清單主檔'!B:AH,28,FALSE),"")="HUB", IFERROR(VLOOKUP(A300,勤務統計!A:W,23,FALSE),"")&lt;&gt;"HUB"), "HUB", "")
      ) &amp; "未完工",
      "已完工"
    )
  )
)</f>
        <v>未完工</v>
      </c>
      <c r="P300" s="435" t="str">
        <f>(TEXT(I300,"yyyymmdd"))&amp;勤務統計!$V$2&amp;A300&amp;勤務統計!$V$2&amp;B300&amp;勤務統計!$S$2</f>
        <v>-C052-中和連城店(定保)</v>
      </c>
      <c r="Q300" s="404" t="str">
        <f t="array" ref="Q300">IF(AND(SUMPRODUCT((IM!$F$2:$F$5000=A300)*(ISNUMBER(SEARCH(勤務統計!$D$1, IM!$AC$2:$AC$5000))))&gt;0), 勤務統計!$D$1, "")</f>
        <v/>
      </c>
      <c r="R300" s="405" t="str">
        <f t="array" ref="R300">IFERROR(INDEX(IM!$AM$2:$AM$5000, MATCH(1, (IM!$F$2:$F$5000=A300) * (ISNUMBER(SEARCH(勤務統計!$D$1, IM!$AC$2:$AC$5000))), 0)), "")</f>
        <v/>
      </c>
      <c r="S300" s="406" t="str" cm="1">
        <f t="array" ref="S300">IF(AND(SUMPRODUCT((IM!$F$2:$F$5000=A300)*(ISNUMBER(SEARCH(勤務統計!$E$1, IM!$AC$2:$AC$5000))))&gt;0), 勤務統計!$E$1, "")</f>
        <v/>
      </c>
      <c r="T300" s="405" t="str">
        <f t="array" ref="T300">IFERROR(INDEX(IM!$AM$2:$AM$5000, MATCH(1, (IM!$F$2:$F$5000=A300) * (ISNUMBER(SEARCH(勤務統計!$E$1, IM!$AC$2:$AC$5000))), 0)), "")</f>
        <v/>
      </c>
      <c r="U300" s="406" t="str" cm="1">
        <f t="array" ref="U300">IF(AND(SUMPRODUCT((IM!$F$2:$F$5000=A300)*(ISNUMBER(SEARCH(勤務統計!$F$1, IM!$AC$2:$AC$5000))))&gt;0), 勤務統計!$F$1, "")</f>
        <v/>
      </c>
      <c r="V300" s="405" t="str">
        <f t="array" ref="V300">IFERROR(INDEX(IM!$AM$2:$AM$5000, MATCH(1, (IM!$F$2:$F$5000=A300) * (ISNUMBER(SEARCH(勤務統計!$F$1, IM!$AC$2:$AC$5000))), 0)), "")</f>
        <v/>
      </c>
      <c r="W300" s="436" t="str">
        <f>IF(VLOOKUP(A300,'0919門市清單主檔'!B:AC,28,FALSE)=0,"",VLOOKUP(A300,'0919門市清單主檔'!B:AC,28,FALSE))</f>
        <v/>
      </c>
    </row>
    <row r="301" spans="1:23" ht="21.6" customHeight="1">
      <c r="A301" s="409">
        <v>4020</v>
      </c>
      <c r="B301" s="409" t="str">
        <f>VLOOKUP(A301,'0919門市清單主檔'!B:C,2,FALSE)</f>
        <v>中和連勝店</v>
      </c>
      <c r="C301" s="409" t="str">
        <f>VLOOKUP($A301,'0919門市清單主檔'!B:V,20,FALSE)</f>
        <v>新北市</v>
      </c>
      <c r="D301" s="409" t="str">
        <f>VLOOKUP($A301,'0919門市清單主檔'!B:V,21,FALSE)</f>
        <v>中和區</v>
      </c>
      <c r="E301" s="397" t="str">
        <f>VLOOKUP(D301,門市狀態!G:H,2,FALSE)</f>
        <v>劉柏均</v>
      </c>
      <c r="F301" s="409" t="str">
        <f>IFERROR(IF(VLOOKUP(A301,門市狀態!A:D,4,FALSE)=0,"",VLOOKUP(A301,門市狀態!A:D,4,FALSE)),"")</f>
        <v/>
      </c>
      <c r="G301" s="409"/>
      <c r="H301" s="411" t="str">
        <f>IF(I301&gt;0,(TEXT(I301,"yyyymmdd")&amp;勤務統計!$V$2&amp;A301&amp;勤務統計!$V$2&amp;B301&amp;勤務統計!$S$2),"")</f>
        <v>-4020-中和連勝店(定保)</v>
      </c>
      <c r="I301" s="247" t="str">
        <f t="array" ref="I301">IF(AND(SUMPRODUCT((IM!$F$2:$F$5000=A301)*(ISNUMBER(SEARCH(勤務統計!$C$1, IM!$AC$2:$AC$5000))))&gt;0), 勤務統計!$C$1, "")</f>
        <v/>
      </c>
      <c r="J301" s="399" t="str">
        <f t="array" ref="J301">IFERROR(INDEX(IM!$AM$2:$AM$5000, MATCH(1, (IM!$F$2:$F$5000=A301) * (ISNUMBER(SEARCH(勤務統計!$C$1, IM!$AC$2:$AC$5000))), 0)), "")</f>
        <v/>
      </c>
      <c r="K301" s="400">
        <f t="array" ref="K301">SUMPRODUCT((IM!$F$2:$F$5000=A301)*(IM!$AD$2:$AD$5000="O")*(ISNUMBER(SEARCH(勤務統計!$C$1, IM!$AC$2:$AC$5000))))</f>
        <v>0</v>
      </c>
      <c r="L301" s="401" t="str">
        <f t="array" ref="L301">IF(K301&gt;0,IFERROR(HYPERLINK("#'IM'!AC"&amp;MATCH(1,(IM!$F$1:$F$5000=A301)*(ISNUMBER(SEARCH(勤務統計!$C$1,IM!$AC$1:$AC$5000))),0),"檢核"),"未登錄"),"")</f>
        <v/>
      </c>
      <c r="M301" s="402" t="str">
        <f t="shared" si="4"/>
        <v/>
      </c>
      <c r="N301" s="402" t="str">
        <f t="array" ref="N301">IF(AND(
    SUMPRODUCT(
        (IM!$F$2:$F$522=A301) *
        ISNUMBER(SEARCH("*HUB*", IM!$AC$2:$AC$522)) *
        (IM!$X$2:$X$522&gt;=勤務統計!$A$1) *
        (IM!$X$2:$X$522&lt;=勤務統計!$B$1)*(W301="HUB")
    ) &gt; 0
), "HUB", "")</f>
        <v/>
      </c>
      <c r="O301" s="400" t="str">
        <f>IF(
  IFERROR(VLOOKUP(A301,勤務統計!A:I,9,FALSE),"")&lt;&gt;勤務統計!$C$1,
  "未完工",
  IF(
    AND(勤務統計!$D$1="--",勤務統計!$E$1="--",勤務統計!$F$1="--"),
    "已完工",
    IF(
      OR(
        AND(勤務統計!$D$1&lt;&gt;"--", IFERROR(VLOOKUP(A301,'0919門市清單主檔'!B:AH,31,FALSE),"")=勤務統計!$D$1, IFERROR(VLOOKUP(A301,勤務統計!A:Q,17,FALSE),"")&lt;&gt;勤務統計!$D$1),
        AND(勤務統計!$E$1&lt;&gt;"--", IFERROR(VLOOKUP(A301,'0919門市清單主檔'!B:AH,32,FALSE),"")=勤務統計!$E$1, IFERROR(VLOOKUP(A301,勤務統計!A:S,19,FALSE),"")&lt;&gt;勤務統計!$E$1),
        AND(勤務統計!$F$1&lt;&gt;"--", IFERROR(VLOOKUP(A301,'0919門市清單主檔'!B:AH,33,FALSE),"")=勤務統計!$F$1, IFERROR(VLOOKUP(A301,勤務統計!A:U,21,FALSE),"")&lt;&gt;勤務統計!$F$1),
        AND(IFERROR(VLOOKUP(A301,'0919門市清單主檔'!B:AH,28,FALSE),"")="HUB", IFERROR(VLOOKUP(A301,勤務統計!A:W,23,FALSE),"")&lt;&gt;"HUB")
      ),
      _xlfn.TEXTJOIN(
        "，",
        TRUE,
        IF(AND(勤務統計!$D$1&lt;&gt;"--", IFERROR(VLOOKUP(A301,'0919門市清單主檔'!B:AH,31,FALSE),"")=勤務統計!$D$1, IFERROR(VLOOKUP(A301,勤務統計!A:Q,17,FALSE),"")&lt;&gt;勤務統計!$D$1), 勤務統計!$D$1, ""),
        IF(AND(勤務統計!$E$1&lt;&gt;"--", IFERROR(VLOOKUP(A301,'0919門市清單主檔'!B:AH,32,FALSE),"")=勤務統計!$E$1, IFERROR(VLOOKUP(A301,勤務統計!A:S,19,FALSE),"")&lt;&gt;勤務統計!$E$1), 勤務統計!$E$1, ""),
        IF(AND(勤務統計!$F$1&lt;&gt;"--", IFERROR(VLOOKUP(A301,'0919門市清單主檔'!B:AH,33,FALSE),"")=勤務統計!$F$1, IFERROR(VLOOKUP(A301,勤務統計!A:U,21,FALSE),"")&lt;&gt;勤務統計!$F$1), 勤務統計!$F$1, ""),
        IF(AND(IFERROR(VLOOKUP(A301,'0919門市清單主檔'!B:AH,28,FALSE),"")="HUB", IFERROR(VLOOKUP(A301,勤務統計!A:W,23,FALSE),"")&lt;&gt;"HUB"), "HUB", "")
      ) &amp; "未完工",
      "已完工"
    )
  )
)</f>
        <v>未完工</v>
      </c>
      <c r="P301" s="435" t="str">
        <f>(TEXT(I301,"yyyymmdd"))&amp;勤務統計!$V$2&amp;A301&amp;勤務統計!$V$2&amp;B301&amp;勤務統計!$S$2</f>
        <v>-4020-中和連勝店(定保)</v>
      </c>
      <c r="Q301" s="404" t="str">
        <f t="array" ref="Q301">IF(AND(SUMPRODUCT((IM!$F$2:$F$5000=A301)*(ISNUMBER(SEARCH(勤務統計!$D$1, IM!$AC$2:$AC$5000))))&gt;0), 勤務統計!$D$1, "")</f>
        <v/>
      </c>
      <c r="R301" s="405" t="str">
        <f t="array" ref="R301">IFERROR(INDEX(IM!$AM$2:$AM$5000, MATCH(1, (IM!$F$2:$F$5000=A301) * (ISNUMBER(SEARCH(勤務統計!$D$1, IM!$AC$2:$AC$5000))), 0)), "")</f>
        <v/>
      </c>
      <c r="S301" s="406" t="str" cm="1">
        <f t="array" ref="S301">IF(AND(SUMPRODUCT((IM!$F$2:$F$5000=A301)*(ISNUMBER(SEARCH(勤務統計!$E$1, IM!$AC$2:$AC$5000))))&gt;0), 勤務統計!$E$1, "")</f>
        <v/>
      </c>
      <c r="T301" s="405" t="str">
        <f t="array" ref="T301">IFERROR(INDEX(IM!$AM$2:$AM$5000, MATCH(1, (IM!$F$2:$F$5000=A301) * (ISNUMBER(SEARCH(勤務統計!$E$1, IM!$AC$2:$AC$5000))), 0)), "")</f>
        <v/>
      </c>
      <c r="U301" s="406" t="str" cm="1">
        <f t="array" ref="U301">IF(AND(SUMPRODUCT((IM!$F$2:$F$5000=A301)*(ISNUMBER(SEARCH(勤務統計!$F$1, IM!$AC$2:$AC$5000))))&gt;0), 勤務統計!$F$1, "")</f>
        <v/>
      </c>
      <c r="V301" s="405" t="str">
        <f t="array" ref="V301">IFERROR(INDEX(IM!$AM$2:$AM$5000, MATCH(1, (IM!$F$2:$F$5000=A301) * (ISNUMBER(SEARCH(勤務統計!$F$1, IM!$AC$2:$AC$5000))), 0)), "")</f>
        <v/>
      </c>
      <c r="W301" s="436" t="str">
        <f>IF(VLOOKUP(A301,'0919門市清單主檔'!B:AC,28,FALSE)=0,"",VLOOKUP(A301,'0919門市清單主檔'!B:AC,28,FALSE))</f>
        <v/>
      </c>
    </row>
    <row r="302" spans="1:23" ht="21.6" customHeight="1">
      <c r="A302" s="409">
        <v>4748</v>
      </c>
      <c r="B302" s="409" t="str">
        <f>VLOOKUP(A302,'0919門市清單主檔'!B:C,2,FALSE)</f>
        <v>中和霸氣店</v>
      </c>
      <c r="C302" s="409" t="str">
        <f>VLOOKUP($A302,'0919門市清單主檔'!B:V,20,FALSE)</f>
        <v>新北市</v>
      </c>
      <c r="D302" s="409" t="str">
        <f>VLOOKUP($A302,'0919門市清單主檔'!B:V,21,FALSE)</f>
        <v>中和區</v>
      </c>
      <c r="E302" s="397" t="str">
        <f>VLOOKUP(D302,門市狀態!G:H,2,FALSE)</f>
        <v>劉柏均</v>
      </c>
      <c r="F302" s="409" t="str">
        <f>IFERROR(IF(VLOOKUP(A302,門市狀態!A:D,4,FALSE)=0,"",VLOOKUP(A302,門市狀態!A:D,4,FALSE)),"")</f>
        <v/>
      </c>
      <c r="G302" s="409"/>
      <c r="H302" s="411" t="str">
        <f>IF(I302&gt;0,(TEXT(I302,"yyyymmdd")&amp;勤務統計!$V$2&amp;A302&amp;勤務統計!$V$2&amp;B302&amp;勤務統計!$S$2),"")</f>
        <v>-4748-中和霸氣店(定保)</v>
      </c>
      <c r="I302" s="247" t="str">
        <f t="array" ref="I302">IF(AND(SUMPRODUCT((IM!$F$2:$F$5000=A302)*(ISNUMBER(SEARCH(勤務統計!$C$1, IM!$AC$2:$AC$5000))))&gt;0), 勤務統計!$C$1, "")</f>
        <v/>
      </c>
      <c r="J302" s="399" t="str">
        <f t="array" ref="J302">IFERROR(INDEX(IM!$AM$2:$AM$5000, MATCH(1, (IM!$F$2:$F$5000=A302) * (ISNUMBER(SEARCH(勤務統計!$C$1, IM!$AC$2:$AC$5000))), 0)), "")</f>
        <v/>
      </c>
      <c r="K302" s="400">
        <f t="array" ref="K302">SUMPRODUCT((IM!$F$2:$F$5000=A302)*(IM!$AD$2:$AD$5000="O")*(ISNUMBER(SEARCH(勤務統計!$C$1, IM!$AC$2:$AC$5000))))</f>
        <v>0</v>
      </c>
      <c r="L302" s="401" t="str">
        <f t="array" ref="L302">IF(K302&gt;0,IFERROR(HYPERLINK("#'IM'!AC"&amp;MATCH(1,(IM!$F$1:$F$5000=A302)*(ISNUMBER(SEARCH(勤務統計!$C$1,IM!$AC$1:$AC$5000))),0),"檢核"),"未登錄"),"")</f>
        <v/>
      </c>
      <c r="M302" s="402" t="str">
        <f t="shared" si="4"/>
        <v/>
      </c>
      <c r="N302" s="402" t="str">
        <f t="array" ref="N302">IF(AND(
    SUMPRODUCT(
        (IM!$F$2:$F$522=A302) *
        ISNUMBER(SEARCH("*HUB*", IM!$AC$2:$AC$522)) *
        (IM!$X$2:$X$522&gt;=勤務統計!$A$1) *
        (IM!$X$2:$X$522&lt;=勤務統計!$B$1)*(W302="HUB")
    ) &gt; 0
), "HUB", "")</f>
        <v/>
      </c>
      <c r="O302" s="400" t="str">
        <f>IF(
  IFERROR(VLOOKUP(A302,勤務統計!A:I,9,FALSE),"")&lt;&gt;勤務統計!$C$1,
  "未完工",
  IF(
    AND(勤務統計!$D$1="--",勤務統計!$E$1="--",勤務統計!$F$1="--"),
    "已完工",
    IF(
      OR(
        AND(勤務統計!$D$1&lt;&gt;"--", IFERROR(VLOOKUP(A302,'0919門市清單主檔'!B:AH,31,FALSE),"")=勤務統計!$D$1, IFERROR(VLOOKUP(A302,勤務統計!A:Q,17,FALSE),"")&lt;&gt;勤務統計!$D$1),
        AND(勤務統計!$E$1&lt;&gt;"--", IFERROR(VLOOKUP(A302,'0919門市清單主檔'!B:AH,32,FALSE),"")=勤務統計!$E$1, IFERROR(VLOOKUP(A302,勤務統計!A:S,19,FALSE),"")&lt;&gt;勤務統計!$E$1),
        AND(勤務統計!$F$1&lt;&gt;"--", IFERROR(VLOOKUP(A302,'0919門市清單主檔'!B:AH,33,FALSE),"")=勤務統計!$F$1, IFERROR(VLOOKUP(A302,勤務統計!A:U,21,FALSE),"")&lt;&gt;勤務統計!$F$1),
        AND(IFERROR(VLOOKUP(A302,'0919門市清單主檔'!B:AH,28,FALSE),"")="HUB", IFERROR(VLOOKUP(A302,勤務統計!A:W,23,FALSE),"")&lt;&gt;"HUB")
      ),
      _xlfn.TEXTJOIN(
        "，",
        TRUE,
        IF(AND(勤務統計!$D$1&lt;&gt;"--", IFERROR(VLOOKUP(A302,'0919門市清單主檔'!B:AH,31,FALSE),"")=勤務統計!$D$1, IFERROR(VLOOKUP(A302,勤務統計!A:Q,17,FALSE),"")&lt;&gt;勤務統計!$D$1), 勤務統計!$D$1, ""),
        IF(AND(勤務統計!$E$1&lt;&gt;"--", IFERROR(VLOOKUP(A302,'0919門市清單主檔'!B:AH,32,FALSE),"")=勤務統計!$E$1, IFERROR(VLOOKUP(A302,勤務統計!A:S,19,FALSE),"")&lt;&gt;勤務統計!$E$1), 勤務統計!$E$1, ""),
        IF(AND(勤務統計!$F$1&lt;&gt;"--", IFERROR(VLOOKUP(A302,'0919門市清單主檔'!B:AH,33,FALSE),"")=勤務統計!$F$1, IFERROR(VLOOKUP(A302,勤務統計!A:U,21,FALSE),"")&lt;&gt;勤務統計!$F$1), 勤務統計!$F$1, ""),
        IF(AND(IFERROR(VLOOKUP(A302,'0919門市清單主檔'!B:AH,28,FALSE),"")="HUB", IFERROR(VLOOKUP(A302,勤務統計!A:W,23,FALSE),"")&lt;&gt;"HUB"), "HUB", "")
      ) &amp; "未完工",
      "已完工"
    )
  )
)</f>
        <v>未完工</v>
      </c>
      <c r="P302" s="435" t="str">
        <f>(TEXT(I302,"yyyymmdd"))&amp;勤務統計!$V$2&amp;A302&amp;勤務統計!$V$2&amp;B302&amp;勤務統計!$S$2</f>
        <v>-4748-中和霸氣店(定保)</v>
      </c>
      <c r="Q302" s="404" t="str">
        <f t="array" ref="Q302">IF(AND(SUMPRODUCT((IM!$F$2:$F$5000=A302)*(ISNUMBER(SEARCH(勤務統計!$D$1, IM!$AC$2:$AC$5000))))&gt;0), 勤務統計!$D$1, "")</f>
        <v/>
      </c>
      <c r="R302" s="405" t="str">
        <f t="array" ref="R302">IFERROR(INDEX(IM!$AM$2:$AM$5000, MATCH(1, (IM!$F$2:$F$5000=A302) * (ISNUMBER(SEARCH(勤務統計!$D$1, IM!$AC$2:$AC$5000))), 0)), "")</f>
        <v/>
      </c>
      <c r="S302" s="406" t="str" cm="1">
        <f t="array" ref="S302">IF(AND(SUMPRODUCT((IM!$F$2:$F$5000=A302)*(ISNUMBER(SEARCH(勤務統計!$E$1, IM!$AC$2:$AC$5000))))&gt;0), 勤務統計!$E$1, "")</f>
        <v/>
      </c>
      <c r="T302" s="405" t="str">
        <f t="array" ref="T302">IFERROR(INDEX(IM!$AM$2:$AM$5000, MATCH(1, (IM!$F$2:$F$5000=A302) * (ISNUMBER(SEARCH(勤務統計!$E$1, IM!$AC$2:$AC$5000))), 0)), "")</f>
        <v/>
      </c>
      <c r="U302" s="406" t="str" cm="1">
        <f t="array" ref="U302">IF(AND(SUMPRODUCT((IM!$F$2:$F$5000=A302)*(ISNUMBER(SEARCH(勤務統計!$F$1, IM!$AC$2:$AC$5000))))&gt;0), 勤務統計!$F$1, "")</f>
        <v/>
      </c>
      <c r="V302" s="405" t="str">
        <f t="array" ref="V302">IFERROR(INDEX(IM!$AM$2:$AM$5000, MATCH(1, (IM!$F$2:$F$5000=A302) * (ISNUMBER(SEARCH(勤務統計!$F$1, IM!$AC$2:$AC$5000))), 0)), "")</f>
        <v/>
      </c>
      <c r="W302" s="436" t="str">
        <f>IF(VLOOKUP(A302,'0919門市清單主檔'!B:AC,28,FALSE)=0,"",VLOOKUP(A302,'0919門市清單主檔'!B:AC,28,FALSE))</f>
        <v/>
      </c>
    </row>
    <row r="303" spans="1:23" ht="21.6" customHeight="1">
      <c r="A303" s="409" t="s">
        <v>90</v>
      </c>
      <c r="B303" s="409" t="str">
        <f>VLOOKUP(A303,'0919門市清單主檔'!B:C,2,FALSE)</f>
        <v>北縣福美店</v>
      </c>
      <c r="C303" s="409" t="str">
        <f>VLOOKUP($A303,'0919門市清單主檔'!B:V,20,FALSE)</f>
        <v>新北市</v>
      </c>
      <c r="D303" s="409" t="str">
        <f>VLOOKUP($A303,'0919門市清單主檔'!B:V,21,FALSE)</f>
        <v>中和區</v>
      </c>
      <c r="E303" s="397" t="str">
        <f>VLOOKUP(D303,門市狀態!G:H,2,FALSE)</f>
        <v>劉柏均</v>
      </c>
      <c r="F303" s="409" t="str">
        <f>IFERROR(IF(VLOOKUP(A303,門市狀態!A:D,4,FALSE)=0,"",VLOOKUP(A303,門市狀態!A:D,4,FALSE)),"")</f>
        <v/>
      </c>
      <c r="G303" s="409"/>
      <c r="H303" s="411" t="str">
        <f>IF(I303&gt;0,(TEXT(I303,"yyyymmdd")&amp;勤務統計!$V$2&amp;A303&amp;勤務統計!$V$2&amp;B303&amp;勤務統計!$S$2),"")</f>
        <v>-C192-北縣福美店(定保)</v>
      </c>
      <c r="I303" s="247" t="str">
        <f t="array" ref="I303">IF(AND(SUMPRODUCT((IM!$F$2:$F$5000=A303)*(ISNUMBER(SEARCH(勤務統計!$C$1, IM!$AC$2:$AC$5000))))&gt;0), 勤務統計!$C$1, "")</f>
        <v/>
      </c>
      <c r="J303" s="399" t="str">
        <f t="array" ref="J303">IFERROR(INDEX(IM!$AM$2:$AM$5000, MATCH(1, (IM!$F$2:$F$5000=A303) * (ISNUMBER(SEARCH(勤務統計!$C$1, IM!$AC$2:$AC$5000))), 0)), "")</f>
        <v/>
      </c>
      <c r="K303" s="400">
        <f t="array" ref="K303">SUMPRODUCT((IM!$F$2:$F$5000=A303)*(IM!$AD$2:$AD$5000="O")*(ISNUMBER(SEARCH(勤務統計!$C$1, IM!$AC$2:$AC$5000))))</f>
        <v>0</v>
      </c>
      <c r="L303" s="401" t="str">
        <f t="array" ref="L303">IF(K303&gt;0,IFERROR(HYPERLINK("#'IM'!AC"&amp;MATCH(1,(IM!$F$1:$F$5000=A303)*(ISNUMBER(SEARCH(勤務統計!$C$1,IM!$AC$1:$AC$5000))),0),"檢核"),"未登錄"),"")</f>
        <v/>
      </c>
      <c r="M303" s="402" t="str">
        <f t="shared" si="4"/>
        <v/>
      </c>
      <c r="N303" s="402" t="str">
        <f t="array" ref="N303">IF(AND(
    SUMPRODUCT(
        (IM!$F$2:$F$522=A303) *
        ISNUMBER(SEARCH("*HUB*", IM!$AC$2:$AC$522)) *
        (IM!$X$2:$X$522&gt;=勤務統計!$A$1) *
        (IM!$X$2:$X$522&lt;=勤務統計!$B$1)*(W303="HUB")
    ) &gt; 0
), "HUB", "")</f>
        <v/>
      </c>
      <c r="O303" s="400" t="str">
        <f>IF(
  IFERROR(VLOOKUP(A303,勤務統計!A:I,9,FALSE),"")&lt;&gt;勤務統計!$C$1,
  "未完工",
  IF(
    AND(勤務統計!$D$1="--",勤務統計!$E$1="--",勤務統計!$F$1="--"),
    "已完工",
    IF(
      OR(
        AND(勤務統計!$D$1&lt;&gt;"--", IFERROR(VLOOKUP(A303,'0919門市清單主檔'!B:AH,31,FALSE),"")=勤務統計!$D$1, IFERROR(VLOOKUP(A303,勤務統計!A:Q,17,FALSE),"")&lt;&gt;勤務統計!$D$1),
        AND(勤務統計!$E$1&lt;&gt;"--", IFERROR(VLOOKUP(A303,'0919門市清單主檔'!B:AH,32,FALSE),"")=勤務統計!$E$1, IFERROR(VLOOKUP(A303,勤務統計!A:S,19,FALSE),"")&lt;&gt;勤務統計!$E$1),
        AND(勤務統計!$F$1&lt;&gt;"--", IFERROR(VLOOKUP(A303,'0919門市清單主檔'!B:AH,33,FALSE),"")=勤務統計!$F$1, IFERROR(VLOOKUP(A303,勤務統計!A:U,21,FALSE),"")&lt;&gt;勤務統計!$F$1),
        AND(IFERROR(VLOOKUP(A303,'0919門市清單主檔'!B:AH,28,FALSE),"")="HUB", IFERROR(VLOOKUP(A303,勤務統計!A:W,23,FALSE),"")&lt;&gt;"HUB")
      ),
      _xlfn.TEXTJOIN(
        "，",
        TRUE,
        IF(AND(勤務統計!$D$1&lt;&gt;"--", IFERROR(VLOOKUP(A303,'0919門市清單主檔'!B:AH,31,FALSE),"")=勤務統計!$D$1, IFERROR(VLOOKUP(A303,勤務統計!A:Q,17,FALSE),"")&lt;&gt;勤務統計!$D$1), 勤務統計!$D$1, ""),
        IF(AND(勤務統計!$E$1&lt;&gt;"--", IFERROR(VLOOKUP(A303,'0919門市清單主檔'!B:AH,32,FALSE),"")=勤務統計!$E$1, IFERROR(VLOOKUP(A303,勤務統計!A:S,19,FALSE),"")&lt;&gt;勤務統計!$E$1), 勤務統計!$E$1, ""),
        IF(AND(勤務統計!$F$1&lt;&gt;"--", IFERROR(VLOOKUP(A303,'0919門市清單主檔'!B:AH,33,FALSE),"")=勤務統計!$F$1, IFERROR(VLOOKUP(A303,勤務統計!A:U,21,FALSE),"")&lt;&gt;勤務統計!$F$1), 勤務統計!$F$1, ""),
        IF(AND(IFERROR(VLOOKUP(A303,'0919門市清單主檔'!B:AH,28,FALSE),"")="HUB", IFERROR(VLOOKUP(A303,勤務統計!A:W,23,FALSE),"")&lt;&gt;"HUB"), "HUB", "")
      ) &amp; "未完工",
      "已完工"
    )
  )
)</f>
        <v>未完工</v>
      </c>
      <c r="P303" s="435" t="str">
        <f>(TEXT(I303,"yyyymmdd"))&amp;勤務統計!$V$2&amp;A303&amp;勤務統計!$V$2&amp;B303&amp;勤務統計!$S$2</f>
        <v>-C192-北縣福美店(定保)</v>
      </c>
      <c r="Q303" s="404" t="str">
        <f t="array" ref="Q303">IF(AND(SUMPRODUCT((IM!$F$2:$F$5000=A303)*(ISNUMBER(SEARCH(勤務統計!$D$1, IM!$AC$2:$AC$5000))))&gt;0), 勤務統計!$D$1, "")</f>
        <v/>
      </c>
      <c r="R303" s="405" t="str">
        <f t="array" ref="R303">IFERROR(INDEX(IM!$AM$2:$AM$5000, MATCH(1, (IM!$F$2:$F$5000=A303) * (ISNUMBER(SEARCH(勤務統計!$D$1, IM!$AC$2:$AC$5000))), 0)), "")</f>
        <v/>
      </c>
      <c r="S303" s="406" t="str" cm="1">
        <f t="array" ref="S303">IF(AND(SUMPRODUCT((IM!$F$2:$F$5000=A303)*(ISNUMBER(SEARCH(勤務統計!$E$1, IM!$AC$2:$AC$5000))))&gt;0), 勤務統計!$E$1, "")</f>
        <v/>
      </c>
      <c r="T303" s="405" t="str">
        <f t="array" ref="T303">IFERROR(INDEX(IM!$AM$2:$AM$5000, MATCH(1, (IM!$F$2:$F$5000=A303) * (ISNUMBER(SEARCH(勤務統計!$E$1, IM!$AC$2:$AC$5000))), 0)), "")</f>
        <v/>
      </c>
      <c r="U303" s="406" t="str" cm="1">
        <f t="array" ref="U303">IF(AND(SUMPRODUCT((IM!$F$2:$F$5000=A303)*(ISNUMBER(SEARCH(勤務統計!$F$1, IM!$AC$2:$AC$5000))))&gt;0), 勤務統計!$F$1, "")</f>
        <v/>
      </c>
      <c r="V303" s="405" t="str">
        <f t="array" ref="V303">IFERROR(INDEX(IM!$AM$2:$AM$5000, MATCH(1, (IM!$F$2:$F$5000=A303) * (ISNUMBER(SEARCH(勤務統計!$F$1, IM!$AC$2:$AC$5000))), 0)), "")</f>
        <v/>
      </c>
      <c r="W303" s="436" t="str">
        <f>IF(VLOOKUP(A303,'0919門市清單主檔'!B:AC,28,FALSE)=0,"",VLOOKUP(A303,'0919門市清單主檔'!B:AC,28,FALSE))</f>
        <v/>
      </c>
    </row>
    <row r="304" spans="1:23" ht="21.6" customHeight="1">
      <c r="A304" s="409">
        <v>4008</v>
      </c>
      <c r="B304" s="409" t="str">
        <f>VLOOKUP(A304,'0919門市清單主檔'!B:C,2,FALSE)</f>
        <v>中和力德店</v>
      </c>
      <c r="C304" s="409" t="str">
        <f>VLOOKUP($A304,'0919門市清單主檔'!B:V,20,FALSE)</f>
        <v>新北市</v>
      </c>
      <c r="D304" s="409" t="str">
        <f>VLOOKUP($A304,'0919門市清單主檔'!B:V,21,FALSE)</f>
        <v>中和區</v>
      </c>
      <c r="E304" s="397" t="str">
        <f>VLOOKUP(D304,門市狀態!G:H,2,FALSE)</f>
        <v>劉柏均</v>
      </c>
      <c r="F304" s="409" t="str">
        <f>IFERROR(IF(VLOOKUP(A304,門市狀態!A:D,4,FALSE)=0,"",VLOOKUP(A304,門市狀態!A:D,4,FALSE)),"")</f>
        <v/>
      </c>
      <c r="G304" s="409"/>
      <c r="H304" s="411" t="str">
        <f>IF(I304&gt;0,(TEXT(I304,"yyyymmdd")&amp;勤務統計!$V$2&amp;A304&amp;勤務統計!$V$2&amp;B304&amp;勤務統計!$S$2),"")</f>
        <v>-4008-中和力德店(定保)</v>
      </c>
      <c r="I304" s="247" t="str">
        <f t="array" ref="I304">IF(AND(SUMPRODUCT((IM!$F$2:$F$5000=A304)*(ISNUMBER(SEARCH(勤務統計!$C$1, IM!$AC$2:$AC$5000))))&gt;0), 勤務統計!$C$1, "")</f>
        <v/>
      </c>
      <c r="J304" s="399" t="str">
        <f t="array" ref="J304">IFERROR(INDEX(IM!$AM$2:$AM$5000, MATCH(1, (IM!$F$2:$F$5000=A304) * (ISNUMBER(SEARCH(勤務統計!$C$1, IM!$AC$2:$AC$5000))), 0)), "")</f>
        <v/>
      </c>
      <c r="K304" s="400">
        <f t="array" ref="K304">SUMPRODUCT((IM!$F$2:$F$5000=A304)*(IM!$AD$2:$AD$5000="O")*(ISNUMBER(SEARCH(勤務統計!$C$1, IM!$AC$2:$AC$5000))))</f>
        <v>0</v>
      </c>
      <c r="L304" s="401" t="str">
        <f t="array" ref="L304">IF(K304&gt;0,IFERROR(HYPERLINK("#'IM'!AC"&amp;MATCH(1,(IM!$F$1:$F$5000=A304)*(ISNUMBER(SEARCH(勤務統計!$C$1,IM!$AC$1:$AC$5000))),0),"檢核"),"未登錄"),"")</f>
        <v/>
      </c>
      <c r="M304" s="402" t="str">
        <f t="shared" si="4"/>
        <v/>
      </c>
      <c r="N304" s="402" t="str">
        <f t="array" ref="N304">IF(AND(
    SUMPRODUCT(
        (IM!$F$2:$F$522=A304) *
        ISNUMBER(SEARCH("*HUB*", IM!$AC$2:$AC$522)) *
        (IM!$X$2:$X$522&gt;=勤務統計!$A$1) *
        (IM!$X$2:$X$522&lt;=勤務統計!$B$1)*(W304="HUB")
    ) &gt; 0
), "HUB", "")</f>
        <v/>
      </c>
      <c r="O304" s="400" t="str">
        <f>IF(
  IFERROR(VLOOKUP(A304,勤務統計!A:I,9,FALSE),"")&lt;&gt;勤務統計!$C$1,
  "未完工",
  IF(
    AND(勤務統計!$D$1="--",勤務統計!$E$1="--",勤務統計!$F$1="--"),
    "已完工",
    IF(
      OR(
        AND(勤務統計!$D$1&lt;&gt;"--", IFERROR(VLOOKUP(A304,'0919門市清單主檔'!B:AH,31,FALSE),"")=勤務統計!$D$1, IFERROR(VLOOKUP(A304,勤務統計!A:Q,17,FALSE),"")&lt;&gt;勤務統計!$D$1),
        AND(勤務統計!$E$1&lt;&gt;"--", IFERROR(VLOOKUP(A304,'0919門市清單主檔'!B:AH,32,FALSE),"")=勤務統計!$E$1, IFERROR(VLOOKUP(A304,勤務統計!A:S,19,FALSE),"")&lt;&gt;勤務統計!$E$1),
        AND(勤務統計!$F$1&lt;&gt;"--", IFERROR(VLOOKUP(A304,'0919門市清單主檔'!B:AH,33,FALSE),"")=勤務統計!$F$1, IFERROR(VLOOKUP(A304,勤務統計!A:U,21,FALSE),"")&lt;&gt;勤務統計!$F$1),
        AND(IFERROR(VLOOKUP(A304,'0919門市清單主檔'!B:AH,28,FALSE),"")="HUB", IFERROR(VLOOKUP(A304,勤務統計!A:W,23,FALSE),"")&lt;&gt;"HUB")
      ),
      _xlfn.TEXTJOIN(
        "，",
        TRUE,
        IF(AND(勤務統計!$D$1&lt;&gt;"--", IFERROR(VLOOKUP(A304,'0919門市清單主檔'!B:AH,31,FALSE),"")=勤務統計!$D$1, IFERROR(VLOOKUP(A304,勤務統計!A:Q,17,FALSE),"")&lt;&gt;勤務統計!$D$1), 勤務統計!$D$1, ""),
        IF(AND(勤務統計!$E$1&lt;&gt;"--", IFERROR(VLOOKUP(A304,'0919門市清單主檔'!B:AH,32,FALSE),"")=勤務統計!$E$1, IFERROR(VLOOKUP(A304,勤務統計!A:S,19,FALSE),"")&lt;&gt;勤務統計!$E$1), 勤務統計!$E$1, ""),
        IF(AND(勤務統計!$F$1&lt;&gt;"--", IFERROR(VLOOKUP(A304,'0919門市清單主檔'!B:AH,33,FALSE),"")=勤務統計!$F$1, IFERROR(VLOOKUP(A304,勤務統計!A:U,21,FALSE),"")&lt;&gt;勤務統計!$F$1), 勤務統計!$F$1, ""),
        IF(AND(IFERROR(VLOOKUP(A304,'0919門市清單主檔'!B:AH,28,FALSE),"")="HUB", IFERROR(VLOOKUP(A304,勤務統計!A:W,23,FALSE),"")&lt;&gt;"HUB"), "HUB", "")
      ) &amp; "未完工",
      "已完工"
    )
  )
)</f>
        <v>未完工</v>
      </c>
      <c r="P304" s="435" t="str">
        <f>(TEXT(I304,"yyyymmdd"))&amp;勤務統計!$V$2&amp;A304&amp;勤務統計!$V$2&amp;B304&amp;勤務統計!$S$2</f>
        <v>-4008-中和力德店(定保)</v>
      </c>
      <c r="Q304" s="404" t="str">
        <f t="array" ref="Q304">IF(AND(SUMPRODUCT((IM!$F$2:$F$5000=A304)*(ISNUMBER(SEARCH(勤務統計!$D$1, IM!$AC$2:$AC$5000))))&gt;0), 勤務統計!$D$1, "")</f>
        <v/>
      </c>
      <c r="R304" s="405" t="str">
        <f t="array" ref="R304">IFERROR(INDEX(IM!$AM$2:$AM$5000, MATCH(1, (IM!$F$2:$F$5000=A304) * (ISNUMBER(SEARCH(勤務統計!$D$1, IM!$AC$2:$AC$5000))), 0)), "")</f>
        <v/>
      </c>
      <c r="S304" s="406" t="str" cm="1">
        <f t="array" ref="S304">IF(AND(SUMPRODUCT((IM!$F$2:$F$5000=A304)*(ISNUMBER(SEARCH(勤務統計!$E$1, IM!$AC$2:$AC$5000))))&gt;0), 勤務統計!$E$1, "")</f>
        <v/>
      </c>
      <c r="T304" s="405" t="str">
        <f t="array" ref="T304">IFERROR(INDEX(IM!$AM$2:$AM$5000, MATCH(1, (IM!$F$2:$F$5000=A304) * (ISNUMBER(SEARCH(勤務統計!$E$1, IM!$AC$2:$AC$5000))), 0)), "")</f>
        <v/>
      </c>
      <c r="U304" s="406" t="str" cm="1">
        <f t="array" ref="U304">IF(AND(SUMPRODUCT((IM!$F$2:$F$5000=A304)*(ISNUMBER(SEARCH(勤務統計!$F$1, IM!$AC$2:$AC$5000))))&gt;0), 勤務統計!$F$1, "")</f>
        <v/>
      </c>
      <c r="V304" s="405" t="str">
        <f t="array" ref="V304">IFERROR(INDEX(IM!$AM$2:$AM$5000, MATCH(1, (IM!$F$2:$F$5000=A304) * (ISNUMBER(SEARCH(勤務統計!$F$1, IM!$AC$2:$AC$5000))), 0)), "")</f>
        <v/>
      </c>
      <c r="W304" s="436" t="str">
        <f>IF(VLOOKUP(A304,'0919門市清單主檔'!B:AC,28,FALSE)=0,"",VLOOKUP(A304,'0919門市清單主檔'!B:AC,28,FALSE))</f>
        <v/>
      </c>
    </row>
    <row r="305" spans="1:23" ht="21.6" customHeight="1">
      <c r="A305" s="409">
        <v>3569</v>
      </c>
      <c r="B305" s="409" t="str">
        <f>VLOOKUP(A305,'0919門市清單主檔'!B:C,2,FALSE)</f>
        <v>中和中板店</v>
      </c>
      <c r="C305" s="409" t="str">
        <f>VLOOKUP($A305,'0919門市清單主檔'!B:V,20,FALSE)</f>
        <v>新北市</v>
      </c>
      <c r="D305" s="409" t="str">
        <f>VLOOKUP($A305,'0919門市清單主檔'!B:V,21,FALSE)</f>
        <v>中和區</v>
      </c>
      <c r="E305" s="397" t="str">
        <f>VLOOKUP(D305,門市狀態!G:H,2,FALSE)</f>
        <v>劉柏均</v>
      </c>
      <c r="F305" s="409" t="str">
        <f>IFERROR(IF(VLOOKUP(A305,門市狀態!A:D,4,FALSE)=0,"",VLOOKUP(A305,門市狀態!A:D,4,FALSE)),"")</f>
        <v/>
      </c>
      <c r="G305" s="409"/>
      <c r="H305" s="411" t="str">
        <f>IF(I305&gt;0,(TEXT(I305,"yyyymmdd")&amp;勤務統計!$V$2&amp;A305&amp;勤務統計!$V$2&amp;B305&amp;勤務統計!$S$2),"")</f>
        <v>-3569-中和中板店(定保)</v>
      </c>
      <c r="I305" s="247" t="str">
        <f t="array" ref="I305">IF(AND(SUMPRODUCT((IM!$F$2:$F$5000=A305)*(ISNUMBER(SEARCH(勤務統計!$C$1, IM!$AC$2:$AC$5000))))&gt;0), 勤務統計!$C$1, "")</f>
        <v/>
      </c>
      <c r="J305" s="399" t="str">
        <f t="array" ref="J305">IFERROR(INDEX(IM!$AM$2:$AM$5000, MATCH(1, (IM!$F$2:$F$5000=A305) * (ISNUMBER(SEARCH(勤務統計!$C$1, IM!$AC$2:$AC$5000))), 0)), "")</f>
        <v/>
      </c>
      <c r="K305" s="400">
        <f t="array" ref="K305">SUMPRODUCT((IM!$F$2:$F$5000=A305)*(IM!$AD$2:$AD$5000="O")*(ISNUMBER(SEARCH(勤務統計!$C$1, IM!$AC$2:$AC$5000))))</f>
        <v>0</v>
      </c>
      <c r="L305" s="401" t="str">
        <f t="array" ref="L305">IF(K305&gt;0,IFERROR(HYPERLINK("#'IM'!AC"&amp;MATCH(1,(IM!$F$1:$F$5000=A305)*(ISNUMBER(SEARCH(勤務統計!$C$1,IM!$AC$1:$AC$5000))),0),"檢核"),"未登錄"),"")</f>
        <v/>
      </c>
      <c r="M305" s="402" t="str">
        <f t="shared" si="4"/>
        <v/>
      </c>
      <c r="N305" s="402" t="str">
        <f t="array" ref="N305">IF(AND(
    SUMPRODUCT(
        (IM!$F$2:$F$522=A305) *
        ISNUMBER(SEARCH("*HUB*", IM!$AC$2:$AC$522)) *
        (IM!$X$2:$X$522&gt;=勤務統計!$A$1) *
        (IM!$X$2:$X$522&lt;=勤務統計!$B$1)*(W305="HUB")
    ) &gt; 0
), "HUB", "")</f>
        <v/>
      </c>
      <c r="O305" s="400" t="str">
        <f>IF(
  IFERROR(VLOOKUP(A305,勤務統計!A:I,9,FALSE),"")&lt;&gt;勤務統計!$C$1,
  "未完工",
  IF(
    AND(勤務統計!$D$1="--",勤務統計!$E$1="--",勤務統計!$F$1="--"),
    "已完工",
    IF(
      OR(
        AND(勤務統計!$D$1&lt;&gt;"--", IFERROR(VLOOKUP(A305,'0919門市清單主檔'!B:AH,31,FALSE),"")=勤務統計!$D$1, IFERROR(VLOOKUP(A305,勤務統計!A:Q,17,FALSE),"")&lt;&gt;勤務統計!$D$1),
        AND(勤務統計!$E$1&lt;&gt;"--", IFERROR(VLOOKUP(A305,'0919門市清單主檔'!B:AH,32,FALSE),"")=勤務統計!$E$1, IFERROR(VLOOKUP(A305,勤務統計!A:S,19,FALSE),"")&lt;&gt;勤務統計!$E$1),
        AND(勤務統計!$F$1&lt;&gt;"--", IFERROR(VLOOKUP(A305,'0919門市清單主檔'!B:AH,33,FALSE),"")=勤務統計!$F$1, IFERROR(VLOOKUP(A305,勤務統計!A:U,21,FALSE),"")&lt;&gt;勤務統計!$F$1),
        AND(IFERROR(VLOOKUP(A305,'0919門市清單主檔'!B:AH,28,FALSE),"")="HUB", IFERROR(VLOOKUP(A305,勤務統計!A:W,23,FALSE),"")&lt;&gt;"HUB")
      ),
      _xlfn.TEXTJOIN(
        "，",
        TRUE,
        IF(AND(勤務統計!$D$1&lt;&gt;"--", IFERROR(VLOOKUP(A305,'0919門市清單主檔'!B:AH,31,FALSE),"")=勤務統計!$D$1, IFERROR(VLOOKUP(A305,勤務統計!A:Q,17,FALSE),"")&lt;&gt;勤務統計!$D$1), 勤務統計!$D$1, ""),
        IF(AND(勤務統計!$E$1&lt;&gt;"--", IFERROR(VLOOKUP(A305,'0919門市清單主檔'!B:AH,32,FALSE),"")=勤務統計!$E$1, IFERROR(VLOOKUP(A305,勤務統計!A:S,19,FALSE),"")&lt;&gt;勤務統計!$E$1), 勤務統計!$E$1, ""),
        IF(AND(勤務統計!$F$1&lt;&gt;"--", IFERROR(VLOOKUP(A305,'0919門市清單主檔'!B:AH,33,FALSE),"")=勤務統計!$F$1, IFERROR(VLOOKUP(A305,勤務統計!A:U,21,FALSE),"")&lt;&gt;勤務統計!$F$1), 勤務統計!$F$1, ""),
        IF(AND(IFERROR(VLOOKUP(A305,'0919門市清單主檔'!B:AH,28,FALSE),"")="HUB", IFERROR(VLOOKUP(A305,勤務統計!A:W,23,FALSE),"")&lt;&gt;"HUB"), "HUB", "")
      ) &amp; "未完工",
      "已完工"
    )
  )
)</f>
        <v>未完工</v>
      </c>
      <c r="P305" s="435" t="str">
        <f>(TEXT(I305,"yyyymmdd"))&amp;勤務統計!$V$2&amp;A305&amp;勤務統計!$V$2&amp;B305&amp;勤務統計!$S$2</f>
        <v>-3569-中和中板店(定保)</v>
      </c>
      <c r="Q305" s="404" t="str">
        <f t="array" ref="Q305">IF(AND(SUMPRODUCT((IM!$F$2:$F$5000=A305)*(ISNUMBER(SEARCH(勤務統計!$D$1, IM!$AC$2:$AC$5000))))&gt;0), 勤務統計!$D$1, "")</f>
        <v/>
      </c>
      <c r="R305" s="405" t="str">
        <f t="array" ref="R305">IFERROR(INDEX(IM!$AM$2:$AM$5000, MATCH(1, (IM!$F$2:$F$5000=A305) * (ISNUMBER(SEARCH(勤務統計!$D$1, IM!$AC$2:$AC$5000))), 0)), "")</f>
        <v/>
      </c>
      <c r="S305" s="406" t="str" cm="1">
        <f t="array" ref="S305">IF(AND(SUMPRODUCT((IM!$F$2:$F$5000=A305)*(ISNUMBER(SEARCH(勤務統計!$E$1, IM!$AC$2:$AC$5000))))&gt;0), 勤務統計!$E$1, "")</f>
        <v/>
      </c>
      <c r="T305" s="405" t="str">
        <f t="array" ref="T305">IFERROR(INDEX(IM!$AM$2:$AM$5000, MATCH(1, (IM!$F$2:$F$5000=A305) * (ISNUMBER(SEARCH(勤務統計!$E$1, IM!$AC$2:$AC$5000))), 0)), "")</f>
        <v/>
      </c>
      <c r="U305" s="406" t="str" cm="1">
        <f t="array" ref="U305">IF(AND(SUMPRODUCT((IM!$F$2:$F$5000=A305)*(ISNUMBER(SEARCH(勤務統計!$F$1, IM!$AC$2:$AC$5000))))&gt;0), 勤務統計!$F$1, "")</f>
        <v/>
      </c>
      <c r="V305" s="405" t="str">
        <f t="array" ref="V305">IFERROR(INDEX(IM!$AM$2:$AM$5000, MATCH(1, (IM!$F$2:$F$5000=A305) * (ISNUMBER(SEARCH(勤務統計!$F$1, IM!$AC$2:$AC$5000))), 0)), "")</f>
        <v/>
      </c>
      <c r="W305" s="436" t="str">
        <f>IF(VLOOKUP(A305,'0919門市清單主檔'!B:AC,28,FALSE)=0,"",VLOOKUP(A305,'0919門市清單主檔'!B:AC,28,FALSE))</f>
        <v/>
      </c>
    </row>
    <row r="306" spans="1:23" ht="21.6" customHeight="1">
      <c r="A306" s="409" t="s">
        <v>91</v>
      </c>
      <c r="B306" s="409" t="str">
        <f>VLOOKUP(A306,'0919門市清單主檔'!B:C,2,FALSE)</f>
        <v>中和永安市場</v>
      </c>
      <c r="C306" s="409" t="str">
        <f>VLOOKUP($A306,'0919門市清單主檔'!B:V,20,FALSE)</f>
        <v>新北市</v>
      </c>
      <c r="D306" s="409" t="str">
        <f>VLOOKUP($A306,'0919門市清單主檔'!B:V,21,FALSE)</f>
        <v>中和區</v>
      </c>
      <c r="E306" s="397" t="str">
        <f>VLOOKUP(D306,門市狀態!G:H,2,FALSE)</f>
        <v>劉柏均</v>
      </c>
      <c r="F306" s="409" t="str">
        <f>IFERROR(IF(VLOOKUP(A306,門市狀態!A:D,4,FALSE)=0,"",VLOOKUP(A306,門市狀態!A:D,4,FALSE)),"")</f>
        <v/>
      </c>
      <c r="G306" s="409"/>
      <c r="H306" s="411" t="str">
        <f>IF(I306&gt;0,(TEXT(I306,"yyyymmdd")&amp;勤務統計!$V$2&amp;A306&amp;勤務統計!$V$2&amp;B306&amp;勤務統計!$S$2),"")</f>
        <v>-C660-中和永安市場(定保)</v>
      </c>
      <c r="I306" s="247" t="str">
        <f t="array" ref="I306">IF(AND(SUMPRODUCT((IM!$F$2:$F$5000=A306)*(ISNUMBER(SEARCH(勤務統計!$C$1, IM!$AC$2:$AC$5000))))&gt;0), 勤務統計!$C$1, "")</f>
        <v/>
      </c>
      <c r="J306" s="399" t="str">
        <f t="array" ref="J306">IFERROR(INDEX(IM!$AM$2:$AM$5000, MATCH(1, (IM!$F$2:$F$5000=A306) * (ISNUMBER(SEARCH(勤務統計!$C$1, IM!$AC$2:$AC$5000))), 0)), "")</f>
        <v/>
      </c>
      <c r="K306" s="400">
        <f t="array" ref="K306">SUMPRODUCT((IM!$F$2:$F$5000=A306)*(IM!$AD$2:$AD$5000="O")*(ISNUMBER(SEARCH(勤務統計!$C$1, IM!$AC$2:$AC$5000))))</f>
        <v>0</v>
      </c>
      <c r="L306" s="401" t="str">
        <f t="array" ref="L306">IF(K306&gt;0,IFERROR(HYPERLINK("#'IM'!AC"&amp;MATCH(1,(IM!$F$1:$F$5000=A306)*(ISNUMBER(SEARCH(勤務統計!$C$1,IM!$AC$1:$AC$5000))),0),"檢核"),"未登錄"),"")</f>
        <v/>
      </c>
      <c r="M306" s="402" t="str">
        <f t="shared" si="4"/>
        <v/>
      </c>
      <c r="N306" s="402" t="str">
        <f t="array" ref="N306">IF(AND(
    SUMPRODUCT(
        (IM!$F$2:$F$522=A306) *
        ISNUMBER(SEARCH("*HUB*", IM!$AC$2:$AC$522)) *
        (IM!$X$2:$X$522&gt;=勤務統計!$A$1) *
        (IM!$X$2:$X$522&lt;=勤務統計!$B$1)*(W306="HUB")
    ) &gt; 0
), "HUB", "")</f>
        <v/>
      </c>
      <c r="O306" s="400" t="str">
        <f>IF(
  IFERROR(VLOOKUP(A306,勤務統計!A:I,9,FALSE),"")&lt;&gt;勤務統計!$C$1,
  "未完工",
  IF(
    AND(勤務統計!$D$1="--",勤務統計!$E$1="--",勤務統計!$F$1="--"),
    "已完工",
    IF(
      OR(
        AND(勤務統計!$D$1&lt;&gt;"--", IFERROR(VLOOKUP(A306,'0919門市清單主檔'!B:AH,31,FALSE),"")=勤務統計!$D$1, IFERROR(VLOOKUP(A306,勤務統計!A:Q,17,FALSE),"")&lt;&gt;勤務統計!$D$1),
        AND(勤務統計!$E$1&lt;&gt;"--", IFERROR(VLOOKUP(A306,'0919門市清單主檔'!B:AH,32,FALSE),"")=勤務統計!$E$1, IFERROR(VLOOKUP(A306,勤務統計!A:S,19,FALSE),"")&lt;&gt;勤務統計!$E$1),
        AND(勤務統計!$F$1&lt;&gt;"--", IFERROR(VLOOKUP(A306,'0919門市清單主檔'!B:AH,33,FALSE),"")=勤務統計!$F$1, IFERROR(VLOOKUP(A306,勤務統計!A:U,21,FALSE),"")&lt;&gt;勤務統計!$F$1),
        AND(IFERROR(VLOOKUP(A306,'0919門市清單主檔'!B:AH,28,FALSE),"")="HUB", IFERROR(VLOOKUP(A306,勤務統計!A:W,23,FALSE),"")&lt;&gt;"HUB")
      ),
      _xlfn.TEXTJOIN(
        "，",
        TRUE,
        IF(AND(勤務統計!$D$1&lt;&gt;"--", IFERROR(VLOOKUP(A306,'0919門市清單主檔'!B:AH,31,FALSE),"")=勤務統計!$D$1, IFERROR(VLOOKUP(A306,勤務統計!A:Q,17,FALSE),"")&lt;&gt;勤務統計!$D$1), 勤務統計!$D$1, ""),
        IF(AND(勤務統計!$E$1&lt;&gt;"--", IFERROR(VLOOKUP(A306,'0919門市清單主檔'!B:AH,32,FALSE),"")=勤務統計!$E$1, IFERROR(VLOOKUP(A306,勤務統計!A:S,19,FALSE),"")&lt;&gt;勤務統計!$E$1), 勤務統計!$E$1, ""),
        IF(AND(勤務統計!$F$1&lt;&gt;"--", IFERROR(VLOOKUP(A306,'0919門市清單主檔'!B:AH,33,FALSE),"")=勤務統計!$F$1, IFERROR(VLOOKUP(A306,勤務統計!A:U,21,FALSE),"")&lt;&gt;勤務統計!$F$1), 勤務統計!$F$1, ""),
        IF(AND(IFERROR(VLOOKUP(A306,'0919門市清單主檔'!B:AH,28,FALSE),"")="HUB", IFERROR(VLOOKUP(A306,勤務統計!A:W,23,FALSE),"")&lt;&gt;"HUB"), "HUB", "")
      ) &amp; "未完工",
      "已完工"
    )
  )
)</f>
        <v>未完工</v>
      </c>
      <c r="P306" s="435" t="str">
        <f>(TEXT(I306,"yyyymmdd"))&amp;勤務統計!$V$2&amp;A306&amp;勤務統計!$V$2&amp;B306&amp;勤務統計!$S$2</f>
        <v>-C660-中和永安市場(定保)</v>
      </c>
      <c r="Q306" s="404" t="str">
        <f t="array" ref="Q306">IF(AND(SUMPRODUCT((IM!$F$2:$F$5000=A306)*(ISNUMBER(SEARCH(勤務統計!$D$1, IM!$AC$2:$AC$5000))))&gt;0), 勤務統計!$D$1, "")</f>
        <v/>
      </c>
      <c r="R306" s="405" t="str">
        <f t="array" ref="R306">IFERROR(INDEX(IM!$AM$2:$AM$5000, MATCH(1, (IM!$F$2:$F$5000=A306) * (ISNUMBER(SEARCH(勤務統計!$D$1, IM!$AC$2:$AC$5000))), 0)), "")</f>
        <v/>
      </c>
      <c r="S306" s="406" t="str" cm="1">
        <f t="array" ref="S306">IF(AND(SUMPRODUCT((IM!$F$2:$F$5000=A306)*(ISNUMBER(SEARCH(勤務統計!$E$1, IM!$AC$2:$AC$5000))))&gt;0), 勤務統計!$E$1, "")</f>
        <v/>
      </c>
      <c r="T306" s="405" t="str">
        <f t="array" ref="T306">IFERROR(INDEX(IM!$AM$2:$AM$5000, MATCH(1, (IM!$F$2:$F$5000=A306) * (ISNUMBER(SEARCH(勤務統計!$E$1, IM!$AC$2:$AC$5000))), 0)), "")</f>
        <v/>
      </c>
      <c r="U306" s="406" t="str" cm="1">
        <f t="array" ref="U306">IF(AND(SUMPRODUCT((IM!$F$2:$F$5000=A306)*(ISNUMBER(SEARCH(勤務統計!$F$1, IM!$AC$2:$AC$5000))))&gt;0), 勤務統計!$F$1, "")</f>
        <v/>
      </c>
      <c r="V306" s="405" t="str">
        <f t="array" ref="V306">IFERROR(INDEX(IM!$AM$2:$AM$5000, MATCH(1, (IM!$F$2:$F$5000=A306) * (ISNUMBER(SEARCH(勤務統計!$F$1, IM!$AC$2:$AC$5000))), 0)), "")</f>
        <v/>
      </c>
      <c r="W306" s="436" t="str">
        <f>IF(VLOOKUP(A306,'0919門市清單主檔'!B:AC,28,FALSE)=0,"",VLOOKUP(A306,'0919門市清單主檔'!B:AC,28,FALSE))</f>
        <v/>
      </c>
    </row>
    <row r="307" spans="1:23" ht="21.6" customHeight="1">
      <c r="A307" s="409" t="s">
        <v>92</v>
      </c>
      <c r="B307" s="409" t="str">
        <f>VLOOKUP(A307,'0919門市清單主檔'!B:C,2,FALSE)</f>
        <v>中和遠東店</v>
      </c>
      <c r="C307" s="409" t="str">
        <f>VLOOKUP($A307,'0919門市清單主檔'!B:V,20,FALSE)</f>
        <v>新北市</v>
      </c>
      <c r="D307" s="409" t="str">
        <f>VLOOKUP($A307,'0919門市清單主檔'!B:V,21,FALSE)</f>
        <v>中和區</v>
      </c>
      <c r="E307" s="397" t="str">
        <f>VLOOKUP(D307,門市狀態!G:H,2,FALSE)</f>
        <v>劉柏均</v>
      </c>
      <c r="F307" s="409" t="str">
        <f>IFERROR(IF(VLOOKUP(A307,門市狀態!A:D,4,FALSE)=0,"",VLOOKUP(A307,門市狀態!A:D,4,FALSE)),"")</f>
        <v/>
      </c>
      <c r="G307" s="409"/>
      <c r="H307" s="411" t="str">
        <f>IF(I307&gt;0,(TEXT(I307,"yyyymmdd")&amp;勤務統計!$V$2&amp;A307&amp;勤務統計!$V$2&amp;B307&amp;勤務統計!$S$2),"")</f>
        <v>-C894-中和遠東店(定保)</v>
      </c>
      <c r="I307" s="247" t="str">
        <f t="array" ref="I307">IF(AND(SUMPRODUCT((IM!$F$2:$F$5000=A307)*(ISNUMBER(SEARCH(勤務統計!$C$1, IM!$AC$2:$AC$5000))))&gt;0), 勤務統計!$C$1, "")</f>
        <v/>
      </c>
      <c r="J307" s="399" t="str">
        <f t="array" ref="J307">IFERROR(INDEX(IM!$AM$2:$AM$5000, MATCH(1, (IM!$F$2:$F$5000=A307) * (ISNUMBER(SEARCH(勤務統計!$C$1, IM!$AC$2:$AC$5000))), 0)), "")</f>
        <v/>
      </c>
      <c r="K307" s="400">
        <f t="array" ref="K307">SUMPRODUCT((IM!$F$2:$F$5000=A307)*(IM!$AD$2:$AD$5000="O")*(ISNUMBER(SEARCH(勤務統計!$C$1, IM!$AC$2:$AC$5000))))</f>
        <v>0</v>
      </c>
      <c r="L307" s="401" t="str">
        <f t="array" ref="L307">IF(K307&gt;0,IFERROR(HYPERLINK("#'IM'!AC"&amp;MATCH(1,(IM!$F$1:$F$5000=A307)*(ISNUMBER(SEARCH(勤務統計!$C$1,IM!$AC$1:$AC$5000))),0),"檢核"),"未登錄"),"")</f>
        <v/>
      </c>
      <c r="M307" s="402" t="str">
        <f t="shared" si="4"/>
        <v/>
      </c>
      <c r="N307" s="402" t="str">
        <f t="array" ref="N307">IF(AND(
    SUMPRODUCT(
        (IM!$F$2:$F$522=A307) *
        ISNUMBER(SEARCH("*HUB*", IM!$AC$2:$AC$522)) *
        (IM!$X$2:$X$522&gt;=勤務統計!$A$1) *
        (IM!$X$2:$X$522&lt;=勤務統計!$B$1)*(W307="HUB")
    ) &gt; 0
), "HUB", "")</f>
        <v/>
      </c>
      <c r="O307" s="400" t="str">
        <f>IF(
  IFERROR(VLOOKUP(A307,勤務統計!A:I,9,FALSE),"")&lt;&gt;勤務統計!$C$1,
  "未完工",
  IF(
    AND(勤務統計!$D$1="--",勤務統計!$E$1="--",勤務統計!$F$1="--"),
    "已完工",
    IF(
      OR(
        AND(勤務統計!$D$1&lt;&gt;"--", IFERROR(VLOOKUP(A307,'0919門市清單主檔'!B:AH,31,FALSE),"")=勤務統計!$D$1, IFERROR(VLOOKUP(A307,勤務統計!A:Q,17,FALSE),"")&lt;&gt;勤務統計!$D$1),
        AND(勤務統計!$E$1&lt;&gt;"--", IFERROR(VLOOKUP(A307,'0919門市清單主檔'!B:AH,32,FALSE),"")=勤務統計!$E$1, IFERROR(VLOOKUP(A307,勤務統計!A:S,19,FALSE),"")&lt;&gt;勤務統計!$E$1),
        AND(勤務統計!$F$1&lt;&gt;"--", IFERROR(VLOOKUP(A307,'0919門市清單主檔'!B:AH,33,FALSE),"")=勤務統計!$F$1, IFERROR(VLOOKUP(A307,勤務統計!A:U,21,FALSE),"")&lt;&gt;勤務統計!$F$1),
        AND(IFERROR(VLOOKUP(A307,'0919門市清單主檔'!B:AH,28,FALSE),"")="HUB", IFERROR(VLOOKUP(A307,勤務統計!A:W,23,FALSE),"")&lt;&gt;"HUB")
      ),
      _xlfn.TEXTJOIN(
        "，",
        TRUE,
        IF(AND(勤務統計!$D$1&lt;&gt;"--", IFERROR(VLOOKUP(A307,'0919門市清單主檔'!B:AH,31,FALSE),"")=勤務統計!$D$1, IFERROR(VLOOKUP(A307,勤務統計!A:Q,17,FALSE),"")&lt;&gt;勤務統計!$D$1), 勤務統計!$D$1, ""),
        IF(AND(勤務統計!$E$1&lt;&gt;"--", IFERROR(VLOOKUP(A307,'0919門市清單主檔'!B:AH,32,FALSE),"")=勤務統計!$E$1, IFERROR(VLOOKUP(A307,勤務統計!A:S,19,FALSE),"")&lt;&gt;勤務統計!$E$1), 勤務統計!$E$1, ""),
        IF(AND(勤務統計!$F$1&lt;&gt;"--", IFERROR(VLOOKUP(A307,'0919門市清單主檔'!B:AH,33,FALSE),"")=勤務統計!$F$1, IFERROR(VLOOKUP(A307,勤務統計!A:U,21,FALSE),"")&lt;&gt;勤務統計!$F$1), 勤務統計!$F$1, ""),
        IF(AND(IFERROR(VLOOKUP(A307,'0919門市清單主檔'!B:AH,28,FALSE),"")="HUB", IFERROR(VLOOKUP(A307,勤務統計!A:W,23,FALSE),"")&lt;&gt;"HUB"), "HUB", "")
      ) &amp; "未完工",
      "已完工"
    )
  )
)</f>
        <v>未完工</v>
      </c>
      <c r="P307" s="435" t="str">
        <f>(TEXT(I307,"yyyymmdd"))&amp;勤務統計!$V$2&amp;A307&amp;勤務統計!$V$2&amp;B307&amp;勤務統計!$S$2</f>
        <v>-C894-中和遠東店(定保)</v>
      </c>
      <c r="Q307" s="404" t="str">
        <f t="array" ref="Q307">IF(AND(SUMPRODUCT((IM!$F$2:$F$5000=A307)*(ISNUMBER(SEARCH(勤務統計!$D$1, IM!$AC$2:$AC$5000))))&gt;0), 勤務統計!$D$1, "")</f>
        <v/>
      </c>
      <c r="R307" s="405" t="str">
        <f t="array" ref="R307">IFERROR(INDEX(IM!$AM$2:$AM$5000, MATCH(1, (IM!$F$2:$F$5000=A307) * (ISNUMBER(SEARCH(勤務統計!$D$1, IM!$AC$2:$AC$5000))), 0)), "")</f>
        <v/>
      </c>
      <c r="S307" s="406" t="str" cm="1">
        <f t="array" ref="S307">IF(AND(SUMPRODUCT((IM!$F$2:$F$5000=A307)*(ISNUMBER(SEARCH(勤務統計!$E$1, IM!$AC$2:$AC$5000))))&gt;0), 勤務統計!$E$1, "")</f>
        <v/>
      </c>
      <c r="T307" s="405" t="str">
        <f t="array" ref="T307">IFERROR(INDEX(IM!$AM$2:$AM$5000, MATCH(1, (IM!$F$2:$F$5000=A307) * (ISNUMBER(SEARCH(勤務統計!$E$1, IM!$AC$2:$AC$5000))), 0)), "")</f>
        <v/>
      </c>
      <c r="U307" s="406" t="str" cm="1">
        <f t="array" ref="U307">IF(AND(SUMPRODUCT((IM!$F$2:$F$5000=A307)*(ISNUMBER(SEARCH(勤務統計!$F$1, IM!$AC$2:$AC$5000))))&gt;0), 勤務統計!$F$1, "")</f>
        <v/>
      </c>
      <c r="V307" s="405" t="str">
        <f t="array" ref="V307">IFERROR(INDEX(IM!$AM$2:$AM$5000, MATCH(1, (IM!$F$2:$F$5000=A307) * (ISNUMBER(SEARCH(勤務統計!$F$1, IM!$AC$2:$AC$5000))), 0)), "")</f>
        <v/>
      </c>
      <c r="W307" s="436" t="str">
        <f>IF(VLOOKUP(A307,'0919門市清單主檔'!B:AC,28,FALSE)=0,"",VLOOKUP(A307,'0919門市清單主檔'!B:AC,28,FALSE))</f>
        <v/>
      </c>
    </row>
    <row r="308" spans="1:23" ht="21.6" customHeight="1">
      <c r="A308" s="409" t="s">
        <v>93</v>
      </c>
      <c r="B308" s="409" t="str">
        <f>VLOOKUP(A308,'0919門市清單主檔'!B:C,2,FALSE)</f>
        <v>中和景安站</v>
      </c>
      <c r="C308" s="409" t="str">
        <f>VLOOKUP($A308,'0919門市清單主檔'!B:V,20,FALSE)</f>
        <v>新北市</v>
      </c>
      <c r="D308" s="409" t="str">
        <f>VLOOKUP($A308,'0919門市清單主檔'!B:V,21,FALSE)</f>
        <v>中和區</v>
      </c>
      <c r="E308" s="397" t="str">
        <f>VLOOKUP(D308,門市狀態!G:H,2,FALSE)</f>
        <v>劉柏均</v>
      </c>
      <c r="F308" s="409" t="str">
        <f>IFERROR(IF(VLOOKUP(A308,門市狀態!A:D,4,FALSE)=0,"",VLOOKUP(A308,門市狀態!A:D,4,FALSE)),"")</f>
        <v/>
      </c>
      <c r="G308" s="409"/>
      <c r="H308" s="411" t="str">
        <f>IF(I308&gt;0,(TEXT(I308,"yyyymmdd")&amp;勤務統計!$V$2&amp;A308&amp;勤務統計!$V$2&amp;B308&amp;勤務統計!$S$2),"")</f>
        <v>-C742-中和景安站(定保)</v>
      </c>
      <c r="I308" s="247" t="str">
        <f t="array" ref="I308">IF(AND(SUMPRODUCT((IM!$F$2:$F$5000=A308)*(ISNUMBER(SEARCH(勤務統計!$C$1, IM!$AC$2:$AC$5000))))&gt;0), 勤務統計!$C$1, "")</f>
        <v/>
      </c>
      <c r="J308" s="399" t="str">
        <f t="array" ref="J308">IFERROR(INDEX(IM!$AM$2:$AM$5000, MATCH(1, (IM!$F$2:$F$5000=A308) * (ISNUMBER(SEARCH(勤務統計!$C$1, IM!$AC$2:$AC$5000))), 0)), "")</f>
        <v/>
      </c>
      <c r="K308" s="400">
        <f t="array" ref="K308">SUMPRODUCT((IM!$F$2:$F$5000=A308)*(IM!$AD$2:$AD$5000="O")*(ISNUMBER(SEARCH(勤務統計!$C$1, IM!$AC$2:$AC$5000))))</f>
        <v>0</v>
      </c>
      <c r="L308" s="401" t="str">
        <f t="array" ref="L308">IF(K308&gt;0,IFERROR(HYPERLINK("#'IM'!AC"&amp;MATCH(1,(IM!$F$1:$F$5000=A308)*(ISNUMBER(SEARCH(勤務統計!$C$1,IM!$AC$1:$AC$5000))),0),"檢核"),"未登錄"),"")</f>
        <v/>
      </c>
      <c r="M308" s="402" t="str">
        <f t="shared" si="4"/>
        <v/>
      </c>
      <c r="N308" s="402" t="str">
        <f t="array" ref="N308">IF(AND(
    SUMPRODUCT(
        (IM!$F$2:$F$522=A308) *
        ISNUMBER(SEARCH("*HUB*", IM!$AC$2:$AC$522)) *
        (IM!$X$2:$X$522&gt;=勤務統計!$A$1) *
        (IM!$X$2:$X$522&lt;=勤務統計!$B$1)*(W308="HUB")
    ) &gt; 0
), "HUB", "")</f>
        <v/>
      </c>
      <c r="O308" s="400" t="str">
        <f>IF(
  IFERROR(VLOOKUP(A308,勤務統計!A:I,9,FALSE),"")&lt;&gt;勤務統計!$C$1,
  "未完工",
  IF(
    AND(勤務統計!$D$1="--",勤務統計!$E$1="--",勤務統計!$F$1="--"),
    "已完工",
    IF(
      OR(
        AND(勤務統計!$D$1&lt;&gt;"--", IFERROR(VLOOKUP(A308,'0919門市清單主檔'!B:AH,31,FALSE),"")=勤務統計!$D$1, IFERROR(VLOOKUP(A308,勤務統計!A:Q,17,FALSE),"")&lt;&gt;勤務統計!$D$1),
        AND(勤務統計!$E$1&lt;&gt;"--", IFERROR(VLOOKUP(A308,'0919門市清單主檔'!B:AH,32,FALSE),"")=勤務統計!$E$1, IFERROR(VLOOKUP(A308,勤務統計!A:S,19,FALSE),"")&lt;&gt;勤務統計!$E$1),
        AND(勤務統計!$F$1&lt;&gt;"--", IFERROR(VLOOKUP(A308,'0919門市清單主檔'!B:AH,33,FALSE),"")=勤務統計!$F$1, IFERROR(VLOOKUP(A308,勤務統計!A:U,21,FALSE),"")&lt;&gt;勤務統計!$F$1),
        AND(IFERROR(VLOOKUP(A308,'0919門市清單主檔'!B:AH,28,FALSE),"")="HUB", IFERROR(VLOOKUP(A308,勤務統計!A:W,23,FALSE),"")&lt;&gt;"HUB")
      ),
      _xlfn.TEXTJOIN(
        "，",
        TRUE,
        IF(AND(勤務統計!$D$1&lt;&gt;"--", IFERROR(VLOOKUP(A308,'0919門市清單主檔'!B:AH,31,FALSE),"")=勤務統計!$D$1, IFERROR(VLOOKUP(A308,勤務統計!A:Q,17,FALSE),"")&lt;&gt;勤務統計!$D$1), 勤務統計!$D$1, ""),
        IF(AND(勤務統計!$E$1&lt;&gt;"--", IFERROR(VLOOKUP(A308,'0919門市清單主檔'!B:AH,32,FALSE),"")=勤務統計!$E$1, IFERROR(VLOOKUP(A308,勤務統計!A:S,19,FALSE),"")&lt;&gt;勤務統計!$E$1), 勤務統計!$E$1, ""),
        IF(AND(勤務統計!$F$1&lt;&gt;"--", IFERROR(VLOOKUP(A308,'0919門市清單主檔'!B:AH,33,FALSE),"")=勤務統計!$F$1, IFERROR(VLOOKUP(A308,勤務統計!A:U,21,FALSE),"")&lt;&gt;勤務統計!$F$1), 勤務統計!$F$1, ""),
        IF(AND(IFERROR(VLOOKUP(A308,'0919門市清單主檔'!B:AH,28,FALSE),"")="HUB", IFERROR(VLOOKUP(A308,勤務統計!A:W,23,FALSE),"")&lt;&gt;"HUB"), "HUB", "")
      ) &amp; "未完工",
      "已完工"
    )
  )
)</f>
        <v>未完工</v>
      </c>
      <c r="P308" s="435" t="str">
        <f>(TEXT(I308,"yyyymmdd"))&amp;勤務統計!$V$2&amp;A308&amp;勤務統計!$V$2&amp;B308&amp;勤務統計!$S$2</f>
        <v>-C742-中和景安站(定保)</v>
      </c>
      <c r="Q308" s="404" t="str">
        <f t="array" ref="Q308">IF(AND(SUMPRODUCT((IM!$F$2:$F$5000=A308)*(ISNUMBER(SEARCH(勤務統計!$D$1, IM!$AC$2:$AC$5000))))&gt;0), 勤務統計!$D$1, "")</f>
        <v/>
      </c>
      <c r="R308" s="405" t="str">
        <f t="array" ref="R308">IFERROR(INDEX(IM!$AM$2:$AM$5000, MATCH(1, (IM!$F$2:$F$5000=A308) * (ISNUMBER(SEARCH(勤務統計!$D$1, IM!$AC$2:$AC$5000))), 0)), "")</f>
        <v/>
      </c>
      <c r="S308" s="406" t="str" cm="1">
        <f t="array" ref="S308">IF(AND(SUMPRODUCT((IM!$F$2:$F$5000=A308)*(ISNUMBER(SEARCH(勤務統計!$E$1, IM!$AC$2:$AC$5000))))&gt;0), 勤務統計!$E$1, "")</f>
        <v/>
      </c>
      <c r="T308" s="405" t="str">
        <f t="array" ref="T308">IFERROR(INDEX(IM!$AM$2:$AM$5000, MATCH(1, (IM!$F$2:$F$5000=A308) * (ISNUMBER(SEARCH(勤務統計!$E$1, IM!$AC$2:$AC$5000))), 0)), "")</f>
        <v/>
      </c>
      <c r="U308" s="406" t="str" cm="1">
        <f t="array" ref="U308">IF(AND(SUMPRODUCT((IM!$F$2:$F$5000=A308)*(ISNUMBER(SEARCH(勤務統計!$F$1, IM!$AC$2:$AC$5000))))&gt;0), 勤務統計!$F$1, "")</f>
        <v/>
      </c>
      <c r="V308" s="405" t="str">
        <f t="array" ref="V308">IFERROR(INDEX(IM!$AM$2:$AM$5000, MATCH(1, (IM!$F$2:$F$5000=A308) * (ISNUMBER(SEARCH(勤務統計!$F$1, IM!$AC$2:$AC$5000))), 0)), "")</f>
        <v/>
      </c>
      <c r="W308" s="436" t="str">
        <f>IF(VLOOKUP(A308,'0919門市清單主檔'!B:AC,28,FALSE)=0,"",VLOOKUP(A308,'0919門市清單主檔'!B:AC,28,FALSE))</f>
        <v/>
      </c>
    </row>
    <row r="309" spans="1:23" ht="21.6" customHeight="1">
      <c r="A309" s="409" t="s">
        <v>94</v>
      </c>
      <c r="B309" s="409" t="str">
        <f>VLOOKUP(A309,'0919門市清單主檔'!B:C,2,FALSE)</f>
        <v>中和橋安店</v>
      </c>
      <c r="C309" s="409" t="str">
        <f>VLOOKUP($A309,'0919門市清單主檔'!B:V,20,FALSE)</f>
        <v>新北市</v>
      </c>
      <c r="D309" s="409" t="str">
        <f>VLOOKUP($A309,'0919門市清單主檔'!B:V,21,FALSE)</f>
        <v>中和區</v>
      </c>
      <c r="E309" s="397" t="str">
        <f>VLOOKUP(D309,門市狀態!G:H,2,FALSE)</f>
        <v>劉柏均</v>
      </c>
      <c r="F309" s="409" t="str">
        <f>IFERROR(IF(VLOOKUP(A309,門市狀態!A:D,4,FALSE)=0,"",VLOOKUP(A309,門市狀態!A:D,4,FALSE)),"")</f>
        <v/>
      </c>
      <c r="G309" s="409"/>
      <c r="H309" s="411" t="str">
        <f>IF(I309&gt;0,(TEXT(I309,"yyyymmdd")&amp;勤務統計!$V$2&amp;A309&amp;勤務統計!$V$2&amp;B309&amp;勤務統計!$S$2),"")</f>
        <v>-C672-中和橋安店(定保)</v>
      </c>
      <c r="I309" s="247" t="str">
        <f t="array" ref="I309">IF(AND(SUMPRODUCT((IM!$F$2:$F$5000=A309)*(ISNUMBER(SEARCH(勤務統計!$C$1, IM!$AC$2:$AC$5000))))&gt;0), 勤務統計!$C$1, "")</f>
        <v/>
      </c>
      <c r="J309" s="399" t="str">
        <f t="array" ref="J309">IFERROR(INDEX(IM!$AM$2:$AM$5000, MATCH(1, (IM!$F$2:$F$5000=A309) * (ISNUMBER(SEARCH(勤務統計!$C$1, IM!$AC$2:$AC$5000))), 0)), "")</f>
        <v/>
      </c>
      <c r="K309" s="400">
        <f t="array" ref="K309">SUMPRODUCT((IM!$F$2:$F$5000=A309)*(IM!$AD$2:$AD$5000="O")*(ISNUMBER(SEARCH(勤務統計!$C$1, IM!$AC$2:$AC$5000))))</f>
        <v>0</v>
      </c>
      <c r="L309" s="401" t="str">
        <f t="array" ref="L309">IF(K309&gt;0,IFERROR(HYPERLINK("#'IM'!AC"&amp;MATCH(1,(IM!$F$1:$F$5000=A309)*(ISNUMBER(SEARCH(勤務統計!$C$1,IM!$AC$1:$AC$5000))),0),"檢核"),"未登錄"),"")</f>
        <v/>
      </c>
      <c r="M309" s="402" t="str">
        <f t="shared" si="4"/>
        <v/>
      </c>
      <c r="N309" s="402" t="str">
        <f t="array" ref="N309">IF(AND(
    SUMPRODUCT(
        (IM!$F$2:$F$522=A309) *
        ISNUMBER(SEARCH("*HUB*", IM!$AC$2:$AC$522)) *
        (IM!$X$2:$X$522&gt;=勤務統計!$A$1) *
        (IM!$X$2:$X$522&lt;=勤務統計!$B$1)*(W309="HUB")
    ) &gt; 0
), "HUB", "")</f>
        <v/>
      </c>
      <c r="O309" s="400" t="str">
        <f>IF(
  IFERROR(VLOOKUP(A309,勤務統計!A:I,9,FALSE),"")&lt;&gt;勤務統計!$C$1,
  "未完工",
  IF(
    AND(勤務統計!$D$1="--",勤務統計!$E$1="--",勤務統計!$F$1="--"),
    "已完工",
    IF(
      OR(
        AND(勤務統計!$D$1&lt;&gt;"--", IFERROR(VLOOKUP(A309,'0919門市清單主檔'!B:AH,31,FALSE),"")=勤務統計!$D$1, IFERROR(VLOOKUP(A309,勤務統計!A:Q,17,FALSE),"")&lt;&gt;勤務統計!$D$1),
        AND(勤務統計!$E$1&lt;&gt;"--", IFERROR(VLOOKUP(A309,'0919門市清單主檔'!B:AH,32,FALSE),"")=勤務統計!$E$1, IFERROR(VLOOKUP(A309,勤務統計!A:S,19,FALSE),"")&lt;&gt;勤務統計!$E$1),
        AND(勤務統計!$F$1&lt;&gt;"--", IFERROR(VLOOKUP(A309,'0919門市清單主檔'!B:AH,33,FALSE),"")=勤務統計!$F$1, IFERROR(VLOOKUP(A309,勤務統計!A:U,21,FALSE),"")&lt;&gt;勤務統計!$F$1),
        AND(IFERROR(VLOOKUP(A309,'0919門市清單主檔'!B:AH,28,FALSE),"")="HUB", IFERROR(VLOOKUP(A309,勤務統計!A:W,23,FALSE),"")&lt;&gt;"HUB")
      ),
      _xlfn.TEXTJOIN(
        "，",
        TRUE,
        IF(AND(勤務統計!$D$1&lt;&gt;"--", IFERROR(VLOOKUP(A309,'0919門市清單主檔'!B:AH,31,FALSE),"")=勤務統計!$D$1, IFERROR(VLOOKUP(A309,勤務統計!A:Q,17,FALSE),"")&lt;&gt;勤務統計!$D$1), 勤務統計!$D$1, ""),
        IF(AND(勤務統計!$E$1&lt;&gt;"--", IFERROR(VLOOKUP(A309,'0919門市清單主檔'!B:AH,32,FALSE),"")=勤務統計!$E$1, IFERROR(VLOOKUP(A309,勤務統計!A:S,19,FALSE),"")&lt;&gt;勤務統計!$E$1), 勤務統計!$E$1, ""),
        IF(AND(勤務統計!$F$1&lt;&gt;"--", IFERROR(VLOOKUP(A309,'0919門市清單主檔'!B:AH,33,FALSE),"")=勤務統計!$F$1, IFERROR(VLOOKUP(A309,勤務統計!A:U,21,FALSE),"")&lt;&gt;勤務統計!$F$1), 勤務統計!$F$1, ""),
        IF(AND(IFERROR(VLOOKUP(A309,'0919門市清單主檔'!B:AH,28,FALSE),"")="HUB", IFERROR(VLOOKUP(A309,勤務統計!A:W,23,FALSE),"")&lt;&gt;"HUB"), "HUB", "")
      ) &amp; "未完工",
      "已完工"
    )
  )
)</f>
        <v>未完工</v>
      </c>
      <c r="P309" s="435" t="str">
        <f>(TEXT(I309,"yyyymmdd"))&amp;勤務統計!$V$2&amp;A309&amp;勤務統計!$V$2&amp;B309&amp;勤務統計!$S$2</f>
        <v>-C672-中和橋安店(定保)</v>
      </c>
      <c r="Q309" s="404" t="str">
        <f t="array" ref="Q309">IF(AND(SUMPRODUCT((IM!$F$2:$F$5000=A309)*(ISNUMBER(SEARCH(勤務統計!$D$1, IM!$AC$2:$AC$5000))))&gt;0), 勤務統計!$D$1, "")</f>
        <v/>
      </c>
      <c r="R309" s="405" t="str">
        <f t="array" ref="R309">IFERROR(INDEX(IM!$AM$2:$AM$5000, MATCH(1, (IM!$F$2:$F$5000=A309) * (ISNUMBER(SEARCH(勤務統計!$D$1, IM!$AC$2:$AC$5000))), 0)), "")</f>
        <v/>
      </c>
      <c r="S309" s="406" t="str" cm="1">
        <f t="array" ref="S309">IF(AND(SUMPRODUCT((IM!$F$2:$F$5000=A309)*(ISNUMBER(SEARCH(勤務統計!$E$1, IM!$AC$2:$AC$5000))))&gt;0), 勤務統計!$E$1, "")</f>
        <v/>
      </c>
      <c r="T309" s="405" t="str">
        <f t="array" ref="T309">IFERROR(INDEX(IM!$AM$2:$AM$5000, MATCH(1, (IM!$F$2:$F$5000=A309) * (ISNUMBER(SEARCH(勤務統計!$E$1, IM!$AC$2:$AC$5000))), 0)), "")</f>
        <v/>
      </c>
      <c r="U309" s="406" t="str" cm="1">
        <f t="array" ref="U309">IF(AND(SUMPRODUCT((IM!$F$2:$F$5000=A309)*(ISNUMBER(SEARCH(勤務統計!$F$1, IM!$AC$2:$AC$5000))))&gt;0), 勤務統計!$F$1, "")</f>
        <v/>
      </c>
      <c r="V309" s="405" t="str">
        <f t="array" ref="V309">IFERROR(INDEX(IM!$AM$2:$AM$5000, MATCH(1, (IM!$F$2:$F$5000=A309) * (ISNUMBER(SEARCH(勤務統計!$F$1, IM!$AC$2:$AC$5000))), 0)), "")</f>
        <v/>
      </c>
      <c r="W309" s="436" t="str">
        <f>IF(VLOOKUP(A309,'0919門市清單主檔'!B:AC,28,FALSE)=0,"",VLOOKUP(A309,'0919門市清單主檔'!B:AC,28,FALSE))</f>
        <v/>
      </c>
    </row>
    <row r="310" spans="1:23" ht="21.6" customHeight="1">
      <c r="A310" s="409" t="s">
        <v>95</v>
      </c>
      <c r="B310" s="409" t="str">
        <f>VLOOKUP(A310,'0919門市清單主檔'!B:C,2,FALSE)</f>
        <v>中和水源店</v>
      </c>
      <c r="C310" s="409" t="str">
        <f>VLOOKUP($A310,'0919門市清單主檔'!B:V,20,FALSE)</f>
        <v>新北市</v>
      </c>
      <c r="D310" s="409" t="str">
        <f>VLOOKUP($A310,'0919門市清單主檔'!B:V,21,FALSE)</f>
        <v>中和區</v>
      </c>
      <c r="E310" s="397" t="str">
        <f>VLOOKUP(D310,門市狀態!G:H,2,FALSE)</f>
        <v>劉柏均</v>
      </c>
      <c r="F310" s="409" t="str">
        <f>IFERROR(IF(VLOOKUP(A310,門市狀態!A:D,4,FALSE)=0,"",VLOOKUP(A310,門市狀態!A:D,4,FALSE)),"")</f>
        <v/>
      </c>
      <c r="G310" s="409"/>
      <c r="H310" s="411" t="str">
        <f>IF(I310&gt;0,(TEXT(I310,"yyyymmdd")&amp;勤務統計!$V$2&amp;A310&amp;勤務統計!$V$2&amp;B310&amp;勤務統計!$S$2),"")</f>
        <v>-C388-中和水源店(定保)</v>
      </c>
      <c r="I310" s="247" t="str">
        <f t="array" ref="I310">IF(AND(SUMPRODUCT((IM!$F$2:$F$5000=A310)*(ISNUMBER(SEARCH(勤務統計!$C$1, IM!$AC$2:$AC$5000))))&gt;0), 勤務統計!$C$1, "")</f>
        <v/>
      </c>
      <c r="J310" s="399" t="str">
        <f t="array" ref="J310">IFERROR(INDEX(IM!$AM$2:$AM$5000, MATCH(1, (IM!$F$2:$F$5000=A310) * (ISNUMBER(SEARCH(勤務統計!$C$1, IM!$AC$2:$AC$5000))), 0)), "")</f>
        <v/>
      </c>
      <c r="K310" s="400">
        <f t="array" ref="K310">SUMPRODUCT((IM!$F$2:$F$5000=A310)*(IM!$AD$2:$AD$5000="O")*(ISNUMBER(SEARCH(勤務統計!$C$1, IM!$AC$2:$AC$5000))))</f>
        <v>0</v>
      </c>
      <c r="L310" s="401" t="str">
        <f t="array" ref="L310">IF(K310&gt;0,IFERROR(HYPERLINK("#'IM'!AC"&amp;MATCH(1,(IM!$F$1:$F$5000=A310)*(ISNUMBER(SEARCH(勤務統計!$C$1,IM!$AC$1:$AC$5000))),0),"檢核"),"未登錄"),"")</f>
        <v/>
      </c>
      <c r="M310" s="402" t="str">
        <f t="shared" si="4"/>
        <v/>
      </c>
      <c r="N310" s="402" t="str">
        <f t="array" ref="N310">IF(AND(
    SUMPRODUCT(
        (IM!$F$2:$F$522=A310) *
        ISNUMBER(SEARCH("*HUB*", IM!$AC$2:$AC$522)) *
        (IM!$X$2:$X$522&gt;=勤務統計!$A$1) *
        (IM!$X$2:$X$522&lt;=勤務統計!$B$1)*(W310="HUB")
    ) &gt; 0
), "HUB", "")</f>
        <v/>
      </c>
      <c r="O310" s="400" t="str">
        <f>IF(
  IFERROR(VLOOKUP(A310,勤務統計!A:I,9,FALSE),"")&lt;&gt;勤務統計!$C$1,
  "未完工",
  IF(
    AND(勤務統計!$D$1="--",勤務統計!$E$1="--",勤務統計!$F$1="--"),
    "已完工",
    IF(
      OR(
        AND(勤務統計!$D$1&lt;&gt;"--", IFERROR(VLOOKUP(A310,'0919門市清單主檔'!B:AH,31,FALSE),"")=勤務統計!$D$1, IFERROR(VLOOKUP(A310,勤務統計!A:Q,17,FALSE),"")&lt;&gt;勤務統計!$D$1),
        AND(勤務統計!$E$1&lt;&gt;"--", IFERROR(VLOOKUP(A310,'0919門市清單主檔'!B:AH,32,FALSE),"")=勤務統計!$E$1, IFERROR(VLOOKUP(A310,勤務統計!A:S,19,FALSE),"")&lt;&gt;勤務統計!$E$1),
        AND(勤務統計!$F$1&lt;&gt;"--", IFERROR(VLOOKUP(A310,'0919門市清單主檔'!B:AH,33,FALSE),"")=勤務統計!$F$1, IFERROR(VLOOKUP(A310,勤務統計!A:U,21,FALSE),"")&lt;&gt;勤務統計!$F$1),
        AND(IFERROR(VLOOKUP(A310,'0919門市清單主檔'!B:AH,28,FALSE),"")="HUB", IFERROR(VLOOKUP(A310,勤務統計!A:W,23,FALSE),"")&lt;&gt;"HUB")
      ),
      _xlfn.TEXTJOIN(
        "，",
        TRUE,
        IF(AND(勤務統計!$D$1&lt;&gt;"--", IFERROR(VLOOKUP(A310,'0919門市清單主檔'!B:AH,31,FALSE),"")=勤務統計!$D$1, IFERROR(VLOOKUP(A310,勤務統計!A:Q,17,FALSE),"")&lt;&gt;勤務統計!$D$1), 勤務統計!$D$1, ""),
        IF(AND(勤務統計!$E$1&lt;&gt;"--", IFERROR(VLOOKUP(A310,'0919門市清單主檔'!B:AH,32,FALSE),"")=勤務統計!$E$1, IFERROR(VLOOKUP(A310,勤務統計!A:S,19,FALSE),"")&lt;&gt;勤務統計!$E$1), 勤務統計!$E$1, ""),
        IF(AND(勤務統計!$F$1&lt;&gt;"--", IFERROR(VLOOKUP(A310,'0919門市清單主檔'!B:AH,33,FALSE),"")=勤務統計!$F$1, IFERROR(VLOOKUP(A310,勤務統計!A:U,21,FALSE),"")&lt;&gt;勤務統計!$F$1), 勤務統計!$F$1, ""),
        IF(AND(IFERROR(VLOOKUP(A310,'0919門市清單主檔'!B:AH,28,FALSE),"")="HUB", IFERROR(VLOOKUP(A310,勤務統計!A:W,23,FALSE),"")&lt;&gt;"HUB"), "HUB", "")
      ) &amp; "未完工",
      "已完工"
    )
  )
)</f>
        <v>未完工</v>
      </c>
      <c r="P310" s="435" t="str">
        <f>(TEXT(I310,"yyyymmdd"))&amp;勤務統計!$V$2&amp;A310&amp;勤務統計!$V$2&amp;B310&amp;勤務統計!$S$2</f>
        <v>-C388-中和水源店(定保)</v>
      </c>
      <c r="Q310" s="404" t="str">
        <f t="array" ref="Q310">IF(AND(SUMPRODUCT((IM!$F$2:$F$5000=A310)*(ISNUMBER(SEARCH(勤務統計!$D$1, IM!$AC$2:$AC$5000))))&gt;0), 勤務統計!$D$1, "")</f>
        <v/>
      </c>
      <c r="R310" s="405" t="str">
        <f t="array" ref="R310">IFERROR(INDEX(IM!$AM$2:$AM$5000, MATCH(1, (IM!$F$2:$F$5000=A310) * (ISNUMBER(SEARCH(勤務統計!$D$1, IM!$AC$2:$AC$5000))), 0)), "")</f>
        <v/>
      </c>
      <c r="S310" s="406" t="str" cm="1">
        <f t="array" ref="S310">IF(AND(SUMPRODUCT((IM!$F$2:$F$5000=A310)*(ISNUMBER(SEARCH(勤務統計!$E$1, IM!$AC$2:$AC$5000))))&gt;0), 勤務統計!$E$1, "")</f>
        <v/>
      </c>
      <c r="T310" s="405" t="str">
        <f t="array" ref="T310">IFERROR(INDEX(IM!$AM$2:$AM$5000, MATCH(1, (IM!$F$2:$F$5000=A310) * (ISNUMBER(SEARCH(勤務統計!$E$1, IM!$AC$2:$AC$5000))), 0)), "")</f>
        <v/>
      </c>
      <c r="U310" s="406" t="str" cm="1">
        <f t="array" ref="U310">IF(AND(SUMPRODUCT((IM!$F$2:$F$5000=A310)*(ISNUMBER(SEARCH(勤務統計!$F$1, IM!$AC$2:$AC$5000))))&gt;0), 勤務統計!$F$1, "")</f>
        <v/>
      </c>
      <c r="V310" s="405" t="str">
        <f t="array" ref="V310">IFERROR(INDEX(IM!$AM$2:$AM$5000, MATCH(1, (IM!$F$2:$F$5000=A310) * (ISNUMBER(SEARCH(勤務統計!$F$1, IM!$AC$2:$AC$5000))), 0)), "")</f>
        <v/>
      </c>
      <c r="W310" s="436" t="str">
        <f>IF(VLOOKUP(A310,'0919門市清單主檔'!B:AC,28,FALSE)=0,"",VLOOKUP(A310,'0919門市清單主檔'!B:AC,28,FALSE))</f>
        <v/>
      </c>
    </row>
    <row r="311" spans="1:23" ht="21.6" customHeight="1">
      <c r="A311" s="409">
        <v>5389</v>
      </c>
      <c r="B311" s="409" t="str">
        <f>VLOOKUP(A311,'0919門市清單主檔'!B:C,2,FALSE)</f>
        <v>新莊瓏山林</v>
      </c>
      <c r="C311" s="409" t="str">
        <f>VLOOKUP($A311,'0919門市清單主檔'!B:V,20,FALSE)</f>
        <v>新北市</v>
      </c>
      <c r="D311" s="409" t="str">
        <f>VLOOKUP($A311,'0919門市清單主檔'!B:V,21,FALSE)</f>
        <v>新莊區</v>
      </c>
      <c r="E311" s="397" t="str">
        <f>VLOOKUP(D311,門市狀態!G:H,2,FALSE)</f>
        <v>湯家瑋</v>
      </c>
      <c r="F311" s="409" t="str">
        <f>IFERROR(IF(VLOOKUP(A311,門市狀態!A:D,4,FALSE)=0,"",VLOOKUP(A311,門市狀態!A:D,4,FALSE)),"")</f>
        <v>新開</v>
      </c>
      <c r="G311" s="409"/>
      <c r="H311" s="411" t="str">
        <f>IF(I311&gt;0,(TEXT(I311,"yyyymmdd")&amp;勤務統計!$V$2&amp;A311&amp;勤務統計!$V$2&amp;B311&amp;勤務統計!$S$2),"")</f>
        <v>-5389-新莊瓏山林(定保)</v>
      </c>
      <c r="I311" s="247" t="str">
        <f t="array" ref="I311">IF(AND(SUMPRODUCT((IM!$F$2:$F$5000=A311)*(ISNUMBER(SEARCH(勤務統計!$C$1, IM!$AC$2:$AC$5000))))&gt;0), 勤務統計!$C$1, "")</f>
        <v/>
      </c>
      <c r="J311" s="399" t="str">
        <f t="array" ref="J311">IFERROR(INDEX(IM!$AM$2:$AM$5000, MATCH(1, (IM!$F$2:$F$5000=A311) * (ISNUMBER(SEARCH(勤務統計!$C$1, IM!$AC$2:$AC$5000))), 0)), "")</f>
        <v/>
      </c>
      <c r="K311" s="400">
        <f t="array" ref="K311">SUMPRODUCT((IM!$F$2:$F$5000=A311)*(IM!$AD$2:$AD$5000="O")*(ISNUMBER(SEARCH(勤務統計!$C$1, IM!$AC$2:$AC$5000))))</f>
        <v>0</v>
      </c>
      <c r="L311" s="401" t="str">
        <f t="array" ref="L311">IF(K311&gt;0,IFERROR(HYPERLINK("#'IM'!AC"&amp;MATCH(1,(IM!$F$1:$F$5000=A311)*(ISNUMBER(SEARCH(勤務統計!$C$1,IM!$AC$1:$AC$5000))),0),"檢核"),"未登錄"),"")</f>
        <v/>
      </c>
      <c r="M311" s="402" t="str">
        <f t="shared" si="4"/>
        <v/>
      </c>
      <c r="N311" s="402" t="str">
        <f t="array" ref="N311">IF(AND(
    SUMPRODUCT(
        (IM!$F$2:$F$522=A311) *
        ISNUMBER(SEARCH("*HUB*", IM!$AC$2:$AC$522)) *
        (IM!$X$2:$X$522&gt;=勤務統計!$A$1) *
        (IM!$X$2:$X$522&lt;=勤務統計!$B$1)*(W311="HUB")
    ) &gt; 0
), "HUB", "")</f>
        <v/>
      </c>
      <c r="O311" s="400" t="str">
        <f>IF(
  IFERROR(VLOOKUP(A311,勤務統計!A:I,9,FALSE),"")&lt;&gt;勤務統計!$C$1,
  "未完工",
  IF(
    AND(勤務統計!$D$1="--",勤務統計!$E$1="--",勤務統計!$F$1="--"),
    "已完工",
    IF(
      OR(
        AND(勤務統計!$D$1&lt;&gt;"--", IFERROR(VLOOKUP(A311,'0919門市清單主檔'!B:AH,31,FALSE),"")=勤務統計!$D$1, IFERROR(VLOOKUP(A311,勤務統計!A:Q,17,FALSE),"")&lt;&gt;勤務統計!$D$1),
        AND(勤務統計!$E$1&lt;&gt;"--", IFERROR(VLOOKUP(A311,'0919門市清單主檔'!B:AH,32,FALSE),"")=勤務統計!$E$1, IFERROR(VLOOKUP(A311,勤務統計!A:S,19,FALSE),"")&lt;&gt;勤務統計!$E$1),
        AND(勤務統計!$F$1&lt;&gt;"--", IFERROR(VLOOKUP(A311,'0919門市清單主檔'!B:AH,33,FALSE),"")=勤務統計!$F$1, IFERROR(VLOOKUP(A311,勤務統計!A:U,21,FALSE),"")&lt;&gt;勤務統計!$F$1),
        AND(IFERROR(VLOOKUP(A311,'0919門市清單主檔'!B:AH,28,FALSE),"")="HUB", IFERROR(VLOOKUP(A311,勤務統計!A:W,23,FALSE),"")&lt;&gt;"HUB")
      ),
      _xlfn.TEXTJOIN(
        "，",
        TRUE,
        IF(AND(勤務統計!$D$1&lt;&gt;"--", IFERROR(VLOOKUP(A311,'0919門市清單主檔'!B:AH,31,FALSE),"")=勤務統計!$D$1, IFERROR(VLOOKUP(A311,勤務統計!A:Q,17,FALSE),"")&lt;&gt;勤務統計!$D$1), 勤務統計!$D$1, ""),
        IF(AND(勤務統計!$E$1&lt;&gt;"--", IFERROR(VLOOKUP(A311,'0919門市清單主檔'!B:AH,32,FALSE),"")=勤務統計!$E$1, IFERROR(VLOOKUP(A311,勤務統計!A:S,19,FALSE),"")&lt;&gt;勤務統計!$E$1), 勤務統計!$E$1, ""),
        IF(AND(勤務統計!$F$1&lt;&gt;"--", IFERROR(VLOOKUP(A311,'0919門市清單主檔'!B:AH,33,FALSE),"")=勤務統計!$F$1, IFERROR(VLOOKUP(A311,勤務統計!A:U,21,FALSE),"")&lt;&gt;勤務統計!$F$1), 勤務統計!$F$1, ""),
        IF(AND(IFERROR(VLOOKUP(A311,'0919門市清單主檔'!B:AH,28,FALSE),"")="HUB", IFERROR(VLOOKUP(A311,勤務統計!A:W,23,FALSE),"")&lt;&gt;"HUB"), "HUB", "")
      ) &amp; "未完工",
      "已完工"
    )
  )
)</f>
        <v>未完工</v>
      </c>
      <c r="P311" s="435" t="str">
        <f>(TEXT(I311,"yyyymmdd"))&amp;勤務統計!$V$2&amp;A311&amp;勤務統計!$V$2&amp;B311&amp;勤務統計!$S$2</f>
        <v>-5389-新莊瓏山林(定保)</v>
      </c>
      <c r="Q311" s="404" t="str">
        <f t="array" ref="Q311">IF(AND(SUMPRODUCT((IM!$F$2:$F$5000=A311)*(ISNUMBER(SEARCH(勤務統計!$D$1, IM!$AC$2:$AC$5000))))&gt;0), 勤務統計!$D$1, "")</f>
        <v/>
      </c>
      <c r="R311" s="405" t="str">
        <f t="array" ref="R311">IFERROR(INDEX(IM!$AM$2:$AM$5000, MATCH(1, (IM!$F$2:$F$5000=A311) * (ISNUMBER(SEARCH(勤務統計!$D$1, IM!$AC$2:$AC$5000))), 0)), "")</f>
        <v/>
      </c>
      <c r="S311" s="406" t="str" cm="1">
        <f t="array" ref="S311">IF(AND(SUMPRODUCT((IM!$F$2:$F$5000=A311)*(ISNUMBER(SEARCH(勤務統計!$E$1, IM!$AC$2:$AC$5000))))&gt;0), 勤務統計!$E$1, "")</f>
        <v/>
      </c>
      <c r="T311" s="405" t="str">
        <f t="array" ref="T311">IFERROR(INDEX(IM!$AM$2:$AM$5000, MATCH(1, (IM!$F$2:$F$5000=A311) * (ISNUMBER(SEARCH(勤務統計!$E$1, IM!$AC$2:$AC$5000))), 0)), "")</f>
        <v/>
      </c>
      <c r="U311" s="406" t="str" cm="1">
        <f t="array" ref="U311">IF(AND(SUMPRODUCT((IM!$F$2:$F$5000=A311)*(ISNUMBER(SEARCH(勤務統計!$F$1, IM!$AC$2:$AC$5000))))&gt;0), 勤務統計!$F$1, "")</f>
        <v/>
      </c>
      <c r="V311" s="405" t="str">
        <f t="array" ref="V311">IFERROR(INDEX(IM!$AM$2:$AM$5000, MATCH(1, (IM!$F$2:$F$5000=A311) * (ISNUMBER(SEARCH(勤務統計!$F$1, IM!$AC$2:$AC$5000))), 0)), "")</f>
        <v/>
      </c>
      <c r="W311" s="436" t="str">
        <f>IF(VLOOKUP(A311,'0919門市清單主檔'!B:AC,28,FALSE)=0,"",VLOOKUP(A311,'0919門市清單主檔'!B:AC,28,FALSE))</f>
        <v/>
      </c>
    </row>
  </sheetData>
  <autoFilter ref="A2:W2" xr:uid="{CB237A80-BECE-45F3-B362-111CB5CC4B0E}"/>
  <phoneticPr fontId="45" type="noConversion"/>
  <conditionalFormatting sqref="A5:A14 A16:A204 A206:A207 A210 A217:A310">
    <cfRule type="expression" dxfId="500" priority="19">
      <formula>F5="撤店"</formula>
    </cfRule>
  </conditionalFormatting>
  <conditionalFormatting sqref="A205">
    <cfRule type="expression" dxfId="499" priority="18">
      <formula>F205="撤店"</formula>
    </cfRule>
  </conditionalFormatting>
  <conditionalFormatting sqref="A15">
    <cfRule type="expression" dxfId="498" priority="17">
      <formula>F15="撤店"</formula>
    </cfRule>
  </conditionalFormatting>
  <conditionalFormatting sqref="A209">
    <cfRule type="expression" dxfId="497" priority="16">
      <formula>F209="撤店"</formula>
    </cfRule>
  </conditionalFormatting>
  <conditionalFormatting sqref="A208">
    <cfRule type="expression" dxfId="496" priority="15">
      <formula>F208="撤店"</formula>
    </cfRule>
  </conditionalFormatting>
  <conditionalFormatting sqref="R5:R210 R212 R217:R310 T5:T210 T212 T217:T310 V5:V210 V212 V217:V310">
    <cfRule type="expression" dxfId="495" priority="14">
      <formula>R5&lt;&gt;G5</formula>
    </cfRule>
  </conditionalFormatting>
  <conditionalFormatting sqref="A212">
    <cfRule type="expression" dxfId="494" priority="13">
      <formula>F212="撤店"</formula>
    </cfRule>
  </conditionalFormatting>
  <conditionalFormatting sqref="R213 T213 V213">
    <cfRule type="expression" dxfId="493" priority="12">
      <formula>R213&lt;&gt;G213</formula>
    </cfRule>
  </conditionalFormatting>
  <conditionalFormatting sqref="A213">
    <cfRule type="expression" dxfId="492" priority="11">
      <formula>F213="撤店"</formula>
    </cfRule>
  </conditionalFormatting>
  <conditionalFormatting sqref="R215 T215 V215">
    <cfRule type="expression" dxfId="491" priority="10">
      <formula>R215&lt;&gt;G215</formula>
    </cfRule>
  </conditionalFormatting>
  <conditionalFormatting sqref="A215">
    <cfRule type="expression" dxfId="490" priority="9">
      <formula>F215="撤店"</formula>
    </cfRule>
  </conditionalFormatting>
  <conditionalFormatting sqref="R216 T216 V216">
    <cfRule type="expression" dxfId="489" priority="8">
      <formula>R216&lt;&gt;G216</formula>
    </cfRule>
  </conditionalFormatting>
  <conditionalFormatting sqref="A216">
    <cfRule type="expression" dxfId="488" priority="7">
      <formula>F216="撤店"</formula>
    </cfRule>
  </conditionalFormatting>
  <conditionalFormatting sqref="R214 T214 V214">
    <cfRule type="expression" dxfId="487" priority="6">
      <formula>R214&lt;&gt;G214</formula>
    </cfRule>
  </conditionalFormatting>
  <conditionalFormatting sqref="A214">
    <cfRule type="expression" dxfId="486" priority="5">
      <formula>F214="撤店"</formula>
    </cfRule>
  </conditionalFormatting>
  <conditionalFormatting sqref="R211 T211 V211">
    <cfRule type="expression" dxfId="485" priority="4">
      <formula>R211&lt;&gt;G211</formula>
    </cfRule>
  </conditionalFormatting>
  <conditionalFormatting sqref="A211">
    <cfRule type="expression" dxfId="484" priority="3">
      <formula>F211="撤店"</formula>
    </cfRule>
  </conditionalFormatting>
  <conditionalFormatting sqref="A311">
    <cfRule type="expression" dxfId="483" priority="2">
      <formula>F311="撤店"</formula>
    </cfRule>
  </conditionalFormatting>
  <conditionalFormatting sqref="R311 T311 V311">
    <cfRule type="expression" dxfId="482" priority="1">
      <formula>R311&lt;&gt;G311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pageSetUpPr fitToPage="1"/>
  </sheetPr>
  <dimension ref="A1:AC67"/>
  <sheetViews>
    <sheetView zoomScale="85" zoomScaleNormal="85" workbookViewId="0">
      <selection activeCell="H13" sqref="H13"/>
    </sheetView>
  </sheetViews>
  <sheetFormatPr defaultColWidth="9.69921875" defaultRowHeight="15.6"/>
  <cols>
    <col min="1" max="1" width="10.8984375" style="159" bestFit="1" customWidth="1"/>
    <col min="2" max="2" width="12.19921875" style="159" bestFit="1" customWidth="1"/>
    <col min="3" max="3" width="11.5" style="159" bestFit="1" customWidth="1"/>
    <col min="4" max="4" width="11.3984375" style="159" customWidth="1"/>
    <col min="5" max="5" width="13.19921875" style="159" bestFit="1" customWidth="1"/>
    <col min="6" max="6" width="12.3984375" style="159" bestFit="1" customWidth="1"/>
    <col min="7" max="7" width="9.69921875" style="159" customWidth="1"/>
    <col min="8" max="8" width="11.8984375" style="159" bestFit="1" customWidth="1"/>
    <col min="9" max="9" width="10.69921875" style="159" bestFit="1" customWidth="1"/>
    <col min="10" max="10" width="12.796875" style="159" bestFit="1" customWidth="1"/>
    <col min="11" max="11" width="10.69921875" style="159" bestFit="1" customWidth="1"/>
    <col min="12" max="12" width="11.5" style="159" bestFit="1" customWidth="1"/>
    <col min="13" max="13" width="10.69921875" style="159" bestFit="1" customWidth="1"/>
    <col min="14" max="301" width="9.69921875" style="159" customWidth="1"/>
    <col min="302" max="16384" width="9.69921875" style="159"/>
  </cols>
  <sheetData>
    <row r="1" spans="1:29" s="453" customFormat="1" ht="22.2" customHeight="1">
      <c r="A1" s="473" t="s">
        <v>8958</v>
      </c>
      <c r="B1" s="474"/>
      <c r="C1" s="474"/>
      <c r="D1" s="474"/>
      <c r="E1" s="474"/>
      <c r="F1" s="474"/>
      <c r="G1" s="475"/>
      <c r="J1" s="159"/>
      <c r="K1" s="159"/>
      <c r="L1" s="291" t="s">
        <v>1</v>
      </c>
      <c r="M1" s="291" t="s">
        <v>2</v>
      </c>
      <c r="N1" s="291" t="s">
        <v>3</v>
      </c>
      <c r="O1" s="291" t="s">
        <v>4</v>
      </c>
      <c r="P1" s="291" t="s">
        <v>5</v>
      </c>
      <c r="Q1" s="291" t="s">
        <v>6</v>
      </c>
      <c r="R1" s="291" t="s">
        <v>7</v>
      </c>
      <c r="S1" s="291" t="s">
        <v>8</v>
      </c>
      <c r="T1" s="291" t="s">
        <v>9</v>
      </c>
      <c r="U1" s="291" t="s">
        <v>10</v>
      </c>
      <c r="V1" s="291" t="s">
        <v>11</v>
      </c>
      <c r="W1" s="291" t="s">
        <v>12</v>
      </c>
      <c r="X1" s="291" t="s">
        <v>13</v>
      </c>
      <c r="Y1" s="291" t="s">
        <v>14</v>
      </c>
      <c r="Z1" s="297" t="s">
        <v>15</v>
      </c>
      <c r="AA1" s="297" t="s">
        <v>16</v>
      </c>
      <c r="AB1" s="297" t="s">
        <v>130</v>
      </c>
      <c r="AC1" s="297" t="s">
        <v>131</v>
      </c>
    </row>
    <row r="2" spans="1:29" ht="21.6" customHeight="1">
      <c r="A2" s="454" t="s">
        <v>8957</v>
      </c>
      <c r="B2" s="457">
        <v>46023</v>
      </c>
      <c r="C2" s="458">
        <v>46387</v>
      </c>
      <c r="D2" s="459"/>
      <c r="E2" s="459"/>
      <c r="F2" s="459"/>
      <c r="G2" s="460"/>
      <c r="L2" s="159">
        <f>COUNTIFS('0919門市清單主檔'!$V:$V,L1)</f>
        <v>1</v>
      </c>
      <c r="M2" s="159">
        <f>COUNTIFS('0919門市清單主檔'!$V:$V,M1)</f>
        <v>3</v>
      </c>
      <c r="N2" s="159">
        <f>COUNTIFS('0919門市清單主檔'!$V:$V,N1)</f>
        <v>16</v>
      </c>
      <c r="O2" s="159">
        <f>COUNTIFS('0919門市清單主檔'!$V:$V,O1)</f>
        <v>2</v>
      </c>
      <c r="P2" s="159">
        <f>COUNTIFS('0919門市清單主檔'!$V:$V,P1)</f>
        <v>8</v>
      </c>
      <c r="Q2" s="159">
        <f>COUNTIFS('0919門市清單主檔'!$V:$V,Q1)</f>
        <v>18</v>
      </c>
      <c r="R2" s="159">
        <f>COUNTIFS('0919門市清單主檔'!$V:$V,R1)</f>
        <v>74</v>
      </c>
      <c r="S2" s="159">
        <f>COUNTIFS('0919門市清單主檔'!$V:$V,S1)</f>
        <v>25</v>
      </c>
      <c r="T2" s="159">
        <f>COUNTIFS('0919門市清單主檔'!$V:$V,T1)</f>
        <v>33</v>
      </c>
      <c r="U2" s="159">
        <f>COUNTIFS('0919門市清單主檔'!$V:$V,U1)</f>
        <v>12</v>
      </c>
      <c r="V2" s="159">
        <f>COUNTIFS('0919門市清單主檔'!$V:$V,V1)</f>
        <v>32</v>
      </c>
      <c r="W2" s="159">
        <f>COUNTIFS('0919門市清單主檔'!$V:$V,W1)</f>
        <v>3</v>
      </c>
      <c r="X2" s="159">
        <f>COUNTIFS('0919門市清單主檔'!$V:$V,X1)</f>
        <v>13</v>
      </c>
      <c r="Y2" s="159">
        <f>COUNTIFS('0919門市清單主檔'!$V:$V,Y1)</f>
        <v>36</v>
      </c>
      <c r="Z2" s="159">
        <v>27</v>
      </c>
      <c r="AA2" s="159">
        <v>6</v>
      </c>
      <c r="AB2" s="159">
        <v>0</v>
      </c>
      <c r="AC2" s="159">
        <v>0</v>
      </c>
    </row>
    <row r="3" spans="1:29" ht="21.6" customHeight="1">
      <c r="A3" s="455" t="s">
        <v>104</v>
      </c>
      <c r="B3" s="461">
        <v>1</v>
      </c>
      <c r="C3" s="462">
        <v>2</v>
      </c>
      <c r="D3" s="462">
        <v>3</v>
      </c>
      <c r="E3" s="462"/>
      <c r="F3" s="462"/>
      <c r="G3" s="463"/>
      <c r="L3" s="159">
        <v>0</v>
      </c>
      <c r="M3" s="159">
        <v>0</v>
      </c>
      <c r="N3" s="159">
        <v>10</v>
      </c>
      <c r="O3" s="159">
        <v>3</v>
      </c>
      <c r="P3" s="159">
        <v>0</v>
      </c>
      <c r="Q3" s="159">
        <v>14</v>
      </c>
      <c r="R3" s="159">
        <v>40</v>
      </c>
      <c r="S3" s="159">
        <v>7</v>
      </c>
      <c r="T3" s="159">
        <v>2</v>
      </c>
      <c r="U3" s="159">
        <v>10</v>
      </c>
      <c r="V3" s="159">
        <v>24</v>
      </c>
      <c r="W3" s="159">
        <v>6</v>
      </c>
      <c r="X3" s="159">
        <v>4</v>
      </c>
      <c r="Y3" s="159">
        <v>4</v>
      </c>
      <c r="Z3" s="159">
        <v>20</v>
      </c>
      <c r="AA3" s="159">
        <v>3</v>
      </c>
      <c r="AB3" s="159">
        <v>15</v>
      </c>
      <c r="AC3" s="159">
        <v>3</v>
      </c>
    </row>
    <row r="4" spans="1:29" ht="21.6" customHeight="1">
      <c r="A4" s="455"/>
      <c r="B4" s="461" t="str">
        <f>B3&amp;"月"</f>
        <v>1月</v>
      </c>
      <c r="C4" s="462" t="str">
        <f>C3&amp;"月"</f>
        <v>2月</v>
      </c>
      <c r="D4" s="462" t="str">
        <f>D3&amp;"月"</f>
        <v>3月</v>
      </c>
      <c r="E4" s="462">
        <v>1</v>
      </c>
      <c r="F4" s="462"/>
      <c r="G4" s="463"/>
      <c r="L4" s="298">
        <f t="shared" ref="L4:AC4" si="0">SUM(L2:L3)</f>
        <v>1</v>
      </c>
      <c r="M4" s="298">
        <f t="shared" si="0"/>
        <v>3</v>
      </c>
      <c r="N4" s="298">
        <f t="shared" si="0"/>
        <v>26</v>
      </c>
      <c r="O4" s="298">
        <f t="shared" si="0"/>
        <v>5</v>
      </c>
      <c r="P4" s="298">
        <f t="shared" si="0"/>
        <v>8</v>
      </c>
      <c r="Q4" s="298">
        <f t="shared" si="0"/>
        <v>32</v>
      </c>
      <c r="R4" s="298">
        <f t="shared" si="0"/>
        <v>114</v>
      </c>
      <c r="S4" s="298">
        <f t="shared" si="0"/>
        <v>32</v>
      </c>
      <c r="T4" s="298">
        <f t="shared" si="0"/>
        <v>35</v>
      </c>
      <c r="U4" s="298">
        <f t="shared" si="0"/>
        <v>22</v>
      </c>
      <c r="V4" s="298">
        <f t="shared" si="0"/>
        <v>56</v>
      </c>
      <c r="W4" s="298">
        <f t="shared" si="0"/>
        <v>9</v>
      </c>
      <c r="X4" s="298">
        <f t="shared" si="0"/>
        <v>17</v>
      </c>
      <c r="Y4" s="298">
        <f t="shared" si="0"/>
        <v>40</v>
      </c>
      <c r="Z4" s="298">
        <f t="shared" si="0"/>
        <v>47</v>
      </c>
      <c r="AA4" s="298">
        <f t="shared" si="0"/>
        <v>9</v>
      </c>
      <c r="AB4" s="298">
        <f t="shared" si="0"/>
        <v>15</v>
      </c>
      <c r="AC4" s="298">
        <f t="shared" si="0"/>
        <v>3</v>
      </c>
    </row>
    <row r="5" spans="1:29" ht="21.6" customHeight="1">
      <c r="A5" s="455" t="s">
        <v>106</v>
      </c>
      <c r="B5" s="464">
        <v>46023</v>
      </c>
      <c r="C5" s="465">
        <v>46054</v>
      </c>
      <c r="D5" s="465">
        <v>46082</v>
      </c>
      <c r="E5" s="466">
        <v>46113</v>
      </c>
      <c r="F5" s="465">
        <v>46023</v>
      </c>
      <c r="G5" s="463"/>
    </row>
    <row r="6" spans="1:29" ht="21.6" customHeight="1">
      <c r="A6" s="455"/>
      <c r="B6" s="461"/>
      <c r="C6" s="462"/>
      <c r="D6" s="462"/>
      <c r="E6" s="462"/>
      <c r="F6" s="462"/>
      <c r="G6" s="463"/>
      <c r="J6" s="297" t="s">
        <v>30</v>
      </c>
      <c r="K6" s="297" t="s">
        <v>132</v>
      </c>
      <c r="L6" s="299" t="s">
        <v>1</v>
      </c>
      <c r="M6" s="299" t="s">
        <v>2</v>
      </c>
      <c r="N6" s="299" t="s">
        <v>3</v>
      </c>
      <c r="O6" s="299" t="s">
        <v>4</v>
      </c>
      <c r="P6" s="299" t="s">
        <v>5</v>
      </c>
      <c r="Q6" s="299" t="s">
        <v>6</v>
      </c>
      <c r="R6" s="299" t="s">
        <v>7</v>
      </c>
      <c r="S6" s="299" t="s">
        <v>8</v>
      </c>
      <c r="T6" s="299" t="s">
        <v>9</v>
      </c>
      <c r="U6" s="299" t="s">
        <v>10</v>
      </c>
      <c r="V6" s="299" t="s">
        <v>11</v>
      </c>
      <c r="W6" s="299" t="s">
        <v>12</v>
      </c>
      <c r="X6" s="299" t="s">
        <v>13</v>
      </c>
      <c r="Y6" s="299" t="s">
        <v>14</v>
      </c>
      <c r="Z6" s="300" t="s">
        <v>15</v>
      </c>
      <c r="AA6" s="300" t="s">
        <v>16</v>
      </c>
      <c r="AB6" s="300" t="s">
        <v>130</v>
      </c>
      <c r="AC6" s="300" t="s">
        <v>131</v>
      </c>
    </row>
    <row r="7" spans="1:29" ht="21.6" customHeight="1">
      <c r="A7" s="455"/>
      <c r="B7" s="461">
        <v>6</v>
      </c>
      <c r="C7" s="462">
        <v>6</v>
      </c>
      <c r="D7" s="462">
        <v>6</v>
      </c>
      <c r="E7" s="462"/>
      <c r="F7" s="462"/>
      <c r="G7" s="463"/>
      <c r="J7" s="353" t="s">
        <v>118</v>
      </c>
      <c r="K7" s="311">
        <f t="shared" ref="K7:K14" si="1">SUM(L7:AC7)</f>
        <v>60</v>
      </c>
      <c r="L7" s="311"/>
      <c r="M7" s="306"/>
      <c r="N7" s="306"/>
      <c r="O7" s="306"/>
      <c r="P7" s="306"/>
      <c r="Q7" s="306">
        <v>18</v>
      </c>
      <c r="R7" s="306"/>
      <c r="S7" s="306"/>
      <c r="T7" s="306"/>
      <c r="U7" s="306">
        <v>12</v>
      </c>
      <c r="V7" s="306">
        <v>30</v>
      </c>
      <c r="W7" s="306"/>
      <c r="X7" s="306"/>
      <c r="Y7" s="306"/>
      <c r="Z7" s="306"/>
      <c r="AA7" s="306"/>
      <c r="AB7" s="306"/>
      <c r="AC7" s="307"/>
    </row>
    <row r="8" spans="1:29" ht="21.6" customHeight="1">
      <c r="A8" s="476" t="s">
        <v>110</v>
      </c>
      <c r="B8" s="477" t="s">
        <v>111</v>
      </c>
      <c r="C8" s="477" t="s">
        <v>112</v>
      </c>
      <c r="D8" s="477" t="s">
        <v>113</v>
      </c>
      <c r="E8" s="477" t="s">
        <v>114</v>
      </c>
      <c r="F8" s="477" t="s">
        <v>115</v>
      </c>
      <c r="G8" s="478" t="s">
        <v>116</v>
      </c>
      <c r="J8" s="354">
        <f>SUM(K7:K8)</f>
        <v>152</v>
      </c>
      <c r="K8" s="313">
        <f t="shared" si="1"/>
        <v>92</v>
      </c>
      <c r="L8" s="308"/>
      <c r="M8" s="309"/>
      <c r="N8" s="309"/>
      <c r="O8" s="309"/>
      <c r="P8" s="309"/>
      <c r="Q8" s="309">
        <v>14</v>
      </c>
      <c r="R8" s="309">
        <v>40</v>
      </c>
      <c r="S8" s="309"/>
      <c r="T8" s="309"/>
      <c r="U8" s="309">
        <v>10</v>
      </c>
      <c r="V8" s="309">
        <v>24</v>
      </c>
      <c r="W8" s="309"/>
      <c r="X8" s="309"/>
      <c r="Y8" s="309">
        <v>4</v>
      </c>
      <c r="Z8" s="309"/>
      <c r="AA8" s="309"/>
      <c r="AB8" s="309"/>
      <c r="AC8" s="310"/>
    </row>
    <row r="9" spans="1:29" ht="21.6" customHeight="1">
      <c r="A9" s="455" t="s">
        <v>118</v>
      </c>
      <c r="B9" s="461">
        <f>ROUND(COUNTIFS(IM!S:S,A9,IM!AD:AD,"O")/B7,2)</f>
        <v>11.83</v>
      </c>
      <c r="C9" s="467">
        <f>COUNTIFS(IM!S:S,A9,IM!AE:AE,"O")/C7</f>
        <v>3.8333333333333335</v>
      </c>
      <c r="D9" s="467">
        <f>COUNTIFS(IM!S:S,A9,IM!AJ:AJ,"O")/D7</f>
        <v>9.8333333333333339</v>
      </c>
      <c r="E9" s="462"/>
      <c r="F9" s="462"/>
      <c r="G9" s="468"/>
      <c r="J9" s="355" t="s">
        <v>123</v>
      </c>
      <c r="K9" s="312">
        <f t="shared" si="1"/>
        <v>117</v>
      </c>
      <c r="L9" s="312">
        <v>1</v>
      </c>
      <c r="M9" s="301">
        <v>3</v>
      </c>
      <c r="N9" s="301">
        <v>17</v>
      </c>
      <c r="O9" s="301">
        <v>2</v>
      </c>
      <c r="P9" s="301">
        <v>8</v>
      </c>
      <c r="Q9" s="301"/>
      <c r="R9" s="301"/>
      <c r="S9" s="301">
        <v>31</v>
      </c>
      <c r="T9" s="301">
        <v>38</v>
      </c>
      <c r="U9" s="301"/>
      <c r="V9" s="301"/>
      <c r="W9" s="301">
        <v>3</v>
      </c>
      <c r="X9" s="301">
        <v>14</v>
      </c>
      <c r="Y9" s="301"/>
      <c r="Z9" s="301"/>
      <c r="AA9" s="301"/>
      <c r="AB9" s="301"/>
      <c r="AC9" s="302"/>
    </row>
    <row r="10" spans="1:29" ht="21.6" customHeight="1">
      <c r="A10" s="456" t="s">
        <v>123</v>
      </c>
      <c r="B10" s="469">
        <f>ROUND(COUNTIFS(IM!S:S,A10,IM!AD:AD,"O")/B7,2)</f>
        <v>29.33</v>
      </c>
      <c r="C10" s="470">
        <f>COUNTIFS(IM!S:S,A10,IM!AE:AE,"O")/C7</f>
        <v>3.6666666666666665</v>
      </c>
      <c r="D10" s="470">
        <f>COUNTIFS(IM!S:S,A10,IM!AJ:AJ,"O")/D7</f>
        <v>6.333333333333333</v>
      </c>
      <c r="E10" s="471"/>
      <c r="F10" s="471"/>
      <c r="G10" s="472"/>
      <c r="J10" s="356">
        <f>SUM(K9:K10)</f>
        <v>149</v>
      </c>
      <c r="K10" s="314">
        <f t="shared" si="1"/>
        <v>32</v>
      </c>
      <c r="L10" s="303">
        <v>0</v>
      </c>
      <c r="M10" s="304">
        <v>0</v>
      </c>
      <c r="N10" s="304">
        <v>10</v>
      </c>
      <c r="O10" s="304">
        <v>3</v>
      </c>
      <c r="P10" s="304">
        <v>0</v>
      </c>
      <c r="Q10" s="304"/>
      <c r="R10" s="304"/>
      <c r="S10" s="304">
        <v>7</v>
      </c>
      <c r="T10" s="304">
        <v>2</v>
      </c>
      <c r="U10" s="304"/>
      <c r="V10" s="304"/>
      <c r="W10" s="304">
        <v>6</v>
      </c>
      <c r="X10" s="304">
        <v>4</v>
      </c>
      <c r="Y10" s="304"/>
      <c r="Z10" s="304"/>
      <c r="AA10" s="304"/>
      <c r="AB10" s="304"/>
      <c r="AC10" s="305"/>
    </row>
    <row r="11" spans="1:29" s="453" customFormat="1">
      <c r="A11" s="451"/>
      <c r="B11" s="451"/>
      <c r="C11" s="452"/>
      <c r="D11" s="452"/>
      <c r="E11" s="451"/>
      <c r="F11" s="451"/>
      <c r="G11" s="452"/>
      <c r="J11" s="353" t="s">
        <v>133</v>
      </c>
      <c r="K11" s="311">
        <f t="shared" si="1"/>
        <v>107</v>
      </c>
      <c r="L11" s="311"/>
      <c r="M11" s="306"/>
      <c r="N11" s="306"/>
      <c r="O11" s="306"/>
      <c r="P11" s="306"/>
      <c r="Q11" s="306"/>
      <c r="R11" s="306">
        <v>74</v>
      </c>
      <c r="S11" s="306"/>
      <c r="T11" s="306"/>
      <c r="U11" s="306"/>
      <c r="V11" s="306"/>
      <c r="W11" s="306"/>
      <c r="X11" s="306"/>
      <c r="Y11" s="306"/>
      <c r="Z11" s="306">
        <v>27</v>
      </c>
      <c r="AA11" s="306">
        <v>6</v>
      </c>
      <c r="AB11" s="306"/>
      <c r="AC11" s="307"/>
    </row>
    <row r="12" spans="1:29">
      <c r="J12" s="337">
        <f>SUM(K11:K12)</f>
        <v>148</v>
      </c>
      <c r="K12" s="313">
        <f t="shared" si="1"/>
        <v>41</v>
      </c>
      <c r="L12" s="308"/>
      <c r="M12" s="309"/>
      <c r="N12" s="309"/>
      <c r="O12" s="309"/>
      <c r="P12" s="309"/>
      <c r="Q12" s="309"/>
      <c r="R12" s="309"/>
      <c r="S12" s="309"/>
      <c r="T12" s="309"/>
      <c r="U12" s="309"/>
      <c r="V12" s="309"/>
      <c r="W12" s="309"/>
      <c r="X12" s="309"/>
      <c r="Y12" s="309"/>
      <c r="Z12" s="309">
        <v>20</v>
      </c>
      <c r="AA12" s="309">
        <v>3</v>
      </c>
      <c r="AB12" s="309">
        <v>15</v>
      </c>
      <c r="AC12" s="310">
        <v>3</v>
      </c>
    </row>
    <row r="13" spans="1:29">
      <c r="A13" s="250" t="s">
        <v>96</v>
      </c>
      <c r="B13" s="250" t="s">
        <v>97</v>
      </c>
      <c r="C13" s="250" t="s">
        <v>98</v>
      </c>
      <c r="D13" s="250" t="s">
        <v>99</v>
      </c>
      <c r="J13" s="355" t="s">
        <v>134</v>
      </c>
      <c r="K13" s="312">
        <f t="shared" si="1"/>
        <v>36</v>
      </c>
      <c r="L13" s="312"/>
      <c r="M13" s="301"/>
      <c r="N13" s="301"/>
      <c r="O13" s="301"/>
      <c r="P13" s="301"/>
      <c r="Q13" s="301"/>
      <c r="R13" s="301"/>
      <c r="S13" s="301"/>
      <c r="T13" s="301"/>
      <c r="U13" s="301"/>
      <c r="V13" s="301"/>
      <c r="W13" s="301"/>
      <c r="X13" s="301"/>
      <c r="Y13" s="301">
        <v>36</v>
      </c>
      <c r="Z13" s="301"/>
      <c r="AA13" s="301"/>
      <c r="AB13" s="301"/>
      <c r="AC13" s="302"/>
    </row>
    <row r="14" spans="1:29">
      <c r="A14" s="165" t="s">
        <v>100</v>
      </c>
      <c r="B14" s="322" t="s">
        <v>101</v>
      </c>
      <c r="C14" s="249" t="s">
        <v>102</v>
      </c>
      <c r="D14" s="295" t="s">
        <v>103</v>
      </c>
      <c r="J14" s="335">
        <f>SUM(L13:AC14)</f>
        <v>36</v>
      </c>
      <c r="K14" s="303">
        <f t="shared" si="1"/>
        <v>0</v>
      </c>
      <c r="L14" s="303"/>
      <c r="M14" s="304"/>
      <c r="N14" s="304"/>
      <c r="O14" s="304"/>
      <c r="P14" s="304"/>
      <c r="Q14" s="304"/>
      <c r="R14" s="304"/>
      <c r="S14" s="304"/>
      <c r="T14" s="304"/>
      <c r="U14" s="304"/>
      <c r="V14" s="304"/>
      <c r="W14" s="304"/>
      <c r="X14" s="304"/>
      <c r="Y14" s="304"/>
      <c r="Z14" s="304"/>
      <c r="AA14" s="304"/>
      <c r="AB14" s="304"/>
      <c r="AC14" s="305"/>
    </row>
    <row r="16" spans="1:29">
      <c r="A16" s="167" t="s">
        <v>105</v>
      </c>
      <c r="B16" s="326"/>
      <c r="D16" s="160"/>
    </row>
    <row r="17" spans="1:29">
      <c r="A17" s="156" t="s">
        <v>107</v>
      </c>
      <c r="B17" s="156" t="s">
        <v>108</v>
      </c>
      <c r="C17" s="156" t="s">
        <v>109</v>
      </c>
      <c r="D17" s="156" t="s">
        <v>23</v>
      </c>
      <c r="E17" s="156" t="s">
        <v>24</v>
      </c>
      <c r="F17" s="156" t="s">
        <v>25</v>
      </c>
    </row>
    <row r="18" spans="1:29">
      <c r="A18" s="162">
        <f>勤務統計!B3</f>
        <v>306</v>
      </c>
      <c r="B18" s="162">
        <f>COUNTIF('0919門市清單主檔'!AC2:AC490,"HUB")</f>
        <v>0</v>
      </c>
      <c r="C18" s="162">
        <v>2</v>
      </c>
      <c r="D18" s="162">
        <f>勤務統計!B22</f>
        <v>4</v>
      </c>
      <c r="E18" s="162">
        <f>勤務統計!B23</f>
        <v>3</v>
      </c>
      <c r="F18" s="162">
        <f>勤務統計!B24</f>
        <v>8</v>
      </c>
      <c r="J18" s="328" t="s">
        <v>30</v>
      </c>
      <c r="K18" s="333" t="s">
        <v>135</v>
      </c>
      <c r="L18" s="333" t="s">
        <v>116</v>
      </c>
      <c r="M18" s="291" t="s">
        <v>6</v>
      </c>
      <c r="N18" s="291" t="s">
        <v>7</v>
      </c>
      <c r="O18" s="291" t="s">
        <v>10</v>
      </c>
      <c r="P18" s="291" t="s">
        <v>11</v>
      </c>
      <c r="Q18" s="326"/>
      <c r="R18" s="326"/>
      <c r="S18" s="326"/>
      <c r="T18" s="326"/>
      <c r="U18" s="326"/>
      <c r="V18" s="326"/>
      <c r="W18" s="326"/>
      <c r="X18" s="326"/>
      <c r="Y18" s="326"/>
      <c r="Z18" s="327"/>
      <c r="AA18" s="327"/>
      <c r="AB18" s="327"/>
      <c r="AC18" s="327"/>
    </row>
    <row r="19" spans="1:29">
      <c r="J19" s="329" t="s">
        <v>118</v>
      </c>
      <c r="K19" s="357" t="s">
        <v>136</v>
      </c>
      <c r="L19" s="311">
        <f>SUM(M19:U19)</f>
        <v>62</v>
      </c>
      <c r="M19" s="311">
        <f>Q2</f>
        <v>18</v>
      </c>
      <c r="N19" s="306">
        <v>0</v>
      </c>
      <c r="O19" s="306">
        <f>U2</f>
        <v>12</v>
      </c>
      <c r="P19" s="307">
        <f>V2</f>
        <v>32</v>
      </c>
      <c r="Q19" s="326"/>
      <c r="R19" s="326"/>
      <c r="S19" s="326"/>
      <c r="T19" s="326"/>
      <c r="U19" s="326"/>
    </row>
    <row r="20" spans="1:29">
      <c r="A20" s="167" t="s">
        <v>117</v>
      </c>
      <c r="B20" s="326"/>
      <c r="J20" s="330">
        <f>L19+L20</f>
        <v>150</v>
      </c>
      <c r="K20" s="358" t="s">
        <v>114</v>
      </c>
      <c r="L20" s="308">
        <f>SUM(M20:U20)</f>
        <v>88</v>
      </c>
      <c r="M20" s="308">
        <v>14</v>
      </c>
      <c r="N20" s="309">
        <v>40</v>
      </c>
      <c r="O20" s="309">
        <v>10</v>
      </c>
      <c r="P20" s="310">
        <v>24</v>
      </c>
      <c r="Q20" s="326"/>
      <c r="R20" s="326"/>
      <c r="S20" s="326"/>
      <c r="T20" s="326"/>
      <c r="U20" s="326"/>
    </row>
    <row r="21" spans="1:29">
      <c r="A21" s="166" t="s">
        <v>119</v>
      </c>
      <c r="B21" s="156" t="s">
        <v>120</v>
      </c>
      <c r="C21" s="156" t="s">
        <v>121</v>
      </c>
      <c r="D21" s="166" t="s">
        <v>122</v>
      </c>
      <c r="J21" s="326"/>
      <c r="K21" s="326"/>
      <c r="L21" s="326"/>
      <c r="M21" s="326"/>
      <c r="N21" s="326"/>
      <c r="O21" s="326"/>
      <c r="P21" s="326"/>
      <c r="Q21" s="326"/>
      <c r="R21" s="326"/>
      <c r="S21" s="326"/>
      <c r="T21" s="326"/>
      <c r="U21" s="326"/>
    </row>
    <row r="22" spans="1:29">
      <c r="A22" s="163" t="str">
        <f>ROUND(勤務統計!B4*100,1)&amp;"%"</f>
        <v>29.7%</v>
      </c>
      <c r="B22" s="162">
        <f>勤務統計!B5</f>
        <v>91</v>
      </c>
      <c r="C22" s="162">
        <f>勤務統計!B6</f>
        <v>215</v>
      </c>
      <c r="D22" s="163">
        <f t="array" ref="D22">COUNT(_xlfn._xlws.FILTER(IM!F:F,ISNUMBER(MATCH(IM!F:F,_xlfn._xlws.FILTER('0919門市清單主檔'!B:B,'0919門市清單主檔'!AC:AC="HUB"),0))*ISNUMBER(SEARCH("HUB",IM!AC:AC))))</f>
        <v>0</v>
      </c>
      <c r="J22" s="328" t="s">
        <v>30</v>
      </c>
      <c r="K22" s="333" t="s">
        <v>135</v>
      </c>
      <c r="L22" s="328" t="s">
        <v>116</v>
      </c>
      <c r="M22" s="291" t="s">
        <v>1</v>
      </c>
      <c r="N22" s="291" t="s">
        <v>2</v>
      </c>
      <c r="O22" s="291" t="s">
        <v>3</v>
      </c>
      <c r="P22" s="291" t="s">
        <v>4</v>
      </c>
      <c r="Q22" s="291" t="s">
        <v>5</v>
      </c>
      <c r="R22" s="291" t="s">
        <v>8</v>
      </c>
      <c r="S22" s="291" t="s">
        <v>9</v>
      </c>
      <c r="T22" s="291" t="s">
        <v>12</v>
      </c>
      <c r="U22" s="291" t="s">
        <v>13</v>
      </c>
      <c r="V22" s="326"/>
      <c r="W22" s="326"/>
      <c r="X22" s="326"/>
      <c r="Y22" s="326"/>
      <c r="Z22" s="327"/>
      <c r="AA22" s="327"/>
      <c r="AB22" s="327"/>
      <c r="AC22" s="327"/>
    </row>
    <row r="23" spans="1:29">
      <c r="J23" s="331" t="s">
        <v>123</v>
      </c>
      <c r="K23" s="359" t="s">
        <v>136</v>
      </c>
      <c r="L23" s="334">
        <f>SUM(M23:U23)</f>
        <v>104</v>
      </c>
      <c r="M23" s="312">
        <f>L2</f>
        <v>1</v>
      </c>
      <c r="N23" s="301">
        <f>M2</f>
        <v>3</v>
      </c>
      <c r="O23" s="301">
        <f>N2</f>
        <v>16</v>
      </c>
      <c r="P23" s="301">
        <f>O2</f>
        <v>2</v>
      </c>
      <c r="Q23" s="301">
        <f>P2</f>
        <v>8</v>
      </c>
      <c r="R23" s="301">
        <f>S2</f>
        <v>25</v>
      </c>
      <c r="S23" s="301">
        <f>T2</f>
        <v>33</v>
      </c>
      <c r="T23" s="301">
        <f>W2</f>
        <v>3</v>
      </c>
      <c r="U23" s="302">
        <f>X2</f>
        <v>13</v>
      </c>
    </row>
    <row r="24" spans="1:29">
      <c r="A24" s="168" t="s">
        <v>124</v>
      </c>
      <c r="B24" s="161"/>
      <c r="J24" s="332">
        <f>L23+L24</f>
        <v>136</v>
      </c>
      <c r="K24" s="360" t="s">
        <v>114</v>
      </c>
      <c r="L24" s="335">
        <f>SUM(M24:U24)</f>
        <v>32</v>
      </c>
      <c r="M24" s="303">
        <v>0</v>
      </c>
      <c r="N24" s="304">
        <v>0</v>
      </c>
      <c r="O24" s="304">
        <v>10</v>
      </c>
      <c r="P24" s="304">
        <v>3</v>
      </c>
      <c r="Q24" s="304">
        <v>0</v>
      </c>
      <c r="R24" s="304">
        <v>7</v>
      </c>
      <c r="S24" s="304">
        <v>2</v>
      </c>
      <c r="T24" s="304">
        <v>6</v>
      </c>
      <c r="U24" s="305">
        <v>4</v>
      </c>
    </row>
    <row r="25" spans="1:29">
      <c r="A25" s="169" t="s">
        <v>125</v>
      </c>
      <c r="B25" s="169" t="s">
        <v>109</v>
      </c>
      <c r="C25" s="166" t="s">
        <v>126</v>
      </c>
      <c r="D25" s="156" t="s">
        <v>127</v>
      </c>
      <c r="E25" s="156" t="s">
        <v>128</v>
      </c>
      <c r="J25" s="326"/>
      <c r="K25" s="326"/>
      <c r="L25" s="326"/>
      <c r="M25" s="326"/>
      <c r="N25" s="326"/>
      <c r="O25" s="326"/>
      <c r="P25" s="326"/>
      <c r="Q25" s="326"/>
      <c r="R25" s="326"/>
      <c r="S25" s="326"/>
      <c r="T25" s="326"/>
      <c r="U25" s="326"/>
    </row>
    <row r="26" spans="1:29">
      <c r="A26" s="250" t="str">
        <f>IF(B14=0,"",B14)</f>
        <v>--</v>
      </c>
      <c r="B26" s="162" t="str">
        <f>IF(A26&lt;&gt;"--",勤務統計!B10,"")</f>
        <v/>
      </c>
      <c r="C26" s="163" t="str">
        <f>IF(A26&lt;&gt;"--",ROUND(D26/B26*100,2)&amp;"%","")</f>
        <v/>
      </c>
      <c r="D26" s="162">
        <f>勤務統計!B12</f>
        <v>0</v>
      </c>
      <c r="E26" s="162" t="str">
        <f>IF(A26&lt;&gt;"--",B26-D26,"")</f>
        <v/>
      </c>
      <c r="J26" s="328" t="s">
        <v>30</v>
      </c>
      <c r="K26" s="333" t="s">
        <v>135</v>
      </c>
      <c r="L26" s="328" t="s">
        <v>116</v>
      </c>
      <c r="M26" s="297" t="s">
        <v>15</v>
      </c>
      <c r="N26" s="297" t="s">
        <v>16</v>
      </c>
      <c r="O26" s="297" t="s">
        <v>130</v>
      </c>
      <c r="P26" s="297" t="s">
        <v>131</v>
      </c>
      <c r="Q26" s="291" t="s">
        <v>7</v>
      </c>
      <c r="R26" s="326"/>
      <c r="S26" s="326"/>
      <c r="T26" s="326"/>
      <c r="U26" s="326"/>
      <c r="V26" s="326"/>
      <c r="W26" s="326"/>
      <c r="X26" s="326"/>
      <c r="Y26" s="326"/>
    </row>
    <row r="27" spans="1:29">
      <c r="A27" s="250" t="str">
        <f>IF(C14=0,"",C14)</f>
        <v>+L90</v>
      </c>
      <c r="B27" s="162">
        <f>IF(A27&lt;&gt;"--",勤務統計!B14,"")</f>
        <v>300</v>
      </c>
      <c r="C27" s="163" t="str">
        <f>IF(A27&lt;&gt;"--",ROUND(D27/B27*100,2)&amp;"%","")</f>
        <v>67.67%</v>
      </c>
      <c r="D27" s="162">
        <f>勤務統計!B16</f>
        <v>203</v>
      </c>
      <c r="E27" s="162">
        <f>IF(A27&lt;&gt;"--",B27-D27,"")</f>
        <v>97</v>
      </c>
      <c r="J27" s="329" t="s">
        <v>133</v>
      </c>
      <c r="K27" s="357" t="s">
        <v>136</v>
      </c>
      <c r="L27" s="336">
        <f>SUM(M27:U27)</f>
        <v>107</v>
      </c>
      <c r="M27" s="311">
        <f>Z2</f>
        <v>27</v>
      </c>
      <c r="N27" s="306">
        <f>AA2</f>
        <v>6</v>
      </c>
      <c r="O27" s="306">
        <v>0</v>
      </c>
      <c r="P27" s="306">
        <v>0</v>
      </c>
      <c r="Q27" s="307">
        <f>R2</f>
        <v>74</v>
      </c>
      <c r="R27" s="326"/>
      <c r="S27" s="326"/>
      <c r="T27" s="326"/>
      <c r="U27" s="326"/>
    </row>
    <row r="28" spans="1:29">
      <c r="A28" s="250" t="str">
        <f>IF(D14=0,"",D14)</f>
        <v>+721</v>
      </c>
      <c r="B28" s="162">
        <f>IF(A28&lt;&gt;"--",勤務統計!B18,"")</f>
        <v>261</v>
      </c>
      <c r="C28" s="163" t="str">
        <f>IF(A28&lt;&gt;"--",ROUND(D28/B28*100,2)&amp;"%","")</f>
        <v>31.03%</v>
      </c>
      <c r="D28" s="162">
        <f>勤務統計!B20</f>
        <v>81</v>
      </c>
      <c r="E28" s="162">
        <f>IF(A28&lt;&gt;"--",B28-D28,"")</f>
        <v>180</v>
      </c>
      <c r="J28" s="330">
        <f>L27+L28</f>
        <v>107</v>
      </c>
      <c r="K28" s="358" t="s">
        <v>114</v>
      </c>
      <c r="L28" s="337">
        <f>SUM(H67:P67)</f>
        <v>0</v>
      </c>
      <c r="M28" s="308">
        <v>20</v>
      </c>
      <c r="N28" s="309">
        <v>3</v>
      </c>
      <c r="O28" s="309">
        <v>15</v>
      </c>
      <c r="P28" s="309">
        <v>3</v>
      </c>
      <c r="Q28" s="310"/>
    </row>
    <row r="30" spans="1:29">
      <c r="A30" s="241" t="s">
        <v>108</v>
      </c>
    </row>
    <row r="31" spans="1:29">
      <c r="A31" s="216" t="s">
        <v>26</v>
      </c>
      <c r="B31" s="215" t="s">
        <v>27</v>
      </c>
      <c r="C31" s="215" t="s">
        <v>129</v>
      </c>
      <c r="D31" s="215" t="s">
        <v>41</v>
      </c>
    </row>
    <row r="32" spans="1:29">
      <c r="A32" s="164"/>
      <c r="B32" s="164"/>
      <c r="C32" s="255"/>
      <c r="D32" s="164"/>
    </row>
    <row r="33" spans="1:4">
      <c r="A33" s="164"/>
      <c r="B33" s="164"/>
      <c r="C33" s="255"/>
      <c r="D33" s="164"/>
    </row>
    <row r="34" spans="1:4">
      <c r="A34" s="164"/>
      <c r="B34" s="164"/>
      <c r="C34" s="256"/>
      <c r="D34" s="164"/>
    </row>
    <row r="35" spans="1:4">
      <c r="A35" s="164"/>
      <c r="B35" s="164"/>
      <c r="C35" s="256"/>
      <c r="D35" s="164"/>
    </row>
    <row r="36" spans="1:4">
      <c r="A36" s="164"/>
      <c r="B36" s="164" t="str">
        <f>IFERROR(VLOOKUP(A36,'0919門市清單主檔'!B:C,2,FALSE),"")</f>
        <v/>
      </c>
      <c r="C36" s="256"/>
      <c r="D36" s="164" t="str">
        <f>IFERROR(IF(VLOOKUP(A36,勤務統計!A:N,14,FALSE)="HUB","V","未完工"),"")</f>
        <v/>
      </c>
    </row>
    <row r="37" spans="1:4">
      <c r="A37" s="164"/>
      <c r="B37" s="164" t="str">
        <f>IFERROR(VLOOKUP(A37,'0919門市清單主檔'!B:C,2,FALSE),"")</f>
        <v/>
      </c>
      <c r="C37" s="256"/>
      <c r="D37" s="164" t="str">
        <f>IFERROR(IF(VLOOKUP(A37,勤務統計!A:N,14,FALSE)="HUB","V","未完工"),"")</f>
        <v/>
      </c>
    </row>
    <row r="38" spans="1:4">
      <c r="A38" s="164"/>
      <c r="B38" s="164" t="str">
        <f>IFERROR(VLOOKUP(A38,'0919門市清單主檔'!B:C,2,FALSE),"")</f>
        <v/>
      </c>
      <c r="C38" s="256"/>
      <c r="D38" s="164" t="str">
        <f>IFERROR(IF(VLOOKUP(A38,勤務統計!A:N,14,FALSE)="HUB","V","未完工"),"")</f>
        <v/>
      </c>
    </row>
    <row r="39" spans="1:4">
      <c r="A39" s="164"/>
      <c r="B39" s="164" t="str">
        <f>IFERROR(VLOOKUP(A39,'0919門市清單主檔'!B:C,2,FALSE),"")</f>
        <v/>
      </c>
      <c r="C39" s="256"/>
      <c r="D39" s="164" t="str">
        <f>IFERROR(IF(VLOOKUP(A39,勤務統計!A:N,14,FALSE)="HUB","V","未完工"),"")</f>
        <v/>
      </c>
    </row>
    <row r="67" spans="13:16">
      <c r="M67" s="326"/>
      <c r="N67" s="326"/>
      <c r="O67" s="326"/>
      <c r="P67" s="326"/>
    </row>
  </sheetData>
  <mergeCells count="1">
    <mergeCell ref="A1:G1"/>
  </mergeCells>
  <phoneticPr fontId="45" type="noConversion"/>
  <pageMargins left="0.25" right="0.25" top="0.75" bottom="0.75" header="0.3" footer="0.3"/>
  <pageSetup paperSize="9" scale="60"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A1:J93"/>
  <sheetViews>
    <sheetView workbookViewId="0">
      <pane ySplit="1" topLeftCell="A2" activePane="bottomLeft" state="frozen"/>
      <selection pane="bottomLeft" activeCell="C8" sqref="C8"/>
    </sheetView>
  </sheetViews>
  <sheetFormatPr defaultRowHeight="15.6"/>
  <cols>
    <col min="1" max="1" width="12.796875" style="234" bestFit="1" customWidth="1"/>
    <col min="2" max="2" width="12.796875" style="346" customWidth="1"/>
    <col min="3" max="3" width="39.3984375" style="102" bestFit="1" customWidth="1"/>
    <col min="4" max="4" width="14.59765625" style="102" bestFit="1" customWidth="1"/>
    <col min="5" max="5" width="6.19921875" style="102" bestFit="1" customWidth="1"/>
    <col min="6" max="6" width="16.09765625" style="102" bestFit="1" customWidth="1"/>
    <col min="7" max="7" width="31.59765625" style="102" bestFit="1" customWidth="1"/>
    <col min="8" max="8" width="8.5" style="238" bestFit="1" customWidth="1"/>
    <col min="9" max="9" width="6.5" style="102" customWidth="1"/>
    <col min="10" max="10" width="9.3984375" style="77" bestFit="1" customWidth="1"/>
  </cols>
  <sheetData>
    <row r="1" spans="1:10" ht="23.4" customHeight="1">
      <c r="A1" s="235" t="s">
        <v>137</v>
      </c>
      <c r="B1" s="235" t="s">
        <v>138</v>
      </c>
      <c r="C1" s="236" t="s">
        <v>139</v>
      </c>
      <c r="D1" s="236" t="s">
        <v>140</v>
      </c>
      <c r="E1" s="236" t="s">
        <v>141</v>
      </c>
      <c r="F1" s="236" t="s">
        <v>142</v>
      </c>
      <c r="G1" s="236" t="s">
        <v>143</v>
      </c>
      <c r="H1" s="237" t="s">
        <v>144</v>
      </c>
      <c r="I1" s="236" t="s">
        <v>145</v>
      </c>
      <c r="J1" s="236" t="s">
        <v>146</v>
      </c>
    </row>
    <row r="2" spans="1:10">
      <c r="A2" s="261">
        <v>46058</v>
      </c>
      <c r="B2" s="342" t="str">
        <f t="shared" ref="B2:B33" si="0">"星期"&amp;CHOOSE(WEEKDAY(A2,2),"一","二","三","四","五","六","日")</f>
        <v>星期四</v>
      </c>
      <c r="C2" s="338" t="str">
        <f t="shared" ref="C2:C33" si="1">E2&amp;IF(AND(F2&lt;&gt;"",E2&lt;&gt;""),$I$1,"")&amp;F2&amp;$I$1&amp;G2&amp;IF(AND(H2&lt;&gt;"",G2&lt;&gt;""),$I$1,"")&amp;H2</f>
        <v>2109_新莊瓊林南_回裝_11:00</v>
      </c>
      <c r="D2" s="338" t="s">
        <v>118</v>
      </c>
      <c r="E2" s="338">
        <v>2109</v>
      </c>
      <c r="F2" s="338" t="s">
        <v>147</v>
      </c>
      <c r="G2" s="338" t="s">
        <v>148</v>
      </c>
      <c r="H2" s="339" t="s">
        <v>149</v>
      </c>
      <c r="I2" s="338"/>
      <c r="J2" s="246"/>
    </row>
    <row r="3" spans="1:10">
      <c r="A3" s="261">
        <v>46055</v>
      </c>
      <c r="B3" s="342" t="str">
        <f t="shared" si="0"/>
        <v>星期一</v>
      </c>
      <c r="C3" s="338" t="str">
        <f t="shared" si="1"/>
        <v>5389_新莊瓏山林_新開_11:00</v>
      </c>
      <c r="D3" s="338" t="s">
        <v>118</v>
      </c>
      <c r="E3" s="338">
        <v>5389</v>
      </c>
      <c r="F3" s="349" t="s">
        <v>150</v>
      </c>
      <c r="G3" s="349" t="s">
        <v>24</v>
      </c>
      <c r="H3" s="339" t="s">
        <v>149</v>
      </c>
      <c r="I3" s="338"/>
      <c r="J3" s="246"/>
    </row>
    <row r="4" spans="1:10">
      <c r="A4" s="261">
        <v>46052</v>
      </c>
      <c r="B4" s="342" t="str">
        <f t="shared" si="0"/>
        <v>星期五</v>
      </c>
      <c r="C4" s="338" t="str">
        <f t="shared" si="1"/>
        <v>2237_三芝芝蘭店_閉店_11:00</v>
      </c>
      <c r="D4" s="351" t="s">
        <v>123</v>
      </c>
      <c r="E4" s="338">
        <v>2237</v>
      </c>
      <c r="F4" s="351" t="s">
        <v>151</v>
      </c>
      <c r="G4" s="341" t="s">
        <v>152</v>
      </c>
      <c r="H4" s="352" t="s">
        <v>149</v>
      </c>
      <c r="I4" s="338"/>
      <c r="J4" s="246"/>
    </row>
    <row r="5" spans="1:10">
      <c r="A5" s="261"/>
      <c r="B5" s="342" t="str">
        <f t="shared" si="0"/>
        <v>星期六</v>
      </c>
      <c r="C5" s="338" t="str">
        <f t="shared" si="1"/>
        <v>3818_板橋漢江店_閉店_10:00</v>
      </c>
      <c r="D5" s="349" t="s">
        <v>134</v>
      </c>
      <c r="E5" s="338">
        <v>3818</v>
      </c>
      <c r="F5" s="349" t="s">
        <v>153</v>
      </c>
      <c r="G5" s="341" t="s">
        <v>152</v>
      </c>
      <c r="H5" s="350" t="s">
        <v>154</v>
      </c>
      <c r="I5" s="338"/>
      <c r="J5" s="246"/>
    </row>
    <row r="6" spans="1:10">
      <c r="A6" s="261">
        <v>46048</v>
      </c>
      <c r="B6" s="342" t="str">
        <f t="shared" si="0"/>
        <v>星期一</v>
      </c>
      <c r="C6" s="338" t="str">
        <f t="shared" si="1"/>
        <v>湯(特)_ALL</v>
      </c>
      <c r="D6" s="338" t="s">
        <v>118</v>
      </c>
      <c r="E6" s="338"/>
      <c r="F6" s="338" t="s">
        <v>155</v>
      </c>
      <c r="G6" s="341"/>
      <c r="H6" s="348" t="s">
        <v>156</v>
      </c>
      <c r="I6" s="338"/>
      <c r="J6" s="246"/>
    </row>
    <row r="7" spans="1:10">
      <c r="A7" s="261">
        <v>46048</v>
      </c>
      <c r="B7" s="342" t="str">
        <f t="shared" si="0"/>
        <v>星期一</v>
      </c>
      <c r="C7" s="338" t="str">
        <f t="shared" si="1"/>
        <v>3627_三重重新橋_回裝_11:00</v>
      </c>
      <c r="D7" s="338" t="s">
        <v>118</v>
      </c>
      <c r="E7" s="338">
        <v>3627</v>
      </c>
      <c r="F7" s="338" t="s">
        <v>157</v>
      </c>
      <c r="G7" s="341" t="s">
        <v>148</v>
      </c>
      <c r="H7" s="339" t="s">
        <v>149</v>
      </c>
      <c r="I7" s="338"/>
      <c r="J7" s="246"/>
    </row>
    <row r="8" spans="1:10">
      <c r="A8" s="261">
        <v>46045</v>
      </c>
      <c r="B8" s="342" t="str">
        <f t="shared" si="0"/>
        <v>星期五</v>
      </c>
      <c r="C8" s="338" t="str">
        <f t="shared" si="1"/>
        <v>4228_新莊頭前公園_閉店_10:00</v>
      </c>
      <c r="D8" s="347" t="s">
        <v>118</v>
      </c>
      <c r="E8" s="338">
        <v>4228</v>
      </c>
      <c r="F8" s="347" t="s">
        <v>158</v>
      </c>
      <c r="G8" s="338" t="s">
        <v>152</v>
      </c>
      <c r="H8" s="348" t="s">
        <v>154</v>
      </c>
      <c r="I8" s="338"/>
      <c r="J8" s="246"/>
    </row>
    <row r="9" spans="1:10">
      <c r="A9" s="261">
        <v>46043</v>
      </c>
      <c r="B9" s="342" t="str">
        <f t="shared" si="0"/>
        <v>星期三</v>
      </c>
      <c r="C9" s="338" t="str">
        <f t="shared" si="1"/>
        <v>2222_三重義天店_回裝_11:00</v>
      </c>
      <c r="D9" s="338" t="s">
        <v>133</v>
      </c>
      <c r="E9" s="338">
        <v>2222</v>
      </c>
      <c r="F9" s="338" t="s">
        <v>159</v>
      </c>
      <c r="G9" s="338" t="s">
        <v>148</v>
      </c>
      <c r="H9" s="339" t="s">
        <v>149</v>
      </c>
      <c r="I9" s="338"/>
      <c r="J9" s="246"/>
    </row>
    <row r="10" spans="1:10">
      <c r="A10" s="261">
        <v>46038</v>
      </c>
      <c r="B10" s="342" t="str">
        <f t="shared" si="0"/>
        <v>星期五</v>
      </c>
      <c r="C10" s="338" t="str">
        <f t="shared" si="1"/>
        <v>D148_新莊福營店_閉店_10:00</v>
      </c>
      <c r="D10" s="338" t="s">
        <v>118</v>
      </c>
      <c r="E10" s="338" t="s">
        <v>67</v>
      </c>
      <c r="F10" s="338" t="s">
        <v>160</v>
      </c>
      <c r="G10" s="338" t="s">
        <v>152</v>
      </c>
      <c r="H10" s="339" t="s">
        <v>154</v>
      </c>
      <c r="I10" s="338"/>
      <c r="J10" s="246"/>
    </row>
    <row r="11" spans="1:10">
      <c r="A11" s="261">
        <v>46038</v>
      </c>
      <c r="B11" s="342" t="str">
        <f t="shared" si="0"/>
        <v>星期五</v>
      </c>
      <c r="C11" s="338" t="str">
        <f t="shared" si="1"/>
        <v>吳(特)_ALL</v>
      </c>
      <c r="D11" s="338" t="s">
        <v>123</v>
      </c>
      <c r="E11" s="338"/>
      <c r="F11" s="347" t="s">
        <v>161</v>
      </c>
      <c r="G11" s="338"/>
      <c r="H11" s="348" t="s">
        <v>156</v>
      </c>
      <c r="I11" s="338"/>
      <c r="J11" s="246"/>
    </row>
    <row r="12" spans="1:10">
      <c r="A12" s="261">
        <v>46037</v>
      </c>
      <c r="B12" s="342" t="str">
        <f t="shared" si="0"/>
        <v>星期四</v>
      </c>
      <c r="C12" s="338" t="str">
        <f t="shared" si="1"/>
        <v>5491_三重向日葵_新開_11:00</v>
      </c>
      <c r="D12" s="338" t="s">
        <v>133</v>
      </c>
      <c r="E12" s="338">
        <v>5491</v>
      </c>
      <c r="F12" s="338" t="s">
        <v>162</v>
      </c>
      <c r="G12" s="338" t="s">
        <v>24</v>
      </c>
      <c r="H12" s="339" t="s">
        <v>149</v>
      </c>
      <c r="I12" s="338"/>
      <c r="J12" s="246"/>
    </row>
    <row r="13" spans="1:10">
      <c r="A13" s="261">
        <v>46037</v>
      </c>
      <c r="B13" s="342" t="str">
        <f t="shared" si="0"/>
        <v>星期四</v>
      </c>
      <c r="C13" s="338" t="str">
        <f t="shared" si="1"/>
        <v>吳(特)_ALL</v>
      </c>
      <c r="D13" s="338" t="s">
        <v>123</v>
      </c>
      <c r="E13" s="338"/>
      <c r="F13" s="347" t="s">
        <v>161</v>
      </c>
      <c r="G13" s="338"/>
      <c r="H13" s="348" t="s">
        <v>156</v>
      </c>
      <c r="I13" s="338"/>
      <c r="J13" s="246"/>
    </row>
    <row r="14" spans="1:10">
      <c r="A14" s="261">
        <v>46035</v>
      </c>
      <c r="B14" s="342" t="str">
        <f t="shared" si="0"/>
        <v>星期二</v>
      </c>
      <c r="C14" s="338" t="str">
        <f t="shared" si="1"/>
        <v>4511_淡水屯山店_閉店_10:00</v>
      </c>
      <c r="D14" s="338" t="s">
        <v>123</v>
      </c>
      <c r="E14" s="338">
        <v>4511</v>
      </c>
      <c r="F14" s="338" t="s">
        <v>163</v>
      </c>
      <c r="G14" s="338" t="s">
        <v>152</v>
      </c>
      <c r="H14" s="339" t="s">
        <v>154</v>
      </c>
      <c r="I14" s="338"/>
      <c r="J14" s="246"/>
    </row>
    <row r="15" spans="1:10">
      <c r="A15" s="261">
        <v>46033</v>
      </c>
      <c r="B15" s="342" t="str">
        <f t="shared" si="0"/>
        <v>星期日</v>
      </c>
      <c r="C15" s="338" t="str">
        <f t="shared" si="1"/>
        <v>5574_桃縣桃高二店_撤機_18:00</v>
      </c>
      <c r="D15" s="338" t="s">
        <v>123</v>
      </c>
      <c r="E15" s="338">
        <v>5574</v>
      </c>
      <c r="F15" s="338" t="s">
        <v>164</v>
      </c>
      <c r="G15" s="338" t="s">
        <v>165</v>
      </c>
      <c r="H15" s="339" t="s">
        <v>166</v>
      </c>
      <c r="I15" s="338"/>
      <c r="J15" s="246"/>
    </row>
    <row r="16" spans="1:10">
      <c r="A16" s="261">
        <v>46031</v>
      </c>
      <c r="B16" s="342" t="str">
        <f t="shared" si="0"/>
        <v>星期五</v>
      </c>
      <c r="C16" s="338" t="str">
        <f t="shared" si="1"/>
        <v>5574_桃縣桃高二店_借機_14:00</v>
      </c>
      <c r="D16" s="338" t="s">
        <v>123</v>
      </c>
      <c r="E16" s="338">
        <v>5574</v>
      </c>
      <c r="F16" s="338" t="s">
        <v>164</v>
      </c>
      <c r="G16" s="338" t="s">
        <v>167</v>
      </c>
      <c r="H16" s="339" t="s">
        <v>168</v>
      </c>
      <c r="I16" s="338"/>
      <c r="J16" s="246"/>
    </row>
    <row r="17" spans="1:10">
      <c r="A17" s="261">
        <v>46030</v>
      </c>
      <c r="B17" s="342" t="str">
        <f t="shared" si="0"/>
        <v>星期四</v>
      </c>
      <c r="C17" s="338" t="str">
        <f t="shared" si="1"/>
        <v>2109_新莊瓊林南_裝潢撤店_15:00</v>
      </c>
      <c r="D17" s="338" t="s">
        <v>118</v>
      </c>
      <c r="E17" s="338">
        <v>2109</v>
      </c>
      <c r="F17" s="338" t="s">
        <v>147</v>
      </c>
      <c r="G17" s="338" t="s">
        <v>169</v>
      </c>
      <c r="H17" s="339" t="s">
        <v>170</v>
      </c>
      <c r="I17" s="338"/>
      <c r="J17" s="246"/>
    </row>
    <row r="18" spans="1:10">
      <c r="A18" s="340">
        <v>46027</v>
      </c>
      <c r="B18" s="342" t="str">
        <f t="shared" si="0"/>
        <v>星期一</v>
      </c>
      <c r="C18" s="338" t="str">
        <f t="shared" si="1"/>
        <v>5513_新莊A3站_新開_11:00</v>
      </c>
      <c r="D18" s="338" t="s">
        <v>118</v>
      </c>
      <c r="E18" s="338">
        <v>5513</v>
      </c>
      <c r="F18" s="338" t="s">
        <v>87</v>
      </c>
      <c r="G18" s="338" t="s">
        <v>24</v>
      </c>
      <c r="H18" s="339" t="s">
        <v>149</v>
      </c>
      <c r="I18" s="338"/>
      <c r="J18" s="296"/>
    </row>
    <row r="19" spans="1:10">
      <c r="A19" s="340">
        <v>46027</v>
      </c>
      <c r="B19" s="342" t="str">
        <f t="shared" si="0"/>
        <v>星期一</v>
      </c>
      <c r="C19" s="338" t="str">
        <f t="shared" si="1"/>
        <v>5496_板橋市民廣場_TM3撤機_11:00</v>
      </c>
      <c r="D19" s="338" t="s">
        <v>134</v>
      </c>
      <c r="E19" s="338">
        <v>5496</v>
      </c>
      <c r="F19" s="338" t="s">
        <v>171</v>
      </c>
      <c r="G19" s="338" t="s">
        <v>172</v>
      </c>
      <c r="H19" s="339" t="s">
        <v>149</v>
      </c>
      <c r="I19" s="338"/>
      <c r="J19" s="296"/>
    </row>
    <row r="20" spans="1:10">
      <c r="A20" s="261">
        <v>46024</v>
      </c>
      <c r="B20" s="342" t="str">
        <f t="shared" si="0"/>
        <v>星期五</v>
      </c>
      <c r="C20" s="338" t="str">
        <f t="shared" si="1"/>
        <v>5155_淡水魚市二_借機撤機_11:00</v>
      </c>
      <c r="D20" s="338" t="s">
        <v>123</v>
      </c>
      <c r="E20" s="338">
        <v>5155</v>
      </c>
      <c r="F20" s="338" t="s">
        <v>173</v>
      </c>
      <c r="G20" s="338" t="s">
        <v>174</v>
      </c>
      <c r="H20" s="339" t="s">
        <v>149</v>
      </c>
      <c r="I20" s="338"/>
      <c r="J20" s="296"/>
    </row>
    <row r="21" spans="1:10">
      <c r="A21" s="261">
        <v>46021</v>
      </c>
      <c r="B21" s="342" t="str">
        <f t="shared" si="0"/>
        <v>星期二</v>
      </c>
      <c r="C21" s="338" t="str">
        <f t="shared" si="1"/>
        <v>5155_淡水魚市二_借機_09:00</v>
      </c>
      <c r="D21" s="338" t="s">
        <v>123</v>
      </c>
      <c r="E21" s="338">
        <v>5155</v>
      </c>
      <c r="F21" s="338" t="s">
        <v>173</v>
      </c>
      <c r="G21" s="338" t="s">
        <v>167</v>
      </c>
      <c r="H21" s="339" t="s">
        <v>175</v>
      </c>
      <c r="I21" s="338"/>
      <c r="J21" s="296"/>
    </row>
    <row r="22" spans="1:10">
      <c r="A22" s="261">
        <v>46020</v>
      </c>
      <c r="B22" s="342" t="str">
        <f t="shared" si="0"/>
        <v>星期一</v>
      </c>
      <c r="C22" s="338" t="str">
        <f t="shared" si="1"/>
        <v>3052_北縣莊玲店_回裝_11:00</v>
      </c>
      <c r="D22" s="338" t="s">
        <v>118</v>
      </c>
      <c r="E22" s="338">
        <v>3052</v>
      </c>
      <c r="F22" s="338" t="s">
        <v>176</v>
      </c>
      <c r="G22" s="338" t="s">
        <v>148</v>
      </c>
      <c r="H22" s="339" t="s">
        <v>149</v>
      </c>
      <c r="I22" s="338"/>
      <c r="J22" s="296"/>
    </row>
    <row r="23" spans="1:10">
      <c r="A23" s="261">
        <v>46014</v>
      </c>
      <c r="B23" s="342" t="str">
        <f t="shared" si="0"/>
        <v>星期二</v>
      </c>
      <c r="C23" s="338" t="str">
        <f t="shared" si="1"/>
        <v>4196_三重蝶愛店_回裝_11:00</v>
      </c>
      <c r="D23" s="338" t="s">
        <v>123</v>
      </c>
      <c r="E23" s="338">
        <v>4196</v>
      </c>
      <c r="F23" s="338" t="s">
        <v>177</v>
      </c>
      <c r="G23" s="338" t="s">
        <v>148</v>
      </c>
      <c r="H23" s="339" t="s">
        <v>149</v>
      </c>
      <c r="I23" s="338"/>
      <c r="J23" s="296"/>
    </row>
    <row r="24" spans="1:10">
      <c r="A24" s="261">
        <v>46014</v>
      </c>
      <c r="B24" s="342" t="str">
        <f t="shared" si="0"/>
        <v>星期二</v>
      </c>
      <c r="C24" s="341" t="str">
        <f t="shared" si="1"/>
        <v>5451_板橋懷仁店_新開_15:00</v>
      </c>
      <c r="D24" s="338" t="s">
        <v>134</v>
      </c>
      <c r="E24" s="338">
        <v>5451</v>
      </c>
      <c r="F24" s="338" t="s">
        <v>178</v>
      </c>
      <c r="G24" s="338" t="s">
        <v>24</v>
      </c>
      <c r="H24" s="339" t="s">
        <v>170</v>
      </c>
      <c r="I24" s="338"/>
      <c r="J24" s="239"/>
    </row>
    <row r="25" spans="1:10">
      <c r="A25" s="261">
        <v>46008</v>
      </c>
      <c r="B25" s="342" t="str">
        <f t="shared" si="0"/>
        <v>星期三</v>
      </c>
      <c r="C25" s="338" t="str">
        <f t="shared" si="1"/>
        <v>3627_三重重新橋_裝潢撤店_15:00</v>
      </c>
      <c r="D25" s="338" t="s">
        <v>123</v>
      </c>
      <c r="E25" s="338">
        <v>3627</v>
      </c>
      <c r="F25" s="338" t="s">
        <v>157</v>
      </c>
      <c r="G25" s="338" t="s">
        <v>169</v>
      </c>
      <c r="H25" s="339" t="s">
        <v>170</v>
      </c>
      <c r="I25" s="338"/>
      <c r="J25" s="246"/>
    </row>
    <row r="26" spans="1:10">
      <c r="A26" s="261">
        <v>46006</v>
      </c>
      <c r="B26" s="342" t="str">
        <f t="shared" si="0"/>
        <v>星期一</v>
      </c>
      <c r="C26" s="338" t="str">
        <f t="shared" si="1"/>
        <v>2222_三重義天店_裝潢撤店_15:00</v>
      </c>
      <c r="D26" s="338" t="s">
        <v>123</v>
      </c>
      <c r="E26" s="338">
        <v>2222</v>
      </c>
      <c r="F26" s="338" t="s">
        <v>159</v>
      </c>
      <c r="G26" s="338" t="s">
        <v>169</v>
      </c>
      <c r="H26" s="339" t="s">
        <v>170</v>
      </c>
      <c r="I26" s="338"/>
      <c r="J26" s="246"/>
    </row>
    <row r="27" spans="1:10">
      <c r="A27" s="261">
        <v>46006</v>
      </c>
      <c r="B27" s="342" t="str">
        <f t="shared" si="0"/>
        <v>星期一</v>
      </c>
      <c r="C27" s="338" t="str">
        <f t="shared" si="1"/>
        <v>5430_蘆洲河上洲_新開_11:00</v>
      </c>
      <c r="D27" s="338" t="s">
        <v>118</v>
      </c>
      <c r="E27" s="338">
        <v>5430</v>
      </c>
      <c r="F27" s="338" t="s">
        <v>179</v>
      </c>
      <c r="G27" s="338" t="s">
        <v>24</v>
      </c>
      <c r="H27" s="339" t="s">
        <v>149</v>
      </c>
      <c r="I27" s="338"/>
      <c r="J27" s="246"/>
    </row>
    <row r="28" spans="1:10">
      <c r="A28" s="340">
        <v>46003</v>
      </c>
      <c r="B28" s="342" t="str">
        <f t="shared" si="0"/>
        <v>星期五</v>
      </c>
      <c r="C28" s="338" t="str">
        <f t="shared" si="1"/>
        <v>4154_林口麗園店_閉店_10:00</v>
      </c>
      <c r="D28" s="338" t="s">
        <v>118</v>
      </c>
      <c r="E28" s="338">
        <v>4154</v>
      </c>
      <c r="F28" s="338" t="s">
        <v>180</v>
      </c>
      <c r="G28" s="338" t="s">
        <v>152</v>
      </c>
      <c r="H28" s="339" t="s">
        <v>154</v>
      </c>
      <c r="I28" s="338"/>
      <c r="J28" s="296"/>
    </row>
    <row r="29" spans="1:10">
      <c r="A29" s="261">
        <v>46002</v>
      </c>
      <c r="B29" s="342" t="str">
        <f t="shared" si="0"/>
        <v>星期四</v>
      </c>
      <c r="C29" s="338" t="str">
        <f t="shared" si="1"/>
        <v>湯(特)_ALL</v>
      </c>
      <c r="D29" s="338" t="s">
        <v>118</v>
      </c>
      <c r="E29" s="338"/>
      <c r="F29" s="338" t="s">
        <v>155</v>
      </c>
      <c r="G29" s="338"/>
      <c r="H29" s="339" t="s">
        <v>156</v>
      </c>
      <c r="I29" s="338"/>
      <c r="J29" s="246"/>
    </row>
    <row r="30" spans="1:10">
      <c r="A30" s="261">
        <v>46001</v>
      </c>
      <c r="B30" s="342" t="str">
        <f t="shared" si="0"/>
        <v>星期三</v>
      </c>
      <c r="C30" s="338" t="str">
        <f t="shared" si="1"/>
        <v>湯(特)_ALL</v>
      </c>
      <c r="D30" s="338" t="s">
        <v>118</v>
      </c>
      <c r="E30" s="338"/>
      <c r="F30" s="338" t="s">
        <v>155</v>
      </c>
      <c r="G30" s="338"/>
      <c r="H30" s="339" t="s">
        <v>156</v>
      </c>
      <c r="I30" s="338"/>
      <c r="J30" s="246"/>
    </row>
    <row r="31" spans="1:10">
      <c r="A31" s="261">
        <v>46000</v>
      </c>
      <c r="B31" s="342" t="str">
        <f t="shared" si="0"/>
        <v>星期二</v>
      </c>
      <c r="C31" s="338" t="str">
        <f t="shared" si="1"/>
        <v>湯(特)_ALL</v>
      </c>
      <c r="D31" s="338" t="s">
        <v>118</v>
      </c>
      <c r="E31" s="338"/>
      <c r="F31" s="338" t="s">
        <v>155</v>
      </c>
      <c r="G31" s="338"/>
      <c r="H31" s="339" t="s">
        <v>156</v>
      </c>
      <c r="I31" s="338"/>
      <c r="J31" s="246"/>
    </row>
    <row r="32" spans="1:10">
      <c r="A32" s="261">
        <v>45999</v>
      </c>
      <c r="B32" s="342" t="str">
        <f t="shared" si="0"/>
        <v>星期一</v>
      </c>
      <c r="C32" s="338" t="str">
        <f t="shared" si="1"/>
        <v>湯(特)_ALL</v>
      </c>
      <c r="D32" s="338" t="s">
        <v>118</v>
      </c>
      <c r="E32" s="338"/>
      <c r="F32" s="338" t="s">
        <v>155</v>
      </c>
      <c r="G32" s="338"/>
      <c r="H32" s="339" t="s">
        <v>156</v>
      </c>
      <c r="I32" s="338"/>
      <c r="J32" s="246"/>
    </row>
    <row r="33" spans="1:10">
      <c r="A33" s="261">
        <v>45998</v>
      </c>
      <c r="B33" s="342" t="str">
        <f t="shared" si="0"/>
        <v>星期日</v>
      </c>
      <c r="C33" s="338" t="str">
        <f t="shared" si="1"/>
        <v>湯(特)_ALL</v>
      </c>
      <c r="D33" s="338" t="s">
        <v>118</v>
      </c>
      <c r="E33" s="338"/>
      <c r="F33" s="338" t="s">
        <v>155</v>
      </c>
      <c r="G33" s="338"/>
      <c r="H33" s="339" t="s">
        <v>156</v>
      </c>
      <c r="I33" s="338"/>
      <c r="J33" s="246"/>
    </row>
    <row r="34" spans="1:10">
      <c r="A34" s="342">
        <v>45995</v>
      </c>
      <c r="B34" s="342" t="str">
        <f t="shared" ref="B34:B65" si="2">"星期"&amp;CHOOSE(WEEKDAY(A34,2),"一","二","三","四","五","六","日")</f>
        <v>星期四</v>
      </c>
      <c r="C34" s="338" t="str">
        <f t="shared" ref="C34:C65" si="3">E34&amp;IF(AND(F34&lt;&gt;"",E34&lt;&gt;""),$I$1,"")&amp;F34&amp;$I$1&amp;G34&amp;IF(AND(H34&lt;&gt;"",G34&lt;&gt;""),$I$1,"")&amp;H34</f>
        <v>4083_三重中央南_回裝+攜帶壁掛架 AW400_11:00</v>
      </c>
      <c r="D34" s="338" t="s">
        <v>181</v>
      </c>
      <c r="E34" s="338">
        <v>4083</v>
      </c>
      <c r="F34" s="338" t="s">
        <v>182</v>
      </c>
      <c r="G34" s="338" t="s">
        <v>183</v>
      </c>
      <c r="H34" s="339" t="s">
        <v>149</v>
      </c>
      <c r="I34" s="338"/>
      <c r="J34" s="246" t="s">
        <v>181</v>
      </c>
    </row>
    <row r="35" spans="1:10">
      <c r="A35" s="261">
        <v>45993</v>
      </c>
      <c r="B35" s="342" t="str">
        <f t="shared" si="2"/>
        <v>星期二</v>
      </c>
      <c r="C35" s="338" t="str">
        <f t="shared" si="3"/>
        <v>湯(特)_ALL</v>
      </c>
      <c r="D35" s="338" t="s">
        <v>118</v>
      </c>
      <c r="E35" s="338"/>
      <c r="F35" s="338" t="s">
        <v>155</v>
      </c>
      <c r="G35" s="338"/>
      <c r="H35" s="339" t="s">
        <v>156</v>
      </c>
      <c r="I35" s="338"/>
      <c r="J35" s="246"/>
    </row>
    <row r="36" spans="1:10">
      <c r="A36" s="342">
        <v>45993</v>
      </c>
      <c r="B36" s="342" t="str">
        <f t="shared" si="2"/>
        <v>星期二</v>
      </c>
      <c r="C36" s="338" t="str">
        <f t="shared" si="3"/>
        <v>5410_三重力行店_新開_11:00</v>
      </c>
      <c r="D36" s="338" t="s">
        <v>123</v>
      </c>
      <c r="E36" s="338">
        <v>5410</v>
      </c>
      <c r="F36" s="338" t="s">
        <v>184</v>
      </c>
      <c r="G36" s="338" t="s">
        <v>24</v>
      </c>
      <c r="H36" s="339" t="s">
        <v>149</v>
      </c>
      <c r="I36" s="338"/>
      <c r="J36" s="246"/>
    </row>
    <row r="37" spans="1:10">
      <c r="A37" s="340">
        <v>45989</v>
      </c>
      <c r="B37" s="342" t="str">
        <f t="shared" si="2"/>
        <v>星期五</v>
      </c>
      <c r="C37" s="338" t="str">
        <f t="shared" si="3"/>
        <v>3362_三重安慶店_閉店_15:00</v>
      </c>
      <c r="D37" s="338" t="s">
        <v>123</v>
      </c>
      <c r="E37" s="338">
        <v>3362</v>
      </c>
      <c r="F37" s="338" t="s">
        <v>185</v>
      </c>
      <c r="G37" s="338" t="s">
        <v>152</v>
      </c>
      <c r="H37" s="339" t="s">
        <v>170</v>
      </c>
      <c r="I37" s="338"/>
      <c r="J37" s="296"/>
    </row>
    <row r="38" spans="1:10">
      <c r="A38" s="340">
        <v>45986</v>
      </c>
      <c r="B38" s="342" t="str">
        <f t="shared" si="2"/>
        <v>星期二</v>
      </c>
      <c r="C38" s="338" t="str">
        <f t="shared" si="3"/>
        <v>3052_北縣莊玲店_裝潢撤店_15:00</v>
      </c>
      <c r="D38" s="338" t="s">
        <v>118</v>
      </c>
      <c r="E38" s="338">
        <v>3052</v>
      </c>
      <c r="F38" s="338" t="s">
        <v>176</v>
      </c>
      <c r="G38" s="338" t="s">
        <v>169</v>
      </c>
      <c r="H38" s="339" t="s">
        <v>170</v>
      </c>
      <c r="I38" s="338"/>
      <c r="J38" s="296"/>
    </row>
    <row r="39" spans="1:10">
      <c r="A39" s="340">
        <v>45985</v>
      </c>
      <c r="B39" s="342" t="str">
        <f t="shared" si="2"/>
        <v>星期一</v>
      </c>
      <c r="C39" s="338" t="str">
        <f t="shared" si="3"/>
        <v>3623_三重自強店_裝潢撤店_15:00</v>
      </c>
      <c r="D39" s="338" t="s">
        <v>123</v>
      </c>
      <c r="E39" s="338">
        <v>3623</v>
      </c>
      <c r="F39" s="338" t="s">
        <v>186</v>
      </c>
      <c r="G39" s="338" t="s">
        <v>169</v>
      </c>
      <c r="H39" s="339" t="s">
        <v>170</v>
      </c>
      <c r="I39" s="338"/>
      <c r="J39" s="296"/>
    </row>
    <row r="40" spans="1:10">
      <c r="A40" s="340">
        <v>45980</v>
      </c>
      <c r="B40" s="342" t="str">
        <f t="shared" si="2"/>
        <v>星期三</v>
      </c>
      <c r="C40" s="338" t="str">
        <f t="shared" si="3"/>
        <v>4917_板橋翠華店_閉店_15:00</v>
      </c>
      <c r="D40" s="338" t="s">
        <v>134</v>
      </c>
      <c r="E40" s="338">
        <v>4917</v>
      </c>
      <c r="F40" s="338" t="s">
        <v>187</v>
      </c>
      <c r="G40" s="338" t="s">
        <v>152</v>
      </c>
      <c r="H40" s="339" t="s">
        <v>170</v>
      </c>
      <c r="I40" s="338"/>
      <c r="J40" s="296"/>
    </row>
    <row r="41" spans="1:10">
      <c r="A41" s="340">
        <v>45980</v>
      </c>
      <c r="B41" s="342" t="str">
        <f t="shared" si="2"/>
        <v>星期三</v>
      </c>
      <c r="C41" s="338" t="str">
        <f t="shared" si="3"/>
        <v>5428_三重野球魂_新開_11:00</v>
      </c>
      <c r="D41" s="338" t="s">
        <v>123</v>
      </c>
      <c r="E41" s="338">
        <v>5428</v>
      </c>
      <c r="F41" s="338" t="s">
        <v>188</v>
      </c>
      <c r="G41" s="338" t="s">
        <v>24</v>
      </c>
      <c r="H41" s="339" t="s">
        <v>149</v>
      </c>
      <c r="I41" s="338"/>
      <c r="J41" s="296"/>
    </row>
    <row r="42" spans="1:10">
      <c r="A42" s="340">
        <v>45978</v>
      </c>
      <c r="B42" s="342" t="str">
        <f t="shared" si="2"/>
        <v>星期一</v>
      </c>
      <c r="C42" s="338" t="str">
        <f t="shared" si="3"/>
        <v>4196_三重蝶愛店_裝潢撤店_15:00</v>
      </c>
      <c r="D42" s="338" t="s">
        <v>123</v>
      </c>
      <c r="E42" s="338">
        <v>4196</v>
      </c>
      <c r="F42" s="338" t="s">
        <v>177</v>
      </c>
      <c r="G42" s="338" t="s">
        <v>169</v>
      </c>
      <c r="H42" s="339" t="s">
        <v>170</v>
      </c>
      <c r="I42" s="338"/>
      <c r="J42" s="296"/>
    </row>
    <row r="43" spans="1:10">
      <c r="A43" s="340">
        <v>45975</v>
      </c>
      <c r="B43" s="342" t="str">
        <f t="shared" si="2"/>
        <v>星期五</v>
      </c>
      <c r="C43" s="338" t="str">
        <f t="shared" si="3"/>
        <v>5496_板橋市民廣場_TM3新增_11:00</v>
      </c>
      <c r="D43" s="338" t="s">
        <v>134</v>
      </c>
      <c r="E43" s="338">
        <v>5496</v>
      </c>
      <c r="F43" s="338" t="s">
        <v>171</v>
      </c>
      <c r="G43" s="338" t="s">
        <v>189</v>
      </c>
      <c r="H43" s="339" t="s">
        <v>149</v>
      </c>
      <c r="I43" s="338"/>
      <c r="J43" s="296"/>
    </row>
    <row r="44" spans="1:10">
      <c r="A44" s="340">
        <v>45974</v>
      </c>
      <c r="B44" s="342" t="str">
        <f t="shared" si="2"/>
        <v>星期四</v>
      </c>
      <c r="C44" s="338" t="str">
        <f t="shared" si="3"/>
        <v>5101_淡水小坪頂_裝潢撤店_15:00</v>
      </c>
      <c r="D44" s="338" t="s">
        <v>123</v>
      </c>
      <c r="E44" s="338">
        <v>5101</v>
      </c>
      <c r="F44" s="338" t="s">
        <v>190</v>
      </c>
      <c r="G44" s="338" t="s">
        <v>169</v>
      </c>
      <c r="H44" s="339" t="s">
        <v>170</v>
      </c>
      <c r="I44" s="338"/>
      <c r="J44" s="296"/>
    </row>
    <row r="45" spans="1:10" s="239" customFormat="1">
      <c r="A45" s="340">
        <v>45971</v>
      </c>
      <c r="B45" s="342" t="str">
        <f t="shared" si="2"/>
        <v>星期一</v>
      </c>
      <c r="C45" s="338" t="str">
        <f t="shared" si="3"/>
        <v>5496_板橋市民廣場_新開_11:00</v>
      </c>
      <c r="D45" s="338" t="s">
        <v>134</v>
      </c>
      <c r="E45" s="338">
        <v>5496</v>
      </c>
      <c r="F45" s="338" t="s">
        <v>171</v>
      </c>
      <c r="G45" s="338" t="s">
        <v>24</v>
      </c>
      <c r="H45" s="339" t="s">
        <v>149</v>
      </c>
      <c r="I45" s="338"/>
      <c r="J45" s="296"/>
    </row>
    <row r="46" spans="1:10" s="239" customFormat="1">
      <c r="A46" s="342">
        <v>45971</v>
      </c>
      <c r="B46" s="342" t="str">
        <f t="shared" si="2"/>
        <v>星期一</v>
      </c>
      <c r="C46" s="338" t="str">
        <f t="shared" si="3"/>
        <v>4210_三重福華店_回裝_11:00</v>
      </c>
      <c r="D46" s="338" t="s">
        <v>123</v>
      </c>
      <c r="E46" s="338">
        <v>4210</v>
      </c>
      <c r="F46" s="338" t="s">
        <v>191</v>
      </c>
      <c r="G46" s="338" t="s">
        <v>148</v>
      </c>
      <c r="H46" s="339" t="s">
        <v>149</v>
      </c>
      <c r="I46" s="338"/>
      <c r="J46" s="296"/>
    </row>
    <row r="47" spans="1:10" s="239" customFormat="1">
      <c r="A47" s="340">
        <v>45968</v>
      </c>
      <c r="B47" s="342" t="str">
        <f t="shared" si="2"/>
        <v>星期五</v>
      </c>
      <c r="C47" s="338" t="str">
        <f t="shared" si="3"/>
        <v>DQ新生店_保養D2_10:00</v>
      </c>
      <c r="D47" s="338" t="s">
        <v>134</v>
      </c>
      <c r="E47" s="338"/>
      <c r="F47" s="338" t="s">
        <v>192</v>
      </c>
      <c r="G47" s="338" t="s">
        <v>193</v>
      </c>
      <c r="H47" s="339" t="s">
        <v>154</v>
      </c>
      <c r="I47" s="338"/>
      <c r="J47" s="296"/>
    </row>
    <row r="48" spans="1:10" s="239" customFormat="1">
      <c r="A48" s="340">
        <v>45966</v>
      </c>
      <c r="B48" s="342" t="str">
        <f t="shared" si="2"/>
        <v>星期三</v>
      </c>
      <c r="C48" s="338" t="str">
        <f t="shared" si="3"/>
        <v>DQ新生店_保養D1_10:00</v>
      </c>
      <c r="D48" s="338" t="s">
        <v>134</v>
      </c>
      <c r="E48" s="338"/>
      <c r="F48" s="338" t="s">
        <v>192</v>
      </c>
      <c r="G48" s="338" t="s">
        <v>194</v>
      </c>
      <c r="H48" s="339" t="s">
        <v>154</v>
      </c>
      <c r="I48" s="338"/>
      <c r="J48" s="296"/>
    </row>
    <row r="49" spans="1:10" s="239" customFormat="1">
      <c r="A49" s="340">
        <v>45964</v>
      </c>
      <c r="B49" s="342" t="str">
        <f t="shared" si="2"/>
        <v>星期一</v>
      </c>
      <c r="C49" s="338" t="str">
        <f t="shared" si="3"/>
        <v>D195_三重車路頭_回裝_11:00</v>
      </c>
      <c r="D49" s="338" t="s">
        <v>123</v>
      </c>
      <c r="E49" s="338" t="s">
        <v>63</v>
      </c>
      <c r="F49" s="338" t="s">
        <v>195</v>
      </c>
      <c r="G49" s="338" t="s">
        <v>148</v>
      </c>
      <c r="H49" s="339" t="s">
        <v>149</v>
      </c>
      <c r="I49" s="338"/>
      <c r="J49" s="296"/>
    </row>
    <row r="50" spans="1:10" s="239" customFormat="1">
      <c r="A50" s="340">
        <v>45960</v>
      </c>
      <c r="B50" s="342" t="str">
        <f t="shared" si="2"/>
        <v>星期四</v>
      </c>
      <c r="C50" s="338" t="str">
        <f t="shared" si="3"/>
        <v>3399_板橋藝文中心_閉店_10:00</v>
      </c>
      <c r="D50" s="338" t="s">
        <v>134</v>
      </c>
      <c r="E50" s="338">
        <v>3399</v>
      </c>
      <c r="F50" s="338" t="s">
        <v>196</v>
      </c>
      <c r="G50" s="338" t="s">
        <v>152</v>
      </c>
      <c r="H50" s="339" t="s">
        <v>154</v>
      </c>
      <c r="I50" s="338"/>
      <c r="J50" s="296"/>
    </row>
    <row r="51" spans="1:10" s="239" customFormat="1">
      <c r="A51" s="340">
        <v>45960</v>
      </c>
      <c r="B51" s="342" t="str">
        <f t="shared" si="2"/>
        <v>星期四</v>
      </c>
      <c r="C51" s="338" t="str">
        <f t="shared" si="3"/>
        <v>5457_三重鑫五華_新開_10:00</v>
      </c>
      <c r="D51" s="338" t="s">
        <v>123</v>
      </c>
      <c r="E51" s="338">
        <v>5457</v>
      </c>
      <c r="F51" s="338" t="s">
        <v>197</v>
      </c>
      <c r="G51" s="338" t="s">
        <v>24</v>
      </c>
      <c r="H51" s="339" t="s">
        <v>154</v>
      </c>
      <c r="I51" s="338"/>
      <c r="J51" s="296"/>
    </row>
    <row r="52" spans="1:10" s="239" customFormat="1">
      <c r="A52" s="340">
        <v>45960</v>
      </c>
      <c r="B52" s="342" t="str">
        <f t="shared" si="2"/>
        <v>星期四</v>
      </c>
      <c r="C52" s="338" t="str">
        <f t="shared" si="3"/>
        <v>4083_三重中央南_裝潢撤店_15:00</v>
      </c>
      <c r="D52" s="338" t="s">
        <v>118</v>
      </c>
      <c r="E52" s="338">
        <v>4083</v>
      </c>
      <c r="F52" s="338" t="s">
        <v>182</v>
      </c>
      <c r="G52" s="338" t="s">
        <v>169</v>
      </c>
      <c r="H52" s="339" t="s">
        <v>170</v>
      </c>
      <c r="I52" s="338"/>
      <c r="J52" s="296"/>
    </row>
    <row r="53" spans="1:10" s="239" customFormat="1">
      <c r="A53" s="340">
        <v>45958</v>
      </c>
      <c r="B53" s="342" t="str">
        <f t="shared" si="2"/>
        <v>星期二</v>
      </c>
      <c r="C53" s="338" t="str">
        <f t="shared" si="3"/>
        <v>德森精密_合約換機_下午</v>
      </c>
      <c r="D53" s="338" t="s">
        <v>118</v>
      </c>
      <c r="E53" s="338"/>
      <c r="F53" s="338" t="s">
        <v>198</v>
      </c>
      <c r="G53" s="338" t="s">
        <v>199</v>
      </c>
      <c r="H53" s="339" t="s">
        <v>200</v>
      </c>
      <c r="I53" s="338"/>
      <c r="J53" s="296"/>
    </row>
    <row r="54" spans="1:10" s="239" customFormat="1">
      <c r="A54" s="340">
        <v>45951</v>
      </c>
      <c r="B54" s="342" t="str">
        <f t="shared" si="2"/>
        <v>星期二</v>
      </c>
      <c r="C54" s="338" t="str">
        <f t="shared" si="3"/>
        <v>5080_三芝楓愛林_協助PEP-FW更新_14:00</v>
      </c>
      <c r="D54" s="338" t="s">
        <v>123</v>
      </c>
      <c r="E54" s="338">
        <v>5080</v>
      </c>
      <c r="F54" s="338" t="s">
        <v>201</v>
      </c>
      <c r="G54" s="338" t="s">
        <v>202</v>
      </c>
      <c r="H54" s="339" t="s">
        <v>168</v>
      </c>
      <c r="I54" s="338"/>
      <c r="J54" s="296"/>
    </row>
    <row r="55" spans="1:10" s="239" customFormat="1">
      <c r="A55" s="340">
        <v>45946</v>
      </c>
      <c r="B55" s="342" t="str">
        <f t="shared" si="2"/>
        <v>星期四</v>
      </c>
      <c r="C55" s="341" t="str">
        <f t="shared" si="3"/>
        <v>5377_三重大智店_新開_11:00</v>
      </c>
      <c r="D55" s="338" t="s">
        <v>181</v>
      </c>
      <c r="E55" s="338">
        <v>5377</v>
      </c>
      <c r="F55" s="338" t="s">
        <v>203</v>
      </c>
      <c r="G55" s="338" t="s">
        <v>24</v>
      </c>
      <c r="H55" s="339" t="s">
        <v>149</v>
      </c>
      <c r="I55" s="338"/>
      <c r="J55" s="246"/>
    </row>
    <row r="56" spans="1:10" s="239" customFormat="1">
      <c r="A56" s="340">
        <v>45945</v>
      </c>
      <c r="B56" s="342" t="str">
        <f t="shared" si="2"/>
        <v>星期三</v>
      </c>
      <c r="C56" s="338" t="str">
        <f t="shared" si="3"/>
        <v>TT01_五股訓練教室_更換列表機 MV6600_14:00</v>
      </c>
      <c r="D56" s="338" t="s">
        <v>118</v>
      </c>
      <c r="E56" s="338" t="s">
        <v>80</v>
      </c>
      <c r="F56" s="338" t="s">
        <v>204</v>
      </c>
      <c r="G56" s="338" t="s">
        <v>205</v>
      </c>
      <c r="H56" s="339" t="s">
        <v>168</v>
      </c>
      <c r="I56" s="338"/>
      <c r="J56" s="296"/>
    </row>
    <row r="57" spans="1:10" s="239" customFormat="1">
      <c r="A57" s="340">
        <v>45944</v>
      </c>
      <c r="B57" s="342" t="str">
        <f t="shared" si="2"/>
        <v>星期二</v>
      </c>
      <c r="C57" s="338" t="str">
        <f t="shared" si="3"/>
        <v>湯城_4F*2、3F、2F、9F (撤4F*1)_10:00</v>
      </c>
      <c r="D57" s="338" t="s">
        <v>118</v>
      </c>
      <c r="E57" s="338"/>
      <c r="F57" s="338" t="s">
        <v>206</v>
      </c>
      <c r="G57" s="338" t="s">
        <v>207</v>
      </c>
      <c r="H57" s="339" t="s">
        <v>154</v>
      </c>
      <c r="I57" s="338"/>
      <c r="J57" s="296"/>
    </row>
    <row r="58" spans="1:10" s="239" customFormat="1">
      <c r="A58" s="340">
        <v>45939</v>
      </c>
      <c r="B58" s="342" t="str">
        <f t="shared" si="2"/>
        <v>星期四</v>
      </c>
      <c r="C58" s="338" t="str">
        <f t="shared" si="3"/>
        <v>湯城_10F*6_10:00</v>
      </c>
      <c r="D58" s="338" t="s">
        <v>118</v>
      </c>
      <c r="E58" s="338"/>
      <c r="F58" s="338" t="s">
        <v>206</v>
      </c>
      <c r="G58" s="338" t="s">
        <v>208</v>
      </c>
      <c r="H58" s="339" t="s">
        <v>154</v>
      </c>
      <c r="I58" s="338"/>
      <c r="J58" s="296"/>
    </row>
    <row r="59" spans="1:10" s="239" customFormat="1">
      <c r="A59" s="340">
        <v>45938</v>
      </c>
      <c r="B59" s="342" t="str">
        <f t="shared" si="2"/>
        <v>星期三</v>
      </c>
      <c r="C59" s="338" t="str">
        <f t="shared" si="3"/>
        <v>D195_三重車路頭_裝潢撤店_15:00</v>
      </c>
      <c r="D59" s="338" t="s">
        <v>123</v>
      </c>
      <c r="E59" s="338" t="s">
        <v>63</v>
      </c>
      <c r="F59" s="338" t="s">
        <v>195</v>
      </c>
      <c r="G59" s="338" t="s">
        <v>169</v>
      </c>
      <c r="H59" s="339" t="s">
        <v>170</v>
      </c>
      <c r="I59" s="338"/>
      <c r="J59" s="296"/>
    </row>
    <row r="60" spans="1:10" s="239" customFormat="1">
      <c r="A60" s="340">
        <v>45937</v>
      </c>
      <c r="B60" s="342" t="str">
        <f t="shared" si="2"/>
        <v>星期二</v>
      </c>
      <c r="C60" s="338" t="str">
        <f t="shared" si="3"/>
        <v>4210_三重福華店_裝潢撤店_15:00</v>
      </c>
      <c r="D60" s="338" t="s">
        <v>118</v>
      </c>
      <c r="E60" s="338">
        <v>4210</v>
      </c>
      <c r="F60" s="338" t="s">
        <v>191</v>
      </c>
      <c r="G60" s="338" t="s">
        <v>169</v>
      </c>
      <c r="H60" s="339" t="s">
        <v>170</v>
      </c>
      <c r="I60" s="338"/>
      <c r="J60" s="296"/>
    </row>
    <row r="61" spans="1:10" s="239" customFormat="1">
      <c r="A61" s="340">
        <v>45932</v>
      </c>
      <c r="B61" s="342" t="str">
        <f t="shared" si="2"/>
        <v>星期四</v>
      </c>
      <c r="C61" s="338" t="str">
        <f t="shared" si="3"/>
        <v>善美的_4F、檢品、PC_14:00</v>
      </c>
      <c r="D61" s="338" t="s">
        <v>181</v>
      </c>
      <c r="E61" s="338"/>
      <c r="F61" s="338" t="s">
        <v>209</v>
      </c>
      <c r="G61" s="338" t="s">
        <v>210</v>
      </c>
      <c r="H61" s="339" t="s">
        <v>168</v>
      </c>
      <c r="I61" s="338"/>
      <c r="J61" s="246" t="s">
        <v>181</v>
      </c>
    </row>
    <row r="62" spans="1:10">
      <c r="A62" s="261">
        <v>45926</v>
      </c>
      <c r="B62" s="342" t="str">
        <f t="shared" si="2"/>
        <v>星期五</v>
      </c>
      <c r="C62" s="338" t="str">
        <f t="shared" si="3"/>
        <v>台芝178_POS上課_09:30</v>
      </c>
      <c r="D62" s="338" t="s">
        <v>181</v>
      </c>
      <c r="E62" s="338"/>
      <c r="F62" s="338" t="s">
        <v>211</v>
      </c>
      <c r="G62" s="338" t="s">
        <v>212</v>
      </c>
      <c r="H62" s="339" t="s">
        <v>213</v>
      </c>
      <c r="I62" s="338"/>
      <c r="J62" s="296"/>
    </row>
    <row r="63" spans="1:10">
      <c r="A63" s="340">
        <v>45925</v>
      </c>
      <c r="B63" s="342" t="str">
        <f t="shared" si="2"/>
        <v>星期四</v>
      </c>
      <c r="C63" s="338" t="str">
        <f t="shared" si="3"/>
        <v>善美的_DC、生鮮_10:00</v>
      </c>
      <c r="D63" s="338" t="s">
        <v>181</v>
      </c>
      <c r="E63" s="338"/>
      <c r="F63" s="338" t="s">
        <v>209</v>
      </c>
      <c r="G63" s="338" t="s">
        <v>214</v>
      </c>
      <c r="H63" s="339" t="s">
        <v>154</v>
      </c>
      <c r="I63" s="338"/>
      <c r="J63" s="246" t="s">
        <v>181</v>
      </c>
    </row>
    <row r="64" spans="1:10">
      <c r="A64" s="261">
        <v>45924</v>
      </c>
      <c r="B64" s="342" t="str">
        <f t="shared" si="2"/>
        <v>星期三</v>
      </c>
      <c r="C64" s="338" t="str">
        <f t="shared" si="3"/>
        <v>4218_蘆洲湧蓮店_回裝_11:00</v>
      </c>
      <c r="D64" s="338" t="s">
        <v>123</v>
      </c>
      <c r="E64" s="338">
        <v>4218</v>
      </c>
      <c r="F64" s="338" t="s">
        <v>215</v>
      </c>
      <c r="G64" s="338" t="s">
        <v>148</v>
      </c>
      <c r="H64" s="339" t="s">
        <v>149</v>
      </c>
      <c r="I64" s="338"/>
      <c r="J64" s="246"/>
    </row>
    <row r="65" spans="1:10">
      <c r="A65" s="340">
        <v>45923</v>
      </c>
      <c r="B65" s="342" t="str">
        <f t="shared" si="2"/>
        <v>星期二</v>
      </c>
      <c r="C65" s="338" t="str">
        <f t="shared" si="3"/>
        <v>全聯實業_蘆洲北二處_10:00</v>
      </c>
      <c r="D65" s="338" t="s">
        <v>181</v>
      </c>
      <c r="E65" s="338"/>
      <c r="F65" s="338" t="s">
        <v>216</v>
      </c>
      <c r="G65" s="338" t="s">
        <v>217</v>
      </c>
      <c r="H65" s="339" t="s">
        <v>154</v>
      </c>
      <c r="I65" s="338"/>
      <c r="J65" s="246" t="s">
        <v>181</v>
      </c>
    </row>
    <row r="66" spans="1:10">
      <c r="A66" s="261">
        <v>45919</v>
      </c>
      <c r="B66" s="342" t="str">
        <f t="shared" ref="B66:B93" si="4">"星期"&amp;CHOOSE(WEEKDAY(A66,2),"一","二","三","四","五","六","日")</f>
        <v>星期五</v>
      </c>
      <c r="C66" s="338" t="str">
        <f t="shared" ref="C66:C93" si="5">E66&amp;IF(AND(F66&lt;&gt;"",E66&lt;&gt;""),$I$1,"")&amp;F66&amp;$I$1&amp;G66&amp;IF(AND(H66&lt;&gt;"",G66&lt;&gt;""),$I$1,"")&amp;H66</f>
        <v>內湖倉裝機_全聯*1、善美的*4_10:00</v>
      </c>
      <c r="D66" s="338" t="s">
        <v>118</v>
      </c>
      <c r="E66" s="338"/>
      <c r="F66" s="338" t="s">
        <v>218</v>
      </c>
      <c r="G66" s="338" t="s">
        <v>219</v>
      </c>
      <c r="H66" s="339" t="s">
        <v>154</v>
      </c>
      <c r="I66" s="338"/>
      <c r="J66" s="296"/>
    </row>
    <row r="67" spans="1:10">
      <c r="A67" s="340" t="s">
        <v>220</v>
      </c>
      <c r="B67" s="342" t="str">
        <f t="shared" si="4"/>
        <v>星期三</v>
      </c>
      <c r="C67" s="338" t="str">
        <f t="shared" si="5"/>
        <v>3929_蘆洲中山一_回裝_11:00</v>
      </c>
      <c r="D67" s="338" t="s">
        <v>123</v>
      </c>
      <c r="E67" s="338">
        <v>3929</v>
      </c>
      <c r="F67" s="338" t="s">
        <v>221</v>
      </c>
      <c r="G67" s="338" t="s">
        <v>148</v>
      </c>
      <c r="H67" s="339" t="s">
        <v>149</v>
      </c>
      <c r="I67" s="338"/>
      <c r="J67" s="296"/>
    </row>
    <row r="68" spans="1:10">
      <c r="A68" s="340">
        <v>45916</v>
      </c>
      <c r="B68" s="342" t="str">
        <f t="shared" si="4"/>
        <v>星期二</v>
      </c>
      <c r="C68" s="338" t="str">
        <f t="shared" si="5"/>
        <v>永佳樂_泰山異地備援使用永佳樂節目組</v>
      </c>
      <c r="D68" s="338" t="s">
        <v>118</v>
      </c>
      <c r="E68" s="338"/>
      <c r="F68" s="338" t="s">
        <v>222</v>
      </c>
      <c r="G68" s="338" t="s">
        <v>223</v>
      </c>
      <c r="H68" s="339"/>
      <c r="I68" s="338"/>
      <c r="J68" s="296"/>
    </row>
    <row r="69" spans="1:10">
      <c r="A69" s="261">
        <v>45915</v>
      </c>
      <c r="B69" s="342" t="str">
        <f t="shared" si="4"/>
        <v>星期一</v>
      </c>
      <c r="C69" s="338" t="str">
        <f t="shared" si="5"/>
        <v>3999_新莊福佑店_回裝_11:00</v>
      </c>
      <c r="D69" s="338" t="s">
        <v>118</v>
      </c>
      <c r="E69" s="338">
        <v>3999</v>
      </c>
      <c r="F69" s="338" t="s">
        <v>224</v>
      </c>
      <c r="G69" s="338" t="s">
        <v>148</v>
      </c>
      <c r="H69" s="339" t="s">
        <v>149</v>
      </c>
      <c r="I69" s="338"/>
      <c r="J69" s="246"/>
    </row>
    <row r="70" spans="1:10">
      <c r="A70" s="340">
        <v>45912</v>
      </c>
      <c r="B70" s="342" t="str">
        <f t="shared" si="4"/>
        <v>星期五</v>
      </c>
      <c r="C70" s="338" t="str">
        <f t="shared" si="5"/>
        <v>全聯蘆洲_清機*6、新機*1_10:00</v>
      </c>
      <c r="D70" s="338" t="s">
        <v>118</v>
      </c>
      <c r="E70" s="338"/>
      <c r="F70" s="338" t="s">
        <v>225</v>
      </c>
      <c r="G70" s="338" t="s">
        <v>226</v>
      </c>
      <c r="H70" s="339" t="s">
        <v>154</v>
      </c>
      <c r="I70" s="338"/>
      <c r="J70" s="296"/>
    </row>
    <row r="71" spans="1:10">
      <c r="A71" s="340">
        <v>45910</v>
      </c>
      <c r="B71" s="342" t="str">
        <f t="shared" si="4"/>
        <v>星期三</v>
      </c>
      <c r="C71" s="338" t="str">
        <f t="shared" si="5"/>
        <v>紅樹林有線電視_清機*1、新機*2_14:00</v>
      </c>
      <c r="D71" s="338" t="s">
        <v>123</v>
      </c>
      <c r="E71" s="338"/>
      <c r="F71" s="338" t="s">
        <v>227</v>
      </c>
      <c r="G71" s="338" t="s">
        <v>228</v>
      </c>
      <c r="H71" s="339" t="s">
        <v>168</v>
      </c>
      <c r="I71" s="338"/>
      <c r="J71" s="296"/>
    </row>
    <row r="72" spans="1:10">
      <c r="A72" s="340" t="s">
        <v>229</v>
      </c>
      <c r="B72" s="342" t="str">
        <f t="shared" si="4"/>
        <v>星期二</v>
      </c>
      <c r="C72" s="338" t="str">
        <f t="shared" si="5"/>
        <v>凱擘新莊_清機*1</v>
      </c>
      <c r="D72" s="338" t="s">
        <v>118</v>
      </c>
      <c r="E72" s="338"/>
      <c r="F72" s="338" t="s">
        <v>230</v>
      </c>
      <c r="G72" s="338" t="s">
        <v>231</v>
      </c>
      <c r="H72" s="339"/>
      <c r="I72" s="338"/>
      <c r="J72" s="296"/>
    </row>
    <row r="73" spans="1:10">
      <c r="A73" s="340" t="s">
        <v>229</v>
      </c>
      <c r="B73" s="342" t="str">
        <f t="shared" si="4"/>
        <v>星期二</v>
      </c>
      <c r="C73" s="338" t="str">
        <f t="shared" si="5"/>
        <v>全聯節目中心_新機*1</v>
      </c>
      <c r="D73" s="338" t="s">
        <v>118</v>
      </c>
      <c r="E73" s="338"/>
      <c r="F73" s="338" t="s">
        <v>232</v>
      </c>
      <c r="G73" s="338" t="s">
        <v>233</v>
      </c>
      <c r="H73" s="339"/>
      <c r="I73" s="338"/>
      <c r="J73" s="296"/>
    </row>
    <row r="74" spans="1:10">
      <c r="A74" s="340">
        <v>45908</v>
      </c>
      <c r="B74" s="342" t="str">
        <f t="shared" si="4"/>
        <v>星期一</v>
      </c>
      <c r="C74" s="338" t="str">
        <f t="shared" si="5"/>
        <v>5080_三芝楓愛林_4G會勘_10:00</v>
      </c>
      <c r="D74" s="338" t="s">
        <v>123</v>
      </c>
      <c r="E74" s="338">
        <v>5080</v>
      </c>
      <c r="F74" s="338" t="s">
        <v>201</v>
      </c>
      <c r="G74" s="338" t="s">
        <v>234</v>
      </c>
      <c r="H74" s="339" t="s">
        <v>154</v>
      </c>
      <c r="I74" s="338"/>
      <c r="J74" s="296"/>
    </row>
    <row r="75" spans="1:10">
      <c r="A75" s="340">
        <v>45905</v>
      </c>
      <c r="B75" s="342" t="str">
        <f t="shared" si="4"/>
        <v>星期五</v>
      </c>
      <c r="C75" s="338" t="str">
        <f t="shared" si="5"/>
        <v>_小白保養</v>
      </c>
      <c r="D75" s="338" t="s">
        <v>123</v>
      </c>
      <c r="E75" s="338"/>
      <c r="F75" s="338"/>
      <c r="G75" s="338" t="s">
        <v>235</v>
      </c>
      <c r="H75" s="339"/>
      <c r="I75" s="338"/>
      <c r="J75" s="296"/>
    </row>
    <row r="76" spans="1:10">
      <c r="A76" s="340" t="s">
        <v>236</v>
      </c>
      <c r="B76" s="342" t="str">
        <f t="shared" si="4"/>
        <v>星期三</v>
      </c>
      <c r="C76" s="338" t="str">
        <f t="shared" si="5"/>
        <v>永佳樂_清機*1、新機*6_10:00</v>
      </c>
      <c r="D76" s="338" t="s">
        <v>118</v>
      </c>
      <c r="E76" s="338"/>
      <c r="F76" s="338" t="s">
        <v>222</v>
      </c>
      <c r="G76" s="338" t="s">
        <v>237</v>
      </c>
      <c r="H76" s="339" t="s">
        <v>154</v>
      </c>
      <c r="I76" s="338"/>
      <c r="J76" s="296"/>
    </row>
    <row r="77" spans="1:10">
      <c r="A77" s="340" t="s">
        <v>238</v>
      </c>
      <c r="B77" s="342" t="str">
        <f t="shared" si="4"/>
        <v>星期二</v>
      </c>
      <c r="C77" s="338" t="str">
        <f t="shared" si="5"/>
        <v>台固媒體_清機*2、新機*1_10:00</v>
      </c>
      <c r="D77" s="338" t="s">
        <v>118</v>
      </c>
      <c r="E77" s="338"/>
      <c r="F77" s="338" t="s">
        <v>239</v>
      </c>
      <c r="G77" s="338" t="s">
        <v>240</v>
      </c>
      <c r="H77" s="339" t="s">
        <v>154</v>
      </c>
      <c r="I77" s="338"/>
      <c r="J77" s="296"/>
    </row>
    <row r="78" spans="1:10">
      <c r="A78" s="340" t="s">
        <v>241</v>
      </c>
      <c r="B78" s="342" t="str">
        <f t="shared" si="4"/>
        <v>星期五</v>
      </c>
      <c r="C78" s="338" t="str">
        <f t="shared" si="5"/>
        <v>內湖倉_裝機*10_10:00</v>
      </c>
      <c r="D78" s="338" t="s">
        <v>118</v>
      </c>
      <c r="E78" s="338"/>
      <c r="F78" s="338" t="s">
        <v>242</v>
      </c>
      <c r="G78" s="338" t="s">
        <v>243</v>
      </c>
      <c r="H78" s="339" t="s">
        <v>154</v>
      </c>
      <c r="I78" s="338"/>
      <c r="J78" s="296"/>
    </row>
    <row r="79" spans="1:10">
      <c r="A79" s="340" t="s">
        <v>244</v>
      </c>
      <c r="B79" s="342" t="str">
        <f t="shared" si="4"/>
        <v>星期四</v>
      </c>
      <c r="C79" s="338" t="str">
        <f t="shared" si="5"/>
        <v>2619_三重大榮店_閉店_15:00</v>
      </c>
      <c r="D79" s="338" t="s">
        <v>123</v>
      </c>
      <c r="E79" s="338">
        <v>2619</v>
      </c>
      <c r="F79" s="338" t="s">
        <v>245</v>
      </c>
      <c r="G79" s="338" t="s">
        <v>152</v>
      </c>
      <c r="H79" s="339" t="s">
        <v>170</v>
      </c>
      <c r="I79" s="338"/>
      <c r="J79" s="296"/>
    </row>
    <row r="80" spans="1:10">
      <c r="A80" s="340">
        <v>45897</v>
      </c>
      <c r="B80" s="342" t="str">
        <f t="shared" si="4"/>
        <v>星期四</v>
      </c>
      <c r="C80" s="338" t="str">
        <f t="shared" si="5"/>
        <v>漢廷營造_新交機_14:00</v>
      </c>
      <c r="D80" s="338" t="s">
        <v>118</v>
      </c>
      <c r="E80" s="338"/>
      <c r="F80" s="338" t="s">
        <v>246</v>
      </c>
      <c r="G80" s="338" t="s">
        <v>247</v>
      </c>
      <c r="H80" s="339" t="s">
        <v>168</v>
      </c>
      <c r="I80" s="338"/>
      <c r="J80" s="296"/>
    </row>
    <row r="81" spans="1:10">
      <c r="A81" s="340" t="s">
        <v>248</v>
      </c>
      <c r="B81" s="342" t="str">
        <f t="shared" si="4"/>
        <v>星期二</v>
      </c>
      <c r="C81" s="338" t="str">
        <f t="shared" si="5"/>
        <v>3929_蘆洲中山一_裝撤_15:00</v>
      </c>
      <c r="D81" s="338" t="s">
        <v>123</v>
      </c>
      <c r="E81" s="338">
        <v>3929</v>
      </c>
      <c r="F81" s="338" t="s">
        <v>221</v>
      </c>
      <c r="G81" s="338" t="s">
        <v>249</v>
      </c>
      <c r="H81" s="339" t="s">
        <v>170</v>
      </c>
      <c r="I81" s="338"/>
      <c r="J81" s="296"/>
    </row>
    <row r="82" spans="1:10">
      <c r="A82" s="340" t="s">
        <v>248</v>
      </c>
      <c r="B82" s="342" t="str">
        <f t="shared" si="4"/>
        <v>星期二</v>
      </c>
      <c r="C82" s="338" t="str">
        <f t="shared" si="5"/>
        <v>5341_蘆洲切仔麵_PEP</v>
      </c>
      <c r="D82" s="338" t="s">
        <v>123</v>
      </c>
      <c r="E82" s="338">
        <v>5341</v>
      </c>
      <c r="F82" s="338" t="s">
        <v>250</v>
      </c>
      <c r="G82" s="338" t="s">
        <v>251</v>
      </c>
      <c r="H82" s="339"/>
      <c r="I82" s="338"/>
      <c r="J82" s="296"/>
    </row>
    <row r="83" spans="1:10">
      <c r="A83" s="340" t="s">
        <v>248</v>
      </c>
      <c r="B83" s="342" t="str">
        <f t="shared" si="4"/>
        <v>星期二</v>
      </c>
      <c r="C83" s="338" t="str">
        <f t="shared" si="5"/>
        <v>5354_蘆洲希望店_PEP</v>
      </c>
      <c r="D83" s="338" t="s">
        <v>123</v>
      </c>
      <c r="E83" s="338">
        <v>5354</v>
      </c>
      <c r="F83" s="338" t="s">
        <v>252</v>
      </c>
      <c r="G83" s="338" t="s">
        <v>251</v>
      </c>
      <c r="H83" s="339"/>
      <c r="I83" s="338"/>
      <c r="J83" s="239"/>
    </row>
    <row r="84" spans="1:10">
      <c r="A84" s="340" t="s">
        <v>253</v>
      </c>
      <c r="B84" s="342" t="str">
        <f t="shared" si="4"/>
        <v>星期一</v>
      </c>
      <c r="C84" s="338" t="str">
        <f t="shared" si="5"/>
        <v>4218_蘆洲湧蓮店_裝撤_15:00</v>
      </c>
      <c r="D84" s="338" t="s">
        <v>123</v>
      </c>
      <c r="E84" s="338">
        <v>4218</v>
      </c>
      <c r="F84" s="338" t="s">
        <v>215</v>
      </c>
      <c r="G84" s="338" t="s">
        <v>249</v>
      </c>
      <c r="H84" s="339" t="s">
        <v>170</v>
      </c>
      <c r="I84" s="338"/>
      <c r="J84" s="239"/>
    </row>
    <row r="85" spans="1:10">
      <c r="A85" s="340">
        <v>45891</v>
      </c>
      <c r="B85" s="342" t="str">
        <f t="shared" si="4"/>
        <v>星期五</v>
      </c>
      <c r="C85" s="338" t="str">
        <f t="shared" si="5"/>
        <v>5291_新莊國家置地_PEP</v>
      </c>
      <c r="D85" s="338" t="s">
        <v>118</v>
      </c>
      <c r="E85" s="338">
        <v>5291</v>
      </c>
      <c r="F85" s="338" t="s">
        <v>254</v>
      </c>
      <c r="G85" s="338" t="s">
        <v>251</v>
      </c>
      <c r="H85" s="339"/>
      <c r="I85" s="338"/>
      <c r="J85" s="239"/>
    </row>
    <row r="86" spans="1:10">
      <c r="A86" s="340">
        <v>45891</v>
      </c>
      <c r="B86" s="342" t="str">
        <f t="shared" si="4"/>
        <v>星期五</v>
      </c>
      <c r="C86" s="338" t="str">
        <f t="shared" si="5"/>
        <v>5316_三重五常店_PEP</v>
      </c>
      <c r="D86" s="338" t="s">
        <v>123</v>
      </c>
      <c r="E86" s="338">
        <v>5316</v>
      </c>
      <c r="F86" s="338" t="s">
        <v>255</v>
      </c>
      <c r="G86" s="338" t="s">
        <v>251</v>
      </c>
      <c r="H86" s="339"/>
      <c r="I86" s="338"/>
      <c r="J86" s="239"/>
    </row>
    <row r="87" spans="1:10">
      <c r="A87" s="340">
        <v>45891</v>
      </c>
      <c r="B87" s="342" t="str">
        <f t="shared" si="4"/>
        <v>星期五</v>
      </c>
      <c r="C87" s="338" t="str">
        <f t="shared" si="5"/>
        <v>5155_淡水魚市二_臨時借機_11:00</v>
      </c>
      <c r="D87" s="338" t="s">
        <v>123</v>
      </c>
      <c r="E87" s="338">
        <v>5155</v>
      </c>
      <c r="F87" s="338" t="s">
        <v>173</v>
      </c>
      <c r="G87" s="338" t="s">
        <v>256</v>
      </c>
      <c r="H87" s="339" t="s">
        <v>149</v>
      </c>
      <c r="I87" s="338"/>
      <c r="J87" s="239"/>
    </row>
    <row r="88" spans="1:10">
      <c r="A88" s="340" t="s">
        <v>257</v>
      </c>
      <c r="B88" s="342" t="str">
        <f t="shared" si="4"/>
        <v>星期四</v>
      </c>
      <c r="C88" s="338" t="str">
        <f t="shared" si="5"/>
        <v>5245_三重護山店_PEP</v>
      </c>
      <c r="D88" s="338" t="s">
        <v>123</v>
      </c>
      <c r="E88" s="338">
        <v>5245</v>
      </c>
      <c r="F88" s="338" t="s">
        <v>258</v>
      </c>
      <c r="G88" s="338" t="s">
        <v>251</v>
      </c>
      <c r="H88" s="339"/>
      <c r="I88" s="338"/>
      <c r="J88" s="239"/>
    </row>
    <row r="89" spans="1:10">
      <c r="A89" s="340" t="s">
        <v>257</v>
      </c>
      <c r="B89" s="342" t="str">
        <f t="shared" si="4"/>
        <v>星期四</v>
      </c>
      <c r="C89" s="338" t="str">
        <f t="shared" si="5"/>
        <v>5352_重重陽店_PEP</v>
      </c>
      <c r="D89" s="338" t="s">
        <v>123</v>
      </c>
      <c r="E89" s="338">
        <v>5352</v>
      </c>
      <c r="F89" s="338" t="s">
        <v>259</v>
      </c>
      <c r="G89" s="338" t="s">
        <v>251</v>
      </c>
      <c r="H89" s="339"/>
      <c r="I89" s="338"/>
      <c r="J89" s="239"/>
    </row>
    <row r="90" spans="1:10">
      <c r="A90" s="340" t="s">
        <v>260</v>
      </c>
      <c r="B90" s="342" t="str">
        <f t="shared" si="4"/>
        <v>星期三</v>
      </c>
      <c r="C90" s="338" t="str">
        <f t="shared" si="5"/>
        <v>5364_林口舊街店_PEP</v>
      </c>
      <c r="D90" s="338" t="s">
        <v>118</v>
      </c>
      <c r="E90" s="338">
        <v>5364</v>
      </c>
      <c r="F90" s="338" t="s">
        <v>261</v>
      </c>
      <c r="G90" s="338" t="s">
        <v>251</v>
      </c>
      <c r="H90" s="339"/>
      <c r="I90" s="338"/>
      <c r="J90" s="239"/>
    </row>
    <row r="91" spans="1:10">
      <c r="A91" s="340" t="s">
        <v>262</v>
      </c>
      <c r="B91" s="342" t="str">
        <f t="shared" si="4"/>
        <v>星期二</v>
      </c>
      <c r="C91" s="338" t="str">
        <f t="shared" si="5"/>
        <v>湯城_4F*7_10:00</v>
      </c>
      <c r="D91" s="338" t="s">
        <v>118</v>
      </c>
      <c r="E91" s="338"/>
      <c r="F91" s="338" t="s">
        <v>206</v>
      </c>
      <c r="G91" s="338" t="s">
        <v>263</v>
      </c>
      <c r="H91" s="339" t="s">
        <v>154</v>
      </c>
      <c r="I91" s="338"/>
      <c r="J91" s="239"/>
    </row>
    <row r="92" spans="1:10">
      <c r="A92" s="340" t="s">
        <v>264</v>
      </c>
      <c r="B92" s="342" t="str">
        <f t="shared" si="4"/>
        <v>星期一</v>
      </c>
      <c r="C92" s="338" t="str">
        <f t="shared" si="5"/>
        <v>5384_板橋民生站_PEP</v>
      </c>
      <c r="D92" s="338" t="s">
        <v>134</v>
      </c>
      <c r="E92" s="338">
        <v>5384</v>
      </c>
      <c r="F92" s="338" t="s">
        <v>265</v>
      </c>
      <c r="G92" s="338" t="s">
        <v>251</v>
      </c>
      <c r="H92" s="339"/>
      <c r="I92" s="338"/>
      <c r="J92" s="239"/>
    </row>
    <row r="93" spans="1:10">
      <c r="A93" s="340"/>
      <c r="B93" s="342" t="str">
        <f t="shared" si="4"/>
        <v>星期六</v>
      </c>
      <c r="C93" s="341" t="str">
        <f t="shared" si="5"/>
        <v>3623_三重自強店_回裝_11:00</v>
      </c>
      <c r="D93" s="341" t="s">
        <v>123</v>
      </c>
      <c r="E93" s="341">
        <v>3623</v>
      </c>
      <c r="F93" s="341" t="s">
        <v>186</v>
      </c>
      <c r="G93" s="341" t="s">
        <v>148</v>
      </c>
      <c r="H93" s="343" t="s">
        <v>149</v>
      </c>
      <c r="I93" s="338"/>
      <c r="J93" s="296"/>
    </row>
  </sheetData>
  <autoFilter ref="A1:J1" xr:uid="{00000000-0009-0000-0000-000002000000}">
    <sortState xmlns:xlrd2="http://schemas.microsoft.com/office/spreadsheetml/2017/richdata2" ref="A2:J90">
      <sortCondition descending="1" ref="A1"/>
    </sortState>
  </autoFilter>
  <phoneticPr fontId="45" type="noConversion"/>
  <conditionalFormatting sqref="B1:B2 B7 B9 B12:B1048576">
    <cfRule type="expression" dxfId="481" priority="7">
      <formula>OR($B1="星期六",$B1="星期日")</formula>
    </cfRule>
  </conditionalFormatting>
  <conditionalFormatting sqref="B8">
    <cfRule type="expression" dxfId="480" priority="6">
      <formula>OR($B8="星期六",$B8="星期日")</formula>
    </cfRule>
  </conditionalFormatting>
  <conditionalFormatting sqref="B6">
    <cfRule type="expression" dxfId="479" priority="5">
      <formula>OR($B6="星期六",$B6="星期日")</formula>
    </cfRule>
  </conditionalFormatting>
  <conditionalFormatting sqref="B10:B11">
    <cfRule type="expression" dxfId="478" priority="4">
      <formula>OR($B10="星期六",$B10="星期日")</formula>
    </cfRule>
  </conditionalFormatting>
  <conditionalFormatting sqref="B3">
    <cfRule type="expression" dxfId="477" priority="3">
      <formula>OR($B3="星期六",$B3="星期日")</formula>
    </cfRule>
  </conditionalFormatting>
  <conditionalFormatting sqref="B5">
    <cfRule type="expression" dxfId="476" priority="2">
      <formula>OR($B5="星期六",$B5="星期日")</formula>
    </cfRule>
  </conditionalFormatting>
  <conditionalFormatting sqref="B4">
    <cfRule type="expression" dxfId="475" priority="1">
      <formula>OR($B4="星期六",$B4="星期日")</formula>
    </cfRule>
  </conditionalFormatting>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10">
    <tabColor rgb="FFFFFF00"/>
  </sheetPr>
  <dimension ref="A1:V21"/>
  <sheetViews>
    <sheetView tabSelected="1" workbookViewId="0">
      <selection activeCell="O14" sqref="O14"/>
    </sheetView>
  </sheetViews>
  <sheetFormatPr defaultRowHeight="18" customHeight="1"/>
  <cols>
    <col min="1" max="1" width="11.59765625" style="193" bestFit="1" customWidth="1"/>
    <col min="2" max="2" width="11.3984375" style="193" bestFit="1" customWidth="1"/>
    <col min="3" max="3" width="8.59765625" style="193" bestFit="1" customWidth="1"/>
    <col min="4" max="17" width="8" style="193" customWidth="1"/>
    <col min="18" max="18" width="4.296875" style="193" customWidth="1"/>
    <col min="19" max="19" width="11.3984375" style="193" bestFit="1" customWidth="1"/>
    <col min="20" max="20" width="8.796875" style="194" customWidth="1"/>
    <col min="21" max="21" width="11.3984375" style="193" bestFit="1" customWidth="1"/>
    <col min="22" max="22" width="10.8984375" style="193" customWidth="1"/>
    <col min="23" max="33" width="11.3984375" style="193" bestFit="1" customWidth="1"/>
    <col min="34" max="286" width="8.796875" style="193" customWidth="1"/>
    <col min="287" max="16384" width="8.796875" style="193"/>
  </cols>
  <sheetData>
    <row r="1" spans="1:22" ht="14.4" customHeight="1">
      <c r="A1" s="191" t="s">
        <v>266</v>
      </c>
      <c r="B1" s="191" t="s">
        <v>267</v>
      </c>
      <c r="C1" s="192" t="s">
        <v>134</v>
      </c>
      <c r="D1" s="192" t="s">
        <v>118</v>
      </c>
      <c r="E1" s="192" t="s">
        <v>123</v>
      </c>
      <c r="F1" s="192" t="s">
        <v>133</v>
      </c>
      <c r="G1" s="193">
        <v>8</v>
      </c>
      <c r="H1" s="193">
        <v>9</v>
      </c>
      <c r="I1" s="193">
        <v>10</v>
      </c>
      <c r="J1" s="193">
        <v>11</v>
      </c>
      <c r="K1" s="193">
        <v>12</v>
      </c>
      <c r="L1" s="193">
        <v>13</v>
      </c>
      <c r="M1" s="193">
        <v>14</v>
      </c>
      <c r="N1" s="193">
        <v>15</v>
      </c>
      <c r="O1" s="193">
        <v>16</v>
      </c>
      <c r="P1" s="193">
        <v>17</v>
      </c>
      <c r="Q1" s="193">
        <v>18</v>
      </c>
      <c r="R1" s="193">
        <v>19</v>
      </c>
      <c r="S1" s="193">
        <v>20</v>
      </c>
      <c r="T1" s="193">
        <v>21</v>
      </c>
      <c r="U1" s="193">
        <v>22</v>
      </c>
    </row>
    <row r="2" spans="1:22" ht="14.4" customHeight="1">
      <c r="A2" s="214">
        <f ca="1">DATE(YEAR(S2), MONTH(S2), 1)</f>
        <v>46023</v>
      </c>
      <c r="B2" s="214">
        <f ca="1">EOMONTH(S2, 0)</f>
        <v>46053</v>
      </c>
      <c r="C2" s="194">
        <f ca="1">Q5+Q10</f>
        <v>12</v>
      </c>
      <c r="D2" s="194">
        <f ca="1">Q6+Q11</f>
        <v>113</v>
      </c>
      <c r="E2" s="194">
        <f ca="1">Q7+Q12</f>
        <v>84</v>
      </c>
      <c r="F2" s="194">
        <f ca="1">Q8+Q13</f>
        <v>148</v>
      </c>
      <c r="G2" s="229"/>
      <c r="S2" s="229">
        <f ca="1">TODAY()</f>
        <v>46045</v>
      </c>
    </row>
    <row r="3" spans="1:22" ht="14.4" customHeight="1">
      <c r="A3" s="195"/>
      <c r="B3" s="196"/>
      <c r="C3" s="194"/>
      <c r="D3" s="194"/>
      <c r="E3" s="194"/>
    </row>
    <row r="4" spans="1:22" ht="14.4" customHeight="1">
      <c r="A4" s="197" t="s">
        <v>136</v>
      </c>
      <c r="B4" s="198" t="s">
        <v>268</v>
      </c>
      <c r="C4" s="198" t="s">
        <v>175</v>
      </c>
      <c r="D4" s="198" t="s">
        <v>154</v>
      </c>
      <c r="E4" s="198" t="s">
        <v>149</v>
      </c>
      <c r="F4" s="198" t="s">
        <v>269</v>
      </c>
      <c r="G4" s="198" t="s">
        <v>270</v>
      </c>
      <c r="H4" s="198" t="s">
        <v>168</v>
      </c>
      <c r="I4" s="198" t="s">
        <v>170</v>
      </c>
      <c r="J4" s="198" t="s">
        <v>271</v>
      </c>
      <c r="K4" s="198" t="s">
        <v>272</v>
      </c>
      <c r="L4" s="198" t="s">
        <v>166</v>
      </c>
      <c r="M4" s="198" t="s">
        <v>273</v>
      </c>
      <c r="N4" s="198" t="s">
        <v>274</v>
      </c>
      <c r="O4" s="198" t="s">
        <v>275</v>
      </c>
      <c r="P4" s="198" t="s">
        <v>276</v>
      </c>
      <c r="Q4" s="199" t="s">
        <v>277</v>
      </c>
      <c r="S4" s="200" t="s">
        <v>278</v>
      </c>
      <c r="T4" s="201" t="s">
        <v>279</v>
      </c>
      <c r="U4" s="201" t="s">
        <v>280</v>
      </c>
      <c r="V4" s="201" t="s">
        <v>281</v>
      </c>
    </row>
    <row r="5" spans="1:22" s="194" customFormat="1" ht="14.4" customHeight="1">
      <c r="A5" s="194" t="s">
        <v>134</v>
      </c>
      <c r="B5" s="194">
        <f t="array" aca="1" ref="B5" ca="1">SUMPRODUCT(
  --(IM!$S$2:$S$8522=$A$5),
  --(MOD(IM!$W$2:$W$8522,1)&gt;=TIME(G1,0,0)),
  --(MOD(IM!$W$2:$W$8522,1)&lt;TIME(H1,0,0)),
  --(INT(IM!$W$2:$W$8522)&gt;=$A$2),
  --(INT(IM!$W$2:$W$8522)&lt;=$B$2)
)</f>
        <v>0</v>
      </c>
      <c r="C5" s="194">
        <f t="array" aca="1" ref="C5" ca="1">SUMPRODUCT(
  --(IM!$S$2:$S$8522=$A$5),
  --(MOD(IM!$W$2:$W$8522,1)&gt;=TIME(H1,0,0)),
  --(MOD(IM!$W$2:$W$8522,1)&lt;TIME(I1,0,0)),
  --(INT(IM!$W$2:$W$8522)&gt;=$A$2),
  --(INT(IM!$W$2:$W$8522)&lt;=$B$2)
)</f>
        <v>2</v>
      </c>
      <c r="D5" s="194">
        <f t="array" aca="1" ref="D5" ca="1">SUMPRODUCT(
  --(IM!$S$2:$S$8522=$A$5),
  --(MOD(IM!$W$2:$W$8522,1)&gt;=TIME(I1,0,0)),
  --(MOD(IM!$W$2:$W$8522,1)&lt;TIME(J1,0,0)),
  --(INT(IM!$W$2:$W$8522)&gt;=$A$2),
  --(INT(IM!$W$2:$W$8522)&lt;=$B$2)
)</f>
        <v>4</v>
      </c>
      <c r="E5" s="194">
        <f t="array" aca="1" ref="E5" ca="1">SUMPRODUCT(
  --(IM!$S$2:$S$8522=$A$5),
  --(MOD(IM!$W$2:$W$8522,1)&gt;=TIME(J1,0,0)),
  --(MOD(IM!$W$2:$W$8522,1)&lt;TIME(K1,0,0)),
  --(INT(IM!$W$2:$W$8522)&gt;=$A$2),
  --(INT(IM!$W$2:$W$8522)&lt;=$B$2)
)</f>
        <v>0</v>
      </c>
      <c r="F5" s="194">
        <f t="array" aca="1" ref="F5" ca="1">SUMPRODUCT(
  --(IM!$S$2:$S$8522=$A$5),
  --(MOD(IM!$W$2:$W$8522,1)&gt;=TIME(K1,0,0)),
  --(MOD(IM!$W$2:$W$8522,1)&lt;TIME(L1,0,0)),
  --(INT(IM!$W$2:$W$8522)&gt;=$A$2),
  --(INT(IM!$W$2:$W$8522)&lt;=$B$2)
)</f>
        <v>0</v>
      </c>
      <c r="G5" s="194">
        <f t="array" aca="1" ref="G5" ca="1">SUMPRODUCT(
  --(IM!$S$2:$S$8522=$A$5),
  --(MOD(IM!$W$2:$W$8522,1)&gt;=TIME(L1,0,0)),
  --(MOD(IM!$W$2:$W$8522,1)&lt;TIME(M1,0,0)),
  --(INT(IM!$W$2:$W$8522)&gt;=$A$2),
  --(INT(IM!$W$2:$W$8522)&lt;=$B$2)
)</f>
        <v>0</v>
      </c>
      <c r="H5" s="194">
        <f t="array" aca="1" ref="H5" ca="1">SUMPRODUCT(
  --(IM!$S$2:$S$8522=$A$5),
  --(MOD(IM!$W$2:$W$8522,1)&gt;=TIME(M1,0,0)),
  --(MOD(IM!$W$2:$W$8522,1)&lt;TIME(N1,0,0)),
  --(INT(IM!$W$2:$W$8522)&gt;=$A$2),
  --(INT(IM!$W$2:$W$8522)&lt;=$B$2)
)</f>
        <v>0</v>
      </c>
      <c r="I5" s="194">
        <f t="array" aca="1" ref="I5" ca="1">SUMPRODUCT(
  --(IM!$S$2:$S$8522=$A$5),
  --(MOD(IM!$W$2:$W$8522,1)&gt;=TIME(N1,0,0)),
  --(MOD(IM!$W$2:$W$8522,1)&lt;TIME(O1,0,0)),
  --(INT(IM!$W$2:$W$8522)&gt;=$A$2),
  --(INT(IM!$W$2:$W$8522)&lt;=$B$2)
)</f>
        <v>1</v>
      </c>
      <c r="J5" s="194">
        <f t="array" aca="1" ref="J5" ca="1">SUMPRODUCT(
  --(IM!$S$2:$S$8522=$A$5),
  --(MOD(IM!$W$2:$W$8522,1)&gt;=TIME(O1,0,0)),
  --(MOD(IM!$W$2:$W$8522,1)&lt;TIME(P1,0,0)),
  --(INT(IM!$W$2:$W$8522)&gt;=$A$2),
  --(INT(IM!$W$2:$W$8522)&lt;=$B$2)
)</f>
        <v>0</v>
      </c>
      <c r="K5" s="194">
        <f t="array" aca="1" ref="K5" ca="1">SUMPRODUCT(
  --(IM!$S$2:$S$8522=$A$5),
  --(MOD(IM!$W$2:$W$8522,1)&gt;=TIME(P1,0,0)),
  --(MOD(IM!$W$2:$W$8522,1)&lt;TIME(Q1,0,0)),
  --(INT(IM!$W$2:$W$8522)&gt;=$A$2),
  --(INT(IM!$W$2:$W$8522)&lt;=$B$2)
)</f>
        <v>0</v>
      </c>
      <c r="L5" s="194">
        <f t="array" aca="1" ref="L5" ca="1">SUMPRODUCT(
  --(IM!$S$2:$S$8522=$A$5),
  --(MOD(IM!$W$2:$W$8522,1)&gt;=TIME(Q1,0,0)),
  --(MOD(IM!$W$2:$W$8522,1)&lt;TIME(R1,0,0)),
  --(INT(IM!$W$2:$W$8522)&gt;=$A$2),
  --(INT(IM!$W$2:$W$8522)&lt;=$B$2)
)</f>
        <v>0</v>
      </c>
      <c r="M5" s="194">
        <f t="array" aca="1" ref="M5" ca="1">SUMPRODUCT(
  --(IM!$S$2:$S$8522=$A$5),
  --(MOD(IM!$W$2:$W$8522,1)&gt;=TIME(R1,0,0)),
  --(MOD(IM!$W$2:$W$8522,1)&lt;TIME(S1,0,0)),
  --(INT(IM!$W$2:$W$8522)&gt;=$A$2),
  --(INT(IM!$W$2:$W$8522)&lt;=$B$2)
)</f>
        <v>0</v>
      </c>
      <c r="N5" s="194">
        <f t="array" aca="1" ref="N5" ca="1">SUMPRODUCT(
  --(IM!$S$2:$S$8522=$A$5),
  --(MOD(IM!$W$2:$W$8522,1)&gt;=TIME(S1,0,0)),
  --(MOD(IM!$W$2:$W$8522,1)&lt;TIME(T1,0,0)),
  --(INT(IM!$W$2:$W$8522)&gt;=$A$2),
  --(INT(IM!$W$2:$W$8522)&lt;=$B$2)
)</f>
        <v>0</v>
      </c>
      <c r="O5" s="194">
        <f t="array" aca="1" ref="O5" ca="1">SUMPRODUCT(
  --(IM!$S$2:$S$8522=$A$5),
  --(MOD(IM!$W$2:$W$8522,1)&gt;=TIME(T1,0,0)),
  --(MOD(IM!$W$2:$W$8522,1)&lt;TIME(U1,0,0)),
  --(INT(IM!$W$2:$W$8522)&gt;=$A$2),
  --(INT(IM!$W$2:$W$8522)&lt;=$B$2)
)</f>
        <v>0</v>
      </c>
      <c r="P5" s="194">
        <f t="array" aca="1" ref="P5" ca="1">SUMPRODUCT(
  --(IM!$S$2:$S$8522=$A$5),
  --(MOD(IM!$W$2:$W$8522,1)&gt;=TIME(U1,0,0)),
  --(MOD(IM!$W$2:$W$8522,1)&lt;TIME(V1,0,0)),
  --(INT(IM!$W$2:$W$8522)&gt;=$A$2),
  --(INT(IM!$W$2:$W$8522)&lt;=$B$2)
)</f>
        <v>0</v>
      </c>
      <c r="Q5" s="194">
        <f ca="1">SUM(B5:P5)</f>
        <v>7</v>
      </c>
      <c r="S5" s="202" t="s">
        <v>14</v>
      </c>
      <c r="V5" s="203"/>
    </row>
    <row r="6" spans="1:22" ht="14.4" customHeight="1">
      <c r="A6" s="194" t="s">
        <v>118</v>
      </c>
      <c r="B6" s="194">
        <f t="array" aca="1" ref="B6" ca="1">SUMPRODUCT(
  --(IM!$S$2:$S$8522=$A$6),
  --(MOD(IM!$W$2:$W$8522,1)&gt;=TIME(G1,0,0)),
  --(MOD(IM!$W$2:$W$8522,1)&lt;TIME(H1,0,0)),
  --(INT(IM!$W$2:$W$8522)&gt;=$A$2),
  --(INT(IM!$W$2:$W$8522)&lt;=$B$2)
)</f>
        <v>1</v>
      </c>
      <c r="C6" s="194">
        <f t="array" aca="1" ref="C6" ca="1">SUMPRODUCT(
  --(IM!$S$2:$S$8522=$A$6),
  --(MOD(IM!$W$2:$W$8522,1)&gt;=TIME(H1,0,0)),
  --(MOD(IM!$W$2:$W$8522,1)&lt;TIME(I1,0,0)),
  --(INT(IM!$W$2:$W$8522)&gt;=$A$2),
  --(INT(IM!$W$2:$W$8522)&lt;=$B$2)
)</f>
        <v>9</v>
      </c>
      <c r="D6" s="194">
        <f t="array" aca="1" ref="D6" ca="1">SUMPRODUCT(
  --(IM!$S$2:$S$8522=$A$6),
  --(MOD(IM!$W$2:$W$8522,1)&gt;=TIME(I1,0,0)),
  --(MOD(IM!$W$2:$W$8522,1)&lt;TIME(J1,0,0)),
  --(INT(IM!$W$2:$W$8522)&gt;=$A$2),
  --(INT(IM!$W$2:$W$8522)&lt;=$B$2)
)</f>
        <v>4</v>
      </c>
      <c r="E6" s="194">
        <f t="array" aca="1" ref="E6" ca="1">SUMPRODUCT(
  --(IM!$S$2:$S$8522=$A$6),
  --(MOD(IM!$W$2:$W$8522,1)&gt;=TIME(J1,0,0)),
  --(MOD(IM!$W$2:$W$8522,1)&lt;TIME(K1,0,0)),
  --(INT(IM!$W$2:$W$8522)&gt;=$A$2),
  --(INT(IM!$W$2:$W$8522)&lt;=$B$2)
)</f>
        <v>14</v>
      </c>
      <c r="F6" s="194">
        <f t="array" aca="1" ref="F6" ca="1">SUMPRODUCT(
  --(IM!$S$2:$S$8522=$A$6),
  --(MOD(IM!$W$2:$W$8522,1)&gt;=TIME(K1,0,0)),
  --(MOD(IM!$W$2:$W$8522,1)&lt;TIME(L1,0,0)),
  --(INT(IM!$W$2:$W$8522)&gt;=$A$2),
  --(INT(IM!$W$2:$W$8522)&lt;=$B$2)
)</f>
        <v>4</v>
      </c>
      <c r="G6" s="194">
        <f t="array" aca="1" ref="G6" ca="1">SUMPRODUCT(
  --(IM!$S$2:$S$8522=$A$6),
  --(MOD(IM!$W$2:$W$8522,1)&gt;=TIME(L1,0,0)),
  --(MOD(IM!$W$2:$W$8522,1)&lt;TIME(M1,0,0)),
  --(INT(IM!$W$2:$W$8522)&gt;=$A$2),
  --(INT(IM!$W$2:$W$8522)&lt;=$B$2)
)</f>
        <v>1</v>
      </c>
      <c r="H6" s="194">
        <f t="array" aca="1" ref="H6" ca="1">SUMPRODUCT(
  --(IM!$S$2:$S$8522=$A$6),
  --(MOD(IM!$W$2:$W$8522,1)&gt;=TIME(M1,0,0)),
  --(MOD(IM!$W$2:$W$8522,1)&lt;TIME(N1,0,0)),
  --(INT(IM!$W$2:$W$8522)&gt;=$A$2),
  --(INT(IM!$W$2:$W$8522)&lt;=$B$2)
)</f>
        <v>2</v>
      </c>
      <c r="I6" s="194">
        <f t="array" aca="1" ref="I6" ca="1">SUMPRODUCT(
  --(IM!$S$2:$S$8522=$A$6),
  --(MOD(IM!$W$2:$W$8522,1)&gt;=TIME(N1,0,0)),
  --(MOD(IM!$W$2:$W$8522,1)&lt;TIME(O1,0,0)),
  --(INT(IM!$W$2:$W$8522)&gt;=$A$2),
  --(INT(IM!$W$2:$W$8522)&lt;=$B$2)
)</f>
        <v>4</v>
      </c>
      <c r="J6" s="194">
        <f t="array" aca="1" ref="J6" ca="1">SUMPRODUCT(
  --(IM!$S$2:$S$8522=$A$6),
  --(MOD(IM!$W$2:$W$8522,1)&gt;=TIME(O1,0,0)),
  --(MOD(IM!$W$2:$W$8522,1)&lt;TIME(P1,0,0)),
  --(INT(IM!$W$2:$W$8522)&gt;=$A$2),
  --(INT(IM!$W$2:$W$8522)&lt;=$B$2)
)</f>
        <v>0</v>
      </c>
      <c r="K6" s="194">
        <f t="array" aca="1" ref="K6" ca="1">SUMPRODUCT(
  --(IM!$S$2:$S$8522=$A$6),
  --(MOD(IM!$W$2:$W$8522,1)&gt;=TIME(P1,0,0)),
  --(MOD(IM!$W$2:$W$8522,1)&lt;TIME(Q1,0,0)),
  --(INT(IM!$W$2:$W$8522)&gt;=$A$2),
  --(INT(IM!$W$2:$W$8522)&lt;=$B$2)
)</f>
        <v>0</v>
      </c>
      <c r="L6" s="194">
        <f t="array" aca="1" ref="L6" ca="1">SUMPRODUCT(
  --(IM!$S$2:$S$8522=$A$6),
  --(MOD(IM!$W$2:$W$8522,1)&gt;=TIME(Q1,0,0)),
  --(MOD(IM!$W$2:$W$8522,1)&lt;TIME(R1,0,0)),
  --(INT(IM!$W$2:$W$8522)&gt;=$A$2),
  --(INT(IM!$W$2:$W$8522)&lt;=$B$2)
)</f>
        <v>1</v>
      </c>
      <c r="M6" s="194">
        <f t="array" aca="1" ref="M6" ca="1">SUMPRODUCT(
  --(IM!$S$2:$S$8522=$A$6),
  --(MOD(IM!$W$2:$W$8522,1)&gt;=TIME(R1,0,0)),
  --(MOD(IM!$W$2:$W$8522,1)&lt;TIME(S1,0,0)),
  --(INT(IM!$W$2:$W$8522)&gt;=$A$2),
  --(INT(IM!$W$2:$W$8522)&lt;=$B$2)
)</f>
        <v>0</v>
      </c>
      <c r="N6" s="194">
        <f t="array" aca="1" ref="N6" ca="1">SUMPRODUCT(
  --(IM!$S$2:$S$8522=$A$6),
  --(MOD(IM!$W$2:$W$8522,1)&gt;=TIME(S1,0,0)),
  --(MOD(IM!$W$2:$W$8522,1)&lt;TIME(T1,0,0)),
  --(INT(IM!$W$2:$W$8522)&gt;=$A$2),
  --(INT(IM!$W$2:$W$8522)&lt;=$B$2)
)</f>
        <v>0</v>
      </c>
      <c r="O6" s="194">
        <f t="array" aca="1" ref="O6" ca="1">SUMPRODUCT(
  --(IM!$S$2:$S$8522=$A$6),
  --(MOD(IM!$W$2:$W$8522,1)&gt;=TIME(T1,0,0)),
  --(MOD(IM!$W$2:$W$8522,1)&lt;TIME(U1,0,0)),
  --(INT(IM!$W$2:$W$8522)&gt;=$A$2),
  --(INT(IM!$W$2:$W$8522)&lt;=$B$2)
)</f>
        <v>0</v>
      </c>
      <c r="P6" s="194">
        <f t="array" aca="1" ref="P6" ca="1">SUMPRODUCT(
  --(IM!$S$2:$S$8522=$A$6),
  --(MOD(IM!$W$2:$W$8522,1)&gt;=TIME(U1,0,0)),
  --(MOD(IM!$W$2:$W$8522,1)&lt;TIME(V1,0,0)),
  --(INT(IM!$W$2:$W$8522)&gt;=$A$2),
  --(INT(IM!$W$2:$W$8522)&lt;=$B$2)
)</f>
        <v>0</v>
      </c>
      <c r="Q6" s="194">
        <f ca="1">SUM(B6:P6)</f>
        <v>40</v>
      </c>
      <c r="S6" s="202" t="s">
        <v>7</v>
      </c>
      <c r="U6" s="194"/>
      <c r="V6" s="203"/>
    </row>
    <row r="7" spans="1:22" ht="14.4" customHeight="1">
      <c r="A7" s="194" t="s">
        <v>123</v>
      </c>
      <c r="B7" s="194">
        <f t="array" aca="1" ref="B7" ca="1">SUMPRODUCT(
  --(IM!$S$2:$S$8522=$A$7),
  --(MOD(IM!$W$2:$W$8522,1)&gt;=TIME(G1,0,0)),
  --(MOD(IM!$W$2:$W$8522,1)&lt;TIME(H1,0,0)),
  --(INT(IM!$W$2:$W$8522)&gt;=$A$2),
  --(INT(IM!$W$2:$W$8522)&lt;=$B$2)
)</f>
        <v>0</v>
      </c>
      <c r="C7" s="194">
        <f t="array" aca="1" ref="C7" ca="1">SUMPRODUCT(
  --(IM!$S$2:$S$8522=$A$7),
  --(MOD(IM!$W$2:$W$8522,1)&gt;=TIME(H1,0,0)),
  --(MOD(IM!$W$2:$W$8522,1)&lt;TIME(I1,0,0)),
  --(INT(IM!$W$2:$W$8522)&gt;=$A$2),
  --(INT(IM!$W$2:$W$8522)&lt;=$B$2)
)</f>
        <v>5</v>
      </c>
      <c r="D7" s="194">
        <f t="array" aca="1" ref="D7" ca="1">SUMPRODUCT(
  --(IM!$S$2:$S$8522=$A$7),
  --(MOD(IM!$W$2:$W$8522,1)&gt;=TIME(I1,0,0)),
  --(MOD(IM!$W$2:$W$8522,1)&lt;TIME(J1,0,0)),
  --(INT(IM!$W$2:$W$8522)&gt;=$A$2),
  --(INT(IM!$W$2:$W$8522)&lt;=$B$2)
)</f>
        <v>1</v>
      </c>
      <c r="E7" s="194">
        <f t="array" aca="1" ref="E7" ca="1">SUMPRODUCT(
  --(IM!$S$2:$S$8522=$A$7),
  --(MOD(IM!$W$2:$W$8522,1)&gt;=TIME(J1,0,0)),
  --(MOD(IM!$W$2:$W$8522,1)&lt;TIME(K1,0,0)),
  --(INT(IM!$W$2:$W$8522)&gt;=$A$2),
  --(INT(IM!$W$2:$W$8522)&lt;=$B$2)
)</f>
        <v>7</v>
      </c>
      <c r="F7" s="194">
        <f t="array" aca="1" ref="F7" ca="1">SUMPRODUCT(
  --(IM!$S$2:$S$8522=$A$7),
  --(MOD(IM!$W$2:$W$8522,1)&gt;=TIME(K1,0,0)),
  --(MOD(IM!$W$2:$W$8522,1)&lt;TIME(L1,0,0)),
  --(INT(IM!$W$2:$W$8522)&gt;=$A$2),
  --(INT(IM!$W$2:$W$8522)&lt;=$B$2)
)</f>
        <v>10</v>
      </c>
      <c r="G7" s="194">
        <f t="array" aca="1" ref="G7" ca="1">SUMPRODUCT(
  --(IM!$S$2:$S$8522=$A$7),
  --(MOD(IM!$W$2:$W$8522,1)&gt;=TIME(L1,0,0)),
  --(MOD(IM!$W$2:$W$8522,1)&lt;TIME(M1,0,0)),
  --(INT(IM!$W$2:$W$8522)&gt;=$A$2),
  --(INT(IM!$W$2:$W$8522)&lt;=$B$2)
)</f>
        <v>6</v>
      </c>
      <c r="H7" s="194">
        <f t="array" aca="1" ref="H7" ca="1">SUMPRODUCT(
  --(IM!$S$2:$S$8522=$A$7),
  --(MOD(IM!$W$2:$W$8522,1)&gt;=TIME(M1,0,0)),
  --(MOD(IM!$W$2:$W$8522,1)&lt;TIME(N1,0,0)),
  --(INT(IM!$W$2:$W$8522)&gt;=$A$2),
  --(INT(IM!$W$2:$W$8522)&lt;=$B$2)
)</f>
        <v>16</v>
      </c>
      <c r="I7" s="194">
        <f t="array" aca="1" ref="I7" ca="1">SUMPRODUCT(
  --(IM!$S$2:$S$8522=$A$7),
  --(MOD(IM!$W$2:$W$8522,1)&gt;=TIME(N1,0,0)),
  --(MOD(IM!$W$2:$W$8522,1)&lt;TIME(O1,0,0)),
  --(INT(IM!$W$2:$W$8522)&gt;=$A$2),
  --(INT(IM!$W$2:$W$8522)&lt;=$B$2)
)</f>
        <v>20</v>
      </c>
      <c r="J7" s="194">
        <f t="array" aca="1" ref="J7" ca="1">SUMPRODUCT(
  --(IM!$S$2:$S$8522=$A$7),
  --(MOD(IM!$W$2:$W$8522,1)&gt;=TIME(O1,0,0)),
  --(MOD(IM!$W$2:$W$8522,1)&lt;TIME(P1,0,0)),
  --(INT(IM!$W$2:$W$8522)&gt;=$A$2),
  --(INT(IM!$W$2:$W$8522)&lt;=$B$2)
)</f>
        <v>1</v>
      </c>
      <c r="K7" s="194">
        <f t="array" aca="1" ref="K7" ca="1">SUMPRODUCT(
  --(IM!$S$2:$S$8522=$A$7),
  --(MOD(IM!$W$2:$W$8522,1)&gt;=TIME(P1,0,0)),
  --(MOD(IM!$W$2:$W$8522,1)&lt;TIME(Q1,0,0)),
  --(INT(IM!$W$2:$W$8522)&gt;=$A$2),
  --(INT(IM!$W$2:$W$8522)&lt;=$B$2)
)</f>
        <v>0</v>
      </c>
      <c r="L7" s="194">
        <f t="array" aca="1" ref="L7" ca="1">SUMPRODUCT(
  --(IM!$S$2:$S$8522=$A$7),
  --(MOD(IM!$W$2:$W$8522,1)&gt;=TIME(Q1,0,0)),
  --(MOD(IM!$W$2:$W$8522,1)&lt;TIME(R1,0,0)),
  --(INT(IM!$W$2:$W$8522)&gt;=$A$2),
  --(INT(IM!$W$2:$W$8522)&lt;=$B$2)
)</f>
        <v>1</v>
      </c>
      <c r="M7" s="194">
        <f t="array" aca="1" ref="M7" ca="1">SUMPRODUCT(
  --(IM!$S$2:$S$8522=$A$7),
  --(MOD(IM!$W$2:$W$8522,1)&gt;=TIME(R1,0,0)),
  --(MOD(IM!$W$2:$W$8522,1)&lt;TIME(S1,0,0)),
  --(INT(IM!$W$2:$W$8522)&gt;=$A$2),
  --(INT(IM!$W$2:$W$8522)&lt;=$B$2)
)</f>
        <v>0</v>
      </c>
      <c r="N7" s="194">
        <f t="array" aca="1" ref="N7" ca="1">SUMPRODUCT(
  --(IM!$S$2:$S$8522=$A$7),
  --(MOD(IM!$W$2:$W$8522,1)&gt;=TIME(S1,0,0)),
  --(MOD(IM!$W$2:$W$8522,1)&lt;TIME(T1,0,0)),
  --(INT(IM!$W$2:$W$8522)&gt;=$A$2),
  --(INT(IM!$W$2:$W$8522)&lt;=$B$2)
)</f>
        <v>0</v>
      </c>
      <c r="O7" s="194">
        <f t="array" aca="1" ref="O7" ca="1">SUMPRODUCT(
  --(IM!$S$2:$S$8522=$A$7),
  --(MOD(IM!$W$2:$W$8522,1)&gt;=TIME(T1,0,0)),
  --(MOD(IM!$W$2:$W$8522,1)&lt;TIME(U1,0,0)),
  --(INT(IM!$W$2:$W$8522)&gt;=$A$2),
  --(INT(IM!$W$2:$W$8522)&lt;=$B$2)
)</f>
        <v>0</v>
      </c>
      <c r="P7" s="194">
        <f t="array" aca="1" ref="P7" ca="1">SUMPRODUCT(
  --(IM!$S$2:$S$8522=$A$7),
  --(MOD(IM!$W$2:$W$8522,1)&gt;=TIME(U1,0,0)),
  --(MOD(IM!$W$2:$W$8522,1)&lt;TIME(V1,0,0)),
  --(INT(IM!$W$2:$W$8522)&gt;=$A$2),
  --(INT(IM!$W$2:$W$8522)&lt;=$B$2)
)</f>
        <v>0</v>
      </c>
      <c r="Q7" s="194">
        <f ca="1">SUM(B7:P7)</f>
        <v>67</v>
      </c>
      <c r="S7" s="202" t="s">
        <v>3</v>
      </c>
      <c r="U7" s="194"/>
      <c r="V7" s="203"/>
    </row>
    <row r="8" spans="1:22" ht="14.4" customHeight="1">
      <c r="A8" s="194" t="s">
        <v>133</v>
      </c>
      <c r="B8" s="194">
        <f t="array" aca="1" ref="B8" ca="1">SUMPRODUCT(
  --(IM!$S$2:$S$8522=$A$8),
  --(MOD(IM!$W$2:$W$8522,1)&gt;=TIME(G1,0,0)),
  --(MOD(IM!$W$2:$W$8522,1)&lt;TIME(H1,0,0)),
  --(INT(IM!$W$2:$W$8522)&gt;=$A$2),
  --(INT(IM!$W$2:$W$8522)&lt;=$B$2)
)</f>
        <v>0</v>
      </c>
      <c r="C8" s="194">
        <f t="array" aca="1" ref="C8" ca="1">SUMPRODUCT(
  --(IM!$S$2:$S$8522=$A$8),
  --(MOD(IM!$W$2:$W$8522,1)&gt;=TIME(H1,0,0)),
  --(MOD(IM!$W$2:$W$8522,1)&lt;TIME(I1,0,0)),
  --(INT(IM!$W$2:$W$8522)&gt;=$A$2),
  --(INT(IM!$W$2:$W$8522)&lt;=$B$2)
)</f>
        <v>10</v>
      </c>
      <c r="D8" s="194">
        <f t="array" aca="1" ref="D8" ca="1">SUMPRODUCT(
  --(IM!$S$2:$S$8522=$A$8),
  --(MOD(IM!$W$2:$W$8522,1)&gt;=TIME(I1,0,0)),
  --(MOD(IM!$W$2:$W$8522,1)&lt;TIME(J1,0,0)),
  --(INT(IM!$W$2:$W$8522)&gt;=$A$2),
  --(INT(IM!$W$2:$W$8522)&lt;=$B$2)
)</f>
        <v>6</v>
      </c>
      <c r="E8" s="194">
        <f t="array" aca="1" ref="E8" ca="1">SUMPRODUCT(
  --(IM!$S$2:$S$8522=$A$8),
  --(MOD(IM!$W$2:$W$8522,1)&gt;=TIME(J1,0,0)),
  --(MOD(IM!$W$2:$W$8522,1)&lt;TIME(K1,0,0)),
  --(INT(IM!$W$2:$W$8522)&gt;=$A$2),
  --(INT(IM!$W$2:$W$8522)&lt;=$B$2)
)</f>
        <v>7</v>
      </c>
      <c r="F8" s="194">
        <f t="array" aca="1" ref="F8" ca="1">SUMPRODUCT(
  --(IM!$S$2:$S$8522=$A$8),
  --(MOD(IM!$W$2:$W$8522,1)&gt;=TIME(K1,0,0)),
  --(MOD(IM!$W$2:$W$8522,1)&lt;TIME(L1,0,0)),
  --(INT(IM!$W$2:$W$8522)&gt;=$A$2),
  --(INT(IM!$W$2:$W$8522)&lt;=$B$2)
)</f>
        <v>6</v>
      </c>
      <c r="G8" s="194">
        <f t="array" aca="1" ref="G8" ca="1">SUMPRODUCT(
  --(IM!$S$2:$S$8522=$A$8),
  --(MOD(IM!$W$2:$W$8522,1)&gt;=TIME(L1,0,0)),
  --(MOD(IM!$W$2:$W$8522,1)&lt;TIME(M1,0,0)),
  --(INT(IM!$W$2:$W$8522)&gt;=$A$2),
  --(INT(IM!$W$2:$W$8522)&lt;=$B$2)
)</f>
        <v>4</v>
      </c>
      <c r="H8" s="194">
        <f t="array" aca="1" ref="H8" ca="1">SUMPRODUCT(
  --(IM!$S$2:$S$8522=$A$8),
  --(MOD(IM!$W$2:$W$8522,1)&gt;=TIME(M1,0,0)),
  --(MOD(IM!$W$2:$W$8522,1)&lt;TIME(N1,0,0)),
  --(INT(IM!$W$2:$W$8522)&gt;=$A$2),
  --(INT(IM!$W$2:$W$8522)&lt;=$B$2)
)</f>
        <v>11</v>
      </c>
      <c r="I8" s="194">
        <f t="array" aca="1" ref="I8" ca="1">SUMPRODUCT(
  --(IM!$S$2:$S$8522=$A$8),
  --(MOD(IM!$W$2:$W$8522,1)&gt;=TIME(N1,0,0)),
  --(MOD(IM!$W$2:$W$8522,1)&lt;TIME(O1,0,0)),
  --(INT(IM!$W$2:$W$8522)&gt;=$A$2),
  --(INT(IM!$W$2:$W$8522)&lt;=$B$2)
)</f>
        <v>19</v>
      </c>
      <c r="J8" s="194">
        <f t="array" aca="1" ref="J8" ca="1">SUMPRODUCT(
  --(IM!$S$2:$S$8522=$A$8),
  --(MOD(IM!$W$2:$W$8522,1)&gt;=TIME(O1,0,0)),
  --(MOD(IM!$W$2:$W$8522,1)&lt;TIME(P1,0,0)),
  --(INT(IM!$W$2:$W$8522)&gt;=$A$2),
  --(INT(IM!$W$2:$W$8522)&lt;=$B$2)
)</f>
        <v>6</v>
      </c>
      <c r="K8" s="194">
        <f t="array" aca="1" ref="K8" ca="1">SUMPRODUCT(
  --(IM!$S$2:$S$8522=$A$8),
  --(MOD(IM!$W$2:$W$8522,1)&gt;=TIME(P1,0,0)),
  --(MOD(IM!$W$2:$W$8522,1)&lt;TIME(Q1,0,0)),
  --(INT(IM!$W$2:$W$8522)&gt;=$A$2),
  --(INT(IM!$W$2:$W$8522)&lt;=$B$2)
)</f>
        <v>2</v>
      </c>
      <c r="L8" s="194">
        <f t="array" aca="1" ref="L8" ca="1">SUMPRODUCT(
  --(IM!$S$2:$S$8522=$A$8),
  --(MOD(IM!$W$2:$W$8522,1)&gt;=TIME(Q1,0,0)),
  --(MOD(IM!$W$2:$W$8522,1)&lt;TIME(R1,0,0)),
  --(INT(IM!$W$2:$W$8522)&gt;=$A$2),
  --(INT(IM!$W$2:$W$8522)&lt;=$B$2)
)</f>
        <v>3</v>
      </c>
      <c r="M8" s="194">
        <f t="array" aca="1" ref="M8" ca="1">SUMPRODUCT(
  --(IM!$S$2:$S$8522=$A$8),
  --(MOD(IM!$W$2:$W$8522,1)&gt;=TIME(R1,0,0)),
  --(MOD(IM!$W$2:$W$8522,1)&lt;TIME(S1,0,0)),
  --(INT(IM!$W$2:$W$8522)&gt;=$A$2),
  --(INT(IM!$W$2:$W$8522)&lt;=$B$2)
)</f>
        <v>0</v>
      </c>
      <c r="N8" s="194">
        <f t="array" aca="1" ref="N8" ca="1">SUMPRODUCT(
  --(IM!$S$2:$S$8522=$A$8),
  --(MOD(IM!$W$2:$W$8522,1)&gt;=TIME(S1,0,0)),
  --(MOD(IM!$W$2:$W$8522,1)&lt;TIME(T1,0,0)),
  --(INT(IM!$W$2:$W$8522)&gt;=$A$2),
  --(INT(IM!$W$2:$W$8522)&lt;=$B$2)
)</f>
        <v>0</v>
      </c>
      <c r="O8" s="194">
        <f t="array" aca="1" ref="O8" ca="1">SUMPRODUCT(
  --(IM!$S$2:$S$8522=$A$8),
  --(MOD(IM!$W$2:$W$8522,1)&gt;=TIME(T1,0,0)),
  --(MOD(IM!$W$2:$W$8522,1)&lt;TIME(U1,0,0)),
  --(INT(IM!$W$2:$W$8522)&gt;=$A$2),
  --(INT(IM!$W$2:$W$8522)&lt;=$B$2)
)</f>
        <v>0</v>
      </c>
      <c r="P8" s="194">
        <f t="array" aca="1" ref="P8" ca="1">SUMPRODUCT(
  --(IM!$S$2:$S$8522=$A$8),
  --(MOD(IM!$W$2:$W$8522,1)&gt;=TIME(U1,0,0)),
  --(MOD(IM!$W$2:$W$8522,1)&lt;TIME(V1,0,0)),
  --(INT(IM!$W$2:$W$8522)&gt;=$A$2),
  --(INT(IM!$W$2:$W$8522)&lt;=$B$2)
)</f>
        <v>0</v>
      </c>
      <c r="Q8" s="194">
        <f ca="1">SUM(B8:P8)</f>
        <v>74</v>
      </c>
      <c r="S8" s="202"/>
      <c r="U8" s="194"/>
      <c r="V8" s="203"/>
    </row>
    <row r="9" spans="1:22" ht="14.4" customHeight="1">
      <c r="A9" s="197" t="s">
        <v>282</v>
      </c>
      <c r="B9" s="198" t="s">
        <v>268</v>
      </c>
      <c r="C9" s="198" t="s">
        <v>175</v>
      </c>
      <c r="D9" s="198" t="s">
        <v>154</v>
      </c>
      <c r="E9" s="198" t="s">
        <v>149</v>
      </c>
      <c r="F9" s="198" t="s">
        <v>269</v>
      </c>
      <c r="G9" s="198" t="s">
        <v>270</v>
      </c>
      <c r="H9" s="198" t="s">
        <v>168</v>
      </c>
      <c r="I9" s="198" t="s">
        <v>170</v>
      </c>
      <c r="J9" s="198" t="s">
        <v>271</v>
      </c>
      <c r="K9" s="198" t="s">
        <v>272</v>
      </c>
      <c r="L9" s="198" t="s">
        <v>166</v>
      </c>
      <c r="M9" s="198" t="s">
        <v>273</v>
      </c>
      <c r="N9" s="198" t="s">
        <v>274</v>
      </c>
      <c r="O9" s="198" t="s">
        <v>275</v>
      </c>
      <c r="P9" s="198" t="s">
        <v>276</v>
      </c>
      <c r="Q9" s="199" t="s">
        <v>277</v>
      </c>
      <c r="S9" s="202" t="s">
        <v>5</v>
      </c>
      <c r="U9" s="194"/>
      <c r="V9" s="203"/>
    </row>
    <row r="10" spans="1:22" ht="14.4" customHeight="1">
      <c r="A10" s="194" t="s">
        <v>134</v>
      </c>
      <c r="B10" s="194">
        <f t="array" aca="1" ref="B10" ca="1">SUMPRODUCT(
  --(MFP!$E$2:$E$10000=$A$10),
  --(MOD(MFP!$G$2:$G$10000,1)&gt;=TIME(G1,0,0)),
  --(MOD(MFP!$G$2:$G$10000,1)&lt;TIME(H1,0,0)),
  --(INT(MFP!$F$2:$F$10000)&gt;=$A$2),
  --(INT(MFP!$F$2:$F$10000)&lt;=$B$2)
)</f>
        <v>0</v>
      </c>
      <c r="C10" s="194">
        <f t="array" aca="1" ref="C10" ca="1">SUMPRODUCT(
  --(MFP!$E$2:$E$10000=$A$10),
  --(MOD(MFP!$G$2:$G$10000,1)&gt;=TIME(H1,0,0)),
  --(MOD(MFP!$G$2:$G$10000,1)&lt;TIME(I1,0,0)),
  --(INT(MFP!$F$2:$F$10000)&gt;=$A$2),
  --(INT(MFP!$F$2:$F$10000)&lt;=$B$2)
)</f>
        <v>0</v>
      </c>
      <c r="D10" s="194">
        <f t="array" aca="1" ref="D10" ca="1">SUMPRODUCT(
  --(MFP!$E$2:$E$10000=$A$10),
  --(MOD(MFP!$G$2:$G$10000,1)&gt;=TIME(I1,0,0)),
  --(MOD(MFP!$G$2:$G$10000,1)&lt;TIME(J1,0,0)),
  --(INT(MFP!$F$2:$F$10000)&gt;=$A$2),
  --(INT(MFP!$F$2:$F$10000)&lt;=$B$2)
)</f>
        <v>2</v>
      </c>
      <c r="E10" s="194">
        <f t="array" aca="1" ref="E10" ca="1">SUMPRODUCT(
  --(MFP!$E$2:$E$10000=$A$10),
  --(MOD(MFP!$G$2:$G$10000,1)&gt;=TIME(J1,0,0)),
  --(MOD(MFP!$G$2:$G$10000,1)&lt;TIME(K1,0,0)),
  --(INT(MFP!$F$2:$F$10000)&gt;=$A$2),
  --(INT(MFP!$F$2:$F$10000)&lt;=$B$2)
)</f>
        <v>1</v>
      </c>
      <c r="F10" s="194">
        <f t="array" aca="1" ref="F10" ca="1">SUMPRODUCT(
  --(MFP!$E$2:$E$10000=$A$10),
  --(MOD(MFP!$G$2:$G$10000,1)&gt;=TIME(K1,0,0)),
  --(MOD(MFP!$G$2:$G$10000,1)&lt;TIME(L1,0,0)),
  --(INT(MFP!$F$2:$F$10000)&gt;=$A$2),
  --(INT(MFP!$F$2:$F$10000)&lt;=$B$2)
)</f>
        <v>0</v>
      </c>
      <c r="G10" s="194">
        <f t="array" aca="1" ref="G10" ca="1">SUMPRODUCT(
  --(MFP!$E$2:$E$10000=$A$10),
  --(MOD(MFP!$G$2:$G$10000,1)&gt;=TIME(L1,0,0)),
  --(MOD(MFP!$G$2:$G$10000,1)&lt;TIME(M1,0,0)),
  --(INT(MFP!$F$2:$F$10000)&gt;=$A$2),
  --(INT(MFP!$F$2:$F$10000)&lt;=$B$2)
)</f>
        <v>1</v>
      </c>
      <c r="H10" s="194">
        <f t="array" aca="1" ref="H10" ca="1">SUMPRODUCT(
  --(MFP!$E$2:$E$10000=$A$10),
  --(MOD(MFP!$G$2:$G$10000,1)&gt;=TIME(M1,0,0)),
  --(MOD(MFP!$G$2:$G$10000,1)&lt;TIME(N1,0,0)),
  --(INT(MFP!$F$2:$F$10000)&gt;=$A$2),
  --(INT(MFP!$F$2:$F$10000)&lt;=$B$2)
)</f>
        <v>1</v>
      </c>
      <c r="I10" s="194">
        <f t="array" aca="1" ref="I10" ca="1">SUMPRODUCT(
  --(MFP!$E$2:$E$10000=$A$10),
  --(MOD(MFP!$G$2:$G$10000,1)&gt;=TIME(N1,0,0)),
  --(MOD(MFP!$G$2:$G$10000,1)&lt;TIME(O1,0,0)),
  --(INT(MFP!$F$2:$F$10000)&gt;=$A$2),
  --(INT(MFP!$F$2:$F$10000)&lt;=$B$2)
)</f>
        <v>0</v>
      </c>
      <c r="J10" s="194">
        <f t="array" aca="1" ref="J10" ca="1">SUMPRODUCT(
  --(MFP!$E$2:$E$10000=$A$10),
  --(MOD(MFP!$G$2:$G$10000,1)&gt;=TIME(O1,0,0)),
  --(MOD(MFP!$G$2:$G$10000,1)&lt;TIME(P1,0,0)),
  --(INT(MFP!$F$2:$F$10000)&gt;=$A$2),
  --(INT(MFP!$F$2:$F$10000)&lt;=$B$2)
)</f>
        <v>0</v>
      </c>
      <c r="K10" s="194">
        <f t="array" aca="1" ref="K10" ca="1">SUMPRODUCT(
  --(MFP!$E$2:$E$10000=$A$10),
  --(MOD(MFP!$G$2:$G$10000,1)&gt;=TIME(P1,0,0)),
  --(MOD(MFP!$G$2:$G$10000,1)&lt;TIME(Q1,0,0)),
  --(INT(MFP!$F$2:$F$10000)&gt;=$A$2),
  --(INT(MFP!$F$2:$F$10000)&lt;=$B$2)
)</f>
        <v>0</v>
      </c>
      <c r="L10" s="194">
        <f t="array" aca="1" ref="L10" ca="1">SUMPRODUCT(
  --(MFP!$E$2:$E$10000=$A$10),
  --(MOD(MFP!$G$2:$G$10000,1)&gt;=TIME(Q1,0,0)),
  --(MOD(MFP!$G$2:$G$10000,1)&lt;TIME(R1,0,0)),
  --(INT(MFP!$F$2:$F$10000)&gt;=$A$2),
  --(INT(MFP!$F$2:$F$10000)&lt;=$B$2)
)</f>
        <v>0</v>
      </c>
      <c r="M10" s="194">
        <f t="array" aca="1" ref="M10" ca="1">SUMPRODUCT(
  --(MFP!$E$2:$E$10000=$A$10),
  --(MOD(MFP!$G$2:$G$10000,1)&gt;=TIME(R1,0,0)),
  --(MOD(MFP!$G$2:$G$10000,1)&lt;TIME(S1,0,0)),
  --(INT(MFP!$F$2:$F$10000)&gt;=$A$2),
  --(INT(MFP!$F$2:$F$10000)&lt;=$B$2)
)</f>
        <v>0</v>
      </c>
      <c r="N10" s="194">
        <f t="array" aca="1" ref="N10" ca="1">SUMPRODUCT(
  --(MFP!$E$2:$E$10000=$A$10),
  --(MOD(MFP!$G$2:$G$10000,1)&gt;=TIME(S1,0,0)),
  --(MOD(MFP!$G$2:$G$10000,1)&lt;TIME(T1,0,0)),
  --(INT(MFP!$F$2:$F$10000)&gt;=$A$2),
  --(INT(MFP!$F$2:$F$10000)&lt;=$B$2)
)</f>
        <v>0</v>
      </c>
      <c r="O10" s="194">
        <f t="array" aca="1" ref="O10" ca="1">SUMPRODUCT(
  --(MFP!$E$2:$E$10000=$A$10),
  --(MOD(MFP!$G$2:$G$10000,1)&gt;=TIME(T1,0,0)),
  --(MOD(MFP!$G$2:$G$10000,1)&lt;TIME(U1,0,0)),
  --(INT(MFP!$F$2:$F$10000)&gt;=$A$2),
  --(INT(MFP!$F$2:$F$10000)&lt;=$B$2)
)</f>
        <v>0</v>
      </c>
      <c r="P10" s="194">
        <f t="array" aca="1" ref="P10" ca="1">SUMPRODUCT(
  --(MFP!$E$2:$E$10000=$A$10),
  --(MOD(MFP!$G$2:$G$10000,1)&gt;=TIME(U1,0,0)),
  --(MOD(MFP!$G$2:$G$10000,1)&lt;TIME(V1,0,0)),
  --(INT(MFP!$F$2:$F$10000)&gt;=$A$2),
  --(INT(MFP!$F$2:$F$10000)&lt;=$B$2)
)</f>
        <v>0</v>
      </c>
      <c r="Q10" s="194">
        <f ca="1">SUM(B10:P10)</f>
        <v>5</v>
      </c>
      <c r="S10" s="202" t="s">
        <v>6</v>
      </c>
      <c r="U10" s="194"/>
      <c r="V10" s="203"/>
    </row>
    <row r="11" spans="1:22" ht="14.4" customHeight="1">
      <c r="A11" s="194" t="s">
        <v>118</v>
      </c>
      <c r="B11" s="194">
        <f t="array" aca="1" ref="B11" ca="1">SUMPRODUCT(
  --(MFP!$E$2:$E$10000=$A$11),
  --(MOD(MFP!$G$2:$G$10000,1)&gt;=TIME(G1,0,0)),
  --(MOD(MFP!$G$2:$G$10000,1)&lt;TIME(H1,0,0)),
  --(INT(MFP!$F$2:$F$10000)&gt;=$A$2),
  --(INT(MFP!$F$2:$F$10000)&lt;=$B$2)
)</f>
        <v>5</v>
      </c>
      <c r="C11" s="194">
        <f t="array" aca="1" ref="C11" ca="1">SUMPRODUCT(
  --(MFP!$E$2:$E$10000=$A$11),
  --(MOD(MFP!$G$2:$G$10000,1)&gt;=TIME(H1,0,0)),
  --(MOD(MFP!$G$2:$G$10000,1)&lt;TIME(I1,0,0)),
  --(INT(MFP!$F$2:$F$10000)&gt;=$A$2),
  --(INT(MFP!$F$2:$F$10000)&lt;=$B$2)
)</f>
        <v>13</v>
      </c>
      <c r="D11" s="194">
        <f t="array" aca="1" ref="D11" ca="1">SUMPRODUCT(
  --(MFP!$E$2:$E$10000=$A$11),
  --(MOD(MFP!$G$2:$G$10000,1)&gt;=TIME(I1,0,0)),
  --(MOD(MFP!$G$2:$G$10000,1)&lt;TIME(J1,0,0)),
  --(INT(MFP!$F$2:$F$10000)&gt;=$A$2),
  --(INT(MFP!$F$2:$F$10000)&lt;=$B$2)
)</f>
        <v>4</v>
      </c>
      <c r="E11" s="194">
        <f t="array" aca="1" ref="E11" ca="1">SUMPRODUCT(
  --(MFP!$E$2:$E$10000=$A$11),
  --(MOD(MFP!$G$2:$G$10000,1)&gt;=TIME(J1,0,0)),
  --(MOD(MFP!$G$2:$G$10000,1)&lt;TIME(K1,0,0)),
  --(INT(MFP!$F$2:$F$10000)&gt;=$A$2),
  --(INT(MFP!$F$2:$F$10000)&lt;=$B$2)
)</f>
        <v>3</v>
      </c>
      <c r="F11" s="194">
        <f t="array" aca="1" ref="F11" ca="1">SUMPRODUCT(
  --(MFP!$E$2:$E$10000=$A$11),
  --(MOD(MFP!$G$2:$G$10000,1)&gt;=TIME(K1,0,0)),
  --(MOD(MFP!$G$2:$G$10000,1)&lt;TIME(L1,0,0)),
  --(INT(MFP!$F$2:$F$10000)&gt;=$A$2),
  --(INT(MFP!$F$2:$F$10000)&lt;=$B$2)
)</f>
        <v>1</v>
      </c>
      <c r="G11" s="194">
        <f t="array" aca="1" ref="G11" ca="1">SUMPRODUCT(
  --(MFP!$E$2:$E$10000=$A$11),
  --(MOD(MFP!$G$2:$G$10000,1)&gt;=TIME(L1,0,0)),
  --(MOD(MFP!$G$2:$G$10000,1)&lt;TIME(M1,0,0)),
  --(INT(MFP!$F$2:$F$10000)&gt;=$A$2),
  --(INT(MFP!$F$2:$F$10000)&lt;=$B$2)
)</f>
        <v>13</v>
      </c>
      <c r="H11" s="194">
        <f t="array" aca="1" ref="H11" ca="1">SUMPRODUCT(
  --(MFP!$E$2:$E$10000=$A$11),
  --(MOD(MFP!$G$2:$G$10000,1)&gt;=TIME(M1,0,0)),
  --(MOD(MFP!$G$2:$G$10000,1)&lt;TIME(N1,0,0)),
  --(INT(MFP!$F$2:$F$10000)&gt;=$A$2),
  --(INT(MFP!$F$2:$F$10000)&lt;=$B$2)
)</f>
        <v>8</v>
      </c>
      <c r="I11" s="194">
        <f t="array" aca="1" ref="I11" ca="1">SUMPRODUCT(
  --(MFP!$E$2:$E$10000=$A$11),
  --(MOD(MFP!$G$2:$G$10000,1)&gt;=TIME(N1,0,0)),
  --(MOD(MFP!$G$2:$G$10000,1)&lt;TIME(O1,0,0)),
  --(INT(MFP!$F$2:$F$10000)&gt;=$A$2),
  --(INT(MFP!$F$2:$F$10000)&lt;=$B$2)
)</f>
        <v>12</v>
      </c>
      <c r="J11" s="194">
        <f t="array" aca="1" ref="J11" ca="1">SUMPRODUCT(
  --(MFP!$E$2:$E$10000=$A$11),
  --(MOD(MFP!$G$2:$G$10000,1)&gt;=TIME(O1,0,0)),
  --(MOD(MFP!$G$2:$G$10000,1)&lt;TIME(P1,0,0)),
  --(INT(MFP!$F$2:$F$10000)&gt;=$A$2),
  --(INT(MFP!$F$2:$F$10000)&lt;=$B$2)
)</f>
        <v>11</v>
      </c>
      <c r="K11" s="194">
        <f t="array" aca="1" ref="K11" ca="1">SUMPRODUCT(
  --(MFP!$E$2:$E$10000=$A$11),
  --(MOD(MFP!$G$2:$G$10000,1)&gt;=TIME(P1,0,0)),
  --(MOD(MFP!$G$2:$G$10000,1)&lt;TIME(Q1,0,0)),
  --(INT(MFP!$F$2:$F$10000)&gt;=$A$2),
  --(INT(MFP!$F$2:$F$10000)&lt;=$B$2)
)</f>
        <v>3</v>
      </c>
      <c r="L11" s="194">
        <f t="array" aca="1" ref="L11" ca="1">SUMPRODUCT(
  --(MFP!$E$2:$E$10000=$A$11),
  --(MOD(MFP!$G$2:$G$10000,1)&gt;=TIME(Q1,0,0)),
  --(MOD(MFP!$G$2:$G$10000,1)&lt;TIME(R1,0,0)),
  --(INT(MFP!$F$2:$F$10000)&gt;=$A$2),
  --(INT(MFP!$F$2:$F$10000)&lt;=$B$2)
)</f>
        <v>0</v>
      </c>
      <c r="M11" s="194">
        <f t="array" aca="1" ref="M11" ca="1">SUMPRODUCT(
  --(MFP!$E$2:$E$10000=$A$11),
  --(MOD(MFP!$G$2:$G$10000,1)&gt;=TIME(R1,0,0)),
  --(MOD(MFP!$G$2:$G$10000,1)&lt;TIME(S1,0,0)),
  --(INT(MFP!$F$2:$F$10000)&gt;=$A$2),
  --(INT(MFP!$F$2:$F$10000)&lt;=$B$2)
)</f>
        <v>0</v>
      </c>
      <c r="N11" s="194">
        <f t="array" aca="1" ref="N11" ca="1">SUMPRODUCT(
  --(MFP!$E$2:$E$10000=$A$11),
  --(MOD(MFP!$G$2:$G$10000,1)&gt;=TIME(S1,0,0)),
  --(MOD(MFP!$G$2:$G$10000,1)&lt;TIME(T1,0,0)),
  --(INT(MFP!$F$2:$F$10000)&gt;=$A$2),
  --(INT(MFP!$F$2:$F$10000)&lt;=$B$2)
)</f>
        <v>0</v>
      </c>
      <c r="O11" s="194">
        <f t="array" aca="1" ref="O11" ca="1">SUMPRODUCT(
  --(MFP!$E$2:$E$10000=$A$11),
  --(MOD(MFP!$G$2:$G$10000,1)&gt;=TIME(T1,0,0)),
  --(MOD(MFP!$G$2:$G$10000,1)&lt;TIME(U1,0,0)),
  --(INT(MFP!$F$2:$F$10000)&gt;=$A$2),
  --(INT(MFP!$F$2:$F$10000)&lt;=$B$2)
)</f>
        <v>0</v>
      </c>
      <c r="P11" s="194">
        <f t="array" aca="1" ref="P11" ca="1">SUMPRODUCT(
  --(MFP!$E$2:$E$10000=$A$11),
  --(MOD(MFP!$G$2:$G$10000,1)&gt;=TIME(U1,0,0)),
  --(MOD(MFP!$G$2:$G$10000,1)&lt;TIME(V1,0,0)),
  --(INT(MFP!$F$2:$F$10000)&gt;=$A$2),
  --(INT(MFP!$F$2:$F$10000)&lt;=$B$2)
)</f>
        <v>0</v>
      </c>
      <c r="Q11" s="194">
        <f ca="1">SUM(B11:P11)</f>
        <v>73</v>
      </c>
      <c r="S11" s="202" t="s">
        <v>2</v>
      </c>
      <c r="U11" s="194"/>
      <c r="V11" s="203"/>
    </row>
    <row r="12" spans="1:22" ht="14.4" customHeight="1">
      <c r="A12" s="194" t="s">
        <v>123</v>
      </c>
      <c r="B12" s="194">
        <f t="array" aca="1" ref="B12" ca="1">SUMPRODUCT(
  --(MFP!$E$2:$E$10000 = $A$12),
  --(IFERROR(VALUE(MID(MFP!$G$2:$G$10000,1,5)),0) &gt;= TIME(G1,0,0)),
  --(IFERROR(VALUE(MID(MFP!$G$2:$G$10000,1,5)),0) &lt; TIME(H1,0,0)),
  --(TEXT(LEFT(MFP!$F$2:$F$10000,10),"yyyy-mm-dd") &gt;= TEXT($A$2,"yyyy-mm-dd")),
  --(TEXT(LEFT(MFP!$F$2:$F$10000,10),"yyyy-mm-dd") &lt;= TEXT($B$2,"yyyy-mm-dd"))
)</f>
        <v>0</v>
      </c>
      <c r="C12" s="194">
        <f t="array" aca="1" ref="C12" ca="1">SUMPRODUCT(
  --(MFP!$E$2:$E$10000 = $A$12),
  --(IFERROR(VALUE(MID(MFP!$G$2:$G$10000,1,5)),0) &gt;= TIME(H1,0,0)),
  --(IFERROR(VALUE(MID(MFP!$G$2:$G$10000,1,5)),0) &lt; TIME(I1,0,0)),
  --(TEXT(LEFT(MFP!$F$2:$F$10000,10),"yyyy-mm-dd") &gt;= TEXT($A$2,"yyyy-mm-dd")),
  --(TEXT(LEFT(MFP!$F$2:$F$10000,10),"yyyy-mm-dd") &lt;= TEXT($B$2,"yyyy-mm-dd"))
)</f>
        <v>3</v>
      </c>
      <c r="D12" s="194">
        <f t="array" aca="1" ref="D12" ca="1">SUMPRODUCT(
  --(MFP!$E$2:$E$10000 = $A$12),
  --(IFERROR(VALUE(MID(MFP!$G$2:$G$10000,1,5)),0) &gt;= TIME(I1,0,0)),
  --(IFERROR(VALUE(MID(MFP!$G$2:$G$10000,1,5)),0) &lt; TIME(J1,0,0)),
  --(TEXT(LEFT(MFP!$F$2:$F$10000,10),"yyyy-mm-dd") &gt;= TEXT($A$2,"yyyy-mm-dd")),
  --(TEXT(LEFT(MFP!$F$2:$F$10000,10),"yyyy-mm-dd") &lt;= TEXT($B$2,"yyyy-mm-dd"))
)</f>
        <v>0</v>
      </c>
      <c r="E12" s="194">
        <f t="array" aca="1" ref="E12" ca="1">SUMPRODUCT(
  --(MFP!$E$2:$E$10000 = $A$12),
  --(IFERROR(VALUE(MID(MFP!$G$2:$G$10000,1,5)),0) &gt;= TIME(J1,0,0)),
  --(IFERROR(VALUE(MID(MFP!$G$2:$G$10000,1,5)),0) &lt; TIME(K1,0,0)),
  --(TEXT(LEFT(MFP!$F$2:$F$10000,10),"yyyy-mm-dd") &gt;= TEXT($A$2,"yyyy-mm-dd")),
  --(TEXT(LEFT(MFP!$F$2:$F$10000,10),"yyyy-mm-dd") &lt;= TEXT($B$2,"yyyy-mm-dd"))
)</f>
        <v>4</v>
      </c>
      <c r="F12" s="194">
        <f t="array" aca="1" ref="F12" ca="1">SUMPRODUCT(
  --(MFP!$E$2:$E$10000 = $A$12),
  --(IFERROR(VALUE(MID(MFP!$G$2:$G$10000,1,5)),0) &gt;= TIME(K1,0,0)),
  --(IFERROR(VALUE(MID(MFP!$G$2:$G$10000,1,5)),0) &lt; TIME(L1,0,0)),
  --(TEXT(LEFT(MFP!$F$2:$F$10000,10),"yyyy-mm-dd") &gt;= TEXT($A$2,"yyyy-mm-dd")),
  --(TEXT(LEFT(MFP!$F$2:$F$10000,10),"yyyy-mm-dd") &lt;= TEXT($B$2,"yyyy-mm-dd"))
)</f>
        <v>6</v>
      </c>
      <c r="G12" s="194">
        <f t="array" aca="1" ref="G12" ca="1">SUMPRODUCT(
  --(MFP!$E$2:$E$10000 = $A$12),
  --(IFERROR(VALUE(MID(MFP!$G$2:$G$10000,1,5)),0) &gt;= TIME(L1,0,0)),
  --(IFERROR(VALUE(MID(MFP!$G$2:$G$10000,1,5)),0) &lt; TIME(M1,0,0)),
  --(TEXT(LEFT(MFP!$F$2:$F$10000,10),"yyyy-mm-dd") &gt;= TEXT($A$2,"yyyy-mm-dd")),
  --(TEXT(LEFT(MFP!$F$2:$F$10000,10),"yyyy-mm-dd") &lt;= TEXT($B$2,"yyyy-mm-dd"))
)</f>
        <v>2</v>
      </c>
      <c r="H12" s="194">
        <f t="array" aca="1" ref="H12" ca="1">SUMPRODUCT(
  --(MFP!$E$2:$E$10000 = $A$12),
  --(IFERROR(VALUE(MID(MFP!$G$2:$G$10000,1,5)),0) &gt;= TIME(M1,0,0)),
  --(IFERROR(VALUE(MID(MFP!$G$2:$G$10000,1,5)),0) &lt; TIME(N1,0,0)),
  --(TEXT(LEFT(MFP!$F$2:$F$10000,10),"yyyy-mm-dd") &gt;= TEXT($A$2,"yyyy-mm-dd")),
  --(TEXT(LEFT(MFP!$F$2:$F$10000,10),"yyyy-mm-dd") &lt;= TEXT($B$2,"yyyy-mm-dd"))
)</f>
        <v>2</v>
      </c>
      <c r="I12" s="194">
        <f t="array" aca="1" ref="I12" ca="1">SUMPRODUCT(
  --(MFP!$E$2:$E$10000 = $A$12),
  --(IFERROR(VALUE(MID(MFP!$G$2:$G$10000,1,5)),0) &gt;= TIME(N1,0,0)),
  --(IFERROR(VALUE(MID(MFP!$G$2:$G$10000,1,5)),0) &lt; TIME(O1,0,0)),
  --(TEXT(LEFT(MFP!$F$2:$F$10000,10),"yyyy-mm-dd") &gt;= TEXT($A$2,"yyyy-mm-dd")),
  --(TEXT(LEFT(MFP!$F$2:$F$10000,10),"yyyy-mm-dd") &lt;= TEXT($B$2,"yyyy-mm-dd"))
)</f>
        <v>0</v>
      </c>
      <c r="J12" s="194">
        <f t="array" aca="1" ref="J12" ca="1">SUMPRODUCT(
  --(MFP!$E$2:$E$10000 = $A$12),
  --(IFERROR(VALUE(MID(MFP!$G$2:$G$10000,1,5)),0) &gt;= TIME(O1,0,0)),
  --(IFERROR(VALUE(MID(MFP!$G$2:$G$10000,1,5)),0) &lt; TIME(P1,0,0)),
  --(TEXT(LEFT(MFP!$F$2:$F$10000,10),"yyyy-mm-dd") &gt;= TEXT($A$2,"yyyy-mm-dd")),
  --(TEXT(LEFT(MFP!$F$2:$F$10000,10),"yyyy-mm-dd") &lt;= TEXT($B$2,"yyyy-mm-dd"))
)</f>
        <v>0</v>
      </c>
      <c r="K12" s="194">
        <f t="array" aca="1" ref="K12" ca="1">SUMPRODUCT(
  --(MFP!$E$2:$E$10000 = $A$12),
  --(IFERROR(VALUE(MID(MFP!$G$2:$G$10000,1,5)),0) &gt;= TIME(P1,0,0)),
  --(IFERROR(VALUE(MID(MFP!$G$2:$G$10000,1,5)),0) &lt; TIME(Q1,0,0)),
  --(TEXT(LEFT(MFP!$F$2:$F$10000,10),"yyyy-mm-dd") &gt;= TEXT($A$2,"yyyy-mm-dd")),
  --(TEXT(LEFT(MFP!$F$2:$F$10000,10),"yyyy-mm-dd") &lt;= TEXT($B$2,"yyyy-mm-dd"))
)</f>
        <v>0</v>
      </c>
      <c r="L12" s="194">
        <f t="array" aca="1" ref="L12" ca="1">SUMPRODUCT(
  --(MFP!$E$2:$E$10000 = $A$12),
  --(IFERROR(VALUE(MID(MFP!$G$2:$G$10000,1,5)),0) &gt;= TIME(Q1,0,0)),
  --(IFERROR(VALUE(MID(MFP!$G$2:$G$10000,1,5)),0) &lt; TIME(R1,0,0)),
  --(TEXT(LEFT(MFP!$F$2:$F$10000,10),"yyyy-mm-dd") &gt;= TEXT($A$2,"yyyy-mm-dd")),
  --(TEXT(LEFT(MFP!$F$2:$F$10000,10),"yyyy-mm-dd") &lt;= TEXT($B$2,"yyyy-mm-dd"))
)</f>
        <v>0</v>
      </c>
      <c r="M12" s="194">
        <f t="array" aca="1" ref="M12" ca="1">SUMPRODUCT(
  --(MFP!$E$2:$E$10000 = $A$12),
  --(IFERROR(VALUE(MID(MFP!$G$2:$G$10000,1,5)),0) &gt;= TIME(R1,0,0)),
  --(IFERROR(VALUE(MID(MFP!$G$2:$G$10000,1,5)),0) &lt; TIME(S1,0,0)),
  --(TEXT(LEFT(MFP!$F$2:$F$10000,10),"yyyy-mm-dd") &gt;= TEXT($A$2,"yyyy-mm-dd")),
  --(TEXT(LEFT(MFP!$F$2:$F$10000,10),"yyyy-mm-dd") &lt;= TEXT($B$2,"yyyy-mm-dd"))
)</f>
        <v>0</v>
      </c>
      <c r="N12" s="194">
        <f t="array" aca="1" ref="N12" ca="1">SUMPRODUCT(
  --(MFP!$E$2:$E$10000 = $A$12),
  --(IFERROR(VALUE(MID(MFP!$G$2:$G$10000,1,5)),0) &gt;= TIME(S1,0,0)),
  --(IFERROR(VALUE(MID(MFP!$G$2:$G$10000,1,5)),0) &lt; TIME(T1,0,0)),
  --(TEXT(LEFT(MFP!$F$2:$F$10000,10),"yyyy-mm-dd") &gt;= TEXT($A$2,"yyyy-mm-dd")),
  --(TEXT(LEFT(MFP!$F$2:$F$10000,10),"yyyy-mm-dd") &lt;= TEXT($B$2,"yyyy-mm-dd"))
)</f>
        <v>0</v>
      </c>
      <c r="O12" s="194">
        <f t="array" aca="1" ref="O12" ca="1">SUMPRODUCT(
  --(MFP!$E$2:$E$10000 = $A$12),
  --(IFERROR(VALUE(MID(MFP!$G$2:$G$10000,1,5)),0) &gt;= TIME(T1,0,0)),
  --(IFERROR(VALUE(MID(MFP!$G$2:$G$10000,1,5)),0) &lt; TIME(U1,0,0)),
  --(TEXT(LEFT(MFP!$F$2:$F$10000,10),"yyyy-mm-dd") &gt;= TEXT($A$2,"yyyy-mm-dd")),
  --(TEXT(LEFT(MFP!$F$2:$F$10000,10),"yyyy-mm-dd") &lt;= TEXT($B$2,"yyyy-mm-dd"))
)</f>
        <v>0</v>
      </c>
      <c r="P12" s="194">
        <f t="array" aca="1" ref="P12" ca="1">SUMPRODUCT(
  --(MFP!$E$2:$E$10000 = $A$12),
  --(IFERROR(VALUE(MID(MFP!$G$2:$G$10000,1,5)),0) &gt;= TIME(U1,0,0)),
  --(IFERROR(VALUE(MID(MFP!$G$2:$G$10000,1,5)),0) &lt; TIME(V1,0,0)),
  --(TEXT(LEFT(MFP!$F$2:$F$10000,10),"yyyy-mm-dd") &gt;= TEXT($A$2,"yyyy-mm-dd")),
  --(TEXT(LEFT(MFP!$F$2:$F$10000,10),"yyyy-mm-dd") &lt;= TEXT($B$2,"yyyy-mm-dd"))
)</f>
        <v>0</v>
      </c>
      <c r="Q12" s="194">
        <f ca="1">SUM(B12:P12)</f>
        <v>17</v>
      </c>
      <c r="S12" s="202" t="s">
        <v>4</v>
      </c>
      <c r="U12" s="194"/>
      <c r="V12" s="203"/>
    </row>
    <row r="13" spans="1:22" ht="14.4" customHeight="1">
      <c r="A13" s="194" t="s">
        <v>133</v>
      </c>
      <c r="B13" s="194">
        <f t="array" aca="1" ref="B13" ca="1">SUMPRODUCT(
  --(MFP!$E$2:$E$10000 = $A$13),
  --(IFERROR(VALUE(MID(MFP!$G$2:$G$10000,1,5)),0) &gt;= TIME(G1,0,0)),
  --(IFERROR(VALUE(MID(MFP!$G$2:$G$10000,1,5)),0) &lt; TIME(H1,0,0)),
  --(TEXT(LEFT(MFP!$F$2:$F$10000,10),"yyyy-mm-dd") &gt;= TEXT($A$2,"yyyy-mm-dd")),
  --(TEXT(LEFT(MFP!$F$2:$F$10000,10),"yyyy-mm-dd") &lt;= TEXT($B$2,"yyyy-mm-dd"))
)</f>
        <v>2</v>
      </c>
      <c r="C13" s="194">
        <f t="array" aca="1" ref="C13" ca="1">SUMPRODUCT(
  --(MFP!$E$2:$E$10000 = $A$13),
  --(IFERROR(VALUE(MID(MFP!$G$2:$G$10000,1,5)),0) &gt;= TIME(H1,0,0)),
  --(IFERROR(VALUE(MID(MFP!$G$2:$G$10000,1,5)),0) &lt; TIME(I1,0,0)),
  --(TEXT(LEFT(MFP!$F$2:$F$10000,10),"yyyy-mm-dd") &gt;= TEXT($A$2,"yyyy-mm-dd")),
  --(TEXT(LEFT(MFP!$F$2:$F$10000,10),"yyyy-mm-dd") &lt;= TEXT($B$2,"yyyy-mm-dd"))
)</f>
        <v>19</v>
      </c>
      <c r="D13" s="194">
        <f t="array" aca="1" ref="D13" ca="1">SUMPRODUCT(
  --(MFP!$E$2:$E$10000 = $A$13),
  --(IFERROR(VALUE(MID(MFP!$G$2:$G$10000,1,5)),0) &gt;= TIME(I1,0,0)),
  --(IFERROR(VALUE(MID(MFP!$G$2:$G$10000,1,5)),0) &lt; TIME(J1,0,0)),
  --(TEXT(LEFT(MFP!$F$2:$F$10000,10),"yyyy-mm-dd") &gt;= TEXT($A$2,"yyyy-mm-dd")),
  --(TEXT(LEFT(MFP!$F$2:$F$10000,10),"yyyy-mm-dd") &lt;= TEXT($B$2,"yyyy-mm-dd"))
)</f>
        <v>19</v>
      </c>
      <c r="E13" s="194">
        <f t="array" aca="1" ref="E13" ca="1">SUMPRODUCT(
  --(MFP!$E$2:$E$10000 = $A$13),
  --(IFERROR(VALUE(MID(MFP!$G$2:$G$10000,1,5)),0) &gt;= TIME(J1,0,0)),
  --(IFERROR(VALUE(MID(MFP!$G$2:$G$10000,1,5)),0) &lt; TIME(K1,0,0)),
  --(TEXT(LEFT(MFP!$F$2:$F$10000,10),"yyyy-mm-dd") &gt;= TEXT($A$2,"yyyy-mm-dd")),
  --(TEXT(LEFT(MFP!$F$2:$F$10000,10),"yyyy-mm-dd") &lt;= TEXT($B$2,"yyyy-mm-dd"))
)</f>
        <v>9</v>
      </c>
      <c r="F13" s="194">
        <f t="array" aca="1" ref="F13" ca="1">SUMPRODUCT(
  --(MFP!$E$2:$E$10000 = $A$13),
  --(IFERROR(VALUE(MID(MFP!$G$2:$G$10000,1,5)),0) &gt;= TIME(K1,0,0)),
  --(IFERROR(VALUE(MID(MFP!$G$2:$G$10000,1,5)),0) &lt; TIME(L1,0,0)),
  --(TEXT(LEFT(MFP!$F$2:$F$10000,10),"yyyy-mm-dd") &gt;= TEXT($A$2,"yyyy-mm-dd")),
  --(TEXT(LEFT(MFP!$F$2:$F$10000,10),"yyyy-mm-dd") &lt;= TEXT($B$2,"yyyy-mm-dd"))
)</f>
        <v>1</v>
      </c>
      <c r="G13" s="194">
        <f t="array" aca="1" ref="G13" ca="1">SUMPRODUCT(
  --(MFP!$E$2:$E$10000 = $A$13),
  --(IFERROR(VALUE(MID(MFP!$G$2:$G$10000,1,5)),0) &gt;= TIME(L1,0,0)),
  --(IFERROR(VALUE(MID(MFP!$G$2:$G$10000,1,5)),0) &lt; TIME(M1,0,0)),
  --(TEXT(LEFT(MFP!$F$2:$F$10000,10),"yyyy-mm-dd") &gt;= TEXT($A$2,"yyyy-mm-dd")),
  --(TEXT(LEFT(MFP!$F$2:$F$10000,10),"yyyy-mm-dd") &lt;= TEXT($B$2,"yyyy-mm-dd"))
)</f>
        <v>8</v>
      </c>
      <c r="H13" s="194">
        <f t="array" aca="1" ref="H13" ca="1">SUMPRODUCT(
  --(MFP!$E$2:$E$10000 = $A$13),
  --(IFERROR(VALUE(MID(MFP!$G$2:$G$10000,1,5)),0) &gt;= TIME(M1,0,0)),
  --(IFERROR(VALUE(MID(MFP!$G$2:$G$10000,1,5)),0) &lt; TIME(N1,0,0)),
  --(TEXT(LEFT(MFP!$F$2:$F$10000,10),"yyyy-mm-dd") &gt;= TEXT($A$2,"yyyy-mm-dd")),
  --(TEXT(LEFT(MFP!$F$2:$F$10000,10),"yyyy-mm-dd") &lt;= TEXT($B$2,"yyyy-mm-dd"))
)</f>
        <v>6</v>
      </c>
      <c r="I13" s="194">
        <f t="array" aca="1" ref="I13" ca="1">SUMPRODUCT(
  --(MFP!$E$2:$E$10000 = $A$13),
  --(IFERROR(VALUE(MID(MFP!$G$2:$G$10000,1,5)),0) &gt;= TIME(N1,0,0)),
  --(IFERROR(VALUE(MID(MFP!$G$2:$G$10000,1,5)),0) &lt; TIME(O1,0,0)),
  --(TEXT(LEFT(MFP!$F$2:$F$10000,10),"yyyy-mm-dd") &gt;= TEXT($A$2,"yyyy-mm-dd")),
  --(TEXT(LEFT(MFP!$F$2:$F$10000,10),"yyyy-mm-dd") &lt;= TEXT($B$2,"yyyy-mm-dd"))
)</f>
        <v>3</v>
      </c>
      <c r="J13" s="194">
        <f t="array" aca="1" ref="J13" ca="1">SUMPRODUCT(
  --(MFP!$E$2:$E$10000 = $A$13),
  --(IFERROR(VALUE(MID(MFP!$G$2:$G$10000,1,5)),0) &gt;= TIME(O1,0,0)),
  --(IFERROR(VALUE(MID(MFP!$G$2:$G$10000,1,5)),0) &lt; TIME(P1,0,0)),
  --(TEXT(LEFT(MFP!$F$2:$F$10000,10),"yyyy-mm-dd") &gt;= TEXT($A$2,"yyyy-mm-dd")),
  --(TEXT(LEFT(MFP!$F$2:$F$10000,10),"yyyy-mm-dd") &lt;= TEXT($B$2,"yyyy-mm-dd"))
)</f>
        <v>7</v>
      </c>
      <c r="K13" s="194">
        <f t="array" aca="1" ref="K13" ca="1">SUMPRODUCT(
  --(MFP!$E$2:$E$10000 = $A$13),
  --(IFERROR(VALUE(MID(MFP!$G$2:$G$10000,1,5)),0) &gt;= TIME(P1,0,0)),
  --(IFERROR(VALUE(MID(MFP!$G$2:$G$10000,1,5)),0) &lt; TIME(Q1,0,0)),
  --(TEXT(LEFT(MFP!$F$2:$F$10000,10),"yyyy-mm-dd") &gt;= TEXT($A$2,"yyyy-mm-dd")),
  --(TEXT(LEFT(MFP!$F$2:$F$10000,10),"yyyy-mm-dd") &lt;= TEXT($B$2,"yyyy-mm-dd"))
)</f>
        <v>0</v>
      </c>
      <c r="L13" s="194">
        <f t="array" aca="1" ref="L13" ca="1">SUMPRODUCT(
  --(MFP!$E$2:$E$10000 = $A$13),
  --(IFERROR(VALUE(MID(MFP!$G$2:$G$10000,1,5)),0) &gt;= TIME(Q1,0,0)),
  --(IFERROR(VALUE(MID(MFP!$G$2:$G$10000,1,5)),0) &lt; TIME(R1,0,0)),
  --(TEXT(LEFT(MFP!$F$2:$F$10000,10),"yyyy-mm-dd") &gt;= TEXT($A$2,"yyyy-mm-dd")),
  --(TEXT(LEFT(MFP!$F$2:$F$10000,10),"yyyy-mm-dd") &lt;= TEXT($B$2,"yyyy-mm-dd"))
)</f>
        <v>0</v>
      </c>
      <c r="M13" s="194">
        <f t="array" aca="1" ref="M13" ca="1">SUMPRODUCT(
  --(MFP!$E$2:$E$10000 = $A$13),
  --(IFERROR(VALUE(MID(MFP!$G$2:$G$10000,1,5)),0) &gt;= TIME(R1,0,0)),
  --(IFERROR(VALUE(MID(MFP!$G$2:$G$10000,1,5)),0) &lt; TIME(S1,0,0)),
  --(TEXT(LEFT(MFP!$F$2:$F$10000,10),"yyyy-mm-dd") &gt;= TEXT($A$2,"yyyy-mm-dd")),
  --(TEXT(LEFT(MFP!$F$2:$F$10000,10),"yyyy-mm-dd") &lt;= TEXT($B$2,"yyyy-mm-dd"))
)</f>
        <v>0</v>
      </c>
      <c r="N13" s="194">
        <f t="array" aca="1" ref="N13" ca="1">SUMPRODUCT(
  --(MFP!$E$2:$E$10000 = $A$13),
  --(IFERROR(VALUE(MID(MFP!$G$2:$G$10000,1,5)),0) &gt;= TIME(S1,0,0)),
  --(IFERROR(VALUE(MID(MFP!$G$2:$G$10000,1,5)),0) &lt; TIME(T1,0,0)),
  --(TEXT(LEFT(MFP!$F$2:$F$10000,10),"yyyy-mm-dd") &gt;= TEXT($A$2,"yyyy-mm-dd")),
  --(TEXT(LEFT(MFP!$F$2:$F$10000,10),"yyyy-mm-dd") &lt;= TEXT($B$2,"yyyy-mm-dd"))
)</f>
        <v>0</v>
      </c>
      <c r="O13" s="194">
        <f t="array" aca="1" ref="O13" ca="1">SUMPRODUCT(
  --(MFP!$E$2:$E$10000 = $A$13),
  --(IFERROR(VALUE(MID(MFP!$G$2:$G$10000,1,5)),0) &gt;= TIME(T1,0,0)),
  --(IFERROR(VALUE(MID(MFP!$G$2:$G$10000,1,5)),0) &lt; TIME(U1,0,0)),
  --(TEXT(LEFT(MFP!$F$2:$F$10000,10),"yyyy-mm-dd") &gt;= TEXT($A$2,"yyyy-mm-dd")),
  --(TEXT(LEFT(MFP!$F$2:$F$10000,10),"yyyy-mm-dd") &lt;= TEXT($B$2,"yyyy-mm-dd"))
)</f>
        <v>0</v>
      </c>
      <c r="P13" s="194">
        <f t="array" aca="1" ref="P13" ca="1">SUMPRODUCT(
  --(MFP!$E$2:$E$10000 = $A$13),
  --(IFERROR(VALUE(MID(MFP!$G$2:$G$10000,1,5)),0) &gt;= TIME(U1,0,0)),
  --(IFERROR(VALUE(MID(MFP!$G$2:$G$10000,1,5)),0) &lt; TIME(V1,0,0)),
  --(TEXT(LEFT(MFP!$F$2:$F$10000,10),"yyyy-mm-dd") &gt;= TEXT($A$2,"yyyy-mm-dd")),
  --(TEXT(LEFT(MFP!$F$2:$F$10000,10),"yyyy-mm-dd") &lt;= TEXT($B$2,"yyyy-mm-dd"))
)</f>
        <v>0</v>
      </c>
      <c r="Q13" s="194">
        <f ca="1">SUM(B13:P13)</f>
        <v>74</v>
      </c>
      <c r="S13" s="202"/>
      <c r="U13" s="194"/>
      <c r="V13" s="203"/>
    </row>
    <row r="14" spans="1:22" ht="14.4" customHeight="1">
      <c r="A14" s="197" t="s">
        <v>283</v>
      </c>
      <c r="B14" s="198" t="s">
        <v>268</v>
      </c>
      <c r="C14" s="198" t="s">
        <v>175</v>
      </c>
      <c r="D14" s="198" t="s">
        <v>154</v>
      </c>
      <c r="E14" s="198" t="s">
        <v>149</v>
      </c>
      <c r="F14" s="198" t="s">
        <v>269</v>
      </c>
      <c r="G14" s="198" t="s">
        <v>270</v>
      </c>
      <c r="H14" s="198" t="s">
        <v>168</v>
      </c>
      <c r="I14" s="198" t="s">
        <v>170</v>
      </c>
      <c r="J14" s="198" t="s">
        <v>271</v>
      </c>
      <c r="K14" s="198" t="s">
        <v>272</v>
      </c>
      <c r="L14" s="198" t="s">
        <v>166</v>
      </c>
      <c r="M14" s="198" t="s">
        <v>273</v>
      </c>
      <c r="N14" s="198" t="s">
        <v>274</v>
      </c>
      <c r="O14" s="198" t="s">
        <v>275</v>
      </c>
      <c r="P14" s="198" t="s">
        <v>276</v>
      </c>
      <c r="Q14" s="199" t="s">
        <v>277</v>
      </c>
      <c r="S14" s="202" t="s">
        <v>1</v>
      </c>
      <c r="U14" s="194"/>
      <c r="V14" s="203"/>
    </row>
    <row r="15" spans="1:22" ht="14.4" customHeight="1">
      <c r="A15" s="204" t="s">
        <v>134</v>
      </c>
      <c r="B15" s="194">
        <f t="shared" ref="B15:P15" ca="1" si="0">B5+B10</f>
        <v>0</v>
      </c>
      <c r="C15" s="194">
        <f t="shared" ca="1" si="0"/>
        <v>2</v>
      </c>
      <c r="D15" s="194">
        <f t="shared" ca="1" si="0"/>
        <v>6</v>
      </c>
      <c r="E15" s="194">
        <f t="shared" ca="1" si="0"/>
        <v>1</v>
      </c>
      <c r="F15" s="194">
        <f t="shared" ca="1" si="0"/>
        <v>0</v>
      </c>
      <c r="G15" s="194">
        <f t="shared" ca="1" si="0"/>
        <v>1</v>
      </c>
      <c r="H15" s="194">
        <f t="shared" ca="1" si="0"/>
        <v>1</v>
      </c>
      <c r="I15" s="194">
        <f t="shared" ca="1" si="0"/>
        <v>1</v>
      </c>
      <c r="J15" s="194">
        <f t="shared" ca="1" si="0"/>
        <v>0</v>
      </c>
      <c r="K15" s="194">
        <f t="shared" ca="1" si="0"/>
        <v>0</v>
      </c>
      <c r="L15" s="194">
        <f t="shared" ca="1" si="0"/>
        <v>0</v>
      </c>
      <c r="M15" s="194">
        <f t="shared" ca="1" si="0"/>
        <v>0</v>
      </c>
      <c r="N15" s="194">
        <f t="shared" ca="1" si="0"/>
        <v>0</v>
      </c>
      <c r="O15" s="194">
        <f t="shared" ca="1" si="0"/>
        <v>0</v>
      </c>
      <c r="P15" s="194">
        <f t="shared" ca="1" si="0"/>
        <v>0</v>
      </c>
      <c r="Q15" s="194">
        <f ca="1">SUM(B15:P15)</f>
        <v>12</v>
      </c>
      <c r="S15" s="202" t="s">
        <v>10</v>
      </c>
      <c r="U15" s="194"/>
      <c r="V15" s="203"/>
    </row>
    <row r="16" spans="1:22" ht="14.4" customHeight="1">
      <c r="A16" s="205" t="s">
        <v>118</v>
      </c>
      <c r="B16" s="194">
        <f t="shared" ref="B16:P16" ca="1" si="1">B6+B11</f>
        <v>6</v>
      </c>
      <c r="C16" s="194">
        <f t="shared" ca="1" si="1"/>
        <v>22</v>
      </c>
      <c r="D16" s="194">
        <f t="shared" ca="1" si="1"/>
        <v>8</v>
      </c>
      <c r="E16" s="194">
        <f t="shared" ca="1" si="1"/>
        <v>17</v>
      </c>
      <c r="F16" s="194">
        <f t="shared" ca="1" si="1"/>
        <v>5</v>
      </c>
      <c r="G16" s="194">
        <f t="shared" ca="1" si="1"/>
        <v>14</v>
      </c>
      <c r="H16" s="194">
        <f t="shared" ca="1" si="1"/>
        <v>10</v>
      </c>
      <c r="I16" s="194">
        <f t="shared" ca="1" si="1"/>
        <v>16</v>
      </c>
      <c r="J16" s="194">
        <f t="shared" ca="1" si="1"/>
        <v>11</v>
      </c>
      <c r="K16" s="194">
        <f t="shared" ca="1" si="1"/>
        <v>3</v>
      </c>
      <c r="L16" s="194">
        <f t="shared" ca="1" si="1"/>
        <v>1</v>
      </c>
      <c r="M16" s="194">
        <f t="shared" ca="1" si="1"/>
        <v>0</v>
      </c>
      <c r="N16" s="194">
        <f t="shared" ca="1" si="1"/>
        <v>0</v>
      </c>
      <c r="O16" s="194">
        <f t="shared" ca="1" si="1"/>
        <v>0</v>
      </c>
      <c r="P16" s="194">
        <f t="shared" ca="1" si="1"/>
        <v>0</v>
      </c>
      <c r="Q16" s="194">
        <f ca="1">SUM(B16:P16)</f>
        <v>113</v>
      </c>
      <c r="S16" s="202" t="s">
        <v>11</v>
      </c>
      <c r="U16" s="194"/>
      <c r="V16" s="203"/>
    </row>
    <row r="17" spans="1:22" ht="14.4" customHeight="1">
      <c r="A17" s="206" t="s">
        <v>123</v>
      </c>
      <c r="B17" s="194">
        <f t="shared" ref="B17:P17" ca="1" si="2">B7+B12</f>
        <v>0</v>
      </c>
      <c r="C17" s="194">
        <f t="shared" ca="1" si="2"/>
        <v>8</v>
      </c>
      <c r="D17" s="194">
        <f t="shared" ca="1" si="2"/>
        <v>1</v>
      </c>
      <c r="E17" s="194">
        <f t="shared" ca="1" si="2"/>
        <v>11</v>
      </c>
      <c r="F17" s="194">
        <f t="shared" ca="1" si="2"/>
        <v>16</v>
      </c>
      <c r="G17" s="194">
        <f t="shared" ca="1" si="2"/>
        <v>8</v>
      </c>
      <c r="H17" s="194">
        <f t="shared" ca="1" si="2"/>
        <v>18</v>
      </c>
      <c r="I17" s="194">
        <f t="shared" ca="1" si="2"/>
        <v>20</v>
      </c>
      <c r="J17" s="194">
        <f t="shared" ca="1" si="2"/>
        <v>1</v>
      </c>
      <c r="K17" s="194">
        <f t="shared" ca="1" si="2"/>
        <v>0</v>
      </c>
      <c r="L17" s="194">
        <f t="shared" ca="1" si="2"/>
        <v>1</v>
      </c>
      <c r="M17" s="194">
        <f t="shared" ca="1" si="2"/>
        <v>0</v>
      </c>
      <c r="N17" s="194">
        <f t="shared" ca="1" si="2"/>
        <v>0</v>
      </c>
      <c r="O17" s="194">
        <f t="shared" ca="1" si="2"/>
        <v>0</v>
      </c>
      <c r="P17" s="194">
        <f t="shared" ca="1" si="2"/>
        <v>0</v>
      </c>
      <c r="Q17" s="194">
        <f ca="1">SUM(B17:P17)</f>
        <v>84</v>
      </c>
      <c r="S17" s="202" t="s">
        <v>13</v>
      </c>
      <c r="U17" s="194"/>
      <c r="V17" s="203"/>
    </row>
    <row r="18" spans="1:22" ht="14.4" customHeight="1">
      <c r="A18" s="325" t="s">
        <v>133</v>
      </c>
      <c r="B18" s="194">
        <f t="shared" ref="B18:P18" ca="1" si="3">B8+B13</f>
        <v>2</v>
      </c>
      <c r="C18" s="194">
        <f t="shared" ca="1" si="3"/>
        <v>29</v>
      </c>
      <c r="D18" s="194">
        <f t="shared" ca="1" si="3"/>
        <v>25</v>
      </c>
      <c r="E18" s="194">
        <f t="shared" ca="1" si="3"/>
        <v>16</v>
      </c>
      <c r="F18" s="194">
        <f t="shared" ca="1" si="3"/>
        <v>7</v>
      </c>
      <c r="G18" s="194">
        <f t="shared" ca="1" si="3"/>
        <v>12</v>
      </c>
      <c r="H18" s="194">
        <f t="shared" ca="1" si="3"/>
        <v>17</v>
      </c>
      <c r="I18" s="194">
        <f t="shared" ca="1" si="3"/>
        <v>22</v>
      </c>
      <c r="J18" s="194">
        <f t="shared" ca="1" si="3"/>
        <v>13</v>
      </c>
      <c r="K18" s="194">
        <f t="shared" ca="1" si="3"/>
        <v>2</v>
      </c>
      <c r="L18" s="194">
        <f t="shared" ca="1" si="3"/>
        <v>3</v>
      </c>
      <c r="M18" s="194">
        <f t="shared" ca="1" si="3"/>
        <v>0</v>
      </c>
      <c r="N18" s="194">
        <f t="shared" ca="1" si="3"/>
        <v>0</v>
      </c>
      <c r="O18" s="194">
        <f t="shared" ca="1" si="3"/>
        <v>0</v>
      </c>
      <c r="P18" s="194">
        <f t="shared" ca="1" si="3"/>
        <v>0</v>
      </c>
      <c r="Q18" s="194">
        <f ca="1">SUM(B18:P18)</f>
        <v>148</v>
      </c>
      <c r="S18" s="202"/>
      <c r="U18" s="194"/>
      <c r="V18" s="203"/>
    </row>
    <row r="19" spans="1:22" ht="14.4" customHeight="1">
      <c r="S19" s="202" t="s">
        <v>12</v>
      </c>
      <c r="U19" s="194"/>
      <c r="V19" s="203"/>
    </row>
    <row r="20" spans="1:22" ht="14.4" customHeight="1">
      <c r="S20" s="202" t="s">
        <v>130</v>
      </c>
      <c r="U20" s="194"/>
      <c r="V20" s="203"/>
    </row>
    <row r="21" spans="1:22" ht="14.4" customHeight="1">
      <c r="S21" s="202" t="s">
        <v>131</v>
      </c>
      <c r="U21" s="194"/>
      <c r="V21" s="203"/>
    </row>
  </sheetData>
  <phoneticPr fontId="45" type="noConversion"/>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4"/>
  <dimension ref="A1:AM614"/>
  <sheetViews>
    <sheetView zoomScale="80" zoomScaleNormal="80" workbookViewId="0">
      <pane ySplit="1" topLeftCell="A593" activePane="bottomLeft" state="frozen"/>
      <selection pane="bottomLeft" activeCell="O606" sqref="O606"/>
    </sheetView>
  </sheetViews>
  <sheetFormatPr defaultRowHeight="21.6" customHeight="1"/>
  <cols>
    <col min="3" max="3" width="14.69921875" style="102" customWidth="1"/>
    <col min="4" max="5" width="13" style="102" hidden="1" customWidth="1"/>
    <col min="7" max="7" width="13.8984375" style="102" bestFit="1" customWidth="1"/>
    <col min="8" max="12" width="13" style="102" hidden="1" customWidth="1"/>
    <col min="13" max="13" width="23.59765625" style="102" bestFit="1" customWidth="1"/>
    <col min="14" max="14" width="13" style="102" hidden="1" customWidth="1"/>
    <col min="15" max="15" width="33.8984375" style="102" bestFit="1" customWidth="1"/>
    <col min="16" max="16" width="36.296875" style="102" customWidth="1"/>
    <col min="17" max="18" width="13" style="102" hidden="1" customWidth="1"/>
    <col min="20" max="21" width="13" style="102" hidden="1" customWidth="1"/>
    <col min="22" max="22" width="16.5" style="102" customWidth="1"/>
    <col min="23" max="23" width="13" style="102" hidden="1" customWidth="1"/>
    <col min="24" max="24" width="13.69921875" style="102" customWidth="1"/>
    <col min="25" max="28" width="13" style="102" hidden="1" customWidth="1"/>
    <col min="29" max="29" width="36.59765625" style="102" customWidth="1"/>
  </cols>
  <sheetData>
    <row r="1" spans="1:39" ht="21.6" customHeight="1">
      <c r="A1" s="207" t="s">
        <v>284</v>
      </c>
      <c r="B1" s="207" t="s">
        <v>285</v>
      </c>
      <c r="C1" s="207" t="s">
        <v>286</v>
      </c>
      <c r="D1" s="207" t="s">
        <v>287</v>
      </c>
      <c r="E1" s="207" t="s">
        <v>288</v>
      </c>
      <c r="F1" s="207" t="s">
        <v>289</v>
      </c>
      <c r="G1" s="207" t="s">
        <v>290</v>
      </c>
      <c r="H1" s="207" t="s">
        <v>291</v>
      </c>
      <c r="I1" s="207" t="s">
        <v>292</v>
      </c>
      <c r="J1" s="207" t="s">
        <v>293</v>
      </c>
      <c r="K1" s="207" t="s">
        <v>294</v>
      </c>
      <c r="L1" s="207" t="s">
        <v>295</v>
      </c>
      <c r="M1" s="207" t="s">
        <v>296</v>
      </c>
      <c r="N1" s="207" t="s">
        <v>297</v>
      </c>
      <c r="O1" s="207" t="s">
        <v>298</v>
      </c>
      <c r="P1" s="207" t="s">
        <v>299</v>
      </c>
      <c r="Q1" s="207" t="s">
        <v>300</v>
      </c>
      <c r="R1" s="207" t="s">
        <v>301</v>
      </c>
      <c r="S1" s="207" t="s">
        <v>302</v>
      </c>
      <c r="T1" s="207" t="s">
        <v>303</v>
      </c>
      <c r="U1" s="207" t="s">
        <v>304</v>
      </c>
      <c r="V1" s="207" t="s">
        <v>305</v>
      </c>
      <c r="W1" s="207" t="s">
        <v>306</v>
      </c>
      <c r="X1" s="208" t="s">
        <v>307</v>
      </c>
      <c r="Y1" s="207" t="s">
        <v>308</v>
      </c>
      <c r="Z1" s="207" t="s">
        <v>309</v>
      </c>
      <c r="AA1" s="207" t="s">
        <v>310</v>
      </c>
      <c r="AB1" s="207" t="s">
        <v>311</v>
      </c>
      <c r="AC1" s="207" t="s">
        <v>312</v>
      </c>
      <c r="AD1" s="207" t="s">
        <v>313</v>
      </c>
      <c r="AE1" s="207" t="s">
        <v>314</v>
      </c>
      <c r="AF1" s="207" t="s">
        <v>315</v>
      </c>
      <c r="AG1" s="207" t="s">
        <v>316</v>
      </c>
      <c r="AH1" s="207" t="s">
        <v>317</v>
      </c>
      <c r="AI1" s="207" t="s">
        <v>318</v>
      </c>
      <c r="AJ1" s="207" t="s">
        <v>319</v>
      </c>
      <c r="AK1" s="207" t="s">
        <v>320</v>
      </c>
      <c r="AL1" s="209" t="s">
        <v>321</v>
      </c>
      <c r="AM1" s="210"/>
    </row>
    <row r="2" spans="1:39" ht="21.6" customHeight="1">
      <c r="A2" s="11">
        <v>2</v>
      </c>
      <c r="B2" s="11" t="s">
        <v>322</v>
      </c>
      <c r="C2" s="11">
        <v>2025120061</v>
      </c>
      <c r="D2" s="11"/>
      <c r="E2" s="11"/>
      <c r="F2" s="11">
        <v>4834</v>
      </c>
      <c r="G2" s="11" t="s">
        <v>323</v>
      </c>
      <c r="H2" s="11" t="s">
        <v>324</v>
      </c>
      <c r="I2" s="11"/>
      <c r="J2" s="11"/>
      <c r="K2" s="11"/>
      <c r="L2" s="11"/>
      <c r="M2" s="12"/>
      <c r="N2" s="11"/>
      <c r="O2" s="12"/>
      <c r="P2" s="13"/>
      <c r="Q2" s="11" t="s">
        <v>325</v>
      </c>
      <c r="R2" s="11" t="s">
        <v>326</v>
      </c>
      <c r="S2" s="11" t="s">
        <v>118</v>
      </c>
      <c r="T2" s="11">
        <v>1</v>
      </c>
      <c r="U2" s="11" t="s">
        <v>327</v>
      </c>
      <c r="V2" s="11" t="s">
        <v>328</v>
      </c>
      <c r="W2" s="11" t="s">
        <v>329</v>
      </c>
      <c r="X2" s="367">
        <v>45992.4375</v>
      </c>
      <c r="Y2" s="11"/>
      <c r="Z2" s="11">
        <v>0.5</v>
      </c>
      <c r="AA2" s="11"/>
      <c r="AB2" s="11" t="s">
        <v>330</v>
      </c>
      <c r="AC2" s="212" t="s">
        <v>331</v>
      </c>
      <c r="AD2" s="11" t="s">
        <v>332</v>
      </c>
      <c r="AE2" s="11"/>
      <c r="AF2" s="11"/>
      <c r="AG2" s="11"/>
      <c r="AH2" s="11"/>
      <c r="AI2" s="11"/>
      <c r="AJ2" s="11" t="s">
        <v>332</v>
      </c>
      <c r="AK2" s="11" t="s">
        <v>332</v>
      </c>
      <c r="AL2" s="213" t="e">
        <f t="shared" ref="AL2:AL65" si="0">DATEVALUE(TEXT(I2, "yyyy/mm/dd"))</f>
        <v>#VALUE!</v>
      </c>
      <c r="AM2" s="211">
        <f t="shared" ref="AM2:AM65" si="1">DATEVALUE(TEXT(X2, "yyyy/mm/dd"))</f>
        <v>45992</v>
      </c>
    </row>
    <row r="3" spans="1:39" ht="21.6" customHeight="1">
      <c r="A3" s="11">
        <v>3</v>
      </c>
      <c r="B3" s="11" t="s">
        <v>322</v>
      </c>
      <c r="C3" s="11">
        <v>2025120063</v>
      </c>
      <c r="D3" s="11"/>
      <c r="E3" s="11"/>
      <c r="F3" s="11">
        <v>4326</v>
      </c>
      <c r="G3" s="11" t="s">
        <v>333</v>
      </c>
      <c r="H3" s="11" t="s">
        <v>324</v>
      </c>
      <c r="I3" s="11"/>
      <c r="J3" s="11"/>
      <c r="K3" s="11"/>
      <c r="L3" s="11"/>
      <c r="M3" s="12"/>
      <c r="N3" s="11"/>
      <c r="O3" s="12"/>
      <c r="P3" s="13"/>
      <c r="Q3" s="11" t="s">
        <v>334</v>
      </c>
      <c r="R3" s="11" t="s">
        <v>326</v>
      </c>
      <c r="S3" s="11" t="s">
        <v>118</v>
      </c>
      <c r="T3" s="11">
        <v>1</v>
      </c>
      <c r="U3" s="11" t="s">
        <v>327</v>
      </c>
      <c r="V3" s="11" t="s">
        <v>335</v>
      </c>
      <c r="W3" s="11" t="s">
        <v>336</v>
      </c>
      <c r="X3" s="367">
        <v>45992.454861111109</v>
      </c>
      <c r="Y3" s="11"/>
      <c r="Z3" s="11">
        <v>0.4</v>
      </c>
      <c r="AA3" s="11"/>
      <c r="AB3" s="11" t="s">
        <v>330</v>
      </c>
      <c r="AC3" s="212" t="s">
        <v>331</v>
      </c>
      <c r="AD3" s="11" t="s">
        <v>332</v>
      </c>
      <c r="AE3" s="11"/>
      <c r="AF3" s="11"/>
      <c r="AG3" s="11"/>
      <c r="AH3" s="11"/>
      <c r="AI3" s="11"/>
      <c r="AJ3" s="11" t="s">
        <v>332</v>
      </c>
      <c r="AK3" s="11" t="s">
        <v>332</v>
      </c>
      <c r="AL3" s="213" t="e">
        <f t="shared" si="0"/>
        <v>#VALUE!</v>
      </c>
      <c r="AM3" s="211">
        <f t="shared" si="1"/>
        <v>45992</v>
      </c>
    </row>
    <row r="4" spans="1:39" ht="21.6" customHeight="1">
      <c r="A4" s="11">
        <v>4</v>
      </c>
      <c r="B4" s="11" t="s">
        <v>322</v>
      </c>
      <c r="C4" s="11">
        <v>2025120069</v>
      </c>
      <c r="D4" s="11"/>
      <c r="E4" s="11"/>
      <c r="F4" s="11" t="s">
        <v>46</v>
      </c>
      <c r="G4" s="11" t="s">
        <v>337</v>
      </c>
      <c r="H4" s="11" t="s">
        <v>324</v>
      </c>
      <c r="I4" s="11"/>
      <c r="J4" s="11"/>
      <c r="K4" s="11"/>
      <c r="L4" s="11"/>
      <c r="M4" s="12"/>
      <c r="N4" s="11"/>
      <c r="O4" s="12"/>
      <c r="P4" s="13"/>
      <c r="Q4" s="11" t="s">
        <v>338</v>
      </c>
      <c r="R4" s="11" t="s">
        <v>326</v>
      </c>
      <c r="S4" s="11" t="s">
        <v>118</v>
      </c>
      <c r="T4" s="11">
        <v>1</v>
      </c>
      <c r="U4" s="11" t="s">
        <v>327</v>
      </c>
      <c r="V4" s="11" t="s">
        <v>339</v>
      </c>
      <c r="W4" s="11" t="s">
        <v>340</v>
      </c>
      <c r="X4" s="367">
        <v>45992.465277777781</v>
      </c>
      <c r="Y4" s="11"/>
      <c r="Z4" s="11">
        <v>0.3</v>
      </c>
      <c r="AA4" s="11"/>
      <c r="AB4" s="11" t="s">
        <v>330</v>
      </c>
      <c r="AC4" s="212" t="s">
        <v>341</v>
      </c>
      <c r="AD4" s="11" t="s">
        <v>332</v>
      </c>
      <c r="AE4" s="11"/>
      <c r="AF4" s="11"/>
      <c r="AG4" s="11"/>
      <c r="AH4" s="11"/>
      <c r="AI4" s="11"/>
      <c r="AJ4" s="11" t="s">
        <v>332</v>
      </c>
      <c r="AK4" s="11" t="s">
        <v>332</v>
      </c>
      <c r="AL4" s="213" t="e">
        <f t="shared" si="0"/>
        <v>#VALUE!</v>
      </c>
      <c r="AM4" s="211">
        <f t="shared" si="1"/>
        <v>45992</v>
      </c>
    </row>
    <row r="5" spans="1:39" ht="21.6" customHeight="1">
      <c r="A5" s="11">
        <v>5</v>
      </c>
      <c r="B5" s="11" t="s">
        <v>322</v>
      </c>
      <c r="C5" s="11">
        <v>2025120073</v>
      </c>
      <c r="D5" s="11"/>
      <c r="E5" s="11"/>
      <c r="F5" s="11" t="s">
        <v>49</v>
      </c>
      <c r="G5" s="11" t="s">
        <v>342</v>
      </c>
      <c r="H5" s="11" t="s">
        <v>324</v>
      </c>
      <c r="I5" s="11"/>
      <c r="J5" s="11"/>
      <c r="K5" s="11"/>
      <c r="L5" s="11"/>
      <c r="M5" s="12"/>
      <c r="N5" s="11"/>
      <c r="O5" s="12"/>
      <c r="P5" s="13"/>
      <c r="Q5" s="11" t="s">
        <v>343</v>
      </c>
      <c r="R5" s="11" t="s">
        <v>326</v>
      </c>
      <c r="S5" s="11" t="s">
        <v>118</v>
      </c>
      <c r="T5" s="11">
        <v>1</v>
      </c>
      <c r="U5" s="11" t="s">
        <v>327</v>
      </c>
      <c r="V5" s="11" t="s">
        <v>344</v>
      </c>
      <c r="W5" s="11" t="s">
        <v>345</v>
      </c>
      <c r="X5" s="367">
        <v>45992.479166666657</v>
      </c>
      <c r="Y5" s="11"/>
      <c r="Z5" s="11">
        <v>0.3</v>
      </c>
      <c r="AA5" s="11"/>
      <c r="AB5" s="11" t="s">
        <v>330</v>
      </c>
      <c r="AC5" s="212" t="s">
        <v>341</v>
      </c>
      <c r="AD5" s="11" t="s">
        <v>332</v>
      </c>
      <c r="AE5" s="11"/>
      <c r="AF5" s="11"/>
      <c r="AG5" s="11"/>
      <c r="AH5" s="11"/>
      <c r="AI5" s="11"/>
      <c r="AJ5" s="11" t="s">
        <v>332</v>
      </c>
      <c r="AK5" s="11" t="s">
        <v>332</v>
      </c>
      <c r="AL5" s="213" t="e">
        <f t="shared" si="0"/>
        <v>#VALUE!</v>
      </c>
      <c r="AM5" s="211">
        <f t="shared" si="1"/>
        <v>45992</v>
      </c>
    </row>
    <row r="6" spans="1:39" ht="21.6" customHeight="1">
      <c r="A6" s="11">
        <v>6</v>
      </c>
      <c r="B6" s="11" t="s">
        <v>322</v>
      </c>
      <c r="C6" s="11">
        <v>2025120077</v>
      </c>
      <c r="D6" s="11"/>
      <c r="E6" s="11"/>
      <c r="F6" s="11">
        <v>4538</v>
      </c>
      <c r="G6" s="11" t="s">
        <v>346</v>
      </c>
      <c r="H6" s="11" t="s">
        <v>324</v>
      </c>
      <c r="I6" s="11"/>
      <c r="J6" s="11"/>
      <c r="K6" s="11"/>
      <c r="L6" s="11"/>
      <c r="M6" s="12"/>
      <c r="N6" s="11"/>
      <c r="O6" s="12"/>
      <c r="P6" s="13"/>
      <c r="Q6" s="11" t="s">
        <v>347</v>
      </c>
      <c r="R6" s="11" t="s">
        <v>326</v>
      </c>
      <c r="S6" s="11" t="s">
        <v>118</v>
      </c>
      <c r="T6" s="11">
        <v>1</v>
      </c>
      <c r="U6" s="11" t="s">
        <v>327</v>
      </c>
      <c r="V6" s="11" t="s">
        <v>348</v>
      </c>
      <c r="W6" s="11" t="s">
        <v>349</v>
      </c>
      <c r="X6" s="367">
        <v>45992.496527777781</v>
      </c>
      <c r="Y6" s="11"/>
      <c r="Z6" s="11">
        <v>0.4</v>
      </c>
      <c r="AA6" s="11"/>
      <c r="AB6" s="11" t="s">
        <v>330</v>
      </c>
      <c r="AC6" s="212" t="s">
        <v>331</v>
      </c>
      <c r="AD6" s="11" t="s">
        <v>332</v>
      </c>
      <c r="AE6" s="11"/>
      <c r="AF6" s="11"/>
      <c r="AG6" s="11"/>
      <c r="AH6" s="11"/>
      <c r="AI6" s="11"/>
      <c r="AJ6" s="11" t="s">
        <v>332</v>
      </c>
      <c r="AK6" s="11" t="s">
        <v>332</v>
      </c>
      <c r="AL6" s="213" t="e">
        <f t="shared" si="0"/>
        <v>#VALUE!</v>
      </c>
      <c r="AM6" s="211">
        <f t="shared" si="1"/>
        <v>45992</v>
      </c>
    </row>
    <row r="7" spans="1:39" ht="21.6" customHeight="1">
      <c r="A7" s="11">
        <v>7</v>
      </c>
      <c r="B7" s="11" t="s">
        <v>322</v>
      </c>
      <c r="C7" s="11">
        <v>2025120099</v>
      </c>
      <c r="D7" s="11"/>
      <c r="E7" s="11"/>
      <c r="F7" s="11">
        <v>4057</v>
      </c>
      <c r="G7" s="11" t="s">
        <v>350</v>
      </c>
      <c r="H7" s="11" t="s">
        <v>324</v>
      </c>
      <c r="I7" s="11"/>
      <c r="J7" s="11"/>
      <c r="K7" s="11"/>
      <c r="L7" s="11"/>
      <c r="M7" s="12"/>
      <c r="N7" s="11"/>
      <c r="O7" s="12"/>
      <c r="P7" s="13"/>
      <c r="Q7" s="11" t="s">
        <v>351</v>
      </c>
      <c r="R7" s="11" t="s">
        <v>326</v>
      </c>
      <c r="S7" s="11" t="s">
        <v>118</v>
      </c>
      <c r="T7" s="11">
        <v>1</v>
      </c>
      <c r="U7" s="11" t="s">
        <v>327</v>
      </c>
      <c r="V7" s="11" t="s">
        <v>352</v>
      </c>
      <c r="W7" s="11" t="s">
        <v>353</v>
      </c>
      <c r="X7" s="367">
        <v>45992.5625</v>
      </c>
      <c r="Y7" s="11"/>
      <c r="Z7" s="11">
        <v>0.5</v>
      </c>
      <c r="AA7" s="11"/>
      <c r="AB7" s="11" t="s">
        <v>330</v>
      </c>
      <c r="AC7" s="212" t="s">
        <v>331</v>
      </c>
      <c r="AD7" s="11" t="s">
        <v>332</v>
      </c>
      <c r="AE7" s="11"/>
      <c r="AF7" s="11"/>
      <c r="AG7" s="11"/>
      <c r="AH7" s="11"/>
      <c r="AI7" s="11"/>
      <c r="AJ7" s="11" t="s">
        <v>332</v>
      </c>
      <c r="AK7" s="11" t="s">
        <v>332</v>
      </c>
      <c r="AL7" s="213" t="e">
        <f t="shared" si="0"/>
        <v>#VALUE!</v>
      </c>
      <c r="AM7" s="211">
        <f t="shared" si="1"/>
        <v>45992</v>
      </c>
    </row>
    <row r="8" spans="1:39" ht="21.6" customHeight="1">
      <c r="A8" s="11">
        <v>8</v>
      </c>
      <c r="B8" s="11" t="s">
        <v>322</v>
      </c>
      <c r="C8" s="11">
        <v>2025120102</v>
      </c>
      <c r="D8" s="11"/>
      <c r="E8" s="11"/>
      <c r="F8" s="11">
        <v>3878</v>
      </c>
      <c r="G8" s="11" t="s">
        <v>354</v>
      </c>
      <c r="H8" s="11" t="s">
        <v>324</v>
      </c>
      <c r="I8" s="11"/>
      <c r="J8" s="11"/>
      <c r="K8" s="11"/>
      <c r="L8" s="11"/>
      <c r="M8" s="12"/>
      <c r="N8" s="11"/>
      <c r="O8" s="12"/>
      <c r="P8" s="13"/>
      <c r="Q8" s="11" t="s">
        <v>355</v>
      </c>
      <c r="R8" s="11" t="s">
        <v>326</v>
      </c>
      <c r="S8" s="11" t="s">
        <v>118</v>
      </c>
      <c r="T8" s="11">
        <v>1</v>
      </c>
      <c r="U8" s="11" t="s">
        <v>327</v>
      </c>
      <c r="V8" s="11" t="s">
        <v>356</v>
      </c>
      <c r="W8" s="11" t="s">
        <v>357</v>
      </c>
      <c r="X8" s="367">
        <v>45992.576388888891</v>
      </c>
      <c r="Y8" s="11"/>
      <c r="Z8" s="11">
        <v>0.3</v>
      </c>
      <c r="AA8" s="11"/>
      <c r="AB8" s="11" t="s">
        <v>330</v>
      </c>
      <c r="AC8" s="212" t="s">
        <v>331</v>
      </c>
      <c r="AD8" s="11" t="s">
        <v>332</v>
      </c>
      <c r="AE8" s="11"/>
      <c r="AF8" s="11"/>
      <c r="AG8" s="11"/>
      <c r="AH8" s="11"/>
      <c r="AI8" s="11"/>
      <c r="AJ8" s="11" t="s">
        <v>332</v>
      </c>
      <c r="AK8" s="11" t="s">
        <v>332</v>
      </c>
      <c r="AL8" s="213" t="e">
        <f t="shared" si="0"/>
        <v>#VALUE!</v>
      </c>
      <c r="AM8" s="211">
        <f t="shared" si="1"/>
        <v>45992</v>
      </c>
    </row>
    <row r="9" spans="1:39" ht="21.6" customHeight="1">
      <c r="A9" s="11">
        <v>9</v>
      </c>
      <c r="B9" s="11" t="s">
        <v>322</v>
      </c>
      <c r="C9" s="11">
        <v>2025120404</v>
      </c>
      <c r="D9" s="11"/>
      <c r="E9" s="11"/>
      <c r="F9" s="11">
        <v>5410</v>
      </c>
      <c r="G9" s="11" t="s">
        <v>184</v>
      </c>
      <c r="H9" s="11" t="s">
        <v>358</v>
      </c>
      <c r="I9" s="11"/>
      <c r="J9" s="11"/>
      <c r="K9" s="11"/>
      <c r="L9" s="11"/>
      <c r="M9" s="12"/>
      <c r="N9" s="11"/>
      <c r="O9" s="12"/>
      <c r="P9" s="13"/>
      <c r="Q9" s="11" t="s">
        <v>359</v>
      </c>
      <c r="R9" s="11" t="s">
        <v>326</v>
      </c>
      <c r="S9" s="11" t="s">
        <v>123</v>
      </c>
      <c r="T9" s="11">
        <v>1</v>
      </c>
      <c r="U9" s="11" t="s">
        <v>327</v>
      </c>
      <c r="V9" s="11" t="s">
        <v>360</v>
      </c>
      <c r="W9" s="11" t="s">
        <v>361</v>
      </c>
      <c r="X9" s="367">
        <v>45993.5625</v>
      </c>
      <c r="Y9" s="11"/>
      <c r="Z9" s="11">
        <v>2.5</v>
      </c>
      <c r="AA9" s="11"/>
      <c r="AB9" s="11" t="s">
        <v>330</v>
      </c>
      <c r="AC9" s="212" t="s">
        <v>362</v>
      </c>
      <c r="AD9" s="11"/>
      <c r="AE9" s="11" t="s">
        <v>332</v>
      </c>
      <c r="AF9" s="11"/>
      <c r="AG9" s="11"/>
      <c r="AH9" s="11"/>
      <c r="AI9" s="11"/>
      <c r="AJ9" s="11"/>
      <c r="AK9" s="11" t="s">
        <v>332</v>
      </c>
      <c r="AL9" s="213" t="e">
        <f t="shared" si="0"/>
        <v>#VALUE!</v>
      </c>
      <c r="AM9" s="211">
        <f t="shared" si="1"/>
        <v>45993</v>
      </c>
    </row>
    <row r="10" spans="1:39" ht="21.6" customHeight="1">
      <c r="A10" s="11">
        <v>10</v>
      </c>
      <c r="B10" s="11" t="s">
        <v>363</v>
      </c>
      <c r="C10" s="11">
        <v>2025120415</v>
      </c>
      <c r="D10" s="11" t="s">
        <v>364</v>
      </c>
      <c r="E10" s="11" t="s">
        <v>365</v>
      </c>
      <c r="F10" s="11" t="s">
        <v>57</v>
      </c>
      <c r="G10" s="11" t="s">
        <v>366</v>
      </c>
      <c r="H10" s="11" t="s">
        <v>358</v>
      </c>
      <c r="I10" s="11" t="s">
        <v>367</v>
      </c>
      <c r="J10" s="11" t="s">
        <v>368</v>
      </c>
      <c r="K10" s="11" t="s">
        <v>200</v>
      </c>
      <c r="L10" s="11" t="s">
        <v>369</v>
      </c>
      <c r="M10" s="12" t="s">
        <v>370</v>
      </c>
      <c r="N10" s="11">
        <v>2304</v>
      </c>
      <c r="O10" s="12" t="s">
        <v>371</v>
      </c>
      <c r="P10" s="13" t="s">
        <v>372</v>
      </c>
      <c r="Q10" s="11" t="s">
        <v>373</v>
      </c>
      <c r="R10" s="11" t="s">
        <v>326</v>
      </c>
      <c r="S10" s="11" t="s">
        <v>123</v>
      </c>
      <c r="T10" s="11">
        <v>1</v>
      </c>
      <c r="U10" s="11" t="s">
        <v>327</v>
      </c>
      <c r="V10" s="11" t="s">
        <v>374</v>
      </c>
      <c r="W10" s="11" t="s">
        <v>375</v>
      </c>
      <c r="X10" s="367">
        <v>45993.642361111109</v>
      </c>
      <c r="Y10" s="11" t="s">
        <v>376</v>
      </c>
      <c r="Z10" s="11">
        <v>0.5</v>
      </c>
      <c r="AA10" s="11"/>
      <c r="AB10" s="11" t="s">
        <v>330</v>
      </c>
      <c r="AC10" s="212" t="s">
        <v>377</v>
      </c>
      <c r="AD10" s="11"/>
      <c r="AE10" s="11"/>
      <c r="AF10" s="11"/>
      <c r="AG10" s="11"/>
      <c r="AH10" s="11"/>
      <c r="AI10" s="11"/>
      <c r="AJ10" s="11"/>
      <c r="AK10" s="11" t="s">
        <v>332</v>
      </c>
      <c r="AL10" s="213">
        <f t="shared" si="0"/>
        <v>45993</v>
      </c>
      <c r="AM10" s="211">
        <f t="shared" si="1"/>
        <v>45993</v>
      </c>
    </row>
    <row r="11" spans="1:39" ht="21.6" customHeight="1">
      <c r="A11" s="11">
        <v>11</v>
      </c>
      <c r="B11" s="11" t="s">
        <v>322</v>
      </c>
      <c r="C11" s="11">
        <v>2025120430</v>
      </c>
      <c r="D11" s="11"/>
      <c r="E11" s="11"/>
      <c r="F11" s="11" t="s">
        <v>57</v>
      </c>
      <c r="G11" s="11" t="s">
        <v>366</v>
      </c>
      <c r="H11" s="11" t="s">
        <v>358</v>
      </c>
      <c r="I11" s="11"/>
      <c r="J11" s="11"/>
      <c r="K11" s="11"/>
      <c r="L11" s="11"/>
      <c r="M11" s="12"/>
      <c r="N11" s="11"/>
      <c r="O11" s="12"/>
      <c r="P11" s="13"/>
      <c r="Q11" s="11" t="s">
        <v>373</v>
      </c>
      <c r="R11" s="11" t="s">
        <v>326</v>
      </c>
      <c r="S11" s="11" t="s">
        <v>123</v>
      </c>
      <c r="T11" s="11">
        <v>1</v>
      </c>
      <c r="U11" s="11" t="s">
        <v>327</v>
      </c>
      <c r="V11" s="11" t="s">
        <v>378</v>
      </c>
      <c r="W11" s="11" t="s">
        <v>379</v>
      </c>
      <c r="X11" s="367">
        <v>45993.621527777781</v>
      </c>
      <c r="Y11" s="11"/>
      <c r="Z11" s="11">
        <v>0.4</v>
      </c>
      <c r="AA11" s="11"/>
      <c r="AB11" s="11" t="s">
        <v>330</v>
      </c>
      <c r="AC11" s="212" t="s">
        <v>102</v>
      </c>
      <c r="AD11" s="11"/>
      <c r="AE11" s="11"/>
      <c r="AF11" s="11"/>
      <c r="AG11" s="11"/>
      <c r="AH11" s="11"/>
      <c r="AI11" s="11"/>
      <c r="AJ11" s="11" t="s">
        <v>332</v>
      </c>
      <c r="AK11" s="11" t="s">
        <v>332</v>
      </c>
      <c r="AL11" s="213" t="e">
        <f t="shared" si="0"/>
        <v>#VALUE!</v>
      </c>
      <c r="AM11" s="211">
        <f t="shared" si="1"/>
        <v>45993</v>
      </c>
    </row>
    <row r="12" spans="1:39" ht="21.6" customHeight="1">
      <c r="A12" s="11">
        <v>12</v>
      </c>
      <c r="B12" s="11" t="s">
        <v>363</v>
      </c>
      <c r="C12" s="11">
        <v>2025120542</v>
      </c>
      <c r="D12" s="11" t="s">
        <v>380</v>
      </c>
      <c r="E12" s="11" t="s">
        <v>365</v>
      </c>
      <c r="F12" s="11">
        <v>3796</v>
      </c>
      <c r="G12" s="11" t="s">
        <v>381</v>
      </c>
      <c r="H12" s="11" t="s">
        <v>358</v>
      </c>
      <c r="I12" s="11" t="s">
        <v>382</v>
      </c>
      <c r="J12" s="11" t="s">
        <v>383</v>
      </c>
      <c r="K12" s="11" t="s">
        <v>384</v>
      </c>
      <c r="L12" s="11" t="s">
        <v>369</v>
      </c>
      <c r="M12" s="12" t="s">
        <v>370</v>
      </c>
      <c r="N12" s="11">
        <v>2307</v>
      </c>
      <c r="O12" s="12" t="s">
        <v>385</v>
      </c>
      <c r="P12" s="13" t="s">
        <v>386</v>
      </c>
      <c r="Q12" s="11" t="s">
        <v>387</v>
      </c>
      <c r="R12" s="11" t="s">
        <v>326</v>
      </c>
      <c r="S12" s="11" t="s">
        <v>123</v>
      </c>
      <c r="T12" s="11">
        <v>1</v>
      </c>
      <c r="U12" s="11" t="s">
        <v>327</v>
      </c>
      <c r="V12" s="11" t="s">
        <v>388</v>
      </c>
      <c r="W12" s="11" t="s">
        <v>389</v>
      </c>
      <c r="X12" s="367">
        <v>45994.444444444453</v>
      </c>
      <c r="Y12" s="11" t="s">
        <v>390</v>
      </c>
      <c r="Z12" s="11">
        <v>0.7</v>
      </c>
      <c r="AA12" s="11"/>
      <c r="AB12" s="11" t="s">
        <v>330</v>
      </c>
      <c r="AC12" s="212" t="s">
        <v>391</v>
      </c>
      <c r="AD12" s="11"/>
      <c r="AE12" s="11"/>
      <c r="AF12" s="11"/>
      <c r="AG12" s="11"/>
      <c r="AH12" s="11"/>
      <c r="AI12" s="11"/>
      <c r="AJ12" s="11"/>
      <c r="AK12" s="11" t="s">
        <v>332</v>
      </c>
      <c r="AL12" s="213">
        <f t="shared" si="0"/>
        <v>45994</v>
      </c>
      <c r="AM12" s="211">
        <f t="shared" si="1"/>
        <v>45994</v>
      </c>
    </row>
    <row r="13" spans="1:39" ht="21.6" customHeight="1">
      <c r="A13" s="11">
        <v>13</v>
      </c>
      <c r="B13" s="11" t="s">
        <v>322</v>
      </c>
      <c r="C13" s="11">
        <v>2025120595</v>
      </c>
      <c r="D13" s="11"/>
      <c r="E13" s="11"/>
      <c r="F13" s="11">
        <v>3796</v>
      </c>
      <c r="G13" s="11" t="s">
        <v>381</v>
      </c>
      <c r="H13" s="11" t="s">
        <v>358</v>
      </c>
      <c r="I13" s="11"/>
      <c r="J13" s="11"/>
      <c r="K13" s="11"/>
      <c r="L13" s="11"/>
      <c r="M13" s="12"/>
      <c r="N13" s="11"/>
      <c r="O13" s="12"/>
      <c r="P13" s="13"/>
      <c r="Q13" s="11" t="s">
        <v>387</v>
      </c>
      <c r="R13" s="11" t="s">
        <v>326</v>
      </c>
      <c r="S13" s="11" t="s">
        <v>123</v>
      </c>
      <c r="T13" s="11">
        <v>1</v>
      </c>
      <c r="U13" s="11" t="s">
        <v>327</v>
      </c>
      <c r="V13" s="11" t="s">
        <v>392</v>
      </c>
      <c r="W13" s="11" t="s">
        <v>393</v>
      </c>
      <c r="X13" s="367">
        <v>45994.465277777781</v>
      </c>
      <c r="Y13" s="11"/>
      <c r="Z13" s="11">
        <v>0.3</v>
      </c>
      <c r="AA13" s="11"/>
      <c r="AB13" s="11" t="s">
        <v>330</v>
      </c>
      <c r="AC13" s="212" t="s">
        <v>331</v>
      </c>
      <c r="AD13" s="11" t="s">
        <v>332</v>
      </c>
      <c r="AE13" s="11"/>
      <c r="AF13" s="11"/>
      <c r="AG13" s="11"/>
      <c r="AH13" s="11"/>
      <c r="AI13" s="11"/>
      <c r="AJ13" s="11"/>
      <c r="AK13" s="11" t="s">
        <v>332</v>
      </c>
      <c r="AL13" s="213" t="e">
        <f t="shared" si="0"/>
        <v>#VALUE!</v>
      </c>
      <c r="AM13" s="211">
        <f t="shared" si="1"/>
        <v>45994</v>
      </c>
    </row>
    <row r="14" spans="1:39" ht="21.6" customHeight="1">
      <c r="A14" s="11">
        <v>14</v>
      </c>
      <c r="B14" s="11" t="s">
        <v>363</v>
      </c>
      <c r="C14" s="11">
        <v>2025120682</v>
      </c>
      <c r="D14" s="11" t="s">
        <v>394</v>
      </c>
      <c r="E14" s="11" t="s">
        <v>365</v>
      </c>
      <c r="F14" s="11" t="s">
        <v>73</v>
      </c>
      <c r="G14" s="11" t="s">
        <v>395</v>
      </c>
      <c r="H14" s="11" t="s">
        <v>396</v>
      </c>
      <c r="I14" s="11" t="s">
        <v>397</v>
      </c>
      <c r="J14" s="11" t="s">
        <v>383</v>
      </c>
      <c r="K14" s="11" t="s">
        <v>200</v>
      </c>
      <c r="L14" s="11" t="s">
        <v>398</v>
      </c>
      <c r="M14" s="12" t="s">
        <v>399</v>
      </c>
      <c r="N14" s="11" t="s">
        <v>400</v>
      </c>
      <c r="O14" s="12" t="s">
        <v>401</v>
      </c>
      <c r="P14" s="13" t="s">
        <v>402</v>
      </c>
      <c r="Q14" s="11" t="s">
        <v>403</v>
      </c>
      <c r="R14" s="11" t="s">
        <v>326</v>
      </c>
      <c r="S14" s="11" t="s">
        <v>134</v>
      </c>
      <c r="T14" s="11">
        <v>1</v>
      </c>
      <c r="U14" s="11" t="s">
        <v>327</v>
      </c>
      <c r="V14" s="11" t="s">
        <v>404</v>
      </c>
      <c r="W14" s="11" t="s">
        <v>405</v>
      </c>
      <c r="X14" s="367">
        <v>45995.642361111109</v>
      </c>
      <c r="Y14" s="11" t="s">
        <v>406</v>
      </c>
      <c r="Z14" s="11">
        <v>0.4</v>
      </c>
      <c r="AA14" s="11"/>
      <c r="AB14" s="11" t="s">
        <v>330</v>
      </c>
      <c r="AC14" s="212" t="s">
        <v>407</v>
      </c>
      <c r="AD14" s="11"/>
      <c r="AE14" s="11"/>
      <c r="AF14" s="11"/>
      <c r="AG14" s="11"/>
      <c r="AH14" s="11"/>
      <c r="AI14" s="11"/>
      <c r="AJ14" s="11"/>
      <c r="AK14" s="11" t="s">
        <v>332</v>
      </c>
      <c r="AL14" s="213">
        <f t="shared" si="0"/>
        <v>45994</v>
      </c>
      <c r="AM14" s="211">
        <f t="shared" si="1"/>
        <v>45995</v>
      </c>
    </row>
    <row r="15" spans="1:39" ht="21.6" customHeight="1">
      <c r="A15" s="11">
        <v>15</v>
      </c>
      <c r="B15" s="11" t="s">
        <v>363</v>
      </c>
      <c r="C15" s="11">
        <v>2025120703</v>
      </c>
      <c r="D15" s="11" t="s">
        <v>408</v>
      </c>
      <c r="E15" s="11" t="s">
        <v>365</v>
      </c>
      <c r="F15" s="11">
        <v>5410</v>
      </c>
      <c r="G15" s="11" t="s">
        <v>184</v>
      </c>
      <c r="H15" s="11" t="s">
        <v>358</v>
      </c>
      <c r="I15" s="11" t="s">
        <v>409</v>
      </c>
      <c r="J15" s="11" t="s">
        <v>383</v>
      </c>
      <c r="K15" s="11" t="s">
        <v>200</v>
      </c>
      <c r="L15" s="11" t="s">
        <v>369</v>
      </c>
      <c r="M15" s="12" t="s">
        <v>370</v>
      </c>
      <c r="N15" s="11">
        <v>2305</v>
      </c>
      <c r="O15" s="12" t="s">
        <v>410</v>
      </c>
      <c r="P15" s="13" t="s">
        <v>411</v>
      </c>
      <c r="Q15" s="11" t="s">
        <v>359</v>
      </c>
      <c r="R15" s="11" t="s">
        <v>326</v>
      </c>
      <c r="S15" s="11" t="s">
        <v>123</v>
      </c>
      <c r="T15" s="11">
        <v>1</v>
      </c>
      <c r="U15" s="11" t="s">
        <v>327</v>
      </c>
      <c r="V15" s="11" t="s">
        <v>412</v>
      </c>
      <c r="W15" s="11" t="s">
        <v>413</v>
      </c>
      <c r="X15" s="367">
        <v>45995.614583333343</v>
      </c>
      <c r="Y15" s="11" t="s">
        <v>414</v>
      </c>
      <c r="Z15" s="11">
        <v>0.4</v>
      </c>
      <c r="AA15" s="11"/>
      <c r="AB15" s="11" t="s">
        <v>330</v>
      </c>
      <c r="AC15" s="212" t="s">
        <v>415</v>
      </c>
      <c r="AD15" s="11"/>
      <c r="AE15" s="11"/>
      <c r="AF15" s="11"/>
      <c r="AG15" s="11"/>
      <c r="AH15" s="11"/>
      <c r="AI15" s="11"/>
      <c r="AJ15" s="11"/>
      <c r="AK15" s="11" t="s">
        <v>332</v>
      </c>
      <c r="AL15" s="213">
        <f t="shared" si="0"/>
        <v>45994</v>
      </c>
      <c r="AM15" s="211">
        <f t="shared" si="1"/>
        <v>45995</v>
      </c>
    </row>
    <row r="16" spans="1:39" ht="21.6" customHeight="1">
      <c r="A16" s="11">
        <v>16</v>
      </c>
      <c r="B16" s="11" t="s">
        <v>322</v>
      </c>
      <c r="C16" s="11">
        <v>2025120859</v>
      </c>
      <c r="D16" s="11"/>
      <c r="E16" s="11"/>
      <c r="F16" s="11">
        <v>4083</v>
      </c>
      <c r="G16" s="11" t="s">
        <v>182</v>
      </c>
      <c r="H16" s="11" t="s">
        <v>358</v>
      </c>
      <c r="I16" s="11"/>
      <c r="J16" s="11"/>
      <c r="K16" s="11"/>
      <c r="L16" s="11"/>
      <c r="M16" s="12"/>
      <c r="N16" s="11"/>
      <c r="O16" s="12"/>
      <c r="P16" s="13"/>
      <c r="Q16" s="11" t="s">
        <v>416</v>
      </c>
      <c r="R16" s="11" t="s">
        <v>326</v>
      </c>
      <c r="S16" s="11" t="s">
        <v>123</v>
      </c>
      <c r="T16" s="11">
        <v>1</v>
      </c>
      <c r="U16" s="11" t="s">
        <v>327</v>
      </c>
      <c r="V16" s="11" t="s">
        <v>417</v>
      </c>
      <c r="W16" s="11" t="s">
        <v>418</v>
      </c>
      <c r="X16" s="367">
        <v>45995.548611111109</v>
      </c>
      <c r="Y16" s="11"/>
      <c r="Z16" s="11">
        <v>2.2000000000000002</v>
      </c>
      <c r="AA16" s="11"/>
      <c r="AB16" s="11" t="s">
        <v>330</v>
      </c>
      <c r="AC16" s="212" t="s">
        <v>419</v>
      </c>
      <c r="AD16" s="11"/>
      <c r="AE16" s="11" t="s">
        <v>332</v>
      </c>
      <c r="AF16" s="11"/>
      <c r="AG16" s="11"/>
      <c r="AH16" s="11"/>
      <c r="AI16" s="11"/>
      <c r="AJ16" s="11"/>
      <c r="AK16" s="11" t="s">
        <v>332</v>
      </c>
      <c r="AL16" s="213" t="e">
        <f t="shared" si="0"/>
        <v>#VALUE!</v>
      </c>
      <c r="AM16" s="211">
        <f t="shared" si="1"/>
        <v>45995</v>
      </c>
    </row>
    <row r="17" spans="1:39" ht="21.6" customHeight="1">
      <c r="A17" s="11">
        <v>17</v>
      </c>
      <c r="B17" s="11" t="s">
        <v>322</v>
      </c>
      <c r="C17" s="11">
        <v>2025120861</v>
      </c>
      <c r="D17" s="11"/>
      <c r="E17" s="11"/>
      <c r="F17" s="11">
        <v>4083</v>
      </c>
      <c r="G17" s="11" t="s">
        <v>182</v>
      </c>
      <c r="H17" s="11" t="s">
        <v>358</v>
      </c>
      <c r="I17" s="11"/>
      <c r="J17" s="11"/>
      <c r="K17" s="11"/>
      <c r="L17" s="11"/>
      <c r="M17" s="12"/>
      <c r="N17" s="11"/>
      <c r="O17" s="12"/>
      <c r="P17" s="13"/>
      <c r="Q17" s="11" t="s">
        <v>416</v>
      </c>
      <c r="R17" s="11" t="s">
        <v>326</v>
      </c>
      <c r="S17" s="11" t="s">
        <v>123</v>
      </c>
      <c r="T17" s="11">
        <v>1</v>
      </c>
      <c r="U17" s="11" t="s">
        <v>327</v>
      </c>
      <c r="V17" s="11" t="s">
        <v>420</v>
      </c>
      <c r="W17" s="11" t="s">
        <v>421</v>
      </c>
      <c r="X17" s="367">
        <v>45995.576388888891</v>
      </c>
      <c r="Y17" s="11"/>
      <c r="Z17" s="11">
        <v>0.5</v>
      </c>
      <c r="AA17" s="11"/>
      <c r="AB17" s="11" t="s">
        <v>330</v>
      </c>
      <c r="AC17" s="212" t="s">
        <v>331</v>
      </c>
      <c r="AD17" s="11" t="s">
        <v>332</v>
      </c>
      <c r="AE17" s="11"/>
      <c r="AF17" s="11"/>
      <c r="AG17" s="11"/>
      <c r="AH17" s="11"/>
      <c r="AI17" s="11"/>
      <c r="AJ17" s="11"/>
      <c r="AK17" s="11" t="s">
        <v>332</v>
      </c>
      <c r="AL17" s="213" t="e">
        <f t="shared" si="0"/>
        <v>#VALUE!</v>
      </c>
      <c r="AM17" s="211">
        <f t="shared" si="1"/>
        <v>45995</v>
      </c>
    </row>
    <row r="18" spans="1:39" ht="21.6" customHeight="1">
      <c r="A18" s="11">
        <v>18</v>
      </c>
      <c r="B18" s="11" t="s">
        <v>363</v>
      </c>
      <c r="C18" s="11">
        <v>2025120869</v>
      </c>
      <c r="D18" s="11" t="s">
        <v>422</v>
      </c>
      <c r="E18" s="11" t="s">
        <v>365</v>
      </c>
      <c r="F18" s="11">
        <v>5364</v>
      </c>
      <c r="G18" s="11" t="s">
        <v>261</v>
      </c>
      <c r="H18" s="11" t="s">
        <v>324</v>
      </c>
      <c r="I18" s="11" t="s">
        <v>423</v>
      </c>
      <c r="J18" s="11" t="s">
        <v>424</v>
      </c>
      <c r="K18" s="11" t="s">
        <v>200</v>
      </c>
      <c r="L18" s="11" t="s">
        <v>369</v>
      </c>
      <c r="M18" s="12" t="s">
        <v>370</v>
      </c>
      <c r="N18" s="11">
        <v>2306</v>
      </c>
      <c r="O18" s="12" t="s">
        <v>425</v>
      </c>
      <c r="P18" s="13" t="s">
        <v>426</v>
      </c>
      <c r="Q18" s="11" t="s">
        <v>427</v>
      </c>
      <c r="R18" s="11" t="s">
        <v>326</v>
      </c>
      <c r="S18" s="11" t="s">
        <v>118</v>
      </c>
      <c r="T18" s="11">
        <v>1</v>
      </c>
      <c r="U18" s="11" t="s">
        <v>327</v>
      </c>
      <c r="V18" s="11" t="s">
        <v>428</v>
      </c>
      <c r="W18" s="11" t="s">
        <v>405</v>
      </c>
      <c r="X18" s="367">
        <v>45995.666666666657</v>
      </c>
      <c r="Y18" s="11" t="s">
        <v>429</v>
      </c>
      <c r="Z18" s="11">
        <v>1</v>
      </c>
      <c r="AA18" s="11"/>
      <c r="AB18" s="11" t="s">
        <v>330</v>
      </c>
      <c r="AC18" s="212" t="s">
        <v>430</v>
      </c>
      <c r="AD18" s="11"/>
      <c r="AE18" s="11"/>
      <c r="AF18" s="11"/>
      <c r="AG18" s="11"/>
      <c r="AH18" s="11"/>
      <c r="AI18" s="11"/>
      <c r="AJ18" s="11"/>
      <c r="AK18" s="11" t="s">
        <v>332</v>
      </c>
      <c r="AL18" s="213">
        <f t="shared" si="0"/>
        <v>45995</v>
      </c>
      <c r="AM18" s="211">
        <f t="shared" si="1"/>
        <v>45995</v>
      </c>
    </row>
    <row r="19" spans="1:39" ht="21.6" customHeight="1">
      <c r="A19" s="11">
        <v>19</v>
      </c>
      <c r="B19" s="11" t="s">
        <v>322</v>
      </c>
      <c r="C19" s="11">
        <v>2025121151</v>
      </c>
      <c r="D19" s="11"/>
      <c r="E19" s="11"/>
      <c r="F19" s="11">
        <v>3811</v>
      </c>
      <c r="G19" s="11" t="s">
        <v>431</v>
      </c>
      <c r="H19" s="11" t="s">
        <v>358</v>
      </c>
      <c r="I19" s="11"/>
      <c r="J19" s="11"/>
      <c r="K19" s="11"/>
      <c r="L19" s="11"/>
      <c r="M19" s="12"/>
      <c r="N19" s="11"/>
      <c r="O19" s="12"/>
      <c r="P19" s="13"/>
      <c r="Q19" s="11" t="s">
        <v>432</v>
      </c>
      <c r="R19" s="11" t="s">
        <v>326</v>
      </c>
      <c r="S19" s="11" t="s">
        <v>123</v>
      </c>
      <c r="T19" s="11">
        <v>1</v>
      </c>
      <c r="U19" s="11" t="s">
        <v>327</v>
      </c>
      <c r="V19" s="11" t="s">
        <v>433</v>
      </c>
      <c r="W19" s="11" t="s">
        <v>434</v>
      </c>
      <c r="X19" s="367">
        <v>45996.555555555547</v>
      </c>
      <c r="Y19" s="11"/>
      <c r="Z19" s="11">
        <v>0.3</v>
      </c>
      <c r="AA19" s="11"/>
      <c r="AB19" s="11" t="s">
        <v>330</v>
      </c>
      <c r="AC19" s="212" t="s">
        <v>331</v>
      </c>
      <c r="AD19" s="11" t="s">
        <v>332</v>
      </c>
      <c r="AE19" s="11"/>
      <c r="AF19" s="11"/>
      <c r="AG19" s="11"/>
      <c r="AH19" s="11"/>
      <c r="AI19" s="11"/>
      <c r="AJ19" s="11"/>
      <c r="AK19" s="11" t="s">
        <v>332</v>
      </c>
      <c r="AL19" s="213" t="e">
        <f t="shared" si="0"/>
        <v>#VALUE!</v>
      </c>
      <c r="AM19" s="211">
        <f t="shared" si="1"/>
        <v>45996</v>
      </c>
    </row>
    <row r="20" spans="1:39" ht="21.6" customHeight="1">
      <c r="A20" s="11">
        <v>20</v>
      </c>
      <c r="B20" s="11" t="s">
        <v>322</v>
      </c>
      <c r="C20" s="11">
        <v>2025121177</v>
      </c>
      <c r="D20" s="11"/>
      <c r="E20" s="11"/>
      <c r="F20" s="11">
        <v>4101</v>
      </c>
      <c r="G20" s="11" t="s">
        <v>435</v>
      </c>
      <c r="H20" s="11" t="s">
        <v>358</v>
      </c>
      <c r="I20" s="11"/>
      <c r="J20" s="11"/>
      <c r="K20" s="11"/>
      <c r="L20" s="11"/>
      <c r="M20" s="12"/>
      <c r="N20" s="11"/>
      <c r="O20" s="12"/>
      <c r="P20" s="13"/>
      <c r="Q20" s="11" t="s">
        <v>436</v>
      </c>
      <c r="R20" s="11" t="s">
        <v>326</v>
      </c>
      <c r="S20" s="11" t="s">
        <v>123</v>
      </c>
      <c r="T20" s="11">
        <v>1</v>
      </c>
      <c r="U20" s="11" t="s">
        <v>327</v>
      </c>
      <c r="V20" s="11" t="s">
        <v>437</v>
      </c>
      <c r="W20" s="11" t="s">
        <v>438</v>
      </c>
      <c r="X20" s="367">
        <v>45996.576388888891</v>
      </c>
      <c r="Y20" s="11"/>
      <c r="Z20" s="11">
        <v>0.3</v>
      </c>
      <c r="AA20" s="11"/>
      <c r="AB20" s="11" t="s">
        <v>330</v>
      </c>
      <c r="AC20" s="212" t="s">
        <v>331</v>
      </c>
      <c r="AD20" s="11" t="s">
        <v>332</v>
      </c>
      <c r="AE20" s="11"/>
      <c r="AF20" s="11"/>
      <c r="AG20" s="11"/>
      <c r="AH20" s="11"/>
      <c r="AI20" s="11"/>
      <c r="AJ20" s="11"/>
      <c r="AK20" s="11" t="s">
        <v>332</v>
      </c>
      <c r="AL20" s="213" t="e">
        <f t="shared" si="0"/>
        <v>#VALUE!</v>
      </c>
      <c r="AM20" s="211">
        <f t="shared" si="1"/>
        <v>45996</v>
      </c>
    </row>
    <row r="21" spans="1:39" ht="21.6" customHeight="1">
      <c r="A21" s="11">
        <v>21</v>
      </c>
      <c r="B21" s="11" t="s">
        <v>322</v>
      </c>
      <c r="C21" s="11">
        <v>2025121185</v>
      </c>
      <c r="D21" s="11"/>
      <c r="E21" s="11"/>
      <c r="F21" s="11" t="s">
        <v>53</v>
      </c>
      <c r="G21" s="11" t="s">
        <v>439</v>
      </c>
      <c r="H21" s="11" t="s">
        <v>358</v>
      </c>
      <c r="I21" s="11"/>
      <c r="J21" s="11"/>
      <c r="K21" s="11"/>
      <c r="L21" s="11"/>
      <c r="M21" s="12"/>
      <c r="N21" s="11"/>
      <c r="O21" s="12"/>
      <c r="P21" s="13"/>
      <c r="Q21" s="11" t="s">
        <v>440</v>
      </c>
      <c r="R21" s="11" t="s">
        <v>326</v>
      </c>
      <c r="S21" s="11" t="s">
        <v>123</v>
      </c>
      <c r="T21" s="11">
        <v>1</v>
      </c>
      <c r="U21" s="11" t="s">
        <v>327</v>
      </c>
      <c r="V21" s="11" t="s">
        <v>441</v>
      </c>
      <c r="W21" s="11" t="s">
        <v>442</v>
      </c>
      <c r="X21" s="367">
        <v>45996.618055555547</v>
      </c>
      <c r="Y21" s="11"/>
      <c r="Z21" s="11">
        <v>0.3</v>
      </c>
      <c r="AA21" s="11"/>
      <c r="AB21" s="11" t="s">
        <v>330</v>
      </c>
      <c r="AC21" s="212" t="s">
        <v>331</v>
      </c>
      <c r="AD21" s="11" t="s">
        <v>332</v>
      </c>
      <c r="AE21" s="11"/>
      <c r="AF21" s="11"/>
      <c r="AG21" s="11"/>
      <c r="AH21" s="11"/>
      <c r="AI21" s="11"/>
      <c r="AJ21" s="11"/>
      <c r="AK21" s="11" t="s">
        <v>332</v>
      </c>
      <c r="AL21" s="213" t="e">
        <f t="shared" si="0"/>
        <v>#VALUE!</v>
      </c>
      <c r="AM21" s="211">
        <f t="shared" si="1"/>
        <v>45996</v>
      </c>
    </row>
    <row r="22" spans="1:39" ht="21.6" customHeight="1">
      <c r="A22" s="11">
        <v>19</v>
      </c>
      <c r="B22" s="11" t="s">
        <v>363</v>
      </c>
      <c r="C22" s="11">
        <v>2025121138</v>
      </c>
      <c r="D22" s="11" t="s">
        <v>443</v>
      </c>
      <c r="E22" s="11" t="s">
        <v>365</v>
      </c>
      <c r="F22" s="11" t="s">
        <v>73</v>
      </c>
      <c r="G22" s="11" t="s">
        <v>395</v>
      </c>
      <c r="H22" s="11" t="s">
        <v>396</v>
      </c>
      <c r="I22" s="11" t="s">
        <v>444</v>
      </c>
      <c r="J22" s="11" t="s">
        <v>445</v>
      </c>
      <c r="K22" s="11" t="s">
        <v>446</v>
      </c>
      <c r="L22" s="11" t="s">
        <v>447</v>
      </c>
      <c r="M22" s="12" t="s">
        <v>448</v>
      </c>
      <c r="N22" s="11" t="s">
        <v>449</v>
      </c>
      <c r="O22" s="12" t="s">
        <v>450</v>
      </c>
      <c r="P22" s="13" t="s">
        <v>451</v>
      </c>
      <c r="Q22" s="11" t="s">
        <v>403</v>
      </c>
      <c r="R22" s="11" t="s">
        <v>326</v>
      </c>
      <c r="S22" s="11" t="s">
        <v>134</v>
      </c>
      <c r="T22" s="11">
        <v>1</v>
      </c>
      <c r="U22" s="11" t="s">
        <v>327</v>
      </c>
      <c r="V22" s="11" t="s">
        <v>452</v>
      </c>
      <c r="W22" s="11" t="s">
        <v>453</v>
      </c>
      <c r="X22" s="367">
        <v>45999.570833333331</v>
      </c>
      <c r="Y22" s="11" t="s">
        <v>454</v>
      </c>
      <c r="Z22" s="11">
        <v>0.5</v>
      </c>
      <c r="AA22" s="11"/>
      <c r="AB22" s="11" t="s">
        <v>330</v>
      </c>
      <c r="AC22" s="212" t="s">
        <v>455</v>
      </c>
      <c r="AD22" s="11"/>
      <c r="AE22" s="11"/>
      <c r="AF22" s="11"/>
      <c r="AG22" s="11"/>
      <c r="AH22" s="11"/>
      <c r="AI22" s="11"/>
      <c r="AJ22" s="11"/>
      <c r="AK22" s="11" t="s">
        <v>332</v>
      </c>
      <c r="AL22" s="213">
        <f t="shared" si="0"/>
        <v>45996</v>
      </c>
      <c r="AM22" s="211">
        <f t="shared" si="1"/>
        <v>45999</v>
      </c>
    </row>
    <row r="23" spans="1:39" ht="21.6" customHeight="1">
      <c r="A23" s="11">
        <v>23</v>
      </c>
      <c r="B23" s="11" t="s">
        <v>363</v>
      </c>
      <c r="C23" s="11">
        <v>2025121326</v>
      </c>
      <c r="D23" s="11" t="s">
        <v>456</v>
      </c>
      <c r="E23" s="11" t="s">
        <v>365</v>
      </c>
      <c r="F23" s="11">
        <v>3811</v>
      </c>
      <c r="G23" s="11" t="s">
        <v>431</v>
      </c>
      <c r="H23" s="11" t="s">
        <v>358</v>
      </c>
      <c r="I23" s="11" t="s">
        <v>457</v>
      </c>
      <c r="J23" s="11" t="s">
        <v>458</v>
      </c>
      <c r="K23" s="11" t="s">
        <v>446</v>
      </c>
      <c r="L23" s="11" t="s">
        <v>459</v>
      </c>
      <c r="M23" s="12" t="s">
        <v>460</v>
      </c>
      <c r="N23" s="11" t="s">
        <v>461</v>
      </c>
      <c r="O23" s="12" t="s">
        <v>462</v>
      </c>
      <c r="P23" s="13" t="s">
        <v>463</v>
      </c>
      <c r="Q23" s="11" t="s">
        <v>432</v>
      </c>
      <c r="R23" s="11" t="s">
        <v>326</v>
      </c>
      <c r="S23" s="11" t="s">
        <v>123</v>
      </c>
      <c r="T23" s="11">
        <v>1</v>
      </c>
      <c r="U23" s="11" t="s">
        <v>327</v>
      </c>
      <c r="V23" s="11" t="s">
        <v>464</v>
      </c>
      <c r="W23" s="11" t="s">
        <v>465</v>
      </c>
      <c r="X23" s="367">
        <v>45999.409722222219</v>
      </c>
      <c r="Y23" s="11" t="s">
        <v>466</v>
      </c>
      <c r="Z23" s="11">
        <v>0.3</v>
      </c>
      <c r="AA23" s="11"/>
      <c r="AB23" s="11" t="s">
        <v>330</v>
      </c>
      <c r="AC23" s="212" t="s">
        <v>467</v>
      </c>
      <c r="AD23" s="11"/>
      <c r="AE23" s="11"/>
      <c r="AF23" s="11"/>
      <c r="AG23" s="11"/>
      <c r="AH23" s="11"/>
      <c r="AI23" s="11"/>
      <c r="AJ23" s="11"/>
      <c r="AK23" s="11" t="s">
        <v>332</v>
      </c>
      <c r="AL23" s="213">
        <f t="shared" si="0"/>
        <v>45997</v>
      </c>
      <c r="AM23" s="211">
        <f t="shared" si="1"/>
        <v>45999</v>
      </c>
    </row>
    <row r="24" spans="1:39" ht="21.6" customHeight="1">
      <c r="A24" s="11">
        <v>24</v>
      </c>
      <c r="B24" s="11" t="s">
        <v>363</v>
      </c>
      <c r="C24" s="11">
        <v>2025121327</v>
      </c>
      <c r="D24" s="11" t="s">
        <v>468</v>
      </c>
      <c r="E24" s="11" t="s">
        <v>365</v>
      </c>
      <c r="F24" s="11" t="s">
        <v>57</v>
      </c>
      <c r="G24" s="11" t="s">
        <v>366</v>
      </c>
      <c r="H24" s="11" t="s">
        <v>358</v>
      </c>
      <c r="I24" s="11" t="s">
        <v>469</v>
      </c>
      <c r="J24" s="11" t="s">
        <v>458</v>
      </c>
      <c r="K24" s="11" t="s">
        <v>200</v>
      </c>
      <c r="L24" s="11" t="s">
        <v>369</v>
      </c>
      <c r="M24" s="12" t="s">
        <v>370</v>
      </c>
      <c r="N24" s="11">
        <v>2306</v>
      </c>
      <c r="O24" s="12" t="s">
        <v>425</v>
      </c>
      <c r="P24" s="13" t="s">
        <v>470</v>
      </c>
      <c r="Q24" s="11" t="s">
        <v>373</v>
      </c>
      <c r="R24" s="11" t="s">
        <v>326</v>
      </c>
      <c r="S24" s="11" t="s">
        <v>123</v>
      </c>
      <c r="T24" s="11">
        <v>1</v>
      </c>
      <c r="U24" s="11" t="s">
        <v>327</v>
      </c>
      <c r="V24" s="11" t="s">
        <v>471</v>
      </c>
      <c r="W24" s="11" t="s">
        <v>472</v>
      </c>
      <c r="X24" s="367">
        <v>45997.793055555558</v>
      </c>
      <c r="Y24" s="11" t="s">
        <v>466</v>
      </c>
      <c r="Z24" s="11">
        <v>0.5</v>
      </c>
      <c r="AA24" s="11"/>
      <c r="AB24" s="11" t="s">
        <v>330</v>
      </c>
      <c r="AC24" s="212" t="s">
        <v>473</v>
      </c>
      <c r="AD24" s="11"/>
      <c r="AE24" s="11"/>
      <c r="AF24" s="11"/>
      <c r="AG24" s="11"/>
      <c r="AH24" s="11"/>
      <c r="AI24" s="11"/>
      <c r="AJ24" s="11"/>
      <c r="AK24" s="11" t="s">
        <v>332</v>
      </c>
      <c r="AL24" s="213">
        <f t="shared" si="0"/>
        <v>45997</v>
      </c>
      <c r="AM24" s="211">
        <f t="shared" si="1"/>
        <v>45997</v>
      </c>
    </row>
    <row r="25" spans="1:39" ht="21.6" customHeight="1">
      <c r="A25" s="11">
        <v>25</v>
      </c>
      <c r="B25" s="11" t="s">
        <v>363</v>
      </c>
      <c r="C25" s="11">
        <v>2025121328</v>
      </c>
      <c r="D25" s="11" t="s">
        <v>474</v>
      </c>
      <c r="E25" s="11" t="s">
        <v>475</v>
      </c>
      <c r="F25" s="11" t="s">
        <v>57</v>
      </c>
      <c r="G25" s="11" t="s">
        <v>366</v>
      </c>
      <c r="H25" s="11" t="s">
        <v>358</v>
      </c>
      <c r="I25" s="11" t="s">
        <v>476</v>
      </c>
      <c r="J25" s="11" t="s">
        <v>458</v>
      </c>
      <c r="K25" s="11" t="s">
        <v>200</v>
      </c>
      <c r="L25" s="11" t="s">
        <v>369</v>
      </c>
      <c r="M25" s="12" t="s">
        <v>370</v>
      </c>
      <c r="N25" s="11">
        <v>2306</v>
      </c>
      <c r="O25" s="12" t="s">
        <v>425</v>
      </c>
      <c r="P25" s="13" t="s">
        <v>477</v>
      </c>
      <c r="Q25" s="11" t="s">
        <v>373</v>
      </c>
      <c r="R25" s="11" t="s">
        <v>326</v>
      </c>
      <c r="S25" s="11" t="s">
        <v>123</v>
      </c>
      <c r="T25" s="11">
        <v>1</v>
      </c>
      <c r="U25" s="11" t="s">
        <v>327</v>
      </c>
      <c r="V25" s="11" t="s">
        <v>478</v>
      </c>
      <c r="W25" s="11" t="s">
        <v>479</v>
      </c>
      <c r="X25" s="367">
        <v>45997.791666666657</v>
      </c>
      <c r="Y25" s="11" t="s">
        <v>480</v>
      </c>
      <c r="Z25" s="11">
        <v>0.5</v>
      </c>
      <c r="AA25" s="11"/>
      <c r="AB25" s="11" t="s">
        <v>330</v>
      </c>
      <c r="AC25" s="212" t="s">
        <v>473</v>
      </c>
      <c r="AD25" s="11"/>
      <c r="AE25" s="11"/>
      <c r="AF25" s="11"/>
      <c r="AG25" s="11"/>
      <c r="AH25" s="11"/>
      <c r="AI25" s="11"/>
      <c r="AJ25" s="11"/>
      <c r="AK25" s="11" t="s">
        <v>332</v>
      </c>
      <c r="AL25" s="213">
        <f t="shared" si="0"/>
        <v>45997</v>
      </c>
      <c r="AM25" s="211">
        <f t="shared" si="1"/>
        <v>45997</v>
      </c>
    </row>
    <row r="26" spans="1:39" ht="21.6" customHeight="1">
      <c r="A26" s="11">
        <v>26</v>
      </c>
      <c r="B26" s="11" t="s">
        <v>363</v>
      </c>
      <c r="C26" s="11">
        <v>2025121332</v>
      </c>
      <c r="D26" s="11" t="s">
        <v>481</v>
      </c>
      <c r="E26" s="11" t="s">
        <v>365</v>
      </c>
      <c r="F26" s="11">
        <v>3811</v>
      </c>
      <c r="G26" s="11" t="s">
        <v>431</v>
      </c>
      <c r="H26" s="11" t="s">
        <v>358</v>
      </c>
      <c r="I26" s="11" t="s">
        <v>482</v>
      </c>
      <c r="J26" s="11" t="s">
        <v>483</v>
      </c>
      <c r="K26" s="11" t="s">
        <v>446</v>
      </c>
      <c r="L26" s="11" t="s">
        <v>398</v>
      </c>
      <c r="M26" s="12" t="s">
        <v>399</v>
      </c>
      <c r="N26" s="11" t="s">
        <v>400</v>
      </c>
      <c r="O26" s="12" t="s">
        <v>401</v>
      </c>
      <c r="P26" s="13" t="s">
        <v>484</v>
      </c>
      <c r="Q26" s="11" t="s">
        <v>432</v>
      </c>
      <c r="R26" s="11" t="s">
        <v>326</v>
      </c>
      <c r="S26" s="11" t="s">
        <v>123</v>
      </c>
      <c r="T26" s="11">
        <v>1</v>
      </c>
      <c r="U26" s="11" t="s">
        <v>327</v>
      </c>
      <c r="V26" s="11" t="s">
        <v>485</v>
      </c>
      <c r="W26" s="11" t="s">
        <v>486</v>
      </c>
      <c r="X26" s="367">
        <v>45999.434027777781</v>
      </c>
      <c r="Y26" s="11" t="s">
        <v>466</v>
      </c>
      <c r="Z26" s="11">
        <v>0.5</v>
      </c>
      <c r="AA26" s="11"/>
      <c r="AB26" s="11" t="s">
        <v>330</v>
      </c>
      <c r="AC26" s="212" t="s">
        <v>487</v>
      </c>
      <c r="AD26" s="11"/>
      <c r="AE26" s="11"/>
      <c r="AF26" s="11"/>
      <c r="AG26" s="11"/>
      <c r="AH26" s="11"/>
      <c r="AI26" s="11"/>
      <c r="AJ26" s="11"/>
      <c r="AK26" s="11" t="s">
        <v>332</v>
      </c>
      <c r="AL26" s="213">
        <f t="shared" si="0"/>
        <v>45998</v>
      </c>
      <c r="AM26" s="211">
        <f t="shared" si="1"/>
        <v>45999</v>
      </c>
    </row>
    <row r="27" spans="1:39" ht="21.6" customHeight="1">
      <c r="A27" s="11">
        <v>27</v>
      </c>
      <c r="B27" s="11" t="s">
        <v>363</v>
      </c>
      <c r="C27" s="11">
        <v>2025121347</v>
      </c>
      <c r="D27" s="11" t="s">
        <v>488</v>
      </c>
      <c r="E27" s="11" t="s">
        <v>365</v>
      </c>
      <c r="F27" s="11">
        <v>3785</v>
      </c>
      <c r="G27" s="11" t="s">
        <v>489</v>
      </c>
      <c r="H27" s="11" t="s">
        <v>490</v>
      </c>
      <c r="I27" s="11" t="s">
        <v>491</v>
      </c>
      <c r="J27" s="11" t="s">
        <v>492</v>
      </c>
      <c r="K27" s="11" t="s">
        <v>446</v>
      </c>
      <c r="L27" s="11" t="s">
        <v>493</v>
      </c>
      <c r="M27" s="12" t="s">
        <v>494</v>
      </c>
      <c r="N27" s="11">
        <v>2501</v>
      </c>
      <c r="O27" s="12" t="s">
        <v>495</v>
      </c>
      <c r="P27" s="13" t="s">
        <v>496</v>
      </c>
      <c r="Q27" s="11" t="s">
        <v>497</v>
      </c>
      <c r="R27" s="11" t="s">
        <v>326</v>
      </c>
      <c r="S27" s="11" t="s">
        <v>134</v>
      </c>
      <c r="T27" s="11">
        <v>1</v>
      </c>
      <c r="U27" s="11" t="s">
        <v>327</v>
      </c>
      <c r="V27" s="11" t="s">
        <v>498</v>
      </c>
      <c r="W27" s="11" t="s">
        <v>499</v>
      </c>
      <c r="X27" s="367">
        <v>45999.55</v>
      </c>
      <c r="Y27" s="11" t="s">
        <v>500</v>
      </c>
      <c r="Z27" s="11">
        <v>0.5</v>
      </c>
      <c r="AA27" s="11"/>
      <c r="AB27" s="11" t="s">
        <v>330</v>
      </c>
      <c r="AC27" s="212" t="s">
        <v>455</v>
      </c>
      <c r="AD27" s="11"/>
      <c r="AE27" s="11"/>
      <c r="AF27" s="11"/>
      <c r="AG27" s="11"/>
      <c r="AH27" s="11"/>
      <c r="AI27" s="11"/>
      <c r="AJ27" s="11"/>
      <c r="AK27" s="11" t="s">
        <v>332</v>
      </c>
      <c r="AL27" s="213">
        <f t="shared" si="0"/>
        <v>45999</v>
      </c>
      <c r="AM27" s="211">
        <f t="shared" si="1"/>
        <v>45999</v>
      </c>
    </row>
    <row r="28" spans="1:39" ht="21.6" customHeight="1">
      <c r="A28" s="11">
        <v>28</v>
      </c>
      <c r="B28" s="11" t="s">
        <v>363</v>
      </c>
      <c r="C28" s="11">
        <v>2025121362</v>
      </c>
      <c r="D28" s="11" t="s">
        <v>501</v>
      </c>
      <c r="E28" s="11" t="s">
        <v>475</v>
      </c>
      <c r="F28" s="11">
        <v>3811</v>
      </c>
      <c r="G28" s="11" t="s">
        <v>431</v>
      </c>
      <c r="H28" s="11" t="s">
        <v>358</v>
      </c>
      <c r="I28" s="11" t="s">
        <v>502</v>
      </c>
      <c r="J28" s="11" t="s">
        <v>492</v>
      </c>
      <c r="K28" s="11" t="s">
        <v>446</v>
      </c>
      <c r="L28" s="11" t="s">
        <v>398</v>
      </c>
      <c r="M28" s="12" t="s">
        <v>399</v>
      </c>
      <c r="N28" s="11" t="s">
        <v>400</v>
      </c>
      <c r="O28" s="12" t="s">
        <v>401</v>
      </c>
      <c r="P28" s="13" t="s">
        <v>503</v>
      </c>
      <c r="Q28" s="11" t="s">
        <v>432</v>
      </c>
      <c r="R28" s="11" t="s">
        <v>326</v>
      </c>
      <c r="S28" s="11" t="s">
        <v>123</v>
      </c>
      <c r="T28" s="11">
        <v>1</v>
      </c>
      <c r="U28" s="11" t="s">
        <v>327</v>
      </c>
      <c r="V28" s="11" t="s">
        <v>504</v>
      </c>
      <c r="W28" s="11" t="s">
        <v>486</v>
      </c>
      <c r="X28" s="367">
        <v>45999.434027777781</v>
      </c>
      <c r="Y28" s="11" t="s">
        <v>505</v>
      </c>
      <c r="Z28" s="11">
        <v>0.5</v>
      </c>
      <c r="AA28" s="11"/>
      <c r="AB28" s="11" t="s">
        <v>330</v>
      </c>
      <c r="AC28" s="212" t="s">
        <v>487</v>
      </c>
      <c r="AD28" s="11"/>
      <c r="AE28" s="11"/>
      <c r="AF28" s="11"/>
      <c r="AG28" s="11"/>
      <c r="AH28" s="11"/>
      <c r="AI28" s="11"/>
      <c r="AJ28" s="11"/>
      <c r="AK28" s="11" t="s">
        <v>332</v>
      </c>
      <c r="AL28" s="213">
        <f t="shared" si="0"/>
        <v>45999</v>
      </c>
      <c r="AM28" s="211">
        <f t="shared" si="1"/>
        <v>45999</v>
      </c>
    </row>
    <row r="29" spans="1:39" ht="21.6" customHeight="1">
      <c r="A29" s="11">
        <v>29</v>
      </c>
      <c r="B29" s="11" t="s">
        <v>322</v>
      </c>
      <c r="C29" s="11">
        <v>2025121389</v>
      </c>
      <c r="D29" s="11"/>
      <c r="E29" s="11"/>
      <c r="F29" s="11" t="s">
        <v>79</v>
      </c>
      <c r="G29" s="11" t="s">
        <v>506</v>
      </c>
      <c r="H29" s="11" t="s">
        <v>358</v>
      </c>
      <c r="I29" s="11"/>
      <c r="J29" s="11"/>
      <c r="K29" s="11"/>
      <c r="L29" s="11"/>
      <c r="M29" s="12"/>
      <c r="N29" s="11"/>
      <c r="O29" s="12"/>
      <c r="P29" s="13"/>
      <c r="Q29" s="11" t="s">
        <v>507</v>
      </c>
      <c r="R29" s="11" t="s">
        <v>326</v>
      </c>
      <c r="S29" s="11" t="s">
        <v>123</v>
      </c>
      <c r="T29" s="11">
        <v>1</v>
      </c>
      <c r="U29" s="11" t="s">
        <v>327</v>
      </c>
      <c r="V29" s="11" t="s">
        <v>508</v>
      </c>
      <c r="W29" s="11" t="s">
        <v>509</v>
      </c>
      <c r="X29" s="367">
        <v>45999.458333333343</v>
      </c>
      <c r="Y29" s="11"/>
      <c r="Z29" s="11">
        <v>0.3</v>
      </c>
      <c r="AA29" s="11"/>
      <c r="AB29" s="11" t="s">
        <v>330</v>
      </c>
      <c r="AC29" s="212" t="s">
        <v>331</v>
      </c>
      <c r="AD29" s="11" t="s">
        <v>332</v>
      </c>
      <c r="AE29" s="11"/>
      <c r="AF29" s="11"/>
      <c r="AG29" s="11"/>
      <c r="AH29" s="11"/>
      <c r="AI29" s="11"/>
      <c r="AJ29" s="11"/>
      <c r="AK29" s="11" t="s">
        <v>332</v>
      </c>
      <c r="AL29" s="213" t="e">
        <f t="shared" si="0"/>
        <v>#VALUE!</v>
      </c>
      <c r="AM29" s="211">
        <f t="shared" si="1"/>
        <v>45999</v>
      </c>
    </row>
    <row r="30" spans="1:39" ht="21.6" customHeight="1">
      <c r="A30" s="11">
        <v>30</v>
      </c>
      <c r="B30" s="11" t="s">
        <v>363</v>
      </c>
      <c r="C30" s="11">
        <v>2025121394</v>
      </c>
      <c r="D30" s="11" t="s">
        <v>510</v>
      </c>
      <c r="E30" s="11" t="s">
        <v>475</v>
      </c>
      <c r="F30" s="11">
        <v>3785</v>
      </c>
      <c r="G30" s="11" t="s">
        <v>489</v>
      </c>
      <c r="H30" s="11" t="s">
        <v>490</v>
      </c>
      <c r="I30" s="11" t="s">
        <v>511</v>
      </c>
      <c r="J30" s="11" t="s">
        <v>492</v>
      </c>
      <c r="K30" s="11" t="s">
        <v>446</v>
      </c>
      <c r="L30" s="11" t="s">
        <v>493</v>
      </c>
      <c r="M30" s="12" t="s">
        <v>494</v>
      </c>
      <c r="N30" s="11">
        <v>2501</v>
      </c>
      <c r="O30" s="12" t="s">
        <v>495</v>
      </c>
      <c r="P30" s="13" t="s">
        <v>512</v>
      </c>
      <c r="Q30" s="11" t="s">
        <v>497</v>
      </c>
      <c r="R30" s="11" t="s">
        <v>326</v>
      </c>
      <c r="S30" s="11" t="s">
        <v>134</v>
      </c>
      <c r="T30" s="11">
        <v>1</v>
      </c>
      <c r="U30" s="11" t="s">
        <v>327</v>
      </c>
      <c r="V30" s="11" t="s">
        <v>513</v>
      </c>
      <c r="W30" s="11" t="s">
        <v>514</v>
      </c>
      <c r="X30" s="367">
        <v>45999.549305555563</v>
      </c>
      <c r="Y30" s="11" t="s">
        <v>515</v>
      </c>
      <c r="Z30" s="11">
        <v>0.5</v>
      </c>
      <c r="AA30" s="11"/>
      <c r="AB30" s="11" t="s">
        <v>330</v>
      </c>
      <c r="AC30" s="212" t="s">
        <v>455</v>
      </c>
      <c r="AD30" s="11"/>
      <c r="AE30" s="11"/>
      <c r="AF30" s="11"/>
      <c r="AG30" s="11"/>
      <c r="AH30" s="11"/>
      <c r="AI30" s="11"/>
      <c r="AJ30" s="11"/>
      <c r="AK30" s="11" t="s">
        <v>332</v>
      </c>
      <c r="AL30" s="213">
        <f t="shared" si="0"/>
        <v>45999</v>
      </c>
      <c r="AM30" s="211">
        <f t="shared" si="1"/>
        <v>45999</v>
      </c>
    </row>
    <row r="31" spans="1:39" ht="21.6" customHeight="1">
      <c r="A31" s="11">
        <v>31</v>
      </c>
      <c r="B31" s="11" t="s">
        <v>322</v>
      </c>
      <c r="C31" s="11">
        <v>2025121395</v>
      </c>
      <c r="D31" s="11"/>
      <c r="E31" s="11"/>
      <c r="F31" s="11">
        <v>3957</v>
      </c>
      <c r="G31" s="11" t="s">
        <v>516</v>
      </c>
      <c r="H31" s="11" t="s">
        <v>358</v>
      </c>
      <c r="I31" s="11"/>
      <c r="J31" s="11"/>
      <c r="K31" s="11"/>
      <c r="L31" s="11"/>
      <c r="M31" s="12"/>
      <c r="N31" s="11"/>
      <c r="O31" s="12"/>
      <c r="P31" s="13"/>
      <c r="Q31" s="11" t="s">
        <v>517</v>
      </c>
      <c r="R31" s="11" t="s">
        <v>326</v>
      </c>
      <c r="S31" s="11" t="s">
        <v>123</v>
      </c>
      <c r="T31" s="11">
        <v>1</v>
      </c>
      <c r="U31" s="11" t="s">
        <v>327</v>
      </c>
      <c r="V31" s="11" t="s">
        <v>518</v>
      </c>
      <c r="W31" s="11" t="s">
        <v>519</v>
      </c>
      <c r="X31" s="367">
        <v>45999.513888888891</v>
      </c>
      <c r="Y31" s="11"/>
      <c r="Z31" s="11">
        <v>0.3</v>
      </c>
      <c r="AA31" s="11"/>
      <c r="AB31" s="11" t="s">
        <v>330</v>
      </c>
      <c r="AC31" s="212" t="s">
        <v>331</v>
      </c>
      <c r="AD31" s="11" t="s">
        <v>332</v>
      </c>
      <c r="AE31" s="11"/>
      <c r="AF31" s="11"/>
      <c r="AG31" s="11"/>
      <c r="AH31" s="11"/>
      <c r="AI31" s="11"/>
      <c r="AJ31" s="11"/>
      <c r="AK31" s="11" t="s">
        <v>332</v>
      </c>
      <c r="AL31" s="213" t="e">
        <f t="shared" si="0"/>
        <v>#VALUE!</v>
      </c>
      <c r="AM31" s="211">
        <f t="shared" si="1"/>
        <v>45999</v>
      </c>
    </row>
    <row r="32" spans="1:39" ht="21.6" customHeight="1">
      <c r="A32" s="11">
        <v>32</v>
      </c>
      <c r="B32" s="11" t="s">
        <v>322</v>
      </c>
      <c r="C32" s="11">
        <v>2025121396</v>
      </c>
      <c r="D32" s="11"/>
      <c r="E32" s="11"/>
      <c r="F32" s="11">
        <v>3957</v>
      </c>
      <c r="G32" s="11" t="s">
        <v>516</v>
      </c>
      <c r="H32" s="11" t="s">
        <v>358</v>
      </c>
      <c r="I32" s="11"/>
      <c r="J32" s="11"/>
      <c r="K32" s="11"/>
      <c r="L32" s="11"/>
      <c r="M32" s="12"/>
      <c r="N32" s="11"/>
      <c r="O32" s="12"/>
      <c r="P32" s="13"/>
      <c r="Q32" s="11" t="s">
        <v>517</v>
      </c>
      <c r="R32" s="11" t="s">
        <v>326</v>
      </c>
      <c r="S32" s="11" t="s">
        <v>123</v>
      </c>
      <c r="T32" s="11">
        <v>1</v>
      </c>
      <c r="U32" s="11" t="s">
        <v>327</v>
      </c>
      <c r="V32" s="11" t="s">
        <v>520</v>
      </c>
      <c r="W32" s="11" t="s">
        <v>519</v>
      </c>
      <c r="X32" s="367">
        <v>45999.513888888891</v>
      </c>
      <c r="Y32" s="11"/>
      <c r="Z32" s="11">
        <v>0.3</v>
      </c>
      <c r="AA32" s="11"/>
      <c r="AB32" s="11" t="s">
        <v>330</v>
      </c>
      <c r="AC32" s="212" t="s">
        <v>331</v>
      </c>
      <c r="AD32" s="11" t="s">
        <v>332</v>
      </c>
      <c r="AE32" s="11"/>
      <c r="AF32" s="11"/>
      <c r="AG32" s="11"/>
      <c r="AH32" s="11"/>
      <c r="AI32" s="11"/>
      <c r="AJ32" s="11"/>
      <c r="AK32" s="11" t="s">
        <v>332</v>
      </c>
      <c r="AL32" s="213" t="e">
        <f t="shared" si="0"/>
        <v>#VALUE!</v>
      </c>
      <c r="AM32" s="211">
        <f t="shared" si="1"/>
        <v>45999</v>
      </c>
    </row>
    <row r="33" spans="1:39" ht="21.6" customHeight="1">
      <c r="A33" s="11">
        <v>33</v>
      </c>
      <c r="B33" s="11" t="s">
        <v>322</v>
      </c>
      <c r="C33" s="11">
        <v>2025121400</v>
      </c>
      <c r="D33" s="11"/>
      <c r="E33" s="11"/>
      <c r="F33" s="11">
        <v>2349</v>
      </c>
      <c r="G33" s="11" t="s">
        <v>521</v>
      </c>
      <c r="H33" s="11" t="s">
        <v>358</v>
      </c>
      <c r="I33" s="11"/>
      <c r="J33" s="11"/>
      <c r="K33" s="11"/>
      <c r="L33" s="11"/>
      <c r="M33" s="12"/>
      <c r="N33" s="11"/>
      <c r="O33" s="12"/>
      <c r="P33" s="13"/>
      <c r="Q33" s="11" t="s">
        <v>522</v>
      </c>
      <c r="R33" s="11" t="s">
        <v>326</v>
      </c>
      <c r="S33" s="11" t="s">
        <v>123</v>
      </c>
      <c r="T33" s="11">
        <v>1</v>
      </c>
      <c r="U33" s="11" t="s">
        <v>327</v>
      </c>
      <c r="V33" s="11" t="s">
        <v>523</v>
      </c>
      <c r="W33" s="11" t="s">
        <v>524</v>
      </c>
      <c r="X33" s="367">
        <v>45999.548611111109</v>
      </c>
      <c r="Y33" s="11"/>
      <c r="Z33" s="11">
        <v>0.3</v>
      </c>
      <c r="AA33" s="11"/>
      <c r="AB33" s="11" t="s">
        <v>330</v>
      </c>
      <c r="AC33" s="212" t="s">
        <v>331</v>
      </c>
      <c r="AD33" s="11" t="s">
        <v>332</v>
      </c>
      <c r="AE33" s="11"/>
      <c r="AF33" s="11"/>
      <c r="AG33" s="11"/>
      <c r="AH33" s="11"/>
      <c r="AI33" s="11"/>
      <c r="AJ33" s="11"/>
      <c r="AK33" s="11" t="s">
        <v>332</v>
      </c>
      <c r="AL33" s="213" t="e">
        <f t="shared" si="0"/>
        <v>#VALUE!</v>
      </c>
      <c r="AM33" s="211">
        <f t="shared" si="1"/>
        <v>45999</v>
      </c>
    </row>
    <row r="34" spans="1:39" ht="21.6" customHeight="1">
      <c r="A34" s="11">
        <v>34</v>
      </c>
      <c r="B34" s="11" t="s">
        <v>322</v>
      </c>
      <c r="C34" s="11">
        <v>2025121404</v>
      </c>
      <c r="D34" s="11"/>
      <c r="E34" s="11"/>
      <c r="F34" s="11">
        <v>2222</v>
      </c>
      <c r="G34" s="11" t="s">
        <v>159</v>
      </c>
      <c r="H34" s="11" t="s">
        <v>358</v>
      </c>
      <c r="I34" s="11"/>
      <c r="J34" s="11"/>
      <c r="K34" s="11"/>
      <c r="L34" s="11"/>
      <c r="M34" s="12"/>
      <c r="N34" s="11"/>
      <c r="O34" s="12"/>
      <c r="P34" s="13"/>
      <c r="Q34" s="11" t="s">
        <v>525</v>
      </c>
      <c r="R34" s="11" t="s">
        <v>326</v>
      </c>
      <c r="S34" s="11" t="s">
        <v>123</v>
      </c>
      <c r="T34" s="11">
        <v>1</v>
      </c>
      <c r="U34" s="11" t="s">
        <v>327</v>
      </c>
      <c r="V34" s="11" t="s">
        <v>526</v>
      </c>
      <c r="W34" s="11" t="s">
        <v>527</v>
      </c>
      <c r="X34" s="367">
        <v>45999.572916666657</v>
      </c>
      <c r="Y34" s="11"/>
      <c r="Z34" s="11">
        <v>0.3</v>
      </c>
      <c r="AA34" s="11"/>
      <c r="AB34" s="11" t="s">
        <v>330</v>
      </c>
      <c r="AC34" s="212" t="s">
        <v>331</v>
      </c>
      <c r="AD34" s="11" t="s">
        <v>332</v>
      </c>
      <c r="AE34" s="11"/>
      <c r="AF34" s="11"/>
      <c r="AG34" s="11"/>
      <c r="AH34" s="11"/>
      <c r="AI34" s="11"/>
      <c r="AJ34" s="11"/>
      <c r="AK34" s="11" t="s">
        <v>332</v>
      </c>
      <c r="AL34" s="213" t="e">
        <f t="shared" si="0"/>
        <v>#VALUE!</v>
      </c>
      <c r="AM34" s="211">
        <f t="shared" si="1"/>
        <v>45999</v>
      </c>
    </row>
    <row r="35" spans="1:39" ht="21.6" customHeight="1">
      <c r="A35" s="11">
        <v>35</v>
      </c>
      <c r="B35" s="11" t="s">
        <v>322</v>
      </c>
      <c r="C35" s="11">
        <v>2025121407</v>
      </c>
      <c r="D35" s="11"/>
      <c r="E35" s="11"/>
      <c r="F35" s="11">
        <v>4145</v>
      </c>
      <c r="G35" s="11" t="s">
        <v>528</v>
      </c>
      <c r="H35" s="11" t="s">
        <v>396</v>
      </c>
      <c r="I35" s="11"/>
      <c r="J35" s="11"/>
      <c r="K35" s="11"/>
      <c r="L35" s="11"/>
      <c r="M35" s="12"/>
      <c r="N35" s="11"/>
      <c r="O35" s="12"/>
      <c r="P35" s="13"/>
      <c r="Q35" s="11" t="s">
        <v>529</v>
      </c>
      <c r="R35" s="11" t="s">
        <v>326</v>
      </c>
      <c r="S35" s="11" t="s">
        <v>134</v>
      </c>
      <c r="T35" s="11">
        <v>1</v>
      </c>
      <c r="U35" s="11" t="s">
        <v>327</v>
      </c>
      <c r="V35" s="11" t="s">
        <v>530</v>
      </c>
      <c r="W35" s="11" t="s">
        <v>531</v>
      </c>
      <c r="X35" s="367">
        <v>45999.588194444441</v>
      </c>
      <c r="Y35" s="11"/>
      <c r="Z35" s="11">
        <v>0.2</v>
      </c>
      <c r="AA35" s="11"/>
      <c r="AB35" s="11" t="s">
        <v>330</v>
      </c>
      <c r="AC35" s="212" t="s">
        <v>331</v>
      </c>
      <c r="AD35" s="11" t="s">
        <v>332</v>
      </c>
      <c r="AE35" s="11"/>
      <c r="AF35" s="11"/>
      <c r="AG35" s="11"/>
      <c r="AH35" s="11"/>
      <c r="AI35" s="11"/>
      <c r="AJ35" s="11"/>
      <c r="AK35" s="11" t="s">
        <v>332</v>
      </c>
      <c r="AL35" s="213" t="e">
        <f t="shared" si="0"/>
        <v>#VALUE!</v>
      </c>
      <c r="AM35" s="211">
        <f t="shared" si="1"/>
        <v>45999</v>
      </c>
    </row>
    <row r="36" spans="1:39" ht="21.6" customHeight="1">
      <c r="A36" s="11">
        <v>36</v>
      </c>
      <c r="B36" s="11" t="s">
        <v>322</v>
      </c>
      <c r="C36" s="11">
        <v>2025121413</v>
      </c>
      <c r="D36" s="11"/>
      <c r="E36" s="11"/>
      <c r="F36" s="11">
        <v>2403</v>
      </c>
      <c r="G36" s="11" t="s">
        <v>532</v>
      </c>
      <c r="H36" s="11" t="s">
        <v>396</v>
      </c>
      <c r="I36" s="11"/>
      <c r="J36" s="11"/>
      <c r="K36" s="11"/>
      <c r="L36" s="11"/>
      <c r="M36" s="12"/>
      <c r="N36" s="11"/>
      <c r="O36" s="12"/>
      <c r="P36" s="13"/>
      <c r="Q36" s="11" t="s">
        <v>533</v>
      </c>
      <c r="R36" s="11" t="s">
        <v>326</v>
      </c>
      <c r="S36" s="11" t="s">
        <v>134</v>
      </c>
      <c r="T36" s="11">
        <v>1</v>
      </c>
      <c r="U36" s="11" t="s">
        <v>327</v>
      </c>
      <c r="V36" s="11" t="s">
        <v>534</v>
      </c>
      <c r="W36" s="11" t="s">
        <v>535</v>
      </c>
      <c r="X36" s="367">
        <v>45999.60833333333</v>
      </c>
      <c r="Y36" s="11"/>
      <c r="Z36" s="11">
        <v>0.4</v>
      </c>
      <c r="AA36" s="11"/>
      <c r="AB36" s="11" t="s">
        <v>330</v>
      </c>
      <c r="AC36" s="212" t="s">
        <v>331</v>
      </c>
      <c r="AD36" s="11" t="s">
        <v>332</v>
      </c>
      <c r="AE36" s="11"/>
      <c r="AF36" s="11"/>
      <c r="AG36" s="11"/>
      <c r="AH36" s="11"/>
      <c r="AI36" s="11"/>
      <c r="AJ36" s="11"/>
      <c r="AK36" s="11" t="s">
        <v>332</v>
      </c>
      <c r="AL36" s="213" t="e">
        <f t="shared" si="0"/>
        <v>#VALUE!</v>
      </c>
      <c r="AM36" s="211">
        <f t="shared" si="1"/>
        <v>45999</v>
      </c>
    </row>
    <row r="37" spans="1:39" ht="21.6" customHeight="1">
      <c r="A37" s="11">
        <v>37</v>
      </c>
      <c r="B37" s="11" t="s">
        <v>322</v>
      </c>
      <c r="C37" s="11">
        <v>2025121425</v>
      </c>
      <c r="D37" s="11"/>
      <c r="E37" s="11"/>
      <c r="F37" s="11" t="s">
        <v>77</v>
      </c>
      <c r="G37" s="11" t="s">
        <v>536</v>
      </c>
      <c r="H37" s="11" t="s">
        <v>396</v>
      </c>
      <c r="I37" s="11"/>
      <c r="J37" s="11"/>
      <c r="K37" s="11"/>
      <c r="L37" s="11"/>
      <c r="M37" s="12"/>
      <c r="N37" s="11"/>
      <c r="O37" s="12"/>
      <c r="P37" s="13"/>
      <c r="Q37" s="11" t="s">
        <v>537</v>
      </c>
      <c r="R37" s="11" t="s">
        <v>326</v>
      </c>
      <c r="S37" s="11" t="s">
        <v>134</v>
      </c>
      <c r="T37" s="11">
        <v>1</v>
      </c>
      <c r="U37" s="11" t="s">
        <v>327</v>
      </c>
      <c r="V37" s="11" t="s">
        <v>538</v>
      </c>
      <c r="W37" s="11" t="s">
        <v>539</v>
      </c>
      <c r="X37" s="367">
        <v>45999.620833333327</v>
      </c>
      <c r="Y37" s="11"/>
      <c r="Z37" s="11">
        <v>0.2</v>
      </c>
      <c r="AA37" s="11"/>
      <c r="AB37" s="11" t="s">
        <v>330</v>
      </c>
      <c r="AC37" s="212" t="s">
        <v>331</v>
      </c>
      <c r="AD37" s="11" t="s">
        <v>332</v>
      </c>
      <c r="AE37" s="11"/>
      <c r="AF37" s="11"/>
      <c r="AG37" s="11"/>
      <c r="AH37" s="11"/>
      <c r="AI37" s="11"/>
      <c r="AJ37" s="11"/>
      <c r="AK37" s="11" t="s">
        <v>332</v>
      </c>
      <c r="AL37" s="213" t="e">
        <f t="shared" si="0"/>
        <v>#VALUE!</v>
      </c>
      <c r="AM37" s="211">
        <f t="shared" si="1"/>
        <v>45999</v>
      </c>
    </row>
    <row r="38" spans="1:39" ht="21.6" customHeight="1">
      <c r="A38" s="11">
        <v>38</v>
      </c>
      <c r="B38" s="11" t="s">
        <v>322</v>
      </c>
      <c r="C38" s="11">
        <v>2025121429</v>
      </c>
      <c r="D38" s="11"/>
      <c r="E38" s="11"/>
      <c r="F38" s="11">
        <v>3772</v>
      </c>
      <c r="G38" s="11" t="s">
        <v>540</v>
      </c>
      <c r="H38" s="11" t="s">
        <v>358</v>
      </c>
      <c r="I38" s="11"/>
      <c r="J38" s="11"/>
      <c r="K38" s="11"/>
      <c r="L38" s="11"/>
      <c r="M38" s="12"/>
      <c r="N38" s="11"/>
      <c r="O38" s="12"/>
      <c r="P38" s="13"/>
      <c r="Q38" s="11" t="s">
        <v>541</v>
      </c>
      <c r="R38" s="11" t="s">
        <v>326</v>
      </c>
      <c r="S38" s="11" t="s">
        <v>123</v>
      </c>
      <c r="T38" s="11">
        <v>1</v>
      </c>
      <c r="U38" s="11" t="s">
        <v>327</v>
      </c>
      <c r="V38" s="11" t="s">
        <v>542</v>
      </c>
      <c r="W38" s="11" t="s">
        <v>543</v>
      </c>
      <c r="X38" s="367">
        <v>45999.631944444453</v>
      </c>
      <c r="Y38" s="11"/>
      <c r="Z38" s="11">
        <v>0.3</v>
      </c>
      <c r="AA38" s="11"/>
      <c r="AB38" s="11" t="s">
        <v>330</v>
      </c>
      <c r="AC38" s="212" t="s">
        <v>331</v>
      </c>
      <c r="AD38" s="11" t="s">
        <v>332</v>
      </c>
      <c r="AE38" s="11"/>
      <c r="AF38" s="11"/>
      <c r="AG38" s="11"/>
      <c r="AH38" s="11"/>
      <c r="AI38" s="11"/>
      <c r="AJ38" s="11"/>
      <c r="AK38" s="11" t="s">
        <v>332</v>
      </c>
      <c r="AL38" s="213" t="e">
        <f t="shared" si="0"/>
        <v>#VALUE!</v>
      </c>
      <c r="AM38" s="211">
        <f t="shared" si="1"/>
        <v>45999</v>
      </c>
    </row>
    <row r="39" spans="1:39" ht="21.6" customHeight="1">
      <c r="A39" s="11">
        <v>39</v>
      </c>
      <c r="B39" s="11" t="s">
        <v>322</v>
      </c>
      <c r="C39" s="11">
        <v>2025121431</v>
      </c>
      <c r="D39" s="11"/>
      <c r="E39" s="11"/>
      <c r="F39" s="11">
        <v>2422</v>
      </c>
      <c r="G39" s="11" t="s">
        <v>544</v>
      </c>
      <c r="H39" s="11" t="s">
        <v>396</v>
      </c>
      <c r="I39" s="11"/>
      <c r="J39" s="11"/>
      <c r="K39" s="11"/>
      <c r="L39" s="11"/>
      <c r="M39" s="12"/>
      <c r="N39" s="11"/>
      <c r="O39" s="12"/>
      <c r="P39" s="13"/>
      <c r="Q39" s="11" t="s">
        <v>545</v>
      </c>
      <c r="R39" s="11" t="s">
        <v>326</v>
      </c>
      <c r="S39" s="11" t="s">
        <v>134</v>
      </c>
      <c r="T39" s="11">
        <v>1</v>
      </c>
      <c r="U39" s="11" t="s">
        <v>327</v>
      </c>
      <c r="V39" s="11" t="s">
        <v>546</v>
      </c>
      <c r="W39" s="11" t="s">
        <v>547</v>
      </c>
      <c r="X39" s="367">
        <v>45999.638888888891</v>
      </c>
      <c r="Y39" s="11"/>
      <c r="Z39" s="11">
        <v>0.3</v>
      </c>
      <c r="AA39" s="11"/>
      <c r="AB39" s="11" t="s">
        <v>330</v>
      </c>
      <c r="AC39" s="212" t="s">
        <v>331</v>
      </c>
      <c r="AD39" s="11" t="s">
        <v>332</v>
      </c>
      <c r="AE39" s="11"/>
      <c r="AF39" s="11"/>
      <c r="AG39" s="11"/>
      <c r="AH39" s="11"/>
      <c r="AI39" s="11"/>
      <c r="AJ39" s="11"/>
      <c r="AK39" s="11" t="s">
        <v>332</v>
      </c>
      <c r="AL39" s="213" t="e">
        <f t="shared" si="0"/>
        <v>#VALUE!</v>
      </c>
      <c r="AM39" s="211">
        <f t="shared" si="1"/>
        <v>45999</v>
      </c>
    </row>
    <row r="40" spans="1:39" ht="21.6" customHeight="1">
      <c r="A40" s="11">
        <v>40</v>
      </c>
      <c r="B40" s="11" t="s">
        <v>322</v>
      </c>
      <c r="C40" s="11">
        <v>2025121432</v>
      </c>
      <c r="D40" s="11"/>
      <c r="E40" s="11"/>
      <c r="F40" s="11" t="s">
        <v>78</v>
      </c>
      <c r="G40" s="11" t="s">
        <v>548</v>
      </c>
      <c r="H40" s="11" t="s">
        <v>358</v>
      </c>
      <c r="I40" s="11"/>
      <c r="J40" s="11"/>
      <c r="K40" s="11"/>
      <c r="L40" s="11"/>
      <c r="M40" s="12"/>
      <c r="N40" s="11"/>
      <c r="O40" s="12"/>
      <c r="P40" s="13"/>
      <c r="Q40" s="11" t="s">
        <v>549</v>
      </c>
      <c r="R40" s="11" t="s">
        <v>326</v>
      </c>
      <c r="S40" s="11" t="s">
        <v>123</v>
      </c>
      <c r="T40" s="11">
        <v>1</v>
      </c>
      <c r="U40" s="11" t="s">
        <v>327</v>
      </c>
      <c r="V40" s="11" t="s">
        <v>550</v>
      </c>
      <c r="W40" s="11" t="s">
        <v>551</v>
      </c>
      <c r="X40" s="367">
        <v>45999.649305555547</v>
      </c>
      <c r="Y40" s="11"/>
      <c r="Z40" s="11">
        <v>0.3</v>
      </c>
      <c r="AA40" s="11"/>
      <c r="AB40" s="11" t="s">
        <v>330</v>
      </c>
      <c r="AC40" s="212" t="s">
        <v>331</v>
      </c>
      <c r="AD40" s="11" t="s">
        <v>332</v>
      </c>
      <c r="AE40" s="11"/>
      <c r="AF40" s="11"/>
      <c r="AG40" s="11"/>
      <c r="AH40" s="11"/>
      <c r="AI40" s="11"/>
      <c r="AJ40" s="11"/>
      <c r="AK40" s="11" t="s">
        <v>332</v>
      </c>
      <c r="AL40" s="213" t="e">
        <f t="shared" si="0"/>
        <v>#VALUE!</v>
      </c>
      <c r="AM40" s="211">
        <f t="shared" si="1"/>
        <v>45999</v>
      </c>
    </row>
    <row r="41" spans="1:39" ht="21.6" customHeight="1">
      <c r="A41" s="11">
        <v>41</v>
      </c>
      <c r="B41" s="11" t="s">
        <v>322</v>
      </c>
      <c r="C41" s="11">
        <v>2025121437</v>
      </c>
      <c r="D41" s="11"/>
      <c r="E41" s="11"/>
      <c r="F41" s="11">
        <v>4422</v>
      </c>
      <c r="G41" s="11" t="s">
        <v>552</v>
      </c>
      <c r="H41" s="11" t="s">
        <v>396</v>
      </c>
      <c r="I41" s="11"/>
      <c r="J41" s="11"/>
      <c r="K41" s="11"/>
      <c r="L41" s="11"/>
      <c r="M41" s="12"/>
      <c r="N41" s="11"/>
      <c r="O41" s="12"/>
      <c r="P41" s="13"/>
      <c r="Q41" s="11" t="s">
        <v>553</v>
      </c>
      <c r="R41" s="11" t="s">
        <v>326</v>
      </c>
      <c r="S41" s="11" t="s">
        <v>134</v>
      </c>
      <c r="T41" s="11">
        <v>1</v>
      </c>
      <c r="U41" s="11" t="s">
        <v>327</v>
      </c>
      <c r="V41" s="11" t="s">
        <v>554</v>
      </c>
      <c r="W41" s="11" t="s">
        <v>555</v>
      </c>
      <c r="X41" s="367">
        <v>45999.654861111107</v>
      </c>
      <c r="Y41" s="11"/>
      <c r="Z41" s="11">
        <v>0.2</v>
      </c>
      <c r="AA41" s="11"/>
      <c r="AB41" s="11" t="s">
        <v>330</v>
      </c>
      <c r="AC41" s="212" t="s">
        <v>331</v>
      </c>
      <c r="AD41" s="11" t="s">
        <v>332</v>
      </c>
      <c r="AE41" s="11"/>
      <c r="AF41" s="11"/>
      <c r="AG41" s="11"/>
      <c r="AH41" s="11"/>
      <c r="AI41" s="11"/>
      <c r="AJ41" s="11"/>
      <c r="AK41" s="11" t="s">
        <v>332</v>
      </c>
      <c r="AL41" s="213" t="e">
        <f t="shared" si="0"/>
        <v>#VALUE!</v>
      </c>
      <c r="AM41" s="211">
        <f t="shared" si="1"/>
        <v>45999</v>
      </c>
    </row>
    <row r="42" spans="1:39" ht="21.6" customHeight="1">
      <c r="A42" s="11">
        <v>42</v>
      </c>
      <c r="B42" s="11" t="s">
        <v>363</v>
      </c>
      <c r="C42" s="11">
        <v>2025121470</v>
      </c>
      <c r="D42" s="11" t="s">
        <v>556</v>
      </c>
      <c r="E42" s="11" t="s">
        <v>365</v>
      </c>
      <c r="F42" s="11">
        <v>3785</v>
      </c>
      <c r="G42" s="11" t="s">
        <v>489</v>
      </c>
      <c r="H42" s="11" t="s">
        <v>490</v>
      </c>
      <c r="I42" s="11" t="s">
        <v>557</v>
      </c>
      <c r="J42" s="11" t="s">
        <v>368</v>
      </c>
      <c r="K42" s="11" t="s">
        <v>446</v>
      </c>
      <c r="L42" s="11" t="s">
        <v>558</v>
      </c>
      <c r="M42" s="12" t="s">
        <v>559</v>
      </c>
      <c r="N42" s="11">
        <v>2405</v>
      </c>
      <c r="O42" s="12" t="s">
        <v>560</v>
      </c>
      <c r="P42" s="13" t="s">
        <v>561</v>
      </c>
      <c r="Q42" s="11" t="s">
        <v>497</v>
      </c>
      <c r="R42" s="11" t="s">
        <v>326</v>
      </c>
      <c r="S42" s="11" t="s">
        <v>134</v>
      </c>
      <c r="T42" s="11">
        <v>1</v>
      </c>
      <c r="U42" s="11" t="s">
        <v>327</v>
      </c>
      <c r="V42" s="11" t="s">
        <v>562</v>
      </c>
      <c r="W42" s="11" t="s">
        <v>563</v>
      </c>
      <c r="X42" s="367">
        <v>46000.638888888891</v>
      </c>
      <c r="Y42" s="11" t="s">
        <v>564</v>
      </c>
      <c r="Z42" s="11">
        <v>3.3</v>
      </c>
      <c r="AA42" s="11"/>
      <c r="AB42" s="11" t="s">
        <v>330</v>
      </c>
      <c r="AC42" s="212" t="s">
        <v>565</v>
      </c>
      <c r="AD42" s="11"/>
      <c r="AE42" s="11"/>
      <c r="AF42" s="11"/>
      <c r="AG42" s="11"/>
      <c r="AH42" s="11"/>
      <c r="AI42" s="11"/>
      <c r="AJ42" s="11"/>
      <c r="AK42" s="11" t="s">
        <v>332</v>
      </c>
      <c r="AL42" s="213">
        <f t="shared" si="0"/>
        <v>46000</v>
      </c>
      <c r="AM42" s="211">
        <f t="shared" si="1"/>
        <v>46000</v>
      </c>
    </row>
    <row r="43" spans="1:39" ht="21.6" customHeight="1">
      <c r="A43" s="11">
        <v>43</v>
      </c>
      <c r="B43" s="11" t="s">
        <v>322</v>
      </c>
      <c r="C43" s="11">
        <v>2025121486</v>
      </c>
      <c r="D43" s="11"/>
      <c r="E43" s="11"/>
      <c r="F43" s="11">
        <v>4658</v>
      </c>
      <c r="G43" s="11" t="s">
        <v>566</v>
      </c>
      <c r="H43" s="11" t="s">
        <v>567</v>
      </c>
      <c r="I43" s="11"/>
      <c r="J43" s="11"/>
      <c r="K43" s="11"/>
      <c r="L43" s="11"/>
      <c r="M43" s="12"/>
      <c r="N43" s="11"/>
      <c r="O43" s="12"/>
      <c r="P43" s="13"/>
      <c r="Q43" s="11" t="s">
        <v>568</v>
      </c>
      <c r="R43" s="11" t="s">
        <v>326</v>
      </c>
      <c r="S43" s="11" t="s">
        <v>123</v>
      </c>
      <c r="T43" s="11">
        <v>1</v>
      </c>
      <c r="U43" s="11" t="s">
        <v>327</v>
      </c>
      <c r="V43" s="11" t="s">
        <v>569</v>
      </c>
      <c r="W43" s="11" t="s">
        <v>570</v>
      </c>
      <c r="X43" s="367">
        <v>46000.430555555547</v>
      </c>
      <c r="Y43" s="11"/>
      <c r="Z43" s="11">
        <v>0.5</v>
      </c>
      <c r="AA43" s="11"/>
      <c r="AB43" s="11" t="s">
        <v>330</v>
      </c>
      <c r="AC43" s="212" t="s">
        <v>331</v>
      </c>
      <c r="AD43" s="11" t="s">
        <v>332</v>
      </c>
      <c r="AE43" s="11"/>
      <c r="AF43" s="11"/>
      <c r="AG43" s="11"/>
      <c r="AH43" s="11"/>
      <c r="AI43" s="11"/>
      <c r="AJ43" s="11"/>
      <c r="AK43" s="11" t="s">
        <v>332</v>
      </c>
      <c r="AL43" s="213" t="e">
        <f t="shared" si="0"/>
        <v>#VALUE!</v>
      </c>
      <c r="AM43" s="211">
        <f t="shared" si="1"/>
        <v>46000</v>
      </c>
    </row>
    <row r="44" spans="1:39" ht="21.6" customHeight="1">
      <c r="A44" s="11">
        <v>44</v>
      </c>
      <c r="B44" s="11" t="s">
        <v>322</v>
      </c>
      <c r="C44" s="11">
        <v>2025121487</v>
      </c>
      <c r="D44" s="11"/>
      <c r="E44" s="11"/>
      <c r="F44" s="11">
        <v>3751</v>
      </c>
      <c r="G44" s="11" t="s">
        <v>571</v>
      </c>
      <c r="H44" s="11" t="s">
        <v>567</v>
      </c>
      <c r="I44" s="11"/>
      <c r="J44" s="11"/>
      <c r="K44" s="11"/>
      <c r="L44" s="11"/>
      <c r="M44" s="12"/>
      <c r="N44" s="11"/>
      <c r="O44" s="12"/>
      <c r="P44" s="13"/>
      <c r="Q44" s="11" t="s">
        <v>572</v>
      </c>
      <c r="R44" s="11" t="s">
        <v>326</v>
      </c>
      <c r="S44" s="11" t="s">
        <v>123</v>
      </c>
      <c r="T44" s="11">
        <v>1</v>
      </c>
      <c r="U44" s="11" t="s">
        <v>327</v>
      </c>
      <c r="V44" s="11" t="s">
        <v>573</v>
      </c>
      <c r="W44" s="11" t="s">
        <v>574</v>
      </c>
      <c r="X44" s="367">
        <v>46000.472222222219</v>
      </c>
      <c r="Y44" s="11"/>
      <c r="Z44" s="11">
        <v>0.5</v>
      </c>
      <c r="AA44" s="11"/>
      <c r="AB44" s="11" t="s">
        <v>330</v>
      </c>
      <c r="AC44" s="212" t="s">
        <v>331</v>
      </c>
      <c r="AD44" s="11" t="s">
        <v>332</v>
      </c>
      <c r="AE44" s="11"/>
      <c r="AF44" s="11"/>
      <c r="AG44" s="11"/>
      <c r="AH44" s="11"/>
      <c r="AI44" s="11"/>
      <c r="AJ44" s="11"/>
      <c r="AK44" s="11" t="s">
        <v>332</v>
      </c>
      <c r="AL44" s="213" t="e">
        <f t="shared" si="0"/>
        <v>#VALUE!</v>
      </c>
      <c r="AM44" s="211">
        <f t="shared" si="1"/>
        <v>46000</v>
      </c>
    </row>
    <row r="45" spans="1:39" ht="21.6" customHeight="1">
      <c r="A45" s="11">
        <v>45</v>
      </c>
      <c r="B45" s="11" t="s">
        <v>322</v>
      </c>
      <c r="C45" s="11">
        <v>2025121488</v>
      </c>
      <c r="D45" s="11"/>
      <c r="E45" s="11"/>
      <c r="F45" s="11">
        <v>4802</v>
      </c>
      <c r="G45" s="11" t="s">
        <v>575</v>
      </c>
      <c r="H45" s="11" t="s">
        <v>567</v>
      </c>
      <c r="I45" s="11"/>
      <c r="J45" s="11"/>
      <c r="K45" s="11"/>
      <c r="L45" s="11"/>
      <c r="M45" s="12"/>
      <c r="N45" s="11"/>
      <c r="O45" s="12"/>
      <c r="P45" s="13"/>
      <c r="Q45" s="11" t="s">
        <v>576</v>
      </c>
      <c r="R45" s="11" t="s">
        <v>326</v>
      </c>
      <c r="S45" s="11" t="s">
        <v>123</v>
      </c>
      <c r="T45" s="11">
        <v>1</v>
      </c>
      <c r="U45" s="11" t="s">
        <v>327</v>
      </c>
      <c r="V45" s="11" t="s">
        <v>577</v>
      </c>
      <c r="W45" s="11" t="s">
        <v>578</v>
      </c>
      <c r="X45" s="367">
        <v>46000.496527777781</v>
      </c>
      <c r="Y45" s="11"/>
      <c r="Z45" s="11">
        <v>0.4</v>
      </c>
      <c r="AA45" s="11"/>
      <c r="AB45" s="11" t="s">
        <v>330</v>
      </c>
      <c r="AC45" s="212" t="s">
        <v>102</v>
      </c>
      <c r="AD45" s="11"/>
      <c r="AE45" s="11"/>
      <c r="AF45" s="11"/>
      <c r="AG45" s="11"/>
      <c r="AH45" s="11"/>
      <c r="AI45" s="11"/>
      <c r="AJ45" s="11" t="s">
        <v>332</v>
      </c>
      <c r="AK45" s="11" t="s">
        <v>332</v>
      </c>
      <c r="AL45" s="213" t="e">
        <f t="shared" si="0"/>
        <v>#VALUE!</v>
      </c>
      <c r="AM45" s="211">
        <f t="shared" si="1"/>
        <v>46000</v>
      </c>
    </row>
    <row r="46" spans="1:39" ht="21.6" customHeight="1">
      <c r="A46" s="11">
        <v>46</v>
      </c>
      <c r="B46" s="11" t="s">
        <v>322</v>
      </c>
      <c r="C46" s="11">
        <v>2025121501</v>
      </c>
      <c r="D46" s="11"/>
      <c r="E46" s="11"/>
      <c r="F46" s="11">
        <v>4093</v>
      </c>
      <c r="G46" s="11" t="s">
        <v>579</v>
      </c>
      <c r="H46" s="11" t="s">
        <v>567</v>
      </c>
      <c r="I46" s="11"/>
      <c r="J46" s="11"/>
      <c r="K46" s="11"/>
      <c r="L46" s="11"/>
      <c r="M46" s="12"/>
      <c r="N46" s="11"/>
      <c r="O46" s="12"/>
      <c r="P46" s="13"/>
      <c r="Q46" s="11" t="s">
        <v>580</v>
      </c>
      <c r="R46" s="11" t="s">
        <v>326</v>
      </c>
      <c r="S46" s="11" t="s">
        <v>123</v>
      </c>
      <c r="T46" s="11">
        <v>1</v>
      </c>
      <c r="U46" s="11" t="s">
        <v>327</v>
      </c>
      <c r="V46" s="11" t="s">
        <v>581</v>
      </c>
      <c r="W46" s="11" t="s">
        <v>582</v>
      </c>
      <c r="X46" s="367">
        <v>46000.521527777782</v>
      </c>
      <c r="Y46" s="11"/>
      <c r="Z46" s="11">
        <v>0.4</v>
      </c>
      <c r="AA46" s="11"/>
      <c r="AB46" s="11" t="s">
        <v>330</v>
      </c>
      <c r="AC46" s="212" t="s">
        <v>331</v>
      </c>
      <c r="AD46" s="11" t="s">
        <v>332</v>
      </c>
      <c r="AE46" s="11"/>
      <c r="AF46" s="11"/>
      <c r="AG46" s="11"/>
      <c r="AH46" s="11"/>
      <c r="AI46" s="11"/>
      <c r="AJ46" s="11"/>
      <c r="AK46" s="11" t="s">
        <v>332</v>
      </c>
      <c r="AL46" s="213" t="e">
        <f t="shared" si="0"/>
        <v>#VALUE!</v>
      </c>
      <c r="AM46" s="211">
        <f t="shared" si="1"/>
        <v>46000</v>
      </c>
    </row>
    <row r="47" spans="1:39" ht="21.6" customHeight="1">
      <c r="A47" s="11">
        <v>47</v>
      </c>
      <c r="B47" s="11" t="s">
        <v>322</v>
      </c>
      <c r="C47" s="11">
        <v>2025121533</v>
      </c>
      <c r="D47" s="11"/>
      <c r="E47" s="11"/>
      <c r="F47" s="11">
        <v>4153</v>
      </c>
      <c r="G47" s="11" t="s">
        <v>583</v>
      </c>
      <c r="H47" s="11" t="s">
        <v>567</v>
      </c>
      <c r="I47" s="11"/>
      <c r="J47" s="11"/>
      <c r="K47" s="11"/>
      <c r="L47" s="11"/>
      <c r="M47" s="12"/>
      <c r="N47" s="11"/>
      <c r="O47" s="12"/>
      <c r="P47" s="13"/>
      <c r="Q47" s="11" t="s">
        <v>584</v>
      </c>
      <c r="R47" s="11" t="s">
        <v>326</v>
      </c>
      <c r="S47" s="11" t="s">
        <v>123</v>
      </c>
      <c r="T47" s="11">
        <v>1</v>
      </c>
      <c r="U47" s="11" t="s">
        <v>327</v>
      </c>
      <c r="V47" s="11" t="s">
        <v>585</v>
      </c>
      <c r="W47" s="11" t="s">
        <v>586</v>
      </c>
      <c r="X47" s="367">
        <v>46000.618055555547</v>
      </c>
      <c r="Y47" s="11"/>
      <c r="Z47" s="11">
        <v>0.3</v>
      </c>
      <c r="AA47" s="11"/>
      <c r="AB47" s="11" t="s">
        <v>330</v>
      </c>
      <c r="AC47" s="212" t="s">
        <v>331</v>
      </c>
      <c r="AD47" s="11" t="s">
        <v>332</v>
      </c>
      <c r="AE47" s="11"/>
      <c r="AF47" s="11"/>
      <c r="AG47" s="11"/>
      <c r="AH47" s="11"/>
      <c r="AI47" s="11"/>
      <c r="AJ47" s="11"/>
      <c r="AK47" s="11" t="s">
        <v>332</v>
      </c>
      <c r="AL47" s="213" t="e">
        <f t="shared" si="0"/>
        <v>#VALUE!</v>
      </c>
      <c r="AM47" s="211">
        <f t="shared" si="1"/>
        <v>46000</v>
      </c>
    </row>
    <row r="48" spans="1:39" ht="21.6" customHeight="1">
      <c r="A48" s="11">
        <v>48</v>
      </c>
      <c r="B48" s="11" t="s">
        <v>322</v>
      </c>
      <c r="C48" s="11">
        <v>2025121544</v>
      </c>
      <c r="D48" s="11"/>
      <c r="E48" s="11"/>
      <c r="F48" s="11">
        <v>4788</v>
      </c>
      <c r="G48" s="11" t="s">
        <v>587</v>
      </c>
      <c r="H48" s="11" t="s">
        <v>567</v>
      </c>
      <c r="I48" s="11"/>
      <c r="J48" s="11"/>
      <c r="K48" s="11"/>
      <c r="L48" s="11"/>
      <c r="M48" s="12"/>
      <c r="N48" s="11"/>
      <c r="O48" s="12"/>
      <c r="P48" s="13"/>
      <c r="Q48" s="11" t="s">
        <v>588</v>
      </c>
      <c r="R48" s="11" t="s">
        <v>326</v>
      </c>
      <c r="S48" s="11" t="s">
        <v>123</v>
      </c>
      <c r="T48" s="11">
        <v>1</v>
      </c>
      <c r="U48" s="11" t="s">
        <v>327</v>
      </c>
      <c r="V48" s="11" t="s">
        <v>589</v>
      </c>
      <c r="W48" s="11" t="s">
        <v>590</v>
      </c>
      <c r="X48" s="367">
        <v>46000.645833333343</v>
      </c>
      <c r="Y48" s="11"/>
      <c r="Z48" s="11">
        <v>0.3</v>
      </c>
      <c r="AA48" s="11"/>
      <c r="AB48" s="11" t="s">
        <v>330</v>
      </c>
      <c r="AC48" s="212" t="s">
        <v>331</v>
      </c>
      <c r="AD48" s="11" t="s">
        <v>332</v>
      </c>
      <c r="AE48" s="11"/>
      <c r="AF48" s="11"/>
      <c r="AG48" s="11"/>
      <c r="AH48" s="11"/>
      <c r="AI48" s="11"/>
      <c r="AJ48" s="11"/>
      <c r="AK48" s="11" t="s">
        <v>332</v>
      </c>
      <c r="AL48" s="213" t="e">
        <f t="shared" si="0"/>
        <v>#VALUE!</v>
      </c>
      <c r="AM48" s="211">
        <f t="shared" si="1"/>
        <v>46000</v>
      </c>
    </row>
    <row r="49" spans="1:39" ht="21.6" customHeight="1">
      <c r="A49" s="11">
        <v>49</v>
      </c>
      <c r="B49" s="11" t="s">
        <v>322</v>
      </c>
      <c r="C49" s="11">
        <v>2025121551</v>
      </c>
      <c r="D49" s="11"/>
      <c r="E49" s="11"/>
      <c r="F49" s="11">
        <v>4983</v>
      </c>
      <c r="G49" s="11" t="s">
        <v>591</v>
      </c>
      <c r="H49" s="11" t="s">
        <v>396</v>
      </c>
      <c r="I49" s="11"/>
      <c r="J49" s="11"/>
      <c r="K49" s="11"/>
      <c r="L49" s="11"/>
      <c r="M49" s="12"/>
      <c r="N49" s="11"/>
      <c r="O49" s="12"/>
      <c r="P49" s="13"/>
      <c r="Q49" s="11" t="s">
        <v>592</v>
      </c>
      <c r="R49" s="11" t="s">
        <v>326</v>
      </c>
      <c r="S49" s="11" t="s">
        <v>134</v>
      </c>
      <c r="T49" s="11">
        <v>1</v>
      </c>
      <c r="U49" s="11" t="s">
        <v>327</v>
      </c>
      <c r="V49" s="11" t="s">
        <v>593</v>
      </c>
      <c r="W49" s="11" t="s">
        <v>594</v>
      </c>
      <c r="X49" s="367">
        <v>46000.663888888892</v>
      </c>
      <c r="Y49" s="11"/>
      <c r="Z49" s="11">
        <v>0.3</v>
      </c>
      <c r="AA49" s="11"/>
      <c r="AB49" s="11" t="s">
        <v>330</v>
      </c>
      <c r="AC49" s="212" t="s">
        <v>331</v>
      </c>
      <c r="AD49" s="11" t="s">
        <v>332</v>
      </c>
      <c r="AE49" s="11"/>
      <c r="AF49" s="11"/>
      <c r="AG49" s="11"/>
      <c r="AH49" s="11"/>
      <c r="AI49" s="11"/>
      <c r="AJ49" s="11"/>
      <c r="AK49" s="11" t="s">
        <v>332</v>
      </c>
      <c r="AL49" s="213" t="e">
        <f t="shared" si="0"/>
        <v>#VALUE!</v>
      </c>
      <c r="AM49" s="211">
        <f t="shared" si="1"/>
        <v>46000</v>
      </c>
    </row>
    <row r="50" spans="1:39" ht="21.6" customHeight="1">
      <c r="A50" s="11">
        <v>50</v>
      </c>
      <c r="B50" s="11" t="s">
        <v>322</v>
      </c>
      <c r="C50" s="11">
        <v>2025121557</v>
      </c>
      <c r="D50" s="11"/>
      <c r="E50" s="11"/>
      <c r="F50" s="11">
        <v>3183</v>
      </c>
      <c r="G50" s="11" t="s">
        <v>595</v>
      </c>
      <c r="H50" s="11" t="s">
        <v>396</v>
      </c>
      <c r="I50" s="11"/>
      <c r="J50" s="11"/>
      <c r="K50" s="11"/>
      <c r="L50" s="11"/>
      <c r="M50" s="12"/>
      <c r="N50" s="11"/>
      <c r="O50" s="12"/>
      <c r="P50" s="13"/>
      <c r="Q50" s="11" t="s">
        <v>596</v>
      </c>
      <c r="R50" s="11" t="s">
        <v>326</v>
      </c>
      <c r="S50" s="11" t="s">
        <v>134</v>
      </c>
      <c r="T50" s="11">
        <v>1</v>
      </c>
      <c r="U50" s="11" t="s">
        <v>327</v>
      </c>
      <c r="V50" s="11" t="s">
        <v>597</v>
      </c>
      <c r="W50" s="11" t="s">
        <v>598</v>
      </c>
      <c r="X50" s="367">
        <v>46000.677083333343</v>
      </c>
      <c r="Y50" s="11"/>
      <c r="Z50" s="11">
        <v>0.3</v>
      </c>
      <c r="AA50" s="11"/>
      <c r="AB50" s="11" t="s">
        <v>330</v>
      </c>
      <c r="AC50" s="212" t="s">
        <v>331</v>
      </c>
      <c r="AD50" s="11" t="s">
        <v>332</v>
      </c>
      <c r="AE50" s="11"/>
      <c r="AF50" s="11"/>
      <c r="AG50" s="11"/>
      <c r="AH50" s="11"/>
      <c r="AI50" s="11"/>
      <c r="AJ50" s="11"/>
      <c r="AK50" s="11" t="s">
        <v>332</v>
      </c>
      <c r="AL50" s="213" t="e">
        <f t="shared" si="0"/>
        <v>#VALUE!</v>
      </c>
      <c r="AM50" s="211">
        <f t="shared" si="1"/>
        <v>46000</v>
      </c>
    </row>
    <row r="51" spans="1:39" ht="21.6" customHeight="1">
      <c r="A51" s="11">
        <v>51</v>
      </c>
      <c r="B51" s="11" t="s">
        <v>322</v>
      </c>
      <c r="C51" s="11">
        <v>2025121570</v>
      </c>
      <c r="D51" s="11"/>
      <c r="E51" s="11"/>
      <c r="F51" s="11">
        <v>4298</v>
      </c>
      <c r="G51" s="11" t="s">
        <v>599</v>
      </c>
      <c r="H51" s="11" t="s">
        <v>567</v>
      </c>
      <c r="I51" s="11"/>
      <c r="J51" s="11"/>
      <c r="K51" s="11"/>
      <c r="L51" s="11"/>
      <c r="M51" s="12"/>
      <c r="N51" s="11"/>
      <c r="O51" s="12"/>
      <c r="P51" s="13"/>
      <c r="Q51" s="11" t="s">
        <v>600</v>
      </c>
      <c r="R51" s="11" t="s">
        <v>326</v>
      </c>
      <c r="S51" s="11" t="s">
        <v>123</v>
      </c>
      <c r="T51" s="11">
        <v>1</v>
      </c>
      <c r="U51" s="11" t="s">
        <v>327</v>
      </c>
      <c r="V51" s="11" t="s">
        <v>601</v>
      </c>
      <c r="W51" s="11" t="s">
        <v>602</v>
      </c>
      <c r="X51" s="367">
        <v>46000.673611111109</v>
      </c>
      <c r="Y51" s="11"/>
      <c r="Z51" s="11">
        <v>0.3</v>
      </c>
      <c r="AA51" s="11"/>
      <c r="AB51" s="11" t="s">
        <v>330</v>
      </c>
      <c r="AC51" s="212" t="s">
        <v>331</v>
      </c>
      <c r="AD51" s="11" t="s">
        <v>332</v>
      </c>
      <c r="AE51" s="11"/>
      <c r="AF51" s="11"/>
      <c r="AG51" s="11"/>
      <c r="AH51" s="11"/>
      <c r="AI51" s="11"/>
      <c r="AJ51" s="11"/>
      <c r="AK51" s="11" t="s">
        <v>332</v>
      </c>
      <c r="AL51" s="213" t="e">
        <f t="shared" si="0"/>
        <v>#VALUE!</v>
      </c>
      <c r="AM51" s="211">
        <f t="shared" si="1"/>
        <v>46000</v>
      </c>
    </row>
    <row r="52" spans="1:39" ht="21.6" customHeight="1">
      <c r="A52" s="11">
        <v>43</v>
      </c>
      <c r="B52" s="11" t="s">
        <v>363</v>
      </c>
      <c r="C52" s="11">
        <v>2025121483</v>
      </c>
      <c r="D52" s="11" t="s">
        <v>603</v>
      </c>
      <c r="E52" s="11" t="s">
        <v>365</v>
      </c>
      <c r="F52" s="11" t="s">
        <v>53</v>
      </c>
      <c r="G52" s="11" t="s">
        <v>439</v>
      </c>
      <c r="H52" s="11" t="s">
        <v>358</v>
      </c>
      <c r="I52" s="11" t="s">
        <v>604</v>
      </c>
      <c r="J52" s="11" t="s">
        <v>368</v>
      </c>
      <c r="K52" s="11" t="s">
        <v>446</v>
      </c>
      <c r="L52" s="11" t="s">
        <v>447</v>
      </c>
      <c r="M52" s="12" t="s">
        <v>448</v>
      </c>
      <c r="N52" s="11" t="s">
        <v>449</v>
      </c>
      <c r="O52" s="12" t="s">
        <v>450</v>
      </c>
      <c r="P52" s="13" t="s">
        <v>605</v>
      </c>
      <c r="Q52" s="11" t="s">
        <v>440</v>
      </c>
      <c r="R52" s="11" t="s">
        <v>326</v>
      </c>
      <c r="S52" s="11" t="s">
        <v>123</v>
      </c>
      <c r="T52" s="11">
        <v>1</v>
      </c>
      <c r="U52" s="11" t="s">
        <v>327</v>
      </c>
      <c r="V52" s="11" t="s">
        <v>606</v>
      </c>
      <c r="W52" s="11" t="s">
        <v>607</v>
      </c>
      <c r="X52" s="367">
        <v>46001.472222222219</v>
      </c>
      <c r="Y52" s="11" t="s">
        <v>608</v>
      </c>
      <c r="Z52" s="11">
        <v>0.7</v>
      </c>
      <c r="AA52" s="11"/>
      <c r="AB52" s="11" t="s">
        <v>330</v>
      </c>
      <c r="AC52" s="212" t="s">
        <v>609</v>
      </c>
      <c r="AD52" s="11"/>
      <c r="AE52" s="11"/>
      <c r="AF52" s="11"/>
      <c r="AG52" s="11"/>
      <c r="AH52" s="11"/>
      <c r="AI52" s="11"/>
      <c r="AJ52" s="11"/>
      <c r="AK52" s="11" t="s">
        <v>332</v>
      </c>
      <c r="AL52" s="213">
        <f t="shared" si="0"/>
        <v>46000</v>
      </c>
      <c r="AM52" s="211">
        <f t="shared" si="1"/>
        <v>46001</v>
      </c>
    </row>
    <row r="53" spans="1:39" ht="21.6" customHeight="1">
      <c r="A53" s="11">
        <v>44</v>
      </c>
      <c r="B53" s="11" t="s">
        <v>363</v>
      </c>
      <c r="C53" s="11">
        <v>2025121484</v>
      </c>
      <c r="D53" s="11" t="s">
        <v>610</v>
      </c>
      <c r="E53" s="11" t="s">
        <v>365</v>
      </c>
      <c r="F53" s="11" t="s">
        <v>53</v>
      </c>
      <c r="G53" s="11" t="s">
        <v>439</v>
      </c>
      <c r="H53" s="11" t="s">
        <v>358</v>
      </c>
      <c r="I53" s="11" t="s">
        <v>611</v>
      </c>
      <c r="J53" s="11" t="s">
        <v>368</v>
      </c>
      <c r="K53" s="11" t="s">
        <v>446</v>
      </c>
      <c r="L53" s="11" t="s">
        <v>612</v>
      </c>
      <c r="M53" s="12" t="s">
        <v>613</v>
      </c>
      <c r="N53" s="11">
        <v>2901</v>
      </c>
      <c r="O53" s="12" t="s">
        <v>450</v>
      </c>
      <c r="P53" s="13" t="s">
        <v>614</v>
      </c>
      <c r="Q53" s="11" t="s">
        <v>440</v>
      </c>
      <c r="R53" s="11" t="s">
        <v>326</v>
      </c>
      <c r="S53" s="11" t="s">
        <v>123</v>
      </c>
      <c r="T53" s="11">
        <v>1</v>
      </c>
      <c r="U53" s="11" t="s">
        <v>327</v>
      </c>
      <c r="V53" s="11" t="s">
        <v>615</v>
      </c>
      <c r="W53" s="11" t="s">
        <v>616</v>
      </c>
      <c r="X53" s="367">
        <v>46001.440972222219</v>
      </c>
      <c r="Y53" s="11" t="s">
        <v>617</v>
      </c>
      <c r="Z53" s="11">
        <v>0.3</v>
      </c>
      <c r="AA53" s="11"/>
      <c r="AB53" s="11" t="s">
        <v>330</v>
      </c>
      <c r="AC53" s="212" t="s">
        <v>618</v>
      </c>
      <c r="AD53" s="11"/>
      <c r="AE53" s="11"/>
      <c r="AF53" s="11"/>
      <c r="AG53" s="11"/>
      <c r="AH53" s="11"/>
      <c r="AI53" s="11"/>
      <c r="AJ53" s="11"/>
      <c r="AK53" s="11" t="s">
        <v>332</v>
      </c>
      <c r="AL53" s="213">
        <f t="shared" si="0"/>
        <v>46000</v>
      </c>
      <c r="AM53" s="211">
        <f t="shared" si="1"/>
        <v>46001</v>
      </c>
    </row>
    <row r="54" spans="1:39" ht="21.6" customHeight="1">
      <c r="A54" s="11">
        <v>54</v>
      </c>
      <c r="B54" s="11" t="s">
        <v>322</v>
      </c>
      <c r="C54" s="11">
        <v>2025121586</v>
      </c>
      <c r="D54" s="11"/>
      <c r="E54" s="11"/>
      <c r="F54" s="11">
        <v>4529</v>
      </c>
      <c r="G54" s="11" t="s">
        <v>619</v>
      </c>
      <c r="H54" s="11" t="s">
        <v>567</v>
      </c>
      <c r="I54" s="11"/>
      <c r="J54" s="11"/>
      <c r="K54" s="11"/>
      <c r="L54" s="11"/>
      <c r="M54" s="12"/>
      <c r="N54" s="11"/>
      <c r="O54" s="12"/>
      <c r="P54" s="13"/>
      <c r="Q54" s="11" t="s">
        <v>620</v>
      </c>
      <c r="R54" s="11" t="s">
        <v>326</v>
      </c>
      <c r="S54" s="11" t="s">
        <v>123</v>
      </c>
      <c r="T54" s="11">
        <v>1</v>
      </c>
      <c r="U54" s="11" t="s">
        <v>327</v>
      </c>
      <c r="V54" s="11" t="s">
        <v>621</v>
      </c>
      <c r="W54" s="11" t="s">
        <v>622</v>
      </c>
      <c r="X54" s="367">
        <v>46000.704861111109</v>
      </c>
      <c r="Y54" s="11"/>
      <c r="Z54" s="11">
        <v>0.3</v>
      </c>
      <c r="AA54" s="11"/>
      <c r="AB54" s="11" t="s">
        <v>330</v>
      </c>
      <c r="AC54" s="212" t="s">
        <v>331</v>
      </c>
      <c r="AD54" s="11" t="s">
        <v>332</v>
      </c>
      <c r="AE54" s="11"/>
      <c r="AF54" s="11"/>
      <c r="AG54" s="11"/>
      <c r="AH54" s="11"/>
      <c r="AI54" s="11"/>
      <c r="AJ54" s="11"/>
      <c r="AK54" s="11" t="s">
        <v>332</v>
      </c>
      <c r="AL54" s="213" t="e">
        <f t="shared" si="0"/>
        <v>#VALUE!</v>
      </c>
      <c r="AM54" s="211">
        <f t="shared" si="1"/>
        <v>46000</v>
      </c>
    </row>
    <row r="55" spans="1:39" ht="21.6" customHeight="1">
      <c r="A55" s="11">
        <v>55</v>
      </c>
      <c r="B55" s="11" t="s">
        <v>322</v>
      </c>
      <c r="C55" s="11">
        <v>2025121764</v>
      </c>
      <c r="D55" s="11"/>
      <c r="E55" s="11"/>
      <c r="F55" s="11">
        <v>3853</v>
      </c>
      <c r="G55" s="11" t="s">
        <v>623</v>
      </c>
      <c r="H55" s="11" t="s">
        <v>396</v>
      </c>
      <c r="I55" s="11"/>
      <c r="J55" s="11"/>
      <c r="K55" s="11"/>
      <c r="L55" s="11"/>
      <c r="M55" s="12"/>
      <c r="N55" s="11"/>
      <c r="O55" s="12"/>
      <c r="P55" s="13"/>
      <c r="Q55" s="11" t="s">
        <v>624</v>
      </c>
      <c r="R55" s="11" t="s">
        <v>326</v>
      </c>
      <c r="S55" s="11" t="s">
        <v>134</v>
      </c>
      <c r="T55" s="11">
        <v>1</v>
      </c>
      <c r="U55" s="11" t="s">
        <v>327</v>
      </c>
      <c r="V55" s="11" t="s">
        <v>625</v>
      </c>
      <c r="W55" s="11" t="s">
        <v>626</v>
      </c>
      <c r="X55" s="367">
        <v>46001.631944444453</v>
      </c>
      <c r="Y55" s="11"/>
      <c r="Z55" s="11">
        <v>0.2</v>
      </c>
      <c r="AA55" s="11"/>
      <c r="AB55" s="11" t="s">
        <v>330</v>
      </c>
      <c r="AC55" s="212" t="s">
        <v>331</v>
      </c>
      <c r="AD55" s="11" t="s">
        <v>332</v>
      </c>
      <c r="AE55" s="11"/>
      <c r="AF55" s="11"/>
      <c r="AG55" s="11"/>
      <c r="AH55" s="11"/>
      <c r="AI55" s="11"/>
      <c r="AJ55" s="11"/>
      <c r="AK55" s="11" t="s">
        <v>332</v>
      </c>
      <c r="AL55" s="213" t="e">
        <f t="shared" si="0"/>
        <v>#VALUE!</v>
      </c>
      <c r="AM55" s="211">
        <f t="shared" si="1"/>
        <v>46001</v>
      </c>
    </row>
    <row r="56" spans="1:39" ht="21.6" customHeight="1">
      <c r="A56" s="11">
        <v>56</v>
      </c>
      <c r="B56" s="11" t="s">
        <v>322</v>
      </c>
      <c r="C56" s="11">
        <v>2025121787</v>
      </c>
      <c r="D56" s="11"/>
      <c r="E56" s="11"/>
      <c r="F56" s="11">
        <v>3955</v>
      </c>
      <c r="G56" s="11" t="s">
        <v>627</v>
      </c>
      <c r="H56" s="11" t="s">
        <v>396</v>
      </c>
      <c r="I56" s="11"/>
      <c r="J56" s="11"/>
      <c r="K56" s="11"/>
      <c r="L56" s="11"/>
      <c r="M56" s="12"/>
      <c r="N56" s="11"/>
      <c r="O56" s="12"/>
      <c r="P56" s="13"/>
      <c r="Q56" s="11" t="s">
        <v>628</v>
      </c>
      <c r="R56" s="11" t="s">
        <v>326</v>
      </c>
      <c r="S56" s="11" t="s">
        <v>134</v>
      </c>
      <c r="T56" s="11">
        <v>1</v>
      </c>
      <c r="U56" s="11" t="s">
        <v>327</v>
      </c>
      <c r="V56" s="11" t="s">
        <v>629</v>
      </c>
      <c r="W56" s="11" t="s">
        <v>630</v>
      </c>
      <c r="X56" s="367">
        <v>46001.618055555547</v>
      </c>
      <c r="Y56" s="11"/>
      <c r="Z56" s="11">
        <v>0.3</v>
      </c>
      <c r="AA56" s="11"/>
      <c r="AB56" s="11" t="s">
        <v>330</v>
      </c>
      <c r="AC56" s="212" t="s">
        <v>331</v>
      </c>
      <c r="AD56" s="11" t="s">
        <v>332</v>
      </c>
      <c r="AE56" s="11"/>
      <c r="AF56" s="11"/>
      <c r="AG56" s="11"/>
      <c r="AH56" s="11"/>
      <c r="AI56" s="11"/>
      <c r="AJ56" s="11"/>
      <c r="AK56" s="11" t="s">
        <v>332</v>
      </c>
      <c r="AL56" s="213" t="e">
        <f t="shared" si="0"/>
        <v>#VALUE!</v>
      </c>
      <c r="AM56" s="211">
        <f t="shared" si="1"/>
        <v>46001</v>
      </c>
    </row>
    <row r="57" spans="1:39" ht="21.6" customHeight="1">
      <c r="A57" s="11">
        <v>55</v>
      </c>
      <c r="B57" s="11" t="s">
        <v>363</v>
      </c>
      <c r="C57" s="11">
        <v>2025121763</v>
      </c>
      <c r="D57" s="11" t="s">
        <v>631</v>
      </c>
      <c r="E57" s="11" t="s">
        <v>475</v>
      </c>
      <c r="F57" s="11">
        <v>5428</v>
      </c>
      <c r="G57" s="11" t="s">
        <v>188</v>
      </c>
      <c r="H57" s="11" t="s">
        <v>358</v>
      </c>
      <c r="I57" s="11" t="s">
        <v>632</v>
      </c>
      <c r="J57" s="11" t="s">
        <v>383</v>
      </c>
      <c r="K57" s="11" t="s">
        <v>200</v>
      </c>
      <c r="L57" s="11" t="s">
        <v>558</v>
      </c>
      <c r="M57" s="12" t="s">
        <v>559</v>
      </c>
      <c r="N57" s="11">
        <v>2405</v>
      </c>
      <c r="O57" s="12" t="s">
        <v>560</v>
      </c>
      <c r="P57" s="13" t="s">
        <v>633</v>
      </c>
      <c r="Q57" s="11" t="s">
        <v>634</v>
      </c>
      <c r="R57" s="11" t="s">
        <v>326</v>
      </c>
      <c r="S57" s="11" t="s">
        <v>123</v>
      </c>
      <c r="T57" s="11">
        <v>1</v>
      </c>
      <c r="U57" s="11" t="s">
        <v>327</v>
      </c>
      <c r="V57" s="11" t="s">
        <v>635</v>
      </c>
      <c r="W57" s="11" t="s">
        <v>636</v>
      </c>
      <c r="X57" s="367">
        <v>46001.785416666673</v>
      </c>
      <c r="Y57" s="11" t="s">
        <v>637</v>
      </c>
      <c r="Z57" s="11">
        <v>1.9</v>
      </c>
      <c r="AA57" s="11"/>
      <c r="AB57" s="11" t="s">
        <v>330</v>
      </c>
      <c r="AC57" s="212" t="s">
        <v>638</v>
      </c>
      <c r="AD57" s="11"/>
      <c r="AE57" s="11"/>
      <c r="AF57" s="11"/>
      <c r="AG57" s="11"/>
      <c r="AH57" s="11"/>
      <c r="AI57" s="11"/>
      <c r="AJ57" s="11"/>
      <c r="AK57" s="11" t="s">
        <v>332</v>
      </c>
      <c r="AL57" s="213">
        <f t="shared" si="0"/>
        <v>46001</v>
      </c>
      <c r="AM57" s="211">
        <f t="shared" si="1"/>
        <v>46001</v>
      </c>
    </row>
    <row r="58" spans="1:39" ht="21.6" customHeight="1">
      <c r="A58" s="11">
        <v>58</v>
      </c>
      <c r="B58" s="11" t="s">
        <v>322</v>
      </c>
      <c r="C58" s="11">
        <v>2025121884</v>
      </c>
      <c r="D58" s="11"/>
      <c r="E58" s="11"/>
      <c r="F58" s="11">
        <v>2746</v>
      </c>
      <c r="G58" s="11" t="s">
        <v>639</v>
      </c>
      <c r="H58" s="11" t="s">
        <v>396</v>
      </c>
      <c r="I58" s="11"/>
      <c r="J58" s="11"/>
      <c r="K58" s="11"/>
      <c r="L58" s="11"/>
      <c r="M58" s="12"/>
      <c r="N58" s="11"/>
      <c r="O58" s="12"/>
      <c r="P58" s="13"/>
      <c r="Q58" s="11" t="s">
        <v>640</v>
      </c>
      <c r="R58" s="11" t="s">
        <v>326</v>
      </c>
      <c r="S58" s="11" t="s">
        <v>134</v>
      </c>
      <c r="T58" s="11">
        <v>1</v>
      </c>
      <c r="U58" s="11" t="s">
        <v>327</v>
      </c>
      <c r="V58" s="11" t="s">
        <v>641</v>
      </c>
      <c r="W58" s="11" t="s">
        <v>642</v>
      </c>
      <c r="X58" s="367">
        <v>46002.458333333343</v>
      </c>
      <c r="Y58" s="11"/>
      <c r="Z58" s="11">
        <v>0.3</v>
      </c>
      <c r="AA58" s="11"/>
      <c r="AB58" s="11" t="s">
        <v>330</v>
      </c>
      <c r="AC58" s="212" t="s">
        <v>331</v>
      </c>
      <c r="AD58" s="11" t="s">
        <v>332</v>
      </c>
      <c r="AE58" s="11"/>
      <c r="AF58" s="11"/>
      <c r="AG58" s="11"/>
      <c r="AH58" s="11"/>
      <c r="AI58" s="11"/>
      <c r="AJ58" s="11"/>
      <c r="AK58" s="11" t="s">
        <v>332</v>
      </c>
      <c r="AL58" s="213" t="e">
        <f t="shared" si="0"/>
        <v>#VALUE!</v>
      </c>
      <c r="AM58" s="211">
        <f t="shared" si="1"/>
        <v>46002</v>
      </c>
    </row>
    <row r="59" spans="1:39" ht="21.6" customHeight="1">
      <c r="A59" s="11">
        <v>59</v>
      </c>
      <c r="B59" s="11" t="s">
        <v>322</v>
      </c>
      <c r="C59" s="11">
        <v>2025121887</v>
      </c>
      <c r="D59" s="11"/>
      <c r="E59" s="11"/>
      <c r="F59" s="11">
        <v>2221</v>
      </c>
      <c r="G59" s="11" t="s">
        <v>643</v>
      </c>
      <c r="H59" s="11" t="s">
        <v>396</v>
      </c>
      <c r="I59" s="11"/>
      <c r="J59" s="11"/>
      <c r="K59" s="11"/>
      <c r="L59" s="11"/>
      <c r="M59" s="12"/>
      <c r="N59" s="11"/>
      <c r="O59" s="12"/>
      <c r="P59" s="13"/>
      <c r="Q59" s="11" t="s">
        <v>644</v>
      </c>
      <c r="R59" s="11" t="s">
        <v>326</v>
      </c>
      <c r="S59" s="11" t="s">
        <v>134</v>
      </c>
      <c r="T59" s="11">
        <v>1</v>
      </c>
      <c r="U59" s="11" t="s">
        <v>327</v>
      </c>
      <c r="V59" s="11" t="s">
        <v>645</v>
      </c>
      <c r="W59" s="11" t="s">
        <v>646</v>
      </c>
      <c r="X59" s="367">
        <v>46002.46875</v>
      </c>
      <c r="Y59" s="11"/>
      <c r="Z59" s="11">
        <v>0.3</v>
      </c>
      <c r="AA59" s="11"/>
      <c r="AB59" s="11" t="s">
        <v>330</v>
      </c>
      <c r="AC59" s="212" t="s">
        <v>331</v>
      </c>
      <c r="AD59" s="11" t="s">
        <v>332</v>
      </c>
      <c r="AE59" s="11"/>
      <c r="AF59" s="11"/>
      <c r="AG59" s="11"/>
      <c r="AH59" s="11"/>
      <c r="AI59" s="11"/>
      <c r="AJ59" s="11"/>
      <c r="AK59" s="11" t="s">
        <v>332</v>
      </c>
      <c r="AL59" s="213" t="e">
        <f t="shared" si="0"/>
        <v>#VALUE!</v>
      </c>
      <c r="AM59" s="211">
        <f t="shared" si="1"/>
        <v>46002</v>
      </c>
    </row>
    <row r="60" spans="1:39" ht="21.6" customHeight="1">
      <c r="A60" s="11">
        <v>60</v>
      </c>
      <c r="B60" s="11" t="s">
        <v>322</v>
      </c>
      <c r="C60" s="11">
        <v>2025121905</v>
      </c>
      <c r="D60" s="11"/>
      <c r="E60" s="11"/>
      <c r="F60" s="11">
        <v>3627</v>
      </c>
      <c r="G60" s="11" t="s">
        <v>157</v>
      </c>
      <c r="H60" s="11" t="s">
        <v>358</v>
      </c>
      <c r="I60" s="11"/>
      <c r="J60" s="11"/>
      <c r="K60" s="11"/>
      <c r="L60" s="11"/>
      <c r="M60" s="12"/>
      <c r="N60" s="11"/>
      <c r="O60" s="12"/>
      <c r="P60" s="13"/>
      <c r="Q60" s="11" t="s">
        <v>647</v>
      </c>
      <c r="R60" s="11" t="s">
        <v>326</v>
      </c>
      <c r="S60" s="11" t="s">
        <v>123</v>
      </c>
      <c r="T60" s="11">
        <v>1</v>
      </c>
      <c r="U60" s="11" t="s">
        <v>327</v>
      </c>
      <c r="V60" s="11" t="s">
        <v>648</v>
      </c>
      <c r="W60" s="11" t="s">
        <v>649</v>
      </c>
      <c r="X60" s="367">
        <v>46002.5625</v>
      </c>
      <c r="Y60" s="11"/>
      <c r="Z60" s="11">
        <v>0.5</v>
      </c>
      <c r="AA60" s="11"/>
      <c r="AB60" s="11" t="s">
        <v>330</v>
      </c>
      <c r="AC60" s="212" t="s">
        <v>102</v>
      </c>
      <c r="AD60" s="11"/>
      <c r="AE60" s="11"/>
      <c r="AF60" s="11"/>
      <c r="AG60" s="11"/>
      <c r="AH60" s="11"/>
      <c r="AI60" s="11"/>
      <c r="AJ60" s="11" t="s">
        <v>332</v>
      </c>
      <c r="AK60" s="11" t="s">
        <v>332</v>
      </c>
      <c r="AL60" s="213" t="e">
        <f t="shared" si="0"/>
        <v>#VALUE!</v>
      </c>
      <c r="AM60" s="211">
        <f t="shared" si="1"/>
        <v>46002</v>
      </c>
    </row>
    <row r="61" spans="1:39" ht="21.6" customHeight="1">
      <c r="A61" s="11">
        <v>61</v>
      </c>
      <c r="B61" s="11" t="s">
        <v>322</v>
      </c>
      <c r="C61" s="11">
        <v>2025121906</v>
      </c>
      <c r="D61" s="11"/>
      <c r="E61" s="11"/>
      <c r="F61" s="11">
        <v>4260</v>
      </c>
      <c r="G61" s="11" t="s">
        <v>650</v>
      </c>
      <c r="H61" s="11" t="s">
        <v>358</v>
      </c>
      <c r="I61" s="11"/>
      <c r="J61" s="11"/>
      <c r="K61" s="11"/>
      <c r="L61" s="11"/>
      <c r="M61" s="12"/>
      <c r="N61" s="11"/>
      <c r="O61" s="12"/>
      <c r="P61" s="13"/>
      <c r="Q61" s="11" t="s">
        <v>651</v>
      </c>
      <c r="R61" s="11" t="s">
        <v>326</v>
      </c>
      <c r="S61" s="11" t="s">
        <v>123</v>
      </c>
      <c r="T61" s="11">
        <v>1</v>
      </c>
      <c r="U61" s="11" t="s">
        <v>327</v>
      </c>
      <c r="V61" s="11" t="s">
        <v>652</v>
      </c>
      <c r="W61" s="11" t="s">
        <v>653</v>
      </c>
      <c r="X61" s="367">
        <v>46002.572916666657</v>
      </c>
      <c r="Y61" s="11"/>
      <c r="Z61" s="11">
        <v>0.3</v>
      </c>
      <c r="AA61" s="11"/>
      <c r="AB61" s="11" t="s">
        <v>330</v>
      </c>
      <c r="AC61" s="212" t="s">
        <v>102</v>
      </c>
      <c r="AD61" s="11"/>
      <c r="AE61" s="11"/>
      <c r="AF61" s="11"/>
      <c r="AG61" s="11"/>
      <c r="AH61" s="11"/>
      <c r="AI61" s="11"/>
      <c r="AJ61" s="11" t="s">
        <v>332</v>
      </c>
      <c r="AK61" s="11" t="s">
        <v>332</v>
      </c>
      <c r="AL61" s="213" t="e">
        <f t="shared" si="0"/>
        <v>#VALUE!</v>
      </c>
      <c r="AM61" s="211">
        <f t="shared" si="1"/>
        <v>46002</v>
      </c>
    </row>
    <row r="62" spans="1:39" ht="21.6" customHeight="1">
      <c r="A62" s="11">
        <v>62</v>
      </c>
      <c r="B62" s="11" t="s">
        <v>322</v>
      </c>
      <c r="C62" s="11">
        <v>2025121909</v>
      </c>
      <c r="D62" s="11"/>
      <c r="E62" s="11"/>
      <c r="F62" s="11">
        <v>4084</v>
      </c>
      <c r="G62" s="11" t="s">
        <v>654</v>
      </c>
      <c r="H62" s="11" t="s">
        <v>358</v>
      </c>
      <c r="I62" s="11"/>
      <c r="J62" s="11"/>
      <c r="K62" s="11"/>
      <c r="L62" s="11"/>
      <c r="M62" s="12"/>
      <c r="N62" s="11"/>
      <c r="O62" s="12"/>
      <c r="P62" s="13"/>
      <c r="Q62" s="11" t="s">
        <v>655</v>
      </c>
      <c r="R62" s="11" t="s">
        <v>326</v>
      </c>
      <c r="S62" s="11" t="s">
        <v>123</v>
      </c>
      <c r="T62" s="11">
        <v>1</v>
      </c>
      <c r="U62" s="11" t="s">
        <v>327</v>
      </c>
      <c r="V62" s="11" t="s">
        <v>656</v>
      </c>
      <c r="W62" s="11" t="s">
        <v>657</v>
      </c>
      <c r="X62" s="367">
        <v>46002.575694444437</v>
      </c>
      <c r="Y62" s="11"/>
      <c r="Z62" s="11">
        <v>0.1</v>
      </c>
      <c r="AA62" s="11"/>
      <c r="AB62" s="11" t="s">
        <v>330</v>
      </c>
      <c r="AC62" s="212" t="s">
        <v>102</v>
      </c>
      <c r="AD62" s="11"/>
      <c r="AE62" s="11"/>
      <c r="AF62" s="11"/>
      <c r="AG62" s="11"/>
      <c r="AH62" s="11"/>
      <c r="AI62" s="11"/>
      <c r="AJ62" s="11" t="s">
        <v>332</v>
      </c>
      <c r="AK62" s="11" t="s">
        <v>332</v>
      </c>
      <c r="AL62" s="213" t="e">
        <f t="shared" si="0"/>
        <v>#VALUE!</v>
      </c>
      <c r="AM62" s="211">
        <f t="shared" si="1"/>
        <v>46002</v>
      </c>
    </row>
    <row r="63" spans="1:39" ht="21.6" customHeight="1">
      <c r="A63" s="11">
        <v>63</v>
      </c>
      <c r="B63" s="11" t="s">
        <v>322</v>
      </c>
      <c r="C63" s="11">
        <v>2025121912</v>
      </c>
      <c r="D63" s="11"/>
      <c r="E63" s="11"/>
      <c r="F63" s="11">
        <v>2321</v>
      </c>
      <c r="G63" s="11" t="s">
        <v>658</v>
      </c>
      <c r="H63" s="11" t="s">
        <v>358</v>
      </c>
      <c r="I63" s="11"/>
      <c r="J63" s="11"/>
      <c r="K63" s="11"/>
      <c r="L63" s="11"/>
      <c r="M63" s="12"/>
      <c r="N63" s="11"/>
      <c r="O63" s="12"/>
      <c r="P63" s="13"/>
      <c r="Q63" s="11" t="s">
        <v>659</v>
      </c>
      <c r="R63" s="11" t="s">
        <v>326</v>
      </c>
      <c r="S63" s="11" t="s">
        <v>123</v>
      </c>
      <c r="T63" s="11">
        <v>1</v>
      </c>
      <c r="U63" s="11" t="s">
        <v>327</v>
      </c>
      <c r="V63" s="11" t="s">
        <v>660</v>
      </c>
      <c r="W63" s="11" t="s">
        <v>661</v>
      </c>
      <c r="X63" s="367">
        <v>46002.579861111109</v>
      </c>
      <c r="Y63" s="11"/>
      <c r="Z63" s="11">
        <v>0.1</v>
      </c>
      <c r="AA63" s="11"/>
      <c r="AB63" s="11" t="s">
        <v>330</v>
      </c>
      <c r="AC63" s="212" t="s">
        <v>102</v>
      </c>
      <c r="AD63" s="11"/>
      <c r="AE63" s="11"/>
      <c r="AF63" s="11"/>
      <c r="AG63" s="11"/>
      <c r="AH63" s="11"/>
      <c r="AI63" s="11"/>
      <c r="AJ63" s="11" t="s">
        <v>332</v>
      </c>
      <c r="AK63" s="11" t="s">
        <v>332</v>
      </c>
      <c r="AL63" s="213" t="e">
        <f t="shared" si="0"/>
        <v>#VALUE!</v>
      </c>
      <c r="AM63" s="211">
        <f t="shared" si="1"/>
        <v>46002</v>
      </c>
    </row>
    <row r="64" spans="1:39" ht="21.6" customHeight="1">
      <c r="A64" s="11">
        <v>64</v>
      </c>
      <c r="B64" s="11" t="s">
        <v>322</v>
      </c>
      <c r="C64" s="11">
        <v>2025121917</v>
      </c>
      <c r="D64" s="11"/>
      <c r="E64" s="11"/>
      <c r="F64" s="11">
        <v>4134</v>
      </c>
      <c r="G64" s="11" t="s">
        <v>662</v>
      </c>
      <c r="H64" s="11" t="s">
        <v>358</v>
      </c>
      <c r="I64" s="11"/>
      <c r="J64" s="11"/>
      <c r="K64" s="11"/>
      <c r="L64" s="11"/>
      <c r="M64" s="12"/>
      <c r="N64" s="11"/>
      <c r="O64" s="12"/>
      <c r="P64" s="13"/>
      <c r="Q64" s="11" t="s">
        <v>663</v>
      </c>
      <c r="R64" s="11" t="s">
        <v>326</v>
      </c>
      <c r="S64" s="11" t="s">
        <v>123</v>
      </c>
      <c r="T64" s="11">
        <v>1</v>
      </c>
      <c r="U64" s="11" t="s">
        <v>327</v>
      </c>
      <c r="V64" s="11" t="s">
        <v>664</v>
      </c>
      <c r="W64" s="11" t="s">
        <v>665</v>
      </c>
      <c r="X64" s="367">
        <v>46002.586805555547</v>
      </c>
      <c r="Y64" s="11"/>
      <c r="Z64" s="11">
        <v>0.2</v>
      </c>
      <c r="AA64" s="11"/>
      <c r="AB64" s="11" t="s">
        <v>330</v>
      </c>
      <c r="AC64" s="212" t="s">
        <v>102</v>
      </c>
      <c r="AD64" s="11"/>
      <c r="AE64" s="11"/>
      <c r="AF64" s="11"/>
      <c r="AG64" s="11"/>
      <c r="AH64" s="11"/>
      <c r="AI64" s="11"/>
      <c r="AJ64" s="11" t="s">
        <v>332</v>
      </c>
      <c r="AK64" s="11" t="s">
        <v>332</v>
      </c>
      <c r="AL64" s="213" t="e">
        <f t="shared" si="0"/>
        <v>#VALUE!</v>
      </c>
      <c r="AM64" s="211">
        <f t="shared" si="1"/>
        <v>46002</v>
      </c>
    </row>
    <row r="65" spans="1:39" ht="21.6" customHeight="1">
      <c r="A65" s="11">
        <v>65</v>
      </c>
      <c r="B65" s="11" t="s">
        <v>322</v>
      </c>
      <c r="C65" s="11">
        <v>2025121919</v>
      </c>
      <c r="D65" s="11"/>
      <c r="E65" s="11"/>
      <c r="F65" s="11">
        <v>2302</v>
      </c>
      <c r="G65" s="11" t="s">
        <v>666</v>
      </c>
      <c r="H65" s="11" t="s">
        <v>358</v>
      </c>
      <c r="I65" s="11"/>
      <c r="J65" s="11"/>
      <c r="K65" s="11"/>
      <c r="L65" s="11"/>
      <c r="M65" s="12"/>
      <c r="N65" s="11"/>
      <c r="O65" s="12"/>
      <c r="P65" s="13"/>
      <c r="Q65" s="11" t="s">
        <v>667</v>
      </c>
      <c r="R65" s="11" t="s">
        <v>326</v>
      </c>
      <c r="S65" s="11" t="s">
        <v>123</v>
      </c>
      <c r="T65" s="11">
        <v>1</v>
      </c>
      <c r="U65" s="11" t="s">
        <v>327</v>
      </c>
      <c r="V65" s="11" t="s">
        <v>668</v>
      </c>
      <c r="W65" s="11" t="s">
        <v>669</v>
      </c>
      <c r="X65" s="367">
        <v>46002.591666666667</v>
      </c>
      <c r="Y65" s="11"/>
      <c r="Z65" s="11">
        <v>0.1</v>
      </c>
      <c r="AA65" s="11"/>
      <c r="AB65" s="11" t="s">
        <v>330</v>
      </c>
      <c r="AC65" s="212" t="s">
        <v>102</v>
      </c>
      <c r="AD65" s="11"/>
      <c r="AE65" s="11"/>
      <c r="AF65" s="11"/>
      <c r="AG65" s="11"/>
      <c r="AH65" s="11"/>
      <c r="AI65" s="11"/>
      <c r="AJ65" s="11" t="s">
        <v>332</v>
      </c>
      <c r="AK65" s="11" t="s">
        <v>332</v>
      </c>
      <c r="AL65" s="213" t="e">
        <f t="shared" si="0"/>
        <v>#VALUE!</v>
      </c>
      <c r="AM65" s="211">
        <f t="shared" si="1"/>
        <v>46002</v>
      </c>
    </row>
    <row r="66" spans="1:39" ht="21.6" customHeight="1">
      <c r="A66" s="11">
        <v>66</v>
      </c>
      <c r="B66" s="11" t="s">
        <v>322</v>
      </c>
      <c r="C66" s="11">
        <v>2025121920</v>
      </c>
      <c r="D66" s="11"/>
      <c r="E66" s="11"/>
      <c r="F66" s="11">
        <v>3741</v>
      </c>
      <c r="G66" s="11" t="s">
        <v>670</v>
      </c>
      <c r="H66" s="11" t="s">
        <v>358</v>
      </c>
      <c r="I66" s="11"/>
      <c r="J66" s="11"/>
      <c r="K66" s="11"/>
      <c r="L66" s="11"/>
      <c r="M66" s="12"/>
      <c r="N66" s="11"/>
      <c r="O66" s="12"/>
      <c r="P66" s="13"/>
      <c r="Q66" s="11" t="s">
        <v>671</v>
      </c>
      <c r="R66" s="11" t="s">
        <v>326</v>
      </c>
      <c r="S66" s="11" t="s">
        <v>123</v>
      </c>
      <c r="T66" s="11">
        <v>1</v>
      </c>
      <c r="U66" s="11" t="s">
        <v>327</v>
      </c>
      <c r="V66" s="11" t="s">
        <v>672</v>
      </c>
      <c r="W66" s="11" t="s">
        <v>673</v>
      </c>
      <c r="X66" s="367">
        <v>46002.597222222219</v>
      </c>
      <c r="Y66" s="11"/>
      <c r="Z66" s="11">
        <v>0.1</v>
      </c>
      <c r="AA66" s="11"/>
      <c r="AB66" s="11" t="s">
        <v>330</v>
      </c>
      <c r="AC66" s="212" t="s">
        <v>102</v>
      </c>
      <c r="AD66" s="11"/>
      <c r="AE66" s="11"/>
      <c r="AF66" s="11"/>
      <c r="AG66" s="11"/>
      <c r="AH66" s="11"/>
      <c r="AI66" s="11"/>
      <c r="AJ66" s="11" t="s">
        <v>332</v>
      </c>
      <c r="AK66" s="11" t="s">
        <v>332</v>
      </c>
      <c r="AL66" s="213" t="e">
        <f t="shared" ref="AL66:AL129" si="2">DATEVALUE(TEXT(I66, "yyyy/mm/dd"))</f>
        <v>#VALUE!</v>
      </c>
      <c r="AM66" s="211">
        <f t="shared" ref="AM66:AM129" si="3">DATEVALUE(TEXT(X66, "yyyy/mm/dd"))</f>
        <v>46002</v>
      </c>
    </row>
    <row r="67" spans="1:39" ht="21.6" customHeight="1">
      <c r="A67" s="11">
        <v>67</v>
      </c>
      <c r="B67" s="11" t="s">
        <v>322</v>
      </c>
      <c r="C67" s="11">
        <v>2025121938</v>
      </c>
      <c r="D67" s="11"/>
      <c r="E67" s="11"/>
      <c r="F67" s="11">
        <v>3983</v>
      </c>
      <c r="G67" s="11" t="s">
        <v>674</v>
      </c>
      <c r="H67" s="11" t="s">
        <v>358</v>
      </c>
      <c r="I67" s="11"/>
      <c r="J67" s="11"/>
      <c r="K67" s="11"/>
      <c r="L67" s="11"/>
      <c r="M67" s="12"/>
      <c r="N67" s="11"/>
      <c r="O67" s="12"/>
      <c r="P67" s="13"/>
      <c r="Q67" s="11" t="s">
        <v>675</v>
      </c>
      <c r="R67" s="11" t="s">
        <v>326</v>
      </c>
      <c r="S67" s="11" t="s">
        <v>123</v>
      </c>
      <c r="T67" s="11">
        <v>1</v>
      </c>
      <c r="U67" s="11" t="s">
        <v>327</v>
      </c>
      <c r="V67" s="11" t="s">
        <v>676</v>
      </c>
      <c r="W67" s="11" t="s">
        <v>677</v>
      </c>
      <c r="X67" s="367">
        <v>46002.600694444453</v>
      </c>
      <c r="Y67" s="11"/>
      <c r="Z67" s="11">
        <v>0.1</v>
      </c>
      <c r="AA67" s="11"/>
      <c r="AB67" s="11" t="s">
        <v>330</v>
      </c>
      <c r="AC67" s="212" t="s">
        <v>102</v>
      </c>
      <c r="AD67" s="11"/>
      <c r="AE67" s="11"/>
      <c r="AF67" s="11"/>
      <c r="AG67" s="11"/>
      <c r="AH67" s="11"/>
      <c r="AI67" s="11"/>
      <c r="AJ67" s="11" t="s">
        <v>332</v>
      </c>
      <c r="AK67" s="11" t="s">
        <v>332</v>
      </c>
      <c r="AL67" s="213" t="e">
        <f t="shared" si="2"/>
        <v>#VALUE!</v>
      </c>
      <c r="AM67" s="211">
        <f t="shared" si="3"/>
        <v>46002</v>
      </c>
    </row>
    <row r="68" spans="1:39" ht="21.6" customHeight="1">
      <c r="A68" s="11">
        <v>68</v>
      </c>
      <c r="B68" s="11" t="s">
        <v>322</v>
      </c>
      <c r="C68" s="11">
        <v>2025121946</v>
      </c>
      <c r="D68" s="11"/>
      <c r="E68" s="11"/>
      <c r="F68" s="11">
        <v>4586</v>
      </c>
      <c r="G68" s="11" t="s">
        <v>678</v>
      </c>
      <c r="H68" s="11" t="s">
        <v>358</v>
      </c>
      <c r="I68" s="11"/>
      <c r="J68" s="11"/>
      <c r="K68" s="11"/>
      <c r="L68" s="11"/>
      <c r="M68" s="12"/>
      <c r="N68" s="11"/>
      <c r="O68" s="12"/>
      <c r="P68" s="13"/>
      <c r="Q68" s="11" t="s">
        <v>679</v>
      </c>
      <c r="R68" s="11" t="s">
        <v>326</v>
      </c>
      <c r="S68" s="11" t="s">
        <v>123</v>
      </c>
      <c r="T68" s="11">
        <v>1</v>
      </c>
      <c r="U68" s="11" t="s">
        <v>327</v>
      </c>
      <c r="V68" s="11" t="s">
        <v>680</v>
      </c>
      <c r="W68" s="11" t="s">
        <v>681</v>
      </c>
      <c r="X68" s="367">
        <v>46002.615277777782</v>
      </c>
      <c r="Y68" s="11"/>
      <c r="Z68" s="11">
        <v>0.1</v>
      </c>
      <c r="AA68" s="11"/>
      <c r="AB68" s="11" t="s">
        <v>330</v>
      </c>
      <c r="AC68" s="212" t="s">
        <v>102</v>
      </c>
      <c r="AD68" s="11"/>
      <c r="AE68" s="11"/>
      <c r="AF68" s="11"/>
      <c r="AG68" s="11"/>
      <c r="AH68" s="11"/>
      <c r="AI68" s="11"/>
      <c r="AJ68" s="11" t="s">
        <v>332</v>
      </c>
      <c r="AK68" s="11" t="s">
        <v>332</v>
      </c>
      <c r="AL68" s="213" t="e">
        <f t="shared" si="2"/>
        <v>#VALUE!</v>
      </c>
      <c r="AM68" s="211">
        <f t="shared" si="3"/>
        <v>46002</v>
      </c>
    </row>
    <row r="69" spans="1:39" ht="21.6" customHeight="1">
      <c r="A69" s="11">
        <v>69</v>
      </c>
      <c r="B69" s="11" t="s">
        <v>322</v>
      </c>
      <c r="C69" s="11">
        <v>2025121948</v>
      </c>
      <c r="D69" s="11"/>
      <c r="E69" s="11"/>
      <c r="F69" s="11">
        <v>4397</v>
      </c>
      <c r="G69" s="11" t="s">
        <v>682</v>
      </c>
      <c r="H69" s="11" t="s">
        <v>358</v>
      </c>
      <c r="I69" s="11"/>
      <c r="J69" s="11"/>
      <c r="K69" s="11"/>
      <c r="L69" s="11"/>
      <c r="M69" s="12"/>
      <c r="N69" s="11"/>
      <c r="O69" s="12"/>
      <c r="P69" s="13"/>
      <c r="Q69" s="11" t="s">
        <v>683</v>
      </c>
      <c r="R69" s="11" t="s">
        <v>326</v>
      </c>
      <c r="S69" s="11" t="s">
        <v>123</v>
      </c>
      <c r="T69" s="11">
        <v>1</v>
      </c>
      <c r="U69" s="11" t="s">
        <v>327</v>
      </c>
      <c r="V69" s="11" t="s">
        <v>684</v>
      </c>
      <c r="W69" s="11" t="s">
        <v>685</v>
      </c>
      <c r="X69" s="367">
        <v>46002.625694444447</v>
      </c>
      <c r="Y69" s="11"/>
      <c r="Z69" s="11">
        <v>0.1</v>
      </c>
      <c r="AA69" s="11"/>
      <c r="AB69" s="11" t="s">
        <v>330</v>
      </c>
      <c r="AC69" s="212" t="s">
        <v>102</v>
      </c>
      <c r="AD69" s="11"/>
      <c r="AE69" s="11"/>
      <c r="AF69" s="11"/>
      <c r="AG69" s="11"/>
      <c r="AH69" s="11"/>
      <c r="AI69" s="11"/>
      <c r="AJ69" s="11" t="s">
        <v>332</v>
      </c>
      <c r="AK69" s="11" t="s">
        <v>332</v>
      </c>
      <c r="AL69" s="213" t="e">
        <f t="shared" si="2"/>
        <v>#VALUE!</v>
      </c>
      <c r="AM69" s="211">
        <f t="shared" si="3"/>
        <v>46002</v>
      </c>
    </row>
    <row r="70" spans="1:39" ht="21.6" customHeight="1">
      <c r="A70" s="11">
        <v>70</v>
      </c>
      <c r="B70" s="11" t="s">
        <v>322</v>
      </c>
      <c r="C70" s="11">
        <v>2025121949</v>
      </c>
      <c r="D70" s="11"/>
      <c r="E70" s="11"/>
      <c r="F70" s="11">
        <v>3840</v>
      </c>
      <c r="G70" s="11" t="s">
        <v>686</v>
      </c>
      <c r="H70" s="11" t="s">
        <v>358</v>
      </c>
      <c r="I70" s="11"/>
      <c r="J70" s="11"/>
      <c r="K70" s="11"/>
      <c r="L70" s="11"/>
      <c r="M70" s="12"/>
      <c r="N70" s="11"/>
      <c r="O70" s="12"/>
      <c r="P70" s="13"/>
      <c r="Q70" s="11" t="s">
        <v>687</v>
      </c>
      <c r="R70" s="11" t="s">
        <v>326</v>
      </c>
      <c r="S70" s="11" t="s">
        <v>123</v>
      </c>
      <c r="T70" s="11">
        <v>1</v>
      </c>
      <c r="U70" s="11" t="s">
        <v>327</v>
      </c>
      <c r="V70" s="11" t="s">
        <v>688</v>
      </c>
      <c r="W70" s="11" t="s">
        <v>689</v>
      </c>
      <c r="X70" s="367">
        <v>46002.628472222219</v>
      </c>
      <c r="Y70" s="11"/>
      <c r="Z70" s="11">
        <v>0.1</v>
      </c>
      <c r="AA70" s="11"/>
      <c r="AB70" s="11" t="s">
        <v>330</v>
      </c>
      <c r="AC70" s="212" t="s">
        <v>102</v>
      </c>
      <c r="AD70" s="11"/>
      <c r="AE70" s="11"/>
      <c r="AF70" s="11"/>
      <c r="AG70" s="11"/>
      <c r="AH70" s="11"/>
      <c r="AI70" s="11"/>
      <c r="AJ70" s="11" t="s">
        <v>332</v>
      </c>
      <c r="AK70" s="11" t="s">
        <v>332</v>
      </c>
      <c r="AL70" s="213" t="e">
        <f t="shared" si="2"/>
        <v>#VALUE!</v>
      </c>
      <c r="AM70" s="211">
        <f t="shared" si="3"/>
        <v>46002</v>
      </c>
    </row>
    <row r="71" spans="1:39" ht="21.6" customHeight="1">
      <c r="A71" s="11">
        <v>71</v>
      </c>
      <c r="B71" s="11" t="s">
        <v>322</v>
      </c>
      <c r="C71" s="11">
        <v>2025121951</v>
      </c>
      <c r="D71" s="11"/>
      <c r="E71" s="11"/>
      <c r="F71" s="11">
        <v>4352</v>
      </c>
      <c r="G71" s="11" t="s">
        <v>690</v>
      </c>
      <c r="H71" s="11" t="s">
        <v>358</v>
      </c>
      <c r="I71" s="11"/>
      <c r="J71" s="11"/>
      <c r="K71" s="11"/>
      <c r="L71" s="11"/>
      <c r="M71" s="12"/>
      <c r="N71" s="11"/>
      <c r="O71" s="12"/>
      <c r="P71" s="13"/>
      <c r="Q71" s="11" t="s">
        <v>691</v>
      </c>
      <c r="R71" s="11" t="s">
        <v>326</v>
      </c>
      <c r="S71" s="11" t="s">
        <v>123</v>
      </c>
      <c r="T71" s="11">
        <v>1</v>
      </c>
      <c r="U71" s="11" t="s">
        <v>327</v>
      </c>
      <c r="V71" s="11" t="s">
        <v>692</v>
      </c>
      <c r="W71" s="11" t="s">
        <v>693</v>
      </c>
      <c r="X71" s="367">
        <v>46002.631944444453</v>
      </c>
      <c r="Y71" s="11"/>
      <c r="Z71" s="11">
        <v>0.1</v>
      </c>
      <c r="AA71" s="11"/>
      <c r="AB71" s="11" t="s">
        <v>330</v>
      </c>
      <c r="AC71" s="212" t="s">
        <v>102</v>
      </c>
      <c r="AD71" s="11"/>
      <c r="AE71" s="11"/>
      <c r="AF71" s="11"/>
      <c r="AG71" s="11"/>
      <c r="AH71" s="11"/>
      <c r="AI71" s="11"/>
      <c r="AJ71" s="11" t="s">
        <v>332</v>
      </c>
      <c r="AK71" s="11" t="s">
        <v>332</v>
      </c>
      <c r="AL71" s="213" t="e">
        <f t="shared" si="2"/>
        <v>#VALUE!</v>
      </c>
      <c r="AM71" s="211">
        <f t="shared" si="3"/>
        <v>46002</v>
      </c>
    </row>
    <row r="72" spans="1:39" ht="21.6" customHeight="1">
      <c r="A72" s="11">
        <v>72</v>
      </c>
      <c r="B72" s="11" t="s">
        <v>322</v>
      </c>
      <c r="C72" s="11">
        <v>2025121957</v>
      </c>
      <c r="D72" s="11"/>
      <c r="E72" s="11"/>
      <c r="F72" s="11">
        <v>4241</v>
      </c>
      <c r="G72" s="11" t="s">
        <v>694</v>
      </c>
      <c r="H72" s="11" t="s">
        <v>358</v>
      </c>
      <c r="I72" s="11"/>
      <c r="J72" s="11"/>
      <c r="K72" s="11"/>
      <c r="L72" s="11"/>
      <c r="M72" s="12"/>
      <c r="N72" s="11"/>
      <c r="O72" s="12"/>
      <c r="P72" s="13"/>
      <c r="Q72" s="11" t="s">
        <v>695</v>
      </c>
      <c r="R72" s="11" t="s">
        <v>326</v>
      </c>
      <c r="S72" s="11" t="s">
        <v>123</v>
      </c>
      <c r="T72" s="11">
        <v>1</v>
      </c>
      <c r="U72" s="11" t="s">
        <v>327</v>
      </c>
      <c r="V72" s="11" t="s">
        <v>696</v>
      </c>
      <c r="W72" s="11" t="s">
        <v>697</v>
      </c>
      <c r="X72" s="367">
        <v>46002.635416666657</v>
      </c>
      <c r="Y72" s="11"/>
      <c r="Z72" s="11">
        <v>0.1</v>
      </c>
      <c r="AA72" s="11"/>
      <c r="AB72" s="11" t="s">
        <v>330</v>
      </c>
      <c r="AC72" s="212" t="s">
        <v>102</v>
      </c>
      <c r="AD72" s="11"/>
      <c r="AE72" s="11"/>
      <c r="AF72" s="11"/>
      <c r="AG72" s="11"/>
      <c r="AH72" s="11"/>
      <c r="AI72" s="11"/>
      <c r="AJ72" s="11" t="s">
        <v>332</v>
      </c>
      <c r="AK72" s="11" t="s">
        <v>332</v>
      </c>
      <c r="AL72" s="213" t="e">
        <f t="shared" si="2"/>
        <v>#VALUE!</v>
      </c>
      <c r="AM72" s="211">
        <f t="shared" si="3"/>
        <v>46002</v>
      </c>
    </row>
    <row r="73" spans="1:39" ht="21.6" customHeight="1">
      <c r="A73" s="11">
        <v>73</v>
      </c>
      <c r="B73" s="11" t="s">
        <v>322</v>
      </c>
      <c r="C73" s="11">
        <v>2025122073</v>
      </c>
      <c r="D73" s="11"/>
      <c r="E73" s="11"/>
      <c r="F73" s="11">
        <v>4154</v>
      </c>
      <c r="G73" s="11" t="s">
        <v>180</v>
      </c>
      <c r="H73" s="11" t="s">
        <v>324</v>
      </c>
      <c r="I73" s="11"/>
      <c r="J73" s="11"/>
      <c r="K73" s="11"/>
      <c r="L73" s="11"/>
      <c r="M73" s="12"/>
      <c r="N73" s="11"/>
      <c r="O73" s="12"/>
      <c r="P73" s="13"/>
      <c r="Q73" s="11" t="s">
        <v>698</v>
      </c>
      <c r="R73" s="11" t="s">
        <v>326</v>
      </c>
      <c r="S73" s="11" t="s">
        <v>123</v>
      </c>
      <c r="T73" s="11">
        <v>1</v>
      </c>
      <c r="U73" s="11" t="s">
        <v>327</v>
      </c>
      <c r="V73" s="11" t="s">
        <v>699</v>
      </c>
      <c r="W73" s="11" t="s">
        <v>700</v>
      </c>
      <c r="X73" s="367">
        <v>46003.458333333343</v>
      </c>
      <c r="Y73" s="11"/>
      <c r="Z73" s="11">
        <v>2</v>
      </c>
      <c r="AA73" s="11"/>
      <c r="AB73" s="11" t="s">
        <v>330</v>
      </c>
      <c r="AC73" s="212" t="s">
        <v>701</v>
      </c>
      <c r="AD73" s="11"/>
      <c r="AE73" s="11" t="s">
        <v>332</v>
      </c>
      <c r="AF73" s="11"/>
      <c r="AG73" s="11"/>
      <c r="AH73" s="11"/>
      <c r="AI73" s="11"/>
      <c r="AJ73" s="11"/>
      <c r="AK73" s="11" t="s">
        <v>332</v>
      </c>
      <c r="AL73" s="213" t="e">
        <f t="shared" si="2"/>
        <v>#VALUE!</v>
      </c>
      <c r="AM73" s="211">
        <f t="shared" si="3"/>
        <v>46003</v>
      </c>
    </row>
    <row r="74" spans="1:39" ht="21.6" customHeight="1">
      <c r="A74" s="11">
        <v>74</v>
      </c>
      <c r="B74" s="11" t="s">
        <v>322</v>
      </c>
      <c r="C74" s="11">
        <v>2025122089</v>
      </c>
      <c r="D74" s="11"/>
      <c r="E74" s="11"/>
      <c r="F74" s="11">
        <v>4154</v>
      </c>
      <c r="G74" s="11" t="s">
        <v>180</v>
      </c>
      <c r="H74" s="11" t="s">
        <v>324</v>
      </c>
      <c r="I74" s="11"/>
      <c r="J74" s="11"/>
      <c r="K74" s="11"/>
      <c r="L74" s="11"/>
      <c r="M74" s="12"/>
      <c r="N74" s="11"/>
      <c r="O74" s="12"/>
      <c r="P74" s="13"/>
      <c r="Q74" s="11" t="s">
        <v>698</v>
      </c>
      <c r="R74" s="11" t="s">
        <v>326</v>
      </c>
      <c r="S74" s="11" t="s">
        <v>118</v>
      </c>
      <c r="T74" s="11">
        <v>1</v>
      </c>
      <c r="U74" s="11" t="s">
        <v>327</v>
      </c>
      <c r="V74" s="11" t="s">
        <v>702</v>
      </c>
      <c r="W74" s="11" t="s">
        <v>700</v>
      </c>
      <c r="X74" s="367">
        <v>46003.458333333343</v>
      </c>
      <c r="Y74" s="11"/>
      <c r="Z74" s="11">
        <v>2</v>
      </c>
      <c r="AA74" s="11"/>
      <c r="AB74" s="11" t="s">
        <v>330</v>
      </c>
      <c r="AC74" s="212" t="s">
        <v>23</v>
      </c>
      <c r="AD74" s="11"/>
      <c r="AE74" s="11" t="s">
        <v>332</v>
      </c>
      <c r="AF74" s="11"/>
      <c r="AG74" s="11"/>
      <c r="AH74" s="11"/>
      <c r="AI74" s="11"/>
      <c r="AJ74" s="11"/>
      <c r="AK74" s="11" t="s">
        <v>332</v>
      </c>
      <c r="AL74" s="213" t="e">
        <f t="shared" si="2"/>
        <v>#VALUE!</v>
      </c>
      <c r="AM74" s="211">
        <f t="shared" si="3"/>
        <v>46003</v>
      </c>
    </row>
    <row r="75" spans="1:39" ht="21.6" customHeight="1">
      <c r="A75" s="11">
        <v>75</v>
      </c>
      <c r="B75" s="11" t="s">
        <v>322</v>
      </c>
      <c r="C75" s="11">
        <v>2025122094</v>
      </c>
      <c r="D75" s="11"/>
      <c r="E75" s="11"/>
      <c r="F75" s="11">
        <v>5384</v>
      </c>
      <c r="G75" s="11" t="s">
        <v>265</v>
      </c>
      <c r="H75" s="11" t="s">
        <v>396</v>
      </c>
      <c r="I75" s="11"/>
      <c r="J75" s="11"/>
      <c r="K75" s="11"/>
      <c r="L75" s="11"/>
      <c r="M75" s="12"/>
      <c r="N75" s="11"/>
      <c r="O75" s="12"/>
      <c r="P75" s="13"/>
      <c r="Q75" s="11" t="s">
        <v>703</v>
      </c>
      <c r="R75" s="11" t="s">
        <v>326</v>
      </c>
      <c r="S75" s="11" t="s">
        <v>134</v>
      </c>
      <c r="T75" s="11">
        <v>1</v>
      </c>
      <c r="U75" s="11" t="s">
        <v>327</v>
      </c>
      <c r="V75" s="11" t="s">
        <v>704</v>
      </c>
      <c r="W75" s="11" t="s">
        <v>705</v>
      </c>
      <c r="X75" s="367">
        <v>46003.552777777782</v>
      </c>
      <c r="Y75" s="11"/>
      <c r="Z75" s="11">
        <v>0.3</v>
      </c>
      <c r="AA75" s="11"/>
      <c r="AB75" s="11" t="s">
        <v>330</v>
      </c>
      <c r="AC75" s="212" t="s">
        <v>331</v>
      </c>
      <c r="AD75" s="11" t="s">
        <v>332</v>
      </c>
      <c r="AE75" s="11"/>
      <c r="AF75" s="11"/>
      <c r="AG75" s="11"/>
      <c r="AH75" s="11"/>
      <c r="AI75" s="11"/>
      <c r="AJ75" s="11"/>
      <c r="AK75" s="11" t="s">
        <v>332</v>
      </c>
      <c r="AL75" s="213" t="e">
        <f t="shared" si="2"/>
        <v>#VALUE!</v>
      </c>
      <c r="AM75" s="211">
        <f t="shared" si="3"/>
        <v>46003</v>
      </c>
    </row>
    <row r="76" spans="1:39" ht="21.6" customHeight="1">
      <c r="A76" s="11">
        <v>76</v>
      </c>
      <c r="B76" s="11" t="s">
        <v>322</v>
      </c>
      <c r="C76" s="11">
        <v>2025122103</v>
      </c>
      <c r="D76" s="11"/>
      <c r="E76" s="11"/>
      <c r="F76" s="11">
        <v>3818</v>
      </c>
      <c r="G76" s="11" t="s">
        <v>153</v>
      </c>
      <c r="H76" s="11" t="s">
        <v>396</v>
      </c>
      <c r="I76" s="11"/>
      <c r="J76" s="11"/>
      <c r="K76" s="11"/>
      <c r="L76" s="11"/>
      <c r="M76" s="12"/>
      <c r="N76" s="11"/>
      <c r="O76" s="12"/>
      <c r="P76" s="13"/>
      <c r="Q76" s="11" t="s">
        <v>706</v>
      </c>
      <c r="R76" s="11" t="s">
        <v>326</v>
      </c>
      <c r="S76" s="11" t="s">
        <v>134</v>
      </c>
      <c r="T76" s="11">
        <v>1</v>
      </c>
      <c r="U76" s="11" t="s">
        <v>327</v>
      </c>
      <c r="V76" s="11" t="s">
        <v>707</v>
      </c>
      <c r="W76" s="11" t="s">
        <v>708</v>
      </c>
      <c r="X76" s="367">
        <v>46003.572916666657</v>
      </c>
      <c r="Y76" s="11"/>
      <c r="Z76" s="11">
        <v>0.3</v>
      </c>
      <c r="AA76" s="11"/>
      <c r="AB76" s="11" t="s">
        <v>330</v>
      </c>
      <c r="AC76" s="212" t="s">
        <v>331</v>
      </c>
      <c r="AD76" s="11" t="s">
        <v>332</v>
      </c>
      <c r="AE76" s="11"/>
      <c r="AF76" s="11"/>
      <c r="AG76" s="11"/>
      <c r="AH76" s="11"/>
      <c r="AI76" s="11"/>
      <c r="AJ76" s="11"/>
      <c r="AK76" s="11" t="s">
        <v>332</v>
      </c>
      <c r="AL76" s="213" t="e">
        <f t="shared" si="2"/>
        <v>#VALUE!</v>
      </c>
      <c r="AM76" s="211">
        <f t="shared" si="3"/>
        <v>46003</v>
      </c>
    </row>
    <row r="77" spans="1:39" ht="21.6" customHeight="1">
      <c r="A77" s="11">
        <v>77</v>
      </c>
      <c r="B77" s="11" t="s">
        <v>363</v>
      </c>
      <c r="C77" s="11">
        <v>2025122156</v>
      </c>
      <c r="D77" s="11" t="s">
        <v>709</v>
      </c>
      <c r="E77" s="11" t="s">
        <v>365</v>
      </c>
      <c r="F77" s="11">
        <v>2014</v>
      </c>
      <c r="G77" s="11" t="s">
        <v>710</v>
      </c>
      <c r="H77" s="11" t="s">
        <v>358</v>
      </c>
      <c r="I77" s="11" t="s">
        <v>711</v>
      </c>
      <c r="J77" s="11" t="s">
        <v>445</v>
      </c>
      <c r="K77" s="11" t="s">
        <v>200</v>
      </c>
      <c r="L77" s="11" t="s">
        <v>558</v>
      </c>
      <c r="M77" s="12" t="s">
        <v>559</v>
      </c>
      <c r="N77" s="11">
        <v>2401</v>
      </c>
      <c r="O77" s="12" t="s">
        <v>712</v>
      </c>
      <c r="P77" s="13" t="s">
        <v>713</v>
      </c>
      <c r="Q77" s="11" t="s">
        <v>714</v>
      </c>
      <c r="R77" s="11" t="s">
        <v>326</v>
      </c>
      <c r="S77" s="11" t="s">
        <v>123</v>
      </c>
      <c r="T77" s="11">
        <v>1</v>
      </c>
      <c r="U77" s="11" t="s">
        <v>327</v>
      </c>
      <c r="V77" s="11" t="s">
        <v>715</v>
      </c>
      <c r="W77" s="11" t="s">
        <v>716</v>
      </c>
      <c r="X77" s="367">
        <v>46004.760416666657</v>
      </c>
      <c r="Y77" s="11" t="s">
        <v>717</v>
      </c>
      <c r="Z77" s="11">
        <v>2.2999999999999998</v>
      </c>
      <c r="AA77" s="11"/>
      <c r="AB77" s="11" t="s">
        <v>330</v>
      </c>
      <c r="AC77" s="212" t="s">
        <v>718</v>
      </c>
      <c r="AD77" s="11"/>
      <c r="AE77" s="11"/>
      <c r="AF77" s="11"/>
      <c r="AG77" s="11"/>
      <c r="AH77" s="11"/>
      <c r="AI77" s="11"/>
      <c r="AJ77" s="11"/>
      <c r="AK77" s="11" t="s">
        <v>332</v>
      </c>
      <c r="AL77" s="213">
        <f t="shared" si="2"/>
        <v>46003</v>
      </c>
      <c r="AM77" s="211">
        <f t="shared" si="3"/>
        <v>46004</v>
      </c>
    </row>
    <row r="78" spans="1:39" ht="21.6" customHeight="1">
      <c r="A78" s="11">
        <v>78</v>
      </c>
      <c r="B78" s="11" t="s">
        <v>363</v>
      </c>
      <c r="C78" s="11">
        <v>2025122170</v>
      </c>
      <c r="D78" s="11" t="s">
        <v>719</v>
      </c>
      <c r="E78" s="11" t="s">
        <v>475</v>
      </c>
      <c r="F78" s="11">
        <v>2014</v>
      </c>
      <c r="G78" s="11" t="s">
        <v>710</v>
      </c>
      <c r="H78" s="11" t="s">
        <v>358</v>
      </c>
      <c r="I78" s="11" t="s">
        <v>720</v>
      </c>
      <c r="J78" s="11" t="s">
        <v>458</v>
      </c>
      <c r="K78" s="11" t="s">
        <v>200</v>
      </c>
      <c r="L78" s="11" t="s">
        <v>558</v>
      </c>
      <c r="M78" s="12" t="s">
        <v>559</v>
      </c>
      <c r="N78" s="11">
        <v>2401</v>
      </c>
      <c r="O78" s="12" t="s">
        <v>712</v>
      </c>
      <c r="P78" s="13" t="s">
        <v>721</v>
      </c>
      <c r="Q78" s="11" t="s">
        <v>714</v>
      </c>
      <c r="R78" s="11" t="s">
        <v>326</v>
      </c>
      <c r="S78" s="11" t="s">
        <v>123</v>
      </c>
      <c r="T78" s="11">
        <v>1</v>
      </c>
      <c r="U78" s="11" t="s">
        <v>327</v>
      </c>
      <c r="V78" s="11" t="s">
        <v>722</v>
      </c>
      <c r="W78" s="11" t="s">
        <v>716</v>
      </c>
      <c r="X78" s="367">
        <v>46004.760416666657</v>
      </c>
      <c r="Y78" s="11" t="s">
        <v>723</v>
      </c>
      <c r="Z78" s="11">
        <v>2.2999999999999998</v>
      </c>
      <c r="AA78" s="11"/>
      <c r="AB78" s="11" t="s">
        <v>330</v>
      </c>
      <c r="AC78" s="212" t="s">
        <v>718</v>
      </c>
      <c r="AD78" s="11"/>
      <c r="AE78" s="11"/>
      <c r="AF78" s="11"/>
      <c r="AG78" s="11"/>
      <c r="AH78" s="11"/>
      <c r="AI78" s="11"/>
      <c r="AJ78" s="11"/>
      <c r="AK78" s="11" t="s">
        <v>332</v>
      </c>
      <c r="AL78" s="213">
        <f t="shared" si="2"/>
        <v>46004</v>
      </c>
      <c r="AM78" s="211">
        <f t="shared" si="3"/>
        <v>46004</v>
      </c>
    </row>
    <row r="79" spans="1:39" ht="21.6" customHeight="1">
      <c r="A79" s="11">
        <v>79</v>
      </c>
      <c r="B79" s="11" t="s">
        <v>363</v>
      </c>
      <c r="C79" s="11">
        <v>2025122172</v>
      </c>
      <c r="D79" s="11" t="s">
        <v>724</v>
      </c>
      <c r="E79" s="11" t="s">
        <v>365</v>
      </c>
      <c r="F79" s="11">
        <v>3962</v>
      </c>
      <c r="G79" s="11" t="s">
        <v>725</v>
      </c>
      <c r="H79" s="11" t="s">
        <v>396</v>
      </c>
      <c r="I79" s="11" t="s">
        <v>726</v>
      </c>
      <c r="J79" s="11" t="s">
        <v>483</v>
      </c>
      <c r="K79" s="11" t="s">
        <v>200</v>
      </c>
      <c r="L79" s="11" t="s">
        <v>447</v>
      </c>
      <c r="M79" s="12" t="s">
        <v>448</v>
      </c>
      <c r="N79" s="11" t="s">
        <v>449</v>
      </c>
      <c r="O79" s="12" t="s">
        <v>450</v>
      </c>
      <c r="P79" s="13" t="s">
        <v>727</v>
      </c>
      <c r="Q79" s="11" t="s">
        <v>728</v>
      </c>
      <c r="R79" s="11" t="s">
        <v>326</v>
      </c>
      <c r="S79" s="11" t="s">
        <v>134</v>
      </c>
      <c r="T79" s="11">
        <v>1</v>
      </c>
      <c r="U79" s="11" t="s">
        <v>327</v>
      </c>
      <c r="V79" s="11" t="s">
        <v>729</v>
      </c>
      <c r="W79" s="11" t="s">
        <v>730</v>
      </c>
      <c r="X79" s="367">
        <v>46007.520833333343</v>
      </c>
      <c r="Y79" s="11" t="s">
        <v>731</v>
      </c>
      <c r="Z79" s="11">
        <v>0.5</v>
      </c>
      <c r="AA79" s="11"/>
      <c r="AB79" s="11" t="s">
        <v>330</v>
      </c>
      <c r="AC79" s="212" t="s">
        <v>732</v>
      </c>
      <c r="AD79" s="11"/>
      <c r="AE79" s="11"/>
      <c r="AF79" s="11"/>
      <c r="AG79" s="11"/>
      <c r="AH79" s="11"/>
      <c r="AI79" s="11"/>
      <c r="AJ79" s="11"/>
      <c r="AK79" s="11" t="s">
        <v>332</v>
      </c>
      <c r="AL79" s="213">
        <f t="shared" si="2"/>
        <v>46005</v>
      </c>
      <c r="AM79" s="211">
        <f t="shared" si="3"/>
        <v>46007</v>
      </c>
    </row>
    <row r="80" spans="1:39" ht="21.6" customHeight="1">
      <c r="A80" s="11">
        <v>80</v>
      </c>
      <c r="B80" s="11" t="s">
        <v>363</v>
      </c>
      <c r="C80" s="11">
        <v>2025122173</v>
      </c>
      <c r="D80" s="11" t="s">
        <v>733</v>
      </c>
      <c r="E80" s="11" t="s">
        <v>365</v>
      </c>
      <c r="F80" s="11">
        <v>3962</v>
      </c>
      <c r="G80" s="11" t="s">
        <v>725</v>
      </c>
      <c r="H80" s="11" t="s">
        <v>396</v>
      </c>
      <c r="I80" s="11" t="s">
        <v>734</v>
      </c>
      <c r="J80" s="11" t="s">
        <v>483</v>
      </c>
      <c r="K80" s="11" t="s">
        <v>200</v>
      </c>
      <c r="L80" s="11" t="s">
        <v>447</v>
      </c>
      <c r="M80" s="12" t="s">
        <v>448</v>
      </c>
      <c r="N80" s="11" t="s">
        <v>449</v>
      </c>
      <c r="O80" s="12" t="s">
        <v>450</v>
      </c>
      <c r="P80" s="13" t="s">
        <v>735</v>
      </c>
      <c r="Q80" s="11" t="s">
        <v>728</v>
      </c>
      <c r="R80" s="11" t="s">
        <v>326</v>
      </c>
      <c r="S80" s="11" t="s">
        <v>134</v>
      </c>
      <c r="T80" s="11">
        <v>1</v>
      </c>
      <c r="U80" s="11" t="s">
        <v>327</v>
      </c>
      <c r="V80" s="11" t="s">
        <v>736</v>
      </c>
      <c r="W80" s="11" t="s">
        <v>730</v>
      </c>
      <c r="X80" s="367">
        <v>46007.520833333343</v>
      </c>
      <c r="Y80" s="11" t="s">
        <v>731</v>
      </c>
      <c r="Z80" s="11">
        <v>0.5</v>
      </c>
      <c r="AA80" s="11"/>
      <c r="AB80" s="11" t="s">
        <v>330</v>
      </c>
      <c r="AC80" s="212" t="s">
        <v>737</v>
      </c>
      <c r="AD80" s="11"/>
      <c r="AE80" s="11"/>
      <c r="AF80" s="11"/>
      <c r="AG80" s="11"/>
      <c r="AH80" s="11"/>
      <c r="AI80" s="11"/>
      <c r="AJ80" s="11"/>
      <c r="AK80" s="11" t="s">
        <v>332</v>
      </c>
      <c r="AL80" s="213">
        <f t="shared" si="2"/>
        <v>46005</v>
      </c>
      <c r="AM80" s="211">
        <f t="shared" si="3"/>
        <v>46007</v>
      </c>
    </row>
    <row r="81" spans="1:39" ht="21.6" customHeight="1">
      <c r="A81" s="11">
        <v>81</v>
      </c>
      <c r="B81" s="11" t="s">
        <v>363</v>
      </c>
      <c r="C81" s="11">
        <v>2025122213</v>
      </c>
      <c r="D81" s="11" t="s">
        <v>738</v>
      </c>
      <c r="E81" s="11" t="s">
        <v>365</v>
      </c>
      <c r="F81" s="11">
        <v>2154</v>
      </c>
      <c r="G81" s="11" t="s">
        <v>739</v>
      </c>
      <c r="H81" s="11" t="s">
        <v>396</v>
      </c>
      <c r="I81" s="11" t="s">
        <v>740</v>
      </c>
      <c r="J81" s="11" t="s">
        <v>492</v>
      </c>
      <c r="K81" s="11" t="s">
        <v>446</v>
      </c>
      <c r="L81" s="11" t="s">
        <v>369</v>
      </c>
      <c r="M81" s="12" t="s">
        <v>370</v>
      </c>
      <c r="N81" s="11">
        <v>2301</v>
      </c>
      <c r="O81" s="12" t="s">
        <v>741</v>
      </c>
      <c r="P81" s="13" t="s">
        <v>742</v>
      </c>
      <c r="Q81" s="11" t="s">
        <v>743</v>
      </c>
      <c r="R81" s="11" t="s">
        <v>326</v>
      </c>
      <c r="S81" s="11" t="s">
        <v>134</v>
      </c>
      <c r="T81" s="11">
        <v>1</v>
      </c>
      <c r="U81" s="11" t="s">
        <v>327</v>
      </c>
      <c r="V81" s="11" t="s">
        <v>744</v>
      </c>
      <c r="W81" s="11" t="s">
        <v>745</v>
      </c>
      <c r="X81" s="367">
        <v>46007.611111111109</v>
      </c>
      <c r="Y81" s="11" t="s">
        <v>746</v>
      </c>
      <c r="Z81" s="11">
        <v>2</v>
      </c>
      <c r="AA81" s="11"/>
      <c r="AB81" s="11" t="s">
        <v>330</v>
      </c>
      <c r="AC81" s="212" t="s">
        <v>747</v>
      </c>
      <c r="AD81" s="11"/>
      <c r="AE81" s="11"/>
      <c r="AF81" s="11"/>
      <c r="AG81" s="11"/>
      <c r="AH81" s="11"/>
      <c r="AI81" s="11"/>
      <c r="AJ81" s="11"/>
      <c r="AK81" s="11" t="s">
        <v>332</v>
      </c>
      <c r="AL81" s="213">
        <f t="shared" si="2"/>
        <v>46006</v>
      </c>
      <c r="AM81" s="211">
        <f t="shared" si="3"/>
        <v>46007</v>
      </c>
    </row>
    <row r="82" spans="1:39" ht="21.6" customHeight="1">
      <c r="A82" s="11">
        <v>82</v>
      </c>
      <c r="B82" s="11" t="s">
        <v>322</v>
      </c>
      <c r="C82" s="11">
        <v>2025122239</v>
      </c>
      <c r="D82" s="11"/>
      <c r="E82" s="11"/>
      <c r="F82" s="11">
        <v>5430</v>
      </c>
      <c r="G82" s="11" t="s">
        <v>179</v>
      </c>
      <c r="H82" s="11" t="s">
        <v>748</v>
      </c>
      <c r="I82" s="11"/>
      <c r="J82" s="11"/>
      <c r="K82" s="11"/>
      <c r="L82" s="11"/>
      <c r="M82" s="12"/>
      <c r="N82" s="11"/>
      <c r="O82" s="12"/>
      <c r="P82" s="13"/>
      <c r="Q82" s="11" t="s">
        <v>749</v>
      </c>
      <c r="R82" s="11" t="s">
        <v>326</v>
      </c>
      <c r="S82" s="11" t="s">
        <v>118</v>
      </c>
      <c r="T82" s="11">
        <v>1</v>
      </c>
      <c r="U82" s="11" t="s">
        <v>327</v>
      </c>
      <c r="V82" s="11" t="s">
        <v>750</v>
      </c>
      <c r="W82" s="11" t="s">
        <v>751</v>
      </c>
      <c r="X82" s="367">
        <v>46006.583333333343</v>
      </c>
      <c r="Y82" s="11"/>
      <c r="Z82" s="11">
        <v>4</v>
      </c>
      <c r="AA82" s="11"/>
      <c r="AB82" s="11" t="s">
        <v>330</v>
      </c>
      <c r="AC82" s="212" t="s">
        <v>752</v>
      </c>
      <c r="AD82" s="11"/>
      <c r="AE82" s="11" t="s">
        <v>332</v>
      </c>
      <c r="AF82" s="11"/>
      <c r="AG82" s="11"/>
      <c r="AH82" s="11"/>
      <c r="AI82" s="11"/>
      <c r="AJ82" s="11"/>
      <c r="AK82" s="11" t="s">
        <v>332</v>
      </c>
      <c r="AL82" s="213" t="e">
        <f t="shared" si="2"/>
        <v>#VALUE!</v>
      </c>
      <c r="AM82" s="211">
        <f t="shared" si="3"/>
        <v>46006</v>
      </c>
    </row>
    <row r="83" spans="1:39" ht="21.6" customHeight="1">
      <c r="A83" s="11">
        <v>83</v>
      </c>
      <c r="B83" s="11" t="s">
        <v>322</v>
      </c>
      <c r="C83" s="11">
        <v>2025122240</v>
      </c>
      <c r="D83" s="11"/>
      <c r="E83" s="11"/>
      <c r="F83" s="11">
        <v>5430</v>
      </c>
      <c r="G83" s="11" t="s">
        <v>179</v>
      </c>
      <c r="H83" s="11" t="s">
        <v>748</v>
      </c>
      <c r="I83" s="11"/>
      <c r="J83" s="11"/>
      <c r="K83" s="11"/>
      <c r="L83" s="11"/>
      <c r="M83" s="12"/>
      <c r="N83" s="11"/>
      <c r="O83" s="12"/>
      <c r="P83" s="13"/>
      <c r="Q83" s="11" t="s">
        <v>749</v>
      </c>
      <c r="R83" s="11" t="s">
        <v>326</v>
      </c>
      <c r="S83" s="11" t="s">
        <v>123</v>
      </c>
      <c r="T83" s="11">
        <v>1</v>
      </c>
      <c r="U83" s="11" t="s">
        <v>327</v>
      </c>
      <c r="V83" s="11" t="s">
        <v>753</v>
      </c>
      <c r="W83" s="11" t="s">
        <v>754</v>
      </c>
      <c r="X83" s="367">
        <v>46006.583333333343</v>
      </c>
      <c r="Y83" s="11"/>
      <c r="Z83" s="11">
        <v>3</v>
      </c>
      <c r="AA83" s="11"/>
      <c r="AB83" s="11" t="s">
        <v>330</v>
      </c>
      <c r="AC83" s="212" t="s">
        <v>755</v>
      </c>
      <c r="AD83" s="11"/>
      <c r="AE83" s="11" t="s">
        <v>332</v>
      </c>
      <c r="AF83" s="11"/>
      <c r="AG83" s="11"/>
      <c r="AH83" s="11"/>
      <c r="AI83" s="11"/>
      <c r="AJ83" s="11"/>
      <c r="AK83" s="11" t="s">
        <v>332</v>
      </c>
      <c r="AL83" s="213" t="e">
        <f t="shared" si="2"/>
        <v>#VALUE!</v>
      </c>
      <c r="AM83" s="211">
        <f t="shared" si="3"/>
        <v>46006</v>
      </c>
    </row>
    <row r="84" spans="1:39" ht="21.6" customHeight="1">
      <c r="A84" s="11">
        <v>84</v>
      </c>
      <c r="B84" s="11" t="s">
        <v>322</v>
      </c>
      <c r="C84" s="11">
        <v>2025122269</v>
      </c>
      <c r="D84" s="11"/>
      <c r="E84" s="11"/>
      <c r="F84" s="11">
        <v>2222</v>
      </c>
      <c r="G84" s="11" t="s">
        <v>159</v>
      </c>
      <c r="H84" s="11" t="s">
        <v>358</v>
      </c>
      <c r="I84" s="11"/>
      <c r="J84" s="11"/>
      <c r="K84" s="11"/>
      <c r="L84" s="11"/>
      <c r="M84" s="12"/>
      <c r="N84" s="11"/>
      <c r="O84" s="12"/>
      <c r="P84" s="13"/>
      <c r="Q84" s="11" t="s">
        <v>525</v>
      </c>
      <c r="R84" s="11" t="s">
        <v>326</v>
      </c>
      <c r="S84" s="11" t="s">
        <v>118</v>
      </c>
      <c r="T84" s="11">
        <v>1</v>
      </c>
      <c r="U84" s="11" t="s">
        <v>327</v>
      </c>
      <c r="V84" s="11" t="s">
        <v>756</v>
      </c>
      <c r="W84" s="11" t="s">
        <v>757</v>
      </c>
      <c r="X84" s="367">
        <v>46006.645833333343</v>
      </c>
      <c r="Y84" s="11"/>
      <c r="Z84" s="11">
        <v>0.5</v>
      </c>
      <c r="AA84" s="11"/>
      <c r="AB84" s="11" t="s">
        <v>330</v>
      </c>
      <c r="AC84" s="212" t="s">
        <v>758</v>
      </c>
      <c r="AD84" s="11"/>
      <c r="AE84" s="11" t="s">
        <v>332</v>
      </c>
      <c r="AF84" s="11"/>
      <c r="AG84" s="11"/>
      <c r="AH84" s="11"/>
      <c r="AI84" s="11"/>
      <c r="AJ84" s="11"/>
      <c r="AK84" s="11" t="s">
        <v>332</v>
      </c>
      <c r="AL84" s="213" t="e">
        <f t="shared" si="2"/>
        <v>#VALUE!</v>
      </c>
      <c r="AM84" s="211">
        <f t="shared" si="3"/>
        <v>46006</v>
      </c>
    </row>
    <row r="85" spans="1:39" ht="21.6" customHeight="1">
      <c r="A85" s="11">
        <v>85</v>
      </c>
      <c r="B85" s="11" t="s">
        <v>322</v>
      </c>
      <c r="C85" s="11">
        <v>2025122270</v>
      </c>
      <c r="D85" s="11"/>
      <c r="E85" s="11"/>
      <c r="F85" s="11">
        <v>2222</v>
      </c>
      <c r="G85" s="11" t="s">
        <v>159</v>
      </c>
      <c r="H85" s="11" t="s">
        <v>358</v>
      </c>
      <c r="I85" s="11"/>
      <c r="J85" s="11"/>
      <c r="K85" s="11"/>
      <c r="L85" s="11"/>
      <c r="M85" s="12"/>
      <c r="N85" s="11"/>
      <c r="O85" s="12"/>
      <c r="P85" s="13"/>
      <c r="Q85" s="11" t="s">
        <v>525</v>
      </c>
      <c r="R85" s="11" t="s">
        <v>326</v>
      </c>
      <c r="S85" s="11" t="s">
        <v>123</v>
      </c>
      <c r="T85" s="11">
        <v>1</v>
      </c>
      <c r="U85" s="11" t="s">
        <v>327</v>
      </c>
      <c r="V85" s="11" t="s">
        <v>759</v>
      </c>
      <c r="W85" s="11" t="s">
        <v>757</v>
      </c>
      <c r="X85" s="367">
        <v>46006.645833333343</v>
      </c>
      <c r="Y85" s="11"/>
      <c r="Z85" s="11">
        <v>0.5</v>
      </c>
      <c r="AA85" s="11"/>
      <c r="AB85" s="11" t="s">
        <v>330</v>
      </c>
      <c r="AC85" s="212" t="s">
        <v>701</v>
      </c>
      <c r="AD85" s="11"/>
      <c r="AE85" s="11" t="s">
        <v>332</v>
      </c>
      <c r="AF85" s="11"/>
      <c r="AG85" s="11"/>
      <c r="AH85" s="11"/>
      <c r="AI85" s="11"/>
      <c r="AJ85" s="11"/>
      <c r="AK85" s="11" t="s">
        <v>332</v>
      </c>
      <c r="AL85" s="213" t="e">
        <f t="shared" si="2"/>
        <v>#VALUE!</v>
      </c>
      <c r="AM85" s="211">
        <f t="shared" si="3"/>
        <v>46006</v>
      </c>
    </row>
    <row r="86" spans="1:39" ht="21.6" customHeight="1">
      <c r="A86" s="11">
        <v>86</v>
      </c>
      <c r="B86" s="11" t="s">
        <v>322</v>
      </c>
      <c r="C86" s="11">
        <v>2025122359</v>
      </c>
      <c r="D86" s="11"/>
      <c r="E86" s="11"/>
      <c r="F86" s="11">
        <v>3962</v>
      </c>
      <c r="G86" s="11" t="s">
        <v>725</v>
      </c>
      <c r="H86" s="11" t="s">
        <v>396</v>
      </c>
      <c r="I86" s="11"/>
      <c r="J86" s="11"/>
      <c r="K86" s="11"/>
      <c r="L86" s="11"/>
      <c r="M86" s="12"/>
      <c r="N86" s="11"/>
      <c r="O86" s="12"/>
      <c r="P86" s="13"/>
      <c r="Q86" s="11" t="s">
        <v>728</v>
      </c>
      <c r="R86" s="11" t="s">
        <v>326</v>
      </c>
      <c r="S86" s="11" t="s">
        <v>134</v>
      </c>
      <c r="T86" s="11">
        <v>1</v>
      </c>
      <c r="U86" s="11" t="s">
        <v>327</v>
      </c>
      <c r="V86" s="11" t="s">
        <v>760</v>
      </c>
      <c r="W86" s="11" t="s">
        <v>761</v>
      </c>
      <c r="X86" s="367">
        <v>46007.520833333343</v>
      </c>
      <c r="Y86" s="11"/>
      <c r="Z86" s="11">
        <v>0.3</v>
      </c>
      <c r="AA86" s="11"/>
      <c r="AB86" s="11" t="s">
        <v>330</v>
      </c>
      <c r="AC86" s="212" t="s">
        <v>331</v>
      </c>
      <c r="AD86" s="11" t="s">
        <v>332</v>
      </c>
      <c r="AE86" s="11"/>
      <c r="AF86" s="11"/>
      <c r="AG86" s="11"/>
      <c r="AH86" s="11"/>
      <c r="AI86" s="11"/>
      <c r="AJ86" s="11"/>
      <c r="AK86" s="11"/>
      <c r="AL86" s="213" t="e">
        <f t="shared" si="2"/>
        <v>#VALUE!</v>
      </c>
      <c r="AM86" s="211">
        <f t="shared" si="3"/>
        <v>46007</v>
      </c>
    </row>
    <row r="87" spans="1:39" ht="21.6" customHeight="1">
      <c r="A87" s="11">
        <v>87</v>
      </c>
      <c r="B87" s="11" t="s">
        <v>322</v>
      </c>
      <c r="C87" s="11">
        <v>2025122365</v>
      </c>
      <c r="D87" s="11"/>
      <c r="E87" s="11"/>
      <c r="F87" s="11">
        <v>2691</v>
      </c>
      <c r="G87" s="11" t="s">
        <v>762</v>
      </c>
      <c r="H87" s="11" t="s">
        <v>763</v>
      </c>
      <c r="I87" s="11"/>
      <c r="J87" s="11"/>
      <c r="K87" s="11"/>
      <c r="L87" s="11"/>
      <c r="M87" s="12"/>
      <c r="N87" s="11"/>
      <c r="O87" s="12"/>
      <c r="P87" s="13"/>
      <c r="Q87" s="11" t="s">
        <v>764</v>
      </c>
      <c r="R87" s="11" t="s">
        <v>326</v>
      </c>
      <c r="S87" s="11" t="s">
        <v>118</v>
      </c>
      <c r="T87" s="11">
        <v>1</v>
      </c>
      <c r="U87" s="11" t="s">
        <v>327</v>
      </c>
      <c r="V87" s="11" t="s">
        <v>765</v>
      </c>
      <c r="W87" s="11" t="s">
        <v>731</v>
      </c>
      <c r="X87" s="367">
        <v>46007.555555555547</v>
      </c>
      <c r="Y87" s="11"/>
      <c r="Z87" s="11">
        <v>0.3</v>
      </c>
      <c r="AA87" s="11"/>
      <c r="AB87" s="11" t="s">
        <v>330</v>
      </c>
      <c r="AC87" s="212" t="s">
        <v>331</v>
      </c>
      <c r="AD87" s="11" t="s">
        <v>332</v>
      </c>
      <c r="AE87" s="11"/>
      <c r="AF87" s="11"/>
      <c r="AG87" s="11"/>
      <c r="AH87" s="11"/>
      <c r="AI87" s="11"/>
      <c r="AJ87" s="11" t="s">
        <v>332</v>
      </c>
      <c r="AK87" s="11" t="s">
        <v>332</v>
      </c>
      <c r="AL87" s="213" t="e">
        <f t="shared" si="2"/>
        <v>#VALUE!</v>
      </c>
      <c r="AM87" s="211">
        <f t="shared" si="3"/>
        <v>46007</v>
      </c>
    </row>
    <row r="88" spans="1:39" ht="21.6" customHeight="1">
      <c r="A88" s="11">
        <v>88</v>
      </c>
      <c r="B88" s="11" t="s">
        <v>322</v>
      </c>
      <c r="C88" s="11">
        <v>2025122398</v>
      </c>
      <c r="D88" s="11"/>
      <c r="E88" s="11"/>
      <c r="F88" s="11">
        <v>2154</v>
      </c>
      <c r="G88" s="11" t="s">
        <v>739</v>
      </c>
      <c r="H88" s="11" t="s">
        <v>396</v>
      </c>
      <c r="I88" s="11"/>
      <c r="J88" s="11"/>
      <c r="K88" s="11"/>
      <c r="L88" s="11"/>
      <c r="M88" s="12"/>
      <c r="N88" s="11"/>
      <c r="O88" s="12"/>
      <c r="P88" s="13"/>
      <c r="Q88" s="11" t="s">
        <v>743</v>
      </c>
      <c r="R88" s="11" t="s">
        <v>326</v>
      </c>
      <c r="S88" s="11" t="s">
        <v>134</v>
      </c>
      <c r="T88" s="11">
        <v>1</v>
      </c>
      <c r="U88" s="11" t="s">
        <v>327</v>
      </c>
      <c r="V88" s="11" t="s">
        <v>766</v>
      </c>
      <c r="W88" s="11" t="s">
        <v>745</v>
      </c>
      <c r="X88" s="367">
        <v>46007.621527777781</v>
      </c>
      <c r="Y88" s="11"/>
      <c r="Z88" s="11">
        <v>2.2999999999999998</v>
      </c>
      <c r="AA88" s="11"/>
      <c r="AB88" s="11" t="s">
        <v>330</v>
      </c>
      <c r="AC88" s="212" t="s">
        <v>331</v>
      </c>
      <c r="AD88" s="11" t="s">
        <v>332</v>
      </c>
      <c r="AE88" s="11"/>
      <c r="AF88" s="11"/>
      <c r="AG88" s="11"/>
      <c r="AH88" s="11"/>
      <c r="AI88" s="11"/>
      <c r="AJ88" s="11"/>
      <c r="AK88" s="11" t="s">
        <v>332</v>
      </c>
      <c r="AL88" s="213" t="e">
        <f t="shared" si="2"/>
        <v>#VALUE!</v>
      </c>
      <c r="AM88" s="211">
        <f t="shared" si="3"/>
        <v>46007</v>
      </c>
    </row>
    <row r="89" spans="1:39" ht="21.6" customHeight="1">
      <c r="A89" s="11">
        <v>89</v>
      </c>
      <c r="B89" s="11" t="s">
        <v>322</v>
      </c>
      <c r="C89" s="11">
        <v>2025122436</v>
      </c>
      <c r="D89" s="11"/>
      <c r="E89" s="11"/>
      <c r="F89" s="11">
        <v>4341</v>
      </c>
      <c r="G89" s="11" t="s">
        <v>767</v>
      </c>
      <c r="H89" s="11" t="s">
        <v>490</v>
      </c>
      <c r="I89" s="11"/>
      <c r="J89" s="11"/>
      <c r="K89" s="11"/>
      <c r="L89" s="11"/>
      <c r="M89" s="12"/>
      <c r="N89" s="11"/>
      <c r="O89" s="12"/>
      <c r="P89" s="13"/>
      <c r="Q89" s="11" t="s">
        <v>768</v>
      </c>
      <c r="R89" s="11" t="s">
        <v>326</v>
      </c>
      <c r="S89" s="11" t="s">
        <v>118</v>
      </c>
      <c r="T89" s="11">
        <v>1</v>
      </c>
      <c r="U89" s="11" t="s">
        <v>327</v>
      </c>
      <c r="V89" s="11" t="s">
        <v>769</v>
      </c>
      <c r="W89" s="11" t="s">
        <v>770</v>
      </c>
      <c r="X89" s="367">
        <v>46007.652777777781</v>
      </c>
      <c r="Y89" s="11"/>
      <c r="Z89" s="11">
        <v>0.3</v>
      </c>
      <c r="AA89" s="11"/>
      <c r="AB89" s="11" t="s">
        <v>330</v>
      </c>
      <c r="AC89" s="212" t="s">
        <v>331</v>
      </c>
      <c r="AD89" s="11" t="s">
        <v>332</v>
      </c>
      <c r="AE89" s="11"/>
      <c r="AF89" s="11"/>
      <c r="AG89" s="11"/>
      <c r="AH89" s="11"/>
      <c r="AI89" s="11"/>
      <c r="AJ89" s="11" t="s">
        <v>332</v>
      </c>
      <c r="AK89" s="11" t="s">
        <v>332</v>
      </c>
      <c r="AL89" s="213" t="e">
        <f t="shared" si="2"/>
        <v>#VALUE!</v>
      </c>
      <c r="AM89" s="211">
        <f t="shared" si="3"/>
        <v>46007</v>
      </c>
    </row>
    <row r="90" spans="1:39" ht="21.6" customHeight="1">
      <c r="A90" s="11">
        <v>90</v>
      </c>
      <c r="B90" s="11" t="s">
        <v>322</v>
      </c>
      <c r="C90" s="11">
        <v>2025122440</v>
      </c>
      <c r="D90" s="11"/>
      <c r="E90" s="11"/>
      <c r="F90" s="11">
        <v>4163</v>
      </c>
      <c r="G90" s="11" t="s">
        <v>771</v>
      </c>
      <c r="H90" s="11" t="s">
        <v>490</v>
      </c>
      <c r="I90" s="11"/>
      <c r="J90" s="11"/>
      <c r="K90" s="11"/>
      <c r="L90" s="11"/>
      <c r="M90" s="12"/>
      <c r="N90" s="11"/>
      <c r="O90" s="12"/>
      <c r="P90" s="13"/>
      <c r="Q90" s="11" t="s">
        <v>772</v>
      </c>
      <c r="R90" s="11" t="s">
        <v>326</v>
      </c>
      <c r="S90" s="11" t="s">
        <v>118</v>
      </c>
      <c r="T90" s="11">
        <v>1</v>
      </c>
      <c r="U90" s="11" t="s">
        <v>327</v>
      </c>
      <c r="V90" s="11" t="s">
        <v>773</v>
      </c>
      <c r="W90" s="11" t="s">
        <v>774</v>
      </c>
      <c r="X90" s="367">
        <v>46007.666666666657</v>
      </c>
      <c r="Y90" s="11"/>
      <c r="Z90" s="11">
        <v>0.3</v>
      </c>
      <c r="AA90" s="11"/>
      <c r="AB90" s="11" t="s">
        <v>330</v>
      </c>
      <c r="AC90" s="212" t="s">
        <v>331</v>
      </c>
      <c r="AD90" s="11" t="s">
        <v>332</v>
      </c>
      <c r="AE90" s="11"/>
      <c r="AF90" s="11"/>
      <c r="AG90" s="11"/>
      <c r="AH90" s="11"/>
      <c r="AI90" s="11"/>
      <c r="AJ90" s="11" t="s">
        <v>332</v>
      </c>
      <c r="AK90" s="11" t="s">
        <v>332</v>
      </c>
      <c r="AL90" s="213" t="e">
        <f t="shared" si="2"/>
        <v>#VALUE!</v>
      </c>
      <c r="AM90" s="211">
        <f t="shared" si="3"/>
        <v>46007</v>
      </c>
    </row>
    <row r="91" spans="1:39" ht="21.6" customHeight="1">
      <c r="A91" s="11">
        <v>89</v>
      </c>
      <c r="B91" s="11" t="s">
        <v>363</v>
      </c>
      <c r="C91" s="11">
        <v>2025122399</v>
      </c>
      <c r="D91" s="11" t="s">
        <v>775</v>
      </c>
      <c r="E91" s="11" t="s">
        <v>365</v>
      </c>
      <c r="F91" s="11">
        <v>2318</v>
      </c>
      <c r="G91" s="11" t="s">
        <v>776</v>
      </c>
      <c r="H91" s="11" t="s">
        <v>567</v>
      </c>
      <c r="I91" s="11" t="s">
        <v>777</v>
      </c>
      <c r="J91" s="11" t="s">
        <v>368</v>
      </c>
      <c r="K91" s="11" t="s">
        <v>200</v>
      </c>
      <c r="L91" s="11" t="s">
        <v>778</v>
      </c>
      <c r="M91" s="12" t="s">
        <v>779</v>
      </c>
      <c r="N91" s="11">
        <v>2803</v>
      </c>
      <c r="O91" s="12" t="s">
        <v>780</v>
      </c>
      <c r="P91" s="13" t="s">
        <v>781</v>
      </c>
      <c r="Q91" s="11" t="s">
        <v>782</v>
      </c>
      <c r="R91" s="11" t="s">
        <v>326</v>
      </c>
      <c r="S91" s="11" t="s">
        <v>123</v>
      </c>
      <c r="T91" s="11">
        <v>1</v>
      </c>
      <c r="U91" s="11" t="s">
        <v>327</v>
      </c>
      <c r="V91" s="11" t="s">
        <v>783</v>
      </c>
      <c r="W91" s="11" t="s">
        <v>784</v>
      </c>
      <c r="X91" s="367">
        <v>46008.493055555547</v>
      </c>
      <c r="Y91" s="11" t="s">
        <v>785</v>
      </c>
      <c r="Z91" s="11">
        <v>0.5</v>
      </c>
      <c r="AA91" s="11"/>
      <c r="AB91" s="11" t="s">
        <v>330</v>
      </c>
      <c r="AC91" s="212" t="s">
        <v>786</v>
      </c>
      <c r="AD91" s="11"/>
      <c r="AE91" s="11"/>
      <c r="AF91" s="11"/>
      <c r="AG91" s="11"/>
      <c r="AH91" s="11"/>
      <c r="AI91" s="11"/>
      <c r="AJ91" s="11"/>
      <c r="AK91" s="11" t="s">
        <v>332</v>
      </c>
      <c r="AL91" s="213">
        <f t="shared" si="2"/>
        <v>46007</v>
      </c>
      <c r="AM91" s="211">
        <f t="shared" si="3"/>
        <v>46008</v>
      </c>
    </row>
    <row r="92" spans="1:39" ht="21.6" customHeight="1">
      <c r="A92" s="11">
        <v>92</v>
      </c>
      <c r="B92" s="11" t="s">
        <v>363</v>
      </c>
      <c r="C92" s="11">
        <v>2025122528</v>
      </c>
      <c r="D92" s="11" t="s">
        <v>787</v>
      </c>
      <c r="E92" s="11" t="s">
        <v>365</v>
      </c>
      <c r="F92" s="11" t="s">
        <v>71</v>
      </c>
      <c r="G92" s="11" t="s">
        <v>788</v>
      </c>
      <c r="H92" s="11" t="s">
        <v>567</v>
      </c>
      <c r="I92" s="11" t="s">
        <v>789</v>
      </c>
      <c r="J92" s="11" t="s">
        <v>383</v>
      </c>
      <c r="K92" s="11" t="s">
        <v>200</v>
      </c>
      <c r="L92" s="11" t="s">
        <v>369</v>
      </c>
      <c r="M92" s="12" t="s">
        <v>370</v>
      </c>
      <c r="N92" s="11">
        <v>2305</v>
      </c>
      <c r="O92" s="12" t="s">
        <v>410</v>
      </c>
      <c r="P92" s="13" t="s">
        <v>790</v>
      </c>
      <c r="Q92" s="11" t="s">
        <v>791</v>
      </c>
      <c r="R92" s="11" t="s">
        <v>326</v>
      </c>
      <c r="S92" s="11" t="s">
        <v>123</v>
      </c>
      <c r="T92" s="11">
        <v>1</v>
      </c>
      <c r="U92" s="11" t="s">
        <v>327</v>
      </c>
      <c r="V92" s="11" t="s">
        <v>792</v>
      </c>
      <c r="W92" s="11" t="s">
        <v>793</v>
      </c>
      <c r="X92" s="367">
        <v>46008.55972222222</v>
      </c>
      <c r="Y92" s="11" t="s">
        <v>794</v>
      </c>
      <c r="Z92" s="11">
        <v>0.5</v>
      </c>
      <c r="AA92" s="11"/>
      <c r="AB92" s="11" t="s">
        <v>330</v>
      </c>
      <c r="AC92" s="212" t="s">
        <v>795</v>
      </c>
      <c r="AD92" s="11"/>
      <c r="AE92" s="11"/>
      <c r="AF92" s="11"/>
      <c r="AG92" s="11"/>
      <c r="AH92" s="11"/>
      <c r="AI92" s="11"/>
      <c r="AJ92" s="11"/>
      <c r="AK92" s="11" t="s">
        <v>332</v>
      </c>
      <c r="AL92" s="213">
        <f t="shared" si="2"/>
        <v>46008</v>
      </c>
      <c r="AM92" s="211">
        <f t="shared" si="3"/>
        <v>46008</v>
      </c>
    </row>
    <row r="93" spans="1:39" ht="21.6" customHeight="1">
      <c r="A93" s="11">
        <v>93</v>
      </c>
      <c r="B93" s="11" t="s">
        <v>363</v>
      </c>
      <c r="C93" s="11">
        <v>2025122571</v>
      </c>
      <c r="D93" s="11" t="s">
        <v>796</v>
      </c>
      <c r="E93" s="11" t="s">
        <v>365</v>
      </c>
      <c r="F93" s="11" t="s">
        <v>65</v>
      </c>
      <c r="G93" s="11" t="s">
        <v>797</v>
      </c>
      <c r="H93" s="11" t="s">
        <v>358</v>
      </c>
      <c r="I93" s="11" t="s">
        <v>798</v>
      </c>
      <c r="J93" s="11" t="s">
        <v>383</v>
      </c>
      <c r="K93" s="11" t="s">
        <v>200</v>
      </c>
      <c r="L93" s="11" t="s">
        <v>369</v>
      </c>
      <c r="M93" s="12" t="s">
        <v>370</v>
      </c>
      <c r="N93" s="11">
        <v>2305</v>
      </c>
      <c r="O93" s="12" t="s">
        <v>410</v>
      </c>
      <c r="P93" s="13" t="s">
        <v>799</v>
      </c>
      <c r="Q93" s="11" t="s">
        <v>800</v>
      </c>
      <c r="R93" s="11" t="s">
        <v>326</v>
      </c>
      <c r="S93" s="11" t="s">
        <v>123</v>
      </c>
      <c r="T93" s="11">
        <v>1</v>
      </c>
      <c r="U93" s="11" t="s">
        <v>327</v>
      </c>
      <c r="V93" s="11" t="s">
        <v>801</v>
      </c>
      <c r="W93" s="11" t="s">
        <v>802</v>
      </c>
      <c r="X93" s="367">
        <v>46009.458333333343</v>
      </c>
      <c r="Y93" s="11" t="s">
        <v>803</v>
      </c>
      <c r="Z93" s="11">
        <v>1</v>
      </c>
      <c r="AA93" s="11"/>
      <c r="AB93" s="11" t="s">
        <v>330</v>
      </c>
      <c r="AC93" s="212" t="s">
        <v>804</v>
      </c>
      <c r="AD93" s="11"/>
      <c r="AE93" s="11"/>
      <c r="AF93" s="11"/>
      <c r="AG93" s="11"/>
      <c r="AH93" s="11"/>
      <c r="AI93" s="11"/>
      <c r="AJ93" s="11"/>
      <c r="AK93" s="11" t="s">
        <v>332</v>
      </c>
      <c r="AL93" s="213">
        <f t="shared" si="2"/>
        <v>46008</v>
      </c>
      <c r="AM93" s="211">
        <f t="shared" si="3"/>
        <v>46009</v>
      </c>
    </row>
    <row r="94" spans="1:39" ht="21.6" customHeight="1">
      <c r="A94" s="11">
        <v>94</v>
      </c>
      <c r="B94" s="11" t="s">
        <v>322</v>
      </c>
      <c r="C94" s="11">
        <v>2025122586</v>
      </c>
      <c r="D94" s="11"/>
      <c r="E94" s="11"/>
      <c r="F94" s="11">
        <v>3627</v>
      </c>
      <c r="G94" s="11" t="s">
        <v>157</v>
      </c>
      <c r="H94" s="11" t="s">
        <v>358</v>
      </c>
      <c r="I94" s="11"/>
      <c r="J94" s="11"/>
      <c r="K94" s="11"/>
      <c r="L94" s="11"/>
      <c r="M94" s="12"/>
      <c r="N94" s="11"/>
      <c r="O94" s="12"/>
      <c r="P94" s="13"/>
      <c r="Q94" s="11" t="s">
        <v>647</v>
      </c>
      <c r="R94" s="11" t="s">
        <v>326</v>
      </c>
      <c r="S94" s="11" t="s">
        <v>118</v>
      </c>
      <c r="T94" s="11">
        <v>1</v>
      </c>
      <c r="U94" s="11" t="s">
        <v>327</v>
      </c>
      <c r="V94" s="11" t="s">
        <v>805</v>
      </c>
      <c r="W94" s="11" t="s">
        <v>806</v>
      </c>
      <c r="X94" s="367">
        <v>46008.645833333343</v>
      </c>
      <c r="Y94" s="11"/>
      <c r="Z94" s="11">
        <v>1</v>
      </c>
      <c r="AA94" s="11"/>
      <c r="AB94" s="11" t="s">
        <v>330</v>
      </c>
      <c r="AC94" s="212" t="s">
        <v>807</v>
      </c>
      <c r="AD94" s="11"/>
      <c r="AE94" s="11" t="s">
        <v>332</v>
      </c>
      <c r="AF94" s="11"/>
      <c r="AG94" s="11"/>
      <c r="AH94" s="11"/>
      <c r="AI94" s="11"/>
      <c r="AJ94" s="11"/>
      <c r="AK94" s="11" t="s">
        <v>332</v>
      </c>
      <c r="AL94" s="213" t="e">
        <f t="shared" si="2"/>
        <v>#VALUE!</v>
      </c>
      <c r="AM94" s="211">
        <f t="shared" si="3"/>
        <v>46008</v>
      </c>
    </row>
    <row r="95" spans="1:39" ht="21.6" customHeight="1">
      <c r="A95" s="11">
        <v>95</v>
      </c>
      <c r="B95" s="11" t="s">
        <v>322</v>
      </c>
      <c r="C95" s="11">
        <v>2025122587</v>
      </c>
      <c r="D95" s="11"/>
      <c r="E95" s="11"/>
      <c r="F95" s="11">
        <v>3627</v>
      </c>
      <c r="G95" s="11" t="s">
        <v>157</v>
      </c>
      <c r="H95" s="11" t="s">
        <v>358</v>
      </c>
      <c r="I95" s="11"/>
      <c r="J95" s="11"/>
      <c r="K95" s="11"/>
      <c r="L95" s="11"/>
      <c r="M95" s="12"/>
      <c r="N95" s="11"/>
      <c r="O95" s="12"/>
      <c r="P95" s="13"/>
      <c r="Q95" s="11" t="s">
        <v>647</v>
      </c>
      <c r="R95" s="11" t="s">
        <v>326</v>
      </c>
      <c r="S95" s="11" t="s">
        <v>123</v>
      </c>
      <c r="T95" s="11">
        <v>1</v>
      </c>
      <c r="U95" s="11" t="s">
        <v>327</v>
      </c>
      <c r="V95" s="11" t="s">
        <v>808</v>
      </c>
      <c r="W95" s="11" t="s">
        <v>806</v>
      </c>
      <c r="X95" s="367">
        <v>46008.645833333343</v>
      </c>
      <c r="Y95" s="11"/>
      <c r="Z95" s="11">
        <v>1</v>
      </c>
      <c r="AA95" s="11"/>
      <c r="AB95" s="11" t="s">
        <v>330</v>
      </c>
      <c r="AC95" s="212" t="s">
        <v>701</v>
      </c>
      <c r="AD95" s="11"/>
      <c r="AE95" s="11" t="s">
        <v>332</v>
      </c>
      <c r="AF95" s="11"/>
      <c r="AG95" s="11"/>
      <c r="AH95" s="11"/>
      <c r="AI95" s="11"/>
      <c r="AJ95" s="11"/>
      <c r="AK95" s="11" t="s">
        <v>332</v>
      </c>
      <c r="AL95" s="213" t="e">
        <f t="shared" si="2"/>
        <v>#VALUE!</v>
      </c>
      <c r="AM95" s="211">
        <f t="shared" si="3"/>
        <v>46008</v>
      </c>
    </row>
    <row r="96" spans="1:39" ht="21.6" customHeight="1">
      <c r="A96" s="11">
        <v>96</v>
      </c>
      <c r="B96" s="11" t="s">
        <v>363</v>
      </c>
      <c r="C96" s="11">
        <v>2025122626</v>
      </c>
      <c r="D96" s="11" t="s">
        <v>809</v>
      </c>
      <c r="E96" s="11" t="s">
        <v>365</v>
      </c>
      <c r="F96" s="11">
        <v>4057</v>
      </c>
      <c r="G96" s="11" t="s">
        <v>350</v>
      </c>
      <c r="H96" s="11" t="s">
        <v>324</v>
      </c>
      <c r="I96" s="11" t="s">
        <v>810</v>
      </c>
      <c r="J96" s="11" t="s">
        <v>424</v>
      </c>
      <c r="K96" s="11" t="s">
        <v>446</v>
      </c>
      <c r="L96" s="11" t="s">
        <v>447</v>
      </c>
      <c r="M96" s="12" t="s">
        <v>448</v>
      </c>
      <c r="N96" s="11" t="s">
        <v>449</v>
      </c>
      <c r="O96" s="12" t="s">
        <v>450</v>
      </c>
      <c r="P96" s="13" t="s">
        <v>811</v>
      </c>
      <c r="Q96" s="11" t="s">
        <v>351</v>
      </c>
      <c r="R96" s="11" t="s">
        <v>326</v>
      </c>
      <c r="S96" s="11" t="s">
        <v>118</v>
      </c>
      <c r="T96" s="11">
        <v>1</v>
      </c>
      <c r="U96" s="11" t="s">
        <v>327</v>
      </c>
      <c r="V96" s="11" t="s">
        <v>812</v>
      </c>
      <c r="W96" s="11" t="s">
        <v>813</v>
      </c>
      <c r="X96" s="367">
        <v>46009.666666666657</v>
      </c>
      <c r="Y96" s="11" t="s">
        <v>814</v>
      </c>
      <c r="Z96" s="11">
        <v>0.5</v>
      </c>
      <c r="AA96" s="11"/>
      <c r="AB96" s="11" t="s">
        <v>330</v>
      </c>
      <c r="AC96" s="212" t="s">
        <v>815</v>
      </c>
      <c r="AD96" s="11"/>
      <c r="AE96" s="11"/>
      <c r="AF96" s="11"/>
      <c r="AG96" s="11"/>
      <c r="AH96" s="11"/>
      <c r="AI96" s="11"/>
      <c r="AJ96" s="11"/>
      <c r="AK96" s="11" t="s">
        <v>332</v>
      </c>
      <c r="AL96" s="213">
        <f t="shared" si="2"/>
        <v>46009</v>
      </c>
      <c r="AM96" s="211">
        <f t="shared" si="3"/>
        <v>46009</v>
      </c>
    </row>
    <row r="97" spans="1:39" ht="21.6" customHeight="1">
      <c r="A97" s="11">
        <v>97</v>
      </c>
      <c r="B97" s="11" t="s">
        <v>363</v>
      </c>
      <c r="C97" s="11">
        <v>2025122627</v>
      </c>
      <c r="D97" s="11" t="s">
        <v>816</v>
      </c>
      <c r="E97" s="11" t="s">
        <v>365</v>
      </c>
      <c r="F97" s="11">
        <v>4057</v>
      </c>
      <c r="G97" s="11" t="s">
        <v>350</v>
      </c>
      <c r="H97" s="11" t="s">
        <v>324</v>
      </c>
      <c r="I97" s="11" t="s">
        <v>817</v>
      </c>
      <c r="J97" s="11" t="s">
        <v>424</v>
      </c>
      <c r="K97" s="11" t="s">
        <v>446</v>
      </c>
      <c r="L97" s="11" t="s">
        <v>447</v>
      </c>
      <c r="M97" s="12" t="s">
        <v>448</v>
      </c>
      <c r="N97" s="11" t="s">
        <v>449</v>
      </c>
      <c r="O97" s="12" t="s">
        <v>450</v>
      </c>
      <c r="P97" s="13" t="s">
        <v>818</v>
      </c>
      <c r="Q97" s="11" t="s">
        <v>351</v>
      </c>
      <c r="R97" s="11" t="s">
        <v>326</v>
      </c>
      <c r="S97" s="11" t="s">
        <v>118</v>
      </c>
      <c r="T97" s="11">
        <v>1</v>
      </c>
      <c r="U97" s="11" t="s">
        <v>327</v>
      </c>
      <c r="V97" s="11" t="s">
        <v>819</v>
      </c>
      <c r="W97" s="11" t="s">
        <v>820</v>
      </c>
      <c r="X97" s="367">
        <v>46009.6875</v>
      </c>
      <c r="Y97" s="11" t="s">
        <v>814</v>
      </c>
      <c r="Z97" s="11">
        <v>0.5</v>
      </c>
      <c r="AA97" s="11"/>
      <c r="AB97" s="11" t="s">
        <v>330</v>
      </c>
      <c r="AC97" s="212" t="s">
        <v>815</v>
      </c>
      <c r="AD97" s="11"/>
      <c r="AE97" s="11"/>
      <c r="AF97" s="11"/>
      <c r="AG97" s="11"/>
      <c r="AH97" s="11"/>
      <c r="AI97" s="11"/>
      <c r="AJ97" s="11"/>
      <c r="AK97" s="11" t="s">
        <v>332</v>
      </c>
      <c r="AL97" s="213">
        <f t="shared" si="2"/>
        <v>46009</v>
      </c>
      <c r="AM97" s="211">
        <f t="shared" si="3"/>
        <v>46009</v>
      </c>
    </row>
    <row r="98" spans="1:39" ht="21.6" customHeight="1">
      <c r="A98" s="11">
        <v>98</v>
      </c>
      <c r="B98" s="11" t="s">
        <v>322</v>
      </c>
      <c r="C98" s="11">
        <v>2025122761</v>
      </c>
      <c r="D98" s="11"/>
      <c r="E98" s="11"/>
      <c r="F98" s="11">
        <v>3890</v>
      </c>
      <c r="G98" s="11" t="s">
        <v>821</v>
      </c>
      <c r="H98" s="11" t="s">
        <v>358</v>
      </c>
      <c r="I98" s="11"/>
      <c r="J98" s="11"/>
      <c r="K98" s="11"/>
      <c r="L98" s="11"/>
      <c r="M98" s="12"/>
      <c r="N98" s="11"/>
      <c r="O98" s="12"/>
      <c r="P98" s="13"/>
      <c r="Q98" s="11" t="s">
        <v>822</v>
      </c>
      <c r="R98" s="11" t="s">
        <v>326</v>
      </c>
      <c r="S98" s="11" t="s">
        <v>123</v>
      </c>
      <c r="T98" s="11">
        <v>1</v>
      </c>
      <c r="U98" s="11" t="s">
        <v>327</v>
      </c>
      <c r="V98" s="11" t="s">
        <v>823</v>
      </c>
      <c r="W98" s="11" t="s">
        <v>824</v>
      </c>
      <c r="X98" s="367">
        <v>46010.521527777782</v>
      </c>
      <c r="Y98" s="11"/>
      <c r="Z98" s="11">
        <v>0.3</v>
      </c>
      <c r="AA98" s="11"/>
      <c r="AB98" s="11" t="s">
        <v>330</v>
      </c>
      <c r="AC98" s="212" t="s">
        <v>102</v>
      </c>
      <c r="AD98" s="11"/>
      <c r="AE98" s="11"/>
      <c r="AF98" s="11"/>
      <c r="AG98" s="11"/>
      <c r="AH98" s="11"/>
      <c r="AI98" s="11"/>
      <c r="AJ98" s="11" t="s">
        <v>332</v>
      </c>
      <c r="AK98" s="11" t="s">
        <v>332</v>
      </c>
      <c r="AL98" s="213" t="e">
        <f t="shared" si="2"/>
        <v>#VALUE!</v>
      </c>
      <c r="AM98" s="211">
        <f t="shared" si="3"/>
        <v>46010</v>
      </c>
    </row>
    <row r="99" spans="1:39" ht="21.6" customHeight="1">
      <c r="A99" s="11">
        <v>99</v>
      </c>
      <c r="B99" s="11" t="s">
        <v>322</v>
      </c>
      <c r="C99" s="11">
        <v>2025122765</v>
      </c>
      <c r="D99" s="11"/>
      <c r="E99" s="11"/>
      <c r="F99" s="11">
        <v>5245</v>
      </c>
      <c r="G99" s="11" t="s">
        <v>258</v>
      </c>
      <c r="H99" s="11" t="s">
        <v>358</v>
      </c>
      <c r="I99" s="11"/>
      <c r="J99" s="11"/>
      <c r="K99" s="11"/>
      <c r="L99" s="11"/>
      <c r="M99" s="12"/>
      <c r="N99" s="11"/>
      <c r="O99" s="12"/>
      <c r="P99" s="13"/>
      <c r="Q99" s="11" t="s">
        <v>825</v>
      </c>
      <c r="R99" s="11" t="s">
        <v>326</v>
      </c>
      <c r="S99" s="11" t="s">
        <v>123</v>
      </c>
      <c r="T99" s="11">
        <v>1</v>
      </c>
      <c r="U99" s="11" t="s">
        <v>327</v>
      </c>
      <c r="V99" s="11" t="s">
        <v>826</v>
      </c>
      <c r="W99" s="11" t="s">
        <v>827</v>
      </c>
      <c r="X99" s="367">
        <v>46010.536111111112</v>
      </c>
      <c r="Y99" s="11"/>
      <c r="Z99" s="11">
        <v>0.3</v>
      </c>
      <c r="AA99" s="11"/>
      <c r="AB99" s="11" t="s">
        <v>330</v>
      </c>
      <c r="AC99" s="212" t="s">
        <v>102</v>
      </c>
      <c r="AD99" s="11"/>
      <c r="AE99" s="11"/>
      <c r="AF99" s="11"/>
      <c r="AG99" s="11"/>
      <c r="AH99" s="11"/>
      <c r="AI99" s="11"/>
      <c r="AJ99" s="11" t="s">
        <v>332</v>
      </c>
      <c r="AK99" s="11" t="s">
        <v>332</v>
      </c>
      <c r="AL99" s="213" t="e">
        <f t="shared" si="2"/>
        <v>#VALUE!</v>
      </c>
      <c r="AM99" s="211">
        <f t="shared" si="3"/>
        <v>46010</v>
      </c>
    </row>
    <row r="100" spans="1:39" ht="21.6" customHeight="1">
      <c r="A100" s="11">
        <v>100</v>
      </c>
      <c r="B100" s="11" t="s">
        <v>322</v>
      </c>
      <c r="C100" s="11">
        <v>2025122766</v>
      </c>
      <c r="D100" s="11"/>
      <c r="E100" s="11"/>
      <c r="F100" s="11">
        <v>2399</v>
      </c>
      <c r="G100" s="11" t="s">
        <v>828</v>
      </c>
      <c r="H100" s="11" t="s">
        <v>358</v>
      </c>
      <c r="I100" s="11"/>
      <c r="J100" s="11"/>
      <c r="K100" s="11"/>
      <c r="L100" s="11"/>
      <c r="M100" s="12"/>
      <c r="N100" s="11"/>
      <c r="O100" s="12"/>
      <c r="P100" s="13"/>
      <c r="Q100" s="11" t="s">
        <v>829</v>
      </c>
      <c r="R100" s="11" t="s">
        <v>326</v>
      </c>
      <c r="S100" s="11" t="s">
        <v>123</v>
      </c>
      <c r="T100" s="11">
        <v>1</v>
      </c>
      <c r="U100" s="11" t="s">
        <v>327</v>
      </c>
      <c r="V100" s="11" t="s">
        <v>830</v>
      </c>
      <c r="W100" s="11" t="s">
        <v>826</v>
      </c>
      <c r="X100" s="367">
        <v>46010.540277777778</v>
      </c>
      <c r="Y100" s="11"/>
      <c r="Z100" s="11">
        <v>0.1</v>
      </c>
      <c r="AA100" s="11"/>
      <c r="AB100" s="11" t="s">
        <v>330</v>
      </c>
      <c r="AC100" s="212" t="s">
        <v>102</v>
      </c>
      <c r="AD100" s="11"/>
      <c r="AE100" s="11"/>
      <c r="AF100" s="11"/>
      <c r="AG100" s="11"/>
      <c r="AH100" s="11"/>
      <c r="AI100" s="11"/>
      <c r="AJ100" s="11" t="s">
        <v>332</v>
      </c>
      <c r="AK100" s="11" t="s">
        <v>332</v>
      </c>
      <c r="AL100" s="213" t="e">
        <f t="shared" si="2"/>
        <v>#VALUE!</v>
      </c>
      <c r="AM100" s="211">
        <f t="shared" si="3"/>
        <v>46010</v>
      </c>
    </row>
    <row r="101" spans="1:39" ht="21.6" customHeight="1">
      <c r="A101" s="11">
        <v>101</v>
      </c>
      <c r="B101" s="11" t="s">
        <v>322</v>
      </c>
      <c r="C101" s="11">
        <v>2025122767</v>
      </c>
      <c r="D101" s="11"/>
      <c r="E101" s="11"/>
      <c r="F101" s="11" t="s">
        <v>58</v>
      </c>
      <c r="G101" s="11" t="s">
        <v>831</v>
      </c>
      <c r="H101" s="11" t="s">
        <v>358</v>
      </c>
      <c r="I101" s="11"/>
      <c r="J101" s="11"/>
      <c r="K101" s="11"/>
      <c r="L101" s="11"/>
      <c r="M101" s="12"/>
      <c r="N101" s="11"/>
      <c r="O101" s="12"/>
      <c r="P101" s="13"/>
      <c r="Q101" s="11" t="s">
        <v>832</v>
      </c>
      <c r="R101" s="11" t="s">
        <v>326</v>
      </c>
      <c r="S101" s="11" t="s">
        <v>123</v>
      </c>
      <c r="T101" s="11">
        <v>1</v>
      </c>
      <c r="U101" s="11" t="s">
        <v>327</v>
      </c>
      <c r="V101" s="11" t="s">
        <v>833</v>
      </c>
      <c r="W101" s="11" t="s">
        <v>834</v>
      </c>
      <c r="X101" s="367">
        <v>46010.543749999997</v>
      </c>
      <c r="Y101" s="11"/>
      <c r="Z101" s="11">
        <v>0.1</v>
      </c>
      <c r="AA101" s="11"/>
      <c r="AB101" s="11" t="s">
        <v>330</v>
      </c>
      <c r="AC101" s="212" t="s">
        <v>102</v>
      </c>
      <c r="AD101" s="11"/>
      <c r="AE101" s="11"/>
      <c r="AF101" s="11"/>
      <c r="AG101" s="11"/>
      <c r="AH101" s="11"/>
      <c r="AI101" s="11"/>
      <c r="AJ101" s="11" t="s">
        <v>332</v>
      </c>
      <c r="AK101" s="11" t="s">
        <v>332</v>
      </c>
      <c r="AL101" s="213" t="e">
        <f t="shared" si="2"/>
        <v>#VALUE!</v>
      </c>
      <c r="AM101" s="211">
        <f t="shared" si="3"/>
        <v>46010</v>
      </c>
    </row>
    <row r="102" spans="1:39" ht="21.6" customHeight="1">
      <c r="A102" s="11">
        <v>102</v>
      </c>
      <c r="B102" s="11" t="s">
        <v>322</v>
      </c>
      <c r="C102" s="11">
        <v>2025122770</v>
      </c>
      <c r="D102" s="11"/>
      <c r="E102" s="11"/>
      <c r="F102" s="11">
        <v>2837</v>
      </c>
      <c r="G102" s="11" t="s">
        <v>835</v>
      </c>
      <c r="H102" s="11" t="s">
        <v>358</v>
      </c>
      <c r="I102" s="11"/>
      <c r="J102" s="11"/>
      <c r="K102" s="11"/>
      <c r="L102" s="11"/>
      <c r="M102" s="12"/>
      <c r="N102" s="11"/>
      <c r="O102" s="12"/>
      <c r="P102" s="13"/>
      <c r="Q102" s="11" t="s">
        <v>836</v>
      </c>
      <c r="R102" s="11" t="s">
        <v>326</v>
      </c>
      <c r="S102" s="11" t="s">
        <v>123</v>
      </c>
      <c r="T102" s="11">
        <v>1</v>
      </c>
      <c r="U102" s="11" t="s">
        <v>327</v>
      </c>
      <c r="V102" s="11" t="s">
        <v>837</v>
      </c>
      <c r="W102" s="11" t="s">
        <v>838</v>
      </c>
      <c r="X102" s="367">
        <v>46010.547222222223</v>
      </c>
      <c r="Y102" s="11"/>
      <c r="Z102" s="11">
        <v>0.1</v>
      </c>
      <c r="AA102" s="11"/>
      <c r="AB102" s="11" t="s">
        <v>330</v>
      </c>
      <c r="AC102" s="212" t="s">
        <v>102</v>
      </c>
      <c r="AD102" s="11"/>
      <c r="AE102" s="11"/>
      <c r="AF102" s="11"/>
      <c r="AG102" s="11"/>
      <c r="AH102" s="11"/>
      <c r="AI102" s="11"/>
      <c r="AJ102" s="11" t="s">
        <v>332</v>
      </c>
      <c r="AK102" s="11" t="s">
        <v>332</v>
      </c>
      <c r="AL102" s="213" t="e">
        <f t="shared" si="2"/>
        <v>#VALUE!</v>
      </c>
      <c r="AM102" s="211">
        <f t="shared" si="3"/>
        <v>46010</v>
      </c>
    </row>
    <row r="103" spans="1:39" ht="21.6" customHeight="1">
      <c r="A103" s="11">
        <v>103</v>
      </c>
      <c r="B103" s="11" t="s">
        <v>322</v>
      </c>
      <c r="C103" s="11">
        <v>2025122771</v>
      </c>
      <c r="D103" s="11"/>
      <c r="E103" s="11"/>
      <c r="F103" s="11">
        <v>3676</v>
      </c>
      <c r="G103" s="11" t="s">
        <v>839</v>
      </c>
      <c r="H103" s="11" t="s">
        <v>358</v>
      </c>
      <c r="I103" s="11"/>
      <c r="J103" s="11"/>
      <c r="K103" s="11"/>
      <c r="L103" s="11"/>
      <c r="M103" s="12"/>
      <c r="N103" s="11"/>
      <c r="O103" s="12"/>
      <c r="P103" s="13"/>
      <c r="Q103" s="11" t="s">
        <v>840</v>
      </c>
      <c r="R103" s="11" t="s">
        <v>326</v>
      </c>
      <c r="S103" s="11" t="s">
        <v>123</v>
      </c>
      <c r="T103" s="11">
        <v>1</v>
      </c>
      <c r="U103" s="11" t="s">
        <v>327</v>
      </c>
      <c r="V103" s="11" t="s">
        <v>841</v>
      </c>
      <c r="W103" s="11" t="s">
        <v>842</v>
      </c>
      <c r="X103" s="367">
        <v>46010.549305555563</v>
      </c>
      <c r="Y103" s="11"/>
      <c r="Z103" s="11">
        <v>0.1</v>
      </c>
      <c r="AA103" s="11"/>
      <c r="AB103" s="11" t="s">
        <v>330</v>
      </c>
      <c r="AC103" s="212" t="s">
        <v>102</v>
      </c>
      <c r="AD103" s="11"/>
      <c r="AE103" s="11"/>
      <c r="AF103" s="11"/>
      <c r="AG103" s="11"/>
      <c r="AH103" s="11"/>
      <c r="AI103" s="11"/>
      <c r="AJ103" s="11" t="s">
        <v>332</v>
      </c>
      <c r="AK103" s="11" t="s">
        <v>332</v>
      </c>
      <c r="AL103" s="213" t="e">
        <f t="shared" si="2"/>
        <v>#VALUE!</v>
      </c>
      <c r="AM103" s="211">
        <f t="shared" si="3"/>
        <v>46010</v>
      </c>
    </row>
    <row r="104" spans="1:39" ht="21.6" customHeight="1">
      <c r="A104" s="11">
        <v>104</v>
      </c>
      <c r="B104" s="11" t="s">
        <v>322</v>
      </c>
      <c r="C104" s="11">
        <v>2025122772</v>
      </c>
      <c r="D104" s="11"/>
      <c r="E104" s="11"/>
      <c r="F104" s="11">
        <v>2014</v>
      </c>
      <c r="G104" s="11" t="s">
        <v>710</v>
      </c>
      <c r="H104" s="11" t="s">
        <v>358</v>
      </c>
      <c r="I104" s="11"/>
      <c r="J104" s="11"/>
      <c r="K104" s="11"/>
      <c r="L104" s="11"/>
      <c r="M104" s="12"/>
      <c r="N104" s="11"/>
      <c r="O104" s="12"/>
      <c r="P104" s="13"/>
      <c r="Q104" s="11" t="s">
        <v>714</v>
      </c>
      <c r="R104" s="11" t="s">
        <v>326</v>
      </c>
      <c r="S104" s="11" t="s">
        <v>123</v>
      </c>
      <c r="T104" s="11">
        <v>1</v>
      </c>
      <c r="U104" s="11" t="s">
        <v>327</v>
      </c>
      <c r="V104" s="11" t="s">
        <v>843</v>
      </c>
      <c r="W104" s="11" t="s">
        <v>844</v>
      </c>
      <c r="X104" s="367">
        <v>46010.558333333327</v>
      </c>
      <c r="Y104" s="11"/>
      <c r="Z104" s="11">
        <v>0.2</v>
      </c>
      <c r="AA104" s="11"/>
      <c r="AB104" s="11" t="s">
        <v>330</v>
      </c>
      <c r="AC104" s="212" t="s">
        <v>102</v>
      </c>
      <c r="AD104" s="11"/>
      <c r="AE104" s="11"/>
      <c r="AF104" s="11"/>
      <c r="AG104" s="11"/>
      <c r="AH104" s="11"/>
      <c r="AI104" s="11"/>
      <c r="AJ104" s="11" t="s">
        <v>332</v>
      </c>
      <c r="AK104" s="11" t="s">
        <v>332</v>
      </c>
      <c r="AL104" s="213" t="e">
        <f t="shared" si="2"/>
        <v>#VALUE!</v>
      </c>
      <c r="AM104" s="211">
        <f t="shared" si="3"/>
        <v>46010</v>
      </c>
    </row>
    <row r="105" spans="1:39" ht="21.6" customHeight="1">
      <c r="A105" s="11">
        <v>105</v>
      </c>
      <c r="B105" s="11" t="s">
        <v>322</v>
      </c>
      <c r="C105" s="11">
        <v>2025122774</v>
      </c>
      <c r="D105" s="11"/>
      <c r="E105" s="11"/>
      <c r="F105" s="11">
        <v>4652</v>
      </c>
      <c r="G105" s="11" t="s">
        <v>845</v>
      </c>
      <c r="H105" s="11" t="s">
        <v>358</v>
      </c>
      <c r="I105" s="11"/>
      <c r="J105" s="11"/>
      <c r="K105" s="11"/>
      <c r="L105" s="11"/>
      <c r="M105" s="12"/>
      <c r="N105" s="11"/>
      <c r="O105" s="12"/>
      <c r="P105" s="13"/>
      <c r="Q105" s="11" t="s">
        <v>846</v>
      </c>
      <c r="R105" s="11" t="s">
        <v>326</v>
      </c>
      <c r="S105" s="11" t="s">
        <v>123</v>
      </c>
      <c r="T105" s="11">
        <v>1</v>
      </c>
      <c r="U105" s="11" t="s">
        <v>327</v>
      </c>
      <c r="V105" s="11" t="s">
        <v>847</v>
      </c>
      <c r="W105" s="11" t="s">
        <v>848</v>
      </c>
      <c r="X105" s="367">
        <v>46010.56527777778</v>
      </c>
      <c r="Y105" s="11"/>
      <c r="Z105" s="11">
        <v>0.1</v>
      </c>
      <c r="AA105" s="11"/>
      <c r="AB105" s="11" t="s">
        <v>330</v>
      </c>
      <c r="AC105" s="212" t="s">
        <v>102</v>
      </c>
      <c r="AD105" s="11"/>
      <c r="AE105" s="11"/>
      <c r="AF105" s="11"/>
      <c r="AG105" s="11"/>
      <c r="AH105" s="11"/>
      <c r="AI105" s="11"/>
      <c r="AJ105" s="11" t="s">
        <v>332</v>
      </c>
      <c r="AK105" s="11" t="s">
        <v>332</v>
      </c>
      <c r="AL105" s="213" t="e">
        <f t="shared" si="2"/>
        <v>#VALUE!</v>
      </c>
      <c r="AM105" s="211">
        <f t="shared" si="3"/>
        <v>46010</v>
      </c>
    </row>
    <row r="106" spans="1:39" ht="21.6" customHeight="1">
      <c r="A106" s="11">
        <v>106</v>
      </c>
      <c r="B106" s="11" t="s">
        <v>322</v>
      </c>
      <c r="C106" s="11">
        <v>2025122777</v>
      </c>
      <c r="D106" s="11"/>
      <c r="E106" s="11"/>
      <c r="F106" s="11">
        <v>4968</v>
      </c>
      <c r="G106" s="11" t="s">
        <v>849</v>
      </c>
      <c r="H106" s="11" t="s">
        <v>358</v>
      </c>
      <c r="I106" s="11"/>
      <c r="J106" s="11"/>
      <c r="K106" s="11"/>
      <c r="L106" s="11"/>
      <c r="M106" s="12"/>
      <c r="N106" s="11"/>
      <c r="O106" s="12"/>
      <c r="P106" s="13"/>
      <c r="Q106" s="11" t="s">
        <v>850</v>
      </c>
      <c r="R106" s="11" t="s">
        <v>326</v>
      </c>
      <c r="S106" s="11" t="s">
        <v>123</v>
      </c>
      <c r="T106" s="11">
        <v>1</v>
      </c>
      <c r="U106" s="11" t="s">
        <v>327</v>
      </c>
      <c r="V106" s="11" t="s">
        <v>851</v>
      </c>
      <c r="W106" s="11" t="s">
        <v>852</v>
      </c>
      <c r="X106" s="367">
        <v>46010.593055555553</v>
      </c>
      <c r="Y106" s="11"/>
      <c r="Z106" s="11">
        <v>0.3</v>
      </c>
      <c r="AA106" s="11"/>
      <c r="AB106" s="11" t="s">
        <v>330</v>
      </c>
      <c r="AC106" s="212" t="s">
        <v>102</v>
      </c>
      <c r="AD106" s="11"/>
      <c r="AE106" s="11"/>
      <c r="AF106" s="11"/>
      <c r="AG106" s="11"/>
      <c r="AH106" s="11"/>
      <c r="AI106" s="11"/>
      <c r="AJ106" s="11" t="s">
        <v>332</v>
      </c>
      <c r="AK106" s="11" t="s">
        <v>332</v>
      </c>
      <c r="AL106" s="213" t="e">
        <f t="shared" si="2"/>
        <v>#VALUE!</v>
      </c>
      <c r="AM106" s="211">
        <f t="shared" si="3"/>
        <v>46010</v>
      </c>
    </row>
    <row r="107" spans="1:39" ht="21.6" customHeight="1">
      <c r="A107" s="11">
        <v>107</v>
      </c>
      <c r="B107" s="11" t="s">
        <v>322</v>
      </c>
      <c r="C107" s="11">
        <v>2025122793</v>
      </c>
      <c r="D107" s="11"/>
      <c r="E107" s="11"/>
      <c r="F107" s="11">
        <v>4191</v>
      </c>
      <c r="G107" s="11" t="s">
        <v>853</v>
      </c>
      <c r="H107" s="11" t="s">
        <v>358</v>
      </c>
      <c r="I107" s="11"/>
      <c r="J107" s="11"/>
      <c r="K107" s="11"/>
      <c r="L107" s="11"/>
      <c r="M107" s="12"/>
      <c r="N107" s="11"/>
      <c r="O107" s="12"/>
      <c r="P107" s="13"/>
      <c r="Q107" s="11" t="s">
        <v>854</v>
      </c>
      <c r="R107" s="11" t="s">
        <v>326</v>
      </c>
      <c r="S107" s="11" t="s">
        <v>123</v>
      </c>
      <c r="T107" s="11">
        <v>1</v>
      </c>
      <c r="U107" s="11" t="s">
        <v>327</v>
      </c>
      <c r="V107" s="11" t="s">
        <v>855</v>
      </c>
      <c r="W107" s="11" t="s">
        <v>856</v>
      </c>
      <c r="X107" s="367">
        <v>46010.607638888891</v>
      </c>
      <c r="Y107" s="11"/>
      <c r="Z107" s="11">
        <v>0.2</v>
      </c>
      <c r="AA107" s="11"/>
      <c r="AB107" s="11" t="s">
        <v>330</v>
      </c>
      <c r="AC107" s="212" t="s">
        <v>102</v>
      </c>
      <c r="AD107" s="11"/>
      <c r="AE107" s="11"/>
      <c r="AF107" s="11"/>
      <c r="AG107" s="11"/>
      <c r="AH107" s="11"/>
      <c r="AI107" s="11"/>
      <c r="AJ107" s="11" t="s">
        <v>332</v>
      </c>
      <c r="AK107" s="11" t="s">
        <v>332</v>
      </c>
      <c r="AL107" s="213" t="e">
        <f t="shared" si="2"/>
        <v>#VALUE!</v>
      </c>
      <c r="AM107" s="211">
        <f t="shared" si="3"/>
        <v>46010</v>
      </c>
    </row>
    <row r="108" spans="1:39" ht="21.6" customHeight="1">
      <c r="A108" s="11">
        <v>108</v>
      </c>
      <c r="B108" s="11" t="s">
        <v>322</v>
      </c>
      <c r="C108" s="11">
        <v>2025122796</v>
      </c>
      <c r="D108" s="11"/>
      <c r="E108" s="11"/>
      <c r="F108" s="11" t="s">
        <v>60</v>
      </c>
      <c r="G108" s="11" t="s">
        <v>857</v>
      </c>
      <c r="H108" s="11" t="s">
        <v>358</v>
      </c>
      <c r="I108" s="11"/>
      <c r="J108" s="11"/>
      <c r="K108" s="11"/>
      <c r="L108" s="11"/>
      <c r="M108" s="12"/>
      <c r="N108" s="11"/>
      <c r="O108" s="12"/>
      <c r="P108" s="13"/>
      <c r="Q108" s="11" t="s">
        <v>858</v>
      </c>
      <c r="R108" s="11" t="s">
        <v>326</v>
      </c>
      <c r="S108" s="11" t="s">
        <v>123</v>
      </c>
      <c r="T108" s="11">
        <v>1</v>
      </c>
      <c r="U108" s="11" t="s">
        <v>327</v>
      </c>
      <c r="V108" s="11" t="s">
        <v>859</v>
      </c>
      <c r="W108" s="11" t="s">
        <v>860</v>
      </c>
      <c r="X108" s="367">
        <v>46010.61041666667</v>
      </c>
      <c r="Y108" s="11"/>
      <c r="Z108" s="11">
        <v>0.1</v>
      </c>
      <c r="AA108" s="11"/>
      <c r="AB108" s="11" t="s">
        <v>330</v>
      </c>
      <c r="AC108" s="212" t="s">
        <v>102</v>
      </c>
      <c r="AD108" s="11"/>
      <c r="AE108" s="11"/>
      <c r="AF108" s="11"/>
      <c r="AG108" s="11"/>
      <c r="AH108" s="11"/>
      <c r="AI108" s="11"/>
      <c r="AJ108" s="11" t="s">
        <v>332</v>
      </c>
      <c r="AK108" s="11" t="s">
        <v>332</v>
      </c>
      <c r="AL108" s="213" t="e">
        <f t="shared" si="2"/>
        <v>#VALUE!</v>
      </c>
      <c r="AM108" s="211">
        <f t="shared" si="3"/>
        <v>46010</v>
      </c>
    </row>
    <row r="109" spans="1:39" ht="21.6" customHeight="1">
      <c r="A109" s="11">
        <v>109</v>
      </c>
      <c r="B109" s="11" t="s">
        <v>363</v>
      </c>
      <c r="C109" s="11">
        <v>2025122842</v>
      </c>
      <c r="D109" s="11" t="s">
        <v>861</v>
      </c>
      <c r="E109" s="11" t="s">
        <v>365</v>
      </c>
      <c r="F109" s="11">
        <v>3147</v>
      </c>
      <c r="G109" s="11" t="s">
        <v>862</v>
      </c>
      <c r="H109" s="11" t="s">
        <v>396</v>
      </c>
      <c r="I109" s="11" t="s">
        <v>863</v>
      </c>
      <c r="J109" s="11" t="s">
        <v>458</v>
      </c>
      <c r="K109" s="11" t="s">
        <v>446</v>
      </c>
      <c r="L109" s="11" t="s">
        <v>864</v>
      </c>
      <c r="M109" s="12" t="s">
        <v>865</v>
      </c>
      <c r="N109" s="11">
        <v>2703</v>
      </c>
      <c r="O109" s="12" t="s">
        <v>866</v>
      </c>
      <c r="P109" s="13" t="s">
        <v>867</v>
      </c>
      <c r="Q109" s="11" t="s">
        <v>868</v>
      </c>
      <c r="R109" s="11" t="s">
        <v>326</v>
      </c>
      <c r="S109" s="11" t="s">
        <v>134</v>
      </c>
      <c r="T109" s="11">
        <v>1</v>
      </c>
      <c r="U109" s="11" t="s">
        <v>327</v>
      </c>
      <c r="V109" s="11" t="s">
        <v>869</v>
      </c>
      <c r="W109" s="11" t="s">
        <v>870</v>
      </c>
      <c r="X109" s="367">
        <v>46014.518055555563</v>
      </c>
      <c r="Y109" s="11" t="s">
        <v>871</v>
      </c>
      <c r="Z109" s="11">
        <v>0.1</v>
      </c>
      <c r="AA109" s="11"/>
      <c r="AB109" s="11" t="s">
        <v>330</v>
      </c>
      <c r="AC109" s="212" t="s">
        <v>872</v>
      </c>
      <c r="AD109" s="11"/>
      <c r="AE109" s="11"/>
      <c r="AF109" s="11"/>
      <c r="AG109" s="11"/>
      <c r="AH109" s="11"/>
      <c r="AI109" s="11"/>
      <c r="AJ109" s="11"/>
      <c r="AK109" s="11" t="s">
        <v>332</v>
      </c>
      <c r="AL109" s="213">
        <f t="shared" si="2"/>
        <v>46011</v>
      </c>
      <c r="AM109" s="211">
        <f t="shared" si="3"/>
        <v>46014</v>
      </c>
    </row>
    <row r="110" spans="1:39" ht="21.6" customHeight="1">
      <c r="A110" s="11">
        <v>110</v>
      </c>
      <c r="B110" s="11" t="s">
        <v>363</v>
      </c>
      <c r="C110" s="11">
        <v>2025122850</v>
      </c>
      <c r="D110" s="11" t="s">
        <v>873</v>
      </c>
      <c r="E110" s="11" t="s">
        <v>365</v>
      </c>
      <c r="F110" s="11" t="s">
        <v>56</v>
      </c>
      <c r="G110" s="11" t="s">
        <v>874</v>
      </c>
      <c r="H110" s="11" t="s">
        <v>358</v>
      </c>
      <c r="I110" s="11" t="s">
        <v>875</v>
      </c>
      <c r="J110" s="11" t="s">
        <v>483</v>
      </c>
      <c r="K110" s="11" t="s">
        <v>200</v>
      </c>
      <c r="L110" s="11" t="s">
        <v>369</v>
      </c>
      <c r="M110" s="12" t="s">
        <v>370</v>
      </c>
      <c r="N110" s="11">
        <v>2306</v>
      </c>
      <c r="O110" s="12" t="s">
        <v>425</v>
      </c>
      <c r="P110" s="13" t="s">
        <v>876</v>
      </c>
      <c r="Q110" s="11" t="s">
        <v>877</v>
      </c>
      <c r="R110" s="11" t="s">
        <v>326</v>
      </c>
      <c r="S110" s="11" t="s">
        <v>123</v>
      </c>
      <c r="T110" s="11">
        <v>1</v>
      </c>
      <c r="U110" s="11" t="s">
        <v>327</v>
      </c>
      <c r="V110" s="11" t="s">
        <v>878</v>
      </c>
      <c r="W110" s="11" t="s">
        <v>879</v>
      </c>
      <c r="X110" s="367">
        <v>46013.510416666657</v>
      </c>
      <c r="Y110" s="11" t="s">
        <v>871</v>
      </c>
      <c r="Z110" s="11">
        <v>0.5</v>
      </c>
      <c r="AA110" s="11"/>
      <c r="AB110" s="11" t="s">
        <v>330</v>
      </c>
      <c r="AC110" s="212" t="s">
        <v>880</v>
      </c>
      <c r="AD110" s="11"/>
      <c r="AE110" s="11"/>
      <c r="AF110" s="11"/>
      <c r="AG110" s="11"/>
      <c r="AH110" s="11"/>
      <c r="AI110" s="11"/>
      <c r="AJ110" s="11"/>
      <c r="AK110" s="11" t="s">
        <v>332</v>
      </c>
      <c r="AL110" s="213">
        <f t="shared" si="2"/>
        <v>46012</v>
      </c>
      <c r="AM110" s="211">
        <f t="shared" si="3"/>
        <v>46013</v>
      </c>
    </row>
    <row r="111" spans="1:39" ht="21.6" customHeight="1">
      <c r="A111" s="11">
        <v>111</v>
      </c>
      <c r="B111" s="11" t="s">
        <v>322</v>
      </c>
      <c r="C111" s="11">
        <v>2025122923</v>
      </c>
      <c r="D111" s="11"/>
      <c r="E111" s="11"/>
      <c r="F111" s="11">
        <v>4228</v>
      </c>
      <c r="G111" s="11" t="s">
        <v>158</v>
      </c>
      <c r="H111" s="11" t="s">
        <v>490</v>
      </c>
      <c r="I111" s="11"/>
      <c r="J111" s="11"/>
      <c r="K111" s="11"/>
      <c r="L111" s="11"/>
      <c r="M111" s="12"/>
      <c r="N111" s="11"/>
      <c r="O111" s="12"/>
      <c r="P111" s="13"/>
      <c r="Q111" s="11" t="s">
        <v>881</v>
      </c>
      <c r="R111" s="11" t="s">
        <v>326</v>
      </c>
      <c r="S111" s="11" t="s">
        <v>118</v>
      </c>
      <c r="T111" s="11">
        <v>1</v>
      </c>
      <c r="U111" s="11" t="s">
        <v>327</v>
      </c>
      <c r="V111" s="11" t="s">
        <v>882</v>
      </c>
      <c r="W111" s="11" t="s">
        <v>883</v>
      </c>
      <c r="X111" s="367">
        <v>46013.5625</v>
      </c>
      <c r="Y111" s="11"/>
      <c r="Z111" s="11">
        <v>0.5</v>
      </c>
      <c r="AA111" s="11"/>
      <c r="AB111" s="11" t="s">
        <v>330</v>
      </c>
      <c r="AC111" s="212" t="s">
        <v>331</v>
      </c>
      <c r="AD111" s="11" t="s">
        <v>332</v>
      </c>
      <c r="AE111" s="11"/>
      <c r="AF111" s="11"/>
      <c r="AG111" s="11"/>
      <c r="AH111" s="11"/>
      <c r="AI111" s="11"/>
      <c r="AJ111" s="11" t="s">
        <v>332</v>
      </c>
      <c r="AK111" s="11" t="s">
        <v>332</v>
      </c>
      <c r="AL111" s="213" t="e">
        <f t="shared" si="2"/>
        <v>#VALUE!</v>
      </c>
      <c r="AM111" s="211">
        <f t="shared" si="3"/>
        <v>46013</v>
      </c>
    </row>
    <row r="112" spans="1:39" ht="21.6" customHeight="1">
      <c r="A112" s="11">
        <v>112</v>
      </c>
      <c r="B112" s="11" t="s">
        <v>322</v>
      </c>
      <c r="C112" s="11">
        <v>2025122926</v>
      </c>
      <c r="D112" s="11"/>
      <c r="E112" s="11"/>
      <c r="F112" s="11">
        <v>4194</v>
      </c>
      <c r="G112" s="11" t="s">
        <v>884</v>
      </c>
      <c r="H112" s="11" t="s">
        <v>490</v>
      </c>
      <c r="I112" s="11"/>
      <c r="J112" s="11"/>
      <c r="K112" s="11"/>
      <c r="L112" s="11"/>
      <c r="M112" s="12"/>
      <c r="N112" s="11"/>
      <c r="O112" s="12"/>
      <c r="P112" s="13"/>
      <c r="Q112" s="11" t="s">
        <v>885</v>
      </c>
      <c r="R112" s="11" t="s">
        <v>326</v>
      </c>
      <c r="S112" s="11" t="s">
        <v>118</v>
      </c>
      <c r="T112" s="11">
        <v>1</v>
      </c>
      <c r="U112" s="11" t="s">
        <v>327</v>
      </c>
      <c r="V112" s="11" t="s">
        <v>886</v>
      </c>
      <c r="W112" s="11" t="s">
        <v>887</v>
      </c>
      <c r="X112" s="367">
        <v>46013.583333333343</v>
      </c>
      <c r="Y112" s="11"/>
      <c r="Z112" s="11">
        <v>0.5</v>
      </c>
      <c r="AA112" s="11"/>
      <c r="AB112" s="11" t="s">
        <v>330</v>
      </c>
      <c r="AC112" s="212" t="s">
        <v>331</v>
      </c>
      <c r="AD112" s="11" t="s">
        <v>332</v>
      </c>
      <c r="AE112" s="11"/>
      <c r="AF112" s="11"/>
      <c r="AG112" s="11"/>
      <c r="AH112" s="11"/>
      <c r="AI112" s="11"/>
      <c r="AJ112" s="11" t="s">
        <v>332</v>
      </c>
      <c r="AK112" s="11" t="s">
        <v>332</v>
      </c>
      <c r="AL112" s="213" t="e">
        <f t="shared" si="2"/>
        <v>#VALUE!</v>
      </c>
      <c r="AM112" s="211">
        <f t="shared" si="3"/>
        <v>46013</v>
      </c>
    </row>
    <row r="113" spans="1:39" ht="21.6" customHeight="1">
      <c r="A113" s="11">
        <v>113</v>
      </c>
      <c r="B113" s="11" t="s">
        <v>322</v>
      </c>
      <c r="C113" s="11">
        <v>2025122930</v>
      </c>
      <c r="D113" s="11"/>
      <c r="E113" s="11"/>
      <c r="F113" s="11">
        <v>4701</v>
      </c>
      <c r="G113" s="11" t="s">
        <v>888</v>
      </c>
      <c r="H113" s="11" t="s">
        <v>490</v>
      </c>
      <c r="I113" s="11"/>
      <c r="J113" s="11"/>
      <c r="K113" s="11"/>
      <c r="L113" s="11"/>
      <c r="M113" s="12"/>
      <c r="N113" s="11"/>
      <c r="O113" s="12"/>
      <c r="P113" s="13"/>
      <c r="Q113" s="11" t="s">
        <v>889</v>
      </c>
      <c r="R113" s="11" t="s">
        <v>326</v>
      </c>
      <c r="S113" s="11" t="s">
        <v>118</v>
      </c>
      <c r="T113" s="11">
        <v>1</v>
      </c>
      <c r="U113" s="11" t="s">
        <v>327</v>
      </c>
      <c r="V113" s="11" t="s">
        <v>890</v>
      </c>
      <c r="W113" s="11" t="s">
        <v>891</v>
      </c>
      <c r="X113" s="367">
        <v>46013.604166666657</v>
      </c>
      <c r="Y113" s="11"/>
      <c r="Z113" s="11">
        <v>0.5</v>
      </c>
      <c r="AA113" s="11"/>
      <c r="AB113" s="11" t="s">
        <v>330</v>
      </c>
      <c r="AC113" s="212" t="s">
        <v>331</v>
      </c>
      <c r="AD113" s="11" t="s">
        <v>332</v>
      </c>
      <c r="AE113" s="11"/>
      <c r="AF113" s="11"/>
      <c r="AG113" s="11"/>
      <c r="AH113" s="11"/>
      <c r="AI113" s="11"/>
      <c r="AJ113" s="11" t="s">
        <v>332</v>
      </c>
      <c r="AK113" s="11" t="s">
        <v>332</v>
      </c>
      <c r="AL113" s="213" t="e">
        <f t="shared" si="2"/>
        <v>#VALUE!</v>
      </c>
      <c r="AM113" s="211">
        <f t="shared" si="3"/>
        <v>46013</v>
      </c>
    </row>
    <row r="114" spans="1:39" ht="21.6" customHeight="1">
      <c r="A114" s="11">
        <v>114</v>
      </c>
      <c r="B114" s="11" t="s">
        <v>322</v>
      </c>
      <c r="C114" s="11">
        <v>2025122937</v>
      </c>
      <c r="D114" s="11"/>
      <c r="E114" s="11"/>
      <c r="F114" s="11">
        <v>3999</v>
      </c>
      <c r="G114" s="11" t="s">
        <v>892</v>
      </c>
      <c r="H114" s="11" t="s">
        <v>490</v>
      </c>
      <c r="I114" s="11"/>
      <c r="J114" s="11"/>
      <c r="K114" s="11"/>
      <c r="L114" s="11"/>
      <c r="M114" s="12"/>
      <c r="N114" s="11"/>
      <c r="O114" s="12"/>
      <c r="P114" s="13"/>
      <c r="Q114" s="11" t="s">
        <v>893</v>
      </c>
      <c r="R114" s="11" t="s">
        <v>326</v>
      </c>
      <c r="S114" s="11" t="s">
        <v>118</v>
      </c>
      <c r="T114" s="11">
        <v>1</v>
      </c>
      <c r="U114" s="11" t="s">
        <v>327</v>
      </c>
      <c r="V114" s="11" t="s">
        <v>894</v>
      </c>
      <c r="W114" s="11" t="s">
        <v>895</v>
      </c>
      <c r="X114" s="367">
        <v>46013.625</v>
      </c>
      <c r="Y114" s="11"/>
      <c r="Z114" s="11">
        <v>0.5</v>
      </c>
      <c r="AA114" s="11"/>
      <c r="AB114" s="11" t="s">
        <v>330</v>
      </c>
      <c r="AC114" s="212" t="s">
        <v>331</v>
      </c>
      <c r="AD114" s="11" t="s">
        <v>332</v>
      </c>
      <c r="AE114" s="11"/>
      <c r="AF114" s="11"/>
      <c r="AG114" s="11"/>
      <c r="AH114" s="11"/>
      <c r="AI114" s="11"/>
      <c r="AJ114" s="11" t="s">
        <v>332</v>
      </c>
      <c r="AK114" s="11" t="s">
        <v>332</v>
      </c>
      <c r="AL114" s="213" t="e">
        <f t="shared" si="2"/>
        <v>#VALUE!</v>
      </c>
      <c r="AM114" s="211">
        <f t="shared" si="3"/>
        <v>46013</v>
      </c>
    </row>
    <row r="115" spans="1:39" ht="21.6" customHeight="1">
      <c r="A115" s="11">
        <v>115</v>
      </c>
      <c r="B115" s="11" t="s">
        <v>322</v>
      </c>
      <c r="C115" s="11">
        <v>2025122942</v>
      </c>
      <c r="D115" s="11"/>
      <c r="E115" s="11"/>
      <c r="F115" s="11">
        <v>4762</v>
      </c>
      <c r="G115" s="11" t="s">
        <v>896</v>
      </c>
      <c r="H115" s="11" t="s">
        <v>490</v>
      </c>
      <c r="I115" s="11"/>
      <c r="J115" s="11"/>
      <c r="K115" s="11"/>
      <c r="L115" s="11"/>
      <c r="M115" s="12"/>
      <c r="N115" s="11"/>
      <c r="O115" s="12"/>
      <c r="P115" s="13"/>
      <c r="Q115" s="11" t="s">
        <v>897</v>
      </c>
      <c r="R115" s="11" t="s">
        <v>326</v>
      </c>
      <c r="S115" s="11" t="s">
        <v>118</v>
      </c>
      <c r="T115" s="11">
        <v>1</v>
      </c>
      <c r="U115" s="11" t="s">
        <v>327</v>
      </c>
      <c r="V115" s="11" t="s">
        <v>898</v>
      </c>
      <c r="W115" s="11" t="s">
        <v>899</v>
      </c>
      <c r="X115" s="367">
        <v>46013.645833333343</v>
      </c>
      <c r="Y115" s="11"/>
      <c r="Z115" s="11">
        <v>0.5</v>
      </c>
      <c r="AA115" s="11"/>
      <c r="AB115" s="11" t="s">
        <v>330</v>
      </c>
      <c r="AC115" s="212" t="s">
        <v>331</v>
      </c>
      <c r="AD115" s="11" t="s">
        <v>332</v>
      </c>
      <c r="AE115" s="11"/>
      <c r="AF115" s="11"/>
      <c r="AG115" s="11"/>
      <c r="AH115" s="11"/>
      <c r="AI115" s="11"/>
      <c r="AJ115" s="11" t="s">
        <v>332</v>
      </c>
      <c r="AK115" s="11" t="s">
        <v>332</v>
      </c>
      <c r="AL115" s="213" t="e">
        <f t="shared" si="2"/>
        <v>#VALUE!</v>
      </c>
      <c r="AM115" s="211">
        <f t="shared" si="3"/>
        <v>46013</v>
      </c>
    </row>
    <row r="116" spans="1:39" ht="21.6" customHeight="1">
      <c r="A116" s="11">
        <v>116</v>
      </c>
      <c r="B116" s="11" t="s">
        <v>363</v>
      </c>
      <c r="C116" s="11">
        <v>2025122991</v>
      </c>
      <c r="D116" s="11" t="s">
        <v>900</v>
      </c>
      <c r="E116" s="11" t="s">
        <v>365</v>
      </c>
      <c r="F116" s="11">
        <v>4312</v>
      </c>
      <c r="G116" s="11" t="s">
        <v>901</v>
      </c>
      <c r="H116" s="11" t="s">
        <v>358</v>
      </c>
      <c r="I116" s="11" t="s">
        <v>902</v>
      </c>
      <c r="J116" s="11" t="s">
        <v>492</v>
      </c>
      <c r="K116" s="11" t="s">
        <v>903</v>
      </c>
      <c r="L116" s="11" t="s">
        <v>447</v>
      </c>
      <c r="M116" s="12" t="s">
        <v>448</v>
      </c>
      <c r="N116" s="11" t="s">
        <v>449</v>
      </c>
      <c r="O116" s="12" t="s">
        <v>450</v>
      </c>
      <c r="P116" s="13" t="s">
        <v>904</v>
      </c>
      <c r="Q116" s="11" t="s">
        <v>905</v>
      </c>
      <c r="R116" s="11" t="s">
        <v>326</v>
      </c>
      <c r="S116" s="11" t="s">
        <v>123</v>
      </c>
      <c r="T116" s="11">
        <v>1</v>
      </c>
      <c r="U116" s="11" t="s">
        <v>327</v>
      </c>
      <c r="V116" s="11" t="s">
        <v>906</v>
      </c>
      <c r="W116" s="11" t="s">
        <v>907</v>
      </c>
      <c r="X116" s="367">
        <v>46015.48541666667</v>
      </c>
      <c r="Y116" s="11" t="s">
        <v>908</v>
      </c>
      <c r="Z116" s="11">
        <v>0.7</v>
      </c>
      <c r="AA116" s="11"/>
      <c r="AB116" s="11" t="s">
        <v>330</v>
      </c>
      <c r="AC116" s="212" t="s">
        <v>909</v>
      </c>
      <c r="AD116" s="11"/>
      <c r="AE116" s="11"/>
      <c r="AF116" s="11"/>
      <c r="AG116" s="11"/>
      <c r="AH116" s="11"/>
      <c r="AI116" s="11"/>
      <c r="AJ116" s="11"/>
      <c r="AK116" s="11" t="s">
        <v>332</v>
      </c>
      <c r="AL116" s="213">
        <f t="shared" si="2"/>
        <v>46013</v>
      </c>
      <c r="AM116" s="211">
        <f t="shared" si="3"/>
        <v>46015</v>
      </c>
    </row>
    <row r="117" spans="1:39" ht="21.6" customHeight="1">
      <c r="A117" s="11">
        <v>117</v>
      </c>
      <c r="B117" s="11" t="s">
        <v>363</v>
      </c>
      <c r="C117" s="11">
        <v>2025122992</v>
      </c>
      <c r="D117" s="11" t="s">
        <v>910</v>
      </c>
      <c r="E117" s="11" t="s">
        <v>365</v>
      </c>
      <c r="F117" s="11">
        <v>4312</v>
      </c>
      <c r="G117" s="11" t="s">
        <v>901</v>
      </c>
      <c r="H117" s="11" t="s">
        <v>358</v>
      </c>
      <c r="I117" s="11" t="s">
        <v>911</v>
      </c>
      <c r="J117" s="11" t="s">
        <v>368</v>
      </c>
      <c r="K117" s="11" t="s">
        <v>446</v>
      </c>
      <c r="L117" s="11" t="s">
        <v>447</v>
      </c>
      <c r="M117" s="12" t="s">
        <v>448</v>
      </c>
      <c r="N117" s="11" t="s">
        <v>449</v>
      </c>
      <c r="O117" s="12" t="s">
        <v>450</v>
      </c>
      <c r="P117" s="13" t="s">
        <v>912</v>
      </c>
      <c r="Q117" s="11" t="s">
        <v>905</v>
      </c>
      <c r="R117" s="11" t="s">
        <v>326</v>
      </c>
      <c r="S117" s="11" t="s">
        <v>123</v>
      </c>
      <c r="T117" s="11">
        <v>1</v>
      </c>
      <c r="U117" s="11" t="s">
        <v>327</v>
      </c>
      <c r="V117" s="11" t="s">
        <v>913</v>
      </c>
      <c r="W117" s="11" t="s">
        <v>907</v>
      </c>
      <c r="X117" s="367">
        <v>46015.484722222223</v>
      </c>
      <c r="Y117" s="11" t="s">
        <v>914</v>
      </c>
      <c r="Z117" s="11">
        <v>0.6</v>
      </c>
      <c r="AA117" s="11"/>
      <c r="AB117" s="11" t="s">
        <v>330</v>
      </c>
      <c r="AC117" s="212" t="s">
        <v>915</v>
      </c>
      <c r="AD117" s="11"/>
      <c r="AE117" s="11"/>
      <c r="AF117" s="11"/>
      <c r="AG117" s="11"/>
      <c r="AH117" s="11"/>
      <c r="AI117" s="11"/>
      <c r="AJ117" s="11"/>
      <c r="AK117" s="11" t="s">
        <v>332</v>
      </c>
      <c r="AL117" s="213">
        <f t="shared" si="2"/>
        <v>46014</v>
      </c>
      <c r="AM117" s="211">
        <f t="shared" si="3"/>
        <v>46015</v>
      </c>
    </row>
    <row r="118" spans="1:39" ht="21.6" customHeight="1">
      <c r="A118" s="11">
        <v>118</v>
      </c>
      <c r="B118" s="11" t="s">
        <v>322</v>
      </c>
      <c r="C118" s="11">
        <v>2025123024</v>
      </c>
      <c r="D118" s="11"/>
      <c r="E118" s="11"/>
      <c r="F118" s="11">
        <v>4196</v>
      </c>
      <c r="G118" s="11" t="s">
        <v>177</v>
      </c>
      <c r="H118" s="11" t="s">
        <v>358</v>
      </c>
      <c r="I118" s="11"/>
      <c r="J118" s="11"/>
      <c r="K118" s="11"/>
      <c r="L118" s="11"/>
      <c r="M118" s="12"/>
      <c r="N118" s="11"/>
      <c r="O118" s="12"/>
      <c r="P118" s="13"/>
      <c r="Q118" s="11" t="s">
        <v>916</v>
      </c>
      <c r="R118" s="11" t="s">
        <v>326</v>
      </c>
      <c r="S118" s="11" t="s">
        <v>123</v>
      </c>
      <c r="T118" s="11">
        <v>1</v>
      </c>
      <c r="U118" s="11" t="s">
        <v>327</v>
      </c>
      <c r="V118" s="11" t="s">
        <v>917</v>
      </c>
      <c r="W118" s="11" t="s">
        <v>918</v>
      </c>
      <c r="X118" s="367">
        <v>46014.594444444447</v>
      </c>
      <c r="Y118" s="11"/>
      <c r="Z118" s="11">
        <v>3.3</v>
      </c>
      <c r="AA118" s="11"/>
      <c r="AB118" s="11" t="s">
        <v>330</v>
      </c>
      <c r="AC118" s="212" t="s">
        <v>102</v>
      </c>
      <c r="AD118" s="11"/>
      <c r="AE118" s="11"/>
      <c r="AF118" s="11"/>
      <c r="AG118" s="11"/>
      <c r="AH118" s="11"/>
      <c r="AI118" s="11"/>
      <c r="AJ118" s="11" t="s">
        <v>332</v>
      </c>
      <c r="AK118" s="11"/>
      <c r="AL118" s="213" t="e">
        <f t="shared" si="2"/>
        <v>#VALUE!</v>
      </c>
      <c r="AM118" s="211">
        <f t="shared" si="3"/>
        <v>46014</v>
      </c>
    </row>
    <row r="119" spans="1:39" ht="21.6" customHeight="1">
      <c r="A119" s="11">
        <v>119</v>
      </c>
      <c r="B119" s="11" t="s">
        <v>322</v>
      </c>
      <c r="C119" s="11">
        <v>2025123025</v>
      </c>
      <c r="D119" s="11"/>
      <c r="E119" s="11"/>
      <c r="F119" s="11">
        <v>4196</v>
      </c>
      <c r="G119" s="11" t="s">
        <v>177</v>
      </c>
      <c r="H119" s="11" t="s">
        <v>358</v>
      </c>
      <c r="I119" s="11"/>
      <c r="J119" s="11"/>
      <c r="K119" s="11"/>
      <c r="L119" s="11"/>
      <c r="M119" s="12"/>
      <c r="N119" s="11"/>
      <c r="O119" s="12"/>
      <c r="P119" s="13"/>
      <c r="Q119" s="11" t="s">
        <v>916</v>
      </c>
      <c r="R119" s="11" t="s">
        <v>326</v>
      </c>
      <c r="S119" s="11" t="s">
        <v>123</v>
      </c>
      <c r="T119" s="11">
        <v>1</v>
      </c>
      <c r="U119" s="11" t="s">
        <v>327</v>
      </c>
      <c r="V119" s="11" t="s">
        <v>919</v>
      </c>
      <c r="W119" s="11" t="s">
        <v>918</v>
      </c>
      <c r="X119" s="367">
        <v>46014.604166666657</v>
      </c>
      <c r="Y119" s="11"/>
      <c r="Z119" s="11">
        <v>3.5</v>
      </c>
      <c r="AA119" s="11"/>
      <c r="AB119" s="11" t="s">
        <v>330</v>
      </c>
      <c r="AC119" s="212" t="s">
        <v>920</v>
      </c>
      <c r="AD119" s="11"/>
      <c r="AE119" s="11" t="s">
        <v>332</v>
      </c>
      <c r="AF119" s="11"/>
      <c r="AG119" s="11"/>
      <c r="AH119" s="11"/>
      <c r="AI119" s="11"/>
      <c r="AJ119" s="11"/>
      <c r="AK119" s="11"/>
      <c r="AL119" s="213" t="e">
        <f t="shared" si="2"/>
        <v>#VALUE!</v>
      </c>
      <c r="AM119" s="211">
        <f t="shared" si="3"/>
        <v>46014</v>
      </c>
    </row>
    <row r="120" spans="1:39" ht="21.6" customHeight="1">
      <c r="A120" s="11">
        <v>120</v>
      </c>
      <c r="B120" s="11" t="s">
        <v>363</v>
      </c>
      <c r="C120" s="11">
        <v>2025123026</v>
      </c>
      <c r="D120" s="11" t="s">
        <v>921</v>
      </c>
      <c r="E120" s="11" t="s">
        <v>365</v>
      </c>
      <c r="F120" s="11">
        <v>4834</v>
      </c>
      <c r="G120" s="11" t="s">
        <v>323</v>
      </c>
      <c r="H120" s="11" t="s">
        <v>324</v>
      </c>
      <c r="I120" s="11" t="s">
        <v>922</v>
      </c>
      <c r="J120" s="11" t="s">
        <v>368</v>
      </c>
      <c r="K120" s="11" t="s">
        <v>200</v>
      </c>
      <c r="L120" s="11" t="s">
        <v>493</v>
      </c>
      <c r="M120" s="12" t="s">
        <v>494</v>
      </c>
      <c r="N120" s="11">
        <v>2501</v>
      </c>
      <c r="O120" s="12" t="s">
        <v>495</v>
      </c>
      <c r="P120" s="13" t="s">
        <v>923</v>
      </c>
      <c r="Q120" s="11" t="s">
        <v>325</v>
      </c>
      <c r="R120" s="11" t="s">
        <v>326</v>
      </c>
      <c r="S120" s="11" t="s">
        <v>118</v>
      </c>
      <c r="T120" s="11">
        <v>1</v>
      </c>
      <c r="U120" s="11" t="s">
        <v>327</v>
      </c>
      <c r="V120" s="11" t="s">
        <v>924</v>
      </c>
      <c r="W120" s="11" t="s">
        <v>925</v>
      </c>
      <c r="X120" s="367">
        <v>46015.444444444453</v>
      </c>
      <c r="Y120" s="11" t="s">
        <v>926</v>
      </c>
      <c r="Z120" s="11">
        <v>0.5</v>
      </c>
      <c r="AA120" s="11"/>
      <c r="AB120" s="11" t="s">
        <v>330</v>
      </c>
      <c r="AC120" s="212" t="s">
        <v>927</v>
      </c>
      <c r="AD120" s="11"/>
      <c r="AE120" s="11"/>
      <c r="AF120" s="11"/>
      <c r="AG120" s="11"/>
      <c r="AH120" s="11"/>
      <c r="AI120" s="11"/>
      <c r="AJ120" s="11"/>
      <c r="AK120" s="11" t="s">
        <v>332</v>
      </c>
      <c r="AL120" s="213">
        <f t="shared" si="2"/>
        <v>46014</v>
      </c>
      <c r="AM120" s="211">
        <f t="shared" si="3"/>
        <v>46015</v>
      </c>
    </row>
    <row r="121" spans="1:39" ht="21.6" customHeight="1">
      <c r="A121" s="11">
        <v>121</v>
      </c>
      <c r="B121" s="11" t="s">
        <v>322</v>
      </c>
      <c r="C121" s="11">
        <v>2025123039</v>
      </c>
      <c r="D121" s="11"/>
      <c r="E121" s="11"/>
      <c r="F121" s="11">
        <v>5451</v>
      </c>
      <c r="G121" s="11" t="s">
        <v>178</v>
      </c>
      <c r="H121" s="11" t="s">
        <v>396</v>
      </c>
      <c r="I121" s="11"/>
      <c r="J121" s="11"/>
      <c r="K121" s="11"/>
      <c r="L121" s="11"/>
      <c r="M121" s="12"/>
      <c r="N121" s="11"/>
      <c r="O121" s="12"/>
      <c r="P121" s="13"/>
      <c r="Q121" s="11" t="s">
        <v>928</v>
      </c>
      <c r="R121" s="11" t="s">
        <v>326</v>
      </c>
      <c r="S121" s="11" t="s">
        <v>134</v>
      </c>
      <c r="T121" s="11">
        <v>1</v>
      </c>
      <c r="U121" s="11" t="s">
        <v>327</v>
      </c>
      <c r="V121" s="11" t="s">
        <v>929</v>
      </c>
      <c r="W121" s="11" t="s">
        <v>930</v>
      </c>
      <c r="X121" s="367">
        <v>46014.65347222222</v>
      </c>
      <c r="Y121" s="11"/>
      <c r="Z121" s="11">
        <v>3.7</v>
      </c>
      <c r="AA121" s="11"/>
      <c r="AB121" s="11" t="s">
        <v>330</v>
      </c>
      <c r="AC121" s="212" t="s">
        <v>931</v>
      </c>
      <c r="AD121" s="11"/>
      <c r="AE121" s="11" t="s">
        <v>332</v>
      </c>
      <c r="AF121" s="11"/>
      <c r="AG121" s="11"/>
      <c r="AH121" s="11"/>
      <c r="AI121" s="11"/>
      <c r="AJ121" s="11"/>
      <c r="AK121" s="11" t="s">
        <v>332</v>
      </c>
      <c r="AL121" s="213" t="e">
        <f t="shared" si="2"/>
        <v>#VALUE!</v>
      </c>
      <c r="AM121" s="211">
        <f t="shared" si="3"/>
        <v>46014</v>
      </c>
    </row>
    <row r="122" spans="1:39" ht="21.6" customHeight="1">
      <c r="A122" s="11">
        <v>122</v>
      </c>
      <c r="B122" s="11" t="s">
        <v>322</v>
      </c>
      <c r="C122" s="11">
        <v>2025123169</v>
      </c>
      <c r="D122" s="11"/>
      <c r="E122" s="11"/>
      <c r="F122" s="11">
        <v>4196</v>
      </c>
      <c r="G122" s="11" t="s">
        <v>177</v>
      </c>
      <c r="H122" s="11" t="s">
        <v>358</v>
      </c>
      <c r="I122" s="11"/>
      <c r="J122" s="11"/>
      <c r="K122" s="11"/>
      <c r="L122" s="11"/>
      <c r="M122" s="12"/>
      <c r="N122" s="11"/>
      <c r="O122" s="12"/>
      <c r="P122" s="13"/>
      <c r="Q122" s="11" t="s">
        <v>916</v>
      </c>
      <c r="R122" s="11" t="s">
        <v>326</v>
      </c>
      <c r="S122" s="11" t="s">
        <v>118</v>
      </c>
      <c r="T122" s="11">
        <v>1</v>
      </c>
      <c r="U122" s="11" t="s">
        <v>327</v>
      </c>
      <c r="V122" s="11" t="s">
        <v>932</v>
      </c>
      <c r="W122" s="11" t="s">
        <v>933</v>
      </c>
      <c r="X122" s="367">
        <v>46014.541666666657</v>
      </c>
      <c r="Y122" s="11"/>
      <c r="Z122" s="11">
        <v>4</v>
      </c>
      <c r="AA122" s="11"/>
      <c r="AB122" s="11" t="s">
        <v>330</v>
      </c>
      <c r="AC122" s="212" t="s">
        <v>148</v>
      </c>
      <c r="AD122" s="11"/>
      <c r="AE122" s="11" t="s">
        <v>332</v>
      </c>
      <c r="AF122" s="11"/>
      <c r="AG122" s="11"/>
      <c r="AH122" s="11"/>
      <c r="AI122" s="11"/>
      <c r="AJ122" s="11"/>
      <c r="AK122" s="11" t="s">
        <v>332</v>
      </c>
      <c r="AL122" s="213" t="e">
        <f t="shared" si="2"/>
        <v>#VALUE!</v>
      </c>
      <c r="AM122" s="211">
        <f t="shared" si="3"/>
        <v>46014</v>
      </c>
    </row>
    <row r="123" spans="1:39" ht="21.6" customHeight="1">
      <c r="A123" s="11">
        <v>123</v>
      </c>
      <c r="B123" s="11" t="s">
        <v>322</v>
      </c>
      <c r="C123" s="11">
        <v>2025123170</v>
      </c>
      <c r="D123" s="11"/>
      <c r="E123" s="11"/>
      <c r="F123" s="11">
        <v>5451</v>
      </c>
      <c r="G123" s="11" t="s">
        <v>178</v>
      </c>
      <c r="H123" s="11" t="s">
        <v>396</v>
      </c>
      <c r="I123" s="11"/>
      <c r="J123" s="11"/>
      <c r="K123" s="11"/>
      <c r="L123" s="11"/>
      <c r="M123" s="12"/>
      <c r="N123" s="11"/>
      <c r="O123" s="12"/>
      <c r="P123" s="13"/>
      <c r="Q123" s="11" t="s">
        <v>928</v>
      </c>
      <c r="R123" s="11" t="s">
        <v>326</v>
      </c>
      <c r="S123" s="11" t="s">
        <v>118</v>
      </c>
      <c r="T123" s="11">
        <v>1</v>
      </c>
      <c r="U123" s="11" t="s">
        <v>327</v>
      </c>
      <c r="V123" s="11" t="s">
        <v>934</v>
      </c>
      <c r="W123" s="11" t="s">
        <v>871</v>
      </c>
      <c r="X123" s="367">
        <v>46014.6875</v>
      </c>
      <c r="Y123" s="11"/>
      <c r="Z123" s="11">
        <v>3.5</v>
      </c>
      <c r="AA123" s="11"/>
      <c r="AB123" s="11" t="s">
        <v>330</v>
      </c>
      <c r="AC123" s="212" t="s">
        <v>935</v>
      </c>
      <c r="AD123" s="11"/>
      <c r="AE123" s="11" t="s">
        <v>332</v>
      </c>
      <c r="AF123" s="11"/>
      <c r="AG123" s="11"/>
      <c r="AH123" s="11"/>
      <c r="AI123" s="11"/>
      <c r="AJ123" s="11"/>
      <c r="AK123" s="11" t="s">
        <v>332</v>
      </c>
      <c r="AL123" s="213" t="e">
        <f t="shared" si="2"/>
        <v>#VALUE!</v>
      </c>
      <c r="AM123" s="211">
        <f t="shared" si="3"/>
        <v>46014</v>
      </c>
    </row>
    <row r="124" spans="1:39" ht="21.6" customHeight="1">
      <c r="A124" s="11">
        <v>124</v>
      </c>
      <c r="B124" s="11" t="s">
        <v>322</v>
      </c>
      <c r="C124" s="11">
        <v>2025123206</v>
      </c>
      <c r="D124" s="11"/>
      <c r="E124" s="11"/>
      <c r="F124" s="11">
        <v>3551</v>
      </c>
      <c r="G124" s="11" t="s">
        <v>936</v>
      </c>
      <c r="H124" s="11" t="s">
        <v>396</v>
      </c>
      <c r="I124" s="11"/>
      <c r="J124" s="11"/>
      <c r="K124" s="11"/>
      <c r="L124" s="11"/>
      <c r="M124" s="12"/>
      <c r="N124" s="11"/>
      <c r="O124" s="12"/>
      <c r="P124" s="13"/>
      <c r="Q124" s="11" t="s">
        <v>937</v>
      </c>
      <c r="R124" s="11" t="s">
        <v>326</v>
      </c>
      <c r="S124" s="11" t="s">
        <v>134</v>
      </c>
      <c r="T124" s="11">
        <v>1</v>
      </c>
      <c r="U124" s="11" t="s">
        <v>327</v>
      </c>
      <c r="V124" s="11" t="s">
        <v>938</v>
      </c>
      <c r="W124" s="11" t="s">
        <v>939</v>
      </c>
      <c r="X124" s="367">
        <v>46015.482638888891</v>
      </c>
      <c r="Y124" s="11"/>
      <c r="Z124" s="11">
        <v>0.5</v>
      </c>
      <c r="AA124" s="11"/>
      <c r="AB124" s="11" t="s">
        <v>330</v>
      </c>
      <c r="AC124" s="212" t="s">
        <v>331</v>
      </c>
      <c r="AD124" s="11" t="s">
        <v>332</v>
      </c>
      <c r="AE124" s="11"/>
      <c r="AF124" s="11"/>
      <c r="AG124" s="11"/>
      <c r="AH124" s="11"/>
      <c r="AI124" s="11"/>
      <c r="AJ124" s="11"/>
      <c r="AK124" s="11" t="s">
        <v>332</v>
      </c>
      <c r="AL124" s="213" t="e">
        <f t="shared" si="2"/>
        <v>#VALUE!</v>
      </c>
      <c r="AM124" s="211">
        <f t="shared" si="3"/>
        <v>46015</v>
      </c>
    </row>
    <row r="125" spans="1:39" ht="21.6" customHeight="1">
      <c r="A125" s="11">
        <v>125</v>
      </c>
      <c r="B125" s="11" t="s">
        <v>322</v>
      </c>
      <c r="C125" s="11">
        <v>2025123255</v>
      </c>
      <c r="D125" s="11"/>
      <c r="E125" s="11"/>
      <c r="F125" s="11">
        <v>3652</v>
      </c>
      <c r="G125" s="11" t="s">
        <v>940</v>
      </c>
      <c r="H125" s="11" t="s">
        <v>490</v>
      </c>
      <c r="I125" s="11"/>
      <c r="J125" s="11"/>
      <c r="K125" s="11"/>
      <c r="L125" s="11"/>
      <c r="M125" s="12"/>
      <c r="N125" s="11"/>
      <c r="O125" s="12"/>
      <c r="P125" s="13"/>
      <c r="Q125" s="11" t="s">
        <v>941</v>
      </c>
      <c r="R125" s="11" t="s">
        <v>326</v>
      </c>
      <c r="S125" s="11" t="s">
        <v>118</v>
      </c>
      <c r="T125" s="11">
        <v>1</v>
      </c>
      <c r="U125" s="11" t="s">
        <v>327</v>
      </c>
      <c r="V125" s="11" t="s">
        <v>942</v>
      </c>
      <c r="W125" s="11" t="s">
        <v>943</v>
      </c>
      <c r="X125" s="367">
        <v>46015.604166666657</v>
      </c>
      <c r="Y125" s="11"/>
      <c r="Z125" s="11">
        <v>0.5</v>
      </c>
      <c r="AA125" s="11"/>
      <c r="AB125" s="11" t="s">
        <v>330</v>
      </c>
      <c r="AC125" s="212" t="s">
        <v>331</v>
      </c>
      <c r="AD125" s="11" t="s">
        <v>332</v>
      </c>
      <c r="AE125" s="11"/>
      <c r="AF125" s="11"/>
      <c r="AG125" s="11"/>
      <c r="AH125" s="11"/>
      <c r="AI125" s="11"/>
      <c r="AJ125" s="11" t="s">
        <v>332</v>
      </c>
      <c r="AK125" s="11" t="s">
        <v>332</v>
      </c>
      <c r="AL125" s="213" t="e">
        <f t="shared" si="2"/>
        <v>#VALUE!</v>
      </c>
      <c r="AM125" s="211">
        <f t="shared" si="3"/>
        <v>46015</v>
      </c>
    </row>
    <row r="126" spans="1:39" ht="21.6" customHeight="1">
      <c r="A126" s="11">
        <v>126</v>
      </c>
      <c r="B126" s="11" t="s">
        <v>363</v>
      </c>
      <c r="C126" s="11">
        <v>2025123330</v>
      </c>
      <c r="D126" s="11" t="s">
        <v>944</v>
      </c>
      <c r="E126" s="11" t="s">
        <v>365</v>
      </c>
      <c r="F126" s="11" t="s">
        <v>71</v>
      </c>
      <c r="G126" s="11" t="s">
        <v>788</v>
      </c>
      <c r="H126" s="11" t="s">
        <v>567</v>
      </c>
      <c r="I126" s="11" t="s">
        <v>945</v>
      </c>
      <c r="J126" s="11" t="s">
        <v>424</v>
      </c>
      <c r="K126" s="11" t="s">
        <v>446</v>
      </c>
      <c r="L126" s="11" t="s">
        <v>369</v>
      </c>
      <c r="M126" s="12" t="s">
        <v>370</v>
      </c>
      <c r="N126" s="11">
        <v>2305</v>
      </c>
      <c r="O126" s="12" t="s">
        <v>410</v>
      </c>
      <c r="P126" s="13" t="s">
        <v>946</v>
      </c>
      <c r="Q126" s="11" t="s">
        <v>791</v>
      </c>
      <c r="R126" s="11" t="s">
        <v>326</v>
      </c>
      <c r="S126" s="11" t="s">
        <v>123</v>
      </c>
      <c r="T126" s="11">
        <v>1</v>
      </c>
      <c r="U126" s="11" t="s">
        <v>327</v>
      </c>
      <c r="V126" s="11" t="s">
        <v>947</v>
      </c>
      <c r="W126" s="11" t="s">
        <v>948</v>
      </c>
      <c r="X126" s="367">
        <v>46017.461805555547</v>
      </c>
      <c r="Y126" s="11" t="s">
        <v>949</v>
      </c>
      <c r="Z126" s="11">
        <v>0.6</v>
      </c>
      <c r="AA126" s="11"/>
      <c r="AB126" s="11" t="s">
        <v>330</v>
      </c>
      <c r="AC126" s="212" t="s">
        <v>950</v>
      </c>
      <c r="AD126" s="11"/>
      <c r="AE126" s="11"/>
      <c r="AF126" s="11"/>
      <c r="AG126" s="11"/>
      <c r="AH126" s="11"/>
      <c r="AI126" s="11"/>
      <c r="AJ126" s="11"/>
      <c r="AK126" s="11" t="s">
        <v>332</v>
      </c>
      <c r="AL126" s="213">
        <f t="shared" si="2"/>
        <v>46016</v>
      </c>
      <c r="AM126" s="211">
        <f t="shared" si="3"/>
        <v>46017</v>
      </c>
    </row>
    <row r="127" spans="1:39" ht="21.6" customHeight="1">
      <c r="A127" s="11">
        <v>127</v>
      </c>
      <c r="B127" s="11" t="s">
        <v>363</v>
      </c>
      <c r="C127" s="11">
        <v>2025123332</v>
      </c>
      <c r="D127" s="11" t="s">
        <v>951</v>
      </c>
      <c r="E127" s="11" t="s">
        <v>365</v>
      </c>
      <c r="F127" s="11">
        <v>4196</v>
      </c>
      <c r="G127" s="11" t="s">
        <v>177</v>
      </c>
      <c r="H127" s="11" t="s">
        <v>358</v>
      </c>
      <c r="I127" s="11" t="s">
        <v>952</v>
      </c>
      <c r="J127" s="11" t="s">
        <v>424</v>
      </c>
      <c r="K127" s="11" t="s">
        <v>446</v>
      </c>
      <c r="L127" s="11" t="s">
        <v>369</v>
      </c>
      <c r="M127" s="12" t="s">
        <v>370</v>
      </c>
      <c r="N127" s="11">
        <v>2307</v>
      </c>
      <c r="O127" s="12" t="s">
        <v>385</v>
      </c>
      <c r="P127" s="13" t="s">
        <v>953</v>
      </c>
      <c r="Q127" s="11" t="s">
        <v>916</v>
      </c>
      <c r="R127" s="11" t="s">
        <v>326</v>
      </c>
      <c r="S127" s="11" t="s">
        <v>123</v>
      </c>
      <c r="T127" s="11">
        <v>1</v>
      </c>
      <c r="U127" s="11" t="s">
        <v>327</v>
      </c>
      <c r="V127" s="11" t="s">
        <v>954</v>
      </c>
      <c r="W127" s="11" t="s">
        <v>955</v>
      </c>
      <c r="X127" s="367">
        <v>46017.574999999997</v>
      </c>
      <c r="Y127" s="11" t="s">
        <v>949</v>
      </c>
      <c r="Z127" s="11">
        <v>0.8</v>
      </c>
      <c r="AA127" s="11"/>
      <c r="AB127" s="11" t="s">
        <v>330</v>
      </c>
      <c r="AC127" s="212" t="s">
        <v>956</v>
      </c>
      <c r="AD127" s="11"/>
      <c r="AE127" s="11"/>
      <c r="AF127" s="11"/>
      <c r="AG127" s="11"/>
      <c r="AH127" s="11"/>
      <c r="AI127" s="11"/>
      <c r="AJ127" s="11"/>
      <c r="AK127" s="11" t="s">
        <v>332</v>
      </c>
      <c r="AL127" s="213">
        <f t="shared" si="2"/>
        <v>46016</v>
      </c>
      <c r="AM127" s="211">
        <f t="shared" si="3"/>
        <v>46017</v>
      </c>
    </row>
    <row r="128" spans="1:39" ht="21.6" customHeight="1">
      <c r="A128" s="11">
        <v>128</v>
      </c>
      <c r="B128" s="11" t="s">
        <v>363</v>
      </c>
      <c r="C128" s="11">
        <v>2025123339</v>
      </c>
      <c r="D128" s="11" t="s">
        <v>957</v>
      </c>
      <c r="E128" s="11" t="s">
        <v>365</v>
      </c>
      <c r="F128" s="11">
        <v>3227</v>
      </c>
      <c r="G128" s="11" t="s">
        <v>958</v>
      </c>
      <c r="H128" s="11" t="s">
        <v>763</v>
      </c>
      <c r="I128" s="11" t="s">
        <v>959</v>
      </c>
      <c r="J128" s="11" t="s">
        <v>424</v>
      </c>
      <c r="K128" s="11" t="s">
        <v>200</v>
      </c>
      <c r="L128" s="11" t="s">
        <v>447</v>
      </c>
      <c r="M128" s="12" t="s">
        <v>448</v>
      </c>
      <c r="N128" s="11" t="s">
        <v>449</v>
      </c>
      <c r="O128" s="12" t="s">
        <v>450</v>
      </c>
      <c r="P128" s="13" t="s">
        <v>960</v>
      </c>
      <c r="Q128" s="11" t="s">
        <v>961</v>
      </c>
      <c r="R128" s="11" t="s">
        <v>326</v>
      </c>
      <c r="S128" s="11" t="s">
        <v>118</v>
      </c>
      <c r="T128" s="11">
        <v>1</v>
      </c>
      <c r="U128" s="11" t="s">
        <v>327</v>
      </c>
      <c r="V128" s="11" t="s">
        <v>962</v>
      </c>
      <c r="W128" s="11" t="s">
        <v>948</v>
      </c>
      <c r="X128" s="367">
        <v>46017.458333333343</v>
      </c>
      <c r="Y128" s="11" t="s">
        <v>949</v>
      </c>
      <c r="Z128" s="11">
        <v>0.5</v>
      </c>
      <c r="AA128" s="11"/>
      <c r="AB128" s="11" t="s">
        <v>330</v>
      </c>
      <c r="AC128" s="212" t="s">
        <v>963</v>
      </c>
      <c r="AD128" s="11"/>
      <c r="AE128" s="11"/>
      <c r="AF128" s="11"/>
      <c r="AG128" s="11"/>
      <c r="AH128" s="11"/>
      <c r="AI128" s="11"/>
      <c r="AJ128" s="11"/>
      <c r="AK128" s="11" t="s">
        <v>332</v>
      </c>
      <c r="AL128" s="213">
        <f t="shared" si="2"/>
        <v>46016</v>
      </c>
      <c r="AM128" s="211">
        <f t="shared" si="3"/>
        <v>46017</v>
      </c>
    </row>
    <row r="129" spans="1:39" ht="21.6" customHeight="1">
      <c r="A129" s="11">
        <v>129</v>
      </c>
      <c r="B129" s="11" t="s">
        <v>363</v>
      </c>
      <c r="C129" s="11">
        <v>2025123340</v>
      </c>
      <c r="D129" s="11" t="s">
        <v>964</v>
      </c>
      <c r="E129" s="11" t="s">
        <v>365</v>
      </c>
      <c r="F129" s="11">
        <v>3227</v>
      </c>
      <c r="G129" s="11" t="s">
        <v>958</v>
      </c>
      <c r="H129" s="11" t="s">
        <v>763</v>
      </c>
      <c r="I129" s="11" t="s">
        <v>965</v>
      </c>
      <c r="J129" s="11" t="s">
        <v>424</v>
      </c>
      <c r="K129" s="11" t="s">
        <v>200</v>
      </c>
      <c r="L129" s="11" t="s">
        <v>447</v>
      </c>
      <c r="M129" s="12" t="s">
        <v>448</v>
      </c>
      <c r="N129" s="11" t="s">
        <v>449</v>
      </c>
      <c r="O129" s="12" t="s">
        <v>450</v>
      </c>
      <c r="P129" s="13" t="s">
        <v>966</v>
      </c>
      <c r="Q129" s="11" t="s">
        <v>961</v>
      </c>
      <c r="R129" s="11" t="s">
        <v>326</v>
      </c>
      <c r="S129" s="11" t="s">
        <v>118</v>
      </c>
      <c r="T129" s="11">
        <v>1</v>
      </c>
      <c r="U129" s="11" t="s">
        <v>327</v>
      </c>
      <c r="V129" s="11" t="s">
        <v>967</v>
      </c>
      <c r="W129" s="11" t="s">
        <v>968</v>
      </c>
      <c r="X129" s="367">
        <v>46017.479166666657</v>
      </c>
      <c r="Y129" s="11" t="s">
        <v>949</v>
      </c>
      <c r="Z129" s="11">
        <v>0.5</v>
      </c>
      <c r="AA129" s="11"/>
      <c r="AB129" s="11" t="s">
        <v>330</v>
      </c>
      <c r="AC129" s="212" t="s">
        <v>969</v>
      </c>
      <c r="AD129" s="11"/>
      <c r="AE129" s="11"/>
      <c r="AF129" s="11"/>
      <c r="AG129" s="11"/>
      <c r="AH129" s="11"/>
      <c r="AI129" s="11"/>
      <c r="AJ129" s="11"/>
      <c r="AK129" s="11" t="s">
        <v>332</v>
      </c>
      <c r="AL129" s="213">
        <f t="shared" si="2"/>
        <v>46016</v>
      </c>
      <c r="AM129" s="211">
        <f t="shared" si="3"/>
        <v>46017</v>
      </c>
    </row>
    <row r="130" spans="1:39" ht="21.6" customHeight="1">
      <c r="A130" s="11">
        <v>130</v>
      </c>
      <c r="B130" s="11" t="s">
        <v>322</v>
      </c>
      <c r="C130" s="11">
        <v>2025123427</v>
      </c>
      <c r="D130" s="11"/>
      <c r="E130" s="11"/>
      <c r="F130" s="11" t="s">
        <v>80</v>
      </c>
      <c r="G130" s="11" t="s">
        <v>204</v>
      </c>
      <c r="H130" s="11" t="s">
        <v>763</v>
      </c>
      <c r="I130" s="11"/>
      <c r="J130" s="11"/>
      <c r="K130" s="11"/>
      <c r="L130" s="11"/>
      <c r="M130" s="12"/>
      <c r="N130" s="11"/>
      <c r="O130" s="12"/>
      <c r="P130" s="13"/>
      <c r="Q130" s="11" t="s">
        <v>970</v>
      </c>
      <c r="R130" s="11" t="s">
        <v>326</v>
      </c>
      <c r="S130" s="11" t="s">
        <v>118</v>
      </c>
      <c r="T130" s="11">
        <v>1</v>
      </c>
      <c r="U130" s="11" t="s">
        <v>327</v>
      </c>
      <c r="V130" s="11" t="s">
        <v>971</v>
      </c>
      <c r="W130" s="11" t="s">
        <v>972</v>
      </c>
      <c r="X130" s="367">
        <v>46017.597222222219</v>
      </c>
      <c r="Y130" s="11"/>
      <c r="Z130" s="11">
        <v>0.5</v>
      </c>
      <c r="AA130" s="11"/>
      <c r="AB130" s="11" t="s">
        <v>330</v>
      </c>
      <c r="AC130" s="212" t="s">
        <v>341</v>
      </c>
      <c r="AD130" s="11" t="s">
        <v>332</v>
      </c>
      <c r="AE130" s="11"/>
      <c r="AF130" s="11"/>
      <c r="AG130" s="11"/>
      <c r="AH130" s="11"/>
      <c r="AI130" s="11"/>
      <c r="AJ130" s="11" t="s">
        <v>332</v>
      </c>
      <c r="AK130" s="11" t="s">
        <v>332</v>
      </c>
      <c r="AL130" s="213" t="e">
        <f t="shared" ref="AL130:AL193" si="4">DATEVALUE(TEXT(I130, "yyyy/mm/dd"))</f>
        <v>#VALUE!</v>
      </c>
      <c r="AM130" s="211">
        <f t="shared" ref="AM130:AM193" si="5">DATEVALUE(TEXT(X130, "yyyy/mm/dd"))</f>
        <v>46017</v>
      </c>
    </row>
    <row r="131" spans="1:39" ht="21.6" customHeight="1">
      <c r="A131" s="11">
        <v>131</v>
      </c>
      <c r="B131" s="11" t="s">
        <v>322</v>
      </c>
      <c r="C131" s="11">
        <v>2025123429</v>
      </c>
      <c r="D131" s="11"/>
      <c r="E131" s="11"/>
      <c r="F131" s="11">
        <v>2535</v>
      </c>
      <c r="G131" s="11" t="s">
        <v>973</v>
      </c>
      <c r="H131" s="11" t="s">
        <v>763</v>
      </c>
      <c r="I131" s="11"/>
      <c r="J131" s="11"/>
      <c r="K131" s="11"/>
      <c r="L131" s="11"/>
      <c r="M131" s="12"/>
      <c r="N131" s="11"/>
      <c r="O131" s="12"/>
      <c r="P131" s="13"/>
      <c r="Q131" s="11" t="s">
        <v>974</v>
      </c>
      <c r="R131" s="11" t="s">
        <v>326</v>
      </c>
      <c r="S131" s="11" t="s">
        <v>118</v>
      </c>
      <c r="T131" s="11">
        <v>1</v>
      </c>
      <c r="U131" s="11" t="s">
        <v>327</v>
      </c>
      <c r="V131" s="11" t="s">
        <v>975</v>
      </c>
      <c r="W131" s="11" t="s">
        <v>976</v>
      </c>
      <c r="X131" s="367">
        <v>46017.618055555547</v>
      </c>
      <c r="Y131" s="11"/>
      <c r="Z131" s="11">
        <v>0.5</v>
      </c>
      <c r="AA131" s="11"/>
      <c r="AB131" s="11" t="s">
        <v>330</v>
      </c>
      <c r="AC131" s="212" t="s">
        <v>331</v>
      </c>
      <c r="AD131" s="11" t="s">
        <v>332</v>
      </c>
      <c r="AE131" s="11"/>
      <c r="AF131" s="11"/>
      <c r="AG131" s="11"/>
      <c r="AH131" s="11"/>
      <c r="AI131" s="11"/>
      <c r="AJ131" s="11" t="s">
        <v>332</v>
      </c>
      <c r="AK131" s="11" t="s">
        <v>332</v>
      </c>
      <c r="AL131" s="213" t="e">
        <f t="shared" si="4"/>
        <v>#VALUE!</v>
      </c>
      <c r="AM131" s="211">
        <f t="shared" si="5"/>
        <v>46017</v>
      </c>
    </row>
    <row r="132" spans="1:39" ht="21.6" customHeight="1">
      <c r="A132" s="11">
        <v>132</v>
      </c>
      <c r="B132" s="11" t="s">
        <v>322</v>
      </c>
      <c r="C132" s="11">
        <v>2025123433</v>
      </c>
      <c r="D132" s="11"/>
      <c r="E132" s="11"/>
      <c r="F132" s="11">
        <v>3416</v>
      </c>
      <c r="G132" s="11" t="s">
        <v>977</v>
      </c>
      <c r="H132" s="11" t="s">
        <v>396</v>
      </c>
      <c r="I132" s="11"/>
      <c r="J132" s="11"/>
      <c r="K132" s="11"/>
      <c r="L132" s="11"/>
      <c r="M132" s="12"/>
      <c r="N132" s="11"/>
      <c r="O132" s="12"/>
      <c r="P132" s="13"/>
      <c r="Q132" s="11" t="s">
        <v>978</v>
      </c>
      <c r="R132" s="11" t="s">
        <v>326</v>
      </c>
      <c r="S132" s="11" t="s">
        <v>123</v>
      </c>
      <c r="T132" s="11">
        <v>1</v>
      </c>
      <c r="U132" s="11" t="s">
        <v>327</v>
      </c>
      <c r="V132" s="11" t="s">
        <v>979</v>
      </c>
      <c r="W132" s="11" t="s">
        <v>980</v>
      </c>
      <c r="X132" s="367">
        <v>46017.635416666657</v>
      </c>
      <c r="Y132" s="11"/>
      <c r="Z132" s="11">
        <v>0.3</v>
      </c>
      <c r="AA132" s="11"/>
      <c r="AB132" s="11" t="s">
        <v>330</v>
      </c>
      <c r="AC132" s="212" t="s">
        <v>331</v>
      </c>
      <c r="AD132" s="11" t="s">
        <v>332</v>
      </c>
      <c r="AE132" s="11"/>
      <c r="AF132" s="11"/>
      <c r="AG132" s="11"/>
      <c r="AH132" s="11"/>
      <c r="AI132" s="11"/>
      <c r="AJ132" s="11"/>
      <c r="AK132" s="11" t="s">
        <v>332</v>
      </c>
      <c r="AL132" s="213" t="e">
        <f t="shared" si="4"/>
        <v>#VALUE!</v>
      </c>
      <c r="AM132" s="211">
        <f t="shared" si="5"/>
        <v>46017</v>
      </c>
    </row>
    <row r="133" spans="1:39" ht="21.6" customHeight="1">
      <c r="A133" s="11">
        <v>133</v>
      </c>
      <c r="B133" s="11" t="s">
        <v>322</v>
      </c>
      <c r="C133" s="11">
        <v>2025123454</v>
      </c>
      <c r="D133" s="11"/>
      <c r="E133" s="11"/>
      <c r="F133" s="11">
        <v>3977</v>
      </c>
      <c r="G133" s="11" t="s">
        <v>981</v>
      </c>
      <c r="H133" s="11" t="s">
        <v>396</v>
      </c>
      <c r="I133" s="11"/>
      <c r="J133" s="11"/>
      <c r="K133" s="11"/>
      <c r="L133" s="11"/>
      <c r="M133" s="12"/>
      <c r="N133" s="11"/>
      <c r="O133" s="12"/>
      <c r="P133" s="13"/>
      <c r="Q133" s="11" t="s">
        <v>982</v>
      </c>
      <c r="R133" s="11" t="s">
        <v>326</v>
      </c>
      <c r="S133" s="11" t="s">
        <v>123</v>
      </c>
      <c r="T133" s="11">
        <v>1</v>
      </c>
      <c r="U133" s="11" t="s">
        <v>327</v>
      </c>
      <c r="V133" s="11" t="s">
        <v>983</v>
      </c>
      <c r="W133" s="11" t="s">
        <v>984</v>
      </c>
      <c r="X133" s="367">
        <v>46017.652777777781</v>
      </c>
      <c r="Y133" s="11"/>
      <c r="Z133" s="11">
        <v>0.3</v>
      </c>
      <c r="AA133" s="11"/>
      <c r="AB133" s="11" t="s">
        <v>330</v>
      </c>
      <c r="AC133" s="212" t="s">
        <v>331</v>
      </c>
      <c r="AD133" s="11" t="s">
        <v>332</v>
      </c>
      <c r="AE133" s="11"/>
      <c r="AF133" s="11"/>
      <c r="AG133" s="11"/>
      <c r="AH133" s="11"/>
      <c r="AI133" s="11"/>
      <c r="AJ133" s="11"/>
      <c r="AK133" s="11" t="s">
        <v>332</v>
      </c>
      <c r="AL133" s="213" t="e">
        <f t="shared" si="4"/>
        <v>#VALUE!</v>
      </c>
      <c r="AM133" s="211">
        <f t="shared" si="5"/>
        <v>46017</v>
      </c>
    </row>
    <row r="134" spans="1:39" ht="21.6" customHeight="1">
      <c r="A134" s="11">
        <v>134</v>
      </c>
      <c r="B134" s="11" t="s">
        <v>322</v>
      </c>
      <c r="C134" s="11">
        <v>2025123464</v>
      </c>
      <c r="D134" s="11"/>
      <c r="E134" s="11"/>
      <c r="F134" s="11">
        <v>3752</v>
      </c>
      <c r="G134" s="11" t="s">
        <v>985</v>
      </c>
      <c r="H134" s="11" t="s">
        <v>396</v>
      </c>
      <c r="I134" s="11"/>
      <c r="J134" s="11"/>
      <c r="K134" s="11"/>
      <c r="L134" s="11"/>
      <c r="M134" s="12"/>
      <c r="N134" s="11"/>
      <c r="O134" s="12"/>
      <c r="P134" s="13"/>
      <c r="Q134" s="11" t="s">
        <v>986</v>
      </c>
      <c r="R134" s="11" t="s">
        <v>326</v>
      </c>
      <c r="S134" s="11" t="s">
        <v>123</v>
      </c>
      <c r="T134" s="11">
        <v>1</v>
      </c>
      <c r="U134" s="11" t="s">
        <v>327</v>
      </c>
      <c r="V134" s="11" t="s">
        <v>987</v>
      </c>
      <c r="W134" s="11" t="s">
        <v>988</v>
      </c>
      <c r="X134" s="367">
        <v>46017.670138888891</v>
      </c>
      <c r="Y134" s="11"/>
      <c r="Z134" s="11">
        <v>0.3</v>
      </c>
      <c r="AA134" s="11"/>
      <c r="AB134" s="11" t="s">
        <v>330</v>
      </c>
      <c r="AC134" s="212" t="s">
        <v>331</v>
      </c>
      <c r="AD134" s="11" t="s">
        <v>332</v>
      </c>
      <c r="AE134" s="11"/>
      <c r="AF134" s="11"/>
      <c r="AG134" s="11"/>
      <c r="AH134" s="11"/>
      <c r="AI134" s="11"/>
      <c r="AJ134" s="11"/>
      <c r="AK134" s="11" t="s">
        <v>332</v>
      </c>
      <c r="AL134" s="213" t="e">
        <f t="shared" si="4"/>
        <v>#VALUE!</v>
      </c>
      <c r="AM134" s="211">
        <f t="shared" si="5"/>
        <v>46017</v>
      </c>
    </row>
    <row r="135" spans="1:39" ht="21.6" customHeight="1">
      <c r="A135" s="11">
        <v>135</v>
      </c>
      <c r="B135" s="11" t="s">
        <v>363</v>
      </c>
      <c r="C135" s="11">
        <v>2025123490</v>
      </c>
      <c r="D135" s="11" t="s">
        <v>989</v>
      </c>
      <c r="E135" s="11" t="s">
        <v>365</v>
      </c>
      <c r="F135" s="11">
        <v>3358</v>
      </c>
      <c r="G135" s="11" t="s">
        <v>990</v>
      </c>
      <c r="H135" s="11" t="s">
        <v>490</v>
      </c>
      <c r="I135" s="11" t="s">
        <v>991</v>
      </c>
      <c r="J135" s="11" t="s">
        <v>458</v>
      </c>
      <c r="K135" s="11" t="s">
        <v>446</v>
      </c>
      <c r="L135" s="11" t="s">
        <v>369</v>
      </c>
      <c r="M135" s="12" t="s">
        <v>370</v>
      </c>
      <c r="N135" s="11">
        <v>2306</v>
      </c>
      <c r="O135" s="12" t="s">
        <v>425</v>
      </c>
      <c r="P135" s="13" t="s">
        <v>992</v>
      </c>
      <c r="Q135" s="11" t="s">
        <v>993</v>
      </c>
      <c r="R135" s="11" t="s">
        <v>326</v>
      </c>
      <c r="S135" s="11" t="s">
        <v>118</v>
      </c>
      <c r="T135" s="11">
        <v>1</v>
      </c>
      <c r="U135" s="11" t="s">
        <v>327</v>
      </c>
      <c r="V135" s="11" t="s">
        <v>994</v>
      </c>
      <c r="W135" s="11" t="s">
        <v>995</v>
      </c>
      <c r="X135" s="367">
        <v>46018.493055555547</v>
      </c>
      <c r="Y135" s="11" t="s">
        <v>996</v>
      </c>
      <c r="Z135" s="11">
        <v>0.5</v>
      </c>
      <c r="AA135" s="11"/>
      <c r="AB135" s="11" t="s">
        <v>330</v>
      </c>
      <c r="AC135" s="212" t="s">
        <v>997</v>
      </c>
      <c r="AD135" s="11"/>
      <c r="AE135" s="11"/>
      <c r="AF135" s="11"/>
      <c r="AG135" s="11"/>
      <c r="AH135" s="11"/>
      <c r="AI135" s="11"/>
      <c r="AJ135" s="11"/>
      <c r="AK135" s="11" t="s">
        <v>332</v>
      </c>
      <c r="AL135" s="213">
        <f t="shared" si="4"/>
        <v>46018</v>
      </c>
      <c r="AM135" s="211">
        <f t="shared" si="5"/>
        <v>46018</v>
      </c>
    </row>
    <row r="136" spans="1:39" ht="21.6" customHeight="1">
      <c r="A136" s="11">
        <v>136</v>
      </c>
      <c r="B136" s="11" t="s">
        <v>363</v>
      </c>
      <c r="C136" s="11">
        <v>2025123491</v>
      </c>
      <c r="D136" s="11" t="s">
        <v>998</v>
      </c>
      <c r="E136" s="11" t="s">
        <v>475</v>
      </c>
      <c r="F136" s="11">
        <v>3358</v>
      </c>
      <c r="G136" s="11" t="s">
        <v>990</v>
      </c>
      <c r="H136" s="11" t="s">
        <v>490</v>
      </c>
      <c r="I136" s="11" t="s">
        <v>999</v>
      </c>
      <c r="J136" s="11" t="s">
        <v>458</v>
      </c>
      <c r="K136" s="11" t="s">
        <v>446</v>
      </c>
      <c r="L136" s="11" t="s">
        <v>369</v>
      </c>
      <c r="M136" s="12" t="s">
        <v>370</v>
      </c>
      <c r="N136" s="11">
        <v>2306</v>
      </c>
      <c r="O136" s="12" t="s">
        <v>425</v>
      </c>
      <c r="P136" s="13" t="s">
        <v>1000</v>
      </c>
      <c r="Q136" s="11" t="s">
        <v>993</v>
      </c>
      <c r="R136" s="11" t="s">
        <v>326</v>
      </c>
      <c r="S136" s="11" t="s">
        <v>118</v>
      </c>
      <c r="T136" s="11">
        <v>1</v>
      </c>
      <c r="U136" s="11" t="s">
        <v>327</v>
      </c>
      <c r="V136" s="11" t="s">
        <v>1001</v>
      </c>
      <c r="W136" s="11" t="s">
        <v>995</v>
      </c>
      <c r="X136" s="367">
        <v>46018.493055555547</v>
      </c>
      <c r="Y136" s="11" t="s">
        <v>1002</v>
      </c>
      <c r="Z136" s="11">
        <v>0.5</v>
      </c>
      <c r="AA136" s="11"/>
      <c r="AB136" s="11" t="s">
        <v>330</v>
      </c>
      <c r="AC136" s="212" t="s">
        <v>1003</v>
      </c>
      <c r="AD136" s="11"/>
      <c r="AE136" s="11"/>
      <c r="AF136" s="11"/>
      <c r="AG136" s="11"/>
      <c r="AH136" s="11"/>
      <c r="AI136" s="11"/>
      <c r="AJ136" s="11"/>
      <c r="AK136" s="11" t="s">
        <v>332</v>
      </c>
      <c r="AL136" s="213">
        <f t="shared" si="4"/>
        <v>46018</v>
      </c>
      <c r="AM136" s="211">
        <f t="shared" si="5"/>
        <v>46018</v>
      </c>
    </row>
    <row r="137" spans="1:39" ht="21.6" customHeight="1">
      <c r="A137" s="11">
        <v>137</v>
      </c>
      <c r="B137" s="11" t="s">
        <v>363</v>
      </c>
      <c r="C137" s="11">
        <v>2025123518</v>
      </c>
      <c r="D137" s="11" t="s">
        <v>1004</v>
      </c>
      <c r="E137" s="11" t="s">
        <v>365</v>
      </c>
      <c r="F137" s="11">
        <v>4144</v>
      </c>
      <c r="G137" s="11" t="s">
        <v>1005</v>
      </c>
      <c r="H137" s="11" t="s">
        <v>490</v>
      </c>
      <c r="I137" s="11" t="s">
        <v>1006</v>
      </c>
      <c r="J137" s="11" t="s">
        <v>492</v>
      </c>
      <c r="K137" s="11" t="s">
        <v>446</v>
      </c>
      <c r="L137" s="11" t="s">
        <v>1007</v>
      </c>
      <c r="M137" s="12" t="s">
        <v>1008</v>
      </c>
      <c r="N137" s="11">
        <v>5801</v>
      </c>
      <c r="O137" s="12" t="s">
        <v>1009</v>
      </c>
      <c r="P137" s="13" t="s">
        <v>1010</v>
      </c>
      <c r="Q137" s="11" t="s">
        <v>1011</v>
      </c>
      <c r="R137" s="11" t="s">
        <v>326</v>
      </c>
      <c r="S137" s="11" t="s">
        <v>118</v>
      </c>
      <c r="T137" s="11">
        <v>1</v>
      </c>
      <c r="U137" s="11" t="s">
        <v>327</v>
      </c>
      <c r="V137" s="11" t="s">
        <v>1012</v>
      </c>
      <c r="W137" s="11" t="s">
        <v>1013</v>
      </c>
      <c r="X137" s="367">
        <v>46020.604166666657</v>
      </c>
      <c r="Y137" s="11" t="s">
        <v>1014</v>
      </c>
      <c r="Z137" s="11">
        <v>1</v>
      </c>
      <c r="AA137" s="11"/>
      <c r="AB137" s="11" t="s">
        <v>330</v>
      </c>
      <c r="AC137" s="212" t="s">
        <v>1015</v>
      </c>
      <c r="AD137" s="11"/>
      <c r="AE137" s="11"/>
      <c r="AF137" s="11"/>
      <c r="AG137" s="11"/>
      <c r="AH137" s="11"/>
      <c r="AI137" s="11"/>
      <c r="AJ137" s="11"/>
      <c r="AK137" s="11" t="s">
        <v>332</v>
      </c>
      <c r="AL137" s="213">
        <f t="shared" si="4"/>
        <v>46020</v>
      </c>
      <c r="AM137" s="211">
        <f t="shared" si="5"/>
        <v>46020</v>
      </c>
    </row>
    <row r="138" spans="1:39" ht="21.6" customHeight="1">
      <c r="A138" s="11">
        <v>138</v>
      </c>
      <c r="B138" s="11" t="s">
        <v>322</v>
      </c>
      <c r="C138" s="11">
        <v>2025123519</v>
      </c>
      <c r="D138" s="11"/>
      <c r="E138" s="11"/>
      <c r="F138" s="11">
        <v>2995</v>
      </c>
      <c r="G138" s="11" t="s">
        <v>1016</v>
      </c>
      <c r="H138" s="11" t="s">
        <v>396</v>
      </c>
      <c r="I138" s="11"/>
      <c r="J138" s="11"/>
      <c r="K138" s="11"/>
      <c r="L138" s="11"/>
      <c r="M138" s="12"/>
      <c r="N138" s="11"/>
      <c r="O138" s="12"/>
      <c r="P138" s="13"/>
      <c r="Q138" s="11" t="s">
        <v>1017</v>
      </c>
      <c r="R138" s="11" t="s">
        <v>326</v>
      </c>
      <c r="S138" s="11" t="s">
        <v>123</v>
      </c>
      <c r="T138" s="11">
        <v>1</v>
      </c>
      <c r="U138" s="11" t="s">
        <v>327</v>
      </c>
      <c r="V138" s="11" t="s">
        <v>1018</v>
      </c>
      <c r="W138" s="11" t="s">
        <v>1019</v>
      </c>
      <c r="X138" s="367">
        <v>46020.407638888893</v>
      </c>
      <c r="Y138" s="11"/>
      <c r="Z138" s="11">
        <v>0.8</v>
      </c>
      <c r="AA138" s="11"/>
      <c r="AB138" s="11" t="s">
        <v>330</v>
      </c>
      <c r="AC138" s="212" t="s">
        <v>331</v>
      </c>
      <c r="AD138" s="11" t="s">
        <v>332</v>
      </c>
      <c r="AE138" s="11"/>
      <c r="AF138" s="11"/>
      <c r="AG138" s="11"/>
      <c r="AH138" s="11"/>
      <c r="AI138" s="11"/>
      <c r="AJ138" s="11"/>
      <c r="AK138" s="11" t="s">
        <v>332</v>
      </c>
      <c r="AL138" s="213" t="e">
        <f t="shared" si="4"/>
        <v>#VALUE!</v>
      </c>
      <c r="AM138" s="211">
        <f t="shared" si="5"/>
        <v>46020</v>
      </c>
    </row>
    <row r="139" spans="1:39" ht="21.6" customHeight="1">
      <c r="A139" s="11">
        <v>139</v>
      </c>
      <c r="B139" s="11" t="s">
        <v>322</v>
      </c>
      <c r="C139" s="11">
        <v>2025123523</v>
      </c>
      <c r="D139" s="11"/>
      <c r="E139" s="11"/>
      <c r="F139" s="11">
        <v>4406</v>
      </c>
      <c r="G139" s="11" t="s">
        <v>1020</v>
      </c>
      <c r="H139" s="11" t="s">
        <v>396</v>
      </c>
      <c r="I139" s="11"/>
      <c r="J139" s="11"/>
      <c r="K139" s="11"/>
      <c r="L139" s="11"/>
      <c r="M139" s="12"/>
      <c r="N139" s="11"/>
      <c r="O139" s="12"/>
      <c r="P139" s="13"/>
      <c r="Q139" s="11" t="s">
        <v>1021</v>
      </c>
      <c r="R139" s="11" t="s">
        <v>326</v>
      </c>
      <c r="S139" s="11" t="s">
        <v>123</v>
      </c>
      <c r="T139" s="11">
        <v>1</v>
      </c>
      <c r="U139" s="11" t="s">
        <v>327</v>
      </c>
      <c r="V139" s="11" t="s">
        <v>1022</v>
      </c>
      <c r="W139" s="11" t="s">
        <v>1023</v>
      </c>
      <c r="X139" s="367">
        <v>46020.420138888891</v>
      </c>
      <c r="Y139" s="11"/>
      <c r="Z139" s="11">
        <v>0.3</v>
      </c>
      <c r="AA139" s="11"/>
      <c r="AB139" s="11" t="s">
        <v>330</v>
      </c>
      <c r="AC139" s="212" t="s">
        <v>331</v>
      </c>
      <c r="AD139" s="11" t="s">
        <v>332</v>
      </c>
      <c r="AE139" s="11"/>
      <c r="AF139" s="11"/>
      <c r="AG139" s="11"/>
      <c r="AH139" s="11"/>
      <c r="AI139" s="11"/>
      <c r="AJ139" s="11"/>
      <c r="AK139" s="11" t="s">
        <v>332</v>
      </c>
      <c r="AL139" s="213" t="e">
        <f t="shared" si="4"/>
        <v>#VALUE!</v>
      </c>
      <c r="AM139" s="211">
        <f t="shared" si="5"/>
        <v>46020</v>
      </c>
    </row>
    <row r="140" spans="1:39" ht="21.6" customHeight="1">
      <c r="A140" s="11">
        <v>140</v>
      </c>
      <c r="B140" s="11" t="s">
        <v>322</v>
      </c>
      <c r="C140" s="11">
        <v>2025123529</v>
      </c>
      <c r="D140" s="11"/>
      <c r="E140" s="11"/>
      <c r="F140" s="11" t="s">
        <v>83</v>
      </c>
      <c r="G140" s="11" t="s">
        <v>1024</v>
      </c>
      <c r="H140" s="11" t="s">
        <v>396</v>
      </c>
      <c r="I140" s="11"/>
      <c r="J140" s="11"/>
      <c r="K140" s="11"/>
      <c r="L140" s="11"/>
      <c r="M140" s="12"/>
      <c r="N140" s="11"/>
      <c r="O140" s="12"/>
      <c r="P140" s="13"/>
      <c r="Q140" s="11" t="s">
        <v>1025</v>
      </c>
      <c r="R140" s="11" t="s">
        <v>326</v>
      </c>
      <c r="S140" s="11" t="s">
        <v>123</v>
      </c>
      <c r="T140" s="11">
        <v>1</v>
      </c>
      <c r="U140" s="11" t="s">
        <v>327</v>
      </c>
      <c r="V140" s="11" t="s">
        <v>1026</v>
      </c>
      <c r="W140" s="11" t="s">
        <v>1027</v>
      </c>
      <c r="X140" s="367">
        <v>46020.4375</v>
      </c>
      <c r="Y140" s="11"/>
      <c r="Z140" s="11">
        <v>0.3</v>
      </c>
      <c r="AA140" s="11"/>
      <c r="AB140" s="11" t="s">
        <v>330</v>
      </c>
      <c r="AC140" s="212" t="s">
        <v>341</v>
      </c>
      <c r="AD140" s="11" t="s">
        <v>332</v>
      </c>
      <c r="AE140" s="11"/>
      <c r="AF140" s="11"/>
      <c r="AG140" s="11"/>
      <c r="AH140" s="11"/>
      <c r="AI140" s="11"/>
      <c r="AJ140" s="11"/>
      <c r="AK140" s="11" t="s">
        <v>332</v>
      </c>
      <c r="AL140" s="213" t="e">
        <f t="shared" si="4"/>
        <v>#VALUE!</v>
      </c>
      <c r="AM140" s="211">
        <f t="shared" si="5"/>
        <v>46020</v>
      </c>
    </row>
    <row r="141" spans="1:39" ht="21.6" customHeight="1">
      <c r="A141" s="11">
        <v>141</v>
      </c>
      <c r="B141" s="11" t="s">
        <v>322</v>
      </c>
      <c r="C141" s="11">
        <v>2025123536</v>
      </c>
      <c r="D141" s="11"/>
      <c r="E141" s="11"/>
      <c r="F141" s="11">
        <v>3147</v>
      </c>
      <c r="G141" s="11" t="s">
        <v>862</v>
      </c>
      <c r="H141" s="11" t="s">
        <v>396</v>
      </c>
      <c r="I141" s="11"/>
      <c r="J141" s="11"/>
      <c r="K141" s="11"/>
      <c r="L141" s="11"/>
      <c r="M141" s="12"/>
      <c r="N141" s="11"/>
      <c r="O141" s="12"/>
      <c r="P141" s="13"/>
      <c r="Q141" s="11" t="s">
        <v>868</v>
      </c>
      <c r="R141" s="11" t="s">
        <v>326</v>
      </c>
      <c r="S141" s="11" t="s">
        <v>123</v>
      </c>
      <c r="T141" s="11">
        <v>1</v>
      </c>
      <c r="U141" s="11" t="s">
        <v>327</v>
      </c>
      <c r="V141" s="11" t="s">
        <v>1028</v>
      </c>
      <c r="W141" s="11" t="s">
        <v>1029</v>
      </c>
      <c r="X141" s="367">
        <v>46020.458333333343</v>
      </c>
      <c r="Y141" s="11"/>
      <c r="Z141" s="11">
        <v>0.3</v>
      </c>
      <c r="AA141" s="11"/>
      <c r="AB141" s="11" t="s">
        <v>330</v>
      </c>
      <c r="AC141" s="212" t="s">
        <v>331</v>
      </c>
      <c r="AD141" s="11" t="s">
        <v>332</v>
      </c>
      <c r="AE141" s="11"/>
      <c r="AF141" s="11"/>
      <c r="AG141" s="11"/>
      <c r="AH141" s="11"/>
      <c r="AI141" s="11"/>
      <c r="AJ141" s="11"/>
      <c r="AK141" s="11" t="s">
        <v>332</v>
      </c>
      <c r="AL141" s="213" t="e">
        <f t="shared" si="4"/>
        <v>#VALUE!</v>
      </c>
      <c r="AM141" s="211">
        <f t="shared" si="5"/>
        <v>46020</v>
      </c>
    </row>
    <row r="142" spans="1:39" ht="21.6" customHeight="1">
      <c r="A142" s="11">
        <v>142</v>
      </c>
      <c r="B142" s="11" t="s">
        <v>322</v>
      </c>
      <c r="C142" s="11">
        <v>2025123538</v>
      </c>
      <c r="D142" s="11"/>
      <c r="E142" s="11"/>
      <c r="F142" s="11">
        <v>2224</v>
      </c>
      <c r="G142" s="11" t="s">
        <v>1030</v>
      </c>
      <c r="H142" s="11" t="s">
        <v>396</v>
      </c>
      <c r="I142" s="11"/>
      <c r="J142" s="11"/>
      <c r="K142" s="11"/>
      <c r="L142" s="11"/>
      <c r="M142" s="12"/>
      <c r="N142" s="11"/>
      <c r="O142" s="12"/>
      <c r="P142" s="13"/>
      <c r="Q142" s="11" t="s">
        <v>1031</v>
      </c>
      <c r="R142" s="11" t="s">
        <v>326</v>
      </c>
      <c r="S142" s="11" t="s">
        <v>123</v>
      </c>
      <c r="T142" s="11">
        <v>1</v>
      </c>
      <c r="U142" s="11" t="s">
        <v>327</v>
      </c>
      <c r="V142" s="11" t="s">
        <v>1032</v>
      </c>
      <c r="W142" s="11" t="s">
        <v>1033</v>
      </c>
      <c r="X142" s="367">
        <v>46020.475694444453</v>
      </c>
      <c r="Y142" s="11"/>
      <c r="Z142" s="11">
        <v>0.3</v>
      </c>
      <c r="AA142" s="11"/>
      <c r="AB142" s="11" t="s">
        <v>330</v>
      </c>
      <c r="AC142" s="212" t="s">
        <v>331</v>
      </c>
      <c r="AD142" s="11" t="s">
        <v>332</v>
      </c>
      <c r="AE142" s="11"/>
      <c r="AF142" s="11"/>
      <c r="AG142" s="11"/>
      <c r="AH142" s="11"/>
      <c r="AI142" s="11"/>
      <c r="AJ142" s="11"/>
      <c r="AK142" s="11" t="s">
        <v>332</v>
      </c>
      <c r="AL142" s="213" t="e">
        <f t="shared" si="4"/>
        <v>#VALUE!</v>
      </c>
      <c r="AM142" s="211">
        <f t="shared" si="5"/>
        <v>46020</v>
      </c>
    </row>
    <row r="143" spans="1:39" ht="21.6" customHeight="1">
      <c r="A143" s="11">
        <v>143</v>
      </c>
      <c r="B143" s="11" t="s">
        <v>322</v>
      </c>
      <c r="C143" s="11">
        <v>2025123542</v>
      </c>
      <c r="D143" s="11"/>
      <c r="E143" s="11"/>
      <c r="F143" s="11" t="s">
        <v>82</v>
      </c>
      <c r="G143" s="11" t="s">
        <v>1034</v>
      </c>
      <c r="H143" s="11" t="s">
        <v>396</v>
      </c>
      <c r="I143" s="11"/>
      <c r="J143" s="11"/>
      <c r="K143" s="11"/>
      <c r="L143" s="11"/>
      <c r="M143" s="12"/>
      <c r="N143" s="11"/>
      <c r="O143" s="12"/>
      <c r="P143" s="13"/>
      <c r="Q143" s="11" t="s">
        <v>1035</v>
      </c>
      <c r="R143" s="11" t="s">
        <v>326</v>
      </c>
      <c r="S143" s="11" t="s">
        <v>123</v>
      </c>
      <c r="T143" s="11">
        <v>1</v>
      </c>
      <c r="U143" s="11" t="s">
        <v>327</v>
      </c>
      <c r="V143" s="11" t="s">
        <v>1036</v>
      </c>
      <c r="W143" s="11" t="s">
        <v>1037</v>
      </c>
      <c r="X143" s="367">
        <v>46020.493055555547</v>
      </c>
      <c r="Y143" s="11"/>
      <c r="Z143" s="11">
        <v>0.3</v>
      </c>
      <c r="AA143" s="11"/>
      <c r="AB143" s="11" t="s">
        <v>330</v>
      </c>
      <c r="AC143" s="212" t="s">
        <v>331</v>
      </c>
      <c r="AD143" s="11" t="s">
        <v>332</v>
      </c>
      <c r="AE143" s="11"/>
      <c r="AF143" s="11"/>
      <c r="AG143" s="11"/>
      <c r="AH143" s="11"/>
      <c r="AI143" s="11"/>
      <c r="AJ143" s="11"/>
      <c r="AK143" s="11" t="s">
        <v>332</v>
      </c>
      <c r="AL143" s="213" t="e">
        <f t="shared" si="4"/>
        <v>#VALUE!</v>
      </c>
      <c r="AM143" s="211">
        <f t="shared" si="5"/>
        <v>46020</v>
      </c>
    </row>
    <row r="144" spans="1:39" ht="21.6" customHeight="1">
      <c r="A144" s="11">
        <v>144</v>
      </c>
      <c r="B144" s="11" t="s">
        <v>322</v>
      </c>
      <c r="C144" s="11">
        <v>2025123544</v>
      </c>
      <c r="D144" s="11"/>
      <c r="E144" s="11"/>
      <c r="F144" s="11">
        <v>3965</v>
      </c>
      <c r="G144" s="11" t="s">
        <v>1038</v>
      </c>
      <c r="H144" s="11" t="s">
        <v>396</v>
      </c>
      <c r="I144" s="11"/>
      <c r="J144" s="11"/>
      <c r="K144" s="11"/>
      <c r="L144" s="11"/>
      <c r="M144" s="12"/>
      <c r="N144" s="11"/>
      <c r="O144" s="12"/>
      <c r="P144" s="13"/>
      <c r="Q144" s="11" t="s">
        <v>1039</v>
      </c>
      <c r="R144" s="11" t="s">
        <v>326</v>
      </c>
      <c r="S144" s="11" t="s">
        <v>123</v>
      </c>
      <c r="T144" s="11">
        <v>1</v>
      </c>
      <c r="U144" s="11" t="s">
        <v>327</v>
      </c>
      <c r="V144" s="11" t="s">
        <v>1040</v>
      </c>
      <c r="W144" s="11" t="s">
        <v>1041</v>
      </c>
      <c r="X144" s="367">
        <v>46020.513194444437</v>
      </c>
      <c r="Y144" s="11"/>
      <c r="Z144" s="11">
        <v>0.3</v>
      </c>
      <c r="AA144" s="11"/>
      <c r="AB144" s="11" t="s">
        <v>330</v>
      </c>
      <c r="AC144" s="212" t="s">
        <v>331</v>
      </c>
      <c r="AD144" s="11" t="s">
        <v>332</v>
      </c>
      <c r="AE144" s="11"/>
      <c r="AF144" s="11"/>
      <c r="AG144" s="11"/>
      <c r="AH144" s="11"/>
      <c r="AI144" s="11"/>
      <c r="AJ144" s="11"/>
      <c r="AK144" s="11" t="s">
        <v>332</v>
      </c>
      <c r="AL144" s="213" t="e">
        <f t="shared" si="4"/>
        <v>#VALUE!</v>
      </c>
      <c r="AM144" s="211">
        <f t="shared" si="5"/>
        <v>46020</v>
      </c>
    </row>
    <row r="145" spans="1:39" ht="21.6" customHeight="1">
      <c r="A145" s="11">
        <v>145</v>
      </c>
      <c r="B145" s="11" t="s">
        <v>363</v>
      </c>
      <c r="C145" s="11">
        <v>2025123548</v>
      </c>
      <c r="D145" s="11" t="s">
        <v>1042</v>
      </c>
      <c r="E145" s="11" t="s">
        <v>365</v>
      </c>
      <c r="F145" s="11">
        <v>4196</v>
      </c>
      <c r="G145" s="11" t="s">
        <v>177</v>
      </c>
      <c r="H145" s="11" t="s">
        <v>358</v>
      </c>
      <c r="I145" s="11" t="s">
        <v>1043</v>
      </c>
      <c r="J145" s="11" t="s">
        <v>492</v>
      </c>
      <c r="K145" s="11" t="s">
        <v>200</v>
      </c>
      <c r="L145" s="11" t="s">
        <v>369</v>
      </c>
      <c r="M145" s="12" t="s">
        <v>370</v>
      </c>
      <c r="N145" s="11">
        <v>2307</v>
      </c>
      <c r="O145" s="12" t="s">
        <v>385</v>
      </c>
      <c r="P145" s="13" t="s">
        <v>1044</v>
      </c>
      <c r="Q145" s="11" t="s">
        <v>916</v>
      </c>
      <c r="R145" s="11" t="s">
        <v>326</v>
      </c>
      <c r="S145" s="11" t="s">
        <v>123</v>
      </c>
      <c r="T145" s="11">
        <v>1</v>
      </c>
      <c r="U145" s="11" t="s">
        <v>327</v>
      </c>
      <c r="V145" s="11" t="s">
        <v>1045</v>
      </c>
      <c r="W145" s="11" t="s">
        <v>1046</v>
      </c>
      <c r="X145" s="367">
        <v>46021.666666666657</v>
      </c>
      <c r="Y145" s="11" t="s">
        <v>1047</v>
      </c>
      <c r="Z145" s="11">
        <v>0.5</v>
      </c>
      <c r="AA145" s="11"/>
      <c r="AB145" s="11" t="s">
        <v>1048</v>
      </c>
      <c r="AC145" s="212" t="s">
        <v>455</v>
      </c>
      <c r="AD145" s="11"/>
      <c r="AE145" s="11"/>
      <c r="AF145" s="11"/>
      <c r="AG145" s="11"/>
      <c r="AH145" s="11"/>
      <c r="AI145" s="11"/>
      <c r="AJ145" s="11"/>
      <c r="AK145" s="11" t="s">
        <v>332</v>
      </c>
      <c r="AL145" s="213">
        <f t="shared" si="4"/>
        <v>46020</v>
      </c>
      <c r="AM145" s="211">
        <f t="shared" si="5"/>
        <v>46021</v>
      </c>
    </row>
    <row r="146" spans="1:39" ht="21.6" customHeight="1">
      <c r="A146" s="11">
        <v>146</v>
      </c>
      <c r="B146" s="11" t="s">
        <v>363</v>
      </c>
      <c r="C146" s="11">
        <v>2025123549</v>
      </c>
      <c r="D146" s="11" t="s">
        <v>1049</v>
      </c>
      <c r="E146" s="11" t="s">
        <v>365</v>
      </c>
      <c r="F146" s="11">
        <v>4196</v>
      </c>
      <c r="G146" s="11" t="s">
        <v>177</v>
      </c>
      <c r="H146" s="11" t="s">
        <v>358</v>
      </c>
      <c r="I146" s="11" t="s">
        <v>1050</v>
      </c>
      <c r="J146" s="11" t="s">
        <v>492</v>
      </c>
      <c r="K146" s="11" t="s">
        <v>200</v>
      </c>
      <c r="L146" s="11" t="s">
        <v>369</v>
      </c>
      <c r="M146" s="12" t="s">
        <v>370</v>
      </c>
      <c r="N146" s="11">
        <v>2307</v>
      </c>
      <c r="O146" s="12" t="s">
        <v>385</v>
      </c>
      <c r="P146" s="13" t="s">
        <v>1051</v>
      </c>
      <c r="Q146" s="11" t="s">
        <v>916</v>
      </c>
      <c r="R146" s="11" t="s">
        <v>326</v>
      </c>
      <c r="S146" s="11" t="s">
        <v>123</v>
      </c>
      <c r="T146" s="11">
        <v>1</v>
      </c>
      <c r="U146" s="11" t="s">
        <v>327</v>
      </c>
      <c r="V146" s="11" t="s">
        <v>1052</v>
      </c>
      <c r="W146" s="11" t="s">
        <v>1046</v>
      </c>
      <c r="X146" s="367">
        <v>46021.666666666657</v>
      </c>
      <c r="Y146" s="11" t="s">
        <v>1053</v>
      </c>
      <c r="Z146" s="11">
        <v>0.5</v>
      </c>
      <c r="AA146" s="11"/>
      <c r="AB146" s="11" t="s">
        <v>1048</v>
      </c>
      <c r="AC146" s="212" t="s">
        <v>455</v>
      </c>
      <c r="AD146" s="11"/>
      <c r="AE146" s="11"/>
      <c r="AF146" s="11"/>
      <c r="AG146" s="11"/>
      <c r="AH146" s="11"/>
      <c r="AI146" s="11"/>
      <c r="AJ146" s="11"/>
      <c r="AK146" s="11" t="s">
        <v>332</v>
      </c>
      <c r="AL146" s="213">
        <f t="shared" si="4"/>
        <v>46020</v>
      </c>
      <c r="AM146" s="211">
        <f t="shared" si="5"/>
        <v>46021</v>
      </c>
    </row>
    <row r="147" spans="1:39" ht="21.6" customHeight="1">
      <c r="A147" s="11">
        <v>147</v>
      </c>
      <c r="B147" s="11" t="s">
        <v>363</v>
      </c>
      <c r="C147" s="11">
        <v>2025123552</v>
      </c>
      <c r="D147" s="11" t="s">
        <v>1054</v>
      </c>
      <c r="E147" s="11" t="s">
        <v>365</v>
      </c>
      <c r="F147" s="11">
        <v>2302</v>
      </c>
      <c r="G147" s="11" t="s">
        <v>666</v>
      </c>
      <c r="H147" s="11" t="s">
        <v>358</v>
      </c>
      <c r="I147" s="11" t="s">
        <v>1055</v>
      </c>
      <c r="J147" s="11" t="s">
        <v>492</v>
      </c>
      <c r="K147" s="11" t="s">
        <v>200</v>
      </c>
      <c r="L147" s="11" t="s">
        <v>398</v>
      </c>
      <c r="M147" s="12" t="s">
        <v>399</v>
      </c>
      <c r="N147" s="11" t="s">
        <v>400</v>
      </c>
      <c r="O147" s="12" t="s">
        <v>401</v>
      </c>
      <c r="P147" s="13" t="s">
        <v>1056</v>
      </c>
      <c r="Q147" s="11" t="s">
        <v>667</v>
      </c>
      <c r="R147" s="11" t="s">
        <v>326</v>
      </c>
      <c r="S147" s="11" t="s">
        <v>123</v>
      </c>
      <c r="T147" s="11">
        <v>1</v>
      </c>
      <c r="U147" s="11" t="s">
        <v>327</v>
      </c>
      <c r="V147" s="11" t="s">
        <v>1057</v>
      </c>
      <c r="W147" s="11" t="s">
        <v>1058</v>
      </c>
      <c r="X147" s="367">
        <v>46021.565972222219</v>
      </c>
      <c r="Y147" s="11" t="s">
        <v>1059</v>
      </c>
      <c r="Z147" s="11">
        <v>0.9</v>
      </c>
      <c r="AA147" s="11"/>
      <c r="AB147" s="11" t="s">
        <v>330</v>
      </c>
      <c r="AC147" s="212" t="s">
        <v>1060</v>
      </c>
      <c r="AD147" s="11"/>
      <c r="AE147" s="11"/>
      <c r="AF147" s="11"/>
      <c r="AG147" s="11"/>
      <c r="AH147" s="11"/>
      <c r="AI147" s="11"/>
      <c r="AJ147" s="11"/>
      <c r="AK147" s="11" t="s">
        <v>332</v>
      </c>
      <c r="AL147" s="213">
        <f t="shared" si="4"/>
        <v>46020</v>
      </c>
      <c r="AM147" s="211">
        <f t="shared" si="5"/>
        <v>46021</v>
      </c>
    </row>
    <row r="148" spans="1:39" ht="21.6" customHeight="1">
      <c r="A148" s="11">
        <v>148</v>
      </c>
      <c r="B148" s="11" t="s">
        <v>322</v>
      </c>
      <c r="C148" s="11">
        <v>2025123553</v>
      </c>
      <c r="D148" s="11"/>
      <c r="E148" s="11"/>
      <c r="F148" s="11">
        <v>3052</v>
      </c>
      <c r="G148" s="11" t="s">
        <v>176</v>
      </c>
      <c r="H148" s="11" t="s">
        <v>490</v>
      </c>
      <c r="I148" s="11"/>
      <c r="J148" s="11"/>
      <c r="K148" s="11"/>
      <c r="L148" s="11"/>
      <c r="M148" s="12"/>
      <c r="N148" s="11"/>
      <c r="O148" s="12"/>
      <c r="P148" s="13"/>
      <c r="Q148" s="11" t="s">
        <v>1061</v>
      </c>
      <c r="R148" s="11" t="s">
        <v>326</v>
      </c>
      <c r="S148" s="11" t="s">
        <v>118</v>
      </c>
      <c r="T148" s="11">
        <v>1</v>
      </c>
      <c r="U148" s="11" t="s">
        <v>327</v>
      </c>
      <c r="V148" s="11" t="s">
        <v>1062</v>
      </c>
      <c r="W148" s="11" t="s">
        <v>1063</v>
      </c>
      <c r="X148" s="367">
        <v>46020.5625</v>
      </c>
      <c r="Y148" s="11"/>
      <c r="Z148" s="11">
        <v>2.5</v>
      </c>
      <c r="AA148" s="11"/>
      <c r="AB148" s="11" t="s">
        <v>330</v>
      </c>
      <c r="AC148" s="345" t="s">
        <v>169</v>
      </c>
      <c r="AD148" s="11"/>
      <c r="AE148" s="11" t="s">
        <v>332</v>
      </c>
      <c r="AF148" s="11"/>
      <c r="AG148" s="11"/>
      <c r="AH148" s="11"/>
      <c r="AI148" s="11"/>
      <c r="AJ148" s="11"/>
      <c r="AK148" s="11" t="s">
        <v>332</v>
      </c>
      <c r="AL148" s="213" t="e">
        <f t="shared" si="4"/>
        <v>#VALUE!</v>
      </c>
      <c r="AM148" s="211">
        <f t="shared" si="5"/>
        <v>46020</v>
      </c>
    </row>
    <row r="149" spans="1:39" ht="21.6" customHeight="1">
      <c r="A149" s="11">
        <v>149</v>
      </c>
      <c r="B149" s="11" t="s">
        <v>322</v>
      </c>
      <c r="C149" s="11">
        <v>2025123610</v>
      </c>
      <c r="D149" s="11"/>
      <c r="E149" s="11"/>
      <c r="F149" s="11">
        <v>5060</v>
      </c>
      <c r="G149" s="11" t="s">
        <v>1064</v>
      </c>
      <c r="H149" s="11" t="s">
        <v>567</v>
      </c>
      <c r="I149" s="11"/>
      <c r="J149" s="11"/>
      <c r="K149" s="11"/>
      <c r="L149" s="11"/>
      <c r="M149" s="12"/>
      <c r="N149" s="11"/>
      <c r="O149" s="12"/>
      <c r="P149" s="13"/>
      <c r="Q149" s="11" t="s">
        <v>1065</v>
      </c>
      <c r="R149" s="11" t="s">
        <v>326</v>
      </c>
      <c r="S149" s="11" t="s">
        <v>123</v>
      </c>
      <c r="T149" s="11">
        <v>1</v>
      </c>
      <c r="U149" s="11" t="s">
        <v>327</v>
      </c>
      <c r="V149" s="11" t="s">
        <v>1066</v>
      </c>
      <c r="W149" s="11" t="s">
        <v>1067</v>
      </c>
      <c r="X149" s="367">
        <v>46021.472222222219</v>
      </c>
      <c r="Y149" s="11"/>
      <c r="Z149" s="11">
        <v>0.3</v>
      </c>
      <c r="AA149" s="11"/>
      <c r="AB149" s="11" t="s">
        <v>330</v>
      </c>
      <c r="AC149" s="212" t="s">
        <v>331</v>
      </c>
      <c r="AD149" s="11" t="s">
        <v>332</v>
      </c>
      <c r="AE149" s="11"/>
      <c r="AF149" s="11"/>
      <c r="AG149" s="11"/>
      <c r="AH149" s="11"/>
      <c r="AI149" s="11"/>
      <c r="AJ149" s="11"/>
      <c r="AK149" s="11" t="s">
        <v>332</v>
      </c>
      <c r="AL149" s="213" t="e">
        <f t="shared" si="4"/>
        <v>#VALUE!</v>
      </c>
      <c r="AM149" s="211">
        <f t="shared" si="5"/>
        <v>46021</v>
      </c>
    </row>
    <row r="150" spans="1:39" ht="21.6" customHeight="1">
      <c r="A150" s="11">
        <v>150</v>
      </c>
      <c r="B150" s="11" t="s">
        <v>322</v>
      </c>
      <c r="C150" s="11">
        <v>2025123637</v>
      </c>
      <c r="D150" s="11"/>
      <c r="E150" s="11"/>
      <c r="F150" s="11">
        <v>5155</v>
      </c>
      <c r="G150" s="11" t="s">
        <v>173</v>
      </c>
      <c r="H150" s="11" t="s">
        <v>567</v>
      </c>
      <c r="I150" s="11"/>
      <c r="J150" s="11"/>
      <c r="K150" s="11"/>
      <c r="L150" s="11"/>
      <c r="M150" s="12"/>
      <c r="N150" s="11"/>
      <c r="O150" s="12"/>
      <c r="P150" s="13"/>
      <c r="Q150" s="11" t="s">
        <v>1068</v>
      </c>
      <c r="R150" s="11" t="s">
        <v>326</v>
      </c>
      <c r="S150" s="11" t="s">
        <v>123</v>
      </c>
      <c r="T150" s="11">
        <v>1</v>
      </c>
      <c r="U150" s="11" t="s">
        <v>327</v>
      </c>
      <c r="V150" s="11" t="s">
        <v>1069</v>
      </c>
      <c r="W150" s="11" t="s">
        <v>1070</v>
      </c>
      <c r="X150" s="367">
        <v>46021.5</v>
      </c>
      <c r="Y150" s="11"/>
      <c r="Z150" s="11">
        <v>2</v>
      </c>
      <c r="AA150" s="11"/>
      <c r="AB150" s="11" t="s">
        <v>330</v>
      </c>
      <c r="AC150" s="212" t="s">
        <v>1071</v>
      </c>
      <c r="AD150" s="11"/>
      <c r="AE150" s="11" t="s">
        <v>332</v>
      </c>
      <c r="AF150" s="11"/>
      <c r="AG150" s="11"/>
      <c r="AH150" s="11"/>
      <c r="AI150" s="11"/>
      <c r="AJ150" s="11"/>
      <c r="AK150" s="11" t="s">
        <v>332</v>
      </c>
      <c r="AL150" s="213" t="e">
        <f t="shared" si="4"/>
        <v>#VALUE!</v>
      </c>
      <c r="AM150" s="211">
        <f t="shared" si="5"/>
        <v>46021</v>
      </c>
    </row>
    <row r="151" spans="1:39" ht="21.6" customHeight="1">
      <c r="A151" s="11">
        <v>151</v>
      </c>
      <c r="B151" s="11" t="s">
        <v>322</v>
      </c>
      <c r="C151" s="11">
        <v>2025123672</v>
      </c>
      <c r="D151" s="11"/>
      <c r="E151" s="11"/>
      <c r="F151" s="11">
        <v>5155</v>
      </c>
      <c r="G151" s="11" t="s">
        <v>173</v>
      </c>
      <c r="H151" s="11" t="s">
        <v>567</v>
      </c>
      <c r="I151" s="11"/>
      <c r="J151" s="11"/>
      <c r="K151" s="11"/>
      <c r="L151" s="11"/>
      <c r="M151" s="12"/>
      <c r="N151" s="11"/>
      <c r="O151" s="12"/>
      <c r="P151" s="13"/>
      <c r="Q151" s="11" t="s">
        <v>1068</v>
      </c>
      <c r="R151" s="11" t="s">
        <v>326</v>
      </c>
      <c r="S151" s="11" t="s">
        <v>118</v>
      </c>
      <c r="T151" s="11">
        <v>1</v>
      </c>
      <c r="U151" s="11" t="s">
        <v>327</v>
      </c>
      <c r="V151" s="11" t="s">
        <v>1072</v>
      </c>
      <c r="W151" s="11" t="s">
        <v>1073</v>
      </c>
      <c r="X151" s="367">
        <v>46021.541666666657</v>
      </c>
      <c r="Y151" s="11"/>
      <c r="Z151" s="11">
        <v>4</v>
      </c>
      <c r="AA151" s="11"/>
      <c r="AB151" s="11" t="s">
        <v>330</v>
      </c>
      <c r="AC151" s="212" t="s">
        <v>1074</v>
      </c>
      <c r="AD151" s="11"/>
      <c r="AE151" s="11" t="s">
        <v>332</v>
      </c>
      <c r="AF151" s="11"/>
      <c r="AG151" s="11"/>
      <c r="AH151" s="11"/>
      <c r="AI151" s="11"/>
      <c r="AJ151" s="11"/>
      <c r="AK151" s="11" t="s">
        <v>332</v>
      </c>
      <c r="AL151" s="213" t="e">
        <f t="shared" si="4"/>
        <v>#VALUE!</v>
      </c>
      <c r="AM151" s="211">
        <f t="shared" si="5"/>
        <v>46021</v>
      </c>
    </row>
    <row r="152" spans="1:39" ht="21.6" customHeight="1">
      <c r="A152" s="11">
        <v>1</v>
      </c>
      <c r="B152" s="11" t="s">
        <v>363</v>
      </c>
      <c r="C152" s="11">
        <v>2026010004</v>
      </c>
      <c r="D152" s="11" t="s">
        <v>1075</v>
      </c>
      <c r="E152" s="11" t="s">
        <v>475</v>
      </c>
      <c r="F152" s="11">
        <v>2442</v>
      </c>
      <c r="G152" s="11" t="s">
        <v>1076</v>
      </c>
      <c r="H152" s="11" t="s">
        <v>1077</v>
      </c>
      <c r="I152" s="11" t="s">
        <v>1078</v>
      </c>
      <c r="J152" s="11" t="s">
        <v>424</v>
      </c>
      <c r="K152" s="11" t="s">
        <v>446</v>
      </c>
      <c r="L152" s="11" t="s">
        <v>369</v>
      </c>
      <c r="M152" s="12" t="s">
        <v>370</v>
      </c>
      <c r="N152" s="11">
        <v>2306</v>
      </c>
      <c r="O152" s="12" t="s">
        <v>425</v>
      </c>
      <c r="P152" s="13" t="s">
        <v>1079</v>
      </c>
      <c r="Q152" s="11" t="s">
        <v>1080</v>
      </c>
      <c r="R152" s="11" t="s">
        <v>326</v>
      </c>
      <c r="S152" s="11" t="s">
        <v>118</v>
      </c>
      <c r="T152" s="11">
        <v>1</v>
      </c>
      <c r="U152" s="11" t="s">
        <v>327</v>
      </c>
      <c r="V152" s="11" t="s">
        <v>1081</v>
      </c>
      <c r="W152" s="11" t="s">
        <v>1082</v>
      </c>
      <c r="X152" s="367">
        <v>46023.548611111109</v>
      </c>
      <c r="Y152" s="11" t="s">
        <v>1083</v>
      </c>
      <c r="Z152" s="11">
        <v>0.7</v>
      </c>
      <c r="AA152" s="11"/>
      <c r="AB152" s="11" t="s">
        <v>330</v>
      </c>
      <c r="AC152" s="212" t="s">
        <v>1084</v>
      </c>
      <c r="AD152" s="11"/>
      <c r="AE152" s="11"/>
      <c r="AF152" s="11"/>
      <c r="AG152" s="11"/>
      <c r="AH152" s="11"/>
      <c r="AI152" s="11"/>
      <c r="AJ152" s="11"/>
      <c r="AK152" s="11" t="s">
        <v>332</v>
      </c>
      <c r="AL152" s="213">
        <f t="shared" si="4"/>
        <v>46023</v>
      </c>
      <c r="AM152" s="211">
        <f t="shared" si="5"/>
        <v>46023</v>
      </c>
    </row>
    <row r="153" spans="1:39" ht="21.6" customHeight="1">
      <c r="A153" s="11">
        <v>2</v>
      </c>
      <c r="B153" s="11" t="s">
        <v>363</v>
      </c>
      <c r="C153" s="11">
        <v>2026010005</v>
      </c>
      <c r="D153" s="11" t="s">
        <v>1085</v>
      </c>
      <c r="E153" s="11" t="s">
        <v>365</v>
      </c>
      <c r="F153" s="11">
        <v>2442</v>
      </c>
      <c r="G153" s="11" t="s">
        <v>1076</v>
      </c>
      <c r="H153" s="11" t="s">
        <v>1077</v>
      </c>
      <c r="I153" s="11" t="s">
        <v>1086</v>
      </c>
      <c r="J153" s="11" t="s">
        <v>424</v>
      </c>
      <c r="K153" s="11" t="s">
        <v>446</v>
      </c>
      <c r="L153" s="11" t="s">
        <v>369</v>
      </c>
      <c r="M153" s="12" t="s">
        <v>370</v>
      </c>
      <c r="N153" s="11">
        <v>2306</v>
      </c>
      <c r="O153" s="12" t="s">
        <v>425</v>
      </c>
      <c r="P153" s="13" t="s">
        <v>1087</v>
      </c>
      <c r="Q153" s="11" t="s">
        <v>1080</v>
      </c>
      <c r="R153" s="11" t="s">
        <v>326</v>
      </c>
      <c r="S153" s="11" t="s">
        <v>118</v>
      </c>
      <c r="T153" s="11">
        <v>1</v>
      </c>
      <c r="U153" s="11" t="s">
        <v>327</v>
      </c>
      <c r="V153" s="11" t="s">
        <v>1088</v>
      </c>
      <c r="W153" s="11" t="s">
        <v>1082</v>
      </c>
      <c r="X153" s="367">
        <v>46023.548611111109</v>
      </c>
      <c r="Y153" s="11" t="s">
        <v>1089</v>
      </c>
      <c r="Z153" s="11">
        <v>0.7</v>
      </c>
      <c r="AA153" s="11"/>
      <c r="AB153" s="11" t="s">
        <v>330</v>
      </c>
      <c r="AC153" s="212" t="s">
        <v>1084</v>
      </c>
      <c r="AD153" s="11"/>
      <c r="AE153" s="11"/>
      <c r="AF153" s="11"/>
      <c r="AG153" s="11"/>
      <c r="AH153" s="11"/>
      <c r="AI153" s="11"/>
      <c r="AJ153" s="11"/>
      <c r="AK153" s="11" t="s">
        <v>332</v>
      </c>
      <c r="AL153" s="213">
        <f t="shared" si="4"/>
        <v>46023</v>
      </c>
      <c r="AM153" s="211">
        <f t="shared" si="5"/>
        <v>46023</v>
      </c>
    </row>
    <row r="154" spans="1:39" ht="21.6" customHeight="1">
      <c r="A154" s="11">
        <v>3</v>
      </c>
      <c r="B154" s="11" t="s">
        <v>363</v>
      </c>
      <c r="C154" s="11">
        <v>2026010006</v>
      </c>
      <c r="D154" s="11" t="s">
        <v>1090</v>
      </c>
      <c r="E154" s="11" t="s">
        <v>365</v>
      </c>
      <c r="F154" s="11">
        <v>2442</v>
      </c>
      <c r="G154" s="11" t="s">
        <v>1076</v>
      </c>
      <c r="H154" s="11" t="s">
        <v>1077</v>
      </c>
      <c r="I154" s="11" t="s">
        <v>1091</v>
      </c>
      <c r="J154" s="11" t="s">
        <v>424</v>
      </c>
      <c r="K154" s="11" t="s">
        <v>446</v>
      </c>
      <c r="L154" s="11" t="s">
        <v>493</v>
      </c>
      <c r="M154" s="12" t="s">
        <v>494</v>
      </c>
      <c r="N154" s="11">
        <v>2501</v>
      </c>
      <c r="O154" s="12" t="s">
        <v>495</v>
      </c>
      <c r="P154" s="13" t="s">
        <v>1092</v>
      </c>
      <c r="Q154" s="11" t="s">
        <v>1080</v>
      </c>
      <c r="R154" s="11" t="s">
        <v>326</v>
      </c>
      <c r="S154" s="11" t="s">
        <v>118</v>
      </c>
      <c r="T154" s="11">
        <v>1</v>
      </c>
      <c r="U154" s="11" t="s">
        <v>327</v>
      </c>
      <c r="V154" s="11" t="s">
        <v>1093</v>
      </c>
      <c r="W154" s="11" t="s">
        <v>1094</v>
      </c>
      <c r="X154" s="367">
        <v>46023.520833333343</v>
      </c>
      <c r="Y154" s="11" t="s">
        <v>1089</v>
      </c>
      <c r="Z154" s="11">
        <v>0.5</v>
      </c>
      <c r="AA154" s="11"/>
      <c r="AB154" s="11" t="s">
        <v>330</v>
      </c>
      <c r="AC154" s="212" t="s">
        <v>1084</v>
      </c>
      <c r="AD154" s="11"/>
      <c r="AE154" s="11"/>
      <c r="AF154" s="11"/>
      <c r="AG154" s="11"/>
      <c r="AH154" s="11"/>
      <c r="AI154" s="11"/>
      <c r="AJ154" s="11"/>
      <c r="AK154" s="11" t="s">
        <v>332</v>
      </c>
      <c r="AL154" s="213">
        <f t="shared" si="4"/>
        <v>46023</v>
      </c>
      <c r="AM154" s="211">
        <f t="shared" si="5"/>
        <v>46023</v>
      </c>
    </row>
    <row r="155" spans="1:39" ht="21.6" customHeight="1">
      <c r="A155" s="11">
        <v>4</v>
      </c>
      <c r="B155" s="11" t="s">
        <v>363</v>
      </c>
      <c r="C155" s="11">
        <v>2026010008</v>
      </c>
      <c r="D155" s="11" t="s">
        <v>1095</v>
      </c>
      <c r="E155" s="11" t="s">
        <v>365</v>
      </c>
      <c r="F155" s="11">
        <v>2109</v>
      </c>
      <c r="G155" s="11" t="s">
        <v>147</v>
      </c>
      <c r="H155" s="11" t="s">
        <v>490</v>
      </c>
      <c r="I155" s="11" t="s">
        <v>1096</v>
      </c>
      <c r="J155" s="11" t="s">
        <v>424</v>
      </c>
      <c r="K155" s="11" t="s">
        <v>200</v>
      </c>
      <c r="L155" s="11" t="s">
        <v>1097</v>
      </c>
      <c r="M155" s="12" t="s">
        <v>1098</v>
      </c>
      <c r="N155" s="11" t="s">
        <v>1099</v>
      </c>
      <c r="O155" s="12" t="s">
        <v>1100</v>
      </c>
      <c r="P155" s="13" t="s">
        <v>1101</v>
      </c>
      <c r="Q155" s="11" t="s">
        <v>1102</v>
      </c>
      <c r="R155" s="11" t="s">
        <v>326</v>
      </c>
      <c r="S155" s="11" t="s">
        <v>118</v>
      </c>
      <c r="T155" s="11">
        <v>1</v>
      </c>
      <c r="U155" s="11" t="s">
        <v>327</v>
      </c>
      <c r="V155" s="11" t="s">
        <v>1103</v>
      </c>
      <c r="W155" s="11" t="s">
        <v>1104</v>
      </c>
      <c r="X155" s="367">
        <v>46024.375</v>
      </c>
      <c r="Y155" s="11" t="s">
        <v>1089</v>
      </c>
      <c r="Z155" s="11">
        <v>0.5</v>
      </c>
      <c r="AA155" s="11"/>
      <c r="AB155" s="11" t="s">
        <v>330</v>
      </c>
      <c r="AC155" s="212" t="s">
        <v>1105</v>
      </c>
      <c r="AD155" s="11"/>
      <c r="AE155" s="11"/>
      <c r="AF155" s="11"/>
      <c r="AG155" s="11"/>
      <c r="AH155" s="11"/>
      <c r="AI155" s="11"/>
      <c r="AJ155" s="11"/>
      <c r="AK155" s="11" t="s">
        <v>332</v>
      </c>
      <c r="AL155" s="213">
        <f t="shared" si="4"/>
        <v>46023</v>
      </c>
      <c r="AM155" s="211">
        <f t="shared" si="5"/>
        <v>46024</v>
      </c>
    </row>
    <row r="156" spans="1:39" ht="21.6" customHeight="1">
      <c r="A156" s="11">
        <v>5</v>
      </c>
      <c r="B156" s="11" t="s">
        <v>322</v>
      </c>
      <c r="C156" s="11">
        <v>2026010028</v>
      </c>
      <c r="D156" s="11"/>
      <c r="E156" s="11"/>
      <c r="F156" s="11">
        <v>2109</v>
      </c>
      <c r="G156" s="11" t="s">
        <v>147</v>
      </c>
      <c r="H156" s="11" t="s">
        <v>490</v>
      </c>
      <c r="I156" s="11"/>
      <c r="J156" s="11"/>
      <c r="K156" s="11"/>
      <c r="L156" s="11"/>
      <c r="M156" s="12"/>
      <c r="N156" s="11"/>
      <c r="O156" s="12"/>
      <c r="P156" s="13"/>
      <c r="Q156" s="11" t="s">
        <v>1102</v>
      </c>
      <c r="R156" s="11" t="s">
        <v>326</v>
      </c>
      <c r="S156" s="11" t="s">
        <v>118</v>
      </c>
      <c r="T156" s="11">
        <v>1</v>
      </c>
      <c r="U156" s="11" t="s">
        <v>327</v>
      </c>
      <c r="V156" s="11" t="s">
        <v>1106</v>
      </c>
      <c r="W156" s="11" t="s">
        <v>1107</v>
      </c>
      <c r="X156" s="367">
        <v>46024.395833333343</v>
      </c>
      <c r="Y156" s="11"/>
      <c r="Z156" s="11">
        <v>0.5</v>
      </c>
      <c r="AA156" s="11"/>
      <c r="AB156" s="11" t="s">
        <v>330</v>
      </c>
      <c r="AC156" s="212" t="s">
        <v>1108</v>
      </c>
      <c r="AD156" s="11" t="s">
        <v>332</v>
      </c>
      <c r="AE156" s="11"/>
      <c r="AF156" s="11"/>
      <c r="AG156" s="11"/>
      <c r="AH156" s="11"/>
      <c r="AI156" s="11"/>
      <c r="AJ156" s="11" t="s">
        <v>332</v>
      </c>
      <c r="AK156" s="11" t="s">
        <v>332</v>
      </c>
      <c r="AL156" s="213" t="e">
        <f t="shared" si="4"/>
        <v>#VALUE!</v>
      </c>
      <c r="AM156" s="211">
        <f t="shared" si="5"/>
        <v>46024</v>
      </c>
    </row>
    <row r="157" spans="1:39" ht="21.6" customHeight="1">
      <c r="A157" s="11">
        <v>1</v>
      </c>
      <c r="B157" s="11" t="s">
        <v>363</v>
      </c>
      <c r="C157" s="11">
        <v>2025093694</v>
      </c>
      <c r="D157" s="11" t="s">
        <v>1109</v>
      </c>
      <c r="E157" s="11" t="s">
        <v>365</v>
      </c>
      <c r="F157" s="11">
        <v>4983</v>
      </c>
      <c r="G157" s="11" t="s">
        <v>591</v>
      </c>
      <c r="H157" s="11" t="s">
        <v>396</v>
      </c>
      <c r="I157" s="11" t="s">
        <v>1110</v>
      </c>
      <c r="J157" s="11" t="s">
        <v>368</v>
      </c>
      <c r="K157" s="11" t="s">
        <v>903</v>
      </c>
      <c r="L157" s="11" t="s">
        <v>398</v>
      </c>
      <c r="M157" s="12" t="s">
        <v>399</v>
      </c>
      <c r="N157" s="11" t="s">
        <v>1111</v>
      </c>
      <c r="O157" s="12" t="s">
        <v>1112</v>
      </c>
      <c r="P157" s="13" t="s">
        <v>1113</v>
      </c>
      <c r="Q157" s="11" t="s">
        <v>592</v>
      </c>
      <c r="R157" s="11" t="s">
        <v>326</v>
      </c>
      <c r="S157" s="11" t="s">
        <v>134</v>
      </c>
      <c r="T157" s="11">
        <v>1</v>
      </c>
      <c r="U157" s="11" t="s">
        <v>327</v>
      </c>
      <c r="V157" s="11" t="s">
        <v>1114</v>
      </c>
      <c r="W157" s="11" t="s">
        <v>1115</v>
      </c>
      <c r="X157" s="367">
        <v>45931.711111111108</v>
      </c>
      <c r="Y157" s="11" t="s">
        <v>1116</v>
      </c>
      <c r="Z157" s="11">
        <v>0.4</v>
      </c>
      <c r="AA157" s="11"/>
      <c r="AB157" s="11" t="s">
        <v>330</v>
      </c>
      <c r="AC157" s="212" t="s">
        <v>1117</v>
      </c>
      <c r="AD157" s="11"/>
      <c r="AE157" s="11"/>
      <c r="AF157" s="11"/>
      <c r="AG157" s="11"/>
      <c r="AH157" s="11"/>
      <c r="AI157" s="11"/>
      <c r="AJ157" s="11"/>
      <c r="AK157" s="11" t="s">
        <v>332</v>
      </c>
      <c r="AL157" s="213">
        <f t="shared" si="4"/>
        <v>45930</v>
      </c>
      <c r="AM157" s="211">
        <f t="shared" si="5"/>
        <v>45931</v>
      </c>
    </row>
    <row r="158" spans="1:39" ht="21.6" customHeight="1">
      <c r="A158" s="11">
        <v>2</v>
      </c>
      <c r="B158" s="11" t="s">
        <v>363</v>
      </c>
      <c r="C158" s="11">
        <v>2025100008</v>
      </c>
      <c r="D158" s="11" t="s">
        <v>1118</v>
      </c>
      <c r="E158" s="11" t="s">
        <v>365</v>
      </c>
      <c r="F158" s="11">
        <v>2318</v>
      </c>
      <c r="G158" s="11" t="s">
        <v>776</v>
      </c>
      <c r="H158" s="11" t="s">
        <v>567</v>
      </c>
      <c r="I158" s="11" t="s">
        <v>1119</v>
      </c>
      <c r="J158" s="11" t="s">
        <v>383</v>
      </c>
      <c r="K158" s="11" t="s">
        <v>384</v>
      </c>
      <c r="L158" s="11" t="s">
        <v>1120</v>
      </c>
      <c r="M158" s="12" t="s">
        <v>1121</v>
      </c>
      <c r="N158" s="11">
        <v>5903</v>
      </c>
      <c r="O158" s="12" t="s">
        <v>401</v>
      </c>
      <c r="P158" s="13" t="s">
        <v>1122</v>
      </c>
      <c r="Q158" s="11" t="s">
        <v>782</v>
      </c>
      <c r="R158" s="11" t="s">
        <v>326</v>
      </c>
      <c r="S158" s="11" t="s">
        <v>123</v>
      </c>
      <c r="T158" s="11">
        <v>1</v>
      </c>
      <c r="U158" s="11" t="s">
        <v>327</v>
      </c>
      <c r="V158" s="11" t="s">
        <v>1123</v>
      </c>
      <c r="W158" s="11" t="s">
        <v>1124</v>
      </c>
      <c r="X158" s="367">
        <v>45931.520138888889</v>
      </c>
      <c r="Y158" s="11" t="s">
        <v>1125</v>
      </c>
      <c r="Z158" s="11">
        <v>0.5</v>
      </c>
      <c r="AA158" s="11"/>
      <c r="AB158" s="11" t="s">
        <v>330</v>
      </c>
      <c r="AC158" s="212" t="s">
        <v>1126</v>
      </c>
      <c r="AD158" s="11"/>
      <c r="AE158" s="11"/>
      <c r="AF158" s="11"/>
      <c r="AG158" s="11"/>
      <c r="AH158" s="11"/>
      <c r="AI158" s="11"/>
      <c r="AJ158" s="11"/>
      <c r="AK158" s="11" t="s">
        <v>332</v>
      </c>
      <c r="AL158" s="213">
        <f t="shared" si="4"/>
        <v>45931</v>
      </c>
      <c r="AM158" s="211">
        <f t="shared" si="5"/>
        <v>45931</v>
      </c>
    </row>
    <row r="159" spans="1:39" ht="21.6" customHeight="1">
      <c r="A159" s="11">
        <v>3</v>
      </c>
      <c r="B159" s="11" t="s">
        <v>363</v>
      </c>
      <c r="C159" s="11">
        <v>2025100009</v>
      </c>
      <c r="D159" s="11" t="s">
        <v>1127</v>
      </c>
      <c r="E159" s="11" t="s">
        <v>365</v>
      </c>
      <c r="F159" s="11">
        <v>3052</v>
      </c>
      <c r="G159" s="11" t="s">
        <v>176</v>
      </c>
      <c r="H159" s="11" t="s">
        <v>490</v>
      </c>
      <c r="I159" s="11" t="s">
        <v>1128</v>
      </c>
      <c r="J159" s="11" t="s">
        <v>368</v>
      </c>
      <c r="K159" s="11" t="s">
        <v>903</v>
      </c>
      <c r="L159" s="11" t="s">
        <v>1120</v>
      </c>
      <c r="M159" s="12" t="s">
        <v>1121</v>
      </c>
      <c r="N159" s="11">
        <v>5901</v>
      </c>
      <c r="O159" s="12" t="s">
        <v>1129</v>
      </c>
      <c r="P159" s="13" t="s">
        <v>1130</v>
      </c>
      <c r="Q159" s="11" t="s">
        <v>1061</v>
      </c>
      <c r="R159" s="11" t="s">
        <v>326</v>
      </c>
      <c r="S159" s="11" t="s">
        <v>118</v>
      </c>
      <c r="T159" s="11">
        <v>1</v>
      </c>
      <c r="U159" s="11" t="s">
        <v>327</v>
      </c>
      <c r="V159" s="11" t="s">
        <v>1131</v>
      </c>
      <c r="W159" s="11" t="s">
        <v>1132</v>
      </c>
      <c r="X159" s="367">
        <v>45931.5</v>
      </c>
      <c r="Y159" s="11" t="s">
        <v>1133</v>
      </c>
      <c r="Z159" s="11">
        <v>0.5</v>
      </c>
      <c r="AA159" s="11"/>
      <c r="AB159" s="11" t="s">
        <v>330</v>
      </c>
      <c r="AC159" s="212" t="s">
        <v>1134</v>
      </c>
      <c r="AD159" s="11"/>
      <c r="AE159" s="11"/>
      <c r="AF159" s="11"/>
      <c r="AG159" s="11"/>
      <c r="AH159" s="11"/>
      <c r="AI159" s="11"/>
      <c r="AJ159" s="11"/>
      <c r="AK159" s="11" t="s">
        <v>332</v>
      </c>
      <c r="AL159" s="213">
        <f t="shared" si="4"/>
        <v>45930</v>
      </c>
      <c r="AM159" s="211">
        <f t="shared" si="5"/>
        <v>45931</v>
      </c>
    </row>
    <row r="160" spans="1:39" ht="21.6" customHeight="1">
      <c r="A160" s="11">
        <v>4</v>
      </c>
      <c r="B160" s="11" t="s">
        <v>322</v>
      </c>
      <c r="C160" s="11">
        <v>2025100042</v>
      </c>
      <c r="D160" s="11"/>
      <c r="E160" s="11"/>
      <c r="F160" s="11">
        <v>3052</v>
      </c>
      <c r="G160" s="11" t="s">
        <v>176</v>
      </c>
      <c r="H160" s="11" t="s">
        <v>490</v>
      </c>
      <c r="I160" s="11"/>
      <c r="J160" s="11"/>
      <c r="K160" s="11"/>
      <c r="L160" s="11"/>
      <c r="M160" s="12"/>
      <c r="N160" s="11"/>
      <c r="O160" s="12"/>
      <c r="P160" s="13"/>
      <c r="Q160" s="11" t="s">
        <v>1061</v>
      </c>
      <c r="R160" s="11" t="s">
        <v>326</v>
      </c>
      <c r="S160" s="11" t="s">
        <v>118</v>
      </c>
      <c r="T160" s="11">
        <v>1</v>
      </c>
      <c r="U160" s="11" t="s">
        <v>327</v>
      </c>
      <c r="V160" s="11" t="s">
        <v>1135</v>
      </c>
      <c r="W160" s="11" t="s">
        <v>1136</v>
      </c>
      <c r="X160" s="367">
        <v>45931.520833333343</v>
      </c>
      <c r="Y160" s="11"/>
      <c r="Z160" s="11">
        <v>0.5</v>
      </c>
      <c r="AA160" s="11"/>
      <c r="AB160" s="11" t="s">
        <v>330</v>
      </c>
      <c r="AC160" s="212" t="s">
        <v>341</v>
      </c>
      <c r="AD160" s="11" t="s">
        <v>332</v>
      </c>
      <c r="AE160" s="11"/>
      <c r="AF160" s="11"/>
      <c r="AG160" s="11"/>
      <c r="AH160" s="11"/>
      <c r="AI160" s="11"/>
      <c r="AJ160" s="11"/>
      <c r="AK160" s="11" t="s">
        <v>332</v>
      </c>
      <c r="AL160" s="213" t="e">
        <f t="shared" si="4"/>
        <v>#VALUE!</v>
      </c>
      <c r="AM160" s="211">
        <f t="shared" si="5"/>
        <v>45931</v>
      </c>
    </row>
    <row r="161" spans="1:39" ht="21.6" customHeight="1">
      <c r="A161" s="11">
        <v>5</v>
      </c>
      <c r="B161" s="11" t="s">
        <v>363</v>
      </c>
      <c r="C161" s="11">
        <v>2025100094</v>
      </c>
      <c r="D161" s="11" t="s">
        <v>1137</v>
      </c>
      <c r="E161" s="11" t="s">
        <v>365</v>
      </c>
      <c r="F161" s="11">
        <v>3890</v>
      </c>
      <c r="G161" s="11" t="s">
        <v>821</v>
      </c>
      <c r="H161" s="11" t="s">
        <v>358</v>
      </c>
      <c r="I161" s="11" t="s">
        <v>1138</v>
      </c>
      <c r="J161" s="11" t="s">
        <v>383</v>
      </c>
      <c r="K161" s="11" t="s">
        <v>200</v>
      </c>
      <c r="L161" s="11" t="s">
        <v>398</v>
      </c>
      <c r="M161" s="12" t="s">
        <v>399</v>
      </c>
      <c r="N161" s="11" t="s">
        <v>400</v>
      </c>
      <c r="O161" s="12" t="s">
        <v>401</v>
      </c>
      <c r="P161" s="13" t="s">
        <v>1139</v>
      </c>
      <c r="Q161" s="11" t="s">
        <v>822</v>
      </c>
      <c r="R161" s="11" t="s">
        <v>326</v>
      </c>
      <c r="S161" s="11" t="s">
        <v>123</v>
      </c>
      <c r="T161" s="11">
        <v>1</v>
      </c>
      <c r="U161" s="11" t="s">
        <v>327</v>
      </c>
      <c r="V161" s="11" t="s">
        <v>1140</v>
      </c>
      <c r="W161" s="11" t="s">
        <v>1141</v>
      </c>
      <c r="X161" s="367">
        <v>45932.479166666657</v>
      </c>
      <c r="Y161" s="11" t="s">
        <v>1142</v>
      </c>
      <c r="Z161" s="11">
        <v>0.5</v>
      </c>
      <c r="AA161" s="11"/>
      <c r="AB161" s="11" t="s">
        <v>330</v>
      </c>
      <c r="AC161" s="212" t="s">
        <v>1143</v>
      </c>
      <c r="AD161" s="11"/>
      <c r="AE161" s="11"/>
      <c r="AF161" s="11"/>
      <c r="AG161" s="11"/>
      <c r="AH161" s="11"/>
      <c r="AI161" s="11"/>
      <c r="AJ161" s="11"/>
      <c r="AK161" s="11" t="s">
        <v>332</v>
      </c>
      <c r="AL161" s="213">
        <f t="shared" si="4"/>
        <v>45931</v>
      </c>
      <c r="AM161" s="211">
        <f t="shared" si="5"/>
        <v>45932</v>
      </c>
    </row>
    <row r="162" spans="1:39" ht="21.6" customHeight="1">
      <c r="A162" s="11">
        <v>6</v>
      </c>
      <c r="B162" s="11" t="s">
        <v>363</v>
      </c>
      <c r="C162" s="11">
        <v>2025100326</v>
      </c>
      <c r="D162" s="11" t="s">
        <v>1144</v>
      </c>
      <c r="E162" s="11" t="s">
        <v>365</v>
      </c>
      <c r="F162" s="11" t="s">
        <v>57</v>
      </c>
      <c r="G162" s="11" t="s">
        <v>366</v>
      </c>
      <c r="H162" s="11" t="s">
        <v>358</v>
      </c>
      <c r="I162" s="11" t="s">
        <v>1145</v>
      </c>
      <c r="J162" s="11" t="s">
        <v>424</v>
      </c>
      <c r="K162" s="11" t="s">
        <v>446</v>
      </c>
      <c r="L162" s="11" t="s">
        <v>369</v>
      </c>
      <c r="M162" s="12" t="s">
        <v>370</v>
      </c>
      <c r="N162" s="11">
        <v>2306</v>
      </c>
      <c r="O162" s="12" t="s">
        <v>425</v>
      </c>
      <c r="P162" s="13" t="s">
        <v>1146</v>
      </c>
      <c r="Q162" s="11" t="s">
        <v>373</v>
      </c>
      <c r="R162" s="11" t="s">
        <v>326</v>
      </c>
      <c r="S162" s="11" t="s">
        <v>123</v>
      </c>
      <c r="T162" s="11">
        <v>1</v>
      </c>
      <c r="U162" s="11" t="s">
        <v>327</v>
      </c>
      <c r="V162" s="11" t="s">
        <v>1147</v>
      </c>
      <c r="W162" s="11" t="s">
        <v>1148</v>
      </c>
      <c r="X162" s="367">
        <v>45932.518055555563</v>
      </c>
      <c r="Y162" s="11" t="s">
        <v>1149</v>
      </c>
      <c r="Z162" s="11">
        <v>0.5</v>
      </c>
      <c r="AA162" s="11"/>
      <c r="AB162" s="11" t="s">
        <v>330</v>
      </c>
      <c r="AC162" s="212" t="s">
        <v>1150</v>
      </c>
      <c r="AD162" s="11"/>
      <c r="AE162" s="11"/>
      <c r="AF162" s="11"/>
      <c r="AG162" s="11"/>
      <c r="AH162" s="11"/>
      <c r="AI162" s="11"/>
      <c r="AJ162" s="11"/>
      <c r="AK162" s="11" t="s">
        <v>332</v>
      </c>
      <c r="AL162" s="213">
        <f t="shared" si="4"/>
        <v>45932</v>
      </c>
      <c r="AM162" s="211">
        <f t="shared" si="5"/>
        <v>45932</v>
      </c>
    </row>
    <row r="163" spans="1:39" ht="21.6" customHeight="1">
      <c r="A163" s="11">
        <v>7</v>
      </c>
      <c r="B163" s="11" t="s">
        <v>322</v>
      </c>
      <c r="C163" s="11">
        <v>2025100396</v>
      </c>
      <c r="D163" s="11"/>
      <c r="E163" s="11"/>
      <c r="F163" s="11">
        <v>3890</v>
      </c>
      <c r="G163" s="11" t="s">
        <v>821</v>
      </c>
      <c r="H163" s="11" t="s">
        <v>358</v>
      </c>
      <c r="I163" s="11"/>
      <c r="J163" s="11"/>
      <c r="K163" s="11"/>
      <c r="L163" s="11"/>
      <c r="M163" s="12"/>
      <c r="N163" s="11"/>
      <c r="O163" s="12"/>
      <c r="P163" s="13"/>
      <c r="Q163" s="11" t="s">
        <v>822</v>
      </c>
      <c r="R163" s="11" t="s">
        <v>326</v>
      </c>
      <c r="S163" s="11" t="s">
        <v>123</v>
      </c>
      <c r="T163" s="11">
        <v>1</v>
      </c>
      <c r="U163" s="11" t="s">
        <v>327</v>
      </c>
      <c r="V163" s="11" t="s">
        <v>1151</v>
      </c>
      <c r="W163" s="11" t="s">
        <v>1152</v>
      </c>
      <c r="X163" s="367">
        <v>45932.4375</v>
      </c>
      <c r="Y163" s="11"/>
      <c r="Z163" s="11">
        <v>0.5</v>
      </c>
      <c r="AA163" s="11"/>
      <c r="AB163" s="11" t="s">
        <v>330</v>
      </c>
      <c r="AC163" s="212" t="s">
        <v>341</v>
      </c>
      <c r="AD163" s="11" t="s">
        <v>332</v>
      </c>
      <c r="AE163" s="11"/>
      <c r="AF163" s="11"/>
      <c r="AG163" s="11"/>
      <c r="AH163" s="11"/>
      <c r="AI163" s="11"/>
      <c r="AJ163" s="11"/>
      <c r="AK163" s="11" t="s">
        <v>332</v>
      </c>
      <c r="AL163" s="213" t="e">
        <f t="shared" si="4"/>
        <v>#VALUE!</v>
      </c>
      <c r="AM163" s="211">
        <f t="shared" si="5"/>
        <v>45932</v>
      </c>
    </row>
    <row r="164" spans="1:39" ht="21.6" customHeight="1">
      <c r="A164" s="11">
        <v>8</v>
      </c>
      <c r="B164" s="11" t="s">
        <v>322</v>
      </c>
      <c r="C164" s="11">
        <v>2025100405</v>
      </c>
      <c r="D164" s="11"/>
      <c r="E164" s="11"/>
      <c r="F164" s="11" t="s">
        <v>57</v>
      </c>
      <c r="G164" s="11" t="s">
        <v>366</v>
      </c>
      <c r="H164" s="11" t="s">
        <v>358</v>
      </c>
      <c r="I164" s="11"/>
      <c r="J164" s="11"/>
      <c r="K164" s="11"/>
      <c r="L164" s="11"/>
      <c r="M164" s="12"/>
      <c r="N164" s="11"/>
      <c r="O164" s="12"/>
      <c r="P164" s="13"/>
      <c r="Q164" s="11" t="s">
        <v>373</v>
      </c>
      <c r="R164" s="11" t="s">
        <v>326</v>
      </c>
      <c r="S164" s="11" t="s">
        <v>123</v>
      </c>
      <c r="T164" s="11">
        <v>1</v>
      </c>
      <c r="U164" s="11" t="s">
        <v>327</v>
      </c>
      <c r="V164" s="11" t="s">
        <v>1153</v>
      </c>
      <c r="W164" s="11" t="s">
        <v>1154</v>
      </c>
      <c r="X164" s="367">
        <v>45932.519444444442</v>
      </c>
      <c r="Y164" s="11"/>
      <c r="Z164" s="11">
        <v>0.5</v>
      </c>
      <c r="AA164" s="11"/>
      <c r="AB164" s="11" t="s">
        <v>330</v>
      </c>
      <c r="AC164" s="212" t="s">
        <v>341</v>
      </c>
      <c r="AD164" s="11" t="s">
        <v>332</v>
      </c>
      <c r="AE164" s="11"/>
      <c r="AF164" s="11"/>
      <c r="AG164" s="11"/>
      <c r="AH164" s="11"/>
      <c r="AI164" s="11"/>
      <c r="AJ164" s="11"/>
      <c r="AK164" s="11" t="s">
        <v>332</v>
      </c>
      <c r="AL164" s="213" t="e">
        <f t="shared" si="4"/>
        <v>#VALUE!</v>
      </c>
      <c r="AM164" s="211">
        <f t="shared" si="5"/>
        <v>45932</v>
      </c>
    </row>
    <row r="165" spans="1:39" ht="21.6" customHeight="1">
      <c r="A165" s="11">
        <v>9</v>
      </c>
      <c r="B165" s="11" t="s">
        <v>322</v>
      </c>
      <c r="C165" s="11">
        <v>2025100452</v>
      </c>
      <c r="D165" s="11"/>
      <c r="E165" s="11"/>
      <c r="F165" s="11">
        <v>3627</v>
      </c>
      <c r="G165" s="11" t="s">
        <v>157</v>
      </c>
      <c r="H165" s="11" t="s">
        <v>358</v>
      </c>
      <c r="I165" s="11"/>
      <c r="J165" s="11"/>
      <c r="K165" s="11"/>
      <c r="L165" s="11"/>
      <c r="M165" s="12"/>
      <c r="N165" s="11"/>
      <c r="O165" s="12"/>
      <c r="P165" s="13"/>
      <c r="Q165" s="11" t="s">
        <v>647</v>
      </c>
      <c r="R165" s="11" t="s">
        <v>326</v>
      </c>
      <c r="S165" s="11" t="s">
        <v>123</v>
      </c>
      <c r="T165" s="11">
        <v>1</v>
      </c>
      <c r="U165" s="11" t="s">
        <v>327</v>
      </c>
      <c r="V165" s="11" t="s">
        <v>1155</v>
      </c>
      <c r="W165" s="11" t="s">
        <v>1156</v>
      </c>
      <c r="X165" s="367">
        <v>45932.625</v>
      </c>
      <c r="Y165" s="11"/>
      <c r="Z165" s="11">
        <v>0.3</v>
      </c>
      <c r="AA165" s="11"/>
      <c r="AB165" s="11" t="s">
        <v>330</v>
      </c>
      <c r="AC165" s="212" t="s">
        <v>341</v>
      </c>
      <c r="AD165" s="11" t="s">
        <v>332</v>
      </c>
      <c r="AE165" s="11"/>
      <c r="AF165" s="11"/>
      <c r="AG165" s="11"/>
      <c r="AH165" s="11"/>
      <c r="AI165" s="11"/>
      <c r="AJ165" s="11"/>
      <c r="AK165" s="11" t="s">
        <v>332</v>
      </c>
      <c r="AL165" s="213" t="e">
        <f t="shared" si="4"/>
        <v>#VALUE!</v>
      </c>
      <c r="AM165" s="211">
        <f t="shared" si="5"/>
        <v>45932</v>
      </c>
    </row>
    <row r="166" spans="1:39" ht="21.6" customHeight="1">
      <c r="A166" s="11">
        <v>10</v>
      </c>
      <c r="B166" s="11" t="s">
        <v>322</v>
      </c>
      <c r="C166" s="11">
        <v>2025100457</v>
      </c>
      <c r="D166" s="11"/>
      <c r="E166" s="11"/>
      <c r="F166" s="11" t="s">
        <v>56</v>
      </c>
      <c r="G166" s="11" t="s">
        <v>874</v>
      </c>
      <c r="H166" s="11" t="s">
        <v>358</v>
      </c>
      <c r="I166" s="11"/>
      <c r="J166" s="11"/>
      <c r="K166" s="11"/>
      <c r="L166" s="11"/>
      <c r="M166" s="12"/>
      <c r="N166" s="11"/>
      <c r="O166" s="12"/>
      <c r="P166" s="13"/>
      <c r="Q166" s="11" t="s">
        <v>877</v>
      </c>
      <c r="R166" s="11" t="s">
        <v>326</v>
      </c>
      <c r="S166" s="11" t="s">
        <v>123</v>
      </c>
      <c r="T166" s="11">
        <v>1</v>
      </c>
      <c r="U166" s="11" t="s">
        <v>327</v>
      </c>
      <c r="V166" s="11" t="s">
        <v>1157</v>
      </c>
      <c r="W166" s="11" t="s">
        <v>1158</v>
      </c>
      <c r="X166" s="367">
        <v>45932.645138888889</v>
      </c>
      <c r="Y166" s="11"/>
      <c r="Z166" s="11">
        <v>0.3</v>
      </c>
      <c r="AA166" s="11"/>
      <c r="AB166" s="11" t="s">
        <v>330</v>
      </c>
      <c r="AC166" s="212" t="s">
        <v>341</v>
      </c>
      <c r="AD166" s="11" t="s">
        <v>332</v>
      </c>
      <c r="AE166" s="11"/>
      <c r="AF166" s="11"/>
      <c r="AG166" s="11"/>
      <c r="AH166" s="11"/>
      <c r="AI166" s="11"/>
      <c r="AJ166" s="11"/>
      <c r="AK166" s="11" t="s">
        <v>332</v>
      </c>
      <c r="AL166" s="213" t="e">
        <f t="shared" si="4"/>
        <v>#VALUE!</v>
      </c>
      <c r="AM166" s="211">
        <f t="shared" si="5"/>
        <v>45932</v>
      </c>
    </row>
    <row r="167" spans="1:39" ht="21.6" customHeight="1">
      <c r="A167" s="11">
        <v>11</v>
      </c>
      <c r="B167" s="11" t="s">
        <v>322</v>
      </c>
      <c r="C167" s="11">
        <v>2025100501</v>
      </c>
      <c r="D167" s="11"/>
      <c r="E167" s="11"/>
      <c r="F167" s="11">
        <v>4260</v>
      </c>
      <c r="G167" s="11" t="s">
        <v>650</v>
      </c>
      <c r="H167" s="11" t="s">
        <v>358</v>
      </c>
      <c r="I167" s="11"/>
      <c r="J167" s="11"/>
      <c r="K167" s="11"/>
      <c r="L167" s="11"/>
      <c r="M167" s="12"/>
      <c r="N167" s="11"/>
      <c r="O167" s="12"/>
      <c r="P167" s="13"/>
      <c r="Q167" s="11" t="s">
        <v>651</v>
      </c>
      <c r="R167" s="11" t="s">
        <v>326</v>
      </c>
      <c r="S167" s="11" t="s">
        <v>123</v>
      </c>
      <c r="T167" s="11">
        <v>1</v>
      </c>
      <c r="U167" s="11" t="s">
        <v>327</v>
      </c>
      <c r="V167" s="11" t="s">
        <v>1159</v>
      </c>
      <c r="W167" s="11" t="s">
        <v>1160</v>
      </c>
      <c r="X167" s="367">
        <v>45932.666666666657</v>
      </c>
      <c r="Y167" s="11"/>
      <c r="Z167" s="11">
        <v>0.4</v>
      </c>
      <c r="AA167" s="11"/>
      <c r="AB167" s="11" t="s">
        <v>330</v>
      </c>
      <c r="AC167" s="212" t="s">
        <v>341</v>
      </c>
      <c r="AD167" s="11" t="s">
        <v>332</v>
      </c>
      <c r="AE167" s="11"/>
      <c r="AF167" s="11"/>
      <c r="AG167" s="11"/>
      <c r="AH167" s="11"/>
      <c r="AI167" s="11"/>
      <c r="AJ167" s="11"/>
      <c r="AK167" s="11" t="s">
        <v>332</v>
      </c>
      <c r="AL167" s="213" t="e">
        <f t="shared" si="4"/>
        <v>#VALUE!</v>
      </c>
      <c r="AM167" s="211">
        <f t="shared" si="5"/>
        <v>45932</v>
      </c>
    </row>
    <row r="168" spans="1:39" ht="21.6" customHeight="1">
      <c r="A168" s="11">
        <v>12</v>
      </c>
      <c r="B168" s="11" t="s">
        <v>322</v>
      </c>
      <c r="C168" s="11">
        <v>2025100520</v>
      </c>
      <c r="D168" s="11"/>
      <c r="E168" s="11"/>
      <c r="F168" s="11">
        <v>4084</v>
      </c>
      <c r="G168" s="11" t="s">
        <v>654</v>
      </c>
      <c r="H168" s="11" t="s">
        <v>358</v>
      </c>
      <c r="I168" s="11"/>
      <c r="J168" s="11"/>
      <c r="K168" s="11"/>
      <c r="L168" s="11"/>
      <c r="M168" s="12"/>
      <c r="N168" s="11"/>
      <c r="O168" s="12"/>
      <c r="P168" s="13"/>
      <c r="Q168" s="11" t="s">
        <v>655</v>
      </c>
      <c r="R168" s="11" t="s">
        <v>326</v>
      </c>
      <c r="S168" s="11" t="s">
        <v>123</v>
      </c>
      <c r="T168" s="11">
        <v>1</v>
      </c>
      <c r="U168" s="11" t="s">
        <v>327</v>
      </c>
      <c r="V168" s="11" t="s">
        <v>1161</v>
      </c>
      <c r="W168" s="11" t="s">
        <v>1162</v>
      </c>
      <c r="X168" s="367">
        <v>45932.6875</v>
      </c>
      <c r="Y168" s="11"/>
      <c r="Z168" s="11">
        <v>0.3</v>
      </c>
      <c r="AA168" s="11"/>
      <c r="AB168" s="11" t="s">
        <v>330</v>
      </c>
      <c r="AC168" s="212" t="s">
        <v>341</v>
      </c>
      <c r="AD168" s="11" t="s">
        <v>332</v>
      </c>
      <c r="AE168" s="11"/>
      <c r="AF168" s="11"/>
      <c r="AG168" s="11"/>
      <c r="AH168" s="11"/>
      <c r="AI168" s="11"/>
      <c r="AJ168" s="11"/>
      <c r="AK168" s="11" t="s">
        <v>332</v>
      </c>
      <c r="AL168" s="213" t="e">
        <f t="shared" si="4"/>
        <v>#VALUE!</v>
      </c>
      <c r="AM168" s="211">
        <f t="shared" si="5"/>
        <v>45932</v>
      </c>
    </row>
    <row r="169" spans="1:39" ht="21.6" customHeight="1">
      <c r="A169" s="11">
        <v>13</v>
      </c>
      <c r="B169" s="11" t="s">
        <v>322</v>
      </c>
      <c r="C169" s="11">
        <v>2025100662</v>
      </c>
      <c r="D169" s="11"/>
      <c r="E169" s="11"/>
      <c r="F169" s="11">
        <v>4241</v>
      </c>
      <c r="G169" s="11" t="s">
        <v>694</v>
      </c>
      <c r="H169" s="11" t="s">
        <v>358</v>
      </c>
      <c r="I169" s="11"/>
      <c r="J169" s="11"/>
      <c r="K169" s="11"/>
      <c r="L169" s="11"/>
      <c r="M169" s="12"/>
      <c r="N169" s="11"/>
      <c r="O169" s="12"/>
      <c r="P169" s="13"/>
      <c r="Q169" s="11" t="s">
        <v>695</v>
      </c>
      <c r="R169" s="11" t="s">
        <v>326</v>
      </c>
      <c r="S169" s="11" t="s">
        <v>123</v>
      </c>
      <c r="T169" s="11">
        <v>1</v>
      </c>
      <c r="U169" s="11" t="s">
        <v>327</v>
      </c>
      <c r="V169" s="11" t="s">
        <v>1163</v>
      </c>
      <c r="W169" s="11" t="s">
        <v>1164</v>
      </c>
      <c r="X169" s="367">
        <v>45933.576388888891</v>
      </c>
      <c r="Y169" s="11"/>
      <c r="Z169" s="11">
        <v>0.3</v>
      </c>
      <c r="AA169" s="11"/>
      <c r="AB169" s="11" t="s">
        <v>330</v>
      </c>
      <c r="AC169" s="212" t="s">
        <v>341</v>
      </c>
      <c r="AD169" s="11" t="s">
        <v>332</v>
      </c>
      <c r="AE169" s="11"/>
      <c r="AF169" s="11"/>
      <c r="AG169" s="11"/>
      <c r="AH169" s="11"/>
      <c r="AI169" s="11"/>
      <c r="AJ169" s="11"/>
      <c r="AK169" s="11" t="s">
        <v>332</v>
      </c>
      <c r="AL169" s="213" t="e">
        <f t="shared" si="4"/>
        <v>#VALUE!</v>
      </c>
      <c r="AM169" s="211">
        <f t="shared" si="5"/>
        <v>45933</v>
      </c>
    </row>
    <row r="170" spans="1:39" ht="21.6" customHeight="1">
      <c r="A170" s="11">
        <v>14</v>
      </c>
      <c r="B170" s="11" t="s">
        <v>322</v>
      </c>
      <c r="C170" s="11">
        <v>2025100682</v>
      </c>
      <c r="D170" s="11"/>
      <c r="E170" s="11"/>
      <c r="F170" s="11">
        <v>4352</v>
      </c>
      <c r="G170" s="11" t="s">
        <v>690</v>
      </c>
      <c r="H170" s="11" t="s">
        <v>358</v>
      </c>
      <c r="I170" s="11"/>
      <c r="J170" s="11"/>
      <c r="K170" s="11"/>
      <c r="L170" s="11"/>
      <c r="M170" s="12"/>
      <c r="N170" s="11"/>
      <c r="O170" s="12"/>
      <c r="P170" s="13"/>
      <c r="Q170" s="11" t="s">
        <v>691</v>
      </c>
      <c r="R170" s="11" t="s">
        <v>326</v>
      </c>
      <c r="S170" s="11" t="s">
        <v>123</v>
      </c>
      <c r="T170" s="11">
        <v>1</v>
      </c>
      <c r="U170" s="11" t="s">
        <v>327</v>
      </c>
      <c r="V170" s="11" t="s">
        <v>1165</v>
      </c>
      <c r="W170" s="11" t="s">
        <v>1166</v>
      </c>
      <c r="X170" s="367">
        <v>45933.604166666657</v>
      </c>
      <c r="Y170" s="11"/>
      <c r="Z170" s="11">
        <v>0.3</v>
      </c>
      <c r="AA170" s="11"/>
      <c r="AB170" s="11" t="s">
        <v>330</v>
      </c>
      <c r="AC170" s="212" t="s">
        <v>341</v>
      </c>
      <c r="AD170" s="11" t="s">
        <v>332</v>
      </c>
      <c r="AE170" s="11"/>
      <c r="AF170" s="11"/>
      <c r="AG170" s="11"/>
      <c r="AH170" s="11"/>
      <c r="AI170" s="11"/>
      <c r="AJ170" s="11"/>
      <c r="AK170" s="11" t="s">
        <v>332</v>
      </c>
      <c r="AL170" s="213" t="e">
        <f t="shared" si="4"/>
        <v>#VALUE!</v>
      </c>
      <c r="AM170" s="211">
        <f t="shared" si="5"/>
        <v>45933</v>
      </c>
    </row>
    <row r="171" spans="1:39" ht="21.6" customHeight="1">
      <c r="A171" s="11">
        <v>15</v>
      </c>
      <c r="B171" s="11" t="s">
        <v>322</v>
      </c>
      <c r="C171" s="11">
        <v>2025100705</v>
      </c>
      <c r="D171" s="11"/>
      <c r="E171" s="11"/>
      <c r="F171" s="11">
        <v>3840</v>
      </c>
      <c r="G171" s="11" t="s">
        <v>686</v>
      </c>
      <c r="H171" s="11" t="s">
        <v>358</v>
      </c>
      <c r="I171" s="11"/>
      <c r="J171" s="11"/>
      <c r="K171" s="11"/>
      <c r="L171" s="11"/>
      <c r="M171" s="12"/>
      <c r="N171" s="11"/>
      <c r="O171" s="12"/>
      <c r="P171" s="13"/>
      <c r="Q171" s="11" t="s">
        <v>687</v>
      </c>
      <c r="R171" s="11" t="s">
        <v>326</v>
      </c>
      <c r="S171" s="11" t="s">
        <v>123</v>
      </c>
      <c r="T171" s="11">
        <v>1</v>
      </c>
      <c r="U171" s="11" t="s">
        <v>327</v>
      </c>
      <c r="V171" s="11" t="s">
        <v>1167</v>
      </c>
      <c r="W171" s="11" t="s">
        <v>1168</v>
      </c>
      <c r="X171" s="367">
        <v>45933.648611111108</v>
      </c>
      <c r="Y171" s="11"/>
      <c r="Z171" s="11">
        <v>0.4</v>
      </c>
      <c r="AA171" s="11"/>
      <c r="AB171" s="11" t="s">
        <v>330</v>
      </c>
      <c r="AC171" s="212" t="s">
        <v>341</v>
      </c>
      <c r="AD171" s="11" t="s">
        <v>332</v>
      </c>
      <c r="AE171" s="11"/>
      <c r="AF171" s="11"/>
      <c r="AG171" s="11"/>
      <c r="AH171" s="11"/>
      <c r="AI171" s="11"/>
      <c r="AJ171" s="11"/>
      <c r="AK171" s="11" t="s">
        <v>332</v>
      </c>
      <c r="AL171" s="213" t="e">
        <f t="shared" si="4"/>
        <v>#VALUE!</v>
      </c>
      <c r="AM171" s="211">
        <f t="shared" si="5"/>
        <v>45933</v>
      </c>
    </row>
    <row r="172" spans="1:39" ht="21.6" customHeight="1">
      <c r="A172" s="11">
        <v>16</v>
      </c>
      <c r="B172" s="11" t="s">
        <v>322</v>
      </c>
      <c r="C172" s="11">
        <v>2025100723</v>
      </c>
      <c r="D172" s="11"/>
      <c r="E172" s="11"/>
      <c r="F172" s="11">
        <v>4397</v>
      </c>
      <c r="G172" s="11" t="s">
        <v>682</v>
      </c>
      <c r="H172" s="11" t="s">
        <v>358</v>
      </c>
      <c r="I172" s="11"/>
      <c r="J172" s="11"/>
      <c r="K172" s="11"/>
      <c r="L172" s="11"/>
      <c r="M172" s="12"/>
      <c r="N172" s="11"/>
      <c r="O172" s="12"/>
      <c r="P172" s="13"/>
      <c r="Q172" s="11" t="s">
        <v>683</v>
      </c>
      <c r="R172" s="11" t="s">
        <v>326</v>
      </c>
      <c r="S172" s="11" t="s">
        <v>123</v>
      </c>
      <c r="T172" s="11">
        <v>1</v>
      </c>
      <c r="U172" s="11" t="s">
        <v>327</v>
      </c>
      <c r="V172" s="11" t="s">
        <v>1169</v>
      </c>
      <c r="W172" s="11" t="s">
        <v>1170</v>
      </c>
      <c r="X172" s="367">
        <v>45933.675000000003</v>
      </c>
      <c r="Y172" s="11"/>
      <c r="Z172" s="11">
        <v>0.4</v>
      </c>
      <c r="AA172" s="11"/>
      <c r="AB172" s="11" t="s">
        <v>330</v>
      </c>
      <c r="AC172" s="212" t="s">
        <v>341</v>
      </c>
      <c r="AD172" s="11" t="s">
        <v>332</v>
      </c>
      <c r="AE172" s="11"/>
      <c r="AF172" s="11"/>
      <c r="AG172" s="11"/>
      <c r="AH172" s="11"/>
      <c r="AI172" s="11"/>
      <c r="AJ172" s="11"/>
      <c r="AK172" s="11" t="s">
        <v>332</v>
      </c>
      <c r="AL172" s="213" t="e">
        <f t="shared" si="4"/>
        <v>#VALUE!</v>
      </c>
      <c r="AM172" s="211">
        <f t="shared" si="5"/>
        <v>45933</v>
      </c>
    </row>
    <row r="173" spans="1:39" ht="21.6" customHeight="1">
      <c r="A173" s="11">
        <v>17</v>
      </c>
      <c r="B173" s="11" t="s">
        <v>322</v>
      </c>
      <c r="C173" s="11">
        <v>2025100731</v>
      </c>
      <c r="D173" s="11"/>
      <c r="E173" s="11"/>
      <c r="F173" s="11">
        <v>4586</v>
      </c>
      <c r="G173" s="11" t="s">
        <v>678</v>
      </c>
      <c r="H173" s="11" t="s">
        <v>358</v>
      </c>
      <c r="I173" s="11"/>
      <c r="J173" s="11"/>
      <c r="K173" s="11"/>
      <c r="L173" s="11"/>
      <c r="M173" s="12"/>
      <c r="N173" s="11"/>
      <c r="O173" s="12"/>
      <c r="P173" s="13"/>
      <c r="Q173" s="11" t="s">
        <v>679</v>
      </c>
      <c r="R173" s="11" t="s">
        <v>326</v>
      </c>
      <c r="S173" s="11" t="s">
        <v>123</v>
      </c>
      <c r="T173" s="11">
        <v>1</v>
      </c>
      <c r="U173" s="11" t="s">
        <v>327</v>
      </c>
      <c r="V173" s="11" t="s">
        <v>1171</v>
      </c>
      <c r="W173" s="11" t="s">
        <v>1172</v>
      </c>
      <c r="X173" s="367">
        <v>45933.693749999999</v>
      </c>
      <c r="Y173" s="11"/>
      <c r="Z173" s="11">
        <v>0.3</v>
      </c>
      <c r="AA173" s="11"/>
      <c r="AB173" s="11" t="s">
        <v>330</v>
      </c>
      <c r="AC173" s="212" t="s">
        <v>341</v>
      </c>
      <c r="AD173" s="11" t="s">
        <v>332</v>
      </c>
      <c r="AE173" s="11"/>
      <c r="AF173" s="11"/>
      <c r="AG173" s="11"/>
      <c r="AH173" s="11"/>
      <c r="AI173" s="11"/>
      <c r="AJ173" s="11"/>
      <c r="AK173" s="11" t="s">
        <v>332</v>
      </c>
      <c r="AL173" s="213" t="e">
        <f t="shared" si="4"/>
        <v>#VALUE!</v>
      </c>
      <c r="AM173" s="211">
        <f t="shared" si="5"/>
        <v>45933</v>
      </c>
    </row>
    <row r="174" spans="1:39" ht="21.6" customHeight="1">
      <c r="A174" s="11">
        <v>18</v>
      </c>
      <c r="B174" s="11" t="s">
        <v>363</v>
      </c>
      <c r="C174" s="11">
        <v>2025100752</v>
      </c>
      <c r="D174" s="11" t="s">
        <v>1173</v>
      </c>
      <c r="E174" s="11" t="s">
        <v>365</v>
      </c>
      <c r="F174" s="11">
        <v>4679</v>
      </c>
      <c r="G174" s="11" t="s">
        <v>1174</v>
      </c>
      <c r="H174" s="11" t="s">
        <v>490</v>
      </c>
      <c r="I174" s="11" t="s">
        <v>1175</v>
      </c>
      <c r="J174" s="11" t="s">
        <v>458</v>
      </c>
      <c r="K174" s="11" t="s">
        <v>446</v>
      </c>
      <c r="L174" s="11" t="s">
        <v>398</v>
      </c>
      <c r="M174" s="12" t="s">
        <v>399</v>
      </c>
      <c r="N174" s="11" t="s">
        <v>1176</v>
      </c>
      <c r="O174" s="12" t="s">
        <v>1177</v>
      </c>
      <c r="P174" s="13" t="s">
        <v>1178</v>
      </c>
      <c r="Q174" s="11" t="s">
        <v>1179</v>
      </c>
      <c r="R174" s="11" t="s">
        <v>326</v>
      </c>
      <c r="S174" s="11" t="s">
        <v>118</v>
      </c>
      <c r="T174" s="11">
        <v>1</v>
      </c>
      <c r="U174" s="11" t="s">
        <v>327</v>
      </c>
      <c r="V174" s="11" t="s">
        <v>1180</v>
      </c>
      <c r="W174" s="11" t="s">
        <v>1181</v>
      </c>
      <c r="X174" s="367">
        <v>45937.5</v>
      </c>
      <c r="Y174" s="11" t="s">
        <v>1182</v>
      </c>
      <c r="Z174" s="11">
        <v>0.5</v>
      </c>
      <c r="AA174" s="11"/>
      <c r="AB174" s="11" t="s">
        <v>330</v>
      </c>
      <c r="AC174" s="212" t="s">
        <v>1183</v>
      </c>
      <c r="AD174" s="11"/>
      <c r="AE174" s="11"/>
      <c r="AF174" s="11"/>
      <c r="AG174" s="11"/>
      <c r="AH174" s="11"/>
      <c r="AI174" s="11"/>
      <c r="AJ174" s="11"/>
      <c r="AK174" s="11" t="s">
        <v>332</v>
      </c>
      <c r="AL174" s="213">
        <f t="shared" si="4"/>
        <v>45934</v>
      </c>
      <c r="AM174" s="211">
        <f t="shared" si="5"/>
        <v>45937</v>
      </c>
    </row>
    <row r="175" spans="1:39" ht="21.6" customHeight="1">
      <c r="A175" s="11">
        <v>19</v>
      </c>
      <c r="B175" s="11" t="s">
        <v>322</v>
      </c>
      <c r="C175" s="11">
        <v>2025100855</v>
      </c>
      <c r="D175" s="11"/>
      <c r="E175" s="11"/>
      <c r="F175" s="11">
        <v>5245</v>
      </c>
      <c r="G175" s="11" t="s">
        <v>258</v>
      </c>
      <c r="H175" s="11" t="s">
        <v>358</v>
      </c>
      <c r="I175" s="11"/>
      <c r="J175" s="11"/>
      <c r="K175" s="11"/>
      <c r="L175" s="11"/>
      <c r="M175" s="12"/>
      <c r="N175" s="11"/>
      <c r="O175" s="12"/>
      <c r="P175" s="13"/>
      <c r="Q175" s="11" t="s">
        <v>825</v>
      </c>
      <c r="R175" s="11" t="s">
        <v>326</v>
      </c>
      <c r="S175" s="11" t="s">
        <v>123</v>
      </c>
      <c r="T175" s="11">
        <v>1</v>
      </c>
      <c r="U175" s="11" t="s">
        <v>327</v>
      </c>
      <c r="V175" s="11" t="s">
        <v>1184</v>
      </c>
      <c r="W175" s="11" t="s">
        <v>1185</v>
      </c>
      <c r="X175" s="367">
        <v>45937.416666666657</v>
      </c>
      <c r="Y175" s="11"/>
      <c r="Z175" s="11">
        <v>0.5</v>
      </c>
      <c r="AA175" s="11"/>
      <c r="AB175" s="11" t="s">
        <v>330</v>
      </c>
      <c r="AC175" s="212" t="s">
        <v>341</v>
      </c>
      <c r="AD175" s="11" t="s">
        <v>332</v>
      </c>
      <c r="AE175" s="11"/>
      <c r="AF175" s="11"/>
      <c r="AG175" s="11"/>
      <c r="AH175" s="11"/>
      <c r="AI175" s="11"/>
      <c r="AJ175" s="11"/>
      <c r="AK175" s="11" t="s">
        <v>332</v>
      </c>
      <c r="AL175" s="213" t="e">
        <f t="shared" si="4"/>
        <v>#VALUE!</v>
      </c>
      <c r="AM175" s="211">
        <f t="shared" si="5"/>
        <v>45937</v>
      </c>
    </row>
    <row r="176" spans="1:39" ht="21.6" customHeight="1">
      <c r="A176" s="11">
        <v>20</v>
      </c>
      <c r="B176" s="11" t="s">
        <v>322</v>
      </c>
      <c r="C176" s="11">
        <v>2025100856</v>
      </c>
      <c r="D176" s="11"/>
      <c r="E176" s="11"/>
      <c r="F176" s="11">
        <v>2399</v>
      </c>
      <c r="G176" s="11" t="s">
        <v>828</v>
      </c>
      <c r="H176" s="11" t="s">
        <v>358</v>
      </c>
      <c r="I176" s="11"/>
      <c r="J176" s="11"/>
      <c r="K176" s="11"/>
      <c r="L176" s="11"/>
      <c r="M176" s="12"/>
      <c r="N176" s="11"/>
      <c r="O176" s="12"/>
      <c r="P176" s="13"/>
      <c r="Q176" s="11" t="s">
        <v>829</v>
      </c>
      <c r="R176" s="11" t="s">
        <v>326</v>
      </c>
      <c r="S176" s="11" t="s">
        <v>123</v>
      </c>
      <c r="T176" s="11">
        <v>1</v>
      </c>
      <c r="U176" s="11" t="s">
        <v>327</v>
      </c>
      <c r="V176" s="11" t="s">
        <v>1186</v>
      </c>
      <c r="W176" s="11" t="s">
        <v>1187</v>
      </c>
      <c r="X176" s="367">
        <v>45937.4375</v>
      </c>
      <c r="Y176" s="11"/>
      <c r="Z176" s="11">
        <v>0.3</v>
      </c>
      <c r="AA176" s="11"/>
      <c r="AB176" s="11" t="s">
        <v>330</v>
      </c>
      <c r="AC176" s="212" t="s">
        <v>341</v>
      </c>
      <c r="AD176" s="11" t="s">
        <v>332</v>
      </c>
      <c r="AE176" s="11"/>
      <c r="AF176" s="11"/>
      <c r="AG176" s="11"/>
      <c r="AH176" s="11"/>
      <c r="AI176" s="11"/>
      <c r="AJ176" s="11"/>
      <c r="AK176" s="11" t="s">
        <v>332</v>
      </c>
      <c r="AL176" s="213" t="e">
        <f t="shared" si="4"/>
        <v>#VALUE!</v>
      </c>
      <c r="AM176" s="211">
        <f t="shared" si="5"/>
        <v>45937</v>
      </c>
    </row>
    <row r="177" spans="1:39" ht="21.6" customHeight="1">
      <c r="A177" s="11">
        <v>21</v>
      </c>
      <c r="B177" s="11" t="s">
        <v>322</v>
      </c>
      <c r="C177" s="11">
        <v>2025100874</v>
      </c>
      <c r="D177" s="11"/>
      <c r="E177" s="11"/>
      <c r="F177" s="11">
        <v>2259</v>
      </c>
      <c r="G177" s="11" t="s">
        <v>1188</v>
      </c>
      <c r="H177" s="11" t="s">
        <v>358</v>
      </c>
      <c r="I177" s="11"/>
      <c r="J177" s="11"/>
      <c r="K177" s="11"/>
      <c r="L177" s="11"/>
      <c r="M177" s="12"/>
      <c r="N177" s="11"/>
      <c r="O177" s="12"/>
      <c r="P177" s="13"/>
      <c r="Q177" s="11" t="s">
        <v>1189</v>
      </c>
      <c r="R177" s="11" t="s">
        <v>326</v>
      </c>
      <c r="S177" s="11" t="s">
        <v>123</v>
      </c>
      <c r="T177" s="11">
        <v>1</v>
      </c>
      <c r="U177" s="11" t="s">
        <v>327</v>
      </c>
      <c r="V177" s="11" t="s">
        <v>1190</v>
      </c>
      <c r="W177" s="11" t="s">
        <v>1191</v>
      </c>
      <c r="X177" s="367">
        <v>45937.458333333343</v>
      </c>
      <c r="Y177" s="11"/>
      <c r="Z177" s="11">
        <v>0.3</v>
      </c>
      <c r="AA177" s="11"/>
      <c r="AB177" s="11" t="s">
        <v>330</v>
      </c>
      <c r="AC177" s="212" t="s">
        <v>341</v>
      </c>
      <c r="AD177" s="11" t="s">
        <v>332</v>
      </c>
      <c r="AE177" s="11"/>
      <c r="AF177" s="11"/>
      <c r="AG177" s="11"/>
      <c r="AH177" s="11"/>
      <c r="AI177" s="11"/>
      <c r="AJ177" s="11"/>
      <c r="AK177" s="11" t="s">
        <v>332</v>
      </c>
      <c r="AL177" s="213" t="e">
        <f t="shared" si="4"/>
        <v>#VALUE!</v>
      </c>
      <c r="AM177" s="211">
        <f t="shared" si="5"/>
        <v>45937</v>
      </c>
    </row>
    <row r="178" spans="1:39" ht="21.6" customHeight="1">
      <c r="A178" s="11">
        <v>22</v>
      </c>
      <c r="B178" s="11" t="s">
        <v>363</v>
      </c>
      <c r="C178" s="11">
        <v>2025100893</v>
      </c>
      <c r="D178" s="11" t="s">
        <v>1192</v>
      </c>
      <c r="E178" s="11" t="s">
        <v>365</v>
      </c>
      <c r="F178" s="11">
        <v>3362</v>
      </c>
      <c r="G178" s="11" t="s">
        <v>185</v>
      </c>
      <c r="H178" s="11" t="s">
        <v>358</v>
      </c>
      <c r="I178" s="11" t="s">
        <v>1193</v>
      </c>
      <c r="J178" s="11" t="s">
        <v>368</v>
      </c>
      <c r="K178" s="11" t="s">
        <v>200</v>
      </c>
      <c r="L178" s="11" t="s">
        <v>398</v>
      </c>
      <c r="M178" s="12" t="s">
        <v>399</v>
      </c>
      <c r="N178" s="11" t="s">
        <v>1194</v>
      </c>
      <c r="O178" s="12" t="s">
        <v>425</v>
      </c>
      <c r="P178" s="13" t="s">
        <v>1195</v>
      </c>
      <c r="Q178" s="11" t="s">
        <v>1196</v>
      </c>
      <c r="R178" s="11" t="s">
        <v>326</v>
      </c>
      <c r="S178" s="11" t="s">
        <v>123</v>
      </c>
      <c r="T178" s="11">
        <v>1</v>
      </c>
      <c r="U178" s="11" t="s">
        <v>327</v>
      </c>
      <c r="V178" s="11" t="s">
        <v>1197</v>
      </c>
      <c r="W178" s="11" t="s">
        <v>1198</v>
      </c>
      <c r="X178" s="367">
        <v>45937.583333333343</v>
      </c>
      <c r="Y178" s="11" t="s">
        <v>1199</v>
      </c>
      <c r="Z178" s="11">
        <v>0.3</v>
      </c>
      <c r="AA178" s="11"/>
      <c r="AB178" s="11" t="s">
        <v>330</v>
      </c>
      <c r="AC178" s="212" t="s">
        <v>1200</v>
      </c>
      <c r="AD178" s="11"/>
      <c r="AE178" s="11"/>
      <c r="AF178" s="11"/>
      <c r="AG178" s="11"/>
      <c r="AH178" s="11"/>
      <c r="AI178" s="11"/>
      <c r="AJ178" s="11"/>
      <c r="AK178" s="11" t="s">
        <v>332</v>
      </c>
      <c r="AL178" s="213">
        <f t="shared" si="4"/>
        <v>45937</v>
      </c>
      <c r="AM178" s="211">
        <f t="shared" si="5"/>
        <v>45937</v>
      </c>
    </row>
    <row r="179" spans="1:39" ht="21.6" customHeight="1">
      <c r="A179" s="11">
        <v>23</v>
      </c>
      <c r="B179" s="11" t="s">
        <v>322</v>
      </c>
      <c r="C179" s="11">
        <v>2025100894</v>
      </c>
      <c r="D179" s="11"/>
      <c r="E179" s="11"/>
      <c r="F179" s="11">
        <v>4679</v>
      </c>
      <c r="G179" s="11" t="s">
        <v>1174</v>
      </c>
      <c r="H179" s="11" t="s">
        <v>490</v>
      </c>
      <c r="I179" s="11"/>
      <c r="J179" s="11"/>
      <c r="K179" s="11"/>
      <c r="L179" s="11"/>
      <c r="M179" s="12"/>
      <c r="N179" s="11"/>
      <c r="O179" s="12"/>
      <c r="P179" s="13"/>
      <c r="Q179" s="11" t="s">
        <v>1179</v>
      </c>
      <c r="R179" s="11" t="s">
        <v>326</v>
      </c>
      <c r="S179" s="11" t="s">
        <v>118</v>
      </c>
      <c r="T179" s="11">
        <v>1</v>
      </c>
      <c r="U179" s="11" t="s">
        <v>327</v>
      </c>
      <c r="V179" s="11" t="s">
        <v>1201</v>
      </c>
      <c r="W179" s="11" t="s">
        <v>1202</v>
      </c>
      <c r="X179" s="367">
        <v>45937.479166666657</v>
      </c>
      <c r="Y179" s="11"/>
      <c r="Z179" s="11">
        <v>0.5</v>
      </c>
      <c r="AA179" s="11"/>
      <c r="AB179" s="11" t="s">
        <v>330</v>
      </c>
      <c r="AC179" s="212" t="s">
        <v>1203</v>
      </c>
      <c r="AD179" s="11" t="s">
        <v>332</v>
      </c>
      <c r="AE179" s="11"/>
      <c r="AF179" s="11"/>
      <c r="AG179" s="11"/>
      <c r="AH179" s="11"/>
      <c r="AI179" s="11"/>
      <c r="AJ179" s="11"/>
      <c r="AK179" s="11" t="s">
        <v>332</v>
      </c>
      <c r="AL179" s="213" t="e">
        <f t="shared" si="4"/>
        <v>#VALUE!</v>
      </c>
      <c r="AM179" s="211">
        <f t="shared" si="5"/>
        <v>45937</v>
      </c>
    </row>
    <row r="180" spans="1:39" ht="21.6" customHeight="1">
      <c r="A180" s="11">
        <v>24</v>
      </c>
      <c r="B180" s="11" t="s">
        <v>322</v>
      </c>
      <c r="C180" s="11">
        <v>2025100916</v>
      </c>
      <c r="D180" s="11"/>
      <c r="E180" s="11"/>
      <c r="F180" s="11">
        <v>2837</v>
      </c>
      <c r="G180" s="11" t="s">
        <v>835</v>
      </c>
      <c r="H180" s="11" t="s">
        <v>358</v>
      </c>
      <c r="I180" s="11"/>
      <c r="J180" s="11"/>
      <c r="K180" s="11"/>
      <c r="L180" s="11"/>
      <c r="M180" s="12"/>
      <c r="N180" s="11"/>
      <c r="O180" s="12"/>
      <c r="P180" s="13"/>
      <c r="Q180" s="11" t="s">
        <v>836</v>
      </c>
      <c r="R180" s="11" t="s">
        <v>326</v>
      </c>
      <c r="S180" s="11" t="s">
        <v>123</v>
      </c>
      <c r="T180" s="11">
        <v>1</v>
      </c>
      <c r="U180" s="11" t="s">
        <v>327</v>
      </c>
      <c r="V180" s="11" t="s">
        <v>1204</v>
      </c>
      <c r="W180" s="11" t="s">
        <v>1205</v>
      </c>
      <c r="X180" s="367">
        <v>45937.5</v>
      </c>
      <c r="Y180" s="11"/>
      <c r="Z180" s="11">
        <v>0.7</v>
      </c>
      <c r="AA180" s="11"/>
      <c r="AB180" s="11" t="s">
        <v>330</v>
      </c>
      <c r="AC180" s="212" t="s">
        <v>341</v>
      </c>
      <c r="AD180" s="11" t="s">
        <v>332</v>
      </c>
      <c r="AE180" s="11"/>
      <c r="AF180" s="11"/>
      <c r="AG180" s="11"/>
      <c r="AH180" s="11"/>
      <c r="AI180" s="11"/>
      <c r="AJ180" s="11"/>
      <c r="AK180" s="11" t="s">
        <v>332</v>
      </c>
      <c r="AL180" s="213" t="e">
        <f t="shared" si="4"/>
        <v>#VALUE!</v>
      </c>
      <c r="AM180" s="211">
        <f t="shared" si="5"/>
        <v>45937</v>
      </c>
    </row>
    <row r="181" spans="1:39" ht="21.6" customHeight="1">
      <c r="A181" s="11">
        <v>25</v>
      </c>
      <c r="B181" s="11" t="s">
        <v>322</v>
      </c>
      <c r="C181" s="11">
        <v>2025100926</v>
      </c>
      <c r="D181" s="11"/>
      <c r="E181" s="11"/>
      <c r="F181" s="11">
        <v>4679</v>
      </c>
      <c r="G181" s="11" t="s">
        <v>1174</v>
      </c>
      <c r="H181" s="11" t="s">
        <v>490</v>
      </c>
      <c r="I181" s="11"/>
      <c r="J181" s="11"/>
      <c r="K181" s="11"/>
      <c r="L181" s="11"/>
      <c r="M181" s="12"/>
      <c r="N181" s="11"/>
      <c r="O181" s="12"/>
      <c r="P181" s="13"/>
      <c r="Q181" s="11" t="s">
        <v>1179</v>
      </c>
      <c r="R181" s="11" t="s">
        <v>326</v>
      </c>
      <c r="S181" s="11" t="s">
        <v>118</v>
      </c>
      <c r="T181" s="11">
        <v>1</v>
      </c>
      <c r="U181" s="11" t="s">
        <v>327</v>
      </c>
      <c r="V181" s="11" t="s">
        <v>1206</v>
      </c>
      <c r="W181" s="11" t="s">
        <v>1202</v>
      </c>
      <c r="X181" s="367">
        <v>45937.479166666657</v>
      </c>
      <c r="Y181" s="11"/>
      <c r="Z181" s="11">
        <v>0.5</v>
      </c>
      <c r="AA181" s="11"/>
      <c r="AB181" s="11" t="s">
        <v>330</v>
      </c>
      <c r="AC181" s="212" t="s">
        <v>341</v>
      </c>
      <c r="AD181" s="11" t="s">
        <v>332</v>
      </c>
      <c r="AE181" s="11"/>
      <c r="AF181" s="11"/>
      <c r="AG181" s="11"/>
      <c r="AH181" s="11"/>
      <c r="AI181" s="11"/>
      <c r="AJ181" s="11"/>
      <c r="AK181" s="11" t="s">
        <v>332</v>
      </c>
      <c r="AL181" s="213" t="e">
        <f t="shared" si="4"/>
        <v>#VALUE!</v>
      </c>
      <c r="AM181" s="211">
        <f t="shared" si="5"/>
        <v>45937</v>
      </c>
    </row>
    <row r="182" spans="1:39" ht="21.6" customHeight="1">
      <c r="A182" s="11">
        <v>26</v>
      </c>
      <c r="B182" s="11" t="s">
        <v>322</v>
      </c>
      <c r="C182" s="11">
        <v>2025100966</v>
      </c>
      <c r="D182" s="11"/>
      <c r="E182" s="11"/>
      <c r="F182" s="11">
        <v>3362</v>
      </c>
      <c r="G182" s="11" t="s">
        <v>185</v>
      </c>
      <c r="H182" s="11" t="s">
        <v>358</v>
      </c>
      <c r="I182" s="11"/>
      <c r="J182" s="11"/>
      <c r="K182" s="11"/>
      <c r="L182" s="11"/>
      <c r="M182" s="12"/>
      <c r="N182" s="11"/>
      <c r="O182" s="12"/>
      <c r="P182" s="13"/>
      <c r="Q182" s="11" t="s">
        <v>1196</v>
      </c>
      <c r="R182" s="11" t="s">
        <v>326</v>
      </c>
      <c r="S182" s="11" t="s">
        <v>123</v>
      </c>
      <c r="T182" s="11">
        <v>1</v>
      </c>
      <c r="U182" s="11" t="s">
        <v>327</v>
      </c>
      <c r="V182" s="11" t="s">
        <v>1207</v>
      </c>
      <c r="W182" s="11" t="s">
        <v>1208</v>
      </c>
      <c r="X182" s="367">
        <v>45937.619444444441</v>
      </c>
      <c r="Y182" s="11"/>
      <c r="Z182" s="11">
        <v>0.7</v>
      </c>
      <c r="AA182" s="11"/>
      <c r="AB182" s="11" t="s">
        <v>330</v>
      </c>
      <c r="AC182" s="212" t="s">
        <v>341</v>
      </c>
      <c r="AD182" s="11" t="s">
        <v>332</v>
      </c>
      <c r="AE182" s="11"/>
      <c r="AF182" s="11"/>
      <c r="AG182" s="11"/>
      <c r="AH182" s="11"/>
      <c r="AI182" s="11"/>
      <c r="AJ182" s="11"/>
      <c r="AK182" s="11" t="s">
        <v>332</v>
      </c>
      <c r="AL182" s="213" t="e">
        <f t="shared" si="4"/>
        <v>#VALUE!</v>
      </c>
      <c r="AM182" s="211">
        <f t="shared" si="5"/>
        <v>45937</v>
      </c>
    </row>
    <row r="183" spans="1:39" ht="21.6" customHeight="1">
      <c r="A183" s="11">
        <v>27</v>
      </c>
      <c r="B183" s="11" t="s">
        <v>322</v>
      </c>
      <c r="C183" s="11">
        <v>2025100973</v>
      </c>
      <c r="D183" s="11"/>
      <c r="E183" s="11"/>
      <c r="F183" s="11">
        <v>3623</v>
      </c>
      <c r="G183" s="11" t="s">
        <v>186</v>
      </c>
      <c r="H183" s="11" t="s">
        <v>358</v>
      </c>
      <c r="I183" s="11"/>
      <c r="J183" s="11"/>
      <c r="K183" s="11"/>
      <c r="L183" s="11"/>
      <c r="M183" s="12"/>
      <c r="N183" s="11"/>
      <c r="O183" s="12"/>
      <c r="P183" s="13"/>
      <c r="Q183" s="11" t="s">
        <v>1209</v>
      </c>
      <c r="R183" s="11" t="s">
        <v>326</v>
      </c>
      <c r="S183" s="11" t="s">
        <v>123</v>
      </c>
      <c r="T183" s="11">
        <v>1</v>
      </c>
      <c r="U183" s="11" t="s">
        <v>327</v>
      </c>
      <c r="V183" s="11" t="s">
        <v>1210</v>
      </c>
      <c r="W183" s="11" t="s">
        <v>1211</v>
      </c>
      <c r="X183" s="367">
        <v>45937.635416666657</v>
      </c>
      <c r="Y183" s="11"/>
      <c r="Z183" s="11">
        <v>0.3</v>
      </c>
      <c r="AA183" s="11"/>
      <c r="AB183" s="11" t="s">
        <v>330</v>
      </c>
      <c r="AC183" s="212" t="s">
        <v>341</v>
      </c>
      <c r="AD183" s="11" t="s">
        <v>332</v>
      </c>
      <c r="AE183" s="11"/>
      <c r="AF183" s="11"/>
      <c r="AG183" s="11"/>
      <c r="AH183" s="11"/>
      <c r="AI183" s="11"/>
      <c r="AJ183" s="11"/>
      <c r="AK183" s="11" t="s">
        <v>332</v>
      </c>
      <c r="AL183" s="213" t="e">
        <f t="shared" si="4"/>
        <v>#VALUE!</v>
      </c>
      <c r="AM183" s="211">
        <f t="shared" si="5"/>
        <v>45937</v>
      </c>
    </row>
    <row r="184" spans="1:39" ht="21.6" customHeight="1">
      <c r="A184" s="11">
        <v>28</v>
      </c>
      <c r="B184" s="11" t="s">
        <v>322</v>
      </c>
      <c r="C184" s="11">
        <v>2025100974</v>
      </c>
      <c r="D184" s="11"/>
      <c r="E184" s="11"/>
      <c r="F184" s="11">
        <v>4210</v>
      </c>
      <c r="G184" s="11" t="s">
        <v>191</v>
      </c>
      <c r="H184" s="11" t="s">
        <v>358</v>
      </c>
      <c r="I184" s="11"/>
      <c r="J184" s="11"/>
      <c r="K184" s="11"/>
      <c r="L184" s="11"/>
      <c r="M184" s="12"/>
      <c r="N184" s="11"/>
      <c r="O184" s="12"/>
      <c r="P184" s="13"/>
      <c r="Q184" s="11" t="s">
        <v>1212</v>
      </c>
      <c r="R184" s="11" t="s">
        <v>326</v>
      </c>
      <c r="S184" s="11" t="s">
        <v>118</v>
      </c>
      <c r="T184" s="11">
        <v>1</v>
      </c>
      <c r="U184" s="11" t="s">
        <v>327</v>
      </c>
      <c r="V184" s="11" t="s">
        <v>1213</v>
      </c>
      <c r="W184" s="11" t="s">
        <v>1214</v>
      </c>
      <c r="X184" s="367">
        <v>45937.645833333343</v>
      </c>
      <c r="Y184" s="11"/>
      <c r="Z184" s="11">
        <v>0.5</v>
      </c>
      <c r="AA184" s="11"/>
      <c r="AB184" s="11" t="s">
        <v>330</v>
      </c>
      <c r="AC184" s="212" t="s">
        <v>1215</v>
      </c>
      <c r="AD184" s="11"/>
      <c r="AE184" s="11" t="s">
        <v>332</v>
      </c>
      <c r="AF184" s="11"/>
      <c r="AG184" s="11"/>
      <c r="AH184" s="11"/>
      <c r="AI184" s="11"/>
      <c r="AJ184" s="11"/>
      <c r="AK184" s="11" t="s">
        <v>332</v>
      </c>
      <c r="AL184" s="213" t="e">
        <f t="shared" si="4"/>
        <v>#VALUE!</v>
      </c>
      <c r="AM184" s="211">
        <f t="shared" si="5"/>
        <v>45937</v>
      </c>
    </row>
    <row r="185" spans="1:39" ht="21.6" customHeight="1">
      <c r="A185" s="11">
        <v>29</v>
      </c>
      <c r="B185" s="11" t="s">
        <v>322</v>
      </c>
      <c r="C185" s="11">
        <v>2025100991</v>
      </c>
      <c r="D185" s="11"/>
      <c r="E185" s="11"/>
      <c r="F185" s="11">
        <v>2014</v>
      </c>
      <c r="G185" s="11" t="s">
        <v>710</v>
      </c>
      <c r="H185" s="11" t="s">
        <v>358</v>
      </c>
      <c r="I185" s="11"/>
      <c r="J185" s="11"/>
      <c r="K185" s="11"/>
      <c r="L185" s="11"/>
      <c r="M185" s="12"/>
      <c r="N185" s="11"/>
      <c r="O185" s="12"/>
      <c r="P185" s="13"/>
      <c r="Q185" s="11" t="s">
        <v>714</v>
      </c>
      <c r="R185" s="11" t="s">
        <v>326</v>
      </c>
      <c r="S185" s="11" t="s">
        <v>123</v>
      </c>
      <c r="T185" s="11">
        <v>1</v>
      </c>
      <c r="U185" s="11" t="s">
        <v>327</v>
      </c>
      <c r="V185" s="11" t="s">
        <v>1216</v>
      </c>
      <c r="W185" s="11" t="s">
        <v>1217</v>
      </c>
      <c r="X185" s="367">
        <v>45937.652777777781</v>
      </c>
      <c r="Y185" s="11"/>
      <c r="Z185" s="11">
        <v>0.3</v>
      </c>
      <c r="AA185" s="11"/>
      <c r="AB185" s="11" t="s">
        <v>330</v>
      </c>
      <c r="AC185" s="212" t="s">
        <v>341</v>
      </c>
      <c r="AD185" s="11" t="s">
        <v>332</v>
      </c>
      <c r="AE185" s="11"/>
      <c r="AF185" s="11"/>
      <c r="AG185" s="11"/>
      <c r="AH185" s="11"/>
      <c r="AI185" s="11"/>
      <c r="AJ185" s="11"/>
      <c r="AK185" s="11" t="s">
        <v>332</v>
      </c>
      <c r="AL185" s="213" t="e">
        <f t="shared" si="4"/>
        <v>#VALUE!</v>
      </c>
      <c r="AM185" s="211">
        <f t="shared" si="5"/>
        <v>45937</v>
      </c>
    </row>
    <row r="186" spans="1:39" ht="21.6" customHeight="1">
      <c r="A186" s="11">
        <v>30</v>
      </c>
      <c r="B186" s="11" t="s">
        <v>322</v>
      </c>
      <c r="C186" s="11">
        <v>2025101018</v>
      </c>
      <c r="D186" s="11"/>
      <c r="E186" s="11"/>
      <c r="F186" s="11" t="s">
        <v>58</v>
      </c>
      <c r="G186" s="11" t="s">
        <v>831</v>
      </c>
      <c r="H186" s="11" t="s">
        <v>358</v>
      </c>
      <c r="I186" s="11"/>
      <c r="J186" s="11"/>
      <c r="K186" s="11"/>
      <c r="L186" s="11"/>
      <c r="M186" s="12"/>
      <c r="N186" s="11"/>
      <c r="O186" s="12"/>
      <c r="P186" s="13"/>
      <c r="Q186" s="11" t="s">
        <v>832</v>
      </c>
      <c r="R186" s="11" t="s">
        <v>326</v>
      </c>
      <c r="S186" s="11" t="s">
        <v>123</v>
      </c>
      <c r="T186" s="11">
        <v>1</v>
      </c>
      <c r="U186" s="11" t="s">
        <v>327</v>
      </c>
      <c r="V186" s="11" t="s">
        <v>1218</v>
      </c>
      <c r="W186" s="11" t="s">
        <v>1219</v>
      </c>
      <c r="X186" s="367">
        <v>45937.680555555547</v>
      </c>
      <c r="Y186" s="11"/>
      <c r="Z186" s="11">
        <v>0.3</v>
      </c>
      <c r="AA186" s="11"/>
      <c r="AB186" s="11" t="s">
        <v>330</v>
      </c>
      <c r="AC186" s="212" t="s">
        <v>341</v>
      </c>
      <c r="AD186" s="11" t="s">
        <v>332</v>
      </c>
      <c r="AE186" s="11"/>
      <c r="AF186" s="11"/>
      <c r="AG186" s="11"/>
      <c r="AH186" s="11"/>
      <c r="AI186" s="11"/>
      <c r="AJ186" s="11"/>
      <c r="AK186" s="11" t="s">
        <v>332</v>
      </c>
      <c r="AL186" s="213" t="e">
        <f t="shared" si="4"/>
        <v>#VALUE!</v>
      </c>
      <c r="AM186" s="211">
        <f t="shared" si="5"/>
        <v>45937</v>
      </c>
    </row>
    <row r="187" spans="1:39" ht="21.6" customHeight="1">
      <c r="A187" s="11">
        <v>31</v>
      </c>
      <c r="B187" s="11" t="s">
        <v>322</v>
      </c>
      <c r="C187" s="11">
        <v>2025101027</v>
      </c>
      <c r="D187" s="11"/>
      <c r="E187" s="11"/>
      <c r="F187" s="11">
        <v>3676</v>
      </c>
      <c r="G187" s="11" t="s">
        <v>839</v>
      </c>
      <c r="H187" s="11" t="s">
        <v>358</v>
      </c>
      <c r="I187" s="11"/>
      <c r="J187" s="11"/>
      <c r="K187" s="11"/>
      <c r="L187" s="11"/>
      <c r="M187" s="12"/>
      <c r="N187" s="11"/>
      <c r="O187" s="12"/>
      <c r="P187" s="13"/>
      <c r="Q187" s="11" t="s">
        <v>840</v>
      </c>
      <c r="R187" s="11" t="s">
        <v>326</v>
      </c>
      <c r="S187" s="11" t="s">
        <v>123</v>
      </c>
      <c r="T187" s="11">
        <v>1</v>
      </c>
      <c r="U187" s="11" t="s">
        <v>327</v>
      </c>
      <c r="V187" s="11" t="s">
        <v>1220</v>
      </c>
      <c r="W187" s="11" t="s">
        <v>1221</v>
      </c>
      <c r="X187" s="367">
        <v>45937.701388888891</v>
      </c>
      <c r="Y187" s="11"/>
      <c r="Z187" s="11">
        <v>0.4</v>
      </c>
      <c r="AA187" s="11"/>
      <c r="AB187" s="11" t="s">
        <v>330</v>
      </c>
      <c r="AC187" s="212" t="s">
        <v>341</v>
      </c>
      <c r="AD187" s="11" t="s">
        <v>332</v>
      </c>
      <c r="AE187" s="11"/>
      <c r="AF187" s="11"/>
      <c r="AG187" s="11"/>
      <c r="AH187" s="11"/>
      <c r="AI187" s="11"/>
      <c r="AJ187" s="11"/>
      <c r="AK187" s="11" t="s">
        <v>332</v>
      </c>
      <c r="AL187" s="213" t="e">
        <f t="shared" si="4"/>
        <v>#VALUE!</v>
      </c>
      <c r="AM187" s="211">
        <f t="shared" si="5"/>
        <v>45937</v>
      </c>
    </row>
    <row r="188" spans="1:39" ht="21.6" customHeight="1">
      <c r="A188" s="11">
        <v>32</v>
      </c>
      <c r="B188" s="11" t="s">
        <v>363</v>
      </c>
      <c r="C188" s="11">
        <v>2025101048</v>
      </c>
      <c r="D188" s="11" t="s">
        <v>1222</v>
      </c>
      <c r="E188" s="11" t="s">
        <v>475</v>
      </c>
      <c r="F188" s="11">
        <v>4680</v>
      </c>
      <c r="G188" s="11" t="s">
        <v>1223</v>
      </c>
      <c r="H188" s="11" t="s">
        <v>396</v>
      </c>
      <c r="I188" s="11" t="s">
        <v>1224</v>
      </c>
      <c r="J188" s="11" t="s">
        <v>383</v>
      </c>
      <c r="K188" s="11" t="s">
        <v>446</v>
      </c>
      <c r="L188" s="11" t="s">
        <v>1225</v>
      </c>
      <c r="M188" s="12" t="s">
        <v>1226</v>
      </c>
      <c r="N188" s="11" t="s">
        <v>1227</v>
      </c>
      <c r="O188" s="12" t="s">
        <v>425</v>
      </c>
      <c r="P188" s="13" t="s">
        <v>1228</v>
      </c>
      <c r="Q188" s="11" t="s">
        <v>1229</v>
      </c>
      <c r="R188" s="11" t="s">
        <v>326</v>
      </c>
      <c r="S188" s="11" t="s">
        <v>134</v>
      </c>
      <c r="T188" s="11">
        <v>1</v>
      </c>
      <c r="U188" s="11" t="s">
        <v>327</v>
      </c>
      <c r="V188" s="11" t="s">
        <v>1230</v>
      </c>
      <c r="W188" s="11" t="s">
        <v>1231</v>
      </c>
      <c r="X188" s="367">
        <v>45938.505555555559</v>
      </c>
      <c r="Y188" s="11" t="s">
        <v>1232</v>
      </c>
      <c r="Z188" s="11">
        <v>0.3</v>
      </c>
      <c r="AA188" s="11"/>
      <c r="AB188" s="11" t="s">
        <v>330</v>
      </c>
      <c r="AC188" s="212" t="s">
        <v>1233</v>
      </c>
      <c r="AD188" s="11"/>
      <c r="AE188" s="11"/>
      <c r="AF188" s="11"/>
      <c r="AG188" s="11"/>
      <c r="AH188" s="11"/>
      <c r="AI188" s="11"/>
      <c r="AJ188" s="11"/>
      <c r="AK188" s="11" t="s">
        <v>332</v>
      </c>
      <c r="AL188" s="213">
        <f t="shared" si="4"/>
        <v>45938</v>
      </c>
      <c r="AM188" s="211">
        <f t="shared" si="5"/>
        <v>45938</v>
      </c>
    </row>
    <row r="189" spans="1:39" ht="21.6" customHeight="1">
      <c r="A189" s="11">
        <v>33</v>
      </c>
      <c r="B189" s="11" t="s">
        <v>322</v>
      </c>
      <c r="C189" s="11">
        <v>2025101085</v>
      </c>
      <c r="D189" s="11"/>
      <c r="E189" s="11"/>
      <c r="F189" s="11">
        <v>4155</v>
      </c>
      <c r="G189" s="11" t="s">
        <v>1234</v>
      </c>
      <c r="H189" s="11" t="s">
        <v>358</v>
      </c>
      <c r="I189" s="11"/>
      <c r="J189" s="11"/>
      <c r="K189" s="11"/>
      <c r="L189" s="11"/>
      <c r="M189" s="12"/>
      <c r="N189" s="11"/>
      <c r="O189" s="12"/>
      <c r="P189" s="13"/>
      <c r="Q189" s="11" t="s">
        <v>1235</v>
      </c>
      <c r="R189" s="11" t="s">
        <v>326</v>
      </c>
      <c r="S189" s="11" t="s">
        <v>123</v>
      </c>
      <c r="T189" s="11">
        <v>1</v>
      </c>
      <c r="U189" s="11" t="s">
        <v>327</v>
      </c>
      <c r="V189" s="11" t="s">
        <v>1236</v>
      </c>
      <c r="W189" s="11" t="s">
        <v>1237</v>
      </c>
      <c r="X189" s="367">
        <v>45938.423611111109</v>
      </c>
      <c r="Y189" s="11"/>
      <c r="Z189" s="11">
        <v>0.5</v>
      </c>
      <c r="AA189" s="11"/>
      <c r="AB189" s="11" t="s">
        <v>330</v>
      </c>
      <c r="AC189" s="212" t="s">
        <v>341</v>
      </c>
      <c r="AD189" s="11" t="s">
        <v>332</v>
      </c>
      <c r="AE189" s="11"/>
      <c r="AF189" s="11"/>
      <c r="AG189" s="11"/>
      <c r="AH189" s="11"/>
      <c r="AI189" s="11"/>
      <c r="AJ189" s="11"/>
      <c r="AK189" s="11" t="s">
        <v>332</v>
      </c>
      <c r="AL189" s="213" t="e">
        <f t="shared" si="4"/>
        <v>#VALUE!</v>
      </c>
      <c r="AM189" s="211">
        <f t="shared" si="5"/>
        <v>45938</v>
      </c>
    </row>
    <row r="190" spans="1:39" ht="21.6" customHeight="1">
      <c r="A190" s="11">
        <v>34</v>
      </c>
      <c r="B190" s="11" t="s">
        <v>322</v>
      </c>
      <c r="C190" s="11">
        <v>2025101097</v>
      </c>
      <c r="D190" s="11"/>
      <c r="E190" s="11"/>
      <c r="F190" s="11">
        <v>4968</v>
      </c>
      <c r="G190" s="11" t="s">
        <v>849</v>
      </c>
      <c r="H190" s="11" t="s">
        <v>358</v>
      </c>
      <c r="I190" s="11"/>
      <c r="J190" s="11"/>
      <c r="K190" s="11"/>
      <c r="L190" s="11"/>
      <c r="M190" s="12"/>
      <c r="N190" s="11"/>
      <c r="O190" s="12"/>
      <c r="P190" s="13"/>
      <c r="Q190" s="11" t="s">
        <v>850</v>
      </c>
      <c r="R190" s="11" t="s">
        <v>326</v>
      </c>
      <c r="S190" s="11" t="s">
        <v>123</v>
      </c>
      <c r="T190" s="11">
        <v>1</v>
      </c>
      <c r="U190" s="11" t="s">
        <v>327</v>
      </c>
      <c r="V190" s="11" t="s">
        <v>1238</v>
      </c>
      <c r="W190" s="11" t="s">
        <v>1239</v>
      </c>
      <c r="X190" s="367">
        <v>45938.451388888891</v>
      </c>
      <c r="Y190" s="11"/>
      <c r="Z190" s="11">
        <v>0.3</v>
      </c>
      <c r="AA190" s="11"/>
      <c r="AB190" s="11" t="s">
        <v>330</v>
      </c>
      <c r="AC190" s="212" t="s">
        <v>341</v>
      </c>
      <c r="AD190" s="11" t="s">
        <v>332</v>
      </c>
      <c r="AE190" s="11"/>
      <c r="AF190" s="11"/>
      <c r="AG190" s="11"/>
      <c r="AH190" s="11"/>
      <c r="AI190" s="11"/>
      <c r="AJ190" s="11"/>
      <c r="AK190" s="11" t="s">
        <v>332</v>
      </c>
      <c r="AL190" s="213" t="e">
        <f t="shared" si="4"/>
        <v>#VALUE!</v>
      </c>
      <c r="AM190" s="211">
        <f t="shared" si="5"/>
        <v>45938</v>
      </c>
    </row>
    <row r="191" spans="1:39" ht="21.6" customHeight="1">
      <c r="A191" s="11">
        <v>35</v>
      </c>
      <c r="B191" s="11" t="s">
        <v>322</v>
      </c>
      <c r="C191" s="11">
        <v>2025101184</v>
      </c>
      <c r="D191" s="11"/>
      <c r="E191" s="11"/>
      <c r="F191" s="11">
        <v>4652</v>
      </c>
      <c r="G191" s="11" t="s">
        <v>845</v>
      </c>
      <c r="H191" s="11" t="s">
        <v>358</v>
      </c>
      <c r="I191" s="11"/>
      <c r="J191" s="11"/>
      <c r="K191" s="11"/>
      <c r="L191" s="11"/>
      <c r="M191" s="12"/>
      <c r="N191" s="11"/>
      <c r="O191" s="12"/>
      <c r="P191" s="13"/>
      <c r="Q191" s="11" t="s">
        <v>846</v>
      </c>
      <c r="R191" s="11" t="s">
        <v>326</v>
      </c>
      <c r="S191" s="11" t="s">
        <v>123</v>
      </c>
      <c r="T191" s="11">
        <v>1</v>
      </c>
      <c r="U191" s="11" t="s">
        <v>327</v>
      </c>
      <c r="V191" s="11" t="s">
        <v>1240</v>
      </c>
      <c r="W191" s="11" t="s">
        <v>1241</v>
      </c>
      <c r="X191" s="367">
        <v>45938.472222222219</v>
      </c>
      <c r="Y191" s="11"/>
      <c r="Z191" s="11">
        <v>0.3</v>
      </c>
      <c r="AA191" s="11"/>
      <c r="AB191" s="11" t="s">
        <v>330</v>
      </c>
      <c r="AC191" s="212" t="s">
        <v>341</v>
      </c>
      <c r="AD191" s="11" t="s">
        <v>332</v>
      </c>
      <c r="AE191" s="11"/>
      <c r="AF191" s="11"/>
      <c r="AG191" s="11"/>
      <c r="AH191" s="11"/>
      <c r="AI191" s="11"/>
      <c r="AJ191" s="11"/>
      <c r="AK191" s="11" t="s">
        <v>332</v>
      </c>
      <c r="AL191" s="213" t="e">
        <f t="shared" si="4"/>
        <v>#VALUE!</v>
      </c>
      <c r="AM191" s="211">
        <f t="shared" si="5"/>
        <v>45938</v>
      </c>
    </row>
    <row r="192" spans="1:39" ht="21.6" customHeight="1">
      <c r="A192" s="11">
        <v>36</v>
      </c>
      <c r="B192" s="11" t="s">
        <v>322</v>
      </c>
      <c r="C192" s="11">
        <v>2025101203</v>
      </c>
      <c r="D192" s="11"/>
      <c r="E192" s="11"/>
      <c r="F192" s="11">
        <v>4388</v>
      </c>
      <c r="G192" s="11" t="s">
        <v>1242</v>
      </c>
      <c r="H192" s="11" t="s">
        <v>358</v>
      </c>
      <c r="I192" s="11"/>
      <c r="J192" s="11"/>
      <c r="K192" s="11"/>
      <c r="L192" s="11"/>
      <c r="M192" s="12"/>
      <c r="N192" s="11"/>
      <c r="O192" s="12"/>
      <c r="P192" s="13"/>
      <c r="Q192" s="11" t="s">
        <v>1243</v>
      </c>
      <c r="R192" s="11" t="s">
        <v>326</v>
      </c>
      <c r="S192" s="11" t="s">
        <v>123</v>
      </c>
      <c r="T192" s="11">
        <v>1</v>
      </c>
      <c r="U192" s="11" t="s">
        <v>327</v>
      </c>
      <c r="V192" s="11" t="s">
        <v>1244</v>
      </c>
      <c r="W192" s="11" t="s">
        <v>1245</v>
      </c>
      <c r="X192" s="367">
        <v>45938.493750000001</v>
      </c>
      <c r="Y192" s="11"/>
      <c r="Z192" s="11">
        <v>0.4</v>
      </c>
      <c r="AA192" s="11"/>
      <c r="AB192" s="11" t="s">
        <v>330</v>
      </c>
      <c r="AC192" s="212" t="s">
        <v>341</v>
      </c>
      <c r="AD192" s="11" t="s">
        <v>332</v>
      </c>
      <c r="AE192" s="11"/>
      <c r="AF192" s="11"/>
      <c r="AG192" s="11"/>
      <c r="AH192" s="11"/>
      <c r="AI192" s="11"/>
      <c r="AJ192" s="11"/>
      <c r="AK192" s="11" t="s">
        <v>332</v>
      </c>
      <c r="AL192" s="213" t="e">
        <f t="shared" si="4"/>
        <v>#VALUE!</v>
      </c>
      <c r="AM192" s="211">
        <f t="shared" si="5"/>
        <v>45938</v>
      </c>
    </row>
    <row r="193" spans="1:39" ht="21.6" customHeight="1">
      <c r="A193" s="11">
        <v>37</v>
      </c>
      <c r="B193" s="11" t="s">
        <v>322</v>
      </c>
      <c r="C193" s="11">
        <v>2025101206</v>
      </c>
      <c r="D193" s="11"/>
      <c r="E193" s="11"/>
      <c r="F193" s="11">
        <v>4680</v>
      </c>
      <c r="G193" s="11" t="s">
        <v>1223</v>
      </c>
      <c r="H193" s="11" t="s">
        <v>396</v>
      </c>
      <c r="I193" s="11"/>
      <c r="J193" s="11"/>
      <c r="K193" s="11"/>
      <c r="L193" s="11"/>
      <c r="M193" s="12"/>
      <c r="N193" s="11"/>
      <c r="O193" s="12"/>
      <c r="P193" s="13"/>
      <c r="Q193" s="11" t="s">
        <v>1229</v>
      </c>
      <c r="R193" s="11" t="s">
        <v>326</v>
      </c>
      <c r="S193" s="11" t="s">
        <v>134</v>
      </c>
      <c r="T193" s="11">
        <v>1</v>
      </c>
      <c r="U193" s="11" t="s">
        <v>327</v>
      </c>
      <c r="V193" s="11" t="s">
        <v>1246</v>
      </c>
      <c r="W193" s="11" t="s">
        <v>1247</v>
      </c>
      <c r="X193" s="367">
        <v>45938.510416666657</v>
      </c>
      <c r="Y193" s="11"/>
      <c r="Z193" s="11">
        <v>0.6</v>
      </c>
      <c r="AA193" s="11"/>
      <c r="AB193" s="11" t="s">
        <v>330</v>
      </c>
      <c r="AC193" s="212" t="s">
        <v>341</v>
      </c>
      <c r="AD193" s="11" t="s">
        <v>332</v>
      </c>
      <c r="AE193" s="11"/>
      <c r="AF193" s="11"/>
      <c r="AG193" s="11"/>
      <c r="AH193" s="11"/>
      <c r="AI193" s="11"/>
      <c r="AJ193" s="11"/>
      <c r="AK193" s="11"/>
      <c r="AL193" s="213" t="e">
        <f t="shared" si="4"/>
        <v>#VALUE!</v>
      </c>
      <c r="AM193" s="211">
        <f t="shared" si="5"/>
        <v>45938</v>
      </c>
    </row>
    <row r="194" spans="1:39" ht="21.6" customHeight="1">
      <c r="A194" s="11">
        <v>38</v>
      </c>
      <c r="B194" s="11" t="s">
        <v>322</v>
      </c>
      <c r="C194" s="11">
        <v>2025101238</v>
      </c>
      <c r="D194" s="11"/>
      <c r="E194" s="11"/>
      <c r="F194" s="11" t="s">
        <v>63</v>
      </c>
      <c r="G194" s="11" t="s">
        <v>195</v>
      </c>
      <c r="H194" s="11" t="s">
        <v>358</v>
      </c>
      <c r="I194" s="11"/>
      <c r="J194" s="11"/>
      <c r="K194" s="11"/>
      <c r="L194" s="11"/>
      <c r="M194" s="12"/>
      <c r="N194" s="11"/>
      <c r="O194" s="12"/>
      <c r="P194" s="13"/>
      <c r="Q194" s="11" t="s">
        <v>1248</v>
      </c>
      <c r="R194" s="11" t="s">
        <v>326</v>
      </c>
      <c r="S194" s="11" t="s">
        <v>123</v>
      </c>
      <c r="T194" s="11">
        <v>1</v>
      </c>
      <c r="U194" s="11" t="s">
        <v>327</v>
      </c>
      <c r="V194" s="11" t="s">
        <v>1249</v>
      </c>
      <c r="W194" s="11" t="s">
        <v>1250</v>
      </c>
      <c r="X194" s="367">
        <v>45938.625</v>
      </c>
      <c r="Y194" s="11"/>
      <c r="Z194" s="11">
        <v>0.5</v>
      </c>
      <c r="AA194" s="11"/>
      <c r="AB194" s="11" t="s">
        <v>330</v>
      </c>
      <c r="AC194" s="212" t="s">
        <v>701</v>
      </c>
      <c r="AD194" s="11"/>
      <c r="AE194" s="11" t="s">
        <v>332</v>
      </c>
      <c r="AF194" s="11"/>
      <c r="AG194" s="11"/>
      <c r="AH194" s="11"/>
      <c r="AI194" s="11"/>
      <c r="AJ194" s="11"/>
      <c r="AK194" s="11" t="s">
        <v>332</v>
      </c>
      <c r="AL194" s="213" t="e">
        <f t="shared" ref="AL194:AL257" si="6">DATEVALUE(TEXT(I194, "yyyy/mm/dd"))</f>
        <v>#VALUE!</v>
      </c>
      <c r="AM194" s="211">
        <f t="shared" ref="AM194:AM257" si="7">DATEVALUE(TEXT(X194, "yyyy/mm/dd"))</f>
        <v>45938</v>
      </c>
    </row>
    <row r="195" spans="1:39" ht="21.6" customHeight="1">
      <c r="A195" s="11">
        <v>39</v>
      </c>
      <c r="B195" s="11" t="s">
        <v>363</v>
      </c>
      <c r="C195" s="11">
        <v>2025101400</v>
      </c>
      <c r="D195" s="11" t="s">
        <v>1251</v>
      </c>
      <c r="E195" s="11" t="s">
        <v>365</v>
      </c>
      <c r="F195" s="11" t="s">
        <v>1252</v>
      </c>
      <c r="G195" s="11" t="s">
        <v>1253</v>
      </c>
      <c r="H195" s="11" t="s">
        <v>763</v>
      </c>
      <c r="I195" s="11" t="s">
        <v>1254</v>
      </c>
      <c r="J195" s="11" t="s">
        <v>424</v>
      </c>
      <c r="K195" s="11" t="s">
        <v>446</v>
      </c>
      <c r="L195" s="11" t="s">
        <v>864</v>
      </c>
      <c r="M195" s="12" t="s">
        <v>865</v>
      </c>
      <c r="N195" s="11">
        <v>2702</v>
      </c>
      <c r="O195" s="12" t="s">
        <v>1255</v>
      </c>
      <c r="P195" s="13" t="s">
        <v>1256</v>
      </c>
      <c r="Q195" s="11" t="s">
        <v>1257</v>
      </c>
      <c r="R195" s="11" t="s">
        <v>326</v>
      </c>
      <c r="S195" s="11" t="s">
        <v>118</v>
      </c>
      <c r="T195" s="11">
        <v>1</v>
      </c>
      <c r="U195" s="11" t="s">
        <v>327</v>
      </c>
      <c r="V195" s="11" t="s">
        <v>1258</v>
      </c>
      <c r="W195" s="11" t="s">
        <v>1259</v>
      </c>
      <c r="X195" s="367">
        <v>45943.451388888891</v>
      </c>
      <c r="Y195" s="11" t="s">
        <v>1260</v>
      </c>
      <c r="Z195" s="11">
        <v>0.1</v>
      </c>
      <c r="AA195" s="11"/>
      <c r="AB195" s="11" t="s">
        <v>330</v>
      </c>
      <c r="AC195" s="212" t="s">
        <v>1261</v>
      </c>
      <c r="AD195" s="11"/>
      <c r="AE195" s="11"/>
      <c r="AF195" s="11"/>
      <c r="AG195" s="11"/>
      <c r="AH195" s="11"/>
      <c r="AI195" s="11"/>
      <c r="AJ195" s="11"/>
      <c r="AK195" s="11" t="s">
        <v>332</v>
      </c>
      <c r="AL195" s="213">
        <f t="shared" si="6"/>
        <v>45939</v>
      </c>
      <c r="AM195" s="211">
        <f t="shared" si="7"/>
        <v>45943</v>
      </c>
    </row>
    <row r="196" spans="1:39" ht="21.6" customHeight="1">
      <c r="A196" s="11">
        <v>43</v>
      </c>
      <c r="B196" s="11" t="s">
        <v>363</v>
      </c>
      <c r="C196" s="11">
        <v>2025101401</v>
      </c>
      <c r="D196" s="11" t="s">
        <v>1262</v>
      </c>
      <c r="E196" s="11" t="s">
        <v>365</v>
      </c>
      <c r="F196" s="11">
        <v>3770</v>
      </c>
      <c r="G196" s="11" t="s">
        <v>1263</v>
      </c>
      <c r="H196" s="11" t="s">
        <v>763</v>
      </c>
      <c r="I196" s="11" t="s">
        <v>1264</v>
      </c>
      <c r="J196" s="11" t="s">
        <v>424</v>
      </c>
      <c r="K196" s="11" t="s">
        <v>446</v>
      </c>
      <c r="L196" s="11" t="s">
        <v>369</v>
      </c>
      <c r="M196" s="12" t="s">
        <v>370</v>
      </c>
      <c r="N196" s="11">
        <v>2307</v>
      </c>
      <c r="O196" s="12" t="s">
        <v>385</v>
      </c>
      <c r="P196" s="13" t="s">
        <v>1265</v>
      </c>
      <c r="Q196" s="11" t="s">
        <v>1266</v>
      </c>
      <c r="R196" s="11" t="s">
        <v>326</v>
      </c>
      <c r="S196" s="11" t="s">
        <v>118</v>
      </c>
      <c r="T196" s="11">
        <v>1</v>
      </c>
      <c r="U196" s="11" t="s">
        <v>327</v>
      </c>
      <c r="V196" s="11" t="s">
        <v>1267</v>
      </c>
      <c r="W196" s="11" t="s">
        <v>1268</v>
      </c>
      <c r="X196" s="367">
        <v>45943.4375</v>
      </c>
      <c r="Y196" s="11" t="s">
        <v>1269</v>
      </c>
      <c r="Z196" s="11">
        <v>0.5</v>
      </c>
      <c r="AA196" s="11"/>
      <c r="AB196" s="11" t="s">
        <v>330</v>
      </c>
      <c r="AC196" s="212" t="s">
        <v>1270</v>
      </c>
      <c r="AD196" s="11"/>
      <c r="AE196" s="11"/>
      <c r="AF196" s="11"/>
      <c r="AG196" s="11"/>
      <c r="AH196" s="11"/>
      <c r="AI196" s="11"/>
      <c r="AJ196" s="11"/>
      <c r="AK196" s="11" t="s">
        <v>332</v>
      </c>
      <c r="AL196" s="213">
        <f t="shared" si="6"/>
        <v>45939</v>
      </c>
      <c r="AM196" s="211">
        <f t="shared" si="7"/>
        <v>45943</v>
      </c>
    </row>
    <row r="197" spans="1:39" ht="21.6" customHeight="1">
      <c r="A197" s="11">
        <v>44</v>
      </c>
      <c r="B197" s="11" t="s">
        <v>363</v>
      </c>
      <c r="C197" s="11">
        <v>2025101530</v>
      </c>
      <c r="D197" s="11" t="s">
        <v>1271</v>
      </c>
      <c r="E197" s="11" t="s">
        <v>365</v>
      </c>
      <c r="F197" s="11">
        <v>3983</v>
      </c>
      <c r="G197" s="11" t="s">
        <v>674</v>
      </c>
      <c r="H197" s="11" t="s">
        <v>358</v>
      </c>
      <c r="I197" s="11" t="s">
        <v>1272</v>
      </c>
      <c r="J197" s="11" t="s">
        <v>445</v>
      </c>
      <c r="K197" s="11" t="s">
        <v>446</v>
      </c>
      <c r="L197" s="11" t="s">
        <v>1120</v>
      </c>
      <c r="M197" s="12" t="s">
        <v>1121</v>
      </c>
      <c r="N197" s="11">
        <v>5903</v>
      </c>
      <c r="O197" s="12" t="s">
        <v>401</v>
      </c>
      <c r="P197" s="13" t="s">
        <v>1273</v>
      </c>
      <c r="Q197" s="11" t="s">
        <v>675</v>
      </c>
      <c r="R197" s="11" t="s">
        <v>326</v>
      </c>
      <c r="S197" s="11" t="s">
        <v>123</v>
      </c>
      <c r="T197" s="11">
        <v>1</v>
      </c>
      <c r="U197" s="11" t="s">
        <v>327</v>
      </c>
      <c r="V197" s="11" t="s">
        <v>1274</v>
      </c>
      <c r="W197" s="11" t="s">
        <v>1275</v>
      </c>
      <c r="X197" s="367">
        <v>45943.572916666657</v>
      </c>
      <c r="Y197" s="11" t="s">
        <v>1276</v>
      </c>
      <c r="Z197" s="11">
        <v>0.8</v>
      </c>
      <c r="AA197" s="11"/>
      <c r="AB197" s="11" t="s">
        <v>330</v>
      </c>
      <c r="AC197" s="212" t="s">
        <v>1277</v>
      </c>
      <c r="AD197" s="11"/>
      <c r="AE197" s="11"/>
      <c r="AF197" s="11"/>
      <c r="AG197" s="11"/>
      <c r="AH197" s="11"/>
      <c r="AI197" s="11"/>
      <c r="AJ197" s="11"/>
      <c r="AK197" s="11" t="s">
        <v>332</v>
      </c>
      <c r="AL197" s="213">
        <f t="shared" si="6"/>
        <v>45940</v>
      </c>
      <c r="AM197" s="211">
        <f t="shared" si="7"/>
        <v>45943</v>
      </c>
    </row>
    <row r="198" spans="1:39" ht="21.6" customHeight="1">
      <c r="A198" s="11">
        <v>45</v>
      </c>
      <c r="B198" s="11" t="s">
        <v>363</v>
      </c>
      <c r="C198" s="11">
        <v>2025101537</v>
      </c>
      <c r="D198" s="11" t="s">
        <v>1278</v>
      </c>
      <c r="E198" s="11" t="s">
        <v>365</v>
      </c>
      <c r="F198" s="11">
        <v>3811</v>
      </c>
      <c r="G198" s="11" t="s">
        <v>431</v>
      </c>
      <c r="H198" s="11" t="s">
        <v>358</v>
      </c>
      <c r="I198" s="11" t="s">
        <v>1279</v>
      </c>
      <c r="J198" s="11" t="s">
        <v>458</v>
      </c>
      <c r="K198" s="11" t="s">
        <v>200</v>
      </c>
      <c r="L198" s="11" t="s">
        <v>1280</v>
      </c>
      <c r="M198" s="12" t="s">
        <v>1281</v>
      </c>
      <c r="N198" s="11">
        <v>6004</v>
      </c>
      <c r="O198" s="12" t="s">
        <v>425</v>
      </c>
      <c r="P198" s="13" t="s">
        <v>1282</v>
      </c>
      <c r="Q198" s="11" t="s">
        <v>432</v>
      </c>
      <c r="R198" s="11" t="s">
        <v>326</v>
      </c>
      <c r="S198" s="11" t="s">
        <v>123</v>
      </c>
      <c r="T198" s="11">
        <v>1</v>
      </c>
      <c r="U198" s="11" t="s">
        <v>327</v>
      </c>
      <c r="V198" s="11" t="s">
        <v>1283</v>
      </c>
      <c r="W198" s="11" t="s">
        <v>1284</v>
      </c>
      <c r="X198" s="367">
        <v>45943.506249999999</v>
      </c>
      <c r="Y198" s="11" t="s">
        <v>1276</v>
      </c>
      <c r="Z198" s="11">
        <v>0.5</v>
      </c>
      <c r="AA198" s="11"/>
      <c r="AB198" s="11" t="s">
        <v>1048</v>
      </c>
      <c r="AC198" s="212" t="s">
        <v>455</v>
      </c>
      <c r="AD198" s="11"/>
      <c r="AE198" s="11"/>
      <c r="AF198" s="11"/>
      <c r="AG198" s="11"/>
      <c r="AH198" s="11"/>
      <c r="AI198" s="11"/>
      <c r="AJ198" s="11"/>
      <c r="AK198" s="11" t="s">
        <v>332</v>
      </c>
      <c r="AL198" s="213">
        <f t="shared" si="6"/>
        <v>45941</v>
      </c>
      <c r="AM198" s="211">
        <f t="shared" si="7"/>
        <v>45943</v>
      </c>
    </row>
    <row r="199" spans="1:39" ht="21.6" customHeight="1">
      <c r="A199" s="11">
        <v>46</v>
      </c>
      <c r="B199" s="11" t="s">
        <v>363</v>
      </c>
      <c r="C199" s="11">
        <v>2025101550</v>
      </c>
      <c r="D199" s="11" t="s">
        <v>1285</v>
      </c>
      <c r="E199" s="11" t="s">
        <v>365</v>
      </c>
      <c r="F199" s="11">
        <v>3785</v>
      </c>
      <c r="G199" s="11" t="s">
        <v>489</v>
      </c>
      <c r="H199" s="11" t="s">
        <v>490</v>
      </c>
      <c r="I199" s="11" t="s">
        <v>1286</v>
      </c>
      <c r="J199" s="11" t="s">
        <v>483</v>
      </c>
      <c r="K199" s="11" t="s">
        <v>200</v>
      </c>
      <c r="L199" s="11" t="s">
        <v>398</v>
      </c>
      <c r="M199" s="12" t="s">
        <v>399</v>
      </c>
      <c r="N199" s="11" t="s">
        <v>1176</v>
      </c>
      <c r="O199" s="12" t="s">
        <v>1177</v>
      </c>
      <c r="P199" s="13" t="s">
        <v>1287</v>
      </c>
      <c r="Q199" s="11" t="s">
        <v>497</v>
      </c>
      <c r="R199" s="11" t="s">
        <v>326</v>
      </c>
      <c r="S199" s="11" t="s">
        <v>118</v>
      </c>
      <c r="T199" s="11">
        <v>1</v>
      </c>
      <c r="U199" s="11" t="s">
        <v>327</v>
      </c>
      <c r="V199" s="11" t="s">
        <v>1288</v>
      </c>
      <c r="W199" s="11" t="s">
        <v>1289</v>
      </c>
      <c r="X199" s="367">
        <v>45943.583333333343</v>
      </c>
      <c r="Y199" s="11" t="s">
        <v>1276</v>
      </c>
      <c r="Z199" s="11">
        <v>0.5</v>
      </c>
      <c r="AA199" s="11"/>
      <c r="AB199" s="11" t="s">
        <v>330</v>
      </c>
      <c r="AC199" s="212" t="s">
        <v>1290</v>
      </c>
      <c r="AD199" s="11"/>
      <c r="AE199" s="11"/>
      <c r="AF199" s="11"/>
      <c r="AG199" s="11"/>
      <c r="AH199" s="11"/>
      <c r="AI199" s="11"/>
      <c r="AJ199" s="11"/>
      <c r="AK199" s="11" t="s">
        <v>332</v>
      </c>
      <c r="AL199" s="213">
        <f t="shared" si="6"/>
        <v>45942</v>
      </c>
      <c r="AM199" s="211">
        <f t="shared" si="7"/>
        <v>45943</v>
      </c>
    </row>
    <row r="200" spans="1:39" ht="21.6" customHeight="1">
      <c r="A200" s="11">
        <v>47</v>
      </c>
      <c r="B200" s="11" t="s">
        <v>363</v>
      </c>
      <c r="C200" s="11">
        <v>2025101551</v>
      </c>
      <c r="D200" s="11" t="s">
        <v>1291</v>
      </c>
      <c r="E200" s="11" t="s">
        <v>365</v>
      </c>
      <c r="F200" s="11">
        <v>3785</v>
      </c>
      <c r="G200" s="11" t="s">
        <v>489</v>
      </c>
      <c r="H200" s="11" t="s">
        <v>490</v>
      </c>
      <c r="I200" s="11" t="s">
        <v>1292</v>
      </c>
      <c r="J200" s="11" t="s">
        <v>483</v>
      </c>
      <c r="K200" s="11" t="s">
        <v>200</v>
      </c>
      <c r="L200" s="11" t="s">
        <v>398</v>
      </c>
      <c r="M200" s="12" t="s">
        <v>399</v>
      </c>
      <c r="N200" s="11" t="s">
        <v>400</v>
      </c>
      <c r="O200" s="12" t="s">
        <v>401</v>
      </c>
      <c r="P200" s="13" t="s">
        <v>1293</v>
      </c>
      <c r="Q200" s="11" t="s">
        <v>497</v>
      </c>
      <c r="R200" s="11" t="s">
        <v>326</v>
      </c>
      <c r="S200" s="11" t="s">
        <v>118</v>
      </c>
      <c r="T200" s="11">
        <v>1</v>
      </c>
      <c r="U200" s="11" t="s">
        <v>327</v>
      </c>
      <c r="V200" s="11" t="s">
        <v>1294</v>
      </c>
      <c r="W200" s="11" t="s">
        <v>1275</v>
      </c>
      <c r="X200" s="367">
        <v>45943.5625</v>
      </c>
      <c r="Y200" s="11" t="s">
        <v>1276</v>
      </c>
      <c r="Z200" s="11">
        <v>0.5</v>
      </c>
      <c r="AA200" s="11"/>
      <c r="AB200" s="11" t="s">
        <v>330</v>
      </c>
      <c r="AC200" s="212" t="s">
        <v>1134</v>
      </c>
      <c r="AD200" s="11"/>
      <c r="AE200" s="11"/>
      <c r="AF200" s="11"/>
      <c r="AG200" s="11"/>
      <c r="AH200" s="11"/>
      <c r="AI200" s="11"/>
      <c r="AJ200" s="11"/>
      <c r="AK200" s="11" t="s">
        <v>332</v>
      </c>
      <c r="AL200" s="213">
        <f t="shared" si="6"/>
        <v>45942</v>
      </c>
      <c r="AM200" s="211">
        <f t="shared" si="7"/>
        <v>45943</v>
      </c>
    </row>
    <row r="201" spans="1:39" ht="21.6" customHeight="1">
      <c r="A201" s="11">
        <v>48</v>
      </c>
      <c r="B201" s="11" t="s">
        <v>363</v>
      </c>
      <c r="C201" s="11">
        <v>2025101574</v>
      </c>
      <c r="D201" s="11" t="s">
        <v>1295</v>
      </c>
      <c r="E201" s="11" t="s">
        <v>365</v>
      </c>
      <c r="F201" s="11" t="s">
        <v>59</v>
      </c>
      <c r="G201" s="11" t="s">
        <v>1296</v>
      </c>
      <c r="H201" s="11" t="s">
        <v>358</v>
      </c>
      <c r="I201" s="11" t="s">
        <v>1297</v>
      </c>
      <c r="J201" s="11" t="s">
        <v>492</v>
      </c>
      <c r="K201" s="11" t="s">
        <v>446</v>
      </c>
      <c r="L201" s="11" t="s">
        <v>369</v>
      </c>
      <c r="M201" s="12" t="s">
        <v>370</v>
      </c>
      <c r="N201" s="11">
        <v>2307</v>
      </c>
      <c r="O201" s="12" t="s">
        <v>385</v>
      </c>
      <c r="P201" s="13" t="s">
        <v>1298</v>
      </c>
      <c r="Q201" s="11" t="s">
        <v>1299</v>
      </c>
      <c r="R201" s="11" t="s">
        <v>326</v>
      </c>
      <c r="S201" s="11" t="s">
        <v>123</v>
      </c>
      <c r="T201" s="11">
        <v>1</v>
      </c>
      <c r="U201" s="11" t="s">
        <v>327</v>
      </c>
      <c r="V201" s="11" t="s">
        <v>1300</v>
      </c>
      <c r="W201" s="11" t="s">
        <v>1301</v>
      </c>
      <c r="X201" s="367">
        <v>45943.454861111109</v>
      </c>
      <c r="Y201" s="11" t="s">
        <v>1302</v>
      </c>
      <c r="Z201" s="11">
        <v>1.4</v>
      </c>
      <c r="AA201" s="11"/>
      <c r="AB201" s="11" t="s">
        <v>330</v>
      </c>
      <c r="AC201" s="212" t="s">
        <v>1303</v>
      </c>
      <c r="AD201" s="11"/>
      <c r="AE201" s="11"/>
      <c r="AF201" s="11"/>
      <c r="AG201" s="11"/>
      <c r="AH201" s="11"/>
      <c r="AI201" s="11"/>
      <c r="AJ201" s="11"/>
      <c r="AK201" s="11" t="s">
        <v>332</v>
      </c>
      <c r="AL201" s="213">
        <f t="shared" si="6"/>
        <v>45943</v>
      </c>
      <c r="AM201" s="211">
        <f t="shared" si="7"/>
        <v>45943</v>
      </c>
    </row>
    <row r="202" spans="1:39" ht="21.6" customHeight="1">
      <c r="A202" s="11">
        <v>49</v>
      </c>
      <c r="B202" s="11" t="s">
        <v>322</v>
      </c>
      <c r="C202" s="11">
        <v>2025101583</v>
      </c>
      <c r="D202" s="11"/>
      <c r="E202" s="11"/>
      <c r="F202" s="11">
        <v>2325</v>
      </c>
      <c r="G202" s="11" t="s">
        <v>1304</v>
      </c>
      <c r="H202" s="11" t="s">
        <v>763</v>
      </c>
      <c r="I202" s="11"/>
      <c r="J202" s="11"/>
      <c r="K202" s="11"/>
      <c r="L202" s="11"/>
      <c r="M202" s="12"/>
      <c r="N202" s="11"/>
      <c r="O202" s="12"/>
      <c r="P202" s="13"/>
      <c r="Q202" s="11" t="s">
        <v>1305</v>
      </c>
      <c r="R202" s="11" t="s">
        <v>326</v>
      </c>
      <c r="S202" s="11" t="s">
        <v>118</v>
      </c>
      <c r="T202" s="11">
        <v>1</v>
      </c>
      <c r="U202" s="11" t="s">
        <v>327</v>
      </c>
      <c r="V202" s="11" t="s">
        <v>1306</v>
      </c>
      <c r="W202" s="11" t="s">
        <v>1301</v>
      </c>
      <c r="X202" s="367">
        <v>45943.416666666657</v>
      </c>
      <c r="Y202" s="11"/>
      <c r="Z202" s="11">
        <v>0.5</v>
      </c>
      <c r="AA202" s="11"/>
      <c r="AB202" s="11" t="s">
        <v>330</v>
      </c>
      <c r="AC202" s="212" t="s">
        <v>341</v>
      </c>
      <c r="AD202" s="11" t="s">
        <v>332</v>
      </c>
      <c r="AE202" s="11"/>
      <c r="AF202" s="11"/>
      <c r="AG202" s="11"/>
      <c r="AH202" s="11"/>
      <c r="AI202" s="11"/>
      <c r="AJ202" s="11"/>
      <c r="AK202" s="11" t="s">
        <v>332</v>
      </c>
      <c r="AL202" s="213" t="e">
        <f t="shared" si="6"/>
        <v>#VALUE!</v>
      </c>
      <c r="AM202" s="211">
        <f t="shared" si="7"/>
        <v>45943</v>
      </c>
    </row>
    <row r="203" spans="1:39" ht="21.6" customHeight="1">
      <c r="A203" s="11">
        <v>50</v>
      </c>
      <c r="B203" s="11" t="s">
        <v>322</v>
      </c>
      <c r="C203" s="11">
        <v>2025101597</v>
      </c>
      <c r="D203" s="11"/>
      <c r="E203" s="11"/>
      <c r="F203" s="11">
        <v>3770</v>
      </c>
      <c r="G203" s="11" t="s">
        <v>1263</v>
      </c>
      <c r="H203" s="11" t="s">
        <v>763</v>
      </c>
      <c r="I203" s="11"/>
      <c r="J203" s="11"/>
      <c r="K203" s="11"/>
      <c r="L203" s="11"/>
      <c r="M203" s="12"/>
      <c r="N203" s="11"/>
      <c r="O203" s="12"/>
      <c r="P203" s="13"/>
      <c r="Q203" s="11" t="s">
        <v>1266</v>
      </c>
      <c r="R203" s="11" t="s">
        <v>326</v>
      </c>
      <c r="S203" s="11" t="s">
        <v>118</v>
      </c>
      <c r="T203" s="11">
        <v>1</v>
      </c>
      <c r="U203" s="11" t="s">
        <v>327</v>
      </c>
      <c r="V203" s="11" t="s">
        <v>1307</v>
      </c>
      <c r="W203" s="11" t="s">
        <v>1308</v>
      </c>
      <c r="X203" s="367">
        <v>45943.447916666657</v>
      </c>
      <c r="Y203" s="11"/>
      <c r="Z203" s="11">
        <v>0.3</v>
      </c>
      <c r="AA203" s="11"/>
      <c r="AB203" s="11" t="s">
        <v>330</v>
      </c>
      <c r="AC203" s="212" t="s">
        <v>341</v>
      </c>
      <c r="AD203" s="11" t="s">
        <v>332</v>
      </c>
      <c r="AE203" s="11"/>
      <c r="AF203" s="11"/>
      <c r="AG203" s="11"/>
      <c r="AH203" s="11"/>
      <c r="AI203" s="11"/>
      <c r="AJ203" s="11"/>
      <c r="AK203" s="11" t="s">
        <v>332</v>
      </c>
      <c r="AL203" s="213" t="e">
        <f t="shared" si="6"/>
        <v>#VALUE!</v>
      </c>
      <c r="AM203" s="211">
        <f t="shared" si="7"/>
        <v>45943</v>
      </c>
    </row>
    <row r="204" spans="1:39" ht="21.6" customHeight="1">
      <c r="A204" s="11">
        <v>51</v>
      </c>
      <c r="B204" s="11" t="s">
        <v>322</v>
      </c>
      <c r="C204" s="11">
        <v>2025101599</v>
      </c>
      <c r="D204" s="11"/>
      <c r="E204" s="11"/>
      <c r="F204" s="11">
        <v>4801</v>
      </c>
      <c r="G204" s="11" t="s">
        <v>1309</v>
      </c>
      <c r="H204" s="11" t="s">
        <v>763</v>
      </c>
      <c r="I204" s="11"/>
      <c r="J204" s="11"/>
      <c r="K204" s="11"/>
      <c r="L204" s="11"/>
      <c r="M204" s="12"/>
      <c r="N204" s="11"/>
      <c r="O204" s="12"/>
      <c r="P204" s="13"/>
      <c r="Q204" s="11" t="s">
        <v>1310</v>
      </c>
      <c r="R204" s="11" t="s">
        <v>326</v>
      </c>
      <c r="S204" s="11" t="s">
        <v>118</v>
      </c>
      <c r="T204" s="11">
        <v>1</v>
      </c>
      <c r="U204" s="11" t="s">
        <v>327</v>
      </c>
      <c r="V204" s="11" t="s">
        <v>1311</v>
      </c>
      <c r="W204" s="11" t="s">
        <v>1259</v>
      </c>
      <c r="X204" s="367">
        <v>45943.458333333343</v>
      </c>
      <c r="Y204" s="11"/>
      <c r="Z204" s="11">
        <v>0.3</v>
      </c>
      <c r="AA204" s="11"/>
      <c r="AB204" s="11" t="s">
        <v>330</v>
      </c>
      <c r="AC204" s="212" t="s">
        <v>341</v>
      </c>
      <c r="AD204" s="11" t="s">
        <v>332</v>
      </c>
      <c r="AE204" s="11"/>
      <c r="AF204" s="11"/>
      <c r="AG204" s="11"/>
      <c r="AH204" s="11"/>
      <c r="AI204" s="11"/>
      <c r="AJ204" s="11"/>
      <c r="AK204" s="11" t="s">
        <v>332</v>
      </c>
      <c r="AL204" s="213" t="e">
        <f t="shared" si="6"/>
        <v>#VALUE!</v>
      </c>
      <c r="AM204" s="211">
        <f t="shared" si="7"/>
        <v>45943</v>
      </c>
    </row>
    <row r="205" spans="1:39" ht="21.6" customHeight="1">
      <c r="A205" s="11">
        <v>52</v>
      </c>
      <c r="B205" s="11" t="s">
        <v>322</v>
      </c>
      <c r="C205" s="11">
        <v>2025101600</v>
      </c>
      <c r="D205" s="11"/>
      <c r="E205" s="11"/>
      <c r="F205" s="11">
        <v>4819</v>
      </c>
      <c r="G205" s="11" t="s">
        <v>1312</v>
      </c>
      <c r="H205" s="11" t="s">
        <v>763</v>
      </c>
      <c r="I205" s="11"/>
      <c r="J205" s="11"/>
      <c r="K205" s="11"/>
      <c r="L205" s="11"/>
      <c r="M205" s="12"/>
      <c r="N205" s="11"/>
      <c r="O205" s="12"/>
      <c r="P205" s="13"/>
      <c r="Q205" s="11" t="s">
        <v>1313</v>
      </c>
      <c r="R205" s="11" t="s">
        <v>326</v>
      </c>
      <c r="S205" s="11" t="s">
        <v>118</v>
      </c>
      <c r="T205" s="11">
        <v>1</v>
      </c>
      <c r="U205" s="11" t="s">
        <v>327</v>
      </c>
      <c r="V205" s="11" t="s">
        <v>1314</v>
      </c>
      <c r="W205" s="11" t="s">
        <v>1315</v>
      </c>
      <c r="X205" s="367">
        <v>45943.46875</v>
      </c>
      <c r="Y205" s="11"/>
      <c r="Z205" s="11">
        <v>0.3</v>
      </c>
      <c r="AA205" s="11"/>
      <c r="AB205" s="11" t="s">
        <v>330</v>
      </c>
      <c r="AC205" s="212" t="s">
        <v>341</v>
      </c>
      <c r="AD205" s="11" t="s">
        <v>332</v>
      </c>
      <c r="AE205" s="11"/>
      <c r="AF205" s="11"/>
      <c r="AG205" s="11"/>
      <c r="AH205" s="11"/>
      <c r="AI205" s="11"/>
      <c r="AJ205" s="11"/>
      <c r="AK205" s="11" t="s">
        <v>332</v>
      </c>
      <c r="AL205" s="213" t="e">
        <f t="shared" si="6"/>
        <v>#VALUE!</v>
      </c>
      <c r="AM205" s="211">
        <f t="shared" si="7"/>
        <v>45943</v>
      </c>
    </row>
    <row r="206" spans="1:39" ht="21.6" customHeight="1">
      <c r="A206" s="11">
        <v>53</v>
      </c>
      <c r="B206" s="11" t="s">
        <v>322</v>
      </c>
      <c r="C206" s="11">
        <v>2025101607</v>
      </c>
      <c r="D206" s="11"/>
      <c r="E206" s="11"/>
      <c r="F206" s="11" t="s">
        <v>59</v>
      </c>
      <c r="G206" s="11" t="s">
        <v>1296</v>
      </c>
      <c r="H206" s="11" t="s">
        <v>358</v>
      </c>
      <c r="I206" s="11"/>
      <c r="J206" s="11"/>
      <c r="K206" s="11"/>
      <c r="L206" s="11"/>
      <c r="M206" s="12"/>
      <c r="N206" s="11"/>
      <c r="O206" s="12"/>
      <c r="P206" s="13"/>
      <c r="Q206" s="11" t="s">
        <v>1299</v>
      </c>
      <c r="R206" s="11" t="s">
        <v>326</v>
      </c>
      <c r="S206" s="11" t="s">
        <v>123</v>
      </c>
      <c r="T206" s="11">
        <v>1</v>
      </c>
      <c r="U206" s="11" t="s">
        <v>327</v>
      </c>
      <c r="V206" s="11" t="s">
        <v>1316</v>
      </c>
      <c r="W206" s="11" t="s">
        <v>1315</v>
      </c>
      <c r="X206" s="367">
        <v>45943.472222222219</v>
      </c>
      <c r="Y206" s="11"/>
      <c r="Z206" s="11">
        <v>0.3</v>
      </c>
      <c r="AA206" s="11"/>
      <c r="AB206" s="11" t="s">
        <v>330</v>
      </c>
      <c r="AC206" s="212" t="s">
        <v>341</v>
      </c>
      <c r="AD206" s="11" t="s">
        <v>332</v>
      </c>
      <c r="AE206" s="11"/>
      <c r="AF206" s="11"/>
      <c r="AG206" s="11"/>
      <c r="AH206" s="11"/>
      <c r="AI206" s="11"/>
      <c r="AJ206" s="11"/>
      <c r="AK206" s="11" t="s">
        <v>332</v>
      </c>
      <c r="AL206" s="213" t="e">
        <f t="shared" si="6"/>
        <v>#VALUE!</v>
      </c>
      <c r="AM206" s="211">
        <f t="shared" si="7"/>
        <v>45943</v>
      </c>
    </row>
    <row r="207" spans="1:39" ht="21.6" customHeight="1">
      <c r="A207" s="11">
        <v>54</v>
      </c>
      <c r="B207" s="11" t="s">
        <v>322</v>
      </c>
      <c r="C207" s="11">
        <v>2025101622</v>
      </c>
      <c r="D207" s="11"/>
      <c r="E207" s="11"/>
      <c r="F207" s="11">
        <v>3785</v>
      </c>
      <c r="G207" s="11" t="s">
        <v>489</v>
      </c>
      <c r="H207" s="11" t="s">
        <v>490</v>
      </c>
      <c r="I207" s="11"/>
      <c r="J207" s="11"/>
      <c r="K207" s="11"/>
      <c r="L207" s="11"/>
      <c r="M207" s="12"/>
      <c r="N207" s="11"/>
      <c r="O207" s="12"/>
      <c r="P207" s="13"/>
      <c r="Q207" s="11" t="s">
        <v>497</v>
      </c>
      <c r="R207" s="11" t="s">
        <v>326</v>
      </c>
      <c r="S207" s="11" t="s">
        <v>118</v>
      </c>
      <c r="T207" s="11">
        <v>1</v>
      </c>
      <c r="U207" s="11" t="s">
        <v>327</v>
      </c>
      <c r="V207" s="11" t="s">
        <v>1317</v>
      </c>
      <c r="W207" s="11" t="s">
        <v>1318</v>
      </c>
      <c r="X207" s="367">
        <v>45943.59375</v>
      </c>
      <c r="Y207" s="11"/>
      <c r="Z207" s="11">
        <v>0.3</v>
      </c>
      <c r="AA207" s="11"/>
      <c r="AB207" s="11" t="s">
        <v>330</v>
      </c>
      <c r="AC207" s="212" t="s">
        <v>341</v>
      </c>
      <c r="AD207" s="11" t="s">
        <v>332</v>
      </c>
      <c r="AE207" s="11"/>
      <c r="AF207" s="11"/>
      <c r="AG207" s="11"/>
      <c r="AH207" s="11"/>
      <c r="AI207" s="11"/>
      <c r="AJ207" s="11"/>
      <c r="AK207" s="11" t="s">
        <v>332</v>
      </c>
      <c r="AL207" s="213" t="e">
        <f t="shared" si="6"/>
        <v>#VALUE!</v>
      </c>
      <c r="AM207" s="211">
        <f t="shared" si="7"/>
        <v>45943</v>
      </c>
    </row>
    <row r="208" spans="1:39" ht="21.6" customHeight="1">
      <c r="A208" s="11">
        <v>55</v>
      </c>
      <c r="B208" s="11" t="s">
        <v>322</v>
      </c>
      <c r="C208" s="11">
        <v>2025101624</v>
      </c>
      <c r="D208" s="11"/>
      <c r="E208" s="11"/>
      <c r="F208" s="11">
        <v>3983</v>
      </c>
      <c r="G208" s="11" t="s">
        <v>674</v>
      </c>
      <c r="H208" s="11" t="s">
        <v>358</v>
      </c>
      <c r="I208" s="11"/>
      <c r="J208" s="11"/>
      <c r="K208" s="11"/>
      <c r="L208" s="11"/>
      <c r="M208" s="12"/>
      <c r="N208" s="11"/>
      <c r="O208" s="12"/>
      <c r="P208" s="13"/>
      <c r="Q208" s="11" t="s">
        <v>675</v>
      </c>
      <c r="R208" s="11" t="s">
        <v>326</v>
      </c>
      <c r="S208" s="11" t="s">
        <v>123</v>
      </c>
      <c r="T208" s="11">
        <v>1</v>
      </c>
      <c r="U208" s="11" t="s">
        <v>327</v>
      </c>
      <c r="V208" s="11" t="s">
        <v>1319</v>
      </c>
      <c r="W208" s="11" t="s">
        <v>1320</v>
      </c>
      <c r="X208" s="367">
        <v>45943.59652777778</v>
      </c>
      <c r="Y208" s="11"/>
      <c r="Z208" s="11">
        <v>0.5</v>
      </c>
      <c r="AA208" s="11"/>
      <c r="AB208" s="11" t="s">
        <v>330</v>
      </c>
      <c r="AC208" s="212" t="s">
        <v>341</v>
      </c>
      <c r="AD208" s="11" t="s">
        <v>332</v>
      </c>
      <c r="AE208" s="11"/>
      <c r="AF208" s="11"/>
      <c r="AG208" s="11"/>
      <c r="AH208" s="11"/>
      <c r="AI208" s="11"/>
      <c r="AJ208" s="11"/>
      <c r="AK208" s="11" t="s">
        <v>332</v>
      </c>
      <c r="AL208" s="213" t="e">
        <f t="shared" si="6"/>
        <v>#VALUE!</v>
      </c>
      <c r="AM208" s="211">
        <f t="shared" si="7"/>
        <v>45943</v>
      </c>
    </row>
    <row r="209" spans="1:39" ht="21.6" customHeight="1">
      <c r="A209" s="11">
        <v>56</v>
      </c>
      <c r="B209" s="11" t="s">
        <v>363</v>
      </c>
      <c r="C209" s="11">
        <v>2025101696</v>
      </c>
      <c r="D209" s="11" t="s">
        <v>1321</v>
      </c>
      <c r="E209" s="11" t="s">
        <v>365</v>
      </c>
      <c r="F209" s="11">
        <v>2535</v>
      </c>
      <c r="G209" s="11" t="s">
        <v>973</v>
      </c>
      <c r="H209" s="11" t="s">
        <v>763</v>
      </c>
      <c r="I209" s="11" t="s">
        <v>1322</v>
      </c>
      <c r="J209" s="11" t="s">
        <v>368</v>
      </c>
      <c r="K209" s="11" t="s">
        <v>446</v>
      </c>
      <c r="L209" s="11" t="s">
        <v>1225</v>
      </c>
      <c r="M209" s="12" t="s">
        <v>1226</v>
      </c>
      <c r="N209" s="11" t="s">
        <v>1323</v>
      </c>
      <c r="O209" s="12" t="s">
        <v>1324</v>
      </c>
      <c r="P209" s="13" t="s">
        <v>1325</v>
      </c>
      <c r="Q209" s="11" t="s">
        <v>974</v>
      </c>
      <c r="R209" s="11" t="s">
        <v>326</v>
      </c>
      <c r="S209" s="11" t="s">
        <v>118</v>
      </c>
      <c r="T209" s="11">
        <v>1</v>
      </c>
      <c r="U209" s="11" t="s">
        <v>327</v>
      </c>
      <c r="V209" s="11" t="s">
        <v>1326</v>
      </c>
      <c r="W209" s="11" t="s">
        <v>1327</v>
      </c>
      <c r="X209" s="367">
        <v>45945.472222222219</v>
      </c>
      <c r="Y209" s="11" t="s">
        <v>1328</v>
      </c>
      <c r="Z209" s="11">
        <v>1.8</v>
      </c>
      <c r="AA209" s="11"/>
      <c r="AB209" s="11" t="s">
        <v>330</v>
      </c>
      <c r="AC209" s="212" t="s">
        <v>1329</v>
      </c>
      <c r="AD209" s="11"/>
      <c r="AE209" s="11"/>
      <c r="AF209" s="11"/>
      <c r="AG209" s="11"/>
      <c r="AH209" s="11"/>
      <c r="AI209" s="11"/>
      <c r="AJ209" s="11"/>
      <c r="AK209" s="11" t="s">
        <v>332</v>
      </c>
      <c r="AL209" s="213">
        <f t="shared" si="6"/>
        <v>45944</v>
      </c>
      <c r="AM209" s="211">
        <f t="shared" si="7"/>
        <v>45945</v>
      </c>
    </row>
    <row r="210" spans="1:39" ht="21.6" customHeight="1">
      <c r="A210" s="11">
        <v>57</v>
      </c>
      <c r="B210" s="11" t="s">
        <v>322</v>
      </c>
      <c r="C210" s="11">
        <v>2025101747</v>
      </c>
      <c r="D210" s="11"/>
      <c r="E210" s="11"/>
      <c r="F210" s="11">
        <v>3741</v>
      </c>
      <c r="G210" s="11" t="s">
        <v>670</v>
      </c>
      <c r="H210" s="11" t="s">
        <v>358</v>
      </c>
      <c r="I210" s="11"/>
      <c r="J210" s="11"/>
      <c r="K210" s="11"/>
      <c r="L210" s="11"/>
      <c r="M210" s="12"/>
      <c r="N210" s="11"/>
      <c r="O210" s="12"/>
      <c r="P210" s="13"/>
      <c r="Q210" s="11" t="s">
        <v>671</v>
      </c>
      <c r="R210" s="11" t="s">
        <v>326</v>
      </c>
      <c r="S210" s="11" t="s">
        <v>123</v>
      </c>
      <c r="T210" s="11">
        <v>1</v>
      </c>
      <c r="U210" s="11" t="s">
        <v>327</v>
      </c>
      <c r="V210" s="11" t="s">
        <v>1330</v>
      </c>
      <c r="W210" s="11" t="s">
        <v>1331</v>
      </c>
      <c r="X210" s="367">
        <v>45944.416666666657</v>
      </c>
      <c r="Y210" s="11"/>
      <c r="Z210" s="11">
        <v>0.5</v>
      </c>
      <c r="AA210" s="11"/>
      <c r="AB210" s="11" t="s">
        <v>330</v>
      </c>
      <c r="AC210" s="212" t="s">
        <v>341</v>
      </c>
      <c r="AD210" s="11" t="s">
        <v>332</v>
      </c>
      <c r="AE210" s="11"/>
      <c r="AF210" s="11"/>
      <c r="AG210" s="11"/>
      <c r="AH210" s="11"/>
      <c r="AI210" s="11"/>
      <c r="AJ210" s="11"/>
      <c r="AK210" s="11" t="s">
        <v>332</v>
      </c>
      <c r="AL210" s="213" t="e">
        <f t="shared" si="6"/>
        <v>#VALUE!</v>
      </c>
      <c r="AM210" s="211">
        <f t="shared" si="7"/>
        <v>45944</v>
      </c>
    </row>
    <row r="211" spans="1:39" ht="21.6" customHeight="1">
      <c r="A211" s="11">
        <v>58</v>
      </c>
      <c r="B211" s="11" t="s">
        <v>322</v>
      </c>
      <c r="C211" s="11">
        <v>2025101750</v>
      </c>
      <c r="D211" s="11"/>
      <c r="E211" s="11"/>
      <c r="F211" s="11">
        <v>2302</v>
      </c>
      <c r="G211" s="11" t="s">
        <v>666</v>
      </c>
      <c r="H211" s="11" t="s">
        <v>358</v>
      </c>
      <c r="I211" s="11"/>
      <c r="J211" s="11"/>
      <c r="K211" s="11"/>
      <c r="L211" s="11"/>
      <c r="M211" s="12"/>
      <c r="N211" s="11"/>
      <c r="O211" s="12"/>
      <c r="P211" s="13"/>
      <c r="Q211" s="11" t="s">
        <v>667</v>
      </c>
      <c r="R211" s="11" t="s">
        <v>326</v>
      </c>
      <c r="S211" s="11" t="s">
        <v>123</v>
      </c>
      <c r="T211" s="11">
        <v>1</v>
      </c>
      <c r="U211" s="11" t="s">
        <v>327</v>
      </c>
      <c r="V211" s="11" t="s">
        <v>1332</v>
      </c>
      <c r="W211" s="11" t="s">
        <v>1333</v>
      </c>
      <c r="X211" s="367">
        <v>45944.4375</v>
      </c>
      <c r="Y211" s="11"/>
      <c r="Z211" s="11">
        <v>0.3</v>
      </c>
      <c r="AA211" s="11"/>
      <c r="AB211" s="11" t="s">
        <v>330</v>
      </c>
      <c r="AC211" s="212" t="s">
        <v>341</v>
      </c>
      <c r="AD211" s="11" t="s">
        <v>332</v>
      </c>
      <c r="AE211" s="11"/>
      <c r="AF211" s="11"/>
      <c r="AG211" s="11"/>
      <c r="AH211" s="11"/>
      <c r="AI211" s="11"/>
      <c r="AJ211" s="11"/>
      <c r="AK211" s="11" t="s">
        <v>332</v>
      </c>
      <c r="AL211" s="213" t="e">
        <f t="shared" si="6"/>
        <v>#VALUE!</v>
      </c>
      <c r="AM211" s="211">
        <f t="shared" si="7"/>
        <v>45944</v>
      </c>
    </row>
    <row r="212" spans="1:39" ht="21.6" customHeight="1">
      <c r="A212" s="11">
        <v>59</v>
      </c>
      <c r="B212" s="11" t="s">
        <v>322</v>
      </c>
      <c r="C212" s="11">
        <v>2025101751</v>
      </c>
      <c r="D212" s="11"/>
      <c r="E212" s="11"/>
      <c r="F212" s="11">
        <v>4134</v>
      </c>
      <c r="G212" s="11" t="s">
        <v>662</v>
      </c>
      <c r="H212" s="11" t="s">
        <v>358</v>
      </c>
      <c r="I212" s="11"/>
      <c r="J212" s="11"/>
      <c r="K212" s="11"/>
      <c r="L212" s="11"/>
      <c r="M212" s="12"/>
      <c r="N212" s="11"/>
      <c r="O212" s="12"/>
      <c r="P212" s="13"/>
      <c r="Q212" s="11" t="s">
        <v>663</v>
      </c>
      <c r="R212" s="11" t="s">
        <v>326</v>
      </c>
      <c r="S212" s="11" t="s">
        <v>123</v>
      </c>
      <c r="T212" s="11">
        <v>1</v>
      </c>
      <c r="U212" s="11" t="s">
        <v>327</v>
      </c>
      <c r="V212" s="11" t="s">
        <v>1334</v>
      </c>
      <c r="W212" s="11" t="s">
        <v>1335</v>
      </c>
      <c r="X212" s="367">
        <v>45944.479166666657</v>
      </c>
      <c r="Y212" s="11"/>
      <c r="Z212" s="11">
        <v>0.5</v>
      </c>
      <c r="AA212" s="11"/>
      <c r="AB212" s="11" t="s">
        <v>330</v>
      </c>
      <c r="AC212" s="212" t="s">
        <v>341</v>
      </c>
      <c r="AD212" s="11" t="s">
        <v>332</v>
      </c>
      <c r="AE212" s="11"/>
      <c r="AF212" s="11"/>
      <c r="AG212" s="11"/>
      <c r="AH212" s="11"/>
      <c r="AI212" s="11"/>
      <c r="AJ212" s="11"/>
      <c r="AK212" s="11" t="s">
        <v>332</v>
      </c>
      <c r="AL212" s="213" t="e">
        <f t="shared" si="6"/>
        <v>#VALUE!</v>
      </c>
      <c r="AM212" s="211">
        <f t="shared" si="7"/>
        <v>45944</v>
      </c>
    </row>
    <row r="213" spans="1:39" ht="21.6" customHeight="1">
      <c r="A213" s="11">
        <v>60</v>
      </c>
      <c r="B213" s="11" t="s">
        <v>322</v>
      </c>
      <c r="C213" s="11">
        <v>2025101760</v>
      </c>
      <c r="D213" s="11"/>
      <c r="E213" s="11"/>
      <c r="F213" s="11">
        <v>2321</v>
      </c>
      <c r="G213" s="11" t="s">
        <v>658</v>
      </c>
      <c r="H213" s="11" t="s">
        <v>358</v>
      </c>
      <c r="I213" s="11"/>
      <c r="J213" s="11"/>
      <c r="K213" s="11"/>
      <c r="L213" s="11"/>
      <c r="M213" s="12"/>
      <c r="N213" s="11"/>
      <c r="O213" s="12"/>
      <c r="P213" s="13"/>
      <c r="Q213" s="11" t="s">
        <v>659</v>
      </c>
      <c r="R213" s="11" t="s">
        <v>326</v>
      </c>
      <c r="S213" s="11" t="s">
        <v>123</v>
      </c>
      <c r="T213" s="11">
        <v>1</v>
      </c>
      <c r="U213" s="11" t="s">
        <v>327</v>
      </c>
      <c r="V213" s="11" t="s">
        <v>1336</v>
      </c>
      <c r="W213" s="11" t="s">
        <v>1337</v>
      </c>
      <c r="X213" s="367">
        <v>45944.511111111111</v>
      </c>
      <c r="Y213" s="11"/>
      <c r="Z213" s="11">
        <v>0.4</v>
      </c>
      <c r="AA213" s="11"/>
      <c r="AB213" s="11" t="s">
        <v>330</v>
      </c>
      <c r="AC213" s="212" t="s">
        <v>341</v>
      </c>
      <c r="AD213" s="11" t="s">
        <v>332</v>
      </c>
      <c r="AE213" s="11"/>
      <c r="AF213" s="11"/>
      <c r="AG213" s="11"/>
      <c r="AH213" s="11"/>
      <c r="AI213" s="11"/>
      <c r="AJ213" s="11"/>
      <c r="AK213" s="11" t="s">
        <v>332</v>
      </c>
      <c r="AL213" s="213" t="e">
        <f t="shared" si="6"/>
        <v>#VALUE!</v>
      </c>
      <c r="AM213" s="211">
        <f t="shared" si="7"/>
        <v>45944</v>
      </c>
    </row>
    <row r="214" spans="1:39" ht="21.6" customHeight="1">
      <c r="A214" s="11">
        <v>61</v>
      </c>
      <c r="B214" s="11" t="s">
        <v>322</v>
      </c>
      <c r="C214" s="11">
        <v>2025101783</v>
      </c>
      <c r="D214" s="11"/>
      <c r="E214" s="11"/>
      <c r="F214" s="11">
        <v>4191</v>
      </c>
      <c r="G214" s="11" t="s">
        <v>853</v>
      </c>
      <c r="H214" s="11" t="s">
        <v>358</v>
      </c>
      <c r="I214" s="11"/>
      <c r="J214" s="11"/>
      <c r="K214" s="11"/>
      <c r="L214" s="11"/>
      <c r="M214" s="12"/>
      <c r="N214" s="11"/>
      <c r="O214" s="12"/>
      <c r="P214" s="13"/>
      <c r="Q214" s="11" t="s">
        <v>854</v>
      </c>
      <c r="R214" s="11" t="s">
        <v>326</v>
      </c>
      <c r="S214" s="11" t="s">
        <v>123</v>
      </c>
      <c r="T214" s="11">
        <v>1</v>
      </c>
      <c r="U214" s="11" t="s">
        <v>327</v>
      </c>
      <c r="V214" s="11" t="s">
        <v>1338</v>
      </c>
      <c r="W214" s="11" t="s">
        <v>1339</v>
      </c>
      <c r="X214" s="367">
        <v>45944.625</v>
      </c>
      <c r="Y214" s="11"/>
      <c r="Z214" s="11">
        <v>0.4</v>
      </c>
      <c r="AA214" s="11"/>
      <c r="AB214" s="11" t="s">
        <v>330</v>
      </c>
      <c r="AC214" s="212" t="s">
        <v>341</v>
      </c>
      <c r="AD214" s="11" t="s">
        <v>332</v>
      </c>
      <c r="AE214" s="11"/>
      <c r="AF214" s="11"/>
      <c r="AG214" s="11"/>
      <c r="AH214" s="11"/>
      <c r="AI214" s="11"/>
      <c r="AJ214" s="11"/>
      <c r="AK214" s="11" t="s">
        <v>332</v>
      </c>
      <c r="AL214" s="213" t="e">
        <f t="shared" si="6"/>
        <v>#VALUE!</v>
      </c>
      <c r="AM214" s="211">
        <f t="shared" si="7"/>
        <v>45944</v>
      </c>
    </row>
    <row r="215" spans="1:39" ht="21.6" customHeight="1">
      <c r="A215" s="11">
        <v>62</v>
      </c>
      <c r="B215" s="11" t="s">
        <v>363</v>
      </c>
      <c r="C215" s="11">
        <v>2025101791</v>
      </c>
      <c r="D215" s="11" t="s">
        <v>1340</v>
      </c>
      <c r="E215" s="11" t="s">
        <v>365</v>
      </c>
      <c r="F215" s="11">
        <v>4802</v>
      </c>
      <c r="G215" s="11" t="s">
        <v>575</v>
      </c>
      <c r="H215" s="11" t="s">
        <v>567</v>
      </c>
      <c r="I215" s="11" t="s">
        <v>1341</v>
      </c>
      <c r="J215" s="11" t="s">
        <v>368</v>
      </c>
      <c r="K215" s="11" t="s">
        <v>200</v>
      </c>
      <c r="L215" s="11" t="s">
        <v>1342</v>
      </c>
      <c r="M215" s="12" t="s">
        <v>1343</v>
      </c>
      <c r="N215" s="11" t="s">
        <v>1344</v>
      </c>
      <c r="O215" s="12" t="s">
        <v>425</v>
      </c>
      <c r="P215" s="13" t="s">
        <v>1345</v>
      </c>
      <c r="Q215" s="11" t="s">
        <v>576</v>
      </c>
      <c r="R215" s="11" t="s">
        <v>326</v>
      </c>
      <c r="S215" s="11" t="s">
        <v>123</v>
      </c>
      <c r="T215" s="11">
        <v>1</v>
      </c>
      <c r="U215" s="11" t="s">
        <v>327</v>
      </c>
      <c r="V215" s="11" t="s">
        <v>1346</v>
      </c>
      <c r="W215" s="11" t="s">
        <v>1347</v>
      </c>
      <c r="X215" s="367">
        <v>45945.604166666657</v>
      </c>
      <c r="Y215" s="11" t="s">
        <v>1348</v>
      </c>
      <c r="Z215" s="11">
        <v>1.7</v>
      </c>
      <c r="AA215" s="11"/>
      <c r="AB215" s="11" t="s">
        <v>330</v>
      </c>
      <c r="AC215" s="212" t="s">
        <v>1349</v>
      </c>
      <c r="AD215" s="11"/>
      <c r="AE215" s="11"/>
      <c r="AF215" s="11"/>
      <c r="AG215" s="11"/>
      <c r="AH215" s="11"/>
      <c r="AI215" s="11"/>
      <c r="AJ215" s="11"/>
      <c r="AK215" s="11" t="s">
        <v>332</v>
      </c>
      <c r="AL215" s="213">
        <f t="shared" si="6"/>
        <v>45944</v>
      </c>
      <c r="AM215" s="211">
        <f t="shared" si="7"/>
        <v>45945</v>
      </c>
    </row>
    <row r="216" spans="1:39" ht="21.6" customHeight="1">
      <c r="A216" s="11">
        <v>63</v>
      </c>
      <c r="B216" s="11" t="s">
        <v>322</v>
      </c>
      <c r="C216" s="11">
        <v>2025101804</v>
      </c>
      <c r="D216" s="11"/>
      <c r="E216" s="11"/>
      <c r="F216" s="11">
        <v>4196</v>
      </c>
      <c r="G216" s="11" t="s">
        <v>177</v>
      </c>
      <c r="H216" s="11" t="s">
        <v>358</v>
      </c>
      <c r="I216" s="11"/>
      <c r="J216" s="11"/>
      <c r="K216" s="11"/>
      <c r="L216" s="11"/>
      <c r="M216" s="12"/>
      <c r="N216" s="11"/>
      <c r="O216" s="12"/>
      <c r="P216" s="13"/>
      <c r="Q216" s="11" t="s">
        <v>916</v>
      </c>
      <c r="R216" s="11" t="s">
        <v>326</v>
      </c>
      <c r="S216" s="11" t="s">
        <v>123</v>
      </c>
      <c r="T216" s="11">
        <v>1</v>
      </c>
      <c r="U216" s="11" t="s">
        <v>327</v>
      </c>
      <c r="V216" s="11" t="s">
        <v>1350</v>
      </c>
      <c r="W216" s="11" t="s">
        <v>1351</v>
      </c>
      <c r="X216" s="367">
        <v>45944.660416666673</v>
      </c>
      <c r="Y216" s="11"/>
      <c r="Z216" s="11">
        <v>0.4</v>
      </c>
      <c r="AA216" s="11"/>
      <c r="AB216" s="11" t="s">
        <v>330</v>
      </c>
      <c r="AC216" s="212" t="s">
        <v>341</v>
      </c>
      <c r="AD216" s="11" t="s">
        <v>332</v>
      </c>
      <c r="AE216" s="11"/>
      <c r="AF216" s="11"/>
      <c r="AG216" s="11"/>
      <c r="AH216" s="11"/>
      <c r="AI216" s="11"/>
      <c r="AJ216" s="11"/>
      <c r="AK216" s="11" t="s">
        <v>332</v>
      </c>
      <c r="AL216" s="213" t="e">
        <f t="shared" si="6"/>
        <v>#VALUE!</v>
      </c>
      <c r="AM216" s="211">
        <f t="shared" si="7"/>
        <v>45944</v>
      </c>
    </row>
    <row r="217" spans="1:39" ht="21.6" customHeight="1">
      <c r="A217" s="11">
        <v>64</v>
      </c>
      <c r="B217" s="11" t="s">
        <v>322</v>
      </c>
      <c r="C217" s="11">
        <v>2025101822</v>
      </c>
      <c r="D217" s="11"/>
      <c r="E217" s="11"/>
      <c r="F217" s="11" t="s">
        <v>60</v>
      </c>
      <c r="G217" s="11" t="s">
        <v>857</v>
      </c>
      <c r="H217" s="11" t="s">
        <v>358</v>
      </c>
      <c r="I217" s="11"/>
      <c r="J217" s="11"/>
      <c r="K217" s="11"/>
      <c r="L217" s="11"/>
      <c r="M217" s="12"/>
      <c r="N217" s="11"/>
      <c r="O217" s="12"/>
      <c r="P217" s="13"/>
      <c r="Q217" s="11" t="s">
        <v>858</v>
      </c>
      <c r="R217" s="11" t="s">
        <v>326</v>
      </c>
      <c r="S217" s="11" t="s">
        <v>123</v>
      </c>
      <c r="T217" s="11">
        <v>1</v>
      </c>
      <c r="U217" s="11" t="s">
        <v>327</v>
      </c>
      <c r="V217" s="11" t="s">
        <v>1352</v>
      </c>
      <c r="W217" s="11" t="s">
        <v>1353</v>
      </c>
      <c r="X217" s="367">
        <v>45944.681250000001</v>
      </c>
      <c r="Y217" s="11"/>
      <c r="Z217" s="11">
        <v>0.4</v>
      </c>
      <c r="AA217" s="11"/>
      <c r="AB217" s="11" t="s">
        <v>330</v>
      </c>
      <c r="AC217" s="212" t="s">
        <v>341</v>
      </c>
      <c r="AD217" s="11" t="s">
        <v>332</v>
      </c>
      <c r="AE217" s="11"/>
      <c r="AF217" s="11"/>
      <c r="AG217" s="11"/>
      <c r="AH217" s="11"/>
      <c r="AI217" s="11"/>
      <c r="AJ217" s="11"/>
      <c r="AK217" s="11" t="s">
        <v>332</v>
      </c>
      <c r="AL217" s="213" t="e">
        <f t="shared" si="6"/>
        <v>#VALUE!</v>
      </c>
      <c r="AM217" s="211">
        <f t="shared" si="7"/>
        <v>45944</v>
      </c>
    </row>
    <row r="218" spans="1:39" ht="21.6" customHeight="1">
      <c r="A218" s="11">
        <v>65</v>
      </c>
      <c r="B218" s="11" t="s">
        <v>363</v>
      </c>
      <c r="C218" s="11">
        <v>2025101896</v>
      </c>
      <c r="D218" s="11" t="s">
        <v>1354</v>
      </c>
      <c r="E218" s="11" t="s">
        <v>365</v>
      </c>
      <c r="F218" s="11">
        <v>5057</v>
      </c>
      <c r="G218" s="11" t="s">
        <v>1355</v>
      </c>
      <c r="H218" s="11" t="s">
        <v>490</v>
      </c>
      <c r="I218" s="11" t="s">
        <v>1356</v>
      </c>
      <c r="J218" s="11" t="s">
        <v>383</v>
      </c>
      <c r="K218" s="11" t="s">
        <v>200</v>
      </c>
      <c r="L218" s="11" t="s">
        <v>1097</v>
      </c>
      <c r="M218" s="12" t="s">
        <v>1098</v>
      </c>
      <c r="N218" s="11" t="s">
        <v>1357</v>
      </c>
      <c r="O218" s="12" t="s">
        <v>1358</v>
      </c>
      <c r="P218" s="13" t="s">
        <v>1359</v>
      </c>
      <c r="Q218" s="11" t="s">
        <v>1360</v>
      </c>
      <c r="R218" s="11" t="s">
        <v>326</v>
      </c>
      <c r="S218" s="11" t="s">
        <v>118</v>
      </c>
      <c r="T218" s="11">
        <v>1</v>
      </c>
      <c r="U218" s="11" t="s">
        <v>327</v>
      </c>
      <c r="V218" s="11" t="s">
        <v>1361</v>
      </c>
      <c r="W218" s="11" t="s">
        <v>1362</v>
      </c>
      <c r="X218" s="367">
        <v>45945.638888888891</v>
      </c>
      <c r="Y218" s="11" t="s">
        <v>1363</v>
      </c>
      <c r="Z218" s="11">
        <v>0.3</v>
      </c>
      <c r="AA218" s="11"/>
      <c r="AB218" s="11" t="s">
        <v>330</v>
      </c>
      <c r="AC218" s="212" t="s">
        <v>1364</v>
      </c>
      <c r="AD218" s="11"/>
      <c r="AE218" s="11"/>
      <c r="AF218" s="11"/>
      <c r="AG218" s="11"/>
      <c r="AH218" s="11"/>
      <c r="AI218" s="11"/>
      <c r="AJ218" s="11"/>
      <c r="AK218" s="11" t="s">
        <v>332</v>
      </c>
      <c r="AL218" s="213">
        <f t="shared" si="6"/>
        <v>45945</v>
      </c>
      <c r="AM218" s="211">
        <f t="shared" si="7"/>
        <v>45945</v>
      </c>
    </row>
    <row r="219" spans="1:39" ht="21.6" customHeight="1">
      <c r="A219" s="11">
        <v>66</v>
      </c>
      <c r="B219" s="11" t="s">
        <v>322</v>
      </c>
      <c r="C219" s="11">
        <v>2025101935</v>
      </c>
      <c r="D219" s="11"/>
      <c r="E219" s="11"/>
      <c r="F219" s="11">
        <v>4802</v>
      </c>
      <c r="G219" s="11" t="s">
        <v>575</v>
      </c>
      <c r="H219" s="11" t="s">
        <v>567</v>
      </c>
      <c r="I219" s="11"/>
      <c r="J219" s="11"/>
      <c r="K219" s="11"/>
      <c r="L219" s="11"/>
      <c r="M219" s="12"/>
      <c r="N219" s="11"/>
      <c r="O219" s="12"/>
      <c r="P219" s="13"/>
      <c r="Q219" s="11" t="s">
        <v>576</v>
      </c>
      <c r="R219" s="11" t="s">
        <v>326</v>
      </c>
      <c r="S219" s="11" t="s">
        <v>123</v>
      </c>
      <c r="T219" s="11">
        <v>1</v>
      </c>
      <c r="U219" s="11" t="s">
        <v>327</v>
      </c>
      <c r="V219" s="11" t="s">
        <v>1365</v>
      </c>
      <c r="W219" s="11" t="s">
        <v>1366</v>
      </c>
      <c r="X219" s="367">
        <v>45945.618055555547</v>
      </c>
      <c r="Y219" s="11"/>
      <c r="Z219" s="11">
        <v>0.3</v>
      </c>
      <c r="AA219" s="11"/>
      <c r="AB219" s="11" t="s">
        <v>330</v>
      </c>
      <c r="AC219" s="212" t="s">
        <v>341</v>
      </c>
      <c r="AD219" s="11" t="s">
        <v>332</v>
      </c>
      <c r="AE219" s="11"/>
      <c r="AF219" s="11"/>
      <c r="AG219" s="11"/>
      <c r="AH219" s="11"/>
      <c r="AI219" s="11"/>
      <c r="AJ219" s="11"/>
      <c r="AK219" s="11" t="s">
        <v>332</v>
      </c>
      <c r="AL219" s="213" t="e">
        <f t="shared" si="6"/>
        <v>#VALUE!</v>
      </c>
      <c r="AM219" s="211">
        <f t="shared" si="7"/>
        <v>45945</v>
      </c>
    </row>
    <row r="220" spans="1:39" ht="21.6" customHeight="1">
      <c r="A220" s="11">
        <v>67</v>
      </c>
      <c r="B220" s="11" t="s">
        <v>322</v>
      </c>
      <c r="C220" s="11">
        <v>2025101939</v>
      </c>
      <c r="D220" s="11"/>
      <c r="E220" s="11"/>
      <c r="F220" s="11">
        <v>5057</v>
      </c>
      <c r="G220" s="11" t="s">
        <v>1355</v>
      </c>
      <c r="H220" s="11" t="s">
        <v>490</v>
      </c>
      <c r="I220" s="11"/>
      <c r="J220" s="11"/>
      <c r="K220" s="11"/>
      <c r="L220" s="11"/>
      <c r="M220" s="12"/>
      <c r="N220" s="11"/>
      <c r="O220" s="12"/>
      <c r="P220" s="13"/>
      <c r="Q220" s="11" t="s">
        <v>1360</v>
      </c>
      <c r="R220" s="11" t="s">
        <v>326</v>
      </c>
      <c r="S220" s="11" t="s">
        <v>118</v>
      </c>
      <c r="T220" s="11">
        <v>1</v>
      </c>
      <c r="U220" s="11" t="s">
        <v>327</v>
      </c>
      <c r="V220" s="11" t="s">
        <v>1367</v>
      </c>
      <c r="W220" s="11" t="s">
        <v>1368</v>
      </c>
      <c r="X220" s="367">
        <v>45945.649305555547</v>
      </c>
      <c r="Y220" s="11"/>
      <c r="Z220" s="11">
        <v>0.3</v>
      </c>
      <c r="AA220" s="11"/>
      <c r="AB220" s="11" t="s">
        <v>330</v>
      </c>
      <c r="AC220" s="212" t="s">
        <v>341</v>
      </c>
      <c r="AD220" s="11" t="s">
        <v>332</v>
      </c>
      <c r="AE220" s="11"/>
      <c r="AF220" s="11"/>
      <c r="AG220" s="11"/>
      <c r="AH220" s="11"/>
      <c r="AI220" s="11"/>
      <c r="AJ220" s="11"/>
      <c r="AK220" s="11" t="s">
        <v>332</v>
      </c>
      <c r="AL220" s="213" t="e">
        <f t="shared" si="6"/>
        <v>#VALUE!</v>
      </c>
      <c r="AM220" s="211">
        <f t="shared" si="7"/>
        <v>45945</v>
      </c>
    </row>
    <row r="221" spans="1:39" ht="21.6" customHeight="1">
      <c r="A221" s="11">
        <v>68</v>
      </c>
      <c r="B221" s="11" t="s">
        <v>363</v>
      </c>
      <c r="C221" s="11">
        <v>2025102002</v>
      </c>
      <c r="D221" s="11" t="s">
        <v>1369</v>
      </c>
      <c r="E221" s="11" t="s">
        <v>475</v>
      </c>
      <c r="F221" s="11">
        <v>4153</v>
      </c>
      <c r="G221" s="11" t="s">
        <v>583</v>
      </c>
      <c r="H221" s="11" t="s">
        <v>567</v>
      </c>
      <c r="I221" s="11" t="s">
        <v>1370</v>
      </c>
      <c r="J221" s="11" t="s">
        <v>424</v>
      </c>
      <c r="K221" s="11" t="s">
        <v>446</v>
      </c>
      <c r="L221" s="11" t="s">
        <v>558</v>
      </c>
      <c r="M221" s="12" t="s">
        <v>559</v>
      </c>
      <c r="N221" s="11">
        <v>2401</v>
      </c>
      <c r="O221" s="12" t="s">
        <v>712</v>
      </c>
      <c r="P221" s="13" t="s">
        <v>1371</v>
      </c>
      <c r="Q221" s="11" t="s">
        <v>584</v>
      </c>
      <c r="R221" s="11" t="s">
        <v>326</v>
      </c>
      <c r="S221" s="11" t="s">
        <v>118</v>
      </c>
      <c r="T221" s="11">
        <v>1</v>
      </c>
      <c r="U221" s="11" t="s">
        <v>327</v>
      </c>
      <c r="V221" s="11" t="s">
        <v>1372</v>
      </c>
      <c r="W221" s="11" t="s">
        <v>1373</v>
      </c>
      <c r="X221" s="367">
        <v>45946.604166666657</v>
      </c>
      <c r="Y221" s="11" t="s">
        <v>1374</v>
      </c>
      <c r="Z221" s="11">
        <v>3.5</v>
      </c>
      <c r="AA221" s="11"/>
      <c r="AB221" s="11" t="s">
        <v>330</v>
      </c>
      <c r="AC221" s="212" t="s">
        <v>1375</v>
      </c>
      <c r="AD221" s="11"/>
      <c r="AE221" s="11"/>
      <c r="AF221" s="11"/>
      <c r="AG221" s="11"/>
      <c r="AH221" s="11"/>
      <c r="AI221" s="11"/>
      <c r="AJ221" s="11"/>
      <c r="AK221" s="11" t="s">
        <v>332</v>
      </c>
      <c r="AL221" s="213">
        <f t="shared" si="6"/>
        <v>45946</v>
      </c>
      <c r="AM221" s="211">
        <f t="shared" si="7"/>
        <v>45946</v>
      </c>
    </row>
    <row r="222" spans="1:39" ht="21.6" customHeight="1">
      <c r="A222" s="11">
        <v>69</v>
      </c>
      <c r="B222" s="11" t="s">
        <v>363</v>
      </c>
      <c r="C222" s="11">
        <v>2025102005</v>
      </c>
      <c r="D222" s="11" t="s">
        <v>1376</v>
      </c>
      <c r="E222" s="11" t="s">
        <v>475</v>
      </c>
      <c r="F222" s="11">
        <v>4046</v>
      </c>
      <c r="G222" s="11" t="s">
        <v>1377</v>
      </c>
      <c r="H222" s="11" t="s">
        <v>396</v>
      </c>
      <c r="I222" s="11" t="s">
        <v>1378</v>
      </c>
      <c r="J222" s="11" t="s">
        <v>424</v>
      </c>
      <c r="K222" s="11" t="s">
        <v>446</v>
      </c>
      <c r="L222" s="11" t="s">
        <v>558</v>
      </c>
      <c r="M222" s="12" t="s">
        <v>559</v>
      </c>
      <c r="N222" s="11">
        <v>2405</v>
      </c>
      <c r="O222" s="12" t="s">
        <v>560</v>
      </c>
      <c r="P222" s="13" t="s">
        <v>1379</v>
      </c>
      <c r="Q222" s="11" t="s">
        <v>1380</v>
      </c>
      <c r="R222" s="11" t="s">
        <v>326</v>
      </c>
      <c r="S222" s="11" t="s">
        <v>134</v>
      </c>
      <c r="T222" s="11">
        <v>1</v>
      </c>
      <c r="U222" s="11" t="s">
        <v>327</v>
      </c>
      <c r="V222" s="11" t="s">
        <v>1381</v>
      </c>
      <c r="W222" s="11" t="s">
        <v>1382</v>
      </c>
      <c r="X222" s="367">
        <v>45946.555555555547</v>
      </c>
      <c r="Y222" s="11" t="s">
        <v>1383</v>
      </c>
      <c r="Z222" s="11">
        <v>1.8</v>
      </c>
      <c r="AA222" s="11"/>
      <c r="AB222" s="11" t="s">
        <v>330</v>
      </c>
      <c r="AC222" s="212" t="s">
        <v>1384</v>
      </c>
      <c r="AD222" s="11"/>
      <c r="AE222" s="11"/>
      <c r="AF222" s="11"/>
      <c r="AG222" s="11"/>
      <c r="AH222" s="11"/>
      <c r="AI222" s="11"/>
      <c r="AJ222" s="11"/>
      <c r="AK222" s="11" t="s">
        <v>332</v>
      </c>
      <c r="AL222" s="213">
        <f t="shared" si="6"/>
        <v>45946</v>
      </c>
      <c r="AM222" s="211">
        <f t="shared" si="7"/>
        <v>45946</v>
      </c>
    </row>
    <row r="223" spans="1:39" ht="21.6" customHeight="1">
      <c r="A223" s="11">
        <v>70</v>
      </c>
      <c r="B223" s="11" t="s">
        <v>322</v>
      </c>
      <c r="C223" s="11">
        <v>2025102037</v>
      </c>
      <c r="D223" s="11"/>
      <c r="E223" s="11"/>
      <c r="F223" s="11">
        <v>4046</v>
      </c>
      <c r="G223" s="11" t="s">
        <v>1377</v>
      </c>
      <c r="H223" s="11" t="s">
        <v>396</v>
      </c>
      <c r="I223" s="11"/>
      <c r="J223" s="11"/>
      <c r="K223" s="11"/>
      <c r="L223" s="11"/>
      <c r="M223" s="12"/>
      <c r="N223" s="11"/>
      <c r="O223" s="12"/>
      <c r="P223" s="13"/>
      <c r="Q223" s="11" t="s">
        <v>1380</v>
      </c>
      <c r="R223" s="11" t="s">
        <v>326</v>
      </c>
      <c r="S223" s="11" t="s">
        <v>134</v>
      </c>
      <c r="T223" s="11">
        <v>1</v>
      </c>
      <c r="U223" s="11" t="s">
        <v>327</v>
      </c>
      <c r="V223" s="11" t="s">
        <v>1385</v>
      </c>
      <c r="W223" s="11" t="s">
        <v>1382</v>
      </c>
      <c r="X223" s="367">
        <v>45946.555555555547</v>
      </c>
      <c r="Y223" s="11"/>
      <c r="Z223" s="11">
        <v>1.8</v>
      </c>
      <c r="AA223" s="11"/>
      <c r="AB223" s="11" t="s">
        <v>330</v>
      </c>
      <c r="AC223" s="212" t="s">
        <v>1203</v>
      </c>
      <c r="AD223" s="11" t="s">
        <v>332</v>
      </c>
      <c r="AE223" s="11"/>
      <c r="AF223" s="11"/>
      <c r="AG223" s="11"/>
      <c r="AH223" s="11"/>
      <c r="AI223" s="11"/>
      <c r="AJ223" s="11"/>
      <c r="AK223" s="11"/>
      <c r="AL223" s="213" t="e">
        <f t="shared" si="6"/>
        <v>#VALUE!</v>
      </c>
      <c r="AM223" s="211">
        <f t="shared" si="7"/>
        <v>45946</v>
      </c>
    </row>
    <row r="224" spans="1:39" ht="21.6" customHeight="1">
      <c r="A224" s="11">
        <v>71</v>
      </c>
      <c r="B224" s="11" t="s">
        <v>322</v>
      </c>
      <c r="C224" s="11">
        <v>2025102089</v>
      </c>
      <c r="D224" s="11"/>
      <c r="E224" s="11"/>
      <c r="F224" s="11">
        <v>5377</v>
      </c>
      <c r="G224" s="11" t="s">
        <v>203</v>
      </c>
      <c r="H224" s="11" t="s">
        <v>358</v>
      </c>
      <c r="I224" s="11"/>
      <c r="J224" s="11"/>
      <c r="K224" s="11"/>
      <c r="L224" s="11"/>
      <c r="M224" s="12"/>
      <c r="N224" s="11"/>
      <c r="O224" s="12"/>
      <c r="P224" s="13"/>
      <c r="Q224" s="11" t="s">
        <v>1386</v>
      </c>
      <c r="R224" s="11" t="s">
        <v>326</v>
      </c>
      <c r="S224" s="11" t="s">
        <v>123</v>
      </c>
      <c r="T224" s="11">
        <v>1</v>
      </c>
      <c r="U224" s="11" t="s">
        <v>327</v>
      </c>
      <c r="V224" s="11" t="s">
        <v>1387</v>
      </c>
      <c r="W224" s="11" t="s">
        <v>1373</v>
      </c>
      <c r="X224" s="367">
        <v>45946.714583333327</v>
      </c>
      <c r="Y224" s="11"/>
      <c r="Z224" s="11">
        <v>6.2</v>
      </c>
      <c r="AA224" s="11"/>
      <c r="AB224" s="11" t="s">
        <v>330</v>
      </c>
      <c r="AC224" s="212" t="s">
        <v>1388</v>
      </c>
      <c r="AD224" s="11"/>
      <c r="AE224" s="11" t="s">
        <v>332</v>
      </c>
      <c r="AF224" s="11"/>
      <c r="AG224" s="11"/>
      <c r="AH224" s="11"/>
      <c r="AI224" s="11"/>
      <c r="AJ224" s="11"/>
      <c r="AK224" s="11" t="s">
        <v>332</v>
      </c>
      <c r="AL224" s="213" t="e">
        <f t="shared" si="6"/>
        <v>#VALUE!</v>
      </c>
      <c r="AM224" s="211">
        <f t="shared" si="7"/>
        <v>45946</v>
      </c>
    </row>
    <row r="225" spans="1:39" ht="21.6" customHeight="1">
      <c r="A225" s="11">
        <v>72</v>
      </c>
      <c r="B225" s="11" t="s">
        <v>363</v>
      </c>
      <c r="C225" s="11">
        <v>2025102286</v>
      </c>
      <c r="D225" s="11" t="s">
        <v>1389</v>
      </c>
      <c r="E225" s="11" t="s">
        <v>365</v>
      </c>
      <c r="F225" s="11">
        <v>3770</v>
      </c>
      <c r="G225" s="11" t="s">
        <v>1263</v>
      </c>
      <c r="H225" s="11" t="s">
        <v>763</v>
      </c>
      <c r="I225" s="11" t="s">
        <v>1390</v>
      </c>
      <c r="J225" s="11" t="s">
        <v>445</v>
      </c>
      <c r="K225" s="11" t="s">
        <v>200</v>
      </c>
      <c r="L225" s="11" t="s">
        <v>369</v>
      </c>
      <c r="M225" s="12" t="s">
        <v>370</v>
      </c>
      <c r="N225" s="11">
        <v>2307</v>
      </c>
      <c r="O225" s="12" t="s">
        <v>385</v>
      </c>
      <c r="P225" s="13" t="s">
        <v>1391</v>
      </c>
      <c r="Q225" s="11" t="s">
        <v>1266</v>
      </c>
      <c r="R225" s="11" t="s">
        <v>326</v>
      </c>
      <c r="S225" s="11" t="s">
        <v>118</v>
      </c>
      <c r="T225" s="11">
        <v>1</v>
      </c>
      <c r="U225" s="11" t="s">
        <v>327</v>
      </c>
      <c r="V225" s="11" t="s">
        <v>1392</v>
      </c>
      <c r="W225" s="11" t="s">
        <v>1393</v>
      </c>
      <c r="X225" s="367">
        <v>45947.6875</v>
      </c>
      <c r="Y225" s="11" t="s">
        <v>1394</v>
      </c>
      <c r="Z225" s="11">
        <v>1</v>
      </c>
      <c r="AA225" s="11"/>
      <c r="AB225" s="11" t="s">
        <v>330</v>
      </c>
      <c r="AC225" s="212" t="s">
        <v>1395</v>
      </c>
      <c r="AD225" s="11"/>
      <c r="AE225" s="11"/>
      <c r="AF225" s="11"/>
      <c r="AG225" s="11"/>
      <c r="AH225" s="11"/>
      <c r="AI225" s="11"/>
      <c r="AJ225" s="11"/>
      <c r="AK225" s="11" t="s">
        <v>332</v>
      </c>
      <c r="AL225" s="213">
        <f t="shared" si="6"/>
        <v>45947</v>
      </c>
      <c r="AM225" s="211">
        <f t="shared" si="7"/>
        <v>45947</v>
      </c>
    </row>
    <row r="226" spans="1:39" ht="21.6" customHeight="1">
      <c r="A226" s="11">
        <v>73</v>
      </c>
      <c r="B226" s="11" t="s">
        <v>322</v>
      </c>
      <c r="C226" s="11">
        <v>2025102331</v>
      </c>
      <c r="D226" s="11"/>
      <c r="E226" s="11"/>
      <c r="F226" s="11">
        <v>4046</v>
      </c>
      <c r="G226" s="11" t="s">
        <v>1377</v>
      </c>
      <c r="H226" s="11" t="s">
        <v>396</v>
      </c>
      <c r="I226" s="11"/>
      <c r="J226" s="11"/>
      <c r="K226" s="11"/>
      <c r="L226" s="11"/>
      <c r="M226" s="12"/>
      <c r="N226" s="11"/>
      <c r="O226" s="12"/>
      <c r="P226" s="13"/>
      <c r="Q226" s="11" t="s">
        <v>1380</v>
      </c>
      <c r="R226" s="11" t="s">
        <v>326</v>
      </c>
      <c r="S226" s="11" t="s">
        <v>134</v>
      </c>
      <c r="T226" s="11">
        <v>1</v>
      </c>
      <c r="U226" s="11" t="s">
        <v>327</v>
      </c>
      <c r="V226" s="11" t="s">
        <v>1396</v>
      </c>
      <c r="W226" s="11" t="s">
        <v>1397</v>
      </c>
      <c r="X226" s="367">
        <v>45947.739583333343</v>
      </c>
      <c r="Y226" s="11"/>
      <c r="Z226" s="11">
        <v>0.2</v>
      </c>
      <c r="AA226" s="11"/>
      <c r="AB226" s="11" t="s">
        <v>330</v>
      </c>
      <c r="AC226" s="212" t="s">
        <v>341</v>
      </c>
      <c r="AD226" s="11" t="s">
        <v>332</v>
      </c>
      <c r="AE226" s="11"/>
      <c r="AF226" s="11"/>
      <c r="AG226" s="11"/>
      <c r="AH226" s="11"/>
      <c r="AI226" s="11"/>
      <c r="AJ226" s="11"/>
      <c r="AK226" s="11" t="s">
        <v>332</v>
      </c>
      <c r="AL226" s="213" t="e">
        <f t="shared" si="6"/>
        <v>#VALUE!</v>
      </c>
      <c r="AM226" s="211">
        <f t="shared" si="7"/>
        <v>45947</v>
      </c>
    </row>
    <row r="227" spans="1:39" ht="21.6" customHeight="1">
      <c r="A227" s="11">
        <v>74</v>
      </c>
      <c r="B227" s="11" t="s">
        <v>363</v>
      </c>
      <c r="C227" s="11">
        <v>2025102336</v>
      </c>
      <c r="D227" s="11" t="s">
        <v>1398</v>
      </c>
      <c r="E227" s="11" t="s">
        <v>365</v>
      </c>
      <c r="F227" s="11">
        <v>3772</v>
      </c>
      <c r="G227" s="11" t="s">
        <v>540</v>
      </c>
      <c r="H227" s="11" t="s">
        <v>358</v>
      </c>
      <c r="I227" s="11" t="s">
        <v>1399</v>
      </c>
      <c r="J227" s="11" t="s">
        <v>458</v>
      </c>
      <c r="K227" s="11" t="s">
        <v>200</v>
      </c>
      <c r="L227" s="11" t="s">
        <v>398</v>
      </c>
      <c r="M227" s="12" t="s">
        <v>399</v>
      </c>
      <c r="N227" s="11" t="s">
        <v>1194</v>
      </c>
      <c r="O227" s="12" t="s">
        <v>425</v>
      </c>
      <c r="P227" s="13" t="s">
        <v>1400</v>
      </c>
      <c r="Q227" s="11" t="s">
        <v>541</v>
      </c>
      <c r="R227" s="11" t="s">
        <v>326</v>
      </c>
      <c r="S227" s="11" t="s">
        <v>123</v>
      </c>
      <c r="T227" s="11">
        <v>1</v>
      </c>
      <c r="U227" s="11" t="s">
        <v>327</v>
      </c>
      <c r="V227" s="11" t="s">
        <v>1401</v>
      </c>
      <c r="W227" s="11" t="s">
        <v>1402</v>
      </c>
      <c r="X227" s="367">
        <v>45950.457638888889</v>
      </c>
      <c r="Y227" s="11" t="s">
        <v>1403</v>
      </c>
      <c r="Z227" s="11">
        <v>0.5</v>
      </c>
      <c r="AA227" s="11"/>
      <c r="AB227" s="11" t="s">
        <v>1048</v>
      </c>
      <c r="AC227" s="212" t="s">
        <v>1048</v>
      </c>
      <c r="AD227" s="11"/>
      <c r="AE227" s="11"/>
      <c r="AF227" s="11"/>
      <c r="AG227" s="11"/>
      <c r="AH227" s="11"/>
      <c r="AI227" s="11"/>
      <c r="AJ227" s="11"/>
      <c r="AK227" s="11" t="s">
        <v>332</v>
      </c>
      <c r="AL227" s="213">
        <f t="shared" si="6"/>
        <v>45948</v>
      </c>
      <c r="AM227" s="211">
        <f t="shared" si="7"/>
        <v>45950</v>
      </c>
    </row>
    <row r="228" spans="1:39" ht="21.6" customHeight="1">
      <c r="A228" s="11">
        <v>75</v>
      </c>
      <c r="B228" s="11" t="s">
        <v>363</v>
      </c>
      <c r="C228" s="11">
        <v>2025102339</v>
      </c>
      <c r="D228" s="11" t="s">
        <v>1404</v>
      </c>
      <c r="E228" s="11" t="s">
        <v>365</v>
      </c>
      <c r="F228" s="11">
        <v>3890</v>
      </c>
      <c r="G228" s="11" t="s">
        <v>821</v>
      </c>
      <c r="H228" s="11" t="s">
        <v>358</v>
      </c>
      <c r="I228" s="11" t="s">
        <v>1405</v>
      </c>
      <c r="J228" s="11" t="s">
        <v>483</v>
      </c>
      <c r="K228" s="11" t="s">
        <v>446</v>
      </c>
      <c r="L228" s="11" t="s">
        <v>398</v>
      </c>
      <c r="M228" s="12" t="s">
        <v>399</v>
      </c>
      <c r="N228" s="11" t="s">
        <v>1194</v>
      </c>
      <c r="O228" s="12" t="s">
        <v>425</v>
      </c>
      <c r="P228" s="13" t="s">
        <v>1406</v>
      </c>
      <c r="Q228" s="11" t="s">
        <v>822</v>
      </c>
      <c r="R228" s="11" t="s">
        <v>326</v>
      </c>
      <c r="S228" s="11" t="s">
        <v>123</v>
      </c>
      <c r="T228" s="11">
        <v>1</v>
      </c>
      <c r="U228" s="11" t="s">
        <v>327</v>
      </c>
      <c r="V228" s="11" t="s">
        <v>1407</v>
      </c>
      <c r="W228" s="11" t="s">
        <v>1408</v>
      </c>
      <c r="X228" s="367">
        <v>45949.522916666669</v>
      </c>
      <c r="Y228" s="11" t="s">
        <v>1403</v>
      </c>
      <c r="Z228" s="11">
        <v>0.5</v>
      </c>
      <c r="AA228" s="11"/>
      <c r="AB228" s="11" t="s">
        <v>330</v>
      </c>
      <c r="AC228" s="212" t="s">
        <v>1143</v>
      </c>
      <c r="AD228" s="11"/>
      <c r="AE228" s="11"/>
      <c r="AF228" s="11"/>
      <c r="AG228" s="11"/>
      <c r="AH228" s="11"/>
      <c r="AI228" s="11"/>
      <c r="AJ228" s="11"/>
      <c r="AK228" s="11" t="s">
        <v>332</v>
      </c>
      <c r="AL228" s="213">
        <f t="shared" si="6"/>
        <v>45949</v>
      </c>
      <c r="AM228" s="211">
        <f t="shared" si="7"/>
        <v>45949</v>
      </c>
    </row>
    <row r="229" spans="1:39" ht="21.6" customHeight="1">
      <c r="A229" s="11">
        <v>76</v>
      </c>
      <c r="B229" s="11" t="s">
        <v>363</v>
      </c>
      <c r="C229" s="11">
        <v>2025102343</v>
      </c>
      <c r="D229" s="11" t="s">
        <v>1409</v>
      </c>
      <c r="E229" s="11" t="s">
        <v>475</v>
      </c>
      <c r="F229" s="11">
        <v>3890</v>
      </c>
      <c r="G229" s="11" t="s">
        <v>821</v>
      </c>
      <c r="H229" s="11" t="s">
        <v>358</v>
      </c>
      <c r="I229" s="11" t="s">
        <v>1410</v>
      </c>
      <c r="J229" s="11" t="s">
        <v>483</v>
      </c>
      <c r="K229" s="11" t="s">
        <v>446</v>
      </c>
      <c r="L229" s="11" t="s">
        <v>398</v>
      </c>
      <c r="M229" s="12" t="s">
        <v>399</v>
      </c>
      <c r="N229" s="11" t="s">
        <v>400</v>
      </c>
      <c r="O229" s="12" t="s">
        <v>401</v>
      </c>
      <c r="P229" s="13" t="s">
        <v>1411</v>
      </c>
      <c r="Q229" s="11" t="s">
        <v>822</v>
      </c>
      <c r="R229" s="11" t="s">
        <v>326</v>
      </c>
      <c r="S229" s="11" t="s">
        <v>123</v>
      </c>
      <c r="T229" s="11">
        <v>1</v>
      </c>
      <c r="U229" s="11" t="s">
        <v>327</v>
      </c>
      <c r="V229" s="11" t="s">
        <v>1412</v>
      </c>
      <c r="W229" s="11" t="s">
        <v>1413</v>
      </c>
      <c r="X229" s="367">
        <v>45949.522222222222</v>
      </c>
      <c r="Y229" s="11" t="s">
        <v>1414</v>
      </c>
      <c r="Z229" s="11">
        <v>0.5</v>
      </c>
      <c r="AA229" s="11"/>
      <c r="AB229" s="11" t="s">
        <v>330</v>
      </c>
      <c r="AC229" s="212" t="s">
        <v>1143</v>
      </c>
      <c r="AD229" s="11"/>
      <c r="AE229" s="11"/>
      <c r="AF229" s="11"/>
      <c r="AG229" s="11"/>
      <c r="AH229" s="11"/>
      <c r="AI229" s="11"/>
      <c r="AJ229" s="11"/>
      <c r="AK229" s="11" t="s">
        <v>332</v>
      </c>
      <c r="AL229" s="213">
        <f t="shared" si="6"/>
        <v>45949</v>
      </c>
      <c r="AM229" s="211">
        <f t="shared" si="7"/>
        <v>45949</v>
      </c>
    </row>
    <row r="230" spans="1:39" ht="21.6" customHeight="1">
      <c r="A230" s="11">
        <v>77</v>
      </c>
      <c r="B230" s="11" t="s">
        <v>363</v>
      </c>
      <c r="C230" s="11">
        <v>2025102391</v>
      </c>
      <c r="D230" s="11" t="s">
        <v>1415</v>
      </c>
      <c r="E230" s="11" t="s">
        <v>365</v>
      </c>
      <c r="F230" s="11">
        <v>3840</v>
      </c>
      <c r="G230" s="11" t="s">
        <v>686</v>
      </c>
      <c r="H230" s="11" t="s">
        <v>358</v>
      </c>
      <c r="I230" s="11" t="s">
        <v>1416</v>
      </c>
      <c r="J230" s="11" t="s">
        <v>492</v>
      </c>
      <c r="K230" s="11" t="s">
        <v>446</v>
      </c>
      <c r="L230" s="11" t="s">
        <v>369</v>
      </c>
      <c r="M230" s="12" t="s">
        <v>370</v>
      </c>
      <c r="N230" s="11">
        <v>2304</v>
      </c>
      <c r="O230" s="12" t="s">
        <v>371</v>
      </c>
      <c r="P230" s="13" t="s">
        <v>1417</v>
      </c>
      <c r="Q230" s="11" t="s">
        <v>687</v>
      </c>
      <c r="R230" s="11" t="s">
        <v>326</v>
      </c>
      <c r="S230" s="11" t="s">
        <v>123</v>
      </c>
      <c r="T230" s="11">
        <v>1</v>
      </c>
      <c r="U230" s="11" t="s">
        <v>327</v>
      </c>
      <c r="V230" s="11" t="s">
        <v>1418</v>
      </c>
      <c r="W230" s="11" t="s">
        <v>1419</v>
      </c>
      <c r="X230" s="367">
        <v>45950.638194444437</v>
      </c>
      <c r="Y230" s="11" t="s">
        <v>1420</v>
      </c>
      <c r="Z230" s="11">
        <v>0.5</v>
      </c>
      <c r="AA230" s="11"/>
      <c r="AB230" s="11" t="s">
        <v>330</v>
      </c>
      <c r="AC230" s="212" t="s">
        <v>1421</v>
      </c>
      <c r="AD230" s="11"/>
      <c r="AE230" s="11"/>
      <c r="AF230" s="11"/>
      <c r="AG230" s="11"/>
      <c r="AH230" s="11"/>
      <c r="AI230" s="11"/>
      <c r="AJ230" s="11"/>
      <c r="AK230" s="11" t="s">
        <v>332</v>
      </c>
      <c r="AL230" s="213">
        <f t="shared" si="6"/>
        <v>45950</v>
      </c>
      <c r="AM230" s="211">
        <f t="shared" si="7"/>
        <v>45950</v>
      </c>
    </row>
    <row r="231" spans="1:39" ht="21.6" customHeight="1">
      <c r="A231" s="11">
        <v>78</v>
      </c>
      <c r="B231" s="11" t="s">
        <v>363</v>
      </c>
      <c r="C231" s="11">
        <v>2025102571</v>
      </c>
      <c r="D231" s="11" t="s">
        <v>1422</v>
      </c>
      <c r="E231" s="11" t="s">
        <v>365</v>
      </c>
      <c r="F231" s="11">
        <v>5377</v>
      </c>
      <c r="G231" s="11" t="s">
        <v>203</v>
      </c>
      <c r="H231" s="11" t="s">
        <v>358</v>
      </c>
      <c r="I231" s="11" t="s">
        <v>1423</v>
      </c>
      <c r="J231" s="11" t="s">
        <v>368</v>
      </c>
      <c r="K231" s="11" t="s">
        <v>446</v>
      </c>
      <c r="L231" s="11" t="s">
        <v>1280</v>
      </c>
      <c r="M231" s="12" t="s">
        <v>1281</v>
      </c>
      <c r="N231" s="11">
        <v>6003</v>
      </c>
      <c r="O231" s="12" t="s">
        <v>401</v>
      </c>
      <c r="P231" s="13" t="s">
        <v>1424</v>
      </c>
      <c r="Q231" s="11" t="s">
        <v>1386</v>
      </c>
      <c r="R231" s="11" t="s">
        <v>326</v>
      </c>
      <c r="S231" s="11" t="s">
        <v>123</v>
      </c>
      <c r="T231" s="11">
        <v>1</v>
      </c>
      <c r="U231" s="11" t="s">
        <v>327</v>
      </c>
      <c r="V231" s="11" t="s">
        <v>1425</v>
      </c>
      <c r="W231" s="11" t="s">
        <v>1426</v>
      </c>
      <c r="X231" s="367">
        <v>45952.447916666657</v>
      </c>
      <c r="Y231" s="11" t="s">
        <v>1427</v>
      </c>
      <c r="Z231" s="11">
        <v>0.3</v>
      </c>
      <c r="AA231" s="11"/>
      <c r="AB231" s="11" t="s">
        <v>330</v>
      </c>
      <c r="AC231" s="212" t="s">
        <v>1428</v>
      </c>
      <c r="AD231" s="11"/>
      <c r="AE231" s="11"/>
      <c r="AF231" s="11"/>
      <c r="AG231" s="11"/>
      <c r="AH231" s="11"/>
      <c r="AI231" s="11"/>
      <c r="AJ231" s="11"/>
      <c r="AK231" s="11" t="s">
        <v>332</v>
      </c>
      <c r="AL231" s="213">
        <f t="shared" si="6"/>
        <v>45951</v>
      </c>
      <c r="AM231" s="211">
        <f t="shared" si="7"/>
        <v>45952</v>
      </c>
    </row>
    <row r="232" spans="1:39" ht="21.6" customHeight="1">
      <c r="A232" s="11">
        <v>79</v>
      </c>
      <c r="B232" s="11" t="s">
        <v>322</v>
      </c>
      <c r="C232" s="11">
        <v>2025102625</v>
      </c>
      <c r="D232" s="11"/>
      <c r="E232" s="11"/>
      <c r="F232" s="11">
        <v>5080</v>
      </c>
      <c r="G232" s="11" t="s">
        <v>201</v>
      </c>
      <c r="H232" s="11" t="s">
        <v>1429</v>
      </c>
      <c r="I232" s="11"/>
      <c r="J232" s="11"/>
      <c r="K232" s="11"/>
      <c r="L232" s="11"/>
      <c r="M232" s="12"/>
      <c r="N232" s="11"/>
      <c r="O232" s="12"/>
      <c r="P232" s="13"/>
      <c r="Q232" s="11" t="s">
        <v>1430</v>
      </c>
      <c r="R232" s="11" t="s">
        <v>326</v>
      </c>
      <c r="S232" s="11" t="s">
        <v>123</v>
      </c>
      <c r="T232" s="11">
        <v>1</v>
      </c>
      <c r="U232" s="11" t="s">
        <v>327</v>
      </c>
      <c r="V232" s="11" t="s">
        <v>1431</v>
      </c>
      <c r="W232" s="11" t="s">
        <v>1432</v>
      </c>
      <c r="X232" s="367">
        <v>45951.590277777781</v>
      </c>
      <c r="Y232" s="11"/>
      <c r="Z232" s="11">
        <v>0.3</v>
      </c>
      <c r="AA232" s="11"/>
      <c r="AB232" s="11" t="s">
        <v>330</v>
      </c>
      <c r="AC232" s="212" t="s">
        <v>1433</v>
      </c>
      <c r="AD232" s="11"/>
      <c r="AE232" s="11"/>
      <c r="AF232" s="11"/>
      <c r="AG232" s="11"/>
      <c r="AH232" s="11"/>
      <c r="AI232" s="11"/>
      <c r="AJ232" s="11" t="s">
        <v>332</v>
      </c>
      <c r="AK232" s="11" t="s">
        <v>332</v>
      </c>
      <c r="AL232" s="213" t="e">
        <f t="shared" si="6"/>
        <v>#VALUE!</v>
      </c>
      <c r="AM232" s="211">
        <f t="shared" si="7"/>
        <v>45951</v>
      </c>
    </row>
    <row r="233" spans="1:39" ht="21.6" customHeight="1">
      <c r="A233" s="11">
        <v>80</v>
      </c>
      <c r="B233" s="11" t="s">
        <v>322</v>
      </c>
      <c r="C233" s="11">
        <v>2025102626</v>
      </c>
      <c r="D233" s="11"/>
      <c r="E233" s="11"/>
      <c r="F233" s="11">
        <v>5080</v>
      </c>
      <c r="G233" s="11" t="s">
        <v>201</v>
      </c>
      <c r="H233" s="11" t="s">
        <v>1429</v>
      </c>
      <c r="I233" s="11"/>
      <c r="J233" s="11"/>
      <c r="K233" s="11"/>
      <c r="L233" s="11"/>
      <c r="M233" s="12"/>
      <c r="N233" s="11"/>
      <c r="O233" s="12"/>
      <c r="P233" s="13"/>
      <c r="Q233" s="11" t="s">
        <v>1430</v>
      </c>
      <c r="R233" s="11" t="s">
        <v>326</v>
      </c>
      <c r="S233" s="11" t="s">
        <v>123</v>
      </c>
      <c r="T233" s="11">
        <v>1</v>
      </c>
      <c r="U233" s="11" t="s">
        <v>327</v>
      </c>
      <c r="V233" s="11" t="s">
        <v>1434</v>
      </c>
      <c r="W233" s="11" t="s">
        <v>1435</v>
      </c>
      <c r="X233" s="367">
        <v>45951.604166666657</v>
      </c>
      <c r="Y233" s="11"/>
      <c r="Z233" s="11">
        <v>12.3</v>
      </c>
      <c r="AA233" s="11"/>
      <c r="AB233" s="11" t="s">
        <v>330</v>
      </c>
      <c r="AC233" s="212" t="s">
        <v>341</v>
      </c>
      <c r="AD233" s="11" t="s">
        <v>332</v>
      </c>
      <c r="AE233" s="11"/>
      <c r="AF233" s="11"/>
      <c r="AG233" s="11"/>
      <c r="AH233" s="11"/>
      <c r="AI233" s="11"/>
      <c r="AJ233" s="11"/>
      <c r="AK233" s="11" t="s">
        <v>332</v>
      </c>
      <c r="AL233" s="213" t="e">
        <f t="shared" si="6"/>
        <v>#VALUE!</v>
      </c>
      <c r="AM233" s="211">
        <f t="shared" si="7"/>
        <v>45951</v>
      </c>
    </row>
    <row r="234" spans="1:39" ht="21.6" customHeight="1">
      <c r="A234" s="11">
        <v>81</v>
      </c>
      <c r="B234" s="11" t="s">
        <v>363</v>
      </c>
      <c r="C234" s="11">
        <v>2025102673</v>
      </c>
      <c r="D234" s="11" t="s">
        <v>1436</v>
      </c>
      <c r="E234" s="11" t="s">
        <v>365</v>
      </c>
      <c r="F234" s="11">
        <v>4856</v>
      </c>
      <c r="G234" s="11" t="s">
        <v>1437</v>
      </c>
      <c r="H234" s="11" t="s">
        <v>490</v>
      </c>
      <c r="I234" s="11" t="s">
        <v>1438</v>
      </c>
      <c r="J234" s="11" t="s">
        <v>368</v>
      </c>
      <c r="K234" s="11" t="s">
        <v>200</v>
      </c>
      <c r="L234" s="11" t="s">
        <v>1007</v>
      </c>
      <c r="M234" s="12" t="s">
        <v>1008</v>
      </c>
      <c r="N234" s="11">
        <v>5804</v>
      </c>
      <c r="O234" s="12" t="s">
        <v>1358</v>
      </c>
      <c r="P234" s="13" t="s">
        <v>1439</v>
      </c>
      <c r="Q234" s="11" t="s">
        <v>1440</v>
      </c>
      <c r="R234" s="11" t="s">
        <v>326</v>
      </c>
      <c r="S234" s="11" t="s">
        <v>118</v>
      </c>
      <c r="T234" s="11">
        <v>1</v>
      </c>
      <c r="U234" s="11" t="s">
        <v>327</v>
      </c>
      <c r="V234" s="11" t="s">
        <v>1441</v>
      </c>
      <c r="W234" s="11" t="s">
        <v>1442</v>
      </c>
      <c r="X234" s="367">
        <v>45952.5</v>
      </c>
      <c r="Y234" s="11" t="s">
        <v>1443</v>
      </c>
      <c r="Z234" s="11">
        <v>1</v>
      </c>
      <c r="AA234" s="11"/>
      <c r="AB234" s="11" t="s">
        <v>330</v>
      </c>
      <c r="AC234" s="212" t="s">
        <v>1444</v>
      </c>
      <c r="AD234" s="11"/>
      <c r="AE234" s="11"/>
      <c r="AF234" s="11"/>
      <c r="AG234" s="11"/>
      <c r="AH234" s="11"/>
      <c r="AI234" s="11"/>
      <c r="AJ234" s="11"/>
      <c r="AK234" s="11" t="s">
        <v>332</v>
      </c>
      <c r="AL234" s="213">
        <f t="shared" si="6"/>
        <v>45951</v>
      </c>
      <c r="AM234" s="211">
        <f t="shared" si="7"/>
        <v>45952</v>
      </c>
    </row>
    <row r="235" spans="1:39" ht="21.6" customHeight="1">
      <c r="A235" s="11">
        <v>82</v>
      </c>
      <c r="B235" s="11" t="s">
        <v>363</v>
      </c>
      <c r="C235" s="11">
        <v>2025102686</v>
      </c>
      <c r="D235" s="11" t="s">
        <v>1445</v>
      </c>
      <c r="E235" s="11" t="s">
        <v>365</v>
      </c>
      <c r="F235" s="11">
        <v>2237</v>
      </c>
      <c r="G235" s="11" t="s">
        <v>151</v>
      </c>
      <c r="H235" s="11" t="s">
        <v>1429</v>
      </c>
      <c r="I235" s="11" t="s">
        <v>1446</v>
      </c>
      <c r="J235" s="11" t="s">
        <v>383</v>
      </c>
      <c r="K235" s="11" t="s">
        <v>446</v>
      </c>
      <c r="L235" s="11" t="s">
        <v>1097</v>
      </c>
      <c r="M235" s="12" t="s">
        <v>1098</v>
      </c>
      <c r="N235" s="11" t="s">
        <v>1099</v>
      </c>
      <c r="O235" s="12" t="s">
        <v>1100</v>
      </c>
      <c r="P235" s="13" t="s">
        <v>1447</v>
      </c>
      <c r="Q235" s="11" t="s">
        <v>1448</v>
      </c>
      <c r="R235" s="11" t="s">
        <v>326</v>
      </c>
      <c r="S235" s="11" t="s">
        <v>123</v>
      </c>
      <c r="T235" s="11">
        <v>1</v>
      </c>
      <c r="U235" s="11" t="s">
        <v>327</v>
      </c>
      <c r="V235" s="11" t="s">
        <v>1449</v>
      </c>
      <c r="W235" s="11" t="s">
        <v>1450</v>
      </c>
      <c r="X235" s="367">
        <v>45953.505555555559</v>
      </c>
      <c r="Y235" s="11" t="s">
        <v>1451</v>
      </c>
      <c r="Z235" s="11">
        <v>0.5</v>
      </c>
      <c r="AA235" s="11"/>
      <c r="AB235" s="11" t="s">
        <v>330</v>
      </c>
      <c r="AC235" s="212" t="s">
        <v>1452</v>
      </c>
      <c r="AD235" s="11"/>
      <c r="AE235" s="11"/>
      <c r="AF235" s="11"/>
      <c r="AG235" s="11"/>
      <c r="AH235" s="11"/>
      <c r="AI235" s="11"/>
      <c r="AJ235" s="11"/>
      <c r="AK235" s="11" t="s">
        <v>332</v>
      </c>
      <c r="AL235" s="213">
        <f t="shared" si="6"/>
        <v>45952</v>
      </c>
      <c r="AM235" s="211">
        <f t="shared" si="7"/>
        <v>45953</v>
      </c>
    </row>
    <row r="236" spans="1:39" ht="21.6" customHeight="1">
      <c r="A236" s="11">
        <v>83</v>
      </c>
      <c r="B236" s="11" t="s">
        <v>322</v>
      </c>
      <c r="C236" s="11">
        <v>2025102717</v>
      </c>
      <c r="D236" s="11"/>
      <c r="E236" s="11"/>
      <c r="F236" s="11">
        <v>4856</v>
      </c>
      <c r="G236" s="11" t="s">
        <v>1437</v>
      </c>
      <c r="H236" s="11" t="s">
        <v>490</v>
      </c>
      <c r="I236" s="11"/>
      <c r="J236" s="11"/>
      <c r="K236" s="11"/>
      <c r="L236" s="11"/>
      <c r="M236" s="12"/>
      <c r="N236" s="11"/>
      <c r="O236" s="12"/>
      <c r="P236" s="13"/>
      <c r="Q236" s="11" t="s">
        <v>1440</v>
      </c>
      <c r="R236" s="11" t="s">
        <v>326</v>
      </c>
      <c r="S236" s="11" t="s">
        <v>118</v>
      </c>
      <c r="T236" s="11">
        <v>1</v>
      </c>
      <c r="U236" s="11" t="s">
        <v>327</v>
      </c>
      <c r="V236" s="11" t="s">
        <v>1453</v>
      </c>
      <c r="W236" s="11" t="s">
        <v>1454</v>
      </c>
      <c r="X236" s="367">
        <v>45952.520833333343</v>
      </c>
      <c r="Y236" s="11"/>
      <c r="Z236" s="11">
        <v>0.5</v>
      </c>
      <c r="AA236" s="11"/>
      <c r="AB236" s="11" t="s">
        <v>330</v>
      </c>
      <c r="AC236" s="212" t="s">
        <v>341</v>
      </c>
      <c r="AD236" s="11" t="s">
        <v>332</v>
      </c>
      <c r="AE236" s="11"/>
      <c r="AF236" s="11"/>
      <c r="AG236" s="11"/>
      <c r="AH236" s="11"/>
      <c r="AI236" s="11"/>
      <c r="AJ236" s="11"/>
      <c r="AK236" s="11" t="s">
        <v>332</v>
      </c>
      <c r="AL236" s="213" t="e">
        <f t="shared" si="6"/>
        <v>#VALUE!</v>
      </c>
      <c r="AM236" s="211">
        <f t="shared" si="7"/>
        <v>45952</v>
      </c>
    </row>
    <row r="237" spans="1:39" ht="21.6" customHeight="1">
      <c r="A237" s="11">
        <v>84</v>
      </c>
      <c r="B237" s="11" t="s">
        <v>363</v>
      </c>
      <c r="C237" s="11">
        <v>2025102943</v>
      </c>
      <c r="D237" s="11" t="s">
        <v>1455</v>
      </c>
      <c r="E237" s="11" t="s">
        <v>365</v>
      </c>
      <c r="F237" s="11">
        <v>2390</v>
      </c>
      <c r="G237" s="11" t="s">
        <v>1456</v>
      </c>
      <c r="H237" s="11" t="s">
        <v>763</v>
      </c>
      <c r="I237" s="11" t="s">
        <v>1457</v>
      </c>
      <c r="J237" s="11" t="s">
        <v>424</v>
      </c>
      <c r="K237" s="11" t="s">
        <v>446</v>
      </c>
      <c r="L237" s="11" t="s">
        <v>1007</v>
      </c>
      <c r="M237" s="12" t="s">
        <v>1008</v>
      </c>
      <c r="N237" s="11">
        <v>5804</v>
      </c>
      <c r="O237" s="12" t="s">
        <v>1358</v>
      </c>
      <c r="P237" s="13" t="s">
        <v>1458</v>
      </c>
      <c r="Q237" s="11" t="s">
        <v>1459</v>
      </c>
      <c r="R237" s="11" t="s">
        <v>326</v>
      </c>
      <c r="S237" s="11" t="s">
        <v>118</v>
      </c>
      <c r="T237" s="11">
        <v>1</v>
      </c>
      <c r="U237" s="11" t="s">
        <v>327</v>
      </c>
      <c r="V237" s="11" t="s">
        <v>1460</v>
      </c>
      <c r="W237" s="11" t="s">
        <v>1461</v>
      </c>
      <c r="X237" s="367">
        <v>45953.493055555547</v>
      </c>
      <c r="Y237" s="11" t="s">
        <v>1462</v>
      </c>
      <c r="Z237" s="11">
        <v>0.8</v>
      </c>
      <c r="AA237" s="11"/>
      <c r="AB237" s="11" t="s">
        <v>330</v>
      </c>
      <c r="AC237" s="212" t="s">
        <v>1463</v>
      </c>
      <c r="AD237" s="11"/>
      <c r="AE237" s="11"/>
      <c r="AF237" s="11"/>
      <c r="AG237" s="11"/>
      <c r="AH237" s="11"/>
      <c r="AI237" s="11"/>
      <c r="AJ237" s="11"/>
      <c r="AK237" s="11" t="s">
        <v>332</v>
      </c>
      <c r="AL237" s="213">
        <f t="shared" si="6"/>
        <v>45953</v>
      </c>
      <c r="AM237" s="211">
        <f t="shared" si="7"/>
        <v>45953</v>
      </c>
    </row>
    <row r="238" spans="1:39" ht="21.6" customHeight="1">
      <c r="A238" s="11">
        <v>85</v>
      </c>
      <c r="B238" s="11" t="s">
        <v>363</v>
      </c>
      <c r="C238" s="11">
        <v>2025102953</v>
      </c>
      <c r="D238" s="11" t="s">
        <v>1464</v>
      </c>
      <c r="E238" s="11" t="s">
        <v>365</v>
      </c>
      <c r="F238" s="11">
        <v>4155</v>
      </c>
      <c r="G238" s="11" t="s">
        <v>1234</v>
      </c>
      <c r="H238" s="11" t="s">
        <v>358</v>
      </c>
      <c r="I238" s="11" t="s">
        <v>1465</v>
      </c>
      <c r="J238" s="11" t="s">
        <v>424</v>
      </c>
      <c r="K238" s="11" t="s">
        <v>446</v>
      </c>
      <c r="L238" s="11" t="s">
        <v>1280</v>
      </c>
      <c r="M238" s="12" t="s">
        <v>1281</v>
      </c>
      <c r="N238" s="11">
        <v>6004</v>
      </c>
      <c r="O238" s="12" t="s">
        <v>425</v>
      </c>
      <c r="P238" s="13" t="s">
        <v>1466</v>
      </c>
      <c r="Q238" s="11" t="s">
        <v>1235</v>
      </c>
      <c r="R238" s="11" t="s">
        <v>326</v>
      </c>
      <c r="S238" s="11" t="s">
        <v>123</v>
      </c>
      <c r="T238" s="11">
        <v>1</v>
      </c>
      <c r="U238" s="11" t="s">
        <v>327</v>
      </c>
      <c r="V238" s="11" t="s">
        <v>1467</v>
      </c>
      <c r="W238" s="11" t="s">
        <v>1468</v>
      </c>
      <c r="X238" s="367">
        <v>45953.656944444447</v>
      </c>
      <c r="Y238" s="11" t="s">
        <v>1469</v>
      </c>
      <c r="Z238" s="11">
        <v>0.5</v>
      </c>
      <c r="AA238" s="11"/>
      <c r="AB238" s="11" t="s">
        <v>330</v>
      </c>
      <c r="AC238" s="212" t="s">
        <v>1470</v>
      </c>
      <c r="AD238" s="11"/>
      <c r="AE238" s="11"/>
      <c r="AF238" s="11"/>
      <c r="AG238" s="11"/>
      <c r="AH238" s="11"/>
      <c r="AI238" s="11"/>
      <c r="AJ238" s="11"/>
      <c r="AK238" s="11" t="s">
        <v>332</v>
      </c>
      <c r="AL238" s="213">
        <f t="shared" si="6"/>
        <v>45953</v>
      </c>
      <c r="AM238" s="211">
        <f t="shared" si="7"/>
        <v>45953</v>
      </c>
    </row>
    <row r="239" spans="1:39" ht="21.6" customHeight="1">
      <c r="A239" s="11">
        <v>86</v>
      </c>
      <c r="B239" s="11" t="s">
        <v>322</v>
      </c>
      <c r="C239" s="11">
        <v>2025102980</v>
      </c>
      <c r="D239" s="11"/>
      <c r="E239" s="11"/>
      <c r="F239" s="11">
        <v>2390</v>
      </c>
      <c r="G239" s="11" t="s">
        <v>1456</v>
      </c>
      <c r="H239" s="11" t="s">
        <v>763</v>
      </c>
      <c r="I239" s="11"/>
      <c r="J239" s="11"/>
      <c r="K239" s="11"/>
      <c r="L239" s="11"/>
      <c r="M239" s="12"/>
      <c r="N239" s="11"/>
      <c r="O239" s="12"/>
      <c r="P239" s="13"/>
      <c r="Q239" s="11" t="s">
        <v>1459</v>
      </c>
      <c r="R239" s="11" t="s">
        <v>326</v>
      </c>
      <c r="S239" s="11" t="s">
        <v>118</v>
      </c>
      <c r="T239" s="11">
        <v>1</v>
      </c>
      <c r="U239" s="11" t="s">
        <v>327</v>
      </c>
      <c r="V239" s="11" t="s">
        <v>1471</v>
      </c>
      <c r="W239" s="11" t="s">
        <v>1472</v>
      </c>
      <c r="X239" s="367">
        <v>45953.5</v>
      </c>
      <c r="Y239" s="11"/>
      <c r="Z239" s="11">
        <v>0.2</v>
      </c>
      <c r="AA239" s="11"/>
      <c r="AB239" s="11" t="s">
        <v>330</v>
      </c>
      <c r="AC239" s="212" t="s">
        <v>341</v>
      </c>
      <c r="AD239" s="11" t="s">
        <v>332</v>
      </c>
      <c r="AE239" s="11"/>
      <c r="AF239" s="11"/>
      <c r="AG239" s="11"/>
      <c r="AH239" s="11"/>
      <c r="AI239" s="11"/>
      <c r="AJ239" s="11"/>
      <c r="AK239" s="11" t="s">
        <v>332</v>
      </c>
      <c r="AL239" s="213" t="e">
        <f t="shared" si="6"/>
        <v>#VALUE!</v>
      </c>
      <c r="AM239" s="211">
        <f t="shared" si="7"/>
        <v>45953</v>
      </c>
    </row>
    <row r="240" spans="1:39" ht="21.6" customHeight="1">
      <c r="A240" s="11">
        <v>87</v>
      </c>
      <c r="B240" s="11" t="s">
        <v>322</v>
      </c>
      <c r="C240" s="11">
        <v>2025102987</v>
      </c>
      <c r="D240" s="11"/>
      <c r="E240" s="11"/>
      <c r="F240" s="11">
        <v>2237</v>
      </c>
      <c r="G240" s="11" t="s">
        <v>151</v>
      </c>
      <c r="H240" s="11" t="s">
        <v>1429</v>
      </c>
      <c r="I240" s="11"/>
      <c r="J240" s="11"/>
      <c r="K240" s="11"/>
      <c r="L240" s="11"/>
      <c r="M240" s="12"/>
      <c r="N240" s="11"/>
      <c r="O240" s="12"/>
      <c r="P240" s="13"/>
      <c r="Q240" s="11" t="s">
        <v>1448</v>
      </c>
      <c r="R240" s="11" t="s">
        <v>326</v>
      </c>
      <c r="S240" s="11" t="s">
        <v>123</v>
      </c>
      <c r="T240" s="11">
        <v>1</v>
      </c>
      <c r="U240" s="11" t="s">
        <v>327</v>
      </c>
      <c r="V240" s="11" t="s">
        <v>1473</v>
      </c>
      <c r="W240" s="11" t="s">
        <v>1461</v>
      </c>
      <c r="X240" s="367">
        <v>45953.479166666657</v>
      </c>
      <c r="Y240" s="11"/>
      <c r="Z240" s="11">
        <v>0.5</v>
      </c>
      <c r="AA240" s="11"/>
      <c r="AB240" s="11" t="s">
        <v>330</v>
      </c>
      <c r="AC240" s="212" t="s">
        <v>341</v>
      </c>
      <c r="AD240" s="11" t="s">
        <v>332</v>
      </c>
      <c r="AE240" s="11"/>
      <c r="AF240" s="11"/>
      <c r="AG240" s="11"/>
      <c r="AH240" s="11"/>
      <c r="AI240" s="11"/>
      <c r="AJ240" s="11"/>
      <c r="AK240" s="11" t="s">
        <v>332</v>
      </c>
      <c r="AL240" s="213" t="e">
        <f t="shared" si="6"/>
        <v>#VALUE!</v>
      </c>
      <c r="AM240" s="211">
        <f t="shared" si="7"/>
        <v>45953</v>
      </c>
    </row>
    <row r="241" spans="1:39" ht="21.6" customHeight="1">
      <c r="A241" s="11">
        <v>88</v>
      </c>
      <c r="B241" s="11" t="s">
        <v>363</v>
      </c>
      <c r="C241" s="11">
        <v>2025103112</v>
      </c>
      <c r="D241" s="11" t="s">
        <v>1474</v>
      </c>
      <c r="E241" s="11" t="s">
        <v>365</v>
      </c>
      <c r="F241" s="11">
        <v>4680</v>
      </c>
      <c r="G241" s="11" t="s">
        <v>1223</v>
      </c>
      <c r="H241" s="11" t="s">
        <v>396</v>
      </c>
      <c r="I241" s="11" t="s">
        <v>1475</v>
      </c>
      <c r="J241" s="11" t="s">
        <v>424</v>
      </c>
      <c r="K241" s="11" t="s">
        <v>903</v>
      </c>
      <c r="L241" s="11" t="s">
        <v>459</v>
      </c>
      <c r="M241" s="12" t="s">
        <v>460</v>
      </c>
      <c r="N241" s="11" t="s">
        <v>1476</v>
      </c>
      <c r="O241" s="12" t="s">
        <v>1129</v>
      </c>
      <c r="P241" s="13" t="s">
        <v>1477</v>
      </c>
      <c r="Q241" s="11" t="s">
        <v>1229</v>
      </c>
      <c r="R241" s="11" t="s">
        <v>326</v>
      </c>
      <c r="S241" s="11" t="s">
        <v>134</v>
      </c>
      <c r="T241" s="11">
        <v>1</v>
      </c>
      <c r="U241" s="11" t="s">
        <v>327</v>
      </c>
      <c r="V241" s="11" t="s">
        <v>1478</v>
      </c>
      <c r="W241" s="11" t="s">
        <v>1479</v>
      </c>
      <c r="X241" s="367">
        <v>45957.728472222218</v>
      </c>
      <c r="Y241" s="11" t="s">
        <v>1480</v>
      </c>
      <c r="Z241" s="11">
        <v>0.6</v>
      </c>
      <c r="AA241" s="11"/>
      <c r="AB241" s="11" t="s">
        <v>330</v>
      </c>
      <c r="AC241" s="212" t="s">
        <v>1481</v>
      </c>
      <c r="AD241" s="11"/>
      <c r="AE241" s="11"/>
      <c r="AF241" s="11"/>
      <c r="AG241" s="11"/>
      <c r="AH241" s="11"/>
      <c r="AI241" s="11"/>
      <c r="AJ241" s="11"/>
      <c r="AK241" s="11" t="s">
        <v>332</v>
      </c>
      <c r="AL241" s="213">
        <f t="shared" si="6"/>
        <v>45953</v>
      </c>
      <c r="AM241" s="211">
        <f t="shared" si="7"/>
        <v>45957</v>
      </c>
    </row>
    <row r="242" spans="1:39" ht="21.6" customHeight="1">
      <c r="A242" s="11">
        <v>89</v>
      </c>
      <c r="B242" s="11" t="s">
        <v>363</v>
      </c>
      <c r="C242" s="11">
        <v>2025103121</v>
      </c>
      <c r="D242" s="11" t="s">
        <v>1482</v>
      </c>
      <c r="E242" s="11" t="s">
        <v>365</v>
      </c>
      <c r="F242" s="11">
        <v>4552</v>
      </c>
      <c r="G242" s="11" t="s">
        <v>1483</v>
      </c>
      <c r="H242" s="11" t="s">
        <v>490</v>
      </c>
      <c r="I242" s="11" t="s">
        <v>1484</v>
      </c>
      <c r="J242" s="11" t="s">
        <v>458</v>
      </c>
      <c r="K242" s="11" t="s">
        <v>446</v>
      </c>
      <c r="L242" s="11" t="s">
        <v>493</v>
      </c>
      <c r="M242" s="12" t="s">
        <v>494</v>
      </c>
      <c r="N242" s="11">
        <v>2501</v>
      </c>
      <c r="O242" s="12" t="s">
        <v>495</v>
      </c>
      <c r="P242" s="13" t="s">
        <v>1485</v>
      </c>
      <c r="Q242" s="11" t="s">
        <v>1486</v>
      </c>
      <c r="R242" s="11" t="s">
        <v>326</v>
      </c>
      <c r="S242" s="11" t="s">
        <v>118</v>
      </c>
      <c r="T242" s="11">
        <v>1</v>
      </c>
      <c r="U242" s="11" t="s">
        <v>327</v>
      </c>
      <c r="V242" s="11" t="s">
        <v>1487</v>
      </c>
      <c r="W242" s="11" t="s">
        <v>1488</v>
      </c>
      <c r="X242" s="367">
        <v>45957.645833333343</v>
      </c>
      <c r="Y242" s="11" t="s">
        <v>1489</v>
      </c>
      <c r="Z242" s="11">
        <v>0.5</v>
      </c>
      <c r="AA242" s="11"/>
      <c r="AB242" s="11" t="s">
        <v>330</v>
      </c>
      <c r="AC242" s="212" t="s">
        <v>1490</v>
      </c>
      <c r="AD242" s="11"/>
      <c r="AE242" s="11"/>
      <c r="AF242" s="11"/>
      <c r="AG242" s="11"/>
      <c r="AH242" s="11"/>
      <c r="AI242" s="11"/>
      <c r="AJ242" s="11"/>
      <c r="AK242" s="11" t="s">
        <v>332</v>
      </c>
      <c r="AL242" s="213">
        <f t="shared" si="6"/>
        <v>45955</v>
      </c>
      <c r="AM242" s="211">
        <f t="shared" si="7"/>
        <v>45957</v>
      </c>
    </row>
    <row r="243" spans="1:39" ht="21.6" customHeight="1">
      <c r="A243" s="11">
        <v>90</v>
      </c>
      <c r="B243" s="11" t="s">
        <v>363</v>
      </c>
      <c r="C243" s="11">
        <v>2025103122</v>
      </c>
      <c r="D243" s="11" t="s">
        <v>1491</v>
      </c>
      <c r="E243" s="11" t="s">
        <v>365</v>
      </c>
      <c r="F243" s="11">
        <v>3957</v>
      </c>
      <c r="G243" s="11" t="s">
        <v>516</v>
      </c>
      <c r="H243" s="11" t="s">
        <v>358</v>
      </c>
      <c r="I243" s="11" t="s">
        <v>1492</v>
      </c>
      <c r="J243" s="11" t="s">
        <v>458</v>
      </c>
      <c r="K243" s="11" t="s">
        <v>200</v>
      </c>
      <c r="L243" s="11" t="s">
        <v>369</v>
      </c>
      <c r="M243" s="12" t="s">
        <v>370</v>
      </c>
      <c r="N243" s="11">
        <v>2305</v>
      </c>
      <c r="O243" s="12" t="s">
        <v>410</v>
      </c>
      <c r="P243" s="13" t="s">
        <v>1493</v>
      </c>
      <c r="Q243" s="11" t="s">
        <v>517</v>
      </c>
      <c r="R243" s="11" t="s">
        <v>326</v>
      </c>
      <c r="S243" s="11" t="s">
        <v>123</v>
      </c>
      <c r="T243" s="11">
        <v>1</v>
      </c>
      <c r="U243" s="11" t="s">
        <v>327</v>
      </c>
      <c r="V243" s="11" t="s">
        <v>1494</v>
      </c>
      <c r="W243" s="11" t="s">
        <v>1495</v>
      </c>
      <c r="X243" s="367">
        <v>45957.443055555559</v>
      </c>
      <c r="Y243" s="11" t="s">
        <v>1489</v>
      </c>
      <c r="Z243" s="11">
        <v>0.5</v>
      </c>
      <c r="AA243" s="11"/>
      <c r="AB243" s="11" t="s">
        <v>1048</v>
      </c>
      <c r="AC243" s="212" t="s">
        <v>1048</v>
      </c>
      <c r="AD243" s="11"/>
      <c r="AE243" s="11"/>
      <c r="AF243" s="11"/>
      <c r="AG243" s="11"/>
      <c r="AH243" s="11"/>
      <c r="AI243" s="11"/>
      <c r="AJ243" s="11"/>
      <c r="AK243" s="11" t="s">
        <v>332</v>
      </c>
      <c r="AL243" s="213">
        <f t="shared" si="6"/>
        <v>45955</v>
      </c>
      <c r="AM243" s="211">
        <f t="shared" si="7"/>
        <v>45957</v>
      </c>
    </row>
    <row r="244" spans="1:39" ht="21.6" customHeight="1">
      <c r="A244" s="11">
        <v>91</v>
      </c>
      <c r="B244" s="11" t="s">
        <v>363</v>
      </c>
      <c r="C244" s="11">
        <v>2025103124</v>
      </c>
      <c r="D244" s="11" t="s">
        <v>1496</v>
      </c>
      <c r="E244" s="11" t="s">
        <v>365</v>
      </c>
      <c r="F244" s="11">
        <v>4406</v>
      </c>
      <c r="G244" s="11" t="s">
        <v>1020</v>
      </c>
      <c r="H244" s="11" t="s">
        <v>396</v>
      </c>
      <c r="I244" s="11" t="s">
        <v>1497</v>
      </c>
      <c r="J244" s="11" t="s">
        <v>458</v>
      </c>
      <c r="K244" s="11" t="s">
        <v>200</v>
      </c>
      <c r="L244" s="11" t="s">
        <v>369</v>
      </c>
      <c r="M244" s="12" t="s">
        <v>370</v>
      </c>
      <c r="N244" s="11">
        <v>2306</v>
      </c>
      <c r="O244" s="12" t="s">
        <v>425</v>
      </c>
      <c r="P244" s="13" t="s">
        <v>1498</v>
      </c>
      <c r="Q244" s="11" t="s">
        <v>1021</v>
      </c>
      <c r="R244" s="11" t="s">
        <v>326</v>
      </c>
      <c r="S244" s="11" t="s">
        <v>134</v>
      </c>
      <c r="T244" s="11">
        <v>1</v>
      </c>
      <c r="U244" s="11" t="s">
        <v>327</v>
      </c>
      <c r="V244" s="11" t="s">
        <v>1499</v>
      </c>
      <c r="W244" s="11" t="s">
        <v>1500</v>
      </c>
      <c r="X244" s="367">
        <v>45957.730555555558</v>
      </c>
      <c r="Y244" s="11" t="s">
        <v>1489</v>
      </c>
      <c r="Z244" s="11">
        <v>0.5</v>
      </c>
      <c r="AA244" s="11"/>
      <c r="AB244" s="11" t="s">
        <v>330</v>
      </c>
      <c r="AC244" s="212" t="s">
        <v>455</v>
      </c>
      <c r="AD244" s="11"/>
      <c r="AE244" s="11"/>
      <c r="AF244" s="11"/>
      <c r="AG244" s="11"/>
      <c r="AH244" s="11"/>
      <c r="AI244" s="11"/>
      <c r="AJ244" s="11"/>
      <c r="AK244" s="11" t="s">
        <v>332</v>
      </c>
      <c r="AL244" s="213">
        <f t="shared" si="6"/>
        <v>45955</v>
      </c>
      <c r="AM244" s="211">
        <f t="shared" si="7"/>
        <v>45957</v>
      </c>
    </row>
    <row r="245" spans="1:39" ht="21.6" customHeight="1">
      <c r="A245" s="11">
        <v>92</v>
      </c>
      <c r="B245" s="11" t="s">
        <v>363</v>
      </c>
      <c r="C245" s="11">
        <v>2025103131</v>
      </c>
      <c r="D245" s="11" t="s">
        <v>1501</v>
      </c>
      <c r="E245" s="11" t="s">
        <v>365</v>
      </c>
      <c r="F245" s="11">
        <v>4144</v>
      </c>
      <c r="G245" s="11" t="s">
        <v>1005</v>
      </c>
      <c r="H245" s="11" t="s">
        <v>490</v>
      </c>
      <c r="I245" s="11" t="s">
        <v>1502</v>
      </c>
      <c r="J245" s="11" t="s">
        <v>492</v>
      </c>
      <c r="K245" s="11" t="s">
        <v>446</v>
      </c>
      <c r="L245" s="11" t="s">
        <v>558</v>
      </c>
      <c r="M245" s="12" t="s">
        <v>559</v>
      </c>
      <c r="N245" s="11">
        <v>2403</v>
      </c>
      <c r="O245" s="12" t="s">
        <v>1503</v>
      </c>
      <c r="P245" s="13" t="s">
        <v>1504</v>
      </c>
      <c r="Q245" s="11" t="s">
        <v>1011</v>
      </c>
      <c r="R245" s="11" t="s">
        <v>326</v>
      </c>
      <c r="S245" s="11" t="s">
        <v>118</v>
      </c>
      <c r="T245" s="11">
        <v>1</v>
      </c>
      <c r="U245" s="11" t="s">
        <v>327</v>
      </c>
      <c r="V245" s="11" t="s">
        <v>1505</v>
      </c>
      <c r="W245" s="11" t="s">
        <v>1506</v>
      </c>
      <c r="X245" s="367">
        <v>45957.673611111109</v>
      </c>
      <c r="Y245" s="11" t="s">
        <v>1507</v>
      </c>
      <c r="Z245" s="11">
        <v>0.3</v>
      </c>
      <c r="AA245" s="11"/>
      <c r="AB245" s="11" t="s">
        <v>330</v>
      </c>
      <c r="AC245" s="212" t="s">
        <v>1508</v>
      </c>
      <c r="AD245" s="11"/>
      <c r="AE245" s="11"/>
      <c r="AF245" s="11"/>
      <c r="AG245" s="11"/>
      <c r="AH245" s="11"/>
      <c r="AI245" s="11"/>
      <c r="AJ245" s="11"/>
      <c r="AK245" s="11" t="s">
        <v>332</v>
      </c>
      <c r="AL245" s="213">
        <f t="shared" si="6"/>
        <v>45957</v>
      </c>
      <c r="AM245" s="211">
        <f t="shared" si="7"/>
        <v>45957</v>
      </c>
    </row>
    <row r="246" spans="1:39" ht="21.6" customHeight="1">
      <c r="A246" s="11">
        <v>93</v>
      </c>
      <c r="B246" s="11" t="s">
        <v>363</v>
      </c>
      <c r="C246" s="11">
        <v>2025103156</v>
      </c>
      <c r="D246" s="11" t="s">
        <v>1509</v>
      </c>
      <c r="E246" s="11" t="s">
        <v>365</v>
      </c>
      <c r="F246" s="11">
        <v>3840</v>
      </c>
      <c r="G246" s="11" t="s">
        <v>686</v>
      </c>
      <c r="H246" s="11" t="s">
        <v>358</v>
      </c>
      <c r="I246" s="11" t="s">
        <v>1510</v>
      </c>
      <c r="J246" s="11" t="s">
        <v>492</v>
      </c>
      <c r="K246" s="11" t="s">
        <v>446</v>
      </c>
      <c r="L246" s="11" t="s">
        <v>1007</v>
      </c>
      <c r="M246" s="12" t="s">
        <v>1008</v>
      </c>
      <c r="N246" s="11">
        <v>5803</v>
      </c>
      <c r="O246" s="12" t="s">
        <v>560</v>
      </c>
      <c r="P246" s="13" t="s">
        <v>1511</v>
      </c>
      <c r="Q246" s="11" t="s">
        <v>687</v>
      </c>
      <c r="R246" s="11" t="s">
        <v>326</v>
      </c>
      <c r="S246" s="11" t="s">
        <v>123</v>
      </c>
      <c r="T246" s="11">
        <v>1</v>
      </c>
      <c r="U246" s="11" t="s">
        <v>327</v>
      </c>
      <c r="V246" s="11" t="s">
        <v>1512</v>
      </c>
      <c r="W246" s="11" t="s">
        <v>1513</v>
      </c>
      <c r="X246" s="367">
        <v>45957.651388888888</v>
      </c>
      <c r="Y246" s="11" t="s">
        <v>1514</v>
      </c>
      <c r="Z246" s="11">
        <v>0.5</v>
      </c>
      <c r="AA246" s="11"/>
      <c r="AB246" s="11" t="s">
        <v>330</v>
      </c>
      <c r="AC246" s="212" t="s">
        <v>1515</v>
      </c>
      <c r="AD246" s="11"/>
      <c r="AE246" s="11"/>
      <c r="AF246" s="11"/>
      <c r="AG246" s="11"/>
      <c r="AH246" s="11"/>
      <c r="AI246" s="11"/>
      <c r="AJ246" s="11"/>
      <c r="AK246" s="11" t="s">
        <v>332</v>
      </c>
      <c r="AL246" s="213">
        <f t="shared" si="6"/>
        <v>45957</v>
      </c>
      <c r="AM246" s="211">
        <f t="shared" si="7"/>
        <v>45957</v>
      </c>
    </row>
    <row r="247" spans="1:39" ht="21.6" customHeight="1">
      <c r="A247" s="11">
        <v>94</v>
      </c>
      <c r="B247" s="11" t="s">
        <v>322</v>
      </c>
      <c r="C247" s="11">
        <v>2025103275</v>
      </c>
      <c r="D247" s="11"/>
      <c r="E247" s="11"/>
      <c r="F247" s="11">
        <v>4552</v>
      </c>
      <c r="G247" s="11" t="s">
        <v>1483</v>
      </c>
      <c r="H247" s="11" t="s">
        <v>490</v>
      </c>
      <c r="I247" s="11"/>
      <c r="J247" s="11"/>
      <c r="K247" s="11"/>
      <c r="L247" s="11"/>
      <c r="M247" s="12"/>
      <c r="N247" s="11"/>
      <c r="O247" s="12"/>
      <c r="P247" s="13"/>
      <c r="Q247" s="11" t="s">
        <v>1486</v>
      </c>
      <c r="R247" s="11" t="s">
        <v>326</v>
      </c>
      <c r="S247" s="11" t="s">
        <v>118</v>
      </c>
      <c r="T247" s="11">
        <v>1</v>
      </c>
      <c r="U247" s="11" t="s">
        <v>327</v>
      </c>
      <c r="V247" s="11" t="s">
        <v>1516</v>
      </c>
      <c r="W247" s="11" t="s">
        <v>1517</v>
      </c>
      <c r="X247" s="367">
        <v>45957.659722222219</v>
      </c>
      <c r="Y247" s="11"/>
      <c r="Z247" s="11">
        <v>0.3</v>
      </c>
      <c r="AA247" s="11"/>
      <c r="AB247" s="11" t="s">
        <v>330</v>
      </c>
      <c r="AC247" s="212" t="s">
        <v>341</v>
      </c>
      <c r="AD247" s="11" t="s">
        <v>332</v>
      </c>
      <c r="AE247" s="11"/>
      <c r="AF247" s="11"/>
      <c r="AG247" s="11"/>
      <c r="AH247" s="11"/>
      <c r="AI247" s="11"/>
      <c r="AJ247" s="11"/>
      <c r="AK247" s="11" t="s">
        <v>332</v>
      </c>
      <c r="AL247" s="213" t="e">
        <f t="shared" si="6"/>
        <v>#VALUE!</v>
      </c>
      <c r="AM247" s="211">
        <f t="shared" si="7"/>
        <v>45957</v>
      </c>
    </row>
    <row r="248" spans="1:39" ht="21.6" customHeight="1">
      <c r="A248" s="11">
        <v>95</v>
      </c>
      <c r="B248" s="11" t="s">
        <v>322</v>
      </c>
      <c r="C248" s="11">
        <v>2025103278</v>
      </c>
      <c r="D248" s="11"/>
      <c r="E248" s="11"/>
      <c r="F248" s="11">
        <v>4144</v>
      </c>
      <c r="G248" s="11" t="s">
        <v>1005</v>
      </c>
      <c r="H248" s="11" t="s">
        <v>490</v>
      </c>
      <c r="I248" s="11"/>
      <c r="J248" s="11"/>
      <c r="K248" s="11"/>
      <c r="L248" s="11"/>
      <c r="M248" s="12"/>
      <c r="N248" s="11"/>
      <c r="O248" s="12"/>
      <c r="P248" s="13"/>
      <c r="Q248" s="11" t="s">
        <v>1011</v>
      </c>
      <c r="R248" s="11" t="s">
        <v>326</v>
      </c>
      <c r="S248" s="11" t="s">
        <v>118</v>
      </c>
      <c r="T248" s="11">
        <v>1</v>
      </c>
      <c r="U248" s="11" t="s">
        <v>327</v>
      </c>
      <c r="V248" s="11" t="s">
        <v>1518</v>
      </c>
      <c r="W248" s="11" t="s">
        <v>1519</v>
      </c>
      <c r="X248" s="367">
        <v>45957.6875</v>
      </c>
      <c r="Y248" s="11"/>
      <c r="Z248" s="11">
        <v>0.3</v>
      </c>
      <c r="AA248" s="11"/>
      <c r="AB248" s="11" t="s">
        <v>330</v>
      </c>
      <c r="AC248" s="212" t="s">
        <v>341</v>
      </c>
      <c r="AD248" s="11" t="s">
        <v>332</v>
      </c>
      <c r="AE248" s="11"/>
      <c r="AF248" s="11"/>
      <c r="AG248" s="11"/>
      <c r="AH248" s="11"/>
      <c r="AI248" s="11"/>
      <c r="AJ248" s="11"/>
      <c r="AK248" s="11" t="s">
        <v>332</v>
      </c>
      <c r="AL248" s="213" t="e">
        <f t="shared" si="6"/>
        <v>#VALUE!</v>
      </c>
      <c r="AM248" s="211">
        <f t="shared" si="7"/>
        <v>45957</v>
      </c>
    </row>
    <row r="249" spans="1:39" ht="21.6" customHeight="1">
      <c r="A249" s="11">
        <v>96</v>
      </c>
      <c r="B249" s="11" t="s">
        <v>363</v>
      </c>
      <c r="C249" s="11">
        <v>2025103297</v>
      </c>
      <c r="D249" s="11" t="s">
        <v>1520</v>
      </c>
      <c r="E249" s="11" t="s">
        <v>365</v>
      </c>
      <c r="F249" s="11" t="s">
        <v>61</v>
      </c>
      <c r="G249" s="11" t="s">
        <v>1521</v>
      </c>
      <c r="H249" s="11" t="s">
        <v>396</v>
      </c>
      <c r="I249" s="11" t="s">
        <v>1522</v>
      </c>
      <c r="J249" s="11" t="s">
        <v>492</v>
      </c>
      <c r="K249" s="11" t="s">
        <v>903</v>
      </c>
      <c r="L249" s="11" t="s">
        <v>369</v>
      </c>
      <c r="M249" s="12" t="s">
        <v>370</v>
      </c>
      <c r="N249" s="11">
        <v>2302</v>
      </c>
      <c r="O249" s="12" t="s">
        <v>1523</v>
      </c>
      <c r="P249" s="13" t="s">
        <v>1524</v>
      </c>
      <c r="Q249" s="11" t="s">
        <v>1525</v>
      </c>
      <c r="R249" s="11" t="s">
        <v>326</v>
      </c>
      <c r="S249" s="11" t="s">
        <v>134</v>
      </c>
      <c r="T249" s="11">
        <v>1</v>
      </c>
      <c r="U249" s="11" t="s">
        <v>327</v>
      </c>
      <c r="V249" s="11" t="s">
        <v>1526</v>
      </c>
      <c r="W249" s="11" t="s">
        <v>1527</v>
      </c>
      <c r="X249" s="367">
        <v>45958.65625</v>
      </c>
      <c r="Y249" s="11" t="s">
        <v>1528</v>
      </c>
      <c r="Z249" s="11">
        <v>0.8</v>
      </c>
      <c r="AA249" s="11"/>
      <c r="AB249" s="11" t="s">
        <v>330</v>
      </c>
      <c r="AC249" s="212" t="s">
        <v>1529</v>
      </c>
      <c r="AD249" s="11"/>
      <c r="AE249" s="11"/>
      <c r="AF249" s="11"/>
      <c r="AG249" s="11"/>
      <c r="AH249" s="11"/>
      <c r="AI249" s="11"/>
      <c r="AJ249" s="11"/>
      <c r="AK249" s="11" t="s">
        <v>332</v>
      </c>
      <c r="AL249" s="213">
        <f t="shared" si="6"/>
        <v>45957</v>
      </c>
      <c r="AM249" s="211">
        <f t="shared" si="7"/>
        <v>45958</v>
      </c>
    </row>
    <row r="250" spans="1:39" ht="21.6" customHeight="1">
      <c r="A250" s="11">
        <v>97</v>
      </c>
      <c r="B250" s="11" t="s">
        <v>322</v>
      </c>
      <c r="C250" s="11">
        <v>2025103336</v>
      </c>
      <c r="D250" s="11"/>
      <c r="E250" s="11"/>
      <c r="F250" s="11" t="s">
        <v>50</v>
      </c>
      <c r="G250" s="11" t="s">
        <v>1530</v>
      </c>
      <c r="H250" s="11" t="s">
        <v>358</v>
      </c>
      <c r="I250" s="11"/>
      <c r="J250" s="11"/>
      <c r="K250" s="11"/>
      <c r="L250" s="11"/>
      <c r="M250" s="12"/>
      <c r="N250" s="11"/>
      <c r="O250" s="12"/>
      <c r="P250" s="13"/>
      <c r="Q250" s="11" t="s">
        <v>1531</v>
      </c>
      <c r="R250" s="11" t="s">
        <v>326</v>
      </c>
      <c r="S250" s="11" t="s">
        <v>123</v>
      </c>
      <c r="T250" s="11">
        <v>1</v>
      </c>
      <c r="U250" s="11" t="s">
        <v>327</v>
      </c>
      <c r="V250" s="11" t="s">
        <v>1532</v>
      </c>
      <c r="W250" s="11" t="s">
        <v>1533</v>
      </c>
      <c r="X250" s="367">
        <v>45958.451388888891</v>
      </c>
      <c r="Y250" s="11"/>
      <c r="Z250" s="11">
        <v>0.3</v>
      </c>
      <c r="AA250" s="11"/>
      <c r="AB250" s="11" t="s">
        <v>330</v>
      </c>
      <c r="AC250" s="212" t="s">
        <v>331</v>
      </c>
      <c r="AD250" s="11" t="s">
        <v>332</v>
      </c>
      <c r="AE250" s="11"/>
      <c r="AF250" s="11"/>
      <c r="AG250" s="11"/>
      <c r="AH250" s="11"/>
      <c r="AI250" s="11"/>
      <c r="AJ250" s="11"/>
      <c r="AK250" s="11" t="s">
        <v>332</v>
      </c>
      <c r="AL250" s="213" t="e">
        <f t="shared" si="6"/>
        <v>#VALUE!</v>
      </c>
      <c r="AM250" s="211">
        <f t="shared" si="7"/>
        <v>45958</v>
      </c>
    </row>
    <row r="251" spans="1:39" ht="21.6" customHeight="1">
      <c r="A251" s="11">
        <v>98</v>
      </c>
      <c r="B251" s="11" t="s">
        <v>322</v>
      </c>
      <c r="C251" s="11">
        <v>2025103337</v>
      </c>
      <c r="D251" s="11"/>
      <c r="E251" s="11"/>
      <c r="F251" s="11">
        <v>3606</v>
      </c>
      <c r="G251" s="11" t="s">
        <v>1534</v>
      </c>
      <c r="H251" s="11" t="s">
        <v>1535</v>
      </c>
      <c r="I251" s="11"/>
      <c r="J251" s="11"/>
      <c r="K251" s="11"/>
      <c r="L251" s="11"/>
      <c r="M251" s="12"/>
      <c r="N251" s="11"/>
      <c r="O251" s="12"/>
      <c r="P251" s="13"/>
      <c r="Q251" s="11" t="s">
        <v>1536</v>
      </c>
      <c r="R251" s="11" t="s">
        <v>326</v>
      </c>
      <c r="S251" s="11" t="s">
        <v>118</v>
      </c>
      <c r="T251" s="11">
        <v>1</v>
      </c>
      <c r="U251" s="11" t="s">
        <v>327</v>
      </c>
      <c r="V251" s="11" t="s">
        <v>1537</v>
      </c>
      <c r="W251" s="11" t="s">
        <v>1533</v>
      </c>
      <c r="X251" s="367">
        <v>45958.458333333343</v>
      </c>
      <c r="Y251" s="11"/>
      <c r="Z251" s="11">
        <v>0.5</v>
      </c>
      <c r="AA251" s="11"/>
      <c r="AB251" s="11" t="s">
        <v>330</v>
      </c>
      <c r="AC251" s="212" t="s">
        <v>341</v>
      </c>
      <c r="AD251" s="11" t="s">
        <v>332</v>
      </c>
      <c r="AE251" s="11"/>
      <c r="AF251" s="11"/>
      <c r="AG251" s="11"/>
      <c r="AH251" s="11"/>
      <c r="AI251" s="11"/>
      <c r="AJ251" s="11"/>
      <c r="AK251" s="11" t="s">
        <v>332</v>
      </c>
      <c r="AL251" s="213" t="e">
        <f t="shared" si="6"/>
        <v>#VALUE!</v>
      </c>
      <c r="AM251" s="211">
        <f t="shared" si="7"/>
        <v>45958</v>
      </c>
    </row>
    <row r="252" spans="1:39" ht="21.6" customHeight="1">
      <c r="A252" s="11">
        <v>99</v>
      </c>
      <c r="B252" s="11" t="s">
        <v>322</v>
      </c>
      <c r="C252" s="11">
        <v>2025103342</v>
      </c>
      <c r="D252" s="11"/>
      <c r="E252" s="11"/>
      <c r="F252" s="11">
        <v>4656</v>
      </c>
      <c r="G252" s="11" t="s">
        <v>1538</v>
      </c>
      <c r="H252" s="11" t="s">
        <v>1535</v>
      </c>
      <c r="I252" s="11"/>
      <c r="J252" s="11"/>
      <c r="K252" s="11"/>
      <c r="L252" s="11"/>
      <c r="M252" s="12"/>
      <c r="N252" s="11"/>
      <c r="O252" s="12"/>
      <c r="P252" s="13"/>
      <c r="Q252" s="11" t="s">
        <v>1539</v>
      </c>
      <c r="R252" s="11" t="s">
        <v>326</v>
      </c>
      <c r="S252" s="11" t="s">
        <v>118</v>
      </c>
      <c r="T252" s="11">
        <v>1</v>
      </c>
      <c r="U252" s="11" t="s">
        <v>327</v>
      </c>
      <c r="V252" s="11" t="s">
        <v>1540</v>
      </c>
      <c r="W252" s="11" t="s">
        <v>1541</v>
      </c>
      <c r="X252" s="367">
        <v>45958.479166666657</v>
      </c>
      <c r="Y252" s="11"/>
      <c r="Z252" s="11">
        <v>0.5</v>
      </c>
      <c r="AA252" s="11"/>
      <c r="AB252" s="11" t="s">
        <v>330</v>
      </c>
      <c r="AC252" s="212" t="s">
        <v>331</v>
      </c>
      <c r="AD252" s="11" t="s">
        <v>332</v>
      </c>
      <c r="AE252" s="11"/>
      <c r="AF252" s="11"/>
      <c r="AG252" s="11"/>
      <c r="AH252" s="11"/>
      <c r="AI252" s="11"/>
      <c r="AJ252" s="11" t="s">
        <v>332</v>
      </c>
      <c r="AK252" s="11" t="s">
        <v>332</v>
      </c>
      <c r="AL252" s="213" t="e">
        <f t="shared" si="6"/>
        <v>#VALUE!</v>
      </c>
      <c r="AM252" s="211">
        <f t="shared" si="7"/>
        <v>45958</v>
      </c>
    </row>
    <row r="253" spans="1:39" ht="21.6" customHeight="1">
      <c r="A253" s="11">
        <v>100</v>
      </c>
      <c r="B253" s="11" t="s">
        <v>322</v>
      </c>
      <c r="C253" s="11">
        <v>2025103348</v>
      </c>
      <c r="D253" s="11"/>
      <c r="E253" s="11"/>
      <c r="F253" s="11">
        <v>5377</v>
      </c>
      <c r="G253" s="11" t="s">
        <v>203</v>
      </c>
      <c r="H253" s="11" t="s">
        <v>358</v>
      </c>
      <c r="I253" s="11"/>
      <c r="J253" s="11"/>
      <c r="K253" s="11"/>
      <c r="L253" s="11"/>
      <c r="M253" s="12"/>
      <c r="N253" s="11"/>
      <c r="O253" s="12"/>
      <c r="P253" s="13"/>
      <c r="Q253" s="11" t="s">
        <v>1386</v>
      </c>
      <c r="R253" s="11" t="s">
        <v>326</v>
      </c>
      <c r="S253" s="11" t="s">
        <v>123</v>
      </c>
      <c r="T253" s="11">
        <v>1</v>
      </c>
      <c r="U253" s="11" t="s">
        <v>327</v>
      </c>
      <c r="V253" s="11" t="s">
        <v>1542</v>
      </c>
      <c r="W253" s="11" t="s">
        <v>1543</v>
      </c>
      <c r="X253" s="367">
        <v>45958.472222222219</v>
      </c>
      <c r="Y253" s="11"/>
      <c r="Z253" s="11">
        <v>0.3</v>
      </c>
      <c r="AA253" s="11"/>
      <c r="AB253" s="11" t="s">
        <v>330</v>
      </c>
      <c r="AC253" s="212" t="s">
        <v>1544</v>
      </c>
      <c r="AD253" s="11"/>
      <c r="AE253" s="11"/>
      <c r="AF253" s="11"/>
      <c r="AG253" s="11"/>
      <c r="AH253" s="11"/>
      <c r="AI253" s="11"/>
      <c r="AJ253" s="11" t="s">
        <v>332</v>
      </c>
      <c r="AK253" s="11" t="s">
        <v>332</v>
      </c>
      <c r="AL253" s="213" t="e">
        <f t="shared" si="6"/>
        <v>#VALUE!</v>
      </c>
      <c r="AM253" s="211">
        <f t="shared" si="7"/>
        <v>45958</v>
      </c>
    </row>
    <row r="254" spans="1:39" ht="21.6" customHeight="1">
      <c r="A254" s="11">
        <v>101</v>
      </c>
      <c r="B254" s="11" t="s">
        <v>322</v>
      </c>
      <c r="C254" s="11">
        <v>2025103349</v>
      </c>
      <c r="D254" s="11"/>
      <c r="E254" s="11"/>
      <c r="F254" s="11" t="s">
        <v>62</v>
      </c>
      <c r="G254" s="11" t="s">
        <v>1545</v>
      </c>
      <c r="H254" s="11" t="s">
        <v>358</v>
      </c>
      <c r="I254" s="11"/>
      <c r="J254" s="11"/>
      <c r="K254" s="11"/>
      <c r="L254" s="11"/>
      <c r="M254" s="12"/>
      <c r="N254" s="11"/>
      <c r="O254" s="12"/>
      <c r="P254" s="13"/>
      <c r="Q254" s="11" t="s">
        <v>1546</v>
      </c>
      <c r="R254" s="11" t="s">
        <v>326</v>
      </c>
      <c r="S254" s="11" t="s">
        <v>123</v>
      </c>
      <c r="T254" s="11">
        <v>1</v>
      </c>
      <c r="U254" s="11" t="s">
        <v>327</v>
      </c>
      <c r="V254" s="11" t="s">
        <v>1547</v>
      </c>
      <c r="W254" s="11" t="s">
        <v>1548</v>
      </c>
      <c r="X254" s="367">
        <v>45958.513888888891</v>
      </c>
      <c r="Y254" s="11"/>
      <c r="Z254" s="11">
        <v>0.3</v>
      </c>
      <c r="AA254" s="11"/>
      <c r="AB254" s="11" t="s">
        <v>330</v>
      </c>
      <c r="AC254" s="212" t="s">
        <v>331</v>
      </c>
      <c r="AD254" s="11" t="s">
        <v>332</v>
      </c>
      <c r="AE254" s="11"/>
      <c r="AF254" s="11"/>
      <c r="AG254" s="11"/>
      <c r="AH254" s="11"/>
      <c r="AI254" s="11"/>
      <c r="AJ254" s="11"/>
      <c r="AK254" s="11" t="s">
        <v>332</v>
      </c>
      <c r="AL254" s="213" t="e">
        <f t="shared" si="6"/>
        <v>#VALUE!</v>
      </c>
      <c r="AM254" s="211">
        <f t="shared" si="7"/>
        <v>45958</v>
      </c>
    </row>
    <row r="255" spans="1:39" ht="21.6" customHeight="1">
      <c r="A255" s="11">
        <v>102</v>
      </c>
      <c r="B255" s="11" t="s">
        <v>363</v>
      </c>
      <c r="C255" s="11">
        <v>2025103351</v>
      </c>
      <c r="D255" s="11" t="s">
        <v>1549</v>
      </c>
      <c r="E255" s="11" t="s">
        <v>365</v>
      </c>
      <c r="F255" s="11">
        <v>3380</v>
      </c>
      <c r="G255" s="11" t="s">
        <v>1550</v>
      </c>
      <c r="H255" s="11" t="s">
        <v>490</v>
      </c>
      <c r="I255" s="11" t="s">
        <v>1551</v>
      </c>
      <c r="J255" s="11" t="s">
        <v>368</v>
      </c>
      <c r="K255" s="11" t="s">
        <v>200</v>
      </c>
      <c r="L255" s="11" t="s">
        <v>369</v>
      </c>
      <c r="M255" s="12" t="s">
        <v>370</v>
      </c>
      <c r="N255" s="11">
        <v>2307</v>
      </c>
      <c r="O255" s="12" t="s">
        <v>385</v>
      </c>
      <c r="P255" s="13" t="s">
        <v>1552</v>
      </c>
      <c r="Q255" s="11" t="s">
        <v>1553</v>
      </c>
      <c r="R255" s="11" t="s">
        <v>326</v>
      </c>
      <c r="S255" s="11" t="s">
        <v>118</v>
      </c>
      <c r="T255" s="11">
        <v>1</v>
      </c>
      <c r="U255" s="11" t="s">
        <v>327</v>
      </c>
      <c r="V255" s="11" t="s">
        <v>1554</v>
      </c>
      <c r="W255" s="11" t="s">
        <v>1555</v>
      </c>
      <c r="X255" s="367">
        <v>45959.458333333343</v>
      </c>
      <c r="Y255" s="11" t="s">
        <v>1556</v>
      </c>
      <c r="Z255" s="11">
        <v>1</v>
      </c>
      <c r="AA255" s="11"/>
      <c r="AB255" s="11" t="s">
        <v>330</v>
      </c>
      <c r="AC255" s="212" t="s">
        <v>1557</v>
      </c>
      <c r="AD255" s="11"/>
      <c r="AE255" s="11"/>
      <c r="AF255" s="11"/>
      <c r="AG255" s="11"/>
      <c r="AH255" s="11"/>
      <c r="AI255" s="11"/>
      <c r="AJ255" s="11"/>
      <c r="AK255" s="11" t="s">
        <v>332</v>
      </c>
      <c r="AL255" s="213">
        <f t="shared" si="6"/>
        <v>45958</v>
      </c>
      <c r="AM255" s="211">
        <f t="shared" si="7"/>
        <v>45959</v>
      </c>
    </row>
    <row r="256" spans="1:39" ht="21.6" customHeight="1">
      <c r="A256" s="11">
        <v>103</v>
      </c>
      <c r="B256" s="11" t="s">
        <v>322</v>
      </c>
      <c r="C256" s="11">
        <v>2025103352</v>
      </c>
      <c r="D256" s="11"/>
      <c r="E256" s="11"/>
      <c r="F256" s="11">
        <v>4560</v>
      </c>
      <c r="G256" s="11" t="s">
        <v>1558</v>
      </c>
      <c r="H256" s="11" t="s">
        <v>358</v>
      </c>
      <c r="I256" s="11"/>
      <c r="J256" s="11"/>
      <c r="K256" s="11"/>
      <c r="L256" s="11"/>
      <c r="M256" s="12"/>
      <c r="N256" s="11"/>
      <c r="O256" s="12"/>
      <c r="P256" s="13"/>
      <c r="Q256" s="11" t="s">
        <v>1559</v>
      </c>
      <c r="R256" s="11" t="s">
        <v>326</v>
      </c>
      <c r="S256" s="11" t="s">
        <v>123</v>
      </c>
      <c r="T256" s="11">
        <v>1</v>
      </c>
      <c r="U256" s="11" t="s">
        <v>327</v>
      </c>
      <c r="V256" s="11" t="s">
        <v>1560</v>
      </c>
      <c r="W256" s="11" t="s">
        <v>1561</v>
      </c>
      <c r="X256" s="367">
        <v>45958.551388888889</v>
      </c>
      <c r="Y256" s="11"/>
      <c r="Z256" s="11">
        <v>0.4</v>
      </c>
      <c r="AA256" s="11"/>
      <c r="AB256" s="11" t="s">
        <v>330</v>
      </c>
      <c r="AC256" s="212" t="s">
        <v>331</v>
      </c>
      <c r="AD256" s="11" t="s">
        <v>332</v>
      </c>
      <c r="AE256" s="11"/>
      <c r="AF256" s="11"/>
      <c r="AG256" s="11"/>
      <c r="AH256" s="11"/>
      <c r="AI256" s="11"/>
      <c r="AJ256" s="11"/>
      <c r="AK256" s="11" t="s">
        <v>332</v>
      </c>
      <c r="AL256" s="213" t="e">
        <f t="shared" si="6"/>
        <v>#VALUE!</v>
      </c>
      <c r="AM256" s="211">
        <f t="shared" si="7"/>
        <v>45958</v>
      </c>
    </row>
    <row r="257" spans="1:39" ht="21.6" customHeight="1">
      <c r="A257" s="11">
        <v>104</v>
      </c>
      <c r="B257" s="11" t="s">
        <v>322</v>
      </c>
      <c r="C257" s="11">
        <v>2025103356</v>
      </c>
      <c r="D257" s="11"/>
      <c r="E257" s="11"/>
      <c r="F257" s="11">
        <v>2935</v>
      </c>
      <c r="G257" s="11" t="s">
        <v>1562</v>
      </c>
      <c r="H257" s="11" t="s">
        <v>358</v>
      </c>
      <c r="I257" s="11"/>
      <c r="J257" s="11"/>
      <c r="K257" s="11"/>
      <c r="L257" s="11"/>
      <c r="M257" s="12"/>
      <c r="N257" s="11"/>
      <c r="O257" s="12"/>
      <c r="P257" s="13"/>
      <c r="Q257" s="11" t="s">
        <v>1563</v>
      </c>
      <c r="R257" s="11" t="s">
        <v>326</v>
      </c>
      <c r="S257" s="11" t="s">
        <v>123</v>
      </c>
      <c r="T257" s="11">
        <v>1</v>
      </c>
      <c r="U257" s="11" t="s">
        <v>327</v>
      </c>
      <c r="V257" s="11" t="s">
        <v>1564</v>
      </c>
      <c r="W257" s="11" t="s">
        <v>1565</v>
      </c>
      <c r="X257" s="367">
        <v>45958.602777777778</v>
      </c>
      <c r="Y257" s="11"/>
      <c r="Z257" s="11">
        <v>0.5</v>
      </c>
      <c r="AA257" s="11"/>
      <c r="AB257" s="11" t="s">
        <v>330</v>
      </c>
      <c r="AC257" s="212" t="s">
        <v>331</v>
      </c>
      <c r="AD257" s="11" t="s">
        <v>332</v>
      </c>
      <c r="AE257" s="11"/>
      <c r="AF257" s="11"/>
      <c r="AG257" s="11"/>
      <c r="AH257" s="11"/>
      <c r="AI257" s="11"/>
      <c r="AJ257" s="11"/>
      <c r="AK257" s="11" t="s">
        <v>332</v>
      </c>
      <c r="AL257" s="213" t="e">
        <f t="shared" si="6"/>
        <v>#VALUE!</v>
      </c>
      <c r="AM257" s="211">
        <f t="shared" si="7"/>
        <v>45958</v>
      </c>
    </row>
    <row r="258" spans="1:39" ht="21.6" customHeight="1">
      <c r="A258" s="11">
        <v>105</v>
      </c>
      <c r="B258" s="11" t="s">
        <v>322</v>
      </c>
      <c r="C258" s="11">
        <v>2025103369</v>
      </c>
      <c r="D258" s="11"/>
      <c r="E258" s="11"/>
      <c r="F258" s="11">
        <v>4715</v>
      </c>
      <c r="G258" s="11" t="s">
        <v>1566</v>
      </c>
      <c r="H258" s="11" t="s">
        <v>324</v>
      </c>
      <c r="I258" s="11"/>
      <c r="J258" s="11"/>
      <c r="K258" s="11"/>
      <c r="L258" s="11"/>
      <c r="M258" s="12"/>
      <c r="N258" s="11"/>
      <c r="O258" s="12"/>
      <c r="P258" s="13"/>
      <c r="Q258" s="11" t="s">
        <v>1567</v>
      </c>
      <c r="R258" s="11" t="s">
        <v>326</v>
      </c>
      <c r="S258" s="11" t="s">
        <v>118</v>
      </c>
      <c r="T258" s="11">
        <v>1</v>
      </c>
      <c r="U258" s="11" t="s">
        <v>327</v>
      </c>
      <c r="V258" s="11" t="s">
        <v>1568</v>
      </c>
      <c r="W258" s="11" t="s">
        <v>1569</v>
      </c>
      <c r="X258" s="367">
        <v>45958.625</v>
      </c>
      <c r="Y258" s="11"/>
      <c r="Z258" s="11">
        <v>0.5</v>
      </c>
      <c r="AA258" s="11"/>
      <c r="AB258" s="11" t="s">
        <v>330</v>
      </c>
      <c r="AC258" s="212" t="s">
        <v>331</v>
      </c>
      <c r="AD258" s="11" t="s">
        <v>332</v>
      </c>
      <c r="AE258" s="11"/>
      <c r="AF258" s="11"/>
      <c r="AG258" s="11"/>
      <c r="AH258" s="11"/>
      <c r="AI258" s="11"/>
      <c r="AJ258" s="11" t="s">
        <v>332</v>
      </c>
      <c r="AK258" s="11" t="s">
        <v>332</v>
      </c>
      <c r="AL258" s="213" t="e">
        <f t="shared" ref="AL258:AL321" si="8">DATEVALUE(TEXT(I258, "yyyy/mm/dd"))</f>
        <v>#VALUE!</v>
      </c>
      <c r="AM258" s="211">
        <f t="shared" ref="AM258:AM321" si="9">DATEVALUE(TEXT(X258, "yyyy/mm/dd"))</f>
        <v>45958</v>
      </c>
    </row>
    <row r="259" spans="1:39" ht="21.6" customHeight="1">
      <c r="A259" s="11">
        <v>106</v>
      </c>
      <c r="B259" s="11" t="s">
        <v>322</v>
      </c>
      <c r="C259" s="11">
        <v>2025103375</v>
      </c>
      <c r="D259" s="11"/>
      <c r="E259" s="11"/>
      <c r="F259" s="11">
        <v>2042</v>
      </c>
      <c r="G259" s="11" t="s">
        <v>1570</v>
      </c>
      <c r="H259" s="11" t="s">
        <v>358</v>
      </c>
      <c r="I259" s="11"/>
      <c r="J259" s="11"/>
      <c r="K259" s="11"/>
      <c r="L259" s="11"/>
      <c r="M259" s="12"/>
      <c r="N259" s="11"/>
      <c r="O259" s="12"/>
      <c r="P259" s="13"/>
      <c r="Q259" s="11" t="s">
        <v>1571</v>
      </c>
      <c r="R259" s="11" t="s">
        <v>326</v>
      </c>
      <c r="S259" s="11" t="s">
        <v>123</v>
      </c>
      <c r="T259" s="11">
        <v>1</v>
      </c>
      <c r="U259" s="11" t="s">
        <v>327</v>
      </c>
      <c r="V259" s="11" t="s">
        <v>1572</v>
      </c>
      <c r="W259" s="11" t="s">
        <v>1527</v>
      </c>
      <c r="X259" s="367">
        <v>45958.636805555558</v>
      </c>
      <c r="Y259" s="11"/>
      <c r="Z259" s="11">
        <v>0.3</v>
      </c>
      <c r="AA259" s="11"/>
      <c r="AB259" s="11" t="s">
        <v>330</v>
      </c>
      <c r="AC259" s="212" t="s">
        <v>331</v>
      </c>
      <c r="AD259" s="11" t="s">
        <v>332</v>
      </c>
      <c r="AE259" s="11"/>
      <c r="AF259" s="11"/>
      <c r="AG259" s="11"/>
      <c r="AH259" s="11"/>
      <c r="AI259" s="11"/>
      <c r="AJ259" s="11"/>
      <c r="AK259" s="11" t="s">
        <v>332</v>
      </c>
      <c r="AL259" s="213" t="e">
        <f t="shared" si="8"/>
        <v>#VALUE!</v>
      </c>
      <c r="AM259" s="211">
        <f t="shared" si="9"/>
        <v>45958</v>
      </c>
    </row>
    <row r="260" spans="1:39" ht="21.6" customHeight="1">
      <c r="A260" s="11">
        <v>107</v>
      </c>
      <c r="B260" s="11" t="s">
        <v>363</v>
      </c>
      <c r="C260" s="11">
        <v>2025103379</v>
      </c>
      <c r="D260" s="11" t="s">
        <v>1573</v>
      </c>
      <c r="E260" s="11" t="s">
        <v>365</v>
      </c>
      <c r="F260" s="11">
        <v>4154</v>
      </c>
      <c r="G260" s="11" t="s">
        <v>180</v>
      </c>
      <c r="H260" s="11" t="s">
        <v>324</v>
      </c>
      <c r="I260" s="11" t="s">
        <v>1574</v>
      </c>
      <c r="J260" s="11" t="s">
        <v>368</v>
      </c>
      <c r="K260" s="11" t="s">
        <v>200</v>
      </c>
      <c r="L260" s="11" t="s">
        <v>1007</v>
      </c>
      <c r="M260" s="12" t="s">
        <v>1008</v>
      </c>
      <c r="N260" s="11">
        <v>5803</v>
      </c>
      <c r="O260" s="12" t="s">
        <v>560</v>
      </c>
      <c r="P260" s="13" t="s">
        <v>1575</v>
      </c>
      <c r="Q260" s="11" t="s">
        <v>698</v>
      </c>
      <c r="R260" s="11" t="s">
        <v>326</v>
      </c>
      <c r="S260" s="11" t="s">
        <v>118</v>
      </c>
      <c r="T260" s="11">
        <v>1</v>
      </c>
      <c r="U260" s="11" t="s">
        <v>327</v>
      </c>
      <c r="V260" s="11" t="s">
        <v>1576</v>
      </c>
      <c r="W260" s="11" t="s">
        <v>1577</v>
      </c>
      <c r="X260" s="367">
        <v>45958.6875</v>
      </c>
      <c r="Y260" s="11" t="s">
        <v>1578</v>
      </c>
      <c r="Z260" s="11">
        <v>1</v>
      </c>
      <c r="AA260" s="11"/>
      <c r="AB260" s="11" t="s">
        <v>330</v>
      </c>
      <c r="AC260" s="212" t="s">
        <v>1579</v>
      </c>
      <c r="AD260" s="11"/>
      <c r="AE260" s="11"/>
      <c r="AF260" s="11"/>
      <c r="AG260" s="11"/>
      <c r="AH260" s="11"/>
      <c r="AI260" s="11"/>
      <c r="AJ260" s="11"/>
      <c r="AK260" s="11" t="s">
        <v>332</v>
      </c>
      <c r="AL260" s="213">
        <f t="shared" si="8"/>
        <v>45958</v>
      </c>
      <c r="AM260" s="211">
        <f t="shared" si="9"/>
        <v>45958</v>
      </c>
    </row>
    <row r="261" spans="1:39" ht="21.6" customHeight="1">
      <c r="A261" s="11">
        <v>108</v>
      </c>
      <c r="B261" s="11" t="s">
        <v>363</v>
      </c>
      <c r="C261" s="11">
        <v>2025103380</v>
      </c>
      <c r="D261" s="11" t="s">
        <v>1580</v>
      </c>
      <c r="E261" s="11" t="s">
        <v>365</v>
      </c>
      <c r="F261" s="11">
        <v>5364</v>
      </c>
      <c r="G261" s="11" t="s">
        <v>261</v>
      </c>
      <c r="H261" s="11" t="s">
        <v>324</v>
      </c>
      <c r="I261" s="11" t="s">
        <v>1581</v>
      </c>
      <c r="J261" s="11" t="s">
        <v>368</v>
      </c>
      <c r="K261" s="11" t="s">
        <v>200</v>
      </c>
      <c r="L261" s="11" t="s">
        <v>369</v>
      </c>
      <c r="M261" s="12" t="s">
        <v>370</v>
      </c>
      <c r="N261" s="11">
        <v>2306</v>
      </c>
      <c r="O261" s="12" t="s">
        <v>425</v>
      </c>
      <c r="P261" s="13" t="s">
        <v>1582</v>
      </c>
      <c r="Q261" s="11" t="s">
        <v>427</v>
      </c>
      <c r="R261" s="11" t="s">
        <v>326</v>
      </c>
      <c r="S261" s="11" t="s">
        <v>118</v>
      </c>
      <c r="T261" s="11">
        <v>1</v>
      </c>
      <c r="U261" s="11" t="s">
        <v>327</v>
      </c>
      <c r="V261" s="11" t="s">
        <v>1583</v>
      </c>
      <c r="W261" s="11" t="s">
        <v>1584</v>
      </c>
      <c r="X261" s="367">
        <v>45958.777777777781</v>
      </c>
      <c r="Y261" s="11" t="s">
        <v>1585</v>
      </c>
      <c r="Z261" s="11">
        <v>1.7</v>
      </c>
      <c r="AA261" s="11"/>
      <c r="AB261" s="11" t="s">
        <v>330</v>
      </c>
      <c r="AC261" s="212" t="s">
        <v>1586</v>
      </c>
      <c r="AD261" s="11"/>
      <c r="AE261" s="11"/>
      <c r="AF261" s="11"/>
      <c r="AG261" s="11"/>
      <c r="AH261" s="11"/>
      <c r="AI261" s="11"/>
      <c r="AJ261" s="11"/>
      <c r="AK261" s="11" t="s">
        <v>332</v>
      </c>
      <c r="AL261" s="213">
        <f t="shared" si="8"/>
        <v>45958</v>
      </c>
      <c r="AM261" s="211">
        <f t="shared" si="9"/>
        <v>45958</v>
      </c>
    </row>
    <row r="262" spans="1:39" ht="21.6" customHeight="1">
      <c r="A262" s="11">
        <v>109</v>
      </c>
      <c r="B262" s="11" t="s">
        <v>363</v>
      </c>
      <c r="C262" s="11">
        <v>2025103384</v>
      </c>
      <c r="D262" s="11" t="s">
        <v>1587</v>
      </c>
      <c r="E262" s="11" t="s">
        <v>365</v>
      </c>
      <c r="F262" s="11">
        <v>3601</v>
      </c>
      <c r="G262" s="11" t="s">
        <v>1588</v>
      </c>
      <c r="H262" s="11" t="s">
        <v>358</v>
      </c>
      <c r="I262" s="11" t="s">
        <v>1589</v>
      </c>
      <c r="J262" s="11" t="s">
        <v>368</v>
      </c>
      <c r="K262" s="11" t="s">
        <v>200</v>
      </c>
      <c r="L262" s="11" t="s">
        <v>493</v>
      </c>
      <c r="M262" s="12" t="s">
        <v>494</v>
      </c>
      <c r="N262" s="11">
        <v>2501</v>
      </c>
      <c r="O262" s="12" t="s">
        <v>495</v>
      </c>
      <c r="P262" s="13" t="s">
        <v>1590</v>
      </c>
      <c r="Q262" s="11" t="s">
        <v>1591</v>
      </c>
      <c r="R262" s="11" t="s">
        <v>326</v>
      </c>
      <c r="S262" s="11" t="s">
        <v>118</v>
      </c>
      <c r="T262" s="11">
        <v>1</v>
      </c>
      <c r="U262" s="11" t="s">
        <v>327</v>
      </c>
      <c r="V262" s="11" t="s">
        <v>1592</v>
      </c>
      <c r="W262" s="11" t="s">
        <v>1593</v>
      </c>
      <c r="X262" s="367">
        <v>45959.541666666657</v>
      </c>
      <c r="Y262" s="11" t="s">
        <v>1594</v>
      </c>
      <c r="Z262" s="11">
        <v>0.5</v>
      </c>
      <c r="AA262" s="11"/>
      <c r="AB262" s="11" t="s">
        <v>330</v>
      </c>
      <c r="AC262" s="212" t="s">
        <v>1595</v>
      </c>
      <c r="AD262" s="11"/>
      <c r="AE262" s="11"/>
      <c r="AF262" s="11"/>
      <c r="AG262" s="11"/>
      <c r="AH262" s="11"/>
      <c r="AI262" s="11"/>
      <c r="AJ262" s="11"/>
      <c r="AK262" s="11" t="s">
        <v>332</v>
      </c>
      <c r="AL262" s="213">
        <f t="shared" si="8"/>
        <v>45958</v>
      </c>
      <c r="AM262" s="211">
        <f t="shared" si="9"/>
        <v>45959</v>
      </c>
    </row>
    <row r="263" spans="1:39" ht="21.6" customHeight="1">
      <c r="A263" s="11">
        <v>110</v>
      </c>
      <c r="B263" s="11" t="s">
        <v>322</v>
      </c>
      <c r="C263" s="11">
        <v>2025103385</v>
      </c>
      <c r="D263" s="11"/>
      <c r="E263" s="11"/>
      <c r="F263" s="11" t="s">
        <v>61</v>
      </c>
      <c r="G263" s="11" t="s">
        <v>1521</v>
      </c>
      <c r="H263" s="11" t="s">
        <v>396</v>
      </c>
      <c r="I263" s="11"/>
      <c r="J263" s="11"/>
      <c r="K263" s="11"/>
      <c r="L263" s="11"/>
      <c r="M263" s="12"/>
      <c r="N263" s="11"/>
      <c r="O263" s="12"/>
      <c r="P263" s="13"/>
      <c r="Q263" s="11" t="s">
        <v>1525</v>
      </c>
      <c r="R263" s="11" t="s">
        <v>326</v>
      </c>
      <c r="S263" s="11" t="s">
        <v>134</v>
      </c>
      <c r="T263" s="11">
        <v>1</v>
      </c>
      <c r="U263" s="11" t="s">
        <v>327</v>
      </c>
      <c r="V263" s="11" t="s">
        <v>1596</v>
      </c>
      <c r="W263" s="11" t="s">
        <v>1527</v>
      </c>
      <c r="X263" s="367">
        <v>45958.656944444447</v>
      </c>
      <c r="Y263" s="11"/>
      <c r="Z263" s="11">
        <v>0.8</v>
      </c>
      <c r="AA263" s="11"/>
      <c r="AB263" s="11" t="s">
        <v>330</v>
      </c>
      <c r="AC263" s="212" t="s">
        <v>341</v>
      </c>
      <c r="AD263" s="11" t="s">
        <v>332</v>
      </c>
      <c r="AE263" s="11"/>
      <c r="AF263" s="11"/>
      <c r="AG263" s="11"/>
      <c r="AH263" s="11"/>
      <c r="AI263" s="11"/>
      <c r="AJ263" s="11"/>
      <c r="AK263" s="11" t="s">
        <v>332</v>
      </c>
      <c r="AL263" s="213" t="e">
        <f t="shared" si="8"/>
        <v>#VALUE!</v>
      </c>
      <c r="AM263" s="211">
        <f t="shared" si="9"/>
        <v>45958</v>
      </c>
    </row>
    <row r="264" spans="1:39" ht="21.6" customHeight="1">
      <c r="A264" s="11">
        <v>111</v>
      </c>
      <c r="B264" s="11" t="s">
        <v>322</v>
      </c>
      <c r="C264" s="11">
        <v>2025103386</v>
      </c>
      <c r="D264" s="11"/>
      <c r="E264" s="11"/>
      <c r="F264" s="11">
        <v>2303</v>
      </c>
      <c r="G264" s="11" t="s">
        <v>1597</v>
      </c>
      <c r="H264" s="11" t="s">
        <v>358</v>
      </c>
      <c r="I264" s="11"/>
      <c r="J264" s="11"/>
      <c r="K264" s="11"/>
      <c r="L264" s="11"/>
      <c r="M264" s="12"/>
      <c r="N264" s="11"/>
      <c r="O264" s="12"/>
      <c r="P264" s="13"/>
      <c r="Q264" s="11" t="s">
        <v>1598</v>
      </c>
      <c r="R264" s="11" t="s">
        <v>326</v>
      </c>
      <c r="S264" s="11" t="s">
        <v>123</v>
      </c>
      <c r="T264" s="11">
        <v>1</v>
      </c>
      <c r="U264" s="11" t="s">
        <v>327</v>
      </c>
      <c r="V264" s="11" t="s">
        <v>1599</v>
      </c>
      <c r="W264" s="11" t="s">
        <v>1565</v>
      </c>
      <c r="X264" s="367">
        <v>45958.597222222219</v>
      </c>
      <c r="Y264" s="11"/>
      <c r="Z264" s="11">
        <v>0.3</v>
      </c>
      <c r="AA264" s="11"/>
      <c r="AB264" s="11" t="s">
        <v>330</v>
      </c>
      <c r="AC264" s="212" t="s">
        <v>331</v>
      </c>
      <c r="AD264" s="11" t="s">
        <v>332</v>
      </c>
      <c r="AE264" s="11"/>
      <c r="AF264" s="11"/>
      <c r="AG264" s="11"/>
      <c r="AH264" s="11"/>
      <c r="AI264" s="11"/>
      <c r="AJ264" s="11"/>
      <c r="AK264" s="11" t="s">
        <v>332</v>
      </c>
      <c r="AL264" s="213" t="e">
        <f t="shared" si="8"/>
        <v>#VALUE!</v>
      </c>
      <c r="AM264" s="211">
        <f t="shared" si="9"/>
        <v>45958</v>
      </c>
    </row>
    <row r="265" spans="1:39" ht="21.6" customHeight="1">
      <c r="A265" s="11">
        <v>112</v>
      </c>
      <c r="B265" s="11" t="s">
        <v>322</v>
      </c>
      <c r="C265" s="11">
        <v>2025103387</v>
      </c>
      <c r="D265" s="11"/>
      <c r="E265" s="11"/>
      <c r="F265" s="11">
        <v>2935</v>
      </c>
      <c r="G265" s="11" t="s">
        <v>1562</v>
      </c>
      <c r="H265" s="11" t="s">
        <v>358</v>
      </c>
      <c r="I265" s="11"/>
      <c r="J265" s="11"/>
      <c r="K265" s="11"/>
      <c r="L265" s="11"/>
      <c r="M265" s="12"/>
      <c r="N265" s="11"/>
      <c r="O265" s="12"/>
      <c r="P265" s="13"/>
      <c r="Q265" s="11" t="s">
        <v>1563</v>
      </c>
      <c r="R265" s="11" t="s">
        <v>326</v>
      </c>
      <c r="S265" s="11" t="s">
        <v>123</v>
      </c>
      <c r="T265" s="11">
        <v>1</v>
      </c>
      <c r="U265" s="11" t="s">
        <v>327</v>
      </c>
      <c r="V265" s="11" t="s">
        <v>1600</v>
      </c>
      <c r="W265" s="11" t="s">
        <v>1577</v>
      </c>
      <c r="X265" s="367">
        <v>45958.659722222219</v>
      </c>
      <c r="Y265" s="11"/>
      <c r="Z265" s="11">
        <v>0.3</v>
      </c>
      <c r="AA265" s="11"/>
      <c r="AB265" s="11" t="s">
        <v>330</v>
      </c>
      <c r="AC265" s="212" t="s">
        <v>331</v>
      </c>
      <c r="AD265" s="11" t="s">
        <v>332</v>
      </c>
      <c r="AE265" s="11"/>
      <c r="AF265" s="11"/>
      <c r="AG265" s="11"/>
      <c r="AH265" s="11"/>
      <c r="AI265" s="11"/>
      <c r="AJ265" s="11"/>
      <c r="AK265" s="11" t="s">
        <v>332</v>
      </c>
      <c r="AL265" s="213" t="e">
        <f t="shared" si="8"/>
        <v>#VALUE!</v>
      </c>
      <c r="AM265" s="211">
        <f t="shared" si="9"/>
        <v>45958</v>
      </c>
    </row>
    <row r="266" spans="1:39" ht="21.6" customHeight="1">
      <c r="A266" s="11">
        <v>113</v>
      </c>
      <c r="B266" s="11" t="s">
        <v>322</v>
      </c>
      <c r="C266" s="11">
        <v>2025103398</v>
      </c>
      <c r="D266" s="11"/>
      <c r="E266" s="11"/>
      <c r="F266" s="11">
        <v>4154</v>
      </c>
      <c r="G266" s="11" t="s">
        <v>180</v>
      </c>
      <c r="H266" s="11" t="s">
        <v>324</v>
      </c>
      <c r="I266" s="11"/>
      <c r="J266" s="11"/>
      <c r="K266" s="11"/>
      <c r="L266" s="11"/>
      <c r="M266" s="12"/>
      <c r="N266" s="11"/>
      <c r="O266" s="12"/>
      <c r="P266" s="13"/>
      <c r="Q266" s="11" t="s">
        <v>698</v>
      </c>
      <c r="R266" s="11" t="s">
        <v>326</v>
      </c>
      <c r="S266" s="11" t="s">
        <v>118</v>
      </c>
      <c r="T266" s="11">
        <v>1</v>
      </c>
      <c r="U266" s="11" t="s">
        <v>327</v>
      </c>
      <c r="V266" s="11" t="s">
        <v>1601</v>
      </c>
      <c r="W266" s="11" t="s">
        <v>1527</v>
      </c>
      <c r="X266" s="367">
        <v>45958.645833333343</v>
      </c>
      <c r="Y266" s="11"/>
      <c r="Z266" s="11">
        <v>0.5</v>
      </c>
      <c r="AA266" s="11"/>
      <c r="AB266" s="11" t="s">
        <v>330</v>
      </c>
      <c r="AC266" s="212" t="s">
        <v>331</v>
      </c>
      <c r="AD266" s="11" t="s">
        <v>332</v>
      </c>
      <c r="AE266" s="11"/>
      <c r="AF266" s="11"/>
      <c r="AG266" s="11"/>
      <c r="AH266" s="11"/>
      <c r="AI266" s="11"/>
      <c r="AJ266" s="11" t="s">
        <v>332</v>
      </c>
      <c r="AK266" s="11" t="s">
        <v>332</v>
      </c>
      <c r="AL266" s="213" t="e">
        <f t="shared" si="8"/>
        <v>#VALUE!</v>
      </c>
      <c r="AM266" s="211">
        <f t="shared" si="9"/>
        <v>45958</v>
      </c>
    </row>
    <row r="267" spans="1:39" ht="21.6" customHeight="1">
      <c r="A267" s="11">
        <v>114</v>
      </c>
      <c r="B267" s="11" t="s">
        <v>322</v>
      </c>
      <c r="C267" s="11">
        <v>2025103409</v>
      </c>
      <c r="D267" s="11"/>
      <c r="E267" s="11"/>
      <c r="F267" s="11" t="s">
        <v>61</v>
      </c>
      <c r="G267" s="11" t="s">
        <v>1521</v>
      </c>
      <c r="H267" s="11" t="s">
        <v>396</v>
      </c>
      <c r="I267" s="11"/>
      <c r="J267" s="11"/>
      <c r="K267" s="11"/>
      <c r="L267" s="11"/>
      <c r="M267" s="12"/>
      <c r="N267" s="11"/>
      <c r="O267" s="12"/>
      <c r="P267" s="13"/>
      <c r="Q267" s="11" t="s">
        <v>1525</v>
      </c>
      <c r="R267" s="11" t="s">
        <v>326</v>
      </c>
      <c r="S267" s="11" t="s">
        <v>134</v>
      </c>
      <c r="T267" s="11">
        <v>1</v>
      </c>
      <c r="U267" s="11" t="s">
        <v>327</v>
      </c>
      <c r="V267" s="11" t="s">
        <v>1602</v>
      </c>
      <c r="W267" s="11" t="s">
        <v>1527</v>
      </c>
      <c r="X267" s="367">
        <v>45958.65625</v>
      </c>
      <c r="Y267" s="11"/>
      <c r="Z267" s="11">
        <v>0.8</v>
      </c>
      <c r="AA267" s="11"/>
      <c r="AB267" s="11" t="s">
        <v>330</v>
      </c>
      <c r="AC267" s="212" t="s">
        <v>1603</v>
      </c>
      <c r="AD267" s="11" t="s">
        <v>332</v>
      </c>
      <c r="AE267" s="11"/>
      <c r="AF267" s="11"/>
      <c r="AG267" s="11"/>
      <c r="AH267" s="11"/>
      <c r="AI267" s="11"/>
      <c r="AJ267" s="11"/>
      <c r="AK267" s="11" t="s">
        <v>332</v>
      </c>
      <c r="AL267" s="213" t="e">
        <f t="shared" si="8"/>
        <v>#VALUE!</v>
      </c>
      <c r="AM267" s="211">
        <f t="shared" si="9"/>
        <v>45958</v>
      </c>
    </row>
    <row r="268" spans="1:39" ht="21.6" customHeight="1">
      <c r="A268" s="11">
        <v>115</v>
      </c>
      <c r="B268" s="11" t="s">
        <v>322</v>
      </c>
      <c r="C268" s="11">
        <v>2025103411</v>
      </c>
      <c r="D268" s="11"/>
      <c r="E268" s="11"/>
      <c r="F268" s="11">
        <v>5364</v>
      </c>
      <c r="G268" s="11" t="s">
        <v>261</v>
      </c>
      <c r="H268" s="11" t="s">
        <v>324</v>
      </c>
      <c r="I268" s="11"/>
      <c r="J268" s="11"/>
      <c r="K268" s="11"/>
      <c r="L268" s="11"/>
      <c r="M268" s="12"/>
      <c r="N268" s="11"/>
      <c r="O268" s="12"/>
      <c r="P268" s="13"/>
      <c r="Q268" s="11" t="s">
        <v>427</v>
      </c>
      <c r="R268" s="11" t="s">
        <v>326</v>
      </c>
      <c r="S268" s="11" t="s">
        <v>118</v>
      </c>
      <c r="T268" s="11">
        <v>1</v>
      </c>
      <c r="U268" s="11" t="s">
        <v>327</v>
      </c>
      <c r="V268" s="11" t="s">
        <v>1604</v>
      </c>
      <c r="W268" s="11" t="s">
        <v>1605</v>
      </c>
      <c r="X268" s="367">
        <v>45958.78125</v>
      </c>
      <c r="Y268" s="11"/>
      <c r="Z268" s="11">
        <v>0.3</v>
      </c>
      <c r="AA268" s="11"/>
      <c r="AB268" s="11" t="s">
        <v>330</v>
      </c>
      <c r="AC268" s="212" t="s">
        <v>331</v>
      </c>
      <c r="AD268" s="11" t="s">
        <v>332</v>
      </c>
      <c r="AE268" s="11"/>
      <c r="AF268" s="11"/>
      <c r="AG268" s="11"/>
      <c r="AH268" s="11"/>
      <c r="AI268" s="11"/>
      <c r="AJ268" s="11" t="s">
        <v>332</v>
      </c>
      <c r="AK268" s="11" t="s">
        <v>332</v>
      </c>
      <c r="AL268" s="213" t="e">
        <f t="shared" si="8"/>
        <v>#VALUE!</v>
      </c>
      <c r="AM268" s="211">
        <f t="shared" si="9"/>
        <v>45958</v>
      </c>
    </row>
    <row r="269" spans="1:39" ht="21.6" customHeight="1">
      <c r="A269" s="11">
        <v>116</v>
      </c>
      <c r="B269" s="11" t="s">
        <v>322</v>
      </c>
      <c r="C269" s="11">
        <v>2025103412</v>
      </c>
      <c r="D269" s="11"/>
      <c r="E269" s="11"/>
      <c r="F269" s="11" t="s">
        <v>61</v>
      </c>
      <c r="G269" s="11" t="s">
        <v>1521</v>
      </c>
      <c r="H269" s="11" t="s">
        <v>396</v>
      </c>
      <c r="I269" s="11"/>
      <c r="J269" s="11"/>
      <c r="K269" s="11"/>
      <c r="L269" s="11"/>
      <c r="M269" s="12"/>
      <c r="N269" s="11"/>
      <c r="O269" s="12"/>
      <c r="P269" s="13"/>
      <c r="Q269" s="11" t="s">
        <v>1525</v>
      </c>
      <c r="R269" s="11" t="s">
        <v>326</v>
      </c>
      <c r="S269" s="11" t="s">
        <v>134</v>
      </c>
      <c r="T269" s="11">
        <v>1</v>
      </c>
      <c r="U269" s="11" t="s">
        <v>327</v>
      </c>
      <c r="V269" s="11" t="s">
        <v>1606</v>
      </c>
      <c r="W269" s="11" t="s">
        <v>1527</v>
      </c>
      <c r="X269" s="367">
        <v>45958.65625</v>
      </c>
      <c r="Y269" s="11"/>
      <c r="Z269" s="11">
        <v>0.8</v>
      </c>
      <c r="AA269" s="11"/>
      <c r="AB269" s="11" t="s">
        <v>330</v>
      </c>
      <c r="AC269" s="212" t="s">
        <v>331</v>
      </c>
      <c r="AD269" s="11" t="s">
        <v>332</v>
      </c>
      <c r="AE269" s="11"/>
      <c r="AF269" s="11"/>
      <c r="AG269" s="11"/>
      <c r="AH269" s="11"/>
      <c r="AI269" s="11"/>
      <c r="AJ269" s="11"/>
      <c r="AK269" s="11" t="s">
        <v>332</v>
      </c>
      <c r="AL269" s="213" t="e">
        <f t="shared" si="8"/>
        <v>#VALUE!</v>
      </c>
      <c r="AM269" s="211">
        <f t="shared" si="9"/>
        <v>45958</v>
      </c>
    </row>
    <row r="270" spans="1:39" ht="21.6" customHeight="1">
      <c r="A270" s="11">
        <v>117</v>
      </c>
      <c r="B270" s="11" t="s">
        <v>322</v>
      </c>
      <c r="C270" s="11">
        <v>2025103439</v>
      </c>
      <c r="D270" s="11"/>
      <c r="E270" s="11"/>
      <c r="F270" s="11">
        <v>3380</v>
      </c>
      <c r="G270" s="11" t="s">
        <v>1550</v>
      </c>
      <c r="H270" s="11" t="s">
        <v>490</v>
      </c>
      <c r="I270" s="11"/>
      <c r="J270" s="11"/>
      <c r="K270" s="11"/>
      <c r="L270" s="11"/>
      <c r="M270" s="12"/>
      <c r="N270" s="11"/>
      <c r="O270" s="12"/>
      <c r="P270" s="13"/>
      <c r="Q270" s="11" t="s">
        <v>1553</v>
      </c>
      <c r="R270" s="11" t="s">
        <v>326</v>
      </c>
      <c r="S270" s="11" t="s">
        <v>118</v>
      </c>
      <c r="T270" s="11">
        <v>1</v>
      </c>
      <c r="U270" s="11" t="s">
        <v>327</v>
      </c>
      <c r="V270" s="11" t="s">
        <v>1607</v>
      </c>
      <c r="W270" s="11" t="s">
        <v>1608</v>
      </c>
      <c r="X270" s="367">
        <v>45959.416666666657</v>
      </c>
      <c r="Y270" s="11"/>
      <c r="Z270" s="11">
        <v>0.5</v>
      </c>
      <c r="AA270" s="11"/>
      <c r="AB270" s="11" t="s">
        <v>330</v>
      </c>
      <c r="AC270" s="212" t="s">
        <v>331</v>
      </c>
      <c r="AD270" s="11" t="s">
        <v>332</v>
      </c>
      <c r="AE270" s="11"/>
      <c r="AF270" s="11"/>
      <c r="AG270" s="11"/>
      <c r="AH270" s="11"/>
      <c r="AI270" s="11"/>
      <c r="AJ270" s="11" t="s">
        <v>332</v>
      </c>
      <c r="AK270" s="11" t="s">
        <v>332</v>
      </c>
      <c r="AL270" s="213" t="e">
        <f t="shared" si="8"/>
        <v>#VALUE!</v>
      </c>
      <c r="AM270" s="211">
        <f t="shared" si="9"/>
        <v>45959</v>
      </c>
    </row>
    <row r="271" spans="1:39" ht="21.6" customHeight="1">
      <c r="A271" s="11">
        <v>118</v>
      </c>
      <c r="B271" s="11" t="s">
        <v>363</v>
      </c>
      <c r="C271" s="11">
        <v>2025103520</v>
      </c>
      <c r="D271" s="11" t="s">
        <v>1609</v>
      </c>
      <c r="E271" s="11" t="s">
        <v>365</v>
      </c>
      <c r="F271" s="11">
        <v>4144</v>
      </c>
      <c r="G271" s="11" t="s">
        <v>1005</v>
      </c>
      <c r="H271" s="11" t="s">
        <v>490</v>
      </c>
      <c r="I271" s="11" t="s">
        <v>1610</v>
      </c>
      <c r="J271" s="11" t="s">
        <v>424</v>
      </c>
      <c r="K271" s="11" t="s">
        <v>446</v>
      </c>
      <c r="L271" s="11" t="s">
        <v>1280</v>
      </c>
      <c r="M271" s="12" t="s">
        <v>1281</v>
      </c>
      <c r="N271" s="11">
        <v>6003</v>
      </c>
      <c r="O271" s="12" t="s">
        <v>401</v>
      </c>
      <c r="P271" s="13" t="s">
        <v>1611</v>
      </c>
      <c r="Q271" s="11" t="s">
        <v>1011</v>
      </c>
      <c r="R271" s="11" t="s">
        <v>326</v>
      </c>
      <c r="S271" s="11" t="s">
        <v>118</v>
      </c>
      <c r="T271" s="11">
        <v>1</v>
      </c>
      <c r="U271" s="11" t="s">
        <v>327</v>
      </c>
      <c r="V271" s="11" t="s">
        <v>1612</v>
      </c>
      <c r="W271" s="11" t="s">
        <v>1613</v>
      </c>
      <c r="X271" s="367">
        <v>45961.479166666657</v>
      </c>
      <c r="Y271" s="11" t="s">
        <v>1614</v>
      </c>
      <c r="Z271" s="11">
        <v>0.5</v>
      </c>
      <c r="AA271" s="11"/>
      <c r="AB271" s="11" t="s">
        <v>330</v>
      </c>
      <c r="AC271" s="212" t="s">
        <v>1615</v>
      </c>
      <c r="AD271" s="11"/>
      <c r="AE271" s="11"/>
      <c r="AF271" s="11"/>
      <c r="AG271" s="11"/>
      <c r="AH271" s="11"/>
      <c r="AI271" s="11"/>
      <c r="AJ271" s="11"/>
      <c r="AK271" s="11" t="s">
        <v>332</v>
      </c>
      <c r="AL271" s="213">
        <f t="shared" si="8"/>
        <v>45960</v>
      </c>
      <c r="AM271" s="211">
        <f t="shared" si="9"/>
        <v>45961</v>
      </c>
    </row>
    <row r="272" spans="1:39" ht="21.6" customHeight="1">
      <c r="A272" s="11">
        <v>119</v>
      </c>
      <c r="B272" s="11" t="s">
        <v>322</v>
      </c>
      <c r="C272" s="11">
        <v>2025103523</v>
      </c>
      <c r="D272" s="11"/>
      <c r="E272" s="11"/>
      <c r="F272" s="11">
        <v>3399</v>
      </c>
      <c r="G272" s="11" t="s">
        <v>196</v>
      </c>
      <c r="H272" s="11" t="s">
        <v>396</v>
      </c>
      <c r="I272" s="11"/>
      <c r="J272" s="11"/>
      <c r="K272" s="11"/>
      <c r="L272" s="11"/>
      <c r="M272" s="12"/>
      <c r="N272" s="11"/>
      <c r="O272" s="12"/>
      <c r="P272" s="13"/>
      <c r="Q272" s="11" t="s">
        <v>1616</v>
      </c>
      <c r="R272" s="11" t="s">
        <v>326</v>
      </c>
      <c r="S272" s="11" t="s">
        <v>118</v>
      </c>
      <c r="T272" s="11">
        <v>1</v>
      </c>
      <c r="U272" s="11" t="s">
        <v>327</v>
      </c>
      <c r="V272" s="11" t="s">
        <v>1617</v>
      </c>
      <c r="W272" s="11" t="s">
        <v>1618</v>
      </c>
      <c r="X272" s="367">
        <v>45960.458333333343</v>
      </c>
      <c r="Y272" s="11"/>
      <c r="Z272" s="11">
        <v>0.5</v>
      </c>
      <c r="AA272" s="11"/>
      <c r="AB272" s="11" t="s">
        <v>330</v>
      </c>
      <c r="AC272" s="212" t="s">
        <v>23</v>
      </c>
      <c r="AD272" s="11"/>
      <c r="AE272" s="11" t="s">
        <v>332</v>
      </c>
      <c r="AF272" s="11"/>
      <c r="AG272" s="11"/>
      <c r="AH272" s="11"/>
      <c r="AI272" s="11"/>
      <c r="AJ272" s="11"/>
      <c r="AK272" s="11" t="s">
        <v>332</v>
      </c>
      <c r="AL272" s="213" t="e">
        <f t="shared" si="8"/>
        <v>#VALUE!</v>
      </c>
      <c r="AM272" s="211">
        <f t="shared" si="9"/>
        <v>45960</v>
      </c>
    </row>
    <row r="273" spans="1:39" ht="21.6" customHeight="1">
      <c r="A273" s="11">
        <v>120</v>
      </c>
      <c r="B273" s="11" t="s">
        <v>322</v>
      </c>
      <c r="C273" s="11">
        <v>2025103585</v>
      </c>
      <c r="D273" s="11"/>
      <c r="E273" s="11"/>
      <c r="F273" s="11">
        <v>5457</v>
      </c>
      <c r="G273" s="11" t="s">
        <v>197</v>
      </c>
      <c r="H273" s="11" t="s">
        <v>358</v>
      </c>
      <c r="I273" s="11"/>
      <c r="J273" s="11"/>
      <c r="K273" s="11"/>
      <c r="L273" s="11"/>
      <c r="M273" s="12"/>
      <c r="N273" s="11"/>
      <c r="O273" s="12"/>
      <c r="P273" s="13"/>
      <c r="Q273" s="11" t="s">
        <v>1619</v>
      </c>
      <c r="R273" s="11" t="s">
        <v>326</v>
      </c>
      <c r="S273" s="11" t="s">
        <v>118</v>
      </c>
      <c r="T273" s="11">
        <v>1</v>
      </c>
      <c r="U273" s="11" t="s">
        <v>327</v>
      </c>
      <c r="V273" s="11" t="s">
        <v>1620</v>
      </c>
      <c r="W273" s="11" t="s">
        <v>1621</v>
      </c>
      <c r="X273" s="367">
        <v>45960.625</v>
      </c>
      <c r="Y273" s="11"/>
      <c r="Z273" s="11">
        <v>3</v>
      </c>
      <c r="AA273" s="11"/>
      <c r="AB273" s="11" t="s">
        <v>330</v>
      </c>
      <c r="AC273" s="212" t="s">
        <v>935</v>
      </c>
      <c r="AD273" s="11"/>
      <c r="AE273" s="11" t="s">
        <v>332</v>
      </c>
      <c r="AF273" s="11"/>
      <c r="AG273" s="11"/>
      <c r="AH273" s="11"/>
      <c r="AI273" s="11"/>
      <c r="AJ273" s="11"/>
      <c r="AK273" s="11" t="s">
        <v>332</v>
      </c>
      <c r="AL273" s="213" t="e">
        <f t="shared" si="8"/>
        <v>#VALUE!</v>
      </c>
      <c r="AM273" s="211">
        <f t="shared" si="9"/>
        <v>45960</v>
      </c>
    </row>
    <row r="274" spans="1:39" ht="21.6" customHeight="1">
      <c r="A274" s="11">
        <v>121</v>
      </c>
      <c r="B274" s="11" t="s">
        <v>322</v>
      </c>
      <c r="C274" s="11">
        <v>2025103613</v>
      </c>
      <c r="D274" s="11"/>
      <c r="E274" s="11"/>
      <c r="F274" s="11">
        <v>4083</v>
      </c>
      <c r="G274" s="11" t="s">
        <v>182</v>
      </c>
      <c r="H274" s="11" t="s">
        <v>358</v>
      </c>
      <c r="I274" s="11"/>
      <c r="J274" s="11"/>
      <c r="K274" s="11"/>
      <c r="L274" s="11"/>
      <c r="M274" s="12"/>
      <c r="N274" s="11"/>
      <c r="O274" s="12"/>
      <c r="P274" s="13"/>
      <c r="Q274" s="11" t="s">
        <v>416</v>
      </c>
      <c r="R274" s="11" t="s">
        <v>326</v>
      </c>
      <c r="S274" s="11" t="s">
        <v>118</v>
      </c>
      <c r="T274" s="11">
        <v>1</v>
      </c>
      <c r="U274" s="11" t="s">
        <v>327</v>
      </c>
      <c r="V274" s="11" t="s">
        <v>1622</v>
      </c>
      <c r="W274" s="11" t="s">
        <v>1623</v>
      </c>
      <c r="X274" s="367">
        <v>45960.666666666657</v>
      </c>
      <c r="Y274" s="11"/>
      <c r="Z274" s="11">
        <v>0.5</v>
      </c>
      <c r="AA274" s="11"/>
      <c r="AB274" s="11" t="s">
        <v>330</v>
      </c>
      <c r="AC274" s="212" t="s">
        <v>23</v>
      </c>
      <c r="AD274" s="11"/>
      <c r="AE274" s="11" t="s">
        <v>332</v>
      </c>
      <c r="AF274" s="11"/>
      <c r="AG274" s="11"/>
      <c r="AH274" s="11"/>
      <c r="AI274" s="11"/>
      <c r="AJ274" s="11"/>
      <c r="AK274" s="11" t="s">
        <v>332</v>
      </c>
      <c r="AL274" s="213" t="e">
        <f t="shared" si="8"/>
        <v>#VALUE!</v>
      </c>
      <c r="AM274" s="211">
        <f t="shared" si="9"/>
        <v>45960</v>
      </c>
    </row>
    <row r="275" spans="1:39" ht="21.6" customHeight="1">
      <c r="A275" s="11">
        <v>122</v>
      </c>
      <c r="B275" s="11" t="s">
        <v>363</v>
      </c>
      <c r="C275" s="11">
        <v>2025103647</v>
      </c>
      <c r="D275" s="11" t="s">
        <v>1624</v>
      </c>
      <c r="E275" s="11" t="s">
        <v>365</v>
      </c>
      <c r="F275" s="11">
        <v>4282</v>
      </c>
      <c r="G275" s="11" t="s">
        <v>1625</v>
      </c>
      <c r="H275" s="11" t="s">
        <v>324</v>
      </c>
      <c r="I275" s="11" t="s">
        <v>1626</v>
      </c>
      <c r="J275" s="11" t="s">
        <v>424</v>
      </c>
      <c r="K275" s="11" t="s">
        <v>200</v>
      </c>
      <c r="L275" s="11" t="s">
        <v>1120</v>
      </c>
      <c r="M275" s="12" t="s">
        <v>1121</v>
      </c>
      <c r="N275" s="11">
        <v>5903</v>
      </c>
      <c r="O275" s="12" t="s">
        <v>401</v>
      </c>
      <c r="P275" s="13" t="s">
        <v>1627</v>
      </c>
      <c r="Q275" s="11" t="s">
        <v>1628</v>
      </c>
      <c r="R275" s="11" t="s">
        <v>326</v>
      </c>
      <c r="S275" s="11" t="s">
        <v>118</v>
      </c>
      <c r="T275" s="11">
        <v>1</v>
      </c>
      <c r="U275" s="11" t="s">
        <v>327</v>
      </c>
      <c r="V275" s="11" t="s">
        <v>1629</v>
      </c>
      <c r="W275" s="11" t="s">
        <v>1630</v>
      </c>
      <c r="X275" s="367">
        <v>45961.416666666657</v>
      </c>
      <c r="Y275" s="11" t="s">
        <v>1631</v>
      </c>
      <c r="Z275" s="11">
        <v>0.5</v>
      </c>
      <c r="AA275" s="11"/>
      <c r="AB275" s="11" t="s">
        <v>1048</v>
      </c>
      <c r="AC275" s="212" t="s">
        <v>1632</v>
      </c>
      <c r="AD275" s="11"/>
      <c r="AE275" s="11"/>
      <c r="AF275" s="11"/>
      <c r="AG275" s="11"/>
      <c r="AH275" s="11"/>
      <c r="AI275" s="11"/>
      <c r="AJ275" s="11"/>
      <c r="AK275" s="11" t="s">
        <v>332</v>
      </c>
      <c r="AL275" s="213">
        <f t="shared" si="8"/>
        <v>45960</v>
      </c>
      <c r="AM275" s="211">
        <f t="shared" si="9"/>
        <v>45961</v>
      </c>
    </row>
    <row r="276" spans="1:39" ht="21.6" customHeight="1">
      <c r="A276" s="11">
        <v>123</v>
      </c>
      <c r="B276" s="11" t="s">
        <v>363</v>
      </c>
      <c r="C276" s="11">
        <v>2025103655</v>
      </c>
      <c r="D276" s="11" t="s">
        <v>1633</v>
      </c>
      <c r="E276" s="11" t="s">
        <v>365</v>
      </c>
      <c r="F276" s="11">
        <v>3380</v>
      </c>
      <c r="G276" s="11" t="s">
        <v>1550</v>
      </c>
      <c r="H276" s="11" t="s">
        <v>490</v>
      </c>
      <c r="I276" s="11" t="s">
        <v>1634</v>
      </c>
      <c r="J276" s="11" t="s">
        <v>445</v>
      </c>
      <c r="K276" s="11" t="s">
        <v>384</v>
      </c>
      <c r="L276" s="11" t="s">
        <v>369</v>
      </c>
      <c r="M276" s="12" t="s">
        <v>370</v>
      </c>
      <c r="N276" s="11">
        <v>2301</v>
      </c>
      <c r="O276" s="12" t="s">
        <v>741</v>
      </c>
      <c r="P276" s="13" t="s">
        <v>1635</v>
      </c>
      <c r="Q276" s="11" t="s">
        <v>1553</v>
      </c>
      <c r="R276" s="11" t="s">
        <v>326</v>
      </c>
      <c r="S276" s="11" t="s">
        <v>118</v>
      </c>
      <c r="T276" s="11">
        <v>1</v>
      </c>
      <c r="U276" s="11" t="s">
        <v>327</v>
      </c>
      <c r="V276" s="11" t="s">
        <v>1636</v>
      </c>
      <c r="W276" s="11" t="s">
        <v>1637</v>
      </c>
      <c r="X276" s="367">
        <v>45961.458333333343</v>
      </c>
      <c r="Y276" s="11" t="s">
        <v>1638</v>
      </c>
      <c r="Z276" s="11">
        <v>0.5</v>
      </c>
      <c r="AA276" s="11"/>
      <c r="AB276" s="11" t="s">
        <v>330</v>
      </c>
      <c r="AC276" s="212" t="s">
        <v>1639</v>
      </c>
      <c r="AD276" s="11"/>
      <c r="AE276" s="11"/>
      <c r="AF276" s="11"/>
      <c r="AG276" s="11"/>
      <c r="AH276" s="11"/>
      <c r="AI276" s="11"/>
      <c r="AJ276" s="11"/>
      <c r="AK276" s="11" t="s">
        <v>332</v>
      </c>
      <c r="AL276" s="213">
        <f t="shared" si="8"/>
        <v>45961</v>
      </c>
      <c r="AM276" s="211">
        <f t="shared" si="9"/>
        <v>45961</v>
      </c>
    </row>
    <row r="277" spans="1:39" ht="21.6" customHeight="1">
      <c r="A277" s="11">
        <v>124</v>
      </c>
      <c r="B277" s="11" t="s">
        <v>322</v>
      </c>
      <c r="C277" s="11">
        <v>2025103669</v>
      </c>
      <c r="D277" s="11"/>
      <c r="E277" s="11"/>
      <c r="F277" s="11">
        <v>4282</v>
      </c>
      <c r="G277" s="11" t="s">
        <v>1625</v>
      </c>
      <c r="H277" s="11" t="s">
        <v>324</v>
      </c>
      <c r="I277" s="11"/>
      <c r="J277" s="11"/>
      <c r="K277" s="11"/>
      <c r="L277" s="11"/>
      <c r="M277" s="12"/>
      <c r="N277" s="11"/>
      <c r="O277" s="12"/>
      <c r="P277" s="13"/>
      <c r="Q277" s="11" t="s">
        <v>1628</v>
      </c>
      <c r="R277" s="11" t="s">
        <v>326</v>
      </c>
      <c r="S277" s="11" t="s">
        <v>118</v>
      </c>
      <c r="T277" s="11">
        <v>1</v>
      </c>
      <c r="U277" s="11" t="s">
        <v>327</v>
      </c>
      <c r="V277" s="11" t="s">
        <v>1640</v>
      </c>
      <c r="W277" s="11" t="s">
        <v>1641</v>
      </c>
      <c r="X277" s="367">
        <v>45961.395833333343</v>
      </c>
      <c r="Y277" s="11"/>
      <c r="Z277" s="11">
        <v>0.5</v>
      </c>
      <c r="AA277" s="11"/>
      <c r="AB277" s="11" t="s">
        <v>330</v>
      </c>
      <c r="AC277" s="212" t="s">
        <v>331</v>
      </c>
      <c r="AD277" s="11" t="s">
        <v>332</v>
      </c>
      <c r="AE277" s="11"/>
      <c r="AF277" s="11"/>
      <c r="AG277" s="11"/>
      <c r="AH277" s="11"/>
      <c r="AI277" s="11"/>
      <c r="AJ277" s="11" t="s">
        <v>332</v>
      </c>
      <c r="AK277" s="11" t="s">
        <v>332</v>
      </c>
      <c r="AL277" s="213" t="e">
        <f t="shared" si="8"/>
        <v>#VALUE!</v>
      </c>
      <c r="AM277" s="211">
        <f t="shared" si="9"/>
        <v>45961</v>
      </c>
    </row>
    <row r="278" spans="1:39" ht="21.6" customHeight="1">
      <c r="A278" s="11">
        <v>125</v>
      </c>
      <c r="B278" s="11" t="s">
        <v>322</v>
      </c>
      <c r="C278" s="11">
        <v>2025103693</v>
      </c>
      <c r="D278" s="11"/>
      <c r="E278" s="11"/>
      <c r="F278" s="11">
        <v>2362</v>
      </c>
      <c r="G278" s="11" t="s">
        <v>1642</v>
      </c>
      <c r="H278" s="11" t="s">
        <v>490</v>
      </c>
      <c r="I278" s="11"/>
      <c r="J278" s="11"/>
      <c r="K278" s="11"/>
      <c r="L278" s="11"/>
      <c r="M278" s="12"/>
      <c r="N278" s="11"/>
      <c r="O278" s="12"/>
      <c r="P278" s="13"/>
      <c r="Q278" s="11" t="s">
        <v>1643</v>
      </c>
      <c r="R278" s="11" t="s">
        <v>326</v>
      </c>
      <c r="S278" s="11" t="s">
        <v>118</v>
      </c>
      <c r="T278" s="11">
        <v>1</v>
      </c>
      <c r="U278" s="11" t="s">
        <v>327</v>
      </c>
      <c r="V278" s="11" t="s">
        <v>1644</v>
      </c>
      <c r="W278" s="11" t="s">
        <v>1645</v>
      </c>
      <c r="X278" s="367">
        <v>45961.555555555547</v>
      </c>
      <c r="Y278" s="11"/>
      <c r="Z278" s="11">
        <v>0.3</v>
      </c>
      <c r="AA278" s="11"/>
      <c r="AB278" s="11" t="s">
        <v>330</v>
      </c>
      <c r="AC278" s="212" t="s">
        <v>331</v>
      </c>
      <c r="AD278" s="11" t="s">
        <v>332</v>
      </c>
      <c r="AE278" s="11"/>
      <c r="AF278" s="11"/>
      <c r="AG278" s="11"/>
      <c r="AH278" s="11"/>
      <c r="AI278" s="11"/>
      <c r="AJ278" s="11" t="s">
        <v>332</v>
      </c>
      <c r="AK278" s="11" t="s">
        <v>332</v>
      </c>
      <c r="AL278" s="213" t="e">
        <f t="shared" si="8"/>
        <v>#VALUE!</v>
      </c>
      <c r="AM278" s="211">
        <f t="shared" si="9"/>
        <v>45961</v>
      </c>
    </row>
    <row r="279" spans="1:39" ht="21.6" customHeight="1">
      <c r="A279" s="11">
        <v>126</v>
      </c>
      <c r="B279" s="11" t="s">
        <v>322</v>
      </c>
      <c r="C279" s="11">
        <v>2025103704</v>
      </c>
      <c r="D279" s="11"/>
      <c r="E279" s="11"/>
      <c r="F279" s="11">
        <v>5457</v>
      </c>
      <c r="G279" s="11" t="s">
        <v>197</v>
      </c>
      <c r="H279" s="11" t="s">
        <v>358</v>
      </c>
      <c r="I279" s="11"/>
      <c r="J279" s="11"/>
      <c r="K279" s="11"/>
      <c r="L279" s="11"/>
      <c r="M279" s="12"/>
      <c r="N279" s="11"/>
      <c r="O279" s="12"/>
      <c r="P279" s="13"/>
      <c r="Q279" s="11" t="s">
        <v>1619</v>
      </c>
      <c r="R279" s="11" t="s">
        <v>326</v>
      </c>
      <c r="S279" s="11" t="s">
        <v>118</v>
      </c>
      <c r="T279" s="11">
        <v>1</v>
      </c>
      <c r="U279" s="11" t="s">
        <v>327</v>
      </c>
      <c r="V279" s="11" t="s">
        <v>1646</v>
      </c>
      <c r="W279" s="11" t="s">
        <v>1647</v>
      </c>
      <c r="X279" s="367">
        <v>45961.604166666657</v>
      </c>
      <c r="Y279" s="11"/>
      <c r="Z279" s="11">
        <v>0.5</v>
      </c>
      <c r="AA279" s="11"/>
      <c r="AB279" s="11" t="s">
        <v>330</v>
      </c>
      <c r="AC279" s="212" t="s">
        <v>1648</v>
      </c>
      <c r="AD279" s="11"/>
      <c r="AE279" s="11"/>
      <c r="AF279" s="11"/>
      <c r="AG279" s="11"/>
      <c r="AH279" s="11"/>
      <c r="AI279" s="11"/>
      <c r="AJ279" s="11" t="s">
        <v>332</v>
      </c>
      <c r="AK279" s="11" t="s">
        <v>332</v>
      </c>
      <c r="AL279" s="213" t="e">
        <f t="shared" si="8"/>
        <v>#VALUE!</v>
      </c>
      <c r="AM279" s="211">
        <f t="shared" si="9"/>
        <v>45961</v>
      </c>
    </row>
    <row r="280" spans="1:39" ht="21.6" customHeight="1">
      <c r="A280" s="11">
        <v>1</v>
      </c>
      <c r="B280" s="11" t="s">
        <v>363</v>
      </c>
      <c r="C280" s="11">
        <v>2025103657</v>
      </c>
      <c r="D280" s="11" t="s">
        <v>1649</v>
      </c>
      <c r="E280" s="11" t="s">
        <v>365</v>
      </c>
      <c r="F280" s="11">
        <v>3606</v>
      </c>
      <c r="G280" s="11" t="s">
        <v>1534</v>
      </c>
      <c r="H280" s="11" t="s">
        <v>1535</v>
      </c>
      <c r="I280" s="11" t="s">
        <v>1650</v>
      </c>
      <c r="J280" s="11" t="s">
        <v>445</v>
      </c>
      <c r="K280" s="11" t="s">
        <v>446</v>
      </c>
      <c r="L280" s="11" t="s">
        <v>447</v>
      </c>
      <c r="M280" s="12" t="s">
        <v>448</v>
      </c>
      <c r="N280" s="11" t="s">
        <v>449</v>
      </c>
      <c r="O280" s="12" t="s">
        <v>450</v>
      </c>
      <c r="P280" s="13" t="s">
        <v>1651</v>
      </c>
      <c r="Q280" s="11" t="s">
        <v>1536</v>
      </c>
      <c r="R280" s="11" t="s">
        <v>326</v>
      </c>
      <c r="S280" s="11" t="s">
        <v>118</v>
      </c>
      <c r="T280" s="11">
        <v>1</v>
      </c>
      <c r="U280" s="11" t="s">
        <v>327</v>
      </c>
      <c r="V280" s="11" t="s">
        <v>1652</v>
      </c>
      <c r="W280" s="11" t="s">
        <v>1653</v>
      </c>
      <c r="X280" s="367">
        <v>45964.375</v>
      </c>
      <c r="Y280" s="11" t="s">
        <v>1654</v>
      </c>
      <c r="Z280" s="11">
        <v>0.5</v>
      </c>
      <c r="AA280" s="11"/>
      <c r="AB280" s="11" t="s">
        <v>330</v>
      </c>
      <c r="AC280" s="212" t="s">
        <v>1655</v>
      </c>
      <c r="AD280" s="11"/>
      <c r="AE280" s="11"/>
      <c r="AF280" s="11"/>
      <c r="AG280" s="11"/>
      <c r="AH280" s="11"/>
      <c r="AI280" s="11"/>
      <c r="AJ280" s="11"/>
      <c r="AK280" s="11" t="s">
        <v>332</v>
      </c>
      <c r="AL280" s="213">
        <f t="shared" si="8"/>
        <v>45961</v>
      </c>
      <c r="AM280" s="211">
        <f t="shared" si="9"/>
        <v>45964</v>
      </c>
    </row>
    <row r="281" spans="1:39" ht="21.6" customHeight="1">
      <c r="A281" s="11">
        <v>2</v>
      </c>
      <c r="B281" s="11" t="s">
        <v>363</v>
      </c>
      <c r="C281" s="11">
        <v>2025103659</v>
      </c>
      <c r="D281" s="11" t="s">
        <v>1656</v>
      </c>
      <c r="E281" s="11" t="s">
        <v>365</v>
      </c>
      <c r="F281" s="11">
        <v>3606</v>
      </c>
      <c r="G281" s="11" t="s">
        <v>1534</v>
      </c>
      <c r="H281" s="11" t="s">
        <v>1535</v>
      </c>
      <c r="I281" s="11" t="s">
        <v>1657</v>
      </c>
      <c r="J281" s="11" t="s">
        <v>445</v>
      </c>
      <c r="K281" s="11" t="s">
        <v>446</v>
      </c>
      <c r="L281" s="11" t="s">
        <v>447</v>
      </c>
      <c r="M281" s="12" t="s">
        <v>448</v>
      </c>
      <c r="N281" s="11" t="s">
        <v>449</v>
      </c>
      <c r="O281" s="12" t="s">
        <v>450</v>
      </c>
      <c r="P281" s="13" t="s">
        <v>1658</v>
      </c>
      <c r="Q281" s="11" t="s">
        <v>1536</v>
      </c>
      <c r="R281" s="11" t="s">
        <v>326</v>
      </c>
      <c r="S281" s="11" t="s">
        <v>118</v>
      </c>
      <c r="T281" s="11">
        <v>1</v>
      </c>
      <c r="U281" s="11" t="s">
        <v>327</v>
      </c>
      <c r="V281" s="11" t="s">
        <v>1659</v>
      </c>
      <c r="W281" s="11" t="s">
        <v>1660</v>
      </c>
      <c r="X281" s="367">
        <v>45964.395833333343</v>
      </c>
      <c r="Y281" s="11" t="s">
        <v>1661</v>
      </c>
      <c r="Z281" s="11">
        <v>0.5</v>
      </c>
      <c r="AA281" s="11"/>
      <c r="AB281" s="11" t="s">
        <v>330</v>
      </c>
      <c r="AC281" s="212" t="s">
        <v>1662</v>
      </c>
      <c r="AD281" s="11"/>
      <c r="AE281" s="11"/>
      <c r="AF281" s="11"/>
      <c r="AG281" s="11"/>
      <c r="AH281" s="11"/>
      <c r="AI281" s="11"/>
      <c r="AJ281" s="11"/>
      <c r="AK281" s="11" t="s">
        <v>332</v>
      </c>
      <c r="AL281" s="213">
        <f t="shared" si="8"/>
        <v>45961</v>
      </c>
      <c r="AM281" s="211">
        <f t="shared" si="9"/>
        <v>45964</v>
      </c>
    </row>
    <row r="282" spans="1:39" ht="21.6" customHeight="1">
      <c r="A282" s="11">
        <v>3</v>
      </c>
      <c r="B282" s="11" t="s">
        <v>363</v>
      </c>
      <c r="C282" s="11">
        <v>2025103667</v>
      </c>
      <c r="D282" s="11" t="s">
        <v>1663</v>
      </c>
      <c r="E282" s="11" t="s">
        <v>365</v>
      </c>
      <c r="F282" s="11">
        <v>4282</v>
      </c>
      <c r="G282" s="11" t="s">
        <v>1625</v>
      </c>
      <c r="H282" s="11" t="s">
        <v>324</v>
      </c>
      <c r="I282" s="11" t="s">
        <v>1664</v>
      </c>
      <c r="J282" s="11" t="s">
        <v>445</v>
      </c>
      <c r="K282" s="11" t="s">
        <v>446</v>
      </c>
      <c r="L282" s="11" t="s">
        <v>1280</v>
      </c>
      <c r="M282" s="12" t="s">
        <v>1281</v>
      </c>
      <c r="N282" s="11">
        <v>6003</v>
      </c>
      <c r="O282" s="12" t="s">
        <v>401</v>
      </c>
      <c r="P282" s="13" t="s">
        <v>1665</v>
      </c>
      <c r="Q282" s="11" t="s">
        <v>1628</v>
      </c>
      <c r="R282" s="11" t="s">
        <v>326</v>
      </c>
      <c r="S282" s="11" t="s">
        <v>118</v>
      </c>
      <c r="T282" s="11">
        <v>1</v>
      </c>
      <c r="U282" s="11" t="s">
        <v>327</v>
      </c>
      <c r="V282" s="11" t="s">
        <v>1666</v>
      </c>
      <c r="W282" s="11" t="s">
        <v>1667</v>
      </c>
      <c r="X282" s="367">
        <v>45964.416666666657</v>
      </c>
      <c r="Y282" s="11" t="s">
        <v>1668</v>
      </c>
      <c r="Z282" s="11">
        <v>0.5</v>
      </c>
      <c r="AA282" s="11"/>
      <c r="AB282" s="11" t="s">
        <v>330</v>
      </c>
      <c r="AC282" s="212" t="s">
        <v>1669</v>
      </c>
      <c r="AD282" s="11"/>
      <c r="AE282" s="11"/>
      <c r="AF282" s="11"/>
      <c r="AG282" s="11"/>
      <c r="AH282" s="11"/>
      <c r="AI282" s="11"/>
      <c r="AJ282" s="11"/>
      <c r="AK282" s="11" t="s">
        <v>332</v>
      </c>
      <c r="AL282" s="213">
        <f t="shared" si="8"/>
        <v>45961</v>
      </c>
      <c r="AM282" s="211">
        <f t="shared" si="9"/>
        <v>45964</v>
      </c>
    </row>
    <row r="283" spans="1:39" ht="21.6" customHeight="1">
      <c r="A283" s="11">
        <v>4</v>
      </c>
      <c r="B283" s="11" t="s">
        <v>363</v>
      </c>
      <c r="C283" s="11">
        <v>2025103692</v>
      </c>
      <c r="D283" s="11" t="s">
        <v>1670</v>
      </c>
      <c r="E283" s="11" t="s">
        <v>365</v>
      </c>
      <c r="F283" s="11">
        <v>2325</v>
      </c>
      <c r="G283" s="11" t="s">
        <v>1304</v>
      </c>
      <c r="H283" s="11" t="s">
        <v>763</v>
      </c>
      <c r="I283" s="11" t="s">
        <v>1671</v>
      </c>
      <c r="J283" s="11" t="s">
        <v>445</v>
      </c>
      <c r="K283" s="11" t="s">
        <v>200</v>
      </c>
      <c r="L283" s="11" t="s">
        <v>447</v>
      </c>
      <c r="M283" s="12" t="s">
        <v>448</v>
      </c>
      <c r="N283" s="11" t="s">
        <v>449</v>
      </c>
      <c r="O283" s="12" t="s">
        <v>450</v>
      </c>
      <c r="P283" s="13" t="s">
        <v>1672</v>
      </c>
      <c r="Q283" s="11" t="s">
        <v>1305</v>
      </c>
      <c r="R283" s="11" t="s">
        <v>326</v>
      </c>
      <c r="S283" s="11" t="s">
        <v>118</v>
      </c>
      <c r="T283" s="11">
        <v>1</v>
      </c>
      <c r="U283" s="11" t="s">
        <v>327</v>
      </c>
      <c r="V283" s="11" t="s">
        <v>1673</v>
      </c>
      <c r="W283" s="11" t="s">
        <v>1674</v>
      </c>
      <c r="X283" s="367">
        <v>45964.479166666657</v>
      </c>
      <c r="Y283" s="11" t="s">
        <v>1675</v>
      </c>
      <c r="Z283" s="11">
        <v>0.5</v>
      </c>
      <c r="AA283" s="11"/>
      <c r="AB283" s="11" t="s">
        <v>330</v>
      </c>
      <c r="AC283" s="212" t="s">
        <v>1676</v>
      </c>
      <c r="AD283" s="11"/>
      <c r="AE283" s="11"/>
      <c r="AF283" s="11"/>
      <c r="AG283" s="11"/>
      <c r="AH283" s="11"/>
      <c r="AI283" s="11"/>
      <c r="AJ283" s="11"/>
      <c r="AK283" s="11" t="s">
        <v>332</v>
      </c>
      <c r="AL283" s="213">
        <f t="shared" si="8"/>
        <v>45961</v>
      </c>
      <c r="AM283" s="211">
        <f t="shared" si="9"/>
        <v>45964</v>
      </c>
    </row>
    <row r="284" spans="1:39" ht="21.6" customHeight="1">
      <c r="A284" s="11">
        <v>5</v>
      </c>
      <c r="B284" s="11" t="s">
        <v>363</v>
      </c>
      <c r="C284" s="11">
        <v>2025110089</v>
      </c>
      <c r="D284" s="11" t="s">
        <v>1677</v>
      </c>
      <c r="E284" s="11" t="s">
        <v>365</v>
      </c>
      <c r="F284" s="11">
        <v>4541</v>
      </c>
      <c r="G284" s="11" t="s">
        <v>1678</v>
      </c>
      <c r="H284" s="11" t="s">
        <v>567</v>
      </c>
      <c r="I284" s="11" t="s">
        <v>1679</v>
      </c>
      <c r="J284" s="11" t="s">
        <v>492</v>
      </c>
      <c r="K284" s="11" t="s">
        <v>446</v>
      </c>
      <c r="L284" s="11" t="s">
        <v>1097</v>
      </c>
      <c r="M284" s="12" t="s">
        <v>1098</v>
      </c>
      <c r="N284" s="11" t="s">
        <v>1357</v>
      </c>
      <c r="O284" s="12" t="s">
        <v>1358</v>
      </c>
      <c r="P284" s="13" t="s">
        <v>1680</v>
      </c>
      <c r="Q284" s="11" t="s">
        <v>1681</v>
      </c>
      <c r="R284" s="11" t="s">
        <v>326</v>
      </c>
      <c r="S284" s="11" t="s">
        <v>123</v>
      </c>
      <c r="T284" s="11">
        <v>1</v>
      </c>
      <c r="U284" s="11" t="s">
        <v>327</v>
      </c>
      <c r="V284" s="11" t="s">
        <v>1682</v>
      </c>
      <c r="W284" s="11" t="s">
        <v>1683</v>
      </c>
      <c r="X284" s="367">
        <v>45964.708333333343</v>
      </c>
      <c r="Y284" s="11" t="s">
        <v>1684</v>
      </c>
      <c r="Z284" s="11">
        <v>0.3</v>
      </c>
      <c r="AA284" s="11"/>
      <c r="AB284" s="11" t="s">
        <v>330</v>
      </c>
      <c r="AC284" s="212" t="s">
        <v>1685</v>
      </c>
      <c r="AD284" s="11"/>
      <c r="AE284" s="11"/>
      <c r="AF284" s="11"/>
      <c r="AG284" s="11"/>
      <c r="AH284" s="11"/>
      <c r="AI284" s="11"/>
      <c r="AJ284" s="11"/>
      <c r="AK284" s="11" t="s">
        <v>332</v>
      </c>
      <c r="AL284" s="213">
        <f t="shared" si="8"/>
        <v>45964</v>
      </c>
      <c r="AM284" s="211">
        <f t="shared" si="9"/>
        <v>45964</v>
      </c>
    </row>
    <row r="285" spans="1:39" ht="21.6" customHeight="1">
      <c r="A285" s="11">
        <v>6</v>
      </c>
      <c r="B285" s="11" t="s">
        <v>322</v>
      </c>
      <c r="C285" s="11">
        <v>2025110143</v>
      </c>
      <c r="D285" s="11"/>
      <c r="E285" s="11"/>
      <c r="F285" s="11" t="s">
        <v>63</v>
      </c>
      <c r="G285" s="11" t="s">
        <v>195</v>
      </c>
      <c r="H285" s="11" t="s">
        <v>358</v>
      </c>
      <c r="I285" s="11"/>
      <c r="J285" s="11"/>
      <c r="K285" s="11"/>
      <c r="L285" s="11"/>
      <c r="M285" s="12"/>
      <c r="N285" s="11"/>
      <c r="O285" s="12"/>
      <c r="P285" s="13"/>
      <c r="Q285" s="11" t="s">
        <v>1248</v>
      </c>
      <c r="R285" s="11" t="s">
        <v>326</v>
      </c>
      <c r="S285" s="11" t="s">
        <v>123</v>
      </c>
      <c r="T285" s="11">
        <v>1</v>
      </c>
      <c r="U285" s="11" t="s">
        <v>327</v>
      </c>
      <c r="V285" s="11" t="s">
        <v>1686</v>
      </c>
      <c r="W285" s="11" t="s">
        <v>1674</v>
      </c>
      <c r="X285" s="367">
        <v>45964.541666666657</v>
      </c>
      <c r="Y285" s="11"/>
      <c r="Z285" s="11">
        <v>2</v>
      </c>
      <c r="AA285" s="11"/>
      <c r="AB285" s="11" t="s">
        <v>330</v>
      </c>
      <c r="AC285" s="212" t="s">
        <v>1687</v>
      </c>
      <c r="AD285" s="11"/>
      <c r="AE285" s="11" t="s">
        <v>332</v>
      </c>
      <c r="AF285" s="11"/>
      <c r="AG285" s="11"/>
      <c r="AH285" s="11"/>
      <c r="AI285" s="11"/>
      <c r="AJ285" s="11"/>
      <c r="AK285" s="11" t="s">
        <v>332</v>
      </c>
      <c r="AL285" s="213" t="e">
        <f t="shared" si="8"/>
        <v>#VALUE!</v>
      </c>
      <c r="AM285" s="211">
        <f t="shared" si="9"/>
        <v>45964</v>
      </c>
    </row>
    <row r="286" spans="1:39" ht="21.6" customHeight="1">
      <c r="A286" s="11">
        <v>7</v>
      </c>
      <c r="B286" s="11" t="s">
        <v>322</v>
      </c>
      <c r="C286" s="11">
        <v>2025110144</v>
      </c>
      <c r="D286" s="11"/>
      <c r="E286" s="11"/>
      <c r="F286" s="11" t="s">
        <v>63</v>
      </c>
      <c r="G286" s="11" t="s">
        <v>195</v>
      </c>
      <c r="H286" s="11" t="s">
        <v>358</v>
      </c>
      <c r="I286" s="11"/>
      <c r="J286" s="11"/>
      <c r="K286" s="11"/>
      <c r="L286" s="11"/>
      <c r="M286" s="12"/>
      <c r="N286" s="11"/>
      <c r="O286" s="12"/>
      <c r="P286" s="13"/>
      <c r="Q286" s="11" t="s">
        <v>1248</v>
      </c>
      <c r="R286" s="11" t="s">
        <v>326</v>
      </c>
      <c r="S286" s="11" t="s">
        <v>123</v>
      </c>
      <c r="T286" s="11">
        <v>1</v>
      </c>
      <c r="U286" s="11" t="s">
        <v>327</v>
      </c>
      <c r="V286" s="11" t="s">
        <v>1688</v>
      </c>
      <c r="W286" s="11" t="s">
        <v>1689</v>
      </c>
      <c r="X286" s="367">
        <v>45964.555555555547</v>
      </c>
      <c r="Y286" s="11"/>
      <c r="Z286" s="11">
        <v>0.3</v>
      </c>
      <c r="AA286" s="11"/>
      <c r="AB286" s="11" t="s">
        <v>330</v>
      </c>
      <c r="AC286" s="212" t="s">
        <v>331</v>
      </c>
      <c r="AD286" s="11" t="s">
        <v>332</v>
      </c>
      <c r="AE286" s="11"/>
      <c r="AF286" s="11"/>
      <c r="AG286" s="11"/>
      <c r="AH286" s="11"/>
      <c r="AI286" s="11"/>
      <c r="AJ286" s="11"/>
      <c r="AK286" s="11" t="s">
        <v>332</v>
      </c>
      <c r="AL286" s="213" t="e">
        <f t="shared" si="8"/>
        <v>#VALUE!</v>
      </c>
      <c r="AM286" s="211">
        <f t="shared" si="9"/>
        <v>45964</v>
      </c>
    </row>
    <row r="287" spans="1:39" ht="21.6" customHeight="1">
      <c r="A287" s="11">
        <v>8</v>
      </c>
      <c r="B287" s="11" t="s">
        <v>322</v>
      </c>
      <c r="C287" s="11">
        <v>2025110148</v>
      </c>
      <c r="D287" s="11"/>
      <c r="E287" s="11"/>
      <c r="F287" s="11">
        <v>3921</v>
      </c>
      <c r="G287" s="11" t="s">
        <v>1690</v>
      </c>
      <c r="H287" s="11" t="s">
        <v>763</v>
      </c>
      <c r="I287" s="11"/>
      <c r="J287" s="11"/>
      <c r="K287" s="11"/>
      <c r="L287" s="11"/>
      <c r="M287" s="12"/>
      <c r="N287" s="11"/>
      <c r="O287" s="12"/>
      <c r="P287" s="13"/>
      <c r="Q287" s="11" t="s">
        <v>1691</v>
      </c>
      <c r="R287" s="11" t="s">
        <v>326</v>
      </c>
      <c r="S287" s="11" t="s">
        <v>118</v>
      </c>
      <c r="T287" s="11">
        <v>1</v>
      </c>
      <c r="U287" s="11" t="s">
        <v>327</v>
      </c>
      <c r="V287" s="11" t="s">
        <v>1692</v>
      </c>
      <c r="W287" s="11" t="s">
        <v>1689</v>
      </c>
      <c r="X287" s="367">
        <v>45964.5625</v>
      </c>
      <c r="Y287" s="11"/>
      <c r="Z287" s="11">
        <v>0.5</v>
      </c>
      <c r="AA287" s="11"/>
      <c r="AB287" s="11" t="s">
        <v>330</v>
      </c>
      <c r="AC287" s="212" t="s">
        <v>331</v>
      </c>
      <c r="AD287" s="11" t="s">
        <v>332</v>
      </c>
      <c r="AE287" s="11"/>
      <c r="AF287" s="11"/>
      <c r="AG287" s="11"/>
      <c r="AH287" s="11"/>
      <c r="AI287" s="11"/>
      <c r="AJ287" s="11" t="s">
        <v>332</v>
      </c>
      <c r="AK287" s="11" t="s">
        <v>332</v>
      </c>
      <c r="AL287" s="213" t="e">
        <f t="shared" si="8"/>
        <v>#VALUE!</v>
      </c>
      <c r="AM287" s="211">
        <f t="shared" si="9"/>
        <v>45964</v>
      </c>
    </row>
    <row r="288" spans="1:39" ht="21.6" customHeight="1">
      <c r="A288" s="11">
        <v>9</v>
      </c>
      <c r="B288" s="11" t="s">
        <v>322</v>
      </c>
      <c r="C288" s="11">
        <v>2025110150</v>
      </c>
      <c r="D288" s="11"/>
      <c r="E288" s="11"/>
      <c r="F288" s="11">
        <v>4316</v>
      </c>
      <c r="G288" s="11" t="s">
        <v>1693</v>
      </c>
      <c r="H288" s="11" t="s">
        <v>763</v>
      </c>
      <c r="I288" s="11"/>
      <c r="J288" s="11"/>
      <c r="K288" s="11"/>
      <c r="L288" s="11"/>
      <c r="M288" s="12"/>
      <c r="N288" s="11"/>
      <c r="O288" s="12"/>
      <c r="P288" s="13"/>
      <c r="Q288" s="11" t="s">
        <v>1694</v>
      </c>
      <c r="R288" s="11" t="s">
        <v>326</v>
      </c>
      <c r="S288" s="11" t="s">
        <v>118</v>
      </c>
      <c r="T288" s="11">
        <v>1</v>
      </c>
      <c r="U288" s="11" t="s">
        <v>327</v>
      </c>
      <c r="V288" s="11" t="s">
        <v>1695</v>
      </c>
      <c r="W288" s="11" t="s">
        <v>1696</v>
      </c>
      <c r="X288" s="367">
        <v>45964.576388888891</v>
      </c>
      <c r="Y288" s="11"/>
      <c r="Z288" s="11">
        <v>0.3</v>
      </c>
      <c r="AA288" s="11"/>
      <c r="AB288" s="11" t="s">
        <v>330</v>
      </c>
      <c r="AC288" s="212" t="s">
        <v>331</v>
      </c>
      <c r="AD288" s="11" t="s">
        <v>332</v>
      </c>
      <c r="AE288" s="11"/>
      <c r="AF288" s="11"/>
      <c r="AG288" s="11"/>
      <c r="AH288" s="11"/>
      <c r="AI288" s="11"/>
      <c r="AJ288" s="11" t="s">
        <v>332</v>
      </c>
      <c r="AK288" s="11" t="s">
        <v>332</v>
      </c>
      <c r="AL288" s="213" t="e">
        <f t="shared" si="8"/>
        <v>#VALUE!</v>
      </c>
      <c r="AM288" s="211">
        <f t="shared" si="9"/>
        <v>45964</v>
      </c>
    </row>
    <row r="289" spans="1:39" ht="21.6" customHeight="1">
      <c r="A289" s="11">
        <v>10</v>
      </c>
      <c r="B289" s="11" t="s">
        <v>322</v>
      </c>
      <c r="C289" s="11">
        <v>2025110401</v>
      </c>
      <c r="D289" s="11"/>
      <c r="E289" s="11"/>
      <c r="F289" s="11">
        <v>4541</v>
      </c>
      <c r="G289" s="11" t="s">
        <v>1678</v>
      </c>
      <c r="H289" s="11" t="s">
        <v>567</v>
      </c>
      <c r="I289" s="11"/>
      <c r="J289" s="11"/>
      <c r="K289" s="11"/>
      <c r="L289" s="11"/>
      <c r="M289" s="12"/>
      <c r="N289" s="11"/>
      <c r="O289" s="12"/>
      <c r="P289" s="13"/>
      <c r="Q289" s="11" t="s">
        <v>1681</v>
      </c>
      <c r="R289" s="11" t="s">
        <v>326</v>
      </c>
      <c r="S289" s="11" t="s">
        <v>123</v>
      </c>
      <c r="T289" s="11">
        <v>1</v>
      </c>
      <c r="U289" s="11" t="s">
        <v>327</v>
      </c>
      <c r="V289" s="11" t="s">
        <v>1697</v>
      </c>
      <c r="W289" s="11" t="s">
        <v>1698</v>
      </c>
      <c r="X289" s="367">
        <v>45964.71875</v>
      </c>
      <c r="Y289" s="11"/>
      <c r="Z289" s="11">
        <v>0.3</v>
      </c>
      <c r="AA289" s="11"/>
      <c r="AB289" s="11" t="s">
        <v>330</v>
      </c>
      <c r="AC289" s="212" t="s">
        <v>331</v>
      </c>
      <c r="AD289" s="11" t="s">
        <v>332</v>
      </c>
      <c r="AE289" s="11"/>
      <c r="AF289" s="11"/>
      <c r="AG289" s="11"/>
      <c r="AH289" s="11"/>
      <c r="AI289" s="11"/>
      <c r="AJ289" s="11"/>
      <c r="AK289" s="11" t="s">
        <v>332</v>
      </c>
      <c r="AL289" s="213" t="e">
        <f t="shared" si="8"/>
        <v>#VALUE!</v>
      </c>
      <c r="AM289" s="211">
        <f t="shared" si="9"/>
        <v>45964</v>
      </c>
    </row>
    <row r="290" spans="1:39" ht="21.6" customHeight="1">
      <c r="A290" s="11">
        <v>11</v>
      </c>
      <c r="B290" s="11" t="s">
        <v>322</v>
      </c>
      <c r="C290" s="11">
        <v>2025110517</v>
      </c>
      <c r="D290" s="11"/>
      <c r="E290" s="11"/>
      <c r="F290" s="11">
        <v>4764</v>
      </c>
      <c r="G290" s="11" t="s">
        <v>1699</v>
      </c>
      <c r="H290" s="11" t="s">
        <v>1077</v>
      </c>
      <c r="I290" s="11"/>
      <c r="J290" s="11"/>
      <c r="K290" s="11"/>
      <c r="L290" s="11"/>
      <c r="M290" s="12"/>
      <c r="N290" s="11"/>
      <c r="O290" s="12"/>
      <c r="P290" s="13"/>
      <c r="Q290" s="11" t="s">
        <v>1700</v>
      </c>
      <c r="R290" s="11" t="s">
        <v>326</v>
      </c>
      <c r="S290" s="11" t="s">
        <v>123</v>
      </c>
      <c r="T290" s="11">
        <v>1</v>
      </c>
      <c r="U290" s="11" t="s">
        <v>327</v>
      </c>
      <c r="V290" s="11" t="s">
        <v>1701</v>
      </c>
      <c r="W290" s="11" t="s">
        <v>1702</v>
      </c>
      <c r="X290" s="367">
        <v>45965.451388888891</v>
      </c>
      <c r="Y290" s="11"/>
      <c r="Z290" s="11">
        <v>0.3</v>
      </c>
      <c r="AA290" s="11"/>
      <c r="AB290" s="11" t="s">
        <v>330</v>
      </c>
      <c r="AC290" s="212" t="s">
        <v>331</v>
      </c>
      <c r="AD290" s="11" t="s">
        <v>332</v>
      </c>
      <c r="AE290" s="11"/>
      <c r="AF290" s="11"/>
      <c r="AG290" s="11"/>
      <c r="AH290" s="11"/>
      <c r="AI290" s="11"/>
      <c r="AJ290" s="11"/>
      <c r="AK290" s="11" t="s">
        <v>332</v>
      </c>
      <c r="AL290" s="213" t="e">
        <f t="shared" si="8"/>
        <v>#VALUE!</v>
      </c>
      <c r="AM290" s="211">
        <f t="shared" si="9"/>
        <v>45965</v>
      </c>
    </row>
    <row r="291" spans="1:39" ht="21.6" customHeight="1">
      <c r="A291" s="11">
        <v>12</v>
      </c>
      <c r="B291" s="11" t="s">
        <v>322</v>
      </c>
      <c r="C291" s="11">
        <v>2025110540</v>
      </c>
      <c r="D291" s="11"/>
      <c r="E291" s="11"/>
      <c r="F291" s="11">
        <v>2442</v>
      </c>
      <c r="G291" s="11" t="s">
        <v>1076</v>
      </c>
      <c r="H291" s="11" t="s">
        <v>1077</v>
      </c>
      <c r="I291" s="11"/>
      <c r="J291" s="11"/>
      <c r="K291" s="11"/>
      <c r="L291" s="11"/>
      <c r="M291" s="12"/>
      <c r="N291" s="11"/>
      <c r="O291" s="12"/>
      <c r="P291" s="13"/>
      <c r="Q291" s="11" t="s">
        <v>1080</v>
      </c>
      <c r="R291" s="11" t="s">
        <v>326</v>
      </c>
      <c r="S291" s="11" t="s">
        <v>123</v>
      </c>
      <c r="T291" s="11">
        <v>1</v>
      </c>
      <c r="U291" s="11" t="s">
        <v>327</v>
      </c>
      <c r="V291" s="11" t="s">
        <v>1703</v>
      </c>
      <c r="W291" s="11" t="s">
        <v>1704</v>
      </c>
      <c r="X291" s="367">
        <v>45965.522916666669</v>
      </c>
      <c r="Y291" s="11"/>
      <c r="Z291" s="11">
        <v>0.4</v>
      </c>
      <c r="AA291" s="11"/>
      <c r="AB291" s="11" t="s">
        <v>330</v>
      </c>
      <c r="AC291" s="212" t="s">
        <v>331</v>
      </c>
      <c r="AD291" s="11" t="s">
        <v>332</v>
      </c>
      <c r="AE291" s="11"/>
      <c r="AF291" s="11"/>
      <c r="AG291" s="11"/>
      <c r="AH291" s="11"/>
      <c r="AI291" s="11"/>
      <c r="AJ291" s="11"/>
      <c r="AK291" s="11" t="s">
        <v>332</v>
      </c>
      <c r="AL291" s="213" t="e">
        <f t="shared" si="8"/>
        <v>#VALUE!</v>
      </c>
      <c r="AM291" s="211">
        <f t="shared" si="9"/>
        <v>45965</v>
      </c>
    </row>
    <row r="292" spans="1:39" ht="21.6" customHeight="1">
      <c r="A292" s="11">
        <v>13</v>
      </c>
      <c r="B292" s="11" t="s">
        <v>322</v>
      </c>
      <c r="C292" s="11">
        <v>2025110541</v>
      </c>
      <c r="D292" s="11"/>
      <c r="E292" s="11"/>
      <c r="F292" s="11">
        <v>5074</v>
      </c>
      <c r="G292" s="11" t="s">
        <v>1705</v>
      </c>
      <c r="H292" s="11" t="s">
        <v>1077</v>
      </c>
      <c r="I292" s="11"/>
      <c r="J292" s="11"/>
      <c r="K292" s="11"/>
      <c r="L292" s="11"/>
      <c r="M292" s="12"/>
      <c r="N292" s="11"/>
      <c r="O292" s="12"/>
      <c r="P292" s="13"/>
      <c r="Q292" s="11" t="s">
        <v>1706</v>
      </c>
      <c r="R292" s="11" t="s">
        <v>326</v>
      </c>
      <c r="S292" s="11" t="s">
        <v>123</v>
      </c>
      <c r="T292" s="11">
        <v>1</v>
      </c>
      <c r="U292" s="11" t="s">
        <v>327</v>
      </c>
      <c r="V292" s="11" t="s">
        <v>1707</v>
      </c>
      <c r="W292" s="11" t="s">
        <v>1708</v>
      </c>
      <c r="X292" s="367">
        <v>45965.538888888892</v>
      </c>
      <c r="Y292" s="11"/>
      <c r="Z292" s="11">
        <v>0.4</v>
      </c>
      <c r="AA292" s="11"/>
      <c r="AB292" s="11" t="s">
        <v>330</v>
      </c>
      <c r="AC292" s="212" t="s">
        <v>331</v>
      </c>
      <c r="AD292" s="11" t="s">
        <v>332</v>
      </c>
      <c r="AE292" s="11"/>
      <c r="AF292" s="11"/>
      <c r="AG292" s="11"/>
      <c r="AH292" s="11"/>
      <c r="AI292" s="11"/>
      <c r="AJ292" s="11"/>
      <c r="AK292" s="11" t="s">
        <v>332</v>
      </c>
      <c r="AL292" s="213" t="e">
        <f t="shared" si="8"/>
        <v>#VALUE!</v>
      </c>
      <c r="AM292" s="211">
        <f t="shared" si="9"/>
        <v>45965</v>
      </c>
    </row>
    <row r="293" spans="1:39" ht="21.6" customHeight="1">
      <c r="A293" s="11">
        <v>14</v>
      </c>
      <c r="B293" s="11" t="s">
        <v>322</v>
      </c>
      <c r="C293" s="11">
        <v>2025110559</v>
      </c>
      <c r="D293" s="11"/>
      <c r="E293" s="11"/>
      <c r="F293" s="11">
        <v>2306</v>
      </c>
      <c r="G293" s="11" t="s">
        <v>1709</v>
      </c>
      <c r="H293" s="11" t="s">
        <v>1077</v>
      </c>
      <c r="I293" s="11"/>
      <c r="J293" s="11"/>
      <c r="K293" s="11"/>
      <c r="L293" s="11"/>
      <c r="M293" s="12"/>
      <c r="N293" s="11"/>
      <c r="O293" s="12"/>
      <c r="P293" s="13"/>
      <c r="Q293" s="11" t="s">
        <v>1710</v>
      </c>
      <c r="R293" s="11" t="s">
        <v>326</v>
      </c>
      <c r="S293" s="11" t="s">
        <v>123</v>
      </c>
      <c r="T293" s="11">
        <v>1</v>
      </c>
      <c r="U293" s="11" t="s">
        <v>327</v>
      </c>
      <c r="V293" s="11" t="s">
        <v>1711</v>
      </c>
      <c r="W293" s="11" t="s">
        <v>1712</v>
      </c>
      <c r="X293" s="367">
        <v>45965.583333333343</v>
      </c>
      <c r="Y293" s="11"/>
      <c r="Z293" s="11">
        <v>0.3</v>
      </c>
      <c r="AA293" s="11"/>
      <c r="AB293" s="11" t="s">
        <v>330</v>
      </c>
      <c r="AC293" s="212" t="s">
        <v>331</v>
      </c>
      <c r="AD293" s="11" t="s">
        <v>332</v>
      </c>
      <c r="AE293" s="11"/>
      <c r="AF293" s="11"/>
      <c r="AG293" s="11"/>
      <c r="AH293" s="11"/>
      <c r="AI293" s="11"/>
      <c r="AJ293" s="11"/>
      <c r="AK293" s="11" t="s">
        <v>332</v>
      </c>
      <c r="AL293" s="213" t="e">
        <f t="shared" si="8"/>
        <v>#VALUE!</v>
      </c>
      <c r="AM293" s="211">
        <f t="shared" si="9"/>
        <v>45965</v>
      </c>
    </row>
    <row r="294" spans="1:39" ht="21.6" customHeight="1">
      <c r="A294" s="11">
        <v>15</v>
      </c>
      <c r="B294" s="11" t="s">
        <v>322</v>
      </c>
      <c r="C294" s="11">
        <v>2025110572</v>
      </c>
      <c r="D294" s="11"/>
      <c r="E294" s="11"/>
      <c r="F294" s="11">
        <v>4259</v>
      </c>
      <c r="G294" s="11" t="s">
        <v>1713</v>
      </c>
      <c r="H294" s="11" t="s">
        <v>1077</v>
      </c>
      <c r="I294" s="11"/>
      <c r="J294" s="11"/>
      <c r="K294" s="11"/>
      <c r="L294" s="11"/>
      <c r="M294" s="12"/>
      <c r="N294" s="11"/>
      <c r="O294" s="12"/>
      <c r="P294" s="13"/>
      <c r="Q294" s="11" t="s">
        <v>1714</v>
      </c>
      <c r="R294" s="11" t="s">
        <v>326</v>
      </c>
      <c r="S294" s="11" t="s">
        <v>123</v>
      </c>
      <c r="T294" s="11">
        <v>1</v>
      </c>
      <c r="U294" s="11" t="s">
        <v>327</v>
      </c>
      <c r="V294" s="11" t="s">
        <v>1715</v>
      </c>
      <c r="W294" s="11" t="s">
        <v>1716</v>
      </c>
      <c r="X294" s="367">
        <v>45965.604166666657</v>
      </c>
      <c r="Y294" s="11"/>
      <c r="Z294" s="11">
        <v>0.3</v>
      </c>
      <c r="AA294" s="11"/>
      <c r="AB294" s="11" t="s">
        <v>330</v>
      </c>
      <c r="AC294" s="212" t="s">
        <v>331</v>
      </c>
      <c r="AD294" s="11" t="s">
        <v>332</v>
      </c>
      <c r="AE294" s="11"/>
      <c r="AF294" s="11"/>
      <c r="AG294" s="11"/>
      <c r="AH294" s="11"/>
      <c r="AI294" s="11"/>
      <c r="AJ294" s="11"/>
      <c r="AK294" s="11" t="s">
        <v>332</v>
      </c>
      <c r="AL294" s="213" t="e">
        <f t="shared" si="8"/>
        <v>#VALUE!</v>
      </c>
      <c r="AM294" s="211">
        <f t="shared" si="9"/>
        <v>45965</v>
      </c>
    </row>
    <row r="295" spans="1:39" ht="21.6" customHeight="1">
      <c r="A295" s="11">
        <v>16</v>
      </c>
      <c r="B295" s="11" t="s">
        <v>322</v>
      </c>
      <c r="C295" s="11">
        <v>2025110603</v>
      </c>
      <c r="D295" s="11"/>
      <c r="E295" s="11" t="s">
        <v>1717</v>
      </c>
      <c r="F295" s="11">
        <v>4528</v>
      </c>
      <c r="G295" s="11" t="s">
        <v>1718</v>
      </c>
      <c r="H295" s="11" t="s">
        <v>1077</v>
      </c>
      <c r="I295" s="11"/>
      <c r="J295" s="11"/>
      <c r="K295" s="11"/>
      <c r="L295" s="11"/>
      <c r="M295" s="12"/>
      <c r="N295" s="11"/>
      <c r="O295" s="12"/>
      <c r="P295" s="13"/>
      <c r="Q295" s="11" t="s">
        <v>1719</v>
      </c>
      <c r="R295" s="11" t="s">
        <v>326</v>
      </c>
      <c r="S295" s="11" t="s">
        <v>123</v>
      </c>
      <c r="T295" s="11">
        <v>1</v>
      </c>
      <c r="U295" s="11" t="s">
        <v>327</v>
      </c>
      <c r="V295" s="11" t="s">
        <v>1720</v>
      </c>
      <c r="W295" s="11" t="s">
        <v>1721</v>
      </c>
      <c r="X295" s="367">
        <v>45965.638888888891</v>
      </c>
      <c r="Y295" s="11"/>
      <c r="Z295" s="11">
        <v>0.3</v>
      </c>
      <c r="AA295" s="11"/>
      <c r="AB295" s="11" t="s">
        <v>330</v>
      </c>
      <c r="AC295" s="212" t="s">
        <v>331</v>
      </c>
      <c r="AD295" s="11" t="s">
        <v>332</v>
      </c>
      <c r="AE295" s="11"/>
      <c r="AF295" s="11"/>
      <c r="AG295" s="11"/>
      <c r="AH295" s="11"/>
      <c r="AI295" s="11"/>
      <c r="AJ295" s="11"/>
      <c r="AK295" s="11" t="s">
        <v>332</v>
      </c>
      <c r="AL295" s="213" t="e">
        <f t="shared" si="8"/>
        <v>#VALUE!</v>
      </c>
      <c r="AM295" s="211">
        <f t="shared" si="9"/>
        <v>45965</v>
      </c>
    </row>
    <row r="296" spans="1:39" ht="21.6" customHeight="1">
      <c r="A296" s="11">
        <v>17</v>
      </c>
      <c r="B296" s="11" t="s">
        <v>322</v>
      </c>
      <c r="C296" s="11">
        <v>2025110620</v>
      </c>
      <c r="D296" s="11"/>
      <c r="E296" s="11"/>
      <c r="F296" s="11">
        <v>4243</v>
      </c>
      <c r="G296" s="11" t="s">
        <v>1722</v>
      </c>
      <c r="H296" s="11" t="s">
        <v>1077</v>
      </c>
      <c r="I296" s="11"/>
      <c r="J296" s="11"/>
      <c r="K296" s="11"/>
      <c r="L296" s="11"/>
      <c r="M296" s="12"/>
      <c r="N296" s="11"/>
      <c r="O296" s="12"/>
      <c r="P296" s="13"/>
      <c r="Q296" s="11" t="s">
        <v>1723</v>
      </c>
      <c r="R296" s="11" t="s">
        <v>326</v>
      </c>
      <c r="S296" s="11" t="s">
        <v>123</v>
      </c>
      <c r="T296" s="11">
        <v>1</v>
      </c>
      <c r="U296" s="11" t="s">
        <v>327</v>
      </c>
      <c r="V296" s="11" t="s">
        <v>1724</v>
      </c>
      <c r="W296" s="11" t="s">
        <v>1725</v>
      </c>
      <c r="X296" s="367">
        <v>45965.666666666657</v>
      </c>
      <c r="Y296" s="11"/>
      <c r="Z296" s="11">
        <v>0.3</v>
      </c>
      <c r="AA296" s="11"/>
      <c r="AB296" s="11" t="s">
        <v>330</v>
      </c>
      <c r="AC296" s="212" t="s">
        <v>331</v>
      </c>
      <c r="AD296" s="11" t="s">
        <v>332</v>
      </c>
      <c r="AE296" s="11"/>
      <c r="AF296" s="11"/>
      <c r="AG296" s="11"/>
      <c r="AH296" s="11"/>
      <c r="AI296" s="11"/>
      <c r="AJ296" s="11"/>
      <c r="AK296" s="11" t="s">
        <v>332</v>
      </c>
      <c r="AL296" s="213" t="e">
        <f t="shared" si="8"/>
        <v>#VALUE!</v>
      </c>
      <c r="AM296" s="211">
        <f t="shared" si="9"/>
        <v>45965</v>
      </c>
    </row>
    <row r="297" spans="1:39" ht="21.6" customHeight="1">
      <c r="A297" s="11">
        <v>18</v>
      </c>
      <c r="B297" s="11" t="s">
        <v>322</v>
      </c>
      <c r="C297" s="11">
        <v>2025110660</v>
      </c>
      <c r="D297" s="11"/>
      <c r="E297" s="11"/>
      <c r="F297" s="11">
        <v>3458</v>
      </c>
      <c r="G297" s="11" t="s">
        <v>1726</v>
      </c>
      <c r="H297" s="11" t="s">
        <v>1077</v>
      </c>
      <c r="I297" s="11"/>
      <c r="J297" s="11"/>
      <c r="K297" s="11"/>
      <c r="L297" s="11"/>
      <c r="M297" s="12"/>
      <c r="N297" s="11"/>
      <c r="O297" s="12"/>
      <c r="P297" s="13"/>
      <c r="Q297" s="11" t="s">
        <v>1727</v>
      </c>
      <c r="R297" s="11" t="s">
        <v>326</v>
      </c>
      <c r="S297" s="11" t="s">
        <v>123</v>
      </c>
      <c r="T297" s="11">
        <v>1</v>
      </c>
      <c r="U297" s="11" t="s">
        <v>327</v>
      </c>
      <c r="V297" s="11" t="s">
        <v>1728</v>
      </c>
      <c r="W297" s="11" t="s">
        <v>1729</v>
      </c>
      <c r="X297" s="367">
        <v>45965.694444444453</v>
      </c>
      <c r="Y297" s="11"/>
      <c r="Z297" s="11">
        <v>0.3</v>
      </c>
      <c r="AA297" s="11"/>
      <c r="AB297" s="11" t="s">
        <v>330</v>
      </c>
      <c r="AC297" s="212" t="s">
        <v>331</v>
      </c>
      <c r="AD297" s="11" t="s">
        <v>332</v>
      </c>
      <c r="AE297" s="11"/>
      <c r="AF297" s="11"/>
      <c r="AG297" s="11"/>
      <c r="AH297" s="11"/>
      <c r="AI297" s="11"/>
      <c r="AJ297" s="11"/>
      <c r="AK297" s="11" t="s">
        <v>332</v>
      </c>
      <c r="AL297" s="213" t="e">
        <f t="shared" si="8"/>
        <v>#VALUE!</v>
      </c>
      <c r="AM297" s="211">
        <f t="shared" si="9"/>
        <v>45965</v>
      </c>
    </row>
    <row r="298" spans="1:39" ht="21.6" customHeight="1">
      <c r="A298" s="11">
        <v>19</v>
      </c>
      <c r="B298" s="11" t="s">
        <v>322</v>
      </c>
      <c r="C298" s="11">
        <v>2025110731</v>
      </c>
      <c r="D298" s="11"/>
      <c r="E298" s="11"/>
      <c r="F298" s="11">
        <v>3359</v>
      </c>
      <c r="G298" s="11" t="s">
        <v>1730</v>
      </c>
      <c r="H298" s="11" t="s">
        <v>358</v>
      </c>
      <c r="I298" s="11"/>
      <c r="J298" s="11"/>
      <c r="K298" s="11"/>
      <c r="L298" s="11"/>
      <c r="M298" s="12"/>
      <c r="N298" s="11"/>
      <c r="O298" s="12"/>
      <c r="P298" s="13"/>
      <c r="Q298" s="11" t="s">
        <v>1731</v>
      </c>
      <c r="R298" s="11" t="s">
        <v>326</v>
      </c>
      <c r="S298" s="11" t="s">
        <v>123</v>
      </c>
      <c r="T298" s="11">
        <v>1</v>
      </c>
      <c r="U298" s="11" t="s">
        <v>327</v>
      </c>
      <c r="V298" s="11" t="s">
        <v>1732</v>
      </c>
      <c r="W298" s="11" t="s">
        <v>1733</v>
      </c>
      <c r="X298" s="367">
        <v>45966.409722222219</v>
      </c>
      <c r="Y298" s="11"/>
      <c r="Z298" s="11">
        <v>0.3</v>
      </c>
      <c r="AA298" s="11"/>
      <c r="AB298" s="11" t="s">
        <v>330</v>
      </c>
      <c r="AC298" s="212" t="s">
        <v>341</v>
      </c>
      <c r="AD298" s="11" t="s">
        <v>332</v>
      </c>
      <c r="AE298" s="11"/>
      <c r="AF298" s="11"/>
      <c r="AG298" s="11"/>
      <c r="AH298" s="11"/>
      <c r="AI298" s="11"/>
      <c r="AJ298" s="11"/>
      <c r="AK298" s="11" t="s">
        <v>332</v>
      </c>
      <c r="AL298" s="213" t="e">
        <f t="shared" si="8"/>
        <v>#VALUE!</v>
      </c>
      <c r="AM298" s="211">
        <f t="shared" si="9"/>
        <v>45966</v>
      </c>
    </row>
    <row r="299" spans="1:39" ht="21.6" customHeight="1">
      <c r="A299" s="11">
        <v>20</v>
      </c>
      <c r="B299" s="11" t="s">
        <v>322</v>
      </c>
      <c r="C299" s="11">
        <v>2025110739</v>
      </c>
      <c r="D299" s="11"/>
      <c r="E299" s="11"/>
      <c r="F299" s="11" t="s">
        <v>65</v>
      </c>
      <c r="G299" s="11" t="s">
        <v>797</v>
      </c>
      <c r="H299" s="11" t="s">
        <v>358</v>
      </c>
      <c r="I299" s="11"/>
      <c r="J299" s="11"/>
      <c r="K299" s="11"/>
      <c r="L299" s="11"/>
      <c r="M299" s="12"/>
      <c r="N299" s="11"/>
      <c r="O299" s="12"/>
      <c r="P299" s="13"/>
      <c r="Q299" s="11" t="s">
        <v>800</v>
      </c>
      <c r="R299" s="11" t="s">
        <v>326</v>
      </c>
      <c r="S299" s="11" t="s">
        <v>123</v>
      </c>
      <c r="T299" s="11">
        <v>1</v>
      </c>
      <c r="U299" s="11" t="s">
        <v>327</v>
      </c>
      <c r="V299" s="11" t="s">
        <v>1734</v>
      </c>
      <c r="W299" s="11" t="s">
        <v>1735</v>
      </c>
      <c r="X299" s="367">
        <v>45966.444444444453</v>
      </c>
      <c r="Y299" s="11"/>
      <c r="Z299" s="11">
        <v>0.3</v>
      </c>
      <c r="AA299" s="11"/>
      <c r="AB299" s="11" t="s">
        <v>330</v>
      </c>
      <c r="AC299" s="212" t="s">
        <v>331</v>
      </c>
      <c r="AD299" s="11" t="s">
        <v>332</v>
      </c>
      <c r="AE299" s="11"/>
      <c r="AF299" s="11"/>
      <c r="AG299" s="11"/>
      <c r="AH299" s="11"/>
      <c r="AI299" s="11"/>
      <c r="AJ299" s="11"/>
      <c r="AK299" s="11" t="s">
        <v>332</v>
      </c>
      <c r="AL299" s="213" t="e">
        <f t="shared" si="8"/>
        <v>#VALUE!</v>
      </c>
      <c r="AM299" s="211">
        <f t="shared" si="9"/>
        <v>45966</v>
      </c>
    </row>
    <row r="300" spans="1:39" ht="21.6" customHeight="1">
      <c r="A300" s="11">
        <v>21</v>
      </c>
      <c r="B300" s="11" t="s">
        <v>322</v>
      </c>
      <c r="C300" s="11">
        <v>2025110744</v>
      </c>
      <c r="D300" s="11"/>
      <c r="E300" s="11"/>
      <c r="F300" s="11">
        <v>4977</v>
      </c>
      <c r="G300" s="11" t="s">
        <v>1736</v>
      </c>
      <c r="H300" s="11" t="s">
        <v>358</v>
      </c>
      <c r="I300" s="11"/>
      <c r="J300" s="11"/>
      <c r="K300" s="11"/>
      <c r="L300" s="11"/>
      <c r="M300" s="12"/>
      <c r="N300" s="11"/>
      <c r="O300" s="12"/>
      <c r="P300" s="13"/>
      <c r="Q300" s="11" t="s">
        <v>1737</v>
      </c>
      <c r="R300" s="11" t="s">
        <v>326</v>
      </c>
      <c r="S300" s="11" t="s">
        <v>123</v>
      </c>
      <c r="T300" s="11">
        <v>1</v>
      </c>
      <c r="U300" s="11" t="s">
        <v>327</v>
      </c>
      <c r="V300" s="11" t="s">
        <v>1738</v>
      </c>
      <c r="W300" s="11" t="s">
        <v>1739</v>
      </c>
      <c r="X300" s="367">
        <v>45966.465277777781</v>
      </c>
      <c r="Y300" s="11"/>
      <c r="Z300" s="11">
        <v>0.3</v>
      </c>
      <c r="AA300" s="11"/>
      <c r="AB300" s="11" t="s">
        <v>330</v>
      </c>
      <c r="AC300" s="212" t="s">
        <v>331</v>
      </c>
      <c r="AD300" s="11" t="s">
        <v>332</v>
      </c>
      <c r="AE300" s="11"/>
      <c r="AF300" s="11"/>
      <c r="AG300" s="11"/>
      <c r="AH300" s="11"/>
      <c r="AI300" s="11"/>
      <c r="AJ300" s="11"/>
      <c r="AK300" s="11" t="s">
        <v>332</v>
      </c>
      <c r="AL300" s="213" t="e">
        <f t="shared" si="8"/>
        <v>#VALUE!</v>
      </c>
      <c r="AM300" s="211">
        <f t="shared" si="9"/>
        <v>45966</v>
      </c>
    </row>
    <row r="301" spans="1:39" ht="21.6" customHeight="1">
      <c r="A301" s="11">
        <v>22</v>
      </c>
      <c r="B301" s="11" t="s">
        <v>322</v>
      </c>
      <c r="C301" s="11">
        <v>2025110848</v>
      </c>
      <c r="D301" s="11"/>
      <c r="E301" s="11"/>
      <c r="F301" s="11">
        <v>5316</v>
      </c>
      <c r="G301" s="11" t="s">
        <v>255</v>
      </c>
      <c r="H301" s="11" t="s">
        <v>358</v>
      </c>
      <c r="I301" s="11"/>
      <c r="J301" s="11"/>
      <c r="K301" s="11"/>
      <c r="L301" s="11"/>
      <c r="M301" s="12"/>
      <c r="N301" s="11"/>
      <c r="O301" s="12"/>
      <c r="P301" s="13"/>
      <c r="Q301" s="11" t="s">
        <v>1740</v>
      </c>
      <c r="R301" s="11" t="s">
        <v>326</v>
      </c>
      <c r="S301" s="11" t="s">
        <v>123</v>
      </c>
      <c r="T301" s="11">
        <v>1</v>
      </c>
      <c r="U301" s="11" t="s">
        <v>327</v>
      </c>
      <c r="V301" s="11" t="s">
        <v>1741</v>
      </c>
      <c r="W301" s="11" t="s">
        <v>1742</v>
      </c>
      <c r="X301" s="367">
        <v>45966.680555555547</v>
      </c>
      <c r="Y301" s="11"/>
      <c r="Z301" s="11">
        <v>0.3</v>
      </c>
      <c r="AA301" s="11"/>
      <c r="AB301" s="11" t="s">
        <v>330</v>
      </c>
      <c r="AC301" s="212" t="s">
        <v>331</v>
      </c>
      <c r="AD301" s="11" t="s">
        <v>332</v>
      </c>
      <c r="AE301" s="11"/>
      <c r="AF301" s="11"/>
      <c r="AG301" s="11"/>
      <c r="AH301" s="11"/>
      <c r="AI301" s="11"/>
      <c r="AJ301" s="11"/>
      <c r="AK301" s="11" t="s">
        <v>332</v>
      </c>
      <c r="AL301" s="213" t="e">
        <f t="shared" si="8"/>
        <v>#VALUE!</v>
      </c>
      <c r="AM301" s="211">
        <f t="shared" si="9"/>
        <v>45966</v>
      </c>
    </row>
    <row r="302" spans="1:39" ht="21.6" customHeight="1">
      <c r="A302" s="11">
        <v>23</v>
      </c>
      <c r="B302" s="11" t="s">
        <v>322</v>
      </c>
      <c r="C302" s="11">
        <v>2025110856</v>
      </c>
      <c r="D302" s="11"/>
      <c r="E302" s="11"/>
      <c r="F302" s="11" t="s">
        <v>64</v>
      </c>
      <c r="G302" s="11" t="s">
        <v>1743</v>
      </c>
      <c r="H302" s="11" t="s">
        <v>358</v>
      </c>
      <c r="I302" s="11"/>
      <c r="J302" s="11"/>
      <c r="K302" s="11"/>
      <c r="L302" s="11"/>
      <c r="M302" s="12"/>
      <c r="N302" s="11"/>
      <c r="O302" s="12"/>
      <c r="P302" s="13"/>
      <c r="Q302" s="11" t="s">
        <v>1744</v>
      </c>
      <c r="R302" s="11" t="s">
        <v>326</v>
      </c>
      <c r="S302" s="11" t="s">
        <v>123</v>
      </c>
      <c r="T302" s="11">
        <v>1</v>
      </c>
      <c r="U302" s="11" t="s">
        <v>327</v>
      </c>
      <c r="V302" s="11" t="s">
        <v>1745</v>
      </c>
      <c r="W302" s="11" t="s">
        <v>1746</v>
      </c>
      <c r="X302" s="367">
        <v>45966.707638888889</v>
      </c>
      <c r="Y302" s="11"/>
      <c r="Z302" s="11">
        <v>0.4</v>
      </c>
      <c r="AA302" s="11"/>
      <c r="AB302" s="11" t="s">
        <v>330</v>
      </c>
      <c r="AC302" s="212" t="s">
        <v>331</v>
      </c>
      <c r="AD302" s="11" t="s">
        <v>332</v>
      </c>
      <c r="AE302" s="11"/>
      <c r="AF302" s="11"/>
      <c r="AG302" s="11"/>
      <c r="AH302" s="11"/>
      <c r="AI302" s="11"/>
      <c r="AJ302" s="11"/>
      <c r="AK302" s="11" t="s">
        <v>332</v>
      </c>
      <c r="AL302" s="213" t="e">
        <f t="shared" si="8"/>
        <v>#VALUE!</v>
      </c>
      <c r="AM302" s="211">
        <f t="shared" si="9"/>
        <v>45966</v>
      </c>
    </row>
    <row r="303" spans="1:39" ht="21.6" customHeight="1">
      <c r="A303" s="11">
        <v>24</v>
      </c>
      <c r="B303" s="11" t="s">
        <v>363</v>
      </c>
      <c r="C303" s="11">
        <v>2025110931</v>
      </c>
      <c r="D303" s="11" t="s">
        <v>1747</v>
      </c>
      <c r="E303" s="11" t="s">
        <v>365</v>
      </c>
      <c r="F303" s="11">
        <v>3929</v>
      </c>
      <c r="G303" s="11" t="s">
        <v>221</v>
      </c>
      <c r="H303" s="11" t="s">
        <v>748</v>
      </c>
      <c r="I303" s="11" t="s">
        <v>1748</v>
      </c>
      <c r="J303" s="11" t="s">
        <v>424</v>
      </c>
      <c r="K303" s="11" t="s">
        <v>446</v>
      </c>
      <c r="L303" s="11" t="s">
        <v>1749</v>
      </c>
      <c r="M303" s="12" t="s">
        <v>1750</v>
      </c>
      <c r="N303" s="11">
        <v>3404</v>
      </c>
      <c r="O303" s="12" t="s">
        <v>1751</v>
      </c>
      <c r="P303" s="13" t="s">
        <v>1752</v>
      </c>
      <c r="Q303" s="11" t="s">
        <v>1753</v>
      </c>
      <c r="R303" s="11" t="s">
        <v>326</v>
      </c>
      <c r="S303" s="11" t="s">
        <v>123</v>
      </c>
      <c r="T303" s="11">
        <v>1</v>
      </c>
      <c r="U303" s="11" t="s">
        <v>327</v>
      </c>
      <c r="V303" s="11" t="s">
        <v>1754</v>
      </c>
      <c r="W303" s="11" t="s">
        <v>1755</v>
      </c>
      <c r="X303" s="367">
        <v>45967.430555555547</v>
      </c>
      <c r="Y303" s="11" t="s">
        <v>1756</v>
      </c>
      <c r="Z303" s="11">
        <v>0.2</v>
      </c>
      <c r="AA303" s="11"/>
      <c r="AB303" s="11" t="s">
        <v>330</v>
      </c>
      <c r="AC303" s="212" t="s">
        <v>1757</v>
      </c>
      <c r="AD303" s="11"/>
      <c r="AE303" s="11"/>
      <c r="AF303" s="11"/>
      <c r="AG303" s="11"/>
      <c r="AH303" s="11"/>
      <c r="AI303" s="11"/>
      <c r="AJ303" s="11"/>
      <c r="AK303" s="11" t="s">
        <v>332</v>
      </c>
      <c r="AL303" s="213">
        <f t="shared" si="8"/>
        <v>45967</v>
      </c>
      <c r="AM303" s="211">
        <f t="shared" si="9"/>
        <v>45967</v>
      </c>
    </row>
    <row r="304" spans="1:39" ht="21.6" customHeight="1">
      <c r="A304" s="11">
        <v>25</v>
      </c>
      <c r="B304" s="11" t="s">
        <v>322</v>
      </c>
      <c r="C304" s="11">
        <v>2025110933</v>
      </c>
      <c r="D304" s="11"/>
      <c r="E304" s="11"/>
      <c r="F304" s="11">
        <v>3929</v>
      </c>
      <c r="G304" s="11" t="s">
        <v>221</v>
      </c>
      <c r="H304" s="11" t="s">
        <v>748</v>
      </c>
      <c r="I304" s="11"/>
      <c r="J304" s="11"/>
      <c r="K304" s="11"/>
      <c r="L304" s="11"/>
      <c r="M304" s="12"/>
      <c r="N304" s="11"/>
      <c r="O304" s="12"/>
      <c r="P304" s="13"/>
      <c r="Q304" s="11" t="s">
        <v>1753</v>
      </c>
      <c r="R304" s="11" t="s">
        <v>326</v>
      </c>
      <c r="S304" s="11" t="s">
        <v>123</v>
      </c>
      <c r="T304" s="11">
        <v>1</v>
      </c>
      <c r="U304" s="11" t="s">
        <v>327</v>
      </c>
      <c r="V304" s="11" t="s">
        <v>1758</v>
      </c>
      <c r="W304" s="11" t="s">
        <v>1759</v>
      </c>
      <c r="X304" s="367">
        <v>45967.409722222219</v>
      </c>
      <c r="Y304" s="11"/>
      <c r="Z304" s="11">
        <v>0.3</v>
      </c>
      <c r="AA304" s="11"/>
      <c r="AB304" s="11" t="s">
        <v>330</v>
      </c>
      <c r="AC304" s="212" t="s">
        <v>331</v>
      </c>
      <c r="AD304" s="11" t="s">
        <v>332</v>
      </c>
      <c r="AE304" s="11"/>
      <c r="AF304" s="11"/>
      <c r="AG304" s="11"/>
      <c r="AH304" s="11"/>
      <c r="AI304" s="11"/>
      <c r="AJ304" s="11"/>
      <c r="AK304" s="11" t="s">
        <v>332</v>
      </c>
      <c r="AL304" s="213" t="e">
        <f t="shared" si="8"/>
        <v>#VALUE!</v>
      </c>
      <c r="AM304" s="211">
        <f t="shared" si="9"/>
        <v>45967</v>
      </c>
    </row>
    <row r="305" spans="1:39" ht="21.6" customHeight="1">
      <c r="A305" s="11">
        <v>26</v>
      </c>
      <c r="B305" s="11" t="s">
        <v>322</v>
      </c>
      <c r="C305" s="11">
        <v>2025110987</v>
      </c>
      <c r="D305" s="11"/>
      <c r="E305" s="11"/>
      <c r="F305" s="11">
        <v>3452</v>
      </c>
      <c r="G305" s="11" t="s">
        <v>1760</v>
      </c>
      <c r="H305" s="11" t="s">
        <v>748</v>
      </c>
      <c r="I305" s="11"/>
      <c r="J305" s="11"/>
      <c r="K305" s="11"/>
      <c r="L305" s="11"/>
      <c r="M305" s="12"/>
      <c r="N305" s="11"/>
      <c r="O305" s="12"/>
      <c r="P305" s="13"/>
      <c r="Q305" s="11" t="s">
        <v>1761</v>
      </c>
      <c r="R305" s="11" t="s">
        <v>326</v>
      </c>
      <c r="S305" s="11" t="s">
        <v>123</v>
      </c>
      <c r="T305" s="11">
        <v>1</v>
      </c>
      <c r="U305" s="11" t="s">
        <v>327</v>
      </c>
      <c r="V305" s="11" t="s">
        <v>1762</v>
      </c>
      <c r="W305" s="11" t="s">
        <v>1763</v>
      </c>
      <c r="X305" s="367">
        <v>45967.458333333343</v>
      </c>
      <c r="Y305" s="11"/>
      <c r="Z305" s="11">
        <v>0.3</v>
      </c>
      <c r="AA305" s="11"/>
      <c r="AB305" s="11" t="s">
        <v>330</v>
      </c>
      <c r="AC305" s="212" t="s">
        <v>331</v>
      </c>
      <c r="AD305" s="11" t="s">
        <v>332</v>
      </c>
      <c r="AE305" s="11"/>
      <c r="AF305" s="11"/>
      <c r="AG305" s="11"/>
      <c r="AH305" s="11"/>
      <c r="AI305" s="11"/>
      <c r="AJ305" s="11"/>
      <c r="AK305" s="11" t="s">
        <v>332</v>
      </c>
      <c r="AL305" s="213" t="e">
        <f t="shared" si="8"/>
        <v>#VALUE!</v>
      </c>
      <c r="AM305" s="211">
        <f t="shared" si="9"/>
        <v>45967</v>
      </c>
    </row>
    <row r="306" spans="1:39" ht="21.6" customHeight="1">
      <c r="A306" s="11">
        <v>27</v>
      </c>
      <c r="B306" s="11" t="s">
        <v>322</v>
      </c>
      <c r="C306" s="11">
        <v>2025111098</v>
      </c>
      <c r="D306" s="11"/>
      <c r="E306" s="11"/>
      <c r="F306" s="11">
        <v>5341</v>
      </c>
      <c r="G306" s="11" t="s">
        <v>250</v>
      </c>
      <c r="H306" s="11" t="s">
        <v>748</v>
      </c>
      <c r="I306" s="11"/>
      <c r="J306" s="11"/>
      <c r="K306" s="11"/>
      <c r="L306" s="11"/>
      <c r="M306" s="12"/>
      <c r="N306" s="11"/>
      <c r="O306" s="12"/>
      <c r="P306" s="13"/>
      <c r="Q306" s="11" t="s">
        <v>1764</v>
      </c>
      <c r="R306" s="11" t="s">
        <v>326</v>
      </c>
      <c r="S306" s="11" t="s">
        <v>123</v>
      </c>
      <c r="T306" s="11">
        <v>1</v>
      </c>
      <c r="U306" s="11" t="s">
        <v>327</v>
      </c>
      <c r="V306" s="11" t="s">
        <v>1765</v>
      </c>
      <c r="W306" s="11" t="s">
        <v>1766</v>
      </c>
      <c r="X306" s="367">
        <v>45967.479166666657</v>
      </c>
      <c r="Y306" s="11"/>
      <c r="Z306" s="11">
        <v>0.3</v>
      </c>
      <c r="AA306" s="11"/>
      <c r="AB306" s="11" t="s">
        <v>330</v>
      </c>
      <c r="AC306" s="212" t="s">
        <v>331</v>
      </c>
      <c r="AD306" s="11" t="s">
        <v>332</v>
      </c>
      <c r="AE306" s="11"/>
      <c r="AF306" s="11"/>
      <c r="AG306" s="11"/>
      <c r="AH306" s="11"/>
      <c r="AI306" s="11"/>
      <c r="AJ306" s="11"/>
      <c r="AK306" s="11" t="s">
        <v>332</v>
      </c>
      <c r="AL306" s="213" t="e">
        <f t="shared" si="8"/>
        <v>#VALUE!</v>
      </c>
      <c r="AM306" s="211">
        <f t="shared" si="9"/>
        <v>45967</v>
      </c>
    </row>
    <row r="307" spans="1:39" ht="21.6" customHeight="1">
      <c r="A307" s="11">
        <v>28</v>
      </c>
      <c r="B307" s="11" t="s">
        <v>322</v>
      </c>
      <c r="C307" s="11">
        <v>2025111199</v>
      </c>
      <c r="D307" s="11"/>
      <c r="E307" s="11"/>
      <c r="F307" s="11">
        <v>4218</v>
      </c>
      <c r="G307" s="11" t="s">
        <v>215</v>
      </c>
      <c r="H307" s="11" t="s">
        <v>748</v>
      </c>
      <c r="I307" s="11"/>
      <c r="J307" s="11"/>
      <c r="K307" s="11"/>
      <c r="L307" s="11"/>
      <c r="M307" s="12"/>
      <c r="N307" s="11"/>
      <c r="O307" s="12"/>
      <c r="P307" s="13"/>
      <c r="Q307" s="11" t="s">
        <v>1767</v>
      </c>
      <c r="R307" s="11" t="s">
        <v>326</v>
      </c>
      <c r="S307" s="11" t="s">
        <v>123</v>
      </c>
      <c r="T307" s="11">
        <v>1</v>
      </c>
      <c r="U307" s="11" t="s">
        <v>327</v>
      </c>
      <c r="V307" s="11" t="s">
        <v>1768</v>
      </c>
      <c r="W307" s="11" t="s">
        <v>1769</v>
      </c>
      <c r="X307" s="367">
        <v>45967.506944444453</v>
      </c>
      <c r="Y307" s="11"/>
      <c r="Z307" s="11">
        <v>0.3</v>
      </c>
      <c r="AA307" s="11"/>
      <c r="AB307" s="11" t="s">
        <v>330</v>
      </c>
      <c r="AC307" s="212" t="s">
        <v>331</v>
      </c>
      <c r="AD307" s="11" t="s">
        <v>332</v>
      </c>
      <c r="AE307" s="11"/>
      <c r="AF307" s="11"/>
      <c r="AG307" s="11"/>
      <c r="AH307" s="11"/>
      <c r="AI307" s="11"/>
      <c r="AJ307" s="11"/>
      <c r="AK307" s="11" t="s">
        <v>332</v>
      </c>
      <c r="AL307" s="213" t="e">
        <f t="shared" si="8"/>
        <v>#VALUE!</v>
      </c>
      <c r="AM307" s="211">
        <f t="shared" si="9"/>
        <v>45967</v>
      </c>
    </row>
    <row r="308" spans="1:39" ht="21.6" customHeight="1">
      <c r="A308" s="11">
        <v>29</v>
      </c>
      <c r="B308" s="11" t="s">
        <v>322</v>
      </c>
      <c r="C308" s="11">
        <v>2025111203</v>
      </c>
      <c r="D308" s="11"/>
      <c r="E308" s="11"/>
      <c r="F308" s="11">
        <v>2958</v>
      </c>
      <c r="G308" s="11" t="s">
        <v>1770</v>
      </c>
      <c r="H308" s="11" t="s">
        <v>748</v>
      </c>
      <c r="I308" s="11"/>
      <c r="J308" s="11"/>
      <c r="K308" s="11"/>
      <c r="L308" s="11"/>
      <c r="M308" s="12"/>
      <c r="N308" s="11"/>
      <c r="O308" s="12"/>
      <c r="P308" s="13"/>
      <c r="Q308" s="11" t="s">
        <v>1771</v>
      </c>
      <c r="R308" s="11" t="s">
        <v>326</v>
      </c>
      <c r="S308" s="11" t="s">
        <v>123</v>
      </c>
      <c r="T308" s="11">
        <v>1</v>
      </c>
      <c r="U308" s="11" t="s">
        <v>327</v>
      </c>
      <c r="V308" s="11" t="s">
        <v>1772</v>
      </c>
      <c r="W308" s="11" t="s">
        <v>1773</v>
      </c>
      <c r="X308" s="367">
        <v>45967.548611111109</v>
      </c>
      <c r="Y308" s="11"/>
      <c r="Z308" s="11">
        <v>0.3</v>
      </c>
      <c r="AA308" s="11"/>
      <c r="AB308" s="11" t="s">
        <v>330</v>
      </c>
      <c r="AC308" s="212" t="s">
        <v>331</v>
      </c>
      <c r="AD308" s="11" t="s">
        <v>332</v>
      </c>
      <c r="AE308" s="11"/>
      <c r="AF308" s="11"/>
      <c r="AG308" s="11"/>
      <c r="AH308" s="11"/>
      <c r="AI308" s="11"/>
      <c r="AJ308" s="11"/>
      <c r="AK308" s="11" t="s">
        <v>332</v>
      </c>
      <c r="AL308" s="213" t="e">
        <f t="shared" si="8"/>
        <v>#VALUE!</v>
      </c>
      <c r="AM308" s="211">
        <f t="shared" si="9"/>
        <v>45967</v>
      </c>
    </row>
    <row r="309" spans="1:39" ht="21.6" customHeight="1">
      <c r="A309" s="11">
        <v>30</v>
      </c>
      <c r="B309" s="11" t="s">
        <v>322</v>
      </c>
      <c r="C309" s="11">
        <v>2025111212</v>
      </c>
      <c r="D309" s="11"/>
      <c r="E309" s="11"/>
      <c r="F309" s="11">
        <v>4609</v>
      </c>
      <c r="G309" s="11" t="s">
        <v>1774</v>
      </c>
      <c r="H309" s="11" t="s">
        <v>748</v>
      </c>
      <c r="I309" s="11"/>
      <c r="J309" s="11"/>
      <c r="K309" s="11"/>
      <c r="L309" s="11"/>
      <c r="M309" s="12"/>
      <c r="N309" s="11"/>
      <c r="O309" s="12"/>
      <c r="P309" s="13"/>
      <c r="Q309" s="11" t="s">
        <v>1775</v>
      </c>
      <c r="R309" s="11" t="s">
        <v>326</v>
      </c>
      <c r="S309" s="11" t="s">
        <v>123</v>
      </c>
      <c r="T309" s="11">
        <v>1</v>
      </c>
      <c r="U309" s="11" t="s">
        <v>327</v>
      </c>
      <c r="V309" s="11" t="s">
        <v>1776</v>
      </c>
      <c r="W309" s="11" t="s">
        <v>1777</v>
      </c>
      <c r="X309" s="367">
        <v>45967.569444444453</v>
      </c>
      <c r="Y309" s="11"/>
      <c r="Z309" s="11">
        <v>0.3</v>
      </c>
      <c r="AA309" s="11"/>
      <c r="AB309" s="11" t="s">
        <v>330</v>
      </c>
      <c r="AC309" s="212" t="s">
        <v>331</v>
      </c>
      <c r="AD309" s="11" t="s">
        <v>332</v>
      </c>
      <c r="AE309" s="11"/>
      <c r="AF309" s="11"/>
      <c r="AG309" s="11"/>
      <c r="AH309" s="11"/>
      <c r="AI309" s="11"/>
      <c r="AJ309" s="11"/>
      <c r="AK309" s="11" t="s">
        <v>332</v>
      </c>
      <c r="AL309" s="213" t="e">
        <f t="shared" si="8"/>
        <v>#VALUE!</v>
      </c>
      <c r="AM309" s="211">
        <f t="shared" si="9"/>
        <v>45967</v>
      </c>
    </row>
    <row r="310" spans="1:39" ht="21.6" customHeight="1">
      <c r="A310" s="11">
        <v>31</v>
      </c>
      <c r="B310" s="11" t="s">
        <v>322</v>
      </c>
      <c r="C310" s="11">
        <v>2025111216</v>
      </c>
      <c r="D310" s="11"/>
      <c r="E310" s="11"/>
      <c r="F310" s="11">
        <v>4125</v>
      </c>
      <c r="G310" s="11" t="s">
        <v>1778</v>
      </c>
      <c r="H310" s="11" t="s">
        <v>748</v>
      </c>
      <c r="I310" s="11"/>
      <c r="J310" s="11"/>
      <c r="K310" s="11"/>
      <c r="L310" s="11"/>
      <c r="M310" s="12"/>
      <c r="N310" s="11"/>
      <c r="O310" s="12"/>
      <c r="P310" s="13"/>
      <c r="Q310" s="11" t="s">
        <v>1779</v>
      </c>
      <c r="R310" s="11" t="s">
        <v>326</v>
      </c>
      <c r="S310" s="11" t="s">
        <v>123</v>
      </c>
      <c r="T310" s="11">
        <v>1</v>
      </c>
      <c r="U310" s="11" t="s">
        <v>327</v>
      </c>
      <c r="V310" s="11" t="s">
        <v>1780</v>
      </c>
      <c r="W310" s="11" t="s">
        <v>1781</v>
      </c>
      <c r="X310" s="367">
        <v>45967.590277777781</v>
      </c>
      <c r="Y310" s="11"/>
      <c r="Z310" s="11">
        <v>0.3</v>
      </c>
      <c r="AA310" s="11"/>
      <c r="AB310" s="11" t="s">
        <v>330</v>
      </c>
      <c r="AC310" s="212" t="s">
        <v>331</v>
      </c>
      <c r="AD310" s="11" t="s">
        <v>332</v>
      </c>
      <c r="AE310" s="11"/>
      <c r="AF310" s="11"/>
      <c r="AG310" s="11"/>
      <c r="AH310" s="11"/>
      <c r="AI310" s="11"/>
      <c r="AJ310" s="11"/>
      <c r="AK310" s="11" t="s">
        <v>332</v>
      </c>
      <c r="AL310" s="213" t="e">
        <f t="shared" si="8"/>
        <v>#VALUE!</v>
      </c>
      <c r="AM310" s="211">
        <f t="shared" si="9"/>
        <v>45967</v>
      </c>
    </row>
    <row r="311" spans="1:39" ht="21.6" customHeight="1">
      <c r="A311" s="11">
        <v>32</v>
      </c>
      <c r="B311" s="11" t="s">
        <v>322</v>
      </c>
      <c r="C311" s="11">
        <v>2025111261</v>
      </c>
      <c r="D311" s="11"/>
      <c r="E311" s="11"/>
      <c r="F311" s="11">
        <v>5197</v>
      </c>
      <c r="G311" s="11" t="s">
        <v>1782</v>
      </c>
      <c r="H311" s="11" t="s">
        <v>748</v>
      </c>
      <c r="I311" s="11"/>
      <c r="J311" s="11"/>
      <c r="K311" s="11"/>
      <c r="L311" s="11"/>
      <c r="M311" s="12"/>
      <c r="N311" s="11"/>
      <c r="O311" s="12"/>
      <c r="P311" s="13"/>
      <c r="Q311" s="11" t="s">
        <v>1783</v>
      </c>
      <c r="R311" s="11" t="s">
        <v>326</v>
      </c>
      <c r="S311" s="11" t="s">
        <v>123</v>
      </c>
      <c r="T311" s="11">
        <v>1</v>
      </c>
      <c r="U311" s="11" t="s">
        <v>327</v>
      </c>
      <c r="V311" s="11" t="s">
        <v>1784</v>
      </c>
      <c r="W311" s="11" t="s">
        <v>1785</v>
      </c>
      <c r="X311" s="367">
        <v>45967.679166666669</v>
      </c>
      <c r="Y311" s="11"/>
      <c r="Z311" s="11">
        <v>0.4</v>
      </c>
      <c r="AA311" s="11"/>
      <c r="AB311" s="11" t="s">
        <v>330</v>
      </c>
      <c r="AC311" s="212" t="s">
        <v>331</v>
      </c>
      <c r="AD311" s="11" t="s">
        <v>332</v>
      </c>
      <c r="AE311" s="11"/>
      <c r="AF311" s="11"/>
      <c r="AG311" s="11"/>
      <c r="AH311" s="11"/>
      <c r="AI311" s="11"/>
      <c r="AJ311" s="11"/>
      <c r="AK311" s="11" t="s">
        <v>332</v>
      </c>
      <c r="AL311" s="213" t="e">
        <f t="shared" si="8"/>
        <v>#VALUE!</v>
      </c>
      <c r="AM311" s="211">
        <f t="shared" si="9"/>
        <v>45967</v>
      </c>
    </row>
    <row r="312" spans="1:39" ht="21.6" customHeight="1">
      <c r="A312" s="11">
        <v>33</v>
      </c>
      <c r="B312" s="11" t="s">
        <v>363</v>
      </c>
      <c r="C312" s="11">
        <v>2025111313</v>
      </c>
      <c r="D312" s="11" t="s">
        <v>1786</v>
      </c>
      <c r="E312" s="11" t="s">
        <v>365</v>
      </c>
      <c r="F312" s="11">
        <v>3741</v>
      </c>
      <c r="G312" s="11" t="s">
        <v>670</v>
      </c>
      <c r="H312" s="11" t="s">
        <v>358</v>
      </c>
      <c r="I312" s="11" t="s">
        <v>1787</v>
      </c>
      <c r="J312" s="11" t="s">
        <v>445</v>
      </c>
      <c r="K312" s="11" t="s">
        <v>446</v>
      </c>
      <c r="L312" s="11" t="s">
        <v>398</v>
      </c>
      <c r="M312" s="12" t="s">
        <v>399</v>
      </c>
      <c r="N312" s="11" t="s">
        <v>1788</v>
      </c>
      <c r="O312" s="12" t="s">
        <v>1789</v>
      </c>
      <c r="P312" s="13" t="s">
        <v>1790</v>
      </c>
      <c r="Q312" s="11" t="s">
        <v>671</v>
      </c>
      <c r="R312" s="11" t="s">
        <v>326</v>
      </c>
      <c r="S312" s="11" t="s">
        <v>123</v>
      </c>
      <c r="T312" s="11">
        <v>1</v>
      </c>
      <c r="U312" s="11" t="s">
        <v>327</v>
      </c>
      <c r="V312" s="11" t="s">
        <v>1791</v>
      </c>
      <c r="W312" s="11" t="s">
        <v>1792</v>
      </c>
      <c r="X312" s="367">
        <v>45968.465277777781</v>
      </c>
      <c r="Y312" s="11" t="s">
        <v>1793</v>
      </c>
      <c r="Z312" s="11">
        <v>0.5</v>
      </c>
      <c r="AA312" s="11"/>
      <c r="AB312" s="11" t="s">
        <v>1048</v>
      </c>
      <c r="AC312" s="212" t="s">
        <v>455</v>
      </c>
      <c r="AD312" s="11"/>
      <c r="AE312" s="11"/>
      <c r="AF312" s="11"/>
      <c r="AG312" s="11"/>
      <c r="AH312" s="11"/>
      <c r="AI312" s="11"/>
      <c r="AJ312" s="11"/>
      <c r="AK312" s="11" t="s">
        <v>332</v>
      </c>
      <c r="AL312" s="213">
        <f t="shared" si="8"/>
        <v>45968</v>
      </c>
      <c r="AM312" s="211">
        <f t="shared" si="9"/>
        <v>45968</v>
      </c>
    </row>
    <row r="313" spans="1:39" ht="21.6" customHeight="1">
      <c r="A313" s="11">
        <v>34</v>
      </c>
      <c r="B313" s="11" t="s">
        <v>363</v>
      </c>
      <c r="C313" s="11">
        <v>2025111324</v>
      </c>
      <c r="D313" s="11" t="s">
        <v>1794</v>
      </c>
      <c r="E313" s="11" t="s">
        <v>365</v>
      </c>
      <c r="F313" s="11" t="s">
        <v>67</v>
      </c>
      <c r="G313" s="11" t="s">
        <v>160</v>
      </c>
      <c r="H313" s="11" t="s">
        <v>490</v>
      </c>
      <c r="I313" s="11" t="s">
        <v>1795</v>
      </c>
      <c r="J313" s="11" t="s">
        <v>445</v>
      </c>
      <c r="K313" s="11" t="s">
        <v>446</v>
      </c>
      <c r="L313" s="11" t="s">
        <v>447</v>
      </c>
      <c r="M313" s="12" t="s">
        <v>448</v>
      </c>
      <c r="N313" s="11" t="s">
        <v>449</v>
      </c>
      <c r="O313" s="12" t="s">
        <v>450</v>
      </c>
      <c r="P313" s="13" t="s">
        <v>1796</v>
      </c>
      <c r="Q313" s="11" t="s">
        <v>1797</v>
      </c>
      <c r="R313" s="11" t="s">
        <v>326</v>
      </c>
      <c r="S313" s="11" t="s">
        <v>118</v>
      </c>
      <c r="T313" s="11">
        <v>1</v>
      </c>
      <c r="U313" s="11" t="s">
        <v>327</v>
      </c>
      <c r="V313" s="11" t="s">
        <v>1798</v>
      </c>
      <c r="W313" s="11" t="s">
        <v>1799</v>
      </c>
      <c r="X313" s="367">
        <v>45968.6875</v>
      </c>
      <c r="Y313" s="11" t="s">
        <v>1800</v>
      </c>
      <c r="Z313" s="11">
        <v>0.5</v>
      </c>
      <c r="AA313" s="11"/>
      <c r="AB313" s="11" t="s">
        <v>330</v>
      </c>
      <c r="AC313" s="212" t="s">
        <v>1801</v>
      </c>
      <c r="AD313" s="11"/>
      <c r="AE313" s="11"/>
      <c r="AF313" s="11"/>
      <c r="AG313" s="11"/>
      <c r="AH313" s="11"/>
      <c r="AI313" s="11"/>
      <c r="AJ313" s="11"/>
      <c r="AK313" s="11" t="s">
        <v>332</v>
      </c>
      <c r="AL313" s="213">
        <f t="shared" si="8"/>
        <v>45968</v>
      </c>
      <c r="AM313" s="211">
        <f t="shared" si="9"/>
        <v>45968</v>
      </c>
    </row>
    <row r="314" spans="1:39" ht="21.6" customHeight="1">
      <c r="A314" s="11">
        <v>35</v>
      </c>
      <c r="B314" s="11" t="s">
        <v>363</v>
      </c>
      <c r="C314" s="11">
        <v>2025111325</v>
      </c>
      <c r="D314" s="11" t="s">
        <v>1802</v>
      </c>
      <c r="E314" s="11" t="s">
        <v>365</v>
      </c>
      <c r="F314" s="11" t="s">
        <v>67</v>
      </c>
      <c r="G314" s="11" t="s">
        <v>160</v>
      </c>
      <c r="H314" s="11" t="s">
        <v>490</v>
      </c>
      <c r="I314" s="11" t="s">
        <v>1803</v>
      </c>
      <c r="J314" s="11" t="s">
        <v>445</v>
      </c>
      <c r="K314" s="11" t="s">
        <v>446</v>
      </c>
      <c r="L314" s="11" t="s">
        <v>447</v>
      </c>
      <c r="M314" s="12" t="s">
        <v>448</v>
      </c>
      <c r="N314" s="11" t="s">
        <v>449</v>
      </c>
      <c r="O314" s="12" t="s">
        <v>450</v>
      </c>
      <c r="P314" s="13" t="s">
        <v>1804</v>
      </c>
      <c r="Q314" s="11" t="s">
        <v>1797</v>
      </c>
      <c r="R314" s="11" t="s">
        <v>326</v>
      </c>
      <c r="S314" s="11" t="s">
        <v>118</v>
      </c>
      <c r="T314" s="11">
        <v>1</v>
      </c>
      <c r="U314" s="11" t="s">
        <v>327</v>
      </c>
      <c r="V314" s="11" t="s">
        <v>1805</v>
      </c>
      <c r="W314" s="11" t="s">
        <v>1806</v>
      </c>
      <c r="X314" s="367">
        <v>45968.708333333343</v>
      </c>
      <c r="Y314" s="11" t="s">
        <v>1807</v>
      </c>
      <c r="Z314" s="11">
        <v>0.5</v>
      </c>
      <c r="AA314" s="11"/>
      <c r="AB314" s="11" t="s">
        <v>330</v>
      </c>
      <c r="AC314" s="212" t="s">
        <v>1808</v>
      </c>
      <c r="AD314" s="11"/>
      <c r="AE314" s="11"/>
      <c r="AF314" s="11"/>
      <c r="AG314" s="11"/>
      <c r="AH314" s="11"/>
      <c r="AI314" s="11"/>
      <c r="AJ314" s="11"/>
      <c r="AK314" s="11" t="s">
        <v>332</v>
      </c>
      <c r="AL314" s="213">
        <f t="shared" si="8"/>
        <v>45968</v>
      </c>
      <c r="AM314" s="211">
        <f t="shared" si="9"/>
        <v>45968</v>
      </c>
    </row>
    <row r="315" spans="1:39" ht="21.6" customHeight="1">
      <c r="A315" s="11">
        <v>36</v>
      </c>
      <c r="B315" s="11" t="s">
        <v>322</v>
      </c>
      <c r="C315" s="11">
        <v>2025111388</v>
      </c>
      <c r="D315" s="11"/>
      <c r="E315" s="11"/>
      <c r="F315" s="11">
        <v>4184</v>
      </c>
      <c r="G315" s="11" t="s">
        <v>1809</v>
      </c>
      <c r="H315" s="11" t="s">
        <v>358</v>
      </c>
      <c r="I315" s="11"/>
      <c r="J315" s="11"/>
      <c r="K315" s="11"/>
      <c r="L315" s="11"/>
      <c r="M315" s="12"/>
      <c r="N315" s="11"/>
      <c r="O315" s="12"/>
      <c r="P315" s="13"/>
      <c r="Q315" s="11" t="s">
        <v>1810</v>
      </c>
      <c r="R315" s="11" t="s">
        <v>326</v>
      </c>
      <c r="S315" s="11" t="s">
        <v>123</v>
      </c>
      <c r="T315" s="11">
        <v>1</v>
      </c>
      <c r="U315" s="11" t="s">
        <v>327</v>
      </c>
      <c r="V315" s="11" t="s">
        <v>1811</v>
      </c>
      <c r="W315" s="11" t="s">
        <v>1792</v>
      </c>
      <c r="X315" s="367">
        <v>45968.458333333343</v>
      </c>
      <c r="Y315" s="11"/>
      <c r="Z315" s="11">
        <v>0.3</v>
      </c>
      <c r="AA315" s="11"/>
      <c r="AB315" s="11" t="s">
        <v>330</v>
      </c>
      <c r="AC315" s="212" t="s">
        <v>331</v>
      </c>
      <c r="AD315" s="11" t="s">
        <v>332</v>
      </c>
      <c r="AE315" s="11"/>
      <c r="AF315" s="11"/>
      <c r="AG315" s="11"/>
      <c r="AH315" s="11"/>
      <c r="AI315" s="11"/>
      <c r="AJ315" s="11"/>
      <c r="AK315" s="11" t="s">
        <v>332</v>
      </c>
      <c r="AL315" s="213" t="e">
        <f t="shared" si="8"/>
        <v>#VALUE!</v>
      </c>
      <c r="AM315" s="211">
        <f t="shared" si="9"/>
        <v>45968</v>
      </c>
    </row>
    <row r="316" spans="1:39" ht="21.6" customHeight="1">
      <c r="A316" s="11">
        <v>37</v>
      </c>
      <c r="B316" s="11" t="s">
        <v>363</v>
      </c>
      <c r="C316" s="11">
        <v>2025111394</v>
      </c>
      <c r="D316" s="11" t="s">
        <v>1812</v>
      </c>
      <c r="E316" s="11" t="s">
        <v>365</v>
      </c>
      <c r="F316" s="11">
        <v>3380</v>
      </c>
      <c r="G316" s="11" t="s">
        <v>1550</v>
      </c>
      <c r="H316" s="11" t="s">
        <v>490</v>
      </c>
      <c r="I316" s="11" t="s">
        <v>1813</v>
      </c>
      <c r="J316" s="11" t="s">
        <v>445</v>
      </c>
      <c r="K316" s="11" t="s">
        <v>446</v>
      </c>
      <c r="L316" s="11" t="s">
        <v>447</v>
      </c>
      <c r="M316" s="12" t="s">
        <v>448</v>
      </c>
      <c r="N316" s="11" t="s">
        <v>449</v>
      </c>
      <c r="O316" s="12" t="s">
        <v>450</v>
      </c>
      <c r="P316" s="13" t="s">
        <v>1814</v>
      </c>
      <c r="Q316" s="11" t="s">
        <v>1553</v>
      </c>
      <c r="R316" s="11" t="s">
        <v>326</v>
      </c>
      <c r="S316" s="11" t="s">
        <v>118</v>
      </c>
      <c r="T316" s="11">
        <v>1</v>
      </c>
      <c r="U316" s="11" t="s">
        <v>327</v>
      </c>
      <c r="V316" s="11" t="s">
        <v>1815</v>
      </c>
      <c r="W316" s="11" t="s">
        <v>1816</v>
      </c>
      <c r="X316" s="367">
        <v>45971.5625</v>
      </c>
      <c r="Y316" s="11" t="s">
        <v>1817</v>
      </c>
      <c r="Z316" s="11">
        <v>0.5</v>
      </c>
      <c r="AA316" s="11"/>
      <c r="AB316" s="11" t="s">
        <v>330</v>
      </c>
      <c r="AC316" s="212" t="s">
        <v>1818</v>
      </c>
      <c r="AD316" s="11"/>
      <c r="AE316" s="11"/>
      <c r="AF316" s="11"/>
      <c r="AG316" s="11"/>
      <c r="AH316" s="11"/>
      <c r="AI316" s="11"/>
      <c r="AJ316" s="11"/>
      <c r="AK316" s="11" t="s">
        <v>332</v>
      </c>
      <c r="AL316" s="213">
        <f t="shared" si="8"/>
        <v>45968</v>
      </c>
      <c r="AM316" s="211">
        <f t="shared" si="9"/>
        <v>45971</v>
      </c>
    </row>
    <row r="317" spans="1:39" ht="21.6" customHeight="1">
      <c r="A317" s="11">
        <v>38</v>
      </c>
      <c r="B317" s="11" t="s">
        <v>363</v>
      </c>
      <c r="C317" s="11">
        <v>2025111395</v>
      </c>
      <c r="D317" s="11" t="s">
        <v>1819</v>
      </c>
      <c r="E317" s="11" t="s">
        <v>365</v>
      </c>
      <c r="F317" s="11">
        <v>3380</v>
      </c>
      <c r="G317" s="11" t="s">
        <v>1550</v>
      </c>
      <c r="H317" s="11" t="s">
        <v>490</v>
      </c>
      <c r="I317" s="11" t="s">
        <v>1820</v>
      </c>
      <c r="J317" s="11" t="s">
        <v>445</v>
      </c>
      <c r="K317" s="11" t="s">
        <v>446</v>
      </c>
      <c r="L317" s="11" t="s">
        <v>447</v>
      </c>
      <c r="M317" s="12" t="s">
        <v>448</v>
      </c>
      <c r="N317" s="11" t="s">
        <v>449</v>
      </c>
      <c r="O317" s="12" t="s">
        <v>450</v>
      </c>
      <c r="P317" s="13" t="s">
        <v>1821</v>
      </c>
      <c r="Q317" s="11" t="s">
        <v>1553</v>
      </c>
      <c r="R317" s="11" t="s">
        <v>326</v>
      </c>
      <c r="S317" s="11" t="s">
        <v>118</v>
      </c>
      <c r="T317" s="11">
        <v>1</v>
      </c>
      <c r="U317" s="11" t="s">
        <v>327</v>
      </c>
      <c r="V317" s="11" t="s">
        <v>1822</v>
      </c>
      <c r="W317" s="11" t="s">
        <v>1823</v>
      </c>
      <c r="X317" s="367">
        <v>45971.583333333343</v>
      </c>
      <c r="Y317" s="11" t="s">
        <v>1824</v>
      </c>
      <c r="Z317" s="11">
        <v>0.5</v>
      </c>
      <c r="AA317" s="11"/>
      <c r="AB317" s="11" t="s">
        <v>330</v>
      </c>
      <c r="AC317" s="212" t="s">
        <v>1825</v>
      </c>
      <c r="AD317" s="11"/>
      <c r="AE317" s="11"/>
      <c r="AF317" s="11"/>
      <c r="AG317" s="11"/>
      <c r="AH317" s="11"/>
      <c r="AI317" s="11"/>
      <c r="AJ317" s="11"/>
      <c r="AK317" s="11" t="s">
        <v>332</v>
      </c>
      <c r="AL317" s="213">
        <f t="shared" si="8"/>
        <v>45968</v>
      </c>
      <c r="AM317" s="211">
        <f t="shared" si="9"/>
        <v>45971</v>
      </c>
    </row>
    <row r="318" spans="1:39" ht="21.6" customHeight="1">
      <c r="A318" s="11">
        <v>39</v>
      </c>
      <c r="B318" s="11" t="s">
        <v>322</v>
      </c>
      <c r="C318" s="11">
        <v>2025111429</v>
      </c>
      <c r="D318" s="11"/>
      <c r="E318" s="11"/>
      <c r="F318" s="11">
        <v>4804</v>
      </c>
      <c r="G318" s="11" t="s">
        <v>1826</v>
      </c>
      <c r="H318" s="11" t="s">
        <v>358</v>
      </c>
      <c r="I318" s="11"/>
      <c r="J318" s="11"/>
      <c r="K318" s="11"/>
      <c r="L318" s="11"/>
      <c r="M318" s="12"/>
      <c r="N318" s="11"/>
      <c r="O318" s="12"/>
      <c r="P318" s="13"/>
      <c r="Q318" s="11" t="s">
        <v>1827</v>
      </c>
      <c r="R318" s="11" t="s">
        <v>326</v>
      </c>
      <c r="S318" s="11" t="s">
        <v>123</v>
      </c>
      <c r="T318" s="11">
        <v>1</v>
      </c>
      <c r="U318" s="11" t="s">
        <v>327</v>
      </c>
      <c r="V318" s="11" t="s">
        <v>1828</v>
      </c>
      <c r="W318" s="11" t="s">
        <v>1829</v>
      </c>
      <c r="X318" s="367">
        <v>45968.576388888891</v>
      </c>
      <c r="Y318" s="11"/>
      <c r="Z318" s="11">
        <v>0.3</v>
      </c>
      <c r="AA318" s="11"/>
      <c r="AB318" s="11" t="s">
        <v>330</v>
      </c>
      <c r="AC318" s="212" t="s">
        <v>331</v>
      </c>
      <c r="AD318" s="11" t="s">
        <v>332</v>
      </c>
      <c r="AE318" s="11"/>
      <c r="AF318" s="11"/>
      <c r="AG318" s="11"/>
      <c r="AH318" s="11"/>
      <c r="AI318" s="11"/>
      <c r="AJ318" s="11"/>
      <c r="AK318" s="11" t="s">
        <v>332</v>
      </c>
      <c r="AL318" s="213" t="e">
        <f t="shared" si="8"/>
        <v>#VALUE!</v>
      </c>
      <c r="AM318" s="211">
        <f t="shared" si="9"/>
        <v>45968</v>
      </c>
    </row>
    <row r="319" spans="1:39" ht="21.6" customHeight="1">
      <c r="A319" s="11">
        <v>40</v>
      </c>
      <c r="B319" s="11" t="s">
        <v>322</v>
      </c>
      <c r="C319" s="11">
        <v>2025111442</v>
      </c>
      <c r="D319" s="11"/>
      <c r="E319" s="11"/>
      <c r="F319" s="11">
        <v>4539</v>
      </c>
      <c r="G319" s="11" t="s">
        <v>1830</v>
      </c>
      <c r="H319" s="11" t="s">
        <v>358</v>
      </c>
      <c r="I319" s="11"/>
      <c r="J319" s="11"/>
      <c r="K319" s="11"/>
      <c r="L319" s="11"/>
      <c r="M319" s="12"/>
      <c r="N319" s="11"/>
      <c r="O319" s="12"/>
      <c r="P319" s="13"/>
      <c r="Q319" s="11" t="s">
        <v>1831</v>
      </c>
      <c r="R319" s="11" t="s">
        <v>326</v>
      </c>
      <c r="S319" s="11" t="s">
        <v>123</v>
      </c>
      <c r="T319" s="11">
        <v>1</v>
      </c>
      <c r="U319" s="11" t="s">
        <v>327</v>
      </c>
      <c r="V319" s="11" t="s">
        <v>1832</v>
      </c>
      <c r="W319" s="11" t="s">
        <v>1833</v>
      </c>
      <c r="X319" s="367">
        <v>45968.604166666657</v>
      </c>
      <c r="Y319" s="11"/>
      <c r="Z319" s="11">
        <v>0.3</v>
      </c>
      <c r="AA319" s="11"/>
      <c r="AB319" s="11" t="s">
        <v>330</v>
      </c>
      <c r="AC319" s="212" t="s">
        <v>331</v>
      </c>
      <c r="AD319" s="11" t="s">
        <v>332</v>
      </c>
      <c r="AE319" s="11"/>
      <c r="AF319" s="11"/>
      <c r="AG319" s="11"/>
      <c r="AH319" s="11"/>
      <c r="AI319" s="11"/>
      <c r="AJ319" s="11"/>
      <c r="AK319" s="11" t="s">
        <v>332</v>
      </c>
      <c r="AL319" s="213" t="e">
        <f t="shared" si="8"/>
        <v>#VALUE!</v>
      </c>
      <c r="AM319" s="211">
        <f t="shared" si="9"/>
        <v>45968</v>
      </c>
    </row>
    <row r="320" spans="1:39" ht="21.6" customHeight="1">
      <c r="A320" s="11">
        <v>41</v>
      </c>
      <c r="B320" s="11" t="s">
        <v>363</v>
      </c>
      <c r="C320" s="11">
        <v>2025111456</v>
      </c>
      <c r="D320" s="11" t="s">
        <v>1834</v>
      </c>
      <c r="E320" s="11" t="s">
        <v>365</v>
      </c>
      <c r="F320" s="11">
        <v>2259</v>
      </c>
      <c r="G320" s="11" t="s">
        <v>1188</v>
      </c>
      <c r="H320" s="11" t="s">
        <v>358</v>
      </c>
      <c r="I320" s="11" t="s">
        <v>1835</v>
      </c>
      <c r="J320" s="11" t="s">
        <v>445</v>
      </c>
      <c r="K320" s="11" t="s">
        <v>200</v>
      </c>
      <c r="L320" s="11" t="s">
        <v>1749</v>
      </c>
      <c r="M320" s="12" t="s">
        <v>1750</v>
      </c>
      <c r="N320" s="11">
        <v>3404</v>
      </c>
      <c r="O320" s="12" t="s">
        <v>1751</v>
      </c>
      <c r="P320" s="13" t="s">
        <v>1836</v>
      </c>
      <c r="Q320" s="11" t="s">
        <v>1189</v>
      </c>
      <c r="R320" s="11" t="s">
        <v>326</v>
      </c>
      <c r="S320" s="11" t="s">
        <v>123</v>
      </c>
      <c r="T320" s="11">
        <v>1</v>
      </c>
      <c r="U320" s="11" t="s">
        <v>327</v>
      </c>
      <c r="V320" s="11" t="s">
        <v>1837</v>
      </c>
      <c r="W320" s="11" t="s">
        <v>1838</v>
      </c>
      <c r="X320" s="367">
        <v>45968.669444444437</v>
      </c>
      <c r="Y320" s="11" t="s">
        <v>1839</v>
      </c>
      <c r="Z320" s="11">
        <v>0.5</v>
      </c>
      <c r="AA320" s="11"/>
      <c r="AB320" s="11" t="s">
        <v>330</v>
      </c>
      <c r="AC320" s="212" t="s">
        <v>1840</v>
      </c>
      <c r="AD320" s="11"/>
      <c r="AE320" s="11"/>
      <c r="AF320" s="11"/>
      <c r="AG320" s="11"/>
      <c r="AH320" s="11"/>
      <c r="AI320" s="11"/>
      <c r="AJ320" s="11"/>
      <c r="AK320" s="11" t="s">
        <v>332</v>
      </c>
      <c r="AL320" s="213">
        <f t="shared" si="8"/>
        <v>45968</v>
      </c>
      <c r="AM320" s="211">
        <f t="shared" si="9"/>
        <v>45968</v>
      </c>
    </row>
    <row r="321" spans="1:39" ht="21.6" customHeight="1">
      <c r="A321" s="11">
        <v>42</v>
      </c>
      <c r="B321" s="11" t="s">
        <v>322</v>
      </c>
      <c r="C321" s="11">
        <v>2025111461</v>
      </c>
      <c r="D321" s="11"/>
      <c r="E321" s="11"/>
      <c r="F321" s="11">
        <v>2259</v>
      </c>
      <c r="G321" s="11" t="s">
        <v>1188</v>
      </c>
      <c r="H321" s="11" t="s">
        <v>358</v>
      </c>
      <c r="I321" s="11"/>
      <c r="J321" s="11"/>
      <c r="K321" s="11"/>
      <c r="L321" s="11"/>
      <c r="M321" s="12"/>
      <c r="N321" s="11"/>
      <c r="O321" s="12"/>
      <c r="P321" s="13"/>
      <c r="Q321" s="11" t="s">
        <v>1189</v>
      </c>
      <c r="R321" s="11" t="s">
        <v>326</v>
      </c>
      <c r="S321" s="11" t="s">
        <v>123</v>
      </c>
      <c r="T321" s="11">
        <v>1</v>
      </c>
      <c r="U321" s="11" t="s">
        <v>327</v>
      </c>
      <c r="V321" s="11" t="s">
        <v>1841</v>
      </c>
      <c r="W321" s="11" t="s">
        <v>1842</v>
      </c>
      <c r="X321" s="367">
        <v>45968.65625</v>
      </c>
      <c r="Y321" s="11"/>
      <c r="Z321" s="11">
        <v>0.3</v>
      </c>
      <c r="AA321" s="11"/>
      <c r="AB321" s="11" t="s">
        <v>330</v>
      </c>
      <c r="AC321" s="212" t="s">
        <v>102</v>
      </c>
      <c r="AD321" s="11"/>
      <c r="AE321" s="11"/>
      <c r="AF321" s="11"/>
      <c r="AG321" s="11"/>
      <c r="AH321" s="11"/>
      <c r="AI321" s="11"/>
      <c r="AJ321" s="11" t="s">
        <v>332</v>
      </c>
      <c r="AK321" s="11" t="s">
        <v>332</v>
      </c>
      <c r="AL321" s="213" t="e">
        <f t="shared" si="8"/>
        <v>#VALUE!</v>
      </c>
      <c r="AM321" s="211">
        <f t="shared" si="9"/>
        <v>45968</v>
      </c>
    </row>
    <row r="322" spans="1:39" ht="21.6" customHeight="1">
      <c r="A322" s="11">
        <v>43</v>
      </c>
      <c r="B322" s="11" t="s">
        <v>322</v>
      </c>
      <c r="C322" s="11">
        <v>2025111469</v>
      </c>
      <c r="D322" s="11"/>
      <c r="E322" s="11"/>
      <c r="F322" s="11">
        <v>2543</v>
      </c>
      <c r="G322" s="11" t="s">
        <v>1843</v>
      </c>
      <c r="H322" s="11" t="s">
        <v>358</v>
      </c>
      <c r="I322" s="11"/>
      <c r="J322" s="11"/>
      <c r="K322" s="11"/>
      <c r="L322" s="11"/>
      <c r="M322" s="12"/>
      <c r="N322" s="11"/>
      <c r="O322" s="12"/>
      <c r="P322" s="13"/>
      <c r="Q322" s="11" t="s">
        <v>1844</v>
      </c>
      <c r="R322" s="11" t="s">
        <v>326</v>
      </c>
      <c r="S322" s="11" t="s">
        <v>123</v>
      </c>
      <c r="T322" s="11">
        <v>1</v>
      </c>
      <c r="U322" s="11" t="s">
        <v>327</v>
      </c>
      <c r="V322" s="11" t="s">
        <v>1845</v>
      </c>
      <c r="W322" s="11" t="s">
        <v>1846</v>
      </c>
      <c r="X322" s="367">
        <v>45968.479166666657</v>
      </c>
      <c r="Y322" s="11"/>
      <c r="Z322" s="11">
        <v>0.3</v>
      </c>
      <c r="AA322" s="11"/>
      <c r="AB322" s="11" t="s">
        <v>330</v>
      </c>
      <c r="AC322" s="212" t="s">
        <v>331</v>
      </c>
      <c r="AD322" s="11" t="s">
        <v>332</v>
      </c>
      <c r="AE322" s="11"/>
      <c r="AF322" s="11"/>
      <c r="AG322" s="11"/>
      <c r="AH322" s="11"/>
      <c r="AI322" s="11"/>
      <c r="AJ322" s="11"/>
      <c r="AK322" s="11" t="s">
        <v>332</v>
      </c>
      <c r="AL322" s="213" t="e">
        <f t="shared" ref="AL322:AL385" si="10">DATEVALUE(TEXT(I322, "yyyy/mm/dd"))</f>
        <v>#VALUE!</v>
      </c>
      <c r="AM322" s="211">
        <f t="shared" ref="AM322:AM385" si="11">DATEVALUE(TEXT(X322, "yyyy/mm/dd"))</f>
        <v>45968</v>
      </c>
    </row>
    <row r="323" spans="1:39" ht="21.6" customHeight="1">
      <c r="A323" s="11">
        <v>44</v>
      </c>
      <c r="B323" s="11" t="s">
        <v>322</v>
      </c>
      <c r="C323" s="11">
        <v>2025111470</v>
      </c>
      <c r="D323" s="11"/>
      <c r="E323" s="11"/>
      <c r="F323" s="11">
        <v>4698</v>
      </c>
      <c r="G323" s="11" t="s">
        <v>1847</v>
      </c>
      <c r="H323" s="11" t="s">
        <v>358</v>
      </c>
      <c r="I323" s="11"/>
      <c r="J323" s="11"/>
      <c r="K323" s="11"/>
      <c r="L323" s="11"/>
      <c r="M323" s="12"/>
      <c r="N323" s="11"/>
      <c r="O323" s="12"/>
      <c r="P323" s="13"/>
      <c r="Q323" s="11" t="s">
        <v>1848</v>
      </c>
      <c r="R323" s="11" t="s">
        <v>326</v>
      </c>
      <c r="S323" s="11" t="s">
        <v>123</v>
      </c>
      <c r="T323" s="11">
        <v>1</v>
      </c>
      <c r="U323" s="11" t="s">
        <v>327</v>
      </c>
      <c r="V323" s="11" t="s">
        <v>1849</v>
      </c>
      <c r="W323" s="11" t="s">
        <v>1850</v>
      </c>
      <c r="X323" s="367">
        <v>45968.694444444453</v>
      </c>
      <c r="Y323" s="11"/>
      <c r="Z323" s="11">
        <v>0.3</v>
      </c>
      <c r="AA323" s="11"/>
      <c r="AB323" s="11" t="s">
        <v>330</v>
      </c>
      <c r="AC323" s="212" t="s">
        <v>331</v>
      </c>
      <c r="AD323" s="11" t="s">
        <v>332</v>
      </c>
      <c r="AE323" s="11"/>
      <c r="AF323" s="11"/>
      <c r="AG323" s="11"/>
      <c r="AH323" s="11"/>
      <c r="AI323" s="11"/>
      <c r="AJ323" s="11"/>
      <c r="AK323" s="11" t="s">
        <v>332</v>
      </c>
      <c r="AL323" s="213" t="e">
        <f t="shared" si="10"/>
        <v>#VALUE!</v>
      </c>
      <c r="AM323" s="211">
        <f t="shared" si="11"/>
        <v>45968</v>
      </c>
    </row>
    <row r="324" spans="1:39" ht="21.6" customHeight="1">
      <c r="A324" s="11">
        <v>45</v>
      </c>
      <c r="B324" s="11" t="s">
        <v>322</v>
      </c>
      <c r="C324" s="11">
        <v>2025111478</v>
      </c>
      <c r="D324" s="11"/>
      <c r="E324" s="11"/>
      <c r="F324" s="11">
        <v>3601</v>
      </c>
      <c r="G324" s="11" t="s">
        <v>1588</v>
      </c>
      <c r="H324" s="11" t="s">
        <v>358</v>
      </c>
      <c r="I324" s="11"/>
      <c r="J324" s="11"/>
      <c r="K324" s="11"/>
      <c r="L324" s="11"/>
      <c r="M324" s="12"/>
      <c r="N324" s="11"/>
      <c r="O324" s="12"/>
      <c r="P324" s="13"/>
      <c r="Q324" s="11" t="s">
        <v>1591</v>
      </c>
      <c r="R324" s="11" t="s">
        <v>326</v>
      </c>
      <c r="S324" s="11" t="s">
        <v>123</v>
      </c>
      <c r="T324" s="11">
        <v>1</v>
      </c>
      <c r="U324" s="11" t="s">
        <v>327</v>
      </c>
      <c r="V324" s="11" t="s">
        <v>1851</v>
      </c>
      <c r="W324" s="11" t="s">
        <v>1852</v>
      </c>
      <c r="X324" s="367">
        <v>45968.711805555547</v>
      </c>
      <c r="Y324" s="11"/>
      <c r="Z324" s="11">
        <v>0.3</v>
      </c>
      <c r="AA324" s="11"/>
      <c r="AB324" s="11" t="s">
        <v>330</v>
      </c>
      <c r="AC324" s="212" t="s">
        <v>331</v>
      </c>
      <c r="AD324" s="11" t="s">
        <v>332</v>
      </c>
      <c r="AE324" s="11"/>
      <c r="AF324" s="11"/>
      <c r="AG324" s="11"/>
      <c r="AH324" s="11"/>
      <c r="AI324" s="11"/>
      <c r="AJ324" s="11"/>
      <c r="AK324" s="11" t="s">
        <v>332</v>
      </c>
      <c r="AL324" s="213" t="e">
        <f t="shared" si="10"/>
        <v>#VALUE!</v>
      </c>
      <c r="AM324" s="211">
        <f t="shared" si="11"/>
        <v>45968</v>
      </c>
    </row>
    <row r="325" spans="1:39" ht="21.6" customHeight="1">
      <c r="A325" s="11">
        <v>46</v>
      </c>
      <c r="B325" s="11" t="s">
        <v>322</v>
      </c>
      <c r="C325" s="11">
        <v>2025111479</v>
      </c>
      <c r="D325" s="11"/>
      <c r="E325" s="11"/>
      <c r="F325" s="11" t="s">
        <v>67</v>
      </c>
      <c r="G325" s="11" t="s">
        <v>160</v>
      </c>
      <c r="H325" s="11" t="s">
        <v>490</v>
      </c>
      <c r="I325" s="11"/>
      <c r="J325" s="11"/>
      <c r="K325" s="11"/>
      <c r="L325" s="11"/>
      <c r="M325" s="12"/>
      <c r="N325" s="11"/>
      <c r="O325" s="12"/>
      <c r="P325" s="13"/>
      <c r="Q325" s="11" t="s">
        <v>1797</v>
      </c>
      <c r="R325" s="11" t="s">
        <v>326</v>
      </c>
      <c r="S325" s="11" t="s">
        <v>118</v>
      </c>
      <c r="T325" s="11">
        <v>1</v>
      </c>
      <c r="U325" s="11" t="s">
        <v>327</v>
      </c>
      <c r="V325" s="11" t="s">
        <v>1853</v>
      </c>
      <c r="W325" s="11" t="s">
        <v>1854</v>
      </c>
      <c r="X325" s="367">
        <v>45968.71875</v>
      </c>
      <c r="Y325" s="11"/>
      <c r="Z325" s="11">
        <v>0.3</v>
      </c>
      <c r="AA325" s="11"/>
      <c r="AB325" s="11" t="s">
        <v>330</v>
      </c>
      <c r="AC325" s="212" t="s">
        <v>331</v>
      </c>
      <c r="AD325" s="11" t="s">
        <v>332</v>
      </c>
      <c r="AE325" s="11"/>
      <c r="AF325" s="11"/>
      <c r="AG325" s="11"/>
      <c r="AH325" s="11"/>
      <c r="AI325" s="11"/>
      <c r="AJ325" s="11" t="s">
        <v>332</v>
      </c>
      <c r="AK325" s="11" t="s">
        <v>332</v>
      </c>
      <c r="AL325" s="213" t="e">
        <f t="shared" si="10"/>
        <v>#VALUE!</v>
      </c>
      <c r="AM325" s="211">
        <f t="shared" si="11"/>
        <v>45968</v>
      </c>
    </row>
    <row r="326" spans="1:39" ht="21.6" customHeight="1">
      <c r="A326" s="11">
        <v>47</v>
      </c>
      <c r="B326" s="11" t="s">
        <v>363</v>
      </c>
      <c r="C326" s="11">
        <v>2025111486</v>
      </c>
      <c r="D326" s="11" t="s">
        <v>1855</v>
      </c>
      <c r="E326" s="11" t="s">
        <v>365</v>
      </c>
      <c r="F326" s="11">
        <v>2399</v>
      </c>
      <c r="G326" s="11" t="s">
        <v>828</v>
      </c>
      <c r="H326" s="11" t="s">
        <v>358</v>
      </c>
      <c r="I326" s="11" t="s">
        <v>1856</v>
      </c>
      <c r="J326" s="11" t="s">
        <v>458</v>
      </c>
      <c r="K326" s="11" t="s">
        <v>200</v>
      </c>
      <c r="L326" s="11" t="s">
        <v>447</v>
      </c>
      <c r="M326" s="12" t="s">
        <v>448</v>
      </c>
      <c r="N326" s="11" t="s">
        <v>449</v>
      </c>
      <c r="O326" s="12" t="s">
        <v>450</v>
      </c>
      <c r="P326" s="13" t="s">
        <v>1857</v>
      </c>
      <c r="Q326" s="11" t="s">
        <v>829</v>
      </c>
      <c r="R326" s="11" t="s">
        <v>326</v>
      </c>
      <c r="S326" s="11" t="s">
        <v>123</v>
      </c>
      <c r="T326" s="11">
        <v>1</v>
      </c>
      <c r="U326" s="11" t="s">
        <v>327</v>
      </c>
      <c r="V326" s="11" t="s">
        <v>1858</v>
      </c>
      <c r="W326" s="11" t="s">
        <v>1859</v>
      </c>
      <c r="X326" s="367">
        <v>45971.652777777781</v>
      </c>
      <c r="Y326" s="11" t="s">
        <v>1860</v>
      </c>
      <c r="Z326" s="11">
        <v>0.3</v>
      </c>
      <c r="AA326" s="11"/>
      <c r="AB326" s="11" t="s">
        <v>330</v>
      </c>
      <c r="AC326" s="212" t="s">
        <v>1861</v>
      </c>
      <c r="AD326" s="11"/>
      <c r="AE326" s="11"/>
      <c r="AF326" s="11"/>
      <c r="AG326" s="11"/>
      <c r="AH326" s="11"/>
      <c r="AI326" s="11"/>
      <c r="AJ326" s="11"/>
      <c r="AK326" s="11" t="s">
        <v>332</v>
      </c>
      <c r="AL326" s="213">
        <f t="shared" si="10"/>
        <v>45969</v>
      </c>
      <c r="AM326" s="211">
        <f t="shared" si="11"/>
        <v>45971</v>
      </c>
    </row>
    <row r="327" spans="1:39" ht="21.6" customHeight="1">
      <c r="A327" s="11">
        <v>48</v>
      </c>
      <c r="B327" s="11" t="s">
        <v>363</v>
      </c>
      <c r="C327" s="11">
        <v>2025111487</v>
      </c>
      <c r="D327" s="11" t="s">
        <v>1862</v>
      </c>
      <c r="E327" s="11" t="s">
        <v>365</v>
      </c>
      <c r="F327" s="11">
        <v>2399</v>
      </c>
      <c r="G327" s="11" t="s">
        <v>828</v>
      </c>
      <c r="H327" s="11" t="s">
        <v>358</v>
      </c>
      <c r="I327" s="11" t="s">
        <v>1863</v>
      </c>
      <c r="J327" s="11" t="s">
        <v>458</v>
      </c>
      <c r="K327" s="11" t="s">
        <v>200</v>
      </c>
      <c r="L327" s="11" t="s">
        <v>447</v>
      </c>
      <c r="M327" s="12" t="s">
        <v>448</v>
      </c>
      <c r="N327" s="11" t="s">
        <v>449</v>
      </c>
      <c r="O327" s="12" t="s">
        <v>450</v>
      </c>
      <c r="P327" s="13" t="s">
        <v>1864</v>
      </c>
      <c r="Q327" s="11" t="s">
        <v>829</v>
      </c>
      <c r="R327" s="11" t="s">
        <v>326</v>
      </c>
      <c r="S327" s="11" t="s">
        <v>123</v>
      </c>
      <c r="T327" s="11">
        <v>1</v>
      </c>
      <c r="U327" s="11" t="s">
        <v>327</v>
      </c>
      <c r="V327" s="11" t="s">
        <v>1865</v>
      </c>
      <c r="W327" s="11" t="s">
        <v>1866</v>
      </c>
      <c r="X327" s="367">
        <v>45971.638888888891</v>
      </c>
      <c r="Y327" s="11" t="s">
        <v>1860</v>
      </c>
      <c r="Z327" s="11">
        <v>0.3</v>
      </c>
      <c r="AA327" s="11"/>
      <c r="AB327" s="11" t="s">
        <v>330</v>
      </c>
      <c r="AC327" s="212" t="s">
        <v>1867</v>
      </c>
      <c r="AD327" s="11"/>
      <c r="AE327" s="11"/>
      <c r="AF327" s="11"/>
      <c r="AG327" s="11"/>
      <c r="AH327" s="11"/>
      <c r="AI327" s="11"/>
      <c r="AJ327" s="11"/>
      <c r="AK327" s="11" t="s">
        <v>332</v>
      </c>
      <c r="AL327" s="213">
        <f t="shared" si="10"/>
        <v>45969</v>
      </c>
      <c r="AM327" s="211">
        <f t="shared" si="11"/>
        <v>45971</v>
      </c>
    </row>
    <row r="328" spans="1:39" ht="21.6" customHeight="1">
      <c r="A328" s="11">
        <v>49</v>
      </c>
      <c r="B328" s="11" t="s">
        <v>322</v>
      </c>
      <c r="C328" s="11">
        <v>2025111559</v>
      </c>
      <c r="D328" s="11"/>
      <c r="E328" s="11"/>
      <c r="F328" s="11">
        <v>4210</v>
      </c>
      <c r="G328" s="11" t="s">
        <v>191</v>
      </c>
      <c r="H328" s="11" t="s">
        <v>358</v>
      </c>
      <c r="I328" s="11"/>
      <c r="J328" s="11"/>
      <c r="K328" s="11"/>
      <c r="L328" s="11"/>
      <c r="M328" s="12"/>
      <c r="N328" s="11"/>
      <c r="O328" s="12"/>
      <c r="P328" s="13"/>
      <c r="Q328" s="11" t="s">
        <v>1212</v>
      </c>
      <c r="R328" s="11" t="s">
        <v>326</v>
      </c>
      <c r="S328" s="11" t="s">
        <v>123</v>
      </c>
      <c r="T328" s="11">
        <v>1</v>
      </c>
      <c r="U328" s="11" t="s">
        <v>327</v>
      </c>
      <c r="V328" s="11" t="s">
        <v>1868</v>
      </c>
      <c r="W328" s="11" t="s">
        <v>1869</v>
      </c>
      <c r="X328" s="367">
        <v>45971.541666666657</v>
      </c>
      <c r="Y328" s="11"/>
      <c r="Z328" s="11">
        <v>2.5</v>
      </c>
      <c r="AA328" s="11"/>
      <c r="AB328" s="11" t="s">
        <v>330</v>
      </c>
      <c r="AC328" s="212" t="s">
        <v>1687</v>
      </c>
      <c r="AD328" s="11"/>
      <c r="AE328" s="11" t="s">
        <v>332</v>
      </c>
      <c r="AF328" s="11"/>
      <c r="AG328" s="11"/>
      <c r="AH328" s="11"/>
      <c r="AI328" s="11"/>
      <c r="AJ328" s="11"/>
      <c r="AK328" s="11" t="s">
        <v>332</v>
      </c>
      <c r="AL328" s="213" t="e">
        <f t="shared" si="10"/>
        <v>#VALUE!</v>
      </c>
      <c r="AM328" s="211">
        <f t="shared" si="11"/>
        <v>45971</v>
      </c>
    </row>
    <row r="329" spans="1:39" ht="21.6" customHeight="1">
      <c r="A329" s="11">
        <v>50</v>
      </c>
      <c r="B329" s="11" t="s">
        <v>322</v>
      </c>
      <c r="C329" s="11">
        <v>2025111560</v>
      </c>
      <c r="D329" s="11"/>
      <c r="E329" s="11"/>
      <c r="F329" s="11">
        <v>4210</v>
      </c>
      <c r="G329" s="11" t="s">
        <v>191</v>
      </c>
      <c r="H329" s="11" t="s">
        <v>358</v>
      </c>
      <c r="I329" s="11"/>
      <c r="J329" s="11"/>
      <c r="K329" s="11"/>
      <c r="L329" s="11"/>
      <c r="M329" s="12"/>
      <c r="N329" s="11"/>
      <c r="O329" s="12"/>
      <c r="P329" s="13"/>
      <c r="Q329" s="11" t="s">
        <v>1212</v>
      </c>
      <c r="R329" s="11" t="s">
        <v>326</v>
      </c>
      <c r="S329" s="11" t="s">
        <v>123</v>
      </c>
      <c r="T329" s="11">
        <v>1</v>
      </c>
      <c r="U329" s="11" t="s">
        <v>327</v>
      </c>
      <c r="V329" s="11" t="s">
        <v>1870</v>
      </c>
      <c r="W329" s="11" t="s">
        <v>1816</v>
      </c>
      <c r="X329" s="367">
        <v>45971.5625</v>
      </c>
      <c r="Y329" s="11"/>
      <c r="Z329" s="11">
        <v>0.5</v>
      </c>
      <c r="AA329" s="11"/>
      <c r="AB329" s="11" t="s">
        <v>330</v>
      </c>
      <c r="AC329" s="212" t="s">
        <v>331</v>
      </c>
      <c r="AD329" s="11" t="s">
        <v>332</v>
      </c>
      <c r="AE329" s="11"/>
      <c r="AF329" s="11"/>
      <c r="AG329" s="11"/>
      <c r="AH329" s="11"/>
      <c r="AI329" s="11"/>
      <c r="AJ329" s="11"/>
      <c r="AK329" s="11" t="s">
        <v>332</v>
      </c>
      <c r="AL329" s="213" t="e">
        <f t="shared" si="10"/>
        <v>#VALUE!</v>
      </c>
      <c r="AM329" s="211">
        <f t="shared" si="11"/>
        <v>45971</v>
      </c>
    </row>
    <row r="330" spans="1:39" ht="21.6" customHeight="1">
      <c r="A330" s="11">
        <v>51</v>
      </c>
      <c r="B330" s="11" t="s">
        <v>322</v>
      </c>
      <c r="C330" s="11">
        <v>2025111577</v>
      </c>
      <c r="D330" s="11"/>
      <c r="E330" s="11"/>
      <c r="F330" s="11">
        <v>5496</v>
      </c>
      <c r="G330" s="11" t="s">
        <v>171</v>
      </c>
      <c r="H330" s="11" t="s">
        <v>396</v>
      </c>
      <c r="I330" s="11"/>
      <c r="J330" s="11"/>
      <c r="K330" s="11"/>
      <c r="L330" s="11"/>
      <c r="M330" s="12"/>
      <c r="N330" s="11"/>
      <c r="O330" s="12"/>
      <c r="P330" s="13"/>
      <c r="Q330" s="11" t="s">
        <v>1871</v>
      </c>
      <c r="R330" s="11" t="s">
        <v>326</v>
      </c>
      <c r="S330" s="11" t="s">
        <v>134</v>
      </c>
      <c r="T330" s="11">
        <v>1</v>
      </c>
      <c r="U330" s="11" t="s">
        <v>327</v>
      </c>
      <c r="V330" s="11" t="s">
        <v>1872</v>
      </c>
      <c r="W330" s="11" t="s">
        <v>1873</v>
      </c>
      <c r="X330" s="367">
        <v>45971.607638888891</v>
      </c>
      <c r="Y330" s="11"/>
      <c r="Z330" s="11">
        <v>2.1</v>
      </c>
      <c r="AA330" s="11"/>
      <c r="AB330" s="11" t="s">
        <v>330</v>
      </c>
      <c r="AC330" s="212" t="s">
        <v>1874</v>
      </c>
      <c r="AD330" s="11"/>
      <c r="AE330" s="11" t="s">
        <v>332</v>
      </c>
      <c r="AF330" s="11"/>
      <c r="AG330" s="11"/>
      <c r="AH330" s="11"/>
      <c r="AI330" s="11"/>
      <c r="AJ330" s="11"/>
      <c r="AK330" s="11" t="s">
        <v>332</v>
      </c>
      <c r="AL330" s="213" t="e">
        <f t="shared" si="10"/>
        <v>#VALUE!</v>
      </c>
      <c r="AM330" s="211">
        <f t="shared" si="11"/>
        <v>45971</v>
      </c>
    </row>
    <row r="331" spans="1:39" ht="21.6" customHeight="1">
      <c r="A331" s="11">
        <v>52</v>
      </c>
      <c r="B331" s="11" t="s">
        <v>322</v>
      </c>
      <c r="C331" s="11">
        <v>2025111599</v>
      </c>
      <c r="D331" s="11"/>
      <c r="E331" s="11"/>
      <c r="F331" s="11">
        <v>2399</v>
      </c>
      <c r="G331" s="11" t="s">
        <v>828</v>
      </c>
      <c r="H331" s="11" t="s">
        <v>358</v>
      </c>
      <c r="I331" s="11"/>
      <c r="J331" s="11"/>
      <c r="K331" s="11"/>
      <c r="L331" s="11"/>
      <c r="M331" s="12"/>
      <c r="N331" s="11"/>
      <c r="O331" s="12"/>
      <c r="P331" s="13"/>
      <c r="Q331" s="11" t="s">
        <v>829</v>
      </c>
      <c r="R331" s="11" t="s">
        <v>326</v>
      </c>
      <c r="S331" s="11" t="s">
        <v>123</v>
      </c>
      <c r="T331" s="11">
        <v>1</v>
      </c>
      <c r="U331" s="11" t="s">
        <v>327</v>
      </c>
      <c r="V331" s="11" t="s">
        <v>1875</v>
      </c>
      <c r="W331" s="11" t="s">
        <v>1876</v>
      </c>
      <c r="X331" s="367">
        <v>45971.659722222219</v>
      </c>
      <c r="Y331" s="11"/>
      <c r="Z331" s="11">
        <v>0.2</v>
      </c>
      <c r="AA331" s="11"/>
      <c r="AB331" s="11" t="s">
        <v>330</v>
      </c>
      <c r="AC331" s="212" t="s">
        <v>102</v>
      </c>
      <c r="AD331" s="11"/>
      <c r="AE331" s="11"/>
      <c r="AF331" s="11"/>
      <c r="AG331" s="11"/>
      <c r="AH331" s="11"/>
      <c r="AI331" s="11"/>
      <c r="AJ331" s="11" t="s">
        <v>332</v>
      </c>
      <c r="AK331" s="11" t="s">
        <v>332</v>
      </c>
      <c r="AL331" s="213" t="e">
        <f t="shared" si="10"/>
        <v>#VALUE!</v>
      </c>
      <c r="AM331" s="211">
        <f t="shared" si="11"/>
        <v>45971</v>
      </c>
    </row>
    <row r="332" spans="1:39" ht="21.6" customHeight="1">
      <c r="A332" s="11">
        <v>53</v>
      </c>
      <c r="B332" s="11" t="s">
        <v>363</v>
      </c>
      <c r="C332" s="11">
        <v>2025111671</v>
      </c>
      <c r="D332" s="11" t="s">
        <v>1877</v>
      </c>
      <c r="E332" s="11" t="s">
        <v>365</v>
      </c>
      <c r="F332" s="11">
        <v>5074</v>
      </c>
      <c r="G332" s="11" t="s">
        <v>1705</v>
      </c>
      <c r="H332" s="11" t="s">
        <v>1077</v>
      </c>
      <c r="I332" s="11" t="s">
        <v>1878</v>
      </c>
      <c r="J332" s="11" t="s">
        <v>368</v>
      </c>
      <c r="K332" s="11" t="s">
        <v>446</v>
      </c>
      <c r="L332" s="11" t="s">
        <v>447</v>
      </c>
      <c r="M332" s="12" t="s">
        <v>448</v>
      </c>
      <c r="N332" s="11" t="s">
        <v>449</v>
      </c>
      <c r="O332" s="12" t="s">
        <v>450</v>
      </c>
      <c r="P332" s="13" t="s">
        <v>1879</v>
      </c>
      <c r="Q332" s="11" t="s">
        <v>1706</v>
      </c>
      <c r="R332" s="11" t="s">
        <v>326</v>
      </c>
      <c r="S332" s="11" t="s">
        <v>123</v>
      </c>
      <c r="T332" s="11">
        <v>1</v>
      </c>
      <c r="U332" s="11" t="s">
        <v>327</v>
      </c>
      <c r="V332" s="11" t="s">
        <v>1880</v>
      </c>
      <c r="W332" s="11" t="s">
        <v>1881</v>
      </c>
      <c r="X332" s="367">
        <v>45972.46875</v>
      </c>
      <c r="Y332" s="11" t="s">
        <v>1882</v>
      </c>
      <c r="Z332" s="11">
        <v>0.5</v>
      </c>
      <c r="AA332" s="11"/>
      <c r="AB332" s="11" t="s">
        <v>330</v>
      </c>
      <c r="AC332" s="212" t="s">
        <v>1883</v>
      </c>
      <c r="AD332" s="11"/>
      <c r="AE332" s="11"/>
      <c r="AF332" s="11"/>
      <c r="AG332" s="11"/>
      <c r="AH332" s="11"/>
      <c r="AI332" s="11"/>
      <c r="AJ332" s="11"/>
      <c r="AK332" s="11" t="s">
        <v>332</v>
      </c>
      <c r="AL332" s="213">
        <f t="shared" si="10"/>
        <v>45972</v>
      </c>
      <c r="AM332" s="211">
        <f t="shared" si="11"/>
        <v>45972</v>
      </c>
    </row>
    <row r="333" spans="1:39" ht="21.6" customHeight="1">
      <c r="A333" s="11">
        <v>54</v>
      </c>
      <c r="B333" s="11" t="s">
        <v>363</v>
      </c>
      <c r="C333" s="11">
        <v>2025111702</v>
      </c>
      <c r="D333" s="11" t="s">
        <v>1884</v>
      </c>
      <c r="E333" s="11" t="s">
        <v>365</v>
      </c>
      <c r="F333" s="11">
        <v>4144</v>
      </c>
      <c r="G333" s="11" t="s">
        <v>1005</v>
      </c>
      <c r="H333" s="11" t="s">
        <v>490</v>
      </c>
      <c r="I333" s="11" t="s">
        <v>1885</v>
      </c>
      <c r="J333" s="11" t="s">
        <v>368</v>
      </c>
      <c r="K333" s="11" t="s">
        <v>446</v>
      </c>
      <c r="L333" s="11" t="s">
        <v>369</v>
      </c>
      <c r="M333" s="12" t="s">
        <v>370</v>
      </c>
      <c r="N333" s="11">
        <v>2307</v>
      </c>
      <c r="O333" s="12" t="s">
        <v>385</v>
      </c>
      <c r="P333" s="13" t="s">
        <v>1886</v>
      </c>
      <c r="Q333" s="11" t="s">
        <v>1011</v>
      </c>
      <c r="R333" s="11" t="s">
        <v>326</v>
      </c>
      <c r="S333" s="11" t="s">
        <v>118</v>
      </c>
      <c r="T333" s="11">
        <v>1</v>
      </c>
      <c r="U333" s="11" t="s">
        <v>327</v>
      </c>
      <c r="V333" s="11" t="s">
        <v>1887</v>
      </c>
      <c r="W333" s="11" t="s">
        <v>1860</v>
      </c>
      <c r="X333" s="367">
        <v>45972.5625</v>
      </c>
      <c r="Y333" s="11" t="s">
        <v>1888</v>
      </c>
      <c r="Z333" s="11">
        <v>0.5</v>
      </c>
      <c r="AA333" s="11"/>
      <c r="AB333" s="11" t="s">
        <v>330</v>
      </c>
      <c r="AC333" s="212" t="s">
        <v>1889</v>
      </c>
      <c r="AD333" s="11"/>
      <c r="AE333" s="11"/>
      <c r="AF333" s="11"/>
      <c r="AG333" s="11"/>
      <c r="AH333" s="11"/>
      <c r="AI333" s="11"/>
      <c r="AJ333" s="11"/>
      <c r="AK333" s="11" t="s">
        <v>332</v>
      </c>
      <c r="AL333" s="213">
        <f t="shared" si="10"/>
        <v>45972</v>
      </c>
      <c r="AM333" s="211">
        <f t="shared" si="11"/>
        <v>45972</v>
      </c>
    </row>
    <row r="334" spans="1:39" ht="21.6" customHeight="1">
      <c r="A334" s="11">
        <v>55</v>
      </c>
      <c r="B334" s="11" t="s">
        <v>363</v>
      </c>
      <c r="C334" s="11">
        <v>2025111721</v>
      </c>
      <c r="D334" s="11" t="s">
        <v>1890</v>
      </c>
      <c r="E334" s="11" t="s">
        <v>365</v>
      </c>
      <c r="F334" s="11">
        <v>4856</v>
      </c>
      <c r="G334" s="11" t="s">
        <v>1437</v>
      </c>
      <c r="H334" s="11" t="s">
        <v>490</v>
      </c>
      <c r="I334" s="11" t="s">
        <v>1891</v>
      </c>
      <c r="J334" s="11" t="s">
        <v>368</v>
      </c>
      <c r="K334" s="11" t="s">
        <v>200</v>
      </c>
      <c r="L334" s="11" t="s">
        <v>1749</v>
      </c>
      <c r="M334" s="12" t="s">
        <v>1750</v>
      </c>
      <c r="N334" s="11">
        <v>3404</v>
      </c>
      <c r="O334" s="12" t="s">
        <v>1751</v>
      </c>
      <c r="P334" s="13" t="s">
        <v>1892</v>
      </c>
      <c r="Q334" s="11" t="s">
        <v>1440</v>
      </c>
      <c r="R334" s="11" t="s">
        <v>326</v>
      </c>
      <c r="S334" s="11" t="s">
        <v>118</v>
      </c>
      <c r="T334" s="11">
        <v>1</v>
      </c>
      <c r="U334" s="11" t="s">
        <v>327</v>
      </c>
      <c r="V334" s="11" t="s">
        <v>1893</v>
      </c>
      <c r="W334" s="11" t="s">
        <v>1894</v>
      </c>
      <c r="X334" s="367">
        <v>45972.600694444453</v>
      </c>
      <c r="Y334" s="11" t="s">
        <v>1895</v>
      </c>
      <c r="Z334" s="11">
        <v>0.9</v>
      </c>
      <c r="AA334" s="11"/>
      <c r="AB334" s="11" t="s">
        <v>330</v>
      </c>
      <c r="AC334" s="212" t="s">
        <v>1896</v>
      </c>
      <c r="AD334" s="11"/>
      <c r="AE334" s="11"/>
      <c r="AF334" s="11"/>
      <c r="AG334" s="11"/>
      <c r="AH334" s="11"/>
      <c r="AI334" s="11"/>
      <c r="AJ334" s="11"/>
      <c r="AK334" s="11" t="s">
        <v>332</v>
      </c>
      <c r="AL334" s="213">
        <f t="shared" si="10"/>
        <v>45972</v>
      </c>
      <c r="AM334" s="211">
        <f t="shared" si="11"/>
        <v>45972</v>
      </c>
    </row>
    <row r="335" spans="1:39" ht="21.6" customHeight="1">
      <c r="A335" s="11">
        <v>56</v>
      </c>
      <c r="B335" s="11" t="s">
        <v>322</v>
      </c>
      <c r="C335" s="11">
        <v>2025111741</v>
      </c>
      <c r="D335" s="11"/>
      <c r="E335" s="11"/>
      <c r="F335" s="11">
        <v>2109</v>
      </c>
      <c r="G335" s="11" t="s">
        <v>147</v>
      </c>
      <c r="H335" s="11" t="s">
        <v>490</v>
      </c>
      <c r="I335" s="11"/>
      <c r="J335" s="11"/>
      <c r="K335" s="11"/>
      <c r="L335" s="11"/>
      <c r="M335" s="12"/>
      <c r="N335" s="11"/>
      <c r="O335" s="12"/>
      <c r="P335" s="13"/>
      <c r="Q335" s="11" t="s">
        <v>1102</v>
      </c>
      <c r="R335" s="11" t="s">
        <v>326</v>
      </c>
      <c r="S335" s="11" t="s">
        <v>118</v>
      </c>
      <c r="T335" s="11">
        <v>1</v>
      </c>
      <c r="U335" s="11" t="s">
        <v>327</v>
      </c>
      <c r="V335" s="11" t="s">
        <v>1897</v>
      </c>
      <c r="W335" s="11" t="s">
        <v>1898</v>
      </c>
      <c r="X335" s="367">
        <v>45972.645833333343</v>
      </c>
      <c r="Y335" s="11"/>
      <c r="Z335" s="11">
        <v>0.5</v>
      </c>
      <c r="AA335" s="11"/>
      <c r="AB335" s="11" t="s">
        <v>330</v>
      </c>
      <c r="AC335" s="212" t="s">
        <v>331</v>
      </c>
      <c r="AD335" s="11" t="s">
        <v>332</v>
      </c>
      <c r="AE335" s="11"/>
      <c r="AF335" s="11"/>
      <c r="AG335" s="11"/>
      <c r="AH335" s="11"/>
      <c r="AI335" s="11"/>
      <c r="AJ335" s="11" t="s">
        <v>332</v>
      </c>
      <c r="AK335" s="11" t="s">
        <v>332</v>
      </c>
      <c r="AL335" s="213" t="e">
        <f t="shared" si="10"/>
        <v>#VALUE!</v>
      </c>
      <c r="AM335" s="211">
        <f t="shared" si="11"/>
        <v>45972</v>
      </c>
    </row>
    <row r="336" spans="1:39" ht="21.6" customHeight="1">
      <c r="A336" s="11">
        <v>57</v>
      </c>
      <c r="B336" s="11" t="s">
        <v>322</v>
      </c>
      <c r="C336" s="11">
        <v>2025111745</v>
      </c>
      <c r="D336" s="11"/>
      <c r="E336" s="11"/>
      <c r="F336" s="11" t="s">
        <v>68</v>
      </c>
      <c r="G336" s="11" t="s">
        <v>1899</v>
      </c>
      <c r="H336" s="11" t="s">
        <v>490</v>
      </c>
      <c r="I336" s="11"/>
      <c r="J336" s="11"/>
      <c r="K336" s="11"/>
      <c r="L336" s="11"/>
      <c r="M336" s="12"/>
      <c r="N336" s="11"/>
      <c r="O336" s="12"/>
      <c r="P336" s="13"/>
      <c r="Q336" s="11" t="s">
        <v>1900</v>
      </c>
      <c r="R336" s="11" t="s">
        <v>326</v>
      </c>
      <c r="S336" s="11" t="s">
        <v>118</v>
      </c>
      <c r="T336" s="11">
        <v>1</v>
      </c>
      <c r="U336" s="11" t="s">
        <v>327</v>
      </c>
      <c r="V336" s="11" t="s">
        <v>1901</v>
      </c>
      <c r="W336" s="11" t="s">
        <v>1902</v>
      </c>
      <c r="X336" s="367">
        <v>45972.65625</v>
      </c>
      <c r="Y336" s="11"/>
      <c r="Z336" s="11">
        <v>0.3</v>
      </c>
      <c r="AA336" s="11"/>
      <c r="AB336" s="11" t="s">
        <v>330</v>
      </c>
      <c r="AC336" s="212" t="s">
        <v>341</v>
      </c>
      <c r="AD336" s="11" t="s">
        <v>332</v>
      </c>
      <c r="AE336" s="11"/>
      <c r="AF336" s="11"/>
      <c r="AG336" s="11"/>
      <c r="AH336" s="11"/>
      <c r="AI336" s="11"/>
      <c r="AJ336" s="11"/>
      <c r="AK336" s="11" t="s">
        <v>332</v>
      </c>
      <c r="AL336" s="213" t="e">
        <f t="shared" si="10"/>
        <v>#VALUE!</v>
      </c>
      <c r="AM336" s="211">
        <f t="shared" si="11"/>
        <v>45972</v>
      </c>
    </row>
    <row r="337" spans="1:39" ht="21.6" customHeight="1">
      <c r="A337" s="11">
        <v>58</v>
      </c>
      <c r="B337" s="11" t="s">
        <v>322</v>
      </c>
      <c r="C337" s="11">
        <v>2025111746</v>
      </c>
      <c r="D337" s="11"/>
      <c r="E337" s="11"/>
      <c r="F337" s="11" t="s">
        <v>69</v>
      </c>
      <c r="G337" s="11" t="s">
        <v>1903</v>
      </c>
      <c r="H337" s="11" t="s">
        <v>358</v>
      </c>
      <c r="I337" s="11"/>
      <c r="J337" s="11"/>
      <c r="K337" s="11"/>
      <c r="L337" s="11"/>
      <c r="M337" s="12"/>
      <c r="N337" s="11"/>
      <c r="O337" s="12"/>
      <c r="P337" s="13"/>
      <c r="Q337" s="11" t="s">
        <v>1904</v>
      </c>
      <c r="R337" s="11" t="s">
        <v>326</v>
      </c>
      <c r="S337" s="11" t="s">
        <v>123</v>
      </c>
      <c r="T337" s="11">
        <v>1</v>
      </c>
      <c r="U337" s="11" t="s">
        <v>327</v>
      </c>
      <c r="V337" s="11" t="s">
        <v>1905</v>
      </c>
      <c r="W337" s="11" t="s">
        <v>1902</v>
      </c>
      <c r="X337" s="367">
        <v>45972.659722222219</v>
      </c>
      <c r="Y337" s="11"/>
      <c r="Z337" s="11">
        <v>0.3</v>
      </c>
      <c r="AA337" s="11"/>
      <c r="AB337" s="11" t="s">
        <v>330</v>
      </c>
      <c r="AC337" s="212" t="s">
        <v>331</v>
      </c>
      <c r="AD337" s="11" t="s">
        <v>332</v>
      </c>
      <c r="AE337" s="11"/>
      <c r="AF337" s="11"/>
      <c r="AG337" s="11"/>
      <c r="AH337" s="11"/>
      <c r="AI337" s="11"/>
      <c r="AJ337" s="11"/>
      <c r="AK337" s="11" t="s">
        <v>332</v>
      </c>
      <c r="AL337" s="213" t="e">
        <f t="shared" si="10"/>
        <v>#VALUE!</v>
      </c>
      <c r="AM337" s="211">
        <f t="shared" si="11"/>
        <v>45972</v>
      </c>
    </row>
    <row r="338" spans="1:39" ht="21.6" customHeight="1">
      <c r="A338" s="11">
        <v>59</v>
      </c>
      <c r="B338" s="11" t="s">
        <v>322</v>
      </c>
      <c r="C338" s="11">
        <v>2025111752</v>
      </c>
      <c r="D338" s="11"/>
      <c r="E338" s="11"/>
      <c r="F338" s="11" t="s">
        <v>59</v>
      </c>
      <c r="G338" s="11" t="s">
        <v>1296</v>
      </c>
      <c r="H338" s="11" t="s">
        <v>358</v>
      </c>
      <c r="I338" s="11"/>
      <c r="J338" s="11"/>
      <c r="K338" s="11"/>
      <c r="L338" s="11"/>
      <c r="M338" s="12"/>
      <c r="N338" s="11"/>
      <c r="O338" s="12"/>
      <c r="P338" s="13"/>
      <c r="Q338" s="11" t="s">
        <v>1299</v>
      </c>
      <c r="R338" s="11" t="s">
        <v>326</v>
      </c>
      <c r="S338" s="11" t="s">
        <v>123</v>
      </c>
      <c r="T338" s="11">
        <v>1</v>
      </c>
      <c r="U338" s="11" t="s">
        <v>327</v>
      </c>
      <c r="V338" s="11" t="s">
        <v>1906</v>
      </c>
      <c r="W338" s="11" t="s">
        <v>1907</v>
      </c>
      <c r="X338" s="367">
        <v>45972.666666666657</v>
      </c>
      <c r="Y338" s="11"/>
      <c r="Z338" s="11">
        <v>0.3</v>
      </c>
      <c r="AA338" s="11"/>
      <c r="AB338" s="11" t="s">
        <v>330</v>
      </c>
      <c r="AC338" s="212" t="s">
        <v>102</v>
      </c>
      <c r="AD338" s="11"/>
      <c r="AE338" s="11"/>
      <c r="AF338" s="11"/>
      <c r="AG338" s="11"/>
      <c r="AH338" s="11"/>
      <c r="AI338" s="11"/>
      <c r="AJ338" s="11" t="s">
        <v>332</v>
      </c>
      <c r="AK338" s="11" t="s">
        <v>332</v>
      </c>
      <c r="AL338" s="213" t="e">
        <f t="shared" si="10"/>
        <v>#VALUE!</v>
      </c>
      <c r="AM338" s="211">
        <f t="shared" si="11"/>
        <v>45972</v>
      </c>
    </row>
    <row r="339" spans="1:39" ht="21.6" customHeight="1">
      <c r="A339" s="11">
        <v>60</v>
      </c>
      <c r="B339" s="11" t="s">
        <v>322</v>
      </c>
      <c r="C339" s="11">
        <v>2025111756</v>
      </c>
      <c r="D339" s="11"/>
      <c r="E339" s="11"/>
      <c r="F339" s="11">
        <v>5291</v>
      </c>
      <c r="G339" s="11" t="s">
        <v>254</v>
      </c>
      <c r="H339" s="11" t="s">
        <v>490</v>
      </c>
      <c r="I339" s="11"/>
      <c r="J339" s="11"/>
      <c r="K339" s="11"/>
      <c r="L339" s="11"/>
      <c r="M339" s="12"/>
      <c r="N339" s="11"/>
      <c r="O339" s="12"/>
      <c r="P339" s="13"/>
      <c r="Q339" s="11" t="s">
        <v>1908</v>
      </c>
      <c r="R339" s="11" t="s">
        <v>326</v>
      </c>
      <c r="S339" s="11" t="s">
        <v>118</v>
      </c>
      <c r="T339" s="11">
        <v>1</v>
      </c>
      <c r="U339" s="11" t="s">
        <v>327</v>
      </c>
      <c r="V339" s="11" t="s">
        <v>1909</v>
      </c>
      <c r="W339" s="11" t="s">
        <v>1910</v>
      </c>
      <c r="X339" s="367">
        <v>45972.6875</v>
      </c>
      <c r="Y339" s="11"/>
      <c r="Z339" s="11">
        <v>0.5</v>
      </c>
      <c r="AA339" s="11"/>
      <c r="AB339" s="11" t="s">
        <v>330</v>
      </c>
      <c r="AC339" s="212" t="s">
        <v>331</v>
      </c>
      <c r="AD339" s="11" t="s">
        <v>332</v>
      </c>
      <c r="AE339" s="11"/>
      <c r="AF339" s="11"/>
      <c r="AG339" s="11"/>
      <c r="AH339" s="11"/>
      <c r="AI339" s="11"/>
      <c r="AJ339" s="11" t="s">
        <v>332</v>
      </c>
      <c r="AK339" s="11" t="s">
        <v>332</v>
      </c>
      <c r="AL339" s="213" t="e">
        <f t="shared" si="10"/>
        <v>#VALUE!</v>
      </c>
      <c r="AM339" s="211">
        <f t="shared" si="11"/>
        <v>45972</v>
      </c>
    </row>
    <row r="340" spans="1:39" ht="21.6" customHeight="1">
      <c r="A340" s="11">
        <v>61</v>
      </c>
      <c r="B340" s="11" t="s">
        <v>363</v>
      </c>
      <c r="C340" s="11">
        <v>2025111791</v>
      </c>
      <c r="D340" s="11" t="s">
        <v>1911</v>
      </c>
      <c r="E340" s="11" t="s">
        <v>475</v>
      </c>
      <c r="F340" s="11">
        <v>3458</v>
      </c>
      <c r="G340" s="11" t="s">
        <v>1726</v>
      </c>
      <c r="H340" s="11" t="s">
        <v>1077</v>
      </c>
      <c r="I340" s="11" t="s">
        <v>1912</v>
      </c>
      <c r="J340" s="11" t="s">
        <v>383</v>
      </c>
      <c r="K340" s="11" t="s">
        <v>446</v>
      </c>
      <c r="L340" s="11" t="s">
        <v>558</v>
      </c>
      <c r="M340" s="12" t="s">
        <v>559</v>
      </c>
      <c r="N340" s="11">
        <v>2405</v>
      </c>
      <c r="O340" s="12" t="s">
        <v>560</v>
      </c>
      <c r="P340" s="13" t="s">
        <v>1913</v>
      </c>
      <c r="Q340" s="11" t="s">
        <v>1727</v>
      </c>
      <c r="R340" s="11" t="s">
        <v>326</v>
      </c>
      <c r="S340" s="11" t="s">
        <v>123</v>
      </c>
      <c r="T340" s="11">
        <v>1</v>
      </c>
      <c r="U340" s="11" t="s">
        <v>327</v>
      </c>
      <c r="V340" s="11" t="s">
        <v>1914</v>
      </c>
      <c r="W340" s="11" t="s">
        <v>1915</v>
      </c>
      <c r="X340" s="367">
        <v>45973.496527777781</v>
      </c>
      <c r="Y340" s="11" t="s">
        <v>1916</v>
      </c>
      <c r="Z340" s="11">
        <v>2.2000000000000002</v>
      </c>
      <c r="AA340" s="11"/>
      <c r="AB340" s="11" t="s">
        <v>330</v>
      </c>
      <c r="AC340" s="212" t="s">
        <v>1917</v>
      </c>
      <c r="AD340" s="11"/>
      <c r="AE340" s="11"/>
      <c r="AF340" s="11"/>
      <c r="AG340" s="11"/>
      <c r="AH340" s="11"/>
      <c r="AI340" s="11"/>
      <c r="AJ340" s="11"/>
      <c r="AK340" s="11" t="s">
        <v>332</v>
      </c>
      <c r="AL340" s="213">
        <f t="shared" si="10"/>
        <v>45973</v>
      </c>
      <c r="AM340" s="211">
        <f t="shared" si="11"/>
        <v>45973</v>
      </c>
    </row>
    <row r="341" spans="1:39" ht="21.6" customHeight="1">
      <c r="A341" s="11">
        <v>62</v>
      </c>
      <c r="B341" s="11" t="s">
        <v>322</v>
      </c>
      <c r="C341" s="11">
        <v>2025111797</v>
      </c>
      <c r="D341" s="11"/>
      <c r="E341" s="11"/>
      <c r="F341" s="11">
        <v>4005</v>
      </c>
      <c r="G341" s="11" t="s">
        <v>1918</v>
      </c>
      <c r="H341" s="11" t="s">
        <v>490</v>
      </c>
      <c r="I341" s="11"/>
      <c r="J341" s="11"/>
      <c r="K341" s="11"/>
      <c r="L341" s="11"/>
      <c r="M341" s="12"/>
      <c r="N341" s="11"/>
      <c r="O341" s="12"/>
      <c r="P341" s="13"/>
      <c r="Q341" s="11" t="s">
        <v>1919</v>
      </c>
      <c r="R341" s="11" t="s">
        <v>326</v>
      </c>
      <c r="S341" s="11" t="s">
        <v>118</v>
      </c>
      <c r="T341" s="11">
        <v>1</v>
      </c>
      <c r="U341" s="11" t="s">
        <v>327</v>
      </c>
      <c r="V341" s="11" t="s">
        <v>1920</v>
      </c>
      <c r="W341" s="11" t="s">
        <v>1921</v>
      </c>
      <c r="X341" s="367">
        <v>45973.423611111109</v>
      </c>
      <c r="Y341" s="11"/>
      <c r="Z341" s="11">
        <v>0.3</v>
      </c>
      <c r="AA341" s="11"/>
      <c r="AB341" s="11" t="s">
        <v>330</v>
      </c>
      <c r="AC341" s="212" t="s">
        <v>331</v>
      </c>
      <c r="AD341" s="11" t="s">
        <v>332</v>
      </c>
      <c r="AE341" s="11"/>
      <c r="AF341" s="11"/>
      <c r="AG341" s="11"/>
      <c r="AH341" s="11"/>
      <c r="AI341" s="11"/>
      <c r="AJ341" s="11" t="s">
        <v>332</v>
      </c>
      <c r="AK341" s="11" t="s">
        <v>332</v>
      </c>
      <c r="AL341" s="213" t="e">
        <f t="shared" si="10"/>
        <v>#VALUE!</v>
      </c>
      <c r="AM341" s="211">
        <f t="shared" si="11"/>
        <v>45973</v>
      </c>
    </row>
    <row r="342" spans="1:39" ht="21.6" customHeight="1">
      <c r="A342" s="11">
        <v>63</v>
      </c>
      <c r="B342" s="11" t="s">
        <v>322</v>
      </c>
      <c r="C342" s="11">
        <v>2025111798</v>
      </c>
      <c r="D342" s="11"/>
      <c r="E342" s="11"/>
      <c r="F342" s="11" t="s">
        <v>51</v>
      </c>
      <c r="G342" s="11" t="s">
        <v>1922</v>
      </c>
      <c r="H342" s="11" t="s">
        <v>490</v>
      </c>
      <c r="I342" s="11"/>
      <c r="J342" s="11"/>
      <c r="K342" s="11"/>
      <c r="L342" s="11"/>
      <c r="M342" s="12"/>
      <c r="N342" s="11"/>
      <c r="O342" s="12"/>
      <c r="P342" s="13"/>
      <c r="Q342" s="11" t="s">
        <v>1923</v>
      </c>
      <c r="R342" s="11" t="s">
        <v>326</v>
      </c>
      <c r="S342" s="11" t="s">
        <v>118</v>
      </c>
      <c r="T342" s="11">
        <v>1</v>
      </c>
      <c r="U342" s="11" t="s">
        <v>327</v>
      </c>
      <c r="V342" s="11" t="s">
        <v>1924</v>
      </c>
      <c r="W342" s="11" t="s">
        <v>1925</v>
      </c>
      <c r="X342" s="367">
        <v>45973.4375</v>
      </c>
      <c r="Y342" s="11"/>
      <c r="Z342" s="11">
        <v>0.3</v>
      </c>
      <c r="AA342" s="11"/>
      <c r="AB342" s="11" t="s">
        <v>330</v>
      </c>
      <c r="AC342" s="212" t="s">
        <v>331</v>
      </c>
      <c r="AD342" s="11" t="s">
        <v>332</v>
      </c>
      <c r="AE342" s="11"/>
      <c r="AF342" s="11"/>
      <c r="AG342" s="11"/>
      <c r="AH342" s="11"/>
      <c r="AI342" s="11"/>
      <c r="AJ342" s="11" t="s">
        <v>332</v>
      </c>
      <c r="AK342" s="11" t="s">
        <v>332</v>
      </c>
      <c r="AL342" s="213" t="e">
        <f t="shared" si="10"/>
        <v>#VALUE!</v>
      </c>
      <c r="AM342" s="211">
        <f t="shared" si="11"/>
        <v>45973</v>
      </c>
    </row>
    <row r="343" spans="1:39" ht="21.6" customHeight="1">
      <c r="A343" s="11">
        <v>64</v>
      </c>
      <c r="B343" s="11" t="s">
        <v>322</v>
      </c>
      <c r="C343" s="11">
        <v>2025111802</v>
      </c>
      <c r="D343" s="11"/>
      <c r="E343" s="11"/>
      <c r="F343" s="11" t="s">
        <v>70</v>
      </c>
      <c r="G343" s="11" t="s">
        <v>1926</v>
      </c>
      <c r="H343" s="11" t="s">
        <v>490</v>
      </c>
      <c r="I343" s="11"/>
      <c r="J343" s="11"/>
      <c r="K343" s="11"/>
      <c r="L343" s="11"/>
      <c r="M343" s="12"/>
      <c r="N343" s="11"/>
      <c r="O343" s="12"/>
      <c r="P343" s="13"/>
      <c r="Q343" s="11" t="s">
        <v>1927</v>
      </c>
      <c r="R343" s="11" t="s">
        <v>326</v>
      </c>
      <c r="S343" s="11" t="s">
        <v>118</v>
      </c>
      <c r="T343" s="11">
        <v>1</v>
      </c>
      <c r="U343" s="11" t="s">
        <v>327</v>
      </c>
      <c r="V343" s="11" t="s">
        <v>1928</v>
      </c>
      <c r="W343" s="11" t="s">
        <v>1929</v>
      </c>
      <c r="X343" s="367">
        <v>45973.447916666657</v>
      </c>
      <c r="Y343" s="11"/>
      <c r="Z343" s="11">
        <v>0.3</v>
      </c>
      <c r="AA343" s="11"/>
      <c r="AB343" s="11" t="s">
        <v>330</v>
      </c>
      <c r="AC343" s="212" t="s">
        <v>341</v>
      </c>
      <c r="AD343" s="11" t="s">
        <v>332</v>
      </c>
      <c r="AE343" s="11"/>
      <c r="AF343" s="11"/>
      <c r="AG343" s="11"/>
      <c r="AH343" s="11"/>
      <c r="AI343" s="11"/>
      <c r="AJ343" s="11"/>
      <c r="AK343" s="11" t="s">
        <v>332</v>
      </c>
      <c r="AL343" s="213" t="e">
        <f t="shared" si="10"/>
        <v>#VALUE!</v>
      </c>
      <c r="AM343" s="211">
        <f t="shared" si="11"/>
        <v>45973</v>
      </c>
    </row>
    <row r="344" spans="1:39" ht="21.6" customHeight="1">
      <c r="A344" s="11">
        <v>65</v>
      </c>
      <c r="B344" s="11" t="s">
        <v>322</v>
      </c>
      <c r="C344" s="11">
        <v>2025111808</v>
      </c>
      <c r="D344" s="11"/>
      <c r="E344" s="11"/>
      <c r="F344" s="11">
        <v>4208</v>
      </c>
      <c r="G344" s="11" t="s">
        <v>1930</v>
      </c>
      <c r="H344" s="11" t="s">
        <v>490</v>
      </c>
      <c r="I344" s="11"/>
      <c r="J344" s="11"/>
      <c r="K344" s="11"/>
      <c r="L344" s="11"/>
      <c r="M344" s="12"/>
      <c r="N344" s="11"/>
      <c r="O344" s="12"/>
      <c r="P344" s="13"/>
      <c r="Q344" s="11" t="s">
        <v>1931</v>
      </c>
      <c r="R344" s="11" t="s">
        <v>326</v>
      </c>
      <c r="S344" s="11" t="s">
        <v>118</v>
      </c>
      <c r="T344" s="11">
        <v>1</v>
      </c>
      <c r="U344" s="11" t="s">
        <v>327</v>
      </c>
      <c r="V344" s="11" t="s">
        <v>1932</v>
      </c>
      <c r="W344" s="11" t="s">
        <v>1933</v>
      </c>
      <c r="X344" s="367">
        <v>45973.465277777781</v>
      </c>
      <c r="Y344" s="11"/>
      <c r="Z344" s="11">
        <v>0.3</v>
      </c>
      <c r="AA344" s="11"/>
      <c r="AB344" s="11" t="s">
        <v>330</v>
      </c>
      <c r="AC344" s="212" t="s">
        <v>331</v>
      </c>
      <c r="AD344" s="11" t="s">
        <v>332</v>
      </c>
      <c r="AE344" s="11"/>
      <c r="AF344" s="11"/>
      <c r="AG344" s="11"/>
      <c r="AH344" s="11"/>
      <c r="AI344" s="11"/>
      <c r="AJ344" s="11" t="s">
        <v>332</v>
      </c>
      <c r="AK344" s="11" t="s">
        <v>332</v>
      </c>
      <c r="AL344" s="213" t="e">
        <f t="shared" si="10"/>
        <v>#VALUE!</v>
      </c>
      <c r="AM344" s="211">
        <f t="shared" si="11"/>
        <v>45973</v>
      </c>
    </row>
    <row r="345" spans="1:39" ht="21.6" customHeight="1">
      <c r="A345" s="11">
        <v>66</v>
      </c>
      <c r="B345" s="11" t="s">
        <v>322</v>
      </c>
      <c r="C345" s="11">
        <v>2025111820</v>
      </c>
      <c r="D345" s="11"/>
      <c r="E345" s="11"/>
      <c r="F345" s="11">
        <v>2743</v>
      </c>
      <c r="G345" s="11" t="s">
        <v>1934</v>
      </c>
      <c r="H345" s="11" t="s">
        <v>490</v>
      </c>
      <c r="I345" s="11"/>
      <c r="J345" s="11"/>
      <c r="K345" s="11"/>
      <c r="L345" s="11"/>
      <c r="M345" s="12"/>
      <c r="N345" s="11"/>
      <c r="O345" s="12"/>
      <c r="P345" s="13"/>
      <c r="Q345" s="11" t="s">
        <v>1935</v>
      </c>
      <c r="R345" s="11" t="s">
        <v>326</v>
      </c>
      <c r="S345" s="11" t="s">
        <v>118</v>
      </c>
      <c r="T345" s="11">
        <v>1</v>
      </c>
      <c r="U345" s="11" t="s">
        <v>327</v>
      </c>
      <c r="V345" s="11" t="s">
        <v>1936</v>
      </c>
      <c r="W345" s="11" t="s">
        <v>1937</v>
      </c>
      <c r="X345" s="367">
        <v>45973.479166666657</v>
      </c>
      <c r="Y345" s="11"/>
      <c r="Z345" s="11">
        <v>0.3</v>
      </c>
      <c r="AA345" s="11"/>
      <c r="AB345" s="11" t="s">
        <v>330</v>
      </c>
      <c r="AC345" s="212" t="s">
        <v>331</v>
      </c>
      <c r="AD345" s="11" t="s">
        <v>332</v>
      </c>
      <c r="AE345" s="11"/>
      <c r="AF345" s="11"/>
      <c r="AG345" s="11"/>
      <c r="AH345" s="11"/>
      <c r="AI345" s="11"/>
      <c r="AJ345" s="11" t="s">
        <v>332</v>
      </c>
      <c r="AK345" s="11" t="s">
        <v>332</v>
      </c>
      <c r="AL345" s="213" t="e">
        <f t="shared" si="10"/>
        <v>#VALUE!</v>
      </c>
      <c r="AM345" s="211">
        <f t="shared" si="11"/>
        <v>45973</v>
      </c>
    </row>
    <row r="346" spans="1:39" ht="21.6" customHeight="1">
      <c r="A346" s="11">
        <v>67</v>
      </c>
      <c r="B346" s="11" t="s">
        <v>322</v>
      </c>
      <c r="C346" s="11">
        <v>2025111836</v>
      </c>
      <c r="D346" s="11"/>
      <c r="E346" s="11"/>
      <c r="F346" s="11">
        <v>4923</v>
      </c>
      <c r="G346" s="11" t="s">
        <v>1938</v>
      </c>
      <c r="H346" s="11" t="s">
        <v>748</v>
      </c>
      <c r="I346" s="11"/>
      <c r="J346" s="11"/>
      <c r="K346" s="11"/>
      <c r="L346" s="11"/>
      <c r="M346" s="12"/>
      <c r="N346" s="11"/>
      <c r="O346" s="12"/>
      <c r="P346" s="13"/>
      <c r="Q346" s="11" t="s">
        <v>1939</v>
      </c>
      <c r="R346" s="11" t="s">
        <v>326</v>
      </c>
      <c r="S346" s="11" t="s">
        <v>123</v>
      </c>
      <c r="T346" s="11">
        <v>1</v>
      </c>
      <c r="U346" s="11" t="s">
        <v>327</v>
      </c>
      <c r="V346" s="11" t="s">
        <v>1940</v>
      </c>
      <c r="W346" s="11" t="s">
        <v>1941</v>
      </c>
      <c r="X346" s="367">
        <v>45973.534722222219</v>
      </c>
      <c r="Y346" s="11"/>
      <c r="Z346" s="11">
        <v>0.3</v>
      </c>
      <c r="AA346" s="11"/>
      <c r="AB346" s="11" t="s">
        <v>330</v>
      </c>
      <c r="AC346" s="212" t="s">
        <v>331</v>
      </c>
      <c r="AD346" s="11" t="s">
        <v>332</v>
      </c>
      <c r="AE346" s="11"/>
      <c r="AF346" s="11"/>
      <c r="AG346" s="11"/>
      <c r="AH346" s="11"/>
      <c r="AI346" s="11"/>
      <c r="AJ346" s="11"/>
      <c r="AK346" s="11" t="s">
        <v>332</v>
      </c>
      <c r="AL346" s="213" t="e">
        <f t="shared" si="10"/>
        <v>#VALUE!</v>
      </c>
      <c r="AM346" s="211">
        <f t="shared" si="11"/>
        <v>45973</v>
      </c>
    </row>
    <row r="347" spans="1:39" ht="21.6" customHeight="1">
      <c r="A347" s="11">
        <v>68</v>
      </c>
      <c r="B347" s="11" t="s">
        <v>322</v>
      </c>
      <c r="C347" s="11">
        <v>2025111840</v>
      </c>
      <c r="D347" s="11"/>
      <c r="E347" s="11"/>
      <c r="F347" s="11">
        <v>2301</v>
      </c>
      <c r="G347" s="11" t="s">
        <v>1942</v>
      </c>
      <c r="H347" s="11" t="s">
        <v>748</v>
      </c>
      <c r="I347" s="11"/>
      <c r="J347" s="11"/>
      <c r="K347" s="11"/>
      <c r="L347" s="11"/>
      <c r="M347" s="12"/>
      <c r="N347" s="11"/>
      <c r="O347" s="12"/>
      <c r="P347" s="13"/>
      <c r="Q347" s="11" t="s">
        <v>1943</v>
      </c>
      <c r="R347" s="11" t="s">
        <v>326</v>
      </c>
      <c r="S347" s="11" t="s">
        <v>123</v>
      </c>
      <c r="T347" s="11">
        <v>1</v>
      </c>
      <c r="U347" s="11" t="s">
        <v>327</v>
      </c>
      <c r="V347" s="11" t="s">
        <v>1944</v>
      </c>
      <c r="W347" s="11" t="s">
        <v>1945</v>
      </c>
      <c r="X347" s="367">
        <v>45973.548611111109</v>
      </c>
      <c r="Y347" s="11"/>
      <c r="Z347" s="11">
        <v>0.3</v>
      </c>
      <c r="AA347" s="11"/>
      <c r="AB347" s="11" t="s">
        <v>330</v>
      </c>
      <c r="AC347" s="212" t="s">
        <v>331</v>
      </c>
      <c r="AD347" s="11" t="s">
        <v>332</v>
      </c>
      <c r="AE347" s="11"/>
      <c r="AF347" s="11"/>
      <c r="AG347" s="11"/>
      <c r="AH347" s="11"/>
      <c r="AI347" s="11"/>
      <c r="AJ347" s="11"/>
      <c r="AK347" s="11" t="s">
        <v>332</v>
      </c>
      <c r="AL347" s="213" t="e">
        <f t="shared" si="10"/>
        <v>#VALUE!</v>
      </c>
      <c r="AM347" s="211">
        <f t="shared" si="11"/>
        <v>45973</v>
      </c>
    </row>
    <row r="348" spans="1:39" ht="21.6" customHeight="1">
      <c r="A348" s="11">
        <v>69</v>
      </c>
      <c r="B348" s="11" t="s">
        <v>322</v>
      </c>
      <c r="C348" s="11">
        <v>2025111847</v>
      </c>
      <c r="D348" s="11"/>
      <c r="E348" s="11"/>
      <c r="F348" s="11">
        <v>4036</v>
      </c>
      <c r="G348" s="11" t="s">
        <v>1946</v>
      </c>
      <c r="H348" s="11" t="s">
        <v>748</v>
      </c>
      <c r="I348" s="11"/>
      <c r="J348" s="11"/>
      <c r="K348" s="11"/>
      <c r="L348" s="11"/>
      <c r="M348" s="12"/>
      <c r="N348" s="11"/>
      <c r="O348" s="12"/>
      <c r="P348" s="13"/>
      <c r="Q348" s="11" t="s">
        <v>1947</v>
      </c>
      <c r="R348" s="11" t="s">
        <v>326</v>
      </c>
      <c r="S348" s="11" t="s">
        <v>123</v>
      </c>
      <c r="T348" s="11">
        <v>1</v>
      </c>
      <c r="U348" s="11" t="s">
        <v>327</v>
      </c>
      <c r="V348" s="11" t="s">
        <v>1948</v>
      </c>
      <c r="W348" s="11" t="s">
        <v>1949</v>
      </c>
      <c r="X348" s="367">
        <v>45973.600694444453</v>
      </c>
      <c r="Y348" s="11"/>
      <c r="Z348" s="11">
        <v>0.3</v>
      </c>
      <c r="AA348" s="11"/>
      <c r="AB348" s="11" t="s">
        <v>330</v>
      </c>
      <c r="AC348" s="212" t="s">
        <v>331</v>
      </c>
      <c r="AD348" s="11" t="s">
        <v>332</v>
      </c>
      <c r="AE348" s="11"/>
      <c r="AF348" s="11"/>
      <c r="AG348" s="11"/>
      <c r="AH348" s="11"/>
      <c r="AI348" s="11"/>
      <c r="AJ348" s="11"/>
      <c r="AK348" s="11" t="s">
        <v>332</v>
      </c>
      <c r="AL348" s="213" t="e">
        <f t="shared" si="10"/>
        <v>#VALUE!</v>
      </c>
      <c r="AM348" s="211">
        <f t="shared" si="11"/>
        <v>45973</v>
      </c>
    </row>
    <row r="349" spans="1:39" ht="21.6" customHeight="1">
      <c r="A349" s="11">
        <v>70</v>
      </c>
      <c r="B349" s="11" t="s">
        <v>322</v>
      </c>
      <c r="C349" s="11">
        <v>2025111850</v>
      </c>
      <c r="D349" s="11"/>
      <c r="E349" s="11"/>
      <c r="F349" s="11">
        <v>3892</v>
      </c>
      <c r="G349" s="11" t="s">
        <v>1950</v>
      </c>
      <c r="H349" s="11" t="s">
        <v>748</v>
      </c>
      <c r="I349" s="11"/>
      <c r="J349" s="11"/>
      <c r="K349" s="11"/>
      <c r="L349" s="11"/>
      <c r="M349" s="12"/>
      <c r="N349" s="11"/>
      <c r="O349" s="12"/>
      <c r="P349" s="13"/>
      <c r="Q349" s="11" t="s">
        <v>1951</v>
      </c>
      <c r="R349" s="11" t="s">
        <v>326</v>
      </c>
      <c r="S349" s="11" t="s">
        <v>123</v>
      </c>
      <c r="T349" s="11">
        <v>1</v>
      </c>
      <c r="U349" s="11" t="s">
        <v>327</v>
      </c>
      <c r="V349" s="11" t="s">
        <v>1952</v>
      </c>
      <c r="W349" s="11" t="s">
        <v>1953</v>
      </c>
      <c r="X349" s="367">
        <v>45973.618055555547</v>
      </c>
      <c r="Y349" s="11"/>
      <c r="Z349" s="11">
        <v>0.3</v>
      </c>
      <c r="AA349" s="11"/>
      <c r="AB349" s="11" t="s">
        <v>330</v>
      </c>
      <c r="AC349" s="212" t="s">
        <v>331</v>
      </c>
      <c r="AD349" s="11" t="s">
        <v>332</v>
      </c>
      <c r="AE349" s="11"/>
      <c r="AF349" s="11"/>
      <c r="AG349" s="11"/>
      <c r="AH349" s="11"/>
      <c r="AI349" s="11"/>
      <c r="AJ349" s="11"/>
      <c r="AK349" s="11" t="s">
        <v>332</v>
      </c>
      <c r="AL349" s="213" t="e">
        <f t="shared" si="10"/>
        <v>#VALUE!</v>
      </c>
      <c r="AM349" s="211">
        <f t="shared" si="11"/>
        <v>45973</v>
      </c>
    </row>
    <row r="350" spans="1:39" ht="21.6" customHeight="1">
      <c r="A350" s="11">
        <v>71</v>
      </c>
      <c r="B350" s="11" t="s">
        <v>363</v>
      </c>
      <c r="C350" s="11">
        <v>2025111858</v>
      </c>
      <c r="D350" s="11" t="s">
        <v>1954</v>
      </c>
      <c r="E350" s="11" t="s">
        <v>365</v>
      </c>
      <c r="F350" s="11">
        <v>5291</v>
      </c>
      <c r="G350" s="11" t="s">
        <v>254</v>
      </c>
      <c r="H350" s="11" t="s">
        <v>490</v>
      </c>
      <c r="I350" s="11" t="s">
        <v>1955</v>
      </c>
      <c r="J350" s="11" t="s">
        <v>383</v>
      </c>
      <c r="K350" s="11" t="s">
        <v>200</v>
      </c>
      <c r="L350" s="11" t="s">
        <v>1749</v>
      </c>
      <c r="M350" s="12" t="s">
        <v>1750</v>
      </c>
      <c r="N350" s="11">
        <v>3404</v>
      </c>
      <c r="O350" s="12" t="s">
        <v>1751</v>
      </c>
      <c r="P350" s="13" t="s">
        <v>1956</v>
      </c>
      <c r="Q350" s="11" t="s">
        <v>1908</v>
      </c>
      <c r="R350" s="11" t="s">
        <v>326</v>
      </c>
      <c r="S350" s="11" t="s">
        <v>118</v>
      </c>
      <c r="T350" s="11">
        <v>1</v>
      </c>
      <c r="U350" s="11" t="s">
        <v>327</v>
      </c>
      <c r="V350" s="11" t="s">
        <v>1957</v>
      </c>
      <c r="W350" s="11" t="s">
        <v>1958</v>
      </c>
      <c r="X350" s="367">
        <v>45973.652777777781</v>
      </c>
      <c r="Y350" s="11" t="s">
        <v>1959</v>
      </c>
      <c r="Z350" s="11">
        <v>0.7</v>
      </c>
      <c r="AA350" s="11"/>
      <c r="AB350" s="11" t="s">
        <v>330</v>
      </c>
      <c r="AC350" s="212" t="s">
        <v>1960</v>
      </c>
      <c r="AD350" s="11"/>
      <c r="AE350" s="11"/>
      <c r="AF350" s="11"/>
      <c r="AG350" s="11"/>
      <c r="AH350" s="11"/>
      <c r="AI350" s="11"/>
      <c r="AJ350" s="11"/>
      <c r="AK350" s="11" t="s">
        <v>332</v>
      </c>
      <c r="AL350" s="213">
        <f t="shared" si="10"/>
        <v>45973</v>
      </c>
      <c r="AM350" s="211">
        <f t="shared" si="11"/>
        <v>45973</v>
      </c>
    </row>
    <row r="351" spans="1:39" ht="21.6" customHeight="1">
      <c r="A351" s="11">
        <v>72</v>
      </c>
      <c r="B351" s="11" t="s">
        <v>322</v>
      </c>
      <c r="C351" s="11">
        <v>2025111879</v>
      </c>
      <c r="D351" s="11"/>
      <c r="E351" s="11"/>
      <c r="F351" s="11">
        <v>5354</v>
      </c>
      <c r="G351" s="11" t="s">
        <v>252</v>
      </c>
      <c r="H351" s="11" t="s">
        <v>748</v>
      </c>
      <c r="I351" s="11"/>
      <c r="J351" s="11"/>
      <c r="K351" s="11"/>
      <c r="L351" s="11"/>
      <c r="M351" s="12"/>
      <c r="N351" s="11"/>
      <c r="O351" s="12"/>
      <c r="P351" s="13"/>
      <c r="Q351" s="11" t="s">
        <v>1961</v>
      </c>
      <c r="R351" s="11" t="s">
        <v>326</v>
      </c>
      <c r="S351" s="11" t="s">
        <v>123</v>
      </c>
      <c r="T351" s="11">
        <v>1</v>
      </c>
      <c r="U351" s="11" t="s">
        <v>327</v>
      </c>
      <c r="V351" s="11" t="s">
        <v>1962</v>
      </c>
      <c r="W351" s="11" t="s">
        <v>1963</v>
      </c>
      <c r="X351" s="367">
        <v>45973.694444444453</v>
      </c>
      <c r="Y351" s="11"/>
      <c r="Z351" s="11">
        <v>0.3</v>
      </c>
      <c r="AA351" s="11"/>
      <c r="AB351" s="11" t="s">
        <v>330</v>
      </c>
      <c r="AC351" s="212" t="s">
        <v>331</v>
      </c>
      <c r="AD351" s="11" t="s">
        <v>332</v>
      </c>
      <c r="AE351" s="11"/>
      <c r="AF351" s="11"/>
      <c r="AG351" s="11"/>
      <c r="AH351" s="11"/>
      <c r="AI351" s="11"/>
      <c r="AJ351" s="11"/>
      <c r="AK351" s="11" t="s">
        <v>332</v>
      </c>
      <c r="AL351" s="213" t="e">
        <f t="shared" si="10"/>
        <v>#VALUE!</v>
      </c>
      <c r="AM351" s="211">
        <f t="shared" si="11"/>
        <v>45973</v>
      </c>
    </row>
    <row r="352" spans="1:39" ht="21.6" customHeight="1">
      <c r="A352" s="11">
        <v>73</v>
      </c>
      <c r="B352" s="11" t="s">
        <v>363</v>
      </c>
      <c r="C352" s="11">
        <v>2025111893</v>
      </c>
      <c r="D352" s="11" t="s">
        <v>1964</v>
      </c>
      <c r="E352" s="11" t="s">
        <v>365</v>
      </c>
      <c r="F352" s="11" t="s">
        <v>63</v>
      </c>
      <c r="G352" s="11" t="s">
        <v>195</v>
      </c>
      <c r="H352" s="11" t="s">
        <v>358</v>
      </c>
      <c r="I352" s="11" t="s">
        <v>1965</v>
      </c>
      <c r="J352" s="11" t="s">
        <v>368</v>
      </c>
      <c r="K352" s="11" t="s">
        <v>200</v>
      </c>
      <c r="L352" s="11" t="s">
        <v>558</v>
      </c>
      <c r="M352" s="12" t="s">
        <v>559</v>
      </c>
      <c r="N352" s="11">
        <v>2402</v>
      </c>
      <c r="O352" s="12" t="s">
        <v>1966</v>
      </c>
      <c r="P352" s="13" t="s">
        <v>1967</v>
      </c>
      <c r="Q352" s="11" t="s">
        <v>1248</v>
      </c>
      <c r="R352" s="11" t="s">
        <v>326</v>
      </c>
      <c r="S352" s="11" t="s">
        <v>123</v>
      </c>
      <c r="T352" s="11">
        <v>1</v>
      </c>
      <c r="U352" s="11" t="s">
        <v>327</v>
      </c>
      <c r="V352" s="11" t="s">
        <v>1968</v>
      </c>
      <c r="W352" s="11" t="s">
        <v>1969</v>
      </c>
      <c r="X352" s="367">
        <v>45975.420138888891</v>
      </c>
      <c r="Y352" s="11" t="s">
        <v>1970</v>
      </c>
      <c r="Z352" s="11">
        <v>0.3</v>
      </c>
      <c r="AA352" s="11"/>
      <c r="AB352" s="11" t="s">
        <v>330</v>
      </c>
      <c r="AC352" s="212" t="s">
        <v>1971</v>
      </c>
      <c r="AD352" s="11"/>
      <c r="AE352" s="11"/>
      <c r="AF352" s="11"/>
      <c r="AG352" s="11"/>
      <c r="AH352" s="11"/>
      <c r="AI352" s="11"/>
      <c r="AJ352" s="11"/>
      <c r="AK352" s="11" t="s">
        <v>332</v>
      </c>
      <c r="AL352" s="213">
        <f t="shared" si="10"/>
        <v>45972</v>
      </c>
      <c r="AM352" s="211">
        <f t="shared" si="11"/>
        <v>45975</v>
      </c>
    </row>
    <row r="353" spans="1:39" ht="21.6" customHeight="1">
      <c r="A353" s="11">
        <v>74</v>
      </c>
      <c r="B353" s="11" t="s">
        <v>322</v>
      </c>
      <c r="C353" s="11">
        <v>2025111913</v>
      </c>
      <c r="D353" s="11"/>
      <c r="E353" s="11"/>
      <c r="F353" s="11">
        <v>2209</v>
      </c>
      <c r="G353" s="11" t="s">
        <v>1972</v>
      </c>
      <c r="H353" s="11" t="s">
        <v>358</v>
      </c>
      <c r="I353" s="11"/>
      <c r="J353" s="11"/>
      <c r="K353" s="11"/>
      <c r="L353" s="11"/>
      <c r="M353" s="12"/>
      <c r="N353" s="11"/>
      <c r="O353" s="12"/>
      <c r="P353" s="13"/>
      <c r="Q353" s="11" t="s">
        <v>1973</v>
      </c>
      <c r="R353" s="11" t="s">
        <v>326</v>
      </c>
      <c r="S353" s="11" t="s">
        <v>123</v>
      </c>
      <c r="T353" s="11">
        <v>1</v>
      </c>
      <c r="U353" s="11" t="s">
        <v>327</v>
      </c>
      <c r="V353" s="11" t="s">
        <v>1974</v>
      </c>
      <c r="W353" s="11" t="s">
        <v>1975</v>
      </c>
      <c r="X353" s="367">
        <v>45974.409722222219</v>
      </c>
      <c r="Y353" s="11"/>
      <c r="Z353" s="11">
        <v>0.3</v>
      </c>
      <c r="AA353" s="11"/>
      <c r="AB353" s="11" t="s">
        <v>330</v>
      </c>
      <c r="AC353" s="212" t="s">
        <v>1976</v>
      </c>
      <c r="AD353" s="11" t="s">
        <v>332</v>
      </c>
      <c r="AE353" s="11"/>
      <c r="AF353" s="11"/>
      <c r="AG353" s="11"/>
      <c r="AH353" s="11"/>
      <c r="AI353" s="11"/>
      <c r="AJ353" s="11"/>
      <c r="AK353" s="11" t="s">
        <v>332</v>
      </c>
      <c r="AL353" s="213" t="e">
        <f t="shared" si="10"/>
        <v>#VALUE!</v>
      </c>
      <c r="AM353" s="211">
        <f t="shared" si="11"/>
        <v>45974</v>
      </c>
    </row>
    <row r="354" spans="1:39" ht="21.6" customHeight="1">
      <c r="A354" s="11">
        <v>75</v>
      </c>
      <c r="B354" s="11" t="s">
        <v>322</v>
      </c>
      <c r="C354" s="11">
        <v>2025111914</v>
      </c>
      <c r="D354" s="11"/>
      <c r="E354" s="11"/>
      <c r="F354" s="11">
        <v>4312</v>
      </c>
      <c r="G354" s="11" t="s">
        <v>901</v>
      </c>
      <c r="H354" s="11" t="s">
        <v>358</v>
      </c>
      <c r="I354" s="11"/>
      <c r="J354" s="11"/>
      <c r="K354" s="11"/>
      <c r="L354" s="11"/>
      <c r="M354" s="12"/>
      <c r="N354" s="11"/>
      <c r="O354" s="12"/>
      <c r="P354" s="13"/>
      <c r="Q354" s="11" t="s">
        <v>905</v>
      </c>
      <c r="R354" s="11" t="s">
        <v>326</v>
      </c>
      <c r="S354" s="11" t="s">
        <v>123</v>
      </c>
      <c r="T354" s="11">
        <v>1</v>
      </c>
      <c r="U354" s="11" t="s">
        <v>327</v>
      </c>
      <c r="V354" s="11" t="s">
        <v>1977</v>
      </c>
      <c r="W354" s="11" t="s">
        <v>1978</v>
      </c>
      <c r="X354" s="367">
        <v>45974.444444444453</v>
      </c>
      <c r="Y354" s="11"/>
      <c r="Z354" s="11">
        <v>0.3</v>
      </c>
      <c r="AA354" s="11"/>
      <c r="AB354" s="11" t="s">
        <v>330</v>
      </c>
      <c r="AC354" s="212" t="s">
        <v>331</v>
      </c>
      <c r="AD354" s="11" t="s">
        <v>332</v>
      </c>
      <c r="AE354" s="11"/>
      <c r="AF354" s="11"/>
      <c r="AG354" s="11"/>
      <c r="AH354" s="11"/>
      <c r="AI354" s="11"/>
      <c r="AJ354" s="11"/>
      <c r="AK354" s="11" t="s">
        <v>332</v>
      </c>
      <c r="AL354" s="213" t="e">
        <f t="shared" si="10"/>
        <v>#VALUE!</v>
      </c>
      <c r="AM354" s="211">
        <f t="shared" si="11"/>
        <v>45974</v>
      </c>
    </row>
    <row r="355" spans="1:39" ht="21.6" customHeight="1">
      <c r="A355" s="11">
        <v>76</v>
      </c>
      <c r="B355" s="11" t="s">
        <v>322</v>
      </c>
      <c r="C355" s="11">
        <v>2025111915</v>
      </c>
      <c r="D355" s="11"/>
      <c r="E355" s="11"/>
      <c r="F355" s="11">
        <v>5352</v>
      </c>
      <c r="G355" s="11" t="s">
        <v>1979</v>
      </c>
      <c r="H355" s="11" t="s">
        <v>358</v>
      </c>
      <c r="I355" s="11"/>
      <c r="J355" s="11"/>
      <c r="K355" s="11"/>
      <c r="L355" s="11"/>
      <c r="M355" s="12"/>
      <c r="N355" s="11"/>
      <c r="O355" s="12"/>
      <c r="P355" s="13"/>
      <c r="Q355" s="11" t="s">
        <v>1980</v>
      </c>
      <c r="R355" s="11" t="s">
        <v>326</v>
      </c>
      <c r="S355" s="11" t="s">
        <v>123</v>
      </c>
      <c r="T355" s="11">
        <v>1</v>
      </c>
      <c r="U355" s="11" t="s">
        <v>327</v>
      </c>
      <c r="V355" s="11" t="s">
        <v>1981</v>
      </c>
      <c r="W355" s="11" t="s">
        <v>1982</v>
      </c>
      <c r="X355" s="367">
        <v>45974.479166666657</v>
      </c>
      <c r="Y355" s="11"/>
      <c r="Z355" s="11">
        <v>0.3</v>
      </c>
      <c r="AA355" s="11"/>
      <c r="AB355" s="11" t="s">
        <v>330</v>
      </c>
      <c r="AC355" s="212" t="s">
        <v>331</v>
      </c>
      <c r="AD355" s="11" t="s">
        <v>332</v>
      </c>
      <c r="AE355" s="11"/>
      <c r="AF355" s="11"/>
      <c r="AG355" s="11"/>
      <c r="AH355" s="11"/>
      <c r="AI355" s="11"/>
      <c r="AJ355" s="11"/>
      <c r="AK355" s="11" t="s">
        <v>332</v>
      </c>
      <c r="AL355" s="213" t="e">
        <f t="shared" si="10"/>
        <v>#VALUE!</v>
      </c>
      <c r="AM355" s="211">
        <f t="shared" si="11"/>
        <v>45974</v>
      </c>
    </row>
    <row r="356" spans="1:39" ht="21.6" customHeight="1">
      <c r="A356" s="11">
        <v>77</v>
      </c>
      <c r="B356" s="11" t="s">
        <v>363</v>
      </c>
      <c r="C356" s="11">
        <v>2025111917</v>
      </c>
      <c r="D356" s="11" t="s">
        <v>1983</v>
      </c>
      <c r="E356" s="11" t="s">
        <v>365</v>
      </c>
      <c r="F356" s="11">
        <v>5364</v>
      </c>
      <c r="G356" s="11" t="s">
        <v>261</v>
      </c>
      <c r="H356" s="11" t="s">
        <v>324</v>
      </c>
      <c r="I356" s="11" t="s">
        <v>1984</v>
      </c>
      <c r="J356" s="11" t="s">
        <v>424</v>
      </c>
      <c r="K356" s="11" t="s">
        <v>446</v>
      </c>
      <c r="L356" s="11" t="s">
        <v>369</v>
      </c>
      <c r="M356" s="12" t="s">
        <v>370</v>
      </c>
      <c r="N356" s="11">
        <v>2306</v>
      </c>
      <c r="O356" s="12" t="s">
        <v>425</v>
      </c>
      <c r="P356" s="13" t="s">
        <v>1985</v>
      </c>
      <c r="Q356" s="11" t="s">
        <v>427</v>
      </c>
      <c r="R356" s="11" t="s">
        <v>326</v>
      </c>
      <c r="S356" s="11" t="s">
        <v>118</v>
      </c>
      <c r="T356" s="11">
        <v>1</v>
      </c>
      <c r="U356" s="11" t="s">
        <v>327</v>
      </c>
      <c r="V356" s="11" t="s">
        <v>1986</v>
      </c>
      <c r="W356" s="11" t="s">
        <v>1987</v>
      </c>
      <c r="X356" s="367">
        <v>45974.604166666657</v>
      </c>
      <c r="Y356" s="11" t="s">
        <v>1988</v>
      </c>
      <c r="Z356" s="11">
        <v>1.5</v>
      </c>
      <c r="AA356" s="11"/>
      <c r="AB356" s="11" t="s">
        <v>330</v>
      </c>
      <c r="AC356" s="212" t="s">
        <v>1989</v>
      </c>
      <c r="AD356" s="11"/>
      <c r="AE356" s="11"/>
      <c r="AF356" s="11"/>
      <c r="AG356" s="11"/>
      <c r="AH356" s="11"/>
      <c r="AI356" s="11"/>
      <c r="AJ356" s="11"/>
      <c r="AK356" s="11" t="s">
        <v>332</v>
      </c>
      <c r="AL356" s="213">
        <f t="shared" si="10"/>
        <v>45974</v>
      </c>
      <c r="AM356" s="211">
        <f t="shared" si="11"/>
        <v>45974</v>
      </c>
    </row>
    <row r="357" spans="1:39" ht="21.6" customHeight="1">
      <c r="A357" s="11">
        <v>78</v>
      </c>
      <c r="B357" s="11" t="s">
        <v>322</v>
      </c>
      <c r="C357" s="11">
        <v>2025111947</v>
      </c>
      <c r="D357" s="11"/>
      <c r="E357" s="11"/>
      <c r="F357" s="11">
        <v>3243</v>
      </c>
      <c r="G357" s="11" t="s">
        <v>1990</v>
      </c>
      <c r="H357" s="11" t="s">
        <v>324</v>
      </c>
      <c r="I357" s="11"/>
      <c r="J357" s="11"/>
      <c r="K357" s="11"/>
      <c r="L357" s="11"/>
      <c r="M357" s="12"/>
      <c r="N357" s="11"/>
      <c r="O357" s="12"/>
      <c r="P357" s="13"/>
      <c r="Q357" s="11" t="s">
        <v>1991</v>
      </c>
      <c r="R357" s="11" t="s">
        <v>326</v>
      </c>
      <c r="S357" s="11" t="s">
        <v>118</v>
      </c>
      <c r="T357" s="11">
        <v>1</v>
      </c>
      <c r="U357" s="11" t="s">
        <v>327</v>
      </c>
      <c r="V357" s="11" t="s">
        <v>1992</v>
      </c>
      <c r="W357" s="11" t="s">
        <v>1993</v>
      </c>
      <c r="X357" s="367">
        <v>45974.625</v>
      </c>
      <c r="Y357" s="11"/>
      <c r="Z357" s="11">
        <v>0.3</v>
      </c>
      <c r="AA357" s="11"/>
      <c r="AB357" s="11" t="s">
        <v>330</v>
      </c>
      <c r="AC357" s="212" t="s">
        <v>331</v>
      </c>
      <c r="AD357" s="11" t="s">
        <v>332</v>
      </c>
      <c r="AE357" s="11"/>
      <c r="AF357" s="11"/>
      <c r="AG357" s="11"/>
      <c r="AH357" s="11"/>
      <c r="AI357" s="11"/>
      <c r="AJ357" s="11" t="s">
        <v>332</v>
      </c>
      <c r="AK357" s="11" t="s">
        <v>332</v>
      </c>
      <c r="AL357" s="213" t="e">
        <f t="shared" si="10"/>
        <v>#VALUE!</v>
      </c>
      <c r="AM357" s="211">
        <f t="shared" si="11"/>
        <v>45974</v>
      </c>
    </row>
    <row r="358" spans="1:39" ht="21.6" customHeight="1">
      <c r="A358" s="11">
        <v>79</v>
      </c>
      <c r="B358" s="11" t="s">
        <v>322</v>
      </c>
      <c r="C358" s="11">
        <v>2025111952</v>
      </c>
      <c r="D358" s="11"/>
      <c r="E358" s="11"/>
      <c r="F358" s="11">
        <v>4514</v>
      </c>
      <c r="G358" s="11" t="s">
        <v>1994</v>
      </c>
      <c r="H358" s="11" t="s">
        <v>324</v>
      </c>
      <c r="I358" s="11"/>
      <c r="J358" s="11"/>
      <c r="K358" s="11"/>
      <c r="L358" s="11"/>
      <c r="M358" s="12"/>
      <c r="N358" s="11"/>
      <c r="O358" s="12"/>
      <c r="P358" s="13"/>
      <c r="Q358" s="11" t="s">
        <v>1995</v>
      </c>
      <c r="R358" s="11" t="s">
        <v>326</v>
      </c>
      <c r="S358" s="11" t="s">
        <v>118</v>
      </c>
      <c r="T358" s="11">
        <v>1</v>
      </c>
      <c r="U358" s="11" t="s">
        <v>327</v>
      </c>
      <c r="V358" s="11" t="s">
        <v>1996</v>
      </c>
      <c r="W358" s="11" t="s">
        <v>1997</v>
      </c>
      <c r="X358" s="367">
        <v>45974.638888888891</v>
      </c>
      <c r="Y358" s="11"/>
      <c r="Z358" s="11">
        <v>0.3</v>
      </c>
      <c r="AA358" s="11"/>
      <c r="AB358" s="11" t="s">
        <v>330</v>
      </c>
      <c r="AC358" s="212" t="s">
        <v>331</v>
      </c>
      <c r="AD358" s="11" t="s">
        <v>332</v>
      </c>
      <c r="AE358" s="11"/>
      <c r="AF358" s="11"/>
      <c r="AG358" s="11"/>
      <c r="AH358" s="11"/>
      <c r="AI358" s="11"/>
      <c r="AJ358" s="11" t="s">
        <v>332</v>
      </c>
      <c r="AK358" s="11" t="s">
        <v>332</v>
      </c>
      <c r="AL358" s="213" t="e">
        <f t="shared" si="10"/>
        <v>#VALUE!</v>
      </c>
      <c r="AM358" s="211">
        <f t="shared" si="11"/>
        <v>45974</v>
      </c>
    </row>
    <row r="359" spans="1:39" ht="21.6" customHeight="1">
      <c r="A359" s="11">
        <v>80</v>
      </c>
      <c r="B359" s="11" t="s">
        <v>322</v>
      </c>
      <c r="C359" s="11">
        <v>2025111963</v>
      </c>
      <c r="D359" s="11"/>
      <c r="E359" s="11"/>
      <c r="F359" s="11">
        <v>5101</v>
      </c>
      <c r="G359" s="11" t="s">
        <v>190</v>
      </c>
      <c r="H359" s="11" t="s">
        <v>567</v>
      </c>
      <c r="I359" s="11"/>
      <c r="J359" s="11"/>
      <c r="K359" s="11"/>
      <c r="L359" s="11"/>
      <c r="M359" s="12"/>
      <c r="N359" s="11"/>
      <c r="O359" s="12"/>
      <c r="P359" s="13"/>
      <c r="Q359" s="11" t="s">
        <v>1998</v>
      </c>
      <c r="R359" s="11" t="s">
        <v>326</v>
      </c>
      <c r="S359" s="11" t="s">
        <v>123</v>
      </c>
      <c r="T359" s="11">
        <v>1</v>
      </c>
      <c r="U359" s="11" t="s">
        <v>327</v>
      </c>
      <c r="V359" s="11" t="s">
        <v>1999</v>
      </c>
      <c r="W359" s="11" t="s">
        <v>1997</v>
      </c>
      <c r="X359" s="367">
        <v>45974.666666666657</v>
      </c>
      <c r="Y359" s="11"/>
      <c r="Z359" s="11">
        <v>1</v>
      </c>
      <c r="AA359" s="11"/>
      <c r="AB359" s="11" t="s">
        <v>330</v>
      </c>
      <c r="AC359" s="212" t="s">
        <v>701</v>
      </c>
      <c r="AD359" s="11"/>
      <c r="AE359" s="11" t="s">
        <v>332</v>
      </c>
      <c r="AF359" s="11"/>
      <c r="AG359" s="11"/>
      <c r="AH359" s="11"/>
      <c r="AI359" s="11"/>
      <c r="AJ359" s="11"/>
      <c r="AK359" s="11" t="s">
        <v>332</v>
      </c>
      <c r="AL359" s="213" t="e">
        <f t="shared" si="10"/>
        <v>#VALUE!</v>
      </c>
      <c r="AM359" s="211">
        <f t="shared" si="11"/>
        <v>45974</v>
      </c>
    </row>
    <row r="360" spans="1:39" ht="21.6" customHeight="1">
      <c r="A360" s="11">
        <v>81</v>
      </c>
      <c r="B360" s="11" t="s">
        <v>322</v>
      </c>
      <c r="C360" s="11">
        <v>2025111969</v>
      </c>
      <c r="D360" s="11"/>
      <c r="E360" s="11"/>
      <c r="F360" s="11">
        <v>4483</v>
      </c>
      <c r="G360" s="11" t="s">
        <v>2000</v>
      </c>
      <c r="H360" s="11" t="s">
        <v>324</v>
      </c>
      <c r="I360" s="11"/>
      <c r="J360" s="11"/>
      <c r="K360" s="11"/>
      <c r="L360" s="11"/>
      <c r="M360" s="12"/>
      <c r="N360" s="11"/>
      <c r="O360" s="12"/>
      <c r="P360" s="13"/>
      <c r="Q360" s="11" t="s">
        <v>2001</v>
      </c>
      <c r="R360" s="11" t="s">
        <v>326</v>
      </c>
      <c r="S360" s="11" t="s">
        <v>118</v>
      </c>
      <c r="T360" s="11">
        <v>1</v>
      </c>
      <c r="U360" s="11" t="s">
        <v>327</v>
      </c>
      <c r="V360" s="11" t="s">
        <v>2002</v>
      </c>
      <c r="W360" s="11" t="s">
        <v>2003</v>
      </c>
      <c r="X360" s="367">
        <v>45974.666666666657</v>
      </c>
      <c r="Y360" s="11"/>
      <c r="Z360" s="11">
        <v>0.5</v>
      </c>
      <c r="AA360" s="11"/>
      <c r="AB360" s="11" t="s">
        <v>330</v>
      </c>
      <c r="AC360" s="212" t="s">
        <v>331</v>
      </c>
      <c r="AD360" s="11" t="s">
        <v>332</v>
      </c>
      <c r="AE360" s="11"/>
      <c r="AF360" s="11"/>
      <c r="AG360" s="11"/>
      <c r="AH360" s="11"/>
      <c r="AI360" s="11"/>
      <c r="AJ360" s="11" t="s">
        <v>332</v>
      </c>
      <c r="AK360" s="11" t="s">
        <v>332</v>
      </c>
      <c r="AL360" s="213" t="e">
        <f t="shared" si="10"/>
        <v>#VALUE!</v>
      </c>
      <c r="AM360" s="211">
        <f t="shared" si="11"/>
        <v>45974</v>
      </c>
    </row>
    <row r="361" spans="1:39" ht="21.6" customHeight="1">
      <c r="A361" s="11">
        <v>82</v>
      </c>
      <c r="B361" s="11" t="s">
        <v>363</v>
      </c>
      <c r="C361" s="11">
        <v>2025111975</v>
      </c>
      <c r="D361" s="11" t="s">
        <v>2004</v>
      </c>
      <c r="E361" s="11" t="s">
        <v>365</v>
      </c>
      <c r="F361" s="11">
        <v>4483</v>
      </c>
      <c r="G361" s="11" t="s">
        <v>2000</v>
      </c>
      <c r="H361" s="11" t="s">
        <v>324</v>
      </c>
      <c r="I361" s="11" t="s">
        <v>2005</v>
      </c>
      <c r="J361" s="11" t="s">
        <v>424</v>
      </c>
      <c r="K361" s="11" t="s">
        <v>200</v>
      </c>
      <c r="L361" s="11" t="s">
        <v>398</v>
      </c>
      <c r="M361" s="12" t="s">
        <v>399</v>
      </c>
      <c r="N361" s="11" t="s">
        <v>1176</v>
      </c>
      <c r="O361" s="12" t="s">
        <v>1177</v>
      </c>
      <c r="P361" s="13" t="s">
        <v>2006</v>
      </c>
      <c r="Q361" s="11" t="s">
        <v>2001</v>
      </c>
      <c r="R361" s="11" t="s">
        <v>326</v>
      </c>
      <c r="S361" s="11" t="s">
        <v>118</v>
      </c>
      <c r="T361" s="11">
        <v>1</v>
      </c>
      <c r="U361" s="11" t="s">
        <v>327</v>
      </c>
      <c r="V361" s="11" t="s">
        <v>2007</v>
      </c>
      <c r="W361" s="11" t="s">
        <v>2008</v>
      </c>
      <c r="X361" s="367">
        <v>45975.434027777781</v>
      </c>
      <c r="Y361" s="11" t="s">
        <v>2009</v>
      </c>
      <c r="Z361" s="11">
        <v>0.9</v>
      </c>
      <c r="AA361" s="11"/>
      <c r="AB361" s="11" t="s">
        <v>330</v>
      </c>
      <c r="AC361" s="212" t="s">
        <v>2010</v>
      </c>
      <c r="AD361" s="11"/>
      <c r="AE361" s="11"/>
      <c r="AF361" s="11"/>
      <c r="AG361" s="11"/>
      <c r="AH361" s="11"/>
      <c r="AI361" s="11"/>
      <c r="AJ361" s="11"/>
      <c r="AK361" s="11" t="s">
        <v>332</v>
      </c>
      <c r="AL361" s="213">
        <f t="shared" si="10"/>
        <v>45974</v>
      </c>
      <c r="AM361" s="211">
        <f t="shared" si="11"/>
        <v>45975</v>
      </c>
    </row>
    <row r="362" spans="1:39" ht="21.6" customHeight="1">
      <c r="A362" s="11">
        <v>83</v>
      </c>
      <c r="B362" s="11" t="s">
        <v>363</v>
      </c>
      <c r="C362" s="11">
        <v>2025112013</v>
      </c>
      <c r="D362" s="11" t="s">
        <v>2011</v>
      </c>
      <c r="E362" s="11" t="s">
        <v>365</v>
      </c>
      <c r="F362" s="11">
        <v>3380</v>
      </c>
      <c r="G362" s="11" t="s">
        <v>1550</v>
      </c>
      <c r="H362" s="11" t="s">
        <v>490</v>
      </c>
      <c r="I362" s="11" t="s">
        <v>2012</v>
      </c>
      <c r="J362" s="11" t="s">
        <v>424</v>
      </c>
      <c r="K362" s="11" t="s">
        <v>903</v>
      </c>
      <c r="L362" s="11" t="s">
        <v>369</v>
      </c>
      <c r="M362" s="12" t="s">
        <v>370</v>
      </c>
      <c r="N362" s="11">
        <v>2307</v>
      </c>
      <c r="O362" s="12" t="s">
        <v>385</v>
      </c>
      <c r="P362" s="13" t="s">
        <v>2013</v>
      </c>
      <c r="Q362" s="11" t="s">
        <v>1553</v>
      </c>
      <c r="R362" s="11" t="s">
        <v>326</v>
      </c>
      <c r="S362" s="11" t="s">
        <v>118</v>
      </c>
      <c r="T362" s="11">
        <v>1</v>
      </c>
      <c r="U362" s="11" t="s">
        <v>327</v>
      </c>
      <c r="V362" s="11" t="s">
        <v>2014</v>
      </c>
      <c r="W362" s="11" t="s">
        <v>2015</v>
      </c>
      <c r="X362" s="367">
        <v>45975.576388888891</v>
      </c>
      <c r="Y362" s="11" t="s">
        <v>2016</v>
      </c>
      <c r="Z362" s="11">
        <v>1.3</v>
      </c>
      <c r="AA362" s="11"/>
      <c r="AB362" s="11" t="s">
        <v>330</v>
      </c>
      <c r="AC362" s="212" t="s">
        <v>2017</v>
      </c>
      <c r="AD362" s="11"/>
      <c r="AE362" s="11"/>
      <c r="AF362" s="11"/>
      <c r="AG362" s="11"/>
      <c r="AH362" s="11"/>
      <c r="AI362" s="11"/>
      <c r="AJ362" s="11"/>
      <c r="AK362" s="11" t="s">
        <v>332</v>
      </c>
      <c r="AL362" s="213">
        <f t="shared" si="10"/>
        <v>45974</v>
      </c>
      <c r="AM362" s="211">
        <f t="shared" si="11"/>
        <v>45975</v>
      </c>
    </row>
    <row r="363" spans="1:39" ht="21.6" customHeight="1">
      <c r="A363" s="11">
        <v>84</v>
      </c>
      <c r="B363" s="11" t="s">
        <v>322</v>
      </c>
      <c r="C363" s="11">
        <v>2025112039</v>
      </c>
      <c r="D363" s="11"/>
      <c r="E363" s="11"/>
      <c r="F363" s="11">
        <v>3137</v>
      </c>
      <c r="G363" s="11" t="s">
        <v>2018</v>
      </c>
      <c r="H363" s="11" t="s">
        <v>1535</v>
      </c>
      <c r="I363" s="11"/>
      <c r="J363" s="11"/>
      <c r="K363" s="11"/>
      <c r="L363" s="11"/>
      <c r="M363" s="12"/>
      <c r="N363" s="11"/>
      <c r="O363" s="12"/>
      <c r="P363" s="13"/>
      <c r="Q363" s="11" t="s">
        <v>2019</v>
      </c>
      <c r="R363" s="11" t="s">
        <v>326</v>
      </c>
      <c r="S363" s="11" t="s">
        <v>118</v>
      </c>
      <c r="T363" s="11">
        <v>1</v>
      </c>
      <c r="U363" s="11" t="s">
        <v>327</v>
      </c>
      <c r="V363" s="11" t="s">
        <v>2020</v>
      </c>
      <c r="W363" s="11" t="s">
        <v>2021</v>
      </c>
      <c r="X363" s="367">
        <v>45975.451388888891</v>
      </c>
      <c r="Y363" s="11"/>
      <c r="Z363" s="11">
        <v>0.3</v>
      </c>
      <c r="AA363" s="11"/>
      <c r="AB363" s="11" t="s">
        <v>330</v>
      </c>
      <c r="AC363" s="212" t="s">
        <v>331</v>
      </c>
      <c r="AD363" s="11" t="s">
        <v>332</v>
      </c>
      <c r="AE363" s="11"/>
      <c r="AF363" s="11"/>
      <c r="AG363" s="11"/>
      <c r="AH363" s="11"/>
      <c r="AI363" s="11"/>
      <c r="AJ363" s="11" t="s">
        <v>332</v>
      </c>
      <c r="AK363" s="11" t="s">
        <v>332</v>
      </c>
      <c r="AL363" s="213" t="e">
        <f t="shared" si="10"/>
        <v>#VALUE!</v>
      </c>
      <c r="AM363" s="211">
        <f t="shared" si="11"/>
        <v>45975</v>
      </c>
    </row>
    <row r="364" spans="1:39" ht="21.6" customHeight="1">
      <c r="A364" s="11">
        <v>85</v>
      </c>
      <c r="B364" s="11" t="s">
        <v>322</v>
      </c>
      <c r="C364" s="11">
        <v>2025112080</v>
      </c>
      <c r="D364" s="11"/>
      <c r="E364" s="11"/>
      <c r="F364" s="11" t="s">
        <v>71</v>
      </c>
      <c r="G364" s="11" t="s">
        <v>788</v>
      </c>
      <c r="H364" s="11" t="s">
        <v>567</v>
      </c>
      <c r="I364" s="11"/>
      <c r="J364" s="11"/>
      <c r="K364" s="11"/>
      <c r="L364" s="11"/>
      <c r="M364" s="12"/>
      <c r="N364" s="11"/>
      <c r="O364" s="12"/>
      <c r="P364" s="13"/>
      <c r="Q364" s="11" t="s">
        <v>791</v>
      </c>
      <c r="R364" s="11" t="s">
        <v>326</v>
      </c>
      <c r="S364" s="11" t="s">
        <v>123</v>
      </c>
      <c r="T364" s="11">
        <v>1</v>
      </c>
      <c r="U364" s="11" t="s">
        <v>327</v>
      </c>
      <c r="V364" s="11" t="s">
        <v>2022</v>
      </c>
      <c r="W364" s="11" t="s">
        <v>2023</v>
      </c>
      <c r="X364" s="367">
        <v>45975.503472222219</v>
      </c>
      <c r="Y364" s="11"/>
      <c r="Z364" s="11">
        <v>0.3</v>
      </c>
      <c r="AA364" s="11"/>
      <c r="AB364" s="11" t="s">
        <v>330</v>
      </c>
      <c r="AC364" s="212" t="s">
        <v>331</v>
      </c>
      <c r="AD364" s="11" t="s">
        <v>332</v>
      </c>
      <c r="AE364" s="11"/>
      <c r="AF364" s="11"/>
      <c r="AG364" s="11"/>
      <c r="AH364" s="11"/>
      <c r="AI364" s="11"/>
      <c r="AJ364" s="11"/>
      <c r="AK364" s="11" t="s">
        <v>332</v>
      </c>
      <c r="AL364" s="213" t="e">
        <f t="shared" si="10"/>
        <v>#VALUE!</v>
      </c>
      <c r="AM364" s="211">
        <f t="shared" si="11"/>
        <v>45975</v>
      </c>
    </row>
    <row r="365" spans="1:39" ht="21.6" customHeight="1">
      <c r="A365" s="11">
        <v>86</v>
      </c>
      <c r="B365" s="11" t="s">
        <v>322</v>
      </c>
      <c r="C365" s="11">
        <v>2025112084</v>
      </c>
      <c r="D365" s="11"/>
      <c r="E365" s="11"/>
      <c r="F365" s="11">
        <v>2749</v>
      </c>
      <c r="G365" s="11" t="s">
        <v>2024</v>
      </c>
      <c r="H365" s="11" t="s">
        <v>567</v>
      </c>
      <c r="I365" s="11"/>
      <c r="J365" s="11"/>
      <c r="K365" s="11"/>
      <c r="L365" s="11"/>
      <c r="M365" s="12"/>
      <c r="N365" s="11"/>
      <c r="O365" s="12"/>
      <c r="P365" s="13"/>
      <c r="Q365" s="11" t="s">
        <v>2025</v>
      </c>
      <c r="R365" s="11" t="s">
        <v>326</v>
      </c>
      <c r="S365" s="11" t="s">
        <v>123</v>
      </c>
      <c r="T365" s="11">
        <v>1</v>
      </c>
      <c r="U365" s="11" t="s">
        <v>327</v>
      </c>
      <c r="V365" s="11" t="s">
        <v>2026</v>
      </c>
      <c r="W365" s="11" t="s">
        <v>2027</v>
      </c>
      <c r="X365" s="367">
        <v>45975.548611111109</v>
      </c>
      <c r="Y365" s="11"/>
      <c r="Z365" s="11">
        <v>0.3</v>
      </c>
      <c r="AA365" s="11"/>
      <c r="AB365" s="11" t="s">
        <v>330</v>
      </c>
      <c r="AC365" s="212" t="s">
        <v>331</v>
      </c>
      <c r="AD365" s="11" t="s">
        <v>332</v>
      </c>
      <c r="AE365" s="11"/>
      <c r="AF365" s="11"/>
      <c r="AG365" s="11"/>
      <c r="AH365" s="11"/>
      <c r="AI365" s="11"/>
      <c r="AJ365" s="11"/>
      <c r="AK365" s="11" t="s">
        <v>332</v>
      </c>
      <c r="AL365" s="213" t="e">
        <f t="shared" si="10"/>
        <v>#VALUE!</v>
      </c>
      <c r="AM365" s="211">
        <f t="shared" si="11"/>
        <v>45975</v>
      </c>
    </row>
    <row r="366" spans="1:39" ht="21.6" customHeight="1">
      <c r="A366" s="11">
        <v>87</v>
      </c>
      <c r="B366" s="11" t="s">
        <v>322</v>
      </c>
      <c r="C366" s="11">
        <v>2025112091</v>
      </c>
      <c r="D366" s="11"/>
      <c r="E366" s="11"/>
      <c r="F366" s="11">
        <v>5496</v>
      </c>
      <c r="G366" s="11" t="s">
        <v>2028</v>
      </c>
      <c r="H366" s="11" t="s">
        <v>396</v>
      </c>
      <c r="I366" s="11"/>
      <c r="J366" s="11"/>
      <c r="K366" s="11"/>
      <c r="L366" s="11"/>
      <c r="M366" s="12"/>
      <c r="N366" s="11"/>
      <c r="O366" s="12"/>
      <c r="P366" s="13"/>
      <c r="Q366" s="11" t="s">
        <v>1871</v>
      </c>
      <c r="R366" s="11" t="s">
        <v>326</v>
      </c>
      <c r="S366" s="11" t="s">
        <v>134</v>
      </c>
      <c r="T366" s="11">
        <v>1</v>
      </c>
      <c r="U366" s="11" t="s">
        <v>327</v>
      </c>
      <c r="V366" s="11" t="s">
        <v>2029</v>
      </c>
      <c r="W366" s="11" t="s">
        <v>2030</v>
      </c>
      <c r="X366" s="367">
        <v>45975.5625</v>
      </c>
      <c r="Y366" s="11"/>
      <c r="Z366" s="11">
        <v>1.5</v>
      </c>
      <c r="AA366" s="11"/>
      <c r="AB366" s="11" t="s">
        <v>330</v>
      </c>
      <c r="AC366" s="212" t="s">
        <v>2031</v>
      </c>
      <c r="AD366" s="11"/>
      <c r="AE366" s="11" t="s">
        <v>332</v>
      </c>
      <c r="AF366" s="11"/>
      <c r="AG366" s="11"/>
      <c r="AH366" s="11"/>
      <c r="AI366" s="11"/>
      <c r="AJ366" s="11"/>
      <c r="AK366" s="11" t="s">
        <v>332</v>
      </c>
      <c r="AL366" s="213" t="e">
        <f t="shared" si="10"/>
        <v>#VALUE!</v>
      </c>
      <c r="AM366" s="211">
        <f t="shared" si="11"/>
        <v>45975</v>
      </c>
    </row>
    <row r="367" spans="1:39" ht="21.6" customHeight="1">
      <c r="A367" s="11">
        <v>88</v>
      </c>
      <c r="B367" s="11" t="s">
        <v>322</v>
      </c>
      <c r="C367" s="11">
        <v>2025112092</v>
      </c>
      <c r="D367" s="11"/>
      <c r="E367" s="11"/>
      <c r="F367" s="11">
        <v>4511</v>
      </c>
      <c r="G367" s="11" t="s">
        <v>163</v>
      </c>
      <c r="H367" s="11" t="s">
        <v>567</v>
      </c>
      <c r="I367" s="11"/>
      <c r="J367" s="11"/>
      <c r="K367" s="11"/>
      <c r="L367" s="11"/>
      <c r="M367" s="12"/>
      <c r="N367" s="11"/>
      <c r="O367" s="12"/>
      <c r="P367" s="13"/>
      <c r="Q367" s="11" t="s">
        <v>2032</v>
      </c>
      <c r="R367" s="11" t="s">
        <v>326</v>
      </c>
      <c r="S367" s="11" t="s">
        <v>123</v>
      </c>
      <c r="T367" s="11">
        <v>1</v>
      </c>
      <c r="U367" s="11" t="s">
        <v>327</v>
      </c>
      <c r="V367" s="11" t="s">
        <v>2033</v>
      </c>
      <c r="W367" s="11" t="s">
        <v>2034</v>
      </c>
      <c r="X367" s="367">
        <v>45975.569444444453</v>
      </c>
      <c r="Y367" s="11"/>
      <c r="Z367" s="11">
        <v>0.3</v>
      </c>
      <c r="AA367" s="11"/>
      <c r="AB367" s="11" t="s">
        <v>330</v>
      </c>
      <c r="AC367" s="212" t="s">
        <v>331</v>
      </c>
      <c r="AD367" s="11" t="s">
        <v>332</v>
      </c>
      <c r="AE367" s="11"/>
      <c r="AF367" s="11"/>
      <c r="AG367" s="11"/>
      <c r="AH367" s="11"/>
      <c r="AI367" s="11"/>
      <c r="AJ367" s="11"/>
      <c r="AK367" s="11" t="s">
        <v>332</v>
      </c>
      <c r="AL367" s="213" t="e">
        <f t="shared" si="10"/>
        <v>#VALUE!</v>
      </c>
      <c r="AM367" s="211">
        <f t="shared" si="11"/>
        <v>45975</v>
      </c>
    </row>
    <row r="368" spans="1:39" ht="21.6" customHeight="1">
      <c r="A368" s="11">
        <v>89</v>
      </c>
      <c r="B368" s="11" t="s">
        <v>322</v>
      </c>
      <c r="C368" s="11">
        <v>2025112110</v>
      </c>
      <c r="D368" s="11"/>
      <c r="E368" s="11"/>
      <c r="F368" s="11">
        <v>2237</v>
      </c>
      <c r="G368" s="11" t="s">
        <v>151</v>
      </c>
      <c r="H368" s="11" t="s">
        <v>1429</v>
      </c>
      <c r="I368" s="11"/>
      <c r="J368" s="11"/>
      <c r="K368" s="11"/>
      <c r="L368" s="11"/>
      <c r="M368" s="12"/>
      <c r="N368" s="11"/>
      <c r="O368" s="12"/>
      <c r="P368" s="13"/>
      <c r="Q368" s="11" t="s">
        <v>1448</v>
      </c>
      <c r="R368" s="11" t="s">
        <v>326</v>
      </c>
      <c r="S368" s="11" t="s">
        <v>123</v>
      </c>
      <c r="T368" s="11">
        <v>1</v>
      </c>
      <c r="U368" s="11" t="s">
        <v>327</v>
      </c>
      <c r="V368" s="11" t="s">
        <v>2035</v>
      </c>
      <c r="W368" s="11" t="s">
        <v>2036</v>
      </c>
      <c r="X368" s="367">
        <v>45975.618055555547</v>
      </c>
      <c r="Y368" s="11"/>
      <c r="Z368" s="11">
        <v>0.3</v>
      </c>
      <c r="AA368" s="11"/>
      <c r="AB368" s="11" t="s">
        <v>330</v>
      </c>
      <c r="AC368" s="212" t="s">
        <v>102</v>
      </c>
      <c r="AD368" s="11"/>
      <c r="AE368" s="11"/>
      <c r="AF368" s="11"/>
      <c r="AG368" s="11"/>
      <c r="AH368" s="11"/>
      <c r="AI368" s="11"/>
      <c r="AJ368" s="11" t="s">
        <v>332</v>
      </c>
      <c r="AK368" s="11" t="s">
        <v>332</v>
      </c>
      <c r="AL368" s="213" t="e">
        <f t="shared" si="10"/>
        <v>#VALUE!</v>
      </c>
      <c r="AM368" s="211">
        <f t="shared" si="11"/>
        <v>45975</v>
      </c>
    </row>
    <row r="369" spans="1:39" ht="21.6" customHeight="1">
      <c r="A369" s="11">
        <v>90</v>
      </c>
      <c r="B369" s="11" t="s">
        <v>322</v>
      </c>
      <c r="C369" s="11">
        <v>2025112125</v>
      </c>
      <c r="D369" s="11"/>
      <c r="E369" s="11"/>
      <c r="F369" s="11">
        <v>4844</v>
      </c>
      <c r="G369" s="11" t="s">
        <v>2037</v>
      </c>
      <c r="H369" s="11" t="s">
        <v>1429</v>
      </c>
      <c r="I369" s="11"/>
      <c r="J369" s="11"/>
      <c r="K369" s="11"/>
      <c r="L369" s="11"/>
      <c r="M369" s="12"/>
      <c r="N369" s="11"/>
      <c r="O369" s="12"/>
      <c r="P369" s="13"/>
      <c r="Q369" s="11" t="s">
        <v>2038</v>
      </c>
      <c r="R369" s="11" t="s">
        <v>326</v>
      </c>
      <c r="S369" s="11" t="s">
        <v>123</v>
      </c>
      <c r="T369" s="11">
        <v>1</v>
      </c>
      <c r="U369" s="11" t="s">
        <v>327</v>
      </c>
      <c r="V369" s="11" t="s">
        <v>2039</v>
      </c>
      <c r="W369" s="11" t="s">
        <v>2040</v>
      </c>
      <c r="X369" s="367">
        <v>45975.638888888891</v>
      </c>
      <c r="Y369" s="11"/>
      <c r="Z369" s="11">
        <v>0.3</v>
      </c>
      <c r="AA369" s="11"/>
      <c r="AB369" s="11" t="s">
        <v>330</v>
      </c>
      <c r="AC369" s="212" t="s">
        <v>331</v>
      </c>
      <c r="AD369" s="11" t="s">
        <v>332</v>
      </c>
      <c r="AE369" s="11"/>
      <c r="AF369" s="11"/>
      <c r="AG369" s="11"/>
      <c r="AH369" s="11"/>
      <c r="AI369" s="11"/>
      <c r="AJ369" s="11"/>
      <c r="AK369" s="11" t="s">
        <v>332</v>
      </c>
      <c r="AL369" s="213" t="e">
        <f t="shared" si="10"/>
        <v>#VALUE!</v>
      </c>
      <c r="AM369" s="211">
        <f t="shared" si="11"/>
        <v>45975</v>
      </c>
    </row>
    <row r="370" spans="1:39" ht="21.6" customHeight="1">
      <c r="A370" s="11">
        <v>91</v>
      </c>
      <c r="B370" s="11" t="s">
        <v>322</v>
      </c>
      <c r="C370" s="11">
        <v>2025112149</v>
      </c>
      <c r="D370" s="11"/>
      <c r="E370" s="11"/>
      <c r="F370" s="11">
        <v>5080</v>
      </c>
      <c r="G370" s="11" t="s">
        <v>201</v>
      </c>
      <c r="H370" s="11" t="s">
        <v>1429</v>
      </c>
      <c r="I370" s="11"/>
      <c r="J370" s="11"/>
      <c r="K370" s="11"/>
      <c r="L370" s="11"/>
      <c r="M370" s="12"/>
      <c r="N370" s="11"/>
      <c r="O370" s="12"/>
      <c r="P370" s="13"/>
      <c r="Q370" s="11" t="s">
        <v>1430</v>
      </c>
      <c r="R370" s="11" t="s">
        <v>326</v>
      </c>
      <c r="S370" s="11" t="s">
        <v>123</v>
      </c>
      <c r="T370" s="11">
        <v>1</v>
      </c>
      <c r="U370" s="11" t="s">
        <v>327</v>
      </c>
      <c r="V370" s="11" t="s">
        <v>2041</v>
      </c>
      <c r="W370" s="11" t="s">
        <v>2042</v>
      </c>
      <c r="X370" s="367">
        <v>45975.675000000003</v>
      </c>
      <c r="Y370" s="11"/>
      <c r="Z370" s="11">
        <v>0.3</v>
      </c>
      <c r="AA370" s="11"/>
      <c r="AB370" s="11" t="s">
        <v>330</v>
      </c>
      <c r="AC370" s="212" t="s">
        <v>102</v>
      </c>
      <c r="AD370" s="11"/>
      <c r="AE370" s="11"/>
      <c r="AF370" s="11"/>
      <c r="AG370" s="11"/>
      <c r="AH370" s="11"/>
      <c r="AI370" s="11"/>
      <c r="AJ370" s="11" t="s">
        <v>332</v>
      </c>
      <c r="AK370" s="11" t="s">
        <v>332</v>
      </c>
      <c r="AL370" s="213" t="e">
        <f t="shared" si="10"/>
        <v>#VALUE!</v>
      </c>
      <c r="AM370" s="211">
        <f t="shared" si="11"/>
        <v>45975</v>
      </c>
    </row>
    <row r="371" spans="1:39" ht="21.6" customHeight="1">
      <c r="A371" s="11">
        <v>92</v>
      </c>
      <c r="B371" s="11" t="s">
        <v>322</v>
      </c>
      <c r="C371" s="11">
        <v>2025112173</v>
      </c>
      <c r="D371" s="11"/>
      <c r="E371" s="11"/>
      <c r="F371" s="11">
        <v>4739</v>
      </c>
      <c r="G371" s="11" t="s">
        <v>2043</v>
      </c>
      <c r="H371" s="11" t="s">
        <v>567</v>
      </c>
      <c r="I371" s="11"/>
      <c r="J371" s="11"/>
      <c r="K371" s="11"/>
      <c r="L371" s="11"/>
      <c r="M371" s="12"/>
      <c r="N371" s="11"/>
      <c r="O371" s="12"/>
      <c r="P371" s="13"/>
      <c r="Q371" s="11" t="s">
        <v>2044</v>
      </c>
      <c r="R371" s="11" t="s">
        <v>326</v>
      </c>
      <c r="S371" s="11" t="s">
        <v>123</v>
      </c>
      <c r="T371" s="11">
        <v>1</v>
      </c>
      <c r="U371" s="11" t="s">
        <v>327</v>
      </c>
      <c r="V371" s="11" t="s">
        <v>2045</v>
      </c>
      <c r="W371" s="11" t="s">
        <v>2046</v>
      </c>
      <c r="X371" s="367">
        <v>45975.694444444453</v>
      </c>
      <c r="Y371" s="11"/>
      <c r="Z371" s="11">
        <v>0.3</v>
      </c>
      <c r="AA371" s="11"/>
      <c r="AB371" s="11" t="s">
        <v>330</v>
      </c>
      <c r="AC371" s="212" t="s">
        <v>331</v>
      </c>
      <c r="AD371" s="11" t="s">
        <v>332</v>
      </c>
      <c r="AE371" s="11"/>
      <c r="AF371" s="11"/>
      <c r="AG371" s="11"/>
      <c r="AH371" s="11"/>
      <c r="AI371" s="11"/>
      <c r="AJ371" s="11"/>
      <c r="AK371" s="11" t="s">
        <v>332</v>
      </c>
      <c r="AL371" s="213" t="e">
        <f t="shared" si="10"/>
        <v>#VALUE!</v>
      </c>
      <c r="AM371" s="211">
        <f t="shared" si="11"/>
        <v>45975</v>
      </c>
    </row>
    <row r="372" spans="1:39" ht="21.6" customHeight="1">
      <c r="A372" s="11">
        <v>93</v>
      </c>
      <c r="B372" s="11" t="s">
        <v>363</v>
      </c>
      <c r="C372" s="11">
        <v>2025112190</v>
      </c>
      <c r="D372" s="11" t="s">
        <v>2047</v>
      </c>
      <c r="E372" s="11" t="s">
        <v>365</v>
      </c>
      <c r="F372" s="11" t="s">
        <v>72</v>
      </c>
      <c r="G372" s="11" t="s">
        <v>2048</v>
      </c>
      <c r="H372" s="11" t="s">
        <v>358</v>
      </c>
      <c r="I372" s="11" t="s">
        <v>2049</v>
      </c>
      <c r="J372" s="11" t="s">
        <v>458</v>
      </c>
      <c r="K372" s="11" t="s">
        <v>384</v>
      </c>
      <c r="L372" s="11" t="s">
        <v>1007</v>
      </c>
      <c r="M372" s="12" t="s">
        <v>1008</v>
      </c>
      <c r="N372" s="11">
        <v>5805</v>
      </c>
      <c r="O372" s="12" t="s">
        <v>2050</v>
      </c>
      <c r="P372" s="13" t="s">
        <v>2051</v>
      </c>
      <c r="Q372" s="11" t="s">
        <v>2052</v>
      </c>
      <c r="R372" s="11" t="s">
        <v>326</v>
      </c>
      <c r="S372" s="11" t="s">
        <v>123</v>
      </c>
      <c r="T372" s="11">
        <v>1</v>
      </c>
      <c r="U372" s="11" t="s">
        <v>327</v>
      </c>
      <c r="V372" s="11" t="s">
        <v>2053</v>
      </c>
      <c r="W372" s="11" t="s">
        <v>2054</v>
      </c>
      <c r="X372" s="367">
        <v>45978.466666666667</v>
      </c>
      <c r="Y372" s="11" t="s">
        <v>2055</v>
      </c>
      <c r="Z372" s="11">
        <v>0.5</v>
      </c>
      <c r="AA372" s="11"/>
      <c r="AB372" s="11" t="s">
        <v>330</v>
      </c>
      <c r="AC372" s="212" t="s">
        <v>2056</v>
      </c>
      <c r="AD372" s="11"/>
      <c r="AE372" s="11"/>
      <c r="AF372" s="11"/>
      <c r="AG372" s="11"/>
      <c r="AH372" s="11"/>
      <c r="AI372" s="11"/>
      <c r="AJ372" s="11"/>
      <c r="AK372" s="11" t="s">
        <v>332</v>
      </c>
      <c r="AL372" s="213">
        <f t="shared" si="10"/>
        <v>45976</v>
      </c>
      <c r="AM372" s="211">
        <f t="shared" si="11"/>
        <v>45978</v>
      </c>
    </row>
    <row r="373" spans="1:39" ht="21.6" customHeight="1">
      <c r="A373" s="11">
        <v>94</v>
      </c>
      <c r="B373" s="11" t="s">
        <v>363</v>
      </c>
      <c r="C373" s="11">
        <v>2025112199</v>
      </c>
      <c r="D373" s="11" t="s">
        <v>2057</v>
      </c>
      <c r="E373" s="11" t="s">
        <v>365</v>
      </c>
      <c r="F373" s="11" t="s">
        <v>65</v>
      </c>
      <c r="G373" s="11" t="s">
        <v>797</v>
      </c>
      <c r="H373" s="11" t="s">
        <v>358</v>
      </c>
      <c r="I373" s="11" t="s">
        <v>2058</v>
      </c>
      <c r="J373" s="11" t="s">
        <v>483</v>
      </c>
      <c r="K373" s="11" t="s">
        <v>384</v>
      </c>
      <c r="L373" s="11" t="s">
        <v>398</v>
      </c>
      <c r="M373" s="12" t="s">
        <v>399</v>
      </c>
      <c r="N373" s="11" t="s">
        <v>400</v>
      </c>
      <c r="O373" s="12" t="s">
        <v>401</v>
      </c>
      <c r="P373" s="13" t="s">
        <v>2059</v>
      </c>
      <c r="Q373" s="11" t="s">
        <v>800</v>
      </c>
      <c r="R373" s="11" t="s">
        <v>326</v>
      </c>
      <c r="S373" s="11" t="s">
        <v>123</v>
      </c>
      <c r="T373" s="11">
        <v>1</v>
      </c>
      <c r="U373" s="11" t="s">
        <v>327</v>
      </c>
      <c r="V373" s="11" t="s">
        <v>2060</v>
      </c>
      <c r="W373" s="11" t="s">
        <v>2061</v>
      </c>
      <c r="X373" s="367">
        <v>45978.429861111108</v>
      </c>
      <c r="Y373" s="11" t="s">
        <v>2055</v>
      </c>
      <c r="Z373" s="11">
        <v>0.5</v>
      </c>
      <c r="AA373" s="11"/>
      <c r="AB373" s="11" t="s">
        <v>330</v>
      </c>
      <c r="AC373" s="212" t="s">
        <v>2062</v>
      </c>
      <c r="AD373" s="11"/>
      <c r="AE373" s="11"/>
      <c r="AF373" s="11"/>
      <c r="AG373" s="11"/>
      <c r="AH373" s="11"/>
      <c r="AI373" s="11"/>
      <c r="AJ373" s="11"/>
      <c r="AK373" s="11" t="s">
        <v>332</v>
      </c>
      <c r="AL373" s="213">
        <f t="shared" si="10"/>
        <v>45977</v>
      </c>
      <c r="AM373" s="211">
        <f t="shared" si="11"/>
        <v>45978</v>
      </c>
    </row>
    <row r="374" spans="1:39" ht="21.6" customHeight="1">
      <c r="A374" s="11">
        <v>95</v>
      </c>
      <c r="B374" s="11" t="s">
        <v>363</v>
      </c>
      <c r="C374" s="11">
        <v>2025112203</v>
      </c>
      <c r="D374" s="11" t="s">
        <v>2063</v>
      </c>
      <c r="E374" s="11" t="s">
        <v>365</v>
      </c>
      <c r="F374" s="11">
        <v>5197</v>
      </c>
      <c r="G374" s="11" t="s">
        <v>1782</v>
      </c>
      <c r="H374" s="11" t="s">
        <v>748</v>
      </c>
      <c r="I374" s="11" t="s">
        <v>2064</v>
      </c>
      <c r="J374" s="11" t="s">
        <v>483</v>
      </c>
      <c r="K374" s="11" t="s">
        <v>446</v>
      </c>
      <c r="L374" s="11" t="s">
        <v>1280</v>
      </c>
      <c r="M374" s="12" t="s">
        <v>1281</v>
      </c>
      <c r="N374" s="11">
        <v>6003</v>
      </c>
      <c r="O374" s="12" t="s">
        <v>401</v>
      </c>
      <c r="P374" s="13" t="s">
        <v>2065</v>
      </c>
      <c r="Q374" s="11" t="s">
        <v>1783</v>
      </c>
      <c r="R374" s="11" t="s">
        <v>326</v>
      </c>
      <c r="S374" s="11" t="s">
        <v>123</v>
      </c>
      <c r="T374" s="11">
        <v>1</v>
      </c>
      <c r="U374" s="11" t="s">
        <v>327</v>
      </c>
      <c r="V374" s="11" t="s">
        <v>2066</v>
      </c>
      <c r="W374" s="11" t="s">
        <v>2067</v>
      </c>
      <c r="X374" s="367">
        <v>45978.508333333331</v>
      </c>
      <c r="Y374" s="11" t="s">
        <v>2055</v>
      </c>
      <c r="Z374" s="11">
        <v>0.5</v>
      </c>
      <c r="AA374" s="11"/>
      <c r="AB374" s="11" t="s">
        <v>330</v>
      </c>
      <c r="AC374" s="212" t="s">
        <v>2068</v>
      </c>
      <c r="AD374" s="11"/>
      <c r="AE374" s="11"/>
      <c r="AF374" s="11"/>
      <c r="AG374" s="11"/>
      <c r="AH374" s="11"/>
      <c r="AI374" s="11"/>
      <c r="AJ374" s="11"/>
      <c r="AK374" s="11" t="s">
        <v>332</v>
      </c>
      <c r="AL374" s="213">
        <f t="shared" si="10"/>
        <v>45977</v>
      </c>
      <c r="AM374" s="211">
        <f t="shared" si="11"/>
        <v>45978</v>
      </c>
    </row>
    <row r="375" spans="1:39" ht="21.6" customHeight="1">
      <c r="A375" s="11">
        <v>96</v>
      </c>
      <c r="B375" s="11" t="s">
        <v>363</v>
      </c>
      <c r="C375" s="11">
        <v>2025112209</v>
      </c>
      <c r="D375" s="11" t="s">
        <v>2069</v>
      </c>
      <c r="E375" s="11" t="s">
        <v>365</v>
      </c>
      <c r="F375" s="11">
        <v>2069</v>
      </c>
      <c r="G375" s="11" t="s">
        <v>2070</v>
      </c>
      <c r="H375" s="11" t="s">
        <v>396</v>
      </c>
      <c r="I375" s="11" t="s">
        <v>2071</v>
      </c>
      <c r="J375" s="11" t="s">
        <v>492</v>
      </c>
      <c r="K375" s="11" t="s">
        <v>384</v>
      </c>
      <c r="L375" s="11" t="s">
        <v>558</v>
      </c>
      <c r="M375" s="12" t="s">
        <v>559</v>
      </c>
      <c r="N375" s="11">
        <v>2405</v>
      </c>
      <c r="O375" s="12" t="s">
        <v>560</v>
      </c>
      <c r="P375" s="13" t="s">
        <v>2072</v>
      </c>
      <c r="Q375" s="11" t="s">
        <v>2073</v>
      </c>
      <c r="R375" s="11" t="s">
        <v>326</v>
      </c>
      <c r="S375" s="11" t="s">
        <v>134</v>
      </c>
      <c r="T375" s="11">
        <v>1</v>
      </c>
      <c r="U375" s="11" t="s">
        <v>327</v>
      </c>
      <c r="V375" s="11" t="s">
        <v>2074</v>
      </c>
      <c r="W375" s="11" t="s">
        <v>2075</v>
      </c>
      <c r="X375" s="367">
        <v>45978.593055555553</v>
      </c>
      <c r="Y375" s="11" t="s">
        <v>2076</v>
      </c>
      <c r="Z375" s="11">
        <v>0.5</v>
      </c>
      <c r="AA375" s="11"/>
      <c r="AB375" s="11" t="s">
        <v>330</v>
      </c>
      <c r="AC375" s="212" t="s">
        <v>2077</v>
      </c>
      <c r="AD375" s="11"/>
      <c r="AE375" s="11"/>
      <c r="AF375" s="11"/>
      <c r="AG375" s="11"/>
      <c r="AH375" s="11"/>
      <c r="AI375" s="11"/>
      <c r="AJ375" s="11"/>
      <c r="AK375" s="11" t="s">
        <v>332</v>
      </c>
      <c r="AL375" s="213">
        <f t="shared" si="10"/>
        <v>45978</v>
      </c>
      <c r="AM375" s="211">
        <f t="shared" si="11"/>
        <v>45978</v>
      </c>
    </row>
    <row r="376" spans="1:39" ht="21.6" customHeight="1">
      <c r="A376" s="11">
        <v>97</v>
      </c>
      <c r="B376" s="11" t="s">
        <v>363</v>
      </c>
      <c r="C376" s="11">
        <v>2025112214</v>
      </c>
      <c r="D376" s="11" t="s">
        <v>2078</v>
      </c>
      <c r="E376" s="11" t="s">
        <v>475</v>
      </c>
      <c r="F376" s="11">
        <v>2069</v>
      </c>
      <c r="G376" s="11" t="s">
        <v>2070</v>
      </c>
      <c r="H376" s="11" t="s">
        <v>396</v>
      </c>
      <c r="I376" s="11" t="s">
        <v>2079</v>
      </c>
      <c r="J376" s="11" t="s">
        <v>492</v>
      </c>
      <c r="K376" s="11" t="s">
        <v>446</v>
      </c>
      <c r="L376" s="11" t="s">
        <v>558</v>
      </c>
      <c r="M376" s="12" t="s">
        <v>559</v>
      </c>
      <c r="N376" s="11">
        <v>2405</v>
      </c>
      <c r="O376" s="12" t="s">
        <v>560</v>
      </c>
      <c r="P376" s="13" t="s">
        <v>2080</v>
      </c>
      <c r="Q376" s="11" t="s">
        <v>2073</v>
      </c>
      <c r="R376" s="11" t="s">
        <v>326</v>
      </c>
      <c r="S376" s="11" t="s">
        <v>134</v>
      </c>
      <c r="T376" s="11">
        <v>1</v>
      </c>
      <c r="U376" s="11" t="s">
        <v>327</v>
      </c>
      <c r="V376" s="11" t="s">
        <v>2081</v>
      </c>
      <c r="W376" s="11" t="s">
        <v>2082</v>
      </c>
      <c r="X376" s="367">
        <v>45978.559027777781</v>
      </c>
      <c r="Y376" s="11" t="s">
        <v>2083</v>
      </c>
      <c r="Z376" s="11">
        <v>1.9</v>
      </c>
      <c r="AA376" s="11"/>
      <c r="AB376" s="11" t="s">
        <v>330</v>
      </c>
      <c r="AC376" s="212" t="s">
        <v>2084</v>
      </c>
      <c r="AD376" s="11"/>
      <c r="AE376" s="11"/>
      <c r="AF376" s="11"/>
      <c r="AG376" s="11"/>
      <c r="AH376" s="11"/>
      <c r="AI376" s="11"/>
      <c r="AJ376" s="11"/>
      <c r="AK376" s="11" t="s">
        <v>332</v>
      </c>
      <c r="AL376" s="213">
        <f t="shared" si="10"/>
        <v>45978</v>
      </c>
      <c r="AM376" s="211">
        <f t="shared" si="11"/>
        <v>45978</v>
      </c>
    </row>
    <row r="377" spans="1:39" ht="21.6" customHeight="1">
      <c r="A377" s="11">
        <v>98</v>
      </c>
      <c r="B377" s="11" t="s">
        <v>322</v>
      </c>
      <c r="C377" s="11">
        <v>2025112250</v>
      </c>
      <c r="D377" s="11"/>
      <c r="E377" s="11"/>
      <c r="F377" s="11">
        <v>3358</v>
      </c>
      <c r="G377" s="11" t="s">
        <v>990</v>
      </c>
      <c r="H377" s="11" t="s">
        <v>490</v>
      </c>
      <c r="I377" s="11"/>
      <c r="J377" s="11"/>
      <c r="K377" s="11"/>
      <c r="L377" s="11"/>
      <c r="M377" s="12"/>
      <c r="N377" s="11"/>
      <c r="O377" s="12"/>
      <c r="P377" s="13"/>
      <c r="Q377" s="11" t="s">
        <v>993</v>
      </c>
      <c r="R377" s="11" t="s">
        <v>326</v>
      </c>
      <c r="S377" s="11" t="s">
        <v>118</v>
      </c>
      <c r="T377" s="11">
        <v>1</v>
      </c>
      <c r="U377" s="11" t="s">
        <v>327</v>
      </c>
      <c r="V377" s="11" t="s">
        <v>2085</v>
      </c>
      <c r="W377" s="11" t="s">
        <v>2086</v>
      </c>
      <c r="X377" s="367">
        <v>45978.4375</v>
      </c>
      <c r="Y377" s="11"/>
      <c r="Z377" s="11">
        <v>0.5</v>
      </c>
      <c r="AA377" s="11"/>
      <c r="AB377" s="11" t="s">
        <v>330</v>
      </c>
      <c r="AC377" s="212" t="s">
        <v>331</v>
      </c>
      <c r="AD377" s="11" t="s">
        <v>332</v>
      </c>
      <c r="AE377" s="11"/>
      <c r="AF377" s="11"/>
      <c r="AG377" s="11"/>
      <c r="AH377" s="11"/>
      <c r="AI377" s="11"/>
      <c r="AJ377" s="11" t="s">
        <v>332</v>
      </c>
      <c r="AK377" s="11" t="s">
        <v>332</v>
      </c>
      <c r="AL377" s="213" t="e">
        <f t="shared" si="10"/>
        <v>#VALUE!</v>
      </c>
      <c r="AM377" s="211">
        <f t="shared" si="11"/>
        <v>45978</v>
      </c>
    </row>
    <row r="378" spans="1:39" ht="21.6" customHeight="1">
      <c r="A378" s="11">
        <v>99</v>
      </c>
      <c r="B378" s="11" t="s">
        <v>322</v>
      </c>
      <c r="C378" s="11">
        <v>2025112255</v>
      </c>
      <c r="D378" s="11"/>
      <c r="E378" s="11"/>
      <c r="F378" s="11">
        <v>3851</v>
      </c>
      <c r="G378" s="11" t="s">
        <v>2087</v>
      </c>
      <c r="H378" s="11" t="s">
        <v>490</v>
      </c>
      <c r="I378" s="11"/>
      <c r="J378" s="11"/>
      <c r="K378" s="11"/>
      <c r="L378" s="11"/>
      <c r="M378" s="12"/>
      <c r="N378" s="11"/>
      <c r="O378" s="12"/>
      <c r="P378" s="13"/>
      <c r="Q378" s="11" t="s">
        <v>2088</v>
      </c>
      <c r="R378" s="11" t="s">
        <v>326</v>
      </c>
      <c r="S378" s="11" t="s">
        <v>118</v>
      </c>
      <c r="T378" s="11">
        <v>1</v>
      </c>
      <c r="U378" s="11" t="s">
        <v>327</v>
      </c>
      <c r="V378" s="11" t="s">
        <v>2089</v>
      </c>
      <c r="W378" s="11" t="s">
        <v>2090</v>
      </c>
      <c r="X378" s="367">
        <v>45978.451388888891</v>
      </c>
      <c r="Y378" s="11"/>
      <c r="Z378" s="11">
        <v>0.3</v>
      </c>
      <c r="AA378" s="11"/>
      <c r="AB378" s="11" t="s">
        <v>330</v>
      </c>
      <c r="AC378" s="212" t="s">
        <v>331</v>
      </c>
      <c r="AD378" s="11" t="s">
        <v>332</v>
      </c>
      <c r="AE378" s="11"/>
      <c r="AF378" s="11"/>
      <c r="AG378" s="11"/>
      <c r="AH378" s="11"/>
      <c r="AI378" s="11"/>
      <c r="AJ378" s="11" t="s">
        <v>332</v>
      </c>
      <c r="AK378" s="11" t="s">
        <v>332</v>
      </c>
      <c r="AL378" s="213" t="e">
        <f t="shared" si="10"/>
        <v>#VALUE!</v>
      </c>
      <c r="AM378" s="211">
        <f t="shared" si="11"/>
        <v>45978</v>
      </c>
    </row>
    <row r="379" spans="1:39" ht="21.6" customHeight="1">
      <c r="A379" s="11">
        <v>100</v>
      </c>
      <c r="B379" s="11" t="s">
        <v>363</v>
      </c>
      <c r="C379" s="11">
        <v>2025112263</v>
      </c>
      <c r="D379" s="11" t="s">
        <v>2091</v>
      </c>
      <c r="E379" s="11" t="s">
        <v>365</v>
      </c>
      <c r="F379" s="11" t="s">
        <v>65</v>
      </c>
      <c r="G379" s="11" t="s">
        <v>797</v>
      </c>
      <c r="H379" s="11" t="s">
        <v>358</v>
      </c>
      <c r="I379" s="11" t="s">
        <v>2092</v>
      </c>
      <c r="J379" s="11" t="s">
        <v>492</v>
      </c>
      <c r="K379" s="11" t="s">
        <v>446</v>
      </c>
      <c r="L379" s="11" t="s">
        <v>1097</v>
      </c>
      <c r="M379" s="12" t="s">
        <v>1098</v>
      </c>
      <c r="N379" s="11" t="s">
        <v>1357</v>
      </c>
      <c r="O379" s="12" t="s">
        <v>1358</v>
      </c>
      <c r="P379" s="13" t="s">
        <v>2093</v>
      </c>
      <c r="Q379" s="11" t="s">
        <v>800</v>
      </c>
      <c r="R379" s="11" t="s">
        <v>326</v>
      </c>
      <c r="S379" s="11" t="s">
        <v>123</v>
      </c>
      <c r="T379" s="11">
        <v>1</v>
      </c>
      <c r="U379" s="11" t="s">
        <v>327</v>
      </c>
      <c r="V379" s="11" t="s">
        <v>2094</v>
      </c>
      <c r="W379" s="11" t="s">
        <v>2095</v>
      </c>
      <c r="X379" s="367">
        <v>45979.413194444453</v>
      </c>
      <c r="Y379" s="11" t="s">
        <v>2096</v>
      </c>
      <c r="Z379" s="11">
        <v>0.4</v>
      </c>
      <c r="AA379" s="11"/>
      <c r="AB379" s="11" t="s">
        <v>330</v>
      </c>
      <c r="AC379" s="212" t="s">
        <v>2097</v>
      </c>
      <c r="AD379" s="11"/>
      <c r="AE379" s="11"/>
      <c r="AF379" s="11"/>
      <c r="AG379" s="11"/>
      <c r="AH379" s="11"/>
      <c r="AI379" s="11"/>
      <c r="AJ379" s="11"/>
      <c r="AK379" s="11" t="s">
        <v>332</v>
      </c>
      <c r="AL379" s="213">
        <f t="shared" si="10"/>
        <v>45978</v>
      </c>
      <c r="AM379" s="211">
        <f t="shared" si="11"/>
        <v>45979</v>
      </c>
    </row>
    <row r="380" spans="1:39" ht="21.6" customHeight="1">
      <c r="A380" s="11">
        <v>101</v>
      </c>
      <c r="B380" s="11" t="s">
        <v>322</v>
      </c>
      <c r="C380" s="11">
        <v>2025112266</v>
      </c>
      <c r="D380" s="11"/>
      <c r="E380" s="11"/>
      <c r="F380" s="11" t="s">
        <v>72</v>
      </c>
      <c r="G380" s="11" t="s">
        <v>2048</v>
      </c>
      <c r="H380" s="11" t="s">
        <v>358</v>
      </c>
      <c r="I380" s="11"/>
      <c r="J380" s="11"/>
      <c r="K380" s="11"/>
      <c r="L380" s="11"/>
      <c r="M380" s="12"/>
      <c r="N380" s="11"/>
      <c r="O380" s="12"/>
      <c r="P380" s="13"/>
      <c r="Q380" s="11" t="s">
        <v>2052</v>
      </c>
      <c r="R380" s="11" t="s">
        <v>326</v>
      </c>
      <c r="S380" s="11" t="s">
        <v>123</v>
      </c>
      <c r="T380" s="11">
        <v>1</v>
      </c>
      <c r="U380" s="11" t="s">
        <v>327</v>
      </c>
      <c r="V380" s="11" t="s">
        <v>2098</v>
      </c>
      <c r="W380" s="11" t="s">
        <v>2099</v>
      </c>
      <c r="X380" s="367">
        <v>45978.470138888893</v>
      </c>
      <c r="Y380" s="11"/>
      <c r="Z380" s="11">
        <v>0.3</v>
      </c>
      <c r="AA380" s="11"/>
      <c r="AB380" s="11" t="s">
        <v>330</v>
      </c>
      <c r="AC380" s="212" t="s">
        <v>331</v>
      </c>
      <c r="AD380" s="11" t="s">
        <v>332</v>
      </c>
      <c r="AE380" s="11"/>
      <c r="AF380" s="11"/>
      <c r="AG380" s="11"/>
      <c r="AH380" s="11"/>
      <c r="AI380" s="11"/>
      <c r="AJ380" s="11"/>
      <c r="AK380" s="11" t="s">
        <v>332</v>
      </c>
      <c r="AL380" s="213" t="e">
        <f t="shared" si="10"/>
        <v>#VALUE!</v>
      </c>
      <c r="AM380" s="211">
        <f t="shared" si="11"/>
        <v>45978</v>
      </c>
    </row>
    <row r="381" spans="1:39" ht="21.6" customHeight="1">
      <c r="A381" s="11">
        <v>102</v>
      </c>
      <c r="B381" s="11" t="s">
        <v>322</v>
      </c>
      <c r="C381" s="11">
        <v>2025112291</v>
      </c>
      <c r="D381" s="11"/>
      <c r="E381" s="11"/>
      <c r="F381" s="11">
        <v>2069</v>
      </c>
      <c r="G381" s="11" t="s">
        <v>2070</v>
      </c>
      <c r="H381" s="11" t="s">
        <v>396</v>
      </c>
      <c r="I381" s="11"/>
      <c r="J381" s="11"/>
      <c r="K381" s="11"/>
      <c r="L381" s="11"/>
      <c r="M381" s="12"/>
      <c r="N381" s="11"/>
      <c r="O381" s="12"/>
      <c r="P381" s="13"/>
      <c r="Q381" s="11" t="s">
        <v>2073</v>
      </c>
      <c r="R381" s="11" t="s">
        <v>326</v>
      </c>
      <c r="S381" s="11" t="s">
        <v>134</v>
      </c>
      <c r="T381" s="11">
        <v>1</v>
      </c>
      <c r="U381" s="11" t="s">
        <v>327</v>
      </c>
      <c r="V381" s="11" t="s">
        <v>2100</v>
      </c>
      <c r="W381" s="11" t="s">
        <v>2082</v>
      </c>
      <c r="X381" s="367">
        <v>45978.555555555547</v>
      </c>
      <c r="Y381" s="11"/>
      <c r="Z381" s="11">
        <v>1.8</v>
      </c>
      <c r="AA381" s="11"/>
      <c r="AB381" s="11" t="s">
        <v>330</v>
      </c>
      <c r="AC381" s="212" t="s">
        <v>331</v>
      </c>
      <c r="AD381" s="11" t="s">
        <v>332</v>
      </c>
      <c r="AE381" s="11"/>
      <c r="AF381" s="11"/>
      <c r="AG381" s="11"/>
      <c r="AH381" s="11"/>
      <c r="AI381" s="11"/>
      <c r="AJ381" s="11"/>
      <c r="AK381" s="11" t="s">
        <v>332</v>
      </c>
      <c r="AL381" s="213" t="e">
        <f t="shared" si="10"/>
        <v>#VALUE!</v>
      </c>
      <c r="AM381" s="211">
        <f t="shared" si="11"/>
        <v>45978</v>
      </c>
    </row>
    <row r="382" spans="1:39" ht="21.6" customHeight="1">
      <c r="A382" s="11">
        <v>103</v>
      </c>
      <c r="B382" s="11" t="s">
        <v>322</v>
      </c>
      <c r="C382" s="11">
        <v>2025112303</v>
      </c>
      <c r="D382" s="11"/>
      <c r="E382" s="11"/>
      <c r="F382" s="11">
        <v>4196</v>
      </c>
      <c r="G382" s="11" t="s">
        <v>177</v>
      </c>
      <c r="H382" s="11" t="s">
        <v>358</v>
      </c>
      <c r="I382" s="11"/>
      <c r="J382" s="11"/>
      <c r="K382" s="11"/>
      <c r="L382" s="11"/>
      <c r="M382" s="12"/>
      <c r="N382" s="11"/>
      <c r="O382" s="12"/>
      <c r="P382" s="13"/>
      <c r="Q382" s="11" t="s">
        <v>916</v>
      </c>
      <c r="R382" s="11" t="s">
        <v>326</v>
      </c>
      <c r="S382" s="11" t="s">
        <v>123</v>
      </c>
      <c r="T382" s="11">
        <v>1</v>
      </c>
      <c r="U382" s="11" t="s">
        <v>327</v>
      </c>
      <c r="V382" s="11" t="s">
        <v>2101</v>
      </c>
      <c r="W382" s="11" t="s">
        <v>2102</v>
      </c>
      <c r="X382" s="367">
        <v>45978.634722222218</v>
      </c>
      <c r="Y382" s="11"/>
      <c r="Z382" s="11">
        <v>0.3</v>
      </c>
      <c r="AA382" s="11"/>
      <c r="AB382" s="11" t="s">
        <v>330</v>
      </c>
      <c r="AC382" s="212" t="s">
        <v>701</v>
      </c>
      <c r="AD382" s="11"/>
      <c r="AE382" s="11" t="s">
        <v>332</v>
      </c>
      <c r="AF382" s="11"/>
      <c r="AG382" s="11"/>
      <c r="AH382" s="11"/>
      <c r="AI382" s="11"/>
      <c r="AJ382" s="11"/>
      <c r="AK382" s="11" t="s">
        <v>332</v>
      </c>
      <c r="AL382" s="213" t="e">
        <f t="shared" si="10"/>
        <v>#VALUE!</v>
      </c>
      <c r="AM382" s="211">
        <f t="shared" si="11"/>
        <v>45978</v>
      </c>
    </row>
    <row r="383" spans="1:39" ht="21.6" customHeight="1">
      <c r="A383" s="11">
        <v>104</v>
      </c>
      <c r="B383" s="11" t="s">
        <v>322</v>
      </c>
      <c r="C383" s="11">
        <v>2025112331</v>
      </c>
      <c r="D383" s="11"/>
      <c r="E383" s="11"/>
      <c r="F383" s="11">
        <v>4196</v>
      </c>
      <c r="G383" s="11" t="s">
        <v>177</v>
      </c>
      <c r="H383" s="11" t="s">
        <v>358</v>
      </c>
      <c r="I383" s="11"/>
      <c r="J383" s="11"/>
      <c r="K383" s="11"/>
      <c r="L383" s="11"/>
      <c r="M383" s="12"/>
      <c r="N383" s="11"/>
      <c r="O383" s="12"/>
      <c r="P383" s="13"/>
      <c r="Q383" s="11" t="s">
        <v>916</v>
      </c>
      <c r="R383" s="11" t="s">
        <v>326</v>
      </c>
      <c r="S383" s="11" t="s">
        <v>118</v>
      </c>
      <c r="T383" s="11">
        <v>1</v>
      </c>
      <c r="U383" s="11" t="s">
        <v>327</v>
      </c>
      <c r="V383" s="11" t="s">
        <v>2103</v>
      </c>
      <c r="W383" s="11" t="s">
        <v>2104</v>
      </c>
      <c r="X383" s="367">
        <v>45978.645833333343</v>
      </c>
      <c r="Y383" s="11"/>
      <c r="Z383" s="11">
        <v>1</v>
      </c>
      <c r="AA383" s="11"/>
      <c r="AB383" s="11" t="s">
        <v>330</v>
      </c>
      <c r="AC383" s="212" t="s">
        <v>23</v>
      </c>
      <c r="AD383" s="11"/>
      <c r="AE383" s="11" t="s">
        <v>332</v>
      </c>
      <c r="AF383" s="11"/>
      <c r="AG383" s="11"/>
      <c r="AH383" s="11"/>
      <c r="AI383" s="11"/>
      <c r="AJ383" s="11"/>
      <c r="AK383" s="11" t="s">
        <v>332</v>
      </c>
      <c r="AL383" s="213" t="e">
        <f t="shared" si="10"/>
        <v>#VALUE!</v>
      </c>
      <c r="AM383" s="211">
        <f t="shared" si="11"/>
        <v>45978</v>
      </c>
    </row>
    <row r="384" spans="1:39" ht="21.6" customHeight="1">
      <c r="A384" s="11">
        <v>105</v>
      </c>
      <c r="B384" s="11" t="s">
        <v>322</v>
      </c>
      <c r="C384" s="11">
        <v>2025112332</v>
      </c>
      <c r="D384" s="11"/>
      <c r="E384" s="11"/>
      <c r="F384" s="11">
        <v>5496</v>
      </c>
      <c r="G384" s="11" t="s">
        <v>2028</v>
      </c>
      <c r="H384" s="11" t="s">
        <v>396</v>
      </c>
      <c r="I384" s="11"/>
      <c r="J384" s="11"/>
      <c r="K384" s="11"/>
      <c r="L384" s="11"/>
      <c r="M384" s="12"/>
      <c r="N384" s="11"/>
      <c r="O384" s="12"/>
      <c r="P384" s="13"/>
      <c r="Q384" s="11" t="s">
        <v>1871</v>
      </c>
      <c r="R384" s="11" t="s">
        <v>326</v>
      </c>
      <c r="S384" s="11" t="s">
        <v>118</v>
      </c>
      <c r="T384" s="11">
        <v>1</v>
      </c>
      <c r="U384" s="11" t="s">
        <v>327</v>
      </c>
      <c r="V384" s="11" t="s">
        <v>2105</v>
      </c>
      <c r="W384" s="11" t="s">
        <v>2106</v>
      </c>
      <c r="X384" s="367">
        <v>45978.6875</v>
      </c>
      <c r="Y384" s="11"/>
      <c r="Z384" s="11">
        <v>1</v>
      </c>
      <c r="AA384" s="11"/>
      <c r="AB384" s="11" t="s">
        <v>330</v>
      </c>
      <c r="AC384" s="212" t="s">
        <v>2107</v>
      </c>
      <c r="AD384" s="11"/>
      <c r="AE384" s="11"/>
      <c r="AF384" s="11"/>
      <c r="AG384" s="11"/>
      <c r="AH384" s="11"/>
      <c r="AI384" s="11"/>
      <c r="AJ384" s="11" t="s">
        <v>332</v>
      </c>
      <c r="AK384" s="11" t="s">
        <v>332</v>
      </c>
      <c r="AL384" s="213" t="e">
        <f t="shared" si="10"/>
        <v>#VALUE!</v>
      </c>
      <c r="AM384" s="211">
        <f t="shared" si="11"/>
        <v>45978</v>
      </c>
    </row>
    <row r="385" spans="1:39" ht="21.6" customHeight="1">
      <c r="A385" s="11">
        <v>106</v>
      </c>
      <c r="B385" s="11" t="s">
        <v>363</v>
      </c>
      <c r="C385" s="11">
        <v>2025112354</v>
      </c>
      <c r="D385" s="11" t="s">
        <v>2108</v>
      </c>
      <c r="E385" s="11" t="s">
        <v>365</v>
      </c>
      <c r="F385" s="11" t="s">
        <v>1252</v>
      </c>
      <c r="G385" s="11" t="s">
        <v>1253</v>
      </c>
      <c r="H385" s="11" t="s">
        <v>763</v>
      </c>
      <c r="I385" s="11" t="s">
        <v>2109</v>
      </c>
      <c r="J385" s="11" t="s">
        <v>492</v>
      </c>
      <c r="K385" s="11" t="s">
        <v>200</v>
      </c>
      <c r="L385" s="11" t="s">
        <v>864</v>
      </c>
      <c r="M385" s="12" t="s">
        <v>865</v>
      </c>
      <c r="N385" s="11">
        <v>2702</v>
      </c>
      <c r="O385" s="12" t="s">
        <v>1255</v>
      </c>
      <c r="P385" s="13" t="s">
        <v>2110</v>
      </c>
      <c r="Q385" s="11" t="s">
        <v>1257</v>
      </c>
      <c r="R385" s="11" t="s">
        <v>326</v>
      </c>
      <c r="S385" s="11" t="s">
        <v>118</v>
      </c>
      <c r="T385" s="11">
        <v>1</v>
      </c>
      <c r="U385" s="11" t="s">
        <v>327</v>
      </c>
      <c r="V385" s="11" t="s">
        <v>2111</v>
      </c>
      <c r="W385" s="11" t="s">
        <v>2055</v>
      </c>
      <c r="X385" s="367">
        <v>45979.645833333343</v>
      </c>
      <c r="Y385" s="11" t="s">
        <v>2112</v>
      </c>
      <c r="Z385" s="11">
        <v>2.5</v>
      </c>
      <c r="AA385" s="11"/>
      <c r="AB385" s="11" t="s">
        <v>330</v>
      </c>
      <c r="AC385" s="212" t="s">
        <v>2113</v>
      </c>
      <c r="AD385" s="11"/>
      <c r="AE385" s="11"/>
      <c r="AF385" s="11"/>
      <c r="AG385" s="11"/>
      <c r="AH385" s="11"/>
      <c r="AI385" s="11"/>
      <c r="AJ385" s="11"/>
      <c r="AK385" s="11" t="s">
        <v>332</v>
      </c>
      <c r="AL385" s="213">
        <f t="shared" si="10"/>
        <v>45978</v>
      </c>
      <c r="AM385" s="211">
        <f t="shared" si="11"/>
        <v>45979</v>
      </c>
    </row>
    <row r="386" spans="1:39" ht="21.6" customHeight="1">
      <c r="A386" s="11">
        <v>107</v>
      </c>
      <c r="B386" s="11" t="s">
        <v>363</v>
      </c>
      <c r="C386" s="11">
        <v>2025112431</v>
      </c>
      <c r="D386" s="11" t="s">
        <v>2114</v>
      </c>
      <c r="E386" s="11" t="s">
        <v>365</v>
      </c>
      <c r="F386" s="11" t="s">
        <v>76</v>
      </c>
      <c r="G386" s="11" t="s">
        <v>2115</v>
      </c>
      <c r="H386" s="11" t="s">
        <v>748</v>
      </c>
      <c r="I386" s="11" t="s">
        <v>2116</v>
      </c>
      <c r="J386" s="11" t="s">
        <v>368</v>
      </c>
      <c r="K386" s="11" t="s">
        <v>200</v>
      </c>
      <c r="L386" s="11" t="s">
        <v>1280</v>
      </c>
      <c r="M386" s="12" t="s">
        <v>1281</v>
      </c>
      <c r="N386" s="11">
        <v>6004</v>
      </c>
      <c r="O386" s="12" t="s">
        <v>425</v>
      </c>
      <c r="P386" s="13" t="s">
        <v>2117</v>
      </c>
      <c r="Q386" s="11" t="s">
        <v>2118</v>
      </c>
      <c r="R386" s="11" t="s">
        <v>326</v>
      </c>
      <c r="S386" s="11" t="s">
        <v>123</v>
      </c>
      <c r="T386" s="11">
        <v>1</v>
      </c>
      <c r="U386" s="11" t="s">
        <v>327</v>
      </c>
      <c r="V386" s="11" t="s">
        <v>2119</v>
      </c>
      <c r="W386" s="11" t="s">
        <v>2120</v>
      </c>
      <c r="X386" s="367">
        <v>45979.732638888891</v>
      </c>
      <c r="Y386" s="11" t="s">
        <v>2121</v>
      </c>
      <c r="Z386" s="11">
        <v>0.5</v>
      </c>
      <c r="AA386" s="11"/>
      <c r="AB386" s="11" t="s">
        <v>330</v>
      </c>
      <c r="AC386" s="212" t="s">
        <v>2122</v>
      </c>
      <c r="AD386" s="11"/>
      <c r="AE386" s="11"/>
      <c r="AF386" s="11"/>
      <c r="AG386" s="11"/>
      <c r="AH386" s="11"/>
      <c r="AI386" s="11"/>
      <c r="AJ386" s="11"/>
      <c r="AK386" s="11" t="s">
        <v>332</v>
      </c>
      <c r="AL386" s="213">
        <f t="shared" ref="AL386:AL449" si="12">DATEVALUE(TEXT(I386, "yyyy/mm/dd"))</f>
        <v>45979</v>
      </c>
      <c r="AM386" s="211">
        <f t="shared" ref="AM386:AM449" si="13">DATEVALUE(TEXT(X386, "yyyy/mm/dd"))</f>
        <v>45979</v>
      </c>
    </row>
    <row r="387" spans="1:39" ht="21.6" customHeight="1">
      <c r="A387" s="11">
        <v>108</v>
      </c>
      <c r="B387" s="11" t="s">
        <v>363</v>
      </c>
      <c r="C387" s="11">
        <v>2025112573</v>
      </c>
      <c r="D387" s="11" t="s">
        <v>2123</v>
      </c>
      <c r="E387" s="11" t="s">
        <v>365</v>
      </c>
      <c r="F387" s="11">
        <v>4917</v>
      </c>
      <c r="G387" s="11" t="s">
        <v>187</v>
      </c>
      <c r="H387" s="11" t="s">
        <v>396</v>
      </c>
      <c r="I387" s="11" t="s">
        <v>2124</v>
      </c>
      <c r="J387" s="11" t="s">
        <v>383</v>
      </c>
      <c r="K387" s="11" t="s">
        <v>446</v>
      </c>
      <c r="L387" s="11" t="s">
        <v>459</v>
      </c>
      <c r="M387" s="12" t="s">
        <v>460</v>
      </c>
      <c r="N387" s="11" t="s">
        <v>2125</v>
      </c>
      <c r="O387" s="12" t="s">
        <v>401</v>
      </c>
      <c r="P387" s="13" t="s">
        <v>2126</v>
      </c>
      <c r="Q387" s="11" t="s">
        <v>2127</v>
      </c>
      <c r="R387" s="11" t="s">
        <v>326</v>
      </c>
      <c r="S387" s="11" t="s">
        <v>134</v>
      </c>
      <c r="T387" s="11">
        <v>1</v>
      </c>
      <c r="U387" s="11" t="s">
        <v>327</v>
      </c>
      <c r="V387" s="11" t="s">
        <v>2128</v>
      </c>
      <c r="W387" s="11" t="s">
        <v>2129</v>
      </c>
      <c r="X387" s="367">
        <v>45981.53125</v>
      </c>
      <c r="Y387" s="11" t="s">
        <v>2130</v>
      </c>
      <c r="Z387" s="11">
        <v>0.8</v>
      </c>
      <c r="AA387" s="11"/>
      <c r="AB387" s="11" t="s">
        <v>330</v>
      </c>
      <c r="AC387" s="212" t="s">
        <v>2131</v>
      </c>
      <c r="AD387" s="11"/>
      <c r="AE387" s="11"/>
      <c r="AF387" s="11"/>
      <c r="AG387" s="11"/>
      <c r="AH387" s="11"/>
      <c r="AI387" s="11"/>
      <c r="AJ387" s="11"/>
      <c r="AK387" s="11" t="s">
        <v>332</v>
      </c>
      <c r="AL387" s="213">
        <f t="shared" si="12"/>
        <v>45980</v>
      </c>
      <c r="AM387" s="211">
        <f t="shared" si="13"/>
        <v>45981</v>
      </c>
    </row>
    <row r="388" spans="1:39" ht="21.6" customHeight="1">
      <c r="A388" s="11">
        <v>109</v>
      </c>
      <c r="B388" s="11" t="s">
        <v>322</v>
      </c>
      <c r="C388" s="11">
        <v>2025112601</v>
      </c>
      <c r="D388" s="11"/>
      <c r="E388" s="11"/>
      <c r="F388" s="11">
        <v>5428</v>
      </c>
      <c r="G388" s="11" t="s">
        <v>188</v>
      </c>
      <c r="H388" s="11" t="s">
        <v>358</v>
      </c>
      <c r="I388" s="11"/>
      <c r="J388" s="11"/>
      <c r="K388" s="11"/>
      <c r="L388" s="11"/>
      <c r="M388" s="12"/>
      <c r="N388" s="11"/>
      <c r="O388" s="12"/>
      <c r="P388" s="13"/>
      <c r="Q388" s="11" t="s">
        <v>634</v>
      </c>
      <c r="R388" s="11" t="s">
        <v>326</v>
      </c>
      <c r="S388" s="11" t="s">
        <v>123</v>
      </c>
      <c r="T388" s="11">
        <v>1</v>
      </c>
      <c r="U388" s="11" t="s">
        <v>327</v>
      </c>
      <c r="V388" s="11" t="s">
        <v>2132</v>
      </c>
      <c r="W388" s="11" t="s">
        <v>2133</v>
      </c>
      <c r="X388" s="367">
        <v>45980.590277777781</v>
      </c>
      <c r="Y388" s="11"/>
      <c r="Z388" s="11">
        <v>3.2</v>
      </c>
      <c r="AA388" s="11"/>
      <c r="AB388" s="11" t="s">
        <v>330</v>
      </c>
      <c r="AC388" s="212" t="s">
        <v>2134</v>
      </c>
      <c r="AD388" s="11"/>
      <c r="AE388" s="11" t="s">
        <v>332</v>
      </c>
      <c r="AF388" s="11"/>
      <c r="AG388" s="11"/>
      <c r="AH388" s="11"/>
      <c r="AI388" s="11"/>
      <c r="AJ388" s="11"/>
      <c r="AK388" s="11" t="s">
        <v>332</v>
      </c>
      <c r="AL388" s="213" t="e">
        <f t="shared" si="12"/>
        <v>#VALUE!</v>
      </c>
      <c r="AM388" s="211">
        <f t="shared" si="13"/>
        <v>45980</v>
      </c>
    </row>
    <row r="389" spans="1:39" ht="21.6" customHeight="1">
      <c r="A389" s="11">
        <v>110</v>
      </c>
      <c r="B389" s="11" t="s">
        <v>363</v>
      </c>
      <c r="C389" s="11">
        <v>2025112607</v>
      </c>
      <c r="D389" s="11" t="s">
        <v>2135</v>
      </c>
      <c r="E389" s="11" t="s">
        <v>365</v>
      </c>
      <c r="F389" s="11">
        <v>4098</v>
      </c>
      <c r="G389" s="11" t="s">
        <v>2136</v>
      </c>
      <c r="H389" s="11" t="s">
        <v>358</v>
      </c>
      <c r="I389" s="11" t="s">
        <v>2137</v>
      </c>
      <c r="J389" s="11" t="s">
        <v>383</v>
      </c>
      <c r="K389" s="11" t="s">
        <v>200</v>
      </c>
      <c r="L389" s="11" t="s">
        <v>558</v>
      </c>
      <c r="M389" s="12" t="s">
        <v>559</v>
      </c>
      <c r="N389" s="11">
        <v>2405</v>
      </c>
      <c r="O389" s="12" t="s">
        <v>560</v>
      </c>
      <c r="P389" s="13" t="s">
        <v>2138</v>
      </c>
      <c r="Q389" s="11" t="s">
        <v>2139</v>
      </c>
      <c r="R389" s="11" t="s">
        <v>326</v>
      </c>
      <c r="S389" s="11" t="s">
        <v>123</v>
      </c>
      <c r="T389" s="11">
        <v>1</v>
      </c>
      <c r="U389" s="11" t="s">
        <v>327</v>
      </c>
      <c r="V389" s="11" t="s">
        <v>2140</v>
      </c>
      <c r="W389" s="11" t="s">
        <v>2141</v>
      </c>
      <c r="X389" s="367">
        <v>45981.520833333343</v>
      </c>
      <c r="Y389" s="11" t="s">
        <v>2142</v>
      </c>
      <c r="Z389" s="11">
        <v>2</v>
      </c>
      <c r="AA389" s="11"/>
      <c r="AB389" s="11" t="s">
        <v>330</v>
      </c>
      <c r="AC389" s="212" t="s">
        <v>1917</v>
      </c>
      <c r="AD389" s="11"/>
      <c r="AE389" s="11"/>
      <c r="AF389" s="11"/>
      <c r="AG389" s="11"/>
      <c r="AH389" s="11"/>
      <c r="AI389" s="11"/>
      <c r="AJ389" s="11"/>
      <c r="AK389" s="11" t="s">
        <v>332</v>
      </c>
      <c r="AL389" s="213">
        <f t="shared" si="12"/>
        <v>45980</v>
      </c>
      <c r="AM389" s="211">
        <f t="shared" si="13"/>
        <v>45981</v>
      </c>
    </row>
    <row r="390" spans="1:39" ht="21.6" customHeight="1">
      <c r="A390" s="11">
        <v>111</v>
      </c>
      <c r="B390" s="11" t="s">
        <v>322</v>
      </c>
      <c r="C390" s="11">
        <v>2025112619</v>
      </c>
      <c r="D390" s="11"/>
      <c r="E390" s="11"/>
      <c r="F390" s="11">
        <v>4167</v>
      </c>
      <c r="G390" s="11" t="s">
        <v>2143</v>
      </c>
      <c r="H390" s="11" t="s">
        <v>396</v>
      </c>
      <c r="I390" s="11"/>
      <c r="J390" s="11"/>
      <c r="K390" s="11"/>
      <c r="L390" s="11"/>
      <c r="M390" s="12"/>
      <c r="N390" s="11"/>
      <c r="O390" s="12"/>
      <c r="P390" s="13"/>
      <c r="Q390" s="11" t="s">
        <v>2144</v>
      </c>
      <c r="R390" s="11" t="s">
        <v>326</v>
      </c>
      <c r="S390" s="11" t="s">
        <v>134</v>
      </c>
      <c r="T390" s="11">
        <v>1</v>
      </c>
      <c r="U390" s="11" t="s">
        <v>327</v>
      </c>
      <c r="V390" s="11" t="s">
        <v>2145</v>
      </c>
      <c r="W390" s="11" t="s">
        <v>2146</v>
      </c>
      <c r="X390" s="367">
        <v>45980.648611111108</v>
      </c>
      <c r="Y390" s="11"/>
      <c r="Z390" s="11">
        <v>0.3</v>
      </c>
      <c r="AA390" s="11"/>
      <c r="AB390" s="11" t="s">
        <v>330</v>
      </c>
      <c r="AC390" s="212" t="s">
        <v>2147</v>
      </c>
      <c r="AD390" s="11"/>
      <c r="AE390" s="11" t="s">
        <v>332</v>
      </c>
      <c r="AF390" s="11"/>
      <c r="AG390" s="11"/>
      <c r="AH390" s="11"/>
      <c r="AI390" s="11"/>
      <c r="AJ390" s="11"/>
      <c r="AK390" s="11" t="s">
        <v>332</v>
      </c>
      <c r="AL390" s="213" t="e">
        <f t="shared" si="12"/>
        <v>#VALUE!</v>
      </c>
      <c r="AM390" s="211">
        <f t="shared" si="13"/>
        <v>45980</v>
      </c>
    </row>
    <row r="391" spans="1:39" ht="21.6" customHeight="1">
      <c r="A391" s="11">
        <v>112</v>
      </c>
      <c r="B391" s="11" t="s">
        <v>363</v>
      </c>
      <c r="C391" s="11">
        <v>2025112647</v>
      </c>
      <c r="D391" s="11" t="s">
        <v>2148</v>
      </c>
      <c r="E391" s="11" t="s">
        <v>365</v>
      </c>
      <c r="F391" s="11">
        <v>4388</v>
      </c>
      <c r="G391" s="11" t="s">
        <v>1242</v>
      </c>
      <c r="H391" s="11" t="s">
        <v>358</v>
      </c>
      <c r="I391" s="11" t="s">
        <v>2149</v>
      </c>
      <c r="J391" s="11" t="s">
        <v>383</v>
      </c>
      <c r="K391" s="11" t="s">
        <v>903</v>
      </c>
      <c r="L391" s="11" t="s">
        <v>447</v>
      </c>
      <c r="M391" s="12" t="s">
        <v>448</v>
      </c>
      <c r="N391" s="11" t="s">
        <v>449</v>
      </c>
      <c r="O391" s="12" t="s">
        <v>450</v>
      </c>
      <c r="P391" s="13" t="s">
        <v>2150</v>
      </c>
      <c r="Q391" s="11" t="s">
        <v>1243</v>
      </c>
      <c r="R391" s="11" t="s">
        <v>326</v>
      </c>
      <c r="S391" s="11" t="s">
        <v>123</v>
      </c>
      <c r="T391" s="11">
        <v>1</v>
      </c>
      <c r="U391" s="11" t="s">
        <v>327</v>
      </c>
      <c r="V391" s="11" t="s">
        <v>2151</v>
      </c>
      <c r="W391" s="11" t="s">
        <v>2152</v>
      </c>
      <c r="X391" s="367">
        <v>45981.620138888888</v>
      </c>
      <c r="Y391" s="11" t="s">
        <v>2153</v>
      </c>
      <c r="Z391" s="11">
        <v>0.5</v>
      </c>
      <c r="AA391" s="11"/>
      <c r="AB391" s="11" t="s">
        <v>330</v>
      </c>
      <c r="AC391" s="212" t="s">
        <v>2154</v>
      </c>
      <c r="AD391" s="11"/>
      <c r="AE391" s="11"/>
      <c r="AF391" s="11"/>
      <c r="AG391" s="11"/>
      <c r="AH391" s="11"/>
      <c r="AI391" s="11"/>
      <c r="AJ391" s="11"/>
      <c r="AK391" s="11" t="s">
        <v>332</v>
      </c>
      <c r="AL391" s="213">
        <f t="shared" si="12"/>
        <v>45980</v>
      </c>
      <c r="AM391" s="211">
        <f t="shared" si="13"/>
        <v>45981</v>
      </c>
    </row>
    <row r="392" spans="1:39" ht="21.6" customHeight="1">
      <c r="A392" s="11">
        <v>113</v>
      </c>
      <c r="B392" s="11" t="s">
        <v>322</v>
      </c>
      <c r="C392" s="11">
        <v>2025112704</v>
      </c>
      <c r="D392" s="11"/>
      <c r="E392" s="11"/>
      <c r="F392" s="11">
        <v>4917</v>
      </c>
      <c r="G392" s="11" t="s">
        <v>187</v>
      </c>
      <c r="H392" s="11" t="s">
        <v>396</v>
      </c>
      <c r="I392" s="11"/>
      <c r="J392" s="11"/>
      <c r="K392" s="11"/>
      <c r="L392" s="11"/>
      <c r="M392" s="12"/>
      <c r="N392" s="11"/>
      <c r="O392" s="12"/>
      <c r="P392" s="13"/>
      <c r="Q392" s="11" t="s">
        <v>2127</v>
      </c>
      <c r="R392" s="11" t="s">
        <v>326</v>
      </c>
      <c r="S392" s="11" t="s">
        <v>134</v>
      </c>
      <c r="T392" s="11">
        <v>1</v>
      </c>
      <c r="U392" s="11" t="s">
        <v>327</v>
      </c>
      <c r="V392" s="11" t="s">
        <v>2155</v>
      </c>
      <c r="W392" s="11" t="s">
        <v>2129</v>
      </c>
      <c r="X392" s="367">
        <v>45981.53125</v>
      </c>
      <c r="Y392" s="11"/>
      <c r="Z392" s="11">
        <v>0.8</v>
      </c>
      <c r="AA392" s="11"/>
      <c r="AB392" s="11" t="s">
        <v>330</v>
      </c>
      <c r="AC392" s="212" t="s">
        <v>331</v>
      </c>
      <c r="AD392" s="11" t="s">
        <v>332</v>
      </c>
      <c r="AE392" s="11"/>
      <c r="AF392" s="11"/>
      <c r="AG392" s="11"/>
      <c r="AH392" s="11"/>
      <c r="AI392" s="11"/>
      <c r="AJ392" s="11"/>
      <c r="AK392" s="11" t="s">
        <v>332</v>
      </c>
      <c r="AL392" s="213" t="e">
        <f t="shared" si="12"/>
        <v>#VALUE!</v>
      </c>
      <c r="AM392" s="211">
        <f t="shared" si="13"/>
        <v>45981</v>
      </c>
    </row>
    <row r="393" spans="1:39" ht="21.6" customHeight="1">
      <c r="A393" s="11">
        <v>114</v>
      </c>
      <c r="B393" s="11" t="s">
        <v>322</v>
      </c>
      <c r="C393" s="11">
        <v>2025112707</v>
      </c>
      <c r="D393" s="11"/>
      <c r="E393" s="11"/>
      <c r="F393" s="11">
        <v>4098</v>
      </c>
      <c r="G393" s="11" t="s">
        <v>2136</v>
      </c>
      <c r="H393" s="11" t="s">
        <v>358</v>
      </c>
      <c r="I393" s="11"/>
      <c r="J393" s="11"/>
      <c r="K393" s="11"/>
      <c r="L393" s="11"/>
      <c r="M393" s="12"/>
      <c r="N393" s="11"/>
      <c r="O393" s="12"/>
      <c r="P393" s="13"/>
      <c r="Q393" s="11" t="s">
        <v>2139</v>
      </c>
      <c r="R393" s="11" t="s">
        <v>326</v>
      </c>
      <c r="S393" s="11" t="s">
        <v>123</v>
      </c>
      <c r="T393" s="11">
        <v>1</v>
      </c>
      <c r="U393" s="11" t="s">
        <v>327</v>
      </c>
      <c r="V393" s="11" t="s">
        <v>2156</v>
      </c>
      <c r="W393" s="11" t="s">
        <v>2157</v>
      </c>
      <c r="X393" s="367">
        <v>45981.548611111109</v>
      </c>
      <c r="Y393" s="11"/>
      <c r="Z393" s="11">
        <v>0.5</v>
      </c>
      <c r="AA393" s="11"/>
      <c r="AB393" s="11" t="s">
        <v>330</v>
      </c>
      <c r="AC393" s="212" t="s">
        <v>331</v>
      </c>
      <c r="AD393" s="11" t="s">
        <v>332</v>
      </c>
      <c r="AE393" s="11"/>
      <c r="AF393" s="11"/>
      <c r="AG393" s="11"/>
      <c r="AH393" s="11"/>
      <c r="AI393" s="11"/>
      <c r="AJ393" s="11"/>
      <c r="AK393" s="11" t="s">
        <v>332</v>
      </c>
      <c r="AL393" s="213" t="e">
        <f t="shared" si="12"/>
        <v>#VALUE!</v>
      </c>
      <c r="AM393" s="211">
        <f t="shared" si="13"/>
        <v>45981</v>
      </c>
    </row>
    <row r="394" spans="1:39" ht="21.6" customHeight="1">
      <c r="A394" s="11">
        <v>115</v>
      </c>
      <c r="B394" s="11" t="s">
        <v>322</v>
      </c>
      <c r="C394" s="11">
        <v>2025112727</v>
      </c>
      <c r="D394" s="11"/>
      <c r="E394" s="11"/>
      <c r="F394" s="11">
        <v>4388</v>
      </c>
      <c r="G394" s="11" t="s">
        <v>1242</v>
      </c>
      <c r="H394" s="11" t="s">
        <v>358</v>
      </c>
      <c r="I394" s="11"/>
      <c r="J394" s="11"/>
      <c r="K394" s="11"/>
      <c r="L394" s="11"/>
      <c r="M394" s="12"/>
      <c r="N394" s="11"/>
      <c r="O394" s="12"/>
      <c r="P394" s="13"/>
      <c r="Q394" s="11" t="s">
        <v>1243</v>
      </c>
      <c r="R394" s="11" t="s">
        <v>326</v>
      </c>
      <c r="S394" s="11" t="s">
        <v>123</v>
      </c>
      <c r="T394" s="11">
        <v>1</v>
      </c>
      <c r="U394" s="11" t="s">
        <v>327</v>
      </c>
      <c r="V394" s="11" t="s">
        <v>2158</v>
      </c>
      <c r="W394" s="11" t="s">
        <v>2159</v>
      </c>
      <c r="X394" s="367">
        <v>45981.59375</v>
      </c>
      <c r="Y394" s="11"/>
      <c r="Z394" s="11">
        <v>0.2</v>
      </c>
      <c r="AA394" s="11"/>
      <c r="AB394" s="11" t="s">
        <v>330</v>
      </c>
      <c r="AC394" s="212" t="s">
        <v>102</v>
      </c>
      <c r="AD394" s="11"/>
      <c r="AE394" s="11"/>
      <c r="AF394" s="11"/>
      <c r="AG394" s="11"/>
      <c r="AH394" s="11"/>
      <c r="AI394" s="11"/>
      <c r="AJ394" s="11" t="s">
        <v>332</v>
      </c>
      <c r="AK394" s="11" t="s">
        <v>332</v>
      </c>
      <c r="AL394" s="213" t="e">
        <f t="shared" si="12"/>
        <v>#VALUE!</v>
      </c>
      <c r="AM394" s="211">
        <f t="shared" si="13"/>
        <v>45981</v>
      </c>
    </row>
    <row r="395" spans="1:39" ht="21.6" customHeight="1">
      <c r="A395" s="11">
        <v>116</v>
      </c>
      <c r="B395" s="11" t="s">
        <v>363</v>
      </c>
      <c r="C395" s="11">
        <v>2025112845</v>
      </c>
      <c r="D395" s="11" t="s">
        <v>2160</v>
      </c>
      <c r="E395" s="11" t="s">
        <v>365</v>
      </c>
      <c r="F395" s="11">
        <v>3227</v>
      </c>
      <c r="G395" s="11" t="s">
        <v>958</v>
      </c>
      <c r="H395" s="11" t="s">
        <v>763</v>
      </c>
      <c r="I395" s="11" t="s">
        <v>2161</v>
      </c>
      <c r="J395" s="11" t="s">
        <v>445</v>
      </c>
      <c r="K395" s="11" t="s">
        <v>446</v>
      </c>
      <c r="L395" s="11" t="s">
        <v>493</v>
      </c>
      <c r="M395" s="12" t="s">
        <v>494</v>
      </c>
      <c r="N395" s="11">
        <v>2501</v>
      </c>
      <c r="O395" s="12" t="s">
        <v>495</v>
      </c>
      <c r="P395" s="13" t="s">
        <v>2162</v>
      </c>
      <c r="Q395" s="11" t="s">
        <v>961</v>
      </c>
      <c r="R395" s="11" t="s">
        <v>326</v>
      </c>
      <c r="S395" s="11" t="s">
        <v>118</v>
      </c>
      <c r="T395" s="11">
        <v>1</v>
      </c>
      <c r="U395" s="11" t="s">
        <v>327</v>
      </c>
      <c r="V395" s="11" t="s">
        <v>2163</v>
      </c>
      <c r="W395" s="11" t="s">
        <v>2164</v>
      </c>
      <c r="X395" s="367">
        <v>45982.427083333343</v>
      </c>
      <c r="Y395" s="11" t="s">
        <v>2165</v>
      </c>
      <c r="Z395" s="11">
        <v>0.5</v>
      </c>
      <c r="AA395" s="11"/>
      <c r="AB395" s="11" t="s">
        <v>1048</v>
      </c>
      <c r="AC395" s="212" t="s">
        <v>2166</v>
      </c>
      <c r="AD395" s="11"/>
      <c r="AE395" s="11"/>
      <c r="AF395" s="11"/>
      <c r="AG395" s="11"/>
      <c r="AH395" s="11"/>
      <c r="AI395" s="11"/>
      <c r="AJ395" s="11"/>
      <c r="AK395" s="11" t="s">
        <v>332</v>
      </c>
      <c r="AL395" s="213">
        <f t="shared" si="12"/>
        <v>45982</v>
      </c>
      <c r="AM395" s="211">
        <f t="shared" si="13"/>
        <v>45982</v>
      </c>
    </row>
    <row r="396" spans="1:39" ht="21.6" customHeight="1">
      <c r="A396" s="11">
        <v>117</v>
      </c>
      <c r="B396" s="11" t="s">
        <v>363</v>
      </c>
      <c r="C396" s="11">
        <v>2025112846</v>
      </c>
      <c r="D396" s="11" t="s">
        <v>2167</v>
      </c>
      <c r="E396" s="11" t="s">
        <v>475</v>
      </c>
      <c r="F396" s="11">
        <v>4098</v>
      </c>
      <c r="G396" s="11" t="s">
        <v>2136</v>
      </c>
      <c r="H396" s="11" t="s">
        <v>358</v>
      </c>
      <c r="I396" s="11" t="s">
        <v>2168</v>
      </c>
      <c r="J396" s="11" t="s">
        <v>445</v>
      </c>
      <c r="K396" s="11" t="s">
        <v>446</v>
      </c>
      <c r="L396" s="11" t="s">
        <v>558</v>
      </c>
      <c r="M396" s="12" t="s">
        <v>559</v>
      </c>
      <c r="N396" s="11">
        <v>2401</v>
      </c>
      <c r="O396" s="12" t="s">
        <v>712</v>
      </c>
      <c r="P396" s="13" t="s">
        <v>2169</v>
      </c>
      <c r="Q396" s="11" t="s">
        <v>2139</v>
      </c>
      <c r="R396" s="11" t="s">
        <v>326</v>
      </c>
      <c r="S396" s="11" t="s">
        <v>118</v>
      </c>
      <c r="T396" s="11">
        <v>1</v>
      </c>
      <c r="U396" s="11" t="s">
        <v>327</v>
      </c>
      <c r="V396" s="11" t="s">
        <v>2170</v>
      </c>
      <c r="W396" s="11" t="s">
        <v>2171</v>
      </c>
      <c r="X396" s="367">
        <v>45982.618055555547</v>
      </c>
      <c r="Y396" s="11" t="s">
        <v>2172</v>
      </c>
      <c r="Z396" s="11">
        <v>2.2999999999999998</v>
      </c>
      <c r="AA396" s="11"/>
      <c r="AB396" s="11" t="s">
        <v>330</v>
      </c>
      <c r="AC396" s="212" t="s">
        <v>2173</v>
      </c>
      <c r="AD396" s="11"/>
      <c r="AE396" s="11"/>
      <c r="AF396" s="11"/>
      <c r="AG396" s="11"/>
      <c r="AH396" s="11"/>
      <c r="AI396" s="11"/>
      <c r="AJ396" s="11"/>
      <c r="AK396" s="11" t="s">
        <v>332</v>
      </c>
      <c r="AL396" s="213">
        <f t="shared" si="12"/>
        <v>45982</v>
      </c>
      <c r="AM396" s="211">
        <f t="shared" si="13"/>
        <v>45982</v>
      </c>
    </row>
    <row r="397" spans="1:39" ht="21.6" customHeight="1">
      <c r="A397" s="11">
        <v>118</v>
      </c>
      <c r="B397" s="11" t="s">
        <v>363</v>
      </c>
      <c r="C397" s="11">
        <v>2025112971</v>
      </c>
      <c r="D397" s="11" t="s">
        <v>2174</v>
      </c>
      <c r="E397" s="11" t="s">
        <v>365</v>
      </c>
      <c r="F397" s="11">
        <v>4154</v>
      </c>
      <c r="G397" s="11" t="s">
        <v>180</v>
      </c>
      <c r="H397" s="11" t="s">
        <v>324</v>
      </c>
      <c r="I397" s="11" t="s">
        <v>2175</v>
      </c>
      <c r="J397" s="11" t="s">
        <v>458</v>
      </c>
      <c r="K397" s="11" t="s">
        <v>446</v>
      </c>
      <c r="L397" s="11" t="s">
        <v>493</v>
      </c>
      <c r="M397" s="12" t="s">
        <v>494</v>
      </c>
      <c r="N397" s="11">
        <v>2501</v>
      </c>
      <c r="O397" s="12" t="s">
        <v>495</v>
      </c>
      <c r="P397" s="13" t="s">
        <v>2176</v>
      </c>
      <c r="Q397" s="11" t="s">
        <v>698</v>
      </c>
      <c r="R397" s="11" t="s">
        <v>326</v>
      </c>
      <c r="S397" s="11" t="s">
        <v>118</v>
      </c>
      <c r="T397" s="11">
        <v>1</v>
      </c>
      <c r="U397" s="11" t="s">
        <v>327</v>
      </c>
      <c r="V397" s="11" t="s">
        <v>2177</v>
      </c>
      <c r="W397" s="11" t="s">
        <v>2178</v>
      </c>
      <c r="X397" s="367">
        <v>45985.4375</v>
      </c>
      <c r="Y397" s="11" t="s">
        <v>2179</v>
      </c>
      <c r="Z397" s="11">
        <v>1</v>
      </c>
      <c r="AA397" s="11"/>
      <c r="AB397" s="11" t="s">
        <v>330</v>
      </c>
      <c r="AC397" s="212" t="s">
        <v>2180</v>
      </c>
      <c r="AD397" s="11"/>
      <c r="AE397" s="11"/>
      <c r="AF397" s="11"/>
      <c r="AG397" s="11"/>
      <c r="AH397" s="11"/>
      <c r="AI397" s="11"/>
      <c r="AJ397" s="11"/>
      <c r="AK397" s="11" t="s">
        <v>332</v>
      </c>
      <c r="AL397" s="213">
        <f t="shared" si="12"/>
        <v>45983</v>
      </c>
      <c r="AM397" s="211">
        <f t="shared" si="13"/>
        <v>45985</v>
      </c>
    </row>
    <row r="398" spans="1:39" ht="21.6" customHeight="1">
      <c r="A398" s="11">
        <v>119</v>
      </c>
      <c r="B398" s="11" t="s">
        <v>363</v>
      </c>
      <c r="C398" s="11">
        <v>2025112986</v>
      </c>
      <c r="D398" s="11" t="s">
        <v>2181</v>
      </c>
      <c r="E398" s="11" t="s">
        <v>365</v>
      </c>
      <c r="F398" s="11" t="s">
        <v>74</v>
      </c>
      <c r="G398" s="11" t="s">
        <v>2182</v>
      </c>
      <c r="H398" s="11" t="s">
        <v>396</v>
      </c>
      <c r="I398" s="11" t="s">
        <v>2183</v>
      </c>
      <c r="J398" s="11" t="s">
        <v>492</v>
      </c>
      <c r="K398" s="11" t="s">
        <v>384</v>
      </c>
      <c r="L398" s="11" t="s">
        <v>447</v>
      </c>
      <c r="M398" s="12" t="s">
        <v>448</v>
      </c>
      <c r="N398" s="11" t="s">
        <v>449</v>
      </c>
      <c r="O398" s="12" t="s">
        <v>450</v>
      </c>
      <c r="P398" s="13" t="s">
        <v>2184</v>
      </c>
      <c r="Q398" s="11" t="s">
        <v>2185</v>
      </c>
      <c r="R398" s="11" t="s">
        <v>326</v>
      </c>
      <c r="S398" s="11" t="s">
        <v>134</v>
      </c>
      <c r="T398" s="11">
        <v>1</v>
      </c>
      <c r="U398" s="11" t="s">
        <v>327</v>
      </c>
      <c r="V398" s="11" t="s">
        <v>2186</v>
      </c>
      <c r="W398" s="11" t="s">
        <v>2187</v>
      </c>
      <c r="X398" s="367">
        <v>45986.482638888891</v>
      </c>
      <c r="Y398" s="11" t="s">
        <v>2188</v>
      </c>
      <c r="Z398" s="11">
        <v>0.6</v>
      </c>
      <c r="AA398" s="11"/>
      <c r="AB398" s="11" t="s">
        <v>330</v>
      </c>
      <c r="AC398" s="212" t="s">
        <v>2189</v>
      </c>
      <c r="AD398" s="11"/>
      <c r="AE398" s="11"/>
      <c r="AF398" s="11"/>
      <c r="AG398" s="11"/>
      <c r="AH398" s="11"/>
      <c r="AI398" s="11"/>
      <c r="AJ398" s="11"/>
      <c r="AK398" s="11" t="s">
        <v>332</v>
      </c>
      <c r="AL398" s="213">
        <f t="shared" si="12"/>
        <v>45985</v>
      </c>
      <c r="AM398" s="211">
        <f t="shared" si="13"/>
        <v>45986</v>
      </c>
    </row>
    <row r="399" spans="1:39" ht="21.6" customHeight="1">
      <c r="A399" s="11">
        <v>120</v>
      </c>
      <c r="B399" s="11" t="s">
        <v>363</v>
      </c>
      <c r="C399" s="11">
        <v>2025113011</v>
      </c>
      <c r="D399" s="11" t="s">
        <v>2190</v>
      </c>
      <c r="E399" s="11" t="s">
        <v>475</v>
      </c>
      <c r="F399" s="11">
        <v>5291</v>
      </c>
      <c r="G399" s="11" t="s">
        <v>254</v>
      </c>
      <c r="H399" s="11" t="s">
        <v>490</v>
      </c>
      <c r="I399" s="11" t="s">
        <v>2191</v>
      </c>
      <c r="J399" s="11" t="s">
        <v>492</v>
      </c>
      <c r="K399" s="11" t="s">
        <v>446</v>
      </c>
      <c r="L399" s="11" t="s">
        <v>558</v>
      </c>
      <c r="M399" s="12" t="s">
        <v>559</v>
      </c>
      <c r="N399" s="11">
        <v>2405</v>
      </c>
      <c r="O399" s="12" t="s">
        <v>560</v>
      </c>
      <c r="P399" s="13" t="s">
        <v>2192</v>
      </c>
      <c r="Q399" s="11" t="s">
        <v>1908</v>
      </c>
      <c r="R399" s="11" t="s">
        <v>326</v>
      </c>
      <c r="S399" s="11" t="s">
        <v>118</v>
      </c>
      <c r="T399" s="11">
        <v>1</v>
      </c>
      <c r="U399" s="11" t="s">
        <v>327</v>
      </c>
      <c r="V399" s="11" t="s">
        <v>2193</v>
      </c>
      <c r="W399" s="11" t="s">
        <v>2194</v>
      </c>
      <c r="X399" s="367">
        <v>45985.552083333343</v>
      </c>
      <c r="Y399" s="11" t="s">
        <v>2195</v>
      </c>
      <c r="Z399" s="11">
        <v>1.8</v>
      </c>
      <c r="AA399" s="11"/>
      <c r="AB399" s="11" t="s">
        <v>330</v>
      </c>
      <c r="AC399" s="212" t="s">
        <v>2196</v>
      </c>
      <c r="AD399" s="11"/>
      <c r="AE399" s="11"/>
      <c r="AF399" s="11"/>
      <c r="AG399" s="11"/>
      <c r="AH399" s="11"/>
      <c r="AI399" s="11"/>
      <c r="AJ399" s="11"/>
      <c r="AK399" s="11" t="s">
        <v>332</v>
      </c>
      <c r="AL399" s="213">
        <f t="shared" si="12"/>
        <v>45985</v>
      </c>
      <c r="AM399" s="211">
        <f t="shared" si="13"/>
        <v>45985</v>
      </c>
    </row>
    <row r="400" spans="1:39" ht="21.6" customHeight="1">
      <c r="A400" s="11">
        <v>121</v>
      </c>
      <c r="B400" s="11" t="s">
        <v>322</v>
      </c>
      <c r="C400" s="11">
        <v>2025113051</v>
      </c>
      <c r="D400" s="11"/>
      <c r="E400" s="11"/>
      <c r="F400" s="11">
        <v>2759</v>
      </c>
      <c r="G400" s="11" t="s">
        <v>2197</v>
      </c>
      <c r="H400" s="11" t="s">
        <v>358</v>
      </c>
      <c r="I400" s="11"/>
      <c r="J400" s="11"/>
      <c r="K400" s="11"/>
      <c r="L400" s="11"/>
      <c r="M400" s="12"/>
      <c r="N400" s="11"/>
      <c r="O400" s="12"/>
      <c r="P400" s="13"/>
      <c r="Q400" s="11" t="s">
        <v>2198</v>
      </c>
      <c r="R400" s="11" t="s">
        <v>326</v>
      </c>
      <c r="S400" s="11" t="s">
        <v>123</v>
      </c>
      <c r="T400" s="11">
        <v>1</v>
      </c>
      <c r="U400" s="11" t="s">
        <v>327</v>
      </c>
      <c r="V400" s="11" t="s">
        <v>2199</v>
      </c>
      <c r="W400" s="11" t="s">
        <v>2200</v>
      </c>
      <c r="X400" s="367">
        <v>45985.486805555563</v>
      </c>
      <c r="Y400" s="11"/>
      <c r="Z400" s="11">
        <v>0.4</v>
      </c>
      <c r="AA400" s="11"/>
      <c r="AB400" s="11" t="s">
        <v>330</v>
      </c>
      <c r="AC400" s="212" t="s">
        <v>331</v>
      </c>
      <c r="AD400" s="11" t="s">
        <v>332</v>
      </c>
      <c r="AE400" s="11"/>
      <c r="AF400" s="11"/>
      <c r="AG400" s="11"/>
      <c r="AH400" s="11"/>
      <c r="AI400" s="11"/>
      <c r="AJ400" s="11"/>
      <c r="AK400" s="11" t="s">
        <v>332</v>
      </c>
      <c r="AL400" s="213" t="e">
        <f t="shared" si="12"/>
        <v>#VALUE!</v>
      </c>
      <c r="AM400" s="211">
        <f t="shared" si="13"/>
        <v>45985</v>
      </c>
    </row>
    <row r="401" spans="1:39" ht="21.6" customHeight="1">
      <c r="A401" s="11">
        <v>122</v>
      </c>
      <c r="B401" s="11" t="s">
        <v>322</v>
      </c>
      <c r="C401" s="11">
        <v>2025113059</v>
      </c>
      <c r="D401" s="11"/>
      <c r="E401" s="11"/>
      <c r="F401" s="11">
        <v>4029</v>
      </c>
      <c r="G401" s="11" t="s">
        <v>2201</v>
      </c>
      <c r="H401" s="11" t="s">
        <v>358</v>
      </c>
      <c r="I401" s="11"/>
      <c r="J401" s="11"/>
      <c r="K401" s="11"/>
      <c r="L401" s="11"/>
      <c r="M401" s="12"/>
      <c r="N401" s="11"/>
      <c r="O401" s="12"/>
      <c r="P401" s="13"/>
      <c r="Q401" s="11" t="s">
        <v>2202</v>
      </c>
      <c r="R401" s="11" t="s">
        <v>326</v>
      </c>
      <c r="S401" s="11" t="s">
        <v>123</v>
      </c>
      <c r="T401" s="11">
        <v>1</v>
      </c>
      <c r="U401" s="11" t="s">
        <v>327</v>
      </c>
      <c r="V401" s="11" t="s">
        <v>2203</v>
      </c>
      <c r="W401" s="11" t="s">
        <v>2204</v>
      </c>
      <c r="X401" s="367">
        <v>45985.506944444453</v>
      </c>
      <c r="Y401" s="11"/>
      <c r="Z401" s="11">
        <v>0.3</v>
      </c>
      <c r="AA401" s="11"/>
      <c r="AB401" s="11" t="s">
        <v>330</v>
      </c>
      <c r="AC401" s="212" t="s">
        <v>331</v>
      </c>
      <c r="AD401" s="11" t="s">
        <v>332</v>
      </c>
      <c r="AE401" s="11"/>
      <c r="AF401" s="11"/>
      <c r="AG401" s="11"/>
      <c r="AH401" s="11"/>
      <c r="AI401" s="11"/>
      <c r="AJ401" s="11"/>
      <c r="AK401" s="11" t="s">
        <v>332</v>
      </c>
      <c r="AL401" s="213" t="e">
        <f t="shared" si="12"/>
        <v>#VALUE!</v>
      </c>
      <c r="AM401" s="211">
        <f t="shared" si="13"/>
        <v>45985</v>
      </c>
    </row>
    <row r="402" spans="1:39" ht="21.6" customHeight="1">
      <c r="A402" s="11">
        <v>123</v>
      </c>
      <c r="B402" s="11" t="s">
        <v>322</v>
      </c>
      <c r="C402" s="11">
        <v>2025113094</v>
      </c>
      <c r="D402" s="11"/>
      <c r="E402" s="11"/>
      <c r="F402" s="11">
        <v>3623</v>
      </c>
      <c r="G402" s="11" t="s">
        <v>186</v>
      </c>
      <c r="H402" s="11" t="s">
        <v>358</v>
      </c>
      <c r="I402" s="11"/>
      <c r="J402" s="11"/>
      <c r="K402" s="11"/>
      <c r="L402" s="11"/>
      <c r="M402" s="12"/>
      <c r="N402" s="11"/>
      <c r="O402" s="12"/>
      <c r="P402" s="13"/>
      <c r="Q402" s="11" t="s">
        <v>1209</v>
      </c>
      <c r="R402" s="11" t="s">
        <v>326</v>
      </c>
      <c r="S402" s="11" t="s">
        <v>123</v>
      </c>
      <c r="T402" s="11">
        <v>1</v>
      </c>
      <c r="U402" s="11" t="s">
        <v>327</v>
      </c>
      <c r="V402" s="11" t="s">
        <v>2205</v>
      </c>
      <c r="W402" s="11" t="s">
        <v>2206</v>
      </c>
      <c r="X402" s="367">
        <v>45985.645833333343</v>
      </c>
      <c r="Y402" s="11"/>
      <c r="Z402" s="11">
        <v>1</v>
      </c>
      <c r="AA402" s="11"/>
      <c r="AB402" s="11" t="s">
        <v>330</v>
      </c>
      <c r="AC402" s="212" t="s">
        <v>701</v>
      </c>
      <c r="AD402" s="11"/>
      <c r="AE402" s="11" t="s">
        <v>332</v>
      </c>
      <c r="AF402" s="11"/>
      <c r="AG402" s="11"/>
      <c r="AH402" s="11"/>
      <c r="AI402" s="11"/>
      <c r="AJ402" s="11"/>
      <c r="AK402" s="11" t="s">
        <v>332</v>
      </c>
      <c r="AL402" s="213" t="e">
        <f t="shared" si="12"/>
        <v>#VALUE!</v>
      </c>
      <c r="AM402" s="211">
        <f t="shared" si="13"/>
        <v>45985</v>
      </c>
    </row>
    <row r="403" spans="1:39" ht="21.6" customHeight="1">
      <c r="A403" s="11">
        <v>124</v>
      </c>
      <c r="B403" s="11" t="s">
        <v>322</v>
      </c>
      <c r="C403" s="11">
        <v>2025113095</v>
      </c>
      <c r="D403" s="11"/>
      <c r="E403" s="11"/>
      <c r="F403" s="11">
        <v>3623</v>
      </c>
      <c r="G403" s="11" t="s">
        <v>186</v>
      </c>
      <c r="H403" s="11" t="s">
        <v>358</v>
      </c>
      <c r="I403" s="11"/>
      <c r="J403" s="11"/>
      <c r="K403" s="11"/>
      <c r="L403" s="11"/>
      <c r="M403" s="12"/>
      <c r="N403" s="11"/>
      <c r="O403" s="12"/>
      <c r="P403" s="13"/>
      <c r="Q403" s="11" t="s">
        <v>1209</v>
      </c>
      <c r="R403" s="11" t="s">
        <v>326</v>
      </c>
      <c r="S403" s="11" t="s">
        <v>118</v>
      </c>
      <c r="T403" s="11">
        <v>1</v>
      </c>
      <c r="U403" s="11" t="s">
        <v>327</v>
      </c>
      <c r="V403" s="11" t="s">
        <v>2207</v>
      </c>
      <c r="W403" s="11" t="s">
        <v>2206</v>
      </c>
      <c r="X403" s="367">
        <v>45985.645833333343</v>
      </c>
      <c r="Y403" s="11"/>
      <c r="Z403" s="11">
        <v>1</v>
      </c>
      <c r="AA403" s="11"/>
      <c r="AB403" s="11" t="s">
        <v>330</v>
      </c>
      <c r="AC403" s="212" t="s">
        <v>758</v>
      </c>
      <c r="AD403" s="11"/>
      <c r="AE403" s="11"/>
      <c r="AF403" s="11"/>
      <c r="AG403" s="11"/>
      <c r="AH403" s="11"/>
      <c r="AI403" s="11"/>
      <c r="AJ403" s="11" t="s">
        <v>332</v>
      </c>
      <c r="AK403" s="11" t="s">
        <v>332</v>
      </c>
      <c r="AL403" s="213" t="e">
        <f t="shared" si="12"/>
        <v>#VALUE!</v>
      </c>
      <c r="AM403" s="211">
        <f t="shared" si="13"/>
        <v>45985</v>
      </c>
    </row>
    <row r="404" spans="1:39" ht="21.6" customHeight="1">
      <c r="A404" s="11">
        <v>125</v>
      </c>
      <c r="B404" s="11" t="s">
        <v>322</v>
      </c>
      <c r="C404" s="11">
        <v>2025113180</v>
      </c>
      <c r="D404" s="11"/>
      <c r="E404" s="11"/>
      <c r="F404" s="11">
        <v>5082</v>
      </c>
      <c r="G404" s="11" t="s">
        <v>2208</v>
      </c>
      <c r="H404" s="11" t="s">
        <v>748</v>
      </c>
      <c r="I404" s="11"/>
      <c r="J404" s="11"/>
      <c r="K404" s="11"/>
      <c r="L404" s="11"/>
      <c r="M404" s="12"/>
      <c r="N404" s="11"/>
      <c r="O404" s="12"/>
      <c r="P404" s="13"/>
      <c r="Q404" s="11" t="s">
        <v>2209</v>
      </c>
      <c r="R404" s="11" t="s">
        <v>326</v>
      </c>
      <c r="S404" s="11" t="s">
        <v>123</v>
      </c>
      <c r="T404" s="11">
        <v>1</v>
      </c>
      <c r="U404" s="11" t="s">
        <v>327</v>
      </c>
      <c r="V404" s="11" t="s">
        <v>2210</v>
      </c>
      <c r="W404" s="11" t="s">
        <v>2211</v>
      </c>
      <c r="X404" s="367">
        <v>45986.465277777781</v>
      </c>
      <c r="Y404" s="11"/>
      <c r="Z404" s="11">
        <v>0.3</v>
      </c>
      <c r="AA404" s="11"/>
      <c r="AB404" s="11" t="s">
        <v>330</v>
      </c>
      <c r="AC404" s="212" t="s">
        <v>331</v>
      </c>
      <c r="AD404" s="11" t="s">
        <v>332</v>
      </c>
      <c r="AE404" s="11"/>
      <c r="AF404" s="11"/>
      <c r="AG404" s="11"/>
      <c r="AH404" s="11"/>
      <c r="AI404" s="11"/>
      <c r="AJ404" s="11"/>
      <c r="AK404" s="11" t="s">
        <v>332</v>
      </c>
      <c r="AL404" s="213" t="e">
        <f t="shared" si="12"/>
        <v>#VALUE!</v>
      </c>
      <c r="AM404" s="211">
        <f t="shared" si="13"/>
        <v>45986</v>
      </c>
    </row>
    <row r="405" spans="1:39" ht="21.6" customHeight="1">
      <c r="A405" s="11">
        <v>126</v>
      </c>
      <c r="B405" s="11" t="s">
        <v>322</v>
      </c>
      <c r="C405" s="11">
        <v>2025113185</v>
      </c>
      <c r="D405" s="11"/>
      <c r="E405" s="11"/>
      <c r="F405" s="11" t="s">
        <v>74</v>
      </c>
      <c r="G405" s="11" t="s">
        <v>2182</v>
      </c>
      <c r="H405" s="11" t="s">
        <v>396</v>
      </c>
      <c r="I405" s="11"/>
      <c r="J405" s="11"/>
      <c r="K405" s="11"/>
      <c r="L405" s="11"/>
      <c r="M405" s="12"/>
      <c r="N405" s="11"/>
      <c r="O405" s="12"/>
      <c r="P405" s="13"/>
      <c r="Q405" s="11" t="s">
        <v>2185</v>
      </c>
      <c r="R405" s="11" t="s">
        <v>326</v>
      </c>
      <c r="S405" s="11" t="s">
        <v>134</v>
      </c>
      <c r="T405" s="11">
        <v>1</v>
      </c>
      <c r="U405" s="11" t="s">
        <v>327</v>
      </c>
      <c r="V405" s="11" t="s">
        <v>2212</v>
      </c>
      <c r="W405" s="11" t="s">
        <v>2213</v>
      </c>
      <c r="X405" s="367">
        <v>45986.482638888891</v>
      </c>
      <c r="Y405" s="11"/>
      <c r="Z405" s="11">
        <v>0.1</v>
      </c>
      <c r="AA405" s="11"/>
      <c r="AB405" s="11" t="s">
        <v>330</v>
      </c>
      <c r="AC405" s="212" t="s">
        <v>331</v>
      </c>
      <c r="AD405" s="11" t="s">
        <v>332</v>
      </c>
      <c r="AE405" s="11"/>
      <c r="AF405" s="11"/>
      <c r="AG405" s="11"/>
      <c r="AH405" s="11"/>
      <c r="AI405" s="11"/>
      <c r="AJ405" s="11"/>
      <c r="AK405" s="11"/>
      <c r="AL405" s="213" t="e">
        <f t="shared" si="12"/>
        <v>#VALUE!</v>
      </c>
      <c r="AM405" s="211">
        <f t="shared" si="13"/>
        <v>45986</v>
      </c>
    </row>
    <row r="406" spans="1:39" ht="21.6" customHeight="1">
      <c r="A406" s="11">
        <v>127</v>
      </c>
      <c r="B406" s="11" t="s">
        <v>322</v>
      </c>
      <c r="C406" s="11">
        <v>2025113190</v>
      </c>
      <c r="D406" s="11"/>
      <c r="E406" s="11"/>
      <c r="F406" s="11" t="s">
        <v>76</v>
      </c>
      <c r="G406" s="11" t="s">
        <v>2115</v>
      </c>
      <c r="H406" s="11" t="s">
        <v>748</v>
      </c>
      <c r="I406" s="11"/>
      <c r="J406" s="11"/>
      <c r="K406" s="11"/>
      <c r="L406" s="11"/>
      <c r="M406" s="12"/>
      <c r="N406" s="11"/>
      <c r="O406" s="12"/>
      <c r="P406" s="13"/>
      <c r="Q406" s="11" t="s">
        <v>2118</v>
      </c>
      <c r="R406" s="11" t="s">
        <v>326</v>
      </c>
      <c r="S406" s="11" t="s">
        <v>123</v>
      </c>
      <c r="T406" s="11">
        <v>1</v>
      </c>
      <c r="U406" s="11" t="s">
        <v>327</v>
      </c>
      <c r="V406" s="11" t="s">
        <v>2214</v>
      </c>
      <c r="W406" s="11" t="s">
        <v>2215</v>
      </c>
      <c r="X406" s="367">
        <v>45986.486111111109</v>
      </c>
      <c r="Y406" s="11"/>
      <c r="Z406" s="11">
        <v>0.3</v>
      </c>
      <c r="AA406" s="11"/>
      <c r="AB406" s="11" t="s">
        <v>330</v>
      </c>
      <c r="AC406" s="212" t="s">
        <v>331</v>
      </c>
      <c r="AD406" s="11" t="s">
        <v>332</v>
      </c>
      <c r="AE406" s="11"/>
      <c r="AF406" s="11"/>
      <c r="AG406" s="11"/>
      <c r="AH406" s="11"/>
      <c r="AI406" s="11"/>
      <c r="AJ406" s="11"/>
      <c r="AK406" s="11" t="s">
        <v>332</v>
      </c>
      <c r="AL406" s="213" t="e">
        <f t="shared" si="12"/>
        <v>#VALUE!</v>
      </c>
      <c r="AM406" s="211">
        <f t="shared" si="13"/>
        <v>45986</v>
      </c>
    </row>
    <row r="407" spans="1:39" ht="21.6" customHeight="1">
      <c r="A407" s="11">
        <v>128</v>
      </c>
      <c r="B407" s="11" t="s">
        <v>322</v>
      </c>
      <c r="C407" s="11">
        <v>2025113195</v>
      </c>
      <c r="D407" s="11"/>
      <c r="E407" s="11"/>
      <c r="F407" s="11">
        <v>2890</v>
      </c>
      <c r="G407" s="11" t="s">
        <v>2216</v>
      </c>
      <c r="H407" s="11" t="s">
        <v>748</v>
      </c>
      <c r="I407" s="11"/>
      <c r="J407" s="11"/>
      <c r="K407" s="11"/>
      <c r="L407" s="11"/>
      <c r="M407" s="12"/>
      <c r="N407" s="11"/>
      <c r="O407" s="12"/>
      <c r="P407" s="13"/>
      <c r="Q407" s="11" t="s">
        <v>2217</v>
      </c>
      <c r="R407" s="11" t="s">
        <v>326</v>
      </c>
      <c r="S407" s="11" t="s">
        <v>123</v>
      </c>
      <c r="T407" s="11">
        <v>1</v>
      </c>
      <c r="U407" s="11" t="s">
        <v>327</v>
      </c>
      <c r="V407" s="11" t="s">
        <v>2218</v>
      </c>
      <c r="W407" s="11" t="s">
        <v>2219</v>
      </c>
      <c r="X407" s="367">
        <v>45986.506944444453</v>
      </c>
      <c r="Y407" s="11"/>
      <c r="Z407" s="11">
        <v>0.3</v>
      </c>
      <c r="AA407" s="11"/>
      <c r="AB407" s="11" t="s">
        <v>330</v>
      </c>
      <c r="AC407" s="212" t="s">
        <v>331</v>
      </c>
      <c r="AD407" s="11" t="s">
        <v>332</v>
      </c>
      <c r="AE407" s="11"/>
      <c r="AF407" s="11"/>
      <c r="AG407" s="11"/>
      <c r="AH407" s="11"/>
      <c r="AI407" s="11"/>
      <c r="AJ407" s="11"/>
      <c r="AK407" s="11" t="s">
        <v>332</v>
      </c>
      <c r="AL407" s="213" t="e">
        <f t="shared" si="12"/>
        <v>#VALUE!</v>
      </c>
      <c r="AM407" s="211">
        <f t="shared" si="13"/>
        <v>45986</v>
      </c>
    </row>
    <row r="408" spans="1:39" ht="21.6" customHeight="1">
      <c r="A408" s="11">
        <v>129</v>
      </c>
      <c r="B408" s="11" t="s">
        <v>363</v>
      </c>
      <c r="C408" s="11">
        <v>2025113196</v>
      </c>
      <c r="D408" s="11" t="s">
        <v>2220</v>
      </c>
      <c r="E408" s="11" t="s">
        <v>365</v>
      </c>
      <c r="F408" s="11" t="s">
        <v>73</v>
      </c>
      <c r="G408" s="11" t="s">
        <v>395</v>
      </c>
      <c r="H408" s="11" t="s">
        <v>396</v>
      </c>
      <c r="I408" s="11" t="s">
        <v>2221</v>
      </c>
      <c r="J408" s="11" t="s">
        <v>368</v>
      </c>
      <c r="K408" s="11" t="s">
        <v>200</v>
      </c>
      <c r="L408" s="11" t="s">
        <v>2222</v>
      </c>
      <c r="M408" s="12" t="s">
        <v>2223</v>
      </c>
      <c r="N408" s="11">
        <v>9903</v>
      </c>
      <c r="O408" s="12" t="s">
        <v>2224</v>
      </c>
      <c r="P408" s="13" t="s">
        <v>2225</v>
      </c>
      <c r="Q408" s="11" t="s">
        <v>403</v>
      </c>
      <c r="R408" s="11" t="s">
        <v>326</v>
      </c>
      <c r="S408" s="11" t="s">
        <v>134</v>
      </c>
      <c r="T408" s="11">
        <v>1</v>
      </c>
      <c r="U408" s="11" t="s">
        <v>327</v>
      </c>
      <c r="V408" s="11" t="s">
        <v>2226</v>
      </c>
      <c r="W408" s="11" t="s">
        <v>2227</v>
      </c>
      <c r="X408" s="367">
        <v>45986.520833333343</v>
      </c>
      <c r="Y408" s="11" t="s">
        <v>2228</v>
      </c>
      <c r="Z408" s="11">
        <v>0.5</v>
      </c>
      <c r="AA408" s="11"/>
      <c r="AB408" s="11" t="s">
        <v>330</v>
      </c>
      <c r="AC408" s="212" t="s">
        <v>2229</v>
      </c>
      <c r="AD408" s="11"/>
      <c r="AE408" s="11"/>
      <c r="AF408" s="11"/>
      <c r="AG408" s="11"/>
      <c r="AH408" s="11"/>
      <c r="AI408" s="11"/>
      <c r="AJ408" s="11"/>
      <c r="AK408" s="11" t="s">
        <v>332</v>
      </c>
      <c r="AL408" s="213">
        <f t="shared" si="12"/>
        <v>45986</v>
      </c>
      <c r="AM408" s="211">
        <f t="shared" si="13"/>
        <v>45986</v>
      </c>
    </row>
    <row r="409" spans="1:39" ht="21.6" customHeight="1">
      <c r="A409" s="11">
        <v>130</v>
      </c>
      <c r="B409" s="11" t="s">
        <v>363</v>
      </c>
      <c r="C409" s="11">
        <v>2025113198</v>
      </c>
      <c r="D409" s="11" t="s">
        <v>2230</v>
      </c>
      <c r="E409" s="11" t="s">
        <v>365</v>
      </c>
      <c r="F409" s="11" t="s">
        <v>73</v>
      </c>
      <c r="G409" s="11" t="s">
        <v>395</v>
      </c>
      <c r="H409" s="11" t="s">
        <v>396</v>
      </c>
      <c r="I409" s="11" t="s">
        <v>2231</v>
      </c>
      <c r="J409" s="11" t="s">
        <v>368</v>
      </c>
      <c r="K409" s="11" t="s">
        <v>200</v>
      </c>
      <c r="L409" s="11" t="s">
        <v>2222</v>
      </c>
      <c r="M409" s="12" t="s">
        <v>2223</v>
      </c>
      <c r="N409" s="11">
        <v>9903</v>
      </c>
      <c r="O409" s="12" t="s">
        <v>2224</v>
      </c>
      <c r="P409" s="13" t="s">
        <v>2232</v>
      </c>
      <c r="Q409" s="11" t="s">
        <v>403</v>
      </c>
      <c r="R409" s="11" t="s">
        <v>326</v>
      </c>
      <c r="S409" s="11" t="s">
        <v>134</v>
      </c>
      <c r="T409" s="11">
        <v>1</v>
      </c>
      <c r="U409" s="11" t="s">
        <v>327</v>
      </c>
      <c r="V409" s="11" t="s">
        <v>2233</v>
      </c>
      <c r="W409" s="11" t="s">
        <v>2227</v>
      </c>
      <c r="X409" s="367">
        <v>45986.520833333343</v>
      </c>
      <c r="Y409" s="11" t="s">
        <v>2228</v>
      </c>
      <c r="Z409" s="11">
        <v>0.5</v>
      </c>
      <c r="AA409" s="11"/>
      <c r="AB409" s="11" t="s">
        <v>330</v>
      </c>
      <c r="AC409" s="212" t="s">
        <v>2234</v>
      </c>
      <c r="AD409" s="11"/>
      <c r="AE409" s="11"/>
      <c r="AF409" s="11"/>
      <c r="AG409" s="11"/>
      <c r="AH409" s="11"/>
      <c r="AI409" s="11"/>
      <c r="AJ409" s="11"/>
      <c r="AK409" s="11" t="s">
        <v>332</v>
      </c>
      <c r="AL409" s="213">
        <f t="shared" si="12"/>
        <v>45986</v>
      </c>
      <c r="AM409" s="211">
        <f t="shared" si="13"/>
        <v>45986</v>
      </c>
    </row>
    <row r="410" spans="1:39" ht="21.6" customHeight="1">
      <c r="A410" s="11">
        <v>131</v>
      </c>
      <c r="B410" s="11" t="s">
        <v>322</v>
      </c>
      <c r="C410" s="11">
        <v>2025113199</v>
      </c>
      <c r="D410" s="11"/>
      <c r="E410" s="11"/>
      <c r="F410" s="11" t="s">
        <v>75</v>
      </c>
      <c r="G410" s="11" t="s">
        <v>2235</v>
      </c>
      <c r="H410" s="11" t="s">
        <v>748</v>
      </c>
      <c r="I410" s="11"/>
      <c r="J410" s="11"/>
      <c r="K410" s="11"/>
      <c r="L410" s="11"/>
      <c r="M410" s="12"/>
      <c r="N410" s="11"/>
      <c r="O410" s="12"/>
      <c r="P410" s="13"/>
      <c r="Q410" s="11" t="s">
        <v>2236</v>
      </c>
      <c r="R410" s="11" t="s">
        <v>326</v>
      </c>
      <c r="S410" s="11" t="s">
        <v>123</v>
      </c>
      <c r="T410" s="11">
        <v>1</v>
      </c>
      <c r="U410" s="11" t="s">
        <v>327</v>
      </c>
      <c r="V410" s="11" t="s">
        <v>2237</v>
      </c>
      <c r="W410" s="11" t="s">
        <v>2238</v>
      </c>
      <c r="X410" s="367">
        <v>45986.517361111109</v>
      </c>
      <c r="Y410" s="11"/>
      <c r="Z410" s="11">
        <v>0.2</v>
      </c>
      <c r="AA410" s="11"/>
      <c r="AB410" s="11" t="s">
        <v>330</v>
      </c>
      <c r="AC410" s="212" t="s">
        <v>341</v>
      </c>
      <c r="AD410" s="11" t="s">
        <v>332</v>
      </c>
      <c r="AE410" s="11"/>
      <c r="AF410" s="11"/>
      <c r="AG410" s="11"/>
      <c r="AH410" s="11"/>
      <c r="AI410" s="11"/>
      <c r="AJ410" s="11"/>
      <c r="AK410" s="11" t="s">
        <v>332</v>
      </c>
      <c r="AL410" s="213" t="e">
        <f t="shared" si="12"/>
        <v>#VALUE!</v>
      </c>
      <c r="AM410" s="211">
        <f t="shared" si="13"/>
        <v>45986</v>
      </c>
    </row>
    <row r="411" spans="1:39" ht="21.6" customHeight="1">
      <c r="A411" s="11">
        <v>132</v>
      </c>
      <c r="B411" s="11" t="s">
        <v>322</v>
      </c>
      <c r="C411" s="11">
        <v>2025113200</v>
      </c>
      <c r="D411" s="11"/>
      <c r="E411" s="11"/>
      <c r="F411" s="11" t="s">
        <v>73</v>
      </c>
      <c r="G411" s="11" t="s">
        <v>395</v>
      </c>
      <c r="H411" s="11" t="s">
        <v>396</v>
      </c>
      <c r="I411" s="11"/>
      <c r="J411" s="11"/>
      <c r="K411" s="11"/>
      <c r="L411" s="11"/>
      <c r="M411" s="12"/>
      <c r="N411" s="11"/>
      <c r="O411" s="12"/>
      <c r="P411" s="13"/>
      <c r="Q411" s="11" t="s">
        <v>403</v>
      </c>
      <c r="R411" s="11" t="s">
        <v>326</v>
      </c>
      <c r="S411" s="11" t="s">
        <v>134</v>
      </c>
      <c r="T411" s="11">
        <v>1</v>
      </c>
      <c r="U411" s="11" t="s">
        <v>327</v>
      </c>
      <c r="V411" s="11" t="s">
        <v>2239</v>
      </c>
      <c r="W411" s="11" t="s">
        <v>2227</v>
      </c>
      <c r="X411" s="367">
        <v>45986.513888888891</v>
      </c>
      <c r="Y411" s="11"/>
      <c r="Z411" s="11">
        <v>0.3</v>
      </c>
      <c r="AA411" s="11"/>
      <c r="AB411" s="11" t="s">
        <v>330</v>
      </c>
      <c r="AC411" s="212" t="s">
        <v>331</v>
      </c>
      <c r="AD411" s="11" t="s">
        <v>332</v>
      </c>
      <c r="AE411" s="11"/>
      <c r="AF411" s="11"/>
      <c r="AG411" s="11"/>
      <c r="AH411" s="11"/>
      <c r="AI411" s="11"/>
      <c r="AJ411" s="11"/>
      <c r="AK411" s="11"/>
      <c r="AL411" s="213" t="e">
        <f t="shared" si="12"/>
        <v>#VALUE!</v>
      </c>
      <c r="AM411" s="211">
        <f t="shared" si="13"/>
        <v>45986</v>
      </c>
    </row>
    <row r="412" spans="1:39" ht="21.6" customHeight="1">
      <c r="A412" s="11">
        <v>133</v>
      </c>
      <c r="B412" s="11" t="s">
        <v>322</v>
      </c>
      <c r="C412" s="11">
        <v>2025113201</v>
      </c>
      <c r="D412" s="11"/>
      <c r="E412" s="11"/>
      <c r="F412" s="11">
        <v>3227</v>
      </c>
      <c r="G412" s="11" t="s">
        <v>958</v>
      </c>
      <c r="H412" s="11" t="s">
        <v>763</v>
      </c>
      <c r="I412" s="11"/>
      <c r="J412" s="11"/>
      <c r="K412" s="11"/>
      <c r="L412" s="11"/>
      <c r="M412" s="12"/>
      <c r="N412" s="11"/>
      <c r="O412" s="12"/>
      <c r="P412" s="13"/>
      <c r="Q412" s="11" t="s">
        <v>961</v>
      </c>
      <c r="R412" s="11" t="s">
        <v>326</v>
      </c>
      <c r="S412" s="11" t="s">
        <v>118</v>
      </c>
      <c r="T412" s="11">
        <v>1</v>
      </c>
      <c r="U412" s="11" t="s">
        <v>327</v>
      </c>
      <c r="V412" s="11" t="s">
        <v>2240</v>
      </c>
      <c r="W412" s="11" t="s">
        <v>2241</v>
      </c>
      <c r="X412" s="367">
        <v>45986.534722222219</v>
      </c>
      <c r="Y412" s="11"/>
      <c r="Z412" s="11">
        <v>0.3</v>
      </c>
      <c r="AA412" s="11"/>
      <c r="AB412" s="11" t="s">
        <v>330</v>
      </c>
      <c r="AC412" s="212" t="s">
        <v>331</v>
      </c>
      <c r="AD412" s="11" t="s">
        <v>332</v>
      </c>
      <c r="AE412" s="11"/>
      <c r="AF412" s="11"/>
      <c r="AG412" s="11"/>
      <c r="AH412" s="11"/>
      <c r="AI412" s="11"/>
      <c r="AJ412" s="11" t="s">
        <v>332</v>
      </c>
      <c r="AK412" s="11" t="s">
        <v>332</v>
      </c>
      <c r="AL412" s="213" t="e">
        <f t="shared" si="12"/>
        <v>#VALUE!</v>
      </c>
      <c r="AM412" s="211">
        <f t="shared" si="13"/>
        <v>45986</v>
      </c>
    </row>
    <row r="413" spans="1:39" ht="21.6" customHeight="1">
      <c r="A413" s="11">
        <v>134</v>
      </c>
      <c r="B413" s="11" t="s">
        <v>322</v>
      </c>
      <c r="C413" s="11">
        <v>2025113202</v>
      </c>
      <c r="D413" s="11"/>
      <c r="E413" s="11"/>
      <c r="F413" s="11">
        <v>5003</v>
      </c>
      <c r="G413" s="11" t="s">
        <v>2242</v>
      </c>
      <c r="H413" s="11" t="s">
        <v>763</v>
      </c>
      <c r="I413" s="11"/>
      <c r="J413" s="11"/>
      <c r="K413" s="11"/>
      <c r="L413" s="11"/>
      <c r="M413" s="12"/>
      <c r="N413" s="11"/>
      <c r="O413" s="12"/>
      <c r="P413" s="13"/>
      <c r="Q413" s="11" t="s">
        <v>2243</v>
      </c>
      <c r="R413" s="11" t="s">
        <v>326</v>
      </c>
      <c r="S413" s="11" t="s">
        <v>118</v>
      </c>
      <c r="T413" s="11">
        <v>1</v>
      </c>
      <c r="U413" s="11" t="s">
        <v>327</v>
      </c>
      <c r="V413" s="11" t="s">
        <v>2244</v>
      </c>
      <c r="W413" s="11" t="s">
        <v>2245</v>
      </c>
      <c r="X413" s="367">
        <v>45986.548611111109</v>
      </c>
      <c r="Y413" s="11"/>
      <c r="Z413" s="11">
        <v>0.3</v>
      </c>
      <c r="AA413" s="11"/>
      <c r="AB413" s="11" t="s">
        <v>330</v>
      </c>
      <c r="AC413" s="212" t="s">
        <v>331</v>
      </c>
      <c r="AD413" s="11" t="s">
        <v>332</v>
      </c>
      <c r="AE413" s="11"/>
      <c r="AF413" s="11"/>
      <c r="AG413" s="11"/>
      <c r="AH413" s="11"/>
      <c r="AI413" s="11"/>
      <c r="AJ413" s="11" t="s">
        <v>332</v>
      </c>
      <c r="AK413" s="11" t="s">
        <v>332</v>
      </c>
      <c r="AL413" s="213" t="e">
        <f t="shared" si="12"/>
        <v>#VALUE!</v>
      </c>
      <c r="AM413" s="211">
        <f t="shared" si="13"/>
        <v>45986</v>
      </c>
    </row>
    <row r="414" spans="1:39" ht="21.6" customHeight="1">
      <c r="A414" s="11">
        <v>135</v>
      </c>
      <c r="B414" s="11" t="s">
        <v>363</v>
      </c>
      <c r="C414" s="11">
        <v>2025113208</v>
      </c>
      <c r="D414" s="11" t="s">
        <v>2246</v>
      </c>
      <c r="E414" s="11" t="s">
        <v>365</v>
      </c>
      <c r="F414" s="11">
        <v>3601</v>
      </c>
      <c r="G414" s="11" t="s">
        <v>1588</v>
      </c>
      <c r="H414" s="11" t="s">
        <v>358</v>
      </c>
      <c r="I414" s="11" t="s">
        <v>2247</v>
      </c>
      <c r="J414" s="11" t="s">
        <v>368</v>
      </c>
      <c r="K414" s="11" t="s">
        <v>200</v>
      </c>
      <c r="L414" s="11" t="s">
        <v>2222</v>
      </c>
      <c r="M414" s="12" t="s">
        <v>2223</v>
      </c>
      <c r="N414" s="11">
        <v>9903</v>
      </c>
      <c r="O414" s="12" t="s">
        <v>2224</v>
      </c>
      <c r="P414" s="13" t="s">
        <v>2225</v>
      </c>
      <c r="Q414" s="11" t="s">
        <v>1591</v>
      </c>
      <c r="R414" s="11" t="s">
        <v>326</v>
      </c>
      <c r="S414" s="11" t="s">
        <v>134</v>
      </c>
      <c r="T414" s="11">
        <v>1</v>
      </c>
      <c r="U414" s="11" t="s">
        <v>327</v>
      </c>
      <c r="V414" s="11" t="s">
        <v>2248</v>
      </c>
      <c r="W414" s="11" t="s">
        <v>2249</v>
      </c>
      <c r="X414" s="367">
        <v>45986.590277777781</v>
      </c>
      <c r="Y414" s="11" t="s">
        <v>2250</v>
      </c>
      <c r="Z414" s="11">
        <v>0.7</v>
      </c>
      <c r="AA414" s="11"/>
      <c r="AB414" s="11" t="s">
        <v>330</v>
      </c>
      <c r="AC414" s="212" t="s">
        <v>2229</v>
      </c>
      <c r="AD414" s="11"/>
      <c r="AE414" s="11"/>
      <c r="AF414" s="11"/>
      <c r="AG414" s="11"/>
      <c r="AH414" s="11"/>
      <c r="AI414" s="11"/>
      <c r="AJ414" s="11"/>
      <c r="AK414" s="11" t="s">
        <v>332</v>
      </c>
      <c r="AL414" s="213">
        <f t="shared" si="12"/>
        <v>45986</v>
      </c>
      <c r="AM414" s="211">
        <f t="shared" si="13"/>
        <v>45986</v>
      </c>
    </row>
    <row r="415" spans="1:39" ht="21.6" customHeight="1">
      <c r="A415" s="11">
        <v>136</v>
      </c>
      <c r="B415" s="11" t="s">
        <v>363</v>
      </c>
      <c r="C415" s="11">
        <v>2025113209</v>
      </c>
      <c r="D415" s="11" t="s">
        <v>2251</v>
      </c>
      <c r="E415" s="11" t="s">
        <v>365</v>
      </c>
      <c r="F415" s="11">
        <v>3601</v>
      </c>
      <c r="G415" s="11" t="s">
        <v>1588</v>
      </c>
      <c r="H415" s="11" t="s">
        <v>358</v>
      </c>
      <c r="I415" s="11" t="s">
        <v>2252</v>
      </c>
      <c r="J415" s="11" t="s">
        <v>368</v>
      </c>
      <c r="K415" s="11" t="s">
        <v>200</v>
      </c>
      <c r="L415" s="11" t="s">
        <v>2222</v>
      </c>
      <c r="M415" s="12" t="s">
        <v>2223</v>
      </c>
      <c r="N415" s="11">
        <v>9903</v>
      </c>
      <c r="O415" s="12" t="s">
        <v>2224</v>
      </c>
      <c r="P415" s="13" t="s">
        <v>2232</v>
      </c>
      <c r="Q415" s="11" t="s">
        <v>1591</v>
      </c>
      <c r="R415" s="11" t="s">
        <v>326</v>
      </c>
      <c r="S415" s="11" t="s">
        <v>134</v>
      </c>
      <c r="T415" s="11">
        <v>1</v>
      </c>
      <c r="U415" s="11" t="s">
        <v>327</v>
      </c>
      <c r="V415" s="11" t="s">
        <v>2253</v>
      </c>
      <c r="W415" s="11" t="s">
        <v>2249</v>
      </c>
      <c r="X415" s="367">
        <v>45986.590277777781</v>
      </c>
      <c r="Y415" s="11" t="s">
        <v>2250</v>
      </c>
      <c r="Z415" s="11">
        <v>0.7</v>
      </c>
      <c r="AA415" s="11"/>
      <c r="AB415" s="11" t="s">
        <v>330</v>
      </c>
      <c r="AC415" s="212" t="s">
        <v>2229</v>
      </c>
      <c r="AD415" s="11"/>
      <c r="AE415" s="11"/>
      <c r="AF415" s="11"/>
      <c r="AG415" s="11"/>
      <c r="AH415" s="11"/>
      <c r="AI415" s="11"/>
      <c r="AJ415" s="11"/>
      <c r="AK415" s="11" t="s">
        <v>332</v>
      </c>
      <c r="AL415" s="213">
        <f t="shared" si="12"/>
        <v>45986</v>
      </c>
      <c r="AM415" s="211">
        <f t="shared" si="13"/>
        <v>45986</v>
      </c>
    </row>
    <row r="416" spans="1:39" ht="21.6" customHeight="1">
      <c r="A416" s="11">
        <v>137</v>
      </c>
      <c r="B416" s="11" t="s">
        <v>322</v>
      </c>
      <c r="C416" s="11">
        <v>2025113251</v>
      </c>
      <c r="D416" s="11"/>
      <c r="E416" s="11"/>
      <c r="F416" s="11">
        <v>3052</v>
      </c>
      <c r="G416" s="11" t="s">
        <v>176</v>
      </c>
      <c r="H416" s="11" t="s">
        <v>490</v>
      </c>
      <c r="I416" s="11"/>
      <c r="J416" s="11"/>
      <c r="K416" s="11"/>
      <c r="L416" s="11"/>
      <c r="M416" s="12"/>
      <c r="N416" s="11"/>
      <c r="O416" s="12"/>
      <c r="P416" s="13"/>
      <c r="Q416" s="11" t="s">
        <v>1061</v>
      </c>
      <c r="R416" s="11" t="s">
        <v>326</v>
      </c>
      <c r="S416" s="11" t="s">
        <v>118</v>
      </c>
      <c r="T416" s="11">
        <v>1</v>
      </c>
      <c r="U416" s="11" t="s">
        <v>327</v>
      </c>
      <c r="V416" s="11" t="s">
        <v>2254</v>
      </c>
      <c r="W416" s="11" t="s">
        <v>2255</v>
      </c>
      <c r="X416" s="367">
        <v>45986.645833333343</v>
      </c>
      <c r="Y416" s="11"/>
      <c r="Z416" s="11">
        <v>1</v>
      </c>
      <c r="AA416" s="11"/>
      <c r="AB416" s="11" t="s">
        <v>330</v>
      </c>
      <c r="AC416" s="212" t="s">
        <v>1215</v>
      </c>
      <c r="AD416" s="11"/>
      <c r="AE416" s="11" t="s">
        <v>332</v>
      </c>
      <c r="AF416" s="11"/>
      <c r="AG416" s="11"/>
      <c r="AH416" s="11"/>
      <c r="AI416" s="11"/>
      <c r="AJ416" s="11"/>
      <c r="AK416" s="11" t="s">
        <v>332</v>
      </c>
      <c r="AL416" s="213" t="e">
        <f t="shared" si="12"/>
        <v>#VALUE!</v>
      </c>
      <c r="AM416" s="211">
        <f t="shared" si="13"/>
        <v>45986</v>
      </c>
    </row>
    <row r="417" spans="1:39" ht="21.6" customHeight="1">
      <c r="A417" s="11">
        <v>138</v>
      </c>
      <c r="B417" s="11" t="s">
        <v>363</v>
      </c>
      <c r="C417" s="11">
        <v>2025113261</v>
      </c>
      <c r="D417" s="11" t="s">
        <v>2256</v>
      </c>
      <c r="E417" s="11" t="s">
        <v>365</v>
      </c>
      <c r="F417" s="11">
        <v>3227</v>
      </c>
      <c r="G417" s="11" t="s">
        <v>958</v>
      </c>
      <c r="H417" s="11" t="s">
        <v>763</v>
      </c>
      <c r="I417" s="11" t="s">
        <v>2257</v>
      </c>
      <c r="J417" s="11" t="s">
        <v>368</v>
      </c>
      <c r="K417" s="11" t="s">
        <v>200</v>
      </c>
      <c r="L417" s="11" t="s">
        <v>558</v>
      </c>
      <c r="M417" s="12" t="s">
        <v>559</v>
      </c>
      <c r="N417" s="11">
        <v>2405</v>
      </c>
      <c r="O417" s="12" t="s">
        <v>560</v>
      </c>
      <c r="P417" s="13" t="s">
        <v>2258</v>
      </c>
      <c r="Q417" s="11" t="s">
        <v>961</v>
      </c>
      <c r="R417" s="11" t="s">
        <v>326</v>
      </c>
      <c r="S417" s="11" t="s">
        <v>118</v>
      </c>
      <c r="T417" s="11">
        <v>1</v>
      </c>
      <c r="U417" s="11" t="s">
        <v>327</v>
      </c>
      <c r="V417" s="11" t="s">
        <v>2259</v>
      </c>
      <c r="W417" s="11" t="s">
        <v>2260</v>
      </c>
      <c r="X417" s="367">
        <v>45987.5625</v>
      </c>
      <c r="Y417" s="11" t="s">
        <v>2261</v>
      </c>
      <c r="Z417" s="11">
        <v>2.8</v>
      </c>
      <c r="AA417" s="11"/>
      <c r="AB417" s="11" t="s">
        <v>330</v>
      </c>
      <c r="AC417" s="212" t="s">
        <v>2262</v>
      </c>
      <c r="AD417" s="11"/>
      <c r="AE417" s="11"/>
      <c r="AF417" s="11"/>
      <c r="AG417" s="11"/>
      <c r="AH417" s="11"/>
      <c r="AI417" s="11"/>
      <c r="AJ417" s="11"/>
      <c r="AK417" s="11" t="s">
        <v>332</v>
      </c>
      <c r="AL417" s="213">
        <f t="shared" si="12"/>
        <v>45986</v>
      </c>
      <c r="AM417" s="211">
        <f t="shared" si="13"/>
        <v>45987</v>
      </c>
    </row>
    <row r="418" spans="1:39" ht="21.6" customHeight="1">
      <c r="A418" s="11">
        <v>139</v>
      </c>
      <c r="B418" s="11" t="s">
        <v>322</v>
      </c>
      <c r="C418" s="11">
        <v>2025113373</v>
      </c>
      <c r="D418" s="11"/>
      <c r="E418" s="11"/>
      <c r="F418" s="11">
        <v>3052</v>
      </c>
      <c r="G418" s="11" t="s">
        <v>176</v>
      </c>
      <c r="H418" s="11" t="s">
        <v>490</v>
      </c>
      <c r="I418" s="11"/>
      <c r="J418" s="11"/>
      <c r="K418" s="11"/>
      <c r="L418" s="11"/>
      <c r="M418" s="12"/>
      <c r="N418" s="11"/>
      <c r="O418" s="12"/>
      <c r="P418" s="13"/>
      <c r="Q418" s="11" t="s">
        <v>1061</v>
      </c>
      <c r="R418" s="11" t="s">
        <v>326</v>
      </c>
      <c r="S418" s="11" t="s">
        <v>123</v>
      </c>
      <c r="T418" s="11">
        <v>1</v>
      </c>
      <c r="U418" s="11" t="s">
        <v>327</v>
      </c>
      <c r="V418" s="11" t="s">
        <v>2263</v>
      </c>
      <c r="W418" s="11" t="s">
        <v>2264</v>
      </c>
      <c r="X418" s="367">
        <v>45986.645833333343</v>
      </c>
      <c r="Y418" s="11"/>
      <c r="Z418" s="11">
        <v>0.7</v>
      </c>
      <c r="AA418" s="11"/>
      <c r="AB418" s="11" t="s">
        <v>330</v>
      </c>
      <c r="AC418" s="212" t="s">
        <v>2265</v>
      </c>
      <c r="AD418" s="11"/>
      <c r="AE418" s="11" t="s">
        <v>332</v>
      </c>
      <c r="AF418" s="11"/>
      <c r="AG418" s="11"/>
      <c r="AH418" s="11"/>
      <c r="AI418" s="11"/>
      <c r="AJ418" s="11"/>
      <c r="AK418" s="11" t="s">
        <v>332</v>
      </c>
      <c r="AL418" s="213" t="e">
        <f t="shared" si="12"/>
        <v>#VALUE!</v>
      </c>
      <c r="AM418" s="211">
        <f t="shared" si="13"/>
        <v>45986</v>
      </c>
    </row>
    <row r="419" spans="1:39" ht="21.6" customHeight="1">
      <c r="A419" s="11">
        <v>140</v>
      </c>
      <c r="B419" s="11" t="s">
        <v>363</v>
      </c>
      <c r="C419" s="11">
        <v>2025113432</v>
      </c>
      <c r="D419" s="11" t="s">
        <v>2266</v>
      </c>
      <c r="E419" s="11" t="s">
        <v>365</v>
      </c>
      <c r="F419" s="11" t="s">
        <v>51</v>
      </c>
      <c r="G419" s="11" t="s">
        <v>1922</v>
      </c>
      <c r="H419" s="11" t="s">
        <v>490</v>
      </c>
      <c r="I419" s="11" t="s">
        <v>2267</v>
      </c>
      <c r="J419" s="11" t="s">
        <v>383</v>
      </c>
      <c r="K419" s="11" t="s">
        <v>446</v>
      </c>
      <c r="L419" s="11" t="s">
        <v>447</v>
      </c>
      <c r="M419" s="12" t="s">
        <v>448</v>
      </c>
      <c r="N419" s="11" t="s">
        <v>449</v>
      </c>
      <c r="O419" s="12" t="s">
        <v>450</v>
      </c>
      <c r="P419" s="13" t="s">
        <v>2268</v>
      </c>
      <c r="Q419" s="11" t="s">
        <v>1923</v>
      </c>
      <c r="R419" s="11" t="s">
        <v>326</v>
      </c>
      <c r="S419" s="11" t="s">
        <v>118</v>
      </c>
      <c r="T419" s="11">
        <v>1</v>
      </c>
      <c r="U419" s="11" t="s">
        <v>327</v>
      </c>
      <c r="V419" s="11" t="s">
        <v>2269</v>
      </c>
      <c r="W419" s="11" t="s">
        <v>2270</v>
      </c>
      <c r="X419" s="367">
        <v>45987.625</v>
      </c>
      <c r="Y419" s="11" t="s">
        <v>2271</v>
      </c>
      <c r="Z419" s="11">
        <v>0.5</v>
      </c>
      <c r="AA419" s="11"/>
      <c r="AB419" s="11" t="s">
        <v>330</v>
      </c>
      <c r="AC419" s="212" t="s">
        <v>2272</v>
      </c>
      <c r="AD419" s="11"/>
      <c r="AE419" s="11"/>
      <c r="AF419" s="11"/>
      <c r="AG419" s="11"/>
      <c r="AH419" s="11"/>
      <c r="AI419" s="11"/>
      <c r="AJ419" s="11"/>
      <c r="AK419" s="11" t="s">
        <v>332</v>
      </c>
      <c r="AL419" s="213">
        <f t="shared" si="12"/>
        <v>45987</v>
      </c>
      <c r="AM419" s="211">
        <f t="shared" si="13"/>
        <v>45987</v>
      </c>
    </row>
    <row r="420" spans="1:39" ht="21.6" customHeight="1">
      <c r="A420" s="11">
        <v>141</v>
      </c>
      <c r="B420" s="11" t="s">
        <v>363</v>
      </c>
      <c r="C420" s="11">
        <v>2025113435</v>
      </c>
      <c r="D420" s="11" t="s">
        <v>2273</v>
      </c>
      <c r="E420" s="11" t="s">
        <v>365</v>
      </c>
      <c r="F420" s="11">
        <v>4155</v>
      </c>
      <c r="G420" s="11" t="s">
        <v>1234</v>
      </c>
      <c r="H420" s="11" t="s">
        <v>358</v>
      </c>
      <c r="I420" s="11" t="s">
        <v>2274</v>
      </c>
      <c r="J420" s="11" t="s">
        <v>383</v>
      </c>
      <c r="K420" s="11" t="s">
        <v>200</v>
      </c>
      <c r="L420" s="11" t="s">
        <v>369</v>
      </c>
      <c r="M420" s="12" t="s">
        <v>370</v>
      </c>
      <c r="N420" s="11">
        <v>2305</v>
      </c>
      <c r="O420" s="12" t="s">
        <v>410</v>
      </c>
      <c r="P420" s="13" t="s">
        <v>2275</v>
      </c>
      <c r="Q420" s="11" t="s">
        <v>1235</v>
      </c>
      <c r="R420" s="11" t="s">
        <v>326</v>
      </c>
      <c r="S420" s="11" t="s">
        <v>123</v>
      </c>
      <c r="T420" s="11">
        <v>1</v>
      </c>
      <c r="U420" s="11" t="s">
        <v>327</v>
      </c>
      <c r="V420" s="11" t="s">
        <v>2276</v>
      </c>
      <c r="W420" s="11" t="s">
        <v>2277</v>
      </c>
      <c r="X420" s="367">
        <v>45988.416666666657</v>
      </c>
      <c r="Y420" s="11" t="s">
        <v>2278</v>
      </c>
      <c r="Z420" s="11">
        <v>0.5</v>
      </c>
      <c r="AA420" s="11"/>
      <c r="AB420" s="11" t="s">
        <v>330</v>
      </c>
      <c r="AC420" s="212" t="s">
        <v>2279</v>
      </c>
      <c r="AD420" s="11"/>
      <c r="AE420" s="11"/>
      <c r="AF420" s="11"/>
      <c r="AG420" s="11"/>
      <c r="AH420" s="11"/>
      <c r="AI420" s="11"/>
      <c r="AJ420" s="11"/>
      <c r="AK420" s="11" t="s">
        <v>332</v>
      </c>
      <c r="AL420" s="213">
        <f t="shared" si="12"/>
        <v>45987</v>
      </c>
      <c r="AM420" s="211">
        <f t="shared" si="13"/>
        <v>45988</v>
      </c>
    </row>
    <row r="421" spans="1:39" ht="21.6" customHeight="1">
      <c r="A421" s="11">
        <v>142</v>
      </c>
      <c r="B421" s="11" t="s">
        <v>322</v>
      </c>
      <c r="C421" s="11">
        <v>2025113466</v>
      </c>
      <c r="D421" s="11"/>
      <c r="E421" s="11"/>
      <c r="F421" s="11">
        <v>4906</v>
      </c>
      <c r="G421" s="11" t="s">
        <v>2280</v>
      </c>
      <c r="H421" s="11" t="s">
        <v>2281</v>
      </c>
      <c r="I421" s="11"/>
      <c r="J421" s="11"/>
      <c r="K421" s="11"/>
      <c r="L421" s="11"/>
      <c r="M421" s="12"/>
      <c r="N421" s="11"/>
      <c r="O421" s="12"/>
      <c r="P421" s="13"/>
      <c r="Q421" s="11" t="s">
        <v>2282</v>
      </c>
      <c r="R421" s="11" t="s">
        <v>326</v>
      </c>
      <c r="S421" s="11" t="s">
        <v>123</v>
      </c>
      <c r="T421" s="11">
        <v>1</v>
      </c>
      <c r="U421" s="11" t="s">
        <v>327</v>
      </c>
      <c r="V421" s="11" t="s">
        <v>2283</v>
      </c>
      <c r="W421" s="11" t="s">
        <v>2270</v>
      </c>
      <c r="X421" s="367">
        <v>45987.618055555547</v>
      </c>
      <c r="Y421" s="11"/>
      <c r="Z421" s="11">
        <v>0.3</v>
      </c>
      <c r="AA421" s="11"/>
      <c r="AB421" s="11" t="s">
        <v>330</v>
      </c>
      <c r="AC421" s="212" t="s">
        <v>331</v>
      </c>
      <c r="AD421" s="11" t="s">
        <v>332</v>
      </c>
      <c r="AE421" s="11"/>
      <c r="AF421" s="11"/>
      <c r="AG421" s="11"/>
      <c r="AH421" s="11"/>
      <c r="AI421" s="11"/>
      <c r="AJ421" s="11"/>
      <c r="AK421" s="11" t="s">
        <v>332</v>
      </c>
      <c r="AL421" s="213" t="e">
        <f t="shared" si="12"/>
        <v>#VALUE!</v>
      </c>
      <c r="AM421" s="211">
        <f t="shared" si="13"/>
        <v>45987</v>
      </c>
    </row>
    <row r="422" spans="1:39" ht="21.6" customHeight="1">
      <c r="A422" s="11">
        <v>143</v>
      </c>
      <c r="B422" s="11" t="s">
        <v>322</v>
      </c>
      <c r="C422" s="11">
        <v>2025113468</v>
      </c>
      <c r="D422" s="11"/>
      <c r="E422" s="11"/>
      <c r="F422" s="11">
        <v>2267</v>
      </c>
      <c r="G422" s="11" t="s">
        <v>2284</v>
      </c>
      <c r="H422" s="11" t="s">
        <v>2281</v>
      </c>
      <c r="I422" s="11"/>
      <c r="J422" s="11"/>
      <c r="K422" s="11"/>
      <c r="L422" s="11"/>
      <c r="M422" s="12"/>
      <c r="N422" s="11"/>
      <c r="O422" s="12"/>
      <c r="P422" s="13"/>
      <c r="Q422" s="11" t="s">
        <v>2285</v>
      </c>
      <c r="R422" s="11" t="s">
        <v>326</v>
      </c>
      <c r="S422" s="11" t="s">
        <v>123</v>
      </c>
      <c r="T422" s="11">
        <v>1</v>
      </c>
      <c r="U422" s="11" t="s">
        <v>327</v>
      </c>
      <c r="V422" s="11" t="s">
        <v>2286</v>
      </c>
      <c r="W422" s="11" t="s">
        <v>2287</v>
      </c>
      <c r="X422" s="367">
        <v>45987.636805555558</v>
      </c>
      <c r="Y422" s="11"/>
      <c r="Z422" s="11">
        <v>0.4</v>
      </c>
      <c r="AA422" s="11"/>
      <c r="AB422" s="11" t="s">
        <v>330</v>
      </c>
      <c r="AC422" s="212" t="s">
        <v>331</v>
      </c>
      <c r="AD422" s="11" t="s">
        <v>332</v>
      </c>
      <c r="AE422" s="11"/>
      <c r="AF422" s="11"/>
      <c r="AG422" s="11"/>
      <c r="AH422" s="11"/>
      <c r="AI422" s="11"/>
      <c r="AJ422" s="11"/>
      <c r="AK422" s="11" t="s">
        <v>332</v>
      </c>
      <c r="AL422" s="213" t="e">
        <f t="shared" si="12"/>
        <v>#VALUE!</v>
      </c>
      <c r="AM422" s="211">
        <f t="shared" si="13"/>
        <v>45987</v>
      </c>
    </row>
    <row r="423" spans="1:39" ht="21.6" customHeight="1">
      <c r="A423" s="11">
        <v>144</v>
      </c>
      <c r="B423" s="11" t="s">
        <v>322</v>
      </c>
      <c r="C423" s="11">
        <v>2025113493</v>
      </c>
      <c r="D423" s="11"/>
      <c r="E423" s="11"/>
      <c r="F423" s="11">
        <v>4845</v>
      </c>
      <c r="G423" s="11" t="s">
        <v>2288</v>
      </c>
      <c r="H423" s="11" t="s">
        <v>2289</v>
      </c>
      <c r="I423" s="11"/>
      <c r="J423" s="11"/>
      <c r="K423" s="11"/>
      <c r="L423" s="11"/>
      <c r="M423" s="12"/>
      <c r="N423" s="11"/>
      <c r="O423" s="12"/>
      <c r="P423" s="13"/>
      <c r="Q423" s="11" t="s">
        <v>2290</v>
      </c>
      <c r="R423" s="11" t="s">
        <v>326</v>
      </c>
      <c r="S423" s="11" t="s">
        <v>123</v>
      </c>
      <c r="T423" s="11">
        <v>1</v>
      </c>
      <c r="U423" s="11" t="s">
        <v>327</v>
      </c>
      <c r="V423" s="11" t="s">
        <v>2291</v>
      </c>
      <c r="W423" s="11" t="s">
        <v>2292</v>
      </c>
      <c r="X423" s="367">
        <v>45987.670138888891</v>
      </c>
      <c r="Y423" s="11"/>
      <c r="Z423" s="11">
        <v>0.3</v>
      </c>
      <c r="AA423" s="11"/>
      <c r="AB423" s="11" t="s">
        <v>330</v>
      </c>
      <c r="AC423" s="212" t="s">
        <v>331</v>
      </c>
      <c r="AD423" s="11" t="s">
        <v>332</v>
      </c>
      <c r="AE423" s="11"/>
      <c r="AF423" s="11"/>
      <c r="AG423" s="11"/>
      <c r="AH423" s="11"/>
      <c r="AI423" s="11"/>
      <c r="AJ423" s="11"/>
      <c r="AK423" s="11" t="s">
        <v>332</v>
      </c>
      <c r="AL423" s="213" t="e">
        <f t="shared" si="12"/>
        <v>#VALUE!</v>
      </c>
      <c r="AM423" s="211">
        <f t="shared" si="13"/>
        <v>45987</v>
      </c>
    </row>
    <row r="424" spans="1:39" ht="21.6" customHeight="1">
      <c r="A424" s="11">
        <v>145</v>
      </c>
      <c r="B424" s="11" t="s">
        <v>322</v>
      </c>
      <c r="C424" s="11">
        <v>2025113548</v>
      </c>
      <c r="D424" s="11"/>
      <c r="E424" s="11"/>
      <c r="F424" s="11">
        <v>4155</v>
      </c>
      <c r="G424" s="11" t="s">
        <v>1234</v>
      </c>
      <c r="H424" s="11" t="s">
        <v>358</v>
      </c>
      <c r="I424" s="11"/>
      <c r="J424" s="11"/>
      <c r="K424" s="11"/>
      <c r="L424" s="11"/>
      <c r="M424" s="12"/>
      <c r="N424" s="11"/>
      <c r="O424" s="12"/>
      <c r="P424" s="13"/>
      <c r="Q424" s="11" t="s">
        <v>1235</v>
      </c>
      <c r="R424" s="11" t="s">
        <v>326</v>
      </c>
      <c r="S424" s="11" t="s">
        <v>123</v>
      </c>
      <c r="T424" s="11">
        <v>1</v>
      </c>
      <c r="U424" s="11" t="s">
        <v>327</v>
      </c>
      <c r="V424" s="11" t="s">
        <v>2293</v>
      </c>
      <c r="W424" s="11" t="s">
        <v>2294</v>
      </c>
      <c r="X424" s="367">
        <v>45988.435416666667</v>
      </c>
      <c r="Y424" s="11"/>
      <c r="Z424" s="11">
        <v>0.3</v>
      </c>
      <c r="AA424" s="11"/>
      <c r="AB424" s="11" t="s">
        <v>330</v>
      </c>
      <c r="AC424" s="212" t="s">
        <v>102</v>
      </c>
      <c r="AD424" s="11"/>
      <c r="AE424" s="11"/>
      <c r="AF424" s="11"/>
      <c r="AG424" s="11"/>
      <c r="AH424" s="11"/>
      <c r="AI424" s="11"/>
      <c r="AJ424" s="11" t="s">
        <v>332</v>
      </c>
      <c r="AK424" s="11" t="s">
        <v>332</v>
      </c>
      <c r="AL424" s="213" t="e">
        <f t="shared" si="12"/>
        <v>#VALUE!</v>
      </c>
      <c r="AM424" s="211">
        <f t="shared" si="13"/>
        <v>45988</v>
      </c>
    </row>
    <row r="425" spans="1:39" ht="21.6" customHeight="1">
      <c r="A425" s="11">
        <v>146</v>
      </c>
      <c r="B425" s="11" t="s">
        <v>322</v>
      </c>
      <c r="C425" s="11">
        <v>2025113611</v>
      </c>
      <c r="D425" s="11"/>
      <c r="E425" s="11"/>
      <c r="F425" s="11">
        <v>4025</v>
      </c>
      <c r="G425" s="11" t="s">
        <v>2295</v>
      </c>
      <c r="H425" s="11" t="s">
        <v>490</v>
      </c>
      <c r="I425" s="11"/>
      <c r="J425" s="11"/>
      <c r="K425" s="11"/>
      <c r="L425" s="11"/>
      <c r="M425" s="12"/>
      <c r="N425" s="11"/>
      <c r="O425" s="12"/>
      <c r="P425" s="13"/>
      <c r="Q425" s="11" t="s">
        <v>2296</v>
      </c>
      <c r="R425" s="11" t="s">
        <v>326</v>
      </c>
      <c r="S425" s="11" t="s">
        <v>118</v>
      </c>
      <c r="T425" s="11">
        <v>1</v>
      </c>
      <c r="U425" s="11" t="s">
        <v>327</v>
      </c>
      <c r="V425" s="11" t="s">
        <v>2297</v>
      </c>
      <c r="W425" s="11" t="s">
        <v>2298</v>
      </c>
      <c r="X425" s="367">
        <v>45988.604166666657</v>
      </c>
      <c r="Y425" s="11"/>
      <c r="Z425" s="11">
        <v>0.5</v>
      </c>
      <c r="AA425" s="11"/>
      <c r="AB425" s="11" t="s">
        <v>330</v>
      </c>
      <c r="AC425" s="212" t="s">
        <v>331</v>
      </c>
      <c r="AD425" s="11" t="s">
        <v>332</v>
      </c>
      <c r="AE425" s="11"/>
      <c r="AF425" s="11"/>
      <c r="AG425" s="11"/>
      <c r="AH425" s="11"/>
      <c r="AI425" s="11"/>
      <c r="AJ425" s="11" t="s">
        <v>332</v>
      </c>
      <c r="AK425" s="11" t="s">
        <v>332</v>
      </c>
      <c r="AL425" s="213" t="e">
        <f t="shared" si="12"/>
        <v>#VALUE!</v>
      </c>
      <c r="AM425" s="211">
        <f t="shared" si="13"/>
        <v>45988</v>
      </c>
    </row>
    <row r="426" spans="1:39" ht="21.6" customHeight="1">
      <c r="A426" s="11">
        <v>147</v>
      </c>
      <c r="B426" s="11" t="s">
        <v>322</v>
      </c>
      <c r="C426" s="11">
        <v>2025113627</v>
      </c>
      <c r="D426" s="11"/>
      <c r="E426" s="11"/>
      <c r="F426" s="11">
        <v>2318</v>
      </c>
      <c r="G426" s="11" t="s">
        <v>776</v>
      </c>
      <c r="H426" s="11" t="s">
        <v>567</v>
      </c>
      <c r="I426" s="11"/>
      <c r="J426" s="11"/>
      <c r="K426" s="11"/>
      <c r="L426" s="11"/>
      <c r="M426" s="12"/>
      <c r="N426" s="11"/>
      <c r="O426" s="12"/>
      <c r="P426" s="13"/>
      <c r="Q426" s="11" t="s">
        <v>782</v>
      </c>
      <c r="R426" s="11" t="s">
        <v>326</v>
      </c>
      <c r="S426" s="11" t="s">
        <v>123</v>
      </c>
      <c r="T426" s="11">
        <v>1</v>
      </c>
      <c r="U426" s="11" t="s">
        <v>327</v>
      </c>
      <c r="V426" s="11" t="s">
        <v>2299</v>
      </c>
      <c r="W426" s="11" t="s">
        <v>2300</v>
      </c>
      <c r="X426" s="367">
        <v>45988.638888888891</v>
      </c>
      <c r="Y426" s="11"/>
      <c r="Z426" s="11">
        <v>0.3</v>
      </c>
      <c r="AA426" s="11"/>
      <c r="AB426" s="11" t="s">
        <v>330</v>
      </c>
      <c r="AC426" s="212" t="s">
        <v>331</v>
      </c>
      <c r="AD426" s="11" t="s">
        <v>332</v>
      </c>
      <c r="AE426" s="11"/>
      <c r="AF426" s="11"/>
      <c r="AG426" s="11"/>
      <c r="AH426" s="11"/>
      <c r="AI426" s="11"/>
      <c r="AJ426" s="11"/>
      <c r="AK426" s="11" t="s">
        <v>332</v>
      </c>
      <c r="AL426" s="213" t="e">
        <f t="shared" si="12"/>
        <v>#VALUE!</v>
      </c>
      <c r="AM426" s="211">
        <f t="shared" si="13"/>
        <v>45988</v>
      </c>
    </row>
    <row r="427" spans="1:39" ht="21.6" customHeight="1">
      <c r="A427" s="11">
        <v>148</v>
      </c>
      <c r="B427" s="11" t="s">
        <v>322</v>
      </c>
      <c r="C427" s="11">
        <v>2025113633</v>
      </c>
      <c r="D427" s="11"/>
      <c r="E427" s="11"/>
      <c r="F427" s="11">
        <v>2897</v>
      </c>
      <c r="G427" s="11" t="s">
        <v>2301</v>
      </c>
      <c r="H427" s="11" t="s">
        <v>567</v>
      </c>
      <c r="I427" s="11"/>
      <c r="J427" s="11"/>
      <c r="K427" s="11"/>
      <c r="L427" s="11"/>
      <c r="M427" s="12"/>
      <c r="N427" s="11"/>
      <c r="O427" s="12"/>
      <c r="P427" s="13"/>
      <c r="Q427" s="11" t="s">
        <v>2302</v>
      </c>
      <c r="R427" s="11" t="s">
        <v>326</v>
      </c>
      <c r="S427" s="11" t="s">
        <v>123</v>
      </c>
      <c r="T427" s="11">
        <v>1</v>
      </c>
      <c r="U427" s="11" t="s">
        <v>327</v>
      </c>
      <c r="V427" s="11" t="s">
        <v>2303</v>
      </c>
      <c r="W427" s="11" t="s">
        <v>2304</v>
      </c>
      <c r="X427" s="367">
        <v>45988.655555555553</v>
      </c>
      <c r="Y427" s="11"/>
      <c r="Z427" s="11">
        <v>0.3</v>
      </c>
      <c r="AA427" s="11"/>
      <c r="AB427" s="11" t="s">
        <v>330</v>
      </c>
      <c r="AC427" s="212" t="s">
        <v>331</v>
      </c>
      <c r="AD427" s="11" t="s">
        <v>332</v>
      </c>
      <c r="AE427" s="11"/>
      <c r="AF427" s="11"/>
      <c r="AG427" s="11"/>
      <c r="AH427" s="11"/>
      <c r="AI427" s="11"/>
      <c r="AJ427" s="11"/>
      <c r="AK427" s="11" t="s">
        <v>332</v>
      </c>
      <c r="AL427" s="213" t="e">
        <f t="shared" si="12"/>
        <v>#VALUE!</v>
      </c>
      <c r="AM427" s="211">
        <f t="shared" si="13"/>
        <v>45988</v>
      </c>
    </row>
    <row r="428" spans="1:39" ht="21.6" customHeight="1">
      <c r="A428" s="11">
        <v>149</v>
      </c>
      <c r="B428" s="11" t="s">
        <v>363</v>
      </c>
      <c r="C428" s="11">
        <v>2025113680</v>
      </c>
      <c r="D428" s="11" t="s">
        <v>2305</v>
      </c>
      <c r="E428" s="11" t="s">
        <v>365</v>
      </c>
      <c r="F428" s="11" t="s">
        <v>56</v>
      </c>
      <c r="G428" s="11" t="s">
        <v>874</v>
      </c>
      <c r="H428" s="11" t="s">
        <v>358</v>
      </c>
      <c r="I428" s="11" t="s">
        <v>2306</v>
      </c>
      <c r="J428" s="11" t="s">
        <v>445</v>
      </c>
      <c r="K428" s="11" t="s">
        <v>446</v>
      </c>
      <c r="L428" s="11" t="s">
        <v>369</v>
      </c>
      <c r="M428" s="12" t="s">
        <v>370</v>
      </c>
      <c r="N428" s="11">
        <v>2305</v>
      </c>
      <c r="O428" s="12" t="s">
        <v>410</v>
      </c>
      <c r="P428" s="13" t="s">
        <v>2307</v>
      </c>
      <c r="Q428" s="11" t="s">
        <v>877</v>
      </c>
      <c r="R428" s="11" t="s">
        <v>326</v>
      </c>
      <c r="S428" s="11" t="s">
        <v>123</v>
      </c>
      <c r="T428" s="11">
        <v>1</v>
      </c>
      <c r="U428" s="11" t="s">
        <v>327</v>
      </c>
      <c r="V428" s="11" t="s">
        <v>2308</v>
      </c>
      <c r="W428" s="11" t="s">
        <v>2309</v>
      </c>
      <c r="X428" s="367">
        <v>45989.4375</v>
      </c>
      <c r="Y428" s="11" t="s">
        <v>357</v>
      </c>
      <c r="Z428" s="11">
        <v>0.8</v>
      </c>
      <c r="AA428" s="11"/>
      <c r="AB428" s="11" t="s">
        <v>330</v>
      </c>
      <c r="AC428" s="212" t="s">
        <v>2310</v>
      </c>
      <c r="AD428" s="11"/>
      <c r="AE428" s="11"/>
      <c r="AF428" s="11"/>
      <c r="AG428" s="11"/>
      <c r="AH428" s="11"/>
      <c r="AI428" s="11"/>
      <c r="AJ428" s="11"/>
      <c r="AK428" s="11" t="s">
        <v>332</v>
      </c>
      <c r="AL428" s="213">
        <f t="shared" si="12"/>
        <v>45989</v>
      </c>
      <c r="AM428" s="211">
        <f t="shared" si="13"/>
        <v>45989</v>
      </c>
    </row>
    <row r="429" spans="1:39" ht="21.6" customHeight="1">
      <c r="A429" s="11">
        <v>150</v>
      </c>
      <c r="B429" s="11" t="s">
        <v>322</v>
      </c>
      <c r="C429" s="11">
        <v>2025113705</v>
      </c>
      <c r="D429" s="11"/>
      <c r="E429" s="11"/>
      <c r="F429" s="11" t="s">
        <v>56</v>
      </c>
      <c r="G429" s="11" t="s">
        <v>874</v>
      </c>
      <c r="H429" s="11" t="s">
        <v>358</v>
      </c>
      <c r="I429" s="11"/>
      <c r="J429" s="11"/>
      <c r="K429" s="11"/>
      <c r="L429" s="11"/>
      <c r="M429" s="12"/>
      <c r="N429" s="11"/>
      <c r="O429" s="12"/>
      <c r="P429" s="13"/>
      <c r="Q429" s="11" t="s">
        <v>877</v>
      </c>
      <c r="R429" s="11" t="s">
        <v>326</v>
      </c>
      <c r="S429" s="11" t="s">
        <v>123</v>
      </c>
      <c r="T429" s="11">
        <v>1</v>
      </c>
      <c r="U429" s="11" t="s">
        <v>327</v>
      </c>
      <c r="V429" s="11" t="s">
        <v>2311</v>
      </c>
      <c r="W429" s="11" t="s">
        <v>2312</v>
      </c>
      <c r="X429" s="367">
        <v>45989.461805555547</v>
      </c>
      <c r="Y429" s="11"/>
      <c r="Z429" s="11">
        <v>0.5</v>
      </c>
      <c r="AA429" s="11"/>
      <c r="AB429" s="11" t="s">
        <v>330</v>
      </c>
      <c r="AC429" s="212" t="s">
        <v>102</v>
      </c>
      <c r="AD429" s="11"/>
      <c r="AE429" s="11"/>
      <c r="AF429" s="11"/>
      <c r="AG429" s="11"/>
      <c r="AH429" s="11"/>
      <c r="AI429" s="11"/>
      <c r="AJ429" s="11" t="s">
        <v>332</v>
      </c>
      <c r="AK429" s="11" t="s">
        <v>332</v>
      </c>
      <c r="AL429" s="213" t="e">
        <f t="shared" si="12"/>
        <v>#VALUE!</v>
      </c>
      <c r="AM429" s="211">
        <f t="shared" si="13"/>
        <v>45989</v>
      </c>
    </row>
    <row r="430" spans="1:39" ht="21.6" customHeight="1">
      <c r="A430" s="11">
        <v>151</v>
      </c>
      <c r="B430" s="11" t="s">
        <v>322</v>
      </c>
      <c r="C430" s="11">
        <v>2025113798</v>
      </c>
      <c r="D430" s="11"/>
      <c r="E430" s="11"/>
      <c r="F430" s="11">
        <v>3362</v>
      </c>
      <c r="G430" s="11" t="s">
        <v>185</v>
      </c>
      <c r="H430" s="11" t="s">
        <v>358</v>
      </c>
      <c r="I430" s="11"/>
      <c r="J430" s="11"/>
      <c r="K430" s="11"/>
      <c r="L430" s="11"/>
      <c r="M430" s="12"/>
      <c r="N430" s="11"/>
      <c r="O430" s="12"/>
      <c r="P430" s="13"/>
      <c r="Q430" s="11" t="s">
        <v>1196</v>
      </c>
      <c r="R430" s="11" t="s">
        <v>326</v>
      </c>
      <c r="S430" s="11" t="s">
        <v>123</v>
      </c>
      <c r="T430" s="11">
        <v>1</v>
      </c>
      <c r="U430" s="11" t="s">
        <v>327</v>
      </c>
      <c r="V430" s="11" t="s">
        <v>2313</v>
      </c>
      <c r="W430" s="11" t="s">
        <v>2314</v>
      </c>
      <c r="X430" s="367">
        <v>45989.645833333343</v>
      </c>
      <c r="Y430" s="11"/>
      <c r="Z430" s="11">
        <v>1</v>
      </c>
      <c r="AA430" s="11"/>
      <c r="AB430" s="11" t="s">
        <v>330</v>
      </c>
      <c r="AC430" s="212" t="s">
        <v>2315</v>
      </c>
      <c r="AD430" s="11"/>
      <c r="AE430" s="11" t="s">
        <v>332</v>
      </c>
      <c r="AF430" s="11"/>
      <c r="AG430" s="11"/>
      <c r="AH430" s="11"/>
      <c r="AI430" s="11"/>
      <c r="AJ430" s="11"/>
      <c r="AK430" s="11" t="s">
        <v>332</v>
      </c>
      <c r="AL430" s="213" t="e">
        <f t="shared" si="12"/>
        <v>#VALUE!</v>
      </c>
      <c r="AM430" s="211">
        <f t="shared" si="13"/>
        <v>45989</v>
      </c>
    </row>
    <row r="431" spans="1:39" ht="21.6" customHeight="1">
      <c r="A431" s="11">
        <v>152</v>
      </c>
      <c r="B431" s="11" t="s">
        <v>322</v>
      </c>
      <c r="C431" s="11">
        <v>2025113799</v>
      </c>
      <c r="D431" s="11"/>
      <c r="E431" s="11"/>
      <c r="F431" s="11">
        <v>3362</v>
      </c>
      <c r="G431" s="11" t="s">
        <v>185</v>
      </c>
      <c r="H431" s="11" t="s">
        <v>358</v>
      </c>
      <c r="I431" s="11"/>
      <c r="J431" s="11"/>
      <c r="K431" s="11"/>
      <c r="L431" s="11"/>
      <c r="M431" s="12"/>
      <c r="N431" s="11"/>
      <c r="O431" s="12"/>
      <c r="P431" s="13"/>
      <c r="Q431" s="11" t="s">
        <v>1196</v>
      </c>
      <c r="R431" s="11" t="s">
        <v>326</v>
      </c>
      <c r="S431" s="11" t="s">
        <v>118</v>
      </c>
      <c r="T431" s="11">
        <v>1</v>
      </c>
      <c r="U431" s="11" t="s">
        <v>327</v>
      </c>
      <c r="V431" s="11" t="s">
        <v>2316</v>
      </c>
      <c r="W431" s="11" t="s">
        <v>2314</v>
      </c>
      <c r="X431" s="367">
        <v>45989.645833333343</v>
      </c>
      <c r="Y431" s="11"/>
      <c r="Z431" s="11">
        <v>1</v>
      </c>
      <c r="AA431" s="11"/>
      <c r="AB431" s="11" t="s">
        <v>330</v>
      </c>
      <c r="AC431" s="212" t="s">
        <v>807</v>
      </c>
      <c r="AD431" s="11"/>
      <c r="AE431" s="11" t="s">
        <v>332</v>
      </c>
      <c r="AF431" s="11"/>
      <c r="AG431" s="11"/>
      <c r="AH431" s="11"/>
      <c r="AI431" s="11"/>
      <c r="AJ431" s="11"/>
      <c r="AK431" s="11" t="s">
        <v>332</v>
      </c>
      <c r="AL431" s="213" t="e">
        <f t="shared" si="12"/>
        <v>#VALUE!</v>
      </c>
      <c r="AM431" s="211">
        <f t="shared" si="13"/>
        <v>45989</v>
      </c>
    </row>
    <row r="432" spans="1:39" ht="21.6" customHeight="1">
      <c r="A432" s="11">
        <v>5</v>
      </c>
      <c r="B432" s="11" t="s">
        <v>363</v>
      </c>
      <c r="C432" s="11">
        <v>2026010009</v>
      </c>
      <c r="D432" s="11" t="s">
        <v>2317</v>
      </c>
      <c r="E432" s="11" t="s">
        <v>365</v>
      </c>
      <c r="F432" s="11">
        <v>2399</v>
      </c>
      <c r="G432" s="11" t="s">
        <v>828</v>
      </c>
      <c r="H432" s="11" t="s">
        <v>358</v>
      </c>
      <c r="I432" s="11" t="s">
        <v>2318</v>
      </c>
      <c r="J432" s="11" t="s">
        <v>424</v>
      </c>
      <c r="K432" s="11" t="s">
        <v>200</v>
      </c>
      <c r="L432" s="11" t="s">
        <v>864</v>
      </c>
      <c r="M432" s="12" t="s">
        <v>865</v>
      </c>
      <c r="N432" s="11">
        <v>2702</v>
      </c>
      <c r="O432" s="12" t="s">
        <v>1255</v>
      </c>
      <c r="P432" s="13" t="s">
        <v>2319</v>
      </c>
      <c r="Q432" s="11" t="s">
        <v>829</v>
      </c>
      <c r="R432" s="11" t="s">
        <v>326</v>
      </c>
      <c r="S432" s="11" t="s">
        <v>133</v>
      </c>
      <c r="T432" s="11">
        <v>1</v>
      </c>
      <c r="U432" s="11" t="s">
        <v>327</v>
      </c>
      <c r="V432" s="11" t="s">
        <v>2320</v>
      </c>
      <c r="W432" s="11" t="s">
        <v>2321</v>
      </c>
      <c r="X432" s="367">
        <v>46024.4375</v>
      </c>
      <c r="Y432" s="11" t="s">
        <v>1089</v>
      </c>
      <c r="Z432" s="11">
        <v>0.5</v>
      </c>
      <c r="AA432" s="11"/>
      <c r="AB432" s="11" t="s">
        <v>330</v>
      </c>
      <c r="AC432" s="212" t="s">
        <v>2322</v>
      </c>
      <c r="AD432" s="11"/>
      <c r="AE432" s="11"/>
      <c r="AF432" s="11"/>
      <c r="AG432" s="11"/>
      <c r="AH432" s="11"/>
      <c r="AI432" s="11"/>
      <c r="AJ432" s="11"/>
      <c r="AK432" s="11" t="s">
        <v>332</v>
      </c>
      <c r="AL432" s="213">
        <f t="shared" si="12"/>
        <v>46023</v>
      </c>
      <c r="AM432" s="211">
        <f t="shared" si="13"/>
        <v>46024</v>
      </c>
    </row>
    <row r="433" spans="1:39" ht="21.6" customHeight="1">
      <c r="A433" s="11">
        <v>6</v>
      </c>
      <c r="B433" s="11" t="s">
        <v>363</v>
      </c>
      <c r="C433" s="11">
        <v>2026010011</v>
      </c>
      <c r="D433" s="11" t="s">
        <v>2323</v>
      </c>
      <c r="E433" s="11" t="s">
        <v>365</v>
      </c>
      <c r="F433" s="11">
        <v>4852</v>
      </c>
      <c r="G433" s="11" t="s">
        <v>2324</v>
      </c>
      <c r="H433" s="11" t="s">
        <v>2325</v>
      </c>
      <c r="I433" s="11" t="s">
        <v>2326</v>
      </c>
      <c r="J433" s="11" t="s">
        <v>424</v>
      </c>
      <c r="K433" s="11" t="s">
        <v>200</v>
      </c>
      <c r="L433" s="11" t="s">
        <v>1007</v>
      </c>
      <c r="M433" s="12" t="s">
        <v>1008</v>
      </c>
      <c r="N433" s="11">
        <v>5801</v>
      </c>
      <c r="O433" s="12" t="s">
        <v>1009</v>
      </c>
      <c r="P433" s="13" t="s">
        <v>2327</v>
      </c>
      <c r="Q433" s="11" t="s">
        <v>2328</v>
      </c>
      <c r="R433" s="11" t="s">
        <v>326</v>
      </c>
      <c r="S433" s="11" t="s">
        <v>123</v>
      </c>
      <c r="T433" s="11">
        <v>1</v>
      </c>
      <c r="U433" s="11" t="s">
        <v>327</v>
      </c>
      <c r="V433" s="11" t="s">
        <v>2329</v>
      </c>
      <c r="W433" s="11" t="s">
        <v>2330</v>
      </c>
      <c r="X433" s="367">
        <v>46024.631944444453</v>
      </c>
      <c r="Y433" s="11" t="s">
        <v>1089</v>
      </c>
      <c r="Z433" s="11">
        <v>0.3</v>
      </c>
      <c r="AA433" s="11"/>
      <c r="AB433" s="11" t="s">
        <v>330</v>
      </c>
      <c r="AC433" s="212" t="s">
        <v>2331</v>
      </c>
      <c r="AD433" s="11"/>
      <c r="AE433" s="11"/>
      <c r="AF433" s="11"/>
      <c r="AG433" s="11"/>
      <c r="AH433" s="11"/>
      <c r="AI433" s="11"/>
      <c r="AJ433" s="11"/>
      <c r="AK433" s="11" t="s">
        <v>332</v>
      </c>
      <c r="AL433" s="213">
        <f t="shared" si="12"/>
        <v>46023</v>
      </c>
      <c r="AM433" s="211">
        <f t="shared" si="13"/>
        <v>46024</v>
      </c>
    </row>
    <row r="434" spans="1:39" ht="21.6" customHeight="1">
      <c r="A434" s="11">
        <v>8</v>
      </c>
      <c r="B434" s="11" t="s">
        <v>322</v>
      </c>
      <c r="C434" s="11">
        <v>2026010041</v>
      </c>
      <c r="D434" s="11"/>
      <c r="E434" s="11"/>
      <c r="F434" s="11">
        <v>2399</v>
      </c>
      <c r="G434" s="11" t="s">
        <v>828</v>
      </c>
      <c r="H434" s="11" t="s">
        <v>358</v>
      </c>
      <c r="I434" s="11"/>
      <c r="J434" s="11"/>
      <c r="K434" s="11"/>
      <c r="L434" s="11"/>
      <c r="M434" s="12"/>
      <c r="N434" s="11"/>
      <c r="O434" s="12"/>
      <c r="P434" s="13"/>
      <c r="Q434" s="11" t="s">
        <v>829</v>
      </c>
      <c r="R434" s="11" t="s">
        <v>326</v>
      </c>
      <c r="S434" s="11" t="s">
        <v>133</v>
      </c>
      <c r="T434" s="11">
        <v>1</v>
      </c>
      <c r="U434" s="11" t="s">
        <v>327</v>
      </c>
      <c r="V434" s="11" t="s">
        <v>2332</v>
      </c>
      <c r="W434" s="11" t="s">
        <v>2333</v>
      </c>
      <c r="X434" s="367">
        <v>46024.416666666657</v>
      </c>
      <c r="Y434" s="11"/>
      <c r="Z434" s="11">
        <v>0.3</v>
      </c>
      <c r="AA434" s="11"/>
      <c r="AB434" s="11" t="s">
        <v>330</v>
      </c>
      <c r="AC434" s="212" t="s">
        <v>2334</v>
      </c>
      <c r="AD434" s="11" t="s">
        <v>332</v>
      </c>
      <c r="AE434" s="11"/>
      <c r="AF434" s="11"/>
      <c r="AG434" s="11"/>
      <c r="AH434" s="11"/>
      <c r="AI434" s="11"/>
      <c r="AJ434" s="11" t="s">
        <v>332</v>
      </c>
      <c r="AK434" s="11" t="s">
        <v>332</v>
      </c>
      <c r="AL434" s="213" t="e">
        <f t="shared" si="12"/>
        <v>#VALUE!</v>
      </c>
      <c r="AM434" s="211">
        <f t="shared" si="13"/>
        <v>46024</v>
      </c>
    </row>
    <row r="435" spans="1:39" ht="21.6" customHeight="1">
      <c r="A435" s="11">
        <v>9</v>
      </c>
      <c r="B435" s="11" t="s">
        <v>363</v>
      </c>
      <c r="C435" s="11">
        <v>2026010050</v>
      </c>
      <c r="D435" s="11" t="s">
        <v>2335</v>
      </c>
      <c r="E435" s="11" t="s">
        <v>365</v>
      </c>
      <c r="F435" s="11">
        <v>3913</v>
      </c>
      <c r="G435" s="11" t="s">
        <v>2336</v>
      </c>
      <c r="H435" s="11" t="s">
        <v>2337</v>
      </c>
      <c r="I435" s="11" t="s">
        <v>2338</v>
      </c>
      <c r="J435" s="11" t="s">
        <v>445</v>
      </c>
      <c r="K435" s="11" t="s">
        <v>446</v>
      </c>
      <c r="L435" s="11" t="s">
        <v>398</v>
      </c>
      <c r="M435" s="12" t="s">
        <v>399</v>
      </c>
      <c r="N435" s="11" t="s">
        <v>1788</v>
      </c>
      <c r="O435" s="12" t="s">
        <v>1789</v>
      </c>
      <c r="P435" s="13" t="s">
        <v>2339</v>
      </c>
      <c r="Q435" s="11" t="s">
        <v>2340</v>
      </c>
      <c r="R435" s="11" t="s">
        <v>326</v>
      </c>
      <c r="S435" s="11" t="s">
        <v>133</v>
      </c>
      <c r="T435" s="11">
        <v>1</v>
      </c>
      <c r="U435" s="11" t="s">
        <v>327</v>
      </c>
      <c r="V435" s="11" t="s">
        <v>2341</v>
      </c>
      <c r="W435" s="11" t="s">
        <v>2342</v>
      </c>
      <c r="X435" s="367">
        <v>46024.638888888891</v>
      </c>
      <c r="Y435" s="11" t="s">
        <v>2343</v>
      </c>
      <c r="Z435" s="11">
        <v>0.3</v>
      </c>
      <c r="AA435" s="11"/>
      <c r="AB435" s="11" t="s">
        <v>330</v>
      </c>
      <c r="AC435" s="212" t="s">
        <v>2344</v>
      </c>
      <c r="AD435" s="11"/>
      <c r="AE435" s="11"/>
      <c r="AF435" s="11"/>
      <c r="AG435" s="11"/>
      <c r="AH435" s="11"/>
      <c r="AI435" s="11"/>
      <c r="AJ435" s="11"/>
      <c r="AK435" s="11" t="s">
        <v>332</v>
      </c>
      <c r="AL435" s="213">
        <f t="shared" si="12"/>
        <v>46024</v>
      </c>
      <c r="AM435" s="211">
        <f t="shared" si="13"/>
        <v>46024</v>
      </c>
    </row>
    <row r="436" spans="1:39" ht="21.6" customHeight="1">
      <c r="A436" s="11">
        <v>10</v>
      </c>
      <c r="B436" s="11" t="s">
        <v>363</v>
      </c>
      <c r="C436" s="11">
        <v>2026010051</v>
      </c>
      <c r="D436" s="11" t="s">
        <v>2345</v>
      </c>
      <c r="E436" s="11" t="s">
        <v>365</v>
      </c>
      <c r="F436" s="11">
        <v>3913</v>
      </c>
      <c r="G436" s="11" t="s">
        <v>2336</v>
      </c>
      <c r="H436" s="11" t="s">
        <v>2337</v>
      </c>
      <c r="I436" s="11" t="s">
        <v>2346</v>
      </c>
      <c r="J436" s="11" t="s">
        <v>445</v>
      </c>
      <c r="K436" s="11" t="s">
        <v>446</v>
      </c>
      <c r="L436" s="11" t="s">
        <v>398</v>
      </c>
      <c r="M436" s="12" t="s">
        <v>399</v>
      </c>
      <c r="N436" s="11" t="s">
        <v>1788</v>
      </c>
      <c r="O436" s="12" t="s">
        <v>1789</v>
      </c>
      <c r="P436" s="13" t="s">
        <v>2347</v>
      </c>
      <c r="Q436" s="11" t="s">
        <v>2340</v>
      </c>
      <c r="R436" s="11" t="s">
        <v>326</v>
      </c>
      <c r="S436" s="11" t="s">
        <v>133</v>
      </c>
      <c r="T436" s="11">
        <v>1</v>
      </c>
      <c r="U436" s="11" t="s">
        <v>327</v>
      </c>
      <c r="V436" s="11" t="s">
        <v>2348</v>
      </c>
      <c r="W436" s="11" t="s">
        <v>2349</v>
      </c>
      <c r="X436" s="367">
        <v>46024.652777777781</v>
      </c>
      <c r="Y436" s="11" t="s">
        <v>2343</v>
      </c>
      <c r="Z436" s="11">
        <v>0.3</v>
      </c>
      <c r="AA436" s="11"/>
      <c r="AB436" s="11" t="s">
        <v>330</v>
      </c>
      <c r="AC436" s="212" t="s">
        <v>2344</v>
      </c>
      <c r="AD436" s="11"/>
      <c r="AE436" s="11"/>
      <c r="AF436" s="11"/>
      <c r="AG436" s="11"/>
      <c r="AH436" s="11"/>
      <c r="AI436" s="11"/>
      <c r="AJ436" s="11"/>
      <c r="AK436" s="11" t="s">
        <v>332</v>
      </c>
      <c r="AL436" s="213">
        <f t="shared" si="12"/>
        <v>46024</v>
      </c>
      <c r="AM436" s="211">
        <f t="shared" si="13"/>
        <v>46024</v>
      </c>
    </row>
    <row r="437" spans="1:39" ht="21.6" customHeight="1">
      <c r="A437" s="11">
        <v>11</v>
      </c>
      <c r="B437" s="11" t="s">
        <v>322</v>
      </c>
      <c r="C437" s="11">
        <v>2026010053</v>
      </c>
      <c r="D437" s="11"/>
      <c r="E437" s="11"/>
      <c r="F437" s="11">
        <v>3921</v>
      </c>
      <c r="G437" s="11" t="s">
        <v>1690</v>
      </c>
      <c r="H437" s="11" t="s">
        <v>763</v>
      </c>
      <c r="I437" s="11"/>
      <c r="J437" s="11"/>
      <c r="K437" s="11"/>
      <c r="L437" s="11"/>
      <c r="M437" s="12"/>
      <c r="N437" s="11"/>
      <c r="O437" s="12"/>
      <c r="P437" s="13"/>
      <c r="Q437" s="11" t="s">
        <v>1691</v>
      </c>
      <c r="R437" s="11" t="s">
        <v>326</v>
      </c>
      <c r="S437" s="11" t="s">
        <v>118</v>
      </c>
      <c r="T437" s="11">
        <v>1</v>
      </c>
      <c r="U437" s="11" t="s">
        <v>327</v>
      </c>
      <c r="V437" s="11" t="s">
        <v>2350</v>
      </c>
      <c r="W437" s="11" t="s">
        <v>2351</v>
      </c>
      <c r="X437" s="367">
        <v>46024.458333333343</v>
      </c>
      <c r="Y437" s="11"/>
      <c r="Z437" s="11">
        <v>0.5</v>
      </c>
      <c r="AA437" s="11"/>
      <c r="AB437" s="11" t="s">
        <v>330</v>
      </c>
      <c r="AC437" s="212" t="s">
        <v>2352</v>
      </c>
      <c r="AD437" s="11" t="s">
        <v>332</v>
      </c>
      <c r="AE437" s="11"/>
      <c r="AF437" s="11"/>
      <c r="AG437" s="11"/>
      <c r="AH437" s="11"/>
      <c r="AI437" s="11"/>
      <c r="AJ437" s="11" t="s">
        <v>332</v>
      </c>
      <c r="AK437" s="11" t="s">
        <v>332</v>
      </c>
      <c r="AL437" s="213" t="e">
        <f t="shared" si="12"/>
        <v>#VALUE!</v>
      </c>
      <c r="AM437" s="211">
        <f t="shared" si="13"/>
        <v>46024</v>
      </c>
    </row>
    <row r="438" spans="1:39" ht="21.6" customHeight="1">
      <c r="A438" s="11">
        <v>12</v>
      </c>
      <c r="B438" s="11" t="s">
        <v>363</v>
      </c>
      <c r="C438" s="11">
        <v>2026010058</v>
      </c>
      <c r="D438" s="11" t="s">
        <v>2353</v>
      </c>
      <c r="E438" s="11" t="s">
        <v>365</v>
      </c>
      <c r="F438" s="11">
        <v>4788</v>
      </c>
      <c r="G438" s="11" t="s">
        <v>587</v>
      </c>
      <c r="H438" s="11" t="s">
        <v>567</v>
      </c>
      <c r="I438" s="11" t="s">
        <v>2354</v>
      </c>
      <c r="J438" s="11" t="s">
        <v>445</v>
      </c>
      <c r="K438" s="11" t="s">
        <v>446</v>
      </c>
      <c r="L438" s="11" t="s">
        <v>398</v>
      </c>
      <c r="M438" s="12" t="s">
        <v>399</v>
      </c>
      <c r="N438" s="11" t="s">
        <v>1788</v>
      </c>
      <c r="O438" s="12" t="s">
        <v>1789</v>
      </c>
      <c r="P438" s="13" t="s">
        <v>2355</v>
      </c>
      <c r="Q438" s="11" t="s">
        <v>588</v>
      </c>
      <c r="R438" s="11" t="s">
        <v>326</v>
      </c>
      <c r="S438" s="11" t="s">
        <v>123</v>
      </c>
      <c r="T438" s="11">
        <v>1</v>
      </c>
      <c r="U438" s="11" t="s">
        <v>327</v>
      </c>
      <c r="V438" s="11" t="s">
        <v>2356</v>
      </c>
      <c r="W438" s="11" t="s">
        <v>2357</v>
      </c>
      <c r="X438" s="367">
        <v>46024.5</v>
      </c>
      <c r="Y438" s="11" t="s">
        <v>2358</v>
      </c>
      <c r="Z438" s="11">
        <v>0.3</v>
      </c>
      <c r="AA438" s="11"/>
      <c r="AB438" s="11" t="s">
        <v>330</v>
      </c>
      <c r="AC438" s="212" t="s">
        <v>2359</v>
      </c>
      <c r="AD438" s="11"/>
      <c r="AE438" s="11"/>
      <c r="AF438" s="11"/>
      <c r="AG438" s="11"/>
      <c r="AH438" s="11"/>
      <c r="AI438" s="11"/>
      <c r="AJ438" s="11"/>
      <c r="AK438" s="11" t="s">
        <v>332</v>
      </c>
      <c r="AL438" s="213">
        <f t="shared" si="12"/>
        <v>46024</v>
      </c>
      <c r="AM438" s="211">
        <f t="shared" si="13"/>
        <v>46024</v>
      </c>
    </row>
    <row r="439" spans="1:39" ht="21.6" customHeight="1">
      <c r="A439" s="11">
        <v>13</v>
      </c>
      <c r="B439" s="11" t="s">
        <v>363</v>
      </c>
      <c r="C439" s="11">
        <v>2026010059</v>
      </c>
      <c r="D439" s="11" t="s">
        <v>2360</v>
      </c>
      <c r="E439" s="11" t="s">
        <v>365</v>
      </c>
      <c r="F439" s="11">
        <v>4788</v>
      </c>
      <c r="G439" s="11" t="s">
        <v>587</v>
      </c>
      <c r="H439" s="11" t="s">
        <v>567</v>
      </c>
      <c r="I439" s="11" t="s">
        <v>2361</v>
      </c>
      <c r="J439" s="11" t="s">
        <v>445</v>
      </c>
      <c r="K439" s="11" t="s">
        <v>446</v>
      </c>
      <c r="L439" s="11" t="s">
        <v>398</v>
      </c>
      <c r="M439" s="12" t="s">
        <v>399</v>
      </c>
      <c r="N439" s="11" t="s">
        <v>1788</v>
      </c>
      <c r="O439" s="12" t="s">
        <v>1789</v>
      </c>
      <c r="P439" s="13" t="s">
        <v>2362</v>
      </c>
      <c r="Q439" s="11" t="s">
        <v>588</v>
      </c>
      <c r="R439" s="11" t="s">
        <v>326</v>
      </c>
      <c r="S439" s="11" t="s">
        <v>123</v>
      </c>
      <c r="T439" s="11">
        <v>1</v>
      </c>
      <c r="U439" s="11" t="s">
        <v>327</v>
      </c>
      <c r="V439" s="11" t="s">
        <v>2363</v>
      </c>
      <c r="W439" s="11" t="s">
        <v>2357</v>
      </c>
      <c r="X439" s="367">
        <v>46024.5</v>
      </c>
      <c r="Y439" s="11" t="s">
        <v>2364</v>
      </c>
      <c r="Z439" s="11">
        <v>0.3</v>
      </c>
      <c r="AA439" s="11"/>
      <c r="AB439" s="11" t="s">
        <v>330</v>
      </c>
      <c r="AC439" s="212" t="s">
        <v>2359</v>
      </c>
      <c r="AD439" s="11"/>
      <c r="AE439" s="11"/>
      <c r="AF439" s="11"/>
      <c r="AG439" s="11"/>
      <c r="AH439" s="11"/>
      <c r="AI439" s="11"/>
      <c r="AJ439" s="11"/>
      <c r="AK439" s="11" t="s">
        <v>332</v>
      </c>
      <c r="AL439" s="213">
        <f t="shared" si="12"/>
        <v>46024</v>
      </c>
      <c r="AM439" s="211">
        <f t="shared" si="13"/>
        <v>46024</v>
      </c>
    </row>
    <row r="440" spans="1:39" ht="21.6" customHeight="1">
      <c r="A440" s="11">
        <v>14</v>
      </c>
      <c r="B440" s="11" t="s">
        <v>322</v>
      </c>
      <c r="C440" s="11">
        <v>2026010067</v>
      </c>
      <c r="D440" s="11"/>
      <c r="E440" s="11"/>
      <c r="F440" s="11">
        <v>4316</v>
      </c>
      <c r="G440" s="11" t="s">
        <v>1693</v>
      </c>
      <c r="H440" s="11" t="s">
        <v>763</v>
      </c>
      <c r="I440" s="11"/>
      <c r="J440" s="11"/>
      <c r="K440" s="11"/>
      <c r="L440" s="11"/>
      <c r="M440" s="12"/>
      <c r="N440" s="11"/>
      <c r="O440" s="12"/>
      <c r="P440" s="13"/>
      <c r="Q440" s="11" t="s">
        <v>1694</v>
      </c>
      <c r="R440" s="11" t="s">
        <v>326</v>
      </c>
      <c r="S440" s="11" t="s">
        <v>118</v>
      </c>
      <c r="T440" s="11">
        <v>1</v>
      </c>
      <c r="U440" s="11" t="s">
        <v>327</v>
      </c>
      <c r="V440" s="11" t="s">
        <v>2365</v>
      </c>
      <c r="W440" s="11" t="s">
        <v>2366</v>
      </c>
      <c r="X440" s="367">
        <v>46024.479166666657</v>
      </c>
      <c r="Y440" s="11"/>
      <c r="Z440" s="11">
        <v>0.5</v>
      </c>
      <c r="AA440" s="11"/>
      <c r="AB440" s="11" t="s">
        <v>330</v>
      </c>
      <c r="AC440" s="212" t="s">
        <v>2367</v>
      </c>
      <c r="AD440" s="11" t="s">
        <v>332</v>
      </c>
      <c r="AE440" s="11"/>
      <c r="AF440" s="11"/>
      <c r="AG440" s="11"/>
      <c r="AH440" s="11"/>
      <c r="AI440" s="11"/>
      <c r="AJ440" s="11" t="s">
        <v>332</v>
      </c>
      <c r="AK440" s="11" t="s">
        <v>332</v>
      </c>
      <c r="AL440" s="213" t="e">
        <f t="shared" si="12"/>
        <v>#VALUE!</v>
      </c>
      <c r="AM440" s="211">
        <f t="shared" si="13"/>
        <v>46024</v>
      </c>
    </row>
    <row r="441" spans="1:39" ht="21.6" customHeight="1">
      <c r="A441" s="11">
        <v>15</v>
      </c>
      <c r="B441" s="11" t="s">
        <v>322</v>
      </c>
      <c r="C441" s="11">
        <v>2026010068</v>
      </c>
      <c r="D441" s="11"/>
      <c r="E441" s="11"/>
      <c r="F441" s="11">
        <v>5155</v>
      </c>
      <c r="G441" s="11" t="s">
        <v>173</v>
      </c>
      <c r="H441" s="11" t="s">
        <v>567</v>
      </c>
      <c r="I441" s="11"/>
      <c r="J441" s="11"/>
      <c r="K441" s="11"/>
      <c r="L441" s="11"/>
      <c r="M441" s="12"/>
      <c r="N441" s="11"/>
      <c r="O441" s="12"/>
      <c r="P441" s="13"/>
      <c r="Q441" s="11" t="s">
        <v>1068</v>
      </c>
      <c r="R441" s="11" t="s">
        <v>326</v>
      </c>
      <c r="S441" s="11" t="s">
        <v>123</v>
      </c>
      <c r="T441" s="11">
        <v>1</v>
      </c>
      <c r="U441" s="11" t="s">
        <v>327</v>
      </c>
      <c r="V441" s="11" t="s">
        <v>2368</v>
      </c>
      <c r="W441" s="11" t="s">
        <v>2366</v>
      </c>
      <c r="X441" s="367">
        <v>46024.482638888891</v>
      </c>
      <c r="Y441" s="11"/>
      <c r="Z441" s="11">
        <v>0.6</v>
      </c>
      <c r="AA441" s="11"/>
      <c r="AB441" s="11" t="s">
        <v>330</v>
      </c>
      <c r="AC441" s="212" t="s">
        <v>2369</v>
      </c>
      <c r="AD441" s="11"/>
      <c r="AE441" s="11" t="s">
        <v>332</v>
      </c>
      <c r="AF441" s="11"/>
      <c r="AG441" s="11"/>
      <c r="AH441" s="11"/>
      <c r="AI441" s="11"/>
      <c r="AJ441" s="11"/>
      <c r="AK441" s="11" t="s">
        <v>332</v>
      </c>
      <c r="AL441" s="213" t="e">
        <f t="shared" si="12"/>
        <v>#VALUE!</v>
      </c>
      <c r="AM441" s="211">
        <f t="shared" si="13"/>
        <v>46024</v>
      </c>
    </row>
    <row r="442" spans="1:39" ht="21.6" customHeight="1">
      <c r="A442" s="11">
        <v>16</v>
      </c>
      <c r="B442" s="11" t="s">
        <v>322</v>
      </c>
      <c r="C442" s="11">
        <v>2026010084</v>
      </c>
      <c r="D442" s="11"/>
      <c r="E442" s="11"/>
      <c r="F442" s="11">
        <v>4788</v>
      </c>
      <c r="G442" s="11" t="s">
        <v>587</v>
      </c>
      <c r="H442" s="11" t="s">
        <v>567</v>
      </c>
      <c r="I442" s="11"/>
      <c r="J442" s="11"/>
      <c r="K442" s="11"/>
      <c r="L442" s="11"/>
      <c r="M442" s="12"/>
      <c r="N442" s="11"/>
      <c r="O442" s="12"/>
      <c r="P442" s="13"/>
      <c r="Q442" s="11" t="s">
        <v>588</v>
      </c>
      <c r="R442" s="11" t="s">
        <v>326</v>
      </c>
      <c r="S442" s="11" t="s">
        <v>123</v>
      </c>
      <c r="T442" s="11">
        <v>1</v>
      </c>
      <c r="U442" s="11" t="s">
        <v>327</v>
      </c>
      <c r="V442" s="11" t="s">
        <v>2370</v>
      </c>
      <c r="W442" s="11" t="s">
        <v>2371</v>
      </c>
      <c r="X442" s="367">
        <v>46024.520138888889</v>
      </c>
      <c r="Y442" s="11"/>
      <c r="Z442" s="11">
        <v>0.5</v>
      </c>
      <c r="AA442" s="11"/>
      <c r="AB442" s="11" t="s">
        <v>330</v>
      </c>
      <c r="AC442" s="212" t="s">
        <v>2372</v>
      </c>
      <c r="AD442" s="11" t="s">
        <v>332</v>
      </c>
      <c r="AE442" s="11"/>
      <c r="AF442" s="11"/>
      <c r="AG442" s="11"/>
      <c r="AH442" s="11"/>
      <c r="AI442" s="11"/>
      <c r="AJ442" s="11"/>
      <c r="AK442" s="11" t="s">
        <v>332</v>
      </c>
      <c r="AL442" s="213" t="e">
        <f t="shared" si="12"/>
        <v>#VALUE!</v>
      </c>
      <c r="AM442" s="211">
        <f t="shared" si="13"/>
        <v>46024</v>
      </c>
    </row>
    <row r="443" spans="1:39" ht="21.6" customHeight="1">
      <c r="A443" s="11">
        <v>17</v>
      </c>
      <c r="B443" s="11" t="s">
        <v>322</v>
      </c>
      <c r="C443" s="11">
        <v>2026010149</v>
      </c>
      <c r="D443" s="11"/>
      <c r="E443" s="11"/>
      <c r="F443" s="11">
        <v>4852</v>
      </c>
      <c r="G443" s="11" t="s">
        <v>2324</v>
      </c>
      <c r="H443" s="11" t="s">
        <v>2325</v>
      </c>
      <c r="I443" s="11"/>
      <c r="J443" s="11"/>
      <c r="K443" s="11"/>
      <c r="L443" s="11"/>
      <c r="M443" s="12"/>
      <c r="N443" s="11"/>
      <c r="O443" s="12"/>
      <c r="P443" s="13"/>
      <c r="Q443" s="11" t="s">
        <v>2328</v>
      </c>
      <c r="R443" s="11" t="s">
        <v>326</v>
      </c>
      <c r="S443" s="11" t="s">
        <v>123</v>
      </c>
      <c r="T443" s="11">
        <v>1</v>
      </c>
      <c r="U443" s="11" t="s">
        <v>327</v>
      </c>
      <c r="V443" s="11" t="s">
        <v>2373</v>
      </c>
      <c r="W443" s="11" t="s">
        <v>2374</v>
      </c>
      <c r="X443" s="367">
        <v>46024.645833333343</v>
      </c>
      <c r="Y443" s="11"/>
      <c r="Z443" s="11">
        <v>0.3</v>
      </c>
      <c r="AA443" s="11"/>
      <c r="AB443" s="11" t="s">
        <v>330</v>
      </c>
      <c r="AC443" s="212" t="s">
        <v>2375</v>
      </c>
      <c r="AD443" s="11" t="s">
        <v>332</v>
      </c>
      <c r="AE443" s="11"/>
      <c r="AF443" s="11"/>
      <c r="AG443" s="11"/>
      <c r="AH443" s="11"/>
      <c r="AI443" s="11"/>
      <c r="AJ443" s="11"/>
      <c r="AK443" s="11" t="s">
        <v>332</v>
      </c>
      <c r="AL443" s="213" t="e">
        <f t="shared" si="12"/>
        <v>#VALUE!</v>
      </c>
      <c r="AM443" s="211">
        <f t="shared" si="13"/>
        <v>46024</v>
      </c>
    </row>
    <row r="444" spans="1:39" ht="21.6" customHeight="1">
      <c r="A444" s="11">
        <v>18</v>
      </c>
      <c r="B444" s="11" t="s">
        <v>322</v>
      </c>
      <c r="C444" s="11">
        <v>2026010150</v>
      </c>
      <c r="D444" s="11"/>
      <c r="E444" s="11"/>
      <c r="F444" s="11">
        <v>3913</v>
      </c>
      <c r="G444" s="11" t="s">
        <v>2336</v>
      </c>
      <c r="H444" s="11" t="s">
        <v>2337</v>
      </c>
      <c r="I444" s="11"/>
      <c r="J444" s="11"/>
      <c r="K444" s="11"/>
      <c r="L444" s="11"/>
      <c r="M444" s="12"/>
      <c r="N444" s="11"/>
      <c r="O444" s="12"/>
      <c r="P444" s="13"/>
      <c r="Q444" s="11" t="s">
        <v>2340</v>
      </c>
      <c r="R444" s="11" t="s">
        <v>326</v>
      </c>
      <c r="S444" s="11" t="s">
        <v>133</v>
      </c>
      <c r="T444" s="11">
        <v>1</v>
      </c>
      <c r="U444" s="11" t="s">
        <v>327</v>
      </c>
      <c r="V444" s="11" t="s">
        <v>2376</v>
      </c>
      <c r="W444" s="11" t="s">
        <v>2377</v>
      </c>
      <c r="X444" s="367">
        <v>46024.625</v>
      </c>
      <c r="Y444" s="11"/>
      <c r="Z444" s="11">
        <v>0.3</v>
      </c>
      <c r="AA444" s="11"/>
      <c r="AB444" s="11" t="s">
        <v>330</v>
      </c>
      <c r="AC444" s="212" t="s">
        <v>2378</v>
      </c>
      <c r="AD444" s="11" t="s">
        <v>332</v>
      </c>
      <c r="AE444" s="11"/>
      <c r="AF444" s="11"/>
      <c r="AG444" s="11"/>
      <c r="AH444" s="11"/>
      <c r="AI444" s="11"/>
      <c r="AJ444" s="11" t="s">
        <v>332</v>
      </c>
      <c r="AK444" s="11"/>
      <c r="AL444" s="213" t="e">
        <f t="shared" si="12"/>
        <v>#VALUE!</v>
      </c>
      <c r="AM444" s="211">
        <f t="shared" si="13"/>
        <v>46024</v>
      </c>
    </row>
    <row r="445" spans="1:39" ht="21.6" customHeight="1">
      <c r="A445" s="11">
        <v>19</v>
      </c>
      <c r="B445" s="11" t="s">
        <v>322</v>
      </c>
      <c r="C445" s="11">
        <v>2026010151</v>
      </c>
      <c r="D445" s="11"/>
      <c r="E445" s="11"/>
      <c r="F445" s="11">
        <v>4852</v>
      </c>
      <c r="G445" s="11" t="s">
        <v>2324</v>
      </c>
      <c r="H445" s="11" t="s">
        <v>2325</v>
      </c>
      <c r="I445" s="11"/>
      <c r="J445" s="11"/>
      <c r="K445" s="11"/>
      <c r="L445" s="11"/>
      <c r="M445" s="12"/>
      <c r="N445" s="11"/>
      <c r="O445" s="12"/>
      <c r="P445" s="13"/>
      <c r="Q445" s="11" t="s">
        <v>2328</v>
      </c>
      <c r="R445" s="11" t="s">
        <v>326</v>
      </c>
      <c r="S445" s="11" t="s">
        <v>123</v>
      </c>
      <c r="T445" s="11">
        <v>1</v>
      </c>
      <c r="U445" s="11" t="s">
        <v>327</v>
      </c>
      <c r="V445" s="11" t="s">
        <v>2379</v>
      </c>
      <c r="W445" s="11" t="s">
        <v>2380</v>
      </c>
      <c r="X445" s="367">
        <v>46024.625</v>
      </c>
      <c r="Y445" s="11"/>
      <c r="Z445" s="11">
        <v>0.1</v>
      </c>
      <c r="AA445" s="11"/>
      <c r="AB445" s="11" t="s">
        <v>330</v>
      </c>
      <c r="AC445" s="212" t="s">
        <v>102</v>
      </c>
      <c r="AD445" s="11"/>
      <c r="AE445" s="11"/>
      <c r="AF445" s="11"/>
      <c r="AG445" s="11"/>
      <c r="AH445" s="11"/>
      <c r="AI445" s="11"/>
      <c r="AJ445" s="11" t="s">
        <v>332</v>
      </c>
      <c r="AK445" s="11" t="s">
        <v>332</v>
      </c>
      <c r="AL445" s="213" t="e">
        <f t="shared" si="12"/>
        <v>#VALUE!</v>
      </c>
      <c r="AM445" s="211">
        <f t="shared" si="13"/>
        <v>46024</v>
      </c>
    </row>
    <row r="446" spans="1:39" ht="21.6" customHeight="1">
      <c r="A446" s="11">
        <v>20</v>
      </c>
      <c r="B446" s="11" t="s">
        <v>363</v>
      </c>
      <c r="C446" s="11">
        <v>2026010187</v>
      </c>
      <c r="D446" s="11" t="s">
        <v>2381</v>
      </c>
      <c r="E446" s="11" t="s">
        <v>365</v>
      </c>
      <c r="F446" s="11">
        <v>3785</v>
      </c>
      <c r="G446" s="11" t="s">
        <v>489</v>
      </c>
      <c r="H446" s="11" t="s">
        <v>490</v>
      </c>
      <c r="I446" s="11" t="s">
        <v>2382</v>
      </c>
      <c r="J446" s="11" t="s">
        <v>445</v>
      </c>
      <c r="K446" s="11" t="s">
        <v>903</v>
      </c>
      <c r="L446" s="11" t="s">
        <v>1120</v>
      </c>
      <c r="M446" s="12" t="s">
        <v>1121</v>
      </c>
      <c r="N446" s="11">
        <v>5903</v>
      </c>
      <c r="O446" s="12" t="s">
        <v>401</v>
      </c>
      <c r="P446" s="13" t="s">
        <v>2383</v>
      </c>
      <c r="Q446" s="11" t="s">
        <v>497</v>
      </c>
      <c r="R446" s="11" t="s">
        <v>326</v>
      </c>
      <c r="S446" s="11" t="s">
        <v>118</v>
      </c>
      <c r="T446" s="11">
        <v>1</v>
      </c>
      <c r="U446" s="11" t="s">
        <v>327</v>
      </c>
      <c r="V446" s="11" t="s">
        <v>2384</v>
      </c>
      <c r="W446" s="11" t="s">
        <v>2385</v>
      </c>
      <c r="X446" s="367">
        <v>46028.395833333343</v>
      </c>
      <c r="Y446" s="11" t="s">
        <v>2386</v>
      </c>
      <c r="Z446" s="11">
        <v>0.5</v>
      </c>
      <c r="AA446" s="11"/>
      <c r="AB446" s="11" t="s">
        <v>330</v>
      </c>
      <c r="AC446" s="212" t="s">
        <v>2387</v>
      </c>
      <c r="AD446" s="11"/>
      <c r="AE446" s="11"/>
      <c r="AF446" s="11"/>
      <c r="AG446" s="11"/>
      <c r="AH446" s="11"/>
      <c r="AI446" s="11"/>
      <c r="AJ446" s="11"/>
      <c r="AK446" s="11" t="s">
        <v>332</v>
      </c>
      <c r="AL446" s="213">
        <f t="shared" si="12"/>
        <v>46024</v>
      </c>
      <c r="AM446" s="211">
        <f t="shared" si="13"/>
        <v>46028</v>
      </c>
    </row>
    <row r="447" spans="1:39" ht="21.6" customHeight="1">
      <c r="A447" s="11">
        <v>21</v>
      </c>
      <c r="B447" s="11" t="s">
        <v>363</v>
      </c>
      <c r="C447" s="11">
        <v>2026010189</v>
      </c>
      <c r="D447" s="11" t="s">
        <v>2388</v>
      </c>
      <c r="E447" s="11" t="s">
        <v>365</v>
      </c>
      <c r="F447" s="11">
        <v>4029</v>
      </c>
      <c r="G447" s="11" t="s">
        <v>2201</v>
      </c>
      <c r="H447" s="11" t="s">
        <v>358</v>
      </c>
      <c r="I447" s="11" t="s">
        <v>2389</v>
      </c>
      <c r="J447" s="11" t="s">
        <v>458</v>
      </c>
      <c r="K447" s="11" t="s">
        <v>446</v>
      </c>
      <c r="L447" s="11" t="s">
        <v>493</v>
      </c>
      <c r="M447" s="12" t="s">
        <v>494</v>
      </c>
      <c r="N447" s="11">
        <v>2501</v>
      </c>
      <c r="O447" s="12" t="s">
        <v>495</v>
      </c>
      <c r="P447" s="13" t="s">
        <v>2390</v>
      </c>
      <c r="Q447" s="11" t="s">
        <v>2202</v>
      </c>
      <c r="R447" s="11" t="s">
        <v>326</v>
      </c>
      <c r="S447" s="11" t="s">
        <v>133</v>
      </c>
      <c r="T447" s="11">
        <v>1</v>
      </c>
      <c r="U447" s="11" t="s">
        <v>327</v>
      </c>
      <c r="V447" s="11" t="s">
        <v>2391</v>
      </c>
      <c r="W447" s="11" t="s">
        <v>2392</v>
      </c>
      <c r="X447" s="367">
        <v>46025.583333333343</v>
      </c>
      <c r="Y447" s="11" t="s">
        <v>2386</v>
      </c>
      <c r="Z447" s="11">
        <v>0.1</v>
      </c>
      <c r="AA447" s="11"/>
      <c r="AB447" s="11" t="s">
        <v>1048</v>
      </c>
      <c r="AC447" s="212" t="s">
        <v>2393</v>
      </c>
      <c r="AD447" s="11"/>
      <c r="AE447" s="11"/>
      <c r="AF447" s="11"/>
      <c r="AG447" s="11"/>
      <c r="AH447" s="11"/>
      <c r="AI447" s="11"/>
      <c r="AJ447" s="11"/>
      <c r="AK447" s="11" t="s">
        <v>332</v>
      </c>
      <c r="AL447" s="213">
        <f t="shared" si="12"/>
        <v>46025</v>
      </c>
      <c r="AM447" s="211">
        <f t="shared" si="13"/>
        <v>46025</v>
      </c>
    </row>
    <row r="448" spans="1:39" ht="21.6" customHeight="1">
      <c r="A448" s="11">
        <v>22</v>
      </c>
      <c r="B448" s="11" t="s">
        <v>363</v>
      </c>
      <c r="C448" s="11">
        <v>2026010193</v>
      </c>
      <c r="D448" s="11" t="s">
        <v>2394</v>
      </c>
      <c r="E448" s="11" t="s">
        <v>475</v>
      </c>
      <c r="F448" s="11">
        <v>4029</v>
      </c>
      <c r="G448" s="11" t="s">
        <v>2201</v>
      </c>
      <c r="H448" s="11" t="s">
        <v>358</v>
      </c>
      <c r="I448" s="11" t="s">
        <v>2395</v>
      </c>
      <c r="J448" s="11" t="s">
        <v>458</v>
      </c>
      <c r="K448" s="11" t="s">
        <v>200</v>
      </c>
      <c r="L448" s="11" t="s">
        <v>493</v>
      </c>
      <c r="M448" s="12" t="s">
        <v>494</v>
      </c>
      <c r="N448" s="11">
        <v>2501</v>
      </c>
      <c r="O448" s="12" t="s">
        <v>495</v>
      </c>
      <c r="P448" s="13" t="s">
        <v>2396</v>
      </c>
      <c r="Q448" s="11" t="s">
        <v>2202</v>
      </c>
      <c r="R448" s="11" t="s">
        <v>326</v>
      </c>
      <c r="S448" s="11" t="s">
        <v>123</v>
      </c>
      <c r="T448" s="11">
        <v>1</v>
      </c>
      <c r="U448" s="11" t="s">
        <v>327</v>
      </c>
      <c r="V448" s="11" t="s">
        <v>2397</v>
      </c>
      <c r="W448" s="11" t="s">
        <v>2398</v>
      </c>
      <c r="X448" s="367">
        <v>46025.67083333333</v>
      </c>
      <c r="Y448" s="11" t="s">
        <v>2399</v>
      </c>
      <c r="Z448" s="11">
        <v>0.6</v>
      </c>
      <c r="AA448" s="11"/>
      <c r="AB448" s="11" t="s">
        <v>330</v>
      </c>
      <c r="AC448" s="212" t="s">
        <v>2400</v>
      </c>
      <c r="AD448" s="11"/>
      <c r="AE448" s="11"/>
      <c r="AF448" s="11"/>
      <c r="AG448" s="11"/>
      <c r="AH448" s="11"/>
      <c r="AI448" s="11"/>
      <c r="AJ448" s="11"/>
      <c r="AK448" s="11" t="s">
        <v>332</v>
      </c>
      <c r="AL448" s="213">
        <f t="shared" si="12"/>
        <v>46025</v>
      </c>
      <c r="AM448" s="211">
        <f t="shared" si="13"/>
        <v>46025</v>
      </c>
    </row>
    <row r="449" spans="1:39" ht="21.6" customHeight="1">
      <c r="A449" s="11">
        <v>23</v>
      </c>
      <c r="B449" s="11" t="s">
        <v>363</v>
      </c>
      <c r="C449" s="11">
        <v>2026010195</v>
      </c>
      <c r="D449" s="11" t="s">
        <v>2401</v>
      </c>
      <c r="E449" s="11" t="s">
        <v>365</v>
      </c>
      <c r="F449" s="11">
        <v>3890</v>
      </c>
      <c r="G449" s="11" t="s">
        <v>821</v>
      </c>
      <c r="H449" s="11" t="s">
        <v>358</v>
      </c>
      <c r="I449" s="11" t="s">
        <v>2402</v>
      </c>
      <c r="J449" s="11" t="s">
        <v>458</v>
      </c>
      <c r="K449" s="11" t="s">
        <v>200</v>
      </c>
      <c r="L449" s="11" t="s">
        <v>1097</v>
      </c>
      <c r="M449" s="12" t="s">
        <v>1098</v>
      </c>
      <c r="N449" s="11" t="s">
        <v>1099</v>
      </c>
      <c r="O449" s="12" t="s">
        <v>1100</v>
      </c>
      <c r="P449" s="13" t="s">
        <v>2403</v>
      </c>
      <c r="Q449" s="11" t="s">
        <v>822</v>
      </c>
      <c r="R449" s="11" t="s">
        <v>326</v>
      </c>
      <c r="S449" s="11" t="s">
        <v>133</v>
      </c>
      <c r="T449" s="11">
        <v>1</v>
      </c>
      <c r="U449" s="11" t="s">
        <v>327</v>
      </c>
      <c r="V449" s="11" t="s">
        <v>2404</v>
      </c>
      <c r="W449" s="11" t="s">
        <v>2385</v>
      </c>
      <c r="X449" s="367">
        <v>46028.392361111109</v>
      </c>
      <c r="Y449" s="11" t="s">
        <v>2386</v>
      </c>
      <c r="Z449" s="11">
        <v>0.4</v>
      </c>
      <c r="AA449" s="11"/>
      <c r="AB449" s="11" t="s">
        <v>330</v>
      </c>
      <c r="AC449" s="212" t="s">
        <v>2405</v>
      </c>
      <c r="AD449" s="11"/>
      <c r="AE449" s="11"/>
      <c r="AF449" s="11"/>
      <c r="AG449" s="11"/>
      <c r="AH449" s="11"/>
      <c r="AI449" s="11"/>
      <c r="AJ449" s="11"/>
      <c r="AK449" s="11" t="s">
        <v>332</v>
      </c>
      <c r="AL449" s="213">
        <f t="shared" si="12"/>
        <v>46025</v>
      </c>
      <c r="AM449" s="211">
        <f t="shared" si="13"/>
        <v>46028</v>
      </c>
    </row>
    <row r="450" spans="1:39" ht="21.6" customHeight="1">
      <c r="A450" s="11">
        <v>24</v>
      </c>
      <c r="B450" s="11" t="s">
        <v>363</v>
      </c>
      <c r="C450" s="11">
        <v>2026010197</v>
      </c>
      <c r="D450" s="11" t="s">
        <v>2406</v>
      </c>
      <c r="E450" s="11" t="s">
        <v>365</v>
      </c>
      <c r="F450" s="11">
        <v>3741</v>
      </c>
      <c r="G450" s="11" t="s">
        <v>670</v>
      </c>
      <c r="H450" s="11" t="s">
        <v>358</v>
      </c>
      <c r="I450" s="11" t="s">
        <v>2407</v>
      </c>
      <c r="J450" s="11" t="s">
        <v>458</v>
      </c>
      <c r="K450" s="11" t="s">
        <v>903</v>
      </c>
      <c r="L450" s="11" t="s">
        <v>2408</v>
      </c>
      <c r="M450" s="12" t="s">
        <v>2409</v>
      </c>
      <c r="N450" s="11" t="s">
        <v>2410</v>
      </c>
      <c r="O450" s="12" t="s">
        <v>2411</v>
      </c>
      <c r="P450" s="13" t="s">
        <v>2412</v>
      </c>
      <c r="Q450" s="11" t="s">
        <v>671</v>
      </c>
      <c r="R450" s="11" t="s">
        <v>326</v>
      </c>
      <c r="S450" s="11" t="s">
        <v>133</v>
      </c>
      <c r="T450" s="11">
        <v>1</v>
      </c>
      <c r="U450" s="11" t="s">
        <v>327</v>
      </c>
      <c r="V450" s="11" t="s">
        <v>2413</v>
      </c>
      <c r="W450" s="11" t="s">
        <v>2414</v>
      </c>
      <c r="X450" s="367">
        <v>46027.457638888889</v>
      </c>
      <c r="Y450" s="11" t="s">
        <v>2386</v>
      </c>
      <c r="Z450" s="11">
        <v>0.3</v>
      </c>
      <c r="AA450" s="11"/>
      <c r="AB450" s="11" t="s">
        <v>330</v>
      </c>
      <c r="AC450" s="212" t="s">
        <v>2415</v>
      </c>
      <c r="AD450" s="11"/>
      <c r="AE450" s="11"/>
      <c r="AF450" s="11"/>
      <c r="AG450" s="11"/>
      <c r="AH450" s="11"/>
      <c r="AI450" s="11"/>
      <c r="AJ450" s="11"/>
      <c r="AK450" s="11" t="s">
        <v>332</v>
      </c>
      <c r="AL450" s="213">
        <f t="shared" ref="AL450:AL513" si="14">DATEVALUE(TEXT(I450, "yyyy/mm/dd"))</f>
        <v>46025</v>
      </c>
      <c r="AM450" s="211">
        <f t="shared" ref="AM450:AM513" si="15">DATEVALUE(TEXT(X450, "yyyy/mm/dd"))</f>
        <v>46027</v>
      </c>
    </row>
    <row r="451" spans="1:39" ht="21.6" customHeight="1">
      <c r="A451" s="11">
        <v>26</v>
      </c>
      <c r="B451" s="11" t="s">
        <v>363</v>
      </c>
      <c r="C451" s="11">
        <v>2026010201</v>
      </c>
      <c r="D451" s="11" t="s">
        <v>2416</v>
      </c>
      <c r="E451" s="11" t="s">
        <v>365</v>
      </c>
      <c r="F451" s="11">
        <v>5197</v>
      </c>
      <c r="G451" s="11" t="s">
        <v>1782</v>
      </c>
      <c r="H451" s="11" t="s">
        <v>748</v>
      </c>
      <c r="I451" s="11" t="s">
        <v>2417</v>
      </c>
      <c r="J451" s="11" t="s">
        <v>483</v>
      </c>
      <c r="K451" s="11" t="s">
        <v>200</v>
      </c>
      <c r="L451" s="11" t="s">
        <v>1280</v>
      </c>
      <c r="M451" s="12" t="s">
        <v>1281</v>
      </c>
      <c r="N451" s="11">
        <v>6003</v>
      </c>
      <c r="O451" s="12" t="s">
        <v>401</v>
      </c>
      <c r="P451" s="13" t="s">
        <v>2418</v>
      </c>
      <c r="Q451" s="11" t="s">
        <v>1783</v>
      </c>
      <c r="R451" s="11" t="s">
        <v>326</v>
      </c>
      <c r="S451" s="11" t="s">
        <v>118</v>
      </c>
      <c r="T451" s="11">
        <v>1</v>
      </c>
      <c r="U451" s="11" t="s">
        <v>327</v>
      </c>
      <c r="V451" s="11" t="s">
        <v>2419</v>
      </c>
      <c r="W451" s="11" t="s">
        <v>2420</v>
      </c>
      <c r="X451" s="367">
        <v>46028.479166666657</v>
      </c>
      <c r="Y451" s="11" t="s">
        <v>2386</v>
      </c>
      <c r="Z451" s="11">
        <v>0.5</v>
      </c>
      <c r="AA451" s="11"/>
      <c r="AB451" s="11" t="s">
        <v>330</v>
      </c>
      <c r="AC451" s="212" t="s">
        <v>2421</v>
      </c>
      <c r="AD451" s="11"/>
      <c r="AE451" s="11"/>
      <c r="AF451" s="11"/>
      <c r="AG451" s="11"/>
      <c r="AH451" s="11"/>
      <c r="AI451" s="11"/>
      <c r="AJ451" s="11"/>
      <c r="AK451" s="11" t="s">
        <v>332</v>
      </c>
      <c r="AL451" s="213">
        <f t="shared" si="14"/>
        <v>46026</v>
      </c>
      <c r="AM451" s="211">
        <f t="shared" si="15"/>
        <v>46028</v>
      </c>
    </row>
    <row r="452" spans="1:39" ht="21.6" customHeight="1">
      <c r="A452" s="11">
        <v>27</v>
      </c>
      <c r="B452" s="11" t="s">
        <v>363</v>
      </c>
      <c r="C452" s="11">
        <v>2026010202</v>
      </c>
      <c r="D452" s="11" t="s">
        <v>2422</v>
      </c>
      <c r="E452" s="11" t="s">
        <v>365</v>
      </c>
      <c r="F452" s="11">
        <v>4679</v>
      </c>
      <c r="G452" s="11" t="s">
        <v>1174</v>
      </c>
      <c r="H452" s="11" t="s">
        <v>490</v>
      </c>
      <c r="I452" s="11" t="s">
        <v>2423</v>
      </c>
      <c r="J452" s="11" t="s">
        <v>483</v>
      </c>
      <c r="K452" s="11" t="s">
        <v>200</v>
      </c>
      <c r="L452" s="11" t="s">
        <v>447</v>
      </c>
      <c r="M452" s="12" t="s">
        <v>448</v>
      </c>
      <c r="N452" s="11" t="s">
        <v>449</v>
      </c>
      <c r="O452" s="12" t="s">
        <v>450</v>
      </c>
      <c r="P452" s="13" t="s">
        <v>2424</v>
      </c>
      <c r="Q452" s="11" t="s">
        <v>1179</v>
      </c>
      <c r="R452" s="11" t="s">
        <v>326</v>
      </c>
      <c r="S452" s="11" t="s">
        <v>118</v>
      </c>
      <c r="T452" s="11">
        <v>1</v>
      </c>
      <c r="U452" s="11" t="s">
        <v>327</v>
      </c>
      <c r="V452" s="11" t="s">
        <v>2425</v>
      </c>
      <c r="W452" s="11" t="s">
        <v>2426</v>
      </c>
      <c r="X452" s="367">
        <v>46028.4375</v>
      </c>
      <c r="Y452" s="11" t="s">
        <v>2386</v>
      </c>
      <c r="Z452" s="11">
        <v>0.3</v>
      </c>
      <c r="AA452" s="11"/>
      <c r="AB452" s="11" t="s">
        <v>330</v>
      </c>
      <c r="AC452" s="212" t="s">
        <v>2427</v>
      </c>
      <c r="AD452" s="11"/>
      <c r="AE452" s="11"/>
      <c r="AF452" s="11"/>
      <c r="AG452" s="11"/>
      <c r="AH452" s="11"/>
      <c r="AI452" s="11"/>
      <c r="AJ452" s="11"/>
      <c r="AK452" s="11" t="s">
        <v>332</v>
      </c>
      <c r="AL452" s="213">
        <f t="shared" si="14"/>
        <v>46026</v>
      </c>
      <c r="AM452" s="211">
        <f t="shared" si="15"/>
        <v>46028</v>
      </c>
    </row>
    <row r="453" spans="1:39" ht="21.6" customHeight="1">
      <c r="A453" s="11">
        <v>28</v>
      </c>
      <c r="B453" s="11" t="s">
        <v>363</v>
      </c>
      <c r="C453" s="11">
        <v>2026010203</v>
      </c>
      <c r="D453" s="11" t="s">
        <v>2428</v>
      </c>
      <c r="E453" s="11" t="s">
        <v>365</v>
      </c>
      <c r="F453" s="11">
        <v>4679</v>
      </c>
      <c r="G453" s="11" t="s">
        <v>1174</v>
      </c>
      <c r="H453" s="11" t="s">
        <v>490</v>
      </c>
      <c r="I453" s="11" t="s">
        <v>2429</v>
      </c>
      <c r="J453" s="11" t="s">
        <v>483</v>
      </c>
      <c r="K453" s="11" t="s">
        <v>200</v>
      </c>
      <c r="L453" s="11" t="s">
        <v>1007</v>
      </c>
      <c r="M453" s="12" t="s">
        <v>1008</v>
      </c>
      <c r="N453" s="11">
        <v>5801</v>
      </c>
      <c r="O453" s="12" t="s">
        <v>1009</v>
      </c>
      <c r="P453" s="13" t="s">
        <v>2430</v>
      </c>
      <c r="Q453" s="11" t="s">
        <v>1179</v>
      </c>
      <c r="R453" s="11" t="s">
        <v>326</v>
      </c>
      <c r="S453" s="11" t="s">
        <v>118</v>
      </c>
      <c r="T453" s="11">
        <v>1</v>
      </c>
      <c r="U453" s="11" t="s">
        <v>327</v>
      </c>
      <c r="V453" s="11" t="s">
        <v>2431</v>
      </c>
      <c r="W453" s="11" t="s">
        <v>2432</v>
      </c>
      <c r="X453" s="367">
        <v>46028.423611111109</v>
      </c>
      <c r="Y453" s="11" t="s">
        <v>2386</v>
      </c>
      <c r="Z453" s="11">
        <v>0.2</v>
      </c>
      <c r="AA453" s="11"/>
      <c r="AB453" s="11" t="s">
        <v>330</v>
      </c>
      <c r="AC453" s="212" t="s">
        <v>2433</v>
      </c>
      <c r="AD453" s="11"/>
      <c r="AE453" s="11"/>
      <c r="AF453" s="11"/>
      <c r="AG453" s="11"/>
      <c r="AH453" s="11"/>
      <c r="AI453" s="11"/>
      <c r="AJ453" s="11"/>
      <c r="AK453" s="11" t="s">
        <v>332</v>
      </c>
      <c r="AL453" s="213">
        <f t="shared" si="14"/>
        <v>46026</v>
      </c>
      <c r="AM453" s="211">
        <f t="shared" si="15"/>
        <v>46028</v>
      </c>
    </row>
    <row r="454" spans="1:39" ht="21.6" customHeight="1">
      <c r="A454" s="11">
        <v>29</v>
      </c>
      <c r="B454" s="11" t="s">
        <v>363</v>
      </c>
      <c r="C454" s="11">
        <v>2026010206</v>
      </c>
      <c r="D454" s="11" t="s">
        <v>2434</v>
      </c>
      <c r="E454" s="11" t="s">
        <v>365</v>
      </c>
      <c r="F454" s="11">
        <v>3941</v>
      </c>
      <c r="G454" s="11" t="s">
        <v>2435</v>
      </c>
      <c r="H454" s="11" t="s">
        <v>2436</v>
      </c>
      <c r="I454" s="11" t="s">
        <v>2437</v>
      </c>
      <c r="J454" s="11" t="s">
        <v>492</v>
      </c>
      <c r="K454" s="11" t="s">
        <v>446</v>
      </c>
      <c r="L454" s="11" t="s">
        <v>558</v>
      </c>
      <c r="M454" s="12" t="s">
        <v>559</v>
      </c>
      <c r="N454" s="11">
        <v>2405</v>
      </c>
      <c r="O454" s="12" t="s">
        <v>560</v>
      </c>
      <c r="P454" s="13" t="s">
        <v>2438</v>
      </c>
      <c r="Q454" s="11" t="s">
        <v>2439</v>
      </c>
      <c r="R454" s="11" t="s">
        <v>326</v>
      </c>
      <c r="S454" s="11" t="s">
        <v>133</v>
      </c>
      <c r="T454" s="11">
        <v>1</v>
      </c>
      <c r="U454" s="11" t="s">
        <v>327</v>
      </c>
      <c r="V454" s="11" t="s">
        <v>2440</v>
      </c>
      <c r="W454" s="11" t="s">
        <v>2441</v>
      </c>
      <c r="X454" s="367">
        <v>46028.508333333331</v>
      </c>
      <c r="Y454" s="11" t="s">
        <v>2442</v>
      </c>
      <c r="Z454" s="11">
        <v>1.7</v>
      </c>
      <c r="AA454" s="11"/>
      <c r="AB454" s="11" t="s">
        <v>330</v>
      </c>
      <c r="AC454" s="212" t="s">
        <v>2443</v>
      </c>
      <c r="AD454" s="11"/>
      <c r="AE454" s="11"/>
      <c r="AF454" s="11"/>
      <c r="AG454" s="11"/>
      <c r="AH454" s="11"/>
      <c r="AI454" s="11"/>
      <c r="AJ454" s="11"/>
      <c r="AK454" s="11" t="s">
        <v>332</v>
      </c>
      <c r="AL454" s="213">
        <f t="shared" si="14"/>
        <v>46027</v>
      </c>
      <c r="AM454" s="211">
        <f t="shared" si="15"/>
        <v>46028</v>
      </c>
    </row>
    <row r="455" spans="1:39" ht="21.6" customHeight="1">
      <c r="A455" s="11">
        <v>30</v>
      </c>
      <c r="B455" s="11" t="s">
        <v>363</v>
      </c>
      <c r="C455" s="11">
        <v>2026010238</v>
      </c>
      <c r="D455" s="11" t="s">
        <v>2444</v>
      </c>
      <c r="E455" s="11" t="s">
        <v>365</v>
      </c>
      <c r="F455" s="11">
        <v>3017</v>
      </c>
      <c r="G455" s="11" t="s">
        <v>2445</v>
      </c>
      <c r="H455" s="11" t="s">
        <v>2446</v>
      </c>
      <c r="I455" s="11" t="s">
        <v>2447</v>
      </c>
      <c r="J455" s="11" t="s">
        <v>492</v>
      </c>
      <c r="K455" s="11" t="s">
        <v>384</v>
      </c>
      <c r="L455" s="11" t="s">
        <v>558</v>
      </c>
      <c r="M455" s="12" t="s">
        <v>559</v>
      </c>
      <c r="N455" s="11">
        <v>2401</v>
      </c>
      <c r="O455" s="12" t="s">
        <v>712</v>
      </c>
      <c r="P455" s="13" t="s">
        <v>2448</v>
      </c>
      <c r="Q455" s="11" t="s">
        <v>2449</v>
      </c>
      <c r="R455" s="11" t="s">
        <v>326</v>
      </c>
      <c r="S455" s="11" t="s">
        <v>123</v>
      </c>
      <c r="T455" s="11">
        <v>1</v>
      </c>
      <c r="U455" s="11" t="s">
        <v>327</v>
      </c>
      <c r="V455" s="11" t="s">
        <v>2450</v>
      </c>
      <c r="W455" s="11" t="s">
        <v>1089</v>
      </c>
      <c r="X455" s="367">
        <v>46027.583333333343</v>
      </c>
      <c r="Y455" s="11" t="s">
        <v>2451</v>
      </c>
      <c r="Z455" s="11">
        <v>1</v>
      </c>
      <c r="AA455" s="11"/>
      <c r="AB455" s="11" t="s">
        <v>330</v>
      </c>
      <c r="AC455" s="212" t="s">
        <v>2452</v>
      </c>
      <c r="AD455" s="11"/>
      <c r="AE455" s="11"/>
      <c r="AF455" s="11"/>
      <c r="AG455" s="11"/>
      <c r="AH455" s="11"/>
      <c r="AI455" s="11"/>
      <c r="AJ455" s="11"/>
      <c r="AK455" s="11" t="s">
        <v>332</v>
      </c>
      <c r="AL455" s="213">
        <f t="shared" si="14"/>
        <v>46027</v>
      </c>
      <c r="AM455" s="211">
        <f t="shared" si="15"/>
        <v>46027</v>
      </c>
    </row>
    <row r="456" spans="1:39" ht="21.6" customHeight="1">
      <c r="A456" s="11">
        <v>31</v>
      </c>
      <c r="B456" s="11" t="s">
        <v>322</v>
      </c>
      <c r="C456" s="11">
        <v>2026010308</v>
      </c>
      <c r="D456" s="11"/>
      <c r="E456" s="11"/>
      <c r="F456" s="11">
        <v>5162</v>
      </c>
      <c r="G456" s="11" t="s">
        <v>2453</v>
      </c>
      <c r="H456" s="11" t="s">
        <v>2446</v>
      </c>
      <c r="I456" s="11"/>
      <c r="J456" s="11"/>
      <c r="K456" s="11"/>
      <c r="L456" s="11"/>
      <c r="M456" s="12"/>
      <c r="N456" s="11"/>
      <c r="O456" s="12"/>
      <c r="P456" s="13"/>
      <c r="Q456" s="11" t="s">
        <v>2454</v>
      </c>
      <c r="R456" s="11" t="s">
        <v>326</v>
      </c>
      <c r="S456" s="11" t="s">
        <v>123</v>
      </c>
      <c r="T456" s="11">
        <v>1</v>
      </c>
      <c r="U456" s="11" t="s">
        <v>327</v>
      </c>
      <c r="V456" s="11" t="s">
        <v>2455</v>
      </c>
      <c r="W456" s="11" t="s">
        <v>2456</v>
      </c>
      <c r="X456" s="367">
        <v>46027.479166666657</v>
      </c>
      <c r="Y456" s="11"/>
      <c r="Z456" s="11">
        <v>1</v>
      </c>
      <c r="AA456" s="11"/>
      <c r="AB456" s="11" t="s">
        <v>330</v>
      </c>
      <c r="AC456" s="212" t="s">
        <v>2457</v>
      </c>
      <c r="AD456" s="11" t="s">
        <v>332</v>
      </c>
      <c r="AE456" s="11"/>
      <c r="AF456" s="11"/>
      <c r="AG456" s="11"/>
      <c r="AH456" s="11"/>
      <c r="AI456" s="11"/>
      <c r="AJ456" s="11"/>
      <c r="AK456" s="11" t="s">
        <v>332</v>
      </c>
      <c r="AL456" s="213" t="e">
        <f t="shared" si="14"/>
        <v>#VALUE!</v>
      </c>
      <c r="AM456" s="211">
        <f t="shared" si="15"/>
        <v>46027</v>
      </c>
    </row>
    <row r="457" spans="1:39" ht="21.6" customHeight="1">
      <c r="A457" s="11">
        <v>32</v>
      </c>
      <c r="B457" s="11" t="s">
        <v>322</v>
      </c>
      <c r="C457" s="11">
        <v>2026010466</v>
      </c>
      <c r="D457" s="11"/>
      <c r="E457" s="11"/>
      <c r="F457" s="11">
        <v>3017</v>
      </c>
      <c r="G457" s="11" t="s">
        <v>2445</v>
      </c>
      <c r="H457" s="11" t="s">
        <v>2446</v>
      </c>
      <c r="I457" s="11"/>
      <c r="J457" s="11"/>
      <c r="K457" s="11"/>
      <c r="L457" s="11"/>
      <c r="M457" s="12"/>
      <c r="N457" s="11"/>
      <c r="O457" s="12"/>
      <c r="P457" s="13"/>
      <c r="Q457" s="11" t="s">
        <v>2449</v>
      </c>
      <c r="R457" s="11" t="s">
        <v>326</v>
      </c>
      <c r="S457" s="11" t="s">
        <v>123</v>
      </c>
      <c r="T457" s="11">
        <v>1</v>
      </c>
      <c r="U457" s="11" t="s">
        <v>327</v>
      </c>
      <c r="V457" s="11" t="s">
        <v>2458</v>
      </c>
      <c r="W457" s="11" t="s">
        <v>2459</v>
      </c>
      <c r="X457" s="367">
        <v>46027.606944444437</v>
      </c>
      <c r="Y457" s="11"/>
      <c r="Z457" s="11">
        <v>0.6</v>
      </c>
      <c r="AA457" s="11"/>
      <c r="AB457" s="11" t="s">
        <v>330</v>
      </c>
      <c r="AC457" s="212" t="s">
        <v>2460</v>
      </c>
      <c r="AD457" s="11" t="s">
        <v>332</v>
      </c>
      <c r="AE457" s="11"/>
      <c r="AF457" s="11"/>
      <c r="AG457" s="11"/>
      <c r="AH457" s="11"/>
      <c r="AI457" s="11"/>
      <c r="AJ457" s="11"/>
      <c r="AK457" s="11" t="s">
        <v>332</v>
      </c>
      <c r="AL457" s="213" t="e">
        <f t="shared" si="14"/>
        <v>#VALUE!</v>
      </c>
      <c r="AM457" s="211">
        <f t="shared" si="15"/>
        <v>46027</v>
      </c>
    </row>
    <row r="458" spans="1:39" ht="21.6" customHeight="1">
      <c r="A458" s="11">
        <v>33</v>
      </c>
      <c r="B458" s="11" t="s">
        <v>322</v>
      </c>
      <c r="C458" s="11">
        <v>2026010471</v>
      </c>
      <c r="D458" s="11"/>
      <c r="E458" s="11"/>
      <c r="F458" s="11">
        <v>4825</v>
      </c>
      <c r="G458" s="11" t="s">
        <v>2461</v>
      </c>
      <c r="H458" s="11" t="s">
        <v>2446</v>
      </c>
      <c r="I458" s="11"/>
      <c r="J458" s="11"/>
      <c r="K458" s="11"/>
      <c r="L458" s="11"/>
      <c r="M458" s="12"/>
      <c r="N458" s="11"/>
      <c r="O458" s="12"/>
      <c r="P458" s="13"/>
      <c r="Q458" s="11" t="s">
        <v>2462</v>
      </c>
      <c r="R458" s="11" t="s">
        <v>326</v>
      </c>
      <c r="S458" s="11" t="s">
        <v>123</v>
      </c>
      <c r="T458" s="11">
        <v>1</v>
      </c>
      <c r="U458" s="11" t="s">
        <v>327</v>
      </c>
      <c r="V458" s="11" t="s">
        <v>2463</v>
      </c>
      <c r="W458" s="11" t="s">
        <v>2464</v>
      </c>
      <c r="X458" s="367">
        <v>46027.633333333331</v>
      </c>
      <c r="Y458" s="11"/>
      <c r="Z458" s="11">
        <v>0.4</v>
      </c>
      <c r="AA458" s="11"/>
      <c r="AB458" s="11" t="s">
        <v>330</v>
      </c>
      <c r="AC458" s="212" t="s">
        <v>2465</v>
      </c>
      <c r="AD458" s="11" t="s">
        <v>332</v>
      </c>
      <c r="AE458" s="11"/>
      <c r="AF458" s="11"/>
      <c r="AG458" s="11"/>
      <c r="AH458" s="11"/>
      <c r="AI458" s="11"/>
      <c r="AJ458" s="11"/>
      <c r="AK458" s="11" t="s">
        <v>332</v>
      </c>
      <c r="AL458" s="213" t="e">
        <f t="shared" si="14"/>
        <v>#VALUE!</v>
      </c>
      <c r="AM458" s="211">
        <f t="shared" si="15"/>
        <v>46027</v>
      </c>
    </row>
    <row r="459" spans="1:39" ht="21.6" customHeight="1">
      <c r="A459" s="11">
        <v>34</v>
      </c>
      <c r="B459" s="11" t="s">
        <v>363</v>
      </c>
      <c r="C459" s="11">
        <v>2026010474</v>
      </c>
      <c r="D459" s="11" t="s">
        <v>2466</v>
      </c>
      <c r="E459" s="11" t="s">
        <v>365</v>
      </c>
      <c r="F459" s="11">
        <v>4196</v>
      </c>
      <c r="G459" s="11" t="s">
        <v>177</v>
      </c>
      <c r="H459" s="11" t="s">
        <v>358</v>
      </c>
      <c r="I459" s="11" t="s">
        <v>2467</v>
      </c>
      <c r="J459" s="11" t="s">
        <v>492</v>
      </c>
      <c r="K459" s="11" t="s">
        <v>200</v>
      </c>
      <c r="L459" s="11" t="s">
        <v>369</v>
      </c>
      <c r="M459" s="12" t="s">
        <v>370</v>
      </c>
      <c r="N459" s="11">
        <v>2306</v>
      </c>
      <c r="O459" s="12" t="s">
        <v>425</v>
      </c>
      <c r="P459" s="13" t="s">
        <v>2468</v>
      </c>
      <c r="Q459" s="11" t="s">
        <v>916</v>
      </c>
      <c r="R459" s="11" t="s">
        <v>326</v>
      </c>
      <c r="S459" s="11" t="s">
        <v>133</v>
      </c>
      <c r="T459" s="11">
        <v>1</v>
      </c>
      <c r="U459" s="11" t="s">
        <v>327</v>
      </c>
      <c r="V459" s="11" t="s">
        <v>2469</v>
      </c>
      <c r="W459" s="11" t="s">
        <v>2470</v>
      </c>
      <c r="X459" s="367">
        <v>46027.714583333327</v>
      </c>
      <c r="Y459" s="11" t="s">
        <v>2471</v>
      </c>
      <c r="Z459" s="11">
        <v>0.5</v>
      </c>
      <c r="AA459" s="11"/>
      <c r="AB459" s="11" t="s">
        <v>1048</v>
      </c>
      <c r="AC459" s="212" t="s">
        <v>2472</v>
      </c>
      <c r="AD459" s="11"/>
      <c r="AE459" s="11"/>
      <c r="AF459" s="11"/>
      <c r="AG459" s="11"/>
      <c r="AH459" s="11"/>
      <c r="AI459" s="11"/>
      <c r="AJ459" s="11"/>
      <c r="AK459" s="11" t="s">
        <v>332</v>
      </c>
      <c r="AL459" s="213">
        <f t="shared" si="14"/>
        <v>46027</v>
      </c>
      <c r="AM459" s="211">
        <f t="shared" si="15"/>
        <v>46027</v>
      </c>
    </row>
    <row r="460" spans="1:39" ht="21.6" customHeight="1">
      <c r="A460" s="11">
        <v>35</v>
      </c>
      <c r="B460" s="11" t="s">
        <v>363</v>
      </c>
      <c r="C460" s="11">
        <v>2026010475</v>
      </c>
      <c r="D460" s="11" t="s">
        <v>2473</v>
      </c>
      <c r="E460" s="11" t="s">
        <v>365</v>
      </c>
      <c r="F460" s="11">
        <v>4196</v>
      </c>
      <c r="G460" s="11" t="s">
        <v>177</v>
      </c>
      <c r="H460" s="11" t="s">
        <v>358</v>
      </c>
      <c r="I460" s="11" t="s">
        <v>2474</v>
      </c>
      <c r="J460" s="11" t="s">
        <v>492</v>
      </c>
      <c r="K460" s="11" t="s">
        <v>200</v>
      </c>
      <c r="L460" s="11" t="s">
        <v>369</v>
      </c>
      <c r="M460" s="12" t="s">
        <v>370</v>
      </c>
      <c r="N460" s="11">
        <v>2307</v>
      </c>
      <c r="O460" s="12" t="s">
        <v>385</v>
      </c>
      <c r="P460" s="13" t="s">
        <v>2475</v>
      </c>
      <c r="Q460" s="11" t="s">
        <v>916</v>
      </c>
      <c r="R460" s="11" t="s">
        <v>326</v>
      </c>
      <c r="S460" s="11" t="s">
        <v>133</v>
      </c>
      <c r="T460" s="11">
        <v>1</v>
      </c>
      <c r="U460" s="11" t="s">
        <v>327</v>
      </c>
      <c r="V460" s="11" t="s">
        <v>2476</v>
      </c>
      <c r="W460" s="11" t="s">
        <v>2477</v>
      </c>
      <c r="X460" s="367">
        <v>46027.713888888888</v>
      </c>
      <c r="Y460" s="11" t="s">
        <v>2478</v>
      </c>
      <c r="Z460" s="11">
        <v>0.5</v>
      </c>
      <c r="AA460" s="11"/>
      <c r="AB460" s="11" t="s">
        <v>1048</v>
      </c>
      <c r="AC460" s="212" t="s">
        <v>455</v>
      </c>
      <c r="AD460" s="11"/>
      <c r="AE460" s="11"/>
      <c r="AF460" s="11"/>
      <c r="AG460" s="11"/>
      <c r="AH460" s="11"/>
      <c r="AI460" s="11"/>
      <c r="AJ460" s="11"/>
      <c r="AK460" s="11" t="s">
        <v>332</v>
      </c>
      <c r="AL460" s="213">
        <f t="shared" si="14"/>
        <v>46027</v>
      </c>
      <c r="AM460" s="211">
        <f t="shared" si="15"/>
        <v>46027</v>
      </c>
    </row>
    <row r="461" spans="1:39" ht="21.6" customHeight="1">
      <c r="A461" s="11">
        <v>36</v>
      </c>
      <c r="B461" s="11" t="s">
        <v>322</v>
      </c>
      <c r="C461" s="11">
        <v>2026010478</v>
      </c>
      <c r="D461" s="11"/>
      <c r="E461" s="11"/>
      <c r="F461" s="11">
        <v>2375</v>
      </c>
      <c r="G461" s="11" t="s">
        <v>2479</v>
      </c>
      <c r="H461" s="11" t="s">
        <v>2446</v>
      </c>
      <c r="I461" s="11"/>
      <c r="J461" s="11"/>
      <c r="K461" s="11"/>
      <c r="L461" s="11"/>
      <c r="M461" s="12"/>
      <c r="N461" s="11"/>
      <c r="O461" s="12"/>
      <c r="P461" s="13"/>
      <c r="Q461" s="11" t="s">
        <v>2480</v>
      </c>
      <c r="R461" s="11" t="s">
        <v>326</v>
      </c>
      <c r="S461" s="11" t="s">
        <v>123</v>
      </c>
      <c r="T461" s="11">
        <v>1</v>
      </c>
      <c r="U461" s="11" t="s">
        <v>327</v>
      </c>
      <c r="V461" s="11" t="s">
        <v>2481</v>
      </c>
      <c r="W461" s="11" t="s">
        <v>2482</v>
      </c>
      <c r="X461" s="367">
        <v>46027.65347222222</v>
      </c>
      <c r="Y461" s="11"/>
      <c r="Z461" s="11">
        <v>0.4</v>
      </c>
      <c r="AA461" s="11"/>
      <c r="AB461" s="11" t="s">
        <v>330</v>
      </c>
      <c r="AC461" s="212" t="s">
        <v>2483</v>
      </c>
      <c r="AD461" s="11" t="s">
        <v>332</v>
      </c>
      <c r="AE461" s="11"/>
      <c r="AF461" s="11"/>
      <c r="AG461" s="11"/>
      <c r="AH461" s="11"/>
      <c r="AI461" s="11"/>
      <c r="AJ461" s="11"/>
      <c r="AK461" s="11" t="s">
        <v>332</v>
      </c>
      <c r="AL461" s="213" t="e">
        <f t="shared" si="14"/>
        <v>#VALUE!</v>
      </c>
      <c r="AM461" s="211">
        <f t="shared" si="15"/>
        <v>46027</v>
      </c>
    </row>
    <row r="462" spans="1:39" ht="21.6" customHeight="1">
      <c r="A462" s="11">
        <v>37</v>
      </c>
      <c r="B462" s="11" t="s">
        <v>322</v>
      </c>
      <c r="C462" s="11">
        <v>2026010482</v>
      </c>
      <c r="D462" s="11"/>
      <c r="E462" s="11"/>
      <c r="F462" s="11">
        <v>4690</v>
      </c>
      <c r="G462" s="11" t="s">
        <v>2484</v>
      </c>
      <c r="H462" s="11" t="s">
        <v>2446</v>
      </c>
      <c r="I462" s="11"/>
      <c r="J462" s="11"/>
      <c r="K462" s="11"/>
      <c r="L462" s="11"/>
      <c r="M462" s="12"/>
      <c r="N462" s="11"/>
      <c r="O462" s="12"/>
      <c r="P462" s="13"/>
      <c r="Q462" s="11" t="s">
        <v>2485</v>
      </c>
      <c r="R462" s="11" t="s">
        <v>326</v>
      </c>
      <c r="S462" s="11" t="s">
        <v>123</v>
      </c>
      <c r="T462" s="11">
        <v>1</v>
      </c>
      <c r="U462" s="11" t="s">
        <v>327</v>
      </c>
      <c r="V462" s="11" t="s">
        <v>2486</v>
      </c>
      <c r="W462" s="11" t="s">
        <v>2487</v>
      </c>
      <c r="X462" s="367">
        <v>46027.677083333343</v>
      </c>
      <c r="Y462" s="11"/>
      <c r="Z462" s="11">
        <v>0.4</v>
      </c>
      <c r="AA462" s="11"/>
      <c r="AB462" s="11" t="s">
        <v>330</v>
      </c>
      <c r="AC462" s="212" t="s">
        <v>2488</v>
      </c>
      <c r="AD462" s="11" t="s">
        <v>332</v>
      </c>
      <c r="AE462" s="11"/>
      <c r="AF462" s="11"/>
      <c r="AG462" s="11"/>
      <c r="AH462" s="11"/>
      <c r="AI462" s="11"/>
      <c r="AJ462" s="11"/>
      <c r="AK462" s="11" t="s">
        <v>332</v>
      </c>
      <c r="AL462" s="213" t="e">
        <f t="shared" si="14"/>
        <v>#VALUE!</v>
      </c>
      <c r="AM462" s="211">
        <f t="shared" si="15"/>
        <v>46027</v>
      </c>
    </row>
    <row r="463" spans="1:39" ht="21.6" customHeight="1">
      <c r="A463" s="11">
        <v>38</v>
      </c>
      <c r="B463" s="11" t="s">
        <v>322</v>
      </c>
      <c r="C463" s="11">
        <v>2026010491</v>
      </c>
      <c r="D463" s="11"/>
      <c r="E463" s="11"/>
      <c r="F463" s="11">
        <v>5496</v>
      </c>
      <c r="G463" s="11" t="s">
        <v>2028</v>
      </c>
      <c r="H463" s="11" t="s">
        <v>396</v>
      </c>
      <c r="I463" s="11"/>
      <c r="J463" s="11"/>
      <c r="K463" s="11"/>
      <c r="L463" s="11"/>
      <c r="M463" s="12"/>
      <c r="N463" s="11"/>
      <c r="O463" s="12"/>
      <c r="P463" s="13"/>
      <c r="Q463" s="11" t="s">
        <v>1871</v>
      </c>
      <c r="R463" s="11" t="s">
        <v>326</v>
      </c>
      <c r="S463" s="11" t="s">
        <v>133</v>
      </c>
      <c r="T463" s="11">
        <v>1</v>
      </c>
      <c r="U463" s="11" t="s">
        <v>327</v>
      </c>
      <c r="V463" s="11" t="s">
        <v>2489</v>
      </c>
      <c r="W463" s="11" t="s">
        <v>2490</v>
      </c>
      <c r="X463" s="367">
        <v>46027.4375</v>
      </c>
      <c r="Y463" s="11"/>
      <c r="Z463" s="11">
        <v>0.5</v>
      </c>
      <c r="AA463" s="11"/>
      <c r="AB463" s="11" t="s">
        <v>330</v>
      </c>
      <c r="AC463" s="212" t="s">
        <v>2491</v>
      </c>
      <c r="AD463" s="11" t="s">
        <v>332</v>
      </c>
      <c r="AE463" s="11" t="s">
        <v>332</v>
      </c>
      <c r="AF463" s="11"/>
      <c r="AG463" s="11"/>
      <c r="AH463" s="11"/>
      <c r="AI463" s="11"/>
      <c r="AJ463" s="11"/>
      <c r="AK463" s="11" t="s">
        <v>332</v>
      </c>
      <c r="AL463" s="213" t="e">
        <f t="shared" si="14"/>
        <v>#VALUE!</v>
      </c>
      <c r="AM463" s="211">
        <f t="shared" si="15"/>
        <v>46027</v>
      </c>
    </row>
    <row r="464" spans="1:39" ht="21.6" customHeight="1">
      <c r="A464" s="11">
        <v>39</v>
      </c>
      <c r="B464" s="11" t="s">
        <v>322</v>
      </c>
      <c r="C464" s="11">
        <v>2026010502</v>
      </c>
      <c r="D464" s="11"/>
      <c r="E464" s="11"/>
      <c r="F464" s="11">
        <v>5513</v>
      </c>
      <c r="G464" s="11" t="s">
        <v>87</v>
      </c>
      <c r="H464" s="11" t="s">
        <v>490</v>
      </c>
      <c r="I464" s="11"/>
      <c r="J464" s="11"/>
      <c r="K464" s="11"/>
      <c r="L464" s="11"/>
      <c r="M464" s="12"/>
      <c r="N464" s="11"/>
      <c r="O464" s="12"/>
      <c r="P464" s="13"/>
      <c r="Q464" s="11" t="s">
        <v>2492</v>
      </c>
      <c r="R464" s="11" t="s">
        <v>326</v>
      </c>
      <c r="S464" s="11" t="s">
        <v>133</v>
      </c>
      <c r="T464" s="11">
        <v>1</v>
      </c>
      <c r="U464" s="11" t="s">
        <v>327</v>
      </c>
      <c r="V464" s="11" t="s">
        <v>2493</v>
      </c>
      <c r="W464" s="11" t="s">
        <v>2494</v>
      </c>
      <c r="X464" s="367">
        <v>46027.708333333343</v>
      </c>
      <c r="Y464" s="11"/>
      <c r="Z464" s="11">
        <v>5.5</v>
      </c>
      <c r="AA464" s="11"/>
      <c r="AB464" s="11" t="s">
        <v>330</v>
      </c>
      <c r="AC464" s="212" t="s">
        <v>2495</v>
      </c>
      <c r="AD464" s="11" t="s">
        <v>332</v>
      </c>
      <c r="AE464" s="11" t="s">
        <v>332</v>
      </c>
      <c r="AF464" s="11"/>
      <c r="AG464" s="11"/>
      <c r="AH464" s="11"/>
      <c r="AI464" s="11"/>
      <c r="AJ464" s="11"/>
      <c r="AK464" s="11" t="s">
        <v>332</v>
      </c>
      <c r="AL464" s="213" t="e">
        <f t="shared" si="14"/>
        <v>#VALUE!</v>
      </c>
      <c r="AM464" s="211">
        <f t="shared" si="15"/>
        <v>46027</v>
      </c>
    </row>
    <row r="465" spans="1:39" ht="21.6" customHeight="1">
      <c r="A465" s="11">
        <v>40</v>
      </c>
      <c r="B465" s="11" t="s">
        <v>322</v>
      </c>
      <c r="C465" s="11">
        <v>2026010503</v>
      </c>
      <c r="D465" s="11"/>
      <c r="E465" s="11"/>
      <c r="F465" s="11">
        <v>5496</v>
      </c>
      <c r="G465" s="11" t="s">
        <v>2028</v>
      </c>
      <c r="H465" s="11" t="s">
        <v>396</v>
      </c>
      <c r="I465" s="11"/>
      <c r="J465" s="11"/>
      <c r="K465" s="11"/>
      <c r="L465" s="11"/>
      <c r="M465" s="12"/>
      <c r="N465" s="11"/>
      <c r="O465" s="12"/>
      <c r="P465" s="13"/>
      <c r="Q465" s="11" t="s">
        <v>1871</v>
      </c>
      <c r="R465" s="11" t="s">
        <v>326</v>
      </c>
      <c r="S465" s="11" t="s">
        <v>118</v>
      </c>
      <c r="T465" s="11">
        <v>1</v>
      </c>
      <c r="U465" s="11" t="s">
        <v>327</v>
      </c>
      <c r="V465" s="11" t="s">
        <v>2496</v>
      </c>
      <c r="W465" s="11" t="s">
        <v>2490</v>
      </c>
      <c r="X465" s="367">
        <v>46027.4375</v>
      </c>
      <c r="Y465" s="11"/>
      <c r="Z465" s="11">
        <v>0.5</v>
      </c>
      <c r="AA465" s="11"/>
      <c r="AB465" s="11" t="s">
        <v>330</v>
      </c>
      <c r="AC465" s="212" t="s">
        <v>2497</v>
      </c>
      <c r="AD465" s="11"/>
      <c r="AE465" s="11" t="s">
        <v>332</v>
      </c>
      <c r="AF465" s="11"/>
      <c r="AG465" s="11"/>
      <c r="AH465" s="11"/>
      <c r="AI465" s="11"/>
      <c r="AJ465" s="11"/>
      <c r="AK465" s="11" t="s">
        <v>332</v>
      </c>
      <c r="AL465" s="213" t="e">
        <f t="shared" si="14"/>
        <v>#VALUE!</v>
      </c>
      <c r="AM465" s="211">
        <f t="shared" si="15"/>
        <v>46027</v>
      </c>
    </row>
    <row r="466" spans="1:39" ht="21.6" customHeight="1">
      <c r="A466" s="11">
        <v>41</v>
      </c>
      <c r="B466" s="11" t="s">
        <v>322</v>
      </c>
      <c r="C466" s="11">
        <v>2026010504</v>
      </c>
      <c r="D466" s="11"/>
      <c r="E466" s="11"/>
      <c r="F466" s="11">
        <v>5513</v>
      </c>
      <c r="G466" s="11" t="s">
        <v>87</v>
      </c>
      <c r="H466" s="11" t="s">
        <v>490</v>
      </c>
      <c r="I466" s="11"/>
      <c r="J466" s="11"/>
      <c r="K466" s="11"/>
      <c r="L466" s="11"/>
      <c r="M466" s="12"/>
      <c r="N466" s="11"/>
      <c r="O466" s="12"/>
      <c r="P466" s="13"/>
      <c r="Q466" s="11" t="s">
        <v>2492</v>
      </c>
      <c r="R466" s="11" t="s">
        <v>326</v>
      </c>
      <c r="S466" s="11" t="s">
        <v>118</v>
      </c>
      <c r="T466" s="11">
        <v>1</v>
      </c>
      <c r="U466" s="11" t="s">
        <v>327</v>
      </c>
      <c r="V466" s="11" t="s">
        <v>2498</v>
      </c>
      <c r="W466" s="11" t="s">
        <v>2494</v>
      </c>
      <c r="X466" s="367">
        <v>46027.708333333343</v>
      </c>
      <c r="Y466" s="11"/>
      <c r="Z466" s="11">
        <v>5.5</v>
      </c>
      <c r="AA466" s="11"/>
      <c r="AB466" s="11" t="s">
        <v>330</v>
      </c>
      <c r="AC466" s="212" t="s">
        <v>2499</v>
      </c>
      <c r="AD466" s="11"/>
      <c r="AE466" s="11" t="s">
        <v>332</v>
      </c>
      <c r="AF466" s="11"/>
      <c r="AG466" s="11"/>
      <c r="AH466" s="11"/>
      <c r="AI466" s="11"/>
      <c r="AJ466" s="11"/>
      <c r="AK466" s="11" t="s">
        <v>332</v>
      </c>
      <c r="AL466" s="213" t="e">
        <f t="shared" si="14"/>
        <v>#VALUE!</v>
      </c>
      <c r="AM466" s="211">
        <f t="shared" si="15"/>
        <v>46027</v>
      </c>
    </row>
    <row r="467" spans="1:39" ht="21.6" customHeight="1">
      <c r="A467" s="11">
        <v>42</v>
      </c>
      <c r="B467" s="11" t="s">
        <v>363</v>
      </c>
      <c r="C467" s="11">
        <v>2026010505</v>
      </c>
      <c r="D467" s="11" t="s">
        <v>2500</v>
      </c>
      <c r="E467" s="11" t="s">
        <v>365</v>
      </c>
      <c r="F467" s="11">
        <v>2209</v>
      </c>
      <c r="G467" s="11" t="s">
        <v>1972</v>
      </c>
      <c r="H467" s="11" t="s">
        <v>358</v>
      </c>
      <c r="I467" s="11" t="s">
        <v>2501</v>
      </c>
      <c r="J467" s="11" t="s">
        <v>492</v>
      </c>
      <c r="K467" s="11" t="s">
        <v>903</v>
      </c>
      <c r="L467" s="11" t="s">
        <v>398</v>
      </c>
      <c r="M467" s="12" t="s">
        <v>399</v>
      </c>
      <c r="N467" s="11" t="s">
        <v>1111</v>
      </c>
      <c r="O467" s="12" t="s">
        <v>1112</v>
      </c>
      <c r="P467" s="13" t="s">
        <v>2502</v>
      </c>
      <c r="Q467" s="11" t="s">
        <v>1973</v>
      </c>
      <c r="R467" s="11" t="s">
        <v>326</v>
      </c>
      <c r="S467" s="11" t="s">
        <v>133</v>
      </c>
      <c r="T467" s="11">
        <v>1</v>
      </c>
      <c r="U467" s="11" t="s">
        <v>327</v>
      </c>
      <c r="V467" s="11" t="s">
        <v>2503</v>
      </c>
      <c r="W467" s="11" t="s">
        <v>2504</v>
      </c>
      <c r="X467" s="367">
        <v>46028.729166666657</v>
      </c>
      <c r="Y467" s="11" t="s">
        <v>2505</v>
      </c>
      <c r="Z467" s="11">
        <v>0.5</v>
      </c>
      <c r="AA467" s="11"/>
      <c r="AB467" s="11" t="s">
        <v>330</v>
      </c>
      <c r="AC467" s="212" t="s">
        <v>2506</v>
      </c>
      <c r="AD467" s="11"/>
      <c r="AE467" s="11"/>
      <c r="AF467" s="11"/>
      <c r="AG467" s="11"/>
      <c r="AH467" s="11"/>
      <c r="AI467" s="11"/>
      <c r="AJ467" s="11"/>
      <c r="AK467" s="11" t="s">
        <v>332</v>
      </c>
      <c r="AL467" s="213">
        <f t="shared" si="14"/>
        <v>46027</v>
      </c>
      <c r="AM467" s="211">
        <f t="shared" si="15"/>
        <v>46028</v>
      </c>
    </row>
    <row r="468" spans="1:39" ht="21.6" customHeight="1">
      <c r="A468" s="11">
        <v>43</v>
      </c>
      <c r="B468" s="11" t="s">
        <v>322</v>
      </c>
      <c r="C468" s="11">
        <v>2026010517</v>
      </c>
      <c r="D468" s="11"/>
      <c r="E468" s="11"/>
      <c r="F468" s="11">
        <v>3890</v>
      </c>
      <c r="G468" s="11" t="s">
        <v>821</v>
      </c>
      <c r="H468" s="11" t="s">
        <v>358</v>
      </c>
      <c r="I468" s="11"/>
      <c r="J468" s="11"/>
      <c r="K468" s="11"/>
      <c r="L468" s="11"/>
      <c r="M468" s="12"/>
      <c r="N468" s="11"/>
      <c r="O468" s="12"/>
      <c r="P468" s="13"/>
      <c r="Q468" s="11" t="s">
        <v>822</v>
      </c>
      <c r="R468" s="11" t="s">
        <v>326</v>
      </c>
      <c r="S468" s="11" t="s">
        <v>133</v>
      </c>
      <c r="T468" s="11">
        <v>1</v>
      </c>
      <c r="U468" s="11" t="s">
        <v>327</v>
      </c>
      <c r="V468" s="11" t="s">
        <v>2507</v>
      </c>
      <c r="W468" s="11" t="s">
        <v>2385</v>
      </c>
      <c r="X468" s="367">
        <v>46028.385416666657</v>
      </c>
      <c r="Y468" s="11"/>
      <c r="Z468" s="11">
        <v>0.3</v>
      </c>
      <c r="AA468" s="11"/>
      <c r="AB468" s="11" t="s">
        <v>330</v>
      </c>
      <c r="AC468" s="212" t="s">
        <v>2508</v>
      </c>
      <c r="AD468" s="11" t="s">
        <v>332</v>
      </c>
      <c r="AE468" s="11"/>
      <c r="AF468" s="11"/>
      <c r="AG468" s="11"/>
      <c r="AH468" s="11"/>
      <c r="AI468" s="11"/>
      <c r="AJ468" s="11" t="s">
        <v>332</v>
      </c>
      <c r="AK468" s="11" t="s">
        <v>332</v>
      </c>
      <c r="AL468" s="213" t="e">
        <f t="shared" si="14"/>
        <v>#VALUE!</v>
      </c>
      <c r="AM468" s="211">
        <f t="shared" si="15"/>
        <v>46028</v>
      </c>
    </row>
    <row r="469" spans="1:39" ht="21.6" customHeight="1">
      <c r="A469" s="11">
        <v>44</v>
      </c>
      <c r="B469" s="11" t="s">
        <v>322</v>
      </c>
      <c r="C469" s="11">
        <v>2026010533</v>
      </c>
      <c r="D469" s="11"/>
      <c r="E469" s="11"/>
      <c r="F469" s="11">
        <v>3785</v>
      </c>
      <c r="G469" s="11" t="s">
        <v>489</v>
      </c>
      <c r="H469" s="11" t="s">
        <v>490</v>
      </c>
      <c r="I469" s="11"/>
      <c r="J469" s="11"/>
      <c r="K469" s="11"/>
      <c r="L469" s="11"/>
      <c r="M469" s="12"/>
      <c r="N469" s="11"/>
      <c r="O469" s="12"/>
      <c r="P469" s="13"/>
      <c r="Q469" s="11" t="s">
        <v>497</v>
      </c>
      <c r="R469" s="11" t="s">
        <v>326</v>
      </c>
      <c r="S469" s="11" t="s">
        <v>118</v>
      </c>
      <c r="T469" s="11">
        <v>1</v>
      </c>
      <c r="U469" s="11" t="s">
        <v>327</v>
      </c>
      <c r="V469" s="11" t="s">
        <v>2509</v>
      </c>
      <c r="W469" s="11" t="s">
        <v>2510</v>
      </c>
      <c r="X469" s="367">
        <v>46028.409722222219</v>
      </c>
      <c r="Y469" s="11"/>
      <c r="Z469" s="11">
        <v>0.3</v>
      </c>
      <c r="AA469" s="11"/>
      <c r="AB469" s="11" t="s">
        <v>330</v>
      </c>
      <c r="AC469" s="212" t="s">
        <v>2511</v>
      </c>
      <c r="AD469" s="11" t="s">
        <v>332</v>
      </c>
      <c r="AE469" s="11"/>
      <c r="AF469" s="11"/>
      <c r="AG469" s="11"/>
      <c r="AH469" s="11"/>
      <c r="AI469" s="11"/>
      <c r="AJ469" s="11" t="s">
        <v>332</v>
      </c>
      <c r="AK469" s="11" t="s">
        <v>332</v>
      </c>
      <c r="AL469" s="213" t="e">
        <f t="shared" si="14"/>
        <v>#VALUE!</v>
      </c>
      <c r="AM469" s="211">
        <f t="shared" si="15"/>
        <v>46028</v>
      </c>
    </row>
    <row r="470" spans="1:39" ht="21.6" customHeight="1">
      <c r="A470" s="11">
        <v>45</v>
      </c>
      <c r="B470" s="11" t="s">
        <v>322</v>
      </c>
      <c r="C470" s="11">
        <v>2026010542</v>
      </c>
      <c r="D470" s="11"/>
      <c r="E470" s="11"/>
      <c r="F470" s="11">
        <v>4679</v>
      </c>
      <c r="G470" s="11" t="s">
        <v>1174</v>
      </c>
      <c r="H470" s="11" t="s">
        <v>490</v>
      </c>
      <c r="I470" s="11"/>
      <c r="J470" s="11"/>
      <c r="K470" s="11"/>
      <c r="L470" s="11"/>
      <c r="M470" s="12"/>
      <c r="N470" s="11"/>
      <c r="O470" s="12"/>
      <c r="P470" s="13"/>
      <c r="Q470" s="11" t="s">
        <v>1179</v>
      </c>
      <c r="R470" s="11" t="s">
        <v>326</v>
      </c>
      <c r="S470" s="11" t="s">
        <v>118</v>
      </c>
      <c r="T470" s="11">
        <v>1</v>
      </c>
      <c r="U470" s="11" t="s">
        <v>327</v>
      </c>
      <c r="V470" s="11" t="s">
        <v>2512</v>
      </c>
      <c r="W470" s="11" t="s">
        <v>2441</v>
      </c>
      <c r="X470" s="367">
        <v>46028.451388888891</v>
      </c>
      <c r="Y470" s="11"/>
      <c r="Z470" s="11">
        <v>0.3</v>
      </c>
      <c r="AA470" s="11"/>
      <c r="AB470" s="11" t="s">
        <v>330</v>
      </c>
      <c r="AC470" s="212" t="s">
        <v>2513</v>
      </c>
      <c r="AD470" s="11" t="s">
        <v>332</v>
      </c>
      <c r="AE470" s="11"/>
      <c r="AF470" s="11"/>
      <c r="AG470" s="11"/>
      <c r="AH470" s="11"/>
      <c r="AI470" s="11"/>
      <c r="AJ470" s="11" t="s">
        <v>332</v>
      </c>
      <c r="AK470" s="11" t="s">
        <v>332</v>
      </c>
      <c r="AL470" s="213" t="e">
        <f t="shared" si="14"/>
        <v>#VALUE!</v>
      </c>
      <c r="AM470" s="211">
        <f t="shared" si="15"/>
        <v>46028</v>
      </c>
    </row>
    <row r="471" spans="1:39" ht="21.6" customHeight="1">
      <c r="A471" s="11">
        <v>46</v>
      </c>
      <c r="B471" s="11" t="s">
        <v>322</v>
      </c>
      <c r="C471" s="11">
        <v>2026010547</v>
      </c>
      <c r="D471" s="11"/>
      <c r="E471" s="11"/>
      <c r="F471" s="11">
        <v>4764</v>
      </c>
      <c r="G471" s="11" t="s">
        <v>1699</v>
      </c>
      <c r="H471" s="11" t="s">
        <v>1077</v>
      </c>
      <c r="I471" s="11"/>
      <c r="J471" s="11"/>
      <c r="K471" s="11"/>
      <c r="L471" s="11"/>
      <c r="M471" s="12"/>
      <c r="N471" s="11"/>
      <c r="O471" s="12"/>
      <c r="P471" s="13"/>
      <c r="Q471" s="11" t="s">
        <v>1700</v>
      </c>
      <c r="R471" s="11" t="s">
        <v>326</v>
      </c>
      <c r="S471" s="11" t="s">
        <v>123</v>
      </c>
      <c r="T471" s="11">
        <v>1</v>
      </c>
      <c r="U471" s="11" t="s">
        <v>327</v>
      </c>
      <c r="V471" s="11" t="s">
        <v>2514</v>
      </c>
      <c r="W471" s="11" t="s">
        <v>2432</v>
      </c>
      <c r="X471" s="367">
        <v>46028.461805555547</v>
      </c>
      <c r="Y471" s="11"/>
      <c r="Z471" s="11">
        <v>1.1000000000000001</v>
      </c>
      <c r="AA471" s="11"/>
      <c r="AB471" s="11" t="s">
        <v>330</v>
      </c>
      <c r="AC471" s="212" t="s">
        <v>2515</v>
      </c>
      <c r="AD471" s="11" t="s">
        <v>332</v>
      </c>
      <c r="AE471" s="11"/>
      <c r="AF471" s="11"/>
      <c r="AG471" s="11"/>
      <c r="AH471" s="11"/>
      <c r="AI471" s="11"/>
      <c r="AJ471" s="11"/>
      <c r="AK471" s="11" t="s">
        <v>332</v>
      </c>
      <c r="AL471" s="213" t="e">
        <f t="shared" si="14"/>
        <v>#VALUE!</v>
      </c>
      <c r="AM471" s="211">
        <f t="shared" si="15"/>
        <v>46028</v>
      </c>
    </row>
    <row r="472" spans="1:39" ht="21.6" customHeight="1">
      <c r="A472" s="11">
        <v>47</v>
      </c>
      <c r="B472" s="11" t="s">
        <v>322</v>
      </c>
      <c r="C472" s="11">
        <v>2026010557</v>
      </c>
      <c r="D472" s="11"/>
      <c r="E472" s="11"/>
      <c r="F472" s="11">
        <v>2442</v>
      </c>
      <c r="G472" s="11" t="s">
        <v>1076</v>
      </c>
      <c r="H472" s="11" t="s">
        <v>1077</v>
      </c>
      <c r="I472" s="11"/>
      <c r="J472" s="11"/>
      <c r="K472" s="11"/>
      <c r="L472" s="11"/>
      <c r="M472" s="12"/>
      <c r="N472" s="11"/>
      <c r="O472" s="12"/>
      <c r="P472" s="13"/>
      <c r="Q472" s="11" t="s">
        <v>1080</v>
      </c>
      <c r="R472" s="11" t="s">
        <v>326</v>
      </c>
      <c r="S472" s="11" t="s">
        <v>123</v>
      </c>
      <c r="T472" s="11">
        <v>1</v>
      </c>
      <c r="U472" s="11" t="s">
        <v>327</v>
      </c>
      <c r="V472" s="11" t="s">
        <v>2516</v>
      </c>
      <c r="W472" s="11" t="s">
        <v>2517</v>
      </c>
      <c r="X472" s="367">
        <v>46028.475694444453</v>
      </c>
      <c r="Y472" s="11"/>
      <c r="Z472" s="11">
        <v>0.3</v>
      </c>
      <c r="AA472" s="11"/>
      <c r="AB472" s="11" t="s">
        <v>330</v>
      </c>
      <c r="AC472" s="212" t="s">
        <v>2518</v>
      </c>
      <c r="AD472" s="11" t="s">
        <v>332</v>
      </c>
      <c r="AE472" s="11"/>
      <c r="AF472" s="11"/>
      <c r="AG472" s="11"/>
      <c r="AH472" s="11"/>
      <c r="AI472" s="11"/>
      <c r="AJ472" s="11"/>
      <c r="AK472" s="11" t="s">
        <v>332</v>
      </c>
      <c r="AL472" s="213" t="e">
        <f t="shared" si="14"/>
        <v>#VALUE!</v>
      </c>
      <c r="AM472" s="211">
        <f t="shared" si="15"/>
        <v>46028</v>
      </c>
    </row>
    <row r="473" spans="1:39" ht="21.6" customHeight="1">
      <c r="A473" s="11">
        <v>48</v>
      </c>
      <c r="B473" s="11" t="s">
        <v>363</v>
      </c>
      <c r="C473" s="11">
        <v>2026010558</v>
      </c>
      <c r="D473" s="11" t="s">
        <v>2519</v>
      </c>
      <c r="E473" s="11" t="s">
        <v>365</v>
      </c>
      <c r="F473" s="11">
        <v>3883</v>
      </c>
      <c r="G473" s="11" t="s">
        <v>2520</v>
      </c>
      <c r="H473" s="11" t="s">
        <v>2337</v>
      </c>
      <c r="I473" s="11" t="s">
        <v>2521</v>
      </c>
      <c r="J473" s="11" t="s">
        <v>368</v>
      </c>
      <c r="K473" s="11" t="s">
        <v>446</v>
      </c>
      <c r="L473" s="11" t="s">
        <v>1097</v>
      </c>
      <c r="M473" s="12" t="s">
        <v>1098</v>
      </c>
      <c r="N473" s="11" t="s">
        <v>1357</v>
      </c>
      <c r="O473" s="12" t="s">
        <v>1358</v>
      </c>
      <c r="P473" s="13" t="s">
        <v>2522</v>
      </c>
      <c r="Q473" s="11" t="s">
        <v>2523</v>
      </c>
      <c r="R473" s="11" t="s">
        <v>326</v>
      </c>
      <c r="S473" s="11" t="s">
        <v>133</v>
      </c>
      <c r="T473" s="11">
        <v>1</v>
      </c>
      <c r="U473" s="11" t="s">
        <v>327</v>
      </c>
      <c r="V473" s="11" t="s">
        <v>2524</v>
      </c>
      <c r="W473" s="11" t="s">
        <v>2525</v>
      </c>
      <c r="X473" s="367">
        <v>46029.604166666657</v>
      </c>
      <c r="Y473" s="11" t="s">
        <v>2526</v>
      </c>
      <c r="Z473" s="11">
        <v>0.3</v>
      </c>
      <c r="AA473" s="11"/>
      <c r="AB473" s="11" t="s">
        <v>330</v>
      </c>
      <c r="AC473" s="212" t="s">
        <v>2527</v>
      </c>
      <c r="AD473" s="11"/>
      <c r="AE473" s="11"/>
      <c r="AF473" s="11"/>
      <c r="AG473" s="11"/>
      <c r="AH473" s="11"/>
      <c r="AI473" s="11"/>
      <c r="AJ473" s="11"/>
      <c r="AK473" s="11" t="s">
        <v>332</v>
      </c>
      <c r="AL473" s="213">
        <f t="shared" si="14"/>
        <v>46028</v>
      </c>
      <c r="AM473" s="211">
        <f t="shared" si="15"/>
        <v>46029</v>
      </c>
    </row>
    <row r="474" spans="1:39" ht="21.6" customHeight="1">
      <c r="A474" s="11">
        <v>49</v>
      </c>
      <c r="B474" s="11" t="s">
        <v>363</v>
      </c>
      <c r="C474" s="11">
        <v>2026010565</v>
      </c>
      <c r="D474" s="11" t="s">
        <v>2528</v>
      </c>
      <c r="E474" s="11" t="s">
        <v>365</v>
      </c>
      <c r="F474" s="11">
        <v>2540</v>
      </c>
      <c r="G474" s="11" t="s">
        <v>2529</v>
      </c>
      <c r="H474" s="11" t="s">
        <v>2325</v>
      </c>
      <c r="I474" s="11" t="s">
        <v>2530</v>
      </c>
      <c r="J474" s="11" t="s">
        <v>368</v>
      </c>
      <c r="K474" s="11" t="s">
        <v>446</v>
      </c>
      <c r="L474" s="11" t="s">
        <v>447</v>
      </c>
      <c r="M474" s="12" t="s">
        <v>448</v>
      </c>
      <c r="N474" s="11" t="s">
        <v>449</v>
      </c>
      <c r="O474" s="12" t="s">
        <v>450</v>
      </c>
      <c r="P474" s="13" t="s">
        <v>2531</v>
      </c>
      <c r="Q474" s="11" t="s">
        <v>2532</v>
      </c>
      <c r="R474" s="11" t="s">
        <v>326</v>
      </c>
      <c r="S474" s="11" t="s">
        <v>123</v>
      </c>
      <c r="T474" s="11">
        <v>1</v>
      </c>
      <c r="U474" s="11" t="s">
        <v>327</v>
      </c>
      <c r="V474" s="11" t="s">
        <v>2533</v>
      </c>
      <c r="W474" s="11" t="s">
        <v>2534</v>
      </c>
      <c r="X474" s="367">
        <v>46029.506944444453</v>
      </c>
      <c r="Y474" s="11" t="s">
        <v>2535</v>
      </c>
      <c r="Z474" s="11">
        <v>0.7</v>
      </c>
      <c r="AA474" s="11"/>
      <c r="AB474" s="11" t="s">
        <v>330</v>
      </c>
      <c r="AC474" s="212" t="s">
        <v>2536</v>
      </c>
      <c r="AD474" s="11"/>
      <c r="AE474" s="11"/>
      <c r="AF474" s="11"/>
      <c r="AG474" s="11"/>
      <c r="AH474" s="11"/>
      <c r="AI474" s="11"/>
      <c r="AJ474" s="11"/>
      <c r="AK474" s="11" t="s">
        <v>332</v>
      </c>
      <c r="AL474" s="213">
        <f t="shared" si="14"/>
        <v>46028</v>
      </c>
      <c r="AM474" s="211">
        <f t="shared" si="15"/>
        <v>46029</v>
      </c>
    </row>
    <row r="475" spans="1:39" ht="21.6" customHeight="1">
      <c r="A475" s="11">
        <v>50</v>
      </c>
      <c r="B475" s="11" t="s">
        <v>322</v>
      </c>
      <c r="C475" s="11">
        <v>2026010566</v>
      </c>
      <c r="D475" s="11"/>
      <c r="E475" s="11"/>
      <c r="F475" s="11">
        <v>5197</v>
      </c>
      <c r="G475" s="11" t="s">
        <v>1782</v>
      </c>
      <c r="H475" s="11" t="s">
        <v>748</v>
      </c>
      <c r="I475" s="11"/>
      <c r="J475" s="11"/>
      <c r="K475" s="11"/>
      <c r="L475" s="11"/>
      <c r="M475" s="12"/>
      <c r="N475" s="11"/>
      <c r="O475" s="12"/>
      <c r="P475" s="13"/>
      <c r="Q475" s="11" t="s">
        <v>1783</v>
      </c>
      <c r="R475" s="11" t="s">
        <v>326</v>
      </c>
      <c r="S475" s="11" t="s">
        <v>118</v>
      </c>
      <c r="T475" s="11">
        <v>1</v>
      </c>
      <c r="U475" s="11" t="s">
        <v>327</v>
      </c>
      <c r="V475" s="11" t="s">
        <v>2537</v>
      </c>
      <c r="W475" s="11" t="s">
        <v>2538</v>
      </c>
      <c r="X475" s="367">
        <v>46028.493055555547</v>
      </c>
      <c r="Y475" s="11"/>
      <c r="Z475" s="11">
        <v>0.3</v>
      </c>
      <c r="AA475" s="11"/>
      <c r="AB475" s="11" t="s">
        <v>330</v>
      </c>
      <c r="AC475" s="212" t="s">
        <v>2539</v>
      </c>
      <c r="AD475" s="11" t="s">
        <v>332</v>
      </c>
      <c r="AE475" s="11"/>
      <c r="AF475" s="11"/>
      <c r="AG475" s="11"/>
      <c r="AH475" s="11"/>
      <c r="AI475" s="11"/>
      <c r="AJ475" s="11" t="s">
        <v>332</v>
      </c>
      <c r="AK475" s="11" t="s">
        <v>332</v>
      </c>
      <c r="AL475" s="213" t="e">
        <f t="shared" si="14"/>
        <v>#VALUE!</v>
      </c>
      <c r="AM475" s="211">
        <f t="shared" si="15"/>
        <v>46028</v>
      </c>
    </row>
    <row r="476" spans="1:39" ht="21.6" customHeight="1">
      <c r="A476" s="11">
        <v>51</v>
      </c>
      <c r="B476" s="11" t="s">
        <v>363</v>
      </c>
      <c r="C476" s="11">
        <v>2026010570</v>
      </c>
      <c r="D476" s="11" t="s">
        <v>2540</v>
      </c>
      <c r="E476" s="11" t="s">
        <v>365</v>
      </c>
      <c r="F476" s="11">
        <v>2422</v>
      </c>
      <c r="G476" s="11" t="s">
        <v>544</v>
      </c>
      <c r="H476" s="11" t="s">
        <v>396</v>
      </c>
      <c r="I476" s="11" t="s">
        <v>2541</v>
      </c>
      <c r="J476" s="11" t="s">
        <v>368</v>
      </c>
      <c r="K476" s="11" t="s">
        <v>200</v>
      </c>
      <c r="L476" s="11" t="s">
        <v>1280</v>
      </c>
      <c r="M476" s="12" t="s">
        <v>1281</v>
      </c>
      <c r="N476" s="11">
        <v>6004</v>
      </c>
      <c r="O476" s="12" t="s">
        <v>425</v>
      </c>
      <c r="P476" s="13" t="s">
        <v>2542</v>
      </c>
      <c r="Q476" s="11" t="s">
        <v>545</v>
      </c>
      <c r="R476" s="11" t="s">
        <v>326</v>
      </c>
      <c r="S476" s="11" t="s">
        <v>134</v>
      </c>
      <c r="T476" s="11">
        <v>1</v>
      </c>
      <c r="U476" s="11" t="s">
        <v>327</v>
      </c>
      <c r="V476" s="11" t="s">
        <v>2543</v>
      </c>
      <c r="W476" s="11" t="s">
        <v>2544</v>
      </c>
      <c r="X476" s="367">
        <v>46029.465277777781</v>
      </c>
      <c r="Y476" s="11" t="s">
        <v>2545</v>
      </c>
      <c r="Z476" s="11">
        <v>0.3</v>
      </c>
      <c r="AA476" s="11"/>
      <c r="AB476" s="11" t="s">
        <v>330</v>
      </c>
      <c r="AC476" s="212" t="s">
        <v>2546</v>
      </c>
      <c r="AD476" s="11"/>
      <c r="AE476" s="11"/>
      <c r="AF476" s="11"/>
      <c r="AG476" s="11"/>
      <c r="AH476" s="11"/>
      <c r="AI476" s="11"/>
      <c r="AJ476" s="11"/>
      <c r="AK476" s="11" t="s">
        <v>332</v>
      </c>
      <c r="AL476" s="213">
        <f t="shared" si="14"/>
        <v>46028</v>
      </c>
      <c r="AM476" s="211">
        <f t="shared" si="15"/>
        <v>46029</v>
      </c>
    </row>
    <row r="477" spans="1:39" ht="21.6" customHeight="1">
      <c r="A477" s="11">
        <v>52</v>
      </c>
      <c r="B477" s="11" t="s">
        <v>322</v>
      </c>
      <c r="C477" s="11">
        <v>2026010594</v>
      </c>
      <c r="D477" s="11"/>
      <c r="E477" s="11"/>
      <c r="F477" s="11">
        <v>5074</v>
      </c>
      <c r="G477" s="11" t="s">
        <v>1705</v>
      </c>
      <c r="H477" s="11" t="s">
        <v>1077</v>
      </c>
      <c r="I477" s="11"/>
      <c r="J477" s="11"/>
      <c r="K477" s="11"/>
      <c r="L477" s="11"/>
      <c r="M477" s="12"/>
      <c r="N477" s="11"/>
      <c r="O477" s="12"/>
      <c r="P477" s="13"/>
      <c r="Q477" s="11" t="s">
        <v>1706</v>
      </c>
      <c r="R477" s="11" t="s">
        <v>326</v>
      </c>
      <c r="S477" s="11" t="s">
        <v>123</v>
      </c>
      <c r="T477" s="11">
        <v>1</v>
      </c>
      <c r="U477" s="11" t="s">
        <v>327</v>
      </c>
      <c r="V477" s="11" t="s">
        <v>2547</v>
      </c>
      <c r="W477" s="11" t="s">
        <v>2386</v>
      </c>
      <c r="X477" s="367">
        <v>46028.555555555547</v>
      </c>
      <c r="Y477" s="11"/>
      <c r="Z477" s="11">
        <v>0.3</v>
      </c>
      <c r="AA477" s="11"/>
      <c r="AB477" s="11" t="s">
        <v>330</v>
      </c>
      <c r="AC477" s="212" t="s">
        <v>2548</v>
      </c>
      <c r="AD477" s="11" t="s">
        <v>332</v>
      </c>
      <c r="AE477" s="11"/>
      <c r="AF477" s="11"/>
      <c r="AG477" s="11"/>
      <c r="AH477" s="11"/>
      <c r="AI477" s="11"/>
      <c r="AJ477" s="11"/>
      <c r="AK477" s="11" t="s">
        <v>332</v>
      </c>
      <c r="AL477" s="213" t="e">
        <f t="shared" si="14"/>
        <v>#VALUE!</v>
      </c>
      <c r="AM477" s="211">
        <f t="shared" si="15"/>
        <v>46028</v>
      </c>
    </row>
    <row r="478" spans="1:39" ht="21.6" customHeight="1">
      <c r="A478" s="11">
        <v>53</v>
      </c>
      <c r="B478" s="11" t="s">
        <v>322</v>
      </c>
      <c r="C478" s="11">
        <v>2026010597</v>
      </c>
      <c r="D478" s="11"/>
      <c r="E478" s="11"/>
      <c r="F478" s="11">
        <v>2306</v>
      </c>
      <c r="G478" s="11" t="s">
        <v>1709</v>
      </c>
      <c r="H478" s="11" t="s">
        <v>1077</v>
      </c>
      <c r="I478" s="11"/>
      <c r="J478" s="11"/>
      <c r="K478" s="11"/>
      <c r="L478" s="11"/>
      <c r="M478" s="12"/>
      <c r="N478" s="11"/>
      <c r="O478" s="12"/>
      <c r="P478" s="13"/>
      <c r="Q478" s="11" t="s">
        <v>1710</v>
      </c>
      <c r="R478" s="11" t="s">
        <v>326</v>
      </c>
      <c r="S478" s="11" t="s">
        <v>123</v>
      </c>
      <c r="T478" s="11">
        <v>1</v>
      </c>
      <c r="U478" s="11" t="s">
        <v>327</v>
      </c>
      <c r="V478" s="11" t="s">
        <v>2549</v>
      </c>
      <c r="W478" s="11" t="s">
        <v>2550</v>
      </c>
      <c r="X478" s="367">
        <v>46028.579861111109</v>
      </c>
      <c r="Y478" s="11"/>
      <c r="Z478" s="11">
        <v>0.4</v>
      </c>
      <c r="AA478" s="11"/>
      <c r="AB478" s="11" t="s">
        <v>330</v>
      </c>
      <c r="AC478" s="212" t="s">
        <v>2551</v>
      </c>
      <c r="AD478" s="11" t="s">
        <v>332</v>
      </c>
      <c r="AE478" s="11"/>
      <c r="AF478" s="11"/>
      <c r="AG478" s="11"/>
      <c r="AH478" s="11"/>
      <c r="AI478" s="11"/>
      <c r="AJ478" s="11"/>
      <c r="AK478" s="11" t="s">
        <v>332</v>
      </c>
      <c r="AL478" s="213" t="e">
        <f t="shared" si="14"/>
        <v>#VALUE!</v>
      </c>
      <c r="AM478" s="211">
        <f t="shared" si="15"/>
        <v>46028</v>
      </c>
    </row>
    <row r="479" spans="1:39" ht="21.6" customHeight="1">
      <c r="A479" s="11">
        <v>54</v>
      </c>
      <c r="B479" s="11" t="s">
        <v>322</v>
      </c>
      <c r="C479" s="11">
        <v>2026010626</v>
      </c>
      <c r="D479" s="11"/>
      <c r="E479" s="11"/>
      <c r="F479" s="11">
        <v>4259</v>
      </c>
      <c r="G479" s="11" t="s">
        <v>1713</v>
      </c>
      <c r="H479" s="11" t="s">
        <v>1077</v>
      </c>
      <c r="I479" s="11"/>
      <c r="J479" s="11"/>
      <c r="K479" s="11"/>
      <c r="L479" s="11"/>
      <c r="M479" s="12"/>
      <c r="N479" s="11"/>
      <c r="O479" s="12"/>
      <c r="P479" s="13"/>
      <c r="Q479" s="11" t="s">
        <v>1714</v>
      </c>
      <c r="R479" s="11" t="s">
        <v>326</v>
      </c>
      <c r="S479" s="11" t="s">
        <v>123</v>
      </c>
      <c r="T479" s="11">
        <v>1</v>
      </c>
      <c r="U479" s="11" t="s">
        <v>327</v>
      </c>
      <c r="V479" s="11" t="s">
        <v>2552</v>
      </c>
      <c r="W479" s="11" t="s">
        <v>2553</v>
      </c>
      <c r="X479" s="367">
        <v>46028.604861111111</v>
      </c>
      <c r="Y479" s="11"/>
      <c r="Z479" s="11">
        <v>0.4</v>
      </c>
      <c r="AA479" s="11"/>
      <c r="AB479" s="11" t="s">
        <v>330</v>
      </c>
      <c r="AC479" s="212" t="s">
        <v>2554</v>
      </c>
      <c r="AD479" s="11" t="s">
        <v>332</v>
      </c>
      <c r="AE479" s="11"/>
      <c r="AF479" s="11"/>
      <c r="AG479" s="11"/>
      <c r="AH479" s="11"/>
      <c r="AI479" s="11"/>
      <c r="AJ479" s="11"/>
      <c r="AK479" s="11" t="s">
        <v>332</v>
      </c>
      <c r="AL479" s="213" t="e">
        <f t="shared" si="14"/>
        <v>#VALUE!</v>
      </c>
      <c r="AM479" s="211">
        <f t="shared" si="15"/>
        <v>46028</v>
      </c>
    </row>
    <row r="480" spans="1:39" ht="21.6" customHeight="1">
      <c r="A480" s="11">
        <v>55</v>
      </c>
      <c r="B480" s="11" t="s">
        <v>322</v>
      </c>
      <c r="C480" s="11">
        <v>2026010747</v>
      </c>
      <c r="D480" s="11"/>
      <c r="E480" s="11" t="s">
        <v>1717</v>
      </c>
      <c r="F480" s="11">
        <v>4528</v>
      </c>
      <c r="G480" s="11" t="s">
        <v>1718</v>
      </c>
      <c r="H480" s="11" t="s">
        <v>1077</v>
      </c>
      <c r="I480" s="11"/>
      <c r="J480" s="11"/>
      <c r="K480" s="11"/>
      <c r="L480" s="11"/>
      <c r="M480" s="12"/>
      <c r="N480" s="11"/>
      <c r="O480" s="12"/>
      <c r="P480" s="13"/>
      <c r="Q480" s="11" t="s">
        <v>1719</v>
      </c>
      <c r="R480" s="11" t="s">
        <v>326</v>
      </c>
      <c r="S480" s="11" t="s">
        <v>123</v>
      </c>
      <c r="T480" s="11">
        <v>1</v>
      </c>
      <c r="U480" s="11" t="s">
        <v>327</v>
      </c>
      <c r="V480" s="11" t="s">
        <v>2555</v>
      </c>
      <c r="W480" s="11" t="s">
        <v>2556</v>
      </c>
      <c r="X480" s="367">
        <v>46028.640277777777</v>
      </c>
      <c r="Y480" s="11"/>
      <c r="Z480" s="11">
        <v>0.4</v>
      </c>
      <c r="AA480" s="11"/>
      <c r="AB480" s="11" t="s">
        <v>330</v>
      </c>
      <c r="AC480" s="212" t="s">
        <v>2557</v>
      </c>
      <c r="AD480" s="11" t="s">
        <v>332</v>
      </c>
      <c r="AE480" s="11"/>
      <c r="AF480" s="11"/>
      <c r="AG480" s="11"/>
      <c r="AH480" s="11"/>
      <c r="AI480" s="11"/>
      <c r="AJ480" s="11"/>
      <c r="AK480" s="11" t="s">
        <v>332</v>
      </c>
      <c r="AL480" s="213" t="e">
        <f t="shared" si="14"/>
        <v>#VALUE!</v>
      </c>
      <c r="AM480" s="211">
        <f t="shared" si="15"/>
        <v>46028</v>
      </c>
    </row>
    <row r="481" spans="1:39" ht="21.6" customHeight="1">
      <c r="A481" s="11">
        <v>56</v>
      </c>
      <c r="B481" s="11" t="s">
        <v>322</v>
      </c>
      <c r="C481" s="11">
        <v>2026010756</v>
      </c>
      <c r="D481" s="11"/>
      <c r="E481" s="11"/>
      <c r="F481" s="11">
        <v>4243</v>
      </c>
      <c r="G481" s="11" t="s">
        <v>1722</v>
      </c>
      <c r="H481" s="11" t="s">
        <v>1077</v>
      </c>
      <c r="I481" s="11"/>
      <c r="J481" s="11"/>
      <c r="K481" s="11"/>
      <c r="L481" s="11"/>
      <c r="M481" s="12"/>
      <c r="N481" s="11"/>
      <c r="O481" s="12"/>
      <c r="P481" s="13"/>
      <c r="Q481" s="11" t="s">
        <v>1723</v>
      </c>
      <c r="R481" s="11" t="s">
        <v>326</v>
      </c>
      <c r="S481" s="11" t="s">
        <v>123</v>
      </c>
      <c r="T481" s="11">
        <v>1</v>
      </c>
      <c r="U481" s="11" t="s">
        <v>327</v>
      </c>
      <c r="V481" s="11" t="s">
        <v>2558</v>
      </c>
      <c r="W481" s="11" t="s">
        <v>2559</v>
      </c>
      <c r="X481" s="367">
        <v>46028.659722222219</v>
      </c>
      <c r="Y481" s="11"/>
      <c r="Z481" s="11">
        <v>0.3</v>
      </c>
      <c r="AA481" s="11"/>
      <c r="AB481" s="11" t="s">
        <v>330</v>
      </c>
      <c r="AC481" s="212" t="s">
        <v>2560</v>
      </c>
      <c r="AD481" s="11" t="s">
        <v>332</v>
      </c>
      <c r="AE481" s="11"/>
      <c r="AF481" s="11"/>
      <c r="AG481" s="11"/>
      <c r="AH481" s="11"/>
      <c r="AI481" s="11"/>
      <c r="AJ481" s="11"/>
      <c r="AK481" s="11" t="s">
        <v>332</v>
      </c>
      <c r="AL481" s="213" t="e">
        <f t="shared" si="14"/>
        <v>#VALUE!</v>
      </c>
      <c r="AM481" s="211">
        <f t="shared" si="15"/>
        <v>46028</v>
      </c>
    </row>
    <row r="482" spans="1:39" ht="21.6" customHeight="1">
      <c r="A482" s="11">
        <v>57</v>
      </c>
      <c r="B482" s="11" t="s">
        <v>322</v>
      </c>
      <c r="C482" s="11">
        <v>2026010765</v>
      </c>
      <c r="D482" s="11"/>
      <c r="E482" s="11"/>
      <c r="F482" s="11">
        <v>3458</v>
      </c>
      <c r="G482" s="11" t="s">
        <v>1726</v>
      </c>
      <c r="H482" s="11" t="s">
        <v>1077</v>
      </c>
      <c r="I482" s="11"/>
      <c r="J482" s="11"/>
      <c r="K482" s="11"/>
      <c r="L482" s="11"/>
      <c r="M482" s="12"/>
      <c r="N482" s="11"/>
      <c r="O482" s="12"/>
      <c r="P482" s="13"/>
      <c r="Q482" s="11" t="s">
        <v>1727</v>
      </c>
      <c r="R482" s="11" t="s">
        <v>326</v>
      </c>
      <c r="S482" s="11" t="s">
        <v>123</v>
      </c>
      <c r="T482" s="11">
        <v>1</v>
      </c>
      <c r="U482" s="11" t="s">
        <v>327</v>
      </c>
      <c r="V482" s="11" t="s">
        <v>2561</v>
      </c>
      <c r="W482" s="11" t="s">
        <v>2562</v>
      </c>
      <c r="X482" s="367">
        <v>46028.680555555547</v>
      </c>
      <c r="Y482" s="11"/>
      <c r="Z482" s="11">
        <v>0.3</v>
      </c>
      <c r="AA482" s="11"/>
      <c r="AB482" s="11" t="s">
        <v>330</v>
      </c>
      <c r="AC482" s="212" t="s">
        <v>2563</v>
      </c>
      <c r="AD482" s="11" t="s">
        <v>332</v>
      </c>
      <c r="AE482" s="11"/>
      <c r="AF482" s="11"/>
      <c r="AG482" s="11"/>
      <c r="AH482" s="11"/>
      <c r="AI482" s="11"/>
      <c r="AJ482" s="11"/>
      <c r="AK482" s="11" t="s">
        <v>332</v>
      </c>
      <c r="AL482" s="213" t="e">
        <f t="shared" si="14"/>
        <v>#VALUE!</v>
      </c>
      <c r="AM482" s="211">
        <f t="shared" si="15"/>
        <v>46028</v>
      </c>
    </row>
    <row r="483" spans="1:39" ht="21.6" customHeight="1">
      <c r="A483" s="11">
        <v>58</v>
      </c>
      <c r="B483" s="11" t="s">
        <v>363</v>
      </c>
      <c r="C483" s="11">
        <v>2026010915</v>
      </c>
      <c r="D483" s="11" t="s">
        <v>2564</v>
      </c>
      <c r="E483" s="11" t="s">
        <v>365</v>
      </c>
      <c r="F483" s="11">
        <v>5451</v>
      </c>
      <c r="G483" s="11" t="s">
        <v>178</v>
      </c>
      <c r="H483" s="11" t="s">
        <v>396</v>
      </c>
      <c r="I483" s="11" t="s">
        <v>2565</v>
      </c>
      <c r="J483" s="11" t="s">
        <v>383</v>
      </c>
      <c r="K483" s="11" t="s">
        <v>446</v>
      </c>
      <c r="L483" s="11" t="s">
        <v>2408</v>
      </c>
      <c r="M483" s="12" t="s">
        <v>2409</v>
      </c>
      <c r="N483" s="11" t="s">
        <v>2410</v>
      </c>
      <c r="O483" s="12" t="s">
        <v>2411</v>
      </c>
      <c r="P483" s="13" t="s">
        <v>2566</v>
      </c>
      <c r="Q483" s="11" t="s">
        <v>928</v>
      </c>
      <c r="R483" s="11" t="s">
        <v>326</v>
      </c>
      <c r="S483" s="11" t="s">
        <v>134</v>
      </c>
      <c r="T483" s="11">
        <v>1</v>
      </c>
      <c r="U483" s="11" t="s">
        <v>327</v>
      </c>
      <c r="V483" s="11" t="s">
        <v>2567</v>
      </c>
      <c r="W483" s="11" t="s">
        <v>2568</v>
      </c>
      <c r="X483" s="367">
        <v>46030.417361111111</v>
      </c>
      <c r="Y483" s="11" t="s">
        <v>2569</v>
      </c>
      <c r="Z483" s="11">
        <v>0.5</v>
      </c>
      <c r="AA483" s="11"/>
      <c r="AB483" s="11" t="s">
        <v>330</v>
      </c>
      <c r="AC483" s="212" t="s">
        <v>2570</v>
      </c>
      <c r="AD483" s="11"/>
      <c r="AE483" s="11"/>
      <c r="AF483" s="11"/>
      <c r="AG483" s="11"/>
      <c r="AH483" s="11"/>
      <c r="AI483" s="11"/>
      <c r="AJ483" s="11"/>
      <c r="AK483" s="11" t="s">
        <v>332</v>
      </c>
      <c r="AL483" s="213">
        <f t="shared" si="14"/>
        <v>46029</v>
      </c>
      <c r="AM483" s="211">
        <f t="shared" si="15"/>
        <v>46030</v>
      </c>
    </row>
    <row r="484" spans="1:39" ht="21.6" customHeight="1">
      <c r="A484" s="11">
        <v>59</v>
      </c>
      <c r="B484" s="11" t="s">
        <v>322</v>
      </c>
      <c r="C484" s="11">
        <v>2026010936</v>
      </c>
      <c r="D484" s="11"/>
      <c r="E484" s="11"/>
      <c r="F484" s="11">
        <v>2422</v>
      </c>
      <c r="G484" s="11" t="s">
        <v>544</v>
      </c>
      <c r="H484" s="11" t="s">
        <v>396</v>
      </c>
      <c r="I484" s="11"/>
      <c r="J484" s="11"/>
      <c r="K484" s="11"/>
      <c r="L484" s="11"/>
      <c r="M484" s="12"/>
      <c r="N484" s="11"/>
      <c r="O484" s="12"/>
      <c r="P484" s="13"/>
      <c r="Q484" s="11" t="s">
        <v>545</v>
      </c>
      <c r="R484" s="11" t="s">
        <v>326</v>
      </c>
      <c r="S484" s="11" t="s">
        <v>134</v>
      </c>
      <c r="T484" s="11">
        <v>1</v>
      </c>
      <c r="U484" s="11" t="s">
        <v>327</v>
      </c>
      <c r="V484" s="11" t="s">
        <v>2571</v>
      </c>
      <c r="W484" s="11" t="s">
        <v>2544</v>
      </c>
      <c r="X484" s="367">
        <v>46029.465277777781</v>
      </c>
      <c r="Y484" s="11"/>
      <c r="Z484" s="11">
        <v>0.3</v>
      </c>
      <c r="AA484" s="11"/>
      <c r="AB484" s="11" t="s">
        <v>330</v>
      </c>
      <c r="AC484" s="212" t="s">
        <v>2572</v>
      </c>
      <c r="AD484" s="11" t="s">
        <v>332</v>
      </c>
      <c r="AE484" s="11"/>
      <c r="AF484" s="11"/>
      <c r="AG484" s="11"/>
      <c r="AH484" s="11"/>
      <c r="AI484" s="11"/>
      <c r="AJ484" s="11"/>
      <c r="AK484" s="11"/>
      <c r="AL484" s="213" t="e">
        <f t="shared" si="14"/>
        <v>#VALUE!</v>
      </c>
      <c r="AM484" s="211">
        <f t="shared" si="15"/>
        <v>46029</v>
      </c>
    </row>
    <row r="485" spans="1:39" ht="21.6" customHeight="1">
      <c r="A485" s="11">
        <v>60</v>
      </c>
      <c r="B485" s="11" t="s">
        <v>322</v>
      </c>
      <c r="C485" s="11">
        <v>2026010952</v>
      </c>
      <c r="D485" s="11"/>
      <c r="E485" s="11" t="s">
        <v>2573</v>
      </c>
      <c r="F485" s="11">
        <v>2540</v>
      </c>
      <c r="G485" s="11" t="s">
        <v>2529</v>
      </c>
      <c r="H485" s="11" t="s">
        <v>2325</v>
      </c>
      <c r="I485" s="11"/>
      <c r="J485" s="11"/>
      <c r="K485" s="11"/>
      <c r="L485" s="11"/>
      <c r="M485" s="12"/>
      <c r="N485" s="11"/>
      <c r="O485" s="12"/>
      <c r="P485" s="13"/>
      <c r="Q485" s="11" t="s">
        <v>2532</v>
      </c>
      <c r="R485" s="11" t="s">
        <v>326</v>
      </c>
      <c r="S485" s="11" t="s">
        <v>123</v>
      </c>
      <c r="T485" s="11">
        <v>1</v>
      </c>
      <c r="U485" s="11" t="s">
        <v>327</v>
      </c>
      <c r="V485" s="11" t="s">
        <v>2574</v>
      </c>
      <c r="W485" s="11" t="s">
        <v>2575</v>
      </c>
      <c r="X485" s="367">
        <v>46029.520833333343</v>
      </c>
      <c r="Y485" s="11"/>
      <c r="Z485" s="11">
        <v>0.3</v>
      </c>
      <c r="AA485" s="11"/>
      <c r="AB485" s="11" t="s">
        <v>330</v>
      </c>
      <c r="AC485" s="212" t="s">
        <v>2576</v>
      </c>
      <c r="AD485" s="11" t="s">
        <v>332</v>
      </c>
      <c r="AE485" s="11"/>
      <c r="AF485" s="11"/>
      <c r="AG485" s="11"/>
      <c r="AH485" s="11"/>
      <c r="AI485" s="11"/>
      <c r="AJ485" s="11"/>
      <c r="AK485" s="11" t="s">
        <v>332</v>
      </c>
      <c r="AL485" s="213" t="e">
        <f t="shared" si="14"/>
        <v>#VALUE!</v>
      </c>
      <c r="AM485" s="211">
        <f t="shared" si="15"/>
        <v>46029</v>
      </c>
    </row>
    <row r="486" spans="1:39" ht="21.6" customHeight="1">
      <c r="A486" s="11">
        <v>61</v>
      </c>
      <c r="B486" s="11" t="s">
        <v>322</v>
      </c>
      <c r="C486" s="11">
        <v>2026010999</v>
      </c>
      <c r="D486" s="11"/>
      <c r="E486" s="11"/>
      <c r="F486" s="11">
        <v>3883</v>
      </c>
      <c r="G486" s="11" t="s">
        <v>2520</v>
      </c>
      <c r="H486" s="11" t="s">
        <v>2337</v>
      </c>
      <c r="I486" s="11"/>
      <c r="J486" s="11"/>
      <c r="K486" s="11"/>
      <c r="L486" s="11"/>
      <c r="M486" s="12"/>
      <c r="N486" s="11"/>
      <c r="O486" s="12"/>
      <c r="P486" s="13"/>
      <c r="Q486" s="11" t="s">
        <v>2523</v>
      </c>
      <c r="R486" s="11" t="s">
        <v>326</v>
      </c>
      <c r="S486" s="11" t="s">
        <v>133</v>
      </c>
      <c r="T486" s="11">
        <v>1</v>
      </c>
      <c r="U486" s="11" t="s">
        <v>327</v>
      </c>
      <c r="V486" s="11" t="s">
        <v>2577</v>
      </c>
      <c r="W486" s="11" t="s">
        <v>2578</v>
      </c>
      <c r="X486" s="367">
        <v>46029.611111111109</v>
      </c>
      <c r="Y486" s="11"/>
      <c r="Z486" s="11">
        <v>0.3</v>
      </c>
      <c r="AA486" s="11"/>
      <c r="AB486" s="11" t="s">
        <v>330</v>
      </c>
      <c r="AC486" s="212" t="s">
        <v>2579</v>
      </c>
      <c r="AD486" s="11" t="s">
        <v>332</v>
      </c>
      <c r="AE486" s="11"/>
      <c r="AF486" s="11"/>
      <c r="AG486" s="11"/>
      <c r="AH486" s="11"/>
      <c r="AI486" s="11"/>
      <c r="AJ486" s="11" t="s">
        <v>332</v>
      </c>
      <c r="AK486" s="11" t="s">
        <v>332</v>
      </c>
      <c r="AL486" s="213" t="e">
        <f t="shared" si="14"/>
        <v>#VALUE!</v>
      </c>
      <c r="AM486" s="211">
        <f t="shared" si="15"/>
        <v>46029</v>
      </c>
    </row>
    <row r="487" spans="1:39" ht="21.6" customHeight="1">
      <c r="A487" s="11">
        <v>62</v>
      </c>
      <c r="B487" s="11" t="s">
        <v>363</v>
      </c>
      <c r="C487" s="11">
        <v>2026011018</v>
      </c>
      <c r="D487" s="11" t="s">
        <v>2580</v>
      </c>
      <c r="E487" s="11" t="s">
        <v>365</v>
      </c>
      <c r="F487" s="11" t="s">
        <v>48</v>
      </c>
      <c r="G487" s="11" t="s">
        <v>2581</v>
      </c>
      <c r="H487" s="11" t="s">
        <v>396</v>
      </c>
      <c r="I487" s="11" t="s">
        <v>2582</v>
      </c>
      <c r="J487" s="11" t="s">
        <v>383</v>
      </c>
      <c r="K487" s="11" t="s">
        <v>200</v>
      </c>
      <c r="L487" s="11" t="s">
        <v>398</v>
      </c>
      <c r="M487" s="12" t="s">
        <v>399</v>
      </c>
      <c r="N487" s="11" t="s">
        <v>1788</v>
      </c>
      <c r="O487" s="12" t="s">
        <v>1789</v>
      </c>
      <c r="P487" s="13" t="s">
        <v>2583</v>
      </c>
      <c r="Q487" s="11" t="s">
        <v>2584</v>
      </c>
      <c r="R487" s="11" t="s">
        <v>326</v>
      </c>
      <c r="S487" s="11" t="s">
        <v>134</v>
      </c>
      <c r="T487" s="11">
        <v>1</v>
      </c>
      <c r="U487" s="11" t="s">
        <v>327</v>
      </c>
      <c r="V487" s="11" t="s">
        <v>2585</v>
      </c>
      <c r="W487" s="11" t="s">
        <v>2586</v>
      </c>
      <c r="X487" s="367">
        <v>46030.451388888891</v>
      </c>
      <c r="Y487" s="11" t="s">
        <v>2587</v>
      </c>
      <c r="Z487" s="11">
        <v>0.6</v>
      </c>
      <c r="AA487" s="11"/>
      <c r="AB487" s="11" t="s">
        <v>330</v>
      </c>
      <c r="AC487" s="212" t="s">
        <v>2588</v>
      </c>
      <c r="AD487" s="11"/>
      <c r="AE487" s="11"/>
      <c r="AF487" s="11"/>
      <c r="AG487" s="11"/>
      <c r="AH487" s="11"/>
      <c r="AI487" s="11"/>
      <c r="AJ487" s="11"/>
      <c r="AK487" s="11" t="s">
        <v>332</v>
      </c>
      <c r="AL487" s="213">
        <f t="shared" si="14"/>
        <v>46029</v>
      </c>
      <c r="AM487" s="211">
        <f t="shared" si="15"/>
        <v>46030</v>
      </c>
    </row>
    <row r="488" spans="1:39" ht="21.6" customHeight="1">
      <c r="A488" s="11">
        <v>63</v>
      </c>
      <c r="B488" s="11" t="s">
        <v>322</v>
      </c>
      <c r="C488" s="11">
        <v>2026011192</v>
      </c>
      <c r="D488" s="11"/>
      <c r="E488" s="11"/>
      <c r="F488" s="11">
        <v>5451</v>
      </c>
      <c r="G488" s="11" t="s">
        <v>178</v>
      </c>
      <c r="H488" s="11" t="s">
        <v>396</v>
      </c>
      <c r="I488" s="11"/>
      <c r="J488" s="11"/>
      <c r="K488" s="11"/>
      <c r="L488" s="11"/>
      <c r="M488" s="12"/>
      <c r="N488" s="11"/>
      <c r="O488" s="12"/>
      <c r="P488" s="13"/>
      <c r="Q488" s="11" t="s">
        <v>928</v>
      </c>
      <c r="R488" s="11" t="s">
        <v>326</v>
      </c>
      <c r="S488" s="11" t="s">
        <v>134</v>
      </c>
      <c r="T488" s="11">
        <v>1</v>
      </c>
      <c r="U488" s="11" t="s">
        <v>327</v>
      </c>
      <c r="V488" s="11" t="s">
        <v>2589</v>
      </c>
      <c r="W488" s="11" t="s">
        <v>2590</v>
      </c>
      <c r="X488" s="367">
        <v>46030.416666666657</v>
      </c>
      <c r="Y488" s="11"/>
      <c r="Z488" s="11">
        <v>0.5</v>
      </c>
      <c r="AA488" s="11"/>
      <c r="AB488" s="11" t="s">
        <v>330</v>
      </c>
      <c r="AC488" s="212" t="s">
        <v>100</v>
      </c>
      <c r="AD488" s="11" t="s">
        <v>332</v>
      </c>
      <c r="AE488" s="11"/>
      <c r="AF488" s="11"/>
      <c r="AG488" s="11"/>
      <c r="AH488" s="11"/>
      <c r="AI488" s="11"/>
      <c r="AJ488" s="11"/>
      <c r="AK488" s="11"/>
      <c r="AL488" s="213" t="e">
        <f t="shared" si="14"/>
        <v>#VALUE!</v>
      </c>
      <c r="AM488" s="211">
        <f t="shared" si="15"/>
        <v>46030</v>
      </c>
    </row>
    <row r="489" spans="1:39" ht="21.6" customHeight="1">
      <c r="A489" s="11">
        <v>64</v>
      </c>
      <c r="B489" s="11" t="s">
        <v>322</v>
      </c>
      <c r="C489" s="11">
        <v>2026011213</v>
      </c>
      <c r="D489" s="11"/>
      <c r="E489" s="11"/>
      <c r="F489" s="11" t="s">
        <v>48</v>
      </c>
      <c r="G489" s="11" t="s">
        <v>2581</v>
      </c>
      <c r="H489" s="11" t="s">
        <v>396</v>
      </c>
      <c r="I489" s="11"/>
      <c r="J489" s="11"/>
      <c r="K489" s="11"/>
      <c r="L489" s="11"/>
      <c r="M489" s="12"/>
      <c r="N489" s="11"/>
      <c r="O489" s="12"/>
      <c r="P489" s="13"/>
      <c r="Q489" s="11" t="s">
        <v>2584</v>
      </c>
      <c r="R489" s="11" t="s">
        <v>326</v>
      </c>
      <c r="S489" s="11" t="s">
        <v>134</v>
      </c>
      <c r="T489" s="11">
        <v>1</v>
      </c>
      <c r="U489" s="11" t="s">
        <v>327</v>
      </c>
      <c r="V489" s="11" t="s">
        <v>2591</v>
      </c>
      <c r="W489" s="11" t="s">
        <v>2586</v>
      </c>
      <c r="X489" s="367">
        <v>46030.451388888891</v>
      </c>
      <c r="Y489" s="11"/>
      <c r="Z489" s="11">
        <v>0.6</v>
      </c>
      <c r="AA489" s="11"/>
      <c r="AB489" s="11" t="s">
        <v>330</v>
      </c>
      <c r="AC489" s="212" t="s">
        <v>2592</v>
      </c>
      <c r="AD489" s="11" t="s">
        <v>332</v>
      </c>
      <c r="AE489" s="11"/>
      <c r="AF489" s="11"/>
      <c r="AG489" s="11"/>
      <c r="AH489" s="11"/>
      <c r="AI489" s="11"/>
      <c r="AJ489" s="11"/>
      <c r="AK489" s="11"/>
      <c r="AL489" s="213" t="e">
        <f t="shared" si="14"/>
        <v>#VALUE!</v>
      </c>
      <c r="AM489" s="211">
        <f t="shared" si="15"/>
        <v>46030</v>
      </c>
    </row>
    <row r="490" spans="1:39" ht="21.6" customHeight="1">
      <c r="A490" s="11">
        <v>65</v>
      </c>
      <c r="B490" s="11" t="s">
        <v>322</v>
      </c>
      <c r="C490" s="11">
        <v>2026011242</v>
      </c>
      <c r="D490" s="11"/>
      <c r="E490" s="11"/>
      <c r="F490" s="11">
        <v>3878</v>
      </c>
      <c r="G490" s="11" t="s">
        <v>354</v>
      </c>
      <c r="H490" s="11" t="s">
        <v>324</v>
      </c>
      <c r="I490" s="11"/>
      <c r="J490" s="11"/>
      <c r="K490" s="11"/>
      <c r="L490" s="11"/>
      <c r="M490" s="12"/>
      <c r="N490" s="11"/>
      <c r="O490" s="12"/>
      <c r="P490" s="13"/>
      <c r="Q490" s="11" t="s">
        <v>355</v>
      </c>
      <c r="R490" s="11" t="s">
        <v>326</v>
      </c>
      <c r="S490" s="11" t="s">
        <v>123</v>
      </c>
      <c r="T490" s="11">
        <v>1</v>
      </c>
      <c r="U490" s="11" t="s">
        <v>327</v>
      </c>
      <c r="V490" s="11" t="s">
        <v>2593</v>
      </c>
      <c r="W490" s="11" t="s">
        <v>2594</v>
      </c>
      <c r="X490" s="367">
        <v>46030.495833333327</v>
      </c>
      <c r="Y490" s="11"/>
      <c r="Z490" s="11">
        <v>0.9</v>
      </c>
      <c r="AA490" s="11"/>
      <c r="AB490" s="11" t="s">
        <v>330</v>
      </c>
      <c r="AC490" s="212" t="s">
        <v>2595</v>
      </c>
      <c r="AD490" s="11" t="s">
        <v>332</v>
      </c>
      <c r="AE490" s="11"/>
      <c r="AF490" s="11"/>
      <c r="AG490" s="11"/>
      <c r="AH490" s="11"/>
      <c r="AI490" s="11"/>
      <c r="AJ490" s="11"/>
      <c r="AK490" s="11" t="s">
        <v>332</v>
      </c>
      <c r="AL490" s="213" t="e">
        <f t="shared" si="14"/>
        <v>#VALUE!</v>
      </c>
      <c r="AM490" s="211">
        <f t="shared" si="15"/>
        <v>46030</v>
      </c>
    </row>
    <row r="491" spans="1:39" ht="21.6" customHeight="1">
      <c r="A491" s="11">
        <v>66</v>
      </c>
      <c r="B491" s="11" t="s">
        <v>322</v>
      </c>
      <c r="C491" s="11">
        <v>2026011257</v>
      </c>
      <c r="D491" s="11"/>
      <c r="E491" s="11"/>
      <c r="F491" s="11">
        <v>4057</v>
      </c>
      <c r="G491" s="11" t="s">
        <v>350</v>
      </c>
      <c r="H491" s="11" t="s">
        <v>324</v>
      </c>
      <c r="I491" s="11"/>
      <c r="J491" s="11"/>
      <c r="K491" s="11"/>
      <c r="L491" s="11"/>
      <c r="M491" s="12"/>
      <c r="N491" s="11"/>
      <c r="O491" s="12"/>
      <c r="P491" s="13"/>
      <c r="Q491" s="11" t="s">
        <v>351</v>
      </c>
      <c r="R491" s="11" t="s">
        <v>326</v>
      </c>
      <c r="S491" s="11" t="s">
        <v>123</v>
      </c>
      <c r="T491" s="11">
        <v>1</v>
      </c>
      <c r="U491" s="11" t="s">
        <v>327</v>
      </c>
      <c r="V491" s="11" t="s">
        <v>2596</v>
      </c>
      <c r="W491" s="11" t="s">
        <v>2597</v>
      </c>
      <c r="X491" s="367">
        <v>46030.534722222219</v>
      </c>
      <c r="Y491" s="11"/>
      <c r="Z491" s="11">
        <v>0.6</v>
      </c>
      <c r="AA491" s="11"/>
      <c r="AB491" s="11" t="s">
        <v>330</v>
      </c>
      <c r="AC491" s="212" t="s">
        <v>2598</v>
      </c>
      <c r="AD491" s="11" t="s">
        <v>332</v>
      </c>
      <c r="AE491" s="11"/>
      <c r="AF491" s="11"/>
      <c r="AG491" s="11"/>
      <c r="AH491" s="11"/>
      <c r="AI491" s="11"/>
      <c r="AJ491" s="11"/>
      <c r="AK491" s="11" t="s">
        <v>332</v>
      </c>
      <c r="AL491" s="213" t="e">
        <f t="shared" si="14"/>
        <v>#VALUE!</v>
      </c>
      <c r="AM491" s="211">
        <f t="shared" si="15"/>
        <v>46030</v>
      </c>
    </row>
    <row r="492" spans="1:39" ht="21.6" customHeight="1">
      <c r="A492" s="11">
        <v>67</v>
      </c>
      <c r="B492" s="11" t="s">
        <v>322</v>
      </c>
      <c r="C492" s="11">
        <v>2026011263</v>
      </c>
      <c r="D492" s="11"/>
      <c r="E492" s="11"/>
      <c r="F492" s="11">
        <v>4326</v>
      </c>
      <c r="G492" s="11" t="s">
        <v>333</v>
      </c>
      <c r="H492" s="11" t="s">
        <v>324</v>
      </c>
      <c r="I492" s="11"/>
      <c r="J492" s="11"/>
      <c r="K492" s="11"/>
      <c r="L492" s="11"/>
      <c r="M492" s="12"/>
      <c r="N492" s="11"/>
      <c r="O492" s="12"/>
      <c r="P492" s="13"/>
      <c r="Q492" s="11" t="s">
        <v>334</v>
      </c>
      <c r="R492" s="11" t="s">
        <v>326</v>
      </c>
      <c r="S492" s="11" t="s">
        <v>123</v>
      </c>
      <c r="T492" s="11">
        <v>1</v>
      </c>
      <c r="U492" s="11" t="s">
        <v>327</v>
      </c>
      <c r="V492" s="11" t="s">
        <v>2599</v>
      </c>
      <c r="W492" s="11" t="s">
        <v>2600</v>
      </c>
      <c r="X492" s="367">
        <v>46030.563888888893</v>
      </c>
      <c r="Y492" s="11"/>
      <c r="Z492" s="11">
        <v>0.5</v>
      </c>
      <c r="AA492" s="11"/>
      <c r="AB492" s="11" t="s">
        <v>330</v>
      </c>
      <c r="AC492" s="212" t="s">
        <v>2601</v>
      </c>
      <c r="AD492" s="11" t="s">
        <v>332</v>
      </c>
      <c r="AE492" s="11"/>
      <c r="AF492" s="11"/>
      <c r="AG492" s="11"/>
      <c r="AH492" s="11"/>
      <c r="AI492" s="11"/>
      <c r="AJ492" s="11"/>
      <c r="AK492" s="11" t="s">
        <v>332</v>
      </c>
      <c r="AL492" s="213" t="e">
        <f t="shared" si="14"/>
        <v>#VALUE!</v>
      </c>
      <c r="AM492" s="211">
        <f t="shared" si="15"/>
        <v>46030</v>
      </c>
    </row>
    <row r="493" spans="1:39" ht="21.6" customHeight="1">
      <c r="A493" s="11">
        <v>68</v>
      </c>
      <c r="B493" s="11" t="s">
        <v>322</v>
      </c>
      <c r="C493" s="11">
        <v>2026011271</v>
      </c>
      <c r="D493" s="11"/>
      <c r="E493" s="11"/>
      <c r="F493" s="11">
        <v>4715</v>
      </c>
      <c r="G493" s="11" t="s">
        <v>1566</v>
      </c>
      <c r="H493" s="11" t="s">
        <v>324</v>
      </c>
      <c r="I493" s="11"/>
      <c r="J493" s="11"/>
      <c r="K493" s="11"/>
      <c r="L493" s="11"/>
      <c r="M493" s="12"/>
      <c r="N493" s="11"/>
      <c r="O493" s="12"/>
      <c r="P493" s="13"/>
      <c r="Q493" s="11" t="s">
        <v>1567</v>
      </c>
      <c r="R493" s="11" t="s">
        <v>326</v>
      </c>
      <c r="S493" s="11" t="s">
        <v>123</v>
      </c>
      <c r="T493" s="11">
        <v>1</v>
      </c>
      <c r="U493" s="11" t="s">
        <v>327</v>
      </c>
      <c r="V493" s="11" t="s">
        <v>2602</v>
      </c>
      <c r="W493" s="11" t="s">
        <v>2603</v>
      </c>
      <c r="X493" s="367">
        <v>46030.582638888889</v>
      </c>
      <c r="Y493" s="11"/>
      <c r="Z493" s="11">
        <v>0.4</v>
      </c>
      <c r="AA493" s="11"/>
      <c r="AB493" s="11" t="s">
        <v>330</v>
      </c>
      <c r="AC493" s="212" t="s">
        <v>2604</v>
      </c>
      <c r="AD493" s="11" t="s">
        <v>332</v>
      </c>
      <c r="AE493" s="11"/>
      <c r="AF493" s="11"/>
      <c r="AG493" s="11"/>
      <c r="AH493" s="11"/>
      <c r="AI493" s="11"/>
      <c r="AJ493" s="11"/>
      <c r="AK493" s="11" t="s">
        <v>332</v>
      </c>
      <c r="AL493" s="213" t="e">
        <f t="shared" si="14"/>
        <v>#VALUE!</v>
      </c>
      <c r="AM493" s="211">
        <f t="shared" si="15"/>
        <v>46030</v>
      </c>
    </row>
    <row r="494" spans="1:39" ht="21.6" customHeight="1">
      <c r="A494" s="11">
        <v>69</v>
      </c>
      <c r="B494" s="11" t="s">
        <v>322</v>
      </c>
      <c r="C494" s="11">
        <v>2026011281</v>
      </c>
      <c r="D494" s="11"/>
      <c r="E494" s="11"/>
      <c r="F494" s="11">
        <v>4834</v>
      </c>
      <c r="G494" s="11" t="s">
        <v>323</v>
      </c>
      <c r="H494" s="11" t="s">
        <v>324</v>
      </c>
      <c r="I494" s="11"/>
      <c r="J494" s="11"/>
      <c r="K494" s="11"/>
      <c r="L494" s="11"/>
      <c r="M494" s="12"/>
      <c r="N494" s="11"/>
      <c r="O494" s="12"/>
      <c r="P494" s="13"/>
      <c r="Q494" s="11" t="s">
        <v>325</v>
      </c>
      <c r="R494" s="11" t="s">
        <v>326</v>
      </c>
      <c r="S494" s="11" t="s">
        <v>123</v>
      </c>
      <c r="T494" s="11">
        <v>1</v>
      </c>
      <c r="U494" s="11" t="s">
        <v>327</v>
      </c>
      <c r="V494" s="11" t="s">
        <v>2605</v>
      </c>
      <c r="W494" s="11" t="s">
        <v>2606</v>
      </c>
      <c r="X494" s="367">
        <v>46030.597222222219</v>
      </c>
      <c r="Y494" s="11"/>
      <c r="Z494" s="11">
        <v>0.3</v>
      </c>
      <c r="AA494" s="11"/>
      <c r="AB494" s="11" t="s">
        <v>330</v>
      </c>
      <c r="AC494" s="212" t="s">
        <v>2607</v>
      </c>
      <c r="AD494" s="11" t="s">
        <v>332</v>
      </c>
      <c r="AE494" s="11"/>
      <c r="AF494" s="11"/>
      <c r="AG494" s="11"/>
      <c r="AH494" s="11"/>
      <c r="AI494" s="11"/>
      <c r="AJ494" s="11"/>
      <c r="AK494" s="11" t="s">
        <v>332</v>
      </c>
      <c r="AL494" s="213" t="e">
        <f t="shared" si="14"/>
        <v>#VALUE!</v>
      </c>
      <c r="AM494" s="211">
        <f t="shared" si="15"/>
        <v>46030</v>
      </c>
    </row>
    <row r="495" spans="1:39" ht="21.6" customHeight="1">
      <c r="A495" s="11">
        <v>70</v>
      </c>
      <c r="B495" s="11" t="s">
        <v>322</v>
      </c>
      <c r="C495" s="11">
        <v>2026011288</v>
      </c>
      <c r="D495" s="11"/>
      <c r="E495" s="11"/>
      <c r="F495" s="11" t="s">
        <v>46</v>
      </c>
      <c r="G495" s="11" t="s">
        <v>337</v>
      </c>
      <c r="H495" s="11" t="s">
        <v>324</v>
      </c>
      <c r="I495" s="11"/>
      <c r="J495" s="11"/>
      <c r="K495" s="11"/>
      <c r="L495" s="11"/>
      <c r="M495" s="12"/>
      <c r="N495" s="11"/>
      <c r="O495" s="12"/>
      <c r="P495" s="13"/>
      <c r="Q495" s="11" t="s">
        <v>338</v>
      </c>
      <c r="R495" s="11" t="s">
        <v>326</v>
      </c>
      <c r="S495" s="11" t="s">
        <v>123</v>
      </c>
      <c r="T495" s="11">
        <v>1</v>
      </c>
      <c r="U495" s="11" t="s">
        <v>327</v>
      </c>
      <c r="V495" s="11" t="s">
        <v>2608</v>
      </c>
      <c r="W495" s="11" t="s">
        <v>2609</v>
      </c>
      <c r="X495" s="367">
        <v>46030.614583333343</v>
      </c>
      <c r="Y495" s="11"/>
      <c r="Z495" s="11">
        <v>0.2</v>
      </c>
      <c r="AA495" s="11"/>
      <c r="AB495" s="11" t="s">
        <v>330</v>
      </c>
      <c r="AC495" s="212" t="s">
        <v>100</v>
      </c>
      <c r="AD495" s="11" t="s">
        <v>332</v>
      </c>
      <c r="AE495" s="11"/>
      <c r="AF495" s="11"/>
      <c r="AG495" s="11"/>
      <c r="AH495" s="11"/>
      <c r="AI495" s="11"/>
      <c r="AJ495" s="11"/>
      <c r="AK495" s="11" t="s">
        <v>332</v>
      </c>
      <c r="AL495" s="213" t="e">
        <f t="shared" si="14"/>
        <v>#VALUE!</v>
      </c>
      <c r="AM495" s="211">
        <f t="shared" si="15"/>
        <v>46030</v>
      </c>
    </row>
    <row r="496" spans="1:39" ht="21.6" customHeight="1">
      <c r="A496" s="11">
        <v>63</v>
      </c>
      <c r="B496" s="11" t="s">
        <v>363</v>
      </c>
      <c r="C496" s="11">
        <v>2026011176</v>
      </c>
      <c r="D496" s="11" t="s">
        <v>2610</v>
      </c>
      <c r="E496" s="11" t="s">
        <v>365</v>
      </c>
      <c r="F496" s="11">
        <v>4196</v>
      </c>
      <c r="G496" s="11" t="s">
        <v>177</v>
      </c>
      <c r="H496" s="11" t="s">
        <v>358</v>
      </c>
      <c r="I496" s="11" t="s">
        <v>2611</v>
      </c>
      <c r="J496" s="11" t="s">
        <v>424</v>
      </c>
      <c r="K496" s="11" t="s">
        <v>446</v>
      </c>
      <c r="L496" s="11" t="s">
        <v>369</v>
      </c>
      <c r="M496" s="12" t="s">
        <v>370</v>
      </c>
      <c r="N496" s="11">
        <v>2307</v>
      </c>
      <c r="O496" s="12" t="s">
        <v>385</v>
      </c>
      <c r="P496" s="13" t="s">
        <v>2612</v>
      </c>
      <c r="Q496" s="11" t="s">
        <v>916</v>
      </c>
      <c r="R496" s="11" t="s">
        <v>326</v>
      </c>
      <c r="S496" s="11" t="s">
        <v>133</v>
      </c>
      <c r="T496" s="11">
        <v>1</v>
      </c>
      <c r="U496" s="11" t="s">
        <v>327</v>
      </c>
      <c r="V496" s="11" t="s">
        <v>2613</v>
      </c>
      <c r="W496" s="11" t="s">
        <v>2614</v>
      </c>
      <c r="X496" s="367">
        <v>46031.541666666657</v>
      </c>
      <c r="Y496" s="11" t="s">
        <v>2615</v>
      </c>
      <c r="Z496" s="11">
        <v>2</v>
      </c>
      <c r="AA496" s="11"/>
      <c r="AB496" s="11" t="s">
        <v>330</v>
      </c>
      <c r="AC496" s="212" t="s">
        <v>2616</v>
      </c>
      <c r="AD496" s="11"/>
      <c r="AE496" s="11"/>
      <c r="AF496" s="11"/>
      <c r="AG496" s="11"/>
      <c r="AH496" s="11"/>
      <c r="AI496" s="11"/>
      <c r="AJ496" s="11"/>
      <c r="AK496" s="11" t="s">
        <v>332</v>
      </c>
      <c r="AL496" s="213">
        <f t="shared" si="14"/>
        <v>46030</v>
      </c>
      <c r="AM496" s="211">
        <f t="shared" si="15"/>
        <v>46031</v>
      </c>
    </row>
    <row r="497" spans="1:39" ht="21.6" customHeight="1">
      <c r="A497" s="11">
        <v>68</v>
      </c>
      <c r="B497" s="11" t="s">
        <v>363</v>
      </c>
      <c r="C497" s="11">
        <v>2026011262</v>
      </c>
      <c r="D497" s="11" t="s">
        <v>2617</v>
      </c>
      <c r="E497" s="11" t="s">
        <v>365</v>
      </c>
      <c r="F497" s="11">
        <v>4191</v>
      </c>
      <c r="G497" s="11" t="s">
        <v>853</v>
      </c>
      <c r="H497" s="11" t="s">
        <v>358</v>
      </c>
      <c r="I497" s="11" t="s">
        <v>2618</v>
      </c>
      <c r="J497" s="11" t="s">
        <v>424</v>
      </c>
      <c r="K497" s="11" t="s">
        <v>200</v>
      </c>
      <c r="L497" s="11" t="s">
        <v>493</v>
      </c>
      <c r="M497" s="12" t="s">
        <v>494</v>
      </c>
      <c r="N497" s="11">
        <v>2501</v>
      </c>
      <c r="O497" s="12" t="s">
        <v>495</v>
      </c>
      <c r="P497" s="13" t="s">
        <v>2619</v>
      </c>
      <c r="Q497" s="11" t="s">
        <v>854</v>
      </c>
      <c r="R497" s="11" t="s">
        <v>326</v>
      </c>
      <c r="S497" s="11" t="s">
        <v>133</v>
      </c>
      <c r="T497" s="11">
        <v>1</v>
      </c>
      <c r="U497" s="11" t="s">
        <v>327</v>
      </c>
      <c r="V497" s="11" t="s">
        <v>2620</v>
      </c>
      <c r="W497" s="11" t="s">
        <v>2621</v>
      </c>
      <c r="X497" s="367">
        <v>46031.645833333343</v>
      </c>
      <c r="Y497" s="11" t="s">
        <v>2622</v>
      </c>
      <c r="Z497" s="11">
        <v>0.3</v>
      </c>
      <c r="AA497" s="11"/>
      <c r="AB497" s="11" t="s">
        <v>330</v>
      </c>
      <c r="AC497" s="212" t="s">
        <v>2623</v>
      </c>
      <c r="AD497" s="11"/>
      <c r="AE497" s="11"/>
      <c r="AF497" s="11"/>
      <c r="AG497" s="11"/>
      <c r="AH497" s="11"/>
      <c r="AI497" s="11"/>
      <c r="AJ497" s="11"/>
      <c r="AK497" s="11" t="s">
        <v>332</v>
      </c>
      <c r="AL497" s="213">
        <f t="shared" si="14"/>
        <v>46030</v>
      </c>
      <c r="AM497" s="211">
        <f t="shared" si="15"/>
        <v>46031</v>
      </c>
    </row>
    <row r="498" spans="1:39" ht="21.6" customHeight="1">
      <c r="A498" s="11">
        <v>73</v>
      </c>
      <c r="B498" s="11" t="s">
        <v>322</v>
      </c>
      <c r="C498" s="11">
        <v>2026011295</v>
      </c>
      <c r="D498" s="11"/>
      <c r="E498" s="11"/>
      <c r="F498" s="11" t="s">
        <v>49</v>
      </c>
      <c r="G498" s="11" t="s">
        <v>342</v>
      </c>
      <c r="H498" s="11" t="s">
        <v>324</v>
      </c>
      <c r="I498" s="11"/>
      <c r="J498" s="11"/>
      <c r="K498" s="11"/>
      <c r="L498" s="11"/>
      <c r="M498" s="12"/>
      <c r="N498" s="11"/>
      <c r="O498" s="12"/>
      <c r="P498" s="13"/>
      <c r="Q498" s="11" t="s">
        <v>343</v>
      </c>
      <c r="R498" s="11" t="s">
        <v>326</v>
      </c>
      <c r="S498" s="11" t="s">
        <v>123</v>
      </c>
      <c r="T498" s="11">
        <v>1</v>
      </c>
      <c r="U498" s="11" t="s">
        <v>327</v>
      </c>
      <c r="V498" s="11" t="s">
        <v>2624</v>
      </c>
      <c r="W498" s="11" t="s">
        <v>2625</v>
      </c>
      <c r="X498" s="367">
        <v>46030.634027777778</v>
      </c>
      <c r="Y498" s="11"/>
      <c r="Z498" s="11">
        <v>0.2</v>
      </c>
      <c r="AA498" s="11"/>
      <c r="AB498" s="11" t="s">
        <v>330</v>
      </c>
      <c r="AC498" s="212" t="s">
        <v>100</v>
      </c>
      <c r="AD498" s="11" t="s">
        <v>332</v>
      </c>
      <c r="AE498" s="11"/>
      <c r="AF498" s="11"/>
      <c r="AG498" s="11"/>
      <c r="AH498" s="11"/>
      <c r="AI498" s="11"/>
      <c r="AJ498" s="11"/>
      <c r="AK498" s="11" t="s">
        <v>332</v>
      </c>
      <c r="AL498" s="213" t="e">
        <f t="shared" si="14"/>
        <v>#VALUE!</v>
      </c>
      <c r="AM498" s="211">
        <f t="shared" si="15"/>
        <v>46030</v>
      </c>
    </row>
    <row r="499" spans="1:39" ht="21.6" customHeight="1">
      <c r="A499" s="11">
        <v>74</v>
      </c>
      <c r="B499" s="11" t="s">
        <v>322</v>
      </c>
      <c r="C499" s="11">
        <v>2026011311</v>
      </c>
      <c r="D499" s="11"/>
      <c r="E499" s="11"/>
      <c r="F499" s="11">
        <v>4538</v>
      </c>
      <c r="G499" s="11" t="s">
        <v>346</v>
      </c>
      <c r="H499" s="11" t="s">
        <v>324</v>
      </c>
      <c r="I499" s="11"/>
      <c r="J499" s="11"/>
      <c r="K499" s="11"/>
      <c r="L499" s="11"/>
      <c r="M499" s="12"/>
      <c r="N499" s="11"/>
      <c r="O499" s="12"/>
      <c r="P499" s="13"/>
      <c r="Q499" s="11" t="s">
        <v>347</v>
      </c>
      <c r="R499" s="11" t="s">
        <v>326</v>
      </c>
      <c r="S499" s="11" t="s">
        <v>123</v>
      </c>
      <c r="T499" s="11">
        <v>1</v>
      </c>
      <c r="U499" s="11" t="s">
        <v>327</v>
      </c>
      <c r="V499" s="11" t="s">
        <v>2626</v>
      </c>
      <c r="W499" s="11" t="s">
        <v>2627</v>
      </c>
      <c r="X499" s="367">
        <v>46030.661111111112</v>
      </c>
      <c r="Y499" s="11"/>
      <c r="Z499" s="11">
        <v>0.4</v>
      </c>
      <c r="AA499" s="11"/>
      <c r="AB499" s="11" t="s">
        <v>330</v>
      </c>
      <c r="AC499" s="212" t="s">
        <v>2628</v>
      </c>
      <c r="AD499" s="11" t="s">
        <v>332</v>
      </c>
      <c r="AE499" s="11"/>
      <c r="AF499" s="11"/>
      <c r="AG499" s="11"/>
      <c r="AH499" s="11"/>
      <c r="AI499" s="11"/>
      <c r="AJ499" s="11"/>
      <c r="AK499" s="11" t="s">
        <v>332</v>
      </c>
      <c r="AL499" s="213" t="e">
        <f t="shared" si="14"/>
        <v>#VALUE!</v>
      </c>
      <c r="AM499" s="211">
        <f t="shared" si="15"/>
        <v>46030</v>
      </c>
    </row>
    <row r="500" spans="1:39" ht="21.6" customHeight="1">
      <c r="A500" s="11">
        <v>75</v>
      </c>
      <c r="B500" s="11" t="s">
        <v>322</v>
      </c>
      <c r="C500" s="11">
        <v>2026011317</v>
      </c>
      <c r="D500" s="11"/>
      <c r="E500" s="11"/>
      <c r="F500" s="11">
        <v>2109</v>
      </c>
      <c r="G500" s="11" t="s">
        <v>147</v>
      </c>
      <c r="H500" s="11" t="s">
        <v>490</v>
      </c>
      <c r="I500" s="11"/>
      <c r="J500" s="11"/>
      <c r="K500" s="11"/>
      <c r="L500" s="11"/>
      <c r="M500" s="12"/>
      <c r="N500" s="11"/>
      <c r="O500" s="12"/>
      <c r="P500" s="13"/>
      <c r="Q500" s="11" t="s">
        <v>1102</v>
      </c>
      <c r="R500" s="11" t="s">
        <v>326</v>
      </c>
      <c r="S500" s="11" t="s">
        <v>118</v>
      </c>
      <c r="T500" s="11">
        <v>1</v>
      </c>
      <c r="U500" s="11" t="s">
        <v>327</v>
      </c>
      <c r="V500" s="11" t="s">
        <v>2629</v>
      </c>
      <c r="W500" s="11" t="s">
        <v>2625</v>
      </c>
      <c r="X500" s="367">
        <v>46030.645833333343</v>
      </c>
      <c r="Y500" s="11"/>
      <c r="Z500" s="11">
        <v>0.5</v>
      </c>
      <c r="AA500" s="11"/>
      <c r="AB500" s="11" t="s">
        <v>330</v>
      </c>
      <c r="AC500" s="212" t="s">
        <v>169</v>
      </c>
      <c r="AD500" s="11"/>
      <c r="AE500" s="11" t="s">
        <v>332</v>
      </c>
      <c r="AF500" s="11"/>
      <c r="AG500" s="11"/>
      <c r="AH500" s="11"/>
      <c r="AI500" s="11"/>
      <c r="AJ500" s="11"/>
      <c r="AK500" s="11" t="s">
        <v>332</v>
      </c>
      <c r="AL500" s="213" t="e">
        <f t="shared" si="14"/>
        <v>#VALUE!</v>
      </c>
      <c r="AM500" s="211">
        <f t="shared" si="15"/>
        <v>46030</v>
      </c>
    </row>
    <row r="501" spans="1:39" ht="21.6" customHeight="1">
      <c r="A501" s="11">
        <v>76</v>
      </c>
      <c r="B501" s="11" t="s">
        <v>322</v>
      </c>
      <c r="C501" s="11">
        <v>2026011361</v>
      </c>
      <c r="D501" s="11"/>
      <c r="E501" s="11"/>
      <c r="F501" s="11">
        <v>2109</v>
      </c>
      <c r="G501" s="11" t="s">
        <v>147</v>
      </c>
      <c r="H501" s="11" t="s">
        <v>490</v>
      </c>
      <c r="I501" s="11"/>
      <c r="J501" s="11"/>
      <c r="K501" s="11"/>
      <c r="L501" s="11"/>
      <c r="M501" s="12"/>
      <c r="N501" s="11"/>
      <c r="O501" s="12"/>
      <c r="P501" s="13"/>
      <c r="Q501" s="11" t="s">
        <v>1102</v>
      </c>
      <c r="R501" s="11" t="s">
        <v>326</v>
      </c>
      <c r="S501" s="11" t="s">
        <v>133</v>
      </c>
      <c r="T501" s="11">
        <v>1</v>
      </c>
      <c r="U501" s="11" t="s">
        <v>327</v>
      </c>
      <c r="V501" s="11" t="s">
        <v>2630</v>
      </c>
      <c r="W501" s="11" t="s">
        <v>2625</v>
      </c>
      <c r="X501" s="367">
        <v>46030.645833333343</v>
      </c>
      <c r="Y501" s="11"/>
      <c r="Z501" s="11">
        <v>0.5</v>
      </c>
      <c r="AA501" s="11"/>
      <c r="AB501" s="11" t="s">
        <v>330</v>
      </c>
      <c r="AC501" s="212" t="s">
        <v>2265</v>
      </c>
      <c r="AD501" s="11" t="s">
        <v>332</v>
      </c>
      <c r="AE501" s="11" t="s">
        <v>332</v>
      </c>
      <c r="AF501" s="11"/>
      <c r="AG501" s="11"/>
      <c r="AH501" s="11"/>
      <c r="AI501" s="11"/>
      <c r="AJ501" s="11"/>
      <c r="AK501" s="11" t="s">
        <v>332</v>
      </c>
      <c r="AL501" s="213" t="e">
        <f t="shared" si="14"/>
        <v>#VALUE!</v>
      </c>
      <c r="AM501" s="211">
        <f t="shared" si="15"/>
        <v>46030</v>
      </c>
    </row>
    <row r="502" spans="1:39" ht="21.6" customHeight="1">
      <c r="A502" s="11">
        <v>77</v>
      </c>
      <c r="B502" s="11" t="s">
        <v>322</v>
      </c>
      <c r="C502" s="11">
        <v>2026011399</v>
      </c>
      <c r="D502" s="11"/>
      <c r="E502" s="11"/>
      <c r="F502" s="11">
        <v>3606</v>
      </c>
      <c r="G502" s="11" t="s">
        <v>1534</v>
      </c>
      <c r="H502" s="11" t="s">
        <v>1535</v>
      </c>
      <c r="I502" s="11"/>
      <c r="J502" s="11"/>
      <c r="K502" s="11"/>
      <c r="L502" s="11"/>
      <c r="M502" s="12"/>
      <c r="N502" s="11"/>
      <c r="O502" s="12"/>
      <c r="P502" s="13"/>
      <c r="Q502" s="11" t="s">
        <v>1536</v>
      </c>
      <c r="R502" s="11" t="s">
        <v>326</v>
      </c>
      <c r="S502" s="11" t="s">
        <v>123</v>
      </c>
      <c r="T502" s="11">
        <v>1</v>
      </c>
      <c r="U502" s="11" t="s">
        <v>327</v>
      </c>
      <c r="V502" s="11" t="s">
        <v>2631</v>
      </c>
      <c r="W502" s="11" t="s">
        <v>2632</v>
      </c>
      <c r="X502" s="367">
        <v>46031.4375</v>
      </c>
      <c r="Y502" s="11"/>
      <c r="Z502" s="11">
        <v>1</v>
      </c>
      <c r="AA502" s="11"/>
      <c r="AB502" s="11" t="s">
        <v>330</v>
      </c>
      <c r="AC502" s="212" t="s">
        <v>2633</v>
      </c>
      <c r="AD502" s="11" t="s">
        <v>332</v>
      </c>
      <c r="AE502" s="11"/>
      <c r="AF502" s="11"/>
      <c r="AG502" s="11"/>
      <c r="AH502" s="11"/>
      <c r="AI502" s="11"/>
      <c r="AJ502" s="11"/>
      <c r="AK502" s="11" t="s">
        <v>332</v>
      </c>
      <c r="AL502" s="213" t="e">
        <f t="shared" si="14"/>
        <v>#VALUE!</v>
      </c>
      <c r="AM502" s="211">
        <f t="shared" si="15"/>
        <v>46031</v>
      </c>
    </row>
    <row r="503" spans="1:39" ht="21.6" customHeight="1">
      <c r="A503" s="11">
        <v>78</v>
      </c>
      <c r="B503" s="11" t="s">
        <v>322</v>
      </c>
      <c r="C503" s="11">
        <v>2026011400</v>
      </c>
      <c r="D503" s="11"/>
      <c r="E503" s="11"/>
      <c r="F503" s="11">
        <v>4656</v>
      </c>
      <c r="G503" s="11" t="s">
        <v>1538</v>
      </c>
      <c r="H503" s="11" t="s">
        <v>1535</v>
      </c>
      <c r="I503" s="11"/>
      <c r="J503" s="11"/>
      <c r="K503" s="11"/>
      <c r="L503" s="11"/>
      <c r="M503" s="12"/>
      <c r="N503" s="11"/>
      <c r="O503" s="12"/>
      <c r="P503" s="13"/>
      <c r="Q503" s="11" t="s">
        <v>1539</v>
      </c>
      <c r="R503" s="11" t="s">
        <v>326</v>
      </c>
      <c r="S503" s="11" t="s">
        <v>123</v>
      </c>
      <c r="T503" s="11">
        <v>1</v>
      </c>
      <c r="U503" s="11" t="s">
        <v>327</v>
      </c>
      <c r="V503" s="11" t="s">
        <v>2634</v>
      </c>
      <c r="W503" s="11" t="s">
        <v>2614</v>
      </c>
      <c r="X503" s="367">
        <v>46031.478472222218</v>
      </c>
      <c r="Y503" s="11"/>
      <c r="Z503" s="11">
        <v>0.5</v>
      </c>
      <c r="AA503" s="11"/>
      <c r="AB503" s="11" t="s">
        <v>330</v>
      </c>
      <c r="AC503" s="212" t="s">
        <v>2635</v>
      </c>
      <c r="AD503" s="11" t="s">
        <v>332</v>
      </c>
      <c r="AE503" s="11"/>
      <c r="AF503" s="11"/>
      <c r="AG503" s="11"/>
      <c r="AH503" s="11"/>
      <c r="AI503" s="11"/>
      <c r="AJ503" s="11"/>
      <c r="AK503" s="11" t="s">
        <v>332</v>
      </c>
      <c r="AL503" s="213" t="e">
        <f t="shared" si="14"/>
        <v>#VALUE!</v>
      </c>
      <c r="AM503" s="211">
        <f t="shared" si="15"/>
        <v>46031</v>
      </c>
    </row>
    <row r="504" spans="1:39" ht="21.6" customHeight="1">
      <c r="A504" s="11">
        <v>79</v>
      </c>
      <c r="B504" s="11" t="s">
        <v>363</v>
      </c>
      <c r="C504" s="11">
        <v>2026011408</v>
      </c>
      <c r="D504" s="11" t="s">
        <v>2636</v>
      </c>
      <c r="E504" s="11" t="s">
        <v>365</v>
      </c>
      <c r="F504" s="11">
        <v>4196</v>
      </c>
      <c r="G504" s="11" t="s">
        <v>177</v>
      </c>
      <c r="H504" s="11" t="s">
        <v>358</v>
      </c>
      <c r="I504" s="11" t="s">
        <v>2637</v>
      </c>
      <c r="J504" s="11" t="s">
        <v>445</v>
      </c>
      <c r="K504" s="11" t="s">
        <v>200</v>
      </c>
      <c r="L504" s="11" t="s">
        <v>369</v>
      </c>
      <c r="M504" s="12" t="s">
        <v>370</v>
      </c>
      <c r="N504" s="11">
        <v>2307</v>
      </c>
      <c r="O504" s="12" t="s">
        <v>385</v>
      </c>
      <c r="P504" s="13" t="s">
        <v>2638</v>
      </c>
      <c r="Q504" s="11" t="s">
        <v>916</v>
      </c>
      <c r="R504" s="11" t="s">
        <v>326</v>
      </c>
      <c r="S504" s="11" t="s">
        <v>133</v>
      </c>
      <c r="T504" s="11">
        <v>1</v>
      </c>
      <c r="U504" s="11" t="s">
        <v>327</v>
      </c>
      <c r="V504" s="11" t="s">
        <v>2639</v>
      </c>
      <c r="W504" s="11" t="s">
        <v>2640</v>
      </c>
      <c r="X504" s="367">
        <v>46031.625</v>
      </c>
      <c r="Y504" s="11" t="s">
        <v>2641</v>
      </c>
      <c r="Z504" s="11">
        <v>2</v>
      </c>
      <c r="AA504" s="11"/>
      <c r="AB504" s="11" t="s">
        <v>330</v>
      </c>
      <c r="AC504" s="212" t="s">
        <v>2642</v>
      </c>
      <c r="AD504" s="11"/>
      <c r="AE504" s="11"/>
      <c r="AF504" s="11"/>
      <c r="AG504" s="11"/>
      <c r="AH504" s="11"/>
      <c r="AI504" s="11"/>
      <c r="AJ504" s="11"/>
      <c r="AK504" s="11" t="s">
        <v>332</v>
      </c>
      <c r="AL504" s="213">
        <f t="shared" si="14"/>
        <v>46031</v>
      </c>
      <c r="AM504" s="211">
        <f t="shared" si="15"/>
        <v>46031</v>
      </c>
    </row>
    <row r="505" spans="1:39" ht="21.6" customHeight="1">
      <c r="A505" s="11">
        <v>80</v>
      </c>
      <c r="B505" s="11" t="s">
        <v>322</v>
      </c>
      <c r="C505" s="11">
        <v>2026011437</v>
      </c>
      <c r="D505" s="11"/>
      <c r="E505" s="11"/>
      <c r="F505" s="11">
        <v>4196</v>
      </c>
      <c r="G505" s="11" t="s">
        <v>177</v>
      </c>
      <c r="H505" s="11" t="s">
        <v>358</v>
      </c>
      <c r="I505" s="11"/>
      <c r="J505" s="11"/>
      <c r="K505" s="11"/>
      <c r="L505" s="11"/>
      <c r="M505" s="12"/>
      <c r="N505" s="11"/>
      <c r="O505" s="12"/>
      <c r="P505" s="13"/>
      <c r="Q505" s="11" t="s">
        <v>916</v>
      </c>
      <c r="R505" s="11" t="s">
        <v>326</v>
      </c>
      <c r="S505" s="11" t="s">
        <v>118</v>
      </c>
      <c r="T505" s="11">
        <v>1</v>
      </c>
      <c r="U505" s="11" t="s">
        <v>327</v>
      </c>
      <c r="V505" s="11" t="s">
        <v>2643</v>
      </c>
      <c r="W505" s="11" t="s">
        <v>2614</v>
      </c>
      <c r="X505" s="367">
        <v>46031.541666666657</v>
      </c>
      <c r="Y505" s="11"/>
      <c r="Z505" s="11">
        <v>2</v>
      </c>
      <c r="AA505" s="11"/>
      <c r="AB505" s="11" t="s">
        <v>330</v>
      </c>
      <c r="AC505" s="212" t="s">
        <v>2644</v>
      </c>
      <c r="AD505" s="11"/>
      <c r="AE505" s="11"/>
      <c r="AF505" s="11"/>
      <c r="AG505" s="11"/>
      <c r="AH505" s="11"/>
      <c r="AI505" s="11"/>
      <c r="AJ505" s="11" t="s">
        <v>332</v>
      </c>
      <c r="AK505" s="11" t="s">
        <v>332</v>
      </c>
      <c r="AL505" s="213" t="e">
        <f t="shared" si="14"/>
        <v>#VALUE!</v>
      </c>
      <c r="AM505" s="211">
        <f t="shared" si="15"/>
        <v>46031</v>
      </c>
    </row>
    <row r="506" spans="1:39" ht="21.6" customHeight="1">
      <c r="A506" s="11">
        <v>81</v>
      </c>
      <c r="B506" s="11" t="s">
        <v>322</v>
      </c>
      <c r="C506" s="11">
        <v>2026011438</v>
      </c>
      <c r="D506" s="11"/>
      <c r="E506" s="11"/>
      <c r="F506" s="11">
        <v>4196</v>
      </c>
      <c r="G506" s="11" t="s">
        <v>177</v>
      </c>
      <c r="H506" s="11" t="s">
        <v>358</v>
      </c>
      <c r="I506" s="11"/>
      <c r="J506" s="11"/>
      <c r="K506" s="11"/>
      <c r="L506" s="11"/>
      <c r="M506" s="12"/>
      <c r="N506" s="11"/>
      <c r="O506" s="12"/>
      <c r="P506" s="13"/>
      <c r="Q506" s="11" t="s">
        <v>916</v>
      </c>
      <c r="R506" s="11" t="s">
        <v>326</v>
      </c>
      <c r="S506" s="11" t="s">
        <v>133</v>
      </c>
      <c r="T506" s="11">
        <v>1</v>
      </c>
      <c r="U506" s="11" t="s">
        <v>327</v>
      </c>
      <c r="V506" s="11" t="s">
        <v>2645</v>
      </c>
      <c r="W506" s="11" t="s">
        <v>2646</v>
      </c>
      <c r="X506" s="367">
        <v>46031.625</v>
      </c>
      <c r="Y506" s="11"/>
      <c r="Z506" s="11">
        <v>0.3</v>
      </c>
      <c r="AA506" s="11"/>
      <c r="AB506" s="11" t="s">
        <v>330</v>
      </c>
      <c r="AC506" s="212" t="s">
        <v>2647</v>
      </c>
      <c r="AD506" s="11" t="s">
        <v>332</v>
      </c>
      <c r="AE506" s="11"/>
      <c r="AF506" s="11"/>
      <c r="AG506" s="11"/>
      <c r="AH506" s="11"/>
      <c r="AI506" s="11"/>
      <c r="AJ506" s="11" t="s">
        <v>332</v>
      </c>
      <c r="AK506" s="11" t="s">
        <v>332</v>
      </c>
      <c r="AL506" s="213" t="e">
        <f t="shared" si="14"/>
        <v>#VALUE!</v>
      </c>
      <c r="AM506" s="211">
        <f t="shared" si="15"/>
        <v>46031</v>
      </c>
    </row>
    <row r="507" spans="1:39" ht="21.6" customHeight="1">
      <c r="A507" s="11">
        <v>82</v>
      </c>
      <c r="B507" s="11" t="s">
        <v>322</v>
      </c>
      <c r="C507" s="11">
        <v>2026011459</v>
      </c>
      <c r="D507" s="11"/>
      <c r="E507" s="11"/>
      <c r="F507" s="11">
        <v>4191</v>
      </c>
      <c r="G507" s="11" t="s">
        <v>853</v>
      </c>
      <c r="H507" s="11" t="s">
        <v>358</v>
      </c>
      <c r="I507" s="11"/>
      <c r="J507" s="11"/>
      <c r="K507" s="11"/>
      <c r="L507" s="11"/>
      <c r="M507" s="12"/>
      <c r="N507" s="11"/>
      <c r="O507" s="12"/>
      <c r="P507" s="13"/>
      <c r="Q507" s="11" t="s">
        <v>854</v>
      </c>
      <c r="R507" s="11" t="s">
        <v>326</v>
      </c>
      <c r="S507" s="11" t="s">
        <v>133</v>
      </c>
      <c r="T507" s="11">
        <v>1</v>
      </c>
      <c r="U507" s="11" t="s">
        <v>327</v>
      </c>
      <c r="V507" s="11" t="s">
        <v>2648</v>
      </c>
      <c r="W507" s="11" t="s">
        <v>2649</v>
      </c>
      <c r="X507" s="367">
        <v>46031.652777777781</v>
      </c>
      <c r="Y507" s="11"/>
      <c r="Z507" s="11">
        <v>0.3</v>
      </c>
      <c r="AA507" s="11"/>
      <c r="AB507" s="11" t="s">
        <v>330</v>
      </c>
      <c r="AC507" s="212" t="s">
        <v>2650</v>
      </c>
      <c r="AD507" s="11" t="s">
        <v>332</v>
      </c>
      <c r="AE507" s="11"/>
      <c r="AF507" s="11"/>
      <c r="AG507" s="11"/>
      <c r="AH507" s="11"/>
      <c r="AI507" s="11"/>
      <c r="AJ507" s="11" t="s">
        <v>332</v>
      </c>
      <c r="AK507" s="11"/>
      <c r="AL507" s="213" t="e">
        <f t="shared" si="14"/>
        <v>#VALUE!</v>
      </c>
      <c r="AM507" s="211">
        <f t="shared" si="15"/>
        <v>46031</v>
      </c>
    </row>
    <row r="508" spans="1:39" ht="21.6" customHeight="1">
      <c r="A508" s="11">
        <v>83</v>
      </c>
      <c r="B508" s="11" t="s">
        <v>322</v>
      </c>
      <c r="C508" s="11">
        <v>2026011460</v>
      </c>
      <c r="D508" s="11"/>
      <c r="E508" s="11"/>
      <c r="F508" s="11">
        <v>4191</v>
      </c>
      <c r="G508" s="11" t="s">
        <v>853</v>
      </c>
      <c r="H508" s="11" t="s">
        <v>358</v>
      </c>
      <c r="I508" s="11"/>
      <c r="J508" s="11"/>
      <c r="K508" s="11"/>
      <c r="L508" s="11"/>
      <c r="M508" s="12"/>
      <c r="N508" s="11"/>
      <c r="O508" s="12"/>
      <c r="P508" s="13"/>
      <c r="Q508" s="11" t="s">
        <v>854</v>
      </c>
      <c r="R508" s="11" t="s">
        <v>326</v>
      </c>
      <c r="S508" s="11" t="s">
        <v>133</v>
      </c>
      <c r="T508" s="11">
        <v>1</v>
      </c>
      <c r="U508" s="11" t="s">
        <v>327</v>
      </c>
      <c r="V508" s="11" t="s">
        <v>2651</v>
      </c>
      <c r="W508" s="11" t="s">
        <v>2649</v>
      </c>
      <c r="X508" s="367">
        <v>46031.652777777781</v>
      </c>
      <c r="Y508" s="11"/>
      <c r="Z508" s="11">
        <v>0.3</v>
      </c>
      <c r="AA508" s="11"/>
      <c r="AB508" s="11" t="s">
        <v>330</v>
      </c>
      <c r="AC508" s="212" t="s">
        <v>2650</v>
      </c>
      <c r="AD508" s="11" t="s">
        <v>332</v>
      </c>
      <c r="AE508" s="11"/>
      <c r="AF508" s="11"/>
      <c r="AG508" s="11"/>
      <c r="AH508" s="11"/>
      <c r="AI508" s="11"/>
      <c r="AJ508" s="11" t="s">
        <v>332</v>
      </c>
      <c r="AK508" s="11" t="s">
        <v>332</v>
      </c>
      <c r="AL508" s="213" t="e">
        <f t="shared" si="14"/>
        <v>#VALUE!</v>
      </c>
      <c r="AM508" s="211">
        <f t="shared" si="15"/>
        <v>46031</v>
      </c>
    </row>
    <row r="509" spans="1:39" ht="21.6" customHeight="1">
      <c r="A509" s="11">
        <v>77</v>
      </c>
      <c r="B509" s="11" t="s">
        <v>363</v>
      </c>
      <c r="C509" s="11">
        <v>2026011396</v>
      </c>
      <c r="D509" s="11" t="s">
        <v>2652</v>
      </c>
      <c r="E509" s="11" t="s">
        <v>365</v>
      </c>
      <c r="F509" s="11">
        <v>3017</v>
      </c>
      <c r="G509" s="11" t="s">
        <v>2445</v>
      </c>
      <c r="H509" s="11" t="s">
        <v>2446</v>
      </c>
      <c r="I509" s="11" t="s">
        <v>2653</v>
      </c>
      <c r="J509" s="11" t="s">
        <v>445</v>
      </c>
      <c r="K509" s="11" t="s">
        <v>446</v>
      </c>
      <c r="L509" s="11" t="s">
        <v>398</v>
      </c>
      <c r="M509" s="12" t="s">
        <v>399</v>
      </c>
      <c r="N509" s="11" t="s">
        <v>1788</v>
      </c>
      <c r="O509" s="12" t="s">
        <v>1789</v>
      </c>
      <c r="P509" s="13" t="s">
        <v>2654</v>
      </c>
      <c r="Q509" s="11" t="s">
        <v>2449</v>
      </c>
      <c r="R509" s="11" t="s">
        <v>326</v>
      </c>
      <c r="S509" s="11" t="s">
        <v>123</v>
      </c>
      <c r="T509" s="11">
        <v>1</v>
      </c>
      <c r="U509" s="11" t="s">
        <v>327</v>
      </c>
      <c r="V509" s="11" t="s">
        <v>2655</v>
      </c>
      <c r="W509" s="11" t="s">
        <v>2656</v>
      </c>
      <c r="X509" s="367">
        <v>46034.4375</v>
      </c>
      <c r="Y509" s="11" t="s">
        <v>2657</v>
      </c>
      <c r="Z509" s="11">
        <v>0.5</v>
      </c>
      <c r="AA509" s="11"/>
      <c r="AB509" s="11" t="s">
        <v>330</v>
      </c>
      <c r="AC509" s="212" t="s">
        <v>2658</v>
      </c>
      <c r="AD509" s="11"/>
      <c r="AE509" s="11"/>
      <c r="AF509" s="11"/>
      <c r="AG509" s="11"/>
      <c r="AH509" s="11"/>
      <c r="AI509" s="11"/>
      <c r="AJ509" s="11"/>
      <c r="AK509" s="11" t="s">
        <v>332</v>
      </c>
      <c r="AL509" s="213">
        <f t="shared" si="14"/>
        <v>46031</v>
      </c>
      <c r="AM509" s="211">
        <f t="shared" si="15"/>
        <v>46034</v>
      </c>
    </row>
    <row r="510" spans="1:39" ht="21.6" customHeight="1">
      <c r="A510" s="11">
        <v>85</v>
      </c>
      <c r="B510" s="11" t="s">
        <v>322</v>
      </c>
      <c r="C510" s="11">
        <v>2026011519</v>
      </c>
      <c r="D510" s="11"/>
      <c r="E510" s="11"/>
      <c r="F510" s="11">
        <v>5574</v>
      </c>
      <c r="G510" s="11" t="s">
        <v>164</v>
      </c>
      <c r="H510" s="11" t="s">
        <v>2446</v>
      </c>
      <c r="I510" s="11"/>
      <c r="J510" s="11"/>
      <c r="K510" s="11"/>
      <c r="L510" s="11"/>
      <c r="M510" s="12"/>
      <c r="N510" s="11"/>
      <c r="O510" s="12"/>
      <c r="P510" s="13"/>
      <c r="Q510" s="11" t="s">
        <v>2659</v>
      </c>
      <c r="R510" s="11" t="s">
        <v>326</v>
      </c>
      <c r="S510" s="11" t="s">
        <v>123</v>
      </c>
      <c r="T510" s="11">
        <v>1</v>
      </c>
      <c r="U510" s="11" t="s">
        <v>327</v>
      </c>
      <c r="V510" s="11" t="s">
        <v>2660</v>
      </c>
      <c r="W510" s="11" t="s">
        <v>2661</v>
      </c>
      <c r="X510" s="367">
        <v>46031.768750000003</v>
      </c>
      <c r="Y510" s="11"/>
      <c r="Z510" s="11">
        <v>4.5</v>
      </c>
      <c r="AA510" s="11"/>
      <c r="AB510" s="11" t="s">
        <v>330</v>
      </c>
      <c r="AC510" s="212" t="s">
        <v>2662</v>
      </c>
      <c r="AD510" s="11"/>
      <c r="AE510" s="11" t="s">
        <v>332</v>
      </c>
      <c r="AF510" s="11"/>
      <c r="AG510" s="11"/>
      <c r="AH510" s="11"/>
      <c r="AI510" s="11"/>
      <c r="AJ510" s="11"/>
      <c r="AK510" s="11" t="s">
        <v>332</v>
      </c>
      <c r="AL510" s="213" t="e">
        <f t="shared" si="14"/>
        <v>#VALUE!</v>
      </c>
      <c r="AM510" s="211">
        <f t="shared" si="15"/>
        <v>46031</v>
      </c>
    </row>
    <row r="511" spans="1:39" ht="21.6" customHeight="1">
      <c r="A511" s="11">
        <v>86</v>
      </c>
      <c r="B511" s="11" t="s">
        <v>363</v>
      </c>
      <c r="C511" s="11">
        <v>2026011520</v>
      </c>
      <c r="D511" s="11" t="s">
        <v>2663</v>
      </c>
      <c r="E511" s="11" t="s">
        <v>365</v>
      </c>
      <c r="F511" s="11">
        <v>4210</v>
      </c>
      <c r="G511" s="11" t="s">
        <v>191</v>
      </c>
      <c r="H511" s="11" t="s">
        <v>358</v>
      </c>
      <c r="I511" s="11" t="s">
        <v>2664</v>
      </c>
      <c r="J511" s="11" t="s">
        <v>458</v>
      </c>
      <c r="K511" s="11" t="s">
        <v>446</v>
      </c>
      <c r="L511" s="11" t="s">
        <v>398</v>
      </c>
      <c r="M511" s="12" t="s">
        <v>399</v>
      </c>
      <c r="N511" s="11" t="s">
        <v>1788</v>
      </c>
      <c r="O511" s="12" t="s">
        <v>1789</v>
      </c>
      <c r="P511" s="13" t="s">
        <v>2665</v>
      </c>
      <c r="Q511" s="11" t="s">
        <v>1212</v>
      </c>
      <c r="R511" s="11" t="s">
        <v>326</v>
      </c>
      <c r="S511" s="11" t="s">
        <v>133</v>
      </c>
      <c r="T511" s="11">
        <v>1</v>
      </c>
      <c r="U511" s="11" t="s">
        <v>327</v>
      </c>
      <c r="V511" s="11" t="s">
        <v>2666</v>
      </c>
      <c r="W511" s="11" t="s">
        <v>2667</v>
      </c>
      <c r="X511" s="367">
        <v>46034.5625</v>
      </c>
      <c r="Y511" s="11" t="s">
        <v>2668</v>
      </c>
      <c r="Z511" s="11">
        <v>0.5</v>
      </c>
      <c r="AA511" s="11"/>
      <c r="AB511" s="11" t="s">
        <v>330</v>
      </c>
      <c r="AC511" s="212" t="s">
        <v>2669</v>
      </c>
      <c r="AD511" s="11"/>
      <c r="AE511" s="11"/>
      <c r="AF511" s="11"/>
      <c r="AG511" s="11"/>
      <c r="AH511" s="11"/>
      <c r="AI511" s="11"/>
      <c r="AJ511" s="11"/>
      <c r="AK511" s="11" t="s">
        <v>332</v>
      </c>
      <c r="AL511" s="213">
        <f t="shared" si="14"/>
        <v>46032</v>
      </c>
      <c r="AM511" s="211">
        <f t="shared" si="15"/>
        <v>46034</v>
      </c>
    </row>
    <row r="512" spans="1:39" ht="21.6" customHeight="1">
      <c r="A512" s="11">
        <v>87</v>
      </c>
      <c r="B512" s="11" t="s">
        <v>363</v>
      </c>
      <c r="C512" s="11">
        <v>2026011521</v>
      </c>
      <c r="D512" s="11" t="s">
        <v>2670</v>
      </c>
      <c r="E512" s="11" t="s">
        <v>365</v>
      </c>
      <c r="F512" s="11">
        <v>2375</v>
      </c>
      <c r="G512" s="11" t="s">
        <v>2479</v>
      </c>
      <c r="H512" s="11" t="s">
        <v>2446</v>
      </c>
      <c r="I512" s="11" t="s">
        <v>2671</v>
      </c>
      <c r="J512" s="11" t="s">
        <v>445</v>
      </c>
      <c r="K512" s="11" t="s">
        <v>903</v>
      </c>
      <c r="L512" s="11" t="s">
        <v>447</v>
      </c>
      <c r="M512" s="12" t="s">
        <v>448</v>
      </c>
      <c r="N512" s="11" t="s">
        <v>449</v>
      </c>
      <c r="O512" s="12" t="s">
        <v>450</v>
      </c>
      <c r="P512" s="13" t="s">
        <v>2672</v>
      </c>
      <c r="Q512" s="11" t="s">
        <v>2480</v>
      </c>
      <c r="R512" s="11" t="s">
        <v>326</v>
      </c>
      <c r="S512" s="11" t="s">
        <v>123</v>
      </c>
      <c r="T512" s="11">
        <v>1</v>
      </c>
      <c r="U512" s="11" t="s">
        <v>327</v>
      </c>
      <c r="V512" s="11" t="s">
        <v>2673</v>
      </c>
      <c r="W512" s="11" t="s">
        <v>2674</v>
      </c>
      <c r="X512" s="367">
        <v>46034.673611111109</v>
      </c>
      <c r="Y512" s="11" t="s">
        <v>2668</v>
      </c>
      <c r="Z512" s="11">
        <v>2.2000000000000002</v>
      </c>
      <c r="AA512" s="11"/>
      <c r="AB512" s="11" t="s">
        <v>330</v>
      </c>
      <c r="AC512" s="212" t="s">
        <v>2675</v>
      </c>
      <c r="AD512" s="11"/>
      <c r="AE512" s="11"/>
      <c r="AF512" s="11"/>
      <c r="AG512" s="11"/>
      <c r="AH512" s="11"/>
      <c r="AI512" s="11"/>
      <c r="AJ512" s="11"/>
      <c r="AK512" s="11" t="s">
        <v>332</v>
      </c>
      <c r="AL512" s="213">
        <f t="shared" si="14"/>
        <v>46031</v>
      </c>
      <c r="AM512" s="211">
        <f t="shared" si="15"/>
        <v>46034</v>
      </c>
    </row>
    <row r="513" spans="1:39" ht="21.6" customHeight="1">
      <c r="A513" s="11">
        <v>88</v>
      </c>
      <c r="B513" s="11" t="s">
        <v>363</v>
      </c>
      <c r="C513" s="11">
        <v>2026011522</v>
      </c>
      <c r="D513" s="11" t="s">
        <v>2676</v>
      </c>
      <c r="E513" s="11" t="s">
        <v>365</v>
      </c>
      <c r="F513" s="11">
        <v>2375</v>
      </c>
      <c r="G513" s="11" t="s">
        <v>2479</v>
      </c>
      <c r="H513" s="11" t="s">
        <v>2446</v>
      </c>
      <c r="I513" s="11" t="s">
        <v>2677</v>
      </c>
      <c r="J513" s="11" t="s">
        <v>458</v>
      </c>
      <c r="K513" s="11" t="s">
        <v>446</v>
      </c>
      <c r="L513" s="11" t="s">
        <v>447</v>
      </c>
      <c r="M513" s="12" t="s">
        <v>448</v>
      </c>
      <c r="N513" s="11" t="s">
        <v>449</v>
      </c>
      <c r="O513" s="12" t="s">
        <v>450</v>
      </c>
      <c r="P513" s="13" t="s">
        <v>2678</v>
      </c>
      <c r="Q513" s="11" t="s">
        <v>2480</v>
      </c>
      <c r="R513" s="11" t="s">
        <v>326</v>
      </c>
      <c r="S513" s="11" t="s">
        <v>123</v>
      </c>
      <c r="T513" s="11">
        <v>1</v>
      </c>
      <c r="U513" s="11" t="s">
        <v>327</v>
      </c>
      <c r="V513" s="11" t="s">
        <v>2679</v>
      </c>
      <c r="W513" s="11" t="s">
        <v>2674</v>
      </c>
      <c r="X513" s="367">
        <v>46034.673611111109</v>
      </c>
      <c r="Y513" s="11" t="s">
        <v>2668</v>
      </c>
      <c r="Z513" s="11">
        <v>2.2000000000000002</v>
      </c>
      <c r="AA513" s="11"/>
      <c r="AB513" s="11" t="s">
        <v>330</v>
      </c>
      <c r="AC513" s="212" t="s">
        <v>2680</v>
      </c>
      <c r="AD513" s="11"/>
      <c r="AE513" s="11"/>
      <c r="AF513" s="11"/>
      <c r="AG513" s="11"/>
      <c r="AH513" s="11"/>
      <c r="AI513" s="11"/>
      <c r="AJ513" s="11"/>
      <c r="AK513" s="11" t="s">
        <v>332</v>
      </c>
      <c r="AL513" s="213">
        <f t="shared" si="14"/>
        <v>46032</v>
      </c>
      <c r="AM513" s="211">
        <f t="shared" si="15"/>
        <v>46034</v>
      </c>
    </row>
    <row r="514" spans="1:39" ht="21.6" customHeight="1">
      <c r="A514" s="11">
        <v>89</v>
      </c>
      <c r="B514" s="11" t="s">
        <v>363</v>
      </c>
      <c r="C514" s="11">
        <v>2026011523</v>
      </c>
      <c r="D514" s="11" t="s">
        <v>2681</v>
      </c>
      <c r="E514" s="11" t="s">
        <v>365</v>
      </c>
      <c r="F514" s="11">
        <v>2375</v>
      </c>
      <c r="G514" s="11" t="s">
        <v>2479</v>
      </c>
      <c r="H514" s="11" t="s">
        <v>2446</v>
      </c>
      <c r="I514" s="11" t="s">
        <v>2682</v>
      </c>
      <c r="J514" s="11" t="s">
        <v>458</v>
      </c>
      <c r="K514" s="11" t="s">
        <v>446</v>
      </c>
      <c r="L514" s="11" t="s">
        <v>369</v>
      </c>
      <c r="M514" s="12" t="s">
        <v>370</v>
      </c>
      <c r="N514" s="11">
        <v>2304</v>
      </c>
      <c r="O514" s="12" t="s">
        <v>371</v>
      </c>
      <c r="P514" s="13" t="s">
        <v>2683</v>
      </c>
      <c r="Q514" s="11" t="s">
        <v>2480</v>
      </c>
      <c r="R514" s="11" t="s">
        <v>326</v>
      </c>
      <c r="S514" s="11" t="s">
        <v>123</v>
      </c>
      <c r="T514" s="11">
        <v>1</v>
      </c>
      <c r="U514" s="11" t="s">
        <v>327</v>
      </c>
      <c r="V514" s="11" t="s">
        <v>2684</v>
      </c>
      <c r="W514" s="11" t="s">
        <v>2674</v>
      </c>
      <c r="X514" s="367">
        <v>46034.673611111109</v>
      </c>
      <c r="Y514" s="11" t="s">
        <v>2668</v>
      </c>
      <c r="Z514" s="11">
        <v>2.2000000000000002</v>
      </c>
      <c r="AA514" s="11"/>
      <c r="AB514" s="11" t="s">
        <v>330</v>
      </c>
      <c r="AC514" s="212" t="s">
        <v>2685</v>
      </c>
      <c r="AD514" s="11"/>
      <c r="AE514" s="11"/>
      <c r="AF514" s="11"/>
      <c r="AG514" s="11"/>
      <c r="AH514" s="11"/>
      <c r="AI514" s="11"/>
      <c r="AJ514" s="11"/>
      <c r="AK514" s="11" t="s">
        <v>332</v>
      </c>
      <c r="AL514" s="213">
        <f t="shared" ref="AL514:AL577" si="16">DATEVALUE(TEXT(I514, "yyyy/mm/dd"))</f>
        <v>46032</v>
      </c>
      <c r="AM514" s="211">
        <f t="shared" ref="AM514:AM577" si="17">DATEVALUE(TEXT(X514, "yyyy/mm/dd"))</f>
        <v>46034</v>
      </c>
    </row>
    <row r="515" spans="1:39" ht="21.6" customHeight="1">
      <c r="A515" s="11">
        <v>90</v>
      </c>
      <c r="B515" s="11" t="s">
        <v>363</v>
      </c>
      <c r="C515" s="11">
        <v>2026011524</v>
      </c>
      <c r="D515" s="11" t="s">
        <v>2686</v>
      </c>
      <c r="E515" s="11" t="s">
        <v>365</v>
      </c>
      <c r="F515" s="11">
        <v>2375</v>
      </c>
      <c r="G515" s="11" t="s">
        <v>2479</v>
      </c>
      <c r="H515" s="11" t="s">
        <v>2446</v>
      </c>
      <c r="I515" s="11" t="s">
        <v>2687</v>
      </c>
      <c r="J515" s="11" t="s">
        <v>458</v>
      </c>
      <c r="K515" s="11" t="s">
        <v>446</v>
      </c>
      <c r="L515" s="11" t="s">
        <v>369</v>
      </c>
      <c r="M515" s="12" t="s">
        <v>370</v>
      </c>
      <c r="N515" s="11">
        <v>2304</v>
      </c>
      <c r="O515" s="12" t="s">
        <v>371</v>
      </c>
      <c r="P515" s="13" t="s">
        <v>2688</v>
      </c>
      <c r="Q515" s="11" t="s">
        <v>2480</v>
      </c>
      <c r="R515" s="11" t="s">
        <v>326</v>
      </c>
      <c r="S515" s="11" t="s">
        <v>123</v>
      </c>
      <c r="T515" s="11">
        <v>1</v>
      </c>
      <c r="U515" s="11" t="s">
        <v>327</v>
      </c>
      <c r="V515" s="11" t="s">
        <v>2689</v>
      </c>
      <c r="W515" s="11" t="s">
        <v>2674</v>
      </c>
      <c r="X515" s="367">
        <v>46034.673611111109</v>
      </c>
      <c r="Y515" s="11" t="s">
        <v>2668</v>
      </c>
      <c r="Z515" s="11">
        <v>2.2000000000000002</v>
      </c>
      <c r="AA515" s="11"/>
      <c r="AB515" s="11" t="s">
        <v>330</v>
      </c>
      <c r="AC515" s="212" t="s">
        <v>2690</v>
      </c>
      <c r="AD515" s="11"/>
      <c r="AE515" s="11"/>
      <c r="AF515" s="11"/>
      <c r="AG515" s="11"/>
      <c r="AH515" s="11"/>
      <c r="AI515" s="11"/>
      <c r="AJ515" s="11"/>
      <c r="AK515" s="11" t="s">
        <v>332</v>
      </c>
      <c r="AL515" s="213">
        <f t="shared" si="16"/>
        <v>46032</v>
      </c>
      <c r="AM515" s="211">
        <f t="shared" si="17"/>
        <v>46034</v>
      </c>
    </row>
    <row r="516" spans="1:39" ht="21.6" customHeight="1">
      <c r="A516" s="11">
        <v>91</v>
      </c>
      <c r="B516" s="11" t="s">
        <v>363</v>
      </c>
      <c r="C516" s="11">
        <v>2026011528</v>
      </c>
      <c r="D516" s="11" t="s">
        <v>2691</v>
      </c>
      <c r="E516" s="11" t="s">
        <v>365</v>
      </c>
      <c r="F516" s="11">
        <v>3770</v>
      </c>
      <c r="G516" s="11" t="s">
        <v>1263</v>
      </c>
      <c r="H516" s="11" t="s">
        <v>763</v>
      </c>
      <c r="I516" s="11" t="s">
        <v>2692</v>
      </c>
      <c r="J516" s="11" t="s">
        <v>458</v>
      </c>
      <c r="K516" s="11" t="s">
        <v>200</v>
      </c>
      <c r="L516" s="11" t="s">
        <v>369</v>
      </c>
      <c r="M516" s="12" t="s">
        <v>370</v>
      </c>
      <c r="N516" s="11">
        <v>2307</v>
      </c>
      <c r="O516" s="12" t="s">
        <v>385</v>
      </c>
      <c r="P516" s="13" t="s">
        <v>2693</v>
      </c>
      <c r="Q516" s="11" t="s">
        <v>1266</v>
      </c>
      <c r="R516" s="11" t="s">
        <v>326</v>
      </c>
      <c r="S516" s="11" t="s">
        <v>118</v>
      </c>
      <c r="T516" s="11">
        <v>1</v>
      </c>
      <c r="U516" s="11" t="s">
        <v>327</v>
      </c>
      <c r="V516" s="11" t="s">
        <v>2694</v>
      </c>
      <c r="W516" s="11" t="s">
        <v>2695</v>
      </c>
      <c r="X516" s="367">
        <v>46034.479166666657</v>
      </c>
      <c r="Y516" s="11" t="s">
        <v>2668</v>
      </c>
      <c r="Z516" s="11">
        <v>0.5</v>
      </c>
      <c r="AA516" s="11"/>
      <c r="AB516" s="11" t="s">
        <v>330</v>
      </c>
      <c r="AC516" s="212" t="s">
        <v>2696</v>
      </c>
      <c r="AD516" s="11"/>
      <c r="AE516" s="11"/>
      <c r="AF516" s="11"/>
      <c r="AG516" s="11"/>
      <c r="AH516" s="11"/>
      <c r="AI516" s="11"/>
      <c r="AJ516" s="11"/>
      <c r="AK516" s="11" t="s">
        <v>332</v>
      </c>
      <c r="AL516" s="213">
        <f t="shared" si="16"/>
        <v>46032</v>
      </c>
      <c r="AM516" s="211">
        <f t="shared" si="17"/>
        <v>46034</v>
      </c>
    </row>
    <row r="517" spans="1:39" ht="21.6" customHeight="1">
      <c r="A517" s="11">
        <v>92</v>
      </c>
      <c r="B517" s="11" t="s">
        <v>363</v>
      </c>
      <c r="C517" s="11">
        <v>2026011530</v>
      </c>
      <c r="D517" s="11" t="s">
        <v>2697</v>
      </c>
      <c r="E517" s="11" t="s">
        <v>365</v>
      </c>
      <c r="F517" s="11">
        <v>3052</v>
      </c>
      <c r="G517" s="11" t="s">
        <v>2698</v>
      </c>
      <c r="H517" s="11" t="s">
        <v>490</v>
      </c>
      <c r="I517" s="11" t="s">
        <v>2699</v>
      </c>
      <c r="J517" s="11" t="s">
        <v>458</v>
      </c>
      <c r="K517" s="11" t="s">
        <v>200</v>
      </c>
      <c r="L517" s="11" t="s">
        <v>493</v>
      </c>
      <c r="M517" s="12" t="s">
        <v>494</v>
      </c>
      <c r="N517" s="11">
        <v>2503</v>
      </c>
      <c r="O517" s="12" t="s">
        <v>2700</v>
      </c>
      <c r="P517" s="13" t="s">
        <v>2701</v>
      </c>
      <c r="Q517" s="11" t="s">
        <v>1061</v>
      </c>
      <c r="R517" s="11" t="s">
        <v>326</v>
      </c>
      <c r="S517" s="11" t="s">
        <v>118</v>
      </c>
      <c r="T517" s="11">
        <v>1</v>
      </c>
      <c r="U517" s="11" t="s">
        <v>327</v>
      </c>
      <c r="V517" s="11" t="s">
        <v>2702</v>
      </c>
      <c r="W517" s="11" t="s">
        <v>2703</v>
      </c>
      <c r="X517" s="367">
        <v>46034.416666666657</v>
      </c>
      <c r="Y517" s="11" t="s">
        <v>2668</v>
      </c>
      <c r="Z517" s="11">
        <v>0.5</v>
      </c>
      <c r="AA517" s="11"/>
      <c r="AB517" s="11" t="s">
        <v>330</v>
      </c>
      <c r="AC517" s="212" t="s">
        <v>2704</v>
      </c>
      <c r="AD517" s="11"/>
      <c r="AE517" s="11"/>
      <c r="AF517" s="11"/>
      <c r="AG517" s="11"/>
      <c r="AH517" s="11"/>
      <c r="AI517" s="11"/>
      <c r="AJ517" s="11"/>
      <c r="AK517" s="11" t="s">
        <v>332</v>
      </c>
      <c r="AL517" s="213">
        <f t="shared" si="16"/>
        <v>46032</v>
      </c>
      <c r="AM517" s="211">
        <f t="shared" si="17"/>
        <v>46034</v>
      </c>
    </row>
    <row r="518" spans="1:39" ht="21.6" customHeight="1">
      <c r="A518" s="11">
        <v>93</v>
      </c>
      <c r="B518" s="11" t="s">
        <v>363</v>
      </c>
      <c r="C518" s="11">
        <v>2026011531</v>
      </c>
      <c r="D518" s="11" t="s">
        <v>2705</v>
      </c>
      <c r="E518" s="11" t="s">
        <v>475</v>
      </c>
      <c r="F518" s="11">
        <v>2201</v>
      </c>
      <c r="G518" s="11" t="s">
        <v>2706</v>
      </c>
      <c r="H518" s="11" t="s">
        <v>2325</v>
      </c>
      <c r="I518" s="11" t="s">
        <v>2707</v>
      </c>
      <c r="J518" s="11" t="s">
        <v>483</v>
      </c>
      <c r="K518" s="11" t="s">
        <v>446</v>
      </c>
      <c r="L518" s="11" t="s">
        <v>558</v>
      </c>
      <c r="M518" s="12" t="s">
        <v>559</v>
      </c>
      <c r="N518" s="11">
        <v>2401</v>
      </c>
      <c r="O518" s="12" t="s">
        <v>712</v>
      </c>
      <c r="P518" s="13" t="s">
        <v>2708</v>
      </c>
      <c r="Q518" s="11" t="s">
        <v>2709</v>
      </c>
      <c r="R518" s="11" t="s">
        <v>326</v>
      </c>
      <c r="S518" s="11" t="s">
        <v>123</v>
      </c>
      <c r="T518" s="11">
        <v>1</v>
      </c>
      <c r="U518" s="11" t="s">
        <v>327</v>
      </c>
      <c r="V518" s="11" t="s">
        <v>2710</v>
      </c>
      <c r="W518" s="11" t="s">
        <v>2711</v>
      </c>
      <c r="X518" s="367">
        <v>46033.628472222219</v>
      </c>
      <c r="Y518" s="11" t="s">
        <v>2712</v>
      </c>
      <c r="Z518" s="11">
        <v>2.1</v>
      </c>
      <c r="AA518" s="11"/>
      <c r="AB518" s="11" t="s">
        <v>330</v>
      </c>
      <c r="AC518" s="212" t="s">
        <v>2713</v>
      </c>
      <c r="AD518" s="11"/>
      <c r="AE518" s="11"/>
      <c r="AF518" s="11"/>
      <c r="AG518" s="11"/>
      <c r="AH518" s="11"/>
      <c r="AI518" s="11"/>
      <c r="AJ518" s="11"/>
      <c r="AK518" s="11" t="s">
        <v>332</v>
      </c>
      <c r="AL518" s="213">
        <f t="shared" si="16"/>
        <v>46033</v>
      </c>
      <c r="AM518" s="211">
        <f t="shared" si="17"/>
        <v>46033</v>
      </c>
    </row>
    <row r="519" spans="1:39" ht="21.6" customHeight="1">
      <c r="A519" s="11">
        <v>94</v>
      </c>
      <c r="B519" s="11" t="s">
        <v>322</v>
      </c>
      <c r="C519" s="11">
        <v>2026011538</v>
      </c>
      <c r="D519" s="11"/>
      <c r="E519" s="11"/>
      <c r="F519" s="11">
        <v>5574</v>
      </c>
      <c r="G519" s="11" t="s">
        <v>164</v>
      </c>
      <c r="H519" s="11" t="s">
        <v>2446</v>
      </c>
      <c r="I519" s="11"/>
      <c r="J519" s="11"/>
      <c r="K519" s="11"/>
      <c r="L519" s="11"/>
      <c r="M519" s="12"/>
      <c r="N519" s="11"/>
      <c r="O519" s="12"/>
      <c r="P519" s="13"/>
      <c r="Q519" s="11" t="s">
        <v>2659</v>
      </c>
      <c r="R519" s="11" t="s">
        <v>326</v>
      </c>
      <c r="S519" s="11" t="s">
        <v>118</v>
      </c>
      <c r="T519" s="11">
        <v>1</v>
      </c>
      <c r="U519" s="11" t="s">
        <v>327</v>
      </c>
      <c r="V519" s="11" t="s">
        <v>2714</v>
      </c>
      <c r="W519" s="11" t="s">
        <v>2715</v>
      </c>
      <c r="X519" s="367">
        <v>46033.791666666657</v>
      </c>
      <c r="Y519" s="11"/>
      <c r="Z519" s="11">
        <v>1</v>
      </c>
      <c r="AA519" s="11"/>
      <c r="AB519" s="11" t="s">
        <v>330</v>
      </c>
      <c r="AC519" s="212" t="s">
        <v>758</v>
      </c>
      <c r="AD519" s="11"/>
      <c r="AE519" s="11" t="s">
        <v>332</v>
      </c>
      <c r="AF519" s="11"/>
      <c r="AG519" s="11"/>
      <c r="AH519" s="11"/>
      <c r="AI519" s="11"/>
      <c r="AJ519" s="11"/>
      <c r="AK519" s="11" t="s">
        <v>332</v>
      </c>
      <c r="AL519" s="213" t="e">
        <f t="shared" si="16"/>
        <v>#VALUE!</v>
      </c>
      <c r="AM519" s="211">
        <f t="shared" si="17"/>
        <v>46033</v>
      </c>
    </row>
    <row r="520" spans="1:39" ht="21.6" customHeight="1">
      <c r="A520" s="11">
        <v>95</v>
      </c>
      <c r="B520" s="11" t="s">
        <v>322</v>
      </c>
      <c r="C520" s="11">
        <v>2026011539</v>
      </c>
      <c r="D520" s="11"/>
      <c r="E520" s="11"/>
      <c r="F520" s="11">
        <v>5574</v>
      </c>
      <c r="G520" s="11" t="s">
        <v>164</v>
      </c>
      <c r="H520" s="11" t="s">
        <v>2446</v>
      </c>
      <c r="I520" s="11"/>
      <c r="J520" s="11"/>
      <c r="K520" s="11"/>
      <c r="L520" s="11"/>
      <c r="M520" s="12"/>
      <c r="N520" s="11"/>
      <c r="O520" s="12"/>
      <c r="P520" s="13"/>
      <c r="Q520" s="11" t="s">
        <v>2659</v>
      </c>
      <c r="R520" s="11" t="s">
        <v>326</v>
      </c>
      <c r="S520" s="11" t="s">
        <v>123</v>
      </c>
      <c r="T520" s="11">
        <v>1</v>
      </c>
      <c r="U520" s="11" t="s">
        <v>327</v>
      </c>
      <c r="V520" s="11" t="s">
        <v>2716</v>
      </c>
      <c r="W520" s="11" t="s">
        <v>2715</v>
      </c>
      <c r="X520" s="367">
        <v>46033.79583333333</v>
      </c>
      <c r="Y520" s="11"/>
      <c r="Z520" s="11">
        <v>1.1000000000000001</v>
      </c>
      <c r="AA520" s="11"/>
      <c r="AB520" s="11" t="s">
        <v>330</v>
      </c>
      <c r="AC520" s="212" t="s">
        <v>2717</v>
      </c>
      <c r="AD520" s="11"/>
      <c r="AE520" s="11" t="s">
        <v>332</v>
      </c>
      <c r="AF520" s="11"/>
      <c r="AG520" s="11"/>
      <c r="AH520" s="11"/>
      <c r="AI520" s="11"/>
      <c r="AJ520" s="11"/>
      <c r="AK520" s="11" t="s">
        <v>332</v>
      </c>
      <c r="AL520" s="213" t="e">
        <f t="shared" si="16"/>
        <v>#VALUE!</v>
      </c>
      <c r="AM520" s="211">
        <f t="shared" si="17"/>
        <v>46033</v>
      </c>
    </row>
    <row r="521" spans="1:39" ht="21.6" customHeight="1">
      <c r="A521" s="11">
        <v>96</v>
      </c>
      <c r="B521" s="11" t="s">
        <v>363</v>
      </c>
      <c r="C521" s="11">
        <v>2026011635</v>
      </c>
      <c r="D521" s="11" t="s">
        <v>2718</v>
      </c>
      <c r="E521" s="11" t="s">
        <v>365</v>
      </c>
      <c r="F521" s="11" t="s">
        <v>51</v>
      </c>
      <c r="G521" s="11" t="s">
        <v>1922</v>
      </c>
      <c r="H521" s="11" t="s">
        <v>490</v>
      </c>
      <c r="I521" s="11" t="s">
        <v>2719</v>
      </c>
      <c r="J521" s="11" t="s">
        <v>492</v>
      </c>
      <c r="K521" s="11" t="s">
        <v>446</v>
      </c>
      <c r="L521" s="11" t="s">
        <v>398</v>
      </c>
      <c r="M521" s="12" t="s">
        <v>399</v>
      </c>
      <c r="N521" s="11" t="s">
        <v>1788</v>
      </c>
      <c r="O521" s="12" t="s">
        <v>1789</v>
      </c>
      <c r="P521" s="13" t="s">
        <v>2720</v>
      </c>
      <c r="Q521" s="11" t="s">
        <v>1923</v>
      </c>
      <c r="R521" s="11" t="s">
        <v>326</v>
      </c>
      <c r="S521" s="11" t="s">
        <v>118</v>
      </c>
      <c r="T521" s="11">
        <v>1</v>
      </c>
      <c r="U521" s="11" t="s">
        <v>327</v>
      </c>
      <c r="V521" s="11" t="s">
        <v>2721</v>
      </c>
      <c r="W521" s="11" t="s">
        <v>2722</v>
      </c>
      <c r="X521" s="367">
        <v>46034.645833333343</v>
      </c>
      <c r="Y521" s="11" t="s">
        <v>2723</v>
      </c>
      <c r="Z521" s="11">
        <v>0.5</v>
      </c>
      <c r="AA521" s="11"/>
      <c r="AB521" s="11" t="s">
        <v>330</v>
      </c>
      <c r="AC521" s="212" t="s">
        <v>2359</v>
      </c>
      <c r="AD521" s="11"/>
      <c r="AE521" s="11"/>
      <c r="AF521" s="11"/>
      <c r="AG521" s="11"/>
      <c r="AH521" s="11"/>
      <c r="AI521" s="11"/>
      <c r="AJ521" s="11"/>
      <c r="AK521" s="11" t="s">
        <v>332</v>
      </c>
      <c r="AL521" s="213">
        <f t="shared" si="16"/>
        <v>46034</v>
      </c>
      <c r="AM521" s="211">
        <f t="shared" si="17"/>
        <v>46034</v>
      </c>
    </row>
    <row r="522" spans="1:39" ht="21.6" customHeight="1">
      <c r="A522" s="11">
        <v>97</v>
      </c>
      <c r="B522" s="11" t="s">
        <v>322</v>
      </c>
      <c r="C522" s="11">
        <v>2026011644</v>
      </c>
      <c r="D522" s="11"/>
      <c r="E522" s="11"/>
      <c r="F522" s="11">
        <v>3052</v>
      </c>
      <c r="G522" s="11" t="s">
        <v>2698</v>
      </c>
      <c r="H522" s="11" t="s">
        <v>490</v>
      </c>
      <c r="I522" s="11"/>
      <c r="J522" s="11"/>
      <c r="K522" s="11"/>
      <c r="L522" s="11"/>
      <c r="M522" s="12"/>
      <c r="N522" s="11"/>
      <c r="O522" s="12"/>
      <c r="P522" s="13"/>
      <c r="Q522" s="11" t="s">
        <v>1061</v>
      </c>
      <c r="R522" s="11" t="s">
        <v>326</v>
      </c>
      <c r="S522" s="11" t="s">
        <v>118</v>
      </c>
      <c r="T522" s="11">
        <v>1</v>
      </c>
      <c r="U522" s="11" t="s">
        <v>327</v>
      </c>
      <c r="V522" s="11" t="s">
        <v>2724</v>
      </c>
      <c r="W522" s="11" t="s">
        <v>2656</v>
      </c>
      <c r="X522" s="367">
        <v>46034.4375</v>
      </c>
      <c r="Y522" s="11"/>
      <c r="Z522" s="11">
        <v>0.5</v>
      </c>
      <c r="AA522" s="11"/>
      <c r="AB522" s="11" t="s">
        <v>330</v>
      </c>
      <c r="AC522" s="212" t="s">
        <v>2725</v>
      </c>
      <c r="AD522" s="11" t="s">
        <v>332</v>
      </c>
      <c r="AE522" s="11"/>
      <c r="AF522" s="11"/>
      <c r="AG522" s="11"/>
      <c r="AH522" s="11"/>
      <c r="AI522" s="11"/>
      <c r="AJ522" s="11" t="s">
        <v>332</v>
      </c>
      <c r="AK522" s="11" t="s">
        <v>332</v>
      </c>
      <c r="AL522" s="213" t="e">
        <f t="shared" si="16"/>
        <v>#VALUE!</v>
      </c>
      <c r="AM522" s="211">
        <f t="shared" si="17"/>
        <v>46034</v>
      </c>
    </row>
    <row r="523" spans="1:39" ht="21.6" customHeight="1">
      <c r="A523" s="11">
        <v>98</v>
      </c>
      <c r="B523" s="11" t="s">
        <v>322</v>
      </c>
      <c r="C523" s="11">
        <v>2026011672</v>
      </c>
      <c r="D523" s="11"/>
      <c r="E523" s="11"/>
      <c r="F523" s="11">
        <v>3770</v>
      </c>
      <c r="G523" s="11" t="s">
        <v>1263</v>
      </c>
      <c r="H523" s="11" t="s">
        <v>763</v>
      </c>
      <c r="I523" s="11"/>
      <c r="J523" s="11"/>
      <c r="K523" s="11"/>
      <c r="L523" s="11"/>
      <c r="M523" s="12"/>
      <c r="N523" s="11"/>
      <c r="O523" s="12"/>
      <c r="P523" s="13"/>
      <c r="Q523" s="11" t="s">
        <v>1266</v>
      </c>
      <c r="R523" s="11" t="s">
        <v>326</v>
      </c>
      <c r="S523" s="11" t="s">
        <v>118</v>
      </c>
      <c r="T523" s="11">
        <v>1</v>
      </c>
      <c r="U523" s="11" t="s">
        <v>327</v>
      </c>
      <c r="V523" s="11" t="s">
        <v>2726</v>
      </c>
      <c r="W523" s="11" t="s">
        <v>2727</v>
      </c>
      <c r="X523" s="367">
        <v>46034.5</v>
      </c>
      <c r="Y523" s="11"/>
      <c r="Z523" s="11">
        <v>0.5</v>
      </c>
      <c r="AA523" s="11"/>
      <c r="AB523" s="11" t="s">
        <v>330</v>
      </c>
      <c r="AC523" s="212" t="s">
        <v>2728</v>
      </c>
      <c r="AD523" s="11" t="s">
        <v>332</v>
      </c>
      <c r="AE523" s="11"/>
      <c r="AF523" s="11"/>
      <c r="AG523" s="11"/>
      <c r="AH523" s="11"/>
      <c r="AI523" s="11"/>
      <c r="AJ523" s="11" t="s">
        <v>332</v>
      </c>
      <c r="AK523" s="11" t="s">
        <v>332</v>
      </c>
      <c r="AL523" s="213" t="e">
        <f t="shared" si="16"/>
        <v>#VALUE!</v>
      </c>
      <c r="AM523" s="211">
        <f t="shared" si="17"/>
        <v>46034</v>
      </c>
    </row>
    <row r="524" spans="1:39" ht="21.6" customHeight="1">
      <c r="A524" s="11">
        <v>99</v>
      </c>
      <c r="B524" s="11" t="s">
        <v>363</v>
      </c>
      <c r="C524" s="11">
        <v>2026011680</v>
      </c>
      <c r="D524" s="11" t="s">
        <v>2729</v>
      </c>
      <c r="E524" s="11" t="s">
        <v>365</v>
      </c>
      <c r="F524" s="11" t="s">
        <v>50</v>
      </c>
      <c r="G524" s="11" t="s">
        <v>1530</v>
      </c>
      <c r="H524" s="11" t="s">
        <v>358</v>
      </c>
      <c r="I524" s="11" t="s">
        <v>2730</v>
      </c>
      <c r="J524" s="11" t="s">
        <v>492</v>
      </c>
      <c r="K524" s="11" t="s">
        <v>200</v>
      </c>
      <c r="L524" s="11" t="s">
        <v>398</v>
      </c>
      <c r="M524" s="12" t="s">
        <v>399</v>
      </c>
      <c r="N524" s="11" t="s">
        <v>1788</v>
      </c>
      <c r="O524" s="12" t="s">
        <v>1789</v>
      </c>
      <c r="P524" s="13" t="s">
        <v>2731</v>
      </c>
      <c r="Q524" s="11" t="s">
        <v>1531</v>
      </c>
      <c r="R524" s="11" t="s">
        <v>326</v>
      </c>
      <c r="S524" s="11" t="s">
        <v>133</v>
      </c>
      <c r="T524" s="11">
        <v>1</v>
      </c>
      <c r="U524" s="11" t="s">
        <v>327</v>
      </c>
      <c r="V524" s="11" t="s">
        <v>2732</v>
      </c>
      <c r="W524" s="11" t="s">
        <v>2733</v>
      </c>
      <c r="X524" s="367">
        <v>46034.611111111109</v>
      </c>
      <c r="Y524" s="11" t="s">
        <v>2734</v>
      </c>
      <c r="Z524" s="11">
        <v>0.6</v>
      </c>
      <c r="AA524" s="11"/>
      <c r="AB524" s="11" t="s">
        <v>330</v>
      </c>
      <c r="AC524" s="212" t="s">
        <v>2735</v>
      </c>
      <c r="AD524" s="11"/>
      <c r="AE524" s="11"/>
      <c r="AF524" s="11"/>
      <c r="AG524" s="11"/>
      <c r="AH524" s="11"/>
      <c r="AI524" s="11"/>
      <c r="AJ524" s="11"/>
      <c r="AK524" s="11" t="s">
        <v>332</v>
      </c>
      <c r="AL524" s="213">
        <f t="shared" si="16"/>
        <v>46034</v>
      </c>
      <c r="AM524" s="211">
        <f t="shared" si="17"/>
        <v>46034</v>
      </c>
    </row>
    <row r="525" spans="1:39" ht="21.6" customHeight="1">
      <c r="A525" s="11">
        <v>100</v>
      </c>
      <c r="B525" s="11" t="s">
        <v>322</v>
      </c>
      <c r="C525" s="11">
        <v>2026011685</v>
      </c>
      <c r="D525" s="11"/>
      <c r="E525" s="11"/>
      <c r="F525" s="11">
        <v>4210</v>
      </c>
      <c r="G525" s="11" t="s">
        <v>191</v>
      </c>
      <c r="H525" s="11" t="s">
        <v>358</v>
      </c>
      <c r="I525" s="11"/>
      <c r="J525" s="11"/>
      <c r="K525" s="11"/>
      <c r="L525" s="11"/>
      <c r="M525" s="12"/>
      <c r="N525" s="11"/>
      <c r="O525" s="12"/>
      <c r="P525" s="13"/>
      <c r="Q525" s="11" t="s">
        <v>1212</v>
      </c>
      <c r="R525" s="11" t="s">
        <v>326</v>
      </c>
      <c r="S525" s="11" t="s">
        <v>133</v>
      </c>
      <c r="T525" s="11">
        <v>1</v>
      </c>
      <c r="U525" s="11" t="s">
        <v>327</v>
      </c>
      <c r="V525" s="11" t="s">
        <v>2736</v>
      </c>
      <c r="W525" s="11" t="s">
        <v>2737</v>
      </c>
      <c r="X525" s="367">
        <v>46034.576388888891</v>
      </c>
      <c r="Y525" s="11"/>
      <c r="Z525" s="11">
        <v>0.3</v>
      </c>
      <c r="AA525" s="11"/>
      <c r="AB525" s="11" t="s">
        <v>330</v>
      </c>
      <c r="AC525" s="212" t="s">
        <v>2738</v>
      </c>
      <c r="AD525" s="11" t="s">
        <v>332</v>
      </c>
      <c r="AE525" s="11"/>
      <c r="AF525" s="11"/>
      <c r="AG525" s="11"/>
      <c r="AH525" s="11"/>
      <c r="AI525" s="11"/>
      <c r="AJ525" s="11" t="s">
        <v>332</v>
      </c>
      <c r="AK525" s="11"/>
      <c r="AL525" s="213" t="e">
        <f t="shared" si="16"/>
        <v>#VALUE!</v>
      </c>
      <c r="AM525" s="211">
        <f t="shared" si="17"/>
        <v>46034</v>
      </c>
    </row>
    <row r="526" spans="1:39" ht="21.6" customHeight="1">
      <c r="A526" s="11">
        <v>101</v>
      </c>
      <c r="B526" s="11" t="s">
        <v>322</v>
      </c>
      <c r="C526" s="11">
        <v>2026011700</v>
      </c>
      <c r="D526" s="11"/>
      <c r="E526" s="11"/>
      <c r="F526" s="11" t="s">
        <v>50</v>
      </c>
      <c r="G526" s="11" t="s">
        <v>1530</v>
      </c>
      <c r="H526" s="11" t="s">
        <v>358</v>
      </c>
      <c r="I526" s="11"/>
      <c r="J526" s="11"/>
      <c r="K526" s="11"/>
      <c r="L526" s="11"/>
      <c r="M526" s="12"/>
      <c r="N526" s="11"/>
      <c r="O526" s="12"/>
      <c r="P526" s="13"/>
      <c r="Q526" s="11" t="s">
        <v>1531</v>
      </c>
      <c r="R526" s="11" t="s">
        <v>326</v>
      </c>
      <c r="S526" s="11" t="s">
        <v>133</v>
      </c>
      <c r="T526" s="11">
        <v>1</v>
      </c>
      <c r="U526" s="11" t="s">
        <v>327</v>
      </c>
      <c r="V526" s="11" t="s">
        <v>2739</v>
      </c>
      <c r="W526" s="11" t="s">
        <v>2740</v>
      </c>
      <c r="X526" s="367">
        <v>46034.614583333343</v>
      </c>
      <c r="Y526" s="11"/>
      <c r="Z526" s="11">
        <v>0.3</v>
      </c>
      <c r="AA526" s="11"/>
      <c r="AB526" s="11" t="s">
        <v>330</v>
      </c>
      <c r="AC526" s="212" t="s">
        <v>2741</v>
      </c>
      <c r="AD526" s="11" t="s">
        <v>332</v>
      </c>
      <c r="AE526" s="11"/>
      <c r="AF526" s="11"/>
      <c r="AG526" s="11"/>
      <c r="AH526" s="11"/>
      <c r="AI526" s="11"/>
      <c r="AJ526" s="11" t="s">
        <v>332</v>
      </c>
      <c r="AK526" s="11"/>
      <c r="AL526" s="213" t="e">
        <f t="shared" si="16"/>
        <v>#VALUE!</v>
      </c>
      <c r="AM526" s="211">
        <f t="shared" si="17"/>
        <v>46034</v>
      </c>
    </row>
    <row r="527" spans="1:39" ht="21.6" customHeight="1">
      <c r="A527" s="11">
        <v>102</v>
      </c>
      <c r="B527" s="11" t="s">
        <v>322</v>
      </c>
      <c r="C527" s="11">
        <v>2026011721</v>
      </c>
      <c r="D527" s="11"/>
      <c r="E527" s="11"/>
      <c r="F527" s="11" t="s">
        <v>51</v>
      </c>
      <c r="G527" s="11" t="s">
        <v>1922</v>
      </c>
      <c r="H527" s="11" t="s">
        <v>490</v>
      </c>
      <c r="I527" s="11"/>
      <c r="J527" s="11"/>
      <c r="K527" s="11"/>
      <c r="L527" s="11"/>
      <c r="M527" s="12"/>
      <c r="N527" s="11"/>
      <c r="O527" s="12"/>
      <c r="P527" s="13"/>
      <c r="Q527" s="11" t="s">
        <v>1923</v>
      </c>
      <c r="R527" s="11" t="s">
        <v>326</v>
      </c>
      <c r="S527" s="11" t="s">
        <v>118</v>
      </c>
      <c r="T527" s="11">
        <v>1</v>
      </c>
      <c r="U527" s="11" t="s">
        <v>327</v>
      </c>
      <c r="V527" s="11" t="s">
        <v>2742</v>
      </c>
      <c r="W527" s="11" t="s">
        <v>2743</v>
      </c>
      <c r="X527" s="367">
        <v>46034.666666666657</v>
      </c>
      <c r="Y527" s="11"/>
      <c r="Z527" s="11">
        <v>0.5</v>
      </c>
      <c r="AA527" s="11"/>
      <c r="AB527" s="11" t="s">
        <v>330</v>
      </c>
      <c r="AC527" s="212" t="s">
        <v>2744</v>
      </c>
      <c r="AD527" s="11" t="s">
        <v>332</v>
      </c>
      <c r="AE527" s="11"/>
      <c r="AF527" s="11"/>
      <c r="AG527" s="11"/>
      <c r="AH527" s="11"/>
      <c r="AI527" s="11"/>
      <c r="AJ527" s="11" t="s">
        <v>332</v>
      </c>
      <c r="AK527" s="11" t="s">
        <v>332</v>
      </c>
      <c r="AL527" s="213" t="e">
        <f t="shared" si="16"/>
        <v>#VALUE!</v>
      </c>
      <c r="AM527" s="211">
        <f t="shared" si="17"/>
        <v>46034</v>
      </c>
    </row>
    <row r="528" spans="1:39" ht="21.6" customHeight="1">
      <c r="A528" s="11">
        <v>102</v>
      </c>
      <c r="B528" s="11" t="s">
        <v>363</v>
      </c>
      <c r="C528" s="11">
        <v>2026011718</v>
      </c>
      <c r="D528" s="11" t="s">
        <v>2745</v>
      </c>
      <c r="E528" s="11" t="s">
        <v>365</v>
      </c>
      <c r="F528" s="11">
        <v>4191</v>
      </c>
      <c r="G528" s="11" t="s">
        <v>853</v>
      </c>
      <c r="H528" s="11" t="s">
        <v>358</v>
      </c>
      <c r="I528" s="11" t="s">
        <v>2746</v>
      </c>
      <c r="J528" s="11" t="s">
        <v>492</v>
      </c>
      <c r="K528" s="11" t="s">
        <v>200</v>
      </c>
      <c r="L528" s="11" t="s">
        <v>447</v>
      </c>
      <c r="M528" s="12" t="s">
        <v>448</v>
      </c>
      <c r="N528" s="11" t="s">
        <v>449</v>
      </c>
      <c r="O528" s="12" t="s">
        <v>450</v>
      </c>
      <c r="P528" s="13" t="s">
        <v>2747</v>
      </c>
      <c r="Q528" s="11" t="s">
        <v>854</v>
      </c>
      <c r="R528" s="11" t="s">
        <v>326</v>
      </c>
      <c r="S528" s="11" t="s">
        <v>133</v>
      </c>
      <c r="T528" s="11">
        <v>1</v>
      </c>
      <c r="U528" s="11" t="s">
        <v>327</v>
      </c>
      <c r="V528" s="11" t="s">
        <v>2748</v>
      </c>
      <c r="W528" s="11" t="s">
        <v>2749</v>
      </c>
      <c r="X528" s="367">
        <v>46035.649305555547</v>
      </c>
      <c r="Y528" s="11" t="s">
        <v>2750</v>
      </c>
      <c r="Z528" s="11">
        <v>0.3</v>
      </c>
      <c r="AA528" s="11"/>
      <c r="AB528" s="11" t="s">
        <v>330</v>
      </c>
      <c r="AC528" s="212" t="s">
        <v>2751</v>
      </c>
      <c r="AD528" s="11"/>
      <c r="AE528" s="11"/>
      <c r="AF528" s="11"/>
      <c r="AG528" s="11"/>
      <c r="AH528" s="11"/>
      <c r="AI528" s="11"/>
      <c r="AJ528" s="11"/>
      <c r="AK528" s="11" t="s">
        <v>332</v>
      </c>
      <c r="AL528" s="213">
        <f t="shared" si="16"/>
        <v>46034</v>
      </c>
      <c r="AM528" s="211">
        <f t="shared" si="17"/>
        <v>46035</v>
      </c>
    </row>
    <row r="529" spans="1:39" ht="21.6" customHeight="1">
      <c r="A529" s="11">
        <v>104</v>
      </c>
      <c r="B529" s="11" t="s">
        <v>363</v>
      </c>
      <c r="C529" s="11">
        <v>2026011769</v>
      </c>
      <c r="D529" s="11" t="s">
        <v>2752</v>
      </c>
      <c r="E529" s="11" t="s">
        <v>475</v>
      </c>
      <c r="F529" s="11">
        <v>4155</v>
      </c>
      <c r="G529" s="11" t="s">
        <v>1234</v>
      </c>
      <c r="H529" s="11" t="s">
        <v>358</v>
      </c>
      <c r="I529" s="11" t="s">
        <v>2753</v>
      </c>
      <c r="J529" s="11" t="s">
        <v>368</v>
      </c>
      <c r="K529" s="11" t="s">
        <v>446</v>
      </c>
      <c r="L529" s="11" t="s">
        <v>558</v>
      </c>
      <c r="M529" s="12" t="s">
        <v>559</v>
      </c>
      <c r="N529" s="11">
        <v>2401</v>
      </c>
      <c r="O529" s="12" t="s">
        <v>712</v>
      </c>
      <c r="P529" s="13" t="s">
        <v>2754</v>
      </c>
      <c r="Q529" s="11" t="s">
        <v>1235</v>
      </c>
      <c r="R529" s="11" t="s">
        <v>326</v>
      </c>
      <c r="S529" s="11" t="s">
        <v>118</v>
      </c>
      <c r="T529" s="11">
        <v>1</v>
      </c>
      <c r="U529" s="11" t="s">
        <v>327</v>
      </c>
      <c r="V529" s="11" t="s">
        <v>2755</v>
      </c>
      <c r="W529" s="11" t="s">
        <v>2756</v>
      </c>
      <c r="X529" s="367">
        <v>46035.479166666657</v>
      </c>
      <c r="Y529" s="11" t="s">
        <v>2757</v>
      </c>
      <c r="Z529" s="11">
        <v>1.5</v>
      </c>
      <c r="AA529" s="11"/>
      <c r="AB529" s="11" t="s">
        <v>330</v>
      </c>
      <c r="AC529" s="212" t="s">
        <v>2758</v>
      </c>
      <c r="AD529" s="11"/>
      <c r="AE529" s="11"/>
      <c r="AF529" s="11"/>
      <c r="AG529" s="11"/>
      <c r="AH529" s="11"/>
      <c r="AI529" s="11"/>
      <c r="AJ529" s="11"/>
      <c r="AK529" s="11" t="s">
        <v>332</v>
      </c>
      <c r="AL529" s="213">
        <f t="shared" si="16"/>
        <v>46035</v>
      </c>
      <c r="AM529" s="211">
        <f t="shared" si="17"/>
        <v>46035</v>
      </c>
    </row>
    <row r="530" spans="1:39" ht="21.6" customHeight="1">
      <c r="A530" s="11">
        <v>105</v>
      </c>
      <c r="B530" s="11" t="s">
        <v>322</v>
      </c>
      <c r="C530" s="11">
        <v>2026011804</v>
      </c>
      <c r="D530" s="11"/>
      <c r="E530" s="11"/>
      <c r="F530" s="11">
        <v>4511</v>
      </c>
      <c r="G530" s="11" t="s">
        <v>163</v>
      </c>
      <c r="H530" s="11" t="s">
        <v>567</v>
      </c>
      <c r="I530" s="11"/>
      <c r="J530" s="11"/>
      <c r="K530" s="11"/>
      <c r="L530" s="11"/>
      <c r="M530" s="12"/>
      <c r="N530" s="11"/>
      <c r="O530" s="12"/>
      <c r="P530" s="13"/>
      <c r="Q530" s="11" t="s">
        <v>2032</v>
      </c>
      <c r="R530" s="11" t="s">
        <v>326</v>
      </c>
      <c r="S530" s="11" t="s">
        <v>123</v>
      </c>
      <c r="T530" s="11">
        <v>1</v>
      </c>
      <c r="U530" s="11" t="s">
        <v>327</v>
      </c>
      <c r="V530" s="11" t="s">
        <v>2759</v>
      </c>
      <c r="W530" s="11" t="s">
        <v>2756</v>
      </c>
      <c r="X530" s="367">
        <v>46035.46597222222</v>
      </c>
      <c r="Y530" s="11"/>
      <c r="Z530" s="11">
        <v>1.2</v>
      </c>
      <c r="AA530" s="11"/>
      <c r="AB530" s="11" t="s">
        <v>330</v>
      </c>
      <c r="AC530" s="212" t="s">
        <v>2760</v>
      </c>
      <c r="AD530" s="11"/>
      <c r="AE530" s="11" t="s">
        <v>332</v>
      </c>
      <c r="AF530" s="11"/>
      <c r="AG530" s="11"/>
      <c r="AH530" s="11"/>
      <c r="AI530" s="11"/>
      <c r="AJ530" s="11"/>
      <c r="AK530" s="11" t="s">
        <v>332</v>
      </c>
      <c r="AL530" s="213" t="e">
        <f t="shared" si="16"/>
        <v>#VALUE!</v>
      </c>
      <c r="AM530" s="211">
        <f t="shared" si="17"/>
        <v>46035</v>
      </c>
    </row>
    <row r="531" spans="1:39" ht="21.6" customHeight="1">
      <c r="A531" s="11">
        <v>106</v>
      </c>
      <c r="B531" s="11" t="s">
        <v>363</v>
      </c>
      <c r="C531" s="11">
        <v>2026011844</v>
      </c>
      <c r="D531" s="11" t="s">
        <v>2761</v>
      </c>
      <c r="E531" s="11" t="s">
        <v>365</v>
      </c>
      <c r="F531" s="11">
        <v>4609</v>
      </c>
      <c r="G531" s="11" t="s">
        <v>1774</v>
      </c>
      <c r="H531" s="11" t="s">
        <v>748</v>
      </c>
      <c r="I531" s="11" t="s">
        <v>2762</v>
      </c>
      <c r="J531" s="11" t="s">
        <v>368</v>
      </c>
      <c r="K531" s="11" t="s">
        <v>200</v>
      </c>
      <c r="L531" s="11" t="s">
        <v>1007</v>
      </c>
      <c r="M531" s="12" t="s">
        <v>1008</v>
      </c>
      <c r="N531" s="11">
        <v>5804</v>
      </c>
      <c r="O531" s="12" t="s">
        <v>1358</v>
      </c>
      <c r="P531" s="13" t="s">
        <v>2763</v>
      </c>
      <c r="Q531" s="11" t="s">
        <v>1775</v>
      </c>
      <c r="R531" s="11" t="s">
        <v>326</v>
      </c>
      <c r="S531" s="11" t="s">
        <v>118</v>
      </c>
      <c r="T531" s="11">
        <v>1</v>
      </c>
      <c r="U531" s="11" t="s">
        <v>327</v>
      </c>
      <c r="V531" s="11" t="s">
        <v>2764</v>
      </c>
      <c r="W531" s="11" t="s">
        <v>2668</v>
      </c>
      <c r="X531" s="367">
        <v>46035.583333333343</v>
      </c>
      <c r="Y531" s="11" t="s">
        <v>2765</v>
      </c>
      <c r="Z531" s="11">
        <v>1</v>
      </c>
      <c r="AA531" s="11"/>
      <c r="AB531" s="11" t="s">
        <v>330</v>
      </c>
      <c r="AC531" s="212" t="s">
        <v>2766</v>
      </c>
      <c r="AD531" s="11"/>
      <c r="AE531" s="11"/>
      <c r="AF531" s="11"/>
      <c r="AG531" s="11"/>
      <c r="AH531" s="11"/>
      <c r="AI531" s="11"/>
      <c r="AJ531" s="11"/>
      <c r="AK531" s="11" t="s">
        <v>332</v>
      </c>
      <c r="AL531" s="213">
        <f t="shared" si="16"/>
        <v>46035</v>
      </c>
      <c r="AM531" s="211">
        <f t="shared" si="17"/>
        <v>46035</v>
      </c>
    </row>
    <row r="532" spans="1:39" ht="21.6" customHeight="1">
      <c r="A532" s="11">
        <v>107</v>
      </c>
      <c r="B532" s="11" t="s">
        <v>322</v>
      </c>
      <c r="C532" s="11">
        <v>2026011870</v>
      </c>
      <c r="D532" s="11"/>
      <c r="E532" s="11"/>
      <c r="F532" s="11">
        <v>4609</v>
      </c>
      <c r="G532" s="11" t="s">
        <v>1774</v>
      </c>
      <c r="H532" s="11" t="s">
        <v>748</v>
      </c>
      <c r="I532" s="11"/>
      <c r="J532" s="11"/>
      <c r="K532" s="11"/>
      <c r="L532" s="11"/>
      <c r="M532" s="12"/>
      <c r="N532" s="11"/>
      <c r="O532" s="12"/>
      <c r="P532" s="13"/>
      <c r="Q532" s="11" t="s">
        <v>1775</v>
      </c>
      <c r="R532" s="11" t="s">
        <v>326</v>
      </c>
      <c r="S532" s="11" t="s">
        <v>118</v>
      </c>
      <c r="T532" s="11">
        <v>1</v>
      </c>
      <c r="U532" s="11" t="s">
        <v>327</v>
      </c>
      <c r="V532" s="11" t="s">
        <v>2767</v>
      </c>
      <c r="W532" s="11" t="s">
        <v>2768</v>
      </c>
      <c r="X532" s="367">
        <v>46035.604166666657</v>
      </c>
      <c r="Y532" s="11"/>
      <c r="Z532" s="11">
        <v>0.5</v>
      </c>
      <c r="AA532" s="11"/>
      <c r="AB532" s="11" t="s">
        <v>330</v>
      </c>
      <c r="AC532" s="212" t="s">
        <v>2769</v>
      </c>
      <c r="AD532" s="11" t="s">
        <v>332</v>
      </c>
      <c r="AE532" s="11"/>
      <c r="AF532" s="11"/>
      <c r="AG532" s="11"/>
      <c r="AH532" s="11"/>
      <c r="AI532" s="11"/>
      <c r="AJ532" s="11" t="s">
        <v>332</v>
      </c>
      <c r="AK532" s="11" t="s">
        <v>332</v>
      </c>
      <c r="AL532" s="213" t="e">
        <f t="shared" si="16"/>
        <v>#VALUE!</v>
      </c>
      <c r="AM532" s="211">
        <f t="shared" si="17"/>
        <v>46035</v>
      </c>
    </row>
    <row r="533" spans="1:39" ht="21.6" customHeight="1">
      <c r="A533" s="11">
        <v>108</v>
      </c>
      <c r="B533" s="11" t="s">
        <v>322</v>
      </c>
      <c r="C533" s="11">
        <v>2026011887</v>
      </c>
      <c r="D533" s="11"/>
      <c r="E533" s="11"/>
      <c r="F533" s="11">
        <v>4514</v>
      </c>
      <c r="G533" s="11" t="s">
        <v>1994</v>
      </c>
      <c r="H533" s="11" t="s">
        <v>324</v>
      </c>
      <c r="I533" s="11"/>
      <c r="J533" s="11"/>
      <c r="K533" s="11"/>
      <c r="L533" s="11"/>
      <c r="M533" s="12"/>
      <c r="N533" s="11"/>
      <c r="O533" s="12"/>
      <c r="P533" s="13"/>
      <c r="Q533" s="11" t="s">
        <v>1995</v>
      </c>
      <c r="R533" s="11" t="s">
        <v>326</v>
      </c>
      <c r="S533" s="11" t="s">
        <v>123</v>
      </c>
      <c r="T533" s="11">
        <v>1</v>
      </c>
      <c r="U533" s="11" t="s">
        <v>327</v>
      </c>
      <c r="V533" s="11" t="s">
        <v>2770</v>
      </c>
      <c r="W533" s="11" t="s">
        <v>2771</v>
      </c>
      <c r="X533" s="367">
        <v>46035.646527777782</v>
      </c>
      <c r="Y533" s="11"/>
      <c r="Z533" s="11">
        <v>0.5</v>
      </c>
      <c r="AA533" s="11"/>
      <c r="AB533" s="11" t="s">
        <v>330</v>
      </c>
      <c r="AC533" s="212" t="s">
        <v>2772</v>
      </c>
      <c r="AD533" s="11" t="s">
        <v>332</v>
      </c>
      <c r="AE533" s="11"/>
      <c r="AF533" s="11"/>
      <c r="AG533" s="11"/>
      <c r="AH533" s="11"/>
      <c r="AI533" s="11"/>
      <c r="AJ533" s="11"/>
      <c r="AK533" s="11" t="s">
        <v>332</v>
      </c>
      <c r="AL533" s="213" t="e">
        <f t="shared" si="16"/>
        <v>#VALUE!</v>
      </c>
      <c r="AM533" s="211">
        <f t="shared" si="17"/>
        <v>46035</v>
      </c>
    </row>
    <row r="534" spans="1:39" ht="21.6" customHeight="1">
      <c r="A534" s="11">
        <v>109</v>
      </c>
      <c r="B534" s="11" t="s">
        <v>322</v>
      </c>
      <c r="C534" s="11">
        <v>2026011896</v>
      </c>
      <c r="D534" s="11"/>
      <c r="E534" s="11"/>
      <c r="F534" s="11">
        <v>5364</v>
      </c>
      <c r="G534" s="11" t="s">
        <v>261</v>
      </c>
      <c r="H534" s="11" t="s">
        <v>324</v>
      </c>
      <c r="I534" s="11"/>
      <c r="J534" s="11"/>
      <c r="K534" s="11"/>
      <c r="L534" s="11"/>
      <c r="M534" s="12"/>
      <c r="N534" s="11"/>
      <c r="O534" s="12"/>
      <c r="P534" s="13"/>
      <c r="Q534" s="11" t="s">
        <v>427</v>
      </c>
      <c r="R534" s="11" t="s">
        <v>326</v>
      </c>
      <c r="S534" s="11" t="s">
        <v>123</v>
      </c>
      <c r="T534" s="11">
        <v>1</v>
      </c>
      <c r="U534" s="11" t="s">
        <v>327</v>
      </c>
      <c r="V534" s="11" t="s">
        <v>2773</v>
      </c>
      <c r="W534" s="11" t="s">
        <v>2774</v>
      </c>
      <c r="X534" s="367">
        <v>46035.666666666657</v>
      </c>
      <c r="Y534" s="11"/>
      <c r="Z534" s="11">
        <v>0.3</v>
      </c>
      <c r="AA534" s="11"/>
      <c r="AB534" s="11" t="s">
        <v>330</v>
      </c>
      <c r="AC534" s="212" t="s">
        <v>2775</v>
      </c>
      <c r="AD534" s="11" t="s">
        <v>332</v>
      </c>
      <c r="AE534" s="11"/>
      <c r="AF534" s="11"/>
      <c r="AG534" s="11"/>
      <c r="AH534" s="11"/>
      <c r="AI534" s="11"/>
      <c r="AJ534" s="11"/>
      <c r="AK534" s="11" t="s">
        <v>332</v>
      </c>
      <c r="AL534" s="213" t="e">
        <f t="shared" si="16"/>
        <v>#VALUE!</v>
      </c>
      <c r="AM534" s="211">
        <f t="shared" si="17"/>
        <v>46035</v>
      </c>
    </row>
    <row r="535" spans="1:39" ht="21.6" customHeight="1">
      <c r="A535" s="11">
        <v>110</v>
      </c>
      <c r="B535" s="11" t="s">
        <v>322</v>
      </c>
      <c r="C535" s="11">
        <v>2026011901</v>
      </c>
      <c r="D535" s="11"/>
      <c r="E535" s="11"/>
      <c r="F535" s="11">
        <v>4483</v>
      </c>
      <c r="G535" s="11" t="s">
        <v>2000</v>
      </c>
      <c r="H535" s="11" t="s">
        <v>324</v>
      </c>
      <c r="I535" s="11"/>
      <c r="J535" s="11"/>
      <c r="K535" s="11"/>
      <c r="L535" s="11"/>
      <c r="M535" s="12"/>
      <c r="N535" s="11"/>
      <c r="O535" s="12"/>
      <c r="P535" s="13"/>
      <c r="Q535" s="11" t="s">
        <v>2001</v>
      </c>
      <c r="R535" s="11" t="s">
        <v>326</v>
      </c>
      <c r="S535" s="11" t="s">
        <v>123</v>
      </c>
      <c r="T535" s="11">
        <v>1</v>
      </c>
      <c r="U535" s="11" t="s">
        <v>327</v>
      </c>
      <c r="V535" s="11" t="s">
        <v>2776</v>
      </c>
      <c r="W535" s="11" t="s">
        <v>2777</v>
      </c>
      <c r="X535" s="367">
        <v>46035.6875</v>
      </c>
      <c r="Y535" s="11"/>
      <c r="Z535" s="11">
        <v>0.5</v>
      </c>
      <c r="AA535" s="11"/>
      <c r="AB535" s="11" t="s">
        <v>330</v>
      </c>
      <c r="AC535" s="212" t="s">
        <v>2778</v>
      </c>
      <c r="AD535" s="11" t="s">
        <v>332</v>
      </c>
      <c r="AE535" s="11"/>
      <c r="AF535" s="11"/>
      <c r="AG535" s="11"/>
      <c r="AH535" s="11"/>
      <c r="AI535" s="11"/>
      <c r="AJ535" s="11"/>
      <c r="AK535" s="11" t="s">
        <v>332</v>
      </c>
      <c r="AL535" s="213" t="e">
        <f t="shared" si="16"/>
        <v>#VALUE!</v>
      </c>
      <c r="AM535" s="211">
        <f t="shared" si="17"/>
        <v>46035</v>
      </c>
    </row>
    <row r="536" spans="1:39" ht="21.6" customHeight="1">
      <c r="A536" s="11">
        <v>107</v>
      </c>
      <c r="B536" s="11" t="s">
        <v>363</v>
      </c>
      <c r="C536" s="11">
        <v>2026011855</v>
      </c>
      <c r="D536" s="11" t="s">
        <v>2779</v>
      </c>
      <c r="E536" s="11" t="s">
        <v>365</v>
      </c>
      <c r="F536" s="11">
        <v>5428</v>
      </c>
      <c r="G536" s="11" t="s">
        <v>188</v>
      </c>
      <c r="H536" s="11" t="s">
        <v>358</v>
      </c>
      <c r="I536" s="11" t="s">
        <v>2780</v>
      </c>
      <c r="J536" s="11" t="s">
        <v>368</v>
      </c>
      <c r="K536" s="11" t="s">
        <v>200</v>
      </c>
      <c r="L536" s="11" t="s">
        <v>398</v>
      </c>
      <c r="M536" s="12" t="s">
        <v>399</v>
      </c>
      <c r="N536" s="11" t="s">
        <v>1788</v>
      </c>
      <c r="O536" s="12" t="s">
        <v>1789</v>
      </c>
      <c r="P536" s="13" t="s">
        <v>2781</v>
      </c>
      <c r="Q536" s="11" t="s">
        <v>634</v>
      </c>
      <c r="R536" s="11" t="s">
        <v>326</v>
      </c>
      <c r="S536" s="11" t="s">
        <v>133</v>
      </c>
      <c r="T536" s="11">
        <v>1</v>
      </c>
      <c r="U536" s="11" t="s">
        <v>327</v>
      </c>
      <c r="V536" s="11" t="s">
        <v>2782</v>
      </c>
      <c r="W536" s="11" t="s">
        <v>2783</v>
      </c>
      <c r="X536" s="367">
        <v>46035.791666666657</v>
      </c>
      <c r="Y536" s="11" t="s">
        <v>2784</v>
      </c>
      <c r="Z536" s="11">
        <v>0.5</v>
      </c>
      <c r="AA536" s="11"/>
      <c r="AB536" s="11" t="s">
        <v>330</v>
      </c>
      <c r="AC536" s="212" t="s">
        <v>2785</v>
      </c>
      <c r="AD536" s="11"/>
      <c r="AE536" s="11"/>
      <c r="AF536" s="11"/>
      <c r="AG536" s="11"/>
      <c r="AH536" s="11"/>
      <c r="AI536" s="11"/>
      <c r="AJ536" s="11"/>
      <c r="AK536" s="11" t="s">
        <v>332</v>
      </c>
      <c r="AL536" s="213">
        <f t="shared" si="16"/>
        <v>46035</v>
      </c>
      <c r="AM536" s="211">
        <f t="shared" si="17"/>
        <v>46035</v>
      </c>
    </row>
    <row r="537" spans="1:39" ht="21.6" customHeight="1">
      <c r="A537" s="11">
        <v>109</v>
      </c>
      <c r="B537" s="11" t="s">
        <v>363</v>
      </c>
      <c r="C537" s="11">
        <v>2026011875</v>
      </c>
      <c r="D537" s="11" t="s">
        <v>2786</v>
      </c>
      <c r="E537" s="11" t="s">
        <v>475</v>
      </c>
      <c r="F537" s="11">
        <v>5428</v>
      </c>
      <c r="G537" s="11" t="s">
        <v>188</v>
      </c>
      <c r="H537" s="11" t="s">
        <v>358</v>
      </c>
      <c r="I537" s="11" t="s">
        <v>2787</v>
      </c>
      <c r="J537" s="11" t="s">
        <v>368</v>
      </c>
      <c r="K537" s="11" t="s">
        <v>200</v>
      </c>
      <c r="L537" s="11" t="s">
        <v>558</v>
      </c>
      <c r="M537" s="12" t="s">
        <v>559</v>
      </c>
      <c r="N537" s="11">
        <v>2405</v>
      </c>
      <c r="O537" s="12" t="s">
        <v>560</v>
      </c>
      <c r="P537" s="13" t="s">
        <v>2788</v>
      </c>
      <c r="Q537" s="11" t="s">
        <v>634</v>
      </c>
      <c r="R537" s="11" t="s">
        <v>326</v>
      </c>
      <c r="S537" s="11" t="s">
        <v>133</v>
      </c>
      <c r="T537" s="11">
        <v>1</v>
      </c>
      <c r="U537" s="11" t="s">
        <v>327</v>
      </c>
      <c r="V537" s="11" t="s">
        <v>2789</v>
      </c>
      <c r="W537" s="11" t="s">
        <v>2790</v>
      </c>
      <c r="X537" s="367">
        <v>46035.770833333343</v>
      </c>
      <c r="Y537" s="11" t="s">
        <v>2791</v>
      </c>
      <c r="Z537" s="11">
        <v>2</v>
      </c>
      <c r="AA537" s="11"/>
      <c r="AB537" s="11" t="s">
        <v>330</v>
      </c>
      <c r="AC537" s="212" t="s">
        <v>2792</v>
      </c>
      <c r="AD537" s="11"/>
      <c r="AE537" s="11"/>
      <c r="AF537" s="11"/>
      <c r="AG537" s="11"/>
      <c r="AH537" s="11"/>
      <c r="AI537" s="11"/>
      <c r="AJ537" s="11"/>
      <c r="AK537" s="11" t="s">
        <v>332</v>
      </c>
      <c r="AL537" s="213">
        <f t="shared" si="16"/>
        <v>46035</v>
      </c>
      <c r="AM537" s="211">
        <f t="shared" si="17"/>
        <v>46035</v>
      </c>
    </row>
    <row r="538" spans="1:39" ht="21.6" customHeight="1">
      <c r="A538" s="11">
        <v>111</v>
      </c>
      <c r="B538" s="11" t="s">
        <v>363</v>
      </c>
      <c r="C538" s="11">
        <v>2026011892</v>
      </c>
      <c r="D538" s="11" t="s">
        <v>2793</v>
      </c>
      <c r="E538" s="11" t="s">
        <v>365</v>
      </c>
      <c r="F538" s="11">
        <v>4514</v>
      </c>
      <c r="G538" s="11" t="s">
        <v>1994</v>
      </c>
      <c r="H538" s="11" t="s">
        <v>324</v>
      </c>
      <c r="I538" s="11" t="s">
        <v>2794</v>
      </c>
      <c r="J538" s="11" t="s">
        <v>368</v>
      </c>
      <c r="K538" s="11" t="s">
        <v>200</v>
      </c>
      <c r="L538" s="11" t="s">
        <v>1120</v>
      </c>
      <c r="M538" s="12" t="s">
        <v>1121</v>
      </c>
      <c r="N538" s="11">
        <v>5903</v>
      </c>
      <c r="O538" s="12" t="s">
        <v>401</v>
      </c>
      <c r="P538" s="13" t="s">
        <v>2795</v>
      </c>
      <c r="Q538" s="11" t="s">
        <v>1995</v>
      </c>
      <c r="R538" s="11" t="s">
        <v>326</v>
      </c>
      <c r="S538" s="11" t="s">
        <v>123</v>
      </c>
      <c r="T538" s="11">
        <v>1</v>
      </c>
      <c r="U538" s="11" t="s">
        <v>327</v>
      </c>
      <c r="V538" s="11" t="s">
        <v>2796</v>
      </c>
      <c r="W538" s="11" t="s">
        <v>2797</v>
      </c>
      <c r="X538" s="367">
        <v>46036.565972222219</v>
      </c>
      <c r="Y538" s="11" t="s">
        <v>2798</v>
      </c>
      <c r="Z538" s="11">
        <v>0.5</v>
      </c>
      <c r="AA538" s="11"/>
      <c r="AB538" s="11" t="s">
        <v>330</v>
      </c>
      <c r="AC538" s="212" t="s">
        <v>2799</v>
      </c>
      <c r="AD538" s="11"/>
      <c r="AE538" s="11"/>
      <c r="AF538" s="11"/>
      <c r="AG538" s="11"/>
      <c r="AH538" s="11"/>
      <c r="AI538" s="11"/>
      <c r="AJ538" s="11"/>
      <c r="AK538" s="11" t="s">
        <v>332</v>
      </c>
      <c r="AL538" s="213">
        <f t="shared" si="16"/>
        <v>46035</v>
      </c>
      <c r="AM538" s="211">
        <f t="shared" si="17"/>
        <v>46036</v>
      </c>
    </row>
    <row r="539" spans="1:39" ht="21.6" customHeight="1">
      <c r="A539" s="11">
        <v>114</v>
      </c>
      <c r="B539" s="11" t="s">
        <v>322</v>
      </c>
      <c r="C539" s="11">
        <v>2026011919</v>
      </c>
      <c r="D539" s="11"/>
      <c r="E539" s="11"/>
      <c r="F539" s="11">
        <v>5428</v>
      </c>
      <c r="G539" s="11" t="s">
        <v>188</v>
      </c>
      <c r="H539" s="11" t="s">
        <v>358</v>
      </c>
      <c r="I539" s="11"/>
      <c r="J539" s="11"/>
      <c r="K539" s="11"/>
      <c r="L539" s="11"/>
      <c r="M539" s="12"/>
      <c r="N539" s="11"/>
      <c r="O539" s="12"/>
      <c r="P539" s="13"/>
      <c r="Q539" s="11" t="s">
        <v>634</v>
      </c>
      <c r="R539" s="11" t="s">
        <v>326</v>
      </c>
      <c r="S539" s="11" t="s">
        <v>133</v>
      </c>
      <c r="T539" s="11">
        <v>1</v>
      </c>
      <c r="U539" s="11" t="s">
        <v>327</v>
      </c>
      <c r="V539" s="11" t="s">
        <v>2800</v>
      </c>
      <c r="W539" s="11" t="s">
        <v>2801</v>
      </c>
      <c r="X539" s="367">
        <v>46035.6875</v>
      </c>
      <c r="Y539" s="11"/>
      <c r="Z539" s="11">
        <v>0.3</v>
      </c>
      <c r="AA539" s="11"/>
      <c r="AB539" s="11" t="s">
        <v>330</v>
      </c>
      <c r="AC539" s="212" t="s">
        <v>100</v>
      </c>
      <c r="AD539" s="11" t="s">
        <v>332</v>
      </c>
      <c r="AE539" s="11"/>
      <c r="AF539" s="11"/>
      <c r="AG539" s="11"/>
      <c r="AH539" s="11"/>
      <c r="AI539" s="11"/>
      <c r="AJ539" s="11" t="s">
        <v>332</v>
      </c>
      <c r="AK539" s="11" t="s">
        <v>332</v>
      </c>
      <c r="AL539" s="213" t="e">
        <f t="shared" si="16"/>
        <v>#VALUE!</v>
      </c>
      <c r="AM539" s="211">
        <f t="shared" si="17"/>
        <v>46035</v>
      </c>
    </row>
    <row r="540" spans="1:39" ht="21.6" customHeight="1">
      <c r="A540" s="11">
        <v>115</v>
      </c>
      <c r="B540" s="11" t="s">
        <v>363</v>
      </c>
      <c r="C540" s="11">
        <v>2026011921</v>
      </c>
      <c r="D540" s="11" t="s">
        <v>2802</v>
      </c>
      <c r="E540" s="11" t="s">
        <v>365</v>
      </c>
      <c r="F540" s="11">
        <v>3358</v>
      </c>
      <c r="G540" s="11" t="s">
        <v>990</v>
      </c>
      <c r="H540" s="11" t="s">
        <v>490</v>
      </c>
      <c r="I540" s="11" t="s">
        <v>2803</v>
      </c>
      <c r="J540" s="11" t="s">
        <v>383</v>
      </c>
      <c r="K540" s="11" t="s">
        <v>384</v>
      </c>
      <c r="L540" s="11" t="s">
        <v>369</v>
      </c>
      <c r="M540" s="12" t="s">
        <v>370</v>
      </c>
      <c r="N540" s="11">
        <v>2304</v>
      </c>
      <c r="O540" s="12" t="s">
        <v>371</v>
      </c>
      <c r="P540" s="13" t="s">
        <v>2804</v>
      </c>
      <c r="Q540" s="11" t="s">
        <v>993</v>
      </c>
      <c r="R540" s="11" t="s">
        <v>326</v>
      </c>
      <c r="S540" s="11" t="s">
        <v>118</v>
      </c>
      <c r="T540" s="11">
        <v>1</v>
      </c>
      <c r="U540" s="11" t="s">
        <v>327</v>
      </c>
      <c r="V540" s="11" t="s">
        <v>2805</v>
      </c>
      <c r="W540" s="11" t="s">
        <v>2806</v>
      </c>
      <c r="X540" s="367">
        <v>46036.479166666657</v>
      </c>
      <c r="Y540" s="11" t="s">
        <v>2807</v>
      </c>
      <c r="Z540" s="11">
        <v>0.5</v>
      </c>
      <c r="AA540" s="11"/>
      <c r="AB540" s="11" t="s">
        <v>330</v>
      </c>
      <c r="AC540" s="212" t="s">
        <v>2808</v>
      </c>
      <c r="AD540" s="11"/>
      <c r="AE540" s="11"/>
      <c r="AF540" s="11"/>
      <c r="AG540" s="11"/>
      <c r="AH540" s="11"/>
      <c r="AI540" s="11"/>
      <c r="AJ540" s="11"/>
      <c r="AK540" s="11" t="s">
        <v>332</v>
      </c>
      <c r="AL540" s="213">
        <f t="shared" si="16"/>
        <v>46036</v>
      </c>
      <c r="AM540" s="211">
        <f t="shared" si="17"/>
        <v>46036</v>
      </c>
    </row>
    <row r="541" spans="1:39" ht="21.6" customHeight="1">
      <c r="A541" s="11">
        <v>116</v>
      </c>
      <c r="B541" s="11" t="s">
        <v>363</v>
      </c>
      <c r="C541" s="11">
        <v>2026011922</v>
      </c>
      <c r="D541" s="11" t="s">
        <v>2809</v>
      </c>
      <c r="E541" s="11" t="s">
        <v>365</v>
      </c>
      <c r="F541" s="11">
        <v>3358</v>
      </c>
      <c r="G541" s="11" t="s">
        <v>990</v>
      </c>
      <c r="H541" s="11" t="s">
        <v>490</v>
      </c>
      <c r="I541" s="11" t="s">
        <v>2810</v>
      </c>
      <c r="J541" s="11" t="s">
        <v>383</v>
      </c>
      <c r="K541" s="11" t="s">
        <v>446</v>
      </c>
      <c r="L541" s="11" t="s">
        <v>369</v>
      </c>
      <c r="M541" s="12" t="s">
        <v>370</v>
      </c>
      <c r="N541" s="11">
        <v>2307</v>
      </c>
      <c r="O541" s="12" t="s">
        <v>385</v>
      </c>
      <c r="P541" s="13" t="s">
        <v>2811</v>
      </c>
      <c r="Q541" s="11" t="s">
        <v>993</v>
      </c>
      <c r="R541" s="11" t="s">
        <v>326</v>
      </c>
      <c r="S541" s="11" t="s">
        <v>118</v>
      </c>
      <c r="T541" s="11">
        <v>1</v>
      </c>
      <c r="U541" s="11" t="s">
        <v>327</v>
      </c>
      <c r="V541" s="11" t="s">
        <v>2812</v>
      </c>
      <c r="W541" s="11" t="s">
        <v>2813</v>
      </c>
      <c r="X541" s="367">
        <v>46036.458333333343</v>
      </c>
      <c r="Y541" s="11" t="s">
        <v>2814</v>
      </c>
      <c r="Z541" s="11">
        <v>0.5</v>
      </c>
      <c r="AA541" s="11"/>
      <c r="AB541" s="11" t="s">
        <v>330</v>
      </c>
      <c r="AC541" s="212" t="s">
        <v>2815</v>
      </c>
      <c r="AD541" s="11"/>
      <c r="AE541" s="11"/>
      <c r="AF541" s="11"/>
      <c r="AG541" s="11"/>
      <c r="AH541" s="11"/>
      <c r="AI541" s="11"/>
      <c r="AJ541" s="11"/>
      <c r="AK541" s="11" t="s">
        <v>332</v>
      </c>
      <c r="AL541" s="213">
        <f t="shared" si="16"/>
        <v>46036</v>
      </c>
      <c r="AM541" s="211">
        <f t="shared" si="17"/>
        <v>46036</v>
      </c>
    </row>
    <row r="542" spans="1:39" ht="21.6" customHeight="1">
      <c r="A542" s="11">
        <v>117</v>
      </c>
      <c r="B542" s="11" t="s">
        <v>363</v>
      </c>
      <c r="C542" s="11">
        <v>2026011933</v>
      </c>
      <c r="D542" s="11" t="s">
        <v>2816</v>
      </c>
      <c r="E542" s="11" t="s">
        <v>365</v>
      </c>
      <c r="F542" s="11">
        <v>4312</v>
      </c>
      <c r="G542" s="11" t="s">
        <v>901</v>
      </c>
      <c r="H542" s="11" t="s">
        <v>358</v>
      </c>
      <c r="I542" s="11" t="s">
        <v>2817</v>
      </c>
      <c r="J542" s="11" t="s">
        <v>383</v>
      </c>
      <c r="K542" s="11" t="s">
        <v>446</v>
      </c>
      <c r="L542" s="11" t="s">
        <v>369</v>
      </c>
      <c r="M542" s="12" t="s">
        <v>370</v>
      </c>
      <c r="N542" s="11">
        <v>2304</v>
      </c>
      <c r="O542" s="12" t="s">
        <v>371</v>
      </c>
      <c r="P542" s="13" t="s">
        <v>2818</v>
      </c>
      <c r="Q542" s="11" t="s">
        <v>905</v>
      </c>
      <c r="R542" s="11" t="s">
        <v>326</v>
      </c>
      <c r="S542" s="11" t="s">
        <v>133</v>
      </c>
      <c r="T542" s="11">
        <v>1</v>
      </c>
      <c r="U542" s="11" t="s">
        <v>327</v>
      </c>
      <c r="V542" s="11" t="s">
        <v>2819</v>
      </c>
      <c r="W542" s="11" t="s">
        <v>2820</v>
      </c>
      <c r="X542" s="367">
        <v>46036.451388888891</v>
      </c>
      <c r="Y542" s="11" t="s">
        <v>2821</v>
      </c>
      <c r="Z542" s="11">
        <v>0.3</v>
      </c>
      <c r="AA542" s="11"/>
      <c r="AB542" s="11" t="s">
        <v>330</v>
      </c>
      <c r="AC542" s="212" t="s">
        <v>2822</v>
      </c>
      <c r="AD542" s="11"/>
      <c r="AE542" s="11"/>
      <c r="AF542" s="11"/>
      <c r="AG542" s="11"/>
      <c r="AH542" s="11"/>
      <c r="AI542" s="11"/>
      <c r="AJ542" s="11"/>
      <c r="AK542" s="11" t="s">
        <v>332</v>
      </c>
      <c r="AL542" s="213">
        <f t="shared" si="16"/>
        <v>46036</v>
      </c>
      <c r="AM542" s="211">
        <f t="shared" si="17"/>
        <v>46036</v>
      </c>
    </row>
    <row r="543" spans="1:39" ht="21.6" customHeight="1">
      <c r="A543" s="11">
        <v>118</v>
      </c>
      <c r="B543" s="11" t="s">
        <v>322</v>
      </c>
      <c r="C543" s="11">
        <v>2026011955</v>
      </c>
      <c r="D543" s="11"/>
      <c r="E543" s="11"/>
      <c r="F543" s="11">
        <v>4312</v>
      </c>
      <c r="G543" s="11" t="s">
        <v>901</v>
      </c>
      <c r="H543" s="11" t="s">
        <v>358</v>
      </c>
      <c r="I543" s="11"/>
      <c r="J543" s="11"/>
      <c r="K543" s="11"/>
      <c r="L543" s="11"/>
      <c r="M543" s="12"/>
      <c r="N543" s="11"/>
      <c r="O543" s="12"/>
      <c r="P543" s="13"/>
      <c r="Q543" s="11" t="s">
        <v>905</v>
      </c>
      <c r="R543" s="11" t="s">
        <v>326</v>
      </c>
      <c r="S543" s="11" t="s">
        <v>133</v>
      </c>
      <c r="T543" s="11">
        <v>1</v>
      </c>
      <c r="U543" s="11" t="s">
        <v>327</v>
      </c>
      <c r="V543" s="11" t="s">
        <v>2823</v>
      </c>
      <c r="W543" s="11" t="s">
        <v>2824</v>
      </c>
      <c r="X543" s="367">
        <v>46036.458333333343</v>
      </c>
      <c r="Y543" s="11"/>
      <c r="Z543" s="11">
        <v>0.3</v>
      </c>
      <c r="AA543" s="11"/>
      <c r="AB543" s="11" t="s">
        <v>330</v>
      </c>
      <c r="AC543" s="212" t="s">
        <v>2825</v>
      </c>
      <c r="AD543" s="11" t="s">
        <v>332</v>
      </c>
      <c r="AE543" s="11"/>
      <c r="AF543" s="11"/>
      <c r="AG543" s="11"/>
      <c r="AH543" s="11"/>
      <c r="AI543" s="11"/>
      <c r="AJ543" s="11" t="s">
        <v>332</v>
      </c>
      <c r="AK543" s="11"/>
      <c r="AL543" s="213" t="e">
        <f t="shared" si="16"/>
        <v>#VALUE!</v>
      </c>
      <c r="AM543" s="211">
        <f t="shared" si="17"/>
        <v>46036</v>
      </c>
    </row>
    <row r="544" spans="1:39" ht="21.6" customHeight="1">
      <c r="A544" s="11">
        <v>119</v>
      </c>
      <c r="B544" s="11" t="s">
        <v>363</v>
      </c>
      <c r="C544" s="11">
        <v>2026011956</v>
      </c>
      <c r="D544" s="11" t="s">
        <v>2826</v>
      </c>
      <c r="E544" s="11" t="s">
        <v>365</v>
      </c>
      <c r="F544" s="11">
        <v>5457</v>
      </c>
      <c r="G544" s="11" t="s">
        <v>197</v>
      </c>
      <c r="H544" s="11" t="s">
        <v>358</v>
      </c>
      <c r="I544" s="11" t="s">
        <v>2827</v>
      </c>
      <c r="J544" s="11" t="s">
        <v>383</v>
      </c>
      <c r="K544" s="11" t="s">
        <v>446</v>
      </c>
      <c r="L544" s="11" t="s">
        <v>398</v>
      </c>
      <c r="M544" s="12" t="s">
        <v>399</v>
      </c>
      <c r="N544" s="11" t="s">
        <v>1788</v>
      </c>
      <c r="O544" s="12" t="s">
        <v>1789</v>
      </c>
      <c r="P544" s="13" t="s">
        <v>2828</v>
      </c>
      <c r="Q544" s="11" t="s">
        <v>1619</v>
      </c>
      <c r="R544" s="11" t="s">
        <v>326</v>
      </c>
      <c r="S544" s="11" t="s">
        <v>133</v>
      </c>
      <c r="T544" s="11">
        <v>1</v>
      </c>
      <c r="U544" s="11" t="s">
        <v>327</v>
      </c>
      <c r="V544" s="11" t="s">
        <v>2829</v>
      </c>
      <c r="W544" s="11" t="s">
        <v>2830</v>
      </c>
      <c r="X544" s="367">
        <v>46036.791666666657</v>
      </c>
      <c r="Y544" s="11" t="s">
        <v>2831</v>
      </c>
      <c r="Z544" s="11">
        <v>0.3</v>
      </c>
      <c r="AA544" s="11"/>
      <c r="AB544" s="11" t="s">
        <v>330</v>
      </c>
      <c r="AC544" s="212" t="s">
        <v>2832</v>
      </c>
      <c r="AD544" s="11"/>
      <c r="AE544" s="11"/>
      <c r="AF544" s="11"/>
      <c r="AG544" s="11"/>
      <c r="AH544" s="11"/>
      <c r="AI544" s="11"/>
      <c r="AJ544" s="11"/>
      <c r="AK544" s="11" t="s">
        <v>332</v>
      </c>
      <c r="AL544" s="213">
        <f t="shared" si="16"/>
        <v>46036</v>
      </c>
      <c r="AM544" s="211">
        <f t="shared" si="17"/>
        <v>46036</v>
      </c>
    </row>
    <row r="545" spans="1:39" ht="21.6" customHeight="1">
      <c r="A545" s="11">
        <v>120</v>
      </c>
      <c r="B545" s="11" t="s">
        <v>322</v>
      </c>
      <c r="C545" s="11">
        <v>2026011972</v>
      </c>
      <c r="D545" s="11"/>
      <c r="E545" s="11"/>
      <c r="F545" s="11">
        <v>3358</v>
      </c>
      <c r="G545" s="11" t="s">
        <v>990</v>
      </c>
      <c r="H545" s="11" t="s">
        <v>490</v>
      </c>
      <c r="I545" s="11"/>
      <c r="J545" s="11"/>
      <c r="K545" s="11"/>
      <c r="L545" s="11"/>
      <c r="M545" s="12"/>
      <c r="N545" s="11"/>
      <c r="O545" s="12"/>
      <c r="P545" s="13"/>
      <c r="Q545" s="11" t="s">
        <v>993</v>
      </c>
      <c r="R545" s="11" t="s">
        <v>326</v>
      </c>
      <c r="S545" s="11" t="s">
        <v>118</v>
      </c>
      <c r="T545" s="11">
        <v>1</v>
      </c>
      <c r="U545" s="11" t="s">
        <v>327</v>
      </c>
      <c r="V545" s="11" t="s">
        <v>2833</v>
      </c>
      <c r="W545" s="11" t="s">
        <v>2834</v>
      </c>
      <c r="X545" s="367">
        <v>46036.5</v>
      </c>
      <c r="Y545" s="11"/>
      <c r="Z545" s="11">
        <v>0.5</v>
      </c>
      <c r="AA545" s="11"/>
      <c r="AB545" s="11" t="s">
        <v>330</v>
      </c>
      <c r="AC545" s="212" t="s">
        <v>2835</v>
      </c>
      <c r="AD545" s="11" t="s">
        <v>332</v>
      </c>
      <c r="AE545" s="11"/>
      <c r="AF545" s="11"/>
      <c r="AG545" s="11"/>
      <c r="AH545" s="11"/>
      <c r="AI545" s="11"/>
      <c r="AJ545" s="11" t="s">
        <v>332</v>
      </c>
      <c r="AK545" s="11" t="s">
        <v>332</v>
      </c>
      <c r="AL545" s="213" t="e">
        <f t="shared" si="16"/>
        <v>#VALUE!</v>
      </c>
      <c r="AM545" s="211">
        <f t="shared" si="17"/>
        <v>46036</v>
      </c>
    </row>
    <row r="546" spans="1:39" ht="21.6" customHeight="1">
      <c r="A546" s="11">
        <v>121</v>
      </c>
      <c r="B546" s="11" t="s">
        <v>363</v>
      </c>
      <c r="C546" s="11">
        <v>2026011974</v>
      </c>
      <c r="D546" s="11" t="s">
        <v>2836</v>
      </c>
      <c r="E546" s="11" t="s">
        <v>365</v>
      </c>
      <c r="F546" s="11">
        <v>2442</v>
      </c>
      <c r="G546" s="11" t="s">
        <v>1076</v>
      </c>
      <c r="H546" s="11" t="s">
        <v>1077</v>
      </c>
      <c r="I546" s="11" t="s">
        <v>2837</v>
      </c>
      <c r="J546" s="11" t="s">
        <v>383</v>
      </c>
      <c r="K546" s="11" t="s">
        <v>446</v>
      </c>
      <c r="L546" s="11" t="s">
        <v>1280</v>
      </c>
      <c r="M546" s="12" t="s">
        <v>1281</v>
      </c>
      <c r="N546" s="11">
        <v>6004</v>
      </c>
      <c r="O546" s="12" t="s">
        <v>425</v>
      </c>
      <c r="P546" s="13" t="s">
        <v>2838</v>
      </c>
      <c r="Q546" s="11" t="s">
        <v>1080</v>
      </c>
      <c r="R546" s="11" t="s">
        <v>326</v>
      </c>
      <c r="S546" s="11" t="s">
        <v>123</v>
      </c>
      <c r="T546" s="11">
        <v>1</v>
      </c>
      <c r="U546" s="11" t="s">
        <v>327</v>
      </c>
      <c r="V546" s="11" t="s">
        <v>2839</v>
      </c>
      <c r="W546" s="11" t="s">
        <v>2840</v>
      </c>
      <c r="X546" s="367">
        <v>46036.693055555559</v>
      </c>
      <c r="Y546" s="11" t="s">
        <v>2841</v>
      </c>
      <c r="Z546" s="11">
        <v>0.6</v>
      </c>
      <c r="AA546" s="11"/>
      <c r="AB546" s="11" t="s">
        <v>330</v>
      </c>
      <c r="AC546" s="212" t="s">
        <v>2842</v>
      </c>
      <c r="AD546" s="11"/>
      <c r="AE546" s="11"/>
      <c r="AF546" s="11"/>
      <c r="AG546" s="11"/>
      <c r="AH546" s="11"/>
      <c r="AI546" s="11"/>
      <c r="AJ546" s="11"/>
      <c r="AK546" s="11" t="s">
        <v>332</v>
      </c>
      <c r="AL546" s="213">
        <f t="shared" si="16"/>
        <v>46036</v>
      </c>
      <c r="AM546" s="211">
        <f t="shared" si="17"/>
        <v>46036</v>
      </c>
    </row>
    <row r="547" spans="1:39" ht="21.6" customHeight="1">
      <c r="A547" s="11">
        <v>122</v>
      </c>
      <c r="B547" s="11" t="s">
        <v>322</v>
      </c>
      <c r="C547" s="11">
        <v>2026011992</v>
      </c>
      <c r="D547" s="11"/>
      <c r="E547" s="11"/>
      <c r="F547" s="11">
        <v>4282</v>
      </c>
      <c r="G547" s="11" t="s">
        <v>1625</v>
      </c>
      <c r="H547" s="11" t="s">
        <v>324</v>
      </c>
      <c r="I547" s="11"/>
      <c r="J547" s="11"/>
      <c r="K547" s="11"/>
      <c r="L547" s="11"/>
      <c r="M547" s="12"/>
      <c r="N547" s="11"/>
      <c r="O547" s="12"/>
      <c r="P547" s="13"/>
      <c r="Q547" s="11" t="s">
        <v>1628</v>
      </c>
      <c r="R547" s="11" t="s">
        <v>326</v>
      </c>
      <c r="S547" s="11" t="s">
        <v>123</v>
      </c>
      <c r="T547" s="11">
        <v>1</v>
      </c>
      <c r="U547" s="11" t="s">
        <v>327</v>
      </c>
      <c r="V547" s="11" t="s">
        <v>2843</v>
      </c>
      <c r="W547" s="11" t="s">
        <v>2844</v>
      </c>
      <c r="X547" s="367">
        <v>46036.604861111111</v>
      </c>
      <c r="Y547" s="11"/>
      <c r="Z547" s="11">
        <v>0.4</v>
      </c>
      <c r="AA547" s="11"/>
      <c r="AB547" s="11" t="s">
        <v>330</v>
      </c>
      <c r="AC547" s="212" t="s">
        <v>2845</v>
      </c>
      <c r="AD547" s="11" t="s">
        <v>332</v>
      </c>
      <c r="AE547" s="11"/>
      <c r="AF547" s="11"/>
      <c r="AG547" s="11"/>
      <c r="AH547" s="11"/>
      <c r="AI547" s="11"/>
      <c r="AJ547" s="11"/>
      <c r="AK547" s="11" t="s">
        <v>332</v>
      </c>
      <c r="AL547" s="213" t="e">
        <f t="shared" si="16"/>
        <v>#VALUE!</v>
      </c>
      <c r="AM547" s="211">
        <f t="shared" si="17"/>
        <v>46036</v>
      </c>
    </row>
    <row r="548" spans="1:39" ht="21.6" customHeight="1">
      <c r="A548" s="11">
        <v>123</v>
      </c>
      <c r="B548" s="11" t="s">
        <v>363</v>
      </c>
      <c r="C548" s="11">
        <v>2026012028</v>
      </c>
      <c r="D548" s="11" t="s">
        <v>2846</v>
      </c>
      <c r="E548" s="11" t="s">
        <v>365</v>
      </c>
      <c r="F548" s="11">
        <v>4316</v>
      </c>
      <c r="G548" s="11" t="s">
        <v>1693</v>
      </c>
      <c r="H548" s="11" t="s">
        <v>763</v>
      </c>
      <c r="I548" s="11" t="s">
        <v>2847</v>
      </c>
      <c r="J548" s="11" t="s">
        <v>383</v>
      </c>
      <c r="K548" s="11" t="s">
        <v>200</v>
      </c>
      <c r="L548" s="11" t="s">
        <v>493</v>
      </c>
      <c r="M548" s="12" t="s">
        <v>494</v>
      </c>
      <c r="N548" s="11">
        <v>2501</v>
      </c>
      <c r="O548" s="12" t="s">
        <v>495</v>
      </c>
      <c r="P548" s="13" t="s">
        <v>2848</v>
      </c>
      <c r="Q548" s="11" t="s">
        <v>1694</v>
      </c>
      <c r="R548" s="11" t="s">
        <v>326</v>
      </c>
      <c r="S548" s="11" t="s">
        <v>118</v>
      </c>
      <c r="T548" s="11">
        <v>1</v>
      </c>
      <c r="U548" s="11" t="s">
        <v>327</v>
      </c>
      <c r="V548" s="11" t="s">
        <v>2849</v>
      </c>
      <c r="W548" s="11" t="s">
        <v>2850</v>
      </c>
      <c r="X548" s="367">
        <v>46037.6875</v>
      </c>
      <c r="Y548" s="11" t="s">
        <v>2851</v>
      </c>
      <c r="Z548" s="11">
        <v>0.5</v>
      </c>
      <c r="AA548" s="11"/>
      <c r="AB548" s="11" t="s">
        <v>330</v>
      </c>
      <c r="AC548" s="212" t="s">
        <v>2852</v>
      </c>
      <c r="AD548" s="11"/>
      <c r="AE548" s="11"/>
      <c r="AF548" s="11"/>
      <c r="AG548" s="11"/>
      <c r="AH548" s="11"/>
      <c r="AI548" s="11"/>
      <c r="AJ548" s="11"/>
      <c r="AK548" s="11" t="s">
        <v>332</v>
      </c>
      <c r="AL548" s="213">
        <f t="shared" si="16"/>
        <v>46036</v>
      </c>
      <c r="AM548" s="211">
        <f t="shared" si="17"/>
        <v>46037</v>
      </c>
    </row>
    <row r="549" spans="1:39" ht="21.6" customHeight="1">
      <c r="A549" s="11">
        <v>124</v>
      </c>
      <c r="B549" s="11" t="s">
        <v>363</v>
      </c>
      <c r="C549" s="11">
        <v>2026012133</v>
      </c>
      <c r="D549" s="11" t="s">
        <v>2853</v>
      </c>
      <c r="E549" s="11" t="s">
        <v>365</v>
      </c>
      <c r="F549" s="11">
        <v>4210</v>
      </c>
      <c r="G549" s="11" t="s">
        <v>191</v>
      </c>
      <c r="H549" s="11" t="s">
        <v>358</v>
      </c>
      <c r="I549" s="11" t="s">
        <v>2854</v>
      </c>
      <c r="J549" s="11" t="s">
        <v>383</v>
      </c>
      <c r="K549" s="11" t="s">
        <v>200</v>
      </c>
      <c r="L549" s="11" t="s">
        <v>2408</v>
      </c>
      <c r="M549" s="12" t="s">
        <v>2409</v>
      </c>
      <c r="N549" s="11" t="s">
        <v>2410</v>
      </c>
      <c r="O549" s="12" t="s">
        <v>2411</v>
      </c>
      <c r="P549" s="13" t="s">
        <v>2855</v>
      </c>
      <c r="Q549" s="11" t="s">
        <v>1212</v>
      </c>
      <c r="R549" s="11" t="s">
        <v>326</v>
      </c>
      <c r="S549" s="11" t="s">
        <v>134</v>
      </c>
      <c r="T549" s="11">
        <v>1</v>
      </c>
      <c r="U549" s="11" t="s">
        <v>327</v>
      </c>
      <c r="V549" s="11" t="s">
        <v>2856</v>
      </c>
      <c r="W549" s="11" t="s">
        <v>2857</v>
      </c>
      <c r="X549" s="367">
        <v>46037.712500000001</v>
      </c>
      <c r="Y549" s="11" t="s">
        <v>2858</v>
      </c>
      <c r="Z549" s="11">
        <v>1.4</v>
      </c>
      <c r="AA549" s="11"/>
      <c r="AB549" s="11" t="s">
        <v>330</v>
      </c>
      <c r="AC549" s="212" t="s">
        <v>2859</v>
      </c>
      <c r="AD549" s="11"/>
      <c r="AE549" s="11"/>
      <c r="AF549" s="11"/>
      <c r="AG549" s="11"/>
      <c r="AH549" s="11"/>
      <c r="AI549" s="11"/>
      <c r="AJ549" s="11"/>
      <c r="AK549" s="11" t="s">
        <v>332</v>
      </c>
      <c r="AL549" s="213">
        <f t="shared" si="16"/>
        <v>46036</v>
      </c>
      <c r="AM549" s="211">
        <f t="shared" si="17"/>
        <v>46037</v>
      </c>
    </row>
    <row r="550" spans="1:39" ht="21.6" customHeight="1">
      <c r="A550" s="11">
        <v>125</v>
      </c>
      <c r="B550" s="11" t="s">
        <v>322</v>
      </c>
      <c r="C550" s="11">
        <v>2026012172</v>
      </c>
      <c r="D550" s="11"/>
      <c r="E550" s="11"/>
      <c r="F550" s="11">
        <v>5457</v>
      </c>
      <c r="G550" s="11" t="s">
        <v>197</v>
      </c>
      <c r="H550" s="11" t="s">
        <v>358</v>
      </c>
      <c r="I550" s="11"/>
      <c r="J550" s="11"/>
      <c r="K550" s="11"/>
      <c r="L550" s="11"/>
      <c r="M550" s="12"/>
      <c r="N550" s="11"/>
      <c r="O550" s="12"/>
      <c r="P550" s="13"/>
      <c r="Q550" s="11" t="s">
        <v>1619</v>
      </c>
      <c r="R550" s="11" t="s">
        <v>326</v>
      </c>
      <c r="S550" s="11" t="s">
        <v>133</v>
      </c>
      <c r="T550" s="11">
        <v>1</v>
      </c>
      <c r="U550" s="11" t="s">
        <v>327</v>
      </c>
      <c r="V550" s="11" t="s">
        <v>2860</v>
      </c>
      <c r="W550" s="11" t="s">
        <v>2861</v>
      </c>
      <c r="X550" s="367">
        <v>46036.805555555547</v>
      </c>
      <c r="Y550" s="11"/>
      <c r="Z550" s="11">
        <v>0.4</v>
      </c>
      <c r="AA550" s="11"/>
      <c r="AB550" s="11" t="s">
        <v>330</v>
      </c>
      <c r="AC550" s="212" t="s">
        <v>100</v>
      </c>
      <c r="AD550" s="11" t="s">
        <v>332</v>
      </c>
      <c r="AE550" s="11"/>
      <c r="AF550" s="11"/>
      <c r="AG550" s="11"/>
      <c r="AH550" s="11"/>
      <c r="AI550" s="11"/>
      <c r="AJ550" s="11" t="s">
        <v>332</v>
      </c>
      <c r="AK550" s="11" t="s">
        <v>332</v>
      </c>
      <c r="AL550" s="213" t="e">
        <f t="shared" si="16"/>
        <v>#VALUE!</v>
      </c>
      <c r="AM550" s="211">
        <f t="shared" si="17"/>
        <v>46036</v>
      </c>
    </row>
    <row r="551" spans="1:39" ht="21.6" customHeight="1">
      <c r="A551" s="11">
        <v>126</v>
      </c>
      <c r="B551" s="11" t="s">
        <v>322</v>
      </c>
      <c r="C551" s="11">
        <v>2026012254</v>
      </c>
      <c r="D551" s="11"/>
      <c r="E551" s="11"/>
      <c r="F551" s="11">
        <v>5491</v>
      </c>
      <c r="G551" s="11" t="s">
        <v>162</v>
      </c>
      <c r="H551" s="11" t="s">
        <v>358</v>
      </c>
      <c r="I551" s="11"/>
      <c r="J551" s="11"/>
      <c r="K551" s="11"/>
      <c r="L551" s="11"/>
      <c r="M551" s="12"/>
      <c r="N551" s="11"/>
      <c r="O551" s="12"/>
      <c r="P551" s="13"/>
      <c r="Q551" s="11" t="s">
        <v>2862</v>
      </c>
      <c r="R551" s="11" t="s">
        <v>326</v>
      </c>
      <c r="S551" s="11" t="s">
        <v>118</v>
      </c>
      <c r="T551" s="11">
        <v>1</v>
      </c>
      <c r="U551" s="11" t="s">
        <v>327</v>
      </c>
      <c r="V551" s="11" t="s">
        <v>2863</v>
      </c>
      <c r="W551" s="11" t="s">
        <v>2864</v>
      </c>
      <c r="X551" s="367">
        <v>46037.645833333343</v>
      </c>
      <c r="Y551" s="11"/>
      <c r="Z551" s="11">
        <v>4.5</v>
      </c>
      <c r="AA551" s="11"/>
      <c r="AB551" s="11" t="s">
        <v>330</v>
      </c>
      <c r="AC551" s="212" t="s">
        <v>2865</v>
      </c>
      <c r="AD551" s="11"/>
      <c r="AE551" s="11" t="s">
        <v>332</v>
      </c>
      <c r="AF551" s="11"/>
      <c r="AG551" s="11"/>
      <c r="AH551" s="11"/>
      <c r="AI551" s="11"/>
      <c r="AJ551" s="11"/>
      <c r="AK551" s="11" t="s">
        <v>332</v>
      </c>
      <c r="AL551" s="213" t="e">
        <f t="shared" si="16"/>
        <v>#VALUE!</v>
      </c>
      <c r="AM551" s="211">
        <f t="shared" si="17"/>
        <v>46037</v>
      </c>
    </row>
    <row r="552" spans="1:39" ht="21.6" customHeight="1">
      <c r="A552" s="11">
        <v>127</v>
      </c>
      <c r="B552" s="11" t="s">
        <v>322</v>
      </c>
      <c r="C552" s="11">
        <v>2026012268</v>
      </c>
      <c r="D552" s="11"/>
      <c r="E552" s="11"/>
      <c r="F552" s="11">
        <v>5491</v>
      </c>
      <c r="G552" s="11" t="s">
        <v>162</v>
      </c>
      <c r="H552" s="11" t="s">
        <v>358</v>
      </c>
      <c r="I552" s="11"/>
      <c r="J552" s="11"/>
      <c r="K552" s="11"/>
      <c r="L552" s="11"/>
      <c r="M552" s="12"/>
      <c r="N552" s="11"/>
      <c r="O552" s="12"/>
      <c r="P552" s="13"/>
      <c r="Q552" s="11" t="s">
        <v>2862</v>
      </c>
      <c r="R552" s="11" t="s">
        <v>326</v>
      </c>
      <c r="S552" s="11" t="s">
        <v>133</v>
      </c>
      <c r="T552" s="11">
        <v>1</v>
      </c>
      <c r="U552" s="11" t="s">
        <v>327</v>
      </c>
      <c r="V552" s="11" t="s">
        <v>2866</v>
      </c>
      <c r="W552" s="11" t="s">
        <v>2864</v>
      </c>
      <c r="X552" s="367">
        <v>46037.645833333343</v>
      </c>
      <c r="Y552" s="11"/>
      <c r="Z552" s="11">
        <v>4.5</v>
      </c>
      <c r="AA552" s="11"/>
      <c r="AB552" s="11" t="s">
        <v>330</v>
      </c>
      <c r="AC552" s="212" t="s">
        <v>2867</v>
      </c>
      <c r="AD552" s="11" t="s">
        <v>332</v>
      </c>
      <c r="AE552" s="11" t="s">
        <v>332</v>
      </c>
      <c r="AF552" s="11"/>
      <c r="AG552" s="11"/>
      <c r="AH552" s="11"/>
      <c r="AI552" s="11"/>
      <c r="AJ552" s="11"/>
      <c r="AK552" s="11" t="s">
        <v>332</v>
      </c>
      <c r="AL552" s="213" t="e">
        <f t="shared" si="16"/>
        <v>#VALUE!</v>
      </c>
      <c r="AM552" s="211">
        <f t="shared" si="17"/>
        <v>46037</v>
      </c>
    </row>
    <row r="553" spans="1:39" ht="21.6" customHeight="1">
      <c r="A553" s="11">
        <v>128</v>
      </c>
      <c r="B553" s="11" t="s">
        <v>363</v>
      </c>
      <c r="C553" s="11">
        <v>2026012290</v>
      </c>
      <c r="D553" s="11" t="s">
        <v>2868</v>
      </c>
      <c r="E553" s="11" t="s">
        <v>365</v>
      </c>
      <c r="F553" s="11">
        <v>2303</v>
      </c>
      <c r="G553" s="11" t="s">
        <v>1597</v>
      </c>
      <c r="H553" s="11" t="s">
        <v>358</v>
      </c>
      <c r="I553" s="11" t="s">
        <v>2869</v>
      </c>
      <c r="J553" s="11" t="s">
        <v>424</v>
      </c>
      <c r="K553" s="11" t="s">
        <v>200</v>
      </c>
      <c r="L553" s="11" t="s">
        <v>369</v>
      </c>
      <c r="M553" s="12" t="s">
        <v>370</v>
      </c>
      <c r="N553" s="11">
        <v>2305</v>
      </c>
      <c r="O553" s="12" t="s">
        <v>410</v>
      </c>
      <c r="P553" s="13" t="s">
        <v>2870</v>
      </c>
      <c r="Q553" s="11" t="s">
        <v>1598</v>
      </c>
      <c r="R553" s="11" t="s">
        <v>326</v>
      </c>
      <c r="S553" s="11" t="s">
        <v>133</v>
      </c>
      <c r="T553" s="11">
        <v>1</v>
      </c>
      <c r="U553" s="11" t="s">
        <v>327</v>
      </c>
      <c r="V553" s="11" t="s">
        <v>2871</v>
      </c>
      <c r="W553" s="11" t="s">
        <v>2872</v>
      </c>
      <c r="X553" s="367">
        <v>46038.649305555547</v>
      </c>
      <c r="Y553" s="11" t="s">
        <v>2873</v>
      </c>
      <c r="Z553" s="11">
        <v>0.2</v>
      </c>
      <c r="AA553" s="11"/>
      <c r="AB553" s="11" t="s">
        <v>330</v>
      </c>
      <c r="AC553" s="212" t="s">
        <v>2874</v>
      </c>
      <c r="AD553" s="11"/>
      <c r="AE553" s="11"/>
      <c r="AF553" s="11"/>
      <c r="AG553" s="11"/>
      <c r="AH553" s="11"/>
      <c r="AI553" s="11"/>
      <c r="AJ553" s="11"/>
      <c r="AK553" s="11" t="s">
        <v>332</v>
      </c>
      <c r="AL553" s="213">
        <f t="shared" si="16"/>
        <v>46037</v>
      </c>
      <c r="AM553" s="211">
        <f t="shared" si="17"/>
        <v>46038</v>
      </c>
    </row>
    <row r="554" spans="1:39" ht="21.6" customHeight="1">
      <c r="A554" s="11">
        <v>129</v>
      </c>
      <c r="B554" s="11" t="s">
        <v>363</v>
      </c>
      <c r="C554" s="11">
        <v>2026012296</v>
      </c>
      <c r="D554" s="11" t="s">
        <v>2875</v>
      </c>
      <c r="E554" s="11" t="s">
        <v>365</v>
      </c>
      <c r="F554" s="11">
        <v>4153</v>
      </c>
      <c r="G554" s="11" t="s">
        <v>583</v>
      </c>
      <c r="H554" s="11" t="s">
        <v>567</v>
      </c>
      <c r="I554" s="11" t="s">
        <v>2876</v>
      </c>
      <c r="J554" s="11" t="s">
        <v>445</v>
      </c>
      <c r="K554" s="11" t="s">
        <v>384</v>
      </c>
      <c r="L554" s="11" t="s">
        <v>369</v>
      </c>
      <c r="M554" s="12" t="s">
        <v>370</v>
      </c>
      <c r="N554" s="11">
        <v>2305</v>
      </c>
      <c r="O554" s="12" t="s">
        <v>410</v>
      </c>
      <c r="P554" s="13" t="s">
        <v>2877</v>
      </c>
      <c r="Q554" s="11" t="s">
        <v>584</v>
      </c>
      <c r="R554" s="11" t="s">
        <v>326</v>
      </c>
      <c r="S554" s="11" t="s">
        <v>118</v>
      </c>
      <c r="T554" s="11">
        <v>1</v>
      </c>
      <c r="U554" s="11" t="s">
        <v>327</v>
      </c>
      <c r="V554" s="11" t="s">
        <v>2878</v>
      </c>
      <c r="W554" s="11" t="s">
        <v>2879</v>
      </c>
      <c r="X554" s="367">
        <v>46038.638888888891</v>
      </c>
      <c r="Y554" s="11" t="s">
        <v>2880</v>
      </c>
      <c r="Z554" s="11">
        <v>0.8</v>
      </c>
      <c r="AA554" s="11"/>
      <c r="AB554" s="11" t="s">
        <v>330</v>
      </c>
      <c r="AC554" s="212" t="s">
        <v>2881</v>
      </c>
      <c r="AD554" s="11"/>
      <c r="AE554" s="11"/>
      <c r="AF554" s="11"/>
      <c r="AG554" s="11"/>
      <c r="AH554" s="11"/>
      <c r="AI554" s="11"/>
      <c r="AJ554" s="11"/>
      <c r="AK554" s="11" t="s">
        <v>332</v>
      </c>
      <c r="AL554" s="213">
        <f t="shared" si="16"/>
        <v>46038</v>
      </c>
      <c r="AM554" s="211">
        <f t="shared" si="17"/>
        <v>46038</v>
      </c>
    </row>
    <row r="555" spans="1:39" ht="21.6" customHeight="1">
      <c r="A555" s="11">
        <v>130</v>
      </c>
      <c r="B555" s="11" t="s">
        <v>363</v>
      </c>
      <c r="C555" s="11">
        <v>2026012303</v>
      </c>
      <c r="D555" s="11" t="s">
        <v>2882</v>
      </c>
      <c r="E555" s="11" t="s">
        <v>475</v>
      </c>
      <c r="F555" s="11">
        <v>5428</v>
      </c>
      <c r="G555" s="11" t="s">
        <v>188</v>
      </c>
      <c r="H555" s="11" t="s">
        <v>358</v>
      </c>
      <c r="I555" s="11" t="s">
        <v>2883</v>
      </c>
      <c r="J555" s="11" t="s">
        <v>445</v>
      </c>
      <c r="K555" s="11" t="s">
        <v>446</v>
      </c>
      <c r="L555" s="11" t="s">
        <v>558</v>
      </c>
      <c r="M555" s="12" t="s">
        <v>559</v>
      </c>
      <c r="N555" s="11">
        <v>2405</v>
      </c>
      <c r="O555" s="12" t="s">
        <v>560</v>
      </c>
      <c r="P555" s="13" t="s">
        <v>2884</v>
      </c>
      <c r="Q555" s="11" t="s">
        <v>634</v>
      </c>
      <c r="R555" s="11" t="s">
        <v>326</v>
      </c>
      <c r="S555" s="11" t="s">
        <v>133</v>
      </c>
      <c r="T555" s="11">
        <v>1</v>
      </c>
      <c r="U555" s="11" t="s">
        <v>327</v>
      </c>
      <c r="V555" s="11" t="s">
        <v>2885</v>
      </c>
      <c r="W555" s="11" t="s">
        <v>2886</v>
      </c>
      <c r="X555" s="367">
        <v>46038.631944444453</v>
      </c>
      <c r="Y555" s="11" t="s">
        <v>2887</v>
      </c>
      <c r="Z555" s="11">
        <v>2.2000000000000002</v>
      </c>
      <c r="AA555" s="11"/>
      <c r="AB555" s="11" t="s">
        <v>330</v>
      </c>
      <c r="AC555" s="212" t="s">
        <v>2888</v>
      </c>
      <c r="AD555" s="11"/>
      <c r="AE555" s="11"/>
      <c r="AF555" s="11"/>
      <c r="AG555" s="11"/>
      <c r="AH555" s="11"/>
      <c r="AI555" s="11"/>
      <c r="AJ555" s="11"/>
      <c r="AK555" s="11" t="s">
        <v>332</v>
      </c>
      <c r="AL555" s="213">
        <f t="shared" si="16"/>
        <v>46038</v>
      </c>
      <c r="AM555" s="211">
        <f t="shared" si="17"/>
        <v>46038</v>
      </c>
    </row>
    <row r="556" spans="1:39" ht="21.6" customHeight="1">
      <c r="A556" s="11">
        <v>131</v>
      </c>
      <c r="B556" s="11" t="s">
        <v>322</v>
      </c>
      <c r="C556" s="11">
        <v>2026012338</v>
      </c>
      <c r="D556" s="11"/>
      <c r="E556" s="11"/>
      <c r="F556" s="11" t="s">
        <v>67</v>
      </c>
      <c r="G556" s="11" t="s">
        <v>160</v>
      </c>
      <c r="H556" s="11" t="s">
        <v>490</v>
      </c>
      <c r="I556" s="11"/>
      <c r="J556" s="11"/>
      <c r="K556" s="11"/>
      <c r="L556" s="11"/>
      <c r="M556" s="12"/>
      <c r="N556" s="11"/>
      <c r="O556" s="12"/>
      <c r="P556" s="13"/>
      <c r="Q556" s="11" t="s">
        <v>1797</v>
      </c>
      <c r="R556" s="11" t="s">
        <v>326</v>
      </c>
      <c r="S556" s="11" t="s">
        <v>133</v>
      </c>
      <c r="T556" s="11">
        <v>1</v>
      </c>
      <c r="U556" s="11" t="s">
        <v>327</v>
      </c>
      <c r="V556" s="11" t="s">
        <v>2889</v>
      </c>
      <c r="W556" s="11" t="s">
        <v>2890</v>
      </c>
      <c r="X556" s="367">
        <v>46038.4375</v>
      </c>
      <c r="Y556" s="11"/>
      <c r="Z556" s="11">
        <v>0.5</v>
      </c>
      <c r="AA556" s="11"/>
      <c r="AB556" s="11" t="s">
        <v>330</v>
      </c>
      <c r="AC556" s="212" t="s">
        <v>2891</v>
      </c>
      <c r="AD556" s="11" t="s">
        <v>332</v>
      </c>
      <c r="AE556" s="11" t="s">
        <v>332</v>
      </c>
      <c r="AF556" s="11"/>
      <c r="AG556" s="11"/>
      <c r="AH556" s="11"/>
      <c r="AI556" s="11"/>
      <c r="AJ556" s="11"/>
      <c r="AK556" s="11" t="s">
        <v>332</v>
      </c>
      <c r="AL556" s="213" t="e">
        <f t="shared" si="16"/>
        <v>#VALUE!</v>
      </c>
      <c r="AM556" s="211">
        <f t="shared" si="17"/>
        <v>46038</v>
      </c>
    </row>
    <row r="557" spans="1:39" ht="21.6" customHeight="1">
      <c r="A557" s="11">
        <v>132</v>
      </c>
      <c r="B557" s="11" t="s">
        <v>322</v>
      </c>
      <c r="C557" s="11">
        <v>2026012356</v>
      </c>
      <c r="D557" s="11"/>
      <c r="E557" s="11"/>
      <c r="F557" s="11" t="s">
        <v>67</v>
      </c>
      <c r="G557" s="11" t="s">
        <v>160</v>
      </c>
      <c r="H557" s="11" t="s">
        <v>490</v>
      </c>
      <c r="I557" s="11"/>
      <c r="J557" s="11"/>
      <c r="K557" s="11"/>
      <c r="L557" s="11"/>
      <c r="M557" s="12"/>
      <c r="N557" s="11"/>
      <c r="O557" s="12"/>
      <c r="P557" s="13"/>
      <c r="Q557" s="11" t="s">
        <v>1797</v>
      </c>
      <c r="R557" s="11" t="s">
        <v>326</v>
      </c>
      <c r="S557" s="11" t="s">
        <v>118</v>
      </c>
      <c r="T557" s="11">
        <v>1</v>
      </c>
      <c r="U557" s="11" t="s">
        <v>327</v>
      </c>
      <c r="V557" s="11" t="s">
        <v>2892</v>
      </c>
      <c r="W557" s="11" t="s">
        <v>2890</v>
      </c>
      <c r="X557" s="367">
        <v>46038.4375</v>
      </c>
      <c r="Y557" s="11"/>
      <c r="Z557" s="11">
        <v>0.5</v>
      </c>
      <c r="AA557" s="11"/>
      <c r="AB557" s="11" t="s">
        <v>330</v>
      </c>
      <c r="AC557" s="212" t="s">
        <v>152</v>
      </c>
      <c r="AD557" s="11"/>
      <c r="AE557" s="11" t="s">
        <v>332</v>
      </c>
      <c r="AF557" s="11"/>
      <c r="AG557" s="11"/>
      <c r="AH557" s="11"/>
      <c r="AI557" s="11"/>
      <c r="AJ557" s="11"/>
      <c r="AK557" s="11" t="s">
        <v>332</v>
      </c>
      <c r="AL557" s="213" t="e">
        <f t="shared" si="16"/>
        <v>#VALUE!</v>
      </c>
      <c r="AM557" s="211">
        <f t="shared" si="17"/>
        <v>46038</v>
      </c>
    </row>
    <row r="558" spans="1:39" ht="21.6" customHeight="1">
      <c r="A558" s="11">
        <v>133</v>
      </c>
      <c r="B558" s="11" t="s">
        <v>322</v>
      </c>
      <c r="C558" s="11">
        <v>2026012400</v>
      </c>
      <c r="D558" s="11"/>
      <c r="E558" s="11"/>
      <c r="F558" s="11">
        <v>2303</v>
      </c>
      <c r="G558" s="11" t="s">
        <v>1597</v>
      </c>
      <c r="H558" s="11" t="s">
        <v>358</v>
      </c>
      <c r="I558" s="11"/>
      <c r="J558" s="11"/>
      <c r="K558" s="11"/>
      <c r="L558" s="11"/>
      <c r="M558" s="12"/>
      <c r="N558" s="11"/>
      <c r="O558" s="12"/>
      <c r="P558" s="13"/>
      <c r="Q558" s="11" t="s">
        <v>1598</v>
      </c>
      <c r="R558" s="11" t="s">
        <v>326</v>
      </c>
      <c r="S558" s="11" t="s">
        <v>133</v>
      </c>
      <c r="T558" s="11">
        <v>1</v>
      </c>
      <c r="U558" s="11" t="s">
        <v>327</v>
      </c>
      <c r="V558" s="11" t="s">
        <v>2893</v>
      </c>
      <c r="W558" s="11" t="s">
        <v>2894</v>
      </c>
      <c r="X558" s="367">
        <v>46038.663194444453</v>
      </c>
      <c r="Y558" s="11"/>
      <c r="Z558" s="11">
        <v>0.3</v>
      </c>
      <c r="AA558" s="11"/>
      <c r="AB558" s="11" t="s">
        <v>330</v>
      </c>
      <c r="AC558" s="212" t="s">
        <v>2895</v>
      </c>
      <c r="AD558" s="11" t="s">
        <v>332</v>
      </c>
      <c r="AE558" s="11"/>
      <c r="AF558" s="11"/>
      <c r="AG558" s="11"/>
      <c r="AH558" s="11"/>
      <c r="AI558" s="11"/>
      <c r="AJ558" s="11" t="s">
        <v>332</v>
      </c>
      <c r="AK558" s="11"/>
      <c r="AL558" s="213" t="e">
        <f t="shared" si="16"/>
        <v>#VALUE!</v>
      </c>
      <c r="AM558" s="211">
        <f t="shared" si="17"/>
        <v>46038</v>
      </c>
    </row>
    <row r="559" spans="1:39" ht="21.6" customHeight="1">
      <c r="A559" s="11">
        <v>134</v>
      </c>
      <c r="B559" s="11" t="s">
        <v>363</v>
      </c>
      <c r="C559" s="11">
        <v>2026012403</v>
      </c>
      <c r="D559" s="11" t="s">
        <v>2896</v>
      </c>
      <c r="E559" s="11" t="s">
        <v>365</v>
      </c>
      <c r="F559" s="11" t="s">
        <v>50</v>
      </c>
      <c r="G559" s="11" t="s">
        <v>1530</v>
      </c>
      <c r="H559" s="11" t="s">
        <v>358</v>
      </c>
      <c r="I559" s="11" t="s">
        <v>2897</v>
      </c>
      <c r="J559" s="11" t="s">
        <v>445</v>
      </c>
      <c r="K559" s="11" t="s">
        <v>200</v>
      </c>
      <c r="L559" s="11" t="s">
        <v>1749</v>
      </c>
      <c r="M559" s="12" t="s">
        <v>1750</v>
      </c>
      <c r="N559" s="11">
        <v>3402</v>
      </c>
      <c r="O559" s="12" t="s">
        <v>2898</v>
      </c>
      <c r="P559" s="13" t="s">
        <v>2899</v>
      </c>
      <c r="Q559" s="11" t="s">
        <v>1531</v>
      </c>
      <c r="R559" s="11" t="s">
        <v>326</v>
      </c>
      <c r="S559" s="11" t="s">
        <v>133</v>
      </c>
      <c r="T559" s="11">
        <v>1</v>
      </c>
      <c r="U559" s="11" t="s">
        <v>327</v>
      </c>
      <c r="V559" s="11" t="s">
        <v>2900</v>
      </c>
      <c r="W559" s="11" t="s">
        <v>2901</v>
      </c>
      <c r="X559" s="367">
        <v>46041.694444444453</v>
      </c>
      <c r="Y559" s="11" t="s">
        <v>2902</v>
      </c>
      <c r="Z559" s="11">
        <v>0.7</v>
      </c>
      <c r="AA559" s="11"/>
      <c r="AB559" s="11" t="s">
        <v>330</v>
      </c>
      <c r="AC559" s="212" t="s">
        <v>2903</v>
      </c>
      <c r="AD559" s="11"/>
      <c r="AE559" s="11"/>
      <c r="AF559" s="11"/>
      <c r="AG559" s="11"/>
      <c r="AH559" s="11"/>
      <c r="AI559" s="11"/>
      <c r="AJ559" s="11"/>
      <c r="AK559" s="11" t="s">
        <v>332</v>
      </c>
      <c r="AL559" s="213">
        <f t="shared" si="16"/>
        <v>46038</v>
      </c>
      <c r="AM559" s="211">
        <f t="shared" si="17"/>
        <v>46041</v>
      </c>
    </row>
    <row r="560" spans="1:39" ht="21.6" customHeight="1">
      <c r="A560" s="11">
        <v>135</v>
      </c>
      <c r="B560" s="11" t="s">
        <v>363</v>
      </c>
      <c r="C560" s="11">
        <v>2026012435</v>
      </c>
      <c r="D560" s="11" t="s">
        <v>2904</v>
      </c>
      <c r="E560" s="11" t="s">
        <v>365</v>
      </c>
      <c r="F560" s="11">
        <v>4153</v>
      </c>
      <c r="G560" s="11" t="s">
        <v>583</v>
      </c>
      <c r="H560" s="11" t="s">
        <v>567</v>
      </c>
      <c r="I560" s="11" t="s">
        <v>2905</v>
      </c>
      <c r="J560" s="11" t="s">
        <v>458</v>
      </c>
      <c r="K560" s="11" t="s">
        <v>446</v>
      </c>
      <c r="L560" s="11" t="s">
        <v>369</v>
      </c>
      <c r="M560" s="12" t="s">
        <v>370</v>
      </c>
      <c r="N560" s="11">
        <v>2305</v>
      </c>
      <c r="O560" s="12" t="s">
        <v>410</v>
      </c>
      <c r="P560" s="13" t="s">
        <v>2906</v>
      </c>
      <c r="Q560" s="11" t="s">
        <v>584</v>
      </c>
      <c r="R560" s="11" t="s">
        <v>326</v>
      </c>
      <c r="S560" s="11" t="s">
        <v>123</v>
      </c>
      <c r="T560" s="11">
        <v>1</v>
      </c>
      <c r="U560" s="11" t="s">
        <v>327</v>
      </c>
      <c r="V560" s="11" t="s">
        <v>2907</v>
      </c>
      <c r="W560" s="11" t="s">
        <v>2908</v>
      </c>
      <c r="X560" s="367">
        <v>46041.521527777782</v>
      </c>
      <c r="Y560" s="11" t="s">
        <v>2909</v>
      </c>
      <c r="Z560" s="11">
        <v>0.5</v>
      </c>
      <c r="AA560" s="11"/>
      <c r="AB560" s="11" t="s">
        <v>330</v>
      </c>
      <c r="AC560" s="212" t="s">
        <v>2910</v>
      </c>
      <c r="AD560" s="11"/>
      <c r="AE560" s="11"/>
      <c r="AF560" s="11"/>
      <c r="AG560" s="11"/>
      <c r="AH560" s="11"/>
      <c r="AI560" s="11"/>
      <c r="AJ560" s="11"/>
      <c r="AK560" s="11" t="s">
        <v>332</v>
      </c>
      <c r="AL560" s="213">
        <f t="shared" si="16"/>
        <v>46039</v>
      </c>
      <c r="AM560" s="211">
        <f t="shared" si="17"/>
        <v>46041</v>
      </c>
    </row>
    <row r="561" spans="1:39" ht="21.6" customHeight="1">
      <c r="A561" s="11">
        <v>136</v>
      </c>
      <c r="B561" s="11" t="s">
        <v>363</v>
      </c>
      <c r="C561" s="11">
        <v>2026012447</v>
      </c>
      <c r="D561" s="11" t="s">
        <v>2911</v>
      </c>
      <c r="E561" s="11" t="s">
        <v>365</v>
      </c>
      <c r="F561" s="11">
        <v>5074</v>
      </c>
      <c r="G561" s="11" t="s">
        <v>1705</v>
      </c>
      <c r="H561" s="11" t="s">
        <v>1077</v>
      </c>
      <c r="I561" s="11" t="s">
        <v>2912</v>
      </c>
      <c r="J561" s="11" t="s">
        <v>483</v>
      </c>
      <c r="K561" s="11" t="s">
        <v>200</v>
      </c>
      <c r="L561" s="11" t="s">
        <v>447</v>
      </c>
      <c r="M561" s="12" t="s">
        <v>448</v>
      </c>
      <c r="N561" s="11" t="s">
        <v>449</v>
      </c>
      <c r="O561" s="12" t="s">
        <v>450</v>
      </c>
      <c r="P561" s="13" t="s">
        <v>2913</v>
      </c>
      <c r="Q561" s="11" t="s">
        <v>1706</v>
      </c>
      <c r="R561" s="11" t="s">
        <v>326</v>
      </c>
      <c r="S561" s="11" t="s">
        <v>123</v>
      </c>
      <c r="T561" s="11">
        <v>1</v>
      </c>
      <c r="U561" s="11" t="s">
        <v>327</v>
      </c>
      <c r="V561" s="11" t="s">
        <v>2914</v>
      </c>
      <c r="W561" s="11" t="s">
        <v>2915</v>
      </c>
      <c r="X561" s="367">
        <v>46041.458333333343</v>
      </c>
      <c r="Y561" s="11" t="s">
        <v>2909</v>
      </c>
      <c r="Z561" s="11">
        <v>1</v>
      </c>
      <c r="AA561" s="11"/>
      <c r="AB561" s="11" t="s">
        <v>330</v>
      </c>
      <c r="AC561" s="212" t="s">
        <v>2916</v>
      </c>
      <c r="AD561" s="11"/>
      <c r="AE561" s="11"/>
      <c r="AF561" s="11"/>
      <c r="AG561" s="11"/>
      <c r="AH561" s="11"/>
      <c r="AI561" s="11"/>
      <c r="AJ561" s="11"/>
      <c r="AK561" s="11" t="s">
        <v>332</v>
      </c>
      <c r="AL561" s="213">
        <f t="shared" si="16"/>
        <v>46040</v>
      </c>
      <c r="AM561" s="211">
        <f t="shared" si="17"/>
        <v>46041</v>
      </c>
    </row>
    <row r="562" spans="1:39" ht="21.6" customHeight="1">
      <c r="A562" s="11">
        <v>137</v>
      </c>
      <c r="B562" s="11" t="s">
        <v>322</v>
      </c>
      <c r="C562" s="11">
        <v>2026012468</v>
      </c>
      <c r="D562" s="11"/>
      <c r="E562" s="11"/>
      <c r="F562" s="11">
        <v>2911</v>
      </c>
      <c r="G562" s="11" t="s">
        <v>2917</v>
      </c>
      <c r="H562" s="11" t="s">
        <v>2337</v>
      </c>
      <c r="I562" s="11"/>
      <c r="J562" s="11"/>
      <c r="K562" s="11"/>
      <c r="L562" s="11"/>
      <c r="M562" s="12"/>
      <c r="N562" s="11"/>
      <c r="O562" s="12"/>
      <c r="P562" s="13"/>
      <c r="Q562" s="11" t="s">
        <v>2918</v>
      </c>
      <c r="R562" s="11" t="s">
        <v>326</v>
      </c>
      <c r="S562" s="11" t="s">
        <v>133</v>
      </c>
      <c r="T562" s="11">
        <v>1</v>
      </c>
      <c r="U562" s="11" t="s">
        <v>327</v>
      </c>
      <c r="V562" s="11" t="s">
        <v>2919</v>
      </c>
      <c r="W562" s="11" t="s">
        <v>2920</v>
      </c>
      <c r="X562" s="367">
        <v>46041.399305555547</v>
      </c>
      <c r="Y562" s="11"/>
      <c r="Z562" s="11">
        <v>0.3</v>
      </c>
      <c r="AA562" s="11"/>
      <c r="AB562" s="11" t="s">
        <v>330</v>
      </c>
      <c r="AC562" s="212" t="s">
        <v>2921</v>
      </c>
      <c r="AD562" s="11" t="s">
        <v>332</v>
      </c>
      <c r="AE562" s="11"/>
      <c r="AF562" s="11"/>
      <c r="AG562" s="11"/>
      <c r="AH562" s="11"/>
      <c r="AI562" s="11"/>
      <c r="AJ562" s="11" t="s">
        <v>332</v>
      </c>
      <c r="AK562" s="11" t="s">
        <v>332</v>
      </c>
      <c r="AL562" s="213" t="e">
        <f t="shared" si="16"/>
        <v>#VALUE!</v>
      </c>
      <c r="AM562" s="211">
        <f t="shared" si="17"/>
        <v>46041</v>
      </c>
    </row>
    <row r="563" spans="1:39" ht="21.6" customHeight="1">
      <c r="A563" s="11">
        <v>138</v>
      </c>
      <c r="B563" s="11" t="s">
        <v>322</v>
      </c>
      <c r="C563" s="11">
        <v>2026012487</v>
      </c>
      <c r="D563" s="11"/>
      <c r="E563" s="11"/>
      <c r="F563" s="11">
        <v>4536</v>
      </c>
      <c r="G563" s="11" t="s">
        <v>2922</v>
      </c>
      <c r="H563" s="11" t="s">
        <v>2337</v>
      </c>
      <c r="I563" s="11"/>
      <c r="J563" s="11"/>
      <c r="K563" s="11"/>
      <c r="L563" s="11"/>
      <c r="M563" s="12"/>
      <c r="N563" s="11"/>
      <c r="O563" s="12"/>
      <c r="P563" s="13"/>
      <c r="Q563" s="11" t="s">
        <v>2923</v>
      </c>
      <c r="R563" s="11" t="s">
        <v>326</v>
      </c>
      <c r="S563" s="11" t="s">
        <v>133</v>
      </c>
      <c r="T563" s="11">
        <v>1</v>
      </c>
      <c r="U563" s="11" t="s">
        <v>327</v>
      </c>
      <c r="V563" s="11" t="s">
        <v>2924</v>
      </c>
      <c r="W563" s="11" t="s">
        <v>2925</v>
      </c>
      <c r="X563" s="367">
        <v>46041.418749999997</v>
      </c>
      <c r="Y563" s="11"/>
      <c r="Z563" s="11">
        <v>0.3</v>
      </c>
      <c r="AA563" s="11"/>
      <c r="AB563" s="11" t="s">
        <v>330</v>
      </c>
      <c r="AC563" s="212" t="s">
        <v>2926</v>
      </c>
      <c r="AD563" s="11" t="s">
        <v>332</v>
      </c>
      <c r="AE563" s="11"/>
      <c r="AF563" s="11"/>
      <c r="AG563" s="11"/>
      <c r="AH563" s="11"/>
      <c r="AI563" s="11"/>
      <c r="AJ563" s="11" t="s">
        <v>332</v>
      </c>
      <c r="AK563" s="11" t="s">
        <v>332</v>
      </c>
      <c r="AL563" s="213" t="e">
        <f t="shared" si="16"/>
        <v>#VALUE!</v>
      </c>
      <c r="AM563" s="211">
        <f t="shared" si="17"/>
        <v>46041</v>
      </c>
    </row>
    <row r="564" spans="1:39" ht="21.6" customHeight="1">
      <c r="A564" s="11">
        <v>139</v>
      </c>
      <c r="B564" s="11" t="s">
        <v>322</v>
      </c>
      <c r="C564" s="11">
        <v>2026012502</v>
      </c>
      <c r="D564" s="11"/>
      <c r="E564" s="11"/>
      <c r="F564" s="11">
        <v>4573</v>
      </c>
      <c r="G564" s="11" t="s">
        <v>2927</v>
      </c>
      <c r="H564" s="11" t="s">
        <v>2337</v>
      </c>
      <c r="I564" s="11"/>
      <c r="J564" s="11"/>
      <c r="K564" s="11"/>
      <c r="L564" s="11"/>
      <c r="M564" s="12"/>
      <c r="N564" s="11"/>
      <c r="O564" s="12"/>
      <c r="P564" s="13"/>
      <c r="Q564" s="11" t="s">
        <v>2928</v>
      </c>
      <c r="R564" s="11" t="s">
        <v>326</v>
      </c>
      <c r="S564" s="11" t="s">
        <v>133</v>
      </c>
      <c r="T564" s="11">
        <v>1</v>
      </c>
      <c r="U564" s="11" t="s">
        <v>327</v>
      </c>
      <c r="V564" s="11" t="s">
        <v>2929</v>
      </c>
      <c r="W564" s="11" t="s">
        <v>2930</v>
      </c>
      <c r="X564" s="367">
        <v>46041.442361111112</v>
      </c>
      <c r="Y564" s="11"/>
      <c r="Z564" s="11">
        <v>0.4</v>
      </c>
      <c r="AA564" s="11"/>
      <c r="AB564" s="11" t="s">
        <v>330</v>
      </c>
      <c r="AC564" s="212" t="s">
        <v>2931</v>
      </c>
      <c r="AD564" s="11" t="s">
        <v>332</v>
      </c>
      <c r="AE564" s="11"/>
      <c r="AF564" s="11"/>
      <c r="AG564" s="11"/>
      <c r="AH564" s="11"/>
      <c r="AI564" s="11"/>
      <c r="AJ564" s="11" t="s">
        <v>332</v>
      </c>
      <c r="AK564" s="11" t="s">
        <v>332</v>
      </c>
      <c r="AL564" s="213" t="e">
        <f t="shared" si="16"/>
        <v>#VALUE!</v>
      </c>
      <c r="AM564" s="211">
        <f t="shared" si="17"/>
        <v>46041</v>
      </c>
    </row>
    <row r="565" spans="1:39" ht="21.6" customHeight="1">
      <c r="A565" s="11">
        <v>140</v>
      </c>
      <c r="B565" s="11" t="s">
        <v>363</v>
      </c>
      <c r="C565" s="11">
        <v>2026012505</v>
      </c>
      <c r="D565" s="11" t="s">
        <v>2932</v>
      </c>
      <c r="E565" s="11" t="s">
        <v>365</v>
      </c>
      <c r="F565" s="11">
        <v>2303</v>
      </c>
      <c r="G565" s="11" t="s">
        <v>1597</v>
      </c>
      <c r="H565" s="11" t="s">
        <v>358</v>
      </c>
      <c r="I565" s="11" t="s">
        <v>2933</v>
      </c>
      <c r="J565" s="11" t="s">
        <v>492</v>
      </c>
      <c r="K565" s="11" t="s">
        <v>446</v>
      </c>
      <c r="L565" s="11" t="s">
        <v>369</v>
      </c>
      <c r="M565" s="12" t="s">
        <v>370</v>
      </c>
      <c r="N565" s="11">
        <v>2305</v>
      </c>
      <c r="O565" s="12" t="s">
        <v>410</v>
      </c>
      <c r="P565" s="13" t="s">
        <v>2934</v>
      </c>
      <c r="Q565" s="11" t="s">
        <v>1598</v>
      </c>
      <c r="R565" s="11" t="s">
        <v>326</v>
      </c>
      <c r="S565" s="11" t="s">
        <v>133</v>
      </c>
      <c r="T565" s="11">
        <v>1</v>
      </c>
      <c r="U565" s="11" t="s">
        <v>327</v>
      </c>
      <c r="V565" s="11" t="s">
        <v>2935</v>
      </c>
      <c r="W565" s="11" t="s">
        <v>2936</v>
      </c>
      <c r="X565" s="367">
        <v>46041.642361111109</v>
      </c>
      <c r="Y565" s="11" t="s">
        <v>2937</v>
      </c>
      <c r="Z565" s="11">
        <v>0.4</v>
      </c>
      <c r="AA565" s="11"/>
      <c r="AB565" s="11" t="s">
        <v>330</v>
      </c>
      <c r="AC565" s="212" t="s">
        <v>2938</v>
      </c>
      <c r="AD565" s="11"/>
      <c r="AE565" s="11"/>
      <c r="AF565" s="11"/>
      <c r="AG565" s="11"/>
      <c r="AH565" s="11"/>
      <c r="AI565" s="11"/>
      <c r="AJ565" s="11"/>
      <c r="AK565" s="11" t="s">
        <v>332</v>
      </c>
      <c r="AL565" s="213">
        <f t="shared" si="16"/>
        <v>46041</v>
      </c>
      <c r="AM565" s="211">
        <f t="shared" si="17"/>
        <v>46041</v>
      </c>
    </row>
    <row r="566" spans="1:39" ht="21.6" customHeight="1">
      <c r="A566" s="11">
        <v>141</v>
      </c>
      <c r="B566" s="11" t="s">
        <v>322</v>
      </c>
      <c r="C566" s="11">
        <v>2026012506</v>
      </c>
      <c r="D566" s="11"/>
      <c r="E566" s="11"/>
      <c r="F566" s="11" t="s">
        <v>52</v>
      </c>
      <c r="G566" s="11" t="s">
        <v>2939</v>
      </c>
      <c r="H566" s="11" t="s">
        <v>2337</v>
      </c>
      <c r="I566" s="11"/>
      <c r="J566" s="11"/>
      <c r="K566" s="11"/>
      <c r="L566" s="11"/>
      <c r="M566" s="12"/>
      <c r="N566" s="11"/>
      <c r="O566" s="12"/>
      <c r="P566" s="13"/>
      <c r="Q566" s="11" t="s">
        <v>2940</v>
      </c>
      <c r="R566" s="11" t="s">
        <v>326</v>
      </c>
      <c r="S566" s="11" t="s">
        <v>133</v>
      </c>
      <c r="T566" s="11">
        <v>1</v>
      </c>
      <c r="U566" s="11" t="s">
        <v>327</v>
      </c>
      <c r="V566" s="11" t="s">
        <v>2941</v>
      </c>
      <c r="W566" s="11" t="s">
        <v>2942</v>
      </c>
      <c r="X566" s="367">
        <v>46041.465277777781</v>
      </c>
      <c r="Y566" s="11"/>
      <c r="Z566" s="11">
        <v>0.4</v>
      </c>
      <c r="AA566" s="11"/>
      <c r="AB566" s="11" t="s">
        <v>330</v>
      </c>
      <c r="AC566" s="212" t="s">
        <v>2943</v>
      </c>
      <c r="AD566" s="11" t="s">
        <v>332</v>
      </c>
      <c r="AE566" s="11"/>
      <c r="AF566" s="11"/>
      <c r="AG566" s="11"/>
      <c r="AH566" s="11"/>
      <c r="AI566" s="11"/>
      <c r="AJ566" s="11" t="s">
        <v>332</v>
      </c>
      <c r="AK566" s="11" t="s">
        <v>332</v>
      </c>
      <c r="AL566" s="213" t="e">
        <f t="shared" si="16"/>
        <v>#VALUE!</v>
      </c>
      <c r="AM566" s="211">
        <f t="shared" si="17"/>
        <v>46041</v>
      </c>
    </row>
    <row r="567" spans="1:39" ht="21.6" customHeight="1">
      <c r="A567" s="11">
        <v>142</v>
      </c>
      <c r="B567" s="11" t="s">
        <v>322</v>
      </c>
      <c r="C567" s="11">
        <v>2026012512</v>
      </c>
      <c r="D567" s="11"/>
      <c r="E567" s="11"/>
      <c r="F567" s="11">
        <v>5401</v>
      </c>
      <c r="G567" s="11" t="s">
        <v>2944</v>
      </c>
      <c r="H567" s="11" t="s">
        <v>2337</v>
      </c>
      <c r="I567" s="11"/>
      <c r="J567" s="11"/>
      <c r="K567" s="11"/>
      <c r="L567" s="11"/>
      <c r="M567" s="12"/>
      <c r="N567" s="11"/>
      <c r="O567" s="12"/>
      <c r="P567" s="13"/>
      <c r="Q567" s="11" t="s">
        <v>2945</v>
      </c>
      <c r="R567" s="11" t="s">
        <v>326</v>
      </c>
      <c r="S567" s="11" t="s">
        <v>133</v>
      </c>
      <c r="T567" s="11">
        <v>1</v>
      </c>
      <c r="U567" s="11" t="s">
        <v>327</v>
      </c>
      <c r="V567" s="11" t="s">
        <v>2946</v>
      </c>
      <c r="W567" s="11" t="s">
        <v>2947</v>
      </c>
      <c r="X567" s="367">
        <v>46041.486805555563</v>
      </c>
      <c r="Y567" s="11"/>
      <c r="Z567" s="11">
        <v>0.3</v>
      </c>
      <c r="AA567" s="11"/>
      <c r="AB567" s="11" t="s">
        <v>330</v>
      </c>
      <c r="AC567" s="212" t="s">
        <v>2948</v>
      </c>
      <c r="AD567" s="11" t="s">
        <v>332</v>
      </c>
      <c r="AE567" s="11"/>
      <c r="AF567" s="11"/>
      <c r="AG567" s="11"/>
      <c r="AH567" s="11"/>
      <c r="AI567" s="11"/>
      <c r="AJ567" s="11" t="s">
        <v>332</v>
      </c>
      <c r="AK567" s="11" t="s">
        <v>332</v>
      </c>
      <c r="AL567" s="213" t="e">
        <f t="shared" si="16"/>
        <v>#VALUE!</v>
      </c>
      <c r="AM567" s="211">
        <f t="shared" si="17"/>
        <v>46041</v>
      </c>
    </row>
    <row r="568" spans="1:39" ht="21.6" customHeight="1">
      <c r="A568" s="11">
        <v>143</v>
      </c>
      <c r="B568" s="11" t="s">
        <v>322</v>
      </c>
      <c r="C568" s="11">
        <v>2026012518</v>
      </c>
      <c r="D568" s="11"/>
      <c r="E568" s="11"/>
      <c r="F568" s="11">
        <v>4770</v>
      </c>
      <c r="G568" s="11" t="s">
        <v>2949</v>
      </c>
      <c r="H568" s="11" t="s">
        <v>2337</v>
      </c>
      <c r="I568" s="11"/>
      <c r="J568" s="11"/>
      <c r="K568" s="11"/>
      <c r="L568" s="11"/>
      <c r="M568" s="12"/>
      <c r="N568" s="11"/>
      <c r="O568" s="12"/>
      <c r="P568" s="13"/>
      <c r="Q568" s="11" t="s">
        <v>2950</v>
      </c>
      <c r="R568" s="11" t="s">
        <v>326</v>
      </c>
      <c r="S568" s="11" t="s">
        <v>133</v>
      </c>
      <c r="T568" s="11">
        <v>1</v>
      </c>
      <c r="U568" s="11" t="s">
        <v>327</v>
      </c>
      <c r="V568" s="11" t="s">
        <v>2951</v>
      </c>
      <c r="W568" s="11" t="s">
        <v>2952</v>
      </c>
      <c r="X568" s="367">
        <v>46041.51458333333</v>
      </c>
      <c r="Y568" s="11"/>
      <c r="Z568" s="11">
        <v>0.4</v>
      </c>
      <c r="AA568" s="11"/>
      <c r="AB568" s="11" t="s">
        <v>330</v>
      </c>
      <c r="AC568" s="212" t="s">
        <v>100</v>
      </c>
      <c r="AD568" s="11" t="s">
        <v>332</v>
      </c>
      <c r="AE568" s="11"/>
      <c r="AF568" s="11"/>
      <c r="AG568" s="11"/>
      <c r="AH568" s="11"/>
      <c r="AI568" s="11"/>
      <c r="AJ568" s="11" t="s">
        <v>332</v>
      </c>
      <c r="AK568" s="11" t="s">
        <v>332</v>
      </c>
      <c r="AL568" s="213" t="e">
        <f t="shared" si="16"/>
        <v>#VALUE!</v>
      </c>
      <c r="AM568" s="211">
        <f t="shared" si="17"/>
        <v>46041</v>
      </c>
    </row>
    <row r="569" spans="1:39" ht="21.6" customHeight="1">
      <c r="A569" s="11">
        <v>144</v>
      </c>
      <c r="B569" s="11" t="s">
        <v>322</v>
      </c>
      <c r="C569" s="11">
        <v>2026012527</v>
      </c>
      <c r="D569" s="11"/>
      <c r="E569" s="11"/>
      <c r="F569" s="11">
        <v>4153</v>
      </c>
      <c r="G569" s="11" t="s">
        <v>583</v>
      </c>
      <c r="H569" s="11" t="s">
        <v>567</v>
      </c>
      <c r="I569" s="11"/>
      <c r="J569" s="11"/>
      <c r="K569" s="11"/>
      <c r="L569" s="11"/>
      <c r="M569" s="12"/>
      <c r="N569" s="11"/>
      <c r="O569" s="12"/>
      <c r="P569" s="13"/>
      <c r="Q569" s="11" t="s">
        <v>584</v>
      </c>
      <c r="R569" s="11" t="s">
        <v>326</v>
      </c>
      <c r="S569" s="11" t="s">
        <v>123</v>
      </c>
      <c r="T569" s="11">
        <v>1</v>
      </c>
      <c r="U569" s="11" t="s">
        <v>327</v>
      </c>
      <c r="V569" s="11" t="s">
        <v>2953</v>
      </c>
      <c r="W569" s="11" t="s">
        <v>2954</v>
      </c>
      <c r="X569" s="367">
        <v>46041.541666666657</v>
      </c>
      <c r="Y569" s="11"/>
      <c r="Z569" s="11">
        <v>0.3</v>
      </c>
      <c r="AA569" s="11"/>
      <c r="AB569" s="11" t="s">
        <v>330</v>
      </c>
      <c r="AC569" s="212" t="s">
        <v>2955</v>
      </c>
      <c r="AD569" s="11" t="s">
        <v>332</v>
      </c>
      <c r="AE569" s="11"/>
      <c r="AF569" s="11"/>
      <c r="AG569" s="11"/>
      <c r="AH569" s="11"/>
      <c r="AI569" s="11"/>
      <c r="AJ569" s="11"/>
      <c r="AK569" s="11" t="s">
        <v>332</v>
      </c>
      <c r="AL569" s="213" t="e">
        <f t="shared" si="16"/>
        <v>#VALUE!</v>
      </c>
      <c r="AM569" s="211">
        <f t="shared" si="17"/>
        <v>46041</v>
      </c>
    </row>
    <row r="570" spans="1:39" ht="21.6" customHeight="1">
      <c r="A570" s="11">
        <v>145</v>
      </c>
      <c r="B570" s="11" t="s">
        <v>322</v>
      </c>
      <c r="C570" s="11">
        <v>2026012538</v>
      </c>
      <c r="D570" s="11"/>
      <c r="E570" s="11"/>
      <c r="F570" s="11">
        <v>2749</v>
      </c>
      <c r="G570" s="11" t="s">
        <v>2024</v>
      </c>
      <c r="H570" s="11" t="s">
        <v>567</v>
      </c>
      <c r="I570" s="11"/>
      <c r="J570" s="11"/>
      <c r="K570" s="11"/>
      <c r="L570" s="11"/>
      <c r="M570" s="12"/>
      <c r="N570" s="11"/>
      <c r="O570" s="12"/>
      <c r="P570" s="13"/>
      <c r="Q570" s="11" t="s">
        <v>2025</v>
      </c>
      <c r="R570" s="11" t="s">
        <v>326</v>
      </c>
      <c r="S570" s="11" t="s">
        <v>123</v>
      </c>
      <c r="T570" s="11">
        <v>1</v>
      </c>
      <c r="U570" s="11" t="s">
        <v>327</v>
      </c>
      <c r="V570" s="11" t="s">
        <v>2956</v>
      </c>
      <c r="W570" s="11" t="s">
        <v>2957</v>
      </c>
      <c r="X570" s="367">
        <v>46041.590277777781</v>
      </c>
      <c r="Y570" s="11"/>
      <c r="Z570" s="11">
        <v>0.7</v>
      </c>
      <c r="AA570" s="11"/>
      <c r="AB570" s="11" t="s">
        <v>330</v>
      </c>
      <c r="AC570" s="212" t="s">
        <v>2958</v>
      </c>
      <c r="AD570" s="11" t="s">
        <v>332</v>
      </c>
      <c r="AE570" s="11"/>
      <c r="AF570" s="11"/>
      <c r="AG570" s="11"/>
      <c r="AH570" s="11"/>
      <c r="AI570" s="11"/>
      <c r="AJ570" s="11"/>
      <c r="AK570" s="11" t="s">
        <v>332</v>
      </c>
      <c r="AL570" s="213" t="e">
        <f t="shared" si="16"/>
        <v>#VALUE!</v>
      </c>
      <c r="AM570" s="211">
        <f t="shared" si="17"/>
        <v>46041</v>
      </c>
    </row>
    <row r="571" spans="1:39" ht="21.6" customHeight="1">
      <c r="A571" s="11">
        <v>146</v>
      </c>
      <c r="B571" s="11" t="s">
        <v>322</v>
      </c>
      <c r="C571" s="11">
        <v>2026012547</v>
      </c>
      <c r="D571" s="11"/>
      <c r="E571" s="11"/>
      <c r="F571" s="11">
        <v>2237</v>
      </c>
      <c r="G571" s="11" t="s">
        <v>151</v>
      </c>
      <c r="H571" s="11" t="s">
        <v>1429</v>
      </c>
      <c r="I571" s="11"/>
      <c r="J571" s="11"/>
      <c r="K571" s="11"/>
      <c r="L571" s="11"/>
      <c r="M571" s="12"/>
      <c r="N571" s="11"/>
      <c r="O571" s="12"/>
      <c r="P571" s="13"/>
      <c r="Q571" s="11" t="s">
        <v>1448</v>
      </c>
      <c r="R571" s="11" t="s">
        <v>326</v>
      </c>
      <c r="S571" s="11" t="s">
        <v>123</v>
      </c>
      <c r="T571" s="11">
        <v>1</v>
      </c>
      <c r="U571" s="11" t="s">
        <v>327</v>
      </c>
      <c r="V571" s="11" t="s">
        <v>2959</v>
      </c>
      <c r="W571" s="11" t="s">
        <v>2960</v>
      </c>
      <c r="X571" s="367">
        <v>46041.611111111109</v>
      </c>
      <c r="Y571" s="11"/>
      <c r="Z571" s="11">
        <v>0.3</v>
      </c>
      <c r="AA571" s="11"/>
      <c r="AB571" s="11" t="s">
        <v>330</v>
      </c>
      <c r="AC571" s="212" t="s">
        <v>2961</v>
      </c>
      <c r="AD571" s="11" t="s">
        <v>332</v>
      </c>
      <c r="AE571" s="11"/>
      <c r="AF571" s="11"/>
      <c r="AG571" s="11"/>
      <c r="AH571" s="11"/>
      <c r="AI571" s="11"/>
      <c r="AJ571" s="11"/>
      <c r="AK571" s="11" t="s">
        <v>332</v>
      </c>
      <c r="AL571" s="213" t="e">
        <f t="shared" si="16"/>
        <v>#VALUE!</v>
      </c>
      <c r="AM571" s="211">
        <f t="shared" si="17"/>
        <v>46041</v>
      </c>
    </row>
    <row r="572" spans="1:39" ht="21.6" customHeight="1">
      <c r="A572" s="11">
        <v>147</v>
      </c>
      <c r="B572" s="11" t="s">
        <v>322</v>
      </c>
      <c r="C572" s="11">
        <v>2026012557</v>
      </c>
      <c r="D572" s="11"/>
      <c r="E572" s="11"/>
      <c r="F572" s="11">
        <v>4844</v>
      </c>
      <c r="G572" s="11" t="s">
        <v>2037</v>
      </c>
      <c r="H572" s="11" t="s">
        <v>1429</v>
      </c>
      <c r="I572" s="11"/>
      <c r="J572" s="11"/>
      <c r="K572" s="11"/>
      <c r="L572" s="11"/>
      <c r="M572" s="12"/>
      <c r="N572" s="11"/>
      <c r="O572" s="12"/>
      <c r="P572" s="13"/>
      <c r="Q572" s="11" t="s">
        <v>2038</v>
      </c>
      <c r="R572" s="11" t="s">
        <v>326</v>
      </c>
      <c r="S572" s="11" t="s">
        <v>123</v>
      </c>
      <c r="T572" s="11">
        <v>1</v>
      </c>
      <c r="U572" s="11" t="s">
        <v>327</v>
      </c>
      <c r="V572" s="11" t="s">
        <v>2962</v>
      </c>
      <c r="W572" s="11" t="s">
        <v>2963</v>
      </c>
      <c r="X572" s="367">
        <v>46041.645833333343</v>
      </c>
      <c r="Y572" s="11"/>
      <c r="Z572" s="11">
        <v>0.3</v>
      </c>
      <c r="AA572" s="11"/>
      <c r="AB572" s="11" t="s">
        <v>330</v>
      </c>
      <c r="AC572" s="212" t="s">
        <v>2964</v>
      </c>
      <c r="AD572" s="11" t="s">
        <v>332</v>
      </c>
      <c r="AE572" s="11"/>
      <c r="AF572" s="11"/>
      <c r="AG572" s="11"/>
      <c r="AH572" s="11"/>
      <c r="AI572" s="11"/>
      <c r="AJ572" s="11"/>
      <c r="AK572" s="11" t="s">
        <v>332</v>
      </c>
      <c r="AL572" s="213" t="e">
        <f t="shared" si="16"/>
        <v>#VALUE!</v>
      </c>
      <c r="AM572" s="211">
        <f t="shared" si="17"/>
        <v>46041</v>
      </c>
    </row>
    <row r="573" spans="1:39" ht="21.6" customHeight="1">
      <c r="A573" s="11">
        <v>148</v>
      </c>
      <c r="B573" s="11" t="s">
        <v>322</v>
      </c>
      <c r="C573" s="11">
        <v>2026012570</v>
      </c>
      <c r="D573" s="11"/>
      <c r="E573" s="11"/>
      <c r="F573" s="11">
        <v>5080</v>
      </c>
      <c r="G573" s="11" t="s">
        <v>201</v>
      </c>
      <c r="H573" s="11" t="s">
        <v>1429</v>
      </c>
      <c r="I573" s="11"/>
      <c r="J573" s="11"/>
      <c r="K573" s="11"/>
      <c r="L573" s="11"/>
      <c r="M573" s="12"/>
      <c r="N573" s="11"/>
      <c r="O573" s="12"/>
      <c r="P573" s="13"/>
      <c r="Q573" s="11" t="s">
        <v>1430</v>
      </c>
      <c r="R573" s="11" t="s">
        <v>326</v>
      </c>
      <c r="S573" s="11" t="s">
        <v>123</v>
      </c>
      <c r="T573" s="11">
        <v>1</v>
      </c>
      <c r="U573" s="11" t="s">
        <v>327</v>
      </c>
      <c r="V573" s="11" t="s">
        <v>2965</v>
      </c>
      <c r="W573" s="11" t="s">
        <v>2901</v>
      </c>
      <c r="X573" s="367">
        <v>46041.680555555547</v>
      </c>
      <c r="Y573" s="11"/>
      <c r="Z573" s="11">
        <v>0.3</v>
      </c>
      <c r="AA573" s="11"/>
      <c r="AB573" s="11" t="s">
        <v>330</v>
      </c>
      <c r="AC573" s="212" t="s">
        <v>2966</v>
      </c>
      <c r="AD573" s="11" t="s">
        <v>332</v>
      </c>
      <c r="AE573" s="11"/>
      <c r="AF573" s="11"/>
      <c r="AG573" s="11"/>
      <c r="AH573" s="11"/>
      <c r="AI573" s="11"/>
      <c r="AJ573" s="11"/>
      <c r="AK573" s="11" t="s">
        <v>332</v>
      </c>
      <c r="AL573" s="213" t="e">
        <f t="shared" si="16"/>
        <v>#VALUE!</v>
      </c>
      <c r="AM573" s="211">
        <f t="shared" si="17"/>
        <v>46041</v>
      </c>
    </row>
    <row r="574" spans="1:39" ht="21.6" customHeight="1">
      <c r="A574" s="11">
        <v>149</v>
      </c>
      <c r="B574" s="11" t="s">
        <v>322</v>
      </c>
      <c r="C574" s="11">
        <v>2026012586</v>
      </c>
      <c r="D574" s="11"/>
      <c r="E574" s="11"/>
      <c r="F574" s="11">
        <v>4739</v>
      </c>
      <c r="G574" s="11" t="s">
        <v>2043</v>
      </c>
      <c r="H574" s="11" t="s">
        <v>567</v>
      </c>
      <c r="I574" s="11"/>
      <c r="J574" s="11"/>
      <c r="K574" s="11"/>
      <c r="L574" s="11"/>
      <c r="M574" s="12"/>
      <c r="N574" s="11"/>
      <c r="O574" s="12"/>
      <c r="P574" s="13"/>
      <c r="Q574" s="11" t="s">
        <v>2044</v>
      </c>
      <c r="R574" s="11" t="s">
        <v>326</v>
      </c>
      <c r="S574" s="11" t="s">
        <v>123</v>
      </c>
      <c r="T574" s="11">
        <v>1</v>
      </c>
      <c r="U574" s="11" t="s">
        <v>327</v>
      </c>
      <c r="V574" s="11" t="s">
        <v>2967</v>
      </c>
      <c r="W574" s="11" t="s">
        <v>2968</v>
      </c>
      <c r="X574" s="367">
        <v>46041.702777777777</v>
      </c>
      <c r="Y574" s="11"/>
      <c r="Z574" s="11">
        <v>0.4</v>
      </c>
      <c r="AA574" s="11"/>
      <c r="AB574" s="11" t="s">
        <v>330</v>
      </c>
      <c r="AC574" s="212" t="s">
        <v>2969</v>
      </c>
      <c r="AD574" s="11" t="s">
        <v>332</v>
      </c>
      <c r="AE574" s="11"/>
      <c r="AF574" s="11"/>
      <c r="AG574" s="11"/>
      <c r="AH574" s="11"/>
      <c r="AI574" s="11"/>
      <c r="AJ574" s="11"/>
      <c r="AK574" s="11" t="s">
        <v>332</v>
      </c>
      <c r="AL574" s="213" t="e">
        <f t="shared" si="16"/>
        <v>#VALUE!</v>
      </c>
      <c r="AM574" s="211">
        <f t="shared" si="17"/>
        <v>46041</v>
      </c>
    </row>
    <row r="575" spans="1:39" ht="21.6" customHeight="1">
      <c r="A575" s="11">
        <v>146</v>
      </c>
      <c r="B575" s="11" t="s">
        <v>363</v>
      </c>
      <c r="C575" s="11">
        <v>2026012544</v>
      </c>
      <c r="D575" s="11" t="s">
        <v>2970</v>
      </c>
      <c r="E575" s="11" t="s">
        <v>365</v>
      </c>
      <c r="F575" s="11" t="s">
        <v>53</v>
      </c>
      <c r="G575" s="11" t="s">
        <v>439</v>
      </c>
      <c r="H575" s="11" t="s">
        <v>358</v>
      </c>
      <c r="I575" s="11" t="s">
        <v>2971</v>
      </c>
      <c r="J575" s="11" t="s">
        <v>492</v>
      </c>
      <c r="K575" s="11" t="s">
        <v>200</v>
      </c>
      <c r="L575" s="11" t="s">
        <v>1120</v>
      </c>
      <c r="M575" s="12" t="s">
        <v>1121</v>
      </c>
      <c r="N575" s="11">
        <v>5901</v>
      </c>
      <c r="O575" s="12" t="s">
        <v>1129</v>
      </c>
      <c r="P575" s="13" t="s">
        <v>2972</v>
      </c>
      <c r="Q575" s="11" t="s">
        <v>440</v>
      </c>
      <c r="R575" s="11" t="s">
        <v>326</v>
      </c>
      <c r="S575" s="11" t="s">
        <v>133</v>
      </c>
      <c r="T575" s="11">
        <v>1</v>
      </c>
      <c r="U575" s="11" t="s">
        <v>327</v>
      </c>
      <c r="V575" s="11" t="s">
        <v>2973</v>
      </c>
      <c r="W575" s="11" t="s">
        <v>2974</v>
      </c>
      <c r="X575" s="367">
        <v>46042.59375</v>
      </c>
      <c r="Y575" s="11" t="s">
        <v>2975</v>
      </c>
      <c r="Z575" s="11">
        <v>0.3</v>
      </c>
      <c r="AA575" s="11"/>
      <c r="AB575" s="11" t="s">
        <v>330</v>
      </c>
      <c r="AC575" s="212" t="s">
        <v>2976</v>
      </c>
      <c r="AD575" s="11"/>
      <c r="AE575" s="11"/>
      <c r="AF575" s="11"/>
      <c r="AG575" s="11"/>
      <c r="AH575" s="11"/>
      <c r="AI575" s="11"/>
      <c r="AJ575" s="11"/>
      <c r="AK575" s="11" t="s">
        <v>332</v>
      </c>
      <c r="AL575" s="213">
        <f t="shared" si="16"/>
        <v>46041</v>
      </c>
      <c r="AM575" s="211">
        <f t="shared" si="17"/>
        <v>46042</v>
      </c>
    </row>
    <row r="576" spans="1:39" ht="21.6" customHeight="1">
      <c r="A576" s="11">
        <v>151</v>
      </c>
      <c r="B576" s="11" t="s">
        <v>363</v>
      </c>
      <c r="C576" s="11">
        <v>2026012616</v>
      </c>
      <c r="D576" s="11" t="s">
        <v>2977</v>
      </c>
      <c r="E576" s="11" t="s">
        <v>365</v>
      </c>
      <c r="F576" s="11">
        <v>2209</v>
      </c>
      <c r="G576" s="11" t="s">
        <v>1972</v>
      </c>
      <c r="H576" s="11" t="s">
        <v>358</v>
      </c>
      <c r="I576" s="11" t="s">
        <v>2978</v>
      </c>
      <c r="J576" s="11" t="s">
        <v>368</v>
      </c>
      <c r="K576" s="11" t="s">
        <v>446</v>
      </c>
      <c r="L576" s="11" t="s">
        <v>447</v>
      </c>
      <c r="M576" s="12" t="s">
        <v>448</v>
      </c>
      <c r="N576" s="11" t="s">
        <v>449</v>
      </c>
      <c r="O576" s="12" t="s">
        <v>450</v>
      </c>
      <c r="P576" s="13" t="s">
        <v>2979</v>
      </c>
      <c r="Q576" s="11" t="s">
        <v>1973</v>
      </c>
      <c r="R576" s="11" t="s">
        <v>326</v>
      </c>
      <c r="S576" s="11" t="s">
        <v>133</v>
      </c>
      <c r="T576" s="11">
        <v>1</v>
      </c>
      <c r="U576" s="11" t="s">
        <v>327</v>
      </c>
      <c r="V576" s="11" t="s">
        <v>2980</v>
      </c>
      <c r="W576" s="11" t="s">
        <v>2981</v>
      </c>
      <c r="X576" s="367">
        <v>46042.635416666657</v>
      </c>
      <c r="Y576" s="11" t="s">
        <v>2982</v>
      </c>
      <c r="Z576" s="11">
        <v>0.1</v>
      </c>
      <c r="AA576" s="11"/>
      <c r="AB576" s="11" t="s">
        <v>330</v>
      </c>
      <c r="AC576" s="212" t="s">
        <v>2983</v>
      </c>
      <c r="AD576" s="11"/>
      <c r="AE576" s="11"/>
      <c r="AF576" s="11"/>
      <c r="AG576" s="11"/>
      <c r="AH576" s="11"/>
      <c r="AI576" s="11"/>
      <c r="AJ576" s="11"/>
      <c r="AK576" s="11" t="s">
        <v>332</v>
      </c>
      <c r="AL576" s="213">
        <f t="shared" si="16"/>
        <v>46042</v>
      </c>
      <c r="AM576" s="211">
        <f t="shared" si="17"/>
        <v>46042</v>
      </c>
    </row>
    <row r="577" spans="1:39" ht="21.6" customHeight="1">
      <c r="A577" s="11">
        <v>152</v>
      </c>
      <c r="B577" s="11" t="s">
        <v>363</v>
      </c>
      <c r="C577" s="11">
        <v>2026012672</v>
      </c>
      <c r="D577" s="11" t="s">
        <v>2984</v>
      </c>
      <c r="E577" s="11" t="s">
        <v>475</v>
      </c>
      <c r="F577" s="11">
        <v>2014</v>
      </c>
      <c r="G577" s="11" t="s">
        <v>710</v>
      </c>
      <c r="H577" s="11" t="s">
        <v>358</v>
      </c>
      <c r="I577" s="11" t="s">
        <v>2985</v>
      </c>
      <c r="J577" s="11" t="s">
        <v>368</v>
      </c>
      <c r="K577" s="11" t="s">
        <v>446</v>
      </c>
      <c r="L577" s="11" t="s">
        <v>558</v>
      </c>
      <c r="M577" s="12" t="s">
        <v>559</v>
      </c>
      <c r="N577" s="11">
        <v>2401</v>
      </c>
      <c r="O577" s="12" t="s">
        <v>712</v>
      </c>
      <c r="P577" s="13" t="s">
        <v>2986</v>
      </c>
      <c r="Q577" s="11" t="s">
        <v>714</v>
      </c>
      <c r="R577" s="11" t="s">
        <v>326</v>
      </c>
      <c r="S577" s="11" t="s">
        <v>133</v>
      </c>
      <c r="T577" s="11">
        <v>1</v>
      </c>
      <c r="U577" s="11" t="s">
        <v>327</v>
      </c>
      <c r="V577" s="11" t="s">
        <v>2987</v>
      </c>
      <c r="W577" s="11" t="s">
        <v>2988</v>
      </c>
      <c r="X577" s="367">
        <v>46042.513888888891</v>
      </c>
      <c r="Y577" s="11" t="s">
        <v>2989</v>
      </c>
      <c r="Z577" s="11">
        <v>0.3</v>
      </c>
      <c r="AA577" s="11"/>
      <c r="AB577" s="11" t="s">
        <v>330</v>
      </c>
      <c r="AC577" s="212" t="s">
        <v>2990</v>
      </c>
      <c r="AD577" s="11"/>
      <c r="AE577" s="11"/>
      <c r="AF577" s="11"/>
      <c r="AG577" s="11"/>
      <c r="AH577" s="11"/>
      <c r="AI577" s="11"/>
      <c r="AJ577" s="11"/>
      <c r="AK577" s="11" t="s">
        <v>332</v>
      </c>
      <c r="AL577" s="213">
        <f t="shared" si="16"/>
        <v>46042</v>
      </c>
      <c r="AM577" s="211">
        <f t="shared" si="17"/>
        <v>46042</v>
      </c>
    </row>
    <row r="578" spans="1:39" ht="21.6" customHeight="1">
      <c r="A578" s="11">
        <v>153</v>
      </c>
      <c r="B578" s="11" t="s">
        <v>322</v>
      </c>
      <c r="C578" s="11">
        <v>2026012694</v>
      </c>
      <c r="D578" s="11"/>
      <c r="E578" s="11"/>
      <c r="F578" s="11">
        <v>2014</v>
      </c>
      <c r="G578" s="11" t="s">
        <v>710</v>
      </c>
      <c r="H578" s="11" t="s">
        <v>358</v>
      </c>
      <c r="I578" s="11"/>
      <c r="J578" s="11"/>
      <c r="K578" s="11"/>
      <c r="L578" s="11"/>
      <c r="M578" s="12"/>
      <c r="N578" s="11"/>
      <c r="O578" s="12"/>
      <c r="P578" s="13"/>
      <c r="Q578" s="11" t="s">
        <v>714</v>
      </c>
      <c r="R578" s="11" t="s">
        <v>326</v>
      </c>
      <c r="S578" s="11" t="s">
        <v>133</v>
      </c>
      <c r="T578" s="11">
        <v>1</v>
      </c>
      <c r="U578" s="11" t="s">
        <v>327</v>
      </c>
      <c r="V578" s="11" t="s">
        <v>2991</v>
      </c>
      <c r="W578" s="11" t="s">
        <v>2992</v>
      </c>
      <c r="X578" s="367">
        <v>46042.525000000001</v>
      </c>
      <c r="Y578" s="11"/>
      <c r="Z578" s="11">
        <v>0.4</v>
      </c>
      <c r="AA578" s="11"/>
      <c r="AB578" s="11" t="s">
        <v>330</v>
      </c>
      <c r="AC578" s="212" t="s">
        <v>2993</v>
      </c>
      <c r="AD578" s="11" t="s">
        <v>332</v>
      </c>
      <c r="AE578" s="11"/>
      <c r="AF578" s="11"/>
      <c r="AG578" s="11"/>
      <c r="AH578" s="11"/>
      <c r="AI578" s="11"/>
      <c r="AJ578" s="11" t="s">
        <v>332</v>
      </c>
      <c r="AK578" s="11"/>
      <c r="AL578" s="213" t="e">
        <f t="shared" ref="AL578:AL614" si="18">DATEVALUE(TEXT(I578, "yyyy/mm/dd"))</f>
        <v>#VALUE!</v>
      </c>
      <c r="AM578" s="211">
        <f t="shared" ref="AM578:AM614" si="19">DATEVALUE(TEXT(X578, "yyyy/mm/dd"))</f>
        <v>46042</v>
      </c>
    </row>
    <row r="579" spans="1:39" ht="21.6" customHeight="1">
      <c r="A579" s="11">
        <v>154</v>
      </c>
      <c r="B579" s="11" t="s">
        <v>363</v>
      </c>
      <c r="C579" s="11">
        <v>2026012703</v>
      </c>
      <c r="D579" s="11" t="s">
        <v>2994</v>
      </c>
      <c r="E579" s="11" t="s">
        <v>475</v>
      </c>
      <c r="F579" s="11">
        <v>5457</v>
      </c>
      <c r="G579" s="11" t="s">
        <v>197</v>
      </c>
      <c r="H579" s="11" t="s">
        <v>358</v>
      </c>
      <c r="I579" s="11" t="s">
        <v>2995</v>
      </c>
      <c r="J579" s="11" t="s">
        <v>368</v>
      </c>
      <c r="K579" s="11" t="s">
        <v>200</v>
      </c>
      <c r="L579" s="11" t="s">
        <v>558</v>
      </c>
      <c r="M579" s="12" t="s">
        <v>559</v>
      </c>
      <c r="N579" s="11">
        <v>2401</v>
      </c>
      <c r="O579" s="12" t="s">
        <v>712</v>
      </c>
      <c r="P579" s="13" t="s">
        <v>2996</v>
      </c>
      <c r="Q579" s="11" t="s">
        <v>1619</v>
      </c>
      <c r="R579" s="11" t="s">
        <v>326</v>
      </c>
      <c r="S579" s="11" t="s">
        <v>118</v>
      </c>
      <c r="T579" s="11">
        <v>1</v>
      </c>
      <c r="U579" s="11" t="s">
        <v>327</v>
      </c>
      <c r="V579" s="11" t="s">
        <v>2997</v>
      </c>
      <c r="W579" s="11" t="s">
        <v>2998</v>
      </c>
      <c r="X579" s="367">
        <v>46042.576388888891</v>
      </c>
      <c r="Y579" s="11" t="s">
        <v>2999</v>
      </c>
      <c r="Z579" s="11">
        <v>0.5</v>
      </c>
      <c r="AA579" s="11"/>
      <c r="AB579" s="11" t="s">
        <v>330</v>
      </c>
      <c r="AC579" s="212" t="s">
        <v>3000</v>
      </c>
      <c r="AD579" s="11"/>
      <c r="AE579" s="11"/>
      <c r="AF579" s="11"/>
      <c r="AG579" s="11"/>
      <c r="AH579" s="11"/>
      <c r="AI579" s="11"/>
      <c r="AJ579" s="11"/>
      <c r="AK579" s="11" t="s">
        <v>332</v>
      </c>
      <c r="AL579" s="213">
        <f t="shared" si="18"/>
        <v>46042</v>
      </c>
      <c r="AM579" s="211">
        <f t="shared" si="19"/>
        <v>46042</v>
      </c>
    </row>
    <row r="580" spans="1:39" ht="21.6" customHeight="1">
      <c r="A580" s="11">
        <v>155</v>
      </c>
      <c r="B580" s="11" t="s">
        <v>322</v>
      </c>
      <c r="C580" s="11">
        <v>2026012747</v>
      </c>
      <c r="D580" s="11"/>
      <c r="E580" s="11"/>
      <c r="F580" s="11" t="s">
        <v>53</v>
      </c>
      <c r="G580" s="11" t="s">
        <v>439</v>
      </c>
      <c r="H580" s="11" t="s">
        <v>358</v>
      </c>
      <c r="I580" s="11"/>
      <c r="J580" s="11"/>
      <c r="K580" s="11"/>
      <c r="L580" s="11"/>
      <c r="M580" s="12"/>
      <c r="N580" s="11"/>
      <c r="O580" s="12"/>
      <c r="P580" s="13"/>
      <c r="Q580" s="11" t="s">
        <v>440</v>
      </c>
      <c r="R580" s="11" t="s">
        <v>326</v>
      </c>
      <c r="S580" s="11" t="s">
        <v>133</v>
      </c>
      <c r="T580" s="11">
        <v>1</v>
      </c>
      <c r="U580" s="11" t="s">
        <v>327</v>
      </c>
      <c r="V580" s="11" t="s">
        <v>3001</v>
      </c>
      <c r="W580" s="11" t="s">
        <v>3002</v>
      </c>
      <c r="X580" s="367">
        <v>46042.607638888891</v>
      </c>
      <c r="Y580" s="11"/>
      <c r="Z580" s="11">
        <v>0.3</v>
      </c>
      <c r="AA580" s="11"/>
      <c r="AB580" s="11" t="s">
        <v>330</v>
      </c>
      <c r="AC580" s="212" t="s">
        <v>3003</v>
      </c>
      <c r="AD580" s="11" t="s">
        <v>332</v>
      </c>
      <c r="AE580" s="11"/>
      <c r="AF580" s="11"/>
      <c r="AG580" s="11"/>
      <c r="AH580" s="11"/>
      <c r="AI580" s="11"/>
      <c r="AJ580" s="11" t="s">
        <v>332</v>
      </c>
      <c r="AK580" s="11"/>
      <c r="AL580" s="213" t="e">
        <f t="shared" si="18"/>
        <v>#VALUE!</v>
      </c>
      <c r="AM580" s="211">
        <f t="shared" si="19"/>
        <v>46042</v>
      </c>
    </row>
    <row r="581" spans="1:39" ht="21.6" customHeight="1">
      <c r="A581" s="11">
        <v>156</v>
      </c>
      <c r="B581" s="11" t="s">
        <v>322</v>
      </c>
      <c r="C581" s="11">
        <v>2026012767</v>
      </c>
      <c r="D581" s="11"/>
      <c r="E581" s="11"/>
      <c r="F581" s="11">
        <v>2209</v>
      </c>
      <c r="G581" s="11" t="s">
        <v>1972</v>
      </c>
      <c r="H581" s="11" t="s">
        <v>358</v>
      </c>
      <c r="I581" s="11"/>
      <c r="J581" s="11"/>
      <c r="K581" s="11"/>
      <c r="L581" s="11"/>
      <c r="M581" s="12"/>
      <c r="N581" s="11"/>
      <c r="O581" s="12"/>
      <c r="P581" s="13"/>
      <c r="Q581" s="11" t="s">
        <v>1973</v>
      </c>
      <c r="R581" s="11" t="s">
        <v>326</v>
      </c>
      <c r="S581" s="11" t="s">
        <v>133</v>
      </c>
      <c r="T581" s="11">
        <v>1</v>
      </c>
      <c r="U581" s="11" t="s">
        <v>327</v>
      </c>
      <c r="V581" s="11" t="s">
        <v>3004</v>
      </c>
      <c r="W581" s="11" t="s">
        <v>3005</v>
      </c>
      <c r="X581" s="367">
        <v>46042.628472222219</v>
      </c>
      <c r="Y581" s="11"/>
      <c r="Z581" s="11">
        <v>0.3</v>
      </c>
      <c r="AA581" s="11"/>
      <c r="AB581" s="11" t="s">
        <v>330</v>
      </c>
      <c r="AC581" s="212" t="s">
        <v>3006</v>
      </c>
      <c r="AD581" s="11" t="s">
        <v>332</v>
      </c>
      <c r="AE581" s="11"/>
      <c r="AF581" s="11"/>
      <c r="AG581" s="11"/>
      <c r="AH581" s="11"/>
      <c r="AI581" s="11"/>
      <c r="AJ581" s="11" t="s">
        <v>332</v>
      </c>
      <c r="AK581" s="11"/>
      <c r="AL581" s="213" t="e">
        <f t="shared" si="18"/>
        <v>#VALUE!</v>
      </c>
      <c r="AM581" s="211">
        <f t="shared" si="19"/>
        <v>46042</v>
      </c>
    </row>
    <row r="582" spans="1:39" ht="21.6" customHeight="1">
      <c r="A582" s="11">
        <v>157</v>
      </c>
      <c r="B582" s="11" t="s">
        <v>322</v>
      </c>
      <c r="C582" s="11">
        <v>2026012773</v>
      </c>
      <c r="D582" s="11"/>
      <c r="E582" s="11"/>
      <c r="F582" s="11">
        <v>2941</v>
      </c>
      <c r="G582" s="11" t="s">
        <v>3007</v>
      </c>
      <c r="H582" s="11" t="s">
        <v>2436</v>
      </c>
      <c r="I582" s="11"/>
      <c r="J582" s="11"/>
      <c r="K582" s="11"/>
      <c r="L582" s="11"/>
      <c r="M582" s="12"/>
      <c r="N582" s="11"/>
      <c r="O582" s="12"/>
      <c r="P582" s="13"/>
      <c r="Q582" s="11" t="s">
        <v>3008</v>
      </c>
      <c r="R582" s="11" t="s">
        <v>326</v>
      </c>
      <c r="S582" s="11" t="s">
        <v>133</v>
      </c>
      <c r="T582" s="11">
        <v>1</v>
      </c>
      <c r="U582" s="11" t="s">
        <v>327</v>
      </c>
      <c r="V582" s="11" t="s">
        <v>3009</v>
      </c>
      <c r="W582" s="11" t="s">
        <v>3010</v>
      </c>
      <c r="X582" s="367">
        <v>46042.659722222219</v>
      </c>
      <c r="Y582" s="11"/>
      <c r="Z582" s="11">
        <v>0.3</v>
      </c>
      <c r="AA582" s="11"/>
      <c r="AB582" s="11" t="s">
        <v>330</v>
      </c>
      <c r="AC582" s="212" t="s">
        <v>3011</v>
      </c>
      <c r="AD582" s="11" t="s">
        <v>332</v>
      </c>
      <c r="AE582" s="11"/>
      <c r="AF582" s="11"/>
      <c r="AG582" s="11"/>
      <c r="AH582" s="11"/>
      <c r="AI582" s="11"/>
      <c r="AJ582" s="11" t="s">
        <v>332</v>
      </c>
      <c r="AK582" s="11" t="s">
        <v>332</v>
      </c>
      <c r="AL582" s="213" t="e">
        <f t="shared" si="18"/>
        <v>#VALUE!</v>
      </c>
      <c r="AM582" s="211">
        <f t="shared" si="19"/>
        <v>46042</v>
      </c>
    </row>
    <row r="583" spans="1:39" ht="21.6" customHeight="1">
      <c r="A583" s="11">
        <v>158</v>
      </c>
      <c r="B583" s="11" t="s">
        <v>322</v>
      </c>
      <c r="C583" s="11">
        <v>2026012796</v>
      </c>
      <c r="D583" s="11"/>
      <c r="E583" s="11"/>
      <c r="F583" s="11">
        <v>4019</v>
      </c>
      <c r="G583" s="11" t="s">
        <v>3012</v>
      </c>
      <c r="H583" s="11" t="s">
        <v>2436</v>
      </c>
      <c r="I583" s="11"/>
      <c r="J583" s="11"/>
      <c r="K583" s="11"/>
      <c r="L583" s="11"/>
      <c r="M583" s="12"/>
      <c r="N583" s="11"/>
      <c r="O583" s="12"/>
      <c r="P583" s="13"/>
      <c r="Q583" s="11" t="s">
        <v>3013</v>
      </c>
      <c r="R583" s="11" t="s">
        <v>326</v>
      </c>
      <c r="S583" s="11" t="s">
        <v>133</v>
      </c>
      <c r="T583" s="11">
        <v>1</v>
      </c>
      <c r="U583" s="11" t="s">
        <v>327</v>
      </c>
      <c r="V583" s="11" t="s">
        <v>3014</v>
      </c>
      <c r="W583" s="11" t="s">
        <v>3015</v>
      </c>
      <c r="X583" s="367">
        <v>46042.675000000003</v>
      </c>
      <c r="Y583" s="11"/>
      <c r="Z583" s="11">
        <v>0.3</v>
      </c>
      <c r="AA583" s="11"/>
      <c r="AB583" s="11" t="s">
        <v>330</v>
      </c>
      <c r="AC583" s="212" t="s">
        <v>3016</v>
      </c>
      <c r="AD583" s="11" t="s">
        <v>332</v>
      </c>
      <c r="AE583" s="11"/>
      <c r="AF583" s="11"/>
      <c r="AG583" s="11"/>
      <c r="AH583" s="11"/>
      <c r="AI583" s="11"/>
      <c r="AJ583" s="11" t="s">
        <v>332</v>
      </c>
      <c r="AK583" s="11" t="s">
        <v>332</v>
      </c>
      <c r="AL583" s="213" t="e">
        <f t="shared" si="18"/>
        <v>#VALUE!</v>
      </c>
      <c r="AM583" s="211">
        <f t="shared" si="19"/>
        <v>46042</v>
      </c>
    </row>
    <row r="584" spans="1:39" ht="21.6" customHeight="1">
      <c r="A584" s="11">
        <v>159</v>
      </c>
      <c r="B584" s="11" t="s">
        <v>322</v>
      </c>
      <c r="C584" s="11">
        <v>2026012804</v>
      </c>
      <c r="D584" s="11"/>
      <c r="E584" s="11"/>
      <c r="F584" s="11">
        <v>3082</v>
      </c>
      <c r="G584" s="11" t="s">
        <v>3017</v>
      </c>
      <c r="H584" s="11" t="s">
        <v>2436</v>
      </c>
      <c r="I584" s="11"/>
      <c r="J584" s="11"/>
      <c r="K584" s="11"/>
      <c r="L584" s="11"/>
      <c r="M584" s="12"/>
      <c r="N584" s="11"/>
      <c r="O584" s="12"/>
      <c r="P584" s="13"/>
      <c r="Q584" s="11" t="s">
        <v>3018</v>
      </c>
      <c r="R584" s="11" t="s">
        <v>326</v>
      </c>
      <c r="S584" s="11" t="s">
        <v>133</v>
      </c>
      <c r="T584" s="11">
        <v>1</v>
      </c>
      <c r="U584" s="11" t="s">
        <v>327</v>
      </c>
      <c r="V584" s="11" t="s">
        <v>3019</v>
      </c>
      <c r="W584" s="11" t="s">
        <v>3020</v>
      </c>
      <c r="X584" s="367">
        <v>46042.694444444453</v>
      </c>
      <c r="Y584" s="11"/>
      <c r="Z584" s="11">
        <v>0.3</v>
      </c>
      <c r="AA584" s="11"/>
      <c r="AB584" s="11" t="s">
        <v>330</v>
      </c>
      <c r="AC584" s="212" t="s">
        <v>3021</v>
      </c>
      <c r="AD584" s="11" t="s">
        <v>332</v>
      </c>
      <c r="AE584" s="11"/>
      <c r="AF584" s="11"/>
      <c r="AG584" s="11"/>
      <c r="AH584" s="11"/>
      <c r="AI584" s="11"/>
      <c r="AJ584" s="11" t="s">
        <v>332</v>
      </c>
      <c r="AK584" s="11" t="s">
        <v>332</v>
      </c>
      <c r="AL584" s="213" t="e">
        <f t="shared" si="18"/>
        <v>#VALUE!</v>
      </c>
      <c r="AM584" s="211">
        <f t="shared" si="19"/>
        <v>46042</v>
      </c>
    </row>
    <row r="585" spans="1:39" ht="21.6" customHeight="1">
      <c r="A585" s="11">
        <v>160</v>
      </c>
      <c r="B585" s="11" t="s">
        <v>322</v>
      </c>
      <c r="C585" s="11">
        <v>2026012817</v>
      </c>
      <c r="D585" s="11"/>
      <c r="E585" s="11"/>
      <c r="F585" s="11">
        <v>3968</v>
      </c>
      <c r="G585" s="11" t="s">
        <v>3022</v>
      </c>
      <c r="H585" s="11" t="s">
        <v>2436</v>
      </c>
      <c r="I585" s="11"/>
      <c r="J585" s="11"/>
      <c r="K585" s="11"/>
      <c r="L585" s="11"/>
      <c r="M585" s="12"/>
      <c r="N585" s="11"/>
      <c r="O585" s="12"/>
      <c r="P585" s="13"/>
      <c r="Q585" s="11" t="s">
        <v>3023</v>
      </c>
      <c r="R585" s="11" t="s">
        <v>326</v>
      </c>
      <c r="S585" s="11" t="s">
        <v>133</v>
      </c>
      <c r="T585" s="11">
        <v>1</v>
      </c>
      <c r="U585" s="11" t="s">
        <v>327</v>
      </c>
      <c r="V585" s="11" t="s">
        <v>3024</v>
      </c>
      <c r="W585" s="11" t="s">
        <v>3025</v>
      </c>
      <c r="X585" s="367">
        <v>46042.715277777781</v>
      </c>
      <c r="Y585" s="11"/>
      <c r="Z585" s="11">
        <v>0.3</v>
      </c>
      <c r="AA585" s="11"/>
      <c r="AB585" s="11" t="s">
        <v>330</v>
      </c>
      <c r="AC585" s="212" t="s">
        <v>3026</v>
      </c>
      <c r="AD585" s="11" t="s">
        <v>332</v>
      </c>
      <c r="AE585" s="11"/>
      <c r="AF585" s="11"/>
      <c r="AG585" s="11"/>
      <c r="AH585" s="11"/>
      <c r="AI585" s="11"/>
      <c r="AJ585" s="11" t="s">
        <v>332</v>
      </c>
      <c r="AK585" s="11" t="s">
        <v>332</v>
      </c>
      <c r="AL585" s="213" t="e">
        <f t="shared" si="18"/>
        <v>#VALUE!</v>
      </c>
      <c r="AM585" s="211">
        <f t="shared" si="19"/>
        <v>46042</v>
      </c>
    </row>
    <row r="586" spans="1:39" ht="21.6" customHeight="1">
      <c r="A586" s="11">
        <v>161</v>
      </c>
      <c r="B586" s="11" t="s">
        <v>322</v>
      </c>
      <c r="C586" s="11">
        <v>2026012830</v>
      </c>
      <c r="D586" s="11"/>
      <c r="E586" s="11"/>
      <c r="F586" s="11">
        <v>4970</v>
      </c>
      <c r="G586" s="11" t="s">
        <v>3027</v>
      </c>
      <c r="H586" s="11" t="s">
        <v>2337</v>
      </c>
      <c r="I586" s="11"/>
      <c r="J586" s="11"/>
      <c r="K586" s="11"/>
      <c r="L586" s="11"/>
      <c r="M586" s="12"/>
      <c r="N586" s="11"/>
      <c r="O586" s="12"/>
      <c r="P586" s="13"/>
      <c r="Q586" s="11" t="s">
        <v>3028</v>
      </c>
      <c r="R586" s="11" t="s">
        <v>326</v>
      </c>
      <c r="S586" s="11" t="s">
        <v>133</v>
      </c>
      <c r="T586" s="11">
        <v>1</v>
      </c>
      <c r="U586" s="11" t="s">
        <v>327</v>
      </c>
      <c r="V586" s="11" t="s">
        <v>3029</v>
      </c>
      <c r="W586" s="11" t="s">
        <v>3030</v>
      </c>
      <c r="X586" s="367">
        <v>46042.739583333343</v>
      </c>
      <c r="Y586" s="11"/>
      <c r="Z586" s="11">
        <v>0.4</v>
      </c>
      <c r="AA586" s="11"/>
      <c r="AB586" s="11" t="s">
        <v>330</v>
      </c>
      <c r="AC586" s="212" t="s">
        <v>3031</v>
      </c>
      <c r="AD586" s="11" t="s">
        <v>332</v>
      </c>
      <c r="AE586" s="11"/>
      <c r="AF586" s="11"/>
      <c r="AG586" s="11"/>
      <c r="AH586" s="11"/>
      <c r="AI586" s="11"/>
      <c r="AJ586" s="11" t="s">
        <v>332</v>
      </c>
      <c r="AK586" s="11" t="s">
        <v>332</v>
      </c>
      <c r="AL586" s="213" t="e">
        <f t="shared" si="18"/>
        <v>#VALUE!</v>
      </c>
      <c r="AM586" s="211">
        <f t="shared" si="19"/>
        <v>46042</v>
      </c>
    </row>
    <row r="587" spans="1:39" ht="21.6" customHeight="1">
      <c r="A587" s="11">
        <v>162</v>
      </c>
      <c r="B587" s="11" t="s">
        <v>322</v>
      </c>
      <c r="C587" s="11">
        <v>2026012895</v>
      </c>
      <c r="D587" s="11"/>
      <c r="E587" s="11"/>
      <c r="F587" s="11">
        <v>2315</v>
      </c>
      <c r="G587" s="11" t="s">
        <v>3032</v>
      </c>
      <c r="H587" s="11" t="s">
        <v>2325</v>
      </c>
      <c r="I587" s="11"/>
      <c r="J587" s="11"/>
      <c r="K587" s="11"/>
      <c r="L587" s="11"/>
      <c r="M587" s="12"/>
      <c r="N587" s="11"/>
      <c r="O587" s="12"/>
      <c r="P587" s="13"/>
      <c r="Q587" s="11" t="s">
        <v>3033</v>
      </c>
      <c r="R587" s="11" t="s">
        <v>326</v>
      </c>
      <c r="S587" s="11" t="s">
        <v>123</v>
      </c>
      <c r="T587" s="11">
        <v>1</v>
      </c>
      <c r="U587" s="11" t="s">
        <v>327</v>
      </c>
      <c r="V587" s="11" t="s">
        <v>3034</v>
      </c>
      <c r="W587" s="11" t="s">
        <v>3035</v>
      </c>
      <c r="X587" s="367">
        <v>46043.576388888891</v>
      </c>
      <c r="Y587" s="11"/>
      <c r="Z587" s="11">
        <v>0.3</v>
      </c>
      <c r="AA587" s="11"/>
      <c r="AB587" s="11" t="s">
        <v>330</v>
      </c>
      <c r="AC587" s="212" t="s">
        <v>3036</v>
      </c>
      <c r="AD587" s="11" t="s">
        <v>332</v>
      </c>
      <c r="AE587" s="11"/>
      <c r="AF587" s="11"/>
      <c r="AG587" s="11"/>
      <c r="AH587" s="11"/>
      <c r="AI587" s="11"/>
      <c r="AJ587" s="11"/>
      <c r="AK587" s="11" t="s">
        <v>332</v>
      </c>
      <c r="AL587" s="213" t="e">
        <f t="shared" si="18"/>
        <v>#VALUE!</v>
      </c>
      <c r="AM587" s="211">
        <f t="shared" si="19"/>
        <v>46043</v>
      </c>
    </row>
    <row r="588" spans="1:39" ht="21.6" customHeight="1">
      <c r="A588" s="11">
        <v>162</v>
      </c>
      <c r="B588" s="11" t="s">
        <v>363</v>
      </c>
      <c r="C588" s="11">
        <v>2026012831</v>
      </c>
      <c r="D588" s="11" t="s">
        <v>3037</v>
      </c>
      <c r="E588" s="11" t="s">
        <v>365</v>
      </c>
      <c r="F588" s="11">
        <v>4191</v>
      </c>
      <c r="G588" s="11" t="s">
        <v>853</v>
      </c>
      <c r="H588" s="11" t="s">
        <v>358</v>
      </c>
      <c r="I588" s="11" t="s">
        <v>3038</v>
      </c>
      <c r="J588" s="11" t="s">
        <v>368</v>
      </c>
      <c r="K588" s="11" t="s">
        <v>903</v>
      </c>
      <c r="L588" s="11" t="s">
        <v>612</v>
      </c>
      <c r="M588" s="12" t="s">
        <v>613</v>
      </c>
      <c r="N588" s="11">
        <v>2901</v>
      </c>
      <c r="O588" s="12" t="s">
        <v>450</v>
      </c>
      <c r="P588" s="13" t="s">
        <v>3039</v>
      </c>
      <c r="Q588" s="11" t="s">
        <v>854</v>
      </c>
      <c r="R588" s="11" t="s">
        <v>326</v>
      </c>
      <c r="S588" s="11" t="s">
        <v>133</v>
      </c>
      <c r="T588" s="11">
        <v>1</v>
      </c>
      <c r="U588" s="11" t="s">
        <v>327</v>
      </c>
      <c r="V588" s="11" t="s">
        <v>3040</v>
      </c>
      <c r="W588" s="11" t="s">
        <v>3041</v>
      </c>
      <c r="X588" s="367">
        <v>46043.663194444453</v>
      </c>
      <c r="Y588" s="11" t="s">
        <v>3042</v>
      </c>
      <c r="Z588" s="11">
        <v>0.3</v>
      </c>
      <c r="AA588" s="11"/>
      <c r="AB588" s="11" t="s">
        <v>330</v>
      </c>
      <c r="AC588" s="212" t="s">
        <v>3043</v>
      </c>
      <c r="AD588" s="11"/>
      <c r="AE588" s="11"/>
      <c r="AF588" s="11"/>
      <c r="AG588" s="11"/>
      <c r="AH588" s="11"/>
      <c r="AI588" s="11"/>
      <c r="AJ588" s="11"/>
      <c r="AK588" s="11" t="s">
        <v>332</v>
      </c>
      <c r="AL588" s="213">
        <f t="shared" si="18"/>
        <v>46042</v>
      </c>
      <c r="AM588" s="211">
        <f t="shared" si="19"/>
        <v>46043</v>
      </c>
    </row>
    <row r="589" spans="1:39" ht="21.6" customHeight="1">
      <c r="A589" s="11">
        <v>163</v>
      </c>
      <c r="B589" s="11" t="s">
        <v>363</v>
      </c>
      <c r="C589" s="11">
        <v>2026012832</v>
      </c>
      <c r="D589" s="11" t="s">
        <v>3044</v>
      </c>
      <c r="E589" s="11" t="s">
        <v>365</v>
      </c>
      <c r="F589" s="11">
        <v>4191</v>
      </c>
      <c r="G589" s="11" t="s">
        <v>853</v>
      </c>
      <c r="H589" s="11" t="s">
        <v>358</v>
      </c>
      <c r="I589" s="11" t="s">
        <v>3045</v>
      </c>
      <c r="J589" s="11" t="s">
        <v>368</v>
      </c>
      <c r="K589" s="11" t="s">
        <v>903</v>
      </c>
      <c r="L589" s="11" t="s">
        <v>558</v>
      </c>
      <c r="M589" s="12" t="s">
        <v>559</v>
      </c>
      <c r="N589" s="11">
        <v>2402</v>
      </c>
      <c r="O589" s="12" t="s">
        <v>1966</v>
      </c>
      <c r="P589" s="13" t="s">
        <v>3046</v>
      </c>
      <c r="Q589" s="11" t="s">
        <v>854</v>
      </c>
      <c r="R589" s="11" t="s">
        <v>326</v>
      </c>
      <c r="S589" s="11" t="s">
        <v>133</v>
      </c>
      <c r="T589" s="11">
        <v>1</v>
      </c>
      <c r="U589" s="11" t="s">
        <v>327</v>
      </c>
      <c r="V589" s="11" t="s">
        <v>3047</v>
      </c>
      <c r="W589" s="11" t="s">
        <v>3048</v>
      </c>
      <c r="X589" s="367">
        <v>46043.677777777782</v>
      </c>
      <c r="Y589" s="11" t="s">
        <v>3049</v>
      </c>
      <c r="Z589" s="11">
        <v>0.4</v>
      </c>
      <c r="AA589" s="11"/>
      <c r="AB589" s="11" t="s">
        <v>330</v>
      </c>
      <c r="AC589" s="212" t="s">
        <v>1971</v>
      </c>
      <c r="AD589" s="11"/>
      <c r="AE589" s="11"/>
      <c r="AF589" s="11"/>
      <c r="AG589" s="11"/>
      <c r="AH589" s="11"/>
      <c r="AI589" s="11"/>
      <c r="AJ589" s="11"/>
      <c r="AK589" s="11" t="s">
        <v>332</v>
      </c>
      <c r="AL589" s="213">
        <f t="shared" si="18"/>
        <v>46042</v>
      </c>
      <c r="AM589" s="211">
        <f t="shared" si="19"/>
        <v>46043</v>
      </c>
    </row>
    <row r="590" spans="1:39" ht="21.6" customHeight="1">
      <c r="A590" s="11">
        <v>165</v>
      </c>
      <c r="B590" s="11" t="s">
        <v>322</v>
      </c>
      <c r="C590" s="11">
        <v>2026012907</v>
      </c>
      <c r="D590" s="11"/>
      <c r="E590" s="11"/>
      <c r="F590" s="11" t="s">
        <v>55</v>
      </c>
      <c r="G590" s="11" t="s">
        <v>3050</v>
      </c>
      <c r="H590" s="11" t="s">
        <v>2325</v>
      </c>
      <c r="I590" s="11"/>
      <c r="J590" s="11"/>
      <c r="K590" s="11"/>
      <c r="L590" s="11"/>
      <c r="M590" s="12"/>
      <c r="N590" s="11"/>
      <c r="O590" s="12"/>
      <c r="P590" s="13"/>
      <c r="Q590" s="11" t="s">
        <v>3051</v>
      </c>
      <c r="R590" s="11" t="s">
        <v>326</v>
      </c>
      <c r="S590" s="11" t="s">
        <v>123</v>
      </c>
      <c r="T590" s="11">
        <v>1</v>
      </c>
      <c r="U590" s="11" t="s">
        <v>327</v>
      </c>
      <c r="V590" s="11" t="s">
        <v>3052</v>
      </c>
      <c r="W590" s="11" t="s">
        <v>3053</v>
      </c>
      <c r="X590" s="367">
        <v>46043.631944444453</v>
      </c>
      <c r="Y590" s="11"/>
      <c r="Z590" s="11">
        <v>0.2</v>
      </c>
      <c r="AA590" s="11"/>
      <c r="AB590" s="11" t="s">
        <v>330</v>
      </c>
      <c r="AC590" s="212" t="s">
        <v>100</v>
      </c>
      <c r="AD590" s="11" t="s">
        <v>332</v>
      </c>
      <c r="AE590" s="11"/>
      <c r="AF590" s="11"/>
      <c r="AG590" s="11"/>
      <c r="AH590" s="11"/>
      <c r="AI590" s="11"/>
      <c r="AJ590" s="11"/>
      <c r="AK590" s="11" t="s">
        <v>332</v>
      </c>
      <c r="AL590" s="213" t="e">
        <f t="shared" si="18"/>
        <v>#VALUE!</v>
      </c>
      <c r="AM590" s="211">
        <f t="shared" si="19"/>
        <v>46043</v>
      </c>
    </row>
    <row r="591" spans="1:39" ht="21.6" customHeight="1">
      <c r="A591" s="11">
        <v>166</v>
      </c>
      <c r="B591" s="11" t="s">
        <v>322</v>
      </c>
      <c r="C591" s="11">
        <v>2026012913</v>
      </c>
      <c r="D591" s="11"/>
      <c r="E591" s="11"/>
      <c r="F591" s="11">
        <v>2222</v>
      </c>
      <c r="G591" s="11" t="s">
        <v>159</v>
      </c>
      <c r="H591" s="11" t="s">
        <v>358</v>
      </c>
      <c r="I591" s="11"/>
      <c r="J591" s="11"/>
      <c r="K591" s="11"/>
      <c r="L591" s="11"/>
      <c r="M591" s="12"/>
      <c r="N591" s="11"/>
      <c r="O591" s="12"/>
      <c r="P591" s="13"/>
      <c r="Q591" s="11" t="s">
        <v>525</v>
      </c>
      <c r="R591" s="11" t="s">
        <v>326</v>
      </c>
      <c r="S591" s="11" t="s">
        <v>133</v>
      </c>
      <c r="T591" s="11">
        <v>1</v>
      </c>
      <c r="U591" s="11" t="s">
        <v>327</v>
      </c>
      <c r="V591" s="11" t="s">
        <v>3054</v>
      </c>
      <c r="W591" s="11" t="s">
        <v>3055</v>
      </c>
      <c r="X591" s="367">
        <v>46043.645833333343</v>
      </c>
      <c r="Y591" s="11"/>
      <c r="Z591" s="11">
        <v>4.5</v>
      </c>
      <c r="AA591" s="11"/>
      <c r="AB591" s="11" t="s">
        <v>330</v>
      </c>
      <c r="AC591" s="212" t="s">
        <v>3056</v>
      </c>
      <c r="AD591" s="11"/>
      <c r="AE591" s="11" t="s">
        <v>332</v>
      </c>
      <c r="AF591" s="11"/>
      <c r="AG591" s="11"/>
      <c r="AH591" s="11"/>
      <c r="AI591" s="11"/>
      <c r="AJ591" s="11"/>
      <c r="AK591" s="11" t="s">
        <v>332</v>
      </c>
      <c r="AL591" s="213" t="e">
        <f t="shared" si="18"/>
        <v>#VALUE!</v>
      </c>
      <c r="AM591" s="211">
        <f t="shared" si="19"/>
        <v>46043</v>
      </c>
    </row>
    <row r="592" spans="1:39" ht="21.6" customHeight="1">
      <c r="A592" s="11">
        <v>167</v>
      </c>
      <c r="B592" s="11" t="s">
        <v>322</v>
      </c>
      <c r="C592" s="11">
        <v>2026012916</v>
      </c>
      <c r="D592" s="11"/>
      <c r="E592" s="11"/>
      <c r="F592" s="11">
        <v>2222</v>
      </c>
      <c r="G592" s="11" t="s">
        <v>159</v>
      </c>
      <c r="H592" s="11" t="s">
        <v>358</v>
      </c>
      <c r="I592" s="11"/>
      <c r="J592" s="11"/>
      <c r="K592" s="11"/>
      <c r="L592" s="11"/>
      <c r="M592" s="12"/>
      <c r="N592" s="11"/>
      <c r="O592" s="12"/>
      <c r="P592" s="13"/>
      <c r="Q592" s="11" t="s">
        <v>525</v>
      </c>
      <c r="R592" s="11" t="s">
        <v>326</v>
      </c>
      <c r="S592" s="11" t="s">
        <v>118</v>
      </c>
      <c r="T592" s="11">
        <v>1</v>
      </c>
      <c r="U592" s="11" t="s">
        <v>327</v>
      </c>
      <c r="V592" s="11" t="s">
        <v>3057</v>
      </c>
      <c r="W592" s="11" t="s">
        <v>3055</v>
      </c>
      <c r="X592" s="367">
        <v>46043.645833333343</v>
      </c>
      <c r="Y592" s="11"/>
      <c r="Z592" s="11">
        <v>4.5</v>
      </c>
      <c r="AA592" s="11"/>
      <c r="AB592" s="11" t="s">
        <v>330</v>
      </c>
      <c r="AC592" s="212" t="s">
        <v>3058</v>
      </c>
      <c r="AD592" s="11"/>
      <c r="AE592" s="11" t="s">
        <v>332</v>
      </c>
      <c r="AF592" s="11"/>
      <c r="AG592" s="11"/>
      <c r="AH592" s="11"/>
      <c r="AI592" s="11"/>
      <c r="AJ592" s="11"/>
      <c r="AK592" s="11" t="s">
        <v>332</v>
      </c>
      <c r="AL592" s="213" t="e">
        <f t="shared" si="18"/>
        <v>#VALUE!</v>
      </c>
      <c r="AM592" s="211">
        <f t="shared" si="19"/>
        <v>46043</v>
      </c>
    </row>
    <row r="593" spans="1:39" ht="21.6" customHeight="1">
      <c r="A593" s="11">
        <v>168</v>
      </c>
      <c r="B593" s="11" t="s">
        <v>322</v>
      </c>
      <c r="C593" s="11">
        <v>2026012917</v>
      </c>
      <c r="D593" s="11"/>
      <c r="E593" s="11"/>
      <c r="F593" s="11">
        <v>4572</v>
      </c>
      <c r="G593" s="11" t="s">
        <v>3059</v>
      </c>
      <c r="H593" s="11" t="s">
        <v>2325</v>
      </c>
      <c r="I593" s="11"/>
      <c r="J593" s="11"/>
      <c r="K593" s="11"/>
      <c r="L593" s="11"/>
      <c r="M593" s="12"/>
      <c r="N593" s="11"/>
      <c r="O593" s="12"/>
      <c r="P593" s="13"/>
      <c r="Q593" s="11" t="s">
        <v>3060</v>
      </c>
      <c r="R593" s="11" t="s">
        <v>326</v>
      </c>
      <c r="S593" s="11" t="s">
        <v>123</v>
      </c>
      <c r="T593" s="11">
        <v>1</v>
      </c>
      <c r="U593" s="11" t="s">
        <v>327</v>
      </c>
      <c r="V593" s="11" t="s">
        <v>3061</v>
      </c>
      <c r="W593" s="11" t="s">
        <v>3062</v>
      </c>
      <c r="X593" s="367">
        <v>46043.659722222219</v>
      </c>
      <c r="Y593" s="11"/>
      <c r="Z593" s="11">
        <v>0.3</v>
      </c>
      <c r="AA593" s="11"/>
      <c r="AB593" s="11" t="s">
        <v>330</v>
      </c>
      <c r="AC593" s="212" t="s">
        <v>100</v>
      </c>
      <c r="AD593" s="11" t="s">
        <v>332</v>
      </c>
      <c r="AE593" s="11"/>
      <c r="AF593" s="11"/>
      <c r="AG593" s="11"/>
      <c r="AH593" s="11"/>
      <c r="AI593" s="11"/>
      <c r="AJ593" s="11"/>
      <c r="AK593" s="11" t="s">
        <v>332</v>
      </c>
      <c r="AL593" s="213" t="e">
        <f t="shared" si="18"/>
        <v>#VALUE!</v>
      </c>
      <c r="AM593" s="211">
        <f t="shared" si="19"/>
        <v>46043</v>
      </c>
    </row>
    <row r="594" spans="1:39" ht="21.6" customHeight="1">
      <c r="A594" s="11">
        <v>169</v>
      </c>
      <c r="B594" s="11" t="s">
        <v>322</v>
      </c>
      <c r="C594" s="11">
        <v>2026012930</v>
      </c>
      <c r="D594" s="11"/>
      <c r="E594" s="11"/>
      <c r="F594" s="11" t="s">
        <v>54</v>
      </c>
      <c r="G594" s="11" t="s">
        <v>3063</v>
      </c>
      <c r="H594" s="11" t="s">
        <v>2325</v>
      </c>
      <c r="I594" s="11"/>
      <c r="J594" s="11"/>
      <c r="K594" s="11"/>
      <c r="L594" s="11"/>
      <c r="M594" s="12"/>
      <c r="N594" s="11"/>
      <c r="O594" s="12"/>
      <c r="P594" s="13"/>
      <c r="Q594" s="11" t="s">
        <v>3064</v>
      </c>
      <c r="R594" s="11" t="s">
        <v>326</v>
      </c>
      <c r="S594" s="11" t="s">
        <v>123</v>
      </c>
      <c r="T594" s="11">
        <v>1</v>
      </c>
      <c r="U594" s="11" t="s">
        <v>327</v>
      </c>
      <c r="V594" s="11" t="s">
        <v>3065</v>
      </c>
      <c r="W594" s="11" t="s">
        <v>3066</v>
      </c>
      <c r="X594" s="367">
        <v>46043.680555555547</v>
      </c>
      <c r="Y594" s="11"/>
      <c r="Z594" s="11">
        <v>0.3</v>
      </c>
      <c r="AA594" s="11"/>
      <c r="AB594" s="11" t="s">
        <v>330</v>
      </c>
      <c r="AC594" s="212" t="s">
        <v>100</v>
      </c>
      <c r="AD594" s="11" t="s">
        <v>332</v>
      </c>
      <c r="AE594" s="11"/>
      <c r="AF594" s="11"/>
      <c r="AG594" s="11"/>
      <c r="AH594" s="11"/>
      <c r="AI594" s="11"/>
      <c r="AJ594" s="11"/>
      <c r="AK594" s="11" t="s">
        <v>332</v>
      </c>
      <c r="AL594" s="213" t="e">
        <f t="shared" si="18"/>
        <v>#VALUE!</v>
      </c>
      <c r="AM594" s="211">
        <f t="shared" si="19"/>
        <v>46043</v>
      </c>
    </row>
    <row r="595" spans="1:39" ht="21.6" customHeight="1">
      <c r="A595" s="11">
        <v>170</v>
      </c>
      <c r="B595" s="11" t="s">
        <v>363</v>
      </c>
      <c r="C595" s="11">
        <v>2026012931</v>
      </c>
      <c r="D595" s="11" t="s">
        <v>3067</v>
      </c>
      <c r="E595" s="11" t="s">
        <v>365</v>
      </c>
      <c r="F595" s="11" t="s">
        <v>56</v>
      </c>
      <c r="G595" s="11" t="s">
        <v>874</v>
      </c>
      <c r="H595" s="11" t="s">
        <v>358</v>
      </c>
      <c r="I595" s="11" t="s">
        <v>3068</v>
      </c>
      <c r="J595" s="11" t="s">
        <v>383</v>
      </c>
      <c r="K595" s="11" t="s">
        <v>200</v>
      </c>
      <c r="L595" s="11" t="s">
        <v>369</v>
      </c>
      <c r="M595" s="12" t="s">
        <v>370</v>
      </c>
      <c r="N595" s="11">
        <v>2308</v>
      </c>
      <c r="O595" s="12" t="s">
        <v>560</v>
      </c>
      <c r="P595" s="13" t="s">
        <v>3069</v>
      </c>
      <c r="Q595" s="11" t="s">
        <v>877</v>
      </c>
      <c r="R595" s="11" t="s">
        <v>326</v>
      </c>
      <c r="S595" s="11" t="s">
        <v>133</v>
      </c>
      <c r="T595" s="11">
        <v>1</v>
      </c>
      <c r="U595" s="11" t="s">
        <v>327</v>
      </c>
      <c r="V595" s="11" t="s">
        <v>3070</v>
      </c>
      <c r="W595" s="11" t="s">
        <v>3071</v>
      </c>
      <c r="X595" s="369">
        <v>46044.444444444453</v>
      </c>
      <c r="Y595" s="11" t="s">
        <v>3072</v>
      </c>
      <c r="Z595" s="11">
        <v>0.7</v>
      </c>
      <c r="AA595" s="11"/>
      <c r="AB595" s="11" t="s">
        <v>330</v>
      </c>
      <c r="AC595" s="212" t="s">
        <v>3073</v>
      </c>
      <c r="AD595" s="11"/>
      <c r="AE595" s="11"/>
      <c r="AF595" s="11"/>
      <c r="AG595" s="11"/>
      <c r="AH595" s="11"/>
      <c r="AI595" s="11"/>
      <c r="AJ595" s="11"/>
      <c r="AK595" s="11" t="s">
        <v>332</v>
      </c>
      <c r="AL595" s="213">
        <f t="shared" si="18"/>
        <v>46043</v>
      </c>
      <c r="AM595" s="211">
        <f t="shared" si="19"/>
        <v>46044</v>
      </c>
    </row>
    <row r="596" spans="1:39" ht="21.6" customHeight="1">
      <c r="A596" s="11">
        <v>171</v>
      </c>
      <c r="B596" s="11" t="s">
        <v>363</v>
      </c>
      <c r="C596" s="11">
        <v>2026012933</v>
      </c>
      <c r="D596" s="11" t="s">
        <v>3074</v>
      </c>
      <c r="E596" s="11" t="s">
        <v>365</v>
      </c>
      <c r="F596" s="11" t="s">
        <v>53</v>
      </c>
      <c r="G596" s="11" t="s">
        <v>439</v>
      </c>
      <c r="H596" s="11" t="s">
        <v>358</v>
      </c>
      <c r="I596" s="11" t="s">
        <v>3075</v>
      </c>
      <c r="J596" s="11" t="s">
        <v>383</v>
      </c>
      <c r="K596" s="11" t="s">
        <v>200</v>
      </c>
      <c r="L596" s="11" t="s">
        <v>369</v>
      </c>
      <c r="M596" s="12" t="s">
        <v>370</v>
      </c>
      <c r="N596" s="11">
        <v>2308</v>
      </c>
      <c r="O596" s="12" t="s">
        <v>560</v>
      </c>
      <c r="P596" s="13" t="s">
        <v>3069</v>
      </c>
      <c r="Q596" s="11" t="s">
        <v>440</v>
      </c>
      <c r="R596" s="11" t="s">
        <v>326</v>
      </c>
      <c r="S596" s="11" t="s">
        <v>133</v>
      </c>
      <c r="T596" s="11">
        <v>1</v>
      </c>
      <c r="U596" s="11" t="s">
        <v>327</v>
      </c>
      <c r="V596" s="11" t="s">
        <v>3076</v>
      </c>
      <c r="W596" s="11" t="s">
        <v>3077</v>
      </c>
      <c r="X596" s="369">
        <v>46044.51666666667</v>
      </c>
      <c r="Y596" s="11" t="s">
        <v>3078</v>
      </c>
      <c r="Z596" s="11">
        <v>0.7</v>
      </c>
      <c r="AA596" s="11"/>
      <c r="AB596" s="11" t="s">
        <v>330</v>
      </c>
      <c r="AC596" s="212" t="s">
        <v>3079</v>
      </c>
      <c r="AD596" s="11"/>
      <c r="AE596" s="11"/>
      <c r="AF596" s="11"/>
      <c r="AG596" s="11"/>
      <c r="AH596" s="11"/>
      <c r="AI596" s="11"/>
      <c r="AJ596" s="11"/>
      <c r="AK596" s="11" t="s">
        <v>332</v>
      </c>
      <c r="AL596" s="213">
        <f t="shared" si="18"/>
        <v>46043</v>
      </c>
      <c r="AM596" s="211">
        <f t="shared" si="19"/>
        <v>46044</v>
      </c>
    </row>
    <row r="597" spans="1:39" ht="21.6" customHeight="1">
      <c r="A597" s="11">
        <v>172</v>
      </c>
      <c r="B597" s="11" t="s">
        <v>363</v>
      </c>
      <c r="C597" s="11">
        <v>2026012963</v>
      </c>
      <c r="D597" s="11" t="s">
        <v>3080</v>
      </c>
      <c r="E597" s="11" t="s">
        <v>365</v>
      </c>
      <c r="F597" s="11">
        <v>4352</v>
      </c>
      <c r="G597" s="11" t="s">
        <v>690</v>
      </c>
      <c r="H597" s="11" t="s">
        <v>358</v>
      </c>
      <c r="I597" s="11" t="s">
        <v>3081</v>
      </c>
      <c r="J597" s="11" t="s">
        <v>424</v>
      </c>
      <c r="K597" s="11" t="s">
        <v>446</v>
      </c>
      <c r="L597" s="11" t="s">
        <v>369</v>
      </c>
      <c r="M597" s="12" t="s">
        <v>370</v>
      </c>
      <c r="N597" s="11">
        <v>2308</v>
      </c>
      <c r="O597" s="12" t="s">
        <v>560</v>
      </c>
      <c r="P597" s="13" t="s">
        <v>3082</v>
      </c>
      <c r="Q597" s="11" t="s">
        <v>691</v>
      </c>
      <c r="R597" s="11" t="s">
        <v>326</v>
      </c>
      <c r="S597" s="11" t="s">
        <v>133</v>
      </c>
      <c r="T597" s="11">
        <v>1</v>
      </c>
      <c r="U597" s="11" t="s">
        <v>327</v>
      </c>
      <c r="V597" s="11" t="s">
        <v>3083</v>
      </c>
      <c r="W597" s="11" t="s">
        <v>3084</v>
      </c>
      <c r="X597" s="369">
        <v>46044.61041666667</v>
      </c>
      <c r="Y597" s="11" t="s">
        <v>3085</v>
      </c>
      <c r="Z597" s="11">
        <v>0.7</v>
      </c>
      <c r="AA597" s="11"/>
      <c r="AB597" s="11" t="s">
        <v>330</v>
      </c>
      <c r="AC597" s="212" t="s">
        <v>3086</v>
      </c>
      <c r="AD597" s="11"/>
      <c r="AE597" s="11"/>
      <c r="AF597" s="11"/>
      <c r="AG597" s="11"/>
      <c r="AH597" s="11"/>
      <c r="AI597" s="11"/>
      <c r="AJ597" s="11"/>
      <c r="AK597" s="11" t="s">
        <v>332</v>
      </c>
      <c r="AL597" s="213">
        <f t="shared" si="18"/>
        <v>46044</v>
      </c>
      <c r="AM597" s="211">
        <f t="shared" si="19"/>
        <v>46044</v>
      </c>
    </row>
    <row r="598" spans="1:39" ht="21.6" customHeight="1">
      <c r="A598" s="11">
        <v>173</v>
      </c>
      <c r="B598" s="11" t="s">
        <v>363</v>
      </c>
      <c r="C598" s="11">
        <v>2026012966</v>
      </c>
      <c r="D598" s="11" t="s">
        <v>3087</v>
      </c>
      <c r="E598" s="11" t="s">
        <v>365</v>
      </c>
      <c r="F598" s="11">
        <v>4241</v>
      </c>
      <c r="G598" s="11" t="s">
        <v>694</v>
      </c>
      <c r="H598" s="11" t="s">
        <v>358</v>
      </c>
      <c r="I598" s="11" t="s">
        <v>3088</v>
      </c>
      <c r="J598" s="11" t="s">
        <v>424</v>
      </c>
      <c r="K598" s="11" t="s">
        <v>384</v>
      </c>
      <c r="L598" s="11" t="s">
        <v>447</v>
      </c>
      <c r="M598" s="12" t="s">
        <v>448</v>
      </c>
      <c r="N598" s="11" t="s">
        <v>449</v>
      </c>
      <c r="O598" s="12" t="s">
        <v>450</v>
      </c>
      <c r="P598" s="13" t="s">
        <v>3089</v>
      </c>
      <c r="Q598" s="11" t="s">
        <v>695</v>
      </c>
      <c r="R598" s="11" t="s">
        <v>326</v>
      </c>
      <c r="S598" s="11" t="s">
        <v>133</v>
      </c>
      <c r="T598" s="11">
        <v>1</v>
      </c>
      <c r="U598" s="11" t="s">
        <v>327</v>
      </c>
      <c r="V598" s="11" t="s">
        <v>3090</v>
      </c>
      <c r="W598" s="11" t="s">
        <v>3091</v>
      </c>
      <c r="X598" s="369">
        <v>46044.5625</v>
      </c>
      <c r="Y598" s="11" t="s">
        <v>3092</v>
      </c>
      <c r="Z598" s="11">
        <v>0.3</v>
      </c>
      <c r="AA598" s="11"/>
      <c r="AB598" s="11" t="s">
        <v>330</v>
      </c>
      <c r="AC598" s="212" t="s">
        <v>3093</v>
      </c>
      <c r="AD598" s="11"/>
      <c r="AE598" s="11"/>
      <c r="AF598" s="11"/>
      <c r="AG598" s="11"/>
      <c r="AH598" s="11"/>
      <c r="AI598" s="11"/>
      <c r="AJ598" s="11"/>
      <c r="AK598" s="11" t="s">
        <v>332</v>
      </c>
      <c r="AL598" s="213">
        <f t="shared" si="18"/>
        <v>46044</v>
      </c>
      <c r="AM598" s="211">
        <f t="shared" si="19"/>
        <v>46044</v>
      </c>
    </row>
    <row r="599" spans="1:39" ht="21.6" customHeight="1">
      <c r="A599" s="11">
        <v>174</v>
      </c>
      <c r="B599" s="11" t="s">
        <v>363</v>
      </c>
      <c r="C599" s="11">
        <v>2026012967</v>
      </c>
      <c r="D599" s="11" t="s">
        <v>3094</v>
      </c>
      <c r="E599" s="11" t="s">
        <v>365</v>
      </c>
      <c r="F599" s="11">
        <v>4241</v>
      </c>
      <c r="G599" s="11" t="s">
        <v>694</v>
      </c>
      <c r="H599" s="11" t="s">
        <v>358</v>
      </c>
      <c r="I599" s="11" t="s">
        <v>3095</v>
      </c>
      <c r="J599" s="11" t="s">
        <v>424</v>
      </c>
      <c r="K599" s="11" t="s">
        <v>446</v>
      </c>
      <c r="L599" s="11" t="s">
        <v>447</v>
      </c>
      <c r="M599" s="12" t="s">
        <v>448</v>
      </c>
      <c r="N599" s="11" t="s">
        <v>449</v>
      </c>
      <c r="O599" s="12" t="s">
        <v>450</v>
      </c>
      <c r="P599" s="13" t="s">
        <v>3096</v>
      </c>
      <c r="Q599" s="11" t="s">
        <v>695</v>
      </c>
      <c r="R599" s="11" t="s">
        <v>326</v>
      </c>
      <c r="S599" s="11" t="s">
        <v>133</v>
      </c>
      <c r="T599" s="11">
        <v>1</v>
      </c>
      <c r="U599" s="11" t="s">
        <v>327</v>
      </c>
      <c r="V599" s="11" t="s">
        <v>3097</v>
      </c>
      <c r="W599" s="11" t="s">
        <v>3098</v>
      </c>
      <c r="X599" s="369">
        <v>46044.569444444453</v>
      </c>
      <c r="Y599" s="11" t="s">
        <v>3092</v>
      </c>
      <c r="Z599" s="11">
        <v>0.3</v>
      </c>
      <c r="AA599" s="11"/>
      <c r="AB599" s="11" t="s">
        <v>330</v>
      </c>
      <c r="AC599" s="212" t="s">
        <v>3099</v>
      </c>
      <c r="AD599" s="11"/>
      <c r="AE599" s="11"/>
      <c r="AF599" s="11"/>
      <c r="AG599" s="11"/>
      <c r="AH599" s="11"/>
      <c r="AI599" s="11"/>
      <c r="AJ599" s="11"/>
      <c r="AK599" s="11" t="s">
        <v>332</v>
      </c>
      <c r="AL599" s="213">
        <f t="shared" si="18"/>
        <v>46044</v>
      </c>
      <c r="AM599" s="211">
        <f t="shared" si="19"/>
        <v>46044</v>
      </c>
    </row>
    <row r="600" spans="1:39" ht="21.6" customHeight="1">
      <c r="A600" s="11">
        <v>175</v>
      </c>
      <c r="B600" s="11" t="s">
        <v>363</v>
      </c>
      <c r="C600" s="11">
        <v>2026012973</v>
      </c>
      <c r="D600" s="11" t="s">
        <v>3100</v>
      </c>
      <c r="E600" s="11" t="s">
        <v>365</v>
      </c>
      <c r="F600" s="11">
        <v>5245</v>
      </c>
      <c r="G600" s="11" t="s">
        <v>258</v>
      </c>
      <c r="H600" s="11" t="s">
        <v>358</v>
      </c>
      <c r="I600" s="11" t="s">
        <v>3101</v>
      </c>
      <c r="J600" s="11" t="s">
        <v>424</v>
      </c>
      <c r="K600" s="11" t="s">
        <v>446</v>
      </c>
      <c r="L600" s="11" t="s">
        <v>493</v>
      </c>
      <c r="M600" s="12" t="s">
        <v>494</v>
      </c>
      <c r="N600" s="11">
        <v>2501</v>
      </c>
      <c r="O600" s="12" t="s">
        <v>495</v>
      </c>
      <c r="P600" s="13" t="s">
        <v>3102</v>
      </c>
      <c r="Q600" s="11" t="s">
        <v>825</v>
      </c>
      <c r="R600" s="11" t="s">
        <v>326</v>
      </c>
      <c r="S600" s="11" t="s">
        <v>133</v>
      </c>
      <c r="T600" s="11">
        <v>1</v>
      </c>
      <c r="U600" s="11" t="s">
        <v>327</v>
      </c>
      <c r="V600" s="11" t="s">
        <v>3103</v>
      </c>
      <c r="W600" s="11" t="s">
        <v>3104</v>
      </c>
      <c r="X600" s="369">
        <v>46044.663194444453</v>
      </c>
      <c r="Y600" s="11" t="s">
        <v>3105</v>
      </c>
      <c r="Z600" s="11">
        <v>0.3</v>
      </c>
      <c r="AA600" s="11"/>
      <c r="AB600" s="11" t="s">
        <v>330</v>
      </c>
      <c r="AC600" s="212" t="s">
        <v>3106</v>
      </c>
      <c r="AD600" s="11"/>
      <c r="AE600" s="11"/>
      <c r="AF600" s="11"/>
      <c r="AG600" s="11"/>
      <c r="AH600" s="11"/>
      <c r="AI600" s="11"/>
      <c r="AJ600" s="11"/>
      <c r="AK600" s="11" t="s">
        <v>332</v>
      </c>
      <c r="AL600" s="213">
        <f t="shared" si="18"/>
        <v>46044</v>
      </c>
      <c r="AM600" s="211">
        <f t="shared" si="19"/>
        <v>46044</v>
      </c>
    </row>
    <row r="601" spans="1:39" ht="21.6" customHeight="1">
      <c r="A601" s="11">
        <v>176</v>
      </c>
      <c r="B601" s="11" t="s">
        <v>363</v>
      </c>
      <c r="C601" s="11">
        <v>2026012978</v>
      </c>
      <c r="D601" s="11" t="s">
        <v>3107</v>
      </c>
      <c r="E601" s="11" t="s">
        <v>365</v>
      </c>
      <c r="F601" s="11">
        <v>2390</v>
      </c>
      <c r="G601" s="11" t="s">
        <v>1456</v>
      </c>
      <c r="H601" s="11" t="s">
        <v>763</v>
      </c>
      <c r="I601" s="11" t="s">
        <v>3108</v>
      </c>
      <c r="J601" s="11" t="s">
        <v>424</v>
      </c>
      <c r="K601" s="11" t="s">
        <v>446</v>
      </c>
      <c r="L601" s="11" t="s">
        <v>493</v>
      </c>
      <c r="M601" s="12" t="s">
        <v>494</v>
      </c>
      <c r="N601" s="11">
        <v>2501</v>
      </c>
      <c r="O601" s="12" t="s">
        <v>495</v>
      </c>
      <c r="P601" s="13" t="s">
        <v>3109</v>
      </c>
      <c r="Q601" s="11" t="s">
        <v>1459</v>
      </c>
      <c r="R601" s="11" t="s">
        <v>326</v>
      </c>
      <c r="S601" s="11" t="s">
        <v>118</v>
      </c>
      <c r="T601" s="11">
        <v>1</v>
      </c>
      <c r="U601" s="11" t="s">
        <v>327</v>
      </c>
      <c r="V601" s="11" t="s">
        <v>3110</v>
      </c>
      <c r="W601" s="11" t="s">
        <v>3111</v>
      </c>
      <c r="X601" s="369">
        <v>46044.479166666657</v>
      </c>
      <c r="Y601" s="11" t="s">
        <v>3112</v>
      </c>
      <c r="Z601" s="11">
        <v>0.5</v>
      </c>
      <c r="AA601" s="11"/>
      <c r="AB601" s="11" t="s">
        <v>330</v>
      </c>
      <c r="AC601" s="212" t="s">
        <v>3113</v>
      </c>
      <c r="AD601" s="11"/>
      <c r="AE601" s="11"/>
      <c r="AF601" s="11"/>
      <c r="AG601" s="11"/>
      <c r="AH601" s="11"/>
      <c r="AI601" s="11"/>
      <c r="AJ601" s="11"/>
      <c r="AK601" s="11" t="s">
        <v>332</v>
      </c>
      <c r="AL601" s="213">
        <f t="shared" si="18"/>
        <v>46044</v>
      </c>
      <c r="AM601" s="211">
        <f t="shared" si="19"/>
        <v>46044</v>
      </c>
    </row>
    <row r="602" spans="1:39" ht="21.6" customHeight="1">
      <c r="A602" s="11">
        <v>177</v>
      </c>
      <c r="B602" s="11" t="s">
        <v>322</v>
      </c>
      <c r="C602" s="11">
        <v>2026012997</v>
      </c>
      <c r="D602" s="11"/>
      <c r="E602" s="11"/>
      <c r="F602" s="11" t="s">
        <v>56</v>
      </c>
      <c r="G602" s="11" t="s">
        <v>874</v>
      </c>
      <c r="H602" s="11" t="s">
        <v>358</v>
      </c>
      <c r="I602" s="11"/>
      <c r="J602" s="11"/>
      <c r="K602" s="11"/>
      <c r="L602" s="11"/>
      <c r="M602" s="12"/>
      <c r="N602" s="11"/>
      <c r="O602" s="12"/>
      <c r="P602" s="13"/>
      <c r="Q602" s="11" t="s">
        <v>877</v>
      </c>
      <c r="R602" s="11" t="s">
        <v>326</v>
      </c>
      <c r="S602" s="11" t="s">
        <v>133</v>
      </c>
      <c r="T602" s="11">
        <v>1</v>
      </c>
      <c r="U602" s="11" t="s">
        <v>327</v>
      </c>
      <c r="V602" s="11" t="s">
        <v>3114</v>
      </c>
      <c r="W602" s="11" t="s">
        <v>3115</v>
      </c>
      <c r="X602" s="369">
        <v>46044.416666666657</v>
      </c>
      <c r="Y602" s="11"/>
      <c r="Z602" s="11">
        <v>0.3</v>
      </c>
      <c r="AA602" s="11"/>
      <c r="AB602" s="11" t="s">
        <v>330</v>
      </c>
      <c r="AC602" s="212" t="s">
        <v>3116</v>
      </c>
      <c r="AD602" s="11" t="s">
        <v>332</v>
      </c>
      <c r="AE602" s="11"/>
      <c r="AF602" s="11"/>
      <c r="AG602" s="11"/>
      <c r="AH602" s="11"/>
      <c r="AI602" s="11"/>
      <c r="AJ602" s="11" t="s">
        <v>332</v>
      </c>
      <c r="AK602" s="11" t="s">
        <v>332</v>
      </c>
      <c r="AL602" s="213" t="e">
        <f t="shared" si="18"/>
        <v>#VALUE!</v>
      </c>
      <c r="AM602" s="211">
        <f t="shared" si="19"/>
        <v>46044</v>
      </c>
    </row>
    <row r="603" spans="1:39" ht="21.6" customHeight="1">
      <c r="A603" s="11">
        <v>178</v>
      </c>
      <c r="B603" s="11" t="s">
        <v>322</v>
      </c>
      <c r="C603" s="11">
        <v>2026013011</v>
      </c>
      <c r="D603" s="11"/>
      <c r="E603" s="11"/>
      <c r="F603" s="11">
        <v>2390</v>
      </c>
      <c r="G603" s="11" t="s">
        <v>1456</v>
      </c>
      <c r="H603" s="11" t="s">
        <v>763</v>
      </c>
      <c r="I603" s="11"/>
      <c r="J603" s="11"/>
      <c r="K603" s="11"/>
      <c r="L603" s="11"/>
      <c r="M603" s="12"/>
      <c r="N603" s="11"/>
      <c r="O603" s="12"/>
      <c r="P603" s="13"/>
      <c r="Q603" s="11" t="s">
        <v>1459</v>
      </c>
      <c r="R603" s="11" t="s">
        <v>326</v>
      </c>
      <c r="S603" s="11" t="s">
        <v>118</v>
      </c>
      <c r="T603" s="11">
        <v>1</v>
      </c>
      <c r="U603" s="11" t="s">
        <v>327</v>
      </c>
      <c r="V603" s="11" t="s">
        <v>3117</v>
      </c>
      <c r="W603" s="11" t="s">
        <v>3118</v>
      </c>
      <c r="X603" s="369">
        <v>46044.5</v>
      </c>
      <c r="Y603" s="11"/>
      <c r="Z603" s="11">
        <v>0.5</v>
      </c>
      <c r="AA603" s="11"/>
      <c r="AB603" s="11" t="s">
        <v>330</v>
      </c>
      <c r="AC603" s="212" t="s">
        <v>3119</v>
      </c>
      <c r="AD603" s="11" t="s">
        <v>332</v>
      </c>
      <c r="AE603" s="11"/>
      <c r="AF603" s="11"/>
      <c r="AG603" s="11"/>
      <c r="AH603" s="11"/>
      <c r="AI603" s="11"/>
      <c r="AJ603" s="11" t="s">
        <v>332</v>
      </c>
      <c r="AK603" s="11" t="s">
        <v>332</v>
      </c>
      <c r="AL603" s="213" t="e">
        <f t="shared" si="18"/>
        <v>#VALUE!</v>
      </c>
      <c r="AM603" s="211">
        <f t="shared" si="19"/>
        <v>46044</v>
      </c>
    </row>
    <row r="604" spans="1:39" ht="21.6" customHeight="1">
      <c r="A604" s="11">
        <v>179</v>
      </c>
      <c r="B604" s="11" t="s">
        <v>322</v>
      </c>
      <c r="C604" s="11">
        <v>2026013012</v>
      </c>
      <c r="D604" s="11"/>
      <c r="E604" s="11"/>
      <c r="F604" s="11">
        <v>4981</v>
      </c>
      <c r="G604" s="11" t="s">
        <v>3120</v>
      </c>
      <c r="H604" s="11" t="s">
        <v>2446</v>
      </c>
      <c r="I604" s="11"/>
      <c r="J604" s="11"/>
      <c r="K604" s="11"/>
      <c r="L604" s="11"/>
      <c r="M604" s="12"/>
      <c r="N604" s="11"/>
      <c r="O604" s="12"/>
      <c r="P604" s="13"/>
      <c r="Q604" s="11" t="s">
        <v>3121</v>
      </c>
      <c r="R604" s="11" t="s">
        <v>326</v>
      </c>
      <c r="S604" s="11" t="s">
        <v>123</v>
      </c>
      <c r="T604" s="11">
        <v>1</v>
      </c>
      <c r="U604" s="11" t="s">
        <v>327</v>
      </c>
      <c r="V604" s="11" t="s">
        <v>3122</v>
      </c>
      <c r="W604" s="11" t="s">
        <v>3123</v>
      </c>
      <c r="X604" s="369">
        <v>46044.529166666667</v>
      </c>
      <c r="Y604" s="11"/>
      <c r="Z604" s="11">
        <v>0.7</v>
      </c>
      <c r="AA604" s="11"/>
      <c r="AB604" s="11" t="s">
        <v>330</v>
      </c>
      <c r="AC604" s="212" t="s">
        <v>3124</v>
      </c>
      <c r="AD604" s="11" t="s">
        <v>332</v>
      </c>
      <c r="AE604" s="11"/>
      <c r="AF604" s="11"/>
      <c r="AG604" s="11"/>
      <c r="AH604" s="11"/>
      <c r="AI604" s="11"/>
      <c r="AJ604" s="11"/>
      <c r="AK604" s="11" t="s">
        <v>332</v>
      </c>
      <c r="AL604" s="213" t="e">
        <f t="shared" si="18"/>
        <v>#VALUE!</v>
      </c>
      <c r="AM604" s="211">
        <f t="shared" si="19"/>
        <v>46044</v>
      </c>
    </row>
    <row r="605" spans="1:39" ht="21.6" customHeight="1">
      <c r="A605" s="11">
        <v>180</v>
      </c>
      <c r="B605" s="11" t="s">
        <v>322</v>
      </c>
      <c r="C605" s="11">
        <v>2026013024</v>
      </c>
      <c r="D605" s="11"/>
      <c r="E605" s="11"/>
      <c r="F605" s="11">
        <v>2596</v>
      </c>
      <c r="G605" s="11" t="s">
        <v>3125</v>
      </c>
      <c r="H605" s="11" t="s">
        <v>2446</v>
      </c>
      <c r="I605" s="11"/>
      <c r="J605" s="11"/>
      <c r="K605" s="11"/>
      <c r="L605" s="11"/>
      <c r="M605" s="12"/>
      <c r="N605" s="11"/>
      <c r="O605" s="12"/>
      <c r="P605" s="13"/>
      <c r="Q605" s="11" t="s">
        <v>3126</v>
      </c>
      <c r="R605" s="11" t="s">
        <v>326</v>
      </c>
      <c r="S605" s="11" t="s">
        <v>123</v>
      </c>
      <c r="T605" s="11">
        <v>1</v>
      </c>
      <c r="U605" s="11" t="s">
        <v>327</v>
      </c>
      <c r="V605" s="11" t="s">
        <v>3127</v>
      </c>
      <c r="W605" s="11" t="s">
        <v>3128</v>
      </c>
      <c r="X605" s="369">
        <v>46044.576388888891</v>
      </c>
      <c r="Y605" s="11"/>
      <c r="Z605" s="11">
        <v>0.3</v>
      </c>
      <c r="AA605" s="11"/>
      <c r="AB605" s="11" t="s">
        <v>330</v>
      </c>
      <c r="AC605" s="212" t="s">
        <v>3129</v>
      </c>
      <c r="AD605" s="11" t="s">
        <v>332</v>
      </c>
      <c r="AE605" s="11"/>
      <c r="AF605" s="11"/>
      <c r="AG605" s="11"/>
      <c r="AH605" s="11"/>
      <c r="AI605" s="11"/>
      <c r="AJ605" s="11"/>
      <c r="AK605" s="11" t="s">
        <v>332</v>
      </c>
      <c r="AL605" s="213" t="e">
        <f t="shared" si="18"/>
        <v>#VALUE!</v>
      </c>
      <c r="AM605" s="211">
        <f t="shared" si="19"/>
        <v>46044</v>
      </c>
    </row>
    <row r="606" spans="1:39" ht="21.6" customHeight="1">
      <c r="A606" s="11">
        <v>181</v>
      </c>
      <c r="B606" s="11" t="s">
        <v>322</v>
      </c>
      <c r="C606" s="11">
        <v>2026013030</v>
      </c>
      <c r="D606" s="11"/>
      <c r="E606" s="11"/>
      <c r="F606" s="11">
        <v>4241</v>
      </c>
      <c r="G606" s="11" t="s">
        <v>694</v>
      </c>
      <c r="H606" s="11" t="s">
        <v>358</v>
      </c>
      <c r="I606" s="11"/>
      <c r="J606" s="11"/>
      <c r="K606" s="11"/>
      <c r="L606" s="11"/>
      <c r="M606" s="12"/>
      <c r="N606" s="11"/>
      <c r="O606" s="12"/>
      <c r="P606" s="13"/>
      <c r="Q606" s="11" t="s">
        <v>695</v>
      </c>
      <c r="R606" s="11" t="s">
        <v>326</v>
      </c>
      <c r="S606" s="11" t="s">
        <v>133</v>
      </c>
      <c r="T606" s="11">
        <v>1</v>
      </c>
      <c r="U606" s="11" t="s">
        <v>327</v>
      </c>
      <c r="V606" s="11" t="s">
        <v>3130</v>
      </c>
      <c r="W606" s="11" t="s">
        <v>3131</v>
      </c>
      <c r="X606" s="369">
        <v>46044.548611111109</v>
      </c>
      <c r="Y606" s="11"/>
      <c r="Z606" s="11">
        <v>0.3</v>
      </c>
      <c r="AA606" s="11"/>
      <c r="AB606" s="11" t="s">
        <v>330</v>
      </c>
      <c r="AC606" s="212" t="s">
        <v>3132</v>
      </c>
      <c r="AD606" s="11" t="s">
        <v>332</v>
      </c>
      <c r="AE606" s="11"/>
      <c r="AF606" s="11"/>
      <c r="AG606" s="11"/>
      <c r="AH606" s="11"/>
      <c r="AI606" s="11"/>
      <c r="AJ606" s="11" t="s">
        <v>332</v>
      </c>
      <c r="AK606" s="11" t="s">
        <v>332</v>
      </c>
      <c r="AL606" s="213" t="e">
        <f t="shared" si="18"/>
        <v>#VALUE!</v>
      </c>
      <c r="AM606" s="211">
        <f t="shared" si="19"/>
        <v>46044</v>
      </c>
    </row>
    <row r="607" spans="1:39" ht="21.6" customHeight="1">
      <c r="A607" s="11">
        <v>182</v>
      </c>
      <c r="B607" s="11" t="s">
        <v>322</v>
      </c>
      <c r="C607" s="11">
        <v>2026013047</v>
      </c>
      <c r="D607" s="11"/>
      <c r="E607" s="11"/>
      <c r="F607" s="11">
        <v>4503</v>
      </c>
      <c r="G607" s="11" t="s">
        <v>3133</v>
      </c>
      <c r="H607" s="11" t="s">
        <v>2446</v>
      </c>
      <c r="I607" s="11"/>
      <c r="J607" s="11"/>
      <c r="K607" s="11"/>
      <c r="L607" s="11"/>
      <c r="M607" s="12"/>
      <c r="N607" s="11"/>
      <c r="O607" s="12"/>
      <c r="P607" s="13"/>
      <c r="Q607" s="11" t="s">
        <v>3134</v>
      </c>
      <c r="R607" s="11" t="s">
        <v>326</v>
      </c>
      <c r="S607" s="11" t="s">
        <v>123</v>
      </c>
      <c r="T607" s="11">
        <v>1</v>
      </c>
      <c r="U607" s="11" t="s">
        <v>327</v>
      </c>
      <c r="V607" s="11" t="s">
        <v>3135</v>
      </c>
      <c r="W607" s="11" t="s">
        <v>3136</v>
      </c>
      <c r="X607" s="369">
        <v>46044.604166666657</v>
      </c>
      <c r="Y607" s="11"/>
      <c r="Z607" s="11">
        <v>0.3</v>
      </c>
      <c r="AA607" s="11"/>
      <c r="AB607" s="11" t="s">
        <v>330</v>
      </c>
      <c r="AC607" s="212" t="s">
        <v>3137</v>
      </c>
      <c r="AD607" s="11" t="s">
        <v>332</v>
      </c>
      <c r="AE607" s="11"/>
      <c r="AF607" s="11"/>
      <c r="AG607" s="11"/>
      <c r="AH607" s="11"/>
      <c r="AI607" s="11"/>
      <c r="AJ607" s="11"/>
      <c r="AK607" s="11" t="s">
        <v>332</v>
      </c>
      <c r="AL607" s="213" t="e">
        <f t="shared" si="18"/>
        <v>#VALUE!</v>
      </c>
      <c r="AM607" s="211">
        <f t="shared" si="19"/>
        <v>46044</v>
      </c>
    </row>
    <row r="608" spans="1:39" ht="21.6" customHeight="1">
      <c r="A608" s="11">
        <v>183</v>
      </c>
      <c r="B608" s="11" t="s">
        <v>322</v>
      </c>
      <c r="C608" s="11">
        <v>2026013057</v>
      </c>
      <c r="D608" s="11"/>
      <c r="E608" s="11"/>
      <c r="F608" s="11">
        <v>4352</v>
      </c>
      <c r="G608" s="11" t="s">
        <v>690</v>
      </c>
      <c r="H608" s="11" t="s">
        <v>358</v>
      </c>
      <c r="I608" s="11"/>
      <c r="J608" s="11"/>
      <c r="K608" s="11"/>
      <c r="L608" s="11"/>
      <c r="M608" s="12"/>
      <c r="N608" s="11"/>
      <c r="O608" s="12"/>
      <c r="P608" s="13"/>
      <c r="Q608" s="11" t="s">
        <v>691</v>
      </c>
      <c r="R608" s="11" t="s">
        <v>326</v>
      </c>
      <c r="S608" s="11" t="s">
        <v>133</v>
      </c>
      <c r="T608" s="11">
        <v>1</v>
      </c>
      <c r="U608" s="11" t="s">
        <v>327</v>
      </c>
      <c r="V608" s="11" t="s">
        <v>3138</v>
      </c>
      <c r="W608" s="11" t="s">
        <v>3139</v>
      </c>
      <c r="X608" s="369">
        <v>46044.625694444447</v>
      </c>
      <c r="Y608" s="11"/>
      <c r="Z608" s="11">
        <v>0.4</v>
      </c>
      <c r="AA608" s="11"/>
      <c r="AB608" s="11" t="s">
        <v>330</v>
      </c>
      <c r="AC608" s="212" t="s">
        <v>3140</v>
      </c>
      <c r="AD608" s="11" t="s">
        <v>332</v>
      </c>
      <c r="AE608" s="11"/>
      <c r="AF608" s="11"/>
      <c r="AG608" s="11"/>
      <c r="AH608" s="11"/>
      <c r="AI608" s="11"/>
      <c r="AJ608" s="11" t="s">
        <v>332</v>
      </c>
      <c r="AK608" s="11" t="s">
        <v>332</v>
      </c>
      <c r="AL608" s="213" t="e">
        <f t="shared" si="18"/>
        <v>#VALUE!</v>
      </c>
      <c r="AM608" s="211">
        <f t="shared" si="19"/>
        <v>46044</v>
      </c>
    </row>
    <row r="609" spans="1:39" ht="21.6" customHeight="1">
      <c r="A609" s="11">
        <v>184</v>
      </c>
      <c r="B609" s="11" t="s">
        <v>322</v>
      </c>
      <c r="C609" s="11">
        <v>2026013075</v>
      </c>
      <c r="D609" s="11"/>
      <c r="E609" s="11"/>
      <c r="F609" s="11">
        <v>5016</v>
      </c>
      <c r="G609" s="11" t="s">
        <v>3141</v>
      </c>
      <c r="H609" s="11" t="s">
        <v>2446</v>
      </c>
      <c r="I609" s="11"/>
      <c r="J609" s="11"/>
      <c r="K609" s="11"/>
      <c r="L609" s="11"/>
      <c r="M609" s="12"/>
      <c r="N609" s="11"/>
      <c r="O609" s="12"/>
      <c r="P609" s="13"/>
      <c r="Q609" s="11" t="s">
        <v>3142</v>
      </c>
      <c r="R609" s="11" t="s">
        <v>326</v>
      </c>
      <c r="S609" s="11" t="s">
        <v>123</v>
      </c>
      <c r="T609" s="11">
        <v>1</v>
      </c>
      <c r="U609" s="11" t="s">
        <v>327</v>
      </c>
      <c r="V609" s="11" t="s">
        <v>3143</v>
      </c>
      <c r="W609" s="11" t="s">
        <v>3144</v>
      </c>
      <c r="X609" s="369">
        <v>46044.660416666673</v>
      </c>
      <c r="Y609" s="11"/>
      <c r="Z609" s="11">
        <v>0.4</v>
      </c>
      <c r="AA609" s="11"/>
      <c r="AB609" s="11" t="s">
        <v>330</v>
      </c>
      <c r="AC609" s="212" t="s">
        <v>3145</v>
      </c>
      <c r="AD609" s="11" t="s">
        <v>332</v>
      </c>
      <c r="AE609" s="11"/>
      <c r="AF609" s="11"/>
      <c r="AG609" s="11"/>
      <c r="AH609" s="11"/>
      <c r="AI609" s="11"/>
      <c r="AJ609" s="11"/>
      <c r="AK609" s="11" t="s">
        <v>332</v>
      </c>
      <c r="AL609" s="213" t="e">
        <f t="shared" si="18"/>
        <v>#VALUE!</v>
      </c>
      <c r="AM609" s="211">
        <f t="shared" si="19"/>
        <v>46044</v>
      </c>
    </row>
    <row r="610" spans="1:39" ht="21.6" customHeight="1">
      <c r="A610" s="11">
        <v>185</v>
      </c>
      <c r="B610" s="11" t="s">
        <v>322</v>
      </c>
      <c r="C610" s="11">
        <v>2026013076</v>
      </c>
      <c r="D610" s="11"/>
      <c r="E610" s="11"/>
      <c r="F610" s="11">
        <v>2428</v>
      </c>
      <c r="G610" s="11" t="s">
        <v>3146</v>
      </c>
      <c r="H610" s="11" t="s">
        <v>2446</v>
      </c>
      <c r="I610" s="11"/>
      <c r="J610" s="11"/>
      <c r="K610" s="11"/>
      <c r="L610" s="11"/>
      <c r="M610" s="12"/>
      <c r="N610" s="11"/>
      <c r="O610" s="12"/>
      <c r="P610" s="13"/>
      <c r="Q610" s="11" t="s">
        <v>3147</v>
      </c>
      <c r="R610" s="11" t="s">
        <v>326</v>
      </c>
      <c r="S610" s="11" t="s">
        <v>123</v>
      </c>
      <c r="T610" s="11">
        <v>1</v>
      </c>
      <c r="U610" s="11" t="s">
        <v>327</v>
      </c>
      <c r="V610" s="11" t="s">
        <v>3148</v>
      </c>
      <c r="W610" s="11" t="s">
        <v>3139</v>
      </c>
      <c r="X610" s="369">
        <v>46044.625</v>
      </c>
      <c r="Y610" s="11"/>
      <c r="Z610" s="11">
        <v>0.3</v>
      </c>
      <c r="AA610" s="11"/>
      <c r="AB610" s="11" t="s">
        <v>330</v>
      </c>
      <c r="AC610" s="212" t="s">
        <v>1108</v>
      </c>
      <c r="AD610" s="11" t="s">
        <v>332</v>
      </c>
      <c r="AE610" s="11"/>
      <c r="AF610" s="11"/>
      <c r="AG610" s="11"/>
      <c r="AH610" s="11"/>
      <c r="AI610" s="11"/>
      <c r="AJ610" s="11"/>
      <c r="AK610" s="11" t="s">
        <v>332</v>
      </c>
      <c r="AL610" s="213" t="e">
        <f t="shared" si="18"/>
        <v>#VALUE!</v>
      </c>
      <c r="AM610" s="211">
        <f t="shared" si="19"/>
        <v>46044</v>
      </c>
    </row>
    <row r="611" spans="1:39" ht="21.6" customHeight="1">
      <c r="A611" s="11">
        <v>186</v>
      </c>
      <c r="B611" s="11" t="s">
        <v>322</v>
      </c>
      <c r="C611" s="11">
        <v>2026013077</v>
      </c>
      <c r="D611" s="11"/>
      <c r="E611" s="11"/>
      <c r="F611" s="11">
        <v>5245</v>
      </c>
      <c r="G611" s="11" t="s">
        <v>258</v>
      </c>
      <c r="H611" s="11" t="s">
        <v>358</v>
      </c>
      <c r="I611" s="11"/>
      <c r="J611" s="11"/>
      <c r="K611" s="11"/>
      <c r="L611" s="11"/>
      <c r="M611" s="12"/>
      <c r="N611" s="11"/>
      <c r="O611" s="12"/>
      <c r="P611" s="13"/>
      <c r="Q611" s="11" t="s">
        <v>825</v>
      </c>
      <c r="R611" s="11" t="s">
        <v>326</v>
      </c>
      <c r="S611" s="11" t="s">
        <v>133</v>
      </c>
      <c r="T611" s="11">
        <v>1</v>
      </c>
      <c r="U611" s="11" t="s">
        <v>327</v>
      </c>
      <c r="V611" s="11" t="s">
        <v>3149</v>
      </c>
      <c r="W611" s="11" t="s">
        <v>3150</v>
      </c>
      <c r="X611" s="369">
        <v>46044.651388888888</v>
      </c>
      <c r="Y611" s="11"/>
      <c r="Z611" s="11">
        <v>0.3</v>
      </c>
      <c r="AA611" s="11"/>
      <c r="AB611" s="11" t="s">
        <v>330</v>
      </c>
      <c r="AC611" s="212" t="s">
        <v>3151</v>
      </c>
      <c r="AD611" s="11" t="s">
        <v>332</v>
      </c>
      <c r="AE611" s="11"/>
      <c r="AF611" s="11"/>
      <c r="AG611" s="11"/>
      <c r="AH611" s="11"/>
      <c r="AI611" s="11"/>
      <c r="AJ611" s="11" t="s">
        <v>332</v>
      </c>
      <c r="AK611" s="11" t="s">
        <v>332</v>
      </c>
      <c r="AL611" s="213" t="e">
        <f t="shared" si="18"/>
        <v>#VALUE!</v>
      </c>
      <c r="AM611" s="211">
        <f t="shared" si="19"/>
        <v>46044</v>
      </c>
    </row>
    <row r="612" spans="1:39" ht="21.6" customHeight="1">
      <c r="A612" s="11">
        <v>187</v>
      </c>
      <c r="B612" s="11" t="s">
        <v>322</v>
      </c>
      <c r="C612" s="11">
        <v>2026013083</v>
      </c>
      <c r="D612" s="11"/>
      <c r="E612" s="11"/>
      <c r="F612" s="11">
        <v>4902</v>
      </c>
      <c r="G612" s="11" t="s">
        <v>3152</v>
      </c>
      <c r="H612" s="11" t="s">
        <v>2446</v>
      </c>
      <c r="I612" s="11"/>
      <c r="J612" s="11"/>
      <c r="K612" s="11"/>
      <c r="L612" s="11"/>
      <c r="M612" s="12"/>
      <c r="N612" s="11"/>
      <c r="O612" s="12"/>
      <c r="P612" s="13"/>
      <c r="Q612" s="11" t="s">
        <v>3153</v>
      </c>
      <c r="R612" s="11" t="s">
        <v>326</v>
      </c>
      <c r="S612" s="11" t="s">
        <v>123</v>
      </c>
      <c r="T612" s="11">
        <v>1</v>
      </c>
      <c r="U612" s="11" t="s">
        <v>327</v>
      </c>
      <c r="V612" s="11" t="s">
        <v>3154</v>
      </c>
      <c r="W612" s="11" t="s">
        <v>3155</v>
      </c>
      <c r="X612" s="369">
        <v>46044.680555555547</v>
      </c>
      <c r="Y612" s="11"/>
      <c r="Z612" s="11">
        <v>0.3</v>
      </c>
      <c r="AA612" s="11"/>
      <c r="AB612" s="11" t="s">
        <v>330</v>
      </c>
      <c r="AC612" s="212" t="s">
        <v>3156</v>
      </c>
      <c r="AD612" s="11" t="s">
        <v>332</v>
      </c>
      <c r="AE612" s="11"/>
      <c r="AF612" s="11"/>
      <c r="AG612" s="11"/>
      <c r="AH612" s="11"/>
      <c r="AI612" s="11"/>
      <c r="AJ612" s="11"/>
      <c r="AK612" s="11" t="s">
        <v>332</v>
      </c>
      <c r="AL612" s="213" t="e">
        <f t="shared" si="18"/>
        <v>#VALUE!</v>
      </c>
      <c r="AM612" s="211">
        <f t="shared" si="19"/>
        <v>46044</v>
      </c>
    </row>
    <row r="613" spans="1:39" ht="21.6" customHeight="1">
      <c r="A613" s="11">
        <v>188</v>
      </c>
      <c r="B613" s="11" t="s">
        <v>322</v>
      </c>
      <c r="C613" s="11">
        <v>2026013180</v>
      </c>
      <c r="D613" s="11"/>
      <c r="E613" s="11"/>
      <c r="F613" s="11">
        <v>2222</v>
      </c>
      <c r="G613" s="11" t="s">
        <v>159</v>
      </c>
      <c r="H613" s="11" t="s">
        <v>358</v>
      </c>
      <c r="I613" s="11"/>
      <c r="J613" s="11"/>
      <c r="K613" s="11"/>
      <c r="L613" s="11"/>
      <c r="M613" s="12"/>
      <c r="N613" s="11"/>
      <c r="O613" s="12"/>
      <c r="P613" s="13"/>
      <c r="Q613" s="11" t="s">
        <v>525</v>
      </c>
      <c r="R613" s="11" t="s">
        <v>326</v>
      </c>
      <c r="S613" s="11" t="s">
        <v>133</v>
      </c>
      <c r="T613" s="11">
        <v>1</v>
      </c>
      <c r="U613" s="11" t="s">
        <v>327</v>
      </c>
      <c r="V613" s="11" t="s">
        <v>3157</v>
      </c>
      <c r="W613" s="11" t="s">
        <v>3155</v>
      </c>
      <c r="X613" s="369">
        <v>46044.677083333343</v>
      </c>
      <c r="Y613" s="11"/>
      <c r="Z613" s="11">
        <v>0.3</v>
      </c>
      <c r="AA613" s="11"/>
      <c r="AB613" s="11" t="s">
        <v>330</v>
      </c>
      <c r="AC613" s="212" t="s">
        <v>3158</v>
      </c>
      <c r="AD613" s="11" t="s">
        <v>332</v>
      </c>
      <c r="AE613" s="11"/>
      <c r="AF613" s="11"/>
      <c r="AG613" s="11"/>
      <c r="AH613" s="11"/>
      <c r="AI613" s="11"/>
      <c r="AJ613" s="11" t="s">
        <v>332</v>
      </c>
      <c r="AK613" s="11" t="s">
        <v>332</v>
      </c>
      <c r="AL613" s="213" t="e">
        <f t="shared" si="18"/>
        <v>#VALUE!</v>
      </c>
      <c r="AM613" s="211">
        <f t="shared" si="19"/>
        <v>46044</v>
      </c>
    </row>
    <row r="614" spans="1:39" ht="21.6" customHeight="1">
      <c r="A614" s="11">
        <v>189</v>
      </c>
      <c r="B614" s="11" t="s">
        <v>322</v>
      </c>
      <c r="C614" s="11">
        <v>2026013254</v>
      </c>
      <c r="D614" s="11"/>
      <c r="E614" s="11"/>
      <c r="F614" s="11">
        <v>4228</v>
      </c>
      <c r="G614" s="11" t="s">
        <v>158</v>
      </c>
      <c r="H614" s="11" t="s">
        <v>490</v>
      </c>
      <c r="I614" s="11"/>
      <c r="J614" s="11"/>
      <c r="K614" s="11"/>
      <c r="L614" s="11"/>
      <c r="M614" s="12"/>
      <c r="N614" s="11"/>
      <c r="O614" s="12"/>
      <c r="P614" s="13"/>
      <c r="Q614" s="11" t="s">
        <v>881</v>
      </c>
      <c r="R614" s="11" t="s">
        <v>326</v>
      </c>
      <c r="S614" s="11" t="s">
        <v>118</v>
      </c>
      <c r="T614" s="11">
        <v>1</v>
      </c>
      <c r="U614" s="11" t="s">
        <v>327</v>
      </c>
      <c r="V614" s="11" t="s">
        <v>3159</v>
      </c>
      <c r="W614" s="11" t="s">
        <v>3160</v>
      </c>
      <c r="X614" s="369">
        <v>46045.479166666657</v>
      </c>
      <c r="Y614" s="11"/>
      <c r="Z614" s="11">
        <v>0.5</v>
      </c>
      <c r="AA614" s="11"/>
      <c r="AB614" s="11" t="s">
        <v>330</v>
      </c>
      <c r="AC614" s="212" t="s">
        <v>152</v>
      </c>
      <c r="AD614" s="11"/>
      <c r="AE614" s="11" t="s">
        <v>332</v>
      </c>
      <c r="AF614" s="11"/>
      <c r="AG614" s="11"/>
      <c r="AH614" s="11"/>
      <c r="AI614" s="11"/>
      <c r="AJ614" s="11"/>
      <c r="AK614" s="11" t="s">
        <v>332</v>
      </c>
      <c r="AL614" s="213" t="e">
        <f t="shared" si="18"/>
        <v>#VALUE!</v>
      </c>
      <c r="AM614" s="211">
        <f t="shared" si="19"/>
        <v>46045</v>
      </c>
    </row>
  </sheetData>
  <autoFilter ref="A1:AM1" xr:uid="{00000000-0009-0000-0000-000004000000}"/>
  <phoneticPr fontId="45" type="noConversion"/>
  <conditionalFormatting sqref="C1">
    <cfRule type="duplicateValues" dxfId="474" priority="709"/>
  </conditionalFormatting>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5"/>
  <dimension ref="A1:AB1686"/>
  <sheetViews>
    <sheetView workbookViewId="0">
      <selection activeCell="D14" sqref="D14"/>
    </sheetView>
  </sheetViews>
  <sheetFormatPr defaultRowHeight="15.6"/>
  <cols>
    <col min="2" max="2" width="11.69921875" style="102" bestFit="1" customWidth="1"/>
    <col min="6" max="7" width="11.69921875" style="102" bestFit="1" customWidth="1"/>
  </cols>
  <sheetData>
    <row r="1" spans="1:28" ht="32.4" customHeight="1">
      <c r="A1" s="7" t="s">
        <v>284</v>
      </c>
      <c r="B1" s="7" t="s">
        <v>3161</v>
      </c>
      <c r="C1" s="7" t="s">
        <v>3162</v>
      </c>
      <c r="D1" s="7" t="s">
        <v>301</v>
      </c>
      <c r="E1" s="7" t="s">
        <v>302</v>
      </c>
      <c r="F1" s="7" t="s">
        <v>3163</v>
      </c>
      <c r="G1" s="7" t="s">
        <v>3164</v>
      </c>
      <c r="H1" s="7" t="s">
        <v>3165</v>
      </c>
      <c r="I1" s="7" t="s">
        <v>300</v>
      </c>
      <c r="J1" s="7" t="s">
        <v>3166</v>
      </c>
      <c r="K1" s="7" t="s">
        <v>3167</v>
      </c>
      <c r="L1" s="7" t="s">
        <v>3168</v>
      </c>
      <c r="M1" s="7" t="s">
        <v>3169</v>
      </c>
      <c r="N1" s="7" t="s">
        <v>3170</v>
      </c>
      <c r="O1" s="7" t="s">
        <v>3171</v>
      </c>
      <c r="P1" s="7" t="s">
        <v>3172</v>
      </c>
      <c r="Q1" s="7" t="s">
        <v>3173</v>
      </c>
      <c r="R1" s="7" t="s">
        <v>3174</v>
      </c>
      <c r="S1" s="7" t="s">
        <v>313</v>
      </c>
      <c r="T1" s="7" t="s">
        <v>314</v>
      </c>
      <c r="U1" s="7" t="s">
        <v>315</v>
      </c>
      <c r="V1" s="7" t="s">
        <v>316</v>
      </c>
      <c r="W1" s="7" t="s">
        <v>317</v>
      </c>
      <c r="X1" s="7" t="s">
        <v>318</v>
      </c>
      <c r="Y1" s="7" t="s">
        <v>319</v>
      </c>
      <c r="Z1" s="7" t="s">
        <v>3175</v>
      </c>
      <c r="AA1" s="7" t="s">
        <v>320</v>
      </c>
      <c r="AB1" s="7" t="s">
        <v>3176</v>
      </c>
    </row>
    <row r="2" spans="1:28" ht="62.4" customHeight="1">
      <c r="A2" s="8">
        <v>1</v>
      </c>
      <c r="B2" s="8">
        <v>2025062289</v>
      </c>
      <c r="C2" s="8">
        <v>1</v>
      </c>
      <c r="D2" s="8" t="s">
        <v>3177</v>
      </c>
      <c r="E2" s="8" t="s">
        <v>123</v>
      </c>
      <c r="F2" s="8" t="s">
        <v>3178</v>
      </c>
      <c r="G2" s="8" t="s">
        <v>3179</v>
      </c>
      <c r="H2" s="8" t="s">
        <v>3180</v>
      </c>
      <c r="I2" s="8" t="s">
        <v>3181</v>
      </c>
      <c r="J2" s="8" t="s">
        <v>3182</v>
      </c>
      <c r="K2" s="8" t="s">
        <v>3183</v>
      </c>
      <c r="L2" s="10" t="s">
        <v>3184</v>
      </c>
      <c r="M2" s="10" t="s">
        <v>3185</v>
      </c>
      <c r="N2" s="10" t="s">
        <v>123</v>
      </c>
      <c r="O2" s="8" t="s">
        <v>322</v>
      </c>
      <c r="P2" s="8"/>
      <c r="Q2" s="8">
        <v>4675</v>
      </c>
      <c r="R2" s="8">
        <v>32432</v>
      </c>
      <c r="S2" s="8" t="s">
        <v>332</v>
      </c>
      <c r="T2" s="8"/>
      <c r="U2" s="8"/>
      <c r="V2" s="8"/>
      <c r="W2" s="8"/>
      <c r="X2" s="8"/>
      <c r="Y2" s="8"/>
      <c r="Z2" s="10" t="s">
        <v>3186</v>
      </c>
      <c r="AA2" s="8" t="s">
        <v>332</v>
      </c>
      <c r="AB2" s="8">
        <v>1</v>
      </c>
    </row>
    <row r="3" spans="1:28" ht="21.6" customHeight="1">
      <c r="A3" s="8">
        <v>1</v>
      </c>
      <c r="B3" s="8">
        <v>2025012661</v>
      </c>
      <c r="C3" s="8">
        <v>1</v>
      </c>
      <c r="D3" s="8" t="s">
        <v>3177</v>
      </c>
      <c r="E3" s="8" t="s">
        <v>123</v>
      </c>
      <c r="F3" s="8" t="s">
        <v>3187</v>
      </c>
      <c r="G3" s="8" t="s">
        <v>3188</v>
      </c>
      <c r="H3" s="8" t="s">
        <v>3189</v>
      </c>
      <c r="I3" s="8" t="s">
        <v>3181</v>
      </c>
      <c r="J3" s="8" t="s">
        <v>3182</v>
      </c>
      <c r="K3" s="8" t="s">
        <v>3183</v>
      </c>
      <c r="L3" s="10" t="s">
        <v>3184</v>
      </c>
      <c r="M3" s="10" t="s">
        <v>3185</v>
      </c>
      <c r="N3" s="10" t="s">
        <v>123</v>
      </c>
      <c r="O3" s="8" t="s">
        <v>3190</v>
      </c>
      <c r="P3" s="8"/>
      <c r="Q3" s="8">
        <v>3699</v>
      </c>
      <c r="R3" s="8">
        <v>27266</v>
      </c>
      <c r="S3" s="8"/>
      <c r="T3" s="8"/>
      <c r="U3" s="8"/>
      <c r="V3" s="8"/>
      <c r="W3" s="8"/>
      <c r="X3" s="8"/>
      <c r="Y3" s="8"/>
      <c r="Z3" s="10" t="s">
        <v>3186</v>
      </c>
      <c r="AA3" s="8" t="s">
        <v>332</v>
      </c>
      <c r="AB3" s="8">
        <v>1</v>
      </c>
    </row>
    <row r="4" spans="1:28" ht="21.6" customHeight="1">
      <c r="A4" s="8">
        <v>3</v>
      </c>
      <c r="B4" s="8">
        <v>2025012216</v>
      </c>
      <c r="C4" s="8">
        <v>1</v>
      </c>
      <c r="D4" s="8" t="s">
        <v>3177</v>
      </c>
      <c r="E4" s="8" t="s">
        <v>123</v>
      </c>
      <c r="F4" s="8" t="s">
        <v>3191</v>
      </c>
      <c r="G4" s="8" t="s">
        <v>3192</v>
      </c>
      <c r="H4" s="8" t="s">
        <v>3193</v>
      </c>
      <c r="I4" s="8" t="s">
        <v>3194</v>
      </c>
      <c r="J4" s="8" t="s">
        <v>3195</v>
      </c>
      <c r="K4" s="8" t="s">
        <v>3183</v>
      </c>
      <c r="L4" s="10" t="s">
        <v>3196</v>
      </c>
      <c r="M4" s="10" t="s">
        <v>3197</v>
      </c>
      <c r="N4" s="10" t="s">
        <v>123</v>
      </c>
      <c r="O4" s="8" t="s">
        <v>3190</v>
      </c>
      <c r="P4" s="8"/>
      <c r="Q4" s="8">
        <v>76</v>
      </c>
      <c r="R4" s="8">
        <v>2881</v>
      </c>
      <c r="S4" s="8"/>
      <c r="T4" s="8"/>
      <c r="U4" s="8"/>
      <c r="V4" s="8"/>
      <c r="W4" s="8"/>
      <c r="X4" s="8"/>
      <c r="Y4" s="8"/>
      <c r="Z4" s="10" t="s">
        <v>3190</v>
      </c>
      <c r="AA4" s="8" t="s">
        <v>332</v>
      </c>
      <c r="AB4" s="8">
        <v>1</v>
      </c>
    </row>
    <row r="5" spans="1:28" ht="21.6" customHeight="1">
      <c r="A5" s="8">
        <v>4</v>
      </c>
      <c r="B5" s="8">
        <v>2025012207</v>
      </c>
      <c r="C5" s="8">
        <v>1</v>
      </c>
      <c r="D5" s="8" t="s">
        <v>3177</v>
      </c>
      <c r="E5" s="8" t="s">
        <v>123</v>
      </c>
      <c r="F5" s="8" t="s">
        <v>3191</v>
      </c>
      <c r="G5" s="8" t="s">
        <v>3198</v>
      </c>
      <c r="H5" s="8" t="s">
        <v>3199</v>
      </c>
      <c r="I5" s="8" t="s">
        <v>3200</v>
      </c>
      <c r="J5" s="8" t="s">
        <v>3195</v>
      </c>
      <c r="K5" s="8" t="s">
        <v>3183</v>
      </c>
      <c r="L5" s="10" t="s">
        <v>3201</v>
      </c>
      <c r="M5" s="10" t="s">
        <v>3202</v>
      </c>
      <c r="N5" s="10"/>
      <c r="O5" s="8" t="s">
        <v>3190</v>
      </c>
      <c r="P5" s="8"/>
      <c r="Q5" s="8">
        <v>2055</v>
      </c>
      <c r="R5" s="8">
        <v>16182</v>
      </c>
      <c r="S5" s="8"/>
      <c r="T5" s="8"/>
      <c r="U5" s="8"/>
      <c r="V5" s="8"/>
      <c r="W5" s="8"/>
      <c r="X5" s="8"/>
      <c r="Y5" s="8"/>
      <c r="Z5" s="10" t="s">
        <v>3190</v>
      </c>
      <c r="AA5" s="8" t="s">
        <v>332</v>
      </c>
      <c r="AB5" s="8">
        <v>1</v>
      </c>
    </row>
    <row r="6" spans="1:28" ht="21.6" customHeight="1">
      <c r="A6" s="8">
        <v>5</v>
      </c>
      <c r="B6" s="8">
        <v>2025011780</v>
      </c>
      <c r="C6" s="8">
        <v>1</v>
      </c>
      <c r="D6" s="8" t="s">
        <v>3177</v>
      </c>
      <c r="E6" s="8" t="s">
        <v>123</v>
      </c>
      <c r="F6" s="8" t="s">
        <v>3203</v>
      </c>
      <c r="G6" s="8" t="s">
        <v>3204</v>
      </c>
      <c r="H6" s="8" t="s">
        <v>3205</v>
      </c>
      <c r="I6" s="8" t="s">
        <v>3206</v>
      </c>
      <c r="J6" s="8" t="s">
        <v>3195</v>
      </c>
      <c r="K6" s="8" t="s">
        <v>3183</v>
      </c>
      <c r="L6" s="10" t="s">
        <v>3207</v>
      </c>
      <c r="M6" s="10" t="s">
        <v>3208</v>
      </c>
      <c r="N6" s="10" t="s">
        <v>3209</v>
      </c>
      <c r="O6" s="8" t="s">
        <v>322</v>
      </c>
      <c r="P6" s="8"/>
      <c r="Q6" s="8">
        <v>20460</v>
      </c>
      <c r="R6" s="8">
        <v>55673</v>
      </c>
      <c r="S6" s="8" t="s">
        <v>332</v>
      </c>
      <c r="T6" s="8"/>
      <c r="U6" s="8"/>
      <c r="V6" s="8"/>
      <c r="W6" s="8"/>
      <c r="X6" s="8"/>
      <c r="Y6" s="8"/>
      <c r="Z6" s="10" t="s">
        <v>3186</v>
      </c>
      <c r="AA6" s="8" t="s">
        <v>332</v>
      </c>
      <c r="AB6" s="8">
        <v>1</v>
      </c>
    </row>
    <row r="7" spans="1:28" ht="21.6" customHeight="1">
      <c r="A7" s="8">
        <v>7</v>
      </c>
      <c r="B7" s="8">
        <v>2025012206</v>
      </c>
      <c r="C7" s="8">
        <v>1</v>
      </c>
      <c r="D7" s="8" t="s">
        <v>3177</v>
      </c>
      <c r="E7" s="8" t="s">
        <v>123</v>
      </c>
      <c r="F7" s="8" t="s">
        <v>3191</v>
      </c>
      <c r="G7" s="8" t="s">
        <v>3210</v>
      </c>
      <c r="H7" s="8" t="s">
        <v>3211</v>
      </c>
      <c r="I7" s="8" t="s">
        <v>3212</v>
      </c>
      <c r="J7" s="8" t="s">
        <v>3195</v>
      </c>
      <c r="K7" s="8" t="s">
        <v>3183</v>
      </c>
      <c r="L7" s="10" t="s">
        <v>3213</v>
      </c>
      <c r="M7" s="10" t="s">
        <v>3214</v>
      </c>
      <c r="N7" s="10" t="s">
        <v>3215</v>
      </c>
      <c r="O7" s="8" t="s">
        <v>3190</v>
      </c>
      <c r="P7" s="8"/>
      <c r="Q7" s="8">
        <v>116</v>
      </c>
      <c r="R7" s="8">
        <v>680</v>
      </c>
      <c r="S7" s="8"/>
      <c r="T7" s="8"/>
      <c r="U7" s="8"/>
      <c r="V7" s="8"/>
      <c r="W7" s="8"/>
      <c r="X7" s="8"/>
      <c r="Y7" s="8"/>
      <c r="Z7" s="10" t="s">
        <v>3190</v>
      </c>
      <c r="AA7" s="8" t="s">
        <v>332</v>
      </c>
      <c r="AB7" s="8">
        <v>1</v>
      </c>
    </row>
    <row r="8" spans="1:28" ht="21.6" customHeight="1">
      <c r="A8" s="8">
        <v>8</v>
      </c>
      <c r="B8" s="8">
        <v>2025012681</v>
      </c>
      <c r="C8" s="8">
        <v>1</v>
      </c>
      <c r="D8" s="8" t="s">
        <v>3177</v>
      </c>
      <c r="E8" s="8" t="s">
        <v>123</v>
      </c>
      <c r="F8" s="8" t="s">
        <v>3187</v>
      </c>
      <c r="G8" s="8" t="s">
        <v>3216</v>
      </c>
      <c r="H8" s="8" t="s">
        <v>3217</v>
      </c>
      <c r="I8" s="8" t="s">
        <v>3218</v>
      </c>
      <c r="J8" s="8" t="s">
        <v>3195</v>
      </c>
      <c r="K8" s="8" t="s">
        <v>3183</v>
      </c>
      <c r="L8" s="10" t="s">
        <v>3219</v>
      </c>
      <c r="M8" s="10" t="s">
        <v>3220</v>
      </c>
      <c r="N8" s="10" t="s">
        <v>123</v>
      </c>
      <c r="O8" s="8" t="s">
        <v>322</v>
      </c>
      <c r="P8" s="8"/>
      <c r="Q8" s="8">
        <v>118</v>
      </c>
      <c r="R8" s="8">
        <v>5316</v>
      </c>
      <c r="S8" s="8" t="s">
        <v>332</v>
      </c>
      <c r="T8" s="8"/>
      <c r="U8" s="8"/>
      <c r="V8" s="8"/>
      <c r="W8" s="8"/>
      <c r="X8" s="8"/>
      <c r="Y8" s="8"/>
      <c r="Z8" s="10" t="s">
        <v>3186</v>
      </c>
      <c r="AA8" s="8" t="s">
        <v>332</v>
      </c>
      <c r="AB8" s="8">
        <v>1</v>
      </c>
    </row>
    <row r="9" spans="1:28" ht="21.6" customHeight="1">
      <c r="A9" s="8">
        <v>10</v>
      </c>
      <c r="B9" s="8">
        <v>2025012689</v>
      </c>
      <c r="C9" s="8">
        <v>1</v>
      </c>
      <c r="D9" s="8" t="s">
        <v>3177</v>
      </c>
      <c r="E9" s="8" t="s">
        <v>123</v>
      </c>
      <c r="F9" s="8" t="s">
        <v>3187</v>
      </c>
      <c r="G9" s="8" t="s">
        <v>3221</v>
      </c>
      <c r="H9" s="8" t="s">
        <v>3222</v>
      </c>
      <c r="I9" s="8" t="s">
        <v>3223</v>
      </c>
      <c r="J9" s="8" t="s">
        <v>3224</v>
      </c>
      <c r="K9" s="8" t="s">
        <v>3183</v>
      </c>
      <c r="L9" s="10" t="s">
        <v>3225</v>
      </c>
      <c r="M9" s="10" t="s">
        <v>3226</v>
      </c>
      <c r="N9" s="10" t="s">
        <v>3227</v>
      </c>
      <c r="O9" s="8" t="s">
        <v>322</v>
      </c>
      <c r="P9" s="8"/>
      <c r="Q9" s="8">
        <v>316</v>
      </c>
      <c r="R9" s="8">
        <v>1524</v>
      </c>
      <c r="S9" s="8" t="s">
        <v>332</v>
      </c>
      <c r="T9" s="8"/>
      <c r="U9" s="8"/>
      <c r="V9" s="8"/>
      <c r="W9" s="8"/>
      <c r="X9" s="8"/>
      <c r="Y9" s="8"/>
      <c r="Z9" s="10" t="s">
        <v>3186</v>
      </c>
      <c r="AA9" s="8" t="s">
        <v>332</v>
      </c>
      <c r="AB9" s="8">
        <v>1</v>
      </c>
    </row>
    <row r="10" spans="1:28" ht="21.6" customHeight="1">
      <c r="A10" s="8">
        <v>12</v>
      </c>
      <c r="B10" s="8">
        <v>2025012217</v>
      </c>
      <c r="C10" s="8">
        <v>1</v>
      </c>
      <c r="D10" s="8" t="s">
        <v>3177</v>
      </c>
      <c r="E10" s="8" t="s">
        <v>123</v>
      </c>
      <c r="F10" s="8" t="s">
        <v>3191</v>
      </c>
      <c r="G10" s="8" t="s">
        <v>3193</v>
      </c>
      <c r="H10" s="8" t="s">
        <v>3228</v>
      </c>
      <c r="I10" s="8" t="s">
        <v>3229</v>
      </c>
      <c r="J10" s="8" t="s">
        <v>3224</v>
      </c>
      <c r="K10" s="8" t="s">
        <v>3183</v>
      </c>
      <c r="L10" s="10" t="s">
        <v>3230</v>
      </c>
      <c r="M10" s="10" t="s">
        <v>3231</v>
      </c>
      <c r="N10" s="10" t="s">
        <v>3215</v>
      </c>
      <c r="O10" s="8" t="s">
        <v>3190</v>
      </c>
      <c r="P10" s="8"/>
      <c r="Q10" s="8">
        <v>1815</v>
      </c>
      <c r="R10" s="8">
        <v>2450</v>
      </c>
      <c r="S10" s="8"/>
      <c r="T10" s="8"/>
      <c r="U10" s="8"/>
      <c r="V10" s="8"/>
      <c r="W10" s="8"/>
      <c r="X10" s="8"/>
      <c r="Y10" s="8"/>
      <c r="Z10" s="10" t="s">
        <v>3190</v>
      </c>
      <c r="AA10" s="8" t="s">
        <v>332</v>
      </c>
      <c r="AB10" s="8">
        <v>1</v>
      </c>
    </row>
    <row r="11" spans="1:28" ht="21.6" customHeight="1">
      <c r="A11" s="8">
        <v>13</v>
      </c>
      <c r="B11" s="8">
        <v>2025012213</v>
      </c>
      <c r="C11" s="8">
        <v>1</v>
      </c>
      <c r="D11" s="8" t="s">
        <v>3177</v>
      </c>
      <c r="E11" s="8" t="s">
        <v>123</v>
      </c>
      <c r="F11" s="8" t="s">
        <v>3191</v>
      </c>
      <c r="G11" s="8" t="s">
        <v>3232</v>
      </c>
      <c r="H11" s="8" t="s">
        <v>3233</v>
      </c>
      <c r="I11" s="8" t="s">
        <v>3234</v>
      </c>
      <c r="J11" s="8" t="s">
        <v>3224</v>
      </c>
      <c r="K11" s="8" t="s">
        <v>3183</v>
      </c>
      <c r="L11" s="10" t="s">
        <v>3235</v>
      </c>
      <c r="M11" s="10" t="s">
        <v>3236</v>
      </c>
      <c r="N11" s="10" t="s">
        <v>3237</v>
      </c>
      <c r="O11" s="8" t="s">
        <v>322</v>
      </c>
      <c r="P11" s="8"/>
      <c r="Q11" s="8">
        <v>863</v>
      </c>
      <c r="R11" s="8">
        <v>42948</v>
      </c>
      <c r="S11" s="8" t="s">
        <v>332</v>
      </c>
      <c r="T11" s="8"/>
      <c r="U11" s="8"/>
      <c r="V11" s="8"/>
      <c r="W11" s="8"/>
      <c r="X11" s="8"/>
      <c r="Y11" s="8"/>
      <c r="Z11" s="10" t="s">
        <v>3186</v>
      </c>
      <c r="AA11" s="8" t="s">
        <v>332</v>
      </c>
      <c r="AB11" s="8">
        <v>1</v>
      </c>
    </row>
    <row r="12" spans="1:28" ht="21.6" customHeight="1">
      <c r="A12" s="8">
        <v>15</v>
      </c>
      <c r="B12" s="8">
        <v>2025012902</v>
      </c>
      <c r="C12" s="8">
        <v>1</v>
      </c>
      <c r="D12" s="8" t="s">
        <v>3177</v>
      </c>
      <c r="E12" s="8" t="s">
        <v>123</v>
      </c>
      <c r="F12" s="8" t="s">
        <v>3238</v>
      </c>
      <c r="G12" s="8" t="s">
        <v>3233</v>
      </c>
      <c r="H12" s="8" t="s">
        <v>3239</v>
      </c>
      <c r="I12" s="8" t="s">
        <v>3240</v>
      </c>
      <c r="J12" s="8" t="s">
        <v>3224</v>
      </c>
      <c r="K12" s="8" t="s">
        <v>3183</v>
      </c>
      <c r="L12" s="10" t="s">
        <v>3241</v>
      </c>
      <c r="M12" s="10" t="s">
        <v>3242</v>
      </c>
      <c r="N12" s="10" t="s">
        <v>123</v>
      </c>
      <c r="O12" s="8" t="s">
        <v>322</v>
      </c>
      <c r="P12" s="8"/>
      <c r="Q12" s="8">
        <v>284</v>
      </c>
      <c r="R12" s="8">
        <v>208</v>
      </c>
      <c r="S12" s="8" t="s">
        <v>332</v>
      </c>
      <c r="T12" s="8"/>
      <c r="U12" s="8"/>
      <c r="V12" s="8"/>
      <c r="W12" s="8"/>
      <c r="X12" s="8"/>
      <c r="Y12" s="8"/>
      <c r="Z12" s="10" t="s">
        <v>3243</v>
      </c>
      <c r="AA12" s="8" t="s">
        <v>332</v>
      </c>
      <c r="AB12" s="8">
        <v>1</v>
      </c>
    </row>
    <row r="13" spans="1:28" ht="21.6" customHeight="1">
      <c r="A13" s="8">
        <v>17</v>
      </c>
      <c r="B13" s="8">
        <v>2025012196</v>
      </c>
      <c r="C13" s="8">
        <v>1</v>
      </c>
      <c r="D13" s="8" t="s">
        <v>3177</v>
      </c>
      <c r="E13" s="8" t="s">
        <v>123</v>
      </c>
      <c r="F13" s="8" t="s">
        <v>3191</v>
      </c>
      <c r="G13" s="8" t="s">
        <v>3244</v>
      </c>
      <c r="H13" s="8" t="s">
        <v>3245</v>
      </c>
      <c r="I13" s="8" t="s">
        <v>3246</v>
      </c>
      <c r="J13" s="8" t="s">
        <v>3224</v>
      </c>
      <c r="K13" s="8" t="s">
        <v>3183</v>
      </c>
      <c r="L13" s="10" t="s">
        <v>3247</v>
      </c>
      <c r="M13" s="10" t="s">
        <v>3248</v>
      </c>
      <c r="N13" s="10" t="s">
        <v>3215</v>
      </c>
      <c r="O13" s="8" t="s">
        <v>3190</v>
      </c>
      <c r="P13" s="8"/>
      <c r="Q13" s="8">
        <v>315</v>
      </c>
      <c r="R13" s="8">
        <v>1057</v>
      </c>
      <c r="S13" s="8"/>
      <c r="T13" s="8"/>
      <c r="U13" s="8"/>
      <c r="V13" s="8"/>
      <c r="W13" s="8"/>
      <c r="X13" s="8"/>
      <c r="Y13" s="8"/>
      <c r="Z13" s="10" t="s">
        <v>3190</v>
      </c>
      <c r="AA13" s="8" t="s">
        <v>332</v>
      </c>
      <c r="AB13" s="8">
        <v>1</v>
      </c>
    </row>
    <row r="14" spans="1:28" ht="21.6" customHeight="1">
      <c r="A14" s="8">
        <v>20</v>
      </c>
      <c r="B14" s="8">
        <v>2025012554</v>
      </c>
      <c r="C14" s="8">
        <v>1</v>
      </c>
      <c r="D14" s="8" t="s">
        <v>3177</v>
      </c>
      <c r="E14" s="8" t="s">
        <v>123</v>
      </c>
      <c r="F14" s="8" t="s">
        <v>3249</v>
      </c>
      <c r="G14" s="8" t="s">
        <v>3250</v>
      </c>
      <c r="H14" s="8" t="s">
        <v>3251</v>
      </c>
      <c r="I14" s="8" t="s">
        <v>3252</v>
      </c>
      <c r="J14" s="8" t="s">
        <v>3253</v>
      </c>
      <c r="K14" s="8" t="s">
        <v>3183</v>
      </c>
      <c r="L14" s="10" t="s">
        <v>3254</v>
      </c>
      <c r="M14" s="10" t="s">
        <v>3255</v>
      </c>
      <c r="N14" s="10" t="s">
        <v>3256</v>
      </c>
      <c r="O14" s="8" t="s">
        <v>322</v>
      </c>
      <c r="P14" s="8"/>
      <c r="Q14" s="8"/>
      <c r="R14" s="8">
        <v>1475</v>
      </c>
      <c r="S14" s="8" t="s">
        <v>332</v>
      </c>
      <c r="T14" s="8" t="s">
        <v>332</v>
      </c>
      <c r="U14" s="8"/>
      <c r="V14" s="8"/>
      <c r="W14" s="8"/>
      <c r="X14" s="8"/>
      <c r="Y14" s="8"/>
      <c r="Z14" s="10" t="s">
        <v>3257</v>
      </c>
      <c r="AA14" s="8" t="s">
        <v>332</v>
      </c>
      <c r="AB14" s="8">
        <v>1</v>
      </c>
    </row>
    <row r="15" spans="1:28" ht="21.6" customHeight="1">
      <c r="A15" s="8">
        <v>21</v>
      </c>
      <c r="B15" s="8">
        <v>2025011782</v>
      </c>
      <c r="C15" s="8">
        <v>1</v>
      </c>
      <c r="D15" s="8" t="s">
        <v>3177</v>
      </c>
      <c r="E15" s="8" t="s">
        <v>123</v>
      </c>
      <c r="F15" s="8" t="s">
        <v>3203</v>
      </c>
      <c r="G15" s="8" t="s">
        <v>3204</v>
      </c>
      <c r="H15" s="8" t="s">
        <v>3258</v>
      </c>
      <c r="I15" s="8" t="s">
        <v>3259</v>
      </c>
      <c r="J15" s="8" t="s">
        <v>3253</v>
      </c>
      <c r="K15" s="8" t="s">
        <v>3183</v>
      </c>
      <c r="L15" s="10" t="s">
        <v>3207</v>
      </c>
      <c r="M15" s="10" t="s">
        <v>3208</v>
      </c>
      <c r="N15" s="10" t="s">
        <v>3260</v>
      </c>
      <c r="O15" s="8" t="s">
        <v>322</v>
      </c>
      <c r="P15" s="8"/>
      <c r="Q15" s="8"/>
      <c r="R15" s="8">
        <v>74663</v>
      </c>
      <c r="S15" s="8" t="s">
        <v>332</v>
      </c>
      <c r="T15" s="8"/>
      <c r="U15" s="8"/>
      <c r="V15" s="8"/>
      <c r="W15" s="8"/>
      <c r="X15" s="8"/>
      <c r="Y15" s="8"/>
      <c r="Z15" s="10" t="s">
        <v>3186</v>
      </c>
      <c r="AA15" s="8" t="s">
        <v>332</v>
      </c>
      <c r="AB15" s="8">
        <v>1</v>
      </c>
    </row>
    <row r="16" spans="1:28" ht="21.6" customHeight="1">
      <c r="A16" s="8">
        <v>25</v>
      </c>
      <c r="B16" s="8">
        <v>2025013036</v>
      </c>
      <c r="C16" s="8">
        <v>1</v>
      </c>
      <c r="D16" s="8" t="s">
        <v>3177</v>
      </c>
      <c r="E16" s="8" t="s">
        <v>123</v>
      </c>
      <c r="F16" s="8" t="s">
        <v>3238</v>
      </c>
      <c r="G16" s="8" t="s">
        <v>3261</v>
      </c>
      <c r="H16" s="8" t="s">
        <v>3262</v>
      </c>
      <c r="I16" s="8" t="s">
        <v>3263</v>
      </c>
      <c r="J16" s="8" t="s">
        <v>3253</v>
      </c>
      <c r="K16" s="8" t="s">
        <v>3183</v>
      </c>
      <c r="L16" s="10" t="s">
        <v>3264</v>
      </c>
      <c r="M16" s="10" t="s">
        <v>3265</v>
      </c>
      <c r="N16" s="10" t="s">
        <v>123</v>
      </c>
      <c r="O16" s="8" t="s">
        <v>3190</v>
      </c>
      <c r="P16" s="8"/>
      <c r="Q16" s="8"/>
      <c r="R16" s="8">
        <v>43805</v>
      </c>
      <c r="S16" s="8"/>
      <c r="T16" s="8"/>
      <c r="U16" s="8"/>
      <c r="V16" s="8"/>
      <c r="W16" s="8"/>
      <c r="X16" s="8"/>
      <c r="Y16" s="8"/>
      <c r="Z16" s="10" t="s">
        <v>3186</v>
      </c>
      <c r="AA16" s="8" t="s">
        <v>332</v>
      </c>
      <c r="AB16" s="8">
        <v>1</v>
      </c>
    </row>
    <row r="17" spans="1:28" ht="21.6" customHeight="1">
      <c r="A17" s="8">
        <v>28</v>
      </c>
      <c r="B17" s="8">
        <v>2025010766</v>
      </c>
      <c r="C17" s="8">
        <v>1</v>
      </c>
      <c r="D17" s="8" t="s">
        <v>3177</v>
      </c>
      <c r="E17" s="8" t="s">
        <v>123</v>
      </c>
      <c r="F17" s="8" t="s">
        <v>3266</v>
      </c>
      <c r="G17" s="8" t="s">
        <v>3267</v>
      </c>
      <c r="H17" s="8" t="s">
        <v>3268</v>
      </c>
      <c r="I17" s="8" t="s">
        <v>3269</v>
      </c>
      <c r="J17" s="8" t="s">
        <v>3253</v>
      </c>
      <c r="K17" s="8" t="s">
        <v>3183</v>
      </c>
      <c r="L17" s="10" t="s">
        <v>3270</v>
      </c>
      <c r="M17" s="10" t="s">
        <v>3271</v>
      </c>
      <c r="N17" s="10" t="s">
        <v>3272</v>
      </c>
      <c r="O17" s="8" t="s">
        <v>322</v>
      </c>
      <c r="P17" s="8"/>
      <c r="Q17" s="8"/>
      <c r="R17" s="8">
        <v>19974</v>
      </c>
      <c r="S17" s="8" t="s">
        <v>332</v>
      </c>
      <c r="T17" s="8"/>
      <c r="U17" s="8"/>
      <c r="V17" s="8"/>
      <c r="W17" s="8"/>
      <c r="X17" s="8"/>
      <c r="Y17" s="8"/>
      <c r="Z17" s="10" t="s">
        <v>3186</v>
      </c>
      <c r="AA17" s="8" t="s">
        <v>332</v>
      </c>
      <c r="AB17" s="8">
        <v>1</v>
      </c>
    </row>
    <row r="18" spans="1:28" ht="21.6" customHeight="1">
      <c r="A18" s="8">
        <v>32</v>
      </c>
      <c r="B18" s="8">
        <v>2025010878</v>
      </c>
      <c r="C18" s="8">
        <v>1</v>
      </c>
      <c r="D18" s="8" t="s">
        <v>3177</v>
      </c>
      <c r="E18" s="8" t="s">
        <v>123</v>
      </c>
      <c r="F18" s="8" t="s">
        <v>3273</v>
      </c>
      <c r="G18" s="8" t="s">
        <v>3274</v>
      </c>
      <c r="H18" s="8" t="s">
        <v>3275</v>
      </c>
      <c r="I18" s="8" t="s">
        <v>3276</v>
      </c>
      <c r="J18" s="8" t="s">
        <v>3277</v>
      </c>
      <c r="K18" s="8" t="s">
        <v>3183</v>
      </c>
      <c r="L18" s="10" t="s">
        <v>3278</v>
      </c>
      <c r="M18" s="10" t="s">
        <v>3279</v>
      </c>
      <c r="N18" s="10" t="s">
        <v>123</v>
      </c>
      <c r="O18" s="8" t="s">
        <v>322</v>
      </c>
      <c r="P18" s="8"/>
      <c r="Q18" s="8"/>
      <c r="R18" s="8">
        <v>47062</v>
      </c>
      <c r="S18" s="8" t="s">
        <v>332</v>
      </c>
      <c r="T18" s="8"/>
      <c r="U18" s="8"/>
      <c r="V18" s="8"/>
      <c r="W18" s="8"/>
      <c r="X18" s="8"/>
      <c r="Y18" s="8"/>
      <c r="Z18" s="10" t="s">
        <v>3186</v>
      </c>
      <c r="AA18" s="8" t="s">
        <v>332</v>
      </c>
      <c r="AB18" s="8">
        <v>1</v>
      </c>
    </row>
    <row r="19" spans="1:28" ht="21.6" customHeight="1">
      <c r="A19" s="8">
        <v>34</v>
      </c>
      <c r="B19" s="8">
        <v>2025010877</v>
      </c>
      <c r="C19" s="8">
        <v>1</v>
      </c>
      <c r="D19" s="8" t="s">
        <v>3177</v>
      </c>
      <c r="E19" s="8" t="s">
        <v>123</v>
      </c>
      <c r="F19" s="8" t="s">
        <v>3273</v>
      </c>
      <c r="G19" s="8" t="s">
        <v>3280</v>
      </c>
      <c r="H19" s="8" t="s">
        <v>3281</v>
      </c>
      <c r="I19" s="8" t="s">
        <v>3282</v>
      </c>
      <c r="J19" s="8" t="s">
        <v>3277</v>
      </c>
      <c r="K19" s="8" t="s">
        <v>3183</v>
      </c>
      <c r="L19" s="10" t="s">
        <v>3283</v>
      </c>
      <c r="M19" s="10" t="s">
        <v>3284</v>
      </c>
      <c r="N19" s="10"/>
      <c r="O19" s="8" t="s">
        <v>3190</v>
      </c>
      <c r="P19" s="8"/>
      <c r="Q19" s="8"/>
      <c r="R19" s="8">
        <v>19400</v>
      </c>
      <c r="S19" s="8"/>
      <c r="T19" s="8"/>
      <c r="U19" s="8"/>
      <c r="V19" s="8"/>
      <c r="W19" s="8"/>
      <c r="X19" s="8"/>
      <c r="Y19" s="8"/>
      <c r="Z19" s="10" t="s">
        <v>3186</v>
      </c>
      <c r="AA19" s="8" t="s">
        <v>332</v>
      </c>
      <c r="AB19" s="8">
        <v>1</v>
      </c>
    </row>
    <row r="20" spans="1:28" ht="21.6" customHeight="1">
      <c r="A20" s="8">
        <v>36</v>
      </c>
      <c r="B20" s="8">
        <v>2025012710</v>
      </c>
      <c r="C20" s="8">
        <v>1</v>
      </c>
      <c r="D20" s="8" t="s">
        <v>3177</v>
      </c>
      <c r="E20" s="8" t="s">
        <v>123</v>
      </c>
      <c r="F20" s="8" t="s">
        <v>3187</v>
      </c>
      <c r="G20" s="8" t="s">
        <v>3285</v>
      </c>
      <c r="H20" s="8" t="s">
        <v>3286</v>
      </c>
      <c r="I20" s="8" t="s">
        <v>3287</v>
      </c>
      <c r="J20" s="8" t="s">
        <v>3288</v>
      </c>
      <c r="K20" s="8" t="s">
        <v>3183</v>
      </c>
      <c r="L20" s="10" t="s">
        <v>3289</v>
      </c>
      <c r="M20" s="10" t="s">
        <v>3290</v>
      </c>
      <c r="N20" s="10" t="s">
        <v>123</v>
      </c>
      <c r="O20" s="8" t="s">
        <v>322</v>
      </c>
      <c r="P20" s="8"/>
      <c r="Q20" s="8">
        <v>10939</v>
      </c>
      <c r="R20" s="8">
        <v>142908</v>
      </c>
      <c r="S20" s="8" t="s">
        <v>332</v>
      </c>
      <c r="T20" s="8"/>
      <c r="U20" s="8"/>
      <c r="V20" s="8"/>
      <c r="W20" s="8"/>
      <c r="X20" s="8"/>
      <c r="Y20" s="8"/>
      <c r="Z20" s="10" t="s">
        <v>3186</v>
      </c>
      <c r="AA20" s="8" t="s">
        <v>332</v>
      </c>
      <c r="AB20" s="8">
        <v>1</v>
      </c>
    </row>
    <row r="21" spans="1:28" ht="21.6" customHeight="1">
      <c r="A21" s="8">
        <v>38</v>
      </c>
      <c r="B21" s="8">
        <v>2025010750</v>
      </c>
      <c r="C21" s="8">
        <v>1</v>
      </c>
      <c r="D21" s="8" t="s">
        <v>3177</v>
      </c>
      <c r="E21" s="8" t="s">
        <v>123</v>
      </c>
      <c r="F21" s="8" t="s">
        <v>3266</v>
      </c>
      <c r="G21" s="8" t="s">
        <v>3291</v>
      </c>
      <c r="H21" s="8" t="s">
        <v>3292</v>
      </c>
      <c r="I21" s="8" t="s">
        <v>3293</v>
      </c>
      <c r="J21" s="8" t="s">
        <v>3288</v>
      </c>
      <c r="K21" s="8" t="s">
        <v>3183</v>
      </c>
      <c r="L21" s="10" t="s">
        <v>3294</v>
      </c>
      <c r="M21" s="10" t="s">
        <v>3295</v>
      </c>
      <c r="N21" s="10" t="s">
        <v>3272</v>
      </c>
      <c r="O21" s="8" t="s">
        <v>322</v>
      </c>
      <c r="P21" s="8"/>
      <c r="Q21" s="8">
        <v>1476</v>
      </c>
      <c r="R21" s="8">
        <v>227221</v>
      </c>
      <c r="S21" s="8" t="s">
        <v>332</v>
      </c>
      <c r="T21" s="8"/>
      <c r="U21" s="8" t="s">
        <v>332</v>
      </c>
      <c r="V21" s="8"/>
      <c r="W21" s="8"/>
      <c r="X21" s="8"/>
      <c r="Y21" s="8"/>
      <c r="Z21" s="10" t="s">
        <v>3296</v>
      </c>
      <c r="AA21" s="8" t="s">
        <v>332</v>
      </c>
      <c r="AB21" s="8">
        <v>1</v>
      </c>
    </row>
    <row r="22" spans="1:28" ht="21.6" customHeight="1">
      <c r="A22" s="8">
        <v>40</v>
      </c>
      <c r="B22" s="8">
        <v>2025011784</v>
      </c>
      <c r="C22" s="8">
        <v>1</v>
      </c>
      <c r="D22" s="8" t="s">
        <v>3177</v>
      </c>
      <c r="E22" s="8" t="s">
        <v>123</v>
      </c>
      <c r="F22" s="8" t="s">
        <v>3203</v>
      </c>
      <c r="G22" s="8" t="s">
        <v>3204</v>
      </c>
      <c r="H22" s="8" t="s">
        <v>3258</v>
      </c>
      <c r="I22" s="8" t="s">
        <v>3297</v>
      </c>
      <c r="J22" s="8" t="s">
        <v>3298</v>
      </c>
      <c r="K22" s="8" t="s">
        <v>3183</v>
      </c>
      <c r="L22" s="10" t="s">
        <v>3207</v>
      </c>
      <c r="M22" s="10" t="s">
        <v>3208</v>
      </c>
      <c r="N22" s="10" t="s">
        <v>3299</v>
      </c>
      <c r="O22" s="8" t="s">
        <v>322</v>
      </c>
      <c r="P22" s="8"/>
      <c r="Q22" s="8"/>
      <c r="R22" s="8">
        <v>99261</v>
      </c>
      <c r="S22" s="8" t="s">
        <v>332</v>
      </c>
      <c r="T22" s="8"/>
      <c r="U22" s="8"/>
      <c r="V22" s="8"/>
      <c r="W22" s="8"/>
      <c r="X22" s="8"/>
      <c r="Y22" s="8"/>
      <c r="Z22" s="10" t="s">
        <v>3186</v>
      </c>
      <c r="AA22" s="8" t="s">
        <v>332</v>
      </c>
      <c r="AB22" s="8">
        <v>1</v>
      </c>
    </row>
    <row r="23" spans="1:28" ht="21.6" customHeight="1">
      <c r="A23" s="8">
        <v>42</v>
      </c>
      <c r="B23" s="8">
        <v>2025012203</v>
      </c>
      <c r="C23" s="8">
        <v>1</v>
      </c>
      <c r="D23" s="8" t="s">
        <v>3177</v>
      </c>
      <c r="E23" s="8" t="s">
        <v>123</v>
      </c>
      <c r="F23" s="8" t="s">
        <v>3191</v>
      </c>
      <c r="G23" s="8" t="s">
        <v>3280</v>
      </c>
      <c r="H23" s="8" t="s">
        <v>3281</v>
      </c>
      <c r="I23" s="8" t="s">
        <v>3300</v>
      </c>
      <c r="J23" s="8" t="s">
        <v>3301</v>
      </c>
      <c r="K23" s="8" t="s">
        <v>3183</v>
      </c>
      <c r="L23" s="10" t="s">
        <v>3302</v>
      </c>
      <c r="M23" s="10" t="s">
        <v>3303</v>
      </c>
      <c r="N23" s="10" t="s">
        <v>3304</v>
      </c>
      <c r="O23" s="8" t="s">
        <v>322</v>
      </c>
      <c r="P23" s="8"/>
      <c r="Q23" s="8">
        <v>27873</v>
      </c>
      <c r="R23" s="8">
        <v>25109</v>
      </c>
      <c r="S23" s="8" t="s">
        <v>332</v>
      </c>
      <c r="T23" s="8"/>
      <c r="U23" s="8"/>
      <c r="V23" s="8"/>
      <c r="W23" s="8"/>
      <c r="X23" s="8"/>
      <c r="Y23" s="8"/>
      <c r="Z23" s="10" t="s">
        <v>3186</v>
      </c>
      <c r="AA23" s="8" t="s">
        <v>332</v>
      </c>
      <c r="AB23" s="8">
        <v>1</v>
      </c>
    </row>
    <row r="24" spans="1:28" ht="21.6" customHeight="1">
      <c r="A24" s="8">
        <v>44</v>
      </c>
      <c r="B24" s="8">
        <v>2025012198</v>
      </c>
      <c r="C24" s="8">
        <v>1</v>
      </c>
      <c r="D24" s="8" t="s">
        <v>3177</v>
      </c>
      <c r="E24" s="8" t="s">
        <v>123</v>
      </c>
      <c r="F24" s="8" t="s">
        <v>3191</v>
      </c>
      <c r="G24" s="8" t="s">
        <v>3305</v>
      </c>
      <c r="H24" s="8" t="s">
        <v>3306</v>
      </c>
      <c r="I24" s="8" t="s">
        <v>3307</v>
      </c>
      <c r="J24" s="8" t="s">
        <v>3301</v>
      </c>
      <c r="K24" s="8" t="s">
        <v>3183</v>
      </c>
      <c r="L24" s="10" t="s">
        <v>3308</v>
      </c>
      <c r="M24" s="10" t="s">
        <v>3309</v>
      </c>
      <c r="N24" s="10" t="s">
        <v>3310</v>
      </c>
      <c r="O24" s="8" t="s">
        <v>322</v>
      </c>
      <c r="P24" s="8"/>
      <c r="Q24" s="8">
        <v>3743</v>
      </c>
      <c r="R24" s="8">
        <v>32238</v>
      </c>
      <c r="S24" s="8" t="s">
        <v>332</v>
      </c>
      <c r="T24" s="8"/>
      <c r="U24" s="8"/>
      <c r="V24" s="8"/>
      <c r="W24" s="8"/>
      <c r="X24" s="8"/>
      <c r="Y24" s="8"/>
      <c r="Z24" s="10" t="s">
        <v>3186</v>
      </c>
      <c r="AA24" s="8" t="s">
        <v>332</v>
      </c>
      <c r="AB24" s="8">
        <v>1</v>
      </c>
    </row>
    <row r="25" spans="1:28" ht="21.6" customHeight="1">
      <c r="A25" s="8">
        <v>46</v>
      </c>
      <c r="B25" s="8">
        <v>2025012729</v>
      </c>
      <c r="C25" s="8">
        <v>1</v>
      </c>
      <c r="D25" s="8" t="s">
        <v>3177</v>
      </c>
      <c r="E25" s="8" t="s">
        <v>123</v>
      </c>
      <c r="F25" s="8" t="s">
        <v>3187</v>
      </c>
      <c r="G25" s="8" t="s">
        <v>3311</v>
      </c>
      <c r="H25" s="8" t="s">
        <v>3312</v>
      </c>
      <c r="I25" s="8" t="s">
        <v>3313</v>
      </c>
      <c r="J25" s="8" t="s">
        <v>3301</v>
      </c>
      <c r="K25" s="8" t="s">
        <v>3183</v>
      </c>
      <c r="L25" s="10" t="s">
        <v>3314</v>
      </c>
      <c r="M25" s="10" t="s">
        <v>3315</v>
      </c>
      <c r="N25" s="10" t="s">
        <v>123</v>
      </c>
      <c r="O25" s="8" t="s">
        <v>322</v>
      </c>
      <c r="P25" s="8"/>
      <c r="Q25" s="8">
        <v>11945</v>
      </c>
      <c r="R25" s="8">
        <v>16829</v>
      </c>
      <c r="S25" s="8" t="s">
        <v>332</v>
      </c>
      <c r="T25" s="8"/>
      <c r="U25" s="8"/>
      <c r="V25" s="8"/>
      <c r="W25" s="8"/>
      <c r="X25" s="8"/>
      <c r="Y25" s="8"/>
      <c r="Z25" s="10" t="s">
        <v>3186</v>
      </c>
      <c r="AA25" s="8" t="s">
        <v>332</v>
      </c>
      <c r="AB25" s="8">
        <v>1</v>
      </c>
    </row>
    <row r="26" spans="1:28" ht="21.6" customHeight="1">
      <c r="A26" s="8">
        <v>48</v>
      </c>
      <c r="B26" s="8">
        <v>2025010437</v>
      </c>
      <c r="C26" s="8">
        <v>1</v>
      </c>
      <c r="D26" s="8" t="s">
        <v>3177</v>
      </c>
      <c r="E26" s="8" t="s">
        <v>123</v>
      </c>
      <c r="F26" s="8" t="s">
        <v>3316</v>
      </c>
      <c r="G26" s="8" t="s">
        <v>3250</v>
      </c>
      <c r="H26" s="8" t="s">
        <v>3317</v>
      </c>
      <c r="I26" s="8" t="s">
        <v>3318</v>
      </c>
      <c r="J26" s="8" t="s">
        <v>3319</v>
      </c>
      <c r="K26" s="8" t="s">
        <v>3183</v>
      </c>
      <c r="L26" s="10" t="s">
        <v>3320</v>
      </c>
      <c r="M26" s="10" t="s">
        <v>3321</v>
      </c>
      <c r="N26" s="10" t="s">
        <v>3322</v>
      </c>
      <c r="O26" s="8" t="s">
        <v>322</v>
      </c>
      <c r="P26" s="8"/>
      <c r="Q26" s="8">
        <v>4057</v>
      </c>
      <c r="R26" s="8">
        <v>212621</v>
      </c>
      <c r="S26" s="8"/>
      <c r="T26" s="8" t="s">
        <v>332</v>
      </c>
      <c r="U26" s="8"/>
      <c r="V26" s="8"/>
      <c r="W26" s="8"/>
      <c r="X26" s="8"/>
      <c r="Y26" s="8"/>
      <c r="Z26" s="10" t="s">
        <v>3323</v>
      </c>
      <c r="AA26" s="8" t="s">
        <v>332</v>
      </c>
      <c r="AB26" s="8">
        <v>1</v>
      </c>
    </row>
    <row r="27" spans="1:28" ht="21.6" customHeight="1">
      <c r="A27" s="8">
        <v>49</v>
      </c>
      <c r="B27" s="8">
        <v>2025013362</v>
      </c>
      <c r="C27" s="8">
        <v>1</v>
      </c>
      <c r="D27" s="8" t="s">
        <v>3177</v>
      </c>
      <c r="E27" s="8" t="s">
        <v>123</v>
      </c>
      <c r="F27" s="8" t="s">
        <v>3324</v>
      </c>
      <c r="G27" s="8" t="s">
        <v>3325</v>
      </c>
      <c r="H27" s="8" t="s">
        <v>3326</v>
      </c>
      <c r="I27" s="8" t="s">
        <v>3327</v>
      </c>
      <c r="J27" s="8" t="s">
        <v>3328</v>
      </c>
      <c r="K27" s="8" t="s">
        <v>3183</v>
      </c>
      <c r="L27" s="10" t="s">
        <v>3320</v>
      </c>
      <c r="M27" s="10" t="s">
        <v>3321</v>
      </c>
      <c r="N27" s="10" t="s">
        <v>3322</v>
      </c>
      <c r="O27" s="8" t="s">
        <v>322</v>
      </c>
      <c r="P27" s="8"/>
      <c r="Q27" s="8">
        <v>28</v>
      </c>
      <c r="R27" s="8">
        <v>1605</v>
      </c>
      <c r="S27" s="8" t="s">
        <v>332</v>
      </c>
      <c r="T27" s="8"/>
      <c r="U27" s="8"/>
      <c r="V27" s="8"/>
      <c r="W27" s="8"/>
      <c r="X27" s="8"/>
      <c r="Y27" s="8"/>
      <c r="Z27" s="10" t="s">
        <v>3186</v>
      </c>
      <c r="AA27" s="8" t="s">
        <v>332</v>
      </c>
      <c r="AB27" s="8">
        <v>1</v>
      </c>
    </row>
    <row r="28" spans="1:28" ht="21.6" customHeight="1">
      <c r="A28" s="8">
        <v>51</v>
      </c>
      <c r="B28" s="8">
        <v>2025012740</v>
      </c>
      <c r="C28" s="8">
        <v>1</v>
      </c>
      <c r="D28" s="8" t="s">
        <v>3177</v>
      </c>
      <c r="E28" s="8" t="s">
        <v>123</v>
      </c>
      <c r="F28" s="8" t="s">
        <v>3187</v>
      </c>
      <c r="G28" s="8" t="s">
        <v>3329</v>
      </c>
      <c r="H28" s="8" t="s">
        <v>3330</v>
      </c>
      <c r="I28" s="8" t="s">
        <v>3331</v>
      </c>
      <c r="J28" s="8" t="s">
        <v>3332</v>
      </c>
      <c r="K28" s="8" t="s">
        <v>3183</v>
      </c>
      <c r="L28" s="10" t="s">
        <v>3333</v>
      </c>
      <c r="M28" s="10" t="s">
        <v>3334</v>
      </c>
      <c r="N28" s="10"/>
      <c r="O28" s="8" t="s">
        <v>3190</v>
      </c>
      <c r="P28" s="8"/>
      <c r="Q28" s="8"/>
      <c r="R28" s="8">
        <v>308663</v>
      </c>
      <c r="S28" s="8"/>
      <c r="T28" s="8"/>
      <c r="U28" s="8"/>
      <c r="V28" s="8"/>
      <c r="W28" s="8"/>
      <c r="X28" s="8"/>
      <c r="Y28" s="8"/>
      <c r="Z28" s="10" t="s">
        <v>3186</v>
      </c>
      <c r="AA28" s="8" t="s">
        <v>332</v>
      </c>
      <c r="AB28" s="8">
        <v>1</v>
      </c>
    </row>
    <row r="29" spans="1:28" ht="21.6" customHeight="1">
      <c r="A29" s="8">
        <v>53</v>
      </c>
      <c r="B29" s="8">
        <v>2025013358</v>
      </c>
      <c r="C29" s="8">
        <v>1</v>
      </c>
      <c r="D29" s="8" t="s">
        <v>3177</v>
      </c>
      <c r="E29" s="8" t="s">
        <v>123</v>
      </c>
      <c r="F29" s="8" t="s">
        <v>3324</v>
      </c>
      <c r="G29" s="8" t="s">
        <v>3221</v>
      </c>
      <c r="H29" s="8" t="s">
        <v>3222</v>
      </c>
      <c r="I29" s="8" t="s">
        <v>3335</v>
      </c>
      <c r="J29" s="8" t="s">
        <v>3336</v>
      </c>
      <c r="K29" s="8" t="s">
        <v>3183</v>
      </c>
      <c r="L29" s="10" t="s">
        <v>3320</v>
      </c>
      <c r="M29" s="10" t="s">
        <v>3321</v>
      </c>
      <c r="N29" s="10" t="s">
        <v>3337</v>
      </c>
      <c r="O29" s="8" t="s">
        <v>322</v>
      </c>
      <c r="P29" s="8"/>
      <c r="Q29" s="8"/>
      <c r="R29" s="8">
        <v>84189</v>
      </c>
      <c r="S29" s="8" t="s">
        <v>332</v>
      </c>
      <c r="T29" s="8"/>
      <c r="U29" s="8"/>
      <c r="V29" s="8"/>
      <c r="W29" s="8"/>
      <c r="X29" s="8"/>
      <c r="Y29" s="8"/>
      <c r="Z29" s="10" t="s">
        <v>3186</v>
      </c>
      <c r="AA29" s="8" t="s">
        <v>332</v>
      </c>
      <c r="AB29" s="8">
        <v>1</v>
      </c>
    </row>
    <row r="30" spans="1:28" ht="21.6" customHeight="1">
      <c r="A30" s="8">
        <v>55</v>
      </c>
      <c r="B30" s="8">
        <v>2025013360</v>
      </c>
      <c r="C30" s="8">
        <v>1</v>
      </c>
      <c r="D30" s="8" t="s">
        <v>3177</v>
      </c>
      <c r="E30" s="8" t="s">
        <v>123</v>
      </c>
      <c r="F30" s="8" t="s">
        <v>3324</v>
      </c>
      <c r="G30" s="8" t="s">
        <v>3338</v>
      </c>
      <c r="H30" s="8" t="s">
        <v>3339</v>
      </c>
      <c r="I30" s="8" t="s">
        <v>3340</v>
      </c>
      <c r="J30" s="8" t="s">
        <v>3336</v>
      </c>
      <c r="K30" s="8" t="s">
        <v>3183</v>
      </c>
      <c r="L30" s="10" t="s">
        <v>3320</v>
      </c>
      <c r="M30" s="10" t="s">
        <v>3321</v>
      </c>
      <c r="N30" s="10" t="s">
        <v>3341</v>
      </c>
      <c r="O30" s="8" t="s">
        <v>322</v>
      </c>
      <c r="P30" s="8"/>
      <c r="Q30" s="8"/>
      <c r="R30" s="8">
        <v>42897</v>
      </c>
      <c r="S30" s="8" t="s">
        <v>332</v>
      </c>
      <c r="T30" s="8"/>
      <c r="U30" s="8"/>
      <c r="V30" s="8"/>
      <c r="W30" s="8"/>
      <c r="X30" s="8"/>
      <c r="Y30" s="8"/>
      <c r="Z30" s="10" t="s">
        <v>3186</v>
      </c>
      <c r="AA30" s="8" t="s">
        <v>332</v>
      </c>
      <c r="AB30" s="8">
        <v>1</v>
      </c>
    </row>
    <row r="31" spans="1:28" ht="21.6" customHeight="1">
      <c r="A31" s="8">
        <v>129</v>
      </c>
      <c r="B31" s="8">
        <v>2025010950</v>
      </c>
      <c r="C31" s="8">
        <v>1</v>
      </c>
      <c r="D31" s="8" t="s">
        <v>3177</v>
      </c>
      <c r="E31" s="8" t="s">
        <v>118</v>
      </c>
      <c r="F31" s="8" t="s">
        <v>3273</v>
      </c>
      <c r="G31" s="8" t="s">
        <v>3233</v>
      </c>
      <c r="H31" s="8" t="s">
        <v>3342</v>
      </c>
      <c r="I31" s="8" t="s">
        <v>3343</v>
      </c>
      <c r="J31" s="8" t="s">
        <v>3182</v>
      </c>
      <c r="K31" s="8" t="s">
        <v>3183</v>
      </c>
      <c r="L31" s="10" t="s">
        <v>3344</v>
      </c>
      <c r="M31" s="10" t="s">
        <v>3345</v>
      </c>
      <c r="N31" s="10"/>
      <c r="O31" s="8" t="s">
        <v>322</v>
      </c>
      <c r="P31" s="8"/>
      <c r="Q31" s="8">
        <v>3300</v>
      </c>
      <c r="R31" s="8">
        <v>49500</v>
      </c>
      <c r="S31" s="8"/>
      <c r="T31" s="8"/>
      <c r="U31" s="8"/>
      <c r="V31" s="8"/>
      <c r="W31" s="8"/>
      <c r="X31" s="8"/>
      <c r="Y31" s="8" t="s">
        <v>332</v>
      </c>
      <c r="Z31" s="10" t="s">
        <v>3346</v>
      </c>
      <c r="AA31" s="8" t="s">
        <v>332</v>
      </c>
      <c r="AB31" s="8">
        <v>1</v>
      </c>
    </row>
    <row r="32" spans="1:28" ht="21.6" customHeight="1">
      <c r="A32" s="8">
        <v>130</v>
      </c>
      <c r="B32" s="8">
        <v>2025012098</v>
      </c>
      <c r="C32" s="8">
        <v>1</v>
      </c>
      <c r="D32" s="8" t="s">
        <v>3177</v>
      </c>
      <c r="E32" s="8" t="s">
        <v>118</v>
      </c>
      <c r="F32" s="8" t="s">
        <v>3347</v>
      </c>
      <c r="G32" s="8" t="s">
        <v>3204</v>
      </c>
      <c r="H32" s="8" t="s">
        <v>3329</v>
      </c>
      <c r="I32" s="8" t="s">
        <v>3343</v>
      </c>
      <c r="J32" s="8" t="s">
        <v>3182</v>
      </c>
      <c r="K32" s="8" t="s">
        <v>3183</v>
      </c>
      <c r="L32" s="10" t="s">
        <v>3344</v>
      </c>
      <c r="M32" s="10" t="s">
        <v>3345</v>
      </c>
      <c r="N32" s="10"/>
      <c r="O32" s="8" t="s">
        <v>322</v>
      </c>
      <c r="P32" s="8"/>
      <c r="Q32" s="8">
        <v>3400</v>
      </c>
      <c r="R32" s="8">
        <v>51000</v>
      </c>
      <c r="S32" s="8" t="s">
        <v>332</v>
      </c>
      <c r="T32" s="8"/>
      <c r="U32" s="8"/>
      <c r="V32" s="8"/>
      <c r="W32" s="8"/>
      <c r="X32" s="8"/>
      <c r="Y32" s="8"/>
      <c r="Z32" s="10" t="s">
        <v>3348</v>
      </c>
      <c r="AA32" s="8" t="s">
        <v>332</v>
      </c>
      <c r="AB32" s="8">
        <v>1</v>
      </c>
    </row>
    <row r="33" spans="1:28" ht="21.6" customHeight="1">
      <c r="A33" s="8">
        <v>133</v>
      </c>
      <c r="B33" s="8">
        <v>2025011102</v>
      </c>
      <c r="C33" s="8">
        <v>1</v>
      </c>
      <c r="D33" s="8" t="s">
        <v>3177</v>
      </c>
      <c r="E33" s="8" t="s">
        <v>118</v>
      </c>
      <c r="F33" s="8" t="s">
        <v>3349</v>
      </c>
      <c r="G33" s="8" t="s">
        <v>3350</v>
      </c>
      <c r="H33" s="8" t="s">
        <v>3280</v>
      </c>
      <c r="I33" s="8" t="s">
        <v>3351</v>
      </c>
      <c r="J33" s="8" t="s">
        <v>3195</v>
      </c>
      <c r="K33" s="8" t="s">
        <v>3183</v>
      </c>
      <c r="L33" s="10" t="s">
        <v>3352</v>
      </c>
      <c r="M33" s="10" t="s">
        <v>3353</v>
      </c>
      <c r="N33" s="10"/>
      <c r="O33" s="8" t="s">
        <v>322</v>
      </c>
      <c r="P33" s="8"/>
      <c r="Q33" s="8">
        <v>8070</v>
      </c>
      <c r="R33" s="8">
        <v>54722</v>
      </c>
      <c r="S33" s="8" t="s">
        <v>332</v>
      </c>
      <c r="T33" s="8"/>
      <c r="U33" s="8"/>
      <c r="V33" s="8"/>
      <c r="W33" s="8"/>
      <c r="X33" s="8"/>
      <c r="Y33" s="8"/>
      <c r="Z33" s="10" t="s">
        <v>3348</v>
      </c>
      <c r="AA33" s="8" t="s">
        <v>332</v>
      </c>
      <c r="AB33" s="8">
        <v>1</v>
      </c>
    </row>
    <row r="34" spans="1:28" ht="21.6" customHeight="1">
      <c r="A34" s="8">
        <v>135</v>
      </c>
      <c r="B34" s="8">
        <v>2025012362</v>
      </c>
      <c r="C34" s="8">
        <v>1</v>
      </c>
      <c r="D34" s="8" t="s">
        <v>3177</v>
      </c>
      <c r="E34" s="8" t="s">
        <v>118</v>
      </c>
      <c r="F34" s="8" t="s">
        <v>3249</v>
      </c>
      <c r="G34" s="8" t="s">
        <v>3233</v>
      </c>
      <c r="H34" s="8" t="s">
        <v>3354</v>
      </c>
      <c r="I34" s="8" t="s">
        <v>3351</v>
      </c>
      <c r="J34" s="8" t="s">
        <v>3195</v>
      </c>
      <c r="K34" s="8" t="s">
        <v>3183</v>
      </c>
      <c r="L34" s="10" t="s">
        <v>3352</v>
      </c>
      <c r="M34" s="10" t="s">
        <v>3353</v>
      </c>
      <c r="N34" s="10"/>
      <c r="O34" s="8" t="s">
        <v>363</v>
      </c>
      <c r="P34" s="8"/>
      <c r="Q34" s="8">
        <v>8070</v>
      </c>
      <c r="R34" s="8">
        <v>54722</v>
      </c>
      <c r="S34" s="8"/>
      <c r="T34" s="8"/>
      <c r="U34" s="8"/>
      <c r="V34" s="8"/>
      <c r="W34" s="8"/>
      <c r="X34" s="8"/>
      <c r="Y34" s="8"/>
      <c r="Z34" s="10" t="s">
        <v>3355</v>
      </c>
      <c r="AA34" s="8" t="s">
        <v>332</v>
      </c>
      <c r="AB34" s="8">
        <v>1</v>
      </c>
    </row>
    <row r="35" spans="1:28" ht="21.6" customHeight="1">
      <c r="A35" s="8">
        <v>136</v>
      </c>
      <c r="B35" s="8">
        <v>2025011528</v>
      </c>
      <c r="C35" s="8">
        <v>1</v>
      </c>
      <c r="D35" s="8" t="s">
        <v>3177</v>
      </c>
      <c r="E35" s="8" t="s">
        <v>118</v>
      </c>
      <c r="F35" s="8" t="s">
        <v>3356</v>
      </c>
      <c r="G35" s="8" t="s">
        <v>3357</v>
      </c>
      <c r="H35" s="8" t="s">
        <v>3342</v>
      </c>
      <c r="I35" s="8" t="s">
        <v>3358</v>
      </c>
      <c r="J35" s="8" t="s">
        <v>3195</v>
      </c>
      <c r="K35" s="8" t="s">
        <v>3183</v>
      </c>
      <c r="L35" s="10" t="s">
        <v>3359</v>
      </c>
      <c r="M35" s="10" t="s">
        <v>3360</v>
      </c>
      <c r="N35" s="10" t="s">
        <v>3361</v>
      </c>
      <c r="O35" s="8" t="s">
        <v>322</v>
      </c>
      <c r="P35" s="8"/>
      <c r="Q35" s="8">
        <v>15006</v>
      </c>
      <c r="R35" s="8">
        <v>74119</v>
      </c>
      <c r="S35" s="8"/>
      <c r="T35" s="8"/>
      <c r="U35" s="8" t="s">
        <v>332</v>
      </c>
      <c r="V35" s="8"/>
      <c r="W35" s="8"/>
      <c r="X35" s="8"/>
      <c r="Y35" s="8"/>
      <c r="Z35" s="10" t="s">
        <v>3362</v>
      </c>
      <c r="AA35" s="8" t="s">
        <v>332</v>
      </c>
      <c r="AB35" s="8">
        <v>1</v>
      </c>
    </row>
    <row r="36" spans="1:28" ht="21.6" customHeight="1">
      <c r="A36" s="8">
        <v>137</v>
      </c>
      <c r="B36" s="8">
        <v>2025012186</v>
      </c>
      <c r="C36" s="8">
        <v>1</v>
      </c>
      <c r="D36" s="8" t="s">
        <v>3177</v>
      </c>
      <c r="E36" s="8" t="s">
        <v>118</v>
      </c>
      <c r="F36" s="8" t="s">
        <v>3191</v>
      </c>
      <c r="G36" s="8" t="s">
        <v>3363</v>
      </c>
      <c r="H36" s="8" t="s">
        <v>3233</v>
      </c>
      <c r="I36" s="8" t="s">
        <v>3358</v>
      </c>
      <c r="J36" s="8" t="s">
        <v>3195</v>
      </c>
      <c r="K36" s="8" t="s">
        <v>3183</v>
      </c>
      <c r="L36" s="10" t="s">
        <v>3359</v>
      </c>
      <c r="M36" s="10" t="s">
        <v>3360</v>
      </c>
      <c r="N36" s="10" t="s">
        <v>3361</v>
      </c>
      <c r="O36" s="8" t="s">
        <v>322</v>
      </c>
      <c r="P36" s="8"/>
      <c r="Q36" s="8">
        <v>15589</v>
      </c>
      <c r="R36" s="8">
        <v>75964</v>
      </c>
      <c r="S36" s="8" t="s">
        <v>332</v>
      </c>
      <c r="T36" s="8"/>
      <c r="U36" s="8"/>
      <c r="V36" s="8"/>
      <c r="W36" s="8"/>
      <c r="X36" s="8"/>
      <c r="Y36" s="8"/>
      <c r="Z36" s="10" t="s">
        <v>3348</v>
      </c>
      <c r="AA36" s="8" t="s">
        <v>332</v>
      </c>
      <c r="AB36" s="8">
        <v>1</v>
      </c>
    </row>
    <row r="37" spans="1:28" ht="21.6" customHeight="1">
      <c r="A37" s="8">
        <v>139</v>
      </c>
      <c r="B37" s="8">
        <v>2025011383</v>
      </c>
      <c r="C37" s="8">
        <v>1</v>
      </c>
      <c r="D37" s="8" t="s">
        <v>3177</v>
      </c>
      <c r="E37" s="8" t="s">
        <v>118</v>
      </c>
      <c r="F37" s="8" t="s">
        <v>3364</v>
      </c>
      <c r="G37" s="8" t="s">
        <v>3350</v>
      </c>
      <c r="H37" s="8" t="s">
        <v>3280</v>
      </c>
      <c r="I37" s="8" t="s">
        <v>3365</v>
      </c>
      <c r="J37" s="8" t="s">
        <v>3195</v>
      </c>
      <c r="K37" s="8" t="s">
        <v>3183</v>
      </c>
      <c r="L37" s="10" t="s">
        <v>3366</v>
      </c>
      <c r="M37" s="10" t="s">
        <v>3367</v>
      </c>
      <c r="N37" s="10"/>
      <c r="O37" s="8" t="s">
        <v>322</v>
      </c>
      <c r="P37" s="8"/>
      <c r="Q37" s="8">
        <v>1700</v>
      </c>
      <c r="R37" s="8">
        <v>34000</v>
      </c>
      <c r="S37" s="8" t="s">
        <v>332</v>
      </c>
      <c r="T37" s="8"/>
      <c r="U37" s="8"/>
      <c r="V37" s="8"/>
      <c r="W37" s="8"/>
      <c r="X37" s="8"/>
      <c r="Y37" s="8"/>
      <c r="Z37" s="10" t="s">
        <v>3348</v>
      </c>
      <c r="AA37" s="8" t="s">
        <v>332</v>
      </c>
      <c r="AB37" s="8">
        <v>1</v>
      </c>
    </row>
    <row r="38" spans="1:28" ht="21.6" customHeight="1">
      <c r="A38" s="8">
        <v>141</v>
      </c>
      <c r="B38" s="8">
        <v>2025011410</v>
      </c>
      <c r="C38" s="8">
        <v>1</v>
      </c>
      <c r="D38" s="8" t="s">
        <v>3177</v>
      </c>
      <c r="E38" s="8" t="s">
        <v>118</v>
      </c>
      <c r="F38" s="8" t="s">
        <v>3364</v>
      </c>
      <c r="G38" s="8" t="s">
        <v>3342</v>
      </c>
      <c r="H38" s="8" t="s">
        <v>3368</v>
      </c>
      <c r="I38" s="8" t="s">
        <v>3365</v>
      </c>
      <c r="J38" s="8" t="s">
        <v>3195</v>
      </c>
      <c r="K38" s="8" t="s">
        <v>3183</v>
      </c>
      <c r="L38" s="10" t="s">
        <v>3366</v>
      </c>
      <c r="M38" s="10" t="s">
        <v>3367</v>
      </c>
      <c r="N38" s="10"/>
      <c r="O38" s="8" t="s">
        <v>322</v>
      </c>
      <c r="P38" s="8"/>
      <c r="Q38" s="8">
        <v>1700</v>
      </c>
      <c r="R38" s="8">
        <v>34000</v>
      </c>
      <c r="S38" s="8"/>
      <c r="T38" s="8"/>
      <c r="U38" s="8"/>
      <c r="V38" s="8"/>
      <c r="W38" s="8"/>
      <c r="X38" s="8"/>
      <c r="Y38" s="8" t="s">
        <v>332</v>
      </c>
      <c r="Z38" s="10" t="s">
        <v>3369</v>
      </c>
      <c r="AA38" s="8" t="s">
        <v>332</v>
      </c>
      <c r="AB38" s="8">
        <v>1</v>
      </c>
    </row>
    <row r="39" spans="1:28" ht="21.6" customHeight="1">
      <c r="A39" s="8">
        <v>142</v>
      </c>
      <c r="B39" s="8">
        <v>2025011705</v>
      </c>
      <c r="C39" s="8">
        <v>1</v>
      </c>
      <c r="D39" s="8" t="s">
        <v>3177</v>
      </c>
      <c r="E39" s="8" t="s">
        <v>118</v>
      </c>
      <c r="F39" s="8" t="s">
        <v>3203</v>
      </c>
      <c r="G39" s="8" t="s">
        <v>3280</v>
      </c>
      <c r="H39" s="8" t="s">
        <v>3363</v>
      </c>
      <c r="I39" s="8" t="s">
        <v>3370</v>
      </c>
      <c r="J39" s="8" t="s">
        <v>3195</v>
      </c>
      <c r="K39" s="8" t="s">
        <v>3183</v>
      </c>
      <c r="L39" s="10" t="s">
        <v>3371</v>
      </c>
      <c r="M39" s="10" t="s">
        <v>3372</v>
      </c>
      <c r="N39" s="10" t="s">
        <v>3373</v>
      </c>
      <c r="O39" s="8" t="s">
        <v>322</v>
      </c>
      <c r="P39" s="8"/>
      <c r="Q39" s="8">
        <v>13200</v>
      </c>
      <c r="R39" s="8">
        <v>113539</v>
      </c>
      <c r="S39" s="8" t="s">
        <v>332</v>
      </c>
      <c r="T39" s="8"/>
      <c r="U39" s="8"/>
      <c r="V39" s="8"/>
      <c r="W39" s="8"/>
      <c r="X39" s="8"/>
      <c r="Y39" s="8"/>
      <c r="Z39" s="10" t="s">
        <v>3348</v>
      </c>
      <c r="AA39" s="8" t="s">
        <v>332</v>
      </c>
      <c r="AB39" s="8">
        <v>1</v>
      </c>
    </row>
    <row r="40" spans="1:28" ht="21.6" customHeight="1">
      <c r="A40" s="8">
        <v>146</v>
      </c>
      <c r="B40" s="8">
        <v>2025012312</v>
      </c>
      <c r="C40" s="8">
        <v>1</v>
      </c>
      <c r="D40" s="8" t="s">
        <v>3177</v>
      </c>
      <c r="E40" s="8" t="s">
        <v>118</v>
      </c>
      <c r="F40" s="8" t="s">
        <v>3191</v>
      </c>
      <c r="G40" s="8" t="s">
        <v>3374</v>
      </c>
      <c r="H40" s="8" t="s">
        <v>3375</v>
      </c>
      <c r="I40" s="8" t="s">
        <v>3376</v>
      </c>
      <c r="J40" s="8" t="s">
        <v>3195</v>
      </c>
      <c r="K40" s="8" t="s">
        <v>3183</v>
      </c>
      <c r="L40" s="10" t="s">
        <v>3377</v>
      </c>
      <c r="M40" s="10" t="s">
        <v>3378</v>
      </c>
      <c r="N40" s="10" t="s">
        <v>3379</v>
      </c>
      <c r="O40" s="8" t="s">
        <v>322</v>
      </c>
      <c r="P40" s="8"/>
      <c r="Q40" s="8">
        <v>21984</v>
      </c>
      <c r="R40" s="8">
        <v>65417</v>
      </c>
      <c r="S40" s="8"/>
      <c r="T40" s="8"/>
      <c r="U40" s="8"/>
      <c r="V40" s="8"/>
      <c r="W40" s="8"/>
      <c r="X40" s="8"/>
      <c r="Y40" s="8" t="s">
        <v>332</v>
      </c>
      <c r="Z40" s="10" t="s">
        <v>3380</v>
      </c>
      <c r="AA40" s="8" t="s">
        <v>332</v>
      </c>
      <c r="AB40" s="8">
        <v>1</v>
      </c>
    </row>
    <row r="41" spans="1:28" ht="21.6" customHeight="1">
      <c r="A41" s="8">
        <v>159</v>
      </c>
      <c r="B41" s="8">
        <v>2025011527</v>
      </c>
      <c r="C41" s="8">
        <v>1</v>
      </c>
      <c r="D41" s="8" t="s">
        <v>3177</v>
      </c>
      <c r="E41" s="8" t="s">
        <v>118</v>
      </c>
      <c r="F41" s="8" t="s">
        <v>3356</v>
      </c>
      <c r="G41" s="8" t="s">
        <v>3233</v>
      </c>
      <c r="H41" s="8" t="s">
        <v>3381</v>
      </c>
      <c r="I41" s="8" t="s">
        <v>3382</v>
      </c>
      <c r="J41" s="8" t="s">
        <v>3224</v>
      </c>
      <c r="K41" s="8" t="s">
        <v>3183</v>
      </c>
      <c r="L41" s="10" t="s">
        <v>3383</v>
      </c>
      <c r="M41" s="10" t="s">
        <v>3384</v>
      </c>
      <c r="N41" s="10" t="s">
        <v>3385</v>
      </c>
      <c r="O41" s="8" t="s">
        <v>322</v>
      </c>
      <c r="P41" s="8">
        <v>5464</v>
      </c>
      <c r="Q41" s="8">
        <v>12466</v>
      </c>
      <c r="R41" s="8">
        <v>16973</v>
      </c>
      <c r="S41" s="8"/>
      <c r="T41" s="8"/>
      <c r="U41" s="8" t="s">
        <v>332</v>
      </c>
      <c r="V41" s="8"/>
      <c r="W41" s="8"/>
      <c r="X41" s="8"/>
      <c r="Y41" s="8"/>
      <c r="Z41" s="10" t="s">
        <v>3362</v>
      </c>
      <c r="AA41" s="8" t="s">
        <v>332</v>
      </c>
      <c r="AB41" s="8">
        <v>1</v>
      </c>
    </row>
    <row r="42" spans="1:28" ht="21.6" customHeight="1">
      <c r="A42" s="8">
        <v>162</v>
      </c>
      <c r="B42" s="8">
        <v>2025012609</v>
      </c>
      <c r="C42" s="8">
        <v>1</v>
      </c>
      <c r="D42" s="8" t="s">
        <v>3177</v>
      </c>
      <c r="E42" s="8" t="s">
        <v>118</v>
      </c>
      <c r="F42" s="8" t="s">
        <v>3249</v>
      </c>
      <c r="G42" s="8" t="s">
        <v>3386</v>
      </c>
      <c r="H42" s="8" t="s">
        <v>3387</v>
      </c>
      <c r="I42" s="8" t="s">
        <v>3252</v>
      </c>
      <c r="J42" s="8" t="s">
        <v>3253</v>
      </c>
      <c r="K42" s="8" t="s">
        <v>3183</v>
      </c>
      <c r="L42" s="10" t="s">
        <v>3254</v>
      </c>
      <c r="M42" s="10" t="s">
        <v>3255</v>
      </c>
      <c r="N42" s="10" t="s">
        <v>3256</v>
      </c>
      <c r="O42" s="8" t="s">
        <v>3190</v>
      </c>
      <c r="P42" s="8"/>
      <c r="Q42" s="8"/>
      <c r="R42" s="8">
        <v>1494</v>
      </c>
      <c r="S42" s="8"/>
      <c r="T42" s="8"/>
      <c r="U42" s="8"/>
      <c r="V42" s="8"/>
      <c r="W42" s="8"/>
      <c r="X42" s="8"/>
      <c r="Y42" s="8"/>
      <c r="Z42" s="10" t="s">
        <v>165</v>
      </c>
      <c r="AA42" s="8" t="s">
        <v>332</v>
      </c>
      <c r="AB42" s="8">
        <v>1</v>
      </c>
    </row>
    <row r="43" spans="1:28" ht="21.6" customHeight="1">
      <c r="A43" s="8">
        <v>163</v>
      </c>
      <c r="B43" s="8">
        <v>2025012606</v>
      </c>
      <c r="C43" s="8">
        <v>1</v>
      </c>
      <c r="D43" s="8" t="s">
        <v>3177</v>
      </c>
      <c r="E43" s="8" t="s">
        <v>118</v>
      </c>
      <c r="F43" s="8" t="s">
        <v>3249</v>
      </c>
      <c r="G43" s="8" t="s">
        <v>3250</v>
      </c>
      <c r="H43" s="8" t="s">
        <v>3204</v>
      </c>
      <c r="I43" s="8" t="s">
        <v>3388</v>
      </c>
      <c r="J43" s="8" t="s">
        <v>3253</v>
      </c>
      <c r="K43" s="8" t="s">
        <v>3183</v>
      </c>
      <c r="L43" s="10" t="s">
        <v>3389</v>
      </c>
      <c r="M43" s="10" t="s">
        <v>3390</v>
      </c>
      <c r="N43" s="10" t="s">
        <v>3391</v>
      </c>
      <c r="O43" s="8" t="s">
        <v>3190</v>
      </c>
      <c r="P43" s="8"/>
      <c r="Q43" s="8"/>
      <c r="R43" s="8">
        <v>39862</v>
      </c>
      <c r="S43" s="8"/>
      <c r="T43" s="8"/>
      <c r="U43" s="8"/>
      <c r="V43" s="8"/>
      <c r="W43" s="8"/>
      <c r="X43" s="8"/>
      <c r="Y43" s="8"/>
      <c r="Z43" s="10" t="s">
        <v>165</v>
      </c>
      <c r="AA43" s="8" t="s">
        <v>332</v>
      </c>
      <c r="AB43" s="8">
        <v>1</v>
      </c>
    </row>
    <row r="44" spans="1:28" ht="21.6" customHeight="1">
      <c r="A44" s="8">
        <v>166</v>
      </c>
      <c r="B44" s="8">
        <v>2025011904</v>
      </c>
      <c r="C44" s="8">
        <v>1</v>
      </c>
      <c r="D44" s="8" t="s">
        <v>3177</v>
      </c>
      <c r="E44" s="8" t="s">
        <v>118</v>
      </c>
      <c r="F44" s="8" t="s">
        <v>3347</v>
      </c>
      <c r="G44" s="8" t="s">
        <v>3233</v>
      </c>
      <c r="H44" s="8" t="s">
        <v>3291</v>
      </c>
      <c r="I44" s="8" t="s">
        <v>3392</v>
      </c>
      <c r="J44" s="8" t="s">
        <v>3253</v>
      </c>
      <c r="K44" s="8" t="s">
        <v>3183</v>
      </c>
      <c r="L44" s="10" t="s">
        <v>3254</v>
      </c>
      <c r="M44" s="10" t="s">
        <v>3393</v>
      </c>
      <c r="N44" s="10" t="s">
        <v>3394</v>
      </c>
      <c r="O44" s="8" t="s">
        <v>322</v>
      </c>
      <c r="P44" s="8"/>
      <c r="Q44" s="8"/>
      <c r="R44" s="8">
        <v>1293</v>
      </c>
      <c r="S44" s="8"/>
      <c r="T44" s="8"/>
      <c r="U44" s="8"/>
      <c r="V44" s="8"/>
      <c r="W44" s="8"/>
      <c r="X44" s="8"/>
      <c r="Y44" s="8" t="s">
        <v>332</v>
      </c>
      <c r="Z44" s="10" t="s">
        <v>3395</v>
      </c>
      <c r="AA44" s="8" t="s">
        <v>332</v>
      </c>
      <c r="AB44" s="8">
        <v>1</v>
      </c>
    </row>
    <row r="45" spans="1:28" ht="21.6" customHeight="1">
      <c r="A45" s="8">
        <v>167</v>
      </c>
      <c r="B45" s="8">
        <v>2025010692</v>
      </c>
      <c r="C45" s="8">
        <v>1</v>
      </c>
      <c r="D45" s="8" t="s">
        <v>3177</v>
      </c>
      <c r="E45" s="8" t="s">
        <v>118</v>
      </c>
      <c r="F45" s="8" t="s">
        <v>3266</v>
      </c>
      <c r="G45" s="8" t="s">
        <v>3396</v>
      </c>
      <c r="H45" s="8" t="s">
        <v>3280</v>
      </c>
      <c r="I45" s="8" t="s">
        <v>3397</v>
      </c>
      <c r="J45" s="8" t="s">
        <v>3253</v>
      </c>
      <c r="K45" s="8" t="s">
        <v>3183</v>
      </c>
      <c r="L45" s="10" t="s">
        <v>3398</v>
      </c>
      <c r="M45" s="10" t="s">
        <v>3399</v>
      </c>
      <c r="N45" s="10" t="s">
        <v>3400</v>
      </c>
      <c r="O45" s="8" t="s">
        <v>322</v>
      </c>
      <c r="P45" s="8"/>
      <c r="Q45" s="8"/>
      <c r="R45" s="8">
        <v>368083</v>
      </c>
      <c r="S45" s="8" t="s">
        <v>332</v>
      </c>
      <c r="T45" s="8"/>
      <c r="U45" s="8"/>
      <c r="V45" s="8"/>
      <c r="W45" s="8"/>
      <c r="X45" s="8"/>
      <c r="Y45" s="8"/>
      <c r="Z45" s="10" t="s">
        <v>3348</v>
      </c>
      <c r="AA45" s="8" t="s">
        <v>332</v>
      </c>
      <c r="AB45" s="8">
        <v>1</v>
      </c>
    </row>
    <row r="46" spans="1:28" ht="21.6" customHeight="1">
      <c r="A46" s="8">
        <v>169</v>
      </c>
      <c r="B46" s="8">
        <v>2025012697</v>
      </c>
      <c r="C46" s="8">
        <v>1</v>
      </c>
      <c r="D46" s="8" t="s">
        <v>3177</v>
      </c>
      <c r="E46" s="8" t="s">
        <v>118</v>
      </c>
      <c r="F46" s="8" t="s">
        <v>3187</v>
      </c>
      <c r="G46" s="8" t="s">
        <v>3401</v>
      </c>
      <c r="H46" s="8" t="s">
        <v>3402</v>
      </c>
      <c r="I46" s="8" t="s">
        <v>3397</v>
      </c>
      <c r="J46" s="8" t="s">
        <v>3253</v>
      </c>
      <c r="K46" s="8" t="s">
        <v>3183</v>
      </c>
      <c r="L46" s="10" t="s">
        <v>3398</v>
      </c>
      <c r="M46" s="10" t="s">
        <v>3399</v>
      </c>
      <c r="N46" s="10" t="s">
        <v>3400</v>
      </c>
      <c r="O46" s="8" t="s">
        <v>322</v>
      </c>
      <c r="P46" s="8"/>
      <c r="Q46" s="8"/>
      <c r="R46" s="8">
        <v>368083</v>
      </c>
      <c r="S46" s="8"/>
      <c r="T46" s="8"/>
      <c r="U46" s="8"/>
      <c r="V46" s="8"/>
      <c r="W46" s="8"/>
      <c r="X46" s="8"/>
      <c r="Y46" s="8" t="s">
        <v>332</v>
      </c>
      <c r="Z46" s="10" t="s">
        <v>3403</v>
      </c>
      <c r="AA46" s="8" t="s">
        <v>332</v>
      </c>
      <c r="AB46" s="8">
        <v>1</v>
      </c>
    </row>
    <row r="47" spans="1:28" ht="21.6" customHeight="1">
      <c r="A47" s="8">
        <v>170</v>
      </c>
      <c r="B47" s="8">
        <v>2025010696</v>
      </c>
      <c r="C47" s="8">
        <v>1</v>
      </c>
      <c r="D47" s="8" t="s">
        <v>3177</v>
      </c>
      <c r="E47" s="8" t="s">
        <v>118</v>
      </c>
      <c r="F47" s="8" t="s">
        <v>3266</v>
      </c>
      <c r="G47" s="8" t="s">
        <v>3280</v>
      </c>
      <c r="H47" s="8" t="s">
        <v>3281</v>
      </c>
      <c r="I47" s="8" t="s">
        <v>3404</v>
      </c>
      <c r="J47" s="8" t="s">
        <v>3253</v>
      </c>
      <c r="K47" s="8" t="s">
        <v>3183</v>
      </c>
      <c r="L47" s="10" t="s">
        <v>3398</v>
      </c>
      <c r="M47" s="10" t="s">
        <v>3405</v>
      </c>
      <c r="N47" s="10" t="s">
        <v>3406</v>
      </c>
      <c r="O47" s="8" t="s">
        <v>322</v>
      </c>
      <c r="P47" s="8"/>
      <c r="Q47" s="8"/>
      <c r="R47" s="8">
        <v>161922</v>
      </c>
      <c r="S47" s="8" t="s">
        <v>332</v>
      </c>
      <c r="T47" s="8"/>
      <c r="U47" s="8"/>
      <c r="V47" s="8"/>
      <c r="W47" s="8"/>
      <c r="X47" s="8"/>
      <c r="Y47" s="8"/>
      <c r="Z47" s="10" t="s">
        <v>3348</v>
      </c>
      <c r="AA47" s="8" t="s">
        <v>332</v>
      </c>
      <c r="AB47" s="8">
        <v>1</v>
      </c>
    </row>
    <row r="48" spans="1:28" ht="21.6" customHeight="1">
      <c r="A48" s="8">
        <v>172</v>
      </c>
      <c r="B48" s="8">
        <v>2025013085</v>
      </c>
      <c r="C48" s="8">
        <v>1</v>
      </c>
      <c r="D48" s="8" t="s">
        <v>3177</v>
      </c>
      <c r="E48" s="8" t="s">
        <v>118</v>
      </c>
      <c r="F48" s="8" t="s">
        <v>3407</v>
      </c>
      <c r="G48" s="8" t="s">
        <v>3350</v>
      </c>
      <c r="H48" s="8" t="s">
        <v>3280</v>
      </c>
      <c r="I48" s="8" t="s">
        <v>3408</v>
      </c>
      <c r="J48" s="8" t="s">
        <v>3253</v>
      </c>
      <c r="K48" s="8" t="s">
        <v>3183</v>
      </c>
      <c r="L48" s="10" t="s">
        <v>3409</v>
      </c>
      <c r="M48" s="10" t="s">
        <v>3410</v>
      </c>
      <c r="N48" s="10"/>
      <c r="O48" s="8" t="s">
        <v>322</v>
      </c>
      <c r="P48" s="8"/>
      <c r="Q48" s="8"/>
      <c r="R48" s="8">
        <v>294493</v>
      </c>
      <c r="S48" s="8" t="s">
        <v>332</v>
      </c>
      <c r="T48" s="8"/>
      <c r="U48" s="8"/>
      <c r="V48" s="8"/>
      <c r="W48" s="8"/>
      <c r="X48" s="8"/>
      <c r="Y48" s="8"/>
      <c r="Z48" s="10" t="s">
        <v>3411</v>
      </c>
      <c r="AA48" s="8" t="s">
        <v>332</v>
      </c>
      <c r="AB48" s="8">
        <v>1</v>
      </c>
    </row>
    <row r="49" spans="1:28" ht="21.6" customHeight="1">
      <c r="A49" s="8">
        <v>176</v>
      </c>
      <c r="B49" s="8">
        <v>2025011549</v>
      </c>
      <c r="C49" s="8">
        <v>1</v>
      </c>
      <c r="D49" s="8" t="s">
        <v>3177</v>
      </c>
      <c r="E49" s="8" t="s">
        <v>118</v>
      </c>
      <c r="F49" s="8" t="s">
        <v>3356</v>
      </c>
      <c r="G49" s="8" t="s">
        <v>3250</v>
      </c>
      <c r="H49" s="8" t="s">
        <v>3412</v>
      </c>
      <c r="I49" s="8" t="s">
        <v>3413</v>
      </c>
      <c r="J49" s="8" t="s">
        <v>3253</v>
      </c>
      <c r="K49" s="8" t="s">
        <v>3183</v>
      </c>
      <c r="L49" s="10" t="s">
        <v>3414</v>
      </c>
      <c r="M49" s="10" t="s">
        <v>3415</v>
      </c>
      <c r="N49" s="10"/>
      <c r="O49" s="8" t="s">
        <v>363</v>
      </c>
      <c r="P49" s="8"/>
      <c r="Q49" s="8"/>
      <c r="R49" s="8">
        <v>67200</v>
      </c>
      <c r="S49" s="8"/>
      <c r="T49" s="8"/>
      <c r="U49" s="8"/>
      <c r="V49" s="8"/>
      <c r="W49" s="8"/>
      <c r="X49" s="8"/>
      <c r="Y49" s="8"/>
      <c r="Z49" s="10" t="s">
        <v>3416</v>
      </c>
      <c r="AA49" s="8" t="s">
        <v>332</v>
      </c>
      <c r="AB49" s="8">
        <v>1</v>
      </c>
    </row>
    <row r="50" spans="1:28" ht="21.6" customHeight="1">
      <c r="A50" s="8">
        <v>177</v>
      </c>
      <c r="B50" s="8">
        <v>2025013200</v>
      </c>
      <c r="C50" s="8">
        <v>1</v>
      </c>
      <c r="D50" s="8" t="s">
        <v>3177</v>
      </c>
      <c r="E50" s="8" t="s">
        <v>118</v>
      </c>
      <c r="F50" s="8" t="s">
        <v>3407</v>
      </c>
      <c r="G50" s="8" t="s">
        <v>3386</v>
      </c>
      <c r="H50" s="8" t="s">
        <v>3387</v>
      </c>
      <c r="I50" s="8" t="s">
        <v>3413</v>
      </c>
      <c r="J50" s="8" t="s">
        <v>3253</v>
      </c>
      <c r="K50" s="8" t="s">
        <v>3183</v>
      </c>
      <c r="L50" s="10" t="s">
        <v>3414</v>
      </c>
      <c r="M50" s="10" t="s">
        <v>3415</v>
      </c>
      <c r="N50" s="10"/>
      <c r="O50" s="8" t="s">
        <v>322</v>
      </c>
      <c r="P50" s="8"/>
      <c r="Q50" s="8"/>
      <c r="R50" s="8">
        <v>71400</v>
      </c>
      <c r="S50" s="8" t="s">
        <v>332</v>
      </c>
      <c r="T50" s="8"/>
      <c r="U50" s="8"/>
      <c r="V50" s="8"/>
      <c r="W50" s="8"/>
      <c r="X50" s="8"/>
      <c r="Y50" s="8"/>
      <c r="Z50" s="10" t="s">
        <v>3186</v>
      </c>
      <c r="AA50" s="8" t="s">
        <v>332</v>
      </c>
      <c r="AB50" s="8">
        <v>1</v>
      </c>
    </row>
    <row r="51" spans="1:28" ht="21.6" customHeight="1">
      <c r="A51" s="8">
        <v>181</v>
      </c>
      <c r="B51" s="8">
        <v>2025011861</v>
      </c>
      <c r="C51" s="8">
        <v>1</v>
      </c>
      <c r="D51" s="8" t="s">
        <v>3177</v>
      </c>
      <c r="E51" s="8" t="s">
        <v>118</v>
      </c>
      <c r="F51" s="8" t="s">
        <v>3347</v>
      </c>
      <c r="G51" s="8" t="s">
        <v>3387</v>
      </c>
      <c r="H51" s="8" t="s">
        <v>3417</v>
      </c>
      <c r="I51" s="8" t="s">
        <v>3418</v>
      </c>
      <c r="J51" s="8" t="s">
        <v>3253</v>
      </c>
      <c r="K51" s="8" t="s">
        <v>3183</v>
      </c>
      <c r="L51" s="10" t="s">
        <v>3254</v>
      </c>
      <c r="M51" s="10" t="s">
        <v>3419</v>
      </c>
      <c r="N51" s="10" t="s">
        <v>3420</v>
      </c>
      <c r="O51" s="8" t="s">
        <v>363</v>
      </c>
      <c r="P51" s="8"/>
      <c r="Q51" s="8"/>
      <c r="R51" s="8">
        <v>58705</v>
      </c>
      <c r="S51" s="8"/>
      <c r="T51" s="8"/>
      <c r="U51" s="8"/>
      <c r="V51" s="8"/>
      <c r="W51" s="8"/>
      <c r="X51" s="8"/>
      <c r="Y51" s="8"/>
      <c r="Z51" s="10" t="s">
        <v>3421</v>
      </c>
      <c r="AA51" s="8" t="s">
        <v>332</v>
      </c>
      <c r="AB51" s="8">
        <v>1</v>
      </c>
    </row>
    <row r="52" spans="1:28" ht="21.6" customHeight="1">
      <c r="A52" s="8">
        <v>182</v>
      </c>
      <c r="B52" s="8">
        <v>2025010962</v>
      </c>
      <c r="C52" s="8">
        <v>1</v>
      </c>
      <c r="D52" s="8" t="s">
        <v>3177</v>
      </c>
      <c r="E52" s="8" t="s">
        <v>118</v>
      </c>
      <c r="F52" s="8" t="s">
        <v>3273</v>
      </c>
      <c r="G52" s="8" t="s">
        <v>3368</v>
      </c>
      <c r="H52" s="8" t="s">
        <v>3250</v>
      </c>
      <c r="I52" s="8" t="s">
        <v>3422</v>
      </c>
      <c r="J52" s="8" t="s">
        <v>3253</v>
      </c>
      <c r="K52" s="8" t="s">
        <v>3183</v>
      </c>
      <c r="L52" s="10" t="s">
        <v>3270</v>
      </c>
      <c r="M52" s="10" t="s">
        <v>3423</v>
      </c>
      <c r="N52" s="10" t="s">
        <v>3424</v>
      </c>
      <c r="O52" s="8" t="s">
        <v>3190</v>
      </c>
      <c r="P52" s="8"/>
      <c r="Q52" s="8"/>
      <c r="R52" s="8">
        <v>35888</v>
      </c>
      <c r="S52" s="8"/>
      <c r="T52" s="8"/>
      <c r="U52" s="8"/>
      <c r="V52" s="8"/>
      <c r="W52" s="8"/>
      <c r="X52" s="8"/>
      <c r="Y52" s="8"/>
      <c r="Z52" s="10" t="s">
        <v>3348</v>
      </c>
      <c r="AA52" s="8" t="s">
        <v>332</v>
      </c>
      <c r="AB52" s="8">
        <v>1</v>
      </c>
    </row>
    <row r="53" spans="1:28" ht="21.6" customHeight="1">
      <c r="A53" s="8">
        <v>184</v>
      </c>
      <c r="B53" s="8">
        <v>2025011452</v>
      </c>
      <c r="C53" s="8">
        <v>1</v>
      </c>
      <c r="D53" s="8" t="s">
        <v>3177</v>
      </c>
      <c r="E53" s="8" t="s">
        <v>118</v>
      </c>
      <c r="F53" s="8" t="s">
        <v>3364</v>
      </c>
      <c r="G53" s="8" t="s">
        <v>3425</v>
      </c>
      <c r="H53" s="8" t="s">
        <v>3426</v>
      </c>
      <c r="I53" s="8" t="s">
        <v>3422</v>
      </c>
      <c r="J53" s="8" t="s">
        <v>3253</v>
      </c>
      <c r="K53" s="8" t="s">
        <v>3183</v>
      </c>
      <c r="L53" s="10" t="s">
        <v>3270</v>
      </c>
      <c r="M53" s="10" t="s">
        <v>3423</v>
      </c>
      <c r="N53" s="10" t="s">
        <v>3424</v>
      </c>
      <c r="O53" s="8" t="s">
        <v>322</v>
      </c>
      <c r="P53" s="8"/>
      <c r="Q53" s="8"/>
      <c r="R53" s="8">
        <v>35888</v>
      </c>
      <c r="S53" s="8"/>
      <c r="T53" s="8"/>
      <c r="U53" s="8" t="s">
        <v>332</v>
      </c>
      <c r="V53" s="8"/>
      <c r="W53" s="8"/>
      <c r="X53" s="8"/>
      <c r="Y53" s="8"/>
      <c r="Z53" s="10" t="s">
        <v>3362</v>
      </c>
      <c r="AA53" s="8" t="s">
        <v>332</v>
      </c>
      <c r="AB53" s="8">
        <v>1</v>
      </c>
    </row>
    <row r="54" spans="1:28" ht="21.6" customHeight="1">
      <c r="A54" s="8">
        <v>185</v>
      </c>
      <c r="B54" s="8">
        <v>2025010965</v>
      </c>
      <c r="C54" s="8">
        <v>1</v>
      </c>
      <c r="D54" s="8" t="s">
        <v>3177</v>
      </c>
      <c r="E54" s="8" t="s">
        <v>118</v>
      </c>
      <c r="F54" s="8" t="s">
        <v>3273</v>
      </c>
      <c r="G54" s="8" t="s">
        <v>3204</v>
      </c>
      <c r="H54" s="8" t="s">
        <v>3427</v>
      </c>
      <c r="I54" s="8" t="s">
        <v>3428</v>
      </c>
      <c r="J54" s="8" t="s">
        <v>3253</v>
      </c>
      <c r="K54" s="8" t="s">
        <v>3183</v>
      </c>
      <c r="L54" s="10" t="s">
        <v>3270</v>
      </c>
      <c r="M54" s="10" t="s">
        <v>3429</v>
      </c>
      <c r="N54" s="10" t="s">
        <v>3430</v>
      </c>
      <c r="O54" s="8" t="s">
        <v>322</v>
      </c>
      <c r="P54" s="8"/>
      <c r="Q54" s="8"/>
      <c r="R54" s="8">
        <v>62731</v>
      </c>
      <c r="S54" s="8" t="s">
        <v>332</v>
      </c>
      <c r="T54" s="8"/>
      <c r="U54" s="8"/>
      <c r="V54" s="8"/>
      <c r="W54" s="8"/>
      <c r="X54" s="8"/>
      <c r="Y54" s="8"/>
      <c r="Z54" s="10" t="s">
        <v>3348</v>
      </c>
      <c r="AA54" s="8" t="s">
        <v>332</v>
      </c>
      <c r="AB54" s="8">
        <v>1</v>
      </c>
    </row>
    <row r="55" spans="1:28" ht="21.6" customHeight="1">
      <c r="A55" s="8">
        <v>187</v>
      </c>
      <c r="B55" s="8">
        <v>2025011481</v>
      </c>
      <c r="C55" s="8">
        <v>1</v>
      </c>
      <c r="D55" s="8" t="s">
        <v>3177</v>
      </c>
      <c r="E55" s="8" t="s">
        <v>118</v>
      </c>
      <c r="F55" s="8" t="s">
        <v>3364</v>
      </c>
      <c r="G55" s="8" t="s">
        <v>3431</v>
      </c>
      <c r="H55" s="8" t="s">
        <v>3432</v>
      </c>
      <c r="I55" s="8" t="s">
        <v>3428</v>
      </c>
      <c r="J55" s="8" t="s">
        <v>3253</v>
      </c>
      <c r="K55" s="8" t="s">
        <v>3183</v>
      </c>
      <c r="L55" s="10" t="s">
        <v>3270</v>
      </c>
      <c r="M55" s="10" t="s">
        <v>3429</v>
      </c>
      <c r="N55" s="10" t="s">
        <v>3430</v>
      </c>
      <c r="O55" s="8" t="s">
        <v>322</v>
      </c>
      <c r="P55" s="8"/>
      <c r="Q55" s="8"/>
      <c r="R55" s="8">
        <v>62731</v>
      </c>
      <c r="S55" s="8"/>
      <c r="T55" s="8"/>
      <c r="U55" s="8" t="s">
        <v>332</v>
      </c>
      <c r="V55" s="8"/>
      <c r="W55" s="8"/>
      <c r="X55" s="8"/>
      <c r="Y55" s="8"/>
      <c r="Z55" s="10" t="s">
        <v>3362</v>
      </c>
      <c r="AA55" s="8" t="s">
        <v>332</v>
      </c>
      <c r="AB55" s="8">
        <v>1</v>
      </c>
    </row>
    <row r="56" spans="1:28" ht="21.6" customHeight="1">
      <c r="A56" s="8">
        <v>188</v>
      </c>
      <c r="B56" s="8">
        <v>2025010991</v>
      </c>
      <c r="C56" s="8">
        <v>1</v>
      </c>
      <c r="D56" s="8" t="s">
        <v>3177</v>
      </c>
      <c r="E56" s="8" t="s">
        <v>118</v>
      </c>
      <c r="F56" s="8" t="s">
        <v>3273</v>
      </c>
      <c r="G56" s="8" t="s">
        <v>3427</v>
      </c>
      <c r="H56" s="8" t="s">
        <v>3386</v>
      </c>
      <c r="I56" s="8" t="s">
        <v>3433</v>
      </c>
      <c r="J56" s="8" t="s">
        <v>3277</v>
      </c>
      <c r="K56" s="8" t="s">
        <v>3183</v>
      </c>
      <c r="L56" s="10" t="s">
        <v>3434</v>
      </c>
      <c r="M56" s="10" t="s">
        <v>3435</v>
      </c>
      <c r="N56" s="10" t="s">
        <v>3436</v>
      </c>
      <c r="O56" s="8" t="s">
        <v>322</v>
      </c>
      <c r="P56" s="8"/>
      <c r="Q56" s="8"/>
      <c r="R56" s="8">
        <v>111205</v>
      </c>
      <c r="S56" s="8" t="s">
        <v>332</v>
      </c>
      <c r="T56" s="8"/>
      <c r="U56" s="8"/>
      <c r="V56" s="8"/>
      <c r="W56" s="8"/>
      <c r="X56" s="8"/>
      <c r="Y56" s="8"/>
      <c r="Z56" s="10" t="s">
        <v>3348</v>
      </c>
      <c r="AA56" s="8" t="s">
        <v>332</v>
      </c>
      <c r="AB56" s="8">
        <v>1</v>
      </c>
    </row>
    <row r="57" spans="1:28" ht="21.6" customHeight="1">
      <c r="A57" s="8">
        <v>190</v>
      </c>
      <c r="B57" s="8">
        <v>2025011327</v>
      </c>
      <c r="C57" s="8">
        <v>1</v>
      </c>
      <c r="D57" s="8" t="s">
        <v>3177</v>
      </c>
      <c r="E57" s="8" t="s">
        <v>118</v>
      </c>
      <c r="F57" s="8" t="s">
        <v>3349</v>
      </c>
      <c r="G57" s="8" t="s">
        <v>3437</v>
      </c>
      <c r="H57" s="8" t="s">
        <v>3438</v>
      </c>
      <c r="I57" s="8" t="s">
        <v>3433</v>
      </c>
      <c r="J57" s="8" t="s">
        <v>3277</v>
      </c>
      <c r="K57" s="8" t="s">
        <v>3183</v>
      </c>
      <c r="L57" s="10" t="s">
        <v>3434</v>
      </c>
      <c r="M57" s="10" t="s">
        <v>3435</v>
      </c>
      <c r="N57" s="10" t="s">
        <v>3436</v>
      </c>
      <c r="O57" s="8" t="s">
        <v>322</v>
      </c>
      <c r="P57" s="8"/>
      <c r="Q57" s="8"/>
      <c r="R57" s="8">
        <v>111205</v>
      </c>
      <c r="S57" s="8"/>
      <c r="T57" s="8"/>
      <c r="U57" s="8"/>
      <c r="V57" s="8"/>
      <c r="W57" s="8"/>
      <c r="X57" s="8"/>
      <c r="Y57" s="8" t="s">
        <v>332</v>
      </c>
      <c r="Z57" s="10" t="s">
        <v>3439</v>
      </c>
      <c r="AA57" s="8" t="s">
        <v>332</v>
      </c>
      <c r="AB57" s="8">
        <v>1</v>
      </c>
    </row>
    <row r="58" spans="1:28" ht="21.6" customHeight="1">
      <c r="A58" s="8">
        <v>191</v>
      </c>
      <c r="B58" s="8">
        <v>2025011525</v>
      </c>
      <c r="C58" s="8">
        <v>1</v>
      </c>
      <c r="D58" s="8" t="s">
        <v>3177</v>
      </c>
      <c r="E58" s="8" t="s">
        <v>118</v>
      </c>
      <c r="F58" s="8" t="s">
        <v>3356</v>
      </c>
      <c r="G58" s="8" t="s">
        <v>3350</v>
      </c>
      <c r="H58" s="8" t="s">
        <v>3280</v>
      </c>
      <c r="I58" s="8" t="s">
        <v>3433</v>
      </c>
      <c r="J58" s="8" t="s">
        <v>3277</v>
      </c>
      <c r="K58" s="8" t="s">
        <v>3183</v>
      </c>
      <c r="L58" s="10" t="s">
        <v>3434</v>
      </c>
      <c r="M58" s="10" t="s">
        <v>3435</v>
      </c>
      <c r="N58" s="10" t="s">
        <v>3436</v>
      </c>
      <c r="O58" s="8" t="s">
        <v>322</v>
      </c>
      <c r="P58" s="8"/>
      <c r="Q58" s="8"/>
      <c r="R58" s="8">
        <v>111205</v>
      </c>
      <c r="S58" s="8"/>
      <c r="T58" s="8"/>
      <c r="U58" s="8" t="s">
        <v>332</v>
      </c>
      <c r="V58" s="8"/>
      <c r="W58" s="8"/>
      <c r="X58" s="8"/>
      <c r="Y58" s="8"/>
      <c r="Z58" s="10" t="s">
        <v>3362</v>
      </c>
      <c r="AA58" s="8" t="s">
        <v>332</v>
      </c>
      <c r="AB58" s="8">
        <v>1</v>
      </c>
    </row>
    <row r="59" spans="1:28" ht="21.6" customHeight="1">
      <c r="A59" s="8">
        <v>192</v>
      </c>
      <c r="B59" s="8">
        <v>2025010809</v>
      </c>
      <c r="C59" s="8">
        <v>1</v>
      </c>
      <c r="D59" s="8" t="s">
        <v>3177</v>
      </c>
      <c r="E59" s="8" t="s">
        <v>118</v>
      </c>
      <c r="F59" s="8" t="s">
        <v>3266</v>
      </c>
      <c r="G59" s="8" t="s">
        <v>3250</v>
      </c>
      <c r="H59" s="8" t="s">
        <v>3427</v>
      </c>
      <c r="I59" s="8" t="s">
        <v>3440</v>
      </c>
      <c r="J59" s="8" t="s">
        <v>3277</v>
      </c>
      <c r="K59" s="8" t="s">
        <v>3183</v>
      </c>
      <c r="L59" s="10" t="s">
        <v>3434</v>
      </c>
      <c r="M59" s="10" t="s">
        <v>3441</v>
      </c>
      <c r="N59" s="10" t="s">
        <v>3442</v>
      </c>
      <c r="O59" s="8" t="s">
        <v>322</v>
      </c>
      <c r="P59" s="8"/>
      <c r="Q59" s="8"/>
      <c r="R59" s="8">
        <v>87536</v>
      </c>
      <c r="S59" s="8"/>
      <c r="T59" s="8"/>
      <c r="U59" s="8"/>
      <c r="V59" s="8"/>
      <c r="W59" s="8"/>
      <c r="X59" s="8"/>
      <c r="Y59" s="8" t="s">
        <v>332</v>
      </c>
      <c r="Z59" s="10" t="s">
        <v>3443</v>
      </c>
      <c r="AA59" s="8" t="s">
        <v>332</v>
      </c>
      <c r="AB59" s="8">
        <v>1</v>
      </c>
    </row>
    <row r="60" spans="1:28" ht="21.6" customHeight="1">
      <c r="A60" s="8">
        <v>193</v>
      </c>
      <c r="B60" s="8">
        <v>2025010993</v>
      </c>
      <c r="C60" s="8">
        <v>1</v>
      </c>
      <c r="D60" s="8" t="s">
        <v>3177</v>
      </c>
      <c r="E60" s="8" t="s">
        <v>118</v>
      </c>
      <c r="F60" s="8" t="s">
        <v>3273</v>
      </c>
      <c r="G60" s="8" t="s">
        <v>3386</v>
      </c>
      <c r="H60" s="8" t="s">
        <v>3387</v>
      </c>
      <c r="I60" s="8" t="s">
        <v>3440</v>
      </c>
      <c r="J60" s="8" t="s">
        <v>3277</v>
      </c>
      <c r="K60" s="8" t="s">
        <v>3183</v>
      </c>
      <c r="L60" s="10" t="s">
        <v>3434</v>
      </c>
      <c r="M60" s="10" t="s">
        <v>3441</v>
      </c>
      <c r="N60" s="10" t="s">
        <v>3442</v>
      </c>
      <c r="O60" s="8" t="s">
        <v>322</v>
      </c>
      <c r="P60" s="8"/>
      <c r="Q60" s="8"/>
      <c r="R60" s="8">
        <v>93091</v>
      </c>
      <c r="S60" s="8" t="s">
        <v>332</v>
      </c>
      <c r="T60" s="8"/>
      <c r="U60" s="8"/>
      <c r="V60" s="8"/>
      <c r="W60" s="8"/>
      <c r="X60" s="8"/>
      <c r="Y60" s="8"/>
      <c r="Z60" s="10" t="s">
        <v>3444</v>
      </c>
      <c r="AA60" s="8" t="s">
        <v>332</v>
      </c>
      <c r="AB60" s="8">
        <v>1</v>
      </c>
    </row>
    <row r="61" spans="1:28" ht="21.6" customHeight="1">
      <c r="A61" s="8">
        <v>195</v>
      </c>
      <c r="B61" s="8">
        <v>2025011526</v>
      </c>
      <c r="C61" s="8">
        <v>1</v>
      </c>
      <c r="D61" s="8" t="s">
        <v>3177</v>
      </c>
      <c r="E61" s="8" t="s">
        <v>118</v>
      </c>
      <c r="F61" s="8" t="s">
        <v>3356</v>
      </c>
      <c r="G61" s="8" t="s">
        <v>3280</v>
      </c>
      <c r="H61" s="8" t="s">
        <v>3363</v>
      </c>
      <c r="I61" s="8" t="s">
        <v>3440</v>
      </c>
      <c r="J61" s="8" t="s">
        <v>3277</v>
      </c>
      <c r="K61" s="8" t="s">
        <v>3183</v>
      </c>
      <c r="L61" s="10" t="s">
        <v>3434</v>
      </c>
      <c r="M61" s="10" t="s">
        <v>3441</v>
      </c>
      <c r="N61" s="10" t="s">
        <v>3442</v>
      </c>
      <c r="O61" s="8" t="s">
        <v>322</v>
      </c>
      <c r="P61" s="8"/>
      <c r="Q61" s="8"/>
      <c r="R61" s="8">
        <v>93091</v>
      </c>
      <c r="S61" s="8"/>
      <c r="T61" s="8"/>
      <c r="U61" s="8" t="s">
        <v>332</v>
      </c>
      <c r="V61" s="8"/>
      <c r="W61" s="8"/>
      <c r="X61" s="8"/>
      <c r="Y61" s="8"/>
      <c r="Z61" s="10" t="s">
        <v>3362</v>
      </c>
      <c r="AA61" s="8" t="s">
        <v>332</v>
      </c>
      <c r="AB61" s="8">
        <v>1</v>
      </c>
    </row>
    <row r="62" spans="1:28" ht="21.6" customHeight="1">
      <c r="A62" s="8">
        <v>196</v>
      </c>
      <c r="B62" s="8">
        <v>2025013218</v>
      </c>
      <c r="C62" s="8">
        <v>1</v>
      </c>
      <c r="D62" s="8" t="s">
        <v>3177</v>
      </c>
      <c r="E62" s="8" t="s">
        <v>118</v>
      </c>
      <c r="F62" s="8" t="s">
        <v>3407</v>
      </c>
      <c r="G62" s="8" t="s">
        <v>3425</v>
      </c>
      <c r="H62" s="8" t="s">
        <v>3445</v>
      </c>
      <c r="I62" s="8" t="s">
        <v>3440</v>
      </c>
      <c r="J62" s="8" t="s">
        <v>3277</v>
      </c>
      <c r="K62" s="8" t="s">
        <v>3183</v>
      </c>
      <c r="L62" s="10" t="s">
        <v>3434</v>
      </c>
      <c r="M62" s="10" t="s">
        <v>3441</v>
      </c>
      <c r="N62" s="10" t="s">
        <v>3442</v>
      </c>
      <c r="O62" s="8" t="s">
        <v>322</v>
      </c>
      <c r="P62" s="8"/>
      <c r="Q62" s="8"/>
      <c r="R62" s="8">
        <v>93091</v>
      </c>
      <c r="S62" s="8"/>
      <c r="T62" s="8"/>
      <c r="U62" s="8"/>
      <c r="V62" s="8"/>
      <c r="W62" s="8"/>
      <c r="X62" s="8"/>
      <c r="Y62" s="8" t="s">
        <v>332</v>
      </c>
      <c r="Z62" s="10" t="s">
        <v>3446</v>
      </c>
      <c r="AA62" s="8" t="s">
        <v>332</v>
      </c>
      <c r="AB62" s="8">
        <v>1</v>
      </c>
    </row>
    <row r="63" spans="1:28" ht="21.6" customHeight="1">
      <c r="A63" s="8">
        <v>197</v>
      </c>
      <c r="B63" s="8">
        <v>2025011595</v>
      </c>
      <c r="C63" s="8">
        <v>1</v>
      </c>
      <c r="D63" s="8" t="s">
        <v>3177</v>
      </c>
      <c r="E63" s="8" t="s">
        <v>118</v>
      </c>
      <c r="F63" s="8" t="s">
        <v>3356</v>
      </c>
      <c r="G63" s="8" t="s">
        <v>3386</v>
      </c>
      <c r="H63" s="8" t="s">
        <v>3387</v>
      </c>
      <c r="I63" s="8" t="s">
        <v>3447</v>
      </c>
      <c r="J63" s="8" t="s">
        <v>3277</v>
      </c>
      <c r="K63" s="8" t="s">
        <v>3183</v>
      </c>
      <c r="L63" s="10" t="s">
        <v>3448</v>
      </c>
      <c r="M63" s="10" t="s">
        <v>3449</v>
      </c>
      <c r="N63" s="10"/>
      <c r="O63" s="8" t="s">
        <v>322</v>
      </c>
      <c r="P63" s="8"/>
      <c r="Q63" s="8"/>
      <c r="R63" s="8">
        <v>32000</v>
      </c>
      <c r="S63" s="8" t="s">
        <v>332</v>
      </c>
      <c r="T63" s="8"/>
      <c r="U63" s="8"/>
      <c r="V63" s="8"/>
      <c r="W63" s="8"/>
      <c r="X63" s="8"/>
      <c r="Y63" s="8"/>
      <c r="Z63" s="10" t="s">
        <v>3348</v>
      </c>
      <c r="AA63" s="8" t="s">
        <v>332</v>
      </c>
      <c r="AB63" s="8">
        <v>1</v>
      </c>
    </row>
    <row r="64" spans="1:28" ht="21.6" customHeight="1">
      <c r="A64" s="8">
        <v>199</v>
      </c>
      <c r="B64" s="8">
        <v>2025013493</v>
      </c>
      <c r="C64" s="8">
        <v>1</v>
      </c>
      <c r="D64" s="8" t="s">
        <v>3177</v>
      </c>
      <c r="E64" s="8" t="s">
        <v>118</v>
      </c>
      <c r="F64" s="8" t="s">
        <v>3450</v>
      </c>
      <c r="G64" s="8" t="s">
        <v>3280</v>
      </c>
      <c r="H64" s="8" t="s">
        <v>3451</v>
      </c>
      <c r="I64" s="8" t="s">
        <v>3452</v>
      </c>
      <c r="J64" s="8" t="s">
        <v>3277</v>
      </c>
      <c r="K64" s="8" t="s">
        <v>3183</v>
      </c>
      <c r="L64" s="10" t="s">
        <v>3254</v>
      </c>
      <c r="M64" s="10" t="s">
        <v>3453</v>
      </c>
      <c r="N64" s="10" t="s">
        <v>3454</v>
      </c>
      <c r="O64" s="8" t="s">
        <v>322</v>
      </c>
      <c r="P64" s="8"/>
      <c r="Q64" s="8"/>
      <c r="R64" s="8">
        <v>308</v>
      </c>
      <c r="S64" s="8"/>
      <c r="T64" s="8" t="s">
        <v>332</v>
      </c>
      <c r="U64" s="8"/>
      <c r="V64" s="8"/>
      <c r="W64" s="8"/>
      <c r="X64" s="8"/>
      <c r="Y64" s="8"/>
      <c r="Z64" s="10" t="s">
        <v>3455</v>
      </c>
      <c r="AA64" s="8" t="s">
        <v>332</v>
      </c>
      <c r="AB64" s="8">
        <v>1</v>
      </c>
    </row>
    <row r="65" spans="1:28" ht="21.6" customHeight="1">
      <c r="A65" s="8">
        <v>202</v>
      </c>
      <c r="B65" s="8">
        <v>2025013381</v>
      </c>
      <c r="C65" s="8">
        <v>1</v>
      </c>
      <c r="D65" s="8" t="s">
        <v>3177</v>
      </c>
      <c r="E65" s="8" t="s">
        <v>118</v>
      </c>
      <c r="F65" s="8" t="s">
        <v>3324</v>
      </c>
      <c r="G65" s="8" t="s">
        <v>3311</v>
      </c>
      <c r="H65" s="8" t="s">
        <v>3456</v>
      </c>
      <c r="I65" s="8" t="s">
        <v>3457</v>
      </c>
      <c r="J65" s="8" t="s">
        <v>3277</v>
      </c>
      <c r="K65" s="8" t="s">
        <v>3183</v>
      </c>
      <c r="L65" s="10" t="s">
        <v>3377</v>
      </c>
      <c r="M65" s="10" t="s">
        <v>3458</v>
      </c>
      <c r="N65" s="10" t="s">
        <v>3459</v>
      </c>
      <c r="O65" s="8" t="s">
        <v>322</v>
      </c>
      <c r="P65" s="8"/>
      <c r="Q65" s="8"/>
      <c r="R65" s="8">
        <v>14721</v>
      </c>
      <c r="S65" s="8"/>
      <c r="T65" s="8"/>
      <c r="U65" s="8" t="s">
        <v>332</v>
      </c>
      <c r="V65" s="8"/>
      <c r="W65" s="8"/>
      <c r="X65" s="8"/>
      <c r="Y65" s="8"/>
      <c r="Z65" s="10" t="s">
        <v>3362</v>
      </c>
      <c r="AA65" s="8" t="s">
        <v>332</v>
      </c>
      <c r="AB65" s="8">
        <v>1</v>
      </c>
    </row>
    <row r="66" spans="1:28" ht="21.6" customHeight="1">
      <c r="A66" s="8">
        <v>203</v>
      </c>
      <c r="B66" s="8">
        <v>2025010648</v>
      </c>
      <c r="C66" s="8">
        <v>1</v>
      </c>
      <c r="D66" s="8" t="s">
        <v>3177</v>
      </c>
      <c r="E66" s="8" t="s">
        <v>118</v>
      </c>
      <c r="F66" s="8" t="s">
        <v>3460</v>
      </c>
      <c r="G66" s="8" t="s">
        <v>3426</v>
      </c>
      <c r="H66" s="8" t="s">
        <v>3431</v>
      </c>
      <c r="I66" s="8" t="s">
        <v>3461</v>
      </c>
      <c r="J66" s="8" t="s">
        <v>3277</v>
      </c>
      <c r="K66" s="8" t="s">
        <v>3183</v>
      </c>
      <c r="L66" s="10" t="s">
        <v>3462</v>
      </c>
      <c r="M66" s="10" t="s">
        <v>3463</v>
      </c>
      <c r="N66" s="10" t="s">
        <v>3464</v>
      </c>
      <c r="O66" s="8" t="s">
        <v>3190</v>
      </c>
      <c r="P66" s="8"/>
      <c r="Q66" s="8"/>
      <c r="R66" s="8">
        <v>92944</v>
      </c>
      <c r="S66" s="8"/>
      <c r="T66" s="8"/>
      <c r="U66" s="8"/>
      <c r="V66" s="8"/>
      <c r="W66" s="8"/>
      <c r="X66" s="8"/>
      <c r="Y66" s="8"/>
      <c r="Z66" s="10" t="s">
        <v>3348</v>
      </c>
      <c r="AA66" s="8" t="s">
        <v>332</v>
      </c>
      <c r="AB66" s="8">
        <v>1</v>
      </c>
    </row>
    <row r="67" spans="1:28" ht="21.6" customHeight="1">
      <c r="A67" s="8">
        <v>204</v>
      </c>
      <c r="B67" s="8">
        <v>2025012814</v>
      </c>
      <c r="C67" s="8">
        <v>1</v>
      </c>
      <c r="D67" s="8" t="s">
        <v>3177</v>
      </c>
      <c r="E67" s="8" t="s">
        <v>118</v>
      </c>
      <c r="F67" s="8" t="s">
        <v>3187</v>
      </c>
      <c r="G67" s="8" t="s">
        <v>3431</v>
      </c>
      <c r="H67" s="8" t="s">
        <v>3465</v>
      </c>
      <c r="I67" s="8" t="s">
        <v>3461</v>
      </c>
      <c r="J67" s="8" t="s">
        <v>3277</v>
      </c>
      <c r="K67" s="8" t="s">
        <v>3183</v>
      </c>
      <c r="L67" s="10" t="s">
        <v>3462</v>
      </c>
      <c r="M67" s="10" t="s">
        <v>3463</v>
      </c>
      <c r="N67" s="10" t="s">
        <v>3464</v>
      </c>
      <c r="O67" s="8" t="s">
        <v>322</v>
      </c>
      <c r="P67" s="8"/>
      <c r="Q67" s="8"/>
      <c r="R67" s="8">
        <v>92944</v>
      </c>
      <c r="S67" s="8"/>
      <c r="T67" s="8"/>
      <c r="U67" s="8"/>
      <c r="V67" s="8"/>
      <c r="W67" s="8"/>
      <c r="X67" s="8"/>
      <c r="Y67" s="8" t="s">
        <v>332</v>
      </c>
      <c r="Z67" s="10" t="s">
        <v>3466</v>
      </c>
      <c r="AA67" s="8" t="s">
        <v>332</v>
      </c>
      <c r="AB67" s="8">
        <v>1</v>
      </c>
    </row>
    <row r="68" spans="1:28" ht="21.6" customHeight="1">
      <c r="A68" s="8">
        <v>205</v>
      </c>
      <c r="B68" s="8">
        <v>2025013704</v>
      </c>
      <c r="C68" s="8">
        <v>1</v>
      </c>
      <c r="D68" s="8" t="s">
        <v>3177</v>
      </c>
      <c r="E68" s="8" t="s">
        <v>118</v>
      </c>
      <c r="F68" s="8" t="s">
        <v>3467</v>
      </c>
      <c r="G68" s="8" t="s">
        <v>3468</v>
      </c>
      <c r="H68" s="8" t="s">
        <v>3469</v>
      </c>
      <c r="I68" s="8" t="s">
        <v>3461</v>
      </c>
      <c r="J68" s="8" t="s">
        <v>3277</v>
      </c>
      <c r="K68" s="8" t="s">
        <v>3183</v>
      </c>
      <c r="L68" s="10" t="s">
        <v>3462</v>
      </c>
      <c r="M68" s="10" t="s">
        <v>3463</v>
      </c>
      <c r="N68" s="10" t="s">
        <v>3464</v>
      </c>
      <c r="O68" s="8" t="s">
        <v>363</v>
      </c>
      <c r="P68" s="8"/>
      <c r="Q68" s="8"/>
      <c r="R68" s="8">
        <v>92944</v>
      </c>
      <c r="S68" s="8"/>
      <c r="T68" s="8"/>
      <c r="U68" s="8"/>
      <c r="V68" s="8"/>
      <c r="W68" s="8"/>
      <c r="X68" s="8"/>
      <c r="Y68" s="8"/>
      <c r="Z68" s="10" t="s">
        <v>3439</v>
      </c>
      <c r="AA68" s="8" t="s">
        <v>332</v>
      </c>
      <c r="AB68" s="8">
        <v>1</v>
      </c>
    </row>
    <row r="69" spans="1:28" ht="21.6" customHeight="1">
      <c r="A69" s="8">
        <v>208</v>
      </c>
      <c r="B69" s="8">
        <v>2025013087</v>
      </c>
      <c r="C69" s="8">
        <v>1</v>
      </c>
      <c r="D69" s="8" t="s">
        <v>3177</v>
      </c>
      <c r="E69" s="8" t="s">
        <v>118</v>
      </c>
      <c r="F69" s="8" t="s">
        <v>3407</v>
      </c>
      <c r="G69" s="8" t="s">
        <v>3280</v>
      </c>
      <c r="H69" s="8" t="s">
        <v>3363</v>
      </c>
      <c r="I69" s="8" t="s">
        <v>3470</v>
      </c>
      <c r="J69" s="8" t="s">
        <v>3471</v>
      </c>
      <c r="K69" s="8" t="s">
        <v>3183</v>
      </c>
      <c r="L69" s="10" t="s">
        <v>3472</v>
      </c>
      <c r="M69" s="10" t="s">
        <v>3410</v>
      </c>
      <c r="N69" s="10" t="s">
        <v>3442</v>
      </c>
      <c r="O69" s="8" t="s">
        <v>322</v>
      </c>
      <c r="P69" s="8"/>
      <c r="Q69" s="8"/>
      <c r="R69" s="8">
        <v>67594</v>
      </c>
      <c r="S69" s="8" t="s">
        <v>332</v>
      </c>
      <c r="T69" s="8"/>
      <c r="U69" s="8"/>
      <c r="V69" s="8"/>
      <c r="W69" s="8"/>
      <c r="X69" s="8"/>
      <c r="Y69" s="8"/>
      <c r="Z69" s="10" t="s">
        <v>3411</v>
      </c>
      <c r="AA69" s="8" t="s">
        <v>332</v>
      </c>
      <c r="AB69" s="8">
        <v>1</v>
      </c>
    </row>
    <row r="70" spans="1:28" ht="21.6" customHeight="1">
      <c r="A70" s="8">
        <v>210</v>
      </c>
      <c r="B70" s="8">
        <v>2025013511</v>
      </c>
      <c r="C70" s="8">
        <v>1</v>
      </c>
      <c r="D70" s="8" t="s">
        <v>3177</v>
      </c>
      <c r="E70" s="8" t="s">
        <v>118</v>
      </c>
      <c r="F70" s="8" t="s">
        <v>3450</v>
      </c>
      <c r="G70" s="8" t="s">
        <v>3387</v>
      </c>
      <c r="H70" s="8" t="s">
        <v>3473</v>
      </c>
      <c r="I70" s="8" t="s">
        <v>3474</v>
      </c>
      <c r="J70" s="8" t="s">
        <v>3288</v>
      </c>
      <c r="K70" s="8" t="s">
        <v>3183</v>
      </c>
      <c r="L70" s="10" t="s">
        <v>3389</v>
      </c>
      <c r="M70" s="10" t="s">
        <v>3475</v>
      </c>
      <c r="N70" s="10" t="s">
        <v>3476</v>
      </c>
      <c r="O70" s="8" t="s">
        <v>322</v>
      </c>
      <c r="P70" s="8"/>
      <c r="Q70" s="8">
        <v>894</v>
      </c>
      <c r="R70" s="8">
        <v>3677</v>
      </c>
      <c r="S70" s="8"/>
      <c r="T70" s="8"/>
      <c r="U70" s="8"/>
      <c r="V70" s="8"/>
      <c r="W70" s="8"/>
      <c r="X70" s="8"/>
      <c r="Y70" s="8" t="s">
        <v>332</v>
      </c>
      <c r="Z70" s="10" t="s">
        <v>3477</v>
      </c>
      <c r="AA70" s="8" t="s">
        <v>332</v>
      </c>
      <c r="AB70" s="8">
        <v>1</v>
      </c>
    </row>
    <row r="71" spans="1:28" ht="21.6" customHeight="1">
      <c r="A71" s="8">
        <v>211</v>
      </c>
      <c r="B71" s="8">
        <v>2025013374</v>
      </c>
      <c r="C71" s="8">
        <v>1</v>
      </c>
      <c r="D71" s="8" t="s">
        <v>3177</v>
      </c>
      <c r="E71" s="8" t="s">
        <v>118</v>
      </c>
      <c r="F71" s="8" t="s">
        <v>3324</v>
      </c>
      <c r="G71" s="8" t="s">
        <v>3204</v>
      </c>
      <c r="H71" s="8" t="s">
        <v>3386</v>
      </c>
      <c r="I71" s="8" t="s">
        <v>3478</v>
      </c>
      <c r="J71" s="8" t="s">
        <v>3288</v>
      </c>
      <c r="K71" s="8" t="s">
        <v>3183</v>
      </c>
      <c r="L71" s="10" t="s">
        <v>3254</v>
      </c>
      <c r="M71" s="10" t="s">
        <v>3479</v>
      </c>
      <c r="N71" s="10" t="s">
        <v>3480</v>
      </c>
      <c r="O71" s="8" t="s">
        <v>363</v>
      </c>
      <c r="P71" s="8"/>
      <c r="Q71" s="8">
        <v>20256</v>
      </c>
      <c r="R71" s="8">
        <v>106161</v>
      </c>
      <c r="S71" s="8"/>
      <c r="T71" s="8"/>
      <c r="U71" s="8"/>
      <c r="V71" s="8"/>
      <c r="W71" s="8"/>
      <c r="X71" s="8"/>
      <c r="Y71" s="8"/>
      <c r="Z71" s="10" t="s">
        <v>3481</v>
      </c>
      <c r="AA71" s="8" t="s">
        <v>332</v>
      </c>
      <c r="AB71" s="8">
        <v>1</v>
      </c>
    </row>
    <row r="72" spans="1:28" ht="21.6" customHeight="1">
      <c r="A72" s="8">
        <v>212</v>
      </c>
      <c r="B72" s="8">
        <v>2025013423</v>
      </c>
      <c r="C72" s="8">
        <v>1</v>
      </c>
      <c r="D72" s="8" t="s">
        <v>3177</v>
      </c>
      <c r="E72" s="8" t="s">
        <v>118</v>
      </c>
      <c r="F72" s="8" t="s">
        <v>3324</v>
      </c>
      <c r="G72" s="8" t="s">
        <v>3386</v>
      </c>
      <c r="H72" s="8" t="s">
        <v>3387</v>
      </c>
      <c r="I72" s="8" t="s">
        <v>3478</v>
      </c>
      <c r="J72" s="8" t="s">
        <v>3288</v>
      </c>
      <c r="K72" s="8" t="s">
        <v>3183</v>
      </c>
      <c r="L72" s="10" t="s">
        <v>3254</v>
      </c>
      <c r="M72" s="10" t="s">
        <v>3479</v>
      </c>
      <c r="N72" s="10" t="s">
        <v>3480</v>
      </c>
      <c r="O72" s="8" t="s">
        <v>322</v>
      </c>
      <c r="P72" s="8"/>
      <c r="Q72" s="8">
        <v>20256</v>
      </c>
      <c r="R72" s="8">
        <v>106161</v>
      </c>
      <c r="S72" s="8"/>
      <c r="T72" s="8"/>
      <c r="U72" s="8" t="s">
        <v>332</v>
      </c>
      <c r="V72" s="8"/>
      <c r="W72" s="8"/>
      <c r="X72" s="8"/>
      <c r="Y72" s="8"/>
      <c r="Z72" s="10" t="s">
        <v>3362</v>
      </c>
      <c r="AA72" s="8" t="s">
        <v>332</v>
      </c>
      <c r="AB72" s="8">
        <v>1</v>
      </c>
    </row>
    <row r="73" spans="1:28" ht="21.6" customHeight="1">
      <c r="A73" s="8">
        <v>213</v>
      </c>
      <c r="B73" s="8">
        <v>2025012182</v>
      </c>
      <c r="C73" s="8">
        <v>1</v>
      </c>
      <c r="D73" s="8" t="s">
        <v>3177</v>
      </c>
      <c r="E73" s="8" t="s">
        <v>118</v>
      </c>
      <c r="F73" s="8" t="s">
        <v>3191</v>
      </c>
      <c r="G73" s="8" t="s">
        <v>3350</v>
      </c>
      <c r="H73" s="8" t="s">
        <v>3280</v>
      </c>
      <c r="I73" s="8" t="s">
        <v>3482</v>
      </c>
      <c r="J73" s="8" t="s">
        <v>3288</v>
      </c>
      <c r="K73" s="8" t="s">
        <v>3183</v>
      </c>
      <c r="L73" s="10" t="s">
        <v>3483</v>
      </c>
      <c r="M73" s="10" t="s">
        <v>3484</v>
      </c>
      <c r="N73" s="10" t="s">
        <v>3485</v>
      </c>
      <c r="O73" s="8" t="s">
        <v>322</v>
      </c>
      <c r="P73" s="8">
        <v>1564</v>
      </c>
      <c r="Q73" s="8">
        <v>3945</v>
      </c>
      <c r="R73" s="8">
        <v>26482</v>
      </c>
      <c r="S73" s="8" t="s">
        <v>332</v>
      </c>
      <c r="T73" s="8"/>
      <c r="U73" s="8"/>
      <c r="V73" s="8"/>
      <c r="W73" s="8"/>
      <c r="X73" s="8"/>
      <c r="Y73" s="8"/>
      <c r="Z73" s="10" t="s">
        <v>3348</v>
      </c>
      <c r="AA73" s="8" t="s">
        <v>332</v>
      </c>
      <c r="AB73" s="8">
        <v>1</v>
      </c>
    </row>
    <row r="74" spans="1:28" ht="21.6" customHeight="1">
      <c r="A74" s="8">
        <v>217</v>
      </c>
      <c r="B74" s="8">
        <v>2025012225</v>
      </c>
      <c r="C74" s="8">
        <v>1</v>
      </c>
      <c r="D74" s="8" t="s">
        <v>3177</v>
      </c>
      <c r="E74" s="8" t="s">
        <v>118</v>
      </c>
      <c r="F74" s="8" t="s">
        <v>3191</v>
      </c>
      <c r="G74" s="8" t="s">
        <v>3401</v>
      </c>
      <c r="H74" s="8" t="s">
        <v>3486</v>
      </c>
      <c r="I74" s="8" t="s">
        <v>3487</v>
      </c>
      <c r="J74" s="8" t="s">
        <v>3288</v>
      </c>
      <c r="K74" s="8" t="s">
        <v>3183</v>
      </c>
      <c r="L74" s="10" t="s">
        <v>3488</v>
      </c>
      <c r="M74" s="10" t="s">
        <v>3489</v>
      </c>
      <c r="N74" s="10" t="s">
        <v>3490</v>
      </c>
      <c r="O74" s="8" t="s">
        <v>322</v>
      </c>
      <c r="P74" s="8"/>
      <c r="Q74" s="8">
        <v>15934</v>
      </c>
      <c r="R74" s="8">
        <v>22454</v>
      </c>
      <c r="S74" s="8"/>
      <c r="T74" s="8"/>
      <c r="U74" s="8"/>
      <c r="V74" s="8"/>
      <c r="W74" s="8"/>
      <c r="X74" s="8"/>
      <c r="Y74" s="8" t="s">
        <v>332</v>
      </c>
      <c r="Z74" s="10" t="s">
        <v>3491</v>
      </c>
      <c r="AA74" s="8" t="s">
        <v>332</v>
      </c>
      <c r="AB74" s="8">
        <v>1</v>
      </c>
    </row>
    <row r="75" spans="1:28" ht="21.6" customHeight="1">
      <c r="A75" s="8">
        <v>220</v>
      </c>
      <c r="B75" s="8">
        <v>2025013006</v>
      </c>
      <c r="C75" s="8">
        <v>1</v>
      </c>
      <c r="D75" s="8" t="s">
        <v>3177</v>
      </c>
      <c r="E75" s="8" t="s">
        <v>118</v>
      </c>
      <c r="F75" s="8" t="s">
        <v>3238</v>
      </c>
      <c r="G75" s="8" t="s">
        <v>3250</v>
      </c>
      <c r="H75" s="8" t="s">
        <v>3204</v>
      </c>
      <c r="I75" s="8" t="s">
        <v>3492</v>
      </c>
      <c r="J75" s="8" t="s">
        <v>3288</v>
      </c>
      <c r="K75" s="8" t="s">
        <v>3183</v>
      </c>
      <c r="L75" s="10" t="s">
        <v>3377</v>
      </c>
      <c r="M75" s="10" t="s">
        <v>3493</v>
      </c>
      <c r="N75" s="10" t="s">
        <v>3494</v>
      </c>
      <c r="O75" s="8" t="s">
        <v>3190</v>
      </c>
      <c r="P75" s="8"/>
      <c r="Q75" s="8">
        <v>1032</v>
      </c>
      <c r="R75" s="8">
        <v>8836</v>
      </c>
      <c r="S75" s="8"/>
      <c r="T75" s="8"/>
      <c r="U75" s="8"/>
      <c r="V75" s="8"/>
      <c r="W75" s="8"/>
      <c r="X75" s="8"/>
      <c r="Y75" s="8"/>
      <c r="Z75" s="10" t="s">
        <v>3411</v>
      </c>
      <c r="AA75" s="8" t="s">
        <v>332</v>
      </c>
      <c r="AB75" s="8">
        <v>1</v>
      </c>
    </row>
    <row r="76" spans="1:28" ht="21.6" customHeight="1">
      <c r="A76" s="8">
        <v>222</v>
      </c>
      <c r="B76" s="8">
        <v>2025010963</v>
      </c>
      <c r="C76" s="8">
        <v>1</v>
      </c>
      <c r="D76" s="8" t="s">
        <v>3177</v>
      </c>
      <c r="E76" s="8" t="s">
        <v>118</v>
      </c>
      <c r="F76" s="8" t="s">
        <v>3273</v>
      </c>
      <c r="G76" s="8" t="s">
        <v>3250</v>
      </c>
      <c r="H76" s="8" t="s">
        <v>3204</v>
      </c>
      <c r="I76" s="8" t="s">
        <v>3495</v>
      </c>
      <c r="J76" s="8" t="s">
        <v>3298</v>
      </c>
      <c r="K76" s="8" t="s">
        <v>3183</v>
      </c>
      <c r="L76" s="10" t="s">
        <v>3270</v>
      </c>
      <c r="M76" s="10" t="s">
        <v>3496</v>
      </c>
      <c r="N76" s="10" t="s">
        <v>3497</v>
      </c>
      <c r="O76" s="8" t="s">
        <v>322</v>
      </c>
      <c r="P76" s="8"/>
      <c r="Q76" s="8"/>
      <c r="R76" s="8">
        <v>25863</v>
      </c>
      <c r="S76" s="8" t="s">
        <v>332</v>
      </c>
      <c r="T76" s="8"/>
      <c r="U76" s="8"/>
      <c r="V76" s="8"/>
      <c r="W76" s="8"/>
      <c r="X76" s="8"/>
      <c r="Y76" s="8"/>
      <c r="Z76" s="10" t="s">
        <v>3348</v>
      </c>
      <c r="AA76" s="8" t="s">
        <v>332</v>
      </c>
      <c r="AB76" s="8">
        <v>1</v>
      </c>
    </row>
    <row r="77" spans="1:28" ht="21.6" customHeight="1">
      <c r="A77" s="8">
        <v>224</v>
      </c>
      <c r="B77" s="8">
        <v>2025011876</v>
      </c>
      <c r="C77" s="8">
        <v>1</v>
      </c>
      <c r="D77" s="8" t="s">
        <v>3177</v>
      </c>
      <c r="E77" s="8" t="s">
        <v>118</v>
      </c>
      <c r="F77" s="8" t="s">
        <v>3347</v>
      </c>
      <c r="G77" s="8" t="s">
        <v>3498</v>
      </c>
      <c r="H77" s="8" t="s">
        <v>3499</v>
      </c>
      <c r="I77" s="8" t="s">
        <v>3495</v>
      </c>
      <c r="J77" s="8" t="s">
        <v>3298</v>
      </c>
      <c r="K77" s="8" t="s">
        <v>3183</v>
      </c>
      <c r="L77" s="10" t="s">
        <v>3270</v>
      </c>
      <c r="M77" s="10" t="s">
        <v>3496</v>
      </c>
      <c r="N77" s="10" t="s">
        <v>3497</v>
      </c>
      <c r="O77" s="8" t="s">
        <v>363</v>
      </c>
      <c r="P77" s="8"/>
      <c r="Q77" s="8"/>
      <c r="R77" s="8">
        <v>25863</v>
      </c>
      <c r="S77" s="8"/>
      <c r="T77" s="8"/>
      <c r="U77" s="8"/>
      <c r="V77" s="8"/>
      <c r="W77" s="8"/>
      <c r="X77" s="8"/>
      <c r="Y77" s="8"/>
      <c r="Z77" s="10" t="s">
        <v>3500</v>
      </c>
      <c r="AA77" s="8" t="s">
        <v>332</v>
      </c>
      <c r="AB77" s="8">
        <v>1</v>
      </c>
    </row>
    <row r="78" spans="1:28" ht="21.6" customHeight="1">
      <c r="A78" s="8">
        <v>227</v>
      </c>
      <c r="B78" s="8">
        <v>2025012271</v>
      </c>
      <c r="C78" s="8">
        <v>1</v>
      </c>
      <c r="D78" s="8" t="s">
        <v>3177</v>
      </c>
      <c r="E78" s="8" t="s">
        <v>118</v>
      </c>
      <c r="F78" s="8" t="s">
        <v>3191</v>
      </c>
      <c r="G78" s="8" t="s">
        <v>3250</v>
      </c>
      <c r="H78" s="8" t="s">
        <v>3501</v>
      </c>
      <c r="I78" s="8" t="s">
        <v>3502</v>
      </c>
      <c r="J78" s="8" t="s">
        <v>3298</v>
      </c>
      <c r="K78" s="8" t="s">
        <v>3183</v>
      </c>
      <c r="L78" s="10" t="s">
        <v>3503</v>
      </c>
      <c r="M78" s="10" t="s">
        <v>3504</v>
      </c>
      <c r="N78" s="10" t="s">
        <v>217</v>
      </c>
      <c r="O78" s="8" t="s">
        <v>363</v>
      </c>
      <c r="P78" s="8"/>
      <c r="Q78" s="8"/>
      <c r="R78" s="8">
        <v>256154</v>
      </c>
      <c r="S78" s="8"/>
      <c r="T78" s="8"/>
      <c r="U78" s="8"/>
      <c r="V78" s="8"/>
      <c r="W78" s="8"/>
      <c r="X78" s="8"/>
      <c r="Y78" s="8"/>
      <c r="Z78" s="10" t="s">
        <v>3505</v>
      </c>
      <c r="AA78" s="8" t="s">
        <v>332</v>
      </c>
      <c r="AB78" s="8">
        <v>1</v>
      </c>
    </row>
    <row r="79" spans="1:28" ht="21.6" customHeight="1">
      <c r="A79" s="8">
        <v>228</v>
      </c>
      <c r="B79" s="8">
        <v>2025010645</v>
      </c>
      <c r="C79" s="8">
        <v>1</v>
      </c>
      <c r="D79" s="8" t="s">
        <v>3177</v>
      </c>
      <c r="E79" s="8" t="s">
        <v>118</v>
      </c>
      <c r="F79" s="8" t="s">
        <v>3460</v>
      </c>
      <c r="G79" s="8" t="s">
        <v>3427</v>
      </c>
      <c r="H79" s="8" t="s">
        <v>3386</v>
      </c>
      <c r="I79" s="8" t="s">
        <v>3506</v>
      </c>
      <c r="J79" s="8" t="s">
        <v>3298</v>
      </c>
      <c r="K79" s="8" t="s">
        <v>3183</v>
      </c>
      <c r="L79" s="10" t="s">
        <v>3462</v>
      </c>
      <c r="M79" s="10" t="s">
        <v>3507</v>
      </c>
      <c r="N79" s="10" t="s">
        <v>3508</v>
      </c>
      <c r="O79" s="8" t="s">
        <v>3190</v>
      </c>
      <c r="P79" s="8"/>
      <c r="Q79" s="8"/>
      <c r="R79" s="8">
        <v>111973</v>
      </c>
      <c r="S79" s="8"/>
      <c r="T79" s="8"/>
      <c r="U79" s="8"/>
      <c r="V79" s="8"/>
      <c r="W79" s="8"/>
      <c r="X79" s="8"/>
      <c r="Y79" s="8"/>
      <c r="Z79" s="10" t="s">
        <v>3348</v>
      </c>
      <c r="AA79" s="8" t="s">
        <v>332</v>
      </c>
      <c r="AB79" s="8">
        <v>1</v>
      </c>
    </row>
    <row r="80" spans="1:28" ht="21.6" customHeight="1">
      <c r="A80" s="8">
        <v>232</v>
      </c>
      <c r="B80" s="8">
        <v>2025010720</v>
      </c>
      <c r="C80" s="8">
        <v>1</v>
      </c>
      <c r="D80" s="8" t="s">
        <v>3177</v>
      </c>
      <c r="E80" s="8" t="s">
        <v>118</v>
      </c>
      <c r="F80" s="8" t="s">
        <v>3266</v>
      </c>
      <c r="G80" s="8" t="s">
        <v>3233</v>
      </c>
      <c r="H80" s="8" t="s">
        <v>3509</v>
      </c>
      <c r="I80" s="8" t="s">
        <v>3510</v>
      </c>
      <c r="J80" s="8" t="s">
        <v>3298</v>
      </c>
      <c r="K80" s="8" t="s">
        <v>3183</v>
      </c>
      <c r="L80" s="10" t="s">
        <v>3398</v>
      </c>
      <c r="M80" s="10" t="s">
        <v>3511</v>
      </c>
      <c r="N80" s="10" t="s">
        <v>3512</v>
      </c>
      <c r="O80" s="8" t="s">
        <v>322</v>
      </c>
      <c r="P80" s="8"/>
      <c r="Q80" s="8"/>
      <c r="R80" s="8">
        <v>10649</v>
      </c>
      <c r="S80" s="8" t="s">
        <v>332</v>
      </c>
      <c r="T80" s="8"/>
      <c r="U80" s="8"/>
      <c r="V80" s="8"/>
      <c r="W80" s="8"/>
      <c r="X80" s="8"/>
      <c r="Y80" s="8"/>
      <c r="Z80" s="10" t="s">
        <v>3348</v>
      </c>
      <c r="AA80" s="8" t="s">
        <v>332</v>
      </c>
      <c r="AB80" s="8">
        <v>1</v>
      </c>
    </row>
    <row r="81" spans="1:28" ht="21.6" customHeight="1">
      <c r="A81" s="8">
        <v>234</v>
      </c>
      <c r="B81" s="8">
        <v>2025010690</v>
      </c>
      <c r="C81" s="8">
        <v>1</v>
      </c>
      <c r="D81" s="8" t="s">
        <v>3177</v>
      </c>
      <c r="E81" s="8" t="s">
        <v>118</v>
      </c>
      <c r="F81" s="8" t="s">
        <v>3266</v>
      </c>
      <c r="G81" s="8" t="s">
        <v>3350</v>
      </c>
      <c r="H81" s="8" t="s">
        <v>3396</v>
      </c>
      <c r="I81" s="8" t="s">
        <v>3513</v>
      </c>
      <c r="J81" s="8" t="s">
        <v>3298</v>
      </c>
      <c r="K81" s="8" t="s">
        <v>3183</v>
      </c>
      <c r="L81" s="10" t="s">
        <v>3398</v>
      </c>
      <c r="M81" s="10" t="s">
        <v>3514</v>
      </c>
      <c r="N81" s="10" t="s">
        <v>3379</v>
      </c>
      <c r="O81" s="8" t="s">
        <v>322</v>
      </c>
      <c r="P81" s="8"/>
      <c r="Q81" s="8"/>
      <c r="R81" s="8">
        <v>125941</v>
      </c>
      <c r="S81" s="8" t="s">
        <v>332</v>
      </c>
      <c r="T81" s="8"/>
      <c r="U81" s="8"/>
      <c r="V81" s="8"/>
      <c r="W81" s="8"/>
      <c r="X81" s="8"/>
      <c r="Y81" s="8"/>
      <c r="Z81" s="10" t="s">
        <v>3348</v>
      </c>
      <c r="AA81" s="8" t="s">
        <v>332</v>
      </c>
      <c r="AB81" s="8">
        <v>1</v>
      </c>
    </row>
    <row r="82" spans="1:28" ht="21.6" customHeight="1">
      <c r="A82" s="8">
        <v>236</v>
      </c>
      <c r="B82" s="8">
        <v>2025012662</v>
      </c>
      <c r="C82" s="8">
        <v>1</v>
      </c>
      <c r="D82" s="8" t="s">
        <v>3177</v>
      </c>
      <c r="E82" s="8" t="s">
        <v>118</v>
      </c>
      <c r="F82" s="8" t="s">
        <v>3187</v>
      </c>
      <c r="G82" s="8" t="s">
        <v>3363</v>
      </c>
      <c r="H82" s="8" t="s">
        <v>3515</v>
      </c>
      <c r="I82" s="8" t="s">
        <v>3513</v>
      </c>
      <c r="J82" s="8" t="s">
        <v>3298</v>
      </c>
      <c r="K82" s="8" t="s">
        <v>3183</v>
      </c>
      <c r="L82" s="10" t="s">
        <v>3398</v>
      </c>
      <c r="M82" s="10" t="s">
        <v>3514</v>
      </c>
      <c r="N82" s="10" t="s">
        <v>3379</v>
      </c>
      <c r="O82" s="8" t="s">
        <v>322</v>
      </c>
      <c r="P82" s="8"/>
      <c r="Q82" s="8"/>
      <c r="R82" s="8">
        <v>125941</v>
      </c>
      <c r="S82" s="8"/>
      <c r="T82" s="8"/>
      <c r="U82" s="8"/>
      <c r="V82" s="8"/>
      <c r="W82" s="8"/>
      <c r="X82" s="8"/>
      <c r="Y82" s="8" t="s">
        <v>332</v>
      </c>
      <c r="Z82" s="10" t="s">
        <v>3421</v>
      </c>
      <c r="AA82" s="8" t="s">
        <v>332</v>
      </c>
      <c r="AB82" s="8">
        <v>1</v>
      </c>
    </row>
    <row r="83" spans="1:28" ht="21.6" customHeight="1">
      <c r="A83" s="8">
        <v>237</v>
      </c>
      <c r="B83" s="8">
        <v>2025013720</v>
      </c>
      <c r="C83" s="8">
        <v>1</v>
      </c>
      <c r="D83" s="8" t="s">
        <v>3177</v>
      </c>
      <c r="E83" s="8" t="s">
        <v>118</v>
      </c>
      <c r="F83" s="8" t="s">
        <v>3467</v>
      </c>
      <c r="G83" s="8" t="s">
        <v>3204</v>
      </c>
      <c r="H83" s="8" t="s">
        <v>3516</v>
      </c>
      <c r="I83" s="8" t="s">
        <v>3513</v>
      </c>
      <c r="J83" s="8" t="s">
        <v>3298</v>
      </c>
      <c r="K83" s="8" t="s">
        <v>3183</v>
      </c>
      <c r="L83" s="10" t="s">
        <v>3398</v>
      </c>
      <c r="M83" s="10" t="s">
        <v>3514</v>
      </c>
      <c r="N83" s="10" t="s">
        <v>3379</v>
      </c>
      <c r="O83" s="8" t="s">
        <v>322</v>
      </c>
      <c r="P83" s="8"/>
      <c r="Q83" s="8"/>
      <c r="R83" s="8">
        <v>125941</v>
      </c>
      <c r="S83" s="8"/>
      <c r="T83" s="8"/>
      <c r="U83" s="8"/>
      <c r="V83" s="8"/>
      <c r="W83" s="8"/>
      <c r="X83" s="8"/>
      <c r="Y83" s="8" t="s">
        <v>332</v>
      </c>
      <c r="Z83" s="10" t="s">
        <v>3517</v>
      </c>
      <c r="AA83" s="8" t="s">
        <v>332</v>
      </c>
      <c r="AB83" s="8">
        <v>1</v>
      </c>
    </row>
    <row r="84" spans="1:28" ht="21.6" customHeight="1">
      <c r="A84" s="8">
        <v>238</v>
      </c>
      <c r="B84" s="8">
        <v>2025010704</v>
      </c>
      <c r="C84" s="8">
        <v>1</v>
      </c>
      <c r="D84" s="8" t="s">
        <v>3177</v>
      </c>
      <c r="E84" s="8" t="s">
        <v>118</v>
      </c>
      <c r="F84" s="8" t="s">
        <v>3266</v>
      </c>
      <c r="G84" s="8" t="s">
        <v>3363</v>
      </c>
      <c r="H84" s="8" t="s">
        <v>3232</v>
      </c>
      <c r="I84" s="8" t="s">
        <v>3518</v>
      </c>
      <c r="J84" s="8" t="s">
        <v>3298</v>
      </c>
      <c r="K84" s="8" t="s">
        <v>3183</v>
      </c>
      <c r="L84" s="10" t="s">
        <v>3398</v>
      </c>
      <c r="M84" s="10" t="s">
        <v>3519</v>
      </c>
      <c r="N84" s="10" t="s">
        <v>3520</v>
      </c>
      <c r="O84" s="8" t="s">
        <v>322</v>
      </c>
      <c r="P84" s="8"/>
      <c r="Q84" s="8"/>
      <c r="R84" s="8">
        <v>205657</v>
      </c>
      <c r="S84" s="8" t="s">
        <v>332</v>
      </c>
      <c r="T84" s="8"/>
      <c r="U84" s="8"/>
      <c r="V84" s="8"/>
      <c r="W84" s="8"/>
      <c r="X84" s="8"/>
      <c r="Y84" s="8"/>
      <c r="Z84" s="10" t="s">
        <v>3348</v>
      </c>
      <c r="AA84" s="8" t="s">
        <v>332</v>
      </c>
      <c r="AB84" s="8">
        <v>1</v>
      </c>
    </row>
    <row r="85" spans="1:28" ht="21.6" customHeight="1">
      <c r="A85" s="8">
        <v>240</v>
      </c>
      <c r="B85" s="8">
        <v>2025010706</v>
      </c>
      <c r="C85" s="8">
        <v>1</v>
      </c>
      <c r="D85" s="8" t="s">
        <v>3177</v>
      </c>
      <c r="E85" s="8" t="s">
        <v>118</v>
      </c>
      <c r="F85" s="8" t="s">
        <v>3266</v>
      </c>
      <c r="G85" s="8" t="s">
        <v>3232</v>
      </c>
      <c r="H85" s="8" t="s">
        <v>3233</v>
      </c>
      <c r="I85" s="8" t="s">
        <v>3521</v>
      </c>
      <c r="J85" s="8" t="s">
        <v>3298</v>
      </c>
      <c r="K85" s="8" t="s">
        <v>3183</v>
      </c>
      <c r="L85" s="10" t="s">
        <v>3398</v>
      </c>
      <c r="M85" s="10" t="s">
        <v>3522</v>
      </c>
      <c r="N85" s="10" t="s">
        <v>3523</v>
      </c>
      <c r="O85" s="8" t="s">
        <v>322</v>
      </c>
      <c r="P85" s="8"/>
      <c r="Q85" s="8"/>
      <c r="R85" s="8">
        <v>97619</v>
      </c>
      <c r="S85" s="8" t="s">
        <v>332</v>
      </c>
      <c r="T85" s="8"/>
      <c r="U85" s="8"/>
      <c r="V85" s="8"/>
      <c r="W85" s="8"/>
      <c r="X85" s="8"/>
      <c r="Y85" s="8"/>
      <c r="Z85" s="10" t="s">
        <v>3348</v>
      </c>
      <c r="AA85" s="8" t="s">
        <v>332</v>
      </c>
      <c r="AB85" s="8">
        <v>1</v>
      </c>
    </row>
    <row r="86" spans="1:28" ht="21.6" customHeight="1">
      <c r="A86" s="8">
        <v>244</v>
      </c>
      <c r="B86" s="8">
        <v>2025013315</v>
      </c>
      <c r="C86" s="8">
        <v>1</v>
      </c>
      <c r="D86" s="8" t="s">
        <v>3177</v>
      </c>
      <c r="E86" s="8" t="s">
        <v>118</v>
      </c>
      <c r="F86" s="8" t="s">
        <v>3324</v>
      </c>
      <c r="G86" s="8" t="s">
        <v>3524</v>
      </c>
      <c r="H86" s="8" t="s">
        <v>3342</v>
      </c>
      <c r="I86" s="8" t="s">
        <v>3525</v>
      </c>
      <c r="J86" s="8" t="s">
        <v>3298</v>
      </c>
      <c r="K86" s="8" t="s">
        <v>3183</v>
      </c>
      <c r="L86" s="10" t="s">
        <v>3462</v>
      </c>
      <c r="M86" s="10" t="s">
        <v>3526</v>
      </c>
      <c r="N86" s="10" t="s">
        <v>3508</v>
      </c>
      <c r="O86" s="8" t="s">
        <v>363</v>
      </c>
      <c r="P86" s="8"/>
      <c r="Q86" s="8"/>
      <c r="R86" s="8">
        <v>151804</v>
      </c>
      <c r="S86" s="8"/>
      <c r="T86" s="8"/>
      <c r="U86" s="8"/>
      <c r="V86" s="8"/>
      <c r="W86" s="8"/>
      <c r="X86" s="8"/>
      <c r="Y86" s="8"/>
      <c r="Z86" s="10" t="s">
        <v>3527</v>
      </c>
      <c r="AA86" s="8" t="s">
        <v>332</v>
      </c>
      <c r="AB86" s="8">
        <v>1</v>
      </c>
    </row>
    <row r="87" spans="1:28" ht="21.6" customHeight="1">
      <c r="A87" s="8">
        <v>245</v>
      </c>
      <c r="B87" s="8">
        <v>2025013380</v>
      </c>
      <c r="C87" s="8">
        <v>1</v>
      </c>
      <c r="D87" s="8" t="s">
        <v>3177</v>
      </c>
      <c r="E87" s="8" t="s">
        <v>118</v>
      </c>
      <c r="F87" s="8" t="s">
        <v>3324</v>
      </c>
      <c r="G87" s="8" t="s">
        <v>3368</v>
      </c>
      <c r="H87" s="8" t="s">
        <v>3250</v>
      </c>
      <c r="I87" s="8" t="s">
        <v>3525</v>
      </c>
      <c r="J87" s="8" t="s">
        <v>3298</v>
      </c>
      <c r="K87" s="8" t="s">
        <v>3183</v>
      </c>
      <c r="L87" s="10" t="s">
        <v>3462</v>
      </c>
      <c r="M87" s="10" t="s">
        <v>3526</v>
      </c>
      <c r="N87" s="10" t="s">
        <v>3508</v>
      </c>
      <c r="O87" s="8" t="s">
        <v>322</v>
      </c>
      <c r="P87" s="8"/>
      <c r="Q87" s="8"/>
      <c r="R87" s="8">
        <v>151804</v>
      </c>
      <c r="S87" s="8"/>
      <c r="T87" s="8"/>
      <c r="U87" s="8"/>
      <c r="V87" s="8"/>
      <c r="W87" s="8"/>
      <c r="X87" s="8"/>
      <c r="Y87" s="8" t="s">
        <v>332</v>
      </c>
      <c r="Z87" s="10" t="s">
        <v>3528</v>
      </c>
      <c r="AA87" s="8" t="s">
        <v>332</v>
      </c>
      <c r="AB87" s="8">
        <v>1</v>
      </c>
    </row>
    <row r="88" spans="1:28" ht="21.6" customHeight="1">
      <c r="A88" s="8">
        <v>248</v>
      </c>
      <c r="B88" s="8">
        <v>2025012877</v>
      </c>
      <c r="C88" s="8">
        <v>1</v>
      </c>
      <c r="D88" s="8" t="s">
        <v>3177</v>
      </c>
      <c r="E88" s="8" t="s">
        <v>118</v>
      </c>
      <c r="F88" s="8" t="s">
        <v>3238</v>
      </c>
      <c r="G88" s="8" t="s">
        <v>3350</v>
      </c>
      <c r="H88" s="8" t="s">
        <v>3529</v>
      </c>
      <c r="I88" s="8" t="s">
        <v>3530</v>
      </c>
      <c r="J88" s="8" t="s">
        <v>3298</v>
      </c>
      <c r="K88" s="8" t="s">
        <v>3183</v>
      </c>
      <c r="L88" s="10" t="s">
        <v>3462</v>
      </c>
      <c r="M88" s="10" t="s">
        <v>3531</v>
      </c>
      <c r="N88" s="10" t="s">
        <v>3532</v>
      </c>
      <c r="O88" s="8" t="s">
        <v>363</v>
      </c>
      <c r="P88" s="8"/>
      <c r="Q88" s="8"/>
      <c r="R88" s="8">
        <v>271296</v>
      </c>
      <c r="S88" s="8"/>
      <c r="T88" s="8"/>
      <c r="U88" s="8"/>
      <c r="V88" s="8"/>
      <c r="W88" s="8"/>
      <c r="X88" s="8"/>
      <c r="Y88" s="8"/>
      <c r="Z88" s="10" t="s">
        <v>3533</v>
      </c>
      <c r="AA88" s="8" t="s">
        <v>332</v>
      </c>
      <c r="AB88" s="8">
        <v>1</v>
      </c>
    </row>
    <row r="89" spans="1:28" ht="21.6" customHeight="1">
      <c r="A89" s="8">
        <v>249</v>
      </c>
      <c r="B89" s="8">
        <v>2025010701</v>
      </c>
      <c r="C89" s="8">
        <v>1</v>
      </c>
      <c r="D89" s="8" t="s">
        <v>3177</v>
      </c>
      <c r="E89" s="8" t="s">
        <v>118</v>
      </c>
      <c r="F89" s="8" t="s">
        <v>3266</v>
      </c>
      <c r="G89" s="8" t="s">
        <v>3281</v>
      </c>
      <c r="H89" s="8" t="s">
        <v>3363</v>
      </c>
      <c r="I89" s="8" t="s">
        <v>3534</v>
      </c>
      <c r="J89" s="8" t="s">
        <v>3298</v>
      </c>
      <c r="K89" s="8" t="s">
        <v>3183</v>
      </c>
      <c r="L89" s="10" t="s">
        <v>3398</v>
      </c>
      <c r="M89" s="10" t="s">
        <v>3535</v>
      </c>
      <c r="N89" s="10" t="s">
        <v>3494</v>
      </c>
      <c r="O89" s="8" t="s">
        <v>322</v>
      </c>
      <c r="P89" s="8"/>
      <c r="Q89" s="8"/>
      <c r="R89" s="8">
        <v>164111</v>
      </c>
      <c r="S89" s="8" t="s">
        <v>332</v>
      </c>
      <c r="T89" s="8"/>
      <c r="U89" s="8"/>
      <c r="V89" s="8"/>
      <c r="W89" s="8"/>
      <c r="X89" s="8"/>
      <c r="Y89" s="8"/>
      <c r="Z89" s="10" t="s">
        <v>3348</v>
      </c>
      <c r="AA89" s="8" t="s">
        <v>332</v>
      </c>
      <c r="AB89" s="8">
        <v>1</v>
      </c>
    </row>
    <row r="90" spans="1:28" ht="21.6" customHeight="1">
      <c r="A90" s="8">
        <v>251</v>
      </c>
      <c r="B90" s="8">
        <v>2025011028</v>
      </c>
      <c r="C90" s="8">
        <v>1</v>
      </c>
      <c r="D90" s="8" t="s">
        <v>3177</v>
      </c>
      <c r="E90" s="8" t="s">
        <v>118</v>
      </c>
      <c r="F90" s="8" t="s">
        <v>3273</v>
      </c>
      <c r="G90" s="8" t="s">
        <v>3387</v>
      </c>
      <c r="H90" s="8" t="s">
        <v>3426</v>
      </c>
      <c r="I90" s="8" t="s">
        <v>3536</v>
      </c>
      <c r="J90" s="8" t="s">
        <v>3298</v>
      </c>
      <c r="K90" s="8" t="s">
        <v>3183</v>
      </c>
      <c r="L90" s="10" t="s">
        <v>3537</v>
      </c>
      <c r="M90" s="10" t="s">
        <v>3538</v>
      </c>
      <c r="N90" s="10"/>
      <c r="O90" s="8" t="s">
        <v>3190</v>
      </c>
      <c r="P90" s="8"/>
      <c r="Q90" s="8"/>
      <c r="R90" s="8">
        <v>104316</v>
      </c>
      <c r="S90" s="8"/>
      <c r="T90" s="8"/>
      <c r="U90" s="8"/>
      <c r="V90" s="8"/>
      <c r="W90" s="8"/>
      <c r="X90" s="8"/>
      <c r="Y90" s="8"/>
      <c r="Z90" s="10" t="s">
        <v>3348</v>
      </c>
      <c r="AA90" s="8" t="s">
        <v>332</v>
      </c>
      <c r="AB90" s="8">
        <v>1</v>
      </c>
    </row>
    <row r="91" spans="1:28" ht="21.6" customHeight="1">
      <c r="A91" s="8">
        <v>253</v>
      </c>
      <c r="B91" s="8">
        <v>2025012184</v>
      </c>
      <c r="C91" s="8">
        <v>1</v>
      </c>
      <c r="D91" s="8" t="s">
        <v>3177</v>
      </c>
      <c r="E91" s="8" t="s">
        <v>118</v>
      </c>
      <c r="F91" s="8" t="s">
        <v>3191</v>
      </c>
      <c r="G91" s="8" t="s">
        <v>3280</v>
      </c>
      <c r="H91" s="8" t="s">
        <v>3363</v>
      </c>
      <c r="I91" s="8" t="s">
        <v>3539</v>
      </c>
      <c r="J91" s="8" t="s">
        <v>3298</v>
      </c>
      <c r="K91" s="8" t="s">
        <v>3183</v>
      </c>
      <c r="L91" s="10" t="s">
        <v>3540</v>
      </c>
      <c r="M91" s="10" t="s">
        <v>3541</v>
      </c>
      <c r="N91" s="10"/>
      <c r="O91" s="8" t="s">
        <v>322</v>
      </c>
      <c r="P91" s="8"/>
      <c r="Q91" s="8"/>
      <c r="R91" s="8">
        <v>60015</v>
      </c>
      <c r="S91" s="8" t="s">
        <v>332</v>
      </c>
      <c r="T91" s="8"/>
      <c r="U91" s="8"/>
      <c r="V91" s="8"/>
      <c r="W91" s="8"/>
      <c r="X91" s="8"/>
      <c r="Y91" s="8"/>
      <c r="Z91" s="10" t="s">
        <v>3348</v>
      </c>
      <c r="AA91" s="8" t="s">
        <v>332</v>
      </c>
      <c r="AB91" s="8">
        <v>1</v>
      </c>
    </row>
    <row r="92" spans="1:28" ht="21.6" customHeight="1">
      <c r="A92" s="8">
        <v>255</v>
      </c>
      <c r="B92" s="8">
        <v>2025010435</v>
      </c>
      <c r="C92" s="8">
        <v>1</v>
      </c>
      <c r="D92" s="8" t="s">
        <v>3177</v>
      </c>
      <c r="E92" s="8" t="s">
        <v>118</v>
      </c>
      <c r="F92" s="8" t="s">
        <v>3316</v>
      </c>
      <c r="G92" s="8" t="s">
        <v>3368</v>
      </c>
      <c r="H92" s="8" t="s">
        <v>3317</v>
      </c>
      <c r="I92" s="8" t="s">
        <v>3318</v>
      </c>
      <c r="J92" s="8" t="s">
        <v>3319</v>
      </c>
      <c r="K92" s="8" t="s">
        <v>3183</v>
      </c>
      <c r="L92" s="10" t="s">
        <v>3320</v>
      </c>
      <c r="M92" s="10" t="s">
        <v>3321</v>
      </c>
      <c r="N92" s="10" t="s">
        <v>3322</v>
      </c>
      <c r="O92" s="8" t="s">
        <v>322</v>
      </c>
      <c r="P92" s="8"/>
      <c r="Q92" s="8">
        <v>4057</v>
      </c>
      <c r="R92" s="8">
        <v>212621</v>
      </c>
      <c r="S92" s="8"/>
      <c r="T92" s="8" t="s">
        <v>332</v>
      </c>
      <c r="U92" s="8"/>
      <c r="V92" s="8"/>
      <c r="W92" s="8"/>
      <c r="X92" s="8" t="s">
        <v>332</v>
      </c>
      <c r="Y92" s="8"/>
      <c r="Z92" s="10" t="s">
        <v>3323</v>
      </c>
      <c r="AA92" s="8" t="s">
        <v>332</v>
      </c>
      <c r="AB92" s="8">
        <v>1</v>
      </c>
    </row>
    <row r="93" spans="1:28" ht="21.6" customHeight="1">
      <c r="A93" s="8">
        <v>258</v>
      </c>
      <c r="B93" s="8">
        <v>2025012610</v>
      </c>
      <c r="C93" s="8">
        <v>1</v>
      </c>
      <c r="D93" s="8" t="s">
        <v>3177</v>
      </c>
      <c r="E93" s="8" t="s">
        <v>118</v>
      </c>
      <c r="F93" s="8" t="s">
        <v>3249</v>
      </c>
      <c r="G93" s="8" t="s">
        <v>3387</v>
      </c>
      <c r="H93" s="8" t="s">
        <v>3426</v>
      </c>
      <c r="I93" s="8" t="s">
        <v>3542</v>
      </c>
      <c r="J93" s="8" t="s">
        <v>3543</v>
      </c>
      <c r="K93" s="8" t="s">
        <v>3183</v>
      </c>
      <c r="L93" s="10" t="s">
        <v>3254</v>
      </c>
      <c r="M93" s="10" t="s">
        <v>3544</v>
      </c>
      <c r="N93" s="10" t="s">
        <v>3545</v>
      </c>
      <c r="O93" s="8" t="s">
        <v>3190</v>
      </c>
      <c r="P93" s="8"/>
      <c r="Q93" s="8"/>
      <c r="R93" s="8">
        <v>6756</v>
      </c>
      <c r="S93" s="8"/>
      <c r="T93" s="8"/>
      <c r="U93" s="8"/>
      <c r="V93" s="8"/>
      <c r="W93" s="8"/>
      <c r="X93" s="8"/>
      <c r="Y93" s="8"/>
      <c r="Z93" s="10" t="s">
        <v>165</v>
      </c>
      <c r="AA93" s="8" t="s">
        <v>332</v>
      </c>
      <c r="AB93" s="8">
        <v>1</v>
      </c>
    </row>
    <row r="94" spans="1:28" ht="21.6" customHeight="1">
      <c r="A94" s="8">
        <v>259</v>
      </c>
      <c r="B94" s="8">
        <v>2025012608</v>
      </c>
      <c r="C94" s="8">
        <v>1</v>
      </c>
      <c r="D94" s="8" t="s">
        <v>3177</v>
      </c>
      <c r="E94" s="8" t="s">
        <v>118</v>
      </c>
      <c r="F94" s="8" t="s">
        <v>3249</v>
      </c>
      <c r="G94" s="8" t="s">
        <v>3427</v>
      </c>
      <c r="H94" s="8" t="s">
        <v>3386</v>
      </c>
      <c r="I94" s="8" t="s">
        <v>3546</v>
      </c>
      <c r="J94" s="8" t="s">
        <v>3543</v>
      </c>
      <c r="K94" s="8" t="s">
        <v>3183</v>
      </c>
      <c r="L94" s="10" t="s">
        <v>3254</v>
      </c>
      <c r="M94" s="10" t="s">
        <v>3547</v>
      </c>
      <c r="N94" s="10" t="s">
        <v>3548</v>
      </c>
      <c r="O94" s="8" t="s">
        <v>3190</v>
      </c>
      <c r="P94" s="8"/>
      <c r="Q94" s="8"/>
      <c r="R94" s="8">
        <v>75942</v>
      </c>
      <c r="S94" s="8"/>
      <c r="T94" s="8"/>
      <c r="U94" s="8"/>
      <c r="V94" s="8"/>
      <c r="W94" s="8"/>
      <c r="X94" s="8"/>
      <c r="Y94" s="8"/>
      <c r="Z94" s="10" t="s">
        <v>165</v>
      </c>
      <c r="AA94" s="8" t="s">
        <v>332</v>
      </c>
      <c r="AB94" s="8">
        <v>1</v>
      </c>
    </row>
    <row r="95" spans="1:28" ht="21.6" customHeight="1">
      <c r="A95" s="8">
        <v>264</v>
      </c>
      <c r="B95" s="8">
        <v>2025010744</v>
      </c>
      <c r="C95" s="8">
        <v>1</v>
      </c>
      <c r="D95" s="8" t="s">
        <v>3177</v>
      </c>
      <c r="E95" s="8" t="s">
        <v>118</v>
      </c>
      <c r="F95" s="8" t="s">
        <v>3266</v>
      </c>
      <c r="G95" s="8" t="s">
        <v>3381</v>
      </c>
      <c r="H95" s="8" t="s">
        <v>3357</v>
      </c>
      <c r="I95" s="8" t="s">
        <v>3549</v>
      </c>
      <c r="J95" s="8" t="s">
        <v>3543</v>
      </c>
      <c r="K95" s="8" t="s">
        <v>3183</v>
      </c>
      <c r="L95" s="10" t="s">
        <v>3550</v>
      </c>
      <c r="M95" s="10" t="s">
        <v>3551</v>
      </c>
      <c r="N95" s="10" t="s">
        <v>3552</v>
      </c>
      <c r="O95" s="8" t="s">
        <v>322</v>
      </c>
      <c r="P95" s="8"/>
      <c r="Q95" s="8"/>
      <c r="R95" s="8">
        <v>588197</v>
      </c>
      <c r="S95" s="8"/>
      <c r="T95" s="8"/>
      <c r="U95" s="8"/>
      <c r="V95" s="8"/>
      <c r="W95" s="8"/>
      <c r="X95" s="8"/>
      <c r="Y95" s="8" t="s">
        <v>332</v>
      </c>
      <c r="Z95" s="10" t="s">
        <v>3553</v>
      </c>
      <c r="AA95" s="8" t="s">
        <v>332</v>
      </c>
      <c r="AB95" s="8">
        <v>1</v>
      </c>
    </row>
    <row r="96" spans="1:28" ht="21.6" customHeight="1">
      <c r="A96" s="8">
        <v>267</v>
      </c>
      <c r="B96" s="8">
        <v>2025012607</v>
      </c>
      <c r="C96" s="8">
        <v>1</v>
      </c>
      <c r="D96" s="8" t="s">
        <v>3177</v>
      </c>
      <c r="E96" s="8" t="s">
        <v>118</v>
      </c>
      <c r="F96" s="8" t="s">
        <v>3249</v>
      </c>
      <c r="G96" s="8" t="s">
        <v>3204</v>
      </c>
      <c r="H96" s="8" t="s">
        <v>3427</v>
      </c>
      <c r="I96" s="8" t="s">
        <v>3554</v>
      </c>
      <c r="J96" s="8" t="s">
        <v>3543</v>
      </c>
      <c r="K96" s="8" t="s">
        <v>3183</v>
      </c>
      <c r="L96" s="10" t="s">
        <v>3254</v>
      </c>
      <c r="M96" s="10" t="s">
        <v>3547</v>
      </c>
      <c r="N96" s="10" t="s">
        <v>3555</v>
      </c>
      <c r="O96" s="8" t="s">
        <v>3190</v>
      </c>
      <c r="P96" s="8"/>
      <c r="Q96" s="8"/>
      <c r="R96" s="8">
        <v>122431</v>
      </c>
      <c r="S96" s="8"/>
      <c r="T96" s="8"/>
      <c r="U96" s="8"/>
      <c r="V96" s="8"/>
      <c r="W96" s="8"/>
      <c r="X96" s="8"/>
      <c r="Y96" s="8"/>
      <c r="Z96" s="10" t="s">
        <v>165</v>
      </c>
      <c r="AA96" s="8" t="s">
        <v>332</v>
      </c>
      <c r="AB96" s="8">
        <v>1</v>
      </c>
    </row>
    <row r="97" spans="1:28" ht="21.6" customHeight="1">
      <c r="A97" s="8">
        <v>268</v>
      </c>
      <c r="B97" s="8">
        <v>2025013510</v>
      </c>
      <c r="C97" s="8">
        <v>1</v>
      </c>
      <c r="D97" s="8" t="s">
        <v>3177</v>
      </c>
      <c r="E97" s="8" t="s">
        <v>118</v>
      </c>
      <c r="F97" s="8" t="s">
        <v>3450</v>
      </c>
      <c r="G97" s="8" t="s">
        <v>3427</v>
      </c>
      <c r="H97" s="8" t="s">
        <v>3386</v>
      </c>
      <c r="I97" s="8" t="s">
        <v>3554</v>
      </c>
      <c r="J97" s="8" t="s">
        <v>3543</v>
      </c>
      <c r="K97" s="8" t="s">
        <v>3183</v>
      </c>
      <c r="L97" s="10" t="s">
        <v>3254</v>
      </c>
      <c r="M97" s="10" t="s">
        <v>3547</v>
      </c>
      <c r="N97" s="10" t="s">
        <v>3555</v>
      </c>
      <c r="O97" s="8" t="s">
        <v>322</v>
      </c>
      <c r="P97" s="8"/>
      <c r="Q97" s="8"/>
      <c r="R97" s="8">
        <v>122431</v>
      </c>
      <c r="S97" s="8"/>
      <c r="T97" s="8"/>
      <c r="U97" s="8" t="s">
        <v>332</v>
      </c>
      <c r="V97" s="8"/>
      <c r="W97" s="8"/>
      <c r="X97" s="8"/>
      <c r="Y97" s="8"/>
      <c r="Z97" s="10" t="s">
        <v>3362</v>
      </c>
      <c r="AA97" s="8" t="s">
        <v>332</v>
      </c>
      <c r="AB97" s="8">
        <v>1</v>
      </c>
    </row>
    <row r="98" spans="1:28" ht="21.6" customHeight="1">
      <c r="A98" s="8">
        <v>269</v>
      </c>
      <c r="B98" s="8">
        <v>2025012894</v>
      </c>
      <c r="C98" s="8">
        <v>1</v>
      </c>
      <c r="D98" s="8" t="s">
        <v>3177</v>
      </c>
      <c r="E98" s="8" t="s">
        <v>118</v>
      </c>
      <c r="F98" s="8" t="s">
        <v>3238</v>
      </c>
      <c r="G98" s="8" t="s">
        <v>3232</v>
      </c>
      <c r="H98" s="8" t="s">
        <v>3556</v>
      </c>
      <c r="I98" s="8" t="s">
        <v>3557</v>
      </c>
      <c r="J98" s="8" t="s">
        <v>3328</v>
      </c>
      <c r="K98" s="8" t="s">
        <v>3183</v>
      </c>
      <c r="L98" s="10" t="s">
        <v>3558</v>
      </c>
      <c r="M98" s="10" t="s">
        <v>3559</v>
      </c>
      <c r="N98" s="10" t="s">
        <v>3508</v>
      </c>
      <c r="O98" s="8" t="s">
        <v>322</v>
      </c>
      <c r="P98" s="8"/>
      <c r="Q98" s="8">
        <v>1758</v>
      </c>
      <c r="R98" s="8">
        <v>701</v>
      </c>
      <c r="S98" s="8" t="s">
        <v>332</v>
      </c>
      <c r="T98" s="8"/>
      <c r="U98" s="8"/>
      <c r="V98" s="8"/>
      <c r="W98" s="8"/>
      <c r="X98" s="8"/>
      <c r="Y98" s="8"/>
      <c r="Z98" s="10" t="s">
        <v>3348</v>
      </c>
      <c r="AA98" s="8" t="s">
        <v>332</v>
      </c>
      <c r="AB98" s="8">
        <v>1</v>
      </c>
    </row>
    <row r="99" spans="1:28" ht="21.6" customHeight="1">
      <c r="A99" s="8">
        <v>271</v>
      </c>
      <c r="B99" s="8">
        <v>2025011832</v>
      </c>
      <c r="C99" s="8">
        <v>1</v>
      </c>
      <c r="D99" s="8" t="s">
        <v>3177</v>
      </c>
      <c r="E99" s="8" t="s">
        <v>118</v>
      </c>
      <c r="F99" s="8" t="s">
        <v>3203</v>
      </c>
      <c r="G99" s="8" t="s">
        <v>3560</v>
      </c>
      <c r="H99" s="8" t="s">
        <v>3561</v>
      </c>
      <c r="I99" s="8" t="s">
        <v>3562</v>
      </c>
      <c r="J99" s="8" t="s">
        <v>1717</v>
      </c>
      <c r="K99" s="8" t="s">
        <v>3183</v>
      </c>
      <c r="L99" s="10" t="s">
        <v>3563</v>
      </c>
      <c r="M99" s="10" t="s">
        <v>3564</v>
      </c>
      <c r="N99" s="10" t="s">
        <v>3565</v>
      </c>
      <c r="O99" s="8" t="s">
        <v>363</v>
      </c>
      <c r="P99" s="8"/>
      <c r="Q99" s="8"/>
      <c r="R99" s="8">
        <v>9817</v>
      </c>
      <c r="S99" s="8"/>
      <c r="T99" s="8"/>
      <c r="U99" s="8"/>
      <c r="V99" s="8"/>
      <c r="W99" s="8"/>
      <c r="X99" s="8"/>
      <c r="Y99" s="8"/>
      <c r="Z99" s="10" t="s">
        <v>3566</v>
      </c>
      <c r="AA99" s="8" t="s">
        <v>332</v>
      </c>
      <c r="AB99" s="8">
        <v>1</v>
      </c>
    </row>
    <row r="100" spans="1:28" ht="21.6" customHeight="1">
      <c r="A100" s="8">
        <v>272</v>
      </c>
      <c r="B100" s="8">
        <v>2025011877</v>
      </c>
      <c r="C100" s="8">
        <v>1</v>
      </c>
      <c r="D100" s="8" t="s">
        <v>3177</v>
      </c>
      <c r="E100" s="8" t="s">
        <v>118</v>
      </c>
      <c r="F100" s="8" t="s">
        <v>3347</v>
      </c>
      <c r="G100" s="8" t="s">
        <v>3280</v>
      </c>
      <c r="H100" s="8" t="s">
        <v>3363</v>
      </c>
      <c r="I100" s="8" t="s">
        <v>3562</v>
      </c>
      <c r="J100" s="8" t="s">
        <v>1717</v>
      </c>
      <c r="K100" s="8" t="s">
        <v>3183</v>
      </c>
      <c r="L100" s="10" t="s">
        <v>3563</v>
      </c>
      <c r="M100" s="10" t="s">
        <v>3564</v>
      </c>
      <c r="N100" s="10" t="s">
        <v>3565</v>
      </c>
      <c r="O100" s="8" t="s">
        <v>322</v>
      </c>
      <c r="P100" s="8"/>
      <c r="Q100" s="8"/>
      <c r="R100" s="8">
        <v>9817</v>
      </c>
      <c r="S100" s="8"/>
      <c r="T100" s="8"/>
      <c r="U100" s="8" t="s">
        <v>332</v>
      </c>
      <c r="V100" s="8"/>
      <c r="W100" s="8"/>
      <c r="X100" s="8"/>
      <c r="Y100" s="8"/>
      <c r="Z100" s="10" t="s">
        <v>3362</v>
      </c>
      <c r="AA100" s="8" t="s">
        <v>332</v>
      </c>
      <c r="AB100" s="8">
        <v>1</v>
      </c>
    </row>
    <row r="101" spans="1:28" ht="21.6" customHeight="1">
      <c r="A101" s="8">
        <v>274</v>
      </c>
      <c r="B101" s="8">
        <v>2025010543</v>
      </c>
      <c r="C101" s="8">
        <v>1</v>
      </c>
      <c r="D101" s="8" t="s">
        <v>3177</v>
      </c>
      <c r="E101" s="8" t="s">
        <v>118</v>
      </c>
      <c r="F101" s="8" t="s">
        <v>3460</v>
      </c>
      <c r="G101" s="8" t="s">
        <v>3350</v>
      </c>
      <c r="H101" s="8" t="s">
        <v>3363</v>
      </c>
      <c r="I101" s="8" t="s">
        <v>3567</v>
      </c>
      <c r="J101" s="8" t="s">
        <v>1717</v>
      </c>
      <c r="K101" s="8" t="s">
        <v>3183</v>
      </c>
      <c r="L101" s="10" t="s">
        <v>3254</v>
      </c>
      <c r="M101" s="10" t="s">
        <v>3547</v>
      </c>
      <c r="N101" s="10" t="s">
        <v>3568</v>
      </c>
      <c r="O101" s="8" t="s">
        <v>363</v>
      </c>
      <c r="P101" s="8"/>
      <c r="Q101" s="8"/>
      <c r="R101" s="8">
        <v>45041</v>
      </c>
      <c r="S101" s="8"/>
      <c r="T101" s="8"/>
      <c r="U101" s="8"/>
      <c r="V101" s="8"/>
      <c r="W101" s="8"/>
      <c r="X101" s="8"/>
      <c r="Y101" s="8"/>
      <c r="Z101" s="10" t="s">
        <v>3569</v>
      </c>
      <c r="AA101" s="8" t="s">
        <v>332</v>
      </c>
      <c r="AB101" s="8">
        <v>1</v>
      </c>
    </row>
    <row r="102" spans="1:28" ht="21.6" customHeight="1">
      <c r="A102" s="8">
        <v>275</v>
      </c>
      <c r="B102" s="8">
        <v>2025010544</v>
      </c>
      <c r="C102" s="8">
        <v>1</v>
      </c>
      <c r="D102" s="8" t="s">
        <v>3177</v>
      </c>
      <c r="E102" s="8" t="s">
        <v>118</v>
      </c>
      <c r="F102" s="8" t="s">
        <v>3460</v>
      </c>
      <c r="G102" s="8" t="s">
        <v>3363</v>
      </c>
      <c r="H102" s="8" t="s">
        <v>3381</v>
      </c>
      <c r="I102" s="8" t="s">
        <v>3570</v>
      </c>
      <c r="J102" s="8" t="s">
        <v>1717</v>
      </c>
      <c r="K102" s="8" t="s">
        <v>3183</v>
      </c>
      <c r="L102" s="10" t="s">
        <v>3254</v>
      </c>
      <c r="M102" s="10" t="s">
        <v>3547</v>
      </c>
      <c r="N102" s="10" t="s">
        <v>3571</v>
      </c>
      <c r="O102" s="8" t="s">
        <v>363</v>
      </c>
      <c r="P102" s="8"/>
      <c r="Q102" s="8"/>
      <c r="R102" s="8">
        <v>50907</v>
      </c>
      <c r="S102" s="8"/>
      <c r="T102" s="8"/>
      <c r="U102" s="8"/>
      <c r="V102" s="8"/>
      <c r="W102" s="8"/>
      <c r="X102" s="8"/>
      <c r="Y102" s="8"/>
      <c r="Z102" s="10" t="s">
        <v>3569</v>
      </c>
      <c r="AA102" s="8" t="s">
        <v>332</v>
      </c>
      <c r="AB102" s="8">
        <v>1</v>
      </c>
    </row>
    <row r="103" spans="1:28" ht="21.6" customHeight="1">
      <c r="A103" s="8">
        <v>276</v>
      </c>
      <c r="B103" s="8">
        <v>2025013509</v>
      </c>
      <c r="C103" s="8">
        <v>1</v>
      </c>
      <c r="D103" s="8" t="s">
        <v>3177</v>
      </c>
      <c r="E103" s="8" t="s">
        <v>118</v>
      </c>
      <c r="F103" s="8" t="s">
        <v>3450</v>
      </c>
      <c r="G103" s="8" t="s">
        <v>3204</v>
      </c>
      <c r="H103" s="8" t="s">
        <v>3427</v>
      </c>
      <c r="I103" s="8" t="s">
        <v>3570</v>
      </c>
      <c r="J103" s="8" t="s">
        <v>1717</v>
      </c>
      <c r="K103" s="8" t="s">
        <v>3183</v>
      </c>
      <c r="L103" s="10" t="s">
        <v>3254</v>
      </c>
      <c r="M103" s="10" t="s">
        <v>3547</v>
      </c>
      <c r="N103" s="10" t="s">
        <v>3571</v>
      </c>
      <c r="O103" s="8" t="s">
        <v>322</v>
      </c>
      <c r="P103" s="8"/>
      <c r="Q103" s="8"/>
      <c r="R103" s="8">
        <v>50907</v>
      </c>
      <c r="S103" s="8"/>
      <c r="T103" s="8"/>
      <c r="U103" s="8" t="s">
        <v>332</v>
      </c>
      <c r="V103" s="8"/>
      <c r="W103" s="8"/>
      <c r="X103" s="8"/>
      <c r="Y103" s="8"/>
      <c r="Z103" s="10" t="s">
        <v>3362</v>
      </c>
      <c r="AA103" s="8" t="s">
        <v>332</v>
      </c>
      <c r="AB103" s="8">
        <v>1</v>
      </c>
    </row>
    <row r="104" spans="1:28" ht="21.6" customHeight="1">
      <c r="A104" s="8">
        <v>277</v>
      </c>
      <c r="B104" s="8">
        <v>2025013089</v>
      </c>
      <c r="C104" s="8">
        <v>1</v>
      </c>
      <c r="D104" s="8" t="s">
        <v>3177</v>
      </c>
      <c r="E104" s="8" t="s">
        <v>118</v>
      </c>
      <c r="F104" s="8" t="s">
        <v>3407</v>
      </c>
      <c r="G104" s="8" t="s">
        <v>3363</v>
      </c>
      <c r="H104" s="8" t="s">
        <v>3233</v>
      </c>
      <c r="I104" s="8" t="s">
        <v>3572</v>
      </c>
      <c r="J104" s="8" t="s">
        <v>1717</v>
      </c>
      <c r="K104" s="8" t="s">
        <v>3183</v>
      </c>
      <c r="L104" s="10" t="s">
        <v>3472</v>
      </c>
      <c r="M104" s="10" t="s">
        <v>3410</v>
      </c>
      <c r="N104" s="10" t="s">
        <v>3442</v>
      </c>
      <c r="O104" s="8" t="s">
        <v>322</v>
      </c>
      <c r="P104" s="8"/>
      <c r="Q104" s="8"/>
      <c r="R104" s="8">
        <v>21343</v>
      </c>
      <c r="S104" s="8" t="s">
        <v>332</v>
      </c>
      <c r="T104" s="8"/>
      <c r="U104" s="8"/>
      <c r="V104" s="8"/>
      <c r="W104" s="8"/>
      <c r="X104" s="8"/>
      <c r="Y104" s="8"/>
      <c r="Z104" s="10" t="s">
        <v>3411</v>
      </c>
      <c r="AA104" s="8" t="s">
        <v>332</v>
      </c>
      <c r="AB104" s="8">
        <v>1</v>
      </c>
    </row>
    <row r="105" spans="1:28" ht="21.6" customHeight="1">
      <c r="A105" s="8">
        <v>283</v>
      </c>
      <c r="B105" s="8">
        <v>2025010722</v>
      </c>
      <c r="C105" s="8">
        <v>1</v>
      </c>
      <c r="D105" s="8" t="s">
        <v>3177</v>
      </c>
      <c r="E105" s="8" t="s">
        <v>118</v>
      </c>
      <c r="F105" s="8" t="s">
        <v>3266</v>
      </c>
      <c r="G105" s="8" t="s">
        <v>3509</v>
      </c>
      <c r="H105" s="8" t="s">
        <v>3381</v>
      </c>
      <c r="I105" s="8" t="s">
        <v>3573</v>
      </c>
      <c r="J105" s="8" t="s">
        <v>3574</v>
      </c>
      <c r="K105" s="8" t="s">
        <v>3183</v>
      </c>
      <c r="L105" s="10" t="s">
        <v>3398</v>
      </c>
      <c r="M105" s="10" t="s">
        <v>3575</v>
      </c>
      <c r="N105" s="10" t="s">
        <v>3576</v>
      </c>
      <c r="O105" s="8" t="s">
        <v>322</v>
      </c>
      <c r="P105" s="8"/>
      <c r="Q105" s="8"/>
      <c r="R105" s="8">
        <v>22712</v>
      </c>
      <c r="S105" s="8" t="s">
        <v>332</v>
      </c>
      <c r="T105" s="8"/>
      <c r="U105" s="8"/>
      <c r="V105" s="8"/>
      <c r="W105" s="8"/>
      <c r="X105" s="8"/>
      <c r="Y105" s="8"/>
      <c r="Z105" s="10" t="s">
        <v>3348</v>
      </c>
      <c r="AA105" s="8" t="s">
        <v>332</v>
      </c>
      <c r="AB105" s="8">
        <v>1</v>
      </c>
    </row>
    <row r="106" spans="1:28" ht="21.6" customHeight="1">
      <c r="A106" s="8">
        <v>310</v>
      </c>
      <c r="B106" s="8">
        <v>2025013690</v>
      </c>
      <c r="C106" s="8">
        <v>1</v>
      </c>
      <c r="D106" s="8" t="s">
        <v>3177</v>
      </c>
      <c r="E106" s="8" t="s">
        <v>118</v>
      </c>
      <c r="F106" s="8" t="s">
        <v>3467</v>
      </c>
      <c r="G106" s="8" t="s">
        <v>3233</v>
      </c>
      <c r="H106" s="8" t="s">
        <v>3577</v>
      </c>
      <c r="I106" s="8" t="s">
        <v>3578</v>
      </c>
      <c r="J106" s="8"/>
      <c r="K106" s="8" t="s">
        <v>3579</v>
      </c>
      <c r="L106" s="10" t="s">
        <v>3580</v>
      </c>
      <c r="M106" s="10" t="s">
        <v>3581</v>
      </c>
      <c r="N106" s="10" t="s">
        <v>3582</v>
      </c>
      <c r="O106" s="8" t="s">
        <v>322</v>
      </c>
      <c r="P106" s="8"/>
      <c r="Q106" s="8"/>
      <c r="R106" s="8">
        <v>0</v>
      </c>
      <c r="S106" s="8" t="s">
        <v>332</v>
      </c>
      <c r="T106" s="8"/>
      <c r="U106" s="8"/>
      <c r="V106" s="8"/>
      <c r="W106" s="8"/>
      <c r="X106" s="8"/>
      <c r="Y106" s="8"/>
      <c r="Z106" s="10" t="s">
        <v>3583</v>
      </c>
      <c r="AA106" s="8" t="s">
        <v>332</v>
      </c>
      <c r="AB106" s="8">
        <v>1</v>
      </c>
    </row>
    <row r="107" spans="1:28" ht="21.6" customHeight="1">
      <c r="A107" s="8">
        <v>311</v>
      </c>
      <c r="B107" s="8">
        <v>2025010618</v>
      </c>
      <c r="C107" s="8">
        <v>1</v>
      </c>
      <c r="D107" s="8" t="s">
        <v>3177</v>
      </c>
      <c r="E107" s="8" t="s">
        <v>134</v>
      </c>
      <c r="F107" s="8" t="s">
        <v>3460</v>
      </c>
      <c r="G107" s="8" t="s">
        <v>3499</v>
      </c>
      <c r="H107" s="8" t="s">
        <v>3584</v>
      </c>
      <c r="I107" s="8" t="s">
        <v>3585</v>
      </c>
      <c r="J107" s="8" t="s">
        <v>3301</v>
      </c>
      <c r="K107" s="8" t="s">
        <v>3183</v>
      </c>
      <c r="L107" s="10" t="s">
        <v>3586</v>
      </c>
      <c r="M107" s="10" t="s">
        <v>3587</v>
      </c>
      <c r="N107" s="10" t="s">
        <v>3430</v>
      </c>
      <c r="O107" s="8" t="s">
        <v>322</v>
      </c>
      <c r="P107" s="8"/>
      <c r="Q107" s="8">
        <v>1256</v>
      </c>
      <c r="R107" s="8">
        <v>21126</v>
      </c>
      <c r="S107" s="8" t="s">
        <v>332</v>
      </c>
      <c r="T107" s="8"/>
      <c r="U107" s="8" t="s">
        <v>332</v>
      </c>
      <c r="V107" s="8"/>
      <c r="W107" s="8"/>
      <c r="X107" s="8"/>
      <c r="Y107" s="8"/>
      <c r="Z107" s="10" t="s">
        <v>111</v>
      </c>
      <c r="AA107" s="8" t="s">
        <v>332</v>
      </c>
      <c r="AB107" s="8">
        <v>1</v>
      </c>
    </row>
    <row r="108" spans="1:28" ht="21.6" customHeight="1">
      <c r="A108" s="8">
        <v>312</v>
      </c>
      <c r="B108" s="8">
        <v>2025010817</v>
      </c>
      <c r="C108" s="8">
        <v>1</v>
      </c>
      <c r="D108" s="8" t="s">
        <v>3177</v>
      </c>
      <c r="E108" s="8" t="s">
        <v>134</v>
      </c>
      <c r="F108" s="8" t="s">
        <v>3266</v>
      </c>
      <c r="G108" s="8" t="s">
        <v>3588</v>
      </c>
      <c r="H108" s="8" t="s">
        <v>3560</v>
      </c>
      <c r="I108" s="8" t="s">
        <v>3585</v>
      </c>
      <c r="J108" s="8" t="s">
        <v>3301</v>
      </c>
      <c r="K108" s="8" t="s">
        <v>3183</v>
      </c>
      <c r="L108" s="10" t="s">
        <v>3586</v>
      </c>
      <c r="M108" s="10" t="s">
        <v>3587</v>
      </c>
      <c r="N108" s="10" t="s">
        <v>3430</v>
      </c>
      <c r="O108" s="8" t="s">
        <v>322</v>
      </c>
      <c r="P108" s="8"/>
      <c r="Q108" s="8">
        <v>1256</v>
      </c>
      <c r="R108" s="8">
        <v>21125</v>
      </c>
      <c r="S108" s="8" t="s">
        <v>332</v>
      </c>
      <c r="T108" s="8"/>
      <c r="U108" s="8" t="s">
        <v>332</v>
      </c>
      <c r="V108" s="8"/>
      <c r="W108" s="8"/>
      <c r="X108" s="8"/>
      <c r="Y108" s="8"/>
      <c r="Z108" s="10" t="s">
        <v>3589</v>
      </c>
      <c r="AA108" s="8" t="s">
        <v>332</v>
      </c>
      <c r="AB108" s="8">
        <v>1</v>
      </c>
    </row>
    <row r="109" spans="1:28" ht="21.6" customHeight="1">
      <c r="A109" s="8">
        <v>313</v>
      </c>
      <c r="B109" s="8">
        <v>2025012122</v>
      </c>
      <c r="C109" s="8">
        <v>1</v>
      </c>
      <c r="D109" s="8" t="s">
        <v>3177</v>
      </c>
      <c r="E109" s="8" t="s">
        <v>134</v>
      </c>
      <c r="F109" s="8" t="s">
        <v>3347</v>
      </c>
      <c r="G109" s="8" t="s">
        <v>3590</v>
      </c>
      <c r="H109" s="8" t="s">
        <v>3591</v>
      </c>
      <c r="I109" s="8" t="s">
        <v>3585</v>
      </c>
      <c r="J109" s="8" t="s">
        <v>3301</v>
      </c>
      <c r="K109" s="8" t="s">
        <v>3183</v>
      </c>
      <c r="L109" s="10" t="s">
        <v>3586</v>
      </c>
      <c r="M109" s="10" t="s">
        <v>3587</v>
      </c>
      <c r="N109" s="10" t="s">
        <v>3430</v>
      </c>
      <c r="O109" s="8" t="s">
        <v>3190</v>
      </c>
      <c r="P109" s="8"/>
      <c r="Q109" s="8">
        <v>1330</v>
      </c>
      <c r="R109" s="8">
        <v>23357</v>
      </c>
      <c r="S109" s="8"/>
      <c r="T109" s="8"/>
      <c r="U109" s="8"/>
      <c r="V109" s="8"/>
      <c r="W109" s="8"/>
      <c r="X109" s="8"/>
      <c r="Y109" s="8"/>
      <c r="Z109" s="10"/>
      <c r="AA109" s="8" t="s">
        <v>332</v>
      </c>
      <c r="AB109" s="8">
        <v>1</v>
      </c>
    </row>
    <row r="110" spans="1:28" ht="21.6" customHeight="1">
      <c r="A110" s="8">
        <v>314</v>
      </c>
      <c r="B110" s="8">
        <v>2025010617</v>
      </c>
      <c r="C110" s="8">
        <v>1</v>
      </c>
      <c r="D110" s="8" t="s">
        <v>3177</v>
      </c>
      <c r="E110" s="8" t="s">
        <v>134</v>
      </c>
      <c r="F110" s="8" t="s">
        <v>3460</v>
      </c>
      <c r="G110" s="8" t="s">
        <v>3499</v>
      </c>
      <c r="H110" s="8" t="s">
        <v>3584</v>
      </c>
      <c r="I110" s="8" t="s">
        <v>3592</v>
      </c>
      <c r="J110" s="8" t="s">
        <v>3301</v>
      </c>
      <c r="K110" s="8" t="s">
        <v>3183</v>
      </c>
      <c r="L110" s="10" t="s">
        <v>3586</v>
      </c>
      <c r="M110" s="10" t="s">
        <v>3587</v>
      </c>
      <c r="N110" s="10" t="s">
        <v>3430</v>
      </c>
      <c r="O110" s="8" t="s">
        <v>322</v>
      </c>
      <c r="P110" s="8"/>
      <c r="Q110" s="8">
        <v>2648</v>
      </c>
      <c r="R110" s="8">
        <v>37321</v>
      </c>
      <c r="S110" s="8" t="s">
        <v>332</v>
      </c>
      <c r="T110" s="8"/>
      <c r="U110" s="8" t="s">
        <v>332</v>
      </c>
      <c r="V110" s="8"/>
      <c r="W110" s="8"/>
      <c r="X110" s="8"/>
      <c r="Y110" s="8"/>
      <c r="Z110" s="10" t="s">
        <v>3593</v>
      </c>
      <c r="AA110" s="8" t="s">
        <v>332</v>
      </c>
      <c r="AB110" s="8">
        <v>1</v>
      </c>
    </row>
    <row r="111" spans="1:28" ht="21.6" customHeight="1">
      <c r="A111" s="8">
        <v>315</v>
      </c>
      <c r="B111" s="8">
        <v>2025012123</v>
      </c>
      <c r="C111" s="8">
        <v>1</v>
      </c>
      <c r="D111" s="8" t="s">
        <v>3177</v>
      </c>
      <c r="E111" s="8" t="s">
        <v>134</v>
      </c>
      <c r="F111" s="8" t="s">
        <v>3347</v>
      </c>
      <c r="G111" s="8" t="s">
        <v>3590</v>
      </c>
      <c r="H111" s="8" t="s">
        <v>3591</v>
      </c>
      <c r="I111" s="8" t="s">
        <v>3592</v>
      </c>
      <c r="J111" s="8" t="s">
        <v>3301</v>
      </c>
      <c r="K111" s="8" t="s">
        <v>3183</v>
      </c>
      <c r="L111" s="10" t="s">
        <v>3586</v>
      </c>
      <c r="M111" s="10" t="s">
        <v>3587</v>
      </c>
      <c r="N111" s="10" t="s">
        <v>3430</v>
      </c>
      <c r="O111" s="8" t="s">
        <v>3190</v>
      </c>
      <c r="P111" s="8"/>
      <c r="Q111" s="8">
        <v>2734</v>
      </c>
      <c r="R111" s="8">
        <v>39512</v>
      </c>
      <c r="S111" s="8"/>
      <c r="T111" s="8"/>
      <c r="U111" s="8"/>
      <c r="V111" s="8"/>
      <c r="W111" s="8"/>
      <c r="X111" s="8"/>
      <c r="Y111" s="8"/>
      <c r="Z111" s="10"/>
      <c r="AA111" s="8" t="s">
        <v>332</v>
      </c>
      <c r="AB111" s="8">
        <v>1</v>
      </c>
    </row>
    <row r="112" spans="1:28" ht="21.6" customHeight="1">
      <c r="A112" s="8">
        <v>343</v>
      </c>
      <c r="B112" s="8">
        <v>2025010431</v>
      </c>
      <c r="C112" s="8">
        <v>1</v>
      </c>
      <c r="D112" s="8" t="s">
        <v>3177</v>
      </c>
      <c r="E112" s="8" t="s">
        <v>134</v>
      </c>
      <c r="F112" s="8" t="s">
        <v>3316</v>
      </c>
      <c r="G112" s="8" t="s">
        <v>3594</v>
      </c>
      <c r="H112" s="8" t="s">
        <v>3595</v>
      </c>
      <c r="I112" s="8" t="s">
        <v>3596</v>
      </c>
      <c r="J112" s="8" t="s">
        <v>3597</v>
      </c>
      <c r="K112" s="8" t="s">
        <v>3579</v>
      </c>
      <c r="L112" s="10" t="s">
        <v>3598</v>
      </c>
      <c r="M112" s="10" t="s">
        <v>3599</v>
      </c>
      <c r="N112" s="10">
        <v>24</v>
      </c>
      <c r="O112" s="8" t="s">
        <v>322</v>
      </c>
      <c r="P112" s="8"/>
      <c r="Q112" s="8"/>
      <c r="R112" s="8">
        <v>0</v>
      </c>
      <c r="S112" s="8"/>
      <c r="T112" s="8" t="s">
        <v>332</v>
      </c>
      <c r="U112" s="8"/>
      <c r="V112" s="8"/>
      <c r="W112" s="8"/>
      <c r="X112" s="8"/>
      <c r="Y112" s="8" t="s">
        <v>332</v>
      </c>
      <c r="Z112" s="10" t="s">
        <v>3600</v>
      </c>
      <c r="AA112" s="8" t="s">
        <v>332</v>
      </c>
      <c r="AB112" s="8">
        <v>1</v>
      </c>
    </row>
    <row r="113" spans="1:28" ht="21.6" customHeight="1">
      <c r="A113" s="8">
        <v>344</v>
      </c>
      <c r="B113" s="8">
        <v>2025010430</v>
      </c>
      <c r="C113" s="8">
        <v>1</v>
      </c>
      <c r="D113" s="8" t="s">
        <v>3177</v>
      </c>
      <c r="E113" s="8" t="s">
        <v>134</v>
      </c>
      <c r="F113" s="8" t="s">
        <v>3316</v>
      </c>
      <c r="G113" s="8" t="s">
        <v>3601</v>
      </c>
      <c r="H113" s="8" t="s">
        <v>3595</v>
      </c>
      <c r="I113" s="8" t="s">
        <v>3602</v>
      </c>
      <c r="J113" s="8" t="s">
        <v>3597</v>
      </c>
      <c r="K113" s="8" t="s">
        <v>3579</v>
      </c>
      <c r="L113" s="10" t="s">
        <v>3598</v>
      </c>
      <c r="M113" s="10" t="s">
        <v>3599</v>
      </c>
      <c r="N113" s="10">
        <v>31</v>
      </c>
      <c r="O113" s="8" t="s">
        <v>363</v>
      </c>
      <c r="P113" s="8"/>
      <c r="Q113" s="8"/>
      <c r="R113" s="8">
        <v>0</v>
      </c>
      <c r="S113" s="8"/>
      <c r="T113" s="8"/>
      <c r="U113" s="8"/>
      <c r="V113" s="8"/>
      <c r="W113" s="8"/>
      <c r="X113" s="8"/>
      <c r="Y113" s="8"/>
      <c r="Z113" s="10" t="s">
        <v>3603</v>
      </c>
      <c r="AA113" s="8" t="s">
        <v>332</v>
      </c>
      <c r="AB113" s="8">
        <v>1</v>
      </c>
    </row>
    <row r="114" spans="1:28" ht="21.6" customHeight="1">
      <c r="A114" s="8">
        <v>1</v>
      </c>
      <c r="B114" s="8">
        <v>2025022047</v>
      </c>
      <c r="C114" s="8">
        <v>1</v>
      </c>
      <c r="D114" s="8" t="s">
        <v>3177</v>
      </c>
      <c r="E114" s="8" t="s">
        <v>123</v>
      </c>
      <c r="F114" s="8" t="s">
        <v>3604</v>
      </c>
      <c r="G114" s="8" t="s">
        <v>3524</v>
      </c>
      <c r="H114" s="8" t="s">
        <v>3605</v>
      </c>
      <c r="I114" s="8" t="s">
        <v>3181</v>
      </c>
      <c r="J114" s="8" t="s">
        <v>3182</v>
      </c>
      <c r="K114" s="8" t="s">
        <v>3183</v>
      </c>
      <c r="L114" s="10" t="s">
        <v>3184</v>
      </c>
      <c r="M114" s="10" t="s">
        <v>3185</v>
      </c>
      <c r="N114" s="10" t="s">
        <v>123</v>
      </c>
      <c r="O114" s="8" t="s">
        <v>322</v>
      </c>
      <c r="P114" s="8"/>
      <c r="Q114" s="8">
        <v>3837</v>
      </c>
      <c r="R114" s="8">
        <v>28357</v>
      </c>
      <c r="S114" s="8" t="s">
        <v>332</v>
      </c>
      <c r="T114" s="8"/>
      <c r="U114" s="8"/>
      <c r="V114" s="8"/>
      <c r="W114" s="8"/>
      <c r="X114" s="8"/>
      <c r="Y114" s="8"/>
      <c r="Z114" s="10" t="s">
        <v>3186</v>
      </c>
      <c r="AA114" s="8" t="s">
        <v>332</v>
      </c>
      <c r="AB114" s="8">
        <v>1</v>
      </c>
    </row>
    <row r="115" spans="1:28" ht="21.6" customHeight="1">
      <c r="A115" s="8">
        <v>3</v>
      </c>
      <c r="B115" s="8">
        <v>2025021970</v>
      </c>
      <c r="C115" s="8">
        <v>1</v>
      </c>
      <c r="D115" s="8" t="s">
        <v>3177</v>
      </c>
      <c r="E115" s="8" t="s">
        <v>123</v>
      </c>
      <c r="F115" s="8" t="s">
        <v>3606</v>
      </c>
      <c r="G115" s="8" t="s">
        <v>3179</v>
      </c>
      <c r="H115" s="8" t="s">
        <v>3607</v>
      </c>
      <c r="I115" s="8" t="s">
        <v>3194</v>
      </c>
      <c r="J115" s="8" t="s">
        <v>3195</v>
      </c>
      <c r="K115" s="8" t="s">
        <v>3183</v>
      </c>
      <c r="L115" s="10" t="s">
        <v>3196</v>
      </c>
      <c r="M115" s="10" t="s">
        <v>3197</v>
      </c>
      <c r="N115" s="10" t="s">
        <v>123</v>
      </c>
      <c r="O115" s="8" t="s">
        <v>3190</v>
      </c>
      <c r="P115" s="8"/>
      <c r="Q115" s="8">
        <v>80</v>
      </c>
      <c r="R115" s="8">
        <v>2918</v>
      </c>
      <c r="S115" s="8"/>
      <c r="T115" s="8"/>
      <c r="U115" s="8"/>
      <c r="V115" s="8"/>
      <c r="W115" s="8"/>
      <c r="X115" s="8"/>
      <c r="Y115" s="8"/>
      <c r="Z115" s="10" t="s">
        <v>3190</v>
      </c>
      <c r="AA115" s="8" t="s">
        <v>332</v>
      </c>
      <c r="AB115" s="8">
        <v>1</v>
      </c>
    </row>
    <row r="116" spans="1:28" ht="21.6" customHeight="1">
      <c r="A116" s="8">
        <v>4</v>
      </c>
      <c r="B116" s="8">
        <v>2025021947</v>
      </c>
      <c r="C116" s="8">
        <v>1</v>
      </c>
      <c r="D116" s="8" t="s">
        <v>3177</v>
      </c>
      <c r="E116" s="8" t="s">
        <v>123</v>
      </c>
      <c r="F116" s="8" t="s">
        <v>3606</v>
      </c>
      <c r="G116" s="8" t="s">
        <v>3608</v>
      </c>
      <c r="H116" s="8" t="s">
        <v>3609</v>
      </c>
      <c r="I116" s="8" t="s">
        <v>3200</v>
      </c>
      <c r="J116" s="8" t="s">
        <v>3195</v>
      </c>
      <c r="K116" s="8" t="s">
        <v>3183</v>
      </c>
      <c r="L116" s="10" t="s">
        <v>3201</v>
      </c>
      <c r="M116" s="10" t="s">
        <v>3202</v>
      </c>
      <c r="N116" s="10"/>
      <c r="O116" s="8" t="s">
        <v>3190</v>
      </c>
      <c r="P116" s="8"/>
      <c r="Q116" s="8">
        <v>2059</v>
      </c>
      <c r="R116" s="8">
        <v>16284</v>
      </c>
      <c r="S116" s="8"/>
      <c r="T116" s="8"/>
      <c r="U116" s="8"/>
      <c r="V116" s="8"/>
      <c r="W116" s="8"/>
      <c r="X116" s="8"/>
      <c r="Y116" s="8"/>
      <c r="Z116" s="10" t="s">
        <v>3190</v>
      </c>
      <c r="AA116" s="8" t="s">
        <v>332</v>
      </c>
      <c r="AB116" s="8">
        <v>1</v>
      </c>
    </row>
    <row r="117" spans="1:28" ht="21.6" customHeight="1">
      <c r="A117" s="8">
        <v>5</v>
      </c>
      <c r="B117" s="8">
        <v>2025022062</v>
      </c>
      <c r="C117" s="8">
        <v>1</v>
      </c>
      <c r="D117" s="8" t="s">
        <v>3177</v>
      </c>
      <c r="E117" s="8" t="s">
        <v>123</v>
      </c>
      <c r="F117" s="8" t="s">
        <v>3604</v>
      </c>
      <c r="G117" s="8" t="s">
        <v>3610</v>
      </c>
      <c r="H117" s="8" t="s">
        <v>3611</v>
      </c>
      <c r="I117" s="8" t="s">
        <v>3200</v>
      </c>
      <c r="J117" s="8" t="s">
        <v>3195</v>
      </c>
      <c r="K117" s="8" t="s">
        <v>3183</v>
      </c>
      <c r="L117" s="10" t="s">
        <v>3201</v>
      </c>
      <c r="M117" s="10" t="s">
        <v>3202</v>
      </c>
      <c r="N117" s="10"/>
      <c r="O117" s="8" t="s">
        <v>322</v>
      </c>
      <c r="P117" s="8"/>
      <c r="Q117" s="8">
        <v>2059</v>
      </c>
      <c r="R117" s="8">
        <v>16284</v>
      </c>
      <c r="S117" s="8" t="s">
        <v>332</v>
      </c>
      <c r="T117" s="8"/>
      <c r="U117" s="8"/>
      <c r="V117" s="8"/>
      <c r="W117" s="8"/>
      <c r="X117" s="8"/>
      <c r="Y117" s="8"/>
      <c r="Z117" s="10" t="s">
        <v>111</v>
      </c>
      <c r="AA117" s="8" t="s">
        <v>332</v>
      </c>
      <c r="AB117" s="8">
        <v>1</v>
      </c>
    </row>
    <row r="118" spans="1:28" ht="21.6" customHeight="1">
      <c r="A118" s="8">
        <v>6</v>
      </c>
      <c r="B118" s="8">
        <v>2025021351</v>
      </c>
      <c r="C118" s="8">
        <v>1</v>
      </c>
      <c r="D118" s="8" t="s">
        <v>3177</v>
      </c>
      <c r="E118" s="8" t="s">
        <v>123</v>
      </c>
      <c r="F118" s="8" t="s">
        <v>3612</v>
      </c>
      <c r="G118" s="8" t="s">
        <v>3613</v>
      </c>
      <c r="H118" s="8" t="s">
        <v>3614</v>
      </c>
      <c r="I118" s="8" t="s">
        <v>3206</v>
      </c>
      <c r="J118" s="8" t="s">
        <v>3195</v>
      </c>
      <c r="K118" s="8" t="s">
        <v>3183</v>
      </c>
      <c r="L118" s="10" t="s">
        <v>3207</v>
      </c>
      <c r="M118" s="10" t="s">
        <v>3208</v>
      </c>
      <c r="N118" s="10" t="s">
        <v>3209</v>
      </c>
      <c r="O118" s="8" t="s">
        <v>322</v>
      </c>
      <c r="P118" s="8"/>
      <c r="Q118" s="8">
        <v>21482</v>
      </c>
      <c r="R118" s="8">
        <v>57086</v>
      </c>
      <c r="S118" s="8" t="s">
        <v>332</v>
      </c>
      <c r="T118" s="8"/>
      <c r="U118" s="8"/>
      <c r="V118" s="8"/>
      <c r="W118" s="8"/>
      <c r="X118" s="8"/>
      <c r="Y118" s="8"/>
      <c r="Z118" s="10" t="s">
        <v>3186</v>
      </c>
      <c r="AA118" s="8" t="s">
        <v>332</v>
      </c>
      <c r="AB118" s="8">
        <v>1</v>
      </c>
    </row>
    <row r="119" spans="1:28" ht="21.6" customHeight="1">
      <c r="A119" s="8">
        <v>8</v>
      </c>
      <c r="B119" s="8">
        <v>2025021973</v>
      </c>
      <c r="C119" s="8">
        <v>1</v>
      </c>
      <c r="D119" s="8" t="s">
        <v>3177</v>
      </c>
      <c r="E119" s="8" t="s">
        <v>123</v>
      </c>
      <c r="F119" s="8" t="s">
        <v>3606</v>
      </c>
      <c r="G119" s="8" t="s">
        <v>3615</v>
      </c>
      <c r="H119" s="8" t="s">
        <v>3616</v>
      </c>
      <c r="I119" s="8" t="s">
        <v>3212</v>
      </c>
      <c r="J119" s="8" t="s">
        <v>3195</v>
      </c>
      <c r="K119" s="8" t="s">
        <v>3183</v>
      </c>
      <c r="L119" s="10" t="s">
        <v>3213</v>
      </c>
      <c r="M119" s="10" t="s">
        <v>3214</v>
      </c>
      <c r="N119" s="10" t="s">
        <v>3215</v>
      </c>
      <c r="O119" s="8" t="s">
        <v>3190</v>
      </c>
      <c r="P119" s="8"/>
      <c r="Q119" s="8">
        <v>116</v>
      </c>
      <c r="R119" s="8">
        <v>698</v>
      </c>
      <c r="S119" s="8"/>
      <c r="T119" s="8"/>
      <c r="U119" s="8"/>
      <c r="V119" s="8"/>
      <c r="W119" s="8"/>
      <c r="X119" s="8"/>
      <c r="Y119" s="8"/>
      <c r="Z119" s="10" t="s">
        <v>3190</v>
      </c>
      <c r="AA119" s="8" t="s">
        <v>332</v>
      </c>
      <c r="AB119" s="8">
        <v>1</v>
      </c>
    </row>
    <row r="120" spans="1:28" ht="21.6" customHeight="1">
      <c r="A120" s="8">
        <v>9</v>
      </c>
      <c r="B120" s="8">
        <v>2025021944</v>
      </c>
      <c r="C120" s="8">
        <v>1</v>
      </c>
      <c r="D120" s="8" t="s">
        <v>3177</v>
      </c>
      <c r="E120" s="8" t="s">
        <v>123</v>
      </c>
      <c r="F120" s="8" t="s">
        <v>3606</v>
      </c>
      <c r="G120" s="8" t="s">
        <v>3386</v>
      </c>
      <c r="H120" s="8" t="s">
        <v>3617</v>
      </c>
      <c r="I120" s="8" t="s">
        <v>3218</v>
      </c>
      <c r="J120" s="8" t="s">
        <v>3195</v>
      </c>
      <c r="K120" s="8" t="s">
        <v>3183</v>
      </c>
      <c r="L120" s="10" t="s">
        <v>3219</v>
      </c>
      <c r="M120" s="10" t="s">
        <v>3220</v>
      </c>
      <c r="N120" s="10" t="s">
        <v>123</v>
      </c>
      <c r="O120" s="8" t="s">
        <v>3190</v>
      </c>
      <c r="P120" s="8"/>
      <c r="Q120" s="8">
        <v>119</v>
      </c>
      <c r="R120" s="8">
        <v>5660</v>
      </c>
      <c r="S120" s="8"/>
      <c r="T120" s="8"/>
      <c r="U120" s="8"/>
      <c r="V120" s="8"/>
      <c r="W120" s="8"/>
      <c r="X120" s="8"/>
      <c r="Y120" s="8"/>
      <c r="Z120" s="10" t="s">
        <v>3190</v>
      </c>
      <c r="AA120" s="8" t="s">
        <v>332</v>
      </c>
      <c r="AB120" s="8">
        <v>1</v>
      </c>
    </row>
    <row r="121" spans="1:28" ht="21.6" customHeight="1">
      <c r="A121" s="8">
        <v>10</v>
      </c>
      <c r="B121" s="8">
        <v>2025021946</v>
      </c>
      <c r="C121" s="8">
        <v>1</v>
      </c>
      <c r="D121" s="8" t="s">
        <v>3177</v>
      </c>
      <c r="E121" s="8" t="s">
        <v>123</v>
      </c>
      <c r="F121" s="8" t="s">
        <v>3606</v>
      </c>
      <c r="G121" s="8" t="s">
        <v>3618</v>
      </c>
      <c r="H121" s="8" t="s">
        <v>3608</v>
      </c>
      <c r="I121" s="8" t="s">
        <v>3223</v>
      </c>
      <c r="J121" s="8" t="s">
        <v>3224</v>
      </c>
      <c r="K121" s="8" t="s">
        <v>3183</v>
      </c>
      <c r="L121" s="10" t="s">
        <v>3225</v>
      </c>
      <c r="M121" s="10" t="s">
        <v>3226</v>
      </c>
      <c r="N121" s="10" t="s">
        <v>3227</v>
      </c>
      <c r="O121" s="8" t="s">
        <v>3190</v>
      </c>
      <c r="P121" s="8"/>
      <c r="Q121" s="8">
        <v>329</v>
      </c>
      <c r="R121" s="8">
        <v>1536</v>
      </c>
      <c r="S121" s="8"/>
      <c r="T121" s="8"/>
      <c r="U121" s="8"/>
      <c r="V121" s="8"/>
      <c r="W121" s="8"/>
      <c r="X121" s="8"/>
      <c r="Y121" s="8"/>
      <c r="Z121" s="10" t="s">
        <v>3190</v>
      </c>
      <c r="AA121" s="8" t="s">
        <v>332</v>
      </c>
      <c r="AB121" s="8">
        <v>1</v>
      </c>
    </row>
    <row r="122" spans="1:28" ht="21.6" customHeight="1">
      <c r="A122" s="8">
        <v>11</v>
      </c>
      <c r="B122" s="8">
        <v>2025021969</v>
      </c>
      <c r="C122" s="8">
        <v>1</v>
      </c>
      <c r="D122" s="8" t="s">
        <v>3177</v>
      </c>
      <c r="E122" s="8" t="s">
        <v>123</v>
      </c>
      <c r="F122" s="8" t="s">
        <v>3606</v>
      </c>
      <c r="G122" s="8" t="s">
        <v>3619</v>
      </c>
      <c r="H122" s="8" t="s">
        <v>3601</v>
      </c>
      <c r="I122" s="8" t="s">
        <v>3229</v>
      </c>
      <c r="J122" s="8" t="s">
        <v>3224</v>
      </c>
      <c r="K122" s="8" t="s">
        <v>3183</v>
      </c>
      <c r="L122" s="10" t="s">
        <v>3230</v>
      </c>
      <c r="M122" s="10" t="s">
        <v>3231</v>
      </c>
      <c r="N122" s="10" t="s">
        <v>3215</v>
      </c>
      <c r="O122" s="8" t="s">
        <v>3190</v>
      </c>
      <c r="P122" s="8"/>
      <c r="Q122" s="8">
        <v>2180</v>
      </c>
      <c r="R122" s="8">
        <v>2657</v>
      </c>
      <c r="S122" s="8"/>
      <c r="T122" s="8"/>
      <c r="U122" s="8"/>
      <c r="V122" s="8"/>
      <c r="W122" s="8"/>
      <c r="X122" s="8"/>
      <c r="Y122" s="8"/>
      <c r="Z122" s="10" t="s">
        <v>3190</v>
      </c>
      <c r="AA122" s="8" t="s">
        <v>332</v>
      </c>
      <c r="AB122" s="8">
        <v>1</v>
      </c>
    </row>
    <row r="123" spans="1:28" ht="21.6" customHeight="1">
      <c r="A123" s="8">
        <v>12</v>
      </c>
      <c r="B123" s="8">
        <v>2025021968</v>
      </c>
      <c r="C123" s="8">
        <v>1</v>
      </c>
      <c r="D123" s="8" t="s">
        <v>3177</v>
      </c>
      <c r="E123" s="8" t="s">
        <v>123</v>
      </c>
      <c r="F123" s="8" t="s">
        <v>3606</v>
      </c>
      <c r="G123" s="8" t="s">
        <v>3609</v>
      </c>
      <c r="H123" s="8" t="s">
        <v>3620</v>
      </c>
      <c r="I123" s="8" t="s">
        <v>3234</v>
      </c>
      <c r="J123" s="8" t="s">
        <v>3224</v>
      </c>
      <c r="K123" s="8" t="s">
        <v>3183</v>
      </c>
      <c r="L123" s="10" t="s">
        <v>3235</v>
      </c>
      <c r="M123" s="10" t="s">
        <v>3236</v>
      </c>
      <c r="N123" s="10" t="s">
        <v>3237</v>
      </c>
      <c r="O123" s="8" t="s">
        <v>3190</v>
      </c>
      <c r="P123" s="8"/>
      <c r="Q123" s="8">
        <v>878</v>
      </c>
      <c r="R123" s="8">
        <v>45244</v>
      </c>
      <c r="S123" s="8"/>
      <c r="T123" s="8"/>
      <c r="U123" s="8"/>
      <c r="V123" s="8"/>
      <c r="W123" s="8"/>
      <c r="X123" s="8"/>
      <c r="Y123" s="8"/>
      <c r="Z123" s="10" t="s">
        <v>3190</v>
      </c>
      <c r="AA123" s="8" t="s">
        <v>332</v>
      </c>
      <c r="AB123" s="8">
        <v>1</v>
      </c>
    </row>
    <row r="124" spans="1:28" ht="21.6" customHeight="1">
      <c r="A124" s="8">
        <v>13</v>
      </c>
      <c r="B124" s="8">
        <v>2025022053</v>
      </c>
      <c r="C124" s="8">
        <v>1</v>
      </c>
      <c r="D124" s="8" t="s">
        <v>3177</v>
      </c>
      <c r="E124" s="8" t="s">
        <v>123</v>
      </c>
      <c r="F124" s="8" t="s">
        <v>3604</v>
      </c>
      <c r="G124" s="8" t="s">
        <v>3621</v>
      </c>
      <c r="H124" s="8" t="s">
        <v>3622</v>
      </c>
      <c r="I124" s="8" t="s">
        <v>3240</v>
      </c>
      <c r="J124" s="8" t="s">
        <v>3224</v>
      </c>
      <c r="K124" s="8" t="s">
        <v>3183</v>
      </c>
      <c r="L124" s="10" t="s">
        <v>3241</v>
      </c>
      <c r="M124" s="10" t="s">
        <v>3242</v>
      </c>
      <c r="N124" s="10"/>
      <c r="O124" s="8" t="s">
        <v>322</v>
      </c>
      <c r="P124" s="8"/>
      <c r="Q124" s="8">
        <v>296</v>
      </c>
      <c r="R124" s="8">
        <v>331</v>
      </c>
      <c r="S124" s="8" t="s">
        <v>332</v>
      </c>
      <c r="T124" s="8"/>
      <c r="U124" s="8"/>
      <c r="V124" s="8"/>
      <c r="W124" s="8"/>
      <c r="X124" s="8"/>
      <c r="Y124" s="8"/>
      <c r="Z124" s="10" t="s">
        <v>3186</v>
      </c>
      <c r="AA124" s="8" t="s">
        <v>332</v>
      </c>
      <c r="AB124" s="8">
        <v>1</v>
      </c>
    </row>
    <row r="125" spans="1:28" ht="21.6" customHeight="1">
      <c r="A125" s="8">
        <v>15</v>
      </c>
      <c r="B125" s="8">
        <v>2025022265</v>
      </c>
      <c r="C125" s="8">
        <v>1</v>
      </c>
      <c r="D125" s="8" t="s">
        <v>3177</v>
      </c>
      <c r="E125" s="8" t="s">
        <v>123</v>
      </c>
      <c r="F125" s="8" t="s">
        <v>3623</v>
      </c>
      <c r="G125" s="8" t="s">
        <v>3624</v>
      </c>
      <c r="H125" s="8" t="s">
        <v>3625</v>
      </c>
      <c r="I125" s="8" t="s">
        <v>3246</v>
      </c>
      <c r="J125" s="8" t="s">
        <v>3224</v>
      </c>
      <c r="K125" s="8" t="s">
        <v>3183</v>
      </c>
      <c r="L125" s="10" t="s">
        <v>3247</v>
      </c>
      <c r="M125" s="10" t="s">
        <v>3248</v>
      </c>
      <c r="N125" s="10" t="s">
        <v>3215</v>
      </c>
      <c r="O125" s="8" t="s">
        <v>322</v>
      </c>
      <c r="P125" s="8"/>
      <c r="Q125" s="8">
        <v>416</v>
      </c>
      <c r="R125" s="8">
        <v>1248</v>
      </c>
      <c r="S125" s="8" t="s">
        <v>332</v>
      </c>
      <c r="T125" s="8"/>
      <c r="U125" s="8"/>
      <c r="V125" s="8"/>
      <c r="W125" s="8"/>
      <c r="X125" s="8"/>
      <c r="Y125" s="8"/>
      <c r="Z125" s="10" t="s">
        <v>3186</v>
      </c>
      <c r="AA125" s="8" t="s">
        <v>332</v>
      </c>
      <c r="AB125" s="8">
        <v>1</v>
      </c>
    </row>
    <row r="126" spans="1:28" ht="21.6" customHeight="1">
      <c r="A126" s="8">
        <v>19</v>
      </c>
      <c r="B126" s="8">
        <v>2025021349</v>
      </c>
      <c r="C126" s="8">
        <v>1</v>
      </c>
      <c r="D126" s="8" t="s">
        <v>3177</v>
      </c>
      <c r="E126" s="8" t="s">
        <v>123</v>
      </c>
      <c r="F126" s="8" t="s">
        <v>3612</v>
      </c>
      <c r="G126" s="8" t="s">
        <v>3221</v>
      </c>
      <c r="H126" s="8" t="s">
        <v>3222</v>
      </c>
      <c r="I126" s="8" t="s">
        <v>3259</v>
      </c>
      <c r="J126" s="8" t="s">
        <v>3253</v>
      </c>
      <c r="K126" s="8" t="s">
        <v>3183</v>
      </c>
      <c r="L126" s="10" t="s">
        <v>3207</v>
      </c>
      <c r="M126" s="10" t="s">
        <v>3208</v>
      </c>
      <c r="N126" s="10" t="s">
        <v>3260</v>
      </c>
      <c r="O126" s="8" t="s">
        <v>322</v>
      </c>
      <c r="P126" s="8"/>
      <c r="Q126" s="8"/>
      <c r="R126" s="8">
        <v>76260</v>
      </c>
      <c r="S126" s="8" t="s">
        <v>332</v>
      </c>
      <c r="T126" s="8"/>
      <c r="U126" s="8"/>
      <c r="V126" s="8"/>
      <c r="W126" s="8"/>
      <c r="X126" s="8"/>
      <c r="Y126" s="8"/>
      <c r="Z126" s="10" t="s">
        <v>3186</v>
      </c>
      <c r="AA126" s="8" t="s">
        <v>332</v>
      </c>
      <c r="AB126" s="8">
        <v>1</v>
      </c>
    </row>
    <row r="127" spans="1:28" ht="21.6" customHeight="1">
      <c r="A127" s="8">
        <v>21</v>
      </c>
      <c r="B127" s="8">
        <v>2025021235</v>
      </c>
      <c r="C127" s="8">
        <v>1</v>
      </c>
      <c r="D127" s="8" t="s">
        <v>3177</v>
      </c>
      <c r="E127" s="8" t="s">
        <v>123</v>
      </c>
      <c r="F127" s="8" t="s">
        <v>3626</v>
      </c>
      <c r="G127" s="8" t="s">
        <v>3401</v>
      </c>
      <c r="H127" s="8" t="s">
        <v>3627</v>
      </c>
      <c r="I127" s="8" t="s">
        <v>3628</v>
      </c>
      <c r="J127" s="8" t="s">
        <v>3253</v>
      </c>
      <c r="K127" s="8" t="s">
        <v>3183</v>
      </c>
      <c r="L127" s="10" t="s">
        <v>3629</v>
      </c>
      <c r="M127" s="10" t="s">
        <v>3630</v>
      </c>
      <c r="N127" s="10" t="s">
        <v>123</v>
      </c>
      <c r="O127" s="8" t="s">
        <v>363</v>
      </c>
      <c r="P127" s="8"/>
      <c r="Q127" s="8"/>
      <c r="R127" s="8">
        <v>52073</v>
      </c>
      <c r="S127" s="8"/>
      <c r="T127" s="8"/>
      <c r="U127" s="8"/>
      <c r="V127" s="8"/>
      <c r="W127" s="8"/>
      <c r="X127" s="8"/>
      <c r="Y127" s="8"/>
      <c r="Z127" s="10" t="s">
        <v>3631</v>
      </c>
      <c r="AA127" s="8" t="s">
        <v>332</v>
      </c>
      <c r="AB127" s="8">
        <v>1</v>
      </c>
    </row>
    <row r="128" spans="1:28" ht="21.6" customHeight="1">
      <c r="A128" s="8">
        <v>24</v>
      </c>
      <c r="B128" s="8">
        <v>2025021972</v>
      </c>
      <c r="C128" s="8">
        <v>1</v>
      </c>
      <c r="D128" s="8" t="s">
        <v>3177</v>
      </c>
      <c r="E128" s="8" t="s">
        <v>123</v>
      </c>
      <c r="F128" s="8" t="s">
        <v>3606</v>
      </c>
      <c r="G128" s="8" t="s">
        <v>3632</v>
      </c>
      <c r="H128" s="8" t="s">
        <v>3633</v>
      </c>
      <c r="I128" s="8" t="s">
        <v>3263</v>
      </c>
      <c r="J128" s="8" t="s">
        <v>3253</v>
      </c>
      <c r="K128" s="8" t="s">
        <v>3183</v>
      </c>
      <c r="L128" s="10" t="s">
        <v>3264</v>
      </c>
      <c r="M128" s="10" t="s">
        <v>3265</v>
      </c>
      <c r="N128" s="10" t="s">
        <v>123</v>
      </c>
      <c r="O128" s="8" t="s">
        <v>3190</v>
      </c>
      <c r="P128" s="8"/>
      <c r="Q128" s="8"/>
      <c r="R128" s="8">
        <v>44274</v>
      </c>
      <c r="S128" s="8"/>
      <c r="T128" s="8"/>
      <c r="U128" s="8"/>
      <c r="V128" s="8"/>
      <c r="W128" s="8"/>
      <c r="X128" s="8"/>
      <c r="Y128" s="8"/>
      <c r="Z128" s="10" t="s">
        <v>3190</v>
      </c>
      <c r="AA128" s="8" t="s">
        <v>332</v>
      </c>
      <c r="AB128" s="8">
        <v>1</v>
      </c>
    </row>
    <row r="129" spans="1:28" ht="21.6" customHeight="1">
      <c r="A129" s="8">
        <v>27</v>
      </c>
      <c r="B129" s="8">
        <v>2025020552</v>
      </c>
      <c r="C129" s="8">
        <v>1</v>
      </c>
      <c r="D129" s="8" t="s">
        <v>3177</v>
      </c>
      <c r="E129" s="8" t="s">
        <v>123</v>
      </c>
      <c r="F129" s="8" t="s">
        <v>3634</v>
      </c>
      <c r="G129" s="8" t="s">
        <v>3635</v>
      </c>
      <c r="H129" s="8" t="s">
        <v>3636</v>
      </c>
      <c r="I129" s="8" t="s">
        <v>3269</v>
      </c>
      <c r="J129" s="8" t="s">
        <v>3253</v>
      </c>
      <c r="K129" s="8" t="s">
        <v>3183</v>
      </c>
      <c r="L129" s="10" t="s">
        <v>3270</v>
      </c>
      <c r="M129" s="10" t="s">
        <v>3271</v>
      </c>
      <c r="N129" s="10" t="s">
        <v>3272</v>
      </c>
      <c r="O129" s="8" t="s">
        <v>3190</v>
      </c>
      <c r="P129" s="8"/>
      <c r="Q129" s="8"/>
      <c r="R129" s="8">
        <v>20227</v>
      </c>
      <c r="S129" s="8"/>
      <c r="T129" s="8"/>
      <c r="U129" s="8"/>
      <c r="V129" s="8"/>
      <c r="W129" s="8"/>
      <c r="X129" s="8"/>
      <c r="Y129" s="8"/>
      <c r="Z129" s="10" t="s">
        <v>3186</v>
      </c>
      <c r="AA129" s="8" t="s">
        <v>332</v>
      </c>
      <c r="AB129" s="8">
        <v>1</v>
      </c>
    </row>
    <row r="130" spans="1:28" ht="21.6" customHeight="1">
      <c r="A130" s="8">
        <v>31</v>
      </c>
      <c r="B130" s="8">
        <v>2025020937</v>
      </c>
      <c r="C130" s="8">
        <v>1</v>
      </c>
      <c r="D130" s="8" t="s">
        <v>3177</v>
      </c>
      <c r="E130" s="8" t="s">
        <v>123</v>
      </c>
      <c r="F130" s="8" t="s">
        <v>3637</v>
      </c>
      <c r="G130" s="8" t="s">
        <v>3638</v>
      </c>
      <c r="H130" s="8" t="s">
        <v>3354</v>
      </c>
      <c r="I130" s="8" t="s">
        <v>3276</v>
      </c>
      <c r="J130" s="8" t="s">
        <v>3277</v>
      </c>
      <c r="K130" s="8" t="s">
        <v>3183</v>
      </c>
      <c r="L130" s="10" t="s">
        <v>3278</v>
      </c>
      <c r="M130" s="10" t="s">
        <v>3279</v>
      </c>
      <c r="N130" s="10" t="s">
        <v>123</v>
      </c>
      <c r="O130" s="8" t="s">
        <v>3190</v>
      </c>
      <c r="P130" s="8"/>
      <c r="Q130" s="8"/>
      <c r="R130" s="8">
        <v>49177</v>
      </c>
      <c r="S130" s="8"/>
      <c r="T130" s="8"/>
      <c r="U130" s="8"/>
      <c r="V130" s="8"/>
      <c r="W130" s="8"/>
      <c r="X130" s="8"/>
      <c r="Y130" s="8"/>
      <c r="Z130" s="10" t="s">
        <v>3190</v>
      </c>
      <c r="AA130" s="8" t="s">
        <v>332</v>
      </c>
      <c r="AB130" s="8">
        <v>1</v>
      </c>
    </row>
    <row r="131" spans="1:28" ht="21.6" customHeight="1">
      <c r="A131" s="8">
        <v>32</v>
      </c>
      <c r="B131" s="8">
        <v>2025020550</v>
      </c>
      <c r="C131" s="8">
        <v>1</v>
      </c>
      <c r="D131" s="8" t="s">
        <v>3177</v>
      </c>
      <c r="E131" s="8" t="s">
        <v>123</v>
      </c>
      <c r="F131" s="8" t="s">
        <v>3634</v>
      </c>
      <c r="G131" s="8" t="s">
        <v>3639</v>
      </c>
      <c r="H131" s="8" t="s">
        <v>3342</v>
      </c>
      <c r="I131" s="8" t="s">
        <v>3282</v>
      </c>
      <c r="J131" s="8" t="s">
        <v>3277</v>
      </c>
      <c r="K131" s="8" t="s">
        <v>3183</v>
      </c>
      <c r="L131" s="10" t="s">
        <v>3283</v>
      </c>
      <c r="M131" s="10" t="s">
        <v>3284</v>
      </c>
      <c r="N131" s="10"/>
      <c r="O131" s="8" t="s">
        <v>3190</v>
      </c>
      <c r="P131" s="8"/>
      <c r="Q131" s="8"/>
      <c r="R131" s="8">
        <v>20400</v>
      </c>
      <c r="S131" s="8"/>
      <c r="T131" s="8"/>
      <c r="U131" s="8"/>
      <c r="V131" s="8"/>
      <c r="W131" s="8"/>
      <c r="X131" s="8"/>
      <c r="Y131" s="8"/>
      <c r="Z131" s="10" t="s">
        <v>3190</v>
      </c>
      <c r="AA131" s="8" t="s">
        <v>332</v>
      </c>
      <c r="AB131" s="8">
        <v>1</v>
      </c>
    </row>
    <row r="132" spans="1:28" ht="21.6" customHeight="1">
      <c r="A132" s="8">
        <v>33</v>
      </c>
      <c r="B132" s="8">
        <v>2025021242</v>
      </c>
      <c r="C132" s="8">
        <v>1</v>
      </c>
      <c r="D132" s="8" t="s">
        <v>3177</v>
      </c>
      <c r="E132" s="8" t="s">
        <v>123</v>
      </c>
      <c r="F132" s="8" t="s">
        <v>3626</v>
      </c>
      <c r="G132" s="8" t="s">
        <v>3329</v>
      </c>
      <c r="H132" s="8" t="s">
        <v>3179</v>
      </c>
      <c r="I132" s="8" t="s">
        <v>3282</v>
      </c>
      <c r="J132" s="8" t="s">
        <v>3277</v>
      </c>
      <c r="K132" s="8" t="s">
        <v>3183</v>
      </c>
      <c r="L132" s="10" t="s">
        <v>3283</v>
      </c>
      <c r="M132" s="10" t="s">
        <v>3284</v>
      </c>
      <c r="N132" s="10"/>
      <c r="O132" s="8" t="s">
        <v>363</v>
      </c>
      <c r="P132" s="8"/>
      <c r="Q132" s="8"/>
      <c r="R132" s="8">
        <v>20400</v>
      </c>
      <c r="S132" s="8"/>
      <c r="T132" s="8"/>
      <c r="U132" s="8"/>
      <c r="V132" s="8"/>
      <c r="W132" s="8"/>
      <c r="X132" s="8"/>
      <c r="Y132" s="8"/>
      <c r="Z132" s="10" t="s">
        <v>3640</v>
      </c>
      <c r="AA132" s="8" t="s">
        <v>332</v>
      </c>
      <c r="AB132" s="8">
        <v>1</v>
      </c>
    </row>
    <row r="133" spans="1:28" ht="21.6" customHeight="1">
      <c r="A133" s="8">
        <v>34</v>
      </c>
      <c r="B133" s="8">
        <v>2025021338</v>
      </c>
      <c r="C133" s="8">
        <v>1</v>
      </c>
      <c r="D133" s="8" t="s">
        <v>3177</v>
      </c>
      <c r="E133" s="8" t="s">
        <v>123</v>
      </c>
      <c r="F133" s="8" t="s">
        <v>3612</v>
      </c>
      <c r="G133" s="8" t="s">
        <v>3244</v>
      </c>
      <c r="H133" s="8" t="s">
        <v>3641</v>
      </c>
      <c r="I133" s="8" t="s">
        <v>3282</v>
      </c>
      <c r="J133" s="8" t="s">
        <v>3277</v>
      </c>
      <c r="K133" s="8" t="s">
        <v>3183</v>
      </c>
      <c r="L133" s="10" t="s">
        <v>3283</v>
      </c>
      <c r="M133" s="10" t="s">
        <v>3284</v>
      </c>
      <c r="N133" s="10"/>
      <c r="O133" s="8" t="s">
        <v>363</v>
      </c>
      <c r="P133" s="8"/>
      <c r="Q133" s="8"/>
      <c r="R133" s="8">
        <v>20400</v>
      </c>
      <c r="S133" s="8"/>
      <c r="T133" s="8"/>
      <c r="U133" s="8"/>
      <c r="V133" s="8"/>
      <c r="W133" s="8"/>
      <c r="X133" s="8"/>
      <c r="Y133" s="8"/>
      <c r="Z133" s="10" t="s">
        <v>3642</v>
      </c>
      <c r="AA133" s="8" t="s">
        <v>332</v>
      </c>
      <c r="AB133" s="8">
        <v>1</v>
      </c>
    </row>
    <row r="134" spans="1:28" ht="21.6" customHeight="1">
      <c r="A134" s="8">
        <v>35</v>
      </c>
      <c r="B134" s="8">
        <v>2025022832</v>
      </c>
      <c r="C134" s="8">
        <v>1</v>
      </c>
      <c r="D134" s="8" t="s">
        <v>3177</v>
      </c>
      <c r="E134" s="8" t="s">
        <v>123</v>
      </c>
      <c r="F134" s="8" t="s">
        <v>3643</v>
      </c>
      <c r="G134" s="8" t="s">
        <v>3644</v>
      </c>
      <c r="H134" s="8" t="s">
        <v>3645</v>
      </c>
      <c r="I134" s="8" t="s">
        <v>3282</v>
      </c>
      <c r="J134" s="8" t="s">
        <v>3277</v>
      </c>
      <c r="K134" s="8" t="s">
        <v>3183</v>
      </c>
      <c r="L134" s="10" t="s">
        <v>3283</v>
      </c>
      <c r="M134" s="10" t="s">
        <v>3284</v>
      </c>
      <c r="N134" s="10"/>
      <c r="O134" s="8" t="s">
        <v>363</v>
      </c>
      <c r="P134" s="8"/>
      <c r="Q134" s="8"/>
      <c r="R134" s="8">
        <v>20400</v>
      </c>
      <c r="S134" s="8"/>
      <c r="T134" s="8"/>
      <c r="U134" s="8"/>
      <c r="V134" s="8"/>
      <c r="W134" s="8"/>
      <c r="X134" s="8"/>
      <c r="Y134" s="8"/>
      <c r="Z134" s="10" t="s">
        <v>3646</v>
      </c>
      <c r="AA134" s="8" t="s">
        <v>332</v>
      </c>
      <c r="AB134" s="8">
        <v>1</v>
      </c>
    </row>
    <row r="135" spans="1:28" ht="21.6" customHeight="1">
      <c r="A135" s="8">
        <v>36</v>
      </c>
      <c r="B135" s="8">
        <v>2025022232</v>
      </c>
      <c r="C135" s="8">
        <v>1</v>
      </c>
      <c r="D135" s="8" t="s">
        <v>3177</v>
      </c>
      <c r="E135" s="8" t="s">
        <v>123</v>
      </c>
      <c r="F135" s="8" t="s">
        <v>3623</v>
      </c>
      <c r="G135" s="8" t="s">
        <v>3613</v>
      </c>
      <c r="H135" s="8" t="s">
        <v>3614</v>
      </c>
      <c r="I135" s="8" t="s">
        <v>3287</v>
      </c>
      <c r="J135" s="8" t="s">
        <v>3288</v>
      </c>
      <c r="K135" s="8" t="s">
        <v>3183</v>
      </c>
      <c r="L135" s="10" t="s">
        <v>3289</v>
      </c>
      <c r="M135" s="10" t="s">
        <v>3290</v>
      </c>
      <c r="N135" s="10" t="s">
        <v>123</v>
      </c>
      <c r="O135" s="8" t="s">
        <v>322</v>
      </c>
      <c r="P135" s="8"/>
      <c r="Q135" s="8">
        <v>11088</v>
      </c>
      <c r="R135" s="8">
        <v>145362</v>
      </c>
      <c r="S135" s="8" t="s">
        <v>332</v>
      </c>
      <c r="T135" s="8"/>
      <c r="U135" s="8"/>
      <c r="V135" s="8"/>
      <c r="W135" s="8"/>
      <c r="X135" s="8"/>
      <c r="Y135" s="8"/>
      <c r="Z135" s="10" t="s">
        <v>3186</v>
      </c>
      <c r="AA135" s="8" t="s">
        <v>332</v>
      </c>
      <c r="AB135" s="8">
        <v>1</v>
      </c>
    </row>
    <row r="136" spans="1:28" ht="21.6" customHeight="1">
      <c r="A136" s="8">
        <v>38</v>
      </c>
      <c r="B136" s="8">
        <v>2025020567</v>
      </c>
      <c r="C136" s="8">
        <v>1</v>
      </c>
      <c r="D136" s="8" t="s">
        <v>3177</v>
      </c>
      <c r="E136" s="8" t="s">
        <v>123</v>
      </c>
      <c r="F136" s="8" t="s">
        <v>3634</v>
      </c>
      <c r="G136" s="8" t="s">
        <v>3647</v>
      </c>
      <c r="H136" s="8" t="s">
        <v>3648</v>
      </c>
      <c r="I136" s="8" t="s">
        <v>3293</v>
      </c>
      <c r="J136" s="8" t="s">
        <v>3288</v>
      </c>
      <c r="K136" s="8" t="s">
        <v>3183</v>
      </c>
      <c r="L136" s="10" t="s">
        <v>3294</v>
      </c>
      <c r="M136" s="10" t="s">
        <v>3295</v>
      </c>
      <c r="N136" s="10" t="s">
        <v>3272</v>
      </c>
      <c r="O136" s="8" t="s">
        <v>322</v>
      </c>
      <c r="P136" s="8"/>
      <c r="Q136" s="8">
        <v>1526</v>
      </c>
      <c r="R136" s="8">
        <v>234464</v>
      </c>
      <c r="S136" s="8" t="s">
        <v>332</v>
      </c>
      <c r="T136" s="8"/>
      <c r="U136" s="8"/>
      <c r="V136" s="8"/>
      <c r="W136" s="8"/>
      <c r="X136" s="8"/>
      <c r="Y136" s="8"/>
      <c r="Z136" s="10" t="s">
        <v>3186</v>
      </c>
      <c r="AA136" s="8" t="s">
        <v>332</v>
      </c>
      <c r="AB136" s="8">
        <v>1</v>
      </c>
    </row>
    <row r="137" spans="1:28" ht="21.6" customHeight="1">
      <c r="A137" s="8">
        <v>40</v>
      </c>
      <c r="B137" s="8">
        <v>2025021353</v>
      </c>
      <c r="C137" s="8">
        <v>1</v>
      </c>
      <c r="D137" s="8" t="s">
        <v>3177</v>
      </c>
      <c r="E137" s="8" t="s">
        <v>123</v>
      </c>
      <c r="F137" s="8" t="s">
        <v>3612</v>
      </c>
      <c r="G137" s="8" t="s">
        <v>3649</v>
      </c>
      <c r="H137" s="8" t="s">
        <v>3650</v>
      </c>
      <c r="I137" s="8" t="s">
        <v>3297</v>
      </c>
      <c r="J137" s="8" t="s">
        <v>3298</v>
      </c>
      <c r="K137" s="8" t="s">
        <v>3183</v>
      </c>
      <c r="L137" s="10" t="s">
        <v>3207</v>
      </c>
      <c r="M137" s="10" t="s">
        <v>3208</v>
      </c>
      <c r="N137" s="10" t="s">
        <v>3299</v>
      </c>
      <c r="O137" s="8" t="s">
        <v>322</v>
      </c>
      <c r="P137" s="8"/>
      <c r="Q137" s="8"/>
      <c r="R137" s="8">
        <v>102415</v>
      </c>
      <c r="S137" s="8" t="s">
        <v>332</v>
      </c>
      <c r="T137" s="8"/>
      <c r="U137" s="8"/>
      <c r="V137" s="8"/>
      <c r="W137" s="8"/>
      <c r="X137" s="8"/>
      <c r="Y137" s="8"/>
      <c r="Z137" s="10" t="s">
        <v>3186</v>
      </c>
      <c r="AA137" s="8" t="s">
        <v>332</v>
      </c>
      <c r="AB137" s="8">
        <v>1</v>
      </c>
    </row>
    <row r="138" spans="1:28" ht="21.6" customHeight="1">
      <c r="A138" s="8">
        <v>42</v>
      </c>
      <c r="B138" s="8">
        <v>2025022128</v>
      </c>
      <c r="C138" s="8">
        <v>1</v>
      </c>
      <c r="D138" s="8" t="s">
        <v>3177</v>
      </c>
      <c r="E138" s="8" t="s">
        <v>123</v>
      </c>
      <c r="F138" s="8" t="s">
        <v>3604</v>
      </c>
      <c r="G138" s="8" t="s">
        <v>3619</v>
      </c>
      <c r="H138" s="8" t="s">
        <v>3651</v>
      </c>
      <c r="I138" s="8" t="s">
        <v>3300</v>
      </c>
      <c r="J138" s="8" t="s">
        <v>3301</v>
      </c>
      <c r="K138" s="8" t="s">
        <v>3183</v>
      </c>
      <c r="L138" s="10" t="s">
        <v>3302</v>
      </c>
      <c r="M138" s="10" t="s">
        <v>3303</v>
      </c>
      <c r="N138" s="10" t="s">
        <v>3304</v>
      </c>
      <c r="O138" s="8" t="s">
        <v>322</v>
      </c>
      <c r="P138" s="8"/>
      <c r="Q138" s="8">
        <v>29263</v>
      </c>
      <c r="R138" s="8">
        <v>25842</v>
      </c>
      <c r="S138" s="8" t="s">
        <v>332</v>
      </c>
      <c r="T138" s="8"/>
      <c r="U138" s="8" t="s">
        <v>332</v>
      </c>
      <c r="V138" s="8"/>
      <c r="W138" s="8"/>
      <c r="X138" s="8"/>
      <c r="Y138" s="8"/>
      <c r="Z138" s="10" t="s">
        <v>3652</v>
      </c>
      <c r="AA138" s="8" t="s">
        <v>332</v>
      </c>
      <c r="AB138" s="8">
        <v>1</v>
      </c>
    </row>
    <row r="139" spans="1:28" ht="21.6" customHeight="1">
      <c r="A139" s="8">
        <v>44</v>
      </c>
      <c r="B139" s="8">
        <v>2025021938</v>
      </c>
      <c r="C139" s="8">
        <v>1</v>
      </c>
      <c r="D139" s="8" t="s">
        <v>3177</v>
      </c>
      <c r="E139" s="8" t="s">
        <v>123</v>
      </c>
      <c r="F139" s="8" t="s">
        <v>3606</v>
      </c>
      <c r="G139" s="8" t="s">
        <v>3258</v>
      </c>
      <c r="H139" s="8" t="s">
        <v>3386</v>
      </c>
      <c r="I139" s="8" t="s">
        <v>3307</v>
      </c>
      <c r="J139" s="8" t="s">
        <v>3301</v>
      </c>
      <c r="K139" s="8" t="s">
        <v>3183</v>
      </c>
      <c r="L139" s="10" t="s">
        <v>3308</v>
      </c>
      <c r="M139" s="10" t="s">
        <v>3309</v>
      </c>
      <c r="N139" s="10" t="s">
        <v>3310</v>
      </c>
      <c r="O139" s="8" t="s">
        <v>322</v>
      </c>
      <c r="P139" s="8"/>
      <c r="Q139" s="8">
        <v>4345</v>
      </c>
      <c r="R139" s="8">
        <v>34130</v>
      </c>
      <c r="S139" s="8" t="s">
        <v>332</v>
      </c>
      <c r="T139" s="8"/>
      <c r="U139" s="8"/>
      <c r="V139" s="8"/>
      <c r="W139" s="8"/>
      <c r="X139" s="8"/>
      <c r="Y139" s="8"/>
      <c r="Z139" s="10" t="s">
        <v>3186</v>
      </c>
      <c r="AA139" s="8" t="s">
        <v>332</v>
      </c>
      <c r="AB139" s="8">
        <v>1</v>
      </c>
    </row>
    <row r="140" spans="1:28" ht="21.6" customHeight="1">
      <c r="A140" s="8">
        <v>46</v>
      </c>
      <c r="B140" s="8">
        <v>2025022096</v>
      </c>
      <c r="C140" s="8">
        <v>1</v>
      </c>
      <c r="D140" s="8" t="s">
        <v>3177</v>
      </c>
      <c r="E140" s="8" t="s">
        <v>123</v>
      </c>
      <c r="F140" s="8" t="s">
        <v>3604</v>
      </c>
      <c r="G140" s="8" t="s">
        <v>3412</v>
      </c>
      <c r="H140" s="8" t="s">
        <v>3653</v>
      </c>
      <c r="I140" s="8" t="s">
        <v>3307</v>
      </c>
      <c r="J140" s="8" t="s">
        <v>3301</v>
      </c>
      <c r="K140" s="8" t="s">
        <v>3183</v>
      </c>
      <c r="L140" s="10" t="s">
        <v>3308</v>
      </c>
      <c r="M140" s="10" t="s">
        <v>3309</v>
      </c>
      <c r="N140" s="10" t="s">
        <v>3310</v>
      </c>
      <c r="O140" s="8" t="s">
        <v>322</v>
      </c>
      <c r="P140" s="8"/>
      <c r="Q140" s="8">
        <v>4337</v>
      </c>
      <c r="R140" s="8">
        <v>34138</v>
      </c>
      <c r="S140" s="8" t="s">
        <v>332</v>
      </c>
      <c r="T140" s="8"/>
      <c r="U140" s="8"/>
      <c r="V140" s="8"/>
      <c r="W140" s="8"/>
      <c r="X140" s="8"/>
      <c r="Y140" s="8"/>
      <c r="Z140" s="10" t="s">
        <v>3186</v>
      </c>
      <c r="AA140" s="8" t="s">
        <v>332</v>
      </c>
      <c r="AB140" s="8">
        <v>1</v>
      </c>
    </row>
    <row r="141" spans="1:28" ht="21.6" customHeight="1">
      <c r="A141" s="8">
        <v>48</v>
      </c>
      <c r="B141" s="8">
        <v>2025022273</v>
      </c>
      <c r="C141" s="8">
        <v>1</v>
      </c>
      <c r="D141" s="8" t="s">
        <v>3177</v>
      </c>
      <c r="E141" s="8" t="s">
        <v>123</v>
      </c>
      <c r="F141" s="8" t="s">
        <v>3623</v>
      </c>
      <c r="G141" s="8" t="s">
        <v>3654</v>
      </c>
      <c r="H141" s="8" t="s">
        <v>3655</v>
      </c>
      <c r="I141" s="8" t="s">
        <v>3313</v>
      </c>
      <c r="J141" s="8" t="s">
        <v>3301</v>
      </c>
      <c r="K141" s="8" t="s">
        <v>3183</v>
      </c>
      <c r="L141" s="10" t="s">
        <v>3314</v>
      </c>
      <c r="M141" s="10" t="s">
        <v>3315</v>
      </c>
      <c r="N141" s="10" t="s">
        <v>123</v>
      </c>
      <c r="O141" s="8" t="s">
        <v>322</v>
      </c>
      <c r="P141" s="8"/>
      <c r="Q141" s="8">
        <v>13007</v>
      </c>
      <c r="R141" s="8">
        <v>18600</v>
      </c>
      <c r="S141" s="8" t="s">
        <v>332</v>
      </c>
      <c r="T141" s="8"/>
      <c r="U141" s="8"/>
      <c r="V141" s="8"/>
      <c r="W141" s="8"/>
      <c r="X141" s="8"/>
      <c r="Y141" s="8"/>
      <c r="Z141" s="10" t="s">
        <v>3186</v>
      </c>
      <c r="AA141" s="8" t="s">
        <v>332</v>
      </c>
      <c r="AB141" s="8">
        <v>1</v>
      </c>
    </row>
    <row r="142" spans="1:28" ht="21.6" customHeight="1">
      <c r="A142" s="8">
        <v>50</v>
      </c>
      <c r="B142" s="8">
        <v>2025020867</v>
      </c>
      <c r="C142" s="8">
        <v>1</v>
      </c>
      <c r="D142" s="8" t="s">
        <v>3177</v>
      </c>
      <c r="E142" s="8" t="s">
        <v>123</v>
      </c>
      <c r="F142" s="8" t="s">
        <v>3656</v>
      </c>
      <c r="G142" s="8" t="s">
        <v>3386</v>
      </c>
      <c r="H142" s="8" t="s">
        <v>3657</v>
      </c>
      <c r="I142" s="8" t="s">
        <v>3327</v>
      </c>
      <c r="J142" s="8" t="s">
        <v>3328</v>
      </c>
      <c r="K142" s="8" t="s">
        <v>3183</v>
      </c>
      <c r="L142" s="10" t="s">
        <v>3320</v>
      </c>
      <c r="M142" s="10" t="s">
        <v>3321</v>
      </c>
      <c r="N142" s="10" t="s">
        <v>3322</v>
      </c>
      <c r="O142" s="8" t="s">
        <v>363</v>
      </c>
      <c r="P142" s="8"/>
      <c r="Q142" s="8">
        <v>44</v>
      </c>
      <c r="R142" s="8">
        <v>2201</v>
      </c>
      <c r="S142" s="8"/>
      <c r="T142" s="8"/>
      <c r="U142" s="8"/>
      <c r="V142" s="8"/>
      <c r="W142" s="8"/>
      <c r="X142" s="8"/>
      <c r="Y142" s="8"/>
      <c r="Z142" s="10" t="s">
        <v>3658</v>
      </c>
      <c r="AA142" s="8" t="s">
        <v>332</v>
      </c>
      <c r="AB142" s="8">
        <v>1</v>
      </c>
    </row>
    <row r="143" spans="1:28" ht="21.6" customHeight="1">
      <c r="A143" s="8">
        <v>52</v>
      </c>
      <c r="B143" s="8">
        <v>2025023138</v>
      </c>
      <c r="C143" s="8">
        <v>1</v>
      </c>
      <c r="D143" s="8" t="s">
        <v>3177</v>
      </c>
      <c r="E143" s="8" t="s">
        <v>123</v>
      </c>
      <c r="F143" s="8" t="s">
        <v>3659</v>
      </c>
      <c r="G143" s="8" t="s">
        <v>3660</v>
      </c>
      <c r="H143" s="8" t="s">
        <v>3661</v>
      </c>
      <c r="I143" s="8" t="s">
        <v>3327</v>
      </c>
      <c r="J143" s="8" t="s">
        <v>3328</v>
      </c>
      <c r="K143" s="8" t="s">
        <v>3183</v>
      </c>
      <c r="L143" s="10" t="s">
        <v>3320</v>
      </c>
      <c r="M143" s="10" t="s">
        <v>3321</v>
      </c>
      <c r="N143" s="10" t="s">
        <v>3322</v>
      </c>
      <c r="O143" s="8" t="s">
        <v>3190</v>
      </c>
      <c r="P143" s="8"/>
      <c r="Q143" s="8">
        <v>137</v>
      </c>
      <c r="R143" s="8">
        <v>3329</v>
      </c>
      <c r="S143" s="8"/>
      <c r="T143" s="8"/>
      <c r="U143" s="8"/>
      <c r="V143" s="8"/>
      <c r="W143" s="8"/>
      <c r="X143" s="8"/>
      <c r="Y143" s="8"/>
      <c r="Z143" s="10" t="s">
        <v>3186</v>
      </c>
      <c r="AA143" s="8" t="s">
        <v>332</v>
      </c>
      <c r="AB143" s="8">
        <v>1</v>
      </c>
    </row>
    <row r="144" spans="1:28" ht="21.6" customHeight="1">
      <c r="A144" s="8">
        <v>54</v>
      </c>
      <c r="B144" s="8">
        <v>2025022303</v>
      </c>
      <c r="C144" s="8">
        <v>1</v>
      </c>
      <c r="D144" s="8" t="s">
        <v>3177</v>
      </c>
      <c r="E144" s="8" t="s">
        <v>123</v>
      </c>
      <c r="F144" s="8" t="s">
        <v>3623</v>
      </c>
      <c r="G144" s="8" t="s">
        <v>3499</v>
      </c>
      <c r="H144" s="8" t="s">
        <v>3662</v>
      </c>
      <c r="I144" s="8" t="s">
        <v>3331</v>
      </c>
      <c r="J144" s="8" t="s">
        <v>3332</v>
      </c>
      <c r="K144" s="8" t="s">
        <v>3183</v>
      </c>
      <c r="L144" s="10" t="s">
        <v>3333</v>
      </c>
      <c r="M144" s="10" t="s">
        <v>3334</v>
      </c>
      <c r="N144" s="10"/>
      <c r="O144" s="8" t="s">
        <v>322</v>
      </c>
      <c r="P144" s="8"/>
      <c r="Q144" s="8"/>
      <c r="R144" s="8">
        <v>312259</v>
      </c>
      <c r="S144" s="8" t="s">
        <v>332</v>
      </c>
      <c r="T144" s="8"/>
      <c r="U144" s="8"/>
      <c r="V144" s="8"/>
      <c r="W144" s="8"/>
      <c r="X144" s="8"/>
      <c r="Y144" s="8"/>
      <c r="Z144" s="10" t="s">
        <v>3186</v>
      </c>
      <c r="AA144" s="8" t="s">
        <v>332</v>
      </c>
      <c r="AB144" s="8">
        <v>1</v>
      </c>
    </row>
    <row r="145" spans="1:28" ht="21.6" customHeight="1">
      <c r="A145" s="8">
        <v>56</v>
      </c>
      <c r="B145" s="8">
        <v>2025023134</v>
      </c>
      <c r="C145" s="8">
        <v>1</v>
      </c>
      <c r="D145" s="8" t="s">
        <v>3177</v>
      </c>
      <c r="E145" s="8" t="s">
        <v>123</v>
      </c>
      <c r="F145" s="8" t="s">
        <v>3659</v>
      </c>
      <c r="G145" s="8" t="s">
        <v>3663</v>
      </c>
      <c r="H145" s="8" t="s">
        <v>3664</v>
      </c>
      <c r="I145" s="8" t="s">
        <v>3335</v>
      </c>
      <c r="J145" s="8" t="s">
        <v>3336</v>
      </c>
      <c r="K145" s="8" t="s">
        <v>3183</v>
      </c>
      <c r="L145" s="10" t="s">
        <v>3320</v>
      </c>
      <c r="M145" s="10" t="s">
        <v>3321</v>
      </c>
      <c r="N145" s="10" t="s">
        <v>3337</v>
      </c>
      <c r="O145" s="8" t="s">
        <v>3190</v>
      </c>
      <c r="P145" s="8"/>
      <c r="Q145" s="8"/>
      <c r="R145" s="8">
        <v>90324</v>
      </c>
      <c r="S145" s="8"/>
      <c r="T145" s="8"/>
      <c r="U145" s="8"/>
      <c r="V145" s="8"/>
      <c r="W145" s="8"/>
      <c r="X145" s="8"/>
      <c r="Y145" s="8"/>
      <c r="Z145" s="10" t="s">
        <v>3186</v>
      </c>
      <c r="AA145" s="8" t="s">
        <v>332</v>
      </c>
      <c r="AB145" s="8">
        <v>1</v>
      </c>
    </row>
    <row r="146" spans="1:28" ht="21.6" customHeight="1">
      <c r="A146" s="8">
        <v>58</v>
      </c>
      <c r="B146" s="8">
        <v>2025023135</v>
      </c>
      <c r="C146" s="8">
        <v>1</v>
      </c>
      <c r="D146" s="8" t="s">
        <v>3177</v>
      </c>
      <c r="E146" s="8" t="s">
        <v>123</v>
      </c>
      <c r="F146" s="8" t="s">
        <v>3659</v>
      </c>
      <c r="G146" s="8" t="s">
        <v>3665</v>
      </c>
      <c r="H146" s="8" t="s">
        <v>3666</v>
      </c>
      <c r="I146" s="8" t="s">
        <v>3340</v>
      </c>
      <c r="J146" s="8" t="s">
        <v>3336</v>
      </c>
      <c r="K146" s="8" t="s">
        <v>3183</v>
      </c>
      <c r="L146" s="10" t="s">
        <v>3320</v>
      </c>
      <c r="M146" s="10" t="s">
        <v>3321</v>
      </c>
      <c r="N146" s="10" t="s">
        <v>3341</v>
      </c>
      <c r="O146" s="8" t="s">
        <v>322</v>
      </c>
      <c r="P146" s="8"/>
      <c r="Q146" s="8"/>
      <c r="R146" s="8">
        <v>44478</v>
      </c>
      <c r="S146" s="8" t="s">
        <v>332</v>
      </c>
      <c r="T146" s="8"/>
      <c r="U146" s="8"/>
      <c r="V146" s="8"/>
      <c r="W146" s="8"/>
      <c r="X146" s="8"/>
      <c r="Y146" s="8"/>
      <c r="Z146" s="10" t="s">
        <v>3186</v>
      </c>
      <c r="AA146" s="8" t="s">
        <v>332</v>
      </c>
      <c r="AB146" s="8">
        <v>1</v>
      </c>
    </row>
    <row r="147" spans="1:28" ht="21.6" customHeight="1">
      <c r="A147" s="8">
        <v>123</v>
      </c>
      <c r="B147" s="8">
        <v>2025020701</v>
      </c>
      <c r="C147" s="8">
        <v>1</v>
      </c>
      <c r="D147" s="8" t="s">
        <v>3177</v>
      </c>
      <c r="E147" s="8" t="s">
        <v>118</v>
      </c>
      <c r="F147" s="8" t="s">
        <v>3656</v>
      </c>
      <c r="G147" s="8" t="s">
        <v>3381</v>
      </c>
      <c r="H147" s="8" t="s">
        <v>3401</v>
      </c>
      <c r="I147" s="8" t="s">
        <v>3351</v>
      </c>
      <c r="J147" s="8" t="s">
        <v>3195</v>
      </c>
      <c r="K147" s="8" t="s">
        <v>3183</v>
      </c>
      <c r="L147" s="10" t="s">
        <v>3352</v>
      </c>
      <c r="M147" s="10" t="s">
        <v>3353</v>
      </c>
      <c r="N147" s="10" t="s">
        <v>3667</v>
      </c>
      <c r="O147" s="8" t="s">
        <v>322</v>
      </c>
      <c r="P147" s="8"/>
      <c r="Q147" s="8">
        <v>8151</v>
      </c>
      <c r="R147" s="8">
        <v>55869</v>
      </c>
      <c r="S147" s="8" t="s">
        <v>332</v>
      </c>
      <c r="T147" s="8"/>
      <c r="U147" s="8"/>
      <c r="V147" s="8"/>
      <c r="W147" s="8"/>
      <c r="X147" s="8"/>
      <c r="Y147" s="8"/>
      <c r="Z147" s="10" t="s">
        <v>3668</v>
      </c>
      <c r="AA147" s="8" t="s">
        <v>332</v>
      </c>
      <c r="AB147" s="8">
        <v>1</v>
      </c>
    </row>
    <row r="148" spans="1:28" ht="21.6" customHeight="1">
      <c r="A148" s="8">
        <v>125</v>
      </c>
      <c r="B148" s="8">
        <v>2025021949</v>
      </c>
      <c r="C148" s="8">
        <v>1</v>
      </c>
      <c r="D148" s="8" t="s">
        <v>3177</v>
      </c>
      <c r="E148" s="8" t="s">
        <v>118</v>
      </c>
      <c r="F148" s="8" t="s">
        <v>3606</v>
      </c>
      <c r="G148" s="8" t="s">
        <v>3250</v>
      </c>
      <c r="H148" s="8" t="s">
        <v>3204</v>
      </c>
      <c r="I148" s="8" t="s">
        <v>3358</v>
      </c>
      <c r="J148" s="8" t="s">
        <v>3195</v>
      </c>
      <c r="K148" s="8" t="s">
        <v>3183</v>
      </c>
      <c r="L148" s="10" t="s">
        <v>3359</v>
      </c>
      <c r="M148" s="10" t="s">
        <v>3360</v>
      </c>
      <c r="N148" s="10" t="s">
        <v>3361</v>
      </c>
      <c r="O148" s="8" t="s">
        <v>322</v>
      </c>
      <c r="P148" s="8"/>
      <c r="Q148" s="8">
        <v>16019</v>
      </c>
      <c r="R148" s="8">
        <v>77263</v>
      </c>
      <c r="S148" s="8" t="s">
        <v>332</v>
      </c>
      <c r="T148" s="8"/>
      <c r="U148" s="8"/>
      <c r="V148" s="8"/>
      <c r="W148" s="8"/>
      <c r="X148" s="8"/>
      <c r="Y148" s="8"/>
      <c r="Z148" s="10" t="s">
        <v>3186</v>
      </c>
      <c r="AA148" s="8" t="s">
        <v>332</v>
      </c>
      <c r="AB148" s="8">
        <v>1</v>
      </c>
    </row>
    <row r="149" spans="1:28" ht="21.6" customHeight="1">
      <c r="A149" s="8">
        <v>127</v>
      </c>
      <c r="B149" s="8">
        <v>2025022073</v>
      </c>
      <c r="C149" s="8">
        <v>1</v>
      </c>
      <c r="D149" s="8" t="s">
        <v>3177</v>
      </c>
      <c r="E149" s="8" t="s">
        <v>118</v>
      </c>
      <c r="F149" s="8" t="s">
        <v>3604</v>
      </c>
      <c r="G149" s="8" t="s">
        <v>3357</v>
      </c>
      <c r="H149" s="8" t="s">
        <v>3342</v>
      </c>
      <c r="I149" s="8" t="s">
        <v>3358</v>
      </c>
      <c r="J149" s="8" t="s">
        <v>3195</v>
      </c>
      <c r="K149" s="8" t="s">
        <v>3183</v>
      </c>
      <c r="L149" s="10" t="s">
        <v>3359</v>
      </c>
      <c r="M149" s="10" t="s">
        <v>3360</v>
      </c>
      <c r="N149" s="10" t="s">
        <v>3361</v>
      </c>
      <c r="O149" s="8" t="s">
        <v>322</v>
      </c>
      <c r="P149" s="8"/>
      <c r="Q149" s="8">
        <v>16019</v>
      </c>
      <c r="R149" s="8">
        <v>77263</v>
      </c>
      <c r="S149" s="8"/>
      <c r="T149" s="8"/>
      <c r="U149" s="8"/>
      <c r="V149" s="8"/>
      <c r="W149" s="8"/>
      <c r="X149" s="8"/>
      <c r="Y149" s="8" t="s">
        <v>332</v>
      </c>
      <c r="Z149" s="10" t="s">
        <v>3669</v>
      </c>
      <c r="AA149" s="8" t="s">
        <v>332</v>
      </c>
      <c r="AB149" s="8">
        <v>1</v>
      </c>
    </row>
    <row r="150" spans="1:28" ht="21.6" customHeight="1">
      <c r="A150" s="8">
        <v>128</v>
      </c>
      <c r="B150" s="8">
        <v>2025020664</v>
      </c>
      <c r="C150" s="8">
        <v>1</v>
      </c>
      <c r="D150" s="8" t="s">
        <v>3177</v>
      </c>
      <c r="E150" s="8" t="s">
        <v>118</v>
      </c>
      <c r="F150" s="8" t="s">
        <v>3656</v>
      </c>
      <c r="G150" s="8" t="s">
        <v>3363</v>
      </c>
      <c r="H150" s="8" t="s">
        <v>3233</v>
      </c>
      <c r="I150" s="8" t="s">
        <v>3365</v>
      </c>
      <c r="J150" s="8" t="s">
        <v>3195</v>
      </c>
      <c r="K150" s="8" t="s">
        <v>3183</v>
      </c>
      <c r="L150" s="10" t="s">
        <v>3366</v>
      </c>
      <c r="M150" s="10" t="s">
        <v>3367</v>
      </c>
      <c r="N150" s="10"/>
      <c r="O150" s="8" t="s">
        <v>322</v>
      </c>
      <c r="P150" s="8"/>
      <c r="Q150" s="8">
        <v>1750</v>
      </c>
      <c r="R150" s="8">
        <v>35000</v>
      </c>
      <c r="S150" s="8" t="s">
        <v>332</v>
      </c>
      <c r="T150" s="8"/>
      <c r="U150" s="8"/>
      <c r="V150" s="8"/>
      <c r="W150" s="8"/>
      <c r="X150" s="8"/>
      <c r="Y150" s="8"/>
      <c r="Z150" s="10" t="s">
        <v>3348</v>
      </c>
      <c r="AA150" s="8" t="s">
        <v>332</v>
      </c>
      <c r="AB150" s="8">
        <v>1</v>
      </c>
    </row>
    <row r="151" spans="1:28" ht="21.6" customHeight="1">
      <c r="A151" s="8">
        <v>130</v>
      </c>
      <c r="B151" s="8">
        <v>2025022209</v>
      </c>
      <c r="C151" s="8">
        <v>1</v>
      </c>
      <c r="D151" s="8" t="s">
        <v>3177</v>
      </c>
      <c r="E151" s="8" t="s">
        <v>118</v>
      </c>
      <c r="F151" s="8" t="s">
        <v>3623</v>
      </c>
      <c r="G151" s="8" t="s">
        <v>3350</v>
      </c>
      <c r="H151" s="8" t="s">
        <v>3280</v>
      </c>
      <c r="I151" s="8" t="s">
        <v>3370</v>
      </c>
      <c r="J151" s="8" t="s">
        <v>3195</v>
      </c>
      <c r="K151" s="8" t="s">
        <v>3183</v>
      </c>
      <c r="L151" s="10" t="s">
        <v>3371</v>
      </c>
      <c r="M151" s="10" t="s">
        <v>3372</v>
      </c>
      <c r="N151" s="10" t="s">
        <v>3373</v>
      </c>
      <c r="O151" s="8" t="s">
        <v>322</v>
      </c>
      <c r="P151" s="8"/>
      <c r="Q151" s="8">
        <v>13504</v>
      </c>
      <c r="R151" s="8">
        <v>118205</v>
      </c>
      <c r="S151" s="8" t="s">
        <v>332</v>
      </c>
      <c r="T151" s="8"/>
      <c r="U151" s="8"/>
      <c r="V151" s="8"/>
      <c r="W151" s="8"/>
      <c r="X151" s="8"/>
      <c r="Y151" s="8"/>
      <c r="Z151" s="10" t="s">
        <v>3348</v>
      </c>
      <c r="AA151" s="8" t="s">
        <v>332</v>
      </c>
      <c r="AB151" s="8">
        <v>1</v>
      </c>
    </row>
    <row r="152" spans="1:28" ht="21.6" customHeight="1">
      <c r="A152" s="8">
        <v>136</v>
      </c>
      <c r="B152" s="8">
        <v>2025022688</v>
      </c>
      <c r="C152" s="8">
        <v>1</v>
      </c>
      <c r="D152" s="8" t="s">
        <v>3177</v>
      </c>
      <c r="E152" s="8" t="s">
        <v>118</v>
      </c>
      <c r="F152" s="8" t="s">
        <v>3670</v>
      </c>
      <c r="G152" s="8" t="s">
        <v>3280</v>
      </c>
      <c r="H152" s="8" t="s">
        <v>3671</v>
      </c>
      <c r="I152" s="8" t="s">
        <v>3376</v>
      </c>
      <c r="J152" s="8" t="s">
        <v>3195</v>
      </c>
      <c r="K152" s="8" t="s">
        <v>3183</v>
      </c>
      <c r="L152" s="10" t="s">
        <v>3377</v>
      </c>
      <c r="M152" s="10" t="s">
        <v>3378</v>
      </c>
      <c r="N152" s="10" t="s">
        <v>3379</v>
      </c>
      <c r="O152" s="8" t="s">
        <v>322</v>
      </c>
      <c r="P152" s="8"/>
      <c r="Q152" s="8">
        <v>25028</v>
      </c>
      <c r="R152" s="8">
        <v>70832</v>
      </c>
      <c r="S152" s="8"/>
      <c r="T152" s="8"/>
      <c r="U152" s="8"/>
      <c r="V152" s="8"/>
      <c r="W152" s="8"/>
      <c r="X152" s="8"/>
      <c r="Y152" s="8" t="s">
        <v>332</v>
      </c>
      <c r="Z152" s="10" t="s">
        <v>3672</v>
      </c>
      <c r="AA152" s="8" t="s">
        <v>332</v>
      </c>
      <c r="AB152" s="8">
        <v>1</v>
      </c>
    </row>
    <row r="153" spans="1:28" ht="21.6" customHeight="1">
      <c r="A153" s="8">
        <v>139</v>
      </c>
      <c r="B153" s="8">
        <v>2025021522</v>
      </c>
      <c r="C153" s="8">
        <v>1</v>
      </c>
      <c r="D153" s="8" t="s">
        <v>3177</v>
      </c>
      <c r="E153" s="8" t="s">
        <v>118</v>
      </c>
      <c r="F153" s="8" t="s">
        <v>3673</v>
      </c>
      <c r="G153" s="8" t="s">
        <v>3427</v>
      </c>
      <c r="H153" s="8" t="s">
        <v>3674</v>
      </c>
      <c r="I153" s="8" t="s">
        <v>3675</v>
      </c>
      <c r="J153" s="8" t="s">
        <v>3195</v>
      </c>
      <c r="K153" s="8" t="s">
        <v>3183</v>
      </c>
      <c r="L153" s="10" t="s">
        <v>3377</v>
      </c>
      <c r="M153" s="10" t="s">
        <v>3676</v>
      </c>
      <c r="N153" s="10" t="s">
        <v>3677</v>
      </c>
      <c r="O153" s="8" t="s">
        <v>322</v>
      </c>
      <c r="P153" s="8"/>
      <c r="Q153" s="8">
        <v>10508</v>
      </c>
      <c r="R153" s="8">
        <v>14571</v>
      </c>
      <c r="S153" s="8"/>
      <c r="T153" s="8"/>
      <c r="U153" s="8"/>
      <c r="V153" s="8"/>
      <c r="W153" s="8"/>
      <c r="X153" s="8"/>
      <c r="Y153" s="8" t="s">
        <v>332</v>
      </c>
      <c r="Z153" s="10" t="s">
        <v>3678</v>
      </c>
      <c r="AA153" s="8" t="s">
        <v>332</v>
      </c>
      <c r="AB153" s="8">
        <v>1</v>
      </c>
    </row>
    <row r="154" spans="1:28" ht="21.6" customHeight="1">
      <c r="A154" s="8">
        <v>142</v>
      </c>
      <c r="B154" s="8">
        <v>2025022516</v>
      </c>
      <c r="C154" s="8">
        <v>1</v>
      </c>
      <c r="D154" s="8" t="s">
        <v>3177</v>
      </c>
      <c r="E154" s="8" t="s">
        <v>118</v>
      </c>
      <c r="F154" s="8" t="s">
        <v>3679</v>
      </c>
      <c r="G154" s="8" t="s">
        <v>3368</v>
      </c>
      <c r="H154" s="8" t="s">
        <v>3250</v>
      </c>
      <c r="I154" s="8" t="s">
        <v>3675</v>
      </c>
      <c r="J154" s="8" t="s">
        <v>3195</v>
      </c>
      <c r="K154" s="8" t="s">
        <v>3183</v>
      </c>
      <c r="L154" s="10" t="s">
        <v>3377</v>
      </c>
      <c r="M154" s="10" t="s">
        <v>3676</v>
      </c>
      <c r="N154" s="10" t="s">
        <v>3677</v>
      </c>
      <c r="O154" s="8" t="s">
        <v>322</v>
      </c>
      <c r="P154" s="8"/>
      <c r="Q154" s="8">
        <v>11288</v>
      </c>
      <c r="R154" s="8">
        <v>15133</v>
      </c>
      <c r="S154" s="8"/>
      <c r="T154" s="8"/>
      <c r="U154" s="8" t="s">
        <v>332</v>
      </c>
      <c r="V154" s="8"/>
      <c r="W154" s="8"/>
      <c r="X154" s="8"/>
      <c r="Y154" s="8"/>
      <c r="Z154" s="10" t="s">
        <v>3362</v>
      </c>
      <c r="AA154" s="8" t="s">
        <v>332</v>
      </c>
      <c r="AB154" s="8">
        <v>1</v>
      </c>
    </row>
    <row r="155" spans="1:28" ht="21.6" customHeight="1">
      <c r="A155" s="8">
        <v>143</v>
      </c>
      <c r="B155" s="8">
        <v>2025022302</v>
      </c>
      <c r="C155" s="8">
        <v>1</v>
      </c>
      <c r="D155" s="8" t="s">
        <v>3177</v>
      </c>
      <c r="E155" s="8" t="s">
        <v>118</v>
      </c>
      <c r="F155" s="8" t="s">
        <v>3623</v>
      </c>
      <c r="G155" s="8" t="s">
        <v>3386</v>
      </c>
      <c r="H155" s="8" t="s">
        <v>3387</v>
      </c>
      <c r="I155" s="8" t="s">
        <v>3680</v>
      </c>
      <c r="J155" s="8" t="s">
        <v>3195</v>
      </c>
      <c r="K155" s="8" t="s">
        <v>3183</v>
      </c>
      <c r="L155" s="10" t="s">
        <v>3377</v>
      </c>
      <c r="M155" s="10" t="s">
        <v>3681</v>
      </c>
      <c r="N155" s="10" t="s">
        <v>3682</v>
      </c>
      <c r="O155" s="8" t="s">
        <v>3190</v>
      </c>
      <c r="P155" s="8"/>
      <c r="Q155" s="8">
        <v>1928</v>
      </c>
      <c r="R155" s="8">
        <v>22078</v>
      </c>
      <c r="S155" s="8"/>
      <c r="T155" s="8"/>
      <c r="U155" s="8"/>
      <c r="V155" s="8"/>
      <c r="W155" s="8"/>
      <c r="X155" s="8"/>
      <c r="Y155" s="8"/>
      <c r="Z155" s="10" t="s">
        <v>3411</v>
      </c>
      <c r="AA155" s="8" t="s">
        <v>332</v>
      </c>
      <c r="AB155" s="8">
        <v>1</v>
      </c>
    </row>
    <row r="156" spans="1:28" ht="21.6" customHeight="1">
      <c r="A156" s="8">
        <v>147</v>
      </c>
      <c r="B156" s="8">
        <v>2025020488</v>
      </c>
      <c r="C156" s="8">
        <v>1</v>
      </c>
      <c r="D156" s="8" t="s">
        <v>3177</v>
      </c>
      <c r="E156" s="8" t="s">
        <v>118</v>
      </c>
      <c r="F156" s="8" t="s">
        <v>3634</v>
      </c>
      <c r="G156" s="8" t="s">
        <v>3350</v>
      </c>
      <c r="H156" s="8" t="s">
        <v>3280</v>
      </c>
      <c r="I156" s="8" t="s">
        <v>3382</v>
      </c>
      <c r="J156" s="8" t="s">
        <v>3224</v>
      </c>
      <c r="K156" s="8" t="s">
        <v>3183</v>
      </c>
      <c r="L156" s="10" t="s">
        <v>3383</v>
      </c>
      <c r="M156" s="10" t="s">
        <v>3384</v>
      </c>
      <c r="N156" s="10" t="s">
        <v>3385</v>
      </c>
      <c r="O156" s="8" t="s">
        <v>322</v>
      </c>
      <c r="P156" s="8">
        <v>5595</v>
      </c>
      <c r="Q156" s="8">
        <v>12658</v>
      </c>
      <c r="R156" s="8">
        <v>17123</v>
      </c>
      <c r="S156" s="8" t="s">
        <v>332</v>
      </c>
      <c r="T156" s="8"/>
      <c r="U156" s="8"/>
      <c r="V156" s="8"/>
      <c r="W156" s="8"/>
      <c r="X156" s="8"/>
      <c r="Y156" s="8"/>
      <c r="Z156" s="10" t="s">
        <v>3348</v>
      </c>
      <c r="AA156" s="8" t="s">
        <v>332</v>
      </c>
      <c r="AB156" s="8">
        <v>1</v>
      </c>
    </row>
    <row r="157" spans="1:28" ht="21.6" customHeight="1">
      <c r="A157" s="8">
        <v>149</v>
      </c>
      <c r="B157" s="8">
        <v>2025020490</v>
      </c>
      <c r="C157" s="8">
        <v>1</v>
      </c>
      <c r="D157" s="8" t="s">
        <v>3177</v>
      </c>
      <c r="E157" s="8" t="s">
        <v>118</v>
      </c>
      <c r="F157" s="8" t="s">
        <v>3634</v>
      </c>
      <c r="G157" s="8" t="s">
        <v>3280</v>
      </c>
      <c r="H157" s="8" t="s">
        <v>3363</v>
      </c>
      <c r="I157" s="8" t="s">
        <v>3683</v>
      </c>
      <c r="J157" s="8" t="s">
        <v>3224</v>
      </c>
      <c r="K157" s="8" t="s">
        <v>3183</v>
      </c>
      <c r="L157" s="10" t="s">
        <v>3383</v>
      </c>
      <c r="M157" s="10" t="s">
        <v>3684</v>
      </c>
      <c r="N157" s="10" t="s">
        <v>3685</v>
      </c>
      <c r="O157" s="8" t="s">
        <v>322</v>
      </c>
      <c r="P157" s="8">
        <v>235</v>
      </c>
      <c r="Q157" s="8">
        <v>434</v>
      </c>
      <c r="R157" s="8">
        <v>2106</v>
      </c>
      <c r="S157" s="8" t="s">
        <v>332</v>
      </c>
      <c r="T157" s="8"/>
      <c r="U157" s="8"/>
      <c r="V157" s="8"/>
      <c r="W157" s="8"/>
      <c r="X157" s="8"/>
      <c r="Y157" s="8"/>
      <c r="Z157" s="10" t="s">
        <v>3348</v>
      </c>
      <c r="AA157" s="8" t="s">
        <v>332</v>
      </c>
      <c r="AB157" s="8">
        <v>1</v>
      </c>
    </row>
    <row r="158" spans="1:28" ht="21.6" customHeight="1">
      <c r="A158" s="8">
        <v>151</v>
      </c>
      <c r="B158" s="8">
        <v>2025021589</v>
      </c>
      <c r="C158" s="8">
        <v>1</v>
      </c>
      <c r="D158" s="8" t="s">
        <v>3177</v>
      </c>
      <c r="E158" s="8" t="s">
        <v>118</v>
      </c>
      <c r="F158" s="8" t="s">
        <v>3686</v>
      </c>
      <c r="G158" s="8" t="s">
        <v>3233</v>
      </c>
      <c r="H158" s="8" t="s">
        <v>3687</v>
      </c>
      <c r="I158" s="8" t="s">
        <v>3683</v>
      </c>
      <c r="J158" s="8" t="s">
        <v>3224</v>
      </c>
      <c r="K158" s="8" t="s">
        <v>3183</v>
      </c>
      <c r="L158" s="10" t="s">
        <v>3383</v>
      </c>
      <c r="M158" s="10" t="s">
        <v>3684</v>
      </c>
      <c r="N158" s="10" t="s">
        <v>3685</v>
      </c>
      <c r="O158" s="8" t="s">
        <v>322</v>
      </c>
      <c r="P158" s="8">
        <v>235</v>
      </c>
      <c r="Q158" s="8">
        <v>434</v>
      </c>
      <c r="R158" s="8">
        <v>2106</v>
      </c>
      <c r="S158" s="8"/>
      <c r="T158" s="8"/>
      <c r="U158" s="8"/>
      <c r="V158" s="8"/>
      <c r="W158" s="8"/>
      <c r="X158" s="8"/>
      <c r="Y158" s="8" t="s">
        <v>332</v>
      </c>
      <c r="Z158" s="10" t="s">
        <v>3688</v>
      </c>
      <c r="AA158" s="8" t="s">
        <v>332</v>
      </c>
      <c r="AB158" s="8">
        <v>1</v>
      </c>
    </row>
    <row r="159" spans="1:28" ht="21.6" customHeight="1">
      <c r="A159" s="8">
        <v>152</v>
      </c>
      <c r="B159" s="8">
        <v>2025021164</v>
      </c>
      <c r="C159" s="8">
        <v>1</v>
      </c>
      <c r="D159" s="8" t="s">
        <v>3177</v>
      </c>
      <c r="E159" s="8" t="s">
        <v>118</v>
      </c>
      <c r="F159" s="8" t="s">
        <v>3626</v>
      </c>
      <c r="G159" s="8" t="s">
        <v>3280</v>
      </c>
      <c r="H159" s="8" t="s">
        <v>3363</v>
      </c>
      <c r="I159" s="8" t="s">
        <v>3689</v>
      </c>
      <c r="J159" s="8" t="s">
        <v>3224</v>
      </c>
      <c r="K159" s="8" t="s">
        <v>3183</v>
      </c>
      <c r="L159" s="10" t="s">
        <v>3344</v>
      </c>
      <c r="M159" s="10" t="s">
        <v>3345</v>
      </c>
      <c r="N159" s="10" t="s">
        <v>3497</v>
      </c>
      <c r="O159" s="8" t="s">
        <v>3190</v>
      </c>
      <c r="P159" s="8"/>
      <c r="Q159" s="8">
        <v>100</v>
      </c>
      <c r="R159" s="8">
        <v>1500</v>
      </c>
      <c r="S159" s="8"/>
      <c r="T159" s="8"/>
      <c r="U159" s="8"/>
      <c r="V159" s="8"/>
      <c r="W159" s="8"/>
      <c r="X159" s="8"/>
      <c r="Y159" s="8"/>
      <c r="Z159" s="10" t="s">
        <v>3348</v>
      </c>
      <c r="AA159" s="8" t="s">
        <v>332</v>
      </c>
      <c r="AB159" s="8">
        <v>1</v>
      </c>
    </row>
    <row r="160" spans="1:28" ht="21.6" customHeight="1">
      <c r="A160" s="8">
        <v>155</v>
      </c>
      <c r="B160" s="8">
        <v>2025020894</v>
      </c>
      <c r="C160" s="8">
        <v>1</v>
      </c>
      <c r="D160" s="8" t="s">
        <v>3177</v>
      </c>
      <c r="E160" s="8" t="s">
        <v>118</v>
      </c>
      <c r="F160" s="8" t="s">
        <v>3656</v>
      </c>
      <c r="G160" s="8" t="s">
        <v>3387</v>
      </c>
      <c r="H160" s="8" t="s">
        <v>3690</v>
      </c>
      <c r="I160" s="8" t="s">
        <v>3392</v>
      </c>
      <c r="J160" s="8" t="s">
        <v>3253</v>
      </c>
      <c r="K160" s="8" t="s">
        <v>3183</v>
      </c>
      <c r="L160" s="10" t="s">
        <v>3254</v>
      </c>
      <c r="M160" s="10" t="s">
        <v>3393</v>
      </c>
      <c r="N160" s="10" t="s">
        <v>3394</v>
      </c>
      <c r="O160" s="8" t="s">
        <v>322</v>
      </c>
      <c r="P160" s="8"/>
      <c r="Q160" s="8"/>
      <c r="R160" s="8">
        <v>1314</v>
      </c>
      <c r="S160" s="8"/>
      <c r="T160" s="8"/>
      <c r="U160" s="8"/>
      <c r="V160" s="8"/>
      <c r="W160" s="8"/>
      <c r="X160" s="8"/>
      <c r="Y160" s="8" t="s">
        <v>332</v>
      </c>
      <c r="Z160" s="10" t="s">
        <v>3395</v>
      </c>
      <c r="AA160" s="8" t="s">
        <v>332</v>
      </c>
      <c r="AB160" s="8">
        <v>1</v>
      </c>
    </row>
    <row r="161" spans="1:28" ht="21.6" customHeight="1">
      <c r="A161" s="8">
        <v>156</v>
      </c>
      <c r="B161" s="8">
        <v>2025021678</v>
      </c>
      <c r="C161" s="8">
        <v>1</v>
      </c>
      <c r="D161" s="8" t="s">
        <v>3177</v>
      </c>
      <c r="E161" s="8" t="s">
        <v>118</v>
      </c>
      <c r="F161" s="8" t="s">
        <v>3686</v>
      </c>
      <c r="G161" s="8" t="s">
        <v>3368</v>
      </c>
      <c r="H161" s="8" t="s">
        <v>3691</v>
      </c>
      <c r="I161" s="8" t="s">
        <v>3392</v>
      </c>
      <c r="J161" s="8" t="s">
        <v>3253</v>
      </c>
      <c r="K161" s="8" t="s">
        <v>3183</v>
      </c>
      <c r="L161" s="10" t="s">
        <v>3254</v>
      </c>
      <c r="M161" s="10" t="s">
        <v>3393</v>
      </c>
      <c r="N161" s="10" t="s">
        <v>3394</v>
      </c>
      <c r="O161" s="8" t="s">
        <v>322</v>
      </c>
      <c r="P161" s="8"/>
      <c r="Q161" s="8"/>
      <c r="R161" s="8">
        <v>1314</v>
      </c>
      <c r="S161" s="8"/>
      <c r="T161" s="8"/>
      <c r="U161" s="8"/>
      <c r="V161" s="8"/>
      <c r="W161" s="8"/>
      <c r="X161" s="8"/>
      <c r="Y161" s="8" t="s">
        <v>332</v>
      </c>
      <c r="Z161" s="10" t="s">
        <v>3692</v>
      </c>
      <c r="AA161" s="8" t="s">
        <v>332</v>
      </c>
      <c r="AB161" s="8">
        <v>1</v>
      </c>
    </row>
    <row r="162" spans="1:28" ht="21.6" customHeight="1">
      <c r="A162" s="8">
        <v>157</v>
      </c>
      <c r="B162" s="8">
        <v>2025022164</v>
      </c>
      <c r="C162" s="8">
        <v>1</v>
      </c>
      <c r="D162" s="8" t="s">
        <v>3177</v>
      </c>
      <c r="E162" s="8" t="s">
        <v>118</v>
      </c>
      <c r="F162" s="8" t="s">
        <v>3604</v>
      </c>
      <c r="G162" s="8" t="s">
        <v>3250</v>
      </c>
      <c r="H162" s="8" t="s">
        <v>3693</v>
      </c>
      <c r="I162" s="8" t="s">
        <v>3392</v>
      </c>
      <c r="J162" s="8" t="s">
        <v>3253</v>
      </c>
      <c r="K162" s="8" t="s">
        <v>3183</v>
      </c>
      <c r="L162" s="10" t="s">
        <v>3254</v>
      </c>
      <c r="M162" s="10" t="s">
        <v>3393</v>
      </c>
      <c r="N162" s="10" t="s">
        <v>3394</v>
      </c>
      <c r="O162" s="8" t="s">
        <v>363</v>
      </c>
      <c r="P162" s="8"/>
      <c r="Q162" s="8"/>
      <c r="R162" s="8">
        <v>1314</v>
      </c>
      <c r="S162" s="8"/>
      <c r="T162" s="8"/>
      <c r="U162" s="8"/>
      <c r="V162" s="8"/>
      <c r="W162" s="8"/>
      <c r="X162" s="8"/>
      <c r="Y162" s="8"/>
      <c r="Z162" s="10" t="s">
        <v>3694</v>
      </c>
      <c r="AA162" s="8" t="s">
        <v>332</v>
      </c>
      <c r="AB162" s="8">
        <v>1</v>
      </c>
    </row>
    <row r="163" spans="1:28" ht="21.6" customHeight="1">
      <c r="A163" s="8">
        <v>158</v>
      </c>
      <c r="B163" s="8">
        <v>2025020315</v>
      </c>
      <c r="C163" s="8">
        <v>1</v>
      </c>
      <c r="D163" s="8" t="s">
        <v>3177</v>
      </c>
      <c r="E163" s="8" t="s">
        <v>118</v>
      </c>
      <c r="F163" s="8" t="s">
        <v>3695</v>
      </c>
      <c r="G163" s="8" t="s">
        <v>3280</v>
      </c>
      <c r="H163" s="8" t="s">
        <v>3363</v>
      </c>
      <c r="I163" s="8" t="s">
        <v>3397</v>
      </c>
      <c r="J163" s="8" t="s">
        <v>3253</v>
      </c>
      <c r="K163" s="8" t="s">
        <v>3183</v>
      </c>
      <c r="L163" s="10" t="s">
        <v>3398</v>
      </c>
      <c r="M163" s="10" t="s">
        <v>3399</v>
      </c>
      <c r="N163" s="10" t="s">
        <v>3400</v>
      </c>
      <c r="O163" s="8" t="s">
        <v>322</v>
      </c>
      <c r="P163" s="8"/>
      <c r="Q163" s="8"/>
      <c r="R163" s="8">
        <v>371713</v>
      </c>
      <c r="S163" s="8" t="s">
        <v>332</v>
      </c>
      <c r="T163" s="8"/>
      <c r="U163" s="8"/>
      <c r="V163" s="8"/>
      <c r="W163" s="8"/>
      <c r="X163" s="8"/>
      <c r="Y163" s="8"/>
      <c r="Z163" s="10" t="s">
        <v>3348</v>
      </c>
      <c r="AA163" s="8" t="s">
        <v>332</v>
      </c>
      <c r="AB163" s="8">
        <v>1</v>
      </c>
    </row>
    <row r="164" spans="1:28" ht="21.6" customHeight="1">
      <c r="A164" s="8">
        <v>160</v>
      </c>
      <c r="B164" s="8">
        <v>2025020319</v>
      </c>
      <c r="C164" s="8">
        <v>1</v>
      </c>
      <c r="D164" s="8" t="s">
        <v>3177</v>
      </c>
      <c r="E164" s="8" t="s">
        <v>118</v>
      </c>
      <c r="F164" s="8" t="s">
        <v>3695</v>
      </c>
      <c r="G164" s="8" t="s">
        <v>3363</v>
      </c>
      <c r="H164" s="8" t="s">
        <v>3233</v>
      </c>
      <c r="I164" s="8" t="s">
        <v>3404</v>
      </c>
      <c r="J164" s="8" t="s">
        <v>3253</v>
      </c>
      <c r="K164" s="8" t="s">
        <v>3183</v>
      </c>
      <c r="L164" s="10" t="s">
        <v>3398</v>
      </c>
      <c r="M164" s="10" t="s">
        <v>3405</v>
      </c>
      <c r="N164" s="10" t="s">
        <v>3406</v>
      </c>
      <c r="O164" s="8" t="s">
        <v>322</v>
      </c>
      <c r="P164" s="8"/>
      <c r="Q164" s="8"/>
      <c r="R164" s="8">
        <v>162178</v>
      </c>
      <c r="S164" s="8" t="s">
        <v>332</v>
      </c>
      <c r="T164" s="8"/>
      <c r="U164" s="8"/>
      <c r="V164" s="8"/>
      <c r="W164" s="8"/>
      <c r="X164" s="8"/>
      <c r="Y164" s="8"/>
      <c r="Z164" s="10" t="s">
        <v>3348</v>
      </c>
      <c r="AA164" s="8" t="s">
        <v>332</v>
      </c>
      <c r="AB164" s="8">
        <v>1</v>
      </c>
    </row>
    <row r="165" spans="1:28" ht="21.6" customHeight="1">
      <c r="A165" s="8">
        <v>162</v>
      </c>
      <c r="B165" s="8">
        <v>2025023092</v>
      </c>
      <c r="C165" s="8">
        <v>1</v>
      </c>
      <c r="D165" s="8" t="s">
        <v>3177</v>
      </c>
      <c r="E165" s="8" t="s">
        <v>118</v>
      </c>
      <c r="F165" s="8" t="s">
        <v>3659</v>
      </c>
      <c r="G165" s="8" t="s">
        <v>3381</v>
      </c>
      <c r="H165" s="8" t="s">
        <v>3401</v>
      </c>
      <c r="I165" s="8" t="s">
        <v>3408</v>
      </c>
      <c r="J165" s="8" t="s">
        <v>3253</v>
      </c>
      <c r="K165" s="8" t="s">
        <v>3183</v>
      </c>
      <c r="L165" s="10" t="s">
        <v>3409</v>
      </c>
      <c r="M165" s="10" t="s">
        <v>3410</v>
      </c>
      <c r="N165" s="10"/>
      <c r="O165" s="8" t="s">
        <v>322</v>
      </c>
      <c r="P165" s="8"/>
      <c r="Q165" s="8"/>
      <c r="R165" s="8">
        <v>300153</v>
      </c>
      <c r="S165" s="8" t="s">
        <v>332</v>
      </c>
      <c r="T165" s="8"/>
      <c r="U165" s="8"/>
      <c r="V165" s="8"/>
      <c r="W165" s="8"/>
      <c r="X165" s="8"/>
      <c r="Y165" s="8"/>
      <c r="Z165" s="10" t="s">
        <v>3696</v>
      </c>
      <c r="AA165" s="8" t="s">
        <v>332</v>
      </c>
      <c r="AB165" s="8">
        <v>1</v>
      </c>
    </row>
    <row r="166" spans="1:28" ht="21.6" customHeight="1">
      <c r="A166" s="8">
        <v>166</v>
      </c>
      <c r="B166" s="8">
        <v>2025023218</v>
      </c>
      <c r="C166" s="8">
        <v>1</v>
      </c>
      <c r="D166" s="8" t="s">
        <v>3177</v>
      </c>
      <c r="E166" s="8" t="s">
        <v>118</v>
      </c>
      <c r="F166" s="8" t="s">
        <v>3697</v>
      </c>
      <c r="G166" s="8" t="s">
        <v>3401</v>
      </c>
      <c r="H166" s="8" t="s">
        <v>3698</v>
      </c>
      <c r="I166" s="8" t="s">
        <v>3699</v>
      </c>
      <c r="J166" s="8" t="s">
        <v>3253</v>
      </c>
      <c r="K166" s="8" t="s">
        <v>3183</v>
      </c>
      <c r="L166" s="10" t="s">
        <v>3550</v>
      </c>
      <c r="M166" s="10" t="s">
        <v>3700</v>
      </c>
      <c r="N166" s="10" t="s">
        <v>3701</v>
      </c>
      <c r="O166" s="8" t="s">
        <v>363</v>
      </c>
      <c r="P166" s="8"/>
      <c r="Q166" s="8"/>
      <c r="R166" s="8">
        <v>472488</v>
      </c>
      <c r="S166" s="8"/>
      <c r="T166" s="8"/>
      <c r="U166" s="8"/>
      <c r="V166" s="8"/>
      <c r="W166" s="8"/>
      <c r="X166" s="8"/>
      <c r="Y166" s="8"/>
      <c r="Z166" s="10" t="s">
        <v>3702</v>
      </c>
      <c r="AA166" s="8" t="s">
        <v>332</v>
      </c>
      <c r="AB166" s="8">
        <v>1</v>
      </c>
    </row>
    <row r="167" spans="1:28" ht="21.6" customHeight="1">
      <c r="A167" s="8">
        <v>167</v>
      </c>
      <c r="B167" s="8">
        <v>2025023098</v>
      </c>
      <c r="C167" s="8">
        <v>1</v>
      </c>
      <c r="D167" s="8" t="s">
        <v>3177</v>
      </c>
      <c r="E167" s="8" t="s">
        <v>118</v>
      </c>
      <c r="F167" s="8" t="s">
        <v>3659</v>
      </c>
      <c r="G167" s="8" t="s">
        <v>3204</v>
      </c>
      <c r="H167" s="8" t="s">
        <v>3427</v>
      </c>
      <c r="I167" s="8" t="s">
        <v>3413</v>
      </c>
      <c r="J167" s="8" t="s">
        <v>3253</v>
      </c>
      <c r="K167" s="8" t="s">
        <v>3183</v>
      </c>
      <c r="L167" s="10" t="s">
        <v>3414</v>
      </c>
      <c r="M167" s="10" t="s">
        <v>3415</v>
      </c>
      <c r="N167" s="10"/>
      <c r="O167" s="8" t="s">
        <v>322</v>
      </c>
      <c r="P167" s="8"/>
      <c r="Q167" s="8"/>
      <c r="R167" s="8">
        <v>75600</v>
      </c>
      <c r="S167" s="8" t="s">
        <v>332</v>
      </c>
      <c r="T167" s="8"/>
      <c r="U167" s="8"/>
      <c r="V167" s="8"/>
      <c r="W167" s="8"/>
      <c r="X167" s="8"/>
      <c r="Y167" s="8"/>
      <c r="Z167" s="10" t="s">
        <v>3696</v>
      </c>
      <c r="AA167" s="8" t="s">
        <v>332</v>
      </c>
      <c r="AB167" s="8">
        <v>1</v>
      </c>
    </row>
    <row r="168" spans="1:28" ht="21.6" customHeight="1">
      <c r="A168" s="8">
        <v>169</v>
      </c>
      <c r="B168" s="8">
        <v>2025023485</v>
      </c>
      <c r="C168" s="8">
        <v>1</v>
      </c>
      <c r="D168" s="8" t="s">
        <v>3177</v>
      </c>
      <c r="E168" s="8" t="s">
        <v>118</v>
      </c>
      <c r="F168" s="8" t="s">
        <v>3703</v>
      </c>
      <c r="G168" s="8" t="s">
        <v>3386</v>
      </c>
      <c r="H168" s="8" t="s">
        <v>3704</v>
      </c>
      <c r="I168" s="8" t="s">
        <v>3413</v>
      </c>
      <c r="J168" s="8" t="s">
        <v>3253</v>
      </c>
      <c r="K168" s="8" t="s">
        <v>3183</v>
      </c>
      <c r="L168" s="10" t="s">
        <v>3414</v>
      </c>
      <c r="M168" s="10" t="s">
        <v>3415</v>
      </c>
      <c r="N168" s="10"/>
      <c r="O168" s="8" t="s">
        <v>322</v>
      </c>
      <c r="P168" s="8"/>
      <c r="Q168" s="8"/>
      <c r="R168" s="8">
        <v>75600</v>
      </c>
      <c r="S168" s="8"/>
      <c r="T168" s="8"/>
      <c r="U168" s="8"/>
      <c r="V168" s="8"/>
      <c r="W168" s="8"/>
      <c r="X168" s="8"/>
      <c r="Y168" s="8" t="s">
        <v>332</v>
      </c>
      <c r="Z168" s="10" t="s">
        <v>3705</v>
      </c>
      <c r="AA168" s="8" t="s">
        <v>332</v>
      </c>
      <c r="AB168" s="8">
        <v>1</v>
      </c>
    </row>
    <row r="169" spans="1:28" ht="21.6" customHeight="1">
      <c r="A169" s="8">
        <v>171</v>
      </c>
      <c r="B169" s="8">
        <v>2025021588</v>
      </c>
      <c r="C169" s="8">
        <v>1</v>
      </c>
      <c r="D169" s="8" t="s">
        <v>3177</v>
      </c>
      <c r="E169" s="8" t="s">
        <v>118</v>
      </c>
      <c r="F169" s="8" t="s">
        <v>3686</v>
      </c>
      <c r="G169" s="8" t="s">
        <v>3350</v>
      </c>
      <c r="H169" s="8" t="s">
        <v>3280</v>
      </c>
      <c r="I169" s="8" t="s">
        <v>3706</v>
      </c>
      <c r="J169" s="8" t="s">
        <v>3253</v>
      </c>
      <c r="K169" s="8" t="s">
        <v>3183</v>
      </c>
      <c r="L169" s="10" t="s">
        <v>3707</v>
      </c>
      <c r="M169" s="10" t="s">
        <v>3708</v>
      </c>
      <c r="N169" s="10" t="s">
        <v>3424</v>
      </c>
      <c r="O169" s="8" t="s">
        <v>3190</v>
      </c>
      <c r="P169" s="8"/>
      <c r="Q169" s="8"/>
      <c r="R169" s="8">
        <v>167304</v>
      </c>
      <c r="S169" s="8"/>
      <c r="T169" s="8"/>
      <c r="U169" s="8"/>
      <c r="V169" s="8"/>
      <c r="W169" s="8"/>
      <c r="X169" s="8"/>
      <c r="Y169" s="8"/>
      <c r="Z169" s="10" t="s">
        <v>3348</v>
      </c>
      <c r="AA169" s="8" t="s">
        <v>332</v>
      </c>
      <c r="AB169" s="8">
        <v>1</v>
      </c>
    </row>
    <row r="170" spans="1:28" ht="21.6" customHeight="1">
      <c r="A170" s="8">
        <v>173</v>
      </c>
      <c r="B170" s="8">
        <v>2025020999</v>
      </c>
      <c r="C170" s="8">
        <v>1</v>
      </c>
      <c r="D170" s="8" t="s">
        <v>3177</v>
      </c>
      <c r="E170" s="8" t="s">
        <v>118</v>
      </c>
      <c r="F170" s="8" t="s">
        <v>3709</v>
      </c>
      <c r="G170" s="8" t="s">
        <v>3368</v>
      </c>
      <c r="H170" s="8" t="s">
        <v>3710</v>
      </c>
      <c r="I170" s="8" t="s">
        <v>3418</v>
      </c>
      <c r="J170" s="8" t="s">
        <v>3253</v>
      </c>
      <c r="K170" s="8" t="s">
        <v>3183</v>
      </c>
      <c r="L170" s="10" t="s">
        <v>3254</v>
      </c>
      <c r="M170" s="10" t="s">
        <v>3419</v>
      </c>
      <c r="N170" s="10" t="s">
        <v>3420</v>
      </c>
      <c r="O170" s="8" t="s">
        <v>363</v>
      </c>
      <c r="P170" s="8"/>
      <c r="Q170" s="8"/>
      <c r="R170" s="8">
        <v>59547</v>
      </c>
      <c r="S170" s="8"/>
      <c r="T170" s="8"/>
      <c r="U170" s="8"/>
      <c r="V170" s="8"/>
      <c r="W170" s="8"/>
      <c r="X170" s="8"/>
      <c r="Y170" s="8"/>
      <c r="Z170" s="10" t="s">
        <v>3477</v>
      </c>
      <c r="AA170" s="8" t="s">
        <v>332</v>
      </c>
      <c r="AB170" s="8">
        <v>1</v>
      </c>
    </row>
    <row r="171" spans="1:28" ht="21.6" customHeight="1">
      <c r="A171" s="8">
        <v>174</v>
      </c>
      <c r="B171" s="8">
        <v>2025020820</v>
      </c>
      <c r="C171" s="8">
        <v>1</v>
      </c>
      <c r="D171" s="8" t="s">
        <v>3177</v>
      </c>
      <c r="E171" s="8" t="s">
        <v>118</v>
      </c>
      <c r="F171" s="8" t="s">
        <v>3656</v>
      </c>
      <c r="G171" s="8" t="s">
        <v>3368</v>
      </c>
      <c r="H171" s="8" t="s">
        <v>3250</v>
      </c>
      <c r="I171" s="8" t="s">
        <v>3422</v>
      </c>
      <c r="J171" s="8" t="s">
        <v>3253</v>
      </c>
      <c r="K171" s="8" t="s">
        <v>3183</v>
      </c>
      <c r="L171" s="10" t="s">
        <v>3270</v>
      </c>
      <c r="M171" s="10" t="s">
        <v>3423</v>
      </c>
      <c r="N171" s="10" t="s">
        <v>3424</v>
      </c>
      <c r="O171" s="8" t="s">
        <v>322</v>
      </c>
      <c r="P171" s="8"/>
      <c r="Q171" s="8"/>
      <c r="R171" s="8">
        <v>37303</v>
      </c>
      <c r="S171" s="8" t="s">
        <v>332</v>
      </c>
      <c r="T171" s="8"/>
      <c r="U171" s="8"/>
      <c r="V171" s="8"/>
      <c r="W171" s="8"/>
      <c r="X171" s="8"/>
      <c r="Y171" s="8"/>
      <c r="Z171" s="10" t="s">
        <v>3348</v>
      </c>
      <c r="AA171" s="8" t="s">
        <v>332</v>
      </c>
      <c r="AB171" s="8">
        <v>1</v>
      </c>
    </row>
    <row r="172" spans="1:28" ht="21.6" customHeight="1">
      <c r="A172" s="8">
        <v>176</v>
      </c>
      <c r="B172" s="8">
        <v>2025020826</v>
      </c>
      <c r="C172" s="8">
        <v>1</v>
      </c>
      <c r="D172" s="8" t="s">
        <v>3177</v>
      </c>
      <c r="E172" s="8" t="s">
        <v>118</v>
      </c>
      <c r="F172" s="8" t="s">
        <v>3656</v>
      </c>
      <c r="G172" s="8" t="s">
        <v>3204</v>
      </c>
      <c r="H172" s="8" t="s">
        <v>3427</v>
      </c>
      <c r="I172" s="8" t="s">
        <v>3428</v>
      </c>
      <c r="J172" s="8" t="s">
        <v>3253</v>
      </c>
      <c r="K172" s="8" t="s">
        <v>3183</v>
      </c>
      <c r="L172" s="10" t="s">
        <v>3270</v>
      </c>
      <c r="M172" s="10" t="s">
        <v>3429</v>
      </c>
      <c r="N172" s="10" t="s">
        <v>3430</v>
      </c>
      <c r="O172" s="8" t="s">
        <v>322</v>
      </c>
      <c r="P172" s="8"/>
      <c r="Q172" s="8"/>
      <c r="R172" s="8">
        <v>64071</v>
      </c>
      <c r="S172" s="8" t="s">
        <v>332</v>
      </c>
      <c r="T172" s="8"/>
      <c r="U172" s="8"/>
      <c r="V172" s="8"/>
      <c r="W172" s="8"/>
      <c r="X172" s="8"/>
      <c r="Y172" s="8"/>
      <c r="Z172" s="10" t="s">
        <v>3348</v>
      </c>
      <c r="AA172" s="8" t="s">
        <v>332</v>
      </c>
      <c r="AB172" s="8">
        <v>1</v>
      </c>
    </row>
    <row r="173" spans="1:28" ht="21.6" customHeight="1">
      <c r="A173" s="8">
        <v>178</v>
      </c>
      <c r="B173" s="8">
        <v>2025022220</v>
      </c>
      <c r="C173" s="8">
        <v>1</v>
      </c>
      <c r="D173" s="8" t="s">
        <v>3177</v>
      </c>
      <c r="E173" s="8" t="s">
        <v>118</v>
      </c>
      <c r="F173" s="8" t="s">
        <v>3623</v>
      </c>
      <c r="G173" s="8" t="s">
        <v>3233</v>
      </c>
      <c r="H173" s="8" t="s">
        <v>3401</v>
      </c>
      <c r="I173" s="8" t="s">
        <v>3428</v>
      </c>
      <c r="J173" s="8" t="s">
        <v>3253</v>
      </c>
      <c r="K173" s="8" t="s">
        <v>3183</v>
      </c>
      <c r="L173" s="10" t="s">
        <v>3270</v>
      </c>
      <c r="M173" s="10" t="s">
        <v>3429</v>
      </c>
      <c r="N173" s="10" t="s">
        <v>3430</v>
      </c>
      <c r="O173" s="8" t="s">
        <v>322</v>
      </c>
      <c r="P173" s="8"/>
      <c r="Q173" s="8"/>
      <c r="R173" s="8">
        <v>64071</v>
      </c>
      <c r="S173" s="8"/>
      <c r="T173" s="8"/>
      <c r="U173" s="8"/>
      <c r="V173" s="8"/>
      <c r="W173" s="8"/>
      <c r="X173" s="8"/>
      <c r="Y173" s="8" t="s">
        <v>332</v>
      </c>
      <c r="Z173" s="10" t="s">
        <v>3517</v>
      </c>
      <c r="AA173" s="8" t="s">
        <v>332</v>
      </c>
      <c r="AB173" s="8">
        <v>1</v>
      </c>
    </row>
    <row r="174" spans="1:28" ht="21.6" customHeight="1">
      <c r="A174" s="8">
        <v>179</v>
      </c>
      <c r="B174" s="8">
        <v>2025020660</v>
      </c>
      <c r="C174" s="8">
        <v>1</v>
      </c>
      <c r="D174" s="8" t="s">
        <v>3177</v>
      </c>
      <c r="E174" s="8" t="s">
        <v>118</v>
      </c>
      <c r="F174" s="8" t="s">
        <v>3656</v>
      </c>
      <c r="G174" s="8" t="s">
        <v>3350</v>
      </c>
      <c r="H174" s="8" t="s">
        <v>3280</v>
      </c>
      <c r="I174" s="8" t="s">
        <v>3433</v>
      </c>
      <c r="J174" s="8" t="s">
        <v>3277</v>
      </c>
      <c r="K174" s="8" t="s">
        <v>3183</v>
      </c>
      <c r="L174" s="10" t="s">
        <v>3434</v>
      </c>
      <c r="M174" s="10" t="s">
        <v>3435</v>
      </c>
      <c r="N174" s="10" t="s">
        <v>3436</v>
      </c>
      <c r="O174" s="8" t="s">
        <v>322</v>
      </c>
      <c r="P174" s="8"/>
      <c r="Q174" s="8"/>
      <c r="R174" s="8">
        <v>114048</v>
      </c>
      <c r="S174" s="8" t="s">
        <v>332</v>
      </c>
      <c r="T174" s="8"/>
      <c r="U174" s="8"/>
      <c r="V174" s="8"/>
      <c r="W174" s="8"/>
      <c r="X174" s="8"/>
      <c r="Y174" s="8"/>
      <c r="Z174" s="10" t="s">
        <v>3348</v>
      </c>
      <c r="AA174" s="8" t="s">
        <v>332</v>
      </c>
      <c r="AB174" s="8">
        <v>1</v>
      </c>
    </row>
    <row r="175" spans="1:28" ht="21.6" customHeight="1">
      <c r="A175" s="8">
        <v>181</v>
      </c>
      <c r="B175" s="8">
        <v>2025022508</v>
      </c>
      <c r="C175" s="8">
        <v>1</v>
      </c>
      <c r="D175" s="8" t="s">
        <v>3177</v>
      </c>
      <c r="E175" s="8" t="s">
        <v>118</v>
      </c>
      <c r="F175" s="8" t="s">
        <v>3679</v>
      </c>
      <c r="G175" s="8" t="s">
        <v>3350</v>
      </c>
      <c r="H175" s="8" t="s">
        <v>3363</v>
      </c>
      <c r="I175" s="8" t="s">
        <v>3433</v>
      </c>
      <c r="J175" s="8" t="s">
        <v>3277</v>
      </c>
      <c r="K175" s="8" t="s">
        <v>3183</v>
      </c>
      <c r="L175" s="10" t="s">
        <v>3434</v>
      </c>
      <c r="M175" s="10" t="s">
        <v>3435</v>
      </c>
      <c r="N175" s="10" t="s">
        <v>3436</v>
      </c>
      <c r="O175" s="8" t="s">
        <v>322</v>
      </c>
      <c r="P175" s="8"/>
      <c r="Q175" s="8"/>
      <c r="R175" s="8">
        <v>114048</v>
      </c>
      <c r="S175" s="8"/>
      <c r="T175" s="8"/>
      <c r="U175" s="8"/>
      <c r="V175" s="8"/>
      <c r="W175" s="8"/>
      <c r="X175" s="8"/>
      <c r="Y175" s="8" t="s">
        <v>332</v>
      </c>
      <c r="Z175" s="10" t="s">
        <v>3517</v>
      </c>
      <c r="AA175" s="8" t="s">
        <v>332</v>
      </c>
      <c r="AB175" s="8">
        <v>1</v>
      </c>
    </row>
    <row r="176" spans="1:28" ht="21.6" customHeight="1">
      <c r="A176" s="8">
        <v>182</v>
      </c>
      <c r="B176" s="8">
        <v>2025020662</v>
      </c>
      <c r="C176" s="8">
        <v>1</v>
      </c>
      <c r="D176" s="8" t="s">
        <v>3177</v>
      </c>
      <c r="E176" s="8" t="s">
        <v>118</v>
      </c>
      <c r="F176" s="8" t="s">
        <v>3656</v>
      </c>
      <c r="G176" s="8" t="s">
        <v>3280</v>
      </c>
      <c r="H176" s="8" t="s">
        <v>3363</v>
      </c>
      <c r="I176" s="8" t="s">
        <v>3440</v>
      </c>
      <c r="J176" s="8" t="s">
        <v>3277</v>
      </c>
      <c r="K176" s="8" t="s">
        <v>3183</v>
      </c>
      <c r="L176" s="10" t="s">
        <v>3434</v>
      </c>
      <c r="M176" s="10" t="s">
        <v>3441</v>
      </c>
      <c r="N176" s="10" t="s">
        <v>3442</v>
      </c>
      <c r="O176" s="8" t="s">
        <v>322</v>
      </c>
      <c r="P176" s="8"/>
      <c r="Q176" s="8"/>
      <c r="R176" s="8">
        <v>98978</v>
      </c>
      <c r="S176" s="8" t="s">
        <v>332</v>
      </c>
      <c r="T176" s="8"/>
      <c r="U176" s="8"/>
      <c r="V176" s="8"/>
      <c r="W176" s="8"/>
      <c r="X176" s="8"/>
      <c r="Y176" s="8"/>
      <c r="Z176" s="10" t="s">
        <v>3348</v>
      </c>
      <c r="AA176" s="8" t="s">
        <v>332</v>
      </c>
      <c r="AB176" s="8">
        <v>1</v>
      </c>
    </row>
    <row r="177" spans="1:28" ht="21.6" customHeight="1">
      <c r="A177" s="8">
        <v>184</v>
      </c>
      <c r="B177" s="8">
        <v>2025022509</v>
      </c>
      <c r="C177" s="8">
        <v>1</v>
      </c>
      <c r="D177" s="8" t="s">
        <v>3177</v>
      </c>
      <c r="E177" s="8" t="s">
        <v>118</v>
      </c>
      <c r="F177" s="8" t="s">
        <v>3679</v>
      </c>
      <c r="G177" s="8" t="s">
        <v>3363</v>
      </c>
      <c r="H177" s="8" t="s">
        <v>3711</v>
      </c>
      <c r="I177" s="8" t="s">
        <v>3440</v>
      </c>
      <c r="J177" s="8" t="s">
        <v>3277</v>
      </c>
      <c r="K177" s="8" t="s">
        <v>3183</v>
      </c>
      <c r="L177" s="10" t="s">
        <v>3434</v>
      </c>
      <c r="M177" s="10" t="s">
        <v>3441</v>
      </c>
      <c r="N177" s="10" t="s">
        <v>3442</v>
      </c>
      <c r="O177" s="8" t="s">
        <v>322</v>
      </c>
      <c r="P177" s="8"/>
      <c r="Q177" s="8"/>
      <c r="R177" s="8">
        <v>98978</v>
      </c>
      <c r="S177" s="8"/>
      <c r="T177" s="8"/>
      <c r="U177" s="8"/>
      <c r="V177" s="8"/>
      <c r="W177" s="8"/>
      <c r="X177" s="8"/>
      <c r="Y177" s="8" t="s">
        <v>332</v>
      </c>
      <c r="Z177" s="10" t="s">
        <v>3712</v>
      </c>
      <c r="AA177" s="8" t="s">
        <v>332</v>
      </c>
      <c r="AB177" s="8">
        <v>1</v>
      </c>
    </row>
    <row r="178" spans="1:28" ht="21.6" customHeight="1">
      <c r="A178" s="8">
        <v>185</v>
      </c>
      <c r="B178" s="8">
        <v>2025021161</v>
      </c>
      <c r="C178" s="8">
        <v>1</v>
      </c>
      <c r="D178" s="8" t="s">
        <v>3177</v>
      </c>
      <c r="E178" s="8" t="s">
        <v>118</v>
      </c>
      <c r="F178" s="8" t="s">
        <v>3626</v>
      </c>
      <c r="G178" s="8" t="s">
        <v>3350</v>
      </c>
      <c r="H178" s="8" t="s">
        <v>3280</v>
      </c>
      <c r="I178" s="8" t="s">
        <v>3447</v>
      </c>
      <c r="J178" s="8" t="s">
        <v>3277</v>
      </c>
      <c r="K178" s="8" t="s">
        <v>3183</v>
      </c>
      <c r="L178" s="10" t="s">
        <v>3448</v>
      </c>
      <c r="M178" s="10" t="s">
        <v>3449</v>
      </c>
      <c r="N178" s="10"/>
      <c r="O178" s="8" t="s">
        <v>3190</v>
      </c>
      <c r="P178" s="8"/>
      <c r="Q178" s="8"/>
      <c r="R178" s="8">
        <v>34000</v>
      </c>
      <c r="S178" s="8"/>
      <c r="T178" s="8"/>
      <c r="U178" s="8"/>
      <c r="V178" s="8"/>
      <c r="W178" s="8"/>
      <c r="X178" s="8"/>
      <c r="Y178" s="8"/>
      <c r="Z178" s="10" t="s">
        <v>3348</v>
      </c>
      <c r="AA178" s="8" t="s">
        <v>332</v>
      </c>
      <c r="AB178" s="8">
        <v>1</v>
      </c>
    </row>
    <row r="179" spans="1:28" ht="21.6" customHeight="1">
      <c r="A179" s="8">
        <v>194</v>
      </c>
      <c r="B179" s="8">
        <v>2025020591</v>
      </c>
      <c r="C179" s="8">
        <v>1</v>
      </c>
      <c r="D179" s="8" t="s">
        <v>3177</v>
      </c>
      <c r="E179" s="8" t="s">
        <v>118</v>
      </c>
      <c r="F179" s="8" t="s">
        <v>3634</v>
      </c>
      <c r="G179" s="8" t="s">
        <v>3427</v>
      </c>
      <c r="H179" s="8" t="s">
        <v>3386</v>
      </c>
      <c r="I179" s="8" t="s">
        <v>3713</v>
      </c>
      <c r="J179" s="8" t="s">
        <v>3277</v>
      </c>
      <c r="K179" s="8" t="s">
        <v>3183</v>
      </c>
      <c r="L179" s="10" t="s">
        <v>3462</v>
      </c>
      <c r="M179" s="10" t="s">
        <v>3714</v>
      </c>
      <c r="N179" s="10" t="s">
        <v>3715</v>
      </c>
      <c r="O179" s="8" t="s">
        <v>322</v>
      </c>
      <c r="P179" s="8"/>
      <c r="Q179" s="8"/>
      <c r="R179" s="8">
        <v>102241</v>
      </c>
      <c r="S179" s="8"/>
      <c r="T179" s="8"/>
      <c r="U179" s="8" t="s">
        <v>332</v>
      </c>
      <c r="V179" s="8"/>
      <c r="W179" s="8"/>
      <c r="X179" s="8"/>
      <c r="Y179" s="8"/>
      <c r="Z179" s="10" t="s">
        <v>3362</v>
      </c>
      <c r="AA179" s="8" t="s">
        <v>332</v>
      </c>
      <c r="AB179" s="8">
        <v>1</v>
      </c>
    </row>
    <row r="180" spans="1:28" ht="21.6" customHeight="1">
      <c r="A180" s="8">
        <v>195</v>
      </c>
      <c r="B180" s="8">
        <v>2025021468</v>
      </c>
      <c r="C180" s="8">
        <v>1</v>
      </c>
      <c r="D180" s="8" t="s">
        <v>3177</v>
      </c>
      <c r="E180" s="8" t="s">
        <v>118</v>
      </c>
      <c r="F180" s="8" t="s">
        <v>3673</v>
      </c>
      <c r="G180" s="8" t="s">
        <v>3363</v>
      </c>
      <c r="H180" s="8" t="s">
        <v>3716</v>
      </c>
      <c r="I180" s="8" t="s">
        <v>3717</v>
      </c>
      <c r="J180" s="8" t="s">
        <v>3277</v>
      </c>
      <c r="K180" s="8" t="s">
        <v>3183</v>
      </c>
      <c r="L180" s="10" t="s">
        <v>3718</v>
      </c>
      <c r="M180" s="10" t="s">
        <v>3719</v>
      </c>
      <c r="N180" s="10" t="s">
        <v>3497</v>
      </c>
      <c r="O180" s="8" t="s">
        <v>322</v>
      </c>
      <c r="P180" s="8"/>
      <c r="Q180" s="8"/>
      <c r="R180" s="8">
        <v>0</v>
      </c>
      <c r="S180" s="8"/>
      <c r="T180" s="8"/>
      <c r="U180" s="8"/>
      <c r="V180" s="8"/>
      <c r="W180" s="8"/>
      <c r="X180" s="8"/>
      <c r="Y180" s="8" t="s">
        <v>332</v>
      </c>
      <c r="Z180" s="10" t="s">
        <v>3355</v>
      </c>
      <c r="AA180" s="8" t="s">
        <v>332</v>
      </c>
      <c r="AB180" s="8">
        <v>1</v>
      </c>
    </row>
    <row r="181" spans="1:28" ht="21.6" customHeight="1">
      <c r="A181" s="8">
        <v>196</v>
      </c>
      <c r="B181" s="8">
        <v>2025023094</v>
      </c>
      <c r="C181" s="8">
        <v>1</v>
      </c>
      <c r="D181" s="8" t="s">
        <v>3177</v>
      </c>
      <c r="E181" s="8" t="s">
        <v>118</v>
      </c>
      <c r="F181" s="8" t="s">
        <v>3659</v>
      </c>
      <c r="G181" s="8" t="s">
        <v>3401</v>
      </c>
      <c r="H181" s="8" t="s">
        <v>3357</v>
      </c>
      <c r="I181" s="8" t="s">
        <v>3470</v>
      </c>
      <c r="J181" s="8" t="s">
        <v>3471</v>
      </c>
      <c r="K181" s="8" t="s">
        <v>3183</v>
      </c>
      <c r="L181" s="10" t="s">
        <v>3472</v>
      </c>
      <c r="M181" s="10" t="s">
        <v>3410</v>
      </c>
      <c r="N181" s="10" t="s">
        <v>3442</v>
      </c>
      <c r="O181" s="8" t="s">
        <v>322</v>
      </c>
      <c r="P181" s="8"/>
      <c r="Q181" s="8"/>
      <c r="R181" s="8">
        <v>68891</v>
      </c>
      <c r="S181" s="8" t="s">
        <v>332</v>
      </c>
      <c r="T181" s="8"/>
      <c r="U181" s="8"/>
      <c r="V181" s="8"/>
      <c r="W181" s="8"/>
      <c r="X181" s="8"/>
      <c r="Y181" s="8"/>
      <c r="Z181" s="10" t="s">
        <v>3696</v>
      </c>
      <c r="AA181" s="8" t="s">
        <v>332</v>
      </c>
      <c r="AB181" s="8">
        <v>1</v>
      </c>
    </row>
    <row r="182" spans="1:28" ht="21.6" customHeight="1">
      <c r="A182" s="8">
        <v>198</v>
      </c>
      <c r="B182" s="8">
        <v>2025020200</v>
      </c>
      <c r="C182" s="8">
        <v>1</v>
      </c>
      <c r="D182" s="8" t="s">
        <v>3177</v>
      </c>
      <c r="E182" s="8" t="s">
        <v>118</v>
      </c>
      <c r="F182" s="8" t="s">
        <v>3720</v>
      </c>
      <c r="G182" s="8" t="s">
        <v>3250</v>
      </c>
      <c r="H182" s="8" t="s">
        <v>3721</v>
      </c>
      <c r="I182" s="8" t="s">
        <v>3478</v>
      </c>
      <c r="J182" s="8" t="s">
        <v>3288</v>
      </c>
      <c r="K182" s="8" t="s">
        <v>3183</v>
      </c>
      <c r="L182" s="10" t="s">
        <v>3254</v>
      </c>
      <c r="M182" s="10" t="s">
        <v>3479</v>
      </c>
      <c r="N182" s="10" t="s">
        <v>3480</v>
      </c>
      <c r="O182" s="8" t="s">
        <v>322</v>
      </c>
      <c r="P182" s="8"/>
      <c r="Q182" s="8">
        <v>20633</v>
      </c>
      <c r="R182" s="8">
        <v>108229</v>
      </c>
      <c r="S182" s="8"/>
      <c r="T182" s="8"/>
      <c r="U182" s="8"/>
      <c r="V182" s="8"/>
      <c r="W182" s="8"/>
      <c r="X182" s="8"/>
      <c r="Y182" s="8" t="s">
        <v>332</v>
      </c>
      <c r="Z182" s="10" t="s">
        <v>3722</v>
      </c>
      <c r="AA182" s="8" t="s">
        <v>332</v>
      </c>
      <c r="AB182" s="8">
        <v>1</v>
      </c>
    </row>
    <row r="183" spans="1:28" ht="21.6" customHeight="1">
      <c r="A183" s="8">
        <v>199</v>
      </c>
      <c r="B183" s="8">
        <v>2025022829</v>
      </c>
      <c r="C183" s="8">
        <v>1</v>
      </c>
      <c r="D183" s="8" t="s">
        <v>3177</v>
      </c>
      <c r="E183" s="8" t="s">
        <v>118</v>
      </c>
      <c r="F183" s="8" t="s">
        <v>3670</v>
      </c>
      <c r="G183" s="8" t="s">
        <v>3250</v>
      </c>
      <c r="H183" s="8" t="s">
        <v>3387</v>
      </c>
      <c r="I183" s="8" t="s">
        <v>3478</v>
      </c>
      <c r="J183" s="8" t="s">
        <v>3288</v>
      </c>
      <c r="K183" s="8" t="s">
        <v>3183</v>
      </c>
      <c r="L183" s="10" t="s">
        <v>3254</v>
      </c>
      <c r="M183" s="10" t="s">
        <v>3479</v>
      </c>
      <c r="N183" s="10" t="s">
        <v>3480</v>
      </c>
      <c r="O183" s="8" t="s">
        <v>322</v>
      </c>
      <c r="P183" s="8"/>
      <c r="Q183" s="8">
        <v>20633</v>
      </c>
      <c r="R183" s="8">
        <v>108215</v>
      </c>
      <c r="S183" s="8"/>
      <c r="T183" s="8"/>
      <c r="U183" s="8"/>
      <c r="V183" s="8"/>
      <c r="W183" s="8"/>
      <c r="X183" s="8"/>
      <c r="Y183" s="8" t="s">
        <v>332</v>
      </c>
      <c r="Z183" s="10" t="s">
        <v>3723</v>
      </c>
      <c r="AA183" s="8" t="s">
        <v>332</v>
      </c>
      <c r="AB183" s="8">
        <v>1</v>
      </c>
    </row>
    <row r="184" spans="1:28" ht="21.6" customHeight="1">
      <c r="A184" s="8">
        <v>200</v>
      </c>
      <c r="B184" s="8">
        <v>2025021962</v>
      </c>
      <c r="C184" s="8">
        <v>1</v>
      </c>
      <c r="D184" s="8" t="s">
        <v>3177</v>
      </c>
      <c r="E184" s="8" t="s">
        <v>118</v>
      </c>
      <c r="F184" s="8" t="s">
        <v>3606</v>
      </c>
      <c r="G184" s="8" t="s">
        <v>3427</v>
      </c>
      <c r="H184" s="8" t="s">
        <v>3386</v>
      </c>
      <c r="I184" s="8" t="s">
        <v>3482</v>
      </c>
      <c r="J184" s="8" t="s">
        <v>3288</v>
      </c>
      <c r="K184" s="8" t="s">
        <v>3183</v>
      </c>
      <c r="L184" s="10" t="s">
        <v>3483</v>
      </c>
      <c r="M184" s="10" t="s">
        <v>3484</v>
      </c>
      <c r="N184" s="10" t="s">
        <v>3485</v>
      </c>
      <c r="O184" s="8" t="s">
        <v>322</v>
      </c>
      <c r="P184" s="8">
        <v>1567</v>
      </c>
      <c r="Q184" s="8">
        <v>3990</v>
      </c>
      <c r="R184" s="8">
        <v>27083</v>
      </c>
      <c r="S184" s="8" t="s">
        <v>332</v>
      </c>
      <c r="T184" s="8"/>
      <c r="U184" s="8"/>
      <c r="V184" s="8"/>
      <c r="W184" s="8"/>
      <c r="X184" s="8"/>
      <c r="Y184" s="8"/>
      <c r="Z184" s="10" t="s">
        <v>3186</v>
      </c>
      <c r="AA184" s="8" t="s">
        <v>332</v>
      </c>
      <c r="AB184" s="8">
        <v>1</v>
      </c>
    </row>
    <row r="185" spans="1:28" ht="21.6" customHeight="1">
      <c r="A185" s="8">
        <v>208</v>
      </c>
      <c r="B185" s="8">
        <v>2025020824</v>
      </c>
      <c r="C185" s="8">
        <v>1</v>
      </c>
      <c r="D185" s="8" t="s">
        <v>3177</v>
      </c>
      <c r="E185" s="8" t="s">
        <v>118</v>
      </c>
      <c r="F185" s="8" t="s">
        <v>3656</v>
      </c>
      <c r="G185" s="8" t="s">
        <v>3250</v>
      </c>
      <c r="H185" s="8" t="s">
        <v>3204</v>
      </c>
      <c r="I185" s="8" t="s">
        <v>3495</v>
      </c>
      <c r="J185" s="8" t="s">
        <v>3298</v>
      </c>
      <c r="K185" s="8" t="s">
        <v>3183</v>
      </c>
      <c r="L185" s="10" t="s">
        <v>3270</v>
      </c>
      <c r="M185" s="10" t="s">
        <v>3496</v>
      </c>
      <c r="N185" s="10" t="s">
        <v>3497</v>
      </c>
      <c r="O185" s="8" t="s">
        <v>322</v>
      </c>
      <c r="P185" s="8"/>
      <c r="Q185" s="8"/>
      <c r="R185" s="8">
        <v>26418</v>
      </c>
      <c r="S185" s="8" t="s">
        <v>332</v>
      </c>
      <c r="T185" s="8"/>
      <c r="U185" s="8"/>
      <c r="V185" s="8"/>
      <c r="W185" s="8"/>
      <c r="X185" s="8"/>
      <c r="Y185" s="8"/>
      <c r="Z185" s="10" t="s">
        <v>3348</v>
      </c>
      <c r="AA185" s="8" t="s">
        <v>332</v>
      </c>
      <c r="AB185" s="8">
        <v>1</v>
      </c>
    </row>
    <row r="186" spans="1:28" ht="21.6" customHeight="1">
      <c r="A186" s="8">
        <v>210</v>
      </c>
      <c r="B186" s="8">
        <v>2025021236</v>
      </c>
      <c r="C186" s="8">
        <v>1</v>
      </c>
      <c r="D186" s="8" t="s">
        <v>3177</v>
      </c>
      <c r="E186" s="8" t="s">
        <v>118</v>
      </c>
      <c r="F186" s="8" t="s">
        <v>3612</v>
      </c>
      <c r="G186" s="8" t="s">
        <v>3363</v>
      </c>
      <c r="H186" s="8" t="s">
        <v>3724</v>
      </c>
      <c r="I186" s="8" t="s">
        <v>3495</v>
      </c>
      <c r="J186" s="8" t="s">
        <v>3298</v>
      </c>
      <c r="K186" s="8" t="s">
        <v>3183</v>
      </c>
      <c r="L186" s="10" t="s">
        <v>3270</v>
      </c>
      <c r="M186" s="10" t="s">
        <v>3496</v>
      </c>
      <c r="N186" s="10" t="s">
        <v>3497</v>
      </c>
      <c r="O186" s="8" t="s">
        <v>363</v>
      </c>
      <c r="P186" s="8"/>
      <c r="Q186" s="8"/>
      <c r="R186" s="8">
        <v>26418</v>
      </c>
      <c r="S186" s="8"/>
      <c r="T186" s="8"/>
      <c r="U186" s="8"/>
      <c r="V186" s="8"/>
      <c r="W186" s="8"/>
      <c r="X186" s="8"/>
      <c r="Y186" s="8"/>
      <c r="Z186" s="10" t="s">
        <v>3725</v>
      </c>
      <c r="AA186" s="8" t="s">
        <v>332</v>
      </c>
      <c r="AB186" s="8">
        <v>1</v>
      </c>
    </row>
    <row r="187" spans="1:28" ht="21.6" customHeight="1">
      <c r="A187" s="8">
        <v>217</v>
      </c>
      <c r="B187" s="8">
        <v>2025020328</v>
      </c>
      <c r="C187" s="8">
        <v>1</v>
      </c>
      <c r="D187" s="8" t="s">
        <v>3177</v>
      </c>
      <c r="E187" s="8" t="s">
        <v>118</v>
      </c>
      <c r="F187" s="8" t="s">
        <v>3695</v>
      </c>
      <c r="G187" s="8" t="s">
        <v>3357</v>
      </c>
      <c r="H187" s="8" t="s">
        <v>3342</v>
      </c>
      <c r="I187" s="8" t="s">
        <v>3510</v>
      </c>
      <c r="J187" s="8" t="s">
        <v>3298</v>
      </c>
      <c r="K187" s="8" t="s">
        <v>3183</v>
      </c>
      <c r="L187" s="10" t="s">
        <v>3398</v>
      </c>
      <c r="M187" s="10" t="s">
        <v>3511</v>
      </c>
      <c r="N187" s="10" t="s">
        <v>3512</v>
      </c>
      <c r="O187" s="8" t="s">
        <v>322</v>
      </c>
      <c r="P187" s="8"/>
      <c r="Q187" s="8"/>
      <c r="R187" s="8">
        <v>10679</v>
      </c>
      <c r="S187" s="8" t="s">
        <v>332</v>
      </c>
      <c r="T187" s="8"/>
      <c r="U187" s="8"/>
      <c r="V187" s="8"/>
      <c r="W187" s="8"/>
      <c r="X187" s="8"/>
      <c r="Y187" s="8"/>
      <c r="Z187" s="10" t="s">
        <v>3348</v>
      </c>
      <c r="AA187" s="8" t="s">
        <v>332</v>
      </c>
      <c r="AB187" s="8">
        <v>1</v>
      </c>
    </row>
    <row r="188" spans="1:28" ht="21.6" customHeight="1">
      <c r="A188" s="8">
        <v>219</v>
      </c>
      <c r="B188" s="8">
        <v>2025020313</v>
      </c>
      <c r="C188" s="8">
        <v>1</v>
      </c>
      <c r="D188" s="8" t="s">
        <v>3177</v>
      </c>
      <c r="E188" s="8" t="s">
        <v>118</v>
      </c>
      <c r="F188" s="8" t="s">
        <v>3695</v>
      </c>
      <c r="G188" s="8" t="s">
        <v>3350</v>
      </c>
      <c r="H188" s="8" t="s">
        <v>3280</v>
      </c>
      <c r="I188" s="8" t="s">
        <v>3513</v>
      </c>
      <c r="J188" s="8" t="s">
        <v>3298</v>
      </c>
      <c r="K188" s="8" t="s">
        <v>3183</v>
      </c>
      <c r="L188" s="10" t="s">
        <v>3398</v>
      </c>
      <c r="M188" s="10" t="s">
        <v>3514</v>
      </c>
      <c r="N188" s="10" t="s">
        <v>3379</v>
      </c>
      <c r="O188" s="8" t="s">
        <v>322</v>
      </c>
      <c r="P188" s="8"/>
      <c r="Q188" s="8"/>
      <c r="R188" s="8">
        <v>129289</v>
      </c>
      <c r="S188" s="8" t="s">
        <v>332</v>
      </c>
      <c r="T188" s="8"/>
      <c r="U188" s="8"/>
      <c r="V188" s="8"/>
      <c r="W188" s="8"/>
      <c r="X188" s="8"/>
      <c r="Y188" s="8"/>
      <c r="Z188" s="10" t="s">
        <v>3348</v>
      </c>
      <c r="AA188" s="8" t="s">
        <v>332</v>
      </c>
      <c r="AB188" s="8">
        <v>1</v>
      </c>
    </row>
    <row r="189" spans="1:28" ht="21.6" customHeight="1">
      <c r="A189" s="8">
        <v>221</v>
      </c>
      <c r="B189" s="8">
        <v>2025020324</v>
      </c>
      <c r="C189" s="8">
        <v>1</v>
      </c>
      <c r="D189" s="8" t="s">
        <v>3177</v>
      </c>
      <c r="E189" s="8" t="s">
        <v>118</v>
      </c>
      <c r="F189" s="8" t="s">
        <v>3695</v>
      </c>
      <c r="G189" s="8" t="s">
        <v>3381</v>
      </c>
      <c r="H189" s="8" t="s">
        <v>3401</v>
      </c>
      <c r="I189" s="8" t="s">
        <v>3518</v>
      </c>
      <c r="J189" s="8" t="s">
        <v>3298</v>
      </c>
      <c r="K189" s="8" t="s">
        <v>3183</v>
      </c>
      <c r="L189" s="10" t="s">
        <v>3398</v>
      </c>
      <c r="M189" s="10" t="s">
        <v>3519</v>
      </c>
      <c r="N189" s="10" t="s">
        <v>3520</v>
      </c>
      <c r="O189" s="8" t="s">
        <v>322</v>
      </c>
      <c r="P189" s="8"/>
      <c r="Q189" s="8"/>
      <c r="R189" s="8">
        <v>212469</v>
      </c>
      <c r="S189" s="8" t="s">
        <v>332</v>
      </c>
      <c r="T189" s="8"/>
      <c r="U189" s="8"/>
      <c r="V189" s="8"/>
      <c r="W189" s="8"/>
      <c r="X189" s="8"/>
      <c r="Y189" s="8"/>
      <c r="Z189" s="10" t="s">
        <v>3348</v>
      </c>
      <c r="AA189" s="8" t="s">
        <v>332</v>
      </c>
      <c r="AB189" s="8">
        <v>1</v>
      </c>
    </row>
    <row r="190" spans="1:28" ht="21.6" customHeight="1">
      <c r="A190" s="8">
        <v>223</v>
      </c>
      <c r="B190" s="8">
        <v>2025020326</v>
      </c>
      <c r="C190" s="8">
        <v>1</v>
      </c>
      <c r="D190" s="8" t="s">
        <v>3177</v>
      </c>
      <c r="E190" s="8" t="s">
        <v>118</v>
      </c>
      <c r="F190" s="8" t="s">
        <v>3695</v>
      </c>
      <c r="G190" s="8" t="s">
        <v>3401</v>
      </c>
      <c r="H190" s="8" t="s">
        <v>3357</v>
      </c>
      <c r="I190" s="8" t="s">
        <v>3521</v>
      </c>
      <c r="J190" s="8" t="s">
        <v>3298</v>
      </c>
      <c r="K190" s="8" t="s">
        <v>3183</v>
      </c>
      <c r="L190" s="10" t="s">
        <v>3398</v>
      </c>
      <c r="M190" s="10" t="s">
        <v>3522</v>
      </c>
      <c r="N190" s="10" t="s">
        <v>3523</v>
      </c>
      <c r="O190" s="8" t="s">
        <v>322</v>
      </c>
      <c r="P190" s="8"/>
      <c r="Q190" s="8"/>
      <c r="R190" s="8">
        <v>101372</v>
      </c>
      <c r="S190" s="8" t="s">
        <v>332</v>
      </c>
      <c r="T190" s="8"/>
      <c r="U190" s="8"/>
      <c r="V190" s="8"/>
      <c r="W190" s="8"/>
      <c r="X190" s="8"/>
      <c r="Y190" s="8"/>
      <c r="Z190" s="10" t="s">
        <v>3348</v>
      </c>
      <c r="AA190" s="8" t="s">
        <v>332</v>
      </c>
      <c r="AB190" s="8">
        <v>1</v>
      </c>
    </row>
    <row r="191" spans="1:28" ht="21.6" customHeight="1">
      <c r="A191" s="8">
        <v>229</v>
      </c>
      <c r="B191" s="8">
        <v>2025020945</v>
      </c>
      <c r="C191" s="8">
        <v>1</v>
      </c>
      <c r="D191" s="8" t="s">
        <v>3177</v>
      </c>
      <c r="E191" s="8" t="s">
        <v>118</v>
      </c>
      <c r="F191" s="8" t="s">
        <v>3637</v>
      </c>
      <c r="G191" s="8" t="s">
        <v>3363</v>
      </c>
      <c r="H191" s="8" t="s">
        <v>3726</v>
      </c>
      <c r="I191" s="8" t="s">
        <v>3530</v>
      </c>
      <c r="J191" s="8" t="s">
        <v>3298</v>
      </c>
      <c r="K191" s="8" t="s">
        <v>3183</v>
      </c>
      <c r="L191" s="10" t="s">
        <v>3462</v>
      </c>
      <c r="M191" s="10" t="s">
        <v>3531</v>
      </c>
      <c r="N191" s="10" t="s">
        <v>3532</v>
      </c>
      <c r="O191" s="8" t="s">
        <v>322</v>
      </c>
      <c r="P191" s="8"/>
      <c r="Q191" s="8"/>
      <c r="R191" s="8">
        <v>286226</v>
      </c>
      <c r="S191" s="8"/>
      <c r="T191" s="8"/>
      <c r="U191" s="8"/>
      <c r="V191" s="8"/>
      <c r="W191" s="8"/>
      <c r="X191" s="8"/>
      <c r="Y191" s="8" t="s">
        <v>332</v>
      </c>
      <c r="Z191" s="10" t="s">
        <v>3727</v>
      </c>
      <c r="AA191" s="8" t="s">
        <v>332</v>
      </c>
      <c r="AB191" s="8">
        <v>1</v>
      </c>
    </row>
    <row r="192" spans="1:28" ht="21.6" customHeight="1">
      <c r="A192" s="8">
        <v>230</v>
      </c>
      <c r="B192" s="8">
        <v>2025020323</v>
      </c>
      <c r="C192" s="8">
        <v>1</v>
      </c>
      <c r="D192" s="8" t="s">
        <v>3177</v>
      </c>
      <c r="E192" s="8" t="s">
        <v>118</v>
      </c>
      <c r="F192" s="8" t="s">
        <v>3695</v>
      </c>
      <c r="G192" s="8" t="s">
        <v>3233</v>
      </c>
      <c r="H192" s="8" t="s">
        <v>3381</v>
      </c>
      <c r="I192" s="8" t="s">
        <v>3534</v>
      </c>
      <c r="J192" s="8" t="s">
        <v>3298</v>
      </c>
      <c r="K192" s="8" t="s">
        <v>3183</v>
      </c>
      <c r="L192" s="10" t="s">
        <v>3398</v>
      </c>
      <c r="M192" s="10" t="s">
        <v>3535</v>
      </c>
      <c r="N192" s="10" t="s">
        <v>3494</v>
      </c>
      <c r="O192" s="8" t="s">
        <v>3190</v>
      </c>
      <c r="P192" s="8"/>
      <c r="Q192" s="8"/>
      <c r="R192" s="8">
        <v>169105</v>
      </c>
      <c r="S192" s="8"/>
      <c r="T192" s="8"/>
      <c r="U192" s="8"/>
      <c r="V192" s="8"/>
      <c r="W192" s="8"/>
      <c r="X192" s="8"/>
      <c r="Y192" s="8"/>
      <c r="Z192" s="10" t="s">
        <v>3348</v>
      </c>
      <c r="AA192" s="8" t="s">
        <v>332</v>
      </c>
      <c r="AB192" s="8">
        <v>1</v>
      </c>
    </row>
    <row r="193" spans="1:28" ht="21.6" customHeight="1">
      <c r="A193" s="8">
        <v>232</v>
      </c>
      <c r="B193" s="8">
        <v>2025020666</v>
      </c>
      <c r="C193" s="8">
        <v>1</v>
      </c>
      <c r="D193" s="8" t="s">
        <v>3177</v>
      </c>
      <c r="E193" s="8" t="s">
        <v>118</v>
      </c>
      <c r="F193" s="8" t="s">
        <v>3656</v>
      </c>
      <c r="G193" s="8" t="s">
        <v>3728</v>
      </c>
      <c r="H193" s="8" t="s">
        <v>3381</v>
      </c>
      <c r="I193" s="8" t="s">
        <v>3536</v>
      </c>
      <c r="J193" s="8" t="s">
        <v>3298</v>
      </c>
      <c r="K193" s="8" t="s">
        <v>3183</v>
      </c>
      <c r="L193" s="10" t="s">
        <v>3537</v>
      </c>
      <c r="M193" s="10" t="s">
        <v>3538</v>
      </c>
      <c r="N193" s="10"/>
      <c r="O193" s="8" t="s">
        <v>322</v>
      </c>
      <c r="P193" s="8"/>
      <c r="Q193" s="8"/>
      <c r="R193" s="8">
        <v>109056</v>
      </c>
      <c r="S193" s="8" t="s">
        <v>332</v>
      </c>
      <c r="T193" s="8"/>
      <c r="U193" s="8"/>
      <c r="V193" s="8"/>
      <c r="W193" s="8"/>
      <c r="X193" s="8"/>
      <c r="Y193" s="8"/>
      <c r="Z193" s="10" t="s">
        <v>3348</v>
      </c>
      <c r="AA193" s="8" t="s">
        <v>332</v>
      </c>
      <c r="AB193" s="8">
        <v>1</v>
      </c>
    </row>
    <row r="194" spans="1:28" ht="21.6" customHeight="1">
      <c r="A194" s="8">
        <v>234</v>
      </c>
      <c r="B194" s="8">
        <v>2025021186</v>
      </c>
      <c r="C194" s="8">
        <v>1</v>
      </c>
      <c r="D194" s="8" t="s">
        <v>3177</v>
      </c>
      <c r="E194" s="8" t="s">
        <v>118</v>
      </c>
      <c r="F194" s="8" t="s">
        <v>3626</v>
      </c>
      <c r="G194" s="8" t="s">
        <v>3233</v>
      </c>
      <c r="H194" s="8" t="s">
        <v>3729</v>
      </c>
      <c r="I194" s="8" t="s">
        <v>3536</v>
      </c>
      <c r="J194" s="8" t="s">
        <v>3298</v>
      </c>
      <c r="K194" s="8" t="s">
        <v>3183</v>
      </c>
      <c r="L194" s="10" t="s">
        <v>3537</v>
      </c>
      <c r="M194" s="10" t="s">
        <v>3538</v>
      </c>
      <c r="N194" s="10"/>
      <c r="O194" s="8" t="s">
        <v>322</v>
      </c>
      <c r="P194" s="8"/>
      <c r="Q194" s="8"/>
      <c r="R194" s="8">
        <v>109056</v>
      </c>
      <c r="S194" s="8"/>
      <c r="T194" s="8"/>
      <c r="U194" s="8"/>
      <c r="V194" s="8"/>
      <c r="W194" s="8"/>
      <c r="X194" s="8"/>
      <c r="Y194" s="8" t="s">
        <v>332</v>
      </c>
      <c r="Z194" s="10" t="s">
        <v>3730</v>
      </c>
      <c r="AA194" s="8" t="s">
        <v>332</v>
      </c>
      <c r="AB194" s="8">
        <v>1</v>
      </c>
    </row>
    <row r="195" spans="1:28" ht="21.6" customHeight="1">
      <c r="A195" s="8">
        <v>235</v>
      </c>
      <c r="B195" s="8">
        <v>2025021957</v>
      </c>
      <c r="C195" s="8">
        <v>1</v>
      </c>
      <c r="D195" s="8" t="s">
        <v>3177</v>
      </c>
      <c r="E195" s="8" t="s">
        <v>118</v>
      </c>
      <c r="F195" s="8" t="s">
        <v>3606</v>
      </c>
      <c r="G195" s="8" t="s">
        <v>3204</v>
      </c>
      <c r="H195" s="8" t="s">
        <v>3427</v>
      </c>
      <c r="I195" s="8" t="s">
        <v>3539</v>
      </c>
      <c r="J195" s="8" t="s">
        <v>3298</v>
      </c>
      <c r="K195" s="8" t="s">
        <v>3183</v>
      </c>
      <c r="L195" s="10" t="s">
        <v>3540</v>
      </c>
      <c r="M195" s="10" t="s">
        <v>3541</v>
      </c>
      <c r="N195" s="10"/>
      <c r="O195" s="8" t="s">
        <v>322</v>
      </c>
      <c r="P195" s="8"/>
      <c r="Q195" s="8"/>
      <c r="R195" s="8">
        <v>62743</v>
      </c>
      <c r="S195" s="8" t="s">
        <v>332</v>
      </c>
      <c r="T195" s="8"/>
      <c r="U195" s="8"/>
      <c r="V195" s="8"/>
      <c r="W195" s="8"/>
      <c r="X195" s="8"/>
      <c r="Y195" s="8"/>
      <c r="Z195" s="10" t="s">
        <v>3186</v>
      </c>
      <c r="AA195" s="8" t="s">
        <v>332</v>
      </c>
      <c r="AB195" s="8">
        <v>1</v>
      </c>
    </row>
    <row r="196" spans="1:28" ht="21.6" customHeight="1">
      <c r="A196" s="8">
        <v>237</v>
      </c>
      <c r="B196" s="8">
        <v>2025022029</v>
      </c>
      <c r="C196" s="8">
        <v>1</v>
      </c>
      <c r="D196" s="8" t="s">
        <v>3177</v>
      </c>
      <c r="E196" s="8" t="s">
        <v>118</v>
      </c>
      <c r="F196" s="8" t="s">
        <v>3604</v>
      </c>
      <c r="G196" s="8" t="s">
        <v>3350</v>
      </c>
      <c r="H196" s="8" t="s">
        <v>3363</v>
      </c>
      <c r="I196" s="8" t="s">
        <v>3539</v>
      </c>
      <c r="J196" s="8" t="s">
        <v>3298</v>
      </c>
      <c r="K196" s="8" t="s">
        <v>3183</v>
      </c>
      <c r="L196" s="10" t="s">
        <v>3540</v>
      </c>
      <c r="M196" s="10" t="s">
        <v>3541</v>
      </c>
      <c r="N196" s="10"/>
      <c r="O196" s="8" t="s">
        <v>322</v>
      </c>
      <c r="P196" s="8"/>
      <c r="Q196" s="8"/>
      <c r="R196" s="8">
        <v>62743</v>
      </c>
      <c r="S196" s="8"/>
      <c r="T196" s="8"/>
      <c r="U196" s="8"/>
      <c r="V196" s="8"/>
      <c r="W196" s="8"/>
      <c r="X196" s="8"/>
      <c r="Y196" s="8" t="s">
        <v>332</v>
      </c>
      <c r="Z196" s="10" t="s">
        <v>3731</v>
      </c>
      <c r="AA196" s="8" t="s">
        <v>332</v>
      </c>
      <c r="AB196" s="8">
        <v>1</v>
      </c>
    </row>
    <row r="197" spans="1:28" ht="21.6" customHeight="1">
      <c r="A197" s="8">
        <v>238</v>
      </c>
      <c r="B197" s="8">
        <v>2025022921</v>
      </c>
      <c r="C197" s="8">
        <v>1</v>
      </c>
      <c r="D197" s="8" t="s">
        <v>3177</v>
      </c>
      <c r="E197" s="8" t="s">
        <v>118</v>
      </c>
      <c r="F197" s="8" t="s">
        <v>3643</v>
      </c>
      <c r="G197" s="8" t="s">
        <v>3350</v>
      </c>
      <c r="H197" s="8" t="s">
        <v>3280</v>
      </c>
      <c r="I197" s="8" t="s">
        <v>3732</v>
      </c>
      <c r="J197" s="8" t="s">
        <v>3733</v>
      </c>
      <c r="K197" s="8" t="s">
        <v>3183</v>
      </c>
      <c r="L197" s="10" t="s">
        <v>3254</v>
      </c>
      <c r="M197" s="10" t="s">
        <v>3734</v>
      </c>
      <c r="N197" s="10" t="s">
        <v>3735</v>
      </c>
      <c r="O197" s="8" t="s">
        <v>322</v>
      </c>
      <c r="P197" s="8"/>
      <c r="Q197" s="8">
        <v>1691</v>
      </c>
      <c r="R197" s="8">
        <v>109210</v>
      </c>
      <c r="S197" s="8"/>
      <c r="T197" s="8"/>
      <c r="U197" s="8" t="s">
        <v>332</v>
      </c>
      <c r="V197" s="8"/>
      <c r="W197" s="8"/>
      <c r="X197" s="8"/>
      <c r="Y197" s="8"/>
      <c r="Z197" s="10" t="s">
        <v>3362</v>
      </c>
      <c r="AA197" s="8" t="s">
        <v>332</v>
      </c>
      <c r="AB197" s="8">
        <v>1</v>
      </c>
    </row>
    <row r="198" spans="1:28" ht="21.6" customHeight="1">
      <c r="A198" s="8">
        <v>239</v>
      </c>
      <c r="B198" s="8">
        <v>2025023447</v>
      </c>
      <c r="C198" s="8">
        <v>1</v>
      </c>
      <c r="D198" s="8" t="s">
        <v>3177</v>
      </c>
      <c r="E198" s="8" t="s">
        <v>118</v>
      </c>
      <c r="F198" s="8" t="s">
        <v>3703</v>
      </c>
      <c r="G198" s="8" t="s">
        <v>3368</v>
      </c>
      <c r="H198" s="8" t="s">
        <v>3736</v>
      </c>
      <c r="I198" s="8" t="s">
        <v>3737</v>
      </c>
      <c r="J198" s="8" t="s">
        <v>3733</v>
      </c>
      <c r="K198" s="8" t="s">
        <v>3183</v>
      </c>
      <c r="L198" s="10" t="s">
        <v>3738</v>
      </c>
      <c r="M198" s="10" t="s">
        <v>3739</v>
      </c>
      <c r="N198" s="10" t="s">
        <v>3497</v>
      </c>
      <c r="O198" s="8" t="s">
        <v>322</v>
      </c>
      <c r="P198" s="8"/>
      <c r="Q198" s="8">
        <v>3880</v>
      </c>
      <c r="R198" s="8">
        <v>1538</v>
      </c>
      <c r="S198" s="8" t="s">
        <v>332</v>
      </c>
      <c r="T198" s="8"/>
      <c r="U198" s="8"/>
      <c r="V198" s="8"/>
      <c r="W198" s="8"/>
      <c r="X198" s="8"/>
      <c r="Y198" s="8" t="s">
        <v>332</v>
      </c>
      <c r="Z198" s="10" t="s">
        <v>3740</v>
      </c>
      <c r="AA198" s="8" t="s">
        <v>332</v>
      </c>
      <c r="AB198" s="8">
        <v>1</v>
      </c>
    </row>
    <row r="199" spans="1:28" ht="21.6" customHeight="1">
      <c r="A199" s="8">
        <v>242</v>
      </c>
      <c r="B199" s="8">
        <v>2025021471</v>
      </c>
      <c r="C199" s="8">
        <v>1</v>
      </c>
      <c r="D199" s="8" t="s">
        <v>3177</v>
      </c>
      <c r="E199" s="8" t="s">
        <v>118</v>
      </c>
      <c r="F199" s="8" t="s">
        <v>3673</v>
      </c>
      <c r="G199" s="8" t="s">
        <v>3350</v>
      </c>
      <c r="H199" s="8" t="s">
        <v>3280</v>
      </c>
      <c r="I199" s="8" t="s">
        <v>3741</v>
      </c>
      <c r="J199" s="8" t="s">
        <v>3543</v>
      </c>
      <c r="K199" s="8" t="s">
        <v>3183</v>
      </c>
      <c r="L199" s="10" t="s">
        <v>3254</v>
      </c>
      <c r="M199" s="10" t="s">
        <v>3742</v>
      </c>
      <c r="N199" s="10" t="s">
        <v>3743</v>
      </c>
      <c r="O199" s="8" t="s">
        <v>3190</v>
      </c>
      <c r="P199" s="8"/>
      <c r="Q199" s="8"/>
      <c r="R199" s="8">
        <v>44738</v>
      </c>
      <c r="S199" s="8"/>
      <c r="T199" s="8"/>
      <c r="U199" s="8"/>
      <c r="V199" s="8"/>
      <c r="W199" s="8"/>
      <c r="X199" s="8"/>
      <c r="Y199" s="8"/>
      <c r="Z199" s="10" t="s">
        <v>3696</v>
      </c>
      <c r="AA199" s="8" t="s">
        <v>332</v>
      </c>
      <c r="AB199" s="8">
        <v>1</v>
      </c>
    </row>
    <row r="200" spans="1:28" ht="21.6" customHeight="1">
      <c r="A200" s="8">
        <v>243</v>
      </c>
      <c r="B200" s="8">
        <v>2025022857</v>
      </c>
      <c r="C200" s="8">
        <v>1</v>
      </c>
      <c r="D200" s="8" t="s">
        <v>3177</v>
      </c>
      <c r="E200" s="8" t="s">
        <v>118</v>
      </c>
      <c r="F200" s="8" t="s">
        <v>3670</v>
      </c>
      <c r="G200" s="8" t="s">
        <v>3387</v>
      </c>
      <c r="H200" s="8" t="s">
        <v>3744</v>
      </c>
      <c r="I200" s="8" t="s">
        <v>3741</v>
      </c>
      <c r="J200" s="8" t="s">
        <v>3543</v>
      </c>
      <c r="K200" s="8" t="s">
        <v>3183</v>
      </c>
      <c r="L200" s="10" t="s">
        <v>3254</v>
      </c>
      <c r="M200" s="10" t="s">
        <v>3742</v>
      </c>
      <c r="N200" s="10" t="s">
        <v>3743</v>
      </c>
      <c r="O200" s="8" t="s">
        <v>322</v>
      </c>
      <c r="P200" s="8"/>
      <c r="Q200" s="8"/>
      <c r="R200" s="8">
        <v>44738</v>
      </c>
      <c r="S200" s="8"/>
      <c r="T200" s="8"/>
      <c r="U200" s="8"/>
      <c r="V200" s="8"/>
      <c r="W200" s="8"/>
      <c r="X200" s="8"/>
      <c r="Y200" s="8" t="s">
        <v>332</v>
      </c>
      <c r="Z200" s="10" t="s">
        <v>3517</v>
      </c>
      <c r="AA200" s="8" t="s">
        <v>332</v>
      </c>
      <c r="AB200" s="8">
        <v>1</v>
      </c>
    </row>
    <row r="201" spans="1:28" ht="21.6" customHeight="1">
      <c r="A201" s="8">
        <v>250</v>
      </c>
      <c r="B201" s="8">
        <v>2025023177</v>
      </c>
      <c r="C201" s="8">
        <v>1</v>
      </c>
      <c r="D201" s="8" t="s">
        <v>3177</v>
      </c>
      <c r="E201" s="8" t="s">
        <v>118</v>
      </c>
      <c r="F201" s="8" t="s">
        <v>3697</v>
      </c>
      <c r="G201" s="8" t="s">
        <v>3363</v>
      </c>
      <c r="H201" s="8" t="s">
        <v>3210</v>
      </c>
      <c r="I201" s="8" t="s">
        <v>3549</v>
      </c>
      <c r="J201" s="8" t="s">
        <v>3543</v>
      </c>
      <c r="K201" s="8" t="s">
        <v>3183</v>
      </c>
      <c r="L201" s="10" t="s">
        <v>3550</v>
      </c>
      <c r="M201" s="10" t="s">
        <v>3551</v>
      </c>
      <c r="N201" s="10" t="s">
        <v>3552</v>
      </c>
      <c r="O201" s="8" t="s">
        <v>363</v>
      </c>
      <c r="P201" s="8"/>
      <c r="Q201" s="8"/>
      <c r="R201" s="8">
        <v>620157</v>
      </c>
      <c r="S201" s="8"/>
      <c r="T201" s="8"/>
      <c r="U201" s="8"/>
      <c r="V201" s="8"/>
      <c r="W201" s="8"/>
      <c r="X201" s="8"/>
      <c r="Y201" s="8"/>
      <c r="Z201" s="10" t="s">
        <v>3745</v>
      </c>
      <c r="AA201" s="8" t="s">
        <v>332</v>
      </c>
      <c r="AB201" s="8">
        <v>1</v>
      </c>
    </row>
    <row r="202" spans="1:28" ht="21.6" customHeight="1">
      <c r="A202" s="8">
        <v>251</v>
      </c>
      <c r="B202" s="8">
        <v>2025022922</v>
      </c>
      <c r="C202" s="8">
        <v>1</v>
      </c>
      <c r="D202" s="8" t="s">
        <v>3177</v>
      </c>
      <c r="E202" s="8" t="s">
        <v>118</v>
      </c>
      <c r="F202" s="8" t="s">
        <v>3643</v>
      </c>
      <c r="G202" s="8" t="s">
        <v>3280</v>
      </c>
      <c r="H202" s="8" t="s">
        <v>3381</v>
      </c>
      <c r="I202" s="8" t="s">
        <v>3746</v>
      </c>
      <c r="J202" s="8" t="s">
        <v>3543</v>
      </c>
      <c r="K202" s="8" t="s">
        <v>3183</v>
      </c>
      <c r="L202" s="10" t="s">
        <v>3254</v>
      </c>
      <c r="M202" s="10" t="s">
        <v>3547</v>
      </c>
      <c r="N202" s="10" t="s">
        <v>3747</v>
      </c>
      <c r="O202" s="8" t="s">
        <v>363</v>
      </c>
      <c r="P202" s="8"/>
      <c r="Q202" s="8"/>
      <c r="R202" s="8">
        <v>891967</v>
      </c>
      <c r="S202" s="8"/>
      <c r="T202" s="8"/>
      <c r="U202" s="8"/>
      <c r="V202" s="8"/>
      <c r="W202" s="8"/>
      <c r="X202" s="8"/>
      <c r="Y202" s="8"/>
      <c r="Z202" s="10" t="s">
        <v>3748</v>
      </c>
      <c r="AA202" s="8" t="s">
        <v>332</v>
      </c>
      <c r="AB202" s="8">
        <v>1</v>
      </c>
    </row>
    <row r="203" spans="1:28" ht="21.6" customHeight="1">
      <c r="A203" s="8">
        <v>252</v>
      </c>
      <c r="B203" s="8">
        <v>2025023020</v>
      </c>
      <c r="C203" s="8">
        <v>1</v>
      </c>
      <c r="D203" s="8" t="s">
        <v>3177</v>
      </c>
      <c r="E203" s="8" t="s">
        <v>118</v>
      </c>
      <c r="F203" s="8" t="s">
        <v>3643</v>
      </c>
      <c r="G203" s="8" t="s">
        <v>3431</v>
      </c>
      <c r="H203" s="8" t="s">
        <v>3749</v>
      </c>
      <c r="I203" s="8" t="s">
        <v>3746</v>
      </c>
      <c r="J203" s="8" t="s">
        <v>3543</v>
      </c>
      <c r="K203" s="8" t="s">
        <v>3183</v>
      </c>
      <c r="L203" s="10" t="s">
        <v>3254</v>
      </c>
      <c r="M203" s="10" t="s">
        <v>3547</v>
      </c>
      <c r="N203" s="10" t="s">
        <v>3747</v>
      </c>
      <c r="O203" s="8" t="s">
        <v>322</v>
      </c>
      <c r="P203" s="8"/>
      <c r="Q203" s="8"/>
      <c r="R203" s="8">
        <v>891967</v>
      </c>
      <c r="S203" s="8"/>
      <c r="T203" s="8"/>
      <c r="U203" s="8"/>
      <c r="V203" s="8"/>
      <c r="W203" s="8"/>
      <c r="X203" s="8"/>
      <c r="Y203" s="8" t="s">
        <v>332</v>
      </c>
      <c r="Z203" s="10" t="s">
        <v>3750</v>
      </c>
      <c r="AA203" s="8" t="s">
        <v>332</v>
      </c>
      <c r="AB203" s="8">
        <v>1</v>
      </c>
    </row>
    <row r="204" spans="1:28" ht="21.6" customHeight="1">
      <c r="A204" s="8">
        <v>253</v>
      </c>
      <c r="B204" s="8">
        <v>2025022923</v>
      </c>
      <c r="C204" s="8">
        <v>1</v>
      </c>
      <c r="D204" s="8" t="s">
        <v>3177</v>
      </c>
      <c r="E204" s="8" t="s">
        <v>118</v>
      </c>
      <c r="F204" s="8" t="s">
        <v>3643</v>
      </c>
      <c r="G204" s="8" t="s">
        <v>3381</v>
      </c>
      <c r="H204" s="8" t="s">
        <v>3751</v>
      </c>
      <c r="I204" s="8" t="s">
        <v>3752</v>
      </c>
      <c r="J204" s="8" t="s">
        <v>3543</v>
      </c>
      <c r="K204" s="8" t="s">
        <v>3183</v>
      </c>
      <c r="L204" s="10" t="s">
        <v>3254</v>
      </c>
      <c r="M204" s="10" t="s">
        <v>3547</v>
      </c>
      <c r="N204" s="10" t="s">
        <v>3753</v>
      </c>
      <c r="O204" s="8" t="s">
        <v>363</v>
      </c>
      <c r="P204" s="8"/>
      <c r="Q204" s="8"/>
      <c r="R204" s="8">
        <v>250801</v>
      </c>
      <c r="S204" s="8"/>
      <c r="T204" s="8"/>
      <c r="U204" s="8"/>
      <c r="V204" s="8"/>
      <c r="W204" s="8"/>
      <c r="X204" s="8"/>
      <c r="Y204" s="8"/>
      <c r="Z204" s="10" t="s">
        <v>3754</v>
      </c>
      <c r="AA204" s="8" t="s">
        <v>332</v>
      </c>
      <c r="AB204" s="8">
        <v>1</v>
      </c>
    </row>
    <row r="205" spans="1:28" ht="21.6" customHeight="1">
      <c r="A205" s="8">
        <v>256</v>
      </c>
      <c r="B205" s="8">
        <v>2025023332</v>
      </c>
      <c r="C205" s="8">
        <v>1</v>
      </c>
      <c r="D205" s="8" t="s">
        <v>3177</v>
      </c>
      <c r="E205" s="8" t="s">
        <v>118</v>
      </c>
      <c r="F205" s="8" t="s">
        <v>3697</v>
      </c>
      <c r="G205" s="8" t="s">
        <v>3368</v>
      </c>
      <c r="H205" s="8" t="s">
        <v>3755</v>
      </c>
      <c r="I205" s="8" t="s">
        <v>3567</v>
      </c>
      <c r="J205" s="8" t="s">
        <v>1717</v>
      </c>
      <c r="K205" s="8" t="s">
        <v>3183</v>
      </c>
      <c r="L205" s="10" t="s">
        <v>3254</v>
      </c>
      <c r="M205" s="10" t="s">
        <v>3547</v>
      </c>
      <c r="N205" s="10" t="s">
        <v>3568</v>
      </c>
      <c r="O205" s="8" t="s">
        <v>322</v>
      </c>
      <c r="P205" s="8"/>
      <c r="Q205" s="8"/>
      <c r="R205" s="8">
        <v>58977</v>
      </c>
      <c r="S205" s="8"/>
      <c r="T205" s="8"/>
      <c r="U205" s="8"/>
      <c r="V205" s="8"/>
      <c r="W205" s="8"/>
      <c r="X205" s="8"/>
      <c r="Y205" s="8" t="s">
        <v>332</v>
      </c>
      <c r="Z205" s="10" t="s">
        <v>3517</v>
      </c>
      <c r="AA205" s="8" t="s">
        <v>332</v>
      </c>
      <c r="AB205" s="8">
        <v>1</v>
      </c>
    </row>
    <row r="206" spans="1:28" ht="21.6" customHeight="1">
      <c r="A206" s="8">
        <v>257</v>
      </c>
      <c r="B206" s="8">
        <v>2025023333</v>
      </c>
      <c r="C206" s="8">
        <v>1</v>
      </c>
      <c r="D206" s="8" t="s">
        <v>3177</v>
      </c>
      <c r="E206" s="8" t="s">
        <v>118</v>
      </c>
      <c r="F206" s="8" t="s">
        <v>3697</v>
      </c>
      <c r="G206" s="8" t="s">
        <v>3755</v>
      </c>
      <c r="H206" s="8" t="s">
        <v>3691</v>
      </c>
      <c r="I206" s="8" t="s">
        <v>3570</v>
      </c>
      <c r="J206" s="8" t="s">
        <v>1717</v>
      </c>
      <c r="K206" s="8" t="s">
        <v>3183</v>
      </c>
      <c r="L206" s="10" t="s">
        <v>3254</v>
      </c>
      <c r="M206" s="10" t="s">
        <v>3547</v>
      </c>
      <c r="N206" s="10" t="s">
        <v>3571</v>
      </c>
      <c r="O206" s="8" t="s">
        <v>322</v>
      </c>
      <c r="P206" s="8"/>
      <c r="Q206" s="8"/>
      <c r="R206" s="8">
        <v>97453</v>
      </c>
      <c r="S206" s="8"/>
      <c r="T206" s="8"/>
      <c r="U206" s="8"/>
      <c r="V206" s="8"/>
      <c r="W206" s="8"/>
      <c r="X206" s="8"/>
      <c r="Y206" s="8" t="s">
        <v>332</v>
      </c>
      <c r="Z206" s="10" t="s">
        <v>3517</v>
      </c>
      <c r="AA206" s="8" t="s">
        <v>332</v>
      </c>
      <c r="AB206" s="8">
        <v>1</v>
      </c>
    </row>
    <row r="207" spans="1:28" ht="21.6" customHeight="1">
      <c r="A207" s="8">
        <v>258</v>
      </c>
      <c r="B207" s="8">
        <v>2025023096</v>
      </c>
      <c r="C207" s="8">
        <v>1</v>
      </c>
      <c r="D207" s="8" t="s">
        <v>3177</v>
      </c>
      <c r="E207" s="8" t="s">
        <v>118</v>
      </c>
      <c r="F207" s="8" t="s">
        <v>3659</v>
      </c>
      <c r="G207" s="8" t="s">
        <v>3357</v>
      </c>
      <c r="H207" s="8" t="s">
        <v>3342</v>
      </c>
      <c r="I207" s="8" t="s">
        <v>3572</v>
      </c>
      <c r="J207" s="8" t="s">
        <v>1717</v>
      </c>
      <c r="K207" s="8" t="s">
        <v>3183</v>
      </c>
      <c r="L207" s="10" t="s">
        <v>3472</v>
      </c>
      <c r="M207" s="10" t="s">
        <v>3410</v>
      </c>
      <c r="N207" s="10" t="s">
        <v>3442</v>
      </c>
      <c r="O207" s="8" t="s">
        <v>322</v>
      </c>
      <c r="P207" s="8"/>
      <c r="Q207" s="8"/>
      <c r="R207" s="8">
        <v>33299</v>
      </c>
      <c r="S207" s="8" t="s">
        <v>332</v>
      </c>
      <c r="T207" s="8"/>
      <c r="U207" s="8"/>
      <c r="V207" s="8"/>
      <c r="W207" s="8"/>
      <c r="X207" s="8"/>
      <c r="Y207" s="8"/>
      <c r="Z207" s="10" t="s">
        <v>3696</v>
      </c>
      <c r="AA207" s="8" t="s">
        <v>332</v>
      </c>
      <c r="AB207" s="8">
        <v>1</v>
      </c>
    </row>
    <row r="208" spans="1:28" ht="21.6" customHeight="1">
      <c r="A208" s="8">
        <v>262</v>
      </c>
      <c r="B208" s="8">
        <v>2025022613</v>
      </c>
      <c r="C208" s="8">
        <v>1</v>
      </c>
      <c r="D208" s="8" t="s">
        <v>3177</v>
      </c>
      <c r="E208" s="8" t="s">
        <v>118</v>
      </c>
      <c r="F208" s="8" t="s">
        <v>3679</v>
      </c>
      <c r="G208" s="8" t="s">
        <v>3426</v>
      </c>
      <c r="H208" s="8" t="s">
        <v>3756</v>
      </c>
      <c r="I208" s="8" t="s">
        <v>3757</v>
      </c>
      <c r="J208" s="8" t="s">
        <v>3758</v>
      </c>
      <c r="K208" s="8" t="s">
        <v>3183</v>
      </c>
      <c r="L208" s="10" t="s">
        <v>3759</v>
      </c>
      <c r="M208" s="10" t="s">
        <v>3760</v>
      </c>
      <c r="N208" s="10" t="s">
        <v>3761</v>
      </c>
      <c r="O208" s="8" t="s">
        <v>322</v>
      </c>
      <c r="P208" s="8"/>
      <c r="Q208" s="8">
        <v>1177</v>
      </c>
      <c r="R208" s="8">
        <v>112262</v>
      </c>
      <c r="S208" s="8"/>
      <c r="T208" s="8"/>
      <c r="U208" s="8"/>
      <c r="V208" s="8"/>
      <c r="W208" s="8"/>
      <c r="X208" s="8"/>
      <c r="Y208" s="8" t="s">
        <v>332</v>
      </c>
      <c r="Z208" s="10" t="s">
        <v>3446</v>
      </c>
      <c r="AA208" s="8" t="s">
        <v>332</v>
      </c>
      <c r="AB208" s="8">
        <v>1</v>
      </c>
    </row>
    <row r="209" spans="1:28" ht="21.6" customHeight="1">
      <c r="A209" s="8">
        <v>263</v>
      </c>
      <c r="B209" s="8">
        <v>2025023407</v>
      </c>
      <c r="C209" s="8">
        <v>1</v>
      </c>
      <c r="D209" s="8" t="s">
        <v>3177</v>
      </c>
      <c r="E209" s="8" t="s">
        <v>118</v>
      </c>
      <c r="F209" s="8" t="s">
        <v>3703</v>
      </c>
      <c r="G209" s="8" t="s">
        <v>3350</v>
      </c>
      <c r="H209" s="8" t="s">
        <v>3762</v>
      </c>
      <c r="I209" s="8" t="s">
        <v>3757</v>
      </c>
      <c r="J209" s="8" t="s">
        <v>3758</v>
      </c>
      <c r="K209" s="8" t="s">
        <v>3183</v>
      </c>
      <c r="L209" s="10" t="s">
        <v>3759</v>
      </c>
      <c r="M209" s="10" t="s">
        <v>3760</v>
      </c>
      <c r="N209" s="10" t="s">
        <v>3761</v>
      </c>
      <c r="O209" s="8" t="s">
        <v>322</v>
      </c>
      <c r="P209" s="8"/>
      <c r="Q209" s="8">
        <v>1177</v>
      </c>
      <c r="R209" s="8">
        <v>112262</v>
      </c>
      <c r="S209" s="8"/>
      <c r="T209" s="8"/>
      <c r="U209" s="8"/>
      <c r="V209" s="8"/>
      <c r="W209" s="8"/>
      <c r="X209" s="8"/>
      <c r="Y209" s="8" t="s">
        <v>332</v>
      </c>
      <c r="Z209" s="10" t="s">
        <v>3446</v>
      </c>
      <c r="AA209" s="8" t="s">
        <v>332</v>
      </c>
      <c r="AB209" s="8">
        <v>1</v>
      </c>
    </row>
    <row r="210" spans="1:28" ht="21.6" customHeight="1">
      <c r="A210" s="8">
        <v>266</v>
      </c>
      <c r="B210" s="8">
        <v>2025022609</v>
      </c>
      <c r="C210" s="8">
        <v>1</v>
      </c>
      <c r="D210" s="8" t="s">
        <v>3177</v>
      </c>
      <c r="E210" s="8" t="s">
        <v>118</v>
      </c>
      <c r="F210" s="8" t="s">
        <v>3679</v>
      </c>
      <c r="G210" s="8" t="s">
        <v>3427</v>
      </c>
      <c r="H210" s="8" t="s">
        <v>3386</v>
      </c>
      <c r="I210" s="8" t="s">
        <v>3763</v>
      </c>
      <c r="J210" s="8" t="s">
        <v>3758</v>
      </c>
      <c r="K210" s="8" t="s">
        <v>3183</v>
      </c>
      <c r="L210" s="10" t="s">
        <v>3759</v>
      </c>
      <c r="M210" s="10" t="s">
        <v>3760</v>
      </c>
      <c r="N210" s="10" t="s">
        <v>3764</v>
      </c>
      <c r="O210" s="8" t="s">
        <v>322</v>
      </c>
      <c r="P210" s="8"/>
      <c r="Q210" s="8">
        <v>6686</v>
      </c>
      <c r="R210" s="8">
        <v>241102</v>
      </c>
      <c r="S210" s="8"/>
      <c r="T210" s="8"/>
      <c r="U210" s="8" t="s">
        <v>332</v>
      </c>
      <c r="V210" s="8"/>
      <c r="W210" s="8"/>
      <c r="X210" s="8"/>
      <c r="Y210" s="8"/>
      <c r="Z210" s="10" t="s">
        <v>3362</v>
      </c>
      <c r="AA210" s="8" t="s">
        <v>332</v>
      </c>
      <c r="AB210" s="8">
        <v>1</v>
      </c>
    </row>
    <row r="211" spans="1:28" ht="21.6" customHeight="1">
      <c r="A211" s="8">
        <v>267</v>
      </c>
      <c r="B211" s="8">
        <v>2025023408</v>
      </c>
      <c r="C211" s="8">
        <v>1</v>
      </c>
      <c r="D211" s="8" t="s">
        <v>3177</v>
      </c>
      <c r="E211" s="8" t="s">
        <v>118</v>
      </c>
      <c r="F211" s="8" t="s">
        <v>3703</v>
      </c>
      <c r="G211" s="8" t="s">
        <v>3281</v>
      </c>
      <c r="H211" s="8" t="s">
        <v>3765</v>
      </c>
      <c r="I211" s="8" t="s">
        <v>3763</v>
      </c>
      <c r="J211" s="8" t="s">
        <v>3758</v>
      </c>
      <c r="K211" s="8" t="s">
        <v>3183</v>
      </c>
      <c r="L211" s="10" t="s">
        <v>3759</v>
      </c>
      <c r="M211" s="10" t="s">
        <v>3760</v>
      </c>
      <c r="N211" s="10" t="s">
        <v>3764</v>
      </c>
      <c r="O211" s="8" t="s">
        <v>322</v>
      </c>
      <c r="P211" s="8"/>
      <c r="Q211" s="8">
        <v>6686</v>
      </c>
      <c r="R211" s="8">
        <v>2401102</v>
      </c>
      <c r="S211" s="8"/>
      <c r="T211" s="8"/>
      <c r="U211" s="8"/>
      <c r="V211" s="8"/>
      <c r="W211" s="8"/>
      <c r="X211" s="8"/>
      <c r="Y211" s="8" t="s">
        <v>332</v>
      </c>
      <c r="Z211" s="10" t="s">
        <v>3766</v>
      </c>
      <c r="AA211" s="8" t="s">
        <v>332</v>
      </c>
      <c r="AB211" s="8">
        <v>1</v>
      </c>
    </row>
    <row r="212" spans="1:28" ht="21.6" customHeight="1">
      <c r="A212" s="8">
        <v>268</v>
      </c>
      <c r="B212" s="8">
        <v>2025020330</v>
      </c>
      <c r="C212" s="8">
        <v>1</v>
      </c>
      <c r="D212" s="8" t="s">
        <v>3177</v>
      </c>
      <c r="E212" s="8" t="s">
        <v>118</v>
      </c>
      <c r="F212" s="8" t="s">
        <v>3695</v>
      </c>
      <c r="G212" s="8" t="s">
        <v>3342</v>
      </c>
      <c r="H212" s="8" t="s">
        <v>3767</v>
      </c>
      <c r="I212" s="8" t="s">
        <v>3573</v>
      </c>
      <c r="J212" s="8" t="s">
        <v>3574</v>
      </c>
      <c r="K212" s="8" t="s">
        <v>3183</v>
      </c>
      <c r="L212" s="10" t="s">
        <v>3398</v>
      </c>
      <c r="M212" s="10" t="s">
        <v>3575</v>
      </c>
      <c r="N212" s="10" t="s">
        <v>3576</v>
      </c>
      <c r="O212" s="8" t="s">
        <v>322</v>
      </c>
      <c r="P212" s="8"/>
      <c r="Q212" s="8"/>
      <c r="R212" s="8">
        <v>23098</v>
      </c>
      <c r="S212" s="8" t="s">
        <v>332</v>
      </c>
      <c r="T212" s="8"/>
      <c r="U212" s="8"/>
      <c r="V212" s="8"/>
      <c r="W212" s="8"/>
      <c r="X212" s="8"/>
      <c r="Y212" s="8"/>
      <c r="Z212" s="10" t="s">
        <v>3348</v>
      </c>
      <c r="AA212" s="8" t="s">
        <v>332</v>
      </c>
      <c r="AB212" s="8">
        <v>1</v>
      </c>
    </row>
    <row r="213" spans="1:28" ht="21.6" customHeight="1">
      <c r="A213" s="8">
        <v>302</v>
      </c>
      <c r="B213" s="8">
        <v>2025021917</v>
      </c>
      <c r="C213" s="8">
        <v>1</v>
      </c>
      <c r="D213" s="8" t="s">
        <v>3177</v>
      </c>
      <c r="E213" s="8" t="s">
        <v>134</v>
      </c>
      <c r="F213" s="8" t="s">
        <v>3606</v>
      </c>
      <c r="G213" s="8" t="s">
        <v>3768</v>
      </c>
      <c r="H213" s="8" t="s">
        <v>3769</v>
      </c>
      <c r="I213" s="8" t="s">
        <v>3585</v>
      </c>
      <c r="J213" s="8" t="s">
        <v>3301</v>
      </c>
      <c r="K213" s="8" t="s">
        <v>3183</v>
      </c>
      <c r="L213" s="10" t="s">
        <v>3586</v>
      </c>
      <c r="M213" s="10" t="s">
        <v>3587</v>
      </c>
      <c r="N213" s="10" t="s">
        <v>3430</v>
      </c>
      <c r="O213" s="8" t="s">
        <v>3190</v>
      </c>
      <c r="P213" s="8"/>
      <c r="Q213" s="8">
        <v>2069</v>
      </c>
      <c r="R213" s="8">
        <v>28073</v>
      </c>
      <c r="S213" s="8"/>
      <c r="T213" s="8"/>
      <c r="U213" s="8"/>
      <c r="V213" s="8"/>
      <c r="W213" s="8"/>
      <c r="X213" s="8"/>
      <c r="Y213" s="8"/>
      <c r="Z213" s="10"/>
      <c r="AA213" s="8" t="s">
        <v>332</v>
      </c>
      <c r="AB213" s="8">
        <v>1</v>
      </c>
    </row>
    <row r="214" spans="1:28" ht="21.6" customHeight="1">
      <c r="A214" s="8">
        <v>303</v>
      </c>
      <c r="B214" s="8">
        <v>2025021919</v>
      </c>
      <c r="C214" s="8">
        <v>1</v>
      </c>
      <c r="D214" s="8" t="s">
        <v>3177</v>
      </c>
      <c r="E214" s="8" t="s">
        <v>134</v>
      </c>
      <c r="F214" s="8" t="s">
        <v>3606</v>
      </c>
      <c r="G214" s="8" t="s">
        <v>3770</v>
      </c>
      <c r="H214" s="8" t="s">
        <v>3771</v>
      </c>
      <c r="I214" s="8" t="s">
        <v>3592</v>
      </c>
      <c r="J214" s="8" t="s">
        <v>3301</v>
      </c>
      <c r="K214" s="8" t="s">
        <v>3183</v>
      </c>
      <c r="L214" s="10" t="s">
        <v>3586</v>
      </c>
      <c r="M214" s="10" t="s">
        <v>3587</v>
      </c>
      <c r="N214" s="10" t="s">
        <v>3430</v>
      </c>
      <c r="O214" s="8" t="s">
        <v>3190</v>
      </c>
      <c r="P214" s="8"/>
      <c r="Q214" s="8">
        <v>3833</v>
      </c>
      <c r="R214" s="8">
        <v>48110</v>
      </c>
      <c r="S214" s="8"/>
      <c r="T214" s="8"/>
      <c r="U214" s="8"/>
      <c r="V214" s="8"/>
      <c r="W214" s="8"/>
      <c r="X214" s="8"/>
      <c r="Y214" s="8"/>
      <c r="Z214" s="10"/>
      <c r="AA214" s="8" t="s">
        <v>332</v>
      </c>
      <c r="AB214" s="8">
        <v>1</v>
      </c>
    </row>
    <row r="215" spans="1:28" ht="21.6" customHeight="1">
      <c r="A215" s="8">
        <v>1</v>
      </c>
      <c r="B215" s="8">
        <v>2025032210</v>
      </c>
      <c r="C215" s="8">
        <v>1</v>
      </c>
      <c r="D215" s="8" t="s">
        <v>3177</v>
      </c>
      <c r="E215" s="8" t="s">
        <v>123</v>
      </c>
      <c r="F215" s="8" t="s">
        <v>3772</v>
      </c>
      <c r="G215" s="8" t="s">
        <v>3773</v>
      </c>
      <c r="H215" s="8" t="s">
        <v>3210</v>
      </c>
      <c r="I215" s="8" t="s">
        <v>3181</v>
      </c>
      <c r="J215" s="8" t="s">
        <v>3182</v>
      </c>
      <c r="K215" s="8" t="s">
        <v>3183</v>
      </c>
      <c r="L215" s="10" t="s">
        <v>3184</v>
      </c>
      <c r="M215" s="10" t="s">
        <v>3185</v>
      </c>
      <c r="N215" s="10" t="s">
        <v>123</v>
      </c>
      <c r="O215" s="8" t="s">
        <v>322</v>
      </c>
      <c r="P215" s="8"/>
      <c r="Q215" s="8">
        <v>4157</v>
      </c>
      <c r="R215" s="8">
        <v>29130</v>
      </c>
      <c r="S215" s="8" t="s">
        <v>332</v>
      </c>
      <c r="T215" s="8"/>
      <c r="U215" s="8"/>
      <c r="V215" s="8"/>
      <c r="W215" s="8"/>
      <c r="X215" s="8"/>
      <c r="Y215" s="8"/>
      <c r="Z215" s="10" t="s">
        <v>3186</v>
      </c>
      <c r="AA215" s="8" t="s">
        <v>332</v>
      </c>
      <c r="AB215" s="8">
        <v>1</v>
      </c>
    </row>
    <row r="216" spans="1:28" ht="21.6" customHeight="1">
      <c r="A216" s="8">
        <v>3</v>
      </c>
      <c r="B216" s="8">
        <v>2025032215</v>
      </c>
      <c r="C216" s="8">
        <v>1</v>
      </c>
      <c r="D216" s="8" t="s">
        <v>3177</v>
      </c>
      <c r="E216" s="8" t="s">
        <v>123</v>
      </c>
      <c r="F216" s="8" t="s">
        <v>3772</v>
      </c>
      <c r="G216" s="8" t="s">
        <v>3211</v>
      </c>
      <c r="H216" s="8" t="s">
        <v>3774</v>
      </c>
      <c r="I216" s="8" t="s">
        <v>3194</v>
      </c>
      <c r="J216" s="8" t="s">
        <v>3195</v>
      </c>
      <c r="K216" s="8" t="s">
        <v>3183</v>
      </c>
      <c r="L216" s="10" t="s">
        <v>3196</v>
      </c>
      <c r="M216" s="10" t="s">
        <v>3197</v>
      </c>
      <c r="N216" s="10" t="s">
        <v>123</v>
      </c>
      <c r="O216" s="8" t="s">
        <v>322</v>
      </c>
      <c r="P216" s="8"/>
      <c r="Q216" s="8">
        <v>80</v>
      </c>
      <c r="R216" s="8">
        <v>3112</v>
      </c>
      <c r="S216" s="8" t="s">
        <v>332</v>
      </c>
      <c r="T216" s="8"/>
      <c r="U216" s="8"/>
      <c r="V216" s="8"/>
      <c r="W216" s="8"/>
      <c r="X216" s="8"/>
      <c r="Y216" s="8"/>
      <c r="Z216" s="10" t="s">
        <v>3186</v>
      </c>
      <c r="AA216" s="8" t="s">
        <v>332</v>
      </c>
      <c r="AB216" s="8">
        <v>1</v>
      </c>
    </row>
    <row r="217" spans="1:28" ht="21.6" customHeight="1">
      <c r="A217" s="8">
        <v>5</v>
      </c>
      <c r="B217" s="8">
        <v>2025032349</v>
      </c>
      <c r="C217" s="8">
        <v>1</v>
      </c>
      <c r="D217" s="8" t="s">
        <v>3177</v>
      </c>
      <c r="E217" s="8" t="s">
        <v>123</v>
      </c>
      <c r="F217" s="8" t="s">
        <v>3772</v>
      </c>
      <c r="G217" s="8" t="s">
        <v>3775</v>
      </c>
      <c r="H217" s="8" t="s">
        <v>3412</v>
      </c>
      <c r="I217" s="8" t="s">
        <v>3200</v>
      </c>
      <c r="J217" s="8" t="s">
        <v>3195</v>
      </c>
      <c r="K217" s="8" t="s">
        <v>3183</v>
      </c>
      <c r="L217" s="10" t="s">
        <v>3201</v>
      </c>
      <c r="M217" s="10" t="s">
        <v>3202</v>
      </c>
      <c r="N217" s="10"/>
      <c r="O217" s="8" t="s">
        <v>322</v>
      </c>
      <c r="P217" s="8"/>
      <c r="Q217" s="8">
        <v>2109</v>
      </c>
      <c r="R217" s="8">
        <v>16515</v>
      </c>
      <c r="S217" s="8" t="s">
        <v>332</v>
      </c>
      <c r="T217" s="8"/>
      <c r="U217" s="8"/>
      <c r="V217" s="8"/>
      <c r="W217" s="8"/>
      <c r="X217" s="8"/>
      <c r="Y217" s="8"/>
      <c r="Z217" s="10" t="s">
        <v>3186</v>
      </c>
      <c r="AA217" s="8" t="s">
        <v>332</v>
      </c>
      <c r="AB217" s="8">
        <v>1</v>
      </c>
    </row>
    <row r="218" spans="1:28" ht="21.6" customHeight="1">
      <c r="A218" s="8">
        <v>7</v>
      </c>
      <c r="B218" s="8">
        <v>2025031732</v>
      </c>
      <c r="C218" s="8">
        <v>1</v>
      </c>
      <c r="D218" s="8" t="s">
        <v>3177</v>
      </c>
      <c r="E218" s="8" t="s">
        <v>123</v>
      </c>
      <c r="F218" s="8" t="s">
        <v>3776</v>
      </c>
      <c r="G218" s="8" t="s">
        <v>3330</v>
      </c>
      <c r="H218" s="8" t="s">
        <v>3777</v>
      </c>
      <c r="I218" s="8" t="s">
        <v>3206</v>
      </c>
      <c r="J218" s="8" t="s">
        <v>3195</v>
      </c>
      <c r="K218" s="8" t="s">
        <v>3183</v>
      </c>
      <c r="L218" s="10" t="s">
        <v>3207</v>
      </c>
      <c r="M218" s="10" t="s">
        <v>3208</v>
      </c>
      <c r="N218" s="10" t="s">
        <v>3209</v>
      </c>
      <c r="O218" s="8" t="s">
        <v>322</v>
      </c>
      <c r="P218" s="8"/>
      <c r="Q218" s="8">
        <v>23851</v>
      </c>
      <c r="R218" s="8">
        <v>59082</v>
      </c>
      <c r="S218" s="8" t="s">
        <v>332</v>
      </c>
      <c r="T218" s="8"/>
      <c r="U218" s="8"/>
      <c r="V218" s="8"/>
      <c r="W218" s="8"/>
      <c r="X218" s="8"/>
      <c r="Y218" s="8"/>
      <c r="Z218" s="10" t="s">
        <v>3186</v>
      </c>
      <c r="AA218" s="8" t="s">
        <v>332</v>
      </c>
      <c r="AB218" s="8">
        <v>1</v>
      </c>
    </row>
    <row r="219" spans="1:28" ht="21.6" customHeight="1">
      <c r="A219" s="8">
        <v>9</v>
      </c>
      <c r="B219" s="8">
        <v>2025032498</v>
      </c>
      <c r="C219" s="8">
        <v>1</v>
      </c>
      <c r="D219" s="8" t="s">
        <v>3177</v>
      </c>
      <c r="E219" s="8" t="s">
        <v>123</v>
      </c>
      <c r="F219" s="8" t="s">
        <v>3778</v>
      </c>
      <c r="G219" s="8" t="s">
        <v>3779</v>
      </c>
      <c r="H219" s="8" t="s">
        <v>3780</v>
      </c>
      <c r="I219" s="8" t="s">
        <v>3212</v>
      </c>
      <c r="J219" s="8" t="s">
        <v>3195</v>
      </c>
      <c r="K219" s="8" t="s">
        <v>3183</v>
      </c>
      <c r="L219" s="10" t="s">
        <v>3213</v>
      </c>
      <c r="M219" s="10" t="s">
        <v>3214</v>
      </c>
      <c r="N219" s="10" t="s">
        <v>3215</v>
      </c>
      <c r="O219" s="8" t="s">
        <v>322</v>
      </c>
      <c r="P219" s="8"/>
      <c r="Q219" s="8">
        <v>128</v>
      </c>
      <c r="R219" s="8">
        <v>715</v>
      </c>
      <c r="S219" s="8" t="s">
        <v>332</v>
      </c>
      <c r="T219" s="8"/>
      <c r="U219" s="8"/>
      <c r="V219" s="8"/>
      <c r="W219" s="8"/>
      <c r="X219" s="8"/>
      <c r="Y219" s="8"/>
      <c r="Z219" s="10" t="s">
        <v>3186</v>
      </c>
      <c r="AA219" s="8" t="s">
        <v>332</v>
      </c>
      <c r="AB219" s="8">
        <v>1</v>
      </c>
    </row>
    <row r="220" spans="1:28" ht="21.6" customHeight="1">
      <c r="A220" s="8">
        <v>11</v>
      </c>
      <c r="B220" s="8">
        <v>2025032236</v>
      </c>
      <c r="C220" s="8">
        <v>1</v>
      </c>
      <c r="D220" s="8" t="s">
        <v>3177</v>
      </c>
      <c r="E220" s="8" t="s">
        <v>123</v>
      </c>
      <c r="F220" s="8" t="s">
        <v>3772</v>
      </c>
      <c r="G220" s="8" t="s">
        <v>3781</v>
      </c>
      <c r="H220" s="8" t="s">
        <v>3782</v>
      </c>
      <c r="I220" s="8" t="s">
        <v>3218</v>
      </c>
      <c r="J220" s="8" t="s">
        <v>3195</v>
      </c>
      <c r="K220" s="8" t="s">
        <v>3183</v>
      </c>
      <c r="L220" s="10" t="s">
        <v>3219</v>
      </c>
      <c r="M220" s="10" t="s">
        <v>3220</v>
      </c>
      <c r="N220" s="10" t="s">
        <v>123</v>
      </c>
      <c r="O220" s="8" t="s">
        <v>322</v>
      </c>
      <c r="P220" s="8"/>
      <c r="Q220" s="8">
        <v>134</v>
      </c>
      <c r="R220" s="8">
        <v>5843</v>
      </c>
      <c r="S220" s="8" t="s">
        <v>332</v>
      </c>
      <c r="T220" s="8"/>
      <c r="U220" s="8"/>
      <c r="V220" s="8"/>
      <c r="W220" s="8"/>
      <c r="X220" s="8"/>
      <c r="Y220" s="8"/>
      <c r="Z220" s="10" t="s">
        <v>3186</v>
      </c>
      <c r="AA220" s="8" t="s">
        <v>332</v>
      </c>
      <c r="AB220" s="8">
        <v>1</v>
      </c>
    </row>
    <row r="221" spans="1:28" ht="21.6" customHeight="1">
      <c r="A221" s="8">
        <v>13</v>
      </c>
      <c r="B221" s="8">
        <v>2025032241</v>
      </c>
      <c r="C221" s="8">
        <v>1</v>
      </c>
      <c r="D221" s="8" t="s">
        <v>3177</v>
      </c>
      <c r="E221" s="8" t="s">
        <v>123</v>
      </c>
      <c r="F221" s="8" t="s">
        <v>3772</v>
      </c>
      <c r="G221" s="8" t="s">
        <v>3783</v>
      </c>
      <c r="H221" s="8" t="s">
        <v>3784</v>
      </c>
      <c r="I221" s="8" t="s">
        <v>3223</v>
      </c>
      <c r="J221" s="8" t="s">
        <v>3224</v>
      </c>
      <c r="K221" s="8" t="s">
        <v>3183</v>
      </c>
      <c r="L221" s="10" t="s">
        <v>3225</v>
      </c>
      <c r="M221" s="10" t="s">
        <v>3226</v>
      </c>
      <c r="N221" s="10" t="s">
        <v>3227</v>
      </c>
      <c r="O221" s="8" t="s">
        <v>322</v>
      </c>
      <c r="P221" s="8"/>
      <c r="Q221" s="8">
        <v>330</v>
      </c>
      <c r="R221" s="8">
        <v>1540</v>
      </c>
      <c r="S221" s="8" t="s">
        <v>332</v>
      </c>
      <c r="T221" s="8"/>
      <c r="U221" s="8"/>
      <c r="V221" s="8"/>
      <c r="W221" s="8"/>
      <c r="X221" s="8"/>
      <c r="Y221" s="8"/>
      <c r="Z221" s="10" t="s">
        <v>3186</v>
      </c>
      <c r="AA221" s="8" t="s">
        <v>332</v>
      </c>
      <c r="AB221" s="8">
        <v>1</v>
      </c>
    </row>
    <row r="222" spans="1:28" ht="21.6" customHeight="1">
      <c r="A222" s="8">
        <v>15</v>
      </c>
      <c r="B222" s="8">
        <v>2025032222</v>
      </c>
      <c r="C222" s="8">
        <v>1</v>
      </c>
      <c r="D222" s="8" t="s">
        <v>3177</v>
      </c>
      <c r="E222" s="8" t="s">
        <v>123</v>
      </c>
      <c r="F222" s="8" t="s">
        <v>3772</v>
      </c>
      <c r="G222" s="8" t="s">
        <v>3785</v>
      </c>
      <c r="H222" s="8" t="s">
        <v>3613</v>
      </c>
      <c r="I222" s="8" t="s">
        <v>3229</v>
      </c>
      <c r="J222" s="8" t="s">
        <v>3224</v>
      </c>
      <c r="K222" s="8" t="s">
        <v>3183</v>
      </c>
      <c r="L222" s="10" t="s">
        <v>3230</v>
      </c>
      <c r="M222" s="10" t="s">
        <v>3231</v>
      </c>
      <c r="N222" s="10" t="s">
        <v>3215</v>
      </c>
      <c r="O222" s="8" t="s">
        <v>322</v>
      </c>
      <c r="P222" s="8"/>
      <c r="Q222" s="8">
        <v>2357</v>
      </c>
      <c r="R222" s="8">
        <v>2850</v>
      </c>
      <c r="S222" s="8" t="s">
        <v>332</v>
      </c>
      <c r="T222" s="8"/>
      <c r="U222" s="8"/>
      <c r="V222" s="8"/>
      <c r="W222" s="8"/>
      <c r="X222" s="8"/>
      <c r="Y222" s="8"/>
      <c r="Z222" s="10" t="s">
        <v>3186</v>
      </c>
      <c r="AA222" s="8" t="s">
        <v>332</v>
      </c>
      <c r="AB222" s="8">
        <v>1</v>
      </c>
    </row>
    <row r="223" spans="1:28" ht="21.6" customHeight="1">
      <c r="A223" s="8">
        <v>17</v>
      </c>
      <c r="B223" s="8">
        <v>2025032396</v>
      </c>
      <c r="C223" s="8">
        <v>1</v>
      </c>
      <c r="D223" s="8" t="s">
        <v>3177</v>
      </c>
      <c r="E223" s="8" t="s">
        <v>123</v>
      </c>
      <c r="F223" s="8" t="s">
        <v>3772</v>
      </c>
      <c r="G223" s="8" t="s">
        <v>3786</v>
      </c>
      <c r="H223" s="8" t="s">
        <v>3787</v>
      </c>
      <c r="I223" s="8" t="s">
        <v>3234</v>
      </c>
      <c r="J223" s="8" t="s">
        <v>3224</v>
      </c>
      <c r="K223" s="8" t="s">
        <v>3183</v>
      </c>
      <c r="L223" s="10" t="s">
        <v>3235</v>
      </c>
      <c r="M223" s="10" t="s">
        <v>3236</v>
      </c>
      <c r="N223" s="10" t="s">
        <v>3237</v>
      </c>
      <c r="O223" s="8" t="s">
        <v>322</v>
      </c>
      <c r="P223" s="8"/>
      <c r="Q223" s="8">
        <v>950</v>
      </c>
      <c r="R223" s="8">
        <v>48273</v>
      </c>
      <c r="S223" s="8" t="s">
        <v>332</v>
      </c>
      <c r="T223" s="8"/>
      <c r="U223" s="8"/>
      <c r="V223" s="8"/>
      <c r="W223" s="8"/>
      <c r="X223" s="8"/>
      <c r="Y223" s="8"/>
      <c r="Z223" s="10" t="s">
        <v>3186</v>
      </c>
      <c r="AA223" s="8" t="s">
        <v>332</v>
      </c>
      <c r="AB223" s="8">
        <v>1</v>
      </c>
    </row>
    <row r="224" spans="1:28" ht="21.6" customHeight="1">
      <c r="A224" s="8">
        <v>19</v>
      </c>
      <c r="B224" s="8">
        <v>2025032351</v>
      </c>
      <c r="C224" s="8">
        <v>1</v>
      </c>
      <c r="D224" s="8" t="s">
        <v>3177</v>
      </c>
      <c r="E224" s="8" t="s">
        <v>123</v>
      </c>
      <c r="F224" s="8" t="s">
        <v>3772</v>
      </c>
      <c r="G224" s="8" t="s">
        <v>3655</v>
      </c>
      <c r="H224" s="8" t="s">
        <v>3251</v>
      </c>
      <c r="I224" s="8" t="s">
        <v>3240</v>
      </c>
      <c r="J224" s="8" t="s">
        <v>3224</v>
      </c>
      <c r="K224" s="8" t="s">
        <v>3183</v>
      </c>
      <c r="L224" s="10" t="s">
        <v>3241</v>
      </c>
      <c r="M224" s="10" t="s">
        <v>3242</v>
      </c>
      <c r="N224" s="10"/>
      <c r="O224" s="8" t="s">
        <v>322</v>
      </c>
      <c r="P224" s="8"/>
      <c r="Q224" s="8">
        <v>307</v>
      </c>
      <c r="R224" s="8">
        <v>484</v>
      </c>
      <c r="S224" s="8" t="s">
        <v>332</v>
      </c>
      <c r="T224" s="8"/>
      <c r="U224" s="8"/>
      <c r="V224" s="8"/>
      <c r="W224" s="8"/>
      <c r="X224" s="8"/>
      <c r="Y224" s="8"/>
      <c r="Z224" s="10" t="s">
        <v>3186</v>
      </c>
      <c r="AA224" s="8" t="s">
        <v>332</v>
      </c>
      <c r="AB224" s="8">
        <v>1</v>
      </c>
    </row>
    <row r="225" spans="1:28" ht="21.6" customHeight="1">
      <c r="A225" s="8">
        <v>21</v>
      </c>
      <c r="B225" s="8">
        <v>2025032502</v>
      </c>
      <c r="C225" s="8">
        <v>1</v>
      </c>
      <c r="D225" s="8" t="s">
        <v>3177</v>
      </c>
      <c r="E225" s="8" t="s">
        <v>123</v>
      </c>
      <c r="F225" s="8" t="s">
        <v>3778</v>
      </c>
      <c r="G225" s="8" t="s">
        <v>3721</v>
      </c>
      <c r="H225" s="8" t="s">
        <v>3788</v>
      </c>
      <c r="I225" s="8" t="s">
        <v>3246</v>
      </c>
      <c r="J225" s="8" t="s">
        <v>3224</v>
      </c>
      <c r="K225" s="8" t="s">
        <v>3183</v>
      </c>
      <c r="L225" s="10" t="s">
        <v>3247</v>
      </c>
      <c r="M225" s="10" t="s">
        <v>3248</v>
      </c>
      <c r="N225" s="10" t="s">
        <v>3215</v>
      </c>
      <c r="O225" s="8" t="s">
        <v>322</v>
      </c>
      <c r="P225" s="8"/>
      <c r="Q225" s="8">
        <v>444</v>
      </c>
      <c r="R225" s="8">
        <v>1322</v>
      </c>
      <c r="S225" s="8" t="s">
        <v>332</v>
      </c>
      <c r="T225" s="8"/>
      <c r="U225" s="8"/>
      <c r="V225" s="8"/>
      <c r="W225" s="8"/>
      <c r="X225" s="8"/>
      <c r="Y225" s="8"/>
      <c r="Z225" s="10" t="s">
        <v>3186</v>
      </c>
      <c r="AA225" s="8" t="s">
        <v>332</v>
      </c>
      <c r="AB225" s="8">
        <v>1</v>
      </c>
    </row>
    <row r="226" spans="1:28" ht="21.6" customHeight="1">
      <c r="A226" s="8">
        <v>25</v>
      </c>
      <c r="B226" s="8">
        <v>2025031731</v>
      </c>
      <c r="C226" s="8">
        <v>1</v>
      </c>
      <c r="D226" s="8" t="s">
        <v>3177</v>
      </c>
      <c r="E226" s="8" t="s">
        <v>123</v>
      </c>
      <c r="F226" s="8" t="s">
        <v>3776</v>
      </c>
      <c r="G226" s="8" t="s">
        <v>3789</v>
      </c>
      <c r="H226" s="8" t="s">
        <v>3790</v>
      </c>
      <c r="I226" s="8" t="s">
        <v>3259</v>
      </c>
      <c r="J226" s="8" t="s">
        <v>3253</v>
      </c>
      <c r="K226" s="8" t="s">
        <v>3183</v>
      </c>
      <c r="L226" s="10" t="s">
        <v>3207</v>
      </c>
      <c r="M226" s="10" t="s">
        <v>3208</v>
      </c>
      <c r="N226" s="10" t="s">
        <v>3260</v>
      </c>
      <c r="O226" s="8" t="s">
        <v>3190</v>
      </c>
      <c r="P226" s="8"/>
      <c r="Q226" s="8"/>
      <c r="R226" s="8">
        <v>78098</v>
      </c>
      <c r="S226" s="8"/>
      <c r="T226" s="8"/>
      <c r="U226" s="8"/>
      <c r="V226" s="8"/>
      <c r="W226" s="8"/>
      <c r="X226" s="8"/>
      <c r="Y226" s="8"/>
      <c r="Z226" s="10" t="s">
        <v>3186</v>
      </c>
      <c r="AA226" s="8" t="s">
        <v>332</v>
      </c>
      <c r="AB226" s="8">
        <v>1</v>
      </c>
    </row>
    <row r="227" spans="1:28" ht="21.6" customHeight="1">
      <c r="A227" s="8">
        <v>29</v>
      </c>
      <c r="B227" s="8">
        <v>2025032640</v>
      </c>
      <c r="C227" s="8">
        <v>1</v>
      </c>
      <c r="D227" s="8" t="s">
        <v>3177</v>
      </c>
      <c r="E227" s="8" t="s">
        <v>123</v>
      </c>
      <c r="F227" s="8" t="s">
        <v>3791</v>
      </c>
      <c r="G227" s="8" t="s">
        <v>3792</v>
      </c>
      <c r="H227" s="8" t="s">
        <v>3793</v>
      </c>
      <c r="I227" s="8" t="s">
        <v>3263</v>
      </c>
      <c r="J227" s="8" t="s">
        <v>3253</v>
      </c>
      <c r="K227" s="8" t="s">
        <v>3183</v>
      </c>
      <c r="L227" s="10" t="s">
        <v>3264</v>
      </c>
      <c r="M227" s="10" t="s">
        <v>3265</v>
      </c>
      <c r="N227" s="10" t="s">
        <v>123</v>
      </c>
      <c r="O227" s="8" t="s">
        <v>322</v>
      </c>
      <c r="P227" s="8"/>
      <c r="Q227" s="8"/>
      <c r="R227" s="8">
        <v>45999</v>
      </c>
      <c r="S227" s="8" t="s">
        <v>332</v>
      </c>
      <c r="T227" s="8"/>
      <c r="U227" s="8"/>
      <c r="V227" s="8"/>
      <c r="W227" s="8"/>
      <c r="X227" s="8"/>
      <c r="Y227" s="8"/>
      <c r="Z227" s="10" t="s">
        <v>3186</v>
      </c>
      <c r="AA227" s="8" t="s">
        <v>332</v>
      </c>
      <c r="AB227" s="8">
        <v>1</v>
      </c>
    </row>
    <row r="228" spans="1:28" ht="21.6" customHeight="1">
      <c r="A228" s="8">
        <v>33</v>
      </c>
      <c r="B228" s="8">
        <v>2025030813</v>
      </c>
      <c r="C228" s="8">
        <v>1</v>
      </c>
      <c r="D228" s="8" t="s">
        <v>3177</v>
      </c>
      <c r="E228" s="8" t="s">
        <v>123</v>
      </c>
      <c r="F228" s="8" t="s">
        <v>3794</v>
      </c>
      <c r="G228" s="8" t="s">
        <v>3795</v>
      </c>
      <c r="H228" s="8" t="s">
        <v>3796</v>
      </c>
      <c r="I228" s="8" t="s">
        <v>3269</v>
      </c>
      <c r="J228" s="8" t="s">
        <v>3253</v>
      </c>
      <c r="K228" s="8" t="s">
        <v>3183</v>
      </c>
      <c r="L228" s="10" t="s">
        <v>3270</v>
      </c>
      <c r="M228" s="10" t="s">
        <v>3271</v>
      </c>
      <c r="N228" s="10" t="s">
        <v>3272</v>
      </c>
      <c r="O228" s="8" t="s">
        <v>322</v>
      </c>
      <c r="P228" s="8"/>
      <c r="Q228" s="8"/>
      <c r="R228" s="8">
        <v>20527</v>
      </c>
      <c r="S228" s="8" t="s">
        <v>332</v>
      </c>
      <c r="T228" s="8"/>
      <c r="U228" s="8"/>
      <c r="V228" s="8"/>
      <c r="W228" s="8"/>
      <c r="X228" s="8"/>
      <c r="Y228" s="8"/>
      <c r="Z228" s="10" t="s">
        <v>3186</v>
      </c>
      <c r="AA228" s="8" t="s">
        <v>332</v>
      </c>
      <c r="AB228" s="8">
        <v>1</v>
      </c>
    </row>
    <row r="229" spans="1:28" ht="21.6" customHeight="1">
      <c r="A229" s="8">
        <v>37</v>
      </c>
      <c r="B229" s="8">
        <v>2025030856</v>
      </c>
      <c r="C229" s="8">
        <v>1</v>
      </c>
      <c r="D229" s="8" t="s">
        <v>3177</v>
      </c>
      <c r="E229" s="8" t="s">
        <v>123</v>
      </c>
      <c r="F229" s="8" t="s">
        <v>3794</v>
      </c>
      <c r="G229" s="8" t="s">
        <v>3258</v>
      </c>
      <c r="H229" s="8" t="s">
        <v>3386</v>
      </c>
      <c r="I229" s="8" t="s">
        <v>3276</v>
      </c>
      <c r="J229" s="8" t="s">
        <v>3277</v>
      </c>
      <c r="K229" s="8" t="s">
        <v>3183</v>
      </c>
      <c r="L229" s="10" t="s">
        <v>3278</v>
      </c>
      <c r="M229" s="10" t="s">
        <v>3279</v>
      </c>
      <c r="N229" s="10" t="s">
        <v>123</v>
      </c>
      <c r="O229" s="8" t="s">
        <v>3190</v>
      </c>
      <c r="P229" s="8"/>
      <c r="Q229" s="8"/>
      <c r="R229" s="8">
        <v>51988</v>
      </c>
      <c r="S229" s="8"/>
      <c r="T229" s="8"/>
      <c r="U229" s="8"/>
      <c r="V229" s="8"/>
      <c r="W229" s="8"/>
      <c r="X229" s="8"/>
      <c r="Y229" s="8"/>
      <c r="Z229" s="10" t="s">
        <v>3186</v>
      </c>
      <c r="AA229" s="8" t="s">
        <v>332</v>
      </c>
      <c r="AB229" s="8">
        <v>1</v>
      </c>
    </row>
    <row r="230" spans="1:28" ht="21.6" customHeight="1">
      <c r="A230" s="8">
        <v>38</v>
      </c>
      <c r="B230" s="8">
        <v>2025030812</v>
      </c>
      <c r="C230" s="8">
        <v>1</v>
      </c>
      <c r="D230" s="8" t="s">
        <v>3177</v>
      </c>
      <c r="E230" s="8" t="s">
        <v>123</v>
      </c>
      <c r="F230" s="8" t="s">
        <v>3794</v>
      </c>
      <c r="G230" s="8" t="s">
        <v>3797</v>
      </c>
      <c r="H230" s="8" t="s">
        <v>3798</v>
      </c>
      <c r="I230" s="8" t="s">
        <v>3282</v>
      </c>
      <c r="J230" s="8" t="s">
        <v>3277</v>
      </c>
      <c r="K230" s="8" t="s">
        <v>3183</v>
      </c>
      <c r="L230" s="10" t="s">
        <v>3283</v>
      </c>
      <c r="M230" s="10" t="s">
        <v>3284</v>
      </c>
      <c r="N230" s="10"/>
      <c r="O230" s="8" t="s">
        <v>3190</v>
      </c>
      <c r="P230" s="8"/>
      <c r="Q230" s="8"/>
      <c r="R230" s="8">
        <v>21400</v>
      </c>
      <c r="S230" s="8"/>
      <c r="T230" s="8"/>
      <c r="U230" s="8"/>
      <c r="V230" s="8"/>
      <c r="W230" s="8"/>
      <c r="X230" s="8"/>
      <c r="Y230" s="8"/>
      <c r="Z230" s="10" t="s">
        <v>3190</v>
      </c>
      <c r="AA230" s="8" t="s">
        <v>332</v>
      </c>
      <c r="AB230" s="8">
        <v>1</v>
      </c>
    </row>
    <row r="231" spans="1:28" ht="21.6" customHeight="1">
      <c r="A231" s="8">
        <v>39</v>
      </c>
      <c r="B231" s="8">
        <v>2025032378</v>
      </c>
      <c r="C231" s="8">
        <v>1</v>
      </c>
      <c r="D231" s="8" t="s">
        <v>3177</v>
      </c>
      <c r="E231" s="8" t="s">
        <v>123</v>
      </c>
      <c r="F231" s="8" t="s">
        <v>3772</v>
      </c>
      <c r="G231" s="8" t="s">
        <v>3560</v>
      </c>
      <c r="H231" s="8" t="s">
        <v>3799</v>
      </c>
      <c r="I231" s="8" t="s">
        <v>3287</v>
      </c>
      <c r="J231" s="8" t="s">
        <v>3288</v>
      </c>
      <c r="K231" s="8" t="s">
        <v>3183</v>
      </c>
      <c r="L231" s="10" t="s">
        <v>3289</v>
      </c>
      <c r="M231" s="10" t="s">
        <v>3290</v>
      </c>
      <c r="N231" s="10" t="s">
        <v>123</v>
      </c>
      <c r="O231" s="8" t="s">
        <v>322</v>
      </c>
      <c r="P231" s="8"/>
      <c r="Q231" s="8">
        <v>11171</v>
      </c>
      <c r="R231" s="8">
        <v>147964</v>
      </c>
      <c r="S231" s="8" t="s">
        <v>332</v>
      </c>
      <c r="T231" s="8"/>
      <c r="U231" s="8"/>
      <c r="V231" s="8"/>
      <c r="W231" s="8"/>
      <c r="X231" s="8"/>
      <c r="Y231" s="8"/>
      <c r="Z231" s="10" t="s">
        <v>3186</v>
      </c>
      <c r="AA231" s="8" t="s">
        <v>332</v>
      </c>
      <c r="AB231" s="8">
        <v>1</v>
      </c>
    </row>
    <row r="232" spans="1:28" ht="21.6" customHeight="1">
      <c r="A232" s="8">
        <v>41</v>
      </c>
      <c r="B232" s="8">
        <v>2025030821</v>
      </c>
      <c r="C232" s="8">
        <v>1</v>
      </c>
      <c r="D232" s="8" t="s">
        <v>3177</v>
      </c>
      <c r="E232" s="8" t="s">
        <v>123</v>
      </c>
      <c r="F232" s="8" t="s">
        <v>3794</v>
      </c>
      <c r="G232" s="8" t="s">
        <v>3800</v>
      </c>
      <c r="H232" s="8" t="s">
        <v>3736</v>
      </c>
      <c r="I232" s="8" t="s">
        <v>3293</v>
      </c>
      <c r="J232" s="8" t="s">
        <v>3288</v>
      </c>
      <c r="K232" s="8" t="s">
        <v>3183</v>
      </c>
      <c r="L232" s="10" t="s">
        <v>3294</v>
      </c>
      <c r="M232" s="10" t="s">
        <v>3295</v>
      </c>
      <c r="N232" s="10" t="s">
        <v>3272</v>
      </c>
      <c r="O232" s="8" t="s">
        <v>322</v>
      </c>
      <c r="P232" s="8"/>
      <c r="Q232" s="8">
        <v>1652</v>
      </c>
      <c r="R232" s="8">
        <v>243616</v>
      </c>
      <c r="S232" s="8" t="s">
        <v>332</v>
      </c>
      <c r="T232" s="8"/>
      <c r="U232" s="8"/>
      <c r="V232" s="8"/>
      <c r="W232" s="8"/>
      <c r="X232" s="8"/>
      <c r="Y232" s="8"/>
      <c r="Z232" s="10" t="s">
        <v>3186</v>
      </c>
      <c r="AA232" s="8" t="s">
        <v>332</v>
      </c>
      <c r="AB232" s="8">
        <v>1</v>
      </c>
    </row>
    <row r="233" spans="1:28" ht="21.6" customHeight="1">
      <c r="A233" s="8">
        <v>43</v>
      </c>
      <c r="B233" s="8">
        <v>2025031734</v>
      </c>
      <c r="C233" s="8">
        <v>1</v>
      </c>
      <c r="D233" s="8" t="s">
        <v>3177</v>
      </c>
      <c r="E233" s="8" t="s">
        <v>123</v>
      </c>
      <c r="F233" s="8" t="s">
        <v>3776</v>
      </c>
      <c r="G233" s="8" t="s">
        <v>3427</v>
      </c>
      <c r="H233" s="8" t="s">
        <v>3777</v>
      </c>
      <c r="I233" s="8" t="s">
        <v>3297</v>
      </c>
      <c r="J233" s="8" t="s">
        <v>3298</v>
      </c>
      <c r="K233" s="8" t="s">
        <v>3183</v>
      </c>
      <c r="L233" s="10" t="s">
        <v>3207</v>
      </c>
      <c r="M233" s="10" t="s">
        <v>3208</v>
      </c>
      <c r="N233" s="10" t="s">
        <v>3299</v>
      </c>
      <c r="O233" s="8" t="s">
        <v>322</v>
      </c>
      <c r="P233" s="8"/>
      <c r="Q233" s="8"/>
      <c r="R233" s="8">
        <v>106523</v>
      </c>
      <c r="S233" s="8" t="s">
        <v>332</v>
      </c>
      <c r="T233" s="8"/>
      <c r="U233" s="8"/>
      <c r="V233" s="8"/>
      <c r="W233" s="8"/>
      <c r="X233" s="8"/>
      <c r="Y233" s="8"/>
      <c r="Z233" s="10" t="s">
        <v>3186</v>
      </c>
      <c r="AA233" s="8" t="s">
        <v>332</v>
      </c>
      <c r="AB233" s="8">
        <v>1</v>
      </c>
    </row>
    <row r="234" spans="1:28" ht="21.6" customHeight="1">
      <c r="A234" s="8">
        <v>45</v>
      </c>
      <c r="B234" s="8">
        <v>2025032746</v>
      </c>
      <c r="C234" s="8">
        <v>1</v>
      </c>
      <c r="D234" s="8" t="s">
        <v>3177</v>
      </c>
      <c r="E234" s="8" t="s">
        <v>123</v>
      </c>
      <c r="F234" s="8" t="s">
        <v>3791</v>
      </c>
      <c r="G234" s="8" t="s">
        <v>3801</v>
      </c>
      <c r="H234" s="8" t="s">
        <v>3802</v>
      </c>
      <c r="I234" s="8" t="s">
        <v>3300</v>
      </c>
      <c r="J234" s="8" t="s">
        <v>3301</v>
      </c>
      <c r="K234" s="8" t="s">
        <v>3183</v>
      </c>
      <c r="L234" s="10" t="s">
        <v>3302</v>
      </c>
      <c r="M234" s="10" t="s">
        <v>3303</v>
      </c>
      <c r="N234" s="10" t="s">
        <v>3304</v>
      </c>
      <c r="O234" s="8" t="s">
        <v>322</v>
      </c>
      <c r="P234" s="8"/>
      <c r="Q234" s="8">
        <v>30407</v>
      </c>
      <c r="R234" s="8">
        <v>26071</v>
      </c>
      <c r="S234" s="8" t="s">
        <v>332</v>
      </c>
      <c r="T234" s="8"/>
      <c r="U234" s="8"/>
      <c r="V234" s="8"/>
      <c r="W234" s="8"/>
      <c r="X234" s="8"/>
      <c r="Y234" s="8"/>
      <c r="Z234" s="10" t="s">
        <v>3186</v>
      </c>
      <c r="AA234" s="8" t="s">
        <v>332</v>
      </c>
      <c r="AB234" s="8">
        <v>1</v>
      </c>
    </row>
    <row r="235" spans="1:28" ht="21.6" customHeight="1">
      <c r="A235" s="8">
        <v>47</v>
      </c>
      <c r="B235" s="8">
        <v>2025032493</v>
      </c>
      <c r="C235" s="8">
        <v>1</v>
      </c>
      <c r="D235" s="8" t="s">
        <v>3177</v>
      </c>
      <c r="E235" s="8" t="s">
        <v>123</v>
      </c>
      <c r="F235" s="8" t="s">
        <v>3778</v>
      </c>
      <c r="G235" s="8" t="s">
        <v>3736</v>
      </c>
      <c r="H235" s="8" t="s">
        <v>3803</v>
      </c>
      <c r="I235" s="8" t="s">
        <v>3307</v>
      </c>
      <c r="J235" s="8" t="s">
        <v>3301</v>
      </c>
      <c r="K235" s="8" t="s">
        <v>3183</v>
      </c>
      <c r="L235" s="10" t="s">
        <v>3308</v>
      </c>
      <c r="M235" s="10" t="s">
        <v>3309</v>
      </c>
      <c r="N235" s="10" t="s">
        <v>3310</v>
      </c>
      <c r="O235" s="8" t="s">
        <v>322</v>
      </c>
      <c r="P235" s="8"/>
      <c r="Q235" s="8">
        <v>4539</v>
      </c>
      <c r="R235" s="8">
        <v>35915</v>
      </c>
      <c r="S235" s="8" t="s">
        <v>332</v>
      </c>
      <c r="T235" s="8"/>
      <c r="U235" s="8"/>
      <c r="V235" s="8"/>
      <c r="W235" s="8"/>
      <c r="X235" s="8"/>
      <c r="Y235" s="8"/>
      <c r="Z235" s="10" t="s">
        <v>3186</v>
      </c>
      <c r="AA235" s="8" t="s">
        <v>332</v>
      </c>
      <c r="AB235" s="8">
        <v>1</v>
      </c>
    </row>
    <row r="236" spans="1:28" ht="21.6" customHeight="1">
      <c r="A236" s="8">
        <v>49</v>
      </c>
      <c r="B236" s="8">
        <v>2025032363</v>
      </c>
      <c r="C236" s="8">
        <v>1</v>
      </c>
      <c r="D236" s="8" t="s">
        <v>3177</v>
      </c>
      <c r="E236" s="8" t="s">
        <v>123</v>
      </c>
      <c r="F236" s="8" t="s">
        <v>3772</v>
      </c>
      <c r="G236" s="8" t="s">
        <v>3620</v>
      </c>
      <c r="H236" s="8" t="s">
        <v>3632</v>
      </c>
      <c r="I236" s="8" t="s">
        <v>3313</v>
      </c>
      <c r="J236" s="8" t="s">
        <v>3301</v>
      </c>
      <c r="K236" s="8" t="s">
        <v>3183</v>
      </c>
      <c r="L236" s="10" t="s">
        <v>3314</v>
      </c>
      <c r="M236" s="10" t="s">
        <v>3315</v>
      </c>
      <c r="N236" s="10" t="s">
        <v>123</v>
      </c>
      <c r="O236" s="8" t="s">
        <v>322</v>
      </c>
      <c r="P236" s="8"/>
      <c r="Q236" s="8">
        <v>13916</v>
      </c>
      <c r="R236" s="8">
        <v>20241</v>
      </c>
      <c r="S236" s="8" t="s">
        <v>332</v>
      </c>
      <c r="T236" s="8"/>
      <c r="U236" s="8"/>
      <c r="V236" s="8"/>
      <c r="W236" s="8"/>
      <c r="X236" s="8"/>
      <c r="Y236" s="8"/>
      <c r="Z236" s="10" t="s">
        <v>3186</v>
      </c>
      <c r="AA236" s="8" t="s">
        <v>332</v>
      </c>
      <c r="AB236" s="8">
        <v>1</v>
      </c>
    </row>
    <row r="237" spans="1:28" ht="21.6" customHeight="1">
      <c r="A237" s="8">
        <v>51</v>
      </c>
      <c r="B237" s="8">
        <v>2025033039</v>
      </c>
      <c r="C237" s="8">
        <v>1</v>
      </c>
      <c r="D237" s="8" t="s">
        <v>3177</v>
      </c>
      <c r="E237" s="8" t="s">
        <v>123</v>
      </c>
      <c r="F237" s="8" t="s">
        <v>3804</v>
      </c>
      <c r="G237" s="8" t="s">
        <v>3805</v>
      </c>
      <c r="H237" s="8" t="s">
        <v>3594</v>
      </c>
      <c r="I237" s="8" t="s">
        <v>3327</v>
      </c>
      <c r="J237" s="8" t="s">
        <v>3328</v>
      </c>
      <c r="K237" s="8" t="s">
        <v>3183</v>
      </c>
      <c r="L237" s="10" t="s">
        <v>3320</v>
      </c>
      <c r="M237" s="10" t="s">
        <v>3321</v>
      </c>
      <c r="N237" s="10" t="s">
        <v>3322</v>
      </c>
      <c r="O237" s="8" t="s">
        <v>322</v>
      </c>
      <c r="P237" s="8"/>
      <c r="Q237" s="8">
        <v>168</v>
      </c>
      <c r="R237" s="8">
        <v>6195</v>
      </c>
      <c r="S237" s="8" t="s">
        <v>332</v>
      </c>
      <c r="T237" s="8"/>
      <c r="U237" s="8"/>
      <c r="V237" s="8"/>
      <c r="W237" s="8"/>
      <c r="X237" s="8"/>
      <c r="Y237" s="8"/>
      <c r="Z237" s="10" t="s">
        <v>3186</v>
      </c>
      <c r="AA237" s="8" t="s">
        <v>332</v>
      </c>
      <c r="AB237" s="8">
        <v>1</v>
      </c>
    </row>
    <row r="238" spans="1:28" ht="21.6" customHeight="1">
      <c r="A238" s="8">
        <v>53</v>
      </c>
      <c r="B238" s="8">
        <v>2025032657</v>
      </c>
      <c r="C238" s="8">
        <v>1</v>
      </c>
      <c r="D238" s="8" t="s">
        <v>3177</v>
      </c>
      <c r="E238" s="8" t="s">
        <v>123</v>
      </c>
      <c r="F238" s="8" t="s">
        <v>3791</v>
      </c>
      <c r="G238" s="8" t="s">
        <v>3251</v>
      </c>
      <c r="H238" s="8" t="s">
        <v>3806</v>
      </c>
      <c r="I238" s="8" t="s">
        <v>3807</v>
      </c>
      <c r="J238" s="8" t="s">
        <v>3808</v>
      </c>
      <c r="K238" s="8" t="s">
        <v>3183</v>
      </c>
      <c r="L238" s="10" t="s">
        <v>3333</v>
      </c>
      <c r="M238" s="10" t="s">
        <v>3334</v>
      </c>
      <c r="N238" s="10"/>
      <c r="O238" s="8" t="s">
        <v>322</v>
      </c>
      <c r="P238" s="8"/>
      <c r="Q238" s="8"/>
      <c r="R238" s="8">
        <v>4424</v>
      </c>
      <c r="S238" s="8" t="s">
        <v>332</v>
      </c>
      <c r="T238" s="8"/>
      <c r="U238" s="8"/>
      <c r="V238" s="8"/>
      <c r="W238" s="8"/>
      <c r="X238" s="8"/>
      <c r="Y238" s="8"/>
      <c r="Z238" s="10" t="s">
        <v>3186</v>
      </c>
      <c r="AA238" s="8" t="s">
        <v>332</v>
      </c>
      <c r="AB238" s="8">
        <v>1</v>
      </c>
    </row>
    <row r="239" spans="1:28" ht="21.6" customHeight="1">
      <c r="A239" s="8">
        <v>55</v>
      </c>
      <c r="B239" s="8">
        <v>2025033035</v>
      </c>
      <c r="C239" s="8">
        <v>1</v>
      </c>
      <c r="D239" s="8" t="s">
        <v>3177</v>
      </c>
      <c r="E239" s="8" t="s">
        <v>123</v>
      </c>
      <c r="F239" s="8" t="s">
        <v>3804</v>
      </c>
      <c r="G239" s="8" t="s">
        <v>3809</v>
      </c>
      <c r="H239" s="8" t="s">
        <v>3810</v>
      </c>
      <c r="I239" s="8" t="s">
        <v>3335</v>
      </c>
      <c r="J239" s="8" t="s">
        <v>3336</v>
      </c>
      <c r="K239" s="8" t="s">
        <v>3183</v>
      </c>
      <c r="L239" s="10" t="s">
        <v>3320</v>
      </c>
      <c r="M239" s="10" t="s">
        <v>3321</v>
      </c>
      <c r="N239" s="10" t="s">
        <v>3337</v>
      </c>
      <c r="O239" s="8" t="s">
        <v>322</v>
      </c>
      <c r="P239" s="8"/>
      <c r="Q239" s="8"/>
      <c r="R239" s="8">
        <v>95268</v>
      </c>
      <c r="S239" s="8" t="s">
        <v>332</v>
      </c>
      <c r="T239" s="8"/>
      <c r="U239" s="8"/>
      <c r="V239" s="8"/>
      <c r="W239" s="8"/>
      <c r="X239" s="8"/>
      <c r="Y239" s="8"/>
      <c r="Z239" s="10" t="s">
        <v>3811</v>
      </c>
      <c r="AA239" s="8" t="s">
        <v>332</v>
      </c>
      <c r="AB239" s="8">
        <v>1</v>
      </c>
    </row>
    <row r="240" spans="1:28" ht="21.6" customHeight="1">
      <c r="A240" s="8">
        <v>57</v>
      </c>
      <c r="B240" s="8">
        <v>2025033037</v>
      </c>
      <c r="C240" s="8">
        <v>1</v>
      </c>
      <c r="D240" s="8" t="s">
        <v>3177</v>
      </c>
      <c r="E240" s="8" t="s">
        <v>123</v>
      </c>
      <c r="F240" s="8" t="s">
        <v>3804</v>
      </c>
      <c r="G240" s="8" t="s">
        <v>3812</v>
      </c>
      <c r="H240" s="8" t="s">
        <v>3601</v>
      </c>
      <c r="I240" s="8" t="s">
        <v>3340</v>
      </c>
      <c r="J240" s="8" t="s">
        <v>3336</v>
      </c>
      <c r="K240" s="8" t="s">
        <v>3183</v>
      </c>
      <c r="L240" s="10" t="s">
        <v>3320</v>
      </c>
      <c r="M240" s="10" t="s">
        <v>3321</v>
      </c>
      <c r="N240" s="10" t="s">
        <v>3341</v>
      </c>
      <c r="O240" s="8" t="s">
        <v>322</v>
      </c>
      <c r="P240" s="8"/>
      <c r="Q240" s="8"/>
      <c r="R240" s="8">
        <v>46759</v>
      </c>
      <c r="S240" s="8" t="s">
        <v>332</v>
      </c>
      <c r="T240" s="8"/>
      <c r="U240" s="8"/>
      <c r="V240" s="8"/>
      <c r="W240" s="8"/>
      <c r="X240" s="8"/>
      <c r="Y240" s="8"/>
      <c r="Z240" s="10" t="s">
        <v>3186</v>
      </c>
      <c r="AA240" s="8" t="s">
        <v>332</v>
      </c>
      <c r="AB240" s="8">
        <v>1</v>
      </c>
    </row>
    <row r="241" spans="1:28" ht="21.6" customHeight="1">
      <c r="A241" s="8">
        <v>125</v>
      </c>
      <c r="B241" s="8">
        <v>2025031275</v>
      </c>
      <c r="C241" s="8">
        <v>1</v>
      </c>
      <c r="D241" s="8" t="s">
        <v>3177</v>
      </c>
      <c r="E241" s="8" t="s">
        <v>118</v>
      </c>
      <c r="F241" s="8" t="s">
        <v>3813</v>
      </c>
      <c r="G241" s="8" t="s">
        <v>3368</v>
      </c>
      <c r="H241" s="8" t="s">
        <v>3250</v>
      </c>
      <c r="I241" s="8" t="s">
        <v>3351</v>
      </c>
      <c r="J241" s="8" t="s">
        <v>3195</v>
      </c>
      <c r="K241" s="8" t="s">
        <v>3183</v>
      </c>
      <c r="L241" s="10" t="s">
        <v>3352</v>
      </c>
      <c r="M241" s="10" t="s">
        <v>3353</v>
      </c>
      <c r="N241" s="10" t="s">
        <v>3667</v>
      </c>
      <c r="O241" s="8" t="s">
        <v>322</v>
      </c>
      <c r="P241" s="8"/>
      <c r="Q241" s="8">
        <v>8264</v>
      </c>
      <c r="R241" s="8">
        <v>58127</v>
      </c>
      <c r="S241" s="8" t="s">
        <v>332</v>
      </c>
      <c r="T241" s="8"/>
      <c r="U241" s="8"/>
      <c r="V241" s="8"/>
      <c r="W241" s="8"/>
      <c r="X241" s="8"/>
      <c r="Y241" s="8"/>
      <c r="Z241" s="10" t="s">
        <v>3696</v>
      </c>
      <c r="AA241" s="8" t="s">
        <v>332</v>
      </c>
      <c r="AB241" s="8">
        <v>1</v>
      </c>
    </row>
    <row r="242" spans="1:28" ht="21.6" customHeight="1">
      <c r="A242" s="8">
        <v>129</v>
      </c>
      <c r="B242" s="8">
        <v>2025032919</v>
      </c>
      <c r="C242" s="8">
        <v>1</v>
      </c>
      <c r="D242" s="8" t="s">
        <v>3177</v>
      </c>
      <c r="E242" s="8" t="s">
        <v>118</v>
      </c>
      <c r="F242" s="8" t="s">
        <v>3814</v>
      </c>
      <c r="G242" s="8" t="s">
        <v>3387</v>
      </c>
      <c r="H242" s="8" t="s">
        <v>3815</v>
      </c>
      <c r="I242" s="8" t="s">
        <v>3358</v>
      </c>
      <c r="J242" s="8" t="s">
        <v>3195</v>
      </c>
      <c r="K242" s="8" t="s">
        <v>3183</v>
      </c>
      <c r="L242" s="10" t="s">
        <v>3359</v>
      </c>
      <c r="M242" s="10" t="s">
        <v>3360</v>
      </c>
      <c r="N242" s="10" t="s">
        <v>3361</v>
      </c>
      <c r="O242" s="8" t="s">
        <v>322</v>
      </c>
      <c r="P242" s="8"/>
      <c r="Q242" s="8">
        <v>16648</v>
      </c>
      <c r="R242" s="8">
        <v>78313</v>
      </c>
      <c r="S242" s="8"/>
      <c r="T242" s="8"/>
      <c r="U242" s="8"/>
      <c r="V242" s="8"/>
      <c r="W242" s="8"/>
      <c r="X242" s="8"/>
      <c r="Y242" s="8" t="s">
        <v>332</v>
      </c>
      <c r="Z242" s="10" t="s">
        <v>3491</v>
      </c>
      <c r="AA242" s="8" t="s">
        <v>332</v>
      </c>
      <c r="AB242" s="8">
        <v>1</v>
      </c>
    </row>
    <row r="243" spans="1:28" ht="21.6" customHeight="1">
      <c r="A243" s="8">
        <v>130</v>
      </c>
      <c r="B243" s="8">
        <v>2025031294</v>
      </c>
      <c r="C243" s="8">
        <v>1</v>
      </c>
      <c r="D243" s="8" t="s">
        <v>3177</v>
      </c>
      <c r="E243" s="8" t="s">
        <v>118</v>
      </c>
      <c r="F243" s="8" t="s">
        <v>3813</v>
      </c>
      <c r="G243" s="8" t="s">
        <v>3387</v>
      </c>
      <c r="H243" s="8" t="s">
        <v>3426</v>
      </c>
      <c r="I243" s="8" t="s">
        <v>3365</v>
      </c>
      <c r="J243" s="8" t="s">
        <v>3195</v>
      </c>
      <c r="K243" s="8" t="s">
        <v>3183</v>
      </c>
      <c r="L243" s="10" t="s">
        <v>3366</v>
      </c>
      <c r="M243" s="10" t="s">
        <v>3367</v>
      </c>
      <c r="N243" s="10"/>
      <c r="O243" s="8" t="s">
        <v>322</v>
      </c>
      <c r="P243" s="8"/>
      <c r="Q243" s="8">
        <v>1800</v>
      </c>
      <c r="R243" s="8">
        <v>36000</v>
      </c>
      <c r="S243" s="8" t="s">
        <v>332</v>
      </c>
      <c r="T243" s="8"/>
      <c r="U243" s="8"/>
      <c r="V243" s="8"/>
      <c r="W243" s="8"/>
      <c r="X243" s="8"/>
      <c r="Y243" s="8"/>
      <c r="Z243" s="10" t="s">
        <v>3696</v>
      </c>
      <c r="AA243" s="8" t="s">
        <v>332</v>
      </c>
      <c r="AB243" s="8">
        <v>1</v>
      </c>
    </row>
    <row r="244" spans="1:28" ht="21.6" customHeight="1">
      <c r="A244" s="8">
        <v>132</v>
      </c>
      <c r="B244" s="8">
        <v>2025031700</v>
      </c>
      <c r="C244" s="8">
        <v>1</v>
      </c>
      <c r="D244" s="8" t="s">
        <v>3177</v>
      </c>
      <c r="E244" s="8" t="s">
        <v>118</v>
      </c>
      <c r="F244" s="8" t="s">
        <v>3776</v>
      </c>
      <c r="G244" s="8" t="s">
        <v>3233</v>
      </c>
      <c r="H244" s="8" t="s">
        <v>3381</v>
      </c>
      <c r="I244" s="8" t="s">
        <v>3365</v>
      </c>
      <c r="J244" s="8" t="s">
        <v>3195</v>
      </c>
      <c r="K244" s="8" t="s">
        <v>3183</v>
      </c>
      <c r="L244" s="10" t="s">
        <v>3366</v>
      </c>
      <c r="M244" s="10" t="s">
        <v>3367</v>
      </c>
      <c r="N244" s="10"/>
      <c r="O244" s="8" t="s">
        <v>322</v>
      </c>
      <c r="P244" s="8"/>
      <c r="Q244" s="8">
        <v>1800</v>
      </c>
      <c r="R244" s="8">
        <v>36000</v>
      </c>
      <c r="S244" s="8"/>
      <c r="T244" s="8"/>
      <c r="U244" s="8"/>
      <c r="V244" s="8"/>
      <c r="W244" s="8" t="s">
        <v>332</v>
      </c>
      <c r="X244" s="8"/>
      <c r="Y244" s="8"/>
      <c r="Z244" s="10" t="s">
        <v>3816</v>
      </c>
      <c r="AA244" s="8" t="s">
        <v>332</v>
      </c>
      <c r="AB244" s="8">
        <v>1</v>
      </c>
    </row>
    <row r="245" spans="1:28" ht="21.6" customHeight="1">
      <c r="A245" s="8">
        <v>133</v>
      </c>
      <c r="B245" s="8">
        <v>2025031935</v>
      </c>
      <c r="C245" s="8">
        <v>1</v>
      </c>
      <c r="D245" s="8" t="s">
        <v>3177</v>
      </c>
      <c r="E245" s="8" t="s">
        <v>118</v>
      </c>
      <c r="F245" s="8" t="s">
        <v>3817</v>
      </c>
      <c r="G245" s="8" t="s">
        <v>3233</v>
      </c>
      <c r="H245" s="8" t="s">
        <v>3381</v>
      </c>
      <c r="I245" s="8" t="s">
        <v>3370</v>
      </c>
      <c r="J245" s="8" t="s">
        <v>3195</v>
      </c>
      <c r="K245" s="8" t="s">
        <v>3183</v>
      </c>
      <c r="L245" s="10" t="s">
        <v>3371</v>
      </c>
      <c r="M245" s="10" t="s">
        <v>3372</v>
      </c>
      <c r="N245" s="10" t="s">
        <v>3373</v>
      </c>
      <c r="O245" s="8" t="s">
        <v>3190</v>
      </c>
      <c r="P245" s="8"/>
      <c r="Q245" s="8">
        <v>13731</v>
      </c>
      <c r="R245" s="8">
        <v>121586</v>
      </c>
      <c r="S245" s="8"/>
      <c r="T245" s="8"/>
      <c r="U245" s="8"/>
      <c r="V245" s="8"/>
      <c r="W245" s="8"/>
      <c r="X245" s="8"/>
      <c r="Y245" s="8"/>
      <c r="Z245" s="10" t="s">
        <v>3696</v>
      </c>
      <c r="AA245" s="8" t="s">
        <v>332</v>
      </c>
      <c r="AB245" s="8">
        <v>1</v>
      </c>
    </row>
    <row r="246" spans="1:28" ht="21.6" customHeight="1">
      <c r="A246" s="8">
        <v>137</v>
      </c>
      <c r="B246" s="8">
        <v>2025032541</v>
      </c>
      <c r="C246" s="8">
        <v>1</v>
      </c>
      <c r="D246" s="8" t="s">
        <v>3177</v>
      </c>
      <c r="E246" s="8" t="s">
        <v>118</v>
      </c>
      <c r="F246" s="8" t="s">
        <v>3778</v>
      </c>
      <c r="G246" s="8" t="s">
        <v>3368</v>
      </c>
      <c r="H246" s="8" t="s">
        <v>3818</v>
      </c>
      <c r="I246" s="8" t="s">
        <v>3376</v>
      </c>
      <c r="J246" s="8" t="s">
        <v>3195</v>
      </c>
      <c r="K246" s="8" t="s">
        <v>3183</v>
      </c>
      <c r="L246" s="10" t="s">
        <v>3377</v>
      </c>
      <c r="M246" s="10" t="s">
        <v>3378</v>
      </c>
      <c r="N246" s="10" t="s">
        <v>3379</v>
      </c>
      <c r="O246" s="8" t="s">
        <v>363</v>
      </c>
      <c r="P246" s="8"/>
      <c r="Q246" s="8">
        <v>25028</v>
      </c>
      <c r="R246" s="8">
        <v>70832</v>
      </c>
      <c r="S246" s="8"/>
      <c r="T246" s="8"/>
      <c r="U246" s="8"/>
      <c r="V246" s="8"/>
      <c r="W246" s="8"/>
      <c r="X246" s="8"/>
      <c r="Y246" s="8"/>
      <c r="Z246" s="10" t="s">
        <v>3819</v>
      </c>
      <c r="AA246" s="8" t="s">
        <v>332</v>
      </c>
      <c r="AB246" s="8">
        <v>1</v>
      </c>
    </row>
    <row r="247" spans="1:28" ht="21.6" customHeight="1">
      <c r="A247" s="8">
        <v>138</v>
      </c>
      <c r="B247" s="8">
        <v>2025032713</v>
      </c>
      <c r="C247" s="8">
        <v>1</v>
      </c>
      <c r="D247" s="8" t="s">
        <v>3177</v>
      </c>
      <c r="E247" s="8" t="s">
        <v>118</v>
      </c>
      <c r="F247" s="8" t="s">
        <v>3820</v>
      </c>
      <c r="G247" s="8" t="s">
        <v>3280</v>
      </c>
      <c r="H247" s="8" t="s">
        <v>3363</v>
      </c>
      <c r="I247" s="8" t="s">
        <v>3376</v>
      </c>
      <c r="J247" s="8" t="s">
        <v>3195</v>
      </c>
      <c r="K247" s="8" t="s">
        <v>3183</v>
      </c>
      <c r="L247" s="10" t="s">
        <v>3377</v>
      </c>
      <c r="M247" s="10" t="s">
        <v>3378</v>
      </c>
      <c r="N247" s="10" t="s">
        <v>3379</v>
      </c>
      <c r="O247" s="8" t="s">
        <v>3190</v>
      </c>
      <c r="P247" s="8"/>
      <c r="Q247" s="8">
        <v>26304</v>
      </c>
      <c r="R247" s="8">
        <v>73232</v>
      </c>
      <c r="S247" s="8"/>
      <c r="T247" s="8"/>
      <c r="U247" s="8"/>
      <c r="V247" s="8"/>
      <c r="W247" s="8"/>
      <c r="X247" s="8"/>
      <c r="Y247" s="8"/>
      <c r="Z247" s="10" t="s">
        <v>3821</v>
      </c>
      <c r="AA247" s="8" t="s">
        <v>332</v>
      </c>
      <c r="AB247" s="8">
        <v>1</v>
      </c>
    </row>
    <row r="248" spans="1:28" ht="21.6" customHeight="1">
      <c r="A248" s="8">
        <v>140</v>
      </c>
      <c r="B248" s="8">
        <v>2025032821</v>
      </c>
      <c r="C248" s="8">
        <v>1</v>
      </c>
      <c r="D248" s="8" t="s">
        <v>3177</v>
      </c>
      <c r="E248" s="8" t="s">
        <v>118</v>
      </c>
      <c r="F248" s="8" t="s">
        <v>3820</v>
      </c>
      <c r="G248" s="8" t="s">
        <v>3387</v>
      </c>
      <c r="H248" s="8" t="s">
        <v>3822</v>
      </c>
      <c r="I248" s="8" t="s">
        <v>3376</v>
      </c>
      <c r="J248" s="8" t="s">
        <v>3195</v>
      </c>
      <c r="K248" s="8" t="s">
        <v>3183</v>
      </c>
      <c r="L248" s="10" t="s">
        <v>3377</v>
      </c>
      <c r="M248" s="10" t="s">
        <v>3378</v>
      </c>
      <c r="N248" s="10" t="s">
        <v>3379</v>
      </c>
      <c r="O248" s="8" t="s">
        <v>322</v>
      </c>
      <c r="P248" s="8"/>
      <c r="Q248" s="8">
        <v>26304</v>
      </c>
      <c r="R248" s="8">
        <v>73232</v>
      </c>
      <c r="S248" s="8"/>
      <c r="T248" s="8"/>
      <c r="U248" s="8"/>
      <c r="V248" s="8"/>
      <c r="W248" s="8"/>
      <c r="X248" s="8"/>
      <c r="Y248" s="8" t="s">
        <v>332</v>
      </c>
      <c r="Z248" s="10" t="s">
        <v>3823</v>
      </c>
      <c r="AA248" s="8" t="s">
        <v>332</v>
      </c>
      <c r="AB248" s="8">
        <v>1</v>
      </c>
    </row>
    <row r="249" spans="1:28" ht="21.6" customHeight="1">
      <c r="A249" s="8">
        <v>149</v>
      </c>
      <c r="B249" s="8">
        <v>2025031058</v>
      </c>
      <c r="C249" s="8">
        <v>1</v>
      </c>
      <c r="D249" s="8" t="s">
        <v>3177</v>
      </c>
      <c r="E249" s="8" t="s">
        <v>118</v>
      </c>
      <c r="F249" s="8" t="s">
        <v>3824</v>
      </c>
      <c r="G249" s="8" t="s">
        <v>3363</v>
      </c>
      <c r="H249" s="8" t="s">
        <v>3233</v>
      </c>
      <c r="I249" s="8" t="s">
        <v>3382</v>
      </c>
      <c r="J249" s="8" t="s">
        <v>3224</v>
      </c>
      <c r="K249" s="8" t="s">
        <v>3183</v>
      </c>
      <c r="L249" s="10" t="s">
        <v>3383</v>
      </c>
      <c r="M249" s="10" t="s">
        <v>3384</v>
      </c>
      <c r="N249" s="10" t="s">
        <v>3385</v>
      </c>
      <c r="O249" s="8" t="s">
        <v>322</v>
      </c>
      <c r="P249" s="8">
        <v>5690</v>
      </c>
      <c r="Q249" s="8">
        <v>12951</v>
      </c>
      <c r="R249" s="8">
        <v>17355</v>
      </c>
      <c r="S249" s="8" t="s">
        <v>332</v>
      </c>
      <c r="T249" s="8"/>
      <c r="U249" s="8"/>
      <c r="V249" s="8"/>
      <c r="W249" s="8"/>
      <c r="X249" s="8"/>
      <c r="Y249" s="8"/>
      <c r="Z249" s="10" t="s">
        <v>3696</v>
      </c>
      <c r="AA249" s="8" t="s">
        <v>332</v>
      </c>
      <c r="AB249" s="8">
        <v>1</v>
      </c>
    </row>
    <row r="250" spans="1:28" ht="21.6" customHeight="1">
      <c r="A250" s="8">
        <v>151</v>
      </c>
      <c r="B250" s="8">
        <v>2025031061</v>
      </c>
      <c r="C250" s="8">
        <v>1</v>
      </c>
      <c r="D250" s="8" t="s">
        <v>3177</v>
      </c>
      <c r="E250" s="8" t="s">
        <v>118</v>
      </c>
      <c r="F250" s="8" t="s">
        <v>3824</v>
      </c>
      <c r="G250" s="8" t="s">
        <v>3233</v>
      </c>
      <c r="H250" s="8" t="s">
        <v>3381</v>
      </c>
      <c r="I250" s="8" t="s">
        <v>3683</v>
      </c>
      <c r="J250" s="8" t="s">
        <v>3224</v>
      </c>
      <c r="K250" s="8" t="s">
        <v>3183</v>
      </c>
      <c r="L250" s="10" t="s">
        <v>3383</v>
      </c>
      <c r="M250" s="10" t="s">
        <v>3684</v>
      </c>
      <c r="N250" s="10" t="s">
        <v>3685</v>
      </c>
      <c r="O250" s="8" t="s">
        <v>322</v>
      </c>
      <c r="P250" s="8">
        <v>260</v>
      </c>
      <c r="Q250" s="8">
        <v>521</v>
      </c>
      <c r="R250" s="8">
        <v>2677</v>
      </c>
      <c r="S250" s="8" t="s">
        <v>332</v>
      </c>
      <c r="T250" s="8"/>
      <c r="U250" s="8"/>
      <c r="V250" s="8"/>
      <c r="W250" s="8"/>
      <c r="X250" s="8"/>
      <c r="Y250" s="8"/>
      <c r="Z250" s="10" t="s">
        <v>3696</v>
      </c>
      <c r="AA250" s="8" t="s">
        <v>332</v>
      </c>
      <c r="AB250" s="8">
        <v>1</v>
      </c>
    </row>
    <row r="251" spans="1:28" ht="21.6" customHeight="1">
      <c r="A251" s="8">
        <v>153</v>
      </c>
      <c r="B251" s="8">
        <v>2025031649</v>
      </c>
      <c r="C251" s="8">
        <v>1</v>
      </c>
      <c r="D251" s="8" t="s">
        <v>3177</v>
      </c>
      <c r="E251" s="8" t="s">
        <v>118</v>
      </c>
      <c r="F251" s="8" t="s">
        <v>3825</v>
      </c>
      <c r="G251" s="8" t="s">
        <v>3204</v>
      </c>
      <c r="H251" s="8" t="s">
        <v>3427</v>
      </c>
      <c r="I251" s="8" t="s">
        <v>3689</v>
      </c>
      <c r="J251" s="8" t="s">
        <v>3224</v>
      </c>
      <c r="K251" s="8" t="s">
        <v>3183</v>
      </c>
      <c r="L251" s="10" t="s">
        <v>3344</v>
      </c>
      <c r="M251" s="10" t="s">
        <v>3345</v>
      </c>
      <c r="N251" s="10" t="s">
        <v>3497</v>
      </c>
      <c r="O251" s="8" t="s">
        <v>322</v>
      </c>
      <c r="P251" s="8"/>
      <c r="Q251" s="8">
        <v>200</v>
      </c>
      <c r="R251" s="8">
        <v>3000</v>
      </c>
      <c r="S251" s="8" t="s">
        <v>332</v>
      </c>
      <c r="T251" s="8"/>
      <c r="U251" s="8"/>
      <c r="V251" s="8"/>
      <c r="W251" s="8"/>
      <c r="X251" s="8"/>
      <c r="Y251" s="8"/>
      <c r="Z251" s="10" t="s">
        <v>3696</v>
      </c>
      <c r="AA251" s="8" t="s">
        <v>332</v>
      </c>
      <c r="AB251" s="8">
        <v>1</v>
      </c>
    </row>
    <row r="252" spans="1:28" ht="21.6" customHeight="1">
      <c r="A252" s="8">
        <v>155</v>
      </c>
      <c r="B252" s="8">
        <v>2025031699</v>
      </c>
      <c r="C252" s="8">
        <v>1</v>
      </c>
      <c r="D252" s="8" t="s">
        <v>3177</v>
      </c>
      <c r="E252" s="8" t="s">
        <v>118</v>
      </c>
      <c r="F252" s="8" t="s">
        <v>3776</v>
      </c>
      <c r="G252" s="8" t="s">
        <v>3363</v>
      </c>
      <c r="H252" s="8" t="s">
        <v>3233</v>
      </c>
      <c r="I252" s="8" t="s">
        <v>3689</v>
      </c>
      <c r="J252" s="8" t="s">
        <v>3224</v>
      </c>
      <c r="K252" s="8" t="s">
        <v>3183</v>
      </c>
      <c r="L252" s="10" t="s">
        <v>3344</v>
      </c>
      <c r="M252" s="10" t="s">
        <v>3345</v>
      </c>
      <c r="N252" s="10" t="s">
        <v>3497</v>
      </c>
      <c r="O252" s="8" t="s">
        <v>322</v>
      </c>
      <c r="P252" s="8"/>
      <c r="Q252" s="8">
        <v>200</v>
      </c>
      <c r="R252" s="8">
        <v>3000</v>
      </c>
      <c r="S252" s="8"/>
      <c r="T252" s="8"/>
      <c r="U252" s="8"/>
      <c r="V252" s="8"/>
      <c r="W252" s="8" t="s">
        <v>332</v>
      </c>
      <c r="X252" s="8"/>
      <c r="Y252" s="8"/>
      <c r="Z252" s="10" t="s">
        <v>3816</v>
      </c>
      <c r="AA252" s="8" t="s">
        <v>332</v>
      </c>
      <c r="AB252" s="8">
        <v>1</v>
      </c>
    </row>
    <row r="253" spans="1:28" ht="21.6" customHeight="1">
      <c r="A253" s="8">
        <v>156</v>
      </c>
      <c r="B253" s="8">
        <v>2025030588</v>
      </c>
      <c r="C253" s="8">
        <v>1</v>
      </c>
      <c r="D253" s="8" t="s">
        <v>3177</v>
      </c>
      <c r="E253" s="8" t="s">
        <v>118</v>
      </c>
      <c r="F253" s="8" t="s">
        <v>3826</v>
      </c>
      <c r="G253" s="8" t="s">
        <v>3381</v>
      </c>
      <c r="H253" s="8" t="s">
        <v>3401</v>
      </c>
      <c r="I253" s="8" t="s">
        <v>3397</v>
      </c>
      <c r="J253" s="8" t="s">
        <v>3253</v>
      </c>
      <c r="K253" s="8" t="s">
        <v>3183</v>
      </c>
      <c r="L253" s="10" t="s">
        <v>3398</v>
      </c>
      <c r="M253" s="10" t="s">
        <v>3399</v>
      </c>
      <c r="N253" s="10" t="s">
        <v>3400</v>
      </c>
      <c r="O253" s="8" t="s">
        <v>322</v>
      </c>
      <c r="P253" s="8"/>
      <c r="Q253" s="8"/>
      <c r="R253" s="8">
        <v>375284</v>
      </c>
      <c r="S253" s="8" t="s">
        <v>332</v>
      </c>
      <c r="T253" s="8"/>
      <c r="U253" s="8"/>
      <c r="V253" s="8"/>
      <c r="W253" s="8"/>
      <c r="X253" s="8"/>
      <c r="Y253" s="8"/>
      <c r="Z253" s="10" t="s">
        <v>3696</v>
      </c>
      <c r="AA253" s="8" t="s">
        <v>332</v>
      </c>
      <c r="AB253" s="8">
        <v>1</v>
      </c>
    </row>
    <row r="254" spans="1:28" ht="21.6" customHeight="1">
      <c r="A254" s="8">
        <v>158</v>
      </c>
      <c r="B254" s="8">
        <v>2025032207</v>
      </c>
      <c r="C254" s="8">
        <v>1</v>
      </c>
      <c r="D254" s="8" t="s">
        <v>3177</v>
      </c>
      <c r="E254" s="8" t="s">
        <v>118</v>
      </c>
      <c r="F254" s="8" t="s">
        <v>3772</v>
      </c>
      <c r="G254" s="8" t="s">
        <v>3280</v>
      </c>
      <c r="H254" s="8" t="s">
        <v>3381</v>
      </c>
      <c r="I254" s="8" t="s">
        <v>3397</v>
      </c>
      <c r="J254" s="8" t="s">
        <v>3253</v>
      </c>
      <c r="K254" s="8" t="s">
        <v>3183</v>
      </c>
      <c r="L254" s="10" t="s">
        <v>3398</v>
      </c>
      <c r="M254" s="10" t="s">
        <v>3399</v>
      </c>
      <c r="N254" s="10" t="s">
        <v>3400</v>
      </c>
      <c r="O254" s="8" t="s">
        <v>322</v>
      </c>
      <c r="P254" s="8"/>
      <c r="Q254" s="8"/>
      <c r="R254" s="8">
        <v>375284</v>
      </c>
      <c r="S254" s="8"/>
      <c r="T254" s="8"/>
      <c r="U254" s="8"/>
      <c r="V254" s="8"/>
      <c r="W254" s="8"/>
      <c r="X254" s="8"/>
      <c r="Y254" s="8" t="s">
        <v>332</v>
      </c>
      <c r="Z254" s="10" t="s">
        <v>3827</v>
      </c>
      <c r="AA254" s="8" t="s">
        <v>332</v>
      </c>
      <c r="AB254" s="8">
        <v>1</v>
      </c>
    </row>
    <row r="255" spans="1:28" ht="21.6" customHeight="1">
      <c r="A255" s="8">
        <v>159</v>
      </c>
      <c r="B255" s="8">
        <v>2025032462</v>
      </c>
      <c r="C255" s="8">
        <v>1</v>
      </c>
      <c r="D255" s="8" t="s">
        <v>3177</v>
      </c>
      <c r="E255" s="8" t="s">
        <v>118</v>
      </c>
      <c r="F255" s="8" t="s">
        <v>3778</v>
      </c>
      <c r="G255" s="8" t="s">
        <v>3381</v>
      </c>
      <c r="H255" s="8" t="s">
        <v>3828</v>
      </c>
      <c r="I255" s="8" t="s">
        <v>3397</v>
      </c>
      <c r="J255" s="8" t="s">
        <v>3253</v>
      </c>
      <c r="K255" s="8" t="s">
        <v>3183</v>
      </c>
      <c r="L255" s="10" t="s">
        <v>3398</v>
      </c>
      <c r="M255" s="10" t="s">
        <v>3399</v>
      </c>
      <c r="N255" s="10" t="s">
        <v>3400</v>
      </c>
      <c r="O255" s="8" t="s">
        <v>322</v>
      </c>
      <c r="P255" s="8"/>
      <c r="Q255" s="8"/>
      <c r="R255" s="8">
        <v>375284</v>
      </c>
      <c r="S255" s="8"/>
      <c r="T255" s="8"/>
      <c r="U255" s="8" t="s">
        <v>332</v>
      </c>
      <c r="V255" s="8"/>
      <c r="W255" s="8"/>
      <c r="X255" s="8"/>
      <c r="Y255" s="8"/>
      <c r="Z255" s="10" t="s">
        <v>3362</v>
      </c>
      <c r="AA255" s="8" t="s">
        <v>332</v>
      </c>
      <c r="AB255" s="8">
        <v>1</v>
      </c>
    </row>
    <row r="256" spans="1:28" ht="21.6" customHeight="1">
      <c r="A256" s="8">
        <v>160</v>
      </c>
      <c r="B256" s="8">
        <v>2025030590</v>
      </c>
      <c r="C256" s="8">
        <v>1</v>
      </c>
      <c r="D256" s="8" t="s">
        <v>3177</v>
      </c>
      <c r="E256" s="8" t="s">
        <v>118</v>
      </c>
      <c r="F256" s="8" t="s">
        <v>3826</v>
      </c>
      <c r="G256" s="8" t="s">
        <v>3401</v>
      </c>
      <c r="H256" s="8" t="s">
        <v>3357</v>
      </c>
      <c r="I256" s="8" t="s">
        <v>3404</v>
      </c>
      <c r="J256" s="8" t="s">
        <v>3253</v>
      </c>
      <c r="K256" s="8" t="s">
        <v>3183</v>
      </c>
      <c r="L256" s="10" t="s">
        <v>3398</v>
      </c>
      <c r="M256" s="10" t="s">
        <v>3405</v>
      </c>
      <c r="N256" s="10" t="s">
        <v>3406</v>
      </c>
      <c r="O256" s="8" t="s">
        <v>322</v>
      </c>
      <c r="P256" s="8"/>
      <c r="Q256" s="8"/>
      <c r="R256" s="8">
        <v>162458</v>
      </c>
      <c r="S256" s="8" t="s">
        <v>332</v>
      </c>
      <c r="T256" s="8"/>
      <c r="U256" s="8"/>
      <c r="V256" s="8"/>
      <c r="W256" s="8"/>
      <c r="X256" s="8"/>
      <c r="Y256" s="8"/>
      <c r="Z256" s="10" t="s">
        <v>3696</v>
      </c>
      <c r="AA256" s="8" t="s">
        <v>332</v>
      </c>
      <c r="AB256" s="8">
        <v>1</v>
      </c>
    </row>
    <row r="257" spans="1:28" ht="21.6" customHeight="1">
      <c r="A257" s="8">
        <v>162</v>
      </c>
      <c r="B257" s="8">
        <v>2025031113</v>
      </c>
      <c r="C257" s="8">
        <v>1</v>
      </c>
      <c r="D257" s="8" t="s">
        <v>3177</v>
      </c>
      <c r="E257" s="8" t="s">
        <v>118</v>
      </c>
      <c r="F257" s="8" t="s">
        <v>3824</v>
      </c>
      <c r="G257" s="8" t="s">
        <v>3829</v>
      </c>
      <c r="H257" s="8" t="s">
        <v>3595</v>
      </c>
      <c r="I257" s="8" t="s">
        <v>3408</v>
      </c>
      <c r="J257" s="8" t="s">
        <v>3253</v>
      </c>
      <c r="K257" s="8" t="s">
        <v>3183</v>
      </c>
      <c r="L257" s="10" t="s">
        <v>3409</v>
      </c>
      <c r="M257" s="10" t="s">
        <v>3410</v>
      </c>
      <c r="N257" s="10"/>
      <c r="O257" s="8" t="s">
        <v>322</v>
      </c>
      <c r="P257" s="8"/>
      <c r="Q257" s="8"/>
      <c r="R257" s="8">
        <v>300153</v>
      </c>
      <c r="S257" s="8"/>
      <c r="T257" s="8"/>
      <c r="U257" s="8"/>
      <c r="V257" s="8"/>
      <c r="W257" s="8"/>
      <c r="X257" s="8"/>
      <c r="Y257" s="8" t="s">
        <v>332</v>
      </c>
      <c r="Z257" s="10" t="s">
        <v>3830</v>
      </c>
      <c r="AA257" s="8" t="s">
        <v>332</v>
      </c>
      <c r="AB257" s="8">
        <v>1</v>
      </c>
    </row>
    <row r="258" spans="1:28" ht="21.6" customHeight="1">
      <c r="A258" s="8">
        <v>163</v>
      </c>
      <c r="B258" s="8">
        <v>2025032180</v>
      </c>
      <c r="C258" s="8">
        <v>1</v>
      </c>
      <c r="D258" s="8" t="s">
        <v>3177</v>
      </c>
      <c r="E258" s="8" t="s">
        <v>118</v>
      </c>
      <c r="F258" s="8" t="s">
        <v>3817</v>
      </c>
      <c r="G258" s="8" t="s">
        <v>3386</v>
      </c>
      <c r="H258" s="8" t="s">
        <v>3749</v>
      </c>
      <c r="I258" s="8" t="s">
        <v>3408</v>
      </c>
      <c r="J258" s="8" t="s">
        <v>3253</v>
      </c>
      <c r="K258" s="8" t="s">
        <v>3183</v>
      </c>
      <c r="L258" s="10" t="s">
        <v>3409</v>
      </c>
      <c r="M258" s="10" t="s">
        <v>3410</v>
      </c>
      <c r="N258" s="10"/>
      <c r="O258" s="8" t="s">
        <v>322</v>
      </c>
      <c r="P258" s="8"/>
      <c r="Q258" s="8"/>
      <c r="R258" s="8">
        <v>300153</v>
      </c>
      <c r="S258" s="8"/>
      <c r="T258" s="8"/>
      <c r="U258" s="8"/>
      <c r="V258" s="8"/>
      <c r="W258" s="8"/>
      <c r="X258" s="8"/>
      <c r="Y258" s="8" t="s">
        <v>332</v>
      </c>
      <c r="Z258" s="10" t="s">
        <v>3831</v>
      </c>
      <c r="AA258" s="8" t="s">
        <v>332</v>
      </c>
      <c r="AB258" s="8">
        <v>1</v>
      </c>
    </row>
    <row r="259" spans="1:28" ht="21.6" customHeight="1">
      <c r="A259" s="8">
        <v>164</v>
      </c>
      <c r="B259" s="8">
        <v>2025032877</v>
      </c>
      <c r="C259" s="8">
        <v>1</v>
      </c>
      <c r="D259" s="8" t="s">
        <v>3177</v>
      </c>
      <c r="E259" s="8" t="s">
        <v>118</v>
      </c>
      <c r="F259" s="8" t="s">
        <v>3814</v>
      </c>
      <c r="G259" s="8" t="s">
        <v>3280</v>
      </c>
      <c r="H259" s="8" t="s">
        <v>3363</v>
      </c>
      <c r="I259" s="8" t="s">
        <v>3408</v>
      </c>
      <c r="J259" s="8" t="s">
        <v>3253</v>
      </c>
      <c r="K259" s="8" t="s">
        <v>3183</v>
      </c>
      <c r="L259" s="10" t="s">
        <v>3409</v>
      </c>
      <c r="M259" s="10" t="s">
        <v>3410</v>
      </c>
      <c r="N259" s="10"/>
      <c r="O259" s="8" t="s">
        <v>322</v>
      </c>
      <c r="P259" s="8"/>
      <c r="Q259" s="8"/>
      <c r="R259" s="8">
        <v>304826</v>
      </c>
      <c r="S259" s="8" t="s">
        <v>332</v>
      </c>
      <c r="T259" s="8"/>
      <c r="U259" s="8"/>
      <c r="V259" s="8"/>
      <c r="W259" s="8"/>
      <c r="X259" s="8"/>
      <c r="Y259" s="8"/>
      <c r="Z259" s="10" t="s">
        <v>3696</v>
      </c>
      <c r="AA259" s="8" t="s">
        <v>332</v>
      </c>
      <c r="AB259" s="8">
        <v>1</v>
      </c>
    </row>
    <row r="260" spans="1:28" ht="21.6" customHeight="1">
      <c r="A260" s="8">
        <v>166</v>
      </c>
      <c r="B260" s="8">
        <v>2025033114</v>
      </c>
      <c r="C260" s="8">
        <v>1</v>
      </c>
      <c r="D260" s="8" t="s">
        <v>3177</v>
      </c>
      <c r="E260" s="8" t="s">
        <v>118</v>
      </c>
      <c r="F260" s="8" t="s">
        <v>3832</v>
      </c>
      <c r="G260" s="8" t="s">
        <v>3401</v>
      </c>
      <c r="H260" s="8" t="s">
        <v>3357</v>
      </c>
      <c r="I260" s="8" t="s">
        <v>3408</v>
      </c>
      <c r="J260" s="8" t="s">
        <v>3253</v>
      </c>
      <c r="K260" s="8" t="s">
        <v>3183</v>
      </c>
      <c r="L260" s="10" t="s">
        <v>3409</v>
      </c>
      <c r="M260" s="10" t="s">
        <v>3410</v>
      </c>
      <c r="N260" s="10"/>
      <c r="O260" s="8" t="s">
        <v>322</v>
      </c>
      <c r="P260" s="8"/>
      <c r="Q260" s="8"/>
      <c r="R260" s="8">
        <v>304826</v>
      </c>
      <c r="S260" s="8"/>
      <c r="T260" s="8"/>
      <c r="U260" s="8" t="s">
        <v>332</v>
      </c>
      <c r="V260" s="8"/>
      <c r="W260" s="8"/>
      <c r="X260" s="8"/>
      <c r="Y260" s="8"/>
      <c r="Z260" s="10" t="s">
        <v>3362</v>
      </c>
      <c r="AA260" s="8" t="s">
        <v>332</v>
      </c>
      <c r="AB260" s="8">
        <v>1</v>
      </c>
    </row>
    <row r="261" spans="1:28" ht="21.6" customHeight="1">
      <c r="A261" s="8">
        <v>169</v>
      </c>
      <c r="B261" s="8">
        <v>2025032997</v>
      </c>
      <c r="C261" s="8">
        <v>1</v>
      </c>
      <c r="D261" s="8" t="s">
        <v>3177</v>
      </c>
      <c r="E261" s="8" t="s">
        <v>118</v>
      </c>
      <c r="F261" s="8" t="s">
        <v>3804</v>
      </c>
      <c r="G261" s="8" t="s">
        <v>3280</v>
      </c>
      <c r="H261" s="8" t="s">
        <v>3401</v>
      </c>
      <c r="I261" s="8" t="s">
        <v>3699</v>
      </c>
      <c r="J261" s="8" t="s">
        <v>3253</v>
      </c>
      <c r="K261" s="8" t="s">
        <v>3183</v>
      </c>
      <c r="L261" s="10" t="s">
        <v>3550</v>
      </c>
      <c r="M261" s="10" t="s">
        <v>3700</v>
      </c>
      <c r="N261" s="10" t="s">
        <v>3701</v>
      </c>
      <c r="O261" s="8" t="s">
        <v>322</v>
      </c>
      <c r="P261" s="8"/>
      <c r="Q261" s="8"/>
      <c r="R261" s="8">
        <v>483469</v>
      </c>
      <c r="S261" s="8"/>
      <c r="T261" s="8"/>
      <c r="U261" s="8"/>
      <c r="V261" s="8"/>
      <c r="W261" s="8"/>
      <c r="X261" s="8"/>
      <c r="Y261" s="8" t="s">
        <v>332</v>
      </c>
      <c r="Z261" s="10" t="s">
        <v>3833</v>
      </c>
      <c r="AA261" s="8" t="s">
        <v>332</v>
      </c>
      <c r="AB261" s="8">
        <v>1</v>
      </c>
    </row>
    <row r="262" spans="1:28" ht="21.6" customHeight="1">
      <c r="A262" s="8">
        <v>170</v>
      </c>
      <c r="B262" s="8">
        <v>2025032883</v>
      </c>
      <c r="C262" s="8">
        <v>1</v>
      </c>
      <c r="D262" s="8" t="s">
        <v>3177</v>
      </c>
      <c r="E262" s="8" t="s">
        <v>118</v>
      </c>
      <c r="F262" s="8" t="s">
        <v>3814</v>
      </c>
      <c r="G262" s="8" t="s">
        <v>3381</v>
      </c>
      <c r="H262" s="8" t="s">
        <v>3401</v>
      </c>
      <c r="I262" s="8" t="s">
        <v>3413</v>
      </c>
      <c r="J262" s="8" t="s">
        <v>3253</v>
      </c>
      <c r="K262" s="8" t="s">
        <v>3183</v>
      </c>
      <c r="L262" s="10" t="s">
        <v>3414</v>
      </c>
      <c r="M262" s="10" t="s">
        <v>3415</v>
      </c>
      <c r="N262" s="10"/>
      <c r="O262" s="8" t="s">
        <v>322</v>
      </c>
      <c r="P262" s="8"/>
      <c r="Q262" s="8"/>
      <c r="R262" s="8">
        <v>79800</v>
      </c>
      <c r="S262" s="8" t="s">
        <v>332</v>
      </c>
      <c r="T262" s="8"/>
      <c r="U262" s="8"/>
      <c r="V262" s="8"/>
      <c r="W262" s="8"/>
      <c r="X262" s="8"/>
      <c r="Y262" s="8"/>
      <c r="Z262" s="10" t="s">
        <v>3696</v>
      </c>
      <c r="AA262" s="8" t="s">
        <v>332</v>
      </c>
      <c r="AB262" s="8">
        <v>1</v>
      </c>
    </row>
    <row r="263" spans="1:28" ht="21.6" customHeight="1">
      <c r="A263" s="8">
        <v>174</v>
      </c>
      <c r="B263" s="8">
        <v>2025030516</v>
      </c>
      <c r="C263" s="8">
        <v>1</v>
      </c>
      <c r="D263" s="8" t="s">
        <v>3177</v>
      </c>
      <c r="E263" s="8" t="s">
        <v>118</v>
      </c>
      <c r="F263" s="8" t="s">
        <v>3826</v>
      </c>
      <c r="G263" s="8" t="s">
        <v>3350</v>
      </c>
      <c r="H263" s="8" t="s">
        <v>3280</v>
      </c>
      <c r="I263" s="8" t="s">
        <v>3422</v>
      </c>
      <c r="J263" s="8" t="s">
        <v>3253</v>
      </c>
      <c r="K263" s="8" t="s">
        <v>3183</v>
      </c>
      <c r="L263" s="10" t="s">
        <v>3270</v>
      </c>
      <c r="M263" s="10" t="s">
        <v>3423</v>
      </c>
      <c r="N263" s="10" t="s">
        <v>3424</v>
      </c>
      <c r="O263" s="8" t="s">
        <v>3190</v>
      </c>
      <c r="P263" s="8"/>
      <c r="Q263" s="8"/>
      <c r="R263" s="8">
        <v>38570</v>
      </c>
      <c r="S263" s="8"/>
      <c r="T263" s="8"/>
      <c r="U263" s="8"/>
      <c r="V263" s="8"/>
      <c r="W263" s="8"/>
      <c r="X263" s="8"/>
      <c r="Y263" s="8"/>
      <c r="Z263" s="10" t="s">
        <v>3821</v>
      </c>
      <c r="AA263" s="8" t="s">
        <v>332</v>
      </c>
      <c r="AB263" s="8">
        <v>1</v>
      </c>
    </row>
    <row r="264" spans="1:28" ht="21.6" customHeight="1">
      <c r="A264" s="8">
        <v>176</v>
      </c>
      <c r="B264" s="8">
        <v>2025030518</v>
      </c>
      <c r="C264" s="8">
        <v>1</v>
      </c>
      <c r="D264" s="8" t="s">
        <v>3177</v>
      </c>
      <c r="E264" s="8" t="s">
        <v>118</v>
      </c>
      <c r="F264" s="8" t="s">
        <v>3826</v>
      </c>
      <c r="G264" s="8" t="s">
        <v>3280</v>
      </c>
      <c r="H264" s="8" t="s">
        <v>3363</v>
      </c>
      <c r="I264" s="8" t="s">
        <v>3428</v>
      </c>
      <c r="J264" s="8" t="s">
        <v>3253</v>
      </c>
      <c r="K264" s="8" t="s">
        <v>3183</v>
      </c>
      <c r="L264" s="10" t="s">
        <v>3270</v>
      </c>
      <c r="M264" s="10" t="s">
        <v>3429</v>
      </c>
      <c r="N264" s="10" t="s">
        <v>3430</v>
      </c>
      <c r="O264" s="8" t="s">
        <v>322</v>
      </c>
      <c r="P264" s="8"/>
      <c r="Q264" s="8"/>
      <c r="R264" s="8">
        <v>66034</v>
      </c>
      <c r="S264" s="8" t="s">
        <v>332</v>
      </c>
      <c r="T264" s="8"/>
      <c r="U264" s="8"/>
      <c r="V264" s="8"/>
      <c r="W264" s="8"/>
      <c r="X264" s="8"/>
      <c r="Y264" s="8"/>
      <c r="Z264" s="10" t="s">
        <v>3696</v>
      </c>
      <c r="AA264" s="8" t="s">
        <v>332</v>
      </c>
      <c r="AB264" s="8">
        <v>1</v>
      </c>
    </row>
    <row r="265" spans="1:28" ht="21.6" customHeight="1">
      <c r="A265" s="8">
        <v>178</v>
      </c>
      <c r="B265" s="8">
        <v>2025031027</v>
      </c>
      <c r="C265" s="8">
        <v>1</v>
      </c>
      <c r="D265" s="8" t="s">
        <v>3177</v>
      </c>
      <c r="E265" s="8" t="s">
        <v>118</v>
      </c>
      <c r="F265" s="8" t="s">
        <v>3824</v>
      </c>
      <c r="G265" s="8" t="s">
        <v>3368</v>
      </c>
      <c r="H265" s="8" t="s">
        <v>3204</v>
      </c>
      <c r="I265" s="8" t="s">
        <v>3428</v>
      </c>
      <c r="J265" s="8" t="s">
        <v>3253</v>
      </c>
      <c r="K265" s="8" t="s">
        <v>3183</v>
      </c>
      <c r="L265" s="10" t="s">
        <v>3270</v>
      </c>
      <c r="M265" s="10" t="s">
        <v>3429</v>
      </c>
      <c r="N265" s="10" t="s">
        <v>3430</v>
      </c>
      <c r="O265" s="8" t="s">
        <v>363</v>
      </c>
      <c r="P265" s="8"/>
      <c r="Q265" s="8"/>
      <c r="R265" s="8">
        <v>66034</v>
      </c>
      <c r="S265" s="8"/>
      <c r="T265" s="8"/>
      <c r="U265" s="8"/>
      <c r="V265" s="8"/>
      <c r="W265" s="8"/>
      <c r="X265" s="8"/>
      <c r="Y265" s="8"/>
      <c r="Z265" s="10" t="s">
        <v>3834</v>
      </c>
      <c r="AA265" s="8" t="s">
        <v>332</v>
      </c>
      <c r="AB265" s="8">
        <v>1</v>
      </c>
    </row>
    <row r="266" spans="1:28" ht="21.6" customHeight="1">
      <c r="A266" s="8">
        <v>179</v>
      </c>
      <c r="B266" s="8">
        <v>2025031051</v>
      </c>
      <c r="C266" s="8">
        <v>1</v>
      </c>
      <c r="D266" s="8" t="s">
        <v>3177</v>
      </c>
      <c r="E266" s="8" t="s">
        <v>118</v>
      </c>
      <c r="F266" s="8" t="s">
        <v>3824</v>
      </c>
      <c r="G266" s="8" t="s">
        <v>3350</v>
      </c>
      <c r="H266" s="8" t="s">
        <v>3280</v>
      </c>
      <c r="I266" s="8" t="s">
        <v>3433</v>
      </c>
      <c r="J266" s="8" t="s">
        <v>3277</v>
      </c>
      <c r="K266" s="8" t="s">
        <v>3183</v>
      </c>
      <c r="L266" s="10" t="s">
        <v>3434</v>
      </c>
      <c r="M266" s="10" t="s">
        <v>3435</v>
      </c>
      <c r="N266" s="10" t="s">
        <v>3436</v>
      </c>
      <c r="O266" s="8" t="s">
        <v>322</v>
      </c>
      <c r="P266" s="8"/>
      <c r="Q266" s="8"/>
      <c r="R266" s="8">
        <v>118585</v>
      </c>
      <c r="S266" s="8" t="s">
        <v>332</v>
      </c>
      <c r="T266" s="8"/>
      <c r="U266" s="8"/>
      <c r="V266" s="8"/>
      <c r="W266" s="8"/>
      <c r="X266" s="8"/>
      <c r="Y266" s="8"/>
      <c r="Z266" s="10" t="s">
        <v>3696</v>
      </c>
      <c r="AA266" s="8" t="s">
        <v>332</v>
      </c>
      <c r="AB266" s="8">
        <v>1</v>
      </c>
    </row>
    <row r="267" spans="1:28" ht="21.6" customHeight="1">
      <c r="A267" s="8">
        <v>181</v>
      </c>
      <c r="B267" s="8">
        <v>2025031744</v>
      </c>
      <c r="C267" s="8">
        <v>1</v>
      </c>
      <c r="D267" s="8" t="s">
        <v>3177</v>
      </c>
      <c r="E267" s="8" t="s">
        <v>118</v>
      </c>
      <c r="F267" s="8" t="s">
        <v>3776</v>
      </c>
      <c r="G267" s="8" t="s">
        <v>3368</v>
      </c>
      <c r="H267" s="8" t="s">
        <v>3329</v>
      </c>
      <c r="I267" s="8" t="s">
        <v>3433</v>
      </c>
      <c r="J267" s="8" t="s">
        <v>3277</v>
      </c>
      <c r="K267" s="8" t="s">
        <v>3183</v>
      </c>
      <c r="L267" s="10" t="s">
        <v>3434</v>
      </c>
      <c r="M267" s="10" t="s">
        <v>3435</v>
      </c>
      <c r="N267" s="10" t="s">
        <v>3436</v>
      </c>
      <c r="O267" s="8" t="s">
        <v>363</v>
      </c>
      <c r="P267" s="8"/>
      <c r="Q267" s="8"/>
      <c r="R267" s="8">
        <v>118585</v>
      </c>
      <c r="S267" s="8"/>
      <c r="T267" s="8"/>
      <c r="U267" s="8"/>
      <c r="V267" s="8"/>
      <c r="W267" s="8"/>
      <c r="X267" s="8"/>
      <c r="Y267" s="8"/>
      <c r="Z267" s="10" t="s">
        <v>3491</v>
      </c>
      <c r="AA267" s="8" t="s">
        <v>332</v>
      </c>
      <c r="AB267" s="8">
        <v>1</v>
      </c>
    </row>
    <row r="268" spans="1:28" ht="21.6" customHeight="1">
      <c r="A268" s="8">
        <v>182</v>
      </c>
      <c r="B268" s="8">
        <v>2025031055</v>
      </c>
      <c r="C268" s="8">
        <v>1</v>
      </c>
      <c r="D268" s="8" t="s">
        <v>3177</v>
      </c>
      <c r="E268" s="8" t="s">
        <v>118</v>
      </c>
      <c r="F268" s="8" t="s">
        <v>3824</v>
      </c>
      <c r="G268" s="8" t="s">
        <v>3280</v>
      </c>
      <c r="H268" s="8" t="s">
        <v>3363</v>
      </c>
      <c r="I268" s="8" t="s">
        <v>3440</v>
      </c>
      <c r="J268" s="8" t="s">
        <v>3277</v>
      </c>
      <c r="K268" s="8" t="s">
        <v>3183</v>
      </c>
      <c r="L268" s="10" t="s">
        <v>3434</v>
      </c>
      <c r="M268" s="10" t="s">
        <v>3441</v>
      </c>
      <c r="N268" s="10" t="s">
        <v>3442</v>
      </c>
      <c r="O268" s="8" t="s">
        <v>3190</v>
      </c>
      <c r="P268" s="8"/>
      <c r="Q268" s="8"/>
      <c r="R268" s="8">
        <v>104402</v>
      </c>
      <c r="S268" s="8"/>
      <c r="T268" s="8"/>
      <c r="U268" s="8"/>
      <c r="V268" s="8"/>
      <c r="W268" s="8"/>
      <c r="X268" s="8"/>
      <c r="Y268" s="8"/>
      <c r="Z268" s="10" t="s">
        <v>3696</v>
      </c>
      <c r="AA268" s="8" t="s">
        <v>332</v>
      </c>
      <c r="AB268" s="8">
        <v>1</v>
      </c>
    </row>
    <row r="269" spans="1:28" ht="21.6" customHeight="1">
      <c r="A269" s="8">
        <v>184</v>
      </c>
      <c r="B269" s="8">
        <v>2025031745</v>
      </c>
      <c r="C269" s="8">
        <v>1</v>
      </c>
      <c r="D269" s="8" t="s">
        <v>3177</v>
      </c>
      <c r="E269" s="8" t="s">
        <v>118</v>
      </c>
      <c r="F269" s="8" t="s">
        <v>3776</v>
      </c>
      <c r="G269" s="8" t="s">
        <v>3329</v>
      </c>
      <c r="H269" s="8" t="s">
        <v>3179</v>
      </c>
      <c r="I269" s="8" t="s">
        <v>3440</v>
      </c>
      <c r="J269" s="8" t="s">
        <v>3277</v>
      </c>
      <c r="K269" s="8" t="s">
        <v>3183</v>
      </c>
      <c r="L269" s="10" t="s">
        <v>3434</v>
      </c>
      <c r="M269" s="10" t="s">
        <v>3441</v>
      </c>
      <c r="N269" s="10" t="s">
        <v>3442</v>
      </c>
      <c r="O269" s="8" t="s">
        <v>363</v>
      </c>
      <c r="P269" s="8"/>
      <c r="Q269" s="8"/>
      <c r="R269" s="8">
        <v>104402</v>
      </c>
      <c r="S269" s="8"/>
      <c r="T269" s="8"/>
      <c r="U269" s="8"/>
      <c r="V269" s="8"/>
      <c r="W269" s="8"/>
      <c r="X269" s="8"/>
      <c r="Y269" s="8"/>
      <c r="Z269" s="10" t="s">
        <v>3835</v>
      </c>
      <c r="AA269" s="8" t="s">
        <v>332</v>
      </c>
      <c r="AB269" s="8">
        <v>1</v>
      </c>
    </row>
    <row r="270" spans="1:28" ht="21.6" customHeight="1">
      <c r="A270" s="8">
        <v>185</v>
      </c>
      <c r="B270" s="8">
        <v>2025033300</v>
      </c>
      <c r="C270" s="8">
        <v>1</v>
      </c>
      <c r="D270" s="8" t="s">
        <v>3177</v>
      </c>
      <c r="E270" s="8" t="s">
        <v>118</v>
      </c>
      <c r="F270" s="8" t="s">
        <v>3836</v>
      </c>
      <c r="G270" s="8" t="s">
        <v>3401</v>
      </c>
      <c r="H270" s="8" t="s">
        <v>3342</v>
      </c>
      <c r="I270" s="8" t="s">
        <v>3440</v>
      </c>
      <c r="J270" s="8" t="s">
        <v>3277</v>
      </c>
      <c r="K270" s="8" t="s">
        <v>3183</v>
      </c>
      <c r="L270" s="10" t="s">
        <v>3434</v>
      </c>
      <c r="M270" s="10" t="s">
        <v>3441</v>
      </c>
      <c r="N270" s="10" t="s">
        <v>3442</v>
      </c>
      <c r="O270" s="8" t="s">
        <v>322</v>
      </c>
      <c r="P270" s="8"/>
      <c r="Q270" s="8"/>
      <c r="R270" s="8">
        <v>104402</v>
      </c>
      <c r="S270" s="8"/>
      <c r="T270" s="8"/>
      <c r="U270" s="8"/>
      <c r="V270" s="8"/>
      <c r="W270" s="8"/>
      <c r="X270" s="8"/>
      <c r="Y270" s="8" t="s">
        <v>332</v>
      </c>
      <c r="Z270" s="10" t="s">
        <v>3837</v>
      </c>
      <c r="AA270" s="8" t="s">
        <v>332</v>
      </c>
      <c r="AB270" s="8">
        <v>1</v>
      </c>
    </row>
    <row r="271" spans="1:28" ht="21.6" customHeight="1">
      <c r="A271" s="8">
        <v>186</v>
      </c>
      <c r="B271" s="8">
        <v>2025031651</v>
      </c>
      <c r="C271" s="8">
        <v>1</v>
      </c>
      <c r="D271" s="8" t="s">
        <v>3177</v>
      </c>
      <c r="E271" s="8" t="s">
        <v>118</v>
      </c>
      <c r="F271" s="8" t="s">
        <v>3825</v>
      </c>
      <c r="G271" s="8" t="s">
        <v>3427</v>
      </c>
      <c r="H271" s="8" t="s">
        <v>3386</v>
      </c>
      <c r="I271" s="8" t="s">
        <v>3447</v>
      </c>
      <c r="J271" s="8" t="s">
        <v>3277</v>
      </c>
      <c r="K271" s="8" t="s">
        <v>3183</v>
      </c>
      <c r="L271" s="10" t="s">
        <v>3448</v>
      </c>
      <c r="M271" s="10" t="s">
        <v>3449</v>
      </c>
      <c r="N271" s="10"/>
      <c r="O271" s="8" t="s">
        <v>322</v>
      </c>
      <c r="P271" s="8"/>
      <c r="Q271" s="8"/>
      <c r="R271" s="8">
        <v>36000</v>
      </c>
      <c r="S271" s="8" t="s">
        <v>332</v>
      </c>
      <c r="T271" s="8"/>
      <c r="U271" s="8"/>
      <c r="V271" s="8"/>
      <c r="W271" s="8"/>
      <c r="X271" s="8"/>
      <c r="Y271" s="8"/>
      <c r="Z271" s="10" t="s">
        <v>3696</v>
      </c>
      <c r="AA271" s="8" t="s">
        <v>332</v>
      </c>
      <c r="AB271" s="8">
        <v>1</v>
      </c>
    </row>
    <row r="272" spans="1:28" ht="21.6" customHeight="1">
      <c r="A272" s="8">
        <v>188</v>
      </c>
      <c r="B272" s="8">
        <v>2025031698</v>
      </c>
      <c r="C272" s="8">
        <v>1</v>
      </c>
      <c r="D272" s="8" t="s">
        <v>3177</v>
      </c>
      <c r="E272" s="8" t="s">
        <v>118</v>
      </c>
      <c r="F272" s="8" t="s">
        <v>3776</v>
      </c>
      <c r="G272" s="8" t="s">
        <v>3280</v>
      </c>
      <c r="H272" s="8" t="s">
        <v>3363</v>
      </c>
      <c r="I272" s="8" t="s">
        <v>3447</v>
      </c>
      <c r="J272" s="8" t="s">
        <v>3277</v>
      </c>
      <c r="K272" s="8" t="s">
        <v>3183</v>
      </c>
      <c r="L272" s="10" t="s">
        <v>3448</v>
      </c>
      <c r="M272" s="10" t="s">
        <v>3449</v>
      </c>
      <c r="N272" s="10"/>
      <c r="O272" s="8" t="s">
        <v>322</v>
      </c>
      <c r="P272" s="8"/>
      <c r="Q272" s="8"/>
      <c r="R272" s="8">
        <v>36000</v>
      </c>
      <c r="S272" s="8"/>
      <c r="T272" s="8"/>
      <c r="U272" s="8"/>
      <c r="V272" s="8"/>
      <c r="W272" s="8" t="s">
        <v>332</v>
      </c>
      <c r="X272" s="8"/>
      <c r="Y272" s="8"/>
      <c r="Z272" s="10" t="s">
        <v>3816</v>
      </c>
      <c r="AA272" s="8" t="s">
        <v>332</v>
      </c>
      <c r="AB272" s="8">
        <v>1</v>
      </c>
    </row>
    <row r="273" spans="1:28" ht="21.6" customHeight="1">
      <c r="A273" s="8">
        <v>191</v>
      </c>
      <c r="B273" s="8">
        <v>2025030348</v>
      </c>
      <c r="C273" s="8">
        <v>1</v>
      </c>
      <c r="D273" s="8" t="s">
        <v>3177</v>
      </c>
      <c r="E273" s="8" t="s">
        <v>118</v>
      </c>
      <c r="F273" s="8" t="s">
        <v>3838</v>
      </c>
      <c r="G273" s="8" t="s">
        <v>3350</v>
      </c>
      <c r="H273" s="8" t="s">
        <v>3280</v>
      </c>
      <c r="I273" s="8" t="s">
        <v>3461</v>
      </c>
      <c r="J273" s="8" t="s">
        <v>3277</v>
      </c>
      <c r="K273" s="8" t="s">
        <v>3183</v>
      </c>
      <c r="L273" s="10" t="s">
        <v>3462</v>
      </c>
      <c r="M273" s="10" t="s">
        <v>3463</v>
      </c>
      <c r="N273" s="10" t="s">
        <v>3464</v>
      </c>
      <c r="O273" s="8" t="s">
        <v>322</v>
      </c>
      <c r="P273" s="8"/>
      <c r="Q273" s="8"/>
      <c r="R273" s="8">
        <v>114085</v>
      </c>
      <c r="S273" s="8"/>
      <c r="T273" s="8"/>
      <c r="U273" s="8" t="s">
        <v>332</v>
      </c>
      <c r="V273" s="8"/>
      <c r="W273" s="8"/>
      <c r="X273" s="8"/>
      <c r="Y273" s="8"/>
      <c r="Z273" s="10" t="s">
        <v>3362</v>
      </c>
      <c r="AA273" s="8" t="s">
        <v>332</v>
      </c>
      <c r="AB273" s="8">
        <v>1</v>
      </c>
    </row>
    <row r="274" spans="1:28" ht="21.6" customHeight="1">
      <c r="A274" s="8">
        <v>194</v>
      </c>
      <c r="B274" s="8">
        <v>2025030349</v>
      </c>
      <c r="C274" s="8">
        <v>1</v>
      </c>
      <c r="D274" s="8" t="s">
        <v>3177</v>
      </c>
      <c r="E274" s="8" t="s">
        <v>118</v>
      </c>
      <c r="F274" s="8" t="s">
        <v>3838</v>
      </c>
      <c r="G274" s="8" t="s">
        <v>3280</v>
      </c>
      <c r="H274" s="8" t="s">
        <v>3363</v>
      </c>
      <c r="I274" s="8" t="s">
        <v>3713</v>
      </c>
      <c r="J274" s="8" t="s">
        <v>3277</v>
      </c>
      <c r="K274" s="8" t="s">
        <v>3183</v>
      </c>
      <c r="L274" s="10" t="s">
        <v>3462</v>
      </c>
      <c r="M274" s="10" t="s">
        <v>3714</v>
      </c>
      <c r="N274" s="10" t="s">
        <v>3715</v>
      </c>
      <c r="O274" s="8" t="s">
        <v>322</v>
      </c>
      <c r="P274" s="8"/>
      <c r="Q274" s="8"/>
      <c r="R274" s="8">
        <v>102241</v>
      </c>
      <c r="S274" s="8"/>
      <c r="T274" s="8"/>
      <c r="U274" s="8" t="s">
        <v>332</v>
      </c>
      <c r="V274" s="8"/>
      <c r="W274" s="8"/>
      <c r="X274" s="8"/>
      <c r="Y274" s="8"/>
      <c r="Z274" s="10" t="s">
        <v>3362</v>
      </c>
      <c r="AA274" s="8" t="s">
        <v>332</v>
      </c>
      <c r="AB274" s="8">
        <v>1</v>
      </c>
    </row>
    <row r="275" spans="1:28" ht="21.6" customHeight="1">
      <c r="A275" s="8">
        <v>197</v>
      </c>
      <c r="B275" s="8">
        <v>2025032879</v>
      </c>
      <c r="C275" s="8">
        <v>1</v>
      </c>
      <c r="D275" s="8" t="s">
        <v>3177</v>
      </c>
      <c r="E275" s="8" t="s">
        <v>118</v>
      </c>
      <c r="F275" s="8" t="s">
        <v>3814</v>
      </c>
      <c r="G275" s="8" t="s">
        <v>3363</v>
      </c>
      <c r="H275" s="8" t="s">
        <v>3233</v>
      </c>
      <c r="I275" s="8" t="s">
        <v>3470</v>
      </c>
      <c r="J275" s="8" t="s">
        <v>3471</v>
      </c>
      <c r="K275" s="8" t="s">
        <v>3183</v>
      </c>
      <c r="L275" s="10" t="s">
        <v>3472</v>
      </c>
      <c r="M275" s="10" t="s">
        <v>3410</v>
      </c>
      <c r="N275" s="10" t="s">
        <v>3442</v>
      </c>
      <c r="O275" s="8" t="s">
        <v>322</v>
      </c>
      <c r="P275" s="8"/>
      <c r="Q275" s="8"/>
      <c r="R275" s="8">
        <v>69999</v>
      </c>
      <c r="S275" s="8" t="s">
        <v>332</v>
      </c>
      <c r="T275" s="8"/>
      <c r="U275" s="8"/>
      <c r="V275" s="8"/>
      <c r="W275" s="8"/>
      <c r="X275" s="8"/>
      <c r="Y275" s="8"/>
      <c r="Z275" s="10" t="s">
        <v>3696</v>
      </c>
      <c r="AA275" s="8" t="s">
        <v>332</v>
      </c>
      <c r="AB275" s="8">
        <v>1</v>
      </c>
    </row>
    <row r="276" spans="1:28" ht="21.6" customHeight="1">
      <c r="A276" s="8">
        <v>199</v>
      </c>
      <c r="B276" s="8">
        <v>2025033407</v>
      </c>
      <c r="C276" s="8">
        <v>1</v>
      </c>
      <c r="D276" s="8" t="s">
        <v>3177</v>
      </c>
      <c r="E276" s="8" t="s">
        <v>118</v>
      </c>
      <c r="F276" s="8" t="s">
        <v>3839</v>
      </c>
      <c r="G276" s="8" t="s">
        <v>3233</v>
      </c>
      <c r="H276" s="8" t="s">
        <v>3368</v>
      </c>
      <c r="I276" s="8" t="s">
        <v>3840</v>
      </c>
      <c r="J276" s="8" t="s">
        <v>3288</v>
      </c>
      <c r="K276" s="8" t="s">
        <v>3183</v>
      </c>
      <c r="L276" s="10" t="s">
        <v>3841</v>
      </c>
      <c r="M276" s="10" t="s">
        <v>3842</v>
      </c>
      <c r="N276" s="10" t="s">
        <v>3843</v>
      </c>
      <c r="O276" s="8" t="s">
        <v>322</v>
      </c>
      <c r="P276" s="8"/>
      <c r="Q276" s="8">
        <v>715</v>
      </c>
      <c r="R276" s="8">
        <v>2924</v>
      </c>
      <c r="S276" s="8"/>
      <c r="T276" s="8" t="s">
        <v>332</v>
      </c>
      <c r="U276" s="8"/>
      <c r="V276" s="8"/>
      <c r="W276" s="8"/>
      <c r="X276" s="8"/>
      <c r="Y276" s="8"/>
      <c r="Z276" s="10" t="s">
        <v>3455</v>
      </c>
      <c r="AA276" s="8" t="s">
        <v>332</v>
      </c>
      <c r="AB276" s="8">
        <v>1</v>
      </c>
    </row>
    <row r="277" spans="1:28" ht="21.6" customHeight="1">
      <c r="A277" s="8">
        <v>202</v>
      </c>
      <c r="B277" s="8">
        <v>2025033575</v>
      </c>
      <c r="C277" s="8">
        <v>1</v>
      </c>
      <c r="D277" s="8" t="s">
        <v>3177</v>
      </c>
      <c r="E277" s="8" t="s">
        <v>118</v>
      </c>
      <c r="F277" s="8" t="s">
        <v>3844</v>
      </c>
      <c r="G277" s="8" t="s">
        <v>3363</v>
      </c>
      <c r="H277" s="8" t="s">
        <v>3845</v>
      </c>
      <c r="I277" s="8" t="s">
        <v>3840</v>
      </c>
      <c r="J277" s="8" t="s">
        <v>3288</v>
      </c>
      <c r="K277" s="8" t="s">
        <v>3183</v>
      </c>
      <c r="L277" s="10" t="s">
        <v>3841</v>
      </c>
      <c r="M277" s="10" t="s">
        <v>3842</v>
      </c>
      <c r="N277" s="10" t="s">
        <v>3843</v>
      </c>
      <c r="O277" s="8" t="s">
        <v>322</v>
      </c>
      <c r="P277" s="8"/>
      <c r="Q277" s="8">
        <v>715</v>
      </c>
      <c r="R277" s="8">
        <v>2924</v>
      </c>
      <c r="S277" s="8"/>
      <c r="T277" s="8"/>
      <c r="U277" s="8"/>
      <c r="V277" s="8"/>
      <c r="W277" s="8"/>
      <c r="X277" s="8"/>
      <c r="Y277" s="8" t="s">
        <v>332</v>
      </c>
      <c r="Z277" s="10" t="s">
        <v>3750</v>
      </c>
      <c r="AA277" s="8" t="s">
        <v>332</v>
      </c>
      <c r="AB277" s="8">
        <v>1</v>
      </c>
    </row>
    <row r="278" spans="1:28" ht="21.6" customHeight="1">
      <c r="A278" s="8">
        <v>203</v>
      </c>
      <c r="B278" s="8">
        <v>2025033705</v>
      </c>
      <c r="C278" s="8">
        <v>1</v>
      </c>
      <c r="D278" s="8" t="s">
        <v>3177</v>
      </c>
      <c r="E278" s="8" t="s">
        <v>118</v>
      </c>
      <c r="F278" s="8" t="s">
        <v>3844</v>
      </c>
      <c r="G278" s="8" t="s">
        <v>3250</v>
      </c>
      <c r="H278" s="8" t="s">
        <v>3846</v>
      </c>
      <c r="I278" s="8" t="s">
        <v>3840</v>
      </c>
      <c r="J278" s="8" t="s">
        <v>3288</v>
      </c>
      <c r="K278" s="8" t="s">
        <v>3183</v>
      </c>
      <c r="L278" s="10" t="s">
        <v>3841</v>
      </c>
      <c r="M278" s="10" t="s">
        <v>3842</v>
      </c>
      <c r="N278" s="10" t="s">
        <v>3843</v>
      </c>
      <c r="O278" s="8" t="s">
        <v>322</v>
      </c>
      <c r="P278" s="8"/>
      <c r="Q278" s="8">
        <v>715</v>
      </c>
      <c r="R278" s="8">
        <v>2924</v>
      </c>
      <c r="S278" s="8"/>
      <c r="T278" s="8"/>
      <c r="U278" s="8"/>
      <c r="V278" s="8"/>
      <c r="W278" s="8"/>
      <c r="X278" s="8"/>
      <c r="Y278" s="8" t="s">
        <v>332</v>
      </c>
      <c r="Z278" s="10" t="s">
        <v>3847</v>
      </c>
      <c r="AA278" s="8" t="s">
        <v>332</v>
      </c>
      <c r="AB278" s="8">
        <v>1</v>
      </c>
    </row>
    <row r="279" spans="1:28" ht="21.6" customHeight="1">
      <c r="A279" s="8">
        <v>204</v>
      </c>
      <c r="B279" s="8">
        <v>2025032597</v>
      </c>
      <c r="C279" s="8">
        <v>1</v>
      </c>
      <c r="D279" s="8" t="s">
        <v>3177</v>
      </c>
      <c r="E279" s="8" t="s">
        <v>118</v>
      </c>
      <c r="F279" s="8" t="s">
        <v>3791</v>
      </c>
      <c r="G279" s="8" t="s">
        <v>3777</v>
      </c>
      <c r="H279" s="8" t="s">
        <v>3848</v>
      </c>
      <c r="I279" s="8" t="s">
        <v>3849</v>
      </c>
      <c r="J279" s="8" t="s">
        <v>3288</v>
      </c>
      <c r="K279" s="8" t="s">
        <v>3183</v>
      </c>
      <c r="L279" s="10" t="s">
        <v>3254</v>
      </c>
      <c r="M279" s="10" t="s">
        <v>3850</v>
      </c>
      <c r="N279" s="10" t="s">
        <v>3851</v>
      </c>
      <c r="O279" s="8" t="s">
        <v>363</v>
      </c>
      <c r="P279" s="8"/>
      <c r="Q279" s="8">
        <v>636</v>
      </c>
      <c r="R279" s="8">
        <v>24026</v>
      </c>
      <c r="S279" s="8"/>
      <c r="T279" s="8"/>
      <c r="U279" s="8"/>
      <c r="V279" s="8"/>
      <c r="W279" s="8"/>
      <c r="X279" s="8"/>
      <c r="Y279" s="8"/>
      <c r="Z279" s="10" t="s">
        <v>3852</v>
      </c>
      <c r="AA279" s="8" t="s">
        <v>332</v>
      </c>
      <c r="AB279" s="8">
        <v>1</v>
      </c>
    </row>
    <row r="280" spans="1:28" ht="21.6" customHeight="1">
      <c r="A280" s="8">
        <v>205</v>
      </c>
      <c r="B280" s="8">
        <v>2025031790</v>
      </c>
      <c r="C280" s="8">
        <v>1</v>
      </c>
      <c r="D280" s="8" t="s">
        <v>3177</v>
      </c>
      <c r="E280" s="8" t="s">
        <v>118</v>
      </c>
      <c r="F280" s="8" t="s">
        <v>3853</v>
      </c>
      <c r="G280" s="8" t="s">
        <v>3280</v>
      </c>
      <c r="H280" s="8" t="s">
        <v>3193</v>
      </c>
      <c r="I280" s="8" t="s">
        <v>3854</v>
      </c>
      <c r="J280" s="8" t="s">
        <v>3288</v>
      </c>
      <c r="K280" s="8" t="s">
        <v>3183</v>
      </c>
      <c r="L280" s="10" t="s">
        <v>3254</v>
      </c>
      <c r="M280" s="10" t="s">
        <v>3855</v>
      </c>
      <c r="N280" s="10" t="s">
        <v>3856</v>
      </c>
      <c r="O280" s="8" t="s">
        <v>363</v>
      </c>
      <c r="P280" s="8"/>
      <c r="Q280" s="8">
        <v>1111</v>
      </c>
      <c r="R280" s="8">
        <v>44942</v>
      </c>
      <c r="S280" s="8"/>
      <c r="T280" s="8"/>
      <c r="U280" s="8"/>
      <c r="V280" s="8"/>
      <c r="W280" s="8"/>
      <c r="X280" s="8"/>
      <c r="Y280" s="8"/>
      <c r="Z280" s="10" t="s">
        <v>3857</v>
      </c>
      <c r="AA280" s="8" t="s">
        <v>332</v>
      </c>
      <c r="AB280" s="8">
        <v>1</v>
      </c>
    </row>
    <row r="281" spans="1:28" ht="21.6" customHeight="1">
      <c r="A281" s="8">
        <v>214</v>
      </c>
      <c r="B281" s="8">
        <v>2025030122</v>
      </c>
      <c r="C281" s="8">
        <v>1</v>
      </c>
      <c r="D281" s="8" t="s">
        <v>3177</v>
      </c>
      <c r="E281" s="8" t="s">
        <v>118</v>
      </c>
      <c r="F281" s="8" t="s">
        <v>3858</v>
      </c>
      <c r="G281" s="8" t="s">
        <v>3250</v>
      </c>
      <c r="H281" s="8" t="s">
        <v>3859</v>
      </c>
      <c r="I281" s="8" t="s">
        <v>3495</v>
      </c>
      <c r="J281" s="8" t="s">
        <v>3298</v>
      </c>
      <c r="K281" s="8" t="s">
        <v>3183</v>
      </c>
      <c r="L281" s="10" t="s">
        <v>3270</v>
      </c>
      <c r="M281" s="10" t="s">
        <v>3496</v>
      </c>
      <c r="N281" s="10" t="s">
        <v>3497</v>
      </c>
      <c r="O281" s="8" t="s">
        <v>363</v>
      </c>
      <c r="P281" s="8"/>
      <c r="Q281" s="8"/>
      <c r="R281" s="8">
        <v>26418</v>
      </c>
      <c r="S281" s="8"/>
      <c r="T281" s="8"/>
      <c r="U281" s="8"/>
      <c r="V281" s="8"/>
      <c r="W281" s="8"/>
      <c r="X281" s="8"/>
      <c r="Y281" s="8"/>
      <c r="Z281" s="10" t="s">
        <v>3860</v>
      </c>
      <c r="AA281" s="8" t="s">
        <v>332</v>
      </c>
      <c r="AB281" s="8">
        <v>1</v>
      </c>
    </row>
    <row r="282" spans="1:28" ht="21.6" customHeight="1">
      <c r="A282" s="8">
        <v>215</v>
      </c>
      <c r="B282" s="8">
        <v>2025030520</v>
      </c>
      <c r="C282" s="8">
        <v>1</v>
      </c>
      <c r="D282" s="8" t="s">
        <v>3177</v>
      </c>
      <c r="E282" s="8" t="s">
        <v>118</v>
      </c>
      <c r="F282" s="8" t="s">
        <v>3826</v>
      </c>
      <c r="G282" s="8" t="s">
        <v>3363</v>
      </c>
      <c r="H282" s="8" t="s">
        <v>3233</v>
      </c>
      <c r="I282" s="8" t="s">
        <v>3495</v>
      </c>
      <c r="J282" s="8" t="s">
        <v>3298</v>
      </c>
      <c r="K282" s="8" t="s">
        <v>3183</v>
      </c>
      <c r="L282" s="10" t="s">
        <v>3270</v>
      </c>
      <c r="M282" s="10" t="s">
        <v>3496</v>
      </c>
      <c r="N282" s="10" t="s">
        <v>3497</v>
      </c>
      <c r="O282" s="8" t="s">
        <v>322</v>
      </c>
      <c r="P282" s="8"/>
      <c r="Q282" s="8"/>
      <c r="R282" s="8">
        <v>27533</v>
      </c>
      <c r="S282" s="8" t="s">
        <v>332</v>
      </c>
      <c r="T282" s="8"/>
      <c r="U282" s="8"/>
      <c r="V282" s="8"/>
      <c r="W282" s="8"/>
      <c r="X282" s="8"/>
      <c r="Y282" s="8"/>
      <c r="Z282" s="10" t="s">
        <v>3696</v>
      </c>
      <c r="AA282" s="8" t="s">
        <v>332</v>
      </c>
      <c r="AB282" s="8">
        <v>1</v>
      </c>
    </row>
    <row r="283" spans="1:28" ht="21.6" customHeight="1">
      <c r="A283" s="8">
        <v>223</v>
      </c>
      <c r="B283" s="8">
        <v>2025030598</v>
      </c>
      <c r="C283" s="8">
        <v>1</v>
      </c>
      <c r="D283" s="8" t="s">
        <v>3177</v>
      </c>
      <c r="E283" s="8" t="s">
        <v>118</v>
      </c>
      <c r="F283" s="8" t="s">
        <v>3826</v>
      </c>
      <c r="G283" s="8" t="s">
        <v>3204</v>
      </c>
      <c r="H283" s="8" t="s">
        <v>3427</v>
      </c>
      <c r="I283" s="8" t="s">
        <v>3510</v>
      </c>
      <c r="J283" s="8" t="s">
        <v>3298</v>
      </c>
      <c r="K283" s="8" t="s">
        <v>3183</v>
      </c>
      <c r="L283" s="10" t="s">
        <v>3398</v>
      </c>
      <c r="M283" s="10" t="s">
        <v>3511</v>
      </c>
      <c r="N283" s="10" t="s">
        <v>3512</v>
      </c>
      <c r="O283" s="8" t="s">
        <v>322</v>
      </c>
      <c r="P283" s="8"/>
      <c r="Q283" s="8"/>
      <c r="R283" s="8">
        <v>10811</v>
      </c>
      <c r="S283" s="8" t="s">
        <v>332</v>
      </c>
      <c r="T283" s="8"/>
      <c r="U283" s="8"/>
      <c r="V283" s="8"/>
      <c r="W283" s="8"/>
      <c r="X283" s="8"/>
      <c r="Y283" s="8"/>
      <c r="Z283" s="10" t="s">
        <v>3696</v>
      </c>
      <c r="AA283" s="8" t="s">
        <v>332</v>
      </c>
      <c r="AB283" s="8">
        <v>1</v>
      </c>
    </row>
    <row r="284" spans="1:28" ht="21.6" customHeight="1">
      <c r="A284" s="8">
        <v>225</v>
      </c>
      <c r="B284" s="8">
        <v>2025030586</v>
      </c>
      <c r="C284" s="8">
        <v>1</v>
      </c>
      <c r="D284" s="8" t="s">
        <v>3177</v>
      </c>
      <c r="E284" s="8" t="s">
        <v>118</v>
      </c>
      <c r="F284" s="8" t="s">
        <v>3826</v>
      </c>
      <c r="G284" s="8" t="s">
        <v>3233</v>
      </c>
      <c r="H284" s="8" t="s">
        <v>3381</v>
      </c>
      <c r="I284" s="8" t="s">
        <v>3513</v>
      </c>
      <c r="J284" s="8" t="s">
        <v>3298</v>
      </c>
      <c r="K284" s="8" t="s">
        <v>3183</v>
      </c>
      <c r="L284" s="10" t="s">
        <v>3398</v>
      </c>
      <c r="M284" s="10" t="s">
        <v>3514</v>
      </c>
      <c r="N284" s="10" t="s">
        <v>3379</v>
      </c>
      <c r="O284" s="8" t="s">
        <v>322</v>
      </c>
      <c r="P284" s="8"/>
      <c r="Q284" s="8"/>
      <c r="R284" s="8">
        <v>132626</v>
      </c>
      <c r="S284" s="8" t="s">
        <v>332</v>
      </c>
      <c r="T284" s="8"/>
      <c r="U284" s="8"/>
      <c r="V284" s="8"/>
      <c r="W284" s="8"/>
      <c r="X284" s="8"/>
      <c r="Y284" s="8"/>
      <c r="Z284" s="10" t="s">
        <v>3696</v>
      </c>
      <c r="AA284" s="8" t="s">
        <v>332</v>
      </c>
      <c r="AB284" s="8">
        <v>1</v>
      </c>
    </row>
    <row r="285" spans="1:28" ht="21.6" customHeight="1">
      <c r="A285" s="8">
        <v>227</v>
      </c>
      <c r="B285" s="8">
        <v>2025032460</v>
      </c>
      <c r="C285" s="8">
        <v>1</v>
      </c>
      <c r="D285" s="8" t="s">
        <v>3177</v>
      </c>
      <c r="E285" s="8" t="s">
        <v>118</v>
      </c>
      <c r="F285" s="8" t="s">
        <v>3778</v>
      </c>
      <c r="G285" s="8" t="s">
        <v>3350</v>
      </c>
      <c r="H285" s="8" t="s">
        <v>3363</v>
      </c>
      <c r="I285" s="8" t="s">
        <v>3513</v>
      </c>
      <c r="J285" s="8" t="s">
        <v>3298</v>
      </c>
      <c r="K285" s="8" t="s">
        <v>3183</v>
      </c>
      <c r="L285" s="10" t="s">
        <v>3398</v>
      </c>
      <c r="M285" s="10" t="s">
        <v>3514</v>
      </c>
      <c r="N285" s="10" t="s">
        <v>3379</v>
      </c>
      <c r="O285" s="8" t="s">
        <v>322</v>
      </c>
      <c r="P285" s="8"/>
      <c r="Q285" s="8"/>
      <c r="R285" s="8">
        <v>132626</v>
      </c>
      <c r="S285" s="8"/>
      <c r="T285" s="8"/>
      <c r="U285" s="8" t="s">
        <v>332</v>
      </c>
      <c r="V285" s="8"/>
      <c r="W285" s="8"/>
      <c r="X285" s="8"/>
      <c r="Y285" s="8" t="s">
        <v>332</v>
      </c>
      <c r="Z285" s="10" t="s">
        <v>3861</v>
      </c>
      <c r="AA285" s="8" t="s">
        <v>332</v>
      </c>
      <c r="AB285" s="8">
        <v>1</v>
      </c>
    </row>
    <row r="286" spans="1:28" ht="21.6" customHeight="1">
      <c r="A286" s="8">
        <v>228</v>
      </c>
      <c r="B286" s="8">
        <v>2025030594</v>
      </c>
      <c r="C286" s="8">
        <v>1</v>
      </c>
      <c r="D286" s="8" t="s">
        <v>3177</v>
      </c>
      <c r="E286" s="8" t="s">
        <v>118</v>
      </c>
      <c r="F286" s="8" t="s">
        <v>3826</v>
      </c>
      <c r="G286" s="8" t="s">
        <v>3368</v>
      </c>
      <c r="H286" s="8" t="s">
        <v>3250</v>
      </c>
      <c r="I286" s="8" t="s">
        <v>3518</v>
      </c>
      <c r="J286" s="8" t="s">
        <v>3298</v>
      </c>
      <c r="K286" s="8" t="s">
        <v>3183</v>
      </c>
      <c r="L286" s="10" t="s">
        <v>3398</v>
      </c>
      <c r="M286" s="10" t="s">
        <v>3519</v>
      </c>
      <c r="N286" s="10" t="s">
        <v>3520</v>
      </c>
      <c r="O286" s="8" t="s">
        <v>322</v>
      </c>
      <c r="P286" s="8"/>
      <c r="Q286" s="8"/>
      <c r="R286" s="8">
        <v>220153</v>
      </c>
      <c r="S286" s="8" t="s">
        <v>332</v>
      </c>
      <c r="T286" s="8"/>
      <c r="U286" s="8"/>
      <c r="V286" s="8"/>
      <c r="W286" s="8"/>
      <c r="X286" s="8"/>
      <c r="Y286" s="8"/>
      <c r="Z286" s="10" t="s">
        <v>3696</v>
      </c>
      <c r="AA286" s="8" t="s">
        <v>332</v>
      </c>
      <c r="AB286" s="8">
        <v>1</v>
      </c>
    </row>
    <row r="287" spans="1:28" ht="21.6" customHeight="1">
      <c r="A287" s="8">
        <v>230</v>
      </c>
      <c r="B287" s="8">
        <v>2025032461</v>
      </c>
      <c r="C287" s="8">
        <v>1</v>
      </c>
      <c r="D287" s="8" t="s">
        <v>3177</v>
      </c>
      <c r="E287" s="8" t="s">
        <v>118</v>
      </c>
      <c r="F287" s="8" t="s">
        <v>3778</v>
      </c>
      <c r="G287" s="8" t="s">
        <v>3363</v>
      </c>
      <c r="H287" s="8" t="s">
        <v>3381</v>
      </c>
      <c r="I287" s="8" t="s">
        <v>3518</v>
      </c>
      <c r="J287" s="8" t="s">
        <v>3298</v>
      </c>
      <c r="K287" s="8" t="s">
        <v>3183</v>
      </c>
      <c r="L287" s="10" t="s">
        <v>3398</v>
      </c>
      <c r="M287" s="10" t="s">
        <v>3519</v>
      </c>
      <c r="N287" s="10" t="s">
        <v>3520</v>
      </c>
      <c r="O287" s="8" t="s">
        <v>322</v>
      </c>
      <c r="P287" s="8"/>
      <c r="Q287" s="8"/>
      <c r="R287" s="8">
        <v>220153</v>
      </c>
      <c r="S287" s="8"/>
      <c r="T287" s="8" t="s">
        <v>332</v>
      </c>
      <c r="U287" s="8"/>
      <c r="V287" s="8"/>
      <c r="W287" s="8"/>
      <c r="X287" s="8"/>
      <c r="Y287" s="8" t="s">
        <v>332</v>
      </c>
      <c r="Z287" s="10" t="s">
        <v>3862</v>
      </c>
      <c r="AA287" s="8" t="s">
        <v>332</v>
      </c>
      <c r="AB287" s="8">
        <v>1</v>
      </c>
    </row>
    <row r="288" spans="1:28" ht="21.6" customHeight="1">
      <c r="A288" s="8">
        <v>231</v>
      </c>
      <c r="B288" s="8">
        <v>2025030596</v>
      </c>
      <c r="C288" s="8">
        <v>1</v>
      </c>
      <c r="D288" s="8" t="s">
        <v>3177</v>
      </c>
      <c r="E288" s="8" t="s">
        <v>118</v>
      </c>
      <c r="F288" s="8" t="s">
        <v>3826</v>
      </c>
      <c r="G288" s="8" t="s">
        <v>3250</v>
      </c>
      <c r="H288" s="8" t="s">
        <v>3204</v>
      </c>
      <c r="I288" s="8" t="s">
        <v>3521</v>
      </c>
      <c r="J288" s="8" t="s">
        <v>3298</v>
      </c>
      <c r="K288" s="8" t="s">
        <v>3183</v>
      </c>
      <c r="L288" s="10" t="s">
        <v>3398</v>
      </c>
      <c r="M288" s="10" t="s">
        <v>3522</v>
      </c>
      <c r="N288" s="10" t="s">
        <v>3523</v>
      </c>
      <c r="O288" s="8" t="s">
        <v>322</v>
      </c>
      <c r="P288" s="8"/>
      <c r="Q288" s="8"/>
      <c r="R288" s="8">
        <v>105706</v>
      </c>
      <c r="S288" s="8" t="s">
        <v>332</v>
      </c>
      <c r="T288" s="8"/>
      <c r="U288" s="8"/>
      <c r="V288" s="8"/>
      <c r="W288" s="8"/>
      <c r="X288" s="8"/>
      <c r="Y288" s="8"/>
      <c r="Z288" s="10" t="s">
        <v>3696</v>
      </c>
      <c r="AA288" s="8" t="s">
        <v>332</v>
      </c>
      <c r="AB288" s="8">
        <v>1</v>
      </c>
    </row>
    <row r="289" spans="1:28" ht="21.6" customHeight="1">
      <c r="A289" s="8">
        <v>237</v>
      </c>
      <c r="B289" s="8">
        <v>2025030592</v>
      </c>
      <c r="C289" s="8">
        <v>1</v>
      </c>
      <c r="D289" s="8" t="s">
        <v>3177</v>
      </c>
      <c r="E289" s="8" t="s">
        <v>118</v>
      </c>
      <c r="F289" s="8" t="s">
        <v>3826</v>
      </c>
      <c r="G289" s="8" t="s">
        <v>3357</v>
      </c>
      <c r="H289" s="8" t="s">
        <v>3342</v>
      </c>
      <c r="I289" s="8" t="s">
        <v>3534</v>
      </c>
      <c r="J289" s="8" t="s">
        <v>3298</v>
      </c>
      <c r="K289" s="8" t="s">
        <v>3183</v>
      </c>
      <c r="L289" s="10" t="s">
        <v>3398</v>
      </c>
      <c r="M289" s="10" t="s">
        <v>3535</v>
      </c>
      <c r="N289" s="10" t="s">
        <v>3494</v>
      </c>
      <c r="O289" s="8" t="s">
        <v>322</v>
      </c>
      <c r="P289" s="8"/>
      <c r="Q289" s="8"/>
      <c r="R289" s="8">
        <v>173363</v>
      </c>
      <c r="S289" s="8" t="s">
        <v>332</v>
      </c>
      <c r="T289" s="8"/>
      <c r="U289" s="8"/>
      <c r="V289" s="8"/>
      <c r="W289" s="8"/>
      <c r="X289" s="8"/>
      <c r="Y289" s="8"/>
      <c r="Z289" s="10" t="s">
        <v>3696</v>
      </c>
      <c r="AA289" s="8" t="s">
        <v>332</v>
      </c>
      <c r="AB289" s="8">
        <v>1</v>
      </c>
    </row>
    <row r="290" spans="1:28" ht="21.6" customHeight="1">
      <c r="A290" s="8">
        <v>239</v>
      </c>
      <c r="B290" s="8">
        <v>2025031277</v>
      </c>
      <c r="C290" s="8">
        <v>1</v>
      </c>
      <c r="D290" s="8" t="s">
        <v>3177</v>
      </c>
      <c r="E290" s="8" t="s">
        <v>118</v>
      </c>
      <c r="F290" s="8" t="s">
        <v>3813</v>
      </c>
      <c r="G290" s="8" t="s">
        <v>3250</v>
      </c>
      <c r="H290" s="8" t="s">
        <v>3204</v>
      </c>
      <c r="I290" s="8" t="s">
        <v>3536</v>
      </c>
      <c r="J290" s="8" t="s">
        <v>3298</v>
      </c>
      <c r="K290" s="8" t="s">
        <v>3183</v>
      </c>
      <c r="L290" s="10" t="s">
        <v>3537</v>
      </c>
      <c r="M290" s="10" t="s">
        <v>3538</v>
      </c>
      <c r="N290" s="10"/>
      <c r="O290" s="8" t="s">
        <v>322</v>
      </c>
      <c r="P290" s="8"/>
      <c r="Q290" s="8"/>
      <c r="R290" s="8">
        <v>113516</v>
      </c>
      <c r="S290" s="8" t="s">
        <v>332</v>
      </c>
      <c r="T290" s="8"/>
      <c r="U290" s="8"/>
      <c r="V290" s="8"/>
      <c r="W290" s="8"/>
      <c r="X290" s="8"/>
      <c r="Y290" s="8"/>
      <c r="Z290" s="10" t="s">
        <v>3696</v>
      </c>
      <c r="AA290" s="8" t="s">
        <v>332</v>
      </c>
      <c r="AB290" s="8">
        <v>1</v>
      </c>
    </row>
    <row r="291" spans="1:28" ht="21.6" customHeight="1">
      <c r="A291" s="8">
        <v>243</v>
      </c>
      <c r="B291" s="8">
        <v>2025031830</v>
      </c>
      <c r="C291" s="8">
        <v>1</v>
      </c>
      <c r="D291" s="8" t="s">
        <v>3177</v>
      </c>
      <c r="E291" s="8" t="s">
        <v>118</v>
      </c>
      <c r="F291" s="8" t="s">
        <v>3853</v>
      </c>
      <c r="G291" s="8" t="s">
        <v>3368</v>
      </c>
      <c r="H291" s="8" t="s">
        <v>3386</v>
      </c>
      <c r="I291" s="8" t="s">
        <v>3732</v>
      </c>
      <c r="J291" s="8" t="s">
        <v>3733</v>
      </c>
      <c r="K291" s="8" t="s">
        <v>3183</v>
      </c>
      <c r="L291" s="10" t="s">
        <v>3254</v>
      </c>
      <c r="M291" s="10" t="s">
        <v>3734</v>
      </c>
      <c r="N291" s="10" t="s">
        <v>3735</v>
      </c>
      <c r="O291" s="8" t="s">
        <v>322</v>
      </c>
      <c r="P291" s="8"/>
      <c r="Q291" s="8">
        <v>1720</v>
      </c>
      <c r="R291" s="8">
        <v>112776</v>
      </c>
      <c r="S291" s="8"/>
      <c r="T291" s="8"/>
      <c r="U291" s="8"/>
      <c r="V291" s="8"/>
      <c r="W291" s="8"/>
      <c r="X291" s="8"/>
      <c r="Y291" s="8" t="s">
        <v>332</v>
      </c>
      <c r="Z291" s="10" t="s">
        <v>3863</v>
      </c>
      <c r="AA291" s="8" t="s">
        <v>332</v>
      </c>
      <c r="AB291" s="8">
        <v>1</v>
      </c>
    </row>
    <row r="292" spans="1:28" ht="21.6" customHeight="1">
      <c r="A292" s="8">
        <v>257</v>
      </c>
      <c r="B292" s="8">
        <v>2025033024</v>
      </c>
      <c r="C292" s="8">
        <v>1</v>
      </c>
      <c r="D292" s="8" t="s">
        <v>3177</v>
      </c>
      <c r="E292" s="8" t="s">
        <v>118</v>
      </c>
      <c r="F292" s="8" t="s">
        <v>3804</v>
      </c>
      <c r="G292" s="8" t="s">
        <v>3250</v>
      </c>
      <c r="H292" s="8" t="s">
        <v>3204</v>
      </c>
      <c r="I292" s="8" t="s">
        <v>3746</v>
      </c>
      <c r="J292" s="8" t="s">
        <v>3543</v>
      </c>
      <c r="K292" s="8" t="s">
        <v>3183</v>
      </c>
      <c r="L292" s="10" t="s">
        <v>3254</v>
      </c>
      <c r="M292" s="10" t="s">
        <v>3547</v>
      </c>
      <c r="N292" s="10" t="s">
        <v>3747</v>
      </c>
      <c r="O292" s="8" t="s">
        <v>322</v>
      </c>
      <c r="P292" s="8"/>
      <c r="Q292" s="8"/>
      <c r="R292" s="8">
        <v>929886</v>
      </c>
      <c r="S292" s="8"/>
      <c r="T292" s="8"/>
      <c r="U292" s="8"/>
      <c r="V292" s="8"/>
      <c r="W292" s="8"/>
      <c r="X292" s="8"/>
      <c r="Y292" s="8" t="s">
        <v>332</v>
      </c>
      <c r="Z292" s="10" t="s">
        <v>3864</v>
      </c>
      <c r="AA292" s="8" t="s">
        <v>332</v>
      </c>
      <c r="AB292" s="8">
        <v>1</v>
      </c>
    </row>
    <row r="293" spans="1:28" ht="21.6" customHeight="1">
      <c r="A293" s="8">
        <v>258</v>
      </c>
      <c r="B293" s="8">
        <v>2025031348</v>
      </c>
      <c r="C293" s="8">
        <v>1</v>
      </c>
      <c r="D293" s="8" t="s">
        <v>3177</v>
      </c>
      <c r="E293" s="8" t="s">
        <v>118</v>
      </c>
      <c r="F293" s="8" t="s">
        <v>3865</v>
      </c>
      <c r="G293" s="8" t="s">
        <v>3233</v>
      </c>
      <c r="H293" s="8" t="s">
        <v>3381</v>
      </c>
      <c r="I293" s="8" t="s">
        <v>3557</v>
      </c>
      <c r="J293" s="8" t="s">
        <v>3328</v>
      </c>
      <c r="K293" s="8" t="s">
        <v>3183</v>
      </c>
      <c r="L293" s="10" t="s">
        <v>3558</v>
      </c>
      <c r="M293" s="10" t="s">
        <v>3559</v>
      </c>
      <c r="N293" s="10" t="s">
        <v>3508</v>
      </c>
      <c r="O293" s="8" t="s">
        <v>322</v>
      </c>
      <c r="P293" s="8"/>
      <c r="Q293" s="8">
        <v>2107</v>
      </c>
      <c r="R293" s="8">
        <v>832</v>
      </c>
      <c r="S293" s="8" t="s">
        <v>332</v>
      </c>
      <c r="T293" s="8"/>
      <c r="U293" s="8"/>
      <c r="V293" s="8"/>
      <c r="W293" s="8"/>
      <c r="X293" s="8"/>
      <c r="Y293" s="8"/>
      <c r="Z293" s="10" t="s">
        <v>3696</v>
      </c>
      <c r="AA293" s="8" t="s">
        <v>332</v>
      </c>
      <c r="AB293" s="8">
        <v>1</v>
      </c>
    </row>
    <row r="294" spans="1:28" ht="21.6" customHeight="1">
      <c r="A294" s="8">
        <v>260</v>
      </c>
      <c r="B294" s="8">
        <v>2025033371</v>
      </c>
      <c r="C294" s="8">
        <v>1</v>
      </c>
      <c r="D294" s="8" t="s">
        <v>3177</v>
      </c>
      <c r="E294" s="8" t="s">
        <v>118</v>
      </c>
      <c r="F294" s="8" t="s">
        <v>3836</v>
      </c>
      <c r="G294" s="8" t="s">
        <v>3387</v>
      </c>
      <c r="H294" s="8" t="s">
        <v>3690</v>
      </c>
      <c r="I294" s="8" t="s">
        <v>3562</v>
      </c>
      <c r="J294" s="8" t="s">
        <v>1717</v>
      </c>
      <c r="K294" s="8" t="s">
        <v>3183</v>
      </c>
      <c r="L294" s="10" t="s">
        <v>3563</v>
      </c>
      <c r="M294" s="10" t="s">
        <v>3564</v>
      </c>
      <c r="N294" s="10" t="s">
        <v>3565</v>
      </c>
      <c r="O294" s="8" t="s">
        <v>363</v>
      </c>
      <c r="P294" s="8"/>
      <c r="Q294" s="8"/>
      <c r="R294" s="8">
        <v>88373</v>
      </c>
      <c r="S294" s="8"/>
      <c r="T294" s="8"/>
      <c r="U294" s="8"/>
      <c r="V294" s="8"/>
      <c r="W294" s="8"/>
      <c r="X294" s="8"/>
      <c r="Y294" s="8"/>
      <c r="Z294" s="10" t="s">
        <v>3866</v>
      </c>
      <c r="AA294" s="8" t="s">
        <v>332</v>
      </c>
      <c r="AB294" s="8">
        <v>1</v>
      </c>
    </row>
    <row r="295" spans="1:28" ht="21.6" customHeight="1">
      <c r="A295" s="8">
        <v>261</v>
      </c>
      <c r="B295" s="8">
        <v>2025033545</v>
      </c>
      <c r="C295" s="8">
        <v>1</v>
      </c>
      <c r="D295" s="8" t="s">
        <v>3177</v>
      </c>
      <c r="E295" s="8" t="s">
        <v>118</v>
      </c>
      <c r="F295" s="8" t="s">
        <v>3844</v>
      </c>
      <c r="G295" s="8" t="s">
        <v>3350</v>
      </c>
      <c r="H295" s="8" t="s">
        <v>3363</v>
      </c>
      <c r="I295" s="8" t="s">
        <v>3562</v>
      </c>
      <c r="J295" s="8" t="s">
        <v>1717</v>
      </c>
      <c r="K295" s="8" t="s">
        <v>3183</v>
      </c>
      <c r="L295" s="10" t="s">
        <v>3563</v>
      </c>
      <c r="M295" s="10" t="s">
        <v>3564</v>
      </c>
      <c r="N295" s="10" t="s">
        <v>3565</v>
      </c>
      <c r="O295" s="8" t="s">
        <v>322</v>
      </c>
      <c r="P295" s="8"/>
      <c r="Q295" s="8"/>
      <c r="R295" s="8">
        <v>88373</v>
      </c>
      <c r="S295" s="8"/>
      <c r="T295" s="8"/>
      <c r="U295" s="8"/>
      <c r="V295" s="8"/>
      <c r="W295" s="8"/>
      <c r="X295" s="8"/>
      <c r="Y295" s="8" t="s">
        <v>332</v>
      </c>
      <c r="Z295" s="10" t="s">
        <v>3830</v>
      </c>
      <c r="AA295" s="8" t="s">
        <v>332</v>
      </c>
      <c r="AB295" s="8">
        <v>1</v>
      </c>
    </row>
    <row r="296" spans="1:28" ht="21.6" customHeight="1">
      <c r="A296" s="8">
        <v>262</v>
      </c>
      <c r="B296" s="8">
        <v>2025031475</v>
      </c>
      <c r="C296" s="8">
        <v>1</v>
      </c>
      <c r="D296" s="8" t="s">
        <v>3177</v>
      </c>
      <c r="E296" s="8" t="s">
        <v>118</v>
      </c>
      <c r="F296" s="8" t="s">
        <v>3865</v>
      </c>
      <c r="G296" s="8" t="s">
        <v>3431</v>
      </c>
      <c r="H296" s="8" t="s">
        <v>3432</v>
      </c>
      <c r="I296" s="8" t="s">
        <v>3567</v>
      </c>
      <c r="J296" s="8" t="s">
        <v>1717</v>
      </c>
      <c r="K296" s="8" t="s">
        <v>3183</v>
      </c>
      <c r="L296" s="10" t="s">
        <v>3254</v>
      </c>
      <c r="M296" s="10" t="s">
        <v>3547</v>
      </c>
      <c r="N296" s="10" t="s">
        <v>3568</v>
      </c>
      <c r="O296" s="8" t="s">
        <v>322</v>
      </c>
      <c r="P296" s="8"/>
      <c r="Q296" s="8"/>
      <c r="R296" s="8">
        <v>64520</v>
      </c>
      <c r="S296" s="8"/>
      <c r="T296" s="8"/>
      <c r="U296" s="8" t="s">
        <v>332</v>
      </c>
      <c r="V296" s="8"/>
      <c r="W296" s="8"/>
      <c r="X296" s="8"/>
      <c r="Y296" s="8"/>
      <c r="Z296" s="10" t="s">
        <v>3362</v>
      </c>
      <c r="AA296" s="8" t="s">
        <v>332</v>
      </c>
      <c r="AB296" s="8">
        <v>1</v>
      </c>
    </row>
    <row r="297" spans="1:28" ht="21.6" customHeight="1">
      <c r="A297" s="8">
        <v>263</v>
      </c>
      <c r="B297" s="8">
        <v>2025031654</v>
      </c>
      <c r="C297" s="8">
        <v>1</v>
      </c>
      <c r="D297" s="8" t="s">
        <v>3177</v>
      </c>
      <c r="E297" s="8" t="s">
        <v>118</v>
      </c>
      <c r="F297" s="8" t="s">
        <v>3825</v>
      </c>
      <c r="G297" s="8" t="s">
        <v>3387</v>
      </c>
      <c r="H297" s="8" t="s">
        <v>3426</v>
      </c>
      <c r="I297" s="8" t="s">
        <v>3567</v>
      </c>
      <c r="J297" s="8" t="s">
        <v>1717</v>
      </c>
      <c r="K297" s="8" t="s">
        <v>3183</v>
      </c>
      <c r="L297" s="10" t="s">
        <v>3254</v>
      </c>
      <c r="M297" s="10" t="s">
        <v>3547</v>
      </c>
      <c r="N297" s="10" t="s">
        <v>3568</v>
      </c>
      <c r="O297" s="8" t="s">
        <v>322</v>
      </c>
      <c r="P297" s="8"/>
      <c r="Q297" s="8"/>
      <c r="R297" s="8">
        <v>64520</v>
      </c>
      <c r="S297" s="8"/>
      <c r="T297" s="8"/>
      <c r="U297" s="8" t="s">
        <v>332</v>
      </c>
      <c r="V297" s="8"/>
      <c r="W297" s="8"/>
      <c r="X297" s="8"/>
      <c r="Y297" s="8"/>
      <c r="Z297" s="10" t="s">
        <v>3362</v>
      </c>
      <c r="AA297" s="8" t="s">
        <v>332</v>
      </c>
      <c r="AB297" s="8">
        <v>1</v>
      </c>
    </row>
    <row r="298" spans="1:28" ht="21.6" customHeight="1">
      <c r="A298" s="8">
        <v>264</v>
      </c>
      <c r="B298" s="8">
        <v>2025033025</v>
      </c>
      <c r="C298" s="8">
        <v>1</v>
      </c>
      <c r="D298" s="8" t="s">
        <v>3177</v>
      </c>
      <c r="E298" s="8" t="s">
        <v>118</v>
      </c>
      <c r="F298" s="8" t="s">
        <v>3804</v>
      </c>
      <c r="G298" s="8" t="s">
        <v>3204</v>
      </c>
      <c r="H298" s="8" t="s">
        <v>3427</v>
      </c>
      <c r="I298" s="8" t="s">
        <v>3567</v>
      </c>
      <c r="J298" s="8" t="s">
        <v>1717</v>
      </c>
      <c r="K298" s="8" t="s">
        <v>3183</v>
      </c>
      <c r="L298" s="10" t="s">
        <v>3254</v>
      </c>
      <c r="M298" s="10" t="s">
        <v>3547</v>
      </c>
      <c r="N298" s="10" t="s">
        <v>3568</v>
      </c>
      <c r="O298" s="8" t="s">
        <v>322</v>
      </c>
      <c r="P298" s="8"/>
      <c r="Q298" s="8"/>
      <c r="R298" s="8">
        <v>64520</v>
      </c>
      <c r="S298" s="8"/>
      <c r="T298" s="8"/>
      <c r="U298" s="8"/>
      <c r="V298" s="8"/>
      <c r="W298" s="8"/>
      <c r="X298" s="8"/>
      <c r="Y298" s="8" t="s">
        <v>332</v>
      </c>
      <c r="Z298" s="10" t="s">
        <v>3864</v>
      </c>
      <c r="AA298" s="8" t="s">
        <v>332</v>
      </c>
      <c r="AB298" s="8">
        <v>1</v>
      </c>
    </row>
    <row r="299" spans="1:28" ht="21.6" customHeight="1">
      <c r="A299" s="8">
        <v>265</v>
      </c>
      <c r="B299" s="8">
        <v>2025031474</v>
      </c>
      <c r="C299" s="8">
        <v>1</v>
      </c>
      <c r="D299" s="8" t="s">
        <v>3177</v>
      </c>
      <c r="E299" s="8" t="s">
        <v>118</v>
      </c>
      <c r="F299" s="8" t="s">
        <v>3865</v>
      </c>
      <c r="G299" s="8" t="s">
        <v>3431</v>
      </c>
      <c r="H299" s="8" t="s">
        <v>3432</v>
      </c>
      <c r="I299" s="8" t="s">
        <v>3570</v>
      </c>
      <c r="J299" s="8" t="s">
        <v>1717</v>
      </c>
      <c r="K299" s="8" t="s">
        <v>3183</v>
      </c>
      <c r="L299" s="10" t="s">
        <v>3254</v>
      </c>
      <c r="M299" s="10" t="s">
        <v>3547</v>
      </c>
      <c r="N299" s="10" t="s">
        <v>3571</v>
      </c>
      <c r="O299" s="8" t="s">
        <v>322</v>
      </c>
      <c r="P299" s="8"/>
      <c r="Q299" s="8"/>
      <c r="R299" s="8">
        <v>165091</v>
      </c>
      <c r="S299" s="8"/>
      <c r="T299" s="8" t="s">
        <v>332</v>
      </c>
      <c r="U299" s="8"/>
      <c r="V299" s="8"/>
      <c r="W299" s="8"/>
      <c r="X299" s="8"/>
      <c r="Y299" s="8"/>
      <c r="Z299" s="10" t="s">
        <v>3362</v>
      </c>
      <c r="AA299" s="8" t="s">
        <v>332</v>
      </c>
      <c r="AB299" s="8">
        <v>1</v>
      </c>
    </row>
    <row r="300" spans="1:28" ht="21.6" customHeight="1">
      <c r="A300" s="8">
        <v>266</v>
      </c>
      <c r="B300" s="8">
        <v>2025031653</v>
      </c>
      <c r="C300" s="8">
        <v>1</v>
      </c>
      <c r="D300" s="8" t="s">
        <v>3177</v>
      </c>
      <c r="E300" s="8" t="s">
        <v>118</v>
      </c>
      <c r="F300" s="8" t="s">
        <v>3825</v>
      </c>
      <c r="G300" s="8" t="s">
        <v>3386</v>
      </c>
      <c r="H300" s="8" t="s">
        <v>3387</v>
      </c>
      <c r="I300" s="8" t="s">
        <v>3570</v>
      </c>
      <c r="J300" s="8" t="s">
        <v>1717</v>
      </c>
      <c r="K300" s="8" t="s">
        <v>3183</v>
      </c>
      <c r="L300" s="10" t="s">
        <v>3254</v>
      </c>
      <c r="M300" s="10" t="s">
        <v>3547</v>
      </c>
      <c r="N300" s="10" t="s">
        <v>3571</v>
      </c>
      <c r="O300" s="8" t="s">
        <v>322</v>
      </c>
      <c r="P300" s="8"/>
      <c r="Q300" s="8"/>
      <c r="R300" s="8">
        <v>165091</v>
      </c>
      <c r="S300" s="8"/>
      <c r="T300" s="8"/>
      <c r="U300" s="8" t="s">
        <v>332</v>
      </c>
      <c r="V300" s="8"/>
      <c r="W300" s="8"/>
      <c r="X300" s="8"/>
      <c r="Y300" s="8"/>
      <c r="Z300" s="10" t="s">
        <v>3362</v>
      </c>
      <c r="AA300" s="8" t="s">
        <v>332</v>
      </c>
      <c r="AB300" s="8">
        <v>1</v>
      </c>
    </row>
    <row r="301" spans="1:28" ht="21.6" customHeight="1">
      <c r="A301" s="8">
        <v>267</v>
      </c>
      <c r="B301" s="8">
        <v>2025033023</v>
      </c>
      <c r="C301" s="8">
        <v>1</v>
      </c>
      <c r="D301" s="8" t="s">
        <v>3177</v>
      </c>
      <c r="E301" s="8" t="s">
        <v>118</v>
      </c>
      <c r="F301" s="8" t="s">
        <v>3804</v>
      </c>
      <c r="G301" s="8" t="s">
        <v>3368</v>
      </c>
      <c r="H301" s="8" t="s">
        <v>3250</v>
      </c>
      <c r="I301" s="8" t="s">
        <v>3570</v>
      </c>
      <c r="J301" s="8" t="s">
        <v>1717</v>
      </c>
      <c r="K301" s="8" t="s">
        <v>3183</v>
      </c>
      <c r="L301" s="10" t="s">
        <v>3254</v>
      </c>
      <c r="M301" s="10" t="s">
        <v>3547</v>
      </c>
      <c r="N301" s="10" t="s">
        <v>3571</v>
      </c>
      <c r="O301" s="8" t="s">
        <v>322</v>
      </c>
      <c r="P301" s="8"/>
      <c r="Q301" s="8"/>
      <c r="R301" s="8">
        <v>165091</v>
      </c>
      <c r="S301" s="8"/>
      <c r="T301" s="8"/>
      <c r="U301" s="8"/>
      <c r="V301" s="8"/>
      <c r="W301" s="8"/>
      <c r="X301" s="8"/>
      <c r="Y301" s="8" t="s">
        <v>332</v>
      </c>
      <c r="Z301" s="10" t="s">
        <v>3864</v>
      </c>
      <c r="AA301" s="8" t="s">
        <v>332</v>
      </c>
      <c r="AB301" s="8">
        <v>1</v>
      </c>
    </row>
    <row r="302" spans="1:28" ht="21.6" customHeight="1">
      <c r="A302" s="8">
        <v>268</v>
      </c>
      <c r="B302" s="8">
        <v>2025032881</v>
      </c>
      <c r="C302" s="8">
        <v>1</v>
      </c>
      <c r="D302" s="8" t="s">
        <v>3177</v>
      </c>
      <c r="E302" s="8" t="s">
        <v>118</v>
      </c>
      <c r="F302" s="8" t="s">
        <v>3814</v>
      </c>
      <c r="G302" s="8" t="s">
        <v>3233</v>
      </c>
      <c r="H302" s="8" t="s">
        <v>3381</v>
      </c>
      <c r="I302" s="8" t="s">
        <v>3572</v>
      </c>
      <c r="J302" s="8" t="s">
        <v>1717</v>
      </c>
      <c r="K302" s="8" t="s">
        <v>3183</v>
      </c>
      <c r="L302" s="10" t="s">
        <v>3472</v>
      </c>
      <c r="M302" s="10" t="s">
        <v>3410</v>
      </c>
      <c r="N302" s="10" t="s">
        <v>3442</v>
      </c>
      <c r="O302" s="8" t="s">
        <v>322</v>
      </c>
      <c r="P302" s="8"/>
      <c r="Q302" s="8"/>
      <c r="R302" s="8">
        <v>40698</v>
      </c>
      <c r="S302" s="8" t="s">
        <v>332</v>
      </c>
      <c r="T302" s="8"/>
      <c r="U302" s="8"/>
      <c r="V302" s="8"/>
      <c r="W302" s="8"/>
      <c r="X302" s="8"/>
      <c r="Y302" s="8"/>
      <c r="Z302" s="10" t="s">
        <v>3696</v>
      </c>
      <c r="AA302" s="8" t="s">
        <v>332</v>
      </c>
      <c r="AB302" s="8">
        <v>1</v>
      </c>
    </row>
    <row r="303" spans="1:28" ht="21.6" customHeight="1">
      <c r="A303" s="8">
        <v>270</v>
      </c>
      <c r="B303" s="8">
        <v>2025033115</v>
      </c>
      <c r="C303" s="8">
        <v>1</v>
      </c>
      <c r="D303" s="8" t="s">
        <v>3177</v>
      </c>
      <c r="E303" s="8" t="s">
        <v>118</v>
      </c>
      <c r="F303" s="8" t="s">
        <v>3832</v>
      </c>
      <c r="G303" s="8" t="s">
        <v>3280</v>
      </c>
      <c r="H303" s="8" t="s">
        <v>3401</v>
      </c>
      <c r="I303" s="8" t="s">
        <v>3572</v>
      </c>
      <c r="J303" s="8" t="s">
        <v>1717</v>
      </c>
      <c r="K303" s="8" t="s">
        <v>3183</v>
      </c>
      <c r="L303" s="10" t="s">
        <v>3472</v>
      </c>
      <c r="M303" s="10" t="s">
        <v>3410</v>
      </c>
      <c r="N303" s="10" t="s">
        <v>3442</v>
      </c>
      <c r="O303" s="8" t="s">
        <v>322</v>
      </c>
      <c r="P303" s="8"/>
      <c r="Q303" s="8"/>
      <c r="R303" s="8">
        <v>40698</v>
      </c>
      <c r="S303" s="8"/>
      <c r="T303" s="8"/>
      <c r="U303" s="8"/>
      <c r="V303" s="8"/>
      <c r="W303" s="8"/>
      <c r="X303" s="8"/>
      <c r="Y303" s="8" t="s">
        <v>332</v>
      </c>
      <c r="Z303" s="10" t="s">
        <v>3867</v>
      </c>
      <c r="AA303" s="8" t="s">
        <v>332</v>
      </c>
      <c r="AB303" s="8">
        <v>1</v>
      </c>
    </row>
    <row r="304" spans="1:28" ht="21.6" customHeight="1">
      <c r="A304" s="8">
        <v>273</v>
      </c>
      <c r="B304" s="8">
        <v>2025033299</v>
      </c>
      <c r="C304" s="8">
        <v>1</v>
      </c>
      <c r="D304" s="8" t="s">
        <v>3177</v>
      </c>
      <c r="E304" s="8" t="s">
        <v>118</v>
      </c>
      <c r="F304" s="8" t="s">
        <v>3836</v>
      </c>
      <c r="G304" s="8" t="s">
        <v>3280</v>
      </c>
      <c r="H304" s="8" t="s">
        <v>3381</v>
      </c>
      <c r="I304" s="8" t="s">
        <v>3757</v>
      </c>
      <c r="J304" s="8" t="s">
        <v>3758</v>
      </c>
      <c r="K304" s="8" t="s">
        <v>3183</v>
      </c>
      <c r="L304" s="10" t="s">
        <v>3759</v>
      </c>
      <c r="M304" s="10" t="s">
        <v>3760</v>
      </c>
      <c r="N304" s="10" t="s">
        <v>3761</v>
      </c>
      <c r="O304" s="8" t="s">
        <v>322</v>
      </c>
      <c r="P304" s="8"/>
      <c r="Q304" s="8">
        <v>1540</v>
      </c>
      <c r="R304" s="8">
        <v>116787</v>
      </c>
      <c r="S304" s="8"/>
      <c r="T304" s="8"/>
      <c r="U304" s="8"/>
      <c r="V304" s="8"/>
      <c r="W304" s="8"/>
      <c r="X304" s="8"/>
      <c r="Y304" s="8" t="s">
        <v>332</v>
      </c>
      <c r="Z304" s="10" t="s">
        <v>3868</v>
      </c>
      <c r="AA304" s="8" t="s">
        <v>332</v>
      </c>
      <c r="AB304" s="8">
        <v>1</v>
      </c>
    </row>
    <row r="305" spans="1:28" ht="21.6" customHeight="1">
      <c r="A305" s="8">
        <v>276</v>
      </c>
      <c r="B305" s="8">
        <v>2025030600</v>
      </c>
      <c r="C305" s="8">
        <v>1</v>
      </c>
      <c r="D305" s="8" t="s">
        <v>3177</v>
      </c>
      <c r="E305" s="8" t="s">
        <v>118</v>
      </c>
      <c r="F305" s="8" t="s">
        <v>3826</v>
      </c>
      <c r="G305" s="8" t="s">
        <v>3427</v>
      </c>
      <c r="H305" s="8" t="s">
        <v>3386</v>
      </c>
      <c r="I305" s="8" t="s">
        <v>3573</v>
      </c>
      <c r="J305" s="8" t="s">
        <v>3574</v>
      </c>
      <c r="K305" s="8" t="s">
        <v>3183</v>
      </c>
      <c r="L305" s="10" t="s">
        <v>3398</v>
      </c>
      <c r="M305" s="10" t="s">
        <v>3575</v>
      </c>
      <c r="N305" s="10" t="s">
        <v>3576</v>
      </c>
      <c r="O305" s="8" t="s">
        <v>322</v>
      </c>
      <c r="P305" s="8"/>
      <c r="Q305" s="8"/>
      <c r="R305" s="8">
        <v>23412</v>
      </c>
      <c r="S305" s="8" t="s">
        <v>332</v>
      </c>
      <c r="T305" s="8"/>
      <c r="U305" s="8"/>
      <c r="V305" s="8"/>
      <c r="W305" s="8"/>
      <c r="X305" s="8"/>
      <c r="Y305" s="8"/>
      <c r="Z305" s="10" t="s">
        <v>3696</v>
      </c>
      <c r="AA305" s="8" t="s">
        <v>332</v>
      </c>
      <c r="AB305" s="8">
        <v>1</v>
      </c>
    </row>
    <row r="306" spans="1:28" ht="21.6" customHeight="1">
      <c r="A306" s="8">
        <v>314</v>
      </c>
      <c r="B306" s="8">
        <v>2025032596</v>
      </c>
      <c r="C306" s="8">
        <v>1</v>
      </c>
      <c r="D306" s="8" t="s">
        <v>3177</v>
      </c>
      <c r="E306" s="8" t="s">
        <v>118</v>
      </c>
      <c r="F306" s="8" t="s">
        <v>3791</v>
      </c>
      <c r="G306" s="8" t="s">
        <v>3869</v>
      </c>
      <c r="H306" s="8" t="s">
        <v>3870</v>
      </c>
      <c r="I306" s="8" t="s">
        <v>3578</v>
      </c>
      <c r="J306" s="8" t="s">
        <v>3871</v>
      </c>
      <c r="K306" s="8" t="s">
        <v>3579</v>
      </c>
      <c r="L306" s="10" t="s">
        <v>3580</v>
      </c>
      <c r="M306" s="10" t="s">
        <v>3581</v>
      </c>
      <c r="N306" s="10" t="s">
        <v>3582</v>
      </c>
      <c r="O306" s="8" t="s">
        <v>322</v>
      </c>
      <c r="P306" s="8"/>
      <c r="Q306" s="8"/>
      <c r="R306" s="8">
        <v>0</v>
      </c>
      <c r="S306" s="8"/>
      <c r="T306" s="8"/>
      <c r="U306" s="8"/>
      <c r="V306" s="8"/>
      <c r="W306" s="8"/>
      <c r="X306" s="8"/>
      <c r="Y306" s="8" t="s">
        <v>332</v>
      </c>
      <c r="Z306" s="10" t="s">
        <v>3872</v>
      </c>
      <c r="AA306" s="8" t="s">
        <v>332</v>
      </c>
      <c r="AB306" s="8">
        <v>1</v>
      </c>
    </row>
    <row r="307" spans="1:28" ht="21.6" customHeight="1">
      <c r="A307" s="8">
        <v>315</v>
      </c>
      <c r="B307" s="8">
        <v>2025032391</v>
      </c>
      <c r="C307" s="8">
        <v>1</v>
      </c>
      <c r="D307" s="8" t="s">
        <v>3177</v>
      </c>
      <c r="E307" s="8" t="s">
        <v>118</v>
      </c>
      <c r="F307" s="8" t="s">
        <v>3772</v>
      </c>
      <c r="G307" s="8" t="s">
        <v>3368</v>
      </c>
      <c r="H307" s="8" t="s">
        <v>3873</v>
      </c>
      <c r="I307" s="8" t="s">
        <v>3874</v>
      </c>
      <c r="J307" s="8" t="s">
        <v>3871</v>
      </c>
      <c r="K307" s="8" t="s">
        <v>3579</v>
      </c>
      <c r="L307" s="10" t="s">
        <v>3580</v>
      </c>
      <c r="M307" s="10" t="s">
        <v>3581</v>
      </c>
      <c r="N307" s="10" t="s">
        <v>3582</v>
      </c>
      <c r="O307" s="8" t="s">
        <v>363</v>
      </c>
      <c r="P307" s="8"/>
      <c r="Q307" s="8"/>
      <c r="R307" s="8">
        <v>0</v>
      </c>
      <c r="S307" s="8"/>
      <c r="T307" s="8"/>
      <c r="U307" s="8"/>
      <c r="V307" s="8"/>
      <c r="W307" s="8"/>
      <c r="X307" s="8"/>
      <c r="Y307" s="8"/>
      <c r="Z307" s="10" t="s">
        <v>3875</v>
      </c>
      <c r="AA307" s="8" t="s">
        <v>332</v>
      </c>
      <c r="AB307" s="8">
        <v>1</v>
      </c>
    </row>
    <row r="308" spans="1:28" ht="21.6" customHeight="1">
      <c r="A308" s="8">
        <v>316</v>
      </c>
      <c r="B308" s="8">
        <v>2025030089</v>
      </c>
      <c r="C308" s="8">
        <v>1</v>
      </c>
      <c r="D308" s="8" t="s">
        <v>3177</v>
      </c>
      <c r="E308" s="8" t="s">
        <v>118</v>
      </c>
      <c r="F308" s="8" t="s">
        <v>3858</v>
      </c>
      <c r="G308" s="8" t="s">
        <v>3876</v>
      </c>
      <c r="H308" s="8" t="s">
        <v>3877</v>
      </c>
      <c r="I308" s="8" t="s">
        <v>3878</v>
      </c>
      <c r="J308" s="8"/>
      <c r="K308" s="8" t="s">
        <v>3579</v>
      </c>
      <c r="L308" s="10" t="s">
        <v>3580</v>
      </c>
      <c r="M308" s="10" t="s">
        <v>3581</v>
      </c>
      <c r="N308" s="10" t="s">
        <v>3582</v>
      </c>
      <c r="O308" s="8" t="s">
        <v>363</v>
      </c>
      <c r="P308" s="8"/>
      <c r="Q308" s="8"/>
      <c r="R308" s="8">
        <v>0</v>
      </c>
      <c r="S308" s="8"/>
      <c r="T308" s="8"/>
      <c r="U308" s="8"/>
      <c r="V308" s="8"/>
      <c r="W308" s="8"/>
      <c r="X308" s="8"/>
      <c r="Y308" s="8"/>
      <c r="Z308" s="10" t="s">
        <v>3879</v>
      </c>
      <c r="AA308" s="8" t="s">
        <v>332</v>
      </c>
      <c r="AB308" s="8">
        <v>1</v>
      </c>
    </row>
    <row r="309" spans="1:28" ht="21.6" customHeight="1">
      <c r="A309" s="8">
        <v>317</v>
      </c>
      <c r="B309" s="8">
        <v>2025031240</v>
      </c>
      <c r="C309" s="8">
        <v>1</v>
      </c>
      <c r="D309" s="8" t="s">
        <v>3177</v>
      </c>
      <c r="E309" s="8" t="s">
        <v>134</v>
      </c>
      <c r="F309" s="8" t="s">
        <v>3813</v>
      </c>
      <c r="G309" s="8" t="s">
        <v>3797</v>
      </c>
      <c r="H309" s="8" t="s">
        <v>3798</v>
      </c>
      <c r="I309" s="8" t="s">
        <v>3585</v>
      </c>
      <c r="J309" s="8" t="s">
        <v>3301</v>
      </c>
      <c r="K309" s="8" t="s">
        <v>3183</v>
      </c>
      <c r="L309" s="10" t="s">
        <v>3586</v>
      </c>
      <c r="M309" s="10" t="s">
        <v>3587</v>
      </c>
      <c r="N309" s="10" t="s">
        <v>3430</v>
      </c>
      <c r="O309" s="8" t="s">
        <v>3190</v>
      </c>
      <c r="P309" s="8"/>
      <c r="Q309" s="8">
        <v>2538</v>
      </c>
      <c r="R309" s="8">
        <v>34303</v>
      </c>
      <c r="S309" s="8"/>
      <c r="T309" s="8"/>
      <c r="U309" s="8"/>
      <c r="V309" s="8"/>
      <c r="W309" s="8"/>
      <c r="X309" s="8"/>
      <c r="Y309" s="8"/>
      <c r="Z309" s="10"/>
      <c r="AA309" s="8" t="s">
        <v>332</v>
      </c>
      <c r="AB309" s="8">
        <v>1</v>
      </c>
    </row>
    <row r="310" spans="1:28" ht="21.6" customHeight="1">
      <c r="A310" s="8">
        <v>318</v>
      </c>
      <c r="B310" s="8">
        <v>2025031241</v>
      </c>
      <c r="C310" s="8">
        <v>1</v>
      </c>
      <c r="D310" s="8" t="s">
        <v>3177</v>
      </c>
      <c r="E310" s="8" t="s">
        <v>134</v>
      </c>
      <c r="F310" s="8" t="s">
        <v>3813</v>
      </c>
      <c r="G310" s="8" t="s">
        <v>3797</v>
      </c>
      <c r="H310" s="8" t="s">
        <v>3798</v>
      </c>
      <c r="I310" s="8" t="s">
        <v>3592</v>
      </c>
      <c r="J310" s="8" t="s">
        <v>3301</v>
      </c>
      <c r="K310" s="8" t="s">
        <v>3183</v>
      </c>
      <c r="L310" s="10" t="s">
        <v>3586</v>
      </c>
      <c r="M310" s="10" t="s">
        <v>3587</v>
      </c>
      <c r="N310" s="10" t="s">
        <v>3430</v>
      </c>
      <c r="O310" s="8" t="s">
        <v>3190</v>
      </c>
      <c r="P310" s="8"/>
      <c r="Q310" s="8">
        <v>4064</v>
      </c>
      <c r="R310" s="8">
        <v>54111</v>
      </c>
      <c r="S310" s="8"/>
      <c r="T310" s="8"/>
      <c r="U310" s="8"/>
      <c r="V310" s="8"/>
      <c r="W310" s="8"/>
      <c r="X310" s="8"/>
      <c r="Y310" s="8"/>
      <c r="Z310" s="10"/>
      <c r="AA310" s="8" t="s">
        <v>332</v>
      </c>
      <c r="AB310" s="8">
        <v>1</v>
      </c>
    </row>
    <row r="311" spans="1:28" ht="21.6" customHeight="1">
      <c r="A311" s="8">
        <v>356</v>
      </c>
      <c r="B311" s="8">
        <v>2025032224</v>
      </c>
      <c r="C311" s="8">
        <v>1</v>
      </c>
      <c r="D311" s="8" t="s">
        <v>3177</v>
      </c>
      <c r="E311" s="8" t="s">
        <v>134</v>
      </c>
      <c r="F311" s="8" t="s">
        <v>3772</v>
      </c>
      <c r="G311" s="8" t="s">
        <v>3401</v>
      </c>
      <c r="H311" s="8" t="s">
        <v>3468</v>
      </c>
      <c r="I311" s="8" t="s">
        <v>3880</v>
      </c>
      <c r="J311" s="8" t="s">
        <v>3597</v>
      </c>
      <c r="K311" s="8" t="s">
        <v>3579</v>
      </c>
      <c r="L311" s="10" t="s">
        <v>3598</v>
      </c>
      <c r="M311" s="10" t="s">
        <v>3599</v>
      </c>
      <c r="N311" s="10" t="s">
        <v>3881</v>
      </c>
      <c r="O311" s="8" t="s">
        <v>363</v>
      </c>
      <c r="P311" s="8"/>
      <c r="Q311" s="8"/>
      <c r="R311" s="8">
        <v>0</v>
      </c>
      <c r="S311" s="8"/>
      <c r="T311" s="8"/>
      <c r="U311" s="8"/>
      <c r="V311" s="8"/>
      <c r="W311" s="8"/>
      <c r="X311" s="8"/>
      <c r="Y311" s="8"/>
      <c r="Z311" s="10" t="s">
        <v>3882</v>
      </c>
      <c r="AA311" s="8" t="s">
        <v>332</v>
      </c>
      <c r="AB311" s="8">
        <v>1</v>
      </c>
    </row>
    <row r="312" spans="1:28" ht="21.6" customHeight="1">
      <c r="A312" s="8">
        <v>1</v>
      </c>
      <c r="B312" s="8">
        <v>2025042230</v>
      </c>
      <c r="C312" s="8">
        <v>1</v>
      </c>
      <c r="D312" s="8" t="s">
        <v>3177</v>
      </c>
      <c r="E312" s="8" t="s">
        <v>123</v>
      </c>
      <c r="F312" s="8" t="s">
        <v>3883</v>
      </c>
      <c r="G312" s="8" t="s">
        <v>3329</v>
      </c>
      <c r="H312" s="8" t="s">
        <v>3330</v>
      </c>
      <c r="I312" s="8" t="s">
        <v>3181</v>
      </c>
      <c r="J312" s="8" t="s">
        <v>3182</v>
      </c>
      <c r="K312" s="8" t="s">
        <v>3183</v>
      </c>
      <c r="L312" s="10" t="s">
        <v>3184</v>
      </c>
      <c r="M312" s="10" t="s">
        <v>3185</v>
      </c>
      <c r="N312" s="10" t="s">
        <v>123</v>
      </c>
      <c r="O312" s="8" t="s">
        <v>322</v>
      </c>
      <c r="P312" s="8"/>
      <c r="Q312" s="8">
        <v>4473</v>
      </c>
      <c r="R312" s="8">
        <v>30440</v>
      </c>
      <c r="S312" s="8" t="s">
        <v>332</v>
      </c>
      <c r="T312" s="8"/>
      <c r="U312" s="8"/>
      <c r="V312" s="8"/>
      <c r="W312" s="8"/>
      <c r="X312" s="8"/>
      <c r="Y312" s="8"/>
      <c r="Z312" s="10" t="s">
        <v>3186</v>
      </c>
      <c r="AA312" s="8" t="s">
        <v>332</v>
      </c>
      <c r="AB312" s="8">
        <v>1</v>
      </c>
    </row>
    <row r="313" spans="1:28" ht="21.6" customHeight="1">
      <c r="A313" s="8">
        <v>3</v>
      </c>
      <c r="B313" s="8">
        <v>2025042042</v>
      </c>
      <c r="C313" s="8">
        <v>1</v>
      </c>
      <c r="D313" s="8" t="s">
        <v>3177</v>
      </c>
      <c r="E313" s="8" t="s">
        <v>123</v>
      </c>
      <c r="F313" s="8" t="s">
        <v>3884</v>
      </c>
      <c r="G313" s="8" t="s">
        <v>3671</v>
      </c>
      <c r="H313" s="8" t="s">
        <v>3222</v>
      </c>
      <c r="I313" s="8" t="s">
        <v>3194</v>
      </c>
      <c r="J313" s="8" t="s">
        <v>3195</v>
      </c>
      <c r="K313" s="8" t="s">
        <v>3183</v>
      </c>
      <c r="L313" s="10" t="s">
        <v>3196</v>
      </c>
      <c r="M313" s="10" t="s">
        <v>3197</v>
      </c>
      <c r="N313" s="10" t="s">
        <v>123</v>
      </c>
      <c r="O313" s="8" t="s">
        <v>3190</v>
      </c>
      <c r="P313" s="8"/>
      <c r="Q313" s="8">
        <v>81</v>
      </c>
      <c r="R313" s="8">
        <v>3142</v>
      </c>
      <c r="S313" s="8"/>
      <c r="T313" s="8"/>
      <c r="U313" s="8"/>
      <c r="V313" s="8"/>
      <c r="W313" s="8"/>
      <c r="X313" s="8"/>
      <c r="Y313" s="8"/>
      <c r="Z313" s="10" t="s">
        <v>3190</v>
      </c>
      <c r="AA313" s="8" t="s">
        <v>332</v>
      </c>
      <c r="AB313" s="8">
        <v>1</v>
      </c>
    </row>
    <row r="314" spans="1:28" ht="21.6" customHeight="1">
      <c r="A314" s="8">
        <v>4</v>
      </c>
      <c r="B314" s="8">
        <v>2025042033</v>
      </c>
      <c r="C314" s="8">
        <v>1</v>
      </c>
      <c r="D314" s="8" t="s">
        <v>3177</v>
      </c>
      <c r="E314" s="8" t="s">
        <v>123</v>
      </c>
      <c r="F314" s="8" t="s">
        <v>3884</v>
      </c>
      <c r="G314" s="8" t="s">
        <v>3198</v>
      </c>
      <c r="H314" s="8" t="s">
        <v>3199</v>
      </c>
      <c r="I314" s="8" t="s">
        <v>3200</v>
      </c>
      <c r="J314" s="8" t="s">
        <v>3195</v>
      </c>
      <c r="K314" s="8" t="s">
        <v>3183</v>
      </c>
      <c r="L314" s="10" t="s">
        <v>3201</v>
      </c>
      <c r="M314" s="10" t="s">
        <v>3202</v>
      </c>
      <c r="N314" s="10" t="s">
        <v>3885</v>
      </c>
      <c r="O314" s="8" t="s">
        <v>3190</v>
      </c>
      <c r="P314" s="8"/>
      <c r="Q314" s="8">
        <v>2133</v>
      </c>
      <c r="R314" s="8">
        <v>16657</v>
      </c>
      <c r="S314" s="8"/>
      <c r="T314" s="8"/>
      <c r="U314" s="8"/>
      <c r="V314" s="8"/>
      <c r="W314" s="8"/>
      <c r="X314" s="8"/>
      <c r="Y314" s="8"/>
      <c r="Z314" s="10" t="s">
        <v>3190</v>
      </c>
      <c r="AA314" s="8" t="s">
        <v>332</v>
      </c>
      <c r="AB314" s="8">
        <v>1</v>
      </c>
    </row>
    <row r="315" spans="1:28" ht="21.6" customHeight="1">
      <c r="A315" s="8">
        <v>5</v>
      </c>
      <c r="B315" s="8">
        <v>2025041713</v>
      </c>
      <c r="C315" s="8">
        <v>1</v>
      </c>
      <c r="D315" s="8" t="s">
        <v>3177</v>
      </c>
      <c r="E315" s="8" t="s">
        <v>123</v>
      </c>
      <c r="F315" s="8" t="s">
        <v>3886</v>
      </c>
      <c r="G315" s="8" t="s">
        <v>3691</v>
      </c>
      <c r="H315" s="8" t="s">
        <v>3887</v>
      </c>
      <c r="I315" s="8" t="s">
        <v>3206</v>
      </c>
      <c r="J315" s="8" t="s">
        <v>3195</v>
      </c>
      <c r="K315" s="8" t="s">
        <v>3183</v>
      </c>
      <c r="L315" s="10" t="s">
        <v>3207</v>
      </c>
      <c r="M315" s="10" t="s">
        <v>3208</v>
      </c>
      <c r="N315" s="10" t="s">
        <v>3209</v>
      </c>
      <c r="O315" s="8" t="s">
        <v>322</v>
      </c>
      <c r="P315" s="8"/>
      <c r="Q315" s="8">
        <v>26552</v>
      </c>
      <c r="R315" s="8">
        <v>60785</v>
      </c>
      <c r="S315" s="8" t="s">
        <v>332</v>
      </c>
      <c r="T315" s="8"/>
      <c r="U315" s="8"/>
      <c r="V315" s="8"/>
      <c r="W315" s="8"/>
      <c r="X315" s="8"/>
      <c r="Y315" s="8"/>
      <c r="Z315" s="10" t="s">
        <v>3186</v>
      </c>
      <c r="AA315" s="8" t="s">
        <v>332</v>
      </c>
      <c r="AB315" s="8">
        <v>1</v>
      </c>
    </row>
    <row r="316" spans="1:28" ht="21.6" customHeight="1">
      <c r="A316" s="8">
        <v>7</v>
      </c>
      <c r="B316" s="8">
        <v>2025042024</v>
      </c>
      <c r="C316" s="8">
        <v>1</v>
      </c>
      <c r="D316" s="8" t="s">
        <v>3177</v>
      </c>
      <c r="E316" s="8" t="s">
        <v>123</v>
      </c>
      <c r="F316" s="8" t="s">
        <v>3884</v>
      </c>
      <c r="G316" s="8" t="s">
        <v>3888</v>
      </c>
      <c r="H316" s="8" t="s">
        <v>3889</v>
      </c>
      <c r="I316" s="8" t="s">
        <v>3212</v>
      </c>
      <c r="J316" s="8" t="s">
        <v>3195</v>
      </c>
      <c r="K316" s="8" t="s">
        <v>3183</v>
      </c>
      <c r="L316" s="10" t="s">
        <v>3213</v>
      </c>
      <c r="M316" s="10" t="s">
        <v>3214</v>
      </c>
      <c r="N316" s="10" t="s">
        <v>3215</v>
      </c>
      <c r="O316" s="8" t="s">
        <v>3190</v>
      </c>
      <c r="P316" s="8"/>
      <c r="Q316" s="8">
        <v>0</v>
      </c>
      <c r="R316" s="8">
        <v>782</v>
      </c>
      <c r="S316" s="8"/>
      <c r="T316" s="8"/>
      <c r="U316" s="8"/>
      <c r="V316" s="8"/>
      <c r="W316" s="8"/>
      <c r="X316" s="8"/>
      <c r="Y316" s="8"/>
      <c r="Z316" s="10" t="s">
        <v>3190</v>
      </c>
      <c r="AA316" s="8" t="s">
        <v>332</v>
      </c>
      <c r="AB316" s="8">
        <v>1</v>
      </c>
    </row>
    <row r="317" spans="1:28" ht="21.6" customHeight="1">
      <c r="A317" s="8">
        <v>8</v>
      </c>
      <c r="B317" s="8">
        <v>2025042227</v>
      </c>
      <c r="C317" s="8">
        <v>1</v>
      </c>
      <c r="D317" s="8" t="s">
        <v>3177</v>
      </c>
      <c r="E317" s="8" t="s">
        <v>123</v>
      </c>
      <c r="F317" s="8" t="s">
        <v>3883</v>
      </c>
      <c r="G317" s="8" t="s">
        <v>3890</v>
      </c>
      <c r="H317" s="8" t="s">
        <v>3891</v>
      </c>
      <c r="I317" s="8" t="s">
        <v>3212</v>
      </c>
      <c r="J317" s="8" t="s">
        <v>3195</v>
      </c>
      <c r="K317" s="8" t="s">
        <v>3183</v>
      </c>
      <c r="L317" s="10" t="s">
        <v>3213</v>
      </c>
      <c r="M317" s="10" t="s">
        <v>3214</v>
      </c>
      <c r="N317" s="10" t="s">
        <v>3215</v>
      </c>
      <c r="O317" s="8" t="s">
        <v>3190</v>
      </c>
      <c r="P317" s="8"/>
      <c r="Q317" s="8">
        <v>43</v>
      </c>
      <c r="R317" s="8">
        <v>782</v>
      </c>
      <c r="S317" s="8"/>
      <c r="T317" s="8"/>
      <c r="U317" s="8"/>
      <c r="V317" s="8"/>
      <c r="W317" s="8"/>
      <c r="X317" s="8"/>
      <c r="Y317" s="8"/>
      <c r="Z317" s="10" t="s">
        <v>3190</v>
      </c>
      <c r="AA317" s="8" t="s">
        <v>332</v>
      </c>
      <c r="AB317" s="8">
        <v>1</v>
      </c>
    </row>
    <row r="318" spans="1:28" ht="21.6" customHeight="1">
      <c r="A318" s="8">
        <v>9</v>
      </c>
      <c r="B318" s="8">
        <v>2025042309</v>
      </c>
      <c r="C318" s="8">
        <v>1</v>
      </c>
      <c r="D318" s="8" t="s">
        <v>3177</v>
      </c>
      <c r="E318" s="8" t="s">
        <v>123</v>
      </c>
      <c r="F318" s="8" t="s">
        <v>3892</v>
      </c>
      <c r="G318" s="8" t="s">
        <v>3893</v>
      </c>
      <c r="H318" s="8" t="s">
        <v>3894</v>
      </c>
      <c r="I318" s="8" t="s">
        <v>3212</v>
      </c>
      <c r="J318" s="8" t="s">
        <v>3195</v>
      </c>
      <c r="K318" s="8" t="s">
        <v>3183</v>
      </c>
      <c r="L318" s="10" t="s">
        <v>3213</v>
      </c>
      <c r="M318" s="10" t="s">
        <v>3214</v>
      </c>
      <c r="N318" s="10" t="s">
        <v>3215</v>
      </c>
      <c r="O318" s="8" t="s">
        <v>3190</v>
      </c>
      <c r="P318" s="8"/>
      <c r="Q318" s="8">
        <v>128</v>
      </c>
      <c r="R318" s="8">
        <v>782</v>
      </c>
      <c r="S318" s="8"/>
      <c r="T318" s="8"/>
      <c r="U318" s="8"/>
      <c r="V318" s="8"/>
      <c r="W318" s="8"/>
      <c r="X318" s="8"/>
      <c r="Y318" s="8"/>
      <c r="Z318" s="10" t="s">
        <v>3190</v>
      </c>
      <c r="AA318" s="8" t="s">
        <v>332</v>
      </c>
      <c r="AB318" s="8">
        <v>1</v>
      </c>
    </row>
    <row r="319" spans="1:28" ht="21.6" customHeight="1">
      <c r="A319" s="8">
        <v>10</v>
      </c>
      <c r="B319" s="8">
        <v>2025042049</v>
      </c>
      <c r="C319" s="8">
        <v>1</v>
      </c>
      <c r="D319" s="8" t="s">
        <v>3177</v>
      </c>
      <c r="E319" s="8" t="s">
        <v>123</v>
      </c>
      <c r="F319" s="8" t="s">
        <v>3884</v>
      </c>
      <c r="G319" s="8" t="s">
        <v>3895</v>
      </c>
      <c r="H319" s="8" t="s">
        <v>3896</v>
      </c>
      <c r="I319" s="8" t="s">
        <v>3218</v>
      </c>
      <c r="J319" s="8" t="s">
        <v>3195</v>
      </c>
      <c r="K319" s="8" t="s">
        <v>3183</v>
      </c>
      <c r="L319" s="10" t="s">
        <v>3219</v>
      </c>
      <c r="M319" s="10" t="s">
        <v>3220</v>
      </c>
      <c r="N319" s="10" t="s">
        <v>123</v>
      </c>
      <c r="O319" s="8" t="s">
        <v>3190</v>
      </c>
      <c r="P319" s="8"/>
      <c r="Q319" s="8">
        <v>134</v>
      </c>
      <c r="R319" s="8">
        <v>6120</v>
      </c>
      <c r="S319" s="8"/>
      <c r="T319" s="8"/>
      <c r="U319" s="8"/>
      <c r="V319" s="8"/>
      <c r="W319" s="8"/>
      <c r="X319" s="8"/>
      <c r="Y319" s="8"/>
      <c r="Z319" s="10" t="s">
        <v>3190</v>
      </c>
      <c r="AA319" s="8" t="s">
        <v>332</v>
      </c>
      <c r="AB319" s="8">
        <v>1</v>
      </c>
    </row>
    <row r="320" spans="1:28" ht="21.6" customHeight="1">
      <c r="A320" s="8">
        <v>11</v>
      </c>
      <c r="B320" s="8">
        <v>2025042038</v>
      </c>
      <c r="C320" s="8">
        <v>1</v>
      </c>
      <c r="D320" s="8" t="s">
        <v>3177</v>
      </c>
      <c r="E320" s="8" t="s">
        <v>123</v>
      </c>
      <c r="F320" s="8" t="s">
        <v>3884</v>
      </c>
      <c r="G320" s="8" t="s">
        <v>3897</v>
      </c>
      <c r="H320" s="8" t="s">
        <v>3870</v>
      </c>
      <c r="I320" s="8" t="s">
        <v>3223</v>
      </c>
      <c r="J320" s="8" t="s">
        <v>3224</v>
      </c>
      <c r="K320" s="8" t="s">
        <v>3183</v>
      </c>
      <c r="L320" s="10" t="s">
        <v>3225</v>
      </c>
      <c r="M320" s="10" t="s">
        <v>3226</v>
      </c>
      <c r="N320" s="10" t="s">
        <v>3227</v>
      </c>
      <c r="O320" s="8" t="s">
        <v>3190</v>
      </c>
      <c r="P320" s="8"/>
      <c r="Q320" s="8">
        <v>330</v>
      </c>
      <c r="R320" s="8">
        <v>1545</v>
      </c>
      <c r="S320" s="8"/>
      <c r="T320" s="8"/>
      <c r="U320" s="8"/>
      <c r="V320" s="8"/>
      <c r="W320" s="8"/>
      <c r="X320" s="8"/>
      <c r="Y320" s="8"/>
      <c r="Z320" s="10" t="s">
        <v>3190</v>
      </c>
      <c r="AA320" s="8" t="s">
        <v>332</v>
      </c>
      <c r="AB320" s="8">
        <v>1</v>
      </c>
    </row>
    <row r="321" spans="1:28" ht="21.6" customHeight="1">
      <c r="A321" s="8">
        <v>12</v>
      </c>
      <c r="B321" s="8">
        <v>2025042051</v>
      </c>
      <c r="C321" s="8">
        <v>1</v>
      </c>
      <c r="D321" s="8" t="s">
        <v>3177</v>
      </c>
      <c r="E321" s="8" t="s">
        <v>123</v>
      </c>
      <c r="F321" s="8" t="s">
        <v>3884</v>
      </c>
      <c r="G321" s="8" t="s">
        <v>3898</v>
      </c>
      <c r="H321" s="8" t="s">
        <v>3899</v>
      </c>
      <c r="I321" s="8" t="s">
        <v>3229</v>
      </c>
      <c r="J321" s="8" t="s">
        <v>3224</v>
      </c>
      <c r="K321" s="8" t="s">
        <v>3183</v>
      </c>
      <c r="L321" s="10" t="s">
        <v>3230</v>
      </c>
      <c r="M321" s="10" t="s">
        <v>3231</v>
      </c>
      <c r="N321" s="10" t="s">
        <v>3215</v>
      </c>
      <c r="O321" s="8" t="s">
        <v>3190</v>
      </c>
      <c r="P321" s="8"/>
      <c r="Q321" s="8">
        <v>2438</v>
      </c>
      <c r="R321" s="8">
        <v>2881</v>
      </c>
      <c r="S321" s="8"/>
      <c r="T321" s="8"/>
      <c r="U321" s="8"/>
      <c r="V321" s="8"/>
      <c r="W321" s="8"/>
      <c r="X321" s="8"/>
      <c r="Y321" s="8"/>
      <c r="Z321" s="10" t="s">
        <v>3190</v>
      </c>
      <c r="AA321" s="8" t="s">
        <v>332</v>
      </c>
      <c r="AB321" s="8">
        <v>1</v>
      </c>
    </row>
    <row r="322" spans="1:28" ht="21.6" customHeight="1">
      <c r="A322" s="8">
        <v>13</v>
      </c>
      <c r="B322" s="8">
        <v>2025042256</v>
      </c>
      <c r="C322" s="8">
        <v>1</v>
      </c>
      <c r="D322" s="8" t="s">
        <v>3177</v>
      </c>
      <c r="E322" s="8" t="s">
        <v>123</v>
      </c>
      <c r="F322" s="8" t="s">
        <v>3883</v>
      </c>
      <c r="G322" s="8" t="s">
        <v>3179</v>
      </c>
      <c r="H322" s="8" t="s">
        <v>3180</v>
      </c>
      <c r="I322" s="8" t="s">
        <v>3234</v>
      </c>
      <c r="J322" s="8" t="s">
        <v>3224</v>
      </c>
      <c r="K322" s="8" t="s">
        <v>3183</v>
      </c>
      <c r="L322" s="10" t="s">
        <v>3235</v>
      </c>
      <c r="M322" s="10" t="s">
        <v>3236</v>
      </c>
      <c r="N322" s="10" t="s">
        <v>3237</v>
      </c>
      <c r="O322" s="8" t="s">
        <v>322</v>
      </c>
      <c r="P322" s="8"/>
      <c r="Q322" s="8">
        <v>1045</v>
      </c>
      <c r="R322" s="8">
        <v>50580</v>
      </c>
      <c r="S322" s="8" t="s">
        <v>332</v>
      </c>
      <c r="T322" s="8"/>
      <c r="U322" s="8"/>
      <c r="V322" s="8"/>
      <c r="W322" s="8"/>
      <c r="X322" s="8"/>
      <c r="Y322" s="8"/>
      <c r="Z322" s="10" t="s">
        <v>3186</v>
      </c>
      <c r="AA322" s="8" t="s">
        <v>332</v>
      </c>
      <c r="AB322" s="8">
        <v>1</v>
      </c>
    </row>
    <row r="323" spans="1:28" ht="21.6" customHeight="1">
      <c r="A323" s="8">
        <v>15</v>
      </c>
      <c r="B323" s="8">
        <v>2025042417</v>
      </c>
      <c r="C323" s="8">
        <v>1</v>
      </c>
      <c r="D323" s="8" t="s">
        <v>3177</v>
      </c>
      <c r="E323" s="8" t="s">
        <v>123</v>
      </c>
      <c r="F323" s="8" t="s">
        <v>3892</v>
      </c>
      <c r="G323" s="8" t="s">
        <v>3900</v>
      </c>
      <c r="H323" s="8" t="s">
        <v>3901</v>
      </c>
      <c r="I323" s="8" t="s">
        <v>3240</v>
      </c>
      <c r="J323" s="8" t="s">
        <v>3224</v>
      </c>
      <c r="K323" s="8" t="s">
        <v>3183</v>
      </c>
      <c r="L323" s="10" t="s">
        <v>3241</v>
      </c>
      <c r="M323" s="10" t="s">
        <v>3242</v>
      </c>
      <c r="N323" s="10"/>
      <c r="O323" s="8" t="s">
        <v>322</v>
      </c>
      <c r="P323" s="8"/>
      <c r="Q323" s="8">
        <v>346</v>
      </c>
      <c r="R323" s="8">
        <v>639</v>
      </c>
      <c r="S323" s="8" t="s">
        <v>332</v>
      </c>
      <c r="T323" s="8"/>
      <c r="U323" s="8"/>
      <c r="V323" s="8"/>
      <c r="W323" s="8"/>
      <c r="X323" s="8"/>
      <c r="Y323" s="8"/>
      <c r="Z323" s="10" t="s">
        <v>3186</v>
      </c>
      <c r="AA323" s="8" t="s">
        <v>332</v>
      </c>
      <c r="AB323" s="8">
        <v>1</v>
      </c>
    </row>
    <row r="324" spans="1:28" ht="21.6" customHeight="1">
      <c r="A324" s="8">
        <v>17</v>
      </c>
      <c r="B324" s="8">
        <v>2025042044</v>
      </c>
      <c r="C324" s="8">
        <v>1</v>
      </c>
      <c r="D324" s="8" t="s">
        <v>3177</v>
      </c>
      <c r="E324" s="8" t="s">
        <v>123</v>
      </c>
      <c r="F324" s="8" t="s">
        <v>3884</v>
      </c>
      <c r="G324" s="8" t="s">
        <v>3902</v>
      </c>
      <c r="H324" s="8" t="s">
        <v>3649</v>
      </c>
      <c r="I324" s="8" t="s">
        <v>3246</v>
      </c>
      <c r="J324" s="8" t="s">
        <v>3224</v>
      </c>
      <c r="K324" s="8" t="s">
        <v>3183</v>
      </c>
      <c r="L324" s="10" t="s">
        <v>3247</v>
      </c>
      <c r="M324" s="10" t="s">
        <v>3248</v>
      </c>
      <c r="N324" s="10" t="s">
        <v>3215</v>
      </c>
      <c r="O324" s="8" t="s">
        <v>3190</v>
      </c>
      <c r="P324" s="8"/>
      <c r="Q324" s="8">
        <v>463</v>
      </c>
      <c r="R324" s="8">
        <v>1379</v>
      </c>
      <c r="S324" s="8"/>
      <c r="T324" s="8"/>
      <c r="U324" s="8"/>
      <c r="V324" s="8"/>
      <c r="W324" s="8"/>
      <c r="X324" s="8"/>
      <c r="Y324" s="8"/>
      <c r="Z324" s="10" t="s">
        <v>3190</v>
      </c>
      <c r="AA324" s="8" t="s">
        <v>332</v>
      </c>
      <c r="AB324" s="8">
        <v>1</v>
      </c>
    </row>
    <row r="325" spans="1:28" ht="21.6" customHeight="1">
      <c r="A325" s="8">
        <v>20</v>
      </c>
      <c r="B325" s="8">
        <v>2025041715</v>
      </c>
      <c r="C325" s="8">
        <v>1</v>
      </c>
      <c r="D325" s="8" t="s">
        <v>3177</v>
      </c>
      <c r="E325" s="8" t="s">
        <v>123</v>
      </c>
      <c r="F325" s="8" t="s">
        <v>3886</v>
      </c>
      <c r="G325" s="8" t="s">
        <v>3691</v>
      </c>
      <c r="H325" s="8" t="s">
        <v>3887</v>
      </c>
      <c r="I325" s="8" t="s">
        <v>3259</v>
      </c>
      <c r="J325" s="8" t="s">
        <v>3253</v>
      </c>
      <c r="K325" s="8" t="s">
        <v>3183</v>
      </c>
      <c r="L325" s="10" t="s">
        <v>3207</v>
      </c>
      <c r="M325" s="10" t="s">
        <v>3208</v>
      </c>
      <c r="N325" s="10" t="s">
        <v>3260</v>
      </c>
      <c r="O325" s="8" t="s">
        <v>322</v>
      </c>
      <c r="P325" s="8"/>
      <c r="Q325" s="8"/>
      <c r="R325" s="8">
        <v>80095</v>
      </c>
      <c r="S325" s="8" t="s">
        <v>332</v>
      </c>
      <c r="T325" s="8"/>
      <c r="U325" s="8"/>
      <c r="V325" s="8"/>
      <c r="W325" s="8"/>
      <c r="X325" s="8"/>
      <c r="Y325" s="8"/>
      <c r="Z325" s="10" t="s">
        <v>3186</v>
      </c>
      <c r="AA325" s="8" t="s">
        <v>332</v>
      </c>
      <c r="AB325" s="8">
        <v>1</v>
      </c>
    </row>
    <row r="326" spans="1:28" ht="21.6" customHeight="1">
      <c r="A326" s="8">
        <v>24</v>
      </c>
      <c r="B326" s="8">
        <v>2025042043</v>
      </c>
      <c r="C326" s="8">
        <v>1</v>
      </c>
      <c r="D326" s="8" t="s">
        <v>3177</v>
      </c>
      <c r="E326" s="8" t="s">
        <v>123</v>
      </c>
      <c r="F326" s="8" t="s">
        <v>3884</v>
      </c>
      <c r="G326" s="8" t="s">
        <v>3339</v>
      </c>
      <c r="H326" s="8" t="s">
        <v>3903</v>
      </c>
      <c r="I326" s="8" t="s">
        <v>3263</v>
      </c>
      <c r="J326" s="8" t="s">
        <v>3253</v>
      </c>
      <c r="K326" s="8" t="s">
        <v>3183</v>
      </c>
      <c r="L326" s="10" t="s">
        <v>3264</v>
      </c>
      <c r="M326" s="10" t="s">
        <v>3265</v>
      </c>
      <c r="N326" s="10" t="s">
        <v>123</v>
      </c>
      <c r="O326" s="8" t="s">
        <v>3190</v>
      </c>
      <c r="P326" s="8"/>
      <c r="Q326" s="8"/>
      <c r="R326" s="8">
        <v>46868</v>
      </c>
      <c r="S326" s="8"/>
      <c r="T326" s="8"/>
      <c r="U326" s="8"/>
      <c r="V326" s="8"/>
      <c r="W326" s="8"/>
      <c r="X326" s="8"/>
      <c r="Y326" s="8"/>
      <c r="Z326" s="10" t="s">
        <v>3190</v>
      </c>
      <c r="AA326" s="8" t="s">
        <v>332</v>
      </c>
      <c r="AB326" s="8">
        <v>1</v>
      </c>
    </row>
    <row r="327" spans="1:28" ht="21.6" customHeight="1">
      <c r="A327" s="8">
        <v>27</v>
      </c>
      <c r="B327" s="8">
        <v>2025040738</v>
      </c>
      <c r="C327" s="8">
        <v>1</v>
      </c>
      <c r="D327" s="8" t="s">
        <v>3177</v>
      </c>
      <c r="E327" s="8" t="s">
        <v>123</v>
      </c>
      <c r="F327" s="8" t="s">
        <v>3904</v>
      </c>
      <c r="G327" s="8" t="s">
        <v>3795</v>
      </c>
      <c r="H327" s="8" t="s">
        <v>3796</v>
      </c>
      <c r="I327" s="8" t="s">
        <v>3269</v>
      </c>
      <c r="J327" s="8" t="s">
        <v>3253</v>
      </c>
      <c r="K327" s="8" t="s">
        <v>3183</v>
      </c>
      <c r="L327" s="10" t="s">
        <v>3270</v>
      </c>
      <c r="M327" s="10" t="s">
        <v>3271</v>
      </c>
      <c r="N327" s="10" t="s">
        <v>3272</v>
      </c>
      <c r="O327" s="8" t="s">
        <v>322</v>
      </c>
      <c r="P327" s="8"/>
      <c r="Q327" s="8"/>
      <c r="R327" s="8">
        <v>21849</v>
      </c>
      <c r="S327" s="8" t="s">
        <v>332</v>
      </c>
      <c r="T327" s="8"/>
      <c r="U327" s="8"/>
      <c r="V327" s="8"/>
      <c r="W327" s="8"/>
      <c r="X327" s="8"/>
      <c r="Y327" s="8"/>
      <c r="Z327" s="10" t="s">
        <v>3186</v>
      </c>
      <c r="AA327" s="8" t="s">
        <v>332</v>
      </c>
      <c r="AB327" s="8">
        <v>1</v>
      </c>
    </row>
    <row r="328" spans="1:28" ht="21.6" customHeight="1">
      <c r="A328" s="8">
        <v>31</v>
      </c>
      <c r="B328" s="8">
        <v>2025043257</v>
      </c>
      <c r="C328" s="8">
        <v>1</v>
      </c>
      <c r="D328" s="8" t="s">
        <v>3177</v>
      </c>
      <c r="E328" s="8" t="s">
        <v>123</v>
      </c>
      <c r="F328" s="8" t="s">
        <v>3905</v>
      </c>
      <c r="G328" s="8" t="s">
        <v>3906</v>
      </c>
      <c r="H328" s="8" t="s">
        <v>3907</v>
      </c>
      <c r="I328" s="8" t="s">
        <v>3908</v>
      </c>
      <c r="J328" s="8" t="s">
        <v>3253</v>
      </c>
      <c r="K328" s="8" t="s">
        <v>3183</v>
      </c>
      <c r="L328" s="10" t="s">
        <v>3629</v>
      </c>
      <c r="M328" s="10" t="s">
        <v>3909</v>
      </c>
      <c r="N328" s="10" t="s">
        <v>123</v>
      </c>
      <c r="O328" s="8" t="s">
        <v>322</v>
      </c>
      <c r="P328" s="8"/>
      <c r="Q328" s="8"/>
      <c r="R328" s="8">
        <v>25821</v>
      </c>
      <c r="S328" s="8"/>
      <c r="T328" s="8"/>
      <c r="U328" s="8"/>
      <c r="V328" s="8"/>
      <c r="W328" s="8"/>
      <c r="X328" s="8"/>
      <c r="Y328" s="8" t="s">
        <v>332</v>
      </c>
      <c r="Z328" s="10" t="s">
        <v>3910</v>
      </c>
      <c r="AA328" s="8" t="s">
        <v>332</v>
      </c>
      <c r="AB328" s="8">
        <v>1</v>
      </c>
    </row>
    <row r="329" spans="1:28" ht="21.6" customHeight="1">
      <c r="A329" s="8">
        <v>32</v>
      </c>
      <c r="B329" s="8">
        <v>2025040873</v>
      </c>
      <c r="C329" s="8">
        <v>1</v>
      </c>
      <c r="D329" s="8" t="s">
        <v>3177</v>
      </c>
      <c r="E329" s="8" t="s">
        <v>123</v>
      </c>
      <c r="F329" s="8" t="s">
        <v>3911</v>
      </c>
      <c r="G329" s="8" t="s">
        <v>3912</v>
      </c>
      <c r="H329" s="8" t="s">
        <v>3274</v>
      </c>
      <c r="I329" s="8" t="s">
        <v>3276</v>
      </c>
      <c r="J329" s="8" t="s">
        <v>3277</v>
      </c>
      <c r="K329" s="8" t="s">
        <v>3183</v>
      </c>
      <c r="L329" s="10" t="s">
        <v>3278</v>
      </c>
      <c r="M329" s="10" t="s">
        <v>3279</v>
      </c>
      <c r="N329" s="10" t="s">
        <v>123</v>
      </c>
      <c r="O329" s="8" t="s">
        <v>322</v>
      </c>
      <c r="P329" s="8"/>
      <c r="Q329" s="8"/>
      <c r="R329" s="8">
        <v>54475</v>
      </c>
      <c r="S329" s="8" t="s">
        <v>332</v>
      </c>
      <c r="T329" s="8"/>
      <c r="U329" s="8"/>
      <c r="V329" s="8"/>
      <c r="W329" s="8"/>
      <c r="X329" s="8"/>
      <c r="Y329" s="8"/>
      <c r="Z329" s="10" t="s">
        <v>3186</v>
      </c>
      <c r="AA329" s="8" t="s">
        <v>332</v>
      </c>
      <c r="AB329" s="8">
        <v>1</v>
      </c>
    </row>
    <row r="330" spans="1:28" ht="21.6" customHeight="1">
      <c r="A330" s="8">
        <v>34</v>
      </c>
      <c r="B330" s="8">
        <v>2025040876</v>
      </c>
      <c r="C330" s="8">
        <v>1</v>
      </c>
      <c r="D330" s="8" t="s">
        <v>3177</v>
      </c>
      <c r="E330" s="8" t="s">
        <v>123</v>
      </c>
      <c r="F330" s="8" t="s">
        <v>3911</v>
      </c>
      <c r="G330" s="8" t="s">
        <v>3913</v>
      </c>
      <c r="H330" s="8" t="s">
        <v>3914</v>
      </c>
      <c r="I330" s="8" t="s">
        <v>3282</v>
      </c>
      <c r="J330" s="8" t="s">
        <v>3277</v>
      </c>
      <c r="K330" s="8" t="s">
        <v>3183</v>
      </c>
      <c r="L330" s="10" t="s">
        <v>3283</v>
      </c>
      <c r="M330" s="10" t="s">
        <v>3284</v>
      </c>
      <c r="N330" s="10"/>
      <c r="O330" s="8" t="s">
        <v>3190</v>
      </c>
      <c r="P330" s="8"/>
      <c r="Q330" s="8"/>
      <c r="R330" s="8">
        <v>22400</v>
      </c>
      <c r="S330" s="8"/>
      <c r="T330" s="8"/>
      <c r="U330" s="8"/>
      <c r="V330" s="8"/>
      <c r="W330" s="8"/>
      <c r="X330" s="8"/>
      <c r="Y330" s="8"/>
      <c r="Z330" s="10" t="s">
        <v>3186</v>
      </c>
      <c r="AA330" s="8" t="s">
        <v>332</v>
      </c>
      <c r="AB330" s="8">
        <v>1</v>
      </c>
    </row>
    <row r="331" spans="1:28" ht="21.6" customHeight="1">
      <c r="A331" s="8">
        <v>35</v>
      </c>
      <c r="B331" s="8">
        <v>2025042018</v>
      </c>
      <c r="C331" s="8">
        <v>1</v>
      </c>
      <c r="D331" s="8" t="s">
        <v>3177</v>
      </c>
      <c r="E331" s="8" t="s">
        <v>123</v>
      </c>
      <c r="F331" s="8" t="s">
        <v>3884</v>
      </c>
      <c r="G331" s="8" t="s">
        <v>3244</v>
      </c>
      <c r="H331" s="8" t="s">
        <v>3245</v>
      </c>
      <c r="I331" s="8" t="s">
        <v>3287</v>
      </c>
      <c r="J331" s="8" t="s">
        <v>3288</v>
      </c>
      <c r="K331" s="8" t="s">
        <v>3183</v>
      </c>
      <c r="L331" s="10" t="s">
        <v>3289</v>
      </c>
      <c r="M331" s="10" t="s">
        <v>3290</v>
      </c>
      <c r="N331" s="10" t="s">
        <v>123</v>
      </c>
      <c r="O331" s="8" t="s">
        <v>3190</v>
      </c>
      <c r="P331" s="8"/>
      <c r="Q331" s="8">
        <v>11320</v>
      </c>
      <c r="R331" s="8">
        <v>150347</v>
      </c>
      <c r="S331" s="8"/>
      <c r="T331" s="8"/>
      <c r="U331" s="8"/>
      <c r="V331" s="8"/>
      <c r="W331" s="8"/>
      <c r="X331" s="8"/>
      <c r="Y331" s="8"/>
      <c r="Z331" s="10" t="s">
        <v>3190</v>
      </c>
      <c r="AA331" s="8" t="s">
        <v>332</v>
      </c>
      <c r="AB331" s="8">
        <v>1</v>
      </c>
    </row>
    <row r="332" spans="1:28" ht="21.6" customHeight="1">
      <c r="A332" s="8">
        <v>36</v>
      </c>
      <c r="B332" s="8">
        <v>2025040733</v>
      </c>
      <c r="C332" s="8">
        <v>1</v>
      </c>
      <c r="D332" s="8" t="s">
        <v>3177</v>
      </c>
      <c r="E332" s="8" t="s">
        <v>123</v>
      </c>
      <c r="F332" s="8" t="s">
        <v>3904</v>
      </c>
      <c r="G332" s="8" t="s">
        <v>3915</v>
      </c>
      <c r="H332" s="8" t="s">
        <v>3916</v>
      </c>
      <c r="I332" s="8" t="s">
        <v>3293</v>
      </c>
      <c r="J332" s="8" t="s">
        <v>3288</v>
      </c>
      <c r="K332" s="8" t="s">
        <v>3183</v>
      </c>
      <c r="L332" s="10" t="s">
        <v>3294</v>
      </c>
      <c r="M332" s="10" t="s">
        <v>3295</v>
      </c>
      <c r="N332" s="10" t="s">
        <v>3272</v>
      </c>
      <c r="O332" s="8" t="s">
        <v>322</v>
      </c>
      <c r="P332" s="8"/>
      <c r="Q332" s="8">
        <v>1793</v>
      </c>
      <c r="R332" s="8">
        <v>252393</v>
      </c>
      <c r="S332" s="8" t="s">
        <v>332</v>
      </c>
      <c r="T332" s="8"/>
      <c r="U332" s="8" t="s">
        <v>332</v>
      </c>
      <c r="V332" s="8"/>
      <c r="W332" s="8"/>
      <c r="X332" s="8"/>
      <c r="Y332" s="8"/>
      <c r="Z332" s="10" t="s">
        <v>3652</v>
      </c>
      <c r="AA332" s="8" t="s">
        <v>332</v>
      </c>
      <c r="AB332" s="8">
        <v>1</v>
      </c>
    </row>
    <row r="333" spans="1:28" ht="21.6" customHeight="1">
      <c r="A333" s="8">
        <v>38</v>
      </c>
      <c r="B333" s="8">
        <v>2025043465</v>
      </c>
      <c r="C333" s="8">
        <v>1</v>
      </c>
      <c r="D333" s="8" t="s">
        <v>3177</v>
      </c>
      <c r="E333" s="8" t="s">
        <v>123</v>
      </c>
      <c r="F333" s="8" t="s">
        <v>3917</v>
      </c>
      <c r="G333" s="8" t="s">
        <v>3374</v>
      </c>
      <c r="H333" s="8" t="s">
        <v>3431</v>
      </c>
      <c r="I333" s="8" t="s">
        <v>3293</v>
      </c>
      <c r="J333" s="8" t="s">
        <v>3288</v>
      </c>
      <c r="K333" s="8" t="s">
        <v>3183</v>
      </c>
      <c r="L333" s="10" t="s">
        <v>3294</v>
      </c>
      <c r="M333" s="10" t="s">
        <v>3295</v>
      </c>
      <c r="N333" s="10" t="s">
        <v>3272</v>
      </c>
      <c r="O333" s="8" t="s">
        <v>322</v>
      </c>
      <c r="P333" s="8"/>
      <c r="Q333" s="8">
        <v>1793</v>
      </c>
      <c r="R333" s="8">
        <v>252393</v>
      </c>
      <c r="S333" s="8" t="s">
        <v>332</v>
      </c>
      <c r="T333" s="8"/>
      <c r="U333" s="8" t="s">
        <v>332</v>
      </c>
      <c r="V333" s="8"/>
      <c r="W333" s="8"/>
      <c r="X333" s="8"/>
      <c r="Y333" s="8"/>
      <c r="Z333" s="10" t="s">
        <v>3918</v>
      </c>
      <c r="AA333" s="8" t="s">
        <v>332</v>
      </c>
      <c r="AB333" s="8">
        <v>1</v>
      </c>
    </row>
    <row r="334" spans="1:28" ht="21.6" customHeight="1">
      <c r="A334" s="8">
        <v>39</v>
      </c>
      <c r="B334" s="8">
        <v>2025043631</v>
      </c>
      <c r="C334" s="8">
        <v>1</v>
      </c>
      <c r="D334" s="8" t="s">
        <v>3177</v>
      </c>
      <c r="E334" s="8" t="s">
        <v>123</v>
      </c>
      <c r="F334" s="8" t="s">
        <v>3919</v>
      </c>
      <c r="G334" s="8" t="s">
        <v>3765</v>
      </c>
      <c r="H334" s="8" t="s">
        <v>3920</v>
      </c>
      <c r="I334" s="8" t="s">
        <v>3293</v>
      </c>
      <c r="J334" s="8" t="s">
        <v>3288</v>
      </c>
      <c r="K334" s="8" t="s">
        <v>3183</v>
      </c>
      <c r="L334" s="10" t="s">
        <v>3294</v>
      </c>
      <c r="M334" s="10" t="s">
        <v>3295</v>
      </c>
      <c r="N334" s="10" t="s">
        <v>3272</v>
      </c>
      <c r="O334" s="8" t="s">
        <v>363</v>
      </c>
      <c r="P334" s="8"/>
      <c r="Q334" s="8">
        <v>1793</v>
      </c>
      <c r="R334" s="8">
        <v>252393</v>
      </c>
      <c r="S334" s="8"/>
      <c r="T334" s="8"/>
      <c r="U334" s="8"/>
      <c r="V334" s="8"/>
      <c r="W334" s="8"/>
      <c r="X334" s="8"/>
      <c r="Y334" s="8"/>
      <c r="Z334" s="10" t="s">
        <v>3921</v>
      </c>
      <c r="AA334" s="8" t="s">
        <v>332</v>
      </c>
      <c r="AB334" s="8">
        <v>1</v>
      </c>
    </row>
    <row r="335" spans="1:28" ht="21.6" customHeight="1">
      <c r="A335" s="8">
        <v>40</v>
      </c>
      <c r="B335" s="8">
        <v>2025041717</v>
      </c>
      <c r="C335" s="8">
        <v>1</v>
      </c>
      <c r="D335" s="8" t="s">
        <v>3177</v>
      </c>
      <c r="E335" s="8" t="s">
        <v>123</v>
      </c>
      <c r="F335" s="8" t="s">
        <v>3886</v>
      </c>
      <c r="G335" s="8" t="s">
        <v>3812</v>
      </c>
      <c r="H335" s="8" t="s">
        <v>3601</v>
      </c>
      <c r="I335" s="8" t="s">
        <v>3297</v>
      </c>
      <c r="J335" s="8" t="s">
        <v>3298</v>
      </c>
      <c r="K335" s="8" t="s">
        <v>3183</v>
      </c>
      <c r="L335" s="10" t="s">
        <v>3207</v>
      </c>
      <c r="M335" s="10" t="s">
        <v>3208</v>
      </c>
      <c r="N335" s="10" t="s">
        <v>3299</v>
      </c>
      <c r="O335" s="8" t="s">
        <v>322</v>
      </c>
      <c r="P335" s="8"/>
      <c r="Q335" s="8"/>
      <c r="R335" s="8">
        <v>111270</v>
      </c>
      <c r="S335" s="8" t="s">
        <v>332</v>
      </c>
      <c r="T335" s="8"/>
      <c r="U335" s="8"/>
      <c r="V335" s="8"/>
      <c r="W335" s="8"/>
      <c r="X335" s="8"/>
      <c r="Y335" s="8"/>
      <c r="Z335" s="10" t="s">
        <v>3186</v>
      </c>
      <c r="AA335" s="8" t="s">
        <v>332</v>
      </c>
      <c r="AB335" s="8">
        <v>1</v>
      </c>
    </row>
    <row r="336" spans="1:28" ht="21.6" customHeight="1">
      <c r="A336" s="8">
        <v>42</v>
      </c>
      <c r="B336" s="8">
        <v>2025042054</v>
      </c>
      <c r="C336" s="8">
        <v>1</v>
      </c>
      <c r="D336" s="8" t="s">
        <v>3177</v>
      </c>
      <c r="E336" s="8" t="s">
        <v>123</v>
      </c>
      <c r="F336" s="8" t="s">
        <v>3884</v>
      </c>
      <c r="G336" s="8" t="s">
        <v>3922</v>
      </c>
      <c r="H336" s="8" t="s">
        <v>3923</v>
      </c>
      <c r="I336" s="8" t="s">
        <v>3300</v>
      </c>
      <c r="J336" s="8" t="s">
        <v>3301</v>
      </c>
      <c r="K336" s="8" t="s">
        <v>3183</v>
      </c>
      <c r="L336" s="10" t="s">
        <v>3302</v>
      </c>
      <c r="M336" s="10" t="s">
        <v>3303</v>
      </c>
      <c r="N336" s="10" t="s">
        <v>3304</v>
      </c>
      <c r="O336" s="8" t="s">
        <v>3190</v>
      </c>
      <c r="P336" s="8"/>
      <c r="Q336" s="8">
        <v>31454</v>
      </c>
      <c r="R336" s="8">
        <v>26449</v>
      </c>
      <c r="S336" s="8"/>
      <c r="T336" s="8"/>
      <c r="U336" s="8"/>
      <c r="V336" s="8"/>
      <c r="W336" s="8"/>
      <c r="X336" s="8"/>
      <c r="Y336" s="8"/>
      <c r="Z336" s="10" t="s">
        <v>3190</v>
      </c>
      <c r="AA336" s="8" t="s">
        <v>332</v>
      </c>
      <c r="AB336" s="8">
        <v>1</v>
      </c>
    </row>
    <row r="337" spans="1:28" ht="21.6" customHeight="1">
      <c r="A337" s="8">
        <v>43</v>
      </c>
      <c r="B337" s="8">
        <v>2025042053</v>
      </c>
      <c r="C337" s="8">
        <v>1</v>
      </c>
      <c r="D337" s="8" t="s">
        <v>3177</v>
      </c>
      <c r="E337" s="8" t="s">
        <v>123</v>
      </c>
      <c r="F337" s="8" t="s">
        <v>3884</v>
      </c>
      <c r="G337" s="8" t="s">
        <v>3899</v>
      </c>
      <c r="H337" s="8" t="s">
        <v>3650</v>
      </c>
      <c r="I337" s="8" t="s">
        <v>3307</v>
      </c>
      <c r="J337" s="8" t="s">
        <v>3301</v>
      </c>
      <c r="K337" s="8" t="s">
        <v>3183</v>
      </c>
      <c r="L337" s="10" t="s">
        <v>3308</v>
      </c>
      <c r="M337" s="10" t="s">
        <v>3309</v>
      </c>
      <c r="N337" s="10" t="s">
        <v>3310</v>
      </c>
      <c r="O337" s="8" t="s">
        <v>3190</v>
      </c>
      <c r="P337" s="8"/>
      <c r="Q337" s="8">
        <v>4731</v>
      </c>
      <c r="R337" s="8">
        <v>37175</v>
      </c>
      <c r="S337" s="8"/>
      <c r="T337" s="8"/>
      <c r="U337" s="8"/>
      <c r="V337" s="8"/>
      <c r="W337" s="8"/>
      <c r="X337" s="8"/>
      <c r="Y337" s="8"/>
      <c r="Z337" s="10" t="s">
        <v>3190</v>
      </c>
      <c r="AA337" s="8" t="s">
        <v>332</v>
      </c>
      <c r="AB337" s="8">
        <v>1</v>
      </c>
    </row>
    <row r="338" spans="1:28" ht="21.6" customHeight="1">
      <c r="A338" s="8">
        <v>44</v>
      </c>
      <c r="B338" s="8">
        <v>2025042020</v>
      </c>
      <c r="C338" s="8">
        <v>1</v>
      </c>
      <c r="D338" s="8" t="s">
        <v>3177</v>
      </c>
      <c r="E338" s="8" t="s">
        <v>123</v>
      </c>
      <c r="F338" s="8" t="s">
        <v>3884</v>
      </c>
      <c r="G338" s="8" t="s">
        <v>3239</v>
      </c>
      <c r="H338" s="8" t="s">
        <v>3924</v>
      </c>
      <c r="I338" s="8" t="s">
        <v>3313</v>
      </c>
      <c r="J338" s="8" t="s">
        <v>3301</v>
      </c>
      <c r="K338" s="8" t="s">
        <v>3183</v>
      </c>
      <c r="L338" s="10" t="s">
        <v>3314</v>
      </c>
      <c r="M338" s="10" t="s">
        <v>3315</v>
      </c>
      <c r="N338" s="10" t="s">
        <v>123</v>
      </c>
      <c r="O338" s="8" t="s">
        <v>3190</v>
      </c>
      <c r="P338" s="8"/>
      <c r="Q338" s="8">
        <v>14839</v>
      </c>
      <c r="R338" s="8">
        <v>21422</v>
      </c>
      <c r="S338" s="8"/>
      <c r="T338" s="8"/>
      <c r="U338" s="8"/>
      <c r="V338" s="8"/>
      <c r="W338" s="8"/>
      <c r="X338" s="8"/>
      <c r="Y338" s="8"/>
      <c r="Z338" s="10" t="s">
        <v>3190</v>
      </c>
      <c r="AA338" s="8" t="s">
        <v>332</v>
      </c>
      <c r="AB338" s="8">
        <v>1</v>
      </c>
    </row>
    <row r="339" spans="1:28" ht="21.6" customHeight="1">
      <c r="A339" s="8">
        <v>45</v>
      </c>
      <c r="B339" s="8">
        <v>2025043336</v>
      </c>
      <c r="C339" s="8">
        <v>1</v>
      </c>
      <c r="D339" s="8" t="s">
        <v>3177</v>
      </c>
      <c r="E339" s="8" t="s">
        <v>123</v>
      </c>
      <c r="F339" s="8" t="s">
        <v>3905</v>
      </c>
      <c r="G339" s="8" t="s">
        <v>3925</v>
      </c>
      <c r="H339" s="8" t="s">
        <v>3926</v>
      </c>
      <c r="I339" s="8" t="s">
        <v>3327</v>
      </c>
      <c r="J339" s="8" t="s">
        <v>3328</v>
      </c>
      <c r="K339" s="8" t="s">
        <v>3183</v>
      </c>
      <c r="L339" s="10" t="s">
        <v>3320</v>
      </c>
      <c r="M339" s="10" t="s">
        <v>3321</v>
      </c>
      <c r="N339" s="10" t="s">
        <v>3322</v>
      </c>
      <c r="O339" s="8" t="s">
        <v>322</v>
      </c>
      <c r="P339" s="8"/>
      <c r="Q339" s="8">
        <v>250</v>
      </c>
      <c r="R339" s="8">
        <v>10568</v>
      </c>
      <c r="S339" s="8" t="s">
        <v>332</v>
      </c>
      <c r="T339" s="8"/>
      <c r="U339" s="8"/>
      <c r="V339" s="8"/>
      <c r="W339" s="8"/>
      <c r="X339" s="8"/>
      <c r="Y339" s="8"/>
      <c r="Z339" s="10" t="s">
        <v>3186</v>
      </c>
      <c r="AA339" s="8" t="s">
        <v>332</v>
      </c>
      <c r="AB339" s="8">
        <v>1</v>
      </c>
    </row>
    <row r="340" spans="1:28" ht="21.6" customHeight="1">
      <c r="A340" s="8">
        <v>47</v>
      </c>
      <c r="B340" s="8">
        <v>2025042431</v>
      </c>
      <c r="C340" s="8">
        <v>1</v>
      </c>
      <c r="D340" s="8" t="s">
        <v>3177</v>
      </c>
      <c r="E340" s="8" t="s">
        <v>123</v>
      </c>
      <c r="F340" s="8" t="s">
        <v>3892</v>
      </c>
      <c r="G340" s="8" t="s">
        <v>3653</v>
      </c>
      <c r="H340" s="8" t="s">
        <v>3927</v>
      </c>
      <c r="I340" s="8" t="s">
        <v>3807</v>
      </c>
      <c r="J340" s="8" t="s">
        <v>3808</v>
      </c>
      <c r="K340" s="8" t="s">
        <v>3183</v>
      </c>
      <c r="L340" s="10" t="s">
        <v>3333</v>
      </c>
      <c r="M340" s="10" t="s">
        <v>3334</v>
      </c>
      <c r="N340" s="10"/>
      <c r="O340" s="8" t="s">
        <v>322</v>
      </c>
      <c r="P340" s="8"/>
      <c r="Q340" s="8"/>
      <c r="R340" s="8">
        <v>8543</v>
      </c>
      <c r="S340" s="8" t="s">
        <v>332</v>
      </c>
      <c r="T340" s="8"/>
      <c r="U340" s="8"/>
      <c r="V340" s="8"/>
      <c r="W340" s="8"/>
      <c r="X340" s="8"/>
      <c r="Y340" s="8"/>
      <c r="Z340" s="10" t="s">
        <v>3186</v>
      </c>
      <c r="AA340" s="8" t="s">
        <v>332</v>
      </c>
      <c r="AB340" s="8">
        <v>1</v>
      </c>
    </row>
    <row r="341" spans="1:28" ht="21.6" customHeight="1">
      <c r="A341" s="8">
        <v>49</v>
      </c>
      <c r="B341" s="8">
        <v>2025043326</v>
      </c>
      <c r="C341" s="8">
        <v>1</v>
      </c>
      <c r="D341" s="8" t="s">
        <v>3177</v>
      </c>
      <c r="E341" s="8" t="s">
        <v>123</v>
      </c>
      <c r="F341" s="8" t="s">
        <v>3905</v>
      </c>
      <c r="G341" s="8" t="s">
        <v>3633</v>
      </c>
      <c r="H341" s="8" t="s">
        <v>3928</v>
      </c>
      <c r="I341" s="8" t="s">
        <v>3335</v>
      </c>
      <c r="J341" s="8" t="s">
        <v>3336</v>
      </c>
      <c r="K341" s="8" t="s">
        <v>3183</v>
      </c>
      <c r="L341" s="10" t="s">
        <v>3320</v>
      </c>
      <c r="M341" s="10" t="s">
        <v>3321</v>
      </c>
      <c r="N341" s="10" t="s">
        <v>3337</v>
      </c>
      <c r="O341" s="8" t="s">
        <v>322</v>
      </c>
      <c r="P341" s="8"/>
      <c r="Q341" s="8"/>
      <c r="R341" s="8">
        <v>101049</v>
      </c>
      <c r="S341" s="8" t="s">
        <v>332</v>
      </c>
      <c r="T341" s="8"/>
      <c r="U341" s="8"/>
      <c r="V341" s="8"/>
      <c r="W341" s="8"/>
      <c r="X341" s="8"/>
      <c r="Y341" s="8"/>
      <c r="Z341" s="10" t="s">
        <v>3186</v>
      </c>
      <c r="AA341" s="8" t="s">
        <v>332</v>
      </c>
      <c r="AB341" s="8">
        <v>1</v>
      </c>
    </row>
    <row r="342" spans="1:28" ht="21.6" customHeight="1">
      <c r="A342" s="8">
        <v>51</v>
      </c>
      <c r="B342" s="8">
        <v>2025043329</v>
      </c>
      <c r="C342" s="8">
        <v>1</v>
      </c>
      <c r="D342" s="8" t="s">
        <v>3177</v>
      </c>
      <c r="E342" s="8" t="s">
        <v>123</v>
      </c>
      <c r="F342" s="8" t="s">
        <v>3905</v>
      </c>
      <c r="G342" s="8" t="s">
        <v>3925</v>
      </c>
      <c r="H342" s="8" t="s">
        <v>3926</v>
      </c>
      <c r="I342" s="8" t="s">
        <v>3340</v>
      </c>
      <c r="J342" s="8" t="s">
        <v>3336</v>
      </c>
      <c r="K342" s="8" t="s">
        <v>3183</v>
      </c>
      <c r="L342" s="10" t="s">
        <v>3320</v>
      </c>
      <c r="M342" s="10" t="s">
        <v>3321</v>
      </c>
      <c r="N342" s="10" t="s">
        <v>3341</v>
      </c>
      <c r="O342" s="8" t="s">
        <v>3190</v>
      </c>
      <c r="P342" s="8"/>
      <c r="Q342" s="8"/>
      <c r="R342" s="8">
        <v>48524</v>
      </c>
      <c r="S342" s="8"/>
      <c r="T342" s="8"/>
      <c r="U342" s="8"/>
      <c r="V342" s="8"/>
      <c r="W342" s="8"/>
      <c r="X342" s="8"/>
      <c r="Y342" s="8"/>
      <c r="Z342" s="10" t="s">
        <v>3186</v>
      </c>
      <c r="AA342" s="8" t="s">
        <v>332</v>
      </c>
      <c r="AB342" s="8">
        <v>1</v>
      </c>
    </row>
    <row r="343" spans="1:28" ht="21.6" customHeight="1">
      <c r="A343" s="8">
        <v>115</v>
      </c>
      <c r="B343" s="8">
        <v>2025041106</v>
      </c>
      <c r="C343" s="8">
        <v>1</v>
      </c>
      <c r="D343" s="8" t="s">
        <v>3177</v>
      </c>
      <c r="E343" s="8" t="s">
        <v>118</v>
      </c>
      <c r="F343" s="8" t="s">
        <v>3929</v>
      </c>
      <c r="G343" s="8" t="s">
        <v>3387</v>
      </c>
      <c r="H343" s="8" t="s">
        <v>3431</v>
      </c>
      <c r="I343" s="8" t="s">
        <v>3351</v>
      </c>
      <c r="J343" s="8" t="s">
        <v>3195</v>
      </c>
      <c r="K343" s="8" t="s">
        <v>3183</v>
      </c>
      <c r="L343" s="10" t="s">
        <v>3352</v>
      </c>
      <c r="M343" s="10" t="s">
        <v>3353</v>
      </c>
      <c r="N343" s="10" t="s">
        <v>3667</v>
      </c>
      <c r="O343" s="8" t="s">
        <v>363</v>
      </c>
      <c r="P343" s="8"/>
      <c r="Q343" s="8">
        <v>8264</v>
      </c>
      <c r="R343" s="8">
        <v>58127</v>
      </c>
      <c r="S343" s="8"/>
      <c r="T343" s="8"/>
      <c r="U343" s="8"/>
      <c r="V343" s="8"/>
      <c r="W343" s="8"/>
      <c r="X343" s="8"/>
      <c r="Y343" s="8"/>
      <c r="Z343" s="10" t="s">
        <v>3930</v>
      </c>
      <c r="AA343" s="8" t="s">
        <v>332</v>
      </c>
      <c r="AB343" s="8">
        <v>1</v>
      </c>
    </row>
    <row r="344" spans="1:28" ht="21.6" customHeight="1">
      <c r="A344" s="8">
        <v>116</v>
      </c>
      <c r="B344" s="8">
        <v>2025041294</v>
      </c>
      <c r="C344" s="8">
        <v>1</v>
      </c>
      <c r="D344" s="8" t="s">
        <v>3177</v>
      </c>
      <c r="E344" s="8" t="s">
        <v>118</v>
      </c>
      <c r="F344" s="8" t="s">
        <v>3931</v>
      </c>
      <c r="G344" s="8" t="s">
        <v>3368</v>
      </c>
      <c r="H344" s="8" t="s">
        <v>3250</v>
      </c>
      <c r="I344" s="8" t="s">
        <v>3351</v>
      </c>
      <c r="J344" s="8" t="s">
        <v>3195</v>
      </c>
      <c r="K344" s="8" t="s">
        <v>3183</v>
      </c>
      <c r="L344" s="10" t="s">
        <v>3352</v>
      </c>
      <c r="M344" s="10" t="s">
        <v>3353</v>
      </c>
      <c r="N344" s="10" t="s">
        <v>3667</v>
      </c>
      <c r="O344" s="8" t="s">
        <v>322</v>
      </c>
      <c r="P344" s="8"/>
      <c r="Q344" s="8">
        <v>8374</v>
      </c>
      <c r="R344" s="8">
        <v>60127</v>
      </c>
      <c r="S344" s="8" t="s">
        <v>332</v>
      </c>
      <c r="T344" s="8"/>
      <c r="U344" s="8"/>
      <c r="V344" s="8"/>
      <c r="W344" s="8"/>
      <c r="X344" s="8"/>
      <c r="Y344" s="8"/>
      <c r="Z344" s="10" t="s">
        <v>3696</v>
      </c>
      <c r="AA344" s="8" t="s">
        <v>332</v>
      </c>
      <c r="AB344" s="8">
        <v>1</v>
      </c>
    </row>
    <row r="345" spans="1:28" ht="21.6" customHeight="1">
      <c r="A345" s="8">
        <v>118</v>
      </c>
      <c r="B345" s="8">
        <v>2025041859</v>
      </c>
      <c r="C345" s="8">
        <v>1</v>
      </c>
      <c r="D345" s="8" t="s">
        <v>3177</v>
      </c>
      <c r="E345" s="8" t="s">
        <v>118</v>
      </c>
      <c r="F345" s="8" t="s">
        <v>3932</v>
      </c>
      <c r="G345" s="8" t="s">
        <v>3363</v>
      </c>
      <c r="H345" s="8" t="s">
        <v>3233</v>
      </c>
      <c r="I345" s="8" t="s">
        <v>3358</v>
      </c>
      <c r="J345" s="8" t="s">
        <v>3195</v>
      </c>
      <c r="K345" s="8" t="s">
        <v>3183</v>
      </c>
      <c r="L345" s="10" t="s">
        <v>3359</v>
      </c>
      <c r="M345" s="10" t="s">
        <v>3360</v>
      </c>
      <c r="N345" s="10" t="s">
        <v>3361</v>
      </c>
      <c r="O345" s="8" t="s">
        <v>322</v>
      </c>
      <c r="P345" s="8"/>
      <c r="Q345" s="8">
        <v>18172</v>
      </c>
      <c r="R345" s="8">
        <v>79569</v>
      </c>
      <c r="S345" s="8" t="s">
        <v>332</v>
      </c>
      <c r="T345" s="8"/>
      <c r="U345" s="8"/>
      <c r="V345" s="8"/>
      <c r="W345" s="8"/>
      <c r="X345" s="8"/>
      <c r="Y345" s="8"/>
      <c r="Z345" s="10" t="s">
        <v>3696</v>
      </c>
      <c r="AA345" s="8" t="s">
        <v>332</v>
      </c>
      <c r="AB345" s="8">
        <v>1</v>
      </c>
    </row>
    <row r="346" spans="1:28" ht="21.6" customHeight="1">
      <c r="A346" s="8">
        <v>120</v>
      </c>
      <c r="B346" s="8">
        <v>2025041368</v>
      </c>
      <c r="C346" s="8">
        <v>1</v>
      </c>
      <c r="D346" s="8" t="s">
        <v>3177</v>
      </c>
      <c r="E346" s="8" t="s">
        <v>118</v>
      </c>
      <c r="F346" s="8" t="s">
        <v>3931</v>
      </c>
      <c r="G346" s="8" t="s">
        <v>3250</v>
      </c>
      <c r="H346" s="8" t="s">
        <v>3204</v>
      </c>
      <c r="I346" s="8" t="s">
        <v>3365</v>
      </c>
      <c r="J346" s="8" t="s">
        <v>3195</v>
      </c>
      <c r="K346" s="8" t="s">
        <v>3183</v>
      </c>
      <c r="L346" s="10" t="s">
        <v>3366</v>
      </c>
      <c r="M346" s="10" t="s">
        <v>3367</v>
      </c>
      <c r="N346" s="10"/>
      <c r="O346" s="8" t="s">
        <v>322</v>
      </c>
      <c r="P346" s="8"/>
      <c r="Q346" s="8">
        <v>1850</v>
      </c>
      <c r="R346" s="8">
        <v>37000</v>
      </c>
      <c r="S346" s="8" t="s">
        <v>332</v>
      </c>
      <c r="T346" s="8"/>
      <c r="U346" s="8"/>
      <c r="V346" s="8"/>
      <c r="W346" s="8"/>
      <c r="X346" s="8"/>
      <c r="Y346" s="8"/>
      <c r="Z346" s="10" t="s">
        <v>3696</v>
      </c>
      <c r="AA346" s="8" t="s">
        <v>332</v>
      </c>
      <c r="AB346" s="8">
        <v>1</v>
      </c>
    </row>
    <row r="347" spans="1:28" ht="21.6" customHeight="1">
      <c r="A347" s="8">
        <v>122</v>
      </c>
      <c r="B347" s="8">
        <v>2025042009</v>
      </c>
      <c r="C347" s="8">
        <v>1</v>
      </c>
      <c r="D347" s="8" t="s">
        <v>3177</v>
      </c>
      <c r="E347" s="8" t="s">
        <v>118</v>
      </c>
      <c r="F347" s="8" t="s">
        <v>3884</v>
      </c>
      <c r="G347" s="8" t="s">
        <v>3280</v>
      </c>
      <c r="H347" s="8" t="s">
        <v>3363</v>
      </c>
      <c r="I347" s="8" t="s">
        <v>3370</v>
      </c>
      <c r="J347" s="8" t="s">
        <v>3195</v>
      </c>
      <c r="K347" s="8" t="s">
        <v>3183</v>
      </c>
      <c r="L347" s="10" t="s">
        <v>3371</v>
      </c>
      <c r="M347" s="10" t="s">
        <v>3372</v>
      </c>
      <c r="N347" s="10" t="s">
        <v>3373</v>
      </c>
      <c r="O347" s="8" t="s">
        <v>3190</v>
      </c>
      <c r="P347" s="8"/>
      <c r="Q347" s="8">
        <v>13874</v>
      </c>
      <c r="R347" s="8">
        <v>124688</v>
      </c>
      <c r="S347" s="8"/>
      <c r="T347" s="8"/>
      <c r="U347" s="8"/>
      <c r="V347" s="8"/>
      <c r="W347" s="8"/>
      <c r="X347" s="8"/>
      <c r="Y347" s="8"/>
      <c r="Z347" s="10" t="s">
        <v>3696</v>
      </c>
      <c r="AA347" s="8" t="s">
        <v>332</v>
      </c>
      <c r="AB347" s="8">
        <v>1</v>
      </c>
    </row>
    <row r="348" spans="1:28" ht="21.6" customHeight="1">
      <c r="A348" s="8">
        <v>124</v>
      </c>
      <c r="B348" s="8">
        <v>2025043398</v>
      </c>
      <c r="C348" s="8">
        <v>1</v>
      </c>
      <c r="D348" s="8" t="s">
        <v>3177</v>
      </c>
      <c r="E348" s="8" t="s">
        <v>118</v>
      </c>
      <c r="F348" s="8" t="s">
        <v>3917</v>
      </c>
      <c r="G348" s="8" t="s">
        <v>3386</v>
      </c>
      <c r="H348" s="8" t="s">
        <v>3387</v>
      </c>
      <c r="I348" s="8" t="s">
        <v>3370</v>
      </c>
      <c r="J348" s="8" t="s">
        <v>3195</v>
      </c>
      <c r="K348" s="8" t="s">
        <v>3183</v>
      </c>
      <c r="L348" s="10" t="s">
        <v>3371</v>
      </c>
      <c r="M348" s="10" t="s">
        <v>3372</v>
      </c>
      <c r="N348" s="10" t="s">
        <v>3373</v>
      </c>
      <c r="O348" s="8" t="s">
        <v>363</v>
      </c>
      <c r="P348" s="8"/>
      <c r="Q348" s="8">
        <v>13874</v>
      </c>
      <c r="R348" s="8">
        <v>124688</v>
      </c>
      <c r="S348" s="8"/>
      <c r="T348" s="8"/>
      <c r="U348" s="8"/>
      <c r="V348" s="8"/>
      <c r="W348" s="8"/>
      <c r="X348" s="8"/>
      <c r="Y348" s="8"/>
      <c r="Z348" s="10" t="s">
        <v>3933</v>
      </c>
      <c r="AA348" s="8" t="s">
        <v>332</v>
      </c>
      <c r="AB348" s="8">
        <v>1</v>
      </c>
    </row>
    <row r="349" spans="1:28" ht="21.6" customHeight="1">
      <c r="A349" s="8">
        <v>125</v>
      </c>
      <c r="B349" s="8">
        <v>2025043590</v>
      </c>
      <c r="C349" s="8">
        <v>1</v>
      </c>
      <c r="D349" s="8" t="s">
        <v>3177</v>
      </c>
      <c r="E349" s="8" t="s">
        <v>118</v>
      </c>
      <c r="F349" s="8" t="s">
        <v>3934</v>
      </c>
      <c r="G349" s="8" t="s">
        <v>3386</v>
      </c>
      <c r="H349" s="8" t="s">
        <v>3387</v>
      </c>
      <c r="I349" s="8" t="s">
        <v>3370</v>
      </c>
      <c r="J349" s="8" t="s">
        <v>3195</v>
      </c>
      <c r="K349" s="8" t="s">
        <v>3183</v>
      </c>
      <c r="L349" s="10" t="s">
        <v>3371</v>
      </c>
      <c r="M349" s="10" t="s">
        <v>3372</v>
      </c>
      <c r="N349" s="10" t="s">
        <v>3373</v>
      </c>
      <c r="O349" s="8" t="s">
        <v>322</v>
      </c>
      <c r="P349" s="8"/>
      <c r="Q349" s="8">
        <v>13874</v>
      </c>
      <c r="R349" s="8">
        <v>124688</v>
      </c>
      <c r="S349" s="8"/>
      <c r="T349" s="8"/>
      <c r="U349" s="8" t="s">
        <v>332</v>
      </c>
      <c r="V349" s="8"/>
      <c r="W349" s="8"/>
      <c r="X349" s="8"/>
      <c r="Y349" s="8" t="s">
        <v>332</v>
      </c>
      <c r="Z349" s="10" t="s">
        <v>3935</v>
      </c>
      <c r="AA349" s="8" t="s">
        <v>332</v>
      </c>
      <c r="AB349" s="8">
        <v>1</v>
      </c>
    </row>
    <row r="350" spans="1:28" ht="21.6" customHeight="1">
      <c r="A350" s="8">
        <v>130</v>
      </c>
      <c r="B350" s="8">
        <v>2025042370</v>
      </c>
      <c r="C350" s="8">
        <v>1</v>
      </c>
      <c r="D350" s="8" t="s">
        <v>3177</v>
      </c>
      <c r="E350" s="8" t="s">
        <v>118</v>
      </c>
      <c r="F350" s="8" t="s">
        <v>3892</v>
      </c>
      <c r="G350" s="8" t="s">
        <v>3233</v>
      </c>
      <c r="H350" s="8" t="s">
        <v>3381</v>
      </c>
      <c r="I350" s="8" t="s">
        <v>3936</v>
      </c>
      <c r="J350" s="8" t="s">
        <v>3195</v>
      </c>
      <c r="K350" s="8" t="s">
        <v>3183</v>
      </c>
      <c r="L350" s="10" t="s">
        <v>3377</v>
      </c>
      <c r="M350" s="10" t="s">
        <v>3937</v>
      </c>
      <c r="N350" s="10" t="s">
        <v>3938</v>
      </c>
      <c r="O350" s="8" t="s">
        <v>3190</v>
      </c>
      <c r="P350" s="8"/>
      <c r="Q350" s="8">
        <v>24799</v>
      </c>
      <c r="R350" s="8">
        <v>21009</v>
      </c>
      <c r="S350" s="8"/>
      <c r="T350" s="8"/>
      <c r="U350" s="8"/>
      <c r="V350" s="8"/>
      <c r="W350" s="8"/>
      <c r="X350" s="8"/>
      <c r="Y350" s="8"/>
      <c r="Z350" s="10" t="s">
        <v>3696</v>
      </c>
      <c r="AA350" s="8" t="s">
        <v>332</v>
      </c>
      <c r="AB350" s="8">
        <v>1</v>
      </c>
    </row>
    <row r="351" spans="1:28" ht="21.6" customHeight="1">
      <c r="A351" s="8">
        <v>132</v>
      </c>
      <c r="B351" s="8">
        <v>2025041177</v>
      </c>
      <c r="C351" s="8">
        <v>1</v>
      </c>
      <c r="D351" s="8" t="s">
        <v>3177</v>
      </c>
      <c r="E351" s="8" t="s">
        <v>118</v>
      </c>
      <c r="F351" s="8" t="s">
        <v>3929</v>
      </c>
      <c r="G351" s="8" t="s">
        <v>3368</v>
      </c>
      <c r="H351" s="8" t="s">
        <v>3386</v>
      </c>
      <c r="I351" s="8" t="s">
        <v>3675</v>
      </c>
      <c r="J351" s="8" t="s">
        <v>3195</v>
      </c>
      <c r="K351" s="8" t="s">
        <v>3183</v>
      </c>
      <c r="L351" s="10" t="s">
        <v>3377</v>
      </c>
      <c r="M351" s="10" t="s">
        <v>3676</v>
      </c>
      <c r="N351" s="10" t="s">
        <v>3677</v>
      </c>
      <c r="O351" s="8" t="s">
        <v>363</v>
      </c>
      <c r="P351" s="8"/>
      <c r="Q351" s="8">
        <v>11614</v>
      </c>
      <c r="R351" s="8">
        <v>15496</v>
      </c>
      <c r="S351" s="8"/>
      <c r="T351" s="8"/>
      <c r="U351" s="8"/>
      <c r="V351" s="8"/>
      <c r="W351" s="8"/>
      <c r="X351" s="8"/>
      <c r="Y351" s="8"/>
      <c r="Z351" s="10" t="s">
        <v>3939</v>
      </c>
      <c r="AA351" s="8" t="s">
        <v>332</v>
      </c>
      <c r="AB351" s="8">
        <v>1</v>
      </c>
    </row>
    <row r="352" spans="1:28" ht="21.6" customHeight="1">
      <c r="A352" s="8">
        <v>139</v>
      </c>
      <c r="B352" s="8">
        <v>2025040649</v>
      </c>
      <c r="C352" s="8">
        <v>1</v>
      </c>
      <c r="D352" s="8" t="s">
        <v>3177</v>
      </c>
      <c r="E352" s="8" t="s">
        <v>118</v>
      </c>
      <c r="F352" s="8" t="s">
        <v>3904</v>
      </c>
      <c r="G352" s="8" t="s">
        <v>3363</v>
      </c>
      <c r="H352" s="8" t="s">
        <v>3233</v>
      </c>
      <c r="I352" s="8" t="s">
        <v>3382</v>
      </c>
      <c r="J352" s="8" t="s">
        <v>3224</v>
      </c>
      <c r="K352" s="8" t="s">
        <v>3183</v>
      </c>
      <c r="L352" s="10" t="s">
        <v>3383</v>
      </c>
      <c r="M352" s="10" t="s">
        <v>3384</v>
      </c>
      <c r="N352" s="10" t="s">
        <v>3385</v>
      </c>
      <c r="O352" s="8" t="s">
        <v>322</v>
      </c>
      <c r="P352" s="8">
        <v>5840</v>
      </c>
      <c r="Q352" s="8">
        <v>13201</v>
      </c>
      <c r="R352" s="8">
        <v>17666</v>
      </c>
      <c r="S352" s="8" t="s">
        <v>332</v>
      </c>
      <c r="T352" s="8"/>
      <c r="U352" s="8"/>
      <c r="V352" s="8"/>
      <c r="W352" s="8"/>
      <c r="X352" s="8"/>
      <c r="Y352" s="8"/>
      <c r="Z352" s="10" t="s">
        <v>3696</v>
      </c>
      <c r="AA352" s="8" t="s">
        <v>332</v>
      </c>
      <c r="AB352" s="8">
        <v>1</v>
      </c>
    </row>
    <row r="353" spans="1:28" ht="21.6" customHeight="1">
      <c r="A353" s="8">
        <v>141</v>
      </c>
      <c r="B353" s="8">
        <v>2025040647</v>
      </c>
      <c r="C353" s="8">
        <v>1</v>
      </c>
      <c r="D353" s="8" t="s">
        <v>3177</v>
      </c>
      <c r="E353" s="8" t="s">
        <v>118</v>
      </c>
      <c r="F353" s="8" t="s">
        <v>3904</v>
      </c>
      <c r="G353" s="8" t="s">
        <v>3280</v>
      </c>
      <c r="H353" s="8" t="s">
        <v>3363</v>
      </c>
      <c r="I353" s="8" t="s">
        <v>3683</v>
      </c>
      <c r="J353" s="8" t="s">
        <v>3224</v>
      </c>
      <c r="K353" s="8" t="s">
        <v>3183</v>
      </c>
      <c r="L353" s="10" t="s">
        <v>3383</v>
      </c>
      <c r="M353" s="10" t="s">
        <v>3684</v>
      </c>
      <c r="N353" s="10" t="s">
        <v>3685</v>
      </c>
      <c r="O353" s="8" t="s">
        <v>322</v>
      </c>
      <c r="P353" s="8">
        <v>408</v>
      </c>
      <c r="Q353" s="8">
        <v>613</v>
      </c>
      <c r="R353" s="8">
        <v>3482</v>
      </c>
      <c r="S353" s="8" t="s">
        <v>332</v>
      </c>
      <c r="T353" s="8"/>
      <c r="U353" s="8"/>
      <c r="V353" s="8"/>
      <c r="W353" s="8"/>
      <c r="X353" s="8"/>
      <c r="Y353" s="8"/>
      <c r="Z353" s="10" t="s">
        <v>3696</v>
      </c>
      <c r="AA353" s="8" t="s">
        <v>332</v>
      </c>
      <c r="AB353" s="8">
        <v>1</v>
      </c>
    </row>
    <row r="354" spans="1:28" ht="21.6" customHeight="1">
      <c r="A354" s="8">
        <v>143</v>
      </c>
      <c r="B354" s="8">
        <v>2025041620</v>
      </c>
      <c r="C354" s="8">
        <v>1</v>
      </c>
      <c r="D354" s="8" t="s">
        <v>3177</v>
      </c>
      <c r="E354" s="8" t="s">
        <v>118</v>
      </c>
      <c r="F354" s="8" t="s">
        <v>3886</v>
      </c>
      <c r="G354" s="8" t="s">
        <v>3350</v>
      </c>
      <c r="H354" s="8" t="s">
        <v>3280</v>
      </c>
      <c r="I354" s="8" t="s">
        <v>3689</v>
      </c>
      <c r="J354" s="8" t="s">
        <v>3224</v>
      </c>
      <c r="K354" s="8" t="s">
        <v>3183</v>
      </c>
      <c r="L354" s="10" t="s">
        <v>3344</v>
      </c>
      <c r="M354" s="10" t="s">
        <v>3345</v>
      </c>
      <c r="N354" s="10" t="s">
        <v>3497</v>
      </c>
      <c r="O354" s="8" t="s">
        <v>322</v>
      </c>
      <c r="P354" s="8"/>
      <c r="Q354" s="8">
        <v>300</v>
      </c>
      <c r="R354" s="8">
        <v>4500</v>
      </c>
      <c r="S354" s="8" t="s">
        <v>332</v>
      </c>
      <c r="T354" s="8"/>
      <c r="U354" s="8"/>
      <c r="V354" s="8"/>
      <c r="W354" s="8"/>
      <c r="X354" s="8"/>
      <c r="Y354" s="8"/>
      <c r="Z354" s="10" t="s">
        <v>3696</v>
      </c>
      <c r="AA354" s="8" t="s">
        <v>332</v>
      </c>
      <c r="AB354" s="8">
        <v>1</v>
      </c>
    </row>
    <row r="355" spans="1:28" ht="21.6" customHeight="1">
      <c r="A355" s="8">
        <v>145</v>
      </c>
      <c r="B355" s="8">
        <v>2025042096</v>
      </c>
      <c r="C355" s="8">
        <v>1</v>
      </c>
      <c r="D355" s="8" t="s">
        <v>3177</v>
      </c>
      <c r="E355" s="8" t="s">
        <v>118</v>
      </c>
      <c r="F355" s="8" t="s">
        <v>3884</v>
      </c>
      <c r="G355" s="8" t="s">
        <v>3368</v>
      </c>
      <c r="H355" s="8" t="s">
        <v>3387</v>
      </c>
      <c r="I355" s="8" t="s">
        <v>3940</v>
      </c>
      <c r="J355" s="8" t="s">
        <v>3224</v>
      </c>
      <c r="K355" s="8" t="s">
        <v>3183</v>
      </c>
      <c r="L355" s="10" t="s">
        <v>3383</v>
      </c>
      <c r="M355" s="10" t="s">
        <v>3941</v>
      </c>
      <c r="N355" s="10" t="s">
        <v>3942</v>
      </c>
      <c r="O355" s="8" t="s">
        <v>322</v>
      </c>
      <c r="P355" s="8">
        <v>0</v>
      </c>
      <c r="Q355" s="8">
        <v>1</v>
      </c>
      <c r="R355" s="8">
        <v>13</v>
      </c>
      <c r="S355" s="8"/>
      <c r="T355" s="8"/>
      <c r="U355" s="8"/>
      <c r="V355" s="8"/>
      <c r="W355" s="8"/>
      <c r="X355" s="8"/>
      <c r="Y355" s="8" t="s">
        <v>332</v>
      </c>
      <c r="Z355" s="10" t="s">
        <v>3491</v>
      </c>
      <c r="AA355" s="8" t="s">
        <v>332</v>
      </c>
      <c r="AB355" s="8">
        <v>1</v>
      </c>
    </row>
    <row r="356" spans="1:28" ht="21.6" customHeight="1">
      <c r="A356" s="8">
        <v>146</v>
      </c>
      <c r="B356" s="8">
        <v>2025043248</v>
      </c>
      <c r="C356" s="8">
        <v>1</v>
      </c>
      <c r="D356" s="8" t="s">
        <v>3177</v>
      </c>
      <c r="E356" s="8" t="s">
        <v>118</v>
      </c>
      <c r="F356" s="8" t="s">
        <v>3905</v>
      </c>
      <c r="G356" s="8" t="s">
        <v>3280</v>
      </c>
      <c r="H356" s="8" t="s">
        <v>3233</v>
      </c>
      <c r="I356" s="8" t="s">
        <v>3940</v>
      </c>
      <c r="J356" s="8" t="s">
        <v>3224</v>
      </c>
      <c r="K356" s="8" t="s">
        <v>3183</v>
      </c>
      <c r="L356" s="10" t="s">
        <v>3383</v>
      </c>
      <c r="M356" s="10" t="s">
        <v>3941</v>
      </c>
      <c r="N356" s="10" t="s">
        <v>3942</v>
      </c>
      <c r="O356" s="8" t="s">
        <v>322</v>
      </c>
      <c r="P356" s="8"/>
      <c r="Q356" s="8">
        <v>0</v>
      </c>
      <c r="R356" s="8">
        <v>0</v>
      </c>
      <c r="S356" s="8"/>
      <c r="T356" s="8"/>
      <c r="U356" s="8"/>
      <c r="V356" s="8"/>
      <c r="W356" s="8"/>
      <c r="X356" s="8"/>
      <c r="Y356" s="8" t="s">
        <v>332</v>
      </c>
      <c r="Z356" s="10" t="s">
        <v>3943</v>
      </c>
      <c r="AA356" s="8" t="s">
        <v>332</v>
      </c>
      <c r="AB356" s="8">
        <v>1</v>
      </c>
    </row>
    <row r="357" spans="1:28" ht="21.6" customHeight="1">
      <c r="A357" s="8">
        <v>147</v>
      </c>
      <c r="B357" s="8">
        <v>2025040758</v>
      </c>
      <c r="C357" s="8">
        <v>1</v>
      </c>
      <c r="D357" s="8" t="s">
        <v>3177</v>
      </c>
      <c r="E357" s="8" t="s">
        <v>118</v>
      </c>
      <c r="F357" s="8" t="s">
        <v>3904</v>
      </c>
      <c r="G357" s="8" t="s">
        <v>3204</v>
      </c>
      <c r="H357" s="8" t="s">
        <v>3710</v>
      </c>
      <c r="I357" s="8" t="s">
        <v>3944</v>
      </c>
      <c r="J357" s="8" t="s">
        <v>3253</v>
      </c>
      <c r="K357" s="8" t="s">
        <v>3183</v>
      </c>
      <c r="L357" s="10" t="s">
        <v>3254</v>
      </c>
      <c r="M357" s="10" t="s">
        <v>3945</v>
      </c>
      <c r="N357" s="10" t="s">
        <v>3946</v>
      </c>
      <c r="O357" s="8" t="s">
        <v>322</v>
      </c>
      <c r="P357" s="8"/>
      <c r="Q357" s="8"/>
      <c r="R357" s="8">
        <v>57483</v>
      </c>
      <c r="S357" s="8"/>
      <c r="T357" s="8"/>
      <c r="U357" s="8" t="s">
        <v>332</v>
      </c>
      <c r="V357" s="8"/>
      <c r="W357" s="8"/>
      <c r="X357" s="8"/>
      <c r="Y357" s="8"/>
      <c r="Z357" s="10" t="s">
        <v>3362</v>
      </c>
      <c r="AA357" s="8" t="s">
        <v>332</v>
      </c>
      <c r="AB357" s="8">
        <v>1</v>
      </c>
    </row>
    <row r="358" spans="1:28" ht="21.6" customHeight="1">
      <c r="A358" s="8">
        <v>148</v>
      </c>
      <c r="B358" s="8">
        <v>2025041546</v>
      </c>
      <c r="C358" s="8">
        <v>1</v>
      </c>
      <c r="D358" s="8" t="s">
        <v>3177</v>
      </c>
      <c r="E358" s="8" t="s">
        <v>118</v>
      </c>
      <c r="F358" s="8" t="s">
        <v>3947</v>
      </c>
      <c r="G358" s="8" t="s">
        <v>3386</v>
      </c>
      <c r="H358" s="8" t="s">
        <v>3662</v>
      </c>
      <c r="I358" s="8" t="s">
        <v>3944</v>
      </c>
      <c r="J358" s="8" t="s">
        <v>3253</v>
      </c>
      <c r="K358" s="8" t="s">
        <v>3183</v>
      </c>
      <c r="L358" s="10" t="s">
        <v>3254</v>
      </c>
      <c r="M358" s="10" t="s">
        <v>3945</v>
      </c>
      <c r="N358" s="10" t="s">
        <v>3946</v>
      </c>
      <c r="O358" s="8" t="s">
        <v>363</v>
      </c>
      <c r="P358" s="8"/>
      <c r="Q358" s="8"/>
      <c r="R358" s="8">
        <v>57483</v>
      </c>
      <c r="S358" s="8"/>
      <c r="T358" s="8"/>
      <c r="U358" s="8"/>
      <c r="V358" s="8"/>
      <c r="W358" s="8"/>
      <c r="X358" s="8"/>
      <c r="Y358" s="8"/>
      <c r="Z358" s="10" t="s">
        <v>3948</v>
      </c>
      <c r="AA358" s="8" t="s">
        <v>332</v>
      </c>
      <c r="AB358" s="8">
        <v>1</v>
      </c>
    </row>
    <row r="359" spans="1:28" ht="21.6" customHeight="1">
      <c r="A359" s="8">
        <v>149</v>
      </c>
      <c r="B359" s="8">
        <v>2025041977</v>
      </c>
      <c r="C359" s="8">
        <v>1</v>
      </c>
      <c r="D359" s="8" t="s">
        <v>3177</v>
      </c>
      <c r="E359" s="8" t="s">
        <v>118</v>
      </c>
      <c r="F359" s="8" t="s">
        <v>3932</v>
      </c>
      <c r="G359" s="8" t="s">
        <v>3425</v>
      </c>
      <c r="H359" s="8" t="s">
        <v>3595</v>
      </c>
      <c r="I359" s="8" t="s">
        <v>3944</v>
      </c>
      <c r="J359" s="8" t="s">
        <v>3253</v>
      </c>
      <c r="K359" s="8" t="s">
        <v>3183</v>
      </c>
      <c r="L359" s="10" t="s">
        <v>3254</v>
      </c>
      <c r="M359" s="10" t="s">
        <v>3945</v>
      </c>
      <c r="N359" s="10" t="s">
        <v>3946</v>
      </c>
      <c r="O359" s="8" t="s">
        <v>322</v>
      </c>
      <c r="P359" s="8"/>
      <c r="Q359" s="8"/>
      <c r="R359" s="8">
        <v>57483</v>
      </c>
      <c r="S359" s="8"/>
      <c r="T359" s="8"/>
      <c r="U359" s="8"/>
      <c r="V359" s="8"/>
      <c r="W359" s="8"/>
      <c r="X359" s="8"/>
      <c r="Y359" s="8" t="s">
        <v>332</v>
      </c>
      <c r="Z359" s="10" t="s">
        <v>3949</v>
      </c>
      <c r="AA359" s="8" t="s">
        <v>332</v>
      </c>
      <c r="AB359" s="8">
        <v>1</v>
      </c>
    </row>
    <row r="360" spans="1:28" ht="21.6" customHeight="1">
      <c r="A360" s="8">
        <v>150</v>
      </c>
      <c r="B360" s="8">
        <v>2025041465</v>
      </c>
      <c r="C360" s="8">
        <v>1</v>
      </c>
      <c r="D360" s="8" t="s">
        <v>3177</v>
      </c>
      <c r="E360" s="8" t="s">
        <v>118</v>
      </c>
      <c r="F360" s="8" t="s">
        <v>3947</v>
      </c>
      <c r="G360" s="8" t="s">
        <v>3350</v>
      </c>
      <c r="H360" s="8" t="s">
        <v>3950</v>
      </c>
      <c r="I360" s="8" t="s">
        <v>3397</v>
      </c>
      <c r="J360" s="8" t="s">
        <v>3253</v>
      </c>
      <c r="K360" s="8" t="s">
        <v>3183</v>
      </c>
      <c r="L360" s="10" t="s">
        <v>3398</v>
      </c>
      <c r="M360" s="10" t="s">
        <v>3399</v>
      </c>
      <c r="N360" s="10" t="s">
        <v>3400</v>
      </c>
      <c r="O360" s="8" t="s">
        <v>322</v>
      </c>
      <c r="P360" s="8"/>
      <c r="Q360" s="8"/>
      <c r="R360" s="8">
        <v>379298</v>
      </c>
      <c r="S360" s="8" t="s">
        <v>332</v>
      </c>
      <c r="T360" s="8"/>
      <c r="U360" s="8"/>
      <c r="V360" s="8"/>
      <c r="W360" s="8"/>
      <c r="X360" s="8"/>
      <c r="Y360" s="8"/>
      <c r="Z360" s="10" t="s">
        <v>3696</v>
      </c>
      <c r="AA360" s="8" t="s">
        <v>332</v>
      </c>
      <c r="AB360" s="8">
        <v>1</v>
      </c>
    </row>
    <row r="361" spans="1:28" ht="21.6" customHeight="1">
      <c r="A361" s="8">
        <v>152</v>
      </c>
      <c r="B361" s="8">
        <v>2025041978</v>
      </c>
      <c r="C361" s="8">
        <v>1</v>
      </c>
      <c r="D361" s="8" t="s">
        <v>3177</v>
      </c>
      <c r="E361" s="8" t="s">
        <v>118</v>
      </c>
      <c r="F361" s="8" t="s">
        <v>3932</v>
      </c>
      <c r="G361" s="8" t="s">
        <v>3595</v>
      </c>
      <c r="H361" s="8" t="s">
        <v>3756</v>
      </c>
      <c r="I361" s="8" t="s">
        <v>3397</v>
      </c>
      <c r="J361" s="8" t="s">
        <v>3253</v>
      </c>
      <c r="K361" s="8" t="s">
        <v>3183</v>
      </c>
      <c r="L361" s="10" t="s">
        <v>3398</v>
      </c>
      <c r="M361" s="10" t="s">
        <v>3399</v>
      </c>
      <c r="N361" s="10" t="s">
        <v>3400</v>
      </c>
      <c r="O361" s="8" t="s">
        <v>322</v>
      </c>
      <c r="P361" s="8"/>
      <c r="Q361" s="8"/>
      <c r="R361" s="8">
        <v>379298</v>
      </c>
      <c r="S361" s="8"/>
      <c r="T361" s="8"/>
      <c r="U361" s="8"/>
      <c r="V361" s="8"/>
      <c r="W361" s="8"/>
      <c r="X361" s="8"/>
      <c r="Y361" s="8" t="s">
        <v>332</v>
      </c>
      <c r="Z361" s="10" t="s">
        <v>3951</v>
      </c>
      <c r="AA361" s="8" t="s">
        <v>332</v>
      </c>
      <c r="AB361" s="8">
        <v>1</v>
      </c>
    </row>
    <row r="362" spans="1:28" ht="21.6" customHeight="1">
      <c r="A362" s="8">
        <v>153</v>
      </c>
      <c r="B362" s="8">
        <v>2025042135</v>
      </c>
      <c r="C362" s="8">
        <v>1</v>
      </c>
      <c r="D362" s="8" t="s">
        <v>3177</v>
      </c>
      <c r="E362" s="8" t="s">
        <v>118</v>
      </c>
      <c r="F362" s="8" t="s">
        <v>3883</v>
      </c>
      <c r="G362" s="8" t="s">
        <v>3350</v>
      </c>
      <c r="H362" s="8" t="s">
        <v>3952</v>
      </c>
      <c r="I362" s="8" t="s">
        <v>3397</v>
      </c>
      <c r="J362" s="8" t="s">
        <v>3253</v>
      </c>
      <c r="K362" s="8" t="s">
        <v>3183</v>
      </c>
      <c r="L362" s="10" t="s">
        <v>3398</v>
      </c>
      <c r="M362" s="10" t="s">
        <v>3399</v>
      </c>
      <c r="N362" s="10" t="s">
        <v>3400</v>
      </c>
      <c r="O362" s="8" t="s">
        <v>322</v>
      </c>
      <c r="P362" s="8"/>
      <c r="Q362" s="8"/>
      <c r="R362" s="8">
        <v>379298</v>
      </c>
      <c r="S362" s="8"/>
      <c r="T362" s="8"/>
      <c r="U362" s="8"/>
      <c r="V362" s="8"/>
      <c r="W362" s="8"/>
      <c r="X362" s="8"/>
      <c r="Y362" s="8" t="s">
        <v>332</v>
      </c>
      <c r="Z362" s="10" t="s">
        <v>3953</v>
      </c>
      <c r="AA362" s="8" t="s">
        <v>332</v>
      </c>
      <c r="AB362" s="8">
        <v>1</v>
      </c>
    </row>
    <row r="363" spans="1:28" ht="21.6" customHeight="1">
      <c r="A363" s="8">
        <v>154</v>
      </c>
      <c r="B363" s="8">
        <v>2025041473</v>
      </c>
      <c r="C363" s="8">
        <v>1</v>
      </c>
      <c r="D363" s="8" t="s">
        <v>3177</v>
      </c>
      <c r="E363" s="8" t="s">
        <v>118</v>
      </c>
      <c r="F363" s="8" t="s">
        <v>3947</v>
      </c>
      <c r="G363" s="8" t="s">
        <v>3232</v>
      </c>
      <c r="H363" s="8" t="s">
        <v>3233</v>
      </c>
      <c r="I363" s="8" t="s">
        <v>3404</v>
      </c>
      <c r="J363" s="8" t="s">
        <v>3253</v>
      </c>
      <c r="K363" s="8" t="s">
        <v>3183</v>
      </c>
      <c r="L363" s="10" t="s">
        <v>3398</v>
      </c>
      <c r="M363" s="10" t="s">
        <v>3405</v>
      </c>
      <c r="N363" s="10" t="s">
        <v>3406</v>
      </c>
      <c r="O363" s="8" t="s">
        <v>322</v>
      </c>
      <c r="P363" s="8"/>
      <c r="Q363" s="8"/>
      <c r="R363" s="8">
        <v>162858</v>
      </c>
      <c r="S363" s="8" t="s">
        <v>332</v>
      </c>
      <c r="T363" s="8"/>
      <c r="U363" s="8"/>
      <c r="V363" s="8"/>
      <c r="W363" s="8"/>
      <c r="X363" s="8"/>
      <c r="Y363" s="8"/>
      <c r="Z363" s="10" t="s">
        <v>3696</v>
      </c>
      <c r="AA363" s="8" t="s">
        <v>332</v>
      </c>
      <c r="AB363" s="8">
        <v>1</v>
      </c>
    </row>
    <row r="364" spans="1:28" ht="21.6" customHeight="1">
      <c r="A364" s="8">
        <v>156</v>
      </c>
      <c r="B364" s="8">
        <v>2025043203</v>
      </c>
      <c r="C364" s="8">
        <v>1</v>
      </c>
      <c r="D364" s="8" t="s">
        <v>3177</v>
      </c>
      <c r="E364" s="8" t="s">
        <v>118</v>
      </c>
      <c r="F364" s="8" t="s">
        <v>3954</v>
      </c>
      <c r="G364" s="8" t="s">
        <v>3250</v>
      </c>
      <c r="H364" s="8" t="s">
        <v>3204</v>
      </c>
      <c r="I364" s="8" t="s">
        <v>3408</v>
      </c>
      <c r="J364" s="8" t="s">
        <v>3253</v>
      </c>
      <c r="K364" s="8" t="s">
        <v>3183</v>
      </c>
      <c r="L364" s="10" t="s">
        <v>3409</v>
      </c>
      <c r="M364" s="10" t="s">
        <v>3410</v>
      </c>
      <c r="N364" s="10"/>
      <c r="O364" s="8" t="s">
        <v>322</v>
      </c>
      <c r="P364" s="8"/>
      <c r="Q364" s="8"/>
      <c r="R364" s="8">
        <v>309739</v>
      </c>
      <c r="S364" s="8" t="s">
        <v>332</v>
      </c>
      <c r="T364" s="8"/>
      <c r="U364" s="8"/>
      <c r="V364" s="8"/>
      <c r="W364" s="8"/>
      <c r="X364" s="8"/>
      <c r="Y364" s="8"/>
      <c r="Z364" s="10" t="s">
        <v>3821</v>
      </c>
      <c r="AA364" s="8" t="s">
        <v>332</v>
      </c>
      <c r="AB364" s="8">
        <v>1</v>
      </c>
    </row>
    <row r="365" spans="1:28" ht="21.6" customHeight="1">
      <c r="A365" s="8">
        <v>158</v>
      </c>
      <c r="B365" s="8">
        <v>2025043230</v>
      </c>
      <c r="C365" s="8">
        <v>1</v>
      </c>
      <c r="D365" s="8" t="s">
        <v>3177</v>
      </c>
      <c r="E365" s="8" t="s">
        <v>118</v>
      </c>
      <c r="F365" s="8" t="s">
        <v>3954</v>
      </c>
      <c r="G365" s="8" t="s">
        <v>3386</v>
      </c>
      <c r="H365" s="8" t="s">
        <v>3426</v>
      </c>
      <c r="I365" s="8" t="s">
        <v>3408</v>
      </c>
      <c r="J365" s="8" t="s">
        <v>3253</v>
      </c>
      <c r="K365" s="8" t="s">
        <v>3183</v>
      </c>
      <c r="L365" s="10" t="s">
        <v>3409</v>
      </c>
      <c r="M365" s="10" t="s">
        <v>3410</v>
      </c>
      <c r="N365" s="10"/>
      <c r="O365" s="8" t="s">
        <v>322</v>
      </c>
      <c r="P365" s="8"/>
      <c r="Q365" s="8"/>
      <c r="R365" s="8">
        <v>309739</v>
      </c>
      <c r="S365" s="8"/>
      <c r="T365" s="8"/>
      <c r="U365" s="8"/>
      <c r="V365" s="8"/>
      <c r="W365" s="8"/>
      <c r="X365" s="8"/>
      <c r="Y365" s="8" t="s">
        <v>332</v>
      </c>
      <c r="Z365" s="10" t="s">
        <v>3517</v>
      </c>
      <c r="AA365" s="8" t="s">
        <v>332</v>
      </c>
      <c r="AB365" s="8">
        <v>1</v>
      </c>
    </row>
    <row r="366" spans="1:28" ht="21.6" customHeight="1">
      <c r="A366" s="8">
        <v>161</v>
      </c>
      <c r="B366" s="8">
        <v>2025043338</v>
      </c>
      <c r="C366" s="8">
        <v>1</v>
      </c>
      <c r="D366" s="8" t="s">
        <v>3177</v>
      </c>
      <c r="E366" s="8" t="s">
        <v>118</v>
      </c>
      <c r="F366" s="8" t="s">
        <v>3905</v>
      </c>
      <c r="G366" s="8" t="s">
        <v>3426</v>
      </c>
      <c r="H366" s="8" t="s">
        <v>3786</v>
      </c>
      <c r="I366" s="8" t="s">
        <v>3413</v>
      </c>
      <c r="J366" s="8" t="s">
        <v>3253</v>
      </c>
      <c r="K366" s="8" t="s">
        <v>3183</v>
      </c>
      <c r="L366" s="10" t="s">
        <v>3414</v>
      </c>
      <c r="M366" s="10" t="s">
        <v>3415</v>
      </c>
      <c r="N366" s="10"/>
      <c r="O366" s="8" t="s">
        <v>3190</v>
      </c>
      <c r="P366" s="8"/>
      <c r="Q366" s="8"/>
      <c r="R366" s="8">
        <v>84000</v>
      </c>
      <c r="S366" s="8"/>
      <c r="T366" s="8"/>
      <c r="U366" s="8"/>
      <c r="V366" s="8"/>
      <c r="W366" s="8"/>
      <c r="X366" s="8"/>
      <c r="Y366" s="8"/>
      <c r="Z366" s="10" t="s">
        <v>3696</v>
      </c>
      <c r="AA366" s="8" t="s">
        <v>332</v>
      </c>
      <c r="AB366" s="8">
        <v>1</v>
      </c>
    </row>
    <row r="367" spans="1:28" ht="21.6" customHeight="1">
      <c r="A367" s="8">
        <v>164</v>
      </c>
      <c r="B367" s="8">
        <v>2025042991</v>
      </c>
      <c r="C367" s="8">
        <v>1</v>
      </c>
      <c r="D367" s="8" t="s">
        <v>3177</v>
      </c>
      <c r="E367" s="8" t="s">
        <v>118</v>
      </c>
      <c r="F367" s="8" t="s">
        <v>3955</v>
      </c>
      <c r="G367" s="8" t="s">
        <v>3204</v>
      </c>
      <c r="H367" s="8" t="s">
        <v>3205</v>
      </c>
      <c r="I367" s="8" t="s">
        <v>3418</v>
      </c>
      <c r="J367" s="8" t="s">
        <v>3253</v>
      </c>
      <c r="K367" s="8" t="s">
        <v>3183</v>
      </c>
      <c r="L367" s="10" t="s">
        <v>3254</v>
      </c>
      <c r="M367" s="10" t="s">
        <v>3419</v>
      </c>
      <c r="N367" s="10" t="s">
        <v>3420</v>
      </c>
      <c r="O367" s="8" t="s">
        <v>363</v>
      </c>
      <c r="P367" s="8"/>
      <c r="Q367" s="8"/>
      <c r="R367" s="8">
        <v>63602</v>
      </c>
      <c r="S367" s="8"/>
      <c r="T367" s="8"/>
      <c r="U367" s="8"/>
      <c r="V367" s="8"/>
      <c r="W367" s="8"/>
      <c r="X367" s="8"/>
      <c r="Y367" s="8"/>
      <c r="Z367" s="10" t="s">
        <v>3956</v>
      </c>
      <c r="AA367" s="8" t="s">
        <v>332</v>
      </c>
      <c r="AB367" s="8">
        <v>1</v>
      </c>
    </row>
    <row r="368" spans="1:28" ht="21.6" customHeight="1">
      <c r="A368" s="8">
        <v>165</v>
      </c>
      <c r="B368" s="8">
        <v>2025043153</v>
      </c>
      <c r="C368" s="8">
        <v>1</v>
      </c>
      <c r="D368" s="8" t="s">
        <v>3177</v>
      </c>
      <c r="E368" s="8" t="s">
        <v>118</v>
      </c>
      <c r="F368" s="8" t="s">
        <v>3954</v>
      </c>
      <c r="G368" s="8" t="s">
        <v>3381</v>
      </c>
      <c r="H368" s="8" t="s">
        <v>3357</v>
      </c>
      <c r="I368" s="8" t="s">
        <v>3418</v>
      </c>
      <c r="J368" s="8" t="s">
        <v>3253</v>
      </c>
      <c r="K368" s="8" t="s">
        <v>3183</v>
      </c>
      <c r="L368" s="10" t="s">
        <v>3254</v>
      </c>
      <c r="M368" s="10" t="s">
        <v>3419</v>
      </c>
      <c r="N368" s="10" t="s">
        <v>3420</v>
      </c>
      <c r="O368" s="8" t="s">
        <v>322</v>
      </c>
      <c r="P368" s="8"/>
      <c r="Q368" s="8"/>
      <c r="R368" s="8">
        <v>63602</v>
      </c>
      <c r="S368" s="8"/>
      <c r="T368" s="8"/>
      <c r="U368" s="8"/>
      <c r="V368" s="8"/>
      <c r="W368" s="8"/>
      <c r="X368" s="8"/>
      <c r="Y368" s="8" t="s">
        <v>332</v>
      </c>
      <c r="Z368" s="10" t="s">
        <v>3957</v>
      </c>
      <c r="AA368" s="8" t="s">
        <v>332</v>
      </c>
      <c r="AB368" s="8">
        <v>1</v>
      </c>
    </row>
    <row r="369" spans="1:28" ht="21.6" customHeight="1">
      <c r="A369" s="8">
        <v>166</v>
      </c>
      <c r="B369" s="8">
        <v>2025043199</v>
      </c>
      <c r="C369" s="8">
        <v>1</v>
      </c>
      <c r="D369" s="8" t="s">
        <v>3177</v>
      </c>
      <c r="E369" s="8" t="s">
        <v>118</v>
      </c>
      <c r="F369" s="8" t="s">
        <v>3905</v>
      </c>
      <c r="G369" s="8" t="s">
        <v>3204</v>
      </c>
      <c r="H369" s="8" t="s">
        <v>3618</v>
      </c>
      <c r="I369" s="8" t="s">
        <v>3418</v>
      </c>
      <c r="J369" s="8" t="s">
        <v>3253</v>
      </c>
      <c r="K369" s="8" t="s">
        <v>3183</v>
      </c>
      <c r="L369" s="10" t="s">
        <v>3254</v>
      </c>
      <c r="M369" s="10" t="s">
        <v>3419</v>
      </c>
      <c r="N369" s="10" t="s">
        <v>3420</v>
      </c>
      <c r="O369" s="8" t="s">
        <v>363</v>
      </c>
      <c r="P369" s="8"/>
      <c r="Q369" s="8"/>
      <c r="R369" s="8">
        <v>63602</v>
      </c>
      <c r="S369" s="8"/>
      <c r="T369" s="8"/>
      <c r="U369" s="8"/>
      <c r="V369" s="8"/>
      <c r="W369" s="8"/>
      <c r="X369" s="8"/>
      <c r="Y369" s="8"/>
      <c r="Z369" s="10" t="s">
        <v>3958</v>
      </c>
      <c r="AA369" s="8" t="s">
        <v>332</v>
      </c>
      <c r="AB369" s="8">
        <v>1</v>
      </c>
    </row>
    <row r="370" spans="1:28" ht="21.6" customHeight="1">
      <c r="A370" s="8">
        <v>167</v>
      </c>
      <c r="B370" s="8">
        <v>2025040978</v>
      </c>
      <c r="C370" s="8">
        <v>1</v>
      </c>
      <c r="D370" s="8" t="s">
        <v>3177</v>
      </c>
      <c r="E370" s="8" t="s">
        <v>118</v>
      </c>
      <c r="F370" s="8" t="s">
        <v>3911</v>
      </c>
      <c r="G370" s="8" t="s">
        <v>3387</v>
      </c>
      <c r="H370" s="8" t="s">
        <v>3426</v>
      </c>
      <c r="I370" s="8" t="s">
        <v>3422</v>
      </c>
      <c r="J370" s="8" t="s">
        <v>3253</v>
      </c>
      <c r="K370" s="8" t="s">
        <v>3183</v>
      </c>
      <c r="L370" s="10" t="s">
        <v>3270</v>
      </c>
      <c r="M370" s="10" t="s">
        <v>3423</v>
      </c>
      <c r="N370" s="10" t="s">
        <v>3424</v>
      </c>
      <c r="O370" s="8" t="s">
        <v>322</v>
      </c>
      <c r="P370" s="8"/>
      <c r="Q370" s="8"/>
      <c r="R370" s="8">
        <v>39640</v>
      </c>
      <c r="S370" s="8" t="s">
        <v>332</v>
      </c>
      <c r="T370" s="8"/>
      <c r="U370" s="8"/>
      <c r="V370" s="8"/>
      <c r="W370" s="8"/>
      <c r="X370" s="8"/>
      <c r="Y370" s="8"/>
      <c r="Z370" s="10" t="s">
        <v>3696</v>
      </c>
      <c r="AA370" s="8" t="s">
        <v>332</v>
      </c>
      <c r="AB370" s="8">
        <v>1</v>
      </c>
    </row>
    <row r="371" spans="1:28" ht="21.6" customHeight="1">
      <c r="A371" s="8">
        <v>169</v>
      </c>
      <c r="B371" s="8">
        <v>2025040688</v>
      </c>
      <c r="C371" s="8">
        <v>1</v>
      </c>
      <c r="D371" s="8" t="s">
        <v>3177</v>
      </c>
      <c r="E371" s="8" t="s">
        <v>118</v>
      </c>
      <c r="F371" s="8" t="s">
        <v>3904</v>
      </c>
      <c r="G371" s="8" t="s">
        <v>3381</v>
      </c>
      <c r="H371" s="8" t="s">
        <v>3401</v>
      </c>
      <c r="I371" s="8" t="s">
        <v>3428</v>
      </c>
      <c r="J371" s="8" t="s">
        <v>3253</v>
      </c>
      <c r="K371" s="8" t="s">
        <v>3183</v>
      </c>
      <c r="L371" s="10" t="s">
        <v>3270</v>
      </c>
      <c r="M371" s="10" t="s">
        <v>3429</v>
      </c>
      <c r="N371" s="10" t="s">
        <v>3430</v>
      </c>
      <c r="O371" s="8" t="s">
        <v>322</v>
      </c>
      <c r="P371" s="8"/>
      <c r="Q371" s="8"/>
      <c r="R371" s="8">
        <v>68670</v>
      </c>
      <c r="S371" s="8" t="s">
        <v>332</v>
      </c>
      <c r="T371" s="8"/>
      <c r="U371" s="8"/>
      <c r="V371" s="8"/>
      <c r="W371" s="8"/>
      <c r="X371" s="8"/>
      <c r="Y371" s="8"/>
      <c r="Z371" s="10" t="s">
        <v>3696</v>
      </c>
      <c r="AA371" s="8" t="s">
        <v>332</v>
      </c>
      <c r="AB371" s="8">
        <v>1</v>
      </c>
    </row>
    <row r="372" spans="1:28" ht="21.6" customHeight="1">
      <c r="A372" s="8">
        <v>171</v>
      </c>
      <c r="B372" s="8">
        <v>2025040913</v>
      </c>
      <c r="C372" s="8">
        <v>1</v>
      </c>
      <c r="D372" s="8" t="s">
        <v>3177</v>
      </c>
      <c r="E372" s="8" t="s">
        <v>118</v>
      </c>
      <c r="F372" s="8" t="s">
        <v>3911</v>
      </c>
      <c r="G372" s="8" t="s">
        <v>3280</v>
      </c>
      <c r="H372" s="8" t="s">
        <v>3233</v>
      </c>
      <c r="I372" s="8" t="s">
        <v>3433</v>
      </c>
      <c r="J372" s="8" t="s">
        <v>3277</v>
      </c>
      <c r="K372" s="8" t="s">
        <v>3183</v>
      </c>
      <c r="L372" s="10" t="s">
        <v>3434</v>
      </c>
      <c r="M372" s="10" t="s">
        <v>3435</v>
      </c>
      <c r="N372" s="10" t="s">
        <v>3436</v>
      </c>
      <c r="O372" s="8" t="s">
        <v>322</v>
      </c>
      <c r="P372" s="8"/>
      <c r="Q372" s="8"/>
      <c r="R372" s="8">
        <v>118585</v>
      </c>
      <c r="S372" s="8"/>
      <c r="T372" s="8"/>
      <c r="U372" s="8" t="s">
        <v>332</v>
      </c>
      <c r="V372" s="8"/>
      <c r="W372" s="8"/>
      <c r="X372" s="8"/>
      <c r="Y372" s="8" t="s">
        <v>332</v>
      </c>
      <c r="Z372" s="10" t="s">
        <v>3959</v>
      </c>
      <c r="AA372" s="8" t="s">
        <v>332</v>
      </c>
      <c r="AB372" s="8">
        <v>1</v>
      </c>
    </row>
    <row r="373" spans="1:28" ht="21.6" customHeight="1">
      <c r="A373" s="8">
        <v>172</v>
      </c>
      <c r="B373" s="8">
        <v>2025040934</v>
      </c>
      <c r="C373" s="8">
        <v>1</v>
      </c>
      <c r="D373" s="8" t="s">
        <v>3177</v>
      </c>
      <c r="E373" s="8" t="s">
        <v>118</v>
      </c>
      <c r="F373" s="8" t="s">
        <v>3911</v>
      </c>
      <c r="G373" s="8" t="s">
        <v>3644</v>
      </c>
      <c r="H373" s="8" t="s">
        <v>3755</v>
      </c>
      <c r="I373" s="8" t="s">
        <v>3433</v>
      </c>
      <c r="J373" s="8" t="s">
        <v>3277</v>
      </c>
      <c r="K373" s="8" t="s">
        <v>3183</v>
      </c>
      <c r="L373" s="10" t="s">
        <v>3434</v>
      </c>
      <c r="M373" s="10" t="s">
        <v>3435</v>
      </c>
      <c r="N373" s="10" t="s">
        <v>3436</v>
      </c>
      <c r="O373" s="8" t="s">
        <v>322</v>
      </c>
      <c r="P373" s="8"/>
      <c r="Q373" s="8"/>
      <c r="R373" s="8">
        <v>127834</v>
      </c>
      <c r="S373" s="8" t="s">
        <v>332</v>
      </c>
      <c r="T373" s="8"/>
      <c r="U373" s="8"/>
      <c r="V373" s="8"/>
      <c r="W373" s="8"/>
      <c r="X373" s="8"/>
      <c r="Y373" s="8"/>
      <c r="Z373" s="10" t="s">
        <v>3696</v>
      </c>
      <c r="AA373" s="8" t="s">
        <v>332</v>
      </c>
      <c r="AB373" s="8">
        <v>1</v>
      </c>
    </row>
    <row r="374" spans="1:28" ht="21.6" customHeight="1">
      <c r="A374" s="8">
        <v>174</v>
      </c>
      <c r="B374" s="8">
        <v>2025042791</v>
      </c>
      <c r="C374" s="8">
        <v>1</v>
      </c>
      <c r="D374" s="8" t="s">
        <v>3177</v>
      </c>
      <c r="E374" s="8" t="s">
        <v>118</v>
      </c>
      <c r="F374" s="8" t="s">
        <v>3960</v>
      </c>
      <c r="G374" s="8" t="s">
        <v>3381</v>
      </c>
      <c r="H374" s="8" t="s">
        <v>3357</v>
      </c>
      <c r="I374" s="8" t="s">
        <v>3433</v>
      </c>
      <c r="J374" s="8" t="s">
        <v>3277</v>
      </c>
      <c r="K374" s="8" t="s">
        <v>3183</v>
      </c>
      <c r="L374" s="10" t="s">
        <v>3434</v>
      </c>
      <c r="M374" s="10" t="s">
        <v>3435</v>
      </c>
      <c r="N374" s="10" t="s">
        <v>3436</v>
      </c>
      <c r="O374" s="8" t="s">
        <v>363</v>
      </c>
      <c r="P374" s="8"/>
      <c r="Q374" s="8"/>
      <c r="R374" s="8">
        <v>127834</v>
      </c>
      <c r="S374" s="8"/>
      <c r="T374" s="8"/>
      <c r="U374" s="8"/>
      <c r="V374" s="8"/>
      <c r="W374" s="8"/>
      <c r="X374" s="8"/>
      <c r="Y374" s="8"/>
      <c r="Z374" s="10" t="s">
        <v>3961</v>
      </c>
      <c r="AA374" s="8" t="s">
        <v>332</v>
      </c>
      <c r="AB374" s="8">
        <v>1</v>
      </c>
    </row>
    <row r="375" spans="1:28" ht="21.6" customHeight="1">
      <c r="A375" s="8">
        <v>175</v>
      </c>
      <c r="B375" s="8">
        <v>2025040937</v>
      </c>
      <c r="C375" s="8">
        <v>1</v>
      </c>
      <c r="D375" s="8" t="s">
        <v>3177</v>
      </c>
      <c r="E375" s="8" t="s">
        <v>118</v>
      </c>
      <c r="F375" s="8" t="s">
        <v>3911</v>
      </c>
      <c r="G375" s="8" t="s">
        <v>3755</v>
      </c>
      <c r="H375" s="8" t="s">
        <v>3710</v>
      </c>
      <c r="I375" s="8" t="s">
        <v>3440</v>
      </c>
      <c r="J375" s="8" t="s">
        <v>3277</v>
      </c>
      <c r="K375" s="8" t="s">
        <v>3183</v>
      </c>
      <c r="L375" s="10" t="s">
        <v>3434</v>
      </c>
      <c r="M375" s="10" t="s">
        <v>3441</v>
      </c>
      <c r="N375" s="10" t="s">
        <v>3442</v>
      </c>
      <c r="O375" s="8" t="s">
        <v>322</v>
      </c>
      <c r="P375" s="8"/>
      <c r="Q375" s="8"/>
      <c r="R375" s="8">
        <v>111197</v>
      </c>
      <c r="S375" s="8" t="s">
        <v>332</v>
      </c>
      <c r="T375" s="8"/>
      <c r="U375" s="8"/>
      <c r="V375" s="8"/>
      <c r="W375" s="8"/>
      <c r="X375" s="8"/>
      <c r="Y375" s="8"/>
      <c r="Z375" s="10" t="s">
        <v>3696</v>
      </c>
      <c r="AA375" s="8" t="s">
        <v>332</v>
      </c>
      <c r="AB375" s="8">
        <v>1</v>
      </c>
    </row>
    <row r="376" spans="1:28" ht="21.6" customHeight="1">
      <c r="A376" s="8">
        <v>177</v>
      </c>
      <c r="B376" s="8">
        <v>2025042146</v>
      </c>
      <c r="C376" s="8">
        <v>1</v>
      </c>
      <c r="D376" s="8" t="s">
        <v>3177</v>
      </c>
      <c r="E376" s="8" t="s">
        <v>118</v>
      </c>
      <c r="F376" s="8" t="s">
        <v>3883</v>
      </c>
      <c r="G376" s="8" t="s">
        <v>3280</v>
      </c>
      <c r="H376" s="8" t="s">
        <v>3233</v>
      </c>
      <c r="I376" s="8" t="s">
        <v>3440</v>
      </c>
      <c r="J376" s="8" t="s">
        <v>3277</v>
      </c>
      <c r="K376" s="8" t="s">
        <v>3183</v>
      </c>
      <c r="L376" s="10" t="s">
        <v>3434</v>
      </c>
      <c r="M376" s="10" t="s">
        <v>3441</v>
      </c>
      <c r="N376" s="10" t="s">
        <v>3442</v>
      </c>
      <c r="O376" s="8" t="s">
        <v>322</v>
      </c>
      <c r="P376" s="8"/>
      <c r="Q376" s="8"/>
      <c r="R376" s="8">
        <v>111197</v>
      </c>
      <c r="S376" s="8"/>
      <c r="T376" s="8"/>
      <c r="U376" s="8"/>
      <c r="V376" s="8"/>
      <c r="W376" s="8"/>
      <c r="X376" s="8"/>
      <c r="Y376" s="8" t="s">
        <v>332</v>
      </c>
      <c r="Z376" s="10" t="s">
        <v>3962</v>
      </c>
      <c r="AA376" s="8" t="s">
        <v>332</v>
      </c>
      <c r="AB376" s="8">
        <v>1</v>
      </c>
    </row>
    <row r="377" spans="1:28" ht="21.6" customHeight="1">
      <c r="A377" s="8">
        <v>178</v>
      </c>
      <c r="B377" s="8">
        <v>2025041622</v>
      </c>
      <c r="C377" s="8">
        <v>1</v>
      </c>
      <c r="D377" s="8" t="s">
        <v>3177</v>
      </c>
      <c r="E377" s="8" t="s">
        <v>118</v>
      </c>
      <c r="F377" s="8" t="s">
        <v>3886</v>
      </c>
      <c r="G377" s="8" t="s">
        <v>3280</v>
      </c>
      <c r="H377" s="8" t="s">
        <v>3363</v>
      </c>
      <c r="I377" s="8" t="s">
        <v>3447</v>
      </c>
      <c r="J377" s="8" t="s">
        <v>3277</v>
      </c>
      <c r="K377" s="8" t="s">
        <v>3183</v>
      </c>
      <c r="L377" s="10" t="s">
        <v>3448</v>
      </c>
      <c r="M377" s="10" t="s">
        <v>3449</v>
      </c>
      <c r="N377" s="10"/>
      <c r="O377" s="8" t="s">
        <v>322</v>
      </c>
      <c r="P377" s="8"/>
      <c r="Q377" s="8"/>
      <c r="R377" s="8">
        <v>38000</v>
      </c>
      <c r="S377" s="8" t="s">
        <v>332</v>
      </c>
      <c r="T377" s="8"/>
      <c r="U377" s="8"/>
      <c r="V377" s="8"/>
      <c r="W377" s="8"/>
      <c r="X377" s="8"/>
      <c r="Y377" s="8"/>
      <c r="Z377" s="10" t="s">
        <v>3696</v>
      </c>
      <c r="AA377" s="8" t="s">
        <v>332</v>
      </c>
      <c r="AB377" s="8">
        <v>1</v>
      </c>
    </row>
    <row r="378" spans="1:28" ht="21.6" customHeight="1">
      <c r="A378" s="8">
        <v>180</v>
      </c>
      <c r="B378" s="8">
        <v>2025042264</v>
      </c>
      <c r="C378" s="8">
        <v>1</v>
      </c>
      <c r="D378" s="8" t="s">
        <v>3177</v>
      </c>
      <c r="E378" s="8" t="s">
        <v>118</v>
      </c>
      <c r="F378" s="8" t="s">
        <v>3883</v>
      </c>
      <c r="G378" s="8" t="s">
        <v>3250</v>
      </c>
      <c r="H378" s="8" t="s">
        <v>3204</v>
      </c>
      <c r="I378" s="8" t="s">
        <v>3457</v>
      </c>
      <c r="J378" s="8" t="s">
        <v>3277</v>
      </c>
      <c r="K378" s="8" t="s">
        <v>3183</v>
      </c>
      <c r="L378" s="10" t="s">
        <v>3377</v>
      </c>
      <c r="M378" s="10" t="s">
        <v>3458</v>
      </c>
      <c r="N378" s="10" t="s">
        <v>3459</v>
      </c>
      <c r="O378" s="8" t="s">
        <v>3190</v>
      </c>
      <c r="P378" s="8"/>
      <c r="Q378" s="8"/>
      <c r="R378" s="8">
        <v>21368</v>
      </c>
      <c r="S378" s="8"/>
      <c r="T378" s="8"/>
      <c r="U378" s="8"/>
      <c r="V378" s="8"/>
      <c r="W378" s="8"/>
      <c r="X378" s="8"/>
      <c r="Y378" s="8"/>
      <c r="Z378" s="10" t="s">
        <v>3696</v>
      </c>
      <c r="AA378" s="8" t="s">
        <v>332</v>
      </c>
      <c r="AB378" s="8">
        <v>1</v>
      </c>
    </row>
    <row r="379" spans="1:28" ht="21.6" customHeight="1">
      <c r="A379" s="8">
        <v>184</v>
      </c>
      <c r="B379" s="8">
        <v>2025040193</v>
      </c>
      <c r="C379" s="8">
        <v>1</v>
      </c>
      <c r="D379" s="8" t="s">
        <v>3177</v>
      </c>
      <c r="E379" s="8" t="s">
        <v>118</v>
      </c>
      <c r="F379" s="8" t="s">
        <v>3963</v>
      </c>
      <c r="G379" s="8" t="s">
        <v>3426</v>
      </c>
      <c r="H379" s="8" t="s">
        <v>3431</v>
      </c>
      <c r="I379" s="8" t="s">
        <v>3461</v>
      </c>
      <c r="J379" s="8" t="s">
        <v>3277</v>
      </c>
      <c r="K379" s="8" t="s">
        <v>3183</v>
      </c>
      <c r="L379" s="10" t="s">
        <v>3462</v>
      </c>
      <c r="M379" s="10" t="s">
        <v>3463</v>
      </c>
      <c r="N379" s="10" t="s">
        <v>3464</v>
      </c>
      <c r="O379" s="8" t="s">
        <v>322</v>
      </c>
      <c r="P379" s="8"/>
      <c r="Q379" s="8"/>
      <c r="R379" s="8">
        <v>156633</v>
      </c>
      <c r="S379" s="8"/>
      <c r="T379" s="8"/>
      <c r="U379" s="8" t="s">
        <v>332</v>
      </c>
      <c r="V379" s="8"/>
      <c r="W379" s="8"/>
      <c r="X379" s="8"/>
      <c r="Y379" s="8"/>
      <c r="Z379" s="10" t="s">
        <v>3362</v>
      </c>
      <c r="AA379" s="8" t="s">
        <v>332</v>
      </c>
      <c r="AB379" s="8">
        <v>1</v>
      </c>
    </row>
    <row r="380" spans="1:28" ht="21.6" customHeight="1">
      <c r="A380" s="8">
        <v>187</v>
      </c>
      <c r="B380" s="8">
        <v>2025040194</v>
      </c>
      <c r="C380" s="8">
        <v>1</v>
      </c>
      <c r="D380" s="8" t="s">
        <v>3177</v>
      </c>
      <c r="E380" s="8" t="s">
        <v>118</v>
      </c>
      <c r="F380" s="8" t="s">
        <v>3963</v>
      </c>
      <c r="G380" s="8" t="s">
        <v>3431</v>
      </c>
      <c r="H380" s="8" t="s">
        <v>3432</v>
      </c>
      <c r="I380" s="8" t="s">
        <v>3713</v>
      </c>
      <c r="J380" s="8" t="s">
        <v>3277</v>
      </c>
      <c r="K380" s="8" t="s">
        <v>3183</v>
      </c>
      <c r="L380" s="10" t="s">
        <v>3462</v>
      </c>
      <c r="M380" s="10" t="s">
        <v>3714</v>
      </c>
      <c r="N380" s="10" t="s">
        <v>3715</v>
      </c>
      <c r="O380" s="8" t="s">
        <v>322</v>
      </c>
      <c r="P380" s="8"/>
      <c r="Q380" s="8"/>
      <c r="R380" s="8">
        <v>133537</v>
      </c>
      <c r="S380" s="8"/>
      <c r="T380" s="8"/>
      <c r="U380" s="8" t="s">
        <v>332</v>
      </c>
      <c r="V380" s="8"/>
      <c r="W380" s="8"/>
      <c r="X380" s="8"/>
      <c r="Y380" s="8"/>
      <c r="Z380" s="10" t="s">
        <v>3362</v>
      </c>
      <c r="AA380" s="8" t="s">
        <v>332</v>
      </c>
      <c r="AB380" s="8">
        <v>1</v>
      </c>
    </row>
    <row r="381" spans="1:28" ht="21.6" customHeight="1">
      <c r="A381" s="8">
        <v>188</v>
      </c>
      <c r="B381" s="8">
        <v>2025042984</v>
      </c>
      <c r="C381" s="8">
        <v>1</v>
      </c>
      <c r="D381" s="8" t="s">
        <v>3177</v>
      </c>
      <c r="E381" s="8" t="s">
        <v>118</v>
      </c>
      <c r="F381" s="8" t="s">
        <v>3955</v>
      </c>
      <c r="G381" s="8" t="s">
        <v>3964</v>
      </c>
      <c r="H381" s="8" t="s">
        <v>3286</v>
      </c>
      <c r="I381" s="8" t="s">
        <v>3713</v>
      </c>
      <c r="J381" s="8" t="s">
        <v>3277</v>
      </c>
      <c r="K381" s="8" t="s">
        <v>3183</v>
      </c>
      <c r="L381" s="10" t="s">
        <v>3462</v>
      </c>
      <c r="M381" s="10" t="s">
        <v>3714</v>
      </c>
      <c r="N381" s="10" t="s">
        <v>3715</v>
      </c>
      <c r="O381" s="8" t="s">
        <v>363</v>
      </c>
      <c r="P381" s="8"/>
      <c r="Q381" s="8"/>
      <c r="R381" s="8">
        <v>133537</v>
      </c>
      <c r="S381" s="8"/>
      <c r="T381" s="8"/>
      <c r="U381" s="8"/>
      <c r="V381" s="8"/>
      <c r="W381" s="8"/>
      <c r="X381" s="8"/>
      <c r="Y381" s="8"/>
      <c r="Z381" s="10" t="s">
        <v>3466</v>
      </c>
      <c r="AA381" s="8" t="s">
        <v>332</v>
      </c>
      <c r="AB381" s="8">
        <v>1</v>
      </c>
    </row>
    <row r="382" spans="1:28" ht="21.6" customHeight="1">
      <c r="A382" s="8">
        <v>189</v>
      </c>
      <c r="B382" s="8">
        <v>2025043205</v>
      </c>
      <c r="C382" s="8">
        <v>1</v>
      </c>
      <c r="D382" s="8" t="s">
        <v>3177</v>
      </c>
      <c r="E382" s="8" t="s">
        <v>118</v>
      </c>
      <c r="F382" s="8" t="s">
        <v>3954</v>
      </c>
      <c r="G382" s="8" t="s">
        <v>3204</v>
      </c>
      <c r="H382" s="8" t="s">
        <v>3427</v>
      </c>
      <c r="I382" s="8" t="s">
        <v>3470</v>
      </c>
      <c r="J382" s="8" t="s">
        <v>3471</v>
      </c>
      <c r="K382" s="8" t="s">
        <v>3183</v>
      </c>
      <c r="L382" s="10" t="s">
        <v>3472</v>
      </c>
      <c r="M382" s="10" t="s">
        <v>3410</v>
      </c>
      <c r="N382" s="10" t="s">
        <v>3442</v>
      </c>
      <c r="O382" s="8" t="s">
        <v>322</v>
      </c>
      <c r="P382" s="8"/>
      <c r="Q382" s="8"/>
      <c r="R382" s="8">
        <v>71224</v>
      </c>
      <c r="S382" s="8" t="s">
        <v>332</v>
      </c>
      <c r="T382" s="8"/>
      <c r="U382" s="8"/>
      <c r="V382" s="8"/>
      <c r="W382" s="8"/>
      <c r="X382" s="8"/>
      <c r="Y382" s="8"/>
      <c r="Z382" s="10" t="s">
        <v>3821</v>
      </c>
      <c r="AA382" s="8" t="s">
        <v>332</v>
      </c>
      <c r="AB382" s="8">
        <v>1</v>
      </c>
    </row>
    <row r="383" spans="1:28" ht="21.6" customHeight="1">
      <c r="A383" s="8">
        <v>191</v>
      </c>
      <c r="B383" s="8">
        <v>2025040950</v>
      </c>
      <c r="C383" s="8">
        <v>1</v>
      </c>
      <c r="D383" s="8" t="s">
        <v>3177</v>
      </c>
      <c r="E383" s="8" t="s">
        <v>118</v>
      </c>
      <c r="F383" s="8" t="s">
        <v>3929</v>
      </c>
      <c r="G383" s="8" t="s">
        <v>3431</v>
      </c>
      <c r="H383" s="8" t="s">
        <v>3465</v>
      </c>
      <c r="I383" s="8" t="s">
        <v>3840</v>
      </c>
      <c r="J383" s="8" t="s">
        <v>3288</v>
      </c>
      <c r="K383" s="8" t="s">
        <v>3183</v>
      </c>
      <c r="L383" s="10" t="s">
        <v>3841</v>
      </c>
      <c r="M383" s="10" t="s">
        <v>3842</v>
      </c>
      <c r="N383" s="10" t="s">
        <v>3843</v>
      </c>
      <c r="O383" s="8" t="s">
        <v>363</v>
      </c>
      <c r="P383" s="8"/>
      <c r="Q383" s="8">
        <v>716</v>
      </c>
      <c r="R383" s="8">
        <v>2928</v>
      </c>
      <c r="S383" s="8"/>
      <c r="T383" s="8"/>
      <c r="U383" s="8"/>
      <c r="V383" s="8"/>
      <c r="W383" s="8"/>
      <c r="X383" s="8"/>
      <c r="Y383" s="8"/>
      <c r="Z383" s="10" t="s">
        <v>3965</v>
      </c>
      <c r="AA383" s="8" t="s">
        <v>332</v>
      </c>
      <c r="AB383" s="8">
        <v>1</v>
      </c>
    </row>
    <row r="384" spans="1:28" ht="21.6" customHeight="1">
      <c r="A384" s="8">
        <v>192</v>
      </c>
      <c r="B384" s="8">
        <v>2025040759</v>
      </c>
      <c r="C384" s="8">
        <v>1</v>
      </c>
      <c r="D384" s="8" t="s">
        <v>3177</v>
      </c>
      <c r="E384" s="8" t="s">
        <v>118</v>
      </c>
      <c r="F384" s="8" t="s">
        <v>3904</v>
      </c>
      <c r="G384" s="8" t="s">
        <v>3710</v>
      </c>
      <c r="H384" s="8" t="s">
        <v>3427</v>
      </c>
      <c r="I384" s="8" t="s">
        <v>3854</v>
      </c>
      <c r="J384" s="8" t="s">
        <v>3288</v>
      </c>
      <c r="K384" s="8" t="s">
        <v>3183</v>
      </c>
      <c r="L384" s="10" t="s">
        <v>3254</v>
      </c>
      <c r="M384" s="10" t="s">
        <v>3855</v>
      </c>
      <c r="N384" s="10" t="s">
        <v>3856</v>
      </c>
      <c r="O384" s="8" t="s">
        <v>322</v>
      </c>
      <c r="P384" s="8"/>
      <c r="Q384" s="8">
        <v>1111</v>
      </c>
      <c r="R384" s="8">
        <v>46827</v>
      </c>
      <c r="S384" s="8"/>
      <c r="T384" s="8"/>
      <c r="U384" s="8" t="s">
        <v>332</v>
      </c>
      <c r="V384" s="8"/>
      <c r="W384" s="8"/>
      <c r="X384" s="8"/>
      <c r="Y384" s="8"/>
      <c r="Z384" s="10" t="s">
        <v>3362</v>
      </c>
      <c r="AA384" s="8" t="s">
        <v>332</v>
      </c>
      <c r="AB384" s="8">
        <v>1</v>
      </c>
    </row>
    <row r="385" spans="1:28" ht="21.6" customHeight="1">
      <c r="A385" s="8">
        <v>193</v>
      </c>
      <c r="B385" s="8">
        <v>2025041853</v>
      </c>
      <c r="C385" s="8">
        <v>1</v>
      </c>
      <c r="D385" s="8" t="s">
        <v>3177</v>
      </c>
      <c r="E385" s="8" t="s">
        <v>118</v>
      </c>
      <c r="F385" s="8" t="s">
        <v>3932</v>
      </c>
      <c r="G385" s="8" t="s">
        <v>3350</v>
      </c>
      <c r="H385" s="8" t="s">
        <v>3280</v>
      </c>
      <c r="I385" s="8" t="s">
        <v>3482</v>
      </c>
      <c r="J385" s="8" t="s">
        <v>3288</v>
      </c>
      <c r="K385" s="8" t="s">
        <v>3183</v>
      </c>
      <c r="L385" s="10" t="s">
        <v>3483</v>
      </c>
      <c r="M385" s="10" t="s">
        <v>3484</v>
      </c>
      <c r="N385" s="10" t="s">
        <v>3485</v>
      </c>
      <c r="O385" s="8" t="s">
        <v>322</v>
      </c>
      <c r="P385" s="8">
        <v>1572</v>
      </c>
      <c r="Q385" s="8">
        <v>4125</v>
      </c>
      <c r="R385" s="8">
        <v>28026</v>
      </c>
      <c r="S385" s="8" t="s">
        <v>332</v>
      </c>
      <c r="T385" s="8"/>
      <c r="U385" s="8"/>
      <c r="V385" s="8"/>
      <c r="W385" s="8"/>
      <c r="X385" s="8"/>
      <c r="Y385" s="8"/>
      <c r="Z385" s="10" t="s">
        <v>3696</v>
      </c>
      <c r="AA385" s="8" t="s">
        <v>332</v>
      </c>
      <c r="AB385" s="8">
        <v>1</v>
      </c>
    </row>
    <row r="386" spans="1:28" ht="21.6" customHeight="1">
      <c r="A386" s="8">
        <v>195</v>
      </c>
      <c r="B386" s="8">
        <v>2025042268</v>
      </c>
      <c r="C386" s="8">
        <v>1</v>
      </c>
      <c r="D386" s="8" t="s">
        <v>3177</v>
      </c>
      <c r="E386" s="8" t="s">
        <v>118</v>
      </c>
      <c r="F386" s="8" t="s">
        <v>3883</v>
      </c>
      <c r="G386" s="8" t="s">
        <v>3427</v>
      </c>
      <c r="H386" s="8" t="s">
        <v>3386</v>
      </c>
      <c r="I386" s="8" t="s">
        <v>3966</v>
      </c>
      <c r="J386" s="8" t="s">
        <v>3288</v>
      </c>
      <c r="K386" s="8" t="s">
        <v>3183</v>
      </c>
      <c r="L386" s="10" t="s">
        <v>3377</v>
      </c>
      <c r="M386" s="10" t="s">
        <v>3967</v>
      </c>
      <c r="N386" s="10" t="s">
        <v>3968</v>
      </c>
      <c r="O386" s="8" t="s">
        <v>3190</v>
      </c>
      <c r="P386" s="8"/>
      <c r="Q386" s="8">
        <v>11800</v>
      </c>
      <c r="R386" s="8">
        <v>17627</v>
      </c>
      <c r="S386" s="8"/>
      <c r="T386" s="8"/>
      <c r="U386" s="8"/>
      <c r="V386" s="8"/>
      <c r="W386" s="8"/>
      <c r="X386" s="8"/>
      <c r="Y386" s="8"/>
      <c r="Z386" s="10" t="s">
        <v>3696</v>
      </c>
      <c r="AA386" s="8" t="s">
        <v>332</v>
      </c>
      <c r="AB386" s="8">
        <v>1</v>
      </c>
    </row>
    <row r="387" spans="1:28" ht="21.6" customHeight="1">
      <c r="A387" s="8">
        <v>197</v>
      </c>
      <c r="B387" s="8">
        <v>2025043250</v>
      </c>
      <c r="C387" s="8">
        <v>1</v>
      </c>
      <c r="D387" s="8" t="s">
        <v>3177</v>
      </c>
      <c r="E387" s="8" t="s">
        <v>118</v>
      </c>
      <c r="F387" s="8" t="s">
        <v>3905</v>
      </c>
      <c r="G387" s="8" t="s">
        <v>3381</v>
      </c>
      <c r="H387" s="8" t="s">
        <v>3401</v>
      </c>
      <c r="I387" s="8" t="s">
        <v>3487</v>
      </c>
      <c r="J387" s="8" t="s">
        <v>3288</v>
      </c>
      <c r="K387" s="8" t="s">
        <v>3183</v>
      </c>
      <c r="L387" s="10" t="s">
        <v>3488</v>
      </c>
      <c r="M387" s="10" t="s">
        <v>3489</v>
      </c>
      <c r="N387" s="10" t="s">
        <v>3490</v>
      </c>
      <c r="O387" s="8" t="s">
        <v>3190</v>
      </c>
      <c r="P387" s="8"/>
      <c r="Q387" s="8">
        <v>21091</v>
      </c>
      <c r="R387" s="8">
        <v>25860</v>
      </c>
      <c r="S387" s="8"/>
      <c r="T387" s="8"/>
      <c r="U387" s="8"/>
      <c r="V387" s="8"/>
      <c r="W387" s="8"/>
      <c r="X387" s="8"/>
      <c r="Y387" s="8"/>
      <c r="Z387" s="10" t="s">
        <v>3696</v>
      </c>
      <c r="AA387" s="8" t="s">
        <v>332</v>
      </c>
      <c r="AB387" s="8">
        <v>1</v>
      </c>
    </row>
    <row r="388" spans="1:28" ht="21.6" customHeight="1">
      <c r="A388" s="8">
        <v>200</v>
      </c>
      <c r="B388" s="8">
        <v>2025040687</v>
      </c>
      <c r="C388" s="8">
        <v>1</v>
      </c>
      <c r="D388" s="8" t="s">
        <v>3177</v>
      </c>
      <c r="E388" s="8" t="s">
        <v>118</v>
      </c>
      <c r="F388" s="8" t="s">
        <v>3904</v>
      </c>
      <c r="G388" s="8" t="s">
        <v>3233</v>
      </c>
      <c r="H388" s="8" t="s">
        <v>3381</v>
      </c>
      <c r="I388" s="8" t="s">
        <v>3495</v>
      </c>
      <c r="J388" s="8" t="s">
        <v>3298</v>
      </c>
      <c r="K388" s="8" t="s">
        <v>3183</v>
      </c>
      <c r="L388" s="10" t="s">
        <v>3270</v>
      </c>
      <c r="M388" s="10" t="s">
        <v>3496</v>
      </c>
      <c r="N388" s="10" t="s">
        <v>3497</v>
      </c>
      <c r="O388" s="8" t="s">
        <v>3190</v>
      </c>
      <c r="P388" s="8"/>
      <c r="Q388" s="8"/>
      <c r="R388" s="8">
        <v>28444</v>
      </c>
      <c r="S388" s="8"/>
      <c r="T388" s="8"/>
      <c r="U388" s="8"/>
      <c r="V388" s="8"/>
      <c r="W388" s="8"/>
      <c r="X388" s="8"/>
      <c r="Y388" s="8"/>
      <c r="Z388" s="10" t="s">
        <v>3696</v>
      </c>
      <c r="AA388" s="8" t="s">
        <v>332</v>
      </c>
      <c r="AB388" s="8">
        <v>1</v>
      </c>
    </row>
    <row r="389" spans="1:28" ht="21.6" customHeight="1">
      <c r="A389" s="8">
        <v>202</v>
      </c>
      <c r="B389" s="8">
        <v>2025042103</v>
      </c>
      <c r="C389" s="8">
        <v>1</v>
      </c>
      <c r="D389" s="8" t="s">
        <v>3177</v>
      </c>
      <c r="E389" s="8" t="s">
        <v>118</v>
      </c>
      <c r="F389" s="8" t="s">
        <v>3883</v>
      </c>
      <c r="G389" s="8" t="s">
        <v>3401</v>
      </c>
      <c r="H389" s="8" t="s">
        <v>3969</v>
      </c>
      <c r="I389" s="8" t="s">
        <v>3495</v>
      </c>
      <c r="J389" s="8" t="s">
        <v>3298</v>
      </c>
      <c r="K389" s="8" t="s">
        <v>3183</v>
      </c>
      <c r="L389" s="10" t="s">
        <v>3270</v>
      </c>
      <c r="M389" s="10" t="s">
        <v>3496</v>
      </c>
      <c r="N389" s="10" t="s">
        <v>3497</v>
      </c>
      <c r="O389" s="8" t="s">
        <v>363</v>
      </c>
      <c r="P389" s="8"/>
      <c r="Q389" s="8"/>
      <c r="R389" s="8">
        <v>29518</v>
      </c>
      <c r="S389" s="8"/>
      <c r="T389" s="8"/>
      <c r="U389" s="8"/>
      <c r="V389" s="8"/>
      <c r="W389" s="8"/>
      <c r="X389" s="8"/>
      <c r="Y389" s="8"/>
      <c r="Z389" s="10" t="s">
        <v>3970</v>
      </c>
      <c r="AA389" s="8" t="s">
        <v>332</v>
      </c>
      <c r="AB389" s="8">
        <v>1</v>
      </c>
    </row>
    <row r="390" spans="1:28" ht="21.6" customHeight="1">
      <c r="A390" s="8">
        <v>203</v>
      </c>
      <c r="B390" s="8">
        <v>2025043675</v>
      </c>
      <c r="C390" s="8">
        <v>1</v>
      </c>
      <c r="D390" s="8" t="s">
        <v>3177</v>
      </c>
      <c r="E390" s="8" t="s">
        <v>118</v>
      </c>
      <c r="F390" s="8" t="s">
        <v>3919</v>
      </c>
      <c r="G390" s="8" t="s">
        <v>3280</v>
      </c>
      <c r="H390" s="8" t="s">
        <v>3342</v>
      </c>
      <c r="I390" s="8" t="s">
        <v>3495</v>
      </c>
      <c r="J390" s="8" t="s">
        <v>3298</v>
      </c>
      <c r="K390" s="8" t="s">
        <v>3183</v>
      </c>
      <c r="L390" s="10" t="s">
        <v>3270</v>
      </c>
      <c r="M390" s="10" t="s">
        <v>3496</v>
      </c>
      <c r="N390" s="10" t="s">
        <v>3497</v>
      </c>
      <c r="O390" s="8" t="s">
        <v>322</v>
      </c>
      <c r="P390" s="8"/>
      <c r="Q390" s="8"/>
      <c r="R390" s="8">
        <v>28444</v>
      </c>
      <c r="S390" s="8"/>
      <c r="T390" s="8" t="s">
        <v>332</v>
      </c>
      <c r="U390" s="8"/>
      <c r="V390" s="8"/>
      <c r="W390" s="8"/>
      <c r="X390" s="8"/>
      <c r="Y390" s="8"/>
      <c r="Z390" s="10" t="s">
        <v>3971</v>
      </c>
      <c r="AA390" s="8" t="s">
        <v>332</v>
      </c>
      <c r="AB390" s="8">
        <v>1</v>
      </c>
    </row>
    <row r="391" spans="1:28" ht="21.6" customHeight="1">
      <c r="A391" s="8">
        <v>206</v>
      </c>
      <c r="B391" s="8">
        <v>2025040533</v>
      </c>
      <c r="C391" s="8">
        <v>1</v>
      </c>
      <c r="D391" s="8" t="s">
        <v>3177</v>
      </c>
      <c r="E391" s="8" t="s">
        <v>118</v>
      </c>
      <c r="F391" s="8" t="s">
        <v>3972</v>
      </c>
      <c r="G391" s="8" t="s">
        <v>3426</v>
      </c>
      <c r="H391" s="8" t="s">
        <v>3661</v>
      </c>
      <c r="I391" s="8" t="s">
        <v>3502</v>
      </c>
      <c r="J391" s="8" t="s">
        <v>3298</v>
      </c>
      <c r="K391" s="8" t="s">
        <v>3183</v>
      </c>
      <c r="L391" s="10" t="s">
        <v>3503</v>
      </c>
      <c r="M391" s="10" t="s">
        <v>3504</v>
      </c>
      <c r="N391" s="10" t="s">
        <v>217</v>
      </c>
      <c r="O391" s="8" t="s">
        <v>363</v>
      </c>
      <c r="P391" s="8"/>
      <c r="Q391" s="8"/>
      <c r="R391" s="8">
        <v>262465</v>
      </c>
      <c r="S391" s="8"/>
      <c r="T391" s="8"/>
      <c r="U391" s="8"/>
      <c r="V391" s="8"/>
      <c r="W391" s="8"/>
      <c r="X391" s="8"/>
      <c r="Y391" s="8"/>
      <c r="Z391" s="10" t="s">
        <v>3957</v>
      </c>
      <c r="AA391" s="8" t="s">
        <v>332</v>
      </c>
      <c r="AB391" s="8">
        <v>1</v>
      </c>
    </row>
    <row r="392" spans="1:28" ht="21.6" customHeight="1">
      <c r="A392" s="8">
        <v>211</v>
      </c>
      <c r="B392" s="8">
        <v>2025041477</v>
      </c>
      <c r="C392" s="8">
        <v>1</v>
      </c>
      <c r="D392" s="8" t="s">
        <v>3177</v>
      </c>
      <c r="E392" s="8" t="s">
        <v>118</v>
      </c>
      <c r="F392" s="8" t="s">
        <v>3947</v>
      </c>
      <c r="G392" s="8" t="s">
        <v>3920</v>
      </c>
      <c r="H392" s="8" t="s">
        <v>3973</v>
      </c>
      <c r="I392" s="8" t="s">
        <v>3510</v>
      </c>
      <c r="J392" s="8" t="s">
        <v>3298</v>
      </c>
      <c r="K392" s="8" t="s">
        <v>3183</v>
      </c>
      <c r="L392" s="10" t="s">
        <v>3398</v>
      </c>
      <c r="M392" s="10" t="s">
        <v>3511</v>
      </c>
      <c r="N392" s="10" t="s">
        <v>3512</v>
      </c>
      <c r="O392" s="8" t="s">
        <v>322</v>
      </c>
      <c r="P392" s="8"/>
      <c r="Q392" s="8"/>
      <c r="R392" s="8">
        <v>10962</v>
      </c>
      <c r="S392" s="8" t="s">
        <v>332</v>
      </c>
      <c r="T392" s="8"/>
      <c r="U392" s="8"/>
      <c r="V392" s="8"/>
      <c r="W392" s="8"/>
      <c r="X392" s="8"/>
      <c r="Y392" s="8"/>
      <c r="Z392" s="10" t="s">
        <v>3696</v>
      </c>
      <c r="AA392" s="8" t="s">
        <v>332</v>
      </c>
      <c r="AB392" s="8">
        <v>1</v>
      </c>
    </row>
    <row r="393" spans="1:28" ht="21.6" customHeight="1">
      <c r="A393" s="8">
        <v>213</v>
      </c>
      <c r="B393" s="8">
        <v>2025041467</v>
      </c>
      <c r="C393" s="8">
        <v>1</v>
      </c>
      <c r="D393" s="8" t="s">
        <v>3177</v>
      </c>
      <c r="E393" s="8" t="s">
        <v>118</v>
      </c>
      <c r="F393" s="8" t="s">
        <v>3947</v>
      </c>
      <c r="G393" s="8" t="s">
        <v>3950</v>
      </c>
      <c r="H393" s="8" t="s">
        <v>3762</v>
      </c>
      <c r="I393" s="8" t="s">
        <v>3513</v>
      </c>
      <c r="J393" s="8" t="s">
        <v>3298</v>
      </c>
      <c r="K393" s="8" t="s">
        <v>3183</v>
      </c>
      <c r="L393" s="10" t="s">
        <v>3398</v>
      </c>
      <c r="M393" s="10" t="s">
        <v>3514</v>
      </c>
      <c r="N393" s="10" t="s">
        <v>3379</v>
      </c>
      <c r="O393" s="8" t="s">
        <v>322</v>
      </c>
      <c r="P393" s="8"/>
      <c r="Q393" s="8"/>
      <c r="R393" s="8">
        <v>136188</v>
      </c>
      <c r="S393" s="8" t="s">
        <v>332</v>
      </c>
      <c r="T393" s="8"/>
      <c r="U393" s="8"/>
      <c r="V393" s="8"/>
      <c r="W393" s="8"/>
      <c r="X393" s="8"/>
      <c r="Y393" s="8"/>
      <c r="Z393" s="10" t="s">
        <v>3696</v>
      </c>
      <c r="AA393" s="8" t="s">
        <v>332</v>
      </c>
      <c r="AB393" s="8">
        <v>1</v>
      </c>
    </row>
    <row r="394" spans="1:28" ht="21.6" customHeight="1">
      <c r="A394" s="8">
        <v>215</v>
      </c>
      <c r="B394" s="8">
        <v>2025041471</v>
      </c>
      <c r="C394" s="8">
        <v>1</v>
      </c>
      <c r="D394" s="8" t="s">
        <v>3177</v>
      </c>
      <c r="E394" s="8" t="s">
        <v>118</v>
      </c>
      <c r="F394" s="8" t="s">
        <v>3947</v>
      </c>
      <c r="G394" s="8" t="s">
        <v>3363</v>
      </c>
      <c r="H394" s="8" t="s">
        <v>3232</v>
      </c>
      <c r="I394" s="8" t="s">
        <v>3518</v>
      </c>
      <c r="J394" s="8" t="s">
        <v>3298</v>
      </c>
      <c r="K394" s="8" t="s">
        <v>3183</v>
      </c>
      <c r="L394" s="10" t="s">
        <v>3398</v>
      </c>
      <c r="M394" s="10" t="s">
        <v>3519</v>
      </c>
      <c r="N394" s="10" t="s">
        <v>3520</v>
      </c>
      <c r="O394" s="8" t="s">
        <v>322</v>
      </c>
      <c r="P394" s="8"/>
      <c r="Q394" s="8"/>
      <c r="R394" s="8">
        <v>230580</v>
      </c>
      <c r="S394" s="8" t="s">
        <v>332</v>
      </c>
      <c r="T394" s="8"/>
      <c r="U394" s="8"/>
      <c r="V394" s="8"/>
      <c r="W394" s="8"/>
      <c r="X394" s="8"/>
      <c r="Y394" s="8"/>
      <c r="Z394" s="10" t="s">
        <v>3696</v>
      </c>
      <c r="AA394" s="8" t="s">
        <v>332</v>
      </c>
      <c r="AB394" s="8">
        <v>1</v>
      </c>
    </row>
    <row r="395" spans="1:28" ht="21.6" customHeight="1">
      <c r="A395" s="8">
        <v>217</v>
      </c>
      <c r="B395" s="8">
        <v>2025041475</v>
      </c>
      <c r="C395" s="8">
        <v>1</v>
      </c>
      <c r="D395" s="8" t="s">
        <v>3177</v>
      </c>
      <c r="E395" s="8" t="s">
        <v>118</v>
      </c>
      <c r="F395" s="8" t="s">
        <v>3947</v>
      </c>
      <c r="G395" s="8" t="s">
        <v>3342</v>
      </c>
      <c r="H395" s="8" t="s">
        <v>3920</v>
      </c>
      <c r="I395" s="8" t="s">
        <v>3521</v>
      </c>
      <c r="J395" s="8" t="s">
        <v>3298</v>
      </c>
      <c r="K395" s="8" t="s">
        <v>3183</v>
      </c>
      <c r="L395" s="10" t="s">
        <v>3398</v>
      </c>
      <c r="M395" s="10" t="s">
        <v>3522</v>
      </c>
      <c r="N395" s="10" t="s">
        <v>3523</v>
      </c>
      <c r="O395" s="8" t="s">
        <v>322</v>
      </c>
      <c r="P395" s="8"/>
      <c r="Q395" s="8"/>
      <c r="R395" s="8">
        <v>109838</v>
      </c>
      <c r="S395" s="8" t="s">
        <v>332</v>
      </c>
      <c r="T395" s="8"/>
      <c r="U395" s="8"/>
      <c r="V395" s="8"/>
      <c r="W395" s="8"/>
      <c r="X395" s="8"/>
      <c r="Y395" s="8"/>
      <c r="Z395" s="10" t="s">
        <v>3696</v>
      </c>
      <c r="AA395" s="8" t="s">
        <v>332</v>
      </c>
      <c r="AB395" s="8">
        <v>1</v>
      </c>
    </row>
    <row r="396" spans="1:28" ht="21.6" customHeight="1">
      <c r="A396" s="8">
        <v>221</v>
      </c>
      <c r="B396" s="8">
        <v>2025042849</v>
      </c>
      <c r="C396" s="8">
        <v>1</v>
      </c>
      <c r="D396" s="8" t="s">
        <v>3177</v>
      </c>
      <c r="E396" s="8" t="s">
        <v>118</v>
      </c>
      <c r="F396" s="8" t="s">
        <v>3960</v>
      </c>
      <c r="G396" s="8" t="s">
        <v>3431</v>
      </c>
      <c r="H396" s="8" t="s">
        <v>3974</v>
      </c>
      <c r="I396" s="8" t="s">
        <v>3525</v>
      </c>
      <c r="J396" s="8" t="s">
        <v>3298</v>
      </c>
      <c r="K396" s="8" t="s">
        <v>3183</v>
      </c>
      <c r="L396" s="10" t="s">
        <v>3462</v>
      </c>
      <c r="M396" s="10" t="s">
        <v>3526</v>
      </c>
      <c r="N396" s="10" t="s">
        <v>3508</v>
      </c>
      <c r="O396" s="8" t="s">
        <v>363</v>
      </c>
      <c r="P396" s="8"/>
      <c r="Q396" s="8"/>
      <c r="R396" s="8">
        <v>165427</v>
      </c>
      <c r="S396" s="8"/>
      <c r="T396" s="8"/>
      <c r="U396" s="8"/>
      <c r="V396" s="8"/>
      <c r="W396" s="8"/>
      <c r="X396" s="8"/>
      <c r="Y396" s="8"/>
      <c r="Z396" s="10" t="s">
        <v>3975</v>
      </c>
      <c r="AA396" s="8" t="s">
        <v>332</v>
      </c>
      <c r="AB396" s="8">
        <v>1</v>
      </c>
    </row>
    <row r="397" spans="1:28" ht="21.6" customHeight="1">
      <c r="A397" s="8">
        <v>224</v>
      </c>
      <c r="B397" s="8">
        <v>2025040773</v>
      </c>
      <c r="C397" s="8">
        <v>1</v>
      </c>
      <c r="D397" s="8" t="s">
        <v>3177</v>
      </c>
      <c r="E397" s="8" t="s">
        <v>118</v>
      </c>
      <c r="F397" s="8" t="s">
        <v>3904</v>
      </c>
      <c r="G397" s="8" t="s">
        <v>3258</v>
      </c>
      <c r="H397" s="8" t="s">
        <v>3848</v>
      </c>
      <c r="I397" s="8" t="s">
        <v>3530</v>
      </c>
      <c r="J397" s="8" t="s">
        <v>3298</v>
      </c>
      <c r="K397" s="8" t="s">
        <v>3183</v>
      </c>
      <c r="L397" s="10" t="s">
        <v>3462</v>
      </c>
      <c r="M397" s="10" t="s">
        <v>3531</v>
      </c>
      <c r="N397" s="10" t="s">
        <v>3532</v>
      </c>
      <c r="O397" s="8" t="s">
        <v>322</v>
      </c>
      <c r="P397" s="8"/>
      <c r="Q397" s="8"/>
      <c r="R397" s="8">
        <v>302594</v>
      </c>
      <c r="S397" s="8"/>
      <c r="T397" s="8"/>
      <c r="U397" s="8" t="s">
        <v>332</v>
      </c>
      <c r="V397" s="8"/>
      <c r="W397" s="8"/>
      <c r="X397" s="8"/>
      <c r="Y397" s="8" t="s">
        <v>332</v>
      </c>
      <c r="Z397" s="10" t="s">
        <v>3976</v>
      </c>
      <c r="AA397" s="8" t="s">
        <v>332</v>
      </c>
      <c r="AB397" s="8">
        <v>1</v>
      </c>
    </row>
    <row r="398" spans="1:28" ht="21.6" customHeight="1">
      <c r="A398" s="8">
        <v>225</v>
      </c>
      <c r="B398" s="8">
        <v>2025043030</v>
      </c>
      <c r="C398" s="8">
        <v>1</v>
      </c>
      <c r="D398" s="8" t="s">
        <v>3177</v>
      </c>
      <c r="E398" s="8" t="s">
        <v>118</v>
      </c>
      <c r="F398" s="8" t="s">
        <v>3955</v>
      </c>
      <c r="G398" s="8" t="s">
        <v>3280</v>
      </c>
      <c r="H398" s="8" t="s">
        <v>3770</v>
      </c>
      <c r="I398" s="8" t="s">
        <v>3530</v>
      </c>
      <c r="J398" s="8" t="s">
        <v>3298</v>
      </c>
      <c r="K398" s="8" t="s">
        <v>3183</v>
      </c>
      <c r="L398" s="10" t="s">
        <v>3462</v>
      </c>
      <c r="M398" s="10" t="s">
        <v>3531</v>
      </c>
      <c r="N398" s="10" t="s">
        <v>3532</v>
      </c>
      <c r="O398" s="8" t="s">
        <v>363</v>
      </c>
      <c r="P398" s="8"/>
      <c r="Q398" s="8"/>
      <c r="R398" s="8">
        <v>302594</v>
      </c>
      <c r="S398" s="8"/>
      <c r="T398" s="8"/>
      <c r="U398" s="8"/>
      <c r="V398" s="8"/>
      <c r="W398" s="8"/>
      <c r="X398" s="8"/>
      <c r="Y398" s="8"/>
      <c r="Z398" s="10" t="s">
        <v>3977</v>
      </c>
      <c r="AA398" s="8" t="s">
        <v>332</v>
      </c>
      <c r="AB398" s="8">
        <v>1</v>
      </c>
    </row>
    <row r="399" spans="1:28" ht="21.6" customHeight="1">
      <c r="A399" s="8">
        <v>226</v>
      </c>
      <c r="B399" s="8">
        <v>2025041469</v>
      </c>
      <c r="C399" s="8">
        <v>1</v>
      </c>
      <c r="D399" s="8" t="s">
        <v>3177</v>
      </c>
      <c r="E399" s="8" t="s">
        <v>118</v>
      </c>
      <c r="F399" s="8" t="s">
        <v>3947</v>
      </c>
      <c r="G399" s="8" t="s">
        <v>3762</v>
      </c>
      <c r="H399" s="8" t="s">
        <v>3363</v>
      </c>
      <c r="I399" s="8" t="s">
        <v>3534</v>
      </c>
      <c r="J399" s="8" t="s">
        <v>3298</v>
      </c>
      <c r="K399" s="8" t="s">
        <v>3183</v>
      </c>
      <c r="L399" s="10" t="s">
        <v>3398</v>
      </c>
      <c r="M399" s="10" t="s">
        <v>3535</v>
      </c>
      <c r="N399" s="10" t="s">
        <v>3494</v>
      </c>
      <c r="O399" s="8" t="s">
        <v>322</v>
      </c>
      <c r="P399" s="8"/>
      <c r="Q399" s="8"/>
      <c r="R399" s="8">
        <v>178665</v>
      </c>
      <c r="S399" s="8" t="s">
        <v>332</v>
      </c>
      <c r="T399" s="8"/>
      <c r="U399" s="8"/>
      <c r="V399" s="8"/>
      <c r="W399" s="8"/>
      <c r="X399" s="8"/>
      <c r="Y399" s="8"/>
      <c r="Z399" s="10" t="s">
        <v>3696</v>
      </c>
      <c r="AA399" s="8" t="s">
        <v>332</v>
      </c>
      <c r="AB399" s="8">
        <v>1</v>
      </c>
    </row>
    <row r="400" spans="1:28" ht="21.6" customHeight="1">
      <c r="A400" s="8">
        <v>228</v>
      </c>
      <c r="B400" s="8">
        <v>2025040787</v>
      </c>
      <c r="C400" s="8">
        <v>1</v>
      </c>
      <c r="D400" s="8" t="s">
        <v>3177</v>
      </c>
      <c r="E400" s="8" t="s">
        <v>118</v>
      </c>
      <c r="F400" s="8" t="s">
        <v>3904</v>
      </c>
      <c r="G400" s="8" t="s">
        <v>3425</v>
      </c>
      <c r="H400" s="8" t="s">
        <v>3595</v>
      </c>
      <c r="I400" s="8" t="s">
        <v>3536</v>
      </c>
      <c r="J400" s="8" t="s">
        <v>3298</v>
      </c>
      <c r="K400" s="8" t="s">
        <v>3183</v>
      </c>
      <c r="L400" s="10" t="s">
        <v>3537</v>
      </c>
      <c r="M400" s="10" t="s">
        <v>3538</v>
      </c>
      <c r="N400" s="10"/>
      <c r="O400" s="8" t="s">
        <v>322</v>
      </c>
      <c r="P400" s="8"/>
      <c r="Q400" s="8"/>
      <c r="R400" s="8">
        <v>113516</v>
      </c>
      <c r="S400" s="8"/>
      <c r="T400" s="8"/>
      <c r="U400" s="8" t="s">
        <v>332</v>
      </c>
      <c r="V400" s="8"/>
      <c r="W400" s="8"/>
      <c r="X400" s="8"/>
      <c r="Y400" s="8"/>
      <c r="Z400" s="10" t="s">
        <v>3362</v>
      </c>
      <c r="AA400" s="8" t="s">
        <v>332</v>
      </c>
      <c r="AB400" s="8">
        <v>1</v>
      </c>
    </row>
    <row r="401" spans="1:28" ht="21.6" customHeight="1">
      <c r="A401" s="8">
        <v>229</v>
      </c>
      <c r="B401" s="8">
        <v>2025040945</v>
      </c>
      <c r="C401" s="8">
        <v>1</v>
      </c>
      <c r="D401" s="8" t="s">
        <v>3177</v>
      </c>
      <c r="E401" s="8" t="s">
        <v>118</v>
      </c>
      <c r="F401" s="8" t="s">
        <v>3911</v>
      </c>
      <c r="G401" s="8" t="s">
        <v>3710</v>
      </c>
      <c r="H401" s="8" t="s">
        <v>3258</v>
      </c>
      <c r="I401" s="8" t="s">
        <v>3536</v>
      </c>
      <c r="J401" s="8" t="s">
        <v>3298</v>
      </c>
      <c r="K401" s="8" t="s">
        <v>3183</v>
      </c>
      <c r="L401" s="10" t="s">
        <v>3537</v>
      </c>
      <c r="M401" s="10" t="s">
        <v>3538</v>
      </c>
      <c r="N401" s="10"/>
      <c r="O401" s="8" t="s">
        <v>322</v>
      </c>
      <c r="P401" s="8"/>
      <c r="Q401" s="8"/>
      <c r="R401" s="8">
        <v>117570</v>
      </c>
      <c r="S401" s="8" t="s">
        <v>332</v>
      </c>
      <c r="T401" s="8"/>
      <c r="U401" s="8"/>
      <c r="V401" s="8"/>
      <c r="W401" s="8"/>
      <c r="X401" s="8"/>
      <c r="Y401" s="8"/>
      <c r="Z401" s="10" t="s">
        <v>3696</v>
      </c>
      <c r="AA401" s="8" t="s">
        <v>332</v>
      </c>
      <c r="AB401" s="8">
        <v>1</v>
      </c>
    </row>
    <row r="402" spans="1:28" ht="21.6" customHeight="1">
      <c r="A402" s="8">
        <v>231</v>
      </c>
      <c r="B402" s="8">
        <v>2025041855</v>
      </c>
      <c r="C402" s="8">
        <v>1</v>
      </c>
      <c r="D402" s="8" t="s">
        <v>3177</v>
      </c>
      <c r="E402" s="8" t="s">
        <v>118</v>
      </c>
      <c r="F402" s="8" t="s">
        <v>3932</v>
      </c>
      <c r="G402" s="8" t="s">
        <v>3280</v>
      </c>
      <c r="H402" s="8" t="s">
        <v>3363</v>
      </c>
      <c r="I402" s="8" t="s">
        <v>3539</v>
      </c>
      <c r="J402" s="8" t="s">
        <v>3298</v>
      </c>
      <c r="K402" s="8" t="s">
        <v>3183</v>
      </c>
      <c r="L402" s="10" t="s">
        <v>3540</v>
      </c>
      <c r="M402" s="10" t="s">
        <v>3541</v>
      </c>
      <c r="N402" s="10"/>
      <c r="O402" s="8" t="s">
        <v>322</v>
      </c>
      <c r="P402" s="8"/>
      <c r="Q402" s="8"/>
      <c r="R402" s="8">
        <v>68203</v>
      </c>
      <c r="S402" s="8" t="s">
        <v>332</v>
      </c>
      <c r="T402" s="8"/>
      <c r="U402" s="8"/>
      <c r="V402" s="8"/>
      <c r="W402" s="8"/>
      <c r="X402" s="8"/>
      <c r="Y402" s="8"/>
      <c r="Z402" s="10" t="s">
        <v>3696</v>
      </c>
      <c r="AA402" s="8" t="s">
        <v>332</v>
      </c>
      <c r="AB402" s="8">
        <v>1</v>
      </c>
    </row>
    <row r="403" spans="1:28" ht="21.6" customHeight="1">
      <c r="A403" s="8">
        <v>233</v>
      </c>
      <c r="B403" s="8">
        <v>2025043577</v>
      </c>
      <c r="C403" s="8">
        <v>1</v>
      </c>
      <c r="D403" s="8" t="s">
        <v>3177</v>
      </c>
      <c r="E403" s="8" t="s">
        <v>118</v>
      </c>
      <c r="F403" s="8" t="s">
        <v>3934</v>
      </c>
      <c r="G403" s="8" t="s">
        <v>3250</v>
      </c>
      <c r="H403" s="8" t="s">
        <v>3427</v>
      </c>
      <c r="I403" s="8" t="s">
        <v>3978</v>
      </c>
      <c r="J403" s="8" t="s">
        <v>3301</v>
      </c>
      <c r="K403" s="8" t="s">
        <v>3183</v>
      </c>
      <c r="L403" s="10" t="s">
        <v>3979</v>
      </c>
      <c r="M403" s="10" t="s">
        <v>3980</v>
      </c>
      <c r="N403" s="10" t="s">
        <v>3497</v>
      </c>
      <c r="O403" s="8" t="s">
        <v>322</v>
      </c>
      <c r="P403" s="8"/>
      <c r="Q403" s="8">
        <v>0</v>
      </c>
      <c r="R403" s="8">
        <v>0</v>
      </c>
      <c r="S403" s="8"/>
      <c r="T403" s="8"/>
      <c r="U403" s="8"/>
      <c r="V403" s="8"/>
      <c r="W403" s="8"/>
      <c r="X403" s="8"/>
      <c r="Y403" s="8" t="s">
        <v>332</v>
      </c>
      <c r="Z403" s="10" t="s">
        <v>3981</v>
      </c>
      <c r="AA403" s="8" t="s">
        <v>332</v>
      </c>
      <c r="AB403" s="8">
        <v>1</v>
      </c>
    </row>
    <row r="404" spans="1:28" ht="21.6" customHeight="1">
      <c r="A404" s="8">
        <v>234</v>
      </c>
      <c r="B404" s="8">
        <v>2025041544</v>
      </c>
      <c r="C404" s="8">
        <v>1</v>
      </c>
      <c r="D404" s="8" t="s">
        <v>3177</v>
      </c>
      <c r="E404" s="8" t="s">
        <v>118</v>
      </c>
      <c r="F404" s="8" t="s">
        <v>3947</v>
      </c>
      <c r="G404" s="8" t="s">
        <v>3204</v>
      </c>
      <c r="H404" s="8" t="s">
        <v>3329</v>
      </c>
      <c r="I404" s="8" t="s">
        <v>3732</v>
      </c>
      <c r="J404" s="8" t="s">
        <v>3733</v>
      </c>
      <c r="K404" s="8" t="s">
        <v>3183</v>
      </c>
      <c r="L404" s="10" t="s">
        <v>3254</v>
      </c>
      <c r="M404" s="10" t="s">
        <v>3734</v>
      </c>
      <c r="N404" s="10" t="s">
        <v>3735</v>
      </c>
      <c r="O404" s="8" t="s">
        <v>322</v>
      </c>
      <c r="P404" s="8"/>
      <c r="Q404" s="8">
        <v>1744</v>
      </c>
      <c r="R404" s="8">
        <v>114280</v>
      </c>
      <c r="S404" s="8"/>
      <c r="T404" s="8"/>
      <c r="U404" s="8" t="s">
        <v>332</v>
      </c>
      <c r="V404" s="8"/>
      <c r="W404" s="8"/>
      <c r="X404" s="8"/>
      <c r="Y404" s="8"/>
      <c r="Z404" s="10" t="s">
        <v>3362</v>
      </c>
      <c r="AA404" s="8" t="s">
        <v>332</v>
      </c>
      <c r="AB404" s="8">
        <v>1</v>
      </c>
    </row>
    <row r="405" spans="1:28" ht="21.6" customHeight="1">
      <c r="A405" s="8">
        <v>235</v>
      </c>
      <c r="B405" s="8">
        <v>2025043210</v>
      </c>
      <c r="C405" s="8">
        <v>1</v>
      </c>
      <c r="D405" s="8" t="s">
        <v>3177</v>
      </c>
      <c r="E405" s="8" t="s">
        <v>118</v>
      </c>
      <c r="F405" s="8" t="s">
        <v>3934</v>
      </c>
      <c r="G405" s="8" t="s">
        <v>3350</v>
      </c>
      <c r="H405" s="8" t="s">
        <v>3982</v>
      </c>
      <c r="I405" s="8" t="s">
        <v>3737</v>
      </c>
      <c r="J405" s="8" t="s">
        <v>3733</v>
      </c>
      <c r="K405" s="8" t="s">
        <v>3183</v>
      </c>
      <c r="L405" s="10" t="s">
        <v>3738</v>
      </c>
      <c r="M405" s="10" t="s">
        <v>3983</v>
      </c>
      <c r="N405" s="10" t="s">
        <v>3497</v>
      </c>
      <c r="O405" s="8" t="s">
        <v>363</v>
      </c>
      <c r="P405" s="8"/>
      <c r="Q405" s="8">
        <v>4969</v>
      </c>
      <c r="R405" s="8">
        <v>1676</v>
      </c>
      <c r="S405" s="8"/>
      <c r="T405" s="8"/>
      <c r="U405" s="8"/>
      <c r="V405" s="8"/>
      <c r="W405" s="8"/>
      <c r="X405" s="8"/>
      <c r="Y405" s="8"/>
      <c r="Z405" s="10" t="s">
        <v>3984</v>
      </c>
      <c r="AA405" s="8" t="s">
        <v>332</v>
      </c>
      <c r="AB405" s="8">
        <v>1</v>
      </c>
    </row>
    <row r="406" spans="1:28" ht="21.6" customHeight="1">
      <c r="A406" s="8">
        <v>252</v>
      </c>
      <c r="B406" s="8">
        <v>2025041545</v>
      </c>
      <c r="C406" s="8">
        <v>1</v>
      </c>
      <c r="D406" s="8" t="s">
        <v>3177</v>
      </c>
      <c r="E406" s="8" t="s">
        <v>118</v>
      </c>
      <c r="F406" s="8" t="s">
        <v>3947</v>
      </c>
      <c r="G406" s="8" t="s">
        <v>3427</v>
      </c>
      <c r="H406" s="8" t="s">
        <v>3386</v>
      </c>
      <c r="I406" s="8" t="s">
        <v>3746</v>
      </c>
      <c r="J406" s="8" t="s">
        <v>3543</v>
      </c>
      <c r="K406" s="8" t="s">
        <v>3183</v>
      </c>
      <c r="L406" s="10" t="s">
        <v>3254</v>
      </c>
      <c r="M406" s="10" t="s">
        <v>3547</v>
      </c>
      <c r="N406" s="10" t="s">
        <v>3747</v>
      </c>
      <c r="O406" s="8" t="s">
        <v>322</v>
      </c>
      <c r="P406" s="8"/>
      <c r="Q406" s="8"/>
      <c r="R406" s="8">
        <v>967870</v>
      </c>
      <c r="S406" s="8"/>
      <c r="T406" s="8"/>
      <c r="U406" s="8"/>
      <c r="V406" s="8"/>
      <c r="W406" s="8"/>
      <c r="X406" s="8"/>
      <c r="Y406" s="8" t="s">
        <v>332</v>
      </c>
      <c r="Z406" s="10" t="s">
        <v>3466</v>
      </c>
      <c r="AA406" s="8" t="s">
        <v>332</v>
      </c>
      <c r="AB406" s="8">
        <v>1</v>
      </c>
    </row>
    <row r="407" spans="1:28" ht="21.6" customHeight="1">
      <c r="A407" s="8">
        <v>253</v>
      </c>
      <c r="B407" s="8">
        <v>2025043623</v>
      </c>
      <c r="C407" s="8">
        <v>1</v>
      </c>
      <c r="D407" s="8" t="s">
        <v>3177</v>
      </c>
      <c r="E407" s="8" t="s">
        <v>118</v>
      </c>
      <c r="F407" s="8" t="s">
        <v>3934</v>
      </c>
      <c r="G407" s="8" t="s">
        <v>3431</v>
      </c>
      <c r="H407" s="8" t="s">
        <v>3985</v>
      </c>
      <c r="I407" s="8" t="s">
        <v>3746</v>
      </c>
      <c r="J407" s="8" t="s">
        <v>3543</v>
      </c>
      <c r="K407" s="8" t="s">
        <v>3183</v>
      </c>
      <c r="L407" s="10" t="s">
        <v>3254</v>
      </c>
      <c r="M407" s="10" t="s">
        <v>3547</v>
      </c>
      <c r="N407" s="10" t="s">
        <v>3747</v>
      </c>
      <c r="O407" s="8" t="s">
        <v>363</v>
      </c>
      <c r="P407" s="8"/>
      <c r="Q407" s="8"/>
      <c r="R407" s="8">
        <v>967870</v>
      </c>
      <c r="S407" s="8"/>
      <c r="T407" s="8"/>
      <c r="U407" s="8"/>
      <c r="V407" s="8"/>
      <c r="W407" s="8"/>
      <c r="X407" s="8"/>
      <c r="Y407" s="8"/>
      <c r="Z407" s="10" t="s">
        <v>3466</v>
      </c>
      <c r="AA407" s="8" t="s">
        <v>332</v>
      </c>
      <c r="AB407" s="8">
        <v>1</v>
      </c>
    </row>
    <row r="408" spans="1:28" ht="21.6" customHeight="1">
      <c r="A408" s="8">
        <v>254</v>
      </c>
      <c r="B408" s="8">
        <v>2025041678</v>
      </c>
      <c r="C408" s="8">
        <v>1</v>
      </c>
      <c r="D408" s="8" t="s">
        <v>3177</v>
      </c>
      <c r="E408" s="8" t="s">
        <v>118</v>
      </c>
      <c r="F408" s="8" t="s">
        <v>3886</v>
      </c>
      <c r="G408" s="8" t="s">
        <v>3250</v>
      </c>
      <c r="H408" s="8" t="s">
        <v>3204</v>
      </c>
      <c r="I408" s="8" t="s">
        <v>3557</v>
      </c>
      <c r="J408" s="8" t="s">
        <v>3328</v>
      </c>
      <c r="K408" s="8" t="s">
        <v>3183</v>
      </c>
      <c r="L408" s="10" t="s">
        <v>3558</v>
      </c>
      <c r="M408" s="10" t="s">
        <v>3559</v>
      </c>
      <c r="N408" s="10" t="s">
        <v>3508</v>
      </c>
      <c r="O408" s="8" t="s">
        <v>322</v>
      </c>
      <c r="P408" s="8"/>
      <c r="Q408" s="8">
        <v>2358</v>
      </c>
      <c r="R408" s="8">
        <v>949</v>
      </c>
      <c r="S408" s="8" t="s">
        <v>332</v>
      </c>
      <c r="T408" s="8"/>
      <c r="U408" s="8"/>
      <c r="V408" s="8"/>
      <c r="W408" s="8"/>
      <c r="X408" s="8"/>
      <c r="Y408" s="8"/>
      <c r="Z408" s="10" t="s">
        <v>3696</v>
      </c>
      <c r="AA408" s="8" t="s">
        <v>332</v>
      </c>
      <c r="AB408" s="8">
        <v>1</v>
      </c>
    </row>
    <row r="409" spans="1:28" ht="21.6" customHeight="1">
      <c r="A409" s="8">
        <v>256</v>
      </c>
      <c r="B409" s="8">
        <v>2025043305</v>
      </c>
      <c r="C409" s="8">
        <v>1</v>
      </c>
      <c r="D409" s="8" t="s">
        <v>3177</v>
      </c>
      <c r="E409" s="8" t="s">
        <v>118</v>
      </c>
      <c r="F409" s="8" t="s">
        <v>3905</v>
      </c>
      <c r="G409" s="8" t="s">
        <v>3368</v>
      </c>
      <c r="H409" s="8" t="s">
        <v>3204</v>
      </c>
      <c r="I409" s="8" t="s">
        <v>3557</v>
      </c>
      <c r="J409" s="8" t="s">
        <v>3328</v>
      </c>
      <c r="K409" s="8" t="s">
        <v>3183</v>
      </c>
      <c r="L409" s="10" t="s">
        <v>3558</v>
      </c>
      <c r="M409" s="10" t="s">
        <v>3559</v>
      </c>
      <c r="N409" s="10" t="s">
        <v>3508</v>
      </c>
      <c r="O409" s="8" t="s">
        <v>322</v>
      </c>
      <c r="P409" s="8"/>
      <c r="Q409" s="8">
        <v>2358</v>
      </c>
      <c r="R409" s="8">
        <v>949</v>
      </c>
      <c r="S409" s="8"/>
      <c r="T409" s="8"/>
      <c r="U409" s="8"/>
      <c r="V409" s="8"/>
      <c r="W409" s="8"/>
      <c r="X409" s="8"/>
      <c r="Y409" s="8" t="s">
        <v>332</v>
      </c>
      <c r="Z409" s="10" t="s">
        <v>3986</v>
      </c>
      <c r="AA409" s="8" t="s">
        <v>332</v>
      </c>
      <c r="AB409" s="8">
        <v>1</v>
      </c>
    </row>
    <row r="410" spans="1:28" ht="21.6" customHeight="1">
      <c r="A410" s="8">
        <v>257</v>
      </c>
      <c r="B410" s="8">
        <v>2025042012</v>
      </c>
      <c r="C410" s="8">
        <v>1</v>
      </c>
      <c r="D410" s="8" t="s">
        <v>3177</v>
      </c>
      <c r="E410" s="8" t="s">
        <v>118</v>
      </c>
      <c r="F410" s="8" t="s">
        <v>3884</v>
      </c>
      <c r="G410" s="8" t="s">
        <v>3982</v>
      </c>
      <c r="H410" s="8" t="s">
        <v>3987</v>
      </c>
      <c r="I410" s="8" t="s">
        <v>3567</v>
      </c>
      <c r="J410" s="8" t="s">
        <v>1717</v>
      </c>
      <c r="K410" s="8" t="s">
        <v>3183</v>
      </c>
      <c r="L410" s="10" t="s">
        <v>3254</v>
      </c>
      <c r="M410" s="10" t="s">
        <v>3547</v>
      </c>
      <c r="N410" s="10" t="s">
        <v>3568</v>
      </c>
      <c r="O410" s="8" t="s">
        <v>322</v>
      </c>
      <c r="P410" s="8"/>
      <c r="Q410" s="8"/>
      <c r="R410" s="8">
        <v>65950</v>
      </c>
      <c r="S410" s="8"/>
      <c r="T410" s="8"/>
      <c r="U410" s="8"/>
      <c r="V410" s="8"/>
      <c r="W410" s="8"/>
      <c r="X410" s="8"/>
      <c r="Y410" s="8" t="s">
        <v>332</v>
      </c>
      <c r="Z410" s="10" t="s">
        <v>3517</v>
      </c>
      <c r="AA410" s="8" t="s">
        <v>332</v>
      </c>
      <c r="AB410" s="8">
        <v>1</v>
      </c>
    </row>
    <row r="411" spans="1:28" ht="21.6" customHeight="1">
      <c r="A411" s="8">
        <v>258</v>
      </c>
      <c r="B411" s="8">
        <v>2025043054</v>
      </c>
      <c r="C411" s="8">
        <v>1</v>
      </c>
      <c r="D411" s="8" t="s">
        <v>3177</v>
      </c>
      <c r="E411" s="8" t="s">
        <v>118</v>
      </c>
      <c r="F411" s="8" t="s">
        <v>3955</v>
      </c>
      <c r="G411" s="8" t="s">
        <v>3793</v>
      </c>
      <c r="H411" s="8" t="s">
        <v>3620</v>
      </c>
      <c r="I411" s="8" t="s">
        <v>3570</v>
      </c>
      <c r="J411" s="8" t="s">
        <v>1717</v>
      </c>
      <c r="K411" s="8" t="s">
        <v>3183</v>
      </c>
      <c r="L411" s="10" t="s">
        <v>3254</v>
      </c>
      <c r="M411" s="10" t="s">
        <v>3547</v>
      </c>
      <c r="N411" s="10" t="s">
        <v>3571</v>
      </c>
      <c r="O411" s="8" t="s">
        <v>363</v>
      </c>
      <c r="P411" s="8"/>
      <c r="Q411" s="8"/>
      <c r="R411" s="8">
        <v>241659</v>
      </c>
      <c r="S411" s="8"/>
      <c r="T411" s="8"/>
      <c r="U411" s="8"/>
      <c r="V411" s="8"/>
      <c r="W411" s="8"/>
      <c r="X411" s="8"/>
      <c r="Y411" s="8"/>
      <c r="Z411" s="10" t="s">
        <v>3988</v>
      </c>
      <c r="AA411" s="8" t="s">
        <v>332</v>
      </c>
      <c r="AB411" s="8">
        <v>1</v>
      </c>
    </row>
    <row r="412" spans="1:28" ht="21.6" customHeight="1">
      <c r="A412" s="8">
        <v>259</v>
      </c>
      <c r="B412" s="8">
        <v>2025043121</v>
      </c>
      <c r="C412" s="8">
        <v>1</v>
      </c>
      <c r="D412" s="8" t="s">
        <v>3177</v>
      </c>
      <c r="E412" s="8" t="s">
        <v>118</v>
      </c>
      <c r="F412" s="8" t="s">
        <v>3954</v>
      </c>
      <c r="G412" s="8" t="s">
        <v>3350</v>
      </c>
      <c r="H412" s="8" t="s">
        <v>3363</v>
      </c>
      <c r="I412" s="8" t="s">
        <v>3570</v>
      </c>
      <c r="J412" s="8" t="s">
        <v>1717</v>
      </c>
      <c r="K412" s="8" t="s">
        <v>3183</v>
      </c>
      <c r="L412" s="10" t="s">
        <v>3254</v>
      </c>
      <c r="M412" s="10" t="s">
        <v>3547</v>
      </c>
      <c r="N412" s="10" t="s">
        <v>3571</v>
      </c>
      <c r="O412" s="8" t="s">
        <v>322</v>
      </c>
      <c r="P412" s="8"/>
      <c r="Q412" s="8"/>
      <c r="R412" s="8">
        <v>241659</v>
      </c>
      <c r="S412" s="8"/>
      <c r="T412" s="8"/>
      <c r="U412" s="8"/>
      <c r="V412" s="8"/>
      <c r="W412" s="8"/>
      <c r="X412" s="8"/>
      <c r="Y412" s="8" t="s">
        <v>332</v>
      </c>
      <c r="Z412" s="10" t="s">
        <v>3989</v>
      </c>
      <c r="AA412" s="8" t="s">
        <v>332</v>
      </c>
      <c r="AB412" s="8">
        <v>1</v>
      </c>
    </row>
    <row r="413" spans="1:28" ht="21.6" customHeight="1">
      <c r="A413" s="8">
        <v>260</v>
      </c>
      <c r="B413" s="8">
        <v>2025043207</v>
      </c>
      <c r="C413" s="8">
        <v>1</v>
      </c>
      <c r="D413" s="8" t="s">
        <v>3177</v>
      </c>
      <c r="E413" s="8" t="s">
        <v>118</v>
      </c>
      <c r="F413" s="8" t="s">
        <v>3954</v>
      </c>
      <c r="G413" s="8" t="s">
        <v>3427</v>
      </c>
      <c r="H413" s="8" t="s">
        <v>3386</v>
      </c>
      <c r="I413" s="8" t="s">
        <v>3572</v>
      </c>
      <c r="J413" s="8" t="s">
        <v>1717</v>
      </c>
      <c r="K413" s="8" t="s">
        <v>3183</v>
      </c>
      <c r="L413" s="10" t="s">
        <v>3472</v>
      </c>
      <c r="M413" s="10" t="s">
        <v>3410</v>
      </c>
      <c r="N413" s="10" t="s">
        <v>3442</v>
      </c>
      <c r="O413" s="8" t="s">
        <v>322</v>
      </c>
      <c r="P413" s="8"/>
      <c r="Q413" s="8"/>
      <c r="R413" s="8">
        <v>50314</v>
      </c>
      <c r="S413" s="8" t="s">
        <v>332</v>
      </c>
      <c r="T413" s="8"/>
      <c r="U413" s="8"/>
      <c r="V413" s="8"/>
      <c r="W413" s="8"/>
      <c r="X413" s="8"/>
      <c r="Y413" s="8"/>
      <c r="Z413" s="10" t="s">
        <v>3821</v>
      </c>
      <c r="AA413" s="8" t="s">
        <v>332</v>
      </c>
      <c r="AB413" s="8">
        <v>1</v>
      </c>
    </row>
    <row r="414" spans="1:28" ht="21.6" customHeight="1">
      <c r="A414" s="8">
        <v>264</v>
      </c>
      <c r="B414" s="8">
        <v>2025042811</v>
      </c>
      <c r="C414" s="8">
        <v>1</v>
      </c>
      <c r="D414" s="8" t="s">
        <v>3177</v>
      </c>
      <c r="E414" s="8" t="s">
        <v>118</v>
      </c>
      <c r="F414" s="8" t="s">
        <v>3960</v>
      </c>
      <c r="G414" s="8" t="s">
        <v>3368</v>
      </c>
      <c r="H414" s="8" t="s">
        <v>3990</v>
      </c>
      <c r="I414" s="8" t="s">
        <v>3757</v>
      </c>
      <c r="J414" s="8" t="s">
        <v>3758</v>
      </c>
      <c r="K414" s="8" t="s">
        <v>3183</v>
      </c>
      <c r="L414" s="10" t="s">
        <v>3759</v>
      </c>
      <c r="M414" s="10" t="s">
        <v>3760</v>
      </c>
      <c r="N414" s="10" t="s">
        <v>3761</v>
      </c>
      <c r="O414" s="8" t="s">
        <v>322</v>
      </c>
      <c r="P414" s="8"/>
      <c r="Q414" s="8">
        <v>1553</v>
      </c>
      <c r="R414" s="8">
        <v>123366</v>
      </c>
      <c r="S414" s="8"/>
      <c r="T414" s="8"/>
      <c r="U414" s="8"/>
      <c r="V414" s="8"/>
      <c r="W414" s="8"/>
      <c r="X414" s="8"/>
      <c r="Y414" s="8" t="s">
        <v>332</v>
      </c>
      <c r="Z414" s="10" t="s">
        <v>3991</v>
      </c>
      <c r="AA414" s="8" t="s">
        <v>332</v>
      </c>
      <c r="AB414" s="8">
        <v>1</v>
      </c>
    </row>
    <row r="415" spans="1:28" ht="21.6" customHeight="1">
      <c r="A415" s="8">
        <v>267</v>
      </c>
      <c r="B415" s="8">
        <v>2025041479</v>
      </c>
      <c r="C415" s="8">
        <v>1</v>
      </c>
      <c r="D415" s="8" t="s">
        <v>3177</v>
      </c>
      <c r="E415" s="8" t="s">
        <v>118</v>
      </c>
      <c r="F415" s="8" t="s">
        <v>3947</v>
      </c>
      <c r="G415" s="8" t="s">
        <v>3973</v>
      </c>
      <c r="H415" s="8" t="s">
        <v>3368</v>
      </c>
      <c r="I415" s="8" t="s">
        <v>3573</v>
      </c>
      <c r="J415" s="8" t="s">
        <v>3574</v>
      </c>
      <c r="K415" s="8" t="s">
        <v>3183</v>
      </c>
      <c r="L415" s="10" t="s">
        <v>3398</v>
      </c>
      <c r="M415" s="10" t="s">
        <v>3575</v>
      </c>
      <c r="N415" s="10" t="s">
        <v>3576</v>
      </c>
      <c r="O415" s="8" t="s">
        <v>322</v>
      </c>
      <c r="P415" s="8"/>
      <c r="Q415" s="8"/>
      <c r="R415" s="8">
        <v>23764</v>
      </c>
      <c r="S415" s="8" t="s">
        <v>332</v>
      </c>
      <c r="T415" s="8"/>
      <c r="U415" s="8"/>
      <c r="V415" s="8"/>
      <c r="W415" s="8"/>
      <c r="X415" s="8"/>
      <c r="Y415" s="8"/>
      <c r="Z415" s="10" t="s">
        <v>3696</v>
      </c>
      <c r="AA415" s="8" t="s">
        <v>332</v>
      </c>
      <c r="AB415" s="8">
        <v>1</v>
      </c>
    </row>
    <row r="416" spans="1:28" ht="21.6" customHeight="1">
      <c r="A416" s="8">
        <v>310</v>
      </c>
      <c r="B416" s="8">
        <v>2025041497</v>
      </c>
      <c r="C416" s="8">
        <v>1</v>
      </c>
      <c r="D416" s="8" t="s">
        <v>3177</v>
      </c>
      <c r="E416" s="8" t="s">
        <v>134</v>
      </c>
      <c r="F416" s="8" t="s">
        <v>3947</v>
      </c>
      <c r="G416" s="8" t="s">
        <v>3789</v>
      </c>
      <c r="H416" s="8" t="s">
        <v>3312</v>
      </c>
      <c r="I416" s="8" t="s">
        <v>3585</v>
      </c>
      <c r="J416" s="8" t="s">
        <v>3301</v>
      </c>
      <c r="K416" s="8" t="s">
        <v>3183</v>
      </c>
      <c r="L416" s="10" t="s">
        <v>3586</v>
      </c>
      <c r="M416" s="10" t="s">
        <v>3587</v>
      </c>
      <c r="N416" s="10" t="s">
        <v>3430</v>
      </c>
      <c r="O416" s="8" t="s">
        <v>3190</v>
      </c>
      <c r="P416" s="8"/>
      <c r="Q416" s="8">
        <v>2773</v>
      </c>
      <c r="R416" s="8">
        <v>36390</v>
      </c>
      <c r="S416" s="8"/>
      <c r="T416" s="8"/>
      <c r="U416" s="8"/>
      <c r="V416" s="8"/>
      <c r="W416" s="8"/>
      <c r="X416" s="8"/>
      <c r="Y416" s="8"/>
      <c r="Z416" s="10"/>
      <c r="AA416" s="8" t="s">
        <v>332</v>
      </c>
      <c r="AB416" s="8">
        <v>1</v>
      </c>
    </row>
    <row r="417" spans="1:28" ht="21.6" customHeight="1">
      <c r="A417" s="8">
        <v>311</v>
      </c>
      <c r="B417" s="8">
        <v>2025043357</v>
      </c>
      <c r="C417" s="8">
        <v>1</v>
      </c>
      <c r="D417" s="8" t="s">
        <v>3177</v>
      </c>
      <c r="E417" s="8" t="s">
        <v>134</v>
      </c>
      <c r="F417" s="8" t="s">
        <v>3905</v>
      </c>
      <c r="G417" s="8" t="s">
        <v>3992</v>
      </c>
      <c r="H417" s="8" t="s">
        <v>3993</v>
      </c>
      <c r="I417" s="8" t="s">
        <v>3585</v>
      </c>
      <c r="J417" s="8" t="s">
        <v>3301</v>
      </c>
      <c r="K417" s="8" t="s">
        <v>3183</v>
      </c>
      <c r="L417" s="10" t="s">
        <v>3586</v>
      </c>
      <c r="M417" s="10" t="s">
        <v>3587</v>
      </c>
      <c r="N417" s="10" t="s">
        <v>3430</v>
      </c>
      <c r="O417" s="8" t="s">
        <v>322</v>
      </c>
      <c r="P417" s="8"/>
      <c r="Q417" s="8">
        <v>2971</v>
      </c>
      <c r="R417" s="8">
        <v>38614</v>
      </c>
      <c r="S417" s="8" t="s">
        <v>332</v>
      </c>
      <c r="T417" s="8"/>
      <c r="U417" s="8" t="s">
        <v>332</v>
      </c>
      <c r="V417" s="8"/>
      <c r="W417" s="8"/>
      <c r="X417" s="8"/>
      <c r="Y417" s="8"/>
      <c r="Z417" s="10" t="s">
        <v>3994</v>
      </c>
      <c r="AA417" s="8" t="s">
        <v>332</v>
      </c>
      <c r="AB417" s="8">
        <v>1</v>
      </c>
    </row>
    <row r="418" spans="1:28" ht="21.6" customHeight="1">
      <c r="A418" s="8">
        <v>312</v>
      </c>
      <c r="B418" s="8">
        <v>2025041498</v>
      </c>
      <c r="C418" s="8">
        <v>1</v>
      </c>
      <c r="D418" s="8" t="s">
        <v>3177</v>
      </c>
      <c r="E418" s="8" t="s">
        <v>134</v>
      </c>
      <c r="F418" s="8" t="s">
        <v>3947</v>
      </c>
      <c r="G418" s="8" t="s">
        <v>3995</v>
      </c>
      <c r="H418" s="8" t="s">
        <v>3996</v>
      </c>
      <c r="I418" s="8" t="s">
        <v>3592</v>
      </c>
      <c r="J418" s="8" t="s">
        <v>3301</v>
      </c>
      <c r="K418" s="8" t="s">
        <v>3183</v>
      </c>
      <c r="L418" s="10" t="s">
        <v>3586</v>
      </c>
      <c r="M418" s="10" t="s">
        <v>3587</v>
      </c>
      <c r="N418" s="10" t="s">
        <v>3430</v>
      </c>
      <c r="O418" s="8" t="s">
        <v>3190</v>
      </c>
      <c r="P418" s="8"/>
      <c r="Q418" s="8">
        <v>562</v>
      </c>
      <c r="R418" s="8">
        <v>9510</v>
      </c>
      <c r="S418" s="8"/>
      <c r="T418" s="8"/>
      <c r="U418" s="8"/>
      <c r="V418" s="8"/>
      <c r="W418" s="8"/>
      <c r="X418" s="8"/>
      <c r="Y418" s="8"/>
      <c r="Z418" s="10"/>
      <c r="AA418" s="8" t="s">
        <v>332</v>
      </c>
      <c r="AB418" s="8">
        <v>1</v>
      </c>
    </row>
    <row r="419" spans="1:28" ht="21.6" customHeight="1">
      <c r="A419" s="8">
        <v>313</v>
      </c>
      <c r="B419" s="8">
        <v>2025041669</v>
      </c>
      <c r="C419" s="8">
        <v>1</v>
      </c>
      <c r="D419" s="8" t="s">
        <v>3177</v>
      </c>
      <c r="E419" s="8" t="s">
        <v>134</v>
      </c>
      <c r="F419" s="8" t="s">
        <v>3886</v>
      </c>
      <c r="G419" s="8" t="s">
        <v>3635</v>
      </c>
      <c r="H419" s="8" t="s">
        <v>3997</v>
      </c>
      <c r="I419" s="8" t="s">
        <v>3592</v>
      </c>
      <c r="J419" s="8" t="s">
        <v>3301</v>
      </c>
      <c r="K419" s="8" t="s">
        <v>3183</v>
      </c>
      <c r="L419" s="10" t="s">
        <v>3586</v>
      </c>
      <c r="M419" s="10" t="s">
        <v>3587</v>
      </c>
      <c r="N419" s="10" t="s">
        <v>3430</v>
      </c>
      <c r="O419" s="8" t="s">
        <v>3190</v>
      </c>
      <c r="P419" s="8"/>
      <c r="Q419" s="8">
        <v>4626</v>
      </c>
      <c r="R419" s="8">
        <v>63621</v>
      </c>
      <c r="S419" s="8"/>
      <c r="T419" s="8"/>
      <c r="U419" s="8"/>
      <c r="V419" s="8"/>
      <c r="W419" s="8"/>
      <c r="X419" s="8"/>
      <c r="Y419" s="8"/>
      <c r="Z419" s="10"/>
      <c r="AA419" s="8" t="s">
        <v>332</v>
      </c>
      <c r="AB419" s="8">
        <v>1</v>
      </c>
    </row>
    <row r="420" spans="1:28" ht="21.6" customHeight="1">
      <c r="A420" s="8">
        <v>337</v>
      </c>
      <c r="B420" s="8">
        <v>2025040460</v>
      </c>
      <c r="C420" s="8">
        <v>1</v>
      </c>
      <c r="D420" s="8" t="s">
        <v>3177</v>
      </c>
      <c r="E420" s="8" t="s">
        <v>134</v>
      </c>
      <c r="F420" s="8" t="s">
        <v>3972</v>
      </c>
      <c r="G420" s="8" t="s">
        <v>3325</v>
      </c>
      <c r="H420" s="8" t="s">
        <v>3402</v>
      </c>
      <c r="I420" s="8" t="s">
        <v>3880</v>
      </c>
      <c r="J420" s="8" t="s">
        <v>3597</v>
      </c>
      <c r="K420" s="8" t="s">
        <v>3579</v>
      </c>
      <c r="L420" s="10" t="s">
        <v>3598</v>
      </c>
      <c r="M420" s="10" t="s">
        <v>3599</v>
      </c>
      <c r="N420" s="10" t="s">
        <v>3881</v>
      </c>
      <c r="O420" s="8" t="s">
        <v>363</v>
      </c>
      <c r="P420" s="8"/>
      <c r="Q420" s="8"/>
      <c r="R420" s="8">
        <v>0</v>
      </c>
      <c r="S420" s="8"/>
      <c r="T420" s="8"/>
      <c r="U420" s="8"/>
      <c r="V420" s="8"/>
      <c r="W420" s="8"/>
      <c r="X420" s="8"/>
      <c r="Y420" s="8"/>
      <c r="Z420" s="10" t="s">
        <v>3998</v>
      </c>
      <c r="AA420" s="8" t="s">
        <v>332</v>
      </c>
      <c r="AB420" s="8">
        <v>1</v>
      </c>
    </row>
    <row r="421" spans="1:28" ht="21.6" customHeight="1">
      <c r="A421" s="8">
        <v>338</v>
      </c>
      <c r="B421" s="8">
        <v>2025041135</v>
      </c>
      <c r="C421" s="8">
        <v>1</v>
      </c>
      <c r="D421" s="8" t="s">
        <v>3177</v>
      </c>
      <c r="E421" s="8" t="s">
        <v>134</v>
      </c>
      <c r="F421" s="8" t="s">
        <v>3929</v>
      </c>
      <c r="G421" s="8" t="s">
        <v>3342</v>
      </c>
      <c r="H421" s="8" t="s">
        <v>3250</v>
      </c>
      <c r="I421" s="8" t="s">
        <v>3999</v>
      </c>
      <c r="J421" s="8" t="s">
        <v>3597</v>
      </c>
      <c r="K421" s="8" t="s">
        <v>3579</v>
      </c>
      <c r="L421" s="10" t="s">
        <v>3598</v>
      </c>
      <c r="M421" s="10" t="s">
        <v>3599</v>
      </c>
      <c r="N421" s="10" t="s">
        <v>3881</v>
      </c>
      <c r="O421" s="8" t="s">
        <v>363</v>
      </c>
      <c r="P421" s="8"/>
      <c r="Q421" s="8"/>
      <c r="R421" s="8">
        <v>0</v>
      </c>
      <c r="S421" s="8"/>
      <c r="T421" s="8"/>
      <c r="U421" s="8"/>
      <c r="V421" s="8"/>
      <c r="W421" s="8"/>
      <c r="X421" s="8"/>
      <c r="Y421" s="8"/>
      <c r="Z421" s="10" t="s">
        <v>4000</v>
      </c>
      <c r="AA421" s="8" t="s">
        <v>332</v>
      </c>
      <c r="AB421" s="8">
        <v>1</v>
      </c>
    </row>
    <row r="422" spans="1:28" ht="21.6" customHeight="1">
      <c r="A422" s="8">
        <v>340</v>
      </c>
      <c r="B422" s="8">
        <v>2025041184</v>
      </c>
      <c r="C422" s="8">
        <v>1</v>
      </c>
      <c r="D422" s="8" t="s">
        <v>3177</v>
      </c>
      <c r="E422" s="8" t="s">
        <v>134</v>
      </c>
      <c r="F422" s="8" t="s">
        <v>3929</v>
      </c>
      <c r="G422" s="8" t="s">
        <v>3204</v>
      </c>
      <c r="H422" s="8" t="s">
        <v>3426</v>
      </c>
      <c r="I422" s="8" t="s">
        <v>3878</v>
      </c>
      <c r="J422" s="8" t="s">
        <v>3871</v>
      </c>
      <c r="K422" s="8" t="s">
        <v>3579</v>
      </c>
      <c r="L422" s="10" t="s">
        <v>3580</v>
      </c>
      <c r="M422" s="10" t="s">
        <v>3581</v>
      </c>
      <c r="N422" s="10" t="s">
        <v>3582</v>
      </c>
      <c r="O422" s="8" t="s">
        <v>363</v>
      </c>
      <c r="P422" s="8"/>
      <c r="Q422" s="8"/>
      <c r="R422" s="8">
        <v>0</v>
      </c>
      <c r="S422" s="8"/>
      <c r="T422" s="8"/>
      <c r="U422" s="8"/>
      <c r="V422" s="8"/>
      <c r="W422" s="8"/>
      <c r="X422" s="8"/>
      <c r="Y422" s="8"/>
      <c r="Z422" s="10" t="s">
        <v>4001</v>
      </c>
      <c r="AA422" s="8" t="s">
        <v>332</v>
      </c>
      <c r="AB422" s="8">
        <v>1</v>
      </c>
    </row>
    <row r="423" spans="1:28" ht="21.6" customHeight="1">
      <c r="A423" s="8">
        <v>1</v>
      </c>
      <c r="B423" s="8">
        <v>2025052231</v>
      </c>
      <c r="C423" s="8">
        <v>1</v>
      </c>
      <c r="D423" s="8" t="s">
        <v>3177</v>
      </c>
      <c r="E423" s="8" t="s">
        <v>123</v>
      </c>
      <c r="F423" s="8" t="s">
        <v>4002</v>
      </c>
      <c r="G423" s="8" t="s">
        <v>3381</v>
      </c>
      <c r="H423" s="8" t="s">
        <v>4003</v>
      </c>
      <c r="I423" s="8" t="s">
        <v>3181</v>
      </c>
      <c r="J423" s="8" t="s">
        <v>3182</v>
      </c>
      <c r="K423" s="8" t="s">
        <v>3183</v>
      </c>
      <c r="L423" s="10" t="s">
        <v>3184</v>
      </c>
      <c r="M423" s="10" t="s">
        <v>3185</v>
      </c>
      <c r="N423" s="10" t="s">
        <v>123</v>
      </c>
      <c r="O423" s="8" t="s">
        <v>322</v>
      </c>
      <c r="P423" s="8"/>
      <c r="Q423" s="8">
        <v>4570</v>
      </c>
      <c r="R423" s="8">
        <v>31311</v>
      </c>
      <c r="S423" s="8" t="s">
        <v>332</v>
      </c>
      <c r="T423" s="8"/>
      <c r="U423" s="8"/>
      <c r="V423" s="8"/>
      <c r="W423" s="8"/>
      <c r="X423" s="8"/>
      <c r="Y423" s="8"/>
      <c r="Z423" s="10" t="s">
        <v>3186</v>
      </c>
      <c r="AA423" s="8" t="s">
        <v>332</v>
      </c>
      <c r="AB423" s="8">
        <v>1</v>
      </c>
    </row>
    <row r="424" spans="1:28" ht="21.6" customHeight="1">
      <c r="A424" s="8">
        <v>3</v>
      </c>
      <c r="B424" s="8">
        <v>2025052237</v>
      </c>
      <c r="C424" s="8">
        <v>1</v>
      </c>
      <c r="D424" s="8" t="s">
        <v>3177</v>
      </c>
      <c r="E424" s="8" t="s">
        <v>123</v>
      </c>
      <c r="F424" s="8" t="s">
        <v>4002</v>
      </c>
      <c r="G424" s="8" t="s">
        <v>3869</v>
      </c>
      <c r="H424" s="8" t="s">
        <v>3828</v>
      </c>
      <c r="I424" s="8" t="s">
        <v>3194</v>
      </c>
      <c r="J424" s="8" t="s">
        <v>3195</v>
      </c>
      <c r="K424" s="8" t="s">
        <v>3183</v>
      </c>
      <c r="L424" s="10" t="s">
        <v>3196</v>
      </c>
      <c r="M424" s="10" t="s">
        <v>3197</v>
      </c>
      <c r="N424" s="10" t="s">
        <v>123</v>
      </c>
      <c r="O424" s="8" t="s">
        <v>322</v>
      </c>
      <c r="P424" s="8"/>
      <c r="Q424" s="8">
        <v>81</v>
      </c>
      <c r="R424" s="8">
        <v>3163</v>
      </c>
      <c r="S424" s="8" t="s">
        <v>332</v>
      </c>
      <c r="T424" s="8"/>
      <c r="U424" s="8"/>
      <c r="V424" s="8"/>
      <c r="W424" s="8"/>
      <c r="X424" s="8"/>
      <c r="Y424" s="8"/>
      <c r="Z424" s="10" t="s">
        <v>3186</v>
      </c>
      <c r="AA424" s="8" t="s">
        <v>332</v>
      </c>
      <c r="AB424" s="8">
        <v>1</v>
      </c>
    </row>
    <row r="425" spans="1:28" ht="21.6" customHeight="1">
      <c r="A425" s="8">
        <v>5</v>
      </c>
      <c r="B425" s="8">
        <v>2025052366</v>
      </c>
      <c r="C425" s="8">
        <v>1</v>
      </c>
      <c r="D425" s="8" t="s">
        <v>3177</v>
      </c>
      <c r="E425" s="8" t="s">
        <v>123</v>
      </c>
      <c r="F425" s="8" t="s">
        <v>4002</v>
      </c>
      <c r="G425" s="8" t="s">
        <v>3312</v>
      </c>
      <c r="H425" s="8" t="s">
        <v>3456</v>
      </c>
      <c r="I425" s="8" t="s">
        <v>3200</v>
      </c>
      <c r="J425" s="8" t="s">
        <v>3195</v>
      </c>
      <c r="K425" s="8" t="s">
        <v>3183</v>
      </c>
      <c r="L425" s="10" t="s">
        <v>3201</v>
      </c>
      <c r="M425" s="10" t="s">
        <v>3202</v>
      </c>
      <c r="N425" s="10" t="s">
        <v>3885</v>
      </c>
      <c r="O425" s="8" t="s">
        <v>322</v>
      </c>
      <c r="P425" s="8"/>
      <c r="Q425" s="8">
        <v>2141</v>
      </c>
      <c r="R425" s="8">
        <v>16745</v>
      </c>
      <c r="S425" s="8" t="s">
        <v>332</v>
      </c>
      <c r="T425" s="8"/>
      <c r="U425" s="8"/>
      <c r="V425" s="8"/>
      <c r="W425" s="8"/>
      <c r="X425" s="8"/>
      <c r="Y425" s="8"/>
      <c r="Z425" s="10" t="s">
        <v>3186</v>
      </c>
      <c r="AA425" s="8" t="s">
        <v>332</v>
      </c>
      <c r="AB425" s="8">
        <v>1</v>
      </c>
    </row>
    <row r="426" spans="1:28" ht="21.6" customHeight="1">
      <c r="A426" s="8">
        <v>7</v>
      </c>
      <c r="B426" s="8">
        <v>2025051594</v>
      </c>
      <c r="C426" s="8">
        <v>1</v>
      </c>
      <c r="D426" s="8" t="s">
        <v>3177</v>
      </c>
      <c r="E426" s="8" t="s">
        <v>123</v>
      </c>
      <c r="F426" s="8" t="s">
        <v>4004</v>
      </c>
      <c r="G426" s="8" t="s">
        <v>3729</v>
      </c>
      <c r="H426" s="8" t="s">
        <v>4005</v>
      </c>
      <c r="I426" s="8" t="s">
        <v>3206</v>
      </c>
      <c r="J426" s="8" t="s">
        <v>3195</v>
      </c>
      <c r="K426" s="8" t="s">
        <v>3183</v>
      </c>
      <c r="L426" s="10" t="s">
        <v>3207</v>
      </c>
      <c r="M426" s="10" t="s">
        <v>3208</v>
      </c>
      <c r="N426" s="10" t="s">
        <v>3209</v>
      </c>
      <c r="O426" s="8" t="s">
        <v>322</v>
      </c>
      <c r="P426" s="8"/>
      <c r="Q426" s="8">
        <v>28365</v>
      </c>
      <c r="R426" s="8">
        <v>62239</v>
      </c>
      <c r="S426" s="8" t="s">
        <v>332</v>
      </c>
      <c r="T426" s="8"/>
      <c r="U426" s="8"/>
      <c r="V426" s="8"/>
      <c r="W426" s="8"/>
      <c r="X426" s="8"/>
      <c r="Y426" s="8"/>
      <c r="Z426" s="10" t="s">
        <v>3186</v>
      </c>
      <c r="AA426" s="8" t="s">
        <v>332</v>
      </c>
      <c r="AB426" s="8">
        <v>1</v>
      </c>
    </row>
    <row r="427" spans="1:28" ht="21.6" customHeight="1">
      <c r="A427" s="8">
        <v>9</v>
      </c>
      <c r="B427" s="8">
        <v>2025052540</v>
      </c>
      <c r="C427" s="8">
        <v>1</v>
      </c>
      <c r="D427" s="8" t="s">
        <v>3177</v>
      </c>
      <c r="E427" s="8" t="s">
        <v>123</v>
      </c>
      <c r="F427" s="8" t="s">
        <v>4006</v>
      </c>
      <c r="G427" s="8" t="s">
        <v>4007</v>
      </c>
      <c r="H427" s="8" t="s">
        <v>4008</v>
      </c>
      <c r="I427" s="8" t="s">
        <v>3212</v>
      </c>
      <c r="J427" s="8" t="s">
        <v>3195</v>
      </c>
      <c r="K427" s="8" t="s">
        <v>3183</v>
      </c>
      <c r="L427" s="10" t="s">
        <v>3213</v>
      </c>
      <c r="M427" s="10" t="s">
        <v>3214</v>
      </c>
      <c r="N427" s="10" t="s">
        <v>3215</v>
      </c>
      <c r="O427" s="8" t="s">
        <v>322</v>
      </c>
      <c r="P427" s="8"/>
      <c r="Q427" s="8">
        <v>128</v>
      </c>
      <c r="R427" s="8">
        <v>793</v>
      </c>
      <c r="S427" s="8" t="s">
        <v>332</v>
      </c>
      <c r="T427" s="8"/>
      <c r="U427" s="8"/>
      <c r="V427" s="8"/>
      <c r="W427" s="8"/>
      <c r="X427" s="8"/>
      <c r="Y427" s="8"/>
      <c r="Z427" s="10" t="s">
        <v>3186</v>
      </c>
      <c r="AA427" s="8" t="s">
        <v>332</v>
      </c>
      <c r="AB427" s="8">
        <v>1</v>
      </c>
    </row>
    <row r="428" spans="1:28" ht="21.6" customHeight="1">
      <c r="A428" s="8">
        <v>11</v>
      </c>
      <c r="B428" s="8">
        <v>2025052338</v>
      </c>
      <c r="C428" s="8">
        <v>1</v>
      </c>
      <c r="D428" s="8" t="s">
        <v>3177</v>
      </c>
      <c r="E428" s="8" t="s">
        <v>123</v>
      </c>
      <c r="F428" s="8" t="s">
        <v>4002</v>
      </c>
      <c r="G428" s="8" t="s">
        <v>3193</v>
      </c>
      <c r="H428" s="8" t="s">
        <v>3902</v>
      </c>
      <c r="I428" s="8" t="s">
        <v>3218</v>
      </c>
      <c r="J428" s="8" t="s">
        <v>3195</v>
      </c>
      <c r="K428" s="8" t="s">
        <v>3183</v>
      </c>
      <c r="L428" s="10" t="s">
        <v>3219</v>
      </c>
      <c r="M428" s="10" t="s">
        <v>3220</v>
      </c>
      <c r="N428" s="10"/>
      <c r="O428" s="8" t="s">
        <v>322</v>
      </c>
      <c r="P428" s="8"/>
      <c r="Q428" s="8">
        <v>145</v>
      </c>
      <c r="R428" s="8">
        <v>6275</v>
      </c>
      <c r="S428" s="8" t="s">
        <v>332</v>
      </c>
      <c r="T428" s="8"/>
      <c r="U428" s="8"/>
      <c r="V428" s="8"/>
      <c r="W428" s="8"/>
      <c r="X428" s="8"/>
      <c r="Y428" s="8"/>
      <c r="Z428" s="10" t="s">
        <v>3186</v>
      </c>
      <c r="AA428" s="8" t="s">
        <v>332</v>
      </c>
      <c r="AB428" s="8">
        <v>1</v>
      </c>
    </row>
    <row r="429" spans="1:28" ht="21.6" customHeight="1">
      <c r="A429" s="8">
        <v>13</v>
      </c>
      <c r="B429" s="8">
        <v>2025052346</v>
      </c>
      <c r="C429" s="8">
        <v>1</v>
      </c>
      <c r="D429" s="8" t="s">
        <v>3177</v>
      </c>
      <c r="E429" s="8" t="s">
        <v>123</v>
      </c>
      <c r="F429" s="8" t="s">
        <v>4002</v>
      </c>
      <c r="G429" s="8" t="s">
        <v>3903</v>
      </c>
      <c r="H429" s="8" t="s">
        <v>3627</v>
      </c>
      <c r="I429" s="8" t="s">
        <v>3223</v>
      </c>
      <c r="J429" s="8" t="s">
        <v>3224</v>
      </c>
      <c r="K429" s="8" t="s">
        <v>3183</v>
      </c>
      <c r="L429" s="10" t="s">
        <v>3225</v>
      </c>
      <c r="M429" s="10" t="s">
        <v>3226</v>
      </c>
      <c r="N429" s="10" t="s">
        <v>3227</v>
      </c>
      <c r="O429" s="8" t="s">
        <v>322</v>
      </c>
      <c r="P429" s="8"/>
      <c r="Q429" s="8">
        <v>330</v>
      </c>
      <c r="R429" s="8">
        <v>1548</v>
      </c>
      <c r="S429" s="8" t="s">
        <v>332</v>
      </c>
      <c r="T429" s="8"/>
      <c r="U429" s="8"/>
      <c r="V429" s="8"/>
      <c r="W429" s="8"/>
      <c r="X429" s="8"/>
      <c r="Y429" s="8"/>
      <c r="Z429" s="10" t="s">
        <v>3186</v>
      </c>
      <c r="AA429" s="8" t="s">
        <v>332</v>
      </c>
      <c r="AB429" s="8">
        <v>1</v>
      </c>
    </row>
    <row r="430" spans="1:28" ht="21.6" customHeight="1">
      <c r="A430" s="8">
        <v>15</v>
      </c>
      <c r="B430" s="8">
        <v>2025052333</v>
      </c>
      <c r="C430" s="8">
        <v>1</v>
      </c>
      <c r="D430" s="8" t="s">
        <v>3177</v>
      </c>
      <c r="E430" s="8" t="s">
        <v>123</v>
      </c>
      <c r="F430" s="8" t="s">
        <v>4002</v>
      </c>
      <c r="G430" s="8" t="s">
        <v>4009</v>
      </c>
      <c r="H430" s="8" t="s">
        <v>3228</v>
      </c>
      <c r="I430" s="8" t="s">
        <v>3229</v>
      </c>
      <c r="J430" s="8" t="s">
        <v>3224</v>
      </c>
      <c r="K430" s="8" t="s">
        <v>3183</v>
      </c>
      <c r="L430" s="10" t="s">
        <v>3230</v>
      </c>
      <c r="M430" s="10" t="s">
        <v>3231</v>
      </c>
      <c r="N430" s="10" t="s">
        <v>3215</v>
      </c>
      <c r="O430" s="8" t="s">
        <v>322</v>
      </c>
      <c r="P430" s="8"/>
      <c r="Q430" s="8">
        <v>2875</v>
      </c>
      <c r="R430" s="8">
        <v>2911</v>
      </c>
      <c r="S430" s="8" t="s">
        <v>332</v>
      </c>
      <c r="T430" s="8"/>
      <c r="U430" s="8"/>
      <c r="V430" s="8"/>
      <c r="W430" s="8"/>
      <c r="X430" s="8"/>
      <c r="Y430" s="8"/>
      <c r="Z430" s="10" t="s">
        <v>3186</v>
      </c>
      <c r="AA430" s="8" t="s">
        <v>332</v>
      </c>
      <c r="AB430" s="8">
        <v>1</v>
      </c>
    </row>
    <row r="431" spans="1:28" ht="21.6" customHeight="1">
      <c r="A431" s="8">
        <v>17</v>
      </c>
      <c r="B431" s="8">
        <v>2025052472</v>
      </c>
      <c r="C431" s="8">
        <v>1</v>
      </c>
      <c r="D431" s="8" t="s">
        <v>3177</v>
      </c>
      <c r="E431" s="8" t="s">
        <v>123</v>
      </c>
      <c r="F431" s="8" t="s">
        <v>4002</v>
      </c>
      <c r="G431" s="8" t="s">
        <v>3609</v>
      </c>
      <c r="H431" s="8" t="s">
        <v>4010</v>
      </c>
      <c r="I431" s="8" t="s">
        <v>3234</v>
      </c>
      <c r="J431" s="8" t="s">
        <v>3224</v>
      </c>
      <c r="K431" s="8" t="s">
        <v>3183</v>
      </c>
      <c r="L431" s="10" t="s">
        <v>3235</v>
      </c>
      <c r="M431" s="10" t="s">
        <v>3236</v>
      </c>
      <c r="N431" s="10" t="s">
        <v>3237</v>
      </c>
      <c r="O431" s="8" t="s">
        <v>322</v>
      </c>
      <c r="P431" s="8"/>
      <c r="Q431" s="8">
        <v>1112</v>
      </c>
      <c r="R431" s="8">
        <v>54166</v>
      </c>
      <c r="S431" s="8" t="s">
        <v>332</v>
      </c>
      <c r="T431" s="8"/>
      <c r="U431" s="8"/>
      <c r="V431" s="8"/>
      <c r="W431" s="8"/>
      <c r="X431" s="8"/>
      <c r="Y431" s="8"/>
      <c r="Z431" s="10" t="s">
        <v>3186</v>
      </c>
      <c r="AA431" s="8" t="s">
        <v>332</v>
      </c>
      <c r="AB431" s="8">
        <v>1</v>
      </c>
    </row>
    <row r="432" spans="1:28" ht="21.6" customHeight="1">
      <c r="A432" s="8">
        <v>19</v>
      </c>
      <c r="B432" s="8">
        <v>2025052362</v>
      </c>
      <c r="C432" s="8">
        <v>1</v>
      </c>
      <c r="D432" s="8" t="s">
        <v>3177</v>
      </c>
      <c r="E432" s="8" t="s">
        <v>123</v>
      </c>
      <c r="F432" s="8" t="s">
        <v>4002</v>
      </c>
      <c r="G432" s="8" t="s">
        <v>4011</v>
      </c>
      <c r="H432" s="8" t="s">
        <v>3900</v>
      </c>
      <c r="I432" s="8" t="s">
        <v>3240</v>
      </c>
      <c r="J432" s="8" t="s">
        <v>3224</v>
      </c>
      <c r="K432" s="8" t="s">
        <v>3183</v>
      </c>
      <c r="L432" s="10" t="s">
        <v>3241</v>
      </c>
      <c r="M432" s="10" t="s">
        <v>3242</v>
      </c>
      <c r="N432" s="10"/>
      <c r="O432" s="8" t="s">
        <v>3190</v>
      </c>
      <c r="P432" s="8"/>
      <c r="Q432" s="8">
        <v>378</v>
      </c>
      <c r="R432" s="8">
        <v>848</v>
      </c>
      <c r="S432" s="8"/>
      <c r="T432" s="8"/>
      <c r="U432" s="8"/>
      <c r="V432" s="8"/>
      <c r="W432" s="8"/>
      <c r="X432" s="8"/>
      <c r="Y432" s="8"/>
      <c r="Z432" s="10" t="s">
        <v>3186</v>
      </c>
      <c r="AA432" s="8" t="s">
        <v>332</v>
      </c>
      <c r="AB432" s="8">
        <v>1</v>
      </c>
    </row>
    <row r="433" spans="1:28" ht="21.6" customHeight="1">
      <c r="A433" s="8">
        <v>21</v>
      </c>
      <c r="B433" s="8">
        <v>2025052543</v>
      </c>
      <c r="C433" s="8">
        <v>1</v>
      </c>
      <c r="D433" s="8" t="s">
        <v>3177</v>
      </c>
      <c r="E433" s="8" t="s">
        <v>123</v>
      </c>
      <c r="F433" s="8" t="s">
        <v>4006</v>
      </c>
      <c r="G433" s="8" t="s">
        <v>4012</v>
      </c>
      <c r="H433" s="8" t="s">
        <v>3912</v>
      </c>
      <c r="I433" s="8" t="s">
        <v>3246</v>
      </c>
      <c r="J433" s="8" t="s">
        <v>3224</v>
      </c>
      <c r="K433" s="8" t="s">
        <v>3183</v>
      </c>
      <c r="L433" s="10" t="s">
        <v>3247</v>
      </c>
      <c r="M433" s="10" t="s">
        <v>3248</v>
      </c>
      <c r="N433" s="10" t="s">
        <v>3215</v>
      </c>
      <c r="O433" s="8" t="s">
        <v>322</v>
      </c>
      <c r="P433" s="8"/>
      <c r="Q433" s="8">
        <v>499</v>
      </c>
      <c r="R433" s="8">
        <v>1486</v>
      </c>
      <c r="S433" s="8" t="s">
        <v>332</v>
      </c>
      <c r="T433" s="8"/>
      <c r="U433" s="8"/>
      <c r="V433" s="8"/>
      <c r="W433" s="8"/>
      <c r="X433" s="8"/>
      <c r="Y433" s="8"/>
      <c r="Z433" s="10" t="s">
        <v>3186</v>
      </c>
      <c r="AA433" s="8" t="s">
        <v>332</v>
      </c>
      <c r="AB433" s="8">
        <v>1</v>
      </c>
    </row>
    <row r="434" spans="1:28" ht="21.6" customHeight="1">
      <c r="A434" s="8">
        <v>25</v>
      </c>
      <c r="B434" s="8">
        <v>2025051592</v>
      </c>
      <c r="C434" s="8">
        <v>1</v>
      </c>
      <c r="D434" s="8" t="s">
        <v>3177</v>
      </c>
      <c r="E434" s="8" t="s">
        <v>123</v>
      </c>
      <c r="F434" s="8" t="s">
        <v>4004</v>
      </c>
      <c r="G434" s="8" t="s">
        <v>3888</v>
      </c>
      <c r="H434" s="8" t="s">
        <v>4013</v>
      </c>
      <c r="I434" s="8" t="s">
        <v>3259</v>
      </c>
      <c r="J434" s="8" t="s">
        <v>3253</v>
      </c>
      <c r="K434" s="8" t="s">
        <v>3183</v>
      </c>
      <c r="L434" s="10" t="s">
        <v>3207</v>
      </c>
      <c r="M434" s="10" t="s">
        <v>3208</v>
      </c>
      <c r="N434" s="10" t="s">
        <v>3260</v>
      </c>
      <c r="O434" s="8" t="s">
        <v>322</v>
      </c>
      <c r="P434" s="8"/>
      <c r="Q434" s="8"/>
      <c r="R434" s="8">
        <v>81688</v>
      </c>
      <c r="S434" s="8" t="s">
        <v>332</v>
      </c>
      <c r="T434" s="8"/>
      <c r="U434" s="8"/>
      <c r="V434" s="8"/>
      <c r="W434" s="8"/>
      <c r="X434" s="8"/>
      <c r="Y434" s="8"/>
      <c r="Z434" s="10" t="s">
        <v>3186</v>
      </c>
      <c r="AA434" s="8" t="s">
        <v>332</v>
      </c>
      <c r="AB434" s="8">
        <v>1</v>
      </c>
    </row>
    <row r="435" spans="1:28" ht="21.6" customHeight="1">
      <c r="A435" s="8">
        <v>27</v>
      </c>
      <c r="B435" s="8">
        <v>2025051817</v>
      </c>
      <c r="C435" s="8">
        <v>1</v>
      </c>
      <c r="D435" s="8" t="s">
        <v>3177</v>
      </c>
      <c r="E435" s="8" t="s">
        <v>123</v>
      </c>
      <c r="F435" s="8" t="s">
        <v>4014</v>
      </c>
      <c r="G435" s="8" t="s">
        <v>3250</v>
      </c>
      <c r="H435" s="8" t="s">
        <v>3427</v>
      </c>
      <c r="I435" s="8" t="s">
        <v>3628</v>
      </c>
      <c r="J435" s="8" t="s">
        <v>3253</v>
      </c>
      <c r="K435" s="8" t="s">
        <v>3183</v>
      </c>
      <c r="L435" s="10" t="s">
        <v>3629</v>
      </c>
      <c r="M435" s="10" t="s">
        <v>3630</v>
      </c>
      <c r="N435" s="10" t="s">
        <v>123</v>
      </c>
      <c r="O435" s="8" t="s">
        <v>363</v>
      </c>
      <c r="P435" s="8"/>
      <c r="Q435" s="8"/>
      <c r="R435" s="8">
        <v>65183</v>
      </c>
      <c r="S435" s="8"/>
      <c r="T435" s="8"/>
      <c r="U435" s="8"/>
      <c r="V435" s="8"/>
      <c r="W435" s="8"/>
      <c r="X435" s="8"/>
      <c r="Y435" s="8"/>
      <c r="Z435" s="10" t="s">
        <v>4015</v>
      </c>
      <c r="AA435" s="8" t="s">
        <v>332</v>
      </c>
      <c r="AB435" s="8">
        <v>1</v>
      </c>
    </row>
    <row r="436" spans="1:28" ht="21.6" customHeight="1">
      <c r="A436" s="8">
        <v>30</v>
      </c>
      <c r="B436" s="8">
        <v>2025052604</v>
      </c>
      <c r="C436" s="8">
        <v>1</v>
      </c>
      <c r="D436" s="8" t="s">
        <v>3177</v>
      </c>
      <c r="E436" s="8" t="s">
        <v>123</v>
      </c>
      <c r="F436" s="8" t="s">
        <v>4006</v>
      </c>
      <c r="G436" s="8" t="s">
        <v>4016</v>
      </c>
      <c r="H436" s="8" t="s">
        <v>3859</v>
      </c>
      <c r="I436" s="8" t="s">
        <v>3263</v>
      </c>
      <c r="J436" s="8" t="s">
        <v>3253</v>
      </c>
      <c r="K436" s="8" t="s">
        <v>3183</v>
      </c>
      <c r="L436" s="10" t="s">
        <v>3264</v>
      </c>
      <c r="M436" s="10" t="s">
        <v>3265</v>
      </c>
      <c r="N436" s="10" t="s">
        <v>123</v>
      </c>
      <c r="O436" s="8" t="s">
        <v>322</v>
      </c>
      <c r="P436" s="8"/>
      <c r="Q436" s="8"/>
      <c r="R436" s="8">
        <v>47930</v>
      </c>
      <c r="S436" s="8" t="s">
        <v>332</v>
      </c>
      <c r="T436" s="8"/>
      <c r="U436" s="8"/>
      <c r="V436" s="8"/>
      <c r="W436" s="8"/>
      <c r="X436" s="8"/>
      <c r="Y436" s="8"/>
      <c r="Z436" s="10" t="s">
        <v>3186</v>
      </c>
      <c r="AA436" s="8" t="s">
        <v>332</v>
      </c>
      <c r="AB436" s="8">
        <v>1</v>
      </c>
    </row>
    <row r="437" spans="1:28" ht="21.6" customHeight="1">
      <c r="A437" s="8">
        <v>32</v>
      </c>
      <c r="B437" s="8">
        <v>2025053107</v>
      </c>
      <c r="C437" s="8">
        <v>1</v>
      </c>
      <c r="D437" s="8" t="s">
        <v>3177</v>
      </c>
      <c r="E437" s="8" t="s">
        <v>123</v>
      </c>
      <c r="F437" s="8" t="s">
        <v>4017</v>
      </c>
      <c r="G437" s="8" t="s">
        <v>3653</v>
      </c>
      <c r="H437" s="8" t="s">
        <v>3927</v>
      </c>
      <c r="I437" s="8" t="s">
        <v>4018</v>
      </c>
      <c r="J437" s="8" t="s">
        <v>3253</v>
      </c>
      <c r="K437" s="8" t="s">
        <v>3183</v>
      </c>
      <c r="L437" s="10" t="s">
        <v>3629</v>
      </c>
      <c r="M437" s="10" t="s">
        <v>567</v>
      </c>
      <c r="N437" s="10"/>
      <c r="O437" s="8" t="s">
        <v>3190</v>
      </c>
      <c r="P437" s="8"/>
      <c r="Q437" s="8"/>
      <c r="R437" s="8">
        <v>209570</v>
      </c>
      <c r="S437" s="8"/>
      <c r="T437" s="8"/>
      <c r="U437" s="8"/>
      <c r="V437" s="8"/>
      <c r="W437" s="8"/>
      <c r="X437" s="8"/>
      <c r="Y437" s="8"/>
      <c r="Z437" s="10" t="s">
        <v>3186</v>
      </c>
      <c r="AA437" s="8" t="s">
        <v>332</v>
      </c>
      <c r="AB437" s="8">
        <v>1</v>
      </c>
    </row>
    <row r="438" spans="1:28" ht="21.6" customHeight="1">
      <c r="A438" s="8">
        <v>33</v>
      </c>
      <c r="B438" s="8">
        <v>2025050478</v>
      </c>
      <c r="C438" s="8">
        <v>1</v>
      </c>
      <c r="D438" s="8" t="s">
        <v>3177</v>
      </c>
      <c r="E438" s="8" t="s">
        <v>123</v>
      </c>
      <c r="F438" s="8" t="s">
        <v>4019</v>
      </c>
      <c r="G438" s="8" t="s">
        <v>3779</v>
      </c>
      <c r="H438" s="8" t="s">
        <v>3780</v>
      </c>
      <c r="I438" s="8" t="s">
        <v>3269</v>
      </c>
      <c r="J438" s="8" t="s">
        <v>3253</v>
      </c>
      <c r="K438" s="8" t="s">
        <v>3183</v>
      </c>
      <c r="L438" s="10" t="s">
        <v>3270</v>
      </c>
      <c r="M438" s="10" t="s">
        <v>3271</v>
      </c>
      <c r="N438" s="10" t="s">
        <v>3272</v>
      </c>
      <c r="O438" s="8" t="s">
        <v>322</v>
      </c>
      <c r="P438" s="8"/>
      <c r="Q438" s="8"/>
      <c r="R438" s="8">
        <v>22962</v>
      </c>
      <c r="S438" s="8" t="s">
        <v>332</v>
      </c>
      <c r="T438" s="8"/>
      <c r="U438" s="8"/>
      <c r="V438" s="8"/>
      <c r="W438" s="8"/>
      <c r="X438" s="8"/>
      <c r="Y438" s="8"/>
      <c r="Z438" s="10" t="s">
        <v>3186</v>
      </c>
      <c r="AA438" s="8" t="s">
        <v>332</v>
      </c>
      <c r="AB438" s="8">
        <v>1</v>
      </c>
    </row>
    <row r="439" spans="1:28" ht="21.6" customHeight="1">
      <c r="A439" s="8">
        <v>37</v>
      </c>
      <c r="B439" s="8">
        <v>2025053754</v>
      </c>
      <c r="C439" s="8">
        <v>1</v>
      </c>
      <c r="D439" s="8" t="s">
        <v>3177</v>
      </c>
      <c r="E439" s="8" t="s">
        <v>123</v>
      </c>
      <c r="F439" s="8" t="s">
        <v>4020</v>
      </c>
      <c r="G439" s="8" t="s">
        <v>3357</v>
      </c>
      <c r="H439" s="8" t="s">
        <v>3402</v>
      </c>
      <c r="I439" s="8" t="s">
        <v>3908</v>
      </c>
      <c r="J439" s="8" t="s">
        <v>3253</v>
      </c>
      <c r="K439" s="8" t="s">
        <v>3183</v>
      </c>
      <c r="L439" s="10" t="s">
        <v>3629</v>
      </c>
      <c r="M439" s="10" t="s">
        <v>3909</v>
      </c>
      <c r="N439" s="10" t="s">
        <v>123</v>
      </c>
      <c r="O439" s="8" t="s">
        <v>322</v>
      </c>
      <c r="P439" s="8"/>
      <c r="Q439" s="8"/>
      <c r="R439" s="8">
        <v>27925</v>
      </c>
      <c r="S439" s="8"/>
      <c r="T439" s="8"/>
      <c r="U439" s="8"/>
      <c r="V439" s="8"/>
      <c r="W439" s="8"/>
      <c r="X439" s="8"/>
      <c r="Y439" s="8" t="s">
        <v>332</v>
      </c>
      <c r="Z439" s="10" t="s">
        <v>4021</v>
      </c>
      <c r="AA439" s="8" t="s">
        <v>332</v>
      </c>
      <c r="AB439" s="8">
        <v>1</v>
      </c>
    </row>
    <row r="440" spans="1:28" ht="21.6" customHeight="1">
      <c r="A440" s="8">
        <v>38</v>
      </c>
      <c r="B440" s="8">
        <v>2025050536</v>
      </c>
      <c r="C440" s="8">
        <v>1</v>
      </c>
      <c r="D440" s="8" t="s">
        <v>3177</v>
      </c>
      <c r="E440" s="8" t="s">
        <v>123</v>
      </c>
      <c r="F440" s="8" t="s">
        <v>4019</v>
      </c>
      <c r="G440" s="8" t="s">
        <v>4022</v>
      </c>
      <c r="H440" s="8" t="s">
        <v>3590</v>
      </c>
      <c r="I440" s="8" t="s">
        <v>3276</v>
      </c>
      <c r="J440" s="8" t="s">
        <v>3277</v>
      </c>
      <c r="K440" s="8" t="s">
        <v>3183</v>
      </c>
      <c r="L440" s="10" t="s">
        <v>3278</v>
      </c>
      <c r="M440" s="10" t="s">
        <v>3279</v>
      </c>
      <c r="N440" s="10" t="s">
        <v>123</v>
      </c>
      <c r="O440" s="8" t="s">
        <v>322</v>
      </c>
      <c r="P440" s="8"/>
      <c r="Q440" s="8"/>
      <c r="R440" s="8">
        <v>56604</v>
      </c>
      <c r="S440" s="8" t="s">
        <v>332</v>
      </c>
      <c r="T440" s="8"/>
      <c r="U440" s="8"/>
      <c r="V440" s="8"/>
      <c r="W440" s="8"/>
      <c r="X440" s="8"/>
      <c r="Y440" s="8"/>
      <c r="Z440" s="10" t="s">
        <v>3186</v>
      </c>
      <c r="AA440" s="8" t="s">
        <v>332</v>
      </c>
      <c r="AB440" s="8">
        <v>1</v>
      </c>
    </row>
    <row r="441" spans="1:28" ht="21.6" customHeight="1">
      <c r="A441" s="8">
        <v>40</v>
      </c>
      <c r="B441" s="8">
        <v>2025050463</v>
      </c>
      <c r="C441" s="8">
        <v>1</v>
      </c>
      <c r="D441" s="8" t="s">
        <v>3177</v>
      </c>
      <c r="E441" s="8" t="s">
        <v>123</v>
      </c>
      <c r="F441" s="8" t="s">
        <v>4019</v>
      </c>
      <c r="G441" s="8" t="s">
        <v>3798</v>
      </c>
      <c r="H441" s="8" t="s">
        <v>4023</v>
      </c>
      <c r="I441" s="8" t="s">
        <v>3282</v>
      </c>
      <c r="J441" s="8" t="s">
        <v>3277</v>
      </c>
      <c r="K441" s="8" t="s">
        <v>3183</v>
      </c>
      <c r="L441" s="10" t="s">
        <v>3283</v>
      </c>
      <c r="M441" s="10" t="s">
        <v>3284</v>
      </c>
      <c r="N441" s="10"/>
      <c r="O441" s="8" t="s">
        <v>322</v>
      </c>
      <c r="P441" s="8"/>
      <c r="Q441" s="8"/>
      <c r="R441" s="8">
        <v>23400</v>
      </c>
      <c r="S441" s="8" t="s">
        <v>332</v>
      </c>
      <c r="T441" s="8"/>
      <c r="U441" s="8"/>
      <c r="V441" s="8"/>
      <c r="W441" s="8"/>
      <c r="X441" s="8"/>
      <c r="Y441" s="8"/>
      <c r="Z441" s="10" t="s">
        <v>3186</v>
      </c>
      <c r="AA441" s="8" t="s">
        <v>332</v>
      </c>
      <c r="AB441" s="8">
        <v>1</v>
      </c>
    </row>
    <row r="442" spans="1:28" ht="21.6" customHeight="1">
      <c r="A442" s="8">
        <v>42</v>
      </c>
      <c r="B442" s="8">
        <v>2025050622</v>
      </c>
      <c r="C442" s="8">
        <v>1</v>
      </c>
      <c r="D442" s="8" t="s">
        <v>3177</v>
      </c>
      <c r="E442" s="8" t="s">
        <v>123</v>
      </c>
      <c r="F442" s="8" t="s">
        <v>4024</v>
      </c>
      <c r="G442" s="8" t="s">
        <v>4025</v>
      </c>
      <c r="H442" s="8" t="s">
        <v>3995</v>
      </c>
      <c r="I442" s="8" t="s">
        <v>3282</v>
      </c>
      <c r="J442" s="8" t="s">
        <v>3277</v>
      </c>
      <c r="K442" s="8" t="s">
        <v>3183</v>
      </c>
      <c r="L442" s="10" t="s">
        <v>3283</v>
      </c>
      <c r="M442" s="10" t="s">
        <v>3284</v>
      </c>
      <c r="N442" s="10"/>
      <c r="O442" s="8" t="s">
        <v>363</v>
      </c>
      <c r="P442" s="8"/>
      <c r="Q442" s="8"/>
      <c r="R442" s="8">
        <v>23400</v>
      </c>
      <c r="S442" s="8"/>
      <c r="T442" s="8"/>
      <c r="U442" s="8"/>
      <c r="V442" s="8"/>
      <c r="W442" s="8"/>
      <c r="X442" s="8"/>
      <c r="Y442" s="8"/>
      <c r="Z442" s="10" t="s">
        <v>4026</v>
      </c>
      <c r="AA442" s="8" t="s">
        <v>332</v>
      </c>
      <c r="AB442" s="8">
        <v>1</v>
      </c>
    </row>
    <row r="443" spans="1:28" ht="21.6" customHeight="1">
      <c r="A443" s="8">
        <v>43</v>
      </c>
      <c r="B443" s="8">
        <v>2025052481</v>
      </c>
      <c r="C443" s="8">
        <v>1</v>
      </c>
      <c r="D443" s="8" t="s">
        <v>3177</v>
      </c>
      <c r="E443" s="8" t="s">
        <v>123</v>
      </c>
      <c r="F443" s="8" t="s">
        <v>4002</v>
      </c>
      <c r="G443" s="8" t="s">
        <v>3928</v>
      </c>
      <c r="H443" s="8" t="s">
        <v>4027</v>
      </c>
      <c r="I443" s="8" t="s">
        <v>3287</v>
      </c>
      <c r="J443" s="8" t="s">
        <v>3288</v>
      </c>
      <c r="K443" s="8" t="s">
        <v>3183</v>
      </c>
      <c r="L443" s="10" t="s">
        <v>3289</v>
      </c>
      <c r="M443" s="10" t="s">
        <v>3290</v>
      </c>
      <c r="N443" s="10" t="s">
        <v>123</v>
      </c>
      <c r="O443" s="8" t="s">
        <v>322</v>
      </c>
      <c r="P443" s="8"/>
      <c r="Q443" s="8">
        <v>11616</v>
      </c>
      <c r="R443" s="8">
        <v>153092</v>
      </c>
      <c r="S443" s="8" t="s">
        <v>332</v>
      </c>
      <c r="T443" s="8"/>
      <c r="U443" s="8"/>
      <c r="V443" s="8"/>
      <c r="W443" s="8"/>
      <c r="X443" s="8"/>
      <c r="Y443" s="8"/>
      <c r="Z443" s="10" t="s">
        <v>3186</v>
      </c>
      <c r="AA443" s="8" t="s">
        <v>332</v>
      </c>
      <c r="AB443" s="8">
        <v>1</v>
      </c>
    </row>
    <row r="444" spans="1:28" ht="21.6" customHeight="1">
      <c r="A444" s="8">
        <v>45</v>
      </c>
      <c r="B444" s="8">
        <v>2025050495</v>
      </c>
      <c r="C444" s="8">
        <v>1</v>
      </c>
      <c r="D444" s="8" t="s">
        <v>3177</v>
      </c>
      <c r="E444" s="8" t="s">
        <v>123</v>
      </c>
      <c r="F444" s="8" t="s">
        <v>4019</v>
      </c>
      <c r="G444" s="8" t="s">
        <v>3258</v>
      </c>
      <c r="H444" s="8" t="s">
        <v>3386</v>
      </c>
      <c r="I444" s="8" t="s">
        <v>3293</v>
      </c>
      <c r="J444" s="8" t="s">
        <v>3288</v>
      </c>
      <c r="K444" s="8" t="s">
        <v>3183</v>
      </c>
      <c r="L444" s="10" t="s">
        <v>3294</v>
      </c>
      <c r="M444" s="10" t="s">
        <v>3295</v>
      </c>
      <c r="N444" s="10" t="s">
        <v>3272</v>
      </c>
      <c r="O444" s="8" t="s">
        <v>322</v>
      </c>
      <c r="P444" s="8"/>
      <c r="Q444" s="8">
        <v>1871</v>
      </c>
      <c r="R444" s="8">
        <v>262709</v>
      </c>
      <c r="S444" s="8" t="s">
        <v>332</v>
      </c>
      <c r="T444" s="8"/>
      <c r="U444" s="8"/>
      <c r="V444" s="8"/>
      <c r="W444" s="8"/>
      <c r="X444" s="8"/>
      <c r="Y444" s="8"/>
      <c r="Z444" s="10" t="s">
        <v>3186</v>
      </c>
      <c r="AA444" s="8" t="s">
        <v>332</v>
      </c>
      <c r="AB444" s="8">
        <v>1</v>
      </c>
    </row>
    <row r="445" spans="1:28" ht="21.6" customHeight="1">
      <c r="A445" s="8">
        <v>47</v>
      </c>
      <c r="B445" s="8">
        <v>2025051596</v>
      </c>
      <c r="C445" s="8">
        <v>1</v>
      </c>
      <c r="D445" s="8" t="s">
        <v>3177</v>
      </c>
      <c r="E445" s="8" t="s">
        <v>123</v>
      </c>
      <c r="F445" s="8" t="s">
        <v>4004</v>
      </c>
      <c r="G445" s="8" t="s">
        <v>3291</v>
      </c>
      <c r="H445" s="8" t="s">
        <v>4028</v>
      </c>
      <c r="I445" s="8" t="s">
        <v>3297</v>
      </c>
      <c r="J445" s="8" t="s">
        <v>3298</v>
      </c>
      <c r="K445" s="8" t="s">
        <v>3183</v>
      </c>
      <c r="L445" s="10" t="s">
        <v>3207</v>
      </c>
      <c r="M445" s="10" t="s">
        <v>3208</v>
      </c>
      <c r="N445" s="10" t="s">
        <v>3299</v>
      </c>
      <c r="O445" s="8" t="s">
        <v>322</v>
      </c>
      <c r="P445" s="8"/>
      <c r="Q445" s="8"/>
      <c r="R445" s="8">
        <v>115199</v>
      </c>
      <c r="S445" s="8" t="s">
        <v>332</v>
      </c>
      <c r="T445" s="8"/>
      <c r="U445" s="8"/>
      <c r="V445" s="8"/>
      <c r="W445" s="8"/>
      <c r="X445" s="8"/>
      <c r="Y445" s="8"/>
      <c r="Z445" s="10" t="s">
        <v>3186</v>
      </c>
      <c r="AA445" s="8" t="s">
        <v>332</v>
      </c>
      <c r="AB445" s="8">
        <v>1</v>
      </c>
    </row>
    <row r="446" spans="1:28" ht="21.6" customHeight="1">
      <c r="A446" s="8">
        <v>49</v>
      </c>
      <c r="B446" s="8">
        <v>2025051847</v>
      </c>
      <c r="C446" s="8">
        <v>1</v>
      </c>
      <c r="D446" s="8" t="s">
        <v>3177</v>
      </c>
      <c r="E446" s="8" t="s">
        <v>123</v>
      </c>
      <c r="F446" s="8" t="s">
        <v>4014</v>
      </c>
      <c r="G446" s="8" t="s">
        <v>3258</v>
      </c>
      <c r="H446" s="8" t="s">
        <v>3799</v>
      </c>
      <c r="I446" s="8" t="s">
        <v>3297</v>
      </c>
      <c r="J446" s="8" t="s">
        <v>3298</v>
      </c>
      <c r="K446" s="8" t="s">
        <v>3183</v>
      </c>
      <c r="L446" s="10" t="s">
        <v>3207</v>
      </c>
      <c r="M446" s="10" t="s">
        <v>3208</v>
      </c>
      <c r="N446" s="10" t="s">
        <v>3299</v>
      </c>
      <c r="O446" s="8" t="s">
        <v>363</v>
      </c>
      <c r="P446" s="8"/>
      <c r="Q446" s="8"/>
      <c r="R446" s="8">
        <v>133167</v>
      </c>
      <c r="S446" s="8"/>
      <c r="T446" s="8"/>
      <c r="U446" s="8"/>
      <c r="V446" s="8"/>
      <c r="W446" s="8"/>
      <c r="X446" s="8"/>
      <c r="Y446" s="8"/>
      <c r="Z446" s="10" t="s">
        <v>4029</v>
      </c>
      <c r="AA446" s="8" t="s">
        <v>332</v>
      </c>
      <c r="AB446" s="8">
        <v>1</v>
      </c>
    </row>
    <row r="447" spans="1:28" ht="21.6" customHeight="1">
      <c r="A447" s="8">
        <v>50</v>
      </c>
      <c r="B447" s="8">
        <v>2025052593</v>
      </c>
      <c r="C447" s="8">
        <v>1</v>
      </c>
      <c r="D447" s="8" t="s">
        <v>3177</v>
      </c>
      <c r="E447" s="8" t="s">
        <v>123</v>
      </c>
      <c r="F447" s="8" t="s">
        <v>4006</v>
      </c>
      <c r="G447" s="8" t="s">
        <v>3996</v>
      </c>
      <c r="H447" s="8" t="s">
        <v>4030</v>
      </c>
      <c r="I447" s="8" t="s">
        <v>3300</v>
      </c>
      <c r="J447" s="8" t="s">
        <v>3301</v>
      </c>
      <c r="K447" s="8" t="s">
        <v>3183</v>
      </c>
      <c r="L447" s="10" t="s">
        <v>3302</v>
      </c>
      <c r="M447" s="10" t="s">
        <v>3303</v>
      </c>
      <c r="N447" s="10" t="s">
        <v>3304</v>
      </c>
      <c r="O447" s="8" t="s">
        <v>322</v>
      </c>
      <c r="P447" s="8"/>
      <c r="Q447" s="8">
        <v>32581</v>
      </c>
      <c r="R447" s="8">
        <v>32461</v>
      </c>
      <c r="S447" s="8" t="s">
        <v>332</v>
      </c>
      <c r="T447" s="8"/>
      <c r="U447" s="8"/>
      <c r="V447" s="8"/>
      <c r="W447" s="8"/>
      <c r="X447" s="8"/>
      <c r="Y447" s="8"/>
      <c r="Z447" s="10" t="s">
        <v>3186</v>
      </c>
      <c r="AA447" s="8" t="s">
        <v>332</v>
      </c>
      <c r="AB447" s="8">
        <v>1</v>
      </c>
    </row>
    <row r="448" spans="1:28" ht="21.6" customHeight="1">
      <c r="A448" s="8">
        <v>52</v>
      </c>
      <c r="B448" s="8">
        <v>2025052585</v>
      </c>
      <c r="C448" s="8">
        <v>1</v>
      </c>
      <c r="D448" s="8" t="s">
        <v>3177</v>
      </c>
      <c r="E448" s="8" t="s">
        <v>123</v>
      </c>
      <c r="F448" s="8" t="s">
        <v>4006</v>
      </c>
      <c r="G448" s="8" t="s">
        <v>4031</v>
      </c>
      <c r="H448" s="8" t="s">
        <v>4032</v>
      </c>
      <c r="I448" s="8" t="s">
        <v>3307</v>
      </c>
      <c r="J448" s="8" t="s">
        <v>3301</v>
      </c>
      <c r="K448" s="8" t="s">
        <v>3183</v>
      </c>
      <c r="L448" s="10" t="s">
        <v>3308</v>
      </c>
      <c r="M448" s="10" t="s">
        <v>3309</v>
      </c>
      <c r="N448" s="10" t="s">
        <v>3310</v>
      </c>
      <c r="O448" s="8" t="s">
        <v>322</v>
      </c>
      <c r="P448" s="8"/>
      <c r="Q448" s="8">
        <v>4841</v>
      </c>
      <c r="R448" s="8">
        <v>38838</v>
      </c>
      <c r="S448" s="8" t="s">
        <v>332</v>
      </c>
      <c r="T448" s="8"/>
      <c r="U448" s="8"/>
      <c r="V448" s="8"/>
      <c r="W448" s="8"/>
      <c r="X448" s="8"/>
      <c r="Y448" s="8"/>
      <c r="Z448" s="10" t="s">
        <v>3186</v>
      </c>
      <c r="AA448" s="8" t="s">
        <v>332</v>
      </c>
      <c r="AB448" s="8">
        <v>1</v>
      </c>
    </row>
    <row r="449" spans="1:28" ht="21.6" customHeight="1">
      <c r="A449" s="8">
        <v>54</v>
      </c>
      <c r="B449" s="8">
        <v>2025052715</v>
      </c>
      <c r="C449" s="8">
        <v>1</v>
      </c>
      <c r="D449" s="8" t="s">
        <v>3177</v>
      </c>
      <c r="E449" s="8" t="s">
        <v>123</v>
      </c>
      <c r="F449" s="8" t="s">
        <v>4033</v>
      </c>
      <c r="G449" s="8" t="s">
        <v>3728</v>
      </c>
      <c r="H449" s="8" t="s">
        <v>4034</v>
      </c>
      <c r="I449" s="8" t="s">
        <v>3307</v>
      </c>
      <c r="J449" s="8" t="s">
        <v>3301</v>
      </c>
      <c r="K449" s="8" t="s">
        <v>3183</v>
      </c>
      <c r="L449" s="10" t="s">
        <v>3308</v>
      </c>
      <c r="M449" s="10" t="s">
        <v>3309</v>
      </c>
      <c r="N449" s="10" t="s">
        <v>3310</v>
      </c>
      <c r="O449" s="8" t="s">
        <v>3190</v>
      </c>
      <c r="P449" s="8"/>
      <c r="Q449" s="8">
        <v>4838</v>
      </c>
      <c r="R449" s="8">
        <v>38794</v>
      </c>
      <c r="S449" s="8"/>
      <c r="T449" s="8"/>
      <c r="U449" s="8"/>
      <c r="V449" s="8"/>
      <c r="W449" s="8"/>
      <c r="X449" s="8"/>
      <c r="Y449" s="8"/>
      <c r="Z449" s="10" t="s">
        <v>3186</v>
      </c>
      <c r="AA449" s="8" t="s">
        <v>332</v>
      </c>
      <c r="AB449" s="8">
        <v>1</v>
      </c>
    </row>
    <row r="450" spans="1:28" ht="21.6" customHeight="1">
      <c r="A450" s="8">
        <v>55</v>
      </c>
      <c r="B450" s="8">
        <v>2025051368</v>
      </c>
      <c r="C450" s="8">
        <v>1</v>
      </c>
      <c r="D450" s="8" t="s">
        <v>3177</v>
      </c>
      <c r="E450" s="8" t="s">
        <v>123</v>
      </c>
      <c r="F450" s="8" t="s">
        <v>4035</v>
      </c>
      <c r="G450" s="8" t="s">
        <v>4036</v>
      </c>
      <c r="H450" s="8" t="s">
        <v>3774</v>
      </c>
      <c r="I450" s="8" t="s">
        <v>3313</v>
      </c>
      <c r="J450" s="8" t="s">
        <v>3301</v>
      </c>
      <c r="K450" s="8" t="s">
        <v>3183</v>
      </c>
      <c r="L450" s="10" t="s">
        <v>3314</v>
      </c>
      <c r="M450" s="10" t="s">
        <v>3315</v>
      </c>
      <c r="N450" s="10" t="s">
        <v>123</v>
      </c>
      <c r="O450" s="8" t="s">
        <v>363</v>
      </c>
      <c r="P450" s="8"/>
      <c r="Q450" s="8">
        <v>14839</v>
      </c>
      <c r="R450" s="8">
        <v>21422</v>
      </c>
      <c r="S450" s="8"/>
      <c r="T450" s="8"/>
      <c r="U450" s="8"/>
      <c r="V450" s="8"/>
      <c r="W450" s="8"/>
      <c r="X450" s="8"/>
      <c r="Y450" s="8"/>
      <c r="Z450" s="10" t="s">
        <v>4037</v>
      </c>
      <c r="AA450" s="8" t="s">
        <v>332</v>
      </c>
      <c r="AB450" s="8">
        <v>1</v>
      </c>
    </row>
    <row r="451" spans="1:28" ht="21.6" customHeight="1">
      <c r="A451" s="8">
        <v>56</v>
      </c>
      <c r="B451" s="8">
        <v>2025052433</v>
      </c>
      <c r="C451" s="8">
        <v>1</v>
      </c>
      <c r="D451" s="8" t="s">
        <v>3177</v>
      </c>
      <c r="E451" s="8" t="s">
        <v>123</v>
      </c>
      <c r="F451" s="8" t="s">
        <v>4002</v>
      </c>
      <c r="G451" s="8" t="s">
        <v>4038</v>
      </c>
      <c r="H451" s="8" t="s">
        <v>4039</v>
      </c>
      <c r="I451" s="8" t="s">
        <v>3313</v>
      </c>
      <c r="J451" s="8" t="s">
        <v>3301</v>
      </c>
      <c r="K451" s="8" t="s">
        <v>3183</v>
      </c>
      <c r="L451" s="10" t="s">
        <v>3314</v>
      </c>
      <c r="M451" s="10" t="s">
        <v>3315</v>
      </c>
      <c r="N451" s="10" t="s">
        <v>123</v>
      </c>
      <c r="O451" s="8" t="s">
        <v>322</v>
      </c>
      <c r="P451" s="8"/>
      <c r="Q451" s="8">
        <v>16130</v>
      </c>
      <c r="R451" s="8">
        <v>22457</v>
      </c>
      <c r="S451" s="8" t="s">
        <v>332</v>
      </c>
      <c r="T451" s="8"/>
      <c r="U451" s="8"/>
      <c r="V451" s="8"/>
      <c r="W451" s="8"/>
      <c r="X451" s="8"/>
      <c r="Y451" s="8"/>
      <c r="Z451" s="10" t="s">
        <v>3186</v>
      </c>
      <c r="AA451" s="8" t="s">
        <v>332</v>
      </c>
      <c r="AB451" s="8">
        <v>1</v>
      </c>
    </row>
    <row r="452" spans="1:28" ht="21.6" customHeight="1">
      <c r="A452" s="8">
        <v>58</v>
      </c>
      <c r="B452" s="8">
        <v>2025053483</v>
      </c>
      <c r="C452" s="8">
        <v>1</v>
      </c>
      <c r="D452" s="8" t="s">
        <v>3177</v>
      </c>
      <c r="E452" s="8" t="s">
        <v>123</v>
      </c>
      <c r="F452" s="8" t="s">
        <v>4040</v>
      </c>
      <c r="G452" s="8" t="s">
        <v>3617</v>
      </c>
      <c r="H452" s="8" t="s">
        <v>3848</v>
      </c>
      <c r="I452" s="8" t="s">
        <v>3327</v>
      </c>
      <c r="J452" s="8" t="s">
        <v>3328</v>
      </c>
      <c r="K452" s="8" t="s">
        <v>3183</v>
      </c>
      <c r="L452" s="10" t="s">
        <v>3320</v>
      </c>
      <c r="M452" s="10" t="s">
        <v>3321</v>
      </c>
      <c r="N452" s="10" t="s">
        <v>3322</v>
      </c>
      <c r="O452" s="8" t="s">
        <v>322</v>
      </c>
      <c r="P452" s="8"/>
      <c r="Q452" s="8">
        <v>338</v>
      </c>
      <c r="R452" s="8">
        <v>13199</v>
      </c>
      <c r="S452" s="8" t="s">
        <v>332</v>
      </c>
      <c r="T452" s="8"/>
      <c r="U452" s="8"/>
      <c r="V452" s="8"/>
      <c r="W452" s="8"/>
      <c r="X452" s="8"/>
      <c r="Y452" s="8"/>
      <c r="Z452" s="10" t="s">
        <v>3186</v>
      </c>
      <c r="AA452" s="8" t="s">
        <v>332</v>
      </c>
      <c r="AB452" s="8">
        <v>1</v>
      </c>
    </row>
    <row r="453" spans="1:28" ht="21.6" customHeight="1">
      <c r="A453" s="8">
        <v>60</v>
      </c>
      <c r="B453" s="8">
        <v>2025052619</v>
      </c>
      <c r="C453" s="8">
        <v>1</v>
      </c>
      <c r="D453" s="8" t="s">
        <v>3177</v>
      </c>
      <c r="E453" s="8" t="s">
        <v>123</v>
      </c>
      <c r="F453" s="8" t="s">
        <v>4006</v>
      </c>
      <c r="G453" s="8" t="s">
        <v>3887</v>
      </c>
      <c r="H453" s="8" t="s">
        <v>3846</v>
      </c>
      <c r="I453" s="8" t="s">
        <v>3807</v>
      </c>
      <c r="J453" s="8" t="s">
        <v>3808</v>
      </c>
      <c r="K453" s="8" t="s">
        <v>3183</v>
      </c>
      <c r="L453" s="10" t="s">
        <v>3333</v>
      </c>
      <c r="M453" s="10" t="s">
        <v>3334</v>
      </c>
      <c r="N453" s="10"/>
      <c r="O453" s="8" t="s">
        <v>322</v>
      </c>
      <c r="P453" s="8"/>
      <c r="Q453" s="8"/>
      <c r="R453" s="8">
        <v>15986</v>
      </c>
      <c r="S453" s="8" t="s">
        <v>332</v>
      </c>
      <c r="T453" s="8"/>
      <c r="U453" s="8"/>
      <c r="V453" s="8"/>
      <c r="W453" s="8"/>
      <c r="X453" s="8"/>
      <c r="Y453" s="8"/>
      <c r="Z453" s="10" t="s">
        <v>3186</v>
      </c>
      <c r="AA453" s="8" t="s">
        <v>332</v>
      </c>
      <c r="AB453" s="8">
        <v>1</v>
      </c>
    </row>
    <row r="454" spans="1:28" ht="21.6" customHeight="1">
      <c r="A454" s="8">
        <v>62</v>
      </c>
      <c r="B454" s="8">
        <v>2025053479</v>
      </c>
      <c r="C454" s="8">
        <v>1</v>
      </c>
      <c r="D454" s="8" t="s">
        <v>3177</v>
      </c>
      <c r="E454" s="8" t="s">
        <v>123</v>
      </c>
      <c r="F454" s="8" t="s">
        <v>4040</v>
      </c>
      <c r="G454" s="8" t="s">
        <v>4041</v>
      </c>
      <c r="H454" s="8" t="s">
        <v>3498</v>
      </c>
      <c r="I454" s="8" t="s">
        <v>3335</v>
      </c>
      <c r="J454" s="8" t="s">
        <v>3336</v>
      </c>
      <c r="K454" s="8" t="s">
        <v>3183</v>
      </c>
      <c r="L454" s="10" t="s">
        <v>3320</v>
      </c>
      <c r="M454" s="10" t="s">
        <v>3321</v>
      </c>
      <c r="N454" s="10" t="s">
        <v>3337</v>
      </c>
      <c r="O454" s="8" t="s">
        <v>322</v>
      </c>
      <c r="P454" s="8"/>
      <c r="Q454" s="8"/>
      <c r="R454" s="8">
        <v>107176</v>
      </c>
      <c r="S454" s="8" t="s">
        <v>332</v>
      </c>
      <c r="T454" s="8"/>
      <c r="U454" s="8" t="s">
        <v>332</v>
      </c>
      <c r="V454" s="8"/>
      <c r="W454" s="8"/>
      <c r="X454" s="8"/>
      <c r="Y454" s="8"/>
      <c r="Z454" s="10" t="s">
        <v>4042</v>
      </c>
      <c r="AA454" s="8" t="s">
        <v>332</v>
      </c>
      <c r="AB454" s="8">
        <v>1</v>
      </c>
    </row>
    <row r="455" spans="1:28" ht="21.6" customHeight="1">
      <c r="A455" s="8">
        <v>64</v>
      </c>
      <c r="B455" s="8">
        <v>2025053481</v>
      </c>
      <c r="C455" s="8">
        <v>1</v>
      </c>
      <c r="D455" s="8" t="s">
        <v>3177</v>
      </c>
      <c r="E455" s="8" t="s">
        <v>123</v>
      </c>
      <c r="F455" s="8" t="s">
        <v>4040</v>
      </c>
      <c r="G455" s="8" t="s">
        <v>3655</v>
      </c>
      <c r="H455" s="8" t="s">
        <v>3251</v>
      </c>
      <c r="I455" s="8" t="s">
        <v>3340</v>
      </c>
      <c r="J455" s="8" t="s">
        <v>3336</v>
      </c>
      <c r="K455" s="8" t="s">
        <v>3183</v>
      </c>
      <c r="L455" s="10" t="s">
        <v>3320</v>
      </c>
      <c r="M455" s="10" t="s">
        <v>3321</v>
      </c>
      <c r="N455" s="10" t="s">
        <v>3341</v>
      </c>
      <c r="O455" s="8" t="s">
        <v>322</v>
      </c>
      <c r="P455" s="8"/>
      <c r="Q455" s="8"/>
      <c r="R455" s="8">
        <v>50509</v>
      </c>
      <c r="S455" s="8" t="s">
        <v>332</v>
      </c>
      <c r="T455" s="8"/>
      <c r="U455" s="8"/>
      <c r="V455" s="8"/>
      <c r="W455" s="8"/>
      <c r="X455" s="8"/>
      <c r="Y455" s="8"/>
      <c r="Z455" s="10" t="s">
        <v>3186</v>
      </c>
      <c r="AA455" s="8" t="s">
        <v>332</v>
      </c>
      <c r="AB455" s="8">
        <v>1</v>
      </c>
    </row>
    <row r="456" spans="1:28" ht="21.6" customHeight="1">
      <c r="A456" s="8">
        <v>149</v>
      </c>
      <c r="B456" s="8">
        <v>2025053547</v>
      </c>
      <c r="C456" s="8">
        <v>1</v>
      </c>
      <c r="D456" s="8" t="s">
        <v>3177</v>
      </c>
      <c r="E456" s="8" t="s">
        <v>123</v>
      </c>
      <c r="F456" s="8" t="s">
        <v>4043</v>
      </c>
      <c r="G456" s="8" t="s">
        <v>3233</v>
      </c>
      <c r="H456" s="8" t="s">
        <v>4044</v>
      </c>
      <c r="I456" s="8" t="s">
        <v>4045</v>
      </c>
      <c r="J456" s="8" t="s">
        <v>4046</v>
      </c>
      <c r="K456" s="8" t="s">
        <v>3579</v>
      </c>
      <c r="L456" s="10" t="s">
        <v>3598</v>
      </c>
      <c r="M456" s="10" t="s">
        <v>4047</v>
      </c>
      <c r="N456" s="10" t="s">
        <v>4048</v>
      </c>
      <c r="O456" s="8" t="s">
        <v>322</v>
      </c>
      <c r="P456" s="8"/>
      <c r="Q456" s="8"/>
      <c r="R456" s="8">
        <v>0</v>
      </c>
      <c r="S456" s="8"/>
      <c r="T456" s="8"/>
      <c r="U456" s="8"/>
      <c r="V456" s="8"/>
      <c r="W456" s="8"/>
      <c r="X456" s="8"/>
      <c r="Y456" s="8" t="s">
        <v>332</v>
      </c>
      <c r="Z456" s="10" t="s">
        <v>4049</v>
      </c>
      <c r="AA456" s="8" t="s">
        <v>332</v>
      </c>
      <c r="AB456" s="8">
        <v>1</v>
      </c>
    </row>
    <row r="457" spans="1:28" ht="21.6" customHeight="1">
      <c r="A457" s="8">
        <v>150</v>
      </c>
      <c r="B457" s="8">
        <v>2025050465</v>
      </c>
      <c r="C457" s="8">
        <v>1</v>
      </c>
      <c r="D457" s="8" t="s">
        <v>3177</v>
      </c>
      <c r="E457" s="8" t="s">
        <v>118</v>
      </c>
      <c r="F457" s="8" t="s">
        <v>4019</v>
      </c>
      <c r="G457" s="8" t="s">
        <v>3368</v>
      </c>
      <c r="H457" s="8" t="s">
        <v>3250</v>
      </c>
      <c r="I457" s="8" t="s">
        <v>3351</v>
      </c>
      <c r="J457" s="8" t="s">
        <v>3195</v>
      </c>
      <c r="K457" s="8" t="s">
        <v>3183</v>
      </c>
      <c r="L457" s="10" t="s">
        <v>3352</v>
      </c>
      <c r="M457" s="10" t="s">
        <v>3353</v>
      </c>
      <c r="N457" s="10" t="s">
        <v>3667</v>
      </c>
      <c r="O457" s="8" t="s">
        <v>322</v>
      </c>
      <c r="P457" s="8"/>
      <c r="Q457" s="8">
        <v>10968</v>
      </c>
      <c r="R457" s="8">
        <v>61890</v>
      </c>
      <c r="S457" s="8" t="s">
        <v>332</v>
      </c>
      <c r="T457" s="8"/>
      <c r="U457" s="8"/>
      <c r="V457" s="8"/>
      <c r="W457" s="8"/>
      <c r="X457" s="8"/>
      <c r="Y457" s="8"/>
      <c r="Z457" s="10" t="s">
        <v>3821</v>
      </c>
      <c r="AA457" s="8" t="s">
        <v>332</v>
      </c>
      <c r="AB457" s="8">
        <v>1</v>
      </c>
    </row>
    <row r="458" spans="1:28" ht="21.6" customHeight="1">
      <c r="A458" s="8">
        <v>153</v>
      </c>
      <c r="B458" s="8">
        <v>2025050888</v>
      </c>
      <c r="C458" s="8">
        <v>1</v>
      </c>
      <c r="D458" s="8" t="s">
        <v>3177</v>
      </c>
      <c r="E458" s="8" t="s">
        <v>118</v>
      </c>
      <c r="F458" s="8" t="s">
        <v>4050</v>
      </c>
      <c r="G458" s="8" t="s">
        <v>3363</v>
      </c>
      <c r="H458" s="8" t="s">
        <v>3244</v>
      </c>
      <c r="I458" s="8" t="s">
        <v>3351</v>
      </c>
      <c r="J458" s="8" t="s">
        <v>3195</v>
      </c>
      <c r="K458" s="8" t="s">
        <v>3183</v>
      </c>
      <c r="L458" s="10" t="s">
        <v>3352</v>
      </c>
      <c r="M458" s="10" t="s">
        <v>3353</v>
      </c>
      <c r="N458" s="10" t="s">
        <v>3667</v>
      </c>
      <c r="O458" s="8" t="s">
        <v>322</v>
      </c>
      <c r="P458" s="8"/>
      <c r="Q458" s="8">
        <v>10968</v>
      </c>
      <c r="R458" s="8">
        <v>61890</v>
      </c>
      <c r="S458" s="8"/>
      <c r="T458" s="8"/>
      <c r="U458" s="8"/>
      <c r="V458" s="8"/>
      <c r="W458" s="8"/>
      <c r="X458" s="8"/>
      <c r="Y458" s="8" t="s">
        <v>332</v>
      </c>
      <c r="Z458" s="10" t="s">
        <v>4051</v>
      </c>
      <c r="AA458" s="8" t="s">
        <v>332</v>
      </c>
      <c r="AB458" s="8">
        <v>1</v>
      </c>
    </row>
    <row r="459" spans="1:28" ht="21.6" customHeight="1">
      <c r="A459" s="8">
        <v>154</v>
      </c>
      <c r="B459" s="8">
        <v>2025051678</v>
      </c>
      <c r="C459" s="8">
        <v>1</v>
      </c>
      <c r="D459" s="8" t="s">
        <v>3177</v>
      </c>
      <c r="E459" s="8" t="s">
        <v>118</v>
      </c>
      <c r="F459" s="8" t="s">
        <v>4004</v>
      </c>
      <c r="G459" s="8" t="s">
        <v>4052</v>
      </c>
      <c r="H459" s="8" t="s">
        <v>4053</v>
      </c>
      <c r="I459" s="8" t="s">
        <v>3351</v>
      </c>
      <c r="J459" s="8" t="s">
        <v>3195</v>
      </c>
      <c r="K459" s="8" t="s">
        <v>3183</v>
      </c>
      <c r="L459" s="10" t="s">
        <v>3352</v>
      </c>
      <c r="M459" s="10" t="s">
        <v>3353</v>
      </c>
      <c r="N459" s="10" t="s">
        <v>3667</v>
      </c>
      <c r="O459" s="8" t="s">
        <v>322</v>
      </c>
      <c r="P459" s="8"/>
      <c r="Q459" s="8">
        <v>8968</v>
      </c>
      <c r="R459" s="8">
        <v>63890</v>
      </c>
      <c r="S459" s="8" t="s">
        <v>332</v>
      </c>
      <c r="T459" s="8"/>
      <c r="U459" s="8"/>
      <c r="V459" s="8"/>
      <c r="W459" s="8"/>
      <c r="X459" s="8"/>
      <c r="Y459" s="8"/>
      <c r="Z459" s="10" t="s">
        <v>3821</v>
      </c>
      <c r="AA459" s="8" t="s">
        <v>332</v>
      </c>
      <c r="AB459" s="8">
        <v>1</v>
      </c>
    </row>
    <row r="460" spans="1:28" ht="21.6" customHeight="1">
      <c r="A460" s="8">
        <v>158</v>
      </c>
      <c r="B460" s="8">
        <v>2025053038</v>
      </c>
      <c r="C460" s="8">
        <v>1</v>
      </c>
      <c r="D460" s="8" t="s">
        <v>3177</v>
      </c>
      <c r="E460" s="8" t="s">
        <v>118</v>
      </c>
      <c r="F460" s="8" t="s">
        <v>4017</v>
      </c>
      <c r="G460" s="8" t="s">
        <v>3280</v>
      </c>
      <c r="H460" s="8" t="s">
        <v>4054</v>
      </c>
      <c r="I460" s="8" t="s">
        <v>3358</v>
      </c>
      <c r="J460" s="8" t="s">
        <v>3195</v>
      </c>
      <c r="K460" s="8" t="s">
        <v>3183</v>
      </c>
      <c r="L460" s="10" t="s">
        <v>3359</v>
      </c>
      <c r="M460" s="10" t="s">
        <v>3360</v>
      </c>
      <c r="N460" s="10" t="s">
        <v>3361</v>
      </c>
      <c r="O460" s="8" t="s">
        <v>322</v>
      </c>
      <c r="P460" s="8"/>
      <c r="Q460" s="8">
        <v>19072</v>
      </c>
      <c r="R460" s="8">
        <v>81026</v>
      </c>
      <c r="S460" s="8"/>
      <c r="T460" s="8"/>
      <c r="U460" s="8"/>
      <c r="V460" s="8"/>
      <c r="W460" s="8"/>
      <c r="X460" s="8"/>
      <c r="Y460" s="8" t="s">
        <v>332</v>
      </c>
      <c r="Z460" s="10" t="s">
        <v>4055</v>
      </c>
      <c r="AA460" s="8" t="s">
        <v>332</v>
      </c>
      <c r="AB460" s="8">
        <v>1</v>
      </c>
    </row>
    <row r="461" spans="1:28" ht="21.6" customHeight="1">
      <c r="A461" s="8">
        <v>161</v>
      </c>
      <c r="B461" s="8">
        <v>2025051703</v>
      </c>
      <c r="C461" s="8">
        <v>1</v>
      </c>
      <c r="D461" s="8" t="s">
        <v>3177</v>
      </c>
      <c r="E461" s="8" t="s">
        <v>118</v>
      </c>
      <c r="F461" s="8" t="s">
        <v>4014</v>
      </c>
      <c r="G461" s="8" t="s">
        <v>3280</v>
      </c>
      <c r="H461" s="8" t="s">
        <v>3363</v>
      </c>
      <c r="I461" s="8" t="s">
        <v>3370</v>
      </c>
      <c r="J461" s="8" t="s">
        <v>3195</v>
      </c>
      <c r="K461" s="8" t="s">
        <v>3183</v>
      </c>
      <c r="L461" s="10" t="s">
        <v>3371</v>
      </c>
      <c r="M461" s="10" t="s">
        <v>3372</v>
      </c>
      <c r="N461" s="10" t="s">
        <v>3373</v>
      </c>
      <c r="O461" s="8" t="s">
        <v>322</v>
      </c>
      <c r="P461" s="8"/>
      <c r="Q461" s="8">
        <v>14198</v>
      </c>
      <c r="R461" s="8">
        <v>128153</v>
      </c>
      <c r="S461" s="8" t="s">
        <v>332</v>
      </c>
      <c r="T461" s="8"/>
      <c r="U461" s="8"/>
      <c r="V461" s="8"/>
      <c r="W461" s="8"/>
      <c r="X461" s="8"/>
      <c r="Y461" s="8"/>
      <c r="Z461" s="10" t="s">
        <v>3821</v>
      </c>
      <c r="AA461" s="8" t="s">
        <v>332</v>
      </c>
      <c r="AB461" s="8">
        <v>1</v>
      </c>
    </row>
    <row r="462" spans="1:28" ht="21.6" customHeight="1">
      <c r="A462" s="8">
        <v>175</v>
      </c>
      <c r="B462" s="8">
        <v>2025051158</v>
      </c>
      <c r="C462" s="8">
        <v>1</v>
      </c>
      <c r="D462" s="8" t="s">
        <v>3177</v>
      </c>
      <c r="E462" s="8" t="s">
        <v>118</v>
      </c>
      <c r="F462" s="8" t="s">
        <v>4056</v>
      </c>
      <c r="G462" s="8" t="s">
        <v>3363</v>
      </c>
      <c r="H462" s="8" t="s">
        <v>3233</v>
      </c>
      <c r="I462" s="8" t="s">
        <v>3382</v>
      </c>
      <c r="J462" s="8" t="s">
        <v>3224</v>
      </c>
      <c r="K462" s="8" t="s">
        <v>3183</v>
      </c>
      <c r="L462" s="10" t="s">
        <v>3383</v>
      </c>
      <c r="M462" s="10" t="s">
        <v>3384</v>
      </c>
      <c r="N462" s="10" t="s">
        <v>3385</v>
      </c>
      <c r="O462" s="8" t="s">
        <v>3190</v>
      </c>
      <c r="P462" s="8">
        <v>5994</v>
      </c>
      <c r="Q462" s="8">
        <v>13423</v>
      </c>
      <c r="R462" s="8">
        <v>17821</v>
      </c>
      <c r="S462" s="8"/>
      <c r="T462" s="8"/>
      <c r="U462" s="8"/>
      <c r="V462" s="8"/>
      <c r="W462" s="8"/>
      <c r="X462" s="8"/>
      <c r="Y462" s="8"/>
      <c r="Z462" s="10" t="s">
        <v>3821</v>
      </c>
      <c r="AA462" s="8" t="s">
        <v>332</v>
      </c>
      <c r="AB462" s="8">
        <v>1</v>
      </c>
    </row>
    <row r="463" spans="1:28" ht="21.6" customHeight="1">
      <c r="A463" s="8">
        <v>176</v>
      </c>
      <c r="B463" s="8">
        <v>2025051157</v>
      </c>
      <c r="C463" s="8">
        <v>1</v>
      </c>
      <c r="D463" s="8" t="s">
        <v>3177</v>
      </c>
      <c r="E463" s="8" t="s">
        <v>118</v>
      </c>
      <c r="F463" s="8" t="s">
        <v>4056</v>
      </c>
      <c r="G463" s="8" t="s">
        <v>3280</v>
      </c>
      <c r="H463" s="8" t="s">
        <v>3363</v>
      </c>
      <c r="I463" s="8" t="s">
        <v>3683</v>
      </c>
      <c r="J463" s="8" t="s">
        <v>3224</v>
      </c>
      <c r="K463" s="8" t="s">
        <v>3183</v>
      </c>
      <c r="L463" s="10" t="s">
        <v>3383</v>
      </c>
      <c r="M463" s="10" t="s">
        <v>3684</v>
      </c>
      <c r="N463" s="10" t="s">
        <v>3685</v>
      </c>
      <c r="O463" s="8" t="s">
        <v>3190</v>
      </c>
      <c r="P463" s="8">
        <v>414</v>
      </c>
      <c r="Q463" s="8">
        <v>1602</v>
      </c>
      <c r="R463" s="8">
        <v>3726</v>
      </c>
      <c r="S463" s="8"/>
      <c r="T463" s="8"/>
      <c r="U463" s="8"/>
      <c r="V463" s="8"/>
      <c r="W463" s="8"/>
      <c r="X463" s="8"/>
      <c r="Y463" s="8"/>
      <c r="Z463" s="10" t="s">
        <v>3821</v>
      </c>
      <c r="AA463" s="8" t="s">
        <v>332</v>
      </c>
      <c r="AB463" s="8">
        <v>1</v>
      </c>
    </row>
    <row r="464" spans="1:28" ht="21.6" customHeight="1">
      <c r="A464" s="8">
        <v>177</v>
      </c>
      <c r="B464" s="8">
        <v>2025051379</v>
      </c>
      <c r="C464" s="8">
        <v>1</v>
      </c>
      <c r="D464" s="8" t="s">
        <v>3177</v>
      </c>
      <c r="E464" s="8" t="s">
        <v>118</v>
      </c>
      <c r="F464" s="8" t="s">
        <v>4035</v>
      </c>
      <c r="G464" s="8" t="s">
        <v>3233</v>
      </c>
      <c r="H464" s="8" t="s">
        <v>3381</v>
      </c>
      <c r="I464" s="8" t="s">
        <v>3689</v>
      </c>
      <c r="J464" s="8" t="s">
        <v>3224</v>
      </c>
      <c r="K464" s="8" t="s">
        <v>3183</v>
      </c>
      <c r="L464" s="10" t="s">
        <v>3344</v>
      </c>
      <c r="M464" s="10" t="s">
        <v>3345</v>
      </c>
      <c r="N464" s="10" t="s">
        <v>3497</v>
      </c>
      <c r="O464" s="8" t="s">
        <v>322</v>
      </c>
      <c r="P464" s="8"/>
      <c r="Q464" s="8">
        <v>400</v>
      </c>
      <c r="R464" s="8">
        <v>6000</v>
      </c>
      <c r="S464" s="8" t="s">
        <v>332</v>
      </c>
      <c r="T464" s="8"/>
      <c r="U464" s="8"/>
      <c r="V464" s="8"/>
      <c r="W464" s="8"/>
      <c r="X464" s="8"/>
      <c r="Y464" s="8"/>
      <c r="Z464" s="10" t="s">
        <v>3821</v>
      </c>
      <c r="AA464" s="8" t="s">
        <v>332</v>
      </c>
      <c r="AB464" s="8">
        <v>1</v>
      </c>
    </row>
    <row r="465" spans="1:28" ht="21.6" customHeight="1">
      <c r="A465" s="8">
        <v>179</v>
      </c>
      <c r="B465" s="8">
        <v>2025053734</v>
      </c>
      <c r="C465" s="8">
        <v>1</v>
      </c>
      <c r="D465" s="8" t="s">
        <v>3177</v>
      </c>
      <c r="E465" s="8" t="s">
        <v>118</v>
      </c>
      <c r="F465" s="8" t="s">
        <v>4020</v>
      </c>
      <c r="G465" s="8" t="s">
        <v>3762</v>
      </c>
      <c r="H465" s="8" t="s">
        <v>4057</v>
      </c>
      <c r="I465" s="8" t="s">
        <v>3689</v>
      </c>
      <c r="J465" s="8" t="s">
        <v>3224</v>
      </c>
      <c r="K465" s="8" t="s">
        <v>3183</v>
      </c>
      <c r="L465" s="10" t="s">
        <v>3344</v>
      </c>
      <c r="M465" s="10" t="s">
        <v>3345</v>
      </c>
      <c r="N465" s="10" t="s">
        <v>3497</v>
      </c>
      <c r="O465" s="8" t="s">
        <v>322</v>
      </c>
      <c r="P465" s="8"/>
      <c r="Q465" s="8">
        <v>400</v>
      </c>
      <c r="R465" s="8">
        <v>6000</v>
      </c>
      <c r="S465" s="8"/>
      <c r="T465" s="8"/>
      <c r="U465" s="8"/>
      <c r="V465" s="8"/>
      <c r="W465" s="8"/>
      <c r="X465" s="8"/>
      <c r="Y465" s="8" t="s">
        <v>332</v>
      </c>
      <c r="Z465" s="10" t="s">
        <v>4058</v>
      </c>
      <c r="AA465" s="8" t="s">
        <v>332</v>
      </c>
      <c r="AB465" s="8">
        <v>1</v>
      </c>
    </row>
    <row r="466" spans="1:28" ht="21.6" customHeight="1">
      <c r="A466" s="8">
        <v>180</v>
      </c>
      <c r="B466" s="8">
        <v>2025051159</v>
      </c>
      <c r="C466" s="8">
        <v>1</v>
      </c>
      <c r="D466" s="8" t="s">
        <v>3177</v>
      </c>
      <c r="E466" s="8" t="s">
        <v>118</v>
      </c>
      <c r="F466" s="8" t="s">
        <v>4056</v>
      </c>
      <c r="G466" s="8" t="s">
        <v>3233</v>
      </c>
      <c r="H466" s="8" t="s">
        <v>3381</v>
      </c>
      <c r="I466" s="8" t="s">
        <v>3940</v>
      </c>
      <c r="J466" s="8" t="s">
        <v>3224</v>
      </c>
      <c r="K466" s="8" t="s">
        <v>3183</v>
      </c>
      <c r="L466" s="10" t="s">
        <v>3383</v>
      </c>
      <c r="M466" s="10" t="s">
        <v>3941</v>
      </c>
      <c r="N466" s="10" t="s">
        <v>3942</v>
      </c>
      <c r="O466" s="8" t="s">
        <v>3190</v>
      </c>
      <c r="P466" s="8">
        <v>7</v>
      </c>
      <c r="Q466" s="8">
        <v>253</v>
      </c>
      <c r="R466" s="8">
        <v>438</v>
      </c>
      <c r="S466" s="8"/>
      <c r="T466" s="8"/>
      <c r="U466" s="8"/>
      <c r="V466" s="8"/>
      <c r="W466" s="8"/>
      <c r="X466" s="8"/>
      <c r="Y466" s="8"/>
      <c r="Z466" s="10" t="s">
        <v>3821</v>
      </c>
      <c r="AA466" s="8" t="s">
        <v>332</v>
      </c>
      <c r="AB466" s="8">
        <v>1</v>
      </c>
    </row>
    <row r="467" spans="1:28" ht="21.6" customHeight="1">
      <c r="A467" s="8">
        <v>181</v>
      </c>
      <c r="B467" s="8">
        <v>2025053421</v>
      </c>
      <c r="C467" s="8">
        <v>1</v>
      </c>
      <c r="D467" s="8" t="s">
        <v>3177</v>
      </c>
      <c r="E467" s="8" t="s">
        <v>118</v>
      </c>
      <c r="F467" s="8" t="s">
        <v>4040</v>
      </c>
      <c r="G467" s="8" t="s">
        <v>3280</v>
      </c>
      <c r="H467" s="8" t="s">
        <v>3765</v>
      </c>
      <c r="I467" s="8" t="s">
        <v>3940</v>
      </c>
      <c r="J467" s="8" t="s">
        <v>3224</v>
      </c>
      <c r="K467" s="8" t="s">
        <v>3183</v>
      </c>
      <c r="L467" s="10" t="s">
        <v>3383</v>
      </c>
      <c r="M467" s="10" t="s">
        <v>3941</v>
      </c>
      <c r="N467" s="10" t="s">
        <v>3942</v>
      </c>
      <c r="O467" s="8" t="s">
        <v>322</v>
      </c>
      <c r="P467" s="8">
        <v>7</v>
      </c>
      <c r="Q467" s="8">
        <v>253</v>
      </c>
      <c r="R467" s="8">
        <v>438</v>
      </c>
      <c r="S467" s="8"/>
      <c r="T467" s="8"/>
      <c r="U467" s="8"/>
      <c r="V467" s="8"/>
      <c r="W467" s="8"/>
      <c r="X467" s="8"/>
      <c r="Y467" s="8" t="s">
        <v>332</v>
      </c>
      <c r="Z467" s="10" t="s">
        <v>3491</v>
      </c>
      <c r="AA467" s="8" t="s">
        <v>332</v>
      </c>
      <c r="AB467" s="8">
        <v>1</v>
      </c>
    </row>
    <row r="468" spans="1:28" ht="21.6" customHeight="1">
      <c r="A468" s="8">
        <v>182</v>
      </c>
      <c r="B468" s="8">
        <v>2025050060</v>
      </c>
      <c r="C468" s="8">
        <v>1</v>
      </c>
      <c r="D468" s="8" t="s">
        <v>3177</v>
      </c>
      <c r="E468" s="8" t="s">
        <v>118</v>
      </c>
      <c r="F468" s="8" t="s">
        <v>4059</v>
      </c>
      <c r="G468" s="8" t="s">
        <v>3280</v>
      </c>
      <c r="H468" s="8" t="s">
        <v>3281</v>
      </c>
      <c r="I468" s="8" t="s">
        <v>3397</v>
      </c>
      <c r="J468" s="8" t="s">
        <v>3253</v>
      </c>
      <c r="K468" s="8" t="s">
        <v>3183</v>
      </c>
      <c r="L468" s="10" t="s">
        <v>3398</v>
      </c>
      <c r="M468" s="10" t="s">
        <v>3399</v>
      </c>
      <c r="N468" s="10" t="s">
        <v>3400</v>
      </c>
      <c r="O468" s="8" t="s">
        <v>322</v>
      </c>
      <c r="P468" s="8"/>
      <c r="Q468" s="8"/>
      <c r="R468" s="8">
        <v>383052</v>
      </c>
      <c r="S468" s="8"/>
      <c r="T468" s="8"/>
      <c r="U468" s="8"/>
      <c r="V468" s="8"/>
      <c r="W468" s="8"/>
      <c r="X468" s="8"/>
      <c r="Y468" s="8" t="s">
        <v>332</v>
      </c>
      <c r="Z468" s="10" t="s">
        <v>3696</v>
      </c>
      <c r="AA468" s="8" t="s">
        <v>332</v>
      </c>
      <c r="AB468" s="8">
        <v>1</v>
      </c>
    </row>
    <row r="469" spans="1:28" ht="21.6" customHeight="1">
      <c r="A469" s="8">
        <v>184</v>
      </c>
      <c r="B469" s="8">
        <v>2025052500</v>
      </c>
      <c r="C469" s="8">
        <v>1</v>
      </c>
      <c r="D469" s="8" t="s">
        <v>3177</v>
      </c>
      <c r="E469" s="8" t="s">
        <v>118</v>
      </c>
      <c r="F469" s="8" t="s">
        <v>4002</v>
      </c>
      <c r="G469" s="8" t="s">
        <v>3387</v>
      </c>
      <c r="H469" s="8" t="s">
        <v>4060</v>
      </c>
      <c r="I469" s="8" t="s">
        <v>3397</v>
      </c>
      <c r="J469" s="8" t="s">
        <v>3253</v>
      </c>
      <c r="K469" s="8" t="s">
        <v>3183</v>
      </c>
      <c r="L469" s="10" t="s">
        <v>3398</v>
      </c>
      <c r="M469" s="10" t="s">
        <v>3399</v>
      </c>
      <c r="N469" s="10" t="s">
        <v>3400</v>
      </c>
      <c r="O469" s="8" t="s">
        <v>322</v>
      </c>
      <c r="P469" s="8"/>
      <c r="Q469" s="8"/>
      <c r="R469" s="8">
        <v>383052</v>
      </c>
      <c r="S469" s="8"/>
      <c r="T469" s="8"/>
      <c r="U469" s="8"/>
      <c r="V469" s="8"/>
      <c r="W469" s="8"/>
      <c r="X469" s="8"/>
      <c r="Y469" s="8" t="s">
        <v>332</v>
      </c>
      <c r="Z469" s="10" t="s">
        <v>4061</v>
      </c>
      <c r="AA469" s="8" t="s">
        <v>332</v>
      </c>
      <c r="AB469" s="8">
        <v>1</v>
      </c>
    </row>
    <row r="470" spans="1:28" ht="21.6" customHeight="1">
      <c r="A470" s="8">
        <v>185</v>
      </c>
      <c r="B470" s="8">
        <v>2025050068</v>
      </c>
      <c r="C470" s="8">
        <v>1</v>
      </c>
      <c r="D470" s="8" t="s">
        <v>3177</v>
      </c>
      <c r="E470" s="8" t="s">
        <v>118</v>
      </c>
      <c r="F470" s="8" t="s">
        <v>4059</v>
      </c>
      <c r="G470" s="8" t="s">
        <v>3233</v>
      </c>
      <c r="H470" s="8" t="s">
        <v>3509</v>
      </c>
      <c r="I470" s="8" t="s">
        <v>3404</v>
      </c>
      <c r="J470" s="8" t="s">
        <v>3253</v>
      </c>
      <c r="K470" s="8" t="s">
        <v>3183</v>
      </c>
      <c r="L470" s="10" t="s">
        <v>3398</v>
      </c>
      <c r="M470" s="10" t="s">
        <v>3405</v>
      </c>
      <c r="N470" s="10" t="s">
        <v>3406</v>
      </c>
      <c r="O470" s="8" t="s">
        <v>322</v>
      </c>
      <c r="P470" s="8"/>
      <c r="Q470" s="8"/>
      <c r="R470" s="8">
        <v>163214</v>
      </c>
      <c r="S470" s="8" t="s">
        <v>332</v>
      </c>
      <c r="T470" s="8"/>
      <c r="U470" s="8"/>
      <c r="V470" s="8"/>
      <c r="W470" s="8"/>
      <c r="X470" s="8"/>
      <c r="Y470" s="8"/>
      <c r="Z470" s="10" t="s">
        <v>3696</v>
      </c>
      <c r="AA470" s="8" t="s">
        <v>332</v>
      </c>
      <c r="AB470" s="8">
        <v>1</v>
      </c>
    </row>
    <row r="471" spans="1:28" ht="21.6" customHeight="1">
      <c r="A471" s="8">
        <v>187</v>
      </c>
      <c r="B471" s="8">
        <v>2025051816</v>
      </c>
      <c r="C471" s="8">
        <v>1</v>
      </c>
      <c r="D471" s="8" t="s">
        <v>3177</v>
      </c>
      <c r="E471" s="8" t="s">
        <v>118</v>
      </c>
      <c r="F471" s="8" t="s">
        <v>4014</v>
      </c>
      <c r="G471" s="8" t="s">
        <v>3368</v>
      </c>
      <c r="H471" s="8" t="s">
        <v>3625</v>
      </c>
      <c r="I471" s="8" t="s">
        <v>3628</v>
      </c>
      <c r="J471" s="8" t="s">
        <v>3253</v>
      </c>
      <c r="K471" s="8" t="s">
        <v>3183</v>
      </c>
      <c r="L471" s="10" t="s">
        <v>3629</v>
      </c>
      <c r="M471" s="10" t="s">
        <v>3630</v>
      </c>
      <c r="N471" s="10" t="s">
        <v>123</v>
      </c>
      <c r="O471" s="8" t="s">
        <v>322</v>
      </c>
      <c r="P471" s="8"/>
      <c r="Q471" s="8"/>
      <c r="R471" s="8">
        <v>65183</v>
      </c>
      <c r="S471" s="8"/>
      <c r="T471" s="8"/>
      <c r="U471" s="8"/>
      <c r="V471" s="8"/>
      <c r="W471" s="8"/>
      <c r="X471" s="8"/>
      <c r="Y471" s="8" t="s">
        <v>332</v>
      </c>
      <c r="Z471" s="10" t="s">
        <v>4062</v>
      </c>
      <c r="AA471" s="8" t="s">
        <v>332</v>
      </c>
      <c r="AB471" s="8">
        <v>1</v>
      </c>
    </row>
    <row r="472" spans="1:28" ht="21.6" customHeight="1">
      <c r="A472" s="8">
        <v>188</v>
      </c>
      <c r="B472" s="8">
        <v>2025053110</v>
      </c>
      <c r="C472" s="8">
        <v>1</v>
      </c>
      <c r="D472" s="8" t="s">
        <v>3177</v>
      </c>
      <c r="E472" s="8" t="s">
        <v>118</v>
      </c>
      <c r="F472" s="8" t="s">
        <v>4017</v>
      </c>
      <c r="G472" s="8" t="s">
        <v>3368</v>
      </c>
      <c r="H472" s="8" t="s">
        <v>3250</v>
      </c>
      <c r="I472" s="8" t="s">
        <v>3408</v>
      </c>
      <c r="J472" s="8" t="s">
        <v>3253</v>
      </c>
      <c r="K472" s="8" t="s">
        <v>3183</v>
      </c>
      <c r="L472" s="10" t="s">
        <v>3409</v>
      </c>
      <c r="M472" s="10" t="s">
        <v>3410</v>
      </c>
      <c r="N472" s="10"/>
      <c r="O472" s="8" t="s">
        <v>322</v>
      </c>
      <c r="P472" s="8"/>
      <c r="Q472" s="8"/>
      <c r="R472" s="8">
        <v>314547</v>
      </c>
      <c r="S472" s="8" t="s">
        <v>332</v>
      </c>
      <c r="T472" s="8"/>
      <c r="U472" s="8"/>
      <c r="V472" s="8"/>
      <c r="W472" s="8"/>
      <c r="X472" s="8"/>
      <c r="Y472" s="8"/>
      <c r="Z472" s="10" t="s">
        <v>3696</v>
      </c>
      <c r="AA472" s="8" t="s">
        <v>332</v>
      </c>
      <c r="AB472" s="8">
        <v>1</v>
      </c>
    </row>
    <row r="473" spans="1:28" ht="21.6" customHeight="1">
      <c r="A473" s="8">
        <v>190</v>
      </c>
      <c r="B473" s="8">
        <v>2025050732</v>
      </c>
      <c r="C473" s="8">
        <v>1</v>
      </c>
      <c r="D473" s="8" t="s">
        <v>3177</v>
      </c>
      <c r="E473" s="8" t="s">
        <v>118</v>
      </c>
      <c r="F473" s="8" t="s">
        <v>4024</v>
      </c>
      <c r="G473" s="8" t="s">
        <v>4063</v>
      </c>
      <c r="H473" s="8" t="s">
        <v>4064</v>
      </c>
      <c r="I473" s="8" t="s">
        <v>3699</v>
      </c>
      <c r="J473" s="8" t="s">
        <v>3253</v>
      </c>
      <c r="K473" s="8" t="s">
        <v>3183</v>
      </c>
      <c r="L473" s="10" t="s">
        <v>3550</v>
      </c>
      <c r="M473" s="10" t="s">
        <v>3700</v>
      </c>
      <c r="N473" s="10" t="s">
        <v>3701</v>
      </c>
      <c r="O473" s="8" t="s">
        <v>363</v>
      </c>
      <c r="P473" s="8"/>
      <c r="Q473" s="8"/>
      <c r="R473" s="8">
        <v>515179</v>
      </c>
      <c r="S473" s="8"/>
      <c r="T473" s="8"/>
      <c r="U473" s="8"/>
      <c r="V473" s="8"/>
      <c r="W473" s="8"/>
      <c r="X473" s="8"/>
      <c r="Y473" s="8"/>
      <c r="Z473" s="10" t="s">
        <v>4065</v>
      </c>
      <c r="AA473" s="8" t="s">
        <v>332</v>
      </c>
      <c r="AB473" s="8">
        <v>1</v>
      </c>
    </row>
    <row r="474" spans="1:28" ht="21.6" customHeight="1">
      <c r="A474" s="8">
        <v>193</v>
      </c>
      <c r="B474" s="8">
        <v>2025051082</v>
      </c>
      <c r="C474" s="8">
        <v>1</v>
      </c>
      <c r="D474" s="8" t="s">
        <v>3177</v>
      </c>
      <c r="E474" s="8" t="s">
        <v>118</v>
      </c>
      <c r="F474" s="8" t="s">
        <v>4050</v>
      </c>
      <c r="G474" s="8" t="s">
        <v>4066</v>
      </c>
      <c r="H474" s="8" t="s">
        <v>4067</v>
      </c>
      <c r="I474" s="8" t="s">
        <v>3699</v>
      </c>
      <c r="J474" s="8" t="s">
        <v>3253</v>
      </c>
      <c r="K474" s="8" t="s">
        <v>3183</v>
      </c>
      <c r="L474" s="10" t="s">
        <v>3550</v>
      </c>
      <c r="M474" s="10" t="s">
        <v>3700</v>
      </c>
      <c r="N474" s="10" t="s">
        <v>3701</v>
      </c>
      <c r="O474" s="8" t="s">
        <v>322</v>
      </c>
      <c r="P474" s="8"/>
      <c r="Q474" s="8"/>
      <c r="R474" s="8">
        <v>515170</v>
      </c>
      <c r="S474" s="8"/>
      <c r="T474" s="8"/>
      <c r="U474" s="8" t="s">
        <v>332</v>
      </c>
      <c r="V474" s="8"/>
      <c r="W474" s="8"/>
      <c r="X474" s="8"/>
      <c r="Y474" s="8" t="s">
        <v>332</v>
      </c>
      <c r="Z474" s="10" t="s">
        <v>4068</v>
      </c>
      <c r="AA474" s="8" t="s">
        <v>332</v>
      </c>
      <c r="AB474" s="8">
        <v>1</v>
      </c>
    </row>
    <row r="475" spans="1:28" ht="21.6" customHeight="1">
      <c r="A475" s="8">
        <v>194</v>
      </c>
      <c r="B475" s="8">
        <v>2025053328</v>
      </c>
      <c r="C475" s="8">
        <v>1</v>
      </c>
      <c r="D475" s="8" t="s">
        <v>3177</v>
      </c>
      <c r="E475" s="8" t="s">
        <v>118</v>
      </c>
      <c r="F475" s="8" t="s">
        <v>4069</v>
      </c>
      <c r="G475" s="8" t="s">
        <v>3204</v>
      </c>
      <c r="H475" s="8" t="s">
        <v>3427</v>
      </c>
      <c r="I475" s="8" t="s">
        <v>3413</v>
      </c>
      <c r="J475" s="8" t="s">
        <v>3253</v>
      </c>
      <c r="K475" s="8" t="s">
        <v>3183</v>
      </c>
      <c r="L475" s="10" t="s">
        <v>3414</v>
      </c>
      <c r="M475" s="10" t="s">
        <v>3415</v>
      </c>
      <c r="N475" s="10"/>
      <c r="O475" s="8" t="s">
        <v>322</v>
      </c>
      <c r="P475" s="8"/>
      <c r="Q475" s="8"/>
      <c r="R475" s="8">
        <v>88200</v>
      </c>
      <c r="S475" s="8" t="s">
        <v>332</v>
      </c>
      <c r="T475" s="8"/>
      <c r="U475" s="8"/>
      <c r="V475" s="8"/>
      <c r="W475" s="8"/>
      <c r="X475" s="8"/>
      <c r="Y475" s="8"/>
      <c r="Z475" s="10" t="s">
        <v>3821</v>
      </c>
      <c r="AA475" s="8" t="s">
        <v>332</v>
      </c>
      <c r="AB475" s="8">
        <v>1</v>
      </c>
    </row>
    <row r="476" spans="1:28" ht="21.6" customHeight="1">
      <c r="A476" s="8">
        <v>198</v>
      </c>
      <c r="B476" s="8">
        <v>2025052630</v>
      </c>
      <c r="C476" s="8">
        <v>1</v>
      </c>
      <c r="D476" s="8" t="s">
        <v>3177</v>
      </c>
      <c r="E476" s="8" t="s">
        <v>118</v>
      </c>
      <c r="F476" s="8" t="s">
        <v>4006</v>
      </c>
      <c r="G476" s="8" t="s">
        <v>3654</v>
      </c>
      <c r="H476" s="8" t="s">
        <v>4070</v>
      </c>
      <c r="I476" s="8" t="s">
        <v>3706</v>
      </c>
      <c r="J476" s="8" t="s">
        <v>3253</v>
      </c>
      <c r="K476" s="8" t="s">
        <v>3183</v>
      </c>
      <c r="L476" s="10" t="s">
        <v>3707</v>
      </c>
      <c r="M476" s="10" t="s">
        <v>3708</v>
      </c>
      <c r="N476" s="10" t="s">
        <v>3424</v>
      </c>
      <c r="O476" s="8" t="s">
        <v>322</v>
      </c>
      <c r="P476" s="8"/>
      <c r="Q476" s="8"/>
      <c r="R476" s="8">
        <v>189991</v>
      </c>
      <c r="S476" s="8"/>
      <c r="T476" s="8"/>
      <c r="U476" s="8"/>
      <c r="V476" s="8"/>
      <c r="W476" s="8"/>
      <c r="X476" s="8"/>
      <c r="Y476" s="8" t="s">
        <v>332</v>
      </c>
      <c r="Z476" s="10" t="s">
        <v>3446</v>
      </c>
      <c r="AA476" s="8" t="s">
        <v>332</v>
      </c>
      <c r="AB476" s="8">
        <v>1</v>
      </c>
    </row>
    <row r="477" spans="1:28" ht="21.6" customHeight="1">
      <c r="A477" s="8">
        <v>199</v>
      </c>
      <c r="B477" s="8">
        <v>2025053289</v>
      </c>
      <c r="C477" s="8">
        <v>1</v>
      </c>
      <c r="D477" s="8" t="s">
        <v>3177</v>
      </c>
      <c r="E477" s="8" t="s">
        <v>118</v>
      </c>
      <c r="F477" s="8" t="s">
        <v>4069</v>
      </c>
      <c r="G477" s="8" t="s">
        <v>3281</v>
      </c>
      <c r="H477" s="8" t="s">
        <v>3188</v>
      </c>
      <c r="I477" s="8" t="s">
        <v>3706</v>
      </c>
      <c r="J477" s="8" t="s">
        <v>3253</v>
      </c>
      <c r="K477" s="8" t="s">
        <v>3183</v>
      </c>
      <c r="L477" s="10" t="s">
        <v>3707</v>
      </c>
      <c r="M477" s="10" t="s">
        <v>3708</v>
      </c>
      <c r="N477" s="10" t="s">
        <v>3424</v>
      </c>
      <c r="O477" s="8" t="s">
        <v>322</v>
      </c>
      <c r="P477" s="8"/>
      <c r="Q477" s="8"/>
      <c r="R477" s="8">
        <v>189991</v>
      </c>
      <c r="S477" s="8"/>
      <c r="T477" s="8"/>
      <c r="U477" s="8"/>
      <c r="V477" s="8"/>
      <c r="W477" s="8"/>
      <c r="X477" s="8"/>
      <c r="Y477" s="8" t="s">
        <v>332</v>
      </c>
      <c r="Z477" s="10" t="s">
        <v>4071</v>
      </c>
      <c r="AA477" s="8" t="s">
        <v>332</v>
      </c>
      <c r="AB477" s="8">
        <v>1</v>
      </c>
    </row>
    <row r="478" spans="1:28" ht="21.6" customHeight="1">
      <c r="A478" s="8">
        <v>200</v>
      </c>
      <c r="B478" s="8">
        <v>2025050475</v>
      </c>
      <c r="C478" s="8">
        <v>1</v>
      </c>
      <c r="D478" s="8" t="s">
        <v>3177</v>
      </c>
      <c r="E478" s="8" t="s">
        <v>118</v>
      </c>
      <c r="F478" s="8" t="s">
        <v>4019</v>
      </c>
      <c r="G478" s="8" t="s">
        <v>3387</v>
      </c>
      <c r="H478" s="8" t="s">
        <v>3432</v>
      </c>
      <c r="I478" s="8" t="s">
        <v>3418</v>
      </c>
      <c r="J478" s="8" t="s">
        <v>3253</v>
      </c>
      <c r="K478" s="8" t="s">
        <v>3183</v>
      </c>
      <c r="L478" s="10" t="s">
        <v>3254</v>
      </c>
      <c r="M478" s="10" t="s">
        <v>3419</v>
      </c>
      <c r="N478" s="10" t="s">
        <v>3420</v>
      </c>
      <c r="O478" s="8" t="s">
        <v>363</v>
      </c>
      <c r="P478" s="8"/>
      <c r="Q478" s="8"/>
      <c r="R478" s="8">
        <v>65133</v>
      </c>
      <c r="S478" s="8"/>
      <c r="T478" s="8"/>
      <c r="U478" s="8"/>
      <c r="V478" s="8"/>
      <c r="W478" s="8"/>
      <c r="X478" s="8"/>
      <c r="Y478" s="8"/>
      <c r="Z478" s="10" t="s">
        <v>4072</v>
      </c>
      <c r="AA478" s="8" t="s">
        <v>332</v>
      </c>
      <c r="AB478" s="8">
        <v>1</v>
      </c>
    </row>
    <row r="479" spans="1:28" ht="21.6" customHeight="1">
      <c r="A479" s="8">
        <v>201</v>
      </c>
      <c r="B479" s="8">
        <v>2025051045</v>
      </c>
      <c r="C479" s="8">
        <v>1</v>
      </c>
      <c r="D479" s="8" t="s">
        <v>3177</v>
      </c>
      <c r="E479" s="8" t="s">
        <v>118</v>
      </c>
      <c r="F479" s="8" t="s">
        <v>4050</v>
      </c>
      <c r="G479" s="8" t="s">
        <v>3427</v>
      </c>
      <c r="H479" s="8" t="s">
        <v>3386</v>
      </c>
      <c r="I479" s="8" t="s">
        <v>3422</v>
      </c>
      <c r="J479" s="8" t="s">
        <v>3253</v>
      </c>
      <c r="K479" s="8" t="s">
        <v>3183</v>
      </c>
      <c r="L479" s="10" t="s">
        <v>3270</v>
      </c>
      <c r="M479" s="10" t="s">
        <v>3423</v>
      </c>
      <c r="N479" s="10" t="s">
        <v>3424</v>
      </c>
      <c r="O479" s="8" t="s">
        <v>322</v>
      </c>
      <c r="P479" s="8"/>
      <c r="Q479" s="8"/>
      <c r="R479" s="8">
        <v>43386</v>
      </c>
      <c r="S479" s="8" t="s">
        <v>332</v>
      </c>
      <c r="T479" s="8"/>
      <c r="U479" s="8"/>
      <c r="V479" s="8"/>
      <c r="W479" s="8"/>
      <c r="X479" s="8"/>
      <c r="Y479" s="8"/>
      <c r="Z479" s="10" t="s">
        <v>3821</v>
      </c>
      <c r="AA479" s="8" t="s">
        <v>332</v>
      </c>
      <c r="AB479" s="8">
        <v>1</v>
      </c>
    </row>
    <row r="480" spans="1:28" ht="21.6" customHeight="1">
      <c r="A480" s="8">
        <v>203</v>
      </c>
      <c r="B480" s="8">
        <v>2025051951</v>
      </c>
      <c r="C480" s="8">
        <v>1</v>
      </c>
      <c r="D480" s="8" t="s">
        <v>3177</v>
      </c>
      <c r="E480" s="8" t="s">
        <v>118</v>
      </c>
      <c r="F480" s="8" t="s">
        <v>4073</v>
      </c>
      <c r="G480" s="8" t="s">
        <v>3368</v>
      </c>
      <c r="H480" s="8" t="s">
        <v>3624</v>
      </c>
      <c r="I480" s="8" t="s">
        <v>3422</v>
      </c>
      <c r="J480" s="8" t="s">
        <v>3253</v>
      </c>
      <c r="K480" s="8" t="s">
        <v>3183</v>
      </c>
      <c r="L480" s="10" t="s">
        <v>3270</v>
      </c>
      <c r="M480" s="10" t="s">
        <v>3423</v>
      </c>
      <c r="N480" s="10" t="s">
        <v>3424</v>
      </c>
      <c r="O480" s="8" t="s">
        <v>322</v>
      </c>
      <c r="P480" s="8"/>
      <c r="Q480" s="8"/>
      <c r="R480" s="8">
        <v>43386</v>
      </c>
      <c r="S480" s="8"/>
      <c r="T480" s="8"/>
      <c r="U480" s="8"/>
      <c r="V480" s="8"/>
      <c r="W480" s="8"/>
      <c r="X480" s="8"/>
      <c r="Y480" s="8" t="s">
        <v>332</v>
      </c>
      <c r="Z480" s="10" t="s">
        <v>4074</v>
      </c>
      <c r="AA480" s="8" t="s">
        <v>332</v>
      </c>
      <c r="AB480" s="8">
        <v>1</v>
      </c>
    </row>
    <row r="481" spans="1:28" ht="21.6" customHeight="1">
      <c r="A481" s="8">
        <v>204</v>
      </c>
      <c r="B481" s="8">
        <v>2025051042</v>
      </c>
      <c r="C481" s="8">
        <v>1</v>
      </c>
      <c r="D481" s="8" t="s">
        <v>3177</v>
      </c>
      <c r="E481" s="8" t="s">
        <v>118</v>
      </c>
      <c r="F481" s="8" t="s">
        <v>4050</v>
      </c>
      <c r="G481" s="8" t="s">
        <v>3204</v>
      </c>
      <c r="H481" s="8" t="s">
        <v>3427</v>
      </c>
      <c r="I481" s="8" t="s">
        <v>3428</v>
      </c>
      <c r="J481" s="8" t="s">
        <v>3253</v>
      </c>
      <c r="K481" s="8" t="s">
        <v>3183</v>
      </c>
      <c r="L481" s="10" t="s">
        <v>3270</v>
      </c>
      <c r="M481" s="10" t="s">
        <v>3429</v>
      </c>
      <c r="N481" s="10" t="s">
        <v>3430</v>
      </c>
      <c r="O481" s="8" t="s">
        <v>322</v>
      </c>
      <c r="P481" s="8"/>
      <c r="Q481" s="8"/>
      <c r="R481" s="8">
        <v>73215</v>
      </c>
      <c r="S481" s="8" t="s">
        <v>332</v>
      </c>
      <c r="T481" s="8"/>
      <c r="U481" s="8"/>
      <c r="V481" s="8"/>
      <c r="W481" s="8"/>
      <c r="X481" s="8"/>
      <c r="Y481" s="8"/>
      <c r="Z481" s="10" t="s">
        <v>3821</v>
      </c>
      <c r="AA481" s="8" t="s">
        <v>332</v>
      </c>
      <c r="AB481" s="8">
        <v>1</v>
      </c>
    </row>
    <row r="482" spans="1:28" ht="21.6" customHeight="1">
      <c r="A482" s="8">
        <v>206</v>
      </c>
      <c r="B482" s="8">
        <v>2025051344</v>
      </c>
      <c r="C482" s="8">
        <v>1</v>
      </c>
      <c r="D482" s="8" t="s">
        <v>3177</v>
      </c>
      <c r="E482" s="8" t="s">
        <v>118</v>
      </c>
      <c r="F482" s="8" t="s">
        <v>4035</v>
      </c>
      <c r="G482" s="8" t="s">
        <v>3280</v>
      </c>
      <c r="H482" s="8" t="s">
        <v>3363</v>
      </c>
      <c r="I482" s="8" t="s">
        <v>3433</v>
      </c>
      <c r="J482" s="8" t="s">
        <v>3277</v>
      </c>
      <c r="K482" s="8" t="s">
        <v>3183</v>
      </c>
      <c r="L482" s="10" t="s">
        <v>3434</v>
      </c>
      <c r="M482" s="10" t="s">
        <v>3435</v>
      </c>
      <c r="N482" s="10" t="s">
        <v>3436</v>
      </c>
      <c r="O482" s="8" t="s">
        <v>322</v>
      </c>
      <c r="P482" s="8"/>
      <c r="Q482" s="8"/>
      <c r="R482" s="8">
        <v>132646</v>
      </c>
      <c r="S482" s="8" t="s">
        <v>332</v>
      </c>
      <c r="T482" s="8"/>
      <c r="U482" s="8"/>
      <c r="V482" s="8"/>
      <c r="W482" s="8"/>
      <c r="X482" s="8"/>
      <c r="Y482" s="8"/>
      <c r="Z482" s="10" t="s">
        <v>3821</v>
      </c>
      <c r="AA482" s="8" t="s">
        <v>332</v>
      </c>
      <c r="AB482" s="8">
        <v>1</v>
      </c>
    </row>
    <row r="483" spans="1:28" ht="21.6" customHeight="1">
      <c r="A483" s="8">
        <v>208</v>
      </c>
      <c r="B483" s="8">
        <v>2025051346</v>
      </c>
      <c r="C483" s="8">
        <v>1</v>
      </c>
      <c r="D483" s="8" t="s">
        <v>3177</v>
      </c>
      <c r="E483" s="8" t="s">
        <v>118</v>
      </c>
      <c r="F483" s="8" t="s">
        <v>4035</v>
      </c>
      <c r="G483" s="8" t="s">
        <v>3363</v>
      </c>
      <c r="H483" s="8" t="s">
        <v>4054</v>
      </c>
      <c r="I483" s="8" t="s">
        <v>3440</v>
      </c>
      <c r="J483" s="8" t="s">
        <v>3277</v>
      </c>
      <c r="K483" s="8" t="s">
        <v>3183</v>
      </c>
      <c r="L483" s="10" t="s">
        <v>3434</v>
      </c>
      <c r="M483" s="10" t="s">
        <v>3441</v>
      </c>
      <c r="N483" s="10" t="s">
        <v>3442</v>
      </c>
      <c r="O483" s="8" t="s">
        <v>322</v>
      </c>
      <c r="P483" s="8"/>
      <c r="Q483" s="8"/>
      <c r="R483" s="8">
        <v>115633</v>
      </c>
      <c r="S483" s="8" t="s">
        <v>332</v>
      </c>
      <c r="T483" s="8"/>
      <c r="U483" s="8"/>
      <c r="V483" s="8"/>
      <c r="W483" s="8"/>
      <c r="X483" s="8"/>
      <c r="Y483" s="8"/>
      <c r="Z483" s="10" t="s">
        <v>3821</v>
      </c>
      <c r="AA483" s="8" t="s">
        <v>332</v>
      </c>
      <c r="AB483" s="8">
        <v>1</v>
      </c>
    </row>
    <row r="484" spans="1:28" ht="21.6" customHeight="1">
      <c r="A484" s="8">
        <v>210</v>
      </c>
      <c r="B484" s="8">
        <v>2025051975</v>
      </c>
      <c r="C484" s="8">
        <v>1</v>
      </c>
      <c r="D484" s="8" t="s">
        <v>3177</v>
      </c>
      <c r="E484" s="8" t="s">
        <v>118</v>
      </c>
      <c r="F484" s="8" t="s">
        <v>4073</v>
      </c>
      <c r="G484" s="8" t="s">
        <v>3204</v>
      </c>
      <c r="H484" s="8" t="s">
        <v>3848</v>
      </c>
      <c r="I484" s="8" t="s">
        <v>3440</v>
      </c>
      <c r="J484" s="8" t="s">
        <v>3277</v>
      </c>
      <c r="K484" s="8" t="s">
        <v>3183</v>
      </c>
      <c r="L484" s="10" t="s">
        <v>3434</v>
      </c>
      <c r="M484" s="10" t="s">
        <v>3441</v>
      </c>
      <c r="N484" s="10" t="s">
        <v>3442</v>
      </c>
      <c r="O484" s="8" t="s">
        <v>363</v>
      </c>
      <c r="P484" s="8"/>
      <c r="Q484" s="8"/>
      <c r="R484" s="8">
        <v>115633</v>
      </c>
      <c r="S484" s="8"/>
      <c r="T484" s="8"/>
      <c r="U484" s="8"/>
      <c r="V484" s="8"/>
      <c r="W484" s="8"/>
      <c r="X484" s="8"/>
      <c r="Y484" s="8"/>
      <c r="Z484" s="10" t="s">
        <v>3702</v>
      </c>
      <c r="AA484" s="8" t="s">
        <v>332</v>
      </c>
      <c r="AB484" s="8">
        <v>1</v>
      </c>
    </row>
    <row r="485" spans="1:28" ht="21.6" customHeight="1">
      <c r="A485" s="8">
        <v>211</v>
      </c>
      <c r="B485" s="8">
        <v>2025053356</v>
      </c>
      <c r="C485" s="8">
        <v>1</v>
      </c>
      <c r="D485" s="8" t="s">
        <v>3177</v>
      </c>
      <c r="E485" s="8" t="s">
        <v>118</v>
      </c>
      <c r="F485" s="8" t="s">
        <v>4069</v>
      </c>
      <c r="G485" s="8" t="s">
        <v>3848</v>
      </c>
      <c r="H485" s="8" t="s">
        <v>3437</v>
      </c>
      <c r="I485" s="8" t="s">
        <v>3440</v>
      </c>
      <c r="J485" s="8" t="s">
        <v>3277</v>
      </c>
      <c r="K485" s="8" t="s">
        <v>3183</v>
      </c>
      <c r="L485" s="10" t="s">
        <v>3434</v>
      </c>
      <c r="M485" s="10" t="s">
        <v>3441</v>
      </c>
      <c r="N485" s="10" t="s">
        <v>3442</v>
      </c>
      <c r="O485" s="8" t="s">
        <v>363</v>
      </c>
      <c r="P485" s="8"/>
      <c r="Q485" s="8"/>
      <c r="R485" s="8">
        <v>115633</v>
      </c>
      <c r="S485" s="8"/>
      <c r="T485" s="8"/>
      <c r="U485" s="8"/>
      <c r="V485" s="8"/>
      <c r="W485" s="8"/>
      <c r="X485" s="8"/>
      <c r="Y485" s="8"/>
      <c r="Z485" s="10" t="s">
        <v>4075</v>
      </c>
      <c r="AA485" s="8" t="s">
        <v>332</v>
      </c>
      <c r="AB485" s="8">
        <v>1</v>
      </c>
    </row>
    <row r="486" spans="1:28" ht="21.6" customHeight="1">
      <c r="A486" s="8">
        <v>212</v>
      </c>
      <c r="B486" s="8">
        <v>2025051381</v>
      </c>
      <c r="C486" s="8">
        <v>1</v>
      </c>
      <c r="D486" s="8" t="s">
        <v>3177</v>
      </c>
      <c r="E486" s="8" t="s">
        <v>118</v>
      </c>
      <c r="F486" s="8" t="s">
        <v>4035</v>
      </c>
      <c r="G486" s="8" t="s">
        <v>3381</v>
      </c>
      <c r="H486" s="8" t="s">
        <v>3401</v>
      </c>
      <c r="I486" s="8" t="s">
        <v>3447</v>
      </c>
      <c r="J486" s="8" t="s">
        <v>3277</v>
      </c>
      <c r="K486" s="8" t="s">
        <v>3183</v>
      </c>
      <c r="L486" s="10" t="s">
        <v>3448</v>
      </c>
      <c r="M486" s="10" t="s">
        <v>3449</v>
      </c>
      <c r="N486" s="10"/>
      <c r="O486" s="8" t="s">
        <v>322</v>
      </c>
      <c r="P486" s="8"/>
      <c r="Q486" s="8"/>
      <c r="R486" s="8">
        <v>40000</v>
      </c>
      <c r="S486" s="8" t="s">
        <v>332</v>
      </c>
      <c r="T486" s="8"/>
      <c r="U486" s="8"/>
      <c r="V486" s="8"/>
      <c r="W486" s="8"/>
      <c r="X486" s="8"/>
      <c r="Y486" s="8"/>
      <c r="Z486" s="10" t="s">
        <v>3821</v>
      </c>
      <c r="AA486" s="8" t="s">
        <v>332</v>
      </c>
      <c r="AB486" s="8">
        <v>1</v>
      </c>
    </row>
    <row r="487" spans="1:28" ht="21.6" customHeight="1">
      <c r="A487" s="8">
        <v>214</v>
      </c>
      <c r="B487" s="8">
        <v>2025053746</v>
      </c>
      <c r="C487" s="8">
        <v>1</v>
      </c>
      <c r="D487" s="8" t="s">
        <v>3177</v>
      </c>
      <c r="E487" s="8" t="s">
        <v>118</v>
      </c>
      <c r="F487" s="8" t="s">
        <v>4020</v>
      </c>
      <c r="G487" s="8" t="s">
        <v>3381</v>
      </c>
      <c r="H487" s="8" t="s">
        <v>3605</v>
      </c>
      <c r="I487" s="8" t="s">
        <v>3447</v>
      </c>
      <c r="J487" s="8" t="s">
        <v>3277</v>
      </c>
      <c r="K487" s="8" t="s">
        <v>3183</v>
      </c>
      <c r="L487" s="10" t="s">
        <v>3448</v>
      </c>
      <c r="M487" s="10" t="s">
        <v>3449</v>
      </c>
      <c r="N487" s="10"/>
      <c r="O487" s="8" t="s">
        <v>322</v>
      </c>
      <c r="P487" s="8"/>
      <c r="Q487" s="8"/>
      <c r="R487" s="8">
        <v>40000</v>
      </c>
      <c r="S487" s="8"/>
      <c r="T487" s="8"/>
      <c r="U487" s="8"/>
      <c r="V487" s="8"/>
      <c r="W487" s="8" t="s">
        <v>332</v>
      </c>
      <c r="X487" s="8"/>
      <c r="Y487" s="8"/>
      <c r="Z487" s="10" t="s">
        <v>4076</v>
      </c>
      <c r="AA487" s="8" t="s">
        <v>332</v>
      </c>
      <c r="AB487" s="8">
        <v>1</v>
      </c>
    </row>
    <row r="488" spans="1:28" ht="21.6" customHeight="1">
      <c r="A488" s="8">
        <v>219</v>
      </c>
      <c r="B488" s="8">
        <v>2025051076</v>
      </c>
      <c r="C488" s="8">
        <v>1</v>
      </c>
      <c r="D488" s="8" t="s">
        <v>3177</v>
      </c>
      <c r="E488" s="8" t="s">
        <v>118</v>
      </c>
      <c r="F488" s="8" t="s">
        <v>4050</v>
      </c>
      <c r="G488" s="8" t="s">
        <v>3426</v>
      </c>
      <c r="H488" s="8" t="s">
        <v>3799</v>
      </c>
      <c r="I488" s="8" t="s">
        <v>3461</v>
      </c>
      <c r="J488" s="8" t="s">
        <v>3277</v>
      </c>
      <c r="K488" s="8" t="s">
        <v>3183</v>
      </c>
      <c r="L488" s="10" t="s">
        <v>3462</v>
      </c>
      <c r="M488" s="10" t="s">
        <v>3463</v>
      </c>
      <c r="N488" s="10" t="s">
        <v>3464</v>
      </c>
      <c r="O488" s="8" t="s">
        <v>322</v>
      </c>
      <c r="P488" s="8"/>
      <c r="Q488" s="8"/>
      <c r="R488" s="8">
        <v>183748</v>
      </c>
      <c r="S488" s="8"/>
      <c r="T488" s="8"/>
      <c r="U488" s="8" t="s">
        <v>332</v>
      </c>
      <c r="V488" s="8"/>
      <c r="W488" s="8"/>
      <c r="X488" s="8"/>
      <c r="Y488" s="8"/>
      <c r="Z488" s="10" t="s">
        <v>3362</v>
      </c>
      <c r="AA488" s="8" t="s">
        <v>332</v>
      </c>
      <c r="AB488" s="8">
        <v>1</v>
      </c>
    </row>
    <row r="489" spans="1:28" ht="21.6" customHeight="1">
      <c r="A489" s="8">
        <v>222</v>
      </c>
      <c r="B489" s="8">
        <v>2025051077</v>
      </c>
      <c r="C489" s="8">
        <v>1</v>
      </c>
      <c r="D489" s="8" t="s">
        <v>3177</v>
      </c>
      <c r="E489" s="8" t="s">
        <v>118</v>
      </c>
      <c r="F489" s="8" t="s">
        <v>4050</v>
      </c>
      <c r="G489" s="8" t="s">
        <v>3799</v>
      </c>
      <c r="H489" s="8" t="s">
        <v>4077</v>
      </c>
      <c r="I489" s="8" t="s">
        <v>3713</v>
      </c>
      <c r="J489" s="8" t="s">
        <v>3277</v>
      </c>
      <c r="K489" s="8" t="s">
        <v>3183</v>
      </c>
      <c r="L489" s="10" t="s">
        <v>3462</v>
      </c>
      <c r="M489" s="10" t="s">
        <v>3714</v>
      </c>
      <c r="N489" s="10" t="s">
        <v>3715</v>
      </c>
      <c r="O489" s="8" t="s">
        <v>322</v>
      </c>
      <c r="P489" s="8"/>
      <c r="Q489" s="8"/>
      <c r="R489" s="8">
        <v>151990</v>
      </c>
      <c r="S489" s="8"/>
      <c r="T489" s="8"/>
      <c r="U489" s="8" t="s">
        <v>332</v>
      </c>
      <c r="V489" s="8"/>
      <c r="W489" s="8"/>
      <c r="X489" s="8"/>
      <c r="Y489" s="8"/>
      <c r="Z489" s="10" t="s">
        <v>3362</v>
      </c>
      <c r="AA489" s="8" t="s">
        <v>332</v>
      </c>
      <c r="AB489" s="8">
        <v>1</v>
      </c>
    </row>
    <row r="490" spans="1:28" ht="21.6" customHeight="1">
      <c r="A490" s="8">
        <v>223</v>
      </c>
      <c r="B490" s="8">
        <v>2025053112</v>
      </c>
      <c r="C490" s="8">
        <v>1</v>
      </c>
      <c r="D490" s="8" t="s">
        <v>3177</v>
      </c>
      <c r="E490" s="8" t="s">
        <v>118</v>
      </c>
      <c r="F490" s="8" t="s">
        <v>4017</v>
      </c>
      <c r="G490" s="8" t="s">
        <v>3250</v>
      </c>
      <c r="H490" s="8" t="s">
        <v>3204</v>
      </c>
      <c r="I490" s="8" t="s">
        <v>3470</v>
      </c>
      <c r="J490" s="8" t="s">
        <v>3471</v>
      </c>
      <c r="K490" s="8" t="s">
        <v>3183</v>
      </c>
      <c r="L490" s="10" t="s">
        <v>3472</v>
      </c>
      <c r="M490" s="10" t="s">
        <v>3410</v>
      </c>
      <c r="N490" s="10" t="s">
        <v>3442</v>
      </c>
      <c r="O490" s="8" t="s">
        <v>322</v>
      </c>
      <c r="P490" s="8"/>
      <c r="Q490" s="8"/>
      <c r="R490" s="8">
        <v>71955</v>
      </c>
      <c r="S490" s="8" t="s">
        <v>332</v>
      </c>
      <c r="T490" s="8"/>
      <c r="U490" s="8"/>
      <c r="V490" s="8"/>
      <c r="W490" s="8"/>
      <c r="X490" s="8"/>
      <c r="Y490" s="8"/>
      <c r="Z490" s="10" t="s">
        <v>3696</v>
      </c>
      <c r="AA490" s="8" t="s">
        <v>332</v>
      </c>
      <c r="AB490" s="8">
        <v>1</v>
      </c>
    </row>
    <row r="491" spans="1:28" ht="21.6" customHeight="1">
      <c r="A491" s="8">
        <v>238</v>
      </c>
      <c r="B491" s="8">
        <v>2025053766</v>
      </c>
      <c r="C491" s="8">
        <v>1</v>
      </c>
      <c r="D491" s="8" t="s">
        <v>3177</v>
      </c>
      <c r="E491" s="8" t="s">
        <v>118</v>
      </c>
      <c r="F491" s="8" t="s">
        <v>4020</v>
      </c>
      <c r="G491" s="8" t="s">
        <v>3250</v>
      </c>
      <c r="H491" s="8" t="s">
        <v>4016</v>
      </c>
      <c r="I491" s="8" t="s">
        <v>3502</v>
      </c>
      <c r="J491" s="8" t="s">
        <v>3298</v>
      </c>
      <c r="K491" s="8" t="s">
        <v>3183</v>
      </c>
      <c r="L491" s="10" t="s">
        <v>3503</v>
      </c>
      <c r="M491" s="10" t="s">
        <v>3504</v>
      </c>
      <c r="N491" s="10" t="s">
        <v>217</v>
      </c>
      <c r="O491" s="8" t="s">
        <v>363</v>
      </c>
      <c r="P491" s="8"/>
      <c r="Q491" s="8"/>
      <c r="R491" s="8">
        <v>265058</v>
      </c>
      <c r="S491" s="8"/>
      <c r="T491" s="8"/>
      <c r="U491" s="8"/>
      <c r="V491" s="8"/>
      <c r="W491" s="8"/>
      <c r="X491" s="8"/>
      <c r="Y491" s="8"/>
      <c r="Z491" s="10" t="s">
        <v>4078</v>
      </c>
      <c r="AA491" s="8" t="s">
        <v>332</v>
      </c>
      <c r="AB491" s="8">
        <v>1</v>
      </c>
    </row>
    <row r="492" spans="1:28" ht="21.6" customHeight="1">
      <c r="A492" s="8">
        <v>241</v>
      </c>
      <c r="B492" s="8">
        <v>2025051227</v>
      </c>
      <c r="C492" s="8">
        <v>1</v>
      </c>
      <c r="D492" s="8" t="s">
        <v>3177</v>
      </c>
      <c r="E492" s="8" t="s">
        <v>118</v>
      </c>
      <c r="F492" s="8" t="s">
        <v>4056</v>
      </c>
      <c r="G492" s="8" t="s">
        <v>3427</v>
      </c>
      <c r="H492" s="8" t="s">
        <v>3386</v>
      </c>
      <c r="I492" s="8" t="s">
        <v>4079</v>
      </c>
      <c r="J492" s="8" t="s">
        <v>3298</v>
      </c>
      <c r="K492" s="8" t="s">
        <v>3183</v>
      </c>
      <c r="L492" s="10" t="s">
        <v>4080</v>
      </c>
      <c r="M492" s="10" t="s">
        <v>4081</v>
      </c>
      <c r="N492" s="10" t="s">
        <v>4082</v>
      </c>
      <c r="O492" s="8" t="s">
        <v>3190</v>
      </c>
      <c r="P492" s="8"/>
      <c r="Q492" s="8"/>
      <c r="R492" s="8">
        <v>108750</v>
      </c>
      <c r="S492" s="8"/>
      <c r="T492" s="8"/>
      <c r="U492" s="8"/>
      <c r="V492" s="8"/>
      <c r="W492" s="8"/>
      <c r="X492" s="8"/>
      <c r="Y492" s="8"/>
      <c r="Z492" s="10" t="s">
        <v>3821</v>
      </c>
      <c r="AA492" s="8" t="s">
        <v>332</v>
      </c>
      <c r="AB492" s="8">
        <v>1</v>
      </c>
    </row>
    <row r="493" spans="1:28" ht="21.6" customHeight="1">
      <c r="A493" s="8">
        <v>243</v>
      </c>
      <c r="B493" s="8">
        <v>2025051496</v>
      </c>
      <c r="C493" s="8">
        <v>1</v>
      </c>
      <c r="D493" s="8" t="s">
        <v>3177</v>
      </c>
      <c r="E493" s="8" t="s">
        <v>118</v>
      </c>
      <c r="F493" s="8" t="s">
        <v>4035</v>
      </c>
      <c r="G493" s="8" t="s">
        <v>3431</v>
      </c>
      <c r="H493" s="8" t="s">
        <v>3432</v>
      </c>
      <c r="I493" s="8" t="s">
        <v>4079</v>
      </c>
      <c r="J493" s="8" t="s">
        <v>3298</v>
      </c>
      <c r="K493" s="8" t="s">
        <v>3183</v>
      </c>
      <c r="L493" s="10" t="s">
        <v>4080</v>
      </c>
      <c r="M493" s="10" t="s">
        <v>4081</v>
      </c>
      <c r="N493" s="10" t="s">
        <v>4082</v>
      </c>
      <c r="O493" s="8" t="s">
        <v>322</v>
      </c>
      <c r="P493" s="8"/>
      <c r="Q493" s="8"/>
      <c r="R493" s="8">
        <v>108750</v>
      </c>
      <c r="S493" s="8"/>
      <c r="T493" s="8" t="s">
        <v>332</v>
      </c>
      <c r="U493" s="8"/>
      <c r="V493" s="8"/>
      <c r="W493" s="8"/>
      <c r="X493" s="8"/>
      <c r="Y493" s="8"/>
      <c r="Z493" s="10" t="s">
        <v>3362</v>
      </c>
      <c r="AA493" s="8" t="s">
        <v>332</v>
      </c>
      <c r="AB493" s="8">
        <v>1</v>
      </c>
    </row>
    <row r="494" spans="1:28" ht="21.6" customHeight="1">
      <c r="A494" s="8">
        <v>244</v>
      </c>
      <c r="B494" s="8">
        <v>2025050072</v>
      </c>
      <c r="C494" s="8">
        <v>1</v>
      </c>
      <c r="D494" s="8" t="s">
        <v>3177</v>
      </c>
      <c r="E494" s="8" t="s">
        <v>118</v>
      </c>
      <c r="F494" s="8" t="s">
        <v>4059</v>
      </c>
      <c r="G494" s="8" t="s">
        <v>3381</v>
      </c>
      <c r="H494" s="8" t="s">
        <v>3354</v>
      </c>
      <c r="I494" s="8" t="s">
        <v>3510</v>
      </c>
      <c r="J494" s="8" t="s">
        <v>3298</v>
      </c>
      <c r="K494" s="8" t="s">
        <v>3183</v>
      </c>
      <c r="L494" s="10" t="s">
        <v>3398</v>
      </c>
      <c r="M494" s="10" t="s">
        <v>3511</v>
      </c>
      <c r="N494" s="10" t="s">
        <v>3512</v>
      </c>
      <c r="O494" s="8" t="s">
        <v>322</v>
      </c>
      <c r="P494" s="8"/>
      <c r="Q494" s="8"/>
      <c r="R494" s="8">
        <v>11043</v>
      </c>
      <c r="S494" s="8" t="s">
        <v>332</v>
      </c>
      <c r="T494" s="8"/>
      <c r="U494" s="8"/>
      <c r="V494" s="8"/>
      <c r="W494" s="8"/>
      <c r="X494" s="8"/>
      <c r="Y494" s="8"/>
      <c r="Z494" s="10" t="s">
        <v>3696</v>
      </c>
      <c r="AA494" s="8" t="s">
        <v>332</v>
      </c>
      <c r="AB494" s="8">
        <v>1</v>
      </c>
    </row>
    <row r="495" spans="1:28" ht="21.6" customHeight="1">
      <c r="A495" s="8">
        <v>246</v>
      </c>
      <c r="B495" s="8">
        <v>2025052559</v>
      </c>
      <c r="C495" s="8">
        <v>1</v>
      </c>
      <c r="D495" s="8" t="s">
        <v>3177</v>
      </c>
      <c r="E495" s="8" t="s">
        <v>118</v>
      </c>
      <c r="F495" s="8" t="s">
        <v>4006</v>
      </c>
      <c r="G495" s="8" t="s">
        <v>3280</v>
      </c>
      <c r="H495" s="8" t="s">
        <v>3987</v>
      </c>
      <c r="I495" s="8" t="s">
        <v>3510</v>
      </c>
      <c r="J495" s="8" t="s">
        <v>3298</v>
      </c>
      <c r="K495" s="8" t="s">
        <v>3183</v>
      </c>
      <c r="L495" s="10" t="s">
        <v>3398</v>
      </c>
      <c r="M495" s="10" t="s">
        <v>3511</v>
      </c>
      <c r="N495" s="10" t="s">
        <v>3512</v>
      </c>
      <c r="O495" s="8" t="s">
        <v>363</v>
      </c>
      <c r="P495" s="8"/>
      <c r="Q495" s="8"/>
      <c r="R495" s="8">
        <v>11043</v>
      </c>
      <c r="S495" s="8"/>
      <c r="T495" s="8"/>
      <c r="U495" s="8"/>
      <c r="V495" s="8"/>
      <c r="W495" s="8"/>
      <c r="X495" s="8"/>
      <c r="Y495" s="8"/>
      <c r="Z495" s="10" t="s">
        <v>4083</v>
      </c>
      <c r="AA495" s="8" t="s">
        <v>332</v>
      </c>
      <c r="AB495" s="8">
        <v>1</v>
      </c>
    </row>
    <row r="496" spans="1:28" ht="21.6" customHeight="1">
      <c r="A496" s="8">
        <v>247</v>
      </c>
      <c r="B496" s="8">
        <v>2025050062</v>
      </c>
      <c r="C496" s="8">
        <v>1</v>
      </c>
      <c r="D496" s="8" t="s">
        <v>3177</v>
      </c>
      <c r="E496" s="8" t="s">
        <v>118</v>
      </c>
      <c r="F496" s="8" t="s">
        <v>4059</v>
      </c>
      <c r="G496" s="8" t="s">
        <v>3281</v>
      </c>
      <c r="H496" s="8" t="s">
        <v>3363</v>
      </c>
      <c r="I496" s="8" t="s">
        <v>3513</v>
      </c>
      <c r="J496" s="8" t="s">
        <v>3298</v>
      </c>
      <c r="K496" s="8" t="s">
        <v>3183</v>
      </c>
      <c r="L496" s="10" t="s">
        <v>3398</v>
      </c>
      <c r="M496" s="10" t="s">
        <v>3514</v>
      </c>
      <c r="N496" s="10" t="s">
        <v>3379</v>
      </c>
      <c r="O496" s="8" t="s">
        <v>322</v>
      </c>
      <c r="P496" s="8"/>
      <c r="Q496" s="8"/>
      <c r="R496" s="8">
        <v>139233</v>
      </c>
      <c r="S496" s="8" t="s">
        <v>332</v>
      </c>
      <c r="T496" s="8"/>
      <c r="U496" s="8"/>
      <c r="V496" s="8"/>
      <c r="W496" s="8"/>
      <c r="X496" s="8"/>
      <c r="Y496" s="8"/>
      <c r="Z496" s="10" t="s">
        <v>3696</v>
      </c>
      <c r="AA496" s="8" t="s">
        <v>332</v>
      </c>
      <c r="AB496" s="8">
        <v>1</v>
      </c>
    </row>
    <row r="497" spans="1:28" ht="21.6" customHeight="1">
      <c r="A497" s="8">
        <v>249</v>
      </c>
      <c r="B497" s="8">
        <v>2025050066</v>
      </c>
      <c r="C497" s="8">
        <v>1</v>
      </c>
      <c r="D497" s="8" t="s">
        <v>3177</v>
      </c>
      <c r="E497" s="8" t="s">
        <v>118</v>
      </c>
      <c r="F497" s="8" t="s">
        <v>4059</v>
      </c>
      <c r="G497" s="8" t="s">
        <v>3232</v>
      </c>
      <c r="H497" s="8" t="s">
        <v>3233</v>
      </c>
      <c r="I497" s="8" t="s">
        <v>3518</v>
      </c>
      <c r="J497" s="8" t="s">
        <v>3298</v>
      </c>
      <c r="K497" s="8" t="s">
        <v>3183</v>
      </c>
      <c r="L497" s="10" t="s">
        <v>3398</v>
      </c>
      <c r="M497" s="10" t="s">
        <v>3519</v>
      </c>
      <c r="N497" s="10" t="s">
        <v>3520</v>
      </c>
      <c r="O497" s="8" t="s">
        <v>322</v>
      </c>
      <c r="P497" s="8"/>
      <c r="Q497" s="8"/>
      <c r="R497" s="8">
        <v>236206</v>
      </c>
      <c r="S497" s="8" t="s">
        <v>332</v>
      </c>
      <c r="T497" s="8"/>
      <c r="U497" s="8"/>
      <c r="V497" s="8"/>
      <c r="W497" s="8"/>
      <c r="X497" s="8"/>
      <c r="Y497" s="8"/>
      <c r="Z497" s="10" t="s">
        <v>3696</v>
      </c>
      <c r="AA497" s="8" t="s">
        <v>332</v>
      </c>
      <c r="AB497" s="8">
        <v>1</v>
      </c>
    </row>
    <row r="498" spans="1:28" ht="21.6" customHeight="1">
      <c r="A498" s="8">
        <v>251</v>
      </c>
      <c r="B498" s="8">
        <v>2025050070</v>
      </c>
      <c r="C498" s="8">
        <v>1</v>
      </c>
      <c r="D498" s="8" t="s">
        <v>3177</v>
      </c>
      <c r="E498" s="8" t="s">
        <v>118</v>
      </c>
      <c r="F498" s="8" t="s">
        <v>4059</v>
      </c>
      <c r="G498" s="8" t="s">
        <v>3509</v>
      </c>
      <c r="H498" s="8" t="s">
        <v>3381</v>
      </c>
      <c r="I498" s="8" t="s">
        <v>3521</v>
      </c>
      <c r="J498" s="8" t="s">
        <v>3298</v>
      </c>
      <c r="K498" s="8" t="s">
        <v>3183</v>
      </c>
      <c r="L498" s="10" t="s">
        <v>3398</v>
      </c>
      <c r="M498" s="10" t="s">
        <v>3522</v>
      </c>
      <c r="N498" s="10" t="s">
        <v>3523</v>
      </c>
      <c r="O498" s="8" t="s">
        <v>322</v>
      </c>
      <c r="P498" s="8"/>
      <c r="Q498" s="8"/>
      <c r="R498" s="8">
        <v>114169</v>
      </c>
      <c r="S498" s="8" t="s">
        <v>332</v>
      </c>
      <c r="T498" s="8"/>
      <c r="U498" s="8"/>
      <c r="V498" s="8"/>
      <c r="W498" s="8"/>
      <c r="X498" s="8"/>
      <c r="Y498" s="8"/>
      <c r="Z498" s="10" t="s">
        <v>3696</v>
      </c>
      <c r="AA498" s="8" t="s">
        <v>332</v>
      </c>
      <c r="AB498" s="8">
        <v>1</v>
      </c>
    </row>
    <row r="499" spans="1:28" ht="21.6" customHeight="1">
      <c r="A499" s="8">
        <v>253</v>
      </c>
      <c r="B499" s="8">
        <v>2025053244</v>
      </c>
      <c r="C499" s="8">
        <v>1</v>
      </c>
      <c r="D499" s="8" t="s">
        <v>3177</v>
      </c>
      <c r="E499" s="8" t="s">
        <v>118</v>
      </c>
      <c r="F499" s="8" t="s">
        <v>4084</v>
      </c>
      <c r="G499" s="8" t="s">
        <v>3386</v>
      </c>
      <c r="H499" s="8" t="s">
        <v>3261</v>
      </c>
      <c r="I499" s="8" t="s">
        <v>3521</v>
      </c>
      <c r="J499" s="8" t="s">
        <v>3298</v>
      </c>
      <c r="K499" s="8" t="s">
        <v>3183</v>
      </c>
      <c r="L499" s="10" t="s">
        <v>3398</v>
      </c>
      <c r="M499" s="10" t="s">
        <v>3522</v>
      </c>
      <c r="N499" s="10" t="s">
        <v>3523</v>
      </c>
      <c r="O499" s="8" t="s">
        <v>363</v>
      </c>
      <c r="P499" s="8"/>
      <c r="Q499" s="8"/>
      <c r="R499" s="8">
        <v>114169</v>
      </c>
      <c r="S499" s="8"/>
      <c r="T499" s="8"/>
      <c r="U499" s="8"/>
      <c r="V499" s="8"/>
      <c r="W499" s="8"/>
      <c r="X499" s="8"/>
      <c r="Y499" s="8"/>
      <c r="Z499" s="10" t="s">
        <v>4085</v>
      </c>
      <c r="AA499" s="8" t="s">
        <v>332</v>
      </c>
      <c r="AB499" s="8">
        <v>1</v>
      </c>
    </row>
    <row r="500" spans="1:28" ht="21.6" customHeight="1">
      <c r="A500" s="8">
        <v>254</v>
      </c>
      <c r="B500" s="8">
        <v>2025053637</v>
      </c>
      <c r="C500" s="8">
        <v>1</v>
      </c>
      <c r="D500" s="8" t="s">
        <v>3177</v>
      </c>
      <c r="E500" s="8" t="s">
        <v>118</v>
      </c>
      <c r="F500" s="8" t="s">
        <v>4043</v>
      </c>
      <c r="G500" s="8" t="s">
        <v>3655</v>
      </c>
      <c r="H500" s="8" t="s">
        <v>4086</v>
      </c>
      <c r="I500" s="8" t="s">
        <v>3521</v>
      </c>
      <c r="J500" s="8" t="s">
        <v>3298</v>
      </c>
      <c r="K500" s="8" t="s">
        <v>3183</v>
      </c>
      <c r="L500" s="10" t="s">
        <v>3398</v>
      </c>
      <c r="M500" s="10" t="s">
        <v>3522</v>
      </c>
      <c r="N500" s="10" t="s">
        <v>3523</v>
      </c>
      <c r="O500" s="8" t="s">
        <v>322</v>
      </c>
      <c r="P500" s="8"/>
      <c r="Q500" s="8"/>
      <c r="R500" s="8">
        <v>114169</v>
      </c>
      <c r="S500" s="8"/>
      <c r="T500" s="8"/>
      <c r="U500" s="8"/>
      <c r="V500" s="8"/>
      <c r="W500" s="8"/>
      <c r="X500" s="8"/>
      <c r="Y500" s="8" t="s">
        <v>332</v>
      </c>
      <c r="Z500" s="10" t="s">
        <v>4087</v>
      </c>
      <c r="AA500" s="8" t="s">
        <v>332</v>
      </c>
      <c r="AB500" s="8">
        <v>1</v>
      </c>
    </row>
    <row r="501" spans="1:28" ht="21.6" customHeight="1">
      <c r="A501" s="8">
        <v>255</v>
      </c>
      <c r="B501" s="8">
        <v>2025051846</v>
      </c>
      <c r="C501" s="8">
        <v>1</v>
      </c>
      <c r="D501" s="8" t="s">
        <v>3177</v>
      </c>
      <c r="E501" s="8" t="s">
        <v>118</v>
      </c>
      <c r="F501" s="8" t="s">
        <v>4014</v>
      </c>
      <c r="G501" s="8" t="s">
        <v>3427</v>
      </c>
      <c r="H501" s="8" t="s">
        <v>3799</v>
      </c>
      <c r="I501" s="8" t="s">
        <v>3297</v>
      </c>
      <c r="J501" s="8" t="s">
        <v>3298</v>
      </c>
      <c r="K501" s="8" t="s">
        <v>3183</v>
      </c>
      <c r="L501" s="10" t="s">
        <v>3207</v>
      </c>
      <c r="M501" s="10" t="s">
        <v>3208</v>
      </c>
      <c r="N501" s="10" t="s">
        <v>3299</v>
      </c>
      <c r="O501" s="8" t="s">
        <v>322</v>
      </c>
      <c r="P501" s="8"/>
      <c r="Q501" s="8"/>
      <c r="R501" s="8">
        <v>133166</v>
      </c>
      <c r="S501" s="8"/>
      <c r="T501" s="8"/>
      <c r="U501" s="8"/>
      <c r="V501" s="8"/>
      <c r="W501" s="8"/>
      <c r="X501" s="8"/>
      <c r="Y501" s="8" t="s">
        <v>332</v>
      </c>
      <c r="Z501" s="10" t="s">
        <v>4088</v>
      </c>
      <c r="AA501" s="8" t="s">
        <v>332</v>
      </c>
      <c r="AB501" s="8">
        <v>1</v>
      </c>
    </row>
    <row r="502" spans="1:28" ht="21.6" customHeight="1">
      <c r="A502" s="8">
        <v>258</v>
      </c>
      <c r="B502" s="8">
        <v>2025050287</v>
      </c>
      <c r="C502" s="8">
        <v>1</v>
      </c>
      <c r="D502" s="8" t="s">
        <v>3177</v>
      </c>
      <c r="E502" s="8" t="s">
        <v>118</v>
      </c>
      <c r="F502" s="8" t="s">
        <v>4059</v>
      </c>
      <c r="G502" s="8" t="s">
        <v>3387</v>
      </c>
      <c r="H502" s="8" t="s">
        <v>4089</v>
      </c>
      <c r="I502" s="8" t="s">
        <v>3530</v>
      </c>
      <c r="J502" s="8" t="s">
        <v>3298</v>
      </c>
      <c r="K502" s="8" t="s">
        <v>3183</v>
      </c>
      <c r="L502" s="10" t="s">
        <v>3462</v>
      </c>
      <c r="M502" s="10" t="s">
        <v>3531</v>
      </c>
      <c r="N502" s="10" t="s">
        <v>3532</v>
      </c>
      <c r="O502" s="8" t="s">
        <v>363</v>
      </c>
      <c r="P502" s="8"/>
      <c r="Q502" s="8"/>
      <c r="R502" s="8">
        <v>302594</v>
      </c>
      <c r="S502" s="8"/>
      <c r="T502" s="8"/>
      <c r="U502" s="8"/>
      <c r="V502" s="8"/>
      <c r="W502" s="8"/>
      <c r="X502" s="8"/>
      <c r="Y502" s="8"/>
      <c r="Z502" s="10" t="s">
        <v>4090</v>
      </c>
      <c r="AA502" s="8" t="s">
        <v>332</v>
      </c>
      <c r="AB502" s="8">
        <v>1</v>
      </c>
    </row>
    <row r="503" spans="1:28" ht="21.6" customHeight="1">
      <c r="A503" s="8">
        <v>261</v>
      </c>
      <c r="B503" s="8">
        <v>2025050064</v>
      </c>
      <c r="C503" s="8">
        <v>1</v>
      </c>
      <c r="D503" s="8" t="s">
        <v>3177</v>
      </c>
      <c r="E503" s="8" t="s">
        <v>118</v>
      </c>
      <c r="F503" s="8" t="s">
        <v>4059</v>
      </c>
      <c r="G503" s="8" t="s">
        <v>3363</v>
      </c>
      <c r="H503" s="8" t="s">
        <v>3232</v>
      </c>
      <c r="I503" s="8" t="s">
        <v>3534</v>
      </c>
      <c r="J503" s="8" t="s">
        <v>3298</v>
      </c>
      <c r="K503" s="8" t="s">
        <v>3183</v>
      </c>
      <c r="L503" s="10" t="s">
        <v>3398</v>
      </c>
      <c r="M503" s="10" t="s">
        <v>3535</v>
      </c>
      <c r="N503" s="10" t="s">
        <v>3494</v>
      </c>
      <c r="O503" s="8" t="s">
        <v>322</v>
      </c>
      <c r="P503" s="8"/>
      <c r="Q503" s="8"/>
      <c r="R503" s="8">
        <v>182971</v>
      </c>
      <c r="S503" s="8" t="s">
        <v>332</v>
      </c>
      <c r="T503" s="8"/>
      <c r="U503" s="8"/>
      <c r="V503" s="8"/>
      <c r="W503" s="8"/>
      <c r="X503" s="8"/>
      <c r="Y503" s="8"/>
      <c r="Z503" s="10" t="s">
        <v>3696</v>
      </c>
      <c r="AA503" s="8" t="s">
        <v>332</v>
      </c>
      <c r="AB503" s="8">
        <v>1</v>
      </c>
    </row>
    <row r="504" spans="1:28" ht="21.6" customHeight="1">
      <c r="A504" s="8">
        <v>263</v>
      </c>
      <c r="B504" s="8">
        <v>2025051161</v>
      </c>
      <c r="C504" s="8">
        <v>1</v>
      </c>
      <c r="D504" s="8" t="s">
        <v>3177</v>
      </c>
      <c r="E504" s="8" t="s">
        <v>118</v>
      </c>
      <c r="F504" s="8" t="s">
        <v>4056</v>
      </c>
      <c r="G504" s="8" t="s">
        <v>3381</v>
      </c>
      <c r="H504" s="8" t="s">
        <v>3401</v>
      </c>
      <c r="I504" s="8" t="s">
        <v>3536</v>
      </c>
      <c r="J504" s="8" t="s">
        <v>3298</v>
      </c>
      <c r="K504" s="8" t="s">
        <v>3183</v>
      </c>
      <c r="L504" s="10" t="s">
        <v>3537</v>
      </c>
      <c r="M504" s="10" t="s">
        <v>3538</v>
      </c>
      <c r="N504" s="10"/>
      <c r="O504" s="8" t="s">
        <v>3190</v>
      </c>
      <c r="P504" s="8"/>
      <c r="Q504" s="8"/>
      <c r="R504" s="8">
        <v>122103</v>
      </c>
      <c r="S504" s="8"/>
      <c r="T504" s="8"/>
      <c r="U504" s="8"/>
      <c r="V504" s="8"/>
      <c r="W504" s="8"/>
      <c r="X504" s="8"/>
      <c r="Y504" s="8"/>
      <c r="Z504" s="10" t="s">
        <v>3821</v>
      </c>
      <c r="AA504" s="8" t="s">
        <v>332</v>
      </c>
      <c r="AB504" s="8">
        <v>1</v>
      </c>
    </row>
    <row r="505" spans="1:28" ht="21.6" customHeight="1">
      <c r="A505" s="8">
        <v>264</v>
      </c>
      <c r="B505" s="8">
        <v>2025053142</v>
      </c>
      <c r="C505" s="8">
        <v>1</v>
      </c>
      <c r="D505" s="8" t="s">
        <v>3177</v>
      </c>
      <c r="E505" s="8" t="s">
        <v>118</v>
      </c>
      <c r="F505" s="8" t="s">
        <v>4017</v>
      </c>
      <c r="G505" s="8" t="s">
        <v>3386</v>
      </c>
      <c r="H505" s="8" t="s">
        <v>3262</v>
      </c>
      <c r="I505" s="8" t="s">
        <v>3536</v>
      </c>
      <c r="J505" s="8" t="s">
        <v>3298</v>
      </c>
      <c r="K505" s="8" t="s">
        <v>3183</v>
      </c>
      <c r="L505" s="10" t="s">
        <v>3537</v>
      </c>
      <c r="M505" s="10" t="s">
        <v>3538</v>
      </c>
      <c r="N505" s="10"/>
      <c r="O505" s="8" t="s">
        <v>322</v>
      </c>
      <c r="P505" s="8"/>
      <c r="Q505" s="8"/>
      <c r="R505" s="8">
        <v>122103</v>
      </c>
      <c r="S505" s="8"/>
      <c r="T505" s="8"/>
      <c r="U505" s="8"/>
      <c r="V505" s="8"/>
      <c r="W505" s="8"/>
      <c r="X505" s="8"/>
      <c r="Y505" s="8" t="s">
        <v>332</v>
      </c>
      <c r="Z505" s="10" t="s">
        <v>4091</v>
      </c>
      <c r="AA505" s="8" t="s">
        <v>332</v>
      </c>
      <c r="AB505" s="8">
        <v>1</v>
      </c>
    </row>
    <row r="506" spans="1:28" ht="21.6" customHeight="1">
      <c r="A506" s="8">
        <v>265</v>
      </c>
      <c r="B506" s="8">
        <v>2025053774</v>
      </c>
      <c r="C506" s="8">
        <v>1</v>
      </c>
      <c r="D506" s="8" t="s">
        <v>3177</v>
      </c>
      <c r="E506" s="8" t="s">
        <v>118</v>
      </c>
      <c r="F506" s="8" t="s">
        <v>4020</v>
      </c>
      <c r="G506" s="8" t="s">
        <v>3387</v>
      </c>
      <c r="H506" s="8" t="s">
        <v>3426</v>
      </c>
      <c r="I506" s="8" t="s">
        <v>3536</v>
      </c>
      <c r="J506" s="8" t="s">
        <v>3298</v>
      </c>
      <c r="K506" s="8" t="s">
        <v>3183</v>
      </c>
      <c r="L506" s="10" t="s">
        <v>3537</v>
      </c>
      <c r="M506" s="10" t="s">
        <v>3538</v>
      </c>
      <c r="N506" s="10"/>
      <c r="O506" s="8" t="s">
        <v>322</v>
      </c>
      <c r="P506" s="8"/>
      <c r="Q506" s="8"/>
      <c r="R506" s="8">
        <v>122103</v>
      </c>
      <c r="S506" s="8"/>
      <c r="T506" s="8"/>
      <c r="U506" s="8" t="s">
        <v>332</v>
      </c>
      <c r="V506" s="8"/>
      <c r="W506" s="8"/>
      <c r="X506" s="8"/>
      <c r="Y506" s="8"/>
      <c r="Z506" s="10" t="s">
        <v>3362</v>
      </c>
      <c r="AA506" s="8" t="s">
        <v>332</v>
      </c>
      <c r="AB506" s="8">
        <v>1</v>
      </c>
    </row>
    <row r="507" spans="1:28" ht="21.6" customHeight="1">
      <c r="A507" s="8">
        <v>268</v>
      </c>
      <c r="B507" s="8">
        <v>2025053533</v>
      </c>
      <c r="C507" s="8">
        <v>1</v>
      </c>
      <c r="D507" s="8" t="s">
        <v>3177</v>
      </c>
      <c r="E507" s="8" t="s">
        <v>118</v>
      </c>
      <c r="F507" s="8" t="s">
        <v>4043</v>
      </c>
      <c r="G507" s="8" t="s">
        <v>3363</v>
      </c>
      <c r="H507" s="8" t="s">
        <v>4057</v>
      </c>
      <c r="I507" s="8" t="s">
        <v>3539</v>
      </c>
      <c r="J507" s="8" t="s">
        <v>3298</v>
      </c>
      <c r="K507" s="8" t="s">
        <v>3183</v>
      </c>
      <c r="L507" s="10" t="s">
        <v>3540</v>
      </c>
      <c r="M507" s="10" t="s">
        <v>3541</v>
      </c>
      <c r="N507" s="10"/>
      <c r="O507" s="8" t="s">
        <v>322</v>
      </c>
      <c r="P507" s="8"/>
      <c r="Q507" s="8"/>
      <c r="R507" s="8">
        <v>70904</v>
      </c>
      <c r="S507" s="8"/>
      <c r="T507" s="8"/>
      <c r="U507" s="8"/>
      <c r="V507" s="8"/>
      <c r="W507" s="8"/>
      <c r="X507" s="8"/>
      <c r="Y507" s="8" t="s">
        <v>332</v>
      </c>
      <c r="Z507" s="10" t="s">
        <v>3355</v>
      </c>
      <c r="AA507" s="8" t="s">
        <v>332</v>
      </c>
      <c r="AB507" s="8">
        <v>1</v>
      </c>
    </row>
    <row r="508" spans="1:28" ht="21.6" customHeight="1">
      <c r="A508" s="8">
        <v>269</v>
      </c>
      <c r="B508" s="8">
        <v>2025050357</v>
      </c>
      <c r="C508" s="8">
        <v>1</v>
      </c>
      <c r="D508" s="8" t="s">
        <v>3177</v>
      </c>
      <c r="E508" s="8" t="s">
        <v>118</v>
      </c>
      <c r="F508" s="8" t="s">
        <v>4019</v>
      </c>
      <c r="G508" s="8" t="s">
        <v>3280</v>
      </c>
      <c r="H508" s="8" t="s">
        <v>3363</v>
      </c>
      <c r="I508" s="8" t="s">
        <v>3978</v>
      </c>
      <c r="J508" s="8" t="s">
        <v>3301</v>
      </c>
      <c r="K508" s="8" t="s">
        <v>3183</v>
      </c>
      <c r="L508" s="10" t="s">
        <v>3979</v>
      </c>
      <c r="M508" s="10" t="s">
        <v>3980</v>
      </c>
      <c r="N508" s="10" t="s">
        <v>3497</v>
      </c>
      <c r="O508" s="8" t="s">
        <v>322</v>
      </c>
      <c r="P508" s="8"/>
      <c r="Q508" s="8">
        <v>2</v>
      </c>
      <c r="R508" s="8">
        <v>12</v>
      </c>
      <c r="S508" s="8" t="s">
        <v>332</v>
      </c>
      <c r="T508" s="8"/>
      <c r="U508" s="8"/>
      <c r="V508" s="8"/>
      <c r="W508" s="8"/>
      <c r="X508" s="8"/>
      <c r="Y508" s="8"/>
      <c r="Z508" s="10" t="s">
        <v>3821</v>
      </c>
      <c r="AA508" s="8" t="s">
        <v>332</v>
      </c>
      <c r="AB508" s="8">
        <v>1</v>
      </c>
    </row>
    <row r="509" spans="1:28" ht="21.6" customHeight="1">
      <c r="A509" s="8">
        <v>271</v>
      </c>
      <c r="B509" s="8">
        <v>2025053320</v>
      </c>
      <c r="C509" s="8">
        <v>1</v>
      </c>
      <c r="D509" s="8" t="s">
        <v>3177</v>
      </c>
      <c r="E509" s="8" t="s">
        <v>118</v>
      </c>
      <c r="F509" s="8" t="s">
        <v>4069</v>
      </c>
      <c r="G509" s="8" t="s">
        <v>3250</v>
      </c>
      <c r="H509" s="8" t="s">
        <v>3204</v>
      </c>
      <c r="I509" s="8" t="s">
        <v>3978</v>
      </c>
      <c r="J509" s="8" t="s">
        <v>3301</v>
      </c>
      <c r="K509" s="8" t="s">
        <v>3183</v>
      </c>
      <c r="L509" s="10" t="s">
        <v>3979</v>
      </c>
      <c r="M509" s="10" t="s">
        <v>3980</v>
      </c>
      <c r="N509" s="10" t="s">
        <v>3497</v>
      </c>
      <c r="O509" s="8" t="s">
        <v>363</v>
      </c>
      <c r="P509" s="8"/>
      <c r="Q509" s="8">
        <v>183</v>
      </c>
      <c r="R509" s="8">
        <v>673</v>
      </c>
      <c r="S509" s="8"/>
      <c r="T509" s="8"/>
      <c r="U509" s="8"/>
      <c r="V509" s="8"/>
      <c r="W509" s="8"/>
      <c r="X509" s="8"/>
      <c r="Y509" s="8"/>
      <c r="Z509" s="10" t="s">
        <v>4092</v>
      </c>
      <c r="AA509" s="8" t="s">
        <v>332</v>
      </c>
      <c r="AB509" s="8">
        <v>1</v>
      </c>
    </row>
    <row r="510" spans="1:28" ht="21.6" customHeight="1">
      <c r="A510" s="8">
        <v>275</v>
      </c>
      <c r="B510" s="8">
        <v>2025051497</v>
      </c>
      <c r="C510" s="8">
        <v>1</v>
      </c>
      <c r="D510" s="8" t="s">
        <v>3177</v>
      </c>
      <c r="E510" s="8" t="s">
        <v>118</v>
      </c>
      <c r="F510" s="8" t="s">
        <v>4035</v>
      </c>
      <c r="G510" s="8" t="s">
        <v>3426</v>
      </c>
      <c r="H510" s="8" t="s">
        <v>3431</v>
      </c>
      <c r="I510" s="8" t="s">
        <v>4093</v>
      </c>
      <c r="J510" s="8" t="s">
        <v>3543</v>
      </c>
      <c r="K510" s="8" t="s">
        <v>3183</v>
      </c>
      <c r="L510" s="10" t="s">
        <v>4094</v>
      </c>
      <c r="M510" s="10" t="s">
        <v>4095</v>
      </c>
      <c r="N510" s="10" t="s">
        <v>3424</v>
      </c>
      <c r="O510" s="8" t="s">
        <v>322</v>
      </c>
      <c r="P510" s="8"/>
      <c r="Q510" s="8"/>
      <c r="R510" s="8">
        <v>36440</v>
      </c>
      <c r="S510" s="8"/>
      <c r="T510" s="8" t="s">
        <v>332</v>
      </c>
      <c r="U510" s="8"/>
      <c r="V510" s="8"/>
      <c r="W510" s="8"/>
      <c r="X510" s="8"/>
      <c r="Y510" s="8"/>
      <c r="Z510" s="10" t="s">
        <v>3362</v>
      </c>
      <c r="AA510" s="8" t="s">
        <v>332</v>
      </c>
      <c r="AB510" s="8">
        <v>1</v>
      </c>
    </row>
    <row r="511" spans="1:28" ht="21.6" customHeight="1">
      <c r="A511" s="8">
        <v>276</v>
      </c>
      <c r="B511" s="8">
        <v>2025052731</v>
      </c>
      <c r="C511" s="8">
        <v>1</v>
      </c>
      <c r="D511" s="8" t="s">
        <v>3177</v>
      </c>
      <c r="E511" s="8" t="s">
        <v>118</v>
      </c>
      <c r="F511" s="8" t="s">
        <v>4033</v>
      </c>
      <c r="G511" s="8" t="s">
        <v>3233</v>
      </c>
      <c r="H511" s="8" t="s">
        <v>3524</v>
      </c>
      <c r="I511" s="8" t="s">
        <v>4093</v>
      </c>
      <c r="J511" s="8" t="s">
        <v>3543</v>
      </c>
      <c r="K511" s="8" t="s">
        <v>3183</v>
      </c>
      <c r="L511" s="10" t="s">
        <v>4094</v>
      </c>
      <c r="M511" s="10" t="s">
        <v>4095</v>
      </c>
      <c r="N511" s="10" t="s">
        <v>3424</v>
      </c>
      <c r="O511" s="8" t="s">
        <v>363</v>
      </c>
      <c r="P511" s="8"/>
      <c r="Q511" s="8"/>
      <c r="R511" s="8">
        <v>36440</v>
      </c>
      <c r="S511" s="8"/>
      <c r="T511" s="8"/>
      <c r="U511" s="8"/>
      <c r="V511" s="8"/>
      <c r="W511" s="8"/>
      <c r="X511" s="8"/>
      <c r="Y511" s="8"/>
      <c r="Z511" s="10" t="s">
        <v>4096</v>
      </c>
      <c r="AA511" s="8" t="s">
        <v>332</v>
      </c>
      <c r="AB511" s="8">
        <v>1</v>
      </c>
    </row>
    <row r="512" spans="1:28" ht="21.6" customHeight="1">
      <c r="A512" s="8">
        <v>277</v>
      </c>
      <c r="B512" s="8">
        <v>2025053227</v>
      </c>
      <c r="C512" s="8">
        <v>1</v>
      </c>
      <c r="D512" s="8" t="s">
        <v>3177</v>
      </c>
      <c r="E512" s="8" t="s">
        <v>118</v>
      </c>
      <c r="F512" s="8" t="s">
        <v>4084</v>
      </c>
      <c r="G512" s="8" t="s">
        <v>3368</v>
      </c>
      <c r="H512" s="8" t="s">
        <v>4097</v>
      </c>
      <c r="I512" s="8" t="s">
        <v>4098</v>
      </c>
      <c r="J512" s="8" t="s">
        <v>3543</v>
      </c>
      <c r="K512" s="8" t="s">
        <v>3183</v>
      </c>
      <c r="L512" s="10" t="s">
        <v>3254</v>
      </c>
      <c r="M512" s="10" t="s">
        <v>4099</v>
      </c>
      <c r="N512" s="10" t="s">
        <v>4100</v>
      </c>
      <c r="O512" s="8" t="s">
        <v>363</v>
      </c>
      <c r="P512" s="8"/>
      <c r="Q512" s="8"/>
      <c r="R512" s="8">
        <v>82516</v>
      </c>
      <c r="S512" s="8"/>
      <c r="T512" s="8"/>
      <c r="U512" s="8"/>
      <c r="V512" s="8"/>
      <c r="W512" s="8"/>
      <c r="X512" s="8"/>
      <c r="Y512" s="8"/>
      <c r="Z512" s="10" t="s">
        <v>4101</v>
      </c>
      <c r="AA512" s="8" t="s">
        <v>332</v>
      </c>
      <c r="AB512" s="8">
        <v>1</v>
      </c>
    </row>
    <row r="513" spans="1:28" ht="21.6" customHeight="1">
      <c r="A513" s="8">
        <v>284</v>
      </c>
      <c r="B513" s="8">
        <v>2025051081</v>
      </c>
      <c r="C513" s="8">
        <v>1</v>
      </c>
      <c r="D513" s="8" t="s">
        <v>3177</v>
      </c>
      <c r="E513" s="8" t="s">
        <v>118</v>
      </c>
      <c r="F513" s="8" t="s">
        <v>4050</v>
      </c>
      <c r="G513" s="8" t="s">
        <v>4077</v>
      </c>
      <c r="H513" s="8" t="s">
        <v>4066</v>
      </c>
      <c r="I513" s="8" t="s">
        <v>3549</v>
      </c>
      <c r="J513" s="8" t="s">
        <v>3543</v>
      </c>
      <c r="K513" s="8" t="s">
        <v>3183</v>
      </c>
      <c r="L513" s="10" t="s">
        <v>3550</v>
      </c>
      <c r="M513" s="10" t="s">
        <v>3551</v>
      </c>
      <c r="N513" s="10" t="s">
        <v>3552</v>
      </c>
      <c r="O513" s="8" t="s">
        <v>322</v>
      </c>
      <c r="P513" s="8"/>
      <c r="Q513" s="8"/>
      <c r="R513" s="8">
        <v>676962</v>
      </c>
      <c r="S513" s="8"/>
      <c r="T513" s="8"/>
      <c r="U513" s="8" t="s">
        <v>332</v>
      </c>
      <c r="V513" s="8"/>
      <c r="W513" s="8"/>
      <c r="X513" s="8"/>
      <c r="Y513" s="8"/>
      <c r="Z513" s="10" t="s">
        <v>3362</v>
      </c>
      <c r="AA513" s="8" t="s">
        <v>332</v>
      </c>
      <c r="AB513" s="8">
        <v>1</v>
      </c>
    </row>
    <row r="514" spans="1:28" ht="21.6" customHeight="1">
      <c r="A514" s="8">
        <v>285</v>
      </c>
      <c r="B514" s="8">
        <v>2025052176</v>
      </c>
      <c r="C514" s="8">
        <v>1</v>
      </c>
      <c r="D514" s="8" t="s">
        <v>3177</v>
      </c>
      <c r="E514" s="8" t="s">
        <v>118</v>
      </c>
      <c r="F514" s="8" t="s">
        <v>4102</v>
      </c>
      <c r="G514" s="8" t="s">
        <v>3368</v>
      </c>
      <c r="H514" s="8" t="s">
        <v>3661</v>
      </c>
      <c r="I514" s="8" t="s">
        <v>3549</v>
      </c>
      <c r="J514" s="8" t="s">
        <v>3543</v>
      </c>
      <c r="K514" s="8" t="s">
        <v>3183</v>
      </c>
      <c r="L514" s="10" t="s">
        <v>3550</v>
      </c>
      <c r="M514" s="10" t="s">
        <v>3551</v>
      </c>
      <c r="N514" s="10" t="s">
        <v>3552</v>
      </c>
      <c r="O514" s="8" t="s">
        <v>322</v>
      </c>
      <c r="P514" s="8"/>
      <c r="Q514" s="8"/>
      <c r="R514" s="8">
        <v>676962</v>
      </c>
      <c r="S514" s="8"/>
      <c r="T514" s="8" t="s">
        <v>332</v>
      </c>
      <c r="U514" s="8"/>
      <c r="V514" s="8"/>
      <c r="W514" s="8"/>
      <c r="X514" s="8"/>
      <c r="Y514" s="8"/>
      <c r="Z514" s="10" t="s">
        <v>4103</v>
      </c>
      <c r="AA514" s="8" t="s">
        <v>332</v>
      </c>
      <c r="AB514" s="8">
        <v>1</v>
      </c>
    </row>
    <row r="515" spans="1:28" ht="21.6" customHeight="1">
      <c r="A515" s="8">
        <v>287</v>
      </c>
      <c r="B515" s="8">
        <v>2025052499</v>
      </c>
      <c r="C515" s="8">
        <v>1</v>
      </c>
      <c r="D515" s="8" t="s">
        <v>3177</v>
      </c>
      <c r="E515" s="8" t="s">
        <v>118</v>
      </c>
      <c r="F515" s="8" t="s">
        <v>4002</v>
      </c>
      <c r="G515" s="8" t="s">
        <v>3829</v>
      </c>
      <c r="H515" s="8" t="s">
        <v>3387</v>
      </c>
      <c r="I515" s="8" t="s">
        <v>3746</v>
      </c>
      <c r="J515" s="8" t="s">
        <v>3543</v>
      </c>
      <c r="K515" s="8" t="s">
        <v>3183</v>
      </c>
      <c r="L515" s="10" t="s">
        <v>3254</v>
      </c>
      <c r="M515" s="10" t="s">
        <v>3547</v>
      </c>
      <c r="N515" s="10" t="s">
        <v>3747</v>
      </c>
      <c r="O515" s="8" t="s">
        <v>322</v>
      </c>
      <c r="P515" s="8"/>
      <c r="Q515" s="8"/>
      <c r="R515" s="8">
        <v>1031056</v>
      </c>
      <c r="S515" s="8"/>
      <c r="T515" s="8"/>
      <c r="U515" s="8" t="s">
        <v>332</v>
      </c>
      <c r="V515" s="8"/>
      <c r="W515" s="8"/>
      <c r="X515" s="8"/>
      <c r="Y515" s="8"/>
      <c r="Z515" s="10" t="s">
        <v>3362</v>
      </c>
      <c r="AA515" s="8" t="s">
        <v>332</v>
      </c>
      <c r="AB515" s="8">
        <v>1</v>
      </c>
    </row>
    <row r="516" spans="1:28" ht="21.6" customHeight="1">
      <c r="A516" s="8">
        <v>289</v>
      </c>
      <c r="B516" s="8">
        <v>2025052498</v>
      </c>
      <c r="C516" s="8">
        <v>1</v>
      </c>
      <c r="D516" s="8" t="s">
        <v>3177</v>
      </c>
      <c r="E516" s="8" t="s">
        <v>118</v>
      </c>
      <c r="F516" s="8" t="s">
        <v>4002</v>
      </c>
      <c r="G516" s="8" t="s">
        <v>3386</v>
      </c>
      <c r="H516" s="8" t="s">
        <v>3829</v>
      </c>
      <c r="I516" s="8" t="s">
        <v>3752</v>
      </c>
      <c r="J516" s="8" t="s">
        <v>3543</v>
      </c>
      <c r="K516" s="8" t="s">
        <v>3183</v>
      </c>
      <c r="L516" s="10" t="s">
        <v>3254</v>
      </c>
      <c r="M516" s="10" t="s">
        <v>3547</v>
      </c>
      <c r="N516" s="10" t="s">
        <v>3753</v>
      </c>
      <c r="O516" s="8" t="s">
        <v>322</v>
      </c>
      <c r="P516" s="8"/>
      <c r="Q516" s="8"/>
      <c r="R516" s="8">
        <v>280988</v>
      </c>
      <c r="S516" s="8"/>
      <c r="T516" s="8"/>
      <c r="U516" s="8" t="s">
        <v>332</v>
      </c>
      <c r="V516" s="8"/>
      <c r="W516" s="8"/>
      <c r="X516" s="8"/>
      <c r="Y516" s="8"/>
      <c r="Z516" s="10" t="s">
        <v>3362</v>
      </c>
      <c r="AA516" s="8" t="s">
        <v>332</v>
      </c>
      <c r="AB516" s="8">
        <v>1</v>
      </c>
    </row>
    <row r="517" spans="1:28" ht="21.6" customHeight="1">
      <c r="A517" s="8">
        <v>292</v>
      </c>
      <c r="B517" s="8">
        <v>2025051792</v>
      </c>
      <c r="C517" s="8">
        <v>1</v>
      </c>
      <c r="D517" s="8" t="s">
        <v>3177</v>
      </c>
      <c r="E517" s="8" t="s">
        <v>118</v>
      </c>
      <c r="F517" s="8" t="s">
        <v>4014</v>
      </c>
      <c r="G517" s="8" t="s">
        <v>3381</v>
      </c>
      <c r="H517" s="8" t="s">
        <v>3338</v>
      </c>
      <c r="I517" s="8" t="s">
        <v>3557</v>
      </c>
      <c r="J517" s="8" t="s">
        <v>3328</v>
      </c>
      <c r="K517" s="8" t="s">
        <v>3183</v>
      </c>
      <c r="L517" s="10" t="s">
        <v>3558</v>
      </c>
      <c r="M517" s="10" t="s">
        <v>3559</v>
      </c>
      <c r="N517" s="10" t="s">
        <v>3508</v>
      </c>
      <c r="O517" s="8" t="s">
        <v>322</v>
      </c>
      <c r="P517" s="8"/>
      <c r="Q517" s="8">
        <v>2568</v>
      </c>
      <c r="R517" s="8">
        <v>999</v>
      </c>
      <c r="S517" s="8"/>
      <c r="T517" s="8"/>
      <c r="U517" s="8"/>
      <c r="V517" s="8"/>
      <c r="W517" s="8"/>
      <c r="X517" s="8"/>
      <c r="Y517" s="8" t="s">
        <v>332</v>
      </c>
      <c r="Z517" s="10" t="s">
        <v>4104</v>
      </c>
      <c r="AA517" s="8" t="s">
        <v>332</v>
      </c>
      <c r="AB517" s="8">
        <v>1</v>
      </c>
    </row>
    <row r="518" spans="1:28" ht="21.6" customHeight="1">
      <c r="A518" s="8">
        <v>295</v>
      </c>
      <c r="B518" s="8">
        <v>2025053114</v>
      </c>
      <c r="C518" s="8">
        <v>1</v>
      </c>
      <c r="D518" s="8" t="s">
        <v>3177</v>
      </c>
      <c r="E518" s="8" t="s">
        <v>118</v>
      </c>
      <c r="F518" s="8" t="s">
        <v>4017</v>
      </c>
      <c r="G518" s="8" t="s">
        <v>3204</v>
      </c>
      <c r="H518" s="8" t="s">
        <v>3427</v>
      </c>
      <c r="I518" s="8" t="s">
        <v>3572</v>
      </c>
      <c r="J518" s="8" t="s">
        <v>1717</v>
      </c>
      <c r="K518" s="8" t="s">
        <v>3183</v>
      </c>
      <c r="L518" s="10" t="s">
        <v>3472</v>
      </c>
      <c r="M518" s="10" t="s">
        <v>3410</v>
      </c>
      <c r="N518" s="10" t="s">
        <v>3442</v>
      </c>
      <c r="O518" s="8" t="s">
        <v>322</v>
      </c>
      <c r="P518" s="8"/>
      <c r="Q518" s="8"/>
      <c r="R518" s="8">
        <v>61165</v>
      </c>
      <c r="S518" s="8" t="s">
        <v>332</v>
      </c>
      <c r="T518" s="8"/>
      <c r="U518" s="8"/>
      <c r="V518" s="8"/>
      <c r="W518" s="8"/>
      <c r="X518" s="8"/>
      <c r="Y518" s="8"/>
      <c r="Z518" s="10" t="s">
        <v>3696</v>
      </c>
      <c r="AA518" s="8" t="s">
        <v>332</v>
      </c>
      <c r="AB518" s="8">
        <v>1</v>
      </c>
    </row>
    <row r="519" spans="1:28" ht="21.6" customHeight="1">
      <c r="A519" s="8">
        <v>297</v>
      </c>
      <c r="B519" s="8">
        <v>2025053165</v>
      </c>
      <c r="C519" s="8">
        <v>1</v>
      </c>
      <c r="D519" s="8" t="s">
        <v>3177</v>
      </c>
      <c r="E519" s="8" t="s">
        <v>118</v>
      </c>
      <c r="F519" s="8" t="s">
        <v>4084</v>
      </c>
      <c r="G519" s="8" t="s">
        <v>3280</v>
      </c>
      <c r="H519" s="8" t="s">
        <v>4105</v>
      </c>
      <c r="I519" s="8" t="s">
        <v>3572</v>
      </c>
      <c r="J519" s="8" t="s">
        <v>1717</v>
      </c>
      <c r="K519" s="8" t="s">
        <v>3183</v>
      </c>
      <c r="L519" s="10" t="s">
        <v>3472</v>
      </c>
      <c r="M519" s="10" t="s">
        <v>3410</v>
      </c>
      <c r="N519" s="10" t="s">
        <v>3442</v>
      </c>
      <c r="O519" s="8" t="s">
        <v>322</v>
      </c>
      <c r="P519" s="8"/>
      <c r="Q519" s="8"/>
      <c r="R519" s="8">
        <v>61165</v>
      </c>
      <c r="S519" s="8"/>
      <c r="T519" s="8"/>
      <c r="U519" s="8"/>
      <c r="V519" s="8"/>
      <c r="W519" s="8"/>
      <c r="X519" s="8"/>
      <c r="Y519" s="8" t="s">
        <v>332</v>
      </c>
      <c r="Z519" s="10" t="s">
        <v>4106</v>
      </c>
      <c r="AA519" s="8" t="s">
        <v>332</v>
      </c>
      <c r="AB519" s="8">
        <v>1</v>
      </c>
    </row>
    <row r="520" spans="1:28" ht="21.6" customHeight="1">
      <c r="A520" s="8">
        <v>302</v>
      </c>
      <c r="B520" s="8">
        <v>2025050074</v>
      </c>
      <c r="C520" s="8">
        <v>1</v>
      </c>
      <c r="D520" s="8" t="s">
        <v>3177</v>
      </c>
      <c r="E520" s="8" t="s">
        <v>118</v>
      </c>
      <c r="F520" s="8" t="s">
        <v>4059</v>
      </c>
      <c r="G520" s="8" t="s">
        <v>3354</v>
      </c>
      <c r="H520" s="8" t="s">
        <v>3401</v>
      </c>
      <c r="I520" s="8" t="s">
        <v>3573</v>
      </c>
      <c r="J520" s="8" t="s">
        <v>3574</v>
      </c>
      <c r="K520" s="8" t="s">
        <v>3183</v>
      </c>
      <c r="L520" s="10" t="s">
        <v>3398</v>
      </c>
      <c r="M520" s="10" t="s">
        <v>3575</v>
      </c>
      <c r="N520" s="10" t="s">
        <v>3576</v>
      </c>
      <c r="O520" s="8" t="s">
        <v>322</v>
      </c>
      <c r="P520" s="8"/>
      <c r="Q520" s="8"/>
      <c r="R520" s="8">
        <v>24141</v>
      </c>
      <c r="S520" s="8" t="s">
        <v>332</v>
      </c>
      <c r="T520" s="8"/>
      <c r="U520" s="8"/>
      <c r="V520" s="8"/>
      <c r="W520" s="8"/>
      <c r="X520" s="8"/>
      <c r="Y520" s="8"/>
      <c r="Z520" s="10" t="s">
        <v>3696</v>
      </c>
      <c r="AA520" s="8" t="s">
        <v>332</v>
      </c>
      <c r="AB520" s="8">
        <v>1</v>
      </c>
    </row>
    <row r="521" spans="1:28" ht="21.6" customHeight="1">
      <c r="A521" s="8">
        <v>355</v>
      </c>
      <c r="B521" s="8">
        <v>2025051903</v>
      </c>
      <c r="C521" s="8">
        <v>1</v>
      </c>
      <c r="D521" s="8" t="s">
        <v>3177</v>
      </c>
      <c r="E521" s="8" t="s">
        <v>134</v>
      </c>
      <c r="F521" s="8" t="s">
        <v>4073</v>
      </c>
      <c r="G521" s="8" t="s">
        <v>4107</v>
      </c>
      <c r="H521" s="8" t="s">
        <v>3210</v>
      </c>
      <c r="I521" s="8" t="s">
        <v>3585</v>
      </c>
      <c r="J521" s="8" t="s">
        <v>3301</v>
      </c>
      <c r="K521" s="8" t="s">
        <v>3183</v>
      </c>
      <c r="L521" s="10" t="s">
        <v>3586</v>
      </c>
      <c r="M521" s="10" t="s">
        <v>3587</v>
      </c>
      <c r="N521" s="10" t="s">
        <v>3430</v>
      </c>
      <c r="O521" s="8" t="s">
        <v>3190</v>
      </c>
      <c r="P521" s="8"/>
      <c r="Q521" s="8">
        <v>3075</v>
      </c>
      <c r="R521" s="8">
        <v>41833</v>
      </c>
      <c r="S521" s="8"/>
      <c r="T521" s="8"/>
      <c r="U521" s="8"/>
      <c r="V521" s="8"/>
      <c r="W521" s="8"/>
      <c r="X521" s="8"/>
      <c r="Y521" s="8"/>
      <c r="Z521" s="10"/>
      <c r="AA521" s="8" t="s">
        <v>332</v>
      </c>
      <c r="AB521" s="8">
        <v>1</v>
      </c>
    </row>
    <row r="522" spans="1:28" ht="21.6" customHeight="1">
      <c r="A522" s="8">
        <v>356</v>
      </c>
      <c r="B522" s="8">
        <v>2025051904</v>
      </c>
      <c r="C522" s="8">
        <v>1</v>
      </c>
      <c r="D522" s="8" t="s">
        <v>3177</v>
      </c>
      <c r="E522" s="8" t="s">
        <v>134</v>
      </c>
      <c r="F522" s="8" t="s">
        <v>4073</v>
      </c>
      <c r="G522" s="8" t="s">
        <v>4107</v>
      </c>
      <c r="H522" s="8" t="s">
        <v>3210</v>
      </c>
      <c r="I522" s="8" t="s">
        <v>3592</v>
      </c>
      <c r="J522" s="8" t="s">
        <v>3301</v>
      </c>
      <c r="K522" s="8" t="s">
        <v>3183</v>
      </c>
      <c r="L522" s="10" t="s">
        <v>3586</v>
      </c>
      <c r="M522" s="10" t="s">
        <v>3587</v>
      </c>
      <c r="N522" s="10" t="s">
        <v>3430</v>
      </c>
      <c r="O522" s="8" t="s">
        <v>3190</v>
      </c>
      <c r="P522" s="8"/>
      <c r="Q522" s="8">
        <v>4875</v>
      </c>
      <c r="R522" s="8">
        <v>71456</v>
      </c>
      <c r="S522" s="8"/>
      <c r="T522" s="8"/>
      <c r="U522" s="8"/>
      <c r="V522" s="8"/>
      <c r="W522" s="8"/>
      <c r="X522" s="8"/>
      <c r="Y522" s="8"/>
      <c r="Z522" s="10"/>
      <c r="AA522" s="8" t="s">
        <v>332</v>
      </c>
      <c r="AB522" s="8">
        <v>1</v>
      </c>
    </row>
    <row r="523" spans="1:28" ht="21.6" customHeight="1">
      <c r="A523" s="8">
        <v>375</v>
      </c>
      <c r="B523" s="8">
        <v>2025053592</v>
      </c>
      <c r="C523" s="8">
        <v>1</v>
      </c>
      <c r="D523" s="8" t="s">
        <v>3177</v>
      </c>
      <c r="E523" s="8" t="s">
        <v>134</v>
      </c>
      <c r="F523" s="8" t="s">
        <v>4043</v>
      </c>
      <c r="G523" s="8" t="s">
        <v>3368</v>
      </c>
      <c r="H523" s="8" t="s">
        <v>3311</v>
      </c>
      <c r="I523" s="8" t="s">
        <v>3999</v>
      </c>
      <c r="J523" s="8" t="s">
        <v>3597</v>
      </c>
      <c r="K523" s="8" t="s">
        <v>3579</v>
      </c>
      <c r="L523" s="10" t="s">
        <v>3598</v>
      </c>
      <c r="M523" s="10" t="s">
        <v>3599</v>
      </c>
      <c r="N523" s="10" t="s">
        <v>3881</v>
      </c>
      <c r="O523" s="8" t="s">
        <v>363</v>
      </c>
      <c r="P523" s="8"/>
      <c r="Q523" s="8"/>
      <c r="R523" s="8">
        <v>0</v>
      </c>
      <c r="S523" s="8"/>
      <c r="T523" s="8"/>
      <c r="U523" s="8"/>
      <c r="V523" s="8"/>
      <c r="W523" s="8"/>
      <c r="X523" s="8"/>
      <c r="Y523" s="8"/>
      <c r="Z523" s="10" t="s">
        <v>4108</v>
      </c>
      <c r="AA523" s="8" t="s">
        <v>332</v>
      </c>
      <c r="AB523" s="8">
        <v>1</v>
      </c>
    </row>
    <row r="524" spans="1:28" ht="21.6" customHeight="1">
      <c r="A524" s="8">
        <v>3</v>
      </c>
      <c r="B524" s="8">
        <v>2025062263</v>
      </c>
      <c r="C524" s="8">
        <v>1</v>
      </c>
      <c r="D524" s="8" t="s">
        <v>3177</v>
      </c>
      <c r="E524" s="8" t="s">
        <v>123</v>
      </c>
      <c r="F524" s="8" t="s">
        <v>3178</v>
      </c>
      <c r="G524" s="8" t="s">
        <v>4109</v>
      </c>
      <c r="H524" s="8" t="s">
        <v>3920</v>
      </c>
      <c r="I524" s="8" t="s">
        <v>3194</v>
      </c>
      <c r="J524" s="8" t="s">
        <v>3195</v>
      </c>
      <c r="K524" s="8" t="s">
        <v>3183</v>
      </c>
      <c r="L524" s="10" t="s">
        <v>3196</v>
      </c>
      <c r="M524" s="10" t="s">
        <v>3197</v>
      </c>
      <c r="N524" s="10" t="s">
        <v>123</v>
      </c>
      <c r="O524" s="8" t="s">
        <v>3190</v>
      </c>
      <c r="P524" s="8"/>
      <c r="Q524" s="8">
        <v>82</v>
      </c>
      <c r="R524" s="8">
        <v>3200</v>
      </c>
      <c r="S524" s="8"/>
      <c r="T524" s="8"/>
      <c r="U524" s="8"/>
      <c r="V524" s="8"/>
      <c r="W524" s="8"/>
      <c r="X524" s="8"/>
      <c r="Y524" s="8"/>
      <c r="Z524" s="10" t="s">
        <v>3190</v>
      </c>
      <c r="AA524" s="8" t="s">
        <v>332</v>
      </c>
      <c r="AB524" s="8">
        <v>1</v>
      </c>
    </row>
    <row r="525" spans="1:28" ht="21.6" customHeight="1">
      <c r="A525" s="8">
        <v>4</v>
      </c>
      <c r="B525" s="8">
        <v>2025062246</v>
      </c>
      <c r="C525" s="8">
        <v>1</v>
      </c>
      <c r="D525" s="8" t="s">
        <v>3177</v>
      </c>
      <c r="E525" s="8" t="s">
        <v>123</v>
      </c>
      <c r="F525" s="8" t="s">
        <v>3178</v>
      </c>
      <c r="G525" s="8" t="s">
        <v>4110</v>
      </c>
      <c r="H525" s="8" t="s">
        <v>3232</v>
      </c>
      <c r="I525" s="8" t="s">
        <v>3200</v>
      </c>
      <c r="J525" s="8" t="s">
        <v>3195</v>
      </c>
      <c r="K525" s="8" t="s">
        <v>3183</v>
      </c>
      <c r="L525" s="10" t="s">
        <v>3201</v>
      </c>
      <c r="M525" s="10" t="s">
        <v>3202</v>
      </c>
      <c r="N525" s="10" t="s">
        <v>3885</v>
      </c>
      <c r="O525" s="8" t="s">
        <v>3190</v>
      </c>
      <c r="P525" s="8"/>
      <c r="Q525" s="8">
        <v>2166</v>
      </c>
      <c r="R525" s="8">
        <v>16983</v>
      </c>
      <c r="S525" s="8"/>
      <c r="T525" s="8"/>
      <c r="U525" s="8"/>
      <c r="V525" s="8"/>
      <c r="W525" s="8"/>
      <c r="X525" s="8"/>
      <c r="Y525" s="8"/>
      <c r="Z525" s="10" t="s">
        <v>3190</v>
      </c>
      <c r="AA525" s="8" t="s">
        <v>332</v>
      </c>
      <c r="AB525" s="8">
        <v>1</v>
      </c>
    </row>
    <row r="526" spans="1:28" ht="21.6" customHeight="1">
      <c r="A526" s="8">
        <v>5</v>
      </c>
      <c r="B526" s="8">
        <v>2025061614</v>
      </c>
      <c r="C526" s="8">
        <v>1</v>
      </c>
      <c r="D526" s="8" t="s">
        <v>3177</v>
      </c>
      <c r="E526" s="8" t="s">
        <v>123</v>
      </c>
      <c r="F526" s="8" t="s">
        <v>4111</v>
      </c>
      <c r="G526" s="8" t="s">
        <v>3374</v>
      </c>
      <c r="H526" s="8" t="s">
        <v>3584</v>
      </c>
      <c r="I526" s="8" t="s">
        <v>3206</v>
      </c>
      <c r="J526" s="8" t="s">
        <v>3195</v>
      </c>
      <c r="K526" s="8" t="s">
        <v>3183</v>
      </c>
      <c r="L526" s="10" t="s">
        <v>3207</v>
      </c>
      <c r="M526" s="10" t="s">
        <v>3208</v>
      </c>
      <c r="N526" s="10" t="s">
        <v>3209</v>
      </c>
      <c r="O526" s="8" t="s">
        <v>322</v>
      </c>
      <c r="P526" s="8"/>
      <c r="Q526" s="8">
        <v>32976</v>
      </c>
      <c r="R526" s="8">
        <v>65007</v>
      </c>
      <c r="S526" s="8" t="s">
        <v>332</v>
      </c>
      <c r="T526" s="8"/>
      <c r="U526" s="8"/>
      <c r="V526" s="8"/>
      <c r="W526" s="8"/>
      <c r="X526" s="8"/>
      <c r="Y526" s="8"/>
      <c r="Z526" s="10" t="s">
        <v>3186</v>
      </c>
      <c r="AA526" s="8" t="s">
        <v>332</v>
      </c>
      <c r="AB526" s="8">
        <v>1</v>
      </c>
    </row>
    <row r="527" spans="1:28" ht="21.6" customHeight="1">
      <c r="A527" s="8">
        <v>7</v>
      </c>
      <c r="B527" s="8">
        <v>2025062264</v>
      </c>
      <c r="C527" s="8">
        <v>1</v>
      </c>
      <c r="D527" s="8" t="s">
        <v>3177</v>
      </c>
      <c r="E527" s="8" t="s">
        <v>123</v>
      </c>
      <c r="F527" s="8" t="s">
        <v>3178</v>
      </c>
      <c r="G527" s="8" t="s">
        <v>3920</v>
      </c>
      <c r="H527" s="8" t="s">
        <v>4112</v>
      </c>
      <c r="I527" s="8" t="s">
        <v>3212</v>
      </c>
      <c r="J527" s="8" t="s">
        <v>3195</v>
      </c>
      <c r="K527" s="8" t="s">
        <v>3183</v>
      </c>
      <c r="L527" s="10" t="s">
        <v>3213</v>
      </c>
      <c r="M527" s="10" t="s">
        <v>3214</v>
      </c>
      <c r="N527" s="10" t="s">
        <v>3215</v>
      </c>
      <c r="O527" s="8" t="s">
        <v>3190</v>
      </c>
      <c r="P527" s="8"/>
      <c r="Q527" s="8">
        <v>128</v>
      </c>
      <c r="R527" s="8">
        <v>800</v>
      </c>
      <c r="S527" s="8"/>
      <c r="T527" s="8"/>
      <c r="U527" s="8"/>
      <c r="V527" s="8"/>
      <c r="W527" s="8"/>
      <c r="X527" s="8"/>
      <c r="Y527" s="8"/>
      <c r="Z527" s="10" t="s">
        <v>3190</v>
      </c>
      <c r="AA527" s="8" t="s">
        <v>332</v>
      </c>
      <c r="AB527" s="8">
        <v>1</v>
      </c>
    </row>
    <row r="528" spans="1:28" ht="21.6" customHeight="1">
      <c r="A528" s="8">
        <v>8</v>
      </c>
      <c r="B528" s="8">
        <v>2025062252</v>
      </c>
      <c r="C528" s="8">
        <v>1</v>
      </c>
      <c r="D528" s="8" t="s">
        <v>3177</v>
      </c>
      <c r="E528" s="8" t="s">
        <v>123</v>
      </c>
      <c r="F528" s="8" t="s">
        <v>3178</v>
      </c>
      <c r="G528" s="8" t="s">
        <v>4113</v>
      </c>
      <c r="H528" s="8" t="s">
        <v>3381</v>
      </c>
      <c r="I528" s="8" t="s">
        <v>3218</v>
      </c>
      <c r="J528" s="8" t="s">
        <v>3195</v>
      </c>
      <c r="K528" s="8" t="s">
        <v>3183</v>
      </c>
      <c r="L528" s="10" t="s">
        <v>3219</v>
      </c>
      <c r="M528" s="10" t="s">
        <v>3220</v>
      </c>
      <c r="N528" s="10"/>
      <c r="O528" s="8" t="s">
        <v>3190</v>
      </c>
      <c r="P528" s="8"/>
      <c r="Q528" s="8">
        <v>150</v>
      </c>
      <c r="R528" s="8">
        <v>6605</v>
      </c>
      <c r="S528" s="8"/>
      <c r="T528" s="8"/>
      <c r="U528" s="8"/>
      <c r="V528" s="8"/>
      <c r="W528" s="8"/>
      <c r="X528" s="8"/>
      <c r="Y528" s="8"/>
      <c r="Z528" s="10" t="s">
        <v>3190</v>
      </c>
      <c r="AA528" s="8" t="s">
        <v>332</v>
      </c>
      <c r="AB528" s="8">
        <v>1</v>
      </c>
    </row>
    <row r="529" spans="1:28" ht="21.6" customHeight="1">
      <c r="A529" s="8">
        <v>9</v>
      </c>
      <c r="B529" s="8">
        <v>2025062251</v>
      </c>
      <c r="C529" s="8">
        <v>1</v>
      </c>
      <c r="D529" s="8" t="s">
        <v>3177</v>
      </c>
      <c r="E529" s="8" t="s">
        <v>123</v>
      </c>
      <c r="F529" s="8" t="s">
        <v>3178</v>
      </c>
      <c r="G529" s="8" t="s">
        <v>4114</v>
      </c>
      <c r="H529" s="8" t="s">
        <v>3509</v>
      </c>
      <c r="I529" s="8" t="s">
        <v>3223</v>
      </c>
      <c r="J529" s="8" t="s">
        <v>3224</v>
      </c>
      <c r="K529" s="8" t="s">
        <v>3183</v>
      </c>
      <c r="L529" s="10" t="s">
        <v>3225</v>
      </c>
      <c r="M529" s="10" t="s">
        <v>3226</v>
      </c>
      <c r="N529" s="10" t="s">
        <v>3227</v>
      </c>
      <c r="O529" s="8" t="s">
        <v>3190</v>
      </c>
      <c r="P529" s="8"/>
      <c r="Q529" s="8">
        <v>330</v>
      </c>
      <c r="R529" s="8">
        <v>1552</v>
      </c>
      <c r="S529" s="8"/>
      <c r="T529" s="8"/>
      <c r="U529" s="8"/>
      <c r="V529" s="8"/>
      <c r="W529" s="8"/>
      <c r="X529" s="8"/>
      <c r="Y529" s="8"/>
      <c r="Z529" s="10" t="s">
        <v>3190</v>
      </c>
      <c r="AA529" s="8" t="s">
        <v>332</v>
      </c>
      <c r="AB529" s="8">
        <v>1</v>
      </c>
    </row>
    <row r="530" spans="1:28" ht="21.6" customHeight="1">
      <c r="A530" s="8">
        <v>10</v>
      </c>
      <c r="B530" s="8">
        <v>2025062261</v>
      </c>
      <c r="C530" s="8">
        <v>1</v>
      </c>
      <c r="D530" s="8" t="s">
        <v>3177</v>
      </c>
      <c r="E530" s="8" t="s">
        <v>123</v>
      </c>
      <c r="F530" s="8" t="s">
        <v>3178</v>
      </c>
      <c r="G530" s="8" t="s">
        <v>3969</v>
      </c>
      <c r="H530" s="8" t="s">
        <v>3291</v>
      </c>
      <c r="I530" s="8" t="s">
        <v>3229</v>
      </c>
      <c r="J530" s="8" t="s">
        <v>3224</v>
      </c>
      <c r="K530" s="8" t="s">
        <v>3183</v>
      </c>
      <c r="L530" s="10" t="s">
        <v>3230</v>
      </c>
      <c r="M530" s="10" t="s">
        <v>3231</v>
      </c>
      <c r="N530" s="10" t="s">
        <v>3215</v>
      </c>
      <c r="O530" s="8" t="s">
        <v>3190</v>
      </c>
      <c r="P530" s="8"/>
      <c r="Q530" s="8">
        <v>3301</v>
      </c>
      <c r="R530" s="8">
        <v>3201</v>
      </c>
      <c r="S530" s="8"/>
      <c r="T530" s="8"/>
      <c r="U530" s="8"/>
      <c r="V530" s="8"/>
      <c r="W530" s="8"/>
      <c r="X530" s="8"/>
      <c r="Y530" s="8"/>
      <c r="Z530" s="10" t="s">
        <v>3190</v>
      </c>
      <c r="AA530" s="8" t="s">
        <v>332</v>
      </c>
      <c r="AB530" s="8">
        <v>1</v>
      </c>
    </row>
    <row r="531" spans="1:28" ht="21.6" customHeight="1">
      <c r="A531" s="8">
        <v>11</v>
      </c>
      <c r="B531" s="8">
        <v>2025062260</v>
      </c>
      <c r="C531" s="8">
        <v>1</v>
      </c>
      <c r="D531" s="8" t="s">
        <v>3177</v>
      </c>
      <c r="E531" s="8" t="s">
        <v>123</v>
      </c>
      <c r="F531" s="8" t="s">
        <v>3178</v>
      </c>
      <c r="G531" s="8" t="s">
        <v>3577</v>
      </c>
      <c r="H531" s="8" t="s">
        <v>3357</v>
      </c>
      <c r="I531" s="8" t="s">
        <v>3234</v>
      </c>
      <c r="J531" s="8" t="s">
        <v>3224</v>
      </c>
      <c r="K531" s="8" t="s">
        <v>3183</v>
      </c>
      <c r="L531" s="10" t="s">
        <v>3235</v>
      </c>
      <c r="M531" s="10" t="s">
        <v>3236</v>
      </c>
      <c r="N531" s="10" t="s">
        <v>3237</v>
      </c>
      <c r="O531" s="8" t="s">
        <v>3190</v>
      </c>
      <c r="P531" s="8"/>
      <c r="Q531" s="8">
        <v>1237</v>
      </c>
      <c r="R531" s="8">
        <v>57310</v>
      </c>
      <c r="S531" s="8"/>
      <c r="T531" s="8"/>
      <c r="U531" s="8"/>
      <c r="V531" s="8"/>
      <c r="W531" s="8"/>
      <c r="X531" s="8"/>
      <c r="Y531" s="8"/>
      <c r="Z531" s="10" t="s">
        <v>3190</v>
      </c>
      <c r="AA531" s="8" t="s">
        <v>332</v>
      </c>
      <c r="AB531" s="8">
        <v>1</v>
      </c>
    </row>
    <row r="532" spans="1:28" ht="21.6" customHeight="1">
      <c r="A532" s="8">
        <v>12</v>
      </c>
      <c r="B532" s="8">
        <v>2025062534</v>
      </c>
      <c r="C532" s="8">
        <v>1</v>
      </c>
      <c r="D532" s="8" t="s">
        <v>3177</v>
      </c>
      <c r="E532" s="8" t="s">
        <v>123</v>
      </c>
      <c r="F532" s="8" t="s">
        <v>4115</v>
      </c>
      <c r="G532" s="8" t="s">
        <v>4116</v>
      </c>
      <c r="H532" s="8" t="s">
        <v>4036</v>
      </c>
      <c r="I532" s="8" t="s">
        <v>3240</v>
      </c>
      <c r="J532" s="8" t="s">
        <v>3224</v>
      </c>
      <c r="K532" s="8" t="s">
        <v>3183</v>
      </c>
      <c r="L532" s="10" t="s">
        <v>3241</v>
      </c>
      <c r="M532" s="10" t="s">
        <v>3242</v>
      </c>
      <c r="N532" s="10"/>
      <c r="O532" s="8" t="s">
        <v>322</v>
      </c>
      <c r="P532" s="8"/>
      <c r="Q532" s="8">
        <v>2148</v>
      </c>
      <c r="R532" s="8">
        <v>1161</v>
      </c>
      <c r="S532" s="8" t="s">
        <v>332</v>
      </c>
      <c r="T532" s="8"/>
      <c r="U532" s="8"/>
      <c r="V532" s="8"/>
      <c r="W532" s="8"/>
      <c r="X532" s="8"/>
      <c r="Y532" s="8"/>
      <c r="Z532" s="10" t="s">
        <v>3186</v>
      </c>
      <c r="AA532" s="8" t="s">
        <v>332</v>
      </c>
      <c r="AB532" s="8">
        <v>1</v>
      </c>
    </row>
    <row r="533" spans="1:28" ht="21.6" customHeight="1">
      <c r="A533" s="8">
        <v>14</v>
      </c>
      <c r="B533" s="8">
        <v>2025062258</v>
      </c>
      <c r="C533" s="8">
        <v>1</v>
      </c>
      <c r="D533" s="8" t="s">
        <v>3177</v>
      </c>
      <c r="E533" s="8" t="s">
        <v>123</v>
      </c>
      <c r="F533" s="8" t="s">
        <v>3178</v>
      </c>
      <c r="G533" s="8" t="s">
        <v>3828</v>
      </c>
      <c r="H533" s="8" t="s">
        <v>3751</v>
      </c>
      <c r="I533" s="8" t="s">
        <v>3246</v>
      </c>
      <c r="J533" s="8" t="s">
        <v>3224</v>
      </c>
      <c r="K533" s="8" t="s">
        <v>3183</v>
      </c>
      <c r="L533" s="10" t="s">
        <v>3247</v>
      </c>
      <c r="M533" s="10" t="s">
        <v>3248</v>
      </c>
      <c r="N533" s="10" t="s">
        <v>3215</v>
      </c>
      <c r="O533" s="8" t="s">
        <v>3190</v>
      </c>
      <c r="P533" s="8"/>
      <c r="Q533" s="8">
        <v>593</v>
      </c>
      <c r="R533" s="8">
        <v>1589</v>
      </c>
      <c r="S533" s="8"/>
      <c r="T533" s="8"/>
      <c r="U533" s="8"/>
      <c r="V533" s="8"/>
      <c r="W533" s="8"/>
      <c r="X533" s="8"/>
      <c r="Y533" s="8"/>
      <c r="Z533" s="10" t="s">
        <v>3190</v>
      </c>
      <c r="AA533" s="8" t="s">
        <v>332</v>
      </c>
      <c r="AB533" s="8">
        <v>1</v>
      </c>
    </row>
    <row r="534" spans="1:28" ht="21.6" customHeight="1">
      <c r="A534" s="8">
        <v>17</v>
      </c>
      <c r="B534" s="8">
        <v>2025061612</v>
      </c>
      <c r="C534" s="8">
        <v>1</v>
      </c>
      <c r="D534" s="8" t="s">
        <v>3177</v>
      </c>
      <c r="E534" s="8" t="s">
        <v>123</v>
      </c>
      <c r="F534" s="8" t="s">
        <v>4111</v>
      </c>
      <c r="G534" s="8" t="s">
        <v>3859</v>
      </c>
      <c r="H534" s="8" t="s">
        <v>3805</v>
      </c>
      <c r="I534" s="8" t="s">
        <v>3259</v>
      </c>
      <c r="J534" s="8" t="s">
        <v>3253</v>
      </c>
      <c r="K534" s="8" t="s">
        <v>3183</v>
      </c>
      <c r="L534" s="10" t="s">
        <v>3207</v>
      </c>
      <c r="M534" s="10" t="s">
        <v>3208</v>
      </c>
      <c r="N534" s="10" t="s">
        <v>3260</v>
      </c>
      <c r="O534" s="8" t="s">
        <v>322</v>
      </c>
      <c r="P534" s="8"/>
      <c r="Q534" s="8"/>
      <c r="R534" s="8">
        <v>83669</v>
      </c>
      <c r="S534" s="8" t="s">
        <v>332</v>
      </c>
      <c r="T534" s="8"/>
      <c r="U534" s="8"/>
      <c r="V534" s="8"/>
      <c r="W534" s="8"/>
      <c r="X534" s="8"/>
      <c r="Y534" s="8"/>
      <c r="Z534" s="10" t="s">
        <v>3186</v>
      </c>
      <c r="AA534" s="8" t="s">
        <v>332</v>
      </c>
      <c r="AB534" s="8">
        <v>1</v>
      </c>
    </row>
    <row r="535" spans="1:28" ht="21.6" customHeight="1">
      <c r="A535" s="8">
        <v>19</v>
      </c>
      <c r="B535" s="8">
        <v>2025063257</v>
      </c>
      <c r="C535" s="8">
        <v>1</v>
      </c>
      <c r="D535" s="8" t="s">
        <v>3177</v>
      </c>
      <c r="E535" s="8" t="s">
        <v>123</v>
      </c>
      <c r="F535" s="8" t="s">
        <v>4117</v>
      </c>
      <c r="G535" s="8" t="s">
        <v>3204</v>
      </c>
      <c r="H535" s="8" t="s">
        <v>4118</v>
      </c>
      <c r="I535" s="8" t="s">
        <v>3259</v>
      </c>
      <c r="J535" s="8" t="s">
        <v>3253</v>
      </c>
      <c r="K535" s="8" t="s">
        <v>3183</v>
      </c>
      <c r="L535" s="10" t="s">
        <v>3207</v>
      </c>
      <c r="M535" s="10" t="s">
        <v>3208</v>
      </c>
      <c r="N535" s="10" t="s">
        <v>3260</v>
      </c>
      <c r="O535" s="8" t="s">
        <v>363</v>
      </c>
      <c r="P535" s="8"/>
      <c r="Q535" s="8"/>
      <c r="R535" s="8">
        <v>83669</v>
      </c>
      <c r="S535" s="8"/>
      <c r="T535" s="8"/>
      <c r="U535" s="8"/>
      <c r="V535" s="8"/>
      <c r="W535" s="8"/>
      <c r="X535" s="8"/>
      <c r="Y535" s="8"/>
      <c r="Z535" s="10" t="s">
        <v>4119</v>
      </c>
      <c r="AA535" s="8" t="s">
        <v>332</v>
      </c>
      <c r="AB535" s="8">
        <v>1</v>
      </c>
    </row>
    <row r="536" spans="1:28" ht="21.6" customHeight="1">
      <c r="A536" s="8">
        <v>22</v>
      </c>
      <c r="B536" s="8">
        <v>2025062255</v>
      </c>
      <c r="C536" s="8">
        <v>1</v>
      </c>
      <c r="D536" s="8" t="s">
        <v>3177</v>
      </c>
      <c r="E536" s="8" t="s">
        <v>123</v>
      </c>
      <c r="F536" s="8" t="s">
        <v>3178</v>
      </c>
      <c r="G536" s="8" t="s">
        <v>3188</v>
      </c>
      <c r="H536" s="8" t="s">
        <v>3354</v>
      </c>
      <c r="I536" s="8" t="s">
        <v>3263</v>
      </c>
      <c r="J536" s="8" t="s">
        <v>3253</v>
      </c>
      <c r="K536" s="8" t="s">
        <v>3183</v>
      </c>
      <c r="L536" s="10" t="s">
        <v>3264</v>
      </c>
      <c r="M536" s="10" t="s">
        <v>3265</v>
      </c>
      <c r="N536" s="10" t="s">
        <v>123</v>
      </c>
      <c r="O536" s="8" t="s">
        <v>3190</v>
      </c>
      <c r="P536" s="8"/>
      <c r="Q536" s="8"/>
      <c r="R536" s="8">
        <v>48610</v>
      </c>
      <c r="S536" s="8"/>
      <c r="T536" s="8"/>
      <c r="U536" s="8"/>
      <c r="V536" s="8"/>
      <c r="W536" s="8"/>
      <c r="X536" s="8"/>
      <c r="Y536" s="8"/>
      <c r="Z536" s="10" t="s">
        <v>3190</v>
      </c>
      <c r="AA536" s="8" t="s">
        <v>332</v>
      </c>
      <c r="AB536" s="8">
        <v>1</v>
      </c>
    </row>
    <row r="537" spans="1:28" ht="21.6" customHeight="1">
      <c r="A537" s="8">
        <v>25</v>
      </c>
      <c r="B537" s="8">
        <v>2025060327</v>
      </c>
      <c r="C537" s="8">
        <v>1</v>
      </c>
      <c r="D537" s="8" t="s">
        <v>3177</v>
      </c>
      <c r="E537" s="8" t="s">
        <v>123</v>
      </c>
      <c r="F537" s="8" t="s">
        <v>4120</v>
      </c>
      <c r="G537" s="8" t="s">
        <v>3648</v>
      </c>
      <c r="H537" s="8" t="s">
        <v>4121</v>
      </c>
      <c r="I537" s="8" t="s">
        <v>3269</v>
      </c>
      <c r="J537" s="8" t="s">
        <v>3253</v>
      </c>
      <c r="K537" s="8" t="s">
        <v>3183</v>
      </c>
      <c r="L537" s="10" t="s">
        <v>3270</v>
      </c>
      <c r="M537" s="10" t="s">
        <v>3271</v>
      </c>
      <c r="N537" s="10" t="s">
        <v>3272</v>
      </c>
      <c r="O537" s="8" t="s">
        <v>322</v>
      </c>
      <c r="P537" s="8"/>
      <c r="Q537" s="8"/>
      <c r="R537" s="8">
        <v>23390</v>
      </c>
      <c r="S537" s="8" t="s">
        <v>332</v>
      </c>
      <c r="T537" s="8"/>
      <c r="U537" s="8"/>
      <c r="V537" s="8"/>
      <c r="W537" s="8"/>
      <c r="X537" s="8"/>
      <c r="Y537" s="8"/>
      <c r="Z537" s="10" t="s">
        <v>3186</v>
      </c>
      <c r="AA537" s="8" t="s">
        <v>332</v>
      </c>
      <c r="AB537" s="8">
        <v>1</v>
      </c>
    </row>
    <row r="538" spans="1:28" ht="21.6" customHeight="1">
      <c r="A538" s="8">
        <v>27</v>
      </c>
      <c r="B538" s="8">
        <v>2025062768</v>
      </c>
      <c r="C538" s="8">
        <v>1</v>
      </c>
      <c r="D538" s="8" t="s">
        <v>3177</v>
      </c>
      <c r="E538" s="8" t="s">
        <v>123</v>
      </c>
      <c r="F538" s="8" t="s">
        <v>4122</v>
      </c>
      <c r="G538" s="8" t="s">
        <v>3744</v>
      </c>
      <c r="H538" s="8" t="s">
        <v>4123</v>
      </c>
      <c r="I538" s="8" t="s">
        <v>3908</v>
      </c>
      <c r="J538" s="8" t="s">
        <v>3253</v>
      </c>
      <c r="K538" s="8" t="s">
        <v>3183</v>
      </c>
      <c r="L538" s="10" t="s">
        <v>3629</v>
      </c>
      <c r="M538" s="10" t="s">
        <v>3909</v>
      </c>
      <c r="N538" s="10" t="s">
        <v>123</v>
      </c>
      <c r="O538" s="8" t="s">
        <v>3190</v>
      </c>
      <c r="P538" s="8"/>
      <c r="Q538" s="8"/>
      <c r="R538" s="8">
        <v>29024</v>
      </c>
      <c r="S538" s="8"/>
      <c r="T538" s="8"/>
      <c r="U538" s="8"/>
      <c r="V538" s="8"/>
      <c r="W538" s="8"/>
      <c r="X538" s="8"/>
      <c r="Y538" s="8"/>
      <c r="Z538" s="10" t="s">
        <v>3186</v>
      </c>
      <c r="AA538" s="8" t="s">
        <v>332</v>
      </c>
      <c r="AB538" s="8">
        <v>1</v>
      </c>
    </row>
    <row r="539" spans="1:28" ht="21.6" customHeight="1">
      <c r="A539" s="8">
        <v>29</v>
      </c>
      <c r="B539" s="8">
        <v>2025061157</v>
      </c>
      <c r="C539" s="8">
        <v>1</v>
      </c>
      <c r="D539" s="8" t="s">
        <v>3177</v>
      </c>
      <c r="E539" s="8" t="s">
        <v>123</v>
      </c>
      <c r="F539" s="8" t="s">
        <v>4124</v>
      </c>
      <c r="G539" s="8" t="s">
        <v>3251</v>
      </c>
      <c r="H539" s="8" t="s">
        <v>3806</v>
      </c>
      <c r="I539" s="8" t="s">
        <v>3276</v>
      </c>
      <c r="J539" s="8" t="s">
        <v>3277</v>
      </c>
      <c r="K539" s="8" t="s">
        <v>3183</v>
      </c>
      <c r="L539" s="10" t="s">
        <v>3278</v>
      </c>
      <c r="M539" s="10" t="s">
        <v>3279</v>
      </c>
      <c r="N539" s="10" t="s">
        <v>123</v>
      </c>
      <c r="O539" s="8" t="s">
        <v>322</v>
      </c>
      <c r="P539" s="8"/>
      <c r="Q539" s="8"/>
      <c r="R539" s="8">
        <v>58768</v>
      </c>
      <c r="S539" s="8" t="s">
        <v>332</v>
      </c>
      <c r="T539" s="8"/>
      <c r="U539" s="8"/>
      <c r="V539" s="8"/>
      <c r="W539" s="8"/>
      <c r="X539" s="8"/>
      <c r="Y539" s="8"/>
      <c r="Z539" s="10" t="s">
        <v>3186</v>
      </c>
      <c r="AA539" s="8" t="s">
        <v>332</v>
      </c>
      <c r="AB539" s="8">
        <v>1</v>
      </c>
    </row>
    <row r="540" spans="1:28" ht="21.6" customHeight="1">
      <c r="A540" s="8">
        <v>31</v>
      </c>
      <c r="B540" s="8">
        <v>2025061051</v>
      </c>
      <c r="C540" s="8">
        <v>1</v>
      </c>
      <c r="D540" s="8" t="s">
        <v>3177</v>
      </c>
      <c r="E540" s="8" t="s">
        <v>123</v>
      </c>
      <c r="F540" s="8" t="s">
        <v>4124</v>
      </c>
      <c r="G540" s="8" t="s">
        <v>3982</v>
      </c>
      <c r="H540" s="8" t="s">
        <v>3233</v>
      </c>
      <c r="I540" s="8" t="s">
        <v>3282</v>
      </c>
      <c r="J540" s="8" t="s">
        <v>3277</v>
      </c>
      <c r="K540" s="8" t="s">
        <v>3183</v>
      </c>
      <c r="L540" s="10" t="s">
        <v>3283</v>
      </c>
      <c r="M540" s="10" t="s">
        <v>3284</v>
      </c>
      <c r="N540" s="10"/>
      <c r="O540" s="8" t="s">
        <v>3190</v>
      </c>
      <c r="P540" s="8"/>
      <c r="Q540" s="8"/>
      <c r="R540" s="8">
        <v>24400</v>
      </c>
      <c r="S540" s="8"/>
      <c r="T540" s="8"/>
      <c r="U540" s="8"/>
      <c r="V540" s="8"/>
      <c r="W540" s="8"/>
      <c r="X540" s="8"/>
      <c r="Y540" s="8"/>
      <c r="Z540" s="10" t="s">
        <v>3190</v>
      </c>
      <c r="AA540" s="8" t="s">
        <v>332</v>
      </c>
      <c r="AB540" s="8">
        <v>1</v>
      </c>
    </row>
    <row r="541" spans="1:28" ht="21.6" customHeight="1">
      <c r="A541" s="8">
        <v>32</v>
      </c>
      <c r="B541" s="8">
        <v>2025061073</v>
      </c>
      <c r="C541" s="8">
        <v>1</v>
      </c>
      <c r="D541" s="8" t="s">
        <v>3177</v>
      </c>
      <c r="E541" s="8" t="s">
        <v>123</v>
      </c>
      <c r="F541" s="8" t="s">
        <v>4125</v>
      </c>
      <c r="G541" s="8" t="s">
        <v>3386</v>
      </c>
      <c r="H541" s="8" t="s">
        <v>4027</v>
      </c>
      <c r="I541" s="8" t="s">
        <v>3282</v>
      </c>
      <c r="J541" s="8" t="s">
        <v>3277</v>
      </c>
      <c r="K541" s="8" t="s">
        <v>3183</v>
      </c>
      <c r="L541" s="10" t="s">
        <v>3283</v>
      </c>
      <c r="M541" s="10" t="s">
        <v>3284</v>
      </c>
      <c r="N541" s="10"/>
      <c r="O541" s="8" t="s">
        <v>363</v>
      </c>
      <c r="P541" s="8"/>
      <c r="Q541" s="8"/>
      <c r="R541" s="8">
        <v>24400</v>
      </c>
      <c r="S541" s="8"/>
      <c r="T541" s="8"/>
      <c r="U541" s="8"/>
      <c r="V541" s="8"/>
      <c r="W541" s="8"/>
      <c r="X541" s="8"/>
      <c r="Y541" s="8"/>
      <c r="Z541" s="10" t="s">
        <v>4126</v>
      </c>
      <c r="AA541" s="8" t="s">
        <v>332</v>
      </c>
      <c r="AB541" s="8">
        <v>1</v>
      </c>
    </row>
    <row r="542" spans="1:28" ht="21.6" customHeight="1">
      <c r="A542" s="8">
        <v>33</v>
      </c>
      <c r="B542" s="8">
        <v>2025062239</v>
      </c>
      <c r="C542" s="8">
        <v>1</v>
      </c>
      <c r="D542" s="8" t="s">
        <v>3177</v>
      </c>
      <c r="E542" s="8" t="s">
        <v>123</v>
      </c>
      <c r="F542" s="8" t="s">
        <v>3178</v>
      </c>
      <c r="G542" s="8" t="s">
        <v>3280</v>
      </c>
      <c r="H542" s="8" t="s">
        <v>3762</v>
      </c>
      <c r="I542" s="8" t="s">
        <v>3287</v>
      </c>
      <c r="J542" s="8" t="s">
        <v>3288</v>
      </c>
      <c r="K542" s="8" t="s">
        <v>3183</v>
      </c>
      <c r="L542" s="10" t="s">
        <v>3289</v>
      </c>
      <c r="M542" s="10" t="s">
        <v>3290</v>
      </c>
      <c r="N542" s="10" t="s">
        <v>123</v>
      </c>
      <c r="O542" s="8" t="s">
        <v>3190</v>
      </c>
      <c r="P542" s="8"/>
      <c r="Q542" s="8">
        <v>11729</v>
      </c>
      <c r="R542" s="8">
        <v>155457</v>
      </c>
      <c r="S542" s="8"/>
      <c r="T542" s="8"/>
      <c r="U542" s="8"/>
      <c r="V542" s="8"/>
      <c r="W542" s="8"/>
      <c r="X542" s="8"/>
      <c r="Y542" s="8"/>
      <c r="Z542" s="10" t="s">
        <v>3190</v>
      </c>
      <c r="AA542" s="8" t="s">
        <v>332</v>
      </c>
      <c r="AB542" s="8">
        <v>1</v>
      </c>
    </row>
    <row r="543" spans="1:28" ht="21.6" customHeight="1">
      <c r="A543" s="8">
        <v>34</v>
      </c>
      <c r="B543" s="8">
        <v>2025062672</v>
      </c>
      <c r="C543" s="8">
        <v>1</v>
      </c>
      <c r="D543" s="8" t="s">
        <v>3177</v>
      </c>
      <c r="E543" s="8" t="s">
        <v>123</v>
      </c>
      <c r="F543" s="8" t="s">
        <v>4122</v>
      </c>
      <c r="G543" s="8" t="s">
        <v>3357</v>
      </c>
      <c r="H543" s="8" t="s">
        <v>4127</v>
      </c>
      <c r="I543" s="8" t="s">
        <v>3287</v>
      </c>
      <c r="J543" s="8" t="s">
        <v>3288</v>
      </c>
      <c r="K543" s="8" t="s">
        <v>3183</v>
      </c>
      <c r="L543" s="10" t="s">
        <v>3289</v>
      </c>
      <c r="M543" s="10" t="s">
        <v>3290</v>
      </c>
      <c r="N543" s="10" t="s">
        <v>123</v>
      </c>
      <c r="O543" s="8" t="s">
        <v>322</v>
      </c>
      <c r="P543" s="8"/>
      <c r="Q543" s="8">
        <v>11729</v>
      </c>
      <c r="R543" s="8">
        <v>155457</v>
      </c>
      <c r="S543" s="8" t="s">
        <v>332</v>
      </c>
      <c r="T543" s="8"/>
      <c r="U543" s="8" t="s">
        <v>332</v>
      </c>
      <c r="V543" s="8"/>
      <c r="W543" s="8"/>
      <c r="X543" s="8"/>
      <c r="Y543" s="8"/>
      <c r="Z543" s="10" t="s">
        <v>4128</v>
      </c>
      <c r="AA543" s="8" t="s">
        <v>332</v>
      </c>
      <c r="AB543" s="8">
        <v>1</v>
      </c>
    </row>
    <row r="544" spans="1:28" ht="21.6" customHeight="1">
      <c r="A544" s="8">
        <v>35</v>
      </c>
      <c r="B544" s="8">
        <v>2025060321</v>
      </c>
      <c r="C544" s="8">
        <v>1</v>
      </c>
      <c r="D544" s="8" t="s">
        <v>3177</v>
      </c>
      <c r="E544" s="8" t="s">
        <v>123</v>
      </c>
      <c r="F544" s="8" t="s">
        <v>4120</v>
      </c>
      <c r="G544" s="8" t="s">
        <v>4129</v>
      </c>
      <c r="H544" s="8" t="s">
        <v>4130</v>
      </c>
      <c r="I544" s="8" t="s">
        <v>3293</v>
      </c>
      <c r="J544" s="8" t="s">
        <v>3288</v>
      </c>
      <c r="K544" s="8" t="s">
        <v>3183</v>
      </c>
      <c r="L544" s="10" t="s">
        <v>3294</v>
      </c>
      <c r="M544" s="10" t="s">
        <v>3295</v>
      </c>
      <c r="N544" s="10" t="s">
        <v>3272</v>
      </c>
      <c r="O544" s="8" t="s">
        <v>322</v>
      </c>
      <c r="P544" s="8"/>
      <c r="Q544" s="8">
        <v>2320</v>
      </c>
      <c r="R544" s="8">
        <v>269778</v>
      </c>
      <c r="S544" s="8" t="s">
        <v>332</v>
      </c>
      <c r="T544" s="8"/>
      <c r="U544" s="8"/>
      <c r="V544" s="8"/>
      <c r="W544" s="8"/>
      <c r="X544" s="8"/>
      <c r="Y544" s="8"/>
      <c r="Z544" s="10" t="s">
        <v>3186</v>
      </c>
      <c r="AA544" s="8" t="s">
        <v>332</v>
      </c>
      <c r="AB544" s="8">
        <v>1</v>
      </c>
    </row>
    <row r="545" spans="1:28" ht="21.6" customHeight="1">
      <c r="A545" s="8">
        <v>37</v>
      </c>
      <c r="B545" s="8">
        <v>2025061616</v>
      </c>
      <c r="C545" s="8">
        <v>1</v>
      </c>
      <c r="D545" s="8" t="s">
        <v>3177</v>
      </c>
      <c r="E545" s="8" t="s">
        <v>123</v>
      </c>
      <c r="F545" s="8" t="s">
        <v>4111</v>
      </c>
      <c r="G545" s="8" t="s">
        <v>3802</v>
      </c>
      <c r="H545" s="8" t="s">
        <v>3437</v>
      </c>
      <c r="I545" s="8" t="s">
        <v>3297</v>
      </c>
      <c r="J545" s="8" t="s">
        <v>3298</v>
      </c>
      <c r="K545" s="8" t="s">
        <v>3183</v>
      </c>
      <c r="L545" s="10" t="s">
        <v>3207</v>
      </c>
      <c r="M545" s="10" t="s">
        <v>3208</v>
      </c>
      <c r="N545" s="10" t="s">
        <v>3299</v>
      </c>
      <c r="O545" s="8" t="s">
        <v>322</v>
      </c>
      <c r="P545" s="8"/>
      <c r="Q545" s="8"/>
      <c r="R545" s="8">
        <v>120911</v>
      </c>
      <c r="S545" s="8" t="s">
        <v>332</v>
      </c>
      <c r="T545" s="8"/>
      <c r="U545" s="8"/>
      <c r="V545" s="8"/>
      <c r="W545" s="8"/>
      <c r="X545" s="8"/>
      <c r="Y545" s="8"/>
      <c r="Z545" s="10" t="s">
        <v>3186</v>
      </c>
      <c r="AA545" s="8" t="s">
        <v>332</v>
      </c>
      <c r="AB545" s="8">
        <v>1</v>
      </c>
    </row>
    <row r="546" spans="1:28" ht="21.6" customHeight="1">
      <c r="A546" s="8">
        <v>39</v>
      </c>
      <c r="B546" s="8">
        <v>2025063607</v>
      </c>
      <c r="C546" s="8">
        <v>1</v>
      </c>
      <c r="D546" s="8" t="s">
        <v>3177</v>
      </c>
      <c r="E546" s="8" t="s">
        <v>123</v>
      </c>
      <c r="F546" s="8" t="s">
        <v>4131</v>
      </c>
      <c r="G546" s="8" t="s">
        <v>3749</v>
      </c>
      <c r="H546" s="8" t="s">
        <v>3465</v>
      </c>
      <c r="I546" s="8" t="s">
        <v>3297</v>
      </c>
      <c r="J546" s="8" t="s">
        <v>3298</v>
      </c>
      <c r="K546" s="8" t="s">
        <v>3183</v>
      </c>
      <c r="L546" s="10" t="s">
        <v>3207</v>
      </c>
      <c r="M546" s="10" t="s">
        <v>3208</v>
      </c>
      <c r="N546" s="10" t="s">
        <v>3299</v>
      </c>
      <c r="O546" s="8" t="s">
        <v>363</v>
      </c>
      <c r="P546" s="8"/>
      <c r="Q546" s="8"/>
      <c r="R546" s="8">
        <v>143735</v>
      </c>
      <c r="S546" s="8"/>
      <c r="T546" s="8"/>
      <c r="U546" s="8"/>
      <c r="V546" s="8"/>
      <c r="W546" s="8"/>
      <c r="X546" s="8"/>
      <c r="Y546" s="8"/>
      <c r="Z546" s="10" t="s">
        <v>4132</v>
      </c>
      <c r="AA546" s="8" t="s">
        <v>332</v>
      </c>
      <c r="AB546" s="8">
        <v>1</v>
      </c>
    </row>
    <row r="547" spans="1:28" ht="21.6" customHeight="1">
      <c r="A547" s="8">
        <v>40</v>
      </c>
      <c r="B547" s="8">
        <v>2025062685</v>
      </c>
      <c r="C547" s="8">
        <v>1</v>
      </c>
      <c r="D547" s="8" t="s">
        <v>3177</v>
      </c>
      <c r="E547" s="8" t="s">
        <v>123</v>
      </c>
      <c r="F547" s="8" t="s">
        <v>4122</v>
      </c>
      <c r="G547" s="8" t="s">
        <v>4133</v>
      </c>
      <c r="H547" s="8" t="s">
        <v>4134</v>
      </c>
      <c r="I547" s="8" t="s">
        <v>3300</v>
      </c>
      <c r="J547" s="8" t="s">
        <v>3301</v>
      </c>
      <c r="K547" s="8" t="s">
        <v>3183</v>
      </c>
      <c r="L547" s="10" t="s">
        <v>3302</v>
      </c>
      <c r="M547" s="10" t="s">
        <v>3303</v>
      </c>
      <c r="N547" s="10" t="s">
        <v>3304</v>
      </c>
      <c r="O547" s="8" t="s">
        <v>322</v>
      </c>
      <c r="P547" s="8"/>
      <c r="Q547" s="8">
        <v>33643</v>
      </c>
      <c r="R547" s="8">
        <v>32859</v>
      </c>
      <c r="S547" s="8" t="s">
        <v>332</v>
      </c>
      <c r="T547" s="8"/>
      <c r="U547" s="8"/>
      <c r="V547" s="8"/>
      <c r="W547" s="8"/>
      <c r="X547" s="8"/>
      <c r="Y547" s="8"/>
      <c r="Z547" s="10" t="s">
        <v>3186</v>
      </c>
      <c r="AA547" s="8" t="s">
        <v>332</v>
      </c>
      <c r="AB547" s="8">
        <v>1</v>
      </c>
    </row>
    <row r="548" spans="1:28" ht="21.6" customHeight="1">
      <c r="A548" s="8">
        <v>42</v>
      </c>
      <c r="B548" s="8">
        <v>2025062248</v>
      </c>
      <c r="C548" s="8">
        <v>1</v>
      </c>
      <c r="D548" s="8" t="s">
        <v>3177</v>
      </c>
      <c r="E548" s="8" t="s">
        <v>123</v>
      </c>
      <c r="F548" s="8" t="s">
        <v>3178</v>
      </c>
      <c r="G548" s="8" t="s">
        <v>4135</v>
      </c>
      <c r="H548" s="8" t="s">
        <v>3233</v>
      </c>
      <c r="I548" s="8" t="s">
        <v>3307</v>
      </c>
      <c r="J548" s="8" t="s">
        <v>3301</v>
      </c>
      <c r="K548" s="8" t="s">
        <v>3183</v>
      </c>
      <c r="L548" s="10" t="s">
        <v>3308</v>
      </c>
      <c r="M548" s="10" t="s">
        <v>3309</v>
      </c>
      <c r="N548" s="10" t="s">
        <v>3310</v>
      </c>
      <c r="O548" s="8" t="s">
        <v>3190</v>
      </c>
      <c r="P548" s="8"/>
      <c r="Q548" s="8">
        <v>5049</v>
      </c>
      <c r="R548" s="8">
        <v>39894</v>
      </c>
      <c r="S548" s="8"/>
      <c r="T548" s="8"/>
      <c r="U548" s="8"/>
      <c r="V548" s="8"/>
      <c r="W548" s="8"/>
      <c r="X548" s="8"/>
      <c r="Y548" s="8"/>
      <c r="Z548" s="10" t="s">
        <v>3190</v>
      </c>
      <c r="AA548" s="8" t="s">
        <v>332</v>
      </c>
      <c r="AB548" s="8">
        <v>1</v>
      </c>
    </row>
    <row r="549" spans="1:28" ht="21.6" customHeight="1">
      <c r="A549" s="8">
        <v>43</v>
      </c>
      <c r="B549" s="8">
        <v>2025062242</v>
      </c>
      <c r="C549" s="8">
        <v>1</v>
      </c>
      <c r="D549" s="8" t="s">
        <v>3177</v>
      </c>
      <c r="E549" s="8" t="s">
        <v>123</v>
      </c>
      <c r="F549" s="8" t="s">
        <v>3178</v>
      </c>
      <c r="G549" s="8" t="s">
        <v>4136</v>
      </c>
      <c r="H549" s="8" t="s">
        <v>3363</v>
      </c>
      <c r="I549" s="8" t="s">
        <v>3313</v>
      </c>
      <c r="J549" s="8" t="s">
        <v>3301</v>
      </c>
      <c r="K549" s="8" t="s">
        <v>3183</v>
      </c>
      <c r="L549" s="10" t="s">
        <v>3314</v>
      </c>
      <c r="M549" s="10" t="s">
        <v>3315</v>
      </c>
      <c r="N549" s="10" t="s">
        <v>123</v>
      </c>
      <c r="O549" s="8" t="s">
        <v>3190</v>
      </c>
      <c r="P549" s="8"/>
      <c r="Q549" s="8">
        <v>17524</v>
      </c>
      <c r="R549" s="8">
        <v>23921</v>
      </c>
      <c r="S549" s="8"/>
      <c r="T549" s="8"/>
      <c r="U549" s="8"/>
      <c r="V549" s="8"/>
      <c r="W549" s="8"/>
      <c r="X549" s="8"/>
      <c r="Y549" s="8"/>
      <c r="Z549" s="10" t="s">
        <v>3190</v>
      </c>
      <c r="AA549" s="8" t="s">
        <v>332</v>
      </c>
      <c r="AB549" s="8">
        <v>1</v>
      </c>
    </row>
    <row r="550" spans="1:28" ht="21.6" customHeight="1">
      <c r="A550" s="8">
        <v>44</v>
      </c>
      <c r="B550" s="8">
        <v>2025062665</v>
      </c>
      <c r="C550" s="8">
        <v>1</v>
      </c>
      <c r="D550" s="8" t="s">
        <v>3177</v>
      </c>
      <c r="E550" s="8" t="s">
        <v>123</v>
      </c>
      <c r="F550" s="8" t="s">
        <v>4122</v>
      </c>
      <c r="G550" s="8" t="s">
        <v>3199</v>
      </c>
      <c r="H550" s="8" t="s">
        <v>4009</v>
      </c>
      <c r="I550" s="8" t="s">
        <v>3313</v>
      </c>
      <c r="J550" s="8" t="s">
        <v>3301</v>
      </c>
      <c r="K550" s="8" t="s">
        <v>3183</v>
      </c>
      <c r="L550" s="10" t="s">
        <v>3314</v>
      </c>
      <c r="M550" s="10" t="s">
        <v>3315</v>
      </c>
      <c r="N550" s="10" t="s">
        <v>123</v>
      </c>
      <c r="O550" s="8" t="s">
        <v>322</v>
      </c>
      <c r="P550" s="8"/>
      <c r="Q550" s="8">
        <v>17524</v>
      </c>
      <c r="R550" s="8">
        <v>23921</v>
      </c>
      <c r="S550" s="8" t="s">
        <v>332</v>
      </c>
      <c r="T550" s="8"/>
      <c r="U550" s="8" t="s">
        <v>332</v>
      </c>
      <c r="V550" s="8"/>
      <c r="W550" s="8"/>
      <c r="X550" s="8"/>
      <c r="Y550" s="8"/>
      <c r="Z550" s="10" t="s">
        <v>4137</v>
      </c>
      <c r="AA550" s="8" t="s">
        <v>332</v>
      </c>
      <c r="AB550" s="8">
        <v>1</v>
      </c>
    </row>
    <row r="551" spans="1:28" ht="21.6" customHeight="1">
      <c r="A551" s="8">
        <v>45</v>
      </c>
      <c r="B551" s="8">
        <v>2025063242</v>
      </c>
      <c r="C551" s="8">
        <v>1</v>
      </c>
      <c r="D551" s="8" t="s">
        <v>3177</v>
      </c>
      <c r="E551" s="8" t="s">
        <v>123</v>
      </c>
      <c r="F551" s="8" t="s">
        <v>4138</v>
      </c>
      <c r="G551" s="8" t="s">
        <v>4139</v>
      </c>
      <c r="H551" s="8" t="s">
        <v>3800</v>
      </c>
      <c r="I551" s="8" t="s">
        <v>3327</v>
      </c>
      <c r="J551" s="8" t="s">
        <v>3328</v>
      </c>
      <c r="K551" s="8" t="s">
        <v>3183</v>
      </c>
      <c r="L551" s="10" t="s">
        <v>3320</v>
      </c>
      <c r="M551" s="10" t="s">
        <v>3321</v>
      </c>
      <c r="N551" s="10" t="s">
        <v>3322</v>
      </c>
      <c r="O551" s="8" t="s">
        <v>322</v>
      </c>
      <c r="P551" s="8"/>
      <c r="Q551" s="8">
        <v>369</v>
      </c>
      <c r="R551" s="8">
        <v>16600</v>
      </c>
      <c r="S551" s="8" t="s">
        <v>332</v>
      </c>
      <c r="T551" s="8"/>
      <c r="U551" s="8"/>
      <c r="V551" s="8"/>
      <c r="W551" s="8"/>
      <c r="X551" s="8"/>
      <c r="Y551" s="8"/>
      <c r="Z551" s="10" t="s">
        <v>3186</v>
      </c>
      <c r="AA551" s="8" t="s">
        <v>332</v>
      </c>
      <c r="AB551" s="8">
        <v>1</v>
      </c>
    </row>
    <row r="552" spans="1:28" ht="21.6" customHeight="1">
      <c r="A552" s="8">
        <v>47</v>
      </c>
      <c r="B552" s="8">
        <v>2025062662</v>
      </c>
      <c r="C552" s="8">
        <v>1</v>
      </c>
      <c r="D552" s="8" t="s">
        <v>3177</v>
      </c>
      <c r="E552" s="8" t="s">
        <v>123</v>
      </c>
      <c r="F552" s="8" t="s">
        <v>4122</v>
      </c>
      <c r="G552" s="8" t="s">
        <v>4003</v>
      </c>
      <c r="H552" s="8" t="s">
        <v>3729</v>
      </c>
      <c r="I552" s="8" t="s">
        <v>3807</v>
      </c>
      <c r="J552" s="8" t="s">
        <v>3808</v>
      </c>
      <c r="K552" s="8" t="s">
        <v>3183</v>
      </c>
      <c r="L552" s="10" t="s">
        <v>3333</v>
      </c>
      <c r="M552" s="10" t="s">
        <v>3334</v>
      </c>
      <c r="N552" s="10"/>
      <c r="O552" s="8" t="s">
        <v>322</v>
      </c>
      <c r="P552" s="8"/>
      <c r="Q552" s="8"/>
      <c r="R552" s="8">
        <v>26607</v>
      </c>
      <c r="S552" s="8" t="s">
        <v>332</v>
      </c>
      <c r="T552" s="8"/>
      <c r="U552" s="8"/>
      <c r="V552" s="8"/>
      <c r="W552" s="8"/>
      <c r="X552" s="8"/>
      <c r="Y552" s="8"/>
      <c r="Z552" s="10" t="s">
        <v>3186</v>
      </c>
      <c r="AA552" s="8" t="s">
        <v>332</v>
      </c>
      <c r="AB552" s="8">
        <v>1</v>
      </c>
    </row>
    <row r="553" spans="1:28" ht="21.6" customHeight="1">
      <c r="A553" s="8">
        <v>49</v>
      </c>
      <c r="B553" s="8">
        <v>2025063238</v>
      </c>
      <c r="C553" s="8">
        <v>1</v>
      </c>
      <c r="D553" s="8" t="s">
        <v>3177</v>
      </c>
      <c r="E553" s="8" t="s">
        <v>123</v>
      </c>
      <c r="F553" s="8" t="s">
        <v>4138</v>
      </c>
      <c r="G553" s="8" t="s">
        <v>3969</v>
      </c>
      <c r="H553" s="8" t="s">
        <v>3468</v>
      </c>
      <c r="I553" s="8" t="s">
        <v>3335</v>
      </c>
      <c r="J553" s="8" t="s">
        <v>3336</v>
      </c>
      <c r="K553" s="8" t="s">
        <v>3183</v>
      </c>
      <c r="L553" s="10" t="s">
        <v>3320</v>
      </c>
      <c r="M553" s="10" t="s">
        <v>3321</v>
      </c>
      <c r="N553" s="10" t="s">
        <v>3337</v>
      </c>
      <c r="O553" s="8" t="s">
        <v>322</v>
      </c>
      <c r="P553" s="8"/>
      <c r="Q553" s="8"/>
      <c r="R553" s="8">
        <v>115310</v>
      </c>
      <c r="S553" s="8" t="s">
        <v>332</v>
      </c>
      <c r="T553" s="8"/>
      <c r="U553" s="8"/>
      <c r="V553" s="8"/>
      <c r="W553" s="8"/>
      <c r="X553" s="8"/>
      <c r="Y553" s="8"/>
      <c r="Z553" s="10" t="s">
        <v>3186</v>
      </c>
      <c r="AA553" s="8" t="s">
        <v>332</v>
      </c>
      <c r="AB553" s="8">
        <v>1</v>
      </c>
    </row>
    <row r="554" spans="1:28" ht="21.6" customHeight="1">
      <c r="A554" s="8">
        <v>51</v>
      </c>
      <c r="B554" s="8">
        <v>2025063240</v>
      </c>
      <c r="C554" s="8">
        <v>1</v>
      </c>
      <c r="D554" s="8" t="s">
        <v>3177</v>
      </c>
      <c r="E554" s="8" t="s">
        <v>123</v>
      </c>
      <c r="F554" s="8" t="s">
        <v>4138</v>
      </c>
      <c r="G554" s="8" t="s">
        <v>4109</v>
      </c>
      <c r="H554" s="8" t="s">
        <v>3767</v>
      </c>
      <c r="I554" s="8" t="s">
        <v>3340</v>
      </c>
      <c r="J554" s="8" t="s">
        <v>3336</v>
      </c>
      <c r="K554" s="8" t="s">
        <v>3183</v>
      </c>
      <c r="L554" s="10" t="s">
        <v>3320</v>
      </c>
      <c r="M554" s="10" t="s">
        <v>3321</v>
      </c>
      <c r="N554" s="10" t="s">
        <v>3341</v>
      </c>
      <c r="O554" s="8" t="s">
        <v>322</v>
      </c>
      <c r="P554" s="8"/>
      <c r="Q554" s="8"/>
      <c r="R554" s="8">
        <v>51466</v>
      </c>
      <c r="S554" s="8" t="s">
        <v>332</v>
      </c>
      <c r="T554" s="8"/>
      <c r="U554" s="8"/>
      <c r="V554" s="8"/>
      <c r="W554" s="8"/>
      <c r="X554" s="8"/>
      <c r="Y554" s="8"/>
      <c r="Z554" s="10" t="s">
        <v>3186</v>
      </c>
      <c r="AA554" s="8" t="s">
        <v>332</v>
      </c>
      <c r="AB554" s="8">
        <v>1</v>
      </c>
    </row>
    <row r="555" spans="1:28" ht="21.6" customHeight="1">
      <c r="A555" s="8">
        <v>120</v>
      </c>
      <c r="B555" s="8">
        <v>2025060590</v>
      </c>
      <c r="C555" s="8">
        <v>1</v>
      </c>
      <c r="D555" s="8" t="s">
        <v>3177</v>
      </c>
      <c r="E555" s="8" t="s">
        <v>123</v>
      </c>
      <c r="F555" s="8" t="s">
        <v>4140</v>
      </c>
      <c r="G555" s="8" t="s">
        <v>3250</v>
      </c>
      <c r="H555" s="8" t="s">
        <v>3624</v>
      </c>
      <c r="I555" s="8" t="s">
        <v>4141</v>
      </c>
      <c r="J555" s="8" t="s">
        <v>3871</v>
      </c>
      <c r="K555" s="8" t="s">
        <v>3579</v>
      </c>
      <c r="L555" s="10" t="s">
        <v>3580</v>
      </c>
      <c r="M555" s="10" t="s">
        <v>3581</v>
      </c>
      <c r="N555" s="10" t="s">
        <v>3582</v>
      </c>
      <c r="O555" s="8" t="s">
        <v>322</v>
      </c>
      <c r="P555" s="8"/>
      <c r="Q555" s="8"/>
      <c r="R555" s="8">
        <v>0</v>
      </c>
      <c r="S555" s="8" t="s">
        <v>332</v>
      </c>
      <c r="T555" s="8"/>
      <c r="U555" s="8"/>
      <c r="V555" s="8"/>
      <c r="W555" s="8"/>
      <c r="X555" s="8"/>
      <c r="Y555" s="8"/>
      <c r="Z555" s="10" t="s">
        <v>4142</v>
      </c>
      <c r="AA555" s="8" t="s">
        <v>332</v>
      </c>
      <c r="AB555" s="8">
        <v>1</v>
      </c>
    </row>
    <row r="556" spans="1:28" ht="21.6" customHeight="1">
      <c r="A556" s="8">
        <v>121</v>
      </c>
      <c r="B556" s="8">
        <v>2025060161</v>
      </c>
      <c r="C556" s="8">
        <v>1</v>
      </c>
      <c r="D556" s="8" t="s">
        <v>3177</v>
      </c>
      <c r="E556" s="8" t="s">
        <v>118</v>
      </c>
      <c r="F556" s="8" t="s">
        <v>4120</v>
      </c>
      <c r="G556" s="8" t="s">
        <v>3368</v>
      </c>
      <c r="H556" s="8" t="s">
        <v>3204</v>
      </c>
      <c r="I556" s="8" t="s">
        <v>3351</v>
      </c>
      <c r="J556" s="8" t="s">
        <v>3195</v>
      </c>
      <c r="K556" s="8" t="s">
        <v>3183</v>
      </c>
      <c r="L556" s="10" t="s">
        <v>3352</v>
      </c>
      <c r="M556" s="10" t="s">
        <v>3353</v>
      </c>
      <c r="N556" s="10" t="s">
        <v>3667</v>
      </c>
      <c r="O556" s="8" t="s">
        <v>363</v>
      </c>
      <c r="P556" s="8"/>
      <c r="Q556" s="8">
        <v>8968</v>
      </c>
      <c r="R556" s="8">
        <v>63890</v>
      </c>
      <c r="S556" s="8"/>
      <c r="T556" s="8"/>
      <c r="U556" s="8"/>
      <c r="V556" s="8"/>
      <c r="W556" s="8"/>
      <c r="X556" s="8"/>
      <c r="Y556" s="8"/>
      <c r="Z556" s="10" t="s">
        <v>4143</v>
      </c>
      <c r="AA556" s="8" t="s">
        <v>332</v>
      </c>
      <c r="AB556" s="8">
        <v>1</v>
      </c>
    </row>
    <row r="557" spans="1:28" ht="21.6" customHeight="1">
      <c r="A557" s="8">
        <v>122</v>
      </c>
      <c r="B557" s="8">
        <v>2025060830</v>
      </c>
      <c r="C557" s="8">
        <v>1</v>
      </c>
      <c r="D557" s="8" t="s">
        <v>3177</v>
      </c>
      <c r="E557" s="8" t="s">
        <v>118</v>
      </c>
      <c r="F557" s="8" t="s">
        <v>4124</v>
      </c>
      <c r="G557" s="8" t="s">
        <v>3363</v>
      </c>
      <c r="H557" s="8" t="s">
        <v>3239</v>
      </c>
      <c r="I557" s="8" t="s">
        <v>3351</v>
      </c>
      <c r="J557" s="8" t="s">
        <v>3195</v>
      </c>
      <c r="K557" s="8" t="s">
        <v>3183</v>
      </c>
      <c r="L557" s="10" t="s">
        <v>3352</v>
      </c>
      <c r="M557" s="10" t="s">
        <v>3353</v>
      </c>
      <c r="N557" s="10" t="s">
        <v>3667</v>
      </c>
      <c r="O557" s="8" t="s">
        <v>363</v>
      </c>
      <c r="P557" s="8"/>
      <c r="Q557" s="8">
        <v>8968</v>
      </c>
      <c r="R557" s="8">
        <v>63890</v>
      </c>
      <c r="S557" s="8"/>
      <c r="T557" s="8"/>
      <c r="U557" s="8"/>
      <c r="V557" s="8"/>
      <c r="W557" s="8"/>
      <c r="X557" s="8"/>
      <c r="Y557" s="8"/>
      <c r="Z557" s="10" t="s">
        <v>4144</v>
      </c>
      <c r="AA557" s="8" t="s">
        <v>332</v>
      </c>
      <c r="AB557" s="8">
        <v>1</v>
      </c>
    </row>
    <row r="558" spans="1:28" ht="21.6" customHeight="1">
      <c r="A558" s="8">
        <v>123</v>
      </c>
      <c r="B558" s="8">
        <v>2025061867</v>
      </c>
      <c r="C558" s="8">
        <v>1</v>
      </c>
      <c r="D558" s="8" t="s">
        <v>3177</v>
      </c>
      <c r="E558" s="8" t="s">
        <v>118</v>
      </c>
      <c r="F558" s="8" t="s">
        <v>4145</v>
      </c>
      <c r="G558" s="8" t="s">
        <v>3363</v>
      </c>
      <c r="H558" s="8" t="s">
        <v>3233</v>
      </c>
      <c r="I558" s="8" t="s">
        <v>3351</v>
      </c>
      <c r="J558" s="8" t="s">
        <v>3195</v>
      </c>
      <c r="K558" s="8" t="s">
        <v>3183</v>
      </c>
      <c r="L558" s="10" t="s">
        <v>3352</v>
      </c>
      <c r="M558" s="10" t="s">
        <v>3353</v>
      </c>
      <c r="N558" s="10" t="s">
        <v>3667</v>
      </c>
      <c r="O558" s="8" t="s">
        <v>322</v>
      </c>
      <c r="P558" s="8"/>
      <c r="Q558" s="8">
        <v>9588</v>
      </c>
      <c r="R558" s="8">
        <v>67733</v>
      </c>
      <c r="S558" s="8" t="s">
        <v>332</v>
      </c>
      <c r="T558" s="8"/>
      <c r="U558" s="8"/>
      <c r="V558" s="8"/>
      <c r="W558" s="8"/>
      <c r="X558" s="8"/>
      <c r="Y558" s="8"/>
      <c r="Z558" s="10" t="s">
        <v>3821</v>
      </c>
      <c r="AA558" s="8" t="s">
        <v>332</v>
      </c>
      <c r="AB558" s="8">
        <v>1</v>
      </c>
    </row>
    <row r="559" spans="1:28" ht="21.6" customHeight="1">
      <c r="A559" s="8">
        <v>125</v>
      </c>
      <c r="B559" s="8">
        <v>2025061910</v>
      </c>
      <c r="C559" s="8">
        <v>1</v>
      </c>
      <c r="D559" s="8" t="s">
        <v>3177</v>
      </c>
      <c r="E559" s="8" t="s">
        <v>118</v>
      </c>
      <c r="F559" s="8" t="s">
        <v>4145</v>
      </c>
      <c r="G559" s="8" t="s">
        <v>3789</v>
      </c>
      <c r="H559" s="8" t="s">
        <v>4146</v>
      </c>
      <c r="I559" s="8" t="s">
        <v>3351</v>
      </c>
      <c r="J559" s="8" t="s">
        <v>3195</v>
      </c>
      <c r="K559" s="8" t="s">
        <v>3183</v>
      </c>
      <c r="L559" s="10" t="s">
        <v>3352</v>
      </c>
      <c r="M559" s="10" t="s">
        <v>3353</v>
      </c>
      <c r="N559" s="10" t="s">
        <v>3667</v>
      </c>
      <c r="O559" s="8" t="s">
        <v>363</v>
      </c>
      <c r="P559" s="8"/>
      <c r="Q559" s="8">
        <v>9588</v>
      </c>
      <c r="R559" s="8">
        <v>67733</v>
      </c>
      <c r="S559" s="8"/>
      <c r="T559" s="8"/>
      <c r="U559" s="8"/>
      <c r="V559" s="8"/>
      <c r="W559" s="8"/>
      <c r="X559" s="8"/>
      <c r="Y559" s="8"/>
      <c r="Z559" s="10" t="s">
        <v>4147</v>
      </c>
      <c r="AA559" s="8" t="s">
        <v>332</v>
      </c>
      <c r="AB559" s="8">
        <v>1</v>
      </c>
    </row>
    <row r="560" spans="1:28" ht="21.6" customHeight="1">
      <c r="A560" s="8">
        <v>126</v>
      </c>
      <c r="B560" s="8">
        <v>2025062133</v>
      </c>
      <c r="C560" s="8">
        <v>1</v>
      </c>
      <c r="D560" s="8" t="s">
        <v>3177</v>
      </c>
      <c r="E560" s="8" t="s">
        <v>118</v>
      </c>
      <c r="F560" s="8" t="s">
        <v>4148</v>
      </c>
      <c r="G560" s="8" t="s">
        <v>3381</v>
      </c>
      <c r="H560" s="8" t="s">
        <v>3902</v>
      </c>
      <c r="I560" s="8" t="s">
        <v>3351</v>
      </c>
      <c r="J560" s="8" t="s">
        <v>3195</v>
      </c>
      <c r="K560" s="8" t="s">
        <v>3183</v>
      </c>
      <c r="L560" s="10" t="s">
        <v>3352</v>
      </c>
      <c r="M560" s="10" t="s">
        <v>3353</v>
      </c>
      <c r="N560" s="10" t="s">
        <v>3667</v>
      </c>
      <c r="O560" s="8" t="s">
        <v>322</v>
      </c>
      <c r="P560" s="8"/>
      <c r="Q560" s="8">
        <v>9588</v>
      </c>
      <c r="R560" s="8">
        <v>67733</v>
      </c>
      <c r="S560" s="8"/>
      <c r="T560" s="8"/>
      <c r="U560" s="8"/>
      <c r="V560" s="8"/>
      <c r="W560" s="8"/>
      <c r="X560" s="8"/>
      <c r="Y560" s="8" t="s">
        <v>332</v>
      </c>
      <c r="Z560" s="10" t="s">
        <v>4149</v>
      </c>
      <c r="AA560" s="8" t="s">
        <v>332</v>
      </c>
      <c r="AB560" s="8">
        <v>1</v>
      </c>
    </row>
    <row r="561" spans="1:28" ht="21.6" customHeight="1">
      <c r="A561" s="8">
        <v>127</v>
      </c>
      <c r="B561" s="8">
        <v>2025063528</v>
      </c>
      <c r="C561" s="8">
        <v>1</v>
      </c>
      <c r="D561" s="8" t="s">
        <v>3177</v>
      </c>
      <c r="E561" s="8" t="s">
        <v>118</v>
      </c>
      <c r="F561" s="8" t="s">
        <v>4150</v>
      </c>
      <c r="G561" s="8" t="s">
        <v>3368</v>
      </c>
      <c r="H561" s="8" t="s">
        <v>4151</v>
      </c>
      <c r="I561" s="8" t="s">
        <v>3351</v>
      </c>
      <c r="J561" s="8" t="s">
        <v>3195</v>
      </c>
      <c r="K561" s="8" t="s">
        <v>3183</v>
      </c>
      <c r="L561" s="10" t="s">
        <v>3352</v>
      </c>
      <c r="M561" s="10" t="s">
        <v>3353</v>
      </c>
      <c r="N561" s="10" t="s">
        <v>3667</v>
      </c>
      <c r="O561" s="8" t="s">
        <v>363</v>
      </c>
      <c r="P561" s="8"/>
      <c r="Q561" s="8">
        <v>9588</v>
      </c>
      <c r="R561" s="8">
        <v>67733</v>
      </c>
      <c r="S561" s="8"/>
      <c r="T561" s="8"/>
      <c r="U561" s="8"/>
      <c r="V561" s="8"/>
      <c r="W561" s="8"/>
      <c r="X561" s="8"/>
      <c r="Y561" s="8"/>
      <c r="Z561" s="10" t="s">
        <v>4143</v>
      </c>
      <c r="AA561" s="8" t="s">
        <v>332</v>
      </c>
      <c r="AB561" s="8">
        <v>1</v>
      </c>
    </row>
    <row r="562" spans="1:28" ht="21.6" customHeight="1">
      <c r="A562" s="8">
        <v>128</v>
      </c>
      <c r="B562" s="8">
        <v>2025062112</v>
      </c>
      <c r="C562" s="8">
        <v>1</v>
      </c>
      <c r="D562" s="8" t="s">
        <v>3177</v>
      </c>
      <c r="E562" s="8" t="s">
        <v>118</v>
      </c>
      <c r="F562" s="8" t="s">
        <v>4148</v>
      </c>
      <c r="G562" s="8" t="s">
        <v>3363</v>
      </c>
      <c r="H562" s="8" t="s">
        <v>3233</v>
      </c>
      <c r="I562" s="8" t="s">
        <v>3358</v>
      </c>
      <c r="J562" s="8" t="s">
        <v>3195</v>
      </c>
      <c r="K562" s="8" t="s">
        <v>3183</v>
      </c>
      <c r="L562" s="10" t="s">
        <v>3359</v>
      </c>
      <c r="M562" s="10" t="s">
        <v>3360</v>
      </c>
      <c r="N562" s="10" t="s">
        <v>3361</v>
      </c>
      <c r="O562" s="8" t="s">
        <v>322</v>
      </c>
      <c r="P562" s="8"/>
      <c r="Q562" s="8">
        <v>20281</v>
      </c>
      <c r="R562" s="8">
        <v>82945</v>
      </c>
      <c r="S562" s="8" t="s">
        <v>332</v>
      </c>
      <c r="T562" s="8"/>
      <c r="U562" s="8"/>
      <c r="V562" s="8"/>
      <c r="W562" s="8"/>
      <c r="X562" s="8"/>
      <c r="Y562" s="8"/>
      <c r="Z562" s="10" t="s">
        <v>3821</v>
      </c>
      <c r="AA562" s="8" t="s">
        <v>332</v>
      </c>
      <c r="AB562" s="8">
        <v>1</v>
      </c>
    </row>
    <row r="563" spans="1:28" ht="21.6" customHeight="1">
      <c r="A563" s="8">
        <v>130</v>
      </c>
      <c r="B563" s="8">
        <v>2025061215</v>
      </c>
      <c r="C563" s="8">
        <v>1</v>
      </c>
      <c r="D563" s="8" t="s">
        <v>3177</v>
      </c>
      <c r="E563" s="8" t="s">
        <v>118</v>
      </c>
      <c r="F563" s="8" t="s">
        <v>4125</v>
      </c>
      <c r="G563" s="8" t="s">
        <v>3280</v>
      </c>
      <c r="H563" s="8" t="s">
        <v>3363</v>
      </c>
      <c r="I563" s="8" t="s">
        <v>3365</v>
      </c>
      <c r="J563" s="8" t="s">
        <v>3195</v>
      </c>
      <c r="K563" s="8" t="s">
        <v>3183</v>
      </c>
      <c r="L563" s="10" t="s">
        <v>3366</v>
      </c>
      <c r="M563" s="10" t="s">
        <v>3367</v>
      </c>
      <c r="N563" s="10"/>
      <c r="O563" s="8" t="s">
        <v>322</v>
      </c>
      <c r="P563" s="8"/>
      <c r="Q563" s="8">
        <v>1950</v>
      </c>
      <c r="R563" s="8">
        <v>39000</v>
      </c>
      <c r="S563" s="8" t="s">
        <v>332</v>
      </c>
      <c r="T563" s="8"/>
      <c r="U563" s="8"/>
      <c r="V563" s="8"/>
      <c r="W563" s="8"/>
      <c r="X563" s="8"/>
      <c r="Y563" s="8"/>
      <c r="Z563" s="10" t="s">
        <v>4152</v>
      </c>
      <c r="AA563" s="8" t="s">
        <v>332</v>
      </c>
      <c r="AB563" s="8">
        <v>1</v>
      </c>
    </row>
    <row r="564" spans="1:28" ht="21.6" customHeight="1">
      <c r="A564" s="8">
        <v>132</v>
      </c>
      <c r="B564" s="8">
        <v>2025061869</v>
      </c>
      <c r="C564" s="8">
        <v>1</v>
      </c>
      <c r="D564" s="8" t="s">
        <v>3177</v>
      </c>
      <c r="E564" s="8" t="s">
        <v>118</v>
      </c>
      <c r="F564" s="8" t="s">
        <v>4145</v>
      </c>
      <c r="G564" s="8" t="s">
        <v>3233</v>
      </c>
      <c r="H564" s="8" t="s">
        <v>3381</v>
      </c>
      <c r="I564" s="8" t="s">
        <v>3370</v>
      </c>
      <c r="J564" s="8" t="s">
        <v>3195</v>
      </c>
      <c r="K564" s="8" t="s">
        <v>3183</v>
      </c>
      <c r="L564" s="10" t="s">
        <v>3371</v>
      </c>
      <c r="M564" s="10" t="s">
        <v>3372</v>
      </c>
      <c r="N564" s="10" t="s">
        <v>3373</v>
      </c>
      <c r="O564" s="8" t="s">
        <v>322</v>
      </c>
      <c r="P564" s="8"/>
      <c r="Q564" s="8">
        <v>14599</v>
      </c>
      <c r="R564" s="8">
        <v>132289</v>
      </c>
      <c r="S564" s="8" t="s">
        <v>332</v>
      </c>
      <c r="T564" s="8"/>
      <c r="U564" s="8"/>
      <c r="V564" s="8"/>
      <c r="W564" s="8"/>
      <c r="X564" s="8"/>
      <c r="Y564" s="8"/>
      <c r="Z564" s="10" t="s">
        <v>3821</v>
      </c>
      <c r="AA564" s="8" t="s">
        <v>332</v>
      </c>
      <c r="AB564" s="8">
        <v>1</v>
      </c>
    </row>
    <row r="565" spans="1:28" ht="21.6" customHeight="1">
      <c r="A565" s="8">
        <v>146</v>
      </c>
      <c r="B565" s="8">
        <v>2025061646</v>
      </c>
      <c r="C565" s="8">
        <v>1</v>
      </c>
      <c r="D565" s="8" t="s">
        <v>3177</v>
      </c>
      <c r="E565" s="8" t="s">
        <v>118</v>
      </c>
      <c r="F565" s="8" t="s">
        <v>4153</v>
      </c>
      <c r="G565" s="8" t="s">
        <v>3280</v>
      </c>
      <c r="H565" s="8" t="s">
        <v>3363</v>
      </c>
      <c r="I565" s="8" t="s">
        <v>3382</v>
      </c>
      <c r="J565" s="8" t="s">
        <v>3224</v>
      </c>
      <c r="K565" s="8" t="s">
        <v>3183</v>
      </c>
      <c r="L565" s="10" t="s">
        <v>3383</v>
      </c>
      <c r="M565" s="10" t="s">
        <v>3384</v>
      </c>
      <c r="N565" s="10" t="s">
        <v>3385</v>
      </c>
      <c r="O565" s="8" t="s">
        <v>322</v>
      </c>
      <c r="P565" s="8">
        <v>6113</v>
      </c>
      <c r="Q565" s="8">
        <v>14178</v>
      </c>
      <c r="R565" s="8">
        <v>17998</v>
      </c>
      <c r="S565" s="8" t="s">
        <v>332</v>
      </c>
      <c r="T565" s="8"/>
      <c r="U565" s="8"/>
      <c r="V565" s="8"/>
      <c r="W565" s="8"/>
      <c r="X565" s="8"/>
      <c r="Y565" s="8"/>
      <c r="Z565" s="10" t="s">
        <v>3821</v>
      </c>
      <c r="AA565" s="8" t="s">
        <v>332</v>
      </c>
      <c r="AB565" s="8">
        <v>1</v>
      </c>
    </row>
    <row r="566" spans="1:28" ht="21.6" customHeight="1">
      <c r="A566" s="8">
        <v>148</v>
      </c>
      <c r="B566" s="8">
        <v>2025061644</v>
      </c>
      <c r="C566" s="8">
        <v>1</v>
      </c>
      <c r="D566" s="8" t="s">
        <v>3177</v>
      </c>
      <c r="E566" s="8" t="s">
        <v>118</v>
      </c>
      <c r="F566" s="8" t="s">
        <v>4153</v>
      </c>
      <c r="G566" s="8" t="s">
        <v>3350</v>
      </c>
      <c r="H566" s="8" t="s">
        <v>3280</v>
      </c>
      <c r="I566" s="8" t="s">
        <v>3683</v>
      </c>
      <c r="J566" s="8" t="s">
        <v>3224</v>
      </c>
      <c r="K566" s="8" t="s">
        <v>3183</v>
      </c>
      <c r="L566" s="10" t="s">
        <v>3383</v>
      </c>
      <c r="M566" s="10" t="s">
        <v>3684</v>
      </c>
      <c r="N566" s="10" t="s">
        <v>3685</v>
      </c>
      <c r="O566" s="8" t="s">
        <v>322</v>
      </c>
      <c r="P566" s="8">
        <v>1688</v>
      </c>
      <c r="Q566" s="8">
        <v>2160</v>
      </c>
      <c r="R566" s="8">
        <v>4806</v>
      </c>
      <c r="S566" s="8" t="s">
        <v>332</v>
      </c>
      <c r="T566" s="8"/>
      <c r="U566" s="8"/>
      <c r="V566" s="8"/>
      <c r="W566" s="8"/>
      <c r="X566" s="8"/>
      <c r="Y566" s="8"/>
      <c r="Z566" s="10" t="s">
        <v>3821</v>
      </c>
      <c r="AA566" s="8" t="s">
        <v>332</v>
      </c>
      <c r="AB566" s="8">
        <v>1</v>
      </c>
    </row>
    <row r="567" spans="1:28" ht="21.6" customHeight="1">
      <c r="A567" s="8">
        <v>150</v>
      </c>
      <c r="B567" s="8">
        <v>2025061218</v>
      </c>
      <c r="C567" s="8">
        <v>1</v>
      </c>
      <c r="D567" s="8" t="s">
        <v>3177</v>
      </c>
      <c r="E567" s="8" t="s">
        <v>118</v>
      </c>
      <c r="F567" s="8" t="s">
        <v>4125</v>
      </c>
      <c r="G567" s="8" t="s">
        <v>3363</v>
      </c>
      <c r="H567" s="8" t="s">
        <v>3233</v>
      </c>
      <c r="I567" s="8" t="s">
        <v>3689</v>
      </c>
      <c r="J567" s="8" t="s">
        <v>3224</v>
      </c>
      <c r="K567" s="8" t="s">
        <v>3183</v>
      </c>
      <c r="L567" s="10" t="s">
        <v>3344</v>
      </c>
      <c r="M567" s="10" t="s">
        <v>3345</v>
      </c>
      <c r="N567" s="10" t="s">
        <v>3497</v>
      </c>
      <c r="O567" s="8" t="s">
        <v>322</v>
      </c>
      <c r="P567" s="8"/>
      <c r="Q567" s="8">
        <v>500</v>
      </c>
      <c r="R567" s="8">
        <v>7500</v>
      </c>
      <c r="S567" s="8" t="s">
        <v>332</v>
      </c>
      <c r="T567" s="8"/>
      <c r="U567" s="8"/>
      <c r="V567" s="8"/>
      <c r="W567" s="8"/>
      <c r="X567" s="8"/>
      <c r="Y567" s="8"/>
      <c r="Z567" s="10" t="s">
        <v>3821</v>
      </c>
      <c r="AA567" s="8" t="s">
        <v>332</v>
      </c>
      <c r="AB567" s="8">
        <v>1</v>
      </c>
    </row>
    <row r="568" spans="1:28" ht="21.6" customHeight="1">
      <c r="A568" s="8">
        <v>152</v>
      </c>
      <c r="B568" s="8">
        <v>2025062062</v>
      </c>
      <c r="C568" s="8">
        <v>1</v>
      </c>
      <c r="D568" s="8" t="s">
        <v>3177</v>
      </c>
      <c r="E568" s="8" t="s">
        <v>118</v>
      </c>
      <c r="F568" s="8" t="s">
        <v>4154</v>
      </c>
      <c r="G568" s="8" t="s">
        <v>3829</v>
      </c>
      <c r="H568" s="8" t="s">
        <v>4155</v>
      </c>
      <c r="I568" s="8" t="s">
        <v>3689</v>
      </c>
      <c r="J568" s="8" t="s">
        <v>3224</v>
      </c>
      <c r="K568" s="8" t="s">
        <v>3183</v>
      </c>
      <c r="L568" s="10" t="s">
        <v>3344</v>
      </c>
      <c r="M568" s="10" t="s">
        <v>3345</v>
      </c>
      <c r="N568" s="10" t="s">
        <v>3497</v>
      </c>
      <c r="O568" s="8" t="s">
        <v>322</v>
      </c>
      <c r="P568" s="8"/>
      <c r="Q568" s="8">
        <v>500</v>
      </c>
      <c r="R568" s="8">
        <v>7500</v>
      </c>
      <c r="S568" s="8"/>
      <c r="T568" s="8"/>
      <c r="U568" s="8"/>
      <c r="V568" s="8"/>
      <c r="W568" s="8"/>
      <c r="X568" s="8"/>
      <c r="Y568" s="8" t="s">
        <v>332</v>
      </c>
      <c r="Z568" s="10" t="s">
        <v>3491</v>
      </c>
      <c r="AA568" s="8" t="s">
        <v>332</v>
      </c>
      <c r="AB568" s="8">
        <v>1</v>
      </c>
    </row>
    <row r="569" spans="1:28" ht="21.6" customHeight="1">
      <c r="A569" s="8">
        <v>153</v>
      </c>
      <c r="B569" s="8">
        <v>2025061649</v>
      </c>
      <c r="C569" s="8">
        <v>1</v>
      </c>
      <c r="D569" s="8" t="s">
        <v>3177</v>
      </c>
      <c r="E569" s="8" t="s">
        <v>118</v>
      </c>
      <c r="F569" s="8" t="s">
        <v>4153</v>
      </c>
      <c r="G569" s="8" t="s">
        <v>3363</v>
      </c>
      <c r="H569" s="8" t="s">
        <v>3233</v>
      </c>
      <c r="I569" s="8" t="s">
        <v>3940</v>
      </c>
      <c r="J569" s="8" t="s">
        <v>3224</v>
      </c>
      <c r="K569" s="8" t="s">
        <v>3183</v>
      </c>
      <c r="L569" s="10" t="s">
        <v>3383</v>
      </c>
      <c r="M569" s="10" t="s">
        <v>3941</v>
      </c>
      <c r="N569" s="10" t="s">
        <v>3942</v>
      </c>
      <c r="O569" s="8" t="s">
        <v>322</v>
      </c>
      <c r="P569" s="8">
        <v>43</v>
      </c>
      <c r="Q569" s="8">
        <v>444</v>
      </c>
      <c r="R569" s="8">
        <v>985</v>
      </c>
      <c r="S569" s="8" t="s">
        <v>332</v>
      </c>
      <c r="T569" s="8"/>
      <c r="U569" s="8"/>
      <c r="V569" s="8"/>
      <c r="W569" s="8"/>
      <c r="X569" s="8"/>
      <c r="Y569" s="8"/>
      <c r="Z569" s="10" t="s">
        <v>3821</v>
      </c>
      <c r="AA569" s="8" t="s">
        <v>332</v>
      </c>
      <c r="AB569" s="8">
        <v>1</v>
      </c>
    </row>
    <row r="570" spans="1:28" ht="21.6" customHeight="1">
      <c r="A570" s="8">
        <v>155</v>
      </c>
      <c r="B570" s="8">
        <v>2025063504</v>
      </c>
      <c r="C570" s="8">
        <v>1</v>
      </c>
      <c r="D570" s="8" t="s">
        <v>3177</v>
      </c>
      <c r="E570" s="8" t="s">
        <v>118</v>
      </c>
      <c r="F570" s="8" t="s">
        <v>4150</v>
      </c>
      <c r="G570" s="8" t="s">
        <v>3401</v>
      </c>
      <c r="H570" s="8" t="s">
        <v>3468</v>
      </c>
      <c r="I570" s="8" t="s">
        <v>3940</v>
      </c>
      <c r="J570" s="8" t="s">
        <v>3224</v>
      </c>
      <c r="K570" s="8" t="s">
        <v>3183</v>
      </c>
      <c r="L570" s="10" t="s">
        <v>3383</v>
      </c>
      <c r="M570" s="10" t="s">
        <v>3941</v>
      </c>
      <c r="N570" s="10" t="s">
        <v>3942</v>
      </c>
      <c r="O570" s="8" t="s">
        <v>363</v>
      </c>
      <c r="P570" s="8"/>
      <c r="Q570" s="8">
        <v>444</v>
      </c>
      <c r="R570" s="8">
        <v>985</v>
      </c>
      <c r="S570" s="8"/>
      <c r="T570" s="8"/>
      <c r="U570" s="8"/>
      <c r="V570" s="8"/>
      <c r="W570" s="8"/>
      <c r="X570" s="8"/>
      <c r="Y570" s="8"/>
      <c r="Z570" s="10" t="s">
        <v>4156</v>
      </c>
      <c r="AA570" s="8" t="s">
        <v>332</v>
      </c>
      <c r="AB570" s="8">
        <v>1</v>
      </c>
    </row>
    <row r="571" spans="1:28" ht="21.6" customHeight="1">
      <c r="A571" s="8">
        <v>156</v>
      </c>
      <c r="B571" s="8">
        <v>2025062603</v>
      </c>
      <c r="C571" s="8">
        <v>1</v>
      </c>
      <c r="D571" s="8" t="s">
        <v>3177</v>
      </c>
      <c r="E571" s="8" t="s">
        <v>118</v>
      </c>
      <c r="F571" s="8" t="s">
        <v>4115</v>
      </c>
      <c r="G571" s="8" t="s">
        <v>3386</v>
      </c>
      <c r="H571" s="8" t="s">
        <v>4157</v>
      </c>
      <c r="I571" s="8" t="s">
        <v>4158</v>
      </c>
      <c r="J571" s="8" t="s">
        <v>3224</v>
      </c>
      <c r="K571" s="8" t="s">
        <v>3183</v>
      </c>
      <c r="L571" s="10" t="s">
        <v>3550</v>
      </c>
      <c r="M571" s="10" t="s">
        <v>4159</v>
      </c>
      <c r="N571" s="10" t="s">
        <v>3701</v>
      </c>
      <c r="O571" s="8" t="s">
        <v>322</v>
      </c>
      <c r="P571" s="8"/>
      <c r="Q571" s="8">
        <v>0</v>
      </c>
      <c r="R571" s="8">
        <v>0</v>
      </c>
      <c r="S571" s="8"/>
      <c r="T571" s="8"/>
      <c r="U571" s="8"/>
      <c r="V571" s="8"/>
      <c r="W571" s="8"/>
      <c r="X571" s="8"/>
      <c r="Y571" s="8" t="s">
        <v>332</v>
      </c>
      <c r="Z571" s="10" t="s">
        <v>4160</v>
      </c>
      <c r="AA571" s="8" t="s">
        <v>332</v>
      </c>
      <c r="AB571" s="8">
        <v>1</v>
      </c>
    </row>
    <row r="572" spans="1:28" ht="21.6" customHeight="1">
      <c r="A572" s="8">
        <v>157</v>
      </c>
      <c r="B572" s="8">
        <v>2025060735</v>
      </c>
      <c r="C572" s="8">
        <v>1</v>
      </c>
      <c r="D572" s="8" t="s">
        <v>3177</v>
      </c>
      <c r="E572" s="8" t="s">
        <v>118</v>
      </c>
      <c r="F572" s="8" t="s">
        <v>4161</v>
      </c>
      <c r="G572" s="8" t="s">
        <v>3280</v>
      </c>
      <c r="H572" s="8" t="s">
        <v>4136</v>
      </c>
      <c r="I572" s="8" t="s">
        <v>3397</v>
      </c>
      <c r="J572" s="8" t="s">
        <v>3253</v>
      </c>
      <c r="K572" s="8" t="s">
        <v>3183</v>
      </c>
      <c r="L572" s="10" t="s">
        <v>3398</v>
      </c>
      <c r="M572" s="10" t="s">
        <v>3399</v>
      </c>
      <c r="N572" s="10" t="s">
        <v>3400</v>
      </c>
      <c r="O572" s="8" t="s">
        <v>322</v>
      </c>
      <c r="P572" s="8"/>
      <c r="Q572" s="8"/>
      <c r="R572" s="8">
        <v>386856</v>
      </c>
      <c r="S572" s="8" t="s">
        <v>332</v>
      </c>
      <c r="T572" s="8"/>
      <c r="U572" s="8"/>
      <c r="V572" s="8"/>
      <c r="W572" s="8"/>
      <c r="X572" s="8"/>
      <c r="Y572" s="8"/>
      <c r="Z572" s="10" t="s">
        <v>3821</v>
      </c>
      <c r="AA572" s="8" t="s">
        <v>332</v>
      </c>
      <c r="AB572" s="8">
        <v>1</v>
      </c>
    </row>
    <row r="573" spans="1:28" ht="21.6" customHeight="1">
      <c r="A573" s="8">
        <v>159</v>
      </c>
      <c r="B573" s="8">
        <v>2025060744</v>
      </c>
      <c r="C573" s="8">
        <v>1</v>
      </c>
      <c r="D573" s="8" t="s">
        <v>3177</v>
      </c>
      <c r="E573" s="8" t="s">
        <v>118</v>
      </c>
      <c r="F573" s="8" t="s">
        <v>4161</v>
      </c>
      <c r="G573" s="8" t="s">
        <v>4113</v>
      </c>
      <c r="H573" s="8" t="s">
        <v>3638</v>
      </c>
      <c r="I573" s="8" t="s">
        <v>3404</v>
      </c>
      <c r="J573" s="8" t="s">
        <v>3253</v>
      </c>
      <c r="K573" s="8" t="s">
        <v>3183</v>
      </c>
      <c r="L573" s="10" t="s">
        <v>3398</v>
      </c>
      <c r="M573" s="10" t="s">
        <v>3405</v>
      </c>
      <c r="N573" s="10" t="s">
        <v>3406</v>
      </c>
      <c r="O573" s="8" t="s">
        <v>3190</v>
      </c>
      <c r="P573" s="8"/>
      <c r="Q573" s="8"/>
      <c r="R573" s="8">
        <v>163571</v>
      </c>
      <c r="S573" s="8"/>
      <c r="T573" s="8"/>
      <c r="U573" s="8"/>
      <c r="V573" s="8"/>
      <c r="W573" s="8"/>
      <c r="X573" s="8"/>
      <c r="Y573" s="8"/>
      <c r="Z573" s="10" t="s">
        <v>3821</v>
      </c>
      <c r="AA573" s="8" t="s">
        <v>332</v>
      </c>
      <c r="AB573" s="8">
        <v>1</v>
      </c>
    </row>
    <row r="574" spans="1:28" ht="21.6" customHeight="1">
      <c r="A574" s="8">
        <v>161</v>
      </c>
      <c r="B574" s="8">
        <v>2025063266</v>
      </c>
      <c r="C574" s="8">
        <v>1</v>
      </c>
      <c r="D574" s="8" t="s">
        <v>3177</v>
      </c>
      <c r="E574" s="8" t="s">
        <v>118</v>
      </c>
      <c r="F574" s="8" t="s">
        <v>4138</v>
      </c>
      <c r="G574" s="8" t="s">
        <v>3204</v>
      </c>
      <c r="H574" s="8" t="s">
        <v>3427</v>
      </c>
      <c r="I574" s="8" t="s">
        <v>3408</v>
      </c>
      <c r="J574" s="8" t="s">
        <v>3253</v>
      </c>
      <c r="K574" s="8" t="s">
        <v>3183</v>
      </c>
      <c r="L574" s="10" t="s">
        <v>3409</v>
      </c>
      <c r="M574" s="10" t="s">
        <v>3410</v>
      </c>
      <c r="N574" s="10"/>
      <c r="O574" s="8" t="s">
        <v>322</v>
      </c>
      <c r="P574" s="8"/>
      <c r="Q574" s="8"/>
      <c r="R574" s="8">
        <v>318929</v>
      </c>
      <c r="S574" s="8" t="s">
        <v>332</v>
      </c>
      <c r="T574" s="8"/>
      <c r="U574" s="8"/>
      <c r="V574" s="8"/>
      <c r="W574" s="8"/>
      <c r="X574" s="8"/>
      <c r="Y574" s="8"/>
      <c r="Z574" s="10" t="s">
        <v>3821</v>
      </c>
      <c r="AA574" s="8" t="s">
        <v>332</v>
      </c>
      <c r="AB574" s="8">
        <v>1</v>
      </c>
    </row>
    <row r="575" spans="1:28" ht="21.6" customHeight="1">
      <c r="A575" s="8">
        <v>163</v>
      </c>
      <c r="B575" s="8">
        <v>2025063336</v>
      </c>
      <c r="C575" s="8">
        <v>1</v>
      </c>
      <c r="D575" s="8" t="s">
        <v>3177</v>
      </c>
      <c r="E575" s="8" t="s">
        <v>118</v>
      </c>
      <c r="F575" s="8" t="s">
        <v>4117</v>
      </c>
      <c r="G575" s="8" t="s">
        <v>4135</v>
      </c>
      <c r="H575" s="8" t="s">
        <v>3306</v>
      </c>
      <c r="I575" s="8" t="s">
        <v>3408</v>
      </c>
      <c r="J575" s="8" t="s">
        <v>3253</v>
      </c>
      <c r="K575" s="8" t="s">
        <v>3183</v>
      </c>
      <c r="L575" s="10" t="s">
        <v>3409</v>
      </c>
      <c r="M575" s="10" t="s">
        <v>3410</v>
      </c>
      <c r="N575" s="10"/>
      <c r="O575" s="8" t="s">
        <v>322</v>
      </c>
      <c r="P575" s="8"/>
      <c r="Q575" s="8"/>
      <c r="R575" s="8">
        <v>318929</v>
      </c>
      <c r="S575" s="8"/>
      <c r="T575" s="8"/>
      <c r="U575" s="8"/>
      <c r="V575" s="8"/>
      <c r="W575" s="8"/>
      <c r="X575" s="8"/>
      <c r="Y575" s="8" t="s">
        <v>332</v>
      </c>
      <c r="Z575" s="10" t="s">
        <v>4162</v>
      </c>
      <c r="AA575" s="8" t="s">
        <v>332</v>
      </c>
      <c r="AB575" s="8">
        <v>1</v>
      </c>
    </row>
    <row r="576" spans="1:28" ht="21.6" customHeight="1">
      <c r="A576" s="8">
        <v>168</v>
      </c>
      <c r="B576" s="8">
        <v>2025063279</v>
      </c>
      <c r="C576" s="8">
        <v>1</v>
      </c>
      <c r="D576" s="8" t="s">
        <v>3177</v>
      </c>
      <c r="E576" s="8" t="s">
        <v>118</v>
      </c>
      <c r="F576" s="8" t="s">
        <v>4138</v>
      </c>
      <c r="G576" s="8" t="s">
        <v>3426</v>
      </c>
      <c r="H576" s="8" t="s">
        <v>4077</v>
      </c>
      <c r="I576" s="8" t="s">
        <v>3413</v>
      </c>
      <c r="J576" s="8" t="s">
        <v>3253</v>
      </c>
      <c r="K576" s="8" t="s">
        <v>3183</v>
      </c>
      <c r="L576" s="10" t="s">
        <v>3414</v>
      </c>
      <c r="M576" s="10" t="s">
        <v>3415</v>
      </c>
      <c r="N576" s="10"/>
      <c r="O576" s="8" t="s">
        <v>322</v>
      </c>
      <c r="P576" s="8"/>
      <c r="Q576" s="8"/>
      <c r="R576" s="8">
        <v>92400</v>
      </c>
      <c r="S576" s="8" t="s">
        <v>332</v>
      </c>
      <c r="T576" s="8"/>
      <c r="U576" s="8"/>
      <c r="V576" s="8"/>
      <c r="W576" s="8"/>
      <c r="X576" s="8"/>
      <c r="Y576" s="8"/>
      <c r="Z576" s="10" t="s">
        <v>3821</v>
      </c>
      <c r="AA576" s="8" t="s">
        <v>332</v>
      </c>
      <c r="AB576" s="8">
        <v>1</v>
      </c>
    </row>
    <row r="577" spans="1:28" ht="21.6" customHeight="1">
      <c r="A577" s="8">
        <v>170</v>
      </c>
      <c r="B577" s="8">
        <v>2025063396</v>
      </c>
      <c r="C577" s="8">
        <v>1</v>
      </c>
      <c r="D577" s="8" t="s">
        <v>3177</v>
      </c>
      <c r="E577" s="8" t="s">
        <v>118</v>
      </c>
      <c r="F577" s="8" t="s">
        <v>4117</v>
      </c>
      <c r="G577" s="8" t="s">
        <v>3645</v>
      </c>
      <c r="H577" s="8" t="s">
        <v>3793</v>
      </c>
      <c r="I577" s="8" t="s">
        <v>3413</v>
      </c>
      <c r="J577" s="8" t="s">
        <v>3253</v>
      </c>
      <c r="K577" s="8" t="s">
        <v>3183</v>
      </c>
      <c r="L577" s="10" t="s">
        <v>3414</v>
      </c>
      <c r="M577" s="10" t="s">
        <v>3415</v>
      </c>
      <c r="N577" s="10"/>
      <c r="O577" s="8" t="s">
        <v>322</v>
      </c>
      <c r="P577" s="8"/>
      <c r="Q577" s="8"/>
      <c r="R577" s="8">
        <v>92400</v>
      </c>
      <c r="S577" s="8"/>
      <c r="T577" s="8"/>
      <c r="U577" s="8"/>
      <c r="V577" s="8"/>
      <c r="W577" s="8"/>
      <c r="X577" s="8"/>
      <c r="Y577" s="8" t="s">
        <v>332</v>
      </c>
      <c r="Z577" s="10" t="s">
        <v>4163</v>
      </c>
      <c r="AA577" s="8" t="s">
        <v>332</v>
      </c>
      <c r="AB577" s="8">
        <v>1</v>
      </c>
    </row>
    <row r="578" spans="1:28" ht="21.6" customHeight="1">
      <c r="A578" s="8">
        <v>173</v>
      </c>
      <c r="B578" s="8">
        <v>2025062673</v>
      </c>
      <c r="C578" s="8">
        <v>1</v>
      </c>
      <c r="D578" s="8" t="s">
        <v>3177</v>
      </c>
      <c r="E578" s="8" t="s">
        <v>118</v>
      </c>
      <c r="F578" s="8" t="s">
        <v>4122</v>
      </c>
      <c r="G578" s="8" t="s">
        <v>3233</v>
      </c>
      <c r="H578" s="8" t="s">
        <v>3291</v>
      </c>
      <c r="I578" s="8" t="s">
        <v>3706</v>
      </c>
      <c r="J578" s="8" t="s">
        <v>3253</v>
      </c>
      <c r="K578" s="8" t="s">
        <v>3183</v>
      </c>
      <c r="L578" s="10" t="s">
        <v>3707</v>
      </c>
      <c r="M578" s="10" t="s">
        <v>3708</v>
      </c>
      <c r="N578" s="10" t="s">
        <v>3424</v>
      </c>
      <c r="O578" s="8" t="s">
        <v>322</v>
      </c>
      <c r="P578" s="8"/>
      <c r="Q578" s="8"/>
      <c r="R578" s="8">
        <v>195965</v>
      </c>
      <c r="S578" s="8"/>
      <c r="T578" s="8"/>
      <c r="U578" s="8"/>
      <c r="V578" s="8"/>
      <c r="W578" s="8"/>
      <c r="X578" s="8"/>
      <c r="Y578" s="8" t="s">
        <v>332</v>
      </c>
      <c r="Z578" s="10" t="s">
        <v>4164</v>
      </c>
      <c r="AA578" s="8" t="s">
        <v>332</v>
      </c>
      <c r="AB578" s="8">
        <v>1</v>
      </c>
    </row>
    <row r="579" spans="1:28" ht="21.6" customHeight="1">
      <c r="A579" s="8">
        <v>174</v>
      </c>
      <c r="B579" s="8">
        <v>2025063443</v>
      </c>
      <c r="C579" s="8">
        <v>1</v>
      </c>
      <c r="D579" s="8" t="s">
        <v>3177</v>
      </c>
      <c r="E579" s="8" t="s">
        <v>118</v>
      </c>
      <c r="F579" s="8" t="s">
        <v>4117</v>
      </c>
      <c r="G579" s="8" t="s">
        <v>3848</v>
      </c>
      <c r="H579" s="8" t="s">
        <v>3693</v>
      </c>
      <c r="I579" s="8" t="s">
        <v>3706</v>
      </c>
      <c r="J579" s="8" t="s">
        <v>3253</v>
      </c>
      <c r="K579" s="8" t="s">
        <v>3183</v>
      </c>
      <c r="L579" s="10" t="s">
        <v>3707</v>
      </c>
      <c r="M579" s="10" t="s">
        <v>3708</v>
      </c>
      <c r="N579" s="10" t="s">
        <v>3424</v>
      </c>
      <c r="O579" s="8" t="s">
        <v>322</v>
      </c>
      <c r="P579" s="8"/>
      <c r="Q579" s="8"/>
      <c r="R579" s="8">
        <v>195965</v>
      </c>
      <c r="S579" s="8"/>
      <c r="T579" s="8"/>
      <c r="U579" s="8"/>
      <c r="V579" s="8"/>
      <c r="W579" s="8"/>
      <c r="X579" s="8"/>
      <c r="Y579" s="8" t="s">
        <v>332</v>
      </c>
      <c r="Z579" s="10" t="s">
        <v>4165</v>
      </c>
      <c r="AA579" s="8" t="s">
        <v>332</v>
      </c>
      <c r="AB579" s="8">
        <v>1</v>
      </c>
    </row>
    <row r="580" spans="1:28" ht="21.6" customHeight="1">
      <c r="A580" s="8">
        <v>175</v>
      </c>
      <c r="B580" s="8">
        <v>2025060536</v>
      </c>
      <c r="C580" s="8">
        <v>1</v>
      </c>
      <c r="D580" s="8" t="s">
        <v>3177</v>
      </c>
      <c r="E580" s="8" t="s">
        <v>118</v>
      </c>
      <c r="F580" s="8" t="s">
        <v>4140</v>
      </c>
      <c r="G580" s="8" t="s">
        <v>3363</v>
      </c>
      <c r="H580" s="8" t="s">
        <v>3233</v>
      </c>
      <c r="I580" s="8" t="s">
        <v>3422</v>
      </c>
      <c r="J580" s="8" t="s">
        <v>3253</v>
      </c>
      <c r="K580" s="8" t="s">
        <v>3183</v>
      </c>
      <c r="L580" s="10" t="s">
        <v>3270</v>
      </c>
      <c r="M580" s="10" t="s">
        <v>3423</v>
      </c>
      <c r="N580" s="10" t="s">
        <v>3424</v>
      </c>
      <c r="O580" s="8" t="s">
        <v>322</v>
      </c>
      <c r="P580" s="8"/>
      <c r="Q580" s="8"/>
      <c r="R580" s="8">
        <v>44833</v>
      </c>
      <c r="S580" s="8" t="s">
        <v>332</v>
      </c>
      <c r="T580" s="8"/>
      <c r="U580" s="8"/>
      <c r="V580" s="8"/>
      <c r="W580" s="8"/>
      <c r="X580" s="8"/>
      <c r="Y580" s="8"/>
      <c r="Z580" s="10" t="s">
        <v>3821</v>
      </c>
      <c r="AA580" s="8" t="s">
        <v>332</v>
      </c>
      <c r="AB580" s="8">
        <v>1</v>
      </c>
    </row>
    <row r="581" spans="1:28" ht="21.6" customHeight="1">
      <c r="A581" s="8">
        <v>177</v>
      </c>
      <c r="B581" s="8">
        <v>2025060642</v>
      </c>
      <c r="C581" s="8">
        <v>1</v>
      </c>
      <c r="D581" s="8" t="s">
        <v>3177</v>
      </c>
      <c r="E581" s="8" t="s">
        <v>118</v>
      </c>
      <c r="F581" s="8" t="s">
        <v>4140</v>
      </c>
      <c r="G581" s="8" t="s">
        <v>3386</v>
      </c>
      <c r="H581" s="8" t="s">
        <v>3387</v>
      </c>
      <c r="I581" s="8" t="s">
        <v>3428</v>
      </c>
      <c r="J581" s="8" t="s">
        <v>3253</v>
      </c>
      <c r="K581" s="8" t="s">
        <v>3183</v>
      </c>
      <c r="L581" s="10" t="s">
        <v>3270</v>
      </c>
      <c r="M581" s="10" t="s">
        <v>3429</v>
      </c>
      <c r="N581" s="10" t="s">
        <v>3430</v>
      </c>
      <c r="O581" s="8" t="s">
        <v>322</v>
      </c>
      <c r="P581" s="8"/>
      <c r="Q581" s="8"/>
      <c r="R581" s="8">
        <v>74509</v>
      </c>
      <c r="S581" s="8" t="s">
        <v>332</v>
      </c>
      <c r="T581" s="8"/>
      <c r="U581" s="8"/>
      <c r="V581" s="8"/>
      <c r="W581" s="8"/>
      <c r="X581" s="8"/>
      <c r="Y581" s="8"/>
      <c r="Z581" s="10" t="s">
        <v>3821</v>
      </c>
      <c r="AA581" s="8" t="s">
        <v>332</v>
      </c>
      <c r="AB581" s="8">
        <v>1</v>
      </c>
    </row>
    <row r="582" spans="1:28" ht="21.6" customHeight="1">
      <c r="A582" s="8">
        <v>179</v>
      </c>
      <c r="B582" s="8">
        <v>2025061083</v>
      </c>
      <c r="C582" s="8">
        <v>1</v>
      </c>
      <c r="D582" s="8" t="s">
        <v>3177</v>
      </c>
      <c r="E582" s="8" t="s">
        <v>118</v>
      </c>
      <c r="F582" s="8" t="s">
        <v>4124</v>
      </c>
      <c r="G582" s="8" t="s">
        <v>3357</v>
      </c>
      <c r="H582" s="8" t="s">
        <v>3342</v>
      </c>
      <c r="I582" s="8" t="s">
        <v>3433</v>
      </c>
      <c r="J582" s="8" t="s">
        <v>3277</v>
      </c>
      <c r="K582" s="8" t="s">
        <v>3183</v>
      </c>
      <c r="L582" s="10" t="s">
        <v>3434</v>
      </c>
      <c r="M582" s="10" t="s">
        <v>3435</v>
      </c>
      <c r="N582" s="10" t="s">
        <v>3436</v>
      </c>
      <c r="O582" s="8" t="s">
        <v>322</v>
      </c>
      <c r="P582" s="8"/>
      <c r="Q582" s="8"/>
      <c r="R582" s="8">
        <v>136153</v>
      </c>
      <c r="S582" s="8" t="s">
        <v>332</v>
      </c>
      <c r="T582" s="8"/>
      <c r="U582" s="8"/>
      <c r="V582" s="8"/>
      <c r="W582" s="8"/>
      <c r="X582" s="8"/>
      <c r="Y582" s="8"/>
      <c r="Z582" s="10" t="s">
        <v>3821</v>
      </c>
      <c r="AA582" s="8" t="s">
        <v>332</v>
      </c>
      <c r="AB582" s="8">
        <v>1</v>
      </c>
    </row>
    <row r="583" spans="1:28" ht="21.6" customHeight="1">
      <c r="A583" s="8">
        <v>181</v>
      </c>
      <c r="B583" s="8">
        <v>2025062199</v>
      </c>
      <c r="C583" s="8">
        <v>1</v>
      </c>
      <c r="D583" s="8" t="s">
        <v>3177</v>
      </c>
      <c r="E583" s="8" t="s">
        <v>118</v>
      </c>
      <c r="F583" s="8" t="s">
        <v>4148</v>
      </c>
      <c r="G583" s="8" t="s">
        <v>4166</v>
      </c>
      <c r="H583" s="8" t="s">
        <v>4052</v>
      </c>
      <c r="I583" s="8" t="s">
        <v>3433</v>
      </c>
      <c r="J583" s="8" t="s">
        <v>3277</v>
      </c>
      <c r="K583" s="8" t="s">
        <v>3183</v>
      </c>
      <c r="L583" s="10" t="s">
        <v>3434</v>
      </c>
      <c r="M583" s="10" t="s">
        <v>3435</v>
      </c>
      <c r="N583" s="10" t="s">
        <v>3436</v>
      </c>
      <c r="O583" s="8" t="s">
        <v>322</v>
      </c>
      <c r="P583" s="8"/>
      <c r="Q583" s="8"/>
      <c r="R583" s="8">
        <v>136153</v>
      </c>
      <c r="S583" s="8"/>
      <c r="T583" s="8"/>
      <c r="U583" s="8"/>
      <c r="V583" s="8"/>
      <c r="W583" s="8"/>
      <c r="X583" s="8"/>
      <c r="Y583" s="8" t="s">
        <v>332</v>
      </c>
      <c r="Z583" s="10" t="s">
        <v>4167</v>
      </c>
      <c r="AA583" s="8" t="s">
        <v>332</v>
      </c>
      <c r="AB583" s="8">
        <v>1</v>
      </c>
    </row>
    <row r="584" spans="1:28" ht="21.6" customHeight="1">
      <c r="A584" s="8">
        <v>182</v>
      </c>
      <c r="B584" s="8">
        <v>2025062434</v>
      </c>
      <c r="C584" s="8">
        <v>1</v>
      </c>
      <c r="D584" s="8" t="s">
        <v>3177</v>
      </c>
      <c r="E584" s="8" t="s">
        <v>118</v>
      </c>
      <c r="F584" s="8" t="s">
        <v>4168</v>
      </c>
      <c r="G584" s="8" t="s">
        <v>3368</v>
      </c>
      <c r="H584" s="8" t="s">
        <v>3204</v>
      </c>
      <c r="I584" s="8" t="s">
        <v>3433</v>
      </c>
      <c r="J584" s="8" t="s">
        <v>3277</v>
      </c>
      <c r="K584" s="8" t="s">
        <v>3183</v>
      </c>
      <c r="L584" s="10" t="s">
        <v>3434</v>
      </c>
      <c r="M584" s="10" t="s">
        <v>3435</v>
      </c>
      <c r="N584" s="10" t="s">
        <v>3436</v>
      </c>
      <c r="O584" s="8" t="s">
        <v>363</v>
      </c>
      <c r="P584" s="8"/>
      <c r="Q584" s="8"/>
      <c r="R584" s="8">
        <v>136153</v>
      </c>
      <c r="S584" s="8"/>
      <c r="T584" s="8"/>
      <c r="U584" s="8"/>
      <c r="V584" s="8"/>
      <c r="W584" s="8"/>
      <c r="X584" s="8"/>
      <c r="Y584" s="8"/>
      <c r="Z584" s="10" t="s">
        <v>4169</v>
      </c>
      <c r="AA584" s="8" t="s">
        <v>332</v>
      </c>
      <c r="AB584" s="8">
        <v>1</v>
      </c>
    </row>
    <row r="585" spans="1:28" ht="21.6" customHeight="1">
      <c r="A585" s="8">
        <v>183</v>
      </c>
      <c r="B585" s="8">
        <v>2025062436</v>
      </c>
      <c r="C585" s="8">
        <v>1</v>
      </c>
      <c r="D585" s="8" t="s">
        <v>3177</v>
      </c>
      <c r="E585" s="8" t="s">
        <v>118</v>
      </c>
      <c r="F585" s="8" t="s">
        <v>4168</v>
      </c>
      <c r="G585" s="8" t="s">
        <v>3204</v>
      </c>
      <c r="H585" s="8" t="s">
        <v>3427</v>
      </c>
      <c r="I585" s="8" t="s">
        <v>3433</v>
      </c>
      <c r="J585" s="8" t="s">
        <v>3277</v>
      </c>
      <c r="K585" s="8" t="s">
        <v>3183</v>
      </c>
      <c r="L585" s="10" t="s">
        <v>3434</v>
      </c>
      <c r="M585" s="10" t="s">
        <v>3435</v>
      </c>
      <c r="N585" s="10" t="s">
        <v>3436</v>
      </c>
      <c r="O585" s="8" t="s">
        <v>322</v>
      </c>
      <c r="P585" s="8"/>
      <c r="Q585" s="8"/>
      <c r="R585" s="8">
        <v>136153</v>
      </c>
      <c r="S585" s="8"/>
      <c r="T585" s="8"/>
      <c r="U585" s="8" t="s">
        <v>332</v>
      </c>
      <c r="V585" s="8"/>
      <c r="W585" s="8"/>
      <c r="X585" s="8"/>
      <c r="Y585" s="8"/>
      <c r="Z585" s="10" t="s">
        <v>3362</v>
      </c>
      <c r="AA585" s="8" t="s">
        <v>332</v>
      </c>
      <c r="AB585" s="8">
        <v>1</v>
      </c>
    </row>
    <row r="586" spans="1:28" ht="21.6" customHeight="1">
      <c r="A586" s="8">
        <v>184</v>
      </c>
      <c r="B586" s="8">
        <v>2025061081</v>
      </c>
      <c r="C586" s="8">
        <v>1</v>
      </c>
      <c r="D586" s="8" t="s">
        <v>3177</v>
      </c>
      <c r="E586" s="8" t="s">
        <v>118</v>
      </c>
      <c r="F586" s="8" t="s">
        <v>4124</v>
      </c>
      <c r="G586" s="8" t="s">
        <v>3401</v>
      </c>
      <c r="H586" s="8" t="s">
        <v>3357</v>
      </c>
      <c r="I586" s="8" t="s">
        <v>3440</v>
      </c>
      <c r="J586" s="8" t="s">
        <v>3277</v>
      </c>
      <c r="K586" s="8" t="s">
        <v>3183</v>
      </c>
      <c r="L586" s="10" t="s">
        <v>3434</v>
      </c>
      <c r="M586" s="10" t="s">
        <v>3441</v>
      </c>
      <c r="N586" s="10" t="s">
        <v>3442</v>
      </c>
      <c r="O586" s="8" t="s">
        <v>322</v>
      </c>
      <c r="P586" s="8"/>
      <c r="Q586" s="8"/>
      <c r="R586" s="8">
        <v>120374</v>
      </c>
      <c r="S586" s="8" t="s">
        <v>332</v>
      </c>
      <c r="T586" s="8"/>
      <c r="U586" s="8"/>
      <c r="V586" s="8"/>
      <c r="W586" s="8"/>
      <c r="X586" s="8"/>
      <c r="Y586" s="8"/>
      <c r="Z586" s="10" t="s">
        <v>3821</v>
      </c>
      <c r="AA586" s="8" t="s">
        <v>332</v>
      </c>
      <c r="AB586" s="8">
        <v>1</v>
      </c>
    </row>
    <row r="587" spans="1:28" ht="21.6" customHeight="1">
      <c r="A587" s="8">
        <v>186</v>
      </c>
      <c r="B587" s="8">
        <v>2025062437</v>
      </c>
      <c r="C587" s="8">
        <v>1</v>
      </c>
      <c r="D587" s="8" t="s">
        <v>3177</v>
      </c>
      <c r="E587" s="8" t="s">
        <v>118</v>
      </c>
      <c r="F587" s="8" t="s">
        <v>4168</v>
      </c>
      <c r="G587" s="8" t="s">
        <v>3427</v>
      </c>
      <c r="H587" s="8" t="s">
        <v>3386</v>
      </c>
      <c r="I587" s="8" t="s">
        <v>3440</v>
      </c>
      <c r="J587" s="8" t="s">
        <v>3277</v>
      </c>
      <c r="K587" s="8" t="s">
        <v>3183</v>
      </c>
      <c r="L587" s="10" t="s">
        <v>3434</v>
      </c>
      <c r="M587" s="10" t="s">
        <v>3441</v>
      </c>
      <c r="N587" s="10" t="s">
        <v>3442</v>
      </c>
      <c r="O587" s="8" t="s">
        <v>322</v>
      </c>
      <c r="P587" s="8"/>
      <c r="Q587" s="8"/>
      <c r="R587" s="8">
        <v>120374</v>
      </c>
      <c r="S587" s="8"/>
      <c r="T587" s="8"/>
      <c r="U587" s="8" t="s">
        <v>332</v>
      </c>
      <c r="V587" s="8"/>
      <c r="W587" s="8"/>
      <c r="X587" s="8"/>
      <c r="Y587" s="8"/>
      <c r="Z587" s="10" t="s">
        <v>3362</v>
      </c>
      <c r="AA587" s="8" t="s">
        <v>332</v>
      </c>
      <c r="AB587" s="8">
        <v>1</v>
      </c>
    </row>
    <row r="588" spans="1:28" ht="21.6" customHeight="1">
      <c r="A588" s="8">
        <v>187</v>
      </c>
      <c r="B588" s="8">
        <v>2025061981</v>
      </c>
      <c r="C588" s="8">
        <v>1</v>
      </c>
      <c r="D588" s="8" t="s">
        <v>3177</v>
      </c>
      <c r="E588" s="8" t="s">
        <v>118</v>
      </c>
      <c r="F588" s="8" t="s">
        <v>4154</v>
      </c>
      <c r="G588" s="8" t="s">
        <v>3280</v>
      </c>
      <c r="H588" s="8" t="s">
        <v>3363</v>
      </c>
      <c r="I588" s="8" t="s">
        <v>3447</v>
      </c>
      <c r="J588" s="8" t="s">
        <v>3277</v>
      </c>
      <c r="K588" s="8" t="s">
        <v>3183</v>
      </c>
      <c r="L588" s="10" t="s">
        <v>3448</v>
      </c>
      <c r="M588" s="10" t="s">
        <v>3449</v>
      </c>
      <c r="N588" s="10"/>
      <c r="O588" s="8" t="s">
        <v>322</v>
      </c>
      <c r="P588" s="8"/>
      <c r="Q588" s="8"/>
      <c r="R588" s="8">
        <v>42000</v>
      </c>
      <c r="S588" s="8" t="s">
        <v>332</v>
      </c>
      <c r="T588" s="8"/>
      <c r="U588" s="8"/>
      <c r="V588" s="8"/>
      <c r="W588" s="8"/>
      <c r="X588" s="8"/>
      <c r="Y588" s="8"/>
      <c r="Z588" s="10" t="s">
        <v>3821</v>
      </c>
      <c r="AA588" s="8" t="s">
        <v>332</v>
      </c>
      <c r="AB588" s="8">
        <v>1</v>
      </c>
    </row>
    <row r="589" spans="1:28" ht="21.6" customHeight="1">
      <c r="A589" s="8">
        <v>193</v>
      </c>
      <c r="B589" s="8">
        <v>2025060085</v>
      </c>
      <c r="C589" s="8">
        <v>1</v>
      </c>
      <c r="D589" s="8" t="s">
        <v>3177</v>
      </c>
      <c r="E589" s="8" t="s">
        <v>118</v>
      </c>
      <c r="F589" s="8" t="s">
        <v>4170</v>
      </c>
      <c r="G589" s="8" t="s">
        <v>3250</v>
      </c>
      <c r="H589" s="8" t="s">
        <v>3204</v>
      </c>
      <c r="I589" s="8" t="s">
        <v>3461</v>
      </c>
      <c r="J589" s="8" t="s">
        <v>3277</v>
      </c>
      <c r="K589" s="8" t="s">
        <v>3183</v>
      </c>
      <c r="L589" s="10" t="s">
        <v>3462</v>
      </c>
      <c r="M589" s="10" t="s">
        <v>3463</v>
      </c>
      <c r="N589" s="10" t="s">
        <v>3464</v>
      </c>
      <c r="O589" s="8" t="s">
        <v>322</v>
      </c>
      <c r="P589" s="8"/>
      <c r="Q589" s="8"/>
      <c r="R589" s="8">
        <v>205776</v>
      </c>
      <c r="S589" s="8"/>
      <c r="T589" s="8"/>
      <c r="U589" s="8" t="s">
        <v>332</v>
      </c>
      <c r="V589" s="8"/>
      <c r="W589" s="8"/>
      <c r="X589" s="8"/>
      <c r="Y589" s="8"/>
      <c r="Z589" s="10" t="s">
        <v>3362</v>
      </c>
      <c r="AA589" s="8" t="s">
        <v>332</v>
      </c>
      <c r="AB589" s="8">
        <v>1</v>
      </c>
    </row>
    <row r="590" spans="1:28" ht="21.6" customHeight="1">
      <c r="A590" s="8">
        <v>194</v>
      </c>
      <c r="B590" s="8">
        <v>2025061164</v>
      </c>
      <c r="C590" s="8">
        <v>1</v>
      </c>
      <c r="D590" s="8" t="s">
        <v>3177</v>
      </c>
      <c r="E590" s="8" t="s">
        <v>118</v>
      </c>
      <c r="F590" s="8" t="s">
        <v>4125</v>
      </c>
      <c r="G590" s="8" t="s">
        <v>3350</v>
      </c>
      <c r="H590" s="8" t="s">
        <v>3280</v>
      </c>
      <c r="I590" s="8" t="s">
        <v>3461</v>
      </c>
      <c r="J590" s="8" t="s">
        <v>3277</v>
      </c>
      <c r="K590" s="8" t="s">
        <v>3183</v>
      </c>
      <c r="L590" s="10" t="s">
        <v>3462</v>
      </c>
      <c r="M590" s="10" t="s">
        <v>3463</v>
      </c>
      <c r="N590" s="10" t="s">
        <v>3464</v>
      </c>
      <c r="O590" s="8" t="s">
        <v>363</v>
      </c>
      <c r="P590" s="8"/>
      <c r="Q590" s="8"/>
      <c r="R590" s="8">
        <v>205776</v>
      </c>
      <c r="S590" s="8"/>
      <c r="T590" s="8"/>
      <c r="U590" s="8"/>
      <c r="V590" s="8"/>
      <c r="W590" s="8"/>
      <c r="X590" s="8"/>
      <c r="Y590" s="8"/>
      <c r="Z590" s="10" t="s">
        <v>3362</v>
      </c>
      <c r="AA590" s="8" t="s">
        <v>332</v>
      </c>
      <c r="AB590" s="8">
        <v>1</v>
      </c>
    </row>
    <row r="591" spans="1:28" ht="21.6" customHeight="1">
      <c r="A591" s="8">
        <v>195</v>
      </c>
      <c r="B591" s="8">
        <v>2025062233</v>
      </c>
      <c r="C591" s="8">
        <v>1</v>
      </c>
      <c r="D591" s="8" t="s">
        <v>3177</v>
      </c>
      <c r="E591" s="8" t="s">
        <v>118</v>
      </c>
      <c r="F591" s="8" t="s">
        <v>3178</v>
      </c>
      <c r="G591" s="8" t="s">
        <v>3280</v>
      </c>
      <c r="H591" s="8" t="s">
        <v>3765</v>
      </c>
      <c r="I591" s="8" t="s">
        <v>3461</v>
      </c>
      <c r="J591" s="8" t="s">
        <v>3277</v>
      </c>
      <c r="K591" s="8" t="s">
        <v>3183</v>
      </c>
      <c r="L591" s="10" t="s">
        <v>3462</v>
      </c>
      <c r="M591" s="10" t="s">
        <v>3463</v>
      </c>
      <c r="N591" s="10" t="s">
        <v>3464</v>
      </c>
      <c r="O591" s="8" t="s">
        <v>363</v>
      </c>
      <c r="P591" s="8"/>
      <c r="Q591" s="8"/>
      <c r="R591" s="8">
        <v>205776</v>
      </c>
      <c r="S591" s="8"/>
      <c r="T591" s="8"/>
      <c r="U591" s="8"/>
      <c r="V591" s="8"/>
      <c r="W591" s="8"/>
      <c r="X591" s="8"/>
      <c r="Y591" s="8"/>
      <c r="Z591" s="10" t="s">
        <v>4164</v>
      </c>
      <c r="AA591" s="8" t="s">
        <v>332</v>
      </c>
      <c r="AB591" s="8">
        <v>1</v>
      </c>
    </row>
    <row r="592" spans="1:28" ht="21.6" customHeight="1">
      <c r="A592" s="8">
        <v>196</v>
      </c>
      <c r="B592" s="8">
        <v>2025063552</v>
      </c>
      <c r="C592" s="8">
        <v>1</v>
      </c>
      <c r="D592" s="8" t="s">
        <v>3177</v>
      </c>
      <c r="E592" s="8" t="s">
        <v>118</v>
      </c>
      <c r="F592" s="8" t="s">
        <v>4150</v>
      </c>
      <c r="G592" s="8" t="s">
        <v>3386</v>
      </c>
      <c r="H592" s="8" t="s">
        <v>3387</v>
      </c>
      <c r="I592" s="8" t="s">
        <v>3461</v>
      </c>
      <c r="J592" s="8" t="s">
        <v>3277</v>
      </c>
      <c r="K592" s="8" t="s">
        <v>3183</v>
      </c>
      <c r="L592" s="10" t="s">
        <v>3462</v>
      </c>
      <c r="M592" s="10" t="s">
        <v>3463</v>
      </c>
      <c r="N592" s="10" t="s">
        <v>3464</v>
      </c>
      <c r="O592" s="8" t="s">
        <v>322</v>
      </c>
      <c r="P592" s="8"/>
      <c r="Q592" s="8"/>
      <c r="R592" s="8">
        <v>205776</v>
      </c>
      <c r="S592" s="8"/>
      <c r="T592" s="8"/>
      <c r="U592" s="8" t="s">
        <v>332</v>
      </c>
      <c r="V592" s="8"/>
      <c r="W592" s="8"/>
      <c r="X592" s="8"/>
      <c r="Y592" s="8"/>
      <c r="Z592" s="10" t="s">
        <v>3362</v>
      </c>
      <c r="AA592" s="8" t="s">
        <v>332</v>
      </c>
      <c r="AB592" s="8">
        <v>1</v>
      </c>
    </row>
    <row r="593" spans="1:28" ht="21.6" customHeight="1">
      <c r="A593" s="8">
        <v>200</v>
      </c>
      <c r="B593" s="8">
        <v>2025063551</v>
      </c>
      <c r="C593" s="8">
        <v>1</v>
      </c>
      <c r="D593" s="8" t="s">
        <v>3177</v>
      </c>
      <c r="E593" s="8" t="s">
        <v>118</v>
      </c>
      <c r="F593" s="8" t="s">
        <v>4150</v>
      </c>
      <c r="G593" s="8" t="s">
        <v>3387</v>
      </c>
      <c r="H593" s="8" t="s">
        <v>3426</v>
      </c>
      <c r="I593" s="8" t="s">
        <v>3713</v>
      </c>
      <c r="J593" s="8" t="s">
        <v>3277</v>
      </c>
      <c r="K593" s="8" t="s">
        <v>3183</v>
      </c>
      <c r="L593" s="10" t="s">
        <v>3462</v>
      </c>
      <c r="M593" s="10" t="s">
        <v>3714</v>
      </c>
      <c r="N593" s="10" t="s">
        <v>3715</v>
      </c>
      <c r="O593" s="8" t="s">
        <v>322</v>
      </c>
      <c r="P593" s="8"/>
      <c r="Q593" s="8"/>
      <c r="R593" s="8">
        <v>166923</v>
      </c>
      <c r="S593" s="8"/>
      <c r="T593" s="8"/>
      <c r="U593" s="8" t="s">
        <v>332</v>
      </c>
      <c r="V593" s="8"/>
      <c r="W593" s="8"/>
      <c r="X593" s="8"/>
      <c r="Y593" s="8"/>
      <c r="Z593" s="10" t="s">
        <v>3362</v>
      </c>
      <c r="AA593" s="8" t="s">
        <v>332</v>
      </c>
      <c r="AB593" s="8">
        <v>1</v>
      </c>
    </row>
    <row r="594" spans="1:28" ht="21.6" customHeight="1">
      <c r="A594" s="8">
        <v>201</v>
      </c>
      <c r="B594" s="8">
        <v>2025060534</v>
      </c>
      <c r="C594" s="8">
        <v>1</v>
      </c>
      <c r="D594" s="8" t="s">
        <v>3177</v>
      </c>
      <c r="E594" s="8" t="s">
        <v>118</v>
      </c>
      <c r="F594" s="8" t="s">
        <v>4140</v>
      </c>
      <c r="G594" s="8" t="s">
        <v>3280</v>
      </c>
      <c r="H594" s="8" t="s">
        <v>3363</v>
      </c>
      <c r="I594" s="8" t="s">
        <v>4171</v>
      </c>
      <c r="J594" s="8" t="s">
        <v>3277</v>
      </c>
      <c r="K594" s="8" t="s">
        <v>3183</v>
      </c>
      <c r="L594" s="10" t="s">
        <v>3270</v>
      </c>
      <c r="M594" s="10" t="s">
        <v>3496</v>
      </c>
      <c r="N594" s="10" t="s">
        <v>3497</v>
      </c>
      <c r="O594" s="8" t="s">
        <v>322</v>
      </c>
      <c r="P594" s="8"/>
      <c r="Q594" s="8"/>
      <c r="R594" s="8">
        <v>591</v>
      </c>
      <c r="S594" s="8" t="s">
        <v>332</v>
      </c>
      <c r="T594" s="8"/>
      <c r="U594" s="8"/>
      <c r="V594" s="8"/>
      <c r="W594" s="8"/>
      <c r="X594" s="8"/>
      <c r="Y594" s="8"/>
      <c r="Z594" s="10" t="s">
        <v>3821</v>
      </c>
      <c r="AA594" s="8" t="s">
        <v>332</v>
      </c>
      <c r="AB594" s="8">
        <v>1</v>
      </c>
    </row>
    <row r="595" spans="1:28" ht="21.6" customHeight="1">
      <c r="A595" s="8">
        <v>203</v>
      </c>
      <c r="B595" s="8">
        <v>2025063268</v>
      </c>
      <c r="C595" s="8">
        <v>1</v>
      </c>
      <c r="D595" s="8" t="s">
        <v>3177</v>
      </c>
      <c r="E595" s="8" t="s">
        <v>118</v>
      </c>
      <c r="F595" s="8" t="s">
        <v>4138</v>
      </c>
      <c r="G595" s="8" t="s">
        <v>3427</v>
      </c>
      <c r="H595" s="8" t="s">
        <v>3386</v>
      </c>
      <c r="I595" s="8" t="s">
        <v>3470</v>
      </c>
      <c r="J595" s="8" t="s">
        <v>3471</v>
      </c>
      <c r="K595" s="8" t="s">
        <v>3183</v>
      </c>
      <c r="L595" s="10" t="s">
        <v>3472</v>
      </c>
      <c r="M595" s="10" t="s">
        <v>3410</v>
      </c>
      <c r="N595" s="10" t="s">
        <v>3442</v>
      </c>
      <c r="O595" s="8" t="s">
        <v>322</v>
      </c>
      <c r="P595" s="8"/>
      <c r="Q595" s="8"/>
      <c r="R595" s="8">
        <v>73008</v>
      </c>
      <c r="S595" s="8" t="s">
        <v>332</v>
      </c>
      <c r="T595" s="8"/>
      <c r="U595" s="8"/>
      <c r="V595" s="8"/>
      <c r="W595" s="8"/>
      <c r="X595" s="8"/>
      <c r="Y595" s="8"/>
      <c r="Z595" s="10" t="s">
        <v>3821</v>
      </c>
      <c r="AA595" s="8" t="s">
        <v>332</v>
      </c>
      <c r="AB595" s="8">
        <v>1</v>
      </c>
    </row>
    <row r="596" spans="1:28" ht="21.6" customHeight="1">
      <c r="A596" s="8">
        <v>205</v>
      </c>
      <c r="B596" s="8">
        <v>2025062103</v>
      </c>
      <c r="C596" s="8">
        <v>1</v>
      </c>
      <c r="D596" s="8" t="s">
        <v>3177</v>
      </c>
      <c r="E596" s="8" t="s">
        <v>118</v>
      </c>
      <c r="F596" s="8" t="s">
        <v>4148</v>
      </c>
      <c r="G596" s="8" t="s">
        <v>3350</v>
      </c>
      <c r="H596" s="8" t="s">
        <v>3280</v>
      </c>
      <c r="I596" s="8" t="s">
        <v>3482</v>
      </c>
      <c r="J596" s="8" t="s">
        <v>3288</v>
      </c>
      <c r="K596" s="8" t="s">
        <v>3183</v>
      </c>
      <c r="L596" s="10" t="s">
        <v>3483</v>
      </c>
      <c r="M596" s="10" t="s">
        <v>3484</v>
      </c>
      <c r="N596" s="10" t="s">
        <v>3485</v>
      </c>
      <c r="O596" s="8" t="s">
        <v>322</v>
      </c>
      <c r="P596" s="8">
        <v>1572</v>
      </c>
      <c r="Q596" s="8">
        <v>4203</v>
      </c>
      <c r="R596" s="8">
        <v>28651</v>
      </c>
      <c r="S596" s="8" t="s">
        <v>332</v>
      </c>
      <c r="T596" s="8"/>
      <c r="U596" s="8"/>
      <c r="V596" s="8"/>
      <c r="W596" s="8"/>
      <c r="X596" s="8"/>
      <c r="Y596" s="8"/>
      <c r="Z596" s="10" t="s">
        <v>3821</v>
      </c>
      <c r="AA596" s="8" t="s">
        <v>332</v>
      </c>
      <c r="AB596" s="8">
        <v>1</v>
      </c>
    </row>
    <row r="597" spans="1:28" ht="21.6" customHeight="1">
      <c r="A597" s="8">
        <v>215</v>
      </c>
      <c r="B597" s="8">
        <v>2025063286</v>
      </c>
      <c r="C597" s="8">
        <v>1</v>
      </c>
      <c r="D597" s="8" t="s">
        <v>3177</v>
      </c>
      <c r="E597" s="8" t="s">
        <v>118</v>
      </c>
      <c r="F597" s="8" t="s">
        <v>4150</v>
      </c>
      <c r="G597" s="8" t="s">
        <v>3363</v>
      </c>
      <c r="H597" s="8" t="s">
        <v>3556</v>
      </c>
      <c r="I597" s="8" t="s">
        <v>3502</v>
      </c>
      <c r="J597" s="8" t="s">
        <v>3298</v>
      </c>
      <c r="K597" s="8" t="s">
        <v>3183</v>
      </c>
      <c r="L597" s="10" t="s">
        <v>3503</v>
      </c>
      <c r="M597" s="10" t="s">
        <v>3504</v>
      </c>
      <c r="N597" s="10" t="s">
        <v>217</v>
      </c>
      <c r="O597" s="8" t="s">
        <v>363</v>
      </c>
      <c r="P597" s="8"/>
      <c r="Q597" s="8"/>
      <c r="R597" s="8">
        <v>282440</v>
      </c>
      <c r="S597" s="8"/>
      <c r="T597" s="8"/>
      <c r="U597" s="8"/>
      <c r="V597" s="8"/>
      <c r="W597" s="8"/>
      <c r="X597" s="8"/>
      <c r="Y597" s="8"/>
      <c r="Z597" s="10" t="s">
        <v>4172</v>
      </c>
      <c r="AA597" s="8" t="s">
        <v>332</v>
      </c>
      <c r="AB597" s="8">
        <v>1</v>
      </c>
    </row>
    <row r="598" spans="1:28" ht="21.6" customHeight="1">
      <c r="A598" s="8">
        <v>218</v>
      </c>
      <c r="B598" s="8">
        <v>2025060084</v>
      </c>
      <c r="C598" s="8">
        <v>1</v>
      </c>
      <c r="D598" s="8" t="s">
        <v>3177</v>
      </c>
      <c r="E598" s="8" t="s">
        <v>118</v>
      </c>
      <c r="F598" s="8" t="s">
        <v>4170</v>
      </c>
      <c r="G598" s="8" t="s">
        <v>3368</v>
      </c>
      <c r="H598" s="8" t="s">
        <v>3250</v>
      </c>
      <c r="I598" s="8" t="s">
        <v>3506</v>
      </c>
      <c r="J598" s="8" t="s">
        <v>3298</v>
      </c>
      <c r="K598" s="8" t="s">
        <v>3183</v>
      </c>
      <c r="L598" s="10" t="s">
        <v>3462</v>
      </c>
      <c r="M598" s="10" t="s">
        <v>3507</v>
      </c>
      <c r="N598" s="10" t="s">
        <v>3508</v>
      </c>
      <c r="O598" s="8" t="s">
        <v>322</v>
      </c>
      <c r="P598" s="8"/>
      <c r="Q598" s="8"/>
      <c r="R598" s="8">
        <v>115112</v>
      </c>
      <c r="S598" s="8"/>
      <c r="T598" s="8"/>
      <c r="U598" s="8" t="s">
        <v>332</v>
      </c>
      <c r="V598" s="8"/>
      <c r="W598" s="8"/>
      <c r="X598" s="8"/>
      <c r="Y598" s="8"/>
      <c r="Z598" s="10" t="s">
        <v>3362</v>
      </c>
      <c r="AA598" s="8" t="s">
        <v>332</v>
      </c>
      <c r="AB598" s="8">
        <v>1</v>
      </c>
    </row>
    <row r="599" spans="1:28" ht="21.6" customHeight="1">
      <c r="A599" s="8">
        <v>221</v>
      </c>
      <c r="B599" s="8">
        <v>2025060747</v>
      </c>
      <c r="C599" s="8">
        <v>1</v>
      </c>
      <c r="D599" s="8" t="s">
        <v>3177</v>
      </c>
      <c r="E599" s="8" t="s">
        <v>118</v>
      </c>
      <c r="F599" s="8" t="s">
        <v>4161</v>
      </c>
      <c r="G599" s="8" t="s">
        <v>3401</v>
      </c>
      <c r="H599" s="8" t="s">
        <v>3577</v>
      </c>
      <c r="I599" s="8" t="s">
        <v>3510</v>
      </c>
      <c r="J599" s="8" t="s">
        <v>3298</v>
      </c>
      <c r="K599" s="8" t="s">
        <v>3183</v>
      </c>
      <c r="L599" s="10" t="s">
        <v>3398</v>
      </c>
      <c r="M599" s="10" t="s">
        <v>3511</v>
      </c>
      <c r="N599" s="10" t="s">
        <v>3512</v>
      </c>
      <c r="O599" s="8" t="s">
        <v>322</v>
      </c>
      <c r="P599" s="8"/>
      <c r="Q599" s="8"/>
      <c r="R599" s="8">
        <v>11127</v>
      </c>
      <c r="S599" s="8" t="s">
        <v>332</v>
      </c>
      <c r="T599" s="8"/>
      <c r="U599" s="8"/>
      <c r="V599" s="8"/>
      <c r="W599" s="8"/>
      <c r="X599" s="8"/>
      <c r="Y599" s="8"/>
      <c r="Z599" s="10" t="s">
        <v>3821</v>
      </c>
      <c r="AA599" s="8" t="s">
        <v>332</v>
      </c>
      <c r="AB599" s="8">
        <v>1</v>
      </c>
    </row>
    <row r="600" spans="1:28" ht="21.6" customHeight="1">
      <c r="A600" s="8">
        <v>223</v>
      </c>
      <c r="B600" s="8">
        <v>2025060737</v>
      </c>
      <c r="C600" s="8">
        <v>1</v>
      </c>
      <c r="D600" s="8" t="s">
        <v>3177</v>
      </c>
      <c r="E600" s="8" t="s">
        <v>118</v>
      </c>
      <c r="F600" s="8" t="s">
        <v>4161</v>
      </c>
      <c r="G600" s="8" t="s">
        <v>4136</v>
      </c>
      <c r="H600" s="8" t="s">
        <v>3982</v>
      </c>
      <c r="I600" s="8" t="s">
        <v>3513</v>
      </c>
      <c r="J600" s="8" t="s">
        <v>3298</v>
      </c>
      <c r="K600" s="8" t="s">
        <v>3183</v>
      </c>
      <c r="L600" s="10" t="s">
        <v>3398</v>
      </c>
      <c r="M600" s="10" t="s">
        <v>3514</v>
      </c>
      <c r="N600" s="10" t="s">
        <v>3379</v>
      </c>
      <c r="O600" s="8" t="s">
        <v>322</v>
      </c>
      <c r="P600" s="8"/>
      <c r="Q600" s="8"/>
      <c r="R600" s="8">
        <v>142003</v>
      </c>
      <c r="S600" s="8" t="s">
        <v>332</v>
      </c>
      <c r="T600" s="8"/>
      <c r="U600" s="8"/>
      <c r="V600" s="8"/>
      <c r="W600" s="8"/>
      <c r="X600" s="8"/>
      <c r="Y600" s="8"/>
      <c r="Z600" s="10" t="s">
        <v>3821</v>
      </c>
      <c r="AA600" s="8" t="s">
        <v>332</v>
      </c>
      <c r="AB600" s="8">
        <v>1</v>
      </c>
    </row>
    <row r="601" spans="1:28" ht="21.6" customHeight="1">
      <c r="A601" s="8">
        <v>225</v>
      </c>
      <c r="B601" s="8">
        <v>2025061172</v>
      </c>
      <c r="C601" s="8">
        <v>1</v>
      </c>
      <c r="D601" s="8" t="s">
        <v>3177</v>
      </c>
      <c r="E601" s="8" t="s">
        <v>118</v>
      </c>
      <c r="F601" s="8" t="s">
        <v>4124</v>
      </c>
      <c r="G601" s="8" t="s">
        <v>3427</v>
      </c>
      <c r="H601" s="8" t="s">
        <v>4173</v>
      </c>
      <c r="I601" s="8" t="s">
        <v>3513</v>
      </c>
      <c r="J601" s="8" t="s">
        <v>3298</v>
      </c>
      <c r="K601" s="8" t="s">
        <v>3183</v>
      </c>
      <c r="L601" s="10" t="s">
        <v>3398</v>
      </c>
      <c r="M601" s="10" t="s">
        <v>3514</v>
      </c>
      <c r="N601" s="10" t="s">
        <v>3379</v>
      </c>
      <c r="O601" s="8" t="s">
        <v>363</v>
      </c>
      <c r="P601" s="8"/>
      <c r="Q601" s="8"/>
      <c r="R601" s="8">
        <v>142003</v>
      </c>
      <c r="S601" s="8"/>
      <c r="T601" s="8"/>
      <c r="U601" s="8"/>
      <c r="V601" s="8"/>
      <c r="W601" s="8"/>
      <c r="X601" s="8"/>
      <c r="Y601" s="8"/>
      <c r="Z601" s="10" t="s">
        <v>4174</v>
      </c>
      <c r="AA601" s="8" t="s">
        <v>332</v>
      </c>
      <c r="AB601" s="8">
        <v>1</v>
      </c>
    </row>
    <row r="602" spans="1:28" ht="21.6" customHeight="1">
      <c r="A602" s="8">
        <v>226</v>
      </c>
      <c r="B602" s="8">
        <v>2025060741</v>
      </c>
      <c r="C602" s="8">
        <v>1</v>
      </c>
      <c r="D602" s="8" t="s">
        <v>3177</v>
      </c>
      <c r="E602" s="8" t="s">
        <v>118</v>
      </c>
      <c r="F602" s="8" t="s">
        <v>4161</v>
      </c>
      <c r="G602" s="8" t="s">
        <v>3233</v>
      </c>
      <c r="H602" s="8" t="s">
        <v>4113</v>
      </c>
      <c r="I602" s="8" t="s">
        <v>3518</v>
      </c>
      <c r="J602" s="8" t="s">
        <v>3298</v>
      </c>
      <c r="K602" s="8" t="s">
        <v>3183</v>
      </c>
      <c r="L602" s="10" t="s">
        <v>3398</v>
      </c>
      <c r="M602" s="10" t="s">
        <v>3519</v>
      </c>
      <c r="N602" s="10" t="s">
        <v>3520</v>
      </c>
      <c r="O602" s="8" t="s">
        <v>322</v>
      </c>
      <c r="P602" s="8"/>
      <c r="Q602" s="8"/>
      <c r="R602" s="8">
        <v>242354</v>
      </c>
      <c r="S602" s="8" t="s">
        <v>332</v>
      </c>
      <c r="T602" s="8"/>
      <c r="U602" s="8"/>
      <c r="V602" s="8"/>
      <c r="W602" s="8"/>
      <c r="X602" s="8"/>
      <c r="Y602" s="8"/>
      <c r="Z602" s="10" t="s">
        <v>3821</v>
      </c>
      <c r="AA602" s="8" t="s">
        <v>332</v>
      </c>
      <c r="AB602" s="8">
        <v>1</v>
      </c>
    </row>
    <row r="603" spans="1:28" ht="21.6" customHeight="1">
      <c r="A603" s="8">
        <v>228</v>
      </c>
      <c r="B603" s="8">
        <v>2025062771</v>
      </c>
      <c r="C603" s="8">
        <v>1</v>
      </c>
      <c r="D603" s="8" t="s">
        <v>3177</v>
      </c>
      <c r="E603" s="8" t="s">
        <v>118</v>
      </c>
      <c r="F603" s="8" t="s">
        <v>4122</v>
      </c>
      <c r="G603" s="8" t="s">
        <v>4175</v>
      </c>
      <c r="H603" s="8" t="s">
        <v>4176</v>
      </c>
      <c r="I603" s="8" t="s">
        <v>3518</v>
      </c>
      <c r="J603" s="8" t="s">
        <v>3298</v>
      </c>
      <c r="K603" s="8" t="s">
        <v>3183</v>
      </c>
      <c r="L603" s="10" t="s">
        <v>3398</v>
      </c>
      <c r="M603" s="10" t="s">
        <v>3519</v>
      </c>
      <c r="N603" s="10" t="s">
        <v>3520</v>
      </c>
      <c r="O603" s="8" t="s">
        <v>322</v>
      </c>
      <c r="P603" s="8"/>
      <c r="Q603" s="8"/>
      <c r="R603" s="8">
        <v>242354</v>
      </c>
      <c r="S603" s="8"/>
      <c r="T603" s="8"/>
      <c r="U603" s="8"/>
      <c r="V603" s="8"/>
      <c r="W603" s="8"/>
      <c r="X603" s="8"/>
      <c r="Y603" s="8" t="s">
        <v>332</v>
      </c>
      <c r="Z603" s="10" t="s">
        <v>4087</v>
      </c>
      <c r="AA603" s="8" t="s">
        <v>332</v>
      </c>
      <c r="AB603" s="8">
        <v>1</v>
      </c>
    </row>
    <row r="604" spans="1:28" ht="21.6" customHeight="1">
      <c r="A604" s="8">
        <v>229</v>
      </c>
      <c r="B604" s="8">
        <v>2025063314</v>
      </c>
      <c r="C604" s="8">
        <v>1</v>
      </c>
      <c r="D604" s="8" t="s">
        <v>3177</v>
      </c>
      <c r="E604" s="8" t="s">
        <v>118</v>
      </c>
      <c r="F604" s="8" t="s">
        <v>4117</v>
      </c>
      <c r="G604" s="8" t="s">
        <v>3280</v>
      </c>
      <c r="H604" s="8" t="s">
        <v>3363</v>
      </c>
      <c r="I604" s="8" t="s">
        <v>3518</v>
      </c>
      <c r="J604" s="8" t="s">
        <v>3298</v>
      </c>
      <c r="K604" s="8" t="s">
        <v>3183</v>
      </c>
      <c r="L604" s="10" t="s">
        <v>3398</v>
      </c>
      <c r="M604" s="10" t="s">
        <v>3519</v>
      </c>
      <c r="N604" s="10" t="s">
        <v>3520</v>
      </c>
      <c r="O604" s="8" t="s">
        <v>363</v>
      </c>
      <c r="P604" s="8"/>
      <c r="Q604" s="8"/>
      <c r="R604" s="8">
        <v>242354</v>
      </c>
      <c r="S604" s="8"/>
      <c r="T604" s="8"/>
      <c r="U604" s="8"/>
      <c r="V604" s="8"/>
      <c r="W604" s="8"/>
      <c r="X604" s="8"/>
      <c r="Y604" s="8"/>
      <c r="Z604" s="10" t="s">
        <v>4177</v>
      </c>
      <c r="AA604" s="8" t="s">
        <v>332</v>
      </c>
      <c r="AB604" s="8">
        <v>1</v>
      </c>
    </row>
    <row r="605" spans="1:28" ht="21.6" customHeight="1">
      <c r="A605" s="8">
        <v>230</v>
      </c>
      <c r="B605" s="8">
        <v>2025060745</v>
      </c>
      <c r="C605" s="8">
        <v>1</v>
      </c>
      <c r="D605" s="8" t="s">
        <v>3177</v>
      </c>
      <c r="E605" s="8" t="s">
        <v>118</v>
      </c>
      <c r="F605" s="8" t="s">
        <v>4161</v>
      </c>
      <c r="G605" s="8" t="s">
        <v>3638</v>
      </c>
      <c r="H605" s="8" t="s">
        <v>3401</v>
      </c>
      <c r="I605" s="8" t="s">
        <v>3521</v>
      </c>
      <c r="J605" s="8" t="s">
        <v>3298</v>
      </c>
      <c r="K605" s="8" t="s">
        <v>3183</v>
      </c>
      <c r="L605" s="10" t="s">
        <v>3398</v>
      </c>
      <c r="M605" s="10" t="s">
        <v>3522</v>
      </c>
      <c r="N605" s="10" t="s">
        <v>3523</v>
      </c>
      <c r="O605" s="8" t="s">
        <v>322</v>
      </c>
      <c r="P605" s="8"/>
      <c r="Q605" s="8"/>
      <c r="R605" s="8">
        <v>118487</v>
      </c>
      <c r="S605" s="8" t="s">
        <v>332</v>
      </c>
      <c r="T605" s="8"/>
      <c r="U605" s="8"/>
      <c r="V605" s="8"/>
      <c r="W605" s="8"/>
      <c r="X605" s="8"/>
      <c r="Y605" s="8"/>
      <c r="Z605" s="10" t="s">
        <v>3821</v>
      </c>
      <c r="AA605" s="8" t="s">
        <v>332</v>
      </c>
      <c r="AB605" s="8">
        <v>1</v>
      </c>
    </row>
    <row r="606" spans="1:28" ht="21.6" customHeight="1">
      <c r="A606" s="8">
        <v>236</v>
      </c>
      <c r="B606" s="8">
        <v>2025061357</v>
      </c>
      <c r="C606" s="8">
        <v>1</v>
      </c>
      <c r="D606" s="8" t="s">
        <v>3177</v>
      </c>
      <c r="E606" s="8" t="s">
        <v>118</v>
      </c>
      <c r="F606" s="8" t="s">
        <v>4111</v>
      </c>
      <c r="G606" s="8" t="s">
        <v>3204</v>
      </c>
      <c r="H606" s="8" t="s">
        <v>3386</v>
      </c>
      <c r="I606" s="8" t="s">
        <v>3530</v>
      </c>
      <c r="J606" s="8" t="s">
        <v>3298</v>
      </c>
      <c r="K606" s="8" t="s">
        <v>3183</v>
      </c>
      <c r="L606" s="10" t="s">
        <v>3462</v>
      </c>
      <c r="M606" s="10" t="s">
        <v>3531</v>
      </c>
      <c r="N606" s="10" t="s">
        <v>3532</v>
      </c>
      <c r="O606" s="8" t="s">
        <v>363</v>
      </c>
      <c r="P606" s="8"/>
      <c r="Q606" s="8"/>
      <c r="R606" s="8">
        <v>322484</v>
      </c>
      <c r="S606" s="8"/>
      <c r="T606" s="8"/>
      <c r="U606" s="8"/>
      <c r="V606" s="8"/>
      <c r="W606" s="8"/>
      <c r="X606" s="8"/>
      <c r="Y606" s="8"/>
      <c r="Z606" s="10" t="s">
        <v>4178</v>
      </c>
      <c r="AA606" s="8" t="s">
        <v>332</v>
      </c>
      <c r="AB606" s="8">
        <v>1</v>
      </c>
    </row>
    <row r="607" spans="1:28" ht="21.6" customHeight="1">
      <c r="A607" s="8">
        <v>237</v>
      </c>
      <c r="B607" s="8">
        <v>2025061990</v>
      </c>
      <c r="C607" s="8">
        <v>1</v>
      </c>
      <c r="D607" s="8" t="s">
        <v>3177</v>
      </c>
      <c r="E607" s="8" t="s">
        <v>118</v>
      </c>
      <c r="F607" s="8" t="s">
        <v>4154</v>
      </c>
      <c r="G607" s="8" t="s">
        <v>3233</v>
      </c>
      <c r="H607" s="8" t="s">
        <v>3216</v>
      </c>
      <c r="I607" s="8" t="s">
        <v>3530</v>
      </c>
      <c r="J607" s="8" t="s">
        <v>3298</v>
      </c>
      <c r="K607" s="8" t="s">
        <v>3183</v>
      </c>
      <c r="L607" s="10" t="s">
        <v>3462</v>
      </c>
      <c r="M607" s="10" t="s">
        <v>3531</v>
      </c>
      <c r="N607" s="10" t="s">
        <v>3532</v>
      </c>
      <c r="O607" s="8" t="s">
        <v>322</v>
      </c>
      <c r="P607" s="8"/>
      <c r="Q607" s="8"/>
      <c r="R607" s="8">
        <v>322484</v>
      </c>
      <c r="S607" s="8"/>
      <c r="T607" s="8"/>
      <c r="U607" s="8"/>
      <c r="V607" s="8"/>
      <c r="W607" s="8"/>
      <c r="X607" s="8"/>
      <c r="Y607" s="8" t="s">
        <v>332</v>
      </c>
      <c r="Z607" s="10" t="s">
        <v>3830</v>
      </c>
      <c r="AA607" s="8" t="s">
        <v>332</v>
      </c>
      <c r="AB607" s="8">
        <v>1</v>
      </c>
    </row>
    <row r="608" spans="1:28" ht="21.6" customHeight="1">
      <c r="A608" s="8">
        <v>238</v>
      </c>
      <c r="B608" s="8">
        <v>2025060739</v>
      </c>
      <c r="C608" s="8">
        <v>1</v>
      </c>
      <c r="D608" s="8" t="s">
        <v>3177</v>
      </c>
      <c r="E608" s="8" t="s">
        <v>118</v>
      </c>
      <c r="F608" s="8" t="s">
        <v>4161</v>
      </c>
      <c r="G608" s="8" t="s">
        <v>3982</v>
      </c>
      <c r="H608" s="8" t="s">
        <v>3233</v>
      </c>
      <c r="I608" s="8" t="s">
        <v>3534</v>
      </c>
      <c r="J608" s="8" t="s">
        <v>3298</v>
      </c>
      <c r="K608" s="8" t="s">
        <v>3183</v>
      </c>
      <c r="L608" s="10" t="s">
        <v>3398</v>
      </c>
      <c r="M608" s="10" t="s">
        <v>3535</v>
      </c>
      <c r="N608" s="10" t="s">
        <v>3494</v>
      </c>
      <c r="O608" s="8" t="s">
        <v>322</v>
      </c>
      <c r="P608" s="8"/>
      <c r="Q608" s="8"/>
      <c r="R608" s="8">
        <v>188445</v>
      </c>
      <c r="S608" s="8" t="s">
        <v>332</v>
      </c>
      <c r="T608" s="8"/>
      <c r="U608" s="8"/>
      <c r="V608" s="8"/>
      <c r="W608" s="8"/>
      <c r="X608" s="8"/>
      <c r="Y608" s="8"/>
      <c r="Z608" s="10" t="s">
        <v>3821</v>
      </c>
      <c r="AA608" s="8" t="s">
        <v>332</v>
      </c>
      <c r="AB608" s="8">
        <v>1</v>
      </c>
    </row>
    <row r="609" spans="1:28" ht="21.6" customHeight="1">
      <c r="A609" s="8">
        <v>240</v>
      </c>
      <c r="B609" s="8">
        <v>2025061344</v>
      </c>
      <c r="C609" s="8">
        <v>1</v>
      </c>
      <c r="D609" s="8" t="s">
        <v>3177</v>
      </c>
      <c r="E609" s="8" t="s">
        <v>118</v>
      </c>
      <c r="F609" s="8" t="s">
        <v>4125</v>
      </c>
      <c r="G609" s="8" t="s">
        <v>4179</v>
      </c>
      <c r="H609" s="8" t="s">
        <v>4180</v>
      </c>
      <c r="I609" s="8" t="s">
        <v>3534</v>
      </c>
      <c r="J609" s="8" t="s">
        <v>3298</v>
      </c>
      <c r="K609" s="8" t="s">
        <v>3183</v>
      </c>
      <c r="L609" s="10" t="s">
        <v>3398</v>
      </c>
      <c r="M609" s="10" t="s">
        <v>3535</v>
      </c>
      <c r="N609" s="10" t="s">
        <v>3494</v>
      </c>
      <c r="O609" s="8" t="s">
        <v>322</v>
      </c>
      <c r="P609" s="8"/>
      <c r="Q609" s="8"/>
      <c r="R609" s="8">
        <v>188445</v>
      </c>
      <c r="S609" s="8"/>
      <c r="T609" s="8"/>
      <c r="U609" s="8"/>
      <c r="V609" s="8"/>
      <c r="W609" s="8"/>
      <c r="X609" s="8"/>
      <c r="Y609" s="8" t="s">
        <v>332</v>
      </c>
      <c r="Z609" s="10" t="s">
        <v>4181</v>
      </c>
      <c r="AA609" s="8" t="s">
        <v>332</v>
      </c>
      <c r="AB609" s="8">
        <v>1</v>
      </c>
    </row>
    <row r="610" spans="1:28" ht="21.6" customHeight="1">
      <c r="A610" s="8">
        <v>241</v>
      </c>
      <c r="B610" s="8">
        <v>2025060644</v>
      </c>
      <c r="C610" s="8">
        <v>1</v>
      </c>
      <c r="D610" s="8" t="s">
        <v>3177</v>
      </c>
      <c r="E610" s="8" t="s">
        <v>118</v>
      </c>
      <c r="F610" s="8" t="s">
        <v>4140</v>
      </c>
      <c r="G610" s="8" t="s">
        <v>3387</v>
      </c>
      <c r="H610" s="8" t="s">
        <v>3426</v>
      </c>
      <c r="I610" s="8" t="s">
        <v>3536</v>
      </c>
      <c r="J610" s="8" t="s">
        <v>3298</v>
      </c>
      <c r="K610" s="8" t="s">
        <v>3183</v>
      </c>
      <c r="L610" s="10" t="s">
        <v>3537</v>
      </c>
      <c r="M610" s="10" t="s">
        <v>3538</v>
      </c>
      <c r="N610" s="10"/>
      <c r="O610" s="8" t="s">
        <v>322</v>
      </c>
      <c r="P610" s="8"/>
      <c r="Q610" s="8"/>
      <c r="R610" s="8">
        <v>124635</v>
      </c>
      <c r="S610" s="8" t="s">
        <v>332</v>
      </c>
      <c r="T610" s="8"/>
      <c r="U610" s="8"/>
      <c r="V610" s="8"/>
      <c r="W610" s="8"/>
      <c r="X610" s="8"/>
      <c r="Y610" s="8"/>
      <c r="Z610" s="10" t="s">
        <v>3821</v>
      </c>
      <c r="AA610" s="8" t="s">
        <v>332</v>
      </c>
      <c r="AB610" s="8">
        <v>1</v>
      </c>
    </row>
    <row r="611" spans="1:28" ht="21.6" customHeight="1">
      <c r="A611" s="8">
        <v>243</v>
      </c>
      <c r="B611" s="8">
        <v>2025060556</v>
      </c>
      <c r="C611" s="8">
        <v>1</v>
      </c>
      <c r="D611" s="8" t="s">
        <v>3177</v>
      </c>
      <c r="E611" s="8" t="s">
        <v>118</v>
      </c>
      <c r="F611" s="8" t="s">
        <v>4140</v>
      </c>
      <c r="G611" s="8" t="s">
        <v>3233</v>
      </c>
      <c r="H611" s="8" t="s">
        <v>3638</v>
      </c>
      <c r="I611" s="8" t="s">
        <v>3539</v>
      </c>
      <c r="J611" s="8" t="s">
        <v>3298</v>
      </c>
      <c r="K611" s="8" t="s">
        <v>3183</v>
      </c>
      <c r="L611" s="10" t="s">
        <v>3540</v>
      </c>
      <c r="M611" s="10" t="s">
        <v>3541</v>
      </c>
      <c r="N611" s="10"/>
      <c r="O611" s="8" t="s">
        <v>363</v>
      </c>
      <c r="P611" s="8"/>
      <c r="Q611" s="8"/>
      <c r="R611" s="8">
        <v>70904</v>
      </c>
      <c r="S611" s="8"/>
      <c r="T611" s="8"/>
      <c r="U611" s="8"/>
      <c r="V611" s="8"/>
      <c r="W611" s="8"/>
      <c r="X611" s="8"/>
      <c r="Y611" s="8"/>
      <c r="Z611" s="10" t="s">
        <v>4182</v>
      </c>
      <c r="AA611" s="8" t="s">
        <v>332</v>
      </c>
      <c r="AB611" s="8">
        <v>1</v>
      </c>
    </row>
    <row r="612" spans="1:28" ht="21.6" customHeight="1">
      <c r="A612" s="8">
        <v>244</v>
      </c>
      <c r="B612" s="8">
        <v>2025062105</v>
      </c>
      <c r="C612" s="8">
        <v>1</v>
      </c>
      <c r="D612" s="8" t="s">
        <v>3177</v>
      </c>
      <c r="E612" s="8" t="s">
        <v>118</v>
      </c>
      <c r="F612" s="8" t="s">
        <v>4148</v>
      </c>
      <c r="G612" s="8" t="s">
        <v>3280</v>
      </c>
      <c r="H612" s="8" t="s">
        <v>3363</v>
      </c>
      <c r="I612" s="8" t="s">
        <v>3539</v>
      </c>
      <c r="J612" s="8" t="s">
        <v>3298</v>
      </c>
      <c r="K612" s="8" t="s">
        <v>3183</v>
      </c>
      <c r="L612" s="10" t="s">
        <v>3540</v>
      </c>
      <c r="M612" s="10" t="s">
        <v>3541</v>
      </c>
      <c r="N612" s="10"/>
      <c r="O612" s="8" t="s">
        <v>322</v>
      </c>
      <c r="P612" s="8"/>
      <c r="Q612" s="8"/>
      <c r="R612" s="8">
        <v>74451</v>
      </c>
      <c r="S612" s="8" t="s">
        <v>332</v>
      </c>
      <c r="T612" s="8"/>
      <c r="U612" s="8"/>
      <c r="V612" s="8"/>
      <c r="W612" s="8"/>
      <c r="X612" s="8"/>
      <c r="Y612" s="8"/>
      <c r="Z612" s="10" t="s">
        <v>3821</v>
      </c>
      <c r="AA612" s="8" t="s">
        <v>332</v>
      </c>
      <c r="AB612" s="8">
        <v>1</v>
      </c>
    </row>
    <row r="613" spans="1:28" ht="21.6" customHeight="1">
      <c r="A613" s="8">
        <v>246</v>
      </c>
      <c r="B613" s="8">
        <v>2025061865</v>
      </c>
      <c r="C613" s="8">
        <v>1</v>
      </c>
      <c r="D613" s="8" t="s">
        <v>3177</v>
      </c>
      <c r="E613" s="8" t="s">
        <v>118</v>
      </c>
      <c r="F613" s="8" t="s">
        <v>4145</v>
      </c>
      <c r="G613" s="8" t="s">
        <v>3280</v>
      </c>
      <c r="H613" s="8" t="s">
        <v>3363</v>
      </c>
      <c r="I613" s="8" t="s">
        <v>3978</v>
      </c>
      <c r="J613" s="8" t="s">
        <v>3301</v>
      </c>
      <c r="K613" s="8" t="s">
        <v>3183</v>
      </c>
      <c r="L613" s="10" t="s">
        <v>3979</v>
      </c>
      <c r="M613" s="10" t="s">
        <v>3980</v>
      </c>
      <c r="N613" s="10" t="s">
        <v>3497</v>
      </c>
      <c r="O613" s="8" t="s">
        <v>3190</v>
      </c>
      <c r="P613" s="8"/>
      <c r="Q613" s="8">
        <v>294</v>
      </c>
      <c r="R613" s="8">
        <v>1063</v>
      </c>
      <c r="S613" s="8"/>
      <c r="T613" s="8"/>
      <c r="U613" s="8"/>
      <c r="V613" s="8"/>
      <c r="W613" s="8"/>
      <c r="X613" s="8"/>
      <c r="Y613" s="8"/>
      <c r="Z613" s="10" t="s">
        <v>3821</v>
      </c>
      <c r="AA613" s="8" t="s">
        <v>332</v>
      </c>
      <c r="AB613" s="8">
        <v>1</v>
      </c>
    </row>
    <row r="614" spans="1:28" ht="21.6" customHeight="1">
      <c r="A614" s="8">
        <v>250</v>
      </c>
      <c r="B614" s="8">
        <v>2025063012</v>
      </c>
      <c r="C614" s="8">
        <v>1</v>
      </c>
      <c r="D614" s="8" t="s">
        <v>3177</v>
      </c>
      <c r="E614" s="8" t="s">
        <v>118</v>
      </c>
      <c r="F614" s="8" t="s">
        <v>4183</v>
      </c>
      <c r="G614" s="8" t="s">
        <v>3363</v>
      </c>
      <c r="H614" s="8" t="s">
        <v>3233</v>
      </c>
      <c r="I614" s="8" t="s">
        <v>4093</v>
      </c>
      <c r="J614" s="8" t="s">
        <v>3543</v>
      </c>
      <c r="K614" s="8" t="s">
        <v>3183</v>
      </c>
      <c r="L614" s="10" t="s">
        <v>4094</v>
      </c>
      <c r="M614" s="10" t="s">
        <v>4095</v>
      </c>
      <c r="N614" s="10" t="s">
        <v>3424</v>
      </c>
      <c r="O614" s="8" t="s">
        <v>322</v>
      </c>
      <c r="P614" s="8"/>
      <c r="Q614" s="8"/>
      <c r="R614" s="8">
        <v>36908</v>
      </c>
      <c r="S614" s="8"/>
      <c r="T614" s="8"/>
      <c r="U614" s="8"/>
      <c r="V614" s="8"/>
      <c r="W614" s="8"/>
      <c r="X614" s="8"/>
      <c r="Y614" s="8" t="s">
        <v>332</v>
      </c>
      <c r="Z614" s="10" t="s">
        <v>4184</v>
      </c>
      <c r="AA614" s="8" t="s">
        <v>332</v>
      </c>
      <c r="AB614" s="8">
        <v>1</v>
      </c>
    </row>
    <row r="615" spans="1:28" ht="21.6" customHeight="1">
      <c r="A615" s="8">
        <v>259</v>
      </c>
      <c r="B615" s="8">
        <v>2025061832</v>
      </c>
      <c r="C615" s="8">
        <v>1</v>
      </c>
      <c r="D615" s="8" t="s">
        <v>3177</v>
      </c>
      <c r="E615" s="8" t="s">
        <v>118</v>
      </c>
      <c r="F615" s="8" t="s">
        <v>4153</v>
      </c>
      <c r="G615" s="8" t="s">
        <v>3426</v>
      </c>
      <c r="H615" s="8" t="s">
        <v>4185</v>
      </c>
      <c r="I615" s="8" t="s">
        <v>3746</v>
      </c>
      <c r="J615" s="8" t="s">
        <v>3543</v>
      </c>
      <c r="K615" s="8" t="s">
        <v>3183</v>
      </c>
      <c r="L615" s="10" t="s">
        <v>3254</v>
      </c>
      <c r="M615" s="10" t="s">
        <v>3547</v>
      </c>
      <c r="N615" s="10" t="s">
        <v>3747</v>
      </c>
      <c r="O615" s="8" t="s">
        <v>363</v>
      </c>
      <c r="P615" s="8"/>
      <c r="Q615" s="8"/>
      <c r="R615" s="8">
        <v>1086013</v>
      </c>
      <c r="S615" s="8"/>
      <c r="T615" s="8"/>
      <c r="U615" s="8"/>
      <c r="V615" s="8"/>
      <c r="W615" s="8"/>
      <c r="X615" s="8"/>
      <c r="Y615" s="8"/>
      <c r="Z615" s="10" t="s">
        <v>4186</v>
      </c>
      <c r="AA615" s="8" t="s">
        <v>332</v>
      </c>
      <c r="AB615" s="8">
        <v>1</v>
      </c>
    </row>
    <row r="616" spans="1:28" ht="21.6" customHeight="1">
      <c r="A616" s="8">
        <v>260</v>
      </c>
      <c r="B616" s="8">
        <v>2025063217</v>
      </c>
      <c r="C616" s="8">
        <v>1</v>
      </c>
      <c r="D616" s="8" t="s">
        <v>3177</v>
      </c>
      <c r="E616" s="8" t="s">
        <v>118</v>
      </c>
      <c r="F616" s="8" t="s">
        <v>4138</v>
      </c>
      <c r="G616" s="8" t="s">
        <v>3401</v>
      </c>
      <c r="H616" s="8" t="s">
        <v>3639</v>
      </c>
      <c r="I616" s="8" t="s">
        <v>3746</v>
      </c>
      <c r="J616" s="8" t="s">
        <v>3543</v>
      </c>
      <c r="K616" s="8" t="s">
        <v>3183</v>
      </c>
      <c r="L616" s="10" t="s">
        <v>3254</v>
      </c>
      <c r="M616" s="10" t="s">
        <v>3547</v>
      </c>
      <c r="N616" s="10" t="s">
        <v>3747</v>
      </c>
      <c r="O616" s="8" t="s">
        <v>363</v>
      </c>
      <c r="P616" s="8"/>
      <c r="Q616" s="8"/>
      <c r="R616" s="8">
        <v>1086013</v>
      </c>
      <c r="S616" s="8"/>
      <c r="T616" s="8"/>
      <c r="U616" s="8"/>
      <c r="V616" s="8"/>
      <c r="W616" s="8"/>
      <c r="X616" s="8"/>
      <c r="Y616" s="8"/>
      <c r="Z616" s="10" t="s">
        <v>4187</v>
      </c>
      <c r="AA616" s="8" t="s">
        <v>332</v>
      </c>
      <c r="AB616" s="8">
        <v>1</v>
      </c>
    </row>
    <row r="617" spans="1:28" ht="21.6" customHeight="1">
      <c r="A617" s="8">
        <v>263</v>
      </c>
      <c r="B617" s="8">
        <v>2025060258</v>
      </c>
      <c r="C617" s="8">
        <v>1</v>
      </c>
      <c r="D617" s="8" t="s">
        <v>3177</v>
      </c>
      <c r="E617" s="8" t="s">
        <v>118</v>
      </c>
      <c r="F617" s="8" t="s">
        <v>4120</v>
      </c>
      <c r="G617" s="8" t="s">
        <v>3363</v>
      </c>
      <c r="H617" s="8" t="s">
        <v>3233</v>
      </c>
      <c r="I617" s="8" t="s">
        <v>3567</v>
      </c>
      <c r="J617" s="8" t="s">
        <v>1717</v>
      </c>
      <c r="K617" s="8" t="s">
        <v>3183</v>
      </c>
      <c r="L617" s="10" t="s">
        <v>3254</v>
      </c>
      <c r="M617" s="10" t="s">
        <v>3547</v>
      </c>
      <c r="N617" s="10" t="s">
        <v>3568</v>
      </c>
      <c r="O617" s="8" t="s">
        <v>322</v>
      </c>
      <c r="P617" s="8"/>
      <c r="Q617" s="8"/>
      <c r="R617" s="8">
        <v>67410</v>
      </c>
      <c r="S617" s="8"/>
      <c r="T617" s="8"/>
      <c r="U617" s="8" t="s">
        <v>332</v>
      </c>
      <c r="V617" s="8"/>
      <c r="W617" s="8"/>
      <c r="X617" s="8"/>
      <c r="Y617" s="8"/>
      <c r="Z617" s="10" t="s">
        <v>3362</v>
      </c>
      <c r="AA617" s="8" t="s">
        <v>332</v>
      </c>
      <c r="AB617" s="8">
        <v>1</v>
      </c>
    </row>
    <row r="618" spans="1:28" ht="21.6" customHeight="1">
      <c r="A618" s="8">
        <v>264</v>
      </c>
      <c r="B618" s="8">
        <v>2025060257</v>
      </c>
      <c r="C618" s="8">
        <v>1</v>
      </c>
      <c r="D618" s="8" t="s">
        <v>3177</v>
      </c>
      <c r="E618" s="8" t="s">
        <v>118</v>
      </c>
      <c r="F618" s="8" t="s">
        <v>4120</v>
      </c>
      <c r="G618" s="8" t="s">
        <v>3280</v>
      </c>
      <c r="H618" s="8" t="s">
        <v>3363</v>
      </c>
      <c r="I618" s="8" t="s">
        <v>3570</v>
      </c>
      <c r="J618" s="8" t="s">
        <v>1717</v>
      </c>
      <c r="K618" s="8" t="s">
        <v>3183</v>
      </c>
      <c r="L618" s="10" t="s">
        <v>3254</v>
      </c>
      <c r="M618" s="10" t="s">
        <v>3547</v>
      </c>
      <c r="N618" s="10" t="s">
        <v>3571</v>
      </c>
      <c r="O618" s="8" t="s">
        <v>322</v>
      </c>
      <c r="P618" s="8"/>
      <c r="Q618" s="8"/>
      <c r="R618" s="8">
        <v>298748</v>
      </c>
      <c r="S618" s="8"/>
      <c r="T618" s="8"/>
      <c r="U618" s="8" t="s">
        <v>332</v>
      </c>
      <c r="V618" s="8"/>
      <c r="W618" s="8"/>
      <c r="X618" s="8"/>
      <c r="Y618" s="8"/>
      <c r="Z618" s="10" t="s">
        <v>3362</v>
      </c>
      <c r="AA618" s="8" t="s">
        <v>332</v>
      </c>
      <c r="AB618" s="8">
        <v>1</v>
      </c>
    </row>
    <row r="619" spans="1:28" ht="21.6" customHeight="1">
      <c r="A619" s="8">
        <v>265</v>
      </c>
      <c r="B619" s="8">
        <v>2025061831</v>
      </c>
      <c r="C619" s="8">
        <v>1</v>
      </c>
      <c r="D619" s="8" t="s">
        <v>3177</v>
      </c>
      <c r="E619" s="8" t="s">
        <v>118</v>
      </c>
      <c r="F619" s="8" t="s">
        <v>4153</v>
      </c>
      <c r="G619" s="8" t="s">
        <v>3386</v>
      </c>
      <c r="H619" s="8" t="s">
        <v>3426</v>
      </c>
      <c r="I619" s="8" t="s">
        <v>3570</v>
      </c>
      <c r="J619" s="8" t="s">
        <v>1717</v>
      </c>
      <c r="K619" s="8" t="s">
        <v>3183</v>
      </c>
      <c r="L619" s="10" t="s">
        <v>3254</v>
      </c>
      <c r="M619" s="10" t="s">
        <v>3547</v>
      </c>
      <c r="N619" s="10" t="s">
        <v>3571</v>
      </c>
      <c r="O619" s="8" t="s">
        <v>363</v>
      </c>
      <c r="P619" s="8"/>
      <c r="Q619" s="8"/>
      <c r="R619" s="8">
        <v>368313</v>
      </c>
      <c r="S619" s="8"/>
      <c r="T619" s="8"/>
      <c r="U619" s="8"/>
      <c r="V619" s="8"/>
      <c r="W619" s="8"/>
      <c r="X619" s="8"/>
      <c r="Y619" s="8"/>
      <c r="Z619" s="10" t="s">
        <v>4188</v>
      </c>
      <c r="AA619" s="8" t="s">
        <v>332</v>
      </c>
      <c r="AB619" s="8">
        <v>1</v>
      </c>
    </row>
    <row r="620" spans="1:28" ht="21.6" customHeight="1">
      <c r="A620" s="8">
        <v>266</v>
      </c>
      <c r="B620" s="8">
        <v>2025063270</v>
      </c>
      <c r="C620" s="8">
        <v>1</v>
      </c>
      <c r="D620" s="8" t="s">
        <v>3177</v>
      </c>
      <c r="E620" s="8" t="s">
        <v>118</v>
      </c>
      <c r="F620" s="8" t="s">
        <v>4138</v>
      </c>
      <c r="G620" s="8" t="s">
        <v>3386</v>
      </c>
      <c r="H620" s="8" t="s">
        <v>3387</v>
      </c>
      <c r="I620" s="8" t="s">
        <v>3572</v>
      </c>
      <c r="J620" s="8" t="s">
        <v>1717</v>
      </c>
      <c r="K620" s="8" t="s">
        <v>3183</v>
      </c>
      <c r="L620" s="10" t="s">
        <v>3472</v>
      </c>
      <c r="M620" s="10" t="s">
        <v>3410</v>
      </c>
      <c r="N620" s="10" t="s">
        <v>3442</v>
      </c>
      <c r="O620" s="8" t="s">
        <v>322</v>
      </c>
      <c r="P620" s="8"/>
      <c r="Q620" s="8"/>
      <c r="R620" s="8">
        <v>71144</v>
      </c>
      <c r="S620" s="8" t="s">
        <v>332</v>
      </c>
      <c r="T620" s="8"/>
      <c r="U620" s="8"/>
      <c r="V620" s="8"/>
      <c r="W620" s="8"/>
      <c r="X620" s="8"/>
      <c r="Y620" s="8"/>
      <c r="Z620" s="10" t="s">
        <v>3821</v>
      </c>
      <c r="AA620" s="8" t="s">
        <v>332</v>
      </c>
      <c r="AB620" s="8">
        <v>1</v>
      </c>
    </row>
    <row r="621" spans="1:28" ht="21.6" customHeight="1">
      <c r="A621" s="8">
        <v>271</v>
      </c>
      <c r="B621" s="8">
        <v>2025062906</v>
      </c>
      <c r="C621" s="8">
        <v>1</v>
      </c>
      <c r="D621" s="8" t="s">
        <v>3177</v>
      </c>
      <c r="E621" s="8" t="s">
        <v>118</v>
      </c>
      <c r="F621" s="8" t="s">
        <v>4189</v>
      </c>
      <c r="G621" s="8" t="s">
        <v>3386</v>
      </c>
      <c r="H621" s="8" t="s">
        <v>3387</v>
      </c>
      <c r="I621" s="8" t="s">
        <v>3757</v>
      </c>
      <c r="J621" s="8" t="s">
        <v>3758</v>
      </c>
      <c r="K621" s="8" t="s">
        <v>3183</v>
      </c>
      <c r="L621" s="10" t="s">
        <v>3759</v>
      </c>
      <c r="M621" s="10" t="s">
        <v>3760</v>
      </c>
      <c r="N621" s="10" t="s">
        <v>3761</v>
      </c>
      <c r="O621" s="8" t="s">
        <v>322</v>
      </c>
      <c r="P621" s="8"/>
      <c r="Q621" s="8">
        <v>1763</v>
      </c>
      <c r="R621" s="8">
        <v>144559</v>
      </c>
      <c r="S621" s="8"/>
      <c r="T621" s="8"/>
      <c r="U621" s="8" t="s">
        <v>332</v>
      </c>
      <c r="V621" s="8"/>
      <c r="W621" s="8"/>
      <c r="X621" s="8"/>
      <c r="Y621" s="8"/>
      <c r="Z621" s="10" t="s">
        <v>3362</v>
      </c>
      <c r="AA621" s="8" t="s">
        <v>332</v>
      </c>
      <c r="AB621" s="8">
        <v>1</v>
      </c>
    </row>
    <row r="622" spans="1:28" ht="21.6" customHeight="1">
      <c r="A622" s="8">
        <v>274</v>
      </c>
      <c r="B622" s="8">
        <v>2025062907</v>
      </c>
      <c r="C622" s="8">
        <v>1</v>
      </c>
      <c r="D622" s="8" t="s">
        <v>3177</v>
      </c>
      <c r="E622" s="8" t="s">
        <v>118</v>
      </c>
      <c r="F622" s="8" t="s">
        <v>4189</v>
      </c>
      <c r="G622" s="8" t="s">
        <v>3387</v>
      </c>
      <c r="H622" s="8" t="s">
        <v>3426</v>
      </c>
      <c r="I622" s="8" t="s">
        <v>3763</v>
      </c>
      <c r="J622" s="8" t="s">
        <v>3758</v>
      </c>
      <c r="K622" s="8" t="s">
        <v>3183</v>
      </c>
      <c r="L622" s="10" t="s">
        <v>3759</v>
      </c>
      <c r="M622" s="10" t="s">
        <v>3760</v>
      </c>
      <c r="N622" s="10" t="s">
        <v>3764</v>
      </c>
      <c r="O622" s="8" t="s">
        <v>322</v>
      </c>
      <c r="P622" s="8"/>
      <c r="Q622" s="8">
        <v>8152</v>
      </c>
      <c r="R622" s="8">
        <v>275300</v>
      </c>
      <c r="S622" s="8"/>
      <c r="T622" s="8"/>
      <c r="U622" s="8" t="s">
        <v>332</v>
      </c>
      <c r="V622" s="8"/>
      <c r="W622" s="8"/>
      <c r="X622" s="8"/>
      <c r="Y622" s="8"/>
      <c r="Z622" s="10" t="s">
        <v>3362</v>
      </c>
      <c r="AA622" s="8" t="s">
        <v>332</v>
      </c>
      <c r="AB622" s="8">
        <v>1</v>
      </c>
    </row>
    <row r="623" spans="1:28" ht="21.6" customHeight="1">
      <c r="A623" s="8">
        <v>275</v>
      </c>
      <c r="B623" s="8">
        <v>2025060749</v>
      </c>
      <c r="C623" s="8">
        <v>1</v>
      </c>
      <c r="D623" s="8" t="s">
        <v>3177</v>
      </c>
      <c r="E623" s="8" t="s">
        <v>118</v>
      </c>
      <c r="F623" s="8" t="s">
        <v>4161</v>
      </c>
      <c r="G623" s="8" t="s">
        <v>3577</v>
      </c>
      <c r="H623" s="8" t="s">
        <v>3726</v>
      </c>
      <c r="I623" s="8" t="s">
        <v>3573</v>
      </c>
      <c r="J623" s="8" t="s">
        <v>3574</v>
      </c>
      <c r="K623" s="8" t="s">
        <v>3183</v>
      </c>
      <c r="L623" s="10" t="s">
        <v>3398</v>
      </c>
      <c r="M623" s="10" t="s">
        <v>3575</v>
      </c>
      <c r="N623" s="10" t="s">
        <v>3576</v>
      </c>
      <c r="O623" s="8" t="s">
        <v>322</v>
      </c>
      <c r="P623" s="8"/>
      <c r="Q623" s="8"/>
      <c r="R623" s="8">
        <v>24517</v>
      </c>
      <c r="S623" s="8" t="s">
        <v>332</v>
      </c>
      <c r="T623" s="8"/>
      <c r="U623" s="8"/>
      <c r="V623" s="8"/>
      <c r="W623" s="8"/>
      <c r="X623" s="8"/>
      <c r="Y623" s="8"/>
      <c r="Z623" s="10" t="s">
        <v>3821</v>
      </c>
      <c r="AA623" s="8" t="s">
        <v>332</v>
      </c>
      <c r="AB623" s="8">
        <v>1</v>
      </c>
    </row>
    <row r="624" spans="1:28" ht="21.6" customHeight="1">
      <c r="A624" s="8">
        <v>321</v>
      </c>
      <c r="B624" s="8">
        <v>2025060589</v>
      </c>
      <c r="C624" s="8">
        <v>1</v>
      </c>
      <c r="D624" s="8" t="s">
        <v>3177</v>
      </c>
      <c r="E624" s="8" t="s">
        <v>118</v>
      </c>
      <c r="F624" s="8" t="s">
        <v>4140</v>
      </c>
      <c r="G624" s="8" t="s">
        <v>3250</v>
      </c>
      <c r="H624" s="8" t="s">
        <v>3427</v>
      </c>
      <c r="I624" s="8" t="s">
        <v>3578</v>
      </c>
      <c r="J624" s="8" t="s">
        <v>3871</v>
      </c>
      <c r="K624" s="8" t="s">
        <v>3579</v>
      </c>
      <c r="L624" s="10" t="s">
        <v>3580</v>
      </c>
      <c r="M624" s="10" t="s">
        <v>3581</v>
      </c>
      <c r="N624" s="10" t="s">
        <v>3582</v>
      </c>
      <c r="O624" s="8" t="s">
        <v>322</v>
      </c>
      <c r="P624" s="8"/>
      <c r="Q624" s="8"/>
      <c r="R624" s="8">
        <v>50</v>
      </c>
      <c r="S624" s="8" t="s">
        <v>332</v>
      </c>
      <c r="T624" s="8"/>
      <c r="U624" s="8"/>
      <c r="V624" s="8"/>
      <c r="W624" s="8"/>
      <c r="X624" s="8"/>
      <c r="Y624" s="8"/>
      <c r="Z624" s="10" t="s">
        <v>4142</v>
      </c>
      <c r="AA624" s="8" t="s">
        <v>332</v>
      </c>
      <c r="AB624" s="8">
        <v>1</v>
      </c>
    </row>
    <row r="625" spans="1:28" ht="21.6" customHeight="1">
      <c r="A625" s="8">
        <v>322</v>
      </c>
      <c r="B625" s="8">
        <v>2025063188</v>
      </c>
      <c r="C625" s="8">
        <v>1</v>
      </c>
      <c r="D625" s="8" t="s">
        <v>3177</v>
      </c>
      <c r="E625" s="8" t="s">
        <v>118</v>
      </c>
      <c r="F625" s="8" t="s">
        <v>4138</v>
      </c>
      <c r="G625" s="8" t="s">
        <v>4135</v>
      </c>
      <c r="H625" s="8" t="s">
        <v>3233</v>
      </c>
      <c r="I625" s="8" t="s">
        <v>3578</v>
      </c>
      <c r="J625" s="8" t="s">
        <v>3871</v>
      </c>
      <c r="K625" s="8" t="s">
        <v>3579</v>
      </c>
      <c r="L625" s="10" t="s">
        <v>3580</v>
      </c>
      <c r="M625" s="10" t="s">
        <v>3581</v>
      </c>
      <c r="N625" s="10" t="s">
        <v>3582</v>
      </c>
      <c r="O625" s="8" t="s">
        <v>322</v>
      </c>
      <c r="P625" s="8"/>
      <c r="Q625" s="8"/>
      <c r="R625" s="8">
        <v>0</v>
      </c>
      <c r="S625" s="8"/>
      <c r="T625" s="8"/>
      <c r="U625" s="8"/>
      <c r="V625" s="8"/>
      <c r="W625" s="8"/>
      <c r="X625" s="8"/>
      <c r="Y625" s="8" t="s">
        <v>332</v>
      </c>
      <c r="Z625" s="10" t="s">
        <v>4190</v>
      </c>
      <c r="AA625" s="8" t="s">
        <v>332</v>
      </c>
      <c r="AB625" s="8">
        <v>1</v>
      </c>
    </row>
    <row r="626" spans="1:28" ht="21.6" customHeight="1">
      <c r="A626" s="8">
        <v>323</v>
      </c>
      <c r="B626" s="8">
        <v>2025061331</v>
      </c>
      <c r="C626" s="8">
        <v>1</v>
      </c>
      <c r="D626" s="8" t="s">
        <v>3177</v>
      </c>
      <c r="E626" s="8" t="s">
        <v>134</v>
      </c>
      <c r="F626" s="8" t="s">
        <v>4125</v>
      </c>
      <c r="G626" s="8" t="s">
        <v>3357</v>
      </c>
      <c r="H626" s="8" t="s">
        <v>4191</v>
      </c>
      <c r="I626" s="8" t="s">
        <v>3717</v>
      </c>
      <c r="J626" s="8" t="s">
        <v>3277</v>
      </c>
      <c r="K626" s="8" t="s">
        <v>3183</v>
      </c>
      <c r="L626" s="10" t="s">
        <v>3718</v>
      </c>
      <c r="M626" s="10" t="s">
        <v>3719</v>
      </c>
      <c r="N626" s="10" t="s">
        <v>3497</v>
      </c>
      <c r="O626" s="8" t="s">
        <v>363</v>
      </c>
      <c r="P626" s="8"/>
      <c r="Q626" s="8"/>
      <c r="R626" s="8">
        <v>5628</v>
      </c>
      <c r="S626" s="8"/>
      <c r="T626" s="8"/>
      <c r="U626" s="8"/>
      <c r="V626" s="8"/>
      <c r="W626" s="8"/>
      <c r="X626" s="8"/>
      <c r="Y626" s="8"/>
      <c r="Z626" s="10" t="s">
        <v>4192</v>
      </c>
      <c r="AA626" s="8" t="s">
        <v>332</v>
      </c>
      <c r="AB626" s="8">
        <v>1</v>
      </c>
    </row>
    <row r="627" spans="1:28" ht="21.6" customHeight="1">
      <c r="A627" s="8">
        <v>324</v>
      </c>
      <c r="B627" s="8">
        <v>2025062445</v>
      </c>
      <c r="C627" s="8">
        <v>1</v>
      </c>
      <c r="D627" s="8" t="s">
        <v>3177</v>
      </c>
      <c r="E627" s="8" t="s">
        <v>134</v>
      </c>
      <c r="F627" s="8" t="s">
        <v>4168</v>
      </c>
      <c r="G627" s="8" t="s">
        <v>3805</v>
      </c>
      <c r="H627" s="8" t="s">
        <v>3616</v>
      </c>
      <c r="I627" s="8" t="s">
        <v>3525</v>
      </c>
      <c r="J627" s="8" t="s">
        <v>3298</v>
      </c>
      <c r="K627" s="8" t="s">
        <v>3183</v>
      </c>
      <c r="L627" s="10" t="s">
        <v>3462</v>
      </c>
      <c r="M627" s="10" t="s">
        <v>3526</v>
      </c>
      <c r="N627" s="10" t="s">
        <v>3508</v>
      </c>
      <c r="O627" s="8" t="s">
        <v>363</v>
      </c>
      <c r="P627" s="8"/>
      <c r="Q627" s="8"/>
      <c r="R627" s="8">
        <v>173548</v>
      </c>
      <c r="S627" s="8"/>
      <c r="T627" s="8"/>
      <c r="U627" s="8"/>
      <c r="V627" s="8"/>
      <c r="W627" s="8"/>
      <c r="X627" s="8"/>
      <c r="Y627" s="8"/>
      <c r="Z627" s="10" t="s">
        <v>4193</v>
      </c>
      <c r="AA627" s="8" t="s">
        <v>332</v>
      </c>
      <c r="AB627" s="8">
        <v>1</v>
      </c>
    </row>
    <row r="628" spans="1:28" ht="21.6" customHeight="1">
      <c r="A628" s="8">
        <v>325</v>
      </c>
      <c r="B628" s="8">
        <v>2025062053</v>
      </c>
      <c r="C628" s="8">
        <v>1</v>
      </c>
      <c r="D628" s="8" t="s">
        <v>3177</v>
      </c>
      <c r="E628" s="8" t="s">
        <v>134</v>
      </c>
      <c r="F628" s="8" t="s">
        <v>4154</v>
      </c>
      <c r="G628" s="8" t="s">
        <v>3426</v>
      </c>
      <c r="H628" s="8" t="s">
        <v>3431</v>
      </c>
      <c r="I628" s="8" t="s">
        <v>3585</v>
      </c>
      <c r="J628" s="8" t="s">
        <v>3301</v>
      </c>
      <c r="K628" s="8" t="s">
        <v>3183</v>
      </c>
      <c r="L628" s="10" t="s">
        <v>3586</v>
      </c>
      <c r="M628" s="10" t="s">
        <v>3587</v>
      </c>
      <c r="N628" s="10" t="s">
        <v>3430</v>
      </c>
      <c r="O628" s="8" t="s">
        <v>363</v>
      </c>
      <c r="P628" s="8"/>
      <c r="Q628" s="8">
        <v>3599</v>
      </c>
      <c r="R628" s="8">
        <v>46940</v>
      </c>
      <c r="S628" s="8"/>
      <c r="T628" s="8"/>
      <c r="U628" s="8"/>
      <c r="V628" s="8"/>
      <c r="W628" s="8"/>
      <c r="X628" s="8"/>
      <c r="Y628" s="8"/>
      <c r="Z628" s="10" t="s">
        <v>4194</v>
      </c>
      <c r="AA628" s="8" t="s">
        <v>332</v>
      </c>
      <c r="AB628" s="8">
        <v>1</v>
      </c>
    </row>
    <row r="629" spans="1:28" ht="21.6" customHeight="1">
      <c r="A629" s="8">
        <v>327</v>
      </c>
      <c r="B629" s="8">
        <v>2025062049</v>
      </c>
      <c r="C629" s="8">
        <v>1</v>
      </c>
      <c r="D629" s="8" t="s">
        <v>3177</v>
      </c>
      <c r="E629" s="8" t="s">
        <v>134</v>
      </c>
      <c r="F629" s="8" t="s">
        <v>4154</v>
      </c>
      <c r="G629" s="8" t="s">
        <v>3926</v>
      </c>
      <c r="H629" s="8" t="s">
        <v>4195</v>
      </c>
      <c r="I629" s="8" t="s">
        <v>3592</v>
      </c>
      <c r="J629" s="8" t="s">
        <v>3301</v>
      </c>
      <c r="K629" s="8" t="s">
        <v>3183</v>
      </c>
      <c r="L629" s="10" t="s">
        <v>3586</v>
      </c>
      <c r="M629" s="10" t="s">
        <v>3587</v>
      </c>
      <c r="N629" s="10" t="s">
        <v>3430</v>
      </c>
      <c r="O629" s="8" t="s">
        <v>3190</v>
      </c>
      <c r="P629" s="8"/>
      <c r="Q629" s="8">
        <v>5963</v>
      </c>
      <c r="R629" s="8">
        <v>80840</v>
      </c>
      <c r="S629" s="8"/>
      <c r="T629" s="8"/>
      <c r="U629" s="8"/>
      <c r="V629" s="8"/>
      <c r="W629" s="8"/>
      <c r="X629" s="8"/>
      <c r="Y629" s="8"/>
      <c r="Z629" s="10"/>
      <c r="AA629" s="8" t="s">
        <v>332</v>
      </c>
      <c r="AB629" s="8">
        <v>1</v>
      </c>
    </row>
    <row r="630" spans="1:28" ht="21.6" customHeight="1">
      <c r="A630" s="8">
        <v>1</v>
      </c>
      <c r="B630" s="8">
        <v>2025073186</v>
      </c>
      <c r="C630" s="8">
        <v>1</v>
      </c>
      <c r="D630" s="8" t="s">
        <v>3177</v>
      </c>
      <c r="E630" s="8" t="s">
        <v>123</v>
      </c>
      <c r="F630" s="8" t="s">
        <v>4196</v>
      </c>
      <c r="G630" s="8" t="s">
        <v>4197</v>
      </c>
      <c r="H630" s="8" t="s">
        <v>4011</v>
      </c>
      <c r="I630" s="8" t="s">
        <v>3181</v>
      </c>
      <c r="J630" s="8" t="s">
        <v>3182</v>
      </c>
      <c r="K630" s="8" t="s">
        <v>3183</v>
      </c>
      <c r="L630" s="10" t="s">
        <v>3184</v>
      </c>
      <c r="M630" s="10" t="s">
        <v>3185</v>
      </c>
      <c r="N630" s="10" t="s">
        <v>123</v>
      </c>
      <c r="O630" s="8" t="s">
        <v>322</v>
      </c>
      <c r="P630" s="8"/>
      <c r="Q630" s="8">
        <v>4804</v>
      </c>
      <c r="R630" s="8">
        <v>33776</v>
      </c>
      <c r="S630" s="8" t="s">
        <v>332</v>
      </c>
      <c r="T630" s="8"/>
      <c r="U630" s="8"/>
      <c r="V630" s="8"/>
      <c r="W630" s="8"/>
      <c r="X630" s="8"/>
      <c r="Y630" s="8"/>
      <c r="Z630" s="10" t="s">
        <v>3186</v>
      </c>
      <c r="AA630" s="8" t="s">
        <v>332</v>
      </c>
      <c r="AB630" s="8">
        <v>1</v>
      </c>
    </row>
    <row r="631" spans="1:28" ht="21.6" customHeight="1">
      <c r="A631" s="8">
        <v>3</v>
      </c>
      <c r="B631" s="8">
        <v>2025072178</v>
      </c>
      <c r="C631" s="8">
        <v>1</v>
      </c>
      <c r="D631" s="8" t="s">
        <v>3177</v>
      </c>
      <c r="E631" s="8" t="s">
        <v>123</v>
      </c>
      <c r="F631" s="8" t="s">
        <v>4198</v>
      </c>
      <c r="G631" s="8" t="s">
        <v>3381</v>
      </c>
      <c r="H631" s="8" t="s">
        <v>3354</v>
      </c>
      <c r="I631" s="8" t="s">
        <v>3194</v>
      </c>
      <c r="J631" s="8" t="s">
        <v>3195</v>
      </c>
      <c r="K631" s="8" t="s">
        <v>3183</v>
      </c>
      <c r="L631" s="10" t="s">
        <v>3196</v>
      </c>
      <c r="M631" s="10" t="s">
        <v>3197</v>
      </c>
      <c r="N631" s="10" t="s">
        <v>123</v>
      </c>
      <c r="O631" s="8" t="s">
        <v>322</v>
      </c>
      <c r="P631" s="8"/>
      <c r="Q631" s="8">
        <v>82</v>
      </c>
      <c r="R631" s="8">
        <v>3376</v>
      </c>
      <c r="S631" s="8" t="s">
        <v>332</v>
      </c>
      <c r="T631" s="8"/>
      <c r="U631" s="8"/>
      <c r="V631" s="8"/>
      <c r="W631" s="8"/>
      <c r="X631" s="8"/>
      <c r="Y631" s="8"/>
      <c r="Z631" s="10" t="s">
        <v>3186</v>
      </c>
      <c r="AA631" s="8" t="s">
        <v>332</v>
      </c>
      <c r="AB631" s="8">
        <v>1</v>
      </c>
    </row>
    <row r="632" spans="1:28" ht="21.6" customHeight="1">
      <c r="A632" s="8">
        <v>5</v>
      </c>
      <c r="B632" s="8">
        <v>2025072247</v>
      </c>
      <c r="C632" s="8">
        <v>1</v>
      </c>
      <c r="D632" s="8" t="s">
        <v>3177</v>
      </c>
      <c r="E632" s="8" t="s">
        <v>123</v>
      </c>
      <c r="F632" s="8" t="s">
        <v>4198</v>
      </c>
      <c r="G632" s="8" t="s">
        <v>3330</v>
      </c>
      <c r="H632" s="8" t="s">
        <v>3655</v>
      </c>
      <c r="I632" s="8" t="s">
        <v>3200</v>
      </c>
      <c r="J632" s="8" t="s">
        <v>3195</v>
      </c>
      <c r="K632" s="8" t="s">
        <v>3183</v>
      </c>
      <c r="L632" s="10" t="s">
        <v>3201</v>
      </c>
      <c r="M632" s="10" t="s">
        <v>3202</v>
      </c>
      <c r="N632" s="10" t="s">
        <v>3885</v>
      </c>
      <c r="O632" s="8" t="s">
        <v>322</v>
      </c>
      <c r="P632" s="8"/>
      <c r="Q632" s="8">
        <v>2185</v>
      </c>
      <c r="R632" s="8">
        <v>17147</v>
      </c>
      <c r="S632" s="8" t="s">
        <v>332</v>
      </c>
      <c r="T632" s="8"/>
      <c r="U632" s="8"/>
      <c r="V632" s="8"/>
      <c r="W632" s="8"/>
      <c r="X632" s="8"/>
      <c r="Y632" s="8"/>
      <c r="Z632" s="10" t="s">
        <v>3186</v>
      </c>
      <c r="AA632" s="8" t="s">
        <v>332</v>
      </c>
      <c r="AB632" s="8">
        <v>1</v>
      </c>
    </row>
    <row r="633" spans="1:28" ht="21.6" customHeight="1">
      <c r="A633" s="8">
        <v>7</v>
      </c>
      <c r="B633" s="8">
        <v>2025071655</v>
      </c>
      <c r="C633" s="8">
        <v>1</v>
      </c>
      <c r="D633" s="8" t="s">
        <v>3177</v>
      </c>
      <c r="E633" s="8" t="s">
        <v>123</v>
      </c>
      <c r="F633" s="8" t="s">
        <v>4199</v>
      </c>
      <c r="G633" s="8" t="s">
        <v>3777</v>
      </c>
      <c r="H633" s="8" t="s">
        <v>3386</v>
      </c>
      <c r="I633" s="8" t="s">
        <v>3206</v>
      </c>
      <c r="J633" s="8" t="s">
        <v>3195</v>
      </c>
      <c r="K633" s="8" t="s">
        <v>3183</v>
      </c>
      <c r="L633" s="10" t="s">
        <v>3207</v>
      </c>
      <c r="M633" s="10" t="s">
        <v>3208</v>
      </c>
      <c r="N633" s="10" t="s">
        <v>3209</v>
      </c>
      <c r="O633" s="8" t="s">
        <v>3190</v>
      </c>
      <c r="P633" s="8"/>
      <c r="Q633" s="8">
        <v>35368</v>
      </c>
      <c r="R633" s="8">
        <v>66522</v>
      </c>
      <c r="S633" s="8"/>
      <c r="T633" s="8"/>
      <c r="U633" s="8"/>
      <c r="V633" s="8"/>
      <c r="W633" s="8"/>
      <c r="X633" s="8"/>
      <c r="Y633" s="8"/>
      <c r="Z633" s="10" t="s">
        <v>3186</v>
      </c>
      <c r="AA633" s="8" t="s">
        <v>332</v>
      </c>
      <c r="AB633" s="8">
        <v>1</v>
      </c>
    </row>
    <row r="634" spans="1:28" ht="21.6" customHeight="1">
      <c r="A634" s="8">
        <v>8</v>
      </c>
      <c r="B634" s="8">
        <v>2025072206</v>
      </c>
      <c r="C634" s="8">
        <v>1</v>
      </c>
      <c r="D634" s="8" t="s">
        <v>3177</v>
      </c>
      <c r="E634" s="8" t="s">
        <v>123</v>
      </c>
      <c r="F634" s="8" t="s">
        <v>4198</v>
      </c>
      <c r="G634" s="8" t="s">
        <v>4109</v>
      </c>
      <c r="H634" s="8" t="s">
        <v>3767</v>
      </c>
      <c r="I634" s="8" t="s">
        <v>3212</v>
      </c>
      <c r="J634" s="8" t="s">
        <v>3195</v>
      </c>
      <c r="K634" s="8" t="s">
        <v>3183</v>
      </c>
      <c r="L634" s="10" t="s">
        <v>3213</v>
      </c>
      <c r="M634" s="10" t="s">
        <v>3214</v>
      </c>
      <c r="N634" s="10" t="s">
        <v>3215</v>
      </c>
      <c r="O634" s="8" t="s">
        <v>322</v>
      </c>
      <c r="P634" s="8"/>
      <c r="Q634" s="8">
        <v>128</v>
      </c>
      <c r="R634" s="8">
        <v>865</v>
      </c>
      <c r="S634" s="8" t="s">
        <v>332</v>
      </c>
      <c r="T634" s="8"/>
      <c r="U634" s="8"/>
      <c r="V634" s="8"/>
      <c r="W634" s="8"/>
      <c r="X634" s="8"/>
      <c r="Y634" s="8"/>
      <c r="Z634" s="10" t="s">
        <v>3186</v>
      </c>
      <c r="AA634" s="8" t="s">
        <v>332</v>
      </c>
      <c r="AB634" s="8">
        <v>1</v>
      </c>
    </row>
    <row r="635" spans="1:28" ht="21.6" customHeight="1">
      <c r="A635" s="8">
        <v>10</v>
      </c>
      <c r="B635" s="8">
        <v>2025072203</v>
      </c>
      <c r="C635" s="8">
        <v>1</v>
      </c>
      <c r="D635" s="8" t="s">
        <v>3177</v>
      </c>
      <c r="E635" s="8" t="s">
        <v>123</v>
      </c>
      <c r="F635" s="8" t="s">
        <v>4198</v>
      </c>
      <c r="G635" s="8" t="s">
        <v>3342</v>
      </c>
      <c r="H635" s="8" t="s">
        <v>4109</v>
      </c>
      <c r="I635" s="8" t="s">
        <v>3218</v>
      </c>
      <c r="J635" s="8" t="s">
        <v>3195</v>
      </c>
      <c r="K635" s="8" t="s">
        <v>3183</v>
      </c>
      <c r="L635" s="10" t="s">
        <v>3219</v>
      </c>
      <c r="M635" s="10" t="s">
        <v>3220</v>
      </c>
      <c r="N635" s="10"/>
      <c r="O635" s="8" t="s">
        <v>322</v>
      </c>
      <c r="P635" s="8"/>
      <c r="Q635" s="8">
        <v>155</v>
      </c>
      <c r="R635" s="8">
        <v>6819</v>
      </c>
      <c r="S635" s="8" t="s">
        <v>332</v>
      </c>
      <c r="T635" s="8"/>
      <c r="U635" s="8"/>
      <c r="V635" s="8"/>
      <c r="W635" s="8"/>
      <c r="X635" s="8"/>
      <c r="Y635" s="8"/>
      <c r="Z635" s="10" t="s">
        <v>3186</v>
      </c>
      <c r="AA635" s="8" t="s">
        <v>332</v>
      </c>
      <c r="AB635" s="8">
        <v>1</v>
      </c>
    </row>
    <row r="636" spans="1:28" ht="21.6" customHeight="1">
      <c r="A636" s="8">
        <v>12</v>
      </c>
      <c r="B636" s="8">
        <v>2025072210</v>
      </c>
      <c r="C636" s="8">
        <v>1</v>
      </c>
      <c r="D636" s="8" t="s">
        <v>3177</v>
      </c>
      <c r="E636" s="8" t="s">
        <v>123</v>
      </c>
      <c r="F636" s="8" t="s">
        <v>4198</v>
      </c>
      <c r="G636" s="8" t="s">
        <v>4200</v>
      </c>
      <c r="H636" s="8" t="s">
        <v>3267</v>
      </c>
      <c r="I636" s="8" t="s">
        <v>3223</v>
      </c>
      <c r="J636" s="8" t="s">
        <v>3224</v>
      </c>
      <c r="K636" s="8" t="s">
        <v>3183</v>
      </c>
      <c r="L636" s="10" t="s">
        <v>3225</v>
      </c>
      <c r="M636" s="10" t="s">
        <v>3226</v>
      </c>
      <c r="N636" s="10" t="s">
        <v>3227</v>
      </c>
      <c r="O636" s="8" t="s">
        <v>322</v>
      </c>
      <c r="P636" s="8"/>
      <c r="Q636" s="8">
        <v>330</v>
      </c>
      <c r="R636" s="8">
        <v>1554</v>
      </c>
      <c r="S636" s="8" t="s">
        <v>332</v>
      </c>
      <c r="T636" s="8"/>
      <c r="U636" s="8"/>
      <c r="V636" s="8"/>
      <c r="W636" s="8"/>
      <c r="X636" s="8"/>
      <c r="Y636" s="8"/>
      <c r="Z636" s="10" t="s">
        <v>3186</v>
      </c>
      <c r="AA636" s="8" t="s">
        <v>332</v>
      </c>
      <c r="AB636" s="8">
        <v>1</v>
      </c>
    </row>
    <row r="637" spans="1:28" ht="21.6" customHeight="1">
      <c r="A637" s="8">
        <v>14</v>
      </c>
      <c r="B637" s="8">
        <v>2025072201</v>
      </c>
      <c r="C637" s="8">
        <v>1</v>
      </c>
      <c r="D637" s="8" t="s">
        <v>3177</v>
      </c>
      <c r="E637" s="8" t="s">
        <v>123</v>
      </c>
      <c r="F637" s="8" t="s">
        <v>4198</v>
      </c>
      <c r="G637" s="8" t="s">
        <v>3902</v>
      </c>
      <c r="H637" s="8" t="s">
        <v>3899</v>
      </c>
      <c r="I637" s="8" t="s">
        <v>3229</v>
      </c>
      <c r="J637" s="8" t="s">
        <v>3224</v>
      </c>
      <c r="K637" s="8" t="s">
        <v>3183</v>
      </c>
      <c r="L637" s="10" t="s">
        <v>3230</v>
      </c>
      <c r="M637" s="10" t="s">
        <v>3231</v>
      </c>
      <c r="N637" s="10" t="s">
        <v>3215</v>
      </c>
      <c r="O637" s="8" t="s">
        <v>322</v>
      </c>
      <c r="P637" s="8"/>
      <c r="Q637" s="8">
        <v>3870</v>
      </c>
      <c r="R637" s="8">
        <v>3232</v>
      </c>
      <c r="S637" s="8" t="s">
        <v>332</v>
      </c>
      <c r="T637" s="8"/>
      <c r="U637" s="8"/>
      <c r="V637" s="8"/>
      <c r="W637" s="8"/>
      <c r="X637" s="8"/>
      <c r="Y637" s="8"/>
      <c r="Z637" s="10" t="s">
        <v>3186</v>
      </c>
      <c r="AA637" s="8" t="s">
        <v>332</v>
      </c>
      <c r="AB637" s="8">
        <v>1</v>
      </c>
    </row>
    <row r="638" spans="1:28" ht="21.6" customHeight="1">
      <c r="A638" s="8">
        <v>16</v>
      </c>
      <c r="B638" s="8">
        <v>2025072421</v>
      </c>
      <c r="C638" s="8">
        <v>1</v>
      </c>
      <c r="D638" s="8" t="s">
        <v>3177</v>
      </c>
      <c r="E638" s="8" t="s">
        <v>123</v>
      </c>
      <c r="F638" s="8" t="s">
        <v>4201</v>
      </c>
      <c r="G638" s="8" t="s">
        <v>3666</v>
      </c>
      <c r="H638" s="8" t="s">
        <v>4202</v>
      </c>
      <c r="I638" s="8" t="s">
        <v>3234</v>
      </c>
      <c r="J638" s="8" t="s">
        <v>3224</v>
      </c>
      <c r="K638" s="8" t="s">
        <v>3183</v>
      </c>
      <c r="L638" s="10" t="s">
        <v>3235</v>
      </c>
      <c r="M638" s="10" t="s">
        <v>3236</v>
      </c>
      <c r="N638" s="10" t="s">
        <v>3237</v>
      </c>
      <c r="O638" s="8" t="s">
        <v>322</v>
      </c>
      <c r="P638" s="8"/>
      <c r="Q638" s="8">
        <v>1415</v>
      </c>
      <c r="R638" s="8">
        <v>60669</v>
      </c>
      <c r="S638" s="8" t="s">
        <v>332</v>
      </c>
      <c r="T638" s="8"/>
      <c r="U638" s="8"/>
      <c r="V638" s="8"/>
      <c r="W638" s="8"/>
      <c r="X638" s="8"/>
      <c r="Y638" s="8"/>
      <c r="Z638" s="10" t="s">
        <v>3186</v>
      </c>
      <c r="AA638" s="8" t="s">
        <v>332</v>
      </c>
      <c r="AB638" s="8">
        <v>1</v>
      </c>
    </row>
    <row r="639" spans="1:28" ht="21.6" customHeight="1">
      <c r="A639" s="8">
        <v>18</v>
      </c>
      <c r="B639" s="8">
        <v>2025072245</v>
      </c>
      <c r="C639" s="8">
        <v>1</v>
      </c>
      <c r="D639" s="8" t="s">
        <v>3177</v>
      </c>
      <c r="E639" s="8" t="s">
        <v>123</v>
      </c>
      <c r="F639" s="8" t="s">
        <v>4198</v>
      </c>
      <c r="G639" s="8" t="s">
        <v>3710</v>
      </c>
      <c r="H639" s="8" t="s">
        <v>3427</v>
      </c>
      <c r="I639" s="8" t="s">
        <v>3240</v>
      </c>
      <c r="J639" s="8" t="s">
        <v>3224</v>
      </c>
      <c r="K639" s="8" t="s">
        <v>3183</v>
      </c>
      <c r="L639" s="10" t="s">
        <v>3241</v>
      </c>
      <c r="M639" s="10" t="s">
        <v>3242</v>
      </c>
      <c r="N639" s="10"/>
      <c r="O639" s="8" t="s">
        <v>322</v>
      </c>
      <c r="P639" s="8"/>
      <c r="Q639" s="8">
        <v>2163</v>
      </c>
      <c r="R639" s="8">
        <v>1238</v>
      </c>
      <c r="S639" s="8" t="s">
        <v>332</v>
      </c>
      <c r="T639" s="8"/>
      <c r="U639" s="8"/>
      <c r="V639" s="8"/>
      <c r="W639" s="8"/>
      <c r="X639" s="8"/>
      <c r="Y639" s="8"/>
      <c r="Z639" s="10" t="s">
        <v>3186</v>
      </c>
      <c r="AA639" s="8" t="s">
        <v>332</v>
      </c>
      <c r="AB639" s="8">
        <v>1</v>
      </c>
    </row>
    <row r="640" spans="1:28" ht="21.6" customHeight="1">
      <c r="A640" s="8">
        <v>20</v>
      </c>
      <c r="B640" s="8">
        <v>2025072441</v>
      </c>
      <c r="C640" s="8">
        <v>1</v>
      </c>
      <c r="D640" s="8" t="s">
        <v>3177</v>
      </c>
      <c r="E640" s="8" t="s">
        <v>123</v>
      </c>
      <c r="F640" s="8" t="s">
        <v>4201</v>
      </c>
      <c r="G640" s="8" t="s">
        <v>4151</v>
      </c>
      <c r="H640" s="8" t="s">
        <v>4203</v>
      </c>
      <c r="I640" s="8" t="s">
        <v>3246</v>
      </c>
      <c r="J640" s="8" t="s">
        <v>3224</v>
      </c>
      <c r="K640" s="8" t="s">
        <v>3183</v>
      </c>
      <c r="L640" s="10" t="s">
        <v>3247</v>
      </c>
      <c r="M640" s="10" t="s">
        <v>3248</v>
      </c>
      <c r="N640" s="10" t="s">
        <v>3215</v>
      </c>
      <c r="O640" s="8" t="s">
        <v>322</v>
      </c>
      <c r="P640" s="8"/>
      <c r="Q640" s="8">
        <v>643</v>
      </c>
      <c r="R640" s="8">
        <v>1696</v>
      </c>
      <c r="S640" s="8" t="s">
        <v>332</v>
      </c>
      <c r="T640" s="8"/>
      <c r="U640" s="8"/>
      <c r="V640" s="8"/>
      <c r="W640" s="8"/>
      <c r="X640" s="8"/>
      <c r="Y640" s="8"/>
      <c r="Z640" s="10" t="s">
        <v>3186</v>
      </c>
      <c r="AA640" s="8" t="s">
        <v>332</v>
      </c>
      <c r="AB640" s="8">
        <v>1</v>
      </c>
    </row>
    <row r="641" spans="1:28" ht="21.6" customHeight="1">
      <c r="A641" s="8">
        <v>24</v>
      </c>
      <c r="B641" s="8">
        <v>2025071653</v>
      </c>
      <c r="C641" s="8">
        <v>1</v>
      </c>
      <c r="D641" s="8" t="s">
        <v>3177</v>
      </c>
      <c r="E641" s="8" t="s">
        <v>123</v>
      </c>
      <c r="F641" s="8" t="s">
        <v>4199</v>
      </c>
      <c r="G641" s="8" t="s">
        <v>3427</v>
      </c>
      <c r="H641" s="8" t="s">
        <v>3258</v>
      </c>
      <c r="I641" s="8" t="s">
        <v>3259</v>
      </c>
      <c r="J641" s="8" t="s">
        <v>3253</v>
      </c>
      <c r="K641" s="8" t="s">
        <v>3183</v>
      </c>
      <c r="L641" s="10" t="s">
        <v>3207</v>
      </c>
      <c r="M641" s="10" t="s">
        <v>3208</v>
      </c>
      <c r="N641" s="10" t="s">
        <v>3260</v>
      </c>
      <c r="O641" s="8" t="s">
        <v>322</v>
      </c>
      <c r="P641" s="8"/>
      <c r="Q641" s="8"/>
      <c r="R641" s="8">
        <v>85730</v>
      </c>
      <c r="S641" s="8" t="s">
        <v>332</v>
      </c>
      <c r="T641" s="8"/>
      <c r="U641" s="8"/>
      <c r="V641" s="8"/>
      <c r="W641" s="8"/>
      <c r="X641" s="8"/>
      <c r="Y641" s="8"/>
      <c r="Z641" s="10" t="s">
        <v>3186</v>
      </c>
      <c r="AA641" s="8" t="s">
        <v>332</v>
      </c>
      <c r="AB641" s="8">
        <v>1</v>
      </c>
    </row>
    <row r="642" spans="1:28" ht="21.6" customHeight="1">
      <c r="A642" s="8">
        <v>28</v>
      </c>
      <c r="B642" s="8">
        <v>2025072468</v>
      </c>
      <c r="C642" s="8">
        <v>1</v>
      </c>
      <c r="D642" s="8" t="s">
        <v>3177</v>
      </c>
      <c r="E642" s="8" t="s">
        <v>123</v>
      </c>
      <c r="F642" s="8" t="s">
        <v>4201</v>
      </c>
      <c r="G642" s="8" t="s">
        <v>3657</v>
      </c>
      <c r="H642" s="8" t="s">
        <v>4204</v>
      </c>
      <c r="I642" s="8" t="s">
        <v>3263</v>
      </c>
      <c r="J642" s="8" t="s">
        <v>3253</v>
      </c>
      <c r="K642" s="8" t="s">
        <v>3183</v>
      </c>
      <c r="L642" s="10" t="s">
        <v>3264</v>
      </c>
      <c r="M642" s="10" t="s">
        <v>3265</v>
      </c>
      <c r="N642" s="10" t="s">
        <v>123</v>
      </c>
      <c r="O642" s="8" t="s">
        <v>322</v>
      </c>
      <c r="P642" s="8"/>
      <c r="Q642" s="8"/>
      <c r="R642" s="8">
        <v>49807</v>
      </c>
      <c r="S642" s="8" t="s">
        <v>332</v>
      </c>
      <c r="T642" s="8"/>
      <c r="U642" s="8"/>
      <c r="V642" s="8"/>
      <c r="W642" s="8"/>
      <c r="X642" s="8"/>
      <c r="Y642" s="8"/>
      <c r="Z642" s="10" t="s">
        <v>3186</v>
      </c>
      <c r="AA642" s="8" t="s">
        <v>332</v>
      </c>
      <c r="AB642" s="8">
        <v>1</v>
      </c>
    </row>
    <row r="643" spans="1:28" ht="21.6" customHeight="1">
      <c r="A643" s="8">
        <v>32</v>
      </c>
      <c r="B643" s="8">
        <v>2025070956</v>
      </c>
      <c r="C643" s="8">
        <v>1</v>
      </c>
      <c r="D643" s="8" t="s">
        <v>3177</v>
      </c>
      <c r="E643" s="8" t="s">
        <v>123</v>
      </c>
      <c r="F643" s="8" t="s">
        <v>4205</v>
      </c>
      <c r="G643" s="8" t="s">
        <v>4206</v>
      </c>
      <c r="H643" s="8" t="s">
        <v>4207</v>
      </c>
      <c r="I643" s="8" t="s">
        <v>3269</v>
      </c>
      <c r="J643" s="8" t="s">
        <v>3253</v>
      </c>
      <c r="K643" s="8" t="s">
        <v>3183</v>
      </c>
      <c r="L643" s="10" t="s">
        <v>3270</v>
      </c>
      <c r="M643" s="10" t="s">
        <v>3271</v>
      </c>
      <c r="N643" s="10" t="s">
        <v>3272</v>
      </c>
      <c r="O643" s="8" t="s">
        <v>3190</v>
      </c>
      <c r="P643" s="8"/>
      <c r="Q643" s="8"/>
      <c r="R643" s="8">
        <v>23761</v>
      </c>
      <c r="S643" s="8"/>
      <c r="T643" s="8"/>
      <c r="U643" s="8"/>
      <c r="V643" s="8"/>
      <c r="W643" s="8"/>
      <c r="X643" s="8"/>
      <c r="Y643" s="8"/>
      <c r="Z643" s="10" t="s">
        <v>3186</v>
      </c>
      <c r="AA643" s="8" t="s">
        <v>332</v>
      </c>
      <c r="AB643" s="8">
        <v>1</v>
      </c>
    </row>
    <row r="644" spans="1:28" ht="21.6" customHeight="1">
      <c r="A644" s="8">
        <v>33</v>
      </c>
      <c r="B644" s="8">
        <v>2025072641</v>
      </c>
      <c r="C644" s="8">
        <v>1</v>
      </c>
      <c r="D644" s="8" t="s">
        <v>3177</v>
      </c>
      <c r="E644" s="8" t="s">
        <v>123</v>
      </c>
      <c r="F644" s="8" t="s">
        <v>4208</v>
      </c>
      <c r="G644" s="8" t="s">
        <v>4209</v>
      </c>
      <c r="H644" s="8" t="s">
        <v>3996</v>
      </c>
      <c r="I644" s="8" t="s">
        <v>3908</v>
      </c>
      <c r="J644" s="8" t="s">
        <v>3253</v>
      </c>
      <c r="K644" s="8" t="s">
        <v>3183</v>
      </c>
      <c r="L644" s="10" t="s">
        <v>3629</v>
      </c>
      <c r="M644" s="10" t="s">
        <v>3909</v>
      </c>
      <c r="N644" s="10" t="s">
        <v>123</v>
      </c>
      <c r="O644" s="8" t="s">
        <v>3190</v>
      </c>
      <c r="P644" s="8"/>
      <c r="Q644" s="8"/>
      <c r="R644" s="8">
        <v>31153</v>
      </c>
      <c r="S644" s="8"/>
      <c r="T644" s="8"/>
      <c r="U644" s="8"/>
      <c r="V644" s="8"/>
      <c r="W644" s="8"/>
      <c r="X644" s="8"/>
      <c r="Y644" s="8"/>
      <c r="Z644" s="10" t="s">
        <v>3186</v>
      </c>
      <c r="AA644" s="8" t="s">
        <v>332</v>
      </c>
      <c r="AB644" s="8">
        <v>1</v>
      </c>
    </row>
    <row r="645" spans="1:28" ht="21.6" customHeight="1">
      <c r="A645" s="8">
        <v>35</v>
      </c>
      <c r="B645" s="8">
        <v>2025071278</v>
      </c>
      <c r="C645" s="8">
        <v>1</v>
      </c>
      <c r="D645" s="8" t="s">
        <v>3177</v>
      </c>
      <c r="E645" s="8" t="s">
        <v>123</v>
      </c>
      <c r="F645" s="8" t="s">
        <v>4210</v>
      </c>
      <c r="G645" s="8" t="s">
        <v>3906</v>
      </c>
      <c r="H645" s="8" t="s">
        <v>3907</v>
      </c>
      <c r="I645" s="8" t="s">
        <v>3276</v>
      </c>
      <c r="J645" s="8" t="s">
        <v>3277</v>
      </c>
      <c r="K645" s="8" t="s">
        <v>3183</v>
      </c>
      <c r="L645" s="10" t="s">
        <v>3278</v>
      </c>
      <c r="M645" s="10" t="s">
        <v>3279</v>
      </c>
      <c r="N645" s="10" t="s">
        <v>123</v>
      </c>
      <c r="O645" s="8" t="s">
        <v>322</v>
      </c>
      <c r="P645" s="8"/>
      <c r="Q645" s="8"/>
      <c r="R645" s="8">
        <v>62842</v>
      </c>
      <c r="S645" s="8" t="s">
        <v>332</v>
      </c>
      <c r="T645" s="8"/>
      <c r="U645" s="8"/>
      <c r="V645" s="8"/>
      <c r="W645" s="8"/>
      <c r="X645" s="8"/>
      <c r="Y645" s="8"/>
      <c r="Z645" s="10" t="s">
        <v>3186</v>
      </c>
      <c r="AA645" s="8" t="s">
        <v>332</v>
      </c>
      <c r="AB645" s="8">
        <v>1</v>
      </c>
    </row>
    <row r="646" spans="1:28" ht="21.6" customHeight="1">
      <c r="A646" s="8">
        <v>37</v>
      </c>
      <c r="B646" s="8">
        <v>2025070954</v>
      </c>
      <c r="C646" s="8">
        <v>1</v>
      </c>
      <c r="D646" s="8" t="s">
        <v>3177</v>
      </c>
      <c r="E646" s="8" t="s">
        <v>123</v>
      </c>
      <c r="F646" s="8" t="s">
        <v>4205</v>
      </c>
      <c r="G646" s="8" t="s">
        <v>4109</v>
      </c>
      <c r="H646" s="8" t="s">
        <v>3767</v>
      </c>
      <c r="I646" s="8" t="s">
        <v>3282</v>
      </c>
      <c r="J646" s="8" t="s">
        <v>3277</v>
      </c>
      <c r="K646" s="8" t="s">
        <v>3183</v>
      </c>
      <c r="L646" s="10" t="s">
        <v>3283</v>
      </c>
      <c r="M646" s="10" t="s">
        <v>3284</v>
      </c>
      <c r="N646" s="10"/>
      <c r="O646" s="8" t="s">
        <v>322</v>
      </c>
      <c r="P646" s="8"/>
      <c r="Q646" s="8"/>
      <c r="R646" s="8">
        <v>25400</v>
      </c>
      <c r="S646" s="8" t="s">
        <v>332</v>
      </c>
      <c r="T646" s="8"/>
      <c r="U646" s="8"/>
      <c r="V646" s="8"/>
      <c r="W646" s="8"/>
      <c r="X646" s="8"/>
      <c r="Y646" s="8"/>
      <c r="Z646" s="10" t="s">
        <v>3186</v>
      </c>
      <c r="AA646" s="8" t="s">
        <v>332</v>
      </c>
      <c r="AB646" s="8">
        <v>1</v>
      </c>
    </row>
    <row r="647" spans="1:28" ht="21.6" customHeight="1">
      <c r="A647" s="8">
        <v>39</v>
      </c>
      <c r="B647" s="8">
        <v>2025071984</v>
      </c>
      <c r="C647" s="8">
        <v>1</v>
      </c>
      <c r="D647" s="8" t="s">
        <v>3177</v>
      </c>
      <c r="E647" s="8" t="s">
        <v>123</v>
      </c>
      <c r="F647" s="8" t="s">
        <v>4211</v>
      </c>
      <c r="G647" s="8" t="s">
        <v>3233</v>
      </c>
      <c r="H647" s="8" t="s">
        <v>4212</v>
      </c>
      <c r="I647" s="8" t="s">
        <v>3840</v>
      </c>
      <c r="J647" s="8" t="s">
        <v>3288</v>
      </c>
      <c r="K647" s="8" t="s">
        <v>3183</v>
      </c>
      <c r="L647" s="10" t="s">
        <v>3841</v>
      </c>
      <c r="M647" s="10" t="s">
        <v>4213</v>
      </c>
      <c r="N647" s="10" t="s">
        <v>4214</v>
      </c>
      <c r="O647" s="8" t="s">
        <v>322</v>
      </c>
      <c r="P647" s="8"/>
      <c r="Q647" s="8">
        <v>876</v>
      </c>
      <c r="R647" s="8">
        <v>3012</v>
      </c>
      <c r="S647" s="8"/>
      <c r="T647" s="8" t="s">
        <v>332</v>
      </c>
      <c r="U647" s="8"/>
      <c r="V647" s="8"/>
      <c r="W647" s="8"/>
      <c r="X647" s="8"/>
      <c r="Y647" s="8" t="s">
        <v>332</v>
      </c>
      <c r="Z647" s="10" t="s">
        <v>4215</v>
      </c>
      <c r="AA647" s="8" t="s">
        <v>332</v>
      </c>
      <c r="AB647" s="8">
        <v>1</v>
      </c>
    </row>
    <row r="648" spans="1:28" ht="21.6" customHeight="1">
      <c r="A648" s="8">
        <v>40</v>
      </c>
      <c r="B648" s="8">
        <v>2025072414</v>
      </c>
      <c r="C648" s="8">
        <v>1</v>
      </c>
      <c r="D648" s="8" t="s">
        <v>3177</v>
      </c>
      <c r="E648" s="8" t="s">
        <v>123</v>
      </c>
      <c r="F648" s="8" t="s">
        <v>4201</v>
      </c>
      <c r="G648" s="8" t="s">
        <v>4216</v>
      </c>
      <c r="H648" s="8" t="s">
        <v>4217</v>
      </c>
      <c r="I648" s="8" t="s">
        <v>3287</v>
      </c>
      <c r="J648" s="8" t="s">
        <v>3288</v>
      </c>
      <c r="K648" s="8" t="s">
        <v>3183</v>
      </c>
      <c r="L648" s="10" t="s">
        <v>3289</v>
      </c>
      <c r="M648" s="10" t="s">
        <v>3290</v>
      </c>
      <c r="N648" s="10"/>
      <c r="O648" s="8" t="s">
        <v>322</v>
      </c>
      <c r="P648" s="8"/>
      <c r="Q648" s="8">
        <v>11729</v>
      </c>
      <c r="R648" s="8">
        <v>155457</v>
      </c>
      <c r="S648" s="8" t="s">
        <v>332</v>
      </c>
      <c r="T648" s="8"/>
      <c r="U648" s="8"/>
      <c r="V648" s="8"/>
      <c r="W648" s="8"/>
      <c r="X648" s="8"/>
      <c r="Y648" s="8"/>
      <c r="Z648" s="10" t="s">
        <v>111</v>
      </c>
      <c r="AA648" s="8" t="s">
        <v>332</v>
      </c>
      <c r="AB648" s="8">
        <v>1</v>
      </c>
    </row>
    <row r="649" spans="1:28" ht="21.6" customHeight="1">
      <c r="A649" s="8">
        <v>41</v>
      </c>
      <c r="B649" s="8">
        <v>2025070960</v>
      </c>
      <c r="C649" s="8">
        <v>1</v>
      </c>
      <c r="D649" s="8" t="s">
        <v>3177</v>
      </c>
      <c r="E649" s="8" t="s">
        <v>123</v>
      </c>
      <c r="F649" s="8" t="s">
        <v>4205</v>
      </c>
      <c r="G649" s="8" t="s">
        <v>4218</v>
      </c>
      <c r="H649" s="8" t="s">
        <v>4219</v>
      </c>
      <c r="I649" s="8" t="s">
        <v>3293</v>
      </c>
      <c r="J649" s="8" t="s">
        <v>3288</v>
      </c>
      <c r="K649" s="8" t="s">
        <v>3183</v>
      </c>
      <c r="L649" s="10" t="s">
        <v>3294</v>
      </c>
      <c r="M649" s="10" t="s">
        <v>3295</v>
      </c>
      <c r="N649" s="10" t="s">
        <v>3272</v>
      </c>
      <c r="O649" s="8" t="s">
        <v>3190</v>
      </c>
      <c r="P649" s="8"/>
      <c r="Q649" s="8">
        <v>2346</v>
      </c>
      <c r="R649" s="8">
        <v>279645</v>
      </c>
      <c r="S649" s="8"/>
      <c r="T649" s="8"/>
      <c r="U649" s="8"/>
      <c r="V649" s="8"/>
      <c r="W649" s="8"/>
      <c r="X649" s="8"/>
      <c r="Y649" s="8"/>
      <c r="Z649" s="10" t="s">
        <v>4220</v>
      </c>
      <c r="AA649" s="8" t="s">
        <v>332</v>
      </c>
      <c r="AB649" s="8">
        <v>1</v>
      </c>
    </row>
    <row r="650" spans="1:28" ht="21.6" customHeight="1">
      <c r="A650" s="8">
        <v>43</v>
      </c>
      <c r="B650" s="8">
        <v>2025070280</v>
      </c>
      <c r="C650" s="8">
        <v>1</v>
      </c>
      <c r="D650" s="8" t="s">
        <v>3177</v>
      </c>
      <c r="E650" s="8" t="s">
        <v>123</v>
      </c>
      <c r="F650" s="8" t="s">
        <v>4131</v>
      </c>
      <c r="G650" s="8" t="s">
        <v>3250</v>
      </c>
      <c r="H650" s="8" t="s">
        <v>4221</v>
      </c>
      <c r="I650" s="8" t="s">
        <v>3297</v>
      </c>
      <c r="J650" s="8" t="s">
        <v>3298</v>
      </c>
      <c r="K650" s="8" t="s">
        <v>3183</v>
      </c>
      <c r="L650" s="10" t="s">
        <v>3207</v>
      </c>
      <c r="M650" s="10" t="s">
        <v>3208</v>
      </c>
      <c r="N650" s="10" t="s">
        <v>3299</v>
      </c>
      <c r="O650" s="8" t="s">
        <v>322</v>
      </c>
      <c r="P650" s="8"/>
      <c r="Q650" s="8"/>
      <c r="R650" s="8">
        <v>143735</v>
      </c>
      <c r="S650" s="8"/>
      <c r="T650" s="8"/>
      <c r="U650" s="8"/>
      <c r="V650" s="8"/>
      <c r="W650" s="8"/>
      <c r="X650" s="8"/>
      <c r="Y650" s="8" t="s">
        <v>332</v>
      </c>
      <c r="Z650" s="10" t="s">
        <v>4222</v>
      </c>
      <c r="AA650" s="8" t="s">
        <v>332</v>
      </c>
      <c r="AB650" s="8">
        <v>1</v>
      </c>
    </row>
    <row r="651" spans="1:28" ht="21.6" customHeight="1">
      <c r="A651" s="8">
        <v>44</v>
      </c>
      <c r="B651" s="8">
        <v>2025071656</v>
      </c>
      <c r="C651" s="8">
        <v>1</v>
      </c>
      <c r="D651" s="8" t="s">
        <v>3177</v>
      </c>
      <c r="E651" s="8" t="s">
        <v>123</v>
      </c>
      <c r="F651" s="8" t="s">
        <v>4199</v>
      </c>
      <c r="G651" s="8" t="s">
        <v>3927</v>
      </c>
      <c r="H651" s="8" t="s">
        <v>3619</v>
      </c>
      <c r="I651" s="8" t="s">
        <v>3297</v>
      </c>
      <c r="J651" s="8" t="s">
        <v>3298</v>
      </c>
      <c r="K651" s="8" t="s">
        <v>3183</v>
      </c>
      <c r="L651" s="10" t="s">
        <v>3207</v>
      </c>
      <c r="M651" s="10" t="s">
        <v>3208</v>
      </c>
      <c r="N651" s="10" t="s">
        <v>3299</v>
      </c>
      <c r="O651" s="8" t="s">
        <v>322</v>
      </c>
      <c r="P651" s="8"/>
      <c r="Q651" s="8"/>
      <c r="R651" s="8">
        <v>126234</v>
      </c>
      <c r="S651" s="8" t="s">
        <v>332</v>
      </c>
      <c r="T651" s="8"/>
      <c r="U651" s="8"/>
      <c r="V651" s="8"/>
      <c r="W651" s="8"/>
      <c r="X651" s="8"/>
      <c r="Y651" s="8"/>
      <c r="Z651" s="10" t="s">
        <v>3186</v>
      </c>
      <c r="AA651" s="8" t="s">
        <v>332</v>
      </c>
      <c r="AB651" s="8">
        <v>1</v>
      </c>
    </row>
    <row r="652" spans="1:28" ht="21.6" customHeight="1">
      <c r="A652" s="8">
        <v>46</v>
      </c>
      <c r="B652" s="8">
        <v>2025072595</v>
      </c>
      <c r="C652" s="8">
        <v>1</v>
      </c>
      <c r="D652" s="8" t="s">
        <v>3177</v>
      </c>
      <c r="E652" s="8" t="s">
        <v>123</v>
      </c>
      <c r="F652" s="8" t="s">
        <v>4208</v>
      </c>
      <c r="G652" s="8" t="s">
        <v>3401</v>
      </c>
      <c r="H652" s="8" t="s">
        <v>3193</v>
      </c>
      <c r="I652" s="8" t="s">
        <v>3300</v>
      </c>
      <c r="J652" s="8" t="s">
        <v>3301</v>
      </c>
      <c r="K652" s="8" t="s">
        <v>3183</v>
      </c>
      <c r="L652" s="10" t="s">
        <v>3302</v>
      </c>
      <c r="M652" s="10" t="s">
        <v>3303</v>
      </c>
      <c r="N652" s="10" t="s">
        <v>3304</v>
      </c>
      <c r="O652" s="8" t="s">
        <v>322</v>
      </c>
      <c r="P652" s="8"/>
      <c r="Q652" s="8">
        <v>34873</v>
      </c>
      <c r="R652" s="8">
        <v>33264</v>
      </c>
      <c r="S652" s="8" t="s">
        <v>332</v>
      </c>
      <c r="T652" s="8"/>
      <c r="U652" s="8"/>
      <c r="V652" s="8"/>
      <c r="W652" s="8"/>
      <c r="X652" s="8"/>
      <c r="Y652" s="8"/>
      <c r="Z652" s="10" t="s">
        <v>3186</v>
      </c>
      <c r="AA652" s="8" t="s">
        <v>332</v>
      </c>
      <c r="AB652" s="8">
        <v>1</v>
      </c>
    </row>
    <row r="653" spans="1:28" ht="21.6" customHeight="1">
      <c r="A653" s="8">
        <v>48</v>
      </c>
      <c r="B653" s="8">
        <v>2025072194</v>
      </c>
      <c r="C653" s="8">
        <v>1</v>
      </c>
      <c r="D653" s="8" t="s">
        <v>3177</v>
      </c>
      <c r="E653" s="8" t="s">
        <v>123</v>
      </c>
      <c r="F653" s="8" t="s">
        <v>4198</v>
      </c>
      <c r="G653" s="8" t="s">
        <v>3907</v>
      </c>
      <c r="H653" s="8" t="s">
        <v>4223</v>
      </c>
      <c r="I653" s="8" t="s">
        <v>3307</v>
      </c>
      <c r="J653" s="8" t="s">
        <v>3301</v>
      </c>
      <c r="K653" s="8" t="s">
        <v>3183</v>
      </c>
      <c r="L653" s="10" t="s">
        <v>3308</v>
      </c>
      <c r="M653" s="10" t="s">
        <v>3309</v>
      </c>
      <c r="N653" s="10" t="s">
        <v>3310</v>
      </c>
      <c r="O653" s="8" t="s">
        <v>3190</v>
      </c>
      <c r="P653" s="8"/>
      <c r="Q653" s="8">
        <v>5375</v>
      </c>
      <c r="R653" s="8">
        <v>42458</v>
      </c>
      <c r="S653" s="8"/>
      <c r="T653" s="8"/>
      <c r="U653" s="8"/>
      <c r="V653" s="8"/>
      <c r="W653" s="8"/>
      <c r="X653" s="8"/>
      <c r="Y653" s="8"/>
      <c r="Z653" s="10" t="s">
        <v>3186</v>
      </c>
      <c r="AA653" s="8" t="s">
        <v>332</v>
      </c>
      <c r="AB653" s="8">
        <v>1</v>
      </c>
    </row>
    <row r="654" spans="1:28" ht="21.6" customHeight="1">
      <c r="A654" s="8">
        <v>50</v>
      </c>
      <c r="B654" s="8">
        <v>2025072277</v>
      </c>
      <c r="C654" s="8">
        <v>1</v>
      </c>
      <c r="D654" s="8" t="s">
        <v>3177</v>
      </c>
      <c r="E654" s="8" t="s">
        <v>123</v>
      </c>
      <c r="F654" s="8" t="s">
        <v>4198</v>
      </c>
      <c r="G654" s="8" t="s">
        <v>3426</v>
      </c>
      <c r="H654" s="8" t="s">
        <v>4191</v>
      </c>
      <c r="I654" s="8" t="s">
        <v>3313</v>
      </c>
      <c r="J654" s="8" t="s">
        <v>3301</v>
      </c>
      <c r="K654" s="8" t="s">
        <v>3183</v>
      </c>
      <c r="L654" s="10" t="s">
        <v>3314</v>
      </c>
      <c r="M654" s="10" t="s">
        <v>3315</v>
      </c>
      <c r="N654" s="10"/>
      <c r="O654" s="8" t="s">
        <v>322</v>
      </c>
      <c r="P654" s="8"/>
      <c r="Q654" s="8">
        <v>17954</v>
      </c>
      <c r="R654" s="8">
        <v>24455</v>
      </c>
      <c r="S654" s="8" t="s">
        <v>332</v>
      </c>
      <c r="T654" s="8"/>
      <c r="U654" s="8"/>
      <c r="V654" s="8"/>
      <c r="W654" s="8"/>
      <c r="X654" s="8"/>
      <c r="Y654" s="8"/>
      <c r="Z654" s="10" t="s">
        <v>4224</v>
      </c>
      <c r="AA654" s="8" t="s">
        <v>332</v>
      </c>
      <c r="AB654" s="8">
        <v>1</v>
      </c>
    </row>
    <row r="655" spans="1:28" ht="21.6" customHeight="1">
      <c r="A655" s="8">
        <v>51</v>
      </c>
      <c r="B655" s="8">
        <v>2025072886</v>
      </c>
      <c r="C655" s="8">
        <v>1</v>
      </c>
      <c r="D655" s="8" t="s">
        <v>3177</v>
      </c>
      <c r="E655" s="8" t="s">
        <v>123</v>
      </c>
      <c r="F655" s="8" t="s">
        <v>4225</v>
      </c>
      <c r="G655" s="8" t="s">
        <v>4226</v>
      </c>
      <c r="H655" s="8" t="s">
        <v>3744</v>
      </c>
      <c r="I655" s="8" t="s">
        <v>4227</v>
      </c>
      <c r="J655" s="8" t="s">
        <v>3301</v>
      </c>
      <c r="K655" s="8" t="s">
        <v>3183</v>
      </c>
      <c r="L655" s="10" t="s">
        <v>3289</v>
      </c>
      <c r="M655" s="10" t="s">
        <v>3290</v>
      </c>
      <c r="N655" s="10"/>
      <c r="O655" s="8" t="s">
        <v>3190</v>
      </c>
      <c r="P655" s="8"/>
      <c r="Q655" s="8">
        <v>42</v>
      </c>
      <c r="R655" s="8">
        <v>555</v>
      </c>
      <c r="S655" s="8"/>
      <c r="T655" s="8"/>
      <c r="U655" s="8"/>
      <c r="V655" s="8"/>
      <c r="W655" s="8"/>
      <c r="X655" s="8"/>
      <c r="Y655" s="8"/>
      <c r="Z655" s="10" t="s">
        <v>3190</v>
      </c>
      <c r="AA655" s="8" t="s">
        <v>332</v>
      </c>
      <c r="AB655" s="8">
        <v>1</v>
      </c>
    </row>
    <row r="656" spans="1:28" ht="21.6" customHeight="1">
      <c r="A656" s="8">
        <v>54</v>
      </c>
      <c r="B656" s="8">
        <v>2025073347</v>
      </c>
      <c r="C656" s="8">
        <v>1</v>
      </c>
      <c r="D656" s="8" t="s">
        <v>3177</v>
      </c>
      <c r="E656" s="8" t="s">
        <v>123</v>
      </c>
      <c r="F656" s="8" t="s">
        <v>4228</v>
      </c>
      <c r="G656" s="8" t="s">
        <v>4229</v>
      </c>
      <c r="H656" s="8" t="s">
        <v>3180</v>
      </c>
      <c r="I656" s="8" t="s">
        <v>4230</v>
      </c>
      <c r="J656" s="8" t="s">
        <v>3328</v>
      </c>
      <c r="K656" s="8" t="s">
        <v>3183</v>
      </c>
      <c r="L656" s="10" t="s">
        <v>3314</v>
      </c>
      <c r="M656" s="10" t="s">
        <v>3315</v>
      </c>
      <c r="N656" s="10"/>
      <c r="O656" s="8" t="s">
        <v>3190</v>
      </c>
      <c r="P656" s="8"/>
      <c r="Q656" s="8">
        <v>534</v>
      </c>
      <c r="R656" s="8">
        <v>1089</v>
      </c>
      <c r="S656" s="8"/>
      <c r="T656" s="8"/>
      <c r="U656" s="8"/>
      <c r="V656" s="8"/>
      <c r="W656" s="8"/>
      <c r="X656" s="8"/>
      <c r="Y656" s="8"/>
      <c r="Z656" s="10" t="s">
        <v>3190</v>
      </c>
      <c r="AA656" s="8" t="s">
        <v>332</v>
      </c>
      <c r="AB656" s="8">
        <v>1</v>
      </c>
    </row>
    <row r="657" spans="1:28" ht="21.6" customHeight="1">
      <c r="A657" s="8">
        <v>55</v>
      </c>
      <c r="B657" s="8">
        <v>2025072459</v>
      </c>
      <c r="C657" s="8">
        <v>1</v>
      </c>
      <c r="D657" s="8" t="s">
        <v>3177</v>
      </c>
      <c r="E657" s="8" t="s">
        <v>123</v>
      </c>
      <c r="F657" s="8" t="s">
        <v>4201</v>
      </c>
      <c r="G657" s="8" t="s">
        <v>4010</v>
      </c>
      <c r="H657" s="8" t="s">
        <v>4231</v>
      </c>
      <c r="I657" s="8" t="s">
        <v>3807</v>
      </c>
      <c r="J657" s="8" t="s">
        <v>3808</v>
      </c>
      <c r="K657" s="8" t="s">
        <v>3183</v>
      </c>
      <c r="L657" s="10" t="s">
        <v>3333</v>
      </c>
      <c r="M657" s="10" t="s">
        <v>3334</v>
      </c>
      <c r="N657" s="10"/>
      <c r="O657" s="8" t="s">
        <v>322</v>
      </c>
      <c r="P657" s="8"/>
      <c r="Q657" s="8"/>
      <c r="R657" s="8">
        <v>30116</v>
      </c>
      <c r="S657" s="8" t="s">
        <v>332</v>
      </c>
      <c r="T657" s="8"/>
      <c r="U657" s="8"/>
      <c r="V657" s="8"/>
      <c r="W657" s="8"/>
      <c r="X657" s="8"/>
      <c r="Y657" s="8"/>
      <c r="Z657" s="10" t="s">
        <v>3186</v>
      </c>
      <c r="AA657" s="8" t="s">
        <v>332</v>
      </c>
      <c r="AB657" s="8">
        <v>1</v>
      </c>
    </row>
    <row r="658" spans="1:28" ht="21.6" customHeight="1">
      <c r="A658" s="8">
        <v>142</v>
      </c>
      <c r="B658" s="8">
        <v>2025071357</v>
      </c>
      <c r="C658" s="8">
        <v>1</v>
      </c>
      <c r="D658" s="8" t="s">
        <v>3177</v>
      </c>
      <c r="E658" s="8" t="s">
        <v>118</v>
      </c>
      <c r="F658" s="8" t="s">
        <v>4232</v>
      </c>
      <c r="G658" s="8" t="s">
        <v>3363</v>
      </c>
      <c r="H658" s="8" t="s">
        <v>3233</v>
      </c>
      <c r="I658" s="8" t="s">
        <v>3351</v>
      </c>
      <c r="J658" s="8" t="s">
        <v>3195</v>
      </c>
      <c r="K658" s="8" t="s">
        <v>3183</v>
      </c>
      <c r="L658" s="10" t="s">
        <v>3352</v>
      </c>
      <c r="M658" s="10" t="s">
        <v>3353</v>
      </c>
      <c r="N658" s="10" t="s">
        <v>3667</v>
      </c>
      <c r="O658" s="8" t="s">
        <v>322</v>
      </c>
      <c r="P658" s="8"/>
      <c r="Q658" s="8">
        <v>10117</v>
      </c>
      <c r="R658" s="8">
        <v>69822</v>
      </c>
      <c r="S658" s="8" t="s">
        <v>332</v>
      </c>
      <c r="T658" s="8"/>
      <c r="U658" s="8"/>
      <c r="V658" s="8"/>
      <c r="W658" s="8"/>
      <c r="X658" s="8"/>
      <c r="Y658" s="8"/>
      <c r="Z658" s="10" t="s">
        <v>3696</v>
      </c>
      <c r="AA658" s="8" t="s">
        <v>332</v>
      </c>
      <c r="AB658" s="8">
        <v>1</v>
      </c>
    </row>
    <row r="659" spans="1:28" ht="21.6" customHeight="1">
      <c r="A659" s="8">
        <v>144</v>
      </c>
      <c r="B659" s="8">
        <v>2025070603</v>
      </c>
      <c r="C659" s="8">
        <v>1</v>
      </c>
      <c r="D659" s="8" t="s">
        <v>3177</v>
      </c>
      <c r="E659" s="8" t="s">
        <v>118</v>
      </c>
      <c r="F659" s="8" t="s">
        <v>4233</v>
      </c>
      <c r="G659" s="8" t="s">
        <v>3280</v>
      </c>
      <c r="H659" s="8" t="s">
        <v>3509</v>
      </c>
      <c r="I659" s="8" t="s">
        <v>3358</v>
      </c>
      <c r="J659" s="8" t="s">
        <v>3195</v>
      </c>
      <c r="K659" s="8" t="s">
        <v>3183</v>
      </c>
      <c r="L659" s="10" t="s">
        <v>3359</v>
      </c>
      <c r="M659" s="10" t="s">
        <v>3360</v>
      </c>
      <c r="N659" s="10" t="s">
        <v>3361</v>
      </c>
      <c r="O659" s="8" t="s">
        <v>363</v>
      </c>
      <c r="P659" s="8"/>
      <c r="Q659" s="8">
        <v>20934</v>
      </c>
      <c r="R659" s="8">
        <v>83774</v>
      </c>
      <c r="S659" s="8"/>
      <c r="T659" s="8"/>
      <c r="U659" s="8"/>
      <c r="V659" s="8"/>
      <c r="W659" s="8"/>
      <c r="X659" s="8"/>
      <c r="Y659" s="8"/>
      <c r="Z659" s="10" t="s">
        <v>4234</v>
      </c>
      <c r="AA659" s="8" t="s">
        <v>332</v>
      </c>
      <c r="AB659" s="8">
        <v>1</v>
      </c>
    </row>
    <row r="660" spans="1:28" ht="21.6" customHeight="1">
      <c r="A660" s="8">
        <v>145</v>
      </c>
      <c r="B660" s="8">
        <v>2025072270</v>
      </c>
      <c r="C660" s="8">
        <v>1</v>
      </c>
      <c r="D660" s="8" t="s">
        <v>3177</v>
      </c>
      <c r="E660" s="8" t="s">
        <v>118</v>
      </c>
      <c r="F660" s="8" t="s">
        <v>4198</v>
      </c>
      <c r="G660" s="8" t="s">
        <v>3427</v>
      </c>
      <c r="H660" s="8" t="s">
        <v>3386</v>
      </c>
      <c r="I660" s="8" t="s">
        <v>3358</v>
      </c>
      <c r="J660" s="8" t="s">
        <v>3195</v>
      </c>
      <c r="K660" s="8" t="s">
        <v>3183</v>
      </c>
      <c r="L660" s="10" t="s">
        <v>3359</v>
      </c>
      <c r="M660" s="10" t="s">
        <v>3360</v>
      </c>
      <c r="N660" s="10" t="s">
        <v>3361</v>
      </c>
      <c r="O660" s="8" t="s">
        <v>322</v>
      </c>
      <c r="P660" s="8"/>
      <c r="Q660" s="8">
        <v>21483</v>
      </c>
      <c r="R660" s="8">
        <v>84536</v>
      </c>
      <c r="S660" s="8" t="s">
        <v>332</v>
      </c>
      <c r="T660" s="8"/>
      <c r="U660" s="8"/>
      <c r="V660" s="8"/>
      <c r="W660" s="8"/>
      <c r="X660" s="8"/>
      <c r="Y660" s="8"/>
      <c r="Z660" s="10" t="s">
        <v>3821</v>
      </c>
      <c r="AA660" s="8" t="s">
        <v>332</v>
      </c>
      <c r="AB660" s="8">
        <v>1</v>
      </c>
    </row>
    <row r="661" spans="1:28" ht="21.6" customHeight="1">
      <c r="A661" s="8">
        <v>147</v>
      </c>
      <c r="B661" s="8">
        <v>2025071298</v>
      </c>
      <c r="C661" s="8">
        <v>1</v>
      </c>
      <c r="D661" s="8" t="s">
        <v>3177</v>
      </c>
      <c r="E661" s="8" t="s">
        <v>118</v>
      </c>
      <c r="F661" s="8" t="s">
        <v>4210</v>
      </c>
      <c r="G661" s="8" t="s">
        <v>3204</v>
      </c>
      <c r="H661" s="8" t="s">
        <v>3427</v>
      </c>
      <c r="I661" s="8" t="s">
        <v>3365</v>
      </c>
      <c r="J661" s="8" t="s">
        <v>3195</v>
      </c>
      <c r="K661" s="8" t="s">
        <v>3183</v>
      </c>
      <c r="L661" s="10" t="s">
        <v>3366</v>
      </c>
      <c r="M661" s="10" t="s">
        <v>3367</v>
      </c>
      <c r="N661" s="10"/>
      <c r="O661" s="8" t="s">
        <v>322</v>
      </c>
      <c r="P661" s="8"/>
      <c r="Q661" s="8">
        <v>2000</v>
      </c>
      <c r="R661" s="8">
        <v>40000</v>
      </c>
      <c r="S661" s="8" t="s">
        <v>332</v>
      </c>
      <c r="T661" s="8"/>
      <c r="U661" s="8"/>
      <c r="V661" s="8"/>
      <c r="W661" s="8"/>
      <c r="X661" s="8"/>
      <c r="Y661" s="8"/>
      <c r="Z661" s="10" t="s">
        <v>3821</v>
      </c>
      <c r="AA661" s="8" t="s">
        <v>332</v>
      </c>
      <c r="AB661" s="8">
        <v>1</v>
      </c>
    </row>
    <row r="662" spans="1:28" ht="21.6" customHeight="1">
      <c r="A662" s="8">
        <v>149</v>
      </c>
      <c r="B662" s="8">
        <v>2025071457</v>
      </c>
      <c r="C662" s="8">
        <v>1</v>
      </c>
      <c r="D662" s="8" t="s">
        <v>3177</v>
      </c>
      <c r="E662" s="8" t="s">
        <v>118</v>
      </c>
      <c r="F662" s="8" t="s">
        <v>4232</v>
      </c>
      <c r="G662" s="8" t="s">
        <v>3204</v>
      </c>
      <c r="H662" s="8" t="s">
        <v>3427</v>
      </c>
      <c r="I662" s="8" t="s">
        <v>3365</v>
      </c>
      <c r="J662" s="8" t="s">
        <v>3195</v>
      </c>
      <c r="K662" s="8" t="s">
        <v>3183</v>
      </c>
      <c r="L662" s="10" t="s">
        <v>3366</v>
      </c>
      <c r="M662" s="10" t="s">
        <v>3367</v>
      </c>
      <c r="N662" s="10"/>
      <c r="O662" s="8" t="s">
        <v>322</v>
      </c>
      <c r="P662" s="8"/>
      <c r="Q662" s="8">
        <v>2000</v>
      </c>
      <c r="R662" s="8">
        <v>40000</v>
      </c>
      <c r="S662" s="8"/>
      <c r="T662" s="8"/>
      <c r="U662" s="8"/>
      <c r="V662" s="8"/>
      <c r="W662" s="8" t="s">
        <v>332</v>
      </c>
      <c r="X662" s="8"/>
      <c r="Y662" s="8"/>
      <c r="Z662" s="10" t="s">
        <v>3816</v>
      </c>
      <c r="AA662" s="8" t="s">
        <v>332</v>
      </c>
      <c r="AB662" s="8">
        <v>1</v>
      </c>
    </row>
    <row r="663" spans="1:28" ht="21.6" customHeight="1">
      <c r="A663" s="8">
        <v>150</v>
      </c>
      <c r="B663" s="8">
        <v>2025072440</v>
      </c>
      <c r="C663" s="8">
        <v>1</v>
      </c>
      <c r="D663" s="8" t="s">
        <v>3177</v>
      </c>
      <c r="E663" s="8" t="s">
        <v>118</v>
      </c>
      <c r="F663" s="8" t="s">
        <v>4201</v>
      </c>
      <c r="G663" s="8" t="s">
        <v>3250</v>
      </c>
      <c r="H663" s="8" t="s">
        <v>3608</v>
      </c>
      <c r="I663" s="8" t="s">
        <v>3365</v>
      </c>
      <c r="J663" s="8" t="s">
        <v>3195</v>
      </c>
      <c r="K663" s="8" t="s">
        <v>3183</v>
      </c>
      <c r="L663" s="10" t="s">
        <v>3366</v>
      </c>
      <c r="M663" s="10" t="s">
        <v>3367</v>
      </c>
      <c r="N663" s="10"/>
      <c r="O663" s="8" t="s">
        <v>363</v>
      </c>
      <c r="P663" s="8"/>
      <c r="Q663" s="8">
        <v>2000</v>
      </c>
      <c r="R663" s="8">
        <v>40000</v>
      </c>
      <c r="S663" s="8"/>
      <c r="T663" s="8"/>
      <c r="U663" s="8"/>
      <c r="V663" s="8"/>
      <c r="W663" s="8"/>
      <c r="X663" s="8"/>
      <c r="Y663" s="8"/>
      <c r="Z663" s="10" t="s">
        <v>4235</v>
      </c>
      <c r="AA663" s="8" t="s">
        <v>332</v>
      </c>
      <c r="AB663" s="8">
        <v>1</v>
      </c>
    </row>
    <row r="664" spans="1:28" ht="21.6" customHeight="1">
      <c r="A664" s="8">
        <v>151</v>
      </c>
      <c r="B664" s="8">
        <v>2025071354</v>
      </c>
      <c r="C664" s="8">
        <v>1</v>
      </c>
      <c r="D664" s="8" t="s">
        <v>3177</v>
      </c>
      <c r="E664" s="8" t="s">
        <v>118</v>
      </c>
      <c r="F664" s="8" t="s">
        <v>4232</v>
      </c>
      <c r="G664" s="8" t="s">
        <v>3280</v>
      </c>
      <c r="H664" s="8" t="s">
        <v>3363</v>
      </c>
      <c r="I664" s="8" t="s">
        <v>3370</v>
      </c>
      <c r="J664" s="8" t="s">
        <v>3195</v>
      </c>
      <c r="K664" s="8" t="s">
        <v>3183</v>
      </c>
      <c r="L664" s="10" t="s">
        <v>3371</v>
      </c>
      <c r="M664" s="10" t="s">
        <v>3372</v>
      </c>
      <c r="N664" s="10" t="s">
        <v>3373</v>
      </c>
      <c r="O664" s="8" t="s">
        <v>322</v>
      </c>
      <c r="P664" s="8"/>
      <c r="Q664" s="8">
        <v>15218</v>
      </c>
      <c r="R664" s="8">
        <v>135890</v>
      </c>
      <c r="S664" s="8" t="s">
        <v>332</v>
      </c>
      <c r="T664" s="8"/>
      <c r="U664" s="8"/>
      <c r="V664" s="8"/>
      <c r="W664" s="8"/>
      <c r="X664" s="8"/>
      <c r="Y664" s="8"/>
      <c r="Z664" s="10" t="s">
        <v>3696</v>
      </c>
      <c r="AA664" s="8" t="s">
        <v>332</v>
      </c>
      <c r="AB664" s="8">
        <v>1</v>
      </c>
    </row>
    <row r="665" spans="1:28" ht="21.6" customHeight="1">
      <c r="A665" s="8">
        <v>153</v>
      </c>
      <c r="B665" s="8">
        <v>2025071151</v>
      </c>
      <c r="C665" s="8">
        <v>1</v>
      </c>
      <c r="D665" s="8" t="s">
        <v>3177</v>
      </c>
      <c r="E665" s="8" t="s">
        <v>118</v>
      </c>
      <c r="F665" s="8" t="s">
        <v>4236</v>
      </c>
      <c r="G665" s="8" t="s">
        <v>3357</v>
      </c>
      <c r="H665" s="8" t="s">
        <v>3342</v>
      </c>
      <c r="I665" s="8" t="s">
        <v>4237</v>
      </c>
      <c r="J665" s="8" t="s">
        <v>3195</v>
      </c>
      <c r="K665" s="8" t="s">
        <v>3183</v>
      </c>
      <c r="L665" s="10" t="s">
        <v>4080</v>
      </c>
      <c r="M665" s="10" t="s">
        <v>4081</v>
      </c>
      <c r="N665" s="10" t="s">
        <v>4238</v>
      </c>
      <c r="O665" s="8" t="s">
        <v>3190</v>
      </c>
      <c r="P665" s="8"/>
      <c r="Q665" s="8">
        <v>25927</v>
      </c>
      <c r="R665" s="8">
        <v>43222</v>
      </c>
      <c r="S665" s="8"/>
      <c r="T665" s="8"/>
      <c r="U665" s="8"/>
      <c r="V665" s="8"/>
      <c r="W665" s="8"/>
      <c r="X665" s="8"/>
      <c r="Y665" s="8"/>
      <c r="Z665" s="10" t="s">
        <v>3821</v>
      </c>
      <c r="AA665" s="8" t="s">
        <v>332</v>
      </c>
      <c r="AB665" s="8">
        <v>1</v>
      </c>
    </row>
    <row r="666" spans="1:28" ht="21.6" customHeight="1">
      <c r="A666" s="8">
        <v>157</v>
      </c>
      <c r="B666" s="8">
        <v>2025071328</v>
      </c>
      <c r="C666" s="8">
        <v>1</v>
      </c>
      <c r="D666" s="8" t="s">
        <v>3177</v>
      </c>
      <c r="E666" s="8" t="s">
        <v>118</v>
      </c>
      <c r="F666" s="8" t="s">
        <v>4210</v>
      </c>
      <c r="G666" s="8" t="s">
        <v>3387</v>
      </c>
      <c r="H666" s="8" t="s">
        <v>4239</v>
      </c>
      <c r="I666" s="8" t="s">
        <v>3936</v>
      </c>
      <c r="J666" s="8" t="s">
        <v>3195</v>
      </c>
      <c r="K666" s="8" t="s">
        <v>3183</v>
      </c>
      <c r="L666" s="10" t="s">
        <v>3377</v>
      </c>
      <c r="M666" s="10" t="s">
        <v>3937</v>
      </c>
      <c r="N666" s="10" t="s">
        <v>3938</v>
      </c>
      <c r="O666" s="8" t="s">
        <v>363</v>
      </c>
      <c r="P666" s="8"/>
      <c r="Q666" s="8">
        <v>27102</v>
      </c>
      <c r="R666" s="8">
        <v>22864</v>
      </c>
      <c r="S666" s="8"/>
      <c r="T666" s="8"/>
      <c r="U666" s="8"/>
      <c r="V666" s="8"/>
      <c r="W666" s="8"/>
      <c r="X666" s="8"/>
      <c r="Y666" s="8"/>
      <c r="Z666" s="10" t="s">
        <v>4240</v>
      </c>
      <c r="AA666" s="8" t="s">
        <v>332</v>
      </c>
      <c r="AB666" s="8">
        <v>1</v>
      </c>
    </row>
    <row r="667" spans="1:28" ht="21.6" customHeight="1">
      <c r="A667" s="8">
        <v>166</v>
      </c>
      <c r="B667" s="8">
        <v>2025070514</v>
      </c>
      <c r="C667" s="8">
        <v>1</v>
      </c>
      <c r="D667" s="8" t="s">
        <v>3177</v>
      </c>
      <c r="E667" s="8" t="s">
        <v>118</v>
      </c>
      <c r="F667" s="8" t="s">
        <v>4241</v>
      </c>
      <c r="G667" s="8" t="s">
        <v>3363</v>
      </c>
      <c r="H667" s="8" t="s">
        <v>3233</v>
      </c>
      <c r="I667" s="8" t="s">
        <v>3382</v>
      </c>
      <c r="J667" s="8" t="s">
        <v>3224</v>
      </c>
      <c r="K667" s="8" t="s">
        <v>3183</v>
      </c>
      <c r="L667" s="10" t="s">
        <v>3383</v>
      </c>
      <c r="M667" s="10" t="s">
        <v>3384</v>
      </c>
      <c r="N667" s="10" t="s">
        <v>3385</v>
      </c>
      <c r="O667" s="8" t="s">
        <v>322</v>
      </c>
      <c r="P667" s="8">
        <v>6225</v>
      </c>
      <c r="Q667" s="8">
        <v>14455</v>
      </c>
      <c r="R667" s="8">
        <v>18221</v>
      </c>
      <c r="S667" s="8" t="s">
        <v>332</v>
      </c>
      <c r="T667" s="8"/>
      <c r="U667" s="8"/>
      <c r="V667" s="8"/>
      <c r="W667" s="8"/>
      <c r="X667" s="8"/>
      <c r="Y667" s="8"/>
      <c r="Z667" s="10" t="s">
        <v>3821</v>
      </c>
      <c r="AA667" s="8" t="s">
        <v>332</v>
      </c>
      <c r="AB667" s="8">
        <v>1</v>
      </c>
    </row>
    <row r="668" spans="1:28" ht="21.6" customHeight="1">
      <c r="A668" s="8">
        <v>168</v>
      </c>
      <c r="B668" s="8">
        <v>2025073518</v>
      </c>
      <c r="C668" s="8">
        <v>1</v>
      </c>
      <c r="D668" s="8" t="s">
        <v>3177</v>
      </c>
      <c r="E668" s="8" t="s">
        <v>118</v>
      </c>
      <c r="F668" s="8" t="s">
        <v>4242</v>
      </c>
      <c r="G668" s="8" t="s">
        <v>3363</v>
      </c>
      <c r="H668" s="8" t="s">
        <v>4243</v>
      </c>
      <c r="I668" s="8" t="s">
        <v>3382</v>
      </c>
      <c r="J668" s="8" t="s">
        <v>3224</v>
      </c>
      <c r="K668" s="8" t="s">
        <v>3183</v>
      </c>
      <c r="L668" s="10" t="s">
        <v>3383</v>
      </c>
      <c r="M668" s="10" t="s">
        <v>3384</v>
      </c>
      <c r="N668" s="10" t="s">
        <v>3385</v>
      </c>
      <c r="O668" s="8" t="s">
        <v>322</v>
      </c>
      <c r="P668" s="8">
        <v>6225</v>
      </c>
      <c r="Q668" s="8">
        <v>14455</v>
      </c>
      <c r="R668" s="8">
        <v>18221</v>
      </c>
      <c r="S668" s="8"/>
      <c r="T668" s="8"/>
      <c r="U668" s="8"/>
      <c r="V668" s="8"/>
      <c r="W668" s="8"/>
      <c r="X668" s="8"/>
      <c r="Y668" s="8" t="s">
        <v>332</v>
      </c>
      <c r="Z668" s="10" t="s">
        <v>4244</v>
      </c>
      <c r="AA668" s="8" t="s">
        <v>332</v>
      </c>
      <c r="AB668" s="8">
        <v>1</v>
      </c>
    </row>
    <row r="669" spans="1:28" ht="21.6" customHeight="1">
      <c r="A669" s="8">
        <v>169</v>
      </c>
      <c r="B669" s="8">
        <v>2025070512</v>
      </c>
      <c r="C669" s="8">
        <v>1</v>
      </c>
      <c r="D669" s="8" t="s">
        <v>3177</v>
      </c>
      <c r="E669" s="8" t="s">
        <v>118</v>
      </c>
      <c r="F669" s="8" t="s">
        <v>4241</v>
      </c>
      <c r="G669" s="8" t="s">
        <v>3280</v>
      </c>
      <c r="H669" s="8" t="s">
        <v>3363</v>
      </c>
      <c r="I669" s="8" t="s">
        <v>3683</v>
      </c>
      <c r="J669" s="8" t="s">
        <v>3224</v>
      </c>
      <c r="K669" s="8" t="s">
        <v>3183</v>
      </c>
      <c r="L669" s="10" t="s">
        <v>3383</v>
      </c>
      <c r="M669" s="10" t="s">
        <v>3684</v>
      </c>
      <c r="N669" s="10" t="s">
        <v>3685</v>
      </c>
      <c r="O669" s="8" t="s">
        <v>322</v>
      </c>
      <c r="P669" s="8">
        <v>1696</v>
      </c>
      <c r="Q669" s="8">
        <v>2263</v>
      </c>
      <c r="R669" s="8">
        <v>5390</v>
      </c>
      <c r="S669" s="8" t="s">
        <v>332</v>
      </c>
      <c r="T669" s="8"/>
      <c r="U669" s="8"/>
      <c r="V669" s="8"/>
      <c r="W669" s="8"/>
      <c r="X669" s="8"/>
      <c r="Y669" s="8"/>
      <c r="Z669" s="10" t="s">
        <v>3821</v>
      </c>
      <c r="AA669" s="8" t="s">
        <v>332</v>
      </c>
      <c r="AB669" s="8">
        <v>1</v>
      </c>
    </row>
    <row r="670" spans="1:28" ht="21.6" customHeight="1">
      <c r="A670" s="8">
        <v>171</v>
      </c>
      <c r="B670" s="8">
        <v>2025071293</v>
      </c>
      <c r="C670" s="8">
        <v>1</v>
      </c>
      <c r="D670" s="8" t="s">
        <v>3177</v>
      </c>
      <c r="E670" s="8" t="s">
        <v>118</v>
      </c>
      <c r="F670" s="8" t="s">
        <v>4210</v>
      </c>
      <c r="G670" s="8" t="s">
        <v>3368</v>
      </c>
      <c r="H670" s="8" t="s">
        <v>3250</v>
      </c>
      <c r="I670" s="8" t="s">
        <v>3689</v>
      </c>
      <c r="J670" s="8" t="s">
        <v>3224</v>
      </c>
      <c r="K670" s="8" t="s">
        <v>3183</v>
      </c>
      <c r="L670" s="10" t="s">
        <v>3344</v>
      </c>
      <c r="M670" s="10" t="s">
        <v>3345</v>
      </c>
      <c r="N670" s="10" t="s">
        <v>3497</v>
      </c>
      <c r="O670" s="8" t="s">
        <v>322</v>
      </c>
      <c r="P670" s="8"/>
      <c r="Q670" s="8">
        <v>600</v>
      </c>
      <c r="R670" s="8">
        <v>9000</v>
      </c>
      <c r="S670" s="8" t="s">
        <v>332</v>
      </c>
      <c r="T670" s="8"/>
      <c r="U670" s="8"/>
      <c r="V670" s="8"/>
      <c r="W670" s="8"/>
      <c r="X670" s="8"/>
      <c r="Y670" s="8"/>
      <c r="Z670" s="10" t="s">
        <v>3821</v>
      </c>
      <c r="AA670" s="8" t="s">
        <v>332</v>
      </c>
      <c r="AB670" s="8">
        <v>1</v>
      </c>
    </row>
    <row r="671" spans="1:28" ht="21.6" customHeight="1">
      <c r="A671" s="8">
        <v>173</v>
      </c>
      <c r="B671" s="8">
        <v>2025072274</v>
      </c>
      <c r="C671" s="8">
        <v>1</v>
      </c>
      <c r="D671" s="8" t="s">
        <v>3177</v>
      </c>
      <c r="E671" s="8" t="s">
        <v>118</v>
      </c>
      <c r="F671" s="8" t="s">
        <v>4198</v>
      </c>
      <c r="G671" s="8" t="s">
        <v>3387</v>
      </c>
      <c r="H671" s="8" t="s">
        <v>4221</v>
      </c>
      <c r="I671" s="8" t="s">
        <v>3689</v>
      </c>
      <c r="J671" s="8" t="s">
        <v>3224</v>
      </c>
      <c r="K671" s="8" t="s">
        <v>3183</v>
      </c>
      <c r="L671" s="10" t="s">
        <v>3344</v>
      </c>
      <c r="M671" s="10" t="s">
        <v>3345</v>
      </c>
      <c r="N671" s="10" t="s">
        <v>3497</v>
      </c>
      <c r="O671" s="8" t="s">
        <v>363</v>
      </c>
      <c r="P671" s="8"/>
      <c r="Q671" s="8">
        <v>600</v>
      </c>
      <c r="R671" s="8">
        <v>9000</v>
      </c>
      <c r="S671" s="8"/>
      <c r="T671" s="8"/>
      <c r="U671" s="8"/>
      <c r="V671" s="8"/>
      <c r="W671" s="8"/>
      <c r="X671" s="8"/>
      <c r="Y671" s="8"/>
      <c r="Z671" s="10" t="s">
        <v>4245</v>
      </c>
      <c r="AA671" s="8" t="s">
        <v>332</v>
      </c>
      <c r="AB671" s="8">
        <v>1</v>
      </c>
    </row>
    <row r="672" spans="1:28" ht="21.6" customHeight="1">
      <c r="A672" s="8">
        <v>174</v>
      </c>
      <c r="B672" s="8">
        <v>2025070516</v>
      </c>
      <c r="C672" s="8">
        <v>1</v>
      </c>
      <c r="D672" s="8" t="s">
        <v>3177</v>
      </c>
      <c r="E672" s="8" t="s">
        <v>118</v>
      </c>
      <c r="F672" s="8" t="s">
        <v>4241</v>
      </c>
      <c r="G672" s="8" t="s">
        <v>3233</v>
      </c>
      <c r="H672" s="8" t="s">
        <v>3381</v>
      </c>
      <c r="I672" s="8" t="s">
        <v>3940</v>
      </c>
      <c r="J672" s="8" t="s">
        <v>3224</v>
      </c>
      <c r="K672" s="8" t="s">
        <v>3183</v>
      </c>
      <c r="L672" s="10" t="s">
        <v>3383</v>
      </c>
      <c r="M672" s="10" t="s">
        <v>3941</v>
      </c>
      <c r="N672" s="10" t="s">
        <v>3942</v>
      </c>
      <c r="O672" s="8" t="s">
        <v>322</v>
      </c>
      <c r="P672" s="8">
        <v>43</v>
      </c>
      <c r="Q672" s="8">
        <v>575</v>
      </c>
      <c r="R672" s="8">
        <v>1909</v>
      </c>
      <c r="S672" s="8" t="s">
        <v>332</v>
      </c>
      <c r="T672" s="8"/>
      <c r="U672" s="8"/>
      <c r="V672" s="8"/>
      <c r="W672" s="8"/>
      <c r="X672" s="8"/>
      <c r="Y672" s="8"/>
      <c r="Z672" s="10" t="s">
        <v>3821</v>
      </c>
      <c r="AA672" s="8" t="s">
        <v>332</v>
      </c>
      <c r="AB672" s="8">
        <v>1</v>
      </c>
    </row>
    <row r="673" spans="1:28" ht="21.6" customHeight="1">
      <c r="A673" s="8">
        <v>176</v>
      </c>
      <c r="B673" s="8">
        <v>2025070099</v>
      </c>
      <c r="C673" s="8">
        <v>1</v>
      </c>
      <c r="D673" s="8" t="s">
        <v>3177</v>
      </c>
      <c r="E673" s="8" t="s">
        <v>118</v>
      </c>
      <c r="F673" s="8" t="s">
        <v>4131</v>
      </c>
      <c r="G673" s="8" t="s">
        <v>3280</v>
      </c>
      <c r="H673" s="8" t="s">
        <v>3363</v>
      </c>
      <c r="I673" s="8" t="s">
        <v>4158</v>
      </c>
      <c r="J673" s="8" t="s">
        <v>3224</v>
      </c>
      <c r="K673" s="8" t="s">
        <v>3183</v>
      </c>
      <c r="L673" s="10" t="s">
        <v>3550</v>
      </c>
      <c r="M673" s="10" t="s">
        <v>4159</v>
      </c>
      <c r="N673" s="10" t="s">
        <v>3701</v>
      </c>
      <c r="O673" s="8" t="s">
        <v>3190</v>
      </c>
      <c r="P673" s="8"/>
      <c r="Q673" s="8">
        <v>187</v>
      </c>
      <c r="R673" s="8">
        <v>6434</v>
      </c>
      <c r="S673" s="8"/>
      <c r="T673" s="8"/>
      <c r="U673" s="8"/>
      <c r="V673" s="8"/>
      <c r="W673" s="8"/>
      <c r="X673" s="8"/>
      <c r="Y673" s="8"/>
      <c r="Z673" s="10" t="s">
        <v>3821</v>
      </c>
      <c r="AA673" s="8" t="s">
        <v>332</v>
      </c>
      <c r="AB673" s="8">
        <v>1</v>
      </c>
    </row>
    <row r="674" spans="1:28" ht="21.6" customHeight="1">
      <c r="A674" s="8">
        <v>178</v>
      </c>
      <c r="B674" s="8">
        <v>2025070500</v>
      </c>
      <c r="C674" s="8">
        <v>1</v>
      </c>
      <c r="D674" s="8" t="s">
        <v>3177</v>
      </c>
      <c r="E674" s="8" t="s">
        <v>118</v>
      </c>
      <c r="F674" s="8" t="s">
        <v>4241</v>
      </c>
      <c r="G674" s="8" t="s">
        <v>3350</v>
      </c>
      <c r="H674" s="8" t="s">
        <v>3396</v>
      </c>
      <c r="I674" s="8" t="s">
        <v>4158</v>
      </c>
      <c r="J674" s="8" t="s">
        <v>3224</v>
      </c>
      <c r="K674" s="8" t="s">
        <v>3183</v>
      </c>
      <c r="L674" s="10" t="s">
        <v>3550</v>
      </c>
      <c r="M674" s="10" t="s">
        <v>4159</v>
      </c>
      <c r="N674" s="10" t="s">
        <v>3701</v>
      </c>
      <c r="O674" s="8" t="s">
        <v>322</v>
      </c>
      <c r="P674" s="8"/>
      <c r="Q674" s="8">
        <v>187</v>
      </c>
      <c r="R674" s="8">
        <v>6434</v>
      </c>
      <c r="S674" s="8"/>
      <c r="T674" s="8"/>
      <c r="U674" s="8" t="s">
        <v>332</v>
      </c>
      <c r="V674" s="8"/>
      <c r="W674" s="8"/>
      <c r="X674" s="8"/>
      <c r="Y674" s="8"/>
      <c r="Z674" s="10" t="s">
        <v>3362</v>
      </c>
      <c r="AA674" s="8" t="s">
        <v>332</v>
      </c>
      <c r="AB674" s="8">
        <v>1</v>
      </c>
    </row>
    <row r="675" spans="1:28" ht="21.6" customHeight="1">
      <c r="A675" s="8">
        <v>179</v>
      </c>
      <c r="B675" s="8">
        <v>2025071980</v>
      </c>
      <c r="C675" s="8">
        <v>1</v>
      </c>
      <c r="D675" s="8" t="s">
        <v>3177</v>
      </c>
      <c r="E675" s="8" t="s">
        <v>118</v>
      </c>
      <c r="F675" s="8" t="s">
        <v>4246</v>
      </c>
      <c r="G675" s="8" t="s">
        <v>3350</v>
      </c>
      <c r="H675" s="8" t="s">
        <v>3363</v>
      </c>
      <c r="I675" s="8" t="s">
        <v>4158</v>
      </c>
      <c r="J675" s="8" t="s">
        <v>3224</v>
      </c>
      <c r="K675" s="8" t="s">
        <v>3183</v>
      </c>
      <c r="L675" s="10" t="s">
        <v>3550</v>
      </c>
      <c r="M675" s="10" t="s">
        <v>4159</v>
      </c>
      <c r="N675" s="10" t="s">
        <v>3701</v>
      </c>
      <c r="O675" s="8" t="s">
        <v>363</v>
      </c>
      <c r="P675" s="8"/>
      <c r="Q675" s="8">
        <v>277</v>
      </c>
      <c r="R675" s="8">
        <v>12858</v>
      </c>
      <c r="S675" s="8"/>
      <c r="T675" s="8"/>
      <c r="U675" s="8"/>
      <c r="V675" s="8"/>
      <c r="W675" s="8"/>
      <c r="X675" s="8"/>
      <c r="Y675" s="8"/>
      <c r="Z675" s="10" t="s">
        <v>4247</v>
      </c>
      <c r="AA675" s="8" t="s">
        <v>332</v>
      </c>
      <c r="AB675" s="8">
        <v>1</v>
      </c>
    </row>
    <row r="676" spans="1:28" ht="21.6" customHeight="1">
      <c r="A676" s="8">
        <v>180</v>
      </c>
      <c r="B676" s="8">
        <v>2025070383</v>
      </c>
      <c r="C676" s="8">
        <v>1</v>
      </c>
      <c r="D676" s="8" t="s">
        <v>3177</v>
      </c>
      <c r="E676" s="8" t="s">
        <v>118</v>
      </c>
      <c r="F676" s="8" t="s">
        <v>4248</v>
      </c>
      <c r="G676" s="8" t="s">
        <v>3368</v>
      </c>
      <c r="H676" s="8" t="s">
        <v>3204</v>
      </c>
      <c r="I676" s="8" t="s">
        <v>4249</v>
      </c>
      <c r="J676" s="8" t="s">
        <v>3253</v>
      </c>
      <c r="K676" s="8" t="s">
        <v>3183</v>
      </c>
      <c r="L676" s="10" t="s">
        <v>3254</v>
      </c>
      <c r="M676" s="10" t="s">
        <v>4250</v>
      </c>
      <c r="N676" s="10" t="s">
        <v>4251</v>
      </c>
      <c r="O676" s="8" t="s">
        <v>363</v>
      </c>
      <c r="P676" s="8"/>
      <c r="Q676" s="8"/>
      <c r="R676" s="8">
        <v>30197</v>
      </c>
      <c r="S676" s="8"/>
      <c r="T676" s="8"/>
      <c r="U676" s="8"/>
      <c r="V676" s="8"/>
      <c r="W676" s="8"/>
      <c r="X676" s="8"/>
      <c r="Y676" s="8"/>
      <c r="Z676" s="10" t="s">
        <v>4252</v>
      </c>
      <c r="AA676" s="8" t="s">
        <v>332</v>
      </c>
      <c r="AB676" s="8">
        <v>1</v>
      </c>
    </row>
    <row r="677" spans="1:28" ht="21.6" customHeight="1">
      <c r="A677" s="8">
        <v>181</v>
      </c>
      <c r="B677" s="8">
        <v>2025071685</v>
      </c>
      <c r="C677" s="8">
        <v>1</v>
      </c>
      <c r="D677" s="8" t="s">
        <v>3177</v>
      </c>
      <c r="E677" s="8" t="s">
        <v>118</v>
      </c>
      <c r="F677" s="8" t="s">
        <v>4199</v>
      </c>
      <c r="G677" s="8" t="s">
        <v>3204</v>
      </c>
      <c r="H677" s="8" t="s">
        <v>3693</v>
      </c>
      <c r="I677" s="8" t="s">
        <v>3944</v>
      </c>
      <c r="J677" s="8" t="s">
        <v>3253</v>
      </c>
      <c r="K677" s="8" t="s">
        <v>3183</v>
      </c>
      <c r="L677" s="10" t="s">
        <v>3254</v>
      </c>
      <c r="M677" s="10" t="s">
        <v>3945</v>
      </c>
      <c r="N677" s="10" t="s">
        <v>3946</v>
      </c>
      <c r="O677" s="8" t="s">
        <v>322</v>
      </c>
      <c r="P677" s="8"/>
      <c r="Q677" s="8"/>
      <c r="R677" s="8">
        <v>64953</v>
      </c>
      <c r="S677" s="8"/>
      <c r="T677" s="8"/>
      <c r="U677" s="8"/>
      <c r="V677" s="8"/>
      <c r="W677" s="8"/>
      <c r="X677" s="8"/>
      <c r="Y677" s="8" t="s">
        <v>332</v>
      </c>
      <c r="Z677" s="10" t="s">
        <v>4253</v>
      </c>
      <c r="AA677" s="8" t="s">
        <v>332</v>
      </c>
      <c r="AB677" s="8">
        <v>1</v>
      </c>
    </row>
    <row r="678" spans="1:28" ht="21.6" customHeight="1">
      <c r="A678" s="8">
        <v>182</v>
      </c>
      <c r="B678" s="8">
        <v>2025070421</v>
      </c>
      <c r="C678" s="8">
        <v>1</v>
      </c>
      <c r="D678" s="8" t="s">
        <v>3177</v>
      </c>
      <c r="E678" s="8" t="s">
        <v>118</v>
      </c>
      <c r="F678" s="8" t="s">
        <v>4248</v>
      </c>
      <c r="G678" s="8" t="s">
        <v>3848</v>
      </c>
      <c r="H678" s="8" t="s">
        <v>3588</v>
      </c>
      <c r="I678" s="8" t="s">
        <v>3397</v>
      </c>
      <c r="J678" s="8" t="s">
        <v>3253</v>
      </c>
      <c r="K678" s="8" t="s">
        <v>3183</v>
      </c>
      <c r="L678" s="10" t="s">
        <v>3398</v>
      </c>
      <c r="M678" s="10" t="s">
        <v>3399</v>
      </c>
      <c r="N678" s="10" t="s">
        <v>3400</v>
      </c>
      <c r="O678" s="8" t="s">
        <v>322</v>
      </c>
      <c r="P678" s="8"/>
      <c r="Q678" s="8"/>
      <c r="R678" s="8">
        <v>386856</v>
      </c>
      <c r="S678" s="8"/>
      <c r="T678" s="8"/>
      <c r="U678" s="8" t="s">
        <v>332</v>
      </c>
      <c r="V678" s="8"/>
      <c r="W678" s="8"/>
      <c r="X678" s="8"/>
      <c r="Y678" s="8"/>
      <c r="Z678" s="10" t="s">
        <v>3362</v>
      </c>
      <c r="AA678" s="8" t="s">
        <v>332</v>
      </c>
      <c r="AB678" s="8">
        <v>1</v>
      </c>
    </row>
    <row r="679" spans="1:28" ht="21.6" customHeight="1">
      <c r="A679" s="8">
        <v>183</v>
      </c>
      <c r="B679" s="8">
        <v>2025070739</v>
      </c>
      <c r="C679" s="8">
        <v>1</v>
      </c>
      <c r="D679" s="8" t="s">
        <v>3177</v>
      </c>
      <c r="E679" s="8" t="s">
        <v>118</v>
      </c>
      <c r="F679" s="8" t="s">
        <v>4233</v>
      </c>
      <c r="G679" s="8" t="s">
        <v>3368</v>
      </c>
      <c r="H679" s="8" t="s">
        <v>4031</v>
      </c>
      <c r="I679" s="8" t="s">
        <v>3397</v>
      </c>
      <c r="J679" s="8" t="s">
        <v>3253</v>
      </c>
      <c r="K679" s="8" t="s">
        <v>3183</v>
      </c>
      <c r="L679" s="10" t="s">
        <v>3398</v>
      </c>
      <c r="M679" s="10" t="s">
        <v>3399</v>
      </c>
      <c r="N679" s="10" t="s">
        <v>3400</v>
      </c>
      <c r="O679" s="8" t="s">
        <v>322</v>
      </c>
      <c r="P679" s="8"/>
      <c r="Q679" s="8"/>
      <c r="R679" s="8">
        <v>390849</v>
      </c>
      <c r="S679" s="8" t="s">
        <v>332</v>
      </c>
      <c r="T679" s="8"/>
      <c r="U679" s="8"/>
      <c r="V679" s="8"/>
      <c r="W679" s="8"/>
      <c r="X679" s="8"/>
      <c r="Y679" s="8"/>
      <c r="Z679" s="10" t="s">
        <v>3821</v>
      </c>
      <c r="AA679" s="8" t="s">
        <v>332</v>
      </c>
      <c r="AB679" s="8">
        <v>1</v>
      </c>
    </row>
    <row r="680" spans="1:28" ht="21.6" customHeight="1">
      <c r="A680" s="8">
        <v>185</v>
      </c>
      <c r="B680" s="8">
        <v>2025072342</v>
      </c>
      <c r="C680" s="8">
        <v>1</v>
      </c>
      <c r="D680" s="8" t="s">
        <v>3177</v>
      </c>
      <c r="E680" s="8" t="s">
        <v>118</v>
      </c>
      <c r="F680" s="8" t="s">
        <v>4201</v>
      </c>
      <c r="G680" s="8" t="s">
        <v>3357</v>
      </c>
      <c r="H680" s="8" t="s">
        <v>3767</v>
      </c>
      <c r="I680" s="8" t="s">
        <v>3397</v>
      </c>
      <c r="J680" s="8" t="s">
        <v>3253</v>
      </c>
      <c r="K680" s="8" t="s">
        <v>3183</v>
      </c>
      <c r="L680" s="10" t="s">
        <v>3398</v>
      </c>
      <c r="M680" s="10" t="s">
        <v>3399</v>
      </c>
      <c r="N680" s="10" t="s">
        <v>3400</v>
      </c>
      <c r="O680" s="8" t="s">
        <v>363</v>
      </c>
      <c r="P680" s="8"/>
      <c r="Q680" s="8"/>
      <c r="R680" s="8">
        <v>390849</v>
      </c>
      <c r="S680" s="8"/>
      <c r="T680" s="8"/>
      <c r="U680" s="8"/>
      <c r="V680" s="8"/>
      <c r="W680" s="8"/>
      <c r="X680" s="8"/>
      <c r="Y680" s="8"/>
      <c r="Z680" s="10" t="s">
        <v>4254</v>
      </c>
      <c r="AA680" s="8" t="s">
        <v>332</v>
      </c>
      <c r="AB680" s="8">
        <v>1</v>
      </c>
    </row>
    <row r="681" spans="1:28" ht="21.6" customHeight="1">
      <c r="A681" s="8">
        <v>186</v>
      </c>
      <c r="B681" s="8">
        <v>2025070747</v>
      </c>
      <c r="C681" s="8">
        <v>1</v>
      </c>
      <c r="D681" s="8" t="s">
        <v>3177</v>
      </c>
      <c r="E681" s="8" t="s">
        <v>118</v>
      </c>
      <c r="F681" s="8" t="s">
        <v>4233</v>
      </c>
      <c r="G681" s="8" t="s">
        <v>3329</v>
      </c>
      <c r="H681" s="8" t="s">
        <v>3654</v>
      </c>
      <c r="I681" s="8" t="s">
        <v>3404</v>
      </c>
      <c r="J681" s="8" t="s">
        <v>3253</v>
      </c>
      <c r="K681" s="8" t="s">
        <v>3183</v>
      </c>
      <c r="L681" s="10" t="s">
        <v>3398</v>
      </c>
      <c r="M681" s="10" t="s">
        <v>3405</v>
      </c>
      <c r="N681" s="10" t="s">
        <v>3406</v>
      </c>
      <c r="O681" s="8" t="s">
        <v>322</v>
      </c>
      <c r="P681" s="8"/>
      <c r="Q681" s="8"/>
      <c r="R681" s="8">
        <v>163873</v>
      </c>
      <c r="S681" s="8" t="s">
        <v>332</v>
      </c>
      <c r="T681" s="8"/>
      <c r="U681" s="8"/>
      <c r="V681" s="8"/>
      <c r="W681" s="8"/>
      <c r="X681" s="8"/>
      <c r="Y681" s="8"/>
      <c r="Z681" s="10" t="s">
        <v>3821</v>
      </c>
      <c r="AA681" s="8" t="s">
        <v>332</v>
      </c>
      <c r="AB681" s="8">
        <v>1</v>
      </c>
    </row>
    <row r="682" spans="1:28" ht="21.6" customHeight="1">
      <c r="A682" s="8">
        <v>188</v>
      </c>
      <c r="B682" s="8">
        <v>2025072773</v>
      </c>
      <c r="C682" s="8">
        <v>1</v>
      </c>
      <c r="D682" s="8" t="s">
        <v>3177</v>
      </c>
      <c r="E682" s="8" t="s">
        <v>118</v>
      </c>
      <c r="F682" s="8" t="s">
        <v>4225</v>
      </c>
      <c r="G682" s="8" t="s">
        <v>3280</v>
      </c>
      <c r="H682" s="8" t="s">
        <v>3363</v>
      </c>
      <c r="I682" s="8" t="s">
        <v>3408</v>
      </c>
      <c r="J682" s="8" t="s">
        <v>3253</v>
      </c>
      <c r="K682" s="8" t="s">
        <v>3183</v>
      </c>
      <c r="L682" s="10" t="s">
        <v>3409</v>
      </c>
      <c r="M682" s="10" t="s">
        <v>3410</v>
      </c>
      <c r="N682" s="10"/>
      <c r="O682" s="8" t="s">
        <v>322</v>
      </c>
      <c r="P682" s="8"/>
      <c r="Q682" s="8"/>
      <c r="R682" s="8">
        <v>322182</v>
      </c>
      <c r="S682" s="8" t="s">
        <v>332</v>
      </c>
      <c r="T682" s="8"/>
      <c r="U682" s="8"/>
      <c r="V682" s="8"/>
      <c r="W682" s="8"/>
      <c r="X682" s="8"/>
      <c r="Y682" s="8"/>
      <c r="Z682" s="10" t="s">
        <v>3821</v>
      </c>
      <c r="AA682" s="8" t="s">
        <v>332</v>
      </c>
      <c r="AB682" s="8">
        <v>1</v>
      </c>
    </row>
    <row r="683" spans="1:28" ht="21.6" customHeight="1">
      <c r="A683" s="8">
        <v>190</v>
      </c>
      <c r="B683" s="8">
        <v>2025073292</v>
      </c>
      <c r="C683" s="8">
        <v>1</v>
      </c>
      <c r="D683" s="8" t="s">
        <v>3177</v>
      </c>
      <c r="E683" s="8" t="s">
        <v>118</v>
      </c>
      <c r="F683" s="8" t="s">
        <v>4228</v>
      </c>
      <c r="G683" s="8" t="s">
        <v>3280</v>
      </c>
      <c r="H683" s="8" t="s">
        <v>3363</v>
      </c>
      <c r="I683" s="8" t="s">
        <v>3413</v>
      </c>
      <c r="J683" s="8" t="s">
        <v>3253</v>
      </c>
      <c r="K683" s="8" t="s">
        <v>3183</v>
      </c>
      <c r="L683" s="10" t="s">
        <v>3414</v>
      </c>
      <c r="M683" s="10" t="s">
        <v>3415</v>
      </c>
      <c r="N683" s="10"/>
      <c r="O683" s="8" t="s">
        <v>322</v>
      </c>
      <c r="P683" s="8"/>
      <c r="Q683" s="8"/>
      <c r="R683" s="8">
        <v>96600</v>
      </c>
      <c r="S683" s="8" t="s">
        <v>332</v>
      </c>
      <c r="T683" s="8"/>
      <c r="U683" s="8"/>
      <c r="V683" s="8"/>
      <c r="W683" s="8"/>
      <c r="X683" s="8"/>
      <c r="Y683" s="8"/>
      <c r="Z683" s="10" t="s">
        <v>3821</v>
      </c>
      <c r="AA683" s="8" t="s">
        <v>332</v>
      </c>
      <c r="AB683" s="8">
        <v>1</v>
      </c>
    </row>
    <row r="684" spans="1:28" ht="21.6" customHeight="1">
      <c r="A684" s="8">
        <v>197</v>
      </c>
      <c r="B684" s="8">
        <v>2025072056</v>
      </c>
      <c r="C684" s="8">
        <v>1</v>
      </c>
      <c r="D684" s="8" t="s">
        <v>3177</v>
      </c>
      <c r="E684" s="8" t="s">
        <v>118</v>
      </c>
      <c r="F684" s="8" t="s">
        <v>4211</v>
      </c>
      <c r="G684" s="8" t="s">
        <v>3204</v>
      </c>
      <c r="H684" s="8" t="s">
        <v>3386</v>
      </c>
      <c r="I684" s="8" t="s">
        <v>4255</v>
      </c>
      <c r="J684" s="8" t="s">
        <v>3253</v>
      </c>
      <c r="K684" s="8" t="s">
        <v>3183</v>
      </c>
      <c r="L684" s="10" t="s">
        <v>3254</v>
      </c>
      <c r="M684" s="10" t="s">
        <v>4256</v>
      </c>
      <c r="N684" s="10" t="s">
        <v>4257</v>
      </c>
      <c r="O684" s="8" t="s">
        <v>3190</v>
      </c>
      <c r="P684" s="8"/>
      <c r="Q684" s="8"/>
      <c r="R684" s="8">
        <v>9579</v>
      </c>
      <c r="S684" s="8"/>
      <c r="T684" s="8"/>
      <c r="U684" s="8"/>
      <c r="V684" s="8"/>
      <c r="W684" s="8"/>
      <c r="X684" s="8"/>
      <c r="Y684" s="8"/>
      <c r="Z684" s="10" t="s">
        <v>4258</v>
      </c>
      <c r="AA684" s="8" t="s">
        <v>332</v>
      </c>
      <c r="AB684" s="8">
        <v>1</v>
      </c>
    </row>
    <row r="685" spans="1:28" ht="21.6" customHeight="1">
      <c r="A685" s="8">
        <v>198</v>
      </c>
      <c r="B685" s="8">
        <v>2025072054</v>
      </c>
      <c r="C685" s="8">
        <v>1</v>
      </c>
      <c r="D685" s="8" t="s">
        <v>3177</v>
      </c>
      <c r="E685" s="8" t="s">
        <v>118</v>
      </c>
      <c r="F685" s="8" t="s">
        <v>4211</v>
      </c>
      <c r="G685" s="8" t="s">
        <v>3401</v>
      </c>
      <c r="H685" s="8" t="s">
        <v>3342</v>
      </c>
      <c r="I685" s="8" t="s">
        <v>3418</v>
      </c>
      <c r="J685" s="8" t="s">
        <v>3253</v>
      </c>
      <c r="K685" s="8" t="s">
        <v>3183</v>
      </c>
      <c r="L685" s="10" t="s">
        <v>3254</v>
      </c>
      <c r="M685" s="10" t="s">
        <v>3419</v>
      </c>
      <c r="N685" s="10" t="s">
        <v>3420</v>
      </c>
      <c r="O685" s="8" t="s">
        <v>3190</v>
      </c>
      <c r="P685" s="8"/>
      <c r="Q685" s="8"/>
      <c r="R685" s="8">
        <v>69050</v>
      </c>
      <c r="S685" s="8"/>
      <c r="T685" s="8"/>
      <c r="U685" s="8"/>
      <c r="V685" s="8"/>
      <c r="W685" s="8"/>
      <c r="X685" s="8"/>
      <c r="Y685" s="8"/>
      <c r="Z685" s="10" t="s">
        <v>4258</v>
      </c>
      <c r="AA685" s="8" t="s">
        <v>332</v>
      </c>
      <c r="AB685" s="8">
        <v>1</v>
      </c>
    </row>
    <row r="686" spans="1:28" ht="21.6" customHeight="1">
      <c r="A686" s="8">
        <v>199</v>
      </c>
      <c r="B686" s="8">
        <v>2025072053</v>
      </c>
      <c r="C686" s="8">
        <v>1</v>
      </c>
      <c r="D686" s="8" t="s">
        <v>3177</v>
      </c>
      <c r="E686" s="8" t="s">
        <v>118</v>
      </c>
      <c r="F686" s="8" t="s">
        <v>4211</v>
      </c>
      <c r="G686" s="8" t="s">
        <v>3233</v>
      </c>
      <c r="H686" s="8" t="s">
        <v>3401</v>
      </c>
      <c r="I686" s="8" t="s">
        <v>4259</v>
      </c>
      <c r="J686" s="8" t="s">
        <v>3253</v>
      </c>
      <c r="K686" s="8" t="s">
        <v>3183</v>
      </c>
      <c r="L686" s="10" t="s">
        <v>3254</v>
      </c>
      <c r="M686" s="10" t="s">
        <v>4260</v>
      </c>
      <c r="N686" s="10" t="s">
        <v>4261</v>
      </c>
      <c r="O686" s="8" t="s">
        <v>3190</v>
      </c>
      <c r="P686" s="8"/>
      <c r="Q686" s="8"/>
      <c r="R686" s="8">
        <v>4433</v>
      </c>
      <c r="S686" s="8"/>
      <c r="T686" s="8"/>
      <c r="U686" s="8"/>
      <c r="V686" s="8"/>
      <c r="W686" s="8"/>
      <c r="X686" s="8"/>
      <c r="Y686" s="8"/>
      <c r="Z686" s="10" t="s">
        <v>4258</v>
      </c>
      <c r="AA686" s="8" t="s">
        <v>332</v>
      </c>
      <c r="AB686" s="8">
        <v>1</v>
      </c>
    </row>
    <row r="687" spans="1:28" ht="21.6" customHeight="1">
      <c r="A687" s="8">
        <v>202</v>
      </c>
      <c r="B687" s="8">
        <v>2025070138</v>
      </c>
      <c r="C687" s="8">
        <v>1</v>
      </c>
      <c r="D687" s="8" t="s">
        <v>3177</v>
      </c>
      <c r="E687" s="8" t="s">
        <v>118</v>
      </c>
      <c r="F687" s="8" t="s">
        <v>4131</v>
      </c>
      <c r="G687" s="8" t="s">
        <v>3387</v>
      </c>
      <c r="H687" s="8" t="s">
        <v>3426</v>
      </c>
      <c r="I687" s="8" t="s">
        <v>3422</v>
      </c>
      <c r="J687" s="8" t="s">
        <v>3253</v>
      </c>
      <c r="K687" s="8" t="s">
        <v>3183</v>
      </c>
      <c r="L687" s="10" t="s">
        <v>3270</v>
      </c>
      <c r="M687" s="10" t="s">
        <v>3423</v>
      </c>
      <c r="N687" s="10" t="s">
        <v>3424</v>
      </c>
      <c r="O687" s="8" t="s">
        <v>322</v>
      </c>
      <c r="P687" s="8"/>
      <c r="Q687" s="8"/>
      <c r="R687" s="8">
        <v>45670</v>
      </c>
      <c r="S687" s="8" t="s">
        <v>332</v>
      </c>
      <c r="T687" s="8"/>
      <c r="U687" s="8"/>
      <c r="V687" s="8"/>
      <c r="W687" s="8"/>
      <c r="X687" s="8"/>
      <c r="Y687" s="8"/>
      <c r="Z687" s="10" t="s">
        <v>3821</v>
      </c>
      <c r="AA687" s="8" t="s">
        <v>332</v>
      </c>
      <c r="AB687" s="8">
        <v>1</v>
      </c>
    </row>
    <row r="688" spans="1:28" ht="21.6" customHeight="1">
      <c r="A688" s="8">
        <v>204</v>
      </c>
      <c r="B688" s="8">
        <v>2025071830</v>
      </c>
      <c r="C688" s="8">
        <v>1</v>
      </c>
      <c r="D688" s="8" t="s">
        <v>3177</v>
      </c>
      <c r="E688" s="8" t="s">
        <v>118</v>
      </c>
      <c r="F688" s="8" t="s">
        <v>4262</v>
      </c>
      <c r="G688" s="8" t="s">
        <v>3426</v>
      </c>
      <c r="H688" s="8" t="s">
        <v>4185</v>
      </c>
      <c r="I688" s="8" t="s">
        <v>3422</v>
      </c>
      <c r="J688" s="8" t="s">
        <v>3253</v>
      </c>
      <c r="K688" s="8" t="s">
        <v>3183</v>
      </c>
      <c r="L688" s="10" t="s">
        <v>3270</v>
      </c>
      <c r="M688" s="10" t="s">
        <v>3423</v>
      </c>
      <c r="N688" s="10" t="s">
        <v>3424</v>
      </c>
      <c r="O688" s="8" t="s">
        <v>363</v>
      </c>
      <c r="P688" s="8"/>
      <c r="Q688" s="8"/>
      <c r="R688" s="8">
        <v>45670</v>
      </c>
      <c r="S688" s="8"/>
      <c r="T688" s="8"/>
      <c r="U688" s="8"/>
      <c r="V688" s="8"/>
      <c r="W688" s="8"/>
      <c r="X688" s="8"/>
      <c r="Y688" s="8"/>
      <c r="Z688" s="10" t="s">
        <v>4263</v>
      </c>
      <c r="AA688" s="8" t="s">
        <v>332</v>
      </c>
      <c r="AB688" s="8">
        <v>1</v>
      </c>
    </row>
    <row r="689" spans="1:28" ht="21.6" customHeight="1">
      <c r="A689" s="8">
        <v>205</v>
      </c>
      <c r="B689" s="8">
        <v>2025070140</v>
      </c>
      <c r="C689" s="8">
        <v>1</v>
      </c>
      <c r="D689" s="8" t="s">
        <v>3177</v>
      </c>
      <c r="E689" s="8" t="s">
        <v>118</v>
      </c>
      <c r="F689" s="8" t="s">
        <v>4131</v>
      </c>
      <c r="G689" s="8" t="s">
        <v>3426</v>
      </c>
      <c r="H689" s="8" t="s">
        <v>3431</v>
      </c>
      <c r="I689" s="8" t="s">
        <v>3428</v>
      </c>
      <c r="J689" s="8" t="s">
        <v>3253</v>
      </c>
      <c r="K689" s="8" t="s">
        <v>3183</v>
      </c>
      <c r="L689" s="10" t="s">
        <v>3270</v>
      </c>
      <c r="M689" s="10" t="s">
        <v>3429</v>
      </c>
      <c r="N689" s="10" t="s">
        <v>3430</v>
      </c>
      <c r="O689" s="8" t="s">
        <v>322</v>
      </c>
      <c r="P689" s="8"/>
      <c r="Q689" s="8"/>
      <c r="R689" s="8">
        <v>75549</v>
      </c>
      <c r="S689" s="8" t="s">
        <v>332</v>
      </c>
      <c r="T689" s="8"/>
      <c r="U689" s="8"/>
      <c r="V689" s="8"/>
      <c r="W689" s="8"/>
      <c r="X689" s="8"/>
      <c r="Y689" s="8"/>
      <c r="Z689" s="10" t="s">
        <v>3821</v>
      </c>
      <c r="AA689" s="8" t="s">
        <v>332</v>
      </c>
      <c r="AB689" s="8">
        <v>1</v>
      </c>
    </row>
    <row r="690" spans="1:28" ht="21.6" customHeight="1">
      <c r="A690" s="8">
        <v>207</v>
      </c>
      <c r="B690" s="8">
        <v>2025070397</v>
      </c>
      <c r="C690" s="8">
        <v>1</v>
      </c>
      <c r="D690" s="8" t="s">
        <v>3177</v>
      </c>
      <c r="E690" s="8" t="s">
        <v>118</v>
      </c>
      <c r="F690" s="8" t="s">
        <v>4248</v>
      </c>
      <c r="G690" s="8" t="s">
        <v>3401</v>
      </c>
      <c r="H690" s="8" t="s">
        <v>3357</v>
      </c>
      <c r="I690" s="8" t="s">
        <v>3433</v>
      </c>
      <c r="J690" s="8" t="s">
        <v>3277</v>
      </c>
      <c r="K690" s="8" t="s">
        <v>3183</v>
      </c>
      <c r="L690" s="10" t="s">
        <v>3434</v>
      </c>
      <c r="M690" s="10" t="s">
        <v>3435</v>
      </c>
      <c r="N690" s="10" t="s">
        <v>3436</v>
      </c>
      <c r="O690" s="8" t="s">
        <v>322</v>
      </c>
      <c r="P690" s="8"/>
      <c r="Q690" s="8"/>
      <c r="R690" s="8">
        <v>141355</v>
      </c>
      <c r="S690" s="8" t="s">
        <v>332</v>
      </c>
      <c r="T690" s="8"/>
      <c r="U690" s="8"/>
      <c r="V690" s="8"/>
      <c r="W690" s="8"/>
      <c r="X690" s="8"/>
      <c r="Y690" s="8"/>
      <c r="Z690" s="10" t="s">
        <v>3821</v>
      </c>
      <c r="AA690" s="8" t="s">
        <v>332</v>
      </c>
      <c r="AB690" s="8">
        <v>1</v>
      </c>
    </row>
    <row r="691" spans="1:28" ht="21.6" customHeight="1">
      <c r="A691" s="8">
        <v>209</v>
      </c>
      <c r="B691" s="8">
        <v>2025070400</v>
      </c>
      <c r="C691" s="8">
        <v>1</v>
      </c>
      <c r="D691" s="8" t="s">
        <v>3177</v>
      </c>
      <c r="E691" s="8" t="s">
        <v>118</v>
      </c>
      <c r="F691" s="8" t="s">
        <v>4248</v>
      </c>
      <c r="G691" s="8" t="s">
        <v>3357</v>
      </c>
      <c r="H691" s="8" t="s">
        <v>3342</v>
      </c>
      <c r="I691" s="8" t="s">
        <v>3440</v>
      </c>
      <c r="J691" s="8" t="s">
        <v>3277</v>
      </c>
      <c r="K691" s="8" t="s">
        <v>3183</v>
      </c>
      <c r="L691" s="10" t="s">
        <v>3434</v>
      </c>
      <c r="M691" s="10" t="s">
        <v>3441</v>
      </c>
      <c r="N691" s="10" t="s">
        <v>3442</v>
      </c>
      <c r="O691" s="8" t="s">
        <v>322</v>
      </c>
      <c r="P691" s="8"/>
      <c r="Q691" s="8"/>
      <c r="R691" s="8">
        <v>124717</v>
      </c>
      <c r="S691" s="8" t="s">
        <v>332</v>
      </c>
      <c r="T691" s="8"/>
      <c r="U691" s="8"/>
      <c r="V691" s="8"/>
      <c r="W691" s="8"/>
      <c r="X691" s="8"/>
      <c r="Y691" s="8"/>
      <c r="Z691" s="10" t="s">
        <v>3821</v>
      </c>
      <c r="AA691" s="8" t="s">
        <v>332</v>
      </c>
      <c r="AB691" s="8">
        <v>1</v>
      </c>
    </row>
    <row r="692" spans="1:28" ht="21.6" customHeight="1">
      <c r="A692" s="8">
        <v>211</v>
      </c>
      <c r="B692" s="8">
        <v>2025070403</v>
      </c>
      <c r="C692" s="8">
        <v>1</v>
      </c>
      <c r="D692" s="8" t="s">
        <v>3177</v>
      </c>
      <c r="E692" s="8" t="s">
        <v>118</v>
      </c>
      <c r="F692" s="8" t="s">
        <v>4248</v>
      </c>
      <c r="G692" s="8" t="s">
        <v>3204</v>
      </c>
      <c r="H692" s="8" t="s">
        <v>3386</v>
      </c>
      <c r="I692" s="8" t="s">
        <v>3440</v>
      </c>
      <c r="J692" s="8" t="s">
        <v>3277</v>
      </c>
      <c r="K692" s="8" t="s">
        <v>3183</v>
      </c>
      <c r="L692" s="10" t="s">
        <v>3434</v>
      </c>
      <c r="M692" s="10" t="s">
        <v>3441</v>
      </c>
      <c r="N692" s="10" t="s">
        <v>3442</v>
      </c>
      <c r="O692" s="8" t="s">
        <v>363</v>
      </c>
      <c r="P692" s="8"/>
      <c r="Q692" s="8"/>
      <c r="R692" s="8">
        <v>124717</v>
      </c>
      <c r="S692" s="8"/>
      <c r="T692" s="8"/>
      <c r="U692" s="8"/>
      <c r="V692" s="8"/>
      <c r="W692" s="8"/>
      <c r="X692" s="8"/>
      <c r="Y692" s="8"/>
      <c r="Z692" s="10" t="s">
        <v>3748</v>
      </c>
      <c r="AA692" s="8" t="s">
        <v>332</v>
      </c>
      <c r="AB692" s="8">
        <v>1</v>
      </c>
    </row>
    <row r="693" spans="1:28" ht="21.6" customHeight="1">
      <c r="A693" s="8">
        <v>212</v>
      </c>
      <c r="B693" s="8">
        <v>2025073563</v>
      </c>
      <c r="C693" s="8">
        <v>1</v>
      </c>
      <c r="D693" s="8" t="s">
        <v>3177</v>
      </c>
      <c r="E693" s="8" t="s">
        <v>118</v>
      </c>
      <c r="F693" s="8" t="s">
        <v>4242</v>
      </c>
      <c r="G693" s="8" t="s">
        <v>3456</v>
      </c>
      <c r="H693" s="8" t="s">
        <v>3777</v>
      </c>
      <c r="I693" s="8" t="s">
        <v>3440</v>
      </c>
      <c r="J693" s="8" t="s">
        <v>3277</v>
      </c>
      <c r="K693" s="8" t="s">
        <v>3183</v>
      </c>
      <c r="L693" s="10" t="s">
        <v>3434</v>
      </c>
      <c r="M693" s="10" t="s">
        <v>3441</v>
      </c>
      <c r="N693" s="10" t="s">
        <v>3442</v>
      </c>
      <c r="O693" s="8" t="s">
        <v>322</v>
      </c>
      <c r="P693" s="8"/>
      <c r="Q693" s="8"/>
      <c r="R693" s="8">
        <v>124717</v>
      </c>
      <c r="S693" s="8"/>
      <c r="T693" s="8"/>
      <c r="U693" s="8"/>
      <c r="V693" s="8"/>
      <c r="W693" s="8"/>
      <c r="X693" s="8"/>
      <c r="Y693" s="8" t="s">
        <v>332</v>
      </c>
      <c r="Z693" s="10" t="s">
        <v>4264</v>
      </c>
      <c r="AA693" s="8" t="s">
        <v>332</v>
      </c>
      <c r="AB693" s="8">
        <v>1</v>
      </c>
    </row>
    <row r="694" spans="1:28" ht="21.6" customHeight="1">
      <c r="A694" s="8">
        <v>213</v>
      </c>
      <c r="B694" s="8">
        <v>2025071295</v>
      </c>
      <c r="C694" s="8">
        <v>1</v>
      </c>
      <c r="D694" s="8" t="s">
        <v>3177</v>
      </c>
      <c r="E694" s="8" t="s">
        <v>118</v>
      </c>
      <c r="F694" s="8" t="s">
        <v>4210</v>
      </c>
      <c r="G694" s="8" t="s">
        <v>3250</v>
      </c>
      <c r="H694" s="8" t="s">
        <v>3204</v>
      </c>
      <c r="I694" s="8" t="s">
        <v>3447</v>
      </c>
      <c r="J694" s="8" t="s">
        <v>3277</v>
      </c>
      <c r="K694" s="8" t="s">
        <v>3183</v>
      </c>
      <c r="L694" s="10" t="s">
        <v>3448</v>
      </c>
      <c r="M694" s="10" t="s">
        <v>3449</v>
      </c>
      <c r="N694" s="10"/>
      <c r="O694" s="8" t="s">
        <v>322</v>
      </c>
      <c r="P694" s="8"/>
      <c r="Q694" s="8"/>
      <c r="R694" s="8">
        <v>44000</v>
      </c>
      <c r="S694" s="8" t="s">
        <v>332</v>
      </c>
      <c r="T694" s="8"/>
      <c r="U694" s="8"/>
      <c r="V694" s="8"/>
      <c r="W694" s="8"/>
      <c r="X694" s="8"/>
      <c r="Y694" s="8"/>
      <c r="Z694" s="10" t="s">
        <v>3821</v>
      </c>
      <c r="AA694" s="8" t="s">
        <v>332</v>
      </c>
      <c r="AB694" s="8">
        <v>1</v>
      </c>
    </row>
    <row r="695" spans="1:28" ht="21.6" customHeight="1">
      <c r="A695" s="8">
        <v>219</v>
      </c>
      <c r="B695" s="8">
        <v>2025070332</v>
      </c>
      <c r="C695" s="8">
        <v>1</v>
      </c>
      <c r="D695" s="8" t="s">
        <v>3177</v>
      </c>
      <c r="E695" s="8" t="s">
        <v>118</v>
      </c>
      <c r="F695" s="8" t="s">
        <v>4248</v>
      </c>
      <c r="G695" s="8" t="s">
        <v>3350</v>
      </c>
      <c r="H695" s="8" t="s">
        <v>3363</v>
      </c>
      <c r="I695" s="8" t="s">
        <v>3461</v>
      </c>
      <c r="J695" s="8" t="s">
        <v>3277</v>
      </c>
      <c r="K695" s="8" t="s">
        <v>3183</v>
      </c>
      <c r="L695" s="10" t="s">
        <v>3462</v>
      </c>
      <c r="M695" s="10" t="s">
        <v>3463</v>
      </c>
      <c r="N695" s="10" t="s">
        <v>3464</v>
      </c>
      <c r="O695" s="8" t="s">
        <v>322</v>
      </c>
      <c r="P695" s="8"/>
      <c r="Q695" s="8"/>
      <c r="R695" s="8">
        <v>228871</v>
      </c>
      <c r="S695" s="8"/>
      <c r="T695" s="8"/>
      <c r="U695" s="8"/>
      <c r="V695" s="8"/>
      <c r="W695" s="8"/>
      <c r="X695" s="8"/>
      <c r="Y695" s="8" t="s">
        <v>332</v>
      </c>
      <c r="Z695" s="10" t="s">
        <v>4265</v>
      </c>
      <c r="AA695" s="8" t="s">
        <v>332</v>
      </c>
      <c r="AB695" s="8">
        <v>1</v>
      </c>
    </row>
    <row r="696" spans="1:28" ht="21.6" customHeight="1">
      <c r="A696" s="8">
        <v>222</v>
      </c>
      <c r="B696" s="8">
        <v>2025070136</v>
      </c>
      <c r="C696" s="8">
        <v>1</v>
      </c>
      <c r="D696" s="8" t="s">
        <v>3177</v>
      </c>
      <c r="E696" s="8" t="s">
        <v>118</v>
      </c>
      <c r="F696" s="8" t="s">
        <v>4131</v>
      </c>
      <c r="G696" s="8" t="s">
        <v>3386</v>
      </c>
      <c r="H696" s="8" t="s">
        <v>3387</v>
      </c>
      <c r="I696" s="8" t="s">
        <v>4171</v>
      </c>
      <c r="J696" s="8" t="s">
        <v>3277</v>
      </c>
      <c r="K696" s="8" t="s">
        <v>3183</v>
      </c>
      <c r="L696" s="10" t="s">
        <v>3270</v>
      </c>
      <c r="M696" s="10" t="s">
        <v>3496</v>
      </c>
      <c r="N696" s="10" t="s">
        <v>3497</v>
      </c>
      <c r="O696" s="8" t="s">
        <v>322</v>
      </c>
      <c r="P696" s="8"/>
      <c r="Q696" s="8"/>
      <c r="R696" s="8">
        <v>1203</v>
      </c>
      <c r="S696" s="8" t="s">
        <v>332</v>
      </c>
      <c r="T696" s="8"/>
      <c r="U696" s="8"/>
      <c r="V696" s="8"/>
      <c r="W696" s="8"/>
      <c r="X696" s="8"/>
      <c r="Y696" s="8"/>
      <c r="Z696" s="10" t="s">
        <v>3821</v>
      </c>
      <c r="AA696" s="8" t="s">
        <v>332</v>
      </c>
      <c r="AB696" s="8">
        <v>1</v>
      </c>
    </row>
    <row r="697" spans="1:28" ht="21.6" customHeight="1">
      <c r="A697" s="8">
        <v>224</v>
      </c>
      <c r="B697" s="8">
        <v>2025072775</v>
      </c>
      <c r="C697" s="8">
        <v>1</v>
      </c>
      <c r="D697" s="8" t="s">
        <v>3177</v>
      </c>
      <c r="E697" s="8" t="s">
        <v>118</v>
      </c>
      <c r="F697" s="8" t="s">
        <v>4225</v>
      </c>
      <c r="G697" s="8" t="s">
        <v>3363</v>
      </c>
      <c r="H697" s="8" t="s">
        <v>3233</v>
      </c>
      <c r="I697" s="8" t="s">
        <v>3470</v>
      </c>
      <c r="J697" s="8" t="s">
        <v>3471</v>
      </c>
      <c r="K697" s="8" t="s">
        <v>3183</v>
      </c>
      <c r="L697" s="10" t="s">
        <v>3472</v>
      </c>
      <c r="M697" s="10" t="s">
        <v>3410</v>
      </c>
      <c r="N697" s="10" t="s">
        <v>3442</v>
      </c>
      <c r="O697" s="8" t="s">
        <v>322</v>
      </c>
      <c r="P697" s="8"/>
      <c r="Q697" s="8"/>
      <c r="R697" s="8">
        <v>73694</v>
      </c>
      <c r="S697" s="8" t="s">
        <v>332</v>
      </c>
      <c r="T697" s="8"/>
      <c r="U697" s="8"/>
      <c r="V697" s="8"/>
      <c r="W697" s="8"/>
      <c r="X697" s="8"/>
      <c r="Y697" s="8"/>
      <c r="Z697" s="10" t="s">
        <v>3821</v>
      </c>
      <c r="AA697" s="8" t="s">
        <v>332</v>
      </c>
      <c r="AB697" s="8">
        <v>1</v>
      </c>
    </row>
    <row r="698" spans="1:28" ht="21.6" customHeight="1">
      <c r="A698" s="8">
        <v>226</v>
      </c>
      <c r="B698" s="8">
        <v>2025072058</v>
      </c>
      <c r="C698" s="8">
        <v>1</v>
      </c>
      <c r="D698" s="8" t="s">
        <v>3177</v>
      </c>
      <c r="E698" s="8" t="s">
        <v>118</v>
      </c>
      <c r="F698" s="8" t="s">
        <v>4211</v>
      </c>
      <c r="G698" s="8" t="s">
        <v>3426</v>
      </c>
      <c r="H698" s="8" t="s">
        <v>3432</v>
      </c>
      <c r="I698" s="8" t="s">
        <v>3840</v>
      </c>
      <c r="J698" s="8" t="s">
        <v>3288</v>
      </c>
      <c r="K698" s="8" t="s">
        <v>3183</v>
      </c>
      <c r="L698" s="10" t="s">
        <v>3841</v>
      </c>
      <c r="M698" s="10" t="s">
        <v>4213</v>
      </c>
      <c r="N698" s="10" t="s">
        <v>4214</v>
      </c>
      <c r="O698" s="8" t="s">
        <v>3190</v>
      </c>
      <c r="P698" s="8"/>
      <c r="Q698" s="8">
        <v>898</v>
      </c>
      <c r="R698" s="8">
        <v>3020</v>
      </c>
      <c r="S698" s="8"/>
      <c r="T698" s="8"/>
      <c r="U698" s="8"/>
      <c r="V698" s="8"/>
      <c r="W698" s="8"/>
      <c r="X698" s="8"/>
      <c r="Y698" s="8"/>
      <c r="Z698" s="10" t="s">
        <v>4258</v>
      </c>
      <c r="AA698" s="8" t="s">
        <v>332</v>
      </c>
      <c r="AB698" s="8">
        <v>1</v>
      </c>
    </row>
    <row r="699" spans="1:28" ht="21.6" customHeight="1">
      <c r="A699" s="8">
        <v>227</v>
      </c>
      <c r="B699" s="8">
        <v>2025072057</v>
      </c>
      <c r="C699" s="8">
        <v>1</v>
      </c>
      <c r="D699" s="8" t="s">
        <v>3177</v>
      </c>
      <c r="E699" s="8" t="s">
        <v>118</v>
      </c>
      <c r="F699" s="8" t="s">
        <v>4211</v>
      </c>
      <c r="G699" s="8" t="s">
        <v>3386</v>
      </c>
      <c r="H699" s="8" t="s">
        <v>3426</v>
      </c>
      <c r="I699" s="8" t="s">
        <v>3849</v>
      </c>
      <c r="J699" s="8" t="s">
        <v>3288</v>
      </c>
      <c r="K699" s="8" t="s">
        <v>3183</v>
      </c>
      <c r="L699" s="10" t="s">
        <v>3254</v>
      </c>
      <c r="M699" s="10" t="s">
        <v>3850</v>
      </c>
      <c r="N699" s="10" t="s">
        <v>3851</v>
      </c>
      <c r="O699" s="8" t="s">
        <v>3190</v>
      </c>
      <c r="P699" s="8"/>
      <c r="Q699" s="8">
        <v>658</v>
      </c>
      <c r="R699" s="8">
        <v>26906</v>
      </c>
      <c r="S699" s="8"/>
      <c r="T699" s="8"/>
      <c r="U699" s="8"/>
      <c r="V699" s="8"/>
      <c r="W699" s="8"/>
      <c r="X699" s="8"/>
      <c r="Y699" s="8"/>
      <c r="Z699" s="10" t="s">
        <v>4258</v>
      </c>
      <c r="AA699" s="8" t="s">
        <v>332</v>
      </c>
      <c r="AB699" s="8">
        <v>1</v>
      </c>
    </row>
    <row r="700" spans="1:28" ht="21.6" customHeight="1">
      <c r="A700" s="8">
        <v>228</v>
      </c>
      <c r="B700" s="8">
        <v>2025072844</v>
      </c>
      <c r="C700" s="8">
        <v>1</v>
      </c>
      <c r="D700" s="8" t="s">
        <v>3177</v>
      </c>
      <c r="E700" s="8" t="s">
        <v>118</v>
      </c>
      <c r="F700" s="8" t="s">
        <v>4225</v>
      </c>
      <c r="G700" s="8" t="s">
        <v>3368</v>
      </c>
      <c r="H700" s="8" t="s">
        <v>4266</v>
      </c>
      <c r="I700" s="8" t="s">
        <v>3474</v>
      </c>
      <c r="J700" s="8" t="s">
        <v>3288</v>
      </c>
      <c r="K700" s="8" t="s">
        <v>3183</v>
      </c>
      <c r="L700" s="10" t="s">
        <v>3389</v>
      </c>
      <c r="M700" s="10" t="s">
        <v>3475</v>
      </c>
      <c r="N700" s="10" t="s">
        <v>3476</v>
      </c>
      <c r="O700" s="8" t="s">
        <v>363</v>
      </c>
      <c r="P700" s="8"/>
      <c r="Q700" s="8">
        <v>1504</v>
      </c>
      <c r="R700" s="8">
        <v>23891</v>
      </c>
      <c r="S700" s="8"/>
      <c r="T700" s="8"/>
      <c r="U700" s="8"/>
      <c r="V700" s="8"/>
      <c r="W700" s="8"/>
      <c r="X700" s="8"/>
      <c r="Y700" s="8"/>
      <c r="Z700" s="10" t="s">
        <v>4267</v>
      </c>
      <c r="AA700" s="8" t="s">
        <v>332</v>
      </c>
      <c r="AB700" s="8">
        <v>1</v>
      </c>
    </row>
    <row r="701" spans="1:28" ht="21.6" customHeight="1">
      <c r="A701" s="8">
        <v>229</v>
      </c>
      <c r="B701" s="8">
        <v>2025073340</v>
      </c>
      <c r="C701" s="8">
        <v>1</v>
      </c>
      <c r="D701" s="8" t="s">
        <v>3177</v>
      </c>
      <c r="E701" s="8" t="s">
        <v>118</v>
      </c>
      <c r="F701" s="8" t="s">
        <v>4228</v>
      </c>
      <c r="G701" s="8" t="s">
        <v>3250</v>
      </c>
      <c r="H701" s="8" t="s">
        <v>3608</v>
      </c>
      <c r="I701" s="8" t="s">
        <v>3474</v>
      </c>
      <c r="J701" s="8" t="s">
        <v>3288</v>
      </c>
      <c r="K701" s="8" t="s">
        <v>3183</v>
      </c>
      <c r="L701" s="10" t="s">
        <v>3389</v>
      </c>
      <c r="M701" s="10" t="s">
        <v>3475</v>
      </c>
      <c r="N701" s="10" t="s">
        <v>3476</v>
      </c>
      <c r="O701" s="8" t="s">
        <v>363</v>
      </c>
      <c r="P701" s="8"/>
      <c r="Q701" s="8">
        <v>1504</v>
      </c>
      <c r="R701" s="8">
        <v>23891</v>
      </c>
      <c r="S701" s="8"/>
      <c r="T701" s="8"/>
      <c r="U701" s="8"/>
      <c r="V701" s="8"/>
      <c r="W701" s="8"/>
      <c r="X701" s="8"/>
      <c r="Y701" s="8"/>
      <c r="Z701" s="10" t="s">
        <v>4268</v>
      </c>
      <c r="AA701" s="8" t="s">
        <v>332</v>
      </c>
      <c r="AB701" s="8">
        <v>1</v>
      </c>
    </row>
    <row r="702" spans="1:28" ht="21.6" customHeight="1">
      <c r="A702" s="8">
        <v>230</v>
      </c>
      <c r="B702" s="8">
        <v>2025072059</v>
      </c>
      <c r="C702" s="8">
        <v>1</v>
      </c>
      <c r="D702" s="8" t="s">
        <v>3177</v>
      </c>
      <c r="E702" s="8" t="s">
        <v>118</v>
      </c>
      <c r="F702" s="8" t="s">
        <v>4211</v>
      </c>
      <c r="G702" s="8" t="s">
        <v>3280</v>
      </c>
      <c r="H702" s="8" t="s">
        <v>3233</v>
      </c>
      <c r="I702" s="8" t="s">
        <v>3478</v>
      </c>
      <c r="J702" s="8" t="s">
        <v>3288</v>
      </c>
      <c r="K702" s="8" t="s">
        <v>3183</v>
      </c>
      <c r="L702" s="10" t="s">
        <v>3254</v>
      </c>
      <c r="M702" s="10" t="s">
        <v>3479</v>
      </c>
      <c r="N702" s="10" t="s">
        <v>3480</v>
      </c>
      <c r="O702" s="8" t="s">
        <v>3190</v>
      </c>
      <c r="P702" s="8"/>
      <c r="Q702" s="8">
        <v>24489</v>
      </c>
      <c r="R702" s="8">
        <v>128836</v>
      </c>
      <c r="S702" s="8"/>
      <c r="T702" s="8"/>
      <c r="U702" s="8"/>
      <c r="V702" s="8"/>
      <c r="W702" s="8"/>
      <c r="X702" s="8"/>
      <c r="Y702" s="8"/>
      <c r="Z702" s="10" t="s">
        <v>4258</v>
      </c>
      <c r="AA702" s="8" t="s">
        <v>332</v>
      </c>
      <c r="AB702" s="8">
        <v>1</v>
      </c>
    </row>
    <row r="703" spans="1:28" ht="21.6" customHeight="1">
      <c r="A703" s="8">
        <v>231</v>
      </c>
      <c r="B703" s="8">
        <v>2025072266</v>
      </c>
      <c r="C703" s="8">
        <v>1</v>
      </c>
      <c r="D703" s="8" t="s">
        <v>3177</v>
      </c>
      <c r="E703" s="8" t="s">
        <v>118</v>
      </c>
      <c r="F703" s="8" t="s">
        <v>4198</v>
      </c>
      <c r="G703" s="8" t="s">
        <v>3250</v>
      </c>
      <c r="H703" s="8" t="s">
        <v>3204</v>
      </c>
      <c r="I703" s="8" t="s">
        <v>3482</v>
      </c>
      <c r="J703" s="8" t="s">
        <v>3288</v>
      </c>
      <c r="K703" s="8" t="s">
        <v>3183</v>
      </c>
      <c r="L703" s="10" t="s">
        <v>3483</v>
      </c>
      <c r="M703" s="10" t="s">
        <v>3484</v>
      </c>
      <c r="N703" s="10" t="s">
        <v>3485</v>
      </c>
      <c r="O703" s="8" t="s">
        <v>322</v>
      </c>
      <c r="P703" s="8">
        <v>1572</v>
      </c>
      <c r="Q703" s="8">
        <v>4250</v>
      </c>
      <c r="R703" s="8">
        <v>28898</v>
      </c>
      <c r="S703" s="8" t="s">
        <v>332</v>
      </c>
      <c r="T703" s="8"/>
      <c r="U703" s="8"/>
      <c r="V703" s="8"/>
      <c r="W703" s="8"/>
      <c r="X703" s="8"/>
      <c r="Y703" s="8"/>
      <c r="Z703" s="10" t="s">
        <v>3821</v>
      </c>
      <c r="AA703" s="8" t="s">
        <v>332</v>
      </c>
      <c r="AB703" s="8">
        <v>1</v>
      </c>
    </row>
    <row r="704" spans="1:28" ht="21.6" customHeight="1">
      <c r="A704" s="8">
        <v>235</v>
      </c>
      <c r="B704" s="8">
        <v>2025073206</v>
      </c>
      <c r="C704" s="8">
        <v>1</v>
      </c>
      <c r="D704" s="8" t="s">
        <v>3177</v>
      </c>
      <c r="E704" s="8" t="s">
        <v>118</v>
      </c>
      <c r="F704" s="8" t="s">
        <v>4196</v>
      </c>
      <c r="G704" s="8" t="s">
        <v>3456</v>
      </c>
      <c r="H704" s="8" t="s">
        <v>3617</v>
      </c>
      <c r="I704" s="8" t="s">
        <v>3487</v>
      </c>
      <c r="J704" s="8" t="s">
        <v>3288</v>
      </c>
      <c r="K704" s="8" t="s">
        <v>3183</v>
      </c>
      <c r="L704" s="10" t="s">
        <v>3488</v>
      </c>
      <c r="M704" s="10" t="s">
        <v>3489</v>
      </c>
      <c r="N704" s="10" t="s">
        <v>3490</v>
      </c>
      <c r="O704" s="8" t="s">
        <v>363</v>
      </c>
      <c r="P704" s="8"/>
      <c r="Q704" s="8">
        <v>23283</v>
      </c>
      <c r="R704" s="8">
        <v>28176</v>
      </c>
      <c r="S704" s="8"/>
      <c r="T704" s="8"/>
      <c r="U704" s="8"/>
      <c r="V704" s="8"/>
      <c r="W704" s="8"/>
      <c r="X704" s="8"/>
      <c r="Y704" s="8"/>
      <c r="Z704" s="10" t="s">
        <v>4269</v>
      </c>
      <c r="AA704" s="8" t="s">
        <v>332</v>
      </c>
      <c r="AB704" s="8">
        <v>1</v>
      </c>
    </row>
    <row r="705" spans="1:28" ht="21.6" customHeight="1">
      <c r="A705" s="8">
        <v>236</v>
      </c>
      <c r="B705" s="8">
        <v>2025071109</v>
      </c>
      <c r="C705" s="8">
        <v>1</v>
      </c>
      <c r="D705" s="8" t="s">
        <v>3177</v>
      </c>
      <c r="E705" s="8" t="s">
        <v>118</v>
      </c>
      <c r="F705" s="8" t="s">
        <v>4205</v>
      </c>
      <c r="G705" s="8" t="s">
        <v>3368</v>
      </c>
      <c r="H705" s="8" t="s">
        <v>3432</v>
      </c>
      <c r="I705" s="8" t="s">
        <v>4270</v>
      </c>
      <c r="J705" s="8" t="s">
        <v>3288</v>
      </c>
      <c r="K705" s="8" t="s">
        <v>3183</v>
      </c>
      <c r="L705" s="10" t="s">
        <v>3254</v>
      </c>
      <c r="M705" s="10" t="s">
        <v>4271</v>
      </c>
      <c r="N705" s="10" t="s">
        <v>4272</v>
      </c>
      <c r="O705" s="8" t="s">
        <v>322</v>
      </c>
      <c r="P705" s="8"/>
      <c r="Q705" s="8">
        <v>27654</v>
      </c>
      <c r="R705" s="8">
        <v>127975</v>
      </c>
      <c r="S705" s="8"/>
      <c r="T705" s="8" t="s">
        <v>332</v>
      </c>
      <c r="U705" s="8"/>
      <c r="V705" s="8"/>
      <c r="W705" s="8"/>
      <c r="X705" s="8"/>
      <c r="Y705" s="8" t="s">
        <v>332</v>
      </c>
      <c r="Z705" s="10" t="s">
        <v>4273</v>
      </c>
      <c r="AA705" s="8" t="s">
        <v>332</v>
      </c>
      <c r="AB705" s="8">
        <v>1</v>
      </c>
    </row>
    <row r="706" spans="1:28" ht="21.6" customHeight="1">
      <c r="A706" s="8">
        <v>237</v>
      </c>
      <c r="B706" s="8">
        <v>2025072055</v>
      </c>
      <c r="C706" s="8">
        <v>1</v>
      </c>
      <c r="D706" s="8" t="s">
        <v>3177</v>
      </c>
      <c r="E706" s="8" t="s">
        <v>118</v>
      </c>
      <c r="F706" s="8" t="s">
        <v>4211</v>
      </c>
      <c r="G706" s="8" t="s">
        <v>3368</v>
      </c>
      <c r="H706" s="8" t="s">
        <v>3204</v>
      </c>
      <c r="I706" s="8" t="s">
        <v>4270</v>
      </c>
      <c r="J706" s="8" t="s">
        <v>3288</v>
      </c>
      <c r="K706" s="8" t="s">
        <v>3183</v>
      </c>
      <c r="L706" s="10" t="s">
        <v>3254</v>
      </c>
      <c r="M706" s="10" t="s">
        <v>4271</v>
      </c>
      <c r="N706" s="10" t="s">
        <v>4272</v>
      </c>
      <c r="O706" s="8" t="s">
        <v>3190</v>
      </c>
      <c r="P706" s="8"/>
      <c r="Q706" s="8">
        <v>24489</v>
      </c>
      <c r="R706" s="8">
        <v>128836</v>
      </c>
      <c r="S706" s="8"/>
      <c r="T706" s="8"/>
      <c r="U706" s="8"/>
      <c r="V706" s="8"/>
      <c r="W706" s="8"/>
      <c r="X706" s="8"/>
      <c r="Y706" s="8"/>
      <c r="Z706" s="10" t="s">
        <v>4258</v>
      </c>
      <c r="AA706" s="8" t="s">
        <v>332</v>
      </c>
      <c r="AB706" s="8">
        <v>1</v>
      </c>
    </row>
    <row r="707" spans="1:28" ht="21.6" customHeight="1">
      <c r="A707" s="8">
        <v>242</v>
      </c>
      <c r="B707" s="8">
        <v>2025072563</v>
      </c>
      <c r="C707" s="8">
        <v>1</v>
      </c>
      <c r="D707" s="8" t="s">
        <v>3177</v>
      </c>
      <c r="E707" s="8" t="s">
        <v>118</v>
      </c>
      <c r="F707" s="8" t="s">
        <v>4208</v>
      </c>
      <c r="G707" s="8" t="s">
        <v>3280</v>
      </c>
      <c r="H707" s="8" t="s">
        <v>4274</v>
      </c>
      <c r="I707" s="8" t="s">
        <v>3502</v>
      </c>
      <c r="J707" s="8" t="s">
        <v>3298</v>
      </c>
      <c r="K707" s="8" t="s">
        <v>3183</v>
      </c>
      <c r="L707" s="10" t="s">
        <v>3503</v>
      </c>
      <c r="M707" s="10" t="s">
        <v>3504</v>
      </c>
      <c r="N707" s="10" t="s">
        <v>217</v>
      </c>
      <c r="O707" s="8" t="s">
        <v>363</v>
      </c>
      <c r="P707" s="8"/>
      <c r="Q707" s="8"/>
      <c r="R707" s="8">
        <v>282440</v>
      </c>
      <c r="S707" s="8"/>
      <c r="T707" s="8"/>
      <c r="U707" s="8"/>
      <c r="V707" s="8"/>
      <c r="W707" s="8"/>
      <c r="X707" s="8"/>
      <c r="Y707" s="8"/>
      <c r="Z707" s="10" t="s">
        <v>4275</v>
      </c>
      <c r="AA707" s="8" t="s">
        <v>332</v>
      </c>
      <c r="AB707" s="8">
        <v>1</v>
      </c>
    </row>
    <row r="708" spans="1:28" ht="21.6" customHeight="1">
      <c r="A708" s="8">
        <v>247</v>
      </c>
      <c r="B708" s="8">
        <v>2025070751</v>
      </c>
      <c r="C708" s="8">
        <v>1</v>
      </c>
      <c r="D708" s="8" t="s">
        <v>3177</v>
      </c>
      <c r="E708" s="8" t="s">
        <v>118</v>
      </c>
      <c r="F708" s="8" t="s">
        <v>4233</v>
      </c>
      <c r="G708" s="8" t="s">
        <v>3386</v>
      </c>
      <c r="H708" s="8" t="s">
        <v>3829</v>
      </c>
      <c r="I708" s="8" t="s">
        <v>3510</v>
      </c>
      <c r="J708" s="8" t="s">
        <v>3298</v>
      </c>
      <c r="K708" s="8" t="s">
        <v>3183</v>
      </c>
      <c r="L708" s="10" t="s">
        <v>3398</v>
      </c>
      <c r="M708" s="10" t="s">
        <v>3511</v>
      </c>
      <c r="N708" s="10" t="s">
        <v>3512</v>
      </c>
      <c r="O708" s="8" t="s">
        <v>322</v>
      </c>
      <c r="P708" s="8"/>
      <c r="Q708" s="8"/>
      <c r="R708" s="8">
        <v>11244</v>
      </c>
      <c r="S708" s="8" t="s">
        <v>332</v>
      </c>
      <c r="T708" s="8"/>
      <c r="U708" s="8"/>
      <c r="V708" s="8"/>
      <c r="W708" s="8"/>
      <c r="X708" s="8"/>
      <c r="Y708" s="8"/>
      <c r="Z708" s="10" t="s">
        <v>3821</v>
      </c>
      <c r="AA708" s="8" t="s">
        <v>332</v>
      </c>
      <c r="AB708" s="8">
        <v>1</v>
      </c>
    </row>
    <row r="709" spans="1:28" ht="21.6" customHeight="1">
      <c r="A709" s="8">
        <v>249</v>
      </c>
      <c r="B709" s="8">
        <v>2025070420</v>
      </c>
      <c r="C709" s="8">
        <v>1</v>
      </c>
      <c r="D709" s="8" t="s">
        <v>3177</v>
      </c>
      <c r="E709" s="8" t="s">
        <v>118</v>
      </c>
      <c r="F709" s="8" t="s">
        <v>4248</v>
      </c>
      <c r="G709" s="8" t="s">
        <v>3386</v>
      </c>
      <c r="H709" s="8" t="s">
        <v>3848</v>
      </c>
      <c r="I709" s="8" t="s">
        <v>3513</v>
      </c>
      <c r="J709" s="8" t="s">
        <v>3298</v>
      </c>
      <c r="K709" s="8" t="s">
        <v>3183</v>
      </c>
      <c r="L709" s="10" t="s">
        <v>3398</v>
      </c>
      <c r="M709" s="10" t="s">
        <v>3514</v>
      </c>
      <c r="N709" s="10" t="s">
        <v>3379</v>
      </c>
      <c r="O709" s="8" t="s">
        <v>322</v>
      </c>
      <c r="P709" s="8"/>
      <c r="Q709" s="8"/>
      <c r="R709" s="8">
        <v>142003</v>
      </c>
      <c r="S709" s="8"/>
      <c r="T709" s="8"/>
      <c r="U709" s="8" t="s">
        <v>332</v>
      </c>
      <c r="V709" s="8"/>
      <c r="W709" s="8"/>
      <c r="X709" s="8"/>
      <c r="Y709" s="8"/>
      <c r="Z709" s="10" t="s">
        <v>3362</v>
      </c>
      <c r="AA709" s="8" t="s">
        <v>332</v>
      </c>
      <c r="AB709" s="8">
        <v>1</v>
      </c>
    </row>
    <row r="710" spans="1:28" ht="21.6" customHeight="1">
      <c r="A710" s="8">
        <v>250</v>
      </c>
      <c r="B710" s="8">
        <v>2025070741</v>
      </c>
      <c r="C710" s="8">
        <v>1</v>
      </c>
      <c r="D710" s="8" t="s">
        <v>3177</v>
      </c>
      <c r="E710" s="8" t="s">
        <v>118</v>
      </c>
      <c r="F710" s="8" t="s">
        <v>4233</v>
      </c>
      <c r="G710" s="8" t="s">
        <v>4031</v>
      </c>
      <c r="H710" s="8" t="s">
        <v>3311</v>
      </c>
      <c r="I710" s="8" t="s">
        <v>3513</v>
      </c>
      <c r="J710" s="8" t="s">
        <v>3298</v>
      </c>
      <c r="K710" s="8" t="s">
        <v>3183</v>
      </c>
      <c r="L710" s="10" t="s">
        <v>3398</v>
      </c>
      <c r="M710" s="10" t="s">
        <v>3514</v>
      </c>
      <c r="N710" s="10" t="s">
        <v>3379</v>
      </c>
      <c r="O710" s="8" t="s">
        <v>322</v>
      </c>
      <c r="P710" s="8"/>
      <c r="Q710" s="8"/>
      <c r="R710" s="8">
        <v>144678</v>
      </c>
      <c r="S710" s="8" t="s">
        <v>332</v>
      </c>
      <c r="T710" s="8"/>
      <c r="U710" s="8"/>
      <c r="V710" s="8"/>
      <c r="W710" s="8"/>
      <c r="X710" s="8"/>
      <c r="Y710" s="8"/>
      <c r="Z710" s="10" t="s">
        <v>3821</v>
      </c>
      <c r="AA710" s="8" t="s">
        <v>332</v>
      </c>
      <c r="AB710" s="8">
        <v>1</v>
      </c>
    </row>
    <row r="711" spans="1:28" ht="21.6" customHeight="1">
      <c r="A711" s="8">
        <v>252</v>
      </c>
      <c r="B711" s="8">
        <v>2025070422</v>
      </c>
      <c r="C711" s="8">
        <v>1</v>
      </c>
      <c r="D711" s="8" t="s">
        <v>3177</v>
      </c>
      <c r="E711" s="8" t="s">
        <v>118</v>
      </c>
      <c r="F711" s="8" t="s">
        <v>4248</v>
      </c>
      <c r="G711" s="8" t="s">
        <v>3588</v>
      </c>
      <c r="H711" s="8" t="s">
        <v>3426</v>
      </c>
      <c r="I711" s="8" t="s">
        <v>3518</v>
      </c>
      <c r="J711" s="8" t="s">
        <v>3298</v>
      </c>
      <c r="K711" s="8" t="s">
        <v>3183</v>
      </c>
      <c r="L711" s="10" t="s">
        <v>3398</v>
      </c>
      <c r="M711" s="10" t="s">
        <v>3519</v>
      </c>
      <c r="N711" s="10" t="s">
        <v>3520</v>
      </c>
      <c r="O711" s="8" t="s">
        <v>322</v>
      </c>
      <c r="P711" s="8"/>
      <c r="Q711" s="8"/>
      <c r="R711" s="8">
        <v>242354</v>
      </c>
      <c r="S711" s="8"/>
      <c r="T711" s="8"/>
      <c r="U711" s="8" t="s">
        <v>332</v>
      </c>
      <c r="V711" s="8"/>
      <c r="W711" s="8"/>
      <c r="X711" s="8"/>
      <c r="Y711" s="8"/>
      <c r="Z711" s="10" t="s">
        <v>3362</v>
      </c>
      <c r="AA711" s="8" t="s">
        <v>332</v>
      </c>
      <c r="AB711" s="8">
        <v>1</v>
      </c>
    </row>
    <row r="712" spans="1:28" ht="21.6" customHeight="1">
      <c r="A712" s="8">
        <v>253</v>
      </c>
      <c r="B712" s="8">
        <v>2025070745</v>
      </c>
      <c r="C712" s="8">
        <v>1</v>
      </c>
      <c r="D712" s="8" t="s">
        <v>3177</v>
      </c>
      <c r="E712" s="8" t="s">
        <v>118</v>
      </c>
      <c r="F712" s="8" t="s">
        <v>4233</v>
      </c>
      <c r="G712" s="8" t="s">
        <v>3204</v>
      </c>
      <c r="H712" s="8" t="s">
        <v>3329</v>
      </c>
      <c r="I712" s="8" t="s">
        <v>3518</v>
      </c>
      <c r="J712" s="8" t="s">
        <v>3298</v>
      </c>
      <c r="K712" s="8" t="s">
        <v>3183</v>
      </c>
      <c r="L712" s="10" t="s">
        <v>3398</v>
      </c>
      <c r="M712" s="10" t="s">
        <v>3519</v>
      </c>
      <c r="N712" s="10" t="s">
        <v>3520</v>
      </c>
      <c r="O712" s="8" t="s">
        <v>322</v>
      </c>
      <c r="P712" s="8"/>
      <c r="Q712" s="8"/>
      <c r="R712" s="8">
        <v>251675</v>
      </c>
      <c r="S712" s="8" t="s">
        <v>332</v>
      </c>
      <c r="T712" s="8"/>
      <c r="U712" s="8"/>
      <c r="V712" s="8"/>
      <c r="W712" s="8"/>
      <c r="X712" s="8"/>
      <c r="Y712" s="8"/>
      <c r="Z712" s="10" t="s">
        <v>3821</v>
      </c>
      <c r="AA712" s="8" t="s">
        <v>332</v>
      </c>
      <c r="AB712" s="8">
        <v>1</v>
      </c>
    </row>
    <row r="713" spans="1:28" ht="21.6" customHeight="1">
      <c r="A713" s="8">
        <v>255</v>
      </c>
      <c r="B713" s="8">
        <v>2025070423</v>
      </c>
      <c r="C713" s="8">
        <v>1</v>
      </c>
      <c r="D713" s="8" t="s">
        <v>3177</v>
      </c>
      <c r="E713" s="8" t="s">
        <v>118</v>
      </c>
      <c r="F713" s="8" t="s">
        <v>4248</v>
      </c>
      <c r="G713" s="8" t="s">
        <v>3426</v>
      </c>
      <c r="H713" s="8" t="s">
        <v>4077</v>
      </c>
      <c r="I713" s="8" t="s">
        <v>3521</v>
      </c>
      <c r="J713" s="8" t="s">
        <v>3298</v>
      </c>
      <c r="K713" s="8" t="s">
        <v>3183</v>
      </c>
      <c r="L713" s="10" t="s">
        <v>3398</v>
      </c>
      <c r="M713" s="10" t="s">
        <v>3522</v>
      </c>
      <c r="N713" s="10" t="s">
        <v>3523</v>
      </c>
      <c r="O713" s="8" t="s">
        <v>322</v>
      </c>
      <c r="P713" s="8"/>
      <c r="Q713" s="8"/>
      <c r="R713" s="8">
        <v>118487</v>
      </c>
      <c r="S713" s="8"/>
      <c r="T713" s="8"/>
      <c r="U713" s="8" t="s">
        <v>332</v>
      </c>
      <c r="V713" s="8"/>
      <c r="W713" s="8"/>
      <c r="X713" s="8"/>
      <c r="Y713" s="8"/>
      <c r="Z713" s="10" t="s">
        <v>3362</v>
      </c>
      <c r="AA713" s="8" t="s">
        <v>332</v>
      </c>
      <c r="AB713" s="8">
        <v>1</v>
      </c>
    </row>
    <row r="714" spans="1:28" ht="21.6" customHeight="1">
      <c r="A714" s="8">
        <v>256</v>
      </c>
      <c r="B714" s="8">
        <v>2025070749</v>
      </c>
      <c r="C714" s="8">
        <v>1</v>
      </c>
      <c r="D714" s="8" t="s">
        <v>3177</v>
      </c>
      <c r="E714" s="8" t="s">
        <v>118</v>
      </c>
      <c r="F714" s="8" t="s">
        <v>4233</v>
      </c>
      <c r="G714" s="8" t="s">
        <v>3654</v>
      </c>
      <c r="H714" s="8" t="s">
        <v>3386</v>
      </c>
      <c r="I714" s="8" t="s">
        <v>3521</v>
      </c>
      <c r="J714" s="8" t="s">
        <v>3298</v>
      </c>
      <c r="K714" s="8" t="s">
        <v>3183</v>
      </c>
      <c r="L714" s="10" t="s">
        <v>3398</v>
      </c>
      <c r="M714" s="10" t="s">
        <v>3522</v>
      </c>
      <c r="N714" s="10" t="s">
        <v>3523</v>
      </c>
      <c r="O714" s="8" t="s">
        <v>322</v>
      </c>
      <c r="P714" s="8"/>
      <c r="Q714" s="8"/>
      <c r="R714" s="8">
        <v>122901</v>
      </c>
      <c r="S714" s="8" t="s">
        <v>332</v>
      </c>
      <c r="T714" s="8"/>
      <c r="U714" s="8"/>
      <c r="V714" s="8"/>
      <c r="W714" s="8"/>
      <c r="X714" s="8"/>
      <c r="Y714" s="8"/>
      <c r="Z714" s="10" t="s">
        <v>3821</v>
      </c>
      <c r="AA714" s="8" t="s">
        <v>332</v>
      </c>
      <c r="AB714" s="8">
        <v>1</v>
      </c>
    </row>
    <row r="715" spans="1:28" ht="21.6" customHeight="1">
      <c r="A715" s="8">
        <v>258</v>
      </c>
      <c r="B715" s="8">
        <v>2025071121</v>
      </c>
      <c r="C715" s="8">
        <v>1</v>
      </c>
      <c r="D715" s="8" t="s">
        <v>3177</v>
      </c>
      <c r="E715" s="8" t="s">
        <v>118</v>
      </c>
      <c r="F715" s="8" t="s">
        <v>4236</v>
      </c>
      <c r="G715" s="8" t="s">
        <v>3350</v>
      </c>
      <c r="H715" s="8" t="s">
        <v>3363</v>
      </c>
      <c r="I715" s="8" t="s">
        <v>3521</v>
      </c>
      <c r="J715" s="8" t="s">
        <v>3298</v>
      </c>
      <c r="K715" s="8" t="s">
        <v>3183</v>
      </c>
      <c r="L715" s="10" t="s">
        <v>3398</v>
      </c>
      <c r="M715" s="10" t="s">
        <v>3522</v>
      </c>
      <c r="N715" s="10" t="s">
        <v>3523</v>
      </c>
      <c r="O715" s="8" t="s">
        <v>363</v>
      </c>
      <c r="P715" s="8"/>
      <c r="Q715" s="8"/>
      <c r="R715" s="8">
        <v>123852</v>
      </c>
      <c r="S715" s="8"/>
      <c r="T715" s="8"/>
      <c r="U715" s="8"/>
      <c r="V715" s="8"/>
      <c r="W715" s="8"/>
      <c r="X715" s="8"/>
      <c r="Y715" s="8"/>
      <c r="Z715" s="10" t="s">
        <v>4276</v>
      </c>
      <c r="AA715" s="8" t="s">
        <v>332</v>
      </c>
      <c r="AB715" s="8">
        <v>1</v>
      </c>
    </row>
    <row r="716" spans="1:28" ht="21.6" customHeight="1">
      <c r="A716" s="8">
        <v>259</v>
      </c>
      <c r="B716" s="8">
        <v>2025071266</v>
      </c>
      <c r="C716" s="8">
        <v>1</v>
      </c>
      <c r="D716" s="8" t="s">
        <v>3177</v>
      </c>
      <c r="E716" s="8" t="s">
        <v>118</v>
      </c>
      <c r="F716" s="8" t="s">
        <v>4210</v>
      </c>
      <c r="G716" s="8" t="s">
        <v>3350</v>
      </c>
      <c r="H716" s="8" t="s">
        <v>3363</v>
      </c>
      <c r="I716" s="8" t="s">
        <v>3521</v>
      </c>
      <c r="J716" s="8" t="s">
        <v>3298</v>
      </c>
      <c r="K716" s="8" t="s">
        <v>3183</v>
      </c>
      <c r="L716" s="10" t="s">
        <v>3398</v>
      </c>
      <c r="M716" s="10" t="s">
        <v>3522</v>
      </c>
      <c r="N716" s="10" t="s">
        <v>3523</v>
      </c>
      <c r="O716" s="8" t="s">
        <v>322</v>
      </c>
      <c r="P716" s="8"/>
      <c r="Q716" s="8"/>
      <c r="R716" s="8">
        <v>122901</v>
      </c>
      <c r="S716" s="8"/>
      <c r="T716" s="8"/>
      <c r="U716" s="8"/>
      <c r="V716" s="8"/>
      <c r="W716" s="8"/>
      <c r="X716" s="8"/>
      <c r="Y716" s="8" t="s">
        <v>332</v>
      </c>
      <c r="Z716" s="10" t="s">
        <v>4252</v>
      </c>
      <c r="AA716" s="8" t="s">
        <v>332</v>
      </c>
      <c r="AB716" s="8">
        <v>1</v>
      </c>
    </row>
    <row r="717" spans="1:28" ht="21.6" customHeight="1">
      <c r="A717" s="8">
        <v>262</v>
      </c>
      <c r="B717" s="8">
        <v>2025070333</v>
      </c>
      <c r="C717" s="8">
        <v>1</v>
      </c>
      <c r="D717" s="8" t="s">
        <v>3177</v>
      </c>
      <c r="E717" s="8" t="s">
        <v>118</v>
      </c>
      <c r="F717" s="8" t="s">
        <v>4248</v>
      </c>
      <c r="G717" s="8" t="s">
        <v>3363</v>
      </c>
      <c r="H717" s="8" t="s">
        <v>3765</v>
      </c>
      <c r="I717" s="8" t="s">
        <v>3525</v>
      </c>
      <c r="J717" s="8" t="s">
        <v>3298</v>
      </c>
      <c r="K717" s="8" t="s">
        <v>3183</v>
      </c>
      <c r="L717" s="10" t="s">
        <v>3462</v>
      </c>
      <c r="M717" s="10" t="s">
        <v>3526</v>
      </c>
      <c r="N717" s="10" t="s">
        <v>3508</v>
      </c>
      <c r="O717" s="8" t="s">
        <v>322</v>
      </c>
      <c r="P717" s="8"/>
      <c r="Q717" s="8"/>
      <c r="R717" s="8">
        <v>176464</v>
      </c>
      <c r="S717" s="8"/>
      <c r="T717" s="8"/>
      <c r="U717" s="8"/>
      <c r="V717" s="8"/>
      <c r="W717" s="8"/>
      <c r="X717" s="8"/>
      <c r="Y717" s="8" t="s">
        <v>332</v>
      </c>
      <c r="Z717" s="10" t="s">
        <v>4277</v>
      </c>
      <c r="AA717" s="8" t="s">
        <v>332</v>
      </c>
      <c r="AB717" s="8">
        <v>1</v>
      </c>
    </row>
    <row r="718" spans="1:28" ht="21.6" customHeight="1">
      <c r="A718" s="8">
        <v>265</v>
      </c>
      <c r="B718" s="8">
        <v>2025070743</v>
      </c>
      <c r="C718" s="8">
        <v>1</v>
      </c>
      <c r="D718" s="8" t="s">
        <v>3177</v>
      </c>
      <c r="E718" s="8" t="s">
        <v>118</v>
      </c>
      <c r="F718" s="8" t="s">
        <v>4233</v>
      </c>
      <c r="G718" s="8" t="s">
        <v>3311</v>
      </c>
      <c r="H718" s="8" t="s">
        <v>3204</v>
      </c>
      <c r="I718" s="8" t="s">
        <v>3534</v>
      </c>
      <c r="J718" s="8" t="s">
        <v>3298</v>
      </c>
      <c r="K718" s="8" t="s">
        <v>3183</v>
      </c>
      <c r="L718" s="10" t="s">
        <v>3398</v>
      </c>
      <c r="M718" s="10" t="s">
        <v>3535</v>
      </c>
      <c r="N718" s="10" t="s">
        <v>3494</v>
      </c>
      <c r="O718" s="8" t="s">
        <v>322</v>
      </c>
      <c r="P718" s="8"/>
      <c r="Q718" s="8"/>
      <c r="R718" s="8">
        <v>192803</v>
      </c>
      <c r="S718" s="8" t="s">
        <v>332</v>
      </c>
      <c r="T718" s="8"/>
      <c r="U718" s="8"/>
      <c r="V718" s="8"/>
      <c r="W718" s="8"/>
      <c r="X718" s="8"/>
      <c r="Y718" s="8"/>
      <c r="Z718" s="10" t="s">
        <v>3821</v>
      </c>
      <c r="AA718" s="8" t="s">
        <v>332</v>
      </c>
      <c r="AB718" s="8">
        <v>1</v>
      </c>
    </row>
    <row r="719" spans="1:28" ht="21.6" customHeight="1">
      <c r="A719" s="8">
        <v>267</v>
      </c>
      <c r="B719" s="8">
        <v>2025072439</v>
      </c>
      <c r="C719" s="8">
        <v>1</v>
      </c>
      <c r="D719" s="8" t="s">
        <v>3177</v>
      </c>
      <c r="E719" s="8" t="s">
        <v>118</v>
      </c>
      <c r="F719" s="8" t="s">
        <v>4201</v>
      </c>
      <c r="G719" s="8" t="s">
        <v>3381</v>
      </c>
      <c r="H719" s="8" t="s">
        <v>3357</v>
      </c>
      <c r="I719" s="8" t="s">
        <v>3534</v>
      </c>
      <c r="J719" s="8" t="s">
        <v>3298</v>
      </c>
      <c r="K719" s="8" t="s">
        <v>3183</v>
      </c>
      <c r="L719" s="10" t="s">
        <v>3398</v>
      </c>
      <c r="M719" s="10" t="s">
        <v>3535</v>
      </c>
      <c r="N719" s="10" t="s">
        <v>3494</v>
      </c>
      <c r="O719" s="8" t="s">
        <v>322</v>
      </c>
      <c r="P719" s="8"/>
      <c r="Q719" s="8"/>
      <c r="R719" s="8">
        <v>192803</v>
      </c>
      <c r="S719" s="8"/>
      <c r="T719" s="8"/>
      <c r="U719" s="8"/>
      <c r="V719" s="8"/>
      <c r="W719" s="8"/>
      <c r="X719" s="8"/>
      <c r="Y719" s="8" t="s">
        <v>332</v>
      </c>
      <c r="Z719" s="10" t="s">
        <v>4278</v>
      </c>
      <c r="AA719" s="8" t="s">
        <v>332</v>
      </c>
      <c r="AB719" s="8">
        <v>1</v>
      </c>
    </row>
    <row r="720" spans="1:28" ht="21.6" customHeight="1">
      <c r="A720" s="8">
        <v>268</v>
      </c>
      <c r="B720" s="8">
        <v>2025071267</v>
      </c>
      <c r="C720" s="8">
        <v>1</v>
      </c>
      <c r="D720" s="8" t="s">
        <v>3177</v>
      </c>
      <c r="E720" s="8" t="s">
        <v>118</v>
      </c>
      <c r="F720" s="8" t="s">
        <v>4210</v>
      </c>
      <c r="G720" s="8" t="s">
        <v>3363</v>
      </c>
      <c r="H720" s="8" t="s">
        <v>3381</v>
      </c>
      <c r="I720" s="8" t="s">
        <v>3536</v>
      </c>
      <c r="J720" s="8" t="s">
        <v>3298</v>
      </c>
      <c r="K720" s="8" t="s">
        <v>3183</v>
      </c>
      <c r="L720" s="10" t="s">
        <v>3537</v>
      </c>
      <c r="M720" s="10" t="s">
        <v>3538</v>
      </c>
      <c r="N720" s="10"/>
      <c r="O720" s="8" t="s">
        <v>322</v>
      </c>
      <c r="P720" s="8"/>
      <c r="Q720" s="8"/>
      <c r="R720" s="8">
        <v>124635</v>
      </c>
      <c r="S720" s="8"/>
      <c r="T720" s="8"/>
      <c r="U720" s="8"/>
      <c r="V720" s="8"/>
      <c r="W720" s="8"/>
      <c r="X720" s="8"/>
      <c r="Y720" s="8" t="s">
        <v>332</v>
      </c>
      <c r="Z720" s="10" t="s">
        <v>4279</v>
      </c>
      <c r="AA720" s="8" t="s">
        <v>332</v>
      </c>
      <c r="AB720" s="8">
        <v>1</v>
      </c>
    </row>
    <row r="721" spans="1:28" ht="21.6" customHeight="1">
      <c r="A721" s="8">
        <v>269</v>
      </c>
      <c r="B721" s="8">
        <v>2025071352</v>
      </c>
      <c r="C721" s="8">
        <v>1</v>
      </c>
      <c r="D721" s="8" t="s">
        <v>3177</v>
      </c>
      <c r="E721" s="8" t="s">
        <v>118</v>
      </c>
      <c r="F721" s="8" t="s">
        <v>4232</v>
      </c>
      <c r="G721" s="8" t="s">
        <v>3350</v>
      </c>
      <c r="H721" s="8" t="s">
        <v>3280</v>
      </c>
      <c r="I721" s="8" t="s">
        <v>3536</v>
      </c>
      <c r="J721" s="8" t="s">
        <v>3298</v>
      </c>
      <c r="K721" s="8" t="s">
        <v>3183</v>
      </c>
      <c r="L721" s="10" t="s">
        <v>3537</v>
      </c>
      <c r="M721" s="10" t="s">
        <v>3538</v>
      </c>
      <c r="N721" s="10"/>
      <c r="O721" s="8" t="s">
        <v>322</v>
      </c>
      <c r="P721" s="8"/>
      <c r="Q721" s="8"/>
      <c r="R721" s="8">
        <v>129158</v>
      </c>
      <c r="S721" s="8" t="s">
        <v>332</v>
      </c>
      <c r="T721" s="8"/>
      <c r="U721" s="8"/>
      <c r="V721" s="8"/>
      <c r="W721" s="8"/>
      <c r="X721" s="8"/>
      <c r="Y721" s="8"/>
      <c r="Z721" s="10" t="s">
        <v>3696</v>
      </c>
      <c r="AA721" s="8" t="s">
        <v>332</v>
      </c>
      <c r="AB721" s="8">
        <v>1</v>
      </c>
    </row>
    <row r="722" spans="1:28" ht="21.6" customHeight="1">
      <c r="A722" s="8">
        <v>271</v>
      </c>
      <c r="B722" s="8">
        <v>2025073556</v>
      </c>
      <c r="C722" s="8">
        <v>1</v>
      </c>
      <c r="D722" s="8" t="s">
        <v>3177</v>
      </c>
      <c r="E722" s="8" t="s">
        <v>118</v>
      </c>
      <c r="F722" s="8" t="s">
        <v>4242</v>
      </c>
      <c r="G722" s="8" t="s">
        <v>3368</v>
      </c>
      <c r="H722" s="8" t="s">
        <v>3204</v>
      </c>
      <c r="I722" s="8" t="s">
        <v>3536</v>
      </c>
      <c r="J722" s="8" t="s">
        <v>3298</v>
      </c>
      <c r="K722" s="8" t="s">
        <v>3183</v>
      </c>
      <c r="L722" s="10" t="s">
        <v>3537</v>
      </c>
      <c r="M722" s="10" t="s">
        <v>3538</v>
      </c>
      <c r="N722" s="10"/>
      <c r="O722" s="8" t="s">
        <v>322</v>
      </c>
      <c r="P722" s="8"/>
      <c r="Q722" s="8"/>
      <c r="R722" s="8">
        <v>129158</v>
      </c>
      <c r="S722" s="8"/>
      <c r="T722" s="8"/>
      <c r="U722" s="8"/>
      <c r="V722" s="8"/>
      <c r="W722" s="8"/>
      <c r="X722" s="8"/>
      <c r="Y722" s="8" t="s">
        <v>332</v>
      </c>
      <c r="Z722" s="10" t="s">
        <v>4280</v>
      </c>
      <c r="AA722" s="8" t="s">
        <v>332</v>
      </c>
      <c r="AB722" s="8">
        <v>1</v>
      </c>
    </row>
    <row r="723" spans="1:28" ht="21.6" customHeight="1">
      <c r="A723" s="8">
        <v>272</v>
      </c>
      <c r="B723" s="8">
        <v>2025072268</v>
      </c>
      <c r="C723" s="8">
        <v>1</v>
      </c>
      <c r="D723" s="8" t="s">
        <v>3177</v>
      </c>
      <c r="E723" s="8" t="s">
        <v>118</v>
      </c>
      <c r="F723" s="8" t="s">
        <v>4198</v>
      </c>
      <c r="G723" s="8" t="s">
        <v>3204</v>
      </c>
      <c r="H723" s="8" t="s">
        <v>3427</v>
      </c>
      <c r="I723" s="8" t="s">
        <v>3539</v>
      </c>
      <c r="J723" s="8" t="s">
        <v>3298</v>
      </c>
      <c r="K723" s="8" t="s">
        <v>3183</v>
      </c>
      <c r="L723" s="10" t="s">
        <v>3540</v>
      </c>
      <c r="M723" s="10" t="s">
        <v>3541</v>
      </c>
      <c r="N723" s="10"/>
      <c r="O723" s="8" t="s">
        <v>322</v>
      </c>
      <c r="P723" s="8"/>
      <c r="Q723" s="8"/>
      <c r="R723" s="8">
        <v>77543</v>
      </c>
      <c r="S723" s="8" t="s">
        <v>332</v>
      </c>
      <c r="T723" s="8"/>
      <c r="U723" s="8"/>
      <c r="V723" s="8"/>
      <c r="W723" s="8"/>
      <c r="X723" s="8"/>
      <c r="Y723" s="8"/>
      <c r="Z723" s="10" t="s">
        <v>3821</v>
      </c>
      <c r="AA723" s="8" t="s">
        <v>332</v>
      </c>
      <c r="AB723" s="8">
        <v>1</v>
      </c>
    </row>
    <row r="724" spans="1:28" ht="21.6" customHeight="1">
      <c r="A724" s="8">
        <v>274</v>
      </c>
      <c r="B724" s="8">
        <v>2025070593</v>
      </c>
      <c r="C724" s="8">
        <v>1</v>
      </c>
      <c r="D724" s="8" t="s">
        <v>3177</v>
      </c>
      <c r="E724" s="8" t="s">
        <v>118</v>
      </c>
      <c r="F724" s="8" t="s">
        <v>4241</v>
      </c>
      <c r="G724" s="8" t="s">
        <v>3386</v>
      </c>
      <c r="H724" s="8" t="s">
        <v>3387</v>
      </c>
      <c r="I724" s="8" t="s">
        <v>3978</v>
      </c>
      <c r="J724" s="8" t="s">
        <v>3301</v>
      </c>
      <c r="K724" s="8" t="s">
        <v>3183</v>
      </c>
      <c r="L724" s="10" t="s">
        <v>3979</v>
      </c>
      <c r="M724" s="10" t="s">
        <v>3980</v>
      </c>
      <c r="N724" s="10" t="s">
        <v>3497</v>
      </c>
      <c r="O724" s="8" t="s">
        <v>322</v>
      </c>
      <c r="P724" s="8"/>
      <c r="Q724" s="8">
        <v>639</v>
      </c>
      <c r="R724" s="8">
        <v>2226</v>
      </c>
      <c r="S724" s="8" t="s">
        <v>332</v>
      </c>
      <c r="T724" s="8"/>
      <c r="U724" s="8"/>
      <c r="V724" s="8"/>
      <c r="W724" s="8"/>
      <c r="X724" s="8"/>
      <c r="Y724" s="8"/>
      <c r="Z724" s="10" t="s">
        <v>3821</v>
      </c>
      <c r="AA724" s="8" t="s">
        <v>332</v>
      </c>
      <c r="AB724" s="8">
        <v>1</v>
      </c>
    </row>
    <row r="725" spans="1:28" ht="21.6" customHeight="1">
      <c r="A725" s="8">
        <v>276</v>
      </c>
      <c r="B725" s="8">
        <v>2025071206</v>
      </c>
      <c r="C725" s="8">
        <v>1</v>
      </c>
      <c r="D725" s="8" t="s">
        <v>3177</v>
      </c>
      <c r="E725" s="8" t="s">
        <v>118</v>
      </c>
      <c r="F725" s="8" t="s">
        <v>4236</v>
      </c>
      <c r="G725" s="8" t="s">
        <v>3426</v>
      </c>
      <c r="H725" s="8" t="s">
        <v>4281</v>
      </c>
      <c r="I725" s="8" t="s">
        <v>3978</v>
      </c>
      <c r="J725" s="8" t="s">
        <v>3301</v>
      </c>
      <c r="K725" s="8" t="s">
        <v>3183</v>
      </c>
      <c r="L725" s="10" t="s">
        <v>3979</v>
      </c>
      <c r="M725" s="10" t="s">
        <v>3980</v>
      </c>
      <c r="N725" s="10" t="s">
        <v>3497</v>
      </c>
      <c r="O725" s="8" t="s">
        <v>363</v>
      </c>
      <c r="P725" s="8"/>
      <c r="Q725" s="8">
        <v>639</v>
      </c>
      <c r="R725" s="8">
        <v>2226</v>
      </c>
      <c r="S725" s="8"/>
      <c r="T725" s="8"/>
      <c r="U725" s="8"/>
      <c r="V725" s="8"/>
      <c r="W725" s="8"/>
      <c r="X725" s="8"/>
      <c r="Y725" s="8"/>
      <c r="Z725" s="10" t="s">
        <v>4282</v>
      </c>
      <c r="AA725" s="8" t="s">
        <v>332</v>
      </c>
      <c r="AB725" s="8">
        <v>1</v>
      </c>
    </row>
    <row r="726" spans="1:28" ht="21.6" customHeight="1">
      <c r="A726" s="8">
        <v>277</v>
      </c>
      <c r="B726" s="8">
        <v>2025072938</v>
      </c>
      <c r="C726" s="8">
        <v>1</v>
      </c>
      <c r="D726" s="8" t="s">
        <v>3177</v>
      </c>
      <c r="E726" s="8" t="s">
        <v>118</v>
      </c>
      <c r="F726" s="8" t="s">
        <v>4283</v>
      </c>
      <c r="G726" s="8" t="s">
        <v>3280</v>
      </c>
      <c r="H726" s="8" t="s">
        <v>3381</v>
      </c>
      <c r="I726" s="8" t="s">
        <v>3978</v>
      </c>
      <c r="J726" s="8" t="s">
        <v>3301</v>
      </c>
      <c r="K726" s="8" t="s">
        <v>3183</v>
      </c>
      <c r="L726" s="10" t="s">
        <v>3979</v>
      </c>
      <c r="M726" s="10" t="s">
        <v>3980</v>
      </c>
      <c r="N726" s="10" t="s">
        <v>3497</v>
      </c>
      <c r="O726" s="8" t="s">
        <v>322</v>
      </c>
      <c r="P726" s="8"/>
      <c r="Q726" s="8">
        <v>639</v>
      </c>
      <c r="R726" s="8">
        <v>2226</v>
      </c>
      <c r="S726" s="8"/>
      <c r="T726" s="8"/>
      <c r="U726" s="8"/>
      <c r="V726" s="8"/>
      <c r="W726" s="8"/>
      <c r="X726" s="8"/>
      <c r="Y726" s="8" t="s">
        <v>332</v>
      </c>
      <c r="Z726" s="10" t="s">
        <v>4284</v>
      </c>
      <c r="AA726" s="8" t="s">
        <v>332</v>
      </c>
      <c r="AB726" s="8">
        <v>1</v>
      </c>
    </row>
    <row r="727" spans="1:28" ht="21.6" customHeight="1">
      <c r="A727" s="8">
        <v>280</v>
      </c>
      <c r="B727" s="8">
        <v>2025071517</v>
      </c>
      <c r="C727" s="8">
        <v>1</v>
      </c>
      <c r="D727" s="8" t="s">
        <v>3177</v>
      </c>
      <c r="E727" s="8" t="s">
        <v>118</v>
      </c>
      <c r="F727" s="8" t="s">
        <v>4199</v>
      </c>
      <c r="G727" s="8" t="s">
        <v>3280</v>
      </c>
      <c r="H727" s="8" t="s">
        <v>3233</v>
      </c>
      <c r="I727" s="8" t="s">
        <v>4093</v>
      </c>
      <c r="J727" s="8" t="s">
        <v>3543</v>
      </c>
      <c r="K727" s="8" t="s">
        <v>3183</v>
      </c>
      <c r="L727" s="10" t="s">
        <v>4094</v>
      </c>
      <c r="M727" s="10" t="s">
        <v>4095</v>
      </c>
      <c r="N727" s="10" t="s">
        <v>3424</v>
      </c>
      <c r="O727" s="8" t="s">
        <v>363</v>
      </c>
      <c r="P727" s="8"/>
      <c r="Q727" s="8"/>
      <c r="R727" s="8">
        <v>37599</v>
      </c>
      <c r="S727" s="8"/>
      <c r="T727" s="8"/>
      <c r="U727" s="8"/>
      <c r="V727" s="8"/>
      <c r="W727" s="8"/>
      <c r="X727" s="8"/>
      <c r="Y727" s="8"/>
      <c r="Z727" s="10" t="s">
        <v>4285</v>
      </c>
      <c r="AA727" s="8" t="s">
        <v>332</v>
      </c>
      <c r="AB727" s="8">
        <v>1</v>
      </c>
    </row>
    <row r="728" spans="1:28" ht="21.6" customHeight="1">
      <c r="A728" s="8">
        <v>281</v>
      </c>
      <c r="B728" s="8">
        <v>2025073294</v>
      </c>
      <c r="C728" s="8">
        <v>1</v>
      </c>
      <c r="D728" s="8" t="s">
        <v>3177</v>
      </c>
      <c r="E728" s="8" t="s">
        <v>118</v>
      </c>
      <c r="F728" s="8" t="s">
        <v>4228</v>
      </c>
      <c r="G728" s="8" t="s">
        <v>3232</v>
      </c>
      <c r="H728" s="8" t="s">
        <v>4243</v>
      </c>
      <c r="I728" s="8" t="s">
        <v>4093</v>
      </c>
      <c r="J728" s="8" t="s">
        <v>3543</v>
      </c>
      <c r="K728" s="8" t="s">
        <v>3183</v>
      </c>
      <c r="L728" s="10" t="s">
        <v>4094</v>
      </c>
      <c r="M728" s="10" t="s">
        <v>4095</v>
      </c>
      <c r="N728" s="10" t="s">
        <v>3424</v>
      </c>
      <c r="O728" s="8" t="s">
        <v>363</v>
      </c>
      <c r="P728" s="8"/>
      <c r="Q728" s="8"/>
      <c r="R728" s="8">
        <v>37599</v>
      </c>
      <c r="S728" s="8"/>
      <c r="T728" s="8"/>
      <c r="U728" s="8"/>
      <c r="V728" s="8"/>
      <c r="W728" s="8"/>
      <c r="X728" s="8"/>
      <c r="Y728" s="8"/>
      <c r="Z728" s="10" t="s">
        <v>4286</v>
      </c>
      <c r="AA728" s="8" t="s">
        <v>332</v>
      </c>
      <c r="AB728" s="8">
        <v>1</v>
      </c>
    </row>
    <row r="729" spans="1:28" ht="21.6" customHeight="1">
      <c r="A729" s="8">
        <v>284</v>
      </c>
      <c r="B729" s="8">
        <v>2025072124</v>
      </c>
      <c r="C729" s="8">
        <v>1</v>
      </c>
      <c r="D729" s="8" t="s">
        <v>3177</v>
      </c>
      <c r="E729" s="8" t="s">
        <v>118</v>
      </c>
      <c r="F729" s="8" t="s">
        <v>4246</v>
      </c>
      <c r="G729" s="8" t="s">
        <v>3426</v>
      </c>
      <c r="H729" s="8" t="s">
        <v>3431</v>
      </c>
      <c r="I729" s="8" t="s">
        <v>3557</v>
      </c>
      <c r="J729" s="8" t="s">
        <v>3328</v>
      </c>
      <c r="K729" s="8" t="s">
        <v>3183</v>
      </c>
      <c r="L729" s="10" t="s">
        <v>3558</v>
      </c>
      <c r="M729" s="10" t="s">
        <v>3559</v>
      </c>
      <c r="N729" s="10" t="s">
        <v>3508</v>
      </c>
      <c r="O729" s="8" t="s">
        <v>322</v>
      </c>
      <c r="P729" s="8"/>
      <c r="Q729" s="8">
        <v>3391</v>
      </c>
      <c r="R729" s="8">
        <v>1226</v>
      </c>
      <c r="S729" s="8" t="s">
        <v>332</v>
      </c>
      <c r="T729" s="8"/>
      <c r="U729" s="8"/>
      <c r="V729" s="8"/>
      <c r="W729" s="8"/>
      <c r="X729" s="8"/>
      <c r="Y729" s="8"/>
      <c r="Z729" s="10" t="s">
        <v>3696</v>
      </c>
      <c r="AA729" s="8" t="s">
        <v>332</v>
      </c>
      <c r="AB729" s="8">
        <v>1</v>
      </c>
    </row>
    <row r="730" spans="1:28" ht="21.6" customHeight="1">
      <c r="A730" s="8">
        <v>286</v>
      </c>
      <c r="B730" s="8">
        <v>2025072064</v>
      </c>
      <c r="C730" s="8">
        <v>1</v>
      </c>
      <c r="D730" s="8" t="s">
        <v>3177</v>
      </c>
      <c r="E730" s="8" t="s">
        <v>118</v>
      </c>
      <c r="F730" s="8" t="s">
        <v>4246</v>
      </c>
      <c r="G730" s="8" t="s">
        <v>3250</v>
      </c>
      <c r="H730" s="8" t="s">
        <v>3204</v>
      </c>
      <c r="I730" s="8" t="s">
        <v>3567</v>
      </c>
      <c r="J730" s="8" t="s">
        <v>1717</v>
      </c>
      <c r="K730" s="8" t="s">
        <v>3183</v>
      </c>
      <c r="L730" s="10" t="s">
        <v>3254</v>
      </c>
      <c r="M730" s="10" t="s">
        <v>3547</v>
      </c>
      <c r="N730" s="10" t="s">
        <v>3568</v>
      </c>
      <c r="O730" s="8" t="s">
        <v>322</v>
      </c>
      <c r="P730" s="8"/>
      <c r="Q730" s="8"/>
      <c r="R730" s="8">
        <v>70175</v>
      </c>
      <c r="S730" s="8"/>
      <c r="T730" s="8"/>
      <c r="U730" s="8" t="s">
        <v>332</v>
      </c>
      <c r="V730" s="8"/>
      <c r="W730" s="8"/>
      <c r="X730" s="8"/>
      <c r="Y730" s="8"/>
      <c r="Z730" s="10" t="s">
        <v>3362</v>
      </c>
      <c r="AA730" s="8" t="s">
        <v>332</v>
      </c>
      <c r="AB730" s="8">
        <v>1</v>
      </c>
    </row>
    <row r="731" spans="1:28" ht="21.6" customHeight="1">
      <c r="A731" s="8">
        <v>287</v>
      </c>
      <c r="B731" s="8">
        <v>2025072065</v>
      </c>
      <c r="C731" s="8">
        <v>1</v>
      </c>
      <c r="D731" s="8" t="s">
        <v>3177</v>
      </c>
      <c r="E731" s="8" t="s">
        <v>118</v>
      </c>
      <c r="F731" s="8" t="s">
        <v>4246</v>
      </c>
      <c r="G731" s="8" t="s">
        <v>3204</v>
      </c>
      <c r="H731" s="8" t="s">
        <v>3427</v>
      </c>
      <c r="I731" s="8" t="s">
        <v>3570</v>
      </c>
      <c r="J731" s="8" t="s">
        <v>1717</v>
      </c>
      <c r="K731" s="8" t="s">
        <v>3183</v>
      </c>
      <c r="L731" s="10" t="s">
        <v>3254</v>
      </c>
      <c r="M731" s="10" t="s">
        <v>3547</v>
      </c>
      <c r="N731" s="10" t="s">
        <v>3571</v>
      </c>
      <c r="O731" s="8" t="s">
        <v>322</v>
      </c>
      <c r="P731" s="8"/>
      <c r="Q731" s="8"/>
      <c r="R731" s="8">
        <v>431821</v>
      </c>
      <c r="S731" s="8"/>
      <c r="T731" s="8"/>
      <c r="U731" s="8" t="s">
        <v>332</v>
      </c>
      <c r="V731" s="8"/>
      <c r="W731" s="8"/>
      <c r="X731" s="8"/>
      <c r="Y731" s="8"/>
      <c r="Z731" s="10" t="s">
        <v>3362</v>
      </c>
      <c r="AA731" s="8" t="s">
        <v>332</v>
      </c>
      <c r="AB731" s="8">
        <v>1</v>
      </c>
    </row>
    <row r="732" spans="1:28" ht="21.6" customHeight="1">
      <c r="A732" s="8">
        <v>288</v>
      </c>
      <c r="B732" s="8">
        <v>2025072777</v>
      </c>
      <c r="C732" s="8">
        <v>1</v>
      </c>
      <c r="D732" s="8" t="s">
        <v>3177</v>
      </c>
      <c r="E732" s="8" t="s">
        <v>118</v>
      </c>
      <c r="F732" s="8" t="s">
        <v>4225</v>
      </c>
      <c r="G732" s="8" t="s">
        <v>3233</v>
      </c>
      <c r="H732" s="8" t="s">
        <v>3381</v>
      </c>
      <c r="I732" s="8" t="s">
        <v>3572</v>
      </c>
      <c r="J732" s="8" t="s">
        <v>1717</v>
      </c>
      <c r="K732" s="8" t="s">
        <v>3183</v>
      </c>
      <c r="L732" s="10" t="s">
        <v>3472</v>
      </c>
      <c r="M732" s="10" t="s">
        <v>3410</v>
      </c>
      <c r="N732" s="10" t="s">
        <v>3442</v>
      </c>
      <c r="O732" s="8" t="s">
        <v>322</v>
      </c>
      <c r="P732" s="8"/>
      <c r="Q732" s="8"/>
      <c r="R732" s="8">
        <v>80320</v>
      </c>
      <c r="S732" s="8" t="s">
        <v>332</v>
      </c>
      <c r="T732" s="8"/>
      <c r="U732" s="8"/>
      <c r="V732" s="8"/>
      <c r="W732" s="8"/>
      <c r="X732" s="8"/>
      <c r="Y732" s="8"/>
      <c r="Z732" s="10" t="s">
        <v>3821</v>
      </c>
      <c r="AA732" s="8" t="s">
        <v>332</v>
      </c>
      <c r="AB732" s="8">
        <v>1</v>
      </c>
    </row>
    <row r="733" spans="1:28" ht="21.6" customHeight="1">
      <c r="A733" s="8">
        <v>292</v>
      </c>
      <c r="B733" s="8">
        <v>2025070501</v>
      </c>
      <c r="C733" s="8">
        <v>1</v>
      </c>
      <c r="D733" s="8" t="s">
        <v>3177</v>
      </c>
      <c r="E733" s="8" t="s">
        <v>118</v>
      </c>
      <c r="F733" s="8" t="s">
        <v>4241</v>
      </c>
      <c r="G733" s="8" t="s">
        <v>3396</v>
      </c>
      <c r="H733" s="8" t="s">
        <v>3280</v>
      </c>
      <c r="I733" s="8" t="s">
        <v>4287</v>
      </c>
      <c r="J733" s="8" t="s">
        <v>1717</v>
      </c>
      <c r="K733" s="8" t="s">
        <v>3183</v>
      </c>
      <c r="L733" s="10" t="s">
        <v>3550</v>
      </c>
      <c r="M733" s="10" t="s">
        <v>3551</v>
      </c>
      <c r="N733" s="10" t="s">
        <v>3552</v>
      </c>
      <c r="O733" s="8" t="s">
        <v>322</v>
      </c>
      <c r="P733" s="8"/>
      <c r="Q733" s="8"/>
      <c r="R733" s="8">
        <v>9306</v>
      </c>
      <c r="S733" s="8"/>
      <c r="T733" s="8"/>
      <c r="U733" s="8" t="s">
        <v>332</v>
      </c>
      <c r="V733" s="8"/>
      <c r="W733" s="8"/>
      <c r="X733" s="8"/>
      <c r="Y733" s="8"/>
      <c r="Z733" s="10" t="s">
        <v>3362</v>
      </c>
      <c r="AA733" s="8" t="s">
        <v>332</v>
      </c>
      <c r="AB733" s="8">
        <v>1</v>
      </c>
    </row>
    <row r="734" spans="1:28" ht="21.6" customHeight="1">
      <c r="A734" s="8">
        <v>293</v>
      </c>
      <c r="B734" s="8">
        <v>2025072031</v>
      </c>
      <c r="C734" s="8">
        <v>1</v>
      </c>
      <c r="D734" s="8" t="s">
        <v>3177</v>
      </c>
      <c r="E734" s="8" t="s">
        <v>118</v>
      </c>
      <c r="F734" s="8" t="s">
        <v>4246</v>
      </c>
      <c r="G734" s="8" t="s">
        <v>3363</v>
      </c>
      <c r="H734" s="8" t="s">
        <v>4288</v>
      </c>
      <c r="I734" s="8" t="s">
        <v>4287</v>
      </c>
      <c r="J734" s="8" t="s">
        <v>1717</v>
      </c>
      <c r="K734" s="8" t="s">
        <v>3183</v>
      </c>
      <c r="L734" s="10" t="s">
        <v>3550</v>
      </c>
      <c r="M734" s="10" t="s">
        <v>3551</v>
      </c>
      <c r="N734" s="10" t="s">
        <v>3552</v>
      </c>
      <c r="O734" s="8" t="s">
        <v>363</v>
      </c>
      <c r="P734" s="8"/>
      <c r="Q734" s="8"/>
      <c r="R734" s="8">
        <v>9306</v>
      </c>
      <c r="S734" s="8"/>
      <c r="T734" s="8"/>
      <c r="U734" s="8"/>
      <c r="V734" s="8"/>
      <c r="W734" s="8"/>
      <c r="X734" s="8"/>
      <c r="Y734" s="8"/>
      <c r="Z734" s="10" t="s">
        <v>4289</v>
      </c>
      <c r="AA734" s="8" t="s">
        <v>332</v>
      </c>
      <c r="AB734" s="8">
        <v>1</v>
      </c>
    </row>
    <row r="735" spans="1:28" ht="21.6" customHeight="1">
      <c r="A735" s="8">
        <v>298</v>
      </c>
      <c r="B735" s="8">
        <v>2025070754</v>
      </c>
      <c r="C735" s="8">
        <v>1</v>
      </c>
      <c r="D735" s="8" t="s">
        <v>3177</v>
      </c>
      <c r="E735" s="8" t="s">
        <v>118</v>
      </c>
      <c r="F735" s="8" t="s">
        <v>4233</v>
      </c>
      <c r="G735" s="8" t="s">
        <v>3829</v>
      </c>
      <c r="H735" s="8" t="s">
        <v>3387</v>
      </c>
      <c r="I735" s="8" t="s">
        <v>3573</v>
      </c>
      <c r="J735" s="8" t="s">
        <v>3574</v>
      </c>
      <c r="K735" s="8" t="s">
        <v>3183</v>
      </c>
      <c r="L735" s="10" t="s">
        <v>3398</v>
      </c>
      <c r="M735" s="10" t="s">
        <v>3575</v>
      </c>
      <c r="N735" s="10" t="s">
        <v>3576</v>
      </c>
      <c r="O735" s="8" t="s">
        <v>322</v>
      </c>
      <c r="P735" s="8"/>
      <c r="Q735" s="8"/>
      <c r="R735" s="8">
        <v>24943</v>
      </c>
      <c r="S735" s="8" t="s">
        <v>332</v>
      </c>
      <c r="T735" s="8"/>
      <c r="U735" s="8"/>
      <c r="V735" s="8"/>
      <c r="W735" s="8"/>
      <c r="X735" s="8"/>
      <c r="Y735" s="8"/>
      <c r="Z735" s="10" t="s">
        <v>3821</v>
      </c>
      <c r="AA735" s="8" t="s">
        <v>332</v>
      </c>
      <c r="AB735" s="8">
        <v>1</v>
      </c>
    </row>
    <row r="736" spans="1:28" ht="21.6" customHeight="1">
      <c r="A736" s="8">
        <v>329</v>
      </c>
      <c r="B736" s="8">
        <v>2025071797</v>
      </c>
      <c r="C736" s="8">
        <v>1</v>
      </c>
      <c r="D736" s="8" t="s">
        <v>3177</v>
      </c>
      <c r="E736" s="8" t="s">
        <v>134</v>
      </c>
      <c r="F736" s="8" t="s">
        <v>4262</v>
      </c>
      <c r="G736" s="8" t="s">
        <v>4266</v>
      </c>
      <c r="H736" s="8" t="s">
        <v>4290</v>
      </c>
      <c r="I736" s="8" t="s">
        <v>3585</v>
      </c>
      <c r="J736" s="8" t="s">
        <v>3301</v>
      </c>
      <c r="K736" s="8" t="s">
        <v>3183</v>
      </c>
      <c r="L736" s="10" t="s">
        <v>3586</v>
      </c>
      <c r="M736" s="10" t="s">
        <v>3587</v>
      </c>
      <c r="N736" s="10" t="s">
        <v>3430</v>
      </c>
      <c r="O736" s="8" t="s">
        <v>3190</v>
      </c>
      <c r="P736" s="8"/>
      <c r="Q736" s="8">
        <v>4105</v>
      </c>
      <c r="R736" s="8">
        <v>51774</v>
      </c>
      <c r="S736" s="8"/>
      <c r="T736" s="8"/>
      <c r="U736" s="8"/>
      <c r="V736" s="8"/>
      <c r="W736" s="8"/>
      <c r="X736" s="8"/>
      <c r="Y736" s="8"/>
      <c r="Z736" s="10"/>
      <c r="AA736" s="8" t="s">
        <v>332</v>
      </c>
      <c r="AB736" s="8">
        <v>1</v>
      </c>
    </row>
    <row r="737" spans="1:28" ht="21.6" customHeight="1">
      <c r="A737" s="8">
        <v>330</v>
      </c>
      <c r="B737" s="8">
        <v>2025071798</v>
      </c>
      <c r="C737" s="8">
        <v>1</v>
      </c>
      <c r="D737" s="8" t="s">
        <v>3177</v>
      </c>
      <c r="E737" s="8" t="s">
        <v>134</v>
      </c>
      <c r="F737" s="8" t="s">
        <v>4262</v>
      </c>
      <c r="G737" s="8" t="s">
        <v>4266</v>
      </c>
      <c r="H737" s="8" t="s">
        <v>4290</v>
      </c>
      <c r="I737" s="8" t="s">
        <v>3592</v>
      </c>
      <c r="J737" s="8" t="s">
        <v>3301</v>
      </c>
      <c r="K737" s="8" t="s">
        <v>3183</v>
      </c>
      <c r="L737" s="10" t="s">
        <v>3586</v>
      </c>
      <c r="M737" s="10" t="s">
        <v>3587</v>
      </c>
      <c r="N737" s="10" t="s">
        <v>3430</v>
      </c>
      <c r="O737" s="8" t="s">
        <v>3190</v>
      </c>
      <c r="P737" s="8"/>
      <c r="Q737" s="8">
        <v>6722</v>
      </c>
      <c r="R737" s="8">
        <v>89051</v>
      </c>
      <c r="S737" s="8"/>
      <c r="T737" s="8"/>
      <c r="U737" s="8"/>
      <c r="V737" s="8"/>
      <c r="W737" s="8"/>
      <c r="X737" s="8"/>
      <c r="Y737" s="8"/>
      <c r="Z737" s="10"/>
      <c r="AA737" s="8" t="s">
        <v>332</v>
      </c>
      <c r="AB737" s="8">
        <v>1</v>
      </c>
    </row>
    <row r="738" spans="1:28" ht="21.6" customHeight="1">
      <c r="A738" s="8">
        <v>331</v>
      </c>
      <c r="B738" s="8">
        <v>2025073106</v>
      </c>
      <c r="C738" s="8">
        <v>1</v>
      </c>
      <c r="D738" s="8" t="s">
        <v>3177</v>
      </c>
      <c r="E738" s="8" t="s">
        <v>134</v>
      </c>
      <c r="F738" s="8" t="s">
        <v>4283</v>
      </c>
      <c r="G738" s="8" t="s">
        <v>3615</v>
      </c>
      <c r="H738" s="8" t="s">
        <v>4291</v>
      </c>
      <c r="I738" s="8" t="s">
        <v>3592</v>
      </c>
      <c r="J738" s="8" t="s">
        <v>3301</v>
      </c>
      <c r="K738" s="8" t="s">
        <v>3183</v>
      </c>
      <c r="L738" s="10" t="s">
        <v>3586</v>
      </c>
      <c r="M738" s="10" t="s">
        <v>3587</v>
      </c>
      <c r="N738" s="10" t="s">
        <v>3430</v>
      </c>
      <c r="O738" s="8" t="s">
        <v>363</v>
      </c>
      <c r="P738" s="8"/>
      <c r="Q738" s="8">
        <v>4392</v>
      </c>
      <c r="R738" s="8">
        <v>52994</v>
      </c>
      <c r="S738" s="8"/>
      <c r="T738" s="8"/>
      <c r="U738" s="8"/>
      <c r="V738" s="8"/>
      <c r="W738" s="8"/>
      <c r="X738" s="8"/>
      <c r="Y738" s="8"/>
      <c r="Z738" s="10" t="s">
        <v>4292</v>
      </c>
      <c r="AA738" s="8" t="s">
        <v>332</v>
      </c>
      <c r="AB738" s="8">
        <v>1</v>
      </c>
    </row>
    <row r="739" spans="1:28" ht="21.6" customHeight="1">
      <c r="A739" s="8">
        <v>37</v>
      </c>
      <c r="B739" s="8">
        <v>2025070955</v>
      </c>
      <c r="C739" s="8">
        <v>1</v>
      </c>
      <c r="D739" s="8" t="s">
        <v>3177</v>
      </c>
      <c r="E739" s="8" t="s">
        <v>123</v>
      </c>
      <c r="F739" s="8" t="s">
        <v>4205</v>
      </c>
      <c r="G739" s="8" t="s">
        <v>4109</v>
      </c>
      <c r="H739" s="8" t="s">
        <v>3767</v>
      </c>
      <c r="I739" s="8" t="s">
        <v>3282</v>
      </c>
      <c r="J739" s="8" t="s">
        <v>3277</v>
      </c>
      <c r="K739" s="8" t="s">
        <v>3183</v>
      </c>
      <c r="L739" s="10" t="s">
        <v>3283</v>
      </c>
      <c r="M739" s="10" t="s">
        <v>3284</v>
      </c>
      <c r="N739" s="10"/>
      <c r="O739" s="8" t="s">
        <v>3190</v>
      </c>
      <c r="P739" s="8"/>
      <c r="Q739" s="8"/>
      <c r="R739" s="8">
        <v>25400</v>
      </c>
      <c r="S739" s="8"/>
      <c r="T739" s="8"/>
      <c r="U739" s="8"/>
      <c r="V739" s="8"/>
      <c r="W739" s="8"/>
      <c r="X739" s="8"/>
      <c r="Y739" s="8"/>
      <c r="Z739" s="10" t="s">
        <v>3186</v>
      </c>
      <c r="AA739" s="8" t="s">
        <v>332</v>
      </c>
      <c r="AB739" s="8">
        <v>1</v>
      </c>
    </row>
    <row r="740" spans="1:28" ht="21.6" customHeight="1">
      <c r="A740" s="8">
        <v>41</v>
      </c>
      <c r="B740" s="8">
        <v>2025070959</v>
      </c>
      <c r="C740" s="8">
        <v>1</v>
      </c>
      <c r="D740" s="8" t="s">
        <v>3177</v>
      </c>
      <c r="E740" s="8" t="s">
        <v>123</v>
      </c>
      <c r="F740" s="8" t="s">
        <v>4205</v>
      </c>
      <c r="G740" s="8" t="s">
        <v>4218</v>
      </c>
      <c r="H740" s="8" t="s">
        <v>4219</v>
      </c>
      <c r="I740" s="8" t="s">
        <v>3293</v>
      </c>
      <c r="J740" s="8" t="s">
        <v>3288</v>
      </c>
      <c r="K740" s="8" t="s">
        <v>3183</v>
      </c>
      <c r="L740" s="10" t="s">
        <v>3294</v>
      </c>
      <c r="M740" s="10" t="s">
        <v>3295</v>
      </c>
      <c r="N740" s="10" t="s">
        <v>3272</v>
      </c>
      <c r="O740" s="8" t="s">
        <v>322</v>
      </c>
      <c r="P740" s="8"/>
      <c r="Q740" s="8">
        <v>2346</v>
      </c>
      <c r="R740" s="8">
        <v>279645</v>
      </c>
      <c r="S740" s="8" t="s">
        <v>332</v>
      </c>
      <c r="T740" s="8"/>
      <c r="U740" s="8"/>
      <c r="V740" s="8"/>
      <c r="W740" s="8"/>
      <c r="X740" s="8"/>
      <c r="Y740" s="8"/>
      <c r="Z740" s="10" t="s">
        <v>4220</v>
      </c>
      <c r="AA740" s="8" t="s">
        <v>332</v>
      </c>
      <c r="AB740" s="8">
        <v>1</v>
      </c>
    </row>
    <row r="741" spans="1:28" ht="21.6" customHeight="1">
      <c r="A741" s="8">
        <v>157</v>
      </c>
      <c r="B741" s="8">
        <v>2025071355</v>
      </c>
      <c r="C741" s="8">
        <v>1</v>
      </c>
      <c r="D741" s="8" t="s">
        <v>3177</v>
      </c>
      <c r="E741" s="8" t="s">
        <v>118</v>
      </c>
      <c r="F741" s="8" t="s">
        <v>4232</v>
      </c>
      <c r="G741" s="8" t="s">
        <v>3280</v>
      </c>
      <c r="H741" s="8" t="s">
        <v>3363</v>
      </c>
      <c r="I741" s="8" t="s">
        <v>3370</v>
      </c>
      <c r="J741" s="8" t="s">
        <v>3195</v>
      </c>
      <c r="K741" s="8" t="s">
        <v>3183</v>
      </c>
      <c r="L741" s="10" t="s">
        <v>3371</v>
      </c>
      <c r="M741" s="10" t="s">
        <v>3372</v>
      </c>
      <c r="N741" s="10" t="s">
        <v>3373</v>
      </c>
      <c r="O741" s="8" t="s">
        <v>3190</v>
      </c>
      <c r="P741" s="8"/>
      <c r="Q741" s="8">
        <v>15218</v>
      </c>
      <c r="R741" s="8">
        <v>135890</v>
      </c>
      <c r="S741" s="8"/>
      <c r="T741" s="8"/>
      <c r="U741" s="8"/>
      <c r="V741" s="8"/>
      <c r="W741" s="8"/>
      <c r="X741" s="8"/>
      <c r="Y741" s="8"/>
      <c r="Z741" s="10" t="s">
        <v>3696</v>
      </c>
      <c r="AA741" s="8" t="s">
        <v>332</v>
      </c>
      <c r="AB741" s="8">
        <v>1</v>
      </c>
    </row>
    <row r="742" spans="1:28" ht="21.6" customHeight="1">
      <c r="A742" s="8">
        <v>192</v>
      </c>
      <c r="B742" s="8">
        <v>2025070748</v>
      </c>
      <c r="C742" s="8">
        <v>1</v>
      </c>
      <c r="D742" s="8" t="s">
        <v>3177</v>
      </c>
      <c r="E742" s="8" t="s">
        <v>118</v>
      </c>
      <c r="F742" s="8" t="s">
        <v>4233</v>
      </c>
      <c r="G742" s="8" t="s">
        <v>3329</v>
      </c>
      <c r="H742" s="8" t="s">
        <v>3654</v>
      </c>
      <c r="I742" s="8" t="s">
        <v>3404</v>
      </c>
      <c r="J742" s="8" t="s">
        <v>3253</v>
      </c>
      <c r="K742" s="8" t="s">
        <v>3183</v>
      </c>
      <c r="L742" s="10" t="s">
        <v>3398</v>
      </c>
      <c r="M742" s="10" t="s">
        <v>3405</v>
      </c>
      <c r="N742" s="10" t="s">
        <v>3406</v>
      </c>
      <c r="O742" s="8" t="s">
        <v>3190</v>
      </c>
      <c r="P742" s="8"/>
      <c r="Q742" s="8"/>
      <c r="R742" s="8">
        <v>163873</v>
      </c>
      <c r="S742" s="8"/>
      <c r="T742" s="8"/>
      <c r="U742" s="8"/>
      <c r="V742" s="8"/>
      <c r="W742" s="8"/>
      <c r="X742" s="8"/>
      <c r="Y742" s="8"/>
      <c r="Z742" s="10" t="s">
        <v>3821</v>
      </c>
      <c r="AA742" s="8" t="s">
        <v>332</v>
      </c>
      <c r="AB742" s="8">
        <v>1</v>
      </c>
    </row>
    <row r="743" spans="1:28" ht="21.6" customHeight="1">
      <c r="A743" s="8">
        <v>206</v>
      </c>
      <c r="B743" s="8">
        <v>2025072181</v>
      </c>
      <c r="C743" s="8">
        <v>1</v>
      </c>
      <c r="D743" s="8" t="s">
        <v>3177</v>
      </c>
      <c r="E743" s="8" t="s">
        <v>118</v>
      </c>
      <c r="F743" s="8" t="s">
        <v>4198</v>
      </c>
      <c r="G743" s="8" t="s">
        <v>3363</v>
      </c>
      <c r="H743" s="8" t="s">
        <v>3381</v>
      </c>
      <c r="I743" s="8" t="s">
        <v>4293</v>
      </c>
      <c r="J743" s="8" t="s">
        <v>3253</v>
      </c>
      <c r="K743" s="8" t="s">
        <v>3183</v>
      </c>
      <c r="L743" s="10" t="s">
        <v>3254</v>
      </c>
      <c r="M743" s="10" t="s">
        <v>4294</v>
      </c>
      <c r="N743" s="10" t="s">
        <v>4295</v>
      </c>
      <c r="O743" s="8" t="s">
        <v>3190</v>
      </c>
      <c r="P743" s="8"/>
      <c r="Q743" s="8"/>
      <c r="R743" s="8">
        <v>93598</v>
      </c>
      <c r="S743" s="8"/>
      <c r="T743" s="8"/>
      <c r="U743" s="8"/>
      <c r="V743" s="8"/>
      <c r="W743" s="8"/>
      <c r="X743" s="8"/>
      <c r="Y743" s="8"/>
      <c r="Z743" s="10" t="s">
        <v>3323</v>
      </c>
      <c r="AA743" s="8" t="s">
        <v>332</v>
      </c>
      <c r="AB743" s="8">
        <v>1</v>
      </c>
    </row>
    <row r="744" spans="1:28" ht="21.6" customHeight="1">
      <c r="A744" s="8">
        <v>215</v>
      </c>
      <c r="B744" s="8">
        <v>2025073642</v>
      </c>
      <c r="C744" s="8">
        <v>1</v>
      </c>
      <c r="D744" s="8" t="s">
        <v>3177</v>
      </c>
      <c r="E744" s="8" t="s">
        <v>118</v>
      </c>
      <c r="F744" s="8" t="s">
        <v>4296</v>
      </c>
      <c r="G744" s="8" t="s">
        <v>3363</v>
      </c>
      <c r="H744" s="8" t="s">
        <v>4057</v>
      </c>
      <c r="I744" s="8" t="s">
        <v>3433</v>
      </c>
      <c r="J744" s="8" t="s">
        <v>3277</v>
      </c>
      <c r="K744" s="8" t="s">
        <v>3183</v>
      </c>
      <c r="L744" s="10" t="s">
        <v>3434</v>
      </c>
      <c r="M744" s="10" t="s">
        <v>3435</v>
      </c>
      <c r="N744" s="10" t="s">
        <v>3436</v>
      </c>
      <c r="O744" s="8" t="s">
        <v>363</v>
      </c>
      <c r="P744" s="8"/>
      <c r="Q744" s="8"/>
      <c r="R744" s="8">
        <v>141355</v>
      </c>
      <c r="S744" s="8"/>
      <c r="T744" s="8"/>
      <c r="U744" s="8"/>
      <c r="V744" s="8"/>
      <c r="W744" s="8"/>
      <c r="X744" s="8"/>
      <c r="Y744" s="8"/>
      <c r="Z744" s="10" t="s">
        <v>4297</v>
      </c>
      <c r="AA744" s="8" t="s">
        <v>332</v>
      </c>
      <c r="AB744" s="8">
        <v>1</v>
      </c>
    </row>
    <row r="745" spans="1:28" ht="21.6" customHeight="1">
      <c r="A745" s="8">
        <v>243</v>
      </c>
      <c r="B745" s="8">
        <v>2025073682</v>
      </c>
      <c r="C745" s="8">
        <v>1</v>
      </c>
      <c r="D745" s="8" t="s">
        <v>3177</v>
      </c>
      <c r="E745" s="8" t="s">
        <v>118</v>
      </c>
      <c r="F745" s="8" t="s">
        <v>4296</v>
      </c>
      <c r="G745" s="8" t="s">
        <v>3204</v>
      </c>
      <c r="H745" s="8" t="s">
        <v>3990</v>
      </c>
      <c r="I745" s="8" t="s">
        <v>3487</v>
      </c>
      <c r="J745" s="8" t="s">
        <v>3288</v>
      </c>
      <c r="K745" s="8" t="s">
        <v>3183</v>
      </c>
      <c r="L745" s="10" t="s">
        <v>3488</v>
      </c>
      <c r="M745" s="10" t="s">
        <v>3489</v>
      </c>
      <c r="N745" s="10" t="s">
        <v>3490</v>
      </c>
      <c r="O745" s="8" t="s">
        <v>322</v>
      </c>
      <c r="P745" s="8"/>
      <c r="Q745" s="8">
        <v>27044</v>
      </c>
      <c r="R745" s="8">
        <v>28330</v>
      </c>
      <c r="S745" s="8" t="s">
        <v>332</v>
      </c>
      <c r="T745" s="8"/>
      <c r="U745" s="8"/>
      <c r="V745" s="8"/>
      <c r="W745" s="8"/>
      <c r="X745" s="8"/>
      <c r="Y745" s="8"/>
      <c r="Z745" s="10" t="s">
        <v>3821</v>
      </c>
      <c r="AA745" s="8" t="s">
        <v>332</v>
      </c>
      <c r="AB745" s="8">
        <v>1</v>
      </c>
    </row>
    <row r="746" spans="1:28" ht="21.6" customHeight="1">
      <c r="A746" s="8">
        <v>259</v>
      </c>
      <c r="B746" s="8">
        <v>2025070742</v>
      </c>
      <c r="C746" s="8">
        <v>1</v>
      </c>
      <c r="D746" s="8" t="s">
        <v>3177</v>
      </c>
      <c r="E746" s="8" t="s">
        <v>118</v>
      </c>
      <c r="F746" s="8" t="s">
        <v>4233</v>
      </c>
      <c r="G746" s="8" t="s">
        <v>4031</v>
      </c>
      <c r="H746" s="8" t="s">
        <v>3311</v>
      </c>
      <c r="I746" s="8" t="s">
        <v>3513</v>
      </c>
      <c r="J746" s="8" t="s">
        <v>3298</v>
      </c>
      <c r="K746" s="8" t="s">
        <v>3183</v>
      </c>
      <c r="L746" s="10" t="s">
        <v>3398</v>
      </c>
      <c r="M746" s="10" t="s">
        <v>3514</v>
      </c>
      <c r="N746" s="10" t="s">
        <v>3379</v>
      </c>
      <c r="O746" s="8" t="s">
        <v>3190</v>
      </c>
      <c r="P746" s="8"/>
      <c r="Q746" s="8"/>
      <c r="R746" s="8">
        <v>144678</v>
      </c>
      <c r="S746" s="8"/>
      <c r="T746" s="8"/>
      <c r="U746" s="8"/>
      <c r="V746" s="8"/>
      <c r="W746" s="8"/>
      <c r="X746" s="8"/>
      <c r="Y746" s="8"/>
      <c r="Z746" s="10" t="s">
        <v>3821</v>
      </c>
      <c r="AA746" s="8" t="s">
        <v>332</v>
      </c>
      <c r="AB746" s="8">
        <v>1</v>
      </c>
    </row>
    <row r="747" spans="1:28" ht="21.6" customHeight="1">
      <c r="A747" s="8">
        <v>303</v>
      </c>
      <c r="B747" s="8">
        <v>2025072418</v>
      </c>
      <c r="C747" s="8">
        <v>1</v>
      </c>
      <c r="D747" s="8" t="s">
        <v>3177</v>
      </c>
      <c r="E747" s="8" t="s">
        <v>118</v>
      </c>
      <c r="F747" s="8" t="s">
        <v>4201</v>
      </c>
      <c r="G747" s="8" t="s">
        <v>3280</v>
      </c>
      <c r="H747" s="8" t="s">
        <v>3363</v>
      </c>
      <c r="I747" s="8" t="s">
        <v>3757</v>
      </c>
      <c r="J747" s="8" t="s">
        <v>3758</v>
      </c>
      <c r="K747" s="8" t="s">
        <v>3183</v>
      </c>
      <c r="L747" s="10" t="s">
        <v>3759</v>
      </c>
      <c r="M747" s="10" t="s">
        <v>3760</v>
      </c>
      <c r="N747" s="10" t="s">
        <v>3761</v>
      </c>
      <c r="O747" s="8" t="s">
        <v>3190</v>
      </c>
      <c r="P747" s="8"/>
      <c r="Q747" s="8">
        <v>2052</v>
      </c>
      <c r="R747" s="8">
        <v>154358</v>
      </c>
      <c r="S747" s="8"/>
      <c r="T747" s="8"/>
      <c r="U747" s="8"/>
      <c r="V747" s="8"/>
      <c r="W747" s="8"/>
      <c r="X747" s="8"/>
      <c r="Y747" s="8"/>
      <c r="Z747" s="10" t="s">
        <v>3821</v>
      </c>
      <c r="AA747" s="8" t="s">
        <v>332</v>
      </c>
      <c r="AB747" s="8">
        <v>1</v>
      </c>
    </row>
    <row r="748" spans="1:28" ht="21.6" customHeight="1">
      <c r="A748" s="8">
        <v>48</v>
      </c>
      <c r="B748" s="8">
        <v>2025072193</v>
      </c>
      <c r="C748" s="8">
        <v>1</v>
      </c>
      <c r="D748" s="8" t="s">
        <v>3177</v>
      </c>
      <c r="E748" s="8" t="s">
        <v>123</v>
      </c>
      <c r="F748" s="8" t="s">
        <v>4198</v>
      </c>
      <c r="G748" s="8" t="s">
        <v>3907</v>
      </c>
      <c r="H748" s="8" t="s">
        <v>4223</v>
      </c>
      <c r="I748" s="8" t="s">
        <v>3307</v>
      </c>
      <c r="J748" s="8" t="s">
        <v>3301</v>
      </c>
      <c r="K748" s="8" t="s">
        <v>3183</v>
      </c>
      <c r="L748" s="10" t="s">
        <v>3308</v>
      </c>
      <c r="M748" s="10" t="s">
        <v>3309</v>
      </c>
      <c r="N748" s="10" t="s">
        <v>3310</v>
      </c>
      <c r="O748" s="8" t="s">
        <v>322</v>
      </c>
      <c r="P748" s="8"/>
      <c r="Q748" s="8">
        <v>5375</v>
      </c>
      <c r="R748" s="8">
        <v>42458</v>
      </c>
      <c r="S748" s="8" t="s">
        <v>332</v>
      </c>
      <c r="T748" s="8"/>
      <c r="U748" s="8"/>
      <c r="V748" s="8"/>
      <c r="W748" s="8"/>
      <c r="X748" s="8"/>
      <c r="Y748" s="8"/>
      <c r="Z748" s="10" t="s">
        <v>3186</v>
      </c>
      <c r="AA748" s="8" t="s">
        <v>332</v>
      </c>
      <c r="AB748" s="8">
        <v>1</v>
      </c>
    </row>
    <row r="749" spans="1:28" ht="21.6" customHeight="1">
      <c r="A749" s="8">
        <v>196</v>
      </c>
      <c r="B749" s="8">
        <v>2025073293</v>
      </c>
      <c r="C749" s="8">
        <v>1</v>
      </c>
      <c r="D749" s="8" t="s">
        <v>3177</v>
      </c>
      <c r="E749" s="8" t="s">
        <v>118</v>
      </c>
      <c r="F749" s="8" t="s">
        <v>4228</v>
      </c>
      <c r="G749" s="8" t="s">
        <v>3280</v>
      </c>
      <c r="H749" s="8" t="s">
        <v>3363</v>
      </c>
      <c r="I749" s="8" t="s">
        <v>3413</v>
      </c>
      <c r="J749" s="8" t="s">
        <v>3253</v>
      </c>
      <c r="K749" s="8" t="s">
        <v>3183</v>
      </c>
      <c r="L749" s="10" t="s">
        <v>3414</v>
      </c>
      <c r="M749" s="10" t="s">
        <v>3415</v>
      </c>
      <c r="N749" s="10"/>
      <c r="O749" s="8" t="s">
        <v>3190</v>
      </c>
      <c r="P749" s="8"/>
      <c r="Q749" s="8"/>
      <c r="R749" s="8">
        <v>96600</v>
      </c>
      <c r="S749" s="8"/>
      <c r="T749" s="8"/>
      <c r="U749" s="8"/>
      <c r="V749" s="8"/>
      <c r="W749" s="8"/>
      <c r="X749" s="8"/>
      <c r="Y749" s="8"/>
      <c r="Z749" s="10" t="s">
        <v>3821</v>
      </c>
      <c r="AA749" s="8" t="s">
        <v>332</v>
      </c>
      <c r="AB749" s="8">
        <v>1</v>
      </c>
    </row>
    <row r="750" spans="1:28" ht="21.6" customHeight="1">
      <c r="A750" s="8">
        <v>216</v>
      </c>
      <c r="B750" s="8">
        <v>2025070401</v>
      </c>
      <c r="C750" s="8">
        <v>1</v>
      </c>
      <c r="D750" s="8" t="s">
        <v>3177</v>
      </c>
      <c r="E750" s="8" t="s">
        <v>118</v>
      </c>
      <c r="F750" s="8" t="s">
        <v>4248</v>
      </c>
      <c r="G750" s="8" t="s">
        <v>3357</v>
      </c>
      <c r="H750" s="8" t="s">
        <v>3342</v>
      </c>
      <c r="I750" s="8" t="s">
        <v>3440</v>
      </c>
      <c r="J750" s="8" t="s">
        <v>3277</v>
      </c>
      <c r="K750" s="8" t="s">
        <v>3183</v>
      </c>
      <c r="L750" s="10" t="s">
        <v>3434</v>
      </c>
      <c r="M750" s="10" t="s">
        <v>3441</v>
      </c>
      <c r="N750" s="10" t="s">
        <v>3442</v>
      </c>
      <c r="O750" s="8" t="s">
        <v>3190</v>
      </c>
      <c r="P750" s="8"/>
      <c r="Q750" s="8"/>
      <c r="R750" s="8">
        <v>124717</v>
      </c>
      <c r="S750" s="8"/>
      <c r="T750" s="8"/>
      <c r="U750" s="8"/>
      <c r="V750" s="8"/>
      <c r="W750" s="8"/>
      <c r="X750" s="8"/>
      <c r="Y750" s="8"/>
      <c r="Z750" s="10" t="s">
        <v>3821</v>
      </c>
      <c r="AA750" s="8" t="s">
        <v>332</v>
      </c>
      <c r="AB750" s="8">
        <v>1</v>
      </c>
    </row>
    <row r="751" spans="1:28" ht="21.6" customHeight="1">
      <c r="A751" s="8">
        <v>24</v>
      </c>
      <c r="B751" s="8">
        <v>2025071654</v>
      </c>
      <c r="C751" s="8">
        <v>1</v>
      </c>
      <c r="D751" s="8" t="s">
        <v>3177</v>
      </c>
      <c r="E751" s="8" t="s">
        <v>123</v>
      </c>
      <c r="F751" s="8" t="s">
        <v>4199</v>
      </c>
      <c r="G751" s="8" t="s">
        <v>3427</v>
      </c>
      <c r="H751" s="8" t="s">
        <v>3258</v>
      </c>
      <c r="I751" s="8" t="s">
        <v>3259</v>
      </c>
      <c r="J751" s="8" t="s">
        <v>3253</v>
      </c>
      <c r="K751" s="8" t="s">
        <v>3183</v>
      </c>
      <c r="L751" s="10" t="s">
        <v>3207</v>
      </c>
      <c r="M751" s="10" t="s">
        <v>3208</v>
      </c>
      <c r="N751" s="10" t="s">
        <v>3260</v>
      </c>
      <c r="O751" s="8" t="s">
        <v>3190</v>
      </c>
      <c r="P751" s="8"/>
      <c r="Q751" s="8"/>
      <c r="R751" s="8">
        <v>85730</v>
      </c>
      <c r="S751" s="8"/>
      <c r="T751" s="8"/>
      <c r="U751" s="8"/>
      <c r="V751" s="8"/>
      <c r="W751" s="8"/>
      <c r="X751" s="8"/>
      <c r="Y751" s="8"/>
      <c r="Z751" s="10" t="s">
        <v>3186</v>
      </c>
      <c r="AA751" s="8" t="s">
        <v>332</v>
      </c>
      <c r="AB751" s="8">
        <v>1</v>
      </c>
    </row>
    <row r="752" spans="1:28" ht="21.6" customHeight="1">
      <c r="A752" s="8">
        <v>30</v>
      </c>
      <c r="B752" s="8">
        <v>2025072628</v>
      </c>
      <c r="C752" s="8">
        <v>1</v>
      </c>
      <c r="D752" s="8" t="s">
        <v>3177</v>
      </c>
      <c r="E752" s="8" t="s">
        <v>123</v>
      </c>
      <c r="F752" s="8" t="s">
        <v>4208</v>
      </c>
      <c r="G752" s="8" t="s">
        <v>4298</v>
      </c>
      <c r="H752" s="8" t="s">
        <v>4129</v>
      </c>
      <c r="I752" s="8" t="s">
        <v>4018</v>
      </c>
      <c r="J752" s="8" t="s">
        <v>3253</v>
      </c>
      <c r="K752" s="8" t="s">
        <v>3183</v>
      </c>
      <c r="L752" s="10" t="s">
        <v>3629</v>
      </c>
      <c r="M752" s="10" t="s">
        <v>4299</v>
      </c>
      <c r="N752" s="10"/>
      <c r="O752" s="8" t="s">
        <v>3190</v>
      </c>
      <c r="P752" s="8"/>
      <c r="Q752" s="8"/>
      <c r="R752" s="8">
        <v>219541</v>
      </c>
      <c r="S752" s="8"/>
      <c r="T752" s="8"/>
      <c r="U752" s="8"/>
      <c r="V752" s="8"/>
      <c r="W752" s="8"/>
      <c r="X752" s="8"/>
      <c r="Y752" s="8"/>
      <c r="Z752" s="10" t="s">
        <v>3186</v>
      </c>
      <c r="AA752" s="8" t="s">
        <v>332</v>
      </c>
      <c r="AB752" s="8">
        <v>1</v>
      </c>
    </row>
    <row r="753" spans="1:28" ht="21.6" customHeight="1">
      <c r="A753" s="8">
        <v>46</v>
      </c>
      <c r="B753" s="8">
        <v>2025073515</v>
      </c>
      <c r="C753" s="8">
        <v>1</v>
      </c>
      <c r="D753" s="8" t="s">
        <v>3177</v>
      </c>
      <c r="E753" s="8" t="s">
        <v>123</v>
      </c>
      <c r="F753" s="8" t="s">
        <v>4300</v>
      </c>
      <c r="G753" s="8" t="s">
        <v>3401</v>
      </c>
      <c r="H753" s="8" t="s">
        <v>4301</v>
      </c>
      <c r="I753" s="8" t="s">
        <v>3297</v>
      </c>
      <c r="J753" s="8" t="s">
        <v>3298</v>
      </c>
      <c r="K753" s="8" t="s">
        <v>3183</v>
      </c>
      <c r="L753" s="10" t="s">
        <v>3207</v>
      </c>
      <c r="M753" s="10" t="s">
        <v>3208</v>
      </c>
      <c r="N753" s="10" t="s">
        <v>3299</v>
      </c>
      <c r="O753" s="8" t="s">
        <v>363</v>
      </c>
      <c r="P753" s="8"/>
      <c r="Q753" s="8"/>
      <c r="R753" s="8">
        <v>149364</v>
      </c>
      <c r="S753" s="8"/>
      <c r="T753" s="8"/>
      <c r="U753" s="8"/>
      <c r="V753" s="8"/>
      <c r="W753" s="8"/>
      <c r="X753" s="8"/>
      <c r="Y753" s="8"/>
      <c r="Z753" s="10" t="s">
        <v>4302</v>
      </c>
      <c r="AA753" s="8" t="s">
        <v>332</v>
      </c>
      <c r="AB753" s="8">
        <v>1</v>
      </c>
    </row>
    <row r="754" spans="1:28" ht="21.6" customHeight="1">
      <c r="A754" s="8">
        <v>167</v>
      </c>
      <c r="B754" s="8">
        <v>2025073117</v>
      </c>
      <c r="C754" s="8">
        <v>1</v>
      </c>
      <c r="D754" s="8" t="s">
        <v>3177</v>
      </c>
      <c r="E754" s="8" t="s">
        <v>118</v>
      </c>
      <c r="F754" s="8" t="s">
        <v>4283</v>
      </c>
      <c r="G754" s="8" t="s">
        <v>3387</v>
      </c>
      <c r="H754" s="8" t="s">
        <v>3426</v>
      </c>
      <c r="I754" s="8" t="s">
        <v>3675</v>
      </c>
      <c r="J754" s="8" t="s">
        <v>3195</v>
      </c>
      <c r="K754" s="8" t="s">
        <v>3183</v>
      </c>
      <c r="L754" s="10" t="s">
        <v>3377</v>
      </c>
      <c r="M754" s="10" t="s">
        <v>3676</v>
      </c>
      <c r="N754" s="10" t="s">
        <v>3677</v>
      </c>
      <c r="O754" s="8" t="s">
        <v>3190</v>
      </c>
      <c r="P754" s="8"/>
      <c r="Q754" s="8">
        <v>13574</v>
      </c>
      <c r="R754" s="8">
        <v>17300</v>
      </c>
      <c r="S754" s="8"/>
      <c r="T754" s="8"/>
      <c r="U754" s="8"/>
      <c r="V754" s="8"/>
      <c r="W754" s="8"/>
      <c r="X754" s="8"/>
      <c r="Y754" s="8"/>
      <c r="Z754" s="10" t="s">
        <v>3821</v>
      </c>
      <c r="AA754" s="8" t="s">
        <v>332</v>
      </c>
      <c r="AB754" s="8">
        <v>1</v>
      </c>
    </row>
    <row r="755" spans="1:28" ht="21.6" customHeight="1">
      <c r="A755" s="8">
        <v>241</v>
      </c>
      <c r="B755" s="8">
        <v>2025073721</v>
      </c>
      <c r="C755" s="8">
        <v>1</v>
      </c>
      <c r="D755" s="8" t="s">
        <v>3177</v>
      </c>
      <c r="E755" s="8" t="s">
        <v>118</v>
      </c>
      <c r="F755" s="8" t="s">
        <v>4300</v>
      </c>
      <c r="G755" s="8" t="s">
        <v>3363</v>
      </c>
      <c r="H755" s="8" t="s">
        <v>3401</v>
      </c>
      <c r="I755" s="8" t="s">
        <v>3482</v>
      </c>
      <c r="J755" s="8" t="s">
        <v>3288</v>
      </c>
      <c r="K755" s="8" t="s">
        <v>3183</v>
      </c>
      <c r="L755" s="10" t="s">
        <v>3483</v>
      </c>
      <c r="M755" s="10" t="s">
        <v>3484</v>
      </c>
      <c r="N755" s="10" t="s">
        <v>3485</v>
      </c>
      <c r="O755" s="8" t="s">
        <v>322</v>
      </c>
      <c r="P755" s="8">
        <v>1572</v>
      </c>
      <c r="Q755" s="8">
        <v>4250</v>
      </c>
      <c r="R755" s="8">
        <v>28898</v>
      </c>
      <c r="S755" s="8"/>
      <c r="T755" s="8" t="s">
        <v>332</v>
      </c>
      <c r="U755" s="8"/>
      <c r="V755" s="8"/>
      <c r="W755" s="8"/>
      <c r="X755" s="8"/>
      <c r="Y755" s="8"/>
      <c r="Z755" s="10" t="s">
        <v>4303</v>
      </c>
      <c r="AA755" s="8" t="s">
        <v>332</v>
      </c>
      <c r="AB755" s="8">
        <v>1</v>
      </c>
    </row>
    <row r="756" spans="1:28" ht="21.6" customHeight="1">
      <c r="A756" s="8">
        <v>267</v>
      </c>
      <c r="B756" s="8">
        <v>2025070750</v>
      </c>
      <c r="C756" s="8">
        <v>1</v>
      </c>
      <c r="D756" s="8" t="s">
        <v>3177</v>
      </c>
      <c r="E756" s="8" t="s">
        <v>118</v>
      </c>
      <c r="F756" s="8" t="s">
        <v>4233</v>
      </c>
      <c r="G756" s="8" t="s">
        <v>3654</v>
      </c>
      <c r="H756" s="8" t="s">
        <v>3386</v>
      </c>
      <c r="I756" s="8" t="s">
        <v>3521</v>
      </c>
      <c r="J756" s="8" t="s">
        <v>3298</v>
      </c>
      <c r="K756" s="8" t="s">
        <v>3183</v>
      </c>
      <c r="L756" s="10" t="s">
        <v>3398</v>
      </c>
      <c r="M756" s="10" t="s">
        <v>3522</v>
      </c>
      <c r="N756" s="10" t="s">
        <v>3523</v>
      </c>
      <c r="O756" s="8" t="s">
        <v>3190</v>
      </c>
      <c r="P756" s="8"/>
      <c r="Q756" s="8"/>
      <c r="R756" s="8">
        <v>122901</v>
      </c>
      <c r="S756" s="8"/>
      <c r="T756" s="8"/>
      <c r="U756" s="8"/>
      <c r="V756" s="8"/>
      <c r="W756" s="8"/>
      <c r="X756" s="8"/>
      <c r="Y756" s="8"/>
      <c r="Z756" s="10" t="s">
        <v>3821</v>
      </c>
      <c r="AA756" s="8" t="s">
        <v>332</v>
      </c>
      <c r="AB756" s="8">
        <v>1</v>
      </c>
    </row>
    <row r="757" spans="1:28" ht="21.6" customHeight="1">
      <c r="A757" s="8">
        <v>283</v>
      </c>
      <c r="B757" s="8">
        <v>2025072269</v>
      </c>
      <c r="C757" s="8">
        <v>1</v>
      </c>
      <c r="D757" s="8" t="s">
        <v>3177</v>
      </c>
      <c r="E757" s="8" t="s">
        <v>118</v>
      </c>
      <c r="F757" s="8" t="s">
        <v>4198</v>
      </c>
      <c r="G757" s="8" t="s">
        <v>3204</v>
      </c>
      <c r="H757" s="8" t="s">
        <v>3427</v>
      </c>
      <c r="I757" s="8" t="s">
        <v>3539</v>
      </c>
      <c r="J757" s="8" t="s">
        <v>3298</v>
      </c>
      <c r="K757" s="8" t="s">
        <v>3183</v>
      </c>
      <c r="L757" s="10" t="s">
        <v>3540</v>
      </c>
      <c r="M757" s="10" t="s">
        <v>3541</v>
      </c>
      <c r="N757" s="10"/>
      <c r="O757" s="8" t="s">
        <v>3190</v>
      </c>
      <c r="P757" s="8"/>
      <c r="Q757" s="8"/>
      <c r="R757" s="8">
        <v>77543</v>
      </c>
      <c r="S757" s="8"/>
      <c r="T757" s="8"/>
      <c r="U757" s="8"/>
      <c r="V757" s="8"/>
      <c r="W757" s="8"/>
      <c r="X757" s="8"/>
      <c r="Y757" s="8"/>
      <c r="Z757" s="10" t="s">
        <v>3821</v>
      </c>
      <c r="AA757" s="8" t="s">
        <v>332</v>
      </c>
      <c r="AB757" s="8">
        <v>1</v>
      </c>
    </row>
    <row r="758" spans="1:28" ht="21.6" customHeight="1">
      <c r="A758" s="8">
        <v>342</v>
      </c>
      <c r="B758" s="8">
        <v>2025073758</v>
      </c>
      <c r="C758" s="8">
        <v>1</v>
      </c>
      <c r="D758" s="8" t="s">
        <v>3177</v>
      </c>
      <c r="E758" s="8" t="s">
        <v>134</v>
      </c>
      <c r="F758" s="8" t="s">
        <v>4300</v>
      </c>
      <c r="G758" s="8" t="s">
        <v>4032</v>
      </c>
      <c r="H758" s="8" t="s">
        <v>3789</v>
      </c>
      <c r="I758" s="8" t="s">
        <v>4304</v>
      </c>
      <c r="J758" s="8" t="s">
        <v>3253</v>
      </c>
      <c r="K758" s="8" t="s">
        <v>3183</v>
      </c>
      <c r="L758" s="10" t="s">
        <v>4305</v>
      </c>
      <c r="M758" s="10" t="s">
        <v>4306</v>
      </c>
      <c r="N758" s="10" t="s">
        <v>134</v>
      </c>
      <c r="O758" s="8" t="s">
        <v>322</v>
      </c>
      <c r="P758" s="8"/>
      <c r="Q758" s="8"/>
      <c r="R758" s="8">
        <v>140764</v>
      </c>
      <c r="S758" s="8"/>
      <c r="T758" s="8"/>
      <c r="U758" s="8" t="s">
        <v>332</v>
      </c>
      <c r="V758" s="8"/>
      <c r="W758" s="8"/>
      <c r="X758" s="8"/>
      <c r="Y758" s="8"/>
      <c r="Z758" s="10" t="s">
        <v>4307</v>
      </c>
      <c r="AA758" s="8" t="s">
        <v>332</v>
      </c>
      <c r="AB758" s="8">
        <v>1</v>
      </c>
    </row>
    <row r="759" spans="1:28" ht="21.6" customHeight="1">
      <c r="A759" s="8">
        <v>3</v>
      </c>
      <c r="B759" s="8">
        <v>2025072179</v>
      </c>
      <c r="C759" s="8">
        <v>1</v>
      </c>
      <c r="D759" s="8" t="s">
        <v>3177</v>
      </c>
      <c r="E759" s="8" t="s">
        <v>123</v>
      </c>
      <c r="F759" s="8" t="s">
        <v>4198</v>
      </c>
      <c r="G759" s="8" t="s">
        <v>3381</v>
      </c>
      <c r="H759" s="8" t="s">
        <v>3354</v>
      </c>
      <c r="I759" s="8" t="s">
        <v>3194</v>
      </c>
      <c r="J759" s="8" t="s">
        <v>3195</v>
      </c>
      <c r="K759" s="8" t="s">
        <v>3183</v>
      </c>
      <c r="L759" s="10" t="s">
        <v>3196</v>
      </c>
      <c r="M759" s="10" t="s">
        <v>3197</v>
      </c>
      <c r="N759" s="10" t="s">
        <v>123</v>
      </c>
      <c r="O759" s="8" t="s">
        <v>3190</v>
      </c>
      <c r="P759" s="8"/>
      <c r="Q759" s="8">
        <v>82</v>
      </c>
      <c r="R759" s="8">
        <v>3376</v>
      </c>
      <c r="S759" s="8"/>
      <c r="T759" s="8"/>
      <c r="U759" s="8"/>
      <c r="V759" s="8"/>
      <c r="W759" s="8"/>
      <c r="X759" s="8"/>
      <c r="Y759" s="8"/>
      <c r="Z759" s="10" t="s">
        <v>3186</v>
      </c>
      <c r="AA759" s="8" t="s">
        <v>332</v>
      </c>
      <c r="AB759" s="8">
        <v>1</v>
      </c>
    </row>
    <row r="760" spans="1:28" ht="21.6" customHeight="1">
      <c r="A760" s="8">
        <v>28</v>
      </c>
      <c r="B760" s="8">
        <v>2025072469</v>
      </c>
      <c r="C760" s="8">
        <v>1</v>
      </c>
      <c r="D760" s="8" t="s">
        <v>3177</v>
      </c>
      <c r="E760" s="8" t="s">
        <v>123</v>
      </c>
      <c r="F760" s="8" t="s">
        <v>4201</v>
      </c>
      <c r="G760" s="8" t="s">
        <v>3657</v>
      </c>
      <c r="H760" s="8" t="s">
        <v>4204</v>
      </c>
      <c r="I760" s="8" t="s">
        <v>3263</v>
      </c>
      <c r="J760" s="8" t="s">
        <v>3253</v>
      </c>
      <c r="K760" s="8" t="s">
        <v>3183</v>
      </c>
      <c r="L760" s="10" t="s">
        <v>3264</v>
      </c>
      <c r="M760" s="10" t="s">
        <v>3265</v>
      </c>
      <c r="N760" s="10" t="s">
        <v>123</v>
      </c>
      <c r="O760" s="8" t="s">
        <v>3190</v>
      </c>
      <c r="P760" s="8"/>
      <c r="Q760" s="8"/>
      <c r="R760" s="8">
        <v>49807</v>
      </c>
      <c r="S760" s="8"/>
      <c r="T760" s="8"/>
      <c r="U760" s="8"/>
      <c r="V760" s="8"/>
      <c r="W760" s="8"/>
      <c r="X760" s="8"/>
      <c r="Y760" s="8"/>
      <c r="Z760" s="10" t="s">
        <v>3186</v>
      </c>
      <c r="AA760" s="8" t="s">
        <v>332</v>
      </c>
      <c r="AB760" s="8">
        <v>1</v>
      </c>
    </row>
    <row r="761" spans="1:28" ht="21.6" customHeight="1">
      <c r="A761" s="8">
        <v>152</v>
      </c>
      <c r="B761" s="8">
        <v>2025073820</v>
      </c>
      <c r="C761" s="8">
        <v>1</v>
      </c>
      <c r="D761" s="8" t="s">
        <v>3177</v>
      </c>
      <c r="E761" s="8" t="s">
        <v>118</v>
      </c>
      <c r="F761" s="8" t="s">
        <v>4300</v>
      </c>
      <c r="G761" s="8" t="s">
        <v>3386</v>
      </c>
      <c r="H761" s="8" t="s">
        <v>4308</v>
      </c>
      <c r="I761" s="8" t="s">
        <v>3351</v>
      </c>
      <c r="J761" s="8" t="s">
        <v>3195</v>
      </c>
      <c r="K761" s="8" t="s">
        <v>3183</v>
      </c>
      <c r="L761" s="10" t="s">
        <v>3352</v>
      </c>
      <c r="M761" s="10" t="s">
        <v>3353</v>
      </c>
      <c r="N761" s="10" t="s">
        <v>3667</v>
      </c>
      <c r="O761" s="8" t="s">
        <v>363</v>
      </c>
      <c r="P761" s="8"/>
      <c r="Q761" s="8">
        <v>10117</v>
      </c>
      <c r="R761" s="8">
        <v>69822</v>
      </c>
      <c r="S761" s="8"/>
      <c r="T761" s="8"/>
      <c r="U761" s="8"/>
      <c r="V761" s="8"/>
      <c r="W761" s="8"/>
      <c r="X761" s="8"/>
      <c r="Y761" s="8"/>
      <c r="Z761" s="10" t="s">
        <v>4309</v>
      </c>
      <c r="AA761" s="8" t="s">
        <v>332</v>
      </c>
      <c r="AB761" s="8">
        <v>1</v>
      </c>
    </row>
    <row r="762" spans="1:28" ht="21.6" customHeight="1">
      <c r="A762" s="8">
        <v>183</v>
      </c>
      <c r="B762" s="8">
        <v>2025070517</v>
      </c>
      <c r="C762" s="8">
        <v>1</v>
      </c>
      <c r="D762" s="8" t="s">
        <v>3177</v>
      </c>
      <c r="E762" s="8" t="s">
        <v>118</v>
      </c>
      <c r="F762" s="8" t="s">
        <v>4241</v>
      </c>
      <c r="G762" s="8" t="s">
        <v>3233</v>
      </c>
      <c r="H762" s="8" t="s">
        <v>3381</v>
      </c>
      <c r="I762" s="8" t="s">
        <v>3940</v>
      </c>
      <c r="J762" s="8" t="s">
        <v>3224</v>
      </c>
      <c r="K762" s="8" t="s">
        <v>3183</v>
      </c>
      <c r="L762" s="10" t="s">
        <v>3383</v>
      </c>
      <c r="M762" s="10" t="s">
        <v>3941</v>
      </c>
      <c r="N762" s="10" t="s">
        <v>3942</v>
      </c>
      <c r="O762" s="8" t="s">
        <v>3190</v>
      </c>
      <c r="P762" s="8">
        <v>43</v>
      </c>
      <c r="Q762" s="8">
        <v>575</v>
      </c>
      <c r="R762" s="8">
        <v>1909</v>
      </c>
      <c r="S762" s="8"/>
      <c r="T762" s="8"/>
      <c r="U762" s="8"/>
      <c r="V762" s="8"/>
      <c r="W762" s="8"/>
      <c r="X762" s="8"/>
      <c r="Y762" s="8"/>
      <c r="Z762" s="10" t="s">
        <v>3821</v>
      </c>
      <c r="AA762" s="8" t="s">
        <v>332</v>
      </c>
      <c r="AB762" s="8">
        <v>1</v>
      </c>
    </row>
    <row r="763" spans="1:28" ht="21.6" customHeight="1">
      <c r="A763" s="8">
        <v>191</v>
      </c>
      <c r="B763" s="8">
        <v>2025073779</v>
      </c>
      <c r="C763" s="8">
        <v>1</v>
      </c>
      <c r="D763" s="8" t="s">
        <v>3177</v>
      </c>
      <c r="E763" s="8" t="s">
        <v>118</v>
      </c>
      <c r="F763" s="8" t="s">
        <v>4300</v>
      </c>
      <c r="G763" s="8" t="s">
        <v>3368</v>
      </c>
      <c r="H763" s="8" t="s">
        <v>3204</v>
      </c>
      <c r="I763" s="8" t="s">
        <v>4310</v>
      </c>
      <c r="J763" s="8" t="s">
        <v>3253</v>
      </c>
      <c r="K763" s="8" t="s">
        <v>3183</v>
      </c>
      <c r="L763" s="10" t="s">
        <v>3254</v>
      </c>
      <c r="M763" s="10" t="s">
        <v>4311</v>
      </c>
      <c r="N763" s="10" t="s">
        <v>4312</v>
      </c>
      <c r="O763" s="8" t="s">
        <v>322</v>
      </c>
      <c r="P763" s="8"/>
      <c r="Q763" s="8"/>
      <c r="R763" s="8">
        <v>6970</v>
      </c>
      <c r="S763" s="8"/>
      <c r="T763" s="8"/>
      <c r="U763" s="8"/>
      <c r="V763" s="8"/>
      <c r="W763" s="8"/>
      <c r="X763" s="8"/>
      <c r="Y763" s="8" t="s">
        <v>332</v>
      </c>
      <c r="Z763" s="10" t="s">
        <v>3443</v>
      </c>
      <c r="AA763" s="8" t="s">
        <v>332</v>
      </c>
      <c r="AB763" s="8">
        <v>1</v>
      </c>
    </row>
    <row r="764" spans="1:28" ht="21.6" customHeight="1">
      <c r="A764" s="8">
        <v>202</v>
      </c>
      <c r="B764" s="8">
        <v>2025070921</v>
      </c>
      <c r="C764" s="8">
        <v>1</v>
      </c>
      <c r="D764" s="8" t="s">
        <v>3177</v>
      </c>
      <c r="E764" s="8" t="s">
        <v>118</v>
      </c>
      <c r="F764" s="8" t="s">
        <v>4205</v>
      </c>
      <c r="G764" s="8" t="s">
        <v>3280</v>
      </c>
      <c r="H764" s="8" t="s">
        <v>3363</v>
      </c>
      <c r="I764" s="8" t="s">
        <v>3706</v>
      </c>
      <c r="J764" s="8" t="s">
        <v>3253</v>
      </c>
      <c r="K764" s="8" t="s">
        <v>3183</v>
      </c>
      <c r="L764" s="10" t="s">
        <v>3707</v>
      </c>
      <c r="M764" s="10" t="s">
        <v>3708</v>
      </c>
      <c r="N764" s="10" t="s">
        <v>3424</v>
      </c>
      <c r="O764" s="8" t="s">
        <v>3190</v>
      </c>
      <c r="P764" s="8"/>
      <c r="Q764" s="8"/>
      <c r="R764" s="8">
        <v>203326</v>
      </c>
      <c r="S764" s="8"/>
      <c r="T764" s="8"/>
      <c r="U764" s="8"/>
      <c r="V764" s="8"/>
      <c r="W764" s="8"/>
      <c r="X764" s="8"/>
      <c r="Y764" s="8"/>
      <c r="Z764" s="10" t="s">
        <v>3821</v>
      </c>
      <c r="AA764" s="8" t="s">
        <v>332</v>
      </c>
      <c r="AB764" s="8">
        <v>1</v>
      </c>
    </row>
    <row r="765" spans="1:28" ht="21.6" customHeight="1">
      <c r="A765" s="8">
        <v>209</v>
      </c>
      <c r="B765" s="8">
        <v>2025073780</v>
      </c>
      <c r="C765" s="8">
        <v>1</v>
      </c>
      <c r="D765" s="8" t="s">
        <v>3177</v>
      </c>
      <c r="E765" s="8" t="s">
        <v>118</v>
      </c>
      <c r="F765" s="8" t="s">
        <v>4300</v>
      </c>
      <c r="G765" s="8" t="s">
        <v>3204</v>
      </c>
      <c r="H765" s="8" t="s">
        <v>3386</v>
      </c>
      <c r="I765" s="8" t="s">
        <v>3418</v>
      </c>
      <c r="J765" s="8" t="s">
        <v>3253</v>
      </c>
      <c r="K765" s="8" t="s">
        <v>3183</v>
      </c>
      <c r="L765" s="10" t="s">
        <v>3254</v>
      </c>
      <c r="M765" s="10" t="s">
        <v>3419</v>
      </c>
      <c r="N765" s="10" t="s">
        <v>3420</v>
      </c>
      <c r="O765" s="8" t="s">
        <v>322</v>
      </c>
      <c r="P765" s="8"/>
      <c r="Q765" s="8"/>
      <c r="R765" s="8">
        <v>69050</v>
      </c>
      <c r="S765" s="8"/>
      <c r="T765" s="8"/>
      <c r="U765" s="8"/>
      <c r="V765" s="8"/>
      <c r="W765" s="8"/>
      <c r="X765" s="8"/>
      <c r="Y765" s="8" t="s">
        <v>332</v>
      </c>
      <c r="Z765" s="10" t="s">
        <v>3443</v>
      </c>
      <c r="AA765" s="8" t="s">
        <v>332</v>
      </c>
      <c r="AB765" s="8">
        <v>1</v>
      </c>
    </row>
    <row r="766" spans="1:28" ht="21.6" customHeight="1">
      <c r="A766" s="8">
        <v>232</v>
      </c>
      <c r="B766" s="8">
        <v>2025070116</v>
      </c>
      <c r="C766" s="8">
        <v>1</v>
      </c>
      <c r="D766" s="8" t="s">
        <v>3177</v>
      </c>
      <c r="E766" s="8" t="s">
        <v>118</v>
      </c>
      <c r="F766" s="8" t="s">
        <v>4131</v>
      </c>
      <c r="G766" s="8" t="s">
        <v>3381</v>
      </c>
      <c r="H766" s="8" t="s">
        <v>3401</v>
      </c>
      <c r="I766" s="8" t="s">
        <v>3713</v>
      </c>
      <c r="J766" s="8" t="s">
        <v>3277</v>
      </c>
      <c r="K766" s="8" t="s">
        <v>3183</v>
      </c>
      <c r="L766" s="10" t="s">
        <v>3462</v>
      </c>
      <c r="M766" s="10" t="s">
        <v>3714</v>
      </c>
      <c r="N766" s="10" t="s">
        <v>3715</v>
      </c>
      <c r="O766" s="8" t="s">
        <v>3190</v>
      </c>
      <c r="P766" s="8"/>
      <c r="Q766" s="8"/>
      <c r="R766" s="8">
        <v>182620</v>
      </c>
      <c r="S766" s="8"/>
      <c r="T766" s="8"/>
      <c r="U766" s="8"/>
      <c r="V766" s="8"/>
      <c r="W766" s="8"/>
      <c r="X766" s="8"/>
      <c r="Y766" s="8"/>
      <c r="Z766" s="10" t="s">
        <v>3821</v>
      </c>
      <c r="AA766" s="8" t="s">
        <v>332</v>
      </c>
      <c r="AB766" s="8">
        <v>1</v>
      </c>
    </row>
    <row r="767" spans="1:28" ht="21.6" customHeight="1">
      <c r="A767" s="8">
        <v>234</v>
      </c>
      <c r="B767" s="8">
        <v>2025073839</v>
      </c>
      <c r="C767" s="8">
        <v>1</v>
      </c>
      <c r="D767" s="8" t="s">
        <v>3177</v>
      </c>
      <c r="E767" s="8" t="s">
        <v>118</v>
      </c>
      <c r="F767" s="8" t="s">
        <v>4313</v>
      </c>
      <c r="G767" s="8" t="s">
        <v>3280</v>
      </c>
      <c r="H767" s="8" t="s">
        <v>3233</v>
      </c>
      <c r="I767" s="8" t="s">
        <v>3713</v>
      </c>
      <c r="J767" s="8" t="s">
        <v>3277</v>
      </c>
      <c r="K767" s="8" t="s">
        <v>3183</v>
      </c>
      <c r="L767" s="10" t="s">
        <v>3462</v>
      </c>
      <c r="M767" s="10" t="s">
        <v>3714</v>
      </c>
      <c r="N767" s="10" t="s">
        <v>3715</v>
      </c>
      <c r="O767" s="8" t="s">
        <v>363</v>
      </c>
      <c r="P767" s="8"/>
      <c r="Q767" s="8"/>
      <c r="R767" s="8">
        <v>253107</v>
      </c>
      <c r="S767" s="8"/>
      <c r="T767" s="8"/>
      <c r="U767" s="8"/>
      <c r="V767" s="8"/>
      <c r="W767" s="8"/>
      <c r="X767" s="8"/>
      <c r="Y767" s="8"/>
      <c r="Z767" s="10" t="s">
        <v>4314</v>
      </c>
      <c r="AA767" s="8" t="s">
        <v>332</v>
      </c>
      <c r="AB767" s="8">
        <v>1</v>
      </c>
    </row>
    <row r="768" spans="1:28" ht="21.6" customHeight="1">
      <c r="A768" s="8">
        <v>306</v>
      </c>
      <c r="B768" s="8">
        <v>2025073923</v>
      </c>
      <c r="C768" s="8">
        <v>1</v>
      </c>
      <c r="D768" s="8" t="s">
        <v>3177</v>
      </c>
      <c r="E768" s="8" t="s">
        <v>118</v>
      </c>
      <c r="F768" s="8" t="s">
        <v>4313</v>
      </c>
      <c r="G768" s="8" t="s">
        <v>3381</v>
      </c>
      <c r="H768" s="8" t="s">
        <v>3577</v>
      </c>
      <c r="I768" s="8" t="s">
        <v>3570</v>
      </c>
      <c r="J768" s="8" t="s">
        <v>1717</v>
      </c>
      <c r="K768" s="8" t="s">
        <v>3183</v>
      </c>
      <c r="L768" s="10" t="s">
        <v>3254</v>
      </c>
      <c r="M768" s="10" t="s">
        <v>3547</v>
      </c>
      <c r="N768" s="10" t="s">
        <v>3571</v>
      </c>
      <c r="O768" s="8" t="s">
        <v>363</v>
      </c>
      <c r="P768" s="8"/>
      <c r="Q768" s="8"/>
      <c r="R768" s="8">
        <v>431821</v>
      </c>
      <c r="S768" s="8"/>
      <c r="T768" s="8"/>
      <c r="U768" s="8"/>
      <c r="V768" s="8"/>
      <c r="W768" s="8"/>
      <c r="X768" s="8"/>
      <c r="Y768" s="8"/>
      <c r="Z768" s="10" t="s">
        <v>4315</v>
      </c>
      <c r="AA768" s="8" t="s">
        <v>332</v>
      </c>
      <c r="AB768" s="8">
        <v>1</v>
      </c>
    </row>
    <row r="769" spans="1:28" ht="21.6" customHeight="1">
      <c r="A769" s="8">
        <v>317</v>
      </c>
      <c r="B769" s="8">
        <v>2025070755</v>
      </c>
      <c r="C769" s="8">
        <v>1</v>
      </c>
      <c r="D769" s="8" t="s">
        <v>3177</v>
      </c>
      <c r="E769" s="8" t="s">
        <v>118</v>
      </c>
      <c r="F769" s="8" t="s">
        <v>4233</v>
      </c>
      <c r="G769" s="8" t="s">
        <v>3829</v>
      </c>
      <c r="H769" s="8" t="s">
        <v>3387</v>
      </c>
      <c r="I769" s="8" t="s">
        <v>3573</v>
      </c>
      <c r="J769" s="8" t="s">
        <v>3574</v>
      </c>
      <c r="K769" s="8" t="s">
        <v>3183</v>
      </c>
      <c r="L769" s="10" t="s">
        <v>3398</v>
      </c>
      <c r="M769" s="10" t="s">
        <v>3575</v>
      </c>
      <c r="N769" s="10" t="s">
        <v>3576</v>
      </c>
      <c r="O769" s="8" t="s">
        <v>3190</v>
      </c>
      <c r="P769" s="8"/>
      <c r="Q769" s="8"/>
      <c r="R769" s="8">
        <v>24943</v>
      </c>
      <c r="S769" s="8"/>
      <c r="T769" s="8"/>
      <c r="U769" s="8"/>
      <c r="V769" s="8"/>
      <c r="W769" s="8"/>
      <c r="X769" s="8"/>
      <c r="Y769" s="8"/>
      <c r="Z769" s="10" t="s">
        <v>3821</v>
      </c>
      <c r="AA769" s="8" t="s">
        <v>332</v>
      </c>
      <c r="AB769" s="8">
        <v>1</v>
      </c>
    </row>
    <row r="770" spans="1:28" ht="21.6" customHeight="1">
      <c r="A770" s="8">
        <v>16</v>
      </c>
      <c r="B770" s="8">
        <v>2025080415</v>
      </c>
      <c r="C770" s="8">
        <v>1</v>
      </c>
      <c r="D770" s="8" t="s">
        <v>3177</v>
      </c>
      <c r="E770" s="8" t="s">
        <v>118</v>
      </c>
      <c r="F770" s="8" t="s">
        <v>4316</v>
      </c>
      <c r="G770" s="8" t="s">
        <v>3387</v>
      </c>
      <c r="H770" s="8" t="s">
        <v>3431</v>
      </c>
      <c r="I770" s="8" t="s">
        <v>3849</v>
      </c>
      <c r="J770" s="8" t="s">
        <v>3288</v>
      </c>
      <c r="K770" s="8" t="s">
        <v>3183</v>
      </c>
      <c r="L770" s="10" t="s">
        <v>3254</v>
      </c>
      <c r="M770" s="10" t="s">
        <v>3850</v>
      </c>
      <c r="N770" s="10" t="s">
        <v>3851</v>
      </c>
      <c r="O770" s="8" t="s">
        <v>363</v>
      </c>
      <c r="P770" s="8"/>
      <c r="Q770" s="8"/>
      <c r="R770" s="8">
        <v>330</v>
      </c>
      <c r="S770" s="8"/>
      <c r="T770" s="8"/>
      <c r="U770" s="8"/>
      <c r="V770" s="8"/>
      <c r="W770" s="8"/>
      <c r="X770" s="8"/>
      <c r="Y770" s="8"/>
      <c r="Z770" s="10" t="s">
        <v>4317</v>
      </c>
      <c r="AA770" s="8" t="s">
        <v>332</v>
      </c>
      <c r="AB770" s="8">
        <v>1</v>
      </c>
    </row>
    <row r="771" spans="1:28" ht="21.6" customHeight="1">
      <c r="A771" s="8">
        <v>1</v>
      </c>
      <c r="B771" s="8">
        <v>2025080663</v>
      </c>
      <c r="C771" s="8">
        <v>1</v>
      </c>
      <c r="D771" s="8" t="s">
        <v>3177</v>
      </c>
      <c r="E771" s="8" t="s">
        <v>123</v>
      </c>
      <c r="F771" s="8" t="s">
        <v>4318</v>
      </c>
      <c r="G771" s="8" t="s">
        <v>4151</v>
      </c>
      <c r="H771" s="8" t="s">
        <v>4203</v>
      </c>
      <c r="I771" s="8" t="s">
        <v>3269</v>
      </c>
      <c r="J771" s="8" t="s">
        <v>3253</v>
      </c>
      <c r="K771" s="8" t="s">
        <v>3183</v>
      </c>
      <c r="L771" s="10" t="s">
        <v>3270</v>
      </c>
      <c r="M771" s="10" t="s">
        <v>3271</v>
      </c>
      <c r="N771" s="10" t="s">
        <v>3272</v>
      </c>
      <c r="O771" s="8" t="s">
        <v>322</v>
      </c>
      <c r="P771" s="8"/>
      <c r="Q771" s="8"/>
      <c r="R771" s="8">
        <v>24174</v>
      </c>
      <c r="S771" s="8" t="s">
        <v>332</v>
      </c>
      <c r="T771" s="8"/>
      <c r="U771" s="8"/>
      <c r="V771" s="8"/>
      <c r="W771" s="8"/>
      <c r="X771" s="8"/>
      <c r="Y771" s="8"/>
      <c r="Z771" s="10" t="s">
        <v>3186</v>
      </c>
      <c r="AA771" s="8" t="s">
        <v>332</v>
      </c>
      <c r="AB771" s="8">
        <v>1</v>
      </c>
    </row>
    <row r="772" spans="1:28" ht="21.6" customHeight="1">
      <c r="A772" s="8">
        <v>3</v>
      </c>
      <c r="B772" s="8">
        <v>2025080648</v>
      </c>
      <c r="C772" s="8">
        <v>1</v>
      </c>
      <c r="D772" s="8" t="s">
        <v>3177</v>
      </c>
      <c r="E772" s="8" t="s">
        <v>123</v>
      </c>
      <c r="F772" s="8" t="s">
        <v>4318</v>
      </c>
      <c r="G772" s="8" t="s">
        <v>3644</v>
      </c>
      <c r="H772" s="8" t="s">
        <v>4319</v>
      </c>
      <c r="I772" s="8" t="s">
        <v>3282</v>
      </c>
      <c r="J772" s="8" t="s">
        <v>3277</v>
      </c>
      <c r="K772" s="8" t="s">
        <v>3183</v>
      </c>
      <c r="L772" s="10" t="s">
        <v>3283</v>
      </c>
      <c r="M772" s="10" t="s">
        <v>3284</v>
      </c>
      <c r="N772" s="10"/>
      <c r="O772" s="8" t="s">
        <v>322</v>
      </c>
      <c r="P772" s="8"/>
      <c r="Q772" s="8"/>
      <c r="R772" s="8">
        <v>26400</v>
      </c>
      <c r="S772" s="8" t="s">
        <v>332</v>
      </c>
      <c r="T772" s="8"/>
      <c r="U772" s="8"/>
      <c r="V772" s="8"/>
      <c r="W772" s="8"/>
      <c r="X772" s="8"/>
      <c r="Y772" s="8"/>
      <c r="Z772" s="10" t="s">
        <v>4320</v>
      </c>
      <c r="AA772" s="8" t="s">
        <v>332</v>
      </c>
      <c r="AB772" s="8">
        <v>1</v>
      </c>
    </row>
    <row r="773" spans="1:28" ht="21.6" customHeight="1">
      <c r="A773" s="8">
        <v>5</v>
      </c>
      <c r="B773" s="8">
        <v>2025080660</v>
      </c>
      <c r="C773" s="8">
        <v>1</v>
      </c>
      <c r="D773" s="8" t="s">
        <v>3177</v>
      </c>
      <c r="E773" s="8" t="s">
        <v>123</v>
      </c>
      <c r="F773" s="8" t="s">
        <v>4318</v>
      </c>
      <c r="G773" s="8" t="s">
        <v>4321</v>
      </c>
      <c r="H773" s="8" t="s">
        <v>4266</v>
      </c>
      <c r="I773" s="8" t="s">
        <v>3293</v>
      </c>
      <c r="J773" s="8" t="s">
        <v>3288</v>
      </c>
      <c r="K773" s="8" t="s">
        <v>3183</v>
      </c>
      <c r="L773" s="10" t="s">
        <v>3294</v>
      </c>
      <c r="M773" s="10" t="s">
        <v>3295</v>
      </c>
      <c r="N773" s="10" t="s">
        <v>3272</v>
      </c>
      <c r="O773" s="8" t="s">
        <v>3190</v>
      </c>
      <c r="P773" s="8"/>
      <c r="Q773" s="8">
        <v>2380</v>
      </c>
      <c r="R773" s="8">
        <v>287252</v>
      </c>
      <c r="S773" s="8"/>
      <c r="T773" s="8"/>
      <c r="U773" s="8"/>
      <c r="V773" s="8"/>
      <c r="W773" s="8"/>
      <c r="X773" s="8"/>
      <c r="Y773" s="8"/>
      <c r="Z773" s="10" t="s">
        <v>3186</v>
      </c>
      <c r="AA773" s="8" t="s">
        <v>332</v>
      </c>
      <c r="AB773" s="8">
        <v>1</v>
      </c>
    </row>
    <row r="774" spans="1:28" ht="21.6" customHeight="1">
      <c r="A774" s="8">
        <v>20</v>
      </c>
      <c r="B774" s="8">
        <v>2025080617</v>
      </c>
      <c r="C774" s="8">
        <v>1</v>
      </c>
      <c r="D774" s="8" t="s">
        <v>3177</v>
      </c>
      <c r="E774" s="8" t="s">
        <v>118</v>
      </c>
      <c r="F774" s="8" t="s">
        <v>4318</v>
      </c>
      <c r="G774" s="8" t="s">
        <v>3869</v>
      </c>
      <c r="H774" s="8" t="s">
        <v>3577</v>
      </c>
      <c r="I774" s="8" t="s">
        <v>3351</v>
      </c>
      <c r="J774" s="8" t="s">
        <v>3195</v>
      </c>
      <c r="K774" s="8" t="s">
        <v>3183</v>
      </c>
      <c r="L774" s="10" t="s">
        <v>3352</v>
      </c>
      <c r="M774" s="10" t="s">
        <v>3353</v>
      </c>
      <c r="N774" s="10" t="s">
        <v>3667</v>
      </c>
      <c r="O774" s="8" t="s">
        <v>322</v>
      </c>
      <c r="P774" s="8"/>
      <c r="Q774" s="8">
        <v>10117</v>
      </c>
      <c r="R774" s="8">
        <v>69822</v>
      </c>
      <c r="S774" s="8"/>
      <c r="T774" s="8"/>
      <c r="U774" s="8"/>
      <c r="V774" s="8"/>
      <c r="W774" s="8"/>
      <c r="X774" s="8"/>
      <c r="Y774" s="8" t="s">
        <v>332</v>
      </c>
      <c r="Z774" s="10" t="s">
        <v>3989</v>
      </c>
      <c r="AA774" s="8" t="s">
        <v>332</v>
      </c>
      <c r="AB774" s="8">
        <v>1</v>
      </c>
    </row>
    <row r="775" spans="1:28" ht="21.6" customHeight="1">
      <c r="A775" s="8">
        <v>23</v>
      </c>
      <c r="B775" s="8">
        <v>2025080586</v>
      </c>
      <c r="C775" s="8">
        <v>1</v>
      </c>
      <c r="D775" s="8" t="s">
        <v>3177</v>
      </c>
      <c r="E775" s="8" t="s">
        <v>118</v>
      </c>
      <c r="F775" s="8" t="s">
        <v>4318</v>
      </c>
      <c r="G775" s="8" t="s">
        <v>4322</v>
      </c>
      <c r="H775" s="8" t="s">
        <v>4323</v>
      </c>
      <c r="I775" s="8" t="s">
        <v>3404</v>
      </c>
      <c r="J775" s="8" t="s">
        <v>3253</v>
      </c>
      <c r="K775" s="8" t="s">
        <v>3183</v>
      </c>
      <c r="L775" s="10" t="s">
        <v>3398</v>
      </c>
      <c r="M775" s="10" t="s">
        <v>3405</v>
      </c>
      <c r="N775" s="10" t="s">
        <v>3406</v>
      </c>
      <c r="O775" s="8" t="s">
        <v>363</v>
      </c>
      <c r="P775" s="8"/>
      <c r="Q775" s="8"/>
      <c r="R775" s="8">
        <v>163873</v>
      </c>
      <c r="S775" s="8"/>
      <c r="T775" s="8"/>
      <c r="U775" s="8"/>
      <c r="V775" s="8"/>
      <c r="W775" s="8"/>
      <c r="X775" s="8"/>
      <c r="Y775" s="8"/>
      <c r="Z775" s="10" t="s">
        <v>3477</v>
      </c>
      <c r="AA775" s="8" t="s">
        <v>332</v>
      </c>
      <c r="AB775" s="8">
        <v>1</v>
      </c>
    </row>
    <row r="776" spans="1:28" ht="21.6" customHeight="1">
      <c r="A776" s="8">
        <v>28</v>
      </c>
      <c r="B776" s="8">
        <v>2025080589</v>
      </c>
      <c r="C776" s="8">
        <v>1</v>
      </c>
      <c r="D776" s="8" t="s">
        <v>3177</v>
      </c>
      <c r="E776" s="8" t="s">
        <v>118</v>
      </c>
      <c r="F776" s="8" t="s">
        <v>4318</v>
      </c>
      <c r="G776" s="8" t="s">
        <v>3363</v>
      </c>
      <c r="H776" s="8" t="s">
        <v>3233</v>
      </c>
      <c r="I776" s="8" t="s">
        <v>3713</v>
      </c>
      <c r="J776" s="8" t="s">
        <v>3277</v>
      </c>
      <c r="K776" s="8" t="s">
        <v>3183</v>
      </c>
      <c r="L776" s="10" t="s">
        <v>3462</v>
      </c>
      <c r="M776" s="10" t="s">
        <v>3714</v>
      </c>
      <c r="N776" s="10" t="s">
        <v>3715</v>
      </c>
      <c r="O776" s="8" t="s">
        <v>322</v>
      </c>
      <c r="P776" s="8"/>
      <c r="Q776" s="8"/>
      <c r="R776" s="8">
        <v>199706</v>
      </c>
      <c r="S776" s="8"/>
      <c r="T776" s="8"/>
      <c r="U776" s="8"/>
      <c r="V776" s="8"/>
      <c r="W776" s="8"/>
      <c r="X776" s="8"/>
      <c r="Y776" s="8" t="s">
        <v>332</v>
      </c>
      <c r="Z776" s="10" t="s">
        <v>4324</v>
      </c>
      <c r="AA776" s="8" t="s">
        <v>332</v>
      </c>
      <c r="AB776" s="8">
        <v>1</v>
      </c>
    </row>
    <row r="777" spans="1:28" ht="21.6" customHeight="1">
      <c r="A777" s="8">
        <v>30</v>
      </c>
      <c r="B777" s="8">
        <v>2025080615</v>
      </c>
      <c r="C777" s="8">
        <v>1</v>
      </c>
      <c r="D777" s="8" t="s">
        <v>3177</v>
      </c>
      <c r="E777" s="8" t="s">
        <v>118</v>
      </c>
      <c r="F777" s="8" t="s">
        <v>4318</v>
      </c>
      <c r="G777" s="8" t="s">
        <v>3204</v>
      </c>
      <c r="H777" s="8" t="s">
        <v>3386</v>
      </c>
      <c r="I777" s="8" t="s">
        <v>3849</v>
      </c>
      <c r="J777" s="8" t="s">
        <v>3288</v>
      </c>
      <c r="K777" s="8" t="s">
        <v>3183</v>
      </c>
      <c r="L777" s="10" t="s">
        <v>3254</v>
      </c>
      <c r="M777" s="10" t="s">
        <v>3850</v>
      </c>
      <c r="N777" s="10" t="s">
        <v>3851</v>
      </c>
      <c r="O777" s="8" t="s">
        <v>363</v>
      </c>
      <c r="P777" s="8"/>
      <c r="Q777" s="8"/>
      <c r="R777" s="8">
        <v>330</v>
      </c>
      <c r="S777" s="8"/>
      <c r="T777" s="8"/>
      <c r="U777" s="8"/>
      <c r="V777" s="8"/>
      <c r="W777" s="8"/>
      <c r="X777" s="8"/>
      <c r="Y777" s="8"/>
      <c r="Z777" s="10" t="s">
        <v>4325</v>
      </c>
      <c r="AA777" s="8" t="s">
        <v>332</v>
      </c>
      <c r="AB777" s="8">
        <v>1</v>
      </c>
    </row>
    <row r="778" spans="1:28" ht="21.6" customHeight="1">
      <c r="A778" s="8">
        <v>38</v>
      </c>
      <c r="B778" s="8">
        <v>2025080588</v>
      </c>
      <c r="C778" s="8">
        <v>1</v>
      </c>
      <c r="D778" s="8" t="s">
        <v>3177</v>
      </c>
      <c r="E778" s="8" t="s">
        <v>118</v>
      </c>
      <c r="F778" s="8" t="s">
        <v>4318</v>
      </c>
      <c r="G778" s="8" t="s">
        <v>3280</v>
      </c>
      <c r="H778" s="8" t="s">
        <v>3363</v>
      </c>
      <c r="I778" s="8" t="s">
        <v>3525</v>
      </c>
      <c r="J778" s="8" t="s">
        <v>3298</v>
      </c>
      <c r="K778" s="8" t="s">
        <v>3183</v>
      </c>
      <c r="L778" s="10" t="s">
        <v>3462</v>
      </c>
      <c r="M778" s="10" t="s">
        <v>3526</v>
      </c>
      <c r="N778" s="10" t="s">
        <v>3508</v>
      </c>
      <c r="O778" s="8" t="s">
        <v>322</v>
      </c>
      <c r="P778" s="8"/>
      <c r="Q778" s="8"/>
      <c r="R778" s="8">
        <v>180622</v>
      </c>
      <c r="S778" s="8"/>
      <c r="T778" s="8"/>
      <c r="U778" s="8"/>
      <c r="V778" s="8"/>
      <c r="W778" s="8"/>
      <c r="X778" s="8"/>
      <c r="Y778" s="8" t="s">
        <v>332</v>
      </c>
      <c r="Z778" s="10" t="s">
        <v>4326</v>
      </c>
      <c r="AA778" s="8" t="s">
        <v>332</v>
      </c>
      <c r="AB778" s="8">
        <v>1</v>
      </c>
    </row>
    <row r="779" spans="1:28" ht="21.6" customHeight="1">
      <c r="A779" s="8">
        <v>5</v>
      </c>
      <c r="B779" s="8">
        <v>2025080659</v>
      </c>
      <c r="C779" s="8">
        <v>1</v>
      </c>
      <c r="D779" s="8" t="s">
        <v>3177</v>
      </c>
      <c r="E779" s="8" t="s">
        <v>123</v>
      </c>
      <c r="F779" s="8" t="s">
        <v>4318</v>
      </c>
      <c r="G779" s="8" t="s">
        <v>4321</v>
      </c>
      <c r="H779" s="8" t="s">
        <v>4266</v>
      </c>
      <c r="I779" s="8" t="s">
        <v>3293</v>
      </c>
      <c r="J779" s="8" t="s">
        <v>3288</v>
      </c>
      <c r="K779" s="8" t="s">
        <v>3183</v>
      </c>
      <c r="L779" s="10" t="s">
        <v>3294</v>
      </c>
      <c r="M779" s="10" t="s">
        <v>3295</v>
      </c>
      <c r="N779" s="10" t="s">
        <v>3272</v>
      </c>
      <c r="O779" s="8" t="s">
        <v>322</v>
      </c>
      <c r="P779" s="8"/>
      <c r="Q779" s="8">
        <v>2380</v>
      </c>
      <c r="R779" s="8">
        <v>287252</v>
      </c>
      <c r="S779" s="8" t="s">
        <v>332</v>
      </c>
      <c r="T779" s="8"/>
      <c r="U779" s="8"/>
      <c r="V779" s="8"/>
      <c r="W779" s="8"/>
      <c r="X779" s="8"/>
      <c r="Y779" s="8"/>
      <c r="Z779" s="10" t="s">
        <v>3186</v>
      </c>
      <c r="AA779" s="8" t="s">
        <v>332</v>
      </c>
      <c r="AB779" s="8">
        <v>1</v>
      </c>
    </row>
    <row r="780" spans="1:28" ht="21.6" customHeight="1">
      <c r="A780" s="8">
        <v>33</v>
      </c>
      <c r="B780" s="8">
        <v>2025080696</v>
      </c>
      <c r="C780" s="8">
        <v>1</v>
      </c>
      <c r="D780" s="8" t="s">
        <v>3177</v>
      </c>
      <c r="E780" s="8" t="s">
        <v>118</v>
      </c>
      <c r="F780" s="8" t="s">
        <v>4318</v>
      </c>
      <c r="G780" s="8" t="s">
        <v>3387</v>
      </c>
      <c r="H780" s="8" t="s">
        <v>4327</v>
      </c>
      <c r="I780" s="8" t="s">
        <v>4328</v>
      </c>
      <c r="J780" s="8" t="s">
        <v>3288</v>
      </c>
      <c r="K780" s="8" t="s">
        <v>3183</v>
      </c>
      <c r="L780" s="10" t="s">
        <v>3254</v>
      </c>
      <c r="M780" s="10" t="s">
        <v>4329</v>
      </c>
      <c r="N780" s="10" t="s">
        <v>4330</v>
      </c>
      <c r="O780" s="8" t="s">
        <v>363</v>
      </c>
      <c r="P780" s="8"/>
      <c r="Q780" s="8">
        <v>6663</v>
      </c>
      <c r="R780" s="8">
        <v>11174</v>
      </c>
      <c r="S780" s="8"/>
      <c r="T780" s="8"/>
      <c r="U780" s="8"/>
      <c r="V780" s="8"/>
      <c r="W780" s="8"/>
      <c r="X780" s="8"/>
      <c r="Y780" s="8"/>
      <c r="Z780" s="10" t="s">
        <v>4331</v>
      </c>
      <c r="AA780" s="8" t="s">
        <v>332</v>
      </c>
      <c r="AB780" s="8">
        <v>1</v>
      </c>
    </row>
    <row r="781" spans="1:28" ht="21.6" customHeight="1">
      <c r="A781" s="8">
        <v>42</v>
      </c>
      <c r="B781" s="8">
        <v>2025080137</v>
      </c>
      <c r="C781" s="8">
        <v>1</v>
      </c>
      <c r="D781" s="8" t="s">
        <v>3177</v>
      </c>
      <c r="E781" s="8" t="s">
        <v>118</v>
      </c>
      <c r="F781" s="8" t="s">
        <v>4332</v>
      </c>
      <c r="G781" s="8" t="s">
        <v>3386</v>
      </c>
      <c r="H781" s="8" t="s">
        <v>3387</v>
      </c>
      <c r="I781" s="8" t="s">
        <v>3530</v>
      </c>
      <c r="J781" s="8" t="s">
        <v>3298</v>
      </c>
      <c r="K781" s="8" t="s">
        <v>3183</v>
      </c>
      <c r="L781" s="10" t="s">
        <v>3462</v>
      </c>
      <c r="M781" s="10" t="s">
        <v>3531</v>
      </c>
      <c r="N781" s="10" t="s">
        <v>3532</v>
      </c>
      <c r="O781" s="8" t="s">
        <v>3190</v>
      </c>
      <c r="P781" s="8"/>
      <c r="Q781" s="8"/>
      <c r="R781" s="8">
        <v>342829</v>
      </c>
      <c r="S781" s="8"/>
      <c r="T781" s="8"/>
      <c r="U781" s="8"/>
      <c r="V781" s="8"/>
      <c r="W781" s="8"/>
      <c r="X781" s="8"/>
      <c r="Y781" s="8"/>
      <c r="Z781" s="10" t="s">
        <v>3821</v>
      </c>
      <c r="AA781" s="8" t="s">
        <v>332</v>
      </c>
      <c r="AB781" s="8">
        <v>1</v>
      </c>
    </row>
    <row r="782" spans="1:28" ht="21.6" customHeight="1">
      <c r="A782" s="8">
        <v>33</v>
      </c>
      <c r="B782" s="8">
        <v>2025080775</v>
      </c>
      <c r="C782" s="8">
        <v>1</v>
      </c>
      <c r="D782" s="8" t="s">
        <v>3177</v>
      </c>
      <c r="E782" s="8" t="s">
        <v>118</v>
      </c>
      <c r="F782" s="8" t="s">
        <v>4333</v>
      </c>
      <c r="G782" s="8" t="s">
        <v>3381</v>
      </c>
      <c r="H782" s="8" t="s">
        <v>3468</v>
      </c>
      <c r="I782" s="8" t="s">
        <v>3474</v>
      </c>
      <c r="J782" s="8" t="s">
        <v>3288</v>
      </c>
      <c r="K782" s="8" t="s">
        <v>3183</v>
      </c>
      <c r="L782" s="10" t="s">
        <v>3389</v>
      </c>
      <c r="M782" s="10" t="s">
        <v>3475</v>
      </c>
      <c r="N782" s="10" t="s">
        <v>3476</v>
      </c>
      <c r="O782" s="8" t="s">
        <v>363</v>
      </c>
      <c r="P782" s="8"/>
      <c r="Q782" s="8">
        <v>1595</v>
      </c>
      <c r="R782" s="8">
        <v>27090</v>
      </c>
      <c r="S782" s="8"/>
      <c r="T782" s="8"/>
      <c r="U782" s="8"/>
      <c r="V782" s="8"/>
      <c r="W782" s="8"/>
      <c r="X782" s="8"/>
      <c r="Y782" s="8"/>
      <c r="Z782" s="10" t="s">
        <v>4334</v>
      </c>
      <c r="AA782" s="8" t="s">
        <v>332</v>
      </c>
      <c r="AB782" s="8">
        <v>1</v>
      </c>
    </row>
    <row r="783" spans="1:28" ht="21.6" customHeight="1">
      <c r="A783" s="8">
        <v>45</v>
      </c>
      <c r="B783" s="8">
        <v>2025080766</v>
      </c>
      <c r="C783" s="8">
        <v>1</v>
      </c>
      <c r="D783" s="8" t="s">
        <v>3177</v>
      </c>
      <c r="E783" s="8" t="s">
        <v>118</v>
      </c>
      <c r="F783" s="8" t="s">
        <v>4333</v>
      </c>
      <c r="G783" s="8" t="s">
        <v>3280</v>
      </c>
      <c r="H783" s="8" t="s">
        <v>3381</v>
      </c>
      <c r="I783" s="8" t="s">
        <v>4098</v>
      </c>
      <c r="J783" s="8" t="s">
        <v>3543</v>
      </c>
      <c r="K783" s="8" t="s">
        <v>3183</v>
      </c>
      <c r="L783" s="10" t="s">
        <v>3254</v>
      </c>
      <c r="M783" s="10" t="s">
        <v>4099</v>
      </c>
      <c r="N783" s="10" t="s">
        <v>4100</v>
      </c>
      <c r="O783" s="8" t="s">
        <v>363</v>
      </c>
      <c r="P783" s="8"/>
      <c r="Q783" s="8"/>
      <c r="R783" s="8">
        <v>86982</v>
      </c>
      <c r="S783" s="8"/>
      <c r="T783" s="8"/>
      <c r="U783" s="8"/>
      <c r="V783" s="8"/>
      <c r="W783" s="8"/>
      <c r="X783" s="8"/>
      <c r="Y783" s="8"/>
      <c r="Z783" s="10" t="s">
        <v>4335</v>
      </c>
      <c r="AA783" s="8" t="s">
        <v>332</v>
      </c>
      <c r="AB783" s="8">
        <v>1</v>
      </c>
    </row>
    <row r="784" spans="1:28" ht="21.6" customHeight="1">
      <c r="A784" s="8">
        <v>46</v>
      </c>
      <c r="B784" s="8">
        <v>2025080643</v>
      </c>
      <c r="C784" s="8">
        <v>1</v>
      </c>
      <c r="D784" s="8" t="s">
        <v>3177</v>
      </c>
      <c r="E784" s="8" t="s">
        <v>118</v>
      </c>
      <c r="F784" s="8" t="s">
        <v>4318</v>
      </c>
      <c r="G784" s="8" t="s">
        <v>3368</v>
      </c>
      <c r="H784" s="8" t="s">
        <v>3250</v>
      </c>
      <c r="I784" s="8" t="s">
        <v>4287</v>
      </c>
      <c r="J784" s="8" t="s">
        <v>1717</v>
      </c>
      <c r="K784" s="8" t="s">
        <v>3183</v>
      </c>
      <c r="L784" s="10" t="s">
        <v>3550</v>
      </c>
      <c r="M784" s="10" t="s">
        <v>3551</v>
      </c>
      <c r="N784" s="10" t="s">
        <v>3552</v>
      </c>
      <c r="O784" s="8" t="s">
        <v>3190</v>
      </c>
      <c r="P784" s="8"/>
      <c r="Q784" s="8"/>
      <c r="R784" s="8">
        <v>31483</v>
      </c>
      <c r="S784" s="8"/>
      <c r="T784" s="8"/>
      <c r="U784" s="8"/>
      <c r="V784" s="8"/>
      <c r="W784" s="8"/>
      <c r="X784" s="8"/>
      <c r="Y784" s="8"/>
      <c r="Z784" s="10" t="s">
        <v>3821</v>
      </c>
      <c r="AA784" s="8" t="s">
        <v>332</v>
      </c>
      <c r="AB784" s="8">
        <v>1</v>
      </c>
    </row>
    <row r="785" spans="1:28" ht="21.6" customHeight="1">
      <c r="A785" s="8">
        <v>3</v>
      </c>
      <c r="B785" s="8">
        <v>2025080786</v>
      </c>
      <c r="C785" s="8">
        <v>1</v>
      </c>
      <c r="D785" s="8" t="s">
        <v>3177</v>
      </c>
      <c r="E785" s="8" t="s">
        <v>123</v>
      </c>
      <c r="F785" s="8" t="s">
        <v>4333</v>
      </c>
      <c r="G785" s="8" t="s">
        <v>3268</v>
      </c>
      <c r="H785" s="8" t="s">
        <v>4133</v>
      </c>
      <c r="I785" s="8" t="s">
        <v>3276</v>
      </c>
      <c r="J785" s="8" t="s">
        <v>3277</v>
      </c>
      <c r="K785" s="8" t="s">
        <v>3183</v>
      </c>
      <c r="L785" s="10" t="s">
        <v>3278</v>
      </c>
      <c r="M785" s="10" t="s">
        <v>3279</v>
      </c>
      <c r="N785" s="10" t="s">
        <v>123</v>
      </c>
      <c r="O785" s="8" t="s">
        <v>322</v>
      </c>
      <c r="P785" s="8"/>
      <c r="Q785" s="8"/>
      <c r="R785" s="8">
        <v>63324</v>
      </c>
      <c r="S785" s="8" t="s">
        <v>332</v>
      </c>
      <c r="T785" s="8"/>
      <c r="U785" s="8"/>
      <c r="V785" s="8"/>
      <c r="W785" s="8"/>
      <c r="X785" s="8"/>
      <c r="Y785" s="8"/>
      <c r="Z785" s="10" t="s">
        <v>3186</v>
      </c>
      <c r="AA785" s="8" t="s">
        <v>332</v>
      </c>
      <c r="AB785" s="8">
        <v>1</v>
      </c>
    </row>
    <row r="786" spans="1:28" ht="21.6" customHeight="1">
      <c r="A786" s="8">
        <v>29</v>
      </c>
      <c r="B786" s="8">
        <v>2025080852</v>
      </c>
      <c r="C786" s="8">
        <v>1</v>
      </c>
      <c r="D786" s="8" t="s">
        <v>3177</v>
      </c>
      <c r="E786" s="8" t="s">
        <v>118</v>
      </c>
      <c r="F786" s="8" t="s">
        <v>4333</v>
      </c>
      <c r="G786" s="8" t="s">
        <v>3204</v>
      </c>
      <c r="H786" s="8" t="s">
        <v>3427</v>
      </c>
      <c r="I786" s="8" t="s">
        <v>3422</v>
      </c>
      <c r="J786" s="8" t="s">
        <v>3253</v>
      </c>
      <c r="K786" s="8" t="s">
        <v>3183</v>
      </c>
      <c r="L786" s="10" t="s">
        <v>3270</v>
      </c>
      <c r="M786" s="10" t="s">
        <v>3423</v>
      </c>
      <c r="N786" s="10" t="s">
        <v>3424</v>
      </c>
      <c r="O786" s="8" t="s">
        <v>322</v>
      </c>
      <c r="P786" s="8"/>
      <c r="Q786" s="8"/>
      <c r="R786" s="8">
        <v>46640</v>
      </c>
      <c r="S786" s="8" t="s">
        <v>332</v>
      </c>
      <c r="T786" s="8"/>
      <c r="U786" s="8"/>
      <c r="V786" s="8"/>
      <c r="W786" s="8"/>
      <c r="X786" s="8"/>
      <c r="Y786" s="8"/>
      <c r="Z786" s="10" t="s">
        <v>3821</v>
      </c>
      <c r="AA786" s="8" t="s">
        <v>332</v>
      </c>
      <c r="AB786" s="8">
        <v>1</v>
      </c>
    </row>
    <row r="787" spans="1:28" ht="21.6" customHeight="1">
      <c r="A787" s="8">
        <v>31</v>
      </c>
      <c r="B787" s="8">
        <v>2025080850</v>
      </c>
      <c r="C787" s="8">
        <v>1</v>
      </c>
      <c r="D787" s="8" t="s">
        <v>3177</v>
      </c>
      <c r="E787" s="8" t="s">
        <v>118</v>
      </c>
      <c r="F787" s="8" t="s">
        <v>4333</v>
      </c>
      <c r="G787" s="8" t="s">
        <v>3250</v>
      </c>
      <c r="H787" s="8" t="s">
        <v>3204</v>
      </c>
      <c r="I787" s="8" t="s">
        <v>3428</v>
      </c>
      <c r="J787" s="8" t="s">
        <v>3253</v>
      </c>
      <c r="K787" s="8" t="s">
        <v>3183</v>
      </c>
      <c r="L787" s="10" t="s">
        <v>3270</v>
      </c>
      <c r="M787" s="10" t="s">
        <v>3429</v>
      </c>
      <c r="N787" s="10" t="s">
        <v>3430</v>
      </c>
      <c r="O787" s="8" t="s">
        <v>322</v>
      </c>
      <c r="P787" s="8"/>
      <c r="Q787" s="8"/>
      <c r="R787" s="8">
        <v>76522</v>
      </c>
      <c r="S787" s="8" t="s">
        <v>332</v>
      </c>
      <c r="T787" s="8"/>
      <c r="U787" s="8"/>
      <c r="V787" s="8"/>
      <c r="W787" s="8"/>
      <c r="X787" s="8"/>
      <c r="Y787" s="8"/>
      <c r="Z787" s="10" t="s">
        <v>3821</v>
      </c>
      <c r="AA787" s="8" t="s">
        <v>332</v>
      </c>
      <c r="AB787" s="8">
        <v>1</v>
      </c>
    </row>
    <row r="788" spans="1:28" ht="21.6" customHeight="1">
      <c r="A788" s="8">
        <v>33</v>
      </c>
      <c r="B788" s="8">
        <v>2025080858</v>
      </c>
      <c r="C788" s="8">
        <v>1</v>
      </c>
      <c r="D788" s="8" t="s">
        <v>3177</v>
      </c>
      <c r="E788" s="8" t="s">
        <v>118</v>
      </c>
      <c r="F788" s="8" t="s">
        <v>4333</v>
      </c>
      <c r="G788" s="8" t="s">
        <v>3386</v>
      </c>
      <c r="H788" s="8" t="s">
        <v>3387</v>
      </c>
      <c r="I788" s="8" t="s">
        <v>3433</v>
      </c>
      <c r="J788" s="8" t="s">
        <v>3277</v>
      </c>
      <c r="K788" s="8" t="s">
        <v>3183</v>
      </c>
      <c r="L788" s="10" t="s">
        <v>3434</v>
      </c>
      <c r="M788" s="10" t="s">
        <v>3435</v>
      </c>
      <c r="N788" s="10" t="s">
        <v>3436</v>
      </c>
      <c r="O788" s="8" t="s">
        <v>322</v>
      </c>
      <c r="P788" s="8"/>
      <c r="Q788" s="8"/>
      <c r="R788" s="8">
        <v>146880</v>
      </c>
      <c r="S788" s="8" t="s">
        <v>332</v>
      </c>
      <c r="T788" s="8"/>
      <c r="U788" s="8"/>
      <c r="V788" s="8"/>
      <c r="W788" s="8"/>
      <c r="X788" s="8"/>
      <c r="Y788" s="8"/>
      <c r="Z788" s="10" t="s">
        <v>3821</v>
      </c>
      <c r="AA788" s="8" t="s">
        <v>332</v>
      </c>
      <c r="AB788" s="8">
        <v>1</v>
      </c>
    </row>
    <row r="789" spans="1:28" ht="21.6" customHeight="1">
      <c r="A789" s="8">
        <v>35</v>
      </c>
      <c r="B789" s="8">
        <v>2025080864</v>
      </c>
      <c r="C789" s="8">
        <v>1</v>
      </c>
      <c r="D789" s="8" t="s">
        <v>3177</v>
      </c>
      <c r="E789" s="8" t="s">
        <v>118</v>
      </c>
      <c r="F789" s="8" t="s">
        <v>4333</v>
      </c>
      <c r="G789" s="8" t="s">
        <v>3387</v>
      </c>
      <c r="H789" s="8" t="s">
        <v>3426</v>
      </c>
      <c r="I789" s="8" t="s">
        <v>3440</v>
      </c>
      <c r="J789" s="8" t="s">
        <v>3277</v>
      </c>
      <c r="K789" s="8" t="s">
        <v>3183</v>
      </c>
      <c r="L789" s="10" t="s">
        <v>3434</v>
      </c>
      <c r="M789" s="10" t="s">
        <v>3441</v>
      </c>
      <c r="N789" s="10" t="s">
        <v>3442</v>
      </c>
      <c r="O789" s="8" t="s">
        <v>3190</v>
      </c>
      <c r="P789" s="8"/>
      <c r="Q789" s="8"/>
      <c r="R789" s="8">
        <v>131744</v>
      </c>
      <c r="S789" s="8"/>
      <c r="T789" s="8"/>
      <c r="U789" s="8"/>
      <c r="V789" s="8"/>
      <c r="W789" s="8"/>
      <c r="X789" s="8"/>
      <c r="Y789" s="8"/>
      <c r="Z789" s="10" t="s">
        <v>3821</v>
      </c>
      <c r="AA789" s="8" t="s">
        <v>332</v>
      </c>
      <c r="AB789" s="8">
        <v>1</v>
      </c>
    </row>
    <row r="790" spans="1:28" ht="21.6" customHeight="1">
      <c r="A790" s="8">
        <v>42</v>
      </c>
      <c r="B790" s="8">
        <v>2025080848</v>
      </c>
      <c r="C790" s="8">
        <v>1</v>
      </c>
      <c r="D790" s="8" t="s">
        <v>3177</v>
      </c>
      <c r="E790" s="8" t="s">
        <v>118</v>
      </c>
      <c r="F790" s="8" t="s">
        <v>4333</v>
      </c>
      <c r="G790" s="8" t="s">
        <v>3368</v>
      </c>
      <c r="H790" s="8" t="s">
        <v>3250</v>
      </c>
      <c r="I790" s="8" t="s">
        <v>4171</v>
      </c>
      <c r="J790" s="8" t="s">
        <v>3277</v>
      </c>
      <c r="K790" s="8" t="s">
        <v>3183</v>
      </c>
      <c r="L790" s="10" t="s">
        <v>3270</v>
      </c>
      <c r="M790" s="10" t="s">
        <v>3496</v>
      </c>
      <c r="N790" s="10" t="s">
        <v>3497</v>
      </c>
      <c r="O790" s="8" t="s">
        <v>322</v>
      </c>
      <c r="P790" s="8"/>
      <c r="Q790" s="8"/>
      <c r="R790" s="8">
        <v>2363</v>
      </c>
      <c r="S790" s="8" t="s">
        <v>332</v>
      </c>
      <c r="T790" s="8"/>
      <c r="U790" s="8"/>
      <c r="V790" s="8"/>
      <c r="W790" s="8"/>
      <c r="X790" s="8"/>
      <c r="Y790" s="8"/>
      <c r="Z790" s="10" t="s">
        <v>3821</v>
      </c>
      <c r="AA790" s="8" t="s">
        <v>332</v>
      </c>
      <c r="AB790" s="8">
        <v>1</v>
      </c>
    </row>
    <row r="791" spans="1:28" ht="21.6" customHeight="1">
      <c r="A791" s="8">
        <v>58</v>
      </c>
      <c r="B791" s="8">
        <v>2025080856</v>
      </c>
      <c r="C791" s="8">
        <v>1</v>
      </c>
      <c r="D791" s="8" t="s">
        <v>3177</v>
      </c>
      <c r="E791" s="8" t="s">
        <v>118</v>
      </c>
      <c r="F791" s="8" t="s">
        <v>4333</v>
      </c>
      <c r="G791" s="8" t="s">
        <v>3427</v>
      </c>
      <c r="H791" s="8" t="s">
        <v>3386</v>
      </c>
      <c r="I791" s="8" t="s">
        <v>3978</v>
      </c>
      <c r="J791" s="8" t="s">
        <v>3301</v>
      </c>
      <c r="K791" s="8" t="s">
        <v>3183</v>
      </c>
      <c r="L791" s="10" t="s">
        <v>3979</v>
      </c>
      <c r="M791" s="10" t="s">
        <v>3980</v>
      </c>
      <c r="N791" s="10" t="s">
        <v>3497</v>
      </c>
      <c r="O791" s="8" t="s">
        <v>322</v>
      </c>
      <c r="P791" s="8"/>
      <c r="Q791" s="8">
        <v>1205</v>
      </c>
      <c r="R791" s="8">
        <v>3849</v>
      </c>
      <c r="S791" s="8" t="s">
        <v>332</v>
      </c>
      <c r="T791" s="8"/>
      <c r="U791" s="8"/>
      <c r="V791" s="8"/>
      <c r="W791" s="8"/>
      <c r="X791" s="8"/>
      <c r="Y791" s="8"/>
      <c r="Z791" s="10" t="s">
        <v>3821</v>
      </c>
      <c r="AA791" s="8" t="s">
        <v>332</v>
      </c>
      <c r="AB791" s="8">
        <v>1</v>
      </c>
    </row>
    <row r="792" spans="1:28" ht="21.6" customHeight="1">
      <c r="A792" s="8">
        <v>9</v>
      </c>
      <c r="B792" s="8">
        <v>2025080881</v>
      </c>
      <c r="C792" s="8">
        <v>1</v>
      </c>
      <c r="D792" s="8" t="s">
        <v>3177</v>
      </c>
      <c r="E792" s="8" t="s">
        <v>123</v>
      </c>
      <c r="F792" s="8" t="s">
        <v>4333</v>
      </c>
      <c r="G792" s="8" t="s">
        <v>3426</v>
      </c>
      <c r="H792" s="8" t="s">
        <v>4336</v>
      </c>
      <c r="I792" s="8" t="s">
        <v>3297</v>
      </c>
      <c r="J792" s="8" t="s">
        <v>3298</v>
      </c>
      <c r="K792" s="8" t="s">
        <v>3183</v>
      </c>
      <c r="L792" s="10" t="s">
        <v>3207</v>
      </c>
      <c r="M792" s="10" t="s">
        <v>3208</v>
      </c>
      <c r="N792" s="10" t="s">
        <v>3299</v>
      </c>
      <c r="O792" s="8" t="s">
        <v>363</v>
      </c>
      <c r="P792" s="8"/>
      <c r="Q792" s="8"/>
      <c r="R792" s="8">
        <v>126234</v>
      </c>
      <c r="S792" s="8"/>
      <c r="T792" s="8"/>
      <c r="U792" s="8"/>
      <c r="V792" s="8"/>
      <c r="W792" s="8"/>
      <c r="X792" s="8"/>
      <c r="Y792" s="8"/>
      <c r="Z792" s="10" t="s">
        <v>4337</v>
      </c>
      <c r="AA792" s="8" t="s">
        <v>332</v>
      </c>
      <c r="AB792" s="8">
        <v>1</v>
      </c>
    </row>
    <row r="793" spans="1:28" ht="21.6" customHeight="1">
      <c r="A793" s="8">
        <v>40</v>
      </c>
      <c r="B793" s="8">
        <v>2025080863</v>
      </c>
      <c r="C793" s="8">
        <v>1</v>
      </c>
      <c r="D793" s="8" t="s">
        <v>3177</v>
      </c>
      <c r="E793" s="8" t="s">
        <v>118</v>
      </c>
      <c r="F793" s="8" t="s">
        <v>4333</v>
      </c>
      <c r="G793" s="8" t="s">
        <v>3387</v>
      </c>
      <c r="H793" s="8" t="s">
        <v>3426</v>
      </c>
      <c r="I793" s="8" t="s">
        <v>3440</v>
      </c>
      <c r="J793" s="8" t="s">
        <v>3277</v>
      </c>
      <c r="K793" s="8" t="s">
        <v>3183</v>
      </c>
      <c r="L793" s="10" t="s">
        <v>3434</v>
      </c>
      <c r="M793" s="10" t="s">
        <v>3441</v>
      </c>
      <c r="N793" s="10" t="s">
        <v>3442</v>
      </c>
      <c r="O793" s="8" t="s">
        <v>322</v>
      </c>
      <c r="P793" s="8"/>
      <c r="Q793" s="8"/>
      <c r="R793" s="8">
        <v>131744</v>
      </c>
      <c r="S793" s="8" t="s">
        <v>332</v>
      </c>
      <c r="T793" s="8"/>
      <c r="U793" s="8"/>
      <c r="V793" s="8"/>
      <c r="W793" s="8"/>
      <c r="X793" s="8"/>
      <c r="Y793" s="8"/>
      <c r="Z793" s="10" t="s">
        <v>3821</v>
      </c>
      <c r="AA793" s="8" t="s">
        <v>332</v>
      </c>
      <c r="AB793" s="8">
        <v>1</v>
      </c>
    </row>
    <row r="794" spans="1:28" ht="21.6" customHeight="1">
      <c r="A794" s="8">
        <v>47</v>
      </c>
      <c r="B794" s="8">
        <v>2025080849</v>
      </c>
      <c r="C794" s="8">
        <v>1</v>
      </c>
      <c r="D794" s="8" t="s">
        <v>3177</v>
      </c>
      <c r="E794" s="8" t="s">
        <v>118</v>
      </c>
      <c r="F794" s="8" t="s">
        <v>4333</v>
      </c>
      <c r="G794" s="8" t="s">
        <v>3368</v>
      </c>
      <c r="H794" s="8" t="s">
        <v>3250</v>
      </c>
      <c r="I794" s="8" t="s">
        <v>4171</v>
      </c>
      <c r="J794" s="8" t="s">
        <v>3277</v>
      </c>
      <c r="K794" s="8" t="s">
        <v>3183</v>
      </c>
      <c r="L794" s="10" t="s">
        <v>3270</v>
      </c>
      <c r="M794" s="10" t="s">
        <v>3496</v>
      </c>
      <c r="N794" s="10" t="s">
        <v>3497</v>
      </c>
      <c r="O794" s="8" t="s">
        <v>3190</v>
      </c>
      <c r="P794" s="8"/>
      <c r="Q794" s="8"/>
      <c r="R794" s="8">
        <v>2363</v>
      </c>
      <c r="S794" s="8"/>
      <c r="T794" s="8"/>
      <c r="U794" s="8"/>
      <c r="V794" s="8"/>
      <c r="W794" s="8"/>
      <c r="X794" s="8"/>
      <c r="Y794" s="8"/>
      <c r="Z794" s="10" t="s">
        <v>3821</v>
      </c>
      <c r="AA794" s="8" t="s">
        <v>332</v>
      </c>
      <c r="AB794" s="8">
        <v>1</v>
      </c>
    </row>
    <row r="795" spans="1:28" ht="21.6" customHeight="1">
      <c r="A795" s="8">
        <v>52</v>
      </c>
      <c r="B795" s="8">
        <v>2025080990</v>
      </c>
      <c r="C795" s="8">
        <v>1</v>
      </c>
      <c r="D795" s="8" t="s">
        <v>3177</v>
      </c>
      <c r="E795" s="8" t="s">
        <v>118</v>
      </c>
      <c r="F795" s="8" t="s">
        <v>4338</v>
      </c>
      <c r="G795" s="8" t="s">
        <v>3233</v>
      </c>
      <c r="H795" s="8" t="s">
        <v>3401</v>
      </c>
      <c r="I795" s="8" t="s">
        <v>3474</v>
      </c>
      <c r="J795" s="8" t="s">
        <v>3288</v>
      </c>
      <c r="K795" s="8" t="s">
        <v>3183</v>
      </c>
      <c r="L795" s="10" t="s">
        <v>3389</v>
      </c>
      <c r="M795" s="10" t="s">
        <v>3475</v>
      </c>
      <c r="N795" s="10" t="s">
        <v>3476</v>
      </c>
      <c r="O795" s="8" t="s">
        <v>322</v>
      </c>
      <c r="P795" s="8"/>
      <c r="Q795" s="8">
        <v>1595</v>
      </c>
      <c r="R795" s="8">
        <v>27090</v>
      </c>
      <c r="S795" s="8"/>
      <c r="T795" s="8"/>
      <c r="U795" s="8"/>
      <c r="V795" s="8"/>
      <c r="W795" s="8"/>
      <c r="X795" s="8"/>
      <c r="Y795" s="8" t="s">
        <v>332</v>
      </c>
      <c r="Z795" s="10" t="s">
        <v>4339</v>
      </c>
      <c r="AA795" s="8" t="s">
        <v>332</v>
      </c>
      <c r="AB795" s="8">
        <v>1</v>
      </c>
    </row>
    <row r="796" spans="1:28" ht="21.6" customHeight="1">
      <c r="A796" s="8">
        <v>56</v>
      </c>
      <c r="B796" s="8">
        <v>2025080133</v>
      </c>
      <c r="C796" s="8">
        <v>1</v>
      </c>
      <c r="D796" s="8" t="s">
        <v>3177</v>
      </c>
      <c r="E796" s="8" t="s">
        <v>118</v>
      </c>
      <c r="F796" s="8" t="s">
        <v>4332</v>
      </c>
      <c r="G796" s="8" t="s">
        <v>3204</v>
      </c>
      <c r="H796" s="8" t="s">
        <v>3427</v>
      </c>
      <c r="I796" s="8" t="s">
        <v>3506</v>
      </c>
      <c r="J796" s="8" t="s">
        <v>3298</v>
      </c>
      <c r="K796" s="8" t="s">
        <v>3183</v>
      </c>
      <c r="L796" s="10" t="s">
        <v>3462</v>
      </c>
      <c r="M796" s="10" t="s">
        <v>3507</v>
      </c>
      <c r="N796" s="10" t="s">
        <v>3508</v>
      </c>
      <c r="O796" s="8" t="s">
        <v>3190</v>
      </c>
      <c r="P796" s="8"/>
      <c r="Q796" s="8"/>
      <c r="R796" s="8">
        <v>116181</v>
      </c>
      <c r="S796" s="8"/>
      <c r="T796" s="8"/>
      <c r="U796" s="8"/>
      <c r="V796" s="8"/>
      <c r="W796" s="8"/>
      <c r="X796" s="8"/>
      <c r="Y796" s="8"/>
      <c r="Z796" s="10" t="s">
        <v>3821</v>
      </c>
      <c r="AA796" s="8" t="s">
        <v>332</v>
      </c>
      <c r="AB796" s="8">
        <v>1</v>
      </c>
    </row>
    <row r="797" spans="1:28" ht="21.6" customHeight="1">
      <c r="A797" s="8">
        <v>67</v>
      </c>
      <c r="B797" s="8">
        <v>2025080989</v>
      </c>
      <c r="C797" s="8">
        <v>1</v>
      </c>
      <c r="D797" s="8" t="s">
        <v>3177</v>
      </c>
      <c r="E797" s="8" t="s">
        <v>118</v>
      </c>
      <c r="F797" s="8" t="s">
        <v>4338</v>
      </c>
      <c r="G797" s="8" t="s">
        <v>3280</v>
      </c>
      <c r="H797" s="8" t="s">
        <v>3233</v>
      </c>
      <c r="I797" s="8" t="s">
        <v>4098</v>
      </c>
      <c r="J797" s="8" t="s">
        <v>3543</v>
      </c>
      <c r="K797" s="8" t="s">
        <v>3183</v>
      </c>
      <c r="L797" s="10" t="s">
        <v>3254</v>
      </c>
      <c r="M797" s="10" t="s">
        <v>4099</v>
      </c>
      <c r="N797" s="10" t="s">
        <v>4100</v>
      </c>
      <c r="O797" s="8" t="s">
        <v>322</v>
      </c>
      <c r="P797" s="8"/>
      <c r="Q797" s="8"/>
      <c r="R797" s="8">
        <v>86982</v>
      </c>
      <c r="S797" s="8"/>
      <c r="T797" s="8"/>
      <c r="U797" s="8"/>
      <c r="V797" s="8"/>
      <c r="W797" s="8"/>
      <c r="X797" s="8"/>
      <c r="Y797" s="8" t="s">
        <v>332</v>
      </c>
      <c r="Z797" s="10" t="s">
        <v>4340</v>
      </c>
      <c r="AA797" s="8" t="s">
        <v>332</v>
      </c>
      <c r="AB797" s="8">
        <v>1</v>
      </c>
    </row>
    <row r="798" spans="1:28" ht="21.6" customHeight="1">
      <c r="A798" s="8">
        <v>9</v>
      </c>
      <c r="B798" s="8">
        <v>2025080941</v>
      </c>
      <c r="C798" s="8">
        <v>1</v>
      </c>
      <c r="D798" s="8" t="s">
        <v>3177</v>
      </c>
      <c r="E798" s="8" t="s">
        <v>123</v>
      </c>
      <c r="F798" s="8" t="s">
        <v>4333</v>
      </c>
      <c r="G798" s="8" t="s">
        <v>3426</v>
      </c>
      <c r="H798" s="8" t="s">
        <v>4341</v>
      </c>
      <c r="I798" s="8" t="s">
        <v>3297</v>
      </c>
      <c r="J798" s="8" t="s">
        <v>3298</v>
      </c>
      <c r="K798" s="8" t="s">
        <v>3183</v>
      </c>
      <c r="L798" s="10" t="s">
        <v>3207</v>
      </c>
      <c r="M798" s="10" t="s">
        <v>3208</v>
      </c>
      <c r="N798" s="10" t="s">
        <v>3299</v>
      </c>
      <c r="O798" s="8" t="s">
        <v>363</v>
      </c>
      <c r="P798" s="8"/>
      <c r="Q798" s="8"/>
      <c r="R798" s="8">
        <v>149364</v>
      </c>
      <c r="S798" s="8"/>
      <c r="T798" s="8"/>
      <c r="U798" s="8"/>
      <c r="V798" s="8"/>
      <c r="W798" s="8"/>
      <c r="X798" s="8"/>
      <c r="Y798" s="8"/>
      <c r="Z798" s="10" t="s">
        <v>4342</v>
      </c>
      <c r="AA798" s="8" t="s">
        <v>332</v>
      </c>
      <c r="AB798" s="8">
        <v>1</v>
      </c>
    </row>
    <row r="799" spans="1:28" ht="21.6" customHeight="1">
      <c r="A799" s="8">
        <v>36</v>
      </c>
      <c r="B799" s="8">
        <v>2025081134</v>
      </c>
      <c r="C799" s="8">
        <v>1</v>
      </c>
      <c r="D799" s="8" t="s">
        <v>3177</v>
      </c>
      <c r="E799" s="8" t="s">
        <v>118</v>
      </c>
      <c r="F799" s="8" t="s">
        <v>4343</v>
      </c>
      <c r="G799" s="8" t="s">
        <v>3368</v>
      </c>
      <c r="H799" s="8" t="s">
        <v>3386</v>
      </c>
      <c r="I799" s="8" t="s">
        <v>3936</v>
      </c>
      <c r="J799" s="8" t="s">
        <v>3195</v>
      </c>
      <c r="K799" s="8" t="s">
        <v>3183</v>
      </c>
      <c r="L799" s="10" t="s">
        <v>3377</v>
      </c>
      <c r="M799" s="10" t="s">
        <v>3937</v>
      </c>
      <c r="N799" s="10" t="s">
        <v>3938</v>
      </c>
      <c r="O799" s="8" t="s">
        <v>363</v>
      </c>
      <c r="P799" s="8"/>
      <c r="Q799" s="8">
        <v>27842</v>
      </c>
      <c r="R799" s="8">
        <v>23949</v>
      </c>
      <c r="S799" s="8"/>
      <c r="T799" s="8"/>
      <c r="U799" s="8"/>
      <c r="V799" s="8"/>
      <c r="W799" s="8"/>
      <c r="X799" s="8"/>
      <c r="Y799" s="8"/>
      <c r="Z799" s="10" t="s">
        <v>4344</v>
      </c>
      <c r="AA799" s="8" t="s">
        <v>332</v>
      </c>
      <c r="AB799" s="8">
        <v>1</v>
      </c>
    </row>
    <row r="800" spans="1:28" ht="21.6" customHeight="1">
      <c r="A800" s="8">
        <v>37</v>
      </c>
      <c r="B800" s="8">
        <v>2025081032</v>
      </c>
      <c r="C800" s="8">
        <v>1</v>
      </c>
      <c r="D800" s="8" t="s">
        <v>3177</v>
      </c>
      <c r="E800" s="8" t="s">
        <v>118</v>
      </c>
      <c r="F800" s="8" t="s">
        <v>4343</v>
      </c>
      <c r="G800" s="8" t="s">
        <v>3386</v>
      </c>
      <c r="H800" s="8" t="s">
        <v>3387</v>
      </c>
      <c r="I800" s="8" t="s">
        <v>3683</v>
      </c>
      <c r="J800" s="8" t="s">
        <v>3224</v>
      </c>
      <c r="K800" s="8" t="s">
        <v>3183</v>
      </c>
      <c r="L800" s="10" t="s">
        <v>3383</v>
      </c>
      <c r="M800" s="10" t="s">
        <v>3684</v>
      </c>
      <c r="N800" s="10" t="s">
        <v>3685</v>
      </c>
      <c r="O800" s="8" t="s">
        <v>363</v>
      </c>
      <c r="P800" s="8">
        <v>1696</v>
      </c>
      <c r="Q800" s="8">
        <v>2263</v>
      </c>
      <c r="R800" s="8">
        <v>5390</v>
      </c>
      <c r="S800" s="8"/>
      <c r="T800" s="8"/>
      <c r="U800" s="8"/>
      <c r="V800" s="8"/>
      <c r="W800" s="8"/>
      <c r="X800" s="8"/>
      <c r="Y800" s="8"/>
      <c r="Z800" s="10" t="s">
        <v>4345</v>
      </c>
      <c r="AA800" s="8" t="s">
        <v>332</v>
      </c>
      <c r="AB800" s="8">
        <v>1</v>
      </c>
    </row>
    <row r="801" spans="1:28" ht="21.6" customHeight="1">
      <c r="A801" s="8">
        <v>42</v>
      </c>
      <c r="B801" s="8">
        <v>2025081092</v>
      </c>
      <c r="C801" s="8">
        <v>1</v>
      </c>
      <c r="D801" s="8" t="s">
        <v>3177</v>
      </c>
      <c r="E801" s="8" t="s">
        <v>118</v>
      </c>
      <c r="F801" s="8" t="s">
        <v>4338</v>
      </c>
      <c r="G801" s="8" t="s">
        <v>3204</v>
      </c>
      <c r="H801" s="8" t="s">
        <v>3329</v>
      </c>
      <c r="I801" s="8" t="s">
        <v>3397</v>
      </c>
      <c r="J801" s="8" t="s">
        <v>3253</v>
      </c>
      <c r="K801" s="8" t="s">
        <v>3183</v>
      </c>
      <c r="L801" s="10" t="s">
        <v>3398</v>
      </c>
      <c r="M801" s="10" t="s">
        <v>3399</v>
      </c>
      <c r="N801" s="10" t="s">
        <v>3400</v>
      </c>
      <c r="O801" s="8" t="s">
        <v>322</v>
      </c>
      <c r="P801" s="8"/>
      <c r="Q801" s="8"/>
      <c r="R801" s="8">
        <v>395025</v>
      </c>
      <c r="S801" s="8" t="s">
        <v>332</v>
      </c>
      <c r="T801" s="8"/>
      <c r="U801" s="8"/>
      <c r="V801" s="8"/>
      <c r="W801" s="8"/>
      <c r="X801" s="8"/>
      <c r="Y801" s="8"/>
      <c r="Z801" s="10" t="s">
        <v>3821</v>
      </c>
      <c r="AA801" s="8" t="s">
        <v>332</v>
      </c>
      <c r="AB801" s="8">
        <v>1</v>
      </c>
    </row>
    <row r="802" spans="1:28" ht="21.6" customHeight="1">
      <c r="A802" s="8">
        <v>45</v>
      </c>
      <c r="B802" s="8">
        <v>2025081100</v>
      </c>
      <c r="C802" s="8">
        <v>1</v>
      </c>
      <c r="D802" s="8" t="s">
        <v>3177</v>
      </c>
      <c r="E802" s="8" t="s">
        <v>118</v>
      </c>
      <c r="F802" s="8" t="s">
        <v>4338</v>
      </c>
      <c r="G802" s="8" t="s">
        <v>3848</v>
      </c>
      <c r="H802" s="8" t="s">
        <v>3588</v>
      </c>
      <c r="I802" s="8" t="s">
        <v>3404</v>
      </c>
      <c r="J802" s="8" t="s">
        <v>3253</v>
      </c>
      <c r="K802" s="8" t="s">
        <v>3183</v>
      </c>
      <c r="L802" s="10" t="s">
        <v>3398</v>
      </c>
      <c r="M802" s="10" t="s">
        <v>3405</v>
      </c>
      <c r="N802" s="10" t="s">
        <v>3406</v>
      </c>
      <c r="O802" s="8" t="s">
        <v>322</v>
      </c>
      <c r="P802" s="8"/>
      <c r="Q802" s="8"/>
      <c r="R802" s="8">
        <v>164338</v>
      </c>
      <c r="S802" s="8" t="s">
        <v>332</v>
      </c>
      <c r="T802" s="8"/>
      <c r="U802" s="8"/>
      <c r="V802" s="8"/>
      <c r="W802" s="8"/>
      <c r="X802" s="8"/>
      <c r="Y802" s="8"/>
      <c r="Z802" s="10" t="s">
        <v>3821</v>
      </c>
      <c r="AA802" s="8" t="s">
        <v>332</v>
      </c>
      <c r="AB802" s="8">
        <v>1</v>
      </c>
    </row>
    <row r="803" spans="1:28" ht="21.6" customHeight="1">
      <c r="A803" s="8">
        <v>55</v>
      </c>
      <c r="B803" s="8">
        <v>2025080130</v>
      </c>
      <c r="C803" s="8">
        <v>1</v>
      </c>
      <c r="D803" s="8" t="s">
        <v>3177</v>
      </c>
      <c r="E803" s="8" t="s">
        <v>118</v>
      </c>
      <c r="F803" s="8" t="s">
        <v>4332</v>
      </c>
      <c r="G803" s="8" t="s">
        <v>3250</v>
      </c>
      <c r="H803" s="8" t="s">
        <v>3204</v>
      </c>
      <c r="I803" s="8" t="s">
        <v>3461</v>
      </c>
      <c r="J803" s="8" t="s">
        <v>3277</v>
      </c>
      <c r="K803" s="8" t="s">
        <v>3183</v>
      </c>
      <c r="L803" s="10" t="s">
        <v>3462</v>
      </c>
      <c r="M803" s="10" t="s">
        <v>3463</v>
      </c>
      <c r="N803" s="10" t="s">
        <v>3464</v>
      </c>
      <c r="O803" s="8" t="s">
        <v>3190</v>
      </c>
      <c r="P803" s="8"/>
      <c r="Q803" s="8"/>
      <c r="R803" s="8">
        <v>253107</v>
      </c>
      <c r="S803" s="8"/>
      <c r="T803" s="8"/>
      <c r="U803" s="8"/>
      <c r="V803" s="8"/>
      <c r="W803" s="8"/>
      <c r="X803" s="8"/>
      <c r="Y803" s="8"/>
      <c r="Z803" s="10" t="s">
        <v>3821</v>
      </c>
      <c r="AA803" s="8" t="s">
        <v>332</v>
      </c>
      <c r="AB803" s="8">
        <v>1</v>
      </c>
    </row>
    <row r="804" spans="1:28" ht="21.6" customHeight="1">
      <c r="A804" s="8">
        <v>71</v>
      </c>
      <c r="B804" s="8">
        <v>2025081104</v>
      </c>
      <c r="C804" s="8">
        <v>1</v>
      </c>
      <c r="D804" s="8" t="s">
        <v>3177</v>
      </c>
      <c r="E804" s="8" t="s">
        <v>118</v>
      </c>
      <c r="F804" s="8" t="s">
        <v>4338</v>
      </c>
      <c r="G804" s="8" t="s">
        <v>3426</v>
      </c>
      <c r="H804" s="8" t="s">
        <v>4077</v>
      </c>
      <c r="I804" s="8" t="s">
        <v>3510</v>
      </c>
      <c r="J804" s="8" t="s">
        <v>3298</v>
      </c>
      <c r="K804" s="8" t="s">
        <v>3183</v>
      </c>
      <c r="L804" s="10" t="s">
        <v>3398</v>
      </c>
      <c r="M804" s="10" t="s">
        <v>3511</v>
      </c>
      <c r="N804" s="10" t="s">
        <v>3512</v>
      </c>
      <c r="O804" s="8" t="s">
        <v>322</v>
      </c>
      <c r="P804" s="8"/>
      <c r="Q804" s="8"/>
      <c r="R804" s="8">
        <v>11452</v>
      </c>
      <c r="S804" s="8" t="s">
        <v>332</v>
      </c>
      <c r="T804" s="8"/>
      <c r="U804" s="8"/>
      <c r="V804" s="8"/>
      <c r="W804" s="8"/>
      <c r="X804" s="8"/>
      <c r="Y804" s="8"/>
      <c r="Z804" s="10" t="s">
        <v>3821</v>
      </c>
      <c r="AA804" s="8" t="s">
        <v>332</v>
      </c>
      <c r="AB804" s="8">
        <v>1</v>
      </c>
    </row>
    <row r="805" spans="1:28" ht="21.6" customHeight="1">
      <c r="A805" s="8">
        <v>73</v>
      </c>
      <c r="B805" s="8">
        <v>2025081095</v>
      </c>
      <c r="C805" s="8">
        <v>1</v>
      </c>
      <c r="D805" s="8" t="s">
        <v>3177</v>
      </c>
      <c r="E805" s="8" t="s">
        <v>118</v>
      </c>
      <c r="F805" s="8" t="s">
        <v>4338</v>
      </c>
      <c r="G805" s="8" t="s">
        <v>3329</v>
      </c>
      <c r="H805" s="8" t="s">
        <v>3654</v>
      </c>
      <c r="I805" s="8" t="s">
        <v>3513</v>
      </c>
      <c r="J805" s="8" t="s">
        <v>3298</v>
      </c>
      <c r="K805" s="8" t="s">
        <v>3183</v>
      </c>
      <c r="L805" s="10" t="s">
        <v>3398</v>
      </c>
      <c r="M805" s="10" t="s">
        <v>3514</v>
      </c>
      <c r="N805" s="10" t="s">
        <v>3379</v>
      </c>
      <c r="O805" s="8" t="s">
        <v>3190</v>
      </c>
      <c r="P805" s="8"/>
      <c r="Q805" s="8"/>
      <c r="R805" s="8">
        <v>147602</v>
      </c>
      <c r="S805" s="8"/>
      <c r="T805" s="8"/>
      <c r="U805" s="8"/>
      <c r="V805" s="8"/>
      <c r="W805" s="8"/>
      <c r="X805" s="8"/>
      <c r="Y805" s="8"/>
      <c r="Z805" s="10" t="s">
        <v>3821</v>
      </c>
      <c r="AA805" s="8" t="s">
        <v>332</v>
      </c>
      <c r="AB805" s="8">
        <v>1</v>
      </c>
    </row>
    <row r="806" spans="1:28" ht="21.6" customHeight="1">
      <c r="A806" s="8">
        <v>75</v>
      </c>
      <c r="B806" s="8">
        <v>2025081098</v>
      </c>
      <c r="C806" s="8">
        <v>1</v>
      </c>
      <c r="D806" s="8" t="s">
        <v>3177</v>
      </c>
      <c r="E806" s="8" t="s">
        <v>118</v>
      </c>
      <c r="F806" s="8" t="s">
        <v>4338</v>
      </c>
      <c r="G806" s="8" t="s">
        <v>3386</v>
      </c>
      <c r="H806" s="8" t="s">
        <v>3848</v>
      </c>
      <c r="I806" s="8" t="s">
        <v>3518</v>
      </c>
      <c r="J806" s="8" t="s">
        <v>3298</v>
      </c>
      <c r="K806" s="8" t="s">
        <v>3183</v>
      </c>
      <c r="L806" s="10" t="s">
        <v>3398</v>
      </c>
      <c r="M806" s="10" t="s">
        <v>3519</v>
      </c>
      <c r="N806" s="10" t="s">
        <v>3520</v>
      </c>
      <c r="O806" s="8" t="s">
        <v>322</v>
      </c>
      <c r="P806" s="8"/>
      <c r="Q806" s="8"/>
      <c r="R806" s="8">
        <v>259807</v>
      </c>
      <c r="S806" s="8" t="s">
        <v>332</v>
      </c>
      <c r="T806" s="8"/>
      <c r="U806" s="8"/>
      <c r="V806" s="8"/>
      <c r="W806" s="8"/>
      <c r="X806" s="8"/>
      <c r="Y806" s="8"/>
      <c r="Z806" s="10" t="s">
        <v>3821</v>
      </c>
      <c r="AA806" s="8" t="s">
        <v>332</v>
      </c>
      <c r="AB806" s="8">
        <v>1</v>
      </c>
    </row>
    <row r="807" spans="1:28" ht="21.6" customHeight="1">
      <c r="A807" s="8">
        <v>77</v>
      </c>
      <c r="B807" s="8">
        <v>2025081102</v>
      </c>
      <c r="C807" s="8">
        <v>1</v>
      </c>
      <c r="D807" s="8" t="s">
        <v>3177</v>
      </c>
      <c r="E807" s="8" t="s">
        <v>118</v>
      </c>
      <c r="F807" s="8" t="s">
        <v>4338</v>
      </c>
      <c r="G807" s="8" t="s">
        <v>3588</v>
      </c>
      <c r="H807" s="8" t="s">
        <v>3426</v>
      </c>
      <c r="I807" s="8" t="s">
        <v>3521</v>
      </c>
      <c r="J807" s="8" t="s">
        <v>3298</v>
      </c>
      <c r="K807" s="8" t="s">
        <v>3183</v>
      </c>
      <c r="L807" s="10" t="s">
        <v>3398</v>
      </c>
      <c r="M807" s="10" t="s">
        <v>3522</v>
      </c>
      <c r="N807" s="10" t="s">
        <v>3523</v>
      </c>
      <c r="O807" s="8" t="s">
        <v>322</v>
      </c>
      <c r="P807" s="8"/>
      <c r="Q807" s="8"/>
      <c r="R807" s="8">
        <v>127215</v>
      </c>
      <c r="S807" s="8" t="s">
        <v>332</v>
      </c>
      <c r="T807" s="8"/>
      <c r="U807" s="8"/>
      <c r="V807" s="8"/>
      <c r="W807" s="8"/>
      <c r="X807" s="8"/>
      <c r="Y807" s="8"/>
      <c r="Z807" s="10" t="s">
        <v>3821</v>
      </c>
      <c r="AA807" s="8" t="s">
        <v>332</v>
      </c>
      <c r="AB807" s="8">
        <v>1</v>
      </c>
    </row>
    <row r="808" spans="1:28" ht="21.6" customHeight="1">
      <c r="A808" s="8">
        <v>85</v>
      </c>
      <c r="B808" s="8">
        <v>2025081096</v>
      </c>
      <c r="C808" s="8">
        <v>1</v>
      </c>
      <c r="D808" s="8" t="s">
        <v>3177</v>
      </c>
      <c r="E808" s="8" t="s">
        <v>118</v>
      </c>
      <c r="F808" s="8" t="s">
        <v>4338</v>
      </c>
      <c r="G808" s="8" t="s">
        <v>3654</v>
      </c>
      <c r="H808" s="8" t="s">
        <v>3386</v>
      </c>
      <c r="I808" s="8" t="s">
        <v>3534</v>
      </c>
      <c r="J808" s="8" t="s">
        <v>3298</v>
      </c>
      <c r="K808" s="8" t="s">
        <v>3183</v>
      </c>
      <c r="L808" s="10" t="s">
        <v>3398</v>
      </c>
      <c r="M808" s="10" t="s">
        <v>3535</v>
      </c>
      <c r="N808" s="10" t="s">
        <v>3494</v>
      </c>
      <c r="O808" s="8" t="s">
        <v>322</v>
      </c>
      <c r="P808" s="8"/>
      <c r="Q808" s="8"/>
      <c r="R808" s="8">
        <v>199625</v>
      </c>
      <c r="S808" s="8" t="s">
        <v>332</v>
      </c>
      <c r="T808" s="8"/>
      <c r="U808" s="8"/>
      <c r="V808" s="8"/>
      <c r="W808" s="8"/>
      <c r="X808" s="8"/>
      <c r="Y808" s="8"/>
      <c r="Z808" s="10" t="s">
        <v>3821</v>
      </c>
      <c r="AA808" s="8" t="s">
        <v>332</v>
      </c>
      <c r="AB808" s="8">
        <v>1</v>
      </c>
    </row>
    <row r="809" spans="1:28" ht="21.6" customHeight="1">
      <c r="A809" s="8">
        <v>95</v>
      </c>
      <c r="B809" s="8">
        <v>2025081106</v>
      </c>
      <c r="C809" s="8">
        <v>1</v>
      </c>
      <c r="D809" s="8" t="s">
        <v>3177</v>
      </c>
      <c r="E809" s="8" t="s">
        <v>118</v>
      </c>
      <c r="F809" s="8" t="s">
        <v>4338</v>
      </c>
      <c r="G809" s="8" t="s">
        <v>4077</v>
      </c>
      <c r="H809" s="8" t="s">
        <v>4346</v>
      </c>
      <c r="I809" s="8" t="s">
        <v>3573</v>
      </c>
      <c r="J809" s="8" t="s">
        <v>3574</v>
      </c>
      <c r="K809" s="8" t="s">
        <v>3183</v>
      </c>
      <c r="L809" s="10" t="s">
        <v>3398</v>
      </c>
      <c r="M809" s="10" t="s">
        <v>3575</v>
      </c>
      <c r="N809" s="10" t="s">
        <v>3576</v>
      </c>
      <c r="O809" s="8" t="s">
        <v>322</v>
      </c>
      <c r="P809" s="8"/>
      <c r="Q809" s="8"/>
      <c r="R809" s="8">
        <v>25326</v>
      </c>
      <c r="S809" s="8" t="s">
        <v>332</v>
      </c>
      <c r="T809" s="8"/>
      <c r="U809" s="8"/>
      <c r="V809" s="8"/>
      <c r="W809" s="8"/>
      <c r="X809" s="8"/>
      <c r="Y809" s="8"/>
      <c r="Z809" s="10" t="s">
        <v>3821</v>
      </c>
      <c r="AA809" s="8" t="s">
        <v>332</v>
      </c>
      <c r="AB809" s="8">
        <v>1</v>
      </c>
    </row>
    <row r="810" spans="1:28" ht="21.6" customHeight="1">
      <c r="A810" s="8">
        <v>40</v>
      </c>
      <c r="B810" s="8">
        <v>2025081327</v>
      </c>
      <c r="C810" s="8">
        <v>1</v>
      </c>
      <c r="D810" s="8" t="s">
        <v>3177</v>
      </c>
      <c r="E810" s="8" t="s">
        <v>118</v>
      </c>
      <c r="F810" s="8" t="s">
        <v>4347</v>
      </c>
      <c r="G810" s="8" t="s">
        <v>3233</v>
      </c>
      <c r="H810" s="8" t="s">
        <v>3381</v>
      </c>
      <c r="I810" s="8" t="s">
        <v>3351</v>
      </c>
      <c r="J810" s="8" t="s">
        <v>3195</v>
      </c>
      <c r="K810" s="8" t="s">
        <v>3183</v>
      </c>
      <c r="L810" s="10" t="s">
        <v>3352</v>
      </c>
      <c r="M810" s="10" t="s">
        <v>3353</v>
      </c>
      <c r="N810" s="10" t="s">
        <v>3667</v>
      </c>
      <c r="O810" s="8" t="s">
        <v>322</v>
      </c>
      <c r="P810" s="8"/>
      <c r="Q810" s="8">
        <v>10738</v>
      </c>
      <c r="R810" s="8">
        <v>73666</v>
      </c>
      <c r="S810" s="8" t="s">
        <v>332</v>
      </c>
      <c r="T810" s="8"/>
      <c r="U810" s="8"/>
      <c r="V810" s="8"/>
      <c r="W810" s="8"/>
      <c r="X810" s="8"/>
      <c r="Y810" s="8"/>
      <c r="Z810" s="10" t="s">
        <v>3696</v>
      </c>
      <c r="AA810" s="8" t="s">
        <v>332</v>
      </c>
      <c r="AB810" s="8">
        <v>1</v>
      </c>
    </row>
    <row r="811" spans="1:28" ht="21.6" customHeight="1">
      <c r="A811" s="8">
        <v>42</v>
      </c>
      <c r="B811" s="8">
        <v>2025081375</v>
      </c>
      <c r="C811" s="8">
        <v>1</v>
      </c>
      <c r="D811" s="8" t="s">
        <v>3177</v>
      </c>
      <c r="E811" s="8" t="s">
        <v>118</v>
      </c>
      <c r="F811" s="8" t="s">
        <v>4347</v>
      </c>
      <c r="G811" s="8" t="s">
        <v>3387</v>
      </c>
      <c r="H811" s="8" t="s">
        <v>3426</v>
      </c>
      <c r="I811" s="8" t="s">
        <v>3370</v>
      </c>
      <c r="J811" s="8" t="s">
        <v>3195</v>
      </c>
      <c r="K811" s="8" t="s">
        <v>3183</v>
      </c>
      <c r="L811" s="10" t="s">
        <v>3371</v>
      </c>
      <c r="M811" s="10" t="s">
        <v>3372</v>
      </c>
      <c r="N811" s="10" t="s">
        <v>3373</v>
      </c>
      <c r="O811" s="8" t="s">
        <v>322</v>
      </c>
      <c r="P811" s="8"/>
      <c r="Q811" s="8">
        <v>15935</v>
      </c>
      <c r="R811" s="8">
        <v>140016</v>
      </c>
      <c r="S811" s="8" t="s">
        <v>332</v>
      </c>
      <c r="T811" s="8"/>
      <c r="U811" s="8"/>
      <c r="V811" s="8"/>
      <c r="W811" s="8"/>
      <c r="X811" s="8"/>
      <c r="Y811" s="8"/>
      <c r="Z811" s="10" t="s">
        <v>111</v>
      </c>
      <c r="AA811" s="8" t="s">
        <v>332</v>
      </c>
      <c r="AB811" s="8">
        <v>1</v>
      </c>
    </row>
    <row r="812" spans="1:28" ht="21.6" customHeight="1">
      <c r="A812" s="8">
        <v>47</v>
      </c>
      <c r="B812" s="8">
        <v>2025081332</v>
      </c>
      <c r="C812" s="8">
        <v>1</v>
      </c>
      <c r="D812" s="8" t="s">
        <v>3177</v>
      </c>
      <c r="E812" s="8" t="s">
        <v>118</v>
      </c>
      <c r="F812" s="8" t="s">
        <v>4347</v>
      </c>
      <c r="G812" s="8" t="s">
        <v>3401</v>
      </c>
      <c r="H812" s="8" t="s">
        <v>3357</v>
      </c>
      <c r="I812" s="8" t="s">
        <v>3382</v>
      </c>
      <c r="J812" s="8" t="s">
        <v>3224</v>
      </c>
      <c r="K812" s="8" t="s">
        <v>3183</v>
      </c>
      <c r="L812" s="10" t="s">
        <v>3383</v>
      </c>
      <c r="M812" s="10" t="s">
        <v>3384</v>
      </c>
      <c r="N812" s="10" t="s">
        <v>3385</v>
      </c>
      <c r="O812" s="8" t="s">
        <v>322</v>
      </c>
      <c r="P812" s="8">
        <v>6341</v>
      </c>
      <c r="Q812" s="8">
        <v>15083</v>
      </c>
      <c r="R812" s="8">
        <v>18344</v>
      </c>
      <c r="S812" s="8" t="s">
        <v>332</v>
      </c>
      <c r="T812" s="8"/>
      <c r="U812" s="8"/>
      <c r="V812" s="8"/>
      <c r="W812" s="8"/>
      <c r="X812" s="8"/>
      <c r="Y812" s="8"/>
      <c r="Z812" s="10" t="s">
        <v>3696</v>
      </c>
      <c r="AA812" s="8" t="s">
        <v>332</v>
      </c>
      <c r="AB812" s="8">
        <v>1</v>
      </c>
    </row>
    <row r="813" spans="1:28" ht="21.6" customHeight="1">
      <c r="A813" s="8">
        <v>50</v>
      </c>
      <c r="B813" s="8">
        <v>2025081330</v>
      </c>
      <c r="C813" s="8">
        <v>1</v>
      </c>
      <c r="D813" s="8" t="s">
        <v>3177</v>
      </c>
      <c r="E813" s="8" t="s">
        <v>118</v>
      </c>
      <c r="F813" s="8" t="s">
        <v>4347</v>
      </c>
      <c r="G813" s="8" t="s">
        <v>3381</v>
      </c>
      <c r="H813" s="8" t="s">
        <v>3401</v>
      </c>
      <c r="I813" s="8" t="s">
        <v>3683</v>
      </c>
      <c r="J813" s="8" t="s">
        <v>3224</v>
      </c>
      <c r="K813" s="8" t="s">
        <v>3183</v>
      </c>
      <c r="L813" s="10" t="s">
        <v>3383</v>
      </c>
      <c r="M813" s="10" t="s">
        <v>3684</v>
      </c>
      <c r="N813" s="10" t="s">
        <v>3685</v>
      </c>
      <c r="O813" s="8" t="s">
        <v>322</v>
      </c>
      <c r="P813" s="8">
        <v>1749</v>
      </c>
      <c r="Q813" s="8">
        <v>2376</v>
      </c>
      <c r="R813" s="8">
        <v>6220</v>
      </c>
      <c r="S813" s="8" t="s">
        <v>332</v>
      </c>
      <c r="T813" s="8"/>
      <c r="U813" s="8"/>
      <c r="V813" s="8"/>
      <c r="W813" s="8"/>
      <c r="X813" s="8"/>
      <c r="Y813" s="8"/>
      <c r="Z813" s="10" t="s">
        <v>3696</v>
      </c>
      <c r="AA813" s="8" t="s">
        <v>332</v>
      </c>
      <c r="AB813" s="8">
        <v>1</v>
      </c>
    </row>
    <row r="814" spans="1:28" ht="21.6" customHeight="1">
      <c r="A814" s="8">
        <v>52</v>
      </c>
      <c r="B814" s="8">
        <v>2025081334</v>
      </c>
      <c r="C814" s="8">
        <v>1</v>
      </c>
      <c r="D814" s="8" t="s">
        <v>3177</v>
      </c>
      <c r="E814" s="8" t="s">
        <v>118</v>
      </c>
      <c r="F814" s="8" t="s">
        <v>4347</v>
      </c>
      <c r="G814" s="8" t="s">
        <v>3357</v>
      </c>
      <c r="H814" s="8" t="s">
        <v>3342</v>
      </c>
      <c r="I814" s="8" t="s">
        <v>3940</v>
      </c>
      <c r="J814" s="8" t="s">
        <v>3224</v>
      </c>
      <c r="K814" s="8" t="s">
        <v>3183</v>
      </c>
      <c r="L814" s="10" t="s">
        <v>3383</v>
      </c>
      <c r="M814" s="10" t="s">
        <v>3941</v>
      </c>
      <c r="N814" s="10" t="s">
        <v>3942</v>
      </c>
      <c r="O814" s="8" t="s">
        <v>322</v>
      </c>
      <c r="P814" s="8">
        <v>81</v>
      </c>
      <c r="Q814" s="8">
        <v>766</v>
      </c>
      <c r="R814" s="8">
        <v>2474</v>
      </c>
      <c r="S814" s="8" t="s">
        <v>332</v>
      </c>
      <c r="T814" s="8"/>
      <c r="U814" s="8"/>
      <c r="V814" s="8"/>
      <c r="W814" s="8"/>
      <c r="X814" s="8"/>
      <c r="Y814" s="8"/>
      <c r="Z814" s="10" t="s">
        <v>3696</v>
      </c>
      <c r="AA814" s="8" t="s">
        <v>332</v>
      </c>
      <c r="AB814" s="8">
        <v>1</v>
      </c>
    </row>
    <row r="815" spans="1:28" ht="21.6" customHeight="1">
      <c r="A815" s="8">
        <v>65</v>
      </c>
      <c r="B815" s="8">
        <v>2025081427</v>
      </c>
      <c r="C815" s="8">
        <v>1</v>
      </c>
      <c r="D815" s="8" t="s">
        <v>3177</v>
      </c>
      <c r="E815" s="8" t="s">
        <v>118</v>
      </c>
      <c r="F815" s="8" t="s">
        <v>4348</v>
      </c>
      <c r="G815" s="8" t="s">
        <v>3280</v>
      </c>
      <c r="H815" s="8" t="s">
        <v>3233</v>
      </c>
      <c r="I815" s="8" t="s">
        <v>3706</v>
      </c>
      <c r="J815" s="8" t="s">
        <v>3253</v>
      </c>
      <c r="K815" s="8" t="s">
        <v>3183</v>
      </c>
      <c r="L815" s="10" t="s">
        <v>3707</v>
      </c>
      <c r="M815" s="10" t="s">
        <v>3708</v>
      </c>
      <c r="N815" s="10" t="s">
        <v>3424</v>
      </c>
      <c r="O815" s="8" t="s">
        <v>322</v>
      </c>
      <c r="P815" s="8"/>
      <c r="Q815" s="8"/>
      <c r="R815" s="8">
        <v>213124</v>
      </c>
      <c r="S815" s="8"/>
      <c r="T815" s="8"/>
      <c r="U815" s="8" t="s">
        <v>332</v>
      </c>
      <c r="V815" s="8"/>
      <c r="W815" s="8"/>
      <c r="X815" s="8"/>
      <c r="Y815" s="8" t="s">
        <v>332</v>
      </c>
      <c r="Z815" s="10" t="s">
        <v>4349</v>
      </c>
      <c r="AA815" s="8" t="s">
        <v>332</v>
      </c>
      <c r="AB815" s="8">
        <v>1</v>
      </c>
    </row>
    <row r="816" spans="1:28" ht="21.6" customHeight="1">
      <c r="A816" s="8">
        <v>85</v>
      </c>
      <c r="B816" s="8">
        <v>2025081440</v>
      </c>
      <c r="C816" s="8">
        <v>1</v>
      </c>
      <c r="D816" s="8" t="s">
        <v>3177</v>
      </c>
      <c r="E816" s="8" t="s">
        <v>118</v>
      </c>
      <c r="F816" s="8" t="s">
        <v>4348</v>
      </c>
      <c r="G816" s="8" t="s">
        <v>4350</v>
      </c>
      <c r="H816" s="8" t="s">
        <v>3638</v>
      </c>
      <c r="I816" s="8" t="s">
        <v>4351</v>
      </c>
      <c r="J816" s="8" t="s">
        <v>3288</v>
      </c>
      <c r="K816" s="8" t="s">
        <v>3183</v>
      </c>
      <c r="L816" s="10" t="s">
        <v>3254</v>
      </c>
      <c r="M816" s="10" t="s">
        <v>4352</v>
      </c>
      <c r="N816" s="10" t="s">
        <v>4353</v>
      </c>
      <c r="O816" s="8" t="s">
        <v>363</v>
      </c>
      <c r="P816" s="8"/>
      <c r="Q816" s="8">
        <v>984</v>
      </c>
      <c r="R816" s="8">
        <v>8649</v>
      </c>
      <c r="S816" s="8"/>
      <c r="T816" s="8"/>
      <c r="U816" s="8"/>
      <c r="V816" s="8"/>
      <c r="W816" s="8"/>
      <c r="X816" s="8"/>
      <c r="Y816" s="8"/>
      <c r="Z816" s="10" t="s">
        <v>4354</v>
      </c>
      <c r="AA816" s="8" t="s">
        <v>332</v>
      </c>
      <c r="AB816" s="8">
        <v>1</v>
      </c>
    </row>
    <row r="817" spans="1:28" ht="21.6" customHeight="1">
      <c r="A817" s="8">
        <v>109</v>
      </c>
      <c r="B817" s="8">
        <v>2025081357</v>
      </c>
      <c r="C817" s="8">
        <v>1</v>
      </c>
      <c r="D817" s="8" t="s">
        <v>3177</v>
      </c>
      <c r="E817" s="8" t="s">
        <v>118</v>
      </c>
      <c r="F817" s="8" t="s">
        <v>4347</v>
      </c>
      <c r="G817" s="8" t="s">
        <v>3427</v>
      </c>
      <c r="H817" s="8" t="s">
        <v>3386</v>
      </c>
      <c r="I817" s="8" t="s">
        <v>3536</v>
      </c>
      <c r="J817" s="8" t="s">
        <v>3298</v>
      </c>
      <c r="K817" s="8" t="s">
        <v>3183</v>
      </c>
      <c r="L817" s="10" t="s">
        <v>3537</v>
      </c>
      <c r="M817" s="10" t="s">
        <v>3538</v>
      </c>
      <c r="N817" s="10"/>
      <c r="O817" s="8" t="s">
        <v>322</v>
      </c>
      <c r="P817" s="8"/>
      <c r="Q817" s="8"/>
      <c r="R817" s="8">
        <v>133644</v>
      </c>
      <c r="S817" s="8" t="s">
        <v>332</v>
      </c>
      <c r="T817" s="8"/>
      <c r="U817" s="8"/>
      <c r="V817" s="8"/>
      <c r="W817" s="8"/>
      <c r="X817" s="8"/>
      <c r="Y817" s="8"/>
      <c r="Z817" s="10" t="s">
        <v>313</v>
      </c>
      <c r="AA817" s="8" t="s">
        <v>332</v>
      </c>
      <c r="AB817" s="8">
        <v>1</v>
      </c>
    </row>
    <row r="818" spans="1:28" ht="21.6" customHeight="1">
      <c r="A818" s="8">
        <v>98</v>
      </c>
      <c r="B818" s="8">
        <v>2025081094</v>
      </c>
      <c r="C818" s="8">
        <v>1</v>
      </c>
      <c r="D818" s="8" t="s">
        <v>3177</v>
      </c>
      <c r="E818" s="8" t="s">
        <v>118</v>
      </c>
      <c r="F818" s="8" t="s">
        <v>4338</v>
      </c>
      <c r="G818" s="8" t="s">
        <v>3329</v>
      </c>
      <c r="H818" s="8" t="s">
        <v>3654</v>
      </c>
      <c r="I818" s="8" t="s">
        <v>3513</v>
      </c>
      <c r="J818" s="8" t="s">
        <v>3298</v>
      </c>
      <c r="K818" s="8" t="s">
        <v>3183</v>
      </c>
      <c r="L818" s="10" t="s">
        <v>3398</v>
      </c>
      <c r="M818" s="10" t="s">
        <v>3514</v>
      </c>
      <c r="N818" s="10" t="s">
        <v>3379</v>
      </c>
      <c r="O818" s="8" t="s">
        <v>322</v>
      </c>
      <c r="P818" s="8"/>
      <c r="Q818" s="8"/>
      <c r="R818" s="8">
        <v>147602</v>
      </c>
      <c r="S818" s="8" t="s">
        <v>332</v>
      </c>
      <c r="T818" s="8"/>
      <c r="U818" s="8"/>
      <c r="V818" s="8"/>
      <c r="W818" s="8"/>
      <c r="X818" s="8"/>
      <c r="Y818" s="8"/>
      <c r="Z818" s="10" t="s">
        <v>3821</v>
      </c>
      <c r="AA818" s="8" t="s">
        <v>332</v>
      </c>
      <c r="AB818" s="8">
        <v>1</v>
      </c>
    </row>
    <row r="819" spans="1:28" ht="21.6" customHeight="1">
      <c r="A819" s="8">
        <v>110</v>
      </c>
      <c r="B819" s="8">
        <v>2025081097</v>
      </c>
      <c r="C819" s="8">
        <v>1</v>
      </c>
      <c r="D819" s="8" t="s">
        <v>3177</v>
      </c>
      <c r="E819" s="8" t="s">
        <v>118</v>
      </c>
      <c r="F819" s="8" t="s">
        <v>4338</v>
      </c>
      <c r="G819" s="8" t="s">
        <v>3654</v>
      </c>
      <c r="H819" s="8" t="s">
        <v>3386</v>
      </c>
      <c r="I819" s="8" t="s">
        <v>3534</v>
      </c>
      <c r="J819" s="8" t="s">
        <v>3298</v>
      </c>
      <c r="K819" s="8" t="s">
        <v>3183</v>
      </c>
      <c r="L819" s="10" t="s">
        <v>3398</v>
      </c>
      <c r="M819" s="10" t="s">
        <v>3535</v>
      </c>
      <c r="N819" s="10" t="s">
        <v>3494</v>
      </c>
      <c r="O819" s="8" t="s">
        <v>3190</v>
      </c>
      <c r="P819" s="8"/>
      <c r="Q819" s="8"/>
      <c r="R819" s="8">
        <v>199625</v>
      </c>
      <c r="S819" s="8"/>
      <c r="T819" s="8"/>
      <c r="U819" s="8"/>
      <c r="V819" s="8"/>
      <c r="W819" s="8"/>
      <c r="X819" s="8"/>
      <c r="Y819" s="8"/>
      <c r="Z819" s="10" t="s">
        <v>3821</v>
      </c>
      <c r="AA819" s="8" t="s">
        <v>332</v>
      </c>
      <c r="AB819" s="8">
        <v>1</v>
      </c>
    </row>
    <row r="820" spans="1:28" ht="21.6" customHeight="1">
      <c r="A820" s="8">
        <v>49</v>
      </c>
      <c r="B820" s="8">
        <v>2025081376</v>
      </c>
      <c r="C820" s="8">
        <v>1</v>
      </c>
      <c r="D820" s="8" t="s">
        <v>3177</v>
      </c>
      <c r="E820" s="8" t="s">
        <v>118</v>
      </c>
      <c r="F820" s="8" t="s">
        <v>4347</v>
      </c>
      <c r="G820" s="8" t="s">
        <v>3387</v>
      </c>
      <c r="H820" s="8" t="s">
        <v>3426</v>
      </c>
      <c r="I820" s="8" t="s">
        <v>3370</v>
      </c>
      <c r="J820" s="8" t="s">
        <v>3195</v>
      </c>
      <c r="K820" s="8" t="s">
        <v>3183</v>
      </c>
      <c r="L820" s="10" t="s">
        <v>3371</v>
      </c>
      <c r="M820" s="10" t="s">
        <v>3372</v>
      </c>
      <c r="N820" s="10" t="s">
        <v>3373</v>
      </c>
      <c r="O820" s="8" t="s">
        <v>3190</v>
      </c>
      <c r="P820" s="8"/>
      <c r="Q820" s="8">
        <v>15935</v>
      </c>
      <c r="R820" s="8">
        <v>140016</v>
      </c>
      <c r="S820" s="8"/>
      <c r="T820" s="8"/>
      <c r="U820" s="8"/>
      <c r="V820" s="8"/>
      <c r="W820" s="8"/>
      <c r="X820" s="8"/>
      <c r="Y820" s="8"/>
      <c r="Z820" s="10" t="s">
        <v>111</v>
      </c>
      <c r="AA820" s="8" t="s">
        <v>332</v>
      </c>
      <c r="AB820" s="8">
        <v>1</v>
      </c>
    </row>
    <row r="821" spans="1:28" ht="21.6" customHeight="1">
      <c r="A821" s="8">
        <v>83</v>
      </c>
      <c r="B821" s="8">
        <v>2025080135</v>
      </c>
      <c r="C821" s="8">
        <v>1</v>
      </c>
      <c r="D821" s="8" t="s">
        <v>3177</v>
      </c>
      <c r="E821" s="8" t="s">
        <v>118</v>
      </c>
      <c r="F821" s="8" t="s">
        <v>4332</v>
      </c>
      <c r="G821" s="8" t="s">
        <v>3427</v>
      </c>
      <c r="H821" s="8" t="s">
        <v>3386</v>
      </c>
      <c r="I821" s="8" t="s">
        <v>3713</v>
      </c>
      <c r="J821" s="8" t="s">
        <v>3277</v>
      </c>
      <c r="K821" s="8" t="s">
        <v>3183</v>
      </c>
      <c r="L821" s="10" t="s">
        <v>3462</v>
      </c>
      <c r="M821" s="10" t="s">
        <v>3714</v>
      </c>
      <c r="N821" s="10" t="s">
        <v>3715</v>
      </c>
      <c r="O821" s="8" t="s">
        <v>3190</v>
      </c>
      <c r="P821" s="8"/>
      <c r="Q821" s="8"/>
      <c r="R821" s="8">
        <v>199706</v>
      </c>
      <c r="S821" s="8"/>
      <c r="T821" s="8"/>
      <c r="U821" s="8"/>
      <c r="V821" s="8"/>
      <c r="W821" s="8"/>
      <c r="X821" s="8"/>
      <c r="Y821" s="8"/>
      <c r="Z821" s="10" t="s">
        <v>3821</v>
      </c>
      <c r="AA821" s="8" t="s">
        <v>332</v>
      </c>
      <c r="AB821" s="8">
        <v>1</v>
      </c>
    </row>
    <row r="822" spans="1:28" ht="21.6" customHeight="1">
      <c r="A822" s="8">
        <v>116</v>
      </c>
      <c r="B822" s="8">
        <v>2025081358</v>
      </c>
      <c r="C822" s="8">
        <v>1</v>
      </c>
      <c r="D822" s="8" t="s">
        <v>3177</v>
      </c>
      <c r="E822" s="8" t="s">
        <v>118</v>
      </c>
      <c r="F822" s="8" t="s">
        <v>4347</v>
      </c>
      <c r="G822" s="8" t="s">
        <v>3427</v>
      </c>
      <c r="H822" s="8" t="s">
        <v>3386</v>
      </c>
      <c r="I822" s="8" t="s">
        <v>3536</v>
      </c>
      <c r="J822" s="8" t="s">
        <v>3298</v>
      </c>
      <c r="K822" s="8" t="s">
        <v>3183</v>
      </c>
      <c r="L822" s="10" t="s">
        <v>3537</v>
      </c>
      <c r="M822" s="10" t="s">
        <v>3538</v>
      </c>
      <c r="N822" s="10"/>
      <c r="O822" s="8" t="s">
        <v>3190</v>
      </c>
      <c r="P822" s="8"/>
      <c r="Q822" s="8"/>
      <c r="R822" s="8">
        <v>133644</v>
      </c>
      <c r="S822" s="8"/>
      <c r="T822" s="8"/>
      <c r="U822" s="8"/>
      <c r="V822" s="8"/>
      <c r="W822" s="8"/>
      <c r="X822" s="8"/>
      <c r="Y822" s="8"/>
      <c r="Z822" s="10" t="s">
        <v>313</v>
      </c>
      <c r="AA822" s="8" t="s">
        <v>332</v>
      </c>
      <c r="AB822" s="8">
        <v>1</v>
      </c>
    </row>
    <row r="823" spans="1:28" ht="21.6" customHeight="1">
      <c r="A823" s="8">
        <v>50</v>
      </c>
      <c r="B823" s="8">
        <v>2025081550</v>
      </c>
      <c r="C823" s="8">
        <v>1</v>
      </c>
      <c r="D823" s="8" t="s">
        <v>3177</v>
      </c>
      <c r="E823" s="8" t="s">
        <v>118</v>
      </c>
      <c r="F823" s="8" t="s">
        <v>4355</v>
      </c>
      <c r="G823" s="8" t="s">
        <v>3280</v>
      </c>
      <c r="H823" s="8" t="s">
        <v>3363</v>
      </c>
      <c r="I823" s="8" t="s">
        <v>3365</v>
      </c>
      <c r="J823" s="8" t="s">
        <v>3195</v>
      </c>
      <c r="K823" s="8" t="s">
        <v>3183</v>
      </c>
      <c r="L823" s="10" t="s">
        <v>3366</v>
      </c>
      <c r="M823" s="10" t="s">
        <v>3367</v>
      </c>
      <c r="N823" s="10"/>
      <c r="O823" s="8" t="s">
        <v>322</v>
      </c>
      <c r="P823" s="8"/>
      <c r="Q823" s="8">
        <v>2050</v>
      </c>
      <c r="R823" s="8">
        <v>41000</v>
      </c>
      <c r="S823" s="8" t="s">
        <v>332</v>
      </c>
      <c r="T823" s="8"/>
      <c r="U823" s="8"/>
      <c r="V823" s="8"/>
      <c r="W823" s="8"/>
      <c r="X823" s="8"/>
      <c r="Y823" s="8"/>
      <c r="Z823" s="10" t="s">
        <v>111</v>
      </c>
      <c r="AA823" s="8" t="s">
        <v>332</v>
      </c>
      <c r="AB823" s="8">
        <v>1</v>
      </c>
    </row>
    <row r="824" spans="1:28" ht="21.6" customHeight="1">
      <c r="A824" s="8">
        <v>62</v>
      </c>
      <c r="B824" s="8">
        <v>2025081560</v>
      </c>
      <c r="C824" s="8">
        <v>1</v>
      </c>
      <c r="D824" s="8" t="s">
        <v>3177</v>
      </c>
      <c r="E824" s="8" t="s">
        <v>118</v>
      </c>
      <c r="F824" s="8" t="s">
        <v>4355</v>
      </c>
      <c r="G824" s="8" t="s">
        <v>3233</v>
      </c>
      <c r="H824" s="8" t="s">
        <v>3381</v>
      </c>
      <c r="I824" s="8" t="s">
        <v>3689</v>
      </c>
      <c r="J824" s="8" t="s">
        <v>3224</v>
      </c>
      <c r="K824" s="8" t="s">
        <v>3183</v>
      </c>
      <c r="L824" s="10" t="s">
        <v>3344</v>
      </c>
      <c r="M824" s="10" t="s">
        <v>3345</v>
      </c>
      <c r="N824" s="10" t="s">
        <v>3497</v>
      </c>
      <c r="O824" s="8" t="s">
        <v>322</v>
      </c>
      <c r="P824" s="8"/>
      <c r="Q824" s="8">
        <v>700</v>
      </c>
      <c r="R824" s="8">
        <v>10500</v>
      </c>
      <c r="S824" s="8" t="s">
        <v>332</v>
      </c>
      <c r="T824" s="8"/>
      <c r="U824" s="8"/>
      <c r="V824" s="8"/>
      <c r="W824" s="8"/>
      <c r="X824" s="8"/>
      <c r="Y824" s="8"/>
      <c r="Z824" s="10" t="s">
        <v>111</v>
      </c>
      <c r="AA824" s="8" t="s">
        <v>332</v>
      </c>
      <c r="AB824" s="8">
        <v>1</v>
      </c>
    </row>
    <row r="825" spans="1:28" ht="21.6" customHeight="1">
      <c r="A825" s="8">
        <v>86</v>
      </c>
      <c r="B825" s="8">
        <v>2025081552</v>
      </c>
      <c r="C825" s="8">
        <v>1</v>
      </c>
      <c r="D825" s="8" t="s">
        <v>3177</v>
      </c>
      <c r="E825" s="8" t="s">
        <v>118</v>
      </c>
      <c r="F825" s="8" t="s">
        <v>4355</v>
      </c>
      <c r="G825" s="8" t="s">
        <v>3363</v>
      </c>
      <c r="H825" s="8" t="s">
        <v>3233</v>
      </c>
      <c r="I825" s="8" t="s">
        <v>3447</v>
      </c>
      <c r="J825" s="8" t="s">
        <v>3277</v>
      </c>
      <c r="K825" s="8" t="s">
        <v>3183</v>
      </c>
      <c r="L825" s="10" t="s">
        <v>3448</v>
      </c>
      <c r="M825" s="10" t="s">
        <v>3449</v>
      </c>
      <c r="N825" s="10"/>
      <c r="O825" s="8" t="s">
        <v>322</v>
      </c>
      <c r="P825" s="8"/>
      <c r="Q825" s="8"/>
      <c r="R825" s="8">
        <v>46000</v>
      </c>
      <c r="S825" s="8" t="s">
        <v>332</v>
      </c>
      <c r="T825" s="8"/>
      <c r="U825" s="8"/>
      <c r="V825" s="8"/>
      <c r="W825" s="8"/>
      <c r="X825" s="8"/>
      <c r="Y825" s="8"/>
      <c r="Z825" s="10" t="s">
        <v>111</v>
      </c>
      <c r="AA825" s="8" t="s">
        <v>332</v>
      </c>
      <c r="AB825" s="8">
        <v>1</v>
      </c>
    </row>
    <row r="826" spans="1:28" ht="21.6" customHeight="1">
      <c r="A826" s="8">
        <v>113</v>
      </c>
      <c r="B826" s="8">
        <v>2025081103</v>
      </c>
      <c r="C826" s="8">
        <v>1</v>
      </c>
      <c r="D826" s="8" t="s">
        <v>3177</v>
      </c>
      <c r="E826" s="8" t="s">
        <v>118</v>
      </c>
      <c r="F826" s="8" t="s">
        <v>4338</v>
      </c>
      <c r="G826" s="8" t="s">
        <v>3588</v>
      </c>
      <c r="H826" s="8" t="s">
        <v>3426</v>
      </c>
      <c r="I826" s="8" t="s">
        <v>3521</v>
      </c>
      <c r="J826" s="8" t="s">
        <v>3298</v>
      </c>
      <c r="K826" s="8" t="s">
        <v>3183</v>
      </c>
      <c r="L826" s="10" t="s">
        <v>3398</v>
      </c>
      <c r="M826" s="10" t="s">
        <v>3522</v>
      </c>
      <c r="N826" s="10" t="s">
        <v>3523</v>
      </c>
      <c r="O826" s="8" t="s">
        <v>3190</v>
      </c>
      <c r="P826" s="8"/>
      <c r="Q826" s="8"/>
      <c r="R826" s="8">
        <v>127215</v>
      </c>
      <c r="S826" s="8"/>
      <c r="T826" s="8"/>
      <c r="U826" s="8"/>
      <c r="V826" s="8"/>
      <c r="W826" s="8"/>
      <c r="X826" s="8"/>
      <c r="Y826" s="8"/>
      <c r="Z826" s="10" t="s">
        <v>3821</v>
      </c>
      <c r="AA826" s="8" t="s">
        <v>332</v>
      </c>
      <c r="AB826" s="8">
        <v>1</v>
      </c>
    </row>
    <row r="827" spans="1:28" ht="21.6" customHeight="1">
      <c r="A827" s="8">
        <v>131</v>
      </c>
      <c r="B827" s="8">
        <v>2025081293</v>
      </c>
      <c r="C827" s="8">
        <v>1</v>
      </c>
      <c r="D827" s="8" t="s">
        <v>3177</v>
      </c>
      <c r="E827" s="8" t="s">
        <v>118</v>
      </c>
      <c r="F827" s="8" t="s">
        <v>4347</v>
      </c>
      <c r="G827" s="8" t="s">
        <v>3280</v>
      </c>
      <c r="H827" s="8" t="s">
        <v>3363</v>
      </c>
      <c r="I827" s="8" t="s">
        <v>4356</v>
      </c>
      <c r="J827" s="8" t="s">
        <v>3543</v>
      </c>
      <c r="K827" s="8" t="s">
        <v>3183</v>
      </c>
      <c r="L827" s="10" t="s">
        <v>4080</v>
      </c>
      <c r="M827" s="10" t="s">
        <v>4357</v>
      </c>
      <c r="N827" s="10" t="s">
        <v>4082</v>
      </c>
      <c r="O827" s="8" t="s">
        <v>3190</v>
      </c>
      <c r="P827" s="8"/>
      <c r="Q827" s="8"/>
      <c r="R827" s="8">
        <v>3085</v>
      </c>
      <c r="S827" s="8"/>
      <c r="T827" s="8"/>
      <c r="U827" s="8"/>
      <c r="V827" s="8"/>
      <c r="W827" s="8"/>
      <c r="X827" s="8"/>
      <c r="Y827" s="8"/>
      <c r="Z827" s="10" t="s">
        <v>3696</v>
      </c>
      <c r="AA827" s="8" t="s">
        <v>332</v>
      </c>
      <c r="AB827" s="8">
        <v>1</v>
      </c>
    </row>
    <row r="828" spans="1:28" ht="21.6" customHeight="1">
      <c r="A828" s="8">
        <v>86</v>
      </c>
      <c r="B828" s="8">
        <v>2025081693</v>
      </c>
      <c r="C828" s="8">
        <v>1</v>
      </c>
      <c r="D828" s="8" t="s">
        <v>3177</v>
      </c>
      <c r="E828" s="8" t="s">
        <v>118</v>
      </c>
      <c r="F828" s="8" t="s">
        <v>4355</v>
      </c>
      <c r="G828" s="8" t="s">
        <v>3387</v>
      </c>
      <c r="H828" s="8" t="s">
        <v>4358</v>
      </c>
      <c r="I828" s="8" t="s">
        <v>3428</v>
      </c>
      <c r="J828" s="8" t="s">
        <v>3253</v>
      </c>
      <c r="K828" s="8" t="s">
        <v>3183</v>
      </c>
      <c r="L828" s="10" t="s">
        <v>3270</v>
      </c>
      <c r="M828" s="10" t="s">
        <v>3429</v>
      </c>
      <c r="N828" s="10" t="s">
        <v>3430</v>
      </c>
      <c r="O828" s="8" t="s">
        <v>363</v>
      </c>
      <c r="P828" s="8"/>
      <c r="Q828" s="8"/>
      <c r="R828" s="8">
        <v>76522</v>
      </c>
      <c r="S828" s="8"/>
      <c r="T828" s="8"/>
      <c r="U828" s="8"/>
      <c r="V828" s="8"/>
      <c r="W828" s="8"/>
      <c r="X828" s="8"/>
      <c r="Y828" s="8"/>
      <c r="Z828" s="10" t="s">
        <v>4359</v>
      </c>
      <c r="AA828" s="8" t="s">
        <v>332</v>
      </c>
      <c r="AB828" s="8">
        <v>1</v>
      </c>
    </row>
    <row r="829" spans="1:28" ht="21.6" customHeight="1">
      <c r="A829" s="8">
        <v>87</v>
      </c>
      <c r="B829" s="8">
        <v>2025080859</v>
      </c>
      <c r="C829" s="8">
        <v>1</v>
      </c>
      <c r="D829" s="8" t="s">
        <v>3177</v>
      </c>
      <c r="E829" s="8" t="s">
        <v>118</v>
      </c>
      <c r="F829" s="8" t="s">
        <v>4333</v>
      </c>
      <c r="G829" s="8" t="s">
        <v>3386</v>
      </c>
      <c r="H829" s="8" t="s">
        <v>3387</v>
      </c>
      <c r="I829" s="8" t="s">
        <v>3433</v>
      </c>
      <c r="J829" s="8" t="s">
        <v>3277</v>
      </c>
      <c r="K829" s="8" t="s">
        <v>3183</v>
      </c>
      <c r="L829" s="10" t="s">
        <v>3434</v>
      </c>
      <c r="M829" s="10" t="s">
        <v>3435</v>
      </c>
      <c r="N829" s="10" t="s">
        <v>3436</v>
      </c>
      <c r="O829" s="8" t="s">
        <v>3190</v>
      </c>
      <c r="P829" s="8"/>
      <c r="Q829" s="8"/>
      <c r="R829" s="8">
        <v>146880</v>
      </c>
      <c r="S829" s="8"/>
      <c r="T829" s="8"/>
      <c r="U829" s="8"/>
      <c r="V829" s="8"/>
      <c r="W829" s="8"/>
      <c r="X829" s="8"/>
      <c r="Y829" s="8"/>
      <c r="Z829" s="10" t="s">
        <v>3821</v>
      </c>
      <c r="AA829" s="8" t="s">
        <v>332</v>
      </c>
      <c r="AB829" s="8">
        <v>1</v>
      </c>
    </row>
    <row r="830" spans="1:28" ht="21.6" customHeight="1">
      <c r="A830" s="8">
        <v>1</v>
      </c>
      <c r="B830" s="8">
        <v>2025081757</v>
      </c>
      <c r="C830" s="8">
        <v>1</v>
      </c>
      <c r="D830" s="8" t="s">
        <v>3177</v>
      </c>
      <c r="E830" s="8" t="s">
        <v>123</v>
      </c>
      <c r="F830" s="8" t="s">
        <v>4360</v>
      </c>
      <c r="G830" s="8" t="s">
        <v>3326</v>
      </c>
      <c r="H830" s="8" t="s">
        <v>3402</v>
      </c>
      <c r="I830" s="8" t="s">
        <v>3206</v>
      </c>
      <c r="J830" s="8" t="s">
        <v>3195</v>
      </c>
      <c r="K830" s="8" t="s">
        <v>3183</v>
      </c>
      <c r="L830" s="10" t="s">
        <v>3207</v>
      </c>
      <c r="M830" s="10" t="s">
        <v>3208</v>
      </c>
      <c r="N830" s="10" t="s">
        <v>3209</v>
      </c>
      <c r="O830" s="8" t="s">
        <v>322</v>
      </c>
      <c r="P830" s="8"/>
      <c r="Q830" s="8">
        <v>37518</v>
      </c>
      <c r="R830" s="8">
        <v>68596</v>
      </c>
      <c r="S830" s="8" t="s">
        <v>332</v>
      </c>
      <c r="T830" s="8"/>
      <c r="U830" s="8"/>
      <c r="V830" s="8"/>
      <c r="W830" s="8"/>
      <c r="X830" s="8"/>
      <c r="Y830" s="8"/>
      <c r="Z830" s="10" t="s">
        <v>3186</v>
      </c>
      <c r="AA830" s="8" t="s">
        <v>332</v>
      </c>
      <c r="AB830" s="8">
        <v>1</v>
      </c>
    </row>
    <row r="831" spans="1:28" ht="21.6" customHeight="1">
      <c r="A831" s="8">
        <v>3</v>
      </c>
      <c r="B831" s="8">
        <v>2025081753</v>
      </c>
      <c r="C831" s="8">
        <v>1</v>
      </c>
      <c r="D831" s="8" t="s">
        <v>3177</v>
      </c>
      <c r="E831" s="8" t="s">
        <v>123</v>
      </c>
      <c r="F831" s="8" t="s">
        <v>4360</v>
      </c>
      <c r="G831" s="8" t="s">
        <v>3363</v>
      </c>
      <c r="H831" s="8" t="s">
        <v>3233</v>
      </c>
      <c r="I831" s="8" t="s">
        <v>3259</v>
      </c>
      <c r="J831" s="8" t="s">
        <v>3253</v>
      </c>
      <c r="K831" s="8" t="s">
        <v>3183</v>
      </c>
      <c r="L831" s="10" t="s">
        <v>3207</v>
      </c>
      <c r="M831" s="10" t="s">
        <v>3208</v>
      </c>
      <c r="N831" s="10" t="s">
        <v>3260</v>
      </c>
      <c r="O831" s="8" t="s">
        <v>322</v>
      </c>
      <c r="P831" s="8"/>
      <c r="Q831" s="8"/>
      <c r="R831" s="8">
        <v>88174</v>
      </c>
      <c r="S831" s="8" t="s">
        <v>332</v>
      </c>
      <c r="T831" s="8"/>
      <c r="U831" s="8"/>
      <c r="V831" s="8"/>
      <c r="W831" s="8"/>
      <c r="X831" s="8"/>
      <c r="Y831" s="8"/>
      <c r="Z831" s="10" t="s">
        <v>3186</v>
      </c>
      <c r="AA831" s="8" t="s">
        <v>332</v>
      </c>
      <c r="AB831" s="8">
        <v>1</v>
      </c>
    </row>
    <row r="832" spans="1:28" ht="21.6" customHeight="1">
      <c r="A832" s="8">
        <v>15</v>
      </c>
      <c r="B832" s="8">
        <v>2025081755</v>
      </c>
      <c r="C832" s="8">
        <v>1</v>
      </c>
      <c r="D832" s="8" t="s">
        <v>3177</v>
      </c>
      <c r="E832" s="8" t="s">
        <v>123</v>
      </c>
      <c r="F832" s="8" t="s">
        <v>4360</v>
      </c>
      <c r="G832" s="8" t="s">
        <v>4350</v>
      </c>
      <c r="H832" s="8" t="s">
        <v>3381</v>
      </c>
      <c r="I832" s="8" t="s">
        <v>3297</v>
      </c>
      <c r="J832" s="8" t="s">
        <v>3298</v>
      </c>
      <c r="K832" s="8" t="s">
        <v>3183</v>
      </c>
      <c r="L832" s="10" t="s">
        <v>3207</v>
      </c>
      <c r="M832" s="10" t="s">
        <v>3208</v>
      </c>
      <c r="N832" s="10" t="s">
        <v>3299</v>
      </c>
      <c r="O832" s="8" t="s">
        <v>322</v>
      </c>
      <c r="P832" s="8"/>
      <c r="Q832" s="8"/>
      <c r="R832" s="8">
        <v>127238</v>
      </c>
      <c r="S832" s="8" t="s">
        <v>332</v>
      </c>
      <c r="T832" s="8"/>
      <c r="U832" s="8"/>
      <c r="V832" s="8"/>
      <c r="W832" s="8"/>
      <c r="X832" s="8"/>
      <c r="Y832" s="8"/>
      <c r="Z832" s="10" t="s">
        <v>3186</v>
      </c>
      <c r="AA832" s="8" t="s">
        <v>332</v>
      </c>
      <c r="AB832" s="8">
        <v>1</v>
      </c>
    </row>
    <row r="833" spans="1:28" ht="21.6" customHeight="1">
      <c r="A833" s="8">
        <v>65</v>
      </c>
      <c r="B833" s="8">
        <v>2025081291</v>
      </c>
      <c r="C833" s="8">
        <v>1</v>
      </c>
      <c r="D833" s="8" t="s">
        <v>3177</v>
      </c>
      <c r="E833" s="8" t="s">
        <v>118</v>
      </c>
      <c r="F833" s="8" t="s">
        <v>4347</v>
      </c>
      <c r="G833" s="8" t="s">
        <v>3350</v>
      </c>
      <c r="H833" s="8" t="s">
        <v>3280</v>
      </c>
      <c r="I833" s="8" t="s">
        <v>4237</v>
      </c>
      <c r="J833" s="8" t="s">
        <v>3195</v>
      </c>
      <c r="K833" s="8" t="s">
        <v>3183</v>
      </c>
      <c r="L833" s="10" t="s">
        <v>4080</v>
      </c>
      <c r="M833" s="10" t="s">
        <v>4081</v>
      </c>
      <c r="N833" s="10" t="s">
        <v>4238</v>
      </c>
      <c r="O833" s="8" t="s">
        <v>3190</v>
      </c>
      <c r="P833" s="8"/>
      <c r="Q833" s="8">
        <v>26639</v>
      </c>
      <c r="R833" s="8">
        <v>44110</v>
      </c>
      <c r="S833" s="8"/>
      <c r="T833" s="8"/>
      <c r="U833" s="8"/>
      <c r="V833" s="8"/>
      <c r="W833" s="8"/>
      <c r="X833" s="8"/>
      <c r="Y833" s="8"/>
      <c r="Z833" s="10" t="s">
        <v>3696</v>
      </c>
      <c r="AA833" s="8" t="s">
        <v>332</v>
      </c>
      <c r="AB833" s="8">
        <v>1</v>
      </c>
    </row>
    <row r="834" spans="1:28" ht="21.6" customHeight="1">
      <c r="A834" s="8">
        <v>71</v>
      </c>
      <c r="B834" s="8">
        <v>2025081331</v>
      </c>
      <c r="C834" s="8">
        <v>1</v>
      </c>
      <c r="D834" s="8" t="s">
        <v>3177</v>
      </c>
      <c r="E834" s="8" t="s">
        <v>118</v>
      </c>
      <c r="F834" s="8" t="s">
        <v>4347</v>
      </c>
      <c r="G834" s="8" t="s">
        <v>3381</v>
      </c>
      <c r="H834" s="8" t="s">
        <v>3401</v>
      </c>
      <c r="I834" s="8" t="s">
        <v>3683</v>
      </c>
      <c r="J834" s="8" t="s">
        <v>3224</v>
      </c>
      <c r="K834" s="8" t="s">
        <v>3183</v>
      </c>
      <c r="L834" s="10" t="s">
        <v>3383</v>
      </c>
      <c r="M834" s="10" t="s">
        <v>3684</v>
      </c>
      <c r="N834" s="10" t="s">
        <v>3685</v>
      </c>
      <c r="O834" s="8" t="s">
        <v>3190</v>
      </c>
      <c r="P834" s="8">
        <v>1749</v>
      </c>
      <c r="Q834" s="8">
        <v>2376</v>
      </c>
      <c r="R834" s="8">
        <v>6220</v>
      </c>
      <c r="S834" s="8"/>
      <c r="T834" s="8"/>
      <c r="U834" s="8"/>
      <c r="V834" s="8"/>
      <c r="W834" s="8"/>
      <c r="X834" s="8"/>
      <c r="Y834" s="8"/>
      <c r="Z834" s="10" t="s">
        <v>3696</v>
      </c>
      <c r="AA834" s="8" t="s">
        <v>332</v>
      </c>
      <c r="AB834" s="8">
        <v>1</v>
      </c>
    </row>
    <row r="835" spans="1:28" ht="21.6" customHeight="1">
      <c r="A835" s="8">
        <v>113</v>
      </c>
      <c r="B835" s="8">
        <v>2025080144</v>
      </c>
      <c r="C835" s="8">
        <v>1</v>
      </c>
      <c r="D835" s="8" t="s">
        <v>3177</v>
      </c>
      <c r="E835" s="8" t="s">
        <v>118</v>
      </c>
      <c r="F835" s="8" t="s">
        <v>4332</v>
      </c>
      <c r="G835" s="8" t="s">
        <v>3387</v>
      </c>
      <c r="H835" s="8" t="s">
        <v>3426</v>
      </c>
      <c r="I835" s="8" t="s">
        <v>3502</v>
      </c>
      <c r="J835" s="8" t="s">
        <v>3298</v>
      </c>
      <c r="K835" s="8" t="s">
        <v>3183</v>
      </c>
      <c r="L835" s="10" t="s">
        <v>3503</v>
      </c>
      <c r="M835" s="10" t="s">
        <v>3504</v>
      </c>
      <c r="N835" s="10" t="s">
        <v>217</v>
      </c>
      <c r="O835" s="8" t="s">
        <v>3190</v>
      </c>
      <c r="P835" s="8"/>
      <c r="Q835" s="8"/>
      <c r="R835" s="8">
        <v>287428</v>
      </c>
      <c r="S835" s="8"/>
      <c r="T835" s="8"/>
      <c r="U835" s="8"/>
      <c r="V835" s="8"/>
      <c r="W835" s="8"/>
      <c r="X835" s="8"/>
      <c r="Y835" s="8"/>
      <c r="Z835" s="10" t="s">
        <v>3821</v>
      </c>
      <c r="AA835" s="8" t="s">
        <v>332</v>
      </c>
      <c r="AB835" s="8">
        <v>1</v>
      </c>
    </row>
    <row r="836" spans="1:28" ht="21.6" customHeight="1">
      <c r="A836" s="8">
        <v>117</v>
      </c>
      <c r="B836" s="8">
        <v>2025081295</v>
      </c>
      <c r="C836" s="8">
        <v>1</v>
      </c>
      <c r="D836" s="8" t="s">
        <v>3177</v>
      </c>
      <c r="E836" s="8" t="s">
        <v>118</v>
      </c>
      <c r="F836" s="8" t="s">
        <v>4347</v>
      </c>
      <c r="G836" s="8" t="s">
        <v>3363</v>
      </c>
      <c r="H836" s="8" t="s">
        <v>3233</v>
      </c>
      <c r="I836" s="8" t="s">
        <v>4079</v>
      </c>
      <c r="J836" s="8" t="s">
        <v>3298</v>
      </c>
      <c r="K836" s="8" t="s">
        <v>3183</v>
      </c>
      <c r="L836" s="10" t="s">
        <v>4080</v>
      </c>
      <c r="M836" s="10" t="s">
        <v>4081</v>
      </c>
      <c r="N836" s="10" t="s">
        <v>4082</v>
      </c>
      <c r="O836" s="8" t="s">
        <v>3190</v>
      </c>
      <c r="P836" s="8"/>
      <c r="Q836" s="8"/>
      <c r="R836" s="8">
        <v>115901</v>
      </c>
      <c r="S836" s="8"/>
      <c r="T836" s="8"/>
      <c r="U836" s="8"/>
      <c r="V836" s="8"/>
      <c r="W836" s="8"/>
      <c r="X836" s="8"/>
      <c r="Y836" s="8"/>
      <c r="Z836" s="10" t="s">
        <v>3696</v>
      </c>
      <c r="AA836" s="8" t="s">
        <v>332</v>
      </c>
      <c r="AB836" s="8">
        <v>1</v>
      </c>
    </row>
    <row r="837" spans="1:28" ht="21.6" customHeight="1">
      <c r="A837" s="8">
        <v>7</v>
      </c>
      <c r="B837" s="8">
        <v>2025080787</v>
      </c>
      <c r="C837" s="8">
        <v>1</v>
      </c>
      <c r="D837" s="8" t="s">
        <v>3177</v>
      </c>
      <c r="E837" s="8" t="s">
        <v>123</v>
      </c>
      <c r="F837" s="8" t="s">
        <v>4333</v>
      </c>
      <c r="G837" s="8" t="s">
        <v>3268</v>
      </c>
      <c r="H837" s="8" t="s">
        <v>4133</v>
      </c>
      <c r="I837" s="8" t="s">
        <v>3276</v>
      </c>
      <c r="J837" s="8" t="s">
        <v>3277</v>
      </c>
      <c r="K837" s="8" t="s">
        <v>3183</v>
      </c>
      <c r="L837" s="10" t="s">
        <v>3278</v>
      </c>
      <c r="M837" s="10" t="s">
        <v>3279</v>
      </c>
      <c r="N837" s="10" t="s">
        <v>123</v>
      </c>
      <c r="O837" s="8" t="s">
        <v>3190</v>
      </c>
      <c r="P837" s="8"/>
      <c r="Q837" s="8"/>
      <c r="R837" s="8">
        <v>63324</v>
      </c>
      <c r="S837" s="8"/>
      <c r="T837" s="8"/>
      <c r="U837" s="8"/>
      <c r="V837" s="8"/>
      <c r="W837" s="8"/>
      <c r="X837" s="8"/>
      <c r="Y837" s="8"/>
      <c r="Z837" s="10" t="s">
        <v>3186</v>
      </c>
      <c r="AA837" s="8" t="s">
        <v>332</v>
      </c>
      <c r="AB837" s="8">
        <v>1</v>
      </c>
    </row>
    <row r="838" spans="1:28" ht="21.6" customHeight="1">
      <c r="A838" s="8">
        <v>69</v>
      </c>
      <c r="B838" s="8">
        <v>2025081328</v>
      </c>
      <c r="C838" s="8">
        <v>1</v>
      </c>
      <c r="D838" s="8" t="s">
        <v>3177</v>
      </c>
      <c r="E838" s="8" t="s">
        <v>118</v>
      </c>
      <c r="F838" s="8" t="s">
        <v>4347</v>
      </c>
      <c r="G838" s="8" t="s">
        <v>3233</v>
      </c>
      <c r="H838" s="8" t="s">
        <v>3381</v>
      </c>
      <c r="I838" s="8" t="s">
        <v>3351</v>
      </c>
      <c r="J838" s="8" t="s">
        <v>3195</v>
      </c>
      <c r="K838" s="8" t="s">
        <v>3183</v>
      </c>
      <c r="L838" s="10" t="s">
        <v>3352</v>
      </c>
      <c r="M838" s="10" t="s">
        <v>3353</v>
      </c>
      <c r="N838" s="10" t="s">
        <v>3667</v>
      </c>
      <c r="O838" s="8" t="s">
        <v>3190</v>
      </c>
      <c r="P838" s="8"/>
      <c r="Q838" s="8">
        <v>10738</v>
      </c>
      <c r="R838" s="8">
        <v>73666</v>
      </c>
      <c r="S838" s="8"/>
      <c r="T838" s="8"/>
      <c r="U838" s="8"/>
      <c r="V838" s="8"/>
      <c r="W838" s="8"/>
      <c r="X838" s="8"/>
      <c r="Y838" s="8"/>
      <c r="Z838" s="10" t="s">
        <v>3696</v>
      </c>
      <c r="AA838" s="8" t="s">
        <v>332</v>
      </c>
      <c r="AB838" s="8">
        <v>1</v>
      </c>
    </row>
    <row r="839" spans="1:28" ht="21.6" customHeight="1">
      <c r="A839" s="8">
        <v>96</v>
      </c>
      <c r="B839" s="8">
        <v>2025081363</v>
      </c>
      <c r="C839" s="8">
        <v>1</v>
      </c>
      <c r="D839" s="8" t="s">
        <v>3177</v>
      </c>
      <c r="E839" s="8" t="s">
        <v>118</v>
      </c>
      <c r="F839" s="8" t="s">
        <v>4347</v>
      </c>
      <c r="G839" s="8" t="s">
        <v>3250</v>
      </c>
      <c r="H839" s="8" t="s">
        <v>3204</v>
      </c>
      <c r="I839" s="8" t="s">
        <v>3706</v>
      </c>
      <c r="J839" s="8" t="s">
        <v>3253</v>
      </c>
      <c r="K839" s="8" t="s">
        <v>3183</v>
      </c>
      <c r="L839" s="10" t="s">
        <v>3707</v>
      </c>
      <c r="M839" s="10" t="s">
        <v>3708</v>
      </c>
      <c r="N839" s="10" t="s">
        <v>3424</v>
      </c>
      <c r="O839" s="8" t="s">
        <v>3190</v>
      </c>
      <c r="P839" s="8"/>
      <c r="Q839" s="8"/>
      <c r="R839" s="8">
        <v>213124</v>
      </c>
      <c r="S839" s="8"/>
      <c r="T839" s="8"/>
      <c r="U839" s="8"/>
      <c r="V839" s="8"/>
      <c r="W839" s="8"/>
      <c r="X839" s="8"/>
      <c r="Y839" s="8"/>
      <c r="Z839" s="10" t="s">
        <v>111</v>
      </c>
      <c r="AA839" s="8" t="s">
        <v>332</v>
      </c>
      <c r="AB839" s="8">
        <v>1</v>
      </c>
    </row>
    <row r="840" spans="1:28" ht="21.6" customHeight="1">
      <c r="A840" s="8">
        <v>122</v>
      </c>
      <c r="B840" s="8">
        <v>2025081883</v>
      </c>
      <c r="C840" s="8">
        <v>1</v>
      </c>
      <c r="D840" s="8" t="s">
        <v>3177</v>
      </c>
      <c r="E840" s="8" t="s">
        <v>118</v>
      </c>
      <c r="F840" s="8" t="s">
        <v>4361</v>
      </c>
      <c r="G840" s="8" t="s">
        <v>3280</v>
      </c>
      <c r="H840" s="8" t="s">
        <v>3381</v>
      </c>
      <c r="I840" s="8" t="s">
        <v>4351</v>
      </c>
      <c r="J840" s="8" t="s">
        <v>3288</v>
      </c>
      <c r="K840" s="8" t="s">
        <v>3183</v>
      </c>
      <c r="L840" s="10" t="s">
        <v>3254</v>
      </c>
      <c r="M840" s="10" t="s">
        <v>4352</v>
      </c>
      <c r="N840" s="10" t="s">
        <v>4353</v>
      </c>
      <c r="O840" s="8" t="s">
        <v>322</v>
      </c>
      <c r="P840" s="8"/>
      <c r="Q840" s="8">
        <v>984</v>
      </c>
      <c r="R840" s="8">
        <v>8649</v>
      </c>
      <c r="S840" s="8"/>
      <c r="T840" s="8"/>
      <c r="U840" s="8"/>
      <c r="V840" s="8"/>
      <c r="W840" s="8"/>
      <c r="X840" s="8"/>
      <c r="Y840" s="8" t="s">
        <v>332</v>
      </c>
      <c r="Z840" s="10" t="s">
        <v>4362</v>
      </c>
      <c r="AA840" s="8" t="s">
        <v>332</v>
      </c>
      <c r="AB840" s="8">
        <v>1</v>
      </c>
    </row>
    <row r="841" spans="1:28" ht="21.6" customHeight="1">
      <c r="A841" s="8">
        <v>124</v>
      </c>
      <c r="B841" s="8">
        <v>2025081884</v>
      </c>
      <c r="C841" s="8">
        <v>1</v>
      </c>
      <c r="D841" s="8" t="s">
        <v>3177</v>
      </c>
      <c r="E841" s="8" t="s">
        <v>118</v>
      </c>
      <c r="F841" s="8" t="s">
        <v>4361</v>
      </c>
      <c r="G841" s="8" t="s">
        <v>3381</v>
      </c>
      <c r="H841" s="8" t="s">
        <v>4363</v>
      </c>
      <c r="I841" s="8" t="s">
        <v>4328</v>
      </c>
      <c r="J841" s="8" t="s">
        <v>3288</v>
      </c>
      <c r="K841" s="8" t="s">
        <v>3183</v>
      </c>
      <c r="L841" s="10" t="s">
        <v>3254</v>
      </c>
      <c r="M841" s="10" t="s">
        <v>4329</v>
      </c>
      <c r="N841" s="10" t="s">
        <v>4330</v>
      </c>
      <c r="O841" s="8" t="s">
        <v>322</v>
      </c>
      <c r="P841" s="8"/>
      <c r="Q841" s="8">
        <v>6663</v>
      </c>
      <c r="R841" s="8">
        <v>11174</v>
      </c>
      <c r="S841" s="8"/>
      <c r="T841" s="8"/>
      <c r="U841" s="8"/>
      <c r="V841" s="8"/>
      <c r="W841" s="8"/>
      <c r="X841" s="8"/>
      <c r="Y841" s="8" t="s">
        <v>332</v>
      </c>
      <c r="Z841" s="10" t="s">
        <v>4364</v>
      </c>
      <c r="AA841" s="8" t="s">
        <v>332</v>
      </c>
      <c r="AB841" s="8">
        <v>1</v>
      </c>
    </row>
    <row r="842" spans="1:28" ht="21.6" customHeight="1">
      <c r="A842" s="8">
        <v>182</v>
      </c>
      <c r="B842" s="8">
        <v>2025081824</v>
      </c>
      <c r="C842" s="8">
        <v>1</v>
      </c>
      <c r="D842" s="8" t="s">
        <v>3177</v>
      </c>
      <c r="E842" s="8" t="s">
        <v>134</v>
      </c>
      <c r="F842" s="8" t="s">
        <v>4360</v>
      </c>
      <c r="G842" s="8" t="s">
        <v>4291</v>
      </c>
      <c r="H842" s="8" t="s">
        <v>4365</v>
      </c>
      <c r="I842" s="8" t="s">
        <v>3585</v>
      </c>
      <c r="J842" s="8" t="s">
        <v>3301</v>
      </c>
      <c r="K842" s="8" t="s">
        <v>3183</v>
      </c>
      <c r="L842" s="10" t="s">
        <v>3586</v>
      </c>
      <c r="M842" s="10" t="s">
        <v>3587</v>
      </c>
      <c r="N842" s="10" t="s">
        <v>3430</v>
      </c>
      <c r="O842" s="8" t="s">
        <v>3190</v>
      </c>
      <c r="P842" s="8"/>
      <c r="Q842" s="8">
        <v>4667</v>
      </c>
      <c r="R842" s="8">
        <v>56483</v>
      </c>
      <c r="S842" s="8"/>
      <c r="T842" s="8"/>
      <c r="U842" s="8"/>
      <c r="V842" s="8"/>
      <c r="W842" s="8"/>
      <c r="X842" s="8"/>
      <c r="Y842" s="8"/>
      <c r="Z842" s="10"/>
      <c r="AA842" s="8" t="s">
        <v>332</v>
      </c>
      <c r="AB842" s="8">
        <v>1</v>
      </c>
    </row>
    <row r="843" spans="1:28" ht="21.6" customHeight="1">
      <c r="A843" s="8">
        <v>183</v>
      </c>
      <c r="B843" s="8">
        <v>2025081823</v>
      </c>
      <c r="C843" s="8">
        <v>1</v>
      </c>
      <c r="D843" s="8" t="s">
        <v>3177</v>
      </c>
      <c r="E843" s="8" t="s">
        <v>134</v>
      </c>
      <c r="F843" s="8" t="s">
        <v>4360</v>
      </c>
      <c r="G843" s="8" t="s">
        <v>4291</v>
      </c>
      <c r="H843" s="8" t="s">
        <v>4365</v>
      </c>
      <c r="I843" s="8" t="s">
        <v>3592</v>
      </c>
      <c r="J843" s="8" t="s">
        <v>3301</v>
      </c>
      <c r="K843" s="8" t="s">
        <v>3183</v>
      </c>
      <c r="L843" s="10" t="s">
        <v>3586</v>
      </c>
      <c r="M843" s="10" t="s">
        <v>3587</v>
      </c>
      <c r="N843" s="10" t="s">
        <v>3430</v>
      </c>
      <c r="O843" s="8" t="s">
        <v>3190</v>
      </c>
      <c r="P843" s="8"/>
      <c r="Q843" s="8">
        <v>7042</v>
      </c>
      <c r="R843" s="8">
        <v>96734</v>
      </c>
      <c r="S843" s="8"/>
      <c r="T843" s="8"/>
      <c r="U843" s="8"/>
      <c r="V843" s="8"/>
      <c r="W843" s="8"/>
      <c r="X843" s="8"/>
      <c r="Y843" s="8"/>
      <c r="Z843" s="10"/>
      <c r="AA843" s="8" t="s">
        <v>332</v>
      </c>
      <c r="AB843" s="8">
        <v>1</v>
      </c>
    </row>
    <row r="844" spans="1:28" ht="21.6" customHeight="1">
      <c r="A844" s="8">
        <v>1</v>
      </c>
      <c r="B844" s="8">
        <v>2025082055</v>
      </c>
      <c r="C844" s="8">
        <v>1</v>
      </c>
      <c r="D844" s="8" t="s">
        <v>3177</v>
      </c>
      <c r="E844" s="8" t="s">
        <v>123</v>
      </c>
      <c r="F844" s="8" t="s">
        <v>264</v>
      </c>
      <c r="G844" s="8" t="s">
        <v>3232</v>
      </c>
      <c r="H844" s="8" t="s">
        <v>4135</v>
      </c>
      <c r="I844" s="8" t="s">
        <v>3194</v>
      </c>
      <c r="J844" s="8" t="s">
        <v>3195</v>
      </c>
      <c r="K844" s="8" t="s">
        <v>3183</v>
      </c>
      <c r="L844" s="10" t="s">
        <v>3196</v>
      </c>
      <c r="M844" s="10" t="s">
        <v>3197</v>
      </c>
      <c r="N844" s="10" t="s">
        <v>123</v>
      </c>
      <c r="O844" s="8" t="s">
        <v>3190</v>
      </c>
      <c r="P844" s="8"/>
      <c r="Q844" s="8">
        <v>84</v>
      </c>
      <c r="R844" s="8">
        <v>3387</v>
      </c>
      <c r="S844" s="8"/>
      <c r="T844" s="8"/>
      <c r="U844" s="8"/>
      <c r="V844" s="8"/>
      <c r="W844" s="8"/>
      <c r="X844" s="8"/>
      <c r="Y844" s="8"/>
      <c r="Z844" s="10" t="s">
        <v>3190</v>
      </c>
      <c r="AA844" s="8" t="s">
        <v>332</v>
      </c>
      <c r="AB844" s="8">
        <v>1</v>
      </c>
    </row>
    <row r="845" spans="1:28" ht="21.6" customHeight="1">
      <c r="A845" s="8">
        <v>2</v>
      </c>
      <c r="B845" s="8">
        <v>2025082046</v>
      </c>
      <c r="C845" s="8">
        <v>1</v>
      </c>
      <c r="D845" s="8" t="s">
        <v>3177</v>
      </c>
      <c r="E845" s="8" t="s">
        <v>123</v>
      </c>
      <c r="F845" s="8" t="s">
        <v>264</v>
      </c>
      <c r="G845" s="8" t="s">
        <v>3280</v>
      </c>
      <c r="H845" s="8" t="s">
        <v>3762</v>
      </c>
      <c r="I845" s="8" t="s">
        <v>3200</v>
      </c>
      <c r="J845" s="8" t="s">
        <v>3195</v>
      </c>
      <c r="K845" s="8" t="s">
        <v>3183</v>
      </c>
      <c r="L845" s="10" t="s">
        <v>3201</v>
      </c>
      <c r="M845" s="10" t="s">
        <v>3202</v>
      </c>
      <c r="N845" s="10" t="s">
        <v>3885</v>
      </c>
      <c r="O845" s="8" t="s">
        <v>3190</v>
      </c>
      <c r="P845" s="8"/>
      <c r="Q845" s="8">
        <v>2188</v>
      </c>
      <c r="R845" s="8">
        <v>17278</v>
      </c>
      <c r="S845" s="8"/>
      <c r="T845" s="8"/>
      <c r="U845" s="8"/>
      <c r="V845" s="8"/>
      <c r="W845" s="8"/>
      <c r="X845" s="8"/>
      <c r="Y845" s="8"/>
      <c r="Z845" s="10" t="s">
        <v>3190</v>
      </c>
      <c r="AA845" s="8" t="s">
        <v>332</v>
      </c>
      <c r="AB845" s="8">
        <v>1</v>
      </c>
    </row>
    <row r="846" spans="1:28" ht="21.6" customHeight="1">
      <c r="A846" s="8">
        <v>5</v>
      </c>
      <c r="B846" s="8">
        <v>2025082071</v>
      </c>
      <c r="C846" s="8">
        <v>1</v>
      </c>
      <c r="D846" s="8" t="s">
        <v>3177</v>
      </c>
      <c r="E846" s="8" t="s">
        <v>123</v>
      </c>
      <c r="F846" s="8" t="s">
        <v>264</v>
      </c>
      <c r="G846" s="8" t="s">
        <v>3189</v>
      </c>
      <c r="H846" s="8" t="s">
        <v>4288</v>
      </c>
      <c r="I846" s="8" t="s">
        <v>3212</v>
      </c>
      <c r="J846" s="8" t="s">
        <v>3195</v>
      </c>
      <c r="K846" s="8" t="s">
        <v>3183</v>
      </c>
      <c r="L846" s="10" t="s">
        <v>3213</v>
      </c>
      <c r="M846" s="10" t="s">
        <v>3214</v>
      </c>
      <c r="N846" s="10" t="s">
        <v>3215</v>
      </c>
      <c r="O846" s="8" t="s">
        <v>3190</v>
      </c>
      <c r="P846" s="8"/>
      <c r="Q846" s="8">
        <v>128</v>
      </c>
      <c r="R846" s="8">
        <v>871</v>
      </c>
      <c r="S846" s="8"/>
      <c r="T846" s="8"/>
      <c r="U846" s="8"/>
      <c r="V846" s="8"/>
      <c r="W846" s="8"/>
      <c r="X846" s="8"/>
      <c r="Y846" s="8"/>
      <c r="Z846" s="10" t="s">
        <v>3190</v>
      </c>
      <c r="AA846" s="8" t="s">
        <v>332</v>
      </c>
      <c r="AB846" s="8">
        <v>1</v>
      </c>
    </row>
    <row r="847" spans="1:28" ht="21.6" customHeight="1">
      <c r="A847" s="8">
        <v>6</v>
      </c>
      <c r="B847" s="8">
        <v>2025082060</v>
      </c>
      <c r="C847" s="8">
        <v>1</v>
      </c>
      <c r="D847" s="8" t="s">
        <v>3177</v>
      </c>
      <c r="E847" s="8" t="s">
        <v>123</v>
      </c>
      <c r="F847" s="8" t="s">
        <v>264</v>
      </c>
      <c r="G847" s="8" t="s">
        <v>4054</v>
      </c>
      <c r="H847" s="8" t="s">
        <v>3912</v>
      </c>
      <c r="I847" s="8" t="s">
        <v>3218</v>
      </c>
      <c r="J847" s="8" t="s">
        <v>3195</v>
      </c>
      <c r="K847" s="8" t="s">
        <v>3183</v>
      </c>
      <c r="L847" s="10" t="s">
        <v>3219</v>
      </c>
      <c r="M847" s="10" t="s">
        <v>3220</v>
      </c>
      <c r="N847" s="10"/>
      <c r="O847" s="8" t="s">
        <v>3190</v>
      </c>
      <c r="P847" s="8"/>
      <c r="Q847" s="8">
        <v>155</v>
      </c>
      <c r="R847" s="8">
        <v>6963</v>
      </c>
      <c r="S847" s="8"/>
      <c r="T847" s="8"/>
      <c r="U847" s="8"/>
      <c r="V847" s="8"/>
      <c r="W847" s="8"/>
      <c r="X847" s="8"/>
      <c r="Y847" s="8"/>
      <c r="Z847" s="10" t="s">
        <v>3190</v>
      </c>
      <c r="AA847" s="8" t="s">
        <v>332</v>
      </c>
      <c r="AB847" s="8">
        <v>1</v>
      </c>
    </row>
    <row r="848" spans="1:28" ht="21.6" customHeight="1">
      <c r="A848" s="8">
        <v>7</v>
      </c>
      <c r="B848" s="8">
        <v>2025082069</v>
      </c>
      <c r="C848" s="8">
        <v>1</v>
      </c>
      <c r="D848" s="8" t="s">
        <v>3177</v>
      </c>
      <c r="E848" s="8" t="s">
        <v>123</v>
      </c>
      <c r="F848" s="8" t="s">
        <v>264</v>
      </c>
      <c r="G848" s="8" t="s">
        <v>3509</v>
      </c>
      <c r="H848" s="8" t="s">
        <v>3765</v>
      </c>
      <c r="I848" s="8" t="s">
        <v>3223</v>
      </c>
      <c r="J848" s="8" t="s">
        <v>3224</v>
      </c>
      <c r="K848" s="8" t="s">
        <v>3183</v>
      </c>
      <c r="L848" s="10" t="s">
        <v>3225</v>
      </c>
      <c r="M848" s="10" t="s">
        <v>3226</v>
      </c>
      <c r="N848" s="10" t="s">
        <v>3227</v>
      </c>
      <c r="O848" s="8" t="s">
        <v>3190</v>
      </c>
      <c r="P848" s="8"/>
      <c r="Q848" s="8">
        <v>330</v>
      </c>
      <c r="R848" s="8">
        <v>1560</v>
      </c>
      <c r="S848" s="8"/>
      <c r="T848" s="8"/>
      <c r="U848" s="8"/>
      <c r="V848" s="8"/>
      <c r="W848" s="8"/>
      <c r="X848" s="8"/>
      <c r="Y848" s="8"/>
      <c r="Z848" s="10" t="s">
        <v>3190</v>
      </c>
      <c r="AA848" s="8" t="s">
        <v>332</v>
      </c>
      <c r="AB848" s="8">
        <v>1</v>
      </c>
    </row>
    <row r="849" spans="1:28" ht="21.6" customHeight="1">
      <c r="A849" s="8">
        <v>8</v>
      </c>
      <c r="B849" s="8">
        <v>2025082062</v>
      </c>
      <c r="C849" s="8">
        <v>1</v>
      </c>
      <c r="D849" s="8" t="s">
        <v>3177</v>
      </c>
      <c r="E849" s="8" t="s">
        <v>123</v>
      </c>
      <c r="F849" s="8" t="s">
        <v>264</v>
      </c>
      <c r="G849" s="8" t="s">
        <v>4114</v>
      </c>
      <c r="H849" s="8" t="s">
        <v>4350</v>
      </c>
      <c r="I849" s="8" t="s">
        <v>3229</v>
      </c>
      <c r="J849" s="8" t="s">
        <v>3224</v>
      </c>
      <c r="K849" s="8" t="s">
        <v>3183</v>
      </c>
      <c r="L849" s="10" t="s">
        <v>3230</v>
      </c>
      <c r="M849" s="10" t="s">
        <v>3231</v>
      </c>
      <c r="N849" s="10" t="s">
        <v>3215</v>
      </c>
      <c r="O849" s="8" t="s">
        <v>3190</v>
      </c>
      <c r="P849" s="8"/>
      <c r="Q849" s="8">
        <v>3955</v>
      </c>
      <c r="R849" s="8">
        <v>3335</v>
      </c>
      <c r="S849" s="8"/>
      <c r="T849" s="8"/>
      <c r="U849" s="8"/>
      <c r="V849" s="8"/>
      <c r="W849" s="8"/>
      <c r="X849" s="8"/>
      <c r="Y849" s="8"/>
      <c r="Z849" s="10" t="s">
        <v>3190</v>
      </c>
      <c r="AA849" s="8" t="s">
        <v>332</v>
      </c>
      <c r="AB849" s="8">
        <v>1</v>
      </c>
    </row>
    <row r="850" spans="1:28" ht="21.6" customHeight="1">
      <c r="A850" s="8">
        <v>9</v>
      </c>
      <c r="B850" s="8">
        <v>2025082054</v>
      </c>
      <c r="C850" s="8">
        <v>1</v>
      </c>
      <c r="D850" s="8" t="s">
        <v>3177</v>
      </c>
      <c r="E850" s="8" t="s">
        <v>123</v>
      </c>
      <c r="F850" s="8" t="s">
        <v>264</v>
      </c>
      <c r="G850" s="8" t="s">
        <v>3363</v>
      </c>
      <c r="H850" s="8" t="s">
        <v>3982</v>
      </c>
      <c r="I850" s="8" t="s">
        <v>3234</v>
      </c>
      <c r="J850" s="8" t="s">
        <v>3224</v>
      </c>
      <c r="K850" s="8" t="s">
        <v>3183</v>
      </c>
      <c r="L850" s="10" t="s">
        <v>3235</v>
      </c>
      <c r="M850" s="10" t="s">
        <v>3236</v>
      </c>
      <c r="N850" s="10" t="s">
        <v>3237</v>
      </c>
      <c r="O850" s="8" t="s">
        <v>3190</v>
      </c>
      <c r="P850" s="8"/>
      <c r="Q850" s="8">
        <v>1451</v>
      </c>
      <c r="R850" s="8">
        <v>62704</v>
      </c>
      <c r="S850" s="8"/>
      <c r="T850" s="8"/>
      <c r="U850" s="8"/>
      <c r="V850" s="8"/>
      <c r="W850" s="8"/>
      <c r="X850" s="8"/>
      <c r="Y850" s="8"/>
      <c r="Z850" s="10" t="s">
        <v>3190</v>
      </c>
      <c r="AA850" s="8" t="s">
        <v>332</v>
      </c>
      <c r="AB850" s="8">
        <v>1</v>
      </c>
    </row>
    <row r="851" spans="1:28" ht="21.6" customHeight="1">
      <c r="A851" s="8">
        <v>10</v>
      </c>
      <c r="B851" s="8">
        <v>2025082064</v>
      </c>
      <c r="C851" s="8">
        <v>1</v>
      </c>
      <c r="D851" s="8" t="s">
        <v>3177</v>
      </c>
      <c r="E851" s="8" t="s">
        <v>123</v>
      </c>
      <c r="F851" s="8" t="s">
        <v>264</v>
      </c>
      <c r="G851" s="8" t="s">
        <v>3987</v>
      </c>
      <c r="H851" s="8" t="s">
        <v>3275</v>
      </c>
      <c r="I851" s="8" t="s">
        <v>3246</v>
      </c>
      <c r="J851" s="8" t="s">
        <v>3224</v>
      </c>
      <c r="K851" s="8" t="s">
        <v>3183</v>
      </c>
      <c r="L851" s="10" t="s">
        <v>3247</v>
      </c>
      <c r="M851" s="10" t="s">
        <v>3248</v>
      </c>
      <c r="N851" s="10" t="s">
        <v>3215</v>
      </c>
      <c r="O851" s="8" t="s">
        <v>3190</v>
      </c>
      <c r="P851" s="8"/>
      <c r="Q851" s="8">
        <v>716</v>
      </c>
      <c r="R851" s="8">
        <v>1882</v>
      </c>
      <c r="S851" s="8"/>
      <c r="T851" s="8"/>
      <c r="U851" s="8"/>
      <c r="V851" s="8"/>
      <c r="W851" s="8"/>
      <c r="X851" s="8"/>
      <c r="Y851" s="8"/>
      <c r="Z851" s="10" t="s">
        <v>3190</v>
      </c>
      <c r="AA851" s="8" t="s">
        <v>332</v>
      </c>
      <c r="AB851" s="8">
        <v>1</v>
      </c>
    </row>
    <row r="852" spans="1:28" ht="21.6" customHeight="1">
      <c r="A852" s="8">
        <v>25</v>
      </c>
      <c r="B852" s="8">
        <v>2025082047</v>
      </c>
      <c r="C852" s="8">
        <v>1</v>
      </c>
      <c r="D852" s="8" t="s">
        <v>3177</v>
      </c>
      <c r="E852" s="8" t="s">
        <v>123</v>
      </c>
      <c r="F852" s="8" t="s">
        <v>264</v>
      </c>
      <c r="G852" s="8" t="s">
        <v>3281</v>
      </c>
      <c r="H852" s="8" t="s">
        <v>4008</v>
      </c>
      <c r="I852" s="8" t="s">
        <v>3307</v>
      </c>
      <c r="J852" s="8" t="s">
        <v>3301</v>
      </c>
      <c r="K852" s="8" t="s">
        <v>3183</v>
      </c>
      <c r="L852" s="10" t="s">
        <v>3308</v>
      </c>
      <c r="M852" s="10" t="s">
        <v>3309</v>
      </c>
      <c r="N852" s="10" t="s">
        <v>3310</v>
      </c>
      <c r="O852" s="8" t="s">
        <v>3190</v>
      </c>
      <c r="P852" s="8"/>
      <c r="Q852" s="8">
        <v>5443</v>
      </c>
      <c r="R852" s="8">
        <v>43411</v>
      </c>
      <c r="S852" s="8"/>
      <c r="T852" s="8"/>
      <c r="U852" s="8"/>
      <c r="V852" s="8"/>
      <c r="W852" s="8"/>
      <c r="X852" s="8"/>
      <c r="Y852" s="8"/>
      <c r="Z852" s="10" t="s">
        <v>3190</v>
      </c>
      <c r="AA852" s="8" t="s">
        <v>332</v>
      </c>
      <c r="AB852" s="8">
        <v>1</v>
      </c>
    </row>
    <row r="853" spans="1:28" ht="21.6" customHeight="1">
      <c r="A853" s="8">
        <v>26</v>
      </c>
      <c r="B853" s="8">
        <v>2025082070</v>
      </c>
      <c r="C853" s="8">
        <v>1</v>
      </c>
      <c r="D853" s="8" t="s">
        <v>3177</v>
      </c>
      <c r="E853" s="8" t="s">
        <v>123</v>
      </c>
      <c r="F853" s="8" t="s">
        <v>264</v>
      </c>
      <c r="G853" s="8" t="s">
        <v>4113</v>
      </c>
      <c r="H853" s="8" t="s">
        <v>3381</v>
      </c>
      <c r="I853" s="8" t="s">
        <v>4227</v>
      </c>
      <c r="J853" s="8" t="s">
        <v>3301</v>
      </c>
      <c r="K853" s="8" t="s">
        <v>3183</v>
      </c>
      <c r="L853" s="10" t="s">
        <v>3289</v>
      </c>
      <c r="M853" s="10" t="s">
        <v>3290</v>
      </c>
      <c r="N853" s="10"/>
      <c r="O853" s="8" t="s">
        <v>3190</v>
      </c>
      <c r="P853" s="8"/>
      <c r="Q853" s="8">
        <v>172</v>
      </c>
      <c r="R853" s="8">
        <v>3004</v>
      </c>
      <c r="S853" s="8"/>
      <c r="T853" s="8"/>
      <c r="U853" s="8"/>
      <c r="V853" s="8"/>
      <c r="W853" s="8"/>
      <c r="X853" s="8"/>
      <c r="Y853" s="8"/>
      <c r="Z853" s="10" t="s">
        <v>3190</v>
      </c>
      <c r="AA853" s="8" t="s">
        <v>332</v>
      </c>
      <c r="AB853" s="8">
        <v>1</v>
      </c>
    </row>
    <row r="854" spans="1:28" ht="21.6" customHeight="1">
      <c r="A854" s="8">
        <v>85</v>
      </c>
      <c r="B854" s="8">
        <v>2025081970</v>
      </c>
      <c r="C854" s="8">
        <v>1</v>
      </c>
      <c r="D854" s="8" t="s">
        <v>3177</v>
      </c>
      <c r="E854" s="8" t="s">
        <v>118</v>
      </c>
      <c r="F854" s="8" t="s">
        <v>4361</v>
      </c>
      <c r="G854" s="8" t="s">
        <v>3250</v>
      </c>
      <c r="H854" s="8" t="s">
        <v>3204</v>
      </c>
      <c r="I854" s="8" t="s">
        <v>3358</v>
      </c>
      <c r="J854" s="8" t="s">
        <v>3195</v>
      </c>
      <c r="K854" s="8" t="s">
        <v>3183</v>
      </c>
      <c r="L854" s="10" t="s">
        <v>3359</v>
      </c>
      <c r="M854" s="10" t="s">
        <v>3360</v>
      </c>
      <c r="N854" s="10" t="s">
        <v>3361</v>
      </c>
      <c r="O854" s="8" t="s">
        <v>322</v>
      </c>
      <c r="P854" s="8"/>
      <c r="Q854" s="8">
        <v>21923</v>
      </c>
      <c r="R854" s="8">
        <v>85467</v>
      </c>
      <c r="S854" s="8" t="s">
        <v>332</v>
      </c>
      <c r="T854" s="8"/>
      <c r="U854" s="8"/>
      <c r="V854" s="8"/>
      <c r="W854" s="8"/>
      <c r="X854" s="8"/>
      <c r="Y854" s="8"/>
      <c r="Z854" s="10" t="s">
        <v>3696</v>
      </c>
      <c r="AA854" s="8" t="s">
        <v>332</v>
      </c>
      <c r="AB854" s="8">
        <v>1</v>
      </c>
    </row>
    <row r="855" spans="1:28" ht="21.6" customHeight="1">
      <c r="A855" s="8">
        <v>101</v>
      </c>
      <c r="B855" s="8">
        <v>2025081335</v>
      </c>
      <c r="C855" s="8">
        <v>1</v>
      </c>
      <c r="D855" s="8" t="s">
        <v>3177</v>
      </c>
      <c r="E855" s="8" t="s">
        <v>118</v>
      </c>
      <c r="F855" s="8" t="s">
        <v>4347</v>
      </c>
      <c r="G855" s="8" t="s">
        <v>3357</v>
      </c>
      <c r="H855" s="8" t="s">
        <v>3342</v>
      </c>
      <c r="I855" s="8" t="s">
        <v>3940</v>
      </c>
      <c r="J855" s="8" t="s">
        <v>3224</v>
      </c>
      <c r="K855" s="8" t="s">
        <v>3183</v>
      </c>
      <c r="L855" s="10" t="s">
        <v>3383</v>
      </c>
      <c r="M855" s="10" t="s">
        <v>3941</v>
      </c>
      <c r="N855" s="10" t="s">
        <v>3942</v>
      </c>
      <c r="O855" s="8" t="s">
        <v>3190</v>
      </c>
      <c r="P855" s="8">
        <v>81</v>
      </c>
      <c r="Q855" s="8">
        <v>766</v>
      </c>
      <c r="R855" s="8">
        <v>2474</v>
      </c>
      <c r="S855" s="8"/>
      <c r="T855" s="8"/>
      <c r="U855" s="8"/>
      <c r="V855" s="8"/>
      <c r="W855" s="8"/>
      <c r="X855" s="8"/>
      <c r="Y855" s="8"/>
      <c r="Z855" s="10" t="s">
        <v>3696</v>
      </c>
      <c r="AA855" s="8" t="s">
        <v>332</v>
      </c>
      <c r="AB855" s="8">
        <v>1</v>
      </c>
    </row>
    <row r="856" spans="1:28" ht="21.6" customHeight="1">
      <c r="A856" s="8">
        <v>117</v>
      </c>
      <c r="B856" s="8">
        <v>2025080851</v>
      </c>
      <c r="C856" s="8">
        <v>1</v>
      </c>
      <c r="D856" s="8" t="s">
        <v>3177</v>
      </c>
      <c r="E856" s="8" t="s">
        <v>118</v>
      </c>
      <c r="F856" s="8" t="s">
        <v>4333</v>
      </c>
      <c r="G856" s="8" t="s">
        <v>3250</v>
      </c>
      <c r="H856" s="8" t="s">
        <v>3204</v>
      </c>
      <c r="I856" s="8" t="s">
        <v>3428</v>
      </c>
      <c r="J856" s="8" t="s">
        <v>3253</v>
      </c>
      <c r="K856" s="8" t="s">
        <v>3183</v>
      </c>
      <c r="L856" s="10" t="s">
        <v>3270</v>
      </c>
      <c r="M856" s="10" t="s">
        <v>3429</v>
      </c>
      <c r="N856" s="10" t="s">
        <v>3430</v>
      </c>
      <c r="O856" s="8" t="s">
        <v>3190</v>
      </c>
      <c r="P856" s="8"/>
      <c r="Q856" s="8"/>
      <c r="R856" s="8">
        <v>76522</v>
      </c>
      <c r="S856" s="8"/>
      <c r="T856" s="8"/>
      <c r="U856" s="8"/>
      <c r="V856" s="8"/>
      <c r="W856" s="8"/>
      <c r="X856" s="8"/>
      <c r="Y856" s="8"/>
      <c r="Z856" s="10" t="s">
        <v>3821</v>
      </c>
      <c r="AA856" s="8" t="s">
        <v>332</v>
      </c>
      <c r="AB856" s="8">
        <v>1</v>
      </c>
    </row>
    <row r="857" spans="1:28" ht="21.6" customHeight="1">
      <c r="A857" s="8">
        <v>141</v>
      </c>
      <c r="B857" s="8">
        <v>2025081975</v>
      </c>
      <c r="C857" s="8">
        <v>1</v>
      </c>
      <c r="D857" s="8" t="s">
        <v>3177</v>
      </c>
      <c r="E857" s="8" t="s">
        <v>118</v>
      </c>
      <c r="F857" s="8" t="s">
        <v>4361</v>
      </c>
      <c r="G857" s="8" t="s">
        <v>3386</v>
      </c>
      <c r="H857" s="8" t="s">
        <v>3387</v>
      </c>
      <c r="I857" s="8" t="s">
        <v>3482</v>
      </c>
      <c r="J857" s="8" t="s">
        <v>3288</v>
      </c>
      <c r="K857" s="8" t="s">
        <v>3183</v>
      </c>
      <c r="L857" s="10" t="s">
        <v>3483</v>
      </c>
      <c r="M857" s="10" t="s">
        <v>3484</v>
      </c>
      <c r="N857" s="10" t="s">
        <v>3485</v>
      </c>
      <c r="O857" s="8" t="s">
        <v>322</v>
      </c>
      <c r="P857" s="8">
        <v>1572</v>
      </c>
      <c r="Q857" s="8">
        <v>4250</v>
      </c>
      <c r="R857" s="8">
        <v>28898</v>
      </c>
      <c r="S857" s="8" t="s">
        <v>332</v>
      </c>
      <c r="T857" s="8"/>
      <c r="U857" s="8"/>
      <c r="V857" s="8"/>
      <c r="W857" s="8"/>
      <c r="X857" s="8"/>
      <c r="Y857" s="8"/>
      <c r="Z857" s="10" t="s">
        <v>3696</v>
      </c>
      <c r="AA857" s="8" t="s">
        <v>332</v>
      </c>
      <c r="AB857" s="8">
        <v>1</v>
      </c>
    </row>
    <row r="858" spans="1:28" ht="21.6" customHeight="1">
      <c r="A858" s="8">
        <v>167</v>
      </c>
      <c r="B858" s="8">
        <v>2025081973</v>
      </c>
      <c r="C858" s="8">
        <v>1</v>
      </c>
      <c r="D858" s="8" t="s">
        <v>3177</v>
      </c>
      <c r="E858" s="8" t="s">
        <v>118</v>
      </c>
      <c r="F858" s="8" t="s">
        <v>4361</v>
      </c>
      <c r="G858" s="8" t="s">
        <v>3204</v>
      </c>
      <c r="H858" s="8" t="s">
        <v>3427</v>
      </c>
      <c r="I858" s="8" t="s">
        <v>3539</v>
      </c>
      <c r="J858" s="8" t="s">
        <v>3298</v>
      </c>
      <c r="K858" s="8" t="s">
        <v>3183</v>
      </c>
      <c r="L858" s="10" t="s">
        <v>3540</v>
      </c>
      <c r="M858" s="10" t="s">
        <v>3541</v>
      </c>
      <c r="N858" s="10"/>
      <c r="O858" s="8" t="s">
        <v>322</v>
      </c>
      <c r="P858" s="8"/>
      <c r="Q858" s="8"/>
      <c r="R858" s="8">
        <v>80962</v>
      </c>
      <c r="S858" s="8" t="s">
        <v>332</v>
      </c>
      <c r="T858" s="8"/>
      <c r="U858" s="8"/>
      <c r="V858" s="8"/>
      <c r="W858" s="8"/>
      <c r="X858" s="8"/>
      <c r="Y858" s="8"/>
      <c r="Z858" s="10" t="s">
        <v>3696</v>
      </c>
      <c r="AA858" s="8" t="s">
        <v>332</v>
      </c>
      <c r="AB858" s="8">
        <v>1</v>
      </c>
    </row>
    <row r="859" spans="1:28" ht="21.6" customHeight="1">
      <c r="A859" s="8">
        <v>88</v>
      </c>
      <c r="B859" s="8">
        <v>2025081551</v>
      </c>
      <c r="C859" s="8">
        <v>1</v>
      </c>
      <c r="D859" s="8" t="s">
        <v>3177</v>
      </c>
      <c r="E859" s="8" t="s">
        <v>118</v>
      </c>
      <c r="F859" s="8" t="s">
        <v>4355</v>
      </c>
      <c r="G859" s="8" t="s">
        <v>3280</v>
      </c>
      <c r="H859" s="8" t="s">
        <v>3363</v>
      </c>
      <c r="I859" s="8" t="s">
        <v>3365</v>
      </c>
      <c r="J859" s="8" t="s">
        <v>3195</v>
      </c>
      <c r="K859" s="8" t="s">
        <v>3183</v>
      </c>
      <c r="L859" s="10" t="s">
        <v>3366</v>
      </c>
      <c r="M859" s="10" t="s">
        <v>3367</v>
      </c>
      <c r="N859" s="10"/>
      <c r="O859" s="8" t="s">
        <v>3190</v>
      </c>
      <c r="P859" s="8"/>
      <c r="Q859" s="8">
        <v>2050</v>
      </c>
      <c r="R859" s="8">
        <v>41000</v>
      </c>
      <c r="S859" s="8"/>
      <c r="T859" s="8"/>
      <c r="U859" s="8"/>
      <c r="V859" s="8"/>
      <c r="W859" s="8"/>
      <c r="X859" s="8"/>
      <c r="Y859" s="8"/>
      <c r="Z859" s="10" t="s">
        <v>111</v>
      </c>
      <c r="AA859" s="8" t="s">
        <v>332</v>
      </c>
      <c r="AB859" s="8">
        <v>1</v>
      </c>
    </row>
    <row r="860" spans="1:28" ht="21.6" customHeight="1">
      <c r="A860" s="8">
        <v>106</v>
      </c>
      <c r="B860" s="8">
        <v>2025080705</v>
      </c>
      <c r="C860" s="8">
        <v>1</v>
      </c>
      <c r="D860" s="8" t="s">
        <v>3177</v>
      </c>
      <c r="E860" s="8" t="s">
        <v>118</v>
      </c>
      <c r="F860" s="8" t="s">
        <v>4318</v>
      </c>
      <c r="G860" s="8" t="s">
        <v>3375</v>
      </c>
      <c r="H860" s="8" t="s">
        <v>4366</v>
      </c>
      <c r="I860" s="8" t="s">
        <v>4310</v>
      </c>
      <c r="J860" s="8" t="s">
        <v>3253</v>
      </c>
      <c r="K860" s="8" t="s">
        <v>3183</v>
      </c>
      <c r="L860" s="10" t="s">
        <v>3254</v>
      </c>
      <c r="M860" s="10" t="s">
        <v>4311</v>
      </c>
      <c r="N860" s="10" t="s">
        <v>4312</v>
      </c>
      <c r="O860" s="8" t="s">
        <v>3190</v>
      </c>
      <c r="P860" s="8"/>
      <c r="Q860" s="8"/>
      <c r="R860" s="8">
        <v>7108</v>
      </c>
      <c r="S860" s="8"/>
      <c r="T860" s="8"/>
      <c r="U860" s="8"/>
      <c r="V860" s="8"/>
      <c r="W860" s="8"/>
      <c r="X860" s="8"/>
      <c r="Y860" s="8"/>
      <c r="Z860" s="10" t="s">
        <v>3821</v>
      </c>
      <c r="AA860" s="8" t="s">
        <v>332</v>
      </c>
      <c r="AB860" s="8">
        <v>1</v>
      </c>
    </row>
    <row r="861" spans="1:28" ht="21.6" customHeight="1">
      <c r="A861" s="8">
        <v>168</v>
      </c>
      <c r="B861" s="8">
        <v>2025081974</v>
      </c>
      <c r="C861" s="8">
        <v>1</v>
      </c>
      <c r="D861" s="8" t="s">
        <v>3177</v>
      </c>
      <c r="E861" s="8" t="s">
        <v>118</v>
      </c>
      <c r="F861" s="8" t="s">
        <v>4361</v>
      </c>
      <c r="G861" s="8" t="s">
        <v>3204</v>
      </c>
      <c r="H861" s="8" t="s">
        <v>3427</v>
      </c>
      <c r="I861" s="8" t="s">
        <v>3539</v>
      </c>
      <c r="J861" s="8" t="s">
        <v>3298</v>
      </c>
      <c r="K861" s="8" t="s">
        <v>3183</v>
      </c>
      <c r="L861" s="10" t="s">
        <v>3540</v>
      </c>
      <c r="M861" s="10" t="s">
        <v>3541</v>
      </c>
      <c r="N861" s="10"/>
      <c r="O861" s="8" t="s">
        <v>3190</v>
      </c>
      <c r="P861" s="8"/>
      <c r="Q861" s="8"/>
      <c r="R861" s="8">
        <v>80962</v>
      </c>
      <c r="S861" s="8"/>
      <c r="T861" s="8"/>
      <c r="U861" s="8"/>
      <c r="V861" s="8"/>
      <c r="W861" s="8"/>
      <c r="X861" s="8"/>
      <c r="Y861" s="8"/>
      <c r="Z861" s="10" t="s">
        <v>3696</v>
      </c>
      <c r="AA861" s="8" t="s">
        <v>332</v>
      </c>
      <c r="AB861" s="8">
        <v>1</v>
      </c>
    </row>
    <row r="862" spans="1:28" ht="21.6" customHeight="1">
      <c r="A862" s="8">
        <v>213</v>
      </c>
      <c r="B862" s="8">
        <v>2025082186</v>
      </c>
      <c r="C862" s="8">
        <v>1</v>
      </c>
      <c r="D862" s="8" t="s">
        <v>3177</v>
      </c>
      <c r="E862" s="8" t="s">
        <v>134</v>
      </c>
      <c r="F862" s="8" t="s">
        <v>264</v>
      </c>
      <c r="G862" s="8" t="s">
        <v>4358</v>
      </c>
      <c r="H862" s="8" t="s">
        <v>4367</v>
      </c>
      <c r="I862" s="8" t="s">
        <v>4304</v>
      </c>
      <c r="J862" s="8" t="s">
        <v>3253</v>
      </c>
      <c r="K862" s="8" t="s">
        <v>3183</v>
      </c>
      <c r="L862" s="10" t="s">
        <v>4305</v>
      </c>
      <c r="M862" s="10" t="s">
        <v>4306</v>
      </c>
      <c r="N862" s="10" t="s">
        <v>134</v>
      </c>
      <c r="O862" s="8" t="s">
        <v>322</v>
      </c>
      <c r="P862" s="8"/>
      <c r="Q862" s="8"/>
      <c r="R862" s="8">
        <v>140764</v>
      </c>
      <c r="S862" s="8"/>
      <c r="T862" s="8"/>
      <c r="U862" s="8"/>
      <c r="V862" s="8" t="s">
        <v>332</v>
      </c>
      <c r="W862" s="8"/>
      <c r="X862" s="8"/>
      <c r="Y862" s="8"/>
      <c r="Z862" s="10" t="s">
        <v>4368</v>
      </c>
      <c r="AA862" s="8" t="s">
        <v>332</v>
      </c>
      <c r="AB862" s="8">
        <v>1</v>
      </c>
    </row>
    <row r="863" spans="1:28" ht="21.6" customHeight="1">
      <c r="A863" s="8">
        <v>10</v>
      </c>
      <c r="B863" s="8">
        <v>2025082222</v>
      </c>
      <c r="C863" s="8">
        <v>1</v>
      </c>
      <c r="D863" s="8" t="s">
        <v>3177</v>
      </c>
      <c r="E863" s="8" t="s">
        <v>123</v>
      </c>
      <c r="F863" s="8" t="s">
        <v>262</v>
      </c>
      <c r="G863" s="8" t="s">
        <v>3647</v>
      </c>
      <c r="H863" s="8" t="s">
        <v>3648</v>
      </c>
      <c r="I863" s="8" t="s">
        <v>3240</v>
      </c>
      <c r="J863" s="8" t="s">
        <v>3224</v>
      </c>
      <c r="K863" s="8" t="s">
        <v>3183</v>
      </c>
      <c r="L863" s="10" t="s">
        <v>3241</v>
      </c>
      <c r="M863" s="10" t="s">
        <v>3242</v>
      </c>
      <c r="N863" s="10"/>
      <c r="O863" s="8" t="s">
        <v>322</v>
      </c>
      <c r="P863" s="8"/>
      <c r="Q863" s="8">
        <v>2184</v>
      </c>
      <c r="R863" s="8">
        <v>1401</v>
      </c>
      <c r="S863" s="8" t="s">
        <v>332</v>
      </c>
      <c r="T863" s="8"/>
      <c r="U863" s="8"/>
      <c r="V863" s="8"/>
      <c r="W863" s="8"/>
      <c r="X863" s="8"/>
      <c r="Y863" s="8"/>
      <c r="Z863" s="10" t="s">
        <v>3186</v>
      </c>
      <c r="AA863" s="8" t="s">
        <v>332</v>
      </c>
      <c r="AB863" s="8">
        <v>1</v>
      </c>
    </row>
    <row r="864" spans="1:28" ht="21.6" customHeight="1">
      <c r="A864" s="8">
        <v>13</v>
      </c>
      <c r="B864" s="8">
        <v>2025082220</v>
      </c>
      <c r="C864" s="8">
        <v>1</v>
      </c>
      <c r="D864" s="8" t="s">
        <v>3177</v>
      </c>
      <c r="E864" s="8" t="s">
        <v>123</v>
      </c>
      <c r="F864" s="8" t="s">
        <v>262</v>
      </c>
      <c r="G864" s="8" t="s">
        <v>4369</v>
      </c>
      <c r="H864" s="8" t="s">
        <v>3768</v>
      </c>
      <c r="I864" s="8" t="s">
        <v>4370</v>
      </c>
      <c r="J864" s="8" t="s">
        <v>3224</v>
      </c>
      <c r="K864" s="8" t="s">
        <v>3183</v>
      </c>
      <c r="L864" s="10" t="s">
        <v>4371</v>
      </c>
      <c r="M864" s="10" t="s">
        <v>3185</v>
      </c>
      <c r="N864" s="10"/>
      <c r="O864" s="8" t="s">
        <v>322</v>
      </c>
      <c r="P864" s="8"/>
      <c r="Q864" s="8">
        <v>164</v>
      </c>
      <c r="R864" s="8">
        <v>1176</v>
      </c>
      <c r="S864" s="8" t="s">
        <v>332</v>
      </c>
      <c r="T864" s="8"/>
      <c r="U864" s="8"/>
      <c r="V864" s="8"/>
      <c r="W864" s="8"/>
      <c r="X864" s="8"/>
      <c r="Y864" s="8"/>
      <c r="Z864" s="10" t="s">
        <v>3186</v>
      </c>
      <c r="AA864" s="8" t="s">
        <v>332</v>
      </c>
      <c r="AB864" s="8">
        <v>1</v>
      </c>
    </row>
    <row r="865" spans="1:28" ht="21.6" customHeight="1">
      <c r="A865" s="8">
        <v>31</v>
      </c>
      <c r="B865" s="8">
        <v>2025082251</v>
      </c>
      <c r="C865" s="8">
        <v>1</v>
      </c>
      <c r="D865" s="8" t="s">
        <v>3177</v>
      </c>
      <c r="E865" s="8" t="s">
        <v>123</v>
      </c>
      <c r="F865" s="8" t="s">
        <v>262</v>
      </c>
      <c r="G865" s="8" t="s">
        <v>4372</v>
      </c>
      <c r="H865" s="8" t="s">
        <v>3179</v>
      </c>
      <c r="I865" s="8" t="s">
        <v>4230</v>
      </c>
      <c r="J865" s="8" t="s">
        <v>3328</v>
      </c>
      <c r="K865" s="8" t="s">
        <v>3183</v>
      </c>
      <c r="L865" s="10" t="s">
        <v>3314</v>
      </c>
      <c r="M865" s="10" t="s">
        <v>3315</v>
      </c>
      <c r="N865" s="10"/>
      <c r="O865" s="8" t="s">
        <v>322</v>
      </c>
      <c r="P865" s="8"/>
      <c r="Q865" s="8">
        <v>1099</v>
      </c>
      <c r="R865" s="8">
        <v>2134</v>
      </c>
      <c r="S865" s="8" t="s">
        <v>332</v>
      </c>
      <c r="T865" s="8"/>
      <c r="U865" s="8"/>
      <c r="V865" s="8"/>
      <c r="W865" s="8"/>
      <c r="X865" s="8"/>
      <c r="Y865" s="8"/>
      <c r="Z865" s="10" t="s">
        <v>4373</v>
      </c>
      <c r="AA865" s="8" t="s">
        <v>332</v>
      </c>
      <c r="AB865" s="8">
        <v>1</v>
      </c>
    </row>
    <row r="866" spans="1:28" ht="21.6" customHeight="1">
      <c r="A866" s="8">
        <v>106</v>
      </c>
      <c r="B866" s="8">
        <v>2025081333</v>
      </c>
      <c r="C866" s="8">
        <v>1</v>
      </c>
      <c r="D866" s="8" t="s">
        <v>3177</v>
      </c>
      <c r="E866" s="8" t="s">
        <v>118</v>
      </c>
      <c r="F866" s="8" t="s">
        <v>4347</v>
      </c>
      <c r="G866" s="8" t="s">
        <v>3401</v>
      </c>
      <c r="H866" s="8" t="s">
        <v>3357</v>
      </c>
      <c r="I866" s="8" t="s">
        <v>3382</v>
      </c>
      <c r="J866" s="8" t="s">
        <v>3224</v>
      </c>
      <c r="K866" s="8" t="s">
        <v>3183</v>
      </c>
      <c r="L866" s="10" t="s">
        <v>3383</v>
      </c>
      <c r="M866" s="10" t="s">
        <v>3384</v>
      </c>
      <c r="N866" s="10" t="s">
        <v>3385</v>
      </c>
      <c r="O866" s="8" t="s">
        <v>3190</v>
      </c>
      <c r="P866" s="8">
        <v>6341</v>
      </c>
      <c r="Q866" s="8">
        <v>15083</v>
      </c>
      <c r="R866" s="8">
        <v>18344</v>
      </c>
      <c r="S866" s="8"/>
      <c r="T866" s="8"/>
      <c r="U866" s="8"/>
      <c r="V866" s="8"/>
      <c r="W866" s="8"/>
      <c r="X866" s="8"/>
      <c r="Y866" s="8"/>
      <c r="Z866" s="10" t="s">
        <v>3696</v>
      </c>
      <c r="AA866" s="8" t="s">
        <v>332</v>
      </c>
      <c r="AB866" s="8">
        <v>1</v>
      </c>
    </row>
    <row r="867" spans="1:28" ht="21.6" customHeight="1">
      <c r="A867" s="8">
        <v>165</v>
      </c>
      <c r="B867" s="8">
        <v>2025081105</v>
      </c>
      <c r="C867" s="8">
        <v>1</v>
      </c>
      <c r="D867" s="8" t="s">
        <v>3177</v>
      </c>
      <c r="E867" s="8" t="s">
        <v>118</v>
      </c>
      <c r="F867" s="8" t="s">
        <v>4338</v>
      </c>
      <c r="G867" s="8" t="s">
        <v>3426</v>
      </c>
      <c r="H867" s="8" t="s">
        <v>4077</v>
      </c>
      <c r="I867" s="8" t="s">
        <v>3510</v>
      </c>
      <c r="J867" s="8" t="s">
        <v>3298</v>
      </c>
      <c r="K867" s="8" t="s">
        <v>3183</v>
      </c>
      <c r="L867" s="10" t="s">
        <v>3398</v>
      </c>
      <c r="M867" s="10" t="s">
        <v>3511</v>
      </c>
      <c r="N867" s="10" t="s">
        <v>3512</v>
      </c>
      <c r="O867" s="8" t="s">
        <v>3190</v>
      </c>
      <c r="P867" s="8"/>
      <c r="Q867" s="8"/>
      <c r="R867" s="8">
        <v>11452</v>
      </c>
      <c r="S867" s="8"/>
      <c r="T867" s="8"/>
      <c r="U867" s="8"/>
      <c r="V867" s="8"/>
      <c r="W867" s="8"/>
      <c r="X867" s="8"/>
      <c r="Y867" s="8"/>
      <c r="Z867" s="10" t="s">
        <v>3821</v>
      </c>
      <c r="AA867" s="8" t="s">
        <v>332</v>
      </c>
      <c r="AB867" s="8">
        <v>1</v>
      </c>
    </row>
    <row r="868" spans="1:28" ht="21.6" customHeight="1">
      <c r="A868" s="8">
        <v>187</v>
      </c>
      <c r="B868" s="8">
        <v>2025081712</v>
      </c>
      <c r="C868" s="8">
        <v>1</v>
      </c>
      <c r="D868" s="8" t="s">
        <v>3177</v>
      </c>
      <c r="E868" s="8" t="s">
        <v>118</v>
      </c>
      <c r="F868" s="8" t="s">
        <v>4360</v>
      </c>
      <c r="G868" s="8" t="s">
        <v>3350</v>
      </c>
      <c r="H868" s="8" t="s">
        <v>4374</v>
      </c>
      <c r="I868" s="8" t="s">
        <v>3732</v>
      </c>
      <c r="J868" s="8" t="s">
        <v>3733</v>
      </c>
      <c r="K868" s="8" t="s">
        <v>3183</v>
      </c>
      <c r="L868" s="10" t="s">
        <v>3254</v>
      </c>
      <c r="M868" s="10" t="s">
        <v>3734</v>
      </c>
      <c r="N868" s="10" t="s">
        <v>3735</v>
      </c>
      <c r="O868" s="8" t="s">
        <v>3190</v>
      </c>
      <c r="P868" s="8"/>
      <c r="Q868" s="8">
        <v>1849</v>
      </c>
      <c r="R868" s="8">
        <v>119692</v>
      </c>
      <c r="S868" s="8"/>
      <c r="T868" s="8"/>
      <c r="U868" s="8"/>
      <c r="V868" s="8"/>
      <c r="W868" s="8"/>
      <c r="X868" s="8"/>
      <c r="Y868" s="8"/>
      <c r="Z868" s="10" t="s">
        <v>3696</v>
      </c>
      <c r="AA868" s="8" t="s">
        <v>332</v>
      </c>
      <c r="AB868" s="8">
        <v>1</v>
      </c>
    </row>
    <row r="869" spans="1:28" ht="21.6" customHeight="1">
      <c r="A869" s="8">
        <v>195</v>
      </c>
      <c r="B869" s="8">
        <v>2025082263</v>
      </c>
      <c r="C869" s="8">
        <v>1</v>
      </c>
      <c r="D869" s="8" t="s">
        <v>3177</v>
      </c>
      <c r="E869" s="8" t="s">
        <v>118</v>
      </c>
      <c r="F869" s="8" t="s">
        <v>262</v>
      </c>
      <c r="G869" s="8" t="s">
        <v>3363</v>
      </c>
      <c r="H869" s="8" t="s">
        <v>3431</v>
      </c>
      <c r="I869" s="8" t="s">
        <v>4375</v>
      </c>
      <c r="J869" s="8" t="s">
        <v>3543</v>
      </c>
      <c r="K869" s="8" t="s">
        <v>3183</v>
      </c>
      <c r="L869" s="10" t="s">
        <v>3254</v>
      </c>
      <c r="M869" s="10" t="s">
        <v>3742</v>
      </c>
      <c r="N869" s="10" t="s">
        <v>4376</v>
      </c>
      <c r="O869" s="8" t="s">
        <v>322</v>
      </c>
      <c r="P869" s="8"/>
      <c r="Q869" s="8"/>
      <c r="R869" s="8">
        <v>186</v>
      </c>
      <c r="S869" s="8"/>
      <c r="T869" s="8"/>
      <c r="U869" s="8"/>
      <c r="V869" s="8"/>
      <c r="W869" s="8"/>
      <c r="X869" s="8"/>
      <c r="Y869" s="8" t="s">
        <v>332</v>
      </c>
      <c r="Z869" s="10" t="s">
        <v>4377</v>
      </c>
      <c r="AA869" s="8" t="s">
        <v>332</v>
      </c>
      <c r="AB869" s="8">
        <v>1</v>
      </c>
    </row>
    <row r="870" spans="1:28" ht="21.6" customHeight="1">
      <c r="A870" s="8">
        <v>21</v>
      </c>
      <c r="B870" s="8">
        <v>2025082374</v>
      </c>
      <c r="C870" s="8">
        <v>1</v>
      </c>
      <c r="D870" s="8" t="s">
        <v>3177</v>
      </c>
      <c r="E870" s="8" t="s">
        <v>123</v>
      </c>
      <c r="F870" s="8" t="s">
        <v>260</v>
      </c>
      <c r="G870" s="8" t="s">
        <v>3342</v>
      </c>
      <c r="H870" s="8" t="s">
        <v>4109</v>
      </c>
      <c r="I870" s="8" t="s">
        <v>3263</v>
      </c>
      <c r="J870" s="8" t="s">
        <v>3253</v>
      </c>
      <c r="K870" s="8" t="s">
        <v>3183</v>
      </c>
      <c r="L870" s="10" t="s">
        <v>3264</v>
      </c>
      <c r="M870" s="10" t="s">
        <v>3265</v>
      </c>
      <c r="N870" s="10" t="s">
        <v>123</v>
      </c>
      <c r="O870" s="8" t="s">
        <v>322</v>
      </c>
      <c r="P870" s="8"/>
      <c r="Q870" s="8"/>
      <c r="R870" s="8">
        <v>50673</v>
      </c>
      <c r="S870" s="8" t="s">
        <v>332</v>
      </c>
      <c r="T870" s="8"/>
      <c r="U870" s="8"/>
      <c r="V870" s="8"/>
      <c r="W870" s="8"/>
      <c r="X870" s="8"/>
      <c r="Y870" s="8"/>
      <c r="Z870" s="10" t="s">
        <v>3186</v>
      </c>
      <c r="AA870" s="8" t="s">
        <v>332</v>
      </c>
      <c r="AB870" s="8">
        <v>1</v>
      </c>
    </row>
    <row r="871" spans="1:28" ht="21.6" customHeight="1">
      <c r="A871" s="8">
        <v>39</v>
      </c>
      <c r="B871" s="8">
        <v>2025082356</v>
      </c>
      <c r="C871" s="8">
        <v>1</v>
      </c>
      <c r="D871" s="8" t="s">
        <v>3177</v>
      </c>
      <c r="E871" s="8" t="s">
        <v>123</v>
      </c>
      <c r="F871" s="8" t="s">
        <v>260</v>
      </c>
      <c r="G871" s="8" t="s">
        <v>3381</v>
      </c>
      <c r="H871" s="8" t="s">
        <v>3401</v>
      </c>
      <c r="I871" s="8" t="s">
        <v>3300</v>
      </c>
      <c r="J871" s="8" t="s">
        <v>3301</v>
      </c>
      <c r="K871" s="8" t="s">
        <v>3183</v>
      </c>
      <c r="L871" s="10" t="s">
        <v>3302</v>
      </c>
      <c r="M871" s="10" t="s">
        <v>3303</v>
      </c>
      <c r="N871" s="10" t="s">
        <v>3304</v>
      </c>
      <c r="O871" s="8" t="s">
        <v>322</v>
      </c>
      <c r="P871" s="8"/>
      <c r="Q871" s="8">
        <v>36229</v>
      </c>
      <c r="R871" s="8">
        <v>34184</v>
      </c>
      <c r="S871" s="8" t="s">
        <v>332</v>
      </c>
      <c r="T871" s="8"/>
      <c r="U871" s="8"/>
      <c r="V871" s="8"/>
      <c r="W871" s="8"/>
      <c r="X871" s="8"/>
      <c r="Y871" s="8"/>
      <c r="Z871" s="10" t="s">
        <v>3186</v>
      </c>
      <c r="AA871" s="8" t="s">
        <v>332</v>
      </c>
      <c r="AB871" s="8">
        <v>1</v>
      </c>
    </row>
    <row r="872" spans="1:28" ht="21.6" customHeight="1">
      <c r="A872" s="8">
        <v>45</v>
      </c>
      <c r="B872" s="8">
        <v>2025082367</v>
      </c>
      <c r="C872" s="8">
        <v>1</v>
      </c>
      <c r="D872" s="8" t="s">
        <v>3177</v>
      </c>
      <c r="E872" s="8" t="s">
        <v>123</v>
      </c>
      <c r="F872" s="8" t="s">
        <v>260</v>
      </c>
      <c r="G872" s="8" t="s">
        <v>3671</v>
      </c>
      <c r="H872" s="8" t="s">
        <v>3903</v>
      </c>
      <c r="I872" s="8" t="s">
        <v>3807</v>
      </c>
      <c r="J872" s="8" t="s">
        <v>3808</v>
      </c>
      <c r="K872" s="8" t="s">
        <v>3183</v>
      </c>
      <c r="L872" s="10" t="s">
        <v>3333</v>
      </c>
      <c r="M872" s="10" t="s">
        <v>3334</v>
      </c>
      <c r="N872" s="10"/>
      <c r="O872" s="8" t="s">
        <v>322</v>
      </c>
      <c r="P872" s="8"/>
      <c r="Q872" s="8"/>
      <c r="R872" s="8">
        <v>32618</v>
      </c>
      <c r="S872" s="8" t="s">
        <v>332</v>
      </c>
      <c r="T872" s="8"/>
      <c r="U872" s="8"/>
      <c r="V872" s="8"/>
      <c r="W872" s="8"/>
      <c r="X872" s="8"/>
      <c r="Y872" s="8"/>
      <c r="Z872" s="10" t="s">
        <v>3186</v>
      </c>
      <c r="AA872" s="8" t="s">
        <v>332</v>
      </c>
      <c r="AB872" s="8">
        <v>1</v>
      </c>
    </row>
    <row r="873" spans="1:28" ht="21.6" customHeight="1">
      <c r="A873" s="8">
        <v>138</v>
      </c>
      <c r="B873" s="8">
        <v>2025082423</v>
      </c>
      <c r="C873" s="8">
        <v>1</v>
      </c>
      <c r="D873" s="8" t="s">
        <v>3177</v>
      </c>
      <c r="E873" s="8" t="s">
        <v>118</v>
      </c>
      <c r="F873" s="8" t="s">
        <v>260</v>
      </c>
      <c r="G873" s="8" t="s">
        <v>3426</v>
      </c>
      <c r="H873" s="8" t="s">
        <v>3431</v>
      </c>
      <c r="I873" s="8" t="s">
        <v>3413</v>
      </c>
      <c r="J873" s="8" t="s">
        <v>3253</v>
      </c>
      <c r="K873" s="8" t="s">
        <v>3183</v>
      </c>
      <c r="L873" s="10" t="s">
        <v>3414</v>
      </c>
      <c r="M873" s="10" t="s">
        <v>3415</v>
      </c>
      <c r="N873" s="10"/>
      <c r="O873" s="8" t="s">
        <v>322</v>
      </c>
      <c r="P873" s="8"/>
      <c r="Q873" s="8"/>
      <c r="R873" s="8">
        <v>96600</v>
      </c>
      <c r="S873" s="8"/>
      <c r="T873" s="8"/>
      <c r="U873" s="8" t="s">
        <v>332</v>
      </c>
      <c r="V873" s="8"/>
      <c r="W873" s="8"/>
      <c r="X873" s="8"/>
      <c r="Y873" s="8"/>
      <c r="Z873" s="10" t="s">
        <v>3362</v>
      </c>
      <c r="AA873" s="8" t="s">
        <v>332</v>
      </c>
      <c r="AB873" s="8">
        <v>1</v>
      </c>
    </row>
    <row r="874" spans="1:28" ht="21.6" customHeight="1">
      <c r="A874" s="8">
        <v>151</v>
      </c>
      <c r="B874" s="8">
        <v>2025081553</v>
      </c>
      <c r="C874" s="8">
        <v>1</v>
      </c>
      <c r="D874" s="8" t="s">
        <v>3177</v>
      </c>
      <c r="E874" s="8" t="s">
        <v>118</v>
      </c>
      <c r="F874" s="8" t="s">
        <v>4355</v>
      </c>
      <c r="G874" s="8" t="s">
        <v>3363</v>
      </c>
      <c r="H874" s="8" t="s">
        <v>3233</v>
      </c>
      <c r="I874" s="8" t="s">
        <v>3447</v>
      </c>
      <c r="J874" s="8" t="s">
        <v>3277</v>
      </c>
      <c r="K874" s="8" t="s">
        <v>3183</v>
      </c>
      <c r="L874" s="10" t="s">
        <v>3448</v>
      </c>
      <c r="M874" s="10" t="s">
        <v>3449</v>
      </c>
      <c r="N874" s="10"/>
      <c r="O874" s="8" t="s">
        <v>3190</v>
      </c>
      <c r="P874" s="8"/>
      <c r="Q874" s="8"/>
      <c r="R874" s="8">
        <v>46000</v>
      </c>
      <c r="S874" s="8"/>
      <c r="T874" s="8"/>
      <c r="U874" s="8"/>
      <c r="V874" s="8"/>
      <c r="W874" s="8"/>
      <c r="X874" s="8"/>
      <c r="Y874" s="8"/>
      <c r="Z874" s="10" t="s">
        <v>111</v>
      </c>
      <c r="AA874" s="8" t="s">
        <v>332</v>
      </c>
      <c r="AB874" s="8">
        <v>1</v>
      </c>
    </row>
    <row r="875" spans="1:28" ht="21.6" customHeight="1">
      <c r="A875" s="8">
        <v>172</v>
      </c>
      <c r="B875" s="8">
        <v>2025081976</v>
      </c>
      <c r="C875" s="8">
        <v>1</v>
      </c>
      <c r="D875" s="8" t="s">
        <v>3177</v>
      </c>
      <c r="E875" s="8" t="s">
        <v>118</v>
      </c>
      <c r="F875" s="8" t="s">
        <v>4361</v>
      </c>
      <c r="G875" s="8" t="s">
        <v>3386</v>
      </c>
      <c r="H875" s="8" t="s">
        <v>3387</v>
      </c>
      <c r="I875" s="8" t="s">
        <v>3482</v>
      </c>
      <c r="J875" s="8" t="s">
        <v>3288</v>
      </c>
      <c r="K875" s="8" t="s">
        <v>3183</v>
      </c>
      <c r="L875" s="10" t="s">
        <v>3483</v>
      </c>
      <c r="M875" s="10" t="s">
        <v>3484</v>
      </c>
      <c r="N875" s="10" t="s">
        <v>3485</v>
      </c>
      <c r="O875" s="8" t="s">
        <v>3190</v>
      </c>
      <c r="P875" s="8">
        <v>1572</v>
      </c>
      <c r="Q875" s="8">
        <v>4250</v>
      </c>
      <c r="R875" s="8">
        <v>28898</v>
      </c>
      <c r="S875" s="8"/>
      <c r="T875" s="8"/>
      <c r="U875" s="8"/>
      <c r="V875" s="8"/>
      <c r="W875" s="8"/>
      <c r="X875" s="8"/>
      <c r="Y875" s="8"/>
      <c r="Z875" s="10" t="s">
        <v>3696</v>
      </c>
      <c r="AA875" s="8" t="s">
        <v>332</v>
      </c>
      <c r="AB875" s="8">
        <v>1</v>
      </c>
    </row>
    <row r="876" spans="1:28" ht="21.6" customHeight="1">
      <c r="A876" s="8">
        <v>221</v>
      </c>
      <c r="B876" s="8">
        <v>2025082385</v>
      </c>
      <c r="C876" s="8">
        <v>1</v>
      </c>
      <c r="D876" s="8" t="s">
        <v>3177</v>
      </c>
      <c r="E876" s="8" t="s">
        <v>118</v>
      </c>
      <c r="F876" s="8" t="s">
        <v>260</v>
      </c>
      <c r="G876" s="8" t="s">
        <v>3368</v>
      </c>
      <c r="H876" s="8" t="s">
        <v>3645</v>
      </c>
      <c r="I876" s="8" t="s">
        <v>3557</v>
      </c>
      <c r="J876" s="8" t="s">
        <v>3328</v>
      </c>
      <c r="K876" s="8" t="s">
        <v>3183</v>
      </c>
      <c r="L876" s="10" t="s">
        <v>3558</v>
      </c>
      <c r="M876" s="10" t="s">
        <v>3559</v>
      </c>
      <c r="N876" s="10" t="s">
        <v>3508</v>
      </c>
      <c r="O876" s="8" t="s">
        <v>322</v>
      </c>
      <c r="P876" s="8"/>
      <c r="Q876" s="8">
        <v>3785</v>
      </c>
      <c r="R876" s="8">
        <v>1324</v>
      </c>
      <c r="S876" s="8" t="s">
        <v>332</v>
      </c>
      <c r="T876" s="8"/>
      <c r="U876" s="8"/>
      <c r="V876" s="8"/>
      <c r="W876" s="8"/>
      <c r="X876" s="8"/>
      <c r="Y876" s="8"/>
      <c r="Z876" s="10" t="s">
        <v>3696</v>
      </c>
      <c r="AA876" s="8" t="s">
        <v>332</v>
      </c>
      <c r="AB876" s="8">
        <v>1</v>
      </c>
    </row>
    <row r="877" spans="1:28" ht="21.6" customHeight="1">
      <c r="A877" s="8">
        <v>229</v>
      </c>
      <c r="B877" s="8">
        <v>2025082111</v>
      </c>
      <c r="C877" s="8">
        <v>1</v>
      </c>
      <c r="D877" s="8" t="s">
        <v>3177</v>
      </c>
      <c r="E877" s="8" t="s">
        <v>118</v>
      </c>
      <c r="F877" s="8" t="s">
        <v>264</v>
      </c>
      <c r="G877" s="8" t="s">
        <v>3363</v>
      </c>
      <c r="H877" s="8" t="s">
        <v>3233</v>
      </c>
      <c r="I877" s="8" t="s">
        <v>3757</v>
      </c>
      <c r="J877" s="8" t="s">
        <v>3758</v>
      </c>
      <c r="K877" s="8" t="s">
        <v>3183</v>
      </c>
      <c r="L877" s="10" t="s">
        <v>3759</v>
      </c>
      <c r="M877" s="10" t="s">
        <v>3760</v>
      </c>
      <c r="N877" s="10" t="s">
        <v>3761</v>
      </c>
      <c r="O877" s="8" t="s">
        <v>3190</v>
      </c>
      <c r="P877" s="8"/>
      <c r="Q877" s="8">
        <v>2239</v>
      </c>
      <c r="R877" s="8">
        <v>162228</v>
      </c>
      <c r="S877" s="8"/>
      <c r="T877" s="8"/>
      <c r="U877" s="8"/>
      <c r="V877" s="8"/>
      <c r="W877" s="8"/>
      <c r="X877" s="8"/>
      <c r="Y877" s="8"/>
      <c r="Z877" s="10" t="s">
        <v>3696</v>
      </c>
      <c r="AA877" s="8" t="s">
        <v>332</v>
      </c>
      <c r="AB877" s="8">
        <v>1</v>
      </c>
    </row>
    <row r="878" spans="1:28" ht="21.6" customHeight="1">
      <c r="A878" s="8">
        <v>23</v>
      </c>
      <c r="B878" s="8">
        <v>2025082403</v>
      </c>
      <c r="C878" s="8">
        <v>1</v>
      </c>
      <c r="D878" s="8" t="s">
        <v>3177</v>
      </c>
      <c r="E878" s="8" t="s">
        <v>123</v>
      </c>
      <c r="F878" s="8" t="s">
        <v>260</v>
      </c>
      <c r="G878" s="8" t="s">
        <v>3890</v>
      </c>
      <c r="H878" s="8" t="s">
        <v>3501</v>
      </c>
      <c r="I878" s="8" t="s">
        <v>4018</v>
      </c>
      <c r="J878" s="8" t="s">
        <v>3253</v>
      </c>
      <c r="K878" s="8" t="s">
        <v>3183</v>
      </c>
      <c r="L878" s="10" t="s">
        <v>3629</v>
      </c>
      <c r="M878" s="10" t="s">
        <v>4299</v>
      </c>
      <c r="N878" s="10"/>
      <c r="O878" s="8" t="s">
        <v>3190</v>
      </c>
      <c r="P878" s="8"/>
      <c r="Q878" s="8"/>
      <c r="R878" s="8">
        <v>223828</v>
      </c>
      <c r="S878" s="8"/>
      <c r="T878" s="8"/>
      <c r="U878" s="8"/>
      <c r="V878" s="8"/>
      <c r="W878" s="8"/>
      <c r="X878" s="8"/>
      <c r="Y878" s="8"/>
      <c r="Z878" s="10" t="s">
        <v>3186</v>
      </c>
      <c r="AA878" s="8" t="s">
        <v>332</v>
      </c>
      <c r="AB878" s="8">
        <v>1</v>
      </c>
    </row>
    <row r="879" spans="1:28" ht="21.6" customHeight="1">
      <c r="A879" s="8">
        <v>138</v>
      </c>
      <c r="B879" s="8">
        <v>2025081101</v>
      </c>
      <c r="C879" s="8">
        <v>1</v>
      </c>
      <c r="D879" s="8" t="s">
        <v>3177</v>
      </c>
      <c r="E879" s="8" t="s">
        <v>118</v>
      </c>
      <c r="F879" s="8" t="s">
        <v>4338</v>
      </c>
      <c r="G879" s="8" t="s">
        <v>3848</v>
      </c>
      <c r="H879" s="8" t="s">
        <v>3588</v>
      </c>
      <c r="I879" s="8" t="s">
        <v>3404</v>
      </c>
      <c r="J879" s="8" t="s">
        <v>3253</v>
      </c>
      <c r="K879" s="8" t="s">
        <v>3183</v>
      </c>
      <c r="L879" s="10" t="s">
        <v>3398</v>
      </c>
      <c r="M879" s="10" t="s">
        <v>3405</v>
      </c>
      <c r="N879" s="10" t="s">
        <v>3406</v>
      </c>
      <c r="O879" s="8" t="s">
        <v>3190</v>
      </c>
      <c r="P879" s="8"/>
      <c r="Q879" s="8"/>
      <c r="R879" s="8">
        <v>164338</v>
      </c>
      <c r="S879" s="8"/>
      <c r="T879" s="8"/>
      <c r="U879" s="8"/>
      <c r="V879" s="8"/>
      <c r="W879" s="8"/>
      <c r="X879" s="8"/>
      <c r="Y879" s="8"/>
      <c r="Z879" s="10" t="s">
        <v>3821</v>
      </c>
      <c r="AA879" s="8" t="s">
        <v>332</v>
      </c>
      <c r="AB879" s="8">
        <v>1</v>
      </c>
    </row>
    <row r="880" spans="1:28" ht="21.6" customHeight="1">
      <c r="A880" s="8">
        <v>214</v>
      </c>
      <c r="B880" s="8">
        <v>2025082471</v>
      </c>
      <c r="C880" s="8">
        <v>1</v>
      </c>
      <c r="D880" s="8" t="s">
        <v>3177</v>
      </c>
      <c r="E880" s="8" t="s">
        <v>118</v>
      </c>
      <c r="F880" s="8" t="s">
        <v>257</v>
      </c>
      <c r="G880" s="8" t="s">
        <v>3350</v>
      </c>
      <c r="H880" s="8" t="s">
        <v>3509</v>
      </c>
      <c r="I880" s="8" t="s">
        <v>4378</v>
      </c>
      <c r="J880" s="8" t="s">
        <v>3543</v>
      </c>
      <c r="K880" s="8" t="s">
        <v>3183</v>
      </c>
      <c r="L880" s="10" t="s">
        <v>3254</v>
      </c>
      <c r="M880" s="10" t="s">
        <v>4379</v>
      </c>
      <c r="N880" s="10" t="s">
        <v>4380</v>
      </c>
      <c r="O880" s="8" t="s">
        <v>322</v>
      </c>
      <c r="P880" s="8"/>
      <c r="Q880" s="8"/>
      <c r="R880" s="8">
        <v>28343</v>
      </c>
      <c r="S880" s="8"/>
      <c r="T880" s="8"/>
      <c r="U880" s="8" t="s">
        <v>332</v>
      </c>
      <c r="V880" s="8"/>
      <c r="W880" s="8"/>
      <c r="X880" s="8"/>
      <c r="Y880" s="8" t="s">
        <v>332</v>
      </c>
      <c r="Z880" s="10" t="s">
        <v>4381</v>
      </c>
      <c r="AA880" s="8" t="s">
        <v>332</v>
      </c>
      <c r="AB880" s="8">
        <v>1</v>
      </c>
    </row>
    <row r="881" spans="1:28" ht="21.6" customHeight="1">
      <c r="A881" s="8">
        <v>228</v>
      </c>
      <c r="B881" s="8">
        <v>2025082281</v>
      </c>
      <c r="C881" s="8">
        <v>1</v>
      </c>
      <c r="D881" s="8" t="s">
        <v>3177</v>
      </c>
      <c r="E881" s="8" t="s">
        <v>118</v>
      </c>
      <c r="F881" s="8" t="s">
        <v>262</v>
      </c>
      <c r="G881" s="8" t="s">
        <v>3427</v>
      </c>
      <c r="H881" s="8" t="s">
        <v>3387</v>
      </c>
      <c r="I881" s="8" t="s">
        <v>3570</v>
      </c>
      <c r="J881" s="8" t="s">
        <v>1717</v>
      </c>
      <c r="K881" s="8" t="s">
        <v>3183</v>
      </c>
      <c r="L881" s="10" t="s">
        <v>3254</v>
      </c>
      <c r="M881" s="10" t="s">
        <v>3547</v>
      </c>
      <c r="N881" s="10" t="s">
        <v>3571</v>
      </c>
      <c r="O881" s="8" t="s">
        <v>3190</v>
      </c>
      <c r="P881" s="8"/>
      <c r="Q881" s="8"/>
      <c r="R881" s="8">
        <v>545553</v>
      </c>
      <c r="S881" s="8"/>
      <c r="T881" s="8"/>
      <c r="U881" s="8"/>
      <c r="V881" s="8"/>
      <c r="W881" s="8"/>
      <c r="X881" s="8"/>
      <c r="Y881" s="8"/>
      <c r="Z881" s="10" t="s">
        <v>3696</v>
      </c>
      <c r="AA881" s="8" t="s">
        <v>332</v>
      </c>
      <c r="AB881" s="8">
        <v>1</v>
      </c>
    </row>
    <row r="882" spans="1:28" ht="21.6" customHeight="1">
      <c r="A882" s="8">
        <v>27</v>
      </c>
      <c r="B882" s="8">
        <v>2025082420</v>
      </c>
      <c r="C882" s="8">
        <v>1</v>
      </c>
      <c r="D882" s="8" t="s">
        <v>3177</v>
      </c>
      <c r="E882" s="8" t="s">
        <v>123</v>
      </c>
      <c r="F882" s="8" t="s">
        <v>260</v>
      </c>
      <c r="G882" s="8" t="s">
        <v>3590</v>
      </c>
      <c r="H882" s="8" t="s">
        <v>4382</v>
      </c>
      <c r="I882" s="8" t="s">
        <v>3908</v>
      </c>
      <c r="J882" s="8" t="s">
        <v>3253</v>
      </c>
      <c r="K882" s="8" t="s">
        <v>3183</v>
      </c>
      <c r="L882" s="10" t="s">
        <v>3629</v>
      </c>
      <c r="M882" s="10" t="s">
        <v>3909</v>
      </c>
      <c r="N882" s="10" t="s">
        <v>123</v>
      </c>
      <c r="O882" s="8" t="s">
        <v>3190</v>
      </c>
      <c r="P882" s="8"/>
      <c r="Q882" s="8"/>
      <c r="R882" s="8">
        <v>32915</v>
      </c>
      <c r="S882" s="8"/>
      <c r="T882" s="8"/>
      <c r="U882" s="8"/>
      <c r="V882" s="8"/>
      <c r="W882" s="8"/>
      <c r="X882" s="8"/>
      <c r="Y882" s="8"/>
      <c r="Z882" s="10" t="s">
        <v>3186</v>
      </c>
      <c r="AA882" s="8" t="s">
        <v>332</v>
      </c>
      <c r="AB882" s="8">
        <v>1</v>
      </c>
    </row>
    <row r="883" spans="1:28" ht="21.6" customHeight="1">
      <c r="A883" s="8">
        <v>149</v>
      </c>
      <c r="B883" s="8">
        <v>2025082787</v>
      </c>
      <c r="C883" s="8">
        <v>1</v>
      </c>
      <c r="D883" s="8" t="s">
        <v>3177</v>
      </c>
      <c r="E883" s="8" t="s">
        <v>118</v>
      </c>
      <c r="F883" s="8" t="s">
        <v>4383</v>
      </c>
      <c r="G883" s="8" t="s">
        <v>3982</v>
      </c>
      <c r="H883" s="8" t="s">
        <v>3233</v>
      </c>
      <c r="I883" s="8" t="s">
        <v>3944</v>
      </c>
      <c r="J883" s="8" t="s">
        <v>3253</v>
      </c>
      <c r="K883" s="8" t="s">
        <v>3183</v>
      </c>
      <c r="L883" s="10" t="s">
        <v>3254</v>
      </c>
      <c r="M883" s="10" t="s">
        <v>3945</v>
      </c>
      <c r="N883" s="10" t="s">
        <v>3946</v>
      </c>
      <c r="O883" s="8" t="s">
        <v>322</v>
      </c>
      <c r="P883" s="8"/>
      <c r="Q883" s="8"/>
      <c r="R883" s="8">
        <v>67535</v>
      </c>
      <c r="S883" s="8"/>
      <c r="T883" s="8"/>
      <c r="U883" s="8" t="s">
        <v>332</v>
      </c>
      <c r="V883" s="8"/>
      <c r="W883" s="8"/>
      <c r="X883" s="8"/>
      <c r="Y883" s="8"/>
      <c r="Z883" s="10" t="s">
        <v>111</v>
      </c>
      <c r="AA883" s="8" t="s">
        <v>332</v>
      </c>
      <c r="AB883" s="8">
        <v>1</v>
      </c>
    </row>
    <row r="884" spans="1:28" ht="21.6" customHeight="1">
      <c r="A884" s="8">
        <v>158</v>
      </c>
      <c r="B884" s="8">
        <v>2025082783</v>
      </c>
      <c r="C884" s="8">
        <v>1</v>
      </c>
      <c r="D884" s="8" t="s">
        <v>3177</v>
      </c>
      <c r="E884" s="8" t="s">
        <v>118</v>
      </c>
      <c r="F884" s="8" t="s">
        <v>4383</v>
      </c>
      <c r="G884" s="8" t="s">
        <v>3350</v>
      </c>
      <c r="H884" s="8" t="s">
        <v>3280</v>
      </c>
      <c r="I884" s="8" t="s">
        <v>3413</v>
      </c>
      <c r="J884" s="8" t="s">
        <v>3253</v>
      </c>
      <c r="K884" s="8" t="s">
        <v>3183</v>
      </c>
      <c r="L884" s="10" t="s">
        <v>3414</v>
      </c>
      <c r="M884" s="10" t="s">
        <v>3415</v>
      </c>
      <c r="N884" s="10"/>
      <c r="O884" s="8" t="s">
        <v>322</v>
      </c>
      <c r="P884" s="8"/>
      <c r="Q884" s="8"/>
      <c r="R884" s="8">
        <v>96600</v>
      </c>
      <c r="S884" s="8"/>
      <c r="T884" s="8"/>
      <c r="U884" s="8" t="s">
        <v>332</v>
      </c>
      <c r="V884" s="8"/>
      <c r="W884" s="8"/>
      <c r="X884" s="8"/>
      <c r="Y884" s="8"/>
      <c r="Z884" s="10" t="s">
        <v>3362</v>
      </c>
      <c r="AA884" s="8" t="s">
        <v>332</v>
      </c>
      <c r="AB884" s="8">
        <v>1</v>
      </c>
    </row>
    <row r="885" spans="1:28" ht="21.6" customHeight="1">
      <c r="A885" s="8">
        <v>238</v>
      </c>
      <c r="B885" s="8">
        <v>2025082786</v>
      </c>
      <c r="C885" s="8">
        <v>1</v>
      </c>
      <c r="D885" s="8" t="s">
        <v>3177</v>
      </c>
      <c r="E885" s="8" t="s">
        <v>118</v>
      </c>
      <c r="F885" s="8" t="s">
        <v>4383</v>
      </c>
      <c r="G885" s="8" t="s">
        <v>4136</v>
      </c>
      <c r="H885" s="8" t="s">
        <v>3982</v>
      </c>
      <c r="I885" s="8" t="s">
        <v>3741</v>
      </c>
      <c r="J885" s="8" t="s">
        <v>3543</v>
      </c>
      <c r="K885" s="8" t="s">
        <v>3183</v>
      </c>
      <c r="L885" s="10" t="s">
        <v>3254</v>
      </c>
      <c r="M885" s="10" t="s">
        <v>3742</v>
      </c>
      <c r="N885" s="10" t="s">
        <v>3743</v>
      </c>
      <c r="O885" s="8" t="s">
        <v>322</v>
      </c>
      <c r="P885" s="8"/>
      <c r="Q885" s="8"/>
      <c r="R885" s="8">
        <v>70398</v>
      </c>
      <c r="S885" s="8"/>
      <c r="T885" s="8"/>
      <c r="U885" s="8" t="s">
        <v>332</v>
      </c>
      <c r="V885" s="8"/>
      <c r="W885" s="8"/>
      <c r="X885" s="8"/>
      <c r="Y885" s="8"/>
      <c r="Z885" s="10" t="s">
        <v>3362</v>
      </c>
      <c r="AA885" s="8" t="s">
        <v>332</v>
      </c>
      <c r="AB885" s="8">
        <v>1</v>
      </c>
    </row>
    <row r="886" spans="1:28" ht="21.6" customHeight="1">
      <c r="A886" s="8">
        <v>249</v>
      </c>
      <c r="B886" s="8">
        <v>2025082785</v>
      </c>
      <c r="C886" s="8">
        <v>1</v>
      </c>
      <c r="D886" s="8" t="s">
        <v>3177</v>
      </c>
      <c r="E886" s="8" t="s">
        <v>118</v>
      </c>
      <c r="F886" s="8" t="s">
        <v>4383</v>
      </c>
      <c r="G886" s="8" t="s">
        <v>3280</v>
      </c>
      <c r="H886" s="8" t="s">
        <v>4136</v>
      </c>
      <c r="I886" s="8" t="s">
        <v>3752</v>
      </c>
      <c r="J886" s="8" t="s">
        <v>3543</v>
      </c>
      <c r="K886" s="8" t="s">
        <v>3183</v>
      </c>
      <c r="L886" s="10" t="s">
        <v>3254</v>
      </c>
      <c r="M886" s="10" t="s">
        <v>3547</v>
      </c>
      <c r="N886" s="10" t="s">
        <v>3753</v>
      </c>
      <c r="O886" s="8" t="s">
        <v>322</v>
      </c>
      <c r="P886" s="8"/>
      <c r="Q886" s="8"/>
      <c r="R886" s="8">
        <v>293801</v>
      </c>
      <c r="S886" s="8"/>
      <c r="T886" s="8"/>
      <c r="U886" s="8" t="s">
        <v>332</v>
      </c>
      <c r="V886" s="8"/>
      <c r="W886" s="8"/>
      <c r="X886" s="8"/>
      <c r="Y886" s="8"/>
      <c r="Z886" s="10" t="s">
        <v>3362</v>
      </c>
      <c r="AA886" s="8" t="s">
        <v>332</v>
      </c>
      <c r="AB886" s="8">
        <v>1</v>
      </c>
    </row>
    <row r="887" spans="1:28" ht="21.6" customHeight="1">
      <c r="A887" s="8">
        <v>15</v>
      </c>
      <c r="B887" s="8">
        <v>2025082415</v>
      </c>
      <c r="C887" s="8">
        <v>1</v>
      </c>
      <c r="D887" s="8" t="s">
        <v>3177</v>
      </c>
      <c r="E887" s="8" t="s">
        <v>123</v>
      </c>
      <c r="F887" s="8" t="s">
        <v>260</v>
      </c>
      <c r="G887" s="8" t="s">
        <v>4384</v>
      </c>
      <c r="H887" s="8" t="s">
        <v>3516</v>
      </c>
      <c r="I887" s="8" t="s">
        <v>4385</v>
      </c>
      <c r="J887" s="8" t="s">
        <v>4386</v>
      </c>
      <c r="K887" s="8" t="s">
        <v>3183</v>
      </c>
      <c r="L887" s="10" t="s">
        <v>3629</v>
      </c>
      <c r="M887" s="10" t="s">
        <v>4387</v>
      </c>
      <c r="N887" s="10"/>
      <c r="O887" s="8" t="s">
        <v>3190</v>
      </c>
      <c r="P887" s="8"/>
      <c r="Q887" s="8"/>
      <c r="R887" s="8">
        <v>29168</v>
      </c>
      <c r="S887" s="8"/>
      <c r="T887" s="8"/>
      <c r="U887" s="8"/>
      <c r="V887" s="8"/>
      <c r="W887" s="8"/>
      <c r="X887" s="8"/>
      <c r="Y887" s="8"/>
      <c r="Z887" s="10" t="s">
        <v>3186</v>
      </c>
      <c r="AA887" s="8" t="s">
        <v>332</v>
      </c>
      <c r="AB887" s="8">
        <v>1</v>
      </c>
    </row>
    <row r="888" spans="1:28" ht="21.6" customHeight="1">
      <c r="A888" s="8">
        <v>45</v>
      </c>
      <c r="B888" s="8">
        <v>2025082368</v>
      </c>
      <c r="C888" s="8">
        <v>1</v>
      </c>
      <c r="D888" s="8" t="s">
        <v>3177</v>
      </c>
      <c r="E888" s="8" t="s">
        <v>123</v>
      </c>
      <c r="F888" s="8" t="s">
        <v>260</v>
      </c>
      <c r="G888" s="8" t="s">
        <v>3671</v>
      </c>
      <c r="H888" s="8" t="s">
        <v>3903</v>
      </c>
      <c r="I888" s="8" t="s">
        <v>3807</v>
      </c>
      <c r="J888" s="8" t="s">
        <v>3808</v>
      </c>
      <c r="K888" s="8" t="s">
        <v>3183</v>
      </c>
      <c r="L888" s="10" t="s">
        <v>3333</v>
      </c>
      <c r="M888" s="10" t="s">
        <v>3334</v>
      </c>
      <c r="N888" s="10"/>
      <c r="O888" s="8" t="s">
        <v>3190</v>
      </c>
      <c r="P888" s="8"/>
      <c r="Q888" s="8"/>
      <c r="R888" s="8">
        <v>32618</v>
      </c>
      <c r="S888" s="8"/>
      <c r="T888" s="8"/>
      <c r="U888" s="8"/>
      <c r="V888" s="8"/>
      <c r="W888" s="8"/>
      <c r="X888" s="8"/>
      <c r="Y888" s="8"/>
      <c r="Z888" s="10" t="s">
        <v>3186</v>
      </c>
      <c r="AA888" s="8" t="s">
        <v>332</v>
      </c>
      <c r="AB888" s="8">
        <v>1</v>
      </c>
    </row>
    <row r="889" spans="1:28" ht="21.6" customHeight="1">
      <c r="A889" s="8">
        <v>130</v>
      </c>
      <c r="B889" s="8">
        <v>2025082544</v>
      </c>
      <c r="C889" s="8">
        <v>1</v>
      </c>
      <c r="D889" s="8" t="s">
        <v>3177</v>
      </c>
      <c r="E889" s="8" t="s">
        <v>118</v>
      </c>
      <c r="F889" s="8" t="s">
        <v>257</v>
      </c>
      <c r="G889" s="8" t="s">
        <v>4031</v>
      </c>
      <c r="H889" s="8" t="s">
        <v>3311</v>
      </c>
      <c r="I889" s="8" t="s">
        <v>3376</v>
      </c>
      <c r="J889" s="8" t="s">
        <v>3195</v>
      </c>
      <c r="K889" s="8" t="s">
        <v>3183</v>
      </c>
      <c r="L889" s="10" t="s">
        <v>3377</v>
      </c>
      <c r="M889" s="10" t="s">
        <v>3378</v>
      </c>
      <c r="N889" s="10" t="s">
        <v>3379</v>
      </c>
      <c r="O889" s="8" t="s">
        <v>3190</v>
      </c>
      <c r="P889" s="8"/>
      <c r="Q889" s="8">
        <v>36375</v>
      </c>
      <c r="R889" s="8">
        <v>85576</v>
      </c>
      <c r="S889" s="8"/>
      <c r="T889" s="8"/>
      <c r="U889" s="8"/>
      <c r="V889" s="8"/>
      <c r="W889" s="8"/>
      <c r="X889" s="8"/>
      <c r="Y889" s="8"/>
      <c r="Z889" s="10" t="s">
        <v>111</v>
      </c>
      <c r="AA889" s="8" t="s">
        <v>332</v>
      </c>
      <c r="AB889" s="8">
        <v>1</v>
      </c>
    </row>
    <row r="890" spans="1:28" ht="21.6" customHeight="1">
      <c r="A890" s="8">
        <v>153</v>
      </c>
      <c r="B890" s="8">
        <v>2025082852</v>
      </c>
      <c r="C890" s="8">
        <v>1</v>
      </c>
      <c r="D890" s="8" t="s">
        <v>3177</v>
      </c>
      <c r="E890" s="8" t="s">
        <v>118</v>
      </c>
      <c r="F890" s="8" t="s">
        <v>4383</v>
      </c>
      <c r="G890" s="8" t="s">
        <v>3386</v>
      </c>
      <c r="H890" s="8" t="s">
        <v>3848</v>
      </c>
      <c r="I890" s="8" t="s">
        <v>3944</v>
      </c>
      <c r="J890" s="8" t="s">
        <v>3253</v>
      </c>
      <c r="K890" s="8" t="s">
        <v>3183</v>
      </c>
      <c r="L890" s="10" t="s">
        <v>3254</v>
      </c>
      <c r="M890" s="10" t="s">
        <v>3945</v>
      </c>
      <c r="N890" s="10" t="s">
        <v>3946</v>
      </c>
      <c r="O890" s="8" t="s">
        <v>322</v>
      </c>
      <c r="P890" s="8"/>
      <c r="Q890" s="8"/>
      <c r="R890" s="8">
        <v>67535</v>
      </c>
      <c r="S890" s="8"/>
      <c r="T890" s="8"/>
      <c r="U890" s="8" t="s">
        <v>332</v>
      </c>
      <c r="V890" s="8"/>
      <c r="W890" s="8"/>
      <c r="X890" s="8"/>
      <c r="Y890" s="8"/>
      <c r="Z890" s="10" t="s">
        <v>3362</v>
      </c>
      <c r="AA890" s="8" t="s">
        <v>332</v>
      </c>
      <c r="AB890" s="8">
        <v>1</v>
      </c>
    </row>
    <row r="891" spans="1:28" ht="21.6" customHeight="1">
      <c r="A891" s="8">
        <v>243</v>
      </c>
      <c r="B891" s="8">
        <v>2025082841</v>
      </c>
      <c r="C891" s="8">
        <v>1</v>
      </c>
      <c r="D891" s="8" t="s">
        <v>3177</v>
      </c>
      <c r="E891" s="8" t="s">
        <v>118</v>
      </c>
      <c r="F891" s="8" t="s">
        <v>4383</v>
      </c>
      <c r="G891" s="8" t="s">
        <v>3204</v>
      </c>
      <c r="H891" s="8" t="s">
        <v>3498</v>
      </c>
      <c r="I891" s="8" t="s">
        <v>3741</v>
      </c>
      <c r="J891" s="8" t="s">
        <v>3543</v>
      </c>
      <c r="K891" s="8" t="s">
        <v>3183</v>
      </c>
      <c r="L891" s="10" t="s">
        <v>3254</v>
      </c>
      <c r="M891" s="10" t="s">
        <v>3742</v>
      </c>
      <c r="N891" s="10" t="s">
        <v>3743</v>
      </c>
      <c r="O891" s="8" t="s">
        <v>363</v>
      </c>
      <c r="P891" s="8"/>
      <c r="Q891" s="8"/>
      <c r="R891" s="8">
        <v>70398</v>
      </c>
      <c r="S891" s="8"/>
      <c r="T891" s="8"/>
      <c r="U891" s="8"/>
      <c r="V891" s="8"/>
      <c r="W891" s="8"/>
      <c r="X891" s="8"/>
      <c r="Y891" s="8"/>
      <c r="Z891" s="10" t="s">
        <v>4388</v>
      </c>
      <c r="AA891" s="8" t="s">
        <v>332</v>
      </c>
      <c r="AB891" s="8">
        <v>1</v>
      </c>
    </row>
    <row r="892" spans="1:28" ht="21.6" customHeight="1">
      <c r="A892" s="8">
        <v>139</v>
      </c>
      <c r="B892" s="8">
        <v>2025082550</v>
      </c>
      <c r="C892" s="8">
        <v>1</v>
      </c>
      <c r="D892" s="8" t="s">
        <v>3177</v>
      </c>
      <c r="E892" s="8" t="s">
        <v>118</v>
      </c>
      <c r="F892" s="8" t="s">
        <v>257</v>
      </c>
      <c r="G892" s="8" t="s">
        <v>3329</v>
      </c>
      <c r="H892" s="8" t="s">
        <v>3654</v>
      </c>
      <c r="I892" s="8" t="s">
        <v>3675</v>
      </c>
      <c r="J892" s="8" t="s">
        <v>3195</v>
      </c>
      <c r="K892" s="8" t="s">
        <v>3183</v>
      </c>
      <c r="L892" s="10" t="s">
        <v>3377</v>
      </c>
      <c r="M892" s="10" t="s">
        <v>3676</v>
      </c>
      <c r="N892" s="10" t="s">
        <v>3677</v>
      </c>
      <c r="O892" s="8" t="s">
        <v>3190</v>
      </c>
      <c r="P892" s="8"/>
      <c r="Q892" s="8">
        <v>14225</v>
      </c>
      <c r="R892" s="8">
        <v>17666</v>
      </c>
      <c r="S892" s="8"/>
      <c r="T892" s="8"/>
      <c r="U892" s="8"/>
      <c r="V892" s="8"/>
      <c r="W892" s="8"/>
      <c r="X892" s="8"/>
      <c r="Y892" s="8"/>
      <c r="Z892" s="10" t="s">
        <v>111</v>
      </c>
      <c r="AA892" s="8" t="s">
        <v>332</v>
      </c>
      <c r="AB892" s="8">
        <v>1</v>
      </c>
    </row>
    <row r="893" spans="1:28" ht="21.6" customHeight="1">
      <c r="A893" s="8">
        <v>21</v>
      </c>
      <c r="B893" s="8">
        <v>2025082375</v>
      </c>
      <c r="C893" s="8">
        <v>1</v>
      </c>
      <c r="D893" s="8" t="s">
        <v>3177</v>
      </c>
      <c r="E893" s="8" t="s">
        <v>123</v>
      </c>
      <c r="F893" s="8" t="s">
        <v>260</v>
      </c>
      <c r="G893" s="8" t="s">
        <v>3342</v>
      </c>
      <c r="H893" s="8" t="s">
        <v>4109</v>
      </c>
      <c r="I893" s="8" t="s">
        <v>3263</v>
      </c>
      <c r="J893" s="8" t="s">
        <v>3253</v>
      </c>
      <c r="K893" s="8" t="s">
        <v>3183</v>
      </c>
      <c r="L893" s="10" t="s">
        <v>3264</v>
      </c>
      <c r="M893" s="10" t="s">
        <v>3265</v>
      </c>
      <c r="N893" s="10" t="s">
        <v>123</v>
      </c>
      <c r="O893" s="8" t="s">
        <v>3190</v>
      </c>
      <c r="P893" s="8"/>
      <c r="Q893" s="8"/>
      <c r="R893" s="8">
        <v>50673</v>
      </c>
      <c r="S893" s="8"/>
      <c r="T893" s="8"/>
      <c r="U893" s="8"/>
      <c r="V893" s="8"/>
      <c r="W893" s="8"/>
      <c r="X893" s="8"/>
      <c r="Y893" s="8"/>
      <c r="Z893" s="10" t="s">
        <v>3186</v>
      </c>
      <c r="AA893" s="8" t="s">
        <v>332</v>
      </c>
      <c r="AB893" s="8">
        <v>1</v>
      </c>
    </row>
    <row r="894" spans="1:28" ht="21.6" customHeight="1">
      <c r="A894" s="8">
        <v>143</v>
      </c>
      <c r="B894" s="8">
        <v>2025082553</v>
      </c>
      <c r="C894" s="8">
        <v>1</v>
      </c>
      <c r="D894" s="8" t="s">
        <v>3177</v>
      </c>
      <c r="E894" s="8" t="s">
        <v>118</v>
      </c>
      <c r="F894" s="8" t="s">
        <v>257</v>
      </c>
      <c r="G894" s="8" t="s">
        <v>3654</v>
      </c>
      <c r="H894" s="8" t="s">
        <v>3386</v>
      </c>
      <c r="I894" s="8" t="s">
        <v>3680</v>
      </c>
      <c r="J894" s="8" t="s">
        <v>3195</v>
      </c>
      <c r="K894" s="8" t="s">
        <v>3183</v>
      </c>
      <c r="L894" s="10" t="s">
        <v>3377</v>
      </c>
      <c r="M894" s="10" t="s">
        <v>3681</v>
      </c>
      <c r="N894" s="10" t="s">
        <v>3682</v>
      </c>
      <c r="O894" s="8" t="s">
        <v>3190</v>
      </c>
      <c r="P894" s="8"/>
      <c r="Q894" s="8">
        <v>2054</v>
      </c>
      <c r="R894" s="8">
        <v>29923</v>
      </c>
      <c r="S894" s="8"/>
      <c r="T894" s="8"/>
      <c r="U894" s="8"/>
      <c r="V894" s="8"/>
      <c r="W894" s="8"/>
      <c r="X894" s="8"/>
      <c r="Y894" s="8"/>
      <c r="Z894" s="10" t="s">
        <v>111</v>
      </c>
      <c r="AA894" s="8" t="s">
        <v>332</v>
      </c>
      <c r="AB894" s="8">
        <v>1</v>
      </c>
    </row>
    <row r="895" spans="1:28" ht="21.6" customHeight="1">
      <c r="A895" s="8">
        <v>167</v>
      </c>
      <c r="B895" s="8">
        <v>2025083070</v>
      </c>
      <c r="C895" s="8">
        <v>1</v>
      </c>
      <c r="D895" s="8" t="s">
        <v>3177</v>
      </c>
      <c r="E895" s="8" t="s">
        <v>118</v>
      </c>
      <c r="F895" s="8" t="s">
        <v>253</v>
      </c>
      <c r="G895" s="8" t="s">
        <v>3386</v>
      </c>
      <c r="H895" s="8" t="s">
        <v>3387</v>
      </c>
      <c r="I895" s="8" t="s">
        <v>3408</v>
      </c>
      <c r="J895" s="8" t="s">
        <v>3253</v>
      </c>
      <c r="K895" s="8" t="s">
        <v>3183</v>
      </c>
      <c r="L895" s="10" t="s">
        <v>3409</v>
      </c>
      <c r="M895" s="10" t="s">
        <v>3410</v>
      </c>
      <c r="N895" s="10"/>
      <c r="O895" s="8" t="s">
        <v>322</v>
      </c>
      <c r="P895" s="8"/>
      <c r="Q895" s="8"/>
      <c r="R895" s="8">
        <v>326525</v>
      </c>
      <c r="S895" s="8" t="s">
        <v>332</v>
      </c>
      <c r="T895" s="8"/>
      <c r="U895" s="8"/>
      <c r="V895" s="8"/>
      <c r="W895" s="8"/>
      <c r="X895" s="8"/>
      <c r="Y895" s="8"/>
      <c r="Z895" s="10" t="s">
        <v>111</v>
      </c>
      <c r="AA895" s="8" t="s">
        <v>332</v>
      </c>
      <c r="AB895" s="8">
        <v>1</v>
      </c>
    </row>
    <row r="896" spans="1:28" ht="21.6" customHeight="1">
      <c r="A896" s="8">
        <v>196</v>
      </c>
      <c r="B896" s="8">
        <v>2025083072</v>
      </c>
      <c r="C896" s="8">
        <v>1</v>
      </c>
      <c r="D896" s="8" t="s">
        <v>3177</v>
      </c>
      <c r="E896" s="8" t="s">
        <v>118</v>
      </c>
      <c r="F896" s="8" t="s">
        <v>253</v>
      </c>
      <c r="G896" s="8" t="s">
        <v>3387</v>
      </c>
      <c r="H896" s="8" t="s">
        <v>3426</v>
      </c>
      <c r="I896" s="8" t="s">
        <v>3470</v>
      </c>
      <c r="J896" s="8" t="s">
        <v>3471</v>
      </c>
      <c r="K896" s="8" t="s">
        <v>3183</v>
      </c>
      <c r="L896" s="10" t="s">
        <v>3472</v>
      </c>
      <c r="M896" s="10" t="s">
        <v>3410</v>
      </c>
      <c r="N896" s="10" t="s">
        <v>3442</v>
      </c>
      <c r="O896" s="8" t="s">
        <v>322</v>
      </c>
      <c r="P896" s="8"/>
      <c r="Q896" s="8"/>
      <c r="R896" s="8">
        <v>74136</v>
      </c>
      <c r="S896" s="8" t="s">
        <v>332</v>
      </c>
      <c r="T896" s="8"/>
      <c r="U896" s="8"/>
      <c r="V896" s="8"/>
      <c r="W896" s="8"/>
      <c r="X896" s="8"/>
      <c r="Y896" s="8"/>
      <c r="Z896" s="10" t="s">
        <v>111</v>
      </c>
      <c r="AA896" s="8" t="s">
        <v>332</v>
      </c>
      <c r="AB896" s="8">
        <v>1</v>
      </c>
    </row>
    <row r="897" spans="1:28" ht="21.6" customHeight="1">
      <c r="A897" s="8">
        <v>250</v>
      </c>
      <c r="B897" s="8">
        <v>2025081133</v>
      </c>
      <c r="C897" s="8">
        <v>1</v>
      </c>
      <c r="D897" s="8" t="s">
        <v>3177</v>
      </c>
      <c r="E897" s="8" t="s">
        <v>118</v>
      </c>
      <c r="F897" s="8" t="s">
        <v>4343</v>
      </c>
      <c r="G897" s="8" t="s">
        <v>3280</v>
      </c>
      <c r="H897" s="8" t="s">
        <v>3363</v>
      </c>
      <c r="I897" s="8" t="s">
        <v>4093</v>
      </c>
      <c r="J897" s="8" t="s">
        <v>3543</v>
      </c>
      <c r="K897" s="8" t="s">
        <v>3183</v>
      </c>
      <c r="L897" s="10" t="s">
        <v>4094</v>
      </c>
      <c r="M897" s="10" t="s">
        <v>4095</v>
      </c>
      <c r="N897" s="10" t="s">
        <v>3424</v>
      </c>
      <c r="O897" s="8" t="s">
        <v>3190</v>
      </c>
      <c r="P897" s="8"/>
      <c r="Q897" s="8"/>
      <c r="R897" s="8">
        <v>38278</v>
      </c>
      <c r="S897" s="8"/>
      <c r="T897" s="8"/>
      <c r="U897" s="8"/>
      <c r="V897" s="8"/>
      <c r="W897" s="8"/>
      <c r="X897" s="8"/>
      <c r="Y897" s="8"/>
      <c r="Z897" s="10" t="s">
        <v>3821</v>
      </c>
      <c r="AA897" s="8" t="s">
        <v>332</v>
      </c>
      <c r="AB897" s="8">
        <v>1</v>
      </c>
    </row>
    <row r="898" spans="1:28" ht="21.6" customHeight="1">
      <c r="A898" s="8">
        <v>273</v>
      </c>
      <c r="B898" s="8">
        <v>2025083074</v>
      </c>
      <c r="C898" s="8">
        <v>1</v>
      </c>
      <c r="D898" s="8" t="s">
        <v>3177</v>
      </c>
      <c r="E898" s="8" t="s">
        <v>118</v>
      </c>
      <c r="F898" s="8" t="s">
        <v>253</v>
      </c>
      <c r="G898" s="8" t="s">
        <v>3426</v>
      </c>
      <c r="H898" s="8" t="s">
        <v>3431</v>
      </c>
      <c r="I898" s="8" t="s">
        <v>3572</v>
      </c>
      <c r="J898" s="8" t="s">
        <v>1717</v>
      </c>
      <c r="K898" s="8" t="s">
        <v>3183</v>
      </c>
      <c r="L898" s="10" t="s">
        <v>3472</v>
      </c>
      <c r="M898" s="10" t="s">
        <v>3410</v>
      </c>
      <c r="N898" s="10" t="s">
        <v>3442</v>
      </c>
      <c r="O898" s="8" t="s">
        <v>322</v>
      </c>
      <c r="P898" s="8"/>
      <c r="Q898" s="8"/>
      <c r="R898" s="8">
        <v>89191</v>
      </c>
      <c r="S898" s="8" t="s">
        <v>332</v>
      </c>
      <c r="T898" s="8"/>
      <c r="U898" s="8"/>
      <c r="V898" s="8"/>
      <c r="W898" s="8"/>
      <c r="X898" s="8"/>
      <c r="Y898" s="8"/>
      <c r="Z898" s="10" t="s">
        <v>111</v>
      </c>
      <c r="AA898" s="8" t="s">
        <v>332</v>
      </c>
      <c r="AB898" s="8">
        <v>1</v>
      </c>
    </row>
    <row r="899" spans="1:28" ht="21.6" customHeight="1">
      <c r="A899" s="8">
        <v>174</v>
      </c>
      <c r="B899" s="8">
        <v>2025083108</v>
      </c>
      <c r="C899" s="8">
        <v>1</v>
      </c>
      <c r="D899" s="8" t="s">
        <v>3177</v>
      </c>
      <c r="E899" s="8" t="s">
        <v>118</v>
      </c>
      <c r="F899" s="8" t="s">
        <v>248</v>
      </c>
      <c r="G899" s="8" t="s">
        <v>4350</v>
      </c>
      <c r="H899" s="8" t="s">
        <v>3638</v>
      </c>
      <c r="I899" s="8" t="s">
        <v>3413</v>
      </c>
      <c r="J899" s="8" t="s">
        <v>3253</v>
      </c>
      <c r="K899" s="8" t="s">
        <v>3183</v>
      </c>
      <c r="L899" s="10" t="s">
        <v>3414</v>
      </c>
      <c r="M899" s="10" t="s">
        <v>3415</v>
      </c>
      <c r="N899" s="10"/>
      <c r="O899" s="8" t="s">
        <v>322</v>
      </c>
      <c r="P899" s="8"/>
      <c r="Q899" s="8"/>
      <c r="R899" s="8">
        <v>100800</v>
      </c>
      <c r="S899" s="8" t="s">
        <v>332</v>
      </c>
      <c r="T899" s="8"/>
      <c r="U899" s="8"/>
      <c r="V899" s="8"/>
      <c r="W899" s="8"/>
      <c r="X899" s="8"/>
      <c r="Y899" s="8"/>
      <c r="Z899" s="10" t="s">
        <v>111</v>
      </c>
      <c r="AA899" s="8" t="s">
        <v>332</v>
      </c>
      <c r="AB899" s="8">
        <v>1</v>
      </c>
    </row>
    <row r="900" spans="1:28" ht="21.6" customHeight="1">
      <c r="A900" s="8">
        <v>188</v>
      </c>
      <c r="B900" s="8">
        <v>2025083107</v>
      </c>
      <c r="C900" s="8">
        <v>1</v>
      </c>
      <c r="D900" s="8" t="s">
        <v>3177</v>
      </c>
      <c r="E900" s="8" t="s">
        <v>118</v>
      </c>
      <c r="F900" s="8" t="s">
        <v>248</v>
      </c>
      <c r="G900" s="8" t="s">
        <v>3280</v>
      </c>
      <c r="H900" s="8" t="s">
        <v>3728</v>
      </c>
      <c r="I900" s="8" t="s">
        <v>3440</v>
      </c>
      <c r="J900" s="8" t="s">
        <v>3277</v>
      </c>
      <c r="K900" s="8" t="s">
        <v>3183</v>
      </c>
      <c r="L900" s="10" t="s">
        <v>3434</v>
      </c>
      <c r="M900" s="10" t="s">
        <v>3441</v>
      </c>
      <c r="N900" s="10" t="s">
        <v>3442</v>
      </c>
      <c r="O900" s="8" t="s">
        <v>363</v>
      </c>
      <c r="P900" s="8"/>
      <c r="Q900" s="8"/>
      <c r="R900" s="8">
        <v>131744</v>
      </c>
      <c r="S900" s="8"/>
      <c r="T900" s="8"/>
      <c r="U900" s="8"/>
      <c r="V900" s="8"/>
      <c r="W900" s="8"/>
      <c r="X900" s="8"/>
      <c r="Y900" s="8"/>
      <c r="Z900" s="10" t="s">
        <v>4264</v>
      </c>
      <c r="AA900" s="8" t="s">
        <v>332</v>
      </c>
      <c r="AB900" s="8">
        <v>1</v>
      </c>
    </row>
    <row r="901" spans="1:28" ht="21.6" customHeight="1">
      <c r="A901" s="8">
        <v>193</v>
      </c>
      <c r="B901" s="8">
        <v>2025082558</v>
      </c>
      <c r="C901" s="8">
        <v>1</v>
      </c>
      <c r="D901" s="8" t="s">
        <v>3177</v>
      </c>
      <c r="E901" s="8" t="s">
        <v>118</v>
      </c>
      <c r="F901" s="8" t="s">
        <v>257</v>
      </c>
      <c r="G901" s="8" t="s">
        <v>3386</v>
      </c>
      <c r="H901" s="8" t="s">
        <v>3848</v>
      </c>
      <c r="I901" s="8" t="s">
        <v>3457</v>
      </c>
      <c r="J901" s="8" t="s">
        <v>3277</v>
      </c>
      <c r="K901" s="8" t="s">
        <v>3183</v>
      </c>
      <c r="L901" s="10" t="s">
        <v>3377</v>
      </c>
      <c r="M901" s="10" t="s">
        <v>3458</v>
      </c>
      <c r="N901" s="10" t="s">
        <v>3459</v>
      </c>
      <c r="O901" s="8" t="s">
        <v>3190</v>
      </c>
      <c r="P901" s="8"/>
      <c r="Q901" s="8"/>
      <c r="R901" s="8">
        <v>37241</v>
      </c>
      <c r="S901" s="8"/>
      <c r="T901" s="8"/>
      <c r="U901" s="8"/>
      <c r="V901" s="8"/>
      <c r="W901" s="8"/>
      <c r="X901" s="8"/>
      <c r="Y901" s="8"/>
      <c r="Z901" s="10" t="s">
        <v>111</v>
      </c>
      <c r="AA901" s="8" t="s">
        <v>332</v>
      </c>
      <c r="AB901" s="8">
        <v>1</v>
      </c>
    </row>
    <row r="902" spans="1:28" ht="21.6" customHeight="1">
      <c r="A902" s="8">
        <v>19</v>
      </c>
      <c r="B902" s="8">
        <v>2025082401</v>
      </c>
      <c r="C902" s="8">
        <v>1</v>
      </c>
      <c r="D902" s="8" t="s">
        <v>3177</v>
      </c>
      <c r="E902" s="8" t="s">
        <v>123</v>
      </c>
      <c r="F902" s="8" t="s">
        <v>260</v>
      </c>
      <c r="G902" s="8" t="s">
        <v>4217</v>
      </c>
      <c r="H902" s="8" t="s">
        <v>3891</v>
      </c>
      <c r="I902" s="8" t="s">
        <v>3628</v>
      </c>
      <c r="J902" s="8" t="s">
        <v>3253</v>
      </c>
      <c r="K902" s="8" t="s">
        <v>3183</v>
      </c>
      <c r="L902" s="10" t="s">
        <v>3629</v>
      </c>
      <c r="M902" s="10" t="s">
        <v>3630</v>
      </c>
      <c r="N902" s="10" t="s">
        <v>123</v>
      </c>
      <c r="O902" s="8" t="s">
        <v>3190</v>
      </c>
      <c r="P902" s="8"/>
      <c r="Q902" s="8"/>
      <c r="R902" s="8">
        <v>78696</v>
      </c>
      <c r="S902" s="8"/>
      <c r="T902" s="8"/>
      <c r="U902" s="8"/>
      <c r="V902" s="8"/>
      <c r="W902" s="8"/>
      <c r="X902" s="8"/>
      <c r="Y902" s="8"/>
      <c r="Z902" s="10" t="s">
        <v>3186</v>
      </c>
      <c r="AA902" s="8" t="s">
        <v>332</v>
      </c>
      <c r="AB902" s="8">
        <v>1</v>
      </c>
    </row>
    <row r="903" spans="1:28" ht="21.6" customHeight="1">
      <c r="A903" s="8">
        <v>43</v>
      </c>
      <c r="B903" s="8">
        <v>2025082252</v>
      </c>
      <c r="C903" s="8">
        <v>1</v>
      </c>
      <c r="D903" s="8" t="s">
        <v>3177</v>
      </c>
      <c r="E903" s="8" t="s">
        <v>123</v>
      </c>
      <c r="F903" s="8" t="s">
        <v>262</v>
      </c>
      <c r="G903" s="8" t="s">
        <v>4372</v>
      </c>
      <c r="H903" s="8" t="s">
        <v>3179</v>
      </c>
      <c r="I903" s="8" t="s">
        <v>4230</v>
      </c>
      <c r="J903" s="8" t="s">
        <v>3328</v>
      </c>
      <c r="K903" s="8" t="s">
        <v>3183</v>
      </c>
      <c r="L903" s="10" t="s">
        <v>3314</v>
      </c>
      <c r="M903" s="10" t="s">
        <v>3315</v>
      </c>
      <c r="N903" s="10"/>
      <c r="O903" s="8" t="s">
        <v>3190</v>
      </c>
      <c r="P903" s="8"/>
      <c r="Q903" s="8">
        <v>1099</v>
      </c>
      <c r="R903" s="8">
        <v>2134</v>
      </c>
      <c r="S903" s="8"/>
      <c r="T903" s="8"/>
      <c r="U903" s="8"/>
      <c r="V903" s="8"/>
      <c r="W903" s="8"/>
      <c r="X903" s="8"/>
      <c r="Y903" s="8"/>
      <c r="Z903" s="10" t="s">
        <v>4373</v>
      </c>
      <c r="AA903" s="8" t="s">
        <v>332</v>
      </c>
      <c r="AB903" s="8">
        <v>1</v>
      </c>
    </row>
    <row r="904" spans="1:28" ht="21.6" customHeight="1">
      <c r="A904" s="8">
        <v>134</v>
      </c>
      <c r="B904" s="8">
        <v>2025083133</v>
      </c>
      <c r="C904" s="8">
        <v>1</v>
      </c>
      <c r="D904" s="8" t="s">
        <v>3177</v>
      </c>
      <c r="E904" s="8" t="s">
        <v>118</v>
      </c>
      <c r="F904" s="8" t="s">
        <v>248</v>
      </c>
      <c r="G904" s="8" t="s">
        <v>3401</v>
      </c>
      <c r="H904" s="8" t="s">
        <v>3267</v>
      </c>
      <c r="I904" s="8" t="s">
        <v>3351</v>
      </c>
      <c r="J904" s="8" t="s">
        <v>3195</v>
      </c>
      <c r="K904" s="8" t="s">
        <v>3183</v>
      </c>
      <c r="L904" s="10" t="s">
        <v>3352</v>
      </c>
      <c r="M904" s="10" t="s">
        <v>3353</v>
      </c>
      <c r="N904" s="10" t="s">
        <v>3667</v>
      </c>
      <c r="O904" s="8" t="s">
        <v>363</v>
      </c>
      <c r="P904" s="8"/>
      <c r="Q904" s="8">
        <v>10738</v>
      </c>
      <c r="R904" s="8">
        <v>73666</v>
      </c>
      <c r="S904" s="8"/>
      <c r="T904" s="8"/>
      <c r="U904" s="8"/>
      <c r="V904" s="8"/>
      <c r="W904" s="8"/>
      <c r="X904" s="8"/>
      <c r="Y904" s="8"/>
      <c r="Z904" s="10" t="s">
        <v>4389</v>
      </c>
      <c r="AA904" s="8" t="s">
        <v>332</v>
      </c>
      <c r="AB904" s="8">
        <v>1</v>
      </c>
    </row>
    <row r="905" spans="1:28" ht="21.6" customHeight="1">
      <c r="A905" s="8">
        <v>222</v>
      </c>
      <c r="B905" s="8">
        <v>2025082984</v>
      </c>
      <c r="C905" s="8">
        <v>1</v>
      </c>
      <c r="D905" s="8" t="s">
        <v>3177</v>
      </c>
      <c r="E905" s="8" t="s">
        <v>118</v>
      </c>
      <c r="F905" s="8" t="s">
        <v>253</v>
      </c>
      <c r="G905" s="8" t="s">
        <v>3401</v>
      </c>
      <c r="H905" s="8" t="s">
        <v>3357</v>
      </c>
      <c r="I905" s="8" t="s">
        <v>3487</v>
      </c>
      <c r="J905" s="8" t="s">
        <v>3288</v>
      </c>
      <c r="K905" s="8" t="s">
        <v>3183</v>
      </c>
      <c r="L905" s="10" t="s">
        <v>3488</v>
      </c>
      <c r="M905" s="10" t="s">
        <v>3489</v>
      </c>
      <c r="N905" s="10" t="s">
        <v>3490</v>
      </c>
      <c r="O905" s="8" t="s">
        <v>3190</v>
      </c>
      <c r="P905" s="8"/>
      <c r="Q905" s="8">
        <v>28146</v>
      </c>
      <c r="R905" s="8">
        <v>28590</v>
      </c>
      <c r="S905" s="8"/>
      <c r="T905" s="8"/>
      <c r="U905" s="8"/>
      <c r="V905" s="8"/>
      <c r="W905" s="8"/>
      <c r="X905" s="8"/>
      <c r="Y905" s="8"/>
      <c r="Z905" s="10" t="s">
        <v>3696</v>
      </c>
      <c r="AA905" s="8" t="s">
        <v>332</v>
      </c>
      <c r="AB905" s="8">
        <v>1</v>
      </c>
    </row>
    <row r="906" spans="1:28" ht="21.6" customHeight="1">
      <c r="A906" s="8">
        <v>29</v>
      </c>
      <c r="B906" s="8">
        <v>2025083293</v>
      </c>
      <c r="C906" s="8">
        <v>1</v>
      </c>
      <c r="D906" s="8" t="s">
        <v>3177</v>
      </c>
      <c r="E906" s="8" t="s">
        <v>123</v>
      </c>
      <c r="F906" s="8" t="s">
        <v>4390</v>
      </c>
      <c r="G906" s="8" t="s">
        <v>3897</v>
      </c>
      <c r="H906" s="8" t="s">
        <v>3785</v>
      </c>
      <c r="I906" s="8" t="s">
        <v>3908</v>
      </c>
      <c r="J906" s="8" t="s">
        <v>3253</v>
      </c>
      <c r="K906" s="8" t="s">
        <v>3183</v>
      </c>
      <c r="L906" s="10" t="s">
        <v>3629</v>
      </c>
      <c r="M906" s="10" t="s">
        <v>3909</v>
      </c>
      <c r="N906" s="10" t="s">
        <v>123</v>
      </c>
      <c r="O906" s="8" t="s">
        <v>322</v>
      </c>
      <c r="P906" s="8"/>
      <c r="Q906" s="8"/>
      <c r="R906" s="8">
        <v>33185</v>
      </c>
      <c r="S906" s="8"/>
      <c r="T906" s="8"/>
      <c r="U906" s="8"/>
      <c r="V906" s="8"/>
      <c r="W906" s="8"/>
      <c r="X906" s="8"/>
      <c r="Y906" s="8" t="s">
        <v>332</v>
      </c>
      <c r="Z906" s="10" t="s">
        <v>4391</v>
      </c>
      <c r="AA906" s="8" t="s">
        <v>332</v>
      </c>
      <c r="AB906" s="8">
        <v>1</v>
      </c>
    </row>
    <row r="907" spans="1:28" ht="21.6" customHeight="1">
      <c r="A907" s="8">
        <v>182</v>
      </c>
      <c r="B907" s="8">
        <v>2025083257</v>
      </c>
      <c r="C907" s="8">
        <v>1</v>
      </c>
      <c r="D907" s="8" t="s">
        <v>3177</v>
      </c>
      <c r="E907" s="8" t="s">
        <v>118</v>
      </c>
      <c r="F907" s="8" t="s">
        <v>4390</v>
      </c>
      <c r="G907" s="8" t="s">
        <v>3280</v>
      </c>
      <c r="H907" s="8" t="s">
        <v>3556</v>
      </c>
      <c r="I907" s="8" t="s">
        <v>3413</v>
      </c>
      <c r="J907" s="8" t="s">
        <v>3253</v>
      </c>
      <c r="K907" s="8" t="s">
        <v>3183</v>
      </c>
      <c r="L907" s="10" t="s">
        <v>3414</v>
      </c>
      <c r="M907" s="10" t="s">
        <v>3415</v>
      </c>
      <c r="N907" s="10"/>
      <c r="O907" s="8" t="s">
        <v>322</v>
      </c>
      <c r="P907" s="8"/>
      <c r="Q907" s="8"/>
      <c r="R907" s="8">
        <v>100800</v>
      </c>
      <c r="S907" s="8"/>
      <c r="T907" s="8"/>
      <c r="U907" s="8"/>
      <c r="V907" s="8"/>
      <c r="W907" s="8"/>
      <c r="X907" s="8"/>
      <c r="Y907" s="8" t="s">
        <v>332</v>
      </c>
      <c r="Z907" s="10" t="s">
        <v>4392</v>
      </c>
      <c r="AA907" s="8" t="s">
        <v>332</v>
      </c>
      <c r="AB907" s="8">
        <v>1</v>
      </c>
    </row>
    <row r="908" spans="1:28" ht="21.6" customHeight="1">
      <c r="A908" s="8">
        <v>229</v>
      </c>
      <c r="B908" s="8">
        <v>2025082541</v>
      </c>
      <c r="C908" s="8">
        <v>1</v>
      </c>
      <c r="D908" s="8" t="s">
        <v>3177</v>
      </c>
      <c r="E908" s="8" t="s">
        <v>118</v>
      </c>
      <c r="F908" s="8" t="s">
        <v>257</v>
      </c>
      <c r="G908" s="8" t="s">
        <v>3368</v>
      </c>
      <c r="H908" s="8" t="s">
        <v>4031</v>
      </c>
      <c r="I908" s="8" t="s">
        <v>3492</v>
      </c>
      <c r="J908" s="8" t="s">
        <v>3288</v>
      </c>
      <c r="K908" s="8" t="s">
        <v>3183</v>
      </c>
      <c r="L908" s="10" t="s">
        <v>3377</v>
      </c>
      <c r="M908" s="10" t="s">
        <v>3493</v>
      </c>
      <c r="N908" s="10" t="s">
        <v>3494</v>
      </c>
      <c r="O908" s="8" t="s">
        <v>3190</v>
      </c>
      <c r="P908" s="8"/>
      <c r="Q908" s="8">
        <v>1034</v>
      </c>
      <c r="R908" s="8">
        <v>12564</v>
      </c>
      <c r="S908" s="8"/>
      <c r="T908" s="8"/>
      <c r="U908" s="8"/>
      <c r="V908" s="8"/>
      <c r="W908" s="8"/>
      <c r="X908" s="8"/>
      <c r="Y908" s="8"/>
      <c r="Z908" s="10" t="s">
        <v>111</v>
      </c>
      <c r="AA908" s="8" t="s">
        <v>332</v>
      </c>
      <c r="AB908" s="8">
        <v>1</v>
      </c>
    </row>
    <row r="909" spans="1:28" ht="21.6" customHeight="1">
      <c r="A909" s="8">
        <v>288</v>
      </c>
      <c r="B909" s="8">
        <v>2025083294</v>
      </c>
      <c r="C909" s="8">
        <v>1</v>
      </c>
      <c r="D909" s="8" t="s">
        <v>3177</v>
      </c>
      <c r="E909" s="8" t="s">
        <v>118</v>
      </c>
      <c r="F909" s="8" t="s">
        <v>4390</v>
      </c>
      <c r="G909" s="8" t="s">
        <v>4113</v>
      </c>
      <c r="H909" s="8" t="s">
        <v>4127</v>
      </c>
      <c r="I909" s="8" t="s">
        <v>3572</v>
      </c>
      <c r="J909" s="8" t="s">
        <v>1717</v>
      </c>
      <c r="K909" s="8" t="s">
        <v>3183</v>
      </c>
      <c r="L909" s="10" t="s">
        <v>3472</v>
      </c>
      <c r="M909" s="10" t="s">
        <v>3410</v>
      </c>
      <c r="N909" s="10" t="s">
        <v>3442</v>
      </c>
      <c r="O909" s="8" t="s">
        <v>363</v>
      </c>
      <c r="P909" s="8"/>
      <c r="Q909" s="8"/>
      <c r="R909" s="8">
        <v>89191</v>
      </c>
      <c r="S909" s="8"/>
      <c r="T909" s="8"/>
      <c r="U909" s="8"/>
      <c r="V909" s="8"/>
      <c r="W909" s="8"/>
      <c r="X909" s="8"/>
      <c r="Y909" s="8"/>
      <c r="Z909" s="10" t="s">
        <v>4393</v>
      </c>
      <c r="AA909" s="8" t="s">
        <v>332</v>
      </c>
      <c r="AB909" s="8">
        <v>1</v>
      </c>
    </row>
    <row r="910" spans="1:28" ht="21.6" customHeight="1">
      <c r="A910" s="8">
        <v>295</v>
      </c>
      <c r="B910" s="8">
        <v>2025081107</v>
      </c>
      <c r="C910" s="8">
        <v>1</v>
      </c>
      <c r="D910" s="8" t="s">
        <v>3177</v>
      </c>
      <c r="E910" s="8" t="s">
        <v>118</v>
      </c>
      <c r="F910" s="8" t="s">
        <v>4338</v>
      </c>
      <c r="G910" s="8" t="s">
        <v>4077</v>
      </c>
      <c r="H910" s="8" t="s">
        <v>4346</v>
      </c>
      <c r="I910" s="8" t="s">
        <v>3573</v>
      </c>
      <c r="J910" s="8" t="s">
        <v>3574</v>
      </c>
      <c r="K910" s="8" t="s">
        <v>3183</v>
      </c>
      <c r="L910" s="10" t="s">
        <v>3398</v>
      </c>
      <c r="M910" s="10" t="s">
        <v>3575</v>
      </c>
      <c r="N910" s="10" t="s">
        <v>3576</v>
      </c>
      <c r="O910" s="8" t="s">
        <v>3190</v>
      </c>
      <c r="P910" s="8"/>
      <c r="Q910" s="8"/>
      <c r="R910" s="8">
        <v>25326</v>
      </c>
      <c r="S910" s="8"/>
      <c r="T910" s="8"/>
      <c r="U910" s="8"/>
      <c r="V910" s="8"/>
      <c r="W910" s="8"/>
      <c r="X910" s="8"/>
      <c r="Y910" s="8"/>
      <c r="Z910" s="10" t="s">
        <v>3821</v>
      </c>
      <c r="AA910" s="8" t="s">
        <v>332</v>
      </c>
      <c r="AB910" s="8">
        <v>1</v>
      </c>
    </row>
    <row r="911" spans="1:28" ht="21.6" customHeight="1">
      <c r="A911" s="8">
        <v>186</v>
      </c>
      <c r="B911" s="8">
        <v>2025083326</v>
      </c>
      <c r="C911" s="8">
        <v>1</v>
      </c>
      <c r="D911" s="8" t="s">
        <v>3177</v>
      </c>
      <c r="E911" s="8" t="s">
        <v>118</v>
      </c>
      <c r="F911" s="8" t="s">
        <v>4390</v>
      </c>
      <c r="G911" s="8" t="s">
        <v>3368</v>
      </c>
      <c r="H911" s="8" t="s">
        <v>3251</v>
      </c>
      <c r="I911" s="8" t="s">
        <v>3408</v>
      </c>
      <c r="J911" s="8" t="s">
        <v>3253</v>
      </c>
      <c r="K911" s="8" t="s">
        <v>3183</v>
      </c>
      <c r="L911" s="10" t="s">
        <v>3409</v>
      </c>
      <c r="M911" s="10" t="s">
        <v>3410</v>
      </c>
      <c r="N911" s="10"/>
      <c r="O911" s="8" t="s">
        <v>363</v>
      </c>
      <c r="P911" s="8"/>
      <c r="Q911" s="8"/>
      <c r="R911" s="8">
        <v>326875</v>
      </c>
      <c r="S911" s="8"/>
      <c r="T911" s="8"/>
      <c r="U911" s="8"/>
      <c r="V911" s="8"/>
      <c r="W911" s="8"/>
      <c r="X911" s="8"/>
      <c r="Y911" s="8"/>
      <c r="Z911" s="10" t="s">
        <v>4394</v>
      </c>
      <c r="AA911" s="8" t="s">
        <v>332</v>
      </c>
      <c r="AB911" s="8">
        <v>1</v>
      </c>
    </row>
    <row r="912" spans="1:28" ht="21.6" customHeight="1">
      <c r="A912" s="8">
        <v>187</v>
      </c>
      <c r="B912" s="8">
        <v>2025083362</v>
      </c>
      <c r="C912" s="8">
        <v>1</v>
      </c>
      <c r="D912" s="8" t="s">
        <v>3177</v>
      </c>
      <c r="E912" s="8" t="s">
        <v>118</v>
      </c>
      <c r="F912" s="8" t="s">
        <v>4390</v>
      </c>
      <c r="G912" s="8" t="s">
        <v>3387</v>
      </c>
      <c r="H912" s="8" t="s">
        <v>4395</v>
      </c>
      <c r="I912" s="8" t="s">
        <v>3408</v>
      </c>
      <c r="J912" s="8" t="s">
        <v>3253</v>
      </c>
      <c r="K912" s="8" t="s">
        <v>3183</v>
      </c>
      <c r="L912" s="10" t="s">
        <v>3409</v>
      </c>
      <c r="M912" s="10" t="s">
        <v>3410</v>
      </c>
      <c r="N912" s="10"/>
      <c r="O912" s="8" t="s">
        <v>322</v>
      </c>
      <c r="P912" s="8"/>
      <c r="Q912" s="8"/>
      <c r="R912" s="8">
        <v>326525</v>
      </c>
      <c r="S912" s="8"/>
      <c r="T912" s="8"/>
      <c r="U912" s="8"/>
      <c r="V912" s="8"/>
      <c r="W912" s="8"/>
      <c r="X912" s="8"/>
      <c r="Y912" s="8" t="s">
        <v>332</v>
      </c>
      <c r="Z912" s="10" t="s">
        <v>4396</v>
      </c>
      <c r="AA912" s="8" t="s">
        <v>332</v>
      </c>
      <c r="AB912" s="8">
        <v>1</v>
      </c>
    </row>
    <row r="913" spans="1:28" ht="21.6" customHeight="1">
      <c r="A913" s="8">
        <v>237</v>
      </c>
      <c r="B913" s="8">
        <v>2025082379</v>
      </c>
      <c r="C913" s="8">
        <v>1</v>
      </c>
      <c r="D913" s="8" t="s">
        <v>3177</v>
      </c>
      <c r="E913" s="8" t="s">
        <v>118</v>
      </c>
      <c r="F913" s="8" t="s">
        <v>260</v>
      </c>
      <c r="G913" s="8" t="s">
        <v>3280</v>
      </c>
      <c r="H913" s="8" t="s">
        <v>3363</v>
      </c>
      <c r="I913" s="8" t="s">
        <v>4397</v>
      </c>
      <c r="J913" s="8" t="s">
        <v>3288</v>
      </c>
      <c r="K913" s="8" t="s">
        <v>3183</v>
      </c>
      <c r="L913" s="10" t="s">
        <v>3254</v>
      </c>
      <c r="M913" s="10" t="s">
        <v>3734</v>
      </c>
      <c r="N913" s="10" t="s">
        <v>3735</v>
      </c>
      <c r="O913" s="8" t="s">
        <v>3190</v>
      </c>
      <c r="P913" s="8"/>
      <c r="Q913" s="8">
        <v>1872</v>
      </c>
      <c r="R913" s="8">
        <v>120379</v>
      </c>
      <c r="S913" s="8"/>
      <c r="T913" s="8"/>
      <c r="U913" s="8"/>
      <c r="V913" s="8"/>
      <c r="W913" s="8"/>
      <c r="X913" s="8"/>
      <c r="Y913" s="8"/>
      <c r="Z913" s="10" t="s">
        <v>3696</v>
      </c>
      <c r="AA913" s="8" t="s">
        <v>332</v>
      </c>
      <c r="AB913" s="8">
        <v>1</v>
      </c>
    </row>
    <row r="914" spans="1:28" ht="21.6" customHeight="1">
      <c r="A914" s="8">
        <v>287</v>
      </c>
      <c r="B914" s="8">
        <v>2025082354</v>
      </c>
      <c r="C914" s="8">
        <v>1</v>
      </c>
      <c r="D914" s="8" t="s">
        <v>3177</v>
      </c>
      <c r="E914" s="8" t="s">
        <v>118</v>
      </c>
      <c r="F914" s="8" t="s">
        <v>260</v>
      </c>
      <c r="G914" s="8" t="s">
        <v>3350</v>
      </c>
      <c r="H914" s="8" t="s">
        <v>3280</v>
      </c>
      <c r="I914" s="8" t="s">
        <v>3746</v>
      </c>
      <c r="J914" s="8" t="s">
        <v>3543</v>
      </c>
      <c r="K914" s="8" t="s">
        <v>3183</v>
      </c>
      <c r="L914" s="10" t="s">
        <v>3254</v>
      </c>
      <c r="M914" s="10" t="s">
        <v>3547</v>
      </c>
      <c r="N914" s="10" t="s">
        <v>3747</v>
      </c>
      <c r="O914" s="8" t="s">
        <v>3190</v>
      </c>
      <c r="P914" s="8"/>
      <c r="Q914" s="8"/>
      <c r="R914" s="8">
        <v>1166220</v>
      </c>
      <c r="S914" s="8"/>
      <c r="T914" s="8"/>
      <c r="U914" s="8"/>
      <c r="V914" s="8"/>
      <c r="W914" s="8"/>
      <c r="X914" s="8"/>
      <c r="Y914" s="8"/>
      <c r="Z914" s="10" t="s">
        <v>3696</v>
      </c>
      <c r="AA914" s="8" t="s">
        <v>332</v>
      </c>
      <c r="AB914" s="8">
        <v>1</v>
      </c>
    </row>
    <row r="915" spans="1:28" ht="21.6" customHeight="1">
      <c r="A915" s="8">
        <v>176</v>
      </c>
      <c r="B915" s="8">
        <v>2025080645</v>
      </c>
      <c r="C915" s="8">
        <v>1</v>
      </c>
      <c r="D915" s="8" t="s">
        <v>3177</v>
      </c>
      <c r="E915" s="8" t="s">
        <v>118</v>
      </c>
      <c r="F915" s="8" t="s">
        <v>4318</v>
      </c>
      <c r="G915" s="8" t="s">
        <v>3250</v>
      </c>
      <c r="H915" s="8" t="s">
        <v>3204</v>
      </c>
      <c r="I915" s="8" t="s">
        <v>4158</v>
      </c>
      <c r="J915" s="8" t="s">
        <v>3224</v>
      </c>
      <c r="K915" s="8" t="s">
        <v>3183</v>
      </c>
      <c r="L915" s="10" t="s">
        <v>3550</v>
      </c>
      <c r="M915" s="10" t="s">
        <v>4159</v>
      </c>
      <c r="N915" s="10" t="s">
        <v>3701</v>
      </c>
      <c r="O915" s="8" t="s">
        <v>3190</v>
      </c>
      <c r="P915" s="8"/>
      <c r="Q915" s="8">
        <v>338</v>
      </c>
      <c r="R915" s="8">
        <v>21935</v>
      </c>
      <c r="S915" s="8"/>
      <c r="T915" s="8"/>
      <c r="U915" s="8"/>
      <c r="V915" s="8"/>
      <c r="W915" s="8"/>
      <c r="X915" s="8"/>
      <c r="Y915" s="8"/>
      <c r="Z915" s="10" t="s">
        <v>3821</v>
      </c>
      <c r="AA915" s="8" t="s">
        <v>332</v>
      </c>
      <c r="AB915" s="8">
        <v>1</v>
      </c>
    </row>
    <row r="916" spans="1:28" ht="21.6" customHeight="1">
      <c r="A916" s="8">
        <v>236</v>
      </c>
      <c r="B916" s="8">
        <v>2025082548</v>
      </c>
      <c r="C916" s="8">
        <v>1</v>
      </c>
      <c r="D916" s="8" t="s">
        <v>3177</v>
      </c>
      <c r="E916" s="8" t="s">
        <v>118</v>
      </c>
      <c r="F916" s="8" t="s">
        <v>257</v>
      </c>
      <c r="G916" s="8" t="s">
        <v>3204</v>
      </c>
      <c r="H916" s="8" t="s">
        <v>3329</v>
      </c>
      <c r="I916" s="8" t="s">
        <v>3966</v>
      </c>
      <c r="J916" s="8" t="s">
        <v>3288</v>
      </c>
      <c r="K916" s="8" t="s">
        <v>3183</v>
      </c>
      <c r="L916" s="10" t="s">
        <v>3377</v>
      </c>
      <c r="M916" s="10" t="s">
        <v>3967</v>
      </c>
      <c r="N916" s="10" t="s">
        <v>3968</v>
      </c>
      <c r="O916" s="8" t="s">
        <v>3190</v>
      </c>
      <c r="P916" s="8"/>
      <c r="Q916" s="8">
        <v>15815</v>
      </c>
      <c r="R916" s="8">
        <v>21997</v>
      </c>
      <c r="S916" s="8"/>
      <c r="T916" s="8"/>
      <c r="U916" s="8"/>
      <c r="V916" s="8"/>
      <c r="W916" s="8"/>
      <c r="X916" s="8"/>
      <c r="Y916" s="8"/>
      <c r="Z916" s="10" t="s">
        <v>111</v>
      </c>
      <c r="AA916" s="8" t="s">
        <v>332</v>
      </c>
      <c r="AB916" s="8">
        <v>1</v>
      </c>
    </row>
    <row r="917" spans="1:28" ht="21.6" customHeight="1">
      <c r="A917" s="8">
        <v>32</v>
      </c>
      <c r="B917" s="8">
        <v>2025080649</v>
      </c>
      <c r="C917" s="8">
        <v>1</v>
      </c>
      <c r="D917" s="8" t="s">
        <v>3177</v>
      </c>
      <c r="E917" s="8" t="s">
        <v>123</v>
      </c>
      <c r="F917" s="8" t="s">
        <v>4318</v>
      </c>
      <c r="G917" s="8" t="s">
        <v>3644</v>
      </c>
      <c r="H917" s="8" t="s">
        <v>4319</v>
      </c>
      <c r="I917" s="8" t="s">
        <v>3282</v>
      </c>
      <c r="J917" s="8" t="s">
        <v>3277</v>
      </c>
      <c r="K917" s="8" t="s">
        <v>3183</v>
      </c>
      <c r="L917" s="10" t="s">
        <v>3283</v>
      </c>
      <c r="M917" s="10" t="s">
        <v>3284</v>
      </c>
      <c r="N917" s="10"/>
      <c r="O917" s="8" t="s">
        <v>3190</v>
      </c>
      <c r="P917" s="8"/>
      <c r="Q917" s="8"/>
      <c r="R917" s="8">
        <v>26400</v>
      </c>
      <c r="S917" s="8"/>
      <c r="T917" s="8"/>
      <c r="U917" s="8"/>
      <c r="V917" s="8"/>
      <c r="W917" s="8"/>
      <c r="X917" s="8"/>
      <c r="Y917" s="8"/>
      <c r="Z917" s="10" t="s">
        <v>4320</v>
      </c>
      <c r="AA917" s="8" t="s">
        <v>332</v>
      </c>
      <c r="AB917" s="8">
        <v>1</v>
      </c>
    </row>
    <row r="918" spans="1:28" ht="21.6" customHeight="1">
      <c r="A918" s="8">
        <v>273</v>
      </c>
      <c r="B918" s="8">
        <v>2025083497</v>
      </c>
      <c r="C918" s="8">
        <v>1</v>
      </c>
      <c r="D918" s="8" t="s">
        <v>3177</v>
      </c>
      <c r="E918" s="8" t="s">
        <v>118</v>
      </c>
      <c r="F918" s="8" t="s">
        <v>244</v>
      </c>
      <c r="G918" s="8" t="s">
        <v>3368</v>
      </c>
      <c r="H918" s="8" t="s">
        <v>3608</v>
      </c>
      <c r="I918" s="8" t="s">
        <v>3978</v>
      </c>
      <c r="J918" s="8" t="s">
        <v>3301</v>
      </c>
      <c r="K918" s="8" t="s">
        <v>3183</v>
      </c>
      <c r="L918" s="10" t="s">
        <v>3979</v>
      </c>
      <c r="M918" s="10" t="s">
        <v>3980</v>
      </c>
      <c r="N918" s="10" t="s">
        <v>3497</v>
      </c>
      <c r="O918" s="8" t="s">
        <v>322</v>
      </c>
      <c r="P918" s="8"/>
      <c r="Q918" s="8">
        <v>1205</v>
      </c>
      <c r="R918" s="8">
        <v>3849</v>
      </c>
      <c r="S918" s="8"/>
      <c r="T918" s="8" t="s">
        <v>332</v>
      </c>
      <c r="U918" s="8"/>
      <c r="V918" s="8"/>
      <c r="W918" s="8"/>
      <c r="X918" s="8"/>
      <c r="Y918" s="8" t="s">
        <v>332</v>
      </c>
      <c r="Z918" s="10" t="s">
        <v>4398</v>
      </c>
      <c r="AA918" s="8" t="s">
        <v>332</v>
      </c>
      <c r="AB918" s="8">
        <v>1</v>
      </c>
    </row>
    <row r="919" spans="1:28" ht="21.6" customHeight="1">
      <c r="A919" s="8">
        <v>297</v>
      </c>
      <c r="B919" s="8">
        <v>2025082271</v>
      </c>
      <c r="C919" s="8">
        <v>1</v>
      </c>
      <c r="D919" s="8" t="s">
        <v>3177</v>
      </c>
      <c r="E919" s="8" t="s">
        <v>118</v>
      </c>
      <c r="F919" s="8" t="s">
        <v>262</v>
      </c>
      <c r="G919" s="8" t="s">
        <v>3363</v>
      </c>
      <c r="H919" s="8" t="s">
        <v>3233</v>
      </c>
      <c r="I919" s="8" t="s">
        <v>3567</v>
      </c>
      <c r="J919" s="8" t="s">
        <v>1717</v>
      </c>
      <c r="K919" s="8" t="s">
        <v>3183</v>
      </c>
      <c r="L919" s="10" t="s">
        <v>3254</v>
      </c>
      <c r="M919" s="10" t="s">
        <v>3547</v>
      </c>
      <c r="N919" s="10" t="s">
        <v>3568</v>
      </c>
      <c r="O919" s="8" t="s">
        <v>3190</v>
      </c>
      <c r="P919" s="8"/>
      <c r="Q919" s="8"/>
      <c r="R919" s="8">
        <v>71783</v>
      </c>
      <c r="S919" s="8"/>
      <c r="T919" s="8"/>
      <c r="U919" s="8"/>
      <c r="V919" s="8"/>
      <c r="W919" s="8"/>
      <c r="X919" s="8"/>
      <c r="Y919" s="8"/>
      <c r="Z919" s="10" t="s">
        <v>3696</v>
      </c>
      <c r="AA919" s="8" t="s">
        <v>332</v>
      </c>
      <c r="AB919" s="8">
        <v>1</v>
      </c>
    </row>
    <row r="920" spans="1:28" ht="21.6" customHeight="1">
      <c r="A920" s="8">
        <v>168</v>
      </c>
      <c r="B920" s="8">
        <v>2025082546</v>
      </c>
      <c r="C920" s="8">
        <v>1</v>
      </c>
      <c r="D920" s="8" t="s">
        <v>3177</v>
      </c>
      <c r="E920" s="8" t="s">
        <v>118</v>
      </c>
      <c r="F920" s="8" t="s">
        <v>257</v>
      </c>
      <c r="G920" s="8" t="s">
        <v>3311</v>
      </c>
      <c r="H920" s="8" t="s">
        <v>3204</v>
      </c>
      <c r="I920" s="8" t="s">
        <v>4399</v>
      </c>
      <c r="J920" s="8" t="s">
        <v>3195</v>
      </c>
      <c r="K920" s="8" t="s">
        <v>3183</v>
      </c>
      <c r="L920" s="10" t="s">
        <v>3377</v>
      </c>
      <c r="M920" s="10" t="s">
        <v>4400</v>
      </c>
      <c r="N920" s="10" t="s">
        <v>4401</v>
      </c>
      <c r="O920" s="8" t="s">
        <v>3190</v>
      </c>
      <c r="P920" s="8"/>
      <c r="Q920" s="8">
        <v>5945</v>
      </c>
      <c r="R920" s="8">
        <v>31957</v>
      </c>
      <c r="S920" s="8"/>
      <c r="T920" s="8"/>
      <c r="U920" s="8"/>
      <c r="V920" s="8"/>
      <c r="W920" s="8"/>
      <c r="X920" s="8"/>
      <c r="Y920" s="8"/>
      <c r="Z920" s="10" t="s">
        <v>111</v>
      </c>
      <c r="AA920" s="8" t="s">
        <v>332</v>
      </c>
      <c r="AB920" s="8">
        <v>1</v>
      </c>
    </row>
    <row r="921" spans="1:28" ht="21.6" customHeight="1">
      <c r="A921" s="8">
        <v>273</v>
      </c>
      <c r="B921" s="8">
        <v>2025080857</v>
      </c>
      <c r="C921" s="8">
        <v>1</v>
      </c>
      <c r="D921" s="8" t="s">
        <v>3177</v>
      </c>
      <c r="E921" s="8" t="s">
        <v>118</v>
      </c>
      <c r="F921" s="8" t="s">
        <v>4333</v>
      </c>
      <c r="G921" s="8" t="s">
        <v>3427</v>
      </c>
      <c r="H921" s="8" t="s">
        <v>3386</v>
      </c>
      <c r="I921" s="8" t="s">
        <v>3978</v>
      </c>
      <c r="J921" s="8" t="s">
        <v>3301</v>
      </c>
      <c r="K921" s="8" t="s">
        <v>3183</v>
      </c>
      <c r="L921" s="10" t="s">
        <v>3979</v>
      </c>
      <c r="M921" s="10" t="s">
        <v>3980</v>
      </c>
      <c r="N921" s="10" t="s">
        <v>3497</v>
      </c>
      <c r="O921" s="8" t="s">
        <v>3190</v>
      </c>
      <c r="P921" s="8"/>
      <c r="Q921" s="8">
        <v>1205</v>
      </c>
      <c r="R921" s="8">
        <v>3849</v>
      </c>
      <c r="S921" s="8"/>
      <c r="T921" s="8"/>
      <c r="U921" s="8"/>
      <c r="V921" s="8"/>
      <c r="W921" s="8"/>
      <c r="X921" s="8"/>
      <c r="Y921" s="8"/>
      <c r="Z921" s="10" t="s">
        <v>3821</v>
      </c>
      <c r="AA921" s="8" t="s">
        <v>332</v>
      </c>
      <c r="AB921" s="8">
        <v>1</v>
      </c>
    </row>
    <row r="922" spans="1:28" ht="21.6" customHeight="1">
      <c r="A922" s="8">
        <v>310</v>
      </c>
      <c r="B922" s="8">
        <v>2025082109</v>
      </c>
      <c r="C922" s="8">
        <v>1</v>
      </c>
      <c r="D922" s="8" t="s">
        <v>3177</v>
      </c>
      <c r="E922" s="8" t="s">
        <v>118</v>
      </c>
      <c r="F922" s="8" t="s">
        <v>264</v>
      </c>
      <c r="G922" s="8" t="s">
        <v>3280</v>
      </c>
      <c r="H922" s="8" t="s">
        <v>3363</v>
      </c>
      <c r="I922" s="8" t="s">
        <v>3763</v>
      </c>
      <c r="J922" s="8" t="s">
        <v>3758</v>
      </c>
      <c r="K922" s="8" t="s">
        <v>3183</v>
      </c>
      <c r="L922" s="10" t="s">
        <v>3759</v>
      </c>
      <c r="M922" s="10" t="s">
        <v>3760</v>
      </c>
      <c r="N922" s="10" t="s">
        <v>3764</v>
      </c>
      <c r="O922" s="8" t="s">
        <v>3190</v>
      </c>
      <c r="P922" s="8"/>
      <c r="Q922" s="8">
        <v>8391</v>
      </c>
      <c r="R922" s="8">
        <v>291891</v>
      </c>
      <c r="S922" s="8"/>
      <c r="T922" s="8"/>
      <c r="U922" s="8"/>
      <c r="V922" s="8"/>
      <c r="W922" s="8"/>
      <c r="X922" s="8"/>
      <c r="Y922" s="8"/>
      <c r="Z922" s="10" t="s">
        <v>3696</v>
      </c>
      <c r="AA922" s="8" t="s">
        <v>332</v>
      </c>
      <c r="AB922" s="8">
        <v>1</v>
      </c>
    </row>
    <row r="923" spans="1:28" ht="21.6" customHeight="1">
      <c r="A923" s="8">
        <v>10</v>
      </c>
      <c r="B923" s="8">
        <v>2025090353</v>
      </c>
      <c r="C923" s="8">
        <v>1</v>
      </c>
      <c r="D923" s="8" t="s">
        <v>3177</v>
      </c>
      <c r="E923" s="8" t="s">
        <v>118</v>
      </c>
      <c r="F923" s="8" t="s">
        <v>4402</v>
      </c>
      <c r="G923" s="8" t="s">
        <v>3426</v>
      </c>
      <c r="H923" s="8" t="s">
        <v>3431</v>
      </c>
      <c r="I923" s="8" t="s">
        <v>4403</v>
      </c>
      <c r="J923" s="8" t="s">
        <v>3224</v>
      </c>
      <c r="K923" s="8" t="s">
        <v>3183</v>
      </c>
      <c r="L923" s="10" t="s">
        <v>4404</v>
      </c>
      <c r="M923" s="10" t="s">
        <v>4405</v>
      </c>
      <c r="N923" s="10" t="s">
        <v>3497</v>
      </c>
      <c r="O923" s="8" t="s">
        <v>322</v>
      </c>
      <c r="P923" s="8">
        <v>0</v>
      </c>
      <c r="Q923" s="8">
        <v>0</v>
      </c>
      <c r="R923" s="8">
        <v>41</v>
      </c>
      <c r="S923" s="8" t="s">
        <v>332</v>
      </c>
      <c r="T923" s="8"/>
      <c r="U923" s="8"/>
      <c r="V923" s="8"/>
      <c r="W923" s="8"/>
      <c r="X923" s="8"/>
      <c r="Y923" s="8"/>
      <c r="Z923" s="10" t="s">
        <v>3696</v>
      </c>
      <c r="AA923" s="8" t="s">
        <v>332</v>
      </c>
      <c r="AB923" s="8">
        <v>1</v>
      </c>
    </row>
    <row r="924" spans="1:28" ht="21.6" customHeight="1">
      <c r="A924" s="8">
        <v>12</v>
      </c>
      <c r="B924" s="8">
        <v>2025090342</v>
      </c>
      <c r="C924" s="8">
        <v>1</v>
      </c>
      <c r="D924" s="8" t="s">
        <v>3177</v>
      </c>
      <c r="E924" s="8" t="s">
        <v>118</v>
      </c>
      <c r="F924" s="8" t="s">
        <v>4402</v>
      </c>
      <c r="G924" s="8" t="s">
        <v>3233</v>
      </c>
      <c r="H924" s="8" t="s">
        <v>3381</v>
      </c>
      <c r="I924" s="8" t="s">
        <v>3461</v>
      </c>
      <c r="J924" s="8" t="s">
        <v>3277</v>
      </c>
      <c r="K924" s="8" t="s">
        <v>3183</v>
      </c>
      <c r="L924" s="10" t="s">
        <v>3462</v>
      </c>
      <c r="M924" s="10" t="s">
        <v>3463</v>
      </c>
      <c r="N924" s="10" t="s">
        <v>3464</v>
      </c>
      <c r="O924" s="8" t="s">
        <v>3190</v>
      </c>
      <c r="P924" s="8"/>
      <c r="Q924" s="8"/>
      <c r="R924" s="8">
        <v>276567</v>
      </c>
      <c r="S924" s="8"/>
      <c r="T924" s="8"/>
      <c r="U924" s="8"/>
      <c r="V924" s="8"/>
      <c r="W924" s="8"/>
      <c r="X924" s="8"/>
      <c r="Y924" s="8"/>
      <c r="Z924" s="10" t="s">
        <v>3696</v>
      </c>
      <c r="AA924" s="8" t="s">
        <v>332</v>
      </c>
      <c r="AB924" s="8">
        <v>1</v>
      </c>
    </row>
    <row r="925" spans="1:28" ht="21.6" customHeight="1">
      <c r="A925" s="8">
        <v>28</v>
      </c>
      <c r="B925" s="8">
        <v>2025090338</v>
      </c>
      <c r="C925" s="8">
        <v>1</v>
      </c>
      <c r="D925" s="8" t="s">
        <v>3177</v>
      </c>
      <c r="E925" s="8" t="s">
        <v>118</v>
      </c>
      <c r="F925" s="8" t="s">
        <v>4402</v>
      </c>
      <c r="G925" s="8" t="s">
        <v>3280</v>
      </c>
      <c r="H925" s="8" t="s">
        <v>3363</v>
      </c>
      <c r="I925" s="8" t="s">
        <v>4287</v>
      </c>
      <c r="J925" s="8" t="s">
        <v>1717</v>
      </c>
      <c r="K925" s="8" t="s">
        <v>3183</v>
      </c>
      <c r="L925" s="10" t="s">
        <v>3550</v>
      </c>
      <c r="M925" s="10" t="s">
        <v>3551</v>
      </c>
      <c r="N925" s="10" t="s">
        <v>3552</v>
      </c>
      <c r="O925" s="8" t="s">
        <v>3190</v>
      </c>
      <c r="P925" s="8"/>
      <c r="Q925" s="8"/>
      <c r="R925" s="8">
        <v>48945</v>
      </c>
      <c r="S925" s="8"/>
      <c r="T925" s="8"/>
      <c r="U925" s="8"/>
      <c r="V925" s="8"/>
      <c r="W925" s="8"/>
      <c r="X925" s="8"/>
      <c r="Y925" s="8"/>
      <c r="Z925" s="10" t="s">
        <v>3696</v>
      </c>
      <c r="AA925" s="8" t="s">
        <v>332</v>
      </c>
      <c r="AB925" s="8">
        <v>1</v>
      </c>
    </row>
    <row r="926" spans="1:28" ht="21.6" customHeight="1">
      <c r="A926" s="8">
        <v>1</v>
      </c>
      <c r="B926" s="8">
        <v>2025090593</v>
      </c>
      <c r="C926" s="8">
        <v>1</v>
      </c>
      <c r="D926" s="8" t="s">
        <v>3177</v>
      </c>
      <c r="E926" s="8" t="s">
        <v>123</v>
      </c>
      <c r="F926" s="8" t="s">
        <v>236</v>
      </c>
      <c r="G926" s="8" t="s">
        <v>3751</v>
      </c>
      <c r="H926" s="8" t="s">
        <v>3291</v>
      </c>
      <c r="I926" s="8" t="s">
        <v>3269</v>
      </c>
      <c r="J926" s="8" t="s">
        <v>3253</v>
      </c>
      <c r="K926" s="8" t="s">
        <v>3183</v>
      </c>
      <c r="L926" s="10" t="s">
        <v>3270</v>
      </c>
      <c r="M926" s="10" t="s">
        <v>3271</v>
      </c>
      <c r="N926" s="10" t="s">
        <v>3272</v>
      </c>
      <c r="O926" s="8" t="s">
        <v>322</v>
      </c>
      <c r="P926" s="8"/>
      <c r="Q926" s="8"/>
      <c r="R926" s="8">
        <v>24446</v>
      </c>
      <c r="S926" s="8" t="s">
        <v>332</v>
      </c>
      <c r="T926" s="8"/>
      <c r="U926" s="8"/>
      <c r="V926" s="8"/>
      <c r="W926" s="8"/>
      <c r="X926" s="8"/>
      <c r="Y926" s="8"/>
      <c r="Z926" s="10" t="s">
        <v>3186</v>
      </c>
      <c r="AA926" s="8" t="s">
        <v>332</v>
      </c>
      <c r="AB926" s="8">
        <v>1</v>
      </c>
    </row>
    <row r="927" spans="1:28" ht="21.6" customHeight="1">
      <c r="A927" s="8">
        <v>3</v>
      </c>
      <c r="B927" s="8">
        <v>2025090587</v>
      </c>
      <c r="C927" s="8">
        <v>1</v>
      </c>
      <c r="D927" s="8" t="s">
        <v>3177</v>
      </c>
      <c r="E927" s="8" t="s">
        <v>123</v>
      </c>
      <c r="F927" s="8" t="s">
        <v>236</v>
      </c>
      <c r="G927" s="8" t="s">
        <v>3363</v>
      </c>
      <c r="H927" s="8" t="s">
        <v>3232</v>
      </c>
      <c r="I927" s="8" t="s">
        <v>3282</v>
      </c>
      <c r="J927" s="8" t="s">
        <v>3277</v>
      </c>
      <c r="K927" s="8" t="s">
        <v>3183</v>
      </c>
      <c r="L927" s="10" t="s">
        <v>3283</v>
      </c>
      <c r="M927" s="10" t="s">
        <v>3284</v>
      </c>
      <c r="N927" s="10"/>
      <c r="O927" s="8" t="s">
        <v>322</v>
      </c>
      <c r="P927" s="8"/>
      <c r="Q927" s="8"/>
      <c r="R927" s="8">
        <v>27400</v>
      </c>
      <c r="S927" s="8" t="s">
        <v>332</v>
      </c>
      <c r="T927" s="8"/>
      <c r="U927" s="8"/>
      <c r="V927" s="8"/>
      <c r="W927" s="8"/>
      <c r="X927" s="8"/>
      <c r="Y927" s="8"/>
      <c r="Z927" s="10" t="s">
        <v>3186</v>
      </c>
      <c r="AA927" s="8" t="s">
        <v>332</v>
      </c>
      <c r="AB927" s="8">
        <v>1</v>
      </c>
    </row>
    <row r="928" spans="1:28" ht="21.6" customHeight="1">
      <c r="A928" s="8">
        <v>5</v>
      </c>
      <c r="B928" s="8">
        <v>2025090589</v>
      </c>
      <c r="C928" s="8">
        <v>1</v>
      </c>
      <c r="D928" s="8" t="s">
        <v>3177</v>
      </c>
      <c r="E928" s="8" t="s">
        <v>123</v>
      </c>
      <c r="F928" s="8" t="s">
        <v>236</v>
      </c>
      <c r="G928" s="8" t="s">
        <v>4350</v>
      </c>
      <c r="H928" s="8" t="s">
        <v>3638</v>
      </c>
      <c r="I928" s="8" t="s">
        <v>3293</v>
      </c>
      <c r="J928" s="8" t="s">
        <v>3288</v>
      </c>
      <c r="K928" s="8" t="s">
        <v>3183</v>
      </c>
      <c r="L928" s="10" t="s">
        <v>3294</v>
      </c>
      <c r="M928" s="10" t="s">
        <v>3295</v>
      </c>
      <c r="N928" s="10" t="s">
        <v>3272</v>
      </c>
      <c r="O928" s="8" t="s">
        <v>322</v>
      </c>
      <c r="P928" s="8"/>
      <c r="Q928" s="8">
        <v>2394</v>
      </c>
      <c r="R928" s="8">
        <v>295402</v>
      </c>
      <c r="S928" s="8" t="s">
        <v>332</v>
      </c>
      <c r="T928" s="8"/>
      <c r="U928" s="8"/>
      <c r="V928" s="8"/>
      <c r="W928" s="8"/>
      <c r="X928" s="8"/>
      <c r="Y928" s="8"/>
      <c r="Z928" s="10" t="s">
        <v>3186</v>
      </c>
      <c r="AA928" s="8" t="s">
        <v>332</v>
      </c>
      <c r="AB928" s="8">
        <v>1</v>
      </c>
    </row>
    <row r="929" spans="1:28" ht="21.6" customHeight="1">
      <c r="A929" s="8">
        <v>38</v>
      </c>
      <c r="B929" s="8">
        <v>2025090403</v>
      </c>
      <c r="C929" s="8">
        <v>1</v>
      </c>
      <c r="D929" s="8" t="s">
        <v>3177</v>
      </c>
      <c r="E929" s="8" t="s">
        <v>118</v>
      </c>
      <c r="F929" s="8" t="s">
        <v>238</v>
      </c>
      <c r="G929" s="8" t="s">
        <v>3381</v>
      </c>
      <c r="H929" s="8" t="s">
        <v>3401</v>
      </c>
      <c r="I929" s="8" t="s">
        <v>4079</v>
      </c>
      <c r="J929" s="8" t="s">
        <v>3298</v>
      </c>
      <c r="K929" s="8" t="s">
        <v>3183</v>
      </c>
      <c r="L929" s="10" t="s">
        <v>4080</v>
      </c>
      <c r="M929" s="10" t="s">
        <v>4081</v>
      </c>
      <c r="N929" s="10" t="s">
        <v>4082</v>
      </c>
      <c r="O929" s="8" t="s">
        <v>3190</v>
      </c>
      <c r="P929" s="8"/>
      <c r="Q929" s="8"/>
      <c r="R929" s="8">
        <v>117282</v>
      </c>
      <c r="S929" s="8"/>
      <c r="T929" s="8"/>
      <c r="U929" s="8"/>
      <c r="V929" s="8"/>
      <c r="W929" s="8"/>
      <c r="X929" s="8"/>
      <c r="Y929" s="8"/>
      <c r="Z929" s="10" t="s">
        <v>3696</v>
      </c>
      <c r="AA929" s="8" t="s">
        <v>332</v>
      </c>
      <c r="AB929" s="8">
        <v>1</v>
      </c>
    </row>
    <row r="930" spans="1:28" ht="21.6" customHeight="1">
      <c r="A930" s="8">
        <v>3</v>
      </c>
      <c r="B930" s="8">
        <v>2025090773</v>
      </c>
      <c r="C930" s="8">
        <v>1</v>
      </c>
      <c r="D930" s="8" t="s">
        <v>3177</v>
      </c>
      <c r="E930" s="8" t="s">
        <v>123</v>
      </c>
      <c r="F930" s="8" t="s">
        <v>4406</v>
      </c>
      <c r="G930" s="8" t="s">
        <v>4407</v>
      </c>
      <c r="H930" s="8" t="s">
        <v>3771</v>
      </c>
      <c r="I930" s="8" t="s">
        <v>3276</v>
      </c>
      <c r="J930" s="8" t="s">
        <v>3277</v>
      </c>
      <c r="K930" s="8" t="s">
        <v>3183</v>
      </c>
      <c r="L930" s="10" t="s">
        <v>3278</v>
      </c>
      <c r="M930" s="10" t="s">
        <v>3279</v>
      </c>
      <c r="N930" s="10" t="s">
        <v>4408</v>
      </c>
      <c r="O930" s="8" t="s">
        <v>322</v>
      </c>
      <c r="P930" s="8"/>
      <c r="Q930" s="8"/>
      <c r="R930" s="8">
        <v>67393</v>
      </c>
      <c r="S930" s="8" t="s">
        <v>332</v>
      </c>
      <c r="T930" s="8"/>
      <c r="U930" s="8"/>
      <c r="V930" s="8"/>
      <c r="W930" s="8"/>
      <c r="X930" s="8"/>
      <c r="Y930" s="8"/>
      <c r="Z930" s="10" t="s">
        <v>3186</v>
      </c>
      <c r="AA930" s="8" t="s">
        <v>332</v>
      </c>
      <c r="AB930" s="8">
        <v>1</v>
      </c>
    </row>
    <row r="931" spans="1:28" ht="21.6" customHeight="1">
      <c r="A931" s="8">
        <v>25</v>
      </c>
      <c r="B931" s="8">
        <v>2025090772</v>
      </c>
      <c r="C931" s="8">
        <v>1</v>
      </c>
      <c r="D931" s="8" t="s">
        <v>3177</v>
      </c>
      <c r="E931" s="8" t="s">
        <v>118</v>
      </c>
      <c r="F931" s="8" t="s">
        <v>4406</v>
      </c>
      <c r="G931" s="8" t="s">
        <v>3311</v>
      </c>
      <c r="H931" s="8" t="s">
        <v>3456</v>
      </c>
      <c r="I931" s="8" t="s">
        <v>3936</v>
      </c>
      <c r="J931" s="8" t="s">
        <v>3195</v>
      </c>
      <c r="K931" s="8" t="s">
        <v>3183</v>
      </c>
      <c r="L931" s="10" t="s">
        <v>3377</v>
      </c>
      <c r="M931" s="10" t="s">
        <v>3937</v>
      </c>
      <c r="N931" s="10" t="s">
        <v>3938</v>
      </c>
      <c r="O931" s="8" t="s">
        <v>363</v>
      </c>
      <c r="P931" s="8"/>
      <c r="Q931" s="8">
        <v>29193</v>
      </c>
      <c r="R931" s="8">
        <v>25380</v>
      </c>
      <c r="S931" s="8"/>
      <c r="T931" s="8"/>
      <c r="U931" s="8"/>
      <c r="V931" s="8"/>
      <c r="W931" s="8"/>
      <c r="X931" s="8"/>
      <c r="Y931" s="8"/>
      <c r="Z931" s="10" t="s">
        <v>4409</v>
      </c>
      <c r="AA931" s="8" t="s">
        <v>332</v>
      </c>
      <c r="AB931" s="8">
        <v>1</v>
      </c>
    </row>
    <row r="932" spans="1:28" ht="21.6" customHeight="1">
      <c r="A932" s="8">
        <v>32</v>
      </c>
      <c r="B932" s="8">
        <v>2025090621</v>
      </c>
      <c r="C932" s="8">
        <v>1</v>
      </c>
      <c r="D932" s="8" t="s">
        <v>3177</v>
      </c>
      <c r="E932" s="8" t="s">
        <v>118</v>
      </c>
      <c r="F932" s="8" t="s">
        <v>236</v>
      </c>
      <c r="G932" s="8" t="s">
        <v>3280</v>
      </c>
      <c r="H932" s="8" t="s">
        <v>3363</v>
      </c>
      <c r="I932" s="8" t="s">
        <v>3404</v>
      </c>
      <c r="J932" s="8" t="s">
        <v>3253</v>
      </c>
      <c r="K932" s="8" t="s">
        <v>3183</v>
      </c>
      <c r="L932" s="10" t="s">
        <v>3398</v>
      </c>
      <c r="M932" s="10" t="s">
        <v>3405</v>
      </c>
      <c r="N932" s="10" t="s">
        <v>3406</v>
      </c>
      <c r="O932" s="8" t="s">
        <v>3190</v>
      </c>
      <c r="P932" s="8"/>
      <c r="Q932" s="8"/>
      <c r="R932" s="8">
        <v>164853</v>
      </c>
      <c r="S932" s="8"/>
      <c r="T932" s="8"/>
      <c r="U932" s="8"/>
      <c r="V932" s="8"/>
      <c r="W932" s="8"/>
      <c r="X932" s="8"/>
      <c r="Y932" s="8"/>
      <c r="Z932" s="10" t="s">
        <v>3696</v>
      </c>
      <c r="AA932" s="8" t="s">
        <v>332</v>
      </c>
      <c r="AB932" s="8">
        <v>1</v>
      </c>
    </row>
    <row r="933" spans="1:28" ht="21.6" customHeight="1">
      <c r="A933" s="8">
        <v>34</v>
      </c>
      <c r="B933" s="8">
        <v>2025090826</v>
      </c>
      <c r="C933" s="8">
        <v>1</v>
      </c>
      <c r="D933" s="8" t="s">
        <v>3177</v>
      </c>
      <c r="E933" s="8" t="s">
        <v>118</v>
      </c>
      <c r="F933" s="8" t="s">
        <v>4406</v>
      </c>
      <c r="G933" s="8" t="s">
        <v>3387</v>
      </c>
      <c r="H933" s="8" t="s">
        <v>3426</v>
      </c>
      <c r="I933" s="8" t="s">
        <v>3422</v>
      </c>
      <c r="J933" s="8" t="s">
        <v>3253</v>
      </c>
      <c r="K933" s="8" t="s">
        <v>3183</v>
      </c>
      <c r="L933" s="10" t="s">
        <v>3270</v>
      </c>
      <c r="M933" s="10" t="s">
        <v>3423</v>
      </c>
      <c r="N933" s="10" t="s">
        <v>3424</v>
      </c>
      <c r="O933" s="8" t="s">
        <v>322</v>
      </c>
      <c r="P933" s="8"/>
      <c r="Q933" s="8"/>
      <c r="R933" s="8">
        <v>47184</v>
      </c>
      <c r="S933" s="8" t="s">
        <v>332</v>
      </c>
      <c r="T933" s="8"/>
      <c r="U933" s="8"/>
      <c r="V933" s="8"/>
      <c r="W933" s="8"/>
      <c r="X933" s="8"/>
      <c r="Y933" s="8"/>
      <c r="Z933" s="10" t="s">
        <v>111</v>
      </c>
      <c r="AA933" s="8" t="s">
        <v>332</v>
      </c>
      <c r="AB933" s="8">
        <v>1</v>
      </c>
    </row>
    <row r="934" spans="1:28" ht="21.6" customHeight="1">
      <c r="A934" s="8">
        <v>36</v>
      </c>
      <c r="B934" s="8">
        <v>2025090824</v>
      </c>
      <c r="C934" s="8">
        <v>1</v>
      </c>
      <c r="D934" s="8" t="s">
        <v>3177</v>
      </c>
      <c r="E934" s="8" t="s">
        <v>118</v>
      </c>
      <c r="F934" s="8" t="s">
        <v>4406</v>
      </c>
      <c r="G934" s="8" t="s">
        <v>3386</v>
      </c>
      <c r="H934" s="8" t="s">
        <v>3387</v>
      </c>
      <c r="I934" s="8" t="s">
        <v>3428</v>
      </c>
      <c r="J934" s="8" t="s">
        <v>3253</v>
      </c>
      <c r="K934" s="8" t="s">
        <v>3183</v>
      </c>
      <c r="L934" s="10" t="s">
        <v>3270</v>
      </c>
      <c r="M934" s="10" t="s">
        <v>3429</v>
      </c>
      <c r="N934" s="10" t="s">
        <v>3430</v>
      </c>
      <c r="O934" s="8" t="s">
        <v>322</v>
      </c>
      <c r="P934" s="8"/>
      <c r="Q934" s="8"/>
      <c r="R934" s="8">
        <v>77485</v>
      </c>
      <c r="S934" s="8" t="s">
        <v>332</v>
      </c>
      <c r="T934" s="8"/>
      <c r="U934" s="8"/>
      <c r="V934" s="8"/>
      <c r="W934" s="8"/>
      <c r="X934" s="8"/>
      <c r="Y934" s="8"/>
      <c r="Z934" s="10" t="s">
        <v>111</v>
      </c>
      <c r="AA934" s="8" t="s">
        <v>332</v>
      </c>
      <c r="AB934" s="8">
        <v>1</v>
      </c>
    </row>
    <row r="935" spans="1:28" ht="21.6" customHeight="1">
      <c r="A935" s="8">
        <v>42</v>
      </c>
      <c r="B935" s="8">
        <v>2025090823</v>
      </c>
      <c r="C935" s="8">
        <v>1</v>
      </c>
      <c r="D935" s="8" t="s">
        <v>3177</v>
      </c>
      <c r="E935" s="8" t="s">
        <v>118</v>
      </c>
      <c r="F935" s="8" t="s">
        <v>4406</v>
      </c>
      <c r="G935" s="8" t="s">
        <v>3427</v>
      </c>
      <c r="H935" s="8" t="s">
        <v>3386</v>
      </c>
      <c r="I935" s="8" t="s">
        <v>4171</v>
      </c>
      <c r="J935" s="8" t="s">
        <v>3277</v>
      </c>
      <c r="K935" s="8" t="s">
        <v>3183</v>
      </c>
      <c r="L935" s="10" t="s">
        <v>3270</v>
      </c>
      <c r="M935" s="10" t="s">
        <v>3496</v>
      </c>
      <c r="N935" s="10" t="s">
        <v>3497</v>
      </c>
      <c r="O935" s="8" t="s">
        <v>3190</v>
      </c>
      <c r="P935" s="8"/>
      <c r="Q935" s="8"/>
      <c r="R935" s="8">
        <v>2957</v>
      </c>
      <c r="S935" s="8"/>
      <c r="T935" s="8"/>
      <c r="U935" s="8"/>
      <c r="V935" s="8"/>
      <c r="W935" s="8"/>
      <c r="X935" s="8"/>
      <c r="Y935" s="8"/>
      <c r="Z935" s="10" t="s">
        <v>111</v>
      </c>
      <c r="AA935" s="8" t="s">
        <v>332</v>
      </c>
      <c r="AB935" s="8">
        <v>1</v>
      </c>
    </row>
    <row r="936" spans="1:28" ht="21.6" customHeight="1">
      <c r="A936" s="8">
        <v>46</v>
      </c>
      <c r="B936" s="8">
        <v>2025090668</v>
      </c>
      <c r="C936" s="8">
        <v>1</v>
      </c>
      <c r="D936" s="8" t="s">
        <v>3177</v>
      </c>
      <c r="E936" s="8" t="s">
        <v>118</v>
      </c>
      <c r="F936" s="8" t="s">
        <v>4406</v>
      </c>
      <c r="G936" s="8" t="s">
        <v>3381</v>
      </c>
      <c r="H936" s="8" t="s">
        <v>3357</v>
      </c>
      <c r="I936" s="8" t="s">
        <v>3502</v>
      </c>
      <c r="J936" s="8" t="s">
        <v>3298</v>
      </c>
      <c r="K936" s="8" t="s">
        <v>3183</v>
      </c>
      <c r="L936" s="10" t="s">
        <v>3503</v>
      </c>
      <c r="M936" s="10" t="s">
        <v>3504</v>
      </c>
      <c r="N936" s="10" t="s">
        <v>217</v>
      </c>
      <c r="O936" s="8" t="s">
        <v>363</v>
      </c>
      <c r="P936" s="8"/>
      <c r="Q936" s="8"/>
      <c r="R936" s="8">
        <v>296708</v>
      </c>
      <c r="S936" s="8"/>
      <c r="T936" s="8"/>
      <c r="U936" s="8"/>
      <c r="V936" s="8"/>
      <c r="W936" s="8"/>
      <c r="X936" s="8"/>
      <c r="Y936" s="8"/>
      <c r="Z936" s="10" t="s">
        <v>4410</v>
      </c>
      <c r="AA936" s="8" t="s">
        <v>332</v>
      </c>
      <c r="AB936" s="8">
        <v>1</v>
      </c>
    </row>
    <row r="937" spans="1:28" ht="21.6" customHeight="1">
      <c r="A937" s="8">
        <v>59</v>
      </c>
      <c r="B937" s="8">
        <v>2025090723</v>
      </c>
      <c r="C937" s="8">
        <v>1</v>
      </c>
      <c r="D937" s="8" t="s">
        <v>3177</v>
      </c>
      <c r="E937" s="8" t="s">
        <v>118</v>
      </c>
      <c r="F937" s="8" t="s">
        <v>4406</v>
      </c>
      <c r="G937" s="8" t="s">
        <v>3280</v>
      </c>
      <c r="H937" s="8" t="s">
        <v>3363</v>
      </c>
      <c r="I937" s="8" t="s">
        <v>3521</v>
      </c>
      <c r="J937" s="8" t="s">
        <v>3298</v>
      </c>
      <c r="K937" s="8" t="s">
        <v>3183</v>
      </c>
      <c r="L937" s="10" t="s">
        <v>3398</v>
      </c>
      <c r="M937" s="10" t="s">
        <v>3522</v>
      </c>
      <c r="N937" s="10" t="s">
        <v>3523</v>
      </c>
      <c r="O937" s="8" t="s">
        <v>3190</v>
      </c>
      <c r="P937" s="8"/>
      <c r="Q937" s="8"/>
      <c r="R937" s="8">
        <v>131134</v>
      </c>
      <c r="S937" s="8"/>
      <c r="T937" s="8"/>
      <c r="U937" s="8"/>
      <c r="V937" s="8"/>
      <c r="W937" s="8"/>
      <c r="X937" s="8"/>
      <c r="Y937" s="8"/>
      <c r="Z937" s="10" t="s">
        <v>3696</v>
      </c>
      <c r="AA937" s="8" t="s">
        <v>332</v>
      </c>
      <c r="AB937" s="8">
        <v>1</v>
      </c>
    </row>
    <row r="938" spans="1:28" ht="21.6" customHeight="1">
      <c r="A938" s="8">
        <v>77</v>
      </c>
      <c r="B938" s="8">
        <v>2025090728</v>
      </c>
      <c r="C938" s="8">
        <v>1</v>
      </c>
      <c r="D938" s="8" t="s">
        <v>3177</v>
      </c>
      <c r="E938" s="8" t="s">
        <v>118</v>
      </c>
      <c r="F938" s="8" t="s">
        <v>4406</v>
      </c>
      <c r="G938" s="8" t="s">
        <v>3363</v>
      </c>
      <c r="H938" s="8" t="s">
        <v>3233</v>
      </c>
      <c r="I938" s="8" t="s">
        <v>3573</v>
      </c>
      <c r="J938" s="8" t="s">
        <v>3574</v>
      </c>
      <c r="K938" s="8" t="s">
        <v>3183</v>
      </c>
      <c r="L938" s="10" t="s">
        <v>3398</v>
      </c>
      <c r="M938" s="10" t="s">
        <v>3575</v>
      </c>
      <c r="N938" s="10" t="s">
        <v>3576</v>
      </c>
      <c r="O938" s="8" t="s">
        <v>322</v>
      </c>
      <c r="P938" s="8"/>
      <c r="Q938" s="8"/>
      <c r="R938" s="8">
        <v>25836</v>
      </c>
      <c r="S938" s="8" t="s">
        <v>332</v>
      </c>
      <c r="T938" s="8"/>
      <c r="U938" s="8"/>
      <c r="V938" s="8"/>
      <c r="W938" s="8"/>
      <c r="X938" s="8"/>
      <c r="Y938" s="8"/>
      <c r="Z938" s="10" t="s">
        <v>3696</v>
      </c>
      <c r="AA938" s="8" t="s">
        <v>332</v>
      </c>
      <c r="AB938" s="8">
        <v>1</v>
      </c>
    </row>
    <row r="939" spans="1:28" ht="21.6" customHeight="1">
      <c r="A939" s="8">
        <v>9</v>
      </c>
      <c r="B939" s="8">
        <v>2025090896</v>
      </c>
      <c r="C939" s="8">
        <v>1</v>
      </c>
      <c r="D939" s="8" t="s">
        <v>3177</v>
      </c>
      <c r="E939" s="8" t="s">
        <v>123</v>
      </c>
      <c r="F939" s="8" t="s">
        <v>4411</v>
      </c>
      <c r="G939" s="8" t="s">
        <v>3913</v>
      </c>
      <c r="H939" s="8" t="s">
        <v>3239</v>
      </c>
      <c r="I939" s="8" t="s">
        <v>3807</v>
      </c>
      <c r="J939" s="8" t="s">
        <v>3808</v>
      </c>
      <c r="K939" s="8" t="s">
        <v>3183</v>
      </c>
      <c r="L939" s="10" t="s">
        <v>3333</v>
      </c>
      <c r="M939" s="10" t="s">
        <v>3334</v>
      </c>
      <c r="N939" s="10"/>
      <c r="O939" s="8" t="s">
        <v>363</v>
      </c>
      <c r="P939" s="8"/>
      <c r="Q939" s="8"/>
      <c r="R939" s="8">
        <v>34013</v>
      </c>
      <c r="S939" s="8"/>
      <c r="T939" s="8"/>
      <c r="U939" s="8"/>
      <c r="V939" s="8"/>
      <c r="W939" s="8"/>
      <c r="X939" s="8"/>
      <c r="Y939" s="8"/>
      <c r="Z939" s="10" t="s">
        <v>4412</v>
      </c>
      <c r="AA939" s="8" t="s">
        <v>332</v>
      </c>
      <c r="AB939" s="8">
        <v>1</v>
      </c>
    </row>
    <row r="940" spans="1:28" ht="21.6" customHeight="1">
      <c r="A940" s="8">
        <v>24</v>
      </c>
      <c r="B940" s="8">
        <v>2025090914</v>
      </c>
      <c r="C940" s="8">
        <v>1</v>
      </c>
      <c r="D940" s="8" t="s">
        <v>3177</v>
      </c>
      <c r="E940" s="8" t="s">
        <v>118</v>
      </c>
      <c r="F940" s="8" t="s">
        <v>4411</v>
      </c>
      <c r="G940" s="8" t="s">
        <v>3363</v>
      </c>
      <c r="H940" s="8" t="s">
        <v>3233</v>
      </c>
      <c r="I940" s="8" t="s">
        <v>3351</v>
      </c>
      <c r="J940" s="8" t="s">
        <v>3195</v>
      </c>
      <c r="K940" s="8" t="s">
        <v>3183</v>
      </c>
      <c r="L940" s="10" t="s">
        <v>3352</v>
      </c>
      <c r="M940" s="10" t="s">
        <v>3353</v>
      </c>
      <c r="N940" s="10" t="s">
        <v>3667</v>
      </c>
      <c r="O940" s="8" t="s">
        <v>322</v>
      </c>
      <c r="P940" s="8"/>
      <c r="Q940" s="8">
        <v>10988</v>
      </c>
      <c r="R940" s="8">
        <v>76907</v>
      </c>
      <c r="S940" s="8" t="s">
        <v>332</v>
      </c>
      <c r="T940" s="8"/>
      <c r="U940" s="8"/>
      <c r="V940" s="8"/>
      <c r="W940" s="8"/>
      <c r="X940" s="8"/>
      <c r="Y940" s="8"/>
      <c r="Z940" s="10" t="s">
        <v>111</v>
      </c>
      <c r="AA940" s="8" t="s">
        <v>332</v>
      </c>
      <c r="AB940" s="8">
        <v>1</v>
      </c>
    </row>
    <row r="941" spans="1:28" ht="21.6" customHeight="1">
      <c r="A941" s="8">
        <v>29</v>
      </c>
      <c r="B941" s="8">
        <v>2025090953</v>
      </c>
      <c r="C941" s="8">
        <v>1</v>
      </c>
      <c r="D941" s="8" t="s">
        <v>3177</v>
      </c>
      <c r="E941" s="8" t="s">
        <v>118</v>
      </c>
      <c r="F941" s="8" t="s">
        <v>4411</v>
      </c>
      <c r="G941" s="8" t="s">
        <v>3401</v>
      </c>
      <c r="H941" s="8" t="s">
        <v>3357</v>
      </c>
      <c r="I941" s="8" t="s">
        <v>3382</v>
      </c>
      <c r="J941" s="8" t="s">
        <v>3224</v>
      </c>
      <c r="K941" s="8" t="s">
        <v>3183</v>
      </c>
      <c r="L941" s="10" t="s">
        <v>3383</v>
      </c>
      <c r="M941" s="10" t="s">
        <v>3384</v>
      </c>
      <c r="N941" s="10" t="s">
        <v>3385</v>
      </c>
      <c r="O941" s="8" t="s">
        <v>322</v>
      </c>
      <c r="P941" s="8">
        <v>6429</v>
      </c>
      <c r="Q941" s="8">
        <v>15099</v>
      </c>
      <c r="R941" s="8">
        <v>18367</v>
      </c>
      <c r="S941" s="8" t="s">
        <v>332</v>
      </c>
      <c r="T941" s="8"/>
      <c r="U941" s="8"/>
      <c r="V941" s="8"/>
      <c r="W941" s="8"/>
      <c r="X941" s="8"/>
      <c r="Y941" s="8"/>
      <c r="Z941" s="10" t="s">
        <v>111</v>
      </c>
      <c r="AA941" s="8" t="s">
        <v>332</v>
      </c>
      <c r="AB941" s="8">
        <v>1</v>
      </c>
    </row>
    <row r="942" spans="1:28" ht="21.6" customHeight="1">
      <c r="A942" s="8">
        <v>31</v>
      </c>
      <c r="B942" s="8">
        <v>2025090951</v>
      </c>
      <c r="C942" s="8">
        <v>1</v>
      </c>
      <c r="D942" s="8" t="s">
        <v>3177</v>
      </c>
      <c r="E942" s="8" t="s">
        <v>118</v>
      </c>
      <c r="F942" s="8" t="s">
        <v>4411</v>
      </c>
      <c r="G942" s="8" t="s">
        <v>3381</v>
      </c>
      <c r="H942" s="8" t="s">
        <v>3401</v>
      </c>
      <c r="I942" s="8" t="s">
        <v>3683</v>
      </c>
      <c r="J942" s="8" t="s">
        <v>3224</v>
      </c>
      <c r="K942" s="8" t="s">
        <v>3183</v>
      </c>
      <c r="L942" s="10" t="s">
        <v>3383</v>
      </c>
      <c r="M942" s="10" t="s">
        <v>3684</v>
      </c>
      <c r="N942" s="10" t="s">
        <v>3685</v>
      </c>
      <c r="O942" s="8" t="s">
        <v>322</v>
      </c>
      <c r="P942" s="8">
        <v>1773</v>
      </c>
      <c r="Q942" s="8">
        <v>2596</v>
      </c>
      <c r="R942" s="8">
        <v>7150</v>
      </c>
      <c r="S942" s="8" t="s">
        <v>332</v>
      </c>
      <c r="T942" s="8"/>
      <c r="U942" s="8"/>
      <c r="V942" s="8"/>
      <c r="W942" s="8"/>
      <c r="X942" s="8"/>
      <c r="Y942" s="8"/>
      <c r="Z942" s="10" t="s">
        <v>111</v>
      </c>
      <c r="AA942" s="8" t="s">
        <v>332</v>
      </c>
      <c r="AB942" s="8">
        <v>1</v>
      </c>
    </row>
    <row r="943" spans="1:28" ht="21.6" customHeight="1">
      <c r="A943" s="8">
        <v>33</v>
      </c>
      <c r="B943" s="8">
        <v>2025090955</v>
      </c>
      <c r="C943" s="8">
        <v>1</v>
      </c>
      <c r="D943" s="8" t="s">
        <v>3177</v>
      </c>
      <c r="E943" s="8" t="s">
        <v>118</v>
      </c>
      <c r="F943" s="8" t="s">
        <v>4411</v>
      </c>
      <c r="G943" s="8" t="s">
        <v>3357</v>
      </c>
      <c r="H943" s="8" t="s">
        <v>3342</v>
      </c>
      <c r="I943" s="8" t="s">
        <v>3940</v>
      </c>
      <c r="J943" s="8" t="s">
        <v>3224</v>
      </c>
      <c r="K943" s="8" t="s">
        <v>3183</v>
      </c>
      <c r="L943" s="10" t="s">
        <v>3383</v>
      </c>
      <c r="M943" s="10" t="s">
        <v>3941</v>
      </c>
      <c r="N943" s="10" t="s">
        <v>3942</v>
      </c>
      <c r="O943" s="8" t="s">
        <v>322</v>
      </c>
      <c r="P943" s="8">
        <v>99</v>
      </c>
      <c r="Q943" s="8">
        <v>854</v>
      </c>
      <c r="R943" s="8">
        <v>2805</v>
      </c>
      <c r="S943" s="8" t="s">
        <v>332</v>
      </c>
      <c r="T943" s="8"/>
      <c r="U943" s="8"/>
      <c r="V943" s="8"/>
      <c r="W943" s="8"/>
      <c r="X943" s="8"/>
      <c r="Y943" s="8"/>
      <c r="Z943" s="10" t="s">
        <v>111</v>
      </c>
      <c r="AA943" s="8" t="s">
        <v>332</v>
      </c>
      <c r="AB943" s="8">
        <v>1</v>
      </c>
    </row>
    <row r="944" spans="1:28" ht="21.6" customHeight="1">
      <c r="A944" s="8">
        <v>51</v>
      </c>
      <c r="B944" s="8">
        <v>2025090822</v>
      </c>
      <c r="C944" s="8">
        <v>1</v>
      </c>
      <c r="D944" s="8" t="s">
        <v>3177</v>
      </c>
      <c r="E944" s="8" t="s">
        <v>118</v>
      </c>
      <c r="F944" s="8" t="s">
        <v>4406</v>
      </c>
      <c r="G944" s="8" t="s">
        <v>3427</v>
      </c>
      <c r="H944" s="8" t="s">
        <v>3386</v>
      </c>
      <c r="I944" s="8" t="s">
        <v>4171</v>
      </c>
      <c r="J944" s="8" t="s">
        <v>3277</v>
      </c>
      <c r="K944" s="8" t="s">
        <v>3183</v>
      </c>
      <c r="L944" s="10" t="s">
        <v>3270</v>
      </c>
      <c r="M944" s="10" t="s">
        <v>3496</v>
      </c>
      <c r="N944" s="10" t="s">
        <v>3497</v>
      </c>
      <c r="O944" s="8" t="s">
        <v>322</v>
      </c>
      <c r="P944" s="8"/>
      <c r="Q944" s="8"/>
      <c r="R944" s="8">
        <v>2957</v>
      </c>
      <c r="S944" s="8" t="s">
        <v>332</v>
      </c>
      <c r="T944" s="8"/>
      <c r="U944" s="8"/>
      <c r="V944" s="8"/>
      <c r="W944" s="8"/>
      <c r="X944" s="8"/>
      <c r="Y944" s="8"/>
      <c r="Z944" s="10" t="s">
        <v>111</v>
      </c>
      <c r="AA944" s="8" t="s">
        <v>332</v>
      </c>
      <c r="AB944" s="8">
        <v>1</v>
      </c>
    </row>
    <row r="945" spans="1:28" ht="21.6" customHeight="1">
      <c r="A945" s="8">
        <v>76</v>
      </c>
      <c r="B945" s="8">
        <v>2025090916</v>
      </c>
      <c r="C945" s="8">
        <v>1</v>
      </c>
      <c r="D945" s="8" t="s">
        <v>3177</v>
      </c>
      <c r="E945" s="8" t="s">
        <v>118</v>
      </c>
      <c r="F945" s="8" t="s">
        <v>4411</v>
      </c>
      <c r="G945" s="8" t="s">
        <v>3233</v>
      </c>
      <c r="H945" s="8" t="s">
        <v>3381</v>
      </c>
      <c r="I945" s="8" t="s">
        <v>3536</v>
      </c>
      <c r="J945" s="8" t="s">
        <v>3298</v>
      </c>
      <c r="K945" s="8" t="s">
        <v>3183</v>
      </c>
      <c r="L945" s="10" t="s">
        <v>3537</v>
      </c>
      <c r="M945" s="10" t="s">
        <v>3538</v>
      </c>
      <c r="N945" s="10"/>
      <c r="O945" s="8" t="s">
        <v>322</v>
      </c>
      <c r="P945" s="8"/>
      <c r="Q945" s="8"/>
      <c r="R945" s="8">
        <v>136910</v>
      </c>
      <c r="S945" s="8" t="s">
        <v>332</v>
      </c>
      <c r="T945" s="8"/>
      <c r="U945" s="8"/>
      <c r="V945" s="8"/>
      <c r="W945" s="8"/>
      <c r="X945" s="8"/>
      <c r="Y945" s="8"/>
      <c r="Z945" s="10" t="s">
        <v>111</v>
      </c>
      <c r="AA945" s="8" t="s">
        <v>332</v>
      </c>
      <c r="AB945" s="8">
        <v>1</v>
      </c>
    </row>
    <row r="946" spans="1:28" ht="21.6" customHeight="1">
      <c r="A946" s="8">
        <v>78</v>
      </c>
      <c r="B946" s="8">
        <v>2025090913</v>
      </c>
      <c r="C946" s="8">
        <v>1</v>
      </c>
      <c r="D946" s="8" t="s">
        <v>3177</v>
      </c>
      <c r="E946" s="8" t="s">
        <v>118</v>
      </c>
      <c r="F946" s="8" t="s">
        <v>4411</v>
      </c>
      <c r="G946" s="8" t="s">
        <v>3280</v>
      </c>
      <c r="H946" s="8" t="s">
        <v>3363</v>
      </c>
      <c r="I946" s="8" t="s">
        <v>3978</v>
      </c>
      <c r="J946" s="8" t="s">
        <v>3301</v>
      </c>
      <c r="K946" s="8" t="s">
        <v>3183</v>
      </c>
      <c r="L946" s="10" t="s">
        <v>3979</v>
      </c>
      <c r="M946" s="10" t="s">
        <v>3980</v>
      </c>
      <c r="N946" s="10" t="s">
        <v>3497</v>
      </c>
      <c r="O946" s="8" t="s">
        <v>3190</v>
      </c>
      <c r="P946" s="8"/>
      <c r="Q946" s="8">
        <v>1801</v>
      </c>
      <c r="R946" s="8">
        <v>5799</v>
      </c>
      <c r="S946" s="8"/>
      <c r="T946" s="8"/>
      <c r="U946" s="8"/>
      <c r="V946" s="8"/>
      <c r="W946" s="8"/>
      <c r="X946" s="8"/>
      <c r="Y946" s="8"/>
      <c r="Z946" s="10" t="s">
        <v>111</v>
      </c>
      <c r="AA946" s="8" t="s">
        <v>332</v>
      </c>
      <c r="AB946" s="8">
        <v>1</v>
      </c>
    </row>
    <row r="947" spans="1:28" ht="21.6" customHeight="1">
      <c r="A947" s="8">
        <v>1</v>
      </c>
      <c r="B947" s="8">
        <v>2025090594</v>
      </c>
      <c r="C947" s="8">
        <v>1</v>
      </c>
      <c r="D947" s="8" t="s">
        <v>3177</v>
      </c>
      <c r="E947" s="8" t="s">
        <v>123</v>
      </c>
      <c r="F947" s="8" t="s">
        <v>236</v>
      </c>
      <c r="G947" s="8" t="s">
        <v>3751</v>
      </c>
      <c r="H947" s="8" t="s">
        <v>3291</v>
      </c>
      <c r="I947" s="8" t="s">
        <v>3269</v>
      </c>
      <c r="J947" s="8" t="s">
        <v>3253</v>
      </c>
      <c r="K947" s="8" t="s">
        <v>3183</v>
      </c>
      <c r="L947" s="10" t="s">
        <v>3270</v>
      </c>
      <c r="M947" s="10" t="s">
        <v>3271</v>
      </c>
      <c r="N947" s="10" t="s">
        <v>3272</v>
      </c>
      <c r="O947" s="8" t="s">
        <v>3190</v>
      </c>
      <c r="P947" s="8"/>
      <c r="Q947" s="8"/>
      <c r="R947" s="8">
        <v>24446</v>
      </c>
      <c r="S947" s="8"/>
      <c r="T947" s="8"/>
      <c r="U947" s="8"/>
      <c r="V947" s="8"/>
      <c r="W947" s="8"/>
      <c r="X947" s="8"/>
      <c r="Y947" s="8"/>
      <c r="Z947" s="10" t="s">
        <v>3186</v>
      </c>
      <c r="AA947" s="8" t="s">
        <v>332</v>
      </c>
      <c r="AB947" s="8">
        <v>1</v>
      </c>
    </row>
    <row r="948" spans="1:28" ht="21.6" customHeight="1">
      <c r="A948" s="8">
        <v>25</v>
      </c>
      <c r="B948" s="8">
        <v>2025090915</v>
      </c>
      <c r="C948" s="8">
        <v>1</v>
      </c>
      <c r="D948" s="8" t="s">
        <v>3177</v>
      </c>
      <c r="E948" s="8" t="s">
        <v>118</v>
      </c>
      <c r="F948" s="8" t="s">
        <v>4411</v>
      </c>
      <c r="G948" s="8" t="s">
        <v>3363</v>
      </c>
      <c r="H948" s="8" t="s">
        <v>3233</v>
      </c>
      <c r="I948" s="8" t="s">
        <v>3351</v>
      </c>
      <c r="J948" s="8" t="s">
        <v>3195</v>
      </c>
      <c r="K948" s="8" t="s">
        <v>3183</v>
      </c>
      <c r="L948" s="10" t="s">
        <v>3352</v>
      </c>
      <c r="M948" s="10" t="s">
        <v>3353</v>
      </c>
      <c r="N948" s="10" t="s">
        <v>3667</v>
      </c>
      <c r="O948" s="8" t="s">
        <v>3190</v>
      </c>
      <c r="P948" s="8"/>
      <c r="Q948" s="8">
        <v>10988</v>
      </c>
      <c r="R948" s="8">
        <v>76907</v>
      </c>
      <c r="S948" s="8"/>
      <c r="T948" s="8"/>
      <c r="U948" s="8"/>
      <c r="V948" s="8"/>
      <c r="W948" s="8"/>
      <c r="X948" s="8"/>
      <c r="Y948" s="8"/>
      <c r="Z948" s="10" t="s">
        <v>111</v>
      </c>
      <c r="AA948" s="8" t="s">
        <v>332</v>
      </c>
      <c r="AB948" s="8">
        <v>1</v>
      </c>
    </row>
    <row r="949" spans="1:28" ht="21.6" customHeight="1">
      <c r="A949" s="8">
        <v>27</v>
      </c>
      <c r="B949" s="8">
        <v>2025091001</v>
      </c>
      <c r="C949" s="8">
        <v>1</v>
      </c>
      <c r="D949" s="8" t="s">
        <v>3177</v>
      </c>
      <c r="E949" s="8" t="s">
        <v>118</v>
      </c>
      <c r="F949" s="8" t="s">
        <v>4411</v>
      </c>
      <c r="G949" s="8" t="s">
        <v>3204</v>
      </c>
      <c r="H949" s="8" t="s">
        <v>3427</v>
      </c>
      <c r="I949" s="8" t="s">
        <v>3365</v>
      </c>
      <c r="J949" s="8" t="s">
        <v>3195</v>
      </c>
      <c r="K949" s="8" t="s">
        <v>3183</v>
      </c>
      <c r="L949" s="10" t="s">
        <v>3366</v>
      </c>
      <c r="M949" s="10" t="s">
        <v>3367</v>
      </c>
      <c r="N949" s="10"/>
      <c r="O949" s="8" t="s">
        <v>322</v>
      </c>
      <c r="P949" s="8"/>
      <c r="Q949" s="8">
        <v>2100</v>
      </c>
      <c r="R949" s="8">
        <v>42000</v>
      </c>
      <c r="S949" s="8" t="s">
        <v>332</v>
      </c>
      <c r="T949" s="8"/>
      <c r="U949" s="8"/>
      <c r="V949" s="8"/>
      <c r="W949" s="8"/>
      <c r="X949" s="8"/>
      <c r="Y949" s="8"/>
      <c r="Z949" s="10" t="s">
        <v>111</v>
      </c>
      <c r="AA949" s="8" t="s">
        <v>332</v>
      </c>
      <c r="AB949" s="8">
        <v>1</v>
      </c>
    </row>
    <row r="950" spans="1:28" ht="21.6" customHeight="1">
      <c r="A950" s="8">
        <v>36</v>
      </c>
      <c r="B950" s="8">
        <v>2025090969</v>
      </c>
      <c r="C950" s="8">
        <v>1</v>
      </c>
      <c r="D950" s="8" t="s">
        <v>3177</v>
      </c>
      <c r="E950" s="8" t="s">
        <v>118</v>
      </c>
      <c r="F950" s="8" t="s">
        <v>4411</v>
      </c>
      <c r="G950" s="8" t="s">
        <v>3368</v>
      </c>
      <c r="H950" s="8" t="s">
        <v>3250</v>
      </c>
      <c r="I950" s="8" t="s">
        <v>3689</v>
      </c>
      <c r="J950" s="8" t="s">
        <v>3224</v>
      </c>
      <c r="K950" s="8" t="s">
        <v>3183</v>
      </c>
      <c r="L950" s="10" t="s">
        <v>3344</v>
      </c>
      <c r="M950" s="10" t="s">
        <v>3345</v>
      </c>
      <c r="N950" s="10" t="s">
        <v>3497</v>
      </c>
      <c r="O950" s="8" t="s">
        <v>322</v>
      </c>
      <c r="P950" s="8"/>
      <c r="Q950" s="8">
        <v>800</v>
      </c>
      <c r="R950" s="8">
        <v>12000</v>
      </c>
      <c r="S950" s="8" t="s">
        <v>332</v>
      </c>
      <c r="T950" s="8"/>
      <c r="U950" s="8"/>
      <c r="V950" s="8"/>
      <c r="W950" s="8"/>
      <c r="X950" s="8"/>
      <c r="Y950" s="8"/>
      <c r="Z950" s="10" t="s">
        <v>111</v>
      </c>
      <c r="AA950" s="8" t="s">
        <v>332</v>
      </c>
      <c r="AB950" s="8">
        <v>1</v>
      </c>
    </row>
    <row r="951" spans="1:28" ht="21.6" customHeight="1">
      <c r="A951" s="8">
        <v>52</v>
      </c>
      <c r="B951" s="8">
        <v>2025091007</v>
      </c>
      <c r="C951" s="8">
        <v>1</v>
      </c>
      <c r="D951" s="8" t="s">
        <v>3177</v>
      </c>
      <c r="E951" s="8" t="s">
        <v>118</v>
      </c>
      <c r="F951" s="8" t="s">
        <v>4411</v>
      </c>
      <c r="G951" s="8" t="s">
        <v>3386</v>
      </c>
      <c r="H951" s="8" t="s">
        <v>3387</v>
      </c>
      <c r="I951" s="8" t="s">
        <v>3433</v>
      </c>
      <c r="J951" s="8" t="s">
        <v>3277</v>
      </c>
      <c r="K951" s="8" t="s">
        <v>3183</v>
      </c>
      <c r="L951" s="10" t="s">
        <v>3434</v>
      </c>
      <c r="M951" s="10" t="s">
        <v>3435</v>
      </c>
      <c r="N951" s="10" t="s">
        <v>3436</v>
      </c>
      <c r="O951" s="8" t="s">
        <v>322</v>
      </c>
      <c r="P951" s="8"/>
      <c r="Q951" s="8"/>
      <c r="R951" s="8">
        <v>151225</v>
      </c>
      <c r="S951" s="8" t="s">
        <v>332</v>
      </c>
      <c r="T951" s="8"/>
      <c r="U951" s="8"/>
      <c r="V951" s="8"/>
      <c r="W951" s="8"/>
      <c r="X951" s="8"/>
      <c r="Y951" s="8"/>
      <c r="Z951" s="10" t="s">
        <v>111</v>
      </c>
      <c r="AA951" s="8" t="s">
        <v>332</v>
      </c>
      <c r="AB951" s="8">
        <v>1</v>
      </c>
    </row>
    <row r="952" spans="1:28" ht="21.6" customHeight="1">
      <c r="A952" s="8">
        <v>54</v>
      </c>
      <c r="B952" s="8">
        <v>2025091009</v>
      </c>
      <c r="C952" s="8">
        <v>1</v>
      </c>
      <c r="D952" s="8" t="s">
        <v>3177</v>
      </c>
      <c r="E952" s="8" t="s">
        <v>118</v>
      </c>
      <c r="F952" s="8" t="s">
        <v>4411</v>
      </c>
      <c r="G952" s="8" t="s">
        <v>3387</v>
      </c>
      <c r="H952" s="8" t="s">
        <v>3426</v>
      </c>
      <c r="I952" s="8" t="s">
        <v>3440</v>
      </c>
      <c r="J952" s="8" t="s">
        <v>3277</v>
      </c>
      <c r="K952" s="8" t="s">
        <v>3183</v>
      </c>
      <c r="L952" s="10" t="s">
        <v>3434</v>
      </c>
      <c r="M952" s="10" t="s">
        <v>3441</v>
      </c>
      <c r="N952" s="10" t="s">
        <v>3442</v>
      </c>
      <c r="O952" s="8" t="s">
        <v>322</v>
      </c>
      <c r="P952" s="8"/>
      <c r="Q952" s="8"/>
      <c r="R952" s="8">
        <v>136290</v>
      </c>
      <c r="S952" s="8" t="s">
        <v>332</v>
      </c>
      <c r="T952" s="8"/>
      <c r="U952" s="8"/>
      <c r="V952" s="8"/>
      <c r="W952" s="8"/>
      <c r="X952" s="8"/>
      <c r="Y952" s="8"/>
      <c r="Z952" s="10" t="s">
        <v>111</v>
      </c>
      <c r="AA952" s="8" t="s">
        <v>332</v>
      </c>
      <c r="AB952" s="8">
        <v>1</v>
      </c>
    </row>
    <row r="953" spans="1:28" ht="21.6" customHeight="1">
      <c r="A953" s="8">
        <v>56</v>
      </c>
      <c r="B953" s="8">
        <v>2025090971</v>
      </c>
      <c r="C953" s="8">
        <v>1</v>
      </c>
      <c r="D953" s="8" t="s">
        <v>3177</v>
      </c>
      <c r="E953" s="8" t="s">
        <v>118</v>
      </c>
      <c r="F953" s="8" t="s">
        <v>4411</v>
      </c>
      <c r="G953" s="8" t="s">
        <v>3250</v>
      </c>
      <c r="H953" s="8" t="s">
        <v>3204</v>
      </c>
      <c r="I953" s="8" t="s">
        <v>3447</v>
      </c>
      <c r="J953" s="8" t="s">
        <v>3277</v>
      </c>
      <c r="K953" s="8" t="s">
        <v>3183</v>
      </c>
      <c r="L953" s="10" t="s">
        <v>3448</v>
      </c>
      <c r="M953" s="10" t="s">
        <v>3449</v>
      </c>
      <c r="N953" s="10"/>
      <c r="O953" s="8" t="s">
        <v>322</v>
      </c>
      <c r="P953" s="8"/>
      <c r="Q953" s="8"/>
      <c r="R953" s="8">
        <v>48000</v>
      </c>
      <c r="S953" s="8" t="s">
        <v>332</v>
      </c>
      <c r="T953" s="8"/>
      <c r="U953" s="8"/>
      <c r="V953" s="8"/>
      <c r="W953" s="8"/>
      <c r="X953" s="8"/>
      <c r="Y953" s="8"/>
      <c r="Z953" s="10" t="s">
        <v>111</v>
      </c>
      <c r="AA953" s="8" t="s">
        <v>332</v>
      </c>
      <c r="AB953" s="8">
        <v>1</v>
      </c>
    </row>
    <row r="954" spans="1:28" ht="21.6" customHeight="1">
      <c r="A954" s="8">
        <v>89</v>
      </c>
      <c r="B954" s="8">
        <v>2025090912</v>
      </c>
      <c r="C954" s="8">
        <v>1</v>
      </c>
      <c r="D954" s="8" t="s">
        <v>3177</v>
      </c>
      <c r="E954" s="8" t="s">
        <v>118</v>
      </c>
      <c r="F954" s="8" t="s">
        <v>4411</v>
      </c>
      <c r="G954" s="8" t="s">
        <v>3280</v>
      </c>
      <c r="H954" s="8" t="s">
        <v>3363</v>
      </c>
      <c r="I954" s="8" t="s">
        <v>3978</v>
      </c>
      <c r="J954" s="8" t="s">
        <v>3301</v>
      </c>
      <c r="K954" s="8" t="s">
        <v>3183</v>
      </c>
      <c r="L954" s="10" t="s">
        <v>3979</v>
      </c>
      <c r="M954" s="10" t="s">
        <v>3980</v>
      </c>
      <c r="N954" s="10" t="s">
        <v>3497</v>
      </c>
      <c r="O954" s="8" t="s">
        <v>322</v>
      </c>
      <c r="P954" s="8"/>
      <c r="Q954" s="8">
        <v>1801</v>
      </c>
      <c r="R954" s="8">
        <v>5799</v>
      </c>
      <c r="S954" s="8" t="s">
        <v>332</v>
      </c>
      <c r="T954" s="8"/>
      <c r="U954" s="8"/>
      <c r="V954" s="8"/>
      <c r="W954" s="8"/>
      <c r="X954" s="8"/>
      <c r="Y954" s="8"/>
      <c r="Z954" s="10" t="s">
        <v>111</v>
      </c>
      <c r="AA954" s="8" t="s">
        <v>332</v>
      </c>
      <c r="AB954" s="8">
        <v>1</v>
      </c>
    </row>
    <row r="955" spans="1:28" ht="21.6" customHeight="1">
      <c r="A955" s="8">
        <v>78</v>
      </c>
      <c r="B955" s="8">
        <v>2025090627</v>
      </c>
      <c r="C955" s="8">
        <v>1</v>
      </c>
      <c r="D955" s="8" t="s">
        <v>3177</v>
      </c>
      <c r="E955" s="8" t="s">
        <v>118</v>
      </c>
      <c r="F955" s="8" t="s">
        <v>236</v>
      </c>
      <c r="G955" s="8" t="s">
        <v>3381</v>
      </c>
      <c r="H955" s="8" t="s">
        <v>3401</v>
      </c>
      <c r="I955" s="8" t="s">
        <v>3518</v>
      </c>
      <c r="J955" s="8" t="s">
        <v>3298</v>
      </c>
      <c r="K955" s="8" t="s">
        <v>3183</v>
      </c>
      <c r="L955" s="10" t="s">
        <v>3398</v>
      </c>
      <c r="M955" s="10" t="s">
        <v>3519</v>
      </c>
      <c r="N955" s="10" t="s">
        <v>3520</v>
      </c>
      <c r="O955" s="8" t="s">
        <v>3190</v>
      </c>
      <c r="P955" s="8"/>
      <c r="Q955" s="8"/>
      <c r="R955" s="8">
        <v>266405</v>
      </c>
      <c r="S955" s="8"/>
      <c r="T955" s="8"/>
      <c r="U955" s="8"/>
      <c r="V955" s="8"/>
      <c r="W955" s="8"/>
      <c r="X955" s="8"/>
      <c r="Y955" s="8"/>
      <c r="Z955" s="10" t="s">
        <v>3696</v>
      </c>
      <c r="AA955" s="8" t="s">
        <v>332</v>
      </c>
      <c r="AB955" s="8">
        <v>1</v>
      </c>
    </row>
    <row r="956" spans="1:28" ht="21.6" customHeight="1">
      <c r="A956" s="8">
        <v>92</v>
      </c>
      <c r="B956" s="8">
        <v>2025091090</v>
      </c>
      <c r="C956" s="8">
        <v>1</v>
      </c>
      <c r="D956" s="8" t="s">
        <v>3177</v>
      </c>
      <c r="E956" s="8" t="s">
        <v>118</v>
      </c>
      <c r="F956" s="8" t="s">
        <v>4413</v>
      </c>
      <c r="G956" s="8" t="s">
        <v>3381</v>
      </c>
      <c r="H956" s="8" t="s">
        <v>4414</v>
      </c>
      <c r="I956" s="8" t="s">
        <v>3539</v>
      </c>
      <c r="J956" s="8" t="s">
        <v>3298</v>
      </c>
      <c r="K956" s="8" t="s">
        <v>3183</v>
      </c>
      <c r="L956" s="10" t="s">
        <v>3540</v>
      </c>
      <c r="M956" s="10" t="s">
        <v>3541</v>
      </c>
      <c r="N956" s="10"/>
      <c r="O956" s="8" t="s">
        <v>363</v>
      </c>
      <c r="P956" s="8"/>
      <c r="Q956" s="8"/>
      <c r="R956" s="8">
        <v>83082</v>
      </c>
      <c r="S956" s="8"/>
      <c r="T956" s="8"/>
      <c r="U956" s="8"/>
      <c r="V956" s="8"/>
      <c r="W956" s="8"/>
      <c r="X956" s="8"/>
      <c r="Y956" s="8"/>
      <c r="Z956" s="10" t="s">
        <v>4415</v>
      </c>
      <c r="AA956" s="8" t="s">
        <v>332</v>
      </c>
      <c r="AB956" s="8">
        <v>1</v>
      </c>
    </row>
    <row r="957" spans="1:28" ht="21.6" customHeight="1">
      <c r="A957" s="8">
        <v>95</v>
      </c>
      <c r="B957" s="8">
        <v>2025090408</v>
      </c>
      <c r="C957" s="8">
        <v>1</v>
      </c>
      <c r="D957" s="8" t="s">
        <v>3177</v>
      </c>
      <c r="E957" s="8" t="s">
        <v>118</v>
      </c>
      <c r="F957" s="8" t="s">
        <v>238</v>
      </c>
      <c r="G957" s="8" t="s">
        <v>3401</v>
      </c>
      <c r="H957" s="8" t="s">
        <v>3357</v>
      </c>
      <c r="I957" s="8" t="s">
        <v>4093</v>
      </c>
      <c r="J957" s="8" t="s">
        <v>3543</v>
      </c>
      <c r="K957" s="8" t="s">
        <v>3183</v>
      </c>
      <c r="L957" s="10" t="s">
        <v>4094</v>
      </c>
      <c r="M957" s="10" t="s">
        <v>4095</v>
      </c>
      <c r="N957" s="10" t="s">
        <v>3424</v>
      </c>
      <c r="O957" s="8" t="s">
        <v>3190</v>
      </c>
      <c r="P957" s="8"/>
      <c r="Q957" s="8"/>
      <c r="R957" s="8">
        <v>38923</v>
      </c>
      <c r="S957" s="8"/>
      <c r="T957" s="8"/>
      <c r="U957" s="8"/>
      <c r="V957" s="8"/>
      <c r="W957" s="8"/>
      <c r="X957" s="8"/>
      <c r="Y957" s="8"/>
      <c r="Z957" s="10" t="s">
        <v>3696</v>
      </c>
      <c r="AA957" s="8" t="s">
        <v>332</v>
      </c>
      <c r="AB957" s="8">
        <v>1</v>
      </c>
    </row>
    <row r="958" spans="1:28" ht="21.6" customHeight="1">
      <c r="A958" s="8">
        <v>34</v>
      </c>
      <c r="B958" s="8">
        <v>2025091002</v>
      </c>
      <c r="C958" s="8">
        <v>1</v>
      </c>
      <c r="D958" s="8" t="s">
        <v>3177</v>
      </c>
      <c r="E958" s="8" t="s">
        <v>118</v>
      </c>
      <c r="F958" s="8" t="s">
        <v>4411</v>
      </c>
      <c r="G958" s="8" t="s">
        <v>3204</v>
      </c>
      <c r="H958" s="8" t="s">
        <v>3427</v>
      </c>
      <c r="I958" s="8" t="s">
        <v>3365</v>
      </c>
      <c r="J958" s="8" t="s">
        <v>3195</v>
      </c>
      <c r="K958" s="8" t="s">
        <v>3183</v>
      </c>
      <c r="L958" s="10" t="s">
        <v>3366</v>
      </c>
      <c r="M958" s="10" t="s">
        <v>3367</v>
      </c>
      <c r="N958" s="10"/>
      <c r="O958" s="8" t="s">
        <v>3190</v>
      </c>
      <c r="P958" s="8"/>
      <c r="Q958" s="8">
        <v>2100</v>
      </c>
      <c r="R958" s="8">
        <v>42000</v>
      </c>
      <c r="S958" s="8"/>
      <c r="T958" s="8"/>
      <c r="U958" s="8"/>
      <c r="V958" s="8"/>
      <c r="W958" s="8"/>
      <c r="X958" s="8"/>
      <c r="Y958" s="8"/>
      <c r="Z958" s="10" t="s">
        <v>111</v>
      </c>
      <c r="AA958" s="8" t="s">
        <v>332</v>
      </c>
      <c r="AB958" s="8">
        <v>1</v>
      </c>
    </row>
    <row r="959" spans="1:28" ht="21.6" customHeight="1">
      <c r="A959" s="8">
        <v>39</v>
      </c>
      <c r="B959" s="8">
        <v>2025091372</v>
      </c>
      <c r="C959" s="8">
        <v>1</v>
      </c>
      <c r="D959" s="8" t="s">
        <v>3177</v>
      </c>
      <c r="E959" s="8" t="s">
        <v>118</v>
      </c>
      <c r="F959" s="8" t="s">
        <v>229</v>
      </c>
      <c r="G959" s="8" t="s">
        <v>3280</v>
      </c>
      <c r="H959" s="8" t="s">
        <v>3233</v>
      </c>
      <c r="I959" s="8" t="s">
        <v>3936</v>
      </c>
      <c r="J959" s="8" t="s">
        <v>3195</v>
      </c>
      <c r="K959" s="8" t="s">
        <v>3183</v>
      </c>
      <c r="L959" s="10" t="s">
        <v>3377</v>
      </c>
      <c r="M959" s="10" t="s">
        <v>3937</v>
      </c>
      <c r="N959" s="10" t="s">
        <v>3938</v>
      </c>
      <c r="O959" s="8" t="s">
        <v>322</v>
      </c>
      <c r="P959" s="8"/>
      <c r="Q959" s="8">
        <v>29570</v>
      </c>
      <c r="R959" s="8">
        <v>25842</v>
      </c>
      <c r="S959" s="8"/>
      <c r="T959" s="8" t="s">
        <v>332</v>
      </c>
      <c r="U959" s="8"/>
      <c r="V959" s="8"/>
      <c r="W959" s="8"/>
      <c r="X959" s="8"/>
      <c r="Y959" s="8"/>
      <c r="Z959" s="10" t="s">
        <v>3323</v>
      </c>
      <c r="AA959" s="8" t="s">
        <v>332</v>
      </c>
      <c r="AB959" s="8">
        <v>1</v>
      </c>
    </row>
    <row r="960" spans="1:28" ht="21.6" customHeight="1">
      <c r="A960" s="8">
        <v>48</v>
      </c>
      <c r="B960" s="8">
        <v>2025090956</v>
      </c>
      <c r="C960" s="8">
        <v>1</v>
      </c>
      <c r="D960" s="8" t="s">
        <v>3177</v>
      </c>
      <c r="E960" s="8" t="s">
        <v>118</v>
      </c>
      <c r="F960" s="8" t="s">
        <v>4411</v>
      </c>
      <c r="G960" s="8" t="s">
        <v>3357</v>
      </c>
      <c r="H960" s="8" t="s">
        <v>3342</v>
      </c>
      <c r="I960" s="8" t="s">
        <v>3940</v>
      </c>
      <c r="J960" s="8" t="s">
        <v>3224</v>
      </c>
      <c r="K960" s="8" t="s">
        <v>3183</v>
      </c>
      <c r="L960" s="10" t="s">
        <v>3383</v>
      </c>
      <c r="M960" s="10" t="s">
        <v>3941</v>
      </c>
      <c r="N960" s="10" t="s">
        <v>3942</v>
      </c>
      <c r="O960" s="8" t="s">
        <v>3190</v>
      </c>
      <c r="P960" s="8">
        <v>99</v>
      </c>
      <c r="Q960" s="8">
        <v>854</v>
      </c>
      <c r="R960" s="8">
        <v>2805</v>
      </c>
      <c r="S960" s="8"/>
      <c r="T960" s="8"/>
      <c r="U960" s="8"/>
      <c r="V960" s="8"/>
      <c r="W960" s="8"/>
      <c r="X960" s="8"/>
      <c r="Y960" s="8"/>
      <c r="Z960" s="10" t="s">
        <v>111</v>
      </c>
      <c r="AA960" s="8" t="s">
        <v>332</v>
      </c>
      <c r="AB960" s="8">
        <v>1</v>
      </c>
    </row>
    <row r="961" spans="1:28" ht="21.6" customHeight="1">
      <c r="A961" s="8">
        <v>70</v>
      </c>
      <c r="B961" s="8">
        <v>2025090346</v>
      </c>
      <c r="C961" s="8">
        <v>1</v>
      </c>
      <c r="D961" s="8" t="s">
        <v>3177</v>
      </c>
      <c r="E961" s="8" t="s">
        <v>118</v>
      </c>
      <c r="F961" s="8" t="s">
        <v>4402</v>
      </c>
      <c r="G961" s="8" t="s">
        <v>3204</v>
      </c>
      <c r="H961" s="8" t="s">
        <v>3427</v>
      </c>
      <c r="I961" s="8" t="s">
        <v>3713</v>
      </c>
      <c r="J961" s="8" t="s">
        <v>3277</v>
      </c>
      <c r="K961" s="8" t="s">
        <v>3183</v>
      </c>
      <c r="L961" s="10" t="s">
        <v>3462</v>
      </c>
      <c r="M961" s="10" t="s">
        <v>3714</v>
      </c>
      <c r="N961" s="10" t="s">
        <v>3715</v>
      </c>
      <c r="O961" s="8" t="s">
        <v>3190</v>
      </c>
      <c r="P961" s="8"/>
      <c r="Q961" s="8"/>
      <c r="R961" s="8">
        <v>218331</v>
      </c>
      <c r="S961" s="8"/>
      <c r="T961" s="8"/>
      <c r="U961" s="8"/>
      <c r="V961" s="8"/>
      <c r="W961" s="8"/>
      <c r="X961" s="8"/>
      <c r="Y961" s="8"/>
      <c r="Z961" s="10" t="s">
        <v>3696</v>
      </c>
      <c r="AA961" s="8" t="s">
        <v>332</v>
      </c>
      <c r="AB961" s="8">
        <v>1</v>
      </c>
    </row>
    <row r="962" spans="1:28" ht="21.6" customHeight="1">
      <c r="A962" s="8">
        <v>77</v>
      </c>
      <c r="B962" s="8">
        <v>2025090344</v>
      </c>
      <c r="C962" s="8">
        <v>1</v>
      </c>
      <c r="D962" s="8" t="s">
        <v>3177</v>
      </c>
      <c r="E962" s="8" t="s">
        <v>118</v>
      </c>
      <c r="F962" s="8" t="s">
        <v>4402</v>
      </c>
      <c r="G962" s="8" t="s">
        <v>3381</v>
      </c>
      <c r="H962" s="8" t="s">
        <v>3401</v>
      </c>
      <c r="I962" s="8" t="s">
        <v>3506</v>
      </c>
      <c r="J962" s="8" t="s">
        <v>3298</v>
      </c>
      <c r="K962" s="8" t="s">
        <v>3183</v>
      </c>
      <c r="L962" s="10" t="s">
        <v>3462</v>
      </c>
      <c r="M962" s="10" t="s">
        <v>3507</v>
      </c>
      <c r="N962" s="10" t="s">
        <v>3508</v>
      </c>
      <c r="O962" s="8" t="s">
        <v>3190</v>
      </c>
      <c r="P962" s="8"/>
      <c r="Q962" s="8"/>
      <c r="R962" s="8">
        <v>116934</v>
      </c>
      <c r="S962" s="8"/>
      <c r="T962" s="8"/>
      <c r="U962" s="8"/>
      <c r="V962" s="8"/>
      <c r="W962" s="8"/>
      <c r="X962" s="8"/>
      <c r="Y962" s="8"/>
      <c r="Z962" s="10" t="s">
        <v>3696</v>
      </c>
      <c r="AA962" s="8" t="s">
        <v>332</v>
      </c>
      <c r="AB962" s="8">
        <v>1</v>
      </c>
    </row>
    <row r="963" spans="1:28" ht="21.6" customHeight="1">
      <c r="A963" s="8">
        <v>100</v>
      </c>
      <c r="B963" s="8">
        <v>2025091546</v>
      </c>
      <c r="C963" s="8">
        <v>1</v>
      </c>
      <c r="D963" s="8" t="s">
        <v>3177</v>
      </c>
      <c r="E963" s="8" t="s">
        <v>118</v>
      </c>
      <c r="F963" s="8" t="s">
        <v>229</v>
      </c>
      <c r="G963" s="8" t="s">
        <v>3386</v>
      </c>
      <c r="H963" s="8" t="s">
        <v>3426</v>
      </c>
      <c r="I963" s="8" t="s">
        <v>3539</v>
      </c>
      <c r="J963" s="8" t="s">
        <v>3298</v>
      </c>
      <c r="K963" s="8" t="s">
        <v>3183</v>
      </c>
      <c r="L963" s="10" t="s">
        <v>3540</v>
      </c>
      <c r="M963" s="10" t="s">
        <v>3541</v>
      </c>
      <c r="N963" s="10"/>
      <c r="O963" s="8" t="s">
        <v>322</v>
      </c>
      <c r="P963" s="8"/>
      <c r="Q963" s="8"/>
      <c r="R963" s="8">
        <v>80962</v>
      </c>
      <c r="S963" s="8"/>
      <c r="T963" s="8"/>
      <c r="U963" s="8"/>
      <c r="V963" s="8"/>
      <c r="W963" s="8"/>
      <c r="X963" s="8"/>
      <c r="Y963" s="8" t="s">
        <v>332</v>
      </c>
      <c r="Z963" s="10" t="s">
        <v>4324</v>
      </c>
      <c r="AA963" s="8" t="s">
        <v>332</v>
      </c>
      <c r="AB963" s="8">
        <v>1</v>
      </c>
    </row>
    <row r="964" spans="1:28" ht="21.6" customHeight="1">
      <c r="A964" s="8">
        <v>109</v>
      </c>
      <c r="B964" s="8">
        <v>2025090401</v>
      </c>
      <c r="C964" s="8">
        <v>1</v>
      </c>
      <c r="D964" s="8" t="s">
        <v>3177</v>
      </c>
      <c r="E964" s="8" t="s">
        <v>118</v>
      </c>
      <c r="F964" s="8" t="s">
        <v>238</v>
      </c>
      <c r="G964" s="8" t="s">
        <v>3233</v>
      </c>
      <c r="H964" s="8" t="s">
        <v>3381</v>
      </c>
      <c r="I964" s="8" t="s">
        <v>4356</v>
      </c>
      <c r="J964" s="8" t="s">
        <v>3543</v>
      </c>
      <c r="K964" s="8" t="s">
        <v>3183</v>
      </c>
      <c r="L964" s="10" t="s">
        <v>4080</v>
      </c>
      <c r="M964" s="10" t="s">
        <v>4357</v>
      </c>
      <c r="N964" s="10" t="s">
        <v>4082</v>
      </c>
      <c r="O964" s="8" t="s">
        <v>3190</v>
      </c>
      <c r="P964" s="8"/>
      <c r="Q964" s="8"/>
      <c r="R964" s="8">
        <v>3113</v>
      </c>
      <c r="S964" s="8"/>
      <c r="T964" s="8"/>
      <c r="U964" s="8"/>
      <c r="V964" s="8"/>
      <c r="W964" s="8"/>
      <c r="X964" s="8"/>
      <c r="Y964" s="8"/>
      <c r="Z964" s="10" t="s">
        <v>3696</v>
      </c>
      <c r="AA964" s="8" t="s">
        <v>332</v>
      </c>
      <c r="AB964" s="8">
        <v>1</v>
      </c>
    </row>
    <row r="965" spans="1:28" ht="21.6" customHeight="1">
      <c r="A965" s="8">
        <v>151</v>
      </c>
      <c r="B965" s="8">
        <v>2025091544</v>
      </c>
      <c r="C965" s="8">
        <v>1</v>
      </c>
      <c r="D965" s="8" t="s">
        <v>3177</v>
      </c>
      <c r="E965" s="8" t="s">
        <v>134</v>
      </c>
      <c r="F965" s="8" t="s">
        <v>229</v>
      </c>
      <c r="G965" s="8" t="s">
        <v>3250</v>
      </c>
      <c r="H965" s="8" t="s">
        <v>3426</v>
      </c>
      <c r="I965" s="8" t="s">
        <v>4416</v>
      </c>
      <c r="J965" s="8" t="s">
        <v>3597</v>
      </c>
      <c r="K965" s="8" t="s">
        <v>3579</v>
      </c>
      <c r="L965" s="10" t="s">
        <v>3598</v>
      </c>
      <c r="M965" s="10" t="s">
        <v>4417</v>
      </c>
      <c r="N965" s="10" t="s">
        <v>4418</v>
      </c>
      <c r="O965" s="8" t="s">
        <v>322</v>
      </c>
      <c r="P965" s="8"/>
      <c r="Q965" s="8"/>
      <c r="R965" s="8">
        <v>0</v>
      </c>
      <c r="S965" s="8"/>
      <c r="T965" s="8" t="s">
        <v>332</v>
      </c>
      <c r="U965" s="8"/>
      <c r="V965" s="8"/>
      <c r="W965" s="8"/>
      <c r="X965" s="8"/>
      <c r="Y965" s="8"/>
      <c r="Z965" s="10" t="s">
        <v>4419</v>
      </c>
      <c r="AA965" s="8" t="s">
        <v>332</v>
      </c>
      <c r="AB965" s="8">
        <v>1</v>
      </c>
    </row>
    <row r="966" spans="1:28" ht="21.6" customHeight="1">
      <c r="A966" s="8">
        <v>1</v>
      </c>
      <c r="B966" s="8">
        <v>2025091734</v>
      </c>
      <c r="C966" s="8">
        <v>1</v>
      </c>
      <c r="D966" s="8" t="s">
        <v>3177</v>
      </c>
      <c r="E966" s="8" t="s">
        <v>123</v>
      </c>
      <c r="F966" s="8" t="s">
        <v>4420</v>
      </c>
      <c r="G966" s="8" t="s">
        <v>3204</v>
      </c>
      <c r="H966" s="8" t="s">
        <v>3829</v>
      </c>
      <c r="I966" s="8" t="s">
        <v>3206</v>
      </c>
      <c r="J966" s="8" t="s">
        <v>3195</v>
      </c>
      <c r="K966" s="8" t="s">
        <v>3183</v>
      </c>
      <c r="L966" s="10" t="s">
        <v>3207</v>
      </c>
      <c r="M966" s="10" t="s">
        <v>3208</v>
      </c>
      <c r="N966" s="10" t="s">
        <v>3209</v>
      </c>
      <c r="O966" s="8" t="s">
        <v>322</v>
      </c>
      <c r="P966" s="8"/>
      <c r="Q966" s="8">
        <v>39823</v>
      </c>
      <c r="R966" s="8">
        <v>69850</v>
      </c>
      <c r="S966" s="8"/>
      <c r="T966" s="8" t="s">
        <v>332</v>
      </c>
      <c r="U966" s="8"/>
      <c r="V966" s="8"/>
      <c r="W966" s="8"/>
      <c r="X966" s="8"/>
      <c r="Y966" s="8"/>
      <c r="Z966" s="10" t="s">
        <v>4421</v>
      </c>
      <c r="AA966" s="8" t="s">
        <v>332</v>
      </c>
      <c r="AB966" s="8">
        <v>1</v>
      </c>
    </row>
    <row r="967" spans="1:28" ht="21.6" customHeight="1">
      <c r="A967" s="8">
        <v>3</v>
      </c>
      <c r="B967" s="8">
        <v>2025091732</v>
      </c>
      <c r="C967" s="8">
        <v>1</v>
      </c>
      <c r="D967" s="8" t="s">
        <v>3177</v>
      </c>
      <c r="E967" s="8" t="s">
        <v>123</v>
      </c>
      <c r="F967" s="8" t="s">
        <v>4420</v>
      </c>
      <c r="G967" s="8" t="s">
        <v>3691</v>
      </c>
      <c r="H967" s="8" t="s">
        <v>3887</v>
      </c>
      <c r="I967" s="8" t="s">
        <v>3259</v>
      </c>
      <c r="J967" s="8" t="s">
        <v>3253</v>
      </c>
      <c r="K967" s="8" t="s">
        <v>3183</v>
      </c>
      <c r="L967" s="10" t="s">
        <v>3207</v>
      </c>
      <c r="M967" s="10" t="s">
        <v>3208</v>
      </c>
      <c r="N967" s="10" t="s">
        <v>3260</v>
      </c>
      <c r="O967" s="8" t="s">
        <v>322</v>
      </c>
      <c r="P967" s="8"/>
      <c r="Q967" s="8"/>
      <c r="R967" s="8">
        <v>90207</v>
      </c>
      <c r="S967" s="8" t="s">
        <v>332</v>
      </c>
      <c r="T967" s="8"/>
      <c r="U967" s="8"/>
      <c r="V967" s="8"/>
      <c r="W967" s="8"/>
      <c r="X967" s="8"/>
      <c r="Y967" s="8"/>
      <c r="Z967" s="10" t="s">
        <v>4422</v>
      </c>
      <c r="AA967" s="8" t="s">
        <v>332</v>
      </c>
      <c r="AB967" s="8">
        <v>1</v>
      </c>
    </row>
    <row r="968" spans="1:28" ht="21.6" customHeight="1">
      <c r="A968" s="8">
        <v>13</v>
      </c>
      <c r="B968" s="8">
        <v>2025091730</v>
      </c>
      <c r="C968" s="8">
        <v>1</v>
      </c>
      <c r="D968" s="8" t="s">
        <v>3177</v>
      </c>
      <c r="E968" s="8" t="s">
        <v>123</v>
      </c>
      <c r="F968" s="8" t="s">
        <v>4420</v>
      </c>
      <c r="G968" s="8" t="s">
        <v>3258</v>
      </c>
      <c r="H968" s="8" t="s">
        <v>3386</v>
      </c>
      <c r="I968" s="8" t="s">
        <v>3297</v>
      </c>
      <c r="J968" s="8" t="s">
        <v>3298</v>
      </c>
      <c r="K968" s="8" t="s">
        <v>3183</v>
      </c>
      <c r="L968" s="10" t="s">
        <v>3207</v>
      </c>
      <c r="M968" s="10" t="s">
        <v>3208</v>
      </c>
      <c r="N968" s="10" t="s">
        <v>3299</v>
      </c>
      <c r="O968" s="8" t="s">
        <v>322</v>
      </c>
      <c r="P968" s="8"/>
      <c r="Q968" s="8"/>
      <c r="R968" s="8">
        <v>131689</v>
      </c>
      <c r="S968" s="8"/>
      <c r="T968" s="8" t="s">
        <v>332</v>
      </c>
      <c r="U968" s="8"/>
      <c r="V968" s="8"/>
      <c r="W968" s="8"/>
      <c r="X968" s="8"/>
      <c r="Y968" s="8"/>
      <c r="Z968" s="10" t="s">
        <v>4421</v>
      </c>
      <c r="AA968" s="8" t="s">
        <v>332</v>
      </c>
      <c r="AB968" s="8">
        <v>1</v>
      </c>
    </row>
    <row r="969" spans="1:28" ht="21.6" customHeight="1">
      <c r="A969" s="8">
        <v>50</v>
      </c>
      <c r="B969" s="8">
        <v>2025091771</v>
      </c>
      <c r="C969" s="8">
        <v>1</v>
      </c>
      <c r="D969" s="8" t="s">
        <v>3177</v>
      </c>
      <c r="E969" s="8" t="s">
        <v>118</v>
      </c>
      <c r="F969" s="8" t="s">
        <v>4423</v>
      </c>
      <c r="G969" s="8" t="s">
        <v>3381</v>
      </c>
      <c r="H969" s="8" t="s">
        <v>3401</v>
      </c>
      <c r="I969" s="8" t="s">
        <v>3370</v>
      </c>
      <c r="J969" s="8" t="s">
        <v>3195</v>
      </c>
      <c r="K969" s="8" t="s">
        <v>3183</v>
      </c>
      <c r="L969" s="10" t="s">
        <v>3371</v>
      </c>
      <c r="M969" s="10" t="s">
        <v>3372</v>
      </c>
      <c r="N969" s="10" t="s">
        <v>3373</v>
      </c>
      <c r="O969" s="8" t="s">
        <v>3190</v>
      </c>
      <c r="P969" s="8"/>
      <c r="Q969" s="8">
        <v>16366</v>
      </c>
      <c r="R969" s="8">
        <v>143510</v>
      </c>
      <c r="S969" s="8"/>
      <c r="T969" s="8"/>
      <c r="U969" s="8"/>
      <c r="V969" s="8"/>
      <c r="W969" s="8"/>
      <c r="X969" s="8"/>
      <c r="Y969" s="8"/>
      <c r="Z969" s="10" t="s">
        <v>3696</v>
      </c>
      <c r="AA969" s="8" t="s">
        <v>332</v>
      </c>
      <c r="AB969" s="8">
        <v>1</v>
      </c>
    </row>
    <row r="970" spans="1:28" ht="21.6" customHeight="1">
      <c r="A970" s="8">
        <v>70</v>
      </c>
      <c r="B970" s="8">
        <v>2025091551</v>
      </c>
      <c r="C970" s="8">
        <v>1</v>
      </c>
      <c r="D970" s="8" t="s">
        <v>3177</v>
      </c>
      <c r="E970" s="8" t="s">
        <v>118</v>
      </c>
      <c r="F970" s="8" t="s">
        <v>4420</v>
      </c>
      <c r="G970" s="8" t="s">
        <v>3342</v>
      </c>
      <c r="H970" s="8" t="s">
        <v>3767</v>
      </c>
      <c r="I970" s="8" t="s">
        <v>4403</v>
      </c>
      <c r="J970" s="8" t="s">
        <v>3224</v>
      </c>
      <c r="K970" s="8" t="s">
        <v>3183</v>
      </c>
      <c r="L970" s="10" t="s">
        <v>4404</v>
      </c>
      <c r="M970" s="10" t="s">
        <v>4424</v>
      </c>
      <c r="N970" s="10" t="s">
        <v>3497</v>
      </c>
      <c r="O970" s="8" t="s">
        <v>363</v>
      </c>
      <c r="P970" s="8"/>
      <c r="Q970" s="8"/>
      <c r="R970" s="8">
        <v>41</v>
      </c>
      <c r="S970" s="8"/>
      <c r="T970" s="8"/>
      <c r="U970" s="8"/>
      <c r="V970" s="8"/>
      <c r="W970" s="8"/>
      <c r="X970" s="8"/>
      <c r="Y970" s="8"/>
      <c r="Z970" s="10" t="s">
        <v>4425</v>
      </c>
      <c r="AA970" s="8" t="s">
        <v>332</v>
      </c>
      <c r="AB970" s="8">
        <v>1</v>
      </c>
    </row>
    <row r="971" spans="1:28" ht="21.6" customHeight="1">
      <c r="A971" s="8">
        <v>93</v>
      </c>
      <c r="B971" s="8">
        <v>2025091816</v>
      </c>
      <c r="C971" s="8">
        <v>1</v>
      </c>
      <c r="D971" s="8" t="s">
        <v>3177</v>
      </c>
      <c r="E971" s="8" t="s">
        <v>118</v>
      </c>
      <c r="F971" s="8" t="s">
        <v>4423</v>
      </c>
      <c r="G971" s="8" t="s">
        <v>3427</v>
      </c>
      <c r="H971" s="8" t="s">
        <v>3387</v>
      </c>
      <c r="I971" s="8" t="s">
        <v>4426</v>
      </c>
      <c r="J971" s="8" t="s">
        <v>3277</v>
      </c>
      <c r="K971" s="8" t="s">
        <v>3183</v>
      </c>
      <c r="L971" s="10" t="s">
        <v>3398</v>
      </c>
      <c r="M971" s="10" t="s">
        <v>3522</v>
      </c>
      <c r="N971" s="10" t="s">
        <v>3523</v>
      </c>
      <c r="O971" s="8" t="s">
        <v>363</v>
      </c>
      <c r="P971" s="8"/>
      <c r="Q971" s="8"/>
      <c r="R971" s="8">
        <v>100</v>
      </c>
      <c r="S971" s="8"/>
      <c r="T971" s="8"/>
      <c r="U971" s="8"/>
      <c r="V971" s="8"/>
      <c r="W971" s="8"/>
      <c r="X971" s="8"/>
      <c r="Y971" s="8"/>
      <c r="Z971" s="10" t="s">
        <v>4427</v>
      </c>
      <c r="AA971" s="8" t="s">
        <v>332</v>
      </c>
      <c r="AB971" s="8">
        <v>1</v>
      </c>
    </row>
    <row r="972" spans="1:28" ht="21.6" customHeight="1">
      <c r="A972" s="8">
        <v>94</v>
      </c>
      <c r="B972" s="8">
        <v>2025091815</v>
      </c>
      <c r="C972" s="8">
        <v>1</v>
      </c>
      <c r="D972" s="8" t="s">
        <v>3177</v>
      </c>
      <c r="E972" s="8" t="s">
        <v>118</v>
      </c>
      <c r="F972" s="8" t="s">
        <v>4423</v>
      </c>
      <c r="G972" s="8" t="s">
        <v>3204</v>
      </c>
      <c r="H972" s="8" t="s">
        <v>3427</v>
      </c>
      <c r="I972" s="8" t="s">
        <v>4428</v>
      </c>
      <c r="J972" s="8" t="s">
        <v>3277</v>
      </c>
      <c r="K972" s="8" t="s">
        <v>3183</v>
      </c>
      <c r="L972" s="10" t="s">
        <v>3398</v>
      </c>
      <c r="M972" s="10" t="s">
        <v>3399</v>
      </c>
      <c r="N972" s="10" t="s">
        <v>3400</v>
      </c>
      <c r="O972" s="8" t="s">
        <v>363</v>
      </c>
      <c r="P972" s="8"/>
      <c r="Q972" s="8"/>
      <c r="R972" s="8">
        <v>100</v>
      </c>
      <c r="S972" s="8"/>
      <c r="T972" s="8"/>
      <c r="U972" s="8"/>
      <c r="V972" s="8"/>
      <c r="W972" s="8"/>
      <c r="X972" s="8"/>
      <c r="Y972" s="8"/>
      <c r="Z972" s="10" t="s">
        <v>4429</v>
      </c>
      <c r="AA972" s="8" t="s">
        <v>332</v>
      </c>
      <c r="AB972" s="8">
        <v>1</v>
      </c>
    </row>
    <row r="973" spans="1:28" ht="21.6" customHeight="1">
      <c r="A973" s="8">
        <v>95</v>
      </c>
      <c r="B973" s="8">
        <v>2025091814</v>
      </c>
      <c r="C973" s="8">
        <v>1</v>
      </c>
      <c r="D973" s="8" t="s">
        <v>3177</v>
      </c>
      <c r="E973" s="8" t="s">
        <v>118</v>
      </c>
      <c r="F973" s="8" t="s">
        <v>4423</v>
      </c>
      <c r="G973" s="8" t="s">
        <v>3368</v>
      </c>
      <c r="H973" s="8" t="s">
        <v>3204</v>
      </c>
      <c r="I973" s="8" t="s">
        <v>4430</v>
      </c>
      <c r="J973" s="8" t="s">
        <v>3277</v>
      </c>
      <c r="K973" s="8" t="s">
        <v>3183</v>
      </c>
      <c r="L973" s="10" t="s">
        <v>3398</v>
      </c>
      <c r="M973" s="10" t="s">
        <v>3535</v>
      </c>
      <c r="N973" s="10" t="s">
        <v>3494</v>
      </c>
      <c r="O973" s="8" t="s">
        <v>363</v>
      </c>
      <c r="P973" s="8"/>
      <c r="Q973" s="8"/>
      <c r="R973" s="8">
        <v>100</v>
      </c>
      <c r="S973" s="8"/>
      <c r="T973" s="8"/>
      <c r="U973" s="8"/>
      <c r="V973" s="8"/>
      <c r="W973" s="8"/>
      <c r="X973" s="8"/>
      <c r="Y973" s="8"/>
      <c r="Z973" s="10" t="s">
        <v>4431</v>
      </c>
      <c r="AA973" s="8" t="s">
        <v>332</v>
      </c>
      <c r="AB973" s="8">
        <v>1</v>
      </c>
    </row>
    <row r="974" spans="1:28" ht="21.6" customHeight="1">
      <c r="A974" s="8">
        <v>103</v>
      </c>
      <c r="B974" s="8">
        <v>2025091754</v>
      </c>
      <c r="C974" s="8">
        <v>1</v>
      </c>
      <c r="D974" s="8" t="s">
        <v>3177</v>
      </c>
      <c r="E974" s="8" t="s">
        <v>118</v>
      </c>
      <c r="F974" s="8" t="s">
        <v>4423</v>
      </c>
      <c r="G974" s="8" t="s">
        <v>3233</v>
      </c>
      <c r="H974" s="8" t="s">
        <v>3381</v>
      </c>
      <c r="I974" s="8" t="s">
        <v>4079</v>
      </c>
      <c r="J974" s="8" t="s">
        <v>3298</v>
      </c>
      <c r="K974" s="8" t="s">
        <v>3183</v>
      </c>
      <c r="L974" s="10" t="s">
        <v>4080</v>
      </c>
      <c r="M974" s="10" t="s">
        <v>4081</v>
      </c>
      <c r="N974" s="10" t="s">
        <v>4082</v>
      </c>
      <c r="O974" s="8" t="s">
        <v>322</v>
      </c>
      <c r="P974" s="8"/>
      <c r="Q974" s="8"/>
      <c r="R974" s="8">
        <v>117282</v>
      </c>
      <c r="S974" s="8"/>
      <c r="T974" s="8"/>
      <c r="U974" s="8" t="s">
        <v>332</v>
      </c>
      <c r="V974" s="8"/>
      <c r="W974" s="8"/>
      <c r="X974" s="8"/>
      <c r="Y974" s="8"/>
      <c r="Z974" s="10" t="s">
        <v>3362</v>
      </c>
      <c r="AA974" s="8" t="s">
        <v>332</v>
      </c>
      <c r="AB974" s="8">
        <v>1</v>
      </c>
    </row>
    <row r="975" spans="1:28" ht="21.6" customHeight="1">
      <c r="A975" s="8">
        <v>124</v>
      </c>
      <c r="B975" s="8">
        <v>2025091753</v>
      </c>
      <c r="C975" s="8">
        <v>1</v>
      </c>
      <c r="D975" s="8" t="s">
        <v>3177</v>
      </c>
      <c r="E975" s="8" t="s">
        <v>118</v>
      </c>
      <c r="F975" s="8" t="s">
        <v>4423</v>
      </c>
      <c r="G975" s="8" t="s">
        <v>3280</v>
      </c>
      <c r="H975" s="8" t="s">
        <v>3233</v>
      </c>
      <c r="I975" s="8" t="s">
        <v>3539</v>
      </c>
      <c r="J975" s="8" t="s">
        <v>3298</v>
      </c>
      <c r="K975" s="8" t="s">
        <v>3183</v>
      </c>
      <c r="L975" s="10" t="s">
        <v>3540</v>
      </c>
      <c r="M975" s="10" t="s">
        <v>3541</v>
      </c>
      <c r="N975" s="10"/>
      <c r="O975" s="8" t="s">
        <v>322</v>
      </c>
      <c r="P975" s="8"/>
      <c r="Q975" s="8"/>
      <c r="R975" s="8">
        <v>80962</v>
      </c>
      <c r="S975" s="8"/>
      <c r="T975" s="8"/>
      <c r="U975" s="8" t="s">
        <v>332</v>
      </c>
      <c r="V975" s="8"/>
      <c r="W975" s="8"/>
      <c r="X975" s="8"/>
      <c r="Y975" s="8" t="s">
        <v>332</v>
      </c>
      <c r="Z975" s="10" t="s">
        <v>4432</v>
      </c>
      <c r="AA975" s="8" t="s">
        <v>332</v>
      </c>
      <c r="AB975" s="8">
        <v>1</v>
      </c>
    </row>
    <row r="976" spans="1:28" ht="21.6" customHeight="1">
      <c r="A976" s="8">
        <v>132</v>
      </c>
      <c r="B976" s="8">
        <v>2025090448</v>
      </c>
      <c r="C976" s="8">
        <v>1</v>
      </c>
      <c r="D976" s="8" t="s">
        <v>3177</v>
      </c>
      <c r="E976" s="8" t="s">
        <v>118</v>
      </c>
      <c r="F976" s="8" t="s">
        <v>238</v>
      </c>
      <c r="G976" s="8" t="s">
        <v>3386</v>
      </c>
      <c r="H976" s="8" t="s">
        <v>3387</v>
      </c>
      <c r="I976" s="8" t="s">
        <v>4375</v>
      </c>
      <c r="J976" s="8" t="s">
        <v>3543</v>
      </c>
      <c r="K976" s="8" t="s">
        <v>3183</v>
      </c>
      <c r="L976" s="10" t="s">
        <v>3254</v>
      </c>
      <c r="M976" s="10" t="s">
        <v>3742</v>
      </c>
      <c r="N976" s="10" t="s">
        <v>4376</v>
      </c>
      <c r="O976" s="8" t="s">
        <v>3190</v>
      </c>
      <c r="P976" s="8"/>
      <c r="Q976" s="8"/>
      <c r="R976" s="8">
        <v>19</v>
      </c>
      <c r="S976" s="8"/>
      <c r="T976" s="8"/>
      <c r="U976" s="8"/>
      <c r="V976" s="8"/>
      <c r="W976" s="8"/>
      <c r="X976" s="8"/>
      <c r="Y976" s="8"/>
      <c r="Z976" s="10" t="s">
        <v>3696</v>
      </c>
      <c r="AA976" s="8" t="s">
        <v>332</v>
      </c>
      <c r="AB976" s="8">
        <v>1</v>
      </c>
    </row>
    <row r="977" spans="1:28" ht="21.6" customHeight="1">
      <c r="A977" s="8">
        <v>163</v>
      </c>
      <c r="B977" s="8">
        <v>2025091603</v>
      </c>
      <c r="C977" s="8">
        <v>1</v>
      </c>
      <c r="D977" s="8" t="s">
        <v>3177</v>
      </c>
      <c r="E977" s="8" t="s">
        <v>134</v>
      </c>
      <c r="F977" s="8" t="s">
        <v>4420</v>
      </c>
      <c r="G977" s="8" t="s">
        <v>4433</v>
      </c>
      <c r="H977" s="8" t="s">
        <v>4013</v>
      </c>
      <c r="I977" s="8" t="s">
        <v>3585</v>
      </c>
      <c r="J977" s="8" t="s">
        <v>3301</v>
      </c>
      <c r="K977" s="8" t="s">
        <v>3183</v>
      </c>
      <c r="L977" s="10" t="s">
        <v>3586</v>
      </c>
      <c r="M977" s="10" t="s">
        <v>3587</v>
      </c>
      <c r="N977" s="10" t="s">
        <v>3430</v>
      </c>
      <c r="O977" s="8" t="s">
        <v>3190</v>
      </c>
      <c r="P977" s="8"/>
      <c r="Q977" s="8">
        <v>5401</v>
      </c>
      <c r="R977" s="8">
        <v>61282</v>
      </c>
      <c r="S977" s="8"/>
      <c r="T977" s="8"/>
      <c r="U977" s="8"/>
      <c r="V977" s="8"/>
      <c r="W977" s="8"/>
      <c r="X977" s="8"/>
      <c r="Y977" s="8"/>
      <c r="Z977" s="10"/>
      <c r="AA977" s="8" t="s">
        <v>332</v>
      </c>
      <c r="AB977" s="8">
        <v>1</v>
      </c>
    </row>
    <row r="978" spans="1:28" ht="21.6" customHeight="1">
      <c r="A978" s="8">
        <v>164</v>
      </c>
      <c r="B978" s="8">
        <v>2025091604</v>
      </c>
      <c r="C978" s="8">
        <v>1</v>
      </c>
      <c r="D978" s="8" t="s">
        <v>3177</v>
      </c>
      <c r="E978" s="8" t="s">
        <v>134</v>
      </c>
      <c r="F978" s="8" t="s">
        <v>4420</v>
      </c>
      <c r="G978" s="8" t="s">
        <v>3828</v>
      </c>
      <c r="H978" s="8" t="s">
        <v>3524</v>
      </c>
      <c r="I978" s="8" t="s">
        <v>3592</v>
      </c>
      <c r="J978" s="8" t="s">
        <v>3301</v>
      </c>
      <c r="K978" s="8" t="s">
        <v>3183</v>
      </c>
      <c r="L978" s="10" t="s">
        <v>3586</v>
      </c>
      <c r="M978" s="10" t="s">
        <v>3587</v>
      </c>
      <c r="N978" s="10" t="s">
        <v>3430</v>
      </c>
      <c r="O978" s="8" t="s">
        <v>3190</v>
      </c>
      <c r="P978" s="8"/>
      <c r="Q978" s="8">
        <v>7804</v>
      </c>
      <c r="R978" s="8">
        <v>104403</v>
      </c>
      <c r="S978" s="8"/>
      <c r="T978" s="8"/>
      <c r="U978" s="8"/>
      <c r="V978" s="8"/>
      <c r="W978" s="8"/>
      <c r="X978" s="8"/>
      <c r="Y978" s="8"/>
      <c r="Z978" s="10"/>
      <c r="AA978" s="8" t="s">
        <v>332</v>
      </c>
      <c r="AB978" s="8">
        <v>1</v>
      </c>
    </row>
    <row r="979" spans="1:28" ht="21.6" customHeight="1">
      <c r="A979" s="8">
        <v>11</v>
      </c>
      <c r="B979" s="8">
        <v>2025090590</v>
      </c>
      <c r="C979" s="8">
        <v>1</v>
      </c>
      <c r="D979" s="8" t="s">
        <v>3177</v>
      </c>
      <c r="E979" s="8" t="s">
        <v>123</v>
      </c>
      <c r="F979" s="8" t="s">
        <v>236</v>
      </c>
      <c r="G979" s="8" t="s">
        <v>4350</v>
      </c>
      <c r="H979" s="8" t="s">
        <v>3638</v>
      </c>
      <c r="I979" s="8" t="s">
        <v>3293</v>
      </c>
      <c r="J979" s="8" t="s">
        <v>3288</v>
      </c>
      <c r="K979" s="8" t="s">
        <v>3183</v>
      </c>
      <c r="L979" s="10" t="s">
        <v>3294</v>
      </c>
      <c r="M979" s="10" t="s">
        <v>3295</v>
      </c>
      <c r="N979" s="10" t="s">
        <v>3272</v>
      </c>
      <c r="O979" s="8" t="s">
        <v>3190</v>
      </c>
      <c r="P979" s="8"/>
      <c r="Q979" s="8">
        <v>2394</v>
      </c>
      <c r="R979" s="8">
        <v>295402</v>
      </c>
      <c r="S979" s="8"/>
      <c r="T979" s="8"/>
      <c r="U979" s="8"/>
      <c r="V979" s="8"/>
      <c r="W979" s="8"/>
      <c r="X979" s="8"/>
      <c r="Y979" s="8"/>
      <c r="Z979" s="10" t="s">
        <v>3186</v>
      </c>
      <c r="AA979" s="8" t="s">
        <v>332</v>
      </c>
      <c r="AB979" s="8">
        <v>1</v>
      </c>
    </row>
    <row r="980" spans="1:28" ht="21.6" customHeight="1">
      <c r="A980" s="8">
        <v>51</v>
      </c>
      <c r="B980" s="8">
        <v>2025091770</v>
      </c>
      <c r="C980" s="8">
        <v>1</v>
      </c>
      <c r="D980" s="8" t="s">
        <v>3177</v>
      </c>
      <c r="E980" s="8" t="s">
        <v>118</v>
      </c>
      <c r="F980" s="8" t="s">
        <v>4423</v>
      </c>
      <c r="G980" s="8" t="s">
        <v>3381</v>
      </c>
      <c r="H980" s="8" t="s">
        <v>3401</v>
      </c>
      <c r="I980" s="8" t="s">
        <v>3370</v>
      </c>
      <c r="J980" s="8" t="s">
        <v>3195</v>
      </c>
      <c r="K980" s="8" t="s">
        <v>3183</v>
      </c>
      <c r="L980" s="10" t="s">
        <v>3371</v>
      </c>
      <c r="M980" s="10" t="s">
        <v>3372</v>
      </c>
      <c r="N980" s="10" t="s">
        <v>3373</v>
      </c>
      <c r="O980" s="8" t="s">
        <v>322</v>
      </c>
      <c r="P980" s="8"/>
      <c r="Q980" s="8">
        <v>16366</v>
      </c>
      <c r="R980" s="8">
        <v>143510</v>
      </c>
      <c r="S980" s="8" t="s">
        <v>332</v>
      </c>
      <c r="T980" s="8"/>
      <c r="U980" s="8"/>
      <c r="V980" s="8"/>
      <c r="W980" s="8"/>
      <c r="X980" s="8"/>
      <c r="Y980" s="8"/>
      <c r="Z980" s="10" t="s">
        <v>3696</v>
      </c>
      <c r="AA980" s="8" t="s">
        <v>332</v>
      </c>
      <c r="AB980" s="8">
        <v>1</v>
      </c>
    </row>
    <row r="981" spans="1:28" ht="21.6" customHeight="1">
      <c r="A981" s="8">
        <v>72</v>
      </c>
      <c r="B981" s="8">
        <v>2025090634</v>
      </c>
      <c r="C981" s="8">
        <v>1</v>
      </c>
      <c r="D981" s="8" t="s">
        <v>3177</v>
      </c>
      <c r="E981" s="8" t="s">
        <v>118</v>
      </c>
      <c r="F981" s="8" t="s">
        <v>236</v>
      </c>
      <c r="G981" s="8" t="s">
        <v>3357</v>
      </c>
      <c r="H981" s="8" t="s">
        <v>3342</v>
      </c>
      <c r="I981" s="8" t="s">
        <v>3397</v>
      </c>
      <c r="J981" s="8" t="s">
        <v>3253</v>
      </c>
      <c r="K981" s="8" t="s">
        <v>3183</v>
      </c>
      <c r="L981" s="10" t="s">
        <v>3398</v>
      </c>
      <c r="M981" s="10" t="s">
        <v>3399</v>
      </c>
      <c r="N981" s="10" t="s">
        <v>3400</v>
      </c>
      <c r="O981" s="8" t="s">
        <v>3190</v>
      </c>
      <c r="P981" s="8"/>
      <c r="Q981" s="8"/>
      <c r="R981" s="8">
        <v>399312</v>
      </c>
      <c r="S981" s="8"/>
      <c r="T981" s="8"/>
      <c r="U981" s="8"/>
      <c r="V981" s="8"/>
      <c r="W981" s="8"/>
      <c r="X981" s="8"/>
      <c r="Y981" s="8"/>
      <c r="Z981" s="10" t="s">
        <v>3696</v>
      </c>
      <c r="AA981" s="8" t="s">
        <v>332</v>
      </c>
      <c r="AB981" s="8">
        <v>1</v>
      </c>
    </row>
    <row r="982" spans="1:28" ht="21.6" customHeight="1">
      <c r="A982" s="8">
        <v>105</v>
      </c>
      <c r="B982" s="8">
        <v>2025090632</v>
      </c>
      <c r="C982" s="8">
        <v>1</v>
      </c>
      <c r="D982" s="8" t="s">
        <v>3177</v>
      </c>
      <c r="E982" s="8" t="s">
        <v>118</v>
      </c>
      <c r="F982" s="8" t="s">
        <v>236</v>
      </c>
      <c r="G982" s="8" t="s">
        <v>3401</v>
      </c>
      <c r="H982" s="8" t="s">
        <v>3357</v>
      </c>
      <c r="I982" s="8" t="s">
        <v>3510</v>
      </c>
      <c r="J982" s="8" t="s">
        <v>3298</v>
      </c>
      <c r="K982" s="8" t="s">
        <v>3183</v>
      </c>
      <c r="L982" s="10" t="s">
        <v>3398</v>
      </c>
      <c r="M982" s="10" t="s">
        <v>3511</v>
      </c>
      <c r="N982" s="10" t="s">
        <v>3512</v>
      </c>
      <c r="O982" s="8" t="s">
        <v>3190</v>
      </c>
      <c r="P982" s="8"/>
      <c r="Q982" s="8"/>
      <c r="R982" s="8">
        <v>11696</v>
      </c>
      <c r="S982" s="8"/>
      <c r="T982" s="8"/>
      <c r="U982" s="8"/>
      <c r="V982" s="8"/>
      <c r="W982" s="8"/>
      <c r="X982" s="8"/>
      <c r="Y982" s="8"/>
      <c r="Z982" s="10" t="s">
        <v>3696</v>
      </c>
      <c r="AA982" s="8" t="s">
        <v>332</v>
      </c>
      <c r="AB982" s="8">
        <v>1</v>
      </c>
    </row>
    <row r="983" spans="1:28" ht="21.6" customHeight="1">
      <c r="A983" s="8">
        <v>1</v>
      </c>
      <c r="B983" s="8">
        <v>2025091735</v>
      </c>
      <c r="C983" s="8">
        <v>1</v>
      </c>
      <c r="D983" s="8" t="s">
        <v>3177</v>
      </c>
      <c r="E983" s="8" t="s">
        <v>123</v>
      </c>
      <c r="F983" s="8" t="s">
        <v>4420</v>
      </c>
      <c r="G983" s="8" t="s">
        <v>3204</v>
      </c>
      <c r="H983" s="8" t="s">
        <v>3829</v>
      </c>
      <c r="I983" s="8" t="s">
        <v>3206</v>
      </c>
      <c r="J983" s="8" t="s">
        <v>3195</v>
      </c>
      <c r="K983" s="8" t="s">
        <v>3183</v>
      </c>
      <c r="L983" s="10" t="s">
        <v>3207</v>
      </c>
      <c r="M983" s="10" t="s">
        <v>3208</v>
      </c>
      <c r="N983" s="10" t="s">
        <v>3209</v>
      </c>
      <c r="O983" s="8" t="s">
        <v>3190</v>
      </c>
      <c r="P983" s="8"/>
      <c r="Q983" s="8">
        <v>39823</v>
      </c>
      <c r="R983" s="8">
        <v>69850</v>
      </c>
      <c r="S983" s="8"/>
      <c r="T983" s="8"/>
      <c r="U983" s="8"/>
      <c r="V983" s="8"/>
      <c r="W983" s="8"/>
      <c r="X983" s="8"/>
      <c r="Y983" s="8"/>
      <c r="Z983" s="10" t="s">
        <v>4421</v>
      </c>
      <c r="AA983" s="8" t="s">
        <v>332</v>
      </c>
      <c r="AB983" s="8">
        <v>1</v>
      </c>
    </row>
    <row r="984" spans="1:28" ht="21.6" customHeight="1">
      <c r="A984" s="8">
        <v>3</v>
      </c>
      <c r="B984" s="8">
        <v>2025091733</v>
      </c>
      <c r="C984" s="8">
        <v>1</v>
      </c>
      <c r="D984" s="8" t="s">
        <v>3177</v>
      </c>
      <c r="E984" s="8" t="s">
        <v>123</v>
      </c>
      <c r="F984" s="8" t="s">
        <v>4420</v>
      </c>
      <c r="G984" s="8" t="s">
        <v>3691</v>
      </c>
      <c r="H984" s="8" t="s">
        <v>3887</v>
      </c>
      <c r="I984" s="8" t="s">
        <v>3259</v>
      </c>
      <c r="J984" s="8" t="s">
        <v>3253</v>
      </c>
      <c r="K984" s="8" t="s">
        <v>3183</v>
      </c>
      <c r="L984" s="10" t="s">
        <v>3207</v>
      </c>
      <c r="M984" s="10" t="s">
        <v>3208</v>
      </c>
      <c r="N984" s="10" t="s">
        <v>3260</v>
      </c>
      <c r="O984" s="8" t="s">
        <v>3190</v>
      </c>
      <c r="P984" s="8"/>
      <c r="Q984" s="8"/>
      <c r="R984" s="8">
        <v>90207</v>
      </c>
      <c r="S984" s="8"/>
      <c r="T984" s="8"/>
      <c r="U984" s="8"/>
      <c r="V984" s="8"/>
      <c r="W984" s="8"/>
      <c r="X984" s="8"/>
      <c r="Y984" s="8"/>
      <c r="Z984" s="10" t="s">
        <v>4422</v>
      </c>
      <c r="AA984" s="8" t="s">
        <v>332</v>
      </c>
      <c r="AB984" s="8">
        <v>1</v>
      </c>
    </row>
    <row r="985" spans="1:28" ht="21.6" customHeight="1">
      <c r="A985" s="8">
        <v>86</v>
      </c>
      <c r="B985" s="8">
        <v>2025091010</v>
      </c>
      <c r="C985" s="8">
        <v>1</v>
      </c>
      <c r="D985" s="8" t="s">
        <v>3177</v>
      </c>
      <c r="E985" s="8" t="s">
        <v>118</v>
      </c>
      <c r="F985" s="8" t="s">
        <v>4411</v>
      </c>
      <c r="G985" s="8" t="s">
        <v>3387</v>
      </c>
      <c r="H985" s="8" t="s">
        <v>3426</v>
      </c>
      <c r="I985" s="8" t="s">
        <v>3440</v>
      </c>
      <c r="J985" s="8" t="s">
        <v>3277</v>
      </c>
      <c r="K985" s="8" t="s">
        <v>3183</v>
      </c>
      <c r="L985" s="10" t="s">
        <v>3434</v>
      </c>
      <c r="M985" s="10" t="s">
        <v>3441</v>
      </c>
      <c r="N985" s="10" t="s">
        <v>3442</v>
      </c>
      <c r="O985" s="8" t="s">
        <v>3190</v>
      </c>
      <c r="P985" s="8"/>
      <c r="Q985" s="8"/>
      <c r="R985" s="8">
        <v>136290</v>
      </c>
      <c r="S985" s="8"/>
      <c r="T985" s="8"/>
      <c r="U985" s="8"/>
      <c r="V985" s="8"/>
      <c r="W985" s="8"/>
      <c r="X985" s="8"/>
      <c r="Y985" s="8"/>
      <c r="Z985" s="10" t="s">
        <v>111</v>
      </c>
      <c r="AA985" s="8" t="s">
        <v>332</v>
      </c>
      <c r="AB985" s="8">
        <v>1</v>
      </c>
    </row>
    <row r="986" spans="1:28" ht="21.6" customHeight="1">
      <c r="A986" s="8">
        <v>1</v>
      </c>
      <c r="B986" s="8">
        <v>2025092089</v>
      </c>
      <c r="C986" s="8">
        <v>1</v>
      </c>
      <c r="D986" s="8" t="s">
        <v>3177</v>
      </c>
      <c r="E986" s="8" t="s">
        <v>123</v>
      </c>
      <c r="F986" s="8" t="s">
        <v>4434</v>
      </c>
      <c r="G986" s="8" t="s">
        <v>4054</v>
      </c>
      <c r="H986" s="8" t="s">
        <v>4350</v>
      </c>
      <c r="I986" s="8" t="s">
        <v>3194</v>
      </c>
      <c r="J986" s="8" t="s">
        <v>3195</v>
      </c>
      <c r="K986" s="8" t="s">
        <v>3183</v>
      </c>
      <c r="L986" s="10" t="s">
        <v>3196</v>
      </c>
      <c r="M986" s="10" t="s">
        <v>3197</v>
      </c>
      <c r="N986" s="10" t="s">
        <v>123</v>
      </c>
      <c r="O986" s="8" t="s">
        <v>322</v>
      </c>
      <c r="P986" s="8"/>
      <c r="Q986" s="8">
        <v>84</v>
      </c>
      <c r="R986" s="8">
        <v>3496</v>
      </c>
      <c r="S986" s="8" t="s">
        <v>332</v>
      </c>
      <c r="T986" s="8"/>
      <c r="U986" s="8"/>
      <c r="V986" s="8"/>
      <c r="W986" s="8"/>
      <c r="X986" s="8"/>
      <c r="Y986" s="8"/>
      <c r="Z986" s="10" t="s">
        <v>3186</v>
      </c>
      <c r="AA986" s="8" t="s">
        <v>332</v>
      </c>
      <c r="AB986" s="8">
        <v>1</v>
      </c>
    </row>
    <row r="987" spans="1:28" ht="21.6" customHeight="1">
      <c r="A987" s="8">
        <v>3</v>
      </c>
      <c r="B987" s="8">
        <v>2025092143</v>
      </c>
      <c r="C987" s="8">
        <v>1</v>
      </c>
      <c r="D987" s="8" t="s">
        <v>3177</v>
      </c>
      <c r="E987" s="8" t="s">
        <v>123</v>
      </c>
      <c r="F987" s="8" t="s">
        <v>4434</v>
      </c>
      <c r="G987" s="8" t="s">
        <v>3427</v>
      </c>
      <c r="H987" s="8" t="s">
        <v>3258</v>
      </c>
      <c r="I987" s="8" t="s">
        <v>3200</v>
      </c>
      <c r="J987" s="8" t="s">
        <v>3195</v>
      </c>
      <c r="K987" s="8" t="s">
        <v>3183</v>
      </c>
      <c r="L987" s="10" t="s">
        <v>3201</v>
      </c>
      <c r="M987" s="10" t="s">
        <v>3202</v>
      </c>
      <c r="N987" s="10" t="s">
        <v>3885</v>
      </c>
      <c r="O987" s="8" t="s">
        <v>3190</v>
      </c>
      <c r="P987" s="8"/>
      <c r="Q987" s="8">
        <v>2195</v>
      </c>
      <c r="R987" s="8">
        <v>17416</v>
      </c>
      <c r="S987" s="8"/>
      <c r="T987" s="8"/>
      <c r="U987" s="8"/>
      <c r="V987" s="8"/>
      <c r="W987" s="8"/>
      <c r="X987" s="8"/>
      <c r="Y987" s="8"/>
      <c r="Z987" s="10" t="s">
        <v>3186</v>
      </c>
      <c r="AA987" s="8" t="s">
        <v>332</v>
      </c>
      <c r="AB987" s="8">
        <v>1</v>
      </c>
    </row>
    <row r="988" spans="1:28" ht="21.6" customHeight="1">
      <c r="A988" s="8">
        <v>7</v>
      </c>
      <c r="B988" s="8">
        <v>2025092126</v>
      </c>
      <c r="C988" s="8">
        <v>1</v>
      </c>
      <c r="D988" s="8" t="s">
        <v>3177</v>
      </c>
      <c r="E988" s="8" t="s">
        <v>123</v>
      </c>
      <c r="F988" s="8" t="s">
        <v>4434</v>
      </c>
      <c r="G988" s="8" t="s">
        <v>4435</v>
      </c>
      <c r="H988" s="8" t="s">
        <v>4023</v>
      </c>
      <c r="I988" s="8" t="s">
        <v>3212</v>
      </c>
      <c r="J988" s="8" t="s">
        <v>3195</v>
      </c>
      <c r="K988" s="8" t="s">
        <v>3183</v>
      </c>
      <c r="L988" s="10" t="s">
        <v>3213</v>
      </c>
      <c r="M988" s="10" t="s">
        <v>3214</v>
      </c>
      <c r="N988" s="10" t="s">
        <v>3215</v>
      </c>
      <c r="O988" s="8" t="s">
        <v>3190</v>
      </c>
      <c r="P988" s="8"/>
      <c r="Q988" s="8">
        <v>128</v>
      </c>
      <c r="R988" s="8">
        <v>886</v>
      </c>
      <c r="S988" s="8"/>
      <c r="T988" s="8"/>
      <c r="U988" s="8"/>
      <c r="V988" s="8"/>
      <c r="W988" s="8"/>
      <c r="X988" s="8"/>
      <c r="Y988" s="8"/>
      <c r="Z988" s="10" t="s">
        <v>3190</v>
      </c>
      <c r="AA988" s="8" t="s">
        <v>332</v>
      </c>
      <c r="AB988" s="8">
        <v>1</v>
      </c>
    </row>
    <row r="989" spans="1:28" ht="21.6" customHeight="1">
      <c r="A989" s="8">
        <v>8</v>
      </c>
      <c r="B989" s="8">
        <v>2025092109</v>
      </c>
      <c r="C989" s="8">
        <v>1</v>
      </c>
      <c r="D989" s="8" t="s">
        <v>3177</v>
      </c>
      <c r="E989" s="8" t="s">
        <v>123</v>
      </c>
      <c r="F989" s="8" t="s">
        <v>4434</v>
      </c>
      <c r="G989" s="8" t="s">
        <v>3903</v>
      </c>
      <c r="H989" s="8" t="s">
        <v>3627</v>
      </c>
      <c r="I989" s="8" t="s">
        <v>3218</v>
      </c>
      <c r="J989" s="8" t="s">
        <v>3195</v>
      </c>
      <c r="K989" s="8" t="s">
        <v>3183</v>
      </c>
      <c r="L989" s="10" t="s">
        <v>3219</v>
      </c>
      <c r="M989" s="10" t="s">
        <v>3220</v>
      </c>
      <c r="N989" s="10"/>
      <c r="O989" s="8" t="s">
        <v>322</v>
      </c>
      <c r="P989" s="8"/>
      <c r="Q989" s="8">
        <v>155</v>
      </c>
      <c r="R989" s="8">
        <v>6998</v>
      </c>
      <c r="S989" s="8" t="s">
        <v>332</v>
      </c>
      <c r="T989" s="8"/>
      <c r="U989" s="8"/>
      <c r="V989" s="8"/>
      <c r="W989" s="8"/>
      <c r="X989" s="8"/>
      <c r="Y989" s="8"/>
      <c r="Z989" s="10" t="s">
        <v>3186</v>
      </c>
      <c r="AA989" s="8" t="s">
        <v>332</v>
      </c>
      <c r="AB989" s="8">
        <v>1</v>
      </c>
    </row>
    <row r="990" spans="1:28" ht="21.6" customHeight="1">
      <c r="A990" s="8">
        <v>10</v>
      </c>
      <c r="B990" s="8">
        <v>2025092113</v>
      </c>
      <c r="C990" s="8">
        <v>1</v>
      </c>
      <c r="D990" s="8" t="s">
        <v>3177</v>
      </c>
      <c r="E990" s="8" t="s">
        <v>123</v>
      </c>
      <c r="F990" s="8" t="s">
        <v>4434</v>
      </c>
      <c r="G990" s="8" t="s">
        <v>3650</v>
      </c>
      <c r="H990" s="8" t="s">
        <v>3486</v>
      </c>
      <c r="I990" s="8" t="s">
        <v>3223</v>
      </c>
      <c r="J990" s="8" t="s">
        <v>3224</v>
      </c>
      <c r="K990" s="8" t="s">
        <v>3183</v>
      </c>
      <c r="L990" s="10" t="s">
        <v>3225</v>
      </c>
      <c r="M990" s="10" t="s">
        <v>3226</v>
      </c>
      <c r="N990" s="10" t="s">
        <v>3227</v>
      </c>
      <c r="O990" s="8" t="s">
        <v>322</v>
      </c>
      <c r="P990" s="8"/>
      <c r="Q990" s="8">
        <v>330</v>
      </c>
      <c r="R990" s="8">
        <v>1570</v>
      </c>
      <c r="S990" s="8" t="s">
        <v>332</v>
      </c>
      <c r="T990" s="8"/>
      <c r="U990" s="8"/>
      <c r="V990" s="8"/>
      <c r="W990" s="8"/>
      <c r="X990" s="8"/>
      <c r="Y990" s="8"/>
      <c r="Z990" s="10" t="s">
        <v>3186</v>
      </c>
      <c r="AA990" s="8" t="s">
        <v>332</v>
      </c>
      <c r="AB990" s="8">
        <v>1</v>
      </c>
    </row>
    <row r="991" spans="1:28" ht="21.6" customHeight="1">
      <c r="A991" s="8">
        <v>12</v>
      </c>
      <c r="B991" s="8">
        <v>2025092104</v>
      </c>
      <c r="C991" s="8">
        <v>1</v>
      </c>
      <c r="D991" s="8" t="s">
        <v>3177</v>
      </c>
      <c r="E991" s="8" t="s">
        <v>123</v>
      </c>
      <c r="F991" s="8" t="s">
        <v>4434</v>
      </c>
      <c r="G991" s="8" t="s">
        <v>3751</v>
      </c>
      <c r="H991" s="8" t="s">
        <v>3357</v>
      </c>
      <c r="I991" s="8" t="s">
        <v>3229</v>
      </c>
      <c r="J991" s="8" t="s">
        <v>3224</v>
      </c>
      <c r="K991" s="8" t="s">
        <v>3183</v>
      </c>
      <c r="L991" s="10" t="s">
        <v>3230</v>
      </c>
      <c r="M991" s="10" t="s">
        <v>3231</v>
      </c>
      <c r="N991" s="10" t="s">
        <v>3215</v>
      </c>
      <c r="O991" s="8" t="s">
        <v>322</v>
      </c>
      <c r="P991" s="8"/>
      <c r="Q991" s="8">
        <v>4205</v>
      </c>
      <c r="R991" s="8">
        <v>3355</v>
      </c>
      <c r="S991" s="8" t="s">
        <v>332</v>
      </c>
      <c r="T991" s="8"/>
      <c r="U991" s="8"/>
      <c r="V991" s="8"/>
      <c r="W991" s="8"/>
      <c r="X991" s="8"/>
      <c r="Y991" s="8"/>
      <c r="Z991" s="10" t="s">
        <v>3186</v>
      </c>
      <c r="AA991" s="8" t="s">
        <v>332</v>
      </c>
      <c r="AB991" s="8">
        <v>1</v>
      </c>
    </row>
    <row r="992" spans="1:28" ht="21.6" customHeight="1">
      <c r="A992" s="8">
        <v>14</v>
      </c>
      <c r="B992" s="8">
        <v>2025092139</v>
      </c>
      <c r="C992" s="8">
        <v>1</v>
      </c>
      <c r="D992" s="8" t="s">
        <v>3177</v>
      </c>
      <c r="E992" s="8" t="s">
        <v>123</v>
      </c>
      <c r="F992" s="8" t="s">
        <v>4434</v>
      </c>
      <c r="G992" s="8" t="s">
        <v>3329</v>
      </c>
      <c r="H992" s="8" t="s">
        <v>3330</v>
      </c>
      <c r="I992" s="8" t="s">
        <v>3240</v>
      </c>
      <c r="J992" s="8" t="s">
        <v>3224</v>
      </c>
      <c r="K992" s="8" t="s">
        <v>3183</v>
      </c>
      <c r="L992" s="10" t="s">
        <v>3241</v>
      </c>
      <c r="M992" s="10" t="s">
        <v>3242</v>
      </c>
      <c r="N992" s="10"/>
      <c r="O992" s="8" t="s">
        <v>322</v>
      </c>
      <c r="P992" s="8"/>
      <c r="Q992" s="8">
        <v>2199</v>
      </c>
      <c r="R992" s="8">
        <v>1601</v>
      </c>
      <c r="S992" s="8" t="s">
        <v>332</v>
      </c>
      <c r="T992" s="8"/>
      <c r="U992" s="8"/>
      <c r="V992" s="8"/>
      <c r="W992" s="8"/>
      <c r="X992" s="8"/>
      <c r="Y992" s="8"/>
      <c r="Z992" s="10" t="s">
        <v>3186</v>
      </c>
      <c r="AA992" s="8" t="s">
        <v>332</v>
      </c>
      <c r="AB992" s="8">
        <v>1</v>
      </c>
    </row>
    <row r="993" spans="1:28" ht="21.6" customHeight="1">
      <c r="A993" s="8">
        <v>16</v>
      </c>
      <c r="B993" s="8">
        <v>2025092161</v>
      </c>
      <c r="C993" s="8">
        <v>1</v>
      </c>
      <c r="D993" s="8" t="s">
        <v>3177</v>
      </c>
      <c r="E993" s="8" t="s">
        <v>123</v>
      </c>
      <c r="F993" s="8" t="s">
        <v>4434</v>
      </c>
      <c r="G993" s="8" t="s">
        <v>3805</v>
      </c>
      <c r="H993" s="8" t="s">
        <v>3594</v>
      </c>
      <c r="I993" s="8" t="s">
        <v>3246</v>
      </c>
      <c r="J993" s="8" t="s">
        <v>3224</v>
      </c>
      <c r="K993" s="8" t="s">
        <v>3183</v>
      </c>
      <c r="L993" s="10" t="s">
        <v>3247</v>
      </c>
      <c r="M993" s="10" t="s">
        <v>3248</v>
      </c>
      <c r="N993" s="10" t="s">
        <v>3215</v>
      </c>
      <c r="O993" s="8" t="s">
        <v>322</v>
      </c>
      <c r="P993" s="8"/>
      <c r="Q993" s="8">
        <v>788</v>
      </c>
      <c r="R993" s="8">
        <v>1950</v>
      </c>
      <c r="S993" s="8" t="s">
        <v>332</v>
      </c>
      <c r="T993" s="8"/>
      <c r="U993" s="8"/>
      <c r="V993" s="8"/>
      <c r="W993" s="8"/>
      <c r="X993" s="8"/>
      <c r="Y993" s="8"/>
      <c r="Z993" s="10" t="s">
        <v>3186</v>
      </c>
      <c r="AA993" s="8" t="s">
        <v>332</v>
      </c>
      <c r="AB993" s="8">
        <v>1</v>
      </c>
    </row>
    <row r="994" spans="1:28" ht="21.6" customHeight="1">
      <c r="A994" s="8">
        <v>18</v>
      </c>
      <c r="B994" s="8">
        <v>2025092087</v>
      </c>
      <c r="C994" s="8">
        <v>1</v>
      </c>
      <c r="D994" s="8" t="s">
        <v>3177</v>
      </c>
      <c r="E994" s="8" t="s">
        <v>123</v>
      </c>
      <c r="F994" s="8" t="s">
        <v>4434</v>
      </c>
      <c r="G994" s="8" t="s">
        <v>3363</v>
      </c>
      <c r="H994" s="8" t="s">
        <v>3232</v>
      </c>
      <c r="I994" s="8" t="s">
        <v>4370</v>
      </c>
      <c r="J994" s="8" t="s">
        <v>3224</v>
      </c>
      <c r="K994" s="8" t="s">
        <v>3183</v>
      </c>
      <c r="L994" s="10" t="s">
        <v>4371</v>
      </c>
      <c r="M994" s="10" t="s">
        <v>3185</v>
      </c>
      <c r="N994" s="10"/>
      <c r="O994" s="8" t="s">
        <v>322</v>
      </c>
      <c r="P994" s="8"/>
      <c r="Q994" s="8">
        <v>194</v>
      </c>
      <c r="R994" s="8">
        <v>2829</v>
      </c>
      <c r="S994" s="8" t="s">
        <v>332</v>
      </c>
      <c r="T994" s="8"/>
      <c r="U994" s="8"/>
      <c r="V994" s="8"/>
      <c r="W994" s="8"/>
      <c r="X994" s="8"/>
      <c r="Y994" s="8"/>
      <c r="Z994" s="10" t="s">
        <v>3186</v>
      </c>
      <c r="AA994" s="8" t="s">
        <v>332</v>
      </c>
      <c r="AB994" s="8">
        <v>1</v>
      </c>
    </row>
    <row r="995" spans="1:28" ht="21.6" customHeight="1">
      <c r="A995" s="8">
        <v>24</v>
      </c>
      <c r="B995" s="8">
        <v>2025090774</v>
      </c>
      <c r="C995" s="8">
        <v>1</v>
      </c>
      <c r="D995" s="8" t="s">
        <v>3177</v>
      </c>
      <c r="E995" s="8" t="s">
        <v>123</v>
      </c>
      <c r="F995" s="8" t="s">
        <v>4406</v>
      </c>
      <c r="G995" s="8" t="s">
        <v>4407</v>
      </c>
      <c r="H995" s="8" t="s">
        <v>3771</v>
      </c>
      <c r="I995" s="8" t="s">
        <v>3276</v>
      </c>
      <c r="J995" s="8" t="s">
        <v>3277</v>
      </c>
      <c r="K995" s="8" t="s">
        <v>3183</v>
      </c>
      <c r="L995" s="10" t="s">
        <v>3278</v>
      </c>
      <c r="M995" s="10" t="s">
        <v>3279</v>
      </c>
      <c r="N995" s="10" t="s">
        <v>4408</v>
      </c>
      <c r="O995" s="8" t="s">
        <v>3190</v>
      </c>
      <c r="P995" s="8"/>
      <c r="Q995" s="8"/>
      <c r="R995" s="8">
        <v>67393</v>
      </c>
      <c r="S995" s="8"/>
      <c r="T995" s="8"/>
      <c r="U995" s="8"/>
      <c r="V995" s="8"/>
      <c r="W995" s="8"/>
      <c r="X995" s="8"/>
      <c r="Y995" s="8"/>
      <c r="Z995" s="10" t="s">
        <v>3186</v>
      </c>
      <c r="AA995" s="8" t="s">
        <v>332</v>
      </c>
      <c r="AB995" s="8">
        <v>1</v>
      </c>
    </row>
    <row r="996" spans="1:28" ht="21.6" customHeight="1">
      <c r="A996" s="8">
        <v>32</v>
      </c>
      <c r="B996" s="8">
        <v>2025092094</v>
      </c>
      <c r="C996" s="8">
        <v>1</v>
      </c>
      <c r="D996" s="8" t="s">
        <v>3177</v>
      </c>
      <c r="E996" s="8" t="s">
        <v>123</v>
      </c>
      <c r="F996" s="8" t="s">
        <v>4434</v>
      </c>
      <c r="G996" s="8" t="s">
        <v>3381</v>
      </c>
      <c r="H996" s="8" t="s">
        <v>3869</v>
      </c>
      <c r="I996" s="8" t="s">
        <v>3307</v>
      </c>
      <c r="J996" s="8" t="s">
        <v>3301</v>
      </c>
      <c r="K996" s="8" t="s">
        <v>3183</v>
      </c>
      <c r="L996" s="10" t="s">
        <v>3308</v>
      </c>
      <c r="M996" s="10" t="s">
        <v>3309</v>
      </c>
      <c r="N996" s="10" t="s">
        <v>3310</v>
      </c>
      <c r="O996" s="8" t="s">
        <v>322</v>
      </c>
      <c r="P996" s="8"/>
      <c r="Q996" s="8">
        <v>5522</v>
      </c>
      <c r="R996" s="8">
        <v>44340</v>
      </c>
      <c r="S996" s="8" t="s">
        <v>332</v>
      </c>
      <c r="T996" s="8"/>
      <c r="U996" s="8"/>
      <c r="V996" s="8"/>
      <c r="W996" s="8"/>
      <c r="X996" s="8"/>
      <c r="Y996" s="8"/>
      <c r="Z996" s="10" t="s">
        <v>3186</v>
      </c>
      <c r="AA996" s="8" t="s">
        <v>332</v>
      </c>
      <c r="AB996" s="8">
        <v>1</v>
      </c>
    </row>
    <row r="997" spans="1:28" ht="21.6" customHeight="1">
      <c r="A997" s="8">
        <v>34</v>
      </c>
      <c r="B997" s="8">
        <v>2025092151</v>
      </c>
      <c r="C997" s="8">
        <v>1</v>
      </c>
      <c r="D997" s="8" t="s">
        <v>3177</v>
      </c>
      <c r="E997" s="8" t="s">
        <v>123</v>
      </c>
      <c r="F997" s="8" t="s">
        <v>4434</v>
      </c>
      <c r="G997" s="8" t="s">
        <v>3691</v>
      </c>
      <c r="H997" s="8" t="s">
        <v>3887</v>
      </c>
      <c r="I997" s="8" t="s">
        <v>4230</v>
      </c>
      <c r="J997" s="8" t="s">
        <v>3328</v>
      </c>
      <c r="K997" s="8" t="s">
        <v>3183</v>
      </c>
      <c r="L997" s="10" t="s">
        <v>3314</v>
      </c>
      <c r="M997" s="10" t="s">
        <v>3315</v>
      </c>
      <c r="N997" s="10"/>
      <c r="O997" s="8" t="s">
        <v>322</v>
      </c>
      <c r="P997" s="8"/>
      <c r="Q997" s="8">
        <v>1941</v>
      </c>
      <c r="R997" s="8">
        <v>3554</v>
      </c>
      <c r="S997" s="8" t="s">
        <v>332</v>
      </c>
      <c r="T997" s="8"/>
      <c r="U997" s="8"/>
      <c r="V997" s="8"/>
      <c r="W997" s="8"/>
      <c r="X997" s="8"/>
      <c r="Y997" s="8"/>
      <c r="Z997" s="10" t="s">
        <v>3186</v>
      </c>
      <c r="AA997" s="8" t="s">
        <v>332</v>
      </c>
      <c r="AB997" s="8">
        <v>1</v>
      </c>
    </row>
    <row r="998" spans="1:28" ht="21.6" customHeight="1">
      <c r="A998" s="8">
        <v>72</v>
      </c>
      <c r="B998" s="8">
        <v>2025092072</v>
      </c>
      <c r="C998" s="8">
        <v>1</v>
      </c>
      <c r="D998" s="8" t="s">
        <v>3177</v>
      </c>
      <c r="E998" s="8" t="s">
        <v>118</v>
      </c>
      <c r="F998" s="8" t="s">
        <v>4434</v>
      </c>
      <c r="G998" s="8" t="s">
        <v>3363</v>
      </c>
      <c r="H998" s="8" t="s">
        <v>3233</v>
      </c>
      <c r="I998" s="8" t="s">
        <v>3358</v>
      </c>
      <c r="J998" s="8" t="s">
        <v>3195</v>
      </c>
      <c r="K998" s="8" t="s">
        <v>3183</v>
      </c>
      <c r="L998" s="10" t="s">
        <v>3359</v>
      </c>
      <c r="M998" s="10" t="s">
        <v>3360</v>
      </c>
      <c r="N998" s="10" t="s">
        <v>3361</v>
      </c>
      <c r="O998" s="8" t="s">
        <v>322</v>
      </c>
      <c r="P998" s="8"/>
      <c r="Q998" s="8">
        <v>22471</v>
      </c>
      <c r="R998" s="8">
        <v>87053</v>
      </c>
      <c r="S998" s="8" t="s">
        <v>332</v>
      </c>
      <c r="T998" s="8"/>
      <c r="U998" s="8"/>
      <c r="V998" s="8"/>
      <c r="W998" s="8"/>
      <c r="X998" s="8"/>
      <c r="Y998" s="8"/>
      <c r="Z998" s="10" t="s">
        <v>3696</v>
      </c>
      <c r="AA998" s="8" t="s">
        <v>332</v>
      </c>
      <c r="AB998" s="8">
        <v>1</v>
      </c>
    </row>
    <row r="999" spans="1:28" ht="21.6" customHeight="1">
      <c r="A999" s="8">
        <v>113</v>
      </c>
      <c r="B999" s="8">
        <v>2025092054</v>
      </c>
      <c r="C999" s="8">
        <v>1</v>
      </c>
      <c r="D999" s="8" t="s">
        <v>3177</v>
      </c>
      <c r="E999" s="8" t="s">
        <v>118</v>
      </c>
      <c r="F999" s="8" t="s">
        <v>4436</v>
      </c>
      <c r="G999" s="8" t="s">
        <v>4341</v>
      </c>
      <c r="H999" s="8" t="s">
        <v>4089</v>
      </c>
      <c r="I999" s="8" t="s">
        <v>3452</v>
      </c>
      <c r="J999" s="8" t="s">
        <v>3277</v>
      </c>
      <c r="K999" s="8" t="s">
        <v>3183</v>
      </c>
      <c r="L999" s="10" t="s">
        <v>3254</v>
      </c>
      <c r="M999" s="10" t="s">
        <v>3453</v>
      </c>
      <c r="N999" s="10" t="s">
        <v>3946</v>
      </c>
      <c r="O999" s="8" t="s">
        <v>363</v>
      </c>
      <c r="P999" s="8"/>
      <c r="Q999" s="8"/>
      <c r="R999" s="8">
        <v>7318</v>
      </c>
      <c r="S999" s="8"/>
      <c r="T999" s="8"/>
      <c r="U999" s="8"/>
      <c r="V999" s="8"/>
      <c r="W999" s="8"/>
      <c r="X999" s="8"/>
      <c r="Y999" s="8"/>
      <c r="Z999" s="10" t="s">
        <v>4437</v>
      </c>
      <c r="AA999" s="8" t="s">
        <v>332</v>
      </c>
      <c r="AB999" s="8">
        <v>1</v>
      </c>
    </row>
    <row r="1000" spans="1:28" ht="21.6" customHeight="1">
      <c r="A1000" s="8">
        <v>123</v>
      </c>
      <c r="B1000" s="8">
        <v>2025092070</v>
      </c>
      <c r="C1000" s="8">
        <v>1</v>
      </c>
      <c r="D1000" s="8" t="s">
        <v>3177</v>
      </c>
      <c r="E1000" s="8" t="s">
        <v>118</v>
      </c>
      <c r="F1000" s="8" t="s">
        <v>4434</v>
      </c>
      <c r="G1000" s="8" t="s">
        <v>4438</v>
      </c>
      <c r="H1000" s="8" t="s">
        <v>4439</v>
      </c>
      <c r="I1000" s="8" t="s">
        <v>3482</v>
      </c>
      <c r="J1000" s="8" t="s">
        <v>3288</v>
      </c>
      <c r="K1000" s="8" t="s">
        <v>3183</v>
      </c>
      <c r="L1000" s="10" t="s">
        <v>3483</v>
      </c>
      <c r="M1000" s="10" t="s">
        <v>3484</v>
      </c>
      <c r="N1000" s="10" t="s">
        <v>3485</v>
      </c>
      <c r="O1000" s="8" t="s">
        <v>322</v>
      </c>
      <c r="P1000" s="8">
        <v>1572</v>
      </c>
      <c r="Q1000" s="8">
        <v>4250</v>
      </c>
      <c r="R1000" s="8">
        <v>28898</v>
      </c>
      <c r="S1000" s="8" t="s">
        <v>332</v>
      </c>
      <c r="T1000" s="8"/>
      <c r="U1000" s="8"/>
      <c r="V1000" s="8"/>
      <c r="W1000" s="8"/>
      <c r="X1000" s="8"/>
      <c r="Y1000" s="8"/>
      <c r="Z1000" s="10" t="s">
        <v>3696</v>
      </c>
      <c r="AA1000" s="8" t="s">
        <v>332</v>
      </c>
      <c r="AB1000" s="8">
        <v>1</v>
      </c>
    </row>
    <row r="1001" spans="1:28" ht="21.6" customHeight="1">
      <c r="A1001" s="8">
        <v>155</v>
      </c>
      <c r="B1001" s="8">
        <v>2025092068</v>
      </c>
      <c r="C1001" s="8">
        <v>1</v>
      </c>
      <c r="D1001" s="8" t="s">
        <v>3177</v>
      </c>
      <c r="E1001" s="8" t="s">
        <v>118</v>
      </c>
      <c r="F1001" s="8" t="s">
        <v>4434</v>
      </c>
      <c r="G1001" s="8" t="s">
        <v>3350</v>
      </c>
      <c r="H1001" s="8" t="s">
        <v>3280</v>
      </c>
      <c r="I1001" s="8" t="s">
        <v>3539</v>
      </c>
      <c r="J1001" s="8" t="s">
        <v>3298</v>
      </c>
      <c r="K1001" s="8" t="s">
        <v>3183</v>
      </c>
      <c r="L1001" s="10" t="s">
        <v>3540</v>
      </c>
      <c r="M1001" s="10" t="s">
        <v>3541</v>
      </c>
      <c r="N1001" s="10"/>
      <c r="O1001" s="8" t="s">
        <v>322</v>
      </c>
      <c r="P1001" s="8"/>
      <c r="Q1001" s="8"/>
      <c r="R1001" s="8">
        <v>83664</v>
      </c>
      <c r="S1001" s="8" t="s">
        <v>332</v>
      </c>
      <c r="T1001" s="8"/>
      <c r="U1001" s="8"/>
      <c r="V1001" s="8"/>
      <c r="W1001" s="8"/>
      <c r="X1001" s="8"/>
      <c r="Y1001" s="8"/>
      <c r="Z1001" s="10" t="s">
        <v>3696</v>
      </c>
      <c r="AA1001" s="8" t="s">
        <v>332</v>
      </c>
      <c r="AB1001" s="8">
        <v>1</v>
      </c>
    </row>
    <row r="1002" spans="1:28" ht="21.6" customHeight="1">
      <c r="A1002" s="8">
        <v>167</v>
      </c>
      <c r="B1002" s="8">
        <v>2025092052</v>
      </c>
      <c r="C1002" s="8">
        <v>1</v>
      </c>
      <c r="D1002" s="8" t="s">
        <v>3177</v>
      </c>
      <c r="E1002" s="8" t="s">
        <v>118</v>
      </c>
      <c r="F1002" s="8" t="s">
        <v>4436</v>
      </c>
      <c r="G1002" s="8" t="s">
        <v>3426</v>
      </c>
      <c r="H1002" s="8" t="s">
        <v>3432</v>
      </c>
      <c r="I1002" s="8" t="s">
        <v>3567</v>
      </c>
      <c r="J1002" s="8" t="s">
        <v>1717</v>
      </c>
      <c r="K1002" s="8" t="s">
        <v>3183</v>
      </c>
      <c r="L1002" s="10" t="s">
        <v>3254</v>
      </c>
      <c r="M1002" s="10" t="s">
        <v>3547</v>
      </c>
      <c r="N1002" s="10" t="s">
        <v>3568</v>
      </c>
      <c r="O1002" s="8" t="s">
        <v>363</v>
      </c>
      <c r="P1002" s="8"/>
      <c r="Q1002" s="8"/>
      <c r="R1002" s="8">
        <v>58407</v>
      </c>
      <c r="S1002" s="8"/>
      <c r="T1002" s="8"/>
      <c r="U1002" s="8"/>
      <c r="V1002" s="8"/>
      <c r="W1002" s="8"/>
      <c r="X1002" s="8"/>
      <c r="Y1002" s="8"/>
      <c r="Z1002" s="10" t="s">
        <v>4440</v>
      </c>
      <c r="AA1002" s="8" t="s">
        <v>332</v>
      </c>
      <c r="AB1002" s="8">
        <v>1</v>
      </c>
    </row>
    <row r="1003" spans="1:28" ht="21.6" customHeight="1">
      <c r="A1003" s="8">
        <v>168</v>
      </c>
      <c r="B1003" s="8">
        <v>2025092053</v>
      </c>
      <c r="C1003" s="8">
        <v>1</v>
      </c>
      <c r="D1003" s="8" t="s">
        <v>3177</v>
      </c>
      <c r="E1003" s="8" t="s">
        <v>118</v>
      </c>
      <c r="F1003" s="8" t="s">
        <v>4436</v>
      </c>
      <c r="G1003" s="8" t="s">
        <v>4441</v>
      </c>
      <c r="H1003" s="8" t="s">
        <v>4442</v>
      </c>
      <c r="I1003" s="8" t="s">
        <v>3570</v>
      </c>
      <c r="J1003" s="8" t="s">
        <v>1717</v>
      </c>
      <c r="K1003" s="8" t="s">
        <v>3183</v>
      </c>
      <c r="L1003" s="10" t="s">
        <v>3254</v>
      </c>
      <c r="M1003" s="10" t="s">
        <v>3547</v>
      </c>
      <c r="N1003" s="10" t="s">
        <v>3571</v>
      </c>
      <c r="O1003" s="8" t="s">
        <v>363</v>
      </c>
      <c r="P1003" s="8"/>
      <c r="Q1003" s="8"/>
      <c r="R1003" s="8">
        <v>4722</v>
      </c>
      <c r="S1003" s="8"/>
      <c r="T1003" s="8"/>
      <c r="U1003" s="8"/>
      <c r="V1003" s="8"/>
      <c r="W1003" s="8"/>
      <c r="X1003" s="8"/>
      <c r="Y1003" s="8"/>
      <c r="Z1003" s="10" t="s">
        <v>4443</v>
      </c>
      <c r="AA1003" s="8" t="s">
        <v>332</v>
      </c>
      <c r="AB1003" s="8">
        <v>1</v>
      </c>
    </row>
    <row r="1004" spans="1:28" ht="21.6" customHeight="1">
      <c r="A1004" s="8">
        <v>3</v>
      </c>
      <c r="B1004" s="8">
        <v>2025092142</v>
      </c>
      <c r="C1004" s="8">
        <v>1</v>
      </c>
      <c r="D1004" s="8" t="s">
        <v>3177</v>
      </c>
      <c r="E1004" s="8" t="s">
        <v>123</v>
      </c>
      <c r="F1004" s="8" t="s">
        <v>4434</v>
      </c>
      <c r="G1004" s="8" t="s">
        <v>3427</v>
      </c>
      <c r="H1004" s="8" t="s">
        <v>3258</v>
      </c>
      <c r="I1004" s="8" t="s">
        <v>3200</v>
      </c>
      <c r="J1004" s="8" t="s">
        <v>3195</v>
      </c>
      <c r="K1004" s="8" t="s">
        <v>3183</v>
      </c>
      <c r="L1004" s="10" t="s">
        <v>3201</v>
      </c>
      <c r="M1004" s="10" t="s">
        <v>3202</v>
      </c>
      <c r="N1004" s="10" t="s">
        <v>3885</v>
      </c>
      <c r="O1004" s="8" t="s">
        <v>322</v>
      </c>
      <c r="P1004" s="8"/>
      <c r="Q1004" s="8">
        <v>2195</v>
      </c>
      <c r="R1004" s="8">
        <v>17416</v>
      </c>
      <c r="S1004" s="8" t="s">
        <v>332</v>
      </c>
      <c r="T1004" s="8"/>
      <c r="U1004" s="8"/>
      <c r="V1004" s="8"/>
      <c r="W1004" s="8"/>
      <c r="X1004" s="8"/>
      <c r="Y1004" s="8"/>
      <c r="Z1004" s="10" t="s">
        <v>3186</v>
      </c>
      <c r="AA1004" s="8" t="s">
        <v>332</v>
      </c>
      <c r="AB1004" s="8">
        <v>1</v>
      </c>
    </row>
    <row r="1005" spans="1:28" ht="21.6" customHeight="1">
      <c r="A1005" s="8">
        <v>14</v>
      </c>
      <c r="B1005" s="8">
        <v>2025092219</v>
      </c>
      <c r="C1005" s="8">
        <v>1</v>
      </c>
      <c r="D1005" s="8" t="s">
        <v>3177</v>
      </c>
      <c r="E1005" s="8" t="s">
        <v>123</v>
      </c>
      <c r="F1005" s="8" t="s">
        <v>4434</v>
      </c>
      <c r="G1005" s="8" t="s">
        <v>4444</v>
      </c>
      <c r="H1005" s="8" t="s">
        <v>4445</v>
      </c>
      <c r="I1005" s="8" t="s">
        <v>3234</v>
      </c>
      <c r="J1005" s="8" t="s">
        <v>3224</v>
      </c>
      <c r="K1005" s="8" t="s">
        <v>3183</v>
      </c>
      <c r="L1005" s="10" t="s">
        <v>3235</v>
      </c>
      <c r="M1005" s="10" t="s">
        <v>3236</v>
      </c>
      <c r="N1005" s="10" t="s">
        <v>3237</v>
      </c>
      <c r="O1005" s="8" t="s">
        <v>322</v>
      </c>
      <c r="P1005" s="8"/>
      <c r="Q1005" s="8">
        <v>1507</v>
      </c>
      <c r="R1005" s="8">
        <v>65895</v>
      </c>
      <c r="S1005" s="8" t="s">
        <v>332</v>
      </c>
      <c r="T1005" s="8"/>
      <c r="U1005" s="8"/>
      <c r="V1005" s="8"/>
      <c r="W1005" s="8"/>
      <c r="X1005" s="8"/>
      <c r="Y1005" s="8"/>
      <c r="Z1005" s="10" t="s">
        <v>3186</v>
      </c>
      <c r="AA1005" s="8" t="s">
        <v>332</v>
      </c>
      <c r="AB1005" s="8">
        <v>1</v>
      </c>
    </row>
    <row r="1006" spans="1:28" ht="21.6" customHeight="1">
      <c r="A1006" s="8">
        <v>36</v>
      </c>
      <c r="B1006" s="8">
        <v>2025092191</v>
      </c>
      <c r="C1006" s="8">
        <v>1</v>
      </c>
      <c r="D1006" s="8" t="s">
        <v>3177</v>
      </c>
      <c r="E1006" s="8" t="s">
        <v>123</v>
      </c>
      <c r="F1006" s="8" t="s">
        <v>4434</v>
      </c>
      <c r="G1006" s="8" t="s">
        <v>3632</v>
      </c>
      <c r="H1006" s="8" t="s">
        <v>4446</v>
      </c>
      <c r="I1006" s="8" t="s">
        <v>4227</v>
      </c>
      <c r="J1006" s="8" t="s">
        <v>3301</v>
      </c>
      <c r="K1006" s="8" t="s">
        <v>3183</v>
      </c>
      <c r="L1006" s="10" t="s">
        <v>3289</v>
      </c>
      <c r="M1006" s="10" t="s">
        <v>3290</v>
      </c>
      <c r="N1006" s="10"/>
      <c r="O1006" s="8" t="s">
        <v>322</v>
      </c>
      <c r="P1006" s="8"/>
      <c r="Q1006" s="8">
        <v>300</v>
      </c>
      <c r="R1006" s="8">
        <v>5977</v>
      </c>
      <c r="S1006" s="8" t="s">
        <v>332</v>
      </c>
      <c r="T1006" s="8"/>
      <c r="U1006" s="8"/>
      <c r="V1006" s="8"/>
      <c r="W1006" s="8"/>
      <c r="X1006" s="8"/>
      <c r="Y1006" s="8"/>
      <c r="Z1006" s="10" t="s">
        <v>3186</v>
      </c>
      <c r="AA1006" s="8" t="s">
        <v>332</v>
      </c>
      <c r="AB1006" s="8">
        <v>1</v>
      </c>
    </row>
    <row r="1007" spans="1:28" ht="21.6" customHeight="1">
      <c r="A1007" s="8">
        <v>32</v>
      </c>
      <c r="B1007" s="8">
        <v>2025091731</v>
      </c>
      <c r="C1007" s="8">
        <v>1</v>
      </c>
      <c r="D1007" s="8" t="s">
        <v>3177</v>
      </c>
      <c r="E1007" s="8" t="s">
        <v>123</v>
      </c>
      <c r="F1007" s="8" t="s">
        <v>4420</v>
      </c>
      <c r="G1007" s="8" t="s">
        <v>3258</v>
      </c>
      <c r="H1007" s="8" t="s">
        <v>3386</v>
      </c>
      <c r="I1007" s="8" t="s">
        <v>3297</v>
      </c>
      <c r="J1007" s="8" t="s">
        <v>3298</v>
      </c>
      <c r="K1007" s="8" t="s">
        <v>3183</v>
      </c>
      <c r="L1007" s="10" t="s">
        <v>3207</v>
      </c>
      <c r="M1007" s="10" t="s">
        <v>3208</v>
      </c>
      <c r="N1007" s="10" t="s">
        <v>3299</v>
      </c>
      <c r="O1007" s="8" t="s">
        <v>3190</v>
      </c>
      <c r="P1007" s="8"/>
      <c r="Q1007" s="8"/>
      <c r="R1007" s="8">
        <v>131689</v>
      </c>
      <c r="S1007" s="8"/>
      <c r="T1007" s="8"/>
      <c r="U1007" s="8"/>
      <c r="V1007" s="8"/>
      <c r="W1007" s="8"/>
      <c r="X1007" s="8"/>
      <c r="Y1007" s="8"/>
      <c r="Z1007" s="10" t="s">
        <v>4421</v>
      </c>
      <c r="AA1007" s="8" t="s">
        <v>332</v>
      </c>
      <c r="AB1007" s="8">
        <v>1</v>
      </c>
    </row>
    <row r="1008" spans="1:28" ht="21.6" customHeight="1">
      <c r="A1008" s="8">
        <v>36</v>
      </c>
      <c r="B1008" s="8">
        <v>2025092192</v>
      </c>
      <c r="C1008" s="8">
        <v>1</v>
      </c>
      <c r="D1008" s="8" t="s">
        <v>3177</v>
      </c>
      <c r="E1008" s="8" t="s">
        <v>123</v>
      </c>
      <c r="F1008" s="8" t="s">
        <v>4434</v>
      </c>
      <c r="G1008" s="8" t="s">
        <v>3632</v>
      </c>
      <c r="H1008" s="8" t="s">
        <v>4446</v>
      </c>
      <c r="I1008" s="8" t="s">
        <v>4227</v>
      </c>
      <c r="J1008" s="8" t="s">
        <v>3301</v>
      </c>
      <c r="K1008" s="8" t="s">
        <v>3183</v>
      </c>
      <c r="L1008" s="10" t="s">
        <v>3289</v>
      </c>
      <c r="M1008" s="10" t="s">
        <v>3290</v>
      </c>
      <c r="N1008" s="10"/>
      <c r="O1008" s="8" t="s">
        <v>3190</v>
      </c>
      <c r="P1008" s="8"/>
      <c r="Q1008" s="8">
        <v>300</v>
      </c>
      <c r="R1008" s="8">
        <v>5977</v>
      </c>
      <c r="S1008" s="8"/>
      <c r="T1008" s="8"/>
      <c r="U1008" s="8"/>
      <c r="V1008" s="8"/>
      <c r="W1008" s="8"/>
      <c r="X1008" s="8"/>
      <c r="Y1008" s="8"/>
      <c r="Z1008" s="10" t="s">
        <v>3186</v>
      </c>
      <c r="AA1008" s="8" t="s">
        <v>332</v>
      </c>
      <c r="AB1008" s="8">
        <v>1</v>
      </c>
    </row>
    <row r="1009" spans="1:28" ht="21.6" customHeight="1">
      <c r="A1009" s="8">
        <v>88</v>
      </c>
      <c r="B1009" s="8">
        <v>2025091374</v>
      </c>
      <c r="C1009" s="8">
        <v>1</v>
      </c>
      <c r="D1009" s="8" t="s">
        <v>3177</v>
      </c>
      <c r="E1009" s="8" t="s">
        <v>118</v>
      </c>
      <c r="F1009" s="8" t="s">
        <v>229</v>
      </c>
      <c r="G1009" s="8" t="s">
        <v>3280</v>
      </c>
      <c r="H1009" s="8" t="s">
        <v>3233</v>
      </c>
      <c r="I1009" s="8" t="s">
        <v>3936</v>
      </c>
      <c r="J1009" s="8" t="s">
        <v>3195</v>
      </c>
      <c r="K1009" s="8" t="s">
        <v>3183</v>
      </c>
      <c r="L1009" s="10" t="s">
        <v>3377</v>
      </c>
      <c r="M1009" s="10" t="s">
        <v>3937</v>
      </c>
      <c r="N1009" s="10" t="s">
        <v>3938</v>
      </c>
      <c r="O1009" s="8" t="s">
        <v>3190</v>
      </c>
      <c r="P1009" s="8"/>
      <c r="Q1009" s="8">
        <v>29573</v>
      </c>
      <c r="R1009" s="8">
        <v>25842</v>
      </c>
      <c r="S1009" s="8"/>
      <c r="T1009" s="8"/>
      <c r="U1009" s="8"/>
      <c r="V1009" s="8"/>
      <c r="W1009" s="8"/>
      <c r="X1009" s="8"/>
      <c r="Y1009" s="8"/>
      <c r="Z1009" s="10" t="s">
        <v>3323</v>
      </c>
      <c r="AA1009" s="8" t="s">
        <v>332</v>
      </c>
      <c r="AB1009" s="8">
        <v>1</v>
      </c>
    </row>
    <row r="1010" spans="1:28" ht="21.6" customHeight="1">
      <c r="A1010" s="8">
        <v>97</v>
      </c>
      <c r="B1010" s="8">
        <v>2025090954</v>
      </c>
      <c r="C1010" s="8">
        <v>1</v>
      </c>
      <c r="D1010" s="8" t="s">
        <v>3177</v>
      </c>
      <c r="E1010" s="8" t="s">
        <v>118</v>
      </c>
      <c r="F1010" s="8" t="s">
        <v>4411</v>
      </c>
      <c r="G1010" s="8" t="s">
        <v>3401</v>
      </c>
      <c r="H1010" s="8" t="s">
        <v>3357</v>
      </c>
      <c r="I1010" s="8" t="s">
        <v>3382</v>
      </c>
      <c r="J1010" s="8" t="s">
        <v>3224</v>
      </c>
      <c r="K1010" s="8" t="s">
        <v>3183</v>
      </c>
      <c r="L1010" s="10" t="s">
        <v>3383</v>
      </c>
      <c r="M1010" s="10" t="s">
        <v>3384</v>
      </c>
      <c r="N1010" s="10" t="s">
        <v>3385</v>
      </c>
      <c r="O1010" s="8" t="s">
        <v>3190</v>
      </c>
      <c r="P1010" s="8">
        <v>6429</v>
      </c>
      <c r="Q1010" s="8">
        <v>15099</v>
      </c>
      <c r="R1010" s="8">
        <v>18367</v>
      </c>
      <c r="S1010" s="8"/>
      <c r="T1010" s="8"/>
      <c r="U1010" s="8"/>
      <c r="V1010" s="8"/>
      <c r="W1010" s="8"/>
      <c r="X1010" s="8"/>
      <c r="Y1010" s="8"/>
      <c r="Z1010" s="10" t="s">
        <v>111</v>
      </c>
      <c r="AA1010" s="8" t="s">
        <v>332</v>
      </c>
      <c r="AB1010" s="8">
        <v>1</v>
      </c>
    </row>
    <row r="1011" spans="1:28" ht="21.6" customHeight="1">
      <c r="A1011" s="8">
        <v>120</v>
      </c>
      <c r="B1011" s="8">
        <v>2025091008</v>
      </c>
      <c r="C1011" s="8">
        <v>1</v>
      </c>
      <c r="D1011" s="8" t="s">
        <v>3177</v>
      </c>
      <c r="E1011" s="8" t="s">
        <v>118</v>
      </c>
      <c r="F1011" s="8" t="s">
        <v>4411</v>
      </c>
      <c r="G1011" s="8" t="s">
        <v>3386</v>
      </c>
      <c r="H1011" s="8" t="s">
        <v>3387</v>
      </c>
      <c r="I1011" s="8" t="s">
        <v>3433</v>
      </c>
      <c r="J1011" s="8" t="s">
        <v>3277</v>
      </c>
      <c r="K1011" s="8" t="s">
        <v>3183</v>
      </c>
      <c r="L1011" s="10" t="s">
        <v>3434</v>
      </c>
      <c r="M1011" s="10" t="s">
        <v>3435</v>
      </c>
      <c r="N1011" s="10" t="s">
        <v>3436</v>
      </c>
      <c r="O1011" s="8" t="s">
        <v>3190</v>
      </c>
      <c r="P1011" s="8"/>
      <c r="Q1011" s="8"/>
      <c r="R1011" s="8">
        <v>151225</v>
      </c>
      <c r="S1011" s="8"/>
      <c r="T1011" s="8"/>
      <c r="U1011" s="8"/>
      <c r="V1011" s="8"/>
      <c r="W1011" s="8"/>
      <c r="X1011" s="8"/>
      <c r="Y1011" s="8"/>
      <c r="Z1011" s="10" t="s">
        <v>111</v>
      </c>
      <c r="AA1011" s="8" t="s">
        <v>332</v>
      </c>
      <c r="AB1011" s="8">
        <v>1</v>
      </c>
    </row>
    <row r="1012" spans="1:28" ht="21.6" customHeight="1">
      <c r="A1012" s="8">
        <v>142</v>
      </c>
      <c r="B1012" s="8">
        <v>2025092240</v>
      </c>
      <c r="C1012" s="8">
        <v>1</v>
      </c>
      <c r="D1012" s="8" t="s">
        <v>3177</v>
      </c>
      <c r="E1012" s="8" t="s">
        <v>118</v>
      </c>
      <c r="F1012" s="8" t="s">
        <v>4434</v>
      </c>
      <c r="G1012" s="8" t="s">
        <v>3387</v>
      </c>
      <c r="H1012" s="8" t="s">
        <v>3426</v>
      </c>
      <c r="I1012" s="8" t="s">
        <v>3492</v>
      </c>
      <c r="J1012" s="8" t="s">
        <v>3288</v>
      </c>
      <c r="K1012" s="8" t="s">
        <v>3183</v>
      </c>
      <c r="L1012" s="10" t="s">
        <v>3377</v>
      </c>
      <c r="M1012" s="10" t="s">
        <v>3493</v>
      </c>
      <c r="N1012" s="10" t="s">
        <v>3494</v>
      </c>
      <c r="O1012" s="8" t="s">
        <v>3190</v>
      </c>
      <c r="P1012" s="8"/>
      <c r="Q1012" s="8">
        <v>1034</v>
      </c>
      <c r="R1012" s="8">
        <v>13197</v>
      </c>
      <c r="S1012" s="8"/>
      <c r="T1012" s="8"/>
      <c r="U1012" s="8"/>
      <c r="V1012" s="8"/>
      <c r="W1012" s="8"/>
      <c r="X1012" s="8"/>
      <c r="Y1012" s="8"/>
      <c r="Z1012" s="10" t="s">
        <v>3696</v>
      </c>
      <c r="AA1012" s="8" t="s">
        <v>332</v>
      </c>
      <c r="AB1012" s="8">
        <v>1</v>
      </c>
    </row>
    <row r="1013" spans="1:28" ht="21.6" customHeight="1">
      <c r="A1013" s="8">
        <v>186</v>
      </c>
      <c r="B1013" s="8">
        <v>2025092300</v>
      </c>
      <c r="C1013" s="8">
        <v>1</v>
      </c>
      <c r="D1013" s="8" t="s">
        <v>3177</v>
      </c>
      <c r="E1013" s="8" t="s">
        <v>118</v>
      </c>
      <c r="F1013" s="8" t="s">
        <v>220</v>
      </c>
      <c r="G1013" s="8" t="s">
        <v>3401</v>
      </c>
      <c r="H1013" s="8" t="s">
        <v>3342</v>
      </c>
      <c r="I1013" s="8" t="s">
        <v>3752</v>
      </c>
      <c r="J1013" s="8" t="s">
        <v>3543</v>
      </c>
      <c r="K1013" s="8" t="s">
        <v>3183</v>
      </c>
      <c r="L1013" s="10" t="s">
        <v>3254</v>
      </c>
      <c r="M1013" s="10" t="s">
        <v>3547</v>
      </c>
      <c r="N1013" s="10" t="s">
        <v>3753</v>
      </c>
      <c r="O1013" s="8" t="s">
        <v>363</v>
      </c>
      <c r="P1013" s="8"/>
      <c r="Q1013" s="8"/>
      <c r="R1013" s="8">
        <v>299068</v>
      </c>
      <c r="S1013" s="8"/>
      <c r="T1013" s="8"/>
      <c r="U1013" s="8"/>
      <c r="V1013" s="8"/>
      <c r="W1013" s="8"/>
      <c r="X1013" s="8"/>
      <c r="Y1013" s="8"/>
      <c r="Z1013" s="10" t="s">
        <v>4447</v>
      </c>
      <c r="AA1013" s="8" t="s">
        <v>332</v>
      </c>
      <c r="AB1013" s="8">
        <v>1</v>
      </c>
    </row>
    <row r="1014" spans="1:28" ht="21.6" customHeight="1">
      <c r="A1014" s="8">
        <v>188</v>
      </c>
      <c r="B1014" s="8">
        <v>2025092307</v>
      </c>
      <c r="C1014" s="8">
        <v>1</v>
      </c>
      <c r="D1014" s="8" t="s">
        <v>3177</v>
      </c>
      <c r="E1014" s="8" t="s">
        <v>118</v>
      </c>
      <c r="F1014" s="8" t="s">
        <v>220</v>
      </c>
      <c r="G1014" s="8" t="s">
        <v>3233</v>
      </c>
      <c r="H1014" s="8" t="s">
        <v>3381</v>
      </c>
      <c r="I1014" s="8" t="s">
        <v>3567</v>
      </c>
      <c r="J1014" s="8" t="s">
        <v>1717</v>
      </c>
      <c r="K1014" s="8" t="s">
        <v>3183</v>
      </c>
      <c r="L1014" s="10" t="s">
        <v>3254</v>
      </c>
      <c r="M1014" s="10" t="s">
        <v>3547</v>
      </c>
      <c r="N1014" s="10" t="s">
        <v>3568</v>
      </c>
      <c r="O1014" s="8" t="s">
        <v>322</v>
      </c>
      <c r="P1014" s="8"/>
      <c r="Q1014" s="8"/>
      <c r="R1014" s="8">
        <v>2041</v>
      </c>
      <c r="S1014" s="8"/>
      <c r="T1014" s="8"/>
      <c r="U1014" s="8"/>
      <c r="V1014" s="8"/>
      <c r="W1014" s="8"/>
      <c r="X1014" s="8"/>
      <c r="Y1014" s="8" t="s">
        <v>332</v>
      </c>
      <c r="Z1014" s="10" t="s">
        <v>4448</v>
      </c>
      <c r="AA1014" s="8" t="s">
        <v>332</v>
      </c>
      <c r="AB1014" s="8">
        <v>1</v>
      </c>
    </row>
    <row r="1015" spans="1:28" ht="21.6" customHeight="1">
      <c r="A1015" s="8">
        <v>190</v>
      </c>
      <c r="B1015" s="8">
        <v>2025092308</v>
      </c>
      <c r="C1015" s="8">
        <v>1</v>
      </c>
      <c r="D1015" s="8" t="s">
        <v>3177</v>
      </c>
      <c r="E1015" s="8" t="s">
        <v>118</v>
      </c>
      <c r="F1015" s="8" t="s">
        <v>220</v>
      </c>
      <c r="G1015" s="8" t="s">
        <v>3381</v>
      </c>
      <c r="H1015" s="8" t="s">
        <v>3401</v>
      </c>
      <c r="I1015" s="8" t="s">
        <v>3570</v>
      </c>
      <c r="J1015" s="8" t="s">
        <v>1717</v>
      </c>
      <c r="K1015" s="8" t="s">
        <v>3183</v>
      </c>
      <c r="L1015" s="10" t="s">
        <v>3254</v>
      </c>
      <c r="M1015" s="10" t="s">
        <v>3547</v>
      </c>
      <c r="N1015" s="10" t="s">
        <v>3571</v>
      </c>
      <c r="O1015" s="8" t="s">
        <v>322</v>
      </c>
      <c r="P1015" s="8"/>
      <c r="Q1015" s="8"/>
      <c r="R1015" s="8">
        <v>23991</v>
      </c>
      <c r="S1015" s="8"/>
      <c r="T1015" s="8"/>
      <c r="U1015" s="8"/>
      <c r="V1015" s="8"/>
      <c r="W1015" s="8"/>
      <c r="X1015" s="8"/>
      <c r="Y1015" s="8" t="s">
        <v>332</v>
      </c>
      <c r="Z1015" s="10" t="s">
        <v>4449</v>
      </c>
      <c r="AA1015" s="8" t="s">
        <v>332</v>
      </c>
      <c r="AB1015" s="8">
        <v>1</v>
      </c>
    </row>
    <row r="1016" spans="1:28" ht="21.6" customHeight="1">
      <c r="A1016" s="8">
        <v>187</v>
      </c>
      <c r="B1016" s="8">
        <v>2025092342</v>
      </c>
      <c r="C1016" s="8">
        <v>1</v>
      </c>
      <c r="D1016" s="8" t="s">
        <v>3177</v>
      </c>
      <c r="E1016" s="8" t="s">
        <v>118</v>
      </c>
      <c r="F1016" s="8" t="s">
        <v>220</v>
      </c>
      <c r="G1016" s="8" t="s">
        <v>3427</v>
      </c>
      <c r="H1016" s="8" t="s">
        <v>3387</v>
      </c>
      <c r="I1016" s="8" t="s">
        <v>3752</v>
      </c>
      <c r="J1016" s="8" t="s">
        <v>3543</v>
      </c>
      <c r="K1016" s="8" t="s">
        <v>3183</v>
      </c>
      <c r="L1016" s="10" t="s">
        <v>3254</v>
      </c>
      <c r="M1016" s="10" t="s">
        <v>3547</v>
      </c>
      <c r="N1016" s="10" t="s">
        <v>3753</v>
      </c>
      <c r="O1016" s="8" t="s">
        <v>322</v>
      </c>
      <c r="P1016" s="8"/>
      <c r="Q1016" s="8"/>
      <c r="R1016" s="8">
        <v>299068</v>
      </c>
      <c r="S1016" s="8"/>
      <c r="T1016" s="8"/>
      <c r="U1016" s="8"/>
      <c r="V1016" s="8"/>
      <c r="W1016" s="8"/>
      <c r="X1016" s="8"/>
      <c r="Y1016" s="8" t="s">
        <v>332</v>
      </c>
      <c r="Z1016" s="10" t="s">
        <v>4324</v>
      </c>
      <c r="AA1016" s="8" t="s">
        <v>332</v>
      </c>
      <c r="AB1016" s="8">
        <v>1</v>
      </c>
    </row>
    <row r="1017" spans="1:28" ht="21.6" customHeight="1">
      <c r="A1017" s="8">
        <v>194</v>
      </c>
      <c r="B1017" s="8">
        <v>2025090604</v>
      </c>
      <c r="C1017" s="8">
        <v>1</v>
      </c>
      <c r="D1017" s="8" t="s">
        <v>3177</v>
      </c>
      <c r="E1017" s="8" t="s">
        <v>118</v>
      </c>
      <c r="F1017" s="8" t="s">
        <v>236</v>
      </c>
      <c r="G1017" s="8" t="s">
        <v>3350</v>
      </c>
      <c r="H1017" s="8" t="s">
        <v>3280</v>
      </c>
      <c r="I1017" s="8" t="s">
        <v>4450</v>
      </c>
      <c r="J1017" s="8" t="s">
        <v>1717</v>
      </c>
      <c r="K1017" s="8" t="s">
        <v>3183</v>
      </c>
      <c r="L1017" s="10" t="s">
        <v>3254</v>
      </c>
      <c r="M1017" s="10" t="s">
        <v>3547</v>
      </c>
      <c r="N1017" s="10" t="s">
        <v>3747</v>
      </c>
      <c r="O1017" s="8" t="s">
        <v>3190</v>
      </c>
      <c r="P1017" s="8"/>
      <c r="Q1017" s="8"/>
      <c r="R1017" s="8">
        <v>13789</v>
      </c>
      <c r="S1017" s="8"/>
      <c r="T1017" s="8"/>
      <c r="U1017" s="8"/>
      <c r="V1017" s="8"/>
      <c r="W1017" s="8"/>
      <c r="X1017" s="8"/>
      <c r="Y1017" s="8"/>
      <c r="Z1017" s="10" t="s">
        <v>3696</v>
      </c>
      <c r="AA1017" s="8" t="s">
        <v>332</v>
      </c>
      <c r="AB1017" s="8">
        <v>1</v>
      </c>
    </row>
    <row r="1018" spans="1:28" ht="21.6" customHeight="1">
      <c r="A1018" s="8">
        <v>24</v>
      </c>
      <c r="B1018" s="8">
        <v>2025092431</v>
      </c>
      <c r="C1018" s="8">
        <v>1</v>
      </c>
      <c r="D1018" s="8" t="s">
        <v>3177</v>
      </c>
      <c r="E1018" s="8" t="s">
        <v>123</v>
      </c>
      <c r="F1018" s="8" t="s">
        <v>4451</v>
      </c>
      <c r="G1018" s="8" t="s">
        <v>4023</v>
      </c>
      <c r="H1018" s="8" t="s">
        <v>4038</v>
      </c>
      <c r="I1018" s="8" t="s">
        <v>3263</v>
      </c>
      <c r="J1018" s="8" t="s">
        <v>3253</v>
      </c>
      <c r="K1018" s="8" t="s">
        <v>3183</v>
      </c>
      <c r="L1018" s="10" t="s">
        <v>3264</v>
      </c>
      <c r="M1018" s="10" t="s">
        <v>3265</v>
      </c>
      <c r="N1018" s="10" t="s">
        <v>123</v>
      </c>
      <c r="O1018" s="8" t="s">
        <v>322</v>
      </c>
      <c r="P1018" s="8"/>
      <c r="Q1018" s="8"/>
      <c r="R1018" s="8">
        <v>51678</v>
      </c>
      <c r="S1018" s="8" t="s">
        <v>332</v>
      </c>
      <c r="T1018" s="8"/>
      <c r="U1018" s="8"/>
      <c r="V1018" s="8"/>
      <c r="W1018" s="8"/>
      <c r="X1018" s="8"/>
      <c r="Y1018" s="8"/>
      <c r="Z1018" s="10" t="s">
        <v>3186</v>
      </c>
      <c r="AA1018" s="8" t="s">
        <v>332</v>
      </c>
      <c r="AB1018" s="8">
        <v>1</v>
      </c>
    </row>
    <row r="1019" spans="1:28" ht="21.6" customHeight="1">
      <c r="A1019" s="8">
        <v>43</v>
      </c>
      <c r="B1019" s="8">
        <v>2025092444</v>
      </c>
      <c r="C1019" s="8">
        <v>1</v>
      </c>
      <c r="D1019" s="8" t="s">
        <v>3177</v>
      </c>
      <c r="E1019" s="8" t="s">
        <v>123</v>
      </c>
      <c r="F1019" s="8" t="s">
        <v>4451</v>
      </c>
      <c r="G1019" s="8" t="s">
        <v>3809</v>
      </c>
      <c r="H1019" s="8" t="s">
        <v>3810</v>
      </c>
      <c r="I1019" s="8" t="s">
        <v>3807</v>
      </c>
      <c r="J1019" s="8" t="s">
        <v>3808</v>
      </c>
      <c r="K1019" s="8" t="s">
        <v>3183</v>
      </c>
      <c r="L1019" s="10" t="s">
        <v>3333</v>
      </c>
      <c r="M1019" s="10" t="s">
        <v>3334</v>
      </c>
      <c r="N1019" s="10"/>
      <c r="O1019" s="8" t="s">
        <v>322</v>
      </c>
      <c r="P1019" s="8"/>
      <c r="Q1019" s="8"/>
      <c r="R1019" s="8">
        <v>38385</v>
      </c>
      <c r="S1019" s="8" t="s">
        <v>332</v>
      </c>
      <c r="T1019" s="8"/>
      <c r="U1019" s="8"/>
      <c r="V1019" s="8"/>
      <c r="W1019" s="8"/>
      <c r="X1019" s="8"/>
      <c r="Y1019" s="8"/>
      <c r="Z1019" s="10" t="s">
        <v>3186</v>
      </c>
      <c r="AA1019" s="8" t="s">
        <v>332</v>
      </c>
      <c r="AB1019" s="8">
        <v>1</v>
      </c>
    </row>
    <row r="1020" spans="1:28" ht="21.6" customHeight="1">
      <c r="A1020" s="8">
        <v>113</v>
      </c>
      <c r="B1020" s="8">
        <v>2025090354</v>
      </c>
      <c r="C1020" s="8">
        <v>1</v>
      </c>
      <c r="D1020" s="8" t="s">
        <v>3177</v>
      </c>
      <c r="E1020" s="8" t="s">
        <v>118</v>
      </c>
      <c r="F1020" s="8" t="s">
        <v>4402</v>
      </c>
      <c r="G1020" s="8" t="s">
        <v>3426</v>
      </c>
      <c r="H1020" s="8" t="s">
        <v>3431</v>
      </c>
      <c r="I1020" s="8" t="s">
        <v>4403</v>
      </c>
      <c r="J1020" s="8" t="s">
        <v>3224</v>
      </c>
      <c r="K1020" s="8" t="s">
        <v>3183</v>
      </c>
      <c r="L1020" s="10" t="s">
        <v>4404</v>
      </c>
      <c r="M1020" s="10" t="s">
        <v>4405</v>
      </c>
      <c r="N1020" s="10" t="s">
        <v>3497</v>
      </c>
      <c r="O1020" s="8" t="s">
        <v>3190</v>
      </c>
      <c r="P1020" s="8">
        <v>0</v>
      </c>
      <c r="Q1020" s="8">
        <v>0</v>
      </c>
      <c r="R1020" s="8">
        <v>41</v>
      </c>
      <c r="S1020" s="8"/>
      <c r="T1020" s="8"/>
      <c r="U1020" s="8"/>
      <c r="V1020" s="8"/>
      <c r="W1020" s="8"/>
      <c r="X1020" s="8"/>
      <c r="Y1020" s="8"/>
      <c r="Z1020" s="10" t="s">
        <v>3696</v>
      </c>
      <c r="AA1020" s="8" t="s">
        <v>332</v>
      </c>
      <c r="AB1020" s="8">
        <v>1</v>
      </c>
    </row>
    <row r="1021" spans="1:28" ht="21.6" customHeight="1">
      <c r="A1021" s="8">
        <v>133</v>
      </c>
      <c r="B1021" s="8">
        <v>2025092382</v>
      </c>
      <c r="C1021" s="8">
        <v>1</v>
      </c>
      <c r="D1021" s="8" t="s">
        <v>3177</v>
      </c>
      <c r="E1021" s="8" t="s">
        <v>118</v>
      </c>
      <c r="F1021" s="8" t="s">
        <v>4451</v>
      </c>
      <c r="G1021" s="8" t="s">
        <v>3280</v>
      </c>
      <c r="H1021" s="8" t="s">
        <v>3281</v>
      </c>
      <c r="I1021" s="8" t="s">
        <v>3452</v>
      </c>
      <c r="J1021" s="8" t="s">
        <v>3277</v>
      </c>
      <c r="K1021" s="8" t="s">
        <v>3183</v>
      </c>
      <c r="L1021" s="10" t="s">
        <v>3254</v>
      </c>
      <c r="M1021" s="10" t="s">
        <v>3453</v>
      </c>
      <c r="N1021" s="10" t="s">
        <v>3946</v>
      </c>
      <c r="O1021" s="8" t="s">
        <v>322</v>
      </c>
      <c r="P1021" s="8"/>
      <c r="Q1021" s="8"/>
      <c r="R1021" s="8">
        <v>3180</v>
      </c>
      <c r="S1021" s="8"/>
      <c r="T1021" s="8"/>
      <c r="U1021" s="8" t="s">
        <v>332</v>
      </c>
      <c r="V1021" s="8"/>
      <c r="W1021" s="8"/>
      <c r="X1021" s="8"/>
      <c r="Y1021" s="8"/>
      <c r="Z1021" s="10" t="s">
        <v>3362</v>
      </c>
      <c r="AA1021" s="8" t="s">
        <v>332</v>
      </c>
      <c r="AB1021" s="8">
        <v>1</v>
      </c>
    </row>
    <row r="1022" spans="1:28" ht="21.6" customHeight="1">
      <c r="A1022" s="8">
        <v>169</v>
      </c>
      <c r="B1022" s="8">
        <v>2025090350</v>
      </c>
      <c r="C1022" s="8">
        <v>1</v>
      </c>
      <c r="D1022" s="8" t="s">
        <v>3177</v>
      </c>
      <c r="E1022" s="8" t="s">
        <v>118</v>
      </c>
      <c r="F1022" s="8" t="s">
        <v>4402</v>
      </c>
      <c r="G1022" s="8" t="s">
        <v>3386</v>
      </c>
      <c r="H1022" s="8" t="s">
        <v>3387</v>
      </c>
      <c r="I1022" s="8" t="s">
        <v>3525</v>
      </c>
      <c r="J1022" s="8" t="s">
        <v>3298</v>
      </c>
      <c r="K1022" s="8" t="s">
        <v>3183</v>
      </c>
      <c r="L1022" s="10" t="s">
        <v>3462</v>
      </c>
      <c r="M1022" s="10" t="s">
        <v>3526</v>
      </c>
      <c r="N1022" s="10" t="s">
        <v>3508</v>
      </c>
      <c r="O1022" s="8" t="s">
        <v>3190</v>
      </c>
      <c r="P1022" s="8"/>
      <c r="Q1022" s="8"/>
      <c r="R1022" s="8">
        <v>183883</v>
      </c>
      <c r="S1022" s="8"/>
      <c r="T1022" s="8"/>
      <c r="U1022" s="8"/>
      <c r="V1022" s="8"/>
      <c r="W1022" s="8"/>
      <c r="X1022" s="8"/>
      <c r="Y1022" s="8"/>
      <c r="Z1022" s="10" t="s">
        <v>3696</v>
      </c>
      <c r="AA1022" s="8" t="s">
        <v>332</v>
      </c>
      <c r="AB1022" s="8">
        <v>1</v>
      </c>
    </row>
    <row r="1023" spans="1:28" ht="21.6" customHeight="1">
      <c r="A1023" s="8">
        <v>189</v>
      </c>
      <c r="B1023" s="8">
        <v>2025092393</v>
      </c>
      <c r="C1023" s="8">
        <v>1</v>
      </c>
      <c r="D1023" s="8" t="s">
        <v>3177</v>
      </c>
      <c r="E1023" s="8" t="s">
        <v>118</v>
      </c>
      <c r="F1023" s="8" t="s">
        <v>4451</v>
      </c>
      <c r="G1023" s="8" t="s">
        <v>3232</v>
      </c>
      <c r="H1023" s="8" t="s">
        <v>4003</v>
      </c>
      <c r="I1023" s="8" t="s">
        <v>3741</v>
      </c>
      <c r="J1023" s="8" t="s">
        <v>3543</v>
      </c>
      <c r="K1023" s="8" t="s">
        <v>3183</v>
      </c>
      <c r="L1023" s="10" t="s">
        <v>3254</v>
      </c>
      <c r="M1023" s="10" t="s">
        <v>3742</v>
      </c>
      <c r="N1023" s="10" t="s">
        <v>3743</v>
      </c>
      <c r="O1023" s="8" t="s">
        <v>363</v>
      </c>
      <c r="P1023" s="8"/>
      <c r="Q1023" s="8"/>
      <c r="R1023" s="8">
        <v>77968</v>
      </c>
      <c r="S1023" s="8"/>
      <c r="T1023" s="8"/>
      <c r="U1023" s="8"/>
      <c r="V1023" s="8"/>
      <c r="W1023" s="8"/>
      <c r="X1023" s="8"/>
      <c r="Y1023" s="8"/>
      <c r="Z1023" s="10" t="s">
        <v>3730</v>
      </c>
      <c r="AA1023" s="8" t="s">
        <v>332</v>
      </c>
      <c r="AB1023" s="8">
        <v>1</v>
      </c>
    </row>
    <row r="1024" spans="1:28" ht="21.6" customHeight="1">
      <c r="A1024" s="8">
        <v>198</v>
      </c>
      <c r="B1024" s="8">
        <v>2025092380</v>
      </c>
      <c r="C1024" s="8">
        <v>1</v>
      </c>
      <c r="D1024" s="8" t="s">
        <v>3177</v>
      </c>
      <c r="E1024" s="8" t="s">
        <v>118</v>
      </c>
      <c r="F1024" s="8" t="s">
        <v>4451</v>
      </c>
      <c r="G1024" s="8" t="s">
        <v>3350</v>
      </c>
      <c r="H1024" s="8" t="s">
        <v>3396</v>
      </c>
      <c r="I1024" s="8" t="s">
        <v>3567</v>
      </c>
      <c r="J1024" s="8" t="s">
        <v>1717</v>
      </c>
      <c r="K1024" s="8" t="s">
        <v>3183</v>
      </c>
      <c r="L1024" s="10" t="s">
        <v>3254</v>
      </c>
      <c r="M1024" s="10" t="s">
        <v>3547</v>
      </c>
      <c r="N1024" s="10" t="s">
        <v>3568</v>
      </c>
      <c r="O1024" s="8" t="s">
        <v>322</v>
      </c>
      <c r="P1024" s="8"/>
      <c r="Q1024" s="8"/>
      <c r="R1024" s="8">
        <v>2041</v>
      </c>
      <c r="S1024" s="8"/>
      <c r="T1024" s="8"/>
      <c r="U1024" s="8" t="s">
        <v>332</v>
      </c>
      <c r="V1024" s="8"/>
      <c r="W1024" s="8"/>
      <c r="X1024" s="8"/>
      <c r="Y1024" s="8"/>
      <c r="Z1024" s="10" t="s">
        <v>3362</v>
      </c>
      <c r="AA1024" s="8" t="s">
        <v>332</v>
      </c>
      <c r="AB1024" s="8">
        <v>1</v>
      </c>
    </row>
    <row r="1025" spans="1:28" ht="21.6" customHeight="1">
      <c r="A1025" s="8">
        <v>201</v>
      </c>
      <c r="B1025" s="8">
        <v>2025092381</v>
      </c>
      <c r="C1025" s="8">
        <v>1</v>
      </c>
      <c r="D1025" s="8" t="s">
        <v>3177</v>
      </c>
      <c r="E1025" s="8" t="s">
        <v>118</v>
      </c>
      <c r="F1025" s="8" t="s">
        <v>4451</v>
      </c>
      <c r="G1025" s="8" t="s">
        <v>3396</v>
      </c>
      <c r="H1025" s="8" t="s">
        <v>3280</v>
      </c>
      <c r="I1025" s="8" t="s">
        <v>3570</v>
      </c>
      <c r="J1025" s="8" t="s">
        <v>1717</v>
      </c>
      <c r="K1025" s="8" t="s">
        <v>3183</v>
      </c>
      <c r="L1025" s="10" t="s">
        <v>3254</v>
      </c>
      <c r="M1025" s="10" t="s">
        <v>3547</v>
      </c>
      <c r="N1025" s="10" t="s">
        <v>3571</v>
      </c>
      <c r="O1025" s="8" t="s">
        <v>322</v>
      </c>
      <c r="P1025" s="8"/>
      <c r="Q1025" s="8"/>
      <c r="R1025" s="8">
        <v>23991</v>
      </c>
      <c r="S1025" s="8"/>
      <c r="T1025" s="8"/>
      <c r="U1025" s="8" t="s">
        <v>332</v>
      </c>
      <c r="V1025" s="8"/>
      <c r="W1025" s="8"/>
      <c r="X1025" s="8"/>
      <c r="Y1025" s="8"/>
      <c r="Z1025" s="10" t="s">
        <v>3362</v>
      </c>
      <c r="AA1025" s="8" t="s">
        <v>332</v>
      </c>
      <c r="AB1025" s="8">
        <v>1</v>
      </c>
    </row>
    <row r="1026" spans="1:28" ht="21.6" customHeight="1">
      <c r="A1026" s="8">
        <v>206</v>
      </c>
      <c r="B1026" s="8">
        <v>2025092286</v>
      </c>
      <c r="C1026" s="8">
        <v>1</v>
      </c>
      <c r="D1026" s="8" t="s">
        <v>3177</v>
      </c>
      <c r="E1026" s="8" t="s">
        <v>118</v>
      </c>
      <c r="F1026" s="8" t="s">
        <v>220</v>
      </c>
      <c r="G1026" s="8" t="s">
        <v>3280</v>
      </c>
      <c r="H1026" s="8" t="s">
        <v>3363</v>
      </c>
      <c r="I1026" s="8" t="s">
        <v>3757</v>
      </c>
      <c r="J1026" s="8" t="s">
        <v>3758</v>
      </c>
      <c r="K1026" s="8" t="s">
        <v>3183</v>
      </c>
      <c r="L1026" s="10" t="s">
        <v>3759</v>
      </c>
      <c r="M1026" s="10" t="s">
        <v>3760</v>
      </c>
      <c r="N1026" s="10" t="s">
        <v>3761</v>
      </c>
      <c r="O1026" s="8" t="s">
        <v>3190</v>
      </c>
      <c r="P1026" s="8"/>
      <c r="Q1026" s="8">
        <v>2480</v>
      </c>
      <c r="R1026" s="8">
        <v>172711</v>
      </c>
      <c r="S1026" s="8"/>
      <c r="T1026" s="8"/>
      <c r="U1026" s="8"/>
      <c r="V1026" s="8"/>
      <c r="W1026" s="8"/>
      <c r="X1026" s="8"/>
      <c r="Y1026" s="8"/>
      <c r="Z1026" s="10" t="s">
        <v>3696</v>
      </c>
      <c r="AA1026" s="8" t="s">
        <v>332</v>
      </c>
      <c r="AB1026" s="8">
        <v>1</v>
      </c>
    </row>
    <row r="1027" spans="1:28" ht="21.6" customHeight="1">
      <c r="A1027" s="8">
        <v>269</v>
      </c>
      <c r="B1027" s="8">
        <v>2025092413</v>
      </c>
      <c r="C1027" s="8">
        <v>1</v>
      </c>
      <c r="D1027" s="8" t="s">
        <v>3177</v>
      </c>
      <c r="E1027" s="8" t="s">
        <v>134</v>
      </c>
      <c r="F1027" s="8" t="s">
        <v>4451</v>
      </c>
      <c r="G1027" s="8" t="s">
        <v>3767</v>
      </c>
      <c r="H1027" s="8" t="s">
        <v>3250</v>
      </c>
      <c r="I1027" s="8" t="s">
        <v>4416</v>
      </c>
      <c r="J1027" s="8" t="s">
        <v>3597</v>
      </c>
      <c r="K1027" s="8" t="s">
        <v>3579</v>
      </c>
      <c r="L1027" s="10" t="s">
        <v>3598</v>
      </c>
      <c r="M1027" s="10" t="s">
        <v>4417</v>
      </c>
      <c r="N1027" s="10" t="s">
        <v>4418</v>
      </c>
      <c r="O1027" s="8" t="s">
        <v>363</v>
      </c>
      <c r="P1027" s="8"/>
      <c r="Q1027" s="8"/>
      <c r="R1027" s="8">
        <v>0</v>
      </c>
      <c r="S1027" s="8"/>
      <c r="T1027" s="8"/>
      <c r="U1027" s="8"/>
      <c r="V1027" s="8"/>
      <c r="W1027" s="8"/>
      <c r="X1027" s="8"/>
      <c r="Y1027" s="8"/>
      <c r="Z1027" s="10" t="s">
        <v>4452</v>
      </c>
      <c r="AA1027" s="8" t="s">
        <v>332</v>
      </c>
      <c r="AB1027" s="8">
        <v>1</v>
      </c>
    </row>
    <row r="1028" spans="1:28" ht="21.6" customHeight="1">
      <c r="A1028" s="8">
        <v>36</v>
      </c>
      <c r="B1028" s="8">
        <v>2025092493</v>
      </c>
      <c r="C1028" s="8">
        <v>1</v>
      </c>
      <c r="D1028" s="8" t="s">
        <v>3177</v>
      </c>
      <c r="E1028" s="8" t="s">
        <v>123</v>
      </c>
      <c r="F1028" s="8" t="s">
        <v>4451</v>
      </c>
      <c r="G1028" s="8" t="s">
        <v>3179</v>
      </c>
      <c r="H1028" s="8" t="s">
        <v>3180</v>
      </c>
      <c r="I1028" s="8" t="s">
        <v>3300</v>
      </c>
      <c r="J1028" s="8" t="s">
        <v>3301</v>
      </c>
      <c r="K1028" s="8" t="s">
        <v>3183</v>
      </c>
      <c r="L1028" s="10" t="s">
        <v>3302</v>
      </c>
      <c r="M1028" s="10" t="s">
        <v>3303</v>
      </c>
      <c r="N1028" s="10" t="s">
        <v>3304</v>
      </c>
      <c r="O1028" s="8" t="s">
        <v>322</v>
      </c>
      <c r="P1028" s="8"/>
      <c r="Q1028" s="8">
        <v>37650</v>
      </c>
      <c r="R1028" s="8">
        <v>34404</v>
      </c>
      <c r="S1028" s="8" t="s">
        <v>332</v>
      </c>
      <c r="T1028" s="8"/>
      <c r="U1028" s="8"/>
      <c r="V1028" s="8"/>
      <c r="W1028" s="8"/>
      <c r="X1028" s="8"/>
      <c r="Y1028" s="8"/>
      <c r="Z1028" s="10" t="s">
        <v>3186</v>
      </c>
      <c r="AA1028" s="8" t="s">
        <v>332</v>
      </c>
      <c r="AB1028" s="8">
        <v>1</v>
      </c>
    </row>
    <row r="1029" spans="1:28" ht="21.6" customHeight="1">
      <c r="A1029" s="8">
        <v>122</v>
      </c>
      <c r="B1029" s="8">
        <v>2025091708</v>
      </c>
      <c r="C1029" s="8">
        <v>1</v>
      </c>
      <c r="D1029" s="8" t="s">
        <v>3177</v>
      </c>
      <c r="E1029" s="8" t="s">
        <v>118</v>
      </c>
      <c r="F1029" s="8" t="s">
        <v>4420</v>
      </c>
      <c r="G1029" s="8" t="s">
        <v>3386</v>
      </c>
      <c r="H1029" s="8" t="s">
        <v>3387</v>
      </c>
      <c r="I1029" s="8" t="s">
        <v>3706</v>
      </c>
      <c r="J1029" s="8" t="s">
        <v>3253</v>
      </c>
      <c r="K1029" s="8" t="s">
        <v>3183</v>
      </c>
      <c r="L1029" s="10" t="s">
        <v>3707</v>
      </c>
      <c r="M1029" s="10" t="s">
        <v>3708</v>
      </c>
      <c r="N1029" s="10" t="s">
        <v>3424</v>
      </c>
      <c r="O1029" s="8" t="s">
        <v>3190</v>
      </c>
      <c r="P1029" s="8"/>
      <c r="Q1029" s="8"/>
      <c r="R1029" s="8">
        <v>220600</v>
      </c>
      <c r="S1029" s="8"/>
      <c r="T1029" s="8"/>
      <c r="U1029" s="8"/>
      <c r="V1029" s="8"/>
      <c r="W1029" s="8"/>
      <c r="X1029" s="8"/>
      <c r="Y1029" s="8"/>
      <c r="Z1029" s="10" t="s">
        <v>3821</v>
      </c>
      <c r="AA1029" s="8" t="s">
        <v>332</v>
      </c>
      <c r="AB1029" s="8">
        <v>1</v>
      </c>
    </row>
    <row r="1030" spans="1:28" ht="21.6" customHeight="1">
      <c r="A1030" s="8">
        <v>132</v>
      </c>
      <c r="B1030" s="8">
        <v>2025090972</v>
      </c>
      <c r="C1030" s="8">
        <v>1</v>
      </c>
      <c r="D1030" s="8" t="s">
        <v>3177</v>
      </c>
      <c r="E1030" s="8" t="s">
        <v>118</v>
      </c>
      <c r="F1030" s="8" t="s">
        <v>4411</v>
      </c>
      <c r="G1030" s="8" t="s">
        <v>3250</v>
      </c>
      <c r="H1030" s="8" t="s">
        <v>3204</v>
      </c>
      <c r="I1030" s="8" t="s">
        <v>3447</v>
      </c>
      <c r="J1030" s="8" t="s">
        <v>3277</v>
      </c>
      <c r="K1030" s="8" t="s">
        <v>3183</v>
      </c>
      <c r="L1030" s="10" t="s">
        <v>3448</v>
      </c>
      <c r="M1030" s="10" t="s">
        <v>3449</v>
      </c>
      <c r="N1030" s="10"/>
      <c r="O1030" s="8" t="s">
        <v>3190</v>
      </c>
      <c r="P1030" s="8"/>
      <c r="Q1030" s="8"/>
      <c r="R1030" s="8">
        <v>48000</v>
      </c>
      <c r="S1030" s="8"/>
      <c r="T1030" s="8"/>
      <c r="U1030" s="8"/>
      <c r="V1030" s="8"/>
      <c r="W1030" s="8"/>
      <c r="X1030" s="8"/>
      <c r="Y1030" s="8"/>
      <c r="Z1030" s="10" t="s">
        <v>111</v>
      </c>
      <c r="AA1030" s="8" t="s">
        <v>332</v>
      </c>
      <c r="AB1030" s="8">
        <v>1</v>
      </c>
    </row>
    <row r="1031" spans="1:28" ht="21.6" customHeight="1">
      <c r="A1031" s="8">
        <v>156</v>
      </c>
      <c r="B1031" s="8">
        <v>2025092737</v>
      </c>
      <c r="C1031" s="8">
        <v>1</v>
      </c>
      <c r="D1031" s="8" t="s">
        <v>3177</v>
      </c>
      <c r="E1031" s="8" t="s">
        <v>118</v>
      </c>
      <c r="F1031" s="8" t="s">
        <v>4453</v>
      </c>
      <c r="G1031" s="8" t="s">
        <v>3280</v>
      </c>
      <c r="H1031" s="8" t="s">
        <v>3386</v>
      </c>
      <c r="I1031" s="8" t="s">
        <v>3502</v>
      </c>
      <c r="J1031" s="8" t="s">
        <v>3298</v>
      </c>
      <c r="K1031" s="8" t="s">
        <v>3183</v>
      </c>
      <c r="L1031" s="10" t="s">
        <v>3503</v>
      </c>
      <c r="M1031" s="10" t="s">
        <v>3504</v>
      </c>
      <c r="N1031" s="10" t="s">
        <v>217</v>
      </c>
      <c r="O1031" s="8" t="s">
        <v>322</v>
      </c>
      <c r="P1031" s="8"/>
      <c r="Q1031" s="8"/>
      <c r="R1031" s="8">
        <v>295043</v>
      </c>
      <c r="S1031" s="8"/>
      <c r="T1031" s="8" t="s">
        <v>332</v>
      </c>
      <c r="U1031" s="8"/>
      <c r="V1031" s="8"/>
      <c r="W1031" s="8"/>
      <c r="X1031" s="8"/>
      <c r="Y1031" s="8"/>
      <c r="Z1031" s="10" t="s">
        <v>4454</v>
      </c>
      <c r="AA1031" s="8" t="s">
        <v>332</v>
      </c>
      <c r="AB1031" s="8">
        <v>1</v>
      </c>
    </row>
    <row r="1032" spans="1:28" ht="21.6" customHeight="1">
      <c r="A1032" s="8">
        <v>211</v>
      </c>
      <c r="B1032" s="8">
        <v>2025092497</v>
      </c>
      <c r="C1032" s="8">
        <v>1</v>
      </c>
      <c r="D1032" s="8" t="s">
        <v>3177</v>
      </c>
      <c r="E1032" s="8" t="s">
        <v>118</v>
      </c>
      <c r="F1032" s="8" t="s">
        <v>4451</v>
      </c>
      <c r="G1032" s="8" t="s">
        <v>3204</v>
      </c>
      <c r="H1032" s="8" t="s">
        <v>3387</v>
      </c>
      <c r="I1032" s="8" t="s">
        <v>3757</v>
      </c>
      <c r="J1032" s="8" t="s">
        <v>3758</v>
      </c>
      <c r="K1032" s="8" t="s">
        <v>3183</v>
      </c>
      <c r="L1032" s="10" t="s">
        <v>3759</v>
      </c>
      <c r="M1032" s="10" t="s">
        <v>3760</v>
      </c>
      <c r="N1032" s="10" t="s">
        <v>3761</v>
      </c>
      <c r="O1032" s="8" t="s">
        <v>322</v>
      </c>
      <c r="P1032" s="8"/>
      <c r="Q1032" s="8">
        <v>2480</v>
      </c>
      <c r="R1032" s="8">
        <v>172711</v>
      </c>
      <c r="S1032" s="8"/>
      <c r="T1032" s="8"/>
      <c r="U1032" s="8"/>
      <c r="V1032" s="8"/>
      <c r="W1032" s="8"/>
      <c r="X1032" s="8"/>
      <c r="Y1032" s="8" t="s">
        <v>332</v>
      </c>
      <c r="Z1032" s="10" t="s">
        <v>3491</v>
      </c>
      <c r="AA1032" s="8" t="s">
        <v>332</v>
      </c>
      <c r="AB1032" s="8">
        <v>1</v>
      </c>
    </row>
    <row r="1033" spans="1:28" ht="21.6" customHeight="1">
      <c r="A1033" s="8">
        <v>214</v>
      </c>
      <c r="B1033" s="8">
        <v>2025092541</v>
      </c>
      <c r="C1033" s="8">
        <v>1</v>
      </c>
      <c r="D1033" s="8" t="s">
        <v>3177</v>
      </c>
      <c r="E1033" s="8" t="s">
        <v>118</v>
      </c>
      <c r="F1033" s="8" t="s">
        <v>4451</v>
      </c>
      <c r="G1033" s="8" t="s">
        <v>3387</v>
      </c>
      <c r="H1033" s="8" t="s">
        <v>3431</v>
      </c>
      <c r="I1033" s="8" t="s">
        <v>3763</v>
      </c>
      <c r="J1033" s="8" t="s">
        <v>3758</v>
      </c>
      <c r="K1033" s="8" t="s">
        <v>3183</v>
      </c>
      <c r="L1033" s="10" t="s">
        <v>3759</v>
      </c>
      <c r="M1033" s="10" t="s">
        <v>3760</v>
      </c>
      <c r="N1033" s="10" t="s">
        <v>3764</v>
      </c>
      <c r="O1033" s="8" t="s">
        <v>322</v>
      </c>
      <c r="P1033" s="8"/>
      <c r="Q1033" s="8">
        <v>8498</v>
      </c>
      <c r="R1033" s="8">
        <v>295833</v>
      </c>
      <c r="S1033" s="8"/>
      <c r="T1033" s="8"/>
      <c r="U1033" s="8"/>
      <c r="V1033" s="8"/>
      <c r="W1033" s="8"/>
      <c r="X1033" s="8"/>
      <c r="Y1033" s="8" t="s">
        <v>332</v>
      </c>
      <c r="Z1033" s="10" t="s">
        <v>4455</v>
      </c>
      <c r="AA1033" s="8" t="s">
        <v>332</v>
      </c>
      <c r="AB1033" s="8">
        <v>1</v>
      </c>
    </row>
    <row r="1034" spans="1:28" ht="21.6" customHeight="1">
      <c r="A1034" s="8">
        <v>1</v>
      </c>
      <c r="B1034" s="8">
        <v>2025092090</v>
      </c>
      <c r="C1034" s="8">
        <v>1</v>
      </c>
      <c r="D1034" s="8" t="s">
        <v>3177</v>
      </c>
      <c r="E1034" s="8" t="s">
        <v>123</v>
      </c>
      <c r="F1034" s="8" t="s">
        <v>4434</v>
      </c>
      <c r="G1034" s="8" t="s">
        <v>4054</v>
      </c>
      <c r="H1034" s="8" t="s">
        <v>4350</v>
      </c>
      <c r="I1034" s="8" t="s">
        <v>3194</v>
      </c>
      <c r="J1034" s="8" t="s">
        <v>3195</v>
      </c>
      <c r="K1034" s="8" t="s">
        <v>3183</v>
      </c>
      <c r="L1034" s="10" t="s">
        <v>3196</v>
      </c>
      <c r="M1034" s="10" t="s">
        <v>3197</v>
      </c>
      <c r="N1034" s="10" t="s">
        <v>123</v>
      </c>
      <c r="O1034" s="8" t="s">
        <v>3190</v>
      </c>
      <c r="P1034" s="8"/>
      <c r="Q1034" s="8">
        <v>84</v>
      </c>
      <c r="R1034" s="8">
        <v>3496</v>
      </c>
      <c r="S1034" s="8"/>
      <c r="T1034" s="8"/>
      <c r="U1034" s="8"/>
      <c r="V1034" s="8"/>
      <c r="W1034" s="8"/>
      <c r="X1034" s="8"/>
      <c r="Y1034" s="8"/>
      <c r="Z1034" s="10" t="s">
        <v>3186</v>
      </c>
      <c r="AA1034" s="8" t="s">
        <v>332</v>
      </c>
      <c r="AB1034" s="8">
        <v>1</v>
      </c>
    </row>
    <row r="1035" spans="1:28" ht="21.6" customHeight="1">
      <c r="A1035" s="8">
        <v>20</v>
      </c>
      <c r="B1035" s="8">
        <v>2025092088</v>
      </c>
      <c r="C1035" s="8">
        <v>1</v>
      </c>
      <c r="D1035" s="8" t="s">
        <v>3177</v>
      </c>
      <c r="E1035" s="8" t="s">
        <v>123</v>
      </c>
      <c r="F1035" s="8" t="s">
        <v>4434</v>
      </c>
      <c r="G1035" s="8" t="s">
        <v>3363</v>
      </c>
      <c r="H1035" s="8" t="s">
        <v>3232</v>
      </c>
      <c r="I1035" s="8" t="s">
        <v>4370</v>
      </c>
      <c r="J1035" s="8" t="s">
        <v>3224</v>
      </c>
      <c r="K1035" s="8" t="s">
        <v>3183</v>
      </c>
      <c r="L1035" s="10" t="s">
        <v>4371</v>
      </c>
      <c r="M1035" s="10" t="s">
        <v>3185</v>
      </c>
      <c r="N1035" s="10"/>
      <c r="O1035" s="8" t="s">
        <v>3190</v>
      </c>
      <c r="P1035" s="8"/>
      <c r="Q1035" s="8">
        <v>194</v>
      </c>
      <c r="R1035" s="8">
        <v>2829</v>
      </c>
      <c r="S1035" s="8"/>
      <c r="T1035" s="8"/>
      <c r="U1035" s="8"/>
      <c r="V1035" s="8"/>
      <c r="W1035" s="8"/>
      <c r="X1035" s="8"/>
      <c r="Y1035" s="8"/>
      <c r="Z1035" s="10" t="s">
        <v>3186</v>
      </c>
      <c r="AA1035" s="8" t="s">
        <v>332</v>
      </c>
      <c r="AB1035" s="8">
        <v>1</v>
      </c>
    </row>
    <row r="1036" spans="1:28" ht="21.6" customHeight="1">
      <c r="A1036" s="8">
        <v>95</v>
      </c>
      <c r="B1036" s="8">
        <v>2025092850</v>
      </c>
      <c r="C1036" s="8">
        <v>1</v>
      </c>
      <c r="D1036" s="8" t="s">
        <v>3177</v>
      </c>
      <c r="E1036" s="8" t="s">
        <v>118</v>
      </c>
      <c r="F1036" s="8" t="s">
        <v>4456</v>
      </c>
      <c r="G1036" s="8" t="s">
        <v>3357</v>
      </c>
      <c r="H1036" s="8" t="s">
        <v>3342</v>
      </c>
      <c r="I1036" s="8" t="s">
        <v>3370</v>
      </c>
      <c r="J1036" s="8" t="s">
        <v>3195</v>
      </c>
      <c r="K1036" s="8" t="s">
        <v>3183</v>
      </c>
      <c r="L1036" s="10" t="s">
        <v>3371</v>
      </c>
      <c r="M1036" s="10" t="s">
        <v>3372</v>
      </c>
      <c r="N1036" s="10" t="s">
        <v>3373</v>
      </c>
      <c r="O1036" s="8" t="s">
        <v>363</v>
      </c>
      <c r="P1036" s="8"/>
      <c r="Q1036" s="8">
        <v>16366</v>
      </c>
      <c r="R1036" s="8">
        <v>143510</v>
      </c>
      <c r="S1036" s="8"/>
      <c r="T1036" s="8"/>
      <c r="U1036" s="8"/>
      <c r="V1036" s="8"/>
      <c r="W1036" s="8"/>
      <c r="X1036" s="8"/>
      <c r="Y1036" s="8"/>
      <c r="Z1036" s="10" t="s">
        <v>4457</v>
      </c>
      <c r="AA1036" s="8" t="s">
        <v>332</v>
      </c>
      <c r="AB1036" s="8">
        <v>1</v>
      </c>
    </row>
    <row r="1037" spans="1:28" ht="21.6" customHeight="1">
      <c r="A1037" s="8">
        <v>96</v>
      </c>
      <c r="B1037" s="8">
        <v>2025090399</v>
      </c>
      <c r="C1037" s="8">
        <v>1</v>
      </c>
      <c r="D1037" s="8" t="s">
        <v>3177</v>
      </c>
      <c r="E1037" s="8" t="s">
        <v>118</v>
      </c>
      <c r="F1037" s="8" t="s">
        <v>238</v>
      </c>
      <c r="G1037" s="8" t="s">
        <v>3280</v>
      </c>
      <c r="H1037" s="8" t="s">
        <v>3233</v>
      </c>
      <c r="I1037" s="8" t="s">
        <v>4237</v>
      </c>
      <c r="J1037" s="8" t="s">
        <v>3195</v>
      </c>
      <c r="K1037" s="8" t="s">
        <v>3183</v>
      </c>
      <c r="L1037" s="10" t="s">
        <v>4080</v>
      </c>
      <c r="M1037" s="10" t="s">
        <v>4081</v>
      </c>
      <c r="N1037" s="10" t="s">
        <v>4238</v>
      </c>
      <c r="O1037" s="8" t="s">
        <v>3190</v>
      </c>
      <c r="P1037" s="8"/>
      <c r="Q1037" s="8">
        <v>27754</v>
      </c>
      <c r="R1037" s="8">
        <v>44996</v>
      </c>
      <c r="S1037" s="8"/>
      <c r="T1037" s="8"/>
      <c r="U1037" s="8"/>
      <c r="V1037" s="8"/>
      <c r="W1037" s="8"/>
      <c r="X1037" s="8"/>
      <c r="Y1037" s="8"/>
      <c r="Z1037" s="10" t="s">
        <v>3696</v>
      </c>
      <c r="AA1037" s="8" t="s">
        <v>332</v>
      </c>
      <c r="AB1037" s="8">
        <v>1</v>
      </c>
    </row>
    <row r="1038" spans="1:28" ht="21.6" customHeight="1">
      <c r="A1038" s="8">
        <v>98</v>
      </c>
      <c r="B1038" s="8">
        <v>2025092257</v>
      </c>
      <c r="C1038" s="8">
        <v>1</v>
      </c>
      <c r="D1038" s="8" t="s">
        <v>3177</v>
      </c>
      <c r="E1038" s="8" t="s">
        <v>118</v>
      </c>
      <c r="F1038" s="8" t="s">
        <v>220</v>
      </c>
      <c r="G1038" s="8" t="s">
        <v>3350</v>
      </c>
      <c r="H1038" s="8" t="s">
        <v>3280</v>
      </c>
      <c r="I1038" s="8" t="s">
        <v>3376</v>
      </c>
      <c r="J1038" s="8" t="s">
        <v>3195</v>
      </c>
      <c r="K1038" s="8" t="s">
        <v>3183</v>
      </c>
      <c r="L1038" s="10" t="s">
        <v>3377</v>
      </c>
      <c r="M1038" s="10" t="s">
        <v>3378</v>
      </c>
      <c r="N1038" s="10" t="s">
        <v>3379</v>
      </c>
      <c r="O1038" s="8" t="s">
        <v>3190</v>
      </c>
      <c r="P1038" s="8"/>
      <c r="Q1038" s="8">
        <v>38499</v>
      </c>
      <c r="R1038" s="8">
        <v>87458</v>
      </c>
      <c r="S1038" s="8"/>
      <c r="T1038" s="8"/>
      <c r="U1038" s="8"/>
      <c r="V1038" s="8"/>
      <c r="W1038" s="8"/>
      <c r="X1038" s="8"/>
      <c r="Y1038" s="8"/>
      <c r="Z1038" s="10" t="s">
        <v>3696</v>
      </c>
      <c r="AA1038" s="8" t="s">
        <v>332</v>
      </c>
      <c r="AB1038" s="8">
        <v>1</v>
      </c>
    </row>
    <row r="1039" spans="1:28" ht="21.6" customHeight="1">
      <c r="A1039" s="8">
        <v>193</v>
      </c>
      <c r="B1039" s="8">
        <v>2025092814</v>
      </c>
      <c r="C1039" s="8">
        <v>1</v>
      </c>
      <c r="D1039" s="8" t="s">
        <v>3177</v>
      </c>
      <c r="E1039" s="8" t="s">
        <v>118</v>
      </c>
      <c r="F1039" s="8" t="s">
        <v>4456</v>
      </c>
      <c r="G1039" s="8" t="s">
        <v>3280</v>
      </c>
      <c r="H1039" s="8" t="s">
        <v>3363</v>
      </c>
      <c r="I1039" s="8" t="s">
        <v>3978</v>
      </c>
      <c r="J1039" s="8" t="s">
        <v>3301</v>
      </c>
      <c r="K1039" s="8" t="s">
        <v>3183</v>
      </c>
      <c r="L1039" s="10" t="s">
        <v>3979</v>
      </c>
      <c r="M1039" s="10" t="s">
        <v>3980</v>
      </c>
      <c r="N1039" s="10" t="s">
        <v>3497</v>
      </c>
      <c r="O1039" s="8" t="s">
        <v>363</v>
      </c>
      <c r="P1039" s="8">
        <v>0</v>
      </c>
      <c r="Q1039" s="8">
        <v>1801</v>
      </c>
      <c r="R1039" s="8">
        <v>5799</v>
      </c>
      <c r="S1039" s="8"/>
      <c r="T1039" s="8"/>
      <c r="U1039" s="8"/>
      <c r="V1039" s="8"/>
      <c r="W1039" s="8"/>
      <c r="X1039" s="8"/>
      <c r="Y1039" s="8"/>
      <c r="Z1039" s="10" t="s">
        <v>4458</v>
      </c>
      <c r="AA1039" s="8" t="s">
        <v>332</v>
      </c>
      <c r="AB1039" s="8">
        <v>1</v>
      </c>
    </row>
    <row r="1040" spans="1:28" ht="21.6" customHeight="1">
      <c r="A1040" s="8">
        <v>205</v>
      </c>
      <c r="B1040" s="8">
        <v>2025092838</v>
      </c>
      <c r="C1040" s="8">
        <v>1</v>
      </c>
      <c r="D1040" s="8" t="s">
        <v>3177</v>
      </c>
      <c r="E1040" s="8" t="s">
        <v>118</v>
      </c>
      <c r="F1040" s="8" t="s">
        <v>4456</v>
      </c>
      <c r="G1040" s="8" t="s">
        <v>3381</v>
      </c>
      <c r="H1040" s="8" t="s">
        <v>3401</v>
      </c>
      <c r="I1040" s="8" t="s">
        <v>3557</v>
      </c>
      <c r="J1040" s="8" t="s">
        <v>3328</v>
      </c>
      <c r="K1040" s="8" t="s">
        <v>3183</v>
      </c>
      <c r="L1040" s="10" t="s">
        <v>3558</v>
      </c>
      <c r="M1040" s="10" t="s">
        <v>3559</v>
      </c>
      <c r="N1040" s="10" t="s">
        <v>3508</v>
      </c>
      <c r="O1040" s="8" t="s">
        <v>322</v>
      </c>
      <c r="P1040" s="8"/>
      <c r="Q1040" s="8">
        <v>3951</v>
      </c>
      <c r="R1040" s="8">
        <v>1430</v>
      </c>
      <c r="S1040" s="8" t="s">
        <v>332</v>
      </c>
      <c r="T1040" s="8"/>
      <c r="U1040" s="8"/>
      <c r="V1040" s="8"/>
      <c r="W1040" s="8"/>
      <c r="X1040" s="8"/>
      <c r="Y1040" s="8"/>
      <c r="Z1040" s="10" t="s">
        <v>3696</v>
      </c>
      <c r="AA1040" s="8" t="s">
        <v>332</v>
      </c>
      <c r="AB1040" s="8">
        <v>1</v>
      </c>
    </row>
    <row r="1041" spans="1:28" ht="21.6" customHeight="1">
      <c r="A1041" s="8">
        <v>18</v>
      </c>
      <c r="B1041" s="8">
        <v>2025092162</v>
      </c>
      <c r="C1041" s="8">
        <v>1</v>
      </c>
      <c r="D1041" s="8" t="s">
        <v>3177</v>
      </c>
      <c r="E1041" s="8" t="s">
        <v>123</v>
      </c>
      <c r="F1041" s="8" t="s">
        <v>4434</v>
      </c>
      <c r="G1041" s="8" t="s">
        <v>3805</v>
      </c>
      <c r="H1041" s="8" t="s">
        <v>3594</v>
      </c>
      <c r="I1041" s="8" t="s">
        <v>3246</v>
      </c>
      <c r="J1041" s="8" t="s">
        <v>3224</v>
      </c>
      <c r="K1041" s="8" t="s">
        <v>3183</v>
      </c>
      <c r="L1041" s="10" t="s">
        <v>3247</v>
      </c>
      <c r="M1041" s="10" t="s">
        <v>3248</v>
      </c>
      <c r="N1041" s="10" t="s">
        <v>3215</v>
      </c>
      <c r="O1041" s="8" t="s">
        <v>3190</v>
      </c>
      <c r="P1041" s="8"/>
      <c r="Q1041" s="8">
        <v>788</v>
      </c>
      <c r="R1041" s="8">
        <v>1950</v>
      </c>
      <c r="S1041" s="8"/>
      <c r="T1041" s="8"/>
      <c r="U1041" s="8"/>
      <c r="V1041" s="8"/>
      <c r="W1041" s="8"/>
      <c r="X1041" s="8"/>
      <c r="Y1041" s="8"/>
      <c r="Z1041" s="10" t="s">
        <v>3186</v>
      </c>
      <c r="AA1041" s="8" t="s">
        <v>332</v>
      </c>
      <c r="AB1041" s="8">
        <v>1</v>
      </c>
    </row>
    <row r="1042" spans="1:28" ht="21.6" customHeight="1">
      <c r="A1042" s="8">
        <v>50</v>
      </c>
      <c r="B1042" s="8">
        <v>2025092152</v>
      </c>
      <c r="C1042" s="8">
        <v>1</v>
      </c>
      <c r="D1042" s="8" t="s">
        <v>3177</v>
      </c>
      <c r="E1042" s="8" t="s">
        <v>123</v>
      </c>
      <c r="F1042" s="8" t="s">
        <v>4434</v>
      </c>
      <c r="G1042" s="8" t="s">
        <v>3691</v>
      </c>
      <c r="H1042" s="8" t="s">
        <v>3887</v>
      </c>
      <c r="I1042" s="8" t="s">
        <v>4230</v>
      </c>
      <c r="J1042" s="8" t="s">
        <v>3328</v>
      </c>
      <c r="K1042" s="8" t="s">
        <v>3183</v>
      </c>
      <c r="L1042" s="10" t="s">
        <v>3314</v>
      </c>
      <c r="M1042" s="10" t="s">
        <v>3315</v>
      </c>
      <c r="N1042" s="10"/>
      <c r="O1042" s="8" t="s">
        <v>3190</v>
      </c>
      <c r="P1042" s="8"/>
      <c r="Q1042" s="8">
        <v>1941</v>
      </c>
      <c r="R1042" s="8">
        <v>3554</v>
      </c>
      <c r="S1042" s="8"/>
      <c r="T1042" s="8"/>
      <c r="U1042" s="8"/>
      <c r="V1042" s="8"/>
      <c r="W1042" s="8"/>
      <c r="X1042" s="8"/>
      <c r="Y1042" s="8"/>
      <c r="Z1042" s="10" t="s">
        <v>3186</v>
      </c>
      <c r="AA1042" s="8" t="s">
        <v>332</v>
      </c>
      <c r="AB1042" s="8">
        <v>1</v>
      </c>
    </row>
    <row r="1043" spans="1:28" ht="21.6" customHeight="1">
      <c r="A1043" s="8">
        <v>100</v>
      </c>
      <c r="B1043" s="8">
        <v>2025092835</v>
      </c>
      <c r="C1043" s="8">
        <v>1</v>
      </c>
      <c r="D1043" s="8" t="s">
        <v>3177</v>
      </c>
      <c r="E1043" s="8" t="s">
        <v>118</v>
      </c>
      <c r="F1043" s="8" t="s">
        <v>4456</v>
      </c>
      <c r="G1043" s="8" t="s">
        <v>3368</v>
      </c>
      <c r="H1043" s="8" t="s">
        <v>3250</v>
      </c>
      <c r="I1043" s="8" t="s">
        <v>3370</v>
      </c>
      <c r="J1043" s="8" t="s">
        <v>3195</v>
      </c>
      <c r="K1043" s="8" t="s">
        <v>3183</v>
      </c>
      <c r="L1043" s="10" t="s">
        <v>3371</v>
      </c>
      <c r="M1043" s="10" t="s">
        <v>3372</v>
      </c>
      <c r="N1043" s="10" t="s">
        <v>3373</v>
      </c>
      <c r="O1043" s="8" t="s">
        <v>363</v>
      </c>
      <c r="P1043" s="8"/>
      <c r="Q1043" s="8">
        <v>16366</v>
      </c>
      <c r="R1043" s="8">
        <v>143510</v>
      </c>
      <c r="S1043" s="8"/>
      <c r="T1043" s="8"/>
      <c r="U1043" s="8"/>
      <c r="V1043" s="8"/>
      <c r="W1043" s="8"/>
      <c r="X1043" s="8"/>
      <c r="Y1043" s="8"/>
      <c r="Z1043" s="10" t="s">
        <v>4459</v>
      </c>
      <c r="AA1043" s="8" t="s">
        <v>332</v>
      </c>
      <c r="AB1043" s="8">
        <v>1</v>
      </c>
    </row>
    <row r="1044" spans="1:28" ht="21.6" customHeight="1">
      <c r="A1044" s="8">
        <v>113</v>
      </c>
      <c r="B1044" s="8">
        <v>2025092238</v>
      </c>
      <c r="C1044" s="8">
        <v>1</v>
      </c>
      <c r="D1044" s="8" t="s">
        <v>3177</v>
      </c>
      <c r="E1044" s="8" t="s">
        <v>118</v>
      </c>
      <c r="F1044" s="8" t="s">
        <v>4434</v>
      </c>
      <c r="G1044" s="8" t="s">
        <v>3386</v>
      </c>
      <c r="H1044" s="8" t="s">
        <v>3387</v>
      </c>
      <c r="I1044" s="8" t="s">
        <v>4399</v>
      </c>
      <c r="J1044" s="8" t="s">
        <v>3195</v>
      </c>
      <c r="K1044" s="8" t="s">
        <v>3183</v>
      </c>
      <c r="L1044" s="10" t="s">
        <v>3377</v>
      </c>
      <c r="M1044" s="10" t="s">
        <v>4400</v>
      </c>
      <c r="N1044" s="10" t="s">
        <v>4401</v>
      </c>
      <c r="O1044" s="8" t="s">
        <v>3190</v>
      </c>
      <c r="P1044" s="8"/>
      <c r="Q1044" s="8">
        <v>5983</v>
      </c>
      <c r="R1044" s="8">
        <v>32582</v>
      </c>
      <c r="S1044" s="8"/>
      <c r="T1044" s="8"/>
      <c r="U1044" s="8"/>
      <c r="V1044" s="8"/>
      <c r="W1044" s="8"/>
      <c r="X1044" s="8"/>
      <c r="Y1044" s="8"/>
      <c r="Z1044" s="10" t="s">
        <v>3696</v>
      </c>
      <c r="AA1044" s="8" t="s">
        <v>332</v>
      </c>
      <c r="AB1044" s="8">
        <v>1</v>
      </c>
    </row>
    <row r="1045" spans="1:28" ht="21.6" customHeight="1">
      <c r="A1045" s="8">
        <v>218</v>
      </c>
      <c r="B1045" s="8">
        <v>2025092887</v>
      </c>
      <c r="C1045" s="8">
        <v>1</v>
      </c>
      <c r="D1045" s="8" t="s">
        <v>3177</v>
      </c>
      <c r="E1045" s="8" t="s">
        <v>118</v>
      </c>
      <c r="F1045" s="8" t="s">
        <v>4456</v>
      </c>
      <c r="G1045" s="8" t="s">
        <v>3204</v>
      </c>
      <c r="H1045" s="8" t="s">
        <v>3386</v>
      </c>
      <c r="I1045" s="8" t="s">
        <v>3570</v>
      </c>
      <c r="J1045" s="8" t="s">
        <v>1717</v>
      </c>
      <c r="K1045" s="8" t="s">
        <v>3183</v>
      </c>
      <c r="L1045" s="10" t="s">
        <v>3254</v>
      </c>
      <c r="M1045" s="10" t="s">
        <v>3547</v>
      </c>
      <c r="N1045" s="10" t="s">
        <v>3571</v>
      </c>
      <c r="O1045" s="8" t="s">
        <v>363</v>
      </c>
      <c r="P1045" s="8"/>
      <c r="Q1045" s="8"/>
      <c r="R1045" s="8">
        <v>23991</v>
      </c>
      <c r="S1045" s="8"/>
      <c r="T1045" s="8"/>
      <c r="U1045" s="8"/>
      <c r="V1045" s="8"/>
      <c r="W1045" s="8"/>
      <c r="X1045" s="8"/>
      <c r="Y1045" s="8"/>
      <c r="Z1045" s="10" t="s">
        <v>4460</v>
      </c>
      <c r="AA1045" s="8" t="s">
        <v>332</v>
      </c>
      <c r="AB1045" s="8">
        <v>1</v>
      </c>
    </row>
    <row r="1046" spans="1:28" ht="21.6" customHeight="1">
      <c r="A1046" s="8">
        <v>223</v>
      </c>
      <c r="B1046" s="8">
        <v>2025092888</v>
      </c>
      <c r="C1046" s="8">
        <v>1</v>
      </c>
      <c r="D1046" s="8" t="s">
        <v>3177</v>
      </c>
      <c r="E1046" s="8" t="s">
        <v>118</v>
      </c>
      <c r="F1046" s="8" t="s">
        <v>4456</v>
      </c>
      <c r="G1046" s="8" t="s">
        <v>3386</v>
      </c>
      <c r="H1046" s="8" t="s">
        <v>3426</v>
      </c>
      <c r="I1046" s="8" t="s">
        <v>4450</v>
      </c>
      <c r="J1046" s="8" t="s">
        <v>1717</v>
      </c>
      <c r="K1046" s="8" t="s">
        <v>3183</v>
      </c>
      <c r="L1046" s="10" t="s">
        <v>3254</v>
      </c>
      <c r="M1046" s="10" t="s">
        <v>3547</v>
      </c>
      <c r="N1046" s="10" t="s">
        <v>3747</v>
      </c>
      <c r="O1046" s="8" t="s">
        <v>363</v>
      </c>
      <c r="P1046" s="8"/>
      <c r="Q1046" s="8"/>
      <c r="R1046" s="8">
        <v>13789</v>
      </c>
      <c r="S1046" s="8"/>
      <c r="T1046" s="8"/>
      <c r="U1046" s="8"/>
      <c r="V1046" s="8"/>
      <c r="W1046" s="8"/>
      <c r="X1046" s="8"/>
      <c r="Y1046" s="8"/>
      <c r="Z1046" s="10" t="s">
        <v>4461</v>
      </c>
      <c r="AA1046" s="8" t="s">
        <v>332</v>
      </c>
      <c r="AB1046" s="8">
        <v>1</v>
      </c>
    </row>
    <row r="1047" spans="1:28" ht="21.6" customHeight="1">
      <c r="A1047" s="8">
        <v>38</v>
      </c>
      <c r="B1047" s="8">
        <v>2025090588</v>
      </c>
      <c r="C1047" s="8">
        <v>1</v>
      </c>
      <c r="D1047" s="8" t="s">
        <v>3177</v>
      </c>
      <c r="E1047" s="8" t="s">
        <v>123</v>
      </c>
      <c r="F1047" s="8" t="s">
        <v>236</v>
      </c>
      <c r="G1047" s="8" t="s">
        <v>3363</v>
      </c>
      <c r="H1047" s="8" t="s">
        <v>3232</v>
      </c>
      <c r="I1047" s="8" t="s">
        <v>3282</v>
      </c>
      <c r="J1047" s="8" t="s">
        <v>3277</v>
      </c>
      <c r="K1047" s="8" t="s">
        <v>3183</v>
      </c>
      <c r="L1047" s="10" t="s">
        <v>3283</v>
      </c>
      <c r="M1047" s="10" t="s">
        <v>3284</v>
      </c>
      <c r="N1047" s="10"/>
      <c r="O1047" s="8" t="s">
        <v>3190</v>
      </c>
      <c r="P1047" s="8"/>
      <c r="Q1047" s="8"/>
      <c r="R1047" s="8">
        <v>27400</v>
      </c>
      <c r="S1047" s="8"/>
      <c r="T1047" s="8"/>
      <c r="U1047" s="8"/>
      <c r="V1047" s="8"/>
      <c r="W1047" s="8"/>
      <c r="X1047" s="8"/>
      <c r="Y1047" s="8"/>
      <c r="Z1047" s="10" t="s">
        <v>3186</v>
      </c>
      <c r="AA1047" s="8" t="s">
        <v>332</v>
      </c>
      <c r="AB1047" s="8">
        <v>1</v>
      </c>
    </row>
    <row r="1048" spans="1:28" ht="21.6" customHeight="1">
      <c r="A1048" s="8">
        <v>101</v>
      </c>
      <c r="B1048" s="8">
        <v>2025093097</v>
      </c>
      <c r="C1048" s="8">
        <v>1</v>
      </c>
      <c r="D1048" s="8" t="s">
        <v>3177</v>
      </c>
      <c r="E1048" s="8" t="s">
        <v>118</v>
      </c>
      <c r="F1048" s="8" t="s">
        <v>4462</v>
      </c>
      <c r="G1048" s="8" t="s">
        <v>3280</v>
      </c>
      <c r="H1048" s="8" t="s">
        <v>3363</v>
      </c>
      <c r="I1048" s="8" t="s">
        <v>3351</v>
      </c>
      <c r="J1048" s="8" t="s">
        <v>3195</v>
      </c>
      <c r="K1048" s="8" t="s">
        <v>3183</v>
      </c>
      <c r="L1048" s="10" t="s">
        <v>3352</v>
      </c>
      <c r="M1048" s="10" t="s">
        <v>3353</v>
      </c>
      <c r="N1048" s="10" t="s">
        <v>3667</v>
      </c>
      <c r="O1048" s="8" t="s">
        <v>363</v>
      </c>
      <c r="P1048" s="8"/>
      <c r="Q1048" s="8">
        <v>10988</v>
      </c>
      <c r="R1048" s="8">
        <v>76907</v>
      </c>
      <c r="S1048" s="8"/>
      <c r="T1048" s="8"/>
      <c r="U1048" s="8"/>
      <c r="V1048" s="8"/>
      <c r="W1048" s="8"/>
      <c r="X1048" s="8"/>
      <c r="Y1048" s="8"/>
      <c r="Z1048" s="10" t="s">
        <v>4463</v>
      </c>
      <c r="AA1048" s="8" t="s">
        <v>332</v>
      </c>
      <c r="AB1048" s="8">
        <v>1</v>
      </c>
    </row>
    <row r="1049" spans="1:28" ht="21.6" customHeight="1">
      <c r="A1049" s="8">
        <v>176</v>
      </c>
      <c r="B1049" s="8">
        <v>2025092941</v>
      </c>
      <c r="C1049" s="8">
        <v>1</v>
      </c>
      <c r="D1049" s="8" t="s">
        <v>3177</v>
      </c>
      <c r="E1049" s="8" t="s">
        <v>118</v>
      </c>
      <c r="F1049" s="8" t="s">
        <v>4464</v>
      </c>
      <c r="G1049" s="8" t="s">
        <v>3363</v>
      </c>
      <c r="H1049" s="8" t="s">
        <v>3342</v>
      </c>
      <c r="I1049" s="8" t="s">
        <v>3502</v>
      </c>
      <c r="J1049" s="8" t="s">
        <v>3298</v>
      </c>
      <c r="K1049" s="8" t="s">
        <v>3183</v>
      </c>
      <c r="L1049" s="10" t="s">
        <v>3503</v>
      </c>
      <c r="M1049" s="10" t="s">
        <v>3504</v>
      </c>
      <c r="N1049" s="10" t="s">
        <v>217</v>
      </c>
      <c r="O1049" s="8" t="s">
        <v>3190</v>
      </c>
      <c r="P1049" s="8"/>
      <c r="Q1049" s="8"/>
      <c r="R1049" s="8">
        <v>297956</v>
      </c>
      <c r="S1049" s="8"/>
      <c r="T1049" s="8"/>
      <c r="U1049" s="8"/>
      <c r="V1049" s="8"/>
      <c r="W1049" s="8"/>
      <c r="X1049" s="8"/>
      <c r="Y1049" s="8"/>
      <c r="Z1049" s="10" t="s">
        <v>3323</v>
      </c>
      <c r="AA1049" s="8" t="s">
        <v>332</v>
      </c>
      <c r="AB1049" s="8">
        <v>1</v>
      </c>
    </row>
    <row r="1050" spans="1:28" ht="21.6" customHeight="1">
      <c r="A1050" s="8">
        <v>194</v>
      </c>
      <c r="B1050" s="8">
        <v>2025090348</v>
      </c>
      <c r="C1050" s="8">
        <v>1</v>
      </c>
      <c r="D1050" s="8" t="s">
        <v>3177</v>
      </c>
      <c r="E1050" s="8" t="s">
        <v>118</v>
      </c>
      <c r="F1050" s="8" t="s">
        <v>4402</v>
      </c>
      <c r="G1050" s="8" t="s">
        <v>3427</v>
      </c>
      <c r="H1050" s="8" t="s">
        <v>3386</v>
      </c>
      <c r="I1050" s="8" t="s">
        <v>3530</v>
      </c>
      <c r="J1050" s="8" t="s">
        <v>3298</v>
      </c>
      <c r="K1050" s="8" t="s">
        <v>3183</v>
      </c>
      <c r="L1050" s="10" t="s">
        <v>3462</v>
      </c>
      <c r="M1050" s="10" t="s">
        <v>3531</v>
      </c>
      <c r="N1050" s="10" t="s">
        <v>3532</v>
      </c>
      <c r="O1050" s="8" t="s">
        <v>3190</v>
      </c>
      <c r="P1050" s="8"/>
      <c r="Q1050" s="8"/>
      <c r="R1050" s="8">
        <v>355156</v>
      </c>
      <c r="S1050" s="8"/>
      <c r="T1050" s="8"/>
      <c r="U1050" s="8"/>
      <c r="V1050" s="8"/>
      <c r="W1050" s="8"/>
      <c r="X1050" s="8"/>
      <c r="Y1050" s="8"/>
      <c r="Z1050" s="10" t="s">
        <v>3696</v>
      </c>
      <c r="AA1050" s="8" t="s">
        <v>332</v>
      </c>
      <c r="AB1050" s="8">
        <v>1</v>
      </c>
    </row>
    <row r="1051" spans="1:28" ht="21.6" customHeight="1">
      <c r="A1051" s="8">
        <v>220</v>
      </c>
      <c r="B1051" s="8">
        <v>2025092839</v>
      </c>
      <c r="C1051" s="8">
        <v>1</v>
      </c>
      <c r="D1051" s="8" t="s">
        <v>3177</v>
      </c>
      <c r="E1051" s="8" t="s">
        <v>118</v>
      </c>
      <c r="F1051" s="8" t="s">
        <v>4456</v>
      </c>
      <c r="G1051" s="8" t="s">
        <v>3381</v>
      </c>
      <c r="H1051" s="8" t="s">
        <v>3401</v>
      </c>
      <c r="I1051" s="8" t="s">
        <v>3557</v>
      </c>
      <c r="J1051" s="8" t="s">
        <v>3328</v>
      </c>
      <c r="K1051" s="8" t="s">
        <v>3183</v>
      </c>
      <c r="L1051" s="10" t="s">
        <v>3558</v>
      </c>
      <c r="M1051" s="10" t="s">
        <v>3559</v>
      </c>
      <c r="N1051" s="10" t="s">
        <v>3508</v>
      </c>
      <c r="O1051" s="8" t="s">
        <v>3190</v>
      </c>
      <c r="P1051" s="8"/>
      <c r="Q1051" s="8">
        <v>3951</v>
      </c>
      <c r="R1051" s="8">
        <v>1430</v>
      </c>
      <c r="S1051" s="8"/>
      <c r="T1051" s="8"/>
      <c r="U1051" s="8"/>
      <c r="V1051" s="8"/>
      <c r="W1051" s="8"/>
      <c r="X1051" s="8"/>
      <c r="Y1051" s="8"/>
      <c r="Z1051" s="10" t="s">
        <v>3696</v>
      </c>
      <c r="AA1051" s="8" t="s">
        <v>332</v>
      </c>
      <c r="AB1051" s="8">
        <v>1</v>
      </c>
    </row>
    <row r="1052" spans="1:28" ht="21.6" customHeight="1">
      <c r="A1052" s="8">
        <v>237</v>
      </c>
      <c r="B1052" s="8">
        <v>2025092288</v>
      </c>
      <c r="C1052" s="8">
        <v>1</v>
      </c>
      <c r="D1052" s="8" t="s">
        <v>3177</v>
      </c>
      <c r="E1052" s="8" t="s">
        <v>118</v>
      </c>
      <c r="F1052" s="8" t="s">
        <v>220</v>
      </c>
      <c r="G1052" s="8" t="s">
        <v>3363</v>
      </c>
      <c r="H1052" s="8" t="s">
        <v>3233</v>
      </c>
      <c r="I1052" s="8" t="s">
        <v>3763</v>
      </c>
      <c r="J1052" s="8" t="s">
        <v>3758</v>
      </c>
      <c r="K1052" s="8" t="s">
        <v>3183</v>
      </c>
      <c r="L1052" s="10" t="s">
        <v>3759</v>
      </c>
      <c r="M1052" s="10" t="s">
        <v>3760</v>
      </c>
      <c r="N1052" s="10" t="s">
        <v>3764</v>
      </c>
      <c r="O1052" s="8" t="s">
        <v>3190</v>
      </c>
      <c r="P1052" s="8"/>
      <c r="Q1052" s="8">
        <v>8498</v>
      </c>
      <c r="R1052" s="8">
        <v>295833</v>
      </c>
      <c r="S1052" s="8"/>
      <c r="T1052" s="8"/>
      <c r="U1052" s="8"/>
      <c r="V1052" s="8"/>
      <c r="W1052" s="8"/>
      <c r="X1052" s="8"/>
      <c r="Y1052" s="8"/>
      <c r="Z1052" s="10" t="s">
        <v>3696</v>
      </c>
      <c r="AA1052" s="8" t="s">
        <v>332</v>
      </c>
      <c r="AB1052" s="8">
        <v>1</v>
      </c>
    </row>
    <row r="1053" spans="1:28" ht="21.6" customHeight="1">
      <c r="A1053" s="8">
        <v>106</v>
      </c>
      <c r="B1053" s="8">
        <v>2025092073</v>
      </c>
      <c r="C1053" s="8">
        <v>1</v>
      </c>
      <c r="D1053" s="8" t="s">
        <v>3177</v>
      </c>
      <c r="E1053" s="8" t="s">
        <v>118</v>
      </c>
      <c r="F1053" s="8" t="s">
        <v>4434</v>
      </c>
      <c r="G1053" s="8" t="s">
        <v>3363</v>
      </c>
      <c r="H1053" s="8" t="s">
        <v>3233</v>
      </c>
      <c r="I1053" s="8" t="s">
        <v>3358</v>
      </c>
      <c r="J1053" s="8" t="s">
        <v>3195</v>
      </c>
      <c r="K1053" s="8" t="s">
        <v>3183</v>
      </c>
      <c r="L1053" s="10" t="s">
        <v>3359</v>
      </c>
      <c r="M1053" s="10" t="s">
        <v>3360</v>
      </c>
      <c r="N1053" s="10" t="s">
        <v>3361</v>
      </c>
      <c r="O1053" s="8" t="s">
        <v>3190</v>
      </c>
      <c r="P1053" s="8"/>
      <c r="Q1053" s="8">
        <v>22471</v>
      </c>
      <c r="R1053" s="8">
        <v>87053</v>
      </c>
      <c r="S1053" s="8"/>
      <c r="T1053" s="8"/>
      <c r="U1053" s="8"/>
      <c r="V1053" s="8"/>
      <c r="W1053" s="8"/>
      <c r="X1053" s="8"/>
      <c r="Y1053" s="8"/>
      <c r="Z1053" s="10" t="s">
        <v>3696</v>
      </c>
      <c r="AA1053" s="8" t="s">
        <v>332</v>
      </c>
      <c r="AB1053" s="8">
        <v>1</v>
      </c>
    </row>
    <row r="1054" spans="1:28" ht="21.6" customHeight="1">
      <c r="A1054" s="8">
        <v>145</v>
      </c>
      <c r="B1054" s="8">
        <v>2025093108</v>
      </c>
      <c r="C1054" s="8">
        <v>1</v>
      </c>
      <c r="D1054" s="8" t="s">
        <v>3177</v>
      </c>
      <c r="E1054" s="8" t="s">
        <v>118</v>
      </c>
      <c r="F1054" s="8" t="s">
        <v>4462</v>
      </c>
      <c r="G1054" s="8" t="s">
        <v>3363</v>
      </c>
      <c r="H1054" s="8" t="s">
        <v>3233</v>
      </c>
      <c r="I1054" s="8" t="s">
        <v>3408</v>
      </c>
      <c r="J1054" s="8" t="s">
        <v>3253</v>
      </c>
      <c r="K1054" s="8" t="s">
        <v>3183</v>
      </c>
      <c r="L1054" s="10" t="s">
        <v>3409</v>
      </c>
      <c r="M1054" s="10" t="s">
        <v>3410</v>
      </c>
      <c r="N1054" s="10"/>
      <c r="O1054" s="8" t="s">
        <v>322</v>
      </c>
      <c r="P1054" s="8"/>
      <c r="Q1054" s="8"/>
      <c r="R1054" s="8">
        <v>331302</v>
      </c>
      <c r="S1054" s="8" t="s">
        <v>332</v>
      </c>
      <c r="T1054" s="8"/>
      <c r="U1054" s="8"/>
      <c r="V1054" s="8"/>
      <c r="W1054" s="8"/>
      <c r="X1054" s="8"/>
      <c r="Y1054" s="8"/>
      <c r="Z1054" s="10" t="s">
        <v>3696</v>
      </c>
      <c r="AA1054" s="8" t="s">
        <v>332</v>
      </c>
      <c r="AB1054" s="8">
        <v>1</v>
      </c>
    </row>
    <row r="1055" spans="1:28" ht="21.6" customHeight="1">
      <c r="A1055" s="8">
        <v>172</v>
      </c>
      <c r="B1055" s="8">
        <v>2025093110</v>
      </c>
      <c r="C1055" s="8">
        <v>1</v>
      </c>
      <c r="D1055" s="8" t="s">
        <v>3177</v>
      </c>
      <c r="E1055" s="8" t="s">
        <v>118</v>
      </c>
      <c r="F1055" s="8" t="s">
        <v>4462</v>
      </c>
      <c r="G1055" s="8" t="s">
        <v>3233</v>
      </c>
      <c r="H1055" s="8" t="s">
        <v>3381</v>
      </c>
      <c r="I1055" s="8" t="s">
        <v>3470</v>
      </c>
      <c r="J1055" s="8" t="s">
        <v>3471</v>
      </c>
      <c r="K1055" s="8" t="s">
        <v>3183</v>
      </c>
      <c r="L1055" s="10" t="s">
        <v>3472</v>
      </c>
      <c r="M1055" s="10" t="s">
        <v>3410</v>
      </c>
      <c r="N1055" s="10" t="s">
        <v>3442</v>
      </c>
      <c r="O1055" s="8" t="s">
        <v>322</v>
      </c>
      <c r="P1055" s="8"/>
      <c r="Q1055" s="8"/>
      <c r="R1055" s="8">
        <v>74991</v>
      </c>
      <c r="S1055" s="8" t="s">
        <v>332</v>
      </c>
      <c r="T1055" s="8"/>
      <c r="U1055" s="8"/>
      <c r="V1055" s="8"/>
      <c r="W1055" s="8"/>
      <c r="X1055" s="8"/>
      <c r="Y1055" s="8"/>
      <c r="Z1055" s="10" t="s">
        <v>3696</v>
      </c>
      <c r="AA1055" s="8" t="s">
        <v>332</v>
      </c>
      <c r="AB1055" s="8">
        <v>1</v>
      </c>
    </row>
    <row r="1056" spans="1:28" ht="21.6" customHeight="1">
      <c r="A1056" s="8">
        <v>187</v>
      </c>
      <c r="B1056" s="8">
        <v>2025093175</v>
      </c>
      <c r="C1056" s="8">
        <v>1</v>
      </c>
      <c r="D1056" s="8" t="s">
        <v>3177</v>
      </c>
      <c r="E1056" s="8" t="s">
        <v>118</v>
      </c>
      <c r="F1056" s="8" t="s">
        <v>4462</v>
      </c>
      <c r="G1056" s="8" t="s">
        <v>3368</v>
      </c>
      <c r="H1056" s="8" t="s">
        <v>3386</v>
      </c>
      <c r="I1056" s="8" t="s">
        <v>3502</v>
      </c>
      <c r="J1056" s="8" t="s">
        <v>3298</v>
      </c>
      <c r="K1056" s="8" t="s">
        <v>3183</v>
      </c>
      <c r="L1056" s="10" t="s">
        <v>3503</v>
      </c>
      <c r="M1056" s="10" t="s">
        <v>3504</v>
      </c>
      <c r="N1056" s="10" t="s">
        <v>217</v>
      </c>
      <c r="O1056" s="8" t="s">
        <v>363</v>
      </c>
      <c r="P1056" s="8"/>
      <c r="Q1056" s="8"/>
      <c r="R1056" s="8">
        <v>297956</v>
      </c>
      <c r="S1056" s="8"/>
      <c r="T1056" s="8"/>
      <c r="U1056" s="8"/>
      <c r="V1056" s="8"/>
      <c r="W1056" s="8"/>
      <c r="X1056" s="8"/>
      <c r="Y1056" s="8"/>
      <c r="Z1056" s="10" t="s">
        <v>4465</v>
      </c>
      <c r="AA1056" s="8" t="s">
        <v>332</v>
      </c>
      <c r="AB1056" s="8">
        <v>1</v>
      </c>
    </row>
    <row r="1057" spans="1:28" ht="21.6" customHeight="1">
      <c r="A1057" s="8">
        <v>207</v>
      </c>
      <c r="B1057" s="8">
        <v>2025090625</v>
      </c>
      <c r="C1057" s="8">
        <v>1</v>
      </c>
      <c r="D1057" s="8" t="s">
        <v>3177</v>
      </c>
      <c r="E1057" s="8" t="s">
        <v>118</v>
      </c>
      <c r="F1057" s="8" t="s">
        <v>236</v>
      </c>
      <c r="G1057" s="8" t="s">
        <v>3233</v>
      </c>
      <c r="H1057" s="8" t="s">
        <v>3381</v>
      </c>
      <c r="I1057" s="8" t="s">
        <v>3534</v>
      </c>
      <c r="J1057" s="8" t="s">
        <v>3298</v>
      </c>
      <c r="K1057" s="8" t="s">
        <v>3183</v>
      </c>
      <c r="L1057" s="10" t="s">
        <v>3398</v>
      </c>
      <c r="M1057" s="10" t="s">
        <v>3535</v>
      </c>
      <c r="N1057" s="10" t="s">
        <v>3494</v>
      </c>
      <c r="O1057" s="8" t="s">
        <v>3190</v>
      </c>
      <c r="P1057" s="8"/>
      <c r="Q1057" s="8"/>
      <c r="R1057" s="8">
        <v>203749</v>
      </c>
      <c r="S1057" s="8"/>
      <c r="T1057" s="8"/>
      <c r="U1057" s="8"/>
      <c r="V1057" s="8"/>
      <c r="W1057" s="8"/>
      <c r="X1057" s="8"/>
      <c r="Y1057" s="8"/>
      <c r="Z1057" s="10" t="s">
        <v>3696</v>
      </c>
      <c r="AA1057" s="8" t="s">
        <v>332</v>
      </c>
      <c r="AB1057" s="8">
        <v>1</v>
      </c>
    </row>
    <row r="1058" spans="1:28" ht="21.6" customHeight="1">
      <c r="A1058" s="8">
        <v>240</v>
      </c>
      <c r="B1058" s="8">
        <v>2025093112</v>
      </c>
      <c r="C1058" s="8">
        <v>1</v>
      </c>
      <c r="D1058" s="8" t="s">
        <v>3177</v>
      </c>
      <c r="E1058" s="8" t="s">
        <v>118</v>
      </c>
      <c r="F1058" s="8" t="s">
        <v>4462</v>
      </c>
      <c r="G1058" s="8" t="s">
        <v>3381</v>
      </c>
      <c r="H1058" s="8" t="s">
        <v>3401</v>
      </c>
      <c r="I1058" s="8" t="s">
        <v>3572</v>
      </c>
      <c r="J1058" s="8" t="s">
        <v>1717</v>
      </c>
      <c r="K1058" s="8" t="s">
        <v>3183</v>
      </c>
      <c r="L1058" s="10" t="s">
        <v>3472</v>
      </c>
      <c r="M1058" s="10" t="s">
        <v>3410</v>
      </c>
      <c r="N1058" s="10" t="s">
        <v>3442</v>
      </c>
      <c r="O1058" s="8" t="s">
        <v>322</v>
      </c>
      <c r="P1058" s="8"/>
      <c r="Q1058" s="8"/>
      <c r="R1058" s="8">
        <v>99737</v>
      </c>
      <c r="S1058" s="8" t="s">
        <v>332</v>
      </c>
      <c r="T1058" s="8"/>
      <c r="U1058" s="8"/>
      <c r="V1058" s="8"/>
      <c r="W1058" s="8"/>
      <c r="X1058" s="8"/>
      <c r="Y1058" s="8"/>
      <c r="Z1058" s="10" t="s">
        <v>3696</v>
      </c>
      <c r="AA1058" s="8" t="s">
        <v>332</v>
      </c>
      <c r="AB1058" s="8">
        <v>1</v>
      </c>
    </row>
    <row r="1059" spans="1:28" ht="21.6" customHeight="1">
      <c r="A1059" s="8">
        <v>50</v>
      </c>
      <c r="B1059" s="8">
        <v>2025093315</v>
      </c>
      <c r="C1059" s="8">
        <v>1</v>
      </c>
      <c r="D1059" s="8" t="s">
        <v>3177</v>
      </c>
      <c r="E1059" s="8" t="s">
        <v>123</v>
      </c>
      <c r="F1059" s="8" t="s">
        <v>4466</v>
      </c>
      <c r="G1059" s="8" t="s">
        <v>4467</v>
      </c>
      <c r="H1059" s="8" t="s">
        <v>3499</v>
      </c>
      <c r="I1059" s="8" t="s">
        <v>3327</v>
      </c>
      <c r="J1059" s="8" t="s">
        <v>3328</v>
      </c>
      <c r="K1059" s="8" t="s">
        <v>3183</v>
      </c>
      <c r="L1059" s="10" t="s">
        <v>3320</v>
      </c>
      <c r="M1059" s="10" t="s">
        <v>3321</v>
      </c>
      <c r="N1059" s="10" t="s">
        <v>3322</v>
      </c>
      <c r="O1059" s="8" t="s">
        <v>322</v>
      </c>
      <c r="P1059" s="8"/>
      <c r="Q1059" s="8">
        <v>594</v>
      </c>
      <c r="R1059" s="8">
        <v>25705</v>
      </c>
      <c r="S1059" s="8" t="s">
        <v>332</v>
      </c>
      <c r="T1059" s="8"/>
      <c r="U1059" s="8"/>
      <c r="V1059" s="8"/>
      <c r="W1059" s="8"/>
      <c r="X1059" s="8"/>
      <c r="Y1059" s="8"/>
      <c r="Z1059" s="10" t="s">
        <v>3186</v>
      </c>
      <c r="AA1059" s="8" t="s">
        <v>332</v>
      </c>
      <c r="AB1059" s="8">
        <v>1</v>
      </c>
    </row>
    <row r="1060" spans="1:28" ht="21.6" customHeight="1">
      <c r="A1060" s="8">
        <v>57</v>
      </c>
      <c r="B1060" s="8">
        <v>2025093311</v>
      </c>
      <c r="C1060" s="8">
        <v>1</v>
      </c>
      <c r="D1060" s="8" t="s">
        <v>3177</v>
      </c>
      <c r="E1060" s="8" t="s">
        <v>123</v>
      </c>
      <c r="F1060" s="8" t="s">
        <v>4466</v>
      </c>
      <c r="G1060" s="8" t="s">
        <v>3427</v>
      </c>
      <c r="H1060" s="8" t="s">
        <v>3258</v>
      </c>
      <c r="I1060" s="8" t="s">
        <v>3335</v>
      </c>
      <c r="J1060" s="8" t="s">
        <v>3336</v>
      </c>
      <c r="K1060" s="8" t="s">
        <v>3183</v>
      </c>
      <c r="L1060" s="10" t="s">
        <v>3320</v>
      </c>
      <c r="M1060" s="10" t="s">
        <v>3321</v>
      </c>
      <c r="N1060" s="10" t="s">
        <v>3337</v>
      </c>
      <c r="O1060" s="8" t="s">
        <v>322</v>
      </c>
      <c r="P1060" s="8"/>
      <c r="Q1060" s="8"/>
      <c r="R1060" s="8">
        <v>137378</v>
      </c>
      <c r="S1060" s="8" t="s">
        <v>332</v>
      </c>
      <c r="T1060" s="8"/>
      <c r="U1060" s="8"/>
      <c r="V1060" s="8"/>
      <c r="W1060" s="8"/>
      <c r="X1060" s="8"/>
      <c r="Y1060" s="8"/>
      <c r="Z1060" s="10" t="s">
        <v>3186</v>
      </c>
      <c r="AA1060" s="8" t="s">
        <v>332</v>
      </c>
      <c r="AB1060" s="8">
        <v>1</v>
      </c>
    </row>
    <row r="1061" spans="1:28" ht="21.6" customHeight="1">
      <c r="A1061" s="8">
        <v>59</v>
      </c>
      <c r="B1061" s="8">
        <v>2025093313</v>
      </c>
      <c r="C1061" s="8">
        <v>1</v>
      </c>
      <c r="D1061" s="8" t="s">
        <v>3177</v>
      </c>
      <c r="E1061" s="8" t="s">
        <v>123</v>
      </c>
      <c r="F1061" s="8" t="s">
        <v>4466</v>
      </c>
      <c r="G1061" s="8" t="s">
        <v>3777</v>
      </c>
      <c r="H1061" s="8" t="s">
        <v>3617</v>
      </c>
      <c r="I1061" s="8" t="s">
        <v>3340</v>
      </c>
      <c r="J1061" s="8" t="s">
        <v>3336</v>
      </c>
      <c r="K1061" s="8" t="s">
        <v>3183</v>
      </c>
      <c r="L1061" s="10" t="s">
        <v>3320</v>
      </c>
      <c r="M1061" s="10" t="s">
        <v>3321</v>
      </c>
      <c r="N1061" s="10" t="s">
        <v>3341</v>
      </c>
      <c r="O1061" s="8" t="s">
        <v>322</v>
      </c>
      <c r="P1061" s="8"/>
      <c r="Q1061" s="8"/>
      <c r="R1061" s="8">
        <v>58065</v>
      </c>
      <c r="S1061" s="8" t="s">
        <v>332</v>
      </c>
      <c r="T1061" s="8"/>
      <c r="U1061" s="8"/>
      <c r="V1061" s="8"/>
      <c r="W1061" s="8"/>
      <c r="X1061" s="8"/>
      <c r="Y1061" s="8"/>
      <c r="Z1061" s="10" t="s">
        <v>3186</v>
      </c>
      <c r="AA1061" s="8" t="s">
        <v>332</v>
      </c>
      <c r="AB1061" s="8">
        <v>1</v>
      </c>
    </row>
    <row r="1062" spans="1:28" ht="21.6" customHeight="1">
      <c r="A1062" s="8">
        <v>171</v>
      </c>
      <c r="B1062" s="8">
        <v>2025093245</v>
      </c>
      <c r="C1062" s="8">
        <v>1</v>
      </c>
      <c r="D1062" s="8" t="s">
        <v>3177</v>
      </c>
      <c r="E1062" s="8" t="s">
        <v>118</v>
      </c>
      <c r="F1062" s="8" t="s">
        <v>4466</v>
      </c>
      <c r="G1062" s="8" t="s">
        <v>3280</v>
      </c>
      <c r="H1062" s="8" t="s">
        <v>3401</v>
      </c>
      <c r="I1062" s="8" t="s">
        <v>3461</v>
      </c>
      <c r="J1062" s="8" t="s">
        <v>3277</v>
      </c>
      <c r="K1062" s="8" t="s">
        <v>3183</v>
      </c>
      <c r="L1062" s="10" t="s">
        <v>3462</v>
      </c>
      <c r="M1062" s="10" t="s">
        <v>3463</v>
      </c>
      <c r="N1062" s="10" t="s">
        <v>3464</v>
      </c>
      <c r="O1062" s="8" t="s">
        <v>322</v>
      </c>
      <c r="P1062" s="8"/>
      <c r="Q1062" s="8"/>
      <c r="R1062" s="8">
        <v>299683</v>
      </c>
      <c r="S1062" s="8"/>
      <c r="T1062" s="8" t="s">
        <v>332</v>
      </c>
      <c r="U1062" s="8"/>
      <c r="V1062" s="8"/>
      <c r="W1062" s="8"/>
      <c r="X1062" s="8"/>
      <c r="Y1062" s="8"/>
      <c r="Z1062" s="10" t="s">
        <v>3323</v>
      </c>
      <c r="AA1062" s="8" t="s">
        <v>332</v>
      </c>
      <c r="AB1062" s="8">
        <v>1</v>
      </c>
    </row>
    <row r="1063" spans="1:28" ht="21.6" customHeight="1">
      <c r="A1063" s="8">
        <v>178</v>
      </c>
      <c r="B1063" s="8">
        <v>2025093322</v>
      </c>
      <c r="C1063" s="8">
        <v>1</v>
      </c>
      <c r="D1063" s="8" t="s">
        <v>3177</v>
      </c>
      <c r="E1063" s="8" t="s">
        <v>118</v>
      </c>
      <c r="F1063" s="8" t="s">
        <v>4466</v>
      </c>
      <c r="G1063" s="8" t="s">
        <v>3368</v>
      </c>
      <c r="H1063" s="8" t="s">
        <v>3204</v>
      </c>
      <c r="I1063" s="8" t="s">
        <v>4428</v>
      </c>
      <c r="J1063" s="8" t="s">
        <v>3277</v>
      </c>
      <c r="K1063" s="8" t="s">
        <v>3183</v>
      </c>
      <c r="L1063" s="10" t="s">
        <v>3398</v>
      </c>
      <c r="M1063" s="10" t="s">
        <v>3399</v>
      </c>
      <c r="N1063" s="10" t="s">
        <v>3400</v>
      </c>
      <c r="O1063" s="8" t="s">
        <v>363</v>
      </c>
      <c r="P1063" s="8"/>
      <c r="Q1063" s="8"/>
      <c r="R1063" s="8">
        <v>100</v>
      </c>
      <c r="S1063" s="8"/>
      <c r="T1063" s="8"/>
      <c r="U1063" s="8"/>
      <c r="V1063" s="8"/>
      <c r="W1063" s="8"/>
      <c r="X1063" s="8"/>
      <c r="Y1063" s="8"/>
      <c r="Z1063" s="10" t="s">
        <v>4429</v>
      </c>
      <c r="AA1063" s="8" t="s">
        <v>332</v>
      </c>
      <c r="AB1063" s="8">
        <v>1</v>
      </c>
    </row>
    <row r="1064" spans="1:28" ht="21.6" customHeight="1">
      <c r="A1064" s="8">
        <v>190</v>
      </c>
      <c r="B1064" s="8">
        <v>2025090352</v>
      </c>
      <c r="C1064" s="8">
        <v>1</v>
      </c>
      <c r="D1064" s="8" t="s">
        <v>3177</v>
      </c>
      <c r="E1064" s="8" t="s">
        <v>118</v>
      </c>
      <c r="F1064" s="8" t="s">
        <v>4402</v>
      </c>
      <c r="G1064" s="8" t="s">
        <v>3387</v>
      </c>
      <c r="H1064" s="8" t="s">
        <v>3426</v>
      </c>
      <c r="I1064" s="8" t="s">
        <v>3502</v>
      </c>
      <c r="J1064" s="8" t="s">
        <v>3298</v>
      </c>
      <c r="K1064" s="8" t="s">
        <v>3183</v>
      </c>
      <c r="L1064" s="10" t="s">
        <v>3503</v>
      </c>
      <c r="M1064" s="10" t="s">
        <v>3504</v>
      </c>
      <c r="N1064" s="10" t="s">
        <v>217</v>
      </c>
      <c r="O1064" s="8" t="s">
        <v>3190</v>
      </c>
      <c r="P1064" s="8"/>
      <c r="Q1064" s="8"/>
      <c r="R1064" s="8">
        <v>295043</v>
      </c>
      <c r="S1064" s="8"/>
      <c r="T1064" s="8"/>
      <c r="U1064" s="8"/>
      <c r="V1064" s="8"/>
      <c r="W1064" s="8"/>
      <c r="X1064" s="8"/>
      <c r="Y1064" s="8"/>
      <c r="Z1064" s="10" t="s">
        <v>3696</v>
      </c>
      <c r="AA1064" s="8" t="s">
        <v>332</v>
      </c>
      <c r="AB1064" s="8">
        <v>1</v>
      </c>
    </row>
    <row r="1065" spans="1:28" ht="21.6" customHeight="1">
      <c r="A1065" s="8">
        <v>203</v>
      </c>
      <c r="B1065" s="8">
        <v>2025093323</v>
      </c>
      <c r="C1065" s="8">
        <v>1</v>
      </c>
      <c r="D1065" s="8" t="s">
        <v>3177</v>
      </c>
      <c r="E1065" s="8" t="s">
        <v>118</v>
      </c>
      <c r="F1065" s="8" t="s">
        <v>4466</v>
      </c>
      <c r="G1065" s="8" t="s">
        <v>3204</v>
      </c>
      <c r="H1065" s="8" t="s">
        <v>3386</v>
      </c>
      <c r="I1065" s="8" t="s">
        <v>3510</v>
      </c>
      <c r="J1065" s="8" t="s">
        <v>3298</v>
      </c>
      <c r="K1065" s="8" t="s">
        <v>3183</v>
      </c>
      <c r="L1065" s="10" t="s">
        <v>3398</v>
      </c>
      <c r="M1065" s="10" t="s">
        <v>3511</v>
      </c>
      <c r="N1065" s="10" t="s">
        <v>3512</v>
      </c>
      <c r="O1065" s="8" t="s">
        <v>363</v>
      </c>
      <c r="P1065" s="8"/>
      <c r="Q1065" s="8"/>
      <c r="R1065" s="8">
        <v>11696</v>
      </c>
      <c r="S1065" s="8"/>
      <c r="T1065" s="8"/>
      <c r="U1065" s="8"/>
      <c r="V1065" s="8"/>
      <c r="W1065" s="8"/>
      <c r="X1065" s="8"/>
      <c r="Y1065" s="8"/>
      <c r="Z1065" s="10" t="s">
        <v>4429</v>
      </c>
      <c r="AA1065" s="8" t="s">
        <v>332</v>
      </c>
      <c r="AB1065" s="8">
        <v>1</v>
      </c>
    </row>
    <row r="1066" spans="1:28" ht="21.6" customHeight="1">
      <c r="A1066" s="8">
        <v>212</v>
      </c>
      <c r="B1066" s="8">
        <v>2025093324</v>
      </c>
      <c r="C1066" s="8">
        <v>1</v>
      </c>
      <c r="D1066" s="8" t="s">
        <v>3177</v>
      </c>
      <c r="E1066" s="8" t="s">
        <v>118</v>
      </c>
      <c r="F1066" s="8" t="s">
        <v>4466</v>
      </c>
      <c r="G1066" s="8" t="s">
        <v>3386</v>
      </c>
      <c r="H1066" s="8" t="s">
        <v>3426</v>
      </c>
      <c r="I1066" s="8" t="s">
        <v>3521</v>
      </c>
      <c r="J1066" s="8" t="s">
        <v>3298</v>
      </c>
      <c r="K1066" s="8" t="s">
        <v>3183</v>
      </c>
      <c r="L1066" s="10" t="s">
        <v>3398</v>
      </c>
      <c r="M1066" s="10" t="s">
        <v>3405</v>
      </c>
      <c r="N1066" s="10" t="s">
        <v>3406</v>
      </c>
      <c r="O1066" s="8" t="s">
        <v>363</v>
      </c>
      <c r="P1066" s="8"/>
      <c r="Q1066" s="8"/>
      <c r="R1066" s="8">
        <v>99</v>
      </c>
      <c r="S1066" s="8"/>
      <c r="T1066" s="8"/>
      <c r="U1066" s="8"/>
      <c r="V1066" s="8"/>
      <c r="W1066" s="8"/>
      <c r="X1066" s="8"/>
      <c r="Y1066" s="8"/>
      <c r="Z1066" s="10" t="s">
        <v>4468</v>
      </c>
      <c r="AA1066" s="8" t="s">
        <v>332</v>
      </c>
      <c r="AB1066" s="8">
        <v>1</v>
      </c>
    </row>
    <row r="1067" spans="1:28" ht="21.6" customHeight="1">
      <c r="A1067" s="8">
        <v>1</v>
      </c>
      <c r="B1067" s="8">
        <v>2025100022</v>
      </c>
      <c r="C1067" s="8">
        <v>1</v>
      </c>
      <c r="D1067" s="8" t="s">
        <v>3177</v>
      </c>
      <c r="E1067" s="8" t="s">
        <v>123</v>
      </c>
      <c r="F1067" s="8" t="s">
        <v>4469</v>
      </c>
      <c r="G1067" s="8" t="s">
        <v>3381</v>
      </c>
      <c r="H1067" s="8" t="s">
        <v>3211</v>
      </c>
      <c r="I1067" s="8" t="s">
        <v>4470</v>
      </c>
      <c r="J1067" s="8" t="s">
        <v>3224</v>
      </c>
      <c r="K1067" s="8" t="s">
        <v>3183</v>
      </c>
      <c r="L1067" s="10" t="s">
        <v>4404</v>
      </c>
      <c r="M1067" s="10" t="s">
        <v>4471</v>
      </c>
      <c r="N1067" s="10" t="s">
        <v>3215</v>
      </c>
      <c r="O1067" s="8" t="s">
        <v>322</v>
      </c>
      <c r="P1067" s="8"/>
      <c r="Q1067" s="8">
        <v>24</v>
      </c>
      <c r="R1067" s="8">
        <v>159</v>
      </c>
      <c r="S1067" s="8" t="s">
        <v>332</v>
      </c>
      <c r="T1067" s="8"/>
      <c r="U1067" s="8"/>
      <c r="V1067" s="8"/>
      <c r="W1067" s="8"/>
      <c r="X1067" s="8"/>
      <c r="Y1067" s="8"/>
      <c r="Z1067" s="10" t="s">
        <v>3186</v>
      </c>
      <c r="AA1067" s="8" t="s">
        <v>332</v>
      </c>
      <c r="AB1067" s="8">
        <v>1</v>
      </c>
    </row>
    <row r="1068" spans="1:28" ht="21.6" customHeight="1">
      <c r="A1068" s="8">
        <v>3</v>
      </c>
      <c r="B1068" s="8">
        <v>2025100049</v>
      </c>
      <c r="C1068" s="8">
        <v>1</v>
      </c>
      <c r="D1068" s="8" t="s">
        <v>3177</v>
      </c>
      <c r="E1068" s="8" t="s">
        <v>123</v>
      </c>
      <c r="F1068" s="8" t="s">
        <v>4469</v>
      </c>
      <c r="G1068" s="8" t="s">
        <v>3368</v>
      </c>
      <c r="H1068" s="8" t="s">
        <v>3644</v>
      </c>
      <c r="I1068" s="8" t="s">
        <v>3269</v>
      </c>
      <c r="J1068" s="8" t="s">
        <v>3253</v>
      </c>
      <c r="K1068" s="8" t="s">
        <v>3183</v>
      </c>
      <c r="L1068" s="10" t="s">
        <v>3270</v>
      </c>
      <c r="M1068" s="10" t="s">
        <v>3271</v>
      </c>
      <c r="N1068" s="10" t="s">
        <v>3272</v>
      </c>
      <c r="O1068" s="8" t="s">
        <v>322</v>
      </c>
      <c r="P1068" s="8"/>
      <c r="Q1068" s="8"/>
      <c r="R1068" s="8">
        <v>25058</v>
      </c>
      <c r="S1068" s="8" t="s">
        <v>332</v>
      </c>
      <c r="T1068" s="8"/>
      <c r="U1068" s="8"/>
      <c r="V1068" s="8"/>
      <c r="W1068" s="8"/>
      <c r="X1068" s="8"/>
      <c r="Y1068" s="8"/>
      <c r="Z1068" s="10" t="s">
        <v>3186</v>
      </c>
      <c r="AA1068" s="8" t="s">
        <v>332</v>
      </c>
      <c r="AB1068" s="8">
        <v>1</v>
      </c>
    </row>
    <row r="1069" spans="1:28" ht="21.6" customHeight="1">
      <c r="A1069" s="8">
        <v>5</v>
      </c>
      <c r="B1069" s="8">
        <v>2025100056</v>
      </c>
      <c r="C1069" s="8">
        <v>1</v>
      </c>
      <c r="D1069" s="8" t="s">
        <v>3177</v>
      </c>
      <c r="E1069" s="8" t="s">
        <v>123</v>
      </c>
      <c r="F1069" s="8" t="s">
        <v>4469</v>
      </c>
      <c r="G1069" s="8" t="s">
        <v>3451</v>
      </c>
      <c r="H1069" s="8" t="s">
        <v>3995</v>
      </c>
      <c r="I1069" s="8" t="s">
        <v>3293</v>
      </c>
      <c r="J1069" s="8" t="s">
        <v>3288</v>
      </c>
      <c r="K1069" s="8" t="s">
        <v>3183</v>
      </c>
      <c r="L1069" s="10" t="s">
        <v>3294</v>
      </c>
      <c r="M1069" s="10" t="s">
        <v>3295</v>
      </c>
      <c r="N1069" s="10" t="s">
        <v>3272</v>
      </c>
      <c r="O1069" s="8" t="s">
        <v>322</v>
      </c>
      <c r="P1069" s="8"/>
      <c r="Q1069" s="8">
        <v>2436</v>
      </c>
      <c r="R1069" s="8">
        <v>302935</v>
      </c>
      <c r="S1069" s="8" t="s">
        <v>332</v>
      </c>
      <c r="T1069" s="8"/>
      <c r="U1069" s="8"/>
      <c r="V1069" s="8"/>
      <c r="W1069" s="8"/>
      <c r="X1069" s="8"/>
      <c r="Y1069" s="8"/>
      <c r="Z1069" s="10" t="s">
        <v>3186</v>
      </c>
      <c r="AA1069" s="8" t="s">
        <v>332</v>
      </c>
      <c r="AB1069" s="8">
        <v>1</v>
      </c>
    </row>
    <row r="1070" spans="1:28" ht="21.6" customHeight="1">
      <c r="A1070" s="8">
        <v>10</v>
      </c>
      <c r="B1070" s="8">
        <v>2025100074</v>
      </c>
      <c r="C1070" s="8">
        <v>1</v>
      </c>
      <c r="D1070" s="8" t="s">
        <v>3177</v>
      </c>
      <c r="E1070" s="8" t="s">
        <v>118</v>
      </c>
      <c r="F1070" s="8" t="s">
        <v>4469</v>
      </c>
      <c r="G1070" s="8" t="s">
        <v>3291</v>
      </c>
      <c r="H1070" s="8" t="s">
        <v>3342</v>
      </c>
      <c r="I1070" s="8" t="s">
        <v>3404</v>
      </c>
      <c r="J1070" s="8" t="s">
        <v>3253</v>
      </c>
      <c r="K1070" s="8" t="s">
        <v>3183</v>
      </c>
      <c r="L1070" s="10" t="s">
        <v>3398</v>
      </c>
      <c r="M1070" s="10" t="s">
        <v>3575</v>
      </c>
      <c r="N1070" s="10" t="s">
        <v>3576</v>
      </c>
      <c r="O1070" s="8" t="s">
        <v>322</v>
      </c>
      <c r="P1070" s="8"/>
      <c r="Q1070" s="8"/>
      <c r="R1070" s="8">
        <v>193</v>
      </c>
      <c r="S1070" s="8" t="s">
        <v>332</v>
      </c>
      <c r="T1070" s="8"/>
      <c r="U1070" s="8"/>
      <c r="V1070" s="8"/>
      <c r="W1070" s="8"/>
      <c r="X1070" s="8"/>
      <c r="Y1070" s="8"/>
      <c r="Z1070" s="10" t="s">
        <v>3696</v>
      </c>
      <c r="AA1070" s="8" t="s">
        <v>332</v>
      </c>
      <c r="AB1070" s="8">
        <v>1</v>
      </c>
    </row>
    <row r="1071" spans="1:28" ht="21.6" customHeight="1">
      <c r="A1071" s="8">
        <v>12</v>
      </c>
      <c r="B1071" s="8">
        <v>2025100070</v>
      </c>
      <c r="C1071" s="8">
        <v>1</v>
      </c>
      <c r="D1071" s="8" t="s">
        <v>3177</v>
      </c>
      <c r="E1071" s="8" t="s">
        <v>118</v>
      </c>
      <c r="F1071" s="8" t="s">
        <v>4469</v>
      </c>
      <c r="G1071" s="8" t="s">
        <v>3401</v>
      </c>
      <c r="H1071" s="8" t="s">
        <v>3357</v>
      </c>
      <c r="I1071" s="8" t="s">
        <v>4426</v>
      </c>
      <c r="J1071" s="8" t="s">
        <v>3277</v>
      </c>
      <c r="K1071" s="8" t="s">
        <v>3183</v>
      </c>
      <c r="L1071" s="10" t="s">
        <v>3398</v>
      </c>
      <c r="M1071" s="10" t="s">
        <v>3522</v>
      </c>
      <c r="N1071" s="10" t="s">
        <v>3523</v>
      </c>
      <c r="O1071" s="8" t="s">
        <v>322</v>
      </c>
      <c r="P1071" s="8"/>
      <c r="Q1071" s="8"/>
      <c r="R1071" s="8">
        <v>4020</v>
      </c>
      <c r="S1071" s="8" t="s">
        <v>332</v>
      </c>
      <c r="T1071" s="8"/>
      <c r="U1071" s="8"/>
      <c r="V1071" s="8"/>
      <c r="W1071" s="8"/>
      <c r="X1071" s="8"/>
      <c r="Y1071" s="8"/>
      <c r="Z1071" s="10" t="s">
        <v>3696</v>
      </c>
      <c r="AA1071" s="8" t="s">
        <v>332</v>
      </c>
      <c r="AB1071" s="8">
        <v>1</v>
      </c>
    </row>
    <row r="1072" spans="1:28" ht="21.6" customHeight="1">
      <c r="A1072" s="8">
        <v>14</v>
      </c>
      <c r="B1072" s="8">
        <v>2025100065</v>
      </c>
      <c r="C1072" s="8">
        <v>1</v>
      </c>
      <c r="D1072" s="8" t="s">
        <v>3177</v>
      </c>
      <c r="E1072" s="8" t="s">
        <v>118</v>
      </c>
      <c r="F1072" s="8" t="s">
        <v>4469</v>
      </c>
      <c r="G1072" s="8" t="s">
        <v>3233</v>
      </c>
      <c r="H1072" s="8" t="s">
        <v>3381</v>
      </c>
      <c r="I1072" s="8" t="s">
        <v>4472</v>
      </c>
      <c r="J1072" s="8" t="s">
        <v>3277</v>
      </c>
      <c r="K1072" s="8" t="s">
        <v>3183</v>
      </c>
      <c r="L1072" s="10" t="s">
        <v>3398</v>
      </c>
      <c r="M1072" s="10" t="s">
        <v>3519</v>
      </c>
      <c r="N1072" s="10" t="s">
        <v>3520</v>
      </c>
      <c r="O1072" s="8" t="s">
        <v>322</v>
      </c>
      <c r="P1072" s="8"/>
      <c r="Q1072" s="8"/>
      <c r="R1072" s="8">
        <v>5001</v>
      </c>
      <c r="S1072" s="8" t="s">
        <v>332</v>
      </c>
      <c r="T1072" s="8"/>
      <c r="U1072" s="8"/>
      <c r="V1072" s="8"/>
      <c r="W1072" s="8"/>
      <c r="X1072" s="8"/>
      <c r="Y1072" s="8"/>
      <c r="Z1072" s="10" t="s">
        <v>3696</v>
      </c>
      <c r="AA1072" s="8" t="s">
        <v>332</v>
      </c>
      <c r="AB1072" s="8">
        <v>1</v>
      </c>
    </row>
    <row r="1073" spans="1:28" ht="21.6" customHeight="1">
      <c r="A1073" s="8">
        <v>16</v>
      </c>
      <c r="B1073" s="8">
        <v>2025100059</v>
      </c>
      <c r="C1073" s="8">
        <v>1</v>
      </c>
      <c r="D1073" s="8" t="s">
        <v>3177</v>
      </c>
      <c r="E1073" s="8" t="s">
        <v>118</v>
      </c>
      <c r="F1073" s="8" t="s">
        <v>4469</v>
      </c>
      <c r="G1073" s="8" t="s">
        <v>3350</v>
      </c>
      <c r="H1073" s="8" t="s">
        <v>3280</v>
      </c>
      <c r="I1073" s="8" t="s">
        <v>4428</v>
      </c>
      <c r="J1073" s="8" t="s">
        <v>3277</v>
      </c>
      <c r="K1073" s="8" t="s">
        <v>3183</v>
      </c>
      <c r="L1073" s="10" t="s">
        <v>3398</v>
      </c>
      <c r="M1073" s="10" t="s">
        <v>3399</v>
      </c>
      <c r="N1073" s="10" t="s">
        <v>3400</v>
      </c>
      <c r="O1073" s="8" t="s">
        <v>322</v>
      </c>
      <c r="P1073" s="8"/>
      <c r="Q1073" s="8"/>
      <c r="R1073" s="8">
        <v>3173</v>
      </c>
      <c r="S1073" s="8" t="s">
        <v>332</v>
      </c>
      <c r="T1073" s="8"/>
      <c r="U1073" s="8"/>
      <c r="V1073" s="8"/>
      <c r="W1073" s="8"/>
      <c r="X1073" s="8"/>
      <c r="Y1073" s="8"/>
      <c r="Z1073" s="10" t="s">
        <v>3696</v>
      </c>
      <c r="AA1073" s="8" t="s">
        <v>332</v>
      </c>
      <c r="AB1073" s="8">
        <v>1</v>
      </c>
    </row>
    <row r="1074" spans="1:28" ht="21.6" customHeight="1">
      <c r="A1074" s="8">
        <v>18</v>
      </c>
      <c r="B1074" s="8">
        <v>2025100063</v>
      </c>
      <c r="C1074" s="8">
        <v>1</v>
      </c>
      <c r="D1074" s="8" t="s">
        <v>3177</v>
      </c>
      <c r="E1074" s="8" t="s">
        <v>118</v>
      </c>
      <c r="F1074" s="8" t="s">
        <v>4469</v>
      </c>
      <c r="G1074" s="8" t="s">
        <v>3363</v>
      </c>
      <c r="H1074" s="8" t="s">
        <v>3233</v>
      </c>
      <c r="I1074" s="8" t="s">
        <v>4430</v>
      </c>
      <c r="J1074" s="8" t="s">
        <v>3277</v>
      </c>
      <c r="K1074" s="8" t="s">
        <v>3183</v>
      </c>
      <c r="L1074" s="10" t="s">
        <v>3398</v>
      </c>
      <c r="M1074" s="10" t="s">
        <v>3535</v>
      </c>
      <c r="N1074" s="10" t="s">
        <v>3494</v>
      </c>
      <c r="O1074" s="8" t="s">
        <v>322</v>
      </c>
      <c r="P1074" s="8"/>
      <c r="Q1074" s="8"/>
      <c r="R1074" s="8">
        <v>2841</v>
      </c>
      <c r="S1074" s="8" t="s">
        <v>332</v>
      </c>
      <c r="T1074" s="8"/>
      <c r="U1074" s="8"/>
      <c r="V1074" s="8"/>
      <c r="W1074" s="8"/>
      <c r="X1074" s="8"/>
      <c r="Y1074" s="8"/>
      <c r="Z1074" s="10" t="s">
        <v>3696</v>
      </c>
      <c r="AA1074" s="8" t="s">
        <v>332</v>
      </c>
      <c r="AB1074" s="8">
        <v>1</v>
      </c>
    </row>
    <row r="1075" spans="1:28" ht="21.6" customHeight="1">
      <c r="A1075" s="8">
        <v>20</v>
      </c>
      <c r="B1075" s="8">
        <v>2025100061</v>
      </c>
      <c r="C1075" s="8">
        <v>1</v>
      </c>
      <c r="D1075" s="8" t="s">
        <v>3177</v>
      </c>
      <c r="E1075" s="8" t="s">
        <v>118</v>
      </c>
      <c r="F1075" s="8" t="s">
        <v>4469</v>
      </c>
      <c r="G1075" s="8" t="s">
        <v>3280</v>
      </c>
      <c r="H1075" s="8" t="s">
        <v>3363</v>
      </c>
      <c r="I1075" s="8" t="s">
        <v>4473</v>
      </c>
      <c r="J1075" s="8" t="s">
        <v>3277</v>
      </c>
      <c r="K1075" s="8" t="s">
        <v>3183</v>
      </c>
      <c r="L1075" s="10" t="s">
        <v>3398</v>
      </c>
      <c r="M1075" s="10" t="s">
        <v>3514</v>
      </c>
      <c r="N1075" s="10" t="s">
        <v>3379</v>
      </c>
      <c r="O1075" s="8" t="s">
        <v>322</v>
      </c>
      <c r="P1075" s="8"/>
      <c r="Q1075" s="8"/>
      <c r="R1075" s="8">
        <v>1935</v>
      </c>
      <c r="S1075" s="8" t="s">
        <v>332</v>
      </c>
      <c r="T1075" s="8"/>
      <c r="U1075" s="8"/>
      <c r="V1075" s="8"/>
      <c r="W1075" s="8"/>
      <c r="X1075" s="8"/>
      <c r="Y1075" s="8"/>
      <c r="Z1075" s="10" t="s">
        <v>3696</v>
      </c>
      <c r="AA1075" s="8" t="s">
        <v>332</v>
      </c>
      <c r="AB1075" s="8">
        <v>1</v>
      </c>
    </row>
    <row r="1076" spans="1:28" ht="21.6" customHeight="1">
      <c r="A1076" s="8">
        <v>22</v>
      </c>
      <c r="B1076" s="8">
        <v>2025100072</v>
      </c>
      <c r="C1076" s="8">
        <v>1</v>
      </c>
      <c r="D1076" s="8" t="s">
        <v>3177</v>
      </c>
      <c r="E1076" s="8" t="s">
        <v>118</v>
      </c>
      <c r="F1076" s="8" t="s">
        <v>4469</v>
      </c>
      <c r="G1076" s="8" t="s">
        <v>3357</v>
      </c>
      <c r="H1076" s="8" t="s">
        <v>3291</v>
      </c>
      <c r="I1076" s="8" t="s">
        <v>3510</v>
      </c>
      <c r="J1076" s="8" t="s">
        <v>3298</v>
      </c>
      <c r="K1076" s="8" t="s">
        <v>3183</v>
      </c>
      <c r="L1076" s="10" t="s">
        <v>3398</v>
      </c>
      <c r="M1076" s="10" t="s">
        <v>3511</v>
      </c>
      <c r="N1076" s="10" t="s">
        <v>3512</v>
      </c>
      <c r="O1076" s="8" t="s">
        <v>322</v>
      </c>
      <c r="P1076" s="8"/>
      <c r="Q1076" s="8"/>
      <c r="R1076" s="8">
        <v>54</v>
      </c>
      <c r="S1076" s="8" t="s">
        <v>332</v>
      </c>
      <c r="T1076" s="8"/>
      <c r="U1076" s="8"/>
      <c r="V1076" s="8"/>
      <c r="W1076" s="8"/>
      <c r="X1076" s="8"/>
      <c r="Y1076" s="8"/>
      <c r="Z1076" s="10" t="s">
        <v>3696</v>
      </c>
      <c r="AA1076" s="8" t="s">
        <v>332</v>
      </c>
      <c r="AB1076" s="8">
        <v>1</v>
      </c>
    </row>
    <row r="1077" spans="1:28" ht="21.6" customHeight="1">
      <c r="A1077" s="8">
        <v>24</v>
      </c>
      <c r="B1077" s="8">
        <v>2025100067</v>
      </c>
      <c r="C1077" s="8">
        <v>1</v>
      </c>
      <c r="D1077" s="8" t="s">
        <v>3177</v>
      </c>
      <c r="E1077" s="8" t="s">
        <v>118</v>
      </c>
      <c r="F1077" s="8" t="s">
        <v>4469</v>
      </c>
      <c r="G1077" s="8" t="s">
        <v>3381</v>
      </c>
      <c r="H1077" s="8" t="s">
        <v>3401</v>
      </c>
      <c r="I1077" s="8" t="s">
        <v>3521</v>
      </c>
      <c r="J1077" s="8" t="s">
        <v>3298</v>
      </c>
      <c r="K1077" s="8" t="s">
        <v>3183</v>
      </c>
      <c r="L1077" s="10" t="s">
        <v>3398</v>
      </c>
      <c r="M1077" s="10" t="s">
        <v>3405</v>
      </c>
      <c r="N1077" s="10" t="s">
        <v>3406</v>
      </c>
      <c r="O1077" s="8" t="s">
        <v>322</v>
      </c>
      <c r="P1077" s="8"/>
      <c r="Q1077" s="8"/>
      <c r="R1077" s="8">
        <v>942</v>
      </c>
      <c r="S1077" s="8" t="s">
        <v>332</v>
      </c>
      <c r="T1077" s="8"/>
      <c r="U1077" s="8"/>
      <c r="V1077" s="8"/>
      <c r="W1077" s="8"/>
      <c r="X1077" s="8"/>
      <c r="Y1077" s="8"/>
      <c r="Z1077" s="10" t="s">
        <v>3696</v>
      </c>
      <c r="AA1077" s="8" t="s">
        <v>332</v>
      </c>
      <c r="AB1077" s="8">
        <v>1</v>
      </c>
    </row>
    <row r="1078" spans="1:28" ht="21.6" customHeight="1">
      <c r="A1078" s="8">
        <v>1</v>
      </c>
      <c r="B1078" s="8">
        <v>2025100146</v>
      </c>
      <c r="C1078" s="8">
        <v>1</v>
      </c>
      <c r="D1078" s="8" t="s">
        <v>3177</v>
      </c>
      <c r="E1078" s="8" t="s">
        <v>123</v>
      </c>
      <c r="F1078" s="8" t="s">
        <v>4469</v>
      </c>
      <c r="G1078" s="8" t="s">
        <v>3657</v>
      </c>
      <c r="H1078" s="8" t="s">
        <v>4204</v>
      </c>
      <c r="I1078" s="8" t="s">
        <v>4474</v>
      </c>
      <c r="J1078" s="8" t="s">
        <v>3224</v>
      </c>
      <c r="K1078" s="8" t="s">
        <v>3183</v>
      </c>
      <c r="L1078" s="10" t="s">
        <v>4475</v>
      </c>
      <c r="M1078" s="10" t="s">
        <v>4476</v>
      </c>
      <c r="N1078" s="10" t="s">
        <v>4477</v>
      </c>
      <c r="O1078" s="8" t="s">
        <v>322</v>
      </c>
      <c r="P1078" s="8"/>
      <c r="Q1078" s="8">
        <v>12</v>
      </c>
      <c r="R1078" s="8">
        <v>105</v>
      </c>
      <c r="S1078" s="8" t="s">
        <v>332</v>
      </c>
      <c r="T1078" s="8"/>
      <c r="U1078" s="8"/>
      <c r="V1078" s="8"/>
      <c r="W1078" s="8"/>
      <c r="X1078" s="8"/>
      <c r="Y1078" s="8"/>
      <c r="Z1078" s="10" t="s">
        <v>3186</v>
      </c>
      <c r="AA1078" s="8" t="s">
        <v>332</v>
      </c>
      <c r="AB1078" s="8">
        <v>1</v>
      </c>
    </row>
    <row r="1079" spans="1:28" ht="21.6" customHeight="1">
      <c r="A1079" s="8">
        <v>3</v>
      </c>
      <c r="B1079" s="8">
        <v>2025100023</v>
      </c>
      <c r="C1079" s="8">
        <v>1</v>
      </c>
      <c r="D1079" s="8" t="s">
        <v>3177</v>
      </c>
      <c r="E1079" s="8" t="s">
        <v>123</v>
      </c>
      <c r="F1079" s="8" t="s">
        <v>4469</v>
      </c>
      <c r="G1079" s="8" t="s">
        <v>3381</v>
      </c>
      <c r="H1079" s="8" t="s">
        <v>3211</v>
      </c>
      <c r="I1079" s="8" t="s">
        <v>4470</v>
      </c>
      <c r="J1079" s="8" t="s">
        <v>3224</v>
      </c>
      <c r="K1079" s="8" t="s">
        <v>3183</v>
      </c>
      <c r="L1079" s="10" t="s">
        <v>4404</v>
      </c>
      <c r="M1079" s="10" t="s">
        <v>4471</v>
      </c>
      <c r="N1079" s="10" t="s">
        <v>3215</v>
      </c>
      <c r="O1079" s="8" t="s">
        <v>3190</v>
      </c>
      <c r="P1079" s="8"/>
      <c r="Q1079" s="8">
        <v>24</v>
      </c>
      <c r="R1079" s="8">
        <v>159</v>
      </c>
      <c r="S1079" s="8"/>
      <c r="T1079" s="8"/>
      <c r="U1079" s="8"/>
      <c r="V1079" s="8"/>
      <c r="W1079" s="8"/>
      <c r="X1079" s="8"/>
      <c r="Y1079" s="8"/>
      <c r="Z1079" s="10" t="s">
        <v>3186</v>
      </c>
      <c r="AA1079" s="8" t="s">
        <v>332</v>
      </c>
      <c r="AB1079" s="8">
        <v>1</v>
      </c>
    </row>
    <row r="1080" spans="1:28" ht="21.6" customHeight="1">
      <c r="A1080" s="8">
        <v>7</v>
      </c>
      <c r="B1080" s="8">
        <v>2025100153</v>
      </c>
      <c r="C1080" s="8">
        <v>1</v>
      </c>
      <c r="D1080" s="8" t="s">
        <v>3177</v>
      </c>
      <c r="E1080" s="8" t="s">
        <v>123</v>
      </c>
      <c r="F1080" s="8" t="s">
        <v>4469</v>
      </c>
      <c r="G1080" s="8" t="s">
        <v>3786</v>
      </c>
      <c r="H1080" s="8" t="s">
        <v>3787</v>
      </c>
      <c r="I1080" s="8" t="s">
        <v>3276</v>
      </c>
      <c r="J1080" s="8" t="s">
        <v>3277</v>
      </c>
      <c r="K1080" s="8" t="s">
        <v>3183</v>
      </c>
      <c r="L1080" s="10" t="s">
        <v>3278</v>
      </c>
      <c r="M1080" s="10" t="s">
        <v>3279</v>
      </c>
      <c r="N1080" s="10" t="s">
        <v>4408</v>
      </c>
      <c r="O1080" s="8" t="s">
        <v>322</v>
      </c>
      <c r="P1080" s="8"/>
      <c r="Q1080" s="8"/>
      <c r="R1080" s="8">
        <v>68653</v>
      </c>
      <c r="S1080" s="8" t="s">
        <v>332</v>
      </c>
      <c r="T1080" s="8"/>
      <c r="U1080" s="8"/>
      <c r="V1080" s="8"/>
      <c r="W1080" s="8"/>
      <c r="X1080" s="8"/>
      <c r="Y1080" s="8"/>
      <c r="Z1080" s="10" t="s">
        <v>3186</v>
      </c>
      <c r="AA1080" s="8" t="s">
        <v>332</v>
      </c>
      <c r="AB1080" s="8">
        <v>1</v>
      </c>
    </row>
    <row r="1081" spans="1:28" ht="21.6" customHeight="1">
      <c r="A1081" s="8">
        <v>9</v>
      </c>
      <c r="B1081" s="8">
        <v>2025100100</v>
      </c>
      <c r="C1081" s="8">
        <v>1</v>
      </c>
      <c r="D1081" s="8" t="s">
        <v>3177</v>
      </c>
      <c r="E1081" s="8" t="s">
        <v>123</v>
      </c>
      <c r="F1081" s="8" t="s">
        <v>4469</v>
      </c>
      <c r="G1081" s="8" t="s">
        <v>3812</v>
      </c>
      <c r="H1081" s="8" t="s">
        <v>3601</v>
      </c>
      <c r="I1081" s="8" t="s">
        <v>3282</v>
      </c>
      <c r="J1081" s="8" t="s">
        <v>3277</v>
      </c>
      <c r="K1081" s="8" t="s">
        <v>3183</v>
      </c>
      <c r="L1081" s="10" t="s">
        <v>3283</v>
      </c>
      <c r="M1081" s="10" t="s">
        <v>3284</v>
      </c>
      <c r="N1081" s="10"/>
      <c r="O1081" s="8" t="s">
        <v>322</v>
      </c>
      <c r="P1081" s="8"/>
      <c r="Q1081" s="8"/>
      <c r="R1081" s="8">
        <v>28400</v>
      </c>
      <c r="S1081" s="8" t="s">
        <v>332</v>
      </c>
      <c r="T1081" s="8"/>
      <c r="U1081" s="8"/>
      <c r="V1081" s="8"/>
      <c r="W1081" s="8"/>
      <c r="X1081" s="8"/>
      <c r="Y1081" s="8"/>
      <c r="Z1081" s="10" t="s">
        <v>3186</v>
      </c>
      <c r="AA1081" s="8" t="s">
        <v>332</v>
      </c>
      <c r="AB1081" s="8">
        <v>1</v>
      </c>
    </row>
    <row r="1082" spans="1:28" ht="21.6" customHeight="1">
      <c r="A1082" s="8">
        <v>22</v>
      </c>
      <c r="B1082" s="8">
        <v>2025100333</v>
      </c>
      <c r="C1082" s="8">
        <v>1</v>
      </c>
      <c r="D1082" s="8" t="s">
        <v>3177</v>
      </c>
      <c r="E1082" s="8" t="s">
        <v>118</v>
      </c>
      <c r="F1082" s="8" t="s">
        <v>4478</v>
      </c>
      <c r="G1082" s="8" t="s">
        <v>3350</v>
      </c>
      <c r="H1082" s="8" t="s">
        <v>3280</v>
      </c>
      <c r="I1082" s="8" t="s">
        <v>3370</v>
      </c>
      <c r="J1082" s="8" t="s">
        <v>3195</v>
      </c>
      <c r="K1082" s="8" t="s">
        <v>3183</v>
      </c>
      <c r="L1082" s="10" t="s">
        <v>3371</v>
      </c>
      <c r="M1082" s="10" t="s">
        <v>3372</v>
      </c>
      <c r="N1082" s="10" t="s">
        <v>3373</v>
      </c>
      <c r="O1082" s="8" t="s">
        <v>322</v>
      </c>
      <c r="P1082" s="8"/>
      <c r="Q1082" s="8">
        <v>16366</v>
      </c>
      <c r="R1082" s="8">
        <v>143510</v>
      </c>
      <c r="S1082" s="8"/>
      <c r="T1082" s="8"/>
      <c r="U1082" s="8" t="s">
        <v>332</v>
      </c>
      <c r="V1082" s="8"/>
      <c r="W1082" s="8"/>
      <c r="X1082" s="8"/>
      <c r="Y1082" s="8"/>
      <c r="Z1082" s="10" t="s">
        <v>3362</v>
      </c>
      <c r="AA1082" s="8" t="s">
        <v>332</v>
      </c>
      <c r="AB1082" s="8">
        <v>1</v>
      </c>
    </row>
    <row r="1083" spans="1:28" ht="21.6" customHeight="1">
      <c r="A1083" s="8">
        <v>23</v>
      </c>
      <c r="B1083" s="8">
        <v>2025100335</v>
      </c>
      <c r="C1083" s="8">
        <v>1</v>
      </c>
      <c r="D1083" s="8" t="s">
        <v>3177</v>
      </c>
      <c r="E1083" s="8" t="s">
        <v>118</v>
      </c>
      <c r="F1083" s="8" t="s">
        <v>4478</v>
      </c>
      <c r="G1083" s="8" t="s">
        <v>3280</v>
      </c>
      <c r="H1083" s="8" t="s">
        <v>3363</v>
      </c>
      <c r="I1083" s="8" t="s">
        <v>4399</v>
      </c>
      <c r="J1083" s="8" t="s">
        <v>3195</v>
      </c>
      <c r="K1083" s="8" t="s">
        <v>3183</v>
      </c>
      <c r="L1083" s="10" t="s">
        <v>3377</v>
      </c>
      <c r="M1083" s="10" t="s">
        <v>4400</v>
      </c>
      <c r="N1083" s="10" t="s">
        <v>4401</v>
      </c>
      <c r="O1083" s="8" t="s">
        <v>322</v>
      </c>
      <c r="P1083" s="8"/>
      <c r="Q1083" s="8">
        <v>5983</v>
      </c>
      <c r="R1083" s="8">
        <v>32582</v>
      </c>
      <c r="S1083" s="8"/>
      <c r="T1083" s="8"/>
      <c r="U1083" s="8" t="s">
        <v>332</v>
      </c>
      <c r="V1083" s="8"/>
      <c r="W1083" s="8"/>
      <c r="X1083" s="8"/>
      <c r="Y1083" s="8"/>
      <c r="Z1083" s="10" t="s">
        <v>3362</v>
      </c>
      <c r="AA1083" s="8" t="s">
        <v>332</v>
      </c>
      <c r="AB1083" s="8">
        <v>1</v>
      </c>
    </row>
    <row r="1084" spans="1:28" ht="21.6" customHeight="1">
      <c r="A1084" s="8">
        <v>26</v>
      </c>
      <c r="B1084" s="8">
        <v>2025100454</v>
      </c>
      <c r="C1084" s="8">
        <v>1</v>
      </c>
      <c r="D1084" s="8" t="s">
        <v>3177</v>
      </c>
      <c r="E1084" s="8" t="s">
        <v>118</v>
      </c>
      <c r="F1084" s="8" t="s">
        <v>4478</v>
      </c>
      <c r="G1084" s="8" t="s">
        <v>3426</v>
      </c>
      <c r="H1084" s="8" t="s">
        <v>3431</v>
      </c>
      <c r="I1084" s="8" t="s">
        <v>4158</v>
      </c>
      <c r="J1084" s="8" t="s">
        <v>3224</v>
      </c>
      <c r="K1084" s="8" t="s">
        <v>3183</v>
      </c>
      <c r="L1084" s="10" t="s">
        <v>3550</v>
      </c>
      <c r="M1084" s="10" t="s">
        <v>4159</v>
      </c>
      <c r="N1084" s="10" t="s">
        <v>3701</v>
      </c>
      <c r="O1084" s="8" t="s">
        <v>363</v>
      </c>
      <c r="P1084" s="8"/>
      <c r="Q1084" s="8">
        <v>843</v>
      </c>
      <c r="R1084" s="8">
        <v>44687</v>
      </c>
      <c r="S1084" s="8"/>
      <c r="T1084" s="8"/>
      <c r="U1084" s="8"/>
      <c r="V1084" s="8"/>
      <c r="W1084" s="8"/>
      <c r="X1084" s="8"/>
      <c r="Y1084" s="8"/>
      <c r="Z1084" s="10" t="s">
        <v>4479</v>
      </c>
      <c r="AA1084" s="8" t="s">
        <v>332</v>
      </c>
      <c r="AB1084" s="8">
        <v>1</v>
      </c>
    </row>
    <row r="1085" spans="1:28" ht="21.6" customHeight="1">
      <c r="A1085" s="8">
        <v>27</v>
      </c>
      <c r="B1085" s="8">
        <v>2025100084</v>
      </c>
      <c r="C1085" s="8">
        <v>1</v>
      </c>
      <c r="D1085" s="8" t="s">
        <v>3177</v>
      </c>
      <c r="E1085" s="8" t="s">
        <v>118</v>
      </c>
      <c r="F1085" s="8" t="s">
        <v>4469</v>
      </c>
      <c r="G1085" s="8" t="s">
        <v>3204</v>
      </c>
      <c r="H1085" s="8" t="s">
        <v>3427</v>
      </c>
      <c r="I1085" s="8" t="s">
        <v>4403</v>
      </c>
      <c r="J1085" s="8" t="s">
        <v>3224</v>
      </c>
      <c r="K1085" s="8" t="s">
        <v>3183</v>
      </c>
      <c r="L1085" s="10" t="s">
        <v>4404</v>
      </c>
      <c r="M1085" s="10" t="s">
        <v>4424</v>
      </c>
      <c r="N1085" s="10" t="s">
        <v>3497</v>
      </c>
      <c r="O1085" s="8" t="s">
        <v>322</v>
      </c>
      <c r="P1085" s="8"/>
      <c r="Q1085" s="8">
        <v>56</v>
      </c>
      <c r="R1085" s="8">
        <v>400</v>
      </c>
      <c r="S1085" s="8" t="s">
        <v>332</v>
      </c>
      <c r="T1085" s="8"/>
      <c r="U1085" s="8"/>
      <c r="V1085" s="8"/>
      <c r="W1085" s="8"/>
      <c r="X1085" s="8"/>
      <c r="Y1085" s="8"/>
      <c r="Z1085" s="10" t="s">
        <v>3696</v>
      </c>
      <c r="AA1085" s="8" t="s">
        <v>332</v>
      </c>
      <c r="AB1085" s="8">
        <v>1</v>
      </c>
    </row>
    <row r="1086" spans="1:28" ht="21.6" customHeight="1">
      <c r="A1086" s="8">
        <v>31</v>
      </c>
      <c r="B1086" s="8">
        <v>2025100368</v>
      </c>
      <c r="C1086" s="8">
        <v>1</v>
      </c>
      <c r="D1086" s="8" t="s">
        <v>3177</v>
      </c>
      <c r="E1086" s="8" t="s">
        <v>118</v>
      </c>
      <c r="F1086" s="8" t="s">
        <v>4478</v>
      </c>
      <c r="G1086" s="8" t="s">
        <v>3233</v>
      </c>
      <c r="H1086" s="8" t="s">
        <v>3381</v>
      </c>
      <c r="I1086" s="8" t="s">
        <v>3433</v>
      </c>
      <c r="J1086" s="8" t="s">
        <v>3277</v>
      </c>
      <c r="K1086" s="8" t="s">
        <v>3183</v>
      </c>
      <c r="L1086" s="10" t="s">
        <v>3434</v>
      </c>
      <c r="M1086" s="10" t="s">
        <v>3435</v>
      </c>
      <c r="N1086" s="10" t="s">
        <v>3436</v>
      </c>
      <c r="O1086" s="8" t="s">
        <v>322</v>
      </c>
      <c r="P1086" s="8"/>
      <c r="Q1086" s="8"/>
      <c r="R1086" s="8">
        <v>155192</v>
      </c>
      <c r="S1086" s="8" t="s">
        <v>332</v>
      </c>
      <c r="T1086" s="8"/>
      <c r="U1086" s="8"/>
      <c r="V1086" s="8"/>
      <c r="W1086" s="8"/>
      <c r="X1086" s="8"/>
      <c r="Y1086" s="8"/>
      <c r="Z1086" s="10" t="s">
        <v>3696</v>
      </c>
      <c r="AA1086" s="8" t="s">
        <v>332</v>
      </c>
      <c r="AB1086" s="8">
        <v>1</v>
      </c>
    </row>
    <row r="1087" spans="1:28" ht="21.6" customHeight="1">
      <c r="A1087" s="8">
        <v>33</v>
      </c>
      <c r="B1087" s="8">
        <v>2025100371</v>
      </c>
      <c r="C1087" s="8">
        <v>1</v>
      </c>
      <c r="D1087" s="8" t="s">
        <v>3177</v>
      </c>
      <c r="E1087" s="8" t="s">
        <v>118</v>
      </c>
      <c r="F1087" s="8" t="s">
        <v>4478</v>
      </c>
      <c r="G1087" s="8" t="s">
        <v>3381</v>
      </c>
      <c r="H1087" s="8" t="s">
        <v>3401</v>
      </c>
      <c r="I1087" s="8" t="s">
        <v>3440</v>
      </c>
      <c r="J1087" s="8" t="s">
        <v>3277</v>
      </c>
      <c r="K1087" s="8" t="s">
        <v>3183</v>
      </c>
      <c r="L1087" s="10" t="s">
        <v>3434</v>
      </c>
      <c r="M1087" s="10" t="s">
        <v>3441</v>
      </c>
      <c r="N1087" s="10" t="s">
        <v>3442</v>
      </c>
      <c r="O1087" s="8" t="s">
        <v>3190</v>
      </c>
      <c r="P1087" s="8"/>
      <c r="Q1087" s="8"/>
      <c r="R1087" s="8">
        <v>140987</v>
      </c>
      <c r="S1087" s="8"/>
      <c r="T1087" s="8"/>
      <c r="U1087" s="8"/>
      <c r="V1087" s="8"/>
      <c r="W1087" s="8"/>
      <c r="X1087" s="8"/>
      <c r="Y1087" s="8"/>
      <c r="Z1087" s="10" t="s">
        <v>3696</v>
      </c>
      <c r="AA1087" s="8" t="s">
        <v>332</v>
      </c>
      <c r="AB1087" s="8">
        <v>1</v>
      </c>
    </row>
    <row r="1088" spans="1:28" ht="21.6" customHeight="1">
      <c r="A1088" s="8">
        <v>49</v>
      </c>
      <c r="B1088" s="8">
        <v>2025100336</v>
      </c>
      <c r="C1088" s="8">
        <v>1</v>
      </c>
      <c r="D1088" s="8" t="s">
        <v>3177</v>
      </c>
      <c r="E1088" s="8" t="s">
        <v>118</v>
      </c>
      <c r="F1088" s="8" t="s">
        <v>4478</v>
      </c>
      <c r="G1088" s="8" t="s">
        <v>3363</v>
      </c>
      <c r="H1088" s="8" t="s">
        <v>3233</v>
      </c>
      <c r="I1088" s="8" t="s">
        <v>3487</v>
      </c>
      <c r="J1088" s="8" t="s">
        <v>3288</v>
      </c>
      <c r="K1088" s="8" t="s">
        <v>3183</v>
      </c>
      <c r="L1088" s="10" t="s">
        <v>3488</v>
      </c>
      <c r="M1088" s="10" t="s">
        <v>3489</v>
      </c>
      <c r="N1088" s="10" t="s">
        <v>3490</v>
      </c>
      <c r="O1088" s="8" t="s">
        <v>322</v>
      </c>
      <c r="P1088" s="8"/>
      <c r="Q1088" s="8">
        <v>28805</v>
      </c>
      <c r="R1088" s="8">
        <v>28881</v>
      </c>
      <c r="S1088" s="8"/>
      <c r="T1088" s="8"/>
      <c r="U1088" s="8" t="s">
        <v>332</v>
      </c>
      <c r="V1088" s="8"/>
      <c r="W1088" s="8"/>
      <c r="X1088" s="8"/>
      <c r="Y1088" s="8"/>
      <c r="Z1088" s="10" t="s">
        <v>3362</v>
      </c>
      <c r="AA1088" s="8" t="s">
        <v>332</v>
      </c>
      <c r="AB1088" s="8">
        <v>1</v>
      </c>
    </row>
    <row r="1089" spans="1:28" ht="21.6" customHeight="1">
      <c r="A1089" s="8">
        <v>1</v>
      </c>
      <c r="B1089" s="8">
        <v>2025100147</v>
      </c>
      <c r="C1089" s="8">
        <v>1</v>
      </c>
      <c r="D1089" s="8" t="s">
        <v>3177</v>
      </c>
      <c r="E1089" s="8" t="s">
        <v>123</v>
      </c>
      <c r="F1089" s="8" t="s">
        <v>4469</v>
      </c>
      <c r="G1089" s="8" t="s">
        <v>3657</v>
      </c>
      <c r="H1089" s="8" t="s">
        <v>4204</v>
      </c>
      <c r="I1089" s="8" t="s">
        <v>4474</v>
      </c>
      <c r="J1089" s="8" t="s">
        <v>3224</v>
      </c>
      <c r="K1089" s="8" t="s">
        <v>3183</v>
      </c>
      <c r="L1089" s="10" t="s">
        <v>4475</v>
      </c>
      <c r="M1089" s="10" t="s">
        <v>4476</v>
      </c>
      <c r="N1089" s="10" t="s">
        <v>4477</v>
      </c>
      <c r="O1089" s="8" t="s">
        <v>3190</v>
      </c>
      <c r="P1089" s="8"/>
      <c r="Q1089" s="8">
        <v>12</v>
      </c>
      <c r="R1089" s="8">
        <v>105</v>
      </c>
      <c r="S1089" s="8"/>
      <c r="T1089" s="8"/>
      <c r="U1089" s="8"/>
      <c r="V1089" s="8"/>
      <c r="W1089" s="8"/>
      <c r="X1089" s="8"/>
      <c r="Y1089" s="8"/>
      <c r="Z1089" s="10" t="s">
        <v>3186</v>
      </c>
      <c r="AA1089" s="8" t="s">
        <v>332</v>
      </c>
      <c r="AB1089" s="8">
        <v>1</v>
      </c>
    </row>
    <row r="1090" spans="1:28" ht="21.6" customHeight="1">
      <c r="A1090" s="8">
        <v>22</v>
      </c>
      <c r="B1090" s="8">
        <v>2025100602</v>
      </c>
      <c r="C1090" s="8">
        <v>1</v>
      </c>
      <c r="D1090" s="8" t="s">
        <v>3177</v>
      </c>
      <c r="E1090" s="8" t="s">
        <v>118</v>
      </c>
      <c r="F1090" s="8" t="s">
        <v>4480</v>
      </c>
      <c r="G1090" s="8" t="s">
        <v>3381</v>
      </c>
      <c r="H1090" s="8" t="s">
        <v>3401</v>
      </c>
      <c r="I1090" s="8" t="s">
        <v>3365</v>
      </c>
      <c r="J1090" s="8" t="s">
        <v>3195</v>
      </c>
      <c r="K1090" s="8" t="s">
        <v>3183</v>
      </c>
      <c r="L1090" s="10" t="s">
        <v>3366</v>
      </c>
      <c r="M1090" s="10" t="s">
        <v>3367</v>
      </c>
      <c r="N1090" s="10"/>
      <c r="O1090" s="8" t="s">
        <v>322</v>
      </c>
      <c r="P1090" s="8"/>
      <c r="Q1090" s="8">
        <v>2150</v>
      </c>
      <c r="R1090" s="8">
        <v>43000</v>
      </c>
      <c r="S1090" s="8" t="s">
        <v>332</v>
      </c>
      <c r="T1090" s="8"/>
      <c r="U1090" s="8"/>
      <c r="V1090" s="8"/>
      <c r="W1090" s="8"/>
      <c r="X1090" s="8"/>
      <c r="Y1090" s="8"/>
      <c r="Z1090" s="10" t="s">
        <v>3696</v>
      </c>
      <c r="AA1090" s="8" t="s">
        <v>332</v>
      </c>
      <c r="AB1090" s="8">
        <v>1</v>
      </c>
    </row>
    <row r="1091" spans="1:28" ht="21.6" customHeight="1">
      <c r="A1091" s="8">
        <v>26</v>
      </c>
      <c r="B1091" s="8">
        <v>2025100597</v>
      </c>
      <c r="C1091" s="8">
        <v>1</v>
      </c>
      <c r="D1091" s="8" t="s">
        <v>3177</v>
      </c>
      <c r="E1091" s="8" t="s">
        <v>118</v>
      </c>
      <c r="F1091" s="8" t="s">
        <v>4480</v>
      </c>
      <c r="G1091" s="8" t="s">
        <v>3363</v>
      </c>
      <c r="H1091" s="8" t="s">
        <v>3233</v>
      </c>
      <c r="I1091" s="8" t="s">
        <v>3689</v>
      </c>
      <c r="J1091" s="8" t="s">
        <v>3224</v>
      </c>
      <c r="K1091" s="8" t="s">
        <v>3183</v>
      </c>
      <c r="L1091" s="10" t="s">
        <v>3344</v>
      </c>
      <c r="M1091" s="10" t="s">
        <v>3345</v>
      </c>
      <c r="N1091" s="10" t="s">
        <v>3497</v>
      </c>
      <c r="O1091" s="8" t="s">
        <v>322</v>
      </c>
      <c r="P1091" s="8"/>
      <c r="Q1091" s="8">
        <v>900</v>
      </c>
      <c r="R1091" s="8">
        <v>13500</v>
      </c>
      <c r="S1091" s="8" t="s">
        <v>332</v>
      </c>
      <c r="T1091" s="8"/>
      <c r="U1091" s="8"/>
      <c r="V1091" s="8"/>
      <c r="W1091" s="8"/>
      <c r="X1091" s="8"/>
      <c r="Y1091" s="8"/>
      <c r="Z1091" s="10" t="s">
        <v>3696</v>
      </c>
      <c r="AA1091" s="8" t="s">
        <v>332</v>
      </c>
      <c r="AB1091" s="8">
        <v>1</v>
      </c>
    </row>
    <row r="1092" spans="1:28" ht="21.6" customHeight="1">
      <c r="A1092" s="8">
        <v>39</v>
      </c>
      <c r="B1092" s="8">
        <v>2025100599</v>
      </c>
      <c r="C1092" s="8">
        <v>1</v>
      </c>
      <c r="D1092" s="8" t="s">
        <v>3177</v>
      </c>
      <c r="E1092" s="8" t="s">
        <v>118</v>
      </c>
      <c r="F1092" s="8" t="s">
        <v>4480</v>
      </c>
      <c r="G1092" s="8" t="s">
        <v>3233</v>
      </c>
      <c r="H1092" s="8" t="s">
        <v>3381</v>
      </c>
      <c r="I1092" s="8" t="s">
        <v>3447</v>
      </c>
      <c r="J1092" s="8" t="s">
        <v>3277</v>
      </c>
      <c r="K1092" s="8" t="s">
        <v>3183</v>
      </c>
      <c r="L1092" s="10" t="s">
        <v>3448</v>
      </c>
      <c r="M1092" s="10" t="s">
        <v>3449</v>
      </c>
      <c r="N1092" s="10"/>
      <c r="O1092" s="8" t="s">
        <v>322</v>
      </c>
      <c r="P1092" s="8"/>
      <c r="Q1092" s="8"/>
      <c r="R1092" s="8">
        <v>50000</v>
      </c>
      <c r="S1092" s="8" t="s">
        <v>332</v>
      </c>
      <c r="T1092" s="8"/>
      <c r="U1092" s="8"/>
      <c r="V1092" s="8"/>
      <c r="W1092" s="8"/>
      <c r="X1092" s="8"/>
      <c r="Y1092" s="8"/>
      <c r="Z1092" s="10" t="s">
        <v>3696</v>
      </c>
      <c r="AA1092" s="8" t="s">
        <v>332</v>
      </c>
      <c r="AB1092" s="8">
        <v>1</v>
      </c>
    </row>
    <row r="1093" spans="1:28" ht="21.6" customHeight="1">
      <c r="A1093" s="8">
        <v>68</v>
      </c>
      <c r="B1093" s="8">
        <v>2025100559</v>
      </c>
      <c r="C1093" s="8">
        <v>1</v>
      </c>
      <c r="D1093" s="8" t="s">
        <v>3177</v>
      </c>
      <c r="E1093" s="8" t="s">
        <v>118</v>
      </c>
      <c r="F1093" s="8" t="s">
        <v>4480</v>
      </c>
      <c r="G1093" s="8" t="s">
        <v>3280</v>
      </c>
      <c r="H1093" s="8" t="s">
        <v>3363</v>
      </c>
      <c r="I1093" s="8" t="s">
        <v>3536</v>
      </c>
      <c r="J1093" s="8" t="s">
        <v>3298</v>
      </c>
      <c r="K1093" s="8" t="s">
        <v>3183</v>
      </c>
      <c r="L1093" s="10" t="s">
        <v>3537</v>
      </c>
      <c r="M1093" s="10" t="s">
        <v>3538</v>
      </c>
      <c r="N1093" s="10"/>
      <c r="O1093" s="8" t="s">
        <v>322</v>
      </c>
      <c r="P1093" s="8"/>
      <c r="Q1093" s="8"/>
      <c r="R1093" s="8">
        <v>140018</v>
      </c>
      <c r="S1093" s="8" t="s">
        <v>332</v>
      </c>
      <c r="T1093" s="8"/>
      <c r="U1093" s="8"/>
      <c r="V1093" s="8"/>
      <c r="W1093" s="8"/>
      <c r="X1093" s="8"/>
      <c r="Y1093" s="8"/>
      <c r="Z1093" s="10" t="s">
        <v>3696</v>
      </c>
      <c r="AA1093" s="8" t="s">
        <v>332</v>
      </c>
      <c r="AB1093" s="8">
        <v>1</v>
      </c>
    </row>
    <row r="1094" spans="1:28" ht="21.6" customHeight="1">
      <c r="A1094" s="8">
        <v>70</v>
      </c>
      <c r="B1094" s="8">
        <v>2025100557</v>
      </c>
      <c r="C1094" s="8">
        <v>1</v>
      </c>
      <c r="D1094" s="8" t="s">
        <v>3177</v>
      </c>
      <c r="E1094" s="8" t="s">
        <v>118</v>
      </c>
      <c r="F1094" s="8" t="s">
        <v>4480</v>
      </c>
      <c r="G1094" s="8" t="s">
        <v>3350</v>
      </c>
      <c r="H1094" s="8" t="s">
        <v>3280</v>
      </c>
      <c r="I1094" s="8" t="s">
        <v>3978</v>
      </c>
      <c r="J1094" s="8" t="s">
        <v>3301</v>
      </c>
      <c r="K1094" s="8" t="s">
        <v>3183</v>
      </c>
      <c r="L1094" s="10" t="s">
        <v>4481</v>
      </c>
      <c r="M1094" s="10" t="s">
        <v>3980</v>
      </c>
      <c r="N1094" s="10" t="s">
        <v>3497</v>
      </c>
      <c r="O1094" s="8" t="s">
        <v>322</v>
      </c>
      <c r="P1094" s="8"/>
      <c r="Q1094" s="8">
        <v>3480</v>
      </c>
      <c r="R1094" s="8">
        <v>8923</v>
      </c>
      <c r="S1094" s="8" t="s">
        <v>332</v>
      </c>
      <c r="T1094" s="8"/>
      <c r="U1094" s="8"/>
      <c r="V1094" s="8"/>
      <c r="W1094" s="8"/>
      <c r="X1094" s="8"/>
      <c r="Y1094" s="8"/>
      <c r="Z1094" s="10" t="s">
        <v>3696</v>
      </c>
      <c r="AA1094" s="8" t="s">
        <v>332</v>
      </c>
      <c r="AB1094" s="8">
        <v>1</v>
      </c>
    </row>
    <row r="1095" spans="1:28" ht="21.6" customHeight="1">
      <c r="A1095" s="8">
        <v>76</v>
      </c>
      <c r="B1095" s="8">
        <v>2025100636</v>
      </c>
      <c r="C1095" s="8">
        <v>1</v>
      </c>
      <c r="D1095" s="8" t="s">
        <v>3177</v>
      </c>
      <c r="E1095" s="8" t="s">
        <v>134</v>
      </c>
      <c r="F1095" s="8" t="s">
        <v>4480</v>
      </c>
      <c r="G1095" s="8" t="s">
        <v>3357</v>
      </c>
      <c r="H1095" s="8" t="s">
        <v>3767</v>
      </c>
      <c r="I1095" s="8" t="s">
        <v>4482</v>
      </c>
      <c r="J1095" s="8" t="s">
        <v>3597</v>
      </c>
      <c r="K1095" s="8" t="s">
        <v>3579</v>
      </c>
      <c r="L1095" s="10" t="s">
        <v>3598</v>
      </c>
      <c r="M1095" s="10" t="s">
        <v>4047</v>
      </c>
      <c r="N1095" s="10" t="s">
        <v>4483</v>
      </c>
      <c r="O1095" s="8" t="s">
        <v>363</v>
      </c>
      <c r="P1095" s="8"/>
      <c r="Q1095" s="8"/>
      <c r="R1095" s="8">
        <v>0</v>
      </c>
      <c r="S1095" s="8"/>
      <c r="T1095" s="8"/>
      <c r="U1095" s="8"/>
      <c r="V1095" s="8"/>
      <c r="W1095" s="8"/>
      <c r="X1095" s="8"/>
      <c r="Y1095" s="8"/>
      <c r="Z1095" s="10" t="s">
        <v>4484</v>
      </c>
      <c r="AA1095" s="8" t="s">
        <v>332</v>
      </c>
      <c r="AB1095" s="8">
        <v>1</v>
      </c>
    </row>
    <row r="1096" spans="1:28" ht="21.6" customHeight="1">
      <c r="A1096" s="8">
        <v>42</v>
      </c>
      <c r="B1096" s="8">
        <v>2025100370</v>
      </c>
      <c r="C1096" s="8">
        <v>1</v>
      </c>
      <c r="D1096" s="8" t="s">
        <v>3177</v>
      </c>
      <c r="E1096" s="8" t="s">
        <v>118</v>
      </c>
      <c r="F1096" s="8" t="s">
        <v>4478</v>
      </c>
      <c r="G1096" s="8" t="s">
        <v>3381</v>
      </c>
      <c r="H1096" s="8" t="s">
        <v>3401</v>
      </c>
      <c r="I1096" s="8" t="s">
        <v>3440</v>
      </c>
      <c r="J1096" s="8" t="s">
        <v>3277</v>
      </c>
      <c r="K1096" s="8" t="s">
        <v>3183</v>
      </c>
      <c r="L1096" s="10" t="s">
        <v>3434</v>
      </c>
      <c r="M1096" s="10" t="s">
        <v>3441</v>
      </c>
      <c r="N1096" s="10" t="s">
        <v>3442</v>
      </c>
      <c r="O1096" s="8" t="s">
        <v>322</v>
      </c>
      <c r="P1096" s="8"/>
      <c r="Q1096" s="8"/>
      <c r="R1096" s="8">
        <v>140987</v>
      </c>
      <c r="S1096" s="8" t="s">
        <v>332</v>
      </c>
      <c r="T1096" s="8"/>
      <c r="U1096" s="8"/>
      <c r="V1096" s="8"/>
      <c r="W1096" s="8"/>
      <c r="X1096" s="8"/>
      <c r="Y1096" s="8"/>
      <c r="Z1096" s="10" t="s">
        <v>3696</v>
      </c>
      <c r="AA1096" s="8" t="s">
        <v>332</v>
      </c>
      <c r="AB1096" s="8">
        <v>1</v>
      </c>
    </row>
    <row r="1097" spans="1:28" ht="21.6" customHeight="1">
      <c r="A1097" s="8">
        <v>46</v>
      </c>
      <c r="B1097" s="8">
        <v>2025100713</v>
      </c>
      <c r="C1097" s="8">
        <v>1</v>
      </c>
      <c r="D1097" s="8" t="s">
        <v>3177</v>
      </c>
      <c r="E1097" s="8" t="s">
        <v>118</v>
      </c>
      <c r="F1097" s="8" t="s">
        <v>4480</v>
      </c>
      <c r="G1097" s="8" t="s">
        <v>3427</v>
      </c>
      <c r="H1097" s="8" t="s">
        <v>3386</v>
      </c>
      <c r="I1097" s="8" t="s">
        <v>3452</v>
      </c>
      <c r="J1097" s="8" t="s">
        <v>3277</v>
      </c>
      <c r="K1097" s="8" t="s">
        <v>3183</v>
      </c>
      <c r="L1097" s="10" t="s">
        <v>3254</v>
      </c>
      <c r="M1097" s="10" t="s">
        <v>3453</v>
      </c>
      <c r="N1097" s="10" t="s">
        <v>3946</v>
      </c>
      <c r="O1097" s="8" t="s">
        <v>322</v>
      </c>
      <c r="P1097" s="8"/>
      <c r="Q1097" s="8"/>
      <c r="R1097" s="8">
        <v>10255</v>
      </c>
      <c r="S1097" s="8"/>
      <c r="T1097" s="8"/>
      <c r="U1097" s="8" t="s">
        <v>332</v>
      </c>
      <c r="V1097" s="8"/>
      <c r="W1097" s="8"/>
      <c r="X1097" s="8"/>
      <c r="Y1097" s="8"/>
      <c r="Z1097" s="10" t="s">
        <v>3362</v>
      </c>
      <c r="AA1097" s="8" t="s">
        <v>332</v>
      </c>
      <c r="AB1097" s="8">
        <v>1</v>
      </c>
    </row>
    <row r="1098" spans="1:28" ht="21.6" customHeight="1">
      <c r="A1098" s="8">
        <v>47</v>
      </c>
      <c r="B1098" s="8">
        <v>2025100503</v>
      </c>
      <c r="C1098" s="8">
        <v>1</v>
      </c>
      <c r="D1098" s="8" t="s">
        <v>3177</v>
      </c>
      <c r="E1098" s="8" t="s">
        <v>118</v>
      </c>
      <c r="F1098" s="8" t="s">
        <v>4478</v>
      </c>
      <c r="G1098" s="8" t="s">
        <v>3250</v>
      </c>
      <c r="H1098" s="8" t="s">
        <v>3204</v>
      </c>
      <c r="I1098" s="8" t="s">
        <v>3461</v>
      </c>
      <c r="J1098" s="8" t="s">
        <v>3277</v>
      </c>
      <c r="K1098" s="8" t="s">
        <v>3183</v>
      </c>
      <c r="L1098" s="10" t="s">
        <v>3462</v>
      </c>
      <c r="M1098" s="10" t="s">
        <v>3463</v>
      </c>
      <c r="N1098" s="10" t="s">
        <v>3464</v>
      </c>
      <c r="O1098" s="8" t="s">
        <v>3190</v>
      </c>
      <c r="P1098" s="8"/>
      <c r="Q1098" s="8"/>
      <c r="R1098" s="8">
        <v>299683</v>
      </c>
      <c r="S1098" s="8"/>
      <c r="T1098" s="8"/>
      <c r="U1098" s="8"/>
      <c r="V1098" s="8"/>
      <c r="W1098" s="8"/>
      <c r="X1098" s="8"/>
      <c r="Y1098" s="8"/>
      <c r="Z1098" s="10" t="s">
        <v>3696</v>
      </c>
      <c r="AA1098" s="8" t="s">
        <v>332</v>
      </c>
      <c r="AB1098" s="8">
        <v>1</v>
      </c>
    </row>
    <row r="1099" spans="1:28" ht="21.6" customHeight="1">
      <c r="A1099" s="8">
        <v>64</v>
      </c>
      <c r="B1099" s="8">
        <v>2025100512</v>
      </c>
      <c r="C1099" s="8">
        <v>1</v>
      </c>
      <c r="D1099" s="8" t="s">
        <v>3177</v>
      </c>
      <c r="E1099" s="8" t="s">
        <v>118</v>
      </c>
      <c r="F1099" s="8" t="s">
        <v>4478</v>
      </c>
      <c r="G1099" s="8" t="s">
        <v>3386</v>
      </c>
      <c r="H1099" s="8" t="s">
        <v>3387</v>
      </c>
      <c r="I1099" s="8" t="s">
        <v>3506</v>
      </c>
      <c r="J1099" s="8" t="s">
        <v>3298</v>
      </c>
      <c r="K1099" s="8" t="s">
        <v>3183</v>
      </c>
      <c r="L1099" s="10" t="s">
        <v>3462</v>
      </c>
      <c r="M1099" s="10" t="s">
        <v>3507</v>
      </c>
      <c r="N1099" s="10" t="s">
        <v>3508</v>
      </c>
      <c r="O1099" s="8" t="s">
        <v>3190</v>
      </c>
      <c r="P1099" s="8"/>
      <c r="Q1099" s="8"/>
      <c r="R1099" s="8">
        <v>117288</v>
      </c>
      <c r="S1099" s="8"/>
      <c r="T1099" s="8"/>
      <c r="U1099" s="8"/>
      <c r="V1099" s="8"/>
      <c r="W1099" s="8"/>
      <c r="X1099" s="8"/>
      <c r="Y1099" s="8"/>
      <c r="Z1099" s="10" t="s">
        <v>3696</v>
      </c>
      <c r="AA1099" s="8" t="s">
        <v>332</v>
      </c>
      <c r="AB1099" s="8">
        <v>1</v>
      </c>
    </row>
    <row r="1100" spans="1:28" ht="21.6" customHeight="1">
      <c r="A1100" s="8">
        <v>80</v>
      </c>
      <c r="B1100" s="8">
        <v>2025100712</v>
      </c>
      <c r="C1100" s="8">
        <v>1</v>
      </c>
      <c r="D1100" s="8" t="s">
        <v>3177</v>
      </c>
      <c r="E1100" s="8" t="s">
        <v>118</v>
      </c>
      <c r="F1100" s="8" t="s">
        <v>4480</v>
      </c>
      <c r="G1100" s="8" t="s">
        <v>3204</v>
      </c>
      <c r="H1100" s="8" t="s">
        <v>3427</v>
      </c>
      <c r="I1100" s="8" t="s">
        <v>3567</v>
      </c>
      <c r="J1100" s="8" t="s">
        <v>1717</v>
      </c>
      <c r="K1100" s="8" t="s">
        <v>3183</v>
      </c>
      <c r="L1100" s="10" t="s">
        <v>3254</v>
      </c>
      <c r="M1100" s="10" t="s">
        <v>3547</v>
      </c>
      <c r="N1100" s="10" t="s">
        <v>3568</v>
      </c>
      <c r="O1100" s="8" t="s">
        <v>322</v>
      </c>
      <c r="P1100" s="8"/>
      <c r="Q1100" s="8"/>
      <c r="R1100" s="8">
        <v>12160</v>
      </c>
      <c r="S1100" s="8"/>
      <c r="T1100" s="8"/>
      <c r="U1100" s="8" t="s">
        <v>332</v>
      </c>
      <c r="V1100" s="8"/>
      <c r="W1100" s="8"/>
      <c r="X1100" s="8"/>
      <c r="Y1100" s="8"/>
      <c r="Z1100" s="10" t="s">
        <v>3362</v>
      </c>
      <c r="AA1100" s="8" t="s">
        <v>332</v>
      </c>
      <c r="AB1100" s="8">
        <v>1</v>
      </c>
    </row>
    <row r="1101" spans="1:28" ht="21.6" customHeight="1">
      <c r="A1101" s="8">
        <v>81</v>
      </c>
      <c r="B1101" s="8">
        <v>2025100711</v>
      </c>
      <c r="C1101" s="8">
        <v>1</v>
      </c>
      <c r="D1101" s="8" t="s">
        <v>3177</v>
      </c>
      <c r="E1101" s="8" t="s">
        <v>118</v>
      </c>
      <c r="F1101" s="8" t="s">
        <v>4480</v>
      </c>
      <c r="G1101" s="8" t="s">
        <v>3250</v>
      </c>
      <c r="H1101" s="8" t="s">
        <v>3204</v>
      </c>
      <c r="I1101" s="8" t="s">
        <v>3570</v>
      </c>
      <c r="J1101" s="8" t="s">
        <v>1717</v>
      </c>
      <c r="K1101" s="8" t="s">
        <v>3183</v>
      </c>
      <c r="L1101" s="10" t="s">
        <v>3254</v>
      </c>
      <c r="M1101" s="10" t="s">
        <v>3547</v>
      </c>
      <c r="N1101" s="10" t="s">
        <v>3571</v>
      </c>
      <c r="O1101" s="8" t="s">
        <v>322</v>
      </c>
      <c r="P1101" s="8"/>
      <c r="Q1101" s="8"/>
      <c r="R1101" s="8">
        <v>87781</v>
      </c>
      <c r="S1101" s="8"/>
      <c r="T1101" s="8"/>
      <c r="U1101" s="8" t="s">
        <v>332</v>
      </c>
      <c r="V1101" s="8"/>
      <c r="W1101" s="8"/>
      <c r="X1101" s="8"/>
      <c r="Y1101" s="8"/>
      <c r="Z1101" s="10" t="s">
        <v>3362</v>
      </c>
      <c r="AA1101" s="8" t="s">
        <v>332</v>
      </c>
      <c r="AB1101" s="8">
        <v>1</v>
      </c>
    </row>
    <row r="1102" spans="1:28" ht="21.6" customHeight="1">
      <c r="A1102" s="8">
        <v>84</v>
      </c>
      <c r="B1102" s="8">
        <v>2025100710</v>
      </c>
      <c r="C1102" s="8">
        <v>1</v>
      </c>
      <c r="D1102" s="8" t="s">
        <v>3177</v>
      </c>
      <c r="E1102" s="8" t="s">
        <v>118</v>
      </c>
      <c r="F1102" s="8" t="s">
        <v>4480</v>
      </c>
      <c r="G1102" s="8" t="s">
        <v>3368</v>
      </c>
      <c r="H1102" s="8" t="s">
        <v>3250</v>
      </c>
      <c r="I1102" s="8" t="s">
        <v>4450</v>
      </c>
      <c r="J1102" s="8" t="s">
        <v>1717</v>
      </c>
      <c r="K1102" s="8" t="s">
        <v>3183</v>
      </c>
      <c r="L1102" s="10" t="s">
        <v>3254</v>
      </c>
      <c r="M1102" s="10" t="s">
        <v>3547</v>
      </c>
      <c r="N1102" s="10" t="s">
        <v>3747</v>
      </c>
      <c r="O1102" s="8" t="s">
        <v>322</v>
      </c>
      <c r="P1102" s="8"/>
      <c r="Q1102" s="8"/>
      <c r="R1102" s="8">
        <v>47607</v>
      </c>
      <c r="S1102" s="8"/>
      <c r="T1102" s="8"/>
      <c r="U1102" s="8" t="s">
        <v>332</v>
      </c>
      <c r="V1102" s="8"/>
      <c r="W1102" s="8"/>
      <c r="X1102" s="8"/>
      <c r="Y1102" s="8"/>
      <c r="Z1102" s="10" t="s">
        <v>3362</v>
      </c>
      <c r="AA1102" s="8" t="s">
        <v>332</v>
      </c>
      <c r="AB1102" s="8">
        <v>1</v>
      </c>
    </row>
    <row r="1103" spans="1:28" ht="21.6" customHeight="1">
      <c r="A1103" s="8">
        <v>41</v>
      </c>
      <c r="B1103" s="8">
        <v>2025100847</v>
      </c>
      <c r="C1103" s="8">
        <v>1</v>
      </c>
      <c r="D1103" s="8" t="s">
        <v>3177</v>
      </c>
      <c r="E1103" s="8" t="s">
        <v>118</v>
      </c>
      <c r="F1103" s="8" t="s">
        <v>4485</v>
      </c>
      <c r="G1103" s="8" t="s">
        <v>3233</v>
      </c>
      <c r="H1103" s="8" t="s">
        <v>3381</v>
      </c>
      <c r="I1103" s="8" t="s">
        <v>3382</v>
      </c>
      <c r="J1103" s="8" t="s">
        <v>3224</v>
      </c>
      <c r="K1103" s="8" t="s">
        <v>3183</v>
      </c>
      <c r="L1103" s="10" t="s">
        <v>3383</v>
      </c>
      <c r="M1103" s="10" t="s">
        <v>3384</v>
      </c>
      <c r="N1103" s="10" t="s">
        <v>3385</v>
      </c>
      <c r="O1103" s="8" t="s">
        <v>322</v>
      </c>
      <c r="P1103" s="8">
        <v>6677</v>
      </c>
      <c r="Q1103" s="8">
        <v>15120</v>
      </c>
      <c r="R1103" s="8">
        <v>19337</v>
      </c>
      <c r="S1103" s="8" t="s">
        <v>332</v>
      </c>
      <c r="T1103" s="8"/>
      <c r="U1103" s="8"/>
      <c r="V1103" s="8"/>
      <c r="W1103" s="8"/>
      <c r="X1103" s="8"/>
      <c r="Y1103" s="8"/>
      <c r="Z1103" s="10" t="s">
        <v>3696</v>
      </c>
      <c r="AA1103" s="8" t="s">
        <v>332</v>
      </c>
      <c r="AB1103" s="8">
        <v>1</v>
      </c>
    </row>
    <row r="1104" spans="1:28" ht="21.6" customHeight="1">
      <c r="A1104" s="8">
        <v>43</v>
      </c>
      <c r="B1104" s="8">
        <v>2025100845</v>
      </c>
      <c r="C1104" s="8">
        <v>1</v>
      </c>
      <c r="D1104" s="8" t="s">
        <v>3177</v>
      </c>
      <c r="E1104" s="8" t="s">
        <v>118</v>
      </c>
      <c r="F1104" s="8" t="s">
        <v>4485</v>
      </c>
      <c r="G1104" s="8" t="s">
        <v>3363</v>
      </c>
      <c r="H1104" s="8" t="s">
        <v>3233</v>
      </c>
      <c r="I1104" s="8" t="s">
        <v>3683</v>
      </c>
      <c r="J1104" s="8" t="s">
        <v>3224</v>
      </c>
      <c r="K1104" s="8" t="s">
        <v>3183</v>
      </c>
      <c r="L1104" s="10" t="s">
        <v>3383</v>
      </c>
      <c r="M1104" s="10" t="s">
        <v>3684</v>
      </c>
      <c r="N1104" s="10" t="s">
        <v>3685</v>
      </c>
      <c r="O1104" s="8" t="s">
        <v>322</v>
      </c>
      <c r="P1104" s="8">
        <v>1800</v>
      </c>
      <c r="Q1104" s="8">
        <v>2596</v>
      </c>
      <c r="R1104" s="8">
        <v>7150</v>
      </c>
      <c r="S1104" s="8" t="s">
        <v>332</v>
      </c>
      <c r="T1104" s="8"/>
      <c r="U1104" s="8"/>
      <c r="V1104" s="8"/>
      <c r="W1104" s="8"/>
      <c r="X1104" s="8"/>
      <c r="Y1104" s="8"/>
      <c r="Z1104" s="10" t="s">
        <v>3696</v>
      </c>
      <c r="AA1104" s="8" t="s">
        <v>332</v>
      </c>
      <c r="AB1104" s="8">
        <v>1</v>
      </c>
    </row>
    <row r="1105" spans="1:28" ht="21.6" customHeight="1">
      <c r="A1105" s="8">
        <v>47</v>
      </c>
      <c r="B1105" s="8">
        <v>2025101025</v>
      </c>
      <c r="C1105" s="8">
        <v>1</v>
      </c>
      <c r="D1105" s="8" t="s">
        <v>3177</v>
      </c>
      <c r="E1105" s="8" t="s">
        <v>118</v>
      </c>
      <c r="F1105" s="8" t="s">
        <v>4485</v>
      </c>
      <c r="G1105" s="8" t="s">
        <v>3426</v>
      </c>
      <c r="H1105" s="8" t="s">
        <v>3431</v>
      </c>
      <c r="I1105" s="8" t="s">
        <v>3940</v>
      </c>
      <c r="J1105" s="8" t="s">
        <v>3224</v>
      </c>
      <c r="K1105" s="8" t="s">
        <v>3183</v>
      </c>
      <c r="L1105" s="10" t="s">
        <v>3383</v>
      </c>
      <c r="M1105" s="10" t="s">
        <v>3941</v>
      </c>
      <c r="N1105" s="10" t="s">
        <v>3942</v>
      </c>
      <c r="O1105" s="8" t="s">
        <v>322</v>
      </c>
      <c r="P1105" s="8">
        <v>117</v>
      </c>
      <c r="Q1105" s="8">
        <v>926</v>
      </c>
      <c r="R1105" s="8">
        <v>3189</v>
      </c>
      <c r="S1105" s="8" t="s">
        <v>332</v>
      </c>
      <c r="T1105" s="8"/>
      <c r="U1105" s="8"/>
      <c r="V1105" s="8"/>
      <c r="W1105" s="8"/>
      <c r="X1105" s="8"/>
      <c r="Y1105" s="8"/>
      <c r="Z1105" s="10" t="s">
        <v>3696</v>
      </c>
      <c r="AA1105" s="8" t="s">
        <v>332</v>
      </c>
      <c r="AB1105" s="8">
        <v>1</v>
      </c>
    </row>
    <row r="1106" spans="1:28" ht="21.6" customHeight="1">
      <c r="A1106" s="8">
        <v>52</v>
      </c>
      <c r="B1106" s="8">
        <v>2025100085</v>
      </c>
      <c r="C1106" s="8">
        <v>1</v>
      </c>
      <c r="D1106" s="8" t="s">
        <v>3177</v>
      </c>
      <c r="E1106" s="8" t="s">
        <v>118</v>
      </c>
      <c r="F1106" s="8" t="s">
        <v>4469</v>
      </c>
      <c r="G1106" s="8" t="s">
        <v>3204</v>
      </c>
      <c r="H1106" s="8" t="s">
        <v>3427</v>
      </c>
      <c r="I1106" s="8" t="s">
        <v>4403</v>
      </c>
      <c r="J1106" s="8" t="s">
        <v>3224</v>
      </c>
      <c r="K1106" s="8" t="s">
        <v>3183</v>
      </c>
      <c r="L1106" s="10" t="s">
        <v>4404</v>
      </c>
      <c r="M1106" s="10" t="s">
        <v>4424</v>
      </c>
      <c r="N1106" s="10" t="s">
        <v>3497</v>
      </c>
      <c r="O1106" s="8" t="s">
        <v>3190</v>
      </c>
      <c r="P1106" s="8"/>
      <c r="Q1106" s="8">
        <v>56</v>
      </c>
      <c r="R1106" s="8">
        <v>400</v>
      </c>
      <c r="S1106" s="8"/>
      <c r="T1106" s="8"/>
      <c r="U1106" s="8"/>
      <c r="V1106" s="8"/>
      <c r="W1106" s="8"/>
      <c r="X1106" s="8"/>
      <c r="Y1106" s="8"/>
      <c r="Z1106" s="10" t="s">
        <v>3696</v>
      </c>
      <c r="AA1106" s="8" t="s">
        <v>332</v>
      </c>
      <c r="AB1106" s="8">
        <v>1</v>
      </c>
    </row>
    <row r="1107" spans="1:28" ht="21.6" customHeight="1">
      <c r="A1107" s="8">
        <v>63</v>
      </c>
      <c r="B1107" s="8">
        <v>2025100836</v>
      </c>
      <c r="C1107" s="8">
        <v>1</v>
      </c>
      <c r="D1107" s="8" t="s">
        <v>3177</v>
      </c>
      <c r="E1107" s="8" t="s">
        <v>118</v>
      </c>
      <c r="F1107" s="8" t="s">
        <v>4485</v>
      </c>
      <c r="G1107" s="8" t="s">
        <v>3281</v>
      </c>
      <c r="H1107" s="8" t="s">
        <v>3363</v>
      </c>
      <c r="I1107" s="8" t="s">
        <v>3452</v>
      </c>
      <c r="J1107" s="8" t="s">
        <v>3277</v>
      </c>
      <c r="K1107" s="8" t="s">
        <v>3183</v>
      </c>
      <c r="L1107" s="10" t="s">
        <v>3254</v>
      </c>
      <c r="M1107" s="10" t="s">
        <v>3453</v>
      </c>
      <c r="N1107" s="10" t="s">
        <v>3946</v>
      </c>
      <c r="O1107" s="8" t="s">
        <v>322</v>
      </c>
      <c r="P1107" s="8"/>
      <c r="Q1107" s="8"/>
      <c r="R1107" s="8">
        <v>10255</v>
      </c>
      <c r="S1107" s="8"/>
      <c r="T1107" s="8"/>
      <c r="U1107" s="8" t="s">
        <v>332</v>
      </c>
      <c r="V1107" s="8"/>
      <c r="W1107" s="8"/>
      <c r="X1107" s="8"/>
      <c r="Y1107" s="8"/>
      <c r="Z1107" s="10" t="s">
        <v>3362</v>
      </c>
      <c r="AA1107" s="8" t="s">
        <v>332</v>
      </c>
      <c r="AB1107" s="8">
        <v>1</v>
      </c>
    </row>
    <row r="1108" spans="1:28" ht="21.6" customHeight="1">
      <c r="A1108" s="8">
        <v>98</v>
      </c>
      <c r="B1108" s="8">
        <v>2025100835</v>
      </c>
      <c r="C1108" s="8">
        <v>1</v>
      </c>
      <c r="D1108" s="8" t="s">
        <v>3177</v>
      </c>
      <c r="E1108" s="8" t="s">
        <v>118</v>
      </c>
      <c r="F1108" s="8" t="s">
        <v>4485</v>
      </c>
      <c r="G1108" s="8" t="s">
        <v>3280</v>
      </c>
      <c r="H1108" s="8" t="s">
        <v>3281</v>
      </c>
      <c r="I1108" s="8" t="s">
        <v>3567</v>
      </c>
      <c r="J1108" s="8" t="s">
        <v>1717</v>
      </c>
      <c r="K1108" s="8" t="s">
        <v>3183</v>
      </c>
      <c r="L1108" s="10" t="s">
        <v>3254</v>
      </c>
      <c r="M1108" s="10" t="s">
        <v>3547</v>
      </c>
      <c r="N1108" s="10" t="s">
        <v>3568</v>
      </c>
      <c r="O1108" s="8" t="s">
        <v>322</v>
      </c>
      <c r="P1108" s="8"/>
      <c r="Q1108" s="8"/>
      <c r="R1108" s="8">
        <v>12160</v>
      </c>
      <c r="S1108" s="8"/>
      <c r="T1108" s="8"/>
      <c r="U1108" s="8" t="s">
        <v>332</v>
      </c>
      <c r="V1108" s="8"/>
      <c r="W1108" s="8"/>
      <c r="X1108" s="8"/>
      <c r="Y1108" s="8"/>
      <c r="Z1108" s="10" t="s">
        <v>3362</v>
      </c>
      <c r="AA1108" s="8" t="s">
        <v>332</v>
      </c>
      <c r="AB1108" s="8">
        <v>1</v>
      </c>
    </row>
    <row r="1109" spans="1:28" ht="21.6" customHeight="1">
      <c r="A1109" s="8">
        <v>100</v>
      </c>
      <c r="B1109" s="8">
        <v>2025100834</v>
      </c>
      <c r="C1109" s="8">
        <v>1</v>
      </c>
      <c r="D1109" s="8" t="s">
        <v>3177</v>
      </c>
      <c r="E1109" s="8" t="s">
        <v>118</v>
      </c>
      <c r="F1109" s="8" t="s">
        <v>4485</v>
      </c>
      <c r="G1109" s="8" t="s">
        <v>3396</v>
      </c>
      <c r="H1109" s="8" t="s">
        <v>3280</v>
      </c>
      <c r="I1109" s="8" t="s">
        <v>3570</v>
      </c>
      <c r="J1109" s="8" t="s">
        <v>1717</v>
      </c>
      <c r="K1109" s="8" t="s">
        <v>3183</v>
      </c>
      <c r="L1109" s="10" t="s">
        <v>3254</v>
      </c>
      <c r="M1109" s="10" t="s">
        <v>3547</v>
      </c>
      <c r="N1109" s="10" t="s">
        <v>3571</v>
      </c>
      <c r="O1109" s="8" t="s">
        <v>322</v>
      </c>
      <c r="P1109" s="8"/>
      <c r="Q1109" s="8"/>
      <c r="R1109" s="8">
        <v>87781</v>
      </c>
      <c r="S1109" s="8"/>
      <c r="T1109" s="8"/>
      <c r="U1109" s="8" t="s">
        <v>332</v>
      </c>
      <c r="V1109" s="8"/>
      <c r="W1109" s="8"/>
      <c r="X1109" s="8"/>
      <c r="Y1109" s="8"/>
      <c r="Z1109" s="10" t="s">
        <v>3362</v>
      </c>
      <c r="AA1109" s="8" t="s">
        <v>332</v>
      </c>
      <c r="AB1109" s="8">
        <v>1</v>
      </c>
    </row>
    <row r="1110" spans="1:28" ht="21.6" customHeight="1">
      <c r="A1110" s="8">
        <v>104</v>
      </c>
      <c r="B1110" s="8">
        <v>2025100833</v>
      </c>
      <c r="C1110" s="8">
        <v>1</v>
      </c>
      <c r="D1110" s="8" t="s">
        <v>3177</v>
      </c>
      <c r="E1110" s="8" t="s">
        <v>118</v>
      </c>
      <c r="F1110" s="8" t="s">
        <v>4485</v>
      </c>
      <c r="G1110" s="8" t="s">
        <v>3350</v>
      </c>
      <c r="H1110" s="8" t="s">
        <v>3396</v>
      </c>
      <c r="I1110" s="8" t="s">
        <v>4450</v>
      </c>
      <c r="J1110" s="8" t="s">
        <v>1717</v>
      </c>
      <c r="K1110" s="8" t="s">
        <v>3183</v>
      </c>
      <c r="L1110" s="10" t="s">
        <v>3254</v>
      </c>
      <c r="M1110" s="10" t="s">
        <v>3547</v>
      </c>
      <c r="N1110" s="10" t="s">
        <v>3747</v>
      </c>
      <c r="O1110" s="8" t="s">
        <v>322</v>
      </c>
      <c r="P1110" s="8"/>
      <c r="Q1110" s="8"/>
      <c r="R1110" s="8">
        <v>47607</v>
      </c>
      <c r="S1110" s="8"/>
      <c r="T1110" s="8"/>
      <c r="U1110" s="8" t="s">
        <v>332</v>
      </c>
      <c r="V1110" s="8"/>
      <c r="W1110" s="8"/>
      <c r="X1110" s="8"/>
      <c r="Y1110" s="8"/>
      <c r="Z1110" s="10" t="s">
        <v>3362</v>
      </c>
      <c r="AA1110" s="8" t="s">
        <v>332</v>
      </c>
      <c r="AB1110" s="8">
        <v>1</v>
      </c>
    </row>
    <row r="1111" spans="1:28" ht="21.6" customHeight="1">
      <c r="A1111" s="8">
        <v>59</v>
      </c>
      <c r="B1111" s="8">
        <v>2025101243</v>
      </c>
      <c r="C1111" s="8">
        <v>1</v>
      </c>
      <c r="D1111" s="8" t="s">
        <v>3177</v>
      </c>
      <c r="E1111" s="8" t="s">
        <v>118</v>
      </c>
      <c r="F1111" s="8" t="s">
        <v>4486</v>
      </c>
      <c r="G1111" s="8" t="s">
        <v>3250</v>
      </c>
      <c r="H1111" s="8" t="s">
        <v>4487</v>
      </c>
      <c r="I1111" s="8" t="s">
        <v>4403</v>
      </c>
      <c r="J1111" s="8" t="s">
        <v>3224</v>
      </c>
      <c r="K1111" s="8" t="s">
        <v>3183</v>
      </c>
      <c r="L1111" s="10" t="s">
        <v>4404</v>
      </c>
      <c r="M1111" s="10" t="s">
        <v>4424</v>
      </c>
      <c r="N1111" s="10" t="s">
        <v>3497</v>
      </c>
      <c r="O1111" s="8" t="s">
        <v>363</v>
      </c>
      <c r="P1111" s="8"/>
      <c r="Q1111" s="8">
        <v>56</v>
      </c>
      <c r="R1111" s="8">
        <v>400</v>
      </c>
      <c r="S1111" s="8"/>
      <c r="T1111" s="8"/>
      <c r="U1111" s="8"/>
      <c r="V1111" s="8"/>
      <c r="W1111" s="8"/>
      <c r="X1111" s="8"/>
      <c r="Y1111" s="8"/>
      <c r="Z1111" s="10" t="s">
        <v>4488</v>
      </c>
      <c r="AA1111" s="8" t="s">
        <v>332</v>
      </c>
      <c r="AB1111" s="8">
        <v>1</v>
      </c>
    </row>
    <row r="1112" spans="1:28" ht="21.6" customHeight="1">
      <c r="A1112" s="8">
        <v>64</v>
      </c>
      <c r="B1112" s="8">
        <v>2025101095</v>
      </c>
      <c r="C1112" s="8">
        <v>1</v>
      </c>
      <c r="D1112" s="8" t="s">
        <v>3177</v>
      </c>
      <c r="E1112" s="8" t="s">
        <v>118</v>
      </c>
      <c r="F1112" s="8" t="s">
        <v>4486</v>
      </c>
      <c r="G1112" s="8" t="s">
        <v>3363</v>
      </c>
      <c r="H1112" s="8" t="s">
        <v>3233</v>
      </c>
      <c r="I1112" s="8" t="s">
        <v>3422</v>
      </c>
      <c r="J1112" s="8" t="s">
        <v>3253</v>
      </c>
      <c r="K1112" s="8" t="s">
        <v>3183</v>
      </c>
      <c r="L1112" s="10" t="s">
        <v>3270</v>
      </c>
      <c r="M1112" s="10" t="s">
        <v>3423</v>
      </c>
      <c r="N1112" s="10" t="s">
        <v>3424</v>
      </c>
      <c r="O1112" s="8" t="s">
        <v>322</v>
      </c>
      <c r="P1112" s="8"/>
      <c r="Q1112" s="8"/>
      <c r="R1112" s="8">
        <v>47953</v>
      </c>
      <c r="S1112" s="8" t="s">
        <v>332</v>
      </c>
      <c r="T1112" s="8"/>
      <c r="U1112" s="8"/>
      <c r="V1112" s="8"/>
      <c r="W1112" s="8"/>
      <c r="X1112" s="8"/>
      <c r="Y1112" s="8"/>
      <c r="Z1112" s="10" t="s">
        <v>3696</v>
      </c>
      <c r="AA1112" s="8" t="s">
        <v>332</v>
      </c>
      <c r="AB1112" s="8">
        <v>1</v>
      </c>
    </row>
    <row r="1113" spans="1:28" ht="21.6" customHeight="1">
      <c r="A1113" s="8">
        <v>66</v>
      </c>
      <c r="B1113" s="8">
        <v>2025101094</v>
      </c>
      <c r="C1113" s="8">
        <v>1</v>
      </c>
      <c r="D1113" s="8" t="s">
        <v>3177</v>
      </c>
      <c r="E1113" s="8" t="s">
        <v>118</v>
      </c>
      <c r="F1113" s="8" t="s">
        <v>4486</v>
      </c>
      <c r="G1113" s="8" t="s">
        <v>3280</v>
      </c>
      <c r="H1113" s="8" t="s">
        <v>3363</v>
      </c>
      <c r="I1113" s="8" t="s">
        <v>3428</v>
      </c>
      <c r="J1113" s="8" t="s">
        <v>3253</v>
      </c>
      <c r="K1113" s="8" t="s">
        <v>3183</v>
      </c>
      <c r="L1113" s="10" t="s">
        <v>3270</v>
      </c>
      <c r="M1113" s="10" t="s">
        <v>3429</v>
      </c>
      <c r="N1113" s="10" t="s">
        <v>3430</v>
      </c>
      <c r="O1113" s="8" t="s">
        <v>3190</v>
      </c>
      <c r="P1113" s="8"/>
      <c r="Q1113" s="8"/>
      <c r="R1113" s="8">
        <v>79124</v>
      </c>
      <c r="S1113" s="8"/>
      <c r="T1113" s="8"/>
      <c r="U1113" s="8"/>
      <c r="V1113" s="8"/>
      <c r="W1113" s="8"/>
      <c r="X1113" s="8"/>
      <c r="Y1113" s="8"/>
      <c r="Z1113" s="10" t="s">
        <v>3696</v>
      </c>
      <c r="AA1113" s="8" t="s">
        <v>332</v>
      </c>
      <c r="AB1113" s="8">
        <v>1</v>
      </c>
    </row>
    <row r="1114" spans="1:28" ht="21.6" customHeight="1">
      <c r="A1114" s="8">
        <v>80</v>
      </c>
      <c r="B1114" s="8">
        <v>2025101091</v>
      </c>
      <c r="C1114" s="8">
        <v>1</v>
      </c>
      <c r="D1114" s="8" t="s">
        <v>3177</v>
      </c>
      <c r="E1114" s="8" t="s">
        <v>118</v>
      </c>
      <c r="F1114" s="8" t="s">
        <v>4486</v>
      </c>
      <c r="G1114" s="8" t="s">
        <v>3350</v>
      </c>
      <c r="H1114" s="8" t="s">
        <v>3280</v>
      </c>
      <c r="I1114" s="8" t="s">
        <v>4171</v>
      </c>
      <c r="J1114" s="8" t="s">
        <v>3277</v>
      </c>
      <c r="K1114" s="8" t="s">
        <v>3183</v>
      </c>
      <c r="L1114" s="10" t="s">
        <v>3270</v>
      </c>
      <c r="M1114" s="10" t="s">
        <v>3496</v>
      </c>
      <c r="N1114" s="10" t="s">
        <v>3497</v>
      </c>
      <c r="O1114" s="8" t="s">
        <v>322</v>
      </c>
      <c r="P1114" s="8"/>
      <c r="Q1114" s="8"/>
      <c r="R1114" s="8">
        <v>3516</v>
      </c>
      <c r="S1114" s="8" t="s">
        <v>332</v>
      </c>
      <c r="T1114" s="8"/>
      <c r="U1114" s="8"/>
      <c r="V1114" s="8"/>
      <c r="W1114" s="8"/>
      <c r="X1114" s="8"/>
      <c r="Y1114" s="8"/>
      <c r="Z1114" s="10" t="s">
        <v>3696</v>
      </c>
      <c r="AA1114" s="8" t="s">
        <v>332</v>
      </c>
      <c r="AB1114" s="8">
        <v>1</v>
      </c>
    </row>
    <row r="1115" spans="1:28" ht="21.6" customHeight="1">
      <c r="A1115" s="8">
        <v>113</v>
      </c>
      <c r="B1115" s="8">
        <v>2025101361</v>
      </c>
      <c r="C1115" s="8">
        <v>1</v>
      </c>
      <c r="D1115" s="8" t="s">
        <v>3177</v>
      </c>
      <c r="E1115" s="8" t="s">
        <v>118</v>
      </c>
      <c r="F1115" s="8" t="s">
        <v>4486</v>
      </c>
      <c r="G1115" s="8" t="s">
        <v>3431</v>
      </c>
      <c r="H1115" s="8" t="s">
        <v>3432</v>
      </c>
      <c r="I1115" s="8" t="s">
        <v>4378</v>
      </c>
      <c r="J1115" s="8" t="s">
        <v>3543</v>
      </c>
      <c r="K1115" s="8" t="s">
        <v>3183</v>
      </c>
      <c r="L1115" s="10" t="s">
        <v>3254</v>
      </c>
      <c r="M1115" s="10" t="s">
        <v>4379</v>
      </c>
      <c r="N1115" s="10" t="s">
        <v>4380</v>
      </c>
      <c r="O1115" s="8" t="s">
        <v>322</v>
      </c>
      <c r="P1115" s="8"/>
      <c r="Q1115" s="8"/>
      <c r="R1115" s="8">
        <v>29514</v>
      </c>
      <c r="S1115" s="8"/>
      <c r="T1115" s="8"/>
      <c r="U1115" s="8"/>
      <c r="V1115" s="8" t="s">
        <v>332</v>
      </c>
      <c r="W1115" s="8"/>
      <c r="X1115" s="8"/>
      <c r="Y1115" s="8"/>
      <c r="Z1115" s="10" t="s">
        <v>4489</v>
      </c>
      <c r="AA1115" s="8" t="s">
        <v>332</v>
      </c>
      <c r="AB1115" s="8">
        <v>1</v>
      </c>
    </row>
    <row r="1116" spans="1:28" ht="21.6" customHeight="1">
      <c r="A1116" s="8">
        <v>11</v>
      </c>
      <c r="B1116" s="8">
        <v>2025101521</v>
      </c>
      <c r="C1116" s="8">
        <v>1</v>
      </c>
      <c r="D1116" s="8" t="s">
        <v>3177</v>
      </c>
      <c r="E1116" s="8" t="s">
        <v>123</v>
      </c>
      <c r="F1116" s="8" t="s">
        <v>4490</v>
      </c>
      <c r="G1116" s="8" t="s">
        <v>3233</v>
      </c>
      <c r="H1116" s="8" t="s">
        <v>3432</v>
      </c>
      <c r="I1116" s="8" t="s">
        <v>4351</v>
      </c>
      <c r="J1116" s="8" t="s">
        <v>3288</v>
      </c>
      <c r="K1116" s="8" t="s">
        <v>3183</v>
      </c>
      <c r="L1116" s="10" t="s">
        <v>3254</v>
      </c>
      <c r="M1116" s="10" t="s">
        <v>4352</v>
      </c>
      <c r="N1116" s="10" t="s">
        <v>4353</v>
      </c>
      <c r="O1116" s="8" t="s">
        <v>322</v>
      </c>
      <c r="P1116" s="8"/>
      <c r="Q1116" s="8">
        <v>1000</v>
      </c>
      <c r="R1116" s="8">
        <v>9152</v>
      </c>
      <c r="S1116" s="8"/>
      <c r="T1116" s="8" t="s">
        <v>332</v>
      </c>
      <c r="U1116" s="8"/>
      <c r="V1116" s="8"/>
      <c r="W1116" s="8"/>
      <c r="X1116" s="8"/>
      <c r="Y1116" s="8"/>
      <c r="Z1116" s="10" t="s">
        <v>4491</v>
      </c>
      <c r="AA1116" s="8" t="s">
        <v>332</v>
      </c>
      <c r="AB1116" s="8">
        <v>1</v>
      </c>
    </row>
    <row r="1117" spans="1:28" ht="21.6" customHeight="1">
      <c r="A1117" s="8">
        <v>43</v>
      </c>
      <c r="B1117" s="8">
        <v>2025100603</v>
      </c>
      <c r="C1117" s="8">
        <v>1</v>
      </c>
      <c r="D1117" s="8" t="s">
        <v>3177</v>
      </c>
      <c r="E1117" s="8" t="s">
        <v>118</v>
      </c>
      <c r="F1117" s="8" t="s">
        <v>4480</v>
      </c>
      <c r="G1117" s="8" t="s">
        <v>3381</v>
      </c>
      <c r="H1117" s="8" t="s">
        <v>3401</v>
      </c>
      <c r="I1117" s="8" t="s">
        <v>3365</v>
      </c>
      <c r="J1117" s="8" t="s">
        <v>3195</v>
      </c>
      <c r="K1117" s="8" t="s">
        <v>3183</v>
      </c>
      <c r="L1117" s="10" t="s">
        <v>3366</v>
      </c>
      <c r="M1117" s="10" t="s">
        <v>3367</v>
      </c>
      <c r="N1117" s="10"/>
      <c r="O1117" s="8" t="s">
        <v>3190</v>
      </c>
      <c r="P1117" s="8"/>
      <c r="Q1117" s="8">
        <v>2150</v>
      </c>
      <c r="R1117" s="8">
        <v>43000</v>
      </c>
      <c r="S1117" s="8"/>
      <c r="T1117" s="8"/>
      <c r="U1117" s="8"/>
      <c r="V1117" s="8"/>
      <c r="W1117" s="8"/>
      <c r="X1117" s="8"/>
      <c r="Y1117" s="8"/>
      <c r="Z1117" s="10" t="s">
        <v>3696</v>
      </c>
      <c r="AA1117" s="8" t="s">
        <v>332</v>
      </c>
      <c r="AB1117" s="8">
        <v>1</v>
      </c>
    </row>
    <row r="1118" spans="1:28" ht="21.6" customHeight="1">
      <c r="A1118" s="8">
        <v>67</v>
      </c>
      <c r="B1118" s="8">
        <v>2025101093</v>
      </c>
      <c r="C1118" s="8">
        <v>1</v>
      </c>
      <c r="D1118" s="8" t="s">
        <v>3177</v>
      </c>
      <c r="E1118" s="8" t="s">
        <v>118</v>
      </c>
      <c r="F1118" s="8" t="s">
        <v>4486</v>
      </c>
      <c r="G1118" s="8" t="s">
        <v>3280</v>
      </c>
      <c r="H1118" s="8" t="s">
        <v>3363</v>
      </c>
      <c r="I1118" s="8" t="s">
        <v>3428</v>
      </c>
      <c r="J1118" s="8" t="s">
        <v>3253</v>
      </c>
      <c r="K1118" s="8" t="s">
        <v>3183</v>
      </c>
      <c r="L1118" s="10" t="s">
        <v>3270</v>
      </c>
      <c r="M1118" s="10" t="s">
        <v>3429</v>
      </c>
      <c r="N1118" s="10" t="s">
        <v>3430</v>
      </c>
      <c r="O1118" s="8" t="s">
        <v>322</v>
      </c>
      <c r="P1118" s="8"/>
      <c r="Q1118" s="8"/>
      <c r="R1118" s="8">
        <v>79124</v>
      </c>
      <c r="S1118" s="8" t="s">
        <v>332</v>
      </c>
      <c r="T1118" s="8"/>
      <c r="U1118" s="8"/>
      <c r="V1118" s="8"/>
      <c r="W1118" s="8"/>
      <c r="X1118" s="8"/>
      <c r="Y1118" s="8"/>
      <c r="Z1118" s="10" t="s">
        <v>3696</v>
      </c>
      <c r="AA1118" s="8" t="s">
        <v>332</v>
      </c>
      <c r="AB1118" s="8">
        <v>1</v>
      </c>
    </row>
    <row r="1119" spans="1:28" ht="21.6" customHeight="1">
      <c r="A1119" s="8">
        <v>98</v>
      </c>
      <c r="B1119" s="8">
        <v>2025101216</v>
      </c>
      <c r="C1119" s="8">
        <v>1</v>
      </c>
      <c r="D1119" s="8" t="s">
        <v>3177</v>
      </c>
      <c r="E1119" s="8" t="s">
        <v>118</v>
      </c>
      <c r="F1119" s="8" t="s">
        <v>4486</v>
      </c>
      <c r="G1119" s="8" t="s">
        <v>3233</v>
      </c>
      <c r="H1119" s="8" t="s">
        <v>3381</v>
      </c>
      <c r="I1119" s="8" t="s">
        <v>4079</v>
      </c>
      <c r="J1119" s="8" t="s">
        <v>3298</v>
      </c>
      <c r="K1119" s="8" t="s">
        <v>3183</v>
      </c>
      <c r="L1119" s="10" t="s">
        <v>4080</v>
      </c>
      <c r="M1119" s="10" t="s">
        <v>4081</v>
      </c>
      <c r="N1119" s="10" t="s">
        <v>4082</v>
      </c>
      <c r="O1119" s="8" t="s">
        <v>3190</v>
      </c>
      <c r="P1119" s="8"/>
      <c r="Q1119" s="8"/>
      <c r="R1119" s="8">
        <v>1898</v>
      </c>
      <c r="S1119" s="8"/>
      <c r="T1119" s="8"/>
      <c r="U1119" s="8"/>
      <c r="V1119" s="8"/>
      <c r="W1119" s="8"/>
      <c r="X1119" s="8"/>
      <c r="Y1119" s="8"/>
      <c r="Z1119" s="10" t="s">
        <v>3696</v>
      </c>
      <c r="AA1119" s="8" t="s">
        <v>332</v>
      </c>
      <c r="AB1119" s="8">
        <v>1</v>
      </c>
    </row>
    <row r="1120" spans="1:28" ht="21.6" customHeight="1">
      <c r="A1120" s="8">
        <v>48</v>
      </c>
      <c r="B1120" s="8">
        <v>2025101571</v>
      </c>
      <c r="C1120" s="8">
        <v>1</v>
      </c>
      <c r="D1120" s="8" t="s">
        <v>3177</v>
      </c>
      <c r="E1120" s="8" t="s">
        <v>118</v>
      </c>
      <c r="F1120" s="8" t="s">
        <v>4492</v>
      </c>
      <c r="G1120" s="8" t="s">
        <v>3280</v>
      </c>
      <c r="H1120" s="8" t="s">
        <v>3363</v>
      </c>
      <c r="I1120" s="8" t="s">
        <v>3351</v>
      </c>
      <c r="J1120" s="8" t="s">
        <v>3195</v>
      </c>
      <c r="K1120" s="8" t="s">
        <v>3183</v>
      </c>
      <c r="L1120" s="10" t="s">
        <v>3352</v>
      </c>
      <c r="M1120" s="10" t="s">
        <v>3353</v>
      </c>
      <c r="N1120" s="10" t="s">
        <v>3667</v>
      </c>
      <c r="O1120" s="8" t="s">
        <v>322</v>
      </c>
      <c r="P1120" s="8"/>
      <c r="Q1120" s="8">
        <v>11309</v>
      </c>
      <c r="R1120" s="8">
        <v>80833</v>
      </c>
      <c r="S1120" s="8" t="s">
        <v>332</v>
      </c>
      <c r="T1120" s="8"/>
      <c r="U1120" s="8"/>
      <c r="V1120" s="8"/>
      <c r="W1120" s="8"/>
      <c r="X1120" s="8"/>
      <c r="Y1120" s="8"/>
      <c r="Z1120" s="10" t="s">
        <v>3696</v>
      </c>
      <c r="AA1120" s="8" t="s">
        <v>332</v>
      </c>
      <c r="AB1120" s="8">
        <v>1</v>
      </c>
    </row>
    <row r="1121" spans="1:28" ht="21.6" customHeight="1">
      <c r="A1121" s="8">
        <v>53</v>
      </c>
      <c r="B1121" s="8">
        <v>2025101564</v>
      </c>
      <c r="C1121" s="8">
        <v>1</v>
      </c>
      <c r="D1121" s="8" t="s">
        <v>3177</v>
      </c>
      <c r="E1121" s="8" t="s">
        <v>118</v>
      </c>
      <c r="F1121" s="8" t="s">
        <v>4492</v>
      </c>
      <c r="G1121" s="8" t="s">
        <v>3350</v>
      </c>
      <c r="H1121" s="8" t="s">
        <v>3280</v>
      </c>
      <c r="I1121" s="8" t="s">
        <v>3370</v>
      </c>
      <c r="J1121" s="8" t="s">
        <v>3195</v>
      </c>
      <c r="K1121" s="8" t="s">
        <v>3183</v>
      </c>
      <c r="L1121" s="10" t="s">
        <v>3371</v>
      </c>
      <c r="M1121" s="10" t="s">
        <v>3372</v>
      </c>
      <c r="N1121" s="10" t="s">
        <v>3373</v>
      </c>
      <c r="O1121" s="8" t="s">
        <v>322</v>
      </c>
      <c r="P1121" s="8"/>
      <c r="Q1121" s="8">
        <v>17215</v>
      </c>
      <c r="R1121" s="8">
        <v>147527</v>
      </c>
      <c r="S1121" s="8" t="s">
        <v>332</v>
      </c>
      <c r="T1121" s="8"/>
      <c r="U1121" s="8"/>
      <c r="V1121" s="8"/>
      <c r="W1121" s="8"/>
      <c r="X1121" s="8"/>
      <c r="Y1121" s="8"/>
      <c r="Z1121" s="10" t="s">
        <v>3696</v>
      </c>
      <c r="AA1121" s="8" t="s">
        <v>332</v>
      </c>
      <c r="AB1121" s="8">
        <v>1</v>
      </c>
    </row>
    <row r="1122" spans="1:28" ht="21.6" customHeight="1">
      <c r="A1122" s="8">
        <v>98</v>
      </c>
      <c r="B1122" s="8">
        <v>2025100064</v>
      </c>
      <c r="C1122" s="8">
        <v>1</v>
      </c>
      <c r="D1122" s="8" t="s">
        <v>3177</v>
      </c>
      <c r="E1122" s="8" t="s">
        <v>118</v>
      </c>
      <c r="F1122" s="8" t="s">
        <v>4469</v>
      </c>
      <c r="G1122" s="8" t="s">
        <v>3363</v>
      </c>
      <c r="H1122" s="8" t="s">
        <v>3233</v>
      </c>
      <c r="I1122" s="8" t="s">
        <v>4430</v>
      </c>
      <c r="J1122" s="8" t="s">
        <v>3277</v>
      </c>
      <c r="K1122" s="8" t="s">
        <v>3183</v>
      </c>
      <c r="L1122" s="10" t="s">
        <v>3398</v>
      </c>
      <c r="M1122" s="10" t="s">
        <v>3535</v>
      </c>
      <c r="N1122" s="10" t="s">
        <v>3494</v>
      </c>
      <c r="O1122" s="8" t="s">
        <v>3190</v>
      </c>
      <c r="P1122" s="8"/>
      <c r="Q1122" s="8"/>
      <c r="R1122" s="8">
        <v>2841</v>
      </c>
      <c r="S1122" s="8"/>
      <c r="T1122" s="8"/>
      <c r="U1122" s="8"/>
      <c r="V1122" s="8"/>
      <c r="W1122" s="8"/>
      <c r="X1122" s="8"/>
      <c r="Y1122" s="8"/>
      <c r="Z1122" s="10" t="s">
        <v>3696</v>
      </c>
      <c r="AA1122" s="8" t="s">
        <v>332</v>
      </c>
      <c r="AB1122" s="8">
        <v>1</v>
      </c>
    </row>
    <row r="1123" spans="1:28" ht="21.6" customHeight="1">
      <c r="A1123" s="8">
        <v>103</v>
      </c>
      <c r="B1123" s="8">
        <v>2025101527</v>
      </c>
      <c r="C1123" s="8">
        <v>1</v>
      </c>
      <c r="D1123" s="8" t="s">
        <v>3177</v>
      </c>
      <c r="E1123" s="8" t="s">
        <v>118</v>
      </c>
      <c r="F1123" s="8" t="s">
        <v>4490</v>
      </c>
      <c r="G1123" s="8" t="s">
        <v>3432</v>
      </c>
      <c r="H1123" s="8" t="s">
        <v>4341</v>
      </c>
      <c r="I1123" s="8" t="s">
        <v>3487</v>
      </c>
      <c r="J1123" s="8" t="s">
        <v>3288</v>
      </c>
      <c r="K1123" s="8" t="s">
        <v>3183</v>
      </c>
      <c r="L1123" s="10" t="s">
        <v>3488</v>
      </c>
      <c r="M1123" s="10" t="s">
        <v>3489</v>
      </c>
      <c r="N1123" s="10" t="s">
        <v>3490</v>
      </c>
      <c r="O1123" s="8" t="s">
        <v>322</v>
      </c>
      <c r="P1123" s="8"/>
      <c r="Q1123" s="8">
        <v>28805</v>
      </c>
      <c r="R1123" s="8">
        <v>28881</v>
      </c>
      <c r="S1123" s="8"/>
      <c r="T1123" s="8"/>
      <c r="U1123" s="8" t="s">
        <v>332</v>
      </c>
      <c r="V1123" s="8"/>
      <c r="W1123" s="8"/>
      <c r="X1123" s="8"/>
      <c r="Y1123" s="8"/>
      <c r="Z1123" s="10" t="s">
        <v>4493</v>
      </c>
      <c r="AA1123" s="8" t="s">
        <v>332</v>
      </c>
      <c r="AB1123" s="8">
        <v>1</v>
      </c>
    </row>
    <row r="1124" spans="1:28" ht="21.6" customHeight="1">
      <c r="A1124" s="8">
        <v>112</v>
      </c>
      <c r="B1124" s="8">
        <v>2025100068</v>
      </c>
      <c r="C1124" s="8">
        <v>1</v>
      </c>
      <c r="D1124" s="8" t="s">
        <v>3177</v>
      </c>
      <c r="E1124" s="8" t="s">
        <v>118</v>
      </c>
      <c r="F1124" s="8" t="s">
        <v>4469</v>
      </c>
      <c r="G1124" s="8" t="s">
        <v>3381</v>
      </c>
      <c r="H1124" s="8" t="s">
        <v>3401</v>
      </c>
      <c r="I1124" s="8" t="s">
        <v>3521</v>
      </c>
      <c r="J1124" s="8" t="s">
        <v>3298</v>
      </c>
      <c r="K1124" s="8" t="s">
        <v>3183</v>
      </c>
      <c r="L1124" s="10" t="s">
        <v>3398</v>
      </c>
      <c r="M1124" s="10" t="s">
        <v>3405</v>
      </c>
      <c r="N1124" s="10" t="s">
        <v>3406</v>
      </c>
      <c r="O1124" s="8" t="s">
        <v>3190</v>
      </c>
      <c r="P1124" s="8"/>
      <c r="Q1124" s="8"/>
      <c r="R1124" s="8">
        <v>942</v>
      </c>
      <c r="S1124" s="8"/>
      <c r="T1124" s="8"/>
      <c r="U1124" s="8"/>
      <c r="V1124" s="8"/>
      <c r="W1124" s="8"/>
      <c r="X1124" s="8"/>
      <c r="Y1124" s="8"/>
      <c r="Z1124" s="10" t="s">
        <v>3696</v>
      </c>
      <c r="AA1124" s="8" t="s">
        <v>332</v>
      </c>
      <c r="AB1124" s="8">
        <v>1</v>
      </c>
    </row>
    <row r="1125" spans="1:28" ht="21.6" customHeight="1">
      <c r="A1125" s="8">
        <v>120</v>
      </c>
      <c r="B1125" s="8">
        <v>2025100558</v>
      </c>
      <c r="C1125" s="8">
        <v>1</v>
      </c>
      <c r="D1125" s="8" t="s">
        <v>3177</v>
      </c>
      <c r="E1125" s="8" t="s">
        <v>118</v>
      </c>
      <c r="F1125" s="8" t="s">
        <v>4480</v>
      </c>
      <c r="G1125" s="8" t="s">
        <v>3350</v>
      </c>
      <c r="H1125" s="8" t="s">
        <v>3280</v>
      </c>
      <c r="I1125" s="8" t="s">
        <v>3978</v>
      </c>
      <c r="J1125" s="8" t="s">
        <v>3301</v>
      </c>
      <c r="K1125" s="8" t="s">
        <v>3183</v>
      </c>
      <c r="L1125" s="10" t="s">
        <v>4481</v>
      </c>
      <c r="M1125" s="10" t="s">
        <v>3980</v>
      </c>
      <c r="N1125" s="10" t="s">
        <v>3497</v>
      </c>
      <c r="O1125" s="8" t="s">
        <v>3190</v>
      </c>
      <c r="P1125" s="8"/>
      <c r="Q1125" s="8">
        <v>3480</v>
      </c>
      <c r="R1125" s="8">
        <v>8923</v>
      </c>
      <c r="S1125" s="8"/>
      <c r="T1125" s="8"/>
      <c r="U1125" s="8"/>
      <c r="V1125" s="8"/>
      <c r="W1125" s="8"/>
      <c r="X1125" s="8"/>
      <c r="Y1125" s="8"/>
      <c r="Z1125" s="10" t="s">
        <v>3696</v>
      </c>
      <c r="AA1125" s="8" t="s">
        <v>332</v>
      </c>
      <c r="AB1125" s="8">
        <v>1</v>
      </c>
    </row>
    <row r="1126" spans="1:28" ht="21.6" customHeight="1">
      <c r="A1126" s="8">
        <v>122</v>
      </c>
      <c r="B1126" s="8">
        <v>2025101651</v>
      </c>
      <c r="C1126" s="8">
        <v>1</v>
      </c>
      <c r="D1126" s="8" t="s">
        <v>3177</v>
      </c>
      <c r="E1126" s="8" t="s">
        <v>118</v>
      </c>
      <c r="F1126" s="8" t="s">
        <v>4492</v>
      </c>
      <c r="G1126" s="8" t="s">
        <v>3427</v>
      </c>
      <c r="H1126" s="8" t="s">
        <v>3387</v>
      </c>
      <c r="I1126" s="8" t="s">
        <v>3978</v>
      </c>
      <c r="J1126" s="8" t="s">
        <v>3301</v>
      </c>
      <c r="K1126" s="8" t="s">
        <v>3183</v>
      </c>
      <c r="L1126" s="10" t="s">
        <v>4481</v>
      </c>
      <c r="M1126" s="10" t="s">
        <v>3980</v>
      </c>
      <c r="N1126" s="10" t="s">
        <v>3497</v>
      </c>
      <c r="O1126" s="8" t="s">
        <v>363</v>
      </c>
      <c r="P1126" s="8"/>
      <c r="Q1126" s="8">
        <v>3480</v>
      </c>
      <c r="R1126" s="8">
        <v>8923</v>
      </c>
      <c r="S1126" s="8"/>
      <c r="T1126" s="8"/>
      <c r="U1126" s="8"/>
      <c r="V1126" s="8"/>
      <c r="W1126" s="8"/>
      <c r="X1126" s="8"/>
      <c r="Y1126" s="8"/>
      <c r="Z1126" s="10" t="s">
        <v>4494</v>
      </c>
      <c r="AA1126" s="8" t="s">
        <v>332</v>
      </c>
      <c r="AB1126" s="8">
        <v>1</v>
      </c>
    </row>
    <row r="1127" spans="1:28" ht="21.6" customHeight="1">
      <c r="A1127" s="8">
        <v>130</v>
      </c>
      <c r="B1127" s="8">
        <v>2025101526</v>
      </c>
      <c r="C1127" s="8">
        <v>1</v>
      </c>
      <c r="D1127" s="8" t="s">
        <v>3177</v>
      </c>
      <c r="E1127" s="8" t="s">
        <v>118</v>
      </c>
      <c r="F1127" s="8" t="s">
        <v>4490</v>
      </c>
      <c r="G1127" s="8" t="s">
        <v>3280</v>
      </c>
      <c r="H1127" s="8" t="s">
        <v>3432</v>
      </c>
      <c r="I1127" s="8" t="s">
        <v>4495</v>
      </c>
      <c r="J1127" s="8" t="s">
        <v>3543</v>
      </c>
      <c r="K1127" s="8" t="s">
        <v>3183</v>
      </c>
      <c r="L1127" s="10" t="s">
        <v>3254</v>
      </c>
      <c r="M1127" s="10" t="s">
        <v>4271</v>
      </c>
      <c r="N1127" s="10" t="s">
        <v>4496</v>
      </c>
      <c r="O1127" s="8" t="s">
        <v>322</v>
      </c>
      <c r="P1127" s="8"/>
      <c r="Q1127" s="8"/>
      <c r="R1127" s="8">
        <v>0</v>
      </c>
      <c r="S1127" s="8"/>
      <c r="T1127" s="8" t="s">
        <v>332</v>
      </c>
      <c r="U1127" s="8"/>
      <c r="V1127" s="8"/>
      <c r="W1127" s="8"/>
      <c r="X1127" s="8"/>
      <c r="Y1127" s="8"/>
      <c r="Z1127" s="10" t="s">
        <v>4497</v>
      </c>
      <c r="AA1127" s="8" t="s">
        <v>332</v>
      </c>
      <c r="AB1127" s="8">
        <v>1</v>
      </c>
    </row>
    <row r="1128" spans="1:28" ht="21.6" customHeight="1">
      <c r="A1128" s="8">
        <v>3</v>
      </c>
      <c r="B1128" s="8">
        <v>2025101693</v>
      </c>
      <c r="C1128" s="8">
        <v>1</v>
      </c>
      <c r="D1128" s="8" t="s">
        <v>3177</v>
      </c>
      <c r="E1128" s="8" t="s">
        <v>123</v>
      </c>
      <c r="F1128" s="8" t="s">
        <v>4492</v>
      </c>
      <c r="G1128" s="8" t="s">
        <v>4498</v>
      </c>
      <c r="H1128" s="8" t="s">
        <v>4499</v>
      </c>
      <c r="I1128" s="8" t="s">
        <v>4500</v>
      </c>
      <c r="J1128" s="8" t="s">
        <v>3224</v>
      </c>
      <c r="K1128" s="8" t="s">
        <v>3183</v>
      </c>
      <c r="L1128" s="10" t="s">
        <v>3207</v>
      </c>
      <c r="M1128" s="10" t="s">
        <v>3208</v>
      </c>
      <c r="N1128" s="10" t="s">
        <v>3209</v>
      </c>
      <c r="O1128" s="8" t="s">
        <v>322</v>
      </c>
      <c r="P1128" s="8"/>
      <c r="Q1128" s="8">
        <v>1822</v>
      </c>
      <c r="R1128" s="8">
        <v>2479</v>
      </c>
      <c r="S1128" s="8" t="s">
        <v>332</v>
      </c>
      <c r="T1128" s="8"/>
      <c r="U1128" s="8"/>
      <c r="V1128" s="8"/>
      <c r="W1128" s="8"/>
      <c r="X1128" s="8"/>
      <c r="Y1128" s="8"/>
      <c r="Z1128" s="10" t="s">
        <v>3186</v>
      </c>
      <c r="AA1128" s="8" t="s">
        <v>332</v>
      </c>
      <c r="AB1128" s="8">
        <v>1</v>
      </c>
    </row>
    <row r="1129" spans="1:28" ht="21.6" customHeight="1">
      <c r="A1129" s="8">
        <v>7</v>
      </c>
      <c r="B1129" s="8">
        <v>2025101689</v>
      </c>
      <c r="C1129" s="8">
        <v>1</v>
      </c>
      <c r="D1129" s="8" t="s">
        <v>3177</v>
      </c>
      <c r="E1129" s="8" t="s">
        <v>123</v>
      </c>
      <c r="F1129" s="8" t="s">
        <v>4492</v>
      </c>
      <c r="G1129" s="8" t="s">
        <v>3805</v>
      </c>
      <c r="H1129" s="8" t="s">
        <v>3594</v>
      </c>
      <c r="I1129" s="8" t="s">
        <v>3259</v>
      </c>
      <c r="J1129" s="8" t="s">
        <v>3253</v>
      </c>
      <c r="K1129" s="8" t="s">
        <v>3183</v>
      </c>
      <c r="L1129" s="10" t="s">
        <v>3207</v>
      </c>
      <c r="M1129" s="10" t="s">
        <v>3208</v>
      </c>
      <c r="N1129" s="10" t="s">
        <v>3260</v>
      </c>
      <c r="O1129" s="8" t="s">
        <v>3190</v>
      </c>
      <c r="P1129" s="8"/>
      <c r="Q1129" s="8"/>
      <c r="R1129" s="8">
        <v>1845</v>
      </c>
      <c r="S1129" s="8"/>
      <c r="T1129" s="8"/>
      <c r="U1129" s="8"/>
      <c r="V1129" s="8"/>
      <c r="W1129" s="8"/>
      <c r="X1129" s="8"/>
      <c r="Y1129" s="8"/>
      <c r="Z1129" s="10" t="s">
        <v>3186</v>
      </c>
      <c r="AA1129" s="8" t="s">
        <v>332</v>
      </c>
      <c r="AB1129" s="8">
        <v>1</v>
      </c>
    </row>
    <row r="1130" spans="1:28" ht="21.6" customHeight="1">
      <c r="A1130" s="8">
        <v>16</v>
      </c>
      <c r="B1130" s="8">
        <v>2025101691</v>
      </c>
      <c r="C1130" s="8">
        <v>1</v>
      </c>
      <c r="D1130" s="8" t="s">
        <v>3177</v>
      </c>
      <c r="E1130" s="8" t="s">
        <v>123</v>
      </c>
      <c r="F1130" s="8" t="s">
        <v>4492</v>
      </c>
      <c r="G1130" s="8" t="s">
        <v>4367</v>
      </c>
      <c r="H1130" s="8" t="s">
        <v>4501</v>
      </c>
      <c r="I1130" s="8" t="s">
        <v>4502</v>
      </c>
      <c r="J1130" s="8" t="s">
        <v>3277</v>
      </c>
      <c r="K1130" s="8" t="s">
        <v>3183</v>
      </c>
      <c r="L1130" s="10" t="s">
        <v>3207</v>
      </c>
      <c r="M1130" s="10" t="s">
        <v>3208</v>
      </c>
      <c r="N1130" s="10" t="s">
        <v>3299</v>
      </c>
      <c r="O1130" s="8" t="s">
        <v>322</v>
      </c>
      <c r="P1130" s="8"/>
      <c r="Q1130" s="8"/>
      <c r="R1130" s="8">
        <v>4935</v>
      </c>
      <c r="S1130" s="8" t="s">
        <v>332</v>
      </c>
      <c r="T1130" s="8"/>
      <c r="U1130" s="8"/>
      <c r="V1130" s="8"/>
      <c r="W1130" s="8"/>
      <c r="X1130" s="8"/>
      <c r="Y1130" s="8"/>
      <c r="Z1130" s="10" t="s">
        <v>3186</v>
      </c>
      <c r="AA1130" s="8" t="s">
        <v>332</v>
      </c>
      <c r="AB1130" s="8">
        <v>1</v>
      </c>
    </row>
    <row r="1131" spans="1:28" ht="21.6" customHeight="1">
      <c r="A1131" s="8">
        <v>86</v>
      </c>
      <c r="B1131" s="8">
        <v>2025101813</v>
      </c>
      <c r="C1131" s="8">
        <v>1</v>
      </c>
      <c r="D1131" s="8" t="s">
        <v>3177</v>
      </c>
      <c r="E1131" s="8" t="s">
        <v>118</v>
      </c>
      <c r="F1131" s="8" t="s">
        <v>4503</v>
      </c>
      <c r="G1131" s="8" t="s">
        <v>3350</v>
      </c>
      <c r="H1131" s="8" t="s">
        <v>3280</v>
      </c>
      <c r="I1131" s="8" t="s">
        <v>4504</v>
      </c>
      <c r="J1131" s="8" t="s">
        <v>3253</v>
      </c>
      <c r="K1131" s="8" t="s">
        <v>3183</v>
      </c>
      <c r="L1131" s="10" t="s">
        <v>3254</v>
      </c>
      <c r="M1131" s="10" t="s">
        <v>4099</v>
      </c>
      <c r="N1131" s="10" t="s">
        <v>4100</v>
      </c>
      <c r="O1131" s="8" t="s">
        <v>3190</v>
      </c>
      <c r="P1131" s="8"/>
      <c r="Q1131" s="8"/>
      <c r="R1131" s="8">
        <v>12751</v>
      </c>
      <c r="S1131" s="8"/>
      <c r="T1131" s="8"/>
      <c r="U1131" s="8"/>
      <c r="V1131" s="8"/>
      <c r="W1131" s="8"/>
      <c r="X1131" s="8"/>
      <c r="Y1131" s="8"/>
      <c r="Z1131" s="10" t="s">
        <v>4505</v>
      </c>
      <c r="AA1131" s="8" t="s">
        <v>332</v>
      </c>
      <c r="AB1131" s="8">
        <v>1</v>
      </c>
    </row>
    <row r="1132" spans="1:28" ht="21.6" customHeight="1">
      <c r="A1132" s="8">
        <v>87</v>
      </c>
      <c r="B1132" s="8">
        <v>2025101820</v>
      </c>
      <c r="C1132" s="8">
        <v>1</v>
      </c>
      <c r="D1132" s="8" t="s">
        <v>3177</v>
      </c>
      <c r="E1132" s="8" t="s">
        <v>118</v>
      </c>
      <c r="F1132" s="8" t="s">
        <v>4503</v>
      </c>
      <c r="G1132" s="8" t="s">
        <v>3381</v>
      </c>
      <c r="H1132" s="8" t="s">
        <v>3401</v>
      </c>
      <c r="I1132" s="8" t="s">
        <v>3392</v>
      </c>
      <c r="J1132" s="8" t="s">
        <v>3253</v>
      </c>
      <c r="K1132" s="8" t="s">
        <v>3183</v>
      </c>
      <c r="L1132" s="10" t="s">
        <v>3254</v>
      </c>
      <c r="M1132" s="10" t="s">
        <v>3393</v>
      </c>
      <c r="N1132" s="10" t="s">
        <v>3394</v>
      </c>
      <c r="O1132" s="8" t="s">
        <v>3190</v>
      </c>
      <c r="P1132" s="8"/>
      <c r="Q1132" s="8"/>
      <c r="R1132" s="8">
        <v>262</v>
      </c>
      <c r="S1132" s="8"/>
      <c r="T1132" s="8"/>
      <c r="U1132" s="8"/>
      <c r="V1132" s="8"/>
      <c r="W1132" s="8"/>
      <c r="X1132" s="8"/>
      <c r="Y1132" s="8"/>
      <c r="Z1132" s="10" t="s">
        <v>4505</v>
      </c>
      <c r="AA1132" s="8" t="s">
        <v>332</v>
      </c>
      <c r="AB1132" s="8">
        <v>1</v>
      </c>
    </row>
    <row r="1133" spans="1:28" ht="21.6" customHeight="1">
      <c r="A1133" s="8">
        <v>118</v>
      </c>
      <c r="B1133" s="8">
        <v>2025101821</v>
      </c>
      <c r="C1133" s="8">
        <v>1</v>
      </c>
      <c r="D1133" s="8" t="s">
        <v>3177</v>
      </c>
      <c r="E1133" s="8" t="s">
        <v>118</v>
      </c>
      <c r="F1133" s="8" t="s">
        <v>4503</v>
      </c>
      <c r="G1133" s="8" t="s">
        <v>3401</v>
      </c>
      <c r="H1133" s="8" t="s">
        <v>3357</v>
      </c>
      <c r="I1133" s="8" t="s">
        <v>4351</v>
      </c>
      <c r="J1133" s="8" t="s">
        <v>3288</v>
      </c>
      <c r="K1133" s="8" t="s">
        <v>3183</v>
      </c>
      <c r="L1133" s="10" t="s">
        <v>3254</v>
      </c>
      <c r="M1133" s="10" t="s">
        <v>4352</v>
      </c>
      <c r="N1133" s="10" t="s">
        <v>4353</v>
      </c>
      <c r="O1133" s="8" t="s">
        <v>3190</v>
      </c>
      <c r="P1133" s="8"/>
      <c r="Q1133" s="8">
        <v>1000</v>
      </c>
      <c r="R1133" s="8">
        <v>9230</v>
      </c>
      <c r="S1133" s="8"/>
      <c r="T1133" s="8"/>
      <c r="U1133" s="8"/>
      <c r="V1133" s="8"/>
      <c r="W1133" s="8"/>
      <c r="X1133" s="8"/>
      <c r="Y1133" s="8"/>
      <c r="Z1133" s="10" t="s">
        <v>4505</v>
      </c>
      <c r="AA1133" s="8" t="s">
        <v>332</v>
      </c>
      <c r="AB1133" s="8">
        <v>1</v>
      </c>
    </row>
    <row r="1134" spans="1:28" ht="21.6" customHeight="1">
      <c r="A1134" s="8">
        <v>119</v>
      </c>
      <c r="B1134" s="8">
        <v>2025101815</v>
      </c>
      <c r="C1134" s="8">
        <v>1</v>
      </c>
      <c r="D1134" s="8" t="s">
        <v>3177</v>
      </c>
      <c r="E1134" s="8" t="s">
        <v>118</v>
      </c>
      <c r="F1134" s="8" t="s">
        <v>4503</v>
      </c>
      <c r="G1134" s="8" t="s">
        <v>3363</v>
      </c>
      <c r="H1134" s="8" t="s">
        <v>3233</v>
      </c>
      <c r="I1134" s="8" t="s">
        <v>4328</v>
      </c>
      <c r="J1134" s="8" t="s">
        <v>3288</v>
      </c>
      <c r="K1134" s="8" t="s">
        <v>3183</v>
      </c>
      <c r="L1134" s="10" t="s">
        <v>3254</v>
      </c>
      <c r="M1134" s="10" t="s">
        <v>4329</v>
      </c>
      <c r="N1134" s="10" t="s">
        <v>4330</v>
      </c>
      <c r="O1134" s="8" t="s">
        <v>3190</v>
      </c>
      <c r="P1134" s="8"/>
      <c r="Q1134" s="8">
        <v>7283</v>
      </c>
      <c r="R1134" s="8">
        <v>12281</v>
      </c>
      <c r="S1134" s="8"/>
      <c r="T1134" s="8"/>
      <c r="U1134" s="8"/>
      <c r="V1134" s="8"/>
      <c r="W1134" s="8"/>
      <c r="X1134" s="8"/>
      <c r="Y1134" s="8"/>
      <c r="Z1134" s="10" t="s">
        <v>4505</v>
      </c>
      <c r="AA1134" s="8" t="s">
        <v>332</v>
      </c>
      <c r="AB1134" s="8">
        <v>1</v>
      </c>
    </row>
    <row r="1135" spans="1:28" ht="21.6" customHeight="1">
      <c r="A1135" s="8">
        <v>143</v>
      </c>
      <c r="B1135" s="8">
        <v>2025101814</v>
      </c>
      <c r="C1135" s="8">
        <v>1</v>
      </c>
      <c r="D1135" s="8" t="s">
        <v>3177</v>
      </c>
      <c r="E1135" s="8" t="s">
        <v>118</v>
      </c>
      <c r="F1135" s="8" t="s">
        <v>4503</v>
      </c>
      <c r="G1135" s="8" t="s">
        <v>3280</v>
      </c>
      <c r="H1135" s="8" t="s">
        <v>3363</v>
      </c>
      <c r="I1135" s="8" t="s">
        <v>4098</v>
      </c>
      <c r="J1135" s="8" t="s">
        <v>3543</v>
      </c>
      <c r="K1135" s="8" t="s">
        <v>3183</v>
      </c>
      <c r="L1135" s="10" t="s">
        <v>3254</v>
      </c>
      <c r="M1135" s="10" t="s">
        <v>4099</v>
      </c>
      <c r="N1135" s="10" t="s">
        <v>4100</v>
      </c>
      <c r="O1135" s="8" t="s">
        <v>3190</v>
      </c>
      <c r="P1135" s="8"/>
      <c r="Q1135" s="8"/>
      <c r="R1135" s="8">
        <v>92557</v>
      </c>
      <c r="S1135" s="8"/>
      <c r="T1135" s="8"/>
      <c r="U1135" s="8"/>
      <c r="V1135" s="8"/>
      <c r="W1135" s="8"/>
      <c r="X1135" s="8"/>
      <c r="Y1135" s="8"/>
      <c r="Z1135" s="10" t="s">
        <v>3323</v>
      </c>
      <c r="AA1135" s="8" t="s">
        <v>332</v>
      </c>
      <c r="AB1135" s="8">
        <v>1</v>
      </c>
    </row>
    <row r="1136" spans="1:28" ht="21.6" customHeight="1">
      <c r="A1136" s="8">
        <v>145</v>
      </c>
      <c r="B1136" s="8">
        <v>2025101818</v>
      </c>
      <c r="C1136" s="8">
        <v>1</v>
      </c>
      <c r="D1136" s="8" t="s">
        <v>3177</v>
      </c>
      <c r="E1136" s="8" t="s">
        <v>118</v>
      </c>
      <c r="F1136" s="8" t="s">
        <v>4503</v>
      </c>
      <c r="G1136" s="8" t="s">
        <v>3233</v>
      </c>
      <c r="H1136" s="8" t="s">
        <v>3381</v>
      </c>
      <c r="I1136" s="8" t="s">
        <v>4378</v>
      </c>
      <c r="J1136" s="8" t="s">
        <v>3543</v>
      </c>
      <c r="K1136" s="8" t="s">
        <v>3183</v>
      </c>
      <c r="L1136" s="10" t="s">
        <v>3254</v>
      </c>
      <c r="M1136" s="10" t="s">
        <v>4379</v>
      </c>
      <c r="N1136" s="10" t="s">
        <v>4380</v>
      </c>
      <c r="O1136" s="8" t="s">
        <v>3190</v>
      </c>
      <c r="P1136" s="8"/>
      <c r="Q1136" s="8"/>
      <c r="R1136" s="8">
        <v>29589</v>
      </c>
      <c r="S1136" s="8"/>
      <c r="T1136" s="8"/>
      <c r="U1136" s="8"/>
      <c r="V1136" s="8"/>
      <c r="W1136" s="8"/>
      <c r="X1136" s="8"/>
      <c r="Y1136" s="8"/>
      <c r="Z1136" s="10" t="s">
        <v>4505</v>
      </c>
      <c r="AA1136" s="8" t="s">
        <v>332</v>
      </c>
      <c r="AB1136" s="8">
        <v>1</v>
      </c>
    </row>
    <row r="1137" spans="1:28" ht="21.6" customHeight="1">
      <c r="A1137" s="8">
        <v>5</v>
      </c>
      <c r="B1137" s="8">
        <v>2025101881</v>
      </c>
      <c r="C1137" s="8">
        <v>1</v>
      </c>
      <c r="D1137" s="8" t="s">
        <v>3177</v>
      </c>
      <c r="E1137" s="8" t="s">
        <v>123</v>
      </c>
      <c r="F1137" s="8" t="s">
        <v>4506</v>
      </c>
      <c r="G1137" s="8" t="s">
        <v>4414</v>
      </c>
      <c r="H1137" s="8" t="s">
        <v>3698</v>
      </c>
      <c r="I1137" s="8" t="s">
        <v>4500</v>
      </c>
      <c r="J1137" s="8" t="s">
        <v>3224</v>
      </c>
      <c r="K1137" s="8" t="s">
        <v>3183</v>
      </c>
      <c r="L1137" s="10" t="s">
        <v>3207</v>
      </c>
      <c r="M1137" s="10" t="s">
        <v>3208</v>
      </c>
      <c r="N1137" s="10" t="s">
        <v>3209</v>
      </c>
      <c r="O1137" s="8" t="s">
        <v>322</v>
      </c>
      <c r="P1137" s="8"/>
      <c r="Q1137" s="8">
        <v>2479</v>
      </c>
      <c r="R1137" s="8">
        <v>1822</v>
      </c>
      <c r="S1137" s="8" t="s">
        <v>332</v>
      </c>
      <c r="T1137" s="8"/>
      <c r="U1137" s="8"/>
      <c r="V1137" s="8"/>
      <c r="W1137" s="8"/>
      <c r="X1137" s="8"/>
      <c r="Y1137" s="8"/>
      <c r="Z1137" s="10" t="s">
        <v>3186</v>
      </c>
      <c r="AA1137" s="8" t="s">
        <v>332</v>
      </c>
      <c r="AB1137" s="8">
        <v>1</v>
      </c>
    </row>
    <row r="1138" spans="1:28" ht="21.6" customHeight="1">
      <c r="A1138" s="8">
        <v>9</v>
      </c>
      <c r="B1138" s="8">
        <v>2025101688</v>
      </c>
      <c r="C1138" s="8">
        <v>1</v>
      </c>
      <c r="D1138" s="8" t="s">
        <v>3177</v>
      </c>
      <c r="E1138" s="8" t="s">
        <v>123</v>
      </c>
      <c r="F1138" s="8" t="s">
        <v>4492</v>
      </c>
      <c r="G1138" s="8" t="s">
        <v>3805</v>
      </c>
      <c r="H1138" s="8" t="s">
        <v>3594</v>
      </c>
      <c r="I1138" s="8" t="s">
        <v>3259</v>
      </c>
      <c r="J1138" s="8" t="s">
        <v>3253</v>
      </c>
      <c r="K1138" s="8" t="s">
        <v>3183</v>
      </c>
      <c r="L1138" s="10" t="s">
        <v>3207</v>
      </c>
      <c r="M1138" s="10" t="s">
        <v>3208</v>
      </c>
      <c r="N1138" s="10" t="s">
        <v>3260</v>
      </c>
      <c r="O1138" s="8" t="s">
        <v>322</v>
      </c>
      <c r="P1138" s="8"/>
      <c r="Q1138" s="8"/>
      <c r="R1138" s="8">
        <v>1845</v>
      </c>
      <c r="S1138" s="8" t="s">
        <v>332</v>
      </c>
      <c r="T1138" s="8"/>
      <c r="U1138" s="8"/>
      <c r="V1138" s="8"/>
      <c r="W1138" s="8"/>
      <c r="X1138" s="8"/>
      <c r="Y1138" s="8"/>
      <c r="Z1138" s="10" t="s">
        <v>3186</v>
      </c>
      <c r="AA1138" s="8" t="s">
        <v>332</v>
      </c>
      <c r="AB1138" s="8">
        <v>1</v>
      </c>
    </row>
    <row r="1139" spans="1:28" ht="21.6" customHeight="1">
      <c r="A1139" s="8">
        <v>88</v>
      </c>
      <c r="B1139" s="8">
        <v>2025101233</v>
      </c>
      <c r="C1139" s="8">
        <v>1</v>
      </c>
      <c r="D1139" s="8" t="s">
        <v>3177</v>
      </c>
      <c r="E1139" s="8" t="s">
        <v>118</v>
      </c>
      <c r="F1139" s="8" t="s">
        <v>4486</v>
      </c>
      <c r="G1139" s="8" t="s">
        <v>3401</v>
      </c>
      <c r="H1139" s="8" t="s">
        <v>3357</v>
      </c>
      <c r="I1139" s="8" t="s">
        <v>4507</v>
      </c>
      <c r="J1139" s="8" t="s">
        <v>3224</v>
      </c>
      <c r="K1139" s="8" t="s">
        <v>3183</v>
      </c>
      <c r="L1139" s="10" t="s">
        <v>4080</v>
      </c>
      <c r="M1139" s="10" t="s">
        <v>4508</v>
      </c>
      <c r="N1139" s="10" t="s">
        <v>4238</v>
      </c>
      <c r="O1139" s="8" t="s">
        <v>3190</v>
      </c>
      <c r="P1139" s="8"/>
      <c r="Q1139" s="8">
        <v>2168</v>
      </c>
      <c r="R1139" s="8">
        <v>1179</v>
      </c>
      <c r="S1139" s="8"/>
      <c r="T1139" s="8"/>
      <c r="U1139" s="8"/>
      <c r="V1139" s="8"/>
      <c r="W1139" s="8"/>
      <c r="X1139" s="8"/>
      <c r="Y1139" s="8"/>
      <c r="Z1139" s="10" t="s">
        <v>3696</v>
      </c>
      <c r="AA1139" s="8" t="s">
        <v>332</v>
      </c>
      <c r="AB1139" s="8">
        <v>1</v>
      </c>
    </row>
    <row r="1140" spans="1:28" ht="21.6" customHeight="1">
      <c r="A1140" s="8">
        <v>91</v>
      </c>
      <c r="B1140" s="8">
        <v>2025101893</v>
      </c>
      <c r="C1140" s="8">
        <v>1</v>
      </c>
      <c r="D1140" s="8" t="s">
        <v>3177</v>
      </c>
      <c r="E1140" s="8" t="s">
        <v>118</v>
      </c>
      <c r="F1140" s="8" t="s">
        <v>4503</v>
      </c>
      <c r="G1140" s="8" t="s">
        <v>3204</v>
      </c>
      <c r="H1140" s="8" t="s">
        <v>3427</v>
      </c>
      <c r="I1140" s="8" t="s">
        <v>4249</v>
      </c>
      <c r="J1140" s="8" t="s">
        <v>3253</v>
      </c>
      <c r="K1140" s="8" t="s">
        <v>3183</v>
      </c>
      <c r="L1140" s="10" t="s">
        <v>3254</v>
      </c>
      <c r="M1140" s="10" t="s">
        <v>4250</v>
      </c>
      <c r="N1140" s="10" t="s">
        <v>4251</v>
      </c>
      <c r="O1140" s="8" t="s">
        <v>3190</v>
      </c>
      <c r="P1140" s="8"/>
      <c r="Q1140" s="8"/>
      <c r="R1140" s="8">
        <v>31999</v>
      </c>
      <c r="S1140" s="8"/>
      <c r="T1140" s="8"/>
      <c r="U1140" s="8"/>
      <c r="V1140" s="8"/>
      <c r="W1140" s="8"/>
      <c r="X1140" s="8"/>
      <c r="Y1140" s="8"/>
      <c r="Z1140" s="10" t="s">
        <v>4505</v>
      </c>
      <c r="AA1140" s="8" t="s">
        <v>332</v>
      </c>
      <c r="AB1140" s="8">
        <v>1</v>
      </c>
    </row>
    <row r="1141" spans="1:28" ht="21.6" customHeight="1">
      <c r="A1141" s="8">
        <v>92</v>
      </c>
      <c r="B1141" s="8">
        <v>2025101891</v>
      </c>
      <c r="C1141" s="8">
        <v>1</v>
      </c>
      <c r="D1141" s="8" t="s">
        <v>3177</v>
      </c>
      <c r="E1141" s="8" t="s">
        <v>118</v>
      </c>
      <c r="F1141" s="8" t="s">
        <v>4503</v>
      </c>
      <c r="G1141" s="8" t="s">
        <v>3368</v>
      </c>
      <c r="H1141" s="8" t="s">
        <v>3250</v>
      </c>
      <c r="I1141" s="8" t="s">
        <v>3944</v>
      </c>
      <c r="J1141" s="8" t="s">
        <v>3253</v>
      </c>
      <c r="K1141" s="8" t="s">
        <v>3183</v>
      </c>
      <c r="L1141" s="10" t="s">
        <v>3254</v>
      </c>
      <c r="M1141" s="10" t="s">
        <v>3945</v>
      </c>
      <c r="N1141" s="10" t="s">
        <v>3946</v>
      </c>
      <c r="O1141" s="8" t="s">
        <v>3190</v>
      </c>
      <c r="P1141" s="8"/>
      <c r="Q1141" s="8"/>
      <c r="R1141" s="8">
        <v>67636</v>
      </c>
      <c r="S1141" s="8"/>
      <c r="T1141" s="8"/>
      <c r="U1141" s="8"/>
      <c r="V1141" s="8"/>
      <c r="W1141" s="8"/>
      <c r="X1141" s="8"/>
      <c r="Y1141" s="8"/>
      <c r="Z1141" s="10" t="s">
        <v>165</v>
      </c>
      <c r="AA1141" s="8" t="s">
        <v>332</v>
      </c>
      <c r="AB1141" s="8">
        <v>1</v>
      </c>
    </row>
    <row r="1142" spans="1:28" ht="21.6" customHeight="1">
      <c r="A1142" s="8">
        <v>93</v>
      </c>
      <c r="B1142" s="8">
        <v>2025101897</v>
      </c>
      <c r="C1142" s="8">
        <v>1</v>
      </c>
      <c r="D1142" s="8" t="s">
        <v>3177</v>
      </c>
      <c r="E1142" s="8" t="s">
        <v>118</v>
      </c>
      <c r="F1142" s="8" t="s">
        <v>4503</v>
      </c>
      <c r="G1142" s="8" t="s">
        <v>3387</v>
      </c>
      <c r="H1142" s="8" t="s">
        <v>3426</v>
      </c>
      <c r="I1142" s="8" t="s">
        <v>4310</v>
      </c>
      <c r="J1142" s="8" t="s">
        <v>3253</v>
      </c>
      <c r="K1142" s="8" t="s">
        <v>3183</v>
      </c>
      <c r="L1142" s="10" t="s">
        <v>3254</v>
      </c>
      <c r="M1142" s="10" t="s">
        <v>4311</v>
      </c>
      <c r="N1142" s="10" t="s">
        <v>4312</v>
      </c>
      <c r="O1142" s="8" t="s">
        <v>3190</v>
      </c>
      <c r="P1142" s="8"/>
      <c r="Q1142" s="8"/>
      <c r="R1142" s="8">
        <v>7584</v>
      </c>
      <c r="S1142" s="8"/>
      <c r="T1142" s="8"/>
      <c r="U1142" s="8"/>
      <c r="V1142" s="8"/>
      <c r="W1142" s="8"/>
      <c r="X1142" s="8"/>
      <c r="Y1142" s="8"/>
      <c r="Z1142" s="10" t="s">
        <v>4505</v>
      </c>
      <c r="AA1142" s="8" t="s">
        <v>332</v>
      </c>
      <c r="AB1142" s="8">
        <v>1</v>
      </c>
    </row>
    <row r="1143" spans="1:28" ht="21.6" customHeight="1">
      <c r="A1143" s="8">
        <v>128</v>
      </c>
      <c r="B1143" s="8">
        <v>2025101894</v>
      </c>
      <c r="C1143" s="8">
        <v>1</v>
      </c>
      <c r="D1143" s="8" t="s">
        <v>3177</v>
      </c>
      <c r="E1143" s="8" t="s">
        <v>118</v>
      </c>
      <c r="F1143" s="8" t="s">
        <v>4503</v>
      </c>
      <c r="G1143" s="8" t="s">
        <v>3427</v>
      </c>
      <c r="H1143" s="8" t="s">
        <v>3386</v>
      </c>
      <c r="I1143" s="8" t="s">
        <v>3854</v>
      </c>
      <c r="J1143" s="8" t="s">
        <v>3288</v>
      </c>
      <c r="K1143" s="8" t="s">
        <v>3183</v>
      </c>
      <c r="L1143" s="10" t="s">
        <v>3254</v>
      </c>
      <c r="M1143" s="10" t="s">
        <v>3855</v>
      </c>
      <c r="N1143" s="10" t="s">
        <v>3856</v>
      </c>
      <c r="O1143" s="8" t="s">
        <v>3190</v>
      </c>
      <c r="P1143" s="8"/>
      <c r="Q1143" s="8">
        <v>1124</v>
      </c>
      <c r="R1143" s="8">
        <v>60143</v>
      </c>
      <c r="S1143" s="8"/>
      <c r="T1143" s="8"/>
      <c r="U1143" s="8"/>
      <c r="V1143" s="8"/>
      <c r="W1143" s="8"/>
      <c r="X1143" s="8"/>
      <c r="Y1143" s="8"/>
      <c r="Z1143" s="10" t="s">
        <v>4505</v>
      </c>
      <c r="AA1143" s="8" t="s">
        <v>332</v>
      </c>
      <c r="AB1143" s="8">
        <v>1</v>
      </c>
    </row>
    <row r="1144" spans="1:28" ht="21.6" customHeight="1">
      <c r="A1144" s="8">
        <v>154</v>
      </c>
      <c r="B1144" s="8">
        <v>2025101892</v>
      </c>
      <c r="C1144" s="8">
        <v>1</v>
      </c>
      <c r="D1144" s="8" t="s">
        <v>3177</v>
      </c>
      <c r="E1144" s="8" t="s">
        <v>118</v>
      </c>
      <c r="F1144" s="8" t="s">
        <v>4503</v>
      </c>
      <c r="G1144" s="8" t="s">
        <v>3250</v>
      </c>
      <c r="H1144" s="8" t="s">
        <v>3204</v>
      </c>
      <c r="I1144" s="8" t="s">
        <v>3741</v>
      </c>
      <c r="J1144" s="8" t="s">
        <v>3543</v>
      </c>
      <c r="K1144" s="8" t="s">
        <v>3183</v>
      </c>
      <c r="L1144" s="10" t="s">
        <v>3254</v>
      </c>
      <c r="M1144" s="10" t="s">
        <v>3742</v>
      </c>
      <c r="N1144" s="10" t="s">
        <v>3743</v>
      </c>
      <c r="O1144" s="8" t="s">
        <v>3190</v>
      </c>
      <c r="P1144" s="8"/>
      <c r="Q1144" s="8"/>
      <c r="R1144" s="8">
        <v>86133</v>
      </c>
      <c r="S1144" s="8"/>
      <c r="T1144" s="8"/>
      <c r="U1144" s="8"/>
      <c r="V1144" s="8"/>
      <c r="W1144" s="8"/>
      <c r="X1144" s="8"/>
      <c r="Y1144" s="8"/>
      <c r="Z1144" s="10" t="s">
        <v>3323</v>
      </c>
      <c r="AA1144" s="8" t="s">
        <v>332</v>
      </c>
      <c r="AB1144" s="8">
        <v>1</v>
      </c>
    </row>
    <row r="1145" spans="1:28" ht="21.6" customHeight="1">
      <c r="A1145" s="8">
        <v>162</v>
      </c>
      <c r="B1145" s="8">
        <v>2025101895</v>
      </c>
      <c r="C1145" s="8">
        <v>1</v>
      </c>
      <c r="D1145" s="8" t="s">
        <v>3177</v>
      </c>
      <c r="E1145" s="8" t="s">
        <v>118</v>
      </c>
      <c r="F1145" s="8" t="s">
        <v>4503</v>
      </c>
      <c r="G1145" s="8" t="s">
        <v>3427</v>
      </c>
      <c r="H1145" s="8" t="s">
        <v>3386</v>
      </c>
      <c r="I1145" s="8" t="s">
        <v>3752</v>
      </c>
      <c r="J1145" s="8" t="s">
        <v>3543</v>
      </c>
      <c r="K1145" s="8" t="s">
        <v>3183</v>
      </c>
      <c r="L1145" s="10" t="s">
        <v>3254</v>
      </c>
      <c r="M1145" s="10" t="s">
        <v>3547</v>
      </c>
      <c r="N1145" s="10" t="s">
        <v>3753</v>
      </c>
      <c r="O1145" s="8" t="s">
        <v>3190</v>
      </c>
      <c r="P1145" s="8"/>
      <c r="Q1145" s="8"/>
      <c r="R1145" s="8">
        <v>307294</v>
      </c>
      <c r="S1145" s="8"/>
      <c r="T1145" s="8"/>
      <c r="U1145" s="8"/>
      <c r="V1145" s="8"/>
      <c r="W1145" s="8"/>
      <c r="X1145" s="8"/>
      <c r="Y1145" s="8"/>
      <c r="Z1145" s="10" t="s">
        <v>3323</v>
      </c>
      <c r="AA1145" s="8" t="s">
        <v>332</v>
      </c>
      <c r="AB1145" s="8">
        <v>1</v>
      </c>
    </row>
    <row r="1146" spans="1:28" ht="21.6" customHeight="1">
      <c r="A1146" s="8">
        <v>193</v>
      </c>
      <c r="B1146" s="8">
        <v>2025101909</v>
      </c>
      <c r="C1146" s="8">
        <v>1</v>
      </c>
      <c r="D1146" s="8" t="s">
        <v>3177</v>
      </c>
      <c r="E1146" s="8" t="s">
        <v>134</v>
      </c>
      <c r="F1146" s="8" t="s">
        <v>4506</v>
      </c>
      <c r="G1146" s="8" t="s">
        <v>4209</v>
      </c>
      <c r="H1146" s="8" t="s">
        <v>4011</v>
      </c>
      <c r="I1146" s="8" t="s">
        <v>3585</v>
      </c>
      <c r="J1146" s="8" t="s">
        <v>3301</v>
      </c>
      <c r="K1146" s="8" t="s">
        <v>3183</v>
      </c>
      <c r="L1146" s="10" t="s">
        <v>3586</v>
      </c>
      <c r="M1146" s="10" t="s">
        <v>3587</v>
      </c>
      <c r="N1146" s="10" t="s">
        <v>3430</v>
      </c>
      <c r="O1146" s="8" t="s">
        <v>3190</v>
      </c>
      <c r="P1146" s="8"/>
      <c r="Q1146" s="8">
        <v>5870</v>
      </c>
      <c r="R1146" s="8">
        <v>66329</v>
      </c>
      <c r="S1146" s="8"/>
      <c r="T1146" s="8"/>
      <c r="U1146" s="8"/>
      <c r="V1146" s="8"/>
      <c r="W1146" s="8"/>
      <c r="X1146" s="8"/>
      <c r="Y1146" s="8"/>
      <c r="Z1146" s="10"/>
      <c r="AA1146" s="8" t="s">
        <v>332</v>
      </c>
      <c r="AB1146" s="8">
        <v>1</v>
      </c>
    </row>
    <row r="1147" spans="1:28" ht="21.6" customHeight="1">
      <c r="A1147" s="8">
        <v>194</v>
      </c>
      <c r="B1147" s="8">
        <v>2025101908</v>
      </c>
      <c r="C1147" s="8">
        <v>1</v>
      </c>
      <c r="D1147" s="8" t="s">
        <v>3177</v>
      </c>
      <c r="E1147" s="8" t="s">
        <v>134</v>
      </c>
      <c r="F1147" s="8" t="s">
        <v>4506</v>
      </c>
      <c r="G1147" s="8" t="s">
        <v>4209</v>
      </c>
      <c r="H1147" s="8" t="s">
        <v>4011</v>
      </c>
      <c r="I1147" s="8" t="s">
        <v>3592</v>
      </c>
      <c r="J1147" s="8" t="s">
        <v>3301</v>
      </c>
      <c r="K1147" s="8" t="s">
        <v>3183</v>
      </c>
      <c r="L1147" s="10" t="s">
        <v>3586</v>
      </c>
      <c r="M1147" s="10" t="s">
        <v>3587</v>
      </c>
      <c r="N1147" s="10" t="s">
        <v>3430</v>
      </c>
      <c r="O1147" s="8" t="s">
        <v>3190</v>
      </c>
      <c r="P1147" s="8"/>
      <c r="Q1147" s="8">
        <v>8500</v>
      </c>
      <c r="R1147" s="8">
        <v>111827</v>
      </c>
      <c r="S1147" s="8"/>
      <c r="T1147" s="8"/>
      <c r="U1147" s="8"/>
      <c r="V1147" s="8"/>
      <c r="W1147" s="8"/>
      <c r="X1147" s="8"/>
      <c r="Y1147" s="8"/>
      <c r="Z1147" s="10"/>
      <c r="AA1147" s="8" t="s">
        <v>332</v>
      </c>
      <c r="AB1147" s="8">
        <v>1</v>
      </c>
    </row>
    <row r="1148" spans="1:28" ht="21.6" customHeight="1">
      <c r="A1148" s="8">
        <v>200</v>
      </c>
      <c r="B1148" s="8">
        <v>2025101954</v>
      </c>
      <c r="C1148" s="8">
        <v>1</v>
      </c>
      <c r="D1148" s="8" t="s">
        <v>3177</v>
      </c>
      <c r="E1148" s="8" t="s">
        <v>134</v>
      </c>
      <c r="F1148" s="8" t="s">
        <v>4506</v>
      </c>
      <c r="G1148" s="8" t="s">
        <v>3342</v>
      </c>
      <c r="H1148" s="8" t="s">
        <v>3426</v>
      </c>
      <c r="I1148" s="8" t="s">
        <v>4509</v>
      </c>
      <c r="J1148" s="8" t="s">
        <v>3597</v>
      </c>
      <c r="K1148" s="8" t="s">
        <v>3579</v>
      </c>
      <c r="L1148" s="10" t="s">
        <v>3598</v>
      </c>
      <c r="M1148" s="10" t="s">
        <v>3599</v>
      </c>
      <c r="N1148" s="10" t="s">
        <v>3881</v>
      </c>
      <c r="O1148" s="8" t="s">
        <v>363</v>
      </c>
      <c r="P1148" s="8"/>
      <c r="Q1148" s="8"/>
      <c r="R1148" s="8">
        <v>0</v>
      </c>
      <c r="S1148" s="8"/>
      <c r="T1148" s="8"/>
      <c r="U1148" s="8"/>
      <c r="V1148" s="8"/>
      <c r="W1148" s="8"/>
      <c r="X1148" s="8"/>
      <c r="Y1148" s="8"/>
      <c r="Z1148" s="10" t="s">
        <v>4510</v>
      </c>
      <c r="AA1148" s="8" t="s">
        <v>332</v>
      </c>
      <c r="AB1148" s="8">
        <v>1</v>
      </c>
    </row>
    <row r="1149" spans="1:28" ht="21.6" customHeight="1">
      <c r="A1149" s="8">
        <v>96</v>
      </c>
      <c r="B1149" s="8">
        <v>2025100075</v>
      </c>
      <c r="C1149" s="8">
        <v>1</v>
      </c>
      <c r="D1149" s="8" t="s">
        <v>3177</v>
      </c>
      <c r="E1149" s="8" t="s">
        <v>118</v>
      </c>
      <c r="F1149" s="8" t="s">
        <v>4469</v>
      </c>
      <c r="G1149" s="8" t="s">
        <v>3291</v>
      </c>
      <c r="H1149" s="8" t="s">
        <v>3342</v>
      </c>
      <c r="I1149" s="8" t="s">
        <v>3404</v>
      </c>
      <c r="J1149" s="8" t="s">
        <v>3253</v>
      </c>
      <c r="K1149" s="8" t="s">
        <v>3183</v>
      </c>
      <c r="L1149" s="10" t="s">
        <v>3398</v>
      </c>
      <c r="M1149" s="10" t="s">
        <v>3575</v>
      </c>
      <c r="N1149" s="10" t="s">
        <v>3576</v>
      </c>
      <c r="O1149" s="8" t="s">
        <v>3190</v>
      </c>
      <c r="P1149" s="8"/>
      <c r="Q1149" s="8"/>
      <c r="R1149" s="8">
        <v>193</v>
      </c>
      <c r="S1149" s="8"/>
      <c r="T1149" s="8"/>
      <c r="U1149" s="8"/>
      <c r="V1149" s="8"/>
      <c r="W1149" s="8"/>
      <c r="X1149" s="8"/>
      <c r="Y1149" s="8"/>
      <c r="Z1149" s="10" t="s">
        <v>3696</v>
      </c>
      <c r="AA1149" s="8" t="s">
        <v>332</v>
      </c>
      <c r="AB1149" s="8">
        <v>1</v>
      </c>
    </row>
    <row r="1150" spans="1:28" ht="21.6" customHeight="1">
      <c r="A1150" s="8">
        <v>122</v>
      </c>
      <c r="B1150" s="8">
        <v>2025100060</v>
      </c>
      <c r="C1150" s="8">
        <v>1</v>
      </c>
      <c r="D1150" s="8" t="s">
        <v>3177</v>
      </c>
      <c r="E1150" s="8" t="s">
        <v>118</v>
      </c>
      <c r="F1150" s="8" t="s">
        <v>4469</v>
      </c>
      <c r="G1150" s="8" t="s">
        <v>3350</v>
      </c>
      <c r="H1150" s="8" t="s">
        <v>3280</v>
      </c>
      <c r="I1150" s="8" t="s">
        <v>4428</v>
      </c>
      <c r="J1150" s="8" t="s">
        <v>3277</v>
      </c>
      <c r="K1150" s="8" t="s">
        <v>3183</v>
      </c>
      <c r="L1150" s="10" t="s">
        <v>3398</v>
      </c>
      <c r="M1150" s="10" t="s">
        <v>3399</v>
      </c>
      <c r="N1150" s="10" t="s">
        <v>3400</v>
      </c>
      <c r="O1150" s="8" t="s">
        <v>3190</v>
      </c>
      <c r="P1150" s="8"/>
      <c r="Q1150" s="8"/>
      <c r="R1150" s="8">
        <v>3173</v>
      </c>
      <c r="S1150" s="8"/>
      <c r="T1150" s="8"/>
      <c r="U1150" s="8"/>
      <c r="V1150" s="8"/>
      <c r="W1150" s="8"/>
      <c r="X1150" s="8"/>
      <c r="Y1150" s="8"/>
      <c r="Z1150" s="10" t="s">
        <v>3696</v>
      </c>
      <c r="AA1150" s="8" t="s">
        <v>332</v>
      </c>
      <c r="AB1150" s="8">
        <v>1</v>
      </c>
    </row>
    <row r="1151" spans="1:28" ht="21.6" customHeight="1">
      <c r="A1151" s="8">
        <v>143</v>
      </c>
      <c r="B1151" s="8">
        <v>2025100506</v>
      </c>
      <c r="C1151" s="8">
        <v>1</v>
      </c>
      <c r="D1151" s="8" t="s">
        <v>3177</v>
      </c>
      <c r="E1151" s="8" t="s">
        <v>118</v>
      </c>
      <c r="F1151" s="8" t="s">
        <v>4478</v>
      </c>
      <c r="G1151" s="8" t="s">
        <v>3204</v>
      </c>
      <c r="H1151" s="8" t="s">
        <v>3427</v>
      </c>
      <c r="I1151" s="8" t="s">
        <v>3525</v>
      </c>
      <c r="J1151" s="8" t="s">
        <v>3298</v>
      </c>
      <c r="K1151" s="8" t="s">
        <v>3183</v>
      </c>
      <c r="L1151" s="10" t="s">
        <v>3462</v>
      </c>
      <c r="M1151" s="10" t="s">
        <v>3526</v>
      </c>
      <c r="N1151" s="10" t="s">
        <v>3508</v>
      </c>
      <c r="O1151" s="8" t="s">
        <v>3190</v>
      </c>
      <c r="P1151" s="8"/>
      <c r="Q1151" s="8"/>
      <c r="R1151" s="8">
        <v>187561</v>
      </c>
      <c r="S1151" s="8"/>
      <c r="T1151" s="8"/>
      <c r="U1151" s="8"/>
      <c r="V1151" s="8"/>
      <c r="W1151" s="8"/>
      <c r="X1151" s="8"/>
      <c r="Y1151" s="8"/>
      <c r="Z1151" s="10" t="s">
        <v>3696</v>
      </c>
      <c r="AA1151" s="8" t="s">
        <v>332</v>
      </c>
      <c r="AB1151" s="8">
        <v>1</v>
      </c>
    </row>
    <row r="1152" spans="1:28" ht="21.6" customHeight="1">
      <c r="A1152" s="8">
        <v>16</v>
      </c>
      <c r="B1152" s="8">
        <v>2025100101</v>
      </c>
      <c r="C1152" s="8">
        <v>1</v>
      </c>
      <c r="D1152" s="8" t="s">
        <v>3177</v>
      </c>
      <c r="E1152" s="8" t="s">
        <v>123</v>
      </c>
      <c r="F1152" s="8" t="s">
        <v>4469</v>
      </c>
      <c r="G1152" s="8" t="s">
        <v>3812</v>
      </c>
      <c r="H1152" s="8" t="s">
        <v>3601</v>
      </c>
      <c r="I1152" s="8" t="s">
        <v>3282</v>
      </c>
      <c r="J1152" s="8" t="s">
        <v>3277</v>
      </c>
      <c r="K1152" s="8" t="s">
        <v>3183</v>
      </c>
      <c r="L1152" s="10" t="s">
        <v>3283</v>
      </c>
      <c r="M1152" s="10" t="s">
        <v>3284</v>
      </c>
      <c r="N1152" s="10"/>
      <c r="O1152" s="8" t="s">
        <v>3190</v>
      </c>
      <c r="P1152" s="8"/>
      <c r="Q1152" s="8"/>
      <c r="R1152" s="8">
        <v>28400</v>
      </c>
      <c r="S1152" s="8"/>
      <c r="T1152" s="8"/>
      <c r="U1152" s="8"/>
      <c r="V1152" s="8"/>
      <c r="W1152" s="8"/>
      <c r="X1152" s="8"/>
      <c r="Y1152" s="8"/>
      <c r="Z1152" s="10" t="s">
        <v>3186</v>
      </c>
      <c r="AA1152" s="8" t="s">
        <v>332</v>
      </c>
      <c r="AB1152" s="8">
        <v>1</v>
      </c>
    </row>
    <row r="1153" spans="1:28" ht="21.6" customHeight="1">
      <c r="A1153" s="8">
        <v>76</v>
      </c>
      <c r="B1153" s="8">
        <v>2025102090</v>
      </c>
      <c r="C1153" s="8">
        <v>1</v>
      </c>
      <c r="D1153" s="8" t="s">
        <v>3177</v>
      </c>
      <c r="E1153" s="8" t="s">
        <v>118</v>
      </c>
      <c r="F1153" s="8" t="s">
        <v>4511</v>
      </c>
      <c r="G1153" s="8" t="s">
        <v>3280</v>
      </c>
      <c r="H1153" s="8" t="s">
        <v>3188</v>
      </c>
      <c r="I1153" s="8" t="s">
        <v>3370</v>
      </c>
      <c r="J1153" s="8" t="s">
        <v>3195</v>
      </c>
      <c r="K1153" s="8" t="s">
        <v>3183</v>
      </c>
      <c r="L1153" s="10" t="s">
        <v>3371</v>
      </c>
      <c r="M1153" s="10" t="s">
        <v>3372</v>
      </c>
      <c r="N1153" s="10" t="s">
        <v>3373</v>
      </c>
      <c r="O1153" s="8" t="s">
        <v>363</v>
      </c>
      <c r="P1153" s="8"/>
      <c r="Q1153" s="8">
        <v>17215</v>
      </c>
      <c r="R1153" s="8">
        <v>147527</v>
      </c>
      <c r="S1153" s="8"/>
      <c r="T1153" s="8"/>
      <c r="U1153" s="8"/>
      <c r="V1153" s="8"/>
      <c r="W1153" s="8"/>
      <c r="X1153" s="8"/>
      <c r="Y1153" s="8"/>
      <c r="Z1153" s="10" t="s">
        <v>4512</v>
      </c>
      <c r="AA1153" s="8" t="s">
        <v>332</v>
      </c>
      <c r="AB1153" s="8">
        <v>1</v>
      </c>
    </row>
    <row r="1154" spans="1:28" ht="21.6" customHeight="1">
      <c r="A1154" s="8">
        <v>119</v>
      </c>
      <c r="B1154" s="8">
        <v>2025101092</v>
      </c>
      <c r="C1154" s="8">
        <v>1</v>
      </c>
      <c r="D1154" s="8" t="s">
        <v>3177</v>
      </c>
      <c r="E1154" s="8" t="s">
        <v>118</v>
      </c>
      <c r="F1154" s="8" t="s">
        <v>4486</v>
      </c>
      <c r="G1154" s="8" t="s">
        <v>3350</v>
      </c>
      <c r="H1154" s="8" t="s">
        <v>3280</v>
      </c>
      <c r="I1154" s="8" t="s">
        <v>4171</v>
      </c>
      <c r="J1154" s="8" t="s">
        <v>3277</v>
      </c>
      <c r="K1154" s="8" t="s">
        <v>3183</v>
      </c>
      <c r="L1154" s="10" t="s">
        <v>3270</v>
      </c>
      <c r="M1154" s="10" t="s">
        <v>3496</v>
      </c>
      <c r="N1154" s="10" t="s">
        <v>3497</v>
      </c>
      <c r="O1154" s="8" t="s">
        <v>3190</v>
      </c>
      <c r="P1154" s="8"/>
      <c r="Q1154" s="8"/>
      <c r="R1154" s="8">
        <v>3516</v>
      </c>
      <c r="S1154" s="8"/>
      <c r="T1154" s="8"/>
      <c r="U1154" s="8"/>
      <c r="V1154" s="8"/>
      <c r="W1154" s="8"/>
      <c r="X1154" s="8"/>
      <c r="Y1154" s="8"/>
      <c r="Z1154" s="10" t="s">
        <v>3696</v>
      </c>
      <c r="AA1154" s="8" t="s">
        <v>332</v>
      </c>
      <c r="AB1154" s="8">
        <v>1</v>
      </c>
    </row>
    <row r="1155" spans="1:28" ht="21.6" customHeight="1">
      <c r="A1155" s="8">
        <v>163</v>
      </c>
      <c r="B1155" s="8">
        <v>2025100709</v>
      </c>
      <c r="C1155" s="8">
        <v>1</v>
      </c>
      <c r="D1155" s="8" t="s">
        <v>3177</v>
      </c>
      <c r="E1155" s="8" t="s">
        <v>118</v>
      </c>
      <c r="F1155" s="8" t="s">
        <v>4480</v>
      </c>
      <c r="G1155" s="8" t="s">
        <v>3386</v>
      </c>
      <c r="H1155" s="8" t="s">
        <v>3387</v>
      </c>
      <c r="I1155" s="8" t="s">
        <v>4375</v>
      </c>
      <c r="J1155" s="8" t="s">
        <v>3543</v>
      </c>
      <c r="K1155" s="8" t="s">
        <v>3183</v>
      </c>
      <c r="L1155" s="10" t="s">
        <v>3254</v>
      </c>
      <c r="M1155" s="10" t="s">
        <v>3742</v>
      </c>
      <c r="N1155" s="10" t="s">
        <v>4376</v>
      </c>
      <c r="O1155" s="8" t="s">
        <v>3190</v>
      </c>
      <c r="P1155" s="8"/>
      <c r="Q1155" s="8"/>
      <c r="R1155" s="8">
        <v>28</v>
      </c>
      <c r="S1155" s="8"/>
      <c r="T1155" s="8"/>
      <c r="U1155" s="8"/>
      <c r="V1155" s="8"/>
      <c r="W1155" s="8"/>
      <c r="X1155" s="8"/>
      <c r="Y1155" s="8"/>
      <c r="Z1155" s="10" t="s">
        <v>3696</v>
      </c>
      <c r="AA1155" s="8" t="s">
        <v>332</v>
      </c>
      <c r="AB1155" s="8">
        <v>1</v>
      </c>
    </row>
    <row r="1156" spans="1:28" ht="21.6" customHeight="1">
      <c r="A1156" s="8">
        <v>204</v>
      </c>
      <c r="B1156" s="8">
        <v>2025102177</v>
      </c>
      <c r="C1156" s="8">
        <v>1</v>
      </c>
      <c r="D1156" s="8" t="s">
        <v>3177</v>
      </c>
      <c r="E1156" s="8" t="s">
        <v>118</v>
      </c>
      <c r="F1156" s="8" t="s">
        <v>4511</v>
      </c>
      <c r="G1156" s="8" t="s">
        <v>3401</v>
      </c>
      <c r="H1156" s="8" t="s">
        <v>3342</v>
      </c>
      <c r="I1156" s="8" t="s">
        <v>4513</v>
      </c>
      <c r="J1156" s="8" t="s">
        <v>3871</v>
      </c>
      <c r="K1156" s="8" t="s">
        <v>3579</v>
      </c>
      <c r="L1156" s="10" t="s">
        <v>3580</v>
      </c>
      <c r="M1156" s="10" t="s">
        <v>3581</v>
      </c>
      <c r="N1156" s="10" t="s">
        <v>3582</v>
      </c>
      <c r="O1156" s="8" t="s">
        <v>322</v>
      </c>
      <c r="P1156" s="8"/>
      <c r="Q1156" s="8"/>
      <c r="R1156" s="8">
        <v>0</v>
      </c>
      <c r="S1156" s="8"/>
      <c r="T1156" s="8"/>
      <c r="U1156" s="8"/>
      <c r="V1156" s="8"/>
      <c r="W1156" s="8"/>
      <c r="X1156" s="8"/>
      <c r="Y1156" s="8" t="s">
        <v>332</v>
      </c>
      <c r="Z1156" s="10" t="s">
        <v>4514</v>
      </c>
      <c r="AA1156" s="8" t="s">
        <v>332</v>
      </c>
      <c r="AB1156" s="8">
        <v>1</v>
      </c>
    </row>
    <row r="1157" spans="1:28" ht="21.6" customHeight="1">
      <c r="A1157" s="8">
        <v>150</v>
      </c>
      <c r="B1157" s="8">
        <v>2025100560</v>
      </c>
      <c r="C1157" s="8">
        <v>1</v>
      </c>
      <c r="D1157" s="8" t="s">
        <v>3177</v>
      </c>
      <c r="E1157" s="8" t="s">
        <v>118</v>
      </c>
      <c r="F1157" s="8" t="s">
        <v>4480</v>
      </c>
      <c r="G1157" s="8" t="s">
        <v>3280</v>
      </c>
      <c r="H1157" s="8" t="s">
        <v>3363</v>
      </c>
      <c r="I1157" s="8" t="s">
        <v>3536</v>
      </c>
      <c r="J1157" s="8" t="s">
        <v>3298</v>
      </c>
      <c r="K1157" s="8" t="s">
        <v>3183</v>
      </c>
      <c r="L1157" s="10" t="s">
        <v>3537</v>
      </c>
      <c r="M1157" s="10" t="s">
        <v>3538</v>
      </c>
      <c r="N1157" s="10"/>
      <c r="O1157" s="8" t="s">
        <v>3190</v>
      </c>
      <c r="P1157" s="8"/>
      <c r="Q1157" s="8"/>
      <c r="R1157" s="8">
        <v>140018</v>
      </c>
      <c r="S1157" s="8"/>
      <c r="T1157" s="8"/>
      <c r="U1157" s="8"/>
      <c r="V1157" s="8"/>
      <c r="W1157" s="8"/>
      <c r="X1157" s="8"/>
      <c r="Y1157" s="8"/>
      <c r="Z1157" s="10" t="s">
        <v>3696</v>
      </c>
      <c r="AA1157" s="8" t="s">
        <v>332</v>
      </c>
      <c r="AB1157" s="8">
        <v>1</v>
      </c>
    </row>
    <row r="1158" spans="1:28" ht="21.6" customHeight="1">
      <c r="A1158" s="8">
        <v>1</v>
      </c>
      <c r="B1158" s="8">
        <v>2025102370</v>
      </c>
      <c r="C1158" s="8">
        <v>1</v>
      </c>
      <c r="D1158" s="8" t="s">
        <v>3177</v>
      </c>
      <c r="E1158" s="8" t="s">
        <v>123</v>
      </c>
      <c r="F1158" s="8" t="s">
        <v>4515</v>
      </c>
      <c r="G1158" s="8" t="s">
        <v>4439</v>
      </c>
      <c r="H1158" s="8" t="s">
        <v>4516</v>
      </c>
      <c r="I1158" s="8" t="s">
        <v>3194</v>
      </c>
      <c r="J1158" s="8" t="s">
        <v>3195</v>
      </c>
      <c r="K1158" s="8" t="s">
        <v>3183</v>
      </c>
      <c r="L1158" s="10" t="s">
        <v>3196</v>
      </c>
      <c r="M1158" s="10" t="s">
        <v>3197</v>
      </c>
      <c r="N1158" s="10" t="s">
        <v>123</v>
      </c>
      <c r="O1158" s="8" t="s">
        <v>3190</v>
      </c>
      <c r="P1158" s="8"/>
      <c r="Q1158" s="8">
        <v>86</v>
      </c>
      <c r="R1158" s="8">
        <v>3550</v>
      </c>
      <c r="S1158" s="8"/>
      <c r="T1158" s="8"/>
      <c r="U1158" s="8"/>
      <c r="V1158" s="8"/>
      <c r="W1158" s="8"/>
      <c r="X1158" s="8"/>
      <c r="Y1158" s="8"/>
      <c r="Z1158" s="10" t="s">
        <v>3190</v>
      </c>
      <c r="AA1158" s="8" t="s">
        <v>332</v>
      </c>
      <c r="AB1158" s="8">
        <v>1</v>
      </c>
    </row>
    <row r="1159" spans="1:28" ht="21.6" customHeight="1">
      <c r="A1159" s="8">
        <v>2</v>
      </c>
      <c r="B1159" s="8">
        <v>2025102408</v>
      </c>
      <c r="C1159" s="8">
        <v>1</v>
      </c>
      <c r="D1159" s="8" t="s">
        <v>3177</v>
      </c>
      <c r="E1159" s="8" t="s">
        <v>123</v>
      </c>
      <c r="F1159" s="8" t="s">
        <v>4515</v>
      </c>
      <c r="G1159" s="8" t="s">
        <v>4013</v>
      </c>
      <c r="H1159" s="8" t="s">
        <v>3687</v>
      </c>
      <c r="I1159" s="8" t="s">
        <v>3200</v>
      </c>
      <c r="J1159" s="8" t="s">
        <v>3195</v>
      </c>
      <c r="K1159" s="8" t="s">
        <v>3183</v>
      </c>
      <c r="L1159" s="10" t="s">
        <v>3201</v>
      </c>
      <c r="M1159" s="10" t="s">
        <v>3202</v>
      </c>
      <c r="N1159" s="10" t="s">
        <v>3885</v>
      </c>
      <c r="O1159" s="8" t="s">
        <v>3190</v>
      </c>
      <c r="P1159" s="8"/>
      <c r="Q1159" s="8">
        <v>2203</v>
      </c>
      <c r="R1159" s="8">
        <v>17556</v>
      </c>
      <c r="S1159" s="8"/>
      <c r="T1159" s="8"/>
      <c r="U1159" s="8"/>
      <c r="V1159" s="8"/>
      <c r="W1159" s="8"/>
      <c r="X1159" s="8"/>
      <c r="Y1159" s="8"/>
      <c r="Z1159" s="10" t="s">
        <v>3190</v>
      </c>
      <c r="AA1159" s="8" t="s">
        <v>332</v>
      </c>
      <c r="AB1159" s="8">
        <v>1</v>
      </c>
    </row>
    <row r="1160" spans="1:28" ht="21.6" customHeight="1">
      <c r="A1160" s="8">
        <v>3</v>
      </c>
      <c r="B1160" s="8">
        <v>2025102364</v>
      </c>
      <c r="C1160" s="8">
        <v>1</v>
      </c>
      <c r="D1160" s="8" t="s">
        <v>3177</v>
      </c>
      <c r="E1160" s="8" t="s">
        <v>123</v>
      </c>
      <c r="F1160" s="8" t="s">
        <v>4515</v>
      </c>
      <c r="G1160" s="8" t="s">
        <v>4110</v>
      </c>
      <c r="H1160" s="8" t="s">
        <v>3982</v>
      </c>
      <c r="I1160" s="8" t="s">
        <v>3212</v>
      </c>
      <c r="J1160" s="8" t="s">
        <v>3195</v>
      </c>
      <c r="K1160" s="8" t="s">
        <v>3183</v>
      </c>
      <c r="L1160" s="10" t="s">
        <v>3213</v>
      </c>
      <c r="M1160" s="10" t="s">
        <v>3214</v>
      </c>
      <c r="N1160" s="10" t="s">
        <v>3215</v>
      </c>
      <c r="O1160" s="8" t="s">
        <v>3190</v>
      </c>
      <c r="P1160" s="8"/>
      <c r="Q1160" s="8">
        <v>128</v>
      </c>
      <c r="R1160" s="8">
        <v>888</v>
      </c>
      <c r="S1160" s="8"/>
      <c r="T1160" s="8"/>
      <c r="U1160" s="8"/>
      <c r="V1160" s="8"/>
      <c r="W1160" s="8"/>
      <c r="X1160" s="8"/>
      <c r="Y1160" s="8"/>
      <c r="Z1160" s="10" t="s">
        <v>3190</v>
      </c>
      <c r="AA1160" s="8" t="s">
        <v>332</v>
      </c>
      <c r="AB1160" s="8">
        <v>1</v>
      </c>
    </row>
    <row r="1161" spans="1:28" ht="21.6" customHeight="1">
      <c r="A1161" s="8">
        <v>4</v>
      </c>
      <c r="B1161" s="8">
        <v>2025102365</v>
      </c>
      <c r="C1161" s="8">
        <v>1</v>
      </c>
      <c r="D1161" s="8" t="s">
        <v>3177</v>
      </c>
      <c r="E1161" s="8" t="s">
        <v>123</v>
      </c>
      <c r="F1161" s="8" t="s">
        <v>4515</v>
      </c>
      <c r="G1161" s="8" t="s">
        <v>3529</v>
      </c>
      <c r="H1161" s="8" t="s">
        <v>4517</v>
      </c>
      <c r="I1161" s="8" t="s">
        <v>3218</v>
      </c>
      <c r="J1161" s="8" t="s">
        <v>3195</v>
      </c>
      <c r="K1161" s="8" t="s">
        <v>3183</v>
      </c>
      <c r="L1161" s="10" t="s">
        <v>3219</v>
      </c>
      <c r="M1161" s="10" t="s">
        <v>3220</v>
      </c>
      <c r="N1161" s="10"/>
      <c r="O1161" s="8" t="s">
        <v>3190</v>
      </c>
      <c r="P1161" s="8"/>
      <c r="Q1161" s="8">
        <v>155</v>
      </c>
      <c r="R1161" s="8">
        <v>7191</v>
      </c>
      <c r="S1161" s="8"/>
      <c r="T1161" s="8"/>
      <c r="U1161" s="8"/>
      <c r="V1161" s="8"/>
      <c r="W1161" s="8"/>
      <c r="X1161" s="8"/>
      <c r="Y1161" s="8"/>
      <c r="Z1161" s="10" t="s">
        <v>3190</v>
      </c>
      <c r="AA1161" s="8" t="s">
        <v>332</v>
      </c>
      <c r="AB1161" s="8">
        <v>1</v>
      </c>
    </row>
    <row r="1162" spans="1:28" ht="21.6" customHeight="1">
      <c r="A1162" s="8">
        <v>5</v>
      </c>
      <c r="B1162" s="8">
        <v>2025102394</v>
      </c>
      <c r="C1162" s="8">
        <v>1</v>
      </c>
      <c r="D1162" s="8" t="s">
        <v>3177</v>
      </c>
      <c r="E1162" s="8" t="s">
        <v>123</v>
      </c>
      <c r="F1162" s="8" t="s">
        <v>4515</v>
      </c>
      <c r="G1162" s="8" t="s">
        <v>3924</v>
      </c>
      <c r="H1162" s="8" t="s">
        <v>4003</v>
      </c>
      <c r="I1162" s="8" t="s">
        <v>3223</v>
      </c>
      <c r="J1162" s="8" t="s">
        <v>3224</v>
      </c>
      <c r="K1162" s="8" t="s">
        <v>3183</v>
      </c>
      <c r="L1162" s="10" t="s">
        <v>3225</v>
      </c>
      <c r="M1162" s="10" t="s">
        <v>3226</v>
      </c>
      <c r="N1162" s="10" t="s">
        <v>3227</v>
      </c>
      <c r="O1162" s="8" t="s">
        <v>3190</v>
      </c>
      <c r="P1162" s="8"/>
      <c r="Q1162" s="8">
        <v>330</v>
      </c>
      <c r="R1162" s="8">
        <v>1580</v>
      </c>
      <c r="S1162" s="8"/>
      <c r="T1162" s="8"/>
      <c r="U1162" s="8"/>
      <c r="V1162" s="8"/>
      <c r="W1162" s="8"/>
      <c r="X1162" s="8"/>
      <c r="Y1162" s="8"/>
      <c r="Z1162" s="10" t="s">
        <v>3190</v>
      </c>
      <c r="AA1162" s="8" t="s">
        <v>332</v>
      </c>
      <c r="AB1162" s="8">
        <v>1</v>
      </c>
    </row>
    <row r="1163" spans="1:28" ht="21.6" customHeight="1">
      <c r="A1163" s="8">
        <v>6</v>
      </c>
      <c r="B1163" s="8">
        <v>2025102369</v>
      </c>
      <c r="C1163" s="8">
        <v>1</v>
      </c>
      <c r="D1163" s="8" t="s">
        <v>3177</v>
      </c>
      <c r="E1163" s="8" t="s">
        <v>123</v>
      </c>
      <c r="F1163" s="8" t="s">
        <v>4515</v>
      </c>
      <c r="G1163" s="8" t="s">
        <v>4012</v>
      </c>
      <c r="H1163" s="8" t="s">
        <v>4518</v>
      </c>
      <c r="I1163" s="8" t="s">
        <v>3229</v>
      </c>
      <c r="J1163" s="8" t="s">
        <v>3224</v>
      </c>
      <c r="K1163" s="8" t="s">
        <v>3183</v>
      </c>
      <c r="L1163" s="10" t="s">
        <v>3230</v>
      </c>
      <c r="M1163" s="10" t="s">
        <v>3231</v>
      </c>
      <c r="N1163" s="10" t="s">
        <v>3215</v>
      </c>
      <c r="O1163" s="8" t="s">
        <v>3190</v>
      </c>
      <c r="P1163" s="8"/>
      <c r="Q1163" s="8">
        <v>4296</v>
      </c>
      <c r="R1163" s="8">
        <v>3388</v>
      </c>
      <c r="S1163" s="8"/>
      <c r="T1163" s="8"/>
      <c r="U1163" s="8"/>
      <c r="V1163" s="8"/>
      <c r="W1163" s="8"/>
      <c r="X1163" s="8"/>
      <c r="Y1163" s="8"/>
      <c r="Z1163" s="10" t="s">
        <v>3190</v>
      </c>
      <c r="AA1163" s="8" t="s">
        <v>332</v>
      </c>
      <c r="AB1163" s="8">
        <v>1</v>
      </c>
    </row>
    <row r="1164" spans="1:28" ht="21.6" customHeight="1">
      <c r="A1164" s="8">
        <v>7</v>
      </c>
      <c r="B1164" s="8">
        <v>2025102392</v>
      </c>
      <c r="C1164" s="8">
        <v>1</v>
      </c>
      <c r="D1164" s="8" t="s">
        <v>3177</v>
      </c>
      <c r="E1164" s="8" t="s">
        <v>123</v>
      </c>
      <c r="F1164" s="8" t="s">
        <v>4515</v>
      </c>
      <c r="G1164" s="8" t="s">
        <v>3239</v>
      </c>
      <c r="H1164" s="8" t="s">
        <v>3924</v>
      </c>
      <c r="I1164" s="8" t="s">
        <v>3234</v>
      </c>
      <c r="J1164" s="8" t="s">
        <v>3224</v>
      </c>
      <c r="K1164" s="8" t="s">
        <v>3183</v>
      </c>
      <c r="L1164" s="10" t="s">
        <v>3235</v>
      </c>
      <c r="M1164" s="10" t="s">
        <v>3236</v>
      </c>
      <c r="N1164" s="10" t="s">
        <v>3237</v>
      </c>
      <c r="O1164" s="8" t="s">
        <v>3190</v>
      </c>
      <c r="P1164" s="8"/>
      <c r="Q1164" s="8">
        <v>1530</v>
      </c>
      <c r="R1164" s="8">
        <v>68024</v>
      </c>
      <c r="S1164" s="8"/>
      <c r="T1164" s="8"/>
      <c r="U1164" s="8"/>
      <c r="V1164" s="8"/>
      <c r="W1164" s="8"/>
      <c r="X1164" s="8"/>
      <c r="Y1164" s="8"/>
      <c r="Z1164" s="10" t="s">
        <v>3190</v>
      </c>
      <c r="AA1164" s="8" t="s">
        <v>332</v>
      </c>
      <c r="AB1164" s="8">
        <v>1</v>
      </c>
    </row>
    <row r="1165" spans="1:28" ht="21.6" customHeight="1">
      <c r="A1165" s="8">
        <v>8</v>
      </c>
      <c r="B1165" s="8">
        <v>2025102389</v>
      </c>
      <c r="C1165" s="8">
        <v>1</v>
      </c>
      <c r="D1165" s="8" t="s">
        <v>3177</v>
      </c>
      <c r="E1165" s="8" t="s">
        <v>123</v>
      </c>
      <c r="F1165" s="8" t="s">
        <v>4515</v>
      </c>
      <c r="G1165" s="8" t="s">
        <v>3305</v>
      </c>
      <c r="H1165" s="8" t="s">
        <v>3244</v>
      </c>
      <c r="I1165" s="8" t="s">
        <v>3246</v>
      </c>
      <c r="J1165" s="8" t="s">
        <v>3224</v>
      </c>
      <c r="K1165" s="8" t="s">
        <v>3183</v>
      </c>
      <c r="L1165" s="10" t="s">
        <v>3247</v>
      </c>
      <c r="M1165" s="10" t="s">
        <v>3248</v>
      </c>
      <c r="N1165" s="10" t="s">
        <v>3215</v>
      </c>
      <c r="O1165" s="8" t="s">
        <v>3190</v>
      </c>
      <c r="P1165" s="8"/>
      <c r="Q1165" s="8">
        <v>848</v>
      </c>
      <c r="R1165" s="8">
        <v>2079</v>
      </c>
      <c r="S1165" s="8"/>
      <c r="T1165" s="8"/>
      <c r="U1165" s="8"/>
      <c r="V1165" s="8"/>
      <c r="W1165" s="8"/>
      <c r="X1165" s="8"/>
      <c r="Y1165" s="8"/>
      <c r="Z1165" s="10" t="s">
        <v>3190</v>
      </c>
      <c r="AA1165" s="8" t="s">
        <v>332</v>
      </c>
      <c r="AB1165" s="8">
        <v>1</v>
      </c>
    </row>
    <row r="1166" spans="1:28" ht="21.6" customHeight="1">
      <c r="A1166" s="8">
        <v>11</v>
      </c>
      <c r="B1166" s="8">
        <v>2025102405</v>
      </c>
      <c r="C1166" s="8">
        <v>1</v>
      </c>
      <c r="D1166" s="8" t="s">
        <v>3177</v>
      </c>
      <c r="E1166" s="8" t="s">
        <v>123</v>
      </c>
      <c r="F1166" s="8" t="s">
        <v>4515</v>
      </c>
      <c r="G1166" s="8" t="s">
        <v>3211</v>
      </c>
      <c r="H1166" s="8" t="s">
        <v>3198</v>
      </c>
      <c r="I1166" s="8" t="s">
        <v>4474</v>
      </c>
      <c r="J1166" s="8" t="s">
        <v>3224</v>
      </c>
      <c r="K1166" s="8" t="s">
        <v>3183</v>
      </c>
      <c r="L1166" s="10" t="s">
        <v>4475</v>
      </c>
      <c r="M1166" s="10" t="s">
        <v>4476</v>
      </c>
      <c r="N1166" s="10" t="s">
        <v>4477</v>
      </c>
      <c r="O1166" s="8" t="s">
        <v>3190</v>
      </c>
      <c r="P1166" s="8"/>
      <c r="Q1166" s="8">
        <v>14</v>
      </c>
      <c r="R1166" s="8">
        <v>121</v>
      </c>
      <c r="S1166" s="8"/>
      <c r="T1166" s="8"/>
      <c r="U1166" s="8"/>
      <c r="V1166" s="8"/>
      <c r="W1166" s="8"/>
      <c r="X1166" s="8"/>
      <c r="Y1166" s="8"/>
      <c r="Z1166" s="10" t="s">
        <v>3190</v>
      </c>
      <c r="AA1166" s="8" t="s">
        <v>332</v>
      </c>
      <c r="AB1166" s="8">
        <v>1</v>
      </c>
    </row>
    <row r="1167" spans="1:28" ht="21.6" customHeight="1">
      <c r="A1167" s="8">
        <v>37</v>
      </c>
      <c r="B1167" s="8">
        <v>2025102359</v>
      </c>
      <c r="C1167" s="8">
        <v>1</v>
      </c>
      <c r="D1167" s="8" t="s">
        <v>3177</v>
      </c>
      <c r="E1167" s="8" t="s">
        <v>123</v>
      </c>
      <c r="F1167" s="8" t="s">
        <v>4515</v>
      </c>
      <c r="G1167" s="8" t="s">
        <v>4519</v>
      </c>
      <c r="H1167" s="8" t="s">
        <v>4520</v>
      </c>
      <c r="I1167" s="8" t="s">
        <v>3307</v>
      </c>
      <c r="J1167" s="8" t="s">
        <v>3301</v>
      </c>
      <c r="K1167" s="8" t="s">
        <v>3183</v>
      </c>
      <c r="L1167" s="10" t="s">
        <v>4521</v>
      </c>
      <c r="M1167" s="10" t="s">
        <v>3309</v>
      </c>
      <c r="N1167" s="10" t="s">
        <v>3310</v>
      </c>
      <c r="O1167" s="8" t="s">
        <v>3190</v>
      </c>
      <c r="P1167" s="8"/>
      <c r="Q1167" s="8">
        <v>5556</v>
      </c>
      <c r="R1167" s="8">
        <v>45279</v>
      </c>
      <c r="S1167" s="8"/>
      <c r="T1167" s="8"/>
      <c r="U1167" s="8"/>
      <c r="V1167" s="8"/>
      <c r="W1167" s="8"/>
      <c r="X1167" s="8"/>
      <c r="Y1167" s="8"/>
      <c r="Z1167" s="10" t="s">
        <v>3190</v>
      </c>
      <c r="AA1167" s="8" t="s">
        <v>332</v>
      </c>
      <c r="AB1167" s="8">
        <v>1</v>
      </c>
    </row>
    <row r="1168" spans="1:28" ht="21.6" customHeight="1">
      <c r="A1168" s="8">
        <v>38</v>
      </c>
      <c r="B1168" s="8">
        <v>2025102401</v>
      </c>
      <c r="C1168" s="8">
        <v>1</v>
      </c>
      <c r="D1168" s="8" t="s">
        <v>3177</v>
      </c>
      <c r="E1168" s="8" t="s">
        <v>123</v>
      </c>
      <c r="F1168" s="8" t="s">
        <v>4515</v>
      </c>
      <c r="G1168" s="8" t="s">
        <v>4044</v>
      </c>
      <c r="H1168" s="8" t="s">
        <v>3401</v>
      </c>
      <c r="I1168" s="8" t="s">
        <v>4227</v>
      </c>
      <c r="J1168" s="8" t="s">
        <v>3301</v>
      </c>
      <c r="K1168" s="8" t="s">
        <v>3183</v>
      </c>
      <c r="L1168" s="10" t="s">
        <v>3289</v>
      </c>
      <c r="M1168" s="10" t="s">
        <v>3290</v>
      </c>
      <c r="N1168" s="10"/>
      <c r="O1168" s="8" t="s">
        <v>3190</v>
      </c>
      <c r="P1168" s="8"/>
      <c r="Q1168" s="8">
        <v>471</v>
      </c>
      <c r="R1168" s="8">
        <v>8682</v>
      </c>
      <c r="S1168" s="8"/>
      <c r="T1168" s="8"/>
      <c r="U1168" s="8"/>
      <c r="V1168" s="8"/>
      <c r="W1168" s="8"/>
      <c r="X1168" s="8"/>
      <c r="Y1168" s="8"/>
      <c r="Z1168" s="10" t="s">
        <v>3190</v>
      </c>
      <c r="AA1168" s="8" t="s">
        <v>332</v>
      </c>
      <c r="AB1168" s="8">
        <v>1</v>
      </c>
    </row>
    <row r="1169" spans="1:28" ht="21.6" customHeight="1">
      <c r="A1169" s="8">
        <v>39</v>
      </c>
      <c r="B1169" s="8">
        <v>2025102410</v>
      </c>
      <c r="C1169" s="8">
        <v>1</v>
      </c>
      <c r="D1169" s="8" t="s">
        <v>3177</v>
      </c>
      <c r="E1169" s="8" t="s">
        <v>123</v>
      </c>
      <c r="F1169" s="8" t="s">
        <v>4515</v>
      </c>
      <c r="G1169" s="8" t="s">
        <v>3687</v>
      </c>
      <c r="H1169" s="8" t="s">
        <v>4522</v>
      </c>
      <c r="I1169" s="8" t="s">
        <v>4230</v>
      </c>
      <c r="J1169" s="8" t="s">
        <v>3328</v>
      </c>
      <c r="K1169" s="8" t="s">
        <v>3183</v>
      </c>
      <c r="L1169" s="10" t="s">
        <v>3314</v>
      </c>
      <c r="M1169" s="10" t="s">
        <v>3315</v>
      </c>
      <c r="N1169" s="10"/>
      <c r="O1169" s="8" t="s">
        <v>3190</v>
      </c>
      <c r="P1169" s="8"/>
      <c r="Q1169" s="8">
        <v>2701</v>
      </c>
      <c r="R1169" s="8">
        <v>4749</v>
      </c>
      <c r="S1169" s="8"/>
      <c r="T1169" s="8"/>
      <c r="U1169" s="8"/>
      <c r="V1169" s="8"/>
      <c r="W1169" s="8"/>
      <c r="X1169" s="8"/>
      <c r="Y1169" s="8"/>
      <c r="Z1169" s="10" t="s">
        <v>3190</v>
      </c>
      <c r="AA1169" s="8" t="s">
        <v>332</v>
      </c>
      <c r="AB1169" s="8">
        <v>1</v>
      </c>
    </row>
    <row r="1170" spans="1:28" ht="21.6" customHeight="1">
      <c r="A1170" s="8">
        <v>117</v>
      </c>
      <c r="B1170" s="8">
        <v>2025102453</v>
      </c>
      <c r="C1170" s="8">
        <v>1</v>
      </c>
      <c r="D1170" s="8" t="s">
        <v>3177</v>
      </c>
      <c r="E1170" s="8" t="s">
        <v>118</v>
      </c>
      <c r="F1170" s="8" t="s">
        <v>4515</v>
      </c>
      <c r="G1170" s="8" t="s">
        <v>3250</v>
      </c>
      <c r="H1170" s="8" t="s">
        <v>3427</v>
      </c>
      <c r="I1170" s="8" t="s">
        <v>4249</v>
      </c>
      <c r="J1170" s="8" t="s">
        <v>3253</v>
      </c>
      <c r="K1170" s="8" t="s">
        <v>3183</v>
      </c>
      <c r="L1170" s="10" t="s">
        <v>3254</v>
      </c>
      <c r="M1170" s="10" t="s">
        <v>4250</v>
      </c>
      <c r="N1170" s="10" t="s">
        <v>4251</v>
      </c>
      <c r="O1170" s="8" t="s">
        <v>363</v>
      </c>
      <c r="P1170" s="8"/>
      <c r="Q1170" s="8"/>
      <c r="R1170" s="8">
        <v>31999</v>
      </c>
      <c r="S1170" s="8"/>
      <c r="T1170" s="8"/>
      <c r="U1170" s="8"/>
      <c r="V1170" s="8"/>
      <c r="W1170" s="8"/>
      <c r="X1170" s="8"/>
      <c r="Y1170" s="8"/>
      <c r="Z1170" s="10" t="s">
        <v>4523</v>
      </c>
      <c r="AA1170" s="8" t="s">
        <v>332</v>
      </c>
      <c r="AB1170" s="8">
        <v>1</v>
      </c>
    </row>
    <row r="1171" spans="1:28" ht="21.6" customHeight="1">
      <c r="A1171" s="8">
        <v>123</v>
      </c>
      <c r="B1171" s="8">
        <v>2025101992</v>
      </c>
      <c r="C1171" s="8">
        <v>1</v>
      </c>
      <c r="D1171" s="8" t="s">
        <v>3177</v>
      </c>
      <c r="E1171" s="8" t="s">
        <v>118</v>
      </c>
      <c r="F1171" s="8" t="s">
        <v>4524</v>
      </c>
      <c r="G1171" s="8" t="s">
        <v>3350</v>
      </c>
      <c r="H1171" s="8" t="s">
        <v>3280</v>
      </c>
      <c r="I1171" s="8" t="s">
        <v>3706</v>
      </c>
      <c r="J1171" s="8" t="s">
        <v>3253</v>
      </c>
      <c r="K1171" s="8" t="s">
        <v>3183</v>
      </c>
      <c r="L1171" s="10" t="s">
        <v>3707</v>
      </c>
      <c r="M1171" s="10" t="s">
        <v>3708</v>
      </c>
      <c r="N1171" s="10" t="s">
        <v>3424</v>
      </c>
      <c r="O1171" s="8" t="s">
        <v>3190</v>
      </c>
      <c r="P1171" s="8"/>
      <c r="Q1171" s="8"/>
      <c r="R1171" s="8">
        <v>230690</v>
      </c>
      <c r="S1171" s="8"/>
      <c r="T1171" s="8"/>
      <c r="U1171" s="8"/>
      <c r="V1171" s="8"/>
      <c r="W1171" s="8"/>
      <c r="X1171" s="8"/>
      <c r="Y1171" s="8"/>
      <c r="Z1171" s="10" t="s">
        <v>3696</v>
      </c>
      <c r="AA1171" s="8" t="s">
        <v>332</v>
      </c>
      <c r="AB1171" s="8">
        <v>1</v>
      </c>
    </row>
    <row r="1172" spans="1:28" ht="21.6" customHeight="1">
      <c r="A1172" s="8">
        <v>143</v>
      </c>
      <c r="B1172" s="8">
        <v>2025100071</v>
      </c>
      <c r="C1172" s="8">
        <v>1</v>
      </c>
      <c r="D1172" s="8" t="s">
        <v>3177</v>
      </c>
      <c r="E1172" s="8" t="s">
        <v>118</v>
      </c>
      <c r="F1172" s="8" t="s">
        <v>4469</v>
      </c>
      <c r="G1172" s="8" t="s">
        <v>3401</v>
      </c>
      <c r="H1172" s="8" t="s">
        <v>3357</v>
      </c>
      <c r="I1172" s="8" t="s">
        <v>4426</v>
      </c>
      <c r="J1172" s="8" t="s">
        <v>3277</v>
      </c>
      <c r="K1172" s="8" t="s">
        <v>3183</v>
      </c>
      <c r="L1172" s="10" t="s">
        <v>3398</v>
      </c>
      <c r="M1172" s="10" t="s">
        <v>3522</v>
      </c>
      <c r="N1172" s="10" t="s">
        <v>3523</v>
      </c>
      <c r="O1172" s="8" t="s">
        <v>3190</v>
      </c>
      <c r="P1172" s="8"/>
      <c r="Q1172" s="8"/>
      <c r="R1172" s="8">
        <v>4020</v>
      </c>
      <c r="S1172" s="8"/>
      <c r="T1172" s="8"/>
      <c r="U1172" s="8"/>
      <c r="V1172" s="8"/>
      <c r="W1172" s="8"/>
      <c r="X1172" s="8"/>
      <c r="Y1172" s="8"/>
      <c r="Z1172" s="10" t="s">
        <v>3696</v>
      </c>
      <c r="AA1172" s="8" t="s">
        <v>332</v>
      </c>
      <c r="AB1172" s="8">
        <v>1</v>
      </c>
    </row>
    <row r="1173" spans="1:28" ht="21.6" customHeight="1">
      <c r="A1173" s="8">
        <v>154</v>
      </c>
      <c r="B1173" s="8">
        <v>2025102481</v>
      </c>
      <c r="C1173" s="8">
        <v>1</v>
      </c>
      <c r="D1173" s="8" t="s">
        <v>3177</v>
      </c>
      <c r="E1173" s="8" t="s">
        <v>118</v>
      </c>
      <c r="F1173" s="8" t="s">
        <v>4515</v>
      </c>
      <c r="G1173" s="8" t="s">
        <v>3427</v>
      </c>
      <c r="H1173" s="8" t="s">
        <v>3387</v>
      </c>
      <c r="I1173" s="8" t="s">
        <v>4351</v>
      </c>
      <c r="J1173" s="8" t="s">
        <v>3288</v>
      </c>
      <c r="K1173" s="8" t="s">
        <v>3183</v>
      </c>
      <c r="L1173" s="10" t="s">
        <v>3254</v>
      </c>
      <c r="M1173" s="10" t="s">
        <v>4352</v>
      </c>
      <c r="N1173" s="10" t="s">
        <v>4353</v>
      </c>
      <c r="O1173" s="8" t="s">
        <v>363</v>
      </c>
      <c r="P1173" s="8"/>
      <c r="Q1173" s="8">
        <v>1000</v>
      </c>
      <c r="R1173" s="8">
        <v>9230</v>
      </c>
      <c r="S1173" s="8"/>
      <c r="T1173" s="8"/>
      <c r="U1173" s="8"/>
      <c r="V1173" s="8"/>
      <c r="W1173" s="8"/>
      <c r="X1173" s="8"/>
      <c r="Y1173" s="8"/>
      <c r="Z1173" s="10" t="s">
        <v>4525</v>
      </c>
      <c r="AA1173" s="8" t="s">
        <v>332</v>
      </c>
      <c r="AB1173" s="8">
        <v>1</v>
      </c>
    </row>
    <row r="1174" spans="1:28" ht="21.6" customHeight="1">
      <c r="A1174" s="8">
        <v>182</v>
      </c>
      <c r="B1174" s="8">
        <v>2025102534</v>
      </c>
      <c r="C1174" s="8">
        <v>1</v>
      </c>
      <c r="D1174" s="8" t="s">
        <v>3177</v>
      </c>
      <c r="E1174" s="8" t="s">
        <v>118</v>
      </c>
      <c r="F1174" s="8" t="s">
        <v>4526</v>
      </c>
      <c r="G1174" s="8" t="s">
        <v>3350</v>
      </c>
      <c r="H1174" s="8" t="s">
        <v>3363</v>
      </c>
      <c r="I1174" s="8" t="s">
        <v>4093</v>
      </c>
      <c r="J1174" s="8" t="s">
        <v>3543</v>
      </c>
      <c r="K1174" s="8" t="s">
        <v>3183</v>
      </c>
      <c r="L1174" s="10" t="s">
        <v>4094</v>
      </c>
      <c r="M1174" s="10" t="s">
        <v>4095</v>
      </c>
      <c r="N1174" s="10" t="s">
        <v>3424</v>
      </c>
      <c r="O1174" s="8" t="s">
        <v>363</v>
      </c>
      <c r="P1174" s="8"/>
      <c r="Q1174" s="8"/>
      <c r="R1174" s="8">
        <v>1494</v>
      </c>
      <c r="S1174" s="8"/>
      <c r="T1174" s="8"/>
      <c r="U1174" s="8"/>
      <c r="V1174" s="8"/>
      <c r="W1174" s="8"/>
      <c r="X1174" s="8"/>
      <c r="Y1174" s="8"/>
      <c r="Z1174" s="10" t="s">
        <v>4527</v>
      </c>
      <c r="AA1174" s="8" t="s">
        <v>332</v>
      </c>
      <c r="AB1174" s="8">
        <v>1</v>
      </c>
    </row>
    <row r="1175" spans="1:28" ht="21.6" customHeight="1">
      <c r="A1175" s="8">
        <v>195</v>
      </c>
      <c r="B1175" s="8">
        <v>2025102374</v>
      </c>
      <c r="C1175" s="8">
        <v>1</v>
      </c>
      <c r="D1175" s="8" t="s">
        <v>3177</v>
      </c>
      <c r="E1175" s="8" t="s">
        <v>118</v>
      </c>
      <c r="F1175" s="8" t="s">
        <v>4515</v>
      </c>
      <c r="G1175" s="8" t="s">
        <v>3280</v>
      </c>
      <c r="H1175" s="8" t="s">
        <v>3281</v>
      </c>
      <c r="I1175" s="8" t="s">
        <v>3567</v>
      </c>
      <c r="J1175" s="8" t="s">
        <v>1717</v>
      </c>
      <c r="K1175" s="8" t="s">
        <v>3183</v>
      </c>
      <c r="L1175" s="10" t="s">
        <v>3254</v>
      </c>
      <c r="M1175" s="10" t="s">
        <v>3547</v>
      </c>
      <c r="N1175" s="10" t="s">
        <v>3568</v>
      </c>
      <c r="O1175" s="8" t="s">
        <v>322</v>
      </c>
      <c r="P1175" s="8"/>
      <c r="Q1175" s="8"/>
      <c r="R1175" s="8">
        <v>12160</v>
      </c>
      <c r="S1175" s="8"/>
      <c r="T1175" s="8"/>
      <c r="U1175" s="8" t="s">
        <v>332</v>
      </c>
      <c r="V1175" s="8"/>
      <c r="W1175" s="8"/>
      <c r="X1175" s="8"/>
      <c r="Y1175" s="8"/>
      <c r="Z1175" s="10" t="s">
        <v>3362</v>
      </c>
      <c r="AA1175" s="8" t="s">
        <v>332</v>
      </c>
      <c r="AB1175" s="8">
        <v>1</v>
      </c>
    </row>
    <row r="1176" spans="1:28" ht="21.6" customHeight="1">
      <c r="A1176" s="8">
        <v>198</v>
      </c>
      <c r="B1176" s="8">
        <v>2025102373</v>
      </c>
      <c r="C1176" s="8">
        <v>1</v>
      </c>
      <c r="D1176" s="8" t="s">
        <v>3177</v>
      </c>
      <c r="E1176" s="8" t="s">
        <v>118</v>
      </c>
      <c r="F1176" s="8" t="s">
        <v>4515</v>
      </c>
      <c r="G1176" s="8" t="s">
        <v>3396</v>
      </c>
      <c r="H1176" s="8" t="s">
        <v>3280</v>
      </c>
      <c r="I1176" s="8" t="s">
        <v>3570</v>
      </c>
      <c r="J1176" s="8" t="s">
        <v>1717</v>
      </c>
      <c r="K1176" s="8" t="s">
        <v>3183</v>
      </c>
      <c r="L1176" s="10" t="s">
        <v>3254</v>
      </c>
      <c r="M1176" s="10" t="s">
        <v>3547</v>
      </c>
      <c r="N1176" s="10" t="s">
        <v>3571</v>
      </c>
      <c r="O1176" s="8" t="s">
        <v>322</v>
      </c>
      <c r="P1176" s="8"/>
      <c r="Q1176" s="8"/>
      <c r="R1176" s="8">
        <v>87781</v>
      </c>
      <c r="S1176" s="8"/>
      <c r="T1176" s="8"/>
      <c r="U1176" s="8" t="s">
        <v>332</v>
      </c>
      <c r="V1176" s="8"/>
      <c r="W1176" s="8"/>
      <c r="X1176" s="8"/>
      <c r="Y1176" s="8"/>
      <c r="Z1176" s="10" t="s">
        <v>3362</v>
      </c>
      <c r="AA1176" s="8" t="s">
        <v>332</v>
      </c>
      <c r="AB1176" s="8">
        <v>1</v>
      </c>
    </row>
    <row r="1177" spans="1:28" ht="21.6" customHeight="1">
      <c r="A1177" s="8">
        <v>201</v>
      </c>
      <c r="B1177" s="8">
        <v>2025102377</v>
      </c>
      <c r="C1177" s="8">
        <v>1</v>
      </c>
      <c r="D1177" s="8" t="s">
        <v>3177</v>
      </c>
      <c r="E1177" s="8" t="s">
        <v>118</v>
      </c>
      <c r="F1177" s="8" t="s">
        <v>4515</v>
      </c>
      <c r="G1177" s="8" t="s">
        <v>3363</v>
      </c>
      <c r="H1177" s="8" t="s">
        <v>3233</v>
      </c>
      <c r="I1177" s="8" t="s">
        <v>4287</v>
      </c>
      <c r="J1177" s="8" t="s">
        <v>1717</v>
      </c>
      <c r="K1177" s="8" t="s">
        <v>3183</v>
      </c>
      <c r="L1177" s="10" t="s">
        <v>3550</v>
      </c>
      <c r="M1177" s="10" t="s">
        <v>3551</v>
      </c>
      <c r="N1177" s="10" t="s">
        <v>3552</v>
      </c>
      <c r="O1177" s="8" t="s">
        <v>322</v>
      </c>
      <c r="P1177" s="8"/>
      <c r="Q1177" s="8"/>
      <c r="R1177" s="8">
        <v>68795</v>
      </c>
      <c r="S1177" s="8"/>
      <c r="T1177" s="8"/>
      <c r="U1177" s="8" t="s">
        <v>332</v>
      </c>
      <c r="V1177" s="8"/>
      <c r="W1177" s="8"/>
      <c r="X1177" s="8"/>
      <c r="Y1177" s="8"/>
      <c r="Z1177" s="10" t="s">
        <v>3362</v>
      </c>
      <c r="AA1177" s="8" t="s">
        <v>332</v>
      </c>
      <c r="AB1177" s="8">
        <v>1</v>
      </c>
    </row>
    <row r="1178" spans="1:28" ht="21.6" customHeight="1">
      <c r="A1178" s="8">
        <v>204</v>
      </c>
      <c r="B1178" s="8">
        <v>2025102372</v>
      </c>
      <c r="C1178" s="8">
        <v>1</v>
      </c>
      <c r="D1178" s="8" t="s">
        <v>3177</v>
      </c>
      <c r="E1178" s="8" t="s">
        <v>118</v>
      </c>
      <c r="F1178" s="8" t="s">
        <v>4515</v>
      </c>
      <c r="G1178" s="8" t="s">
        <v>3350</v>
      </c>
      <c r="H1178" s="8" t="s">
        <v>3396</v>
      </c>
      <c r="I1178" s="8" t="s">
        <v>4450</v>
      </c>
      <c r="J1178" s="8" t="s">
        <v>1717</v>
      </c>
      <c r="K1178" s="8" t="s">
        <v>3183</v>
      </c>
      <c r="L1178" s="10" t="s">
        <v>3254</v>
      </c>
      <c r="M1178" s="10" t="s">
        <v>3547</v>
      </c>
      <c r="N1178" s="10" t="s">
        <v>3747</v>
      </c>
      <c r="O1178" s="8" t="s">
        <v>322</v>
      </c>
      <c r="P1178" s="8"/>
      <c r="Q1178" s="8"/>
      <c r="R1178" s="8">
        <v>47607</v>
      </c>
      <c r="S1178" s="8"/>
      <c r="T1178" s="8"/>
      <c r="U1178" s="8" t="s">
        <v>332</v>
      </c>
      <c r="V1178" s="8"/>
      <c r="W1178" s="8"/>
      <c r="X1178" s="8"/>
      <c r="Y1178" s="8"/>
      <c r="Z1178" s="10" t="s">
        <v>3362</v>
      </c>
      <c r="AA1178" s="8" t="s">
        <v>332</v>
      </c>
      <c r="AB1178" s="8">
        <v>1</v>
      </c>
    </row>
    <row r="1179" spans="1:28" ht="21.6" customHeight="1">
      <c r="A1179" s="8">
        <v>207</v>
      </c>
      <c r="B1179" s="8">
        <v>2025102395</v>
      </c>
      <c r="C1179" s="8">
        <v>1</v>
      </c>
      <c r="D1179" s="8" t="s">
        <v>3177</v>
      </c>
      <c r="E1179" s="8" t="s">
        <v>118</v>
      </c>
      <c r="F1179" s="8" t="s">
        <v>4515</v>
      </c>
      <c r="G1179" s="8" t="s">
        <v>3381</v>
      </c>
      <c r="H1179" s="8" t="s">
        <v>3354</v>
      </c>
      <c r="I1179" s="8" t="s">
        <v>3757</v>
      </c>
      <c r="J1179" s="8" t="s">
        <v>3758</v>
      </c>
      <c r="K1179" s="8" t="s">
        <v>3183</v>
      </c>
      <c r="L1179" s="10" t="s">
        <v>3759</v>
      </c>
      <c r="M1179" s="10" t="s">
        <v>3760</v>
      </c>
      <c r="N1179" s="10" t="s">
        <v>3761</v>
      </c>
      <c r="O1179" s="8" t="s">
        <v>322</v>
      </c>
      <c r="P1179" s="8"/>
      <c r="Q1179" s="8">
        <v>2726</v>
      </c>
      <c r="R1179" s="8">
        <v>183420</v>
      </c>
      <c r="S1179" s="8"/>
      <c r="T1179" s="8"/>
      <c r="U1179" s="8" t="s">
        <v>332</v>
      </c>
      <c r="V1179" s="8"/>
      <c r="W1179" s="8"/>
      <c r="X1179" s="8"/>
      <c r="Y1179" s="8"/>
      <c r="Z1179" s="10" t="s">
        <v>3362</v>
      </c>
      <c r="AA1179" s="8" t="s">
        <v>332</v>
      </c>
      <c r="AB1179" s="8">
        <v>1</v>
      </c>
    </row>
    <row r="1180" spans="1:28" ht="21.6" customHeight="1">
      <c r="A1180" s="8">
        <v>210</v>
      </c>
      <c r="B1180" s="8">
        <v>2025102396</v>
      </c>
      <c r="C1180" s="8">
        <v>1</v>
      </c>
      <c r="D1180" s="8" t="s">
        <v>3177</v>
      </c>
      <c r="E1180" s="8" t="s">
        <v>118</v>
      </c>
      <c r="F1180" s="8" t="s">
        <v>4515</v>
      </c>
      <c r="G1180" s="8" t="s">
        <v>3354</v>
      </c>
      <c r="H1180" s="8" t="s">
        <v>3401</v>
      </c>
      <c r="I1180" s="8" t="s">
        <v>3763</v>
      </c>
      <c r="J1180" s="8" t="s">
        <v>3758</v>
      </c>
      <c r="K1180" s="8" t="s">
        <v>3183</v>
      </c>
      <c r="L1180" s="10" t="s">
        <v>3759</v>
      </c>
      <c r="M1180" s="10" t="s">
        <v>3760</v>
      </c>
      <c r="N1180" s="10" t="s">
        <v>3764</v>
      </c>
      <c r="O1180" s="8" t="s">
        <v>322</v>
      </c>
      <c r="P1180" s="8"/>
      <c r="Q1180" s="8">
        <v>8780</v>
      </c>
      <c r="R1180" s="8">
        <v>299832</v>
      </c>
      <c r="S1180" s="8"/>
      <c r="T1180" s="8"/>
      <c r="U1180" s="8" t="s">
        <v>332</v>
      </c>
      <c r="V1180" s="8"/>
      <c r="W1180" s="8"/>
      <c r="X1180" s="8"/>
      <c r="Y1180" s="8"/>
      <c r="Z1180" s="10" t="s">
        <v>3362</v>
      </c>
      <c r="AA1180" s="8" t="s">
        <v>332</v>
      </c>
      <c r="AB1180" s="8">
        <v>1</v>
      </c>
    </row>
    <row r="1181" spans="1:28" ht="21.6" customHeight="1">
      <c r="A1181" s="8">
        <v>101</v>
      </c>
      <c r="B1181" s="8">
        <v>2025101565</v>
      </c>
      <c r="C1181" s="8">
        <v>1</v>
      </c>
      <c r="D1181" s="8" t="s">
        <v>3177</v>
      </c>
      <c r="E1181" s="8" t="s">
        <v>118</v>
      </c>
      <c r="F1181" s="8" t="s">
        <v>4492</v>
      </c>
      <c r="G1181" s="8" t="s">
        <v>3350</v>
      </c>
      <c r="H1181" s="8" t="s">
        <v>3280</v>
      </c>
      <c r="I1181" s="8" t="s">
        <v>3370</v>
      </c>
      <c r="J1181" s="8" t="s">
        <v>3195</v>
      </c>
      <c r="K1181" s="8" t="s">
        <v>3183</v>
      </c>
      <c r="L1181" s="10" t="s">
        <v>3371</v>
      </c>
      <c r="M1181" s="10" t="s">
        <v>3372</v>
      </c>
      <c r="N1181" s="10" t="s">
        <v>3373</v>
      </c>
      <c r="O1181" s="8" t="s">
        <v>3190</v>
      </c>
      <c r="P1181" s="8"/>
      <c r="Q1181" s="8">
        <v>17215</v>
      </c>
      <c r="R1181" s="8">
        <v>147527</v>
      </c>
      <c r="S1181" s="8"/>
      <c r="T1181" s="8"/>
      <c r="U1181" s="8"/>
      <c r="V1181" s="8"/>
      <c r="W1181" s="8"/>
      <c r="X1181" s="8"/>
      <c r="Y1181" s="8"/>
      <c r="Z1181" s="10" t="s">
        <v>3696</v>
      </c>
      <c r="AA1181" s="8" t="s">
        <v>332</v>
      </c>
      <c r="AB1181" s="8">
        <v>1</v>
      </c>
    </row>
    <row r="1182" spans="1:28" ht="21.6" customHeight="1">
      <c r="A1182" s="8">
        <v>104</v>
      </c>
      <c r="B1182" s="8">
        <v>2025102613</v>
      </c>
      <c r="C1182" s="8">
        <v>1</v>
      </c>
      <c r="D1182" s="8" t="s">
        <v>3177</v>
      </c>
      <c r="E1182" s="8" t="s">
        <v>118</v>
      </c>
      <c r="F1182" s="8" t="s">
        <v>4526</v>
      </c>
      <c r="G1182" s="8" t="s">
        <v>3767</v>
      </c>
      <c r="H1182" s="8" t="s">
        <v>3368</v>
      </c>
      <c r="I1182" s="8" t="s">
        <v>3675</v>
      </c>
      <c r="J1182" s="8" t="s">
        <v>3195</v>
      </c>
      <c r="K1182" s="8" t="s">
        <v>3183</v>
      </c>
      <c r="L1182" s="10" t="s">
        <v>3377</v>
      </c>
      <c r="M1182" s="10" t="s">
        <v>3676</v>
      </c>
      <c r="N1182" s="10" t="s">
        <v>3677</v>
      </c>
      <c r="O1182" s="8" t="s">
        <v>3190</v>
      </c>
      <c r="P1182" s="8"/>
      <c r="Q1182" s="8">
        <v>424</v>
      </c>
      <c r="R1182" s="8">
        <v>262</v>
      </c>
      <c r="S1182" s="8"/>
      <c r="T1182" s="8"/>
      <c r="U1182" s="8"/>
      <c r="V1182" s="8"/>
      <c r="W1182" s="8"/>
      <c r="X1182" s="8"/>
      <c r="Y1182" s="8"/>
      <c r="Z1182" s="10" t="s">
        <v>3821</v>
      </c>
      <c r="AA1182" s="8" t="s">
        <v>332</v>
      </c>
      <c r="AB1182" s="8">
        <v>1</v>
      </c>
    </row>
    <row r="1183" spans="1:28" ht="21.6" customHeight="1">
      <c r="A1183" s="8">
        <v>127</v>
      </c>
      <c r="B1183" s="8">
        <v>2025102676</v>
      </c>
      <c r="C1183" s="8">
        <v>1</v>
      </c>
      <c r="D1183" s="8" t="s">
        <v>3177</v>
      </c>
      <c r="E1183" s="8" t="s">
        <v>118</v>
      </c>
      <c r="F1183" s="8" t="s">
        <v>4526</v>
      </c>
      <c r="G1183" s="8" t="s">
        <v>3426</v>
      </c>
      <c r="H1183" s="8" t="s">
        <v>3431</v>
      </c>
      <c r="I1183" s="8" t="s">
        <v>4528</v>
      </c>
      <c r="J1183" s="8" t="s">
        <v>3224</v>
      </c>
      <c r="K1183" s="8" t="s">
        <v>3183</v>
      </c>
      <c r="L1183" s="10" t="s">
        <v>3377</v>
      </c>
      <c r="M1183" s="10" t="s">
        <v>4529</v>
      </c>
      <c r="N1183" s="10" t="s">
        <v>3379</v>
      </c>
      <c r="O1183" s="8" t="s">
        <v>322</v>
      </c>
      <c r="P1183" s="8"/>
      <c r="Q1183" s="8">
        <v>2425</v>
      </c>
      <c r="R1183" s="8">
        <v>2632</v>
      </c>
      <c r="S1183" s="8"/>
      <c r="T1183" s="8"/>
      <c r="U1183" s="8" t="s">
        <v>332</v>
      </c>
      <c r="V1183" s="8"/>
      <c r="W1183" s="8"/>
      <c r="X1183" s="8"/>
      <c r="Y1183" s="8"/>
      <c r="Z1183" s="10" t="s">
        <v>3362</v>
      </c>
      <c r="AA1183" s="8" t="s">
        <v>332</v>
      </c>
      <c r="AB1183" s="8">
        <v>1</v>
      </c>
    </row>
    <row r="1184" spans="1:28" ht="21.6" customHeight="1">
      <c r="A1184" s="8">
        <v>216</v>
      </c>
      <c r="B1184" s="8">
        <v>2025102646</v>
      </c>
      <c r="C1184" s="8">
        <v>1</v>
      </c>
      <c r="D1184" s="8" t="s">
        <v>3177</v>
      </c>
      <c r="E1184" s="8" t="s">
        <v>118</v>
      </c>
      <c r="F1184" s="8" t="s">
        <v>4526</v>
      </c>
      <c r="G1184" s="8" t="s">
        <v>3386</v>
      </c>
      <c r="H1184" s="8" t="s">
        <v>3426</v>
      </c>
      <c r="I1184" s="8" t="s">
        <v>3562</v>
      </c>
      <c r="J1184" s="8" t="s">
        <v>1717</v>
      </c>
      <c r="K1184" s="8" t="s">
        <v>3183</v>
      </c>
      <c r="L1184" s="10" t="s">
        <v>3563</v>
      </c>
      <c r="M1184" s="10" t="s">
        <v>3564</v>
      </c>
      <c r="N1184" s="10" t="s">
        <v>3565</v>
      </c>
      <c r="O1184" s="8" t="s">
        <v>363</v>
      </c>
      <c r="P1184" s="8"/>
      <c r="Q1184" s="8"/>
      <c r="R1184" s="8">
        <v>119299</v>
      </c>
      <c r="S1184" s="8"/>
      <c r="T1184" s="8"/>
      <c r="U1184" s="8"/>
      <c r="V1184" s="8"/>
      <c r="W1184" s="8"/>
      <c r="X1184" s="8"/>
      <c r="Y1184" s="8"/>
      <c r="Z1184" s="10" t="s">
        <v>4252</v>
      </c>
      <c r="AA1184" s="8" t="s">
        <v>332</v>
      </c>
      <c r="AB1184" s="8">
        <v>1</v>
      </c>
    </row>
    <row r="1185" spans="1:28" ht="21.6" customHeight="1">
      <c r="A1185" s="8">
        <v>262</v>
      </c>
      <c r="B1185" s="8">
        <v>2025102605</v>
      </c>
      <c r="C1185" s="8">
        <v>1</v>
      </c>
      <c r="D1185" s="8" t="s">
        <v>3177</v>
      </c>
      <c r="E1185" s="8" t="s">
        <v>118</v>
      </c>
      <c r="F1185" s="8" t="s">
        <v>4526</v>
      </c>
      <c r="G1185" s="8" t="s">
        <v>3381</v>
      </c>
      <c r="H1185" s="8" t="s">
        <v>3401</v>
      </c>
      <c r="I1185" s="8" t="s">
        <v>4530</v>
      </c>
      <c r="J1185" s="8" t="s">
        <v>4531</v>
      </c>
      <c r="K1185" s="8" t="s">
        <v>3183</v>
      </c>
      <c r="L1185" s="10" t="s">
        <v>3377</v>
      </c>
      <c r="M1185" s="10" t="s">
        <v>4532</v>
      </c>
      <c r="N1185" s="10" t="s">
        <v>4533</v>
      </c>
      <c r="O1185" s="8" t="s">
        <v>3190</v>
      </c>
      <c r="P1185" s="8"/>
      <c r="Q1185" s="8"/>
      <c r="R1185" s="8">
        <v>349</v>
      </c>
      <c r="S1185" s="8"/>
      <c r="T1185" s="8"/>
      <c r="U1185" s="8"/>
      <c r="V1185" s="8"/>
      <c r="W1185" s="8"/>
      <c r="X1185" s="8"/>
      <c r="Y1185" s="8"/>
      <c r="Z1185" s="10" t="s">
        <v>3821</v>
      </c>
      <c r="AA1185" s="8" t="s">
        <v>332</v>
      </c>
      <c r="AB1185" s="8">
        <v>1</v>
      </c>
    </row>
    <row r="1186" spans="1:28" ht="21.6" customHeight="1">
      <c r="A1186" s="8">
        <v>8</v>
      </c>
      <c r="B1186" s="8">
        <v>2025102727</v>
      </c>
      <c r="C1186" s="8">
        <v>1</v>
      </c>
      <c r="D1186" s="8" t="s">
        <v>3177</v>
      </c>
      <c r="E1186" s="8" t="s">
        <v>123</v>
      </c>
      <c r="F1186" s="8" t="s">
        <v>4534</v>
      </c>
      <c r="G1186" s="8" t="s">
        <v>3311</v>
      </c>
      <c r="H1186" s="8" t="s">
        <v>3312</v>
      </c>
      <c r="I1186" s="8" t="s">
        <v>3240</v>
      </c>
      <c r="J1186" s="8" t="s">
        <v>3224</v>
      </c>
      <c r="K1186" s="8" t="s">
        <v>3183</v>
      </c>
      <c r="L1186" s="10" t="s">
        <v>3241</v>
      </c>
      <c r="M1186" s="10" t="s">
        <v>3242</v>
      </c>
      <c r="N1186" s="10"/>
      <c r="O1186" s="8" t="s">
        <v>322</v>
      </c>
      <c r="P1186" s="8"/>
      <c r="Q1186" s="8">
        <v>2227</v>
      </c>
      <c r="R1186" s="8">
        <v>2018</v>
      </c>
      <c r="S1186" s="8" t="s">
        <v>332</v>
      </c>
      <c r="T1186" s="8"/>
      <c r="U1186" s="8"/>
      <c r="V1186" s="8"/>
      <c r="W1186" s="8"/>
      <c r="X1186" s="8"/>
      <c r="Y1186" s="8"/>
      <c r="Z1186" s="10" t="s">
        <v>3186</v>
      </c>
      <c r="AA1186" s="8" t="s">
        <v>332</v>
      </c>
      <c r="AB1186" s="8">
        <v>1</v>
      </c>
    </row>
    <row r="1187" spans="1:28" ht="21.6" customHeight="1">
      <c r="A1187" s="8">
        <v>14</v>
      </c>
      <c r="B1187" s="8">
        <v>2025102712</v>
      </c>
      <c r="C1187" s="8">
        <v>1</v>
      </c>
      <c r="D1187" s="8" t="s">
        <v>3177</v>
      </c>
      <c r="E1187" s="8" t="s">
        <v>123</v>
      </c>
      <c r="F1187" s="8" t="s">
        <v>4534</v>
      </c>
      <c r="G1187" s="8" t="s">
        <v>3969</v>
      </c>
      <c r="H1187" s="8" t="s">
        <v>3468</v>
      </c>
      <c r="I1187" s="8" t="s">
        <v>4370</v>
      </c>
      <c r="J1187" s="8" t="s">
        <v>3224</v>
      </c>
      <c r="K1187" s="8" t="s">
        <v>3183</v>
      </c>
      <c r="L1187" s="10" t="s">
        <v>4371</v>
      </c>
      <c r="M1187" s="10" t="s">
        <v>3185</v>
      </c>
      <c r="N1187" s="10"/>
      <c r="O1187" s="8" t="s">
        <v>322</v>
      </c>
      <c r="P1187" s="8"/>
      <c r="Q1187" s="8">
        <v>295</v>
      </c>
      <c r="R1187" s="8">
        <v>4031</v>
      </c>
      <c r="S1187" s="8" t="s">
        <v>332</v>
      </c>
      <c r="T1187" s="8"/>
      <c r="U1187" s="8"/>
      <c r="V1187" s="8"/>
      <c r="W1187" s="8"/>
      <c r="X1187" s="8"/>
      <c r="Y1187" s="8"/>
      <c r="Z1187" s="10" t="s">
        <v>3186</v>
      </c>
      <c r="AA1187" s="8" t="s">
        <v>332</v>
      </c>
      <c r="AB1187" s="8">
        <v>1</v>
      </c>
    </row>
    <row r="1188" spans="1:28" ht="21.6" customHeight="1">
      <c r="A1188" s="8">
        <v>122</v>
      </c>
      <c r="B1188" s="8">
        <v>2025101026</v>
      </c>
      <c r="C1188" s="8">
        <v>1</v>
      </c>
      <c r="D1188" s="8" t="s">
        <v>3177</v>
      </c>
      <c r="E1188" s="8" t="s">
        <v>118</v>
      </c>
      <c r="F1188" s="8" t="s">
        <v>4485</v>
      </c>
      <c r="G1188" s="8" t="s">
        <v>3426</v>
      </c>
      <c r="H1188" s="8" t="s">
        <v>3431</v>
      </c>
      <c r="I1188" s="8" t="s">
        <v>3940</v>
      </c>
      <c r="J1188" s="8" t="s">
        <v>3224</v>
      </c>
      <c r="K1188" s="8" t="s">
        <v>3183</v>
      </c>
      <c r="L1188" s="10" t="s">
        <v>3383</v>
      </c>
      <c r="M1188" s="10" t="s">
        <v>3941</v>
      </c>
      <c r="N1188" s="10" t="s">
        <v>3942</v>
      </c>
      <c r="O1188" s="8" t="s">
        <v>3190</v>
      </c>
      <c r="P1188" s="8">
        <v>117</v>
      </c>
      <c r="Q1188" s="8">
        <v>926</v>
      </c>
      <c r="R1188" s="8">
        <v>3189</v>
      </c>
      <c r="S1188" s="8"/>
      <c r="T1188" s="8"/>
      <c r="U1188" s="8"/>
      <c r="V1188" s="8"/>
      <c r="W1188" s="8"/>
      <c r="X1188" s="8"/>
      <c r="Y1188" s="8"/>
      <c r="Z1188" s="10" t="s">
        <v>3696</v>
      </c>
      <c r="AA1188" s="8" t="s">
        <v>332</v>
      </c>
      <c r="AB1188" s="8">
        <v>1</v>
      </c>
    </row>
    <row r="1189" spans="1:28" ht="21.6" customHeight="1">
      <c r="A1189" s="8">
        <v>183</v>
      </c>
      <c r="B1189" s="8">
        <v>2025102698</v>
      </c>
      <c r="C1189" s="8">
        <v>1</v>
      </c>
      <c r="D1189" s="8" t="s">
        <v>3177</v>
      </c>
      <c r="E1189" s="8" t="s">
        <v>118</v>
      </c>
      <c r="F1189" s="8" t="s">
        <v>4534</v>
      </c>
      <c r="G1189" s="8" t="s">
        <v>3363</v>
      </c>
      <c r="H1189" s="8" t="s">
        <v>4057</v>
      </c>
      <c r="I1189" s="8" t="s">
        <v>4328</v>
      </c>
      <c r="J1189" s="8" t="s">
        <v>3288</v>
      </c>
      <c r="K1189" s="8" t="s">
        <v>3183</v>
      </c>
      <c r="L1189" s="10" t="s">
        <v>3254</v>
      </c>
      <c r="M1189" s="10" t="s">
        <v>4329</v>
      </c>
      <c r="N1189" s="10" t="s">
        <v>4330</v>
      </c>
      <c r="O1189" s="8" t="s">
        <v>363</v>
      </c>
      <c r="P1189" s="8"/>
      <c r="Q1189" s="8">
        <v>7283</v>
      </c>
      <c r="R1189" s="8">
        <v>12281</v>
      </c>
      <c r="S1189" s="8"/>
      <c r="T1189" s="8"/>
      <c r="U1189" s="8"/>
      <c r="V1189" s="8"/>
      <c r="W1189" s="8"/>
      <c r="X1189" s="8"/>
      <c r="Y1189" s="8"/>
      <c r="Z1189" s="10" t="s">
        <v>4535</v>
      </c>
      <c r="AA1189" s="8" t="s">
        <v>332</v>
      </c>
      <c r="AB1189" s="8">
        <v>1</v>
      </c>
    </row>
    <row r="1190" spans="1:28" ht="21.6" customHeight="1">
      <c r="A1190" s="8">
        <v>224</v>
      </c>
      <c r="B1190" s="8">
        <v>2025102690</v>
      </c>
      <c r="C1190" s="8">
        <v>1</v>
      </c>
      <c r="D1190" s="8" t="s">
        <v>3177</v>
      </c>
      <c r="E1190" s="8" t="s">
        <v>118</v>
      </c>
      <c r="F1190" s="8" t="s">
        <v>4534</v>
      </c>
      <c r="G1190" s="8" t="s">
        <v>3280</v>
      </c>
      <c r="H1190" s="8" t="s">
        <v>3363</v>
      </c>
      <c r="I1190" s="8" t="s">
        <v>3557</v>
      </c>
      <c r="J1190" s="8" t="s">
        <v>3328</v>
      </c>
      <c r="K1190" s="8" t="s">
        <v>3183</v>
      </c>
      <c r="L1190" s="10" t="s">
        <v>3558</v>
      </c>
      <c r="M1190" s="10" t="s">
        <v>3559</v>
      </c>
      <c r="N1190" s="10" t="s">
        <v>3508</v>
      </c>
      <c r="O1190" s="8" t="s">
        <v>322</v>
      </c>
      <c r="P1190" s="8"/>
      <c r="Q1190" s="8">
        <v>4112</v>
      </c>
      <c r="R1190" s="8">
        <v>1507</v>
      </c>
      <c r="S1190" s="8" t="s">
        <v>332</v>
      </c>
      <c r="T1190" s="8"/>
      <c r="U1190" s="8"/>
      <c r="V1190" s="8"/>
      <c r="W1190" s="8"/>
      <c r="X1190" s="8"/>
      <c r="Y1190" s="8"/>
      <c r="Z1190" s="10" t="s">
        <v>3821</v>
      </c>
      <c r="AA1190" s="8" t="s">
        <v>332</v>
      </c>
      <c r="AB1190" s="8">
        <v>1</v>
      </c>
    </row>
    <row r="1191" spans="1:28" ht="21.6" customHeight="1">
      <c r="A1191" s="8">
        <v>18</v>
      </c>
      <c r="B1191" s="8">
        <v>2025101882</v>
      </c>
      <c r="C1191" s="8">
        <v>1</v>
      </c>
      <c r="D1191" s="8" t="s">
        <v>3177</v>
      </c>
      <c r="E1191" s="8" t="s">
        <v>123</v>
      </c>
      <c r="F1191" s="8" t="s">
        <v>4506</v>
      </c>
      <c r="G1191" s="8" t="s">
        <v>4414</v>
      </c>
      <c r="H1191" s="8" t="s">
        <v>3698</v>
      </c>
      <c r="I1191" s="8" t="s">
        <v>4500</v>
      </c>
      <c r="J1191" s="8" t="s">
        <v>3224</v>
      </c>
      <c r="K1191" s="8" t="s">
        <v>3183</v>
      </c>
      <c r="L1191" s="10" t="s">
        <v>3207</v>
      </c>
      <c r="M1191" s="10" t="s">
        <v>3208</v>
      </c>
      <c r="N1191" s="10" t="s">
        <v>3209</v>
      </c>
      <c r="O1191" s="8" t="s">
        <v>3190</v>
      </c>
      <c r="P1191" s="8"/>
      <c r="Q1191" s="8">
        <v>2479</v>
      </c>
      <c r="R1191" s="8">
        <v>1822</v>
      </c>
      <c r="S1191" s="8"/>
      <c r="T1191" s="8"/>
      <c r="U1191" s="8"/>
      <c r="V1191" s="8"/>
      <c r="W1191" s="8"/>
      <c r="X1191" s="8"/>
      <c r="Y1191" s="8"/>
      <c r="Z1191" s="10" t="s">
        <v>3186</v>
      </c>
      <c r="AA1191" s="8" t="s">
        <v>332</v>
      </c>
      <c r="AB1191" s="8">
        <v>1</v>
      </c>
    </row>
    <row r="1192" spans="1:28" ht="21.6" customHeight="1">
      <c r="A1192" s="8">
        <v>30</v>
      </c>
      <c r="B1192" s="8">
        <v>2025102735</v>
      </c>
      <c r="C1192" s="8">
        <v>1</v>
      </c>
      <c r="D1192" s="8" t="s">
        <v>3177</v>
      </c>
      <c r="E1192" s="8" t="s">
        <v>123</v>
      </c>
      <c r="F1192" s="8" t="s">
        <v>4534</v>
      </c>
      <c r="G1192" s="8" t="s">
        <v>3790</v>
      </c>
      <c r="H1192" s="8" t="s">
        <v>3329</v>
      </c>
      <c r="I1192" s="8" t="s">
        <v>3263</v>
      </c>
      <c r="J1192" s="8" t="s">
        <v>3253</v>
      </c>
      <c r="K1192" s="8" t="s">
        <v>3183</v>
      </c>
      <c r="L1192" s="10" t="s">
        <v>3264</v>
      </c>
      <c r="M1192" s="10" t="s">
        <v>3265</v>
      </c>
      <c r="N1192" s="10" t="s">
        <v>123</v>
      </c>
      <c r="O1192" s="8" t="s">
        <v>322</v>
      </c>
      <c r="P1192" s="8"/>
      <c r="Q1192" s="8"/>
      <c r="R1192" s="8">
        <v>52415</v>
      </c>
      <c r="S1192" s="8" t="s">
        <v>332</v>
      </c>
      <c r="T1192" s="8"/>
      <c r="U1192" s="8"/>
      <c r="V1192" s="8"/>
      <c r="W1192" s="8"/>
      <c r="X1192" s="8"/>
      <c r="Y1192" s="8"/>
      <c r="Z1192" s="10" t="s">
        <v>3186</v>
      </c>
      <c r="AA1192" s="8" t="s">
        <v>332</v>
      </c>
      <c r="AB1192" s="8">
        <v>1</v>
      </c>
    </row>
    <row r="1193" spans="1:28" ht="21.6" customHeight="1">
      <c r="A1193" s="8">
        <v>36</v>
      </c>
      <c r="B1193" s="8">
        <v>2025102578</v>
      </c>
      <c r="C1193" s="8">
        <v>1</v>
      </c>
      <c r="D1193" s="8" t="s">
        <v>3177</v>
      </c>
      <c r="E1193" s="8" t="s">
        <v>123</v>
      </c>
      <c r="F1193" s="8" t="s">
        <v>4526</v>
      </c>
      <c r="G1193" s="8" t="s">
        <v>3339</v>
      </c>
      <c r="H1193" s="8" t="s">
        <v>3896</v>
      </c>
      <c r="I1193" s="8" t="s">
        <v>3908</v>
      </c>
      <c r="J1193" s="8" t="s">
        <v>3253</v>
      </c>
      <c r="K1193" s="8" t="s">
        <v>3183</v>
      </c>
      <c r="L1193" s="10" t="s">
        <v>3629</v>
      </c>
      <c r="M1193" s="10" t="s">
        <v>3909</v>
      </c>
      <c r="N1193" s="10" t="s">
        <v>123</v>
      </c>
      <c r="O1193" s="8" t="s">
        <v>3190</v>
      </c>
      <c r="P1193" s="8"/>
      <c r="Q1193" s="8"/>
      <c r="R1193" s="8">
        <v>36832</v>
      </c>
      <c r="S1193" s="8"/>
      <c r="T1193" s="8"/>
      <c r="U1193" s="8"/>
      <c r="V1193" s="8"/>
      <c r="W1193" s="8"/>
      <c r="X1193" s="8"/>
      <c r="Y1193" s="8"/>
      <c r="Z1193" s="10" t="s">
        <v>3186</v>
      </c>
      <c r="AA1193" s="8" t="s">
        <v>332</v>
      </c>
      <c r="AB1193" s="8">
        <v>1</v>
      </c>
    </row>
    <row r="1194" spans="1:28" ht="21.6" customHeight="1">
      <c r="A1194" s="8">
        <v>38</v>
      </c>
      <c r="B1194" s="8">
        <v>2025100154</v>
      </c>
      <c r="C1194" s="8">
        <v>1</v>
      </c>
      <c r="D1194" s="8" t="s">
        <v>3177</v>
      </c>
      <c r="E1194" s="8" t="s">
        <v>123</v>
      </c>
      <c r="F1194" s="8" t="s">
        <v>4469</v>
      </c>
      <c r="G1194" s="8" t="s">
        <v>3786</v>
      </c>
      <c r="H1194" s="8" t="s">
        <v>3787</v>
      </c>
      <c r="I1194" s="8" t="s">
        <v>3276</v>
      </c>
      <c r="J1194" s="8" t="s">
        <v>3277</v>
      </c>
      <c r="K1194" s="8" t="s">
        <v>3183</v>
      </c>
      <c r="L1194" s="10" t="s">
        <v>3278</v>
      </c>
      <c r="M1194" s="10" t="s">
        <v>3279</v>
      </c>
      <c r="N1194" s="10" t="s">
        <v>4408</v>
      </c>
      <c r="O1194" s="8" t="s">
        <v>3190</v>
      </c>
      <c r="P1194" s="8"/>
      <c r="Q1194" s="8"/>
      <c r="R1194" s="8">
        <v>68653</v>
      </c>
      <c r="S1194" s="8"/>
      <c r="T1194" s="8"/>
      <c r="U1194" s="8"/>
      <c r="V1194" s="8"/>
      <c r="W1194" s="8"/>
      <c r="X1194" s="8"/>
      <c r="Y1194" s="8"/>
      <c r="Z1194" s="10" t="s">
        <v>3186</v>
      </c>
      <c r="AA1194" s="8" t="s">
        <v>332</v>
      </c>
      <c r="AB1194" s="8">
        <v>1</v>
      </c>
    </row>
    <row r="1195" spans="1:28" ht="21.6" customHeight="1">
      <c r="A1195" s="8">
        <v>42</v>
      </c>
      <c r="B1195" s="8">
        <v>2025101692</v>
      </c>
      <c r="C1195" s="8">
        <v>1</v>
      </c>
      <c r="D1195" s="8" t="s">
        <v>3177</v>
      </c>
      <c r="E1195" s="8" t="s">
        <v>123</v>
      </c>
      <c r="F1195" s="8" t="s">
        <v>4492</v>
      </c>
      <c r="G1195" s="8" t="s">
        <v>4367</v>
      </c>
      <c r="H1195" s="8" t="s">
        <v>4501</v>
      </c>
      <c r="I1195" s="8" t="s">
        <v>4502</v>
      </c>
      <c r="J1195" s="8" t="s">
        <v>3277</v>
      </c>
      <c r="K1195" s="8" t="s">
        <v>3183</v>
      </c>
      <c r="L1195" s="10" t="s">
        <v>3207</v>
      </c>
      <c r="M1195" s="10" t="s">
        <v>3208</v>
      </c>
      <c r="N1195" s="10" t="s">
        <v>3299</v>
      </c>
      <c r="O1195" s="8" t="s">
        <v>3190</v>
      </c>
      <c r="P1195" s="8"/>
      <c r="Q1195" s="8"/>
      <c r="R1195" s="8">
        <v>4935</v>
      </c>
      <c r="S1195" s="8"/>
      <c r="T1195" s="8"/>
      <c r="U1195" s="8"/>
      <c r="V1195" s="8"/>
      <c r="W1195" s="8"/>
      <c r="X1195" s="8"/>
      <c r="Y1195" s="8"/>
      <c r="Z1195" s="10" t="s">
        <v>3186</v>
      </c>
      <c r="AA1195" s="8" t="s">
        <v>332</v>
      </c>
      <c r="AB1195" s="8">
        <v>1</v>
      </c>
    </row>
    <row r="1196" spans="1:28" ht="21.6" customHeight="1">
      <c r="A1196" s="8">
        <v>47</v>
      </c>
      <c r="B1196" s="8">
        <v>2025102846</v>
      </c>
      <c r="C1196" s="8">
        <v>1</v>
      </c>
      <c r="D1196" s="8" t="s">
        <v>3177</v>
      </c>
      <c r="E1196" s="8" t="s">
        <v>123</v>
      </c>
      <c r="F1196" s="8" t="s">
        <v>4534</v>
      </c>
      <c r="G1196" s="8" t="s">
        <v>3608</v>
      </c>
      <c r="H1196" s="8" t="s">
        <v>4536</v>
      </c>
      <c r="I1196" s="8" t="s">
        <v>3300</v>
      </c>
      <c r="J1196" s="8" t="s">
        <v>3301</v>
      </c>
      <c r="K1196" s="8" t="s">
        <v>3183</v>
      </c>
      <c r="L1196" s="10" t="s">
        <v>3302</v>
      </c>
      <c r="M1196" s="10" t="s">
        <v>3303</v>
      </c>
      <c r="N1196" s="10" t="s">
        <v>3304</v>
      </c>
      <c r="O1196" s="8" t="s">
        <v>322</v>
      </c>
      <c r="P1196" s="8"/>
      <c r="Q1196" s="8">
        <v>38997</v>
      </c>
      <c r="R1196" s="8">
        <v>34634</v>
      </c>
      <c r="S1196" s="8" t="s">
        <v>332</v>
      </c>
      <c r="T1196" s="8"/>
      <c r="U1196" s="8"/>
      <c r="V1196" s="8"/>
      <c r="W1196" s="8"/>
      <c r="X1196" s="8"/>
      <c r="Y1196" s="8"/>
      <c r="Z1196" s="10" t="s">
        <v>3186</v>
      </c>
      <c r="AA1196" s="8" t="s">
        <v>332</v>
      </c>
      <c r="AB1196" s="8">
        <v>1</v>
      </c>
    </row>
    <row r="1197" spans="1:28" ht="21.6" customHeight="1">
      <c r="A1197" s="8">
        <v>52</v>
      </c>
      <c r="B1197" s="8">
        <v>2025102741</v>
      </c>
      <c r="C1197" s="8">
        <v>1</v>
      </c>
      <c r="D1197" s="8" t="s">
        <v>3177</v>
      </c>
      <c r="E1197" s="8" t="s">
        <v>123</v>
      </c>
      <c r="F1197" s="8" t="s">
        <v>4534</v>
      </c>
      <c r="G1197" s="8" t="s">
        <v>4537</v>
      </c>
      <c r="H1197" s="8" t="s">
        <v>4016</v>
      </c>
      <c r="I1197" s="8" t="s">
        <v>3807</v>
      </c>
      <c r="J1197" s="8" t="s">
        <v>3808</v>
      </c>
      <c r="K1197" s="8" t="s">
        <v>3183</v>
      </c>
      <c r="L1197" s="10" t="s">
        <v>3333</v>
      </c>
      <c r="M1197" s="10" t="s">
        <v>3334</v>
      </c>
      <c r="N1197" s="10"/>
      <c r="O1197" s="8" t="s">
        <v>322</v>
      </c>
      <c r="P1197" s="8"/>
      <c r="Q1197" s="8"/>
      <c r="R1197" s="8">
        <v>48913</v>
      </c>
      <c r="S1197" s="8" t="s">
        <v>332</v>
      </c>
      <c r="T1197" s="8"/>
      <c r="U1197" s="8"/>
      <c r="V1197" s="8"/>
      <c r="W1197" s="8"/>
      <c r="X1197" s="8"/>
      <c r="Y1197" s="8"/>
      <c r="Z1197" s="10" t="s">
        <v>3652</v>
      </c>
      <c r="AA1197" s="8" t="s">
        <v>332</v>
      </c>
      <c r="AB1197" s="8">
        <v>1</v>
      </c>
    </row>
    <row r="1198" spans="1:28" ht="21.6" customHeight="1">
      <c r="A1198" s="8">
        <v>53</v>
      </c>
      <c r="B1198" s="8">
        <v>2025103006</v>
      </c>
      <c r="C1198" s="8">
        <v>1</v>
      </c>
      <c r="D1198" s="8" t="s">
        <v>3177</v>
      </c>
      <c r="E1198" s="8" t="s">
        <v>123</v>
      </c>
      <c r="F1198" s="8" t="s">
        <v>4538</v>
      </c>
      <c r="G1198" s="8" t="s">
        <v>3311</v>
      </c>
      <c r="H1198" s="8" t="s">
        <v>3312</v>
      </c>
      <c r="I1198" s="8" t="s">
        <v>3327</v>
      </c>
      <c r="J1198" s="8" t="s">
        <v>3328</v>
      </c>
      <c r="K1198" s="8" t="s">
        <v>3183</v>
      </c>
      <c r="L1198" s="10" t="s">
        <v>3320</v>
      </c>
      <c r="M1198" s="10" t="s">
        <v>3321</v>
      </c>
      <c r="N1198" s="10" t="s">
        <v>3322</v>
      </c>
      <c r="O1198" s="8" t="s">
        <v>322</v>
      </c>
      <c r="P1198" s="8"/>
      <c r="Q1198" s="8">
        <v>641</v>
      </c>
      <c r="R1198" s="8">
        <v>27154</v>
      </c>
      <c r="S1198" s="8" t="s">
        <v>332</v>
      </c>
      <c r="T1198" s="8"/>
      <c r="U1198" s="8"/>
      <c r="V1198" s="8"/>
      <c r="W1198" s="8"/>
      <c r="X1198" s="8"/>
      <c r="Y1198" s="8"/>
      <c r="Z1198" s="10" t="s">
        <v>3186</v>
      </c>
      <c r="AA1198" s="8" t="s">
        <v>332</v>
      </c>
      <c r="AB1198" s="8">
        <v>1</v>
      </c>
    </row>
    <row r="1199" spans="1:28" ht="21.6" customHeight="1">
      <c r="A1199" s="8">
        <v>58</v>
      </c>
      <c r="B1199" s="8">
        <v>2025103003</v>
      </c>
      <c r="C1199" s="8">
        <v>1</v>
      </c>
      <c r="D1199" s="8" t="s">
        <v>3177</v>
      </c>
      <c r="E1199" s="8" t="s">
        <v>123</v>
      </c>
      <c r="F1199" s="8" t="s">
        <v>4538</v>
      </c>
      <c r="G1199" s="8" t="s">
        <v>3368</v>
      </c>
      <c r="H1199" s="8" t="s">
        <v>3644</v>
      </c>
      <c r="I1199" s="8" t="s">
        <v>3335</v>
      </c>
      <c r="J1199" s="8" t="s">
        <v>3336</v>
      </c>
      <c r="K1199" s="8" t="s">
        <v>3183</v>
      </c>
      <c r="L1199" s="10" t="s">
        <v>3320</v>
      </c>
      <c r="M1199" s="10" t="s">
        <v>3321</v>
      </c>
      <c r="N1199" s="10" t="s">
        <v>3337</v>
      </c>
      <c r="O1199" s="8" t="s">
        <v>3190</v>
      </c>
      <c r="P1199" s="8"/>
      <c r="Q1199" s="8"/>
      <c r="R1199" s="8">
        <v>142499</v>
      </c>
      <c r="S1199" s="8"/>
      <c r="T1199" s="8"/>
      <c r="U1199" s="8"/>
      <c r="V1199" s="8"/>
      <c r="W1199" s="8"/>
      <c r="X1199" s="8"/>
      <c r="Y1199" s="8"/>
      <c r="Z1199" s="10" t="s">
        <v>3186</v>
      </c>
      <c r="AA1199" s="8" t="s">
        <v>332</v>
      </c>
      <c r="AB1199" s="8">
        <v>1</v>
      </c>
    </row>
    <row r="1200" spans="1:28" ht="21.6" customHeight="1">
      <c r="A1200" s="8">
        <v>60</v>
      </c>
      <c r="B1200" s="8">
        <v>2025103004</v>
      </c>
      <c r="C1200" s="8">
        <v>1</v>
      </c>
      <c r="D1200" s="8" t="s">
        <v>3177</v>
      </c>
      <c r="E1200" s="8" t="s">
        <v>123</v>
      </c>
      <c r="F1200" s="8" t="s">
        <v>4538</v>
      </c>
      <c r="G1200" s="8" t="s">
        <v>4031</v>
      </c>
      <c r="H1200" s="8" t="s">
        <v>4032</v>
      </c>
      <c r="I1200" s="8" t="s">
        <v>3340</v>
      </c>
      <c r="J1200" s="8" t="s">
        <v>3336</v>
      </c>
      <c r="K1200" s="8" t="s">
        <v>3183</v>
      </c>
      <c r="L1200" s="10" t="s">
        <v>3320</v>
      </c>
      <c r="M1200" s="10" t="s">
        <v>3321</v>
      </c>
      <c r="N1200" s="10" t="s">
        <v>3341</v>
      </c>
      <c r="O1200" s="8" t="s">
        <v>322</v>
      </c>
      <c r="P1200" s="8"/>
      <c r="Q1200" s="8"/>
      <c r="R1200" s="8">
        <v>59206</v>
      </c>
      <c r="S1200" s="8" t="s">
        <v>332</v>
      </c>
      <c r="T1200" s="8"/>
      <c r="U1200" s="8"/>
      <c r="V1200" s="8"/>
      <c r="W1200" s="8"/>
      <c r="X1200" s="8"/>
      <c r="Y1200" s="8"/>
      <c r="Z1200" s="10" t="s">
        <v>3186</v>
      </c>
      <c r="AA1200" s="8" t="s">
        <v>332</v>
      </c>
      <c r="AB1200" s="8">
        <v>1</v>
      </c>
    </row>
    <row r="1201" spans="1:28" ht="21.6" customHeight="1">
      <c r="A1201" s="8">
        <v>144</v>
      </c>
      <c r="B1201" s="8">
        <v>2025102853</v>
      </c>
      <c r="C1201" s="8">
        <v>1</v>
      </c>
      <c r="D1201" s="8" t="s">
        <v>3177</v>
      </c>
      <c r="E1201" s="8" t="s">
        <v>118</v>
      </c>
      <c r="F1201" s="8" t="s">
        <v>4538</v>
      </c>
      <c r="G1201" s="8" t="s">
        <v>3280</v>
      </c>
      <c r="H1201" s="8" t="s">
        <v>3401</v>
      </c>
      <c r="I1201" s="8" t="s">
        <v>4158</v>
      </c>
      <c r="J1201" s="8" t="s">
        <v>3224</v>
      </c>
      <c r="K1201" s="8" t="s">
        <v>3183</v>
      </c>
      <c r="L1201" s="10" t="s">
        <v>3550</v>
      </c>
      <c r="M1201" s="10" t="s">
        <v>4159</v>
      </c>
      <c r="N1201" s="10" t="s">
        <v>3701</v>
      </c>
      <c r="O1201" s="8" t="s">
        <v>363</v>
      </c>
      <c r="P1201" s="8"/>
      <c r="Q1201" s="8">
        <v>843</v>
      </c>
      <c r="R1201" s="8">
        <v>44687</v>
      </c>
      <c r="S1201" s="8"/>
      <c r="T1201" s="8"/>
      <c r="U1201" s="8"/>
      <c r="V1201" s="8"/>
      <c r="W1201" s="8"/>
      <c r="X1201" s="8"/>
      <c r="Y1201" s="8"/>
      <c r="Z1201" s="10" t="s">
        <v>4539</v>
      </c>
      <c r="AA1201" s="8" t="s">
        <v>332</v>
      </c>
      <c r="AB1201" s="8">
        <v>1</v>
      </c>
    </row>
    <row r="1202" spans="1:28" ht="21.6" customHeight="1">
      <c r="A1202" s="8">
        <v>151</v>
      </c>
      <c r="B1202" s="8">
        <v>2025102720</v>
      </c>
      <c r="C1202" s="8">
        <v>1</v>
      </c>
      <c r="D1202" s="8" t="s">
        <v>3177</v>
      </c>
      <c r="E1202" s="8" t="s">
        <v>118</v>
      </c>
      <c r="F1202" s="8" t="s">
        <v>4534</v>
      </c>
      <c r="G1202" s="8" t="s">
        <v>3767</v>
      </c>
      <c r="H1202" s="8" t="s">
        <v>3368</v>
      </c>
      <c r="I1202" s="8" t="s">
        <v>4540</v>
      </c>
      <c r="J1202" s="8" t="s">
        <v>3224</v>
      </c>
      <c r="K1202" s="8" t="s">
        <v>3183</v>
      </c>
      <c r="L1202" s="10" t="s">
        <v>3377</v>
      </c>
      <c r="M1202" s="10" t="s">
        <v>3937</v>
      </c>
      <c r="N1202" s="10" t="s">
        <v>3938</v>
      </c>
      <c r="O1202" s="8" t="s">
        <v>3190</v>
      </c>
      <c r="P1202" s="8"/>
      <c r="Q1202" s="8">
        <v>868</v>
      </c>
      <c r="R1202" s="8">
        <v>1610</v>
      </c>
      <c r="S1202" s="8"/>
      <c r="T1202" s="8"/>
      <c r="U1202" s="8"/>
      <c r="V1202" s="8"/>
      <c r="W1202" s="8"/>
      <c r="X1202" s="8"/>
      <c r="Y1202" s="8"/>
      <c r="Z1202" s="10" t="s">
        <v>3696</v>
      </c>
      <c r="AA1202" s="8" t="s">
        <v>332</v>
      </c>
      <c r="AB1202" s="8">
        <v>1</v>
      </c>
    </row>
    <row r="1203" spans="1:28" ht="21.6" customHeight="1">
      <c r="A1203" s="8">
        <v>173</v>
      </c>
      <c r="B1203" s="8">
        <v>2025103053</v>
      </c>
      <c r="C1203" s="8">
        <v>1</v>
      </c>
      <c r="D1203" s="8" t="s">
        <v>3177</v>
      </c>
      <c r="E1203" s="8" t="s">
        <v>118</v>
      </c>
      <c r="F1203" s="8" t="s">
        <v>4538</v>
      </c>
      <c r="G1203" s="8" t="s">
        <v>3386</v>
      </c>
      <c r="H1203" s="8" t="s">
        <v>3426</v>
      </c>
      <c r="I1203" s="8" t="s">
        <v>3440</v>
      </c>
      <c r="J1203" s="8" t="s">
        <v>3277</v>
      </c>
      <c r="K1203" s="8" t="s">
        <v>3183</v>
      </c>
      <c r="L1203" s="10" t="s">
        <v>3434</v>
      </c>
      <c r="M1203" s="10" t="s">
        <v>3441</v>
      </c>
      <c r="N1203" s="10" t="s">
        <v>3442</v>
      </c>
      <c r="O1203" s="8" t="s">
        <v>363</v>
      </c>
      <c r="P1203" s="8"/>
      <c r="Q1203" s="8"/>
      <c r="R1203" s="8">
        <v>140987</v>
      </c>
      <c r="S1203" s="8"/>
      <c r="T1203" s="8"/>
      <c r="U1203" s="8"/>
      <c r="V1203" s="8"/>
      <c r="W1203" s="8"/>
      <c r="X1203" s="8"/>
      <c r="Y1203" s="8"/>
      <c r="Z1203" s="10" t="s">
        <v>4541</v>
      </c>
      <c r="AA1203" s="8" t="s">
        <v>332</v>
      </c>
      <c r="AB1203" s="8">
        <v>1</v>
      </c>
    </row>
    <row r="1204" spans="1:28" ht="21.6" customHeight="1">
      <c r="A1204" s="8">
        <v>209</v>
      </c>
      <c r="B1204" s="8">
        <v>2025100517</v>
      </c>
      <c r="C1204" s="8">
        <v>1</v>
      </c>
      <c r="D1204" s="8" t="s">
        <v>3177</v>
      </c>
      <c r="E1204" s="8" t="s">
        <v>118</v>
      </c>
      <c r="F1204" s="8" t="s">
        <v>4478</v>
      </c>
      <c r="G1204" s="8" t="s">
        <v>3387</v>
      </c>
      <c r="H1204" s="8" t="s">
        <v>3426</v>
      </c>
      <c r="I1204" s="8" t="s">
        <v>3502</v>
      </c>
      <c r="J1204" s="8" t="s">
        <v>3298</v>
      </c>
      <c r="K1204" s="8" t="s">
        <v>3183</v>
      </c>
      <c r="L1204" s="10" t="s">
        <v>3503</v>
      </c>
      <c r="M1204" s="10" t="s">
        <v>3504</v>
      </c>
      <c r="N1204" s="10" t="s">
        <v>217</v>
      </c>
      <c r="O1204" s="8" t="s">
        <v>3190</v>
      </c>
      <c r="P1204" s="8"/>
      <c r="Q1204" s="8"/>
      <c r="R1204" s="8">
        <v>297956</v>
      </c>
      <c r="S1204" s="8"/>
      <c r="T1204" s="8"/>
      <c r="U1204" s="8"/>
      <c r="V1204" s="8"/>
      <c r="W1204" s="8"/>
      <c r="X1204" s="8"/>
      <c r="Y1204" s="8"/>
      <c r="Z1204" s="10" t="s">
        <v>3696</v>
      </c>
      <c r="AA1204" s="8" t="s">
        <v>332</v>
      </c>
      <c r="AB1204" s="8">
        <v>1</v>
      </c>
    </row>
    <row r="1205" spans="1:28" ht="21.6" customHeight="1">
      <c r="A1205" s="8">
        <v>227</v>
      </c>
      <c r="B1205" s="8">
        <v>2025102967</v>
      </c>
      <c r="C1205" s="8">
        <v>1</v>
      </c>
      <c r="D1205" s="8" t="s">
        <v>3177</v>
      </c>
      <c r="E1205" s="8" t="s">
        <v>118</v>
      </c>
      <c r="F1205" s="8" t="s">
        <v>4538</v>
      </c>
      <c r="G1205" s="8" t="s">
        <v>3767</v>
      </c>
      <c r="H1205" s="8" t="s">
        <v>4031</v>
      </c>
      <c r="I1205" s="8" t="s">
        <v>4542</v>
      </c>
      <c r="J1205" s="8" t="s">
        <v>3301</v>
      </c>
      <c r="K1205" s="8" t="s">
        <v>3183</v>
      </c>
      <c r="L1205" s="10" t="s">
        <v>3563</v>
      </c>
      <c r="M1205" s="10" t="s">
        <v>3564</v>
      </c>
      <c r="N1205" s="10" t="s">
        <v>3565</v>
      </c>
      <c r="O1205" s="8" t="s">
        <v>363</v>
      </c>
      <c r="P1205" s="8"/>
      <c r="Q1205" s="8">
        <v>853</v>
      </c>
      <c r="R1205" s="8">
        <v>15998</v>
      </c>
      <c r="S1205" s="8"/>
      <c r="T1205" s="8"/>
      <c r="U1205" s="8"/>
      <c r="V1205" s="8"/>
      <c r="W1205" s="8"/>
      <c r="X1205" s="8"/>
      <c r="Y1205" s="8"/>
      <c r="Z1205" s="10" t="s">
        <v>4543</v>
      </c>
      <c r="AA1205" s="8" t="s">
        <v>332</v>
      </c>
      <c r="AB1205" s="8">
        <v>1</v>
      </c>
    </row>
    <row r="1206" spans="1:28" ht="21.6" customHeight="1">
      <c r="A1206" s="8">
        <v>247</v>
      </c>
      <c r="B1206" s="8">
        <v>2025103008</v>
      </c>
      <c r="C1206" s="8">
        <v>1</v>
      </c>
      <c r="D1206" s="8" t="s">
        <v>3177</v>
      </c>
      <c r="E1206" s="8" t="s">
        <v>118</v>
      </c>
      <c r="F1206" s="8" t="s">
        <v>4538</v>
      </c>
      <c r="G1206" s="8" t="s">
        <v>3250</v>
      </c>
      <c r="H1206" s="8" t="s">
        <v>3427</v>
      </c>
      <c r="I1206" s="8" t="s">
        <v>3562</v>
      </c>
      <c r="J1206" s="8" t="s">
        <v>1717</v>
      </c>
      <c r="K1206" s="8" t="s">
        <v>3183</v>
      </c>
      <c r="L1206" s="10" t="s">
        <v>3563</v>
      </c>
      <c r="M1206" s="10" t="s">
        <v>3564</v>
      </c>
      <c r="N1206" s="10" t="s">
        <v>3565</v>
      </c>
      <c r="O1206" s="8" t="s">
        <v>322</v>
      </c>
      <c r="P1206" s="8"/>
      <c r="Q1206" s="8"/>
      <c r="R1206" s="8">
        <v>115062</v>
      </c>
      <c r="S1206" s="8"/>
      <c r="T1206" s="8"/>
      <c r="U1206" s="8" t="s">
        <v>332</v>
      </c>
      <c r="V1206" s="8"/>
      <c r="W1206" s="8"/>
      <c r="X1206" s="8"/>
      <c r="Y1206" s="8" t="s">
        <v>332</v>
      </c>
      <c r="Z1206" s="10" t="s">
        <v>4324</v>
      </c>
      <c r="AA1206" s="8" t="s">
        <v>332</v>
      </c>
      <c r="AB1206" s="8">
        <v>1</v>
      </c>
    </row>
    <row r="1207" spans="1:28" ht="21.6" customHeight="1">
      <c r="A1207" s="8">
        <v>34</v>
      </c>
      <c r="B1207" s="8">
        <v>2025103221</v>
      </c>
      <c r="C1207" s="8">
        <v>1</v>
      </c>
      <c r="D1207" s="8" t="s">
        <v>3177</v>
      </c>
      <c r="E1207" s="8" t="s">
        <v>123</v>
      </c>
      <c r="F1207" s="8" t="s">
        <v>4544</v>
      </c>
      <c r="G1207" s="8" t="s">
        <v>3524</v>
      </c>
      <c r="H1207" s="8" t="s">
        <v>4030</v>
      </c>
      <c r="I1207" s="8" t="s">
        <v>4018</v>
      </c>
      <c r="J1207" s="8" t="s">
        <v>3253</v>
      </c>
      <c r="K1207" s="8" t="s">
        <v>3183</v>
      </c>
      <c r="L1207" s="10" t="s">
        <v>3629</v>
      </c>
      <c r="M1207" s="10" t="s">
        <v>4299</v>
      </c>
      <c r="N1207" s="10"/>
      <c r="O1207" s="8" t="s">
        <v>322</v>
      </c>
      <c r="P1207" s="8"/>
      <c r="Q1207" s="8"/>
      <c r="R1207" s="8">
        <v>233509</v>
      </c>
      <c r="S1207" s="8"/>
      <c r="T1207" s="8"/>
      <c r="U1207" s="8"/>
      <c r="V1207" s="8"/>
      <c r="W1207" s="8"/>
      <c r="X1207" s="8"/>
      <c r="Y1207" s="8" t="s">
        <v>332</v>
      </c>
      <c r="Z1207" s="10" t="s">
        <v>4545</v>
      </c>
      <c r="AA1207" s="8" t="s">
        <v>332</v>
      </c>
      <c r="AB1207" s="8">
        <v>1</v>
      </c>
    </row>
    <row r="1208" spans="1:28" ht="21.6" customHeight="1">
      <c r="A1208" s="8">
        <v>43</v>
      </c>
      <c r="B1208" s="8">
        <v>2025103160</v>
      </c>
      <c r="C1208" s="8">
        <v>1</v>
      </c>
      <c r="D1208" s="8" t="s">
        <v>3177</v>
      </c>
      <c r="E1208" s="8" t="s">
        <v>123</v>
      </c>
      <c r="F1208" s="8" t="s">
        <v>4544</v>
      </c>
      <c r="G1208" s="8" t="s">
        <v>3987</v>
      </c>
      <c r="H1208" s="8" t="s">
        <v>4546</v>
      </c>
      <c r="I1208" s="8" t="s">
        <v>3282</v>
      </c>
      <c r="J1208" s="8" t="s">
        <v>3277</v>
      </c>
      <c r="K1208" s="8" t="s">
        <v>3183</v>
      </c>
      <c r="L1208" s="10" t="s">
        <v>3283</v>
      </c>
      <c r="M1208" s="10" t="s">
        <v>3284</v>
      </c>
      <c r="N1208" s="10"/>
      <c r="O1208" s="8" t="s">
        <v>322</v>
      </c>
      <c r="P1208" s="8"/>
      <c r="Q1208" s="8"/>
      <c r="R1208" s="8">
        <v>28400</v>
      </c>
      <c r="S1208" s="8"/>
      <c r="T1208" s="8"/>
      <c r="U1208" s="8" t="s">
        <v>332</v>
      </c>
      <c r="V1208" s="8"/>
      <c r="W1208" s="8"/>
      <c r="X1208" s="8"/>
      <c r="Y1208" s="8"/>
      <c r="Z1208" s="10" t="s">
        <v>4412</v>
      </c>
      <c r="AA1208" s="8" t="s">
        <v>332</v>
      </c>
      <c r="AB1208" s="8">
        <v>1</v>
      </c>
    </row>
    <row r="1209" spans="1:28" ht="21.6" customHeight="1">
      <c r="A1209" s="8">
        <v>51</v>
      </c>
      <c r="B1209" s="8">
        <v>2025103224</v>
      </c>
      <c r="C1209" s="8">
        <v>1</v>
      </c>
      <c r="D1209" s="8" t="s">
        <v>3177</v>
      </c>
      <c r="E1209" s="8" t="s">
        <v>123</v>
      </c>
      <c r="F1209" s="8" t="s">
        <v>4544</v>
      </c>
      <c r="G1209" s="8" t="s">
        <v>3901</v>
      </c>
      <c r="H1209" s="8" t="s">
        <v>3890</v>
      </c>
      <c r="I1209" s="8" t="s">
        <v>3293</v>
      </c>
      <c r="J1209" s="8" t="s">
        <v>3288</v>
      </c>
      <c r="K1209" s="8" t="s">
        <v>3183</v>
      </c>
      <c r="L1209" s="10" t="s">
        <v>3294</v>
      </c>
      <c r="M1209" s="10" t="s">
        <v>3295</v>
      </c>
      <c r="N1209" s="10" t="s">
        <v>3272</v>
      </c>
      <c r="O1209" s="8" t="s">
        <v>322</v>
      </c>
      <c r="P1209" s="8"/>
      <c r="Q1209" s="8">
        <v>2436</v>
      </c>
      <c r="R1209" s="8">
        <v>302935</v>
      </c>
      <c r="S1209" s="8"/>
      <c r="T1209" s="8"/>
      <c r="U1209" s="8" t="s">
        <v>332</v>
      </c>
      <c r="V1209" s="8"/>
      <c r="W1209" s="8"/>
      <c r="X1209" s="8"/>
      <c r="Y1209" s="8"/>
      <c r="Z1209" s="10" t="s">
        <v>4412</v>
      </c>
      <c r="AA1209" s="8" t="s">
        <v>332</v>
      </c>
      <c r="AB1209" s="8">
        <v>1</v>
      </c>
    </row>
    <row r="1210" spans="1:28" ht="21.6" customHeight="1">
      <c r="A1210" s="8">
        <v>61</v>
      </c>
      <c r="B1210" s="8">
        <v>2025103002</v>
      </c>
      <c r="C1210" s="8">
        <v>1</v>
      </c>
      <c r="D1210" s="8" t="s">
        <v>3177</v>
      </c>
      <c r="E1210" s="8" t="s">
        <v>123</v>
      </c>
      <c r="F1210" s="8" t="s">
        <v>4538</v>
      </c>
      <c r="G1210" s="8" t="s">
        <v>3368</v>
      </c>
      <c r="H1210" s="8" t="s">
        <v>3644</v>
      </c>
      <c r="I1210" s="8" t="s">
        <v>3335</v>
      </c>
      <c r="J1210" s="8" t="s">
        <v>3336</v>
      </c>
      <c r="K1210" s="8" t="s">
        <v>3183</v>
      </c>
      <c r="L1210" s="10" t="s">
        <v>3320</v>
      </c>
      <c r="M1210" s="10" t="s">
        <v>3321</v>
      </c>
      <c r="N1210" s="10" t="s">
        <v>3337</v>
      </c>
      <c r="O1210" s="8" t="s">
        <v>322</v>
      </c>
      <c r="P1210" s="8"/>
      <c r="Q1210" s="8"/>
      <c r="R1210" s="8">
        <v>142499</v>
      </c>
      <c r="S1210" s="8" t="s">
        <v>332</v>
      </c>
      <c r="T1210" s="8"/>
      <c r="U1210" s="8"/>
      <c r="V1210" s="8"/>
      <c r="W1210" s="8"/>
      <c r="X1210" s="8"/>
      <c r="Y1210" s="8"/>
      <c r="Z1210" s="10" t="s">
        <v>3186</v>
      </c>
      <c r="AA1210" s="8" t="s">
        <v>332</v>
      </c>
      <c r="AB1210" s="8">
        <v>1</v>
      </c>
    </row>
    <row r="1211" spans="1:28" ht="21.6" customHeight="1">
      <c r="A1211" s="8">
        <v>63</v>
      </c>
      <c r="B1211" s="8">
        <v>2025103005</v>
      </c>
      <c r="C1211" s="8">
        <v>1</v>
      </c>
      <c r="D1211" s="8" t="s">
        <v>3177</v>
      </c>
      <c r="E1211" s="8" t="s">
        <v>123</v>
      </c>
      <c r="F1211" s="8" t="s">
        <v>4538</v>
      </c>
      <c r="G1211" s="8" t="s">
        <v>4031</v>
      </c>
      <c r="H1211" s="8" t="s">
        <v>4032</v>
      </c>
      <c r="I1211" s="8" t="s">
        <v>3340</v>
      </c>
      <c r="J1211" s="8" t="s">
        <v>3336</v>
      </c>
      <c r="K1211" s="8" t="s">
        <v>3183</v>
      </c>
      <c r="L1211" s="10" t="s">
        <v>3320</v>
      </c>
      <c r="M1211" s="10" t="s">
        <v>3321</v>
      </c>
      <c r="N1211" s="10" t="s">
        <v>3341</v>
      </c>
      <c r="O1211" s="8" t="s">
        <v>3190</v>
      </c>
      <c r="P1211" s="8"/>
      <c r="Q1211" s="8"/>
      <c r="R1211" s="8">
        <v>59206</v>
      </c>
      <c r="S1211" s="8"/>
      <c r="T1211" s="8"/>
      <c r="U1211" s="8"/>
      <c r="V1211" s="8"/>
      <c r="W1211" s="8"/>
      <c r="X1211" s="8"/>
      <c r="Y1211" s="8"/>
      <c r="Z1211" s="10" t="s">
        <v>3186</v>
      </c>
      <c r="AA1211" s="8" t="s">
        <v>332</v>
      </c>
      <c r="AB1211" s="8">
        <v>1</v>
      </c>
    </row>
    <row r="1212" spans="1:28" ht="21.6" customHeight="1">
      <c r="A1212" s="8">
        <v>165</v>
      </c>
      <c r="B1212" s="8">
        <v>2025103233</v>
      </c>
      <c r="C1212" s="8">
        <v>1</v>
      </c>
      <c r="D1212" s="8" t="s">
        <v>3177</v>
      </c>
      <c r="E1212" s="8" t="s">
        <v>118</v>
      </c>
      <c r="F1212" s="8" t="s">
        <v>4544</v>
      </c>
      <c r="G1212" s="8" t="s">
        <v>3363</v>
      </c>
      <c r="H1212" s="8" t="s">
        <v>3386</v>
      </c>
      <c r="I1212" s="8" t="s">
        <v>4310</v>
      </c>
      <c r="J1212" s="8" t="s">
        <v>3253</v>
      </c>
      <c r="K1212" s="8" t="s">
        <v>3183</v>
      </c>
      <c r="L1212" s="10" t="s">
        <v>3254</v>
      </c>
      <c r="M1212" s="10" t="s">
        <v>4311</v>
      </c>
      <c r="N1212" s="10" t="s">
        <v>4312</v>
      </c>
      <c r="O1212" s="8" t="s">
        <v>322</v>
      </c>
      <c r="P1212" s="8"/>
      <c r="Q1212" s="8"/>
      <c r="R1212" s="8">
        <v>45</v>
      </c>
      <c r="S1212" s="8"/>
      <c r="T1212" s="8"/>
      <c r="U1212" s="8"/>
      <c r="V1212" s="8"/>
      <c r="W1212" s="8"/>
      <c r="X1212" s="8"/>
      <c r="Y1212" s="8" t="s">
        <v>332</v>
      </c>
      <c r="Z1212" s="10" t="s">
        <v>4547</v>
      </c>
      <c r="AA1212" s="8" t="s">
        <v>332</v>
      </c>
      <c r="AB1212" s="8">
        <v>1</v>
      </c>
    </row>
    <row r="1213" spans="1:28" ht="21.6" customHeight="1">
      <c r="A1213" s="8">
        <v>169</v>
      </c>
      <c r="B1213" s="8">
        <v>2025103307</v>
      </c>
      <c r="C1213" s="8">
        <v>1</v>
      </c>
      <c r="D1213" s="8" t="s">
        <v>3177</v>
      </c>
      <c r="E1213" s="8" t="s">
        <v>118</v>
      </c>
      <c r="F1213" s="8" t="s">
        <v>4548</v>
      </c>
      <c r="G1213" s="8" t="s">
        <v>3350</v>
      </c>
      <c r="H1213" s="8" t="s">
        <v>3280</v>
      </c>
      <c r="I1213" s="8" t="s">
        <v>3408</v>
      </c>
      <c r="J1213" s="8" t="s">
        <v>3253</v>
      </c>
      <c r="K1213" s="8" t="s">
        <v>3183</v>
      </c>
      <c r="L1213" s="10" t="s">
        <v>3409</v>
      </c>
      <c r="M1213" s="10" t="s">
        <v>3410</v>
      </c>
      <c r="N1213" s="10"/>
      <c r="O1213" s="8" t="s">
        <v>3190</v>
      </c>
      <c r="P1213" s="8"/>
      <c r="Q1213" s="8"/>
      <c r="R1213" s="8">
        <v>335598</v>
      </c>
      <c r="S1213" s="8"/>
      <c r="T1213" s="8"/>
      <c r="U1213" s="8"/>
      <c r="V1213" s="8"/>
      <c r="W1213" s="8"/>
      <c r="X1213" s="8"/>
      <c r="Y1213" s="8"/>
      <c r="Z1213" s="10" t="s">
        <v>3696</v>
      </c>
      <c r="AA1213" s="8" t="s">
        <v>332</v>
      </c>
      <c r="AB1213" s="8">
        <v>1</v>
      </c>
    </row>
    <row r="1214" spans="1:28" ht="21.6" customHeight="1">
      <c r="A1214" s="8">
        <v>171</v>
      </c>
      <c r="B1214" s="8">
        <v>2025103304</v>
      </c>
      <c r="C1214" s="8">
        <v>1</v>
      </c>
      <c r="D1214" s="8" t="s">
        <v>3177</v>
      </c>
      <c r="E1214" s="8" t="s">
        <v>118</v>
      </c>
      <c r="F1214" s="8" t="s">
        <v>4548</v>
      </c>
      <c r="G1214" s="8" t="s">
        <v>3350</v>
      </c>
      <c r="H1214" s="8" t="s">
        <v>3280</v>
      </c>
      <c r="I1214" s="8" t="s">
        <v>3413</v>
      </c>
      <c r="J1214" s="8" t="s">
        <v>3253</v>
      </c>
      <c r="K1214" s="8" t="s">
        <v>3183</v>
      </c>
      <c r="L1214" s="10" t="s">
        <v>4549</v>
      </c>
      <c r="M1214" s="10" t="s">
        <v>3415</v>
      </c>
      <c r="N1214" s="10" t="s">
        <v>4550</v>
      </c>
      <c r="O1214" s="8" t="s">
        <v>322</v>
      </c>
      <c r="P1214" s="8"/>
      <c r="Q1214" s="8"/>
      <c r="R1214" s="8">
        <v>0</v>
      </c>
      <c r="S1214" s="8" t="s">
        <v>332</v>
      </c>
      <c r="T1214" s="8"/>
      <c r="U1214" s="8"/>
      <c r="V1214" s="8"/>
      <c r="W1214" s="8"/>
      <c r="X1214" s="8"/>
      <c r="Y1214" s="8"/>
      <c r="Z1214" s="10" t="s">
        <v>111</v>
      </c>
      <c r="AA1214" s="8" t="s">
        <v>332</v>
      </c>
      <c r="AB1214" s="8">
        <v>1</v>
      </c>
    </row>
    <row r="1215" spans="1:28" ht="21.6" customHeight="1">
      <c r="A1215" s="8">
        <v>208</v>
      </c>
      <c r="B1215" s="8">
        <v>2025103308</v>
      </c>
      <c r="C1215" s="8">
        <v>1</v>
      </c>
      <c r="D1215" s="8" t="s">
        <v>3177</v>
      </c>
      <c r="E1215" s="8" t="s">
        <v>118</v>
      </c>
      <c r="F1215" s="8" t="s">
        <v>4548</v>
      </c>
      <c r="G1215" s="8" t="s">
        <v>3280</v>
      </c>
      <c r="H1215" s="8" t="s">
        <v>3363</v>
      </c>
      <c r="I1215" s="8" t="s">
        <v>3470</v>
      </c>
      <c r="J1215" s="8" t="s">
        <v>3471</v>
      </c>
      <c r="K1215" s="8" t="s">
        <v>3183</v>
      </c>
      <c r="L1215" s="10" t="s">
        <v>3472</v>
      </c>
      <c r="M1215" s="10" t="s">
        <v>3410</v>
      </c>
      <c r="N1215" s="10" t="s">
        <v>3442</v>
      </c>
      <c r="O1215" s="8" t="s">
        <v>322</v>
      </c>
      <c r="P1215" s="8"/>
      <c r="Q1215" s="8"/>
      <c r="R1215" s="8">
        <v>75548</v>
      </c>
      <c r="S1215" s="8" t="s">
        <v>332</v>
      </c>
      <c r="T1215" s="8"/>
      <c r="U1215" s="8"/>
      <c r="V1215" s="8"/>
      <c r="W1215" s="8"/>
      <c r="X1215" s="8"/>
      <c r="Y1215" s="8"/>
      <c r="Z1215" s="10" t="s">
        <v>3696</v>
      </c>
      <c r="AA1215" s="8" t="s">
        <v>332</v>
      </c>
      <c r="AB1215" s="8">
        <v>1</v>
      </c>
    </row>
    <row r="1216" spans="1:28" ht="21.6" customHeight="1">
      <c r="A1216" s="8">
        <v>246</v>
      </c>
      <c r="B1216" s="8">
        <v>2025103134</v>
      </c>
      <c r="C1216" s="8">
        <v>1</v>
      </c>
      <c r="D1216" s="8" t="s">
        <v>3177</v>
      </c>
      <c r="E1216" s="8" t="s">
        <v>118</v>
      </c>
      <c r="F1216" s="8" t="s">
        <v>4544</v>
      </c>
      <c r="G1216" s="8" t="s">
        <v>3350</v>
      </c>
      <c r="H1216" s="8" t="s">
        <v>3280</v>
      </c>
      <c r="I1216" s="8" t="s">
        <v>4093</v>
      </c>
      <c r="J1216" s="8" t="s">
        <v>3543</v>
      </c>
      <c r="K1216" s="8" t="s">
        <v>3183</v>
      </c>
      <c r="L1216" s="10" t="s">
        <v>4094</v>
      </c>
      <c r="M1216" s="10" t="s">
        <v>4095</v>
      </c>
      <c r="N1216" s="10" t="s">
        <v>3424</v>
      </c>
      <c r="O1216" s="8" t="s">
        <v>322</v>
      </c>
      <c r="P1216" s="8"/>
      <c r="Q1216" s="8"/>
      <c r="R1216" s="8">
        <v>1138</v>
      </c>
      <c r="S1216" s="8"/>
      <c r="T1216" s="8"/>
      <c r="U1216" s="8"/>
      <c r="V1216" s="8"/>
      <c r="W1216" s="8"/>
      <c r="X1216" s="8"/>
      <c r="Y1216" s="8" t="s">
        <v>332</v>
      </c>
      <c r="Z1216" s="10" t="s">
        <v>3443</v>
      </c>
      <c r="AA1216" s="8" t="s">
        <v>332</v>
      </c>
      <c r="AB1216" s="8">
        <v>1</v>
      </c>
    </row>
    <row r="1217" spans="1:28" ht="21.6" customHeight="1">
      <c r="A1217" s="8">
        <v>253</v>
      </c>
      <c r="B1217" s="8">
        <v>2025101218</v>
      </c>
      <c r="C1217" s="8">
        <v>1</v>
      </c>
      <c r="D1217" s="8" t="s">
        <v>3177</v>
      </c>
      <c r="E1217" s="8" t="s">
        <v>118</v>
      </c>
      <c r="F1217" s="8" t="s">
        <v>4486</v>
      </c>
      <c r="G1217" s="8" t="s">
        <v>3381</v>
      </c>
      <c r="H1217" s="8" t="s">
        <v>3401</v>
      </c>
      <c r="I1217" s="8" t="s">
        <v>4356</v>
      </c>
      <c r="J1217" s="8" t="s">
        <v>3543</v>
      </c>
      <c r="K1217" s="8" t="s">
        <v>3183</v>
      </c>
      <c r="L1217" s="10" t="s">
        <v>4080</v>
      </c>
      <c r="M1217" s="10" t="s">
        <v>4357</v>
      </c>
      <c r="N1217" s="10" t="s">
        <v>4082</v>
      </c>
      <c r="O1217" s="8" t="s">
        <v>3190</v>
      </c>
      <c r="P1217" s="8"/>
      <c r="Q1217" s="8"/>
      <c r="R1217" s="8">
        <v>53</v>
      </c>
      <c r="S1217" s="8"/>
      <c r="T1217" s="8"/>
      <c r="U1217" s="8"/>
      <c r="V1217" s="8"/>
      <c r="W1217" s="8"/>
      <c r="X1217" s="8"/>
      <c r="Y1217" s="8"/>
      <c r="Z1217" s="10" t="s">
        <v>3696</v>
      </c>
      <c r="AA1217" s="8" t="s">
        <v>332</v>
      </c>
      <c r="AB1217" s="8">
        <v>1</v>
      </c>
    </row>
    <row r="1218" spans="1:28" ht="21.6" customHeight="1">
      <c r="A1218" s="8">
        <v>261</v>
      </c>
      <c r="B1218" s="8">
        <v>2025103135</v>
      </c>
      <c r="C1218" s="8">
        <v>1</v>
      </c>
      <c r="D1218" s="8" t="s">
        <v>3177</v>
      </c>
      <c r="E1218" s="8" t="s">
        <v>118</v>
      </c>
      <c r="F1218" s="8" t="s">
        <v>4544</v>
      </c>
      <c r="G1218" s="8" t="s">
        <v>3280</v>
      </c>
      <c r="H1218" s="8" t="s">
        <v>3363</v>
      </c>
      <c r="I1218" s="8" t="s">
        <v>3562</v>
      </c>
      <c r="J1218" s="8" t="s">
        <v>1717</v>
      </c>
      <c r="K1218" s="8" t="s">
        <v>3183</v>
      </c>
      <c r="L1218" s="10" t="s">
        <v>3563</v>
      </c>
      <c r="M1218" s="10" t="s">
        <v>3564</v>
      </c>
      <c r="N1218" s="10" t="s">
        <v>3565</v>
      </c>
      <c r="O1218" s="8" t="s">
        <v>322</v>
      </c>
      <c r="P1218" s="8"/>
      <c r="Q1218" s="8"/>
      <c r="R1218" s="8">
        <v>119109</v>
      </c>
      <c r="S1218" s="8"/>
      <c r="T1218" s="8"/>
      <c r="U1218" s="8" t="s">
        <v>332</v>
      </c>
      <c r="V1218" s="8"/>
      <c r="W1218" s="8"/>
      <c r="X1218" s="8"/>
      <c r="Y1218" s="8"/>
      <c r="Z1218" s="10" t="s">
        <v>3362</v>
      </c>
      <c r="AA1218" s="8" t="s">
        <v>332</v>
      </c>
      <c r="AB1218" s="8">
        <v>1</v>
      </c>
    </row>
    <row r="1219" spans="1:28" ht="21.6" customHeight="1">
      <c r="A1219" s="8">
        <v>269</v>
      </c>
      <c r="B1219" s="8">
        <v>2025103310</v>
      </c>
      <c r="C1219" s="8">
        <v>1</v>
      </c>
      <c r="D1219" s="8" t="s">
        <v>3177</v>
      </c>
      <c r="E1219" s="8" t="s">
        <v>118</v>
      </c>
      <c r="F1219" s="8" t="s">
        <v>4548</v>
      </c>
      <c r="G1219" s="8" t="s">
        <v>3363</v>
      </c>
      <c r="H1219" s="8" t="s">
        <v>3233</v>
      </c>
      <c r="I1219" s="8" t="s">
        <v>3572</v>
      </c>
      <c r="J1219" s="8" t="s">
        <v>1717</v>
      </c>
      <c r="K1219" s="8" t="s">
        <v>3183</v>
      </c>
      <c r="L1219" s="10" t="s">
        <v>3472</v>
      </c>
      <c r="M1219" s="10" t="s">
        <v>3410</v>
      </c>
      <c r="N1219" s="10" t="s">
        <v>3442</v>
      </c>
      <c r="O1219" s="8" t="s">
        <v>322</v>
      </c>
      <c r="P1219" s="8"/>
      <c r="Q1219" s="8"/>
      <c r="R1219" s="8">
        <v>108519</v>
      </c>
      <c r="S1219" s="8" t="s">
        <v>332</v>
      </c>
      <c r="T1219" s="8"/>
      <c r="U1219" s="8"/>
      <c r="V1219" s="8"/>
      <c r="W1219" s="8"/>
      <c r="X1219" s="8"/>
      <c r="Y1219" s="8"/>
      <c r="Z1219" s="10" t="s">
        <v>3696</v>
      </c>
      <c r="AA1219" s="8" t="s">
        <v>332</v>
      </c>
      <c r="AB1219" s="8">
        <v>1</v>
      </c>
    </row>
    <row r="1220" spans="1:28" ht="21.6" customHeight="1">
      <c r="A1220" s="8">
        <v>126</v>
      </c>
      <c r="B1220" s="8">
        <v>2025102275</v>
      </c>
      <c r="C1220" s="8">
        <v>1</v>
      </c>
      <c r="D1220" s="8" t="s">
        <v>3177</v>
      </c>
      <c r="E1220" s="8" t="s">
        <v>118</v>
      </c>
      <c r="F1220" s="8" t="s">
        <v>4511</v>
      </c>
      <c r="G1220" s="8" t="s">
        <v>3204</v>
      </c>
      <c r="H1220" s="8" t="s">
        <v>3427</v>
      </c>
      <c r="I1220" s="8" t="s">
        <v>3358</v>
      </c>
      <c r="J1220" s="8" t="s">
        <v>3195</v>
      </c>
      <c r="K1220" s="8" t="s">
        <v>3183</v>
      </c>
      <c r="L1220" s="10" t="s">
        <v>3359</v>
      </c>
      <c r="M1220" s="10" t="s">
        <v>3360</v>
      </c>
      <c r="N1220" s="10" t="s">
        <v>3361</v>
      </c>
      <c r="O1220" s="8" t="s">
        <v>3190</v>
      </c>
      <c r="P1220" s="8"/>
      <c r="Q1220" s="8">
        <v>22779</v>
      </c>
      <c r="R1220" s="8">
        <v>87968</v>
      </c>
      <c r="S1220" s="8"/>
      <c r="T1220" s="8"/>
      <c r="U1220" s="8"/>
      <c r="V1220" s="8"/>
      <c r="W1220" s="8"/>
      <c r="X1220" s="8"/>
      <c r="Y1220" s="8"/>
      <c r="Z1220" s="10" t="s">
        <v>3696</v>
      </c>
      <c r="AA1220" s="8" t="s">
        <v>332</v>
      </c>
      <c r="AB1220" s="8">
        <v>1</v>
      </c>
    </row>
    <row r="1221" spans="1:28" ht="21.6" customHeight="1">
      <c r="A1221" s="8">
        <v>172</v>
      </c>
      <c r="B1221" s="8">
        <v>2025103306</v>
      </c>
      <c r="C1221" s="8">
        <v>1</v>
      </c>
      <c r="D1221" s="8" t="s">
        <v>3177</v>
      </c>
      <c r="E1221" s="8" t="s">
        <v>118</v>
      </c>
      <c r="F1221" s="8" t="s">
        <v>4548</v>
      </c>
      <c r="G1221" s="8" t="s">
        <v>3350</v>
      </c>
      <c r="H1221" s="8" t="s">
        <v>3280</v>
      </c>
      <c r="I1221" s="8" t="s">
        <v>3408</v>
      </c>
      <c r="J1221" s="8" t="s">
        <v>3253</v>
      </c>
      <c r="K1221" s="8" t="s">
        <v>3183</v>
      </c>
      <c r="L1221" s="10" t="s">
        <v>3409</v>
      </c>
      <c r="M1221" s="10" t="s">
        <v>3410</v>
      </c>
      <c r="N1221" s="10"/>
      <c r="O1221" s="8" t="s">
        <v>322</v>
      </c>
      <c r="P1221" s="8"/>
      <c r="Q1221" s="8"/>
      <c r="R1221" s="8">
        <v>335598</v>
      </c>
      <c r="S1221" s="8" t="s">
        <v>332</v>
      </c>
      <c r="T1221" s="8"/>
      <c r="U1221" s="8"/>
      <c r="V1221" s="8"/>
      <c r="W1221" s="8"/>
      <c r="X1221" s="8"/>
      <c r="Y1221" s="8"/>
      <c r="Z1221" s="10" t="s">
        <v>3696</v>
      </c>
      <c r="AA1221" s="8" t="s">
        <v>332</v>
      </c>
      <c r="AB1221" s="8">
        <v>1</v>
      </c>
    </row>
    <row r="1222" spans="1:28" ht="21.6" customHeight="1">
      <c r="A1222" s="8">
        <v>191</v>
      </c>
      <c r="B1222" s="8">
        <v>2025102617</v>
      </c>
      <c r="C1222" s="8">
        <v>1</v>
      </c>
      <c r="D1222" s="8" t="s">
        <v>3177</v>
      </c>
      <c r="E1222" s="8" t="s">
        <v>118</v>
      </c>
      <c r="F1222" s="8" t="s">
        <v>4526</v>
      </c>
      <c r="G1222" s="8" t="s">
        <v>3250</v>
      </c>
      <c r="H1222" s="8" t="s">
        <v>3204</v>
      </c>
      <c r="I1222" s="8" t="s">
        <v>3457</v>
      </c>
      <c r="J1222" s="8" t="s">
        <v>3277</v>
      </c>
      <c r="K1222" s="8" t="s">
        <v>3183</v>
      </c>
      <c r="L1222" s="10" t="s">
        <v>3377</v>
      </c>
      <c r="M1222" s="10" t="s">
        <v>3458</v>
      </c>
      <c r="N1222" s="10" t="s">
        <v>3459</v>
      </c>
      <c r="O1222" s="8" t="s">
        <v>3190</v>
      </c>
      <c r="P1222" s="8"/>
      <c r="Q1222" s="8"/>
      <c r="R1222" s="8">
        <v>2724</v>
      </c>
      <c r="S1222" s="8"/>
      <c r="T1222" s="8"/>
      <c r="U1222" s="8"/>
      <c r="V1222" s="8"/>
      <c r="W1222" s="8"/>
      <c r="X1222" s="8"/>
      <c r="Y1222" s="8"/>
      <c r="Z1222" s="10" t="s">
        <v>3821</v>
      </c>
      <c r="AA1222" s="8" t="s">
        <v>332</v>
      </c>
      <c r="AB1222" s="8">
        <v>1</v>
      </c>
    </row>
    <row r="1223" spans="1:28" ht="21.6" customHeight="1">
      <c r="A1223" s="8">
        <v>236</v>
      </c>
      <c r="B1223" s="8">
        <v>2025100509</v>
      </c>
      <c r="C1223" s="8">
        <v>1</v>
      </c>
      <c r="D1223" s="8" t="s">
        <v>3177</v>
      </c>
      <c r="E1223" s="8" t="s">
        <v>118</v>
      </c>
      <c r="F1223" s="8" t="s">
        <v>4478</v>
      </c>
      <c r="G1223" s="8" t="s">
        <v>3427</v>
      </c>
      <c r="H1223" s="8" t="s">
        <v>3386</v>
      </c>
      <c r="I1223" s="8" t="s">
        <v>3530</v>
      </c>
      <c r="J1223" s="8" t="s">
        <v>3298</v>
      </c>
      <c r="K1223" s="8" t="s">
        <v>3183</v>
      </c>
      <c r="L1223" s="10" t="s">
        <v>3462</v>
      </c>
      <c r="M1223" s="10" t="s">
        <v>3531</v>
      </c>
      <c r="N1223" s="10" t="s">
        <v>3532</v>
      </c>
      <c r="O1223" s="8" t="s">
        <v>3190</v>
      </c>
      <c r="P1223" s="8"/>
      <c r="Q1223" s="8"/>
      <c r="R1223" s="8">
        <v>367919</v>
      </c>
      <c r="S1223" s="8"/>
      <c r="T1223" s="8"/>
      <c r="U1223" s="8"/>
      <c r="V1223" s="8"/>
      <c r="W1223" s="8"/>
      <c r="X1223" s="8"/>
      <c r="Y1223" s="8"/>
      <c r="Z1223" s="10" t="s">
        <v>3696</v>
      </c>
      <c r="AA1223" s="8" t="s">
        <v>332</v>
      </c>
      <c r="AB1223" s="8">
        <v>1</v>
      </c>
    </row>
    <row r="1224" spans="1:28" ht="21.6" customHeight="1">
      <c r="A1224" s="8">
        <v>8</v>
      </c>
      <c r="B1224" s="8">
        <v>2025102728</v>
      </c>
      <c r="C1224" s="8">
        <v>1</v>
      </c>
      <c r="D1224" s="8" t="s">
        <v>3177</v>
      </c>
      <c r="E1224" s="8" t="s">
        <v>123</v>
      </c>
      <c r="F1224" s="8" t="s">
        <v>4534</v>
      </c>
      <c r="G1224" s="8" t="s">
        <v>3311</v>
      </c>
      <c r="H1224" s="8" t="s">
        <v>3312</v>
      </c>
      <c r="I1224" s="8" t="s">
        <v>3240</v>
      </c>
      <c r="J1224" s="8" t="s">
        <v>3224</v>
      </c>
      <c r="K1224" s="8" t="s">
        <v>3183</v>
      </c>
      <c r="L1224" s="10" t="s">
        <v>3241</v>
      </c>
      <c r="M1224" s="10" t="s">
        <v>3242</v>
      </c>
      <c r="N1224" s="10"/>
      <c r="O1224" s="8" t="s">
        <v>3190</v>
      </c>
      <c r="P1224" s="8"/>
      <c r="Q1224" s="8">
        <v>2227</v>
      </c>
      <c r="R1224" s="8">
        <v>2018</v>
      </c>
      <c r="S1224" s="8"/>
      <c r="T1224" s="8"/>
      <c r="U1224" s="8"/>
      <c r="V1224" s="8"/>
      <c r="W1224" s="8"/>
      <c r="X1224" s="8"/>
      <c r="Y1224" s="8"/>
      <c r="Z1224" s="10" t="s">
        <v>3186</v>
      </c>
      <c r="AA1224" s="8" t="s">
        <v>332</v>
      </c>
      <c r="AB1224" s="8">
        <v>1</v>
      </c>
    </row>
    <row r="1225" spans="1:28" ht="21.6" customHeight="1">
      <c r="A1225" s="8">
        <v>16</v>
      </c>
      <c r="B1225" s="8">
        <v>2025101694</v>
      </c>
      <c r="C1225" s="8">
        <v>1</v>
      </c>
      <c r="D1225" s="8" t="s">
        <v>3177</v>
      </c>
      <c r="E1225" s="8" t="s">
        <v>123</v>
      </c>
      <c r="F1225" s="8" t="s">
        <v>4492</v>
      </c>
      <c r="G1225" s="8" t="s">
        <v>4498</v>
      </c>
      <c r="H1225" s="8" t="s">
        <v>4499</v>
      </c>
      <c r="I1225" s="8" t="s">
        <v>4500</v>
      </c>
      <c r="J1225" s="8" t="s">
        <v>3224</v>
      </c>
      <c r="K1225" s="8" t="s">
        <v>3183</v>
      </c>
      <c r="L1225" s="10" t="s">
        <v>3207</v>
      </c>
      <c r="M1225" s="10" t="s">
        <v>3208</v>
      </c>
      <c r="N1225" s="10" t="s">
        <v>3209</v>
      </c>
      <c r="O1225" s="8" t="s">
        <v>3190</v>
      </c>
      <c r="P1225" s="8"/>
      <c r="Q1225" s="8">
        <v>1822</v>
      </c>
      <c r="R1225" s="8">
        <v>2479</v>
      </c>
      <c r="S1225" s="8"/>
      <c r="T1225" s="8"/>
      <c r="U1225" s="8"/>
      <c r="V1225" s="8"/>
      <c r="W1225" s="8"/>
      <c r="X1225" s="8"/>
      <c r="Y1225" s="8"/>
      <c r="Z1225" s="10" t="s">
        <v>3186</v>
      </c>
      <c r="AA1225" s="8" t="s">
        <v>332</v>
      </c>
      <c r="AB1225" s="8">
        <v>1</v>
      </c>
    </row>
    <row r="1226" spans="1:28" ht="21.6" customHeight="1">
      <c r="A1226" s="8">
        <v>206</v>
      </c>
      <c r="B1226" s="8">
        <v>2025100066</v>
      </c>
      <c r="C1226" s="8">
        <v>1</v>
      </c>
      <c r="D1226" s="8" t="s">
        <v>3177</v>
      </c>
      <c r="E1226" s="8" t="s">
        <v>118</v>
      </c>
      <c r="F1226" s="8" t="s">
        <v>4469</v>
      </c>
      <c r="G1226" s="8" t="s">
        <v>3233</v>
      </c>
      <c r="H1226" s="8" t="s">
        <v>3381</v>
      </c>
      <c r="I1226" s="8" t="s">
        <v>4472</v>
      </c>
      <c r="J1226" s="8" t="s">
        <v>3277</v>
      </c>
      <c r="K1226" s="8" t="s">
        <v>3183</v>
      </c>
      <c r="L1226" s="10" t="s">
        <v>3398</v>
      </c>
      <c r="M1226" s="10" t="s">
        <v>3519</v>
      </c>
      <c r="N1226" s="10" t="s">
        <v>3520</v>
      </c>
      <c r="O1226" s="8" t="s">
        <v>3190</v>
      </c>
      <c r="P1226" s="8"/>
      <c r="Q1226" s="8"/>
      <c r="R1226" s="8">
        <v>5001</v>
      </c>
      <c r="S1226" s="8"/>
      <c r="T1226" s="8"/>
      <c r="U1226" s="8"/>
      <c r="V1226" s="8"/>
      <c r="W1226" s="8"/>
      <c r="X1226" s="8"/>
      <c r="Y1226" s="8"/>
      <c r="Z1226" s="10" t="s">
        <v>3696</v>
      </c>
      <c r="AA1226" s="8" t="s">
        <v>332</v>
      </c>
      <c r="AB1226" s="8">
        <v>1</v>
      </c>
    </row>
    <row r="1227" spans="1:28" ht="21.6" customHeight="1">
      <c r="A1227" s="8">
        <v>247</v>
      </c>
      <c r="B1227" s="8">
        <v>2025103359</v>
      </c>
      <c r="C1227" s="8">
        <v>1</v>
      </c>
      <c r="D1227" s="8" t="s">
        <v>3177</v>
      </c>
      <c r="E1227" s="8" t="s">
        <v>118</v>
      </c>
      <c r="F1227" s="8" t="s">
        <v>4548</v>
      </c>
      <c r="G1227" s="8" t="s">
        <v>3250</v>
      </c>
      <c r="H1227" s="8" t="s">
        <v>3258</v>
      </c>
      <c r="I1227" s="8" t="s">
        <v>3539</v>
      </c>
      <c r="J1227" s="8" t="s">
        <v>3298</v>
      </c>
      <c r="K1227" s="8" t="s">
        <v>3183</v>
      </c>
      <c r="L1227" s="10" t="s">
        <v>3540</v>
      </c>
      <c r="M1227" s="10" t="s">
        <v>3541</v>
      </c>
      <c r="N1227" s="10"/>
      <c r="O1227" s="8" t="s">
        <v>322</v>
      </c>
      <c r="P1227" s="8"/>
      <c r="Q1227" s="8"/>
      <c r="R1227" s="8">
        <v>88226</v>
      </c>
      <c r="S1227" s="8"/>
      <c r="T1227" s="8" t="s">
        <v>332</v>
      </c>
      <c r="U1227" s="8"/>
      <c r="V1227" s="8"/>
      <c r="W1227" s="8"/>
      <c r="X1227" s="8"/>
      <c r="Y1227" s="8"/>
      <c r="Z1227" s="10" t="s">
        <v>3323</v>
      </c>
      <c r="AA1227" s="8" t="s">
        <v>332</v>
      </c>
      <c r="AB1227" s="8">
        <v>1</v>
      </c>
    </row>
    <row r="1228" spans="1:28" ht="21.6" customHeight="1">
      <c r="A1228" s="8">
        <v>49</v>
      </c>
      <c r="B1228" s="8">
        <v>2025100057</v>
      </c>
      <c r="C1228" s="8">
        <v>1</v>
      </c>
      <c r="D1228" s="8" t="s">
        <v>3177</v>
      </c>
      <c r="E1228" s="8" t="s">
        <v>123</v>
      </c>
      <c r="F1228" s="8" t="s">
        <v>4469</v>
      </c>
      <c r="G1228" s="8" t="s">
        <v>3451</v>
      </c>
      <c r="H1228" s="8" t="s">
        <v>3995</v>
      </c>
      <c r="I1228" s="8" t="s">
        <v>3293</v>
      </c>
      <c r="J1228" s="8" t="s">
        <v>3288</v>
      </c>
      <c r="K1228" s="8" t="s">
        <v>3183</v>
      </c>
      <c r="L1228" s="10" t="s">
        <v>3294</v>
      </c>
      <c r="M1228" s="10" t="s">
        <v>3295</v>
      </c>
      <c r="N1228" s="10" t="s">
        <v>3272</v>
      </c>
      <c r="O1228" s="8" t="s">
        <v>3190</v>
      </c>
      <c r="P1228" s="8"/>
      <c r="Q1228" s="8">
        <v>2436</v>
      </c>
      <c r="R1228" s="8">
        <v>302935</v>
      </c>
      <c r="S1228" s="8"/>
      <c r="T1228" s="8"/>
      <c r="U1228" s="8"/>
      <c r="V1228" s="8"/>
      <c r="W1228" s="8"/>
      <c r="X1228" s="8"/>
      <c r="Y1228" s="8"/>
      <c r="Z1228" s="10" t="s">
        <v>3186</v>
      </c>
      <c r="AA1228" s="8" t="s">
        <v>332</v>
      </c>
      <c r="AB1228" s="8">
        <v>1</v>
      </c>
    </row>
    <row r="1229" spans="1:28" ht="21.6" customHeight="1">
      <c r="A1229" s="8">
        <v>141</v>
      </c>
      <c r="B1229" s="8">
        <v>2025102615</v>
      </c>
      <c r="C1229" s="8">
        <v>1</v>
      </c>
      <c r="D1229" s="8" t="s">
        <v>3177</v>
      </c>
      <c r="E1229" s="8" t="s">
        <v>118</v>
      </c>
      <c r="F1229" s="8" t="s">
        <v>4526</v>
      </c>
      <c r="G1229" s="8" t="s">
        <v>3368</v>
      </c>
      <c r="H1229" s="8" t="s">
        <v>3250</v>
      </c>
      <c r="I1229" s="8" t="s">
        <v>3680</v>
      </c>
      <c r="J1229" s="8" t="s">
        <v>3195</v>
      </c>
      <c r="K1229" s="8" t="s">
        <v>3183</v>
      </c>
      <c r="L1229" s="10" t="s">
        <v>3377</v>
      </c>
      <c r="M1229" s="10" t="s">
        <v>3681</v>
      </c>
      <c r="N1229" s="10" t="s">
        <v>3682</v>
      </c>
      <c r="O1229" s="8" t="s">
        <v>3190</v>
      </c>
      <c r="P1229" s="8"/>
      <c r="Q1229" s="8">
        <v>45</v>
      </c>
      <c r="R1229" s="8">
        <v>1323</v>
      </c>
      <c r="S1229" s="8"/>
      <c r="T1229" s="8"/>
      <c r="U1229" s="8"/>
      <c r="V1229" s="8"/>
      <c r="W1229" s="8"/>
      <c r="X1229" s="8"/>
      <c r="Y1229" s="8"/>
      <c r="Z1229" s="10" t="s">
        <v>3821</v>
      </c>
      <c r="AA1229" s="8" t="s">
        <v>332</v>
      </c>
      <c r="AB1229" s="8">
        <v>1</v>
      </c>
    </row>
    <row r="1230" spans="1:28" ht="21.6" customHeight="1">
      <c r="A1230" s="8">
        <v>148</v>
      </c>
      <c r="B1230" s="8">
        <v>2025100846</v>
      </c>
      <c r="C1230" s="8">
        <v>1</v>
      </c>
      <c r="D1230" s="8" t="s">
        <v>3177</v>
      </c>
      <c r="E1230" s="8" t="s">
        <v>118</v>
      </c>
      <c r="F1230" s="8" t="s">
        <v>4485</v>
      </c>
      <c r="G1230" s="8" t="s">
        <v>3363</v>
      </c>
      <c r="H1230" s="8" t="s">
        <v>3233</v>
      </c>
      <c r="I1230" s="8" t="s">
        <v>3683</v>
      </c>
      <c r="J1230" s="8" t="s">
        <v>3224</v>
      </c>
      <c r="K1230" s="8" t="s">
        <v>3183</v>
      </c>
      <c r="L1230" s="10" t="s">
        <v>3383</v>
      </c>
      <c r="M1230" s="10" t="s">
        <v>3684</v>
      </c>
      <c r="N1230" s="10" t="s">
        <v>3685</v>
      </c>
      <c r="O1230" s="8" t="s">
        <v>3190</v>
      </c>
      <c r="P1230" s="8">
        <v>1800</v>
      </c>
      <c r="Q1230" s="8">
        <v>2596</v>
      </c>
      <c r="R1230" s="8">
        <v>7150</v>
      </c>
      <c r="S1230" s="8"/>
      <c r="T1230" s="8"/>
      <c r="U1230" s="8"/>
      <c r="V1230" s="8"/>
      <c r="W1230" s="8"/>
      <c r="X1230" s="8"/>
      <c r="Y1230" s="8"/>
      <c r="Z1230" s="10" t="s">
        <v>3696</v>
      </c>
      <c r="AA1230" s="8" t="s">
        <v>332</v>
      </c>
      <c r="AB1230" s="8">
        <v>1</v>
      </c>
    </row>
    <row r="1231" spans="1:28" ht="21.6" customHeight="1">
      <c r="A1231" s="8">
        <v>181</v>
      </c>
      <c r="B1231" s="8">
        <v>2025103449</v>
      </c>
      <c r="C1231" s="8">
        <v>1</v>
      </c>
      <c r="D1231" s="8" t="s">
        <v>3177</v>
      </c>
      <c r="E1231" s="8" t="s">
        <v>118</v>
      </c>
      <c r="F1231" s="8" t="s">
        <v>4551</v>
      </c>
      <c r="G1231" s="8" t="s">
        <v>3401</v>
      </c>
      <c r="H1231" s="8" t="s">
        <v>3577</v>
      </c>
      <c r="I1231" s="8" t="s">
        <v>3413</v>
      </c>
      <c r="J1231" s="8" t="s">
        <v>3253</v>
      </c>
      <c r="K1231" s="8" t="s">
        <v>3183</v>
      </c>
      <c r="L1231" s="10" t="s">
        <v>4549</v>
      </c>
      <c r="M1231" s="10" t="s">
        <v>3415</v>
      </c>
      <c r="N1231" s="10" t="s">
        <v>4550</v>
      </c>
      <c r="O1231" s="8" t="s">
        <v>322</v>
      </c>
      <c r="P1231" s="8"/>
      <c r="Q1231" s="8"/>
      <c r="R1231" s="8">
        <v>109200</v>
      </c>
      <c r="S1231" s="8"/>
      <c r="T1231" s="8"/>
      <c r="U1231" s="8"/>
      <c r="V1231" s="8"/>
      <c r="W1231" s="8"/>
      <c r="X1231" s="8"/>
      <c r="Y1231" s="8" t="s">
        <v>332</v>
      </c>
      <c r="Z1231" s="10" t="s">
        <v>3696</v>
      </c>
      <c r="AA1231" s="8" t="s">
        <v>332</v>
      </c>
      <c r="AB1231" s="8">
        <v>1</v>
      </c>
    </row>
    <row r="1232" spans="1:28" ht="21.6" customHeight="1">
      <c r="A1232" s="8">
        <v>254</v>
      </c>
      <c r="B1232" s="8">
        <v>2025103357</v>
      </c>
      <c r="C1232" s="8">
        <v>1</v>
      </c>
      <c r="D1232" s="8" t="s">
        <v>3177</v>
      </c>
      <c r="E1232" s="8" t="s">
        <v>118</v>
      </c>
      <c r="F1232" s="8" t="s">
        <v>4551</v>
      </c>
      <c r="G1232" s="8" t="s">
        <v>3350</v>
      </c>
      <c r="H1232" s="8" t="s">
        <v>3363</v>
      </c>
      <c r="I1232" s="8" t="s">
        <v>4552</v>
      </c>
      <c r="J1232" s="8" t="s">
        <v>4553</v>
      </c>
      <c r="K1232" s="8" t="s">
        <v>3183</v>
      </c>
      <c r="L1232" s="10" t="s">
        <v>3462</v>
      </c>
      <c r="M1232" s="10" t="s">
        <v>3526</v>
      </c>
      <c r="N1232" s="10" t="s">
        <v>4554</v>
      </c>
      <c r="O1232" s="8" t="s">
        <v>363</v>
      </c>
      <c r="P1232" s="8"/>
      <c r="Q1232" s="8"/>
      <c r="R1232" s="8">
        <v>0</v>
      </c>
      <c r="S1232" s="8"/>
      <c r="T1232" s="8"/>
      <c r="U1232" s="8"/>
      <c r="V1232" s="8"/>
      <c r="W1232" s="8"/>
      <c r="X1232" s="8"/>
      <c r="Y1232" s="8"/>
      <c r="Z1232" s="10" t="s">
        <v>3355</v>
      </c>
      <c r="AA1232" s="8" t="s">
        <v>332</v>
      </c>
      <c r="AB1232" s="8">
        <v>1</v>
      </c>
    </row>
    <row r="1233" spans="1:28" ht="21.6" customHeight="1">
      <c r="A1233" s="8">
        <v>131</v>
      </c>
      <c r="B1233" s="8">
        <v>2025103468</v>
      </c>
      <c r="C1233" s="8">
        <v>1</v>
      </c>
      <c r="D1233" s="8" t="s">
        <v>3177</v>
      </c>
      <c r="E1233" s="8" t="s">
        <v>118</v>
      </c>
      <c r="F1233" s="8" t="s">
        <v>4551</v>
      </c>
      <c r="G1233" s="8" t="s">
        <v>3204</v>
      </c>
      <c r="H1233" s="8" t="s">
        <v>3427</v>
      </c>
      <c r="I1233" s="8" t="s">
        <v>3351</v>
      </c>
      <c r="J1233" s="8" t="s">
        <v>3195</v>
      </c>
      <c r="K1233" s="8" t="s">
        <v>3183</v>
      </c>
      <c r="L1233" s="10" t="s">
        <v>3352</v>
      </c>
      <c r="M1233" s="10" t="s">
        <v>3353</v>
      </c>
      <c r="N1233" s="10" t="s">
        <v>3667</v>
      </c>
      <c r="O1233" s="8" t="s">
        <v>322</v>
      </c>
      <c r="P1233" s="8"/>
      <c r="Q1233" s="8">
        <v>11309</v>
      </c>
      <c r="R1233" s="8">
        <v>80833</v>
      </c>
      <c r="S1233" s="8"/>
      <c r="T1233" s="8"/>
      <c r="U1233" s="8" t="s">
        <v>332</v>
      </c>
      <c r="V1233" s="8"/>
      <c r="W1233" s="8"/>
      <c r="X1233" s="8"/>
      <c r="Y1233" s="8"/>
      <c r="Z1233" s="10" t="s">
        <v>3362</v>
      </c>
      <c r="AA1233" s="8" t="s">
        <v>332</v>
      </c>
      <c r="AB1233" s="8">
        <v>1</v>
      </c>
    </row>
    <row r="1234" spans="1:28" ht="21.6" customHeight="1">
      <c r="A1234" s="8">
        <v>190</v>
      </c>
      <c r="B1234" s="8">
        <v>2025100369</v>
      </c>
      <c r="C1234" s="8">
        <v>1</v>
      </c>
      <c r="D1234" s="8" t="s">
        <v>3177</v>
      </c>
      <c r="E1234" s="8" t="s">
        <v>118</v>
      </c>
      <c r="F1234" s="8" t="s">
        <v>4478</v>
      </c>
      <c r="G1234" s="8" t="s">
        <v>3233</v>
      </c>
      <c r="H1234" s="8" t="s">
        <v>3381</v>
      </c>
      <c r="I1234" s="8" t="s">
        <v>3433</v>
      </c>
      <c r="J1234" s="8" t="s">
        <v>3277</v>
      </c>
      <c r="K1234" s="8" t="s">
        <v>3183</v>
      </c>
      <c r="L1234" s="10" t="s">
        <v>3434</v>
      </c>
      <c r="M1234" s="10" t="s">
        <v>3435</v>
      </c>
      <c r="N1234" s="10" t="s">
        <v>3436</v>
      </c>
      <c r="O1234" s="8" t="s">
        <v>3190</v>
      </c>
      <c r="P1234" s="8"/>
      <c r="Q1234" s="8"/>
      <c r="R1234" s="8">
        <v>155192</v>
      </c>
      <c r="S1234" s="8"/>
      <c r="T1234" s="8"/>
      <c r="U1234" s="8"/>
      <c r="V1234" s="8"/>
      <c r="W1234" s="8"/>
      <c r="X1234" s="8"/>
      <c r="Y1234" s="8"/>
      <c r="Z1234" s="10" t="s">
        <v>3696</v>
      </c>
      <c r="AA1234" s="8" t="s">
        <v>332</v>
      </c>
      <c r="AB1234" s="8">
        <v>1</v>
      </c>
    </row>
    <row r="1235" spans="1:28" ht="21.6" customHeight="1">
      <c r="A1235" s="8">
        <v>197</v>
      </c>
      <c r="B1235" s="8">
        <v>2025103461</v>
      </c>
      <c r="C1235" s="8">
        <v>1</v>
      </c>
      <c r="D1235" s="8" t="s">
        <v>3177</v>
      </c>
      <c r="E1235" s="8" t="s">
        <v>118</v>
      </c>
      <c r="F1235" s="8" t="s">
        <v>4551</v>
      </c>
      <c r="G1235" s="8" t="s">
        <v>3368</v>
      </c>
      <c r="H1235" s="8" t="s">
        <v>3250</v>
      </c>
      <c r="I1235" s="8" t="s">
        <v>3447</v>
      </c>
      <c r="J1235" s="8" t="s">
        <v>3277</v>
      </c>
      <c r="K1235" s="8" t="s">
        <v>3183</v>
      </c>
      <c r="L1235" s="10" t="s">
        <v>3448</v>
      </c>
      <c r="M1235" s="10" t="s">
        <v>3449</v>
      </c>
      <c r="N1235" s="10"/>
      <c r="O1235" s="8" t="s">
        <v>322</v>
      </c>
      <c r="P1235" s="8"/>
      <c r="Q1235" s="8"/>
      <c r="R1235" s="8">
        <v>50000</v>
      </c>
      <c r="S1235" s="8"/>
      <c r="T1235" s="8"/>
      <c r="U1235" s="8"/>
      <c r="V1235" s="8"/>
      <c r="W1235" s="8" t="s">
        <v>332</v>
      </c>
      <c r="X1235" s="8"/>
      <c r="Y1235" s="8"/>
      <c r="Z1235" s="10" t="s">
        <v>4555</v>
      </c>
      <c r="AA1235" s="8" t="s">
        <v>332</v>
      </c>
      <c r="AB1235" s="8">
        <v>1</v>
      </c>
    </row>
    <row r="1236" spans="1:28" ht="21.6" customHeight="1">
      <c r="A1236" s="8">
        <v>218</v>
      </c>
      <c r="B1236" s="8">
        <v>2025102607</v>
      </c>
      <c r="C1236" s="8">
        <v>1</v>
      </c>
      <c r="D1236" s="8" t="s">
        <v>3177</v>
      </c>
      <c r="E1236" s="8" t="s">
        <v>118</v>
      </c>
      <c r="F1236" s="8" t="s">
        <v>4526</v>
      </c>
      <c r="G1236" s="8" t="s">
        <v>3401</v>
      </c>
      <c r="H1236" s="8" t="s">
        <v>3357</v>
      </c>
      <c r="I1236" s="8" t="s">
        <v>4556</v>
      </c>
      <c r="J1236" s="8" t="s">
        <v>3277</v>
      </c>
      <c r="K1236" s="8" t="s">
        <v>3183</v>
      </c>
      <c r="L1236" s="10" t="s">
        <v>3377</v>
      </c>
      <c r="M1236" s="10" t="s">
        <v>3493</v>
      </c>
      <c r="N1236" s="10" t="s">
        <v>3494</v>
      </c>
      <c r="O1236" s="8" t="s">
        <v>3190</v>
      </c>
      <c r="P1236" s="8"/>
      <c r="Q1236" s="8"/>
      <c r="R1236" s="8">
        <v>1291</v>
      </c>
      <c r="S1236" s="8"/>
      <c r="T1236" s="8"/>
      <c r="U1236" s="8"/>
      <c r="V1236" s="8"/>
      <c r="W1236" s="8"/>
      <c r="X1236" s="8"/>
      <c r="Y1236" s="8"/>
      <c r="Z1236" s="10" t="s">
        <v>3821</v>
      </c>
      <c r="AA1236" s="8" t="s">
        <v>332</v>
      </c>
      <c r="AB1236" s="8">
        <v>1</v>
      </c>
    </row>
    <row r="1237" spans="1:28" ht="21.6" customHeight="1">
      <c r="A1237" s="8">
        <v>347</v>
      </c>
      <c r="B1237" s="8">
        <v>2025103477</v>
      </c>
      <c r="C1237" s="8">
        <v>1</v>
      </c>
      <c r="D1237" s="8" t="s">
        <v>3177</v>
      </c>
      <c r="E1237" s="8" t="s">
        <v>118</v>
      </c>
      <c r="F1237" s="8" t="s">
        <v>4551</v>
      </c>
      <c r="G1237" s="8" t="s">
        <v>3386</v>
      </c>
      <c r="H1237" s="8" t="s">
        <v>3848</v>
      </c>
      <c r="I1237" s="8" t="s">
        <v>4513</v>
      </c>
      <c r="J1237" s="8" t="s">
        <v>3871</v>
      </c>
      <c r="K1237" s="8" t="s">
        <v>3579</v>
      </c>
      <c r="L1237" s="10" t="s">
        <v>3580</v>
      </c>
      <c r="M1237" s="10" t="s">
        <v>3581</v>
      </c>
      <c r="N1237" s="10" t="s">
        <v>3582</v>
      </c>
      <c r="O1237" s="8" t="s">
        <v>322</v>
      </c>
      <c r="P1237" s="8"/>
      <c r="Q1237" s="8"/>
      <c r="R1237" s="8">
        <v>0</v>
      </c>
      <c r="S1237" s="8"/>
      <c r="T1237" s="8"/>
      <c r="U1237" s="8"/>
      <c r="V1237" s="8"/>
      <c r="W1237" s="8"/>
      <c r="X1237" s="8"/>
      <c r="Y1237" s="8" t="s">
        <v>332</v>
      </c>
      <c r="Z1237" s="10" t="s">
        <v>4557</v>
      </c>
      <c r="AA1237" s="8" t="s">
        <v>332</v>
      </c>
      <c r="AB1237" s="8">
        <v>1</v>
      </c>
    </row>
    <row r="1238" spans="1:28" ht="21.6" customHeight="1">
      <c r="A1238" s="8">
        <v>287</v>
      </c>
      <c r="B1238" s="8">
        <v>2025100080</v>
      </c>
      <c r="C1238" s="8">
        <v>1</v>
      </c>
      <c r="D1238" s="8" t="s">
        <v>3177</v>
      </c>
      <c r="E1238" s="8" t="s">
        <v>118</v>
      </c>
      <c r="F1238" s="8" t="s">
        <v>4469</v>
      </c>
      <c r="G1238" s="8" t="s">
        <v>3250</v>
      </c>
      <c r="H1238" s="8" t="s">
        <v>3204</v>
      </c>
      <c r="I1238" s="8" t="s">
        <v>4287</v>
      </c>
      <c r="J1238" s="8" t="s">
        <v>1717</v>
      </c>
      <c r="K1238" s="8" t="s">
        <v>3183</v>
      </c>
      <c r="L1238" s="10" t="s">
        <v>3550</v>
      </c>
      <c r="M1238" s="10" t="s">
        <v>3551</v>
      </c>
      <c r="N1238" s="10" t="s">
        <v>3552</v>
      </c>
      <c r="O1238" s="8" t="s">
        <v>3190</v>
      </c>
      <c r="P1238" s="8"/>
      <c r="Q1238" s="8"/>
      <c r="R1238" s="8">
        <v>68795</v>
      </c>
      <c r="S1238" s="8"/>
      <c r="T1238" s="8"/>
      <c r="U1238" s="8"/>
      <c r="V1238" s="8"/>
      <c r="W1238" s="8"/>
      <c r="X1238" s="8"/>
      <c r="Y1238" s="8"/>
      <c r="Z1238" s="10" t="s">
        <v>3696</v>
      </c>
      <c r="AA1238" s="8" t="s">
        <v>332</v>
      </c>
      <c r="AB1238" s="8">
        <v>1</v>
      </c>
    </row>
    <row r="1239" spans="1:28" ht="21.6" customHeight="1">
      <c r="A1239" s="8">
        <v>227</v>
      </c>
      <c r="B1239" s="8">
        <v>2025102611</v>
      </c>
      <c r="C1239" s="8">
        <v>1</v>
      </c>
      <c r="D1239" s="8" t="s">
        <v>3177</v>
      </c>
      <c r="E1239" s="8" t="s">
        <v>118</v>
      </c>
      <c r="F1239" s="8" t="s">
        <v>4526</v>
      </c>
      <c r="G1239" s="8" t="s">
        <v>3342</v>
      </c>
      <c r="H1239" s="8" t="s">
        <v>3767</v>
      </c>
      <c r="I1239" s="8" t="s">
        <v>3966</v>
      </c>
      <c r="J1239" s="8" t="s">
        <v>3288</v>
      </c>
      <c r="K1239" s="8" t="s">
        <v>3183</v>
      </c>
      <c r="L1239" s="10" t="s">
        <v>3377</v>
      </c>
      <c r="M1239" s="10" t="s">
        <v>3967</v>
      </c>
      <c r="N1239" s="10" t="s">
        <v>3968</v>
      </c>
      <c r="O1239" s="8" t="s">
        <v>3190</v>
      </c>
      <c r="P1239" s="8"/>
      <c r="Q1239" s="8">
        <v>1542</v>
      </c>
      <c r="R1239" s="8">
        <v>1034</v>
      </c>
      <c r="S1239" s="8"/>
      <c r="T1239" s="8"/>
      <c r="U1239" s="8"/>
      <c r="V1239" s="8"/>
      <c r="W1239" s="8"/>
      <c r="X1239" s="8"/>
      <c r="Y1239" s="8"/>
      <c r="Z1239" s="10" t="s">
        <v>3821</v>
      </c>
      <c r="AA1239" s="8" t="s">
        <v>332</v>
      </c>
      <c r="AB1239" s="8">
        <v>1</v>
      </c>
    </row>
    <row r="1240" spans="1:28" ht="21.6" customHeight="1">
      <c r="A1240" s="8">
        <v>35</v>
      </c>
      <c r="B1240" s="8">
        <v>2025103727</v>
      </c>
      <c r="C1240" s="8">
        <v>1</v>
      </c>
      <c r="D1240" s="8" t="s">
        <v>3177</v>
      </c>
      <c r="E1240" s="8" t="s">
        <v>123</v>
      </c>
      <c r="F1240" s="8" t="s">
        <v>4558</v>
      </c>
      <c r="G1240" s="8" t="s">
        <v>3258</v>
      </c>
      <c r="H1240" s="8" t="s">
        <v>3632</v>
      </c>
      <c r="I1240" s="8" t="s">
        <v>4018</v>
      </c>
      <c r="J1240" s="8" t="s">
        <v>3253</v>
      </c>
      <c r="K1240" s="8" t="s">
        <v>3183</v>
      </c>
      <c r="L1240" s="10" t="s">
        <v>3629</v>
      </c>
      <c r="M1240" s="10" t="s">
        <v>4299</v>
      </c>
      <c r="N1240" s="10"/>
      <c r="O1240" s="8" t="s">
        <v>363</v>
      </c>
      <c r="P1240" s="8"/>
      <c r="Q1240" s="8"/>
      <c r="R1240" s="8">
        <v>232488</v>
      </c>
      <c r="S1240" s="8"/>
      <c r="T1240" s="8"/>
      <c r="U1240" s="8"/>
      <c r="V1240" s="8"/>
      <c r="W1240" s="8"/>
      <c r="X1240" s="8"/>
      <c r="Y1240" s="8"/>
      <c r="Z1240" s="10" t="s">
        <v>4559</v>
      </c>
      <c r="AA1240" s="8" t="s">
        <v>332</v>
      </c>
      <c r="AB1240" s="8">
        <v>1</v>
      </c>
    </row>
    <row r="1241" spans="1:28" ht="21.6" customHeight="1">
      <c r="A1241" s="8">
        <v>45</v>
      </c>
      <c r="B1241" s="8">
        <v>2025103690</v>
      </c>
      <c r="C1241" s="8">
        <v>1</v>
      </c>
      <c r="D1241" s="8" t="s">
        <v>3177</v>
      </c>
      <c r="E1241" s="8" t="s">
        <v>123</v>
      </c>
      <c r="F1241" s="8" t="s">
        <v>4558</v>
      </c>
      <c r="G1241" s="8" t="s">
        <v>3401</v>
      </c>
      <c r="H1241" s="8" t="s">
        <v>4560</v>
      </c>
      <c r="I1241" s="8" t="s">
        <v>3282</v>
      </c>
      <c r="J1241" s="8" t="s">
        <v>3277</v>
      </c>
      <c r="K1241" s="8" t="s">
        <v>3183</v>
      </c>
      <c r="L1241" s="10" t="s">
        <v>3283</v>
      </c>
      <c r="M1241" s="10" t="s">
        <v>3284</v>
      </c>
      <c r="N1241" s="10"/>
      <c r="O1241" s="8" t="s">
        <v>363</v>
      </c>
      <c r="P1241" s="8"/>
      <c r="Q1241" s="8"/>
      <c r="R1241" s="8">
        <v>28400</v>
      </c>
      <c r="S1241" s="8"/>
      <c r="T1241" s="8"/>
      <c r="U1241" s="8"/>
      <c r="V1241" s="8"/>
      <c r="W1241" s="8"/>
      <c r="X1241" s="8"/>
      <c r="Y1241" s="8"/>
      <c r="Z1241" s="10" t="s">
        <v>4561</v>
      </c>
      <c r="AA1241" s="8" t="s">
        <v>332</v>
      </c>
      <c r="AB1241" s="8">
        <v>1</v>
      </c>
    </row>
    <row r="1242" spans="1:28" ht="21.6" customHeight="1">
      <c r="A1242" s="8">
        <v>50</v>
      </c>
      <c r="B1242" s="8">
        <v>2025103728</v>
      </c>
      <c r="C1242" s="8">
        <v>1</v>
      </c>
      <c r="D1242" s="8" t="s">
        <v>3177</v>
      </c>
      <c r="E1242" s="8" t="s">
        <v>123</v>
      </c>
      <c r="F1242" s="8" t="s">
        <v>4558</v>
      </c>
      <c r="G1242" s="8" t="s">
        <v>3560</v>
      </c>
      <c r="H1242" s="8" t="s">
        <v>4346</v>
      </c>
      <c r="I1242" s="8" t="s">
        <v>4562</v>
      </c>
      <c r="J1242" s="8" t="s">
        <v>3277</v>
      </c>
      <c r="K1242" s="8" t="s">
        <v>3183</v>
      </c>
      <c r="L1242" s="10" t="s">
        <v>3629</v>
      </c>
      <c r="M1242" s="10" t="s">
        <v>3630</v>
      </c>
      <c r="N1242" s="10" t="s">
        <v>123</v>
      </c>
      <c r="O1242" s="8" t="s">
        <v>363</v>
      </c>
      <c r="P1242" s="8"/>
      <c r="Q1242" s="8"/>
      <c r="R1242" s="8">
        <v>85455</v>
      </c>
      <c r="S1242" s="8"/>
      <c r="T1242" s="8"/>
      <c r="U1242" s="8"/>
      <c r="V1242" s="8"/>
      <c r="W1242" s="8"/>
      <c r="X1242" s="8"/>
      <c r="Y1242" s="8"/>
      <c r="Z1242" s="10" t="s">
        <v>4563</v>
      </c>
      <c r="AA1242" s="8" t="s">
        <v>332</v>
      </c>
      <c r="AB1242" s="8">
        <v>1</v>
      </c>
    </row>
    <row r="1243" spans="1:28" ht="21.6" customHeight="1">
      <c r="A1243" s="8">
        <v>156</v>
      </c>
      <c r="B1243" s="8">
        <v>2025103553</v>
      </c>
      <c r="C1243" s="8">
        <v>1</v>
      </c>
      <c r="D1243" s="8" t="s">
        <v>3177</v>
      </c>
      <c r="E1243" s="8" t="s">
        <v>118</v>
      </c>
      <c r="F1243" s="8" t="s">
        <v>4558</v>
      </c>
      <c r="G1243" s="8" t="s">
        <v>3386</v>
      </c>
      <c r="H1243" s="8" t="s">
        <v>3387</v>
      </c>
      <c r="I1243" s="8" t="s">
        <v>3689</v>
      </c>
      <c r="J1243" s="8" t="s">
        <v>3224</v>
      </c>
      <c r="K1243" s="8" t="s">
        <v>3183</v>
      </c>
      <c r="L1243" s="10" t="s">
        <v>3344</v>
      </c>
      <c r="M1243" s="10" t="s">
        <v>3345</v>
      </c>
      <c r="N1243" s="10" t="s">
        <v>3497</v>
      </c>
      <c r="O1243" s="8" t="s">
        <v>363</v>
      </c>
      <c r="P1243" s="8"/>
      <c r="Q1243" s="8">
        <v>900</v>
      </c>
      <c r="R1243" s="8">
        <v>13500</v>
      </c>
      <c r="S1243" s="8"/>
      <c r="T1243" s="8"/>
      <c r="U1243" s="8"/>
      <c r="V1243" s="8"/>
      <c r="W1243" s="8"/>
      <c r="X1243" s="8"/>
      <c r="Y1243" s="8"/>
      <c r="Z1243" s="10" t="s">
        <v>3816</v>
      </c>
      <c r="AA1243" s="8" t="s">
        <v>332</v>
      </c>
      <c r="AB1243" s="8">
        <v>1</v>
      </c>
    </row>
    <row r="1244" spans="1:28" ht="21.6" customHeight="1">
      <c r="A1244" s="8">
        <v>237</v>
      </c>
      <c r="B1244" s="8">
        <v>2025102629</v>
      </c>
      <c r="C1244" s="8">
        <v>1</v>
      </c>
      <c r="D1244" s="8" t="s">
        <v>3177</v>
      </c>
      <c r="E1244" s="8" t="s">
        <v>118</v>
      </c>
      <c r="F1244" s="8" t="s">
        <v>4526</v>
      </c>
      <c r="G1244" s="8" t="s">
        <v>3427</v>
      </c>
      <c r="H1244" s="8" t="s">
        <v>3386</v>
      </c>
      <c r="I1244" s="8" t="s">
        <v>3492</v>
      </c>
      <c r="J1244" s="8" t="s">
        <v>3288</v>
      </c>
      <c r="K1244" s="8" t="s">
        <v>3183</v>
      </c>
      <c r="L1244" s="10" t="s">
        <v>3377</v>
      </c>
      <c r="M1244" s="10" t="s">
        <v>3493</v>
      </c>
      <c r="N1244" s="10" t="s">
        <v>3494</v>
      </c>
      <c r="O1244" s="8" t="s">
        <v>3190</v>
      </c>
      <c r="P1244" s="8"/>
      <c r="Q1244" s="8">
        <v>289</v>
      </c>
      <c r="R1244" s="8">
        <v>337</v>
      </c>
      <c r="S1244" s="8"/>
      <c r="T1244" s="8"/>
      <c r="U1244" s="8"/>
      <c r="V1244" s="8"/>
      <c r="W1244" s="8"/>
      <c r="X1244" s="8"/>
      <c r="Y1244" s="8"/>
      <c r="Z1244" s="10" t="s">
        <v>3821</v>
      </c>
      <c r="AA1244" s="8" t="s">
        <v>332</v>
      </c>
      <c r="AB1244" s="8">
        <v>1</v>
      </c>
    </row>
    <row r="1245" spans="1:28" ht="21.6" customHeight="1">
      <c r="A1245" s="8">
        <v>1</v>
      </c>
      <c r="B1245" s="8">
        <v>2025110319</v>
      </c>
      <c r="C1245" s="8">
        <v>1</v>
      </c>
      <c r="D1245" s="8" t="s">
        <v>3177</v>
      </c>
      <c r="E1245" s="8" t="s">
        <v>123</v>
      </c>
      <c r="F1245" s="8" t="s">
        <v>4564</v>
      </c>
      <c r="G1245" s="8" t="s">
        <v>3691</v>
      </c>
      <c r="H1245" s="8" t="s">
        <v>3887</v>
      </c>
      <c r="I1245" s="8" t="s">
        <v>4470</v>
      </c>
      <c r="J1245" s="8" t="s">
        <v>3224</v>
      </c>
      <c r="K1245" s="8" t="s">
        <v>3183</v>
      </c>
      <c r="L1245" s="10" t="s">
        <v>4404</v>
      </c>
      <c r="M1245" s="10" t="s">
        <v>4471</v>
      </c>
      <c r="N1245" s="10" t="s">
        <v>3215</v>
      </c>
      <c r="O1245" s="8" t="s">
        <v>322</v>
      </c>
      <c r="P1245" s="8"/>
      <c r="Q1245" s="8">
        <v>128</v>
      </c>
      <c r="R1245" s="8">
        <v>276</v>
      </c>
      <c r="S1245" s="8" t="s">
        <v>332</v>
      </c>
      <c r="T1245" s="8"/>
      <c r="U1245" s="8"/>
      <c r="V1245" s="8"/>
      <c r="W1245" s="8"/>
      <c r="X1245" s="8"/>
      <c r="Y1245" s="8"/>
      <c r="Z1245" s="10" t="s">
        <v>3186</v>
      </c>
      <c r="AA1245" s="8" t="s">
        <v>332</v>
      </c>
      <c r="AB1245" s="8">
        <v>1</v>
      </c>
    </row>
    <row r="1246" spans="1:28" ht="21.6" customHeight="1">
      <c r="A1246" s="8">
        <v>3</v>
      </c>
      <c r="B1246" s="8">
        <v>2025110360</v>
      </c>
      <c r="C1246" s="8">
        <v>1</v>
      </c>
      <c r="D1246" s="8" t="s">
        <v>3177</v>
      </c>
      <c r="E1246" s="8" t="s">
        <v>123</v>
      </c>
      <c r="F1246" s="8" t="s">
        <v>4564</v>
      </c>
      <c r="G1246" s="8" t="s">
        <v>4204</v>
      </c>
      <c r="H1246" s="8" t="s">
        <v>3261</v>
      </c>
      <c r="I1246" s="8" t="s">
        <v>3269</v>
      </c>
      <c r="J1246" s="8" t="s">
        <v>3253</v>
      </c>
      <c r="K1246" s="8" t="s">
        <v>3183</v>
      </c>
      <c r="L1246" s="10" t="s">
        <v>3270</v>
      </c>
      <c r="M1246" s="10" t="s">
        <v>3271</v>
      </c>
      <c r="N1246" s="10" t="s">
        <v>3272</v>
      </c>
      <c r="O1246" s="8" t="s">
        <v>322</v>
      </c>
      <c r="P1246" s="8"/>
      <c r="Q1246" s="8"/>
      <c r="R1246" s="8">
        <v>25552</v>
      </c>
      <c r="S1246" s="8" t="s">
        <v>332</v>
      </c>
      <c r="T1246" s="8"/>
      <c r="U1246" s="8"/>
      <c r="V1246" s="8"/>
      <c r="W1246" s="8"/>
      <c r="X1246" s="8"/>
      <c r="Y1246" s="8"/>
      <c r="Z1246" s="10" t="s">
        <v>3186</v>
      </c>
      <c r="AA1246" s="8" t="s">
        <v>332</v>
      </c>
      <c r="AB1246" s="8">
        <v>1</v>
      </c>
    </row>
    <row r="1247" spans="1:28" ht="21.6" customHeight="1">
      <c r="A1247" s="8">
        <v>5</v>
      </c>
      <c r="B1247" s="8">
        <v>2025110355</v>
      </c>
      <c r="C1247" s="8">
        <v>1</v>
      </c>
      <c r="D1247" s="8" t="s">
        <v>3177</v>
      </c>
      <c r="E1247" s="8" t="s">
        <v>123</v>
      </c>
      <c r="F1247" s="8" t="s">
        <v>4564</v>
      </c>
      <c r="G1247" s="8" t="s">
        <v>3829</v>
      </c>
      <c r="H1247" s="8" t="s">
        <v>3387</v>
      </c>
      <c r="I1247" s="8" t="s">
        <v>3282</v>
      </c>
      <c r="J1247" s="8" t="s">
        <v>3277</v>
      </c>
      <c r="K1247" s="8" t="s">
        <v>3183</v>
      </c>
      <c r="L1247" s="10" t="s">
        <v>3283</v>
      </c>
      <c r="M1247" s="10" t="s">
        <v>3284</v>
      </c>
      <c r="N1247" s="10"/>
      <c r="O1247" s="8" t="s">
        <v>322</v>
      </c>
      <c r="P1247" s="8"/>
      <c r="Q1247" s="8"/>
      <c r="R1247" s="8">
        <v>29400</v>
      </c>
      <c r="S1247" s="8" t="s">
        <v>332</v>
      </c>
      <c r="T1247" s="8"/>
      <c r="U1247" s="8"/>
      <c r="V1247" s="8"/>
      <c r="W1247" s="8"/>
      <c r="X1247" s="8"/>
      <c r="Y1247" s="8"/>
      <c r="Z1247" s="10" t="s">
        <v>3186</v>
      </c>
      <c r="AA1247" s="8" t="s">
        <v>332</v>
      </c>
      <c r="AB1247" s="8">
        <v>1</v>
      </c>
    </row>
    <row r="1248" spans="1:28" ht="21.6" customHeight="1">
      <c r="A1248" s="8">
        <v>7</v>
      </c>
      <c r="B1248" s="8">
        <v>2025110357</v>
      </c>
      <c r="C1248" s="8">
        <v>1</v>
      </c>
      <c r="D1248" s="8" t="s">
        <v>3177</v>
      </c>
      <c r="E1248" s="8" t="s">
        <v>123</v>
      </c>
      <c r="F1248" s="8" t="s">
        <v>4564</v>
      </c>
      <c r="G1248" s="8" t="s">
        <v>3801</v>
      </c>
      <c r="H1248" s="8" t="s">
        <v>3802</v>
      </c>
      <c r="I1248" s="8" t="s">
        <v>3293</v>
      </c>
      <c r="J1248" s="8" t="s">
        <v>3288</v>
      </c>
      <c r="K1248" s="8" t="s">
        <v>3183</v>
      </c>
      <c r="L1248" s="10" t="s">
        <v>3294</v>
      </c>
      <c r="M1248" s="10" t="s">
        <v>3295</v>
      </c>
      <c r="N1248" s="10" t="s">
        <v>3272</v>
      </c>
      <c r="O1248" s="8" t="s">
        <v>322</v>
      </c>
      <c r="P1248" s="8"/>
      <c r="Q1248" s="8">
        <v>2453</v>
      </c>
      <c r="R1248" s="8">
        <v>311677</v>
      </c>
      <c r="S1248" s="8" t="s">
        <v>332</v>
      </c>
      <c r="T1248" s="8"/>
      <c r="U1248" s="8"/>
      <c r="V1248" s="8"/>
      <c r="W1248" s="8"/>
      <c r="X1248" s="8"/>
      <c r="Y1248" s="8"/>
      <c r="Z1248" s="10" t="s">
        <v>3186</v>
      </c>
      <c r="AA1248" s="8" t="s">
        <v>332</v>
      </c>
      <c r="AB1248" s="8">
        <v>1</v>
      </c>
    </row>
    <row r="1249" spans="1:28" ht="21.6" customHeight="1">
      <c r="A1249" s="8">
        <v>15</v>
      </c>
      <c r="B1249" s="8">
        <v>2025110341</v>
      </c>
      <c r="C1249" s="8">
        <v>1</v>
      </c>
      <c r="D1249" s="8" t="s">
        <v>3177</v>
      </c>
      <c r="E1249" s="8" t="s">
        <v>118</v>
      </c>
      <c r="F1249" s="8" t="s">
        <v>4564</v>
      </c>
      <c r="G1249" s="8" t="s">
        <v>3386</v>
      </c>
      <c r="H1249" s="8" t="s">
        <v>3387</v>
      </c>
      <c r="I1249" s="8" t="s">
        <v>3978</v>
      </c>
      <c r="J1249" s="8" t="s">
        <v>3301</v>
      </c>
      <c r="K1249" s="8" t="s">
        <v>3183</v>
      </c>
      <c r="L1249" s="10" t="s">
        <v>4481</v>
      </c>
      <c r="M1249" s="10" t="s">
        <v>3980</v>
      </c>
      <c r="N1249" s="10" t="s">
        <v>3497</v>
      </c>
      <c r="O1249" s="8" t="s">
        <v>322</v>
      </c>
      <c r="P1249" s="8"/>
      <c r="Q1249" s="8">
        <v>6296</v>
      </c>
      <c r="R1249" s="8">
        <v>12863</v>
      </c>
      <c r="S1249" s="8" t="s">
        <v>332</v>
      </c>
      <c r="T1249" s="8"/>
      <c r="U1249" s="8"/>
      <c r="V1249" s="8"/>
      <c r="W1249" s="8"/>
      <c r="X1249" s="8"/>
      <c r="Y1249" s="8"/>
      <c r="Z1249" s="10" t="s">
        <v>3821</v>
      </c>
      <c r="AA1249" s="8" t="s">
        <v>332</v>
      </c>
      <c r="AB1249" s="8">
        <v>1</v>
      </c>
    </row>
    <row r="1250" spans="1:28" ht="21.6" customHeight="1">
      <c r="A1250" s="8">
        <v>23</v>
      </c>
      <c r="B1250" s="8">
        <v>2025110461</v>
      </c>
      <c r="C1250" s="8">
        <v>1</v>
      </c>
      <c r="D1250" s="8" t="s">
        <v>3177</v>
      </c>
      <c r="E1250" s="8" t="s">
        <v>118</v>
      </c>
      <c r="F1250" s="8" t="s">
        <v>4565</v>
      </c>
      <c r="G1250" s="8" t="s">
        <v>3363</v>
      </c>
      <c r="H1250" s="8" t="s">
        <v>3233</v>
      </c>
      <c r="I1250" s="8" t="s">
        <v>3422</v>
      </c>
      <c r="J1250" s="8" t="s">
        <v>3253</v>
      </c>
      <c r="K1250" s="8" t="s">
        <v>3183</v>
      </c>
      <c r="L1250" s="10" t="s">
        <v>3270</v>
      </c>
      <c r="M1250" s="10" t="s">
        <v>3423</v>
      </c>
      <c r="N1250" s="10" t="s">
        <v>3424</v>
      </c>
      <c r="O1250" s="8" t="s">
        <v>322</v>
      </c>
      <c r="P1250" s="8"/>
      <c r="Q1250" s="8"/>
      <c r="R1250" s="8">
        <v>48705</v>
      </c>
      <c r="S1250" s="8" t="s">
        <v>332</v>
      </c>
      <c r="T1250" s="8"/>
      <c r="U1250" s="8"/>
      <c r="V1250" s="8"/>
      <c r="W1250" s="8"/>
      <c r="X1250" s="8"/>
      <c r="Y1250" s="8"/>
      <c r="Z1250" s="10" t="s">
        <v>3821</v>
      </c>
      <c r="AA1250" s="8" t="s">
        <v>332</v>
      </c>
      <c r="AB1250" s="8">
        <v>1</v>
      </c>
    </row>
    <row r="1251" spans="1:28" ht="21.6" customHeight="1">
      <c r="A1251" s="8">
        <v>25</v>
      </c>
      <c r="B1251" s="8">
        <v>2025110459</v>
      </c>
      <c r="C1251" s="8">
        <v>1</v>
      </c>
      <c r="D1251" s="8" t="s">
        <v>3177</v>
      </c>
      <c r="E1251" s="8" t="s">
        <v>118</v>
      </c>
      <c r="F1251" s="8" t="s">
        <v>4565</v>
      </c>
      <c r="G1251" s="8" t="s">
        <v>3280</v>
      </c>
      <c r="H1251" s="8" t="s">
        <v>3363</v>
      </c>
      <c r="I1251" s="8" t="s">
        <v>3428</v>
      </c>
      <c r="J1251" s="8" t="s">
        <v>3253</v>
      </c>
      <c r="K1251" s="8" t="s">
        <v>3183</v>
      </c>
      <c r="L1251" s="10" t="s">
        <v>3270</v>
      </c>
      <c r="M1251" s="10" t="s">
        <v>3429</v>
      </c>
      <c r="N1251" s="10" t="s">
        <v>3430</v>
      </c>
      <c r="O1251" s="8" t="s">
        <v>322</v>
      </c>
      <c r="P1251" s="8"/>
      <c r="Q1251" s="8"/>
      <c r="R1251" s="8">
        <v>80259</v>
      </c>
      <c r="S1251" s="8" t="s">
        <v>332</v>
      </c>
      <c r="T1251" s="8"/>
      <c r="U1251" s="8"/>
      <c r="V1251" s="8"/>
      <c r="W1251" s="8"/>
      <c r="X1251" s="8"/>
      <c r="Y1251" s="8"/>
      <c r="Z1251" s="10" t="s">
        <v>3821</v>
      </c>
      <c r="AA1251" s="8" t="s">
        <v>332</v>
      </c>
      <c r="AB1251" s="8">
        <v>1</v>
      </c>
    </row>
    <row r="1252" spans="1:28" ht="21.6" customHeight="1">
      <c r="A1252" s="8">
        <v>27</v>
      </c>
      <c r="B1252" s="8">
        <v>2025110458</v>
      </c>
      <c r="C1252" s="8">
        <v>1</v>
      </c>
      <c r="D1252" s="8" t="s">
        <v>3177</v>
      </c>
      <c r="E1252" s="8" t="s">
        <v>118</v>
      </c>
      <c r="F1252" s="8" t="s">
        <v>4565</v>
      </c>
      <c r="G1252" s="8" t="s">
        <v>3350</v>
      </c>
      <c r="H1252" s="8" t="s">
        <v>3280</v>
      </c>
      <c r="I1252" s="8" t="s">
        <v>4171</v>
      </c>
      <c r="J1252" s="8" t="s">
        <v>3277</v>
      </c>
      <c r="K1252" s="8" t="s">
        <v>3183</v>
      </c>
      <c r="L1252" s="10" t="s">
        <v>3270</v>
      </c>
      <c r="M1252" s="10" t="s">
        <v>3496</v>
      </c>
      <c r="N1252" s="10" t="s">
        <v>3497</v>
      </c>
      <c r="O1252" s="8" t="s">
        <v>3190</v>
      </c>
      <c r="P1252" s="8"/>
      <c r="Q1252" s="8"/>
      <c r="R1252" s="8">
        <v>4068</v>
      </c>
      <c r="S1252" s="8"/>
      <c r="T1252" s="8"/>
      <c r="U1252" s="8"/>
      <c r="V1252" s="8"/>
      <c r="W1252" s="8"/>
      <c r="X1252" s="8"/>
      <c r="Y1252" s="8"/>
      <c r="Z1252" s="10" t="s">
        <v>3821</v>
      </c>
      <c r="AA1252" s="8" t="s">
        <v>332</v>
      </c>
      <c r="AB1252" s="8">
        <v>1</v>
      </c>
    </row>
    <row r="1253" spans="1:28" ht="21.6" customHeight="1">
      <c r="A1253" s="8">
        <v>28</v>
      </c>
      <c r="B1253" s="8">
        <v>2025110524</v>
      </c>
      <c r="C1253" s="8">
        <v>1</v>
      </c>
      <c r="D1253" s="8" t="s">
        <v>3177</v>
      </c>
      <c r="E1253" s="8" t="s">
        <v>118</v>
      </c>
      <c r="F1253" s="8" t="s">
        <v>4565</v>
      </c>
      <c r="G1253" s="8" t="s">
        <v>3381</v>
      </c>
      <c r="H1253" s="8" t="s">
        <v>3357</v>
      </c>
      <c r="I1253" s="8" t="s">
        <v>4428</v>
      </c>
      <c r="J1253" s="8" t="s">
        <v>3277</v>
      </c>
      <c r="K1253" s="8" t="s">
        <v>3183</v>
      </c>
      <c r="L1253" s="10" t="s">
        <v>3398</v>
      </c>
      <c r="M1253" s="10" t="s">
        <v>3399</v>
      </c>
      <c r="N1253" s="10" t="s">
        <v>3400</v>
      </c>
      <c r="O1253" s="8" t="s">
        <v>363</v>
      </c>
      <c r="P1253" s="8"/>
      <c r="Q1253" s="8"/>
      <c r="R1253" s="8">
        <v>3173</v>
      </c>
      <c r="S1253" s="8"/>
      <c r="T1253" s="8"/>
      <c r="U1253" s="8"/>
      <c r="V1253" s="8"/>
      <c r="W1253" s="8"/>
      <c r="X1253" s="8"/>
      <c r="Y1253" s="8"/>
      <c r="Z1253" s="10" t="s">
        <v>4566</v>
      </c>
      <c r="AA1253" s="8" t="s">
        <v>332</v>
      </c>
      <c r="AB1253" s="8">
        <v>1</v>
      </c>
    </row>
    <row r="1254" spans="1:28" ht="21.6" customHeight="1">
      <c r="A1254" s="8">
        <v>37</v>
      </c>
      <c r="B1254" s="8">
        <v>2025110687</v>
      </c>
      <c r="C1254" s="8">
        <v>1</v>
      </c>
      <c r="D1254" s="8" t="s">
        <v>3177</v>
      </c>
      <c r="E1254" s="8" t="s">
        <v>118</v>
      </c>
      <c r="F1254" s="8" t="s">
        <v>4565</v>
      </c>
      <c r="G1254" s="8" t="s">
        <v>3426</v>
      </c>
      <c r="H1254" s="8" t="s">
        <v>3431</v>
      </c>
      <c r="I1254" s="8" t="s">
        <v>4552</v>
      </c>
      <c r="J1254" s="8" t="s">
        <v>4553</v>
      </c>
      <c r="K1254" s="8" t="s">
        <v>3183</v>
      </c>
      <c r="L1254" s="10" t="s">
        <v>3462</v>
      </c>
      <c r="M1254" s="10" t="s">
        <v>3526</v>
      </c>
      <c r="N1254" s="10" t="s">
        <v>4554</v>
      </c>
      <c r="O1254" s="8" t="s">
        <v>322</v>
      </c>
      <c r="P1254" s="8"/>
      <c r="Q1254" s="8"/>
      <c r="R1254" s="8">
        <v>2471</v>
      </c>
      <c r="S1254" s="8"/>
      <c r="T1254" s="8"/>
      <c r="U1254" s="8" t="s">
        <v>332</v>
      </c>
      <c r="V1254" s="8"/>
      <c r="W1254" s="8"/>
      <c r="X1254" s="8"/>
      <c r="Y1254" s="8"/>
      <c r="Z1254" s="10" t="s">
        <v>4567</v>
      </c>
      <c r="AA1254" s="8" t="s">
        <v>332</v>
      </c>
      <c r="AB1254" s="8">
        <v>1</v>
      </c>
    </row>
    <row r="1255" spans="1:28" ht="21.6" customHeight="1">
      <c r="A1255" s="8">
        <v>40</v>
      </c>
      <c r="B1255" s="8">
        <v>2025110688</v>
      </c>
      <c r="C1255" s="8">
        <v>1</v>
      </c>
      <c r="D1255" s="8" t="s">
        <v>3177</v>
      </c>
      <c r="E1255" s="8" t="s">
        <v>118</v>
      </c>
      <c r="F1255" s="8" t="s">
        <v>4565</v>
      </c>
      <c r="G1255" s="8" t="s">
        <v>3431</v>
      </c>
      <c r="H1255" s="8" t="s">
        <v>3432</v>
      </c>
      <c r="I1255" s="8" t="s">
        <v>4568</v>
      </c>
      <c r="J1255" s="8" t="s">
        <v>4553</v>
      </c>
      <c r="K1255" s="8" t="s">
        <v>3183</v>
      </c>
      <c r="L1255" s="10" t="s">
        <v>3462</v>
      </c>
      <c r="M1255" s="10" t="s">
        <v>3531</v>
      </c>
      <c r="N1255" s="10" t="s">
        <v>3532</v>
      </c>
      <c r="O1255" s="8" t="s">
        <v>322</v>
      </c>
      <c r="P1255" s="8"/>
      <c r="Q1255" s="8"/>
      <c r="R1255" s="8">
        <v>12597</v>
      </c>
      <c r="S1255" s="8"/>
      <c r="T1255" s="8"/>
      <c r="U1255" s="8" t="s">
        <v>332</v>
      </c>
      <c r="V1255" s="8"/>
      <c r="W1255" s="8"/>
      <c r="X1255" s="8"/>
      <c r="Y1255" s="8"/>
      <c r="Z1255" s="10" t="s">
        <v>4567</v>
      </c>
      <c r="AA1255" s="8" t="s">
        <v>332</v>
      </c>
      <c r="AB1255" s="8">
        <v>1</v>
      </c>
    </row>
    <row r="1256" spans="1:28" ht="21.6" customHeight="1">
      <c r="A1256" s="8">
        <v>1</v>
      </c>
      <c r="B1256" s="8">
        <v>2025110320</v>
      </c>
      <c r="C1256" s="8">
        <v>1</v>
      </c>
      <c r="D1256" s="8" t="s">
        <v>3177</v>
      </c>
      <c r="E1256" s="8" t="s">
        <v>123</v>
      </c>
      <c r="F1256" s="8" t="s">
        <v>4564</v>
      </c>
      <c r="G1256" s="8" t="s">
        <v>3691</v>
      </c>
      <c r="H1256" s="8" t="s">
        <v>3887</v>
      </c>
      <c r="I1256" s="8" t="s">
        <v>4470</v>
      </c>
      <c r="J1256" s="8" t="s">
        <v>3224</v>
      </c>
      <c r="K1256" s="8" t="s">
        <v>3183</v>
      </c>
      <c r="L1256" s="10" t="s">
        <v>4404</v>
      </c>
      <c r="M1256" s="10" t="s">
        <v>4471</v>
      </c>
      <c r="N1256" s="10" t="s">
        <v>3215</v>
      </c>
      <c r="O1256" s="8" t="s">
        <v>3190</v>
      </c>
      <c r="P1256" s="8"/>
      <c r="Q1256" s="8">
        <v>128</v>
      </c>
      <c r="R1256" s="8">
        <v>276</v>
      </c>
      <c r="S1256" s="8"/>
      <c r="T1256" s="8"/>
      <c r="U1256" s="8"/>
      <c r="V1256" s="8"/>
      <c r="W1256" s="8"/>
      <c r="X1256" s="8"/>
      <c r="Y1256" s="8"/>
      <c r="Z1256" s="10" t="s">
        <v>3186</v>
      </c>
      <c r="AA1256" s="8" t="s">
        <v>332</v>
      </c>
      <c r="AB1256" s="8">
        <v>1</v>
      </c>
    </row>
    <row r="1257" spans="1:28" ht="21.6" customHeight="1">
      <c r="A1257" s="8">
        <v>5</v>
      </c>
      <c r="B1257" s="8">
        <v>2025110798</v>
      </c>
      <c r="C1257" s="8">
        <v>1</v>
      </c>
      <c r="D1257" s="8" t="s">
        <v>3177</v>
      </c>
      <c r="E1257" s="8" t="s">
        <v>123</v>
      </c>
      <c r="F1257" s="8" t="s">
        <v>4569</v>
      </c>
      <c r="G1257" s="8" t="s">
        <v>3258</v>
      </c>
      <c r="H1257" s="8" t="s">
        <v>3498</v>
      </c>
      <c r="I1257" s="8" t="s">
        <v>3276</v>
      </c>
      <c r="J1257" s="8" t="s">
        <v>3277</v>
      </c>
      <c r="K1257" s="8" t="s">
        <v>3183</v>
      </c>
      <c r="L1257" s="10" t="s">
        <v>3278</v>
      </c>
      <c r="M1257" s="10" t="s">
        <v>3279</v>
      </c>
      <c r="N1257" s="10" t="s">
        <v>4408</v>
      </c>
      <c r="O1257" s="8" t="s">
        <v>322</v>
      </c>
      <c r="P1257" s="8"/>
      <c r="Q1257" s="8"/>
      <c r="R1257" s="8">
        <v>70842</v>
      </c>
      <c r="S1257" s="8" t="s">
        <v>332</v>
      </c>
      <c r="T1257" s="8"/>
      <c r="U1257" s="8"/>
      <c r="V1257" s="8"/>
      <c r="W1257" s="8"/>
      <c r="X1257" s="8"/>
      <c r="Y1257" s="8"/>
      <c r="Z1257" s="10" t="s">
        <v>3186</v>
      </c>
      <c r="AA1257" s="8" t="s">
        <v>332</v>
      </c>
      <c r="AB1257" s="8">
        <v>1</v>
      </c>
    </row>
    <row r="1258" spans="1:28" ht="21.6" customHeight="1">
      <c r="A1258" s="8">
        <v>45</v>
      </c>
      <c r="B1258" s="8">
        <v>2025110908</v>
      </c>
      <c r="C1258" s="8">
        <v>1</v>
      </c>
      <c r="D1258" s="8" t="s">
        <v>3177</v>
      </c>
      <c r="E1258" s="8" t="s">
        <v>118</v>
      </c>
      <c r="F1258" s="8" t="s">
        <v>4570</v>
      </c>
      <c r="G1258" s="8" t="s">
        <v>3363</v>
      </c>
      <c r="H1258" s="8" t="s">
        <v>3233</v>
      </c>
      <c r="I1258" s="8" t="s">
        <v>3447</v>
      </c>
      <c r="J1258" s="8" t="s">
        <v>3277</v>
      </c>
      <c r="K1258" s="8" t="s">
        <v>3183</v>
      </c>
      <c r="L1258" s="10" t="s">
        <v>3448</v>
      </c>
      <c r="M1258" s="10" t="s">
        <v>3449</v>
      </c>
      <c r="N1258" s="10"/>
      <c r="O1258" s="8" t="s">
        <v>3190</v>
      </c>
      <c r="P1258" s="8"/>
      <c r="Q1258" s="8"/>
      <c r="R1258" s="8">
        <v>52000</v>
      </c>
      <c r="S1258" s="8"/>
      <c r="T1258" s="8"/>
      <c r="U1258" s="8"/>
      <c r="V1258" s="8"/>
      <c r="W1258" s="8"/>
      <c r="X1258" s="8"/>
      <c r="Y1258" s="8"/>
      <c r="Z1258" s="10" t="s">
        <v>3696</v>
      </c>
      <c r="AA1258" s="8" t="s">
        <v>332</v>
      </c>
      <c r="AB1258" s="8">
        <v>1</v>
      </c>
    </row>
    <row r="1259" spans="1:28" ht="21.6" customHeight="1">
      <c r="A1259" s="8">
        <v>67</v>
      </c>
      <c r="B1259" s="8">
        <v>2025110678</v>
      </c>
      <c r="C1259" s="8">
        <v>1</v>
      </c>
      <c r="D1259" s="8" t="s">
        <v>3177</v>
      </c>
      <c r="E1259" s="8" t="s">
        <v>118</v>
      </c>
      <c r="F1259" s="8" t="s">
        <v>4569</v>
      </c>
      <c r="G1259" s="8" t="s">
        <v>3426</v>
      </c>
      <c r="H1259" s="8" t="s">
        <v>3432</v>
      </c>
      <c r="I1259" s="8" t="s">
        <v>4287</v>
      </c>
      <c r="J1259" s="8" t="s">
        <v>1717</v>
      </c>
      <c r="K1259" s="8" t="s">
        <v>3183</v>
      </c>
      <c r="L1259" s="10" t="s">
        <v>3550</v>
      </c>
      <c r="M1259" s="10" t="s">
        <v>3551</v>
      </c>
      <c r="N1259" s="10" t="s">
        <v>3552</v>
      </c>
      <c r="O1259" s="8" t="s">
        <v>363</v>
      </c>
      <c r="P1259" s="8"/>
      <c r="Q1259" s="8"/>
      <c r="R1259" s="8">
        <v>85670</v>
      </c>
      <c r="S1259" s="8"/>
      <c r="T1259" s="8"/>
      <c r="U1259" s="8"/>
      <c r="V1259" s="8"/>
      <c r="W1259" s="8"/>
      <c r="X1259" s="8"/>
      <c r="Y1259" s="8"/>
      <c r="Z1259" s="10" t="s">
        <v>4571</v>
      </c>
      <c r="AA1259" s="8" t="s">
        <v>332</v>
      </c>
      <c r="AB1259" s="8">
        <v>1</v>
      </c>
    </row>
    <row r="1260" spans="1:28" ht="21.6" customHeight="1">
      <c r="A1260" s="8">
        <v>68</v>
      </c>
      <c r="B1260" s="8">
        <v>2025110901</v>
      </c>
      <c r="C1260" s="8">
        <v>1</v>
      </c>
      <c r="D1260" s="8" t="s">
        <v>3177</v>
      </c>
      <c r="E1260" s="8" t="s">
        <v>118</v>
      </c>
      <c r="F1260" s="8" t="s">
        <v>4570</v>
      </c>
      <c r="G1260" s="8" t="s">
        <v>3350</v>
      </c>
      <c r="H1260" s="8" t="s">
        <v>3280</v>
      </c>
      <c r="I1260" s="8" t="s">
        <v>4287</v>
      </c>
      <c r="J1260" s="8" t="s">
        <v>1717</v>
      </c>
      <c r="K1260" s="8" t="s">
        <v>3183</v>
      </c>
      <c r="L1260" s="10" t="s">
        <v>3550</v>
      </c>
      <c r="M1260" s="10" t="s">
        <v>3551</v>
      </c>
      <c r="N1260" s="10" t="s">
        <v>3552</v>
      </c>
      <c r="O1260" s="8" t="s">
        <v>3190</v>
      </c>
      <c r="P1260" s="8"/>
      <c r="Q1260" s="8"/>
      <c r="R1260" s="8">
        <v>85670</v>
      </c>
      <c r="S1260" s="8"/>
      <c r="T1260" s="8"/>
      <c r="U1260" s="8"/>
      <c r="V1260" s="8"/>
      <c r="W1260" s="8"/>
      <c r="X1260" s="8"/>
      <c r="Y1260" s="8"/>
      <c r="Z1260" s="10" t="s">
        <v>3696</v>
      </c>
      <c r="AA1260" s="8" t="s">
        <v>332</v>
      </c>
      <c r="AB1260" s="8">
        <v>1</v>
      </c>
    </row>
    <row r="1261" spans="1:28" ht="21.6" customHeight="1">
      <c r="A1261" s="8">
        <v>72</v>
      </c>
      <c r="B1261" s="8">
        <v>2025110838</v>
      </c>
      <c r="C1261" s="8">
        <v>1</v>
      </c>
      <c r="D1261" s="8" t="s">
        <v>3177</v>
      </c>
      <c r="E1261" s="8" t="s">
        <v>118</v>
      </c>
      <c r="F1261" s="8" t="s">
        <v>4569</v>
      </c>
      <c r="G1261" s="8" t="s">
        <v>3233</v>
      </c>
      <c r="H1261" s="8" t="s">
        <v>3426</v>
      </c>
      <c r="I1261" s="8" t="s">
        <v>4572</v>
      </c>
      <c r="J1261" s="8" t="s">
        <v>3597</v>
      </c>
      <c r="K1261" s="8" t="s">
        <v>3579</v>
      </c>
      <c r="L1261" s="10" t="s">
        <v>3598</v>
      </c>
      <c r="M1261" s="10" t="s">
        <v>3599</v>
      </c>
      <c r="N1261" s="10" t="s">
        <v>3881</v>
      </c>
      <c r="O1261" s="8" t="s">
        <v>322</v>
      </c>
      <c r="P1261" s="8"/>
      <c r="Q1261" s="8"/>
      <c r="R1261" s="8">
        <v>0</v>
      </c>
      <c r="S1261" s="8" t="s">
        <v>332</v>
      </c>
      <c r="T1261" s="8"/>
      <c r="U1261" s="8"/>
      <c r="V1261" s="8"/>
      <c r="W1261" s="8"/>
      <c r="X1261" s="8"/>
      <c r="Y1261" s="8"/>
      <c r="Z1261" s="10" t="s">
        <v>4573</v>
      </c>
      <c r="AA1261" s="8" t="s">
        <v>332</v>
      </c>
      <c r="AB1261" s="8">
        <v>1</v>
      </c>
    </row>
    <row r="1262" spans="1:28" ht="21.6" customHeight="1">
      <c r="A1262" s="8">
        <v>56</v>
      </c>
      <c r="B1262" s="8">
        <v>2025110907</v>
      </c>
      <c r="C1262" s="8">
        <v>1</v>
      </c>
      <c r="D1262" s="8" t="s">
        <v>3177</v>
      </c>
      <c r="E1262" s="8" t="s">
        <v>118</v>
      </c>
      <c r="F1262" s="8" t="s">
        <v>4570</v>
      </c>
      <c r="G1262" s="8" t="s">
        <v>3363</v>
      </c>
      <c r="H1262" s="8" t="s">
        <v>3233</v>
      </c>
      <c r="I1262" s="8" t="s">
        <v>3447</v>
      </c>
      <c r="J1262" s="8" t="s">
        <v>3277</v>
      </c>
      <c r="K1262" s="8" t="s">
        <v>3183</v>
      </c>
      <c r="L1262" s="10" t="s">
        <v>3448</v>
      </c>
      <c r="M1262" s="10" t="s">
        <v>3449</v>
      </c>
      <c r="N1262" s="10"/>
      <c r="O1262" s="8" t="s">
        <v>322</v>
      </c>
      <c r="P1262" s="8"/>
      <c r="Q1262" s="8"/>
      <c r="R1262" s="8">
        <v>52000</v>
      </c>
      <c r="S1262" s="8" t="s">
        <v>332</v>
      </c>
      <c r="T1262" s="8"/>
      <c r="U1262" s="8"/>
      <c r="V1262" s="8"/>
      <c r="W1262" s="8"/>
      <c r="X1262" s="8"/>
      <c r="Y1262" s="8"/>
      <c r="Z1262" s="10" t="s">
        <v>3696</v>
      </c>
      <c r="AA1262" s="8" t="s">
        <v>332</v>
      </c>
      <c r="AB1262" s="8">
        <v>1</v>
      </c>
    </row>
    <row r="1263" spans="1:28" ht="21.6" customHeight="1">
      <c r="A1263" s="8">
        <v>78</v>
      </c>
      <c r="B1263" s="8">
        <v>2025110667</v>
      </c>
      <c r="C1263" s="8">
        <v>1</v>
      </c>
      <c r="D1263" s="8" t="s">
        <v>3177</v>
      </c>
      <c r="E1263" s="8" t="s">
        <v>118</v>
      </c>
      <c r="F1263" s="8" t="s">
        <v>4565</v>
      </c>
      <c r="G1263" s="8" t="s">
        <v>3250</v>
      </c>
      <c r="H1263" s="8" t="s">
        <v>3204</v>
      </c>
      <c r="I1263" s="8" t="s">
        <v>4574</v>
      </c>
      <c r="J1263" s="8" t="s">
        <v>4553</v>
      </c>
      <c r="K1263" s="8" t="s">
        <v>3183</v>
      </c>
      <c r="L1263" s="10" t="s">
        <v>3462</v>
      </c>
      <c r="M1263" s="10" t="s">
        <v>3714</v>
      </c>
      <c r="N1263" s="10" t="s">
        <v>3715</v>
      </c>
      <c r="O1263" s="8" t="s">
        <v>3190</v>
      </c>
      <c r="P1263" s="8"/>
      <c r="Q1263" s="8"/>
      <c r="R1263" s="8">
        <v>19808</v>
      </c>
      <c r="S1263" s="8"/>
      <c r="T1263" s="8"/>
      <c r="U1263" s="8"/>
      <c r="V1263" s="8"/>
      <c r="W1263" s="8"/>
      <c r="X1263" s="8"/>
      <c r="Y1263" s="8"/>
      <c r="Z1263" s="10" t="s">
        <v>3696</v>
      </c>
      <c r="AA1263" s="8" t="s">
        <v>332</v>
      </c>
      <c r="AB1263" s="8">
        <v>1</v>
      </c>
    </row>
    <row r="1264" spans="1:28" ht="21.6" customHeight="1">
      <c r="A1264" s="8">
        <v>87</v>
      </c>
      <c r="B1264" s="8">
        <v>2025111302</v>
      </c>
      <c r="C1264" s="8">
        <v>1</v>
      </c>
      <c r="D1264" s="8" t="s">
        <v>3177</v>
      </c>
      <c r="E1264" s="8" t="s">
        <v>118</v>
      </c>
      <c r="F1264" s="8" t="s">
        <v>4575</v>
      </c>
      <c r="G1264" s="8" t="s">
        <v>3350</v>
      </c>
      <c r="H1264" s="8" t="s">
        <v>3280</v>
      </c>
      <c r="I1264" s="8" t="s">
        <v>4287</v>
      </c>
      <c r="J1264" s="8" t="s">
        <v>1717</v>
      </c>
      <c r="K1264" s="8" t="s">
        <v>3183</v>
      </c>
      <c r="L1264" s="10" t="s">
        <v>3550</v>
      </c>
      <c r="M1264" s="10" t="s">
        <v>3551</v>
      </c>
      <c r="N1264" s="10" t="s">
        <v>3552</v>
      </c>
      <c r="O1264" s="8" t="s">
        <v>322</v>
      </c>
      <c r="P1264" s="8"/>
      <c r="Q1264" s="8"/>
      <c r="R1264" s="8">
        <v>85670</v>
      </c>
      <c r="S1264" s="8"/>
      <c r="T1264" s="8"/>
      <c r="U1264" s="8"/>
      <c r="V1264" s="8"/>
      <c r="W1264" s="8"/>
      <c r="X1264" s="8"/>
      <c r="Y1264" s="8" t="s">
        <v>332</v>
      </c>
      <c r="Z1264" s="10" t="s">
        <v>4576</v>
      </c>
      <c r="AA1264" s="8" t="s">
        <v>332</v>
      </c>
      <c r="AB1264" s="8">
        <v>1</v>
      </c>
    </row>
    <row r="1265" spans="1:28" ht="21.6" customHeight="1">
      <c r="A1265" s="8">
        <v>93</v>
      </c>
      <c r="B1265" s="8">
        <v>2025111462</v>
      </c>
      <c r="C1265" s="8">
        <v>1</v>
      </c>
      <c r="D1265" s="8" t="s">
        <v>3177</v>
      </c>
      <c r="E1265" s="8" t="s">
        <v>118</v>
      </c>
      <c r="F1265" s="8" t="s">
        <v>4575</v>
      </c>
      <c r="G1265" s="8" t="s">
        <v>3233</v>
      </c>
      <c r="H1265" s="8" t="s">
        <v>3426</v>
      </c>
      <c r="I1265" s="8" t="s">
        <v>4577</v>
      </c>
      <c r="J1265" s="8" t="s">
        <v>3597</v>
      </c>
      <c r="K1265" s="8" t="s">
        <v>3579</v>
      </c>
      <c r="L1265" s="10" t="s">
        <v>3598</v>
      </c>
      <c r="M1265" s="10" t="s">
        <v>4047</v>
      </c>
      <c r="N1265" s="10" t="s">
        <v>4578</v>
      </c>
      <c r="O1265" s="8" t="s">
        <v>322</v>
      </c>
      <c r="P1265" s="8"/>
      <c r="Q1265" s="8"/>
      <c r="R1265" s="8">
        <v>0</v>
      </c>
      <c r="S1265" s="8" t="s">
        <v>332</v>
      </c>
      <c r="T1265" s="8"/>
      <c r="U1265" s="8"/>
      <c r="V1265" s="8"/>
      <c r="W1265" s="8"/>
      <c r="X1265" s="8"/>
      <c r="Y1265" s="8"/>
      <c r="Z1265" s="10" t="s">
        <v>4579</v>
      </c>
      <c r="AA1265" s="8" t="s">
        <v>332</v>
      </c>
      <c r="AB1265" s="8">
        <v>1</v>
      </c>
    </row>
    <row r="1266" spans="1:28" ht="21.6" customHeight="1">
      <c r="A1266" s="8">
        <v>95</v>
      </c>
      <c r="B1266" s="8">
        <v>2025111463</v>
      </c>
      <c r="C1266" s="8">
        <v>1</v>
      </c>
      <c r="D1266" s="8" t="s">
        <v>3177</v>
      </c>
      <c r="E1266" s="8" t="s">
        <v>134</v>
      </c>
      <c r="F1266" s="8" t="s">
        <v>4575</v>
      </c>
      <c r="G1266" s="8" t="s">
        <v>3233</v>
      </c>
      <c r="H1266" s="8" t="s">
        <v>3426</v>
      </c>
      <c r="I1266" s="8" t="s">
        <v>4577</v>
      </c>
      <c r="J1266" s="8" t="s">
        <v>3597</v>
      </c>
      <c r="K1266" s="8" t="s">
        <v>3579</v>
      </c>
      <c r="L1266" s="10" t="s">
        <v>3598</v>
      </c>
      <c r="M1266" s="10" t="s">
        <v>4047</v>
      </c>
      <c r="N1266" s="10" t="s">
        <v>4578</v>
      </c>
      <c r="O1266" s="8" t="s">
        <v>322</v>
      </c>
      <c r="P1266" s="8"/>
      <c r="Q1266" s="8"/>
      <c r="R1266" s="8">
        <v>0</v>
      </c>
      <c r="S1266" s="8" t="s">
        <v>332</v>
      </c>
      <c r="T1266" s="8"/>
      <c r="U1266" s="8"/>
      <c r="V1266" s="8"/>
      <c r="W1266" s="8"/>
      <c r="X1266" s="8"/>
      <c r="Y1266" s="8"/>
      <c r="Z1266" s="10" t="s">
        <v>4580</v>
      </c>
      <c r="AA1266" s="8" t="s">
        <v>332</v>
      </c>
      <c r="AB1266" s="8">
        <v>1</v>
      </c>
    </row>
    <row r="1267" spans="1:28" ht="21.6" customHeight="1">
      <c r="A1267" s="8">
        <v>96</v>
      </c>
      <c r="B1267" s="8">
        <v>2025110839</v>
      </c>
      <c r="C1267" s="8">
        <v>1</v>
      </c>
      <c r="D1267" s="8" t="s">
        <v>3177</v>
      </c>
      <c r="E1267" s="8" t="s">
        <v>134</v>
      </c>
      <c r="F1267" s="8" t="s">
        <v>4569</v>
      </c>
      <c r="G1267" s="8" t="s">
        <v>3233</v>
      </c>
      <c r="H1267" s="8" t="s">
        <v>3426</v>
      </c>
      <c r="I1267" s="8" t="s">
        <v>4572</v>
      </c>
      <c r="J1267" s="8" t="s">
        <v>3597</v>
      </c>
      <c r="K1267" s="8" t="s">
        <v>3579</v>
      </c>
      <c r="L1267" s="10" t="s">
        <v>3598</v>
      </c>
      <c r="M1267" s="10" t="s">
        <v>3599</v>
      </c>
      <c r="N1267" s="10" t="s">
        <v>3881</v>
      </c>
      <c r="O1267" s="8" t="s">
        <v>322</v>
      </c>
      <c r="P1267" s="8"/>
      <c r="Q1267" s="8"/>
      <c r="R1267" s="8">
        <v>0</v>
      </c>
      <c r="S1267" s="8" t="s">
        <v>332</v>
      </c>
      <c r="T1267" s="8"/>
      <c r="U1267" s="8"/>
      <c r="V1267" s="8"/>
      <c r="W1267" s="8"/>
      <c r="X1267" s="8"/>
      <c r="Y1267" s="8"/>
      <c r="Z1267" s="10" t="s">
        <v>4581</v>
      </c>
      <c r="AA1267" s="8" t="s">
        <v>332</v>
      </c>
      <c r="AB1267" s="8">
        <v>1</v>
      </c>
    </row>
    <row r="1268" spans="1:28" ht="21.6" customHeight="1">
      <c r="A1268" s="8">
        <v>46</v>
      </c>
      <c r="B1268" s="8">
        <v>2025110903</v>
      </c>
      <c r="C1268" s="8">
        <v>1</v>
      </c>
      <c r="D1268" s="8" t="s">
        <v>3177</v>
      </c>
      <c r="E1268" s="8" t="s">
        <v>118</v>
      </c>
      <c r="F1268" s="8" t="s">
        <v>4570</v>
      </c>
      <c r="G1268" s="8" t="s">
        <v>3280</v>
      </c>
      <c r="H1268" s="8" t="s">
        <v>3363</v>
      </c>
      <c r="I1268" s="8" t="s">
        <v>4158</v>
      </c>
      <c r="J1268" s="8" t="s">
        <v>3224</v>
      </c>
      <c r="K1268" s="8" t="s">
        <v>3183</v>
      </c>
      <c r="L1268" s="10" t="s">
        <v>3550</v>
      </c>
      <c r="M1268" s="10" t="s">
        <v>4159</v>
      </c>
      <c r="N1268" s="10" t="s">
        <v>3701</v>
      </c>
      <c r="O1268" s="8" t="s">
        <v>3190</v>
      </c>
      <c r="P1268" s="8"/>
      <c r="Q1268" s="8">
        <v>1076</v>
      </c>
      <c r="R1268" s="8">
        <v>55821</v>
      </c>
      <c r="S1268" s="8"/>
      <c r="T1268" s="8"/>
      <c r="U1268" s="8"/>
      <c r="V1268" s="8"/>
      <c r="W1268" s="8"/>
      <c r="X1268" s="8"/>
      <c r="Y1268" s="8"/>
      <c r="Z1268" s="10" t="s">
        <v>3696</v>
      </c>
      <c r="AA1268" s="8" t="s">
        <v>332</v>
      </c>
      <c r="AB1268" s="8">
        <v>1</v>
      </c>
    </row>
    <row r="1269" spans="1:28" ht="21.6" customHeight="1">
      <c r="A1269" s="8">
        <v>73</v>
      </c>
      <c r="B1269" s="8">
        <v>2025110671</v>
      </c>
      <c r="C1269" s="8">
        <v>1</v>
      </c>
      <c r="D1269" s="8" t="s">
        <v>3177</v>
      </c>
      <c r="E1269" s="8" t="s">
        <v>118</v>
      </c>
      <c r="F1269" s="8" t="s">
        <v>4565</v>
      </c>
      <c r="G1269" s="8" t="s">
        <v>3204</v>
      </c>
      <c r="H1269" s="8" t="s">
        <v>3427</v>
      </c>
      <c r="I1269" s="8" t="s">
        <v>4568</v>
      </c>
      <c r="J1269" s="8" t="s">
        <v>4553</v>
      </c>
      <c r="K1269" s="8" t="s">
        <v>3183</v>
      </c>
      <c r="L1269" s="10" t="s">
        <v>3462</v>
      </c>
      <c r="M1269" s="10" t="s">
        <v>3531</v>
      </c>
      <c r="N1269" s="10" t="s">
        <v>3532</v>
      </c>
      <c r="O1269" s="8" t="s">
        <v>3190</v>
      </c>
      <c r="P1269" s="8"/>
      <c r="Q1269" s="8"/>
      <c r="R1269" s="8">
        <v>12597</v>
      </c>
      <c r="S1269" s="8"/>
      <c r="T1269" s="8"/>
      <c r="U1269" s="8"/>
      <c r="V1269" s="8"/>
      <c r="W1269" s="8"/>
      <c r="X1269" s="8"/>
      <c r="Y1269" s="8"/>
      <c r="Z1269" s="10" t="s">
        <v>3696</v>
      </c>
      <c r="AA1269" s="8" t="s">
        <v>332</v>
      </c>
      <c r="AB1269" s="8">
        <v>1</v>
      </c>
    </row>
    <row r="1270" spans="1:28" ht="21.6" customHeight="1">
      <c r="A1270" s="8">
        <v>5</v>
      </c>
      <c r="B1270" s="8">
        <v>2025110799</v>
      </c>
      <c r="C1270" s="8">
        <v>1</v>
      </c>
      <c r="D1270" s="8" t="s">
        <v>3177</v>
      </c>
      <c r="E1270" s="8" t="s">
        <v>123</v>
      </c>
      <c r="F1270" s="8" t="s">
        <v>4569</v>
      </c>
      <c r="G1270" s="8" t="s">
        <v>3258</v>
      </c>
      <c r="H1270" s="8" t="s">
        <v>3498</v>
      </c>
      <c r="I1270" s="8" t="s">
        <v>3276</v>
      </c>
      <c r="J1270" s="8" t="s">
        <v>3277</v>
      </c>
      <c r="K1270" s="8" t="s">
        <v>3183</v>
      </c>
      <c r="L1270" s="10" t="s">
        <v>3278</v>
      </c>
      <c r="M1270" s="10" t="s">
        <v>3279</v>
      </c>
      <c r="N1270" s="10" t="s">
        <v>4408</v>
      </c>
      <c r="O1270" s="8" t="s">
        <v>3190</v>
      </c>
      <c r="P1270" s="8"/>
      <c r="Q1270" s="8"/>
      <c r="R1270" s="8">
        <v>70842</v>
      </c>
      <c r="S1270" s="8"/>
      <c r="T1270" s="8"/>
      <c r="U1270" s="8"/>
      <c r="V1270" s="8"/>
      <c r="W1270" s="8"/>
      <c r="X1270" s="8"/>
      <c r="Y1270" s="8"/>
      <c r="Z1270" s="10" t="s">
        <v>3186</v>
      </c>
      <c r="AA1270" s="8" t="s">
        <v>332</v>
      </c>
      <c r="AB1270" s="8">
        <v>1</v>
      </c>
    </row>
    <row r="1271" spans="1:28" ht="21.6" customHeight="1">
      <c r="A1271" s="8">
        <v>51</v>
      </c>
      <c r="B1271" s="8">
        <v>2025111646</v>
      </c>
      <c r="C1271" s="8">
        <v>1</v>
      </c>
      <c r="D1271" s="8" t="s">
        <v>3177</v>
      </c>
      <c r="E1271" s="8" t="s">
        <v>118</v>
      </c>
      <c r="F1271" s="8" t="s">
        <v>4582</v>
      </c>
      <c r="G1271" s="8" t="s">
        <v>3250</v>
      </c>
      <c r="H1271" s="8" t="s">
        <v>3204</v>
      </c>
      <c r="I1271" s="8" t="s">
        <v>3382</v>
      </c>
      <c r="J1271" s="8" t="s">
        <v>3224</v>
      </c>
      <c r="K1271" s="8" t="s">
        <v>3183</v>
      </c>
      <c r="L1271" s="10" t="s">
        <v>3383</v>
      </c>
      <c r="M1271" s="10" t="s">
        <v>3384</v>
      </c>
      <c r="N1271" s="10" t="s">
        <v>3385</v>
      </c>
      <c r="O1271" s="8" t="s">
        <v>322</v>
      </c>
      <c r="P1271" s="8">
        <v>6868</v>
      </c>
      <c r="Q1271" s="8">
        <v>15339</v>
      </c>
      <c r="R1271" s="8">
        <v>20204</v>
      </c>
      <c r="S1271" s="8" t="s">
        <v>332</v>
      </c>
      <c r="T1271" s="8"/>
      <c r="U1271" s="8"/>
      <c r="V1271" s="8"/>
      <c r="W1271" s="8"/>
      <c r="X1271" s="8"/>
      <c r="Y1271" s="8"/>
      <c r="Z1271" s="10" t="s">
        <v>3696</v>
      </c>
      <c r="AA1271" s="8" t="s">
        <v>332</v>
      </c>
      <c r="AB1271" s="8">
        <v>1</v>
      </c>
    </row>
    <row r="1272" spans="1:28" ht="21.6" customHeight="1">
      <c r="A1272" s="8">
        <v>53</v>
      </c>
      <c r="B1272" s="8">
        <v>2025111644</v>
      </c>
      <c r="C1272" s="8">
        <v>1</v>
      </c>
      <c r="D1272" s="8" t="s">
        <v>3177</v>
      </c>
      <c r="E1272" s="8" t="s">
        <v>118</v>
      </c>
      <c r="F1272" s="8" t="s">
        <v>4582</v>
      </c>
      <c r="G1272" s="8" t="s">
        <v>3368</v>
      </c>
      <c r="H1272" s="8" t="s">
        <v>3250</v>
      </c>
      <c r="I1272" s="8" t="s">
        <v>3683</v>
      </c>
      <c r="J1272" s="8" t="s">
        <v>3224</v>
      </c>
      <c r="K1272" s="8" t="s">
        <v>3183</v>
      </c>
      <c r="L1272" s="10" t="s">
        <v>3383</v>
      </c>
      <c r="M1272" s="10" t="s">
        <v>3684</v>
      </c>
      <c r="N1272" s="10" t="s">
        <v>3685</v>
      </c>
      <c r="O1272" s="8" t="s">
        <v>322</v>
      </c>
      <c r="P1272" s="8">
        <v>1844</v>
      </c>
      <c r="Q1272" s="8">
        <v>2679</v>
      </c>
      <c r="R1272" s="8">
        <v>8389</v>
      </c>
      <c r="S1272" s="8" t="s">
        <v>332</v>
      </c>
      <c r="T1272" s="8"/>
      <c r="U1272" s="8"/>
      <c r="V1272" s="8"/>
      <c r="W1272" s="8"/>
      <c r="X1272" s="8"/>
      <c r="Y1272" s="8"/>
      <c r="Z1272" s="10" t="s">
        <v>3696</v>
      </c>
      <c r="AA1272" s="8" t="s">
        <v>332</v>
      </c>
      <c r="AB1272" s="8">
        <v>1</v>
      </c>
    </row>
    <row r="1273" spans="1:28" ht="21.6" customHeight="1">
      <c r="A1273" s="8">
        <v>55</v>
      </c>
      <c r="B1273" s="8">
        <v>2025111648</v>
      </c>
      <c r="C1273" s="8">
        <v>1</v>
      </c>
      <c r="D1273" s="8" t="s">
        <v>3177</v>
      </c>
      <c r="E1273" s="8" t="s">
        <v>118</v>
      </c>
      <c r="F1273" s="8" t="s">
        <v>4582</v>
      </c>
      <c r="G1273" s="8" t="s">
        <v>3204</v>
      </c>
      <c r="H1273" s="8" t="s">
        <v>3427</v>
      </c>
      <c r="I1273" s="8" t="s">
        <v>3940</v>
      </c>
      <c r="J1273" s="8" t="s">
        <v>3224</v>
      </c>
      <c r="K1273" s="8" t="s">
        <v>3183</v>
      </c>
      <c r="L1273" s="10" t="s">
        <v>3383</v>
      </c>
      <c r="M1273" s="10" t="s">
        <v>3941</v>
      </c>
      <c r="N1273" s="10" t="s">
        <v>3942</v>
      </c>
      <c r="O1273" s="8" t="s">
        <v>322</v>
      </c>
      <c r="P1273" s="8">
        <v>157</v>
      </c>
      <c r="Q1273" s="8">
        <v>947</v>
      </c>
      <c r="R1273" s="8">
        <v>3712</v>
      </c>
      <c r="S1273" s="8" t="s">
        <v>332</v>
      </c>
      <c r="T1273" s="8"/>
      <c r="U1273" s="8"/>
      <c r="V1273" s="8"/>
      <c r="W1273" s="8"/>
      <c r="X1273" s="8"/>
      <c r="Y1273" s="8"/>
      <c r="Z1273" s="10" t="s">
        <v>3696</v>
      </c>
      <c r="AA1273" s="8" t="s">
        <v>332</v>
      </c>
      <c r="AB1273" s="8">
        <v>1</v>
      </c>
    </row>
    <row r="1274" spans="1:28" ht="21.6" customHeight="1">
      <c r="A1274" s="8">
        <v>63</v>
      </c>
      <c r="B1274" s="8">
        <v>2025111541</v>
      </c>
      <c r="C1274" s="8">
        <v>1</v>
      </c>
      <c r="D1274" s="8" t="s">
        <v>3177</v>
      </c>
      <c r="E1274" s="8" t="s">
        <v>118</v>
      </c>
      <c r="F1274" s="8" t="s">
        <v>4582</v>
      </c>
      <c r="G1274" s="8" t="s">
        <v>3350</v>
      </c>
      <c r="H1274" s="8" t="s">
        <v>3280</v>
      </c>
      <c r="I1274" s="8" t="s">
        <v>3404</v>
      </c>
      <c r="J1274" s="8" t="s">
        <v>3253</v>
      </c>
      <c r="K1274" s="8" t="s">
        <v>3183</v>
      </c>
      <c r="L1274" s="10" t="s">
        <v>3398</v>
      </c>
      <c r="M1274" s="10" t="s">
        <v>3575</v>
      </c>
      <c r="N1274" s="10" t="s">
        <v>3576</v>
      </c>
      <c r="O1274" s="8" t="s">
        <v>322</v>
      </c>
      <c r="P1274" s="8"/>
      <c r="Q1274" s="8"/>
      <c r="R1274" s="8">
        <v>653</v>
      </c>
      <c r="S1274" s="8" t="s">
        <v>332</v>
      </c>
      <c r="T1274" s="8"/>
      <c r="U1274" s="8"/>
      <c r="V1274" s="8"/>
      <c r="W1274" s="8"/>
      <c r="X1274" s="8"/>
      <c r="Y1274" s="8"/>
      <c r="Z1274" s="10" t="s">
        <v>3696</v>
      </c>
      <c r="AA1274" s="8" t="s">
        <v>332</v>
      </c>
      <c r="AB1274" s="8">
        <v>1</v>
      </c>
    </row>
    <row r="1275" spans="1:28" ht="21.6" customHeight="1">
      <c r="A1275" s="8">
        <v>69</v>
      </c>
      <c r="B1275" s="8">
        <v>2025111651</v>
      </c>
      <c r="C1275" s="8">
        <v>1</v>
      </c>
      <c r="D1275" s="8" t="s">
        <v>3177</v>
      </c>
      <c r="E1275" s="8" t="s">
        <v>118</v>
      </c>
      <c r="F1275" s="8" t="s">
        <v>4582</v>
      </c>
      <c r="G1275" s="8" t="s">
        <v>3426</v>
      </c>
      <c r="H1275" s="8" t="s">
        <v>3431</v>
      </c>
      <c r="I1275" s="8" t="s">
        <v>3433</v>
      </c>
      <c r="J1275" s="8" t="s">
        <v>3277</v>
      </c>
      <c r="K1275" s="8" t="s">
        <v>3183</v>
      </c>
      <c r="L1275" s="10" t="s">
        <v>3434</v>
      </c>
      <c r="M1275" s="10" t="s">
        <v>3435</v>
      </c>
      <c r="N1275" s="10" t="s">
        <v>3436</v>
      </c>
      <c r="O1275" s="8" t="s">
        <v>322</v>
      </c>
      <c r="P1275" s="8"/>
      <c r="Q1275" s="8"/>
      <c r="R1275" s="8">
        <v>159470</v>
      </c>
      <c r="S1275" s="8" t="s">
        <v>332</v>
      </c>
      <c r="T1275" s="8"/>
      <c r="U1275" s="8"/>
      <c r="V1275" s="8"/>
      <c r="W1275" s="8"/>
      <c r="X1275" s="8"/>
      <c r="Y1275" s="8"/>
      <c r="Z1275" s="10" t="s">
        <v>3696</v>
      </c>
      <c r="AA1275" s="8" t="s">
        <v>332</v>
      </c>
      <c r="AB1275" s="8">
        <v>1</v>
      </c>
    </row>
    <row r="1276" spans="1:28" ht="21.6" customHeight="1">
      <c r="A1276" s="8">
        <v>71</v>
      </c>
      <c r="B1276" s="8">
        <v>2025111654</v>
      </c>
      <c r="C1276" s="8">
        <v>1</v>
      </c>
      <c r="D1276" s="8" t="s">
        <v>3177</v>
      </c>
      <c r="E1276" s="8" t="s">
        <v>118</v>
      </c>
      <c r="F1276" s="8" t="s">
        <v>4582</v>
      </c>
      <c r="G1276" s="8" t="s">
        <v>3431</v>
      </c>
      <c r="H1276" s="8" t="s">
        <v>3432</v>
      </c>
      <c r="I1276" s="8" t="s">
        <v>3440</v>
      </c>
      <c r="J1276" s="8" t="s">
        <v>3277</v>
      </c>
      <c r="K1276" s="8" t="s">
        <v>3183</v>
      </c>
      <c r="L1276" s="10" t="s">
        <v>3434</v>
      </c>
      <c r="M1276" s="10" t="s">
        <v>3441</v>
      </c>
      <c r="N1276" s="10" t="s">
        <v>3442</v>
      </c>
      <c r="O1276" s="8" t="s">
        <v>322</v>
      </c>
      <c r="P1276" s="8"/>
      <c r="Q1276" s="8"/>
      <c r="R1276" s="8">
        <v>146710</v>
      </c>
      <c r="S1276" s="8" t="s">
        <v>332</v>
      </c>
      <c r="T1276" s="8"/>
      <c r="U1276" s="8"/>
      <c r="V1276" s="8"/>
      <c r="W1276" s="8"/>
      <c r="X1276" s="8"/>
      <c r="Y1276" s="8"/>
      <c r="Z1276" s="10" t="s">
        <v>3696</v>
      </c>
      <c r="AA1276" s="8" t="s">
        <v>332</v>
      </c>
      <c r="AB1276" s="8">
        <v>1</v>
      </c>
    </row>
    <row r="1277" spans="1:28" ht="21.6" customHeight="1">
      <c r="A1277" s="8">
        <v>76</v>
      </c>
      <c r="B1277" s="8">
        <v>2025111543</v>
      </c>
      <c r="C1277" s="8">
        <v>1</v>
      </c>
      <c r="D1277" s="8" t="s">
        <v>3177</v>
      </c>
      <c r="E1277" s="8" t="s">
        <v>118</v>
      </c>
      <c r="F1277" s="8" t="s">
        <v>4582</v>
      </c>
      <c r="G1277" s="8" t="s">
        <v>3280</v>
      </c>
      <c r="H1277" s="8" t="s">
        <v>3363</v>
      </c>
      <c r="I1277" s="8" t="s">
        <v>4426</v>
      </c>
      <c r="J1277" s="8" t="s">
        <v>3277</v>
      </c>
      <c r="K1277" s="8" t="s">
        <v>3183</v>
      </c>
      <c r="L1277" s="10" t="s">
        <v>3398</v>
      </c>
      <c r="M1277" s="10" t="s">
        <v>3522</v>
      </c>
      <c r="N1277" s="10" t="s">
        <v>3523</v>
      </c>
      <c r="O1277" s="8" t="s">
        <v>322</v>
      </c>
      <c r="P1277" s="8"/>
      <c r="Q1277" s="8"/>
      <c r="R1277" s="8">
        <v>8211</v>
      </c>
      <c r="S1277" s="8" t="s">
        <v>332</v>
      </c>
      <c r="T1277" s="8"/>
      <c r="U1277" s="8"/>
      <c r="V1277" s="8"/>
      <c r="W1277" s="8"/>
      <c r="X1277" s="8"/>
      <c r="Y1277" s="8"/>
      <c r="Z1277" s="10" t="s">
        <v>3696</v>
      </c>
      <c r="AA1277" s="8" t="s">
        <v>332</v>
      </c>
      <c r="AB1277" s="8">
        <v>1</v>
      </c>
    </row>
    <row r="1278" spans="1:28" ht="21.6" customHeight="1">
      <c r="A1278" s="8">
        <v>78</v>
      </c>
      <c r="B1278" s="8">
        <v>2025111594</v>
      </c>
      <c r="C1278" s="8">
        <v>1</v>
      </c>
      <c r="D1278" s="8" t="s">
        <v>3177</v>
      </c>
      <c r="E1278" s="8" t="s">
        <v>118</v>
      </c>
      <c r="F1278" s="8" t="s">
        <v>4582</v>
      </c>
      <c r="G1278" s="8" t="s">
        <v>3386</v>
      </c>
      <c r="H1278" s="8" t="s">
        <v>3251</v>
      </c>
      <c r="I1278" s="8" t="s">
        <v>4426</v>
      </c>
      <c r="J1278" s="8" t="s">
        <v>3277</v>
      </c>
      <c r="K1278" s="8" t="s">
        <v>3183</v>
      </c>
      <c r="L1278" s="10" t="s">
        <v>3398</v>
      </c>
      <c r="M1278" s="10" t="s">
        <v>3522</v>
      </c>
      <c r="N1278" s="10" t="s">
        <v>3523</v>
      </c>
      <c r="O1278" s="8" t="s">
        <v>322</v>
      </c>
      <c r="P1278" s="8"/>
      <c r="Q1278" s="8"/>
      <c r="R1278" s="8">
        <v>8211</v>
      </c>
      <c r="S1278" s="8"/>
      <c r="T1278" s="8"/>
      <c r="U1278" s="8" t="s">
        <v>332</v>
      </c>
      <c r="V1278" s="8"/>
      <c r="W1278" s="8"/>
      <c r="X1278" s="8"/>
      <c r="Y1278" s="8"/>
      <c r="Z1278" s="10" t="s">
        <v>3362</v>
      </c>
      <c r="AA1278" s="8" t="s">
        <v>332</v>
      </c>
      <c r="AB1278" s="8">
        <v>1</v>
      </c>
    </row>
    <row r="1279" spans="1:28" ht="21.6" customHeight="1">
      <c r="A1279" s="8">
        <v>79</v>
      </c>
      <c r="B1279" s="8">
        <v>2025111545</v>
      </c>
      <c r="C1279" s="8">
        <v>1</v>
      </c>
      <c r="D1279" s="8" t="s">
        <v>3177</v>
      </c>
      <c r="E1279" s="8" t="s">
        <v>118</v>
      </c>
      <c r="F1279" s="8" t="s">
        <v>4582</v>
      </c>
      <c r="G1279" s="8" t="s">
        <v>3363</v>
      </c>
      <c r="H1279" s="8" t="s">
        <v>3233</v>
      </c>
      <c r="I1279" s="8" t="s">
        <v>4472</v>
      </c>
      <c r="J1279" s="8" t="s">
        <v>3277</v>
      </c>
      <c r="K1279" s="8" t="s">
        <v>3183</v>
      </c>
      <c r="L1279" s="10" t="s">
        <v>3398</v>
      </c>
      <c r="M1279" s="10" t="s">
        <v>3519</v>
      </c>
      <c r="N1279" s="10" t="s">
        <v>3520</v>
      </c>
      <c r="O1279" s="8" t="s">
        <v>322</v>
      </c>
      <c r="P1279" s="8"/>
      <c r="Q1279" s="8"/>
      <c r="R1279" s="8">
        <v>9341</v>
      </c>
      <c r="S1279" s="8" t="s">
        <v>332</v>
      </c>
      <c r="T1279" s="8"/>
      <c r="U1279" s="8"/>
      <c r="V1279" s="8"/>
      <c r="W1279" s="8"/>
      <c r="X1279" s="8"/>
      <c r="Y1279" s="8"/>
      <c r="Z1279" s="10" t="s">
        <v>3696</v>
      </c>
      <c r="AA1279" s="8" t="s">
        <v>332</v>
      </c>
      <c r="AB1279" s="8">
        <v>1</v>
      </c>
    </row>
    <row r="1280" spans="1:28" ht="21.6" customHeight="1">
      <c r="A1280" s="8">
        <v>81</v>
      </c>
      <c r="B1280" s="8">
        <v>2025111595</v>
      </c>
      <c r="C1280" s="8">
        <v>1</v>
      </c>
      <c r="D1280" s="8" t="s">
        <v>3177</v>
      </c>
      <c r="E1280" s="8" t="s">
        <v>118</v>
      </c>
      <c r="F1280" s="8" t="s">
        <v>4582</v>
      </c>
      <c r="G1280" s="8" t="s">
        <v>3251</v>
      </c>
      <c r="H1280" s="8" t="s">
        <v>3848</v>
      </c>
      <c r="I1280" s="8" t="s">
        <v>4472</v>
      </c>
      <c r="J1280" s="8" t="s">
        <v>3277</v>
      </c>
      <c r="K1280" s="8" t="s">
        <v>3183</v>
      </c>
      <c r="L1280" s="10" t="s">
        <v>3398</v>
      </c>
      <c r="M1280" s="10" t="s">
        <v>3519</v>
      </c>
      <c r="N1280" s="10" t="s">
        <v>3520</v>
      </c>
      <c r="O1280" s="8" t="s">
        <v>322</v>
      </c>
      <c r="P1280" s="8"/>
      <c r="Q1280" s="8"/>
      <c r="R1280" s="8">
        <v>9341</v>
      </c>
      <c r="S1280" s="8"/>
      <c r="T1280" s="8"/>
      <c r="U1280" s="8" t="s">
        <v>332</v>
      </c>
      <c r="V1280" s="8"/>
      <c r="W1280" s="8"/>
      <c r="X1280" s="8"/>
      <c r="Y1280" s="8"/>
      <c r="Z1280" s="10" t="s">
        <v>3362</v>
      </c>
      <c r="AA1280" s="8" t="s">
        <v>332</v>
      </c>
      <c r="AB1280" s="8">
        <v>1</v>
      </c>
    </row>
    <row r="1281" spans="1:28" ht="21.6" customHeight="1">
      <c r="A1281" s="8">
        <v>83</v>
      </c>
      <c r="B1281" s="8">
        <v>2025111547</v>
      </c>
      <c r="C1281" s="8">
        <v>1</v>
      </c>
      <c r="D1281" s="8" t="s">
        <v>3177</v>
      </c>
      <c r="E1281" s="8" t="s">
        <v>118</v>
      </c>
      <c r="F1281" s="8" t="s">
        <v>4582</v>
      </c>
      <c r="G1281" s="8" t="s">
        <v>3233</v>
      </c>
      <c r="H1281" s="8" t="s">
        <v>3381</v>
      </c>
      <c r="I1281" s="8" t="s">
        <v>4428</v>
      </c>
      <c r="J1281" s="8" t="s">
        <v>3277</v>
      </c>
      <c r="K1281" s="8" t="s">
        <v>3183</v>
      </c>
      <c r="L1281" s="10" t="s">
        <v>3398</v>
      </c>
      <c r="M1281" s="10" t="s">
        <v>3399</v>
      </c>
      <c r="N1281" s="10" t="s">
        <v>3400</v>
      </c>
      <c r="O1281" s="8" t="s">
        <v>322</v>
      </c>
      <c r="P1281" s="8"/>
      <c r="Q1281" s="8"/>
      <c r="R1281" s="8">
        <v>6114</v>
      </c>
      <c r="S1281" s="8" t="s">
        <v>332</v>
      </c>
      <c r="T1281" s="8"/>
      <c r="U1281" s="8"/>
      <c r="V1281" s="8"/>
      <c r="W1281" s="8"/>
      <c r="X1281" s="8"/>
      <c r="Y1281" s="8"/>
      <c r="Z1281" s="10" t="s">
        <v>3696</v>
      </c>
      <c r="AA1281" s="8" t="s">
        <v>332</v>
      </c>
      <c r="AB1281" s="8">
        <v>1</v>
      </c>
    </row>
    <row r="1282" spans="1:28" ht="21.6" customHeight="1">
      <c r="A1282" s="8">
        <v>85</v>
      </c>
      <c r="B1282" s="8">
        <v>2025111596</v>
      </c>
      <c r="C1282" s="8">
        <v>1</v>
      </c>
      <c r="D1282" s="8" t="s">
        <v>3177</v>
      </c>
      <c r="E1282" s="8" t="s">
        <v>118</v>
      </c>
      <c r="F1282" s="8" t="s">
        <v>4582</v>
      </c>
      <c r="G1282" s="8" t="s">
        <v>3848</v>
      </c>
      <c r="H1282" s="8" t="s">
        <v>3387</v>
      </c>
      <c r="I1282" s="8" t="s">
        <v>4428</v>
      </c>
      <c r="J1282" s="8" t="s">
        <v>3277</v>
      </c>
      <c r="K1282" s="8" t="s">
        <v>3183</v>
      </c>
      <c r="L1282" s="10" t="s">
        <v>3398</v>
      </c>
      <c r="M1282" s="10" t="s">
        <v>3399</v>
      </c>
      <c r="N1282" s="10" t="s">
        <v>3400</v>
      </c>
      <c r="O1282" s="8" t="s">
        <v>322</v>
      </c>
      <c r="P1282" s="8"/>
      <c r="Q1282" s="8"/>
      <c r="R1282" s="8">
        <v>6114</v>
      </c>
      <c r="S1282" s="8"/>
      <c r="T1282" s="8"/>
      <c r="U1282" s="8" t="s">
        <v>332</v>
      </c>
      <c r="V1282" s="8"/>
      <c r="W1282" s="8"/>
      <c r="X1282" s="8"/>
      <c r="Y1282" s="8"/>
      <c r="Z1282" s="10" t="s">
        <v>3362</v>
      </c>
      <c r="AA1282" s="8" t="s">
        <v>332</v>
      </c>
      <c r="AB1282" s="8">
        <v>1</v>
      </c>
    </row>
    <row r="1283" spans="1:28" ht="21.6" customHeight="1">
      <c r="A1283" s="8">
        <v>86</v>
      </c>
      <c r="B1283" s="8">
        <v>2025111549</v>
      </c>
      <c r="C1283" s="8">
        <v>1</v>
      </c>
      <c r="D1283" s="8" t="s">
        <v>3177</v>
      </c>
      <c r="E1283" s="8" t="s">
        <v>118</v>
      </c>
      <c r="F1283" s="8" t="s">
        <v>4582</v>
      </c>
      <c r="G1283" s="8" t="s">
        <v>3381</v>
      </c>
      <c r="H1283" s="8" t="s">
        <v>3401</v>
      </c>
      <c r="I1283" s="8" t="s">
        <v>4430</v>
      </c>
      <c r="J1283" s="8" t="s">
        <v>3277</v>
      </c>
      <c r="K1283" s="8" t="s">
        <v>3183</v>
      </c>
      <c r="L1283" s="10" t="s">
        <v>3398</v>
      </c>
      <c r="M1283" s="10" t="s">
        <v>3535</v>
      </c>
      <c r="N1283" s="10" t="s">
        <v>3494</v>
      </c>
      <c r="O1283" s="8" t="s">
        <v>322</v>
      </c>
      <c r="P1283" s="8"/>
      <c r="Q1283" s="8"/>
      <c r="R1283" s="8">
        <v>7819</v>
      </c>
      <c r="S1283" s="8" t="s">
        <v>332</v>
      </c>
      <c r="T1283" s="8"/>
      <c r="U1283" s="8"/>
      <c r="V1283" s="8"/>
      <c r="W1283" s="8"/>
      <c r="X1283" s="8"/>
      <c r="Y1283" s="8"/>
      <c r="Z1283" s="10" t="s">
        <v>3696</v>
      </c>
      <c r="AA1283" s="8" t="s">
        <v>332</v>
      </c>
      <c r="AB1283" s="8">
        <v>1</v>
      </c>
    </row>
    <row r="1284" spans="1:28" ht="21.6" customHeight="1">
      <c r="A1284" s="8">
        <v>88</v>
      </c>
      <c r="B1284" s="8">
        <v>2025111597</v>
      </c>
      <c r="C1284" s="8">
        <v>1</v>
      </c>
      <c r="D1284" s="8" t="s">
        <v>3177</v>
      </c>
      <c r="E1284" s="8" t="s">
        <v>118</v>
      </c>
      <c r="F1284" s="8" t="s">
        <v>4582</v>
      </c>
      <c r="G1284" s="8" t="s">
        <v>3387</v>
      </c>
      <c r="H1284" s="8" t="s">
        <v>3588</v>
      </c>
      <c r="I1284" s="8" t="s">
        <v>4430</v>
      </c>
      <c r="J1284" s="8" t="s">
        <v>3277</v>
      </c>
      <c r="K1284" s="8" t="s">
        <v>3183</v>
      </c>
      <c r="L1284" s="10" t="s">
        <v>3398</v>
      </c>
      <c r="M1284" s="10" t="s">
        <v>3535</v>
      </c>
      <c r="N1284" s="10" t="s">
        <v>3494</v>
      </c>
      <c r="O1284" s="8" t="s">
        <v>322</v>
      </c>
      <c r="P1284" s="8"/>
      <c r="Q1284" s="8"/>
      <c r="R1284" s="8">
        <v>7819</v>
      </c>
      <c r="S1284" s="8"/>
      <c r="T1284" s="8"/>
      <c r="U1284" s="8" t="s">
        <v>332</v>
      </c>
      <c r="V1284" s="8"/>
      <c r="W1284" s="8"/>
      <c r="X1284" s="8"/>
      <c r="Y1284" s="8"/>
      <c r="Z1284" s="10" t="s">
        <v>3362</v>
      </c>
      <c r="AA1284" s="8" t="s">
        <v>332</v>
      </c>
      <c r="AB1284" s="8">
        <v>1</v>
      </c>
    </row>
    <row r="1285" spans="1:28" ht="21.6" customHeight="1">
      <c r="A1285" s="8">
        <v>89</v>
      </c>
      <c r="B1285" s="8">
        <v>2025111551</v>
      </c>
      <c r="C1285" s="8">
        <v>1</v>
      </c>
      <c r="D1285" s="8" t="s">
        <v>3177</v>
      </c>
      <c r="E1285" s="8" t="s">
        <v>118</v>
      </c>
      <c r="F1285" s="8" t="s">
        <v>4582</v>
      </c>
      <c r="G1285" s="8" t="s">
        <v>3401</v>
      </c>
      <c r="H1285" s="8" t="s">
        <v>3357</v>
      </c>
      <c r="I1285" s="8" t="s">
        <v>4473</v>
      </c>
      <c r="J1285" s="8" t="s">
        <v>3277</v>
      </c>
      <c r="K1285" s="8" t="s">
        <v>3183</v>
      </c>
      <c r="L1285" s="10" t="s">
        <v>3398</v>
      </c>
      <c r="M1285" s="10" t="s">
        <v>3514</v>
      </c>
      <c r="N1285" s="10" t="s">
        <v>3379</v>
      </c>
      <c r="O1285" s="8" t="s">
        <v>322</v>
      </c>
      <c r="P1285" s="8"/>
      <c r="Q1285" s="8"/>
      <c r="R1285" s="8">
        <v>4596</v>
      </c>
      <c r="S1285" s="8" t="s">
        <v>332</v>
      </c>
      <c r="T1285" s="8"/>
      <c r="U1285" s="8"/>
      <c r="V1285" s="8"/>
      <c r="W1285" s="8"/>
      <c r="X1285" s="8"/>
      <c r="Y1285" s="8"/>
      <c r="Z1285" s="10" t="s">
        <v>3696</v>
      </c>
      <c r="AA1285" s="8" t="s">
        <v>332</v>
      </c>
      <c r="AB1285" s="8">
        <v>1</v>
      </c>
    </row>
    <row r="1286" spans="1:28" ht="21.6" customHeight="1">
      <c r="A1286" s="8">
        <v>91</v>
      </c>
      <c r="B1286" s="8">
        <v>2025111598</v>
      </c>
      <c r="C1286" s="8">
        <v>1</v>
      </c>
      <c r="D1286" s="8" t="s">
        <v>3177</v>
      </c>
      <c r="E1286" s="8" t="s">
        <v>118</v>
      </c>
      <c r="F1286" s="8" t="s">
        <v>4582</v>
      </c>
      <c r="G1286" s="8" t="s">
        <v>3588</v>
      </c>
      <c r="H1286" s="8" t="s">
        <v>3374</v>
      </c>
      <c r="I1286" s="8" t="s">
        <v>4473</v>
      </c>
      <c r="J1286" s="8" t="s">
        <v>3277</v>
      </c>
      <c r="K1286" s="8" t="s">
        <v>3183</v>
      </c>
      <c r="L1286" s="10" t="s">
        <v>3398</v>
      </c>
      <c r="M1286" s="10" t="s">
        <v>3514</v>
      </c>
      <c r="N1286" s="10" t="s">
        <v>3379</v>
      </c>
      <c r="O1286" s="8" t="s">
        <v>322</v>
      </c>
      <c r="P1286" s="8"/>
      <c r="Q1286" s="8"/>
      <c r="R1286" s="8">
        <v>4596</v>
      </c>
      <c r="S1286" s="8"/>
      <c r="T1286" s="8"/>
      <c r="U1286" s="8" t="s">
        <v>332</v>
      </c>
      <c r="V1286" s="8"/>
      <c r="W1286" s="8"/>
      <c r="X1286" s="8"/>
      <c r="Y1286" s="8"/>
      <c r="Z1286" s="10" t="s">
        <v>3362</v>
      </c>
      <c r="AA1286" s="8" t="s">
        <v>332</v>
      </c>
      <c r="AB1286" s="8">
        <v>1</v>
      </c>
    </row>
    <row r="1287" spans="1:28" ht="21.6" customHeight="1">
      <c r="A1287" s="8">
        <v>96</v>
      </c>
      <c r="B1287" s="8">
        <v>2025111553</v>
      </c>
      <c r="C1287" s="8">
        <v>1</v>
      </c>
      <c r="D1287" s="8" t="s">
        <v>3177</v>
      </c>
      <c r="E1287" s="8" t="s">
        <v>118</v>
      </c>
      <c r="F1287" s="8" t="s">
        <v>4582</v>
      </c>
      <c r="G1287" s="8" t="s">
        <v>3357</v>
      </c>
      <c r="H1287" s="8" t="s">
        <v>3342</v>
      </c>
      <c r="I1287" s="8" t="s">
        <v>3510</v>
      </c>
      <c r="J1287" s="8" t="s">
        <v>3298</v>
      </c>
      <c r="K1287" s="8" t="s">
        <v>3183</v>
      </c>
      <c r="L1287" s="10" t="s">
        <v>3398</v>
      </c>
      <c r="M1287" s="10" t="s">
        <v>3511</v>
      </c>
      <c r="N1287" s="10" t="s">
        <v>3512</v>
      </c>
      <c r="O1287" s="8" t="s">
        <v>322</v>
      </c>
      <c r="P1287" s="8"/>
      <c r="Q1287" s="8"/>
      <c r="R1287" s="8">
        <v>173</v>
      </c>
      <c r="S1287" s="8" t="s">
        <v>332</v>
      </c>
      <c r="T1287" s="8"/>
      <c r="U1287" s="8"/>
      <c r="V1287" s="8"/>
      <c r="W1287" s="8"/>
      <c r="X1287" s="8"/>
      <c r="Y1287" s="8"/>
      <c r="Z1287" s="10" t="s">
        <v>3696</v>
      </c>
      <c r="AA1287" s="8" t="s">
        <v>332</v>
      </c>
      <c r="AB1287" s="8">
        <v>1</v>
      </c>
    </row>
    <row r="1288" spans="1:28" ht="21.6" customHeight="1">
      <c r="A1288" s="8">
        <v>98</v>
      </c>
      <c r="B1288" s="8">
        <v>2025111555</v>
      </c>
      <c r="C1288" s="8">
        <v>1</v>
      </c>
      <c r="D1288" s="8" t="s">
        <v>3177</v>
      </c>
      <c r="E1288" s="8" t="s">
        <v>118</v>
      </c>
      <c r="F1288" s="8" t="s">
        <v>4582</v>
      </c>
      <c r="G1288" s="8" t="s">
        <v>3342</v>
      </c>
      <c r="H1288" s="8" t="s">
        <v>3767</v>
      </c>
      <c r="I1288" s="8" t="s">
        <v>3521</v>
      </c>
      <c r="J1288" s="8" t="s">
        <v>3298</v>
      </c>
      <c r="K1288" s="8" t="s">
        <v>3183</v>
      </c>
      <c r="L1288" s="10" t="s">
        <v>3398</v>
      </c>
      <c r="M1288" s="10" t="s">
        <v>3405</v>
      </c>
      <c r="N1288" s="10" t="s">
        <v>3406</v>
      </c>
      <c r="O1288" s="8" t="s">
        <v>322</v>
      </c>
      <c r="P1288" s="8"/>
      <c r="Q1288" s="8"/>
      <c r="R1288" s="8">
        <v>2461</v>
      </c>
      <c r="S1288" s="8" t="s">
        <v>332</v>
      </c>
      <c r="T1288" s="8"/>
      <c r="U1288" s="8"/>
      <c r="V1288" s="8"/>
      <c r="W1288" s="8"/>
      <c r="X1288" s="8"/>
      <c r="Y1288" s="8"/>
      <c r="Z1288" s="10" t="s">
        <v>3696</v>
      </c>
      <c r="AA1288" s="8" t="s">
        <v>332</v>
      </c>
      <c r="AB1288" s="8">
        <v>1</v>
      </c>
    </row>
    <row r="1289" spans="1:28" ht="21.6" customHeight="1">
      <c r="A1289" s="8">
        <v>112</v>
      </c>
      <c r="B1289" s="8">
        <v>2025110676</v>
      </c>
      <c r="C1289" s="8">
        <v>1</v>
      </c>
      <c r="D1289" s="8" t="s">
        <v>3177</v>
      </c>
      <c r="E1289" s="8" t="s">
        <v>118</v>
      </c>
      <c r="F1289" s="8" t="s">
        <v>4565</v>
      </c>
      <c r="G1289" s="8" t="s">
        <v>3386</v>
      </c>
      <c r="H1289" s="8" t="s">
        <v>3387</v>
      </c>
      <c r="I1289" s="8" t="s">
        <v>4583</v>
      </c>
      <c r="J1289" s="8" t="s">
        <v>4553</v>
      </c>
      <c r="K1289" s="8" t="s">
        <v>3183</v>
      </c>
      <c r="L1289" s="10" t="s">
        <v>3462</v>
      </c>
      <c r="M1289" s="10" t="s">
        <v>3463</v>
      </c>
      <c r="N1289" s="10" t="s">
        <v>3464</v>
      </c>
      <c r="O1289" s="8" t="s">
        <v>3190</v>
      </c>
      <c r="P1289" s="8"/>
      <c r="Q1289" s="8"/>
      <c r="R1289" s="8">
        <v>32313</v>
      </c>
      <c r="S1289" s="8"/>
      <c r="T1289" s="8"/>
      <c r="U1289" s="8"/>
      <c r="V1289" s="8"/>
      <c r="W1289" s="8"/>
      <c r="X1289" s="8"/>
      <c r="Y1289" s="8"/>
      <c r="Z1289" s="10" t="s">
        <v>3696</v>
      </c>
      <c r="AA1289" s="8" t="s">
        <v>332</v>
      </c>
      <c r="AB1289" s="8">
        <v>1</v>
      </c>
    </row>
    <row r="1290" spans="1:28" ht="21.6" customHeight="1">
      <c r="A1290" s="8">
        <v>1</v>
      </c>
      <c r="B1290" s="8">
        <v>2025111726</v>
      </c>
      <c r="C1290" s="8">
        <v>1</v>
      </c>
      <c r="D1290" s="8" t="s">
        <v>3177</v>
      </c>
      <c r="E1290" s="8" t="s">
        <v>123</v>
      </c>
      <c r="F1290" s="8" t="s">
        <v>4584</v>
      </c>
      <c r="G1290" s="8" t="s">
        <v>4023</v>
      </c>
      <c r="H1290" s="8" t="s">
        <v>4038</v>
      </c>
      <c r="I1290" s="8" t="s">
        <v>4500</v>
      </c>
      <c r="J1290" s="8" t="s">
        <v>3224</v>
      </c>
      <c r="K1290" s="8" t="s">
        <v>3183</v>
      </c>
      <c r="L1290" s="10" t="s">
        <v>3207</v>
      </c>
      <c r="M1290" s="10" t="s">
        <v>3208</v>
      </c>
      <c r="N1290" s="10" t="s">
        <v>3209</v>
      </c>
      <c r="O1290" s="8" t="s">
        <v>322</v>
      </c>
      <c r="P1290" s="8"/>
      <c r="Q1290" s="8">
        <v>6543</v>
      </c>
      <c r="R1290" s="8">
        <v>3796</v>
      </c>
      <c r="S1290" s="8" t="s">
        <v>332</v>
      </c>
      <c r="T1290" s="8"/>
      <c r="U1290" s="8"/>
      <c r="V1290" s="8"/>
      <c r="W1290" s="8"/>
      <c r="X1290" s="8"/>
      <c r="Y1290" s="8"/>
      <c r="Z1290" s="10" t="s">
        <v>3186</v>
      </c>
      <c r="AA1290" s="8" t="s">
        <v>332</v>
      </c>
      <c r="AB1290" s="8">
        <v>1</v>
      </c>
    </row>
    <row r="1291" spans="1:28" ht="21.6" customHeight="1">
      <c r="A1291" s="8">
        <v>5</v>
      </c>
      <c r="B1291" s="8">
        <v>2025111722</v>
      </c>
      <c r="C1291" s="8">
        <v>1</v>
      </c>
      <c r="D1291" s="8" t="s">
        <v>3177</v>
      </c>
      <c r="E1291" s="8" t="s">
        <v>123</v>
      </c>
      <c r="F1291" s="8" t="s">
        <v>4584</v>
      </c>
      <c r="G1291" s="8" t="s">
        <v>4133</v>
      </c>
      <c r="H1291" s="8" t="s">
        <v>4134</v>
      </c>
      <c r="I1291" s="8" t="s">
        <v>3259</v>
      </c>
      <c r="J1291" s="8" t="s">
        <v>3253</v>
      </c>
      <c r="K1291" s="8" t="s">
        <v>3183</v>
      </c>
      <c r="L1291" s="10" t="s">
        <v>3207</v>
      </c>
      <c r="M1291" s="10" t="s">
        <v>3208</v>
      </c>
      <c r="N1291" s="10" t="s">
        <v>3260</v>
      </c>
      <c r="O1291" s="8" t="s">
        <v>322</v>
      </c>
      <c r="P1291" s="8"/>
      <c r="Q1291" s="8"/>
      <c r="R1291" s="8">
        <v>3601</v>
      </c>
      <c r="S1291" s="8" t="s">
        <v>332</v>
      </c>
      <c r="T1291" s="8"/>
      <c r="U1291" s="8"/>
      <c r="V1291" s="8"/>
      <c r="W1291" s="8"/>
      <c r="X1291" s="8"/>
      <c r="Y1291" s="8"/>
      <c r="Z1291" s="10" t="s">
        <v>3186</v>
      </c>
      <c r="AA1291" s="8" t="s">
        <v>332</v>
      </c>
      <c r="AB1291" s="8">
        <v>1</v>
      </c>
    </row>
    <row r="1292" spans="1:28" ht="21.6" customHeight="1">
      <c r="A1292" s="8">
        <v>13</v>
      </c>
      <c r="B1292" s="8">
        <v>2025111724</v>
      </c>
      <c r="C1292" s="8">
        <v>1</v>
      </c>
      <c r="D1292" s="8" t="s">
        <v>3177</v>
      </c>
      <c r="E1292" s="8" t="s">
        <v>123</v>
      </c>
      <c r="F1292" s="8" t="s">
        <v>4584</v>
      </c>
      <c r="G1292" s="8" t="s">
        <v>4032</v>
      </c>
      <c r="H1292" s="8" t="s">
        <v>3789</v>
      </c>
      <c r="I1292" s="8" t="s">
        <v>4502</v>
      </c>
      <c r="J1292" s="8" t="s">
        <v>3277</v>
      </c>
      <c r="K1292" s="8" t="s">
        <v>3183</v>
      </c>
      <c r="L1292" s="10" t="s">
        <v>3207</v>
      </c>
      <c r="M1292" s="10" t="s">
        <v>3208</v>
      </c>
      <c r="N1292" s="10" t="s">
        <v>3299</v>
      </c>
      <c r="O1292" s="8" t="s">
        <v>322</v>
      </c>
      <c r="P1292" s="8"/>
      <c r="Q1292" s="8"/>
      <c r="R1292" s="8">
        <v>10404</v>
      </c>
      <c r="S1292" s="8" t="s">
        <v>332</v>
      </c>
      <c r="T1292" s="8"/>
      <c r="U1292" s="8"/>
      <c r="V1292" s="8"/>
      <c r="W1292" s="8"/>
      <c r="X1292" s="8"/>
      <c r="Y1292" s="8"/>
      <c r="Z1292" s="10" t="s">
        <v>3186</v>
      </c>
      <c r="AA1292" s="8" t="s">
        <v>332</v>
      </c>
      <c r="AB1292" s="8">
        <v>1</v>
      </c>
    </row>
    <row r="1293" spans="1:28" ht="21.6" customHeight="1">
      <c r="A1293" s="8">
        <v>60</v>
      </c>
      <c r="B1293" s="8">
        <v>2025111683</v>
      </c>
      <c r="C1293" s="8">
        <v>1</v>
      </c>
      <c r="D1293" s="8" t="s">
        <v>3177</v>
      </c>
      <c r="E1293" s="8" t="s">
        <v>118</v>
      </c>
      <c r="F1293" s="8" t="s">
        <v>4584</v>
      </c>
      <c r="G1293" s="8" t="s">
        <v>3280</v>
      </c>
      <c r="H1293" s="8" t="s">
        <v>3363</v>
      </c>
      <c r="I1293" s="8" t="s">
        <v>3365</v>
      </c>
      <c r="J1293" s="8" t="s">
        <v>3195</v>
      </c>
      <c r="K1293" s="8" t="s">
        <v>3183</v>
      </c>
      <c r="L1293" s="10" t="s">
        <v>3366</v>
      </c>
      <c r="M1293" s="10" t="s">
        <v>3367</v>
      </c>
      <c r="N1293" s="10"/>
      <c r="O1293" s="8" t="s">
        <v>3190</v>
      </c>
      <c r="P1293" s="8"/>
      <c r="Q1293" s="8">
        <v>2200</v>
      </c>
      <c r="R1293" s="8">
        <v>44000</v>
      </c>
      <c r="S1293" s="8"/>
      <c r="T1293" s="8"/>
      <c r="U1293" s="8"/>
      <c r="V1293" s="8"/>
      <c r="W1293" s="8"/>
      <c r="X1293" s="8"/>
      <c r="Y1293" s="8"/>
      <c r="Z1293" s="10" t="s">
        <v>3821</v>
      </c>
      <c r="AA1293" s="8" t="s">
        <v>332</v>
      </c>
      <c r="AB1293" s="8">
        <v>1</v>
      </c>
    </row>
    <row r="1294" spans="1:28" ht="21.6" customHeight="1">
      <c r="A1294" s="8">
        <v>62</v>
      </c>
      <c r="B1294" s="8">
        <v>2025111795</v>
      </c>
      <c r="C1294" s="8">
        <v>1</v>
      </c>
      <c r="D1294" s="8" t="s">
        <v>3177</v>
      </c>
      <c r="E1294" s="8" t="s">
        <v>118</v>
      </c>
      <c r="F1294" s="8" t="s">
        <v>4585</v>
      </c>
      <c r="G1294" s="8" t="s">
        <v>3280</v>
      </c>
      <c r="H1294" s="8" t="s">
        <v>3233</v>
      </c>
      <c r="I1294" s="8" t="s">
        <v>3365</v>
      </c>
      <c r="J1294" s="8" t="s">
        <v>3195</v>
      </c>
      <c r="K1294" s="8" t="s">
        <v>3183</v>
      </c>
      <c r="L1294" s="10" t="s">
        <v>3366</v>
      </c>
      <c r="M1294" s="10" t="s">
        <v>3367</v>
      </c>
      <c r="N1294" s="10"/>
      <c r="O1294" s="8" t="s">
        <v>322</v>
      </c>
      <c r="P1294" s="8"/>
      <c r="Q1294" s="8">
        <v>2200</v>
      </c>
      <c r="R1294" s="8">
        <v>44000</v>
      </c>
      <c r="S1294" s="8"/>
      <c r="T1294" s="8"/>
      <c r="U1294" s="8"/>
      <c r="V1294" s="8"/>
      <c r="W1294" s="8" t="s">
        <v>332</v>
      </c>
      <c r="X1294" s="8"/>
      <c r="Y1294" s="8" t="s">
        <v>332</v>
      </c>
      <c r="Z1294" s="10" t="s">
        <v>4586</v>
      </c>
      <c r="AA1294" s="8" t="s">
        <v>332</v>
      </c>
      <c r="AB1294" s="8">
        <v>1</v>
      </c>
    </row>
    <row r="1295" spans="1:28" ht="21.6" customHeight="1">
      <c r="A1295" s="8">
        <v>63</v>
      </c>
      <c r="B1295" s="8">
        <v>2025111685</v>
      </c>
      <c r="C1295" s="8">
        <v>1</v>
      </c>
      <c r="D1295" s="8" t="s">
        <v>3177</v>
      </c>
      <c r="E1295" s="8" t="s">
        <v>118</v>
      </c>
      <c r="F1295" s="8" t="s">
        <v>4584</v>
      </c>
      <c r="G1295" s="8" t="s">
        <v>3363</v>
      </c>
      <c r="H1295" s="8" t="s">
        <v>3233</v>
      </c>
      <c r="I1295" s="8" t="s">
        <v>3370</v>
      </c>
      <c r="J1295" s="8" t="s">
        <v>3195</v>
      </c>
      <c r="K1295" s="8" t="s">
        <v>3183</v>
      </c>
      <c r="L1295" s="10" t="s">
        <v>3371</v>
      </c>
      <c r="M1295" s="10" t="s">
        <v>3372</v>
      </c>
      <c r="N1295" s="10" t="s">
        <v>3373</v>
      </c>
      <c r="O1295" s="8" t="s">
        <v>322</v>
      </c>
      <c r="P1295" s="8"/>
      <c r="Q1295" s="8">
        <v>17513</v>
      </c>
      <c r="R1295" s="8">
        <v>150611</v>
      </c>
      <c r="S1295" s="8" t="s">
        <v>332</v>
      </c>
      <c r="T1295" s="8"/>
      <c r="U1295" s="8"/>
      <c r="V1295" s="8"/>
      <c r="W1295" s="8"/>
      <c r="X1295" s="8"/>
      <c r="Y1295" s="8"/>
      <c r="Z1295" s="10" t="s">
        <v>3696</v>
      </c>
      <c r="AA1295" s="8" t="s">
        <v>332</v>
      </c>
      <c r="AB1295" s="8">
        <v>1</v>
      </c>
    </row>
    <row r="1296" spans="1:28" ht="21.6" customHeight="1">
      <c r="A1296" s="8">
        <v>69</v>
      </c>
      <c r="B1296" s="8">
        <v>2025111678</v>
      </c>
      <c r="C1296" s="8">
        <v>1</v>
      </c>
      <c r="D1296" s="8" t="s">
        <v>3177</v>
      </c>
      <c r="E1296" s="8" t="s">
        <v>118</v>
      </c>
      <c r="F1296" s="8" t="s">
        <v>4584</v>
      </c>
      <c r="G1296" s="8" t="s">
        <v>3350</v>
      </c>
      <c r="H1296" s="8" t="s">
        <v>3280</v>
      </c>
      <c r="I1296" s="8" t="s">
        <v>3689</v>
      </c>
      <c r="J1296" s="8" t="s">
        <v>3224</v>
      </c>
      <c r="K1296" s="8" t="s">
        <v>3183</v>
      </c>
      <c r="L1296" s="10" t="s">
        <v>3344</v>
      </c>
      <c r="M1296" s="10" t="s">
        <v>3345</v>
      </c>
      <c r="N1296" s="10" t="s">
        <v>3497</v>
      </c>
      <c r="O1296" s="8" t="s">
        <v>322</v>
      </c>
      <c r="P1296" s="8"/>
      <c r="Q1296" s="8">
        <v>1000</v>
      </c>
      <c r="R1296" s="8">
        <v>15000</v>
      </c>
      <c r="S1296" s="8" t="s">
        <v>332</v>
      </c>
      <c r="T1296" s="8"/>
      <c r="U1296" s="8"/>
      <c r="V1296" s="8"/>
      <c r="W1296" s="8"/>
      <c r="X1296" s="8"/>
      <c r="Y1296" s="8"/>
      <c r="Z1296" s="10" t="s">
        <v>3821</v>
      </c>
      <c r="AA1296" s="8" t="s">
        <v>332</v>
      </c>
      <c r="AB1296" s="8">
        <v>1</v>
      </c>
    </row>
    <row r="1297" spans="1:28" ht="21.6" customHeight="1">
      <c r="A1297" s="8">
        <v>140</v>
      </c>
      <c r="B1297" s="8">
        <v>2025111297</v>
      </c>
      <c r="C1297" s="8">
        <v>1</v>
      </c>
      <c r="D1297" s="8" t="s">
        <v>3177</v>
      </c>
      <c r="E1297" s="8" t="s">
        <v>118</v>
      </c>
      <c r="F1297" s="8" t="s">
        <v>4570</v>
      </c>
      <c r="G1297" s="8" t="s">
        <v>3387</v>
      </c>
      <c r="H1297" s="8" t="s">
        <v>3426</v>
      </c>
      <c r="I1297" s="8" t="s">
        <v>4356</v>
      </c>
      <c r="J1297" s="8" t="s">
        <v>3543</v>
      </c>
      <c r="K1297" s="8" t="s">
        <v>3183</v>
      </c>
      <c r="L1297" s="10" t="s">
        <v>4080</v>
      </c>
      <c r="M1297" s="10" t="s">
        <v>4357</v>
      </c>
      <c r="N1297" s="10" t="s">
        <v>4082</v>
      </c>
      <c r="O1297" s="8" t="s">
        <v>3190</v>
      </c>
      <c r="P1297" s="8"/>
      <c r="Q1297" s="8"/>
      <c r="R1297" s="8">
        <v>90</v>
      </c>
      <c r="S1297" s="8"/>
      <c r="T1297" s="8"/>
      <c r="U1297" s="8"/>
      <c r="V1297" s="8"/>
      <c r="W1297" s="8"/>
      <c r="X1297" s="8"/>
      <c r="Y1297" s="8"/>
      <c r="Z1297" s="10" t="s">
        <v>3696</v>
      </c>
      <c r="AA1297" s="8" t="s">
        <v>332</v>
      </c>
      <c r="AB1297" s="8">
        <v>1</v>
      </c>
    </row>
    <row r="1298" spans="1:28" ht="21.6" customHeight="1">
      <c r="A1298" s="8">
        <v>66</v>
      </c>
      <c r="B1298" s="8">
        <v>2025111869</v>
      </c>
      <c r="C1298" s="8">
        <v>1</v>
      </c>
      <c r="D1298" s="8" t="s">
        <v>3177</v>
      </c>
      <c r="E1298" s="8" t="s">
        <v>118</v>
      </c>
      <c r="F1298" s="8" t="s">
        <v>4585</v>
      </c>
      <c r="G1298" s="8" t="s">
        <v>3588</v>
      </c>
      <c r="H1298" s="8" t="s">
        <v>3799</v>
      </c>
      <c r="I1298" s="8" t="s">
        <v>3351</v>
      </c>
      <c r="J1298" s="8" t="s">
        <v>3195</v>
      </c>
      <c r="K1298" s="8" t="s">
        <v>3183</v>
      </c>
      <c r="L1298" s="10" t="s">
        <v>3352</v>
      </c>
      <c r="M1298" s="10" t="s">
        <v>3353</v>
      </c>
      <c r="N1298" s="10" t="s">
        <v>3667</v>
      </c>
      <c r="O1298" s="8" t="s">
        <v>322</v>
      </c>
      <c r="P1298" s="8"/>
      <c r="Q1298" s="8">
        <v>11496</v>
      </c>
      <c r="R1298" s="8">
        <v>83277</v>
      </c>
      <c r="S1298" s="8" t="s">
        <v>332</v>
      </c>
      <c r="T1298" s="8"/>
      <c r="U1298" s="8"/>
      <c r="V1298" s="8"/>
      <c r="W1298" s="8"/>
      <c r="X1298" s="8"/>
      <c r="Y1298" s="8"/>
      <c r="Z1298" s="10" t="s">
        <v>3696</v>
      </c>
      <c r="AA1298" s="8" t="s">
        <v>332</v>
      </c>
      <c r="AB1298" s="8">
        <v>1</v>
      </c>
    </row>
    <row r="1299" spans="1:28" ht="21.6" customHeight="1">
      <c r="A1299" s="8">
        <v>68</v>
      </c>
      <c r="B1299" s="8">
        <v>2025111682</v>
      </c>
      <c r="C1299" s="8">
        <v>1</v>
      </c>
      <c r="D1299" s="8" t="s">
        <v>3177</v>
      </c>
      <c r="E1299" s="8" t="s">
        <v>118</v>
      </c>
      <c r="F1299" s="8" t="s">
        <v>4584</v>
      </c>
      <c r="G1299" s="8" t="s">
        <v>3280</v>
      </c>
      <c r="H1299" s="8" t="s">
        <v>3363</v>
      </c>
      <c r="I1299" s="8" t="s">
        <v>3365</v>
      </c>
      <c r="J1299" s="8" t="s">
        <v>3195</v>
      </c>
      <c r="K1299" s="8" t="s">
        <v>3183</v>
      </c>
      <c r="L1299" s="10" t="s">
        <v>3366</v>
      </c>
      <c r="M1299" s="10" t="s">
        <v>3367</v>
      </c>
      <c r="N1299" s="10"/>
      <c r="O1299" s="8" t="s">
        <v>322</v>
      </c>
      <c r="P1299" s="8"/>
      <c r="Q1299" s="8">
        <v>2200</v>
      </c>
      <c r="R1299" s="8">
        <v>44000</v>
      </c>
      <c r="S1299" s="8" t="s">
        <v>332</v>
      </c>
      <c r="T1299" s="8"/>
      <c r="U1299" s="8"/>
      <c r="V1299" s="8"/>
      <c r="W1299" s="8"/>
      <c r="X1299" s="8"/>
      <c r="Y1299" s="8"/>
      <c r="Z1299" s="10" t="s">
        <v>3821</v>
      </c>
      <c r="AA1299" s="8" t="s">
        <v>332</v>
      </c>
      <c r="AB1299" s="8">
        <v>1</v>
      </c>
    </row>
    <row r="1300" spans="1:28" ht="21.6" customHeight="1">
      <c r="A1300" s="8">
        <v>73</v>
      </c>
      <c r="B1300" s="8">
        <v>2025111647</v>
      </c>
      <c r="C1300" s="8">
        <v>1</v>
      </c>
      <c r="D1300" s="8" t="s">
        <v>3177</v>
      </c>
      <c r="E1300" s="8" t="s">
        <v>118</v>
      </c>
      <c r="F1300" s="8" t="s">
        <v>4582</v>
      </c>
      <c r="G1300" s="8" t="s">
        <v>3250</v>
      </c>
      <c r="H1300" s="8" t="s">
        <v>3204</v>
      </c>
      <c r="I1300" s="8" t="s">
        <v>3382</v>
      </c>
      <c r="J1300" s="8" t="s">
        <v>3224</v>
      </c>
      <c r="K1300" s="8" t="s">
        <v>3183</v>
      </c>
      <c r="L1300" s="10" t="s">
        <v>3383</v>
      </c>
      <c r="M1300" s="10" t="s">
        <v>3384</v>
      </c>
      <c r="N1300" s="10" t="s">
        <v>3385</v>
      </c>
      <c r="O1300" s="8" t="s">
        <v>3190</v>
      </c>
      <c r="P1300" s="8">
        <v>6868</v>
      </c>
      <c r="Q1300" s="8">
        <v>15339</v>
      </c>
      <c r="R1300" s="8">
        <v>20204</v>
      </c>
      <c r="S1300" s="8"/>
      <c r="T1300" s="8"/>
      <c r="U1300" s="8"/>
      <c r="V1300" s="8"/>
      <c r="W1300" s="8"/>
      <c r="X1300" s="8"/>
      <c r="Y1300" s="8"/>
      <c r="Z1300" s="10" t="s">
        <v>3696</v>
      </c>
      <c r="AA1300" s="8" t="s">
        <v>332</v>
      </c>
      <c r="AB1300" s="8">
        <v>1</v>
      </c>
    </row>
    <row r="1301" spans="1:28" ht="21.6" customHeight="1">
      <c r="A1301" s="8">
        <v>91</v>
      </c>
      <c r="B1301" s="8">
        <v>2025110462</v>
      </c>
      <c r="C1301" s="8">
        <v>1</v>
      </c>
      <c r="D1301" s="8" t="s">
        <v>3177</v>
      </c>
      <c r="E1301" s="8" t="s">
        <v>118</v>
      </c>
      <c r="F1301" s="8" t="s">
        <v>4565</v>
      </c>
      <c r="G1301" s="8" t="s">
        <v>3363</v>
      </c>
      <c r="H1301" s="8" t="s">
        <v>3233</v>
      </c>
      <c r="I1301" s="8" t="s">
        <v>3422</v>
      </c>
      <c r="J1301" s="8" t="s">
        <v>3253</v>
      </c>
      <c r="K1301" s="8" t="s">
        <v>3183</v>
      </c>
      <c r="L1301" s="10" t="s">
        <v>3270</v>
      </c>
      <c r="M1301" s="10" t="s">
        <v>3423</v>
      </c>
      <c r="N1301" s="10" t="s">
        <v>3424</v>
      </c>
      <c r="O1301" s="8" t="s">
        <v>3190</v>
      </c>
      <c r="P1301" s="8"/>
      <c r="Q1301" s="8"/>
      <c r="R1301" s="8">
        <v>48705</v>
      </c>
      <c r="S1301" s="8"/>
      <c r="T1301" s="8"/>
      <c r="U1301" s="8"/>
      <c r="V1301" s="8"/>
      <c r="W1301" s="8"/>
      <c r="X1301" s="8"/>
      <c r="Y1301" s="8"/>
      <c r="Z1301" s="10" t="s">
        <v>3821</v>
      </c>
      <c r="AA1301" s="8" t="s">
        <v>332</v>
      </c>
      <c r="AB1301" s="8">
        <v>1</v>
      </c>
    </row>
    <row r="1302" spans="1:28" ht="21.6" customHeight="1">
      <c r="A1302" s="8">
        <v>102</v>
      </c>
      <c r="B1302" s="8">
        <v>2025111544</v>
      </c>
      <c r="C1302" s="8">
        <v>1</v>
      </c>
      <c r="D1302" s="8" t="s">
        <v>3177</v>
      </c>
      <c r="E1302" s="8" t="s">
        <v>118</v>
      </c>
      <c r="F1302" s="8" t="s">
        <v>4582</v>
      </c>
      <c r="G1302" s="8" t="s">
        <v>3280</v>
      </c>
      <c r="H1302" s="8" t="s">
        <v>3363</v>
      </c>
      <c r="I1302" s="8" t="s">
        <v>4426</v>
      </c>
      <c r="J1302" s="8" t="s">
        <v>3277</v>
      </c>
      <c r="K1302" s="8" t="s">
        <v>3183</v>
      </c>
      <c r="L1302" s="10" t="s">
        <v>3398</v>
      </c>
      <c r="M1302" s="10" t="s">
        <v>3522</v>
      </c>
      <c r="N1302" s="10" t="s">
        <v>3523</v>
      </c>
      <c r="O1302" s="8" t="s">
        <v>3190</v>
      </c>
      <c r="P1302" s="8"/>
      <c r="Q1302" s="8"/>
      <c r="R1302" s="8">
        <v>8211</v>
      </c>
      <c r="S1302" s="8"/>
      <c r="T1302" s="8"/>
      <c r="U1302" s="8"/>
      <c r="V1302" s="8"/>
      <c r="W1302" s="8"/>
      <c r="X1302" s="8"/>
      <c r="Y1302" s="8"/>
      <c r="Z1302" s="10" t="s">
        <v>3696</v>
      </c>
      <c r="AA1302" s="8" t="s">
        <v>332</v>
      </c>
      <c r="AB1302" s="8">
        <v>1</v>
      </c>
    </row>
    <row r="1303" spans="1:28" ht="21.6" customHeight="1">
      <c r="A1303" s="8">
        <v>122</v>
      </c>
      <c r="B1303" s="8">
        <v>2025111299</v>
      </c>
      <c r="C1303" s="8">
        <v>1</v>
      </c>
      <c r="D1303" s="8" t="s">
        <v>3177</v>
      </c>
      <c r="E1303" s="8" t="s">
        <v>118</v>
      </c>
      <c r="F1303" s="8" t="s">
        <v>4570</v>
      </c>
      <c r="G1303" s="8" t="s">
        <v>3426</v>
      </c>
      <c r="H1303" s="8" t="s">
        <v>3431</v>
      </c>
      <c r="I1303" s="8" t="s">
        <v>4079</v>
      </c>
      <c r="J1303" s="8" t="s">
        <v>3298</v>
      </c>
      <c r="K1303" s="8" t="s">
        <v>3183</v>
      </c>
      <c r="L1303" s="10" t="s">
        <v>4080</v>
      </c>
      <c r="M1303" s="10" t="s">
        <v>4081</v>
      </c>
      <c r="N1303" s="10" t="s">
        <v>4082</v>
      </c>
      <c r="O1303" s="8" t="s">
        <v>3190</v>
      </c>
      <c r="P1303" s="8"/>
      <c r="Q1303" s="8"/>
      <c r="R1303" s="8">
        <v>3050</v>
      </c>
      <c r="S1303" s="8"/>
      <c r="T1303" s="8"/>
      <c r="U1303" s="8"/>
      <c r="V1303" s="8"/>
      <c r="W1303" s="8"/>
      <c r="X1303" s="8"/>
      <c r="Y1303" s="8"/>
      <c r="Z1303" s="10" t="s">
        <v>3696</v>
      </c>
      <c r="AA1303" s="8" t="s">
        <v>332</v>
      </c>
      <c r="AB1303" s="8">
        <v>1</v>
      </c>
    </row>
    <row r="1304" spans="1:28" ht="21.6" customHeight="1">
      <c r="A1304" s="8">
        <v>130</v>
      </c>
      <c r="B1304" s="8">
        <v>2025111842</v>
      </c>
      <c r="C1304" s="8">
        <v>1</v>
      </c>
      <c r="D1304" s="8" t="s">
        <v>3177</v>
      </c>
      <c r="E1304" s="8" t="s">
        <v>118</v>
      </c>
      <c r="F1304" s="8" t="s">
        <v>4585</v>
      </c>
      <c r="G1304" s="8" t="s">
        <v>3368</v>
      </c>
      <c r="H1304" s="8" t="s">
        <v>3204</v>
      </c>
      <c r="I1304" s="8" t="s">
        <v>3536</v>
      </c>
      <c r="J1304" s="8" t="s">
        <v>3298</v>
      </c>
      <c r="K1304" s="8" t="s">
        <v>3183</v>
      </c>
      <c r="L1304" s="10" t="s">
        <v>3537</v>
      </c>
      <c r="M1304" s="10" t="s">
        <v>3538</v>
      </c>
      <c r="N1304" s="10"/>
      <c r="O1304" s="8" t="s">
        <v>322</v>
      </c>
      <c r="P1304" s="8"/>
      <c r="Q1304" s="8"/>
      <c r="R1304" s="8">
        <v>143775</v>
      </c>
      <c r="S1304" s="8"/>
      <c r="T1304" s="8"/>
      <c r="U1304" s="8"/>
      <c r="V1304" s="8"/>
      <c r="W1304" s="8"/>
      <c r="X1304" s="8"/>
      <c r="Y1304" s="8" t="s">
        <v>332</v>
      </c>
      <c r="Z1304" s="10" t="s">
        <v>4587</v>
      </c>
      <c r="AA1304" s="8" t="s">
        <v>332</v>
      </c>
      <c r="AB1304" s="8">
        <v>1</v>
      </c>
    </row>
    <row r="1305" spans="1:28" ht="21.6" customHeight="1">
      <c r="A1305" s="8">
        <v>89</v>
      </c>
      <c r="B1305" s="8">
        <v>2025111909</v>
      </c>
      <c r="C1305" s="8">
        <v>1</v>
      </c>
      <c r="D1305" s="8" t="s">
        <v>3177</v>
      </c>
      <c r="E1305" s="8" t="s">
        <v>118</v>
      </c>
      <c r="F1305" s="8" t="s">
        <v>4588</v>
      </c>
      <c r="G1305" s="8" t="s">
        <v>3354</v>
      </c>
      <c r="H1305" s="8" t="s">
        <v>3726</v>
      </c>
      <c r="I1305" s="8" t="s">
        <v>4403</v>
      </c>
      <c r="J1305" s="8" t="s">
        <v>3224</v>
      </c>
      <c r="K1305" s="8" t="s">
        <v>3183</v>
      </c>
      <c r="L1305" s="10" t="s">
        <v>4404</v>
      </c>
      <c r="M1305" s="10" t="s">
        <v>4424</v>
      </c>
      <c r="N1305" s="10" t="s">
        <v>3497</v>
      </c>
      <c r="O1305" s="8" t="s">
        <v>363</v>
      </c>
      <c r="P1305" s="8"/>
      <c r="Q1305" s="8">
        <v>75</v>
      </c>
      <c r="R1305" s="8">
        <v>664</v>
      </c>
      <c r="S1305" s="8"/>
      <c r="T1305" s="8"/>
      <c r="U1305" s="8"/>
      <c r="V1305" s="8"/>
      <c r="W1305" s="8"/>
      <c r="X1305" s="8"/>
      <c r="Y1305" s="8"/>
      <c r="Z1305" s="10" t="s">
        <v>4589</v>
      </c>
      <c r="AA1305" s="8" t="s">
        <v>332</v>
      </c>
      <c r="AB1305" s="8">
        <v>1</v>
      </c>
    </row>
    <row r="1306" spans="1:28" ht="21.6" customHeight="1">
      <c r="A1306" s="8">
        <v>100</v>
      </c>
      <c r="B1306" s="8">
        <v>2025110460</v>
      </c>
      <c r="C1306" s="8">
        <v>1</v>
      </c>
      <c r="D1306" s="8" t="s">
        <v>3177</v>
      </c>
      <c r="E1306" s="8" t="s">
        <v>118</v>
      </c>
      <c r="F1306" s="8" t="s">
        <v>4565</v>
      </c>
      <c r="G1306" s="8" t="s">
        <v>3280</v>
      </c>
      <c r="H1306" s="8" t="s">
        <v>3363</v>
      </c>
      <c r="I1306" s="8" t="s">
        <v>3428</v>
      </c>
      <c r="J1306" s="8" t="s">
        <v>3253</v>
      </c>
      <c r="K1306" s="8" t="s">
        <v>3183</v>
      </c>
      <c r="L1306" s="10" t="s">
        <v>3270</v>
      </c>
      <c r="M1306" s="10" t="s">
        <v>3429</v>
      </c>
      <c r="N1306" s="10" t="s">
        <v>3430</v>
      </c>
      <c r="O1306" s="8" t="s">
        <v>3190</v>
      </c>
      <c r="P1306" s="8"/>
      <c r="Q1306" s="8"/>
      <c r="R1306" s="8">
        <v>80259</v>
      </c>
      <c r="S1306" s="8"/>
      <c r="T1306" s="8"/>
      <c r="U1306" s="8"/>
      <c r="V1306" s="8"/>
      <c r="W1306" s="8"/>
      <c r="X1306" s="8"/>
      <c r="Y1306" s="8"/>
      <c r="Z1306" s="10" t="s">
        <v>3821</v>
      </c>
      <c r="AA1306" s="8" t="s">
        <v>332</v>
      </c>
      <c r="AB1306" s="8">
        <v>1</v>
      </c>
    </row>
    <row r="1307" spans="1:28" ht="21.6" customHeight="1">
      <c r="A1307" s="8">
        <v>127</v>
      </c>
      <c r="B1307" s="8">
        <v>2025110680</v>
      </c>
      <c r="C1307" s="8">
        <v>1</v>
      </c>
      <c r="D1307" s="8" t="s">
        <v>3177</v>
      </c>
      <c r="E1307" s="8" t="s">
        <v>118</v>
      </c>
      <c r="F1307" s="8" t="s">
        <v>4565</v>
      </c>
      <c r="G1307" s="8" t="s">
        <v>3387</v>
      </c>
      <c r="H1307" s="8" t="s">
        <v>3426</v>
      </c>
      <c r="I1307" s="8" t="s">
        <v>3506</v>
      </c>
      <c r="J1307" s="8" t="s">
        <v>3298</v>
      </c>
      <c r="K1307" s="8" t="s">
        <v>3183</v>
      </c>
      <c r="L1307" s="10" t="s">
        <v>3462</v>
      </c>
      <c r="M1307" s="10" t="s">
        <v>3507</v>
      </c>
      <c r="N1307" s="10" t="s">
        <v>4590</v>
      </c>
      <c r="O1307" s="8" t="s">
        <v>3190</v>
      </c>
      <c r="P1307" s="8"/>
      <c r="Q1307" s="8"/>
      <c r="R1307" s="8">
        <v>117807</v>
      </c>
      <c r="S1307" s="8"/>
      <c r="T1307" s="8"/>
      <c r="U1307" s="8"/>
      <c r="V1307" s="8"/>
      <c r="W1307" s="8"/>
      <c r="X1307" s="8"/>
      <c r="Y1307" s="8"/>
      <c r="Z1307" s="10" t="s">
        <v>3696</v>
      </c>
      <c r="AA1307" s="8" t="s">
        <v>332</v>
      </c>
      <c r="AB1307" s="8">
        <v>1</v>
      </c>
    </row>
    <row r="1308" spans="1:28" ht="21.6" customHeight="1">
      <c r="A1308" s="8">
        <v>154</v>
      </c>
      <c r="B1308" s="8">
        <v>2025111708</v>
      </c>
      <c r="C1308" s="8">
        <v>1</v>
      </c>
      <c r="D1308" s="8" t="s">
        <v>3177</v>
      </c>
      <c r="E1308" s="8" t="s">
        <v>118</v>
      </c>
      <c r="F1308" s="8" t="s">
        <v>4584</v>
      </c>
      <c r="G1308" s="8" t="s">
        <v>3233</v>
      </c>
      <c r="H1308" s="8" t="s">
        <v>3381</v>
      </c>
      <c r="I1308" s="8" t="s">
        <v>4375</v>
      </c>
      <c r="J1308" s="8" t="s">
        <v>3543</v>
      </c>
      <c r="K1308" s="8" t="s">
        <v>3183</v>
      </c>
      <c r="L1308" s="10" t="s">
        <v>3254</v>
      </c>
      <c r="M1308" s="10" t="s">
        <v>3742</v>
      </c>
      <c r="N1308" s="10" t="s">
        <v>4376</v>
      </c>
      <c r="O1308" s="8" t="s">
        <v>3190</v>
      </c>
      <c r="P1308" s="8"/>
      <c r="Q1308" s="8"/>
      <c r="R1308" s="8">
        <v>29</v>
      </c>
      <c r="S1308" s="8"/>
      <c r="T1308" s="8"/>
      <c r="U1308" s="8"/>
      <c r="V1308" s="8"/>
      <c r="W1308" s="8"/>
      <c r="X1308" s="8"/>
      <c r="Y1308" s="8"/>
      <c r="Z1308" s="10" t="s">
        <v>3696</v>
      </c>
      <c r="AA1308" s="8" t="s">
        <v>332</v>
      </c>
      <c r="AB1308" s="8">
        <v>1</v>
      </c>
    </row>
    <row r="1309" spans="1:28" ht="21.6" customHeight="1">
      <c r="A1309" s="8">
        <v>164</v>
      </c>
      <c r="B1309" s="8">
        <v>2025111810</v>
      </c>
      <c r="C1309" s="8">
        <v>1</v>
      </c>
      <c r="D1309" s="8" t="s">
        <v>3177</v>
      </c>
      <c r="E1309" s="8" t="s">
        <v>118</v>
      </c>
      <c r="F1309" s="8" t="s">
        <v>4588</v>
      </c>
      <c r="G1309" s="8" t="s">
        <v>3350</v>
      </c>
      <c r="H1309" s="8" t="s">
        <v>3363</v>
      </c>
      <c r="I1309" s="8" t="s">
        <v>4287</v>
      </c>
      <c r="J1309" s="8" t="s">
        <v>1717</v>
      </c>
      <c r="K1309" s="8" t="s">
        <v>3183</v>
      </c>
      <c r="L1309" s="10" t="s">
        <v>3550</v>
      </c>
      <c r="M1309" s="10" t="s">
        <v>3551</v>
      </c>
      <c r="N1309" s="10" t="s">
        <v>3552</v>
      </c>
      <c r="O1309" s="8" t="s">
        <v>363</v>
      </c>
      <c r="P1309" s="8"/>
      <c r="Q1309" s="8"/>
      <c r="R1309" s="8">
        <v>85670</v>
      </c>
      <c r="S1309" s="8"/>
      <c r="T1309" s="8"/>
      <c r="U1309" s="8"/>
      <c r="V1309" s="8"/>
      <c r="W1309" s="8"/>
      <c r="X1309" s="8"/>
      <c r="Y1309" s="8"/>
      <c r="Z1309" s="10" t="s">
        <v>4591</v>
      </c>
      <c r="AA1309" s="8" t="s">
        <v>332</v>
      </c>
      <c r="AB1309" s="8">
        <v>1</v>
      </c>
    </row>
    <row r="1310" spans="1:28" ht="21.6" customHeight="1">
      <c r="A1310" s="8">
        <v>91</v>
      </c>
      <c r="B1310" s="8">
        <v>2025112124</v>
      </c>
      <c r="C1310" s="8">
        <v>1</v>
      </c>
      <c r="D1310" s="8" t="s">
        <v>3177</v>
      </c>
      <c r="E1310" s="8" t="s">
        <v>118</v>
      </c>
      <c r="F1310" s="8" t="s">
        <v>4592</v>
      </c>
      <c r="G1310" s="8" t="s">
        <v>3427</v>
      </c>
      <c r="H1310" s="8" t="s">
        <v>3387</v>
      </c>
      <c r="I1310" s="8" t="s">
        <v>3689</v>
      </c>
      <c r="J1310" s="8" t="s">
        <v>3224</v>
      </c>
      <c r="K1310" s="8" t="s">
        <v>3183</v>
      </c>
      <c r="L1310" s="10" t="s">
        <v>3344</v>
      </c>
      <c r="M1310" s="10" t="s">
        <v>3345</v>
      </c>
      <c r="N1310" s="10" t="s">
        <v>3497</v>
      </c>
      <c r="O1310" s="8" t="s">
        <v>363</v>
      </c>
      <c r="P1310" s="8"/>
      <c r="Q1310" s="8">
        <v>1000</v>
      </c>
      <c r="R1310" s="8">
        <v>15000</v>
      </c>
      <c r="S1310" s="8"/>
      <c r="T1310" s="8"/>
      <c r="U1310" s="8"/>
      <c r="V1310" s="8"/>
      <c r="W1310" s="8"/>
      <c r="X1310" s="8"/>
      <c r="Y1310" s="8"/>
      <c r="Z1310" s="10" t="s">
        <v>4593</v>
      </c>
      <c r="AA1310" s="8" t="s">
        <v>332</v>
      </c>
      <c r="AB1310" s="8">
        <v>1</v>
      </c>
    </row>
    <row r="1311" spans="1:28" ht="21.6" customHeight="1">
      <c r="A1311" s="8">
        <v>99</v>
      </c>
      <c r="B1311" s="8">
        <v>2025112140</v>
      </c>
      <c r="C1311" s="8">
        <v>1</v>
      </c>
      <c r="D1311" s="8" t="s">
        <v>3177</v>
      </c>
      <c r="E1311" s="8" t="s">
        <v>118</v>
      </c>
      <c r="F1311" s="8" t="s">
        <v>4592</v>
      </c>
      <c r="G1311" s="8" t="s">
        <v>3387</v>
      </c>
      <c r="H1311" s="8" t="s">
        <v>3426</v>
      </c>
      <c r="I1311" s="8" t="s">
        <v>4540</v>
      </c>
      <c r="J1311" s="8" t="s">
        <v>3224</v>
      </c>
      <c r="K1311" s="8" t="s">
        <v>3183</v>
      </c>
      <c r="L1311" s="10" t="s">
        <v>3377</v>
      </c>
      <c r="M1311" s="10" t="s">
        <v>3937</v>
      </c>
      <c r="N1311" s="10" t="s">
        <v>3938</v>
      </c>
      <c r="O1311" s="8" t="s">
        <v>363</v>
      </c>
      <c r="P1311" s="8"/>
      <c r="Q1311" s="8">
        <v>868</v>
      </c>
      <c r="R1311" s="8">
        <v>1610</v>
      </c>
      <c r="S1311" s="8"/>
      <c r="T1311" s="8"/>
      <c r="U1311" s="8"/>
      <c r="V1311" s="8"/>
      <c r="W1311" s="8"/>
      <c r="X1311" s="8"/>
      <c r="Y1311" s="8"/>
      <c r="Z1311" s="10" t="s">
        <v>4594</v>
      </c>
      <c r="AA1311" s="8" t="s">
        <v>332</v>
      </c>
      <c r="AB1311" s="8">
        <v>1</v>
      </c>
    </row>
    <row r="1312" spans="1:28" ht="21.6" customHeight="1">
      <c r="A1312" s="8">
        <v>102</v>
      </c>
      <c r="B1312" s="8">
        <v>2025111542</v>
      </c>
      <c r="C1312" s="8">
        <v>1</v>
      </c>
      <c r="D1312" s="8" t="s">
        <v>3177</v>
      </c>
      <c r="E1312" s="8" t="s">
        <v>118</v>
      </c>
      <c r="F1312" s="8" t="s">
        <v>4582</v>
      </c>
      <c r="G1312" s="8" t="s">
        <v>3350</v>
      </c>
      <c r="H1312" s="8" t="s">
        <v>3280</v>
      </c>
      <c r="I1312" s="8" t="s">
        <v>3404</v>
      </c>
      <c r="J1312" s="8" t="s">
        <v>3253</v>
      </c>
      <c r="K1312" s="8" t="s">
        <v>3183</v>
      </c>
      <c r="L1312" s="10" t="s">
        <v>3398</v>
      </c>
      <c r="M1312" s="10" t="s">
        <v>3575</v>
      </c>
      <c r="N1312" s="10" t="s">
        <v>3576</v>
      </c>
      <c r="O1312" s="8" t="s">
        <v>3190</v>
      </c>
      <c r="P1312" s="8"/>
      <c r="Q1312" s="8"/>
      <c r="R1312" s="8">
        <v>653</v>
      </c>
      <c r="S1312" s="8"/>
      <c r="T1312" s="8"/>
      <c r="U1312" s="8"/>
      <c r="V1312" s="8"/>
      <c r="W1312" s="8"/>
      <c r="X1312" s="8"/>
      <c r="Y1312" s="8"/>
      <c r="Z1312" s="10" t="s">
        <v>3696</v>
      </c>
      <c r="AA1312" s="8" t="s">
        <v>332</v>
      </c>
      <c r="AB1312" s="8">
        <v>1</v>
      </c>
    </row>
    <row r="1313" spans="1:28" ht="21.6" customHeight="1">
      <c r="A1313" s="8">
        <v>156</v>
      </c>
      <c r="B1313" s="8">
        <v>2025112286</v>
      </c>
      <c r="C1313" s="8">
        <v>1</v>
      </c>
      <c r="D1313" s="8" t="s">
        <v>3177</v>
      </c>
      <c r="E1313" s="8" t="s">
        <v>118</v>
      </c>
      <c r="F1313" s="8" t="s">
        <v>4595</v>
      </c>
      <c r="G1313" s="8" t="s">
        <v>3368</v>
      </c>
      <c r="H1313" s="8" t="s">
        <v>3250</v>
      </c>
      <c r="I1313" s="8" t="s">
        <v>4542</v>
      </c>
      <c r="J1313" s="8" t="s">
        <v>3301</v>
      </c>
      <c r="K1313" s="8" t="s">
        <v>3183</v>
      </c>
      <c r="L1313" s="10" t="s">
        <v>3563</v>
      </c>
      <c r="M1313" s="10" t="s">
        <v>3564</v>
      </c>
      <c r="N1313" s="10" t="s">
        <v>3565</v>
      </c>
      <c r="O1313" s="8" t="s">
        <v>322</v>
      </c>
      <c r="P1313" s="8"/>
      <c r="Q1313" s="8">
        <v>895</v>
      </c>
      <c r="R1313" s="8">
        <v>16305</v>
      </c>
      <c r="S1313" s="8"/>
      <c r="T1313" s="8"/>
      <c r="U1313" s="8"/>
      <c r="V1313" s="8"/>
      <c r="W1313" s="8"/>
      <c r="X1313" s="8"/>
      <c r="Y1313" s="8" t="s">
        <v>332</v>
      </c>
      <c r="Z1313" s="10" t="s">
        <v>4596</v>
      </c>
      <c r="AA1313" s="8" t="s">
        <v>332</v>
      </c>
      <c r="AB1313" s="8">
        <v>1</v>
      </c>
    </row>
    <row r="1314" spans="1:28" ht="21.6" customHeight="1">
      <c r="A1314" s="8">
        <v>187</v>
      </c>
      <c r="B1314" s="8">
        <v>2025112280</v>
      </c>
      <c r="C1314" s="8">
        <v>1</v>
      </c>
      <c r="D1314" s="8" t="s">
        <v>3177</v>
      </c>
      <c r="E1314" s="8" t="s">
        <v>118</v>
      </c>
      <c r="F1314" s="8" t="s">
        <v>4595</v>
      </c>
      <c r="G1314" s="8" t="s">
        <v>3401</v>
      </c>
      <c r="H1314" s="8" t="s">
        <v>3357</v>
      </c>
      <c r="I1314" s="8" t="s">
        <v>3763</v>
      </c>
      <c r="J1314" s="8" t="s">
        <v>3758</v>
      </c>
      <c r="K1314" s="8" t="s">
        <v>3183</v>
      </c>
      <c r="L1314" s="10" t="s">
        <v>3759</v>
      </c>
      <c r="M1314" s="10" t="s">
        <v>3760</v>
      </c>
      <c r="N1314" s="10" t="s">
        <v>3764</v>
      </c>
      <c r="O1314" s="8" t="s">
        <v>3190</v>
      </c>
      <c r="P1314" s="8"/>
      <c r="Q1314" s="8">
        <v>8797</v>
      </c>
      <c r="R1314" s="8">
        <v>303249</v>
      </c>
      <c r="S1314" s="8"/>
      <c r="T1314" s="8"/>
      <c r="U1314" s="8"/>
      <c r="V1314" s="8"/>
      <c r="W1314" s="8"/>
      <c r="X1314" s="8"/>
      <c r="Y1314" s="8"/>
      <c r="Z1314" s="10" t="s">
        <v>3696</v>
      </c>
      <c r="AA1314" s="8" t="s">
        <v>332</v>
      </c>
      <c r="AB1314" s="8">
        <v>1</v>
      </c>
    </row>
    <row r="1315" spans="1:28" ht="21.6" customHeight="1">
      <c r="A1315" s="8">
        <v>220</v>
      </c>
      <c r="B1315" s="8">
        <v>2025112184</v>
      </c>
      <c r="C1315" s="8">
        <v>1</v>
      </c>
      <c r="D1315" s="8" t="s">
        <v>3177</v>
      </c>
      <c r="E1315" s="8" t="s">
        <v>134</v>
      </c>
      <c r="F1315" s="8" t="s">
        <v>4592</v>
      </c>
      <c r="G1315" s="8" t="s">
        <v>4597</v>
      </c>
      <c r="H1315" s="8" t="s">
        <v>4598</v>
      </c>
      <c r="I1315" s="8" t="s">
        <v>3585</v>
      </c>
      <c r="J1315" s="8" t="s">
        <v>3301</v>
      </c>
      <c r="K1315" s="8" t="s">
        <v>3183</v>
      </c>
      <c r="L1315" s="10" t="s">
        <v>3586</v>
      </c>
      <c r="M1315" s="10" t="s">
        <v>3587</v>
      </c>
      <c r="N1315" s="10" t="s">
        <v>3430</v>
      </c>
      <c r="O1315" s="8" t="s">
        <v>3190</v>
      </c>
      <c r="P1315" s="8"/>
      <c r="Q1315" s="8">
        <v>6174</v>
      </c>
      <c r="R1315" s="8">
        <v>70814</v>
      </c>
      <c r="S1315" s="8"/>
      <c r="T1315" s="8"/>
      <c r="U1315" s="8"/>
      <c r="V1315" s="8"/>
      <c r="W1315" s="8"/>
      <c r="X1315" s="8"/>
      <c r="Y1315" s="8"/>
      <c r="Z1315" s="10"/>
      <c r="AA1315" s="8" t="s">
        <v>332</v>
      </c>
      <c r="AB1315" s="8">
        <v>1</v>
      </c>
    </row>
    <row r="1316" spans="1:28" ht="21.6" customHeight="1">
      <c r="A1316" s="8">
        <v>221</v>
      </c>
      <c r="B1316" s="8">
        <v>2025112183</v>
      </c>
      <c r="C1316" s="8">
        <v>1</v>
      </c>
      <c r="D1316" s="8" t="s">
        <v>3177</v>
      </c>
      <c r="E1316" s="8" t="s">
        <v>134</v>
      </c>
      <c r="F1316" s="8" t="s">
        <v>4592</v>
      </c>
      <c r="G1316" s="8" t="s">
        <v>4597</v>
      </c>
      <c r="H1316" s="8" t="s">
        <v>4598</v>
      </c>
      <c r="I1316" s="8" t="s">
        <v>3592</v>
      </c>
      <c r="J1316" s="8" t="s">
        <v>3301</v>
      </c>
      <c r="K1316" s="8" t="s">
        <v>3183</v>
      </c>
      <c r="L1316" s="10" t="s">
        <v>3586</v>
      </c>
      <c r="M1316" s="10" t="s">
        <v>3587</v>
      </c>
      <c r="N1316" s="10" t="s">
        <v>3430</v>
      </c>
      <c r="O1316" s="8" t="s">
        <v>3190</v>
      </c>
      <c r="P1316" s="8"/>
      <c r="Q1316" s="8">
        <v>8879</v>
      </c>
      <c r="R1316" s="8">
        <v>119232</v>
      </c>
      <c r="S1316" s="8"/>
      <c r="T1316" s="8"/>
      <c r="U1316" s="8"/>
      <c r="V1316" s="8"/>
      <c r="W1316" s="8"/>
      <c r="X1316" s="8"/>
      <c r="Y1316" s="8"/>
      <c r="Z1316" s="10"/>
      <c r="AA1316" s="8" t="s">
        <v>332</v>
      </c>
      <c r="AB1316" s="8">
        <v>1</v>
      </c>
    </row>
    <row r="1317" spans="1:28" ht="21.6" customHeight="1">
      <c r="A1317" s="8">
        <v>1</v>
      </c>
      <c r="B1317" s="8">
        <v>2025112417</v>
      </c>
      <c r="C1317" s="8">
        <v>1</v>
      </c>
      <c r="D1317" s="8" t="s">
        <v>3177</v>
      </c>
      <c r="E1317" s="8" t="s">
        <v>123</v>
      </c>
      <c r="F1317" s="8" t="s">
        <v>4599</v>
      </c>
      <c r="G1317" s="8" t="s">
        <v>3781</v>
      </c>
      <c r="H1317" s="8" t="s">
        <v>3782</v>
      </c>
      <c r="I1317" s="8" t="s">
        <v>3194</v>
      </c>
      <c r="J1317" s="8" t="s">
        <v>3195</v>
      </c>
      <c r="K1317" s="8" t="s">
        <v>3183</v>
      </c>
      <c r="L1317" s="10" t="s">
        <v>3196</v>
      </c>
      <c r="M1317" s="10" t="s">
        <v>3197</v>
      </c>
      <c r="N1317" s="10" t="s">
        <v>123</v>
      </c>
      <c r="O1317" s="8" t="s">
        <v>322</v>
      </c>
      <c r="P1317" s="8"/>
      <c r="Q1317" s="8">
        <v>102</v>
      </c>
      <c r="R1317" s="8">
        <v>3574</v>
      </c>
      <c r="S1317" s="8" t="s">
        <v>332</v>
      </c>
      <c r="T1317" s="8"/>
      <c r="U1317" s="8"/>
      <c r="V1317" s="8"/>
      <c r="W1317" s="8"/>
      <c r="X1317" s="8"/>
      <c r="Y1317" s="8"/>
      <c r="Z1317" s="10" t="s">
        <v>3186</v>
      </c>
      <c r="AA1317" s="8" t="s">
        <v>332</v>
      </c>
      <c r="AB1317" s="8">
        <v>1</v>
      </c>
    </row>
    <row r="1318" spans="1:28" ht="21.6" customHeight="1">
      <c r="A1318" s="8">
        <v>3</v>
      </c>
      <c r="B1318" s="8">
        <v>2025112533</v>
      </c>
      <c r="C1318" s="8">
        <v>1</v>
      </c>
      <c r="D1318" s="8" t="s">
        <v>3177</v>
      </c>
      <c r="E1318" s="8" t="s">
        <v>123</v>
      </c>
      <c r="F1318" s="8" t="s">
        <v>4599</v>
      </c>
      <c r="G1318" s="8" t="s">
        <v>4358</v>
      </c>
      <c r="H1318" s="8" t="s">
        <v>4367</v>
      </c>
      <c r="I1318" s="8" t="s">
        <v>3200</v>
      </c>
      <c r="J1318" s="8" t="s">
        <v>3195</v>
      </c>
      <c r="K1318" s="8" t="s">
        <v>3183</v>
      </c>
      <c r="L1318" s="10" t="s">
        <v>3201</v>
      </c>
      <c r="M1318" s="10" t="s">
        <v>3202</v>
      </c>
      <c r="N1318" s="10" t="s">
        <v>3885</v>
      </c>
      <c r="O1318" s="8" t="s">
        <v>322</v>
      </c>
      <c r="P1318" s="8"/>
      <c r="Q1318" s="8">
        <v>2227</v>
      </c>
      <c r="R1318" s="8">
        <v>17683</v>
      </c>
      <c r="S1318" s="8" t="s">
        <v>332</v>
      </c>
      <c r="T1318" s="8"/>
      <c r="U1318" s="8"/>
      <c r="V1318" s="8"/>
      <c r="W1318" s="8"/>
      <c r="X1318" s="8"/>
      <c r="Y1318" s="8"/>
      <c r="Z1318" s="10" t="s">
        <v>3186</v>
      </c>
      <c r="AA1318" s="8" t="s">
        <v>332</v>
      </c>
      <c r="AB1318" s="8">
        <v>1</v>
      </c>
    </row>
    <row r="1319" spans="1:28" ht="21.6" customHeight="1">
      <c r="A1319" s="8">
        <v>5</v>
      </c>
      <c r="B1319" s="8">
        <v>2025112424</v>
      </c>
      <c r="C1319" s="8">
        <v>1</v>
      </c>
      <c r="D1319" s="8" t="s">
        <v>3177</v>
      </c>
      <c r="E1319" s="8" t="s">
        <v>123</v>
      </c>
      <c r="F1319" s="8" t="s">
        <v>4599</v>
      </c>
      <c r="G1319" s="8" t="s">
        <v>3920</v>
      </c>
      <c r="H1319" s="8" t="s">
        <v>4600</v>
      </c>
      <c r="I1319" s="8" t="s">
        <v>3218</v>
      </c>
      <c r="J1319" s="8" t="s">
        <v>3195</v>
      </c>
      <c r="K1319" s="8" t="s">
        <v>3183</v>
      </c>
      <c r="L1319" s="10" t="s">
        <v>3219</v>
      </c>
      <c r="M1319" s="10" t="s">
        <v>3220</v>
      </c>
      <c r="N1319" s="10"/>
      <c r="O1319" s="8" t="s">
        <v>322</v>
      </c>
      <c r="P1319" s="8"/>
      <c r="Q1319" s="8">
        <v>187</v>
      </c>
      <c r="R1319" s="8">
        <v>7627</v>
      </c>
      <c r="S1319" s="8" t="s">
        <v>332</v>
      </c>
      <c r="T1319" s="8"/>
      <c r="U1319" s="8"/>
      <c r="V1319" s="8"/>
      <c r="W1319" s="8"/>
      <c r="X1319" s="8"/>
      <c r="Y1319" s="8"/>
      <c r="Z1319" s="10" t="s">
        <v>3186</v>
      </c>
      <c r="AA1319" s="8" t="s">
        <v>332</v>
      </c>
      <c r="AB1319" s="8">
        <v>1</v>
      </c>
    </row>
    <row r="1320" spans="1:28" ht="21.6" customHeight="1">
      <c r="A1320" s="8">
        <v>7</v>
      </c>
      <c r="B1320" s="8">
        <v>2025112460</v>
      </c>
      <c r="C1320" s="8">
        <v>1</v>
      </c>
      <c r="D1320" s="8" t="s">
        <v>3177</v>
      </c>
      <c r="E1320" s="8" t="s">
        <v>123</v>
      </c>
      <c r="F1320" s="8" t="s">
        <v>4599</v>
      </c>
      <c r="G1320" s="8" t="s">
        <v>3792</v>
      </c>
      <c r="H1320" s="8" t="s">
        <v>3793</v>
      </c>
      <c r="I1320" s="8" t="s">
        <v>3223</v>
      </c>
      <c r="J1320" s="8" t="s">
        <v>3224</v>
      </c>
      <c r="K1320" s="8" t="s">
        <v>3183</v>
      </c>
      <c r="L1320" s="10" t="s">
        <v>3225</v>
      </c>
      <c r="M1320" s="10" t="s">
        <v>3226</v>
      </c>
      <c r="N1320" s="10" t="s">
        <v>3227</v>
      </c>
      <c r="O1320" s="8" t="s">
        <v>322</v>
      </c>
      <c r="P1320" s="8"/>
      <c r="Q1320" s="8">
        <v>330</v>
      </c>
      <c r="R1320" s="8">
        <v>1581</v>
      </c>
      <c r="S1320" s="8" t="s">
        <v>332</v>
      </c>
      <c r="T1320" s="8"/>
      <c r="U1320" s="8"/>
      <c r="V1320" s="8"/>
      <c r="W1320" s="8"/>
      <c r="X1320" s="8"/>
      <c r="Y1320" s="8"/>
      <c r="Z1320" s="10" t="s">
        <v>3186</v>
      </c>
      <c r="AA1320" s="8" t="s">
        <v>332</v>
      </c>
      <c r="AB1320" s="8">
        <v>1</v>
      </c>
    </row>
    <row r="1321" spans="1:28" ht="21.6" customHeight="1">
      <c r="A1321" s="8">
        <v>9</v>
      </c>
      <c r="B1321" s="8">
        <v>2025112422</v>
      </c>
      <c r="C1321" s="8">
        <v>1</v>
      </c>
      <c r="D1321" s="8" t="s">
        <v>3177</v>
      </c>
      <c r="E1321" s="8" t="s">
        <v>123</v>
      </c>
      <c r="F1321" s="8" t="s">
        <v>4599</v>
      </c>
      <c r="G1321" s="8" t="s">
        <v>3922</v>
      </c>
      <c r="H1321" s="8" t="s">
        <v>4601</v>
      </c>
      <c r="I1321" s="8" t="s">
        <v>3229</v>
      </c>
      <c r="J1321" s="8" t="s">
        <v>3224</v>
      </c>
      <c r="K1321" s="8" t="s">
        <v>3183</v>
      </c>
      <c r="L1321" s="10" t="s">
        <v>3230</v>
      </c>
      <c r="M1321" s="10" t="s">
        <v>3231</v>
      </c>
      <c r="N1321" s="10" t="s">
        <v>3215</v>
      </c>
      <c r="O1321" s="8" t="s">
        <v>322</v>
      </c>
      <c r="P1321" s="8"/>
      <c r="Q1321" s="8">
        <v>4298</v>
      </c>
      <c r="R1321" s="8">
        <v>3673</v>
      </c>
      <c r="S1321" s="8" t="s">
        <v>332</v>
      </c>
      <c r="T1321" s="8"/>
      <c r="U1321" s="8"/>
      <c r="V1321" s="8"/>
      <c r="W1321" s="8"/>
      <c r="X1321" s="8"/>
      <c r="Y1321" s="8"/>
      <c r="Z1321" s="10" t="s">
        <v>3186</v>
      </c>
      <c r="AA1321" s="8" t="s">
        <v>332</v>
      </c>
      <c r="AB1321" s="8">
        <v>1</v>
      </c>
    </row>
    <row r="1322" spans="1:28" ht="21.6" customHeight="1">
      <c r="A1322" s="8">
        <v>11</v>
      </c>
      <c r="B1322" s="8">
        <v>2025112478</v>
      </c>
      <c r="C1322" s="8">
        <v>1</v>
      </c>
      <c r="D1322" s="8" t="s">
        <v>3177</v>
      </c>
      <c r="E1322" s="8" t="s">
        <v>123</v>
      </c>
      <c r="F1322" s="8" t="s">
        <v>4599</v>
      </c>
      <c r="G1322" s="8" t="s">
        <v>3498</v>
      </c>
      <c r="H1322" s="8" t="s">
        <v>4467</v>
      </c>
      <c r="I1322" s="8" t="s">
        <v>3234</v>
      </c>
      <c r="J1322" s="8" t="s">
        <v>3224</v>
      </c>
      <c r="K1322" s="8" t="s">
        <v>3183</v>
      </c>
      <c r="L1322" s="10" t="s">
        <v>3235</v>
      </c>
      <c r="M1322" s="10" t="s">
        <v>3236</v>
      </c>
      <c r="N1322" s="10" t="s">
        <v>3237</v>
      </c>
      <c r="O1322" s="8" t="s">
        <v>322</v>
      </c>
      <c r="P1322" s="8"/>
      <c r="Q1322" s="8">
        <v>1576</v>
      </c>
      <c r="R1322" s="8">
        <v>70998</v>
      </c>
      <c r="S1322" s="8" t="s">
        <v>332</v>
      </c>
      <c r="T1322" s="8"/>
      <c r="U1322" s="8"/>
      <c r="V1322" s="8"/>
      <c r="W1322" s="8"/>
      <c r="X1322" s="8"/>
      <c r="Y1322" s="8"/>
      <c r="Z1322" s="10" t="s">
        <v>3186</v>
      </c>
      <c r="AA1322" s="8" t="s">
        <v>332</v>
      </c>
      <c r="AB1322" s="8">
        <v>1</v>
      </c>
    </row>
    <row r="1323" spans="1:28" ht="21.6" customHeight="1">
      <c r="A1323" s="8">
        <v>13</v>
      </c>
      <c r="B1323" s="8">
        <v>2025112531</v>
      </c>
      <c r="C1323" s="8">
        <v>1</v>
      </c>
      <c r="D1323" s="8" t="s">
        <v>3177</v>
      </c>
      <c r="E1323" s="8" t="s">
        <v>123</v>
      </c>
      <c r="F1323" s="8" t="s">
        <v>4599</v>
      </c>
      <c r="G1323" s="8" t="s">
        <v>3660</v>
      </c>
      <c r="H1323" s="8" t="s">
        <v>3661</v>
      </c>
      <c r="I1323" s="8" t="s">
        <v>3240</v>
      </c>
      <c r="J1323" s="8" t="s">
        <v>3224</v>
      </c>
      <c r="K1323" s="8" t="s">
        <v>3183</v>
      </c>
      <c r="L1323" s="10" t="s">
        <v>3241</v>
      </c>
      <c r="M1323" s="10" t="s">
        <v>3242</v>
      </c>
      <c r="N1323" s="10"/>
      <c r="O1323" s="8" t="s">
        <v>322</v>
      </c>
      <c r="P1323" s="8"/>
      <c r="Q1323" s="8">
        <v>2239</v>
      </c>
      <c r="R1323" s="8">
        <v>2172</v>
      </c>
      <c r="S1323" s="8" t="s">
        <v>332</v>
      </c>
      <c r="T1323" s="8"/>
      <c r="U1323" s="8"/>
      <c r="V1323" s="8"/>
      <c r="W1323" s="8"/>
      <c r="X1323" s="8"/>
      <c r="Y1323" s="8"/>
      <c r="Z1323" s="10" t="s">
        <v>3186</v>
      </c>
      <c r="AA1323" s="8" t="s">
        <v>332</v>
      </c>
      <c r="AB1323" s="8">
        <v>1</v>
      </c>
    </row>
    <row r="1324" spans="1:28" ht="21.6" customHeight="1">
      <c r="A1324" s="8">
        <v>15</v>
      </c>
      <c r="B1324" s="8">
        <v>2025112409</v>
      </c>
      <c r="C1324" s="8">
        <v>1</v>
      </c>
      <c r="D1324" s="8" t="s">
        <v>3177</v>
      </c>
      <c r="E1324" s="8" t="s">
        <v>123</v>
      </c>
      <c r="F1324" s="8" t="s">
        <v>4599</v>
      </c>
      <c r="G1324" s="8" t="s">
        <v>3198</v>
      </c>
      <c r="H1324" s="8" t="s">
        <v>3716</v>
      </c>
      <c r="I1324" s="8" t="s">
        <v>4370</v>
      </c>
      <c r="J1324" s="8" t="s">
        <v>3224</v>
      </c>
      <c r="K1324" s="8" t="s">
        <v>3183</v>
      </c>
      <c r="L1324" s="10" t="s">
        <v>4371</v>
      </c>
      <c r="M1324" s="10" t="s">
        <v>3185</v>
      </c>
      <c r="N1324" s="10"/>
      <c r="O1324" s="8" t="s">
        <v>322</v>
      </c>
      <c r="P1324" s="8"/>
      <c r="Q1324" s="8">
        <v>466</v>
      </c>
      <c r="R1324" s="8">
        <v>5046</v>
      </c>
      <c r="S1324" s="8" t="s">
        <v>332</v>
      </c>
      <c r="T1324" s="8"/>
      <c r="U1324" s="8"/>
      <c r="V1324" s="8"/>
      <c r="W1324" s="8"/>
      <c r="X1324" s="8"/>
      <c r="Y1324" s="8"/>
      <c r="Z1324" s="10" t="s">
        <v>3186</v>
      </c>
      <c r="AA1324" s="8" t="s">
        <v>332</v>
      </c>
      <c r="AB1324" s="8">
        <v>1</v>
      </c>
    </row>
    <row r="1325" spans="1:28" ht="21.6" customHeight="1">
      <c r="A1325" s="8">
        <v>33</v>
      </c>
      <c r="B1325" s="8">
        <v>2025112447</v>
      </c>
      <c r="C1325" s="8">
        <v>1</v>
      </c>
      <c r="D1325" s="8" t="s">
        <v>3177</v>
      </c>
      <c r="E1325" s="8" t="s">
        <v>123</v>
      </c>
      <c r="F1325" s="8" t="s">
        <v>4599</v>
      </c>
      <c r="G1325" s="8" t="s">
        <v>4319</v>
      </c>
      <c r="H1325" s="8" t="s">
        <v>3624</v>
      </c>
      <c r="I1325" s="8" t="s">
        <v>3307</v>
      </c>
      <c r="J1325" s="8" t="s">
        <v>3301</v>
      </c>
      <c r="K1325" s="8" t="s">
        <v>3183</v>
      </c>
      <c r="L1325" s="10" t="s">
        <v>4521</v>
      </c>
      <c r="M1325" s="10" t="s">
        <v>3309</v>
      </c>
      <c r="N1325" s="10" t="s">
        <v>3310</v>
      </c>
      <c r="O1325" s="8" t="s">
        <v>322</v>
      </c>
      <c r="P1325" s="8"/>
      <c r="Q1325" s="8">
        <v>5600</v>
      </c>
      <c r="R1325" s="8">
        <v>45925</v>
      </c>
      <c r="S1325" s="8" t="s">
        <v>332</v>
      </c>
      <c r="T1325" s="8"/>
      <c r="U1325" s="8"/>
      <c r="V1325" s="8"/>
      <c r="W1325" s="8"/>
      <c r="X1325" s="8"/>
      <c r="Y1325" s="8"/>
      <c r="Z1325" s="10" t="s">
        <v>4220</v>
      </c>
      <c r="AA1325" s="8" t="s">
        <v>332</v>
      </c>
      <c r="AB1325" s="8">
        <v>1</v>
      </c>
    </row>
    <row r="1326" spans="1:28" ht="21.6" customHeight="1">
      <c r="A1326" s="8">
        <v>35</v>
      </c>
      <c r="B1326" s="8">
        <v>2025112468</v>
      </c>
      <c r="C1326" s="8">
        <v>1</v>
      </c>
      <c r="D1326" s="8" t="s">
        <v>3177</v>
      </c>
      <c r="E1326" s="8" t="s">
        <v>123</v>
      </c>
      <c r="F1326" s="8" t="s">
        <v>4599</v>
      </c>
      <c r="G1326" s="8" t="s">
        <v>3777</v>
      </c>
      <c r="H1326" s="8" t="s">
        <v>3617</v>
      </c>
      <c r="I1326" s="8" t="s">
        <v>4227</v>
      </c>
      <c r="J1326" s="8" t="s">
        <v>3301</v>
      </c>
      <c r="K1326" s="8" t="s">
        <v>3183</v>
      </c>
      <c r="L1326" s="10" t="s">
        <v>3289</v>
      </c>
      <c r="M1326" s="10" t="s">
        <v>3290</v>
      </c>
      <c r="N1326" s="10"/>
      <c r="O1326" s="8" t="s">
        <v>322</v>
      </c>
      <c r="P1326" s="8"/>
      <c r="Q1326" s="8">
        <v>725</v>
      </c>
      <c r="R1326" s="8">
        <v>11689</v>
      </c>
      <c r="S1326" s="8" t="s">
        <v>332</v>
      </c>
      <c r="T1326" s="8"/>
      <c r="U1326" s="8"/>
      <c r="V1326" s="8"/>
      <c r="W1326" s="8"/>
      <c r="X1326" s="8"/>
      <c r="Y1326" s="8"/>
      <c r="Z1326" s="10" t="s">
        <v>3186</v>
      </c>
      <c r="AA1326" s="8" t="s">
        <v>332</v>
      </c>
      <c r="AB1326" s="8">
        <v>1</v>
      </c>
    </row>
    <row r="1327" spans="1:28" ht="21.6" customHeight="1">
      <c r="A1327" s="8">
        <v>37</v>
      </c>
      <c r="B1327" s="8">
        <v>2025112495</v>
      </c>
      <c r="C1327" s="8">
        <v>1</v>
      </c>
      <c r="D1327" s="8" t="s">
        <v>3177</v>
      </c>
      <c r="E1327" s="8" t="s">
        <v>123</v>
      </c>
      <c r="F1327" s="8" t="s">
        <v>4599</v>
      </c>
      <c r="G1327" s="8" t="s">
        <v>3560</v>
      </c>
      <c r="H1327" s="8" t="s">
        <v>3799</v>
      </c>
      <c r="I1327" s="8" t="s">
        <v>4230</v>
      </c>
      <c r="J1327" s="8" t="s">
        <v>3328</v>
      </c>
      <c r="K1327" s="8" t="s">
        <v>3183</v>
      </c>
      <c r="L1327" s="10" t="s">
        <v>3314</v>
      </c>
      <c r="M1327" s="10" t="s">
        <v>3315</v>
      </c>
      <c r="N1327" s="10"/>
      <c r="O1327" s="8" t="s">
        <v>322</v>
      </c>
      <c r="P1327" s="8"/>
      <c r="Q1327" s="8">
        <v>4141</v>
      </c>
      <c r="R1327" s="8">
        <v>6421</v>
      </c>
      <c r="S1327" s="8" t="s">
        <v>332</v>
      </c>
      <c r="T1327" s="8"/>
      <c r="U1327" s="8"/>
      <c r="V1327" s="8"/>
      <c r="W1327" s="8"/>
      <c r="X1327" s="8"/>
      <c r="Y1327" s="8"/>
      <c r="Z1327" s="10" t="s">
        <v>3186</v>
      </c>
      <c r="AA1327" s="8" t="s">
        <v>332</v>
      </c>
      <c r="AB1327" s="8">
        <v>1</v>
      </c>
    </row>
    <row r="1328" spans="1:28" ht="21.6" customHeight="1">
      <c r="A1328" s="8">
        <v>108</v>
      </c>
      <c r="B1328" s="8">
        <v>2025112392</v>
      </c>
      <c r="C1328" s="8">
        <v>1</v>
      </c>
      <c r="D1328" s="8" t="s">
        <v>3177</v>
      </c>
      <c r="E1328" s="8" t="s">
        <v>118</v>
      </c>
      <c r="F1328" s="8" t="s">
        <v>4599</v>
      </c>
      <c r="G1328" s="8" t="s">
        <v>3233</v>
      </c>
      <c r="H1328" s="8" t="s">
        <v>3381</v>
      </c>
      <c r="I1328" s="8" t="s">
        <v>3358</v>
      </c>
      <c r="J1328" s="8" t="s">
        <v>3195</v>
      </c>
      <c r="K1328" s="8" t="s">
        <v>3183</v>
      </c>
      <c r="L1328" s="10" t="s">
        <v>3359</v>
      </c>
      <c r="M1328" s="10" t="s">
        <v>3360</v>
      </c>
      <c r="N1328" s="10" t="s">
        <v>3361</v>
      </c>
      <c r="O1328" s="8" t="s">
        <v>322</v>
      </c>
      <c r="P1328" s="8"/>
      <c r="Q1328" s="8">
        <v>22958</v>
      </c>
      <c r="R1328" s="8">
        <v>88985</v>
      </c>
      <c r="S1328" s="8" t="s">
        <v>332</v>
      </c>
      <c r="T1328" s="8"/>
      <c r="U1328" s="8"/>
      <c r="V1328" s="8"/>
      <c r="W1328" s="8"/>
      <c r="X1328" s="8"/>
      <c r="Y1328" s="8"/>
      <c r="Z1328" s="10" t="s">
        <v>3696</v>
      </c>
      <c r="AA1328" s="8" t="s">
        <v>332</v>
      </c>
      <c r="AB1328" s="8">
        <v>1</v>
      </c>
    </row>
    <row r="1329" spans="1:28" ht="21.6" customHeight="1">
      <c r="A1329" s="8">
        <v>135</v>
      </c>
      <c r="B1329" s="8">
        <v>2025112390</v>
      </c>
      <c r="C1329" s="8">
        <v>1</v>
      </c>
      <c r="D1329" s="8" t="s">
        <v>3177</v>
      </c>
      <c r="E1329" s="8" t="s">
        <v>118</v>
      </c>
      <c r="F1329" s="8" t="s">
        <v>4599</v>
      </c>
      <c r="G1329" s="8" t="s">
        <v>3363</v>
      </c>
      <c r="H1329" s="8" t="s">
        <v>3233</v>
      </c>
      <c r="I1329" s="8" t="s">
        <v>4602</v>
      </c>
      <c r="J1329" s="8" t="s">
        <v>3224</v>
      </c>
      <c r="K1329" s="8" t="s">
        <v>3183</v>
      </c>
      <c r="L1329" s="10" t="s">
        <v>3540</v>
      </c>
      <c r="M1329" s="10" t="s">
        <v>3541</v>
      </c>
      <c r="N1329" s="10"/>
      <c r="O1329" s="8" t="s">
        <v>322</v>
      </c>
      <c r="P1329" s="8"/>
      <c r="Q1329" s="8">
        <v>48</v>
      </c>
      <c r="R1329" s="8">
        <v>1904</v>
      </c>
      <c r="S1329" s="8" t="s">
        <v>332</v>
      </c>
      <c r="T1329" s="8"/>
      <c r="U1329" s="8"/>
      <c r="V1329" s="8"/>
      <c r="W1329" s="8"/>
      <c r="X1329" s="8"/>
      <c r="Y1329" s="8"/>
      <c r="Z1329" s="10" t="s">
        <v>3696</v>
      </c>
      <c r="AA1329" s="8" t="s">
        <v>332</v>
      </c>
      <c r="AB1329" s="8">
        <v>1</v>
      </c>
    </row>
    <row r="1330" spans="1:28" ht="21.6" customHeight="1">
      <c r="A1330" s="8">
        <v>141</v>
      </c>
      <c r="B1330" s="8">
        <v>2025111715</v>
      </c>
      <c r="C1330" s="8">
        <v>1</v>
      </c>
      <c r="D1330" s="8" t="s">
        <v>3177</v>
      </c>
      <c r="E1330" s="8" t="s">
        <v>118</v>
      </c>
      <c r="F1330" s="8" t="s">
        <v>4584</v>
      </c>
      <c r="G1330" s="8" t="s">
        <v>3711</v>
      </c>
      <c r="H1330" s="8" t="s">
        <v>3468</v>
      </c>
      <c r="I1330" s="8" t="s">
        <v>4603</v>
      </c>
      <c r="J1330" s="8" t="s">
        <v>3253</v>
      </c>
      <c r="K1330" s="8" t="s">
        <v>3183</v>
      </c>
      <c r="L1330" s="10" t="s">
        <v>3254</v>
      </c>
      <c r="M1330" s="10" t="s">
        <v>4604</v>
      </c>
      <c r="N1330" s="10" t="s">
        <v>4605</v>
      </c>
      <c r="O1330" s="8" t="s">
        <v>3190</v>
      </c>
      <c r="P1330" s="8"/>
      <c r="Q1330" s="8"/>
      <c r="R1330" s="8">
        <v>2433</v>
      </c>
      <c r="S1330" s="8"/>
      <c r="T1330" s="8"/>
      <c r="U1330" s="8"/>
      <c r="V1330" s="8"/>
      <c r="W1330" s="8"/>
      <c r="X1330" s="8"/>
      <c r="Y1330" s="8"/>
      <c r="Z1330" s="10" t="s">
        <v>3696</v>
      </c>
      <c r="AA1330" s="8" t="s">
        <v>332</v>
      </c>
      <c r="AB1330" s="8">
        <v>1</v>
      </c>
    </row>
    <row r="1331" spans="1:28" ht="21.6" customHeight="1">
      <c r="A1331" s="8">
        <v>147</v>
      </c>
      <c r="B1331" s="8">
        <v>2025111652</v>
      </c>
      <c r="C1331" s="8">
        <v>1</v>
      </c>
      <c r="D1331" s="8" t="s">
        <v>3177</v>
      </c>
      <c r="E1331" s="8" t="s">
        <v>118</v>
      </c>
      <c r="F1331" s="8" t="s">
        <v>4582</v>
      </c>
      <c r="G1331" s="8" t="s">
        <v>3426</v>
      </c>
      <c r="H1331" s="8" t="s">
        <v>3431</v>
      </c>
      <c r="I1331" s="8" t="s">
        <v>3433</v>
      </c>
      <c r="J1331" s="8" t="s">
        <v>3277</v>
      </c>
      <c r="K1331" s="8" t="s">
        <v>3183</v>
      </c>
      <c r="L1331" s="10" t="s">
        <v>3434</v>
      </c>
      <c r="M1331" s="10" t="s">
        <v>3435</v>
      </c>
      <c r="N1331" s="10" t="s">
        <v>3436</v>
      </c>
      <c r="O1331" s="8" t="s">
        <v>3190</v>
      </c>
      <c r="P1331" s="8"/>
      <c r="Q1331" s="8"/>
      <c r="R1331" s="8">
        <v>159470</v>
      </c>
      <c r="S1331" s="8"/>
      <c r="T1331" s="8"/>
      <c r="U1331" s="8"/>
      <c r="V1331" s="8"/>
      <c r="W1331" s="8"/>
      <c r="X1331" s="8"/>
      <c r="Y1331" s="8"/>
      <c r="Z1331" s="10" t="s">
        <v>3696</v>
      </c>
      <c r="AA1331" s="8" t="s">
        <v>332</v>
      </c>
      <c r="AB1331" s="8">
        <v>1</v>
      </c>
    </row>
    <row r="1332" spans="1:28" ht="21.6" customHeight="1">
      <c r="A1332" s="8">
        <v>153</v>
      </c>
      <c r="B1332" s="8">
        <v>2025112528</v>
      </c>
      <c r="C1332" s="8">
        <v>1</v>
      </c>
      <c r="D1332" s="8" t="s">
        <v>3177</v>
      </c>
      <c r="E1332" s="8" t="s">
        <v>118</v>
      </c>
      <c r="F1332" s="8" t="s">
        <v>4599</v>
      </c>
      <c r="G1332" s="8" t="s">
        <v>3387</v>
      </c>
      <c r="H1332" s="8" t="s">
        <v>3431</v>
      </c>
      <c r="I1332" s="8" t="s">
        <v>3452</v>
      </c>
      <c r="J1332" s="8" t="s">
        <v>3277</v>
      </c>
      <c r="K1332" s="8" t="s">
        <v>3183</v>
      </c>
      <c r="L1332" s="10" t="s">
        <v>3254</v>
      </c>
      <c r="M1332" s="10" t="s">
        <v>3453</v>
      </c>
      <c r="N1332" s="10" t="s">
        <v>4606</v>
      </c>
      <c r="O1332" s="8" t="s">
        <v>363</v>
      </c>
      <c r="P1332" s="8"/>
      <c r="Q1332" s="8"/>
      <c r="R1332" s="8">
        <v>16463</v>
      </c>
      <c r="S1332" s="8"/>
      <c r="T1332" s="8"/>
      <c r="U1332" s="8"/>
      <c r="V1332" s="8"/>
      <c r="W1332" s="8"/>
      <c r="X1332" s="8"/>
      <c r="Y1332" s="8"/>
      <c r="Z1332" s="10" t="s">
        <v>3466</v>
      </c>
      <c r="AA1332" s="8" t="s">
        <v>332</v>
      </c>
      <c r="AB1332" s="8">
        <v>1</v>
      </c>
    </row>
    <row r="1333" spans="1:28" ht="21.6" customHeight="1">
      <c r="A1333" s="8">
        <v>158</v>
      </c>
      <c r="B1333" s="8">
        <v>2025111546</v>
      </c>
      <c r="C1333" s="8">
        <v>1</v>
      </c>
      <c r="D1333" s="8" t="s">
        <v>3177</v>
      </c>
      <c r="E1333" s="8" t="s">
        <v>118</v>
      </c>
      <c r="F1333" s="8" t="s">
        <v>4582</v>
      </c>
      <c r="G1333" s="8" t="s">
        <v>3363</v>
      </c>
      <c r="H1333" s="8" t="s">
        <v>3233</v>
      </c>
      <c r="I1333" s="8" t="s">
        <v>4472</v>
      </c>
      <c r="J1333" s="8" t="s">
        <v>3277</v>
      </c>
      <c r="K1333" s="8" t="s">
        <v>3183</v>
      </c>
      <c r="L1333" s="10" t="s">
        <v>3398</v>
      </c>
      <c r="M1333" s="10" t="s">
        <v>3519</v>
      </c>
      <c r="N1333" s="10" t="s">
        <v>3520</v>
      </c>
      <c r="O1333" s="8" t="s">
        <v>3190</v>
      </c>
      <c r="P1333" s="8"/>
      <c r="Q1333" s="8"/>
      <c r="R1333" s="8">
        <v>9341</v>
      </c>
      <c r="S1333" s="8"/>
      <c r="T1333" s="8"/>
      <c r="U1333" s="8"/>
      <c r="V1333" s="8"/>
      <c r="W1333" s="8"/>
      <c r="X1333" s="8"/>
      <c r="Y1333" s="8"/>
      <c r="Z1333" s="10" t="s">
        <v>3696</v>
      </c>
      <c r="AA1333" s="8" t="s">
        <v>332</v>
      </c>
      <c r="AB1333" s="8">
        <v>1</v>
      </c>
    </row>
    <row r="1334" spans="1:28" ht="21.6" customHeight="1">
      <c r="A1334" s="8">
        <v>208</v>
      </c>
      <c r="B1334" s="8">
        <v>2025112388</v>
      </c>
      <c r="C1334" s="8">
        <v>1</v>
      </c>
      <c r="D1334" s="8" t="s">
        <v>3177</v>
      </c>
      <c r="E1334" s="8" t="s">
        <v>118</v>
      </c>
      <c r="F1334" s="8" t="s">
        <v>4599</v>
      </c>
      <c r="G1334" s="8" t="s">
        <v>3280</v>
      </c>
      <c r="H1334" s="8" t="s">
        <v>3363</v>
      </c>
      <c r="I1334" s="8" t="s">
        <v>3557</v>
      </c>
      <c r="J1334" s="8" t="s">
        <v>3328</v>
      </c>
      <c r="K1334" s="8" t="s">
        <v>3183</v>
      </c>
      <c r="L1334" s="10" t="s">
        <v>3558</v>
      </c>
      <c r="M1334" s="10" t="s">
        <v>3559</v>
      </c>
      <c r="N1334" s="10" t="s">
        <v>3508</v>
      </c>
      <c r="O1334" s="8" t="s">
        <v>322</v>
      </c>
      <c r="P1334" s="8"/>
      <c r="Q1334" s="8">
        <v>4464</v>
      </c>
      <c r="R1334" s="8">
        <v>1549</v>
      </c>
      <c r="S1334" s="8" t="s">
        <v>332</v>
      </c>
      <c r="T1334" s="8"/>
      <c r="U1334" s="8"/>
      <c r="V1334" s="8"/>
      <c r="W1334" s="8"/>
      <c r="X1334" s="8"/>
      <c r="Y1334" s="8"/>
      <c r="Z1334" s="10" t="s">
        <v>3696</v>
      </c>
      <c r="AA1334" s="8" t="s">
        <v>332</v>
      </c>
      <c r="AB1334" s="8">
        <v>1</v>
      </c>
    </row>
    <row r="1335" spans="1:28" ht="21.6" customHeight="1">
      <c r="A1335" s="8">
        <v>215</v>
      </c>
      <c r="B1335" s="8">
        <v>2025112419</v>
      </c>
      <c r="C1335" s="8">
        <v>1</v>
      </c>
      <c r="D1335" s="8" t="s">
        <v>3177</v>
      </c>
      <c r="E1335" s="8" t="s">
        <v>118</v>
      </c>
      <c r="F1335" s="8" t="s">
        <v>4599</v>
      </c>
      <c r="G1335" s="8" t="s">
        <v>3401</v>
      </c>
      <c r="H1335" s="8" t="s">
        <v>3342</v>
      </c>
      <c r="I1335" s="8" t="s">
        <v>4607</v>
      </c>
      <c r="J1335" s="8" t="s">
        <v>1717</v>
      </c>
      <c r="K1335" s="8" t="s">
        <v>3183</v>
      </c>
      <c r="L1335" s="10" t="s">
        <v>3254</v>
      </c>
      <c r="M1335" s="10" t="s">
        <v>3547</v>
      </c>
      <c r="N1335" s="10" t="s">
        <v>3753</v>
      </c>
      <c r="O1335" s="8" t="s">
        <v>322</v>
      </c>
      <c r="P1335" s="8"/>
      <c r="Q1335" s="8"/>
      <c r="R1335" s="8">
        <v>3922</v>
      </c>
      <c r="S1335" s="8"/>
      <c r="T1335" s="8"/>
      <c r="U1335" s="8"/>
      <c r="V1335" s="8"/>
      <c r="W1335" s="8"/>
      <c r="X1335" s="8"/>
      <c r="Y1335" s="8" t="s">
        <v>332</v>
      </c>
      <c r="Z1335" s="10" t="s">
        <v>4608</v>
      </c>
      <c r="AA1335" s="8" t="s">
        <v>332</v>
      </c>
      <c r="AB1335" s="8">
        <v>1</v>
      </c>
    </row>
    <row r="1336" spans="1:28" ht="21.6" customHeight="1">
      <c r="A1336" s="8">
        <v>31</v>
      </c>
      <c r="B1336" s="8">
        <v>2025110358</v>
      </c>
      <c r="C1336" s="8">
        <v>1</v>
      </c>
      <c r="D1336" s="8" t="s">
        <v>3177</v>
      </c>
      <c r="E1336" s="8" t="s">
        <v>123</v>
      </c>
      <c r="F1336" s="8" t="s">
        <v>4564</v>
      </c>
      <c r="G1336" s="8" t="s">
        <v>3801</v>
      </c>
      <c r="H1336" s="8" t="s">
        <v>3802</v>
      </c>
      <c r="I1336" s="8" t="s">
        <v>3293</v>
      </c>
      <c r="J1336" s="8" t="s">
        <v>3288</v>
      </c>
      <c r="K1336" s="8" t="s">
        <v>3183</v>
      </c>
      <c r="L1336" s="10" t="s">
        <v>3294</v>
      </c>
      <c r="M1336" s="10" t="s">
        <v>3295</v>
      </c>
      <c r="N1336" s="10" t="s">
        <v>3272</v>
      </c>
      <c r="O1336" s="8" t="s">
        <v>3190</v>
      </c>
      <c r="P1336" s="8"/>
      <c r="Q1336" s="8">
        <v>2453</v>
      </c>
      <c r="R1336" s="8">
        <v>311677</v>
      </c>
      <c r="S1336" s="8"/>
      <c r="T1336" s="8"/>
      <c r="U1336" s="8"/>
      <c r="V1336" s="8"/>
      <c r="W1336" s="8"/>
      <c r="X1336" s="8"/>
      <c r="Y1336" s="8"/>
      <c r="Z1336" s="10" t="s">
        <v>3186</v>
      </c>
      <c r="AA1336" s="8" t="s">
        <v>332</v>
      </c>
      <c r="AB1336" s="8">
        <v>1</v>
      </c>
    </row>
    <row r="1337" spans="1:28" ht="21.6" customHeight="1">
      <c r="A1337" s="8">
        <v>119</v>
      </c>
      <c r="B1337" s="8">
        <v>2025111645</v>
      </c>
      <c r="C1337" s="8">
        <v>1</v>
      </c>
      <c r="D1337" s="8" t="s">
        <v>3177</v>
      </c>
      <c r="E1337" s="8" t="s">
        <v>118</v>
      </c>
      <c r="F1337" s="8" t="s">
        <v>4582</v>
      </c>
      <c r="G1337" s="8" t="s">
        <v>3368</v>
      </c>
      <c r="H1337" s="8" t="s">
        <v>3250</v>
      </c>
      <c r="I1337" s="8" t="s">
        <v>3683</v>
      </c>
      <c r="J1337" s="8" t="s">
        <v>3224</v>
      </c>
      <c r="K1337" s="8" t="s">
        <v>3183</v>
      </c>
      <c r="L1337" s="10" t="s">
        <v>3383</v>
      </c>
      <c r="M1337" s="10" t="s">
        <v>3684</v>
      </c>
      <c r="N1337" s="10" t="s">
        <v>3685</v>
      </c>
      <c r="O1337" s="8" t="s">
        <v>3190</v>
      </c>
      <c r="P1337" s="8">
        <v>1844</v>
      </c>
      <c r="Q1337" s="8">
        <v>2679</v>
      </c>
      <c r="R1337" s="8">
        <v>8389</v>
      </c>
      <c r="S1337" s="8"/>
      <c r="T1337" s="8"/>
      <c r="U1337" s="8"/>
      <c r="V1337" s="8"/>
      <c r="W1337" s="8"/>
      <c r="X1337" s="8"/>
      <c r="Y1337" s="8"/>
      <c r="Z1337" s="10" t="s">
        <v>3696</v>
      </c>
      <c r="AA1337" s="8" t="s">
        <v>332</v>
      </c>
      <c r="AB1337" s="8">
        <v>1</v>
      </c>
    </row>
    <row r="1338" spans="1:28" ht="21.6" customHeight="1">
      <c r="A1338" s="8">
        <v>137</v>
      </c>
      <c r="B1338" s="8">
        <v>2025112391</v>
      </c>
      <c r="C1338" s="8">
        <v>1</v>
      </c>
      <c r="D1338" s="8" t="s">
        <v>3177</v>
      </c>
      <c r="E1338" s="8" t="s">
        <v>118</v>
      </c>
      <c r="F1338" s="8" t="s">
        <v>4599</v>
      </c>
      <c r="G1338" s="8" t="s">
        <v>3363</v>
      </c>
      <c r="H1338" s="8" t="s">
        <v>3233</v>
      </c>
      <c r="I1338" s="8" t="s">
        <v>4602</v>
      </c>
      <c r="J1338" s="8" t="s">
        <v>3224</v>
      </c>
      <c r="K1338" s="8" t="s">
        <v>3183</v>
      </c>
      <c r="L1338" s="10" t="s">
        <v>3540</v>
      </c>
      <c r="M1338" s="10" t="s">
        <v>3541</v>
      </c>
      <c r="N1338" s="10"/>
      <c r="O1338" s="8" t="s">
        <v>3190</v>
      </c>
      <c r="P1338" s="8"/>
      <c r="Q1338" s="8">
        <v>48</v>
      </c>
      <c r="R1338" s="8">
        <v>1904</v>
      </c>
      <c r="S1338" s="8"/>
      <c r="T1338" s="8"/>
      <c r="U1338" s="8"/>
      <c r="V1338" s="8"/>
      <c r="W1338" s="8"/>
      <c r="X1338" s="8"/>
      <c r="Y1338" s="8"/>
      <c r="Z1338" s="10" t="s">
        <v>3696</v>
      </c>
      <c r="AA1338" s="8" t="s">
        <v>332</v>
      </c>
      <c r="AB1338" s="8">
        <v>1</v>
      </c>
    </row>
    <row r="1339" spans="1:28" ht="21.6" customHeight="1">
      <c r="A1339" s="8">
        <v>151</v>
      </c>
      <c r="B1339" s="8">
        <v>2025112561</v>
      </c>
      <c r="C1339" s="8">
        <v>1</v>
      </c>
      <c r="D1339" s="8" t="s">
        <v>3177</v>
      </c>
      <c r="E1339" s="8" t="s">
        <v>118</v>
      </c>
      <c r="F1339" s="8" t="s">
        <v>4609</v>
      </c>
      <c r="G1339" s="8" t="s">
        <v>3233</v>
      </c>
      <c r="H1339" s="8" t="s">
        <v>3401</v>
      </c>
      <c r="I1339" s="8" t="s">
        <v>3433</v>
      </c>
      <c r="J1339" s="8" t="s">
        <v>3277</v>
      </c>
      <c r="K1339" s="8" t="s">
        <v>3183</v>
      </c>
      <c r="L1339" s="10" t="s">
        <v>3434</v>
      </c>
      <c r="M1339" s="10" t="s">
        <v>3435</v>
      </c>
      <c r="N1339" s="10" t="s">
        <v>3436</v>
      </c>
      <c r="O1339" s="8" t="s">
        <v>363</v>
      </c>
      <c r="P1339" s="8"/>
      <c r="Q1339" s="8"/>
      <c r="R1339" s="8">
        <v>159470</v>
      </c>
      <c r="S1339" s="8"/>
      <c r="T1339" s="8"/>
      <c r="U1339" s="8"/>
      <c r="V1339" s="8"/>
      <c r="W1339" s="8"/>
      <c r="X1339" s="8"/>
      <c r="Y1339" s="8"/>
      <c r="Z1339" s="10" t="s">
        <v>4610</v>
      </c>
      <c r="AA1339" s="8" t="s">
        <v>332</v>
      </c>
      <c r="AB1339" s="8">
        <v>1</v>
      </c>
    </row>
    <row r="1340" spans="1:28" ht="21.6" customHeight="1">
      <c r="A1340" s="8">
        <v>154</v>
      </c>
      <c r="B1340" s="8">
        <v>2025112551</v>
      </c>
      <c r="C1340" s="8">
        <v>1</v>
      </c>
      <c r="D1340" s="8" t="s">
        <v>3177</v>
      </c>
      <c r="E1340" s="8" t="s">
        <v>118</v>
      </c>
      <c r="F1340" s="8" t="s">
        <v>4609</v>
      </c>
      <c r="G1340" s="8" t="s">
        <v>3280</v>
      </c>
      <c r="H1340" s="8" t="s">
        <v>3233</v>
      </c>
      <c r="I1340" s="8" t="s">
        <v>3440</v>
      </c>
      <c r="J1340" s="8" t="s">
        <v>3277</v>
      </c>
      <c r="K1340" s="8" t="s">
        <v>3183</v>
      </c>
      <c r="L1340" s="10" t="s">
        <v>3434</v>
      </c>
      <c r="M1340" s="10" t="s">
        <v>3441</v>
      </c>
      <c r="N1340" s="10" t="s">
        <v>3442</v>
      </c>
      <c r="O1340" s="8" t="s">
        <v>363</v>
      </c>
      <c r="P1340" s="8"/>
      <c r="Q1340" s="8"/>
      <c r="R1340" s="8">
        <v>146710</v>
      </c>
      <c r="S1340" s="8"/>
      <c r="T1340" s="8"/>
      <c r="U1340" s="8"/>
      <c r="V1340" s="8"/>
      <c r="W1340" s="8"/>
      <c r="X1340" s="8"/>
      <c r="Y1340" s="8"/>
      <c r="Z1340" s="10" t="s">
        <v>4611</v>
      </c>
      <c r="AA1340" s="8" t="s">
        <v>332</v>
      </c>
      <c r="AB1340" s="8">
        <v>1</v>
      </c>
    </row>
    <row r="1341" spans="1:28" ht="21.6" customHeight="1">
      <c r="A1341" s="8">
        <v>212</v>
      </c>
      <c r="B1341" s="8">
        <v>2025112389</v>
      </c>
      <c r="C1341" s="8">
        <v>1</v>
      </c>
      <c r="D1341" s="8" t="s">
        <v>3177</v>
      </c>
      <c r="E1341" s="8" t="s">
        <v>118</v>
      </c>
      <c r="F1341" s="8" t="s">
        <v>4599</v>
      </c>
      <c r="G1341" s="8" t="s">
        <v>3280</v>
      </c>
      <c r="H1341" s="8" t="s">
        <v>3363</v>
      </c>
      <c r="I1341" s="8" t="s">
        <v>3557</v>
      </c>
      <c r="J1341" s="8" t="s">
        <v>3328</v>
      </c>
      <c r="K1341" s="8" t="s">
        <v>3183</v>
      </c>
      <c r="L1341" s="10" t="s">
        <v>3558</v>
      </c>
      <c r="M1341" s="10" t="s">
        <v>3559</v>
      </c>
      <c r="N1341" s="10" t="s">
        <v>3508</v>
      </c>
      <c r="O1341" s="8" t="s">
        <v>3190</v>
      </c>
      <c r="P1341" s="8"/>
      <c r="Q1341" s="8">
        <v>4464</v>
      </c>
      <c r="R1341" s="8">
        <v>1549</v>
      </c>
      <c r="S1341" s="8"/>
      <c r="T1341" s="8"/>
      <c r="U1341" s="8"/>
      <c r="V1341" s="8"/>
      <c r="W1341" s="8"/>
      <c r="X1341" s="8"/>
      <c r="Y1341" s="8"/>
      <c r="Z1341" s="10" t="s">
        <v>3696</v>
      </c>
      <c r="AA1341" s="8" t="s">
        <v>332</v>
      </c>
      <c r="AB1341" s="8">
        <v>1</v>
      </c>
    </row>
    <row r="1342" spans="1:28" ht="21.6" customHeight="1">
      <c r="A1342" s="8">
        <v>220</v>
      </c>
      <c r="B1342" s="8">
        <v>2025112282</v>
      </c>
      <c r="C1342" s="8">
        <v>1</v>
      </c>
      <c r="D1342" s="8" t="s">
        <v>3177</v>
      </c>
      <c r="E1342" s="8" t="s">
        <v>118</v>
      </c>
      <c r="F1342" s="8" t="s">
        <v>4595</v>
      </c>
      <c r="G1342" s="8" t="s">
        <v>3357</v>
      </c>
      <c r="H1342" s="8" t="s">
        <v>3342</v>
      </c>
      <c r="I1342" s="8" t="s">
        <v>3757</v>
      </c>
      <c r="J1342" s="8" t="s">
        <v>3758</v>
      </c>
      <c r="K1342" s="8" t="s">
        <v>3183</v>
      </c>
      <c r="L1342" s="10" t="s">
        <v>3759</v>
      </c>
      <c r="M1342" s="10" t="s">
        <v>3760</v>
      </c>
      <c r="N1342" s="10" t="s">
        <v>3761</v>
      </c>
      <c r="O1342" s="8" t="s">
        <v>3190</v>
      </c>
      <c r="P1342" s="8"/>
      <c r="Q1342" s="8">
        <v>2786</v>
      </c>
      <c r="R1342" s="8">
        <v>194709</v>
      </c>
      <c r="S1342" s="8"/>
      <c r="T1342" s="8"/>
      <c r="U1342" s="8"/>
      <c r="V1342" s="8"/>
      <c r="W1342" s="8"/>
      <c r="X1342" s="8"/>
      <c r="Y1342" s="8"/>
      <c r="Z1342" s="10" t="s">
        <v>3696</v>
      </c>
      <c r="AA1342" s="8" t="s">
        <v>332</v>
      </c>
      <c r="AB1342" s="8">
        <v>1</v>
      </c>
    </row>
    <row r="1343" spans="1:28" ht="21.6" customHeight="1">
      <c r="A1343" s="8">
        <v>21</v>
      </c>
      <c r="B1343" s="8">
        <v>2025112751</v>
      </c>
      <c r="C1343" s="8">
        <v>1</v>
      </c>
      <c r="D1343" s="8" t="s">
        <v>3177</v>
      </c>
      <c r="E1343" s="8" t="s">
        <v>123</v>
      </c>
      <c r="F1343" s="8" t="s">
        <v>4612</v>
      </c>
      <c r="G1343" s="8" t="s">
        <v>4467</v>
      </c>
      <c r="H1343" s="8" t="s">
        <v>3499</v>
      </c>
      <c r="I1343" s="8" t="s">
        <v>4613</v>
      </c>
      <c r="J1343" s="8" t="s">
        <v>3224</v>
      </c>
      <c r="K1343" s="8" t="s">
        <v>3183</v>
      </c>
      <c r="L1343" s="10" t="s">
        <v>3264</v>
      </c>
      <c r="M1343" s="10" t="s">
        <v>3265</v>
      </c>
      <c r="N1343" s="10"/>
      <c r="O1343" s="8" t="s">
        <v>322</v>
      </c>
      <c r="P1343" s="8"/>
      <c r="Q1343" s="8">
        <v>4</v>
      </c>
      <c r="R1343" s="8">
        <v>215</v>
      </c>
      <c r="S1343" s="8" t="s">
        <v>332</v>
      </c>
      <c r="T1343" s="8"/>
      <c r="U1343" s="8"/>
      <c r="V1343" s="8"/>
      <c r="W1343" s="8"/>
      <c r="X1343" s="8"/>
      <c r="Y1343" s="8"/>
      <c r="Z1343" s="10" t="s">
        <v>3186</v>
      </c>
      <c r="AA1343" s="8" t="s">
        <v>332</v>
      </c>
      <c r="AB1343" s="8">
        <v>1</v>
      </c>
    </row>
    <row r="1344" spans="1:28" ht="21.6" customHeight="1">
      <c r="A1344" s="8">
        <v>41</v>
      </c>
      <c r="B1344" s="8">
        <v>2025112764</v>
      </c>
      <c r="C1344" s="8">
        <v>1</v>
      </c>
      <c r="D1344" s="8" t="s">
        <v>3177</v>
      </c>
      <c r="E1344" s="8" t="s">
        <v>123</v>
      </c>
      <c r="F1344" s="8" t="s">
        <v>4612</v>
      </c>
      <c r="G1344" s="8" t="s">
        <v>3180</v>
      </c>
      <c r="H1344" s="8" t="s">
        <v>4086</v>
      </c>
      <c r="I1344" s="8" t="s">
        <v>3807</v>
      </c>
      <c r="J1344" s="8" t="s">
        <v>3808</v>
      </c>
      <c r="K1344" s="8" t="s">
        <v>3183</v>
      </c>
      <c r="L1344" s="10" t="s">
        <v>3333</v>
      </c>
      <c r="M1344" s="10" t="s">
        <v>3334</v>
      </c>
      <c r="N1344" s="10"/>
      <c r="O1344" s="8" t="s">
        <v>322</v>
      </c>
      <c r="P1344" s="8"/>
      <c r="Q1344" s="8"/>
      <c r="R1344" s="8">
        <v>57519</v>
      </c>
      <c r="S1344" s="8" t="s">
        <v>332</v>
      </c>
      <c r="T1344" s="8"/>
      <c r="U1344" s="8"/>
      <c r="V1344" s="8"/>
      <c r="W1344" s="8"/>
      <c r="X1344" s="8"/>
      <c r="Y1344" s="8"/>
      <c r="Z1344" s="10" t="s">
        <v>3186</v>
      </c>
      <c r="AA1344" s="8" t="s">
        <v>332</v>
      </c>
      <c r="AB1344" s="8">
        <v>1</v>
      </c>
    </row>
    <row r="1345" spans="1:28" ht="21.6" customHeight="1">
      <c r="A1345" s="8">
        <v>141</v>
      </c>
      <c r="B1345" s="8">
        <v>2025112662</v>
      </c>
      <c r="C1345" s="8">
        <v>1</v>
      </c>
      <c r="D1345" s="8" t="s">
        <v>3177</v>
      </c>
      <c r="E1345" s="8" t="s">
        <v>118</v>
      </c>
      <c r="F1345" s="8" t="s">
        <v>4612</v>
      </c>
      <c r="G1345" s="8" t="s">
        <v>3280</v>
      </c>
      <c r="H1345" s="8" t="s">
        <v>3363</v>
      </c>
      <c r="I1345" s="8" t="s">
        <v>4528</v>
      </c>
      <c r="J1345" s="8" t="s">
        <v>3224</v>
      </c>
      <c r="K1345" s="8" t="s">
        <v>3183</v>
      </c>
      <c r="L1345" s="10" t="s">
        <v>3377</v>
      </c>
      <c r="M1345" s="10" t="s">
        <v>4529</v>
      </c>
      <c r="N1345" s="10" t="s">
        <v>3379</v>
      </c>
      <c r="O1345" s="8" t="s">
        <v>3190</v>
      </c>
      <c r="P1345" s="8"/>
      <c r="Q1345" s="8">
        <v>4693</v>
      </c>
      <c r="R1345" s="8">
        <v>5515</v>
      </c>
      <c r="S1345" s="8"/>
      <c r="T1345" s="8"/>
      <c r="U1345" s="8"/>
      <c r="V1345" s="8"/>
      <c r="W1345" s="8"/>
      <c r="X1345" s="8"/>
      <c r="Y1345" s="8"/>
      <c r="Z1345" s="10" t="s">
        <v>3696</v>
      </c>
      <c r="AA1345" s="8" t="s">
        <v>332</v>
      </c>
      <c r="AB1345" s="8">
        <v>1</v>
      </c>
    </row>
    <row r="1346" spans="1:28" ht="21.6" customHeight="1">
      <c r="A1346" s="8">
        <v>153</v>
      </c>
      <c r="B1346" s="8">
        <v>2025112637</v>
      </c>
      <c r="C1346" s="8">
        <v>1</v>
      </c>
      <c r="D1346" s="8" t="s">
        <v>3177</v>
      </c>
      <c r="E1346" s="8" t="s">
        <v>118</v>
      </c>
      <c r="F1346" s="8" t="s">
        <v>4609</v>
      </c>
      <c r="G1346" s="8" t="s">
        <v>3426</v>
      </c>
      <c r="H1346" s="8" t="s">
        <v>3432</v>
      </c>
      <c r="I1346" s="8" t="s">
        <v>3408</v>
      </c>
      <c r="J1346" s="8" t="s">
        <v>3253</v>
      </c>
      <c r="K1346" s="8" t="s">
        <v>3183</v>
      </c>
      <c r="L1346" s="10" t="s">
        <v>3409</v>
      </c>
      <c r="M1346" s="10" t="s">
        <v>3410</v>
      </c>
      <c r="N1346" s="10"/>
      <c r="O1346" s="8" t="s">
        <v>363</v>
      </c>
      <c r="P1346" s="8"/>
      <c r="Q1346" s="8"/>
      <c r="R1346" s="8">
        <v>339249</v>
      </c>
      <c r="S1346" s="8"/>
      <c r="T1346" s="8"/>
      <c r="U1346" s="8"/>
      <c r="V1346" s="8"/>
      <c r="W1346" s="8"/>
      <c r="X1346" s="8"/>
      <c r="Y1346" s="8"/>
      <c r="Z1346" s="10" t="s">
        <v>4614</v>
      </c>
      <c r="AA1346" s="8" t="s">
        <v>332</v>
      </c>
      <c r="AB1346" s="8">
        <v>1</v>
      </c>
    </row>
    <row r="1347" spans="1:28" ht="21.6" customHeight="1">
      <c r="A1347" s="8">
        <v>154</v>
      </c>
      <c r="B1347" s="8">
        <v>2025112735</v>
      </c>
      <c r="C1347" s="8">
        <v>1</v>
      </c>
      <c r="D1347" s="8" t="s">
        <v>3177</v>
      </c>
      <c r="E1347" s="8" t="s">
        <v>118</v>
      </c>
      <c r="F1347" s="8" t="s">
        <v>4612</v>
      </c>
      <c r="G1347" s="8" t="s">
        <v>3204</v>
      </c>
      <c r="H1347" s="8" t="s">
        <v>3427</v>
      </c>
      <c r="I1347" s="8" t="s">
        <v>3408</v>
      </c>
      <c r="J1347" s="8" t="s">
        <v>3253</v>
      </c>
      <c r="K1347" s="8" t="s">
        <v>3183</v>
      </c>
      <c r="L1347" s="10" t="s">
        <v>3409</v>
      </c>
      <c r="M1347" s="10" t="s">
        <v>3410</v>
      </c>
      <c r="N1347" s="10"/>
      <c r="O1347" s="8" t="s">
        <v>322</v>
      </c>
      <c r="P1347" s="8"/>
      <c r="Q1347" s="8"/>
      <c r="R1347" s="8">
        <v>339249</v>
      </c>
      <c r="S1347" s="8"/>
      <c r="T1347" s="8"/>
      <c r="U1347" s="8"/>
      <c r="V1347" s="8"/>
      <c r="W1347" s="8"/>
      <c r="X1347" s="8"/>
      <c r="Y1347" s="8" t="s">
        <v>332</v>
      </c>
      <c r="Z1347" s="10" t="s">
        <v>3466</v>
      </c>
      <c r="AA1347" s="8" t="s">
        <v>332</v>
      </c>
      <c r="AB1347" s="8">
        <v>1</v>
      </c>
    </row>
    <row r="1348" spans="1:28" ht="21.6" customHeight="1">
      <c r="A1348" s="8">
        <v>155</v>
      </c>
      <c r="B1348" s="8">
        <v>2025111901</v>
      </c>
      <c r="C1348" s="8">
        <v>1</v>
      </c>
      <c r="D1348" s="8" t="s">
        <v>3177</v>
      </c>
      <c r="E1348" s="8" t="s">
        <v>118</v>
      </c>
      <c r="F1348" s="8" t="s">
        <v>4588</v>
      </c>
      <c r="G1348" s="8" t="s">
        <v>3233</v>
      </c>
      <c r="H1348" s="8" t="s">
        <v>3381</v>
      </c>
      <c r="I1348" s="8" t="s">
        <v>3706</v>
      </c>
      <c r="J1348" s="8" t="s">
        <v>3253</v>
      </c>
      <c r="K1348" s="8" t="s">
        <v>3183</v>
      </c>
      <c r="L1348" s="10" t="s">
        <v>3707</v>
      </c>
      <c r="M1348" s="10" t="s">
        <v>3708</v>
      </c>
      <c r="N1348" s="10" t="s">
        <v>3424</v>
      </c>
      <c r="O1348" s="8" t="s">
        <v>3190</v>
      </c>
      <c r="P1348" s="8"/>
      <c r="Q1348" s="8"/>
      <c r="R1348" s="8">
        <v>243563</v>
      </c>
      <c r="S1348" s="8"/>
      <c r="T1348" s="8"/>
      <c r="U1348" s="8"/>
      <c r="V1348" s="8"/>
      <c r="W1348" s="8"/>
      <c r="X1348" s="8"/>
      <c r="Y1348" s="8"/>
      <c r="Z1348" s="10" t="s">
        <v>3696</v>
      </c>
      <c r="AA1348" s="8" t="s">
        <v>332</v>
      </c>
      <c r="AB1348" s="8">
        <v>1</v>
      </c>
    </row>
    <row r="1349" spans="1:28" ht="21.6" customHeight="1">
      <c r="A1349" s="8">
        <v>166</v>
      </c>
      <c r="B1349" s="8">
        <v>2025111655</v>
      </c>
      <c r="C1349" s="8">
        <v>1</v>
      </c>
      <c r="D1349" s="8" t="s">
        <v>3177</v>
      </c>
      <c r="E1349" s="8" t="s">
        <v>118</v>
      </c>
      <c r="F1349" s="8" t="s">
        <v>4582</v>
      </c>
      <c r="G1349" s="8" t="s">
        <v>3431</v>
      </c>
      <c r="H1349" s="8" t="s">
        <v>3432</v>
      </c>
      <c r="I1349" s="8" t="s">
        <v>3440</v>
      </c>
      <c r="J1349" s="8" t="s">
        <v>3277</v>
      </c>
      <c r="K1349" s="8" t="s">
        <v>3183</v>
      </c>
      <c r="L1349" s="10" t="s">
        <v>3434</v>
      </c>
      <c r="M1349" s="10" t="s">
        <v>3441</v>
      </c>
      <c r="N1349" s="10" t="s">
        <v>3442</v>
      </c>
      <c r="O1349" s="8" t="s">
        <v>3190</v>
      </c>
      <c r="P1349" s="8"/>
      <c r="Q1349" s="8"/>
      <c r="R1349" s="8">
        <v>146710</v>
      </c>
      <c r="S1349" s="8"/>
      <c r="T1349" s="8"/>
      <c r="U1349" s="8"/>
      <c r="V1349" s="8"/>
      <c r="W1349" s="8"/>
      <c r="X1349" s="8"/>
      <c r="Y1349" s="8"/>
      <c r="Z1349" s="10" t="s">
        <v>3696</v>
      </c>
      <c r="AA1349" s="8" t="s">
        <v>332</v>
      </c>
      <c r="AB1349" s="8">
        <v>1</v>
      </c>
    </row>
    <row r="1350" spans="1:28" ht="21.6" customHeight="1">
      <c r="A1350" s="8">
        <v>211</v>
      </c>
      <c r="B1350" s="8">
        <v>2025110342</v>
      </c>
      <c r="C1350" s="8">
        <v>1</v>
      </c>
      <c r="D1350" s="8" t="s">
        <v>3177</v>
      </c>
      <c r="E1350" s="8" t="s">
        <v>118</v>
      </c>
      <c r="F1350" s="8" t="s">
        <v>4564</v>
      </c>
      <c r="G1350" s="8" t="s">
        <v>3386</v>
      </c>
      <c r="H1350" s="8" t="s">
        <v>3387</v>
      </c>
      <c r="I1350" s="8" t="s">
        <v>3978</v>
      </c>
      <c r="J1350" s="8" t="s">
        <v>3301</v>
      </c>
      <c r="K1350" s="8" t="s">
        <v>3183</v>
      </c>
      <c r="L1350" s="10" t="s">
        <v>4481</v>
      </c>
      <c r="M1350" s="10" t="s">
        <v>3980</v>
      </c>
      <c r="N1350" s="10" t="s">
        <v>3497</v>
      </c>
      <c r="O1350" s="8" t="s">
        <v>3190</v>
      </c>
      <c r="P1350" s="8"/>
      <c r="Q1350" s="8">
        <v>6296</v>
      </c>
      <c r="R1350" s="8">
        <v>12863</v>
      </c>
      <c r="S1350" s="8"/>
      <c r="T1350" s="8"/>
      <c r="U1350" s="8"/>
      <c r="V1350" s="8"/>
      <c r="W1350" s="8"/>
      <c r="X1350" s="8"/>
      <c r="Y1350" s="8"/>
      <c r="Z1350" s="10" t="s">
        <v>3821</v>
      </c>
      <c r="AA1350" s="8" t="s">
        <v>332</v>
      </c>
      <c r="AB1350" s="8">
        <v>1</v>
      </c>
    </row>
    <row r="1351" spans="1:28" ht="21.6" customHeight="1">
      <c r="A1351" s="8">
        <v>215</v>
      </c>
      <c r="B1351" s="8">
        <v>2025110673</v>
      </c>
      <c r="C1351" s="8">
        <v>1</v>
      </c>
      <c r="D1351" s="8" t="s">
        <v>3177</v>
      </c>
      <c r="E1351" s="8" t="s">
        <v>118</v>
      </c>
      <c r="F1351" s="8" t="s">
        <v>4565</v>
      </c>
      <c r="G1351" s="8" t="s">
        <v>3427</v>
      </c>
      <c r="H1351" s="8" t="s">
        <v>3386</v>
      </c>
      <c r="I1351" s="8" t="s">
        <v>4552</v>
      </c>
      <c r="J1351" s="8" t="s">
        <v>4553</v>
      </c>
      <c r="K1351" s="8" t="s">
        <v>3183</v>
      </c>
      <c r="L1351" s="10" t="s">
        <v>3462</v>
      </c>
      <c r="M1351" s="10" t="s">
        <v>3526</v>
      </c>
      <c r="N1351" s="10" t="s">
        <v>4554</v>
      </c>
      <c r="O1351" s="8" t="s">
        <v>3190</v>
      </c>
      <c r="P1351" s="8"/>
      <c r="Q1351" s="8"/>
      <c r="R1351" s="8">
        <v>2471</v>
      </c>
      <c r="S1351" s="8"/>
      <c r="T1351" s="8"/>
      <c r="U1351" s="8"/>
      <c r="V1351" s="8"/>
      <c r="W1351" s="8"/>
      <c r="X1351" s="8"/>
      <c r="Y1351" s="8"/>
      <c r="Z1351" s="10" t="s">
        <v>3696</v>
      </c>
      <c r="AA1351" s="8" t="s">
        <v>332</v>
      </c>
      <c r="AB1351" s="8">
        <v>1</v>
      </c>
    </row>
    <row r="1352" spans="1:28" ht="21.6" customHeight="1">
      <c r="A1352" s="8">
        <v>235</v>
      </c>
      <c r="B1352" s="8">
        <v>2025112634</v>
      </c>
      <c r="C1352" s="8">
        <v>1</v>
      </c>
      <c r="D1352" s="8" t="s">
        <v>3177</v>
      </c>
      <c r="E1352" s="8" t="s">
        <v>118</v>
      </c>
      <c r="F1352" s="8" t="s">
        <v>4609</v>
      </c>
      <c r="G1352" s="8" t="s">
        <v>3386</v>
      </c>
      <c r="H1352" s="8" t="s">
        <v>3426</v>
      </c>
      <c r="I1352" s="8" t="s">
        <v>3572</v>
      </c>
      <c r="J1352" s="8" t="s">
        <v>1717</v>
      </c>
      <c r="K1352" s="8" t="s">
        <v>3183</v>
      </c>
      <c r="L1352" s="10" t="s">
        <v>3472</v>
      </c>
      <c r="M1352" s="10" t="s">
        <v>3410</v>
      </c>
      <c r="N1352" s="10" t="s">
        <v>3442</v>
      </c>
      <c r="O1352" s="8" t="s">
        <v>363</v>
      </c>
      <c r="P1352" s="8"/>
      <c r="Q1352" s="8"/>
      <c r="R1352" s="8">
        <v>115126</v>
      </c>
      <c r="S1352" s="8"/>
      <c r="T1352" s="8"/>
      <c r="U1352" s="8"/>
      <c r="V1352" s="8"/>
      <c r="W1352" s="8"/>
      <c r="X1352" s="8"/>
      <c r="Y1352" s="8"/>
      <c r="Z1352" s="10" t="s">
        <v>4615</v>
      </c>
      <c r="AA1352" s="8" t="s">
        <v>332</v>
      </c>
      <c r="AB1352" s="8">
        <v>1</v>
      </c>
    </row>
    <row r="1353" spans="1:28" ht="21.6" customHeight="1">
      <c r="A1353" s="8">
        <v>236</v>
      </c>
      <c r="B1353" s="8">
        <v>2025112734</v>
      </c>
      <c r="C1353" s="8">
        <v>1</v>
      </c>
      <c r="D1353" s="8" t="s">
        <v>3177</v>
      </c>
      <c r="E1353" s="8" t="s">
        <v>118</v>
      </c>
      <c r="F1353" s="8" t="s">
        <v>4612</v>
      </c>
      <c r="G1353" s="8" t="s">
        <v>3368</v>
      </c>
      <c r="H1353" s="8" t="s">
        <v>3204</v>
      </c>
      <c r="I1353" s="8" t="s">
        <v>3572</v>
      </c>
      <c r="J1353" s="8" t="s">
        <v>1717</v>
      </c>
      <c r="K1353" s="8" t="s">
        <v>3183</v>
      </c>
      <c r="L1353" s="10" t="s">
        <v>3472</v>
      </c>
      <c r="M1353" s="10" t="s">
        <v>3410</v>
      </c>
      <c r="N1353" s="10" t="s">
        <v>3442</v>
      </c>
      <c r="O1353" s="8" t="s">
        <v>322</v>
      </c>
      <c r="P1353" s="8"/>
      <c r="Q1353" s="8"/>
      <c r="R1353" s="8">
        <v>115126</v>
      </c>
      <c r="S1353" s="8"/>
      <c r="T1353" s="8"/>
      <c r="U1353" s="8"/>
      <c r="V1353" s="8"/>
      <c r="W1353" s="8"/>
      <c r="X1353" s="8"/>
      <c r="Y1353" s="8" t="s">
        <v>332</v>
      </c>
      <c r="Z1353" s="10" t="s">
        <v>4615</v>
      </c>
      <c r="AA1353" s="8" t="s">
        <v>332</v>
      </c>
      <c r="AB1353" s="8">
        <v>1</v>
      </c>
    </row>
    <row r="1354" spans="1:28" ht="21.6" customHeight="1">
      <c r="A1354" s="8">
        <v>5</v>
      </c>
      <c r="B1354" s="8">
        <v>2025112850</v>
      </c>
      <c r="C1354" s="8">
        <v>1</v>
      </c>
      <c r="D1354" s="8" t="s">
        <v>3177</v>
      </c>
      <c r="E1354" s="8" t="s">
        <v>123</v>
      </c>
      <c r="F1354" s="8" t="s">
        <v>4616</v>
      </c>
      <c r="G1354" s="8" t="s">
        <v>3363</v>
      </c>
      <c r="H1354" s="8" t="s">
        <v>3982</v>
      </c>
      <c r="I1354" s="8" t="s">
        <v>3212</v>
      </c>
      <c r="J1354" s="8" t="s">
        <v>3195</v>
      </c>
      <c r="K1354" s="8" t="s">
        <v>3183</v>
      </c>
      <c r="L1354" s="10" t="s">
        <v>3213</v>
      </c>
      <c r="M1354" s="10" t="s">
        <v>3214</v>
      </c>
      <c r="N1354" s="10" t="s">
        <v>3215</v>
      </c>
      <c r="O1354" s="8" t="s">
        <v>3190</v>
      </c>
      <c r="P1354" s="8"/>
      <c r="Q1354" s="8">
        <v>128</v>
      </c>
      <c r="R1354" s="8">
        <v>914</v>
      </c>
      <c r="S1354" s="8"/>
      <c r="T1354" s="8"/>
      <c r="U1354" s="8"/>
      <c r="V1354" s="8"/>
      <c r="W1354" s="8"/>
      <c r="X1354" s="8"/>
      <c r="Y1354" s="8"/>
      <c r="Z1354" s="10" t="s">
        <v>3190</v>
      </c>
      <c r="AA1354" s="8" t="s">
        <v>332</v>
      </c>
      <c r="AB1354" s="8">
        <v>1</v>
      </c>
    </row>
    <row r="1355" spans="1:28" ht="21.6" customHeight="1">
      <c r="A1355" s="8">
        <v>16</v>
      </c>
      <c r="B1355" s="8">
        <v>2025112851</v>
      </c>
      <c r="C1355" s="8">
        <v>1</v>
      </c>
      <c r="D1355" s="8" t="s">
        <v>3177</v>
      </c>
      <c r="E1355" s="8" t="s">
        <v>123</v>
      </c>
      <c r="F1355" s="8" t="s">
        <v>4616</v>
      </c>
      <c r="G1355" s="8" t="s">
        <v>3232</v>
      </c>
      <c r="H1355" s="8" t="s">
        <v>4054</v>
      </c>
      <c r="I1355" s="8" t="s">
        <v>3246</v>
      </c>
      <c r="J1355" s="8" t="s">
        <v>3224</v>
      </c>
      <c r="K1355" s="8" t="s">
        <v>3183</v>
      </c>
      <c r="L1355" s="10" t="s">
        <v>3247</v>
      </c>
      <c r="M1355" s="10" t="s">
        <v>3248</v>
      </c>
      <c r="N1355" s="10" t="s">
        <v>3215</v>
      </c>
      <c r="O1355" s="8" t="s">
        <v>3190</v>
      </c>
      <c r="P1355" s="8"/>
      <c r="Q1355" s="8">
        <v>916</v>
      </c>
      <c r="R1355" s="8">
        <v>2317</v>
      </c>
      <c r="S1355" s="8"/>
      <c r="T1355" s="8"/>
      <c r="U1355" s="8"/>
      <c r="V1355" s="8"/>
      <c r="W1355" s="8"/>
      <c r="X1355" s="8"/>
      <c r="Y1355" s="8"/>
      <c r="Z1355" s="10" t="s">
        <v>3190</v>
      </c>
      <c r="AA1355" s="8" t="s">
        <v>332</v>
      </c>
      <c r="AB1355" s="8">
        <v>1</v>
      </c>
    </row>
    <row r="1356" spans="1:28" ht="21.6" customHeight="1">
      <c r="A1356" s="8">
        <v>17</v>
      </c>
      <c r="B1356" s="8">
        <v>2025112852</v>
      </c>
      <c r="C1356" s="8">
        <v>1</v>
      </c>
      <c r="D1356" s="8" t="s">
        <v>3177</v>
      </c>
      <c r="E1356" s="8" t="s">
        <v>123</v>
      </c>
      <c r="F1356" s="8" t="s">
        <v>4616</v>
      </c>
      <c r="G1356" s="8" t="s">
        <v>3233</v>
      </c>
      <c r="H1356" s="8" t="s">
        <v>4350</v>
      </c>
      <c r="I1356" s="8" t="s">
        <v>4474</v>
      </c>
      <c r="J1356" s="8" t="s">
        <v>3224</v>
      </c>
      <c r="K1356" s="8" t="s">
        <v>3183</v>
      </c>
      <c r="L1356" s="10" t="s">
        <v>4475</v>
      </c>
      <c r="M1356" s="10" t="s">
        <v>4476</v>
      </c>
      <c r="N1356" s="10" t="s">
        <v>4477</v>
      </c>
      <c r="O1356" s="8" t="s">
        <v>3190</v>
      </c>
      <c r="P1356" s="8"/>
      <c r="Q1356" s="8">
        <v>14</v>
      </c>
      <c r="R1356" s="8">
        <v>300</v>
      </c>
      <c r="S1356" s="8"/>
      <c r="T1356" s="8"/>
      <c r="U1356" s="8"/>
      <c r="V1356" s="8"/>
      <c r="W1356" s="8"/>
      <c r="X1356" s="8"/>
      <c r="Y1356" s="8"/>
      <c r="Z1356" s="10" t="s">
        <v>3190</v>
      </c>
      <c r="AA1356" s="8" t="s">
        <v>332</v>
      </c>
      <c r="AB1356" s="8">
        <v>1</v>
      </c>
    </row>
    <row r="1357" spans="1:28" ht="21.6" customHeight="1">
      <c r="A1357" s="8">
        <v>20</v>
      </c>
      <c r="B1357" s="8">
        <v>2025111727</v>
      </c>
      <c r="C1357" s="8">
        <v>1</v>
      </c>
      <c r="D1357" s="8" t="s">
        <v>3177</v>
      </c>
      <c r="E1357" s="8" t="s">
        <v>123</v>
      </c>
      <c r="F1357" s="8" t="s">
        <v>4584</v>
      </c>
      <c r="G1357" s="8" t="s">
        <v>4023</v>
      </c>
      <c r="H1357" s="8" t="s">
        <v>4038</v>
      </c>
      <c r="I1357" s="8" t="s">
        <v>4500</v>
      </c>
      <c r="J1357" s="8" t="s">
        <v>3224</v>
      </c>
      <c r="K1357" s="8" t="s">
        <v>3183</v>
      </c>
      <c r="L1357" s="10" t="s">
        <v>3207</v>
      </c>
      <c r="M1357" s="10" t="s">
        <v>3208</v>
      </c>
      <c r="N1357" s="10" t="s">
        <v>3209</v>
      </c>
      <c r="O1357" s="8" t="s">
        <v>3190</v>
      </c>
      <c r="P1357" s="8"/>
      <c r="Q1357" s="8">
        <v>6543</v>
      </c>
      <c r="R1357" s="8">
        <v>3796</v>
      </c>
      <c r="S1357" s="8"/>
      <c r="T1357" s="8"/>
      <c r="U1357" s="8"/>
      <c r="V1357" s="8"/>
      <c r="W1357" s="8"/>
      <c r="X1357" s="8"/>
      <c r="Y1357" s="8"/>
      <c r="Z1357" s="10" t="s">
        <v>3186</v>
      </c>
      <c r="AA1357" s="8" t="s">
        <v>332</v>
      </c>
      <c r="AB1357" s="8">
        <v>1</v>
      </c>
    </row>
    <row r="1358" spans="1:28" ht="21.6" customHeight="1">
      <c r="A1358" s="8">
        <v>46</v>
      </c>
      <c r="B1358" s="8">
        <v>2025112964</v>
      </c>
      <c r="C1358" s="8">
        <v>1</v>
      </c>
      <c r="D1358" s="8" t="s">
        <v>3177</v>
      </c>
      <c r="E1358" s="8" t="s">
        <v>123</v>
      </c>
      <c r="F1358" s="8" t="s">
        <v>4616</v>
      </c>
      <c r="G1358" s="8" t="s">
        <v>4617</v>
      </c>
      <c r="H1358" s="8" t="s">
        <v>4358</v>
      </c>
      <c r="I1358" s="8" t="s">
        <v>3300</v>
      </c>
      <c r="J1358" s="8" t="s">
        <v>3301</v>
      </c>
      <c r="K1358" s="8" t="s">
        <v>3183</v>
      </c>
      <c r="L1358" s="10" t="s">
        <v>3302</v>
      </c>
      <c r="M1358" s="10" t="s">
        <v>3303</v>
      </c>
      <c r="N1358" s="10" t="s">
        <v>3304</v>
      </c>
      <c r="O1358" s="8" t="s">
        <v>322</v>
      </c>
      <c r="P1358" s="8"/>
      <c r="Q1358" s="8">
        <v>40738</v>
      </c>
      <c r="R1358" s="8">
        <v>34985</v>
      </c>
      <c r="S1358" s="8" t="s">
        <v>332</v>
      </c>
      <c r="T1358" s="8"/>
      <c r="U1358" s="8"/>
      <c r="V1358" s="8"/>
      <c r="W1358" s="8"/>
      <c r="X1358" s="8"/>
      <c r="Y1358" s="8"/>
      <c r="Z1358" s="10" t="s">
        <v>3186</v>
      </c>
      <c r="AA1358" s="8" t="s">
        <v>332</v>
      </c>
      <c r="AB1358" s="8">
        <v>1</v>
      </c>
    </row>
    <row r="1359" spans="1:28" ht="21.6" customHeight="1">
      <c r="A1359" s="8">
        <v>129</v>
      </c>
      <c r="B1359" s="8">
        <v>2025111870</v>
      </c>
      <c r="C1359" s="8">
        <v>1</v>
      </c>
      <c r="D1359" s="8" t="s">
        <v>3177</v>
      </c>
      <c r="E1359" s="8" t="s">
        <v>118</v>
      </c>
      <c r="F1359" s="8" t="s">
        <v>4585</v>
      </c>
      <c r="G1359" s="8" t="s">
        <v>3588</v>
      </c>
      <c r="H1359" s="8" t="s">
        <v>3799</v>
      </c>
      <c r="I1359" s="8" t="s">
        <v>3351</v>
      </c>
      <c r="J1359" s="8" t="s">
        <v>3195</v>
      </c>
      <c r="K1359" s="8" t="s">
        <v>3183</v>
      </c>
      <c r="L1359" s="10" t="s">
        <v>3352</v>
      </c>
      <c r="M1359" s="10" t="s">
        <v>3353</v>
      </c>
      <c r="N1359" s="10" t="s">
        <v>3667</v>
      </c>
      <c r="O1359" s="8" t="s">
        <v>3190</v>
      </c>
      <c r="P1359" s="8"/>
      <c r="Q1359" s="8">
        <v>11496</v>
      </c>
      <c r="R1359" s="8">
        <v>83277</v>
      </c>
      <c r="S1359" s="8"/>
      <c r="T1359" s="8"/>
      <c r="U1359" s="8"/>
      <c r="V1359" s="8"/>
      <c r="W1359" s="8"/>
      <c r="X1359" s="8"/>
      <c r="Y1359" s="8"/>
      <c r="Z1359" s="10" t="s">
        <v>3696</v>
      </c>
      <c r="AA1359" s="8" t="s">
        <v>332</v>
      </c>
      <c r="AB1359" s="8">
        <v>1</v>
      </c>
    </row>
    <row r="1360" spans="1:28" ht="21.6" customHeight="1">
      <c r="A1360" s="8">
        <v>155</v>
      </c>
      <c r="B1360" s="8">
        <v>2025110303</v>
      </c>
      <c r="C1360" s="8">
        <v>1</v>
      </c>
      <c r="D1360" s="8" t="s">
        <v>3177</v>
      </c>
      <c r="E1360" s="8" t="s">
        <v>118</v>
      </c>
      <c r="F1360" s="8" t="s">
        <v>4564</v>
      </c>
      <c r="G1360" s="8" t="s">
        <v>3204</v>
      </c>
      <c r="H1360" s="8" t="s">
        <v>3427</v>
      </c>
      <c r="I1360" s="8" t="s">
        <v>4403</v>
      </c>
      <c r="J1360" s="8" t="s">
        <v>3224</v>
      </c>
      <c r="K1360" s="8" t="s">
        <v>3183</v>
      </c>
      <c r="L1360" s="10" t="s">
        <v>4404</v>
      </c>
      <c r="M1360" s="10" t="s">
        <v>4424</v>
      </c>
      <c r="N1360" s="10" t="s">
        <v>3497</v>
      </c>
      <c r="O1360" s="8" t="s">
        <v>3190</v>
      </c>
      <c r="P1360" s="8"/>
      <c r="Q1360" s="8">
        <v>75</v>
      </c>
      <c r="R1360" s="8">
        <v>664</v>
      </c>
      <c r="S1360" s="8"/>
      <c r="T1360" s="8"/>
      <c r="U1360" s="8"/>
      <c r="V1360" s="8"/>
      <c r="W1360" s="8"/>
      <c r="X1360" s="8"/>
      <c r="Y1360" s="8"/>
      <c r="Z1360" s="10" t="s">
        <v>3821</v>
      </c>
      <c r="AA1360" s="8" t="s">
        <v>332</v>
      </c>
      <c r="AB1360" s="8">
        <v>1</v>
      </c>
    </row>
    <row r="1361" spans="1:28" ht="21.6" customHeight="1">
      <c r="A1361" s="8">
        <v>223</v>
      </c>
      <c r="B1361" s="8">
        <v>2025111556</v>
      </c>
      <c r="C1361" s="8">
        <v>1</v>
      </c>
      <c r="D1361" s="8" t="s">
        <v>3177</v>
      </c>
      <c r="E1361" s="8" t="s">
        <v>118</v>
      </c>
      <c r="F1361" s="8" t="s">
        <v>4582</v>
      </c>
      <c r="G1361" s="8" t="s">
        <v>3342</v>
      </c>
      <c r="H1361" s="8" t="s">
        <v>3767</v>
      </c>
      <c r="I1361" s="8" t="s">
        <v>3521</v>
      </c>
      <c r="J1361" s="8" t="s">
        <v>3298</v>
      </c>
      <c r="K1361" s="8" t="s">
        <v>3183</v>
      </c>
      <c r="L1361" s="10" t="s">
        <v>3398</v>
      </c>
      <c r="M1361" s="10" t="s">
        <v>3405</v>
      </c>
      <c r="N1361" s="10" t="s">
        <v>3406</v>
      </c>
      <c r="O1361" s="8" t="s">
        <v>3190</v>
      </c>
      <c r="P1361" s="8"/>
      <c r="Q1361" s="8"/>
      <c r="R1361" s="8">
        <v>2461</v>
      </c>
      <c r="S1361" s="8"/>
      <c r="T1361" s="8"/>
      <c r="U1361" s="8"/>
      <c r="V1361" s="8"/>
      <c r="W1361" s="8"/>
      <c r="X1361" s="8"/>
      <c r="Y1361" s="8"/>
      <c r="Z1361" s="10" t="s">
        <v>3696</v>
      </c>
      <c r="AA1361" s="8" t="s">
        <v>332</v>
      </c>
      <c r="AB1361" s="8">
        <v>1</v>
      </c>
    </row>
    <row r="1362" spans="1:28" ht="21.6" customHeight="1">
      <c r="A1362" s="8">
        <v>232</v>
      </c>
      <c r="B1362" s="8">
        <v>2025112941</v>
      </c>
      <c r="C1362" s="8">
        <v>1</v>
      </c>
      <c r="D1362" s="8" t="s">
        <v>3177</v>
      </c>
      <c r="E1362" s="8" t="s">
        <v>118</v>
      </c>
      <c r="F1362" s="8" t="s">
        <v>4616</v>
      </c>
      <c r="G1362" s="8" t="s">
        <v>3386</v>
      </c>
      <c r="H1362" s="8" t="s">
        <v>3426</v>
      </c>
      <c r="I1362" s="8" t="s">
        <v>3978</v>
      </c>
      <c r="J1362" s="8" t="s">
        <v>3301</v>
      </c>
      <c r="K1362" s="8" t="s">
        <v>3183</v>
      </c>
      <c r="L1362" s="10" t="s">
        <v>4481</v>
      </c>
      <c r="M1362" s="10" t="s">
        <v>3980</v>
      </c>
      <c r="N1362" s="10" t="s">
        <v>3497</v>
      </c>
      <c r="O1362" s="8" t="s">
        <v>322</v>
      </c>
      <c r="P1362" s="8"/>
      <c r="Q1362" s="8">
        <v>6296</v>
      </c>
      <c r="R1362" s="8">
        <v>12863</v>
      </c>
      <c r="S1362" s="8"/>
      <c r="T1362" s="8"/>
      <c r="U1362" s="8"/>
      <c r="V1362" s="8"/>
      <c r="W1362" s="8"/>
      <c r="X1362" s="8"/>
      <c r="Y1362" s="8" t="s">
        <v>332</v>
      </c>
      <c r="Z1362" s="10" t="s">
        <v>4618</v>
      </c>
      <c r="AA1362" s="8" t="s">
        <v>332</v>
      </c>
      <c r="AB1362" s="8">
        <v>1</v>
      </c>
    </row>
    <row r="1363" spans="1:28" ht="21.6" customHeight="1">
      <c r="A1363" s="8">
        <v>255</v>
      </c>
      <c r="B1363" s="8">
        <v>2025112868</v>
      </c>
      <c r="C1363" s="8">
        <v>1</v>
      </c>
      <c r="D1363" s="8" t="s">
        <v>3177</v>
      </c>
      <c r="E1363" s="8" t="s">
        <v>118</v>
      </c>
      <c r="F1363" s="8" t="s">
        <v>4616</v>
      </c>
      <c r="G1363" s="8" t="s">
        <v>3381</v>
      </c>
      <c r="H1363" s="8" t="s">
        <v>3357</v>
      </c>
      <c r="I1363" s="8" t="s">
        <v>3570</v>
      </c>
      <c r="J1363" s="8" t="s">
        <v>1717</v>
      </c>
      <c r="K1363" s="8" t="s">
        <v>3183</v>
      </c>
      <c r="L1363" s="10" t="s">
        <v>3254</v>
      </c>
      <c r="M1363" s="10" t="s">
        <v>3547</v>
      </c>
      <c r="N1363" s="10" t="s">
        <v>3571</v>
      </c>
      <c r="O1363" s="8" t="s">
        <v>363</v>
      </c>
      <c r="P1363" s="8"/>
      <c r="Q1363" s="8"/>
      <c r="R1363" s="8">
        <v>143410</v>
      </c>
      <c r="S1363" s="8"/>
      <c r="T1363" s="8"/>
      <c r="U1363" s="8"/>
      <c r="V1363" s="8"/>
      <c r="W1363" s="8"/>
      <c r="X1363" s="8"/>
      <c r="Y1363" s="8"/>
      <c r="Z1363" s="10" t="s">
        <v>4619</v>
      </c>
      <c r="AA1363" s="8" t="s">
        <v>332</v>
      </c>
      <c r="AB1363" s="8">
        <v>1</v>
      </c>
    </row>
    <row r="1364" spans="1:28" ht="21.6" customHeight="1">
      <c r="A1364" s="8">
        <v>38</v>
      </c>
      <c r="B1364" s="8">
        <v>2025110356</v>
      </c>
      <c r="C1364" s="8">
        <v>1</v>
      </c>
      <c r="D1364" s="8" t="s">
        <v>3177</v>
      </c>
      <c r="E1364" s="8" t="s">
        <v>123</v>
      </c>
      <c r="F1364" s="8" t="s">
        <v>4564</v>
      </c>
      <c r="G1364" s="8" t="s">
        <v>3829</v>
      </c>
      <c r="H1364" s="8" t="s">
        <v>3387</v>
      </c>
      <c r="I1364" s="8" t="s">
        <v>3282</v>
      </c>
      <c r="J1364" s="8" t="s">
        <v>3277</v>
      </c>
      <c r="K1364" s="8" t="s">
        <v>3183</v>
      </c>
      <c r="L1364" s="10" t="s">
        <v>3283</v>
      </c>
      <c r="M1364" s="10" t="s">
        <v>3284</v>
      </c>
      <c r="N1364" s="10"/>
      <c r="O1364" s="8" t="s">
        <v>3190</v>
      </c>
      <c r="P1364" s="8"/>
      <c r="Q1364" s="8"/>
      <c r="R1364" s="8">
        <v>29400</v>
      </c>
      <c r="S1364" s="8"/>
      <c r="T1364" s="8"/>
      <c r="U1364" s="8"/>
      <c r="V1364" s="8"/>
      <c r="W1364" s="8"/>
      <c r="X1364" s="8"/>
      <c r="Y1364" s="8"/>
      <c r="Z1364" s="10" t="s">
        <v>3186</v>
      </c>
      <c r="AA1364" s="8" t="s">
        <v>332</v>
      </c>
      <c r="AB1364" s="8">
        <v>1</v>
      </c>
    </row>
    <row r="1365" spans="1:28" ht="21.6" customHeight="1">
      <c r="A1365" s="8">
        <v>175</v>
      </c>
      <c r="B1365" s="8">
        <v>2025113119</v>
      </c>
      <c r="C1365" s="8">
        <v>1</v>
      </c>
      <c r="D1365" s="8" t="s">
        <v>3177</v>
      </c>
      <c r="E1365" s="8" t="s">
        <v>118</v>
      </c>
      <c r="F1365" s="8" t="s">
        <v>4620</v>
      </c>
      <c r="G1365" s="8" t="s">
        <v>3426</v>
      </c>
      <c r="H1365" s="8" t="s">
        <v>3431</v>
      </c>
      <c r="I1365" s="8" t="s">
        <v>3413</v>
      </c>
      <c r="J1365" s="8" t="s">
        <v>3253</v>
      </c>
      <c r="K1365" s="8" t="s">
        <v>3183</v>
      </c>
      <c r="L1365" s="10" t="s">
        <v>4549</v>
      </c>
      <c r="M1365" s="10" t="s">
        <v>3415</v>
      </c>
      <c r="N1365" s="10" t="s">
        <v>4550</v>
      </c>
      <c r="O1365" s="8" t="s">
        <v>322</v>
      </c>
      <c r="P1365" s="8"/>
      <c r="Q1365" s="8"/>
      <c r="R1365" s="8">
        <v>113400</v>
      </c>
      <c r="S1365" s="8" t="s">
        <v>332</v>
      </c>
      <c r="T1365" s="8"/>
      <c r="U1365" s="8"/>
      <c r="V1365" s="8"/>
      <c r="W1365" s="8"/>
      <c r="X1365" s="8"/>
      <c r="Y1365" s="8"/>
      <c r="Z1365" s="10" t="s">
        <v>3696</v>
      </c>
      <c r="AA1365" s="8" t="s">
        <v>332</v>
      </c>
      <c r="AB1365" s="8">
        <v>1</v>
      </c>
    </row>
    <row r="1366" spans="1:28" ht="21.6" customHeight="1">
      <c r="A1366" s="8">
        <v>210</v>
      </c>
      <c r="B1366" s="8">
        <v>2025111552</v>
      </c>
      <c r="C1366" s="8">
        <v>1</v>
      </c>
      <c r="D1366" s="8" t="s">
        <v>3177</v>
      </c>
      <c r="E1366" s="8" t="s">
        <v>118</v>
      </c>
      <c r="F1366" s="8" t="s">
        <v>4582</v>
      </c>
      <c r="G1366" s="8" t="s">
        <v>3401</v>
      </c>
      <c r="H1366" s="8" t="s">
        <v>3357</v>
      </c>
      <c r="I1366" s="8" t="s">
        <v>4473</v>
      </c>
      <c r="J1366" s="8" t="s">
        <v>3277</v>
      </c>
      <c r="K1366" s="8" t="s">
        <v>3183</v>
      </c>
      <c r="L1366" s="10" t="s">
        <v>3398</v>
      </c>
      <c r="M1366" s="10" t="s">
        <v>3514</v>
      </c>
      <c r="N1366" s="10" t="s">
        <v>3379</v>
      </c>
      <c r="O1366" s="8" t="s">
        <v>3190</v>
      </c>
      <c r="P1366" s="8"/>
      <c r="Q1366" s="8"/>
      <c r="R1366" s="8">
        <v>4596</v>
      </c>
      <c r="S1366" s="8"/>
      <c r="T1366" s="8"/>
      <c r="U1366" s="8"/>
      <c r="V1366" s="8"/>
      <c r="W1366" s="8"/>
      <c r="X1366" s="8"/>
      <c r="Y1366" s="8"/>
      <c r="Z1366" s="10" t="s">
        <v>3696</v>
      </c>
      <c r="AA1366" s="8" t="s">
        <v>332</v>
      </c>
      <c r="AB1366" s="8">
        <v>1</v>
      </c>
    </row>
    <row r="1367" spans="1:28" ht="21.6" customHeight="1">
      <c r="A1367" s="8">
        <v>308</v>
      </c>
      <c r="B1367" s="8">
        <v>2025112809</v>
      </c>
      <c r="C1367" s="8">
        <v>1</v>
      </c>
      <c r="D1367" s="8" t="s">
        <v>3177</v>
      </c>
      <c r="E1367" s="8" t="s">
        <v>118</v>
      </c>
      <c r="F1367" s="8" t="s">
        <v>4612</v>
      </c>
      <c r="G1367" s="8" t="s">
        <v>3387</v>
      </c>
      <c r="H1367" s="8" t="s">
        <v>3426</v>
      </c>
      <c r="I1367" s="8" t="s">
        <v>4621</v>
      </c>
      <c r="J1367" s="8" t="s">
        <v>4531</v>
      </c>
      <c r="K1367" s="8" t="s">
        <v>3183</v>
      </c>
      <c r="L1367" s="10" t="s">
        <v>3377</v>
      </c>
      <c r="M1367" s="10" t="s">
        <v>4622</v>
      </c>
      <c r="N1367" s="10" t="s">
        <v>4623</v>
      </c>
      <c r="O1367" s="8" t="s">
        <v>3190</v>
      </c>
      <c r="P1367" s="8"/>
      <c r="Q1367" s="8"/>
      <c r="R1367" s="8">
        <v>1253</v>
      </c>
      <c r="S1367" s="8"/>
      <c r="T1367" s="8"/>
      <c r="U1367" s="8"/>
      <c r="V1367" s="8"/>
      <c r="W1367" s="8"/>
      <c r="X1367" s="8"/>
      <c r="Y1367" s="8"/>
      <c r="Z1367" s="10" t="s">
        <v>3696</v>
      </c>
      <c r="AA1367" s="8" t="s">
        <v>332</v>
      </c>
      <c r="AB1367" s="8">
        <v>1</v>
      </c>
    </row>
    <row r="1368" spans="1:28" ht="21.6" customHeight="1">
      <c r="A1368" s="8">
        <v>6</v>
      </c>
      <c r="B1368" s="8">
        <v>2025112425</v>
      </c>
      <c r="C1368" s="8">
        <v>1</v>
      </c>
      <c r="D1368" s="8" t="s">
        <v>3177</v>
      </c>
      <c r="E1368" s="8" t="s">
        <v>123</v>
      </c>
      <c r="F1368" s="8" t="s">
        <v>4599</v>
      </c>
      <c r="G1368" s="8" t="s">
        <v>3920</v>
      </c>
      <c r="H1368" s="8" t="s">
        <v>4600</v>
      </c>
      <c r="I1368" s="8" t="s">
        <v>3218</v>
      </c>
      <c r="J1368" s="8" t="s">
        <v>3195</v>
      </c>
      <c r="K1368" s="8" t="s">
        <v>3183</v>
      </c>
      <c r="L1368" s="10" t="s">
        <v>3219</v>
      </c>
      <c r="M1368" s="10" t="s">
        <v>3220</v>
      </c>
      <c r="N1368" s="10"/>
      <c r="O1368" s="8" t="s">
        <v>3190</v>
      </c>
      <c r="P1368" s="8"/>
      <c r="Q1368" s="8">
        <v>187</v>
      </c>
      <c r="R1368" s="8">
        <v>7627</v>
      </c>
      <c r="S1368" s="8"/>
      <c r="T1368" s="8"/>
      <c r="U1368" s="8"/>
      <c r="V1368" s="8"/>
      <c r="W1368" s="8"/>
      <c r="X1368" s="8"/>
      <c r="Y1368" s="8"/>
      <c r="Z1368" s="10" t="s">
        <v>3186</v>
      </c>
      <c r="AA1368" s="8" t="s">
        <v>332</v>
      </c>
      <c r="AB1368" s="8">
        <v>1</v>
      </c>
    </row>
    <row r="1369" spans="1:28" ht="21.6" customHeight="1">
      <c r="A1369" s="8">
        <v>14</v>
      </c>
      <c r="B1369" s="8">
        <v>2025112532</v>
      </c>
      <c r="C1369" s="8">
        <v>1</v>
      </c>
      <c r="D1369" s="8" t="s">
        <v>3177</v>
      </c>
      <c r="E1369" s="8" t="s">
        <v>123</v>
      </c>
      <c r="F1369" s="8" t="s">
        <v>4599</v>
      </c>
      <c r="G1369" s="8" t="s">
        <v>3660</v>
      </c>
      <c r="H1369" s="8" t="s">
        <v>3661</v>
      </c>
      <c r="I1369" s="8" t="s">
        <v>3240</v>
      </c>
      <c r="J1369" s="8" t="s">
        <v>3224</v>
      </c>
      <c r="K1369" s="8" t="s">
        <v>3183</v>
      </c>
      <c r="L1369" s="10" t="s">
        <v>3241</v>
      </c>
      <c r="M1369" s="10" t="s">
        <v>3242</v>
      </c>
      <c r="N1369" s="10"/>
      <c r="O1369" s="8" t="s">
        <v>3190</v>
      </c>
      <c r="P1369" s="8"/>
      <c r="Q1369" s="8">
        <v>2239</v>
      </c>
      <c r="R1369" s="8">
        <v>2172</v>
      </c>
      <c r="S1369" s="8"/>
      <c r="T1369" s="8"/>
      <c r="U1369" s="8"/>
      <c r="V1369" s="8"/>
      <c r="W1369" s="8"/>
      <c r="X1369" s="8"/>
      <c r="Y1369" s="8"/>
      <c r="Z1369" s="10" t="s">
        <v>3186</v>
      </c>
      <c r="AA1369" s="8" t="s">
        <v>332</v>
      </c>
      <c r="AB1369" s="8">
        <v>1</v>
      </c>
    </row>
    <row r="1370" spans="1:28" ht="21.6" customHeight="1">
      <c r="A1370" s="8">
        <v>179</v>
      </c>
      <c r="B1370" s="8">
        <v>2025113163</v>
      </c>
      <c r="C1370" s="8">
        <v>1</v>
      </c>
      <c r="D1370" s="8" t="s">
        <v>3177</v>
      </c>
      <c r="E1370" s="8" t="s">
        <v>118</v>
      </c>
      <c r="F1370" s="8" t="s">
        <v>4624</v>
      </c>
      <c r="G1370" s="8" t="s">
        <v>3363</v>
      </c>
      <c r="H1370" s="8" t="s">
        <v>3233</v>
      </c>
      <c r="I1370" s="8" t="s">
        <v>3408</v>
      </c>
      <c r="J1370" s="8" t="s">
        <v>3253</v>
      </c>
      <c r="K1370" s="8" t="s">
        <v>3183</v>
      </c>
      <c r="L1370" s="10" t="s">
        <v>3409</v>
      </c>
      <c r="M1370" s="10" t="s">
        <v>3410</v>
      </c>
      <c r="N1370" s="10"/>
      <c r="O1370" s="8" t="s">
        <v>322</v>
      </c>
      <c r="P1370" s="8"/>
      <c r="Q1370" s="8"/>
      <c r="R1370" s="8">
        <v>340073</v>
      </c>
      <c r="S1370" s="8" t="s">
        <v>332</v>
      </c>
      <c r="T1370" s="8"/>
      <c r="U1370" s="8"/>
      <c r="V1370" s="8"/>
      <c r="W1370" s="8"/>
      <c r="X1370" s="8"/>
      <c r="Y1370" s="8"/>
      <c r="Z1370" s="10" t="s">
        <v>3696</v>
      </c>
      <c r="AA1370" s="8" t="s">
        <v>332</v>
      </c>
      <c r="AB1370" s="8">
        <v>1</v>
      </c>
    </row>
    <row r="1371" spans="1:28" ht="21.6" customHeight="1">
      <c r="A1371" s="8">
        <v>221</v>
      </c>
      <c r="B1371" s="8">
        <v>2025113161</v>
      </c>
      <c r="C1371" s="8">
        <v>1</v>
      </c>
      <c r="D1371" s="8" t="s">
        <v>3177</v>
      </c>
      <c r="E1371" s="8" t="s">
        <v>118</v>
      </c>
      <c r="F1371" s="8" t="s">
        <v>4624</v>
      </c>
      <c r="G1371" s="8" t="s">
        <v>3280</v>
      </c>
      <c r="H1371" s="8" t="s">
        <v>3363</v>
      </c>
      <c r="I1371" s="8" t="s">
        <v>3470</v>
      </c>
      <c r="J1371" s="8" t="s">
        <v>3471</v>
      </c>
      <c r="K1371" s="8" t="s">
        <v>3183</v>
      </c>
      <c r="L1371" s="10" t="s">
        <v>3472</v>
      </c>
      <c r="M1371" s="10" t="s">
        <v>3410</v>
      </c>
      <c r="N1371" s="10" t="s">
        <v>3442</v>
      </c>
      <c r="O1371" s="8" t="s">
        <v>322</v>
      </c>
      <c r="P1371" s="8"/>
      <c r="Q1371" s="8"/>
      <c r="R1371" s="8">
        <v>76018</v>
      </c>
      <c r="S1371" s="8" t="s">
        <v>332</v>
      </c>
      <c r="T1371" s="8"/>
      <c r="U1371" s="8"/>
      <c r="V1371" s="8"/>
      <c r="W1371" s="8"/>
      <c r="X1371" s="8"/>
      <c r="Y1371" s="8"/>
      <c r="Z1371" s="10" t="s">
        <v>3696</v>
      </c>
      <c r="AA1371" s="8" t="s">
        <v>332</v>
      </c>
      <c r="AB1371" s="8">
        <v>1</v>
      </c>
    </row>
    <row r="1372" spans="1:28" ht="21.6" customHeight="1">
      <c r="A1372" s="8">
        <v>225</v>
      </c>
      <c r="B1372" s="8">
        <v>2025113194</v>
      </c>
      <c r="C1372" s="8">
        <v>1</v>
      </c>
      <c r="D1372" s="8" t="s">
        <v>3177</v>
      </c>
      <c r="E1372" s="8" t="s">
        <v>118</v>
      </c>
      <c r="F1372" s="8" t="s">
        <v>4624</v>
      </c>
      <c r="G1372" s="8" t="s">
        <v>3357</v>
      </c>
      <c r="H1372" s="8" t="s">
        <v>3342</v>
      </c>
      <c r="I1372" s="8" t="s">
        <v>3474</v>
      </c>
      <c r="J1372" s="8" t="s">
        <v>3288</v>
      </c>
      <c r="K1372" s="8" t="s">
        <v>3183</v>
      </c>
      <c r="L1372" s="10" t="s">
        <v>3389</v>
      </c>
      <c r="M1372" s="10" t="s">
        <v>3475</v>
      </c>
      <c r="N1372" s="10" t="s">
        <v>3476</v>
      </c>
      <c r="O1372" s="8" t="s">
        <v>322</v>
      </c>
      <c r="P1372" s="8"/>
      <c r="Q1372" s="8">
        <v>74</v>
      </c>
      <c r="R1372" s="8">
        <v>2831</v>
      </c>
      <c r="S1372" s="8"/>
      <c r="T1372" s="8"/>
      <c r="U1372" s="8" t="s">
        <v>332</v>
      </c>
      <c r="V1372" s="8"/>
      <c r="W1372" s="8"/>
      <c r="X1372" s="8"/>
      <c r="Y1372" s="8"/>
      <c r="Z1372" s="10" t="s">
        <v>3362</v>
      </c>
      <c r="AA1372" s="8" t="s">
        <v>332</v>
      </c>
      <c r="AB1372" s="8">
        <v>1</v>
      </c>
    </row>
    <row r="1373" spans="1:28" ht="21.6" customHeight="1">
      <c r="A1373" s="8">
        <v>232</v>
      </c>
      <c r="B1373" s="8">
        <v>2025113193</v>
      </c>
      <c r="C1373" s="8">
        <v>1</v>
      </c>
      <c r="D1373" s="8" t="s">
        <v>3177</v>
      </c>
      <c r="E1373" s="8" t="s">
        <v>118</v>
      </c>
      <c r="F1373" s="8" t="s">
        <v>4624</v>
      </c>
      <c r="G1373" s="8" t="s">
        <v>3401</v>
      </c>
      <c r="H1373" s="8" t="s">
        <v>3357</v>
      </c>
      <c r="I1373" s="8" t="s">
        <v>4397</v>
      </c>
      <c r="J1373" s="8" t="s">
        <v>3288</v>
      </c>
      <c r="K1373" s="8" t="s">
        <v>3183</v>
      </c>
      <c r="L1373" s="10" t="s">
        <v>3254</v>
      </c>
      <c r="M1373" s="10" t="s">
        <v>3734</v>
      </c>
      <c r="N1373" s="10" t="s">
        <v>3735</v>
      </c>
      <c r="O1373" s="8" t="s">
        <v>322</v>
      </c>
      <c r="P1373" s="8"/>
      <c r="Q1373" s="8">
        <v>112</v>
      </c>
      <c r="R1373" s="8">
        <v>11429</v>
      </c>
      <c r="S1373" s="8"/>
      <c r="T1373" s="8"/>
      <c r="U1373" s="8" t="s">
        <v>332</v>
      </c>
      <c r="V1373" s="8"/>
      <c r="W1373" s="8"/>
      <c r="X1373" s="8"/>
      <c r="Y1373" s="8"/>
      <c r="Z1373" s="10" t="s">
        <v>3362</v>
      </c>
      <c r="AA1373" s="8" t="s">
        <v>332</v>
      </c>
      <c r="AB1373" s="8">
        <v>1</v>
      </c>
    </row>
    <row r="1374" spans="1:28" ht="21.6" customHeight="1">
      <c r="A1374" s="8">
        <v>246</v>
      </c>
      <c r="B1374" s="8">
        <v>2025112287</v>
      </c>
      <c r="C1374" s="8">
        <v>1</v>
      </c>
      <c r="D1374" s="8" t="s">
        <v>3177</v>
      </c>
      <c r="E1374" s="8" t="s">
        <v>118</v>
      </c>
      <c r="F1374" s="8" t="s">
        <v>4595</v>
      </c>
      <c r="G1374" s="8" t="s">
        <v>3368</v>
      </c>
      <c r="H1374" s="8" t="s">
        <v>3250</v>
      </c>
      <c r="I1374" s="8" t="s">
        <v>4542</v>
      </c>
      <c r="J1374" s="8" t="s">
        <v>3301</v>
      </c>
      <c r="K1374" s="8" t="s">
        <v>3183</v>
      </c>
      <c r="L1374" s="10" t="s">
        <v>3563</v>
      </c>
      <c r="M1374" s="10" t="s">
        <v>3564</v>
      </c>
      <c r="N1374" s="10" t="s">
        <v>3565</v>
      </c>
      <c r="O1374" s="8" t="s">
        <v>322</v>
      </c>
      <c r="P1374" s="8"/>
      <c r="Q1374" s="8">
        <v>895</v>
      </c>
      <c r="R1374" s="8">
        <v>16305</v>
      </c>
      <c r="S1374" s="8"/>
      <c r="T1374" s="8"/>
      <c r="U1374" s="8"/>
      <c r="V1374" s="8"/>
      <c r="W1374" s="8"/>
      <c r="X1374" s="8"/>
      <c r="Y1374" s="8" t="s">
        <v>332</v>
      </c>
      <c r="Z1374" s="10" t="s">
        <v>4596</v>
      </c>
      <c r="AA1374" s="8" t="s">
        <v>332</v>
      </c>
      <c r="AB1374" s="8">
        <v>1</v>
      </c>
    </row>
    <row r="1375" spans="1:28" ht="21.6" customHeight="1">
      <c r="A1375" s="8">
        <v>251</v>
      </c>
      <c r="B1375" s="8">
        <v>2025113363</v>
      </c>
      <c r="C1375" s="8">
        <v>1</v>
      </c>
      <c r="D1375" s="8" t="s">
        <v>3177</v>
      </c>
      <c r="E1375" s="8" t="s">
        <v>118</v>
      </c>
      <c r="F1375" s="8" t="s">
        <v>4624</v>
      </c>
      <c r="G1375" s="8" t="s">
        <v>3431</v>
      </c>
      <c r="H1375" s="8" t="s">
        <v>3432</v>
      </c>
      <c r="I1375" s="8" t="s">
        <v>3978</v>
      </c>
      <c r="J1375" s="8" t="s">
        <v>3301</v>
      </c>
      <c r="K1375" s="8" t="s">
        <v>3183</v>
      </c>
      <c r="L1375" s="10" t="s">
        <v>4481</v>
      </c>
      <c r="M1375" s="10" t="s">
        <v>3980</v>
      </c>
      <c r="N1375" s="10" t="s">
        <v>3497</v>
      </c>
      <c r="O1375" s="8" t="s">
        <v>322</v>
      </c>
      <c r="P1375" s="8"/>
      <c r="Q1375" s="8">
        <v>6296</v>
      </c>
      <c r="R1375" s="8">
        <v>12863</v>
      </c>
      <c r="S1375" s="8"/>
      <c r="T1375" s="8"/>
      <c r="U1375" s="8" t="s">
        <v>332</v>
      </c>
      <c r="V1375" s="8"/>
      <c r="W1375" s="8"/>
      <c r="X1375" s="8"/>
      <c r="Y1375" s="8"/>
      <c r="Z1375" s="10" t="s">
        <v>3362</v>
      </c>
      <c r="AA1375" s="8" t="s">
        <v>332</v>
      </c>
      <c r="AB1375" s="8">
        <v>1</v>
      </c>
    </row>
    <row r="1376" spans="1:28" ht="21.6" customHeight="1">
      <c r="A1376" s="8">
        <v>277</v>
      </c>
      <c r="B1376" s="8">
        <v>2025113159</v>
      </c>
      <c r="C1376" s="8">
        <v>1</v>
      </c>
      <c r="D1376" s="8" t="s">
        <v>3177</v>
      </c>
      <c r="E1376" s="8" t="s">
        <v>118</v>
      </c>
      <c r="F1376" s="8" t="s">
        <v>4624</v>
      </c>
      <c r="G1376" s="8" t="s">
        <v>3350</v>
      </c>
      <c r="H1376" s="8" t="s">
        <v>3280</v>
      </c>
      <c r="I1376" s="8" t="s">
        <v>3572</v>
      </c>
      <c r="J1376" s="8" t="s">
        <v>1717</v>
      </c>
      <c r="K1376" s="8" t="s">
        <v>3183</v>
      </c>
      <c r="L1376" s="10" t="s">
        <v>3472</v>
      </c>
      <c r="M1376" s="10" t="s">
        <v>3410</v>
      </c>
      <c r="N1376" s="10" t="s">
        <v>3442</v>
      </c>
      <c r="O1376" s="8" t="s">
        <v>322</v>
      </c>
      <c r="P1376" s="8"/>
      <c r="Q1376" s="8"/>
      <c r="R1376" s="8">
        <v>116110</v>
      </c>
      <c r="S1376" s="8" t="s">
        <v>332</v>
      </c>
      <c r="T1376" s="8"/>
      <c r="U1376" s="8"/>
      <c r="V1376" s="8"/>
      <c r="W1376" s="8"/>
      <c r="X1376" s="8"/>
      <c r="Y1376" s="8"/>
      <c r="Z1376" s="10" t="s">
        <v>3696</v>
      </c>
      <c r="AA1376" s="8" t="s">
        <v>332</v>
      </c>
      <c r="AB1376" s="8">
        <v>1</v>
      </c>
    </row>
    <row r="1377" spans="1:28" ht="21.6" customHeight="1">
      <c r="A1377" s="8">
        <v>329</v>
      </c>
      <c r="B1377" s="8">
        <v>2025112807</v>
      </c>
      <c r="C1377" s="8">
        <v>1</v>
      </c>
      <c r="D1377" s="8" t="s">
        <v>3177</v>
      </c>
      <c r="E1377" s="8" t="s">
        <v>118</v>
      </c>
      <c r="F1377" s="8" t="s">
        <v>4612</v>
      </c>
      <c r="G1377" s="8" t="s">
        <v>3386</v>
      </c>
      <c r="H1377" s="8" t="s">
        <v>3387</v>
      </c>
      <c r="I1377" s="8" t="s">
        <v>4625</v>
      </c>
      <c r="J1377" s="8" t="s">
        <v>4531</v>
      </c>
      <c r="K1377" s="8" t="s">
        <v>3183</v>
      </c>
      <c r="L1377" s="10" t="s">
        <v>3377</v>
      </c>
      <c r="M1377" s="10" t="s">
        <v>4626</v>
      </c>
      <c r="N1377" s="10" t="s">
        <v>4627</v>
      </c>
      <c r="O1377" s="8" t="s">
        <v>3190</v>
      </c>
      <c r="P1377" s="8"/>
      <c r="Q1377" s="8"/>
      <c r="R1377" s="8">
        <v>2500</v>
      </c>
      <c r="S1377" s="8"/>
      <c r="T1377" s="8"/>
      <c r="U1377" s="8"/>
      <c r="V1377" s="8"/>
      <c r="W1377" s="8"/>
      <c r="X1377" s="8"/>
      <c r="Y1377" s="8"/>
      <c r="Z1377" s="10" t="s">
        <v>3696</v>
      </c>
      <c r="AA1377" s="8" t="s">
        <v>332</v>
      </c>
      <c r="AB1377" s="8">
        <v>1</v>
      </c>
    </row>
    <row r="1378" spans="1:28" ht="21.6" customHeight="1">
      <c r="A1378" s="8">
        <v>8</v>
      </c>
      <c r="B1378" s="8">
        <v>2025112461</v>
      </c>
      <c r="C1378" s="8">
        <v>1</v>
      </c>
      <c r="D1378" s="8" t="s">
        <v>3177</v>
      </c>
      <c r="E1378" s="8" t="s">
        <v>123</v>
      </c>
      <c r="F1378" s="8" t="s">
        <v>4599</v>
      </c>
      <c r="G1378" s="8" t="s">
        <v>3792</v>
      </c>
      <c r="H1378" s="8" t="s">
        <v>3793</v>
      </c>
      <c r="I1378" s="8" t="s">
        <v>3223</v>
      </c>
      <c r="J1378" s="8" t="s">
        <v>3224</v>
      </c>
      <c r="K1378" s="8" t="s">
        <v>3183</v>
      </c>
      <c r="L1378" s="10" t="s">
        <v>3225</v>
      </c>
      <c r="M1378" s="10" t="s">
        <v>3226</v>
      </c>
      <c r="N1378" s="10" t="s">
        <v>3227</v>
      </c>
      <c r="O1378" s="8" t="s">
        <v>3190</v>
      </c>
      <c r="P1378" s="8"/>
      <c r="Q1378" s="8">
        <v>330</v>
      </c>
      <c r="R1378" s="8">
        <v>1581</v>
      </c>
      <c r="S1378" s="8"/>
      <c r="T1378" s="8"/>
      <c r="U1378" s="8"/>
      <c r="V1378" s="8"/>
      <c r="W1378" s="8"/>
      <c r="X1378" s="8"/>
      <c r="Y1378" s="8"/>
      <c r="Z1378" s="10" t="s">
        <v>3186</v>
      </c>
      <c r="AA1378" s="8" t="s">
        <v>332</v>
      </c>
      <c r="AB1378" s="8">
        <v>1</v>
      </c>
    </row>
    <row r="1379" spans="1:28" ht="21.6" customHeight="1">
      <c r="A1379" s="8">
        <v>52</v>
      </c>
      <c r="B1379" s="8">
        <v>2025113456</v>
      </c>
      <c r="C1379" s="8">
        <v>1</v>
      </c>
      <c r="D1379" s="8" t="s">
        <v>3177</v>
      </c>
      <c r="E1379" s="8" t="s">
        <v>123</v>
      </c>
      <c r="F1379" s="8" t="s">
        <v>4628</v>
      </c>
      <c r="G1379" s="8" t="s">
        <v>4629</v>
      </c>
      <c r="H1379" s="8" t="s">
        <v>4630</v>
      </c>
      <c r="I1379" s="8" t="s">
        <v>3327</v>
      </c>
      <c r="J1379" s="8" t="s">
        <v>3328</v>
      </c>
      <c r="K1379" s="8" t="s">
        <v>3183</v>
      </c>
      <c r="L1379" s="10" t="s">
        <v>3320</v>
      </c>
      <c r="M1379" s="10" t="s">
        <v>3321</v>
      </c>
      <c r="N1379" s="10" t="s">
        <v>3322</v>
      </c>
      <c r="O1379" s="8" t="s">
        <v>322</v>
      </c>
      <c r="P1379" s="8"/>
      <c r="Q1379" s="8">
        <v>694</v>
      </c>
      <c r="R1379" s="8">
        <v>29526</v>
      </c>
      <c r="S1379" s="8" t="s">
        <v>332</v>
      </c>
      <c r="T1379" s="8"/>
      <c r="U1379" s="8"/>
      <c r="V1379" s="8"/>
      <c r="W1379" s="8"/>
      <c r="X1379" s="8"/>
      <c r="Y1379" s="8"/>
      <c r="Z1379" s="10" t="s">
        <v>3186</v>
      </c>
      <c r="AA1379" s="8" t="s">
        <v>332</v>
      </c>
      <c r="AB1379" s="8">
        <v>1</v>
      </c>
    </row>
    <row r="1380" spans="1:28" ht="21.6" customHeight="1">
      <c r="A1380" s="8">
        <v>58</v>
      </c>
      <c r="B1380" s="8">
        <v>2025113452</v>
      </c>
      <c r="C1380" s="8">
        <v>1</v>
      </c>
      <c r="D1380" s="8" t="s">
        <v>3177</v>
      </c>
      <c r="E1380" s="8" t="s">
        <v>123</v>
      </c>
      <c r="F1380" s="8" t="s">
        <v>4628</v>
      </c>
      <c r="G1380" s="8" t="s">
        <v>4631</v>
      </c>
      <c r="H1380" s="8" t="s">
        <v>3769</v>
      </c>
      <c r="I1380" s="8" t="s">
        <v>3335</v>
      </c>
      <c r="J1380" s="8" t="s">
        <v>3336</v>
      </c>
      <c r="K1380" s="8" t="s">
        <v>3183</v>
      </c>
      <c r="L1380" s="10" t="s">
        <v>3320</v>
      </c>
      <c r="M1380" s="10" t="s">
        <v>3321</v>
      </c>
      <c r="N1380" s="10" t="s">
        <v>3337</v>
      </c>
      <c r="O1380" s="8" t="s">
        <v>322</v>
      </c>
      <c r="P1380" s="8"/>
      <c r="Q1380" s="8"/>
      <c r="R1380" s="8">
        <v>149126</v>
      </c>
      <c r="S1380" s="8" t="s">
        <v>332</v>
      </c>
      <c r="T1380" s="8"/>
      <c r="U1380" s="8"/>
      <c r="V1380" s="8"/>
      <c r="W1380" s="8"/>
      <c r="X1380" s="8"/>
      <c r="Y1380" s="8"/>
      <c r="Z1380" s="10" t="s">
        <v>3186</v>
      </c>
      <c r="AA1380" s="8" t="s">
        <v>332</v>
      </c>
      <c r="AB1380" s="8">
        <v>1</v>
      </c>
    </row>
    <row r="1381" spans="1:28" ht="21.6" customHeight="1">
      <c r="A1381" s="8">
        <v>60</v>
      </c>
      <c r="B1381" s="8">
        <v>2025113454</v>
      </c>
      <c r="C1381" s="8">
        <v>1</v>
      </c>
      <c r="D1381" s="8" t="s">
        <v>3177</v>
      </c>
      <c r="E1381" s="8" t="s">
        <v>123</v>
      </c>
      <c r="F1381" s="8" t="s">
        <v>4628</v>
      </c>
      <c r="G1381" s="8" t="s">
        <v>4632</v>
      </c>
      <c r="H1381" s="8" t="s">
        <v>3645</v>
      </c>
      <c r="I1381" s="8" t="s">
        <v>3340</v>
      </c>
      <c r="J1381" s="8" t="s">
        <v>3336</v>
      </c>
      <c r="K1381" s="8" t="s">
        <v>3183</v>
      </c>
      <c r="L1381" s="10" t="s">
        <v>3320</v>
      </c>
      <c r="M1381" s="10" t="s">
        <v>3321</v>
      </c>
      <c r="N1381" s="10" t="s">
        <v>3341</v>
      </c>
      <c r="O1381" s="8" t="s">
        <v>322</v>
      </c>
      <c r="P1381" s="8"/>
      <c r="Q1381" s="8"/>
      <c r="R1381" s="8">
        <v>60957</v>
      </c>
      <c r="S1381" s="8" t="s">
        <v>332</v>
      </c>
      <c r="T1381" s="8"/>
      <c r="U1381" s="8"/>
      <c r="V1381" s="8"/>
      <c r="W1381" s="8"/>
      <c r="X1381" s="8"/>
      <c r="Y1381" s="8"/>
      <c r="Z1381" s="10" t="s">
        <v>3186</v>
      </c>
      <c r="AA1381" s="8" t="s">
        <v>332</v>
      </c>
      <c r="AB1381" s="8">
        <v>1</v>
      </c>
    </row>
    <row r="1382" spans="1:28" ht="21.6" customHeight="1">
      <c r="A1382" s="8">
        <v>148</v>
      </c>
      <c r="B1382" s="8">
        <v>2025112393</v>
      </c>
      <c r="C1382" s="8">
        <v>1</v>
      </c>
      <c r="D1382" s="8" t="s">
        <v>3177</v>
      </c>
      <c r="E1382" s="8" t="s">
        <v>118</v>
      </c>
      <c r="F1382" s="8" t="s">
        <v>4599</v>
      </c>
      <c r="G1382" s="8" t="s">
        <v>3233</v>
      </c>
      <c r="H1382" s="8" t="s">
        <v>3381</v>
      </c>
      <c r="I1382" s="8" t="s">
        <v>3358</v>
      </c>
      <c r="J1382" s="8" t="s">
        <v>3195</v>
      </c>
      <c r="K1382" s="8" t="s">
        <v>3183</v>
      </c>
      <c r="L1382" s="10" t="s">
        <v>3359</v>
      </c>
      <c r="M1382" s="10" t="s">
        <v>3360</v>
      </c>
      <c r="N1382" s="10" t="s">
        <v>3361</v>
      </c>
      <c r="O1382" s="8" t="s">
        <v>3190</v>
      </c>
      <c r="P1382" s="8"/>
      <c r="Q1382" s="8">
        <v>22958</v>
      </c>
      <c r="R1382" s="8">
        <v>88985</v>
      </c>
      <c r="S1382" s="8"/>
      <c r="T1382" s="8"/>
      <c r="U1382" s="8"/>
      <c r="V1382" s="8"/>
      <c r="W1382" s="8"/>
      <c r="X1382" s="8"/>
      <c r="Y1382" s="8"/>
      <c r="Z1382" s="10" t="s">
        <v>3696</v>
      </c>
      <c r="AA1382" s="8" t="s">
        <v>332</v>
      </c>
      <c r="AB1382" s="8">
        <v>1</v>
      </c>
    </row>
    <row r="1383" spans="1:28" ht="21.6" customHeight="1">
      <c r="A1383" s="8">
        <v>165</v>
      </c>
      <c r="B1383" s="8">
        <v>2025111679</v>
      </c>
      <c r="C1383" s="8">
        <v>1</v>
      </c>
      <c r="D1383" s="8" t="s">
        <v>3177</v>
      </c>
      <c r="E1383" s="8" t="s">
        <v>118</v>
      </c>
      <c r="F1383" s="8" t="s">
        <v>4584</v>
      </c>
      <c r="G1383" s="8" t="s">
        <v>3350</v>
      </c>
      <c r="H1383" s="8" t="s">
        <v>3280</v>
      </c>
      <c r="I1383" s="8" t="s">
        <v>3689</v>
      </c>
      <c r="J1383" s="8" t="s">
        <v>3224</v>
      </c>
      <c r="K1383" s="8" t="s">
        <v>3183</v>
      </c>
      <c r="L1383" s="10" t="s">
        <v>3344</v>
      </c>
      <c r="M1383" s="10" t="s">
        <v>3345</v>
      </c>
      <c r="N1383" s="10" t="s">
        <v>3497</v>
      </c>
      <c r="O1383" s="8" t="s">
        <v>3190</v>
      </c>
      <c r="P1383" s="8"/>
      <c r="Q1383" s="8">
        <v>1000</v>
      </c>
      <c r="R1383" s="8">
        <v>15000</v>
      </c>
      <c r="S1383" s="8"/>
      <c r="T1383" s="8"/>
      <c r="U1383" s="8"/>
      <c r="V1383" s="8"/>
      <c r="W1383" s="8"/>
      <c r="X1383" s="8"/>
      <c r="Y1383" s="8"/>
      <c r="Z1383" s="10" t="s">
        <v>3821</v>
      </c>
      <c r="AA1383" s="8" t="s">
        <v>332</v>
      </c>
      <c r="AB1383" s="8">
        <v>1</v>
      </c>
    </row>
    <row r="1384" spans="1:28" ht="21.6" customHeight="1">
      <c r="A1384" s="8">
        <v>168</v>
      </c>
      <c r="B1384" s="8">
        <v>2025113402</v>
      </c>
      <c r="C1384" s="8">
        <v>1</v>
      </c>
      <c r="D1384" s="8" t="s">
        <v>3177</v>
      </c>
      <c r="E1384" s="8" t="s">
        <v>118</v>
      </c>
      <c r="F1384" s="8" t="s">
        <v>4628</v>
      </c>
      <c r="G1384" s="8" t="s">
        <v>3280</v>
      </c>
      <c r="H1384" s="8" t="s">
        <v>3233</v>
      </c>
      <c r="I1384" s="8" t="s">
        <v>3689</v>
      </c>
      <c r="J1384" s="8" t="s">
        <v>3224</v>
      </c>
      <c r="K1384" s="8" t="s">
        <v>3183</v>
      </c>
      <c r="L1384" s="10" t="s">
        <v>3344</v>
      </c>
      <c r="M1384" s="10" t="s">
        <v>3345</v>
      </c>
      <c r="N1384" s="10" t="s">
        <v>3497</v>
      </c>
      <c r="O1384" s="8" t="s">
        <v>322</v>
      </c>
      <c r="P1384" s="8"/>
      <c r="Q1384" s="8">
        <v>1000</v>
      </c>
      <c r="R1384" s="8">
        <v>15000</v>
      </c>
      <c r="S1384" s="8"/>
      <c r="T1384" s="8"/>
      <c r="U1384" s="8"/>
      <c r="V1384" s="8"/>
      <c r="W1384" s="8"/>
      <c r="X1384" s="8"/>
      <c r="Y1384" s="8" t="s">
        <v>332</v>
      </c>
      <c r="Z1384" s="10" t="s">
        <v>4633</v>
      </c>
      <c r="AA1384" s="8" t="s">
        <v>332</v>
      </c>
      <c r="AB1384" s="8">
        <v>1</v>
      </c>
    </row>
    <row r="1385" spans="1:28" ht="21.6" customHeight="1">
      <c r="A1385" s="8">
        <v>243</v>
      </c>
      <c r="B1385" s="8">
        <v>2025113516</v>
      </c>
      <c r="C1385" s="8">
        <v>1</v>
      </c>
      <c r="D1385" s="8" t="s">
        <v>3177</v>
      </c>
      <c r="E1385" s="8" t="s">
        <v>118</v>
      </c>
      <c r="F1385" s="8" t="s">
        <v>4628</v>
      </c>
      <c r="G1385" s="8" t="s">
        <v>3387</v>
      </c>
      <c r="H1385" s="8" t="s">
        <v>4634</v>
      </c>
      <c r="I1385" s="8" t="s">
        <v>3487</v>
      </c>
      <c r="J1385" s="8" t="s">
        <v>3288</v>
      </c>
      <c r="K1385" s="8" t="s">
        <v>3183</v>
      </c>
      <c r="L1385" s="10" t="s">
        <v>3488</v>
      </c>
      <c r="M1385" s="10" t="s">
        <v>3489</v>
      </c>
      <c r="N1385" s="10" t="s">
        <v>3490</v>
      </c>
      <c r="O1385" s="8" t="s">
        <v>363</v>
      </c>
      <c r="P1385" s="8"/>
      <c r="Q1385" s="8">
        <v>30417</v>
      </c>
      <c r="R1385" s="8">
        <v>30913</v>
      </c>
      <c r="S1385" s="8"/>
      <c r="T1385" s="8"/>
      <c r="U1385" s="8"/>
      <c r="V1385" s="8"/>
      <c r="W1385" s="8"/>
      <c r="X1385" s="8"/>
      <c r="Y1385" s="8"/>
      <c r="Z1385" s="10" t="s">
        <v>4635</v>
      </c>
      <c r="AA1385" s="8" t="s">
        <v>332</v>
      </c>
      <c r="AB1385" s="8">
        <v>1</v>
      </c>
    </row>
    <row r="1386" spans="1:28" ht="21.6" customHeight="1">
      <c r="A1386" s="8">
        <v>264</v>
      </c>
      <c r="B1386" s="8">
        <v>2025110665</v>
      </c>
      <c r="C1386" s="8">
        <v>1</v>
      </c>
      <c r="D1386" s="8" t="s">
        <v>3177</v>
      </c>
      <c r="E1386" s="8" t="s">
        <v>118</v>
      </c>
      <c r="F1386" s="8" t="s">
        <v>4565</v>
      </c>
      <c r="G1386" s="8" t="s">
        <v>3368</v>
      </c>
      <c r="H1386" s="8" t="s">
        <v>3250</v>
      </c>
      <c r="I1386" s="8" t="s">
        <v>4636</v>
      </c>
      <c r="J1386" s="8" t="s">
        <v>4553</v>
      </c>
      <c r="K1386" s="8" t="s">
        <v>3183</v>
      </c>
      <c r="L1386" s="10" t="s">
        <v>3503</v>
      </c>
      <c r="M1386" s="10" t="s">
        <v>3504</v>
      </c>
      <c r="N1386" s="10" t="s">
        <v>217</v>
      </c>
      <c r="O1386" s="8" t="s">
        <v>3190</v>
      </c>
      <c r="P1386" s="8"/>
      <c r="Q1386" s="8"/>
      <c r="R1386" s="8">
        <v>5000</v>
      </c>
      <c r="S1386" s="8"/>
      <c r="T1386" s="8"/>
      <c r="U1386" s="8"/>
      <c r="V1386" s="8"/>
      <c r="W1386" s="8"/>
      <c r="X1386" s="8"/>
      <c r="Y1386" s="8"/>
      <c r="Z1386" s="10" t="s">
        <v>3696</v>
      </c>
      <c r="AA1386" s="8" t="s">
        <v>332</v>
      </c>
      <c r="AB1386" s="8">
        <v>1</v>
      </c>
    </row>
    <row r="1387" spans="1:28" ht="21.6" customHeight="1">
      <c r="A1387" s="8">
        <v>26</v>
      </c>
      <c r="B1387" s="8">
        <v>2025112914</v>
      </c>
      <c r="C1387" s="8">
        <v>1</v>
      </c>
      <c r="D1387" s="8" t="s">
        <v>3177</v>
      </c>
      <c r="E1387" s="8" t="s">
        <v>123</v>
      </c>
      <c r="F1387" s="8" t="s">
        <v>4616</v>
      </c>
      <c r="G1387" s="8" t="s">
        <v>3617</v>
      </c>
      <c r="H1387" s="8" t="s">
        <v>3848</v>
      </c>
      <c r="I1387" s="8" t="s">
        <v>4385</v>
      </c>
      <c r="J1387" s="8" t="s">
        <v>4386</v>
      </c>
      <c r="K1387" s="8" t="s">
        <v>3183</v>
      </c>
      <c r="L1387" s="10" t="s">
        <v>3629</v>
      </c>
      <c r="M1387" s="10" t="s">
        <v>4387</v>
      </c>
      <c r="N1387" s="10"/>
      <c r="O1387" s="8" t="s">
        <v>3190</v>
      </c>
      <c r="P1387" s="8"/>
      <c r="Q1387" s="8"/>
      <c r="R1387" s="8">
        <v>31568</v>
      </c>
      <c r="S1387" s="8"/>
      <c r="T1387" s="8"/>
      <c r="U1387" s="8"/>
      <c r="V1387" s="8"/>
      <c r="W1387" s="8"/>
      <c r="X1387" s="8"/>
      <c r="Y1387" s="8"/>
      <c r="Z1387" s="10" t="s">
        <v>3186</v>
      </c>
      <c r="AA1387" s="8" t="s">
        <v>332</v>
      </c>
      <c r="AB1387" s="8">
        <v>1</v>
      </c>
    </row>
    <row r="1388" spans="1:28" ht="21.6" customHeight="1">
      <c r="A1388" s="8">
        <v>36</v>
      </c>
      <c r="B1388" s="8">
        <v>2025113612</v>
      </c>
      <c r="C1388" s="8">
        <v>1</v>
      </c>
      <c r="D1388" s="8" t="s">
        <v>3177</v>
      </c>
      <c r="E1388" s="8" t="s">
        <v>123</v>
      </c>
      <c r="F1388" s="8" t="s">
        <v>4637</v>
      </c>
      <c r="G1388" s="8" t="s">
        <v>3250</v>
      </c>
      <c r="H1388" s="8" t="s">
        <v>3792</v>
      </c>
      <c r="I1388" s="8" t="s">
        <v>3908</v>
      </c>
      <c r="J1388" s="8" t="s">
        <v>3253</v>
      </c>
      <c r="K1388" s="8" t="s">
        <v>3183</v>
      </c>
      <c r="L1388" s="10" t="s">
        <v>3629</v>
      </c>
      <c r="M1388" s="10" t="s">
        <v>3909</v>
      </c>
      <c r="N1388" s="10" t="s">
        <v>123</v>
      </c>
      <c r="O1388" s="8" t="s">
        <v>322</v>
      </c>
      <c r="P1388" s="8"/>
      <c r="Q1388" s="8"/>
      <c r="R1388" s="8">
        <v>38715</v>
      </c>
      <c r="S1388" s="8"/>
      <c r="T1388" s="8"/>
      <c r="U1388" s="8"/>
      <c r="V1388" s="8"/>
      <c r="W1388" s="8"/>
      <c r="X1388" s="8"/>
      <c r="Y1388" s="8" t="s">
        <v>332</v>
      </c>
      <c r="Z1388" s="10" t="s">
        <v>4638</v>
      </c>
      <c r="AA1388" s="8" t="s">
        <v>332</v>
      </c>
      <c r="AB1388" s="8">
        <v>1</v>
      </c>
    </row>
    <row r="1389" spans="1:28" ht="21.6" customHeight="1">
      <c r="A1389" s="8">
        <v>53</v>
      </c>
      <c r="B1389" s="8">
        <v>2025113457</v>
      </c>
      <c r="C1389" s="8">
        <v>1</v>
      </c>
      <c r="D1389" s="8" t="s">
        <v>3177</v>
      </c>
      <c r="E1389" s="8" t="s">
        <v>123</v>
      </c>
      <c r="F1389" s="8" t="s">
        <v>4628</v>
      </c>
      <c r="G1389" s="8" t="s">
        <v>4629</v>
      </c>
      <c r="H1389" s="8" t="s">
        <v>4630</v>
      </c>
      <c r="I1389" s="8" t="s">
        <v>3327</v>
      </c>
      <c r="J1389" s="8" t="s">
        <v>3328</v>
      </c>
      <c r="K1389" s="8" t="s">
        <v>3183</v>
      </c>
      <c r="L1389" s="10" t="s">
        <v>3320</v>
      </c>
      <c r="M1389" s="10" t="s">
        <v>3321</v>
      </c>
      <c r="N1389" s="10" t="s">
        <v>3322</v>
      </c>
      <c r="O1389" s="8" t="s">
        <v>3190</v>
      </c>
      <c r="P1389" s="8"/>
      <c r="Q1389" s="8">
        <v>694</v>
      </c>
      <c r="R1389" s="8">
        <v>29526</v>
      </c>
      <c r="S1389" s="8"/>
      <c r="T1389" s="8"/>
      <c r="U1389" s="8"/>
      <c r="V1389" s="8"/>
      <c r="W1389" s="8"/>
      <c r="X1389" s="8"/>
      <c r="Y1389" s="8"/>
      <c r="Z1389" s="10" t="s">
        <v>3186</v>
      </c>
      <c r="AA1389" s="8" t="s">
        <v>332</v>
      </c>
      <c r="AB1389" s="8">
        <v>1</v>
      </c>
    </row>
    <row r="1390" spans="1:28" ht="21.6" customHeight="1">
      <c r="A1390" s="8">
        <v>261</v>
      </c>
      <c r="B1390" s="8">
        <v>2025113598</v>
      </c>
      <c r="C1390" s="8">
        <v>1</v>
      </c>
      <c r="D1390" s="8" t="s">
        <v>3177</v>
      </c>
      <c r="E1390" s="8" t="s">
        <v>118</v>
      </c>
      <c r="F1390" s="8" t="s">
        <v>4637</v>
      </c>
      <c r="G1390" s="8" t="s">
        <v>3280</v>
      </c>
      <c r="H1390" s="8" t="s">
        <v>3342</v>
      </c>
      <c r="I1390" s="8" t="s">
        <v>3536</v>
      </c>
      <c r="J1390" s="8" t="s">
        <v>3298</v>
      </c>
      <c r="K1390" s="8" t="s">
        <v>3183</v>
      </c>
      <c r="L1390" s="10" t="s">
        <v>3537</v>
      </c>
      <c r="M1390" s="10" t="s">
        <v>3538</v>
      </c>
      <c r="N1390" s="10"/>
      <c r="O1390" s="8" t="s">
        <v>322</v>
      </c>
      <c r="P1390" s="8"/>
      <c r="Q1390" s="8"/>
      <c r="R1390" s="8">
        <v>143775</v>
      </c>
      <c r="S1390" s="8"/>
      <c r="T1390" s="8"/>
      <c r="U1390" s="8"/>
      <c r="V1390" s="8"/>
      <c r="W1390" s="8"/>
      <c r="X1390" s="8"/>
      <c r="Y1390" s="8" t="s">
        <v>332</v>
      </c>
      <c r="Z1390" s="10" t="s">
        <v>4639</v>
      </c>
      <c r="AA1390" s="8" t="s">
        <v>332</v>
      </c>
      <c r="AB1390" s="8">
        <v>1</v>
      </c>
    </row>
    <row r="1391" spans="1:28" ht="21.6" customHeight="1">
      <c r="A1391" s="8">
        <v>34</v>
      </c>
      <c r="B1391" s="8">
        <v>2025112927</v>
      </c>
      <c r="C1391" s="8">
        <v>1</v>
      </c>
      <c r="D1391" s="8" t="s">
        <v>3177</v>
      </c>
      <c r="E1391" s="8" t="s">
        <v>123</v>
      </c>
      <c r="F1391" s="8" t="s">
        <v>4616</v>
      </c>
      <c r="G1391" s="8" t="s">
        <v>3609</v>
      </c>
      <c r="H1391" s="8" t="s">
        <v>4010</v>
      </c>
      <c r="I1391" s="8" t="s">
        <v>3908</v>
      </c>
      <c r="J1391" s="8" t="s">
        <v>3253</v>
      </c>
      <c r="K1391" s="8" t="s">
        <v>3183</v>
      </c>
      <c r="L1391" s="10" t="s">
        <v>3629</v>
      </c>
      <c r="M1391" s="10" t="s">
        <v>3909</v>
      </c>
      <c r="N1391" s="10" t="s">
        <v>123</v>
      </c>
      <c r="O1391" s="8" t="s">
        <v>3190</v>
      </c>
      <c r="P1391" s="8"/>
      <c r="Q1391" s="8"/>
      <c r="R1391" s="8">
        <v>38715</v>
      </c>
      <c r="S1391" s="8"/>
      <c r="T1391" s="8"/>
      <c r="U1391" s="8"/>
      <c r="V1391" s="8"/>
      <c r="W1391" s="8"/>
      <c r="X1391" s="8"/>
      <c r="Y1391" s="8"/>
      <c r="Z1391" s="10" t="s">
        <v>3186</v>
      </c>
      <c r="AA1391" s="8" t="s">
        <v>332</v>
      </c>
      <c r="AB1391" s="8">
        <v>1</v>
      </c>
    </row>
    <row r="1392" spans="1:28" ht="21.6" customHeight="1">
      <c r="A1392" s="8">
        <v>237</v>
      </c>
      <c r="B1392" s="8">
        <v>2025113162</v>
      </c>
      <c r="C1392" s="8">
        <v>1</v>
      </c>
      <c r="D1392" s="8" t="s">
        <v>3177</v>
      </c>
      <c r="E1392" s="8" t="s">
        <v>118</v>
      </c>
      <c r="F1392" s="8" t="s">
        <v>4624</v>
      </c>
      <c r="G1392" s="8" t="s">
        <v>3280</v>
      </c>
      <c r="H1392" s="8" t="s">
        <v>3363</v>
      </c>
      <c r="I1392" s="8" t="s">
        <v>3470</v>
      </c>
      <c r="J1392" s="8" t="s">
        <v>3471</v>
      </c>
      <c r="K1392" s="8" t="s">
        <v>3183</v>
      </c>
      <c r="L1392" s="10" t="s">
        <v>3472</v>
      </c>
      <c r="M1392" s="10" t="s">
        <v>3410</v>
      </c>
      <c r="N1392" s="10" t="s">
        <v>3442</v>
      </c>
      <c r="O1392" s="8" t="s">
        <v>3190</v>
      </c>
      <c r="P1392" s="8"/>
      <c r="Q1392" s="8"/>
      <c r="R1392" s="8">
        <v>76018</v>
      </c>
      <c r="S1392" s="8"/>
      <c r="T1392" s="8"/>
      <c r="U1392" s="8"/>
      <c r="V1392" s="8"/>
      <c r="W1392" s="8"/>
      <c r="X1392" s="8"/>
      <c r="Y1392" s="8"/>
      <c r="Z1392" s="10" t="s">
        <v>3696</v>
      </c>
      <c r="AA1392" s="8" t="s">
        <v>332</v>
      </c>
      <c r="AB1392" s="8">
        <v>1</v>
      </c>
    </row>
    <row r="1393" spans="1:28" ht="21.6" customHeight="1">
      <c r="A1393" s="8">
        <v>264</v>
      </c>
      <c r="B1393" s="8">
        <v>2025113650</v>
      </c>
      <c r="C1393" s="8">
        <v>1</v>
      </c>
      <c r="D1393" s="8" t="s">
        <v>3177</v>
      </c>
      <c r="E1393" s="8" t="s">
        <v>118</v>
      </c>
      <c r="F1393" s="8" t="s">
        <v>4637</v>
      </c>
      <c r="G1393" s="8" t="s">
        <v>3386</v>
      </c>
      <c r="H1393" s="8" t="s">
        <v>3426</v>
      </c>
      <c r="I1393" s="8" t="s">
        <v>3536</v>
      </c>
      <c r="J1393" s="8" t="s">
        <v>3298</v>
      </c>
      <c r="K1393" s="8" t="s">
        <v>3183</v>
      </c>
      <c r="L1393" s="10" t="s">
        <v>3537</v>
      </c>
      <c r="M1393" s="10" t="s">
        <v>3538</v>
      </c>
      <c r="N1393" s="10"/>
      <c r="O1393" s="8" t="s">
        <v>322</v>
      </c>
      <c r="P1393" s="8"/>
      <c r="Q1393" s="8"/>
      <c r="R1393" s="8">
        <v>143775</v>
      </c>
      <c r="S1393" s="8"/>
      <c r="T1393" s="8"/>
      <c r="U1393" s="8"/>
      <c r="V1393" s="8"/>
      <c r="W1393" s="8"/>
      <c r="X1393" s="8"/>
      <c r="Y1393" s="8" t="s">
        <v>332</v>
      </c>
      <c r="Z1393" s="10" t="s">
        <v>4640</v>
      </c>
      <c r="AA1393" s="8" t="s">
        <v>332</v>
      </c>
      <c r="AB1393" s="8">
        <v>1</v>
      </c>
    </row>
    <row r="1394" spans="1:28" ht="21.6" customHeight="1">
      <c r="A1394" s="8">
        <v>61</v>
      </c>
      <c r="B1394" s="8">
        <v>2025113455</v>
      </c>
      <c r="C1394" s="8">
        <v>1</v>
      </c>
      <c r="D1394" s="8" t="s">
        <v>3177</v>
      </c>
      <c r="E1394" s="8" t="s">
        <v>123</v>
      </c>
      <c r="F1394" s="8" t="s">
        <v>4628</v>
      </c>
      <c r="G1394" s="8" t="s">
        <v>4632</v>
      </c>
      <c r="H1394" s="8" t="s">
        <v>3645</v>
      </c>
      <c r="I1394" s="8" t="s">
        <v>3340</v>
      </c>
      <c r="J1394" s="8" t="s">
        <v>3336</v>
      </c>
      <c r="K1394" s="8" t="s">
        <v>3183</v>
      </c>
      <c r="L1394" s="10" t="s">
        <v>3320</v>
      </c>
      <c r="M1394" s="10" t="s">
        <v>3321</v>
      </c>
      <c r="N1394" s="10" t="s">
        <v>3341</v>
      </c>
      <c r="O1394" s="8" t="s">
        <v>3190</v>
      </c>
      <c r="P1394" s="8"/>
      <c r="Q1394" s="8"/>
      <c r="R1394" s="8">
        <v>60957</v>
      </c>
      <c r="S1394" s="8"/>
      <c r="T1394" s="8"/>
      <c r="U1394" s="8"/>
      <c r="V1394" s="8"/>
      <c r="W1394" s="8"/>
      <c r="X1394" s="8"/>
      <c r="Y1394" s="8"/>
      <c r="Z1394" s="10" t="s">
        <v>3186</v>
      </c>
      <c r="AA1394" s="8" t="s">
        <v>332</v>
      </c>
      <c r="AB1394" s="8">
        <v>1</v>
      </c>
    </row>
    <row r="1395" spans="1:28" ht="21.6" customHeight="1">
      <c r="A1395" s="8">
        <v>216</v>
      </c>
      <c r="B1395" s="8">
        <v>2025113807</v>
      </c>
      <c r="C1395" s="8">
        <v>1</v>
      </c>
      <c r="D1395" s="8" t="s">
        <v>3177</v>
      </c>
      <c r="E1395" s="8" t="s">
        <v>118</v>
      </c>
      <c r="F1395" s="8" t="s">
        <v>4641</v>
      </c>
      <c r="G1395" s="8" t="s">
        <v>3426</v>
      </c>
      <c r="H1395" s="8" t="s">
        <v>3432</v>
      </c>
      <c r="I1395" s="8" t="s">
        <v>3440</v>
      </c>
      <c r="J1395" s="8" t="s">
        <v>3277</v>
      </c>
      <c r="K1395" s="8" t="s">
        <v>3183</v>
      </c>
      <c r="L1395" s="10" t="s">
        <v>3434</v>
      </c>
      <c r="M1395" s="10" t="s">
        <v>3441</v>
      </c>
      <c r="N1395" s="10" t="s">
        <v>3442</v>
      </c>
      <c r="O1395" s="8" t="s">
        <v>363</v>
      </c>
      <c r="P1395" s="8"/>
      <c r="Q1395" s="8"/>
      <c r="R1395" s="8">
        <v>146710</v>
      </c>
      <c r="S1395" s="8"/>
      <c r="T1395" s="8"/>
      <c r="U1395" s="8"/>
      <c r="V1395" s="8"/>
      <c r="W1395" s="8"/>
      <c r="X1395" s="8"/>
      <c r="Y1395" s="8"/>
      <c r="Z1395" s="10" t="s">
        <v>4642</v>
      </c>
      <c r="AA1395" s="8" t="s">
        <v>332</v>
      </c>
      <c r="AB1395" s="8">
        <v>1</v>
      </c>
    </row>
    <row r="1396" spans="1:28" ht="21.6" customHeight="1">
      <c r="A1396" s="8">
        <v>220</v>
      </c>
      <c r="B1396" s="8">
        <v>2025113693</v>
      </c>
      <c r="C1396" s="8">
        <v>1</v>
      </c>
      <c r="D1396" s="8" t="s">
        <v>3177</v>
      </c>
      <c r="E1396" s="8" t="s">
        <v>118</v>
      </c>
      <c r="F1396" s="8" t="s">
        <v>4641</v>
      </c>
      <c r="G1396" s="8" t="s">
        <v>3280</v>
      </c>
      <c r="H1396" s="8" t="s">
        <v>3381</v>
      </c>
      <c r="I1396" s="8" t="s">
        <v>3452</v>
      </c>
      <c r="J1396" s="8" t="s">
        <v>3277</v>
      </c>
      <c r="K1396" s="8" t="s">
        <v>3183</v>
      </c>
      <c r="L1396" s="10" t="s">
        <v>3254</v>
      </c>
      <c r="M1396" s="10" t="s">
        <v>3453</v>
      </c>
      <c r="N1396" s="10" t="s">
        <v>4606</v>
      </c>
      <c r="O1396" s="8" t="s">
        <v>363</v>
      </c>
      <c r="P1396" s="8"/>
      <c r="Q1396" s="8"/>
      <c r="R1396" s="8">
        <v>16463</v>
      </c>
      <c r="S1396" s="8"/>
      <c r="T1396" s="8"/>
      <c r="U1396" s="8"/>
      <c r="V1396" s="8"/>
      <c r="W1396" s="8"/>
      <c r="X1396" s="8"/>
      <c r="Y1396" s="8"/>
      <c r="Z1396" s="10" t="s">
        <v>4643</v>
      </c>
      <c r="AA1396" s="8" t="s">
        <v>332</v>
      </c>
      <c r="AB1396" s="8">
        <v>1</v>
      </c>
    </row>
    <row r="1397" spans="1:28" ht="21.6" customHeight="1">
      <c r="A1397" s="8">
        <v>231</v>
      </c>
      <c r="B1397" s="8">
        <v>2025111548</v>
      </c>
      <c r="C1397" s="8">
        <v>1</v>
      </c>
      <c r="D1397" s="8" t="s">
        <v>3177</v>
      </c>
      <c r="E1397" s="8" t="s">
        <v>118</v>
      </c>
      <c r="F1397" s="8" t="s">
        <v>4582</v>
      </c>
      <c r="G1397" s="8" t="s">
        <v>3233</v>
      </c>
      <c r="H1397" s="8" t="s">
        <v>3381</v>
      </c>
      <c r="I1397" s="8" t="s">
        <v>4428</v>
      </c>
      <c r="J1397" s="8" t="s">
        <v>3277</v>
      </c>
      <c r="K1397" s="8" t="s">
        <v>3183</v>
      </c>
      <c r="L1397" s="10" t="s">
        <v>3398</v>
      </c>
      <c r="M1397" s="10" t="s">
        <v>3399</v>
      </c>
      <c r="N1397" s="10" t="s">
        <v>3400</v>
      </c>
      <c r="O1397" s="8" t="s">
        <v>3190</v>
      </c>
      <c r="P1397" s="8"/>
      <c r="Q1397" s="8"/>
      <c r="R1397" s="8">
        <v>6114</v>
      </c>
      <c r="S1397" s="8"/>
      <c r="T1397" s="8"/>
      <c r="U1397" s="8"/>
      <c r="V1397" s="8"/>
      <c r="W1397" s="8"/>
      <c r="X1397" s="8"/>
      <c r="Y1397" s="8"/>
      <c r="Z1397" s="10" t="s">
        <v>3696</v>
      </c>
      <c r="AA1397" s="8" t="s">
        <v>332</v>
      </c>
      <c r="AB1397" s="8">
        <v>1</v>
      </c>
    </row>
    <row r="1398" spans="1:28" ht="21.6" customHeight="1">
      <c r="A1398" s="8">
        <v>244</v>
      </c>
      <c r="B1398" s="8">
        <v>2025111713</v>
      </c>
      <c r="C1398" s="8">
        <v>1</v>
      </c>
      <c r="D1398" s="8" t="s">
        <v>3177</v>
      </c>
      <c r="E1398" s="8" t="s">
        <v>118</v>
      </c>
      <c r="F1398" s="8" t="s">
        <v>4584</v>
      </c>
      <c r="G1398" s="8" t="s">
        <v>3401</v>
      </c>
      <c r="H1398" s="8" t="s">
        <v>3357</v>
      </c>
      <c r="I1398" s="8" t="s">
        <v>3474</v>
      </c>
      <c r="J1398" s="8" t="s">
        <v>3288</v>
      </c>
      <c r="K1398" s="8" t="s">
        <v>3183</v>
      </c>
      <c r="L1398" s="10" t="s">
        <v>3389</v>
      </c>
      <c r="M1398" s="10" t="s">
        <v>3475</v>
      </c>
      <c r="N1398" s="10" t="s">
        <v>3476</v>
      </c>
      <c r="O1398" s="8" t="s">
        <v>3190</v>
      </c>
      <c r="P1398" s="8"/>
      <c r="Q1398" s="8">
        <v>74</v>
      </c>
      <c r="R1398" s="8">
        <v>2831</v>
      </c>
      <c r="S1398" s="8"/>
      <c r="T1398" s="8"/>
      <c r="U1398" s="8"/>
      <c r="V1398" s="8"/>
      <c r="W1398" s="8"/>
      <c r="X1398" s="8"/>
      <c r="Y1398" s="8"/>
      <c r="Z1398" s="10" t="s">
        <v>3696</v>
      </c>
      <c r="AA1398" s="8" t="s">
        <v>332</v>
      </c>
      <c r="AB1398" s="8">
        <v>1</v>
      </c>
    </row>
    <row r="1399" spans="1:28" ht="21.6" customHeight="1">
      <c r="A1399" s="8">
        <v>250</v>
      </c>
      <c r="B1399" s="8">
        <v>2025113710</v>
      </c>
      <c r="C1399" s="8">
        <v>1</v>
      </c>
      <c r="D1399" s="8" t="s">
        <v>3177</v>
      </c>
      <c r="E1399" s="8" t="s">
        <v>118</v>
      </c>
      <c r="F1399" s="8" t="s">
        <v>4641</v>
      </c>
      <c r="G1399" s="8" t="s">
        <v>3233</v>
      </c>
      <c r="H1399" s="8" t="s">
        <v>3357</v>
      </c>
      <c r="I1399" s="8" t="s">
        <v>3966</v>
      </c>
      <c r="J1399" s="8" t="s">
        <v>3288</v>
      </c>
      <c r="K1399" s="8" t="s">
        <v>3183</v>
      </c>
      <c r="L1399" s="10" t="s">
        <v>3377</v>
      </c>
      <c r="M1399" s="10" t="s">
        <v>3967</v>
      </c>
      <c r="N1399" s="10" t="s">
        <v>3968</v>
      </c>
      <c r="O1399" s="8" t="s">
        <v>363</v>
      </c>
      <c r="P1399" s="8"/>
      <c r="Q1399" s="8">
        <v>2875</v>
      </c>
      <c r="R1399" s="8">
        <v>1840</v>
      </c>
      <c r="S1399" s="8"/>
      <c r="T1399" s="8"/>
      <c r="U1399" s="8"/>
      <c r="V1399" s="8"/>
      <c r="W1399" s="8"/>
      <c r="X1399" s="8"/>
      <c r="Y1399" s="8"/>
      <c r="Z1399" s="10" t="s">
        <v>4644</v>
      </c>
      <c r="AA1399" s="8" t="s">
        <v>332</v>
      </c>
      <c r="AB1399" s="8">
        <v>1</v>
      </c>
    </row>
    <row r="1400" spans="1:28" ht="21.6" customHeight="1">
      <c r="A1400" s="8">
        <v>1</v>
      </c>
      <c r="B1400" s="8">
        <v>2025120024</v>
      </c>
      <c r="C1400" s="8">
        <v>1</v>
      </c>
      <c r="D1400" s="8" t="s">
        <v>3177</v>
      </c>
      <c r="E1400" s="8" t="s">
        <v>123</v>
      </c>
      <c r="F1400" s="8" t="s">
        <v>4645</v>
      </c>
      <c r="G1400" s="8" t="s">
        <v>3274</v>
      </c>
      <c r="H1400" s="8" t="s">
        <v>4646</v>
      </c>
      <c r="I1400" s="8" t="s">
        <v>4470</v>
      </c>
      <c r="J1400" s="8" t="s">
        <v>3224</v>
      </c>
      <c r="K1400" s="8" t="s">
        <v>3183</v>
      </c>
      <c r="L1400" s="10" t="s">
        <v>4404</v>
      </c>
      <c r="M1400" s="10" t="s">
        <v>4471</v>
      </c>
      <c r="N1400" s="10" t="s">
        <v>3215</v>
      </c>
      <c r="O1400" s="8" t="s">
        <v>3190</v>
      </c>
      <c r="P1400" s="8"/>
      <c r="Q1400" s="8">
        <v>257</v>
      </c>
      <c r="R1400" s="8">
        <v>394</v>
      </c>
      <c r="S1400" s="8"/>
      <c r="T1400" s="8"/>
      <c r="U1400" s="8"/>
      <c r="V1400" s="8"/>
      <c r="W1400" s="8"/>
      <c r="X1400" s="8"/>
      <c r="Y1400" s="8"/>
      <c r="Z1400" s="10" t="s">
        <v>3190</v>
      </c>
      <c r="AA1400" s="8" t="s">
        <v>332</v>
      </c>
      <c r="AB1400" s="8">
        <v>1</v>
      </c>
    </row>
    <row r="1401" spans="1:28" ht="21.6" customHeight="1">
      <c r="A1401" s="8">
        <v>2</v>
      </c>
      <c r="B1401" s="8">
        <v>2025120325</v>
      </c>
      <c r="C1401" s="8">
        <v>1</v>
      </c>
      <c r="D1401" s="8" t="s">
        <v>3177</v>
      </c>
      <c r="E1401" s="8" t="s">
        <v>118</v>
      </c>
      <c r="F1401" s="8" t="s">
        <v>4645</v>
      </c>
      <c r="G1401" s="8" t="s">
        <v>3431</v>
      </c>
      <c r="H1401" s="8" t="s">
        <v>3432</v>
      </c>
      <c r="I1401" s="8" t="s">
        <v>3689</v>
      </c>
      <c r="J1401" s="8" t="s">
        <v>3224</v>
      </c>
      <c r="K1401" s="8" t="s">
        <v>3183</v>
      </c>
      <c r="L1401" s="10" t="s">
        <v>3344</v>
      </c>
      <c r="M1401" s="10" t="s">
        <v>3345</v>
      </c>
      <c r="N1401" s="10" t="s">
        <v>3497</v>
      </c>
      <c r="O1401" s="8" t="s">
        <v>322</v>
      </c>
      <c r="P1401" s="8"/>
      <c r="Q1401" s="8">
        <v>1100</v>
      </c>
      <c r="R1401" s="8">
        <v>16500</v>
      </c>
      <c r="S1401" s="8" t="s">
        <v>332</v>
      </c>
      <c r="T1401" s="8"/>
      <c r="U1401" s="8"/>
      <c r="V1401" s="8"/>
      <c r="W1401" s="8"/>
      <c r="X1401" s="8"/>
      <c r="Y1401" s="8"/>
      <c r="Z1401" s="10" t="s">
        <v>3696</v>
      </c>
      <c r="AA1401" s="8" t="s">
        <v>332</v>
      </c>
      <c r="AB1401" s="8">
        <v>1</v>
      </c>
    </row>
    <row r="1402" spans="1:28" ht="21.6" customHeight="1">
      <c r="A1402" s="8">
        <v>6</v>
      </c>
      <c r="B1402" s="8">
        <v>2025120327</v>
      </c>
      <c r="C1402" s="8">
        <v>1</v>
      </c>
      <c r="D1402" s="8" t="s">
        <v>3177</v>
      </c>
      <c r="E1402" s="8" t="s">
        <v>118</v>
      </c>
      <c r="F1402" s="8" t="s">
        <v>4645</v>
      </c>
      <c r="G1402" s="8" t="s">
        <v>3432</v>
      </c>
      <c r="H1402" s="8" t="s">
        <v>4341</v>
      </c>
      <c r="I1402" s="8" t="s">
        <v>3447</v>
      </c>
      <c r="J1402" s="8" t="s">
        <v>3277</v>
      </c>
      <c r="K1402" s="8" t="s">
        <v>3183</v>
      </c>
      <c r="L1402" s="10" t="s">
        <v>3448</v>
      </c>
      <c r="M1402" s="10" t="s">
        <v>3449</v>
      </c>
      <c r="N1402" s="10"/>
      <c r="O1402" s="8" t="s">
        <v>322</v>
      </c>
      <c r="P1402" s="8"/>
      <c r="Q1402" s="8"/>
      <c r="R1402" s="8">
        <v>54000</v>
      </c>
      <c r="S1402" s="8" t="s">
        <v>332</v>
      </c>
      <c r="T1402" s="8"/>
      <c r="U1402" s="8"/>
      <c r="V1402" s="8"/>
      <c r="W1402" s="8"/>
      <c r="X1402" s="8"/>
      <c r="Y1402" s="8"/>
      <c r="Z1402" s="10" t="s">
        <v>3696</v>
      </c>
      <c r="AA1402" s="8" t="s">
        <v>332</v>
      </c>
      <c r="AB1402" s="8">
        <v>1</v>
      </c>
    </row>
    <row r="1403" spans="1:28" ht="21.6" customHeight="1">
      <c r="A1403" s="8">
        <v>16</v>
      </c>
      <c r="B1403" s="8">
        <v>2025120176</v>
      </c>
      <c r="C1403" s="8">
        <v>1</v>
      </c>
      <c r="D1403" s="8" t="s">
        <v>3177</v>
      </c>
      <c r="E1403" s="8" t="s">
        <v>118</v>
      </c>
      <c r="F1403" s="8" t="s">
        <v>4645</v>
      </c>
      <c r="G1403" s="8" t="s">
        <v>3204</v>
      </c>
      <c r="H1403" s="8" t="s">
        <v>3427</v>
      </c>
      <c r="I1403" s="8" t="s">
        <v>4574</v>
      </c>
      <c r="J1403" s="8" t="s">
        <v>4553</v>
      </c>
      <c r="K1403" s="8" t="s">
        <v>3183</v>
      </c>
      <c r="L1403" s="10" t="s">
        <v>3462</v>
      </c>
      <c r="M1403" s="10" t="s">
        <v>3714</v>
      </c>
      <c r="N1403" s="10" t="s">
        <v>3715</v>
      </c>
      <c r="O1403" s="8" t="s">
        <v>3190</v>
      </c>
      <c r="P1403" s="8"/>
      <c r="Q1403" s="8"/>
      <c r="R1403" s="8">
        <v>37849</v>
      </c>
      <c r="S1403" s="8"/>
      <c r="T1403" s="8"/>
      <c r="U1403" s="8"/>
      <c r="V1403" s="8"/>
      <c r="W1403" s="8"/>
      <c r="X1403" s="8"/>
      <c r="Y1403" s="8"/>
      <c r="Z1403" s="10" t="s">
        <v>3696</v>
      </c>
      <c r="AA1403" s="8" t="s">
        <v>332</v>
      </c>
      <c r="AB1403" s="8">
        <v>1</v>
      </c>
    </row>
    <row r="1404" spans="1:28" ht="21.6" customHeight="1">
      <c r="A1404" s="8">
        <v>13</v>
      </c>
      <c r="B1404" s="8">
        <v>2025120180</v>
      </c>
      <c r="C1404" s="8">
        <v>1</v>
      </c>
      <c r="D1404" s="8" t="s">
        <v>3177</v>
      </c>
      <c r="E1404" s="8" t="s">
        <v>118</v>
      </c>
      <c r="F1404" s="8" t="s">
        <v>4645</v>
      </c>
      <c r="G1404" s="8" t="s">
        <v>3386</v>
      </c>
      <c r="H1404" s="8" t="s">
        <v>3387</v>
      </c>
      <c r="I1404" s="8" t="s">
        <v>4552</v>
      </c>
      <c r="J1404" s="8" t="s">
        <v>4553</v>
      </c>
      <c r="K1404" s="8" t="s">
        <v>3183</v>
      </c>
      <c r="L1404" s="10" t="s">
        <v>3462</v>
      </c>
      <c r="M1404" s="10" t="s">
        <v>3526</v>
      </c>
      <c r="N1404" s="10" t="s">
        <v>4554</v>
      </c>
      <c r="O1404" s="8" t="s">
        <v>3190</v>
      </c>
      <c r="P1404" s="8"/>
      <c r="Q1404" s="8"/>
      <c r="R1404" s="8">
        <v>5431</v>
      </c>
      <c r="S1404" s="8"/>
      <c r="T1404" s="8"/>
      <c r="U1404" s="8"/>
      <c r="V1404" s="8"/>
      <c r="W1404" s="8"/>
      <c r="X1404" s="8"/>
      <c r="Y1404" s="8"/>
      <c r="Z1404" s="10" t="s">
        <v>3696</v>
      </c>
      <c r="AA1404" s="8" t="s">
        <v>332</v>
      </c>
      <c r="AB1404" s="8">
        <v>1</v>
      </c>
    </row>
    <row r="1405" spans="1:28" ht="21.6" customHeight="1">
      <c r="A1405" s="8">
        <v>6</v>
      </c>
      <c r="B1405" s="8">
        <v>2025120689</v>
      </c>
      <c r="C1405" s="8">
        <v>1</v>
      </c>
      <c r="D1405" s="8" t="s">
        <v>3177</v>
      </c>
      <c r="E1405" s="8" t="s">
        <v>123</v>
      </c>
      <c r="F1405" s="8" t="s">
        <v>4647</v>
      </c>
      <c r="G1405" s="8" t="s">
        <v>3792</v>
      </c>
      <c r="H1405" s="8" t="s">
        <v>3793</v>
      </c>
      <c r="I1405" s="8" t="s">
        <v>3269</v>
      </c>
      <c r="J1405" s="8" t="s">
        <v>3253</v>
      </c>
      <c r="K1405" s="8" t="s">
        <v>3183</v>
      </c>
      <c r="L1405" s="10" t="s">
        <v>3270</v>
      </c>
      <c r="M1405" s="10" t="s">
        <v>3271</v>
      </c>
      <c r="N1405" s="10" t="s">
        <v>3272</v>
      </c>
      <c r="O1405" s="8" t="s">
        <v>322</v>
      </c>
      <c r="P1405" s="8"/>
      <c r="Q1405" s="8"/>
      <c r="R1405" s="8">
        <v>25886</v>
      </c>
      <c r="S1405" s="8" t="s">
        <v>332</v>
      </c>
      <c r="T1405" s="8"/>
      <c r="U1405" s="8"/>
      <c r="V1405" s="8"/>
      <c r="W1405" s="8"/>
      <c r="X1405" s="8"/>
      <c r="Y1405" s="8"/>
      <c r="Z1405" s="10" t="s">
        <v>3186</v>
      </c>
      <c r="AA1405" s="8" t="s">
        <v>332</v>
      </c>
      <c r="AB1405" s="8">
        <v>1</v>
      </c>
    </row>
    <row r="1406" spans="1:28" ht="21.6" customHeight="1">
      <c r="A1406" s="8">
        <v>12</v>
      </c>
      <c r="B1406" s="8">
        <v>2025120683</v>
      </c>
      <c r="C1406" s="8">
        <v>1</v>
      </c>
      <c r="D1406" s="8" t="s">
        <v>3177</v>
      </c>
      <c r="E1406" s="8" t="s">
        <v>123</v>
      </c>
      <c r="F1406" s="8" t="s">
        <v>4647</v>
      </c>
      <c r="G1406" s="8" t="s">
        <v>3329</v>
      </c>
      <c r="H1406" s="8" t="s">
        <v>3330</v>
      </c>
      <c r="I1406" s="8" t="s">
        <v>3293</v>
      </c>
      <c r="J1406" s="8" t="s">
        <v>3288</v>
      </c>
      <c r="K1406" s="8" t="s">
        <v>3183</v>
      </c>
      <c r="L1406" s="10" t="s">
        <v>3294</v>
      </c>
      <c r="M1406" s="10" t="s">
        <v>3295</v>
      </c>
      <c r="N1406" s="10" t="s">
        <v>3272</v>
      </c>
      <c r="O1406" s="8" t="s">
        <v>322</v>
      </c>
      <c r="P1406" s="8"/>
      <c r="Q1406" s="8">
        <v>2512</v>
      </c>
      <c r="R1406" s="8">
        <v>321332</v>
      </c>
      <c r="S1406" s="8" t="s">
        <v>332</v>
      </c>
      <c r="T1406" s="8"/>
      <c r="U1406" s="8"/>
      <c r="V1406" s="8"/>
      <c r="W1406" s="8"/>
      <c r="X1406" s="8"/>
      <c r="Y1406" s="8"/>
      <c r="Z1406" s="10" t="s">
        <v>3186</v>
      </c>
      <c r="AA1406" s="8" t="s">
        <v>332</v>
      </c>
      <c r="AB1406" s="8">
        <v>1</v>
      </c>
    </row>
    <row r="1407" spans="1:28" ht="21.6" customHeight="1">
      <c r="A1407" s="8">
        <v>19</v>
      </c>
      <c r="B1407" s="8">
        <v>2025120646</v>
      </c>
      <c r="C1407" s="8">
        <v>1</v>
      </c>
      <c r="D1407" s="8" t="s">
        <v>3177</v>
      </c>
      <c r="E1407" s="8" t="s">
        <v>118</v>
      </c>
      <c r="F1407" s="8" t="s">
        <v>4647</v>
      </c>
      <c r="G1407" s="8" t="s">
        <v>3280</v>
      </c>
      <c r="H1407" s="8" t="s">
        <v>3363</v>
      </c>
      <c r="I1407" s="8" t="s">
        <v>3382</v>
      </c>
      <c r="J1407" s="8" t="s">
        <v>3224</v>
      </c>
      <c r="K1407" s="8" t="s">
        <v>3183</v>
      </c>
      <c r="L1407" s="10" t="s">
        <v>3383</v>
      </c>
      <c r="M1407" s="10" t="s">
        <v>3384</v>
      </c>
      <c r="N1407" s="10" t="s">
        <v>3385</v>
      </c>
      <c r="O1407" s="8" t="s">
        <v>322</v>
      </c>
      <c r="P1407" s="8">
        <v>6965</v>
      </c>
      <c r="Q1407" s="8">
        <v>15589</v>
      </c>
      <c r="R1407" s="8">
        <v>20840</v>
      </c>
      <c r="S1407" s="8" t="s">
        <v>332</v>
      </c>
      <c r="T1407" s="8"/>
      <c r="U1407" s="8"/>
      <c r="V1407" s="8"/>
      <c r="W1407" s="8"/>
      <c r="X1407" s="8"/>
      <c r="Y1407" s="8"/>
      <c r="Z1407" s="10" t="s">
        <v>3696</v>
      </c>
      <c r="AA1407" s="8" t="s">
        <v>332</v>
      </c>
      <c r="AB1407" s="8">
        <v>1</v>
      </c>
    </row>
    <row r="1408" spans="1:28" ht="21.6" customHeight="1">
      <c r="A1408" s="8">
        <v>21</v>
      </c>
      <c r="B1408" s="8">
        <v>2025120644</v>
      </c>
      <c r="C1408" s="8">
        <v>1</v>
      </c>
      <c r="D1408" s="8" t="s">
        <v>3177</v>
      </c>
      <c r="E1408" s="8" t="s">
        <v>118</v>
      </c>
      <c r="F1408" s="8" t="s">
        <v>4647</v>
      </c>
      <c r="G1408" s="8" t="s">
        <v>3350</v>
      </c>
      <c r="H1408" s="8" t="s">
        <v>3280</v>
      </c>
      <c r="I1408" s="8" t="s">
        <v>3683</v>
      </c>
      <c r="J1408" s="8" t="s">
        <v>3224</v>
      </c>
      <c r="K1408" s="8" t="s">
        <v>3183</v>
      </c>
      <c r="L1408" s="10" t="s">
        <v>3383</v>
      </c>
      <c r="M1408" s="10" t="s">
        <v>3684</v>
      </c>
      <c r="N1408" s="10" t="s">
        <v>3685</v>
      </c>
      <c r="O1408" s="8" t="s">
        <v>322</v>
      </c>
      <c r="P1408" s="8">
        <v>1921</v>
      </c>
      <c r="Q1408" s="8">
        <v>2784</v>
      </c>
      <c r="R1408" s="8">
        <v>8923</v>
      </c>
      <c r="S1408" s="8" t="s">
        <v>332</v>
      </c>
      <c r="T1408" s="8"/>
      <c r="U1408" s="8"/>
      <c r="V1408" s="8"/>
      <c r="W1408" s="8"/>
      <c r="X1408" s="8"/>
      <c r="Y1408" s="8"/>
      <c r="Z1408" s="10" t="s">
        <v>3696</v>
      </c>
      <c r="AA1408" s="8" t="s">
        <v>332</v>
      </c>
      <c r="AB1408" s="8">
        <v>1</v>
      </c>
    </row>
    <row r="1409" spans="1:28" ht="21.6" customHeight="1">
      <c r="A1409" s="8">
        <v>25</v>
      </c>
      <c r="B1409" s="8">
        <v>2025120648</v>
      </c>
      <c r="C1409" s="8">
        <v>1</v>
      </c>
      <c r="D1409" s="8" t="s">
        <v>3177</v>
      </c>
      <c r="E1409" s="8" t="s">
        <v>118</v>
      </c>
      <c r="F1409" s="8" t="s">
        <v>4647</v>
      </c>
      <c r="G1409" s="8" t="s">
        <v>3363</v>
      </c>
      <c r="H1409" s="8" t="s">
        <v>3233</v>
      </c>
      <c r="I1409" s="8" t="s">
        <v>3940</v>
      </c>
      <c r="J1409" s="8" t="s">
        <v>3224</v>
      </c>
      <c r="K1409" s="8" t="s">
        <v>3183</v>
      </c>
      <c r="L1409" s="10" t="s">
        <v>3383</v>
      </c>
      <c r="M1409" s="10" t="s">
        <v>3941</v>
      </c>
      <c r="N1409" s="10" t="s">
        <v>3942</v>
      </c>
      <c r="O1409" s="8" t="s">
        <v>322</v>
      </c>
      <c r="P1409" s="8">
        <v>164</v>
      </c>
      <c r="Q1409" s="8">
        <v>967</v>
      </c>
      <c r="R1409" s="8">
        <v>4042</v>
      </c>
      <c r="S1409" s="8" t="s">
        <v>332</v>
      </c>
      <c r="T1409" s="8"/>
      <c r="U1409" s="8"/>
      <c r="V1409" s="8"/>
      <c r="W1409" s="8"/>
      <c r="X1409" s="8"/>
      <c r="Y1409" s="8"/>
      <c r="Z1409" s="10" t="s">
        <v>3696</v>
      </c>
      <c r="AA1409" s="8" t="s">
        <v>332</v>
      </c>
      <c r="AB1409" s="8">
        <v>1</v>
      </c>
    </row>
    <row r="1410" spans="1:28" ht="21.6" customHeight="1">
      <c r="A1410" s="8">
        <v>29</v>
      </c>
      <c r="B1410" s="8">
        <v>2025120675</v>
      </c>
      <c r="C1410" s="8">
        <v>1</v>
      </c>
      <c r="D1410" s="8" t="s">
        <v>3177</v>
      </c>
      <c r="E1410" s="8" t="s">
        <v>118</v>
      </c>
      <c r="F1410" s="8" t="s">
        <v>4647</v>
      </c>
      <c r="G1410" s="8" t="s">
        <v>3368</v>
      </c>
      <c r="H1410" s="8" t="s">
        <v>3250</v>
      </c>
      <c r="I1410" s="8" t="s">
        <v>4403</v>
      </c>
      <c r="J1410" s="8" t="s">
        <v>3224</v>
      </c>
      <c r="K1410" s="8" t="s">
        <v>3183</v>
      </c>
      <c r="L1410" s="10" t="s">
        <v>4404</v>
      </c>
      <c r="M1410" s="10" t="s">
        <v>4424</v>
      </c>
      <c r="N1410" s="10" t="s">
        <v>3497</v>
      </c>
      <c r="O1410" s="8" t="s">
        <v>322</v>
      </c>
      <c r="P1410" s="8"/>
      <c r="Q1410" s="8">
        <v>101</v>
      </c>
      <c r="R1410" s="8">
        <v>1564</v>
      </c>
      <c r="S1410" s="8" t="s">
        <v>332</v>
      </c>
      <c r="T1410" s="8"/>
      <c r="U1410" s="8"/>
      <c r="V1410" s="8"/>
      <c r="W1410" s="8"/>
      <c r="X1410" s="8"/>
      <c r="Y1410" s="8"/>
      <c r="Z1410" s="10" t="s">
        <v>3696</v>
      </c>
      <c r="AA1410" s="8" t="s">
        <v>332</v>
      </c>
      <c r="AB1410" s="8">
        <v>1</v>
      </c>
    </row>
    <row r="1411" spans="1:28" ht="21.6" customHeight="1">
      <c r="A1411" s="8">
        <v>31</v>
      </c>
      <c r="B1411" s="8">
        <v>2025120652</v>
      </c>
      <c r="C1411" s="8">
        <v>1</v>
      </c>
      <c r="D1411" s="8" t="s">
        <v>3177</v>
      </c>
      <c r="E1411" s="8" t="s">
        <v>118</v>
      </c>
      <c r="F1411" s="8" t="s">
        <v>4647</v>
      </c>
      <c r="G1411" s="8" t="s">
        <v>3381</v>
      </c>
      <c r="H1411" s="8" t="s">
        <v>3401</v>
      </c>
      <c r="I1411" s="8" t="s">
        <v>3422</v>
      </c>
      <c r="J1411" s="8" t="s">
        <v>3253</v>
      </c>
      <c r="K1411" s="8" t="s">
        <v>3183</v>
      </c>
      <c r="L1411" s="10" t="s">
        <v>3270</v>
      </c>
      <c r="M1411" s="10" t="s">
        <v>3423</v>
      </c>
      <c r="N1411" s="10" t="s">
        <v>3424</v>
      </c>
      <c r="O1411" s="8" t="s">
        <v>322</v>
      </c>
      <c r="P1411" s="8"/>
      <c r="Q1411" s="8"/>
      <c r="R1411" s="8">
        <v>49652</v>
      </c>
      <c r="S1411" s="8" t="s">
        <v>332</v>
      </c>
      <c r="T1411" s="8"/>
      <c r="U1411" s="8"/>
      <c r="V1411" s="8"/>
      <c r="W1411" s="8"/>
      <c r="X1411" s="8"/>
      <c r="Y1411" s="8"/>
      <c r="Z1411" s="10" t="s">
        <v>3696</v>
      </c>
      <c r="AA1411" s="8" t="s">
        <v>332</v>
      </c>
      <c r="AB1411" s="8">
        <v>1</v>
      </c>
    </row>
    <row r="1412" spans="1:28" ht="21.6" customHeight="1">
      <c r="A1412" s="8">
        <v>33</v>
      </c>
      <c r="B1412" s="8">
        <v>2025120650</v>
      </c>
      <c r="C1412" s="8">
        <v>1</v>
      </c>
      <c r="D1412" s="8" t="s">
        <v>3177</v>
      </c>
      <c r="E1412" s="8" t="s">
        <v>118</v>
      </c>
      <c r="F1412" s="8" t="s">
        <v>4647</v>
      </c>
      <c r="G1412" s="8" t="s">
        <v>3233</v>
      </c>
      <c r="H1412" s="8" t="s">
        <v>3381</v>
      </c>
      <c r="I1412" s="8" t="s">
        <v>3428</v>
      </c>
      <c r="J1412" s="8" t="s">
        <v>3253</v>
      </c>
      <c r="K1412" s="8" t="s">
        <v>3183</v>
      </c>
      <c r="L1412" s="10" t="s">
        <v>3270</v>
      </c>
      <c r="M1412" s="10" t="s">
        <v>3429</v>
      </c>
      <c r="N1412" s="10" t="s">
        <v>3430</v>
      </c>
      <c r="O1412" s="8" t="s">
        <v>322</v>
      </c>
      <c r="P1412" s="8"/>
      <c r="Q1412" s="8"/>
      <c r="R1412" s="8">
        <v>81064</v>
      </c>
      <c r="S1412" s="8" t="s">
        <v>332</v>
      </c>
      <c r="T1412" s="8"/>
      <c r="U1412" s="8"/>
      <c r="V1412" s="8"/>
      <c r="W1412" s="8"/>
      <c r="X1412" s="8"/>
      <c r="Y1412" s="8"/>
      <c r="Z1412" s="10" t="s">
        <v>3696</v>
      </c>
      <c r="AA1412" s="8" t="s">
        <v>332</v>
      </c>
      <c r="AB1412" s="8">
        <v>1</v>
      </c>
    </row>
    <row r="1413" spans="1:28" ht="21.6" customHeight="1">
      <c r="A1413" s="8">
        <v>37</v>
      </c>
      <c r="B1413" s="8">
        <v>2025120668</v>
      </c>
      <c r="C1413" s="8">
        <v>1</v>
      </c>
      <c r="D1413" s="8" t="s">
        <v>3177</v>
      </c>
      <c r="E1413" s="8" t="s">
        <v>118</v>
      </c>
      <c r="F1413" s="8" t="s">
        <v>4647</v>
      </c>
      <c r="G1413" s="8" t="s">
        <v>3401</v>
      </c>
      <c r="H1413" s="8" t="s">
        <v>3357</v>
      </c>
      <c r="I1413" s="8" t="s">
        <v>4171</v>
      </c>
      <c r="J1413" s="8" t="s">
        <v>3277</v>
      </c>
      <c r="K1413" s="8" t="s">
        <v>3183</v>
      </c>
      <c r="L1413" s="10" t="s">
        <v>3270</v>
      </c>
      <c r="M1413" s="10" t="s">
        <v>3496</v>
      </c>
      <c r="N1413" s="10" t="s">
        <v>3497</v>
      </c>
      <c r="O1413" s="8" t="s">
        <v>322</v>
      </c>
      <c r="P1413" s="8"/>
      <c r="Q1413" s="8"/>
      <c r="R1413" s="8">
        <v>4733</v>
      </c>
      <c r="S1413" s="8" t="s">
        <v>332</v>
      </c>
      <c r="T1413" s="8"/>
      <c r="U1413" s="8"/>
      <c r="V1413" s="8"/>
      <c r="W1413" s="8"/>
      <c r="X1413" s="8"/>
      <c r="Y1413" s="8"/>
      <c r="Z1413" s="10" t="s">
        <v>3696</v>
      </c>
      <c r="AA1413" s="8" t="s">
        <v>332</v>
      </c>
      <c r="AB1413" s="8">
        <v>1</v>
      </c>
    </row>
    <row r="1414" spans="1:28" ht="21.6" customHeight="1">
      <c r="A1414" s="8">
        <v>45</v>
      </c>
      <c r="B1414" s="8">
        <v>2025120178</v>
      </c>
      <c r="C1414" s="8">
        <v>1</v>
      </c>
      <c r="D1414" s="8" t="s">
        <v>3177</v>
      </c>
      <c r="E1414" s="8" t="s">
        <v>118</v>
      </c>
      <c r="F1414" s="8" t="s">
        <v>4645</v>
      </c>
      <c r="G1414" s="8" t="s">
        <v>3427</v>
      </c>
      <c r="H1414" s="8" t="s">
        <v>3386</v>
      </c>
      <c r="I1414" s="8" t="s">
        <v>4568</v>
      </c>
      <c r="J1414" s="8" t="s">
        <v>4553</v>
      </c>
      <c r="K1414" s="8" t="s">
        <v>3183</v>
      </c>
      <c r="L1414" s="10" t="s">
        <v>3462</v>
      </c>
      <c r="M1414" s="10" t="s">
        <v>3531</v>
      </c>
      <c r="N1414" s="10" t="s">
        <v>3532</v>
      </c>
      <c r="O1414" s="8" t="s">
        <v>3190</v>
      </c>
      <c r="P1414" s="8"/>
      <c r="Q1414" s="8"/>
      <c r="R1414" s="8">
        <v>22407</v>
      </c>
      <c r="S1414" s="8"/>
      <c r="T1414" s="8"/>
      <c r="U1414" s="8"/>
      <c r="V1414" s="8"/>
      <c r="W1414" s="8"/>
      <c r="X1414" s="8"/>
      <c r="Y1414" s="8"/>
      <c r="Z1414" s="10" t="s">
        <v>3696</v>
      </c>
      <c r="AA1414" s="8" t="s">
        <v>332</v>
      </c>
      <c r="AB1414" s="8">
        <v>1</v>
      </c>
    </row>
    <row r="1415" spans="1:28" ht="21.6" customHeight="1">
      <c r="A1415" s="8">
        <v>2</v>
      </c>
      <c r="B1415" s="8">
        <v>2025120621</v>
      </c>
      <c r="C1415" s="8">
        <v>1</v>
      </c>
      <c r="D1415" s="8" t="s">
        <v>3177</v>
      </c>
      <c r="E1415" s="8" t="s">
        <v>123</v>
      </c>
      <c r="F1415" s="8" t="s">
        <v>4647</v>
      </c>
      <c r="G1415" s="8" t="s">
        <v>3368</v>
      </c>
      <c r="H1415" s="8" t="s">
        <v>3644</v>
      </c>
      <c r="I1415" s="8" t="s">
        <v>4385</v>
      </c>
      <c r="J1415" s="8" t="s">
        <v>4386</v>
      </c>
      <c r="K1415" s="8" t="s">
        <v>3183</v>
      </c>
      <c r="L1415" s="10" t="s">
        <v>3629</v>
      </c>
      <c r="M1415" s="10" t="s">
        <v>4387</v>
      </c>
      <c r="N1415" s="10"/>
      <c r="O1415" s="8" t="s">
        <v>3190</v>
      </c>
      <c r="P1415" s="8"/>
      <c r="Q1415" s="8"/>
      <c r="R1415" s="8">
        <v>31731</v>
      </c>
      <c r="S1415" s="8"/>
      <c r="T1415" s="8"/>
      <c r="U1415" s="8"/>
      <c r="V1415" s="8"/>
      <c r="W1415" s="8"/>
      <c r="X1415" s="8"/>
      <c r="Y1415" s="8"/>
      <c r="Z1415" s="10" t="s">
        <v>3186</v>
      </c>
      <c r="AA1415" s="8" t="s">
        <v>332</v>
      </c>
      <c r="AB1415" s="8">
        <v>1</v>
      </c>
    </row>
    <row r="1416" spans="1:28" ht="21.6" customHeight="1">
      <c r="A1416" s="8">
        <v>10</v>
      </c>
      <c r="B1416" s="8">
        <v>2025120607</v>
      </c>
      <c r="C1416" s="8">
        <v>1</v>
      </c>
      <c r="D1416" s="8" t="s">
        <v>3177</v>
      </c>
      <c r="E1416" s="8" t="s">
        <v>123</v>
      </c>
      <c r="F1416" s="8" t="s">
        <v>4647</v>
      </c>
      <c r="G1416" s="8" t="s">
        <v>3291</v>
      </c>
      <c r="H1416" s="8" t="s">
        <v>3342</v>
      </c>
      <c r="I1416" s="8" t="s">
        <v>4562</v>
      </c>
      <c r="J1416" s="8" t="s">
        <v>3277</v>
      </c>
      <c r="K1416" s="8" t="s">
        <v>3183</v>
      </c>
      <c r="L1416" s="10" t="s">
        <v>3629</v>
      </c>
      <c r="M1416" s="10" t="s">
        <v>3630</v>
      </c>
      <c r="N1416" s="10" t="s">
        <v>123</v>
      </c>
      <c r="O1416" s="8" t="s">
        <v>3190</v>
      </c>
      <c r="P1416" s="8"/>
      <c r="Q1416" s="8"/>
      <c r="R1416" s="8">
        <v>89329</v>
      </c>
      <c r="S1416" s="8"/>
      <c r="T1416" s="8"/>
      <c r="U1416" s="8"/>
      <c r="V1416" s="8"/>
      <c r="W1416" s="8"/>
      <c r="X1416" s="8"/>
      <c r="Y1416" s="8"/>
      <c r="Z1416" s="10" t="s">
        <v>3186</v>
      </c>
      <c r="AA1416" s="8" t="s">
        <v>332</v>
      </c>
      <c r="AB1416" s="8">
        <v>1</v>
      </c>
    </row>
    <row r="1417" spans="1:28" ht="21.6" customHeight="1">
      <c r="A1417" s="8">
        <v>32</v>
      </c>
      <c r="B1417" s="8">
        <v>2025120836</v>
      </c>
      <c r="C1417" s="8">
        <v>1</v>
      </c>
      <c r="D1417" s="8" t="s">
        <v>3177</v>
      </c>
      <c r="E1417" s="8" t="s">
        <v>118</v>
      </c>
      <c r="F1417" s="8" t="s">
        <v>4648</v>
      </c>
      <c r="G1417" s="8" t="s">
        <v>3357</v>
      </c>
      <c r="H1417" s="8" t="s">
        <v>3342</v>
      </c>
      <c r="I1417" s="8" t="s">
        <v>4158</v>
      </c>
      <c r="J1417" s="8" t="s">
        <v>3224</v>
      </c>
      <c r="K1417" s="8" t="s">
        <v>3183</v>
      </c>
      <c r="L1417" s="10" t="s">
        <v>3550</v>
      </c>
      <c r="M1417" s="10" t="s">
        <v>4159</v>
      </c>
      <c r="N1417" s="10" t="s">
        <v>3701</v>
      </c>
      <c r="O1417" s="8" t="s">
        <v>322</v>
      </c>
      <c r="P1417" s="8"/>
      <c r="Q1417" s="8">
        <v>1132</v>
      </c>
      <c r="R1417" s="8">
        <v>64599</v>
      </c>
      <c r="S1417" s="8"/>
      <c r="T1417" s="8"/>
      <c r="U1417" s="8" t="s">
        <v>332</v>
      </c>
      <c r="V1417" s="8"/>
      <c r="W1417" s="8"/>
      <c r="X1417" s="8"/>
      <c r="Y1417" s="8"/>
      <c r="Z1417" s="10" t="s">
        <v>3362</v>
      </c>
      <c r="AA1417" s="8" t="s">
        <v>332</v>
      </c>
      <c r="AB1417" s="8">
        <v>1</v>
      </c>
    </row>
    <row r="1418" spans="1:28" ht="21.6" customHeight="1">
      <c r="A1418" s="8">
        <v>47</v>
      </c>
      <c r="B1418" s="8">
        <v>2025120801</v>
      </c>
      <c r="C1418" s="8">
        <v>1</v>
      </c>
      <c r="D1418" s="8" t="s">
        <v>3177</v>
      </c>
      <c r="E1418" s="8" t="s">
        <v>118</v>
      </c>
      <c r="F1418" s="8" t="s">
        <v>4648</v>
      </c>
      <c r="G1418" s="8" t="s">
        <v>3233</v>
      </c>
      <c r="H1418" s="8" t="s">
        <v>3381</v>
      </c>
      <c r="I1418" s="8" t="s">
        <v>3978</v>
      </c>
      <c r="J1418" s="8" t="s">
        <v>3301</v>
      </c>
      <c r="K1418" s="8" t="s">
        <v>3183</v>
      </c>
      <c r="L1418" s="10" t="s">
        <v>4481</v>
      </c>
      <c r="M1418" s="10" t="s">
        <v>3980</v>
      </c>
      <c r="N1418" s="10" t="s">
        <v>3497</v>
      </c>
      <c r="O1418" s="8" t="s">
        <v>322</v>
      </c>
      <c r="P1418" s="8"/>
      <c r="Q1418" s="8">
        <v>11378</v>
      </c>
      <c r="R1418" s="8">
        <v>19096</v>
      </c>
      <c r="S1418" s="8" t="s">
        <v>332</v>
      </c>
      <c r="T1418" s="8"/>
      <c r="U1418" s="8"/>
      <c r="V1418" s="8"/>
      <c r="W1418" s="8"/>
      <c r="X1418" s="8"/>
      <c r="Y1418" s="8"/>
      <c r="Z1418" s="10" t="s">
        <v>3696</v>
      </c>
      <c r="AA1418" s="8" t="s">
        <v>332</v>
      </c>
      <c r="AB1418" s="8">
        <v>1</v>
      </c>
    </row>
    <row r="1419" spans="1:28" ht="21.6" customHeight="1">
      <c r="A1419" s="8">
        <v>51</v>
      </c>
      <c r="B1419" s="8">
        <v>2025120835</v>
      </c>
      <c r="C1419" s="8">
        <v>1</v>
      </c>
      <c r="D1419" s="8" t="s">
        <v>3177</v>
      </c>
      <c r="E1419" s="8" t="s">
        <v>118</v>
      </c>
      <c r="F1419" s="8" t="s">
        <v>4648</v>
      </c>
      <c r="G1419" s="8" t="s">
        <v>3401</v>
      </c>
      <c r="H1419" s="8" t="s">
        <v>3357</v>
      </c>
      <c r="I1419" s="8" t="s">
        <v>4636</v>
      </c>
      <c r="J1419" s="8" t="s">
        <v>4553</v>
      </c>
      <c r="K1419" s="8" t="s">
        <v>3183</v>
      </c>
      <c r="L1419" s="10" t="s">
        <v>3503</v>
      </c>
      <c r="M1419" s="10" t="s">
        <v>3504</v>
      </c>
      <c r="N1419" s="10" t="s">
        <v>217</v>
      </c>
      <c r="O1419" s="8" t="s">
        <v>322</v>
      </c>
      <c r="P1419" s="8"/>
      <c r="Q1419" s="8"/>
      <c r="R1419" s="8">
        <v>8206</v>
      </c>
      <c r="S1419" s="8"/>
      <c r="T1419" s="8"/>
      <c r="U1419" s="8" t="s">
        <v>332</v>
      </c>
      <c r="V1419" s="8"/>
      <c r="W1419" s="8"/>
      <c r="X1419" s="8"/>
      <c r="Y1419" s="8"/>
      <c r="Z1419" s="10" t="s">
        <v>3362</v>
      </c>
      <c r="AA1419" s="8" t="s">
        <v>332</v>
      </c>
      <c r="AB1419" s="8">
        <v>1</v>
      </c>
    </row>
    <row r="1420" spans="1:28" ht="21.6" customHeight="1">
      <c r="A1420" s="8">
        <v>56</v>
      </c>
      <c r="B1420" s="8">
        <v>2025121000</v>
      </c>
      <c r="C1420" s="8">
        <v>1</v>
      </c>
      <c r="D1420" s="8" t="s">
        <v>3177</v>
      </c>
      <c r="E1420" s="8" t="s">
        <v>118</v>
      </c>
      <c r="F1420" s="8" t="s">
        <v>4648</v>
      </c>
      <c r="G1420" s="8" t="s">
        <v>4031</v>
      </c>
      <c r="H1420" s="8" t="s">
        <v>3311</v>
      </c>
      <c r="I1420" s="8" t="s">
        <v>4568</v>
      </c>
      <c r="J1420" s="8" t="s">
        <v>4553</v>
      </c>
      <c r="K1420" s="8" t="s">
        <v>3183</v>
      </c>
      <c r="L1420" s="10" t="s">
        <v>3462</v>
      </c>
      <c r="M1420" s="10" t="s">
        <v>3531</v>
      </c>
      <c r="N1420" s="10" t="s">
        <v>3532</v>
      </c>
      <c r="O1420" s="8" t="s">
        <v>322</v>
      </c>
      <c r="P1420" s="8"/>
      <c r="Q1420" s="8"/>
      <c r="R1420" s="8">
        <v>22407</v>
      </c>
      <c r="S1420" s="8"/>
      <c r="T1420" s="8"/>
      <c r="U1420" s="8" t="s">
        <v>332</v>
      </c>
      <c r="V1420" s="8"/>
      <c r="W1420" s="8"/>
      <c r="X1420" s="8"/>
      <c r="Y1420" s="8"/>
      <c r="Z1420" s="10" t="s">
        <v>3362</v>
      </c>
      <c r="AA1420" s="8" t="s">
        <v>332</v>
      </c>
      <c r="AB1420" s="8">
        <v>1</v>
      </c>
    </row>
    <row r="1421" spans="1:28" ht="21.6" customHeight="1">
      <c r="A1421" s="8">
        <v>59</v>
      </c>
      <c r="B1421" s="8">
        <v>2025120999</v>
      </c>
      <c r="C1421" s="8">
        <v>1</v>
      </c>
      <c r="D1421" s="8" t="s">
        <v>3177</v>
      </c>
      <c r="E1421" s="8" t="s">
        <v>118</v>
      </c>
      <c r="F1421" s="8" t="s">
        <v>4648</v>
      </c>
      <c r="G1421" s="8" t="s">
        <v>3368</v>
      </c>
      <c r="H1421" s="8" t="s">
        <v>4031</v>
      </c>
      <c r="I1421" s="8" t="s">
        <v>4583</v>
      </c>
      <c r="J1421" s="8" t="s">
        <v>4553</v>
      </c>
      <c r="K1421" s="8" t="s">
        <v>3183</v>
      </c>
      <c r="L1421" s="10" t="s">
        <v>3462</v>
      </c>
      <c r="M1421" s="10" t="s">
        <v>3463</v>
      </c>
      <c r="N1421" s="10" t="s">
        <v>3464</v>
      </c>
      <c r="O1421" s="8" t="s">
        <v>322</v>
      </c>
      <c r="P1421" s="8"/>
      <c r="Q1421" s="8"/>
      <c r="R1421" s="8">
        <v>56002</v>
      </c>
      <c r="S1421" s="8"/>
      <c r="T1421" s="8"/>
      <c r="U1421" s="8" t="s">
        <v>332</v>
      </c>
      <c r="V1421" s="8"/>
      <c r="W1421" s="8"/>
      <c r="X1421" s="8"/>
      <c r="Y1421" s="8"/>
      <c r="Z1421" s="10" t="s">
        <v>3362</v>
      </c>
      <c r="AA1421" s="8" t="s">
        <v>332</v>
      </c>
      <c r="AB1421" s="8">
        <v>1</v>
      </c>
    </row>
    <row r="1422" spans="1:28" ht="21.6" customHeight="1">
      <c r="A1422" s="8">
        <v>62</v>
      </c>
      <c r="B1422" s="8">
        <v>2025121001</v>
      </c>
      <c r="C1422" s="8">
        <v>1</v>
      </c>
      <c r="D1422" s="8" t="s">
        <v>3177</v>
      </c>
      <c r="E1422" s="8" t="s">
        <v>118</v>
      </c>
      <c r="F1422" s="8" t="s">
        <v>4648</v>
      </c>
      <c r="G1422" s="8" t="s">
        <v>3311</v>
      </c>
      <c r="H1422" s="8" t="s">
        <v>3204</v>
      </c>
      <c r="I1422" s="8" t="s">
        <v>4574</v>
      </c>
      <c r="J1422" s="8" t="s">
        <v>4553</v>
      </c>
      <c r="K1422" s="8" t="s">
        <v>3183</v>
      </c>
      <c r="L1422" s="10" t="s">
        <v>3462</v>
      </c>
      <c r="M1422" s="10" t="s">
        <v>3714</v>
      </c>
      <c r="N1422" s="10" t="s">
        <v>3715</v>
      </c>
      <c r="O1422" s="8" t="s">
        <v>322</v>
      </c>
      <c r="P1422" s="8"/>
      <c r="Q1422" s="8"/>
      <c r="R1422" s="8">
        <v>37849</v>
      </c>
      <c r="S1422" s="8"/>
      <c r="T1422" s="8"/>
      <c r="U1422" s="8" t="s">
        <v>332</v>
      </c>
      <c r="V1422" s="8"/>
      <c r="W1422" s="8"/>
      <c r="X1422" s="8"/>
      <c r="Y1422" s="8"/>
      <c r="Z1422" s="10" t="s">
        <v>3362</v>
      </c>
      <c r="AA1422" s="8" t="s">
        <v>332</v>
      </c>
      <c r="AB1422" s="8">
        <v>1</v>
      </c>
    </row>
    <row r="1423" spans="1:28" ht="21.6" customHeight="1">
      <c r="A1423" s="8">
        <v>67</v>
      </c>
      <c r="B1423" s="8">
        <v>2025120834</v>
      </c>
      <c r="C1423" s="8">
        <v>1</v>
      </c>
      <c r="D1423" s="8" t="s">
        <v>3177</v>
      </c>
      <c r="E1423" s="8" t="s">
        <v>118</v>
      </c>
      <c r="F1423" s="8" t="s">
        <v>4648</v>
      </c>
      <c r="G1423" s="8" t="s">
        <v>3381</v>
      </c>
      <c r="H1423" s="8" t="s">
        <v>3401</v>
      </c>
      <c r="I1423" s="8" t="s">
        <v>4287</v>
      </c>
      <c r="J1423" s="8" t="s">
        <v>1717</v>
      </c>
      <c r="K1423" s="8" t="s">
        <v>3183</v>
      </c>
      <c r="L1423" s="10" t="s">
        <v>3550</v>
      </c>
      <c r="M1423" s="10" t="s">
        <v>3551</v>
      </c>
      <c r="N1423" s="10" t="s">
        <v>3552</v>
      </c>
      <c r="O1423" s="8" t="s">
        <v>322</v>
      </c>
      <c r="P1423" s="8"/>
      <c r="Q1423" s="8"/>
      <c r="R1423" s="8">
        <v>102273</v>
      </c>
      <c r="S1423" s="8"/>
      <c r="T1423" s="8"/>
      <c r="U1423" s="8" t="s">
        <v>332</v>
      </c>
      <c r="V1423" s="8"/>
      <c r="W1423" s="8"/>
      <c r="X1423" s="8"/>
      <c r="Y1423" s="8"/>
      <c r="Z1423" s="10" t="s">
        <v>3362</v>
      </c>
      <c r="AA1423" s="8" t="s">
        <v>332</v>
      </c>
      <c r="AB1423" s="8">
        <v>1</v>
      </c>
    </row>
    <row r="1424" spans="1:28" ht="21.6" customHeight="1">
      <c r="A1424" s="8">
        <v>10</v>
      </c>
      <c r="B1424" s="8">
        <v>2025121143</v>
      </c>
      <c r="C1424" s="8">
        <v>1</v>
      </c>
      <c r="D1424" s="8" t="s">
        <v>3177</v>
      </c>
      <c r="E1424" s="8" t="s">
        <v>123</v>
      </c>
      <c r="F1424" s="8" t="s">
        <v>4649</v>
      </c>
      <c r="G1424" s="8" t="s">
        <v>3401</v>
      </c>
      <c r="H1424" s="8" t="s">
        <v>3902</v>
      </c>
      <c r="I1424" s="8" t="s">
        <v>3276</v>
      </c>
      <c r="J1424" s="8" t="s">
        <v>3277</v>
      </c>
      <c r="K1424" s="8" t="s">
        <v>3183</v>
      </c>
      <c r="L1424" s="10" t="s">
        <v>3278</v>
      </c>
      <c r="M1424" s="10" t="s">
        <v>3279</v>
      </c>
      <c r="N1424" s="10" t="s">
        <v>4408</v>
      </c>
      <c r="O1424" s="8" t="s">
        <v>322</v>
      </c>
      <c r="P1424" s="8"/>
      <c r="Q1424" s="8"/>
      <c r="R1424" s="8">
        <v>72912</v>
      </c>
      <c r="S1424" s="8" t="s">
        <v>332</v>
      </c>
      <c r="T1424" s="8"/>
      <c r="U1424" s="8"/>
      <c r="V1424" s="8"/>
      <c r="W1424" s="8"/>
      <c r="X1424" s="8"/>
      <c r="Y1424" s="8"/>
      <c r="Z1424" s="10" t="s">
        <v>3186</v>
      </c>
      <c r="AA1424" s="8" t="s">
        <v>332</v>
      </c>
      <c r="AB1424" s="8">
        <v>1</v>
      </c>
    </row>
    <row r="1425" spans="1:28" ht="21.6" customHeight="1">
      <c r="A1425" s="8">
        <v>12</v>
      </c>
      <c r="B1425" s="8">
        <v>2025121099</v>
      </c>
      <c r="C1425" s="8">
        <v>1</v>
      </c>
      <c r="D1425" s="8" t="s">
        <v>3177</v>
      </c>
      <c r="E1425" s="8" t="s">
        <v>123</v>
      </c>
      <c r="F1425" s="8" t="s">
        <v>4649</v>
      </c>
      <c r="G1425" s="8" t="s">
        <v>3363</v>
      </c>
      <c r="H1425" s="8" t="s">
        <v>3765</v>
      </c>
      <c r="I1425" s="8" t="s">
        <v>3282</v>
      </c>
      <c r="J1425" s="8" t="s">
        <v>3277</v>
      </c>
      <c r="K1425" s="8" t="s">
        <v>3183</v>
      </c>
      <c r="L1425" s="10" t="s">
        <v>3283</v>
      </c>
      <c r="M1425" s="10" t="s">
        <v>3284</v>
      </c>
      <c r="N1425" s="10"/>
      <c r="O1425" s="8" t="s">
        <v>322</v>
      </c>
      <c r="P1425" s="8"/>
      <c r="Q1425" s="8"/>
      <c r="R1425" s="8">
        <v>30400</v>
      </c>
      <c r="S1425" s="8" t="s">
        <v>332</v>
      </c>
      <c r="T1425" s="8"/>
      <c r="U1425" s="8"/>
      <c r="V1425" s="8"/>
      <c r="W1425" s="8"/>
      <c r="X1425" s="8"/>
      <c r="Y1425" s="8"/>
      <c r="Z1425" s="10" t="s">
        <v>3186</v>
      </c>
      <c r="AA1425" s="8" t="s">
        <v>332</v>
      </c>
      <c r="AB1425" s="8">
        <v>1</v>
      </c>
    </row>
    <row r="1426" spans="1:28" ht="21.6" customHeight="1">
      <c r="A1426" s="8">
        <v>37</v>
      </c>
      <c r="B1426" s="8">
        <v>2025121158</v>
      </c>
      <c r="C1426" s="8">
        <v>1</v>
      </c>
      <c r="D1426" s="8" t="s">
        <v>3177</v>
      </c>
      <c r="E1426" s="8" t="s">
        <v>118</v>
      </c>
      <c r="F1426" s="8" t="s">
        <v>4649</v>
      </c>
      <c r="G1426" s="8" t="s">
        <v>3381</v>
      </c>
      <c r="H1426" s="8" t="s">
        <v>3401</v>
      </c>
      <c r="I1426" s="8" t="s">
        <v>3689</v>
      </c>
      <c r="J1426" s="8" t="s">
        <v>3224</v>
      </c>
      <c r="K1426" s="8" t="s">
        <v>3183</v>
      </c>
      <c r="L1426" s="10" t="s">
        <v>3344</v>
      </c>
      <c r="M1426" s="10" t="s">
        <v>3345</v>
      </c>
      <c r="N1426" s="10" t="s">
        <v>3497</v>
      </c>
      <c r="O1426" s="8" t="s">
        <v>322</v>
      </c>
      <c r="P1426" s="8"/>
      <c r="Q1426" s="8">
        <v>1100</v>
      </c>
      <c r="R1426" s="8">
        <v>16500</v>
      </c>
      <c r="S1426" s="8"/>
      <c r="T1426" s="8"/>
      <c r="U1426" s="8" t="s">
        <v>332</v>
      </c>
      <c r="V1426" s="8"/>
      <c r="W1426" s="8"/>
      <c r="X1426" s="8"/>
      <c r="Y1426" s="8"/>
      <c r="Z1426" s="10" t="s">
        <v>3362</v>
      </c>
      <c r="AA1426" s="8" t="s">
        <v>332</v>
      </c>
      <c r="AB1426" s="8">
        <v>1</v>
      </c>
    </row>
    <row r="1427" spans="1:28" ht="21.6" customHeight="1">
      <c r="A1427" s="8">
        <v>47</v>
      </c>
      <c r="B1427" s="8">
        <v>2025121238</v>
      </c>
      <c r="C1427" s="8">
        <v>1</v>
      </c>
      <c r="D1427" s="8" t="s">
        <v>3177</v>
      </c>
      <c r="E1427" s="8" t="s">
        <v>118</v>
      </c>
      <c r="F1427" s="8" t="s">
        <v>4649</v>
      </c>
      <c r="G1427" s="8" t="s">
        <v>3973</v>
      </c>
      <c r="H1427" s="8" t="s">
        <v>3368</v>
      </c>
      <c r="I1427" s="8" t="s">
        <v>3404</v>
      </c>
      <c r="J1427" s="8" t="s">
        <v>3253</v>
      </c>
      <c r="K1427" s="8" t="s">
        <v>3183</v>
      </c>
      <c r="L1427" s="10" t="s">
        <v>3398</v>
      </c>
      <c r="M1427" s="10" t="s">
        <v>3575</v>
      </c>
      <c r="N1427" s="10" t="s">
        <v>3576</v>
      </c>
      <c r="O1427" s="8" t="s">
        <v>3190</v>
      </c>
      <c r="P1427" s="8"/>
      <c r="Q1427" s="8"/>
      <c r="R1427" s="8">
        <v>905</v>
      </c>
      <c r="S1427" s="8"/>
      <c r="T1427" s="8"/>
      <c r="U1427" s="8"/>
      <c r="V1427" s="8"/>
      <c r="W1427" s="8"/>
      <c r="X1427" s="8"/>
      <c r="Y1427" s="8"/>
      <c r="Z1427" s="10" t="s">
        <v>3696</v>
      </c>
      <c r="AA1427" s="8" t="s">
        <v>332</v>
      </c>
      <c r="AB1427" s="8">
        <v>1</v>
      </c>
    </row>
    <row r="1428" spans="1:28" ht="21.6" customHeight="1">
      <c r="A1428" s="8">
        <v>55</v>
      </c>
      <c r="B1428" s="8">
        <v>2025121171</v>
      </c>
      <c r="C1428" s="8">
        <v>1</v>
      </c>
      <c r="D1428" s="8" t="s">
        <v>3177</v>
      </c>
      <c r="E1428" s="8" t="s">
        <v>118</v>
      </c>
      <c r="F1428" s="8" t="s">
        <v>4649</v>
      </c>
      <c r="G1428" s="8" t="s">
        <v>3250</v>
      </c>
      <c r="H1428" s="8" t="s">
        <v>3204</v>
      </c>
      <c r="I1428" s="8" t="s">
        <v>3433</v>
      </c>
      <c r="J1428" s="8" t="s">
        <v>3277</v>
      </c>
      <c r="K1428" s="8" t="s">
        <v>3183</v>
      </c>
      <c r="L1428" s="10" t="s">
        <v>3434</v>
      </c>
      <c r="M1428" s="10" t="s">
        <v>3435</v>
      </c>
      <c r="N1428" s="10" t="s">
        <v>3436</v>
      </c>
      <c r="O1428" s="8" t="s">
        <v>322</v>
      </c>
      <c r="P1428" s="8"/>
      <c r="Q1428" s="8"/>
      <c r="R1428" s="8">
        <v>164880</v>
      </c>
      <c r="S1428" s="8" t="s">
        <v>332</v>
      </c>
      <c r="T1428" s="8"/>
      <c r="U1428" s="8"/>
      <c r="V1428" s="8"/>
      <c r="W1428" s="8"/>
      <c r="X1428" s="8"/>
      <c r="Y1428" s="8"/>
      <c r="Z1428" s="10" t="s">
        <v>3696</v>
      </c>
      <c r="AA1428" s="8" t="s">
        <v>332</v>
      </c>
      <c r="AB1428" s="8">
        <v>1</v>
      </c>
    </row>
    <row r="1429" spans="1:28" ht="21.6" customHeight="1">
      <c r="A1429" s="8">
        <v>57</v>
      </c>
      <c r="B1429" s="8">
        <v>2025121173</v>
      </c>
      <c r="C1429" s="8">
        <v>1</v>
      </c>
      <c r="D1429" s="8" t="s">
        <v>3177</v>
      </c>
      <c r="E1429" s="8" t="s">
        <v>118</v>
      </c>
      <c r="F1429" s="8" t="s">
        <v>4649</v>
      </c>
      <c r="G1429" s="8" t="s">
        <v>3204</v>
      </c>
      <c r="H1429" s="8" t="s">
        <v>3427</v>
      </c>
      <c r="I1429" s="8" t="s">
        <v>3440</v>
      </c>
      <c r="J1429" s="8" t="s">
        <v>3277</v>
      </c>
      <c r="K1429" s="8" t="s">
        <v>3183</v>
      </c>
      <c r="L1429" s="10" t="s">
        <v>3434</v>
      </c>
      <c r="M1429" s="10" t="s">
        <v>3441</v>
      </c>
      <c r="N1429" s="10" t="s">
        <v>3442</v>
      </c>
      <c r="O1429" s="8" t="s">
        <v>322</v>
      </c>
      <c r="P1429" s="8"/>
      <c r="Q1429" s="8"/>
      <c r="R1429" s="8">
        <v>152718</v>
      </c>
      <c r="S1429" s="8" t="s">
        <v>332</v>
      </c>
      <c r="T1429" s="8"/>
      <c r="U1429" s="8"/>
      <c r="V1429" s="8"/>
      <c r="W1429" s="8"/>
      <c r="X1429" s="8"/>
      <c r="Y1429" s="8"/>
      <c r="Z1429" s="10" t="s">
        <v>3696</v>
      </c>
      <c r="AA1429" s="8" t="s">
        <v>332</v>
      </c>
      <c r="AB1429" s="8">
        <v>1</v>
      </c>
    </row>
    <row r="1430" spans="1:28" ht="21.6" customHeight="1">
      <c r="A1430" s="8">
        <v>61</v>
      </c>
      <c r="B1430" s="8">
        <v>2025121159</v>
      </c>
      <c r="C1430" s="8">
        <v>1</v>
      </c>
      <c r="D1430" s="8" t="s">
        <v>3177</v>
      </c>
      <c r="E1430" s="8" t="s">
        <v>118</v>
      </c>
      <c r="F1430" s="8" t="s">
        <v>4649</v>
      </c>
      <c r="G1430" s="8" t="s">
        <v>3401</v>
      </c>
      <c r="H1430" s="8" t="s">
        <v>3357</v>
      </c>
      <c r="I1430" s="8" t="s">
        <v>3447</v>
      </c>
      <c r="J1430" s="8" t="s">
        <v>3277</v>
      </c>
      <c r="K1430" s="8" t="s">
        <v>3183</v>
      </c>
      <c r="L1430" s="10" t="s">
        <v>3448</v>
      </c>
      <c r="M1430" s="10" t="s">
        <v>3449</v>
      </c>
      <c r="N1430" s="10"/>
      <c r="O1430" s="8" t="s">
        <v>322</v>
      </c>
      <c r="P1430" s="8"/>
      <c r="Q1430" s="8"/>
      <c r="R1430" s="8">
        <v>54000</v>
      </c>
      <c r="S1430" s="8"/>
      <c r="T1430" s="8"/>
      <c r="U1430" s="8"/>
      <c r="V1430" s="8"/>
      <c r="W1430" s="8" t="s">
        <v>332</v>
      </c>
      <c r="X1430" s="8"/>
      <c r="Y1430" s="8"/>
      <c r="Z1430" s="10" t="s">
        <v>3816</v>
      </c>
      <c r="AA1430" s="8" t="s">
        <v>332</v>
      </c>
      <c r="AB1430" s="8">
        <v>1</v>
      </c>
    </row>
    <row r="1431" spans="1:28" ht="21.6" customHeight="1">
      <c r="A1431" s="8">
        <v>64</v>
      </c>
      <c r="B1431" s="8">
        <v>2025121233</v>
      </c>
      <c r="C1431" s="8">
        <v>1</v>
      </c>
      <c r="D1431" s="8" t="s">
        <v>3177</v>
      </c>
      <c r="E1431" s="8" t="s">
        <v>118</v>
      </c>
      <c r="F1431" s="8" t="s">
        <v>4649</v>
      </c>
      <c r="G1431" s="8" t="s">
        <v>3342</v>
      </c>
      <c r="H1431" s="8" t="s">
        <v>3920</v>
      </c>
      <c r="I1431" s="8" t="s">
        <v>4426</v>
      </c>
      <c r="J1431" s="8" t="s">
        <v>3277</v>
      </c>
      <c r="K1431" s="8" t="s">
        <v>3183</v>
      </c>
      <c r="L1431" s="10" t="s">
        <v>3398</v>
      </c>
      <c r="M1431" s="10" t="s">
        <v>3522</v>
      </c>
      <c r="N1431" s="10" t="s">
        <v>3523</v>
      </c>
      <c r="O1431" s="8" t="s">
        <v>322</v>
      </c>
      <c r="P1431" s="8"/>
      <c r="Q1431" s="8"/>
      <c r="R1431" s="8">
        <v>12521</v>
      </c>
      <c r="S1431" s="8" t="s">
        <v>332</v>
      </c>
      <c r="T1431" s="8"/>
      <c r="U1431" s="8"/>
      <c r="V1431" s="8"/>
      <c r="W1431" s="8"/>
      <c r="X1431" s="8"/>
      <c r="Y1431" s="8"/>
      <c r="Z1431" s="10" t="s">
        <v>3696</v>
      </c>
      <c r="AA1431" s="8" t="s">
        <v>332</v>
      </c>
      <c r="AB1431" s="8">
        <v>1</v>
      </c>
    </row>
    <row r="1432" spans="1:28" ht="21.6" customHeight="1">
      <c r="A1432" s="8">
        <v>66</v>
      </c>
      <c r="B1432" s="8">
        <v>2025121229</v>
      </c>
      <c r="C1432" s="8">
        <v>1</v>
      </c>
      <c r="D1432" s="8" t="s">
        <v>3177</v>
      </c>
      <c r="E1432" s="8" t="s">
        <v>118</v>
      </c>
      <c r="F1432" s="8" t="s">
        <v>4649</v>
      </c>
      <c r="G1432" s="8" t="s">
        <v>3426</v>
      </c>
      <c r="H1432" s="8" t="s">
        <v>4077</v>
      </c>
      <c r="I1432" s="8" t="s">
        <v>4472</v>
      </c>
      <c r="J1432" s="8" t="s">
        <v>3277</v>
      </c>
      <c r="K1432" s="8" t="s">
        <v>3183</v>
      </c>
      <c r="L1432" s="10" t="s">
        <v>3398</v>
      </c>
      <c r="M1432" s="10" t="s">
        <v>3519</v>
      </c>
      <c r="N1432" s="10" t="s">
        <v>3520</v>
      </c>
      <c r="O1432" s="8" t="s">
        <v>322</v>
      </c>
      <c r="P1432" s="8"/>
      <c r="Q1432" s="8"/>
      <c r="R1432" s="8">
        <v>14306</v>
      </c>
      <c r="S1432" s="8" t="s">
        <v>332</v>
      </c>
      <c r="T1432" s="8"/>
      <c r="U1432" s="8"/>
      <c r="V1432" s="8"/>
      <c r="W1432" s="8"/>
      <c r="X1432" s="8"/>
      <c r="Y1432" s="8"/>
      <c r="Z1432" s="10" t="s">
        <v>3696</v>
      </c>
      <c r="AA1432" s="8" t="s">
        <v>332</v>
      </c>
      <c r="AB1432" s="8">
        <v>1</v>
      </c>
    </row>
    <row r="1433" spans="1:28" ht="21.6" customHeight="1">
      <c r="A1433" s="8">
        <v>68</v>
      </c>
      <c r="B1433" s="8">
        <v>2025121223</v>
      </c>
      <c r="C1433" s="8">
        <v>1</v>
      </c>
      <c r="D1433" s="8" t="s">
        <v>3177</v>
      </c>
      <c r="E1433" s="8" t="s">
        <v>118</v>
      </c>
      <c r="F1433" s="8" t="s">
        <v>4649</v>
      </c>
      <c r="G1433" s="8" t="s">
        <v>3386</v>
      </c>
      <c r="H1433" s="8" t="s">
        <v>3848</v>
      </c>
      <c r="I1433" s="8" t="s">
        <v>4428</v>
      </c>
      <c r="J1433" s="8" t="s">
        <v>3277</v>
      </c>
      <c r="K1433" s="8" t="s">
        <v>3183</v>
      </c>
      <c r="L1433" s="10" t="s">
        <v>3398</v>
      </c>
      <c r="M1433" s="10" t="s">
        <v>3399</v>
      </c>
      <c r="N1433" s="10" t="s">
        <v>3400</v>
      </c>
      <c r="O1433" s="8" t="s">
        <v>322</v>
      </c>
      <c r="P1433" s="8"/>
      <c r="Q1433" s="8"/>
      <c r="R1433" s="8">
        <v>9161</v>
      </c>
      <c r="S1433" s="8" t="s">
        <v>332</v>
      </c>
      <c r="T1433" s="8"/>
      <c r="U1433" s="8"/>
      <c r="V1433" s="8"/>
      <c r="W1433" s="8"/>
      <c r="X1433" s="8"/>
      <c r="Y1433" s="8"/>
      <c r="Z1433" s="10" t="s">
        <v>3696</v>
      </c>
      <c r="AA1433" s="8" t="s">
        <v>332</v>
      </c>
      <c r="AB1433" s="8">
        <v>1</v>
      </c>
    </row>
    <row r="1434" spans="1:28" ht="21.6" customHeight="1">
      <c r="A1434" s="8">
        <v>70</v>
      </c>
      <c r="B1434" s="8">
        <v>2025121227</v>
      </c>
      <c r="C1434" s="8">
        <v>1</v>
      </c>
      <c r="D1434" s="8" t="s">
        <v>3177</v>
      </c>
      <c r="E1434" s="8" t="s">
        <v>118</v>
      </c>
      <c r="F1434" s="8" t="s">
        <v>4649</v>
      </c>
      <c r="G1434" s="8" t="s">
        <v>3588</v>
      </c>
      <c r="H1434" s="8" t="s">
        <v>3426</v>
      </c>
      <c r="I1434" s="8" t="s">
        <v>4430</v>
      </c>
      <c r="J1434" s="8" t="s">
        <v>3277</v>
      </c>
      <c r="K1434" s="8" t="s">
        <v>3183</v>
      </c>
      <c r="L1434" s="10" t="s">
        <v>3398</v>
      </c>
      <c r="M1434" s="10" t="s">
        <v>3535</v>
      </c>
      <c r="N1434" s="10" t="s">
        <v>3494</v>
      </c>
      <c r="O1434" s="8" t="s">
        <v>322</v>
      </c>
      <c r="P1434" s="8"/>
      <c r="Q1434" s="8"/>
      <c r="R1434" s="8">
        <v>11592</v>
      </c>
      <c r="S1434" s="8" t="s">
        <v>332</v>
      </c>
      <c r="T1434" s="8"/>
      <c r="U1434" s="8"/>
      <c r="V1434" s="8"/>
      <c r="W1434" s="8"/>
      <c r="X1434" s="8"/>
      <c r="Y1434" s="8"/>
      <c r="Z1434" s="10" t="s">
        <v>3696</v>
      </c>
      <c r="AA1434" s="8" t="s">
        <v>332</v>
      </c>
      <c r="AB1434" s="8">
        <v>1</v>
      </c>
    </row>
    <row r="1435" spans="1:28" ht="21.6" customHeight="1">
      <c r="A1435" s="8">
        <v>72</v>
      </c>
      <c r="B1435" s="8">
        <v>2025121225</v>
      </c>
      <c r="C1435" s="8">
        <v>1</v>
      </c>
      <c r="D1435" s="8" t="s">
        <v>3177</v>
      </c>
      <c r="E1435" s="8" t="s">
        <v>118</v>
      </c>
      <c r="F1435" s="8" t="s">
        <v>4649</v>
      </c>
      <c r="G1435" s="8" t="s">
        <v>3848</v>
      </c>
      <c r="H1435" s="8" t="s">
        <v>3588</v>
      </c>
      <c r="I1435" s="8" t="s">
        <v>4473</v>
      </c>
      <c r="J1435" s="8" t="s">
        <v>3277</v>
      </c>
      <c r="K1435" s="8" t="s">
        <v>3183</v>
      </c>
      <c r="L1435" s="10" t="s">
        <v>3398</v>
      </c>
      <c r="M1435" s="10" t="s">
        <v>3514</v>
      </c>
      <c r="N1435" s="10" t="s">
        <v>3379</v>
      </c>
      <c r="O1435" s="8" t="s">
        <v>322</v>
      </c>
      <c r="P1435" s="8"/>
      <c r="Q1435" s="8"/>
      <c r="R1435" s="8">
        <v>6992</v>
      </c>
      <c r="S1435" s="8" t="s">
        <v>332</v>
      </c>
      <c r="T1435" s="8"/>
      <c r="U1435" s="8"/>
      <c r="V1435" s="8"/>
      <c r="W1435" s="8"/>
      <c r="X1435" s="8"/>
      <c r="Y1435" s="8"/>
      <c r="Z1435" s="10" t="s">
        <v>3696</v>
      </c>
      <c r="AA1435" s="8" t="s">
        <v>332</v>
      </c>
      <c r="AB1435" s="8">
        <v>1</v>
      </c>
    </row>
    <row r="1436" spans="1:28" ht="21.6" customHeight="1">
      <c r="A1436" s="8">
        <v>78</v>
      </c>
      <c r="B1436" s="8">
        <v>2025121235</v>
      </c>
      <c r="C1436" s="8">
        <v>1</v>
      </c>
      <c r="D1436" s="8" t="s">
        <v>3177</v>
      </c>
      <c r="E1436" s="8" t="s">
        <v>118</v>
      </c>
      <c r="F1436" s="8" t="s">
        <v>4649</v>
      </c>
      <c r="G1436" s="8" t="s">
        <v>3920</v>
      </c>
      <c r="H1436" s="8" t="s">
        <v>3973</v>
      </c>
      <c r="I1436" s="8" t="s">
        <v>3510</v>
      </c>
      <c r="J1436" s="8" t="s">
        <v>3298</v>
      </c>
      <c r="K1436" s="8" t="s">
        <v>3183</v>
      </c>
      <c r="L1436" s="10" t="s">
        <v>3398</v>
      </c>
      <c r="M1436" s="10" t="s">
        <v>3511</v>
      </c>
      <c r="N1436" s="10" t="s">
        <v>3512</v>
      </c>
      <c r="O1436" s="8" t="s">
        <v>322</v>
      </c>
      <c r="P1436" s="8"/>
      <c r="Q1436" s="8"/>
      <c r="R1436" s="8">
        <v>258</v>
      </c>
      <c r="S1436" s="8" t="s">
        <v>332</v>
      </c>
      <c r="T1436" s="8"/>
      <c r="U1436" s="8"/>
      <c r="V1436" s="8"/>
      <c r="W1436" s="8"/>
      <c r="X1436" s="8"/>
      <c r="Y1436" s="8"/>
      <c r="Z1436" s="10" t="s">
        <v>3696</v>
      </c>
      <c r="AA1436" s="8" t="s">
        <v>332</v>
      </c>
      <c r="AB1436" s="8">
        <v>1</v>
      </c>
    </row>
    <row r="1437" spans="1:28" ht="21.6" customHeight="1">
      <c r="A1437" s="8">
        <v>80</v>
      </c>
      <c r="B1437" s="8">
        <v>2025121231</v>
      </c>
      <c r="C1437" s="8">
        <v>1</v>
      </c>
      <c r="D1437" s="8" t="s">
        <v>3177</v>
      </c>
      <c r="E1437" s="8" t="s">
        <v>118</v>
      </c>
      <c r="F1437" s="8" t="s">
        <v>4649</v>
      </c>
      <c r="G1437" s="8" t="s">
        <v>4077</v>
      </c>
      <c r="H1437" s="8" t="s">
        <v>4346</v>
      </c>
      <c r="I1437" s="8" t="s">
        <v>3521</v>
      </c>
      <c r="J1437" s="8" t="s">
        <v>3298</v>
      </c>
      <c r="K1437" s="8" t="s">
        <v>3183</v>
      </c>
      <c r="L1437" s="10" t="s">
        <v>3398</v>
      </c>
      <c r="M1437" s="10" t="s">
        <v>3405</v>
      </c>
      <c r="N1437" s="10" t="s">
        <v>3406</v>
      </c>
      <c r="O1437" s="8" t="s">
        <v>322</v>
      </c>
      <c r="P1437" s="8"/>
      <c r="Q1437" s="8"/>
      <c r="R1437" s="8">
        <v>2865</v>
      </c>
      <c r="S1437" s="8" t="s">
        <v>332</v>
      </c>
      <c r="T1437" s="8"/>
      <c r="U1437" s="8"/>
      <c r="V1437" s="8"/>
      <c r="W1437" s="8"/>
      <c r="X1437" s="8"/>
      <c r="Y1437" s="8"/>
      <c r="Z1437" s="10" t="s">
        <v>3696</v>
      </c>
      <c r="AA1437" s="8" t="s">
        <v>332</v>
      </c>
      <c r="AB1437" s="8">
        <v>1</v>
      </c>
    </row>
    <row r="1438" spans="1:28" ht="21.6" customHeight="1">
      <c r="A1438" s="8">
        <v>82</v>
      </c>
      <c r="B1438" s="8">
        <v>2025121166</v>
      </c>
      <c r="C1438" s="8">
        <v>1</v>
      </c>
      <c r="D1438" s="8" t="s">
        <v>3177</v>
      </c>
      <c r="E1438" s="8" t="s">
        <v>118</v>
      </c>
      <c r="F1438" s="8" t="s">
        <v>4649</v>
      </c>
      <c r="G1438" s="8" t="s">
        <v>3368</v>
      </c>
      <c r="H1438" s="8" t="s">
        <v>3250</v>
      </c>
      <c r="I1438" s="8" t="s">
        <v>3536</v>
      </c>
      <c r="J1438" s="8" t="s">
        <v>3298</v>
      </c>
      <c r="K1438" s="8" t="s">
        <v>3183</v>
      </c>
      <c r="L1438" s="10" t="s">
        <v>3537</v>
      </c>
      <c r="M1438" s="10" t="s">
        <v>3538</v>
      </c>
      <c r="N1438" s="10"/>
      <c r="O1438" s="8" t="s">
        <v>322</v>
      </c>
      <c r="P1438" s="8"/>
      <c r="Q1438" s="8"/>
      <c r="R1438" s="8">
        <v>146700</v>
      </c>
      <c r="S1438" s="8" t="s">
        <v>332</v>
      </c>
      <c r="T1438" s="8"/>
      <c r="U1438" s="8"/>
      <c r="V1438" s="8"/>
      <c r="W1438" s="8"/>
      <c r="X1438" s="8"/>
      <c r="Y1438" s="8"/>
      <c r="Z1438" s="10" t="s">
        <v>3696</v>
      </c>
      <c r="AA1438" s="8" t="s">
        <v>332</v>
      </c>
      <c r="AB1438" s="8">
        <v>1</v>
      </c>
    </row>
    <row r="1439" spans="1:28" ht="21.6" customHeight="1">
      <c r="A1439" s="8">
        <v>94</v>
      </c>
      <c r="B1439" s="8">
        <v>2025121187</v>
      </c>
      <c r="C1439" s="8">
        <v>1</v>
      </c>
      <c r="D1439" s="8" t="s">
        <v>3177</v>
      </c>
      <c r="E1439" s="8" t="s">
        <v>118</v>
      </c>
      <c r="F1439" s="8" t="s">
        <v>4649</v>
      </c>
      <c r="G1439" s="8" t="s">
        <v>3427</v>
      </c>
      <c r="H1439" s="8" t="s">
        <v>3386</v>
      </c>
      <c r="I1439" s="8" t="s">
        <v>4568</v>
      </c>
      <c r="J1439" s="8" t="s">
        <v>4553</v>
      </c>
      <c r="K1439" s="8" t="s">
        <v>3183</v>
      </c>
      <c r="L1439" s="10" t="s">
        <v>3462</v>
      </c>
      <c r="M1439" s="10" t="s">
        <v>3531</v>
      </c>
      <c r="N1439" s="10" t="s">
        <v>3532</v>
      </c>
      <c r="O1439" s="8" t="s">
        <v>322</v>
      </c>
      <c r="P1439" s="8"/>
      <c r="Q1439" s="8"/>
      <c r="R1439" s="8">
        <v>22407</v>
      </c>
      <c r="S1439" s="8"/>
      <c r="T1439" s="8"/>
      <c r="U1439" s="8"/>
      <c r="V1439" s="8"/>
      <c r="W1439" s="8"/>
      <c r="X1439" s="8"/>
      <c r="Y1439" s="8" t="s">
        <v>332</v>
      </c>
      <c r="Z1439" s="10" t="s">
        <v>4650</v>
      </c>
      <c r="AA1439" s="8" t="s">
        <v>332</v>
      </c>
      <c r="AB1439" s="8">
        <v>1</v>
      </c>
    </row>
    <row r="1440" spans="1:28" ht="21.6" customHeight="1">
      <c r="A1440" s="8">
        <v>98</v>
      </c>
      <c r="B1440" s="8">
        <v>2025121186</v>
      </c>
      <c r="C1440" s="8">
        <v>1</v>
      </c>
      <c r="D1440" s="8" t="s">
        <v>3177</v>
      </c>
      <c r="E1440" s="8" t="s">
        <v>118</v>
      </c>
      <c r="F1440" s="8" t="s">
        <v>4649</v>
      </c>
      <c r="G1440" s="8" t="s">
        <v>3204</v>
      </c>
      <c r="H1440" s="8" t="s">
        <v>3427</v>
      </c>
      <c r="I1440" s="8" t="s">
        <v>4583</v>
      </c>
      <c r="J1440" s="8" t="s">
        <v>4553</v>
      </c>
      <c r="K1440" s="8" t="s">
        <v>3183</v>
      </c>
      <c r="L1440" s="10" t="s">
        <v>3462</v>
      </c>
      <c r="M1440" s="10" t="s">
        <v>3463</v>
      </c>
      <c r="N1440" s="10" t="s">
        <v>3464</v>
      </c>
      <c r="O1440" s="8" t="s">
        <v>322</v>
      </c>
      <c r="P1440" s="8"/>
      <c r="Q1440" s="8"/>
      <c r="R1440" s="8">
        <v>56002</v>
      </c>
      <c r="S1440" s="8"/>
      <c r="T1440" s="8"/>
      <c r="U1440" s="8"/>
      <c r="V1440" s="8"/>
      <c r="W1440" s="8"/>
      <c r="X1440" s="8"/>
      <c r="Y1440" s="8" t="s">
        <v>332</v>
      </c>
      <c r="Z1440" s="10" t="s">
        <v>4651</v>
      </c>
      <c r="AA1440" s="8" t="s">
        <v>332</v>
      </c>
      <c r="AB1440" s="8">
        <v>1</v>
      </c>
    </row>
    <row r="1441" spans="1:28" ht="21.6" customHeight="1">
      <c r="A1441" s="8">
        <v>102</v>
      </c>
      <c r="B1441" s="8">
        <v>2025121078</v>
      </c>
      <c r="C1441" s="8">
        <v>1</v>
      </c>
      <c r="D1441" s="8" t="s">
        <v>3177</v>
      </c>
      <c r="E1441" s="8" t="s">
        <v>118</v>
      </c>
      <c r="F1441" s="8" t="s">
        <v>4649</v>
      </c>
      <c r="G1441" s="8" t="s">
        <v>3233</v>
      </c>
      <c r="H1441" s="8" t="s">
        <v>3381</v>
      </c>
      <c r="I1441" s="8" t="s">
        <v>4093</v>
      </c>
      <c r="J1441" s="8" t="s">
        <v>3543</v>
      </c>
      <c r="K1441" s="8" t="s">
        <v>3183</v>
      </c>
      <c r="L1441" s="10" t="s">
        <v>4094</v>
      </c>
      <c r="M1441" s="10" t="s">
        <v>4095</v>
      </c>
      <c r="N1441" s="10" t="s">
        <v>3424</v>
      </c>
      <c r="O1441" s="8" t="s">
        <v>3190</v>
      </c>
      <c r="P1441" s="8"/>
      <c r="Q1441" s="8"/>
      <c r="R1441" s="8">
        <v>3011</v>
      </c>
      <c r="S1441" s="8"/>
      <c r="T1441" s="8"/>
      <c r="U1441" s="8"/>
      <c r="V1441" s="8"/>
      <c r="W1441" s="8"/>
      <c r="X1441" s="8"/>
      <c r="Y1441" s="8"/>
      <c r="Z1441" s="10" t="s">
        <v>3696</v>
      </c>
      <c r="AA1441" s="8" t="s">
        <v>332</v>
      </c>
      <c r="AB1441" s="8">
        <v>1</v>
      </c>
    </row>
    <row r="1442" spans="1:28" ht="21.6" customHeight="1">
      <c r="A1442" s="8">
        <v>10</v>
      </c>
      <c r="B1442" s="8">
        <v>2025121144</v>
      </c>
      <c r="C1442" s="8">
        <v>1</v>
      </c>
      <c r="D1442" s="8" t="s">
        <v>3177</v>
      </c>
      <c r="E1442" s="8" t="s">
        <v>123</v>
      </c>
      <c r="F1442" s="8" t="s">
        <v>4649</v>
      </c>
      <c r="G1442" s="8" t="s">
        <v>3401</v>
      </c>
      <c r="H1442" s="8" t="s">
        <v>3902</v>
      </c>
      <c r="I1442" s="8" t="s">
        <v>3276</v>
      </c>
      <c r="J1442" s="8" t="s">
        <v>3277</v>
      </c>
      <c r="K1442" s="8" t="s">
        <v>3183</v>
      </c>
      <c r="L1442" s="10" t="s">
        <v>3278</v>
      </c>
      <c r="M1442" s="10" t="s">
        <v>3279</v>
      </c>
      <c r="N1442" s="10" t="s">
        <v>4408</v>
      </c>
      <c r="O1442" s="8" t="s">
        <v>3190</v>
      </c>
      <c r="P1442" s="8"/>
      <c r="Q1442" s="8"/>
      <c r="R1442" s="8">
        <v>72912</v>
      </c>
      <c r="S1442" s="8"/>
      <c r="T1442" s="8"/>
      <c r="U1442" s="8"/>
      <c r="V1442" s="8"/>
      <c r="W1442" s="8"/>
      <c r="X1442" s="8"/>
      <c r="Y1442" s="8"/>
      <c r="Z1442" s="10" t="s">
        <v>3186</v>
      </c>
      <c r="AA1442" s="8" t="s">
        <v>332</v>
      </c>
      <c r="AB1442" s="8">
        <v>1</v>
      </c>
    </row>
    <row r="1443" spans="1:28" ht="21.6" customHeight="1">
      <c r="A1443" s="8">
        <v>59</v>
      </c>
      <c r="B1443" s="8">
        <v>2025121237</v>
      </c>
      <c r="C1443" s="8">
        <v>1</v>
      </c>
      <c r="D1443" s="8" t="s">
        <v>3177</v>
      </c>
      <c r="E1443" s="8" t="s">
        <v>118</v>
      </c>
      <c r="F1443" s="8" t="s">
        <v>4649</v>
      </c>
      <c r="G1443" s="8" t="s">
        <v>3973</v>
      </c>
      <c r="H1443" s="8" t="s">
        <v>3368</v>
      </c>
      <c r="I1443" s="8" t="s">
        <v>3404</v>
      </c>
      <c r="J1443" s="8" t="s">
        <v>3253</v>
      </c>
      <c r="K1443" s="8" t="s">
        <v>3183</v>
      </c>
      <c r="L1443" s="10" t="s">
        <v>3398</v>
      </c>
      <c r="M1443" s="10" t="s">
        <v>3575</v>
      </c>
      <c r="N1443" s="10" t="s">
        <v>3576</v>
      </c>
      <c r="O1443" s="8" t="s">
        <v>322</v>
      </c>
      <c r="P1443" s="8"/>
      <c r="Q1443" s="8"/>
      <c r="R1443" s="8">
        <v>905</v>
      </c>
      <c r="S1443" s="8" t="s">
        <v>332</v>
      </c>
      <c r="T1443" s="8"/>
      <c r="U1443" s="8"/>
      <c r="V1443" s="8"/>
      <c r="W1443" s="8"/>
      <c r="X1443" s="8"/>
      <c r="Y1443" s="8"/>
      <c r="Z1443" s="10" t="s">
        <v>3696</v>
      </c>
      <c r="AA1443" s="8" t="s">
        <v>332</v>
      </c>
      <c r="AB1443" s="8">
        <v>1</v>
      </c>
    </row>
    <row r="1444" spans="1:28" ht="21.6" customHeight="1">
      <c r="A1444" s="8">
        <v>61</v>
      </c>
      <c r="B1444" s="8">
        <v>2025121280</v>
      </c>
      <c r="C1444" s="8">
        <v>1</v>
      </c>
      <c r="D1444" s="8" t="s">
        <v>3177</v>
      </c>
      <c r="E1444" s="8" t="s">
        <v>118</v>
      </c>
      <c r="F1444" s="8" t="s">
        <v>4649</v>
      </c>
      <c r="G1444" s="8" t="s">
        <v>3431</v>
      </c>
      <c r="H1444" s="8" t="s">
        <v>3432</v>
      </c>
      <c r="I1444" s="8" t="s">
        <v>4304</v>
      </c>
      <c r="J1444" s="8" t="s">
        <v>3253</v>
      </c>
      <c r="K1444" s="8" t="s">
        <v>3183</v>
      </c>
      <c r="L1444" s="10" t="s">
        <v>4305</v>
      </c>
      <c r="M1444" s="10" t="s">
        <v>4306</v>
      </c>
      <c r="N1444" s="10" t="s">
        <v>134</v>
      </c>
      <c r="O1444" s="8" t="s">
        <v>322</v>
      </c>
      <c r="P1444" s="8"/>
      <c r="Q1444" s="8"/>
      <c r="R1444" s="8">
        <v>140764</v>
      </c>
      <c r="S1444" s="8"/>
      <c r="T1444" s="8"/>
      <c r="U1444" s="8"/>
      <c r="V1444" s="8"/>
      <c r="W1444" s="8"/>
      <c r="X1444" s="8"/>
      <c r="Y1444" s="8" t="s">
        <v>332</v>
      </c>
      <c r="Z1444" s="10" t="s">
        <v>4652</v>
      </c>
      <c r="AA1444" s="8" t="s">
        <v>332</v>
      </c>
      <c r="AB1444" s="8">
        <v>1</v>
      </c>
    </row>
    <row r="1445" spans="1:28" ht="21.6" customHeight="1">
      <c r="A1445" s="8">
        <v>97</v>
      </c>
      <c r="B1445" s="8">
        <v>2025120802</v>
      </c>
      <c r="C1445" s="8">
        <v>1</v>
      </c>
      <c r="D1445" s="8" t="s">
        <v>3177</v>
      </c>
      <c r="E1445" s="8" t="s">
        <v>118</v>
      </c>
      <c r="F1445" s="8" t="s">
        <v>4648</v>
      </c>
      <c r="G1445" s="8" t="s">
        <v>3233</v>
      </c>
      <c r="H1445" s="8" t="s">
        <v>3381</v>
      </c>
      <c r="I1445" s="8" t="s">
        <v>3978</v>
      </c>
      <c r="J1445" s="8" t="s">
        <v>3301</v>
      </c>
      <c r="K1445" s="8" t="s">
        <v>3183</v>
      </c>
      <c r="L1445" s="10" t="s">
        <v>4481</v>
      </c>
      <c r="M1445" s="10" t="s">
        <v>3980</v>
      </c>
      <c r="N1445" s="10" t="s">
        <v>3497</v>
      </c>
      <c r="O1445" s="8" t="s">
        <v>3190</v>
      </c>
      <c r="P1445" s="8"/>
      <c r="Q1445" s="8">
        <v>11378</v>
      </c>
      <c r="R1445" s="8">
        <v>19096</v>
      </c>
      <c r="S1445" s="8"/>
      <c r="T1445" s="8"/>
      <c r="U1445" s="8"/>
      <c r="V1445" s="8"/>
      <c r="W1445" s="8"/>
      <c r="X1445" s="8"/>
      <c r="Y1445" s="8"/>
      <c r="Z1445" s="10" t="s">
        <v>3696</v>
      </c>
      <c r="AA1445" s="8" t="s">
        <v>332</v>
      </c>
      <c r="AB1445" s="8">
        <v>1</v>
      </c>
    </row>
    <row r="1446" spans="1:28" ht="21.6" customHeight="1">
      <c r="A1446" s="8">
        <v>90</v>
      </c>
      <c r="B1446" s="8">
        <v>2025121228</v>
      </c>
      <c r="C1446" s="8">
        <v>1</v>
      </c>
      <c r="D1446" s="8" t="s">
        <v>3177</v>
      </c>
      <c r="E1446" s="8" t="s">
        <v>118</v>
      </c>
      <c r="F1446" s="8" t="s">
        <v>4649</v>
      </c>
      <c r="G1446" s="8" t="s">
        <v>3588</v>
      </c>
      <c r="H1446" s="8" t="s">
        <v>3426</v>
      </c>
      <c r="I1446" s="8" t="s">
        <v>4430</v>
      </c>
      <c r="J1446" s="8" t="s">
        <v>3277</v>
      </c>
      <c r="K1446" s="8" t="s">
        <v>3183</v>
      </c>
      <c r="L1446" s="10" t="s">
        <v>3398</v>
      </c>
      <c r="M1446" s="10" t="s">
        <v>3535</v>
      </c>
      <c r="N1446" s="10" t="s">
        <v>3494</v>
      </c>
      <c r="O1446" s="8" t="s">
        <v>3190</v>
      </c>
      <c r="P1446" s="8"/>
      <c r="Q1446" s="8"/>
      <c r="R1446" s="8">
        <v>11592</v>
      </c>
      <c r="S1446" s="8"/>
      <c r="T1446" s="8"/>
      <c r="U1446" s="8"/>
      <c r="V1446" s="8"/>
      <c r="W1446" s="8"/>
      <c r="X1446" s="8"/>
      <c r="Y1446" s="8"/>
      <c r="Z1446" s="10" t="s">
        <v>3696</v>
      </c>
      <c r="AA1446" s="8" t="s">
        <v>332</v>
      </c>
      <c r="AB1446" s="8">
        <v>1</v>
      </c>
    </row>
    <row r="1447" spans="1:28" ht="21.6" customHeight="1">
      <c r="A1447" s="8">
        <v>128</v>
      </c>
      <c r="B1447" s="8">
        <v>2025120172</v>
      </c>
      <c r="C1447" s="8">
        <v>1</v>
      </c>
      <c r="D1447" s="8" t="s">
        <v>3177</v>
      </c>
      <c r="E1447" s="8" t="s">
        <v>118</v>
      </c>
      <c r="F1447" s="8" t="s">
        <v>4645</v>
      </c>
      <c r="G1447" s="8" t="s">
        <v>3350</v>
      </c>
      <c r="H1447" s="8" t="s">
        <v>3280</v>
      </c>
      <c r="I1447" s="8" t="s">
        <v>4287</v>
      </c>
      <c r="J1447" s="8" t="s">
        <v>1717</v>
      </c>
      <c r="K1447" s="8" t="s">
        <v>3183</v>
      </c>
      <c r="L1447" s="10" t="s">
        <v>3550</v>
      </c>
      <c r="M1447" s="10" t="s">
        <v>3551</v>
      </c>
      <c r="N1447" s="10" t="s">
        <v>3552</v>
      </c>
      <c r="O1447" s="8" t="s">
        <v>3190</v>
      </c>
      <c r="P1447" s="8"/>
      <c r="Q1447" s="8"/>
      <c r="R1447" s="8">
        <v>102273</v>
      </c>
      <c r="S1447" s="8"/>
      <c r="T1447" s="8"/>
      <c r="U1447" s="8"/>
      <c r="V1447" s="8"/>
      <c r="W1447" s="8"/>
      <c r="X1447" s="8"/>
      <c r="Y1447" s="8"/>
      <c r="Z1447" s="10" t="s">
        <v>3696</v>
      </c>
      <c r="AA1447" s="8" t="s">
        <v>332</v>
      </c>
      <c r="AB1447" s="8">
        <v>1</v>
      </c>
    </row>
    <row r="1448" spans="1:28" ht="21.6" customHeight="1">
      <c r="A1448" s="8">
        <v>1</v>
      </c>
      <c r="B1448" s="8">
        <v>2025121771</v>
      </c>
      <c r="C1448" s="8">
        <v>1</v>
      </c>
      <c r="D1448" s="8" t="s">
        <v>3177</v>
      </c>
      <c r="E1448" s="8" t="s">
        <v>123</v>
      </c>
      <c r="F1448" s="8" t="s">
        <v>4653</v>
      </c>
      <c r="G1448" s="8" t="s">
        <v>4467</v>
      </c>
      <c r="H1448" s="8" t="s">
        <v>3499</v>
      </c>
      <c r="I1448" s="8" t="s">
        <v>4500</v>
      </c>
      <c r="J1448" s="8" t="s">
        <v>3224</v>
      </c>
      <c r="K1448" s="8" t="s">
        <v>3183</v>
      </c>
      <c r="L1448" s="10" t="s">
        <v>3207</v>
      </c>
      <c r="M1448" s="10" t="s">
        <v>3208</v>
      </c>
      <c r="N1448" s="10" t="s">
        <v>3209</v>
      </c>
      <c r="O1448" s="8" t="s">
        <v>322</v>
      </c>
      <c r="P1448" s="8"/>
      <c r="Q1448" s="8">
        <v>8308</v>
      </c>
      <c r="R1448" s="8">
        <v>5869</v>
      </c>
      <c r="S1448" s="8" t="s">
        <v>332</v>
      </c>
      <c r="T1448" s="8"/>
      <c r="U1448" s="8"/>
      <c r="V1448" s="8"/>
      <c r="W1448" s="8"/>
      <c r="X1448" s="8"/>
      <c r="Y1448" s="8"/>
      <c r="Z1448" s="10" t="s">
        <v>3186</v>
      </c>
      <c r="AA1448" s="8" t="s">
        <v>332</v>
      </c>
      <c r="AB1448" s="8">
        <v>1</v>
      </c>
    </row>
    <row r="1449" spans="1:28" ht="21.6" customHeight="1">
      <c r="A1449" s="8">
        <v>6</v>
      </c>
      <c r="B1449" s="8">
        <v>2025121767</v>
      </c>
      <c r="C1449" s="8">
        <v>1</v>
      </c>
      <c r="D1449" s="8" t="s">
        <v>3177</v>
      </c>
      <c r="E1449" s="8" t="s">
        <v>123</v>
      </c>
      <c r="F1449" s="8" t="s">
        <v>4653</v>
      </c>
      <c r="G1449" s="8" t="s">
        <v>3204</v>
      </c>
      <c r="H1449" s="8" t="s">
        <v>3258</v>
      </c>
      <c r="I1449" s="8" t="s">
        <v>3259</v>
      </c>
      <c r="J1449" s="8" t="s">
        <v>3253</v>
      </c>
      <c r="K1449" s="8" t="s">
        <v>3183</v>
      </c>
      <c r="L1449" s="10" t="s">
        <v>3207</v>
      </c>
      <c r="M1449" s="10" t="s">
        <v>3208</v>
      </c>
      <c r="N1449" s="10" t="s">
        <v>3260</v>
      </c>
      <c r="O1449" s="8" t="s">
        <v>322</v>
      </c>
      <c r="P1449" s="8"/>
      <c r="Q1449" s="8"/>
      <c r="R1449" s="8">
        <v>5539</v>
      </c>
      <c r="S1449" s="8" t="s">
        <v>332</v>
      </c>
      <c r="T1449" s="8"/>
      <c r="U1449" s="8"/>
      <c r="V1449" s="8"/>
      <c r="W1449" s="8"/>
      <c r="X1449" s="8"/>
      <c r="Y1449" s="8"/>
      <c r="Z1449" s="10" t="s">
        <v>3186</v>
      </c>
      <c r="AA1449" s="8" t="s">
        <v>332</v>
      </c>
      <c r="AB1449" s="8">
        <v>1</v>
      </c>
    </row>
    <row r="1450" spans="1:28" ht="21.6" customHeight="1">
      <c r="A1450" s="8">
        <v>18</v>
      </c>
      <c r="B1450" s="8">
        <v>2025121769</v>
      </c>
      <c r="C1450" s="8">
        <v>1</v>
      </c>
      <c r="D1450" s="8" t="s">
        <v>3177</v>
      </c>
      <c r="E1450" s="8" t="s">
        <v>123</v>
      </c>
      <c r="F1450" s="8" t="s">
        <v>4653</v>
      </c>
      <c r="G1450" s="8" t="s">
        <v>3258</v>
      </c>
      <c r="H1450" s="8" t="s">
        <v>4487</v>
      </c>
      <c r="I1450" s="8" t="s">
        <v>4502</v>
      </c>
      <c r="J1450" s="8" t="s">
        <v>3277</v>
      </c>
      <c r="K1450" s="8" t="s">
        <v>3183</v>
      </c>
      <c r="L1450" s="10" t="s">
        <v>3207</v>
      </c>
      <c r="M1450" s="10" t="s">
        <v>3208</v>
      </c>
      <c r="N1450" s="10" t="s">
        <v>3299</v>
      </c>
      <c r="O1450" s="8" t="s">
        <v>322</v>
      </c>
      <c r="P1450" s="8"/>
      <c r="Q1450" s="8"/>
      <c r="R1450" s="8">
        <v>15272</v>
      </c>
      <c r="S1450" s="8" t="s">
        <v>332</v>
      </c>
      <c r="T1450" s="8"/>
      <c r="U1450" s="8"/>
      <c r="V1450" s="8"/>
      <c r="W1450" s="8"/>
      <c r="X1450" s="8"/>
      <c r="Y1450" s="8"/>
      <c r="Z1450" s="10" t="s">
        <v>3186</v>
      </c>
      <c r="AA1450" s="8" t="s">
        <v>332</v>
      </c>
      <c r="AB1450" s="8">
        <v>1</v>
      </c>
    </row>
    <row r="1451" spans="1:28" ht="21.6" customHeight="1">
      <c r="A1451" s="8">
        <v>57</v>
      </c>
      <c r="B1451" s="8">
        <v>2025121163</v>
      </c>
      <c r="C1451" s="8">
        <v>1</v>
      </c>
      <c r="D1451" s="8" t="s">
        <v>3177</v>
      </c>
      <c r="E1451" s="8" t="s">
        <v>118</v>
      </c>
      <c r="F1451" s="8" t="s">
        <v>4649</v>
      </c>
      <c r="G1451" s="8" t="s">
        <v>3357</v>
      </c>
      <c r="H1451" s="8" t="s">
        <v>3342</v>
      </c>
      <c r="I1451" s="8" t="s">
        <v>3365</v>
      </c>
      <c r="J1451" s="8" t="s">
        <v>3195</v>
      </c>
      <c r="K1451" s="8" t="s">
        <v>3183</v>
      </c>
      <c r="L1451" s="10" t="s">
        <v>3366</v>
      </c>
      <c r="M1451" s="10" t="s">
        <v>3367</v>
      </c>
      <c r="N1451" s="10"/>
      <c r="O1451" s="8" t="s">
        <v>3190</v>
      </c>
      <c r="P1451" s="8"/>
      <c r="Q1451" s="8">
        <v>2250</v>
      </c>
      <c r="R1451" s="8">
        <v>45000</v>
      </c>
      <c r="S1451" s="8"/>
      <c r="T1451" s="8"/>
      <c r="U1451" s="8"/>
      <c r="V1451" s="8"/>
      <c r="W1451" s="8"/>
      <c r="X1451" s="8"/>
      <c r="Y1451" s="8"/>
      <c r="Z1451" s="10" t="s">
        <v>3696</v>
      </c>
      <c r="AA1451" s="8" t="s">
        <v>332</v>
      </c>
      <c r="AB1451" s="8">
        <v>1</v>
      </c>
    </row>
    <row r="1452" spans="1:28" ht="21.6" customHeight="1">
      <c r="A1452" s="8">
        <v>73</v>
      </c>
      <c r="B1452" s="8">
        <v>2025121074</v>
      </c>
      <c r="C1452" s="8">
        <v>1</v>
      </c>
      <c r="D1452" s="8" t="s">
        <v>3177</v>
      </c>
      <c r="E1452" s="8" t="s">
        <v>118</v>
      </c>
      <c r="F1452" s="8" t="s">
        <v>4649</v>
      </c>
      <c r="G1452" s="8" t="s">
        <v>3280</v>
      </c>
      <c r="H1452" s="8" t="s">
        <v>3363</v>
      </c>
      <c r="I1452" s="8" t="s">
        <v>4507</v>
      </c>
      <c r="J1452" s="8" t="s">
        <v>3224</v>
      </c>
      <c r="K1452" s="8" t="s">
        <v>3183</v>
      </c>
      <c r="L1452" s="10" t="s">
        <v>4080</v>
      </c>
      <c r="M1452" s="10" t="s">
        <v>4508</v>
      </c>
      <c r="N1452" s="10" t="s">
        <v>4238</v>
      </c>
      <c r="O1452" s="8" t="s">
        <v>3190</v>
      </c>
      <c r="P1452" s="8"/>
      <c r="Q1452" s="8">
        <v>6326</v>
      </c>
      <c r="R1452" s="8">
        <v>2574</v>
      </c>
      <c r="S1452" s="8"/>
      <c r="T1452" s="8"/>
      <c r="U1452" s="8"/>
      <c r="V1452" s="8"/>
      <c r="W1452" s="8"/>
      <c r="X1452" s="8"/>
      <c r="Y1452" s="8"/>
      <c r="Z1452" s="10" t="s">
        <v>3696</v>
      </c>
      <c r="AA1452" s="8" t="s">
        <v>332</v>
      </c>
      <c r="AB1452" s="8">
        <v>1</v>
      </c>
    </row>
    <row r="1453" spans="1:28" ht="21.6" customHeight="1">
      <c r="A1453" s="8">
        <v>148</v>
      </c>
      <c r="B1453" s="8">
        <v>2025121649</v>
      </c>
      <c r="C1453" s="8">
        <v>1</v>
      </c>
      <c r="D1453" s="8" t="s">
        <v>3177</v>
      </c>
      <c r="E1453" s="8" t="s">
        <v>134</v>
      </c>
      <c r="F1453" s="8" t="s">
        <v>4653</v>
      </c>
      <c r="G1453" s="8" t="s">
        <v>3767</v>
      </c>
      <c r="H1453" s="8" t="s">
        <v>4654</v>
      </c>
      <c r="I1453" s="8" t="s">
        <v>4158</v>
      </c>
      <c r="J1453" s="8" t="s">
        <v>3224</v>
      </c>
      <c r="K1453" s="8" t="s">
        <v>3183</v>
      </c>
      <c r="L1453" s="10" t="s">
        <v>3550</v>
      </c>
      <c r="M1453" s="10" t="s">
        <v>4159</v>
      </c>
      <c r="N1453" s="10" t="s">
        <v>3701</v>
      </c>
      <c r="O1453" s="8" t="s">
        <v>363</v>
      </c>
      <c r="P1453" s="8"/>
      <c r="Q1453" s="8"/>
      <c r="R1453" s="8">
        <v>109083</v>
      </c>
      <c r="S1453" s="8"/>
      <c r="T1453" s="8"/>
      <c r="U1453" s="8"/>
      <c r="V1453" s="8"/>
      <c r="W1453" s="8"/>
      <c r="X1453" s="8"/>
      <c r="Y1453" s="8"/>
      <c r="Z1453" s="10" t="s">
        <v>4655</v>
      </c>
      <c r="AA1453" s="8" t="s">
        <v>332</v>
      </c>
      <c r="AB1453" s="8">
        <v>1</v>
      </c>
    </row>
    <row r="1454" spans="1:28" ht="21.6" customHeight="1">
      <c r="A1454" s="8">
        <v>149</v>
      </c>
      <c r="B1454" s="8">
        <v>2025121786</v>
      </c>
      <c r="C1454" s="8">
        <v>1</v>
      </c>
      <c r="D1454" s="8" t="s">
        <v>3177</v>
      </c>
      <c r="E1454" s="8" t="s">
        <v>134</v>
      </c>
      <c r="F1454" s="8" t="s">
        <v>4653</v>
      </c>
      <c r="G1454" s="8" t="s">
        <v>3374</v>
      </c>
      <c r="H1454" s="8" t="s">
        <v>3584</v>
      </c>
      <c r="I1454" s="8" t="s">
        <v>4304</v>
      </c>
      <c r="J1454" s="8" t="s">
        <v>3253</v>
      </c>
      <c r="K1454" s="8" t="s">
        <v>3183</v>
      </c>
      <c r="L1454" s="10" t="s">
        <v>4305</v>
      </c>
      <c r="M1454" s="10" t="s">
        <v>4306</v>
      </c>
      <c r="N1454" s="10" t="s">
        <v>134</v>
      </c>
      <c r="O1454" s="8" t="s">
        <v>322</v>
      </c>
      <c r="P1454" s="8"/>
      <c r="Q1454" s="8"/>
      <c r="R1454" s="8">
        <v>151018</v>
      </c>
      <c r="S1454" s="8"/>
      <c r="T1454" s="8"/>
      <c r="U1454" s="8" t="s">
        <v>332</v>
      </c>
      <c r="V1454" s="8"/>
      <c r="W1454" s="8"/>
      <c r="X1454" s="8"/>
      <c r="Y1454" s="8"/>
      <c r="Z1454" s="10" t="s">
        <v>4656</v>
      </c>
      <c r="AA1454" s="8" t="s">
        <v>332</v>
      </c>
      <c r="AB1454" s="8">
        <v>1</v>
      </c>
    </row>
    <row r="1455" spans="1:28" ht="21.6" customHeight="1">
      <c r="A1455" s="8">
        <v>150</v>
      </c>
      <c r="B1455" s="8">
        <v>2025121636</v>
      </c>
      <c r="C1455" s="8">
        <v>1</v>
      </c>
      <c r="D1455" s="8" t="s">
        <v>3177</v>
      </c>
      <c r="E1455" s="8" t="s">
        <v>134</v>
      </c>
      <c r="F1455" s="8" t="s">
        <v>4653</v>
      </c>
      <c r="G1455" s="8" t="s">
        <v>3381</v>
      </c>
      <c r="H1455" s="8" t="s">
        <v>4127</v>
      </c>
      <c r="I1455" s="8" t="s">
        <v>3428</v>
      </c>
      <c r="J1455" s="8" t="s">
        <v>3253</v>
      </c>
      <c r="K1455" s="8" t="s">
        <v>3183</v>
      </c>
      <c r="L1455" s="10" t="s">
        <v>3270</v>
      </c>
      <c r="M1455" s="10" t="s">
        <v>3429</v>
      </c>
      <c r="N1455" s="10" t="s">
        <v>3430</v>
      </c>
      <c r="O1455" s="8" t="s">
        <v>363</v>
      </c>
      <c r="P1455" s="8"/>
      <c r="Q1455" s="8"/>
      <c r="R1455" s="8">
        <v>81445</v>
      </c>
      <c r="S1455" s="8"/>
      <c r="T1455" s="8"/>
      <c r="U1455" s="8"/>
      <c r="V1455" s="8"/>
      <c r="W1455" s="8"/>
      <c r="X1455" s="8"/>
      <c r="Y1455" s="8"/>
      <c r="Z1455" s="10" t="s">
        <v>4657</v>
      </c>
      <c r="AA1455" s="8" t="s">
        <v>332</v>
      </c>
      <c r="AB1455" s="8">
        <v>1</v>
      </c>
    </row>
    <row r="1456" spans="1:28" ht="21.6" customHeight="1">
      <c r="A1456" s="8">
        <v>62</v>
      </c>
      <c r="B1456" s="8">
        <v>2025120645</v>
      </c>
      <c r="C1456" s="8">
        <v>1</v>
      </c>
      <c r="D1456" s="8" t="s">
        <v>3177</v>
      </c>
      <c r="E1456" s="8" t="s">
        <v>118</v>
      </c>
      <c r="F1456" s="8" t="s">
        <v>4647</v>
      </c>
      <c r="G1456" s="8" t="s">
        <v>3350</v>
      </c>
      <c r="H1456" s="8" t="s">
        <v>3280</v>
      </c>
      <c r="I1456" s="8" t="s">
        <v>3683</v>
      </c>
      <c r="J1456" s="8" t="s">
        <v>3224</v>
      </c>
      <c r="K1456" s="8" t="s">
        <v>3183</v>
      </c>
      <c r="L1456" s="10" t="s">
        <v>3383</v>
      </c>
      <c r="M1456" s="10" t="s">
        <v>3684</v>
      </c>
      <c r="N1456" s="10" t="s">
        <v>3685</v>
      </c>
      <c r="O1456" s="8" t="s">
        <v>3190</v>
      </c>
      <c r="P1456" s="8">
        <v>1921</v>
      </c>
      <c r="Q1456" s="8">
        <v>2784</v>
      </c>
      <c r="R1456" s="8">
        <v>8923</v>
      </c>
      <c r="S1456" s="8"/>
      <c r="T1456" s="8"/>
      <c r="U1456" s="8"/>
      <c r="V1456" s="8"/>
      <c r="W1456" s="8"/>
      <c r="X1456" s="8"/>
      <c r="Y1456" s="8"/>
      <c r="Z1456" s="10" t="s">
        <v>3696</v>
      </c>
      <c r="AA1456" s="8" t="s">
        <v>332</v>
      </c>
      <c r="AB1456" s="8">
        <v>1</v>
      </c>
    </row>
    <row r="1457" spans="1:28" ht="21.6" customHeight="1">
      <c r="A1457" s="8">
        <v>152</v>
      </c>
      <c r="B1457" s="8">
        <v>2025121592</v>
      </c>
      <c r="C1457" s="8">
        <v>1</v>
      </c>
      <c r="D1457" s="8" t="s">
        <v>3177</v>
      </c>
      <c r="E1457" s="8" t="s">
        <v>134</v>
      </c>
      <c r="F1457" s="8" t="s">
        <v>4658</v>
      </c>
      <c r="G1457" s="8" t="s">
        <v>3698</v>
      </c>
      <c r="H1457" s="8" t="s">
        <v>3782</v>
      </c>
      <c r="I1457" s="8" t="s">
        <v>4287</v>
      </c>
      <c r="J1457" s="8" t="s">
        <v>1717</v>
      </c>
      <c r="K1457" s="8" t="s">
        <v>3183</v>
      </c>
      <c r="L1457" s="10" t="s">
        <v>3550</v>
      </c>
      <c r="M1457" s="10" t="s">
        <v>3551</v>
      </c>
      <c r="N1457" s="10" t="s">
        <v>3552</v>
      </c>
      <c r="O1457" s="8" t="s">
        <v>363</v>
      </c>
      <c r="P1457" s="8"/>
      <c r="Q1457" s="8"/>
      <c r="R1457" s="8">
        <v>102273</v>
      </c>
      <c r="S1457" s="8"/>
      <c r="T1457" s="8"/>
      <c r="U1457" s="8"/>
      <c r="V1457" s="8"/>
      <c r="W1457" s="8"/>
      <c r="X1457" s="8"/>
      <c r="Y1457" s="8"/>
      <c r="Z1457" s="10" t="s">
        <v>4659</v>
      </c>
      <c r="AA1457" s="8" t="s">
        <v>332</v>
      </c>
      <c r="AB1457" s="8">
        <v>1</v>
      </c>
    </row>
    <row r="1458" spans="1:28" ht="21.6" customHeight="1">
      <c r="A1458" s="8">
        <v>6</v>
      </c>
      <c r="B1458" s="8">
        <v>2025121768</v>
      </c>
      <c r="C1458" s="8">
        <v>1</v>
      </c>
      <c r="D1458" s="8" t="s">
        <v>3177</v>
      </c>
      <c r="E1458" s="8" t="s">
        <v>123</v>
      </c>
      <c r="F1458" s="8" t="s">
        <v>4653</v>
      </c>
      <c r="G1458" s="8" t="s">
        <v>3204</v>
      </c>
      <c r="H1458" s="8" t="s">
        <v>3258</v>
      </c>
      <c r="I1458" s="8" t="s">
        <v>3259</v>
      </c>
      <c r="J1458" s="8" t="s">
        <v>3253</v>
      </c>
      <c r="K1458" s="8" t="s">
        <v>3183</v>
      </c>
      <c r="L1458" s="10" t="s">
        <v>3207</v>
      </c>
      <c r="M1458" s="10" t="s">
        <v>3208</v>
      </c>
      <c r="N1458" s="10" t="s">
        <v>3260</v>
      </c>
      <c r="O1458" s="8" t="s">
        <v>3190</v>
      </c>
      <c r="P1458" s="8"/>
      <c r="Q1458" s="8"/>
      <c r="R1458" s="8">
        <v>5539</v>
      </c>
      <c r="S1458" s="8"/>
      <c r="T1458" s="8"/>
      <c r="U1458" s="8"/>
      <c r="V1458" s="8"/>
      <c r="W1458" s="8"/>
      <c r="X1458" s="8"/>
      <c r="Y1458" s="8"/>
      <c r="Z1458" s="10" t="s">
        <v>3186</v>
      </c>
      <c r="AA1458" s="8" t="s">
        <v>332</v>
      </c>
      <c r="AB1458" s="8">
        <v>1</v>
      </c>
    </row>
    <row r="1459" spans="1:28" ht="21.6" customHeight="1">
      <c r="A1459" s="8">
        <v>8</v>
      </c>
      <c r="B1459" s="8">
        <v>2025120612</v>
      </c>
      <c r="C1459" s="8">
        <v>1</v>
      </c>
      <c r="D1459" s="8" t="s">
        <v>3177</v>
      </c>
      <c r="E1459" s="8" t="s">
        <v>123</v>
      </c>
      <c r="F1459" s="8" t="s">
        <v>4647</v>
      </c>
      <c r="G1459" s="8" t="s">
        <v>4660</v>
      </c>
      <c r="H1459" s="8" t="s">
        <v>4112</v>
      </c>
      <c r="I1459" s="8" t="s">
        <v>4018</v>
      </c>
      <c r="J1459" s="8" t="s">
        <v>3253</v>
      </c>
      <c r="K1459" s="8" t="s">
        <v>3183</v>
      </c>
      <c r="L1459" s="10" t="s">
        <v>3629</v>
      </c>
      <c r="M1459" s="10" t="s">
        <v>4299</v>
      </c>
      <c r="N1459" s="10"/>
      <c r="O1459" s="8" t="s">
        <v>3190</v>
      </c>
      <c r="P1459" s="8"/>
      <c r="Q1459" s="8"/>
      <c r="R1459" s="8">
        <v>239443</v>
      </c>
      <c r="S1459" s="8"/>
      <c r="T1459" s="8"/>
      <c r="U1459" s="8"/>
      <c r="V1459" s="8"/>
      <c r="W1459" s="8"/>
      <c r="X1459" s="8"/>
      <c r="Y1459" s="8"/>
      <c r="Z1459" s="10" t="s">
        <v>3186</v>
      </c>
      <c r="AA1459" s="8" t="s">
        <v>332</v>
      </c>
      <c r="AB1459" s="8">
        <v>1</v>
      </c>
    </row>
    <row r="1460" spans="1:28" ht="21.6" customHeight="1">
      <c r="A1460" s="8">
        <v>72</v>
      </c>
      <c r="B1460" s="8">
        <v>2025122111</v>
      </c>
      <c r="C1460" s="8">
        <v>1</v>
      </c>
      <c r="D1460" s="8" t="s">
        <v>3177</v>
      </c>
      <c r="E1460" s="8" t="s">
        <v>118</v>
      </c>
      <c r="F1460" s="8" t="s">
        <v>4661</v>
      </c>
      <c r="G1460" s="8" t="s">
        <v>3427</v>
      </c>
      <c r="H1460" s="8" t="s">
        <v>3386</v>
      </c>
      <c r="I1460" s="8" t="s">
        <v>3351</v>
      </c>
      <c r="J1460" s="8" t="s">
        <v>3195</v>
      </c>
      <c r="K1460" s="8" t="s">
        <v>3183</v>
      </c>
      <c r="L1460" s="10" t="s">
        <v>3352</v>
      </c>
      <c r="M1460" s="10" t="s">
        <v>3353</v>
      </c>
      <c r="N1460" s="10" t="s">
        <v>3667</v>
      </c>
      <c r="O1460" s="8" t="s">
        <v>322</v>
      </c>
      <c r="P1460" s="8"/>
      <c r="Q1460" s="8">
        <v>11986</v>
      </c>
      <c r="R1460" s="8">
        <v>86007</v>
      </c>
      <c r="S1460" s="8" t="s">
        <v>332</v>
      </c>
      <c r="T1460" s="8"/>
      <c r="U1460" s="8"/>
      <c r="V1460" s="8"/>
      <c r="W1460" s="8"/>
      <c r="X1460" s="8"/>
      <c r="Y1460" s="8"/>
      <c r="Z1460" s="10" t="s">
        <v>3696</v>
      </c>
      <c r="AA1460" s="8" t="s">
        <v>332</v>
      </c>
      <c r="AB1460" s="8">
        <v>1</v>
      </c>
    </row>
    <row r="1461" spans="1:28" ht="21.6" customHeight="1">
      <c r="A1461" s="8">
        <v>76</v>
      </c>
      <c r="B1461" s="8">
        <v>2025122108</v>
      </c>
      <c r="C1461" s="8">
        <v>1</v>
      </c>
      <c r="D1461" s="8" t="s">
        <v>3177</v>
      </c>
      <c r="E1461" s="8" t="s">
        <v>118</v>
      </c>
      <c r="F1461" s="8" t="s">
        <v>4661</v>
      </c>
      <c r="G1461" s="8" t="s">
        <v>3204</v>
      </c>
      <c r="H1461" s="8" t="s">
        <v>3427</v>
      </c>
      <c r="I1461" s="8" t="s">
        <v>3370</v>
      </c>
      <c r="J1461" s="8" t="s">
        <v>3195</v>
      </c>
      <c r="K1461" s="8" t="s">
        <v>3183</v>
      </c>
      <c r="L1461" s="10" t="s">
        <v>3371</v>
      </c>
      <c r="M1461" s="10" t="s">
        <v>3372</v>
      </c>
      <c r="N1461" s="10" t="s">
        <v>3373</v>
      </c>
      <c r="O1461" s="8" t="s">
        <v>322</v>
      </c>
      <c r="P1461" s="8"/>
      <c r="Q1461" s="8">
        <v>18032</v>
      </c>
      <c r="R1461" s="8">
        <v>154040</v>
      </c>
      <c r="S1461" s="8" t="s">
        <v>332</v>
      </c>
      <c r="T1461" s="8"/>
      <c r="U1461" s="8"/>
      <c r="V1461" s="8"/>
      <c r="W1461" s="8"/>
      <c r="X1461" s="8"/>
      <c r="Y1461" s="8"/>
      <c r="Z1461" s="10" t="s">
        <v>3696</v>
      </c>
      <c r="AA1461" s="8" t="s">
        <v>332</v>
      </c>
      <c r="AB1461" s="8">
        <v>1</v>
      </c>
    </row>
    <row r="1462" spans="1:28" ht="21.6" customHeight="1">
      <c r="A1462" s="8">
        <v>78</v>
      </c>
      <c r="B1462" s="8">
        <v>2025120647</v>
      </c>
      <c r="C1462" s="8">
        <v>1</v>
      </c>
      <c r="D1462" s="8" t="s">
        <v>3177</v>
      </c>
      <c r="E1462" s="8" t="s">
        <v>118</v>
      </c>
      <c r="F1462" s="8" t="s">
        <v>4647</v>
      </c>
      <c r="G1462" s="8" t="s">
        <v>3280</v>
      </c>
      <c r="H1462" s="8" t="s">
        <v>3363</v>
      </c>
      <c r="I1462" s="8" t="s">
        <v>3382</v>
      </c>
      <c r="J1462" s="8" t="s">
        <v>3224</v>
      </c>
      <c r="K1462" s="8" t="s">
        <v>3183</v>
      </c>
      <c r="L1462" s="10" t="s">
        <v>3383</v>
      </c>
      <c r="M1462" s="10" t="s">
        <v>3384</v>
      </c>
      <c r="N1462" s="10" t="s">
        <v>3385</v>
      </c>
      <c r="O1462" s="8" t="s">
        <v>3190</v>
      </c>
      <c r="P1462" s="8">
        <v>6965</v>
      </c>
      <c r="Q1462" s="8">
        <v>15589</v>
      </c>
      <c r="R1462" s="8">
        <v>20840</v>
      </c>
      <c r="S1462" s="8"/>
      <c r="T1462" s="8"/>
      <c r="U1462" s="8"/>
      <c r="V1462" s="8"/>
      <c r="W1462" s="8"/>
      <c r="X1462" s="8"/>
      <c r="Y1462" s="8"/>
      <c r="Z1462" s="10" t="s">
        <v>3696</v>
      </c>
      <c r="AA1462" s="8" t="s">
        <v>332</v>
      </c>
      <c r="AB1462" s="8">
        <v>1</v>
      </c>
    </row>
    <row r="1463" spans="1:28" ht="21.6" customHeight="1">
      <c r="A1463" s="8">
        <v>94</v>
      </c>
      <c r="B1463" s="8">
        <v>2025122106</v>
      </c>
      <c r="C1463" s="8">
        <v>1</v>
      </c>
      <c r="D1463" s="8" t="s">
        <v>3177</v>
      </c>
      <c r="E1463" s="8" t="s">
        <v>118</v>
      </c>
      <c r="F1463" s="8" t="s">
        <v>4661</v>
      </c>
      <c r="G1463" s="8" t="s">
        <v>3250</v>
      </c>
      <c r="H1463" s="8" t="s">
        <v>3204</v>
      </c>
      <c r="I1463" s="8" t="s">
        <v>4507</v>
      </c>
      <c r="J1463" s="8" t="s">
        <v>3224</v>
      </c>
      <c r="K1463" s="8" t="s">
        <v>3183</v>
      </c>
      <c r="L1463" s="10" t="s">
        <v>4080</v>
      </c>
      <c r="M1463" s="10" t="s">
        <v>4508</v>
      </c>
      <c r="N1463" s="10" t="s">
        <v>4238</v>
      </c>
      <c r="O1463" s="8" t="s">
        <v>322</v>
      </c>
      <c r="P1463" s="8"/>
      <c r="Q1463" s="8">
        <v>6326</v>
      </c>
      <c r="R1463" s="8">
        <v>2575</v>
      </c>
      <c r="S1463" s="8"/>
      <c r="T1463" s="8"/>
      <c r="U1463" s="8" t="s">
        <v>332</v>
      </c>
      <c r="V1463" s="8"/>
      <c r="W1463" s="8"/>
      <c r="X1463" s="8"/>
      <c r="Y1463" s="8"/>
      <c r="Z1463" s="10" t="s">
        <v>3362</v>
      </c>
      <c r="AA1463" s="8" t="s">
        <v>332</v>
      </c>
      <c r="AB1463" s="8">
        <v>1</v>
      </c>
    </row>
    <row r="1464" spans="1:28" ht="21.6" customHeight="1">
      <c r="A1464" s="8">
        <v>123</v>
      </c>
      <c r="B1464" s="8">
        <v>2025121901</v>
      </c>
      <c r="C1464" s="8">
        <v>1</v>
      </c>
      <c r="D1464" s="8" t="s">
        <v>3177</v>
      </c>
      <c r="E1464" s="8" t="s">
        <v>118</v>
      </c>
      <c r="F1464" s="8" t="s">
        <v>4661</v>
      </c>
      <c r="G1464" s="8" t="s">
        <v>3368</v>
      </c>
      <c r="H1464" s="8" t="s">
        <v>3250</v>
      </c>
      <c r="I1464" s="8" t="s">
        <v>4270</v>
      </c>
      <c r="J1464" s="8" t="s">
        <v>3288</v>
      </c>
      <c r="K1464" s="8" t="s">
        <v>3183</v>
      </c>
      <c r="L1464" s="10" t="s">
        <v>3254</v>
      </c>
      <c r="M1464" s="10" t="s">
        <v>4662</v>
      </c>
      <c r="N1464" s="10" t="s">
        <v>3480</v>
      </c>
      <c r="O1464" s="8" t="s">
        <v>363</v>
      </c>
      <c r="P1464" s="8"/>
      <c r="Q1464" s="8">
        <v>2601</v>
      </c>
      <c r="R1464" s="8">
        <v>13164</v>
      </c>
      <c r="S1464" s="8"/>
      <c r="T1464" s="8"/>
      <c r="U1464" s="8"/>
      <c r="V1464" s="8"/>
      <c r="W1464" s="8"/>
      <c r="X1464" s="8"/>
      <c r="Y1464" s="8"/>
      <c r="Z1464" s="10" t="s">
        <v>3362</v>
      </c>
      <c r="AA1464" s="8" t="s">
        <v>332</v>
      </c>
      <c r="AB1464" s="8">
        <v>1</v>
      </c>
    </row>
    <row r="1465" spans="1:28" ht="21.6" customHeight="1">
      <c r="A1465" s="8">
        <v>128</v>
      </c>
      <c r="B1465" s="8">
        <v>2025121236</v>
      </c>
      <c r="C1465" s="8">
        <v>1</v>
      </c>
      <c r="D1465" s="8" t="s">
        <v>3177</v>
      </c>
      <c r="E1465" s="8" t="s">
        <v>118</v>
      </c>
      <c r="F1465" s="8" t="s">
        <v>4649</v>
      </c>
      <c r="G1465" s="8" t="s">
        <v>3920</v>
      </c>
      <c r="H1465" s="8" t="s">
        <v>3973</v>
      </c>
      <c r="I1465" s="8" t="s">
        <v>3510</v>
      </c>
      <c r="J1465" s="8" t="s">
        <v>3298</v>
      </c>
      <c r="K1465" s="8" t="s">
        <v>3183</v>
      </c>
      <c r="L1465" s="10" t="s">
        <v>3398</v>
      </c>
      <c r="M1465" s="10" t="s">
        <v>3511</v>
      </c>
      <c r="N1465" s="10" t="s">
        <v>3512</v>
      </c>
      <c r="O1465" s="8" t="s">
        <v>3190</v>
      </c>
      <c r="P1465" s="8"/>
      <c r="Q1465" s="8"/>
      <c r="R1465" s="8">
        <v>258</v>
      </c>
      <c r="S1465" s="8"/>
      <c r="T1465" s="8"/>
      <c r="U1465" s="8"/>
      <c r="V1465" s="8"/>
      <c r="W1465" s="8"/>
      <c r="X1465" s="8"/>
      <c r="Y1465" s="8"/>
      <c r="Z1465" s="10" t="s">
        <v>3696</v>
      </c>
      <c r="AA1465" s="8" t="s">
        <v>332</v>
      </c>
      <c r="AB1465" s="8">
        <v>1</v>
      </c>
    </row>
    <row r="1466" spans="1:28" ht="21.6" customHeight="1">
      <c r="A1466" s="8">
        <v>136</v>
      </c>
      <c r="B1466" s="8">
        <v>2025122135</v>
      </c>
      <c r="C1466" s="8">
        <v>1</v>
      </c>
      <c r="D1466" s="8" t="s">
        <v>3177</v>
      </c>
      <c r="E1466" s="8" t="s">
        <v>118</v>
      </c>
      <c r="F1466" s="8" t="s">
        <v>4661</v>
      </c>
      <c r="G1466" s="8" t="s">
        <v>3386</v>
      </c>
      <c r="H1466" s="8" t="s">
        <v>3595</v>
      </c>
      <c r="I1466" s="8" t="s">
        <v>3978</v>
      </c>
      <c r="J1466" s="8" t="s">
        <v>3301</v>
      </c>
      <c r="K1466" s="8" t="s">
        <v>3183</v>
      </c>
      <c r="L1466" s="10" t="s">
        <v>4481</v>
      </c>
      <c r="M1466" s="10" t="s">
        <v>3980</v>
      </c>
      <c r="N1466" s="10" t="s">
        <v>3497</v>
      </c>
      <c r="O1466" s="8" t="s">
        <v>363</v>
      </c>
      <c r="P1466" s="8"/>
      <c r="Q1466" s="8">
        <v>11378</v>
      </c>
      <c r="R1466" s="8">
        <v>19096</v>
      </c>
      <c r="S1466" s="8"/>
      <c r="T1466" s="8"/>
      <c r="U1466" s="8"/>
      <c r="V1466" s="8"/>
      <c r="W1466" s="8"/>
      <c r="X1466" s="8"/>
      <c r="Y1466" s="8"/>
      <c r="Z1466" s="10" t="s">
        <v>4663</v>
      </c>
      <c r="AA1466" s="8" t="s">
        <v>332</v>
      </c>
      <c r="AB1466" s="8">
        <v>1</v>
      </c>
    </row>
    <row r="1467" spans="1:28" ht="21.6" customHeight="1">
      <c r="A1467" s="8">
        <v>137</v>
      </c>
      <c r="B1467" s="8">
        <v>2025120671</v>
      </c>
      <c r="C1467" s="8">
        <v>1</v>
      </c>
      <c r="D1467" s="8" t="s">
        <v>3177</v>
      </c>
      <c r="E1467" s="8" t="s">
        <v>118</v>
      </c>
      <c r="F1467" s="8" t="s">
        <v>4647</v>
      </c>
      <c r="G1467" s="8" t="s">
        <v>3357</v>
      </c>
      <c r="H1467" s="8" t="s">
        <v>3342</v>
      </c>
      <c r="I1467" s="8" t="s">
        <v>4636</v>
      </c>
      <c r="J1467" s="8" t="s">
        <v>4553</v>
      </c>
      <c r="K1467" s="8" t="s">
        <v>3183</v>
      </c>
      <c r="L1467" s="10" t="s">
        <v>3503</v>
      </c>
      <c r="M1467" s="10" t="s">
        <v>3504</v>
      </c>
      <c r="N1467" s="10" t="s">
        <v>217</v>
      </c>
      <c r="O1467" s="8" t="s">
        <v>3190</v>
      </c>
      <c r="P1467" s="8"/>
      <c r="Q1467" s="8"/>
      <c r="R1467" s="8">
        <v>8206</v>
      </c>
      <c r="S1467" s="8"/>
      <c r="T1467" s="8"/>
      <c r="U1467" s="8"/>
      <c r="V1467" s="8"/>
      <c r="W1467" s="8"/>
      <c r="X1467" s="8"/>
      <c r="Y1467" s="8"/>
      <c r="Z1467" s="10" t="s">
        <v>3696</v>
      </c>
      <c r="AA1467" s="8" t="s">
        <v>332</v>
      </c>
      <c r="AB1467" s="8">
        <v>1</v>
      </c>
    </row>
    <row r="1468" spans="1:28" ht="21.6" customHeight="1">
      <c r="A1468" s="8">
        <v>1</v>
      </c>
      <c r="B1468" s="8">
        <v>2025122419</v>
      </c>
      <c r="C1468" s="8">
        <v>1</v>
      </c>
      <c r="D1468" s="8" t="s">
        <v>3177</v>
      </c>
      <c r="E1468" s="8" t="s">
        <v>123</v>
      </c>
      <c r="F1468" s="8" t="s">
        <v>4664</v>
      </c>
      <c r="G1468" s="8" t="s">
        <v>3789</v>
      </c>
      <c r="H1468" s="8" t="s">
        <v>3204</v>
      </c>
      <c r="I1468" s="8" t="s">
        <v>3194</v>
      </c>
      <c r="J1468" s="8" t="s">
        <v>3195</v>
      </c>
      <c r="K1468" s="8" t="s">
        <v>3183</v>
      </c>
      <c r="L1468" s="10" t="s">
        <v>3196</v>
      </c>
      <c r="M1468" s="10" t="s">
        <v>3197</v>
      </c>
      <c r="N1468" s="10" t="s">
        <v>123</v>
      </c>
      <c r="O1468" s="8" t="s">
        <v>3190</v>
      </c>
      <c r="P1468" s="8"/>
      <c r="Q1468" s="8">
        <v>102</v>
      </c>
      <c r="R1468" s="8">
        <v>3591</v>
      </c>
      <c r="S1468" s="8"/>
      <c r="T1468" s="8"/>
      <c r="U1468" s="8"/>
      <c r="V1468" s="8"/>
      <c r="W1468" s="8"/>
      <c r="X1468" s="8"/>
      <c r="Y1468" s="8"/>
      <c r="Z1468" s="10" t="s">
        <v>3190</v>
      </c>
      <c r="AA1468" s="8" t="s">
        <v>332</v>
      </c>
      <c r="AB1468" s="8">
        <v>1</v>
      </c>
    </row>
    <row r="1469" spans="1:28" ht="21.6" customHeight="1">
      <c r="A1469" s="8">
        <v>2</v>
      </c>
      <c r="B1469" s="8">
        <v>2025122426</v>
      </c>
      <c r="C1469" s="8">
        <v>1</v>
      </c>
      <c r="D1469" s="8" t="s">
        <v>3177</v>
      </c>
      <c r="E1469" s="8" t="s">
        <v>123</v>
      </c>
      <c r="F1469" s="8" t="s">
        <v>4664</v>
      </c>
      <c r="G1469" s="8" t="s">
        <v>3654</v>
      </c>
      <c r="H1469" s="8" t="s">
        <v>3777</v>
      </c>
      <c r="I1469" s="8" t="s">
        <v>3200</v>
      </c>
      <c r="J1469" s="8" t="s">
        <v>3195</v>
      </c>
      <c r="K1469" s="8" t="s">
        <v>3183</v>
      </c>
      <c r="L1469" s="10" t="s">
        <v>3201</v>
      </c>
      <c r="M1469" s="10" t="s">
        <v>3202</v>
      </c>
      <c r="N1469" s="10" t="s">
        <v>3885</v>
      </c>
      <c r="O1469" s="8" t="s">
        <v>3190</v>
      </c>
      <c r="P1469" s="8"/>
      <c r="Q1469" s="8">
        <v>2246</v>
      </c>
      <c r="R1469" s="8">
        <v>17816</v>
      </c>
      <c r="S1469" s="8"/>
      <c r="T1469" s="8"/>
      <c r="U1469" s="8"/>
      <c r="V1469" s="8"/>
      <c r="W1469" s="8"/>
      <c r="X1469" s="8"/>
      <c r="Y1469" s="8"/>
      <c r="Z1469" s="10" t="s">
        <v>3190</v>
      </c>
      <c r="AA1469" s="8" t="s">
        <v>332</v>
      </c>
      <c r="AB1469" s="8">
        <v>1</v>
      </c>
    </row>
    <row r="1470" spans="1:28" ht="21.6" customHeight="1">
      <c r="A1470" s="8">
        <v>3</v>
      </c>
      <c r="B1470" s="8">
        <v>2025122425</v>
      </c>
      <c r="C1470" s="8">
        <v>1</v>
      </c>
      <c r="D1470" s="8" t="s">
        <v>3177</v>
      </c>
      <c r="E1470" s="8" t="s">
        <v>123</v>
      </c>
      <c r="F1470" s="8" t="s">
        <v>4664</v>
      </c>
      <c r="G1470" s="8" t="s">
        <v>3427</v>
      </c>
      <c r="H1470" s="8" t="s">
        <v>3654</v>
      </c>
      <c r="I1470" s="8" t="s">
        <v>3212</v>
      </c>
      <c r="J1470" s="8" t="s">
        <v>3195</v>
      </c>
      <c r="K1470" s="8" t="s">
        <v>3183</v>
      </c>
      <c r="L1470" s="10" t="s">
        <v>3213</v>
      </c>
      <c r="M1470" s="10" t="s">
        <v>3214</v>
      </c>
      <c r="N1470" s="10" t="s">
        <v>3215</v>
      </c>
      <c r="O1470" s="8" t="s">
        <v>3190</v>
      </c>
      <c r="P1470" s="8"/>
      <c r="Q1470" s="8">
        <v>128</v>
      </c>
      <c r="R1470" s="8">
        <v>924</v>
      </c>
      <c r="S1470" s="8"/>
      <c r="T1470" s="8"/>
      <c r="U1470" s="8"/>
      <c r="V1470" s="8"/>
      <c r="W1470" s="8"/>
      <c r="X1470" s="8"/>
      <c r="Y1470" s="8"/>
      <c r="Z1470" s="10" t="s">
        <v>3190</v>
      </c>
      <c r="AA1470" s="8" t="s">
        <v>332</v>
      </c>
      <c r="AB1470" s="8">
        <v>1</v>
      </c>
    </row>
    <row r="1471" spans="1:28" ht="21.6" customHeight="1">
      <c r="A1471" s="8">
        <v>4</v>
      </c>
      <c r="B1471" s="8">
        <v>2025122422</v>
      </c>
      <c r="C1471" s="8">
        <v>1</v>
      </c>
      <c r="D1471" s="8" t="s">
        <v>3177</v>
      </c>
      <c r="E1471" s="8" t="s">
        <v>123</v>
      </c>
      <c r="F1471" s="8" t="s">
        <v>4664</v>
      </c>
      <c r="G1471" s="8" t="s">
        <v>3456</v>
      </c>
      <c r="H1471" s="8" t="s">
        <v>3329</v>
      </c>
      <c r="I1471" s="8" t="s">
        <v>3218</v>
      </c>
      <c r="J1471" s="8" t="s">
        <v>3195</v>
      </c>
      <c r="K1471" s="8" t="s">
        <v>3183</v>
      </c>
      <c r="L1471" s="10" t="s">
        <v>3219</v>
      </c>
      <c r="M1471" s="10" t="s">
        <v>3220</v>
      </c>
      <c r="N1471" s="10"/>
      <c r="O1471" s="8" t="s">
        <v>3190</v>
      </c>
      <c r="P1471" s="8"/>
      <c r="Q1471" s="8">
        <v>188</v>
      </c>
      <c r="R1471" s="8">
        <v>7809</v>
      </c>
      <c r="S1471" s="8"/>
      <c r="T1471" s="8"/>
      <c r="U1471" s="8"/>
      <c r="V1471" s="8"/>
      <c r="W1471" s="8"/>
      <c r="X1471" s="8"/>
      <c r="Y1471" s="8"/>
      <c r="Z1471" s="10" t="s">
        <v>3190</v>
      </c>
      <c r="AA1471" s="8" t="s">
        <v>332</v>
      </c>
      <c r="AB1471" s="8">
        <v>1</v>
      </c>
    </row>
    <row r="1472" spans="1:28" ht="21.6" customHeight="1">
      <c r="A1472" s="8">
        <v>5</v>
      </c>
      <c r="B1472" s="8">
        <v>2025122415</v>
      </c>
      <c r="C1472" s="8">
        <v>1</v>
      </c>
      <c r="D1472" s="8" t="s">
        <v>3177</v>
      </c>
      <c r="E1472" s="8" t="s">
        <v>123</v>
      </c>
      <c r="F1472" s="8" t="s">
        <v>4664</v>
      </c>
      <c r="G1472" s="8" t="s">
        <v>3250</v>
      </c>
      <c r="H1472" s="8" t="s">
        <v>3311</v>
      </c>
      <c r="I1472" s="8" t="s">
        <v>3223</v>
      </c>
      <c r="J1472" s="8" t="s">
        <v>3224</v>
      </c>
      <c r="K1472" s="8" t="s">
        <v>3183</v>
      </c>
      <c r="L1472" s="10" t="s">
        <v>3225</v>
      </c>
      <c r="M1472" s="10" t="s">
        <v>3226</v>
      </c>
      <c r="N1472" s="10" t="s">
        <v>3227</v>
      </c>
      <c r="O1472" s="8" t="s">
        <v>3190</v>
      </c>
      <c r="P1472" s="8"/>
      <c r="Q1472" s="8">
        <v>330</v>
      </c>
      <c r="R1472" s="8">
        <v>1585</v>
      </c>
      <c r="S1472" s="8"/>
      <c r="T1472" s="8"/>
      <c r="U1472" s="8"/>
      <c r="V1472" s="8"/>
      <c r="W1472" s="8"/>
      <c r="X1472" s="8"/>
      <c r="Y1472" s="8"/>
      <c r="Z1472" s="10" t="s">
        <v>3190</v>
      </c>
      <c r="AA1472" s="8" t="s">
        <v>332</v>
      </c>
      <c r="AB1472" s="8">
        <v>1</v>
      </c>
    </row>
    <row r="1473" spans="1:28" ht="21.6" customHeight="1">
      <c r="A1473" s="8">
        <v>6</v>
      </c>
      <c r="B1473" s="8">
        <v>2025122420</v>
      </c>
      <c r="C1473" s="8">
        <v>1</v>
      </c>
      <c r="D1473" s="8" t="s">
        <v>3177</v>
      </c>
      <c r="E1473" s="8" t="s">
        <v>123</v>
      </c>
      <c r="F1473" s="8" t="s">
        <v>4664</v>
      </c>
      <c r="G1473" s="8" t="s">
        <v>3204</v>
      </c>
      <c r="H1473" s="8" t="s">
        <v>3456</v>
      </c>
      <c r="I1473" s="8" t="s">
        <v>3229</v>
      </c>
      <c r="J1473" s="8" t="s">
        <v>3224</v>
      </c>
      <c r="K1473" s="8" t="s">
        <v>3183</v>
      </c>
      <c r="L1473" s="10" t="s">
        <v>3230</v>
      </c>
      <c r="M1473" s="10" t="s">
        <v>3231</v>
      </c>
      <c r="N1473" s="10" t="s">
        <v>3215</v>
      </c>
      <c r="O1473" s="8" t="s">
        <v>3190</v>
      </c>
      <c r="P1473" s="8"/>
      <c r="Q1473" s="8">
        <v>4302</v>
      </c>
      <c r="R1473" s="8">
        <v>3713</v>
      </c>
      <c r="S1473" s="8"/>
      <c r="T1473" s="8"/>
      <c r="U1473" s="8"/>
      <c r="V1473" s="8"/>
      <c r="W1473" s="8"/>
      <c r="X1473" s="8"/>
      <c r="Y1473" s="8"/>
      <c r="Z1473" s="10" t="s">
        <v>3190</v>
      </c>
      <c r="AA1473" s="8" t="s">
        <v>332</v>
      </c>
      <c r="AB1473" s="8">
        <v>1</v>
      </c>
    </row>
    <row r="1474" spans="1:28" ht="21.6" customHeight="1">
      <c r="A1474" s="8">
        <v>7</v>
      </c>
      <c r="B1474" s="8">
        <v>2025122417</v>
      </c>
      <c r="C1474" s="8">
        <v>1</v>
      </c>
      <c r="D1474" s="8" t="s">
        <v>3177</v>
      </c>
      <c r="E1474" s="8" t="s">
        <v>123</v>
      </c>
      <c r="F1474" s="8" t="s">
        <v>4664</v>
      </c>
      <c r="G1474" s="8" t="s">
        <v>3311</v>
      </c>
      <c r="H1474" s="8" t="s">
        <v>3789</v>
      </c>
      <c r="I1474" s="8" t="s">
        <v>3234</v>
      </c>
      <c r="J1474" s="8" t="s">
        <v>3224</v>
      </c>
      <c r="K1474" s="8" t="s">
        <v>3183</v>
      </c>
      <c r="L1474" s="10" t="s">
        <v>3235</v>
      </c>
      <c r="M1474" s="10" t="s">
        <v>3236</v>
      </c>
      <c r="N1474" s="10" t="s">
        <v>3237</v>
      </c>
      <c r="O1474" s="8" t="s">
        <v>3190</v>
      </c>
      <c r="P1474" s="8"/>
      <c r="Q1474" s="8">
        <v>1583</v>
      </c>
      <c r="R1474" s="8">
        <v>73186</v>
      </c>
      <c r="S1474" s="8"/>
      <c r="T1474" s="8"/>
      <c r="U1474" s="8"/>
      <c r="V1474" s="8"/>
      <c r="W1474" s="8"/>
      <c r="X1474" s="8"/>
      <c r="Y1474" s="8"/>
      <c r="Z1474" s="10" t="s">
        <v>3190</v>
      </c>
      <c r="AA1474" s="8" t="s">
        <v>332</v>
      </c>
      <c r="AB1474" s="8">
        <v>1</v>
      </c>
    </row>
    <row r="1475" spans="1:28" ht="21.6" customHeight="1">
      <c r="A1475" s="8">
        <v>8</v>
      </c>
      <c r="B1475" s="8">
        <v>2025122413</v>
      </c>
      <c r="C1475" s="8">
        <v>1</v>
      </c>
      <c r="D1475" s="8" t="s">
        <v>3177</v>
      </c>
      <c r="E1475" s="8" t="s">
        <v>123</v>
      </c>
      <c r="F1475" s="8" t="s">
        <v>4664</v>
      </c>
      <c r="G1475" s="8" t="s">
        <v>4031</v>
      </c>
      <c r="H1475" s="8" t="s">
        <v>3250</v>
      </c>
      <c r="I1475" s="8" t="s">
        <v>3246</v>
      </c>
      <c r="J1475" s="8" t="s">
        <v>3224</v>
      </c>
      <c r="K1475" s="8" t="s">
        <v>3183</v>
      </c>
      <c r="L1475" s="10" t="s">
        <v>3247</v>
      </c>
      <c r="M1475" s="10" t="s">
        <v>3248</v>
      </c>
      <c r="N1475" s="10" t="s">
        <v>3215</v>
      </c>
      <c r="O1475" s="8" t="s">
        <v>3190</v>
      </c>
      <c r="P1475" s="8"/>
      <c r="Q1475" s="8">
        <v>956</v>
      </c>
      <c r="R1475" s="8">
        <v>2347</v>
      </c>
      <c r="S1475" s="8"/>
      <c r="T1475" s="8"/>
      <c r="U1475" s="8"/>
      <c r="V1475" s="8"/>
      <c r="W1475" s="8"/>
      <c r="X1475" s="8"/>
      <c r="Y1475" s="8"/>
      <c r="Z1475" s="10" t="s">
        <v>3190</v>
      </c>
      <c r="AA1475" s="8" t="s">
        <v>332</v>
      </c>
      <c r="AB1475" s="8">
        <v>1</v>
      </c>
    </row>
    <row r="1476" spans="1:28" ht="21.6" customHeight="1">
      <c r="A1476" s="8">
        <v>9</v>
      </c>
      <c r="B1476" s="8">
        <v>2025122396</v>
      </c>
      <c r="C1476" s="8">
        <v>1</v>
      </c>
      <c r="D1476" s="8" t="s">
        <v>3177</v>
      </c>
      <c r="E1476" s="8" t="s">
        <v>123</v>
      </c>
      <c r="F1476" s="8" t="s">
        <v>4664</v>
      </c>
      <c r="G1476" s="8" t="s">
        <v>4632</v>
      </c>
      <c r="H1476" s="8" t="s">
        <v>4031</v>
      </c>
      <c r="I1476" s="8" t="s">
        <v>4474</v>
      </c>
      <c r="J1476" s="8" t="s">
        <v>3224</v>
      </c>
      <c r="K1476" s="8" t="s">
        <v>3183</v>
      </c>
      <c r="L1476" s="10" t="s">
        <v>4475</v>
      </c>
      <c r="M1476" s="10" t="s">
        <v>4476</v>
      </c>
      <c r="N1476" s="10" t="s">
        <v>4477</v>
      </c>
      <c r="O1476" s="8" t="s">
        <v>3190</v>
      </c>
      <c r="P1476" s="8"/>
      <c r="Q1476" s="8">
        <v>29</v>
      </c>
      <c r="R1476" s="8">
        <v>345</v>
      </c>
      <c r="S1476" s="8"/>
      <c r="T1476" s="8"/>
      <c r="U1476" s="8"/>
      <c r="V1476" s="8"/>
      <c r="W1476" s="8"/>
      <c r="X1476" s="8"/>
      <c r="Y1476" s="8"/>
      <c r="Z1476" s="10" t="s">
        <v>3190</v>
      </c>
      <c r="AA1476" s="8" t="s">
        <v>332</v>
      </c>
      <c r="AB1476" s="8">
        <v>1</v>
      </c>
    </row>
    <row r="1477" spans="1:28" ht="21.6" customHeight="1">
      <c r="A1477" s="8">
        <v>21</v>
      </c>
      <c r="B1477" s="8">
        <v>2025120639</v>
      </c>
      <c r="C1477" s="8">
        <v>1</v>
      </c>
      <c r="D1477" s="8" t="s">
        <v>3177</v>
      </c>
      <c r="E1477" s="8" t="s">
        <v>123</v>
      </c>
      <c r="F1477" s="8" t="s">
        <v>4647</v>
      </c>
      <c r="G1477" s="8" t="s">
        <v>4665</v>
      </c>
      <c r="H1477" s="8" t="s">
        <v>4654</v>
      </c>
      <c r="I1477" s="8" t="s">
        <v>3908</v>
      </c>
      <c r="J1477" s="8" t="s">
        <v>3253</v>
      </c>
      <c r="K1477" s="8" t="s">
        <v>3183</v>
      </c>
      <c r="L1477" s="10" t="s">
        <v>3629</v>
      </c>
      <c r="M1477" s="10" t="s">
        <v>3909</v>
      </c>
      <c r="N1477" s="10" t="s">
        <v>123</v>
      </c>
      <c r="O1477" s="8" t="s">
        <v>3190</v>
      </c>
      <c r="P1477" s="8"/>
      <c r="Q1477" s="8"/>
      <c r="R1477" s="8">
        <v>39718</v>
      </c>
      <c r="S1477" s="8"/>
      <c r="T1477" s="8"/>
      <c r="U1477" s="8"/>
      <c r="V1477" s="8"/>
      <c r="W1477" s="8"/>
      <c r="X1477" s="8"/>
      <c r="Y1477" s="8"/>
      <c r="Z1477" s="10" t="s">
        <v>3186</v>
      </c>
      <c r="AA1477" s="8" t="s">
        <v>332</v>
      </c>
      <c r="AB1477" s="8">
        <v>1</v>
      </c>
    </row>
    <row r="1478" spans="1:28" ht="21.6" customHeight="1">
      <c r="A1478" s="8">
        <v>33</v>
      </c>
      <c r="B1478" s="8">
        <v>2025122423</v>
      </c>
      <c r="C1478" s="8">
        <v>1</v>
      </c>
      <c r="D1478" s="8" t="s">
        <v>3177</v>
      </c>
      <c r="E1478" s="8" t="s">
        <v>123</v>
      </c>
      <c r="F1478" s="8" t="s">
        <v>4664</v>
      </c>
      <c r="G1478" s="8" t="s">
        <v>3329</v>
      </c>
      <c r="H1478" s="8" t="s">
        <v>3427</v>
      </c>
      <c r="I1478" s="8" t="s">
        <v>3307</v>
      </c>
      <c r="J1478" s="8" t="s">
        <v>3301</v>
      </c>
      <c r="K1478" s="8" t="s">
        <v>3183</v>
      </c>
      <c r="L1478" s="10" t="s">
        <v>4521</v>
      </c>
      <c r="M1478" s="10" t="s">
        <v>3309</v>
      </c>
      <c r="N1478" s="10" t="s">
        <v>3310</v>
      </c>
      <c r="O1478" s="8" t="s">
        <v>3190</v>
      </c>
      <c r="P1478" s="8"/>
      <c r="Q1478" s="8">
        <v>5870</v>
      </c>
      <c r="R1478" s="8">
        <v>46588</v>
      </c>
      <c r="S1478" s="8"/>
      <c r="T1478" s="8"/>
      <c r="U1478" s="8"/>
      <c r="V1478" s="8"/>
      <c r="W1478" s="8"/>
      <c r="X1478" s="8"/>
      <c r="Y1478" s="8"/>
      <c r="Z1478" s="10" t="s">
        <v>3190</v>
      </c>
      <c r="AA1478" s="8" t="s">
        <v>332</v>
      </c>
      <c r="AB1478" s="8">
        <v>1</v>
      </c>
    </row>
    <row r="1479" spans="1:28" ht="21.6" customHeight="1">
      <c r="A1479" s="8">
        <v>34</v>
      </c>
      <c r="B1479" s="8">
        <v>2025122394</v>
      </c>
      <c r="C1479" s="8">
        <v>1</v>
      </c>
      <c r="D1479" s="8" t="s">
        <v>3177</v>
      </c>
      <c r="E1479" s="8" t="s">
        <v>123</v>
      </c>
      <c r="F1479" s="8" t="s">
        <v>4664</v>
      </c>
      <c r="G1479" s="8" t="s">
        <v>3368</v>
      </c>
      <c r="H1479" s="8" t="s">
        <v>4632</v>
      </c>
      <c r="I1479" s="8" t="s">
        <v>4227</v>
      </c>
      <c r="J1479" s="8" t="s">
        <v>3301</v>
      </c>
      <c r="K1479" s="8" t="s">
        <v>3183</v>
      </c>
      <c r="L1479" s="10" t="s">
        <v>3289</v>
      </c>
      <c r="M1479" s="10" t="s">
        <v>3290</v>
      </c>
      <c r="N1479" s="10"/>
      <c r="O1479" s="8" t="s">
        <v>3190</v>
      </c>
      <c r="P1479" s="8"/>
      <c r="Q1479" s="8">
        <v>1056</v>
      </c>
      <c r="R1479" s="8">
        <v>14341</v>
      </c>
      <c r="S1479" s="8"/>
      <c r="T1479" s="8"/>
      <c r="U1479" s="8"/>
      <c r="V1479" s="8"/>
      <c r="W1479" s="8"/>
      <c r="X1479" s="8"/>
      <c r="Y1479" s="8"/>
      <c r="Z1479" s="10" t="s">
        <v>3190</v>
      </c>
      <c r="AA1479" s="8" t="s">
        <v>332</v>
      </c>
      <c r="AB1479" s="8">
        <v>1</v>
      </c>
    </row>
    <row r="1480" spans="1:28" ht="21.6" customHeight="1">
      <c r="A1480" s="8">
        <v>35</v>
      </c>
      <c r="B1480" s="8">
        <v>2025122427</v>
      </c>
      <c r="C1480" s="8">
        <v>1</v>
      </c>
      <c r="D1480" s="8" t="s">
        <v>3177</v>
      </c>
      <c r="E1480" s="8" t="s">
        <v>123</v>
      </c>
      <c r="F1480" s="8" t="s">
        <v>4664</v>
      </c>
      <c r="G1480" s="8" t="s">
        <v>3777</v>
      </c>
      <c r="H1480" s="8" t="s">
        <v>3386</v>
      </c>
      <c r="I1480" s="8" t="s">
        <v>4230</v>
      </c>
      <c r="J1480" s="8" t="s">
        <v>3328</v>
      </c>
      <c r="K1480" s="8" t="s">
        <v>3183</v>
      </c>
      <c r="L1480" s="10" t="s">
        <v>3314</v>
      </c>
      <c r="M1480" s="10" t="s">
        <v>3315</v>
      </c>
      <c r="N1480" s="10"/>
      <c r="O1480" s="8" t="s">
        <v>3190</v>
      </c>
      <c r="P1480" s="8"/>
      <c r="Q1480" s="8">
        <v>5653</v>
      </c>
      <c r="R1480" s="8">
        <v>7535</v>
      </c>
      <c r="S1480" s="8"/>
      <c r="T1480" s="8"/>
      <c r="U1480" s="8"/>
      <c r="V1480" s="8"/>
      <c r="W1480" s="8"/>
      <c r="X1480" s="8"/>
      <c r="Y1480" s="8"/>
      <c r="Z1480" s="10" t="s">
        <v>3190</v>
      </c>
      <c r="AA1480" s="8" t="s">
        <v>332</v>
      </c>
      <c r="AB1480" s="8">
        <v>1</v>
      </c>
    </row>
    <row r="1481" spans="1:28" ht="21.6" customHeight="1">
      <c r="A1481" s="8">
        <v>90</v>
      </c>
      <c r="B1481" s="8">
        <v>2025122336</v>
      </c>
      <c r="C1481" s="8">
        <v>1</v>
      </c>
      <c r="D1481" s="8" t="s">
        <v>3177</v>
      </c>
      <c r="E1481" s="8" t="s">
        <v>118</v>
      </c>
      <c r="F1481" s="8" t="s">
        <v>4664</v>
      </c>
      <c r="G1481" s="8" t="s">
        <v>3363</v>
      </c>
      <c r="H1481" s="8" t="s">
        <v>3233</v>
      </c>
      <c r="I1481" s="8" t="s">
        <v>3358</v>
      </c>
      <c r="J1481" s="8" t="s">
        <v>3195</v>
      </c>
      <c r="K1481" s="8" t="s">
        <v>3183</v>
      </c>
      <c r="L1481" s="10" t="s">
        <v>3359</v>
      </c>
      <c r="M1481" s="10" t="s">
        <v>3360</v>
      </c>
      <c r="N1481" s="10" t="s">
        <v>3361</v>
      </c>
      <c r="O1481" s="8" t="s">
        <v>322</v>
      </c>
      <c r="P1481" s="8"/>
      <c r="Q1481" s="8">
        <v>23533</v>
      </c>
      <c r="R1481" s="8">
        <v>90329</v>
      </c>
      <c r="S1481" s="8" t="s">
        <v>332</v>
      </c>
      <c r="T1481" s="8"/>
      <c r="U1481" s="8"/>
      <c r="V1481" s="8"/>
      <c r="W1481" s="8"/>
      <c r="X1481" s="8"/>
      <c r="Y1481" s="8"/>
      <c r="Z1481" s="10" t="s">
        <v>3696</v>
      </c>
      <c r="AA1481" s="8" t="s">
        <v>332</v>
      </c>
      <c r="AB1481" s="8">
        <v>1</v>
      </c>
    </row>
    <row r="1482" spans="1:28" ht="21.6" customHeight="1">
      <c r="A1482" s="8">
        <v>103</v>
      </c>
      <c r="B1482" s="8">
        <v>2025122308</v>
      </c>
      <c r="C1482" s="8">
        <v>1</v>
      </c>
      <c r="D1482" s="8" t="s">
        <v>3177</v>
      </c>
      <c r="E1482" s="8" t="s">
        <v>118</v>
      </c>
      <c r="F1482" s="8" t="s">
        <v>4666</v>
      </c>
      <c r="G1482" s="8" t="s">
        <v>3431</v>
      </c>
      <c r="H1482" s="8" t="s">
        <v>3432</v>
      </c>
      <c r="I1482" s="8" t="s">
        <v>3689</v>
      </c>
      <c r="J1482" s="8" t="s">
        <v>3224</v>
      </c>
      <c r="K1482" s="8" t="s">
        <v>3183</v>
      </c>
      <c r="L1482" s="10" t="s">
        <v>3344</v>
      </c>
      <c r="M1482" s="10" t="s">
        <v>3345</v>
      </c>
      <c r="N1482" s="10" t="s">
        <v>3497</v>
      </c>
      <c r="O1482" s="8" t="s">
        <v>322</v>
      </c>
      <c r="P1482" s="8"/>
      <c r="Q1482" s="8">
        <v>1100</v>
      </c>
      <c r="R1482" s="8">
        <v>16500</v>
      </c>
      <c r="S1482" s="8"/>
      <c r="T1482" s="8"/>
      <c r="U1482" s="8" t="s">
        <v>332</v>
      </c>
      <c r="V1482" s="8"/>
      <c r="W1482" s="8"/>
      <c r="X1482" s="8"/>
      <c r="Y1482" s="8"/>
      <c r="Z1482" s="10" t="s">
        <v>3362</v>
      </c>
      <c r="AA1482" s="8" t="s">
        <v>332</v>
      </c>
      <c r="AB1482" s="8">
        <v>1</v>
      </c>
    </row>
    <row r="1483" spans="1:28" ht="21.6" customHeight="1">
      <c r="A1483" s="8">
        <v>114</v>
      </c>
      <c r="B1483" s="8">
        <v>2025122334</v>
      </c>
      <c r="C1483" s="8">
        <v>1</v>
      </c>
      <c r="D1483" s="8" t="s">
        <v>3177</v>
      </c>
      <c r="E1483" s="8" t="s">
        <v>118</v>
      </c>
      <c r="F1483" s="8" t="s">
        <v>4664</v>
      </c>
      <c r="G1483" s="8" t="s">
        <v>3280</v>
      </c>
      <c r="H1483" s="8" t="s">
        <v>3363</v>
      </c>
      <c r="I1483" s="8" t="s">
        <v>4602</v>
      </c>
      <c r="J1483" s="8" t="s">
        <v>3224</v>
      </c>
      <c r="K1483" s="8" t="s">
        <v>3183</v>
      </c>
      <c r="L1483" s="10" t="s">
        <v>3540</v>
      </c>
      <c r="M1483" s="10" t="s">
        <v>3541</v>
      </c>
      <c r="N1483" s="10"/>
      <c r="O1483" s="8" t="s">
        <v>322</v>
      </c>
      <c r="P1483" s="8"/>
      <c r="Q1483" s="8">
        <v>125</v>
      </c>
      <c r="R1483" s="8">
        <v>4325</v>
      </c>
      <c r="S1483" s="8" t="s">
        <v>332</v>
      </c>
      <c r="T1483" s="8"/>
      <c r="U1483" s="8"/>
      <c r="V1483" s="8"/>
      <c r="W1483" s="8"/>
      <c r="X1483" s="8"/>
      <c r="Y1483" s="8"/>
      <c r="Z1483" s="10" t="s">
        <v>3696</v>
      </c>
      <c r="AA1483" s="8" t="s">
        <v>332</v>
      </c>
      <c r="AB1483" s="8">
        <v>1</v>
      </c>
    </row>
    <row r="1484" spans="1:28" ht="21.6" customHeight="1">
      <c r="A1484" s="8">
        <v>119</v>
      </c>
      <c r="B1484" s="8">
        <v>2025122429</v>
      </c>
      <c r="C1484" s="8">
        <v>1</v>
      </c>
      <c r="D1484" s="8" t="s">
        <v>3177</v>
      </c>
      <c r="E1484" s="8" t="s">
        <v>118</v>
      </c>
      <c r="F1484" s="8" t="s">
        <v>4664</v>
      </c>
      <c r="G1484" s="8" t="s">
        <v>3386</v>
      </c>
      <c r="H1484" s="8" t="s">
        <v>3848</v>
      </c>
      <c r="I1484" s="8" t="s">
        <v>3413</v>
      </c>
      <c r="J1484" s="8" t="s">
        <v>3253</v>
      </c>
      <c r="K1484" s="8" t="s">
        <v>3183</v>
      </c>
      <c r="L1484" s="10" t="s">
        <v>4549</v>
      </c>
      <c r="M1484" s="10" t="s">
        <v>3415</v>
      </c>
      <c r="N1484" s="10" t="s">
        <v>4550</v>
      </c>
      <c r="O1484" s="8" t="s">
        <v>322</v>
      </c>
      <c r="P1484" s="8"/>
      <c r="Q1484" s="8"/>
      <c r="R1484" s="8">
        <v>113400</v>
      </c>
      <c r="S1484" s="8"/>
      <c r="T1484" s="8"/>
      <c r="U1484" s="8" t="s">
        <v>332</v>
      </c>
      <c r="V1484" s="8"/>
      <c r="W1484" s="8"/>
      <c r="X1484" s="8"/>
      <c r="Y1484" s="8"/>
      <c r="Z1484" s="10" t="s">
        <v>3362</v>
      </c>
      <c r="AA1484" s="8" t="s">
        <v>332</v>
      </c>
      <c r="AB1484" s="8">
        <v>1</v>
      </c>
    </row>
    <row r="1485" spans="1:28" ht="21.6" customHeight="1">
      <c r="A1485" s="8">
        <v>178</v>
      </c>
      <c r="B1485" s="8">
        <v>2025122199</v>
      </c>
      <c r="C1485" s="8">
        <v>1</v>
      </c>
      <c r="D1485" s="8" t="s">
        <v>3177</v>
      </c>
      <c r="E1485" s="8" t="s">
        <v>118</v>
      </c>
      <c r="F1485" s="8" t="s">
        <v>4664</v>
      </c>
      <c r="G1485" s="8" t="s">
        <v>3381</v>
      </c>
      <c r="H1485" s="8" t="s">
        <v>3401</v>
      </c>
      <c r="I1485" s="8" t="s">
        <v>4574</v>
      </c>
      <c r="J1485" s="8" t="s">
        <v>4553</v>
      </c>
      <c r="K1485" s="8" t="s">
        <v>3183</v>
      </c>
      <c r="L1485" s="10" t="s">
        <v>3462</v>
      </c>
      <c r="M1485" s="10" t="s">
        <v>3714</v>
      </c>
      <c r="N1485" s="10" t="s">
        <v>3715</v>
      </c>
      <c r="O1485" s="8" t="s">
        <v>363</v>
      </c>
      <c r="P1485" s="8"/>
      <c r="Q1485" s="8"/>
      <c r="R1485" s="8">
        <v>37849</v>
      </c>
      <c r="S1485" s="8"/>
      <c r="T1485" s="8"/>
      <c r="U1485" s="8"/>
      <c r="V1485" s="8"/>
      <c r="W1485" s="8"/>
      <c r="X1485" s="8"/>
      <c r="Y1485" s="8"/>
      <c r="Z1485" s="10" t="s">
        <v>3362</v>
      </c>
      <c r="AA1485" s="8" t="s">
        <v>332</v>
      </c>
      <c r="AB1485" s="8">
        <v>1</v>
      </c>
    </row>
    <row r="1486" spans="1:28" ht="21.6" customHeight="1">
      <c r="A1486" s="8">
        <v>3</v>
      </c>
      <c r="B1486" s="8">
        <v>2025122665</v>
      </c>
      <c r="C1486" s="8">
        <v>1</v>
      </c>
      <c r="D1486" s="8" t="s">
        <v>3177</v>
      </c>
      <c r="E1486" s="8" t="s">
        <v>123</v>
      </c>
      <c r="F1486" s="8" t="s">
        <v>4667</v>
      </c>
      <c r="G1486" s="8" t="s">
        <v>4668</v>
      </c>
      <c r="H1486" s="8" t="s">
        <v>3997</v>
      </c>
      <c r="I1486" s="8" t="s">
        <v>3200</v>
      </c>
      <c r="J1486" s="8" t="s">
        <v>3195</v>
      </c>
      <c r="K1486" s="8" t="s">
        <v>3183</v>
      </c>
      <c r="L1486" s="10" t="s">
        <v>3201</v>
      </c>
      <c r="M1486" s="10" t="s">
        <v>3202</v>
      </c>
      <c r="N1486" s="10" t="s">
        <v>3885</v>
      </c>
      <c r="O1486" s="8" t="s">
        <v>322</v>
      </c>
      <c r="P1486" s="8"/>
      <c r="Q1486" s="8">
        <v>2246</v>
      </c>
      <c r="R1486" s="8">
        <v>17816</v>
      </c>
      <c r="S1486" s="8" t="s">
        <v>332</v>
      </c>
      <c r="T1486" s="8"/>
      <c r="U1486" s="8"/>
      <c r="V1486" s="8"/>
      <c r="W1486" s="8"/>
      <c r="X1486" s="8"/>
      <c r="Y1486" s="8"/>
      <c r="Z1486" s="10" t="s">
        <v>111</v>
      </c>
      <c r="AA1486" s="8" t="s">
        <v>332</v>
      </c>
      <c r="AB1486" s="8">
        <v>1</v>
      </c>
    </row>
    <row r="1487" spans="1:28" ht="21.6" customHeight="1">
      <c r="A1487" s="8">
        <v>9</v>
      </c>
      <c r="B1487" s="8">
        <v>2025122663</v>
      </c>
      <c r="C1487" s="8">
        <v>1</v>
      </c>
      <c r="D1487" s="8" t="s">
        <v>3177</v>
      </c>
      <c r="E1487" s="8" t="s">
        <v>123</v>
      </c>
      <c r="F1487" s="8" t="s">
        <v>4667</v>
      </c>
      <c r="G1487" s="8" t="s">
        <v>3469</v>
      </c>
      <c r="H1487" s="8" t="s">
        <v>4407</v>
      </c>
      <c r="I1487" s="8" t="s">
        <v>3240</v>
      </c>
      <c r="J1487" s="8" t="s">
        <v>3224</v>
      </c>
      <c r="K1487" s="8" t="s">
        <v>3183</v>
      </c>
      <c r="L1487" s="10" t="s">
        <v>3241</v>
      </c>
      <c r="M1487" s="10" t="s">
        <v>3242</v>
      </c>
      <c r="N1487" s="10"/>
      <c r="O1487" s="8" t="s">
        <v>322</v>
      </c>
      <c r="P1487" s="8"/>
      <c r="Q1487" s="8">
        <v>2292</v>
      </c>
      <c r="R1487" s="8">
        <v>2480</v>
      </c>
      <c r="S1487" s="8" t="s">
        <v>332</v>
      </c>
      <c r="T1487" s="8"/>
      <c r="U1487" s="8"/>
      <c r="V1487" s="8"/>
      <c r="W1487" s="8"/>
      <c r="X1487" s="8"/>
      <c r="Y1487" s="8"/>
      <c r="Z1487" s="10" t="s">
        <v>3186</v>
      </c>
      <c r="AA1487" s="8" t="s">
        <v>332</v>
      </c>
      <c r="AB1487" s="8">
        <v>1</v>
      </c>
    </row>
    <row r="1488" spans="1:28" ht="21.6" customHeight="1">
      <c r="A1488" s="8">
        <v>13</v>
      </c>
      <c r="B1488" s="8">
        <v>2025122660</v>
      </c>
      <c r="C1488" s="8">
        <v>1</v>
      </c>
      <c r="D1488" s="8" t="s">
        <v>3177</v>
      </c>
      <c r="E1488" s="8" t="s">
        <v>123</v>
      </c>
      <c r="F1488" s="8" t="s">
        <v>4667</v>
      </c>
      <c r="G1488" s="8" t="s">
        <v>3357</v>
      </c>
      <c r="H1488" s="8" t="s">
        <v>4669</v>
      </c>
      <c r="I1488" s="8" t="s">
        <v>4370</v>
      </c>
      <c r="J1488" s="8" t="s">
        <v>3224</v>
      </c>
      <c r="K1488" s="8" t="s">
        <v>3183</v>
      </c>
      <c r="L1488" s="10" t="s">
        <v>4371</v>
      </c>
      <c r="M1488" s="10" t="s">
        <v>3185</v>
      </c>
      <c r="N1488" s="10"/>
      <c r="O1488" s="8" t="s">
        <v>322</v>
      </c>
      <c r="P1488" s="8"/>
      <c r="Q1488" s="8">
        <v>623</v>
      </c>
      <c r="R1488" s="8">
        <v>6276</v>
      </c>
      <c r="S1488" s="8" t="s">
        <v>332</v>
      </c>
      <c r="T1488" s="8"/>
      <c r="U1488" s="8"/>
      <c r="V1488" s="8"/>
      <c r="W1488" s="8"/>
      <c r="X1488" s="8"/>
      <c r="Y1488" s="8"/>
      <c r="Z1488" s="10" t="s">
        <v>3186</v>
      </c>
      <c r="AA1488" s="8" t="s">
        <v>332</v>
      </c>
      <c r="AB1488" s="8">
        <v>1</v>
      </c>
    </row>
    <row r="1489" spans="1:28" ht="21.6" customHeight="1">
      <c r="A1489" s="8">
        <v>18</v>
      </c>
      <c r="B1489" s="8">
        <v>2025122669</v>
      </c>
      <c r="C1489" s="8">
        <v>1</v>
      </c>
      <c r="D1489" s="8" t="s">
        <v>3177</v>
      </c>
      <c r="E1489" s="8" t="s">
        <v>123</v>
      </c>
      <c r="F1489" s="8" t="s">
        <v>4667</v>
      </c>
      <c r="G1489" s="8" t="s">
        <v>4670</v>
      </c>
      <c r="H1489" s="8" t="s">
        <v>4671</v>
      </c>
      <c r="I1489" s="8" t="s">
        <v>4613</v>
      </c>
      <c r="J1489" s="8" t="s">
        <v>3224</v>
      </c>
      <c r="K1489" s="8" t="s">
        <v>3183</v>
      </c>
      <c r="L1489" s="10" t="s">
        <v>3264</v>
      </c>
      <c r="M1489" s="10" t="s">
        <v>3265</v>
      </c>
      <c r="N1489" s="10"/>
      <c r="O1489" s="8" t="s">
        <v>322</v>
      </c>
      <c r="P1489" s="8"/>
      <c r="Q1489" s="8">
        <v>19</v>
      </c>
      <c r="R1489" s="8">
        <v>1136</v>
      </c>
      <c r="S1489" s="8" t="s">
        <v>332</v>
      </c>
      <c r="T1489" s="8"/>
      <c r="U1489" s="8"/>
      <c r="V1489" s="8"/>
      <c r="W1489" s="8"/>
      <c r="X1489" s="8"/>
      <c r="Y1489" s="8"/>
      <c r="Z1489" s="10" t="s">
        <v>3186</v>
      </c>
      <c r="AA1489" s="8" t="s">
        <v>332</v>
      </c>
      <c r="AB1489" s="8">
        <v>1</v>
      </c>
    </row>
    <row r="1490" spans="1:28" ht="21.6" customHeight="1">
      <c r="A1490" s="8">
        <v>40</v>
      </c>
      <c r="B1490" s="8">
        <v>2025122679</v>
      </c>
      <c r="C1490" s="8">
        <v>1</v>
      </c>
      <c r="D1490" s="8" t="s">
        <v>3177</v>
      </c>
      <c r="E1490" s="8" t="s">
        <v>123</v>
      </c>
      <c r="F1490" s="8" t="s">
        <v>4667</v>
      </c>
      <c r="G1490" s="8" t="s">
        <v>3665</v>
      </c>
      <c r="H1490" s="8" t="s">
        <v>3666</v>
      </c>
      <c r="I1490" s="8" t="s">
        <v>3300</v>
      </c>
      <c r="J1490" s="8" t="s">
        <v>3301</v>
      </c>
      <c r="K1490" s="8" t="s">
        <v>3183</v>
      </c>
      <c r="L1490" s="10" t="s">
        <v>3302</v>
      </c>
      <c r="M1490" s="10" t="s">
        <v>3303</v>
      </c>
      <c r="N1490" s="10" t="s">
        <v>3304</v>
      </c>
      <c r="O1490" s="8" t="s">
        <v>322</v>
      </c>
      <c r="P1490" s="8"/>
      <c r="Q1490" s="8">
        <v>42460</v>
      </c>
      <c r="R1490" s="8">
        <v>41933</v>
      </c>
      <c r="S1490" s="8" t="s">
        <v>332</v>
      </c>
      <c r="T1490" s="8"/>
      <c r="U1490" s="8"/>
      <c r="V1490" s="8"/>
      <c r="W1490" s="8"/>
      <c r="X1490" s="8"/>
      <c r="Y1490" s="8"/>
      <c r="Z1490" s="10" t="s">
        <v>3186</v>
      </c>
      <c r="AA1490" s="8" t="s">
        <v>332</v>
      </c>
      <c r="AB1490" s="8">
        <v>1</v>
      </c>
    </row>
    <row r="1491" spans="1:28" ht="21.6" customHeight="1">
      <c r="A1491" s="8">
        <v>44</v>
      </c>
      <c r="B1491" s="8">
        <v>2025123271</v>
      </c>
      <c r="C1491" s="8">
        <v>1</v>
      </c>
      <c r="D1491" s="8" t="s">
        <v>3177</v>
      </c>
      <c r="E1491" s="8" t="s">
        <v>123</v>
      </c>
      <c r="F1491" s="8" t="s">
        <v>4672</v>
      </c>
      <c r="G1491" s="8" t="s">
        <v>3386</v>
      </c>
      <c r="H1491" s="8" t="s">
        <v>4673</v>
      </c>
      <c r="I1491" s="8" t="s">
        <v>3327</v>
      </c>
      <c r="J1491" s="8" t="s">
        <v>3328</v>
      </c>
      <c r="K1491" s="8" t="s">
        <v>3183</v>
      </c>
      <c r="L1491" s="10" t="s">
        <v>3320</v>
      </c>
      <c r="M1491" s="10" t="s">
        <v>3321</v>
      </c>
      <c r="N1491" s="10" t="s">
        <v>3322</v>
      </c>
      <c r="O1491" s="8" t="s">
        <v>322</v>
      </c>
      <c r="P1491" s="8"/>
      <c r="Q1491" s="8">
        <v>775</v>
      </c>
      <c r="R1491" s="8">
        <v>31887</v>
      </c>
      <c r="S1491" s="8" t="s">
        <v>332</v>
      </c>
      <c r="T1491" s="8"/>
      <c r="U1491" s="8"/>
      <c r="V1491" s="8"/>
      <c r="W1491" s="8"/>
      <c r="X1491" s="8"/>
      <c r="Y1491" s="8"/>
      <c r="Z1491" s="10" t="s">
        <v>3186</v>
      </c>
      <c r="AA1491" s="8" t="s">
        <v>332</v>
      </c>
      <c r="AB1491" s="8">
        <v>1</v>
      </c>
    </row>
    <row r="1492" spans="1:28" ht="21.6" customHeight="1">
      <c r="A1492" s="8">
        <v>48</v>
      </c>
      <c r="B1492" s="8">
        <v>2025123324</v>
      </c>
      <c r="C1492" s="8">
        <v>1</v>
      </c>
      <c r="D1492" s="8" t="s">
        <v>3177</v>
      </c>
      <c r="E1492" s="8" t="s">
        <v>123</v>
      </c>
      <c r="F1492" s="8" t="s">
        <v>4672</v>
      </c>
      <c r="G1492" s="8" t="s">
        <v>4052</v>
      </c>
      <c r="H1492" s="8" t="s">
        <v>3974</v>
      </c>
      <c r="I1492" s="8" t="s">
        <v>4230</v>
      </c>
      <c r="J1492" s="8" t="s">
        <v>3328</v>
      </c>
      <c r="K1492" s="8" t="s">
        <v>3183</v>
      </c>
      <c r="L1492" s="10" t="s">
        <v>3314</v>
      </c>
      <c r="M1492" s="10" t="s">
        <v>3315</v>
      </c>
      <c r="N1492" s="10"/>
      <c r="O1492" s="8" t="s">
        <v>3190</v>
      </c>
      <c r="P1492" s="8"/>
      <c r="Q1492" s="8">
        <v>5646</v>
      </c>
      <c r="R1492" s="8">
        <v>7535</v>
      </c>
      <c r="S1492" s="8"/>
      <c r="T1492" s="8"/>
      <c r="U1492" s="8"/>
      <c r="V1492" s="8"/>
      <c r="W1492" s="8"/>
      <c r="X1492" s="8"/>
      <c r="Y1492" s="8"/>
      <c r="Z1492" s="10" t="s">
        <v>3190</v>
      </c>
      <c r="AA1492" s="8" t="s">
        <v>332</v>
      </c>
      <c r="AB1492" s="8">
        <v>1</v>
      </c>
    </row>
    <row r="1493" spans="1:28" ht="21.6" customHeight="1">
      <c r="A1493" s="8">
        <v>49</v>
      </c>
      <c r="B1493" s="8">
        <v>2025122671</v>
      </c>
      <c r="C1493" s="8">
        <v>1</v>
      </c>
      <c r="D1493" s="8" t="s">
        <v>3177</v>
      </c>
      <c r="E1493" s="8" t="s">
        <v>123</v>
      </c>
      <c r="F1493" s="8" t="s">
        <v>4667</v>
      </c>
      <c r="G1493" s="8" t="s">
        <v>4032</v>
      </c>
      <c r="H1493" s="8" t="s">
        <v>3789</v>
      </c>
      <c r="I1493" s="8" t="s">
        <v>3807</v>
      </c>
      <c r="J1493" s="8" t="s">
        <v>3808</v>
      </c>
      <c r="K1493" s="8" t="s">
        <v>3183</v>
      </c>
      <c r="L1493" s="10" t="s">
        <v>3333</v>
      </c>
      <c r="M1493" s="10" t="s">
        <v>3334</v>
      </c>
      <c r="N1493" s="10"/>
      <c r="O1493" s="8" t="s">
        <v>322</v>
      </c>
      <c r="P1493" s="8"/>
      <c r="Q1493" s="8"/>
      <c r="R1493" s="8">
        <v>65750</v>
      </c>
      <c r="S1493" s="8" t="s">
        <v>332</v>
      </c>
      <c r="T1493" s="8"/>
      <c r="U1493" s="8"/>
      <c r="V1493" s="8"/>
      <c r="W1493" s="8"/>
      <c r="X1493" s="8"/>
      <c r="Y1493" s="8"/>
      <c r="Z1493" s="10" t="s">
        <v>3186</v>
      </c>
      <c r="AA1493" s="8" t="s">
        <v>332</v>
      </c>
      <c r="AB1493" s="8">
        <v>1</v>
      </c>
    </row>
    <row r="1494" spans="1:28" ht="21.6" customHeight="1">
      <c r="A1494" s="8">
        <v>51</v>
      </c>
      <c r="B1494" s="8">
        <v>2025123267</v>
      </c>
      <c r="C1494" s="8">
        <v>1</v>
      </c>
      <c r="D1494" s="8" t="s">
        <v>3177</v>
      </c>
      <c r="E1494" s="8" t="s">
        <v>123</v>
      </c>
      <c r="F1494" s="8" t="s">
        <v>4672</v>
      </c>
      <c r="G1494" s="8" t="s">
        <v>3204</v>
      </c>
      <c r="H1494" s="8" t="s">
        <v>3427</v>
      </c>
      <c r="I1494" s="8" t="s">
        <v>3335</v>
      </c>
      <c r="J1494" s="8" t="s">
        <v>3336</v>
      </c>
      <c r="K1494" s="8" t="s">
        <v>3183</v>
      </c>
      <c r="L1494" s="10" t="s">
        <v>3320</v>
      </c>
      <c r="M1494" s="10" t="s">
        <v>3321</v>
      </c>
      <c r="N1494" s="10" t="s">
        <v>3337</v>
      </c>
      <c r="O1494" s="8" t="s">
        <v>322</v>
      </c>
      <c r="P1494" s="8"/>
      <c r="Q1494" s="8"/>
      <c r="R1494" s="8">
        <v>152589</v>
      </c>
      <c r="S1494" s="8" t="s">
        <v>332</v>
      </c>
      <c r="T1494" s="8"/>
      <c r="U1494" s="8"/>
      <c r="V1494" s="8"/>
      <c r="W1494" s="8"/>
      <c r="X1494" s="8"/>
      <c r="Y1494" s="8"/>
      <c r="Z1494" s="10" t="s">
        <v>3186</v>
      </c>
      <c r="AA1494" s="8" t="s">
        <v>332</v>
      </c>
      <c r="AB1494" s="8">
        <v>1</v>
      </c>
    </row>
    <row r="1495" spans="1:28" ht="21.6" customHeight="1">
      <c r="A1495" s="8">
        <v>53</v>
      </c>
      <c r="B1495" s="8">
        <v>2025123269</v>
      </c>
      <c r="C1495" s="8">
        <v>1</v>
      </c>
      <c r="D1495" s="8" t="s">
        <v>3177</v>
      </c>
      <c r="E1495" s="8" t="s">
        <v>123</v>
      </c>
      <c r="F1495" s="8" t="s">
        <v>4672</v>
      </c>
      <c r="G1495" s="8" t="s">
        <v>3427</v>
      </c>
      <c r="H1495" s="8" t="s">
        <v>3386</v>
      </c>
      <c r="I1495" s="8" t="s">
        <v>3340</v>
      </c>
      <c r="J1495" s="8" t="s">
        <v>3336</v>
      </c>
      <c r="K1495" s="8" t="s">
        <v>3183</v>
      </c>
      <c r="L1495" s="10" t="s">
        <v>3320</v>
      </c>
      <c r="M1495" s="10" t="s">
        <v>3321</v>
      </c>
      <c r="N1495" s="10" t="s">
        <v>3341</v>
      </c>
      <c r="O1495" s="8" t="s">
        <v>322</v>
      </c>
      <c r="P1495" s="8"/>
      <c r="Q1495" s="8"/>
      <c r="R1495" s="8">
        <v>62448</v>
      </c>
      <c r="S1495" s="8" t="s">
        <v>332</v>
      </c>
      <c r="T1495" s="8"/>
      <c r="U1495" s="8"/>
      <c r="V1495" s="8"/>
      <c r="W1495" s="8"/>
      <c r="X1495" s="8"/>
      <c r="Y1495" s="8"/>
      <c r="Z1495" s="10" t="s">
        <v>3186</v>
      </c>
      <c r="AA1495" s="8" t="s">
        <v>332</v>
      </c>
      <c r="AB1495" s="8">
        <v>1</v>
      </c>
    </row>
    <row r="1496" spans="1:28" ht="21.6" customHeight="1">
      <c r="A1496" s="8">
        <v>152</v>
      </c>
      <c r="B1496" s="8">
        <v>2025122831</v>
      </c>
      <c r="C1496" s="8">
        <v>1</v>
      </c>
      <c r="D1496" s="8" t="s">
        <v>3177</v>
      </c>
      <c r="E1496" s="8" t="s">
        <v>118</v>
      </c>
      <c r="F1496" s="8" t="s">
        <v>4674</v>
      </c>
      <c r="G1496" s="8" t="s">
        <v>3204</v>
      </c>
      <c r="H1496" s="8" t="s">
        <v>3427</v>
      </c>
      <c r="I1496" s="8" t="s">
        <v>3675</v>
      </c>
      <c r="J1496" s="8" t="s">
        <v>3195</v>
      </c>
      <c r="K1496" s="8" t="s">
        <v>3183</v>
      </c>
      <c r="L1496" s="10" t="s">
        <v>3377</v>
      </c>
      <c r="M1496" s="10" t="s">
        <v>3676</v>
      </c>
      <c r="N1496" s="10" t="s">
        <v>3677</v>
      </c>
      <c r="O1496" s="8" t="s">
        <v>3190</v>
      </c>
      <c r="P1496" s="8"/>
      <c r="Q1496" s="8">
        <v>2731</v>
      </c>
      <c r="R1496" s="8">
        <v>1351</v>
      </c>
      <c r="S1496" s="8"/>
      <c r="T1496" s="8"/>
      <c r="U1496" s="8"/>
      <c r="V1496" s="8"/>
      <c r="W1496" s="8"/>
      <c r="X1496" s="8"/>
      <c r="Y1496" s="8"/>
      <c r="Z1496" s="10" t="s">
        <v>3696</v>
      </c>
      <c r="AA1496" s="8" t="s">
        <v>332</v>
      </c>
      <c r="AB1496" s="8">
        <v>1</v>
      </c>
    </row>
    <row r="1497" spans="1:28" ht="21.6" customHeight="1">
      <c r="A1497" s="8">
        <v>160</v>
      </c>
      <c r="B1497" s="8">
        <v>2025122498</v>
      </c>
      <c r="C1497" s="8">
        <v>1</v>
      </c>
      <c r="D1497" s="8" t="s">
        <v>3177</v>
      </c>
      <c r="E1497" s="8" t="s">
        <v>118</v>
      </c>
      <c r="F1497" s="8" t="s">
        <v>4675</v>
      </c>
      <c r="G1497" s="8" t="s">
        <v>3280</v>
      </c>
      <c r="H1497" s="8" t="s">
        <v>3233</v>
      </c>
      <c r="I1497" s="8" t="s">
        <v>3382</v>
      </c>
      <c r="J1497" s="8" t="s">
        <v>3224</v>
      </c>
      <c r="K1497" s="8" t="s">
        <v>3183</v>
      </c>
      <c r="L1497" s="10" t="s">
        <v>3383</v>
      </c>
      <c r="M1497" s="10" t="s">
        <v>3384</v>
      </c>
      <c r="N1497" s="10" t="s">
        <v>3385</v>
      </c>
      <c r="O1497" s="8" t="s">
        <v>363</v>
      </c>
      <c r="P1497" s="8">
        <v>6965</v>
      </c>
      <c r="Q1497" s="8">
        <v>15589</v>
      </c>
      <c r="R1497" s="8">
        <v>20840</v>
      </c>
      <c r="S1497" s="8"/>
      <c r="T1497" s="8"/>
      <c r="U1497" s="8"/>
      <c r="V1497" s="8"/>
      <c r="W1497" s="8"/>
      <c r="X1497" s="8"/>
      <c r="Y1497" s="8"/>
      <c r="Z1497" s="10" t="s">
        <v>4676</v>
      </c>
      <c r="AA1497" s="8" t="s">
        <v>332</v>
      </c>
      <c r="AB1497" s="8">
        <v>1</v>
      </c>
    </row>
    <row r="1498" spans="1:28" ht="21.6" customHeight="1">
      <c r="A1498" s="8">
        <v>172</v>
      </c>
      <c r="B1498" s="8">
        <v>2025122950</v>
      </c>
      <c r="C1498" s="8">
        <v>1</v>
      </c>
      <c r="D1498" s="8" t="s">
        <v>3177</v>
      </c>
      <c r="E1498" s="8" t="s">
        <v>118</v>
      </c>
      <c r="F1498" s="8" t="s">
        <v>4672</v>
      </c>
      <c r="G1498" s="8" t="s">
        <v>3280</v>
      </c>
      <c r="H1498" s="8" t="s">
        <v>3233</v>
      </c>
      <c r="I1498" s="8" t="s">
        <v>4158</v>
      </c>
      <c r="J1498" s="8" t="s">
        <v>3224</v>
      </c>
      <c r="K1498" s="8" t="s">
        <v>3183</v>
      </c>
      <c r="L1498" s="10" t="s">
        <v>3550</v>
      </c>
      <c r="M1498" s="10" t="s">
        <v>4159</v>
      </c>
      <c r="N1498" s="10" t="s">
        <v>3701</v>
      </c>
      <c r="O1498" s="8" t="s">
        <v>363</v>
      </c>
      <c r="P1498" s="8"/>
      <c r="Q1498" s="8">
        <v>1132</v>
      </c>
      <c r="R1498" s="8">
        <v>64599</v>
      </c>
      <c r="S1498" s="8"/>
      <c r="T1498" s="8"/>
      <c r="U1498" s="8"/>
      <c r="V1498" s="8"/>
      <c r="W1498" s="8"/>
      <c r="X1498" s="8"/>
      <c r="Y1498" s="8"/>
      <c r="Z1498" s="10" t="s">
        <v>4677</v>
      </c>
      <c r="AA1498" s="8" t="s">
        <v>332</v>
      </c>
      <c r="AB1498" s="8">
        <v>1</v>
      </c>
    </row>
    <row r="1499" spans="1:28" ht="21.6" customHeight="1">
      <c r="A1499" s="8">
        <v>187</v>
      </c>
      <c r="B1499" s="8">
        <v>2025123225</v>
      </c>
      <c r="C1499" s="8">
        <v>1</v>
      </c>
      <c r="D1499" s="8" t="s">
        <v>3177</v>
      </c>
      <c r="E1499" s="8" t="s">
        <v>118</v>
      </c>
      <c r="F1499" s="8" t="s">
        <v>4672</v>
      </c>
      <c r="G1499" s="8" t="s">
        <v>3342</v>
      </c>
      <c r="H1499" s="8" t="s">
        <v>3767</v>
      </c>
      <c r="I1499" s="8" t="s">
        <v>3408</v>
      </c>
      <c r="J1499" s="8" t="s">
        <v>3253</v>
      </c>
      <c r="K1499" s="8" t="s">
        <v>3183</v>
      </c>
      <c r="L1499" s="10" t="s">
        <v>3409</v>
      </c>
      <c r="M1499" s="10" t="s">
        <v>3410</v>
      </c>
      <c r="N1499" s="10"/>
      <c r="O1499" s="8" t="s">
        <v>322</v>
      </c>
      <c r="P1499" s="8"/>
      <c r="Q1499" s="8"/>
      <c r="R1499" s="8">
        <v>344434</v>
      </c>
      <c r="S1499" s="8" t="s">
        <v>332</v>
      </c>
      <c r="T1499" s="8"/>
      <c r="U1499" s="8"/>
      <c r="V1499" s="8"/>
      <c r="W1499" s="8"/>
      <c r="X1499" s="8"/>
      <c r="Y1499" s="8"/>
      <c r="Z1499" s="10" t="s">
        <v>3696</v>
      </c>
      <c r="AA1499" s="8" t="s">
        <v>332</v>
      </c>
      <c r="AB1499" s="8">
        <v>1</v>
      </c>
    </row>
    <row r="1500" spans="1:28" ht="21.6" customHeight="1">
      <c r="A1500" s="8">
        <v>190</v>
      </c>
      <c r="B1500" s="8">
        <v>2025123358</v>
      </c>
      <c r="C1500" s="8">
        <v>1</v>
      </c>
      <c r="D1500" s="8" t="s">
        <v>3177</v>
      </c>
      <c r="E1500" s="8" t="s">
        <v>118</v>
      </c>
      <c r="F1500" s="8" t="s">
        <v>4678</v>
      </c>
      <c r="G1500" s="8" t="s">
        <v>3280</v>
      </c>
      <c r="H1500" s="8" t="s">
        <v>3363</v>
      </c>
      <c r="I1500" s="8" t="s">
        <v>3413</v>
      </c>
      <c r="J1500" s="8" t="s">
        <v>3253</v>
      </c>
      <c r="K1500" s="8" t="s">
        <v>3183</v>
      </c>
      <c r="L1500" s="10" t="s">
        <v>4549</v>
      </c>
      <c r="M1500" s="10" t="s">
        <v>3415</v>
      </c>
      <c r="N1500" s="10" t="s">
        <v>4550</v>
      </c>
      <c r="O1500" s="8" t="s">
        <v>322</v>
      </c>
      <c r="P1500" s="8"/>
      <c r="Q1500" s="8"/>
      <c r="R1500" s="8">
        <v>117600</v>
      </c>
      <c r="S1500" s="8" t="s">
        <v>332</v>
      </c>
      <c r="T1500" s="8"/>
      <c r="U1500" s="8"/>
      <c r="V1500" s="8"/>
      <c r="W1500" s="8"/>
      <c r="X1500" s="8"/>
      <c r="Y1500" s="8"/>
      <c r="Z1500" s="10" t="s">
        <v>3696</v>
      </c>
      <c r="AA1500" s="8" t="s">
        <v>332</v>
      </c>
      <c r="AB1500" s="8">
        <v>1</v>
      </c>
    </row>
    <row r="1501" spans="1:28" ht="21.6" customHeight="1">
      <c r="A1501" s="8">
        <v>201</v>
      </c>
      <c r="B1501" s="8">
        <v>2025122619</v>
      </c>
      <c r="C1501" s="8">
        <v>1</v>
      </c>
      <c r="D1501" s="8" t="s">
        <v>3177</v>
      </c>
      <c r="E1501" s="8" t="s">
        <v>118</v>
      </c>
      <c r="F1501" s="8" t="s">
        <v>4667</v>
      </c>
      <c r="G1501" s="8" t="s">
        <v>3280</v>
      </c>
      <c r="H1501" s="8" t="s">
        <v>3233</v>
      </c>
      <c r="I1501" s="8" t="s">
        <v>3428</v>
      </c>
      <c r="J1501" s="8" t="s">
        <v>3253</v>
      </c>
      <c r="K1501" s="8" t="s">
        <v>3183</v>
      </c>
      <c r="L1501" s="10" t="s">
        <v>3270</v>
      </c>
      <c r="M1501" s="10" t="s">
        <v>3429</v>
      </c>
      <c r="N1501" s="10" t="s">
        <v>3430</v>
      </c>
      <c r="O1501" s="8" t="s">
        <v>363</v>
      </c>
      <c r="P1501" s="8"/>
      <c r="Q1501" s="8"/>
      <c r="R1501" s="8">
        <v>81064</v>
      </c>
      <c r="S1501" s="8"/>
      <c r="T1501" s="8"/>
      <c r="U1501" s="8"/>
      <c r="V1501" s="8"/>
      <c r="W1501" s="8"/>
      <c r="X1501" s="8"/>
      <c r="Y1501" s="8"/>
      <c r="Z1501" s="10" t="s">
        <v>4679</v>
      </c>
      <c r="AA1501" s="8" t="s">
        <v>332</v>
      </c>
      <c r="AB1501" s="8">
        <v>1</v>
      </c>
    </row>
    <row r="1502" spans="1:28" ht="21.6" customHeight="1">
      <c r="A1502" s="8">
        <v>215</v>
      </c>
      <c r="B1502" s="8">
        <v>2025122982</v>
      </c>
      <c r="C1502" s="8">
        <v>1</v>
      </c>
      <c r="D1502" s="8" t="s">
        <v>3177</v>
      </c>
      <c r="E1502" s="8" t="s">
        <v>118</v>
      </c>
      <c r="F1502" s="8" t="s">
        <v>4680</v>
      </c>
      <c r="G1502" s="8" t="s">
        <v>3426</v>
      </c>
      <c r="H1502" s="8" t="s">
        <v>3432</v>
      </c>
      <c r="I1502" s="8" t="s">
        <v>4426</v>
      </c>
      <c r="J1502" s="8" t="s">
        <v>3277</v>
      </c>
      <c r="K1502" s="8" t="s">
        <v>3183</v>
      </c>
      <c r="L1502" s="10" t="s">
        <v>3398</v>
      </c>
      <c r="M1502" s="10" t="s">
        <v>3522</v>
      </c>
      <c r="N1502" s="10" t="s">
        <v>3523</v>
      </c>
      <c r="O1502" s="8" t="s">
        <v>363</v>
      </c>
      <c r="P1502" s="8"/>
      <c r="Q1502" s="8"/>
      <c r="R1502" s="8">
        <v>12521</v>
      </c>
      <c r="S1502" s="8"/>
      <c r="T1502" s="8"/>
      <c r="U1502" s="8"/>
      <c r="V1502" s="8"/>
      <c r="W1502" s="8"/>
      <c r="X1502" s="8"/>
      <c r="Y1502" s="8"/>
      <c r="Z1502" s="10" t="s">
        <v>4681</v>
      </c>
      <c r="AA1502" s="8" t="s">
        <v>332</v>
      </c>
      <c r="AB1502" s="8">
        <v>1</v>
      </c>
    </row>
    <row r="1503" spans="1:28" ht="21.6" customHeight="1">
      <c r="A1503" s="8">
        <v>222</v>
      </c>
      <c r="B1503" s="8">
        <v>2025121226</v>
      </c>
      <c r="C1503" s="8">
        <v>1</v>
      </c>
      <c r="D1503" s="8" t="s">
        <v>3177</v>
      </c>
      <c r="E1503" s="8" t="s">
        <v>118</v>
      </c>
      <c r="F1503" s="8" t="s">
        <v>4649</v>
      </c>
      <c r="G1503" s="8" t="s">
        <v>3848</v>
      </c>
      <c r="H1503" s="8" t="s">
        <v>3588</v>
      </c>
      <c r="I1503" s="8" t="s">
        <v>4473</v>
      </c>
      <c r="J1503" s="8" t="s">
        <v>3277</v>
      </c>
      <c r="K1503" s="8" t="s">
        <v>3183</v>
      </c>
      <c r="L1503" s="10" t="s">
        <v>3398</v>
      </c>
      <c r="M1503" s="10" t="s">
        <v>3514</v>
      </c>
      <c r="N1503" s="10" t="s">
        <v>3379</v>
      </c>
      <c r="O1503" s="8" t="s">
        <v>3190</v>
      </c>
      <c r="P1503" s="8"/>
      <c r="Q1503" s="8"/>
      <c r="R1503" s="8">
        <v>6992</v>
      </c>
      <c r="S1503" s="8"/>
      <c r="T1503" s="8"/>
      <c r="U1503" s="8"/>
      <c r="V1503" s="8"/>
      <c r="W1503" s="8"/>
      <c r="X1503" s="8"/>
      <c r="Y1503" s="8"/>
      <c r="Z1503" s="10" t="s">
        <v>3696</v>
      </c>
      <c r="AA1503" s="8" t="s">
        <v>332</v>
      </c>
      <c r="AB1503" s="8">
        <v>1</v>
      </c>
    </row>
    <row r="1504" spans="1:28" ht="21.6" customHeight="1">
      <c r="A1504" s="8">
        <v>226</v>
      </c>
      <c r="B1504" s="8">
        <v>2025123223</v>
      </c>
      <c r="C1504" s="8">
        <v>1</v>
      </c>
      <c r="D1504" s="8" t="s">
        <v>3177</v>
      </c>
      <c r="E1504" s="8" t="s">
        <v>118</v>
      </c>
      <c r="F1504" s="8" t="s">
        <v>4672</v>
      </c>
      <c r="G1504" s="8" t="s">
        <v>3357</v>
      </c>
      <c r="H1504" s="8" t="s">
        <v>3342</v>
      </c>
      <c r="I1504" s="8" t="s">
        <v>3470</v>
      </c>
      <c r="J1504" s="8" t="s">
        <v>3471</v>
      </c>
      <c r="K1504" s="8" t="s">
        <v>3183</v>
      </c>
      <c r="L1504" s="10" t="s">
        <v>3472</v>
      </c>
      <c r="M1504" s="10" t="s">
        <v>3410</v>
      </c>
      <c r="N1504" s="10" t="s">
        <v>3442</v>
      </c>
      <c r="O1504" s="8" t="s">
        <v>322</v>
      </c>
      <c r="P1504" s="8"/>
      <c r="Q1504" s="8"/>
      <c r="R1504" s="8">
        <v>76644</v>
      </c>
      <c r="S1504" s="8" t="s">
        <v>332</v>
      </c>
      <c r="T1504" s="8"/>
      <c r="U1504" s="8"/>
      <c r="V1504" s="8"/>
      <c r="W1504" s="8"/>
      <c r="X1504" s="8"/>
      <c r="Y1504" s="8"/>
      <c r="Z1504" s="10" t="s">
        <v>3696</v>
      </c>
      <c r="AA1504" s="8" t="s">
        <v>332</v>
      </c>
      <c r="AB1504" s="8">
        <v>1</v>
      </c>
    </row>
    <row r="1505" spans="1:28" ht="21.6" customHeight="1">
      <c r="A1505" s="8">
        <v>248</v>
      </c>
      <c r="B1505" s="8">
        <v>2025122636</v>
      </c>
      <c r="C1505" s="8">
        <v>1</v>
      </c>
      <c r="D1505" s="8" t="s">
        <v>3177</v>
      </c>
      <c r="E1505" s="8" t="s">
        <v>118</v>
      </c>
      <c r="F1505" s="8" t="s">
        <v>4667</v>
      </c>
      <c r="G1505" s="8" t="s">
        <v>3381</v>
      </c>
      <c r="H1505" s="8" t="s">
        <v>3357</v>
      </c>
      <c r="I1505" s="8" t="s">
        <v>3978</v>
      </c>
      <c r="J1505" s="8" t="s">
        <v>3301</v>
      </c>
      <c r="K1505" s="8" t="s">
        <v>3183</v>
      </c>
      <c r="L1505" s="10" t="s">
        <v>4481</v>
      </c>
      <c r="M1505" s="10" t="s">
        <v>3980</v>
      </c>
      <c r="N1505" s="10" t="s">
        <v>3497</v>
      </c>
      <c r="O1505" s="8" t="s">
        <v>363</v>
      </c>
      <c r="P1505" s="8"/>
      <c r="Q1505" s="8">
        <v>11378</v>
      </c>
      <c r="R1505" s="8">
        <v>16096</v>
      </c>
      <c r="S1505" s="8"/>
      <c r="T1505" s="8"/>
      <c r="U1505" s="8"/>
      <c r="V1505" s="8"/>
      <c r="W1505" s="8"/>
      <c r="X1505" s="8"/>
      <c r="Y1505" s="8"/>
      <c r="Z1505" s="10" t="s">
        <v>4682</v>
      </c>
      <c r="AA1505" s="8" t="s">
        <v>332</v>
      </c>
      <c r="AB1505" s="8">
        <v>1</v>
      </c>
    </row>
    <row r="1506" spans="1:28" ht="21.6" customHeight="1">
      <c r="A1506" s="8">
        <v>249</v>
      </c>
      <c r="B1506" s="8">
        <v>2025122838</v>
      </c>
      <c r="C1506" s="8">
        <v>1</v>
      </c>
      <c r="D1506" s="8" t="s">
        <v>3177</v>
      </c>
      <c r="E1506" s="8" t="s">
        <v>118</v>
      </c>
      <c r="F1506" s="8" t="s">
        <v>4674</v>
      </c>
      <c r="G1506" s="8" t="s">
        <v>3386</v>
      </c>
      <c r="H1506" s="8" t="s">
        <v>3432</v>
      </c>
      <c r="I1506" s="8" t="s">
        <v>3978</v>
      </c>
      <c r="J1506" s="8" t="s">
        <v>3301</v>
      </c>
      <c r="K1506" s="8" t="s">
        <v>3183</v>
      </c>
      <c r="L1506" s="10" t="s">
        <v>4481</v>
      </c>
      <c r="M1506" s="10" t="s">
        <v>3980</v>
      </c>
      <c r="N1506" s="10" t="s">
        <v>3497</v>
      </c>
      <c r="O1506" s="8" t="s">
        <v>363</v>
      </c>
      <c r="P1506" s="8"/>
      <c r="Q1506" s="8">
        <v>11378</v>
      </c>
      <c r="R1506" s="8">
        <v>19096</v>
      </c>
      <c r="S1506" s="8"/>
      <c r="T1506" s="8"/>
      <c r="U1506" s="8"/>
      <c r="V1506" s="8"/>
      <c r="W1506" s="8"/>
      <c r="X1506" s="8"/>
      <c r="Y1506" s="8"/>
      <c r="Z1506" s="10" t="s">
        <v>4683</v>
      </c>
      <c r="AA1506" s="8" t="s">
        <v>332</v>
      </c>
      <c r="AB1506" s="8">
        <v>1</v>
      </c>
    </row>
    <row r="1507" spans="1:28" ht="21.6" customHeight="1">
      <c r="A1507" s="8">
        <v>250</v>
      </c>
      <c r="B1507" s="8">
        <v>2025122883</v>
      </c>
      <c r="C1507" s="8">
        <v>1</v>
      </c>
      <c r="D1507" s="8" t="s">
        <v>3177</v>
      </c>
      <c r="E1507" s="8" t="s">
        <v>118</v>
      </c>
      <c r="F1507" s="8" t="s">
        <v>4680</v>
      </c>
      <c r="G1507" s="8" t="s">
        <v>3280</v>
      </c>
      <c r="H1507" s="8" t="s">
        <v>3233</v>
      </c>
      <c r="I1507" s="8" t="s">
        <v>3978</v>
      </c>
      <c r="J1507" s="8" t="s">
        <v>3301</v>
      </c>
      <c r="K1507" s="8" t="s">
        <v>3183</v>
      </c>
      <c r="L1507" s="10" t="s">
        <v>4481</v>
      </c>
      <c r="M1507" s="10" t="s">
        <v>3980</v>
      </c>
      <c r="N1507" s="10" t="s">
        <v>3497</v>
      </c>
      <c r="O1507" s="8" t="s">
        <v>363</v>
      </c>
      <c r="P1507" s="8"/>
      <c r="Q1507" s="8">
        <v>11378</v>
      </c>
      <c r="R1507" s="8">
        <v>19096</v>
      </c>
      <c r="S1507" s="8"/>
      <c r="T1507" s="8"/>
      <c r="U1507" s="8"/>
      <c r="V1507" s="8"/>
      <c r="W1507" s="8"/>
      <c r="X1507" s="8"/>
      <c r="Y1507" s="8"/>
      <c r="Z1507" s="10" t="s">
        <v>4684</v>
      </c>
      <c r="AA1507" s="8" t="s">
        <v>332</v>
      </c>
      <c r="AB1507" s="8">
        <v>1</v>
      </c>
    </row>
    <row r="1508" spans="1:28" ht="21.6" customHeight="1">
      <c r="A1508" s="8">
        <v>251</v>
      </c>
      <c r="B1508" s="8">
        <v>2025123478</v>
      </c>
      <c r="C1508" s="8">
        <v>1</v>
      </c>
      <c r="D1508" s="8" t="s">
        <v>3177</v>
      </c>
      <c r="E1508" s="8" t="s">
        <v>118</v>
      </c>
      <c r="F1508" s="8" t="s">
        <v>4678</v>
      </c>
      <c r="G1508" s="8" t="s">
        <v>3387</v>
      </c>
      <c r="H1508" s="8" t="s">
        <v>4358</v>
      </c>
      <c r="I1508" s="8" t="s">
        <v>3978</v>
      </c>
      <c r="J1508" s="8" t="s">
        <v>3301</v>
      </c>
      <c r="K1508" s="8" t="s">
        <v>3183</v>
      </c>
      <c r="L1508" s="10" t="s">
        <v>4481</v>
      </c>
      <c r="M1508" s="10" t="s">
        <v>3980</v>
      </c>
      <c r="N1508" s="10" t="s">
        <v>3497</v>
      </c>
      <c r="O1508" s="8" t="s">
        <v>363</v>
      </c>
      <c r="P1508" s="8"/>
      <c r="Q1508" s="8">
        <v>11378</v>
      </c>
      <c r="R1508" s="8">
        <v>19096</v>
      </c>
      <c r="S1508" s="8"/>
      <c r="T1508" s="8"/>
      <c r="U1508" s="8"/>
      <c r="V1508" s="8"/>
      <c r="W1508" s="8"/>
      <c r="X1508" s="8"/>
      <c r="Y1508" s="8"/>
      <c r="Z1508" s="10" t="s">
        <v>4685</v>
      </c>
      <c r="AA1508" s="8" t="s">
        <v>332</v>
      </c>
      <c r="AB1508" s="8">
        <v>1</v>
      </c>
    </row>
    <row r="1509" spans="1:28" ht="21.6" customHeight="1">
      <c r="A1509" s="8">
        <v>277</v>
      </c>
      <c r="B1509" s="8">
        <v>2025123293</v>
      </c>
      <c r="C1509" s="8">
        <v>1</v>
      </c>
      <c r="D1509" s="8" t="s">
        <v>3177</v>
      </c>
      <c r="E1509" s="8" t="s">
        <v>118</v>
      </c>
      <c r="F1509" s="8" t="s">
        <v>4672</v>
      </c>
      <c r="G1509" s="8" t="s">
        <v>3386</v>
      </c>
      <c r="H1509" s="8" t="s">
        <v>3251</v>
      </c>
      <c r="I1509" s="8" t="s">
        <v>3567</v>
      </c>
      <c r="J1509" s="8" t="s">
        <v>1717</v>
      </c>
      <c r="K1509" s="8" t="s">
        <v>3183</v>
      </c>
      <c r="L1509" s="10" t="s">
        <v>3254</v>
      </c>
      <c r="M1509" s="10" t="s">
        <v>3547</v>
      </c>
      <c r="N1509" s="10" t="s">
        <v>3568</v>
      </c>
      <c r="O1509" s="8" t="s">
        <v>322</v>
      </c>
      <c r="P1509" s="8"/>
      <c r="Q1509" s="8"/>
      <c r="R1509" s="8">
        <v>16765</v>
      </c>
      <c r="S1509" s="8"/>
      <c r="T1509" s="8"/>
      <c r="U1509" s="8" t="s">
        <v>332</v>
      </c>
      <c r="V1509" s="8"/>
      <c r="W1509" s="8"/>
      <c r="X1509" s="8"/>
      <c r="Y1509" s="8"/>
      <c r="Z1509" s="10" t="s">
        <v>3362</v>
      </c>
      <c r="AA1509" s="8" t="s">
        <v>332</v>
      </c>
      <c r="AB1509" s="8">
        <v>1</v>
      </c>
    </row>
    <row r="1510" spans="1:28" ht="21.6" customHeight="1">
      <c r="A1510" s="8">
        <v>278</v>
      </c>
      <c r="B1510" s="8">
        <v>2025123291</v>
      </c>
      <c r="C1510" s="8">
        <v>1</v>
      </c>
      <c r="D1510" s="8" t="s">
        <v>3177</v>
      </c>
      <c r="E1510" s="8" t="s">
        <v>118</v>
      </c>
      <c r="F1510" s="8" t="s">
        <v>4672</v>
      </c>
      <c r="G1510" s="8" t="s">
        <v>3654</v>
      </c>
      <c r="H1510" s="8" t="s">
        <v>3777</v>
      </c>
      <c r="I1510" s="8" t="s">
        <v>3570</v>
      </c>
      <c r="J1510" s="8" t="s">
        <v>1717</v>
      </c>
      <c r="K1510" s="8" t="s">
        <v>3183</v>
      </c>
      <c r="L1510" s="10" t="s">
        <v>3254</v>
      </c>
      <c r="M1510" s="10" t="s">
        <v>3547</v>
      </c>
      <c r="N1510" s="10" t="s">
        <v>3571</v>
      </c>
      <c r="O1510" s="8" t="s">
        <v>322</v>
      </c>
      <c r="P1510" s="8"/>
      <c r="Q1510" s="8"/>
      <c r="R1510" s="8">
        <v>183841</v>
      </c>
      <c r="S1510" s="8"/>
      <c r="T1510" s="8"/>
      <c r="U1510" s="8" t="s">
        <v>332</v>
      </c>
      <c r="V1510" s="8"/>
      <c r="W1510" s="8"/>
      <c r="X1510" s="8"/>
      <c r="Y1510" s="8"/>
      <c r="Z1510" s="10" t="s">
        <v>3362</v>
      </c>
      <c r="AA1510" s="8" t="s">
        <v>332</v>
      </c>
      <c r="AB1510" s="8">
        <v>1</v>
      </c>
    </row>
    <row r="1511" spans="1:28" ht="21.6" customHeight="1">
      <c r="A1511" s="8">
        <v>280</v>
      </c>
      <c r="B1511" s="8">
        <v>2025123221</v>
      </c>
      <c r="C1511" s="8">
        <v>1</v>
      </c>
      <c r="D1511" s="8" t="s">
        <v>3177</v>
      </c>
      <c r="E1511" s="8" t="s">
        <v>118</v>
      </c>
      <c r="F1511" s="8" t="s">
        <v>4672</v>
      </c>
      <c r="G1511" s="8" t="s">
        <v>3401</v>
      </c>
      <c r="H1511" s="8" t="s">
        <v>3357</v>
      </c>
      <c r="I1511" s="8" t="s">
        <v>3572</v>
      </c>
      <c r="J1511" s="8" t="s">
        <v>1717</v>
      </c>
      <c r="K1511" s="8" t="s">
        <v>3183</v>
      </c>
      <c r="L1511" s="10" t="s">
        <v>3472</v>
      </c>
      <c r="M1511" s="10" t="s">
        <v>3410</v>
      </c>
      <c r="N1511" s="10" t="s">
        <v>3442</v>
      </c>
      <c r="O1511" s="8" t="s">
        <v>322</v>
      </c>
      <c r="P1511" s="8"/>
      <c r="Q1511" s="8"/>
      <c r="R1511" s="8">
        <v>125054</v>
      </c>
      <c r="S1511" s="8" t="s">
        <v>332</v>
      </c>
      <c r="T1511" s="8"/>
      <c r="U1511" s="8"/>
      <c r="V1511" s="8"/>
      <c r="W1511" s="8"/>
      <c r="X1511" s="8"/>
      <c r="Y1511" s="8"/>
      <c r="Z1511" s="10" t="s">
        <v>3696</v>
      </c>
      <c r="AA1511" s="8" t="s">
        <v>332</v>
      </c>
      <c r="AB1511" s="8">
        <v>1</v>
      </c>
    </row>
    <row r="1512" spans="1:28" ht="21.6" customHeight="1">
      <c r="A1512" s="8">
        <v>282</v>
      </c>
      <c r="B1512" s="8">
        <v>2025123600</v>
      </c>
      <c r="C1512" s="8">
        <v>1</v>
      </c>
      <c r="D1512" s="8" t="s">
        <v>3177</v>
      </c>
      <c r="E1512" s="8" t="s">
        <v>118</v>
      </c>
      <c r="F1512" s="8" t="s">
        <v>4686</v>
      </c>
      <c r="G1512" s="8" t="s">
        <v>3350</v>
      </c>
      <c r="H1512" s="8" t="s">
        <v>3280</v>
      </c>
      <c r="I1512" s="8" t="s">
        <v>3572</v>
      </c>
      <c r="J1512" s="8" t="s">
        <v>1717</v>
      </c>
      <c r="K1512" s="8" t="s">
        <v>3183</v>
      </c>
      <c r="L1512" s="10" t="s">
        <v>3472</v>
      </c>
      <c r="M1512" s="10" t="s">
        <v>3410</v>
      </c>
      <c r="N1512" s="10" t="s">
        <v>3442</v>
      </c>
      <c r="O1512" s="8" t="s">
        <v>322</v>
      </c>
      <c r="P1512" s="8"/>
      <c r="Q1512" s="8"/>
      <c r="R1512" s="8">
        <v>125054</v>
      </c>
      <c r="S1512" s="8"/>
      <c r="T1512" s="8"/>
      <c r="U1512" s="8" t="s">
        <v>332</v>
      </c>
      <c r="V1512" s="8"/>
      <c r="W1512" s="8"/>
      <c r="X1512" s="8"/>
      <c r="Y1512" s="8"/>
      <c r="Z1512" s="10" t="s">
        <v>3362</v>
      </c>
      <c r="AA1512" s="8" t="s">
        <v>332</v>
      </c>
      <c r="AB1512" s="8">
        <v>1</v>
      </c>
    </row>
    <row r="1513" spans="1:28" ht="21.6" customHeight="1">
      <c r="A1513" s="8">
        <v>286</v>
      </c>
      <c r="B1513" s="8">
        <v>2025123290</v>
      </c>
      <c r="C1513" s="8">
        <v>1</v>
      </c>
      <c r="D1513" s="8" t="s">
        <v>3177</v>
      </c>
      <c r="E1513" s="8" t="s">
        <v>118</v>
      </c>
      <c r="F1513" s="8" t="s">
        <v>4672</v>
      </c>
      <c r="G1513" s="8" t="s">
        <v>3427</v>
      </c>
      <c r="H1513" s="8" t="s">
        <v>3654</v>
      </c>
      <c r="I1513" s="8" t="s">
        <v>4687</v>
      </c>
      <c r="J1513" s="8" t="s">
        <v>1717</v>
      </c>
      <c r="K1513" s="8" t="s">
        <v>3183</v>
      </c>
      <c r="L1513" s="10" t="s">
        <v>3254</v>
      </c>
      <c r="M1513" s="10" t="s">
        <v>3742</v>
      </c>
      <c r="N1513" s="10" t="s">
        <v>3743</v>
      </c>
      <c r="O1513" s="8" t="s">
        <v>322</v>
      </c>
      <c r="P1513" s="8"/>
      <c r="Q1513" s="8"/>
      <c r="R1513" s="8">
        <v>9692</v>
      </c>
      <c r="S1513" s="8"/>
      <c r="T1513" s="8"/>
      <c r="U1513" s="8" t="s">
        <v>332</v>
      </c>
      <c r="V1513" s="8"/>
      <c r="W1513" s="8"/>
      <c r="X1513" s="8"/>
      <c r="Y1513" s="8"/>
      <c r="Z1513" s="10" t="s">
        <v>3362</v>
      </c>
      <c r="AA1513" s="8" t="s">
        <v>332</v>
      </c>
      <c r="AB1513" s="8">
        <v>1</v>
      </c>
    </row>
    <row r="1514" spans="1:28" ht="21.6" customHeight="1">
      <c r="A1514" s="8">
        <v>287</v>
      </c>
      <c r="B1514" s="8">
        <v>2025123292</v>
      </c>
      <c r="C1514" s="8">
        <v>1</v>
      </c>
      <c r="D1514" s="8" t="s">
        <v>3177</v>
      </c>
      <c r="E1514" s="8" t="s">
        <v>118</v>
      </c>
      <c r="F1514" s="8" t="s">
        <v>4672</v>
      </c>
      <c r="G1514" s="8" t="s">
        <v>3777</v>
      </c>
      <c r="H1514" s="8" t="s">
        <v>3386</v>
      </c>
      <c r="I1514" s="8" t="s">
        <v>4607</v>
      </c>
      <c r="J1514" s="8" t="s">
        <v>1717</v>
      </c>
      <c r="K1514" s="8" t="s">
        <v>3183</v>
      </c>
      <c r="L1514" s="10" t="s">
        <v>3254</v>
      </c>
      <c r="M1514" s="10" t="s">
        <v>3547</v>
      </c>
      <c r="N1514" s="10" t="s">
        <v>3753</v>
      </c>
      <c r="O1514" s="8" t="s">
        <v>322</v>
      </c>
      <c r="P1514" s="8"/>
      <c r="Q1514" s="8"/>
      <c r="R1514" s="8">
        <v>9566</v>
      </c>
      <c r="S1514" s="8"/>
      <c r="T1514" s="8"/>
      <c r="U1514" s="8" t="s">
        <v>332</v>
      </c>
      <c r="V1514" s="8"/>
      <c r="W1514" s="8"/>
      <c r="X1514" s="8"/>
      <c r="Y1514" s="8"/>
      <c r="Z1514" s="10" t="s">
        <v>3362</v>
      </c>
      <c r="AA1514" s="8" t="s">
        <v>332</v>
      </c>
      <c r="AB1514" s="8">
        <v>1</v>
      </c>
    </row>
    <row r="1515" spans="1:28" ht="21.6" customHeight="1">
      <c r="A1515" s="8">
        <v>333</v>
      </c>
      <c r="B1515" s="8">
        <v>2025123586</v>
      </c>
      <c r="C1515" s="8">
        <v>1</v>
      </c>
      <c r="D1515" s="8" t="s">
        <v>3177</v>
      </c>
      <c r="E1515" s="8" t="s">
        <v>118</v>
      </c>
      <c r="F1515" s="8" t="s">
        <v>4688</v>
      </c>
      <c r="G1515" s="8" t="s">
        <v>3387</v>
      </c>
      <c r="H1515" s="8" t="s">
        <v>3595</v>
      </c>
      <c r="I1515" s="8" t="s">
        <v>4689</v>
      </c>
      <c r="J1515" s="8" t="s">
        <v>4690</v>
      </c>
      <c r="K1515" s="8" t="s">
        <v>3579</v>
      </c>
      <c r="L1515" s="10" t="s">
        <v>3580</v>
      </c>
      <c r="M1515" s="10" t="s">
        <v>4691</v>
      </c>
      <c r="N1515" s="10" t="s">
        <v>3582</v>
      </c>
      <c r="O1515" s="8" t="s">
        <v>363</v>
      </c>
      <c r="P1515" s="8"/>
      <c r="Q1515" s="8"/>
      <c r="R1515" s="8">
        <v>0</v>
      </c>
      <c r="S1515" s="8"/>
      <c r="T1515" s="8"/>
      <c r="U1515" s="8"/>
      <c r="V1515" s="8"/>
      <c r="W1515" s="8"/>
      <c r="X1515" s="8"/>
      <c r="Y1515" s="8"/>
      <c r="Z1515" s="10" t="s">
        <v>4692</v>
      </c>
      <c r="AA1515" s="8" t="s">
        <v>332</v>
      </c>
      <c r="AB1515" s="8">
        <v>1</v>
      </c>
    </row>
    <row r="1516" spans="1:28" ht="21.6" customHeight="1">
      <c r="A1516" s="8">
        <v>337</v>
      </c>
      <c r="B1516" s="8">
        <v>2025122595</v>
      </c>
      <c r="C1516" s="8">
        <v>1</v>
      </c>
      <c r="D1516" s="8" t="s">
        <v>3177</v>
      </c>
      <c r="E1516" s="8" t="s">
        <v>134</v>
      </c>
      <c r="F1516" s="8" t="s">
        <v>4675</v>
      </c>
      <c r="G1516" s="8" t="s">
        <v>3561</v>
      </c>
      <c r="H1516" s="8" t="s">
        <v>4693</v>
      </c>
      <c r="I1516" s="8" t="s">
        <v>3585</v>
      </c>
      <c r="J1516" s="8" t="s">
        <v>3301</v>
      </c>
      <c r="K1516" s="8" t="s">
        <v>3183</v>
      </c>
      <c r="L1516" s="10" t="s">
        <v>3586</v>
      </c>
      <c r="M1516" s="10" t="s">
        <v>3587</v>
      </c>
      <c r="N1516" s="10" t="s">
        <v>3430</v>
      </c>
      <c r="O1516" s="8" t="s">
        <v>3190</v>
      </c>
      <c r="P1516" s="8"/>
      <c r="Q1516" s="8">
        <v>6824</v>
      </c>
      <c r="R1516" s="8">
        <v>77075</v>
      </c>
      <c r="S1516" s="8"/>
      <c r="T1516" s="8"/>
      <c r="U1516" s="8"/>
      <c r="V1516" s="8"/>
      <c r="W1516" s="8"/>
      <c r="X1516" s="8"/>
      <c r="Y1516" s="8"/>
      <c r="Z1516" s="10"/>
      <c r="AA1516" s="8" t="s">
        <v>332</v>
      </c>
      <c r="AB1516" s="8">
        <v>1</v>
      </c>
    </row>
    <row r="1517" spans="1:28" ht="21.6" customHeight="1">
      <c r="A1517" s="8">
        <v>338</v>
      </c>
      <c r="B1517" s="8">
        <v>2025122596</v>
      </c>
      <c r="C1517" s="8">
        <v>1</v>
      </c>
      <c r="D1517" s="8" t="s">
        <v>3177</v>
      </c>
      <c r="E1517" s="8" t="s">
        <v>134</v>
      </c>
      <c r="F1517" s="8" t="s">
        <v>4675</v>
      </c>
      <c r="G1517" s="8" t="s">
        <v>4281</v>
      </c>
      <c r="H1517" s="8" t="s">
        <v>4694</v>
      </c>
      <c r="I1517" s="8" t="s">
        <v>3592</v>
      </c>
      <c r="J1517" s="8" t="s">
        <v>3301</v>
      </c>
      <c r="K1517" s="8" t="s">
        <v>3183</v>
      </c>
      <c r="L1517" s="10" t="s">
        <v>3586</v>
      </c>
      <c r="M1517" s="10" t="s">
        <v>3587</v>
      </c>
      <c r="N1517" s="10" t="s">
        <v>3430</v>
      </c>
      <c r="O1517" s="8" t="s">
        <v>3190</v>
      </c>
      <c r="P1517" s="8"/>
      <c r="Q1517" s="8">
        <v>10754</v>
      </c>
      <c r="R1517" s="8">
        <v>129783</v>
      </c>
      <c r="S1517" s="8"/>
      <c r="T1517" s="8"/>
      <c r="U1517" s="8"/>
      <c r="V1517" s="8"/>
      <c r="W1517" s="8"/>
      <c r="X1517" s="8"/>
      <c r="Y1517" s="8"/>
      <c r="Z1517" s="10"/>
      <c r="AA1517" s="8" t="s">
        <v>332</v>
      </c>
      <c r="AB1517" s="8">
        <v>1</v>
      </c>
    </row>
    <row r="1518" spans="1:28" ht="21.6" customHeight="1">
      <c r="A1518" s="8">
        <v>1</v>
      </c>
      <c r="B1518" s="8">
        <v>2026011181</v>
      </c>
      <c r="C1518" s="8">
        <v>1</v>
      </c>
      <c r="D1518" s="8" t="s">
        <v>3177</v>
      </c>
      <c r="E1518" s="8" t="s">
        <v>133</v>
      </c>
      <c r="F1518" s="8" t="s">
        <v>4695</v>
      </c>
      <c r="G1518" s="8" t="s">
        <v>3280</v>
      </c>
      <c r="H1518" s="8" t="s">
        <v>4136</v>
      </c>
      <c r="I1518" s="8" t="s">
        <v>4696</v>
      </c>
      <c r="J1518" s="8" t="s">
        <v>3224</v>
      </c>
      <c r="K1518" s="8" t="s">
        <v>3183</v>
      </c>
      <c r="L1518" s="10" t="s">
        <v>4697</v>
      </c>
      <c r="M1518" s="10" t="s">
        <v>4698</v>
      </c>
      <c r="N1518" s="10"/>
      <c r="O1518" s="8" t="s">
        <v>322</v>
      </c>
      <c r="P1518" s="8"/>
      <c r="Q1518" s="8">
        <v>1454</v>
      </c>
      <c r="R1518" s="8">
        <v>3044</v>
      </c>
      <c r="S1518" s="8" t="s">
        <v>332</v>
      </c>
      <c r="T1518" s="8"/>
      <c r="U1518" s="8"/>
      <c r="V1518" s="8"/>
      <c r="W1518" s="8"/>
      <c r="X1518" s="8"/>
      <c r="Y1518" s="8"/>
      <c r="Z1518" s="10" t="s">
        <v>3821</v>
      </c>
      <c r="AA1518" s="8" t="s">
        <v>332</v>
      </c>
      <c r="AB1518" s="8">
        <v>1</v>
      </c>
    </row>
    <row r="1519" spans="1:28" ht="21.6" customHeight="1">
      <c r="A1519" s="8">
        <v>3</v>
      </c>
      <c r="B1519" s="8">
        <v>2026011210</v>
      </c>
      <c r="C1519" s="8">
        <v>1</v>
      </c>
      <c r="D1519" s="8" t="s">
        <v>3177</v>
      </c>
      <c r="E1519" s="8" t="s">
        <v>133</v>
      </c>
      <c r="F1519" s="8" t="s">
        <v>4695</v>
      </c>
      <c r="G1519" s="8" t="s">
        <v>4113</v>
      </c>
      <c r="H1519" s="8" t="s">
        <v>3638</v>
      </c>
      <c r="I1519" s="8" t="s">
        <v>4699</v>
      </c>
      <c r="J1519" s="8" t="s">
        <v>3224</v>
      </c>
      <c r="K1519" s="8" t="s">
        <v>3183</v>
      </c>
      <c r="L1519" s="10" t="s">
        <v>4700</v>
      </c>
      <c r="M1519" s="10" t="s">
        <v>4701</v>
      </c>
      <c r="N1519" s="10"/>
      <c r="O1519" s="8" t="s">
        <v>3190</v>
      </c>
      <c r="P1519" s="8"/>
      <c r="Q1519" s="8">
        <v>1898</v>
      </c>
      <c r="R1519" s="8">
        <v>13982</v>
      </c>
      <c r="S1519" s="8"/>
      <c r="T1519" s="8"/>
      <c r="U1519" s="8"/>
      <c r="V1519" s="8"/>
      <c r="W1519" s="8"/>
      <c r="X1519" s="8"/>
      <c r="Y1519" s="8"/>
      <c r="Z1519" s="10" t="s">
        <v>3821</v>
      </c>
      <c r="AA1519" s="8" t="s">
        <v>332</v>
      </c>
      <c r="AB1519" s="8">
        <v>1</v>
      </c>
    </row>
    <row r="1520" spans="1:28" ht="21.6" customHeight="1">
      <c r="A1520" s="8">
        <v>5</v>
      </c>
      <c r="B1520" s="8">
        <v>2026010103</v>
      </c>
      <c r="C1520" s="8">
        <v>1</v>
      </c>
      <c r="D1520" s="8" t="s">
        <v>3177</v>
      </c>
      <c r="E1520" s="8" t="s">
        <v>133</v>
      </c>
      <c r="F1520" s="8" t="s">
        <v>4702</v>
      </c>
      <c r="G1520" s="8" t="s">
        <v>3368</v>
      </c>
      <c r="H1520" s="8" t="s">
        <v>3645</v>
      </c>
      <c r="I1520" s="8" t="s">
        <v>4703</v>
      </c>
      <c r="J1520" s="8" t="s">
        <v>3224</v>
      </c>
      <c r="K1520" s="8" t="s">
        <v>3183</v>
      </c>
      <c r="L1520" s="10" t="s">
        <v>4404</v>
      </c>
      <c r="M1520" s="10" t="s">
        <v>4704</v>
      </c>
      <c r="N1520" s="10" t="s">
        <v>4705</v>
      </c>
      <c r="O1520" s="8" t="s">
        <v>3190</v>
      </c>
      <c r="P1520" s="8"/>
      <c r="Q1520" s="8">
        <v>3208</v>
      </c>
      <c r="R1520" s="8">
        <v>14746</v>
      </c>
      <c r="S1520" s="8"/>
      <c r="T1520" s="8"/>
      <c r="U1520" s="8"/>
      <c r="V1520" s="8"/>
      <c r="W1520" s="8"/>
      <c r="X1520" s="8"/>
      <c r="Y1520" s="8"/>
      <c r="Z1520" s="10" t="s">
        <v>3821</v>
      </c>
      <c r="AA1520" s="8" t="s">
        <v>332</v>
      </c>
      <c r="AB1520" s="8">
        <v>1</v>
      </c>
    </row>
    <row r="1521" spans="1:28" ht="21.6" customHeight="1">
      <c r="A1521" s="8">
        <v>6</v>
      </c>
      <c r="B1521" s="8">
        <v>2026011245</v>
      </c>
      <c r="C1521" s="8">
        <v>1</v>
      </c>
      <c r="D1521" s="8" t="s">
        <v>3177</v>
      </c>
      <c r="E1521" s="8" t="s">
        <v>133</v>
      </c>
      <c r="F1521" s="8" t="s">
        <v>4695</v>
      </c>
      <c r="G1521" s="8" t="s">
        <v>3577</v>
      </c>
      <c r="H1521" s="8" t="s">
        <v>3613</v>
      </c>
      <c r="I1521" s="8" t="s">
        <v>4706</v>
      </c>
      <c r="J1521" s="8" t="s">
        <v>3224</v>
      </c>
      <c r="K1521" s="8" t="s">
        <v>3183</v>
      </c>
      <c r="L1521" s="10" t="s">
        <v>4707</v>
      </c>
      <c r="M1521" s="10" t="s">
        <v>4708</v>
      </c>
      <c r="N1521" s="10"/>
      <c r="O1521" s="8" t="s">
        <v>322</v>
      </c>
      <c r="P1521" s="8"/>
      <c r="Q1521" s="8">
        <v>1084</v>
      </c>
      <c r="R1521" s="8">
        <v>6345</v>
      </c>
      <c r="S1521" s="8" t="s">
        <v>332</v>
      </c>
      <c r="T1521" s="8"/>
      <c r="U1521" s="8"/>
      <c r="V1521" s="8"/>
      <c r="W1521" s="8"/>
      <c r="X1521" s="8"/>
      <c r="Y1521" s="8"/>
      <c r="Z1521" s="10" t="s">
        <v>4709</v>
      </c>
      <c r="AA1521" s="8" t="s">
        <v>332</v>
      </c>
      <c r="AB1521" s="8">
        <v>1</v>
      </c>
    </row>
    <row r="1522" spans="1:28" ht="21.6" customHeight="1">
      <c r="A1522" s="8">
        <v>8</v>
      </c>
      <c r="B1522" s="8">
        <v>2026010102</v>
      </c>
      <c r="C1522" s="8">
        <v>1</v>
      </c>
      <c r="D1522" s="8" t="s">
        <v>3177</v>
      </c>
      <c r="E1522" s="8" t="s">
        <v>133</v>
      </c>
      <c r="F1522" s="8" t="s">
        <v>4702</v>
      </c>
      <c r="G1522" s="8" t="s">
        <v>3605</v>
      </c>
      <c r="H1522" s="8" t="s">
        <v>3291</v>
      </c>
      <c r="I1522" s="8" t="s">
        <v>4470</v>
      </c>
      <c r="J1522" s="8" t="s">
        <v>3224</v>
      </c>
      <c r="K1522" s="8" t="s">
        <v>3183</v>
      </c>
      <c r="L1522" s="10" t="s">
        <v>4404</v>
      </c>
      <c r="M1522" s="10" t="s">
        <v>4471</v>
      </c>
      <c r="N1522" s="10" t="s">
        <v>3215</v>
      </c>
      <c r="O1522" s="8" t="s">
        <v>3190</v>
      </c>
      <c r="P1522" s="8"/>
      <c r="Q1522" s="8">
        <v>665</v>
      </c>
      <c r="R1522" s="8">
        <v>599</v>
      </c>
      <c r="S1522" s="8"/>
      <c r="T1522" s="8"/>
      <c r="U1522" s="8"/>
      <c r="V1522" s="8"/>
      <c r="W1522" s="8"/>
      <c r="X1522" s="8"/>
      <c r="Y1522" s="8"/>
      <c r="Z1522" s="10" t="s">
        <v>3821</v>
      </c>
      <c r="AA1522" s="8" t="s">
        <v>332</v>
      </c>
      <c r="AB1522" s="8">
        <v>1</v>
      </c>
    </row>
    <row r="1523" spans="1:28" ht="21.6" customHeight="1">
      <c r="A1523" s="8">
        <v>9</v>
      </c>
      <c r="B1523" s="8">
        <v>2026010929</v>
      </c>
      <c r="C1523" s="8">
        <v>1</v>
      </c>
      <c r="D1523" s="8" t="s">
        <v>3177</v>
      </c>
      <c r="E1523" s="8" t="s">
        <v>133</v>
      </c>
      <c r="F1523" s="8" t="s">
        <v>4710</v>
      </c>
      <c r="G1523" s="8" t="s">
        <v>4044</v>
      </c>
      <c r="H1523" s="8" t="s">
        <v>3217</v>
      </c>
      <c r="I1523" s="8" t="s">
        <v>4711</v>
      </c>
      <c r="J1523" s="8" t="s">
        <v>3253</v>
      </c>
      <c r="K1523" s="8" t="s">
        <v>3183</v>
      </c>
      <c r="L1523" s="10" t="s">
        <v>4712</v>
      </c>
      <c r="M1523" s="10" t="s">
        <v>4713</v>
      </c>
      <c r="N1523" s="10" t="s">
        <v>4714</v>
      </c>
      <c r="O1523" s="8" t="s">
        <v>322</v>
      </c>
      <c r="P1523" s="8"/>
      <c r="Q1523" s="8"/>
      <c r="R1523" s="8">
        <v>25061</v>
      </c>
      <c r="S1523" s="8" t="s">
        <v>332</v>
      </c>
      <c r="T1523" s="8"/>
      <c r="U1523" s="8"/>
      <c r="V1523" s="8"/>
      <c r="W1523" s="8"/>
      <c r="X1523" s="8"/>
      <c r="Y1523" s="8"/>
      <c r="Z1523" s="10" t="s">
        <v>3821</v>
      </c>
      <c r="AA1523" s="8" t="s">
        <v>332</v>
      </c>
      <c r="AB1523" s="8">
        <v>1</v>
      </c>
    </row>
    <row r="1524" spans="1:28" ht="21.6" customHeight="1">
      <c r="A1524" s="8">
        <v>11</v>
      </c>
      <c r="B1524" s="8">
        <v>2026010961</v>
      </c>
      <c r="C1524" s="8">
        <v>1</v>
      </c>
      <c r="D1524" s="8" t="s">
        <v>3177</v>
      </c>
      <c r="E1524" s="8" t="s">
        <v>133</v>
      </c>
      <c r="F1524" s="8" t="s">
        <v>4710</v>
      </c>
      <c r="G1524" s="8" t="s">
        <v>3368</v>
      </c>
      <c r="H1524" s="8" t="s">
        <v>4031</v>
      </c>
      <c r="I1524" s="8" t="s">
        <v>4715</v>
      </c>
      <c r="J1524" s="8" t="s">
        <v>3253</v>
      </c>
      <c r="K1524" s="8" t="s">
        <v>3183</v>
      </c>
      <c r="L1524" s="10" t="s">
        <v>4716</v>
      </c>
      <c r="M1524" s="10" t="s">
        <v>4717</v>
      </c>
      <c r="N1524" s="10"/>
      <c r="O1524" s="8" t="s">
        <v>322</v>
      </c>
      <c r="P1524" s="8"/>
      <c r="Q1524" s="8"/>
      <c r="R1524" s="8">
        <v>93689</v>
      </c>
      <c r="S1524" s="8" t="s">
        <v>332</v>
      </c>
      <c r="T1524" s="8"/>
      <c r="U1524" s="8"/>
      <c r="V1524" s="8"/>
      <c r="W1524" s="8"/>
      <c r="X1524" s="8"/>
      <c r="Y1524" s="8"/>
      <c r="Z1524" s="10" t="s">
        <v>3821</v>
      </c>
      <c r="AA1524" s="8" t="s">
        <v>332</v>
      </c>
      <c r="AB1524" s="8">
        <v>1</v>
      </c>
    </row>
    <row r="1525" spans="1:28" ht="21.6" customHeight="1">
      <c r="A1525" s="8">
        <v>13</v>
      </c>
      <c r="B1525" s="8">
        <v>2026010101</v>
      </c>
      <c r="C1525" s="8">
        <v>1</v>
      </c>
      <c r="D1525" s="8" t="s">
        <v>3177</v>
      </c>
      <c r="E1525" s="8" t="s">
        <v>133</v>
      </c>
      <c r="F1525" s="8" t="s">
        <v>4702</v>
      </c>
      <c r="G1525" s="8" t="s">
        <v>3869</v>
      </c>
      <c r="H1525" s="8" t="s">
        <v>3524</v>
      </c>
      <c r="I1525" s="8" t="s">
        <v>3276</v>
      </c>
      <c r="J1525" s="8" t="s">
        <v>3277</v>
      </c>
      <c r="K1525" s="8" t="s">
        <v>3183</v>
      </c>
      <c r="L1525" s="10" t="s">
        <v>3278</v>
      </c>
      <c r="M1525" s="10" t="s">
        <v>3279</v>
      </c>
      <c r="N1525" s="10" t="s">
        <v>4408</v>
      </c>
      <c r="O1525" s="8" t="s">
        <v>3190</v>
      </c>
      <c r="P1525" s="8"/>
      <c r="Q1525" s="8"/>
      <c r="R1525" s="8">
        <v>73936</v>
      </c>
      <c r="S1525" s="8"/>
      <c r="T1525" s="8"/>
      <c r="U1525" s="8"/>
      <c r="V1525" s="8"/>
      <c r="W1525" s="8"/>
      <c r="X1525" s="8"/>
      <c r="Y1525" s="8"/>
      <c r="Z1525" s="10" t="s">
        <v>3821</v>
      </c>
      <c r="AA1525" s="8" t="s">
        <v>332</v>
      </c>
      <c r="AB1525" s="8">
        <v>1</v>
      </c>
    </row>
    <row r="1526" spans="1:28" ht="21.6" customHeight="1">
      <c r="A1526" s="8">
        <v>14</v>
      </c>
      <c r="B1526" s="8">
        <v>2026011154</v>
      </c>
      <c r="C1526" s="8">
        <v>1</v>
      </c>
      <c r="D1526" s="8" t="s">
        <v>3177</v>
      </c>
      <c r="E1526" s="8" t="s">
        <v>133</v>
      </c>
      <c r="F1526" s="8" t="s">
        <v>4710</v>
      </c>
      <c r="G1526" s="8" t="s">
        <v>3387</v>
      </c>
      <c r="H1526" s="8" t="s">
        <v>4070</v>
      </c>
      <c r="I1526" s="8" t="s">
        <v>3713</v>
      </c>
      <c r="J1526" s="8" t="s">
        <v>3277</v>
      </c>
      <c r="K1526" s="8" t="s">
        <v>3183</v>
      </c>
      <c r="L1526" s="10" t="s">
        <v>4718</v>
      </c>
      <c r="M1526" s="10" t="s">
        <v>4719</v>
      </c>
      <c r="N1526" s="10"/>
      <c r="O1526" s="8" t="s">
        <v>322</v>
      </c>
      <c r="P1526" s="8"/>
      <c r="Q1526" s="8"/>
      <c r="R1526" s="8">
        <v>544</v>
      </c>
      <c r="S1526" s="8" t="s">
        <v>332</v>
      </c>
      <c r="T1526" s="8"/>
      <c r="U1526" s="8"/>
      <c r="V1526" s="8"/>
      <c r="W1526" s="8"/>
      <c r="X1526" s="8"/>
      <c r="Y1526" s="8"/>
      <c r="Z1526" s="10" t="s">
        <v>3821</v>
      </c>
      <c r="AA1526" s="8" t="s">
        <v>332</v>
      </c>
      <c r="AB1526" s="8">
        <v>1</v>
      </c>
    </row>
    <row r="1527" spans="1:28" ht="21.6" customHeight="1">
      <c r="A1527" s="8">
        <v>15</v>
      </c>
      <c r="B1527" s="8">
        <v>2026011155</v>
      </c>
      <c r="C1527" s="8">
        <v>1</v>
      </c>
      <c r="D1527" s="8" t="s">
        <v>3177</v>
      </c>
      <c r="E1527" s="8" t="s">
        <v>133</v>
      </c>
      <c r="F1527" s="8" t="s">
        <v>4710</v>
      </c>
      <c r="G1527" s="8" t="s">
        <v>3595</v>
      </c>
      <c r="H1527" s="8" t="s">
        <v>4346</v>
      </c>
      <c r="I1527" s="8" t="s">
        <v>4720</v>
      </c>
      <c r="J1527" s="8" t="s">
        <v>3277</v>
      </c>
      <c r="K1527" s="8" t="s">
        <v>3183</v>
      </c>
      <c r="L1527" s="10" t="s">
        <v>4721</v>
      </c>
      <c r="M1527" s="10" t="s">
        <v>4722</v>
      </c>
      <c r="N1527" s="10"/>
      <c r="O1527" s="8" t="s">
        <v>322</v>
      </c>
      <c r="P1527" s="8"/>
      <c r="Q1527" s="8"/>
      <c r="R1527" s="8">
        <v>521</v>
      </c>
      <c r="S1527" s="8" t="s">
        <v>332</v>
      </c>
      <c r="T1527" s="8"/>
      <c r="U1527" s="8"/>
      <c r="V1527" s="8"/>
      <c r="W1527" s="8"/>
      <c r="X1527" s="8"/>
      <c r="Y1527" s="8"/>
      <c r="Z1527" s="10" t="s">
        <v>3821</v>
      </c>
      <c r="AA1527" s="8" t="s">
        <v>332</v>
      </c>
      <c r="AB1527" s="8">
        <v>1</v>
      </c>
    </row>
    <row r="1528" spans="1:28" ht="21.6" customHeight="1">
      <c r="A1528" s="8">
        <v>16</v>
      </c>
      <c r="B1528" s="8">
        <v>2026010081</v>
      </c>
      <c r="C1528" s="8">
        <v>1</v>
      </c>
      <c r="D1528" s="8" t="s">
        <v>3177</v>
      </c>
      <c r="E1528" s="8" t="s">
        <v>133</v>
      </c>
      <c r="F1528" s="8" t="s">
        <v>4702</v>
      </c>
      <c r="G1528" s="8" t="s">
        <v>3595</v>
      </c>
      <c r="H1528" s="8" t="s">
        <v>4341</v>
      </c>
      <c r="I1528" s="8" t="s">
        <v>4723</v>
      </c>
      <c r="J1528" s="8" t="s">
        <v>3277</v>
      </c>
      <c r="K1528" s="8" t="s">
        <v>3183</v>
      </c>
      <c r="L1528" s="10" t="s">
        <v>4724</v>
      </c>
      <c r="M1528" s="10" t="s">
        <v>4725</v>
      </c>
      <c r="N1528" s="10" t="s">
        <v>4705</v>
      </c>
      <c r="O1528" s="8" t="s">
        <v>363</v>
      </c>
      <c r="P1528" s="8"/>
      <c r="Q1528" s="8"/>
      <c r="R1528" s="8">
        <v>35422</v>
      </c>
      <c r="S1528" s="8"/>
      <c r="T1528" s="8"/>
      <c r="U1528" s="8"/>
      <c r="V1528" s="8"/>
      <c r="W1528" s="8"/>
      <c r="X1528" s="8"/>
      <c r="Y1528" s="8"/>
      <c r="Z1528" s="10" t="s">
        <v>4726</v>
      </c>
      <c r="AA1528" s="8" t="s">
        <v>332</v>
      </c>
      <c r="AB1528" s="8">
        <v>1</v>
      </c>
    </row>
    <row r="1529" spans="1:28" ht="21.6" customHeight="1">
      <c r="A1529" s="8">
        <v>19</v>
      </c>
      <c r="B1529" s="8">
        <v>2026010899</v>
      </c>
      <c r="C1529" s="8">
        <v>1</v>
      </c>
      <c r="D1529" s="8" t="s">
        <v>3177</v>
      </c>
      <c r="E1529" s="8" t="s">
        <v>133</v>
      </c>
      <c r="F1529" s="8" t="s">
        <v>4710</v>
      </c>
      <c r="G1529" s="8" t="s">
        <v>3363</v>
      </c>
      <c r="H1529" s="8" t="s">
        <v>4135</v>
      </c>
      <c r="I1529" s="8" t="s">
        <v>4727</v>
      </c>
      <c r="J1529" s="8" t="s">
        <v>3288</v>
      </c>
      <c r="K1529" s="8" t="s">
        <v>3183</v>
      </c>
      <c r="L1529" s="10" t="s">
        <v>4728</v>
      </c>
      <c r="M1529" s="10" t="s">
        <v>4729</v>
      </c>
      <c r="N1529" s="10" t="s">
        <v>4730</v>
      </c>
      <c r="O1529" s="8" t="s">
        <v>322</v>
      </c>
      <c r="P1529" s="8"/>
      <c r="Q1529" s="8">
        <v>15187</v>
      </c>
      <c r="R1529" s="8">
        <v>236609</v>
      </c>
      <c r="S1529" s="8" t="s">
        <v>332</v>
      </c>
      <c r="T1529" s="8"/>
      <c r="U1529" s="8"/>
      <c r="V1529" s="8"/>
      <c r="W1529" s="8"/>
      <c r="X1529" s="8"/>
      <c r="Y1529" s="8"/>
      <c r="Z1529" s="10" t="s">
        <v>3821</v>
      </c>
      <c r="AA1529" s="8" t="s">
        <v>332</v>
      </c>
      <c r="AB1529" s="8">
        <v>1</v>
      </c>
    </row>
    <row r="1530" spans="1:28" ht="21.6" customHeight="1">
      <c r="A1530" s="8">
        <v>22</v>
      </c>
      <c r="B1530" s="8">
        <v>2026011184</v>
      </c>
      <c r="C1530" s="8">
        <v>1</v>
      </c>
      <c r="D1530" s="8" t="s">
        <v>3177</v>
      </c>
      <c r="E1530" s="8" t="s">
        <v>133</v>
      </c>
      <c r="F1530" s="8" t="s">
        <v>4695</v>
      </c>
      <c r="G1530" s="8" t="s">
        <v>4008</v>
      </c>
      <c r="H1530" s="8" t="s">
        <v>3232</v>
      </c>
      <c r="I1530" s="8" t="s">
        <v>4731</v>
      </c>
      <c r="J1530" s="8" t="s">
        <v>3288</v>
      </c>
      <c r="K1530" s="8" t="s">
        <v>3183</v>
      </c>
      <c r="L1530" s="10" t="s">
        <v>4732</v>
      </c>
      <c r="M1530" s="10" t="s">
        <v>4698</v>
      </c>
      <c r="N1530" s="10"/>
      <c r="O1530" s="8" t="s">
        <v>322</v>
      </c>
      <c r="P1530" s="8"/>
      <c r="Q1530" s="8">
        <v>927</v>
      </c>
      <c r="R1530" s="8">
        <v>73722</v>
      </c>
      <c r="S1530" s="8" t="s">
        <v>332</v>
      </c>
      <c r="T1530" s="8"/>
      <c r="U1530" s="8"/>
      <c r="V1530" s="8"/>
      <c r="W1530" s="8"/>
      <c r="X1530" s="8"/>
      <c r="Y1530" s="8"/>
      <c r="Z1530" s="10" t="s">
        <v>3821</v>
      </c>
      <c r="AA1530" s="8" t="s">
        <v>332</v>
      </c>
      <c r="AB1530" s="8">
        <v>1</v>
      </c>
    </row>
    <row r="1531" spans="1:28" ht="21.6" customHeight="1">
      <c r="A1531" s="8">
        <v>24</v>
      </c>
      <c r="B1531" s="8">
        <v>2026010946</v>
      </c>
      <c r="C1531" s="8">
        <v>1</v>
      </c>
      <c r="D1531" s="8" t="s">
        <v>3177</v>
      </c>
      <c r="E1531" s="8" t="s">
        <v>133</v>
      </c>
      <c r="F1531" s="8" t="s">
        <v>4710</v>
      </c>
      <c r="G1531" s="8" t="s">
        <v>3357</v>
      </c>
      <c r="H1531" s="8" t="s">
        <v>3621</v>
      </c>
      <c r="I1531" s="8" t="s">
        <v>4733</v>
      </c>
      <c r="J1531" s="8" t="s">
        <v>3288</v>
      </c>
      <c r="K1531" s="8" t="s">
        <v>3183</v>
      </c>
      <c r="L1531" s="10" t="s">
        <v>4734</v>
      </c>
      <c r="M1531" s="10" t="s">
        <v>4735</v>
      </c>
      <c r="N1531" s="10"/>
      <c r="O1531" s="8" t="s">
        <v>322</v>
      </c>
      <c r="P1531" s="8"/>
      <c r="Q1531" s="8">
        <v>4769</v>
      </c>
      <c r="R1531" s="8">
        <v>15444</v>
      </c>
      <c r="S1531" s="8" t="s">
        <v>332</v>
      </c>
      <c r="T1531" s="8"/>
      <c r="U1531" s="8"/>
      <c r="V1531" s="8"/>
      <c r="W1531" s="8"/>
      <c r="X1531" s="8"/>
      <c r="Y1531" s="8"/>
      <c r="Z1531" s="10" t="s">
        <v>3821</v>
      </c>
      <c r="AA1531" s="8" t="s">
        <v>332</v>
      </c>
      <c r="AB1531" s="8">
        <v>1</v>
      </c>
    </row>
    <row r="1532" spans="1:28" ht="21.6" customHeight="1">
      <c r="A1532" s="8">
        <v>26</v>
      </c>
      <c r="B1532" s="8">
        <v>2026010931</v>
      </c>
      <c r="C1532" s="8">
        <v>1</v>
      </c>
      <c r="D1532" s="8" t="s">
        <v>3177</v>
      </c>
      <c r="E1532" s="8" t="s">
        <v>133</v>
      </c>
      <c r="F1532" s="8" t="s">
        <v>4710</v>
      </c>
      <c r="G1532" s="8" t="s">
        <v>3638</v>
      </c>
      <c r="H1532" s="8" t="s">
        <v>4044</v>
      </c>
      <c r="I1532" s="8" t="s">
        <v>4736</v>
      </c>
      <c r="J1532" s="8" t="s">
        <v>3301</v>
      </c>
      <c r="K1532" s="8" t="s">
        <v>3183</v>
      </c>
      <c r="L1532" s="10" t="s">
        <v>4712</v>
      </c>
      <c r="M1532" s="10" t="s">
        <v>4737</v>
      </c>
      <c r="N1532" s="10"/>
      <c r="O1532" s="8" t="s">
        <v>322</v>
      </c>
      <c r="P1532" s="8"/>
      <c r="Q1532" s="8">
        <v>18785</v>
      </c>
      <c r="R1532" s="8">
        <v>389389</v>
      </c>
      <c r="S1532" s="8" t="s">
        <v>332</v>
      </c>
      <c r="T1532" s="8"/>
      <c r="U1532" s="8"/>
      <c r="V1532" s="8"/>
      <c r="W1532" s="8"/>
      <c r="X1532" s="8"/>
      <c r="Y1532" s="8"/>
      <c r="Z1532" s="10" t="s">
        <v>3821</v>
      </c>
      <c r="AA1532" s="8" t="s">
        <v>332</v>
      </c>
      <c r="AB1532" s="8">
        <v>1</v>
      </c>
    </row>
    <row r="1533" spans="1:28" ht="21.6" customHeight="1">
      <c r="A1533" s="8">
        <v>28</v>
      </c>
      <c r="B1533" s="8">
        <v>2026010927</v>
      </c>
      <c r="C1533" s="8">
        <v>1</v>
      </c>
      <c r="D1533" s="8" t="s">
        <v>3177</v>
      </c>
      <c r="E1533" s="8" t="s">
        <v>133</v>
      </c>
      <c r="F1533" s="8" t="s">
        <v>4710</v>
      </c>
      <c r="G1533" s="8" t="s">
        <v>3765</v>
      </c>
      <c r="H1533" s="8" t="s">
        <v>3638</v>
      </c>
      <c r="I1533" s="8" t="s">
        <v>4738</v>
      </c>
      <c r="J1533" s="8" t="s">
        <v>3301</v>
      </c>
      <c r="K1533" s="8" t="s">
        <v>3183</v>
      </c>
      <c r="L1533" s="10" t="s">
        <v>4712</v>
      </c>
      <c r="M1533" s="10" t="s">
        <v>4739</v>
      </c>
      <c r="N1533" s="10"/>
      <c r="O1533" s="8" t="s">
        <v>322</v>
      </c>
      <c r="P1533" s="8"/>
      <c r="Q1533" s="8">
        <v>9949</v>
      </c>
      <c r="R1533" s="8">
        <v>210417</v>
      </c>
      <c r="S1533" s="8" t="s">
        <v>332</v>
      </c>
      <c r="T1533" s="8"/>
      <c r="U1533" s="8"/>
      <c r="V1533" s="8"/>
      <c r="W1533" s="8"/>
      <c r="X1533" s="8"/>
      <c r="Y1533" s="8"/>
      <c r="Z1533" s="10" t="s">
        <v>3821</v>
      </c>
      <c r="AA1533" s="8" t="s">
        <v>332</v>
      </c>
      <c r="AB1533" s="8">
        <v>1</v>
      </c>
    </row>
    <row r="1534" spans="1:28" ht="21.6" customHeight="1">
      <c r="A1534" s="8">
        <v>30</v>
      </c>
      <c r="B1534" s="8">
        <v>2026011230</v>
      </c>
      <c r="C1534" s="8">
        <v>1</v>
      </c>
      <c r="D1534" s="8" t="s">
        <v>3177</v>
      </c>
      <c r="E1534" s="8" t="s">
        <v>133</v>
      </c>
      <c r="F1534" s="8" t="s">
        <v>4695</v>
      </c>
      <c r="G1534" s="8" t="s">
        <v>3869</v>
      </c>
      <c r="H1534" s="8" t="s">
        <v>3906</v>
      </c>
      <c r="I1534" s="8" t="s">
        <v>4740</v>
      </c>
      <c r="J1534" s="8" t="s">
        <v>3301</v>
      </c>
      <c r="K1534" s="8" t="s">
        <v>3183</v>
      </c>
      <c r="L1534" s="10" t="s">
        <v>4741</v>
      </c>
      <c r="M1534" s="10" t="s">
        <v>4742</v>
      </c>
      <c r="N1534" s="10"/>
      <c r="O1534" s="8" t="s">
        <v>322</v>
      </c>
      <c r="P1534" s="8"/>
      <c r="Q1534" s="8">
        <v>7209</v>
      </c>
      <c r="R1534" s="8">
        <v>44649</v>
      </c>
      <c r="S1534" s="8" t="s">
        <v>332</v>
      </c>
      <c r="T1534" s="8"/>
      <c r="U1534" s="8"/>
      <c r="V1534" s="8"/>
      <c r="W1534" s="8"/>
      <c r="X1534" s="8"/>
      <c r="Y1534" s="8"/>
      <c r="Z1534" s="10" t="s">
        <v>4743</v>
      </c>
      <c r="AA1534" s="8" t="s">
        <v>332</v>
      </c>
      <c r="AB1534" s="8">
        <v>1</v>
      </c>
    </row>
    <row r="1535" spans="1:28" ht="21.6" customHeight="1">
      <c r="A1535" s="8">
        <v>31</v>
      </c>
      <c r="B1535" s="8">
        <v>2026011196</v>
      </c>
      <c r="C1535" s="8">
        <v>1</v>
      </c>
      <c r="D1535" s="8" t="s">
        <v>3177</v>
      </c>
      <c r="E1535" s="8" t="s">
        <v>133</v>
      </c>
      <c r="F1535" s="8" t="s">
        <v>4695</v>
      </c>
      <c r="G1535" s="8" t="s">
        <v>4135</v>
      </c>
      <c r="H1535" s="8" t="s">
        <v>3274</v>
      </c>
      <c r="I1535" s="8" t="s">
        <v>4744</v>
      </c>
      <c r="J1535" s="8" t="s">
        <v>3301</v>
      </c>
      <c r="K1535" s="8" t="s">
        <v>3183</v>
      </c>
      <c r="L1535" s="10" t="s">
        <v>4745</v>
      </c>
      <c r="M1535" s="10" t="s">
        <v>4746</v>
      </c>
      <c r="N1535" s="10"/>
      <c r="O1535" s="8" t="s">
        <v>322</v>
      </c>
      <c r="P1535" s="8"/>
      <c r="Q1535" s="8">
        <v>13485</v>
      </c>
      <c r="R1535" s="8">
        <v>122374</v>
      </c>
      <c r="S1535" s="8" t="s">
        <v>332</v>
      </c>
      <c r="T1535" s="8"/>
      <c r="U1535" s="8"/>
      <c r="V1535" s="8"/>
      <c r="W1535" s="8"/>
      <c r="X1535" s="8"/>
      <c r="Y1535" s="8"/>
      <c r="Z1535" s="10" t="s">
        <v>4747</v>
      </c>
      <c r="AA1535" s="8" t="s">
        <v>332</v>
      </c>
      <c r="AB1535" s="8">
        <v>1</v>
      </c>
    </row>
    <row r="1536" spans="1:28" ht="21.6" customHeight="1">
      <c r="A1536" s="8">
        <v>33</v>
      </c>
      <c r="B1536" s="8">
        <v>2026010968</v>
      </c>
      <c r="C1536" s="8">
        <v>1</v>
      </c>
      <c r="D1536" s="8" t="s">
        <v>3177</v>
      </c>
      <c r="E1536" s="8" t="s">
        <v>133</v>
      </c>
      <c r="F1536" s="8" t="s">
        <v>4710</v>
      </c>
      <c r="G1536" s="8" t="s">
        <v>3250</v>
      </c>
      <c r="H1536" s="8" t="s">
        <v>3789</v>
      </c>
      <c r="I1536" s="8" t="s">
        <v>4748</v>
      </c>
      <c r="J1536" s="8" t="s">
        <v>4553</v>
      </c>
      <c r="K1536" s="8" t="s">
        <v>3183</v>
      </c>
      <c r="L1536" s="10" t="s">
        <v>3462</v>
      </c>
      <c r="M1536" s="10" t="s">
        <v>4749</v>
      </c>
      <c r="N1536" s="10" t="s">
        <v>4750</v>
      </c>
      <c r="O1536" s="8" t="s">
        <v>322</v>
      </c>
      <c r="P1536" s="8"/>
      <c r="Q1536" s="8"/>
      <c r="R1536" s="8">
        <v>8620</v>
      </c>
      <c r="S1536" s="8" t="s">
        <v>332</v>
      </c>
      <c r="T1536" s="8"/>
      <c r="U1536" s="8"/>
      <c r="V1536" s="8"/>
      <c r="W1536" s="8"/>
      <c r="X1536" s="8"/>
      <c r="Y1536" s="8"/>
      <c r="Z1536" s="10" t="s">
        <v>3821</v>
      </c>
      <c r="AA1536" s="8" t="s">
        <v>332</v>
      </c>
      <c r="AB1536" s="8">
        <v>1</v>
      </c>
    </row>
    <row r="1537" spans="1:28" ht="21.6" customHeight="1">
      <c r="A1537" s="8">
        <v>35</v>
      </c>
      <c r="B1537" s="8">
        <v>2026010637</v>
      </c>
      <c r="C1537" s="8">
        <v>1</v>
      </c>
      <c r="D1537" s="8" t="s">
        <v>3177</v>
      </c>
      <c r="E1537" s="8" t="s">
        <v>133</v>
      </c>
      <c r="F1537" s="8" t="s">
        <v>4751</v>
      </c>
      <c r="G1537" s="8" t="s">
        <v>3654</v>
      </c>
      <c r="H1537" s="8" t="s">
        <v>3386</v>
      </c>
      <c r="I1537" s="8" t="s">
        <v>4752</v>
      </c>
      <c r="J1537" s="8" t="s">
        <v>3543</v>
      </c>
      <c r="K1537" s="8" t="s">
        <v>3183</v>
      </c>
      <c r="L1537" s="10" t="s">
        <v>4753</v>
      </c>
      <c r="M1537" s="10" t="s">
        <v>4754</v>
      </c>
      <c r="N1537" s="10"/>
      <c r="O1537" s="8" t="s">
        <v>322</v>
      </c>
      <c r="P1537" s="8"/>
      <c r="Q1537" s="8"/>
      <c r="R1537" s="8">
        <v>226490</v>
      </c>
      <c r="S1537" s="8" t="s">
        <v>332</v>
      </c>
      <c r="T1537" s="8"/>
      <c r="U1537" s="8"/>
      <c r="V1537" s="8"/>
      <c r="W1537" s="8"/>
      <c r="X1537" s="8"/>
      <c r="Y1537" s="8"/>
      <c r="Z1537" s="10" t="s">
        <v>3821</v>
      </c>
      <c r="AA1537" s="8" t="s">
        <v>332</v>
      </c>
      <c r="AB1537" s="8">
        <v>1</v>
      </c>
    </row>
    <row r="1538" spans="1:28" ht="21.6" customHeight="1">
      <c r="A1538" s="8">
        <v>37</v>
      </c>
      <c r="B1538" s="8">
        <v>2026010463</v>
      </c>
      <c r="C1538" s="8">
        <v>1</v>
      </c>
      <c r="D1538" s="8" t="s">
        <v>3177</v>
      </c>
      <c r="E1538" s="8" t="s">
        <v>133</v>
      </c>
      <c r="F1538" s="8" t="s">
        <v>4751</v>
      </c>
      <c r="G1538" s="8" t="s">
        <v>3204</v>
      </c>
      <c r="H1538" s="8" t="s">
        <v>3330</v>
      </c>
      <c r="I1538" s="8" t="s">
        <v>4755</v>
      </c>
      <c r="J1538" s="8" t="s">
        <v>3543</v>
      </c>
      <c r="K1538" s="8" t="s">
        <v>3183</v>
      </c>
      <c r="L1538" s="10" t="s">
        <v>4753</v>
      </c>
      <c r="M1538" s="10" t="s">
        <v>4756</v>
      </c>
      <c r="N1538" s="10" t="s">
        <v>4757</v>
      </c>
      <c r="O1538" s="8" t="s">
        <v>363</v>
      </c>
      <c r="P1538" s="8"/>
      <c r="Q1538" s="8"/>
      <c r="R1538" s="8">
        <v>316103</v>
      </c>
      <c r="S1538" s="8"/>
      <c r="T1538" s="8"/>
      <c r="U1538" s="8"/>
      <c r="V1538" s="8"/>
      <c r="W1538" s="8"/>
      <c r="X1538" s="8"/>
      <c r="Y1538" s="8"/>
      <c r="Z1538" s="10" t="s">
        <v>4758</v>
      </c>
      <c r="AA1538" s="8" t="s">
        <v>332</v>
      </c>
      <c r="AB1538" s="8">
        <v>1</v>
      </c>
    </row>
    <row r="1539" spans="1:28" ht="21.6" customHeight="1">
      <c r="A1539" s="8">
        <v>58</v>
      </c>
      <c r="B1539" s="8">
        <v>2026011228</v>
      </c>
      <c r="C1539" s="8">
        <v>1</v>
      </c>
      <c r="D1539" s="8" t="s">
        <v>3177</v>
      </c>
      <c r="E1539" s="8" t="s">
        <v>123</v>
      </c>
      <c r="F1539" s="8" t="s">
        <v>4695</v>
      </c>
      <c r="G1539" s="8" t="s">
        <v>3280</v>
      </c>
      <c r="H1539" s="8" t="s">
        <v>3363</v>
      </c>
      <c r="I1539" s="8" t="s">
        <v>3382</v>
      </c>
      <c r="J1539" s="8" t="s">
        <v>3224</v>
      </c>
      <c r="K1539" s="8" t="s">
        <v>3183</v>
      </c>
      <c r="L1539" s="10" t="s">
        <v>3383</v>
      </c>
      <c r="M1539" s="10" t="s">
        <v>3384</v>
      </c>
      <c r="N1539" s="10" t="s">
        <v>3385</v>
      </c>
      <c r="O1539" s="8" t="s">
        <v>322</v>
      </c>
      <c r="P1539" s="8">
        <v>7297</v>
      </c>
      <c r="Q1539" s="8">
        <v>15836</v>
      </c>
      <c r="R1539" s="8">
        <v>21833</v>
      </c>
      <c r="S1539" s="8" t="s">
        <v>332</v>
      </c>
      <c r="T1539" s="8"/>
      <c r="U1539" s="8"/>
      <c r="V1539" s="8"/>
      <c r="W1539" s="8"/>
      <c r="X1539" s="8"/>
      <c r="Y1539" s="8"/>
      <c r="Z1539" s="10" t="s">
        <v>3186</v>
      </c>
      <c r="AA1539" s="8" t="s">
        <v>332</v>
      </c>
      <c r="AB1539" s="8">
        <v>1</v>
      </c>
    </row>
    <row r="1540" spans="1:28" ht="21.6" customHeight="1">
      <c r="A1540" s="8">
        <v>60</v>
      </c>
      <c r="B1540" s="8">
        <v>2026010157</v>
      </c>
      <c r="C1540" s="8">
        <v>1</v>
      </c>
      <c r="D1540" s="8" t="s">
        <v>3177</v>
      </c>
      <c r="E1540" s="8" t="s">
        <v>123</v>
      </c>
      <c r="F1540" s="8" t="s">
        <v>4759</v>
      </c>
      <c r="G1540" s="8" t="s">
        <v>3363</v>
      </c>
      <c r="H1540" s="8" t="s">
        <v>3232</v>
      </c>
      <c r="I1540" s="8" t="s">
        <v>4158</v>
      </c>
      <c r="J1540" s="8" t="s">
        <v>3224</v>
      </c>
      <c r="K1540" s="8" t="s">
        <v>3183</v>
      </c>
      <c r="L1540" s="10" t="s">
        <v>3550</v>
      </c>
      <c r="M1540" s="10" t="s">
        <v>4159</v>
      </c>
      <c r="N1540" s="10" t="s">
        <v>3701</v>
      </c>
      <c r="O1540" s="8" t="s">
        <v>363</v>
      </c>
      <c r="P1540" s="8"/>
      <c r="Q1540" s="8">
        <v>1132</v>
      </c>
      <c r="R1540" s="8">
        <v>64599</v>
      </c>
      <c r="S1540" s="8"/>
      <c r="T1540" s="8"/>
      <c r="U1540" s="8"/>
      <c r="V1540" s="8"/>
      <c r="W1540" s="8"/>
      <c r="X1540" s="8"/>
      <c r="Y1540" s="8"/>
      <c r="Z1540" s="10" t="s">
        <v>4760</v>
      </c>
      <c r="AA1540" s="8" t="s">
        <v>332</v>
      </c>
      <c r="AB1540" s="8">
        <v>1</v>
      </c>
    </row>
    <row r="1541" spans="1:28" ht="21.6" customHeight="1">
      <c r="A1541" s="8">
        <v>63</v>
      </c>
      <c r="B1541" s="8">
        <v>2026011289</v>
      </c>
      <c r="C1541" s="8">
        <v>1</v>
      </c>
      <c r="D1541" s="8" t="s">
        <v>3177</v>
      </c>
      <c r="E1541" s="8" t="s">
        <v>123</v>
      </c>
      <c r="F1541" s="8" t="s">
        <v>4695</v>
      </c>
      <c r="G1541" s="8" t="s">
        <v>3501</v>
      </c>
      <c r="H1541" s="8" t="s">
        <v>3691</v>
      </c>
      <c r="I1541" s="8" t="s">
        <v>4158</v>
      </c>
      <c r="J1541" s="8" t="s">
        <v>3224</v>
      </c>
      <c r="K1541" s="8" t="s">
        <v>3183</v>
      </c>
      <c r="L1541" s="10" t="s">
        <v>3550</v>
      </c>
      <c r="M1541" s="10" t="s">
        <v>4159</v>
      </c>
      <c r="N1541" s="10" t="s">
        <v>3701</v>
      </c>
      <c r="O1541" s="8" t="s">
        <v>3190</v>
      </c>
      <c r="P1541" s="8"/>
      <c r="Q1541" s="8">
        <v>1487</v>
      </c>
      <c r="R1541" s="8">
        <v>78136</v>
      </c>
      <c r="S1541" s="8"/>
      <c r="T1541" s="8"/>
      <c r="U1541" s="8"/>
      <c r="V1541" s="8"/>
      <c r="W1541" s="8"/>
      <c r="X1541" s="8"/>
      <c r="Y1541" s="8"/>
      <c r="Z1541" s="10" t="s">
        <v>4761</v>
      </c>
      <c r="AA1541" s="8" t="s">
        <v>332</v>
      </c>
      <c r="AB1541" s="8">
        <v>1</v>
      </c>
    </row>
    <row r="1542" spans="1:28" ht="21.6" customHeight="1">
      <c r="A1542" s="8">
        <v>66</v>
      </c>
      <c r="B1542" s="8">
        <v>2026010098</v>
      </c>
      <c r="C1542" s="8">
        <v>1</v>
      </c>
      <c r="D1542" s="8" t="s">
        <v>3177</v>
      </c>
      <c r="E1542" s="8" t="s">
        <v>123</v>
      </c>
      <c r="F1542" s="8" t="s">
        <v>4702</v>
      </c>
      <c r="G1542" s="8" t="s">
        <v>4762</v>
      </c>
      <c r="H1542" s="8" t="s">
        <v>4629</v>
      </c>
      <c r="I1542" s="8" t="s">
        <v>3269</v>
      </c>
      <c r="J1542" s="8" t="s">
        <v>3253</v>
      </c>
      <c r="K1542" s="8" t="s">
        <v>3183</v>
      </c>
      <c r="L1542" s="10" t="s">
        <v>3270</v>
      </c>
      <c r="M1542" s="10" t="s">
        <v>3271</v>
      </c>
      <c r="N1542" s="10" t="s">
        <v>3272</v>
      </c>
      <c r="O1542" s="8" t="s">
        <v>322</v>
      </c>
      <c r="P1542" s="8"/>
      <c r="Q1542" s="8"/>
      <c r="R1542" s="8">
        <v>26342</v>
      </c>
      <c r="S1542" s="8" t="s">
        <v>332</v>
      </c>
      <c r="T1542" s="8"/>
      <c r="U1542" s="8"/>
      <c r="V1542" s="8"/>
      <c r="W1542" s="8"/>
      <c r="X1542" s="8"/>
      <c r="Y1542" s="8"/>
      <c r="Z1542" s="10" t="s">
        <v>3186</v>
      </c>
      <c r="AA1542" s="8" t="s">
        <v>332</v>
      </c>
      <c r="AB1542" s="8">
        <v>1</v>
      </c>
    </row>
    <row r="1543" spans="1:28" ht="21.6" customHeight="1">
      <c r="A1543" s="8">
        <v>68</v>
      </c>
      <c r="B1543" s="8">
        <v>2026010090</v>
      </c>
      <c r="C1543" s="8">
        <v>1</v>
      </c>
      <c r="D1543" s="8" t="s">
        <v>3177</v>
      </c>
      <c r="E1543" s="8" t="s">
        <v>123</v>
      </c>
      <c r="F1543" s="8" t="s">
        <v>4702</v>
      </c>
      <c r="G1543" s="8" t="s">
        <v>3767</v>
      </c>
      <c r="H1543" s="8" t="s">
        <v>3973</v>
      </c>
      <c r="I1543" s="8" t="s">
        <v>3282</v>
      </c>
      <c r="J1543" s="8" t="s">
        <v>3277</v>
      </c>
      <c r="K1543" s="8" t="s">
        <v>3183</v>
      </c>
      <c r="L1543" s="10" t="s">
        <v>3283</v>
      </c>
      <c r="M1543" s="10" t="s">
        <v>3284</v>
      </c>
      <c r="N1543" s="10"/>
      <c r="O1543" s="8" t="s">
        <v>3190</v>
      </c>
      <c r="P1543" s="8"/>
      <c r="Q1543" s="8"/>
      <c r="R1543" s="8">
        <v>31400</v>
      </c>
      <c r="S1543" s="8"/>
      <c r="T1543" s="8"/>
      <c r="U1543" s="8"/>
      <c r="V1543" s="8"/>
      <c r="W1543" s="8"/>
      <c r="X1543" s="8"/>
      <c r="Y1543" s="8"/>
      <c r="Z1543" s="10" t="s">
        <v>3190</v>
      </c>
      <c r="AA1543" s="8" t="s">
        <v>332</v>
      </c>
      <c r="AB1543" s="8">
        <v>1</v>
      </c>
    </row>
    <row r="1544" spans="1:28" ht="21.6" customHeight="1">
      <c r="A1544" s="8">
        <v>71</v>
      </c>
      <c r="B1544" s="8">
        <v>2026010094</v>
      </c>
      <c r="C1544" s="8">
        <v>1</v>
      </c>
      <c r="D1544" s="8" t="s">
        <v>3177</v>
      </c>
      <c r="E1544" s="8" t="s">
        <v>123</v>
      </c>
      <c r="F1544" s="8" t="s">
        <v>4702</v>
      </c>
      <c r="G1544" s="8" t="s">
        <v>3268</v>
      </c>
      <c r="H1544" s="8" t="s">
        <v>4133</v>
      </c>
      <c r="I1544" s="8" t="s">
        <v>3293</v>
      </c>
      <c r="J1544" s="8" t="s">
        <v>3288</v>
      </c>
      <c r="K1544" s="8" t="s">
        <v>3183</v>
      </c>
      <c r="L1544" s="10" t="s">
        <v>3294</v>
      </c>
      <c r="M1544" s="10" t="s">
        <v>3295</v>
      </c>
      <c r="N1544" s="10" t="s">
        <v>3272</v>
      </c>
      <c r="O1544" s="8" t="s">
        <v>322</v>
      </c>
      <c r="P1544" s="8"/>
      <c r="Q1544" s="8">
        <v>2542</v>
      </c>
      <c r="R1544" s="8">
        <v>329348</v>
      </c>
      <c r="S1544" s="8" t="s">
        <v>332</v>
      </c>
      <c r="T1544" s="8"/>
      <c r="U1544" s="8"/>
      <c r="V1544" s="8"/>
      <c r="W1544" s="8"/>
      <c r="X1544" s="8"/>
      <c r="Y1544" s="8"/>
      <c r="Z1544" s="10" t="s">
        <v>3186</v>
      </c>
      <c r="AA1544" s="8" t="s">
        <v>332</v>
      </c>
      <c r="AB1544" s="8">
        <v>1</v>
      </c>
    </row>
    <row r="1545" spans="1:28" ht="21.6" customHeight="1">
      <c r="A1545" s="8">
        <v>107</v>
      </c>
      <c r="B1545" s="8">
        <v>2026011195</v>
      </c>
      <c r="C1545" s="8">
        <v>1</v>
      </c>
      <c r="D1545" s="8" t="s">
        <v>3177</v>
      </c>
      <c r="E1545" s="8" t="s">
        <v>118</v>
      </c>
      <c r="F1545" s="8" t="s">
        <v>4695</v>
      </c>
      <c r="G1545" s="8" t="s">
        <v>3280</v>
      </c>
      <c r="H1545" s="8" t="s">
        <v>3363</v>
      </c>
      <c r="I1545" s="8" t="s">
        <v>3365</v>
      </c>
      <c r="J1545" s="8" t="s">
        <v>3195</v>
      </c>
      <c r="K1545" s="8" t="s">
        <v>3183</v>
      </c>
      <c r="L1545" s="10" t="s">
        <v>3366</v>
      </c>
      <c r="M1545" s="10" t="s">
        <v>3367</v>
      </c>
      <c r="N1545" s="10"/>
      <c r="O1545" s="8" t="s">
        <v>322</v>
      </c>
      <c r="P1545" s="8"/>
      <c r="Q1545" s="8">
        <v>2250</v>
      </c>
      <c r="R1545" s="8">
        <v>45000</v>
      </c>
      <c r="S1545" s="8"/>
      <c r="T1545" s="8"/>
      <c r="U1545" s="8"/>
      <c r="V1545" s="8"/>
      <c r="W1545" s="8" t="s">
        <v>332</v>
      </c>
      <c r="X1545" s="8"/>
      <c r="Y1545" s="8"/>
      <c r="Z1545" s="10" t="s">
        <v>4763</v>
      </c>
      <c r="AA1545" s="8" t="s">
        <v>332</v>
      </c>
      <c r="AB1545" s="8">
        <v>1</v>
      </c>
    </row>
    <row r="1546" spans="1:28" ht="21.6" customHeight="1">
      <c r="A1546" s="8">
        <v>108</v>
      </c>
      <c r="B1546" s="8">
        <v>2026010772</v>
      </c>
      <c r="C1546" s="8">
        <v>1</v>
      </c>
      <c r="D1546" s="8" t="s">
        <v>3177</v>
      </c>
      <c r="E1546" s="8" t="s">
        <v>118</v>
      </c>
      <c r="F1546" s="8" t="s">
        <v>4751</v>
      </c>
      <c r="G1546" s="8" t="s">
        <v>3386</v>
      </c>
      <c r="H1546" s="8" t="s">
        <v>3387</v>
      </c>
      <c r="I1546" s="8" t="s">
        <v>3683</v>
      </c>
      <c r="J1546" s="8" t="s">
        <v>3224</v>
      </c>
      <c r="K1546" s="8" t="s">
        <v>3183</v>
      </c>
      <c r="L1546" s="10" t="s">
        <v>3383</v>
      </c>
      <c r="M1546" s="10" t="s">
        <v>3684</v>
      </c>
      <c r="N1546" s="10" t="s">
        <v>3685</v>
      </c>
      <c r="O1546" s="8" t="s">
        <v>322</v>
      </c>
      <c r="P1546" s="8">
        <v>1948</v>
      </c>
      <c r="Q1546" s="8">
        <v>2881</v>
      </c>
      <c r="R1546" s="8">
        <v>9303</v>
      </c>
      <c r="S1546" s="8" t="s">
        <v>332</v>
      </c>
      <c r="T1546" s="8"/>
      <c r="U1546" s="8"/>
      <c r="V1546" s="8"/>
      <c r="W1546" s="8"/>
      <c r="X1546" s="8"/>
      <c r="Y1546" s="8"/>
      <c r="Z1546" s="10" t="s">
        <v>111</v>
      </c>
      <c r="AA1546" s="8" t="s">
        <v>332</v>
      </c>
      <c r="AB1546" s="8">
        <v>1</v>
      </c>
    </row>
    <row r="1547" spans="1:28" ht="21.6" customHeight="1">
      <c r="A1547" s="8">
        <v>110</v>
      </c>
      <c r="B1547" s="8">
        <v>2026010856</v>
      </c>
      <c r="C1547" s="8">
        <v>1</v>
      </c>
      <c r="D1547" s="8" t="s">
        <v>3177</v>
      </c>
      <c r="E1547" s="8" t="s">
        <v>118</v>
      </c>
      <c r="F1547" s="8" t="s">
        <v>4710</v>
      </c>
      <c r="G1547" s="8" t="s">
        <v>3280</v>
      </c>
      <c r="H1547" s="8" t="s">
        <v>3363</v>
      </c>
      <c r="I1547" s="8" t="s">
        <v>3689</v>
      </c>
      <c r="J1547" s="8" t="s">
        <v>3224</v>
      </c>
      <c r="K1547" s="8" t="s">
        <v>3183</v>
      </c>
      <c r="L1547" s="10" t="s">
        <v>3344</v>
      </c>
      <c r="M1547" s="10" t="s">
        <v>3345</v>
      </c>
      <c r="N1547" s="10" t="s">
        <v>3497</v>
      </c>
      <c r="O1547" s="8" t="s">
        <v>322</v>
      </c>
      <c r="P1547" s="8"/>
      <c r="Q1547" s="8">
        <v>1200</v>
      </c>
      <c r="R1547" s="8">
        <v>18000</v>
      </c>
      <c r="S1547" s="8" t="s">
        <v>332</v>
      </c>
      <c r="T1547" s="8"/>
      <c r="U1547" s="8"/>
      <c r="V1547" s="8"/>
      <c r="W1547" s="8"/>
      <c r="X1547" s="8"/>
      <c r="Y1547" s="8"/>
      <c r="Z1547" s="10" t="s">
        <v>3696</v>
      </c>
      <c r="AA1547" s="8" t="s">
        <v>332</v>
      </c>
      <c r="AB1547" s="8">
        <v>1</v>
      </c>
    </row>
    <row r="1548" spans="1:28" ht="21.6" customHeight="1">
      <c r="A1548" s="8">
        <v>112</v>
      </c>
      <c r="B1548" s="8">
        <v>2026010774</v>
      </c>
      <c r="C1548" s="8">
        <v>1</v>
      </c>
      <c r="D1548" s="8" t="s">
        <v>3177</v>
      </c>
      <c r="E1548" s="8" t="s">
        <v>118</v>
      </c>
      <c r="F1548" s="8" t="s">
        <v>4751</v>
      </c>
      <c r="G1548" s="8" t="s">
        <v>3387</v>
      </c>
      <c r="H1548" s="8" t="s">
        <v>3426</v>
      </c>
      <c r="I1548" s="8" t="s">
        <v>3940</v>
      </c>
      <c r="J1548" s="8" t="s">
        <v>3224</v>
      </c>
      <c r="K1548" s="8" t="s">
        <v>3183</v>
      </c>
      <c r="L1548" s="10" t="s">
        <v>3383</v>
      </c>
      <c r="M1548" s="10" t="s">
        <v>3941</v>
      </c>
      <c r="N1548" s="10" t="s">
        <v>3942</v>
      </c>
      <c r="O1548" s="8" t="s">
        <v>322</v>
      </c>
      <c r="P1548" s="8">
        <v>181</v>
      </c>
      <c r="Q1548" s="8">
        <v>1050</v>
      </c>
      <c r="R1548" s="8">
        <v>4854</v>
      </c>
      <c r="S1548" s="8" t="s">
        <v>332</v>
      </c>
      <c r="T1548" s="8"/>
      <c r="U1548" s="8"/>
      <c r="V1548" s="8"/>
      <c r="W1548" s="8"/>
      <c r="X1548" s="8"/>
      <c r="Y1548" s="8"/>
      <c r="Z1548" s="10" t="s">
        <v>3696</v>
      </c>
      <c r="AA1548" s="8" t="s">
        <v>332</v>
      </c>
      <c r="AB1548" s="8">
        <v>1</v>
      </c>
    </row>
    <row r="1549" spans="1:28" ht="21.6" customHeight="1">
      <c r="A1549" s="8">
        <v>114</v>
      </c>
      <c r="B1549" s="8">
        <v>2026010128</v>
      </c>
      <c r="C1549" s="8">
        <v>1</v>
      </c>
      <c r="D1549" s="8" t="s">
        <v>3177</v>
      </c>
      <c r="E1549" s="8" t="s">
        <v>118</v>
      </c>
      <c r="F1549" s="8" t="s">
        <v>4702</v>
      </c>
      <c r="G1549" s="8" t="s">
        <v>3357</v>
      </c>
      <c r="H1549" s="8" t="s">
        <v>3342</v>
      </c>
      <c r="I1549" s="8" t="s">
        <v>4403</v>
      </c>
      <c r="J1549" s="8" t="s">
        <v>3224</v>
      </c>
      <c r="K1549" s="8" t="s">
        <v>3183</v>
      </c>
      <c r="L1549" s="10" t="s">
        <v>4404</v>
      </c>
      <c r="M1549" s="10" t="s">
        <v>4424</v>
      </c>
      <c r="N1549" s="10" t="s">
        <v>3497</v>
      </c>
      <c r="O1549" s="8" t="s">
        <v>3190</v>
      </c>
      <c r="P1549" s="8"/>
      <c r="Q1549" s="8">
        <v>195</v>
      </c>
      <c r="R1549" s="8">
        <v>1744</v>
      </c>
      <c r="S1549" s="8"/>
      <c r="T1549" s="8"/>
      <c r="U1549" s="8"/>
      <c r="V1549" s="8"/>
      <c r="W1549" s="8"/>
      <c r="X1549" s="8"/>
      <c r="Y1549" s="8"/>
      <c r="Z1549" s="10" t="s">
        <v>3696</v>
      </c>
      <c r="AA1549" s="8" t="s">
        <v>332</v>
      </c>
      <c r="AB1549" s="8">
        <v>1</v>
      </c>
    </row>
    <row r="1550" spans="1:28" ht="21.6" customHeight="1">
      <c r="A1550" s="8">
        <v>118</v>
      </c>
      <c r="B1550" s="8">
        <v>2026011025</v>
      </c>
      <c r="C1550" s="8">
        <v>1</v>
      </c>
      <c r="D1550" s="8" t="s">
        <v>3177</v>
      </c>
      <c r="E1550" s="8" t="s">
        <v>118</v>
      </c>
      <c r="F1550" s="8" t="s">
        <v>4710</v>
      </c>
      <c r="G1550" s="8" t="s">
        <v>3368</v>
      </c>
      <c r="H1550" s="8" t="s">
        <v>3250</v>
      </c>
      <c r="I1550" s="8" t="s">
        <v>3433</v>
      </c>
      <c r="J1550" s="8" t="s">
        <v>3277</v>
      </c>
      <c r="K1550" s="8" t="s">
        <v>3183</v>
      </c>
      <c r="L1550" s="10" t="s">
        <v>3434</v>
      </c>
      <c r="M1550" s="10" t="s">
        <v>3435</v>
      </c>
      <c r="N1550" s="10" t="s">
        <v>3436</v>
      </c>
      <c r="O1550" s="8" t="s">
        <v>322</v>
      </c>
      <c r="P1550" s="8"/>
      <c r="Q1550" s="8"/>
      <c r="R1550" s="8">
        <v>170600</v>
      </c>
      <c r="S1550" s="8" t="s">
        <v>332</v>
      </c>
      <c r="T1550" s="8"/>
      <c r="U1550" s="8"/>
      <c r="V1550" s="8"/>
      <c r="W1550" s="8"/>
      <c r="X1550" s="8"/>
      <c r="Y1550" s="8"/>
      <c r="Z1550" s="10" t="s">
        <v>3696</v>
      </c>
      <c r="AA1550" s="8" t="s">
        <v>332</v>
      </c>
      <c r="AB1550" s="8">
        <v>1</v>
      </c>
    </row>
    <row r="1551" spans="1:28" ht="21.6" customHeight="1">
      <c r="A1551" s="8">
        <v>120</v>
      </c>
      <c r="B1551" s="8">
        <v>2026011030</v>
      </c>
      <c r="C1551" s="8">
        <v>1</v>
      </c>
      <c r="D1551" s="8" t="s">
        <v>3177</v>
      </c>
      <c r="E1551" s="8" t="s">
        <v>118</v>
      </c>
      <c r="F1551" s="8" t="s">
        <v>4710</v>
      </c>
      <c r="G1551" s="8" t="s">
        <v>3204</v>
      </c>
      <c r="H1551" s="8" t="s">
        <v>3387</v>
      </c>
      <c r="I1551" s="8" t="s">
        <v>3433</v>
      </c>
      <c r="J1551" s="8" t="s">
        <v>3277</v>
      </c>
      <c r="K1551" s="8" t="s">
        <v>3183</v>
      </c>
      <c r="L1551" s="10" t="s">
        <v>3434</v>
      </c>
      <c r="M1551" s="10" t="s">
        <v>3435</v>
      </c>
      <c r="N1551" s="10" t="s">
        <v>3436</v>
      </c>
      <c r="O1551" s="8" t="s">
        <v>363</v>
      </c>
      <c r="P1551" s="8"/>
      <c r="Q1551" s="8"/>
      <c r="R1551" s="8">
        <v>171949</v>
      </c>
      <c r="S1551" s="8"/>
      <c r="T1551" s="8"/>
      <c r="U1551" s="8"/>
      <c r="V1551" s="8"/>
      <c r="W1551" s="8"/>
      <c r="X1551" s="8"/>
      <c r="Y1551" s="8"/>
      <c r="Z1551" s="10" t="s">
        <v>4764</v>
      </c>
      <c r="AA1551" s="8" t="s">
        <v>332</v>
      </c>
      <c r="AB1551" s="8">
        <v>1</v>
      </c>
    </row>
    <row r="1552" spans="1:28" ht="21.6" customHeight="1">
      <c r="A1552" s="8">
        <v>121</v>
      </c>
      <c r="B1552" s="8">
        <v>2026011028</v>
      </c>
      <c r="C1552" s="8">
        <v>1</v>
      </c>
      <c r="D1552" s="8" t="s">
        <v>3177</v>
      </c>
      <c r="E1552" s="8" t="s">
        <v>118</v>
      </c>
      <c r="F1552" s="8" t="s">
        <v>4710</v>
      </c>
      <c r="G1552" s="8" t="s">
        <v>3250</v>
      </c>
      <c r="H1552" s="8" t="s">
        <v>3204</v>
      </c>
      <c r="I1552" s="8" t="s">
        <v>3440</v>
      </c>
      <c r="J1552" s="8" t="s">
        <v>3277</v>
      </c>
      <c r="K1552" s="8" t="s">
        <v>3183</v>
      </c>
      <c r="L1552" s="10" t="s">
        <v>3434</v>
      </c>
      <c r="M1552" s="10" t="s">
        <v>3441</v>
      </c>
      <c r="N1552" s="10" t="s">
        <v>3442</v>
      </c>
      <c r="O1552" s="8" t="s">
        <v>322</v>
      </c>
      <c r="P1552" s="8"/>
      <c r="Q1552" s="8"/>
      <c r="R1552" s="8">
        <v>159192</v>
      </c>
      <c r="S1552" s="8" t="s">
        <v>332</v>
      </c>
      <c r="T1552" s="8"/>
      <c r="U1552" s="8"/>
      <c r="V1552" s="8"/>
      <c r="W1552" s="8"/>
      <c r="X1552" s="8"/>
      <c r="Y1552" s="8"/>
      <c r="Z1552" s="10" t="s">
        <v>3696</v>
      </c>
      <c r="AA1552" s="8" t="s">
        <v>332</v>
      </c>
      <c r="AB1552" s="8">
        <v>1</v>
      </c>
    </row>
    <row r="1553" spans="1:28" ht="21.6" customHeight="1">
      <c r="A1553" s="8">
        <v>123</v>
      </c>
      <c r="B1553" s="8">
        <v>2026010854</v>
      </c>
      <c r="C1553" s="8">
        <v>1</v>
      </c>
      <c r="D1553" s="8" t="s">
        <v>3177</v>
      </c>
      <c r="E1553" s="8" t="s">
        <v>118</v>
      </c>
      <c r="F1553" s="8" t="s">
        <v>4710</v>
      </c>
      <c r="G1553" s="8" t="s">
        <v>3350</v>
      </c>
      <c r="H1553" s="8" t="s">
        <v>3280</v>
      </c>
      <c r="I1553" s="8" t="s">
        <v>3447</v>
      </c>
      <c r="J1553" s="8" t="s">
        <v>3277</v>
      </c>
      <c r="K1553" s="8" t="s">
        <v>3183</v>
      </c>
      <c r="L1553" s="10" t="s">
        <v>3448</v>
      </c>
      <c r="M1553" s="10" t="s">
        <v>3449</v>
      </c>
      <c r="N1553" s="10"/>
      <c r="O1553" s="8" t="s">
        <v>322</v>
      </c>
      <c r="P1553" s="8"/>
      <c r="Q1553" s="8"/>
      <c r="R1553" s="8">
        <v>56000</v>
      </c>
      <c r="S1553" s="8" t="s">
        <v>332</v>
      </c>
      <c r="T1553" s="8"/>
      <c r="U1553" s="8"/>
      <c r="V1553" s="8"/>
      <c r="W1553" s="8"/>
      <c r="X1553" s="8"/>
      <c r="Y1553" s="8"/>
      <c r="Z1553" s="10" t="s">
        <v>3696</v>
      </c>
      <c r="AA1553" s="8" t="s">
        <v>332</v>
      </c>
      <c r="AB1553" s="8">
        <v>1</v>
      </c>
    </row>
    <row r="1554" spans="1:28" ht="21.6" customHeight="1">
      <c r="A1554" s="8">
        <v>125</v>
      </c>
      <c r="B1554" s="8">
        <v>2026011260</v>
      </c>
      <c r="C1554" s="8">
        <v>1</v>
      </c>
      <c r="D1554" s="8" t="s">
        <v>3177</v>
      </c>
      <c r="E1554" s="8" t="s">
        <v>118</v>
      </c>
      <c r="F1554" s="8" t="s">
        <v>4695</v>
      </c>
      <c r="G1554" s="8" t="s">
        <v>3342</v>
      </c>
      <c r="H1554" s="8" t="s">
        <v>3368</v>
      </c>
      <c r="I1554" s="8" t="s">
        <v>4328</v>
      </c>
      <c r="J1554" s="8" t="s">
        <v>3288</v>
      </c>
      <c r="K1554" s="8" t="s">
        <v>3183</v>
      </c>
      <c r="L1554" s="10" t="s">
        <v>3254</v>
      </c>
      <c r="M1554" s="10" t="s">
        <v>4329</v>
      </c>
      <c r="N1554" s="10" t="s">
        <v>4330</v>
      </c>
      <c r="O1554" s="8" t="s">
        <v>363</v>
      </c>
      <c r="P1554" s="8"/>
      <c r="Q1554" s="8">
        <v>933</v>
      </c>
      <c r="R1554" s="8">
        <v>705</v>
      </c>
      <c r="S1554" s="8"/>
      <c r="T1554" s="8"/>
      <c r="U1554" s="8"/>
      <c r="V1554" s="8"/>
      <c r="W1554" s="8"/>
      <c r="X1554" s="8"/>
      <c r="Y1554" s="8"/>
      <c r="Z1554" s="10" t="s">
        <v>4765</v>
      </c>
      <c r="AA1554" s="8" t="s">
        <v>332</v>
      </c>
      <c r="AB1554" s="8">
        <v>1</v>
      </c>
    </row>
    <row r="1555" spans="1:28" ht="21.6" customHeight="1">
      <c r="A1555" s="8">
        <v>128</v>
      </c>
      <c r="B1555" s="8">
        <v>2026010777</v>
      </c>
      <c r="C1555" s="8">
        <v>1</v>
      </c>
      <c r="D1555" s="8" t="s">
        <v>3177</v>
      </c>
      <c r="E1555" s="8" t="s">
        <v>118</v>
      </c>
      <c r="F1555" s="8" t="s">
        <v>4751</v>
      </c>
      <c r="G1555" s="8" t="s">
        <v>3426</v>
      </c>
      <c r="H1555" s="8" t="s">
        <v>3431</v>
      </c>
      <c r="I1555" s="8" t="s">
        <v>3536</v>
      </c>
      <c r="J1555" s="8" t="s">
        <v>3298</v>
      </c>
      <c r="K1555" s="8" t="s">
        <v>3183</v>
      </c>
      <c r="L1555" s="10" t="s">
        <v>3537</v>
      </c>
      <c r="M1555" s="10" t="s">
        <v>3538</v>
      </c>
      <c r="N1555" s="10"/>
      <c r="O1555" s="8" t="s">
        <v>322</v>
      </c>
      <c r="P1555" s="8"/>
      <c r="Q1555" s="8"/>
      <c r="R1555" s="8">
        <v>149988</v>
      </c>
      <c r="S1555" s="8" t="s">
        <v>332</v>
      </c>
      <c r="T1555" s="8"/>
      <c r="U1555" s="8"/>
      <c r="V1555" s="8"/>
      <c r="W1555" s="8"/>
      <c r="X1555" s="8"/>
      <c r="Y1555" s="8"/>
      <c r="Z1555" s="10" t="s">
        <v>3696</v>
      </c>
      <c r="AA1555" s="8" t="s">
        <v>332</v>
      </c>
      <c r="AB1555" s="8">
        <v>1</v>
      </c>
    </row>
    <row r="1556" spans="1:28" ht="21.6" customHeight="1">
      <c r="A1556" s="8">
        <v>136</v>
      </c>
      <c r="B1556" s="8">
        <v>2026010134</v>
      </c>
      <c r="C1556" s="8">
        <v>1</v>
      </c>
      <c r="D1556" s="8" t="s">
        <v>3177</v>
      </c>
      <c r="E1556" s="8" t="s">
        <v>118</v>
      </c>
      <c r="F1556" s="8" t="s">
        <v>4702</v>
      </c>
      <c r="G1556" s="8" t="s">
        <v>3250</v>
      </c>
      <c r="H1556" s="8" t="s">
        <v>3204</v>
      </c>
      <c r="I1556" s="8" t="s">
        <v>4568</v>
      </c>
      <c r="J1556" s="8" t="s">
        <v>4553</v>
      </c>
      <c r="K1556" s="8" t="s">
        <v>3183</v>
      </c>
      <c r="L1556" s="10" t="s">
        <v>3462</v>
      </c>
      <c r="M1556" s="10" t="s">
        <v>3531</v>
      </c>
      <c r="N1556" s="10" t="s">
        <v>3532</v>
      </c>
      <c r="O1556" s="8" t="s">
        <v>3190</v>
      </c>
      <c r="P1556" s="8"/>
      <c r="Q1556" s="8"/>
      <c r="R1556" s="8">
        <v>34540</v>
      </c>
      <c r="S1556" s="8"/>
      <c r="T1556" s="8"/>
      <c r="U1556" s="8"/>
      <c r="V1556" s="8"/>
      <c r="W1556" s="8"/>
      <c r="X1556" s="8"/>
      <c r="Y1556" s="8"/>
      <c r="Z1556" s="10" t="s">
        <v>3696</v>
      </c>
      <c r="AA1556" s="8" t="s">
        <v>332</v>
      </c>
      <c r="AB1556" s="8">
        <v>1</v>
      </c>
    </row>
    <row r="1557" spans="1:28" ht="21.6" customHeight="1">
      <c r="A1557" s="8">
        <v>140</v>
      </c>
      <c r="B1557" s="8">
        <v>2026010779</v>
      </c>
      <c r="C1557" s="8">
        <v>1</v>
      </c>
      <c r="D1557" s="8" t="s">
        <v>3177</v>
      </c>
      <c r="E1557" s="8" t="s">
        <v>118</v>
      </c>
      <c r="F1557" s="8" t="s">
        <v>4695</v>
      </c>
      <c r="G1557" s="8" t="s">
        <v>3363</v>
      </c>
      <c r="H1557" s="8" t="s">
        <v>3232</v>
      </c>
      <c r="I1557" s="8" t="s">
        <v>4583</v>
      </c>
      <c r="J1557" s="8" t="s">
        <v>4553</v>
      </c>
      <c r="K1557" s="8" t="s">
        <v>3183</v>
      </c>
      <c r="L1557" s="10" t="s">
        <v>3462</v>
      </c>
      <c r="M1557" s="10" t="s">
        <v>3463</v>
      </c>
      <c r="N1557" s="10" t="s">
        <v>3464</v>
      </c>
      <c r="O1557" s="8" t="s">
        <v>363</v>
      </c>
      <c r="P1557" s="8"/>
      <c r="Q1557" s="8"/>
      <c r="R1557" s="8">
        <v>81942</v>
      </c>
      <c r="S1557" s="8"/>
      <c r="T1557" s="8"/>
      <c r="U1557" s="8"/>
      <c r="V1557" s="8"/>
      <c r="W1557" s="8"/>
      <c r="X1557" s="8"/>
      <c r="Y1557" s="8"/>
      <c r="Z1557" s="10" t="s">
        <v>4766</v>
      </c>
      <c r="AA1557" s="8" t="s">
        <v>332</v>
      </c>
      <c r="AB1557" s="8">
        <v>1</v>
      </c>
    </row>
    <row r="1558" spans="1:28" ht="21.6" customHeight="1">
      <c r="A1558" s="8">
        <v>149</v>
      </c>
      <c r="B1558" s="8">
        <v>2026010622</v>
      </c>
      <c r="C1558" s="8">
        <v>1</v>
      </c>
      <c r="D1558" s="8" t="s">
        <v>3177</v>
      </c>
      <c r="E1558" s="8" t="s">
        <v>118</v>
      </c>
      <c r="F1558" s="8" t="s">
        <v>4751</v>
      </c>
      <c r="G1558" s="8" t="s">
        <v>3250</v>
      </c>
      <c r="H1558" s="8" t="s">
        <v>3427</v>
      </c>
      <c r="I1558" s="8" t="s">
        <v>3562</v>
      </c>
      <c r="J1558" s="8" t="s">
        <v>1717</v>
      </c>
      <c r="K1558" s="8" t="s">
        <v>3183</v>
      </c>
      <c r="L1558" s="10" t="s">
        <v>3563</v>
      </c>
      <c r="M1558" s="10" t="s">
        <v>3564</v>
      </c>
      <c r="N1558" s="10" t="s">
        <v>3565</v>
      </c>
      <c r="O1558" s="8" t="s">
        <v>363</v>
      </c>
      <c r="P1558" s="8"/>
      <c r="Q1558" s="8"/>
      <c r="R1558" s="8">
        <v>129281</v>
      </c>
      <c r="S1558" s="8"/>
      <c r="T1558" s="8"/>
      <c r="U1558" s="8"/>
      <c r="V1558" s="8"/>
      <c r="W1558" s="8"/>
      <c r="X1558" s="8"/>
      <c r="Y1558" s="8"/>
      <c r="Z1558" s="10" t="s">
        <v>4767</v>
      </c>
      <c r="AA1558" s="8" t="s">
        <v>332</v>
      </c>
      <c r="AB1558" s="8">
        <v>1</v>
      </c>
    </row>
    <row r="1559" spans="1:28" ht="21.6" customHeight="1">
      <c r="A1559" s="8">
        <v>150</v>
      </c>
      <c r="B1559" s="8">
        <v>2026011102</v>
      </c>
      <c r="C1559" s="8">
        <v>1</v>
      </c>
      <c r="D1559" s="8" t="s">
        <v>3177</v>
      </c>
      <c r="E1559" s="8" t="s">
        <v>118</v>
      </c>
      <c r="F1559" s="8" t="s">
        <v>4710</v>
      </c>
      <c r="G1559" s="8" t="s">
        <v>3387</v>
      </c>
      <c r="H1559" s="8" t="s">
        <v>3426</v>
      </c>
      <c r="I1559" s="8" t="s">
        <v>3562</v>
      </c>
      <c r="J1559" s="8" t="s">
        <v>1717</v>
      </c>
      <c r="K1559" s="8" t="s">
        <v>3183</v>
      </c>
      <c r="L1559" s="10" t="s">
        <v>3563</v>
      </c>
      <c r="M1559" s="10" t="s">
        <v>3564</v>
      </c>
      <c r="N1559" s="10" t="s">
        <v>3565</v>
      </c>
      <c r="O1559" s="8" t="s">
        <v>322</v>
      </c>
      <c r="P1559" s="8"/>
      <c r="Q1559" s="8"/>
      <c r="R1559" s="8">
        <v>126562</v>
      </c>
      <c r="S1559" s="8"/>
      <c r="T1559" s="8"/>
      <c r="U1559" s="8"/>
      <c r="V1559" s="8"/>
      <c r="W1559" s="8"/>
      <c r="X1559" s="8"/>
      <c r="Y1559" s="8" t="s">
        <v>332</v>
      </c>
      <c r="Z1559" s="10" t="s">
        <v>3830</v>
      </c>
      <c r="AA1559" s="8" t="s">
        <v>332</v>
      </c>
      <c r="AB1559" s="8">
        <v>1</v>
      </c>
    </row>
    <row r="1560" spans="1:28" ht="21.6" customHeight="1">
      <c r="A1560" s="8">
        <v>151</v>
      </c>
      <c r="B1560" s="8">
        <v>2026011259</v>
      </c>
      <c r="C1560" s="8">
        <v>1</v>
      </c>
      <c r="D1560" s="8" t="s">
        <v>3177</v>
      </c>
      <c r="E1560" s="8" t="s">
        <v>118</v>
      </c>
      <c r="F1560" s="8" t="s">
        <v>4695</v>
      </c>
      <c r="G1560" s="8" t="s">
        <v>3233</v>
      </c>
      <c r="H1560" s="8" t="s">
        <v>3357</v>
      </c>
      <c r="I1560" s="8" t="s">
        <v>4607</v>
      </c>
      <c r="J1560" s="8" t="s">
        <v>1717</v>
      </c>
      <c r="K1560" s="8" t="s">
        <v>3183</v>
      </c>
      <c r="L1560" s="10" t="s">
        <v>3254</v>
      </c>
      <c r="M1560" s="10" t="s">
        <v>3547</v>
      </c>
      <c r="N1560" s="10" t="s">
        <v>3753</v>
      </c>
      <c r="O1560" s="8" t="s">
        <v>363</v>
      </c>
      <c r="P1560" s="8"/>
      <c r="Q1560" s="8"/>
      <c r="R1560" s="8">
        <v>15744</v>
      </c>
      <c r="S1560" s="8"/>
      <c r="T1560" s="8"/>
      <c r="U1560" s="8"/>
      <c r="V1560" s="8"/>
      <c r="W1560" s="8"/>
      <c r="X1560" s="8"/>
      <c r="Y1560" s="8"/>
      <c r="Z1560" s="10" t="s">
        <v>4768</v>
      </c>
      <c r="AA1560" s="8" t="s">
        <v>332</v>
      </c>
      <c r="AB1560" s="8">
        <v>1</v>
      </c>
    </row>
    <row r="1561" spans="1:28" ht="21.6" customHeight="1">
      <c r="A1561" s="8">
        <v>174</v>
      </c>
      <c r="B1561" s="8">
        <v>2026010935</v>
      </c>
      <c r="C1561" s="8">
        <v>1</v>
      </c>
      <c r="D1561" s="8" t="s">
        <v>3177</v>
      </c>
      <c r="E1561" s="8" t="s">
        <v>134</v>
      </c>
      <c r="F1561" s="8" t="s">
        <v>4751</v>
      </c>
      <c r="G1561" s="8" t="s">
        <v>3368</v>
      </c>
      <c r="H1561" s="8" t="s">
        <v>3387</v>
      </c>
      <c r="I1561" s="8" t="s">
        <v>3596</v>
      </c>
      <c r="J1561" s="8" t="s">
        <v>3597</v>
      </c>
      <c r="K1561" s="8" t="s">
        <v>3579</v>
      </c>
      <c r="L1561" s="10" t="s">
        <v>3598</v>
      </c>
      <c r="M1561" s="10" t="s">
        <v>3599</v>
      </c>
      <c r="N1561" s="10" t="s">
        <v>3881</v>
      </c>
      <c r="O1561" s="8" t="s">
        <v>363</v>
      </c>
      <c r="P1561" s="8"/>
      <c r="Q1561" s="8"/>
      <c r="R1561" s="8">
        <v>0</v>
      </c>
      <c r="S1561" s="8"/>
      <c r="T1561" s="8"/>
      <c r="U1561" s="8"/>
      <c r="V1561" s="8"/>
      <c r="W1561" s="8"/>
      <c r="X1561" s="8"/>
      <c r="Y1561" s="8"/>
      <c r="Z1561" s="10" t="s">
        <v>4769</v>
      </c>
      <c r="AA1561" s="8" t="s">
        <v>332</v>
      </c>
      <c r="AB1561" s="8">
        <v>1</v>
      </c>
    </row>
    <row r="1562" spans="1:28" ht="21.6" customHeight="1">
      <c r="A1562" s="8">
        <v>175</v>
      </c>
      <c r="B1562" s="8">
        <v>2026010934</v>
      </c>
      <c r="C1562" s="8">
        <v>1</v>
      </c>
      <c r="D1562" s="8" t="s">
        <v>3177</v>
      </c>
      <c r="E1562" s="8" t="s">
        <v>134</v>
      </c>
      <c r="F1562" s="8" t="s">
        <v>4751</v>
      </c>
      <c r="G1562" s="8" t="s">
        <v>3653</v>
      </c>
      <c r="H1562" s="8" t="s">
        <v>3619</v>
      </c>
      <c r="I1562" s="8" t="s">
        <v>4770</v>
      </c>
      <c r="J1562" s="8" t="s">
        <v>3597</v>
      </c>
      <c r="K1562" s="8" t="s">
        <v>3579</v>
      </c>
      <c r="L1562" s="10" t="s">
        <v>3598</v>
      </c>
      <c r="M1562" s="10" t="s">
        <v>3599</v>
      </c>
      <c r="N1562" s="10" t="s">
        <v>3881</v>
      </c>
      <c r="O1562" s="8" t="s">
        <v>363</v>
      </c>
      <c r="P1562" s="8"/>
      <c r="Q1562" s="8"/>
      <c r="R1562" s="8">
        <v>0</v>
      </c>
      <c r="S1562" s="8"/>
      <c r="T1562" s="8"/>
      <c r="U1562" s="8"/>
      <c r="V1562" s="8"/>
      <c r="W1562" s="8"/>
      <c r="X1562" s="8"/>
      <c r="Y1562" s="8"/>
      <c r="Z1562" s="10" t="s">
        <v>4769</v>
      </c>
      <c r="AA1562" s="8" t="s">
        <v>332</v>
      </c>
      <c r="AB1562" s="8">
        <v>1</v>
      </c>
    </row>
    <row r="1563" spans="1:28" ht="21.6" customHeight="1">
      <c r="A1563" s="8">
        <v>3</v>
      </c>
      <c r="B1563" s="8">
        <v>2026011209</v>
      </c>
      <c r="C1563" s="8">
        <v>1</v>
      </c>
      <c r="D1563" s="8" t="s">
        <v>3177</v>
      </c>
      <c r="E1563" s="8" t="s">
        <v>133</v>
      </c>
      <c r="F1563" s="8" t="s">
        <v>4695</v>
      </c>
      <c r="G1563" s="8" t="s">
        <v>4113</v>
      </c>
      <c r="H1563" s="8" t="s">
        <v>3638</v>
      </c>
      <c r="I1563" s="8" t="s">
        <v>4699</v>
      </c>
      <c r="J1563" s="8" t="s">
        <v>3224</v>
      </c>
      <c r="K1563" s="8" t="s">
        <v>3183</v>
      </c>
      <c r="L1563" s="10" t="s">
        <v>4700</v>
      </c>
      <c r="M1563" s="10" t="s">
        <v>4701</v>
      </c>
      <c r="N1563" s="10"/>
      <c r="O1563" s="8" t="s">
        <v>322</v>
      </c>
      <c r="P1563" s="8"/>
      <c r="Q1563" s="8">
        <v>1898</v>
      </c>
      <c r="R1563" s="8">
        <v>13982</v>
      </c>
      <c r="S1563" s="8" t="s">
        <v>332</v>
      </c>
      <c r="T1563" s="8"/>
      <c r="U1563" s="8"/>
      <c r="V1563" s="8"/>
      <c r="W1563" s="8"/>
      <c r="X1563" s="8"/>
      <c r="Y1563" s="8"/>
      <c r="Z1563" s="10" t="s">
        <v>3821</v>
      </c>
      <c r="AA1563" s="8" t="s">
        <v>332</v>
      </c>
      <c r="AB1563" s="8">
        <v>1</v>
      </c>
    </row>
    <row r="1564" spans="1:28" ht="21.6" customHeight="1">
      <c r="A1564" s="8">
        <v>9</v>
      </c>
      <c r="B1564" s="8">
        <v>2026011359</v>
      </c>
      <c r="C1564" s="8">
        <v>1</v>
      </c>
      <c r="D1564" s="8" t="s">
        <v>3177</v>
      </c>
      <c r="E1564" s="8" t="s">
        <v>133</v>
      </c>
      <c r="F1564" s="8" t="s">
        <v>4695</v>
      </c>
      <c r="G1564" s="8" t="s">
        <v>3250</v>
      </c>
      <c r="H1564" s="8" t="s">
        <v>4771</v>
      </c>
      <c r="I1564" s="8" t="s">
        <v>4772</v>
      </c>
      <c r="J1564" s="8" t="s">
        <v>4773</v>
      </c>
      <c r="K1564" s="8" t="s">
        <v>3183</v>
      </c>
      <c r="L1564" s="10" t="s">
        <v>4774</v>
      </c>
      <c r="M1564" s="10" t="s">
        <v>4775</v>
      </c>
      <c r="N1564" s="10"/>
      <c r="O1564" s="8" t="s">
        <v>322</v>
      </c>
      <c r="P1564" s="8"/>
      <c r="Q1564" s="8"/>
      <c r="R1564" s="8">
        <v>17900</v>
      </c>
      <c r="S1564" s="8" t="s">
        <v>332</v>
      </c>
      <c r="T1564" s="8"/>
      <c r="U1564" s="8"/>
      <c r="V1564" s="8"/>
      <c r="W1564" s="8"/>
      <c r="X1564" s="8"/>
      <c r="Y1564" s="8"/>
      <c r="Z1564" s="10" t="s">
        <v>4776</v>
      </c>
      <c r="AA1564" s="8" t="s">
        <v>332</v>
      </c>
      <c r="AB1564" s="8">
        <v>1</v>
      </c>
    </row>
    <row r="1565" spans="1:28" ht="21.6" customHeight="1">
      <c r="A1565" s="8">
        <v>24</v>
      </c>
      <c r="B1565" s="8">
        <v>2026011185</v>
      </c>
      <c r="C1565" s="8">
        <v>1</v>
      </c>
      <c r="D1565" s="8" t="s">
        <v>3177</v>
      </c>
      <c r="E1565" s="8" t="s">
        <v>133</v>
      </c>
      <c r="F1565" s="8" t="s">
        <v>4695</v>
      </c>
      <c r="G1565" s="8" t="s">
        <v>4008</v>
      </c>
      <c r="H1565" s="8" t="s">
        <v>3232</v>
      </c>
      <c r="I1565" s="8" t="s">
        <v>4731</v>
      </c>
      <c r="J1565" s="8" t="s">
        <v>3288</v>
      </c>
      <c r="K1565" s="8" t="s">
        <v>3183</v>
      </c>
      <c r="L1565" s="10" t="s">
        <v>4732</v>
      </c>
      <c r="M1565" s="10" t="s">
        <v>4698</v>
      </c>
      <c r="N1565" s="10"/>
      <c r="O1565" s="8" t="s">
        <v>3190</v>
      </c>
      <c r="P1565" s="8"/>
      <c r="Q1565" s="8">
        <v>927</v>
      </c>
      <c r="R1565" s="8">
        <v>73722</v>
      </c>
      <c r="S1565" s="8"/>
      <c r="T1565" s="8"/>
      <c r="U1565" s="8"/>
      <c r="V1565" s="8"/>
      <c r="W1565" s="8"/>
      <c r="X1565" s="8"/>
      <c r="Y1565" s="8"/>
      <c r="Z1565" s="10" t="s">
        <v>3821</v>
      </c>
      <c r="AA1565" s="8" t="s">
        <v>332</v>
      </c>
      <c r="AB1565" s="8">
        <v>1</v>
      </c>
    </row>
    <row r="1566" spans="1:28" ht="21.6" customHeight="1">
      <c r="A1566" s="8">
        <v>127</v>
      </c>
      <c r="B1566" s="8">
        <v>2026010127</v>
      </c>
      <c r="C1566" s="8">
        <v>1</v>
      </c>
      <c r="D1566" s="8" t="s">
        <v>3177</v>
      </c>
      <c r="E1566" s="8" t="s">
        <v>118</v>
      </c>
      <c r="F1566" s="8" t="s">
        <v>4702</v>
      </c>
      <c r="G1566" s="8" t="s">
        <v>3357</v>
      </c>
      <c r="H1566" s="8" t="s">
        <v>3342</v>
      </c>
      <c r="I1566" s="8" t="s">
        <v>4403</v>
      </c>
      <c r="J1566" s="8" t="s">
        <v>3224</v>
      </c>
      <c r="K1566" s="8" t="s">
        <v>3183</v>
      </c>
      <c r="L1566" s="10" t="s">
        <v>4404</v>
      </c>
      <c r="M1566" s="10" t="s">
        <v>4424</v>
      </c>
      <c r="N1566" s="10" t="s">
        <v>3497</v>
      </c>
      <c r="O1566" s="8" t="s">
        <v>322</v>
      </c>
      <c r="P1566" s="8"/>
      <c r="Q1566" s="8">
        <v>195</v>
      </c>
      <c r="R1566" s="8">
        <v>1744</v>
      </c>
      <c r="S1566" s="8" t="s">
        <v>332</v>
      </c>
      <c r="T1566" s="8"/>
      <c r="U1566" s="8"/>
      <c r="V1566" s="8"/>
      <c r="W1566" s="8"/>
      <c r="X1566" s="8"/>
      <c r="Y1566" s="8"/>
      <c r="Z1566" s="10" t="s">
        <v>3696</v>
      </c>
      <c r="AA1566" s="8" t="s">
        <v>332</v>
      </c>
      <c r="AB1566" s="8">
        <v>1</v>
      </c>
    </row>
    <row r="1567" spans="1:28" ht="21.6" customHeight="1">
      <c r="A1567" s="8">
        <v>131</v>
      </c>
      <c r="B1567" s="8">
        <v>2026011506</v>
      </c>
      <c r="C1567" s="8">
        <v>1</v>
      </c>
      <c r="D1567" s="8" t="s">
        <v>3177</v>
      </c>
      <c r="E1567" s="8" t="s">
        <v>118</v>
      </c>
      <c r="F1567" s="8" t="s">
        <v>4777</v>
      </c>
      <c r="G1567" s="8" t="s">
        <v>3431</v>
      </c>
      <c r="H1567" s="8" t="s">
        <v>3432</v>
      </c>
      <c r="I1567" s="8" t="s">
        <v>3404</v>
      </c>
      <c r="J1567" s="8" t="s">
        <v>3253</v>
      </c>
      <c r="K1567" s="8" t="s">
        <v>3183</v>
      </c>
      <c r="L1567" s="10" t="s">
        <v>3398</v>
      </c>
      <c r="M1567" s="10" t="s">
        <v>3575</v>
      </c>
      <c r="N1567" s="10" t="s">
        <v>3576</v>
      </c>
      <c r="O1567" s="8" t="s">
        <v>322</v>
      </c>
      <c r="P1567" s="8"/>
      <c r="Q1567" s="8"/>
      <c r="R1567" s="8">
        <v>1280</v>
      </c>
      <c r="S1567" s="8" t="s">
        <v>332</v>
      </c>
      <c r="T1567" s="8"/>
      <c r="U1567" s="8"/>
      <c r="V1567" s="8"/>
      <c r="W1567" s="8"/>
      <c r="X1567" s="8"/>
      <c r="Y1567" s="8"/>
      <c r="Z1567" s="10" t="s">
        <v>3696</v>
      </c>
      <c r="AA1567" s="8" t="s">
        <v>332</v>
      </c>
      <c r="AB1567" s="8">
        <v>1</v>
      </c>
    </row>
    <row r="1568" spans="1:28" ht="21.6" customHeight="1">
      <c r="A1568" s="8">
        <v>133</v>
      </c>
      <c r="B1568" s="8">
        <v>2026011489</v>
      </c>
      <c r="C1568" s="8">
        <v>1</v>
      </c>
      <c r="D1568" s="8" t="s">
        <v>3177</v>
      </c>
      <c r="E1568" s="8" t="s">
        <v>118</v>
      </c>
      <c r="F1568" s="8" t="s">
        <v>4777</v>
      </c>
      <c r="G1568" s="8" t="s">
        <v>3363</v>
      </c>
      <c r="H1568" s="8" t="s">
        <v>3233</v>
      </c>
      <c r="I1568" s="8" t="s">
        <v>3422</v>
      </c>
      <c r="J1568" s="8" t="s">
        <v>3253</v>
      </c>
      <c r="K1568" s="8" t="s">
        <v>3183</v>
      </c>
      <c r="L1568" s="10" t="s">
        <v>3270</v>
      </c>
      <c r="M1568" s="10" t="s">
        <v>3423</v>
      </c>
      <c r="N1568" s="10" t="s">
        <v>3424</v>
      </c>
      <c r="O1568" s="8" t="s">
        <v>322</v>
      </c>
      <c r="P1568" s="8"/>
      <c r="Q1568" s="8"/>
      <c r="R1568" s="8">
        <v>50726</v>
      </c>
      <c r="S1568" s="8" t="s">
        <v>332</v>
      </c>
      <c r="T1568" s="8"/>
      <c r="U1568" s="8"/>
      <c r="V1568" s="8"/>
      <c r="W1568" s="8"/>
      <c r="X1568" s="8"/>
      <c r="Y1568" s="8"/>
      <c r="Z1568" s="10" t="s">
        <v>3696</v>
      </c>
      <c r="AA1568" s="8" t="s">
        <v>332</v>
      </c>
      <c r="AB1568" s="8">
        <v>1</v>
      </c>
    </row>
    <row r="1569" spans="1:28" ht="21.6" customHeight="1">
      <c r="A1569" s="8">
        <v>135</v>
      </c>
      <c r="B1569" s="8">
        <v>2026011487</v>
      </c>
      <c r="C1569" s="8">
        <v>1</v>
      </c>
      <c r="D1569" s="8" t="s">
        <v>3177</v>
      </c>
      <c r="E1569" s="8" t="s">
        <v>118</v>
      </c>
      <c r="F1569" s="8" t="s">
        <v>4777</v>
      </c>
      <c r="G1569" s="8" t="s">
        <v>3280</v>
      </c>
      <c r="H1569" s="8" t="s">
        <v>3363</v>
      </c>
      <c r="I1569" s="8" t="s">
        <v>3428</v>
      </c>
      <c r="J1569" s="8" t="s">
        <v>3253</v>
      </c>
      <c r="K1569" s="8" t="s">
        <v>3183</v>
      </c>
      <c r="L1569" s="10" t="s">
        <v>3270</v>
      </c>
      <c r="M1569" s="10" t="s">
        <v>3429</v>
      </c>
      <c r="N1569" s="10" t="s">
        <v>3430</v>
      </c>
      <c r="O1569" s="8" t="s">
        <v>322</v>
      </c>
      <c r="P1569" s="8"/>
      <c r="Q1569" s="8"/>
      <c r="R1569" s="8">
        <v>82505</v>
      </c>
      <c r="S1569" s="8" t="s">
        <v>332</v>
      </c>
      <c r="T1569" s="8"/>
      <c r="U1569" s="8"/>
      <c r="V1569" s="8"/>
      <c r="W1569" s="8"/>
      <c r="X1569" s="8"/>
      <c r="Y1569" s="8"/>
      <c r="Z1569" s="10" t="s">
        <v>3696</v>
      </c>
      <c r="AA1569" s="8" t="s">
        <v>332</v>
      </c>
      <c r="AB1569" s="8">
        <v>1</v>
      </c>
    </row>
    <row r="1570" spans="1:28" ht="21.6" customHeight="1">
      <c r="A1570" s="8">
        <v>144</v>
      </c>
      <c r="B1570" s="8">
        <v>2026011485</v>
      </c>
      <c r="C1570" s="8">
        <v>1</v>
      </c>
      <c r="D1570" s="8" t="s">
        <v>3177</v>
      </c>
      <c r="E1570" s="8" t="s">
        <v>118</v>
      </c>
      <c r="F1570" s="8" t="s">
        <v>4777</v>
      </c>
      <c r="G1570" s="8" t="s">
        <v>3350</v>
      </c>
      <c r="H1570" s="8" t="s">
        <v>3280</v>
      </c>
      <c r="I1570" s="8" t="s">
        <v>4171</v>
      </c>
      <c r="J1570" s="8" t="s">
        <v>3277</v>
      </c>
      <c r="K1570" s="8" t="s">
        <v>3183</v>
      </c>
      <c r="L1570" s="10" t="s">
        <v>3270</v>
      </c>
      <c r="M1570" s="10" t="s">
        <v>3496</v>
      </c>
      <c r="N1570" s="10" t="s">
        <v>3497</v>
      </c>
      <c r="O1570" s="8" t="s">
        <v>322</v>
      </c>
      <c r="P1570" s="8"/>
      <c r="Q1570" s="8"/>
      <c r="R1570" s="8">
        <v>5268</v>
      </c>
      <c r="S1570" s="8" t="s">
        <v>332</v>
      </c>
      <c r="T1570" s="8"/>
      <c r="U1570" s="8"/>
      <c r="V1570" s="8"/>
      <c r="W1570" s="8"/>
      <c r="X1570" s="8"/>
      <c r="Y1570" s="8"/>
      <c r="Z1570" s="10" t="s">
        <v>3696</v>
      </c>
      <c r="AA1570" s="8" t="s">
        <v>332</v>
      </c>
      <c r="AB1570" s="8">
        <v>1</v>
      </c>
    </row>
    <row r="1571" spans="1:28" ht="21.6" customHeight="1">
      <c r="A1571" s="8">
        <v>146</v>
      </c>
      <c r="B1571" s="8">
        <v>2026011502</v>
      </c>
      <c r="C1571" s="8">
        <v>1</v>
      </c>
      <c r="D1571" s="8" t="s">
        <v>3177</v>
      </c>
      <c r="E1571" s="8" t="s">
        <v>118</v>
      </c>
      <c r="F1571" s="8" t="s">
        <v>4777</v>
      </c>
      <c r="G1571" s="8" t="s">
        <v>3387</v>
      </c>
      <c r="H1571" s="8" t="s">
        <v>3426</v>
      </c>
      <c r="I1571" s="8" t="s">
        <v>4426</v>
      </c>
      <c r="J1571" s="8" t="s">
        <v>3277</v>
      </c>
      <c r="K1571" s="8" t="s">
        <v>3183</v>
      </c>
      <c r="L1571" s="10" t="s">
        <v>3398</v>
      </c>
      <c r="M1571" s="10" t="s">
        <v>3522</v>
      </c>
      <c r="N1571" s="10" t="s">
        <v>3523</v>
      </c>
      <c r="O1571" s="8" t="s">
        <v>322</v>
      </c>
      <c r="P1571" s="8"/>
      <c r="Q1571" s="8"/>
      <c r="R1571" s="8">
        <v>17276</v>
      </c>
      <c r="S1571" s="8" t="s">
        <v>332</v>
      </c>
      <c r="T1571" s="8"/>
      <c r="U1571" s="8"/>
      <c r="V1571" s="8"/>
      <c r="W1571" s="8"/>
      <c r="X1571" s="8"/>
      <c r="Y1571" s="8"/>
      <c r="Z1571" s="10" t="s">
        <v>3696</v>
      </c>
      <c r="AA1571" s="8" t="s">
        <v>332</v>
      </c>
      <c r="AB1571" s="8">
        <v>1</v>
      </c>
    </row>
    <row r="1572" spans="1:28" ht="21.6" customHeight="1">
      <c r="A1572" s="8">
        <v>148</v>
      </c>
      <c r="B1572" s="8">
        <v>2026011498</v>
      </c>
      <c r="C1572" s="8">
        <v>1</v>
      </c>
      <c r="D1572" s="8" t="s">
        <v>3177</v>
      </c>
      <c r="E1572" s="8" t="s">
        <v>118</v>
      </c>
      <c r="F1572" s="8" t="s">
        <v>4777</v>
      </c>
      <c r="G1572" s="8" t="s">
        <v>3427</v>
      </c>
      <c r="H1572" s="8" t="s">
        <v>3386</v>
      </c>
      <c r="I1572" s="8" t="s">
        <v>4472</v>
      </c>
      <c r="J1572" s="8" t="s">
        <v>3277</v>
      </c>
      <c r="K1572" s="8" t="s">
        <v>3183</v>
      </c>
      <c r="L1572" s="10" t="s">
        <v>3398</v>
      </c>
      <c r="M1572" s="10" t="s">
        <v>3519</v>
      </c>
      <c r="N1572" s="10" t="s">
        <v>3520</v>
      </c>
      <c r="O1572" s="8" t="s">
        <v>322</v>
      </c>
      <c r="P1572" s="8"/>
      <c r="Q1572" s="8"/>
      <c r="R1572" s="8">
        <v>20040</v>
      </c>
      <c r="S1572" s="8" t="s">
        <v>332</v>
      </c>
      <c r="T1572" s="8"/>
      <c r="U1572" s="8"/>
      <c r="V1572" s="8"/>
      <c r="W1572" s="8"/>
      <c r="X1572" s="8"/>
      <c r="Y1572" s="8"/>
      <c r="Z1572" s="10" t="s">
        <v>3696</v>
      </c>
      <c r="AA1572" s="8" t="s">
        <v>332</v>
      </c>
      <c r="AB1572" s="8">
        <v>1</v>
      </c>
    </row>
    <row r="1573" spans="1:28" ht="21.6" customHeight="1">
      <c r="A1573" s="8">
        <v>150</v>
      </c>
      <c r="B1573" s="8">
        <v>2026011492</v>
      </c>
      <c r="C1573" s="8">
        <v>1</v>
      </c>
      <c r="D1573" s="8" t="s">
        <v>3177</v>
      </c>
      <c r="E1573" s="8" t="s">
        <v>118</v>
      </c>
      <c r="F1573" s="8" t="s">
        <v>4777</v>
      </c>
      <c r="G1573" s="8" t="s">
        <v>3368</v>
      </c>
      <c r="H1573" s="8" t="s">
        <v>3250</v>
      </c>
      <c r="I1573" s="8" t="s">
        <v>4428</v>
      </c>
      <c r="J1573" s="8" t="s">
        <v>3277</v>
      </c>
      <c r="K1573" s="8" t="s">
        <v>3183</v>
      </c>
      <c r="L1573" s="10" t="s">
        <v>3398</v>
      </c>
      <c r="M1573" s="10" t="s">
        <v>3399</v>
      </c>
      <c r="N1573" s="10" t="s">
        <v>3400</v>
      </c>
      <c r="O1573" s="8" t="s">
        <v>322</v>
      </c>
      <c r="P1573" s="8"/>
      <c r="Q1573" s="8"/>
      <c r="R1573" s="8">
        <v>13014</v>
      </c>
      <c r="S1573" s="8" t="s">
        <v>332</v>
      </c>
      <c r="T1573" s="8"/>
      <c r="U1573" s="8"/>
      <c r="V1573" s="8"/>
      <c r="W1573" s="8"/>
      <c r="X1573" s="8"/>
      <c r="Y1573" s="8"/>
      <c r="Z1573" s="10" t="s">
        <v>3696</v>
      </c>
      <c r="AA1573" s="8" t="s">
        <v>332</v>
      </c>
      <c r="AB1573" s="8">
        <v>1</v>
      </c>
    </row>
    <row r="1574" spans="1:28" ht="21.6" customHeight="1">
      <c r="A1574" s="8">
        <v>152</v>
      </c>
      <c r="B1574" s="8">
        <v>2026011496</v>
      </c>
      <c r="C1574" s="8">
        <v>1</v>
      </c>
      <c r="D1574" s="8" t="s">
        <v>3177</v>
      </c>
      <c r="E1574" s="8" t="s">
        <v>118</v>
      </c>
      <c r="F1574" s="8" t="s">
        <v>4777</v>
      </c>
      <c r="G1574" s="8" t="s">
        <v>3204</v>
      </c>
      <c r="H1574" s="8" t="s">
        <v>3427</v>
      </c>
      <c r="I1574" s="8" t="s">
        <v>4430</v>
      </c>
      <c r="J1574" s="8" t="s">
        <v>3277</v>
      </c>
      <c r="K1574" s="8" t="s">
        <v>3183</v>
      </c>
      <c r="L1574" s="10" t="s">
        <v>3398</v>
      </c>
      <c r="M1574" s="10" t="s">
        <v>3535</v>
      </c>
      <c r="N1574" s="10" t="s">
        <v>3494</v>
      </c>
      <c r="O1574" s="8" t="s">
        <v>322</v>
      </c>
      <c r="P1574" s="8"/>
      <c r="Q1574" s="8"/>
      <c r="R1574" s="8">
        <v>16110</v>
      </c>
      <c r="S1574" s="8" t="s">
        <v>332</v>
      </c>
      <c r="T1574" s="8"/>
      <c r="U1574" s="8"/>
      <c r="V1574" s="8"/>
      <c r="W1574" s="8"/>
      <c r="X1574" s="8"/>
      <c r="Y1574" s="8"/>
      <c r="Z1574" s="10" t="s">
        <v>3696</v>
      </c>
      <c r="AA1574" s="8" t="s">
        <v>332</v>
      </c>
      <c r="AB1574" s="8">
        <v>1</v>
      </c>
    </row>
    <row r="1575" spans="1:28" ht="21.6" customHeight="1">
      <c r="A1575" s="8">
        <v>154</v>
      </c>
      <c r="B1575" s="8">
        <v>2026011495</v>
      </c>
      <c r="C1575" s="8">
        <v>1</v>
      </c>
      <c r="D1575" s="8" t="s">
        <v>3177</v>
      </c>
      <c r="E1575" s="8" t="s">
        <v>118</v>
      </c>
      <c r="F1575" s="8" t="s">
        <v>4777</v>
      </c>
      <c r="G1575" s="8" t="s">
        <v>3250</v>
      </c>
      <c r="H1575" s="8" t="s">
        <v>3204</v>
      </c>
      <c r="I1575" s="8" t="s">
        <v>4473</v>
      </c>
      <c r="J1575" s="8" t="s">
        <v>3277</v>
      </c>
      <c r="K1575" s="8" t="s">
        <v>3183</v>
      </c>
      <c r="L1575" s="10" t="s">
        <v>3398</v>
      </c>
      <c r="M1575" s="10" t="s">
        <v>3514</v>
      </c>
      <c r="N1575" s="10" t="s">
        <v>3379</v>
      </c>
      <c r="O1575" s="8" t="s">
        <v>3190</v>
      </c>
      <c r="P1575" s="8"/>
      <c r="Q1575" s="8"/>
      <c r="R1575" s="8">
        <v>9075</v>
      </c>
      <c r="S1575" s="8"/>
      <c r="T1575" s="8"/>
      <c r="U1575" s="8"/>
      <c r="V1575" s="8"/>
      <c r="W1575" s="8"/>
      <c r="X1575" s="8"/>
      <c r="Y1575" s="8"/>
      <c r="Z1575" s="10" t="s">
        <v>3696</v>
      </c>
      <c r="AA1575" s="8" t="s">
        <v>332</v>
      </c>
      <c r="AB1575" s="8">
        <v>1</v>
      </c>
    </row>
    <row r="1576" spans="1:28" ht="21.6" customHeight="1">
      <c r="A1576" s="8">
        <v>161</v>
      </c>
      <c r="B1576" s="8">
        <v>2026011504</v>
      </c>
      <c r="C1576" s="8">
        <v>1</v>
      </c>
      <c r="D1576" s="8" t="s">
        <v>3177</v>
      </c>
      <c r="E1576" s="8" t="s">
        <v>118</v>
      </c>
      <c r="F1576" s="8" t="s">
        <v>4777</v>
      </c>
      <c r="G1576" s="8" t="s">
        <v>3426</v>
      </c>
      <c r="H1576" s="8" t="s">
        <v>3431</v>
      </c>
      <c r="I1576" s="8" t="s">
        <v>3510</v>
      </c>
      <c r="J1576" s="8" t="s">
        <v>3298</v>
      </c>
      <c r="K1576" s="8" t="s">
        <v>3183</v>
      </c>
      <c r="L1576" s="10" t="s">
        <v>3398</v>
      </c>
      <c r="M1576" s="10" t="s">
        <v>3511</v>
      </c>
      <c r="N1576" s="10" t="s">
        <v>3512</v>
      </c>
      <c r="O1576" s="8" t="s">
        <v>322</v>
      </c>
      <c r="P1576" s="8"/>
      <c r="Q1576" s="8"/>
      <c r="R1576" s="8">
        <v>414</v>
      </c>
      <c r="S1576" s="8" t="s">
        <v>332</v>
      </c>
      <c r="T1576" s="8"/>
      <c r="U1576" s="8"/>
      <c r="V1576" s="8"/>
      <c r="W1576" s="8"/>
      <c r="X1576" s="8"/>
      <c r="Y1576" s="8"/>
      <c r="Z1576" s="10" t="s">
        <v>3696</v>
      </c>
      <c r="AA1576" s="8" t="s">
        <v>332</v>
      </c>
      <c r="AB1576" s="8">
        <v>1</v>
      </c>
    </row>
    <row r="1577" spans="1:28" ht="21.6" customHeight="1">
      <c r="A1577" s="8">
        <v>163</v>
      </c>
      <c r="B1577" s="8">
        <v>2026011500</v>
      </c>
      <c r="C1577" s="8">
        <v>1</v>
      </c>
      <c r="D1577" s="8" t="s">
        <v>3177</v>
      </c>
      <c r="E1577" s="8" t="s">
        <v>118</v>
      </c>
      <c r="F1577" s="8" t="s">
        <v>4777</v>
      </c>
      <c r="G1577" s="8" t="s">
        <v>3387</v>
      </c>
      <c r="H1577" s="8" t="s">
        <v>3426</v>
      </c>
      <c r="I1577" s="8" t="s">
        <v>3521</v>
      </c>
      <c r="J1577" s="8" t="s">
        <v>3298</v>
      </c>
      <c r="K1577" s="8" t="s">
        <v>3183</v>
      </c>
      <c r="L1577" s="10" t="s">
        <v>3398</v>
      </c>
      <c r="M1577" s="10" t="s">
        <v>3405</v>
      </c>
      <c r="N1577" s="10" t="s">
        <v>3406</v>
      </c>
      <c r="O1577" s="8" t="s">
        <v>322</v>
      </c>
      <c r="P1577" s="8"/>
      <c r="Q1577" s="8"/>
      <c r="R1577" s="8">
        <v>3708</v>
      </c>
      <c r="S1577" s="8" t="s">
        <v>332</v>
      </c>
      <c r="T1577" s="8"/>
      <c r="U1577" s="8"/>
      <c r="V1577" s="8"/>
      <c r="W1577" s="8"/>
      <c r="X1577" s="8"/>
      <c r="Y1577" s="8"/>
      <c r="Z1577" s="10" t="s">
        <v>3696</v>
      </c>
      <c r="AA1577" s="8" t="s">
        <v>332</v>
      </c>
      <c r="AB1577" s="8">
        <v>1</v>
      </c>
    </row>
    <row r="1578" spans="1:28" ht="21.6" customHeight="1">
      <c r="A1578" s="8">
        <v>175</v>
      </c>
      <c r="B1578" s="8">
        <v>2026010141</v>
      </c>
      <c r="C1578" s="8">
        <v>1</v>
      </c>
      <c r="D1578" s="8" t="s">
        <v>3177</v>
      </c>
      <c r="E1578" s="8" t="s">
        <v>118</v>
      </c>
      <c r="F1578" s="8" t="s">
        <v>4702</v>
      </c>
      <c r="G1578" s="8" t="s">
        <v>3386</v>
      </c>
      <c r="H1578" s="8" t="s">
        <v>3387</v>
      </c>
      <c r="I1578" s="8" t="s">
        <v>4583</v>
      </c>
      <c r="J1578" s="8" t="s">
        <v>4553</v>
      </c>
      <c r="K1578" s="8" t="s">
        <v>3183</v>
      </c>
      <c r="L1578" s="10" t="s">
        <v>3462</v>
      </c>
      <c r="M1578" s="10" t="s">
        <v>3463</v>
      </c>
      <c r="N1578" s="10" t="s">
        <v>3464</v>
      </c>
      <c r="O1578" s="8" t="s">
        <v>3190</v>
      </c>
      <c r="P1578" s="8"/>
      <c r="Q1578" s="8"/>
      <c r="R1578" s="8">
        <v>81942</v>
      </c>
      <c r="S1578" s="8"/>
      <c r="T1578" s="8"/>
      <c r="U1578" s="8"/>
      <c r="V1578" s="8"/>
      <c r="W1578" s="8"/>
      <c r="X1578" s="8"/>
      <c r="Y1578" s="8"/>
      <c r="Z1578" s="10" t="s">
        <v>3696</v>
      </c>
      <c r="AA1578" s="8" t="s">
        <v>332</v>
      </c>
      <c r="AB1578" s="8">
        <v>1</v>
      </c>
    </row>
    <row r="1579" spans="1:28" ht="21.6" customHeight="1">
      <c r="A1579" s="8">
        <v>1</v>
      </c>
      <c r="B1579" s="8">
        <v>2026011744</v>
      </c>
      <c r="C1579" s="8">
        <v>1</v>
      </c>
      <c r="D1579" s="8" t="s">
        <v>3177</v>
      </c>
      <c r="E1579" s="8" t="s">
        <v>133</v>
      </c>
      <c r="F1579" s="8" t="s">
        <v>4778</v>
      </c>
      <c r="G1579" s="8" t="s">
        <v>4066</v>
      </c>
      <c r="H1579" s="8" t="s">
        <v>3693</v>
      </c>
      <c r="I1579" s="8" t="s">
        <v>4779</v>
      </c>
      <c r="J1579" s="8" t="s">
        <v>3195</v>
      </c>
      <c r="K1579" s="8" t="s">
        <v>3183</v>
      </c>
      <c r="L1579" s="10" t="s">
        <v>3383</v>
      </c>
      <c r="M1579" s="10" t="s">
        <v>4780</v>
      </c>
      <c r="N1579" s="10"/>
      <c r="O1579" s="8" t="s">
        <v>3190</v>
      </c>
      <c r="P1579" s="8">
        <v>5905</v>
      </c>
      <c r="Q1579" s="8">
        <v>11419</v>
      </c>
      <c r="R1579" s="8">
        <v>36290</v>
      </c>
      <c r="S1579" s="8"/>
      <c r="T1579" s="8"/>
      <c r="U1579" s="8"/>
      <c r="V1579" s="8"/>
      <c r="W1579" s="8"/>
      <c r="X1579" s="8"/>
      <c r="Y1579" s="8"/>
      <c r="Z1579" s="10" t="s">
        <v>3821</v>
      </c>
      <c r="AA1579" s="8" t="s">
        <v>332</v>
      </c>
      <c r="AB1579" s="8">
        <v>1</v>
      </c>
    </row>
    <row r="1580" spans="1:28" ht="21.6" customHeight="1">
      <c r="A1580" s="8">
        <v>2</v>
      </c>
      <c r="B1580" s="8">
        <v>2026011663</v>
      </c>
      <c r="C1580" s="8">
        <v>1</v>
      </c>
      <c r="D1580" s="8" t="s">
        <v>3177</v>
      </c>
      <c r="E1580" s="8" t="s">
        <v>133</v>
      </c>
      <c r="F1580" s="8" t="s">
        <v>4778</v>
      </c>
      <c r="G1580" s="8" t="s">
        <v>3192</v>
      </c>
      <c r="H1580" s="8" t="s">
        <v>3903</v>
      </c>
      <c r="I1580" s="8" t="s">
        <v>4781</v>
      </c>
      <c r="J1580" s="8" t="s">
        <v>3224</v>
      </c>
      <c r="K1580" s="8" t="s">
        <v>3183</v>
      </c>
      <c r="L1580" s="10" t="s">
        <v>4782</v>
      </c>
      <c r="M1580" s="10" t="s">
        <v>4783</v>
      </c>
      <c r="N1580" s="10"/>
      <c r="O1580" s="8" t="s">
        <v>322</v>
      </c>
      <c r="P1580" s="8"/>
      <c r="Q1580" s="8">
        <v>7579</v>
      </c>
      <c r="R1580" s="8">
        <v>20010</v>
      </c>
      <c r="S1580" s="8" t="s">
        <v>332</v>
      </c>
      <c r="T1580" s="8"/>
      <c r="U1580" s="8"/>
      <c r="V1580" s="8"/>
      <c r="W1580" s="8"/>
      <c r="X1580" s="8"/>
      <c r="Y1580" s="8"/>
      <c r="Z1580" s="10" t="s">
        <v>3821</v>
      </c>
      <c r="AA1580" s="8" t="s">
        <v>332</v>
      </c>
      <c r="AB1580" s="8">
        <v>1</v>
      </c>
    </row>
    <row r="1581" spans="1:28" ht="21.6" customHeight="1">
      <c r="A1581" s="8">
        <v>11</v>
      </c>
      <c r="B1581" s="8">
        <v>2026011650</v>
      </c>
      <c r="C1581" s="8">
        <v>1</v>
      </c>
      <c r="D1581" s="8" t="s">
        <v>3177</v>
      </c>
      <c r="E1581" s="8" t="s">
        <v>133</v>
      </c>
      <c r="F1581" s="8" t="s">
        <v>4778</v>
      </c>
      <c r="G1581" s="8" t="s">
        <v>3638</v>
      </c>
      <c r="H1581" s="8" t="s">
        <v>3641</v>
      </c>
      <c r="I1581" s="8" t="s">
        <v>4784</v>
      </c>
      <c r="J1581" s="8" t="s">
        <v>3224</v>
      </c>
      <c r="K1581" s="8" t="s">
        <v>3183</v>
      </c>
      <c r="L1581" s="10" t="s">
        <v>4785</v>
      </c>
      <c r="M1581" s="10" t="s">
        <v>4786</v>
      </c>
      <c r="N1581" s="10"/>
      <c r="O1581" s="8" t="s">
        <v>322</v>
      </c>
      <c r="P1581" s="8"/>
      <c r="Q1581" s="8">
        <v>10960</v>
      </c>
      <c r="R1581" s="8">
        <v>7768</v>
      </c>
      <c r="S1581" s="8" t="s">
        <v>332</v>
      </c>
      <c r="T1581" s="8"/>
      <c r="U1581" s="8"/>
      <c r="V1581" s="8"/>
      <c r="W1581" s="8"/>
      <c r="X1581" s="8"/>
      <c r="Y1581" s="8"/>
      <c r="Z1581" s="10" t="s">
        <v>3821</v>
      </c>
      <c r="AA1581" s="8" t="s">
        <v>332</v>
      </c>
      <c r="AB1581" s="8">
        <v>1</v>
      </c>
    </row>
    <row r="1582" spans="1:28" ht="21.6" customHeight="1">
      <c r="A1582" s="8">
        <v>13</v>
      </c>
      <c r="B1582" s="8">
        <v>2026011640</v>
      </c>
      <c r="C1582" s="8">
        <v>1</v>
      </c>
      <c r="D1582" s="8" t="s">
        <v>3177</v>
      </c>
      <c r="E1582" s="8" t="s">
        <v>133</v>
      </c>
      <c r="F1582" s="8" t="s">
        <v>4778</v>
      </c>
      <c r="G1582" s="8" t="s">
        <v>4054</v>
      </c>
      <c r="H1582" s="8" t="s">
        <v>4350</v>
      </c>
      <c r="I1582" s="8" t="s">
        <v>4787</v>
      </c>
      <c r="J1582" s="8" t="s">
        <v>3224</v>
      </c>
      <c r="K1582" s="8" t="s">
        <v>3183</v>
      </c>
      <c r="L1582" s="10" t="s">
        <v>4788</v>
      </c>
      <c r="M1582" s="10" t="s">
        <v>4789</v>
      </c>
      <c r="N1582" s="10"/>
      <c r="O1582" s="8" t="s">
        <v>322</v>
      </c>
      <c r="P1582" s="8"/>
      <c r="Q1582" s="8">
        <v>151</v>
      </c>
      <c r="R1582" s="8">
        <v>2820</v>
      </c>
      <c r="S1582" s="8" t="s">
        <v>332</v>
      </c>
      <c r="T1582" s="8"/>
      <c r="U1582" s="8"/>
      <c r="V1582" s="8"/>
      <c r="W1582" s="8"/>
      <c r="X1582" s="8"/>
      <c r="Y1582" s="8"/>
      <c r="Z1582" s="10" t="s">
        <v>3821</v>
      </c>
      <c r="AA1582" s="8" t="s">
        <v>332</v>
      </c>
      <c r="AB1582" s="8">
        <v>1</v>
      </c>
    </row>
    <row r="1583" spans="1:28" ht="21.6" customHeight="1">
      <c r="A1583" s="8">
        <v>22</v>
      </c>
      <c r="B1583" s="8">
        <v>2026011742</v>
      </c>
      <c r="C1583" s="8">
        <v>1</v>
      </c>
      <c r="D1583" s="8" t="s">
        <v>3177</v>
      </c>
      <c r="E1583" s="8" t="s">
        <v>133</v>
      </c>
      <c r="F1583" s="8" t="s">
        <v>4778</v>
      </c>
      <c r="G1583" s="8" t="s">
        <v>3426</v>
      </c>
      <c r="H1583" s="8" t="s">
        <v>4077</v>
      </c>
      <c r="I1583" s="8" t="s">
        <v>4790</v>
      </c>
      <c r="J1583" s="8" t="s">
        <v>3253</v>
      </c>
      <c r="K1583" s="8" t="s">
        <v>3183</v>
      </c>
      <c r="L1583" s="10" t="s">
        <v>3270</v>
      </c>
      <c r="M1583" s="10" t="s">
        <v>4791</v>
      </c>
      <c r="N1583" s="10" t="s">
        <v>4792</v>
      </c>
      <c r="O1583" s="8" t="s">
        <v>3190</v>
      </c>
      <c r="P1583" s="8"/>
      <c r="Q1583" s="8"/>
      <c r="R1583" s="8">
        <v>43071</v>
      </c>
      <c r="S1583" s="8"/>
      <c r="T1583" s="8"/>
      <c r="U1583" s="8"/>
      <c r="V1583" s="8"/>
      <c r="W1583" s="8"/>
      <c r="X1583" s="8"/>
      <c r="Y1583" s="8"/>
      <c r="Z1583" s="10" t="s">
        <v>3821</v>
      </c>
      <c r="AA1583" s="8" t="s">
        <v>332</v>
      </c>
      <c r="AB1583" s="8">
        <v>1</v>
      </c>
    </row>
    <row r="1584" spans="1:28" ht="21.6" customHeight="1">
      <c r="A1584" s="8">
        <v>36</v>
      </c>
      <c r="B1584" s="8">
        <v>2026011741</v>
      </c>
      <c r="C1584" s="8">
        <v>1</v>
      </c>
      <c r="D1584" s="8" t="s">
        <v>3177</v>
      </c>
      <c r="E1584" s="8" t="s">
        <v>133</v>
      </c>
      <c r="F1584" s="8" t="s">
        <v>4778</v>
      </c>
      <c r="G1584" s="8" t="s">
        <v>3387</v>
      </c>
      <c r="H1584" s="8" t="s">
        <v>3374</v>
      </c>
      <c r="I1584" s="8" t="s">
        <v>4793</v>
      </c>
      <c r="J1584" s="8" t="s">
        <v>3298</v>
      </c>
      <c r="K1584" s="8" t="s">
        <v>3183</v>
      </c>
      <c r="L1584" s="10" t="s">
        <v>3270</v>
      </c>
      <c r="M1584" s="10" t="s">
        <v>4794</v>
      </c>
      <c r="N1584" s="10" t="s">
        <v>4714</v>
      </c>
      <c r="O1584" s="8" t="s">
        <v>3190</v>
      </c>
      <c r="P1584" s="8"/>
      <c r="Q1584" s="8"/>
      <c r="R1584" s="8">
        <v>37139</v>
      </c>
      <c r="S1584" s="8"/>
      <c r="T1584" s="8"/>
      <c r="U1584" s="8"/>
      <c r="V1584" s="8"/>
      <c r="W1584" s="8"/>
      <c r="X1584" s="8"/>
      <c r="Y1584" s="8"/>
      <c r="Z1584" s="10" t="s">
        <v>3821</v>
      </c>
      <c r="AA1584" s="8" t="s">
        <v>332</v>
      </c>
      <c r="AB1584" s="8">
        <v>1</v>
      </c>
    </row>
    <row r="1585" spans="1:28" ht="21.6" customHeight="1">
      <c r="A1585" s="8">
        <v>41</v>
      </c>
      <c r="B1585" s="8">
        <v>2026011638</v>
      </c>
      <c r="C1585" s="8">
        <v>1</v>
      </c>
      <c r="D1585" s="8" t="s">
        <v>3177</v>
      </c>
      <c r="E1585" s="8" t="s">
        <v>133</v>
      </c>
      <c r="F1585" s="8" t="s">
        <v>4778</v>
      </c>
      <c r="G1585" s="8" t="s">
        <v>4350</v>
      </c>
      <c r="H1585" s="8" t="s">
        <v>3381</v>
      </c>
      <c r="I1585" s="8" t="s">
        <v>4795</v>
      </c>
      <c r="J1585" s="8" t="s">
        <v>3301</v>
      </c>
      <c r="K1585" s="8" t="s">
        <v>3183</v>
      </c>
      <c r="L1585" s="10" t="s">
        <v>4796</v>
      </c>
      <c r="M1585" s="10" t="s">
        <v>4797</v>
      </c>
      <c r="N1585" s="10" t="s">
        <v>4798</v>
      </c>
      <c r="O1585" s="8" t="s">
        <v>322</v>
      </c>
      <c r="P1585" s="8"/>
      <c r="Q1585" s="8">
        <v>886</v>
      </c>
      <c r="R1585" s="8">
        <v>5547</v>
      </c>
      <c r="S1585" s="8" t="s">
        <v>332</v>
      </c>
      <c r="T1585" s="8"/>
      <c r="U1585" s="8"/>
      <c r="V1585" s="8"/>
      <c r="W1585" s="8"/>
      <c r="X1585" s="8"/>
      <c r="Y1585" s="8"/>
      <c r="Z1585" s="10" t="s">
        <v>111</v>
      </c>
      <c r="AA1585" s="8" t="s">
        <v>332</v>
      </c>
      <c r="AB1585" s="8">
        <v>1</v>
      </c>
    </row>
    <row r="1586" spans="1:28" ht="21.6" customHeight="1">
      <c r="A1586" s="8">
        <v>48</v>
      </c>
      <c r="B1586" s="8">
        <v>2026011630</v>
      </c>
      <c r="C1586" s="8">
        <v>1</v>
      </c>
      <c r="D1586" s="8" t="s">
        <v>3177</v>
      </c>
      <c r="E1586" s="8" t="s">
        <v>133</v>
      </c>
      <c r="F1586" s="8" t="s">
        <v>4778</v>
      </c>
      <c r="G1586" s="8" t="s">
        <v>3762</v>
      </c>
      <c r="H1586" s="8" t="s">
        <v>3363</v>
      </c>
      <c r="I1586" s="8" t="s">
        <v>4799</v>
      </c>
      <c r="J1586" s="8" t="s">
        <v>3733</v>
      </c>
      <c r="K1586" s="8" t="s">
        <v>3183</v>
      </c>
      <c r="L1586" s="10" t="s">
        <v>4800</v>
      </c>
      <c r="M1586" s="10" t="s">
        <v>4801</v>
      </c>
      <c r="N1586" s="10"/>
      <c r="O1586" s="8" t="s">
        <v>322</v>
      </c>
      <c r="P1586" s="8"/>
      <c r="Q1586" s="8">
        <v>5933</v>
      </c>
      <c r="R1586" s="8">
        <v>210689</v>
      </c>
      <c r="S1586" s="8" t="s">
        <v>332</v>
      </c>
      <c r="T1586" s="8"/>
      <c r="U1586" s="8"/>
      <c r="V1586" s="8"/>
      <c r="W1586" s="8"/>
      <c r="X1586" s="8"/>
      <c r="Y1586" s="8"/>
      <c r="Z1586" s="10" t="s">
        <v>3821</v>
      </c>
      <c r="AA1586" s="8" t="s">
        <v>332</v>
      </c>
      <c r="AB1586" s="8">
        <v>1</v>
      </c>
    </row>
    <row r="1587" spans="1:28" ht="21.6" customHeight="1">
      <c r="A1587" s="8">
        <v>55</v>
      </c>
      <c r="B1587" s="8">
        <v>2026011628</v>
      </c>
      <c r="C1587" s="8">
        <v>1</v>
      </c>
      <c r="D1587" s="8" t="s">
        <v>3177</v>
      </c>
      <c r="E1587" s="8" t="s">
        <v>133</v>
      </c>
      <c r="F1587" s="8" t="s">
        <v>4778</v>
      </c>
      <c r="G1587" s="8" t="s">
        <v>3363</v>
      </c>
      <c r="H1587" s="8" t="s">
        <v>3232</v>
      </c>
      <c r="I1587" s="8" t="s">
        <v>4802</v>
      </c>
      <c r="J1587" s="8" t="s">
        <v>3543</v>
      </c>
      <c r="K1587" s="8" t="s">
        <v>3183</v>
      </c>
      <c r="L1587" s="10" t="s">
        <v>4800</v>
      </c>
      <c r="M1587" s="10" t="s">
        <v>4801</v>
      </c>
      <c r="N1587" s="10"/>
      <c r="O1587" s="8" t="s">
        <v>322</v>
      </c>
      <c r="P1587" s="8"/>
      <c r="Q1587" s="8"/>
      <c r="R1587" s="8">
        <v>303917</v>
      </c>
      <c r="S1587" s="8" t="s">
        <v>332</v>
      </c>
      <c r="T1587" s="8"/>
      <c r="U1587" s="8"/>
      <c r="V1587" s="8"/>
      <c r="W1587" s="8"/>
      <c r="X1587" s="8"/>
      <c r="Y1587" s="8"/>
      <c r="Z1587" s="10" t="s">
        <v>3821</v>
      </c>
      <c r="AA1587" s="8" t="s">
        <v>332</v>
      </c>
      <c r="AB1587" s="8">
        <v>1</v>
      </c>
    </row>
    <row r="1588" spans="1:28" ht="21.6" customHeight="1">
      <c r="A1588" s="8">
        <v>86</v>
      </c>
      <c r="B1588" s="8">
        <v>2026011229</v>
      </c>
      <c r="C1588" s="8">
        <v>1</v>
      </c>
      <c r="D1588" s="8" t="s">
        <v>3177</v>
      </c>
      <c r="E1588" s="8" t="s">
        <v>123</v>
      </c>
      <c r="F1588" s="8" t="s">
        <v>4695</v>
      </c>
      <c r="G1588" s="8" t="s">
        <v>3280</v>
      </c>
      <c r="H1588" s="8" t="s">
        <v>3363</v>
      </c>
      <c r="I1588" s="8" t="s">
        <v>3382</v>
      </c>
      <c r="J1588" s="8" t="s">
        <v>3224</v>
      </c>
      <c r="K1588" s="8" t="s">
        <v>3183</v>
      </c>
      <c r="L1588" s="10" t="s">
        <v>3383</v>
      </c>
      <c r="M1588" s="10" t="s">
        <v>3384</v>
      </c>
      <c r="N1588" s="10" t="s">
        <v>3385</v>
      </c>
      <c r="O1588" s="8" t="s">
        <v>3190</v>
      </c>
      <c r="P1588" s="8">
        <v>7297</v>
      </c>
      <c r="Q1588" s="8">
        <v>15836</v>
      </c>
      <c r="R1588" s="8">
        <v>21833</v>
      </c>
      <c r="S1588" s="8"/>
      <c r="T1588" s="8"/>
      <c r="U1588" s="8"/>
      <c r="V1588" s="8"/>
      <c r="W1588" s="8"/>
      <c r="X1588" s="8"/>
      <c r="Y1588" s="8"/>
      <c r="Z1588" s="10" t="s">
        <v>3186</v>
      </c>
      <c r="AA1588" s="8" t="s">
        <v>332</v>
      </c>
      <c r="AB1588" s="8">
        <v>1</v>
      </c>
    </row>
    <row r="1589" spans="1:28" ht="21.6" customHeight="1">
      <c r="A1589" s="8">
        <v>148</v>
      </c>
      <c r="B1589" s="8">
        <v>2026011560</v>
      </c>
      <c r="C1589" s="8">
        <v>1</v>
      </c>
      <c r="D1589" s="8" t="s">
        <v>3177</v>
      </c>
      <c r="E1589" s="8" t="s">
        <v>118</v>
      </c>
      <c r="F1589" s="8" t="s">
        <v>4778</v>
      </c>
      <c r="G1589" s="8" t="s">
        <v>3350</v>
      </c>
      <c r="H1589" s="8" t="s">
        <v>3280</v>
      </c>
      <c r="I1589" s="8" t="s">
        <v>3365</v>
      </c>
      <c r="J1589" s="8" t="s">
        <v>3195</v>
      </c>
      <c r="K1589" s="8" t="s">
        <v>3183</v>
      </c>
      <c r="L1589" s="10" t="s">
        <v>3366</v>
      </c>
      <c r="M1589" s="10" t="s">
        <v>3367</v>
      </c>
      <c r="N1589" s="10"/>
      <c r="O1589" s="8" t="s">
        <v>322</v>
      </c>
      <c r="P1589" s="8"/>
      <c r="Q1589" s="8">
        <v>2300</v>
      </c>
      <c r="R1589" s="8">
        <v>46000</v>
      </c>
      <c r="S1589" s="8" t="s">
        <v>332</v>
      </c>
      <c r="T1589" s="8"/>
      <c r="U1589" s="8"/>
      <c r="V1589" s="8"/>
      <c r="W1589" s="8"/>
      <c r="X1589" s="8"/>
      <c r="Y1589" s="8"/>
      <c r="Z1589" s="10" t="s">
        <v>3696</v>
      </c>
      <c r="AA1589" s="8" t="s">
        <v>332</v>
      </c>
      <c r="AB1589" s="8">
        <v>1</v>
      </c>
    </row>
    <row r="1590" spans="1:28" ht="21.6" customHeight="1">
      <c r="A1590" s="8">
        <v>150</v>
      </c>
      <c r="B1590" s="8">
        <v>2026011682</v>
      </c>
      <c r="C1590" s="8">
        <v>1</v>
      </c>
      <c r="D1590" s="8" t="s">
        <v>3177</v>
      </c>
      <c r="E1590" s="8" t="s">
        <v>118</v>
      </c>
      <c r="F1590" s="8" t="s">
        <v>4778</v>
      </c>
      <c r="G1590" s="8" t="s">
        <v>3368</v>
      </c>
      <c r="H1590" s="8" t="s">
        <v>3250</v>
      </c>
      <c r="I1590" s="8" t="s">
        <v>3370</v>
      </c>
      <c r="J1590" s="8" t="s">
        <v>3195</v>
      </c>
      <c r="K1590" s="8" t="s">
        <v>3183</v>
      </c>
      <c r="L1590" s="10" t="s">
        <v>3371</v>
      </c>
      <c r="M1590" s="10" t="s">
        <v>3372</v>
      </c>
      <c r="N1590" s="10" t="s">
        <v>3373</v>
      </c>
      <c r="O1590" s="8" t="s">
        <v>322</v>
      </c>
      <c r="P1590" s="8"/>
      <c r="Q1590" s="8">
        <v>18535</v>
      </c>
      <c r="R1590" s="8">
        <v>158844</v>
      </c>
      <c r="S1590" s="8" t="s">
        <v>332</v>
      </c>
      <c r="T1590" s="8"/>
      <c r="U1590" s="8"/>
      <c r="V1590" s="8"/>
      <c r="W1590" s="8"/>
      <c r="X1590" s="8"/>
      <c r="Y1590" s="8"/>
      <c r="Z1590" s="10" t="s">
        <v>3696</v>
      </c>
      <c r="AA1590" s="8" t="s">
        <v>332</v>
      </c>
      <c r="AB1590" s="8">
        <v>1</v>
      </c>
    </row>
    <row r="1591" spans="1:28" ht="21.6" customHeight="1">
      <c r="A1591" s="8">
        <v>175</v>
      </c>
      <c r="B1591" s="8">
        <v>2026011686</v>
      </c>
      <c r="C1591" s="8">
        <v>1</v>
      </c>
      <c r="D1591" s="8" t="s">
        <v>3177</v>
      </c>
      <c r="E1591" s="8" t="s">
        <v>118</v>
      </c>
      <c r="F1591" s="8" t="s">
        <v>4778</v>
      </c>
      <c r="G1591" s="8" t="s">
        <v>3250</v>
      </c>
      <c r="H1591" s="8" t="s">
        <v>3204</v>
      </c>
      <c r="I1591" s="8" t="s">
        <v>3447</v>
      </c>
      <c r="J1591" s="8" t="s">
        <v>3277</v>
      </c>
      <c r="K1591" s="8" t="s">
        <v>3183</v>
      </c>
      <c r="L1591" s="10" t="s">
        <v>3448</v>
      </c>
      <c r="M1591" s="10" t="s">
        <v>3449</v>
      </c>
      <c r="N1591" s="10"/>
      <c r="O1591" s="8" t="s">
        <v>322</v>
      </c>
      <c r="P1591" s="8"/>
      <c r="Q1591" s="8"/>
      <c r="R1591" s="8">
        <v>56000</v>
      </c>
      <c r="S1591" s="8"/>
      <c r="T1591" s="8"/>
      <c r="U1591" s="8"/>
      <c r="V1591" s="8"/>
      <c r="W1591" s="8" t="s">
        <v>332</v>
      </c>
      <c r="X1591" s="8"/>
      <c r="Y1591" s="8"/>
      <c r="Z1591" s="10" t="s">
        <v>4803</v>
      </c>
      <c r="AA1591" s="8" t="s">
        <v>332</v>
      </c>
      <c r="AB1591" s="8">
        <v>1</v>
      </c>
    </row>
    <row r="1592" spans="1:28" ht="21.6" customHeight="1">
      <c r="A1592" s="8">
        <v>186</v>
      </c>
      <c r="B1592" s="8">
        <v>2026011494</v>
      </c>
      <c r="C1592" s="8">
        <v>1</v>
      </c>
      <c r="D1592" s="8" t="s">
        <v>3177</v>
      </c>
      <c r="E1592" s="8" t="s">
        <v>118</v>
      </c>
      <c r="F1592" s="8" t="s">
        <v>4777</v>
      </c>
      <c r="G1592" s="8" t="s">
        <v>3250</v>
      </c>
      <c r="H1592" s="8" t="s">
        <v>3204</v>
      </c>
      <c r="I1592" s="8" t="s">
        <v>4473</v>
      </c>
      <c r="J1592" s="8" t="s">
        <v>3277</v>
      </c>
      <c r="K1592" s="8" t="s">
        <v>3183</v>
      </c>
      <c r="L1592" s="10" t="s">
        <v>3398</v>
      </c>
      <c r="M1592" s="10" t="s">
        <v>3514</v>
      </c>
      <c r="N1592" s="10" t="s">
        <v>3379</v>
      </c>
      <c r="O1592" s="8" t="s">
        <v>322</v>
      </c>
      <c r="P1592" s="8"/>
      <c r="Q1592" s="8"/>
      <c r="R1592" s="8">
        <v>9075</v>
      </c>
      <c r="S1592" s="8" t="s">
        <v>332</v>
      </c>
      <c r="T1592" s="8"/>
      <c r="U1592" s="8"/>
      <c r="V1592" s="8"/>
      <c r="W1592" s="8"/>
      <c r="X1592" s="8"/>
      <c r="Y1592" s="8"/>
      <c r="Z1592" s="10" t="s">
        <v>3696</v>
      </c>
      <c r="AA1592" s="8" t="s">
        <v>332</v>
      </c>
      <c r="AB1592" s="8">
        <v>1</v>
      </c>
    </row>
    <row r="1593" spans="1:28" ht="21.6" customHeight="1">
      <c r="A1593" s="8">
        <v>189</v>
      </c>
      <c r="B1593" s="8">
        <v>2026011743</v>
      </c>
      <c r="C1593" s="8">
        <v>1</v>
      </c>
      <c r="D1593" s="8" t="s">
        <v>3177</v>
      </c>
      <c r="E1593" s="8" t="s">
        <v>118</v>
      </c>
      <c r="F1593" s="8" t="s">
        <v>4778</v>
      </c>
      <c r="G1593" s="8" t="s">
        <v>3431</v>
      </c>
      <c r="H1593" s="8" t="s">
        <v>3432</v>
      </c>
      <c r="I1593" s="8" t="s">
        <v>4397</v>
      </c>
      <c r="J1593" s="8" t="s">
        <v>3288</v>
      </c>
      <c r="K1593" s="8" t="s">
        <v>3183</v>
      </c>
      <c r="L1593" s="10" t="s">
        <v>3254</v>
      </c>
      <c r="M1593" s="10" t="s">
        <v>3734</v>
      </c>
      <c r="N1593" s="10" t="s">
        <v>3735</v>
      </c>
      <c r="O1593" s="8" t="s">
        <v>363</v>
      </c>
      <c r="P1593" s="8"/>
      <c r="Q1593" s="8">
        <v>187</v>
      </c>
      <c r="R1593" s="8">
        <v>18579</v>
      </c>
      <c r="S1593" s="8"/>
      <c r="T1593" s="8"/>
      <c r="U1593" s="8"/>
      <c r="V1593" s="8"/>
      <c r="W1593" s="8"/>
      <c r="X1593" s="8"/>
      <c r="Y1593" s="8"/>
      <c r="Z1593" s="10" t="s">
        <v>4804</v>
      </c>
      <c r="AA1593" s="8" t="s">
        <v>332</v>
      </c>
      <c r="AB1593" s="8">
        <v>1</v>
      </c>
    </row>
    <row r="1594" spans="1:28" ht="21.6" customHeight="1">
      <c r="A1594" s="8">
        <v>200</v>
      </c>
      <c r="B1594" s="8">
        <v>2026011698</v>
      </c>
      <c r="C1594" s="8">
        <v>1</v>
      </c>
      <c r="D1594" s="8" t="s">
        <v>3177</v>
      </c>
      <c r="E1594" s="8" t="s">
        <v>118</v>
      </c>
      <c r="F1594" s="8" t="s">
        <v>4778</v>
      </c>
      <c r="G1594" s="8" t="s">
        <v>3204</v>
      </c>
      <c r="H1594" s="8" t="s">
        <v>3777</v>
      </c>
      <c r="I1594" s="8" t="s">
        <v>3536</v>
      </c>
      <c r="J1594" s="8" t="s">
        <v>3298</v>
      </c>
      <c r="K1594" s="8" t="s">
        <v>3183</v>
      </c>
      <c r="L1594" s="10" t="s">
        <v>3537</v>
      </c>
      <c r="M1594" s="10" t="s">
        <v>3538</v>
      </c>
      <c r="N1594" s="10"/>
      <c r="O1594" s="8" t="s">
        <v>363</v>
      </c>
      <c r="P1594" s="8"/>
      <c r="Q1594" s="8"/>
      <c r="R1594" s="8">
        <v>151421</v>
      </c>
      <c r="S1594" s="8"/>
      <c r="T1594" s="8"/>
      <c r="U1594" s="8"/>
      <c r="V1594" s="8"/>
      <c r="W1594" s="8"/>
      <c r="X1594" s="8"/>
      <c r="Y1594" s="8"/>
      <c r="Z1594" s="10" t="s">
        <v>3702</v>
      </c>
      <c r="AA1594" s="8" t="s">
        <v>332</v>
      </c>
      <c r="AB1594" s="8">
        <v>1</v>
      </c>
    </row>
    <row r="1595" spans="1:28" ht="21.6" customHeight="1">
      <c r="A1595" s="8">
        <v>201</v>
      </c>
      <c r="B1595" s="8">
        <v>2026010959</v>
      </c>
      <c r="C1595" s="8">
        <v>1</v>
      </c>
      <c r="D1595" s="8" t="s">
        <v>3177</v>
      </c>
      <c r="E1595" s="8" t="s">
        <v>118</v>
      </c>
      <c r="F1595" s="8" t="s">
        <v>4710</v>
      </c>
      <c r="G1595" s="8" t="s">
        <v>3401</v>
      </c>
      <c r="H1595" s="8" t="s">
        <v>3357</v>
      </c>
      <c r="I1595" s="8" t="s">
        <v>3978</v>
      </c>
      <c r="J1595" s="8" t="s">
        <v>3301</v>
      </c>
      <c r="K1595" s="8" t="s">
        <v>3183</v>
      </c>
      <c r="L1595" s="10" t="s">
        <v>4481</v>
      </c>
      <c r="M1595" s="10" t="s">
        <v>3980</v>
      </c>
      <c r="N1595" s="10" t="s">
        <v>3497</v>
      </c>
      <c r="O1595" s="8" t="s">
        <v>3190</v>
      </c>
      <c r="P1595" s="8"/>
      <c r="Q1595" s="8">
        <v>15588</v>
      </c>
      <c r="R1595" s="8">
        <v>29606</v>
      </c>
      <c r="S1595" s="8"/>
      <c r="T1595" s="8"/>
      <c r="U1595" s="8"/>
      <c r="V1595" s="8"/>
      <c r="W1595" s="8"/>
      <c r="X1595" s="8"/>
      <c r="Y1595" s="8"/>
      <c r="Z1595" s="10" t="s">
        <v>3696</v>
      </c>
      <c r="AA1595" s="8" t="s">
        <v>332</v>
      </c>
      <c r="AB1595" s="8">
        <v>1</v>
      </c>
    </row>
    <row r="1596" spans="1:28" ht="21.6" customHeight="1">
      <c r="A1596" s="8">
        <v>216</v>
      </c>
      <c r="B1596" s="8">
        <v>2026010769</v>
      </c>
      <c r="C1596" s="8">
        <v>1</v>
      </c>
      <c r="D1596" s="8" t="s">
        <v>3177</v>
      </c>
      <c r="E1596" s="8" t="s">
        <v>118</v>
      </c>
      <c r="F1596" s="8" t="s">
        <v>4751</v>
      </c>
      <c r="G1596" s="8" t="s">
        <v>3427</v>
      </c>
      <c r="H1596" s="8" t="s">
        <v>3386</v>
      </c>
      <c r="I1596" s="8" t="s">
        <v>4375</v>
      </c>
      <c r="J1596" s="8" t="s">
        <v>3543</v>
      </c>
      <c r="K1596" s="8" t="s">
        <v>3183</v>
      </c>
      <c r="L1596" s="10" t="s">
        <v>3254</v>
      </c>
      <c r="M1596" s="10" t="s">
        <v>3742</v>
      </c>
      <c r="N1596" s="10" t="s">
        <v>4376</v>
      </c>
      <c r="O1596" s="8" t="s">
        <v>3190</v>
      </c>
      <c r="P1596" s="8"/>
      <c r="Q1596" s="8"/>
      <c r="R1596" s="8">
        <v>0</v>
      </c>
      <c r="S1596" s="8"/>
      <c r="T1596" s="8"/>
      <c r="U1596" s="8"/>
      <c r="V1596" s="8"/>
      <c r="W1596" s="8"/>
      <c r="X1596" s="8"/>
      <c r="Y1596" s="8"/>
      <c r="Z1596" s="10" t="s">
        <v>3696</v>
      </c>
      <c r="AA1596" s="8" t="s">
        <v>332</v>
      </c>
      <c r="AB1596" s="8">
        <v>1</v>
      </c>
    </row>
    <row r="1597" spans="1:28" ht="21.6" customHeight="1">
      <c r="A1597" s="8">
        <v>22</v>
      </c>
      <c r="B1597" s="8">
        <v>2026011831</v>
      </c>
      <c r="C1597" s="8">
        <v>1</v>
      </c>
      <c r="D1597" s="8" t="s">
        <v>3177</v>
      </c>
      <c r="E1597" s="8" t="s">
        <v>133</v>
      </c>
      <c r="F1597" s="8" t="s">
        <v>4805</v>
      </c>
      <c r="G1597" s="8" t="s">
        <v>3577</v>
      </c>
      <c r="H1597" s="8" t="s">
        <v>3726</v>
      </c>
      <c r="I1597" s="8" t="s">
        <v>4806</v>
      </c>
      <c r="J1597" s="8" t="s">
        <v>3253</v>
      </c>
      <c r="K1597" s="8" t="s">
        <v>3183</v>
      </c>
      <c r="L1597" s="10" t="s">
        <v>4807</v>
      </c>
      <c r="M1597" s="10" t="s">
        <v>4808</v>
      </c>
      <c r="N1597" s="10" t="s">
        <v>4809</v>
      </c>
      <c r="O1597" s="8" t="s">
        <v>322</v>
      </c>
      <c r="P1597" s="8"/>
      <c r="Q1597" s="8"/>
      <c r="R1597" s="8">
        <v>18290</v>
      </c>
      <c r="S1597" s="8" t="s">
        <v>332</v>
      </c>
      <c r="T1597" s="8"/>
      <c r="U1597" s="8"/>
      <c r="V1597" s="8"/>
      <c r="W1597" s="8"/>
      <c r="X1597" s="8"/>
      <c r="Y1597" s="8"/>
      <c r="Z1597" s="10" t="s">
        <v>3821</v>
      </c>
      <c r="AA1597" s="8" t="s">
        <v>332</v>
      </c>
      <c r="AB1597" s="8">
        <v>1</v>
      </c>
    </row>
    <row r="1598" spans="1:28" ht="21.6" customHeight="1">
      <c r="A1598" s="8">
        <v>23</v>
      </c>
      <c r="B1598" s="8">
        <v>2026011833</v>
      </c>
      <c r="C1598" s="8">
        <v>1</v>
      </c>
      <c r="D1598" s="8" t="s">
        <v>3177</v>
      </c>
      <c r="E1598" s="8" t="s">
        <v>133</v>
      </c>
      <c r="F1598" s="8" t="s">
        <v>4805</v>
      </c>
      <c r="G1598" s="8" t="s">
        <v>3726</v>
      </c>
      <c r="H1598" s="8" t="s">
        <v>3342</v>
      </c>
      <c r="I1598" s="8" t="s">
        <v>4810</v>
      </c>
      <c r="J1598" s="8" t="s">
        <v>3253</v>
      </c>
      <c r="K1598" s="8" t="s">
        <v>3183</v>
      </c>
      <c r="L1598" s="10" t="s">
        <v>4807</v>
      </c>
      <c r="M1598" s="10" t="s">
        <v>4811</v>
      </c>
      <c r="N1598" s="10" t="s">
        <v>4812</v>
      </c>
      <c r="O1598" s="8" t="s">
        <v>322</v>
      </c>
      <c r="P1598" s="8"/>
      <c r="Q1598" s="8"/>
      <c r="R1598" s="8">
        <v>115130</v>
      </c>
      <c r="S1598" s="8" t="s">
        <v>332</v>
      </c>
      <c r="T1598" s="8"/>
      <c r="U1598" s="8"/>
      <c r="V1598" s="8"/>
      <c r="W1598" s="8"/>
      <c r="X1598" s="8"/>
      <c r="Y1598" s="8"/>
      <c r="Z1598" s="10" t="s">
        <v>3821</v>
      </c>
      <c r="AA1598" s="8" t="s">
        <v>332</v>
      </c>
      <c r="AB1598" s="8">
        <v>1</v>
      </c>
    </row>
    <row r="1599" spans="1:28" ht="21.6" customHeight="1">
      <c r="A1599" s="8">
        <v>24</v>
      </c>
      <c r="B1599" s="8">
        <v>2026011826</v>
      </c>
      <c r="C1599" s="8">
        <v>1</v>
      </c>
      <c r="D1599" s="8" t="s">
        <v>3177</v>
      </c>
      <c r="E1599" s="8" t="s">
        <v>133</v>
      </c>
      <c r="F1599" s="8" t="s">
        <v>4805</v>
      </c>
      <c r="G1599" s="8" t="s">
        <v>4113</v>
      </c>
      <c r="H1599" s="8" t="s">
        <v>3638</v>
      </c>
      <c r="I1599" s="8" t="s">
        <v>4813</v>
      </c>
      <c r="J1599" s="8" t="s">
        <v>3253</v>
      </c>
      <c r="K1599" s="8" t="s">
        <v>3183</v>
      </c>
      <c r="L1599" s="10" t="s">
        <v>4807</v>
      </c>
      <c r="M1599" s="10" t="s">
        <v>4814</v>
      </c>
      <c r="N1599" s="10" t="s">
        <v>4815</v>
      </c>
      <c r="O1599" s="8" t="s">
        <v>322</v>
      </c>
      <c r="P1599" s="8"/>
      <c r="Q1599" s="8"/>
      <c r="R1599" s="8">
        <v>45526</v>
      </c>
      <c r="S1599" s="8" t="s">
        <v>332</v>
      </c>
      <c r="T1599" s="8"/>
      <c r="U1599" s="8"/>
      <c r="V1599" s="8"/>
      <c r="W1599" s="8"/>
      <c r="X1599" s="8"/>
      <c r="Y1599" s="8"/>
      <c r="Z1599" s="10" t="s">
        <v>3821</v>
      </c>
      <c r="AA1599" s="8" t="s">
        <v>332</v>
      </c>
      <c r="AB1599" s="8">
        <v>1</v>
      </c>
    </row>
    <row r="1600" spans="1:28" ht="21.6" customHeight="1">
      <c r="A1600" s="8">
        <v>27</v>
      </c>
      <c r="B1600" s="8">
        <v>2026011770</v>
      </c>
      <c r="C1600" s="8">
        <v>1</v>
      </c>
      <c r="D1600" s="8" t="s">
        <v>3177</v>
      </c>
      <c r="E1600" s="8" t="s">
        <v>133</v>
      </c>
      <c r="F1600" s="8" t="s">
        <v>4805</v>
      </c>
      <c r="G1600" s="8" t="s">
        <v>3950</v>
      </c>
      <c r="H1600" s="8" t="s">
        <v>4816</v>
      </c>
      <c r="I1600" s="8" t="s">
        <v>4817</v>
      </c>
      <c r="J1600" s="8" t="s">
        <v>3277</v>
      </c>
      <c r="K1600" s="8" t="s">
        <v>3183</v>
      </c>
      <c r="L1600" s="10" t="s">
        <v>4724</v>
      </c>
      <c r="M1600" s="10" t="s">
        <v>4818</v>
      </c>
      <c r="N1600" s="10"/>
      <c r="O1600" s="8" t="s">
        <v>322</v>
      </c>
      <c r="P1600" s="8"/>
      <c r="Q1600" s="8"/>
      <c r="R1600" s="8">
        <v>131080</v>
      </c>
      <c r="S1600" s="8" t="s">
        <v>332</v>
      </c>
      <c r="T1600" s="8"/>
      <c r="U1600" s="8"/>
      <c r="V1600" s="8"/>
      <c r="W1600" s="8"/>
      <c r="X1600" s="8"/>
      <c r="Y1600" s="8"/>
      <c r="Z1600" s="10" t="s">
        <v>3821</v>
      </c>
      <c r="AA1600" s="8" t="s">
        <v>332</v>
      </c>
      <c r="AB1600" s="8">
        <v>1</v>
      </c>
    </row>
    <row r="1601" spans="1:28" ht="21.6" customHeight="1">
      <c r="A1601" s="8">
        <v>37</v>
      </c>
      <c r="B1601" s="8">
        <v>2026011823</v>
      </c>
      <c r="C1601" s="8">
        <v>1</v>
      </c>
      <c r="D1601" s="8" t="s">
        <v>3177</v>
      </c>
      <c r="E1601" s="8" t="s">
        <v>133</v>
      </c>
      <c r="F1601" s="8" t="s">
        <v>4805</v>
      </c>
      <c r="G1601" s="8" t="s">
        <v>3233</v>
      </c>
      <c r="H1601" s="8" t="s">
        <v>4113</v>
      </c>
      <c r="I1601" s="8" t="s">
        <v>4819</v>
      </c>
      <c r="J1601" s="8" t="s">
        <v>3288</v>
      </c>
      <c r="K1601" s="8" t="s">
        <v>3183</v>
      </c>
      <c r="L1601" s="10" t="s">
        <v>4820</v>
      </c>
      <c r="M1601" s="10" t="s">
        <v>4821</v>
      </c>
      <c r="N1601" s="10" t="s">
        <v>4822</v>
      </c>
      <c r="O1601" s="8" t="s">
        <v>322</v>
      </c>
      <c r="P1601" s="8"/>
      <c r="Q1601" s="8">
        <v>8850</v>
      </c>
      <c r="R1601" s="8">
        <v>10913</v>
      </c>
      <c r="S1601" s="8" t="s">
        <v>332</v>
      </c>
      <c r="T1601" s="8"/>
      <c r="U1601" s="8"/>
      <c r="V1601" s="8"/>
      <c r="W1601" s="8"/>
      <c r="X1601" s="8"/>
      <c r="Y1601" s="8"/>
      <c r="Z1601" s="10" t="s">
        <v>3821</v>
      </c>
      <c r="AA1601" s="8" t="s">
        <v>332</v>
      </c>
      <c r="AB1601" s="8">
        <v>1</v>
      </c>
    </row>
    <row r="1602" spans="1:28" ht="21.6" customHeight="1">
      <c r="A1602" s="8">
        <v>43</v>
      </c>
      <c r="B1602" s="8">
        <v>2026011835</v>
      </c>
      <c r="C1602" s="8">
        <v>1</v>
      </c>
      <c r="D1602" s="8" t="s">
        <v>3177</v>
      </c>
      <c r="E1602" s="8" t="s">
        <v>133</v>
      </c>
      <c r="F1602" s="8" t="s">
        <v>4805</v>
      </c>
      <c r="G1602" s="8" t="s">
        <v>3342</v>
      </c>
      <c r="H1602" s="8" t="s">
        <v>3920</v>
      </c>
      <c r="I1602" s="8" t="s">
        <v>4823</v>
      </c>
      <c r="J1602" s="8" t="s">
        <v>3298</v>
      </c>
      <c r="K1602" s="8" t="s">
        <v>3183</v>
      </c>
      <c r="L1602" s="10" t="s">
        <v>4807</v>
      </c>
      <c r="M1602" s="10" t="s">
        <v>4824</v>
      </c>
      <c r="N1602" s="10" t="s">
        <v>4825</v>
      </c>
      <c r="O1602" s="8" t="s">
        <v>322</v>
      </c>
      <c r="P1602" s="8"/>
      <c r="Q1602" s="8"/>
      <c r="R1602" s="8">
        <v>77530</v>
      </c>
      <c r="S1602" s="8" t="s">
        <v>332</v>
      </c>
      <c r="T1602" s="8"/>
      <c r="U1602" s="8"/>
      <c r="V1602" s="8"/>
      <c r="W1602" s="8"/>
      <c r="X1602" s="8"/>
      <c r="Y1602" s="8"/>
      <c r="Z1602" s="10" t="s">
        <v>3821</v>
      </c>
      <c r="AA1602" s="8" t="s">
        <v>332</v>
      </c>
      <c r="AB1602" s="8">
        <v>1</v>
      </c>
    </row>
    <row r="1603" spans="1:28" ht="21.6" customHeight="1">
      <c r="A1603" s="8">
        <v>53</v>
      </c>
      <c r="B1603" s="8">
        <v>2026011829</v>
      </c>
      <c r="C1603" s="8">
        <v>1</v>
      </c>
      <c r="D1603" s="8" t="s">
        <v>3177</v>
      </c>
      <c r="E1603" s="8" t="s">
        <v>133</v>
      </c>
      <c r="F1603" s="8" t="s">
        <v>4805</v>
      </c>
      <c r="G1603" s="8" t="s">
        <v>3401</v>
      </c>
      <c r="H1603" s="8" t="s">
        <v>3577</v>
      </c>
      <c r="I1603" s="8" t="s">
        <v>4826</v>
      </c>
      <c r="J1603" s="8" t="s">
        <v>3301</v>
      </c>
      <c r="K1603" s="8" t="s">
        <v>3183</v>
      </c>
      <c r="L1603" s="10" t="s">
        <v>4807</v>
      </c>
      <c r="M1603" s="10" t="s">
        <v>4814</v>
      </c>
      <c r="N1603" s="10" t="s">
        <v>4815</v>
      </c>
      <c r="O1603" s="8" t="s">
        <v>322</v>
      </c>
      <c r="P1603" s="8"/>
      <c r="Q1603" s="8">
        <v>1380</v>
      </c>
      <c r="R1603" s="8">
        <v>648</v>
      </c>
      <c r="S1603" s="8" t="s">
        <v>332</v>
      </c>
      <c r="T1603" s="8"/>
      <c r="U1603" s="8"/>
      <c r="V1603" s="8"/>
      <c r="W1603" s="8"/>
      <c r="X1603" s="8"/>
      <c r="Y1603" s="8"/>
      <c r="Z1603" s="10" t="s">
        <v>3821</v>
      </c>
      <c r="AA1603" s="8" t="s">
        <v>332</v>
      </c>
      <c r="AB1603" s="8">
        <v>1</v>
      </c>
    </row>
    <row r="1604" spans="1:28" ht="21.6" customHeight="1">
      <c r="A1604" s="8">
        <v>54</v>
      </c>
      <c r="B1604" s="8">
        <v>2026011873</v>
      </c>
      <c r="C1604" s="8">
        <v>1</v>
      </c>
      <c r="D1604" s="8" t="s">
        <v>3177</v>
      </c>
      <c r="E1604" s="8" t="s">
        <v>133</v>
      </c>
      <c r="F1604" s="8" t="s">
        <v>4805</v>
      </c>
      <c r="G1604" s="8" t="s">
        <v>3755</v>
      </c>
      <c r="H1604" s="8" t="s">
        <v>3790</v>
      </c>
      <c r="I1604" s="8" t="s">
        <v>4827</v>
      </c>
      <c r="J1604" s="8" t="s">
        <v>4553</v>
      </c>
      <c r="K1604" s="8" t="s">
        <v>3183</v>
      </c>
      <c r="L1604" s="10" t="s">
        <v>4828</v>
      </c>
      <c r="M1604" s="10" t="s">
        <v>4829</v>
      </c>
      <c r="N1604" s="10"/>
      <c r="O1604" s="8" t="s">
        <v>322</v>
      </c>
      <c r="P1604" s="8"/>
      <c r="Q1604" s="8"/>
      <c r="R1604" s="8">
        <v>108275</v>
      </c>
      <c r="S1604" s="8" t="s">
        <v>332</v>
      </c>
      <c r="T1604" s="8"/>
      <c r="U1604" s="8"/>
      <c r="V1604" s="8"/>
      <c r="W1604" s="8"/>
      <c r="X1604" s="8"/>
      <c r="Y1604" s="8"/>
      <c r="Z1604" s="10" t="s">
        <v>3821</v>
      </c>
      <c r="AA1604" s="8" t="s">
        <v>332</v>
      </c>
      <c r="AB1604" s="8">
        <v>1</v>
      </c>
    </row>
    <row r="1605" spans="1:28" ht="21.6" customHeight="1">
      <c r="A1605" s="8">
        <v>56</v>
      </c>
      <c r="B1605" s="8">
        <v>2026011878</v>
      </c>
      <c r="C1605" s="8">
        <v>1</v>
      </c>
      <c r="D1605" s="8" t="s">
        <v>3177</v>
      </c>
      <c r="E1605" s="8" t="s">
        <v>133</v>
      </c>
      <c r="F1605" s="8" t="s">
        <v>4805</v>
      </c>
      <c r="G1605" s="8" t="s">
        <v>3710</v>
      </c>
      <c r="H1605" s="8" t="s">
        <v>3654</v>
      </c>
      <c r="I1605" s="8" t="s">
        <v>4830</v>
      </c>
      <c r="J1605" s="8" t="s">
        <v>4553</v>
      </c>
      <c r="K1605" s="8" t="s">
        <v>3183</v>
      </c>
      <c r="L1605" s="10" t="s">
        <v>4831</v>
      </c>
      <c r="M1605" s="10" t="s">
        <v>4832</v>
      </c>
      <c r="N1605" s="10"/>
      <c r="O1605" s="8" t="s">
        <v>322</v>
      </c>
      <c r="P1605" s="8"/>
      <c r="Q1605" s="8"/>
      <c r="R1605" s="8">
        <v>194091</v>
      </c>
      <c r="S1605" s="8" t="s">
        <v>332</v>
      </c>
      <c r="T1605" s="8"/>
      <c r="U1605" s="8"/>
      <c r="V1605" s="8"/>
      <c r="W1605" s="8"/>
      <c r="X1605" s="8"/>
      <c r="Y1605" s="8"/>
      <c r="Z1605" s="10" t="s">
        <v>3821</v>
      </c>
      <c r="AA1605" s="8" t="s">
        <v>332</v>
      </c>
      <c r="AB1605" s="8">
        <v>1</v>
      </c>
    </row>
    <row r="1606" spans="1:28" ht="21.6" customHeight="1">
      <c r="A1606" s="8">
        <v>62</v>
      </c>
      <c r="B1606" s="8">
        <v>2026011788</v>
      </c>
      <c r="C1606" s="8">
        <v>1</v>
      </c>
      <c r="D1606" s="8" t="s">
        <v>3177</v>
      </c>
      <c r="E1606" s="8" t="s">
        <v>133</v>
      </c>
      <c r="F1606" s="8" t="s">
        <v>4805</v>
      </c>
      <c r="G1606" s="8" t="s">
        <v>3363</v>
      </c>
      <c r="H1606" s="8" t="s">
        <v>4135</v>
      </c>
      <c r="I1606" s="8" t="s">
        <v>4833</v>
      </c>
      <c r="J1606" s="8" t="s">
        <v>4834</v>
      </c>
      <c r="K1606" s="8" t="s">
        <v>3183</v>
      </c>
      <c r="L1606" s="10" t="s">
        <v>4807</v>
      </c>
      <c r="M1606" s="10" t="s">
        <v>4835</v>
      </c>
      <c r="N1606" s="10" t="s">
        <v>4836</v>
      </c>
      <c r="O1606" s="8" t="s">
        <v>322</v>
      </c>
      <c r="P1606" s="8"/>
      <c r="Q1606" s="8"/>
      <c r="R1606" s="8">
        <v>43</v>
      </c>
      <c r="S1606" s="8" t="s">
        <v>332</v>
      </c>
      <c r="T1606" s="8"/>
      <c r="U1606" s="8"/>
      <c r="V1606" s="8"/>
      <c r="W1606" s="8"/>
      <c r="X1606" s="8"/>
      <c r="Y1606" s="8"/>
      <c r="Z1606" s="10" t="s">
        <v>3821</v>
      </c>
      <c r="AA1606" s="8" t="s">
        <v>332</v>
      </c>
      <c r="AB1606" s="8">
        <v>1</v>
      </c>
    </row>
    <row r="1607" spans="1:28" ht="21.6" customHeight="1">
      <c r="A1607" s="8">
        <v>70</v>
      </c>
      <c r="B1607" s="8">
        <v>2026011827</v>
      </c>
      <c r="C1607" s="8">
        <v>1</v>
      </c>
      <c r="D1607" s="8" t="s">
        <v>3177</v>
      </c>
      <c r="E1607" s="8" t="s">
        <v>133</v>
      </c>
      <c r="F1607" s="8" t="s">
        <v>4805</v>
      </c>
      <c r="G1607" s="8" t="s">
        <v>3638</v>
      </c>
      <c r="H1607" s="8" t="s">
        <v>3401</v>
      </c>
      <c r="I1607" s="8" t="s">
        <v>4837</v>
      </c>
      <c r="J1607" s="8" t="s">
        <v>1717</v>
      </c>
      <c r="K1607" s="8" t="s">
        <v>3183</v>
      </c>
      <c r="L1607" s="10" t="s">
        <v>4807</v>
      </c>
      <c r="M1607" s="10" t="s">
        <v>4838</v>
      </c>
      <c r="N1607" s="10" t="s">
        <v>4839</v>
      </c>
      <c r="O1607" s="8" t="s">
        <v>322</v>
      </c>
      <c r="P1607" s="8"/>
      <c r="Q1607" s="8"/>
      <c r="R1607" s="8">
        <v>43813</v>
      </c>
      <c r="S1607" s="8" t="s">
        <v>332</v>
      </c>
      <c r="T1607" s="8"/>
      <c r="U1607" s="8"/>
      <c r="V1607" s="8"/>
      <c r="W1607" s="8"/>
      <c r="X1607" s="8"/>
      <c r="Y1607" s="8"/>
      <c r="Z1607" s="10" t="s">
        <v>3821</v>
      </c>
      <c r="AA1607" s="8" t="s">
        <v>332</v>
      </c>
      <c r="AB1607" s="8">
        <v>1</v>
      </c>
    </row>
    <row r="1608" spans="1:28" ht="21.6" customHeight="1">
      <c r="A1608" s="8">
        <v>101</v>
      </c>
      <c r="B1608" s="8">
        <v>2026011850</v>
      </c>
      <c r="C1608" s="8">
        <v>1</v>
      </c>
      <c r="D1608" s="8" t="s">
        <v>3177</v>
      </c>
      <c r="E1608" s="8" t="s">
        <v>133</v>
      </c>
      <c r="F1608" s="8" t="s">
        <v>4805</v>
      </c>
      <c r="G1608" s="8" t="s">
        <v>4031</v>
      </c>
      <c r="H1608" s="8" t="s">
        <v>4209</v>
      </c>
      <c r="I1608" s="8" t="s">
        <v>4840</v>
      </c>
      <c r="J1608" s="8" t="s">
        <v>4841</v>
      </c>
      <c r="K1608" s="8" t="s">
        <v>3183</v>
      </c>
      <c r="L1608" s="10" t="s">
        <v>4807</v>
      </c>
      <c r="M1608" s="10" t="s">
        <v>4842</v>
      </c>
      <c r="N1608" s="10" t="s">
        <v>4843</v>
      </c>
      <c r="O1608" s="8" t="s">
        <v>322</v>
      </c>
      <c r="P1608" s="8"/>
      <c r="Q1608" s="8"/>
      <c r="R1608" s="8">
        <v>2538</v>
      </c>
      <c r="S1608" s="8" t="s">
        <v>332</v>
      </c>
      <c r="T1608" s="8"/>
      <c r="U1608" s="8"/>
      <c r="V1608" s="8"/>
      <c r="W1608" s="8"/>
      <c r="X1608" s="8"/>
      <c r="Y1608" s="8"/>
      <c r="Z1608" s="10" t="s">
        <v>3821</v>
      </c>
      <c r="AA1608" s="8" t="s">
        <v>332</v>
      </c>
      <c r="AB1608" s="8">
        <v>1</v>
      </c>
    </row>
    <row r="1609" spans="1:28" ht="21.6" customHeight="1">
      <c r="A1609" s="8">
        <v>108</v>
      </c>
      <c r="B1609" s="8">
        <v>2026011842</v>
      </c>
      <c r="C1609" s="8">
        <v>1</v>
      </c>
      <c r="D1609" s="8" t="s">
        <v>3177</v>
      </c>
      <c r="E1609" s="8" t="s">
        <v>123</v>
      </c>
      <c r="F1609" s="8" t="s">
        <v>4805</v>
      </c>
      <c r="G1609" s="8" t="s">
        <v>4844</v>
      </c>
      <c r="H1609" s="8" t="s">
        <v>3920</v>
      </c>
      <c r="I1609" s="8" t="s">
        <v>4500</v>
      </c>
      <c r="J1609" s="8" t="s">
        <v>3224</v>
      </c>
      <c r="K1609" s="8" t="s">
        <v>3183</v>
      </c>
      <c r="L1609" s="10" t="s">
        <v>3207</v>
      </c>
      <c r="M1609" s="10" t="s">
        <v>3208</v>
      </c>
      <c r="N1609" s="10" t="s">
        <v>3209</v>
      </c>
      <c r="O1609" s="8" t="s">
        <v>3190</v>
      </c>
      <c r="P1609" s="8"/>
      <c r="Q1609" s="8">
        <v>10510</v>
      </c>
      <c r="R1609" s="8">
        <v>7982</v>
      </c>
      <c r="S1609" s="8"/>
      <c r="T1609" s="8"/>
      <c r="U1609" s="8"/>
      <c r="V1609" s="8"/>
      <c r="W1609" s="8"/>
      <c r="X1609" s="8"/>
      <c r="Y1609" s="8"/>
      <c r="Z1609" s="10" t="s">
        <v>3186</v>
      </c>
      <c r="AA1609" s="8" t="s">
        <v>332</v>
      </c>
      <c r="AB1609" s="8">
        <v>1</v>
      </c>
    </row>
    <row r="1610" spans="1:28" ht="21.6" customHeight="1">
      <c r="A1610" s="8">
        <v>110</v>
      </c>
      <c r="B1610" s="8">
        <v>2026011837</v>
      </c>
      <c r="C1610" s="8">
        <v>1</v>
      </c>
      <c r="D1610" s="8" t="s">
        <v>3177</v>
      </c>
      <c r="E1610" s="8" t="s">
        <v>123</v>
      </c>
      <c r="F1610" s="8" t="s">
        <v>4805</v>
      </c>
      <c r="G1610" s="8" t="s">
        <v>3357</v>
      </c>
      <c r="H1610" s="8" t="s">
        <v>3291</v>
      </c>
      <c r="I1610" s="8" t="s">
        <v>3259</v>
      </c>
      <c r="J1610" s="8" t="s">
        <v>3253</v>
      </c>
      <c r="K1610" s="8" t="s">
        <v>3183</v>
      </c>
      <c r="L1610" s="10" t="s">
        <v>3207</v>
      </c>
      <c r="M1610" s="10" t="s">
        <v>3208</v>
      </c>
      <c r="N1610" s="10" t="s">
        <v>3260</v>
      </c>
      <c r="O1610" s="8" t="s">
        <v>322</v>
      </c>
      <c r="P1610" s="8"/>
      <c r="Q1610" s="8"/>
      <c r="R1610" s="8">
        <v>8234</v>
      </c>
      <c r="S1610" s="8" t="s">
        <v>332</v>
      </c>
      <c r="T1610" s="8"/>
      <c r="U1610" s="8"/>
      <c r="V1610" s="8"/>
      <c r="W1610" s="8"/>
      <c r="X1610" s="8"/>
      <c r="Y1610" s="8"/>
      <c r="Z1610" s="10" t="s">
        <v>3186</v>
      </c>
      <c r="AA1610" s="8" t="s">
        <v>332</v>
      </c>
      <c r="AB1610" s="8">
        <v>1</v>
      </c>
    </row>
    <row r="1611" spans="1:28" ht="21.6" customHeight="1">
      <c r="A1611" s="8">
        <v>119</v>
      </c>
      <c r="B1611" s="8">
        <v>2026011839</v>
      </c>
      <c r="C1611" s="8">
        <v>1</v>
      </c>
      <c r="D1611" s="8" t="s">
        <v>3177</v>
      </c>
      <c r="E1611" s="8" t="s">
        <v>123</v>
      </c>
      <c r="F1611" s="8" t="s">
        <v>4805</v>
      </c>
      <c r="G1611" s="8" t="s">
        <v>3903</v>
      </c>
      <c r="H1611" s="8" t="s">
        <v>3627</v>
      </c>
      <c r="I1611" s="8" t="s">
        <v>4502</v>
      </c>
      <c r="J1611" s="8" t="s">
        <v>3277</v>
      </c>
      <c r="K1611" s="8" t="s">
        <v>3183</v>
      </c>
      <c r="L1611" s="10" t="s">
        <v>3207</v>
      </c>
      <c r="M1611" s="10" t="s">
        <v>3208</v>
      </c>
      <c r="N1611" s="10" t="s">
        <v>3299</v>
      </c>
      <c r="O1611" s="8" t="s">
        <v>322</v>
      </c>
      <c r="P1611" s="8"/>
      <c r="Q1611" s="8"/>
      <c r="R1611" s="8">
        <v>20821</v>
      </c>
      <c r="S1611" s="8" t="s">
        <v>332</v>
      </c>
      <c r="T1611" s="8"/>
      <c r="U1611" s="8"/>
      <c r="V1611" s="8"/>
      <c r="W1611" s="8"/>
      <c r="X1611" s="8"/>
      <c r="Y1611" s="8"/>
      <c r="Z1611" s="10" t="s">
        <v>3186</v>
      </c>
      <c r="AA1611" s="8" t="s">
        <v>332</v>
      </c>
      <c r="AB1611" s="8">
        <v>1</v>
      </c>
    </row>
    <row r="1612" spans="1:28" ht="21.6" customHeight="1">
      <c r="A1612" s="8">
        <v>202</v>
      </c>
      <c r="B1612" s="8">
        <v>2026011902</v>
      </c>
      <c r="C1612" s="8">
        <v>1</v>
      </c>
      <c r="D1612" s="8" t="s">
        <v>3177</v>
      </c>
      <c r="E1612" s="8" t="s">
        <v>118</v>
      </c>
      <c r="F1612" s="8" t="s">
        <v>4805</v>
      </c>
      <c r="G1612" s="8" t="s">
        <v>3426</v>
      </c>
      <c r="H1612" s="8" t="s">
        <v>3432</v>
      </c>
      <c r="I1612" s="8" t="s">
        <v>3452</v>
      </c>
      <c r="J1612" s="8" t="s">
        <v>3277</v>
      </c>
      <c r="K1612" s="8" t="s">
        <v>3183</v>
      </c>
      <c r="L1612" s="10" t="s">
        <v>3254</v>
      </c>
      <c r="M1612" s="10" t="s">
        <v>3453</v>
      </c>
      <c r="N1612" s="10" t="s">
        <v>4606</v>
      </c>
      <c r="O1612" s="8" t="s">
        <v>363</v>
      </c>
      <c r="P1612" s="8"/>
      <c r="Q1612" s="8"/>
      <c r="R1612" s="8">
        <v>29737</v>
      </c>
      <c r="S1612" s="8"/>
      <c r="T1612" s="8"/>
      <c r="U1612" s="8"/>
      <c r="V1612" s="8"/>
      <c r="W1612" s="8"/>
      <c r="X1612" s="8"/>
      <c r="Y1612" s="8"/>
      <c r="Z1612" s="10" t="s">
        <v>4845</v>
      </c>
      <c r="AA1612" s="8" t="s">
        <v>332</v>
      </c>
      <c r="AB1612" s="8">
        <v>1</v>
      </c>
    </row>
    <row r="1613" spans="1:28" ht="21.6" customHeight="1">
      <c r="A1613" s="8">
        <v>228</v>
      </c>
      <c r="B1613" s="8">
        <v>2026011890</v>
      </c>
      <c r="C1613" s="8">
        <v>1</v>
      </c>
      <c r="D1613" s="8" t="s">
        <v>3177</v>
      </c>
      <c r="E1613" s="8" t="s">
        <v>118</v>
      </c>
      <c r="F1613" s="8" t="s">
        <v>4805</v>
      </c>
      <c r="G1613" s="8" t="s">
        <v>3386</v>
      </c>
      <c r="H1613" s="8" t="s">
        <v>3387</v>
      </c>
      <c r="I1613" s="8" t="s">
        <v>3536</v>
      </c>
      <c r="J1613" s="8" t="s">
        <v>3298</v>
      </c>
      <c r="K1613" s="8" t="s">
        <v>3183</v>
      </c>
      <c r="L1613" s="10" t="s">
        <v>3537</v>
      </c>
      <c r="M1613" s="10" t="s">
        <v>3538</v>
      </c>
      <c r="N1613" s="10"/>
      <c r="O1613" s="8" t="s">
        <v>322</v>
      </c>
      <c r="P1613" s="8"/>
      <c r="Q1613" s="8"/>
      <c r="R1613" s="8">
        <v>149988</v>
      </c>
      <c r="S1613" s="8"/>
      <c r="T1613" s="8"/>
      <c r="U1613" s="8"/>
      <c r="V1613" s="8"/>
      <c r="W1613" s="8"/>
      <c r="X1613" s="8"/>
      <c r="Y1613" s="8" t="s">
        <v>332</v>
      </c>
      <c r="Z1613" s="10" t="s">
        <v>3830</v>
      </c>
      <c r="AA1613" s="8" t="s">
        <v>332</v>
      </c>
      <c r="AB1613" s="8">
        <v>1</v>
      </c>
    </row>
    <row r="1614" spans="1:28" ht="21.6" customHeight="1">
      <c r="A1614" s="8">
        <v>240</v>
      </c>
      <c r="B1614" s="8">
        <v>2026010136</v>
      </c>
      <c r="C1614" s="8">
        <v>1</v>
      </c>
      <c r="D1614" s="8" t="s">
        <v>3177</v>
      </c>
      <c r="E1614" s="8" t="s">
        <v>118</v>
      </c>
      <c r="F1614" s="8" t="s">
        <v>4702</v>
      </c>
      <c r="G1614" s="8" t="s">
        <v>3204</v>
      </c>
      <c r="H1614" s="8" t="s">
        <v>3427</v>
      </c>
      <c r="I1614" s="8" t="s">
        <v>4574</v>
      </c>
      <c r="J1614" s="8" t="s">
        <v>4553</v>
      </c>
      <c r="K1614" s="8" t="s">
        <v>3183</v>
      </c>
      <c r="L1614" s="10" t="s">
        <v>3462</v>
      </c>
      <c r="M1614" s="10" t="s">
        <v>3714</v>
      </c>
      <c r="N1614" s="10" t="s">
        <v>3715</v>
      </c>
      <c r="O1614" s="8" t="s">
        <v>3190</v>
      </c>
      <c r="P1614" s="8"/>
      <c r="Q1614" s="8"/>
      <c r="R1614" s="8">
        <v>58190</v>
      </c>
      <c r="S1614" s="8"/>
      <c r="T1614" s="8"/>
      <c r="U1614" s="8"/>
      <c r="V1614" s="8"/>
      <c r="W1614" s="8"/>
      <c r="X1614" s="8"/>
      <c r="Y1614" s="8"/>
      <c r="Z1614" s="10" t="s">
        <v>3696</v>
      </c>
      <c r="AA1614" s="8" t="s">
        <v>332</v>
      </c>
      <c r="AB1614" s="8">
        <v>1</v>
      </c>
    </row>
    <row r="1615" spans="1:28" ht="21.6" customHeight="1">
      <c r="A1615" s="8">
        <v>20</v>
      </c>
      <c r="B1615" s="8">
        <v>2026011925</v>
      </c>
      <c r="C1615" s="8">
        <v>1</v>
      </c>
      <c r="D1615" s="8" t="s">
        <v>3177</v>
      </c>
      <c r="E1615" s="8" t="s">
        <v>133</v>
      </c>
      <c r="F1615" s="8" t="s">
        <v>4846</v>
      </c>
      <c r="G1615" s="8" t="s">
        <v>4847</v>
      </c>
      <c r="H1615" s="8" t="s">
        <v>4848</v>
      </c>
      <c r="I1615" s="8" t="s">
        <v>4849</v>
      </c>
      <c r="J1615" s="8" t="s">
        <v>3253</v>
      </c>
      <c r="K1615" s="8" t="s">
        <v>3183</v>
      </c>
      <c r="L1615" s="10" t="s">
        <v>4850</v>
      </c>
      <c r="M1615" s="10" t="s">
        <v>4851</v>
      </c>
      <c r="N1615" s="10"/>
      <c r="O1615" s="8" t="s">
        <v>3190</v>
      </c>
      <c r="P1615" s="8"/>
      <c r="Q1615" s="8"/>
      <c r="R1615" s="8">
        <v>41358</v>
      </c>
      <c r="S1615" s="8"/>
      <c r="T1615" s="8"/>
      <c r="U1615" s="8"/>
      <c r="V1615" s="8"/>
      <c r="W1615" s="8"/>
      <c r="X1615" s="8"/>
      <c r="Y1615" s="8"/>
      <c r="Z1615" s="10" t="s">
        <v>3821</v>
      </c>
      <c r="AA1615" s="8" t="s">
        <v>332</v>
      </c>
      <c r="AB1615" s="8">
        <v>1</v>
      </c>
    </row>
    <row r="1616" spans="1:28" ht="21.6" customHeight="1">
      <c r="A1616" s="8">
        <v>28</v>
      </c>
      <c r="B1616" s="8">
        <v>2026012170</v>
      </c>
      <c r="C1616" s="8">
        <v>1</v>
      </c>
      <c r="D1616" s="8" t="s">
        <v>3177</v>
      </c>
      <c r="E1616" s="8" t="s">
        <v>133</v>
      </c>
      <c r="F1616" s="8" t="s">
        <v>4846</v>
      </c>
      <c r="G1616" s="8" t="s">
        <v>3431</v>
      </c>
      <c r="H1616" s="8" t="s">
        <v>4308</v>
      </c>
      <c r="I1616" s="8" t="s">
        <v>4852</v>
      </c>
      <c r="J1616" s="8" t="s">
        <v>3253</v>
      </c>
      <c r="K1616" s="8" t="s">
        <v>3183</v>
      </c>
      <c r="L1616" s="10" t="s">
        <v>4853</v>
      </c>
      <c r="M1616" s="10" t="s">
        <v>4854</v>
      </c>
      <c r="N1616" s="10"/>
      <c r="O1616" s="8" t="s">
        <v>3190</v>
      </c>
      <c r="P1616" s="8"/>
      <c r="Q1616" s="8"/>
      <c r="R1616" s="8">
        <v>48482</v>
      </c>
      <c r="S1616" s="8"/>
      <c r="T1616" s="8"/>
      <c r="U1616" s="8"/>
      <c r="V1616" s="8"/>
      <c r="W1616" s="8"/>
      <c r="X1616" s="8"/>
      <c r="Y1616" s="8"/>
      <c r="Z1616" s="10" t="s">
        <v>3821</v>
      </c>
      <c r="AA1616" s="8" t="s">
        <v>332</v>
      </c>
      <c r="AB1616" s="8">
        <v>1</v>
      </c>
    </row>
    <row r="1617" spans="1:28" ht="21.6" customHeight="1">
      <c r="A1617" s="8">
        <v>39</v>
      </c>
      <c r="B1617" s="8">
        <v>2026012052</v>
      </c>
      <c r="C1617" s="8">
        <v>1</v>
      </c>
      <c r="D1617" s="8" t="s">
        <v>3177</v>
      </c>
      <c r="E1617" s="8" t="s">
        <v>133</v>
      </c>
      <c r="F1617" s="8" t="s">
        <v>4846</v>
      </c>
      <c r="G1617" s="8" t="s">
        <v>3427</v>
      </c>
      <c r="H1617" s="8" t="s">
        <v>3653</v>
      </c>
      <c r="I1617" s="8" t="s">
        <v>4855</v>
      </c>
      <c r="J1617" s="8" t="s">
        <v>3277</v>
      </c>
      <c r="K1617" s="8" t="s">
        <v>3183</v>
      </c>
      <c r="L1617" s="10" t="s">
        <v>4856</v>
      </c>
      <c r="M1617" s="10" t="s">
        <v>4857</v>
      </c>
      <c r="N1617" s="10" t="s">
        <v>4858</v>
      </c>
      <c r="O1617" s="8" t="s">
        <v>322</v>
      </c>
      <c r="P1617" s="8"/>
      <c r="Q1617" s="8"/>
      <c r="R1617" s="8">
        <v>26511</v>
      </c>
      <c r="S1617" s="8" t="s">
        <v>332</v>
      </c>
      <c r="T1617" s="8"/>
      <c r="U1617" s="8"/>
      <c r="V1617" s="8"/>
      <c r="W1617" s="8"/>
      <c r="X1617" s="8"/>
      <c r="Y1617" s="8"/>
      <c r="Z1617" s="10" t="s">
        <v>3821</v>
      </c>
      <c r="AA1617" s="8" t="s">
        <v>332</v>
      </c>
      <c r="AB1617" s="8">
        <v>1</v>
      </c>
    </row>
    <row r="1618" spans="1:28" ht="21.6" customHeight="1">
      <c r="A1618" s="8">
        <v>49</v>
      </c>
      <c r="B1618" s="8">
        <v>2026011941</v>
      </c>
      <c r="C1618" s="8">
        <v>1</v>
      </c>
      <c r="D1618" s="8" t="s">
        <v>3177</v>
      </c>
      <c r="E1618" s="8" t="s">
        <v>133</v>
      </c>
      <c r="F1618" s="8" t="s">
        <v>4846</v>
      </c>
      <c r="G1618" s="8" t="s">
        <v>4859</v>
      </c>
      <c r="H1618" s="8" t="s">
        <v>3987</v>
      </c>
      <c r="I1618" s="8" t="s">
        <v>4860</v>
      </c>
      <c r="J1618" s="8" t="s">
        <v>3288</v>
      </c>
      <c r="K1618" s="8" t="s">
        <v>3183</v>
      </c>
      <c r="L1618" s="10" t="s">
        <v>4861</v>
      </c>
      <c r="M1618" s="10" t="s">
        <v>4862</v>
      </c>
      <c r="N1618" s="10"/>
      <c r="O1618" s="8" t="s">
        <v>322</v>
      </c>
      <c r="P1618" s="8"/>
      <c r="Q1618" s="8">
        <v>11038</v>
      </c>
      <c r="R1618" s="8">
        <v>53622</v>
      </c>
      <c r="S1618" s="8" t="s">
        <v>332</v>
      </c>
      <c r="T1618" s="8"/>
      <c r="U1618" s="8"/>
      <c r="V1618" s="8"/>
      <c r="W1618" s="8"/>
      <c r="X1618" s="8"/>
      <c r="Y1618" s="8"/>
      <c r="Z1618" s="10" t="s">
        <v>3821</v>
      </c>
      <c r="AA1618" s="8" t="s">
        <v>332</v>
      </c>
      <c r="AB1618" s="8">
        <v>1</v>
      </c>
    </row>
    <row r="1619" spans="1:28" ht="21.6" customHeight="1">
      <c r="A1619" s="8">
        <v>59</v>
      </c>
      <c r="B1619" s="8">
        <v>2026011197</v>
      </c>
      <c r="C1619" s="8">
        <v>1</v>
      </c>
      <c r="D1619" s="8" t="s">
        <v>3177</v>
      </c>
      <c r="E1619" s="8" t="s">
        <v>133</v>
      </c>
      <c r="F1619" s="8" t="s">
        <v>4695</v>
      </c>
      <c r="G1619" s="8" t="s">
        <v>4135</v>
      </c>
      <c r="H1619" s="8" t="s">
        <v>3274</v>
      </c>
      <c r="I1619" s="8" t="s">
        <v>4744</v>
      </c>
      <c r="J1619" s="8" t="s">
        <v>3301</v>
      </c>
      <c r="K1619" s="8" t="s">
        <v>3183</v>
      </c>
      <c r="L1619" s="10" t="s">
        <v>4745</v>
      </c>
      <c r="M1619" s="10" t="s">
        <v>4746</v>
      </c>
      <c r="N1619" s="10"/>
      <c r="O1619" s="8" t="s">
        <v>3190</v>
      </c>
      <c r="P1619" s="8"/>
      <c r="Q1619" s="8">
        <v>13485</v>
      </c>
      <c r="R1619" s="8">
        <v>122374</v>
      </c>
      <c r="S1619" s="8"/>
      <c r="T1619" s="8"/>
      <c r="U1619" s="8"/>
      <c r="V1619" s="8"/>
      <c r="W1619" s="8"/>
      <c r="X1619" s="8"/>
      <c r="Y1619" s="8"/>
      <c r="Z1619" s="10" t="s">
        <v>4747</v>
      </c>
      <c r="AA1619" s="8" t="s">
        <v>332</v>
      </c>
      <c r="AB1619" s="8">
        <v>1</v>
      </c>
    </row>
    <row r="1620" spans="1:28" ht="21.6" customHeight="1">
      <c r="A1620" s="8">
        <v>61</v>
      </c>
      <c r="B1620" s="8">
        <v>2026011930</v>
      </c>
      <c r="C1620" s="8">
        <v>1</v>
      </c>
      <c r="D1620" s="8" t="s">
        <v>3177</v>
      </c>
      <c r="E1620" s="8" t="s">
        <v>133</v>
      </c>
      <c r="F1620" s="8" t="s">
        <v>4846</v>
      </c>
      <c r="G1620" s="8" t="s">
        <v>3363</v>
      </c>
      <c r="H1620" s="8" t="s">
        <v>4863</v>
      </c>
      <c r="I1620" s="8" t="s">
        <v>4864</v>
      </c>
      <c r="J1620" s="8" t="s">
        <v>3301</v>
      </c>
      <c r="K1620" s="8" t="s">
        <v>3183</v>
      </c>
      <c r="L1620" s="10" t="s">
        <v>4865</v>
      </c>
      <c r="M1620" s="10" t="s">
        <v>4866</v>
      </c>
      <c r="N1620" s="10" t="s">
        <v>4867</v>
      </c>
      <c r="O1620" s="8" t="s">
        <v>322</v>
      </c>
      <c r="P1620" s="8"/>
      <c r="Q1620" s="8">
        <v>3961</v>
      </c>
      <c r="R1620" s="8">
        <v>33959</v>
      </c>
      <c r="S1620" s="8" t="s">
        <v>332</v>
      </c>
      <c r="T1620" s="8"/>
      <c r="U1620" s="8"/>
      <c r="V1620" s="8"/>
      <c r="W1620" s="8"/>
      <c r="X1620" s="8"/>
      <c r="Y1620" s="8"/>
      <c r="Z1620" s="10" t="s">
        <v>3821</v>
      </c>
      <c r="AA1620" s="8" t="s">
        <v>332</v>
      </c>
      <c r="AB1620" s="8">
        <v>1</v>
      </c>
    </row>
    <row r="1621" spans="1:28" ht="21.6" customHeight="1">
      <c r="A1621" s="8">
        <v>66</v>
      </c>
      <c r="B1621" s="8">
        <v>2026012003</v>
      </c>
      <c r="C1621" s="8">
        <v>1</v>
      </c>
      <c r="D1621" s="8" t="s">
        <v>3177</v>
      </c>
      <c r="E1621" s="8" t="s">
        <v>133</v>
      </c>
      <c r="F1621" s="8" t="s">
        <v>4846</v>
      </c>
      <c r="G1621" s="8" t="s">
        <v>3848</v>
      </c>
      <c r="H1621" s="8" t="s">
        <v>3616</v>
      </c>
      <c r="I1621" s="8" t="s">
        <v>4827</v>
      </c>
      <c r="J1621" s="8" t="s">
        <v>4553</v>
      </c>
      <c r="K1621" s="8" t="s">
        <v>3183</v>
      </c>
      <c r="L1621" s="10" t="s">
        <v>4828</v>
      </c>
      <c r="M1621" s="10" t="s">
        <v>4829</v>
      </c>
      <c r="N1621" s="10"/>
      <c r="O1621" s="8" t="s">
        <v>363</v>
      </c>
      <c r="P1621" s="8"/>
      <c r="Q1621" s="8"/>
      <c r="R1621" s="8">
        <v>108743</v>
      </c>
      <c r="S1621" s="8"/>
      <c r="T1621" s="8"/>
      <c r="U1621" s="8"/>
      <c r="V1621" s="8"/>
      <c r="W1621" s="8"/>
      <c r="X1621" s="8"/>
      <c r="Y1621" s="8"/>
      <c r="Z1621" s="10" t="s">
        <v>4868</v>
      </c>
      <c r="AA1621" s="8" t="s">
        <v>332</v>
      </c>
      <c r="AB1621" s="8">
        <v>1</v>
      </c>
    </row>
    <row r="1622" spans="1:28" ht="21.6" customHeight="1">
      <c r="A1622" s="8">
        <v>81</v>
      </c>
      <c r="B1622" s="8">
        <v>2026012188</v>
      </c>
      <c r="C1622" s="8">
        <v>1</v>
      </c>
      <c r="D1622" s="8" t="s">
        <v>3177</v>
      </c>
      <c r="E1622" s="8" t="s">
        <v>133</v>
      </c>
      <c r="F1622" s="8" t="s">
        <v>4869</v>
      </c>
      <c r="G1622" s="8" t="s">
        <v>3762</v>
      </c>
      <c r="H1622" s="8" t="s">
        <v>3363</v>
      </c>
      <c r="I1622" s="8" t="s">
        <v>4870</v>
      </c>
      <c r="J1622" s="8" t="s">
        <v>3328</v>
      </c>
      <c r="K1622" s="8" t="s">
        <v>3183</v>
      </c>
      <c r="L1622" s="10" t="s">
        <v>4871</v>
      </c>
      <c r="M1622" s="10" t="s">
        <v>4872</v>
      </c>
      <c r="N1622" s="10" t="s">
        <v>4867</v>
      </c>
      <c r="O1622" s="8" t="s">
        <v>3190</v>
      </c>
      <c r="P1622" s="8"/>
      <c r="Q1622" s="8">
        <v>11678</v>
      </c>
      <c r="R1622" s="8">
        <v>131571</v>
      </c>
      <c r="S1622" s="8"/>
      <c r="T1622" s="8"/>
      <c r="U1622" s="8"/>
      <c r="V1622" s="8"/>
      <c r="W1622" s="8"/>
      <c r="X1622" s="8"/>
      <c r="Y1622" s="8"/>
      <c r="Z1622" s="10" t="s">
        <v>3821</v>
      </c>
      <c r="AA1622" s="8" t="s">
        <v>332</v>
      </c>
      <c r="AB1622" s="8">
        <v>1</v>
      </c>
    </row>
    <row r="1623" spans="1:28" ht="21.6" customHeight="1">
      <c r="A1623" s="8">
        <v>83</v>
      </c>
      <c r="B1623" s="8">
        <v>2026012167</v>
      </c>
      <c r="C1623" s="8">
        <v>1</v>
      </c>
      <c r="D1623" s="8" t="s">
        <v>3177</v>
      </c>
      <c r="E1623" s="8" t="s">
        <v>133</v>
      </c>
      <c r="F1623" s="8" t="s">
        <v>4846</v>
      </c>
      <c r="G1623" s="8" t="s">
        <v>3584</v>
      </c>
      <c r="H1623" s="8" t="s">
        <v>3431</v>
      </c>
      <c r="I1623" s="8" t="s">
        <v>4873</v>
      </c>
      <c r="J1623" s="8" t="s">
        <v>3758</v>
      </c>
      <c r="K1623" s="8" t="s">
        <v>3183</v>
      </c>
      <c r="L1623" s="10" t="s">
        <v>4853</v>
      </c>
      <c r="M1623" s="10" t="s">
        <v>4854</v>
      </c>
      <c r="N1623" s="10"/>
      <c r="O1623" s="8" t="s">
        <v>322</v>
      </c>
      <c r="P1623" s="8"/>
      <c r="Q1623" s="8">
        <v>28009</v>
      </c>
      <c r="R1623" s="8">
        <v>638308</v>
      </c>
      <c r="S1623" s="8" t="s">
        <v>332</v>
      </c>
      <c r="T1623" s="8"/>
      <c r="U1623" s="8"/>
      <c r="V1623" s="8"/>
      <c r="W1623" s="8"/>
      <c r="X1623" s="8"/>
      <c r="Y1623" s="8"/>
      <c r="Z1623" s="10" t="s">
        <v>3821</v>
      </c>
      <c r="AA1623" s="8" t="s">
        <v>332</v>
      </c>
      <c r="AB1623" s="8">
        <v>1</v>
      </c>
    </row>
    <row r="1624" spans="1:28" ht="21.6" customHeight="1">
      <c r="A1624" s="8">
        <v>134</v>
      </c>
      <c r="B1624" s="8">
        <v>2026011841</v>
      </c>
      <c r="C1624" s="8">
        <v>1</v>
      </c>
      <c r="D1624" s="8" t="s">
        <v>3177</v>
      </c>
      <c r="E1624" s="8" t="s">
        <v>123</v>
      </c>
      <c r="F1624" s="8" t="s">
        <v>4805</v>
      </c>
      <c r="G1624" s="8" t="s">
        <v>4844</v>
      </c>
      <c r="H1624" s="8" t="s">
        <v>3920</v>
      </c>
      <c r="I1624" s="8" t="s">
        <v>4500</v>
      </c>
      <c r="J1624" s="8" t="s">
        <v>3224</v>
      </c>
      <c r="K1624" s="8" t="s">
        <v>3183</v>
      </c>
      <c r="L1624" s="10" t="s">
        <v>3207</v>
      </c>
      <c r="M1624" s="10" t="s">
        <v>3208</v>
      </c>
      <c r="N1624" s="10" t="s">
        <v>3209</v>
      </c>
      <c r="O1624" s="8" t="s">
        <v>322</v>
      </c>
      <c r="P1624" s="8"/>
      <c r="Q1624" s="8">
        <v>10510</v>
      </c>
      <c r="R1624" s="8">
        <v>7982</v>
      </c>
      <c r="S1624" s="8" t="s">
        <v>332</v>
      </c>
      <c r="T1624" s="8"/>
      <c r="U1624" s="8"/>
      <c r="V1624" s="8"/>
      <c r="W1624" s="8"/>
      <c r="X1624" s="8"/>
      <c r="Y1624" s="8"/>
      <c r="Z1624" s="10" t="s">
        <v>3186</v>
      </c>
      <c r="AA1624" s="8" t="s">
        <v>332</v>
      </c>
      <c r="AB1624" s="8">
        <v>1</v>
      </c>
    </row>
    <row r="1625" spans="1:28" ht="21.6" customHeight="1">
      <c r="A1625" s="8">
        <v>136</v>
      </c>
      <c r="B1625" s="8">
        <v>2026012034</v>
      </c>
      <c r="C1625" s="8">
        <v>1</v>
      </c>
      <c r="D1625" s="8" t="s">
        <v>3177</v>
      </c>
      <c r="E1625" s="8" t="s">
        <v>123</v>
      </c>
      <c r="F1625" s="8" t="s">
        <v>4846</v>
      </c>
      <c r="G1625" s="8" t="s">
        <v>3777</v>
      </c>
      <c r="H1625" s="8" t="s">
        <v>3801</v>
      </c>
      <c r="I1625" s="8" t="s">
        <v>4602</v>
      </c>
      <c r="J1625" s="8" t="s">
        <v>3224</v>
      </c>
      <c r="K1625" s="8" t="s">
        <v>3183</v>
      </c>
      <c r="L1625" s="10" t="s">
        <v>3540</v>
      </c>
      <c r="M1625" s="10" t="s">
        <v>3541</v>
      </c>
      <c r="N1625" s="10"/>
      <c r="O1625" s="8" t="s">
        <v>322</v>
      </c>
      <c r="P1625" s="8"/>
      <c r="Q1625" s="8">
        <v>168</v>
      </c>
      <c r="R1625" s="8">
        <v>7906</v>
      </c>
      <c r="S1625" s="8" t="s">
        <v>332</v>
      </c>
      <c r="T1625" s="8"/>
      <c r="U1625" s="8"/>
      <c r="V1625" s="8"/>
      <c r="W1625" s="8"/>
      <c r="X1625" s="8"/>
      <c r="Y1625" s="8"/>
      <c r="Z1625" s="10" t="s">
        <v>3186</v>
      </c>
      <c r="AA1625" s="8" t="s">
        <v>332</v>
      </c>
      <c r="AB1625" s="8">
        <v>1</v>
      </c>
    </row>
    <row r="1626" spans="1:28" ht="21.6" customHeight="1">
      <c r="A1626" s="8">
        <v>213</v>
      </c>
      <c r="B1626" s="8">
        <v>2026010773</v>
      </c>
      <c r="C1626" s="8">
        <v>1</v>
      </c>
      <c r="D1626" s="8" t="s">
        <v>3177</v>
      </c>
      <c r="E1626" s="8" t="s">
        <v>118</v>
      </c>
      <c r="F1626" s="8" t="s">
        <v>4751</v>
      </c>
      <c r="G1626" s="8" t="s">
        <v>3386</v>
      </c>
      <c r="H1626" s="8" t="s">
        <v>3387</v>
      </c>
      <c r="I1626" s="8" t="s">
        <v>3683</v>
      </c>
      <c r="J1626" s="8" t="s">
        <v>3224</v>
      </c>
      <c r="K1626" s="8" t="s">
        <v>3183</v>
      </c>
      <c r="L1626" s="10" t="s">
        <v>3383</v>
      </c>
      <c r="M1626" s="10" t="s">
        <v>3684</v>
      </c>
      <c r="N1626" s="10" t="s">
        <v>3685</v>
      </c>
      <c r="O1626" s="8" t="s">
        <v>3190</v>
      </c>
      <c r="P1626" s="8">
        <v>1948</v>
      </c>
      <c r="Q1626" s="8">
        <v>2881</v>
      </c>
      <c r="R1626" s="8">
        <v>9303</v>
      </c>
      <c r="S1626" s="8"/>
      <c r="T1626" s="8"/>
      <c r="U1626" s="8"/>
      <c r="V1626" s="8"/>
      <c r="W1626" s="8"/>
      <c r="X1626" s="8"/>
      <c r="Y1626" s="8"/>
      <c r="Z1626" s="10" t="s">
        <v>111</v>
      </c>
      <c r="AA1626" s="8" t="s">
        <v>332</v>
      </c>
      <c r="AB1626" s="8">
        <v>1</v>
      </c>
    </row>
    <row r="1627" spans="1:28" ht="21.6" customHeight="1">
      <c r="A1627" s="8">
        <v>267</v>
      </c>
      <c r="B1627" s="8">
        <v>2026012189</v>
      </c>
      <c r="C1627" s="8">
        <v>1</v>
      </c>
      <c r="D1627" s="8" t="s">
        <v>3177</v>
      </c>
      <c r="E1627" s="8" t="s">
        <v>118</v>
      </c>
      <c r="F1627" s="8" t="s">
        <v>4869</v>
      </c>
      <c r="G1627" s="8" t="s">
        <v>3350</v>
      </c>
      <c r="H1627" s="8" t="s">
        <v>3280</v>
      </c>
      <c r="I1627" s="8" t="s">
        <v>3536</v>
      </c>
      <c r="J1627" s="8" t="s">
        <v>3298</v>
      </c>
      <c r="K1627" s="8" t="s">
        <v>3183</v>
      </c>
      <c r="L1627" s="10" t="s">
        <v>3537</v>
      </c>
      <c r="M1627" s="10" t="s">
        <v>3538</v>
      </c>
      <c r="N1627" s="10"/>
      <c r="O1627" s="8" t="s">
        <v>322</v>
      </c>
      <c r="P1627" s="8"/>
      <c r="Q1627" s="8"/>
      <c r="R1627" s="8">
        <v>149988</v>
      </c>
      <c r="S1627" s="8"/>
      <c r="T1627" s="8"/>
      <c r="U1627" s="8"/>
      <c r="V1627" s="8"/>
      <c r="W1627" s="8"/>
      <c r="X1627" s="8"/>
      <c r="Y1627" s="8" t="s">
        <v>332</v>
      </c>
      <c r="Z1627" s="10" t="s">
        <v>4587</v>
      </c>
      <c r="AA1627" s="8" t="s">
        <v>332</v>
      </c>
      <c r="AB1627" s="8">
        <v>1</v>
      </c>
    </row>
    <row r="1628" spans="1:28" ht="21.6" customHeight="1">
      <c r="A1628" s="8">
        <v>289</v>
      </c>
      <c r="B1628" s="8">
        <v>2026012016</v>
      </c>
      <c r="C1628" s="8">
        <v>1</v>
      </c>
      <c r="D1628" s="8" t="s">
        <v>3177</v>
      </c>
      <c r="E1628" s="8" t="s">
        <v>118</v>
      </c>
      <c r="F1628" s="8" t="s">
        <v>4846</v>
      </c>
      <c r="G1628" s="8" t="s">
        <v>3368</v>
      </c>
      <c r="H1628" s="8" t="s">
        <v>3250</v>
      </c>
      <c r="I1628" s="8" t="s">
        <v>3557</v>
      </c>
      <c r="J1628" s="8" t="s">
        <v>3328</v>
      </c>
      <c r="K1628" s="8" t="s">
        <v>3183</v>
      </c>
      <c r="L1628" s="10" t="s">
        <v>3558</v>
      </c>
      <c r="M1628" s="10" t="s">
        <v>3559</v>
      </c>
      <c r="N1628" s="10" t="s">
        <v>3508</v>
      </c>
      <c r="O1628" s="8" t="s">
        <v>322</v>
      </c>
      <c r="P1628" s="8"/>
      <c r="Q1628" s="8">
        <v>4854</v>
      </c>
      <c r="R1628" s="8">
        <v>1718</v>
      </c>
      <c r="S1628" s="8" t="s">
        <v>332</v>
      </c>
      <c r="T1628" s="8"/>
      <c r="U1628" s="8"/>
      <c r="V1628" s="8"/>
      <c r="W1628" s="8"/>
      <c r="X1628" s="8"/>
      <c r="Y1628" s="8"/>
      <c r="Z1628" s="10" t="s">
        <v>3696</v>
      </c>
      <c r="AA1628" s="8" t="s">
        <v>332</v>
      </c>
      <c r="AB1628" s="8">
        <v>1</v>
      </c>
    </row>
    <row r="1629" spans="1:28" ht="21.6" customHeight="1">
      <c r="A1629" s="8">
        <v>293</v>
      </c>
      <c r="B1629" s="8">
        <v>2026012364</v>
      </c>
      <c r="C1629" s="8">
        <v>1</v>
      </c>
      <c r="D1629" s="8" t="s">
        <v>3177</v>
      </c>
      <c r="E1629" s="8" t="s">
        <v>118</v>
      </c>
      <c r="F1629" s="8" t="s">
        <v>4874</v>
      </c>
      <c r="G1629" s="8" t="s">
        <v>3368</v>
      </c>
      <c r="H1629" s="8" t="s">
        <v>3204</v>
      </c>
      <c r="I1629" s="8" t="s">
        <v>3572</v>
      </c>
      <c r="J1629" s="8" t="s">
        <v>1717</v>
      </c>
      <c r="K1629" s="8" t="s">
        <v>3183</v>
      </c>
      <c r="L1629" s="10" t="s">
        <v>3472</v>
      </c>
      <c r="M1629" s="10" t="s">
        <v>3410</v>
      </c>
      <c r="N1629" s="10" t="s">
        <v>3442</v>
      </c>
      <c r="O1629" s="8" t="s">
        <v>363</v>
      </c>
      <c r="P1629" s="8"/>
      <c r="Q1629" s="8"/>
      <c r="R1629" s="8">
        <v>132455</v>
      </c>
      <c r="S1629" s="8"/>
      <c r="T1629" s="8"/>
      <c r="U1629" s="8"/>
      <c r="V1629" s="8"/>
      <c r="W1629" s="8"/>
      <c r="X1629" s="8"/>
      <c r="Y1629" s="8"/>
      <c r="Z1629" s="10" t="s">
        <v>3702</v>
      </c>
      <c r="AA1629" s="8" t="s">
        <v>332</v>
      </c>
      <c r="AB1629" s="8">
        <v>1</v>
      </c>
    </row>
    <row r="1630" spans="1:28" ht="21.6" customHeight="1">
      <c r="A1630" s="8">
        <v>295</v>
      </c>
      <c r="B1630" s="8">
        <v>2026011968</v>
      </c>
      <c r="C1630" s="8">
        <v>1</v>
      </c>
      <c r="D1630" s="8" t="s">
        <v>3177</v>
      </c>
      <c r="E1630" s="8" t="s">
        <v>118</v>
      </c>
      <c r="F1630" s="8" t="s">
        <v>4846</v>
      </c>
      <c r="G1630" s="8" t="s">
        <v>3280</v>
      </c>
      <c r="H1630" s="8" t="s">
        <v>3233</v>
      </c>
      <c r="I1630" s="8" t="s">
        <v>3757</v>
      </c>
      <c r="J1630" s="8" t="s">
        <v>3758</v>
      </c>
      <c r="K1630" s="8" t="s">
        <v>3183</v>
      </c>
      <c r="L1630" s="10" t="s">
        <v>3759</v>
      </c>
      <c r="M1630" s="10" t="s">
        <v>3760</v>
      </c>
      <c r="N1630" s="10" t="s">
        <v>3761</v>
      </c>
      <c r="O1630" s="8" t="s">
        <v>322</v>
      </c>
      <c r="P1630" s="8"/>
      <c r="Q1630" s="8">
        <v>2907</v>
      </c>
      <c r="R1630" s="8">
        <v>206486</v>
      </c>
      <c r="S1630" s="8"/>
      <c r="T1630" s="8"/>
      <c r="U1630" s="8"/>
      <c r="V1630" s="8"/>
      <c r="W1630" s="8"/>
      <c r="X1630" s="8"/>
      <c r="Y1630" s="8" t="s">
        <v>332</v>
      </c>
      <c r="Z1630" s="10" t="s">
        <v>4875</v>
      </c>
      <c r="AA1630" s="8" t="s">
        <v>332</v>
      </c>
      <c r="AB1630" s="8">
        <v>1</v>
      </c>
    </row>
    <row r="1631" spans="1:28" ht="21.6" customHeight="1">
      <c r="A1631" s="8">
        <v>331</v>
      </c>
      <c r="B1631" s="8">
        <v>2026012190</v>
      </c>
      <c r="C1631" s="8">
        <v>1</v>
      </c>
      <c r="D1631" s="8" t="s">
        <v>3177</v>
      </c>
      <c r="E1631" s="8" t="s">
        <v>118</v>
      </c>
      <c r="F1631" s="8" t="s">
        <v>4869</v>
      </c>
      <c r="G1631" s="8" t="s">
        <v>3280</v>
      </c>
      <c r="H1631" s="8" t="s">
        <v>3363</v>
      </c>
      <c r="I1631" s="8" t="s">
        <v>4530</v>
      </c>
      <c r="J1631" s="8" t="s">
        <v>4531</v>
      </c>
      <c r="K1631" s="8" t="s">
        <v>3183</v>
      </c>
      <c r="L1631" s="10" t="s">
        <v>3377</v>
      </c>
      <c r="M1631" s="10" t="s">
        <v>4532</v>
      </c>
      <c r="N1631" s="10" t="s">
        <v>4533</v>
      </c>
      <c r="O1631" s="8" t="s">
        <v>322</v>
      </c>
      <c r="P1631" s="8"/>
      <c r="Q1631" s="8"/>
      <c r="R1631" s="8">
        <v>1405</v>
      </c>
      <c r="S1631" s="8"/>
      <c r="T1631" s="8"/>
      <c r="U1631" s="8" t="s">
        <v>332</v>
      </c>
      <c r="V1631" s="8"/>
      <c r="W1631" s="8"/>
      <c r="X1631" s="8"/>
      <c r="Y1631" s="8"/>
      <c r="Z1631" s="10" t="s">
        <v>3362</v>
      </c>
      <c r="AA1631" s="8" t="s">
        <v>332</v>
      </c>
      <c r="AB1631" s="8">
        <v>1</v>
      </c>
    </row>
    <row r="1632" spans="1:28" ht="21.6" customHeight="1">
      <c r="A1632" s="8">
        <v>332</v>
      </c>
      <c r="B1632" s="8">
        <v>2026011953</v>
      </c>
      <c r="C1632" s="8">
        <v>1</v>
      </c>
      <c r="D1632" s="8" t="s">
        <v>3177</v>
      </c>
      <c r="E1632" s="8" t="s">
        <v>134</v>
      </c>
      <c r="F1632" s="8" t="s">
        <v>4846</v>
      </c>
      <c r="G1632" s="8" t="s">
        <v>3211</v>
      </c>
      <c r="H1632" s="8" t="s">
        <v>3198</v>
      </c>
      <c r="I1632" s="8" t="s">
        <v>3585</v>
      </c>
      <c r="J1632" s="8" t="s">
        <v>3301</v>
      </c>
      <c r="K1632" s="8" t="s">
        <v>3183</v>
      </c>
      <c r="L1632" s="10" t="s">
        <v>3586</v>
      </c>
      <c r="M1632" s="10" t="s">
        <v>3587</v>
      </c>
      <c r="N1632" s="10" t="s">
        <v>3430</v>
      </c>
      <c r="O1632" s="8" t="s">
        <v>3190</v>
      </c>
      <c r="P1632" s="8"/>
      <c r="Q1632" s="8">
        <v>7262</v>
      </c>
      <c r="R1632" s="8">
        <v>82855</v>
      </c>
      <c r="S1632" s="8"/>
      <c r="T1632" s="8"/>
      <c r="U1632" s="8"/>
      <c r="V1632" s="8"/>
      <c r="W1632" s="8"/>
      <c r="X1632" s="8"/>
      <c r="Y1632" s="8"/>
      <c r="Z1632" s="10"/>
      <c r="AA1632" s="8" t="s">
        <v>332</v>
      </c>
      <c r="AB1632" s="8">
        <v>1</v>
      </c>
    </row>
    <row r="1633" spans="1:28" ht="21.6" customHeight="1">
      <c r="A1633" s="8">
        <v>333</v>
      </c>
      <c r="B1633" s="8">
        <v>2026011954</v>
      </c>
      <c r="C1633" s="8">
        <v>1</v>
      </c>
      <c r="D1633" s="8" t="s">
        <v>3177</v>
      </c>
      <c r="E1633" s="8" t="s">
        <v>134</v>
      </c>
      <c r="F1633" s="8" t="s">
        <v>4846</v>
      </c>
      <c r="G1633" s="8" t="s">
        <v>3211</v>
      </c>
      <c r="H1633" s="8" t="s">
        <v>3198</v>
      </c>
      <c r="I1633" s="8" t="s">
        <v>3592</v>
      </c>
      <c r="J1633" s="8" t="s">
        <v>3301</v>
      </c>
      <c r="K1633" s="8" t="s">
        <v>3183</v>
      </c>
      <c r="L1633" s="10" t="s">
        <v>3586</v>
      </c>
      <c r="M1633" s="10" t="s">
        <v>3587</v>
      </c>
      <c r="N1633" s="10" t="s">
        <v>3430</v>
      </c>
      <c r="O1633" s="8" t="s">
        <v>3190</v>
      </c>
      <c r="P1633" s="8"/>
      <c r="Q1633" s="8">
        <v>12195</v>
      </c>
      <c r="R1633" s="8">
        <v>139055</v>
      </c>
      <c r="S1633" s="8"/>
      <c r="T1633" s="8"/>
      <c r="U1633" s="8"/>
      <c r="V1633" s="8"/>
      <c r="W1633" s="8"/>
      <c r="X1633" s="8"/>
      <c r="Y1633" s="8"/>
      <c r="Z1633" s="10"/>
      <c r="AA1633" s="8" t="s">
        <v>332</v>
      </c>
      <c r="AB1633" s="8">
        <v>1</v>
      </c>
    </row>
    <row r="1634" spans="1:28" ht="21.6" customHeight="1">
      <c r="A1634" s="8">
        <v>1</v>
      </c>
      <c r="B1634" s="8">
        <v>2026012624</v>
      </c>
      <c r="C1634" s="8">
        <v>1</v>
      </c>
      <c r="D1634" s="8" t="s">
        <v>3177</v>
      </c>
      <c r="E1634" s="8" t="s">
        <v>133</v>
      </c>
      <c r="F1634" s="8" t="s">
        <v>4876</v>
      </c>
      <c r="G1634" s="8" t="s">
        <v>3363</v>
      </c>
      <c r="H1634" s="8" t="s">
        <v>4135</v>
      </c>
      <c r="I1634" s="8" t="s">
        <v>4877</v>
      </c>
      <c r="J1634" s="8" t="s">
        <v>3182</v>
      </c>
      <c r="K1634" s="8" t="s">
        <v>3183</v>
      </c>
      <c r="L1634" s="10" t="s">
        <v>4878</v>
      </c>
      <c r="M1634" s="10" t="s">
        <v>4879</v>
      </c>
      <c r="N1634" s="10"/>
      <c r="O1634" s="8" t="s">
        <v>3190</v>
      </c>
      <c r="P1634" s="8"/>
      <c r="Q1634" s="8">
        <v>22860</v>
      </c>
      <c r="R1634" s="8">
        <v>84344</v>
      </c>
      <c r="S1634" s="8"/>
      <c r="T1634" s="8"/>
      <c r="U1634" s="8"/>
      <c r="V1634" s="8"/>
      <c r="W1634" s="8"/>
      <c r="X1634" s="8"/>
      <c r="Y1634" s="8"/>
      <c r="Z1634" s="10" t="s">
        <v>3821</v>
      </c>
      <c r="AA1634" s="8" t="s">
        <v>332</v>
      </c>
      <c r="AB1634" s="8">
        <v>1</v>
      </c>
    </row>
    <row r="1635" spans="1:28" ht="21.6" customHeight="1">
      <c r="A1635" s="8">
        <v>2</v>
      </c>
      <c r="B1635" s="8">
        <v>2026012646</v>
      </c>
      <c r="C1635" s="8">
        <v>1</v>
      </c>
      <c r="D1635" s="8" t="s">
        <v>3177</v>
      </c>
      <c r="E1635" s="8" t="s">
        <v>133</v>
      </c>
      <c r="F1635" s="8" t="s">
        <v>4876</v>
      </c>
      <c r="G1635" s="8" t="s">
        <v>3354</v>
      </c>
      <c r="H1635" s="8" t="s">
        <v>3906</v>
      </c>
      <c r="I1635" s="8" t="s">
        <v>4880</v>
      </c>
      <c r="J1635" s="8" t="s">
        <v>3195</v>
      </c>
      <c r="K1635" s="8" t="s">
        <v>3183</v>
      </c>
      <c r="L1635" s="10" t="s">
        <v>4881</v>
      </c>
      <c r="M1635" s="10" t="s">
        <v>4882</v>
      </c>
      <c r="N1635" s="10"/>
      <c r="O1635" s="8" t="s">
        <v>322</v>
      </c>
      <c r="P1635" s="8"/>
      <c r="Q1635" s="8">
        <v>11532</v>
      </c>
      <c r="R1635" s="8">
        <v>48751</v>
      </c>
      <c r="S1635" s="8" t="s">
        <v>332</v>
      </c>
      <c r="T1635" s="8"/>
      <c r="U1635" s="8"/>
      <c r="V1635" s="8"/>
      <c r="W1635" s="8"/>
      <c r="X1635" s="8"/>
      <c r="Y1635" s="8"/>
      <c r="Z1635" s="10" t="s">
        <v>3821</v>
      </c>
      <c r="AA1635" s="8" t="s">
        <v>332</v>
      </c>
      <c r="AB1635" s="8">
        <v>1</v>
      </c>
    </row>
    <row r="1636" spans="1:28" ht="21.6" customHeight="1">
      <c r="A1636" s="8">
        <v>4</v>
      </c>
      <c r="B1636" s="8">
        <v>2026012530</v>
      </c>
      <c r="C1636" s="8">
        <v>1</v>
      </c>
      <c r="D1636" s="8" t="s">
        <v>3177</v>
      </c>
      <c r="E1636" s="8" t="s">
        <v>133</v>
      </c>
      <c r="F1636" s="8" t="s">
        <v>4883</v>
      </c>
      <c r="G1636" s="8" t="s">
        <v>3368</v>
      </c>
      <c r="H1636" s="8" t="s">
        <v>4031</v>
      </c>
      <c r="I1636" s="8" t="s">
        <v>4884</v>
      </c>
      <c r="J1636" s="8" t="s">
        <v>3195</v>
      </c>
      <c r="K1636" s="8" t="s">
        <v>3183</v>
      </c>
      <c r="L1636" s="10" t="s">
        <v>4885</v>
      </c>
      <c r="M1636" s="10" t="s">
        <v>4886</v>
      </c>
      <c r="N1636" s="10"/>
      <c r="O1636" s="8" t="s">
        <v>3190</v>
      </c>
      <c r="P1636" s="8">
        <v>179</v>
      </c>
      <c r="Q1636" s="8">
        <v>10136</v>
      </c>
      <c r="R1636" s="8">
        <v>54719</v>
      </c>
      <c r="S1636" s="8"/>
      <c r="T1636" s="8"/>
      <c r="U1636" s="8"/>
      <c r="V1636" s="8"/>
      <c r="W1636" s="8"/>
      <c r="X1636" s="8"/>
      <c r="Y1636" s="8"/>
      <c r="Z1636" s="10" t="s">
        <v>3821</v>
      </c>
      <c r="AA1636" s="8" t="s">
        <v>332</v>
      </c>
      <c r="AB1636" s="8">
        <v>1</v>
      </c>
    </row>
    <row r="1637" spans="1:28" ht="21.6" customHeight="1">
      <c r="A1637" s="8">
        <v>11</v>
      </c>
      <c r="B1637" s="8">
        <v>2026012639</v>
      </c>
      <c r="C1637" s="8">
        <v>1</v>
      </c>
      <c r="D1637" s="8" t="s">
        <v>3177</v>
      </c>
      <c r="E1637" s="8" t="s">
        <v>133</v>
      </c>
      <c r="F1637" s="8" t="s">
        <v>4876</v>
      </c>
      <c r="G1637" s="8" t="s">
        <v>3233</v>
      </c>
      <c r="H1637" s="8" t="s">
        <v>3381</v>
      </c>
      <c r="I1637" s="8" t="s">
        <v>4887</v>
      </c>
      <c r="J1637" s="8" t="s">
        <v>3224</v>
      </c>
      <c r="K1637" s="8" t="s">
        <v>3183</v>
      </c>
      <c r="L1637" s="10" t="s">
        <v>3738</v>
      </c>
      <c r="M1637" s="10" t="s">
        <v>4888</v>
      </c>
      <c r="N1637" s="10" t="s">
        <v>4889</v>
      </c>
      <c r="O1637" s="8" t="s">
        <v>322</v>
      </c>
      <c r="P1637" s="8"/>
      <c r="Q1637" s="8">
        <v>13749</v>
      </c>
      <c r="R1637" s="8">
        <v>3651</v>
      </c>
      <c r="S1637" s="8" t="s">
        <v>332</v>
      </c>
      <c r="T1637" s="8"/>
      <c r="U1637" s="8"/>
      <c r="V1637" s="8"/>
      <c r="W1637" s="8"/>
      <c r="X1637" s="8"/>
      <c r="Y1637" s="8"/>
      <c r="Z1637" s="10" t="s">
        <v>3821</v>
      </c>
      <c r="AA1637" s="8" t="s">
        <v>332</v>
      </c>
      <c r="AB1637" s="8">
        <v>1</v>
      </c>
    </row>
    <row r="1638" spans="1:28" ht="21.6" customHeight="1">
      <c r="A1638" s="8">
        <v>22</v>
      </c>
      <c r="B1638" s="8">
        <v>2026010930</v>
      </c>
      <c r="C1638" s="8">
        <v>1</v>
      </c>
      <c r="D1638" s="8" t="s">
        <v>3177</v>
      </c>
      <c r="E1638" s="8" t="s">
        <v>133</v>
      </c>
      <c r="F1638" s="8" t="s">
        <v>4710</v>
      </c>
      <c r="G1638" s="8" t="s">
        <v>4044</v>
      </c>
      <c r="H1638" s="8" t="s">
        <v>3217</v>
      </c>
      <c r="I1638" s="8" t="s">
        <v>4711</v>
      </c>
      <c r="J1638" s="8" t="s">
        <v>3253</v>
      </c>
      <c r="K1638" s="8" t="s">
        <v>3183</v>
      </c>
      <c r="L1638" s="10" t="s">
        <v>4712</v>
      </c>
      <c r="M1638" s="10" t="s">
        <v>4713</v>
      </c>
      <c r="N1638" s="10" t="s">
        <v>4714</v>
      </c>
      <c r="O1638" s="8" t="s">
        <v>3190</v>
      </c>
      <c r="P1638" s="8"/>
      <c r="Q1638" s="8"/>
      <c r="R1638" s="8">
        <v>25061</v>
      </c>
      <c r="S1638" s="8"/>
      <c r="T1638" s="8"/>
      <c r="U1638" s="8"/>
      <c r="V1638" s="8"/>
      <c r="W1638" s="8"/>
      <c r="X1638" s="8"/>
      <c r="Y1638" s="8"/>
      <c r="Z1638" s="10" t="s">
        <v>3821</v>
      </c>
      <c r="AA1638" s="8" t="s">
        <v>332</v>
      </c>
      <c r="AB1638" s="8">
        <v>1</v>
      </c>
    </row>
    <row r="1639" spans="1:28" ht="21.6" customHeight="1">
      <c r="A1639" s="8">
        <v>32</v>
      </c>
      <c r="B1639" s="8">
        <v>2026012169</v>
      </c>
      <c r="C1639" s="8">
        <v>1</v>
      </c>
      <c r="D1639" s="8" t="s">
        <v>3177</v>
      </c>
      <c r="E1639" s="8" t="s">
        <v>133</v>
      </c>
      <c r="F1639" s="8" t="s">
        <v>4846</v>
      </c>
      <c r="G1639" s="8" t="s">
        <v>3431</v>
      </c>
      <c r="H1639" s="8" t="s">
        <v>4308</v>
      </c>
      <c r="I1639" s="8" t="s">
        <v>4852</v>
      </c>
      <c r="J1639" s="8" t="s">
        <v>3253</v>
      </c>
      <c r="K1639" s="8" t="s">
        <v>3183</v>
      </c>
      <c r="L1639" s="10" t="s">
        <v>4853</v>
      </c>
      <c r="M1639" s="10" t="s">
        <v>4854</v>
      </c>
      <c r="N1639" s="10"/>
      <c r="O1639" s="8" t="s">
        <v>322</v>
      </c>
      <c r="P1639" s="8"/>
      <c r="Q1639" s="8"/>
      <c r="R1639" s="8">
        <v>48482</v>
      </c>
      <c r="S1639" s="8" t="s">
        <v>332</v>
      </c>
      <c r="T1639" s="8"/>
      <c r="U1639" s="8"/>
      <c r="V1639" s="8"/>
      <c r="W1639" s="8"/>
      <c r="X1639" s="8"/>
      <c r="Y1639" s="8"/>
      <c r="Z1639" s="10" t="s">
        <v>3821</v>
      </c>
      <c r="AA1639" s="8" t="s">
        <v>332</v>
      </c>
      <c r="AB1639" s="8">
        <v>1</v>
      </c>
    </row>
    <row r="1640" spans="1:28" ht="21.6" customHeight="1">
      <c r="A1640" s="8">
        <v>150</v>
      </c>
      <c r="B1640" s="8">
        <v>2026011838</v>
      </c>
      <c r="C1640" s="8">
        <v>1</v>
      </c>
      <c r="D1640" s="8" t="s">
        <v>3177</v>
      </c>
      <c r="E1640" s="8" t="s">
        <v>123</v>
      </c>
      <c r="F1640" s="8" t="s">
        <v>4805</v>
      </c>
      <c r="G1640" s="8" t="s">
        <v>3357</v>
      </c>
      <c r="H1640" s="8" t="s">
        <v>3291</v>
      </c>
      <c r="I1640" s="8" t="s">
        <v>3259</v>
      </c>
      <c r="J1640" s="8" t="s">
        <v>3253</v>
      </c>
      <c r="K1640" s="8" t="s">
        <v>3183</v>
      </c>
      <c r="L1640" s="10" t="s">
        <v>3207</v>
      </c>
      <c r="M1640" s="10" t="s">
        <v>3208</v>
      </c>
      <c r="N1640" s="10" t="s">
        <v>3260</v>
      </c>
      <c r="O1640" s="8" t="s">
        <v>3190</v>
      </c>
      <c r="P1640" s="8"/>
      <c r="Q1640" s="8"/>
      <c r="R1640" s="8">
        <v>8234</v>
      </c>
      <c r="S1640" s="8"/>
      <c r="T1640" s="8"/>
      <c r="U1640" s="8"/>
      <c r="V1640" s="8"/>
      <c r="W1640" s="8"/>
      <c r="X1640" s="8"/>
      <c r="Y1640" s="8"/>
      <c r="Z1640" s="10" t="s">
        <v>3186</v>
      </c>
      <c r="AA1640" s="8" t="s">
        <v>332</v>
      </c>
      <c r="AB1640" s="8">
        <v>1</v>
      </c>
    </row>
    <row r="1641" spans="1:28" ht="21.6" customHeight="1">
      <c r="A1641" s="8">
        <v>236</v>
      </c>
      <c r="B1641" s="8">
        <v>2026012627</v>
      </c>
      <c r="C1641" s="8">
        <v>1</v>
      </c>
      <c r="D1641" s="8" t="s">
        <v>3177</v>
      </c>
      <c r="E1641" s="8" t="s">
        <v>118</v>
      </c>
      <c r="F1641" s="8" t="s">
        <v>4876</v>
      </c>
      <c r="G1641" s="8" t="s">
        <v>3280</v>
      </c>
      <c r="H1641" s="8" t="s">
        <v>3233</v>
      </c>
      <c r="I1641" s="8" t="s">
        <v>3370</v>
      </c>
      <c r="J1641" s="8" t="s">
        <v>3195</v>
      </c>
      <c r="K1641" s="8" t="s">
        <v>3183</v>
      </c>
      <c r="L1641" s="10" t="s">
        <v>3371</v>
      </c>
      <c r="M1641" s="10" t="s">
        <v>3372</v>
      </c>
      <c r="N1641" s="10" t="s">
        <v>3373</v>
      </c>
      <c r="O1641" s="8" t="s">
        <v>363</v>
      </c>
      <c r="P1641" s="8"/>
      <c r="Q1641" s="8">
        <v>18535</v>
      </c>
      <c r="R1641" s="8">
        <v>158844</v>
      </c>
      <c r="S1641" s="8"/>
      <c r="T1641" s="8"/>
      <c r="U1641" s="8"/>
      <c r="V1641" s="8"/>
      <c r="W1641" s="8"/>
      <c r="X1641" s="8"/>
      <c r="Y1641" s="8"/>
      <c r="Z1641" s="10" t="s">
        <v>4890</v>
      </c>
      <c r="AA1641" s="8" t="s">
        <v>332</v>
      </c>
      <c r="AB1641" s="8">
        <v>1</v>
      </c>
    </row>
    <row r="1642" spans="1:28" ht="21.6" customHeight="1">
      <c r="A1642" s="8">
        <v>245</v>
      </c>
      <c r="B1642" s="8">
        <v>2026012541</v>
      </c>
      <c r="C1642" s="8">
        <v>1</v>
      </c>
      <c r="D1642" s="8" t="s">
        <v>3177</v>
      </c>
      <c r="E1642" s="8" t="s">
        <v>118</v>
      </c>
      <c r="F1642" s="8" t="s">
        <v>4883</v>
      </c>
      <c r="G1642" s="8" t="s">
        <v>3250</v>
      </c>
      <c r="H1642" s="8" t="s">
        <v>3427</v>
      </c>
      <c r="I1642" s="8" t="s">
        <v>4403</v>
      </c>
      <c r="J1642" s="8" t="s">
        <v>3224</v>
      </c>
      <c r="K1642" s="8" t="s">
        <v>3183</v>
      </c>
      <c r="L1642" s="10" t="s">
        <v>4404</v>
      </c>
      <c r="M1642" s="10" t="s">
        <v>4424</v>
      </c>
      <c r="N1642" s="10" t="s">
        <v>3497</v>
      </c>
      <c r="O1642" s="8" t="s">
        <v>363</v>
      </c>
      <c r="P1642" s="8"/>
      <c r="Q1642" s="8">
        <v>195</v>
      </c>
      <c r="R1642" s="8">
        <v>1744</v>
      </c>
      <c r="S1642" s="8"/>
      <c r="T1642" s="8"/>
      <c r="U1642" s="8"/>
      <c r="V1642" s="8"/>
      <c r="W1642" s="8"/>
      <c r="X1642" s="8"/>
      <c r="Y1642" s="8"/>
      <c r="Z1642" s="10" t="s">
        <v>4611</v>
      </c>
      <c r="AA1642" s="8" t="s">
        <v>332</v>
      </c>
      <c r="AB1642" s="8">
        <v>1</v>
      </c>
    </row>
    <row r="1643" spans="1:28" ht="21.6" customHeight="1">
      <c r="A1643" s="8">
        <v>255</v>
      </c>
      <c r="B1643" s="8">
        <v>2026012422</v>
      </c>
      <c r="C1643" s="8">
        <v>1</v>
      </c>
      <c r="D1643" s="8" t="s">
        <v>3177</v>
      </c>
      <c r="E1643" s="8" t="s">
        <v>118</v>
      </c>
      <c r="F1643" s="8" t="s">
        <v>4874</v>
      </c>
      <c r="G1643" s="8" t="s">
        <v>3387</v>
      </c>
      <c r="H1643" s="8" t="s">
        <v>3431</v>
      </c>
      <c r="I1643" s="8" t="s">
        <v>3706</v>
      </c>
      <c r="J1643" s="8" t="s">
        <v>3253</v>
      </c>
      <c r="K1643" s="8" t="s">
        <v>3183</v>
      </c>
      <c r="L1643" s="10" t="s">
        <v>3707</v>
      </c>
      <c r="M1643" s="10" t="s">
        <v>3708</v>
      </c>
      <c r="N1643" s="10" t="s">
        <v>3424</v>
      </c>
      <c r="O1643" s="8" t="s">
        <v>322</v>
      </c>
      <c r="P1643" s="8"/>
      <c r="Q1643" s="8"/>
      <c r="R1643" s="8">
        <v>263518</v>
      </c>
      <c r="S1643" s="8"/>
      <c r="T1643" s="8"/>
      <c r="U1643" s="8"/>
      <c r="V1643" s="8"/>
      <c r="W1643" s="8"/>
      <c r="X1643" s="8"/>
      <c r="Y1643" s="8" t="s">
        <v>332</v>
      </c>
      <c r="Z1643" s="10" t="s">
        <v>4891</v>
      </c>
      <c r="AA1643" s="8" t="s">
        <v>332</v>
      </c>
      <c r="AB1643" s="8">
        <v>1</v>
      </c>
    </row>
    <row r="1644" spans="1:28" ht="21.6" customHeight="1">
      <c r="A1644" s="8">
        <v>256</v>
      </c>
      <c r="B1644" s="8">
        <v>2026012567</v>
      </c>
      <c r="C1644" s="8">
        <v>1</v>
      </c>
      <c r="D1644" s="8" t="s">
        <v>3177</v>
      </c>
      <c r="E1644" s="8" t="s">
        <v>118</v>
      </c>
      <c r="F1644" s="8" t="s">
        <v>4883</v>
      </c>
      <c r="G1644" s="8" t="s">
        <v>3386</v>
      </c>
      <c r="H1644" s="8" t="s">
        <v>3387</v>
      </c>
      <c r="I1644" s="8" t="s">
        <v>3706</v>
      </c>
      <c r="J1644" s="8" t="s">
        <v>3253</v>
      </c>
      <c r="K1644" s="8" t="s">
        <v>3183</v>
      </c>
      <c r="L1644" s="10" t="s">
        <v>3707</v>
      </c>
      <c r="M1644" s="10" t="s">
        <v>3708</v>
      </c>
      <c r="N1644" s="10" t="s">
        <v>3424</v>
      </c>
      <c r="O1644" s="8" t="s">
        <v>322</v>
      </c>
      <c r="P1644" s="8"/>
      <c r="Q1644" s="8"/>
      <c r="R1644" s="8">
        <v>263518</v>
      </c>
      <c r="S1644" s="8"/>
      <c r="T1644" s="8"/>
      <c r="U1644" s="8" t="s">
        <v>332</v>
      </c>
      <c r="V1644" s="8"/>
      <c r="W1644" s="8"/>
      <c r="X1644" s="8"/>
      <c r="Y1644" s="8"/>
      <c r="Z1644" s="10" t="s">
        <v>3362</v>
      </c>
      <c r="AA1644" s="8" t="s">
        <v>332</v>
      </c>
      <c r="AB1644" s="8">
        <v>1</v>
      </c>
    </row>
    <row r="1645" spans="1:28" ht="21.6" customHeight="1">
      <c r="A1645" s="8">
        <v>270</v>
      </c>
      <c r="B1645" s="8">
        <v>2026012424</v>
      </c>
      <c r="C1645" s="8">
        <v>1</v>
      </c>
      <c r="D1645" s="8" t="s">
        <v>3177</v>
      </c>
      <c r="E1645" s="8" t="s">
        <v>118</v>
      </c>
      <c r="F1645" s="8" t="s">
        <v>4874</v>
      </c>
      <c r="G1645" s="8" t="s">
        <v>3431</v>
      </c>
      <c r="H1645" s="8" t="s">
        <v>4346</v>
      </c>
      <c r="I1645" s="8" t="s">
        <v>3452</v>
      </c>
      <c r="J1645" s="8" t="s">
        <v>3277</v>
      </c>
      <c r="K1645" s="8" t="s">
        <v>3183</v>
      </c>
      <c r="L1645" s="10" t="s">
        <v>3254</v>
      </c>
      <c r="M1645" s="10" t="s">
        <v>3453</v>
      </c>
      <c r="N1645" s="10" t="s">
        <v>4606</v>
      </c>
      <c r="O1645" s="8" t="s">
        <v>322</v>
      </c>
      <c r="P1645" s="8"/>
      <c r="Q1645" s="8"/>
      <c r="R1645" s="8">
        <v>29737</v>
      </c>
      <c r="S1645" s="8"/>
      <c r="T1645" s="8"/>
      <c r="U1645" s="8" t="s">
        <v>332</v>
      </c>
      <c r="V1645" s="8"/>
      <c r="W1645" s="8"/>
      <c r="X1645" s="8"/>
      <c r="Y1645" s="8"/>
      <c r="Z1645" s="10" t="s">
        <v>3362</v>
      </c>
      <c r="AA1645" s="8" t="s">
        <v>332</v>
      </c>
      <c r="AB1645" s="8">
        <v>1</v>
      </c>
    </row>
    <row r="1646" spans="1:28" ht="21.6" customHeight="1">
      <c r="A1646" s="8">
        <v>304</v>
      </c>
      <c r="B1646" s="8">
        <v>2026012509</v>
      </c>
      <c r="C1646" s="8">
        <v>1</v>
      </c>
      <c r="D1646" s="8" t="s">
        <v>3177</v>
      </c>
      <c r="E1646" s="8" t="s">
        <v>118</v>
      </c>
      <c r="F1646" s="8" t="s">
        <v>4883</v>
      </c>
      <c r="G1646" s="8" t="s">
        <v>3381</v>
      </c>
      <c r="H1646" s="8" t="s">
        <v>3357</v>
      </c>
      <c r="I1646" s="8" t="s">
        <v>3978</v>
      </c>
      <c r="J1646" s="8" t="s">
        <v>3301</v>
      </c>
      <c r="K1646" s="8" t="s">
        <v>3183</v>
      </c>
      <c r="L1646" s="10" t="s">
        <v>4481</v>
      </c>
      <c r="M1646" s="10" t="s">
        <v>3980</v>
      </c>
      <c r="N1646" s="10" t="s">
        <v>3497</v>
      </c>
      <c r="O1646" s="8" t="s">
        <v>363</v>
      </c>
      <c r="P1646" s="8"/>
      <c r="Q1646" s="8">
        <v>15588</v>
      </c>
      <c r="R1646" s="8">
        <v>29606</v>
      </c>
      <c r="S1646" s="8"/>
      <c r="T1646" s="8"/>
      <c r="U1646" s="8"/>
      <c r="V1646" s="8"/>
      <c r="W1646" s="8"/>
      <c r="X1646" s="8"/>
      <c r="Y1646" s="8"/>
      <c r="Z1646" s="10" t="s">
        <v>4892</v>
      </c>
      <c r="AA1646" s="8" t="s">
        <v>332</v>
      </c>
      <c r="AB1646" s="8">
        <v>1</v>
      </c>
    </row>
    <row r="1647" spans="1:28" ht="21.6" customHeight="1">
      <c r="A1647" s="8">
        <v>307</v>
      </c>
      <c r="B1647" s="8">
        <v>2026010132</v>
      </c>
      <c r="C1647" s="8">
        <v>1</v>
      </c>
      <c r="D1647" s="8" t="s">
        <v>3177</v>
      </c>
      <c r="E1647" s="8" t="s">
        <v>118</v>
      </c>
      <c r="F1647" s="8" t="s">
        <v>4702</v>
      </c>
      <c r="G1647" s="8" t="s">
        <v>3368</v>
      </c>
      <c r="H1647" s="8" t="s">
        <v>3250</v>
      </c>
      <c r="I1647" s="8" t="s">
        <v>4552</v>
      </c>
      <c r="J1647" s="8" t="s">
        <v>4553</v>
      </c>
      <c r="K1647" s="8" t="s">
        <v>3183</v>
      </c>
      <c r="L1647" s="10" t="s">
        <v>3462</v>
      </c>
      <c r="M1647" s="10" t="s">
        <v>3526</v>
      </c>
      <c r="N1647" s="10" t="s">
        <v>4554</v>
      </c>
      <c r="O1647" s="8" t="s">
        <v>3190</v>
      </c>
      <c r="P1647" s="8"/>
      <c r="Q1647" s="8"/>
      <c r="R1647" s="8">
        <v>8534</v>
      </c>
      <c r="S1647" s="8"/>
      <c r="T1647" s="8"/>
      <c r="U1647" s="8"/>
      <c r="V1647" s="8"/>
      <c r="W1647" s="8"/>
      <c r="X1647" s="8"/>
      <c r="Y1647" s="8"/>
      <c r="Z1647" s="10" t="s">
        <v>3696</v>
      </c>
      <c r="AA1647" s="8" t="s">
        <v>332</v>
      </c>
      <c r="AB1647" s="8">
        <v>1</v>
      </c>
    </row>
    <row r="1648" spans="1:28" ht="21.6" customHeight="1">
      <c r="A1648" s="8">
        <v>322</v>
      </c>
      <c r="B1648" s="8">
        <v>2026011325</v>
      </c>
      <c r="C1648" s="8">
        <v>1</v>
      </c>
      <c r="D1648" s="8" t="s">
        <v>3177</v>
      </c>
      <c r="E1648" s="8" t="s">
        <v>118</v>
      </c>
      <c r="F1648" s="8" t="s">
        <v>4695</v>
      </c>
      <c r="G1648" s="8" t="s">
        <v>3387</v>
      </c>
      <c r="H1648" s="8" t="s">
        <v>3426</v>
      </c>
      <c r="I1648" s="8" t="s">
        <v>4356</v>
      </c>
      <c r="J1648" s="8" t="s">
        <v>3543</v>
      </c>
      <c r="K1648" s="8" t="s">
        <v>3183</v>
      </c>
      <c r="L1648" s="10" t="s">
        <v>4080</v>
      </c>
      <c r="M1648" s="10" t="s">
        <v>4357</v>
      </c>
      <c r="N1648" s="10" t="s">
        <v>4082</v>
      </c>
      <c r="O1648" s="8" t="s">
        <v>3190</v>
      </c>
      <c r="P1648" s="8"/>
      <c r="Q1648" s="8"/>
      <c r="R1648" s="8">
        <v>229</v>
      </c>
      <c r="S1648" s="8"/>
      <c r="T1648" s="8"/>
      <c r="U1648" s="8"/>
      <c r="V1648" s="8"/>
      <c r="W1648" s="8"/>
      <c r="X1648" s="8"/>
      <c r="Y1648" s="8"/>
      <c r="Z1648" s="10" t="s">
        <v>3696</v>
      </c>
      <c r="AA1648" s="8" t="s">
        <v>332</v>
      </c>
      <c r="AB1648" s="8">
        <v>1</v>
      </c>
    </row>
    <row r="1649" spans="1:28" ht="21.6" customHeight="1">
      <c r="A1649" s="8">
        <v>328</v>
      </c>
      <c r="B1649" s="8">
        <v>2026012426</v>
      </c>
      <c r="C1649" s="8">
        <v>1</v>
      </c>
      <c r="D1649" s="8" t="s">
        <v>3177</v>
      </c>
      <c r="E1649" s="8" t="s">
        <v>118</v>
      </c>
      <c r="F1649" s="8" t="s">
        <v>4874</v>
      </c>
      <c r="G1649" s="8" t="s">
        <v>4239</v>
      </c>
      <c r="H1649" s="8" t="s">
        <v>3432</v>
      </c>
      <c r="I1649" s="8" t="s">
        <v>3567</v>
      </c>
      <c r="J1649" s="8" t="s">
        <v>1717</v>
      </c>
      <c r="K1649" s="8" t="s">
        <v>3183</v>
      </c>
      <c r="L1649" s="10" t="s">
        <v>3254</v>
      </c>
      <c r="M1649" s="10" t="s">
        <v>3547</v>
      </c>
      <c r="N1649" s="10" t="s">
        <v>3568</v>
      </c>
      <c r="O1649" s="8" t="s">
        <v>322</v>
      </c>
      <c r="P1649" s="8"/>
      <c r="Q1649" s="8"/>
      <c r="R1649" s="8">
        <v>20762</v>
      </c>
      <c r="S1649" s="8"/>
      <c r="T1649" s="8"/>
      <c r="U1649" s="8" t="s">
        <v>332</v>
      </c>
      <c r="V1649" s="8"/>
      <c r="W1649" s="8"/>
      <c r="X1649" s="8"/>
      <c r="Y1649" s="8"/>
      <c r="Z1649" s="10" t="s">
        <v>3362</v>
      </c>
      <c r="AA1649" s="8" t="s">
        <v>332</v>
      </c>
      <c r="AB1649" s="8">
        <v>1</v>
      </c>
    </row>
    <row r="1650" spans="1:28" ht="21.6" customHeight="1">
      <c r="A1650" s="8">
        <v>329</v>
      </c>
      <c r="B1650" s="8">
        <v>2026012425</v>
      </c>
      <c r="C1650" s="8">
        <v>1</v>
      </c>
      <c r="D1650" s="8" t="s">
        <v>3177</v>
      </c>
      <c r="E1650" s="8" t="s">
        <v>118</v>
      </c>
      <c r="F1650" s="8" t="s">
        <v>4874</v>
      </c>
      <c r="G1650" s="8" t="s">
        <v>4346</v>
      </c>
      <c r="H1650" s="8" t="s">
        <v>4239</v>
      </c>
      <c r="I1650" s="8" t="s">
        <v>3570</v>
      </c>
      <c r="J1650" s="8" t="s">
        <v>1717</v>
      </c>
      <c r="K1650" s="8" t="s">
        <v>3183</v>
      </c>
      <c r="L1650" s="10" t="s">
        <v>3254</v>
      </c>
      <c r="M1650" s="10" t="s">
        <v>3547</v>
      </c>
      <c r="N1650" s="10" t="s">
        <v>3571</v>
      </c>
      <c r="O1650" s="8" t="s">
        <v>322</v>
      </c>
      <c r="P1650" s="8"/>
      <c r="Q1650" s="8"/>
      <c r="R1650" s="8">
        <v>228136</v>
      </c>
      <c r="S1650" s="8"/>
      <c r="T1650" s="8"/>
      <c r="U1650" s="8" t="s">
        <v>332</v>
      </c>
      <c r="V1650" s="8"/>
      <c r="W1650" s="8"/>
      <c r="X1650" s="8"/>
      <c r="Y1650" s="8"/>
      <c r="Z1650" s="10" t="s">
        <v>3362</v>
      </c>
      <c r="AA1650" s="8" t="s">
        <v>332</v>
      </c>
      <c r="AB1650" s="8">
        <v>1</v>
      </c>
    </row>
    <row r="1651" spans="1:28" ht="21.6" customHeight="1">
      <c r="A1651" s="8">
        <v>330</v>
      </c>
      <c r="B1651" s="8">
        <v>2026012485</v>
      </c>
      <c r="C1651" s="8">
        <v>1</v>
      </c>
      <c r="D1651" s="8" t="s">
        <v>3177</v>
      </c>
      <c r="E1651" s="8" t="s">
        <v>118</v>
      </c>
      <c r="F1651" s="8" t="s">
        <v>4883</v>
      </c>
      <c r="G1651" s="8" t="s">
        <v>3280</v>
      </c>
      <c r="H1651" s="8" t="s">
        <v>3233</v>
      </c>
      <c r="I1651" s="8" t="s">
        <v>3570</v>
      </c>
      <c r="J1651" s="8" t="s">
        <v>1717</v>
      </c>
      <c r="K1651" s="8" t="s">
        <v>3183</v>
      </c>
      <c r="L1651" s="10" t="s">
        <v>3254</v>
      </c>
      <c r="M1651" s="10" t="s">
        <v>3547</v>
      </c>
      <c r="N1651" s="10" t="s">
        <v>3571</v>
      </c>
      <c r="O1651" s="8" t="s">
        <v>363</v>
      </c>
      <c r="P1651" s="8"/>
      <c r="Q1651" s="8"/>
      <c r="R1651" s="8">
        <v>228136</v>
      </c>
      <c r="S1651" s="8"/>
      <c r="T1651" s="8"/>
      <c r="U1651" s="8"/>
      <c r="V1651" s="8"/>
      <c r="W1651" s="8"/>
      <c r="X1651" s="8"/>
      <c r="Y1651" s="8"/>
      <c r="Z1651" s="10" t="s">
        <v>4893</v>
      </c>
      <c r="AA1651" s="8" t="s">
        <v>332</v>
      </c>
      <c r="AB1651" s="8">
        <v>1</v>
      </c>
    </row>
    <row r="1652" spans="1:28" ht="21.6" customHeight="1">
      <c r="A1652" s="8">
        <v>332</v>
      </c>
      <c r="B1652" s="8">
        <v>2026012575</v>
      </c>
      <c r="C1652" s="8">
        <v>1</v>
      </c>
      <c r="D1652" s="8" t="s">
        <v>3177</v>
      </c>
      <c r="E1652" s="8" t="s">
        <v>118</v>
      </c>
      <c r="F1652" s="8" t="s">
        <v>4883</v>
      </c>
      <c r="G1652" s="8" t="s">
        <v>3426</v>
      </c>
      <c r="H1652" s="8" t="s">
        <v>3431</v>
      </c>
      <c r="I1652" s="8" t="s">
        <v>3572</v>
      </c>
      <c r="J1652" s="8" t="s">
        <v>1717</v>
      </c>
      <c r="K1652" s="8" t="s">
        <v>3183</v>
      </c>
      <c r="L1652" s="10" t="s">
        <v>3472</v>
      </c>
      <c r="M1652" s="10" t="s">
        <v>3410</v>
      </c>
      <c r="N1652" s="10" t="s">
        <v>3442</v>
      </c>
      <c r="O1652" s="8" t="s">
        <v>322</v>
      </c>
      <c r="P1652" s="8"/>
      <c r="Q1652" s="8"/>
      <c r="R1652" s="8">
        <v>125054</v>
      </c>
      <c r="S1652" s="8"/>
      <c r="T1652" s="8"/>
      <c r="U1652" s="8" t="s">
        <v>332</v>
      </c>
      <c r="V1652" s="8"/>
      <c r="W1652" s="8"/>
      <c r="X1652" s="8"/>
      <c r="Y1652" s="8"/>
      <c r="Z1652" s="10" t="s">
        <v>3362</v>
      </c>
      <c r="AA1652" s="8" t="s">
        <v>332</v>
      </c>
      <c r="AB1652" s="8">
        <v>1</v>
      </c>
    </row>
    <row r="1653" spans="1:28" ht="21.6" customHeight="1">
      <c r="A1653" s="8">
        <v>333</v>
      </c>
      <c r="B1653" s="8">
        <v>2026012427</v>
      </c>
      <c r="C1653" s="8">
        <v>1</v>
      </c>
      <c r="D1653" s="8" t="s">
        <v>3177</v>
      </c>
      <c r="E1653" s="8" t="s">
        <v>118</v>
      </c>
      <c r="F1653" s="8" t="s">
        <v>4874</v>
      </c>
      <c r="G1653" s="8" t="s">
        <v>3432</v>
      </c>
      <c r="H1653" s="8" t="s">
        <v>4052</v>
      </c>
      <c r="I1653" s="8" t="s">
        <v>4450</v>
      </c>
      <c r="J1653" s="8" t="s">
        <v>1717</v>
      </c>
      <c r="K1653" s="8" t="s">
        <v>3183</v>
      </c>
      <c r="L1653" s="10" t="s">
        <v>3254</v>
      </c>
      <c r="M1653" s="10" t="s">
        <v>3547</v>
      </c>
      <c r="N1653" s="10" t="s">
        <v>3747</v>
      </c>
      <c r="O1653" s="8" t="s">
        <v>322</v>
      </c>
      <c r="P1653" s="8"/>
      <c r="Q1653" s="8"/>
      <c r="R1653" s="8">
        <v>186326</v>
      </c>
      <c r="S1653" s="8"/>
      <c r="T1653" s="8"/>
      <c r="U1653" s="8" t="s">
        <v>332</v>
      </c>
      <c r="V1653" s="8"/>
      <c r="W1653" s="8"/>
      <c r="X1653" s="8"/>
      <c r="Y1653" s="8"/>
      <c r="Z1653" s="10" t="s">
        <v>3362</v>
      </c>
      <c r="AA1653" s="8" t="s">
        <v>332</v>
      </c>
      <c r="AB1653" s="8">
        <v>1</v>
      </c>
    </row>
    <row r="1654" spans="1:28" ht="21.6" customHeight="1">
      <c r="A1654" s="8">
        <v>334</v>
      </c>
      <c r="B1654" s="8">
        <v>2026012429</v>
      </c>
      <c r="C1654" s="8">
        <v>1</v>
      </c>
      <c r="D1654" s="8" t="s">
        <v>3177</v>
      </c>
      <c r="E1654" s="8" t="s">
        <v>118</v>
      </c>
      <c r="F1654" s="8" t="s">
        <v>4874</v>
      </c>
      <c r="G1654" s="8" t="s">
        <v>4336</v>
      </c>
      <c r="H1654" s="8" t="s">
        <v>4341</v>
      </c>
      <c r="I1654" s="8" t="s">
        <v>4687</v>
      </c>
      <c r="J1654" s="8" t="s">
        <v>1717</v>
      </c>
      <c r="K1654" s="8" t="s">
        <v>3183</v>
      </c>
      <c r="L1654" s="10" t="s">
        <v>3254</v>
      </c>
      <c r="M1654" s="10" t="s">
        <v>3742</v>
      </c>
      <c r="N1654" s="10" t="s">
        <v>3743</v>
      </c>
      <c r="O1654" s="8" t="s">
        <v>322</v>
      </c>
      <c r="P1654" s="8"/>
      <c r="Q1654" s="8"/>
      <c r="R1654" s="8">
        <v>13668</v>
      </c>
      <c r="S1654" s="8"/>
      <c r="T1654" s="8"/>
      <c r="U1654" s="8" t="s">
        <v>332</v>
      </c>
      <c r="V1654" s="8"/>
      <c r="W1654" s="8"/>
      <c r="X1654" s="8"/>
      <c r="Y1654" s="8"/>
      <c r="Z1654" s="10" t="s">
        <v>3362</v>
      </c>
      <c r="AA1654" s="8" t="s">
        <v>332</v>
      </c>
      <c r="AB1654" s="8">
        <v>1</v>
      </c>
    </row>
    <row r="1655" spans="1:28" ht="21.6" customHeight="1">
      <c r="A1655" s="8">
        <v>336</v>
      </c>
      <c r="B1655" s="8">
        <v>2026012428</v>
      </c>
      <c r="C1655" s="8">
        <v>1</v>
      </c>
      <c r="D1655" s="8" t="s">
        <v>3177</v>
      </c>
      <c r="E1655" s="8" t="s">
        <v>118</v>
      </c>
      <c r="F1655" s="8" t="s">
        <v>4874</v>
      </c>
      <c r="G1655" s="8" t="s">
        <v>4052</v>
      </c>
      <c r="H1655" s="8" t="s">
        <v>4336</v>
      </c>
      <c r="I1655" s="8" t="s">
        <v>4607</v>
      </c>
      <c r="J1655" s="8" t="s">
        <v>1717</v>
      </c>
      <c r="K1655" s="8" t="s">
        <v>3183</v>
      </c>
      <c r="L1655" s="10" t="s">
        <v>3254</v>
      </c>
      <c r="M1655" s="10" t="s">
        <v>3547</v>
      </c>
      <c r="N1655" s="10" t="s">
        <v>3753</v>
      </c>
      <c r="O1655" s="8" t="s">
        <v>322</v>
      </c>
      <c r="P1655" s="8"/>
      <c r="Q1655" s="8"/>
      <c r="R1655" s="8">
        <v>15744</v>
      </c>
      <c r="S1655" s="8"/>
      <c r="T1655" s="8"/>
      <c r="U1655" s="8" t="s">
        <v>332</v>
      </c>
      <c r="V1655" s="8"/>
      <c r="W1655" s="8"/>
      <c r="X1655" s="8"/>
      <c r="Y1655" s="8"/>
      <c r="Z1655" s="10" t="s">
        <v>3362</v>
      </c>
      <c r="AA1655" s="8" t="s">
        <v>332</v>
      </c>
      <c r="AB1655" s="8">
        <v>1</v>
      </c>
    </row>
    <row r="1656" spans="1:28" ht="21.6" customHeight="1">
      <c r="A1656" s="8">
        <v>17</v>
      </c>
      <c r="B1656" s="8">
        <v>2026011641</v>
      </c>
      <c r="C1656" s="8">
        <v>1</v>
      </c>
      <c r="D1656" s="8" t="s">
        <v>3177</v>
      </c>
      <c r="E1656" s="8" t="s">
        <v>133</v>
      </c>
      <c r="F1656" s="8" t="s">
        <v>4778</v>
      </c>
      <c r="G1656" s="8" t="s">
        <v>4054</v>
      </c>
      <c r="H1656" s="8" t="s">
        <v>4350</v>
      </c>
      <c r="I1656" s="8" t="s">
        <v>4787</v>
      </c>
      <c r="J1656" s="8" t="s">
        <v>3224</v>
      </c>
      <c r="K1656" s="8" t="s">
        <v>3183</v>
      </c>
      <c r="L1656" s="10" t="s">
        <v>4788</v>
      </c>
      <c r="M1656" s="10" t="s">
        <v>4789</v>
      </c>
      <c r="N1656" s="10"/>
      <c r="O1656" s="8" t="s">
        <v>3190</v>
      </c>
      <c r="P1656" s="8"/>
      <c r="Q1656" s="8">
        <v>151</v>
      </c>
      <c r="R1656" s="8">
        <v>2820</v>
      </c>
      <c r="S1656" s="8"/>
      <c r="T1656" s="8"/>
      <c r="U1656" s="8"/>
      <c r="V1656" s="8"/>
      <c r="W1656" s="8"/>
      <c r="X1656" s="8"/>
      <c r="Y1656" s="8"/>
      <c r="Z1656" s="10" t="s">
        <v>3821</v>
      </c>
      <c r="AA1656" s="8" t="s">
        <v>332</v>
      </c>
      <c r="AB1656" s="8">
        <v>1</v>
      </c>
    </row>
    <row r="1657" spans="1:28" ht="21.6" customHeight="1">
      <c r="A1657" s="8">
        <v>150</v>
      </c>
      <c r="B1657" s="8">
        <v>2026012732</v>
      </c>
      <c r="C1657" s="8">
        <v>1</v>
      </c>
      <c r="D1657" s="8" t="s">
        <v>3177</v>
      </c>
      <c r="E1657" s="8" t="s">
        <v>123</v>
      </c>
      <c r="F1657" s="8" t="s">
        <v>4876</v>
      </c>
      <c r="G1657" s="8" t="s">
        <v>3755</v>
      </c>
      <c r="H1657" s="8" t="s">
        <v>3789</v>
      </c>
      <c r="I1657" s="8" t="s">
        <v>3358</v>
      </c>
      <c r="J1657" s="8" t="s">
        <v>3195</v>
      </c>
      <c r="K1657" s="8" t="s">
        <v>3183</v>
      </c>
      <c r="L1657" s="10" t="s">
        <v>3359</v>
      </c>
      <c r="M1657" s="10" t="s">
        <v>3360</v>
      </c>
      <c r="N1657" s="10" t="s">
        <v>3361</v>
      </c>
      <c r="O1657" s="8" t="s">
        <v>3190</v>
      </c>
      <c r="P1657" s="8"/>
      <c r="Q1657" s="8">
        <v>23861</v>
      </c>
      <c r="R1657" s="8">
        <v>91427</v>
      </c>
      <c r="S1657" s="8"/>
      <c r="T1657" s="8"/>
      <c r="U1657" s="8"/>
      <c r="V1657" s="8"/>
      <c r="W1657" s="8"/>
      <c r="X1657" s="8"/>
      <c r="Y1657" s="8"/>
      <c r="Z1657" s="10" t="s">
        <v>3190</v>
      </c>
      <c r="AA1657" s="8" t="s">
        <v>332</v>
      </c>
      <c r="AB1657" s="8">
        <v>1</v>
      </c>
    </row>
    <row r="1658" spans="1:28" ht="21.6" customHeight="1">
      <c r="A1658" s="8">
        <v>183</v>
      </c>
      <c r="B1658" s="8">
        <v>2026010964</v>
      </c>
      <c r="C1658" s="8">
        <v>1</v>
      </c>
      <c r="D1658" s="8" t="s">
        <v>3177</v>
      </c>
      <c r="E1658" s="8" t="s">
        <v>123</v>
      </c>
      <c r="F1658" s="8" t="s">
        <v>4710</v>
      </c>
      <c r="G1658" s="8" t="s">
        <v>4894</v>
      </c>
      <c r="H1658" s="8" t="s">
        <v>3250</v>
      </c>
      <c r="I1658" s="8" t="s">
        <v>4895</v>
      </c>
      <c r="J1658" s="8" t="s">
        <v>3301</v>
      </c>
      <c r="K1658" s="8" t="s">
        <v>3183</v>
      </c>
      <c r="L1658" s="10" t="s">
        <v>4724</v>
      </c>
      <c r="M1658" s="10" t="s">
        <v>4896</v>
      </c>
      <c r="N1658" s="10" t="s">
        <v>4897</v>
      </c>
      <c r="O1658" s="8" t="s">
        <v>3190</v>
      </c>
      <c r="P1658" s="8"/>
      <c r="Q1658" s="8">
        <v>3294</v>
      </c>
      <c r="R1658" s="8">
        <v>22014</v>
      </c>
      <c r="S1658" s="8"/>
      <c r="T1658" s="8"/>
      <c r="U1658" s="8"/>
      <c r="V1658" s="8"/>
      <c r="W1658" s="8"/>
      <c r="X1658" s="8"/>
      <c r="Y1658" s="8"/>
      <c r="Z1658" s="10" t="s">
        <v>3186</v>
      </c>
      <c r="AA1658" s="8" t="s">
        <v>332</v>
      </c>
      <c r="AB1658" s="8">
        <v>1</v>
      </c>
    </row>
    <row r="1659" spans="1:28" ht="21.6" customHeight="1">
      <c r="A1659" s="8">
        <v>274</v>
      </c>
      <c r="B1659" s="8">
        <v>2026011490</v>
      </c>
      <c r="C1659" s="8">
        <v>1</v>
      </c>
      <c r="D1659" s="8" t="s">
        <v>3177</v>
      </c>
      <c r="E1659" s="8" t="s">
        <v>118</v>
      </c>
      <c r="F1659" s="8" t="s">
        <v>4777</v>
      </c>
      <c r="G1659" s="8" t="s">
        <v>3363</v>
      </c>
      <c r="H1659" s="8" t="s">
        <v>3233</v>
      </c>
      <c r="I1659" s="8" t="s">
        <v>3422</v>
      </c>
      <c r="J1659" s="8" t="s">
        <v>3253</v>
      </c>
      <c r="K1659" s="8" t="s">
        <v>3183</v>
      </c>
      <c r="L1659" s="10" t="s">
        <v>3270</v>
      </c>
      <c r="M1659" s="10" t="s">
        <v>3423</v>
      </c>
      <c r="N1659" s="10" t="s">
        <v>3424</v>
      </c>
      <c r="O1659" s="8" t="s">
        <v>3190</v>
      </c>
      <c r="P1659" s="8"/>
      <c r="Q1659" s="8"/>
      <c r="R1659" s="8">
        <v>50726</v>
      </c>
      <c r="S1659" s="8"/>
      <c r="T1659" s="8"/>
      <c r="U1659" s="8"/>
      <c r="V1659" s="8"/>
      <c r="W1659" s="8"/>
      <c r="X1659" s="8"/>
      <c r="Y1659" s="8"/>
      <c r="Z1659" s="10" t="s">
        <v>3696</v>
      </c>
      <c r="AA1659" s="8" t="s">
        <v>332</v>
      </c>
      <c r="AB1659" s="8">
        <v>1</v>
      </c>
    </row>
    <row r="1660" spans="1:28" ht="21.6" customHeight="1">
      <c r="A1660" s="8">
        <v>303</v>
      </c>
      <c r="B1660" s="8">
        <v>2026012793</v>
      </c>
      <c r="C1660" s="8">
        <v>1</v>
      </c>
      <c r="D1660" s="8" t="s">
        <v>3177</v>
      </c>
      <c r="E1660" s="8" t="s">
        <v>118</v>
      </c>
      <c r="F1660" s="8" t="s">
        <v>4876</v>
      </c>
      <c r="G1660" s="8" t="s">
        <v>3427</v>
      </c>
      <c r="H1660" s="8" t="s">
        <v>3426</v>
      </c>
      <c r="I1660" s="8" t="s">
        <v>3487</v>
      </c>
      <c r="J1660" s="8" t="s">
        <v>3288</v>
      </c>
      <c r="K1660" s="8" t="s">
        <v>3183</v>
      </c>
      <c r="L1660" s="10" t="s">
        <v>3488</v>
      </c>
      <c r="M1660" s="10" t="s">
        <v>3489</v>
      </c>
      <c r="N1660" s="10" t="s">
        <v>3490</v>
      </c>
      <c r="O1660" s="8" t="s">
        <v>363</v>
      </c>
      <c r="P1660" s="8"/>
      <c r="Q1660" s="8">
        <v>32787</v>
      </c>
      <c r="R1660" s="8">
        <v>32066</v>
      </c>
      <c r="S1660" s="8"/>
      <c r="T1660" s="8"/>
      <c r="U1660" s="8"/>
      <c r="V1660" s="8"/>
      <c r="W1660" s="8"/>
      <c r="X1660" s="8"/>
      <c r="Y1660" s="8"/>
      <c r="Z1660" s="10" t="s">
        <v>4898</v>
      </c>
      <c r="AA1660" s="8" t="s">
        <v>332</v>
      </c>
      <c r="AB1660" s="8">
        <v>1</v>
      </c>
    </row>
    <row r="1661" spans="1:28" ht="21.6" customHeight="1">
      <c r="A1661" s="8">
        <v>311</v>
      </c>
      <c r="B1661" s="8">
        <v>2026011505</v>
      </c>
      <c r="C1661" s="8">
        <v>1</v>
      </c>
      <c r="D1661" s="8" t="s">
        <v>3177</v>
      </c>
      <c r="E1661" s="8" t="s">
        <v>118</v>
      </c>
      <c r="F1661" s="8" t="s">
        <v>4777</v>
      </c>
      <c r="G1661" s="8" t="s">
        <v>3426</v>
      </c>
      <c r="H1661" s="8" t="s">
        <v>3431</v>
      </c>
      <c r="I1661" s="8" t="s">
        <v>3510</v>
      </c>
      <c r="J1661" s="8" t="s">
        <v>3298</v>
      </c>
      <c r="K1661" s="8" t="s">
        <v>3183</v>
      </c>
      <c r="L1661" s="10" t="s">
        <v>3398</v>
      </c>
      <c r="M1661" s="10" t="s">
        <v>3511</v>
      </c>
      <c r="N1661" s="10" t="s">
        <v>3512</v>
      </c>
      <c r="O1661" s="8" t="s">
        <v>3190</v>
      </c>
      <c r="P1661" s="8"/>
      <c r="Q1661" s="8"/>
      <c r="R1661" s="8">
        <v>414</v>
      </c>
      <c r="S1661" s="8"/>
      <c r="T1661" s="8"/>
      <c r="U1661" s="8"/>
      <c r="V1661" s="8"/>
      <c r="W1661" s="8"/>
      <c r="X1661" s="8"/>
      <c r="Y1661" s="8"/>
      <c r="Z1661" s="10" t="s">
        <v>3696</v>
      </c>
      <c r="AA1661" s="8" t="s">
        <v>332</v>
      </c>
      <c r="AB1661" s="8">
        <v>1</v>
      </c>
    </row>
    <row r="1662" spans="1:28" ht="21.6" customHeight="1">
      <c r="A1662" s="8">
        <v>3</v>
      </c>
      <c r="B1662" s="8">
        <v>2026012846</v>
      </c>
      <c r="C1662" s="8">
        <v>1</v>
      </c>
      <c r="D1662" s="8" t="s">
        <v>3177</v>
      </c>
      <c r="E1662" s="8" t="s">
        <v>133</v>
      </c>
      <c r="F1662" s="8" t="s">
        <v>4899</v>
      </c>
      <c r="G1662" s="8" t="s">
        <v>4519</v>
      </c>
      <c r="H1662" s="8" t="s">
        <v>4517</v>
      </c>
      <c r="I1662" s="8" t="s">
        <v>4900</v>
      </c>
      <c r="J1662" s="8" t="s">
        <v>3195</v>
      </c>
      <c r="K1662" s="8" t="s">
        <v>3183</v>
      </c>
      <c r="L1662" s="10" t="s">
        <v>4901</v>
      </c>
      <c r="M1662" s="10" t="s">
        <v>4902</v>
      </c>
      <c r="N1662" s="10"/>
      <c r="O1662" s="8" t="s">
        <v>3190</v>
      </c>
      <c r="P1662" s="8"/>
      <c r="Q1662" s="8">
        <v>62886</v>
      </c>
      <c r="R1662" s="8">
        <v>153508</v>
      </c>
      <c r="S1662" s="8"/>
      <c r="T1662" s="8"/>
      <c r="U1662" s="8"/>
      <c r="V1662" s="8"/>
      <c r="W1662" s="8"/>
      <c r="X1662" s="8"/>
      <c r="Y1662" s="8"/>
      <c r="Z1662" s="10" t="s">
        <v>3821</v>
      </c>
      <c r="AA1662" s="8" t="s">
        <v>332</v>
      </c>
      <c r="AB1662" s="8">
        <v>1</v>
      </c>
    </row>
    <row r="1663" spans="1:28" ht="21.6" customHeight="1">
      <c r="A1663" s="8">
        <v>52</v>
      </c>
      <c r="B1663" s="8">
        <v>2026010947</v>
      </c>
      <c r="C1663" s="8">
        <v>1</v>
      </c>
      <c r="D1663" s="8" t="s">
        <v>3177</v>
      </c>
      <c r="E1663" s="8" t="s">
        <v>133</v>
      </c>
      <c r="F1663" s="8" t="s">
        <v>4710</v>
      </c>
      <c r="G1663" s="8" t="s">
        <v>3357</v>
      </c>
      <c r="H1663" s="8" t="s">
        <v>3621</v>
      </c>
      <c r="I1663" s="8" t="s">
        <v>4733</v>
      </c>
      <c r="J1663" s="8" t="s">
        <v>3288</v>
      </c>
      <c r="K1663" s="8" t="s">
        <v>3183</v>
      </c>
      <c r="L1663" s="10" t="s">
        <v>4734</v>
      </c>
      <c r="M1663" s="10" t="s">
        <v>4735</v>
      </c>
      <c r="N1663" s="10"/>
      <c r="O1663" s="8" t="s">
        <v>3190</v>
      </c>
      <c r="P1663" s="8"/>
      <c r="Q1663" s="8">
        <v>4769</v>
      </c>
      <c r="R1663" s="8">
        <v>15444</v>
      </c>
      <c r="S1663" s="8"/>
      <c r="T1663" s="8"/>
      <c r="U1663" s="8"/>
      <c r="V1663" s="8"/>
      <c r="W1663" s="8"/>
      <c r="X1663" s="8"/>
      <c r="Y1663" s="8"/>
      <c r="Z1663" s="10" t="s">
        <v>3821</v>
      </c>
      <c r="AA1663" s="8" t="s">
        <v>332</v>
      </c>
      <c r="AB1663" s="8">
        <v>1</v>
      </c>
    </row>
    <row r="1664" spans="1:28" ht="21.6" customHeight="1">
      <c r="A1664" s="8">
        <v>57</v>
      </c>
      <c r="B1664" s="8">
        <v>2026012845</v>
      </c>
      <c r="C1664" s="8">
        <v>1</v>
      </c>
      <c r="D1664" s="8" t="s">
        <v>3177</v>
      </c>
      <c r="E1664" s="8" t="s">
        <v>133</v>
      </c>
      <c r="F1664" s="8" t="s">
        <v>4899</v>
      </c>
      <c r="G1664" s="8" t="s">
        <v>3280</v>
      </c>
      <c r="H1664" s="8" t="s">
        <v>3281</v>
      </c>
      <c r="I1664" s="8" t="s">
        <v>4903</v>
      </c>
      <c r="J1664" s="8" t="s">
        <v>3298</v>
      </c>
      <c r="K1664" s="8" t="s">
        <v>3183</v>
      </c>
      <c r="L1664" s="10" t="s">
        <v>4904</v>
      </c>
      <c r="M1664" s="10" t="s">
        <v>4905</v>
      </c>
      <c r="N1664" s="10"/>
      <c r="O1664" s="8" t="s">
        <v>3190</v>
      </c>
      <c r="P1664" s="8"/>
      <c r="Q1664" s="8"/>
      <c r="R1664" s="8">
        <v>65206</v>
      </c>
      <c r="S1664" s="8"/>
      <c r="T1664" s="8"/>
      <c r="U1664" s="8"/>
      <c r="V1664" s="8"/>
      <c r="W1664" s="8"/>
      <c r="X1664" s="8"/>
      <c r="Y1664" s="8"/>
      <c r="Z1664" s="10" t="s">
        <v>3821</v>
      </c>
      <c r="AA1664" s="8" t="s">
        <v>332</v>
      </c>
      <c r="AB1664" s="8">
        <v>1</v>
      </c>
    </row>
    <row r="1665" spans="1:28" ht="21.6" customHeight="1">
      <c r="A1665" s="8">
        <v>60</v>
      </c>
      <c r="B1665" s="8">
        <v>2026010928</v>
      </c>
      <c r="C1665" s="8">
        <v>1</v>
      </c>
      <c r="D1665" s="8" t="s">
        <v>3177</v>
      </c>
      <c r="E1665" s="8" t="s">
        <v>133</v>
      </c>
      <c r="F1665" s="8" t="s">
        <v>4710</v>
      </c>
      <c r="G1665" s="8" t="s">
        <v>3765</v>
      </c>
      <c r="H1665" s="8" t="s">
        <v>3638</v>
      </c>
      <c r="I1665" s="8" t="s">
        <v>4738</v>
      </c>
      <c r="J1665" s="8" t="s">
        <v>3301</v>
      </c>
      <c r="K1665" s="8" t="s">
        <v>3183</v>
      </c>
      <c r="L1665" s="10" t="s">
        <v>4712</v>
      </c>
      <c r="M1665" s="10" t="s">
        <v>4739</v>
      </c>
      <c r="N1665" s="10"/>
      <c r="O1665" s="8" t="s">
        <v>3190</v>
      </c>
      <c r="P1665" s="8"/>
      <c r="Q1665" s="8">
        <v>9949</v>
      </c>
      <c r="R1665" s="8">
        <v>210417</v>
      </c>
      <c r="S1665" s="8"/>
      <c r="T1665" s="8"/>
      <c r="U1665" s="8"/>
      <c r="V1665" s="8"/>
      <c r="W1665" s="8"/>
      <c r="X1665" s="8"/>
      <c r="Y1665" s="8"/>
      <c r="Z1665" s="10" t="s">
        <v>3821</v>
      </c>
      <c r="AA1665" s="8" t="s">
        <v>332</v>
      </c>
      <c r="AB1665" s="8">
        <v>1</v>
      </c>
    </row>
    <row r="1666" spans="1:28" ht="21.6" customHeight="1">
      <c r="A1666" s="8">
        <v>262</v>
      </c>
      <c r="B1666" s="8">
        <v>2026012851</v>
      </c>
      <c r="C1666" s="8">
        <v>1</v>
      </c>
      <c r="D1666" s="8" t="s">
        <v>3177</v>
      </c>
      <c r="E1666" s="8" t="s">
        <v>118</v>
      </c>
      <c r="F1666" s="8" t="s">
        <v>4899</v>
      </c>
      <c r="G1666" s="8" t="s">
        <v>3363</v>
      </c>
      <c r="H1666" s="8" t="s">
        <v>3233</v>
      </c>
      <c r="I1666" s="8" t="s">
        <v>4399</v>
      </c>
      <c r="J1666" s="8" t="s">
        <v>3195</v>
      </c>
      <c r="K1666" s="8" t="s">
        <v>3183</v>
      </c>
      <c r="L1666" s="10" t="s">
        <v>3377</v>
      </c>
      <c r="M1666" s="10" t="s">
        <v>4400</v>
      </c>
      <c r="N1666" s="10" t="s">
        <v>4401</v>
      </c>
      <c r="O1666" s="8" t="s">
        <v>3190</v>
      </c>
      <c r="P1666" s="8"/>
      <c r="Q1666" s="8">
        <v>165</v>
      </c>
      <c r="R1666" s="8">
        <v>3627</v>
      </c>
      <c r="S1666" s="8"/>
      <c r="T1666" s="8"/>
      <c r="U1666" s="8"/>
      <c r="V1666" s="8"/>
      <c r="W1666" s="8"/>
      <c r="X1666" s="8"/>
      <c r="Y1666" s="8"/>
      <c r="Z1666" s="10" t="s">
        <v>3696</v>
      </c>
      <c r="AA1666" s="8" t="s">
        <v>332</v>
      </c>
      <c r="AB1666" s="8">
        <v>1</v>
      </c>
    </row>
    <row r="1667" spans="1:28" ht="21.6" customHeight="1">
      <c r="A1667" s="8">
        <v>266</v>
      </c>
      <c r="B1667" s="8">
        <v>2026010857</v>
      </c>
      <c r="C1667" s="8">
        <v>1</v>
      </c>
      <c r="D1667" s="8" t="s">
        <v>3177</v>
      </c>
      <c r="E1667" s="8" t="s">
        <v>118</v>
      </c>
      <c r="F1667" s="8" t="s">
        <v>4710</v>
      </c>
      <c r="G1667" s="8" t="s">
        <v>3280</v>
      </c>
      <c r="H1667" s="8" t="s">
        <v>3363</v>
      </c>
      <c r="I1667" s="8" t="s">
        <v>3689</v>
      </c>
      <c r="J1667" s="8" t="s">
        <v>3224</v>
      </c>
      <c r="K1667" s="8" t="s">
        <v>3183</v>
      </c>
      <c r="L1667" s="10" t="s">
        <v>3344</v>
      </c>
      <c r="M1667" s="10" t="s">
        <v>3345</v>
      </c>
      <c r="N1667" s="10" t="s">
        <v>3497</v>
      </c>
      <c r="O1667" s="8" t="s">
        <v>3190</v>
      </c>
      <c r="P1667" s="8"/>
      <c r="Q1667" s="8">
        <v>1200</v>
      </c>
      <c r="R1667" s="8">
        <v>18000</v>
      </c>
      <c r="S1667" s="8"/>
      <c r="T1667" s="8"/>
      <c r="U1667" s="8"/>
      <c r="V1667" s="8"/>
      <c r="W1667" s="8"/>
      <c r="X1667" s="8"/>
      <c r="Y1667" s="8"/>
      <c r="Z1667" s="10" t="s">
        <v>3696</v>
      </c>
      <c r="AA1667" s="8" t="s">
        <v>332</v>
      </c>
      <c r="AB1667" s="8">
        <v>1</v>
      </c>
    </row>
    <row r="1668" spans="1:28" ht="21.6" customHeight="1">
      <c r="A1668" s="8">
        <v>6</v>
      </c>
      <c r="B1668" s="8">
        <v>2026011664</v>
      </c>
      <c r="C1668" s="8">
        <v>1</v>
      </c>
      <c r="D1668" s="8" t="s">
        <v>3177</v>
      </c>
      <c r="E1668" s="8" t="s">
        <v>133</v>
      </c>
      <c r="F1668" s="8" t="s">
        <v>4778</v>
      </c>
      <c r="G1668" s="8" t="s">
        <v>3192</v>
      </c>
      <c r="H1668" s="8" t="s">
        <v>3903</v>
      </c>
      <c r="I1668" s="8" t="s">
        <v>4781</v>
      </c>
      <c r="J1668" s="8" t="s">
        <v>3224</v>
      </c>
      <c r="K1668" s="8" t="s">
        <v>3183</v>
      </c>
      <c r="L1668" s="10" t="s">
        <v>4782</v>
      </c>
      <c r="M1668" s="10" t="s">
        <v>4783</v>
      </c>
      <c r="N1668" s="10"/>
      <c r="O1668" s="8" t="s">
        <v>3190</v>
      </c>
      <c r="P1668" s="8"/>
      <c r="Q1668" s="8">
        <v>7579</v>
      </c>
      <c r="R1668" s="8">
        <v>20010</v>
      </c>
      <c r="S1668" s="8"/>
      <c r="T1668" s="8"/>
      <c r="U1668" s="8"/>
      <c r="V1668" s="8"/>
      <c r="W1668" s="8"/>
      <c r="X1668" s="8"/>
      <c r="Y1668" s="8"/>
      <c r="Z1668" s="10" t="s">
        <v>3821</v>
      </c>
      <c r="AA1668" s="8" t="s">
        <v>332</v>
      </c>
      <c r="AB1668" s="8">
        <v>1</v>
      </c>
    </row>
    <row r="1669" spans="1:28" ht="21.6" customHeight="1">
      <c r="A1669" s="8">
        <v>70</v>
      </c>
      <c r="B1669" s="8">
        <v>2026011874</v>
      </c>
      <c r="C1669" s="8">
        <v>1</v>
      </c>
      <c r="D1669" s="8" t="s">
        <v>3177</v>
      </c>
      <c r="E1669" s="8" t="s">
        <v>133</v>
      </c>
      <c r="F1669" s="8" t="s">
        <v>4805</v>
      </c>
      <c r="G1669" s="8" t="s">
        <v>3755</v>
      </c>
      <c r="H1669" s="8" t="s">
        <v>3790</v>
      </c>
      <c r="I1669" s="8" t="s">
        <v>4827</v>
      </c>
      <c r="J1669" s="8" t="s">
        <v>4553</v>
      </c>
      <c r="K1669" s="8" t="s">
        <v>3183</v>
      </c>
      <c r="L1669" s="10" t="s">
        <v>4828</v>
      </c>
      <c r="M1669" s="10" t="s">
        <v>4829</v>
      </c>
      <c r="N1669" s="10"/>
      <c r="O1669" s="8" t="s">
        <v>3190</v>
      </c>
      <c r="P1669" s="8"/>
      <c r="Q1669" s="8"/>
      <c r="R1669" s="8">
        <v>108275</v>
      </c>
      <c r="S1669" s="8"/>
      <c r="T1669" s="8"/>
      <c r="U1669" s="8"/>
      <c r="V1669" s="8"/>
      <c r="W1669" s="8"/>
      <c r="X1669" s="8"/>
      <c r="Y1669" s="8"/>
      <c r="Z1669" s="10" t="s">
        <v>3821</v>
      </c>
      <c r="AA1669" s="8" t="s">
        <v>332</v>
      </c>
      <c r="AB1669" s="8">
        <v>1</v>
      </c>
    </row>
    <row r="1670" spans="1:28" ht="21.6" customHeight="1">
      <c r="A1670" s="8">
        <v>8</v>
      </c>
      <c r="B1670" s="8">
        <v>2026011182</v>
      </c>
      <c r="C1670" s="8">
        <v>1</v>
      </c>
      <c r="D1670" s="8" t="s">
        <v>3177</v>
      </c>
      <c r="E1670" s="8" t="s">
        <v>133</v>
      </c>
      <c r="F1670" s="8" t="s">
        <v>4695</v>
      </c>
      <c r="G1670" s="8" t="s">
        <v>3280</v>
      </c>
      <c r="H1670" s="8" t="s">
        <v>4136</v>
      </c>
      <c r="I1670" s="8" t="s">
        <v>4696</v>
      </c>
      <c r="J1670" s="8" t="s">
        <v>3224</v>
      </c>
      <c r="K1670" s="8" t="s">
        <v>3183</v>
      </c>
      <c r="L1670" s="10" t="s">
        <v>4697</v>
      </c>
      <c r="M1670" s="10" t="s">
        <v>4698</v>
      </c>
      <c r="N1670" s="10"/>
      <c r="O1670" s="8" t="s">
        <v>3190</v>
      </c>
      <c r="P1670" s="8"/>
      <c r="Q1670" s="8">
        <v>1454</v>
      </c>
      <c r="R1670" s="8">
        <v>3044</v>
      </c>
      <c r="S1670" s="8"/>
      <c r="T1670" s="8"/>
      <c r="U1670" s="8"/>
      <c r="V1670" s="8"/>
      <c r="W1670" s="8"/>
      <c r="X1670" s="8"/>
      <c r="Y1670" s="8"/>
      <c r="Z1670" s="10" t="s">
        <v>3821</v>
      </c>
      <c r="AA1670" s="8" t="s">
        <v>332</v>
      </c>
      <c r="AB1670" s="8">
        <v>1</v>
      </c>
    </row>
    <row r="1671" spans="1:28" ht="21.6" customHeight="1">
      <c r="A1671" s="8">
        <v>26</v>
      </c>
      <c r="B1671" s="8">
        <v>2026012023</v>
      </c>
      <c r="C1671" s="8">
        <v>1</v>
      </c>
      <c r="D1671" s="8" t="s">
        <v>3177</v>
      </c>
      <c r="E1671" s="8" t="s">
        <v>133</v>
      </c>
      <c r="F1671" s="8" t="s">
        <v>4846</v>
      </c>
      <c r="G1671" s="8" t="s">
        <v>3204</v>
      </c>
      <c r="H1671" s="8" t="s">
        <v>3666</v>
      </c>
      <c r="I1671" s="8" t="s">
        <v>4906</v>
      </c>
      <c r="J1671" s="8" t="s">
        <v>3253</v>
      </c>
      <c r="K1671" s="8" t="s">
        <v>3183</v>
      </c>
      <c r="L1671" s="10" t="s">
        <v>4856</v>
      </c>
      <c r="M1671" s="10" t="s">
        <v>4907</v>
      </c>
      <c r="N1671" s="10" t="s">
        <v>4908</v>
      </c>
      <c r="O1671" s="8" t="s">
        <v>3190</v>
      </c>
      <c r="P1671" s="8"/>
      <c r="Q1671" s="8"/>
      <c r="R1671" s="8">
        <v>275700</v>
      </c>
      <c r="S1671" s="8"/>
      <c r="T1671" s="8"/>
      <c r="U1671" s="8"/>
      <c r="V1671" s="8"/>
      <c r="W1671" s="8"/>
      <c r="X1671" s="8"/>
      <c r="Y1671" s="8"/>
      <c r="Z1671" s="10" t="s">
        <v>4909</v>
      </c>
      <c r="AA1671" s="8" t="s">
        <v>332</v>
      </c>
      <c r="AB1671" s="8">
        <v>1</v>
      </c>
    </row>
    <row r="1672" spans="1:28" ht="21.6" customHeight="1">
      <c r="A1672" s="8">
        <v>44</v>
      </c>
      <c r="B1672" s="8">
        <v>2026012053</v>
      </c>
      <c r="C1672" s="8">
        <v>1</v>
      </c>
      <c r="D1672" s="8" t="s">
        <v>3177</v>
      </c>
      <c r="E1672" s="8" t="s">
        <v>133</v>
      </c>
      <c r="F1672" s="8" t="s">
        <v>4846</v>
      </c>
      <c r="G1672" s="8" t="s">
        <v>3427</v>
      </c>
      <c r="H1672" s="8" t="s">
        <v>3653</v>
      </c>
      <c r="I1672" s="8" t="s">
        <v>4855</v>
      </c>
      <c r="J1672" s="8" t="s">
        <v>3277</v>
      </c>
      <c r="K1672" s="8" t="s">
        <v>3183</v>
      </c>
      <c r="L1672" s="10" t="s">
        <v>4856</v>
      </c>
      <c r="M1672" s="10" t="s">
        <v>4857</v>
      </c>
      <c r="N1672" s="10" t="s">
        <v>4858</v>
      </c>
      <c r="O1672" s="8" t="s">
        <v>3190</v>
      </c>
      <c r="P1672" s="8"/>
      <c r="Q1672" s="8"/>
      <c r="R1672" s="8">
        <v>26511</v>
      </c>
      <c r="S1672" s="8"/>
      <c r="T1672" s="8"/>
      <c r="U1672" s="8"/>
      <c r="V1672" s="8"/>
      <c r="W1672" s="8"/>
      <c r="X1672" s="8"/>
      <c r="Y1672" s="8"/>
      <c r="Z1672" s="10" t="s">
        <v>3821</v>
      </c>
      <c r="AA1672" s="8" t="s">
        <v>332</v>
      </c>
      <c r="AB1672" s="8">
        <v>1</v>
      </c>
    </row>
    <row r="1673" spans="1:28" ht="21.6" customHeight="1">
      <c r="A1673" s="8">
        <v>58</v>
      </c>
      <c r="B1673" s="8">
        <v>2026010932</v>
      </c>
      <c r="C1673" s="8">
        <v>1</v>
      </c>
      <c r="D1673" s="8" t="s">
        <v>3177</v>
      </c>
      <c r="E1673" s="8" t="s">
        <v>133</v>
      </c>
      <c r="F1673" s="8" t="s">
        <v>4710</v>
      </c>
      <c r="G1673" s="8" t="s">
        <v>3638</v>
      </c>
      <c r="H1673" s="8" t="s">
        <v>4044</v>
      </c>
      <c r="I1673" s="8" t="s">
        <v>4736</v>
      </c>
      <c r="J1673" s="8" t="s">
        <v>3301</v>
      </c>
      <c r="K1673" s="8" t="s">
        <v>3183</v>
      </c>
      <c r="L1673" s="10" t="s">
        <v>4712</v>
      </c>
      <c r="M1673" s="10" t="s">
        <v>4737</v>
      </c>
      <c r="N1673" s="10"/>
      <c r="O1673" s="8" t="s">
        <v>3190</v>
      </c>
      <c r="P1673" s="8"/>
      <c r="Q1673" s="8">
        <v>18785</v>
      </c>
      <c r="R1673" s="8">
        <v>389389</v>
      </c>
      <c r="S1673" s="8"/>
      <c r="T1673" s="8"/>
      <c r="U1673" s="8"/>
      <c r="V1673" s="8"/>
      <c r="W1673" s="8"/>
      <c r="X1673" s="8"/>
      <c r="Y1673" s="8"/>
      <c r="Z1673" s="10" t="s">
        <v>3821</v>
      </c>
      <c r="AA1673" s="8" t="s">
        <v>332</v>
      </c>
      <c r="AB1673" s="8">
        <v>1</v>
      </c>
    </row>
    <row r="1674" spans="1:28" ht="21.6" customHeight="1">
      <c r="A1674" s="8">
        <v>301</v>
      </c>
      <c r="B1674" s="8">
        <v>2026010855</v>
      </c>
      <c r="C1674" s="8">
        <v>1</v>
      </c>
      <c r="D1674" s="8" t="s">
        <v>3177</v>
      </c>
      <c r="E1674" s="8" t="s">
        <v>118</v>
      </c>
      <c r="F1674" s="8" t="s">
        <v>4710</v>
      </c>
      <c r="G1674" s="8" t="s">
        <v>3350</v>
      </c>
      <c r="H1674" s="8" t="s">
        <v>3280</v>
      </c>
      <c r="I1674" s="8" t="s">
        <v>3447</v>
      </c>
      <c r="J1674" s="8" t="s">
        <v>3277</v>
      </c>
      <c r="K1674" s="8" t="s">
        <v>3183</v>
      </c>
      <c r="L1674" s="10" t="s">
        <v>3448</v>
      </c>
      <c r="M1674" s="10" t="s">
        <v>3449</v>
      </c>
      <c r="N1674" s="10"/>
      <c r="O1674" s="8" t="s">
        <v>3190</v>
      </c>
      <c r="P1674" s="8"/>
      <c r="Q1674" s="8"/>
      <c r="R1674" s="8">
        <v>56000</v>
      </c>
      <c r="S1674" s="8"/>
      <c r="T1674" s="8"/>
      <c r="U1674" s="8"/>
      <c r="V1674" s="8"/>
      <c r="W1674" s="8"/>
      <c r="X1674" s="8"/>
      <c r="Y1674" s="8"/>
      <c r="Z1674" s="10" t="s">
        <v>3696</v>
      </c>
      <c r="AA1674" s="8" t="s">
        <v>332</v>
      </c>
      <c r="AB1674" s="8">
        <v>1</v>
      </c>
    </row>
    <row r="1675" spans="1:28" ht="21.6" customHeight="1">
      <c r="A1675" s="8">
        <v>337</v>
      </c>
      <c r="B1675" s="8">
        <v>2026010778</v>
      </c>
      <c r="C1675" s="8">
        <v>1</v>
      </c>
      <c r="D1675" s="8" t="s">
        <v>3177</v>
      </c>
      <c r="E1675" s="8" t="s">
        <v>118</v>
      </c>
      <c r="F1675" s="8" t="s">
        <v>4751</v>
      </c>
      <c r="G1675" s="8" t="s">
        <v>3426</v>
      </c>
      <c r="H1675" s="8" t="s">
        <v>3431</v>
      </c>
      <c r="I1675" s="8" t="s">
        <v>3536</v>
      </c>
      <c r="J1675" s="8" t="s">
        <v>3298</v>
      </c>
      <c r="K1675" s="8" t="s">
        <v>3183</v>
      </c>
      <c r="L1675" s="10" t="s">
        <v>3537</v>
      </c>
      <c r="M1675" s="10" t="s">
        <v>3538</v>
      </c>
      <c r="N1675" s="10"/>
      <c r="O1675" s="8" t="s">
        <v>3190</v>
      </c>
      <c r="P1675" s="8"/>
      <c r="Q1675" s="8"/>
      <c r="R1675" s="8">
        <v>149988</v>
      </c>
      <c r="S1675" s="8"/>
      <c r="T1675" s="8"/>
      <c r="U1675" s="8"/>
      <c r="V1675" s="8"/>
      <c r="W1675" s="8"/>
      <c r="X1675" s="8"/>
      <c r="Y1675" s="8"/>
      <c r="Z1675" s="10" t="s">
        <v>3696</v>
      </c>
      <c r="AA1675" s="8" t="s">
        <v>332</v>
      </c>
      <c r="AB1675" s="8">
        <v>1</v>
      </c>
    </row>
    <row r="1676" spans="1:28" ht="21.6" customHeight="1">
      <c r="A1676" s="8">
        <v>360</v>
      </c>
      <c r="B1676" s="8">
        <v>2026010907</v>
      </c>
      <c r="C1676" s="8">
        <v>1</v>
      </c>
      <c r="D1676" s="8" t="s">
        <v>3177</v>
      </c>
      <c r="E1676" s="8" t="s">
        <v>118</v>
      </c>
      <c r="F1676" s="8" t="s">
        <v>4710</v>
      </c>
      <c r="G1676" s="8" t="s">
        <v>3233</v>
      </c>
      <c r="H1676" s="8" t="s">
        <v>3381</v>
      </c>
      <c r="I1676" s="8" t="s">
        <v>4375</v>
      </c>
      <c r="J1676" s="8" t="s">
        <v>3543</v>
      </c>
      <c r="K1676" s="8" t="s">
        <v>3183</v>
      </c>
      <c r="L1676" s="10" t="s">
        <v>3254</v>
      </c>
      <c r="M1676" s="10" t="s">
        <v>3742</v>
      </c>
      <c r="N1676" s="10" t="s">
        <v>4376</v>
      </c>
      <c r="O1676" s="8" t="s">
        <v>3190</v>
      </c>
      <c r="P1676" s="8"/>
      <c r="Q1676" s="8"/>
      <c r="R1676" s="8">
        <v>38</v>
      </c>
      <c r="S1676" s="8"/>
      <c r="T1676" s="8"/>
      <c r="U1676" s="8"/>
      <c r="V1676" s="8"/>
      <c r="W1676" s="8"/>
      <c r="X1676" s="8"/>
      <c r="Y1676" s="8"/>
      <c r="Z1676" s="10" t="s">
        <v>3696</v>
      </c>
      <c r="AA1676" s="8" t="s">
        <v>332</v>
      </c>
      <c r="AB1676" s="8">
        <v>1</v>
      </c>
    </row>
    <row r="1677" spans="1:28" ht="21.6" customHeight="1">
      <c r="A1677" s="8">
        <v>8</v>
      </c>
      <c r="B1677" s="8">
        <v>2026013184</v>
      </c>
      <c r="C1677" s="8">
        <v>1</v>
      </c>
      <c r="D1677" s="8" t="s">
        <v>3177</v>
      </c>
      <c r="E1677" s="8" t="s">
        <v>133</v>
      </c>
      <c r="F1677" s="8" t="s">
        <v>4910</v>
      </c>
      <c r="G1677" s="8" t="s">
        <v>4911</v>
      </c>
      <c r="H1677" s="8" t="s">
        <v>4912</v>
      </c>
      <c r="I1677" s="8" t="s">
        <v>4913</v>
      </c>
      <c r="J1677" s="8" t="s">
        <v>3224</v>
      </c>
      <c r="K1677" s="8" t="s">
        <v>3183</v>
      </c>
      <c r="L1677" s="10" t="s">
        <v>4914</v>
      </c>
      <c r="M1677" s="10" t="s">
        <v>4915</v>
      </c>
      <c r="N1677" s="10"/>
      <c r="O1677" s="8" t="s">
        <v>3190</v>
      </c>
      <c r="P1677" s="8"/>
      <c r="Q1677" s="8">
        <v>1105</v>
      </c>
      <c r="R1677" s="8">
        <v>16589</v>
      </c>
      <c r="S1677" s="8"/>
      <c r="T1677" s="8"/>
      <c r="U1677" s="8"/>
      <c r="V1677" s="8"/>
      <c r="W1677" s="8"/>
      <c r="X1677" s="8"/>
      <c r="Y1677" s="8"/>
      <c r="Z1677" s="10" t="s">
        <v>3821</v>
      </c>
      <c r="AA1677" s="8" t="s">
        <v>332</v>
      </c>
      <c r="AB1677" s="8">
        <v>1</v>
      </c>
    </row>
    <row r="1678" spans="1:28" ht="21.6" customHeight="1">
      <c r="A1678" s="8">
        <v>59</v>
      </c>
      <c r="B1678" s="8">
        <v>2026013215</v>
      </c>
      <c r="C1678" s="8">
        <v>1</v>
      </c>
      <c r="D1678" s="8" t="s">
        <v>3177</v>
      </c>
      <c r="E1678" s="8" t="s">
        <v>133</v>
      </c>
      <c r="F1678" s="8" t="s">
        <v>4910</v>
      </c>
      <c r="G1678" s="8" t="s">
        <v>3982</v>
      </c>
      <c r="H1678" s="8" t="s">
        <v>4916</v>
      </c>
      <c r="I1678" s="8" t="s">
        <v>3300</v>
      </c>
      <c r="J1678" s="8" t="s">
        <v>3301</v>
      </c>
      <c r="K1678" s="8" t="s">
        <v>3183</v>
      </c>
      <c r="L1678" s="10" t="s">
        <v>3302</v>
      </c>
      <c r="M1678" s="10" t="s">
        <v>3303</v>
      </c>
      <c r="N1678" s="10" t="s">
        <v>3304</v>
      </c>
      <c r="O1678" s="8" t="s">
        <v>322</v>
      </c>
      <c r="P1678" s="8"/>
      <c r="Q1678" s="8">
        <v>44685</v>
      </c>
      <c r="R1678" s="8">
        <v>42977</v>
      </c>
      <c r="S1678" s="8" t="s">
        <v>332</v>
      </c>
      <c r="T1678" s="8"/>
      <c r="U1678" s="8"/>
      <c r="V1678" s="8"/>
      <c r="W1678" s="8"/>
      <c r="X1678" s="8"/>
      <c r="Y1678" s="8"/>
      <c r="Z1678" s="10" t="s">
        <v>4747</v>
      </c>
      <c r="AA1678" s="8" t="s">
        <v>332</v>
      </c>
      <c r="AB1678" s="8">
        <v>1</v>
      </c>
    </row>
    <row r="1679" spans="1:28" ht="21.6" customHeight="1">
      <c r="A1679" s="8">
        <v>90</v>
      </c>
      <c r="B1679" s="8">
        <v>2026013242</v>
      </c>
      <c r="C1679" s="8">
        <v>1</v>
      </c>
      <c r="D1679" s="8" t="s">
        <v>3177</v>
      </c>
      <c r="E1679" s="8" t="s">
        <v>133</v>
      </c>
      <c r="F1679" s="8" t="s">
        <v>4910</v>
      </c>
      <c r="G1679" s="8" t="s">
        <v>3509</v>
      </c>
      <c r="H1679" s="8" t="s">
        <v>3638</v>
      </c>
      <c r="I1679" s="8" t="s">
        <v>4230</v>
      </c>
      <c r="J1679" s="8" t="s">
        <v>3328</v>
      </c>
      <c r="K1679" s="8" t="s">
        <v>3183</v>
      </c>
      <c r="L1679" s="10" t="s">
        <v>3314</v>
      </c>
      <c r="M1679" s="10" t="s">
        <v>3315</v>
      </c>
      <c r="N1679" s="10"/>
      <c r="O1679" s="8" t="s">
        <v>322</v>
      </c>
      <c r="P1679" s="8"/>
      <c r="Q1679" s="8">
        <v>7323</v>
      </c>
      <c r="R1679" s="8">
        <v>9340</v>
      </c>
      <c r="S1679" s="8" t="s">
        <v>332</v>
      </c>
      <c r="T1679" s="8"/>
      <c r="U1679" s="8"/>
      <c r="V1679" s="8"/>
      <c r="W1679" s="8"/>
      <c r="X1679" s="8"/>
      <c r="Y1679" s="8"/>
      <c r="Z1679" s="10" t="s">
        <v>3821</v>
      </c>
      <c r="AA1679" s="8" t="s">
        <v>332</v>
      </c>
      <c r="AB1679" s="8">
        <v>1</v>
      </c>
    </row>
    <row r="1680" spans="1:28" ht="21.6" customHeight="1">
      <c r="A1680" s="8">
        <v>176</v>
      </c>
      <c r="B1680" s="8">
        <v>2026012888</v>
      </c>
      <c r="C1680" s="8">
        <v>1</v>
      </c>
      <c r="D1680" s="8" t="s">
        <v>3177</v>
      </c>
      <c r="E1680" s="8" t="s">
        <v>123</v>
      </c>
      <c r="F1680" s="8" t="s">
        <v>4899</v>
      </c>
      <c r="G1680" s="8" t="s">
        <v>4660</v>
      </c>
      <c r="H1680" s="8" t="s">
        <v>3645</v>
      </c>
      <c r="I1680" s="8" t="s">
        <v>4917</v>
      </c>
      <c r="J1680" s="8" t="s">
        <v>3224</v>
      </c>
      <c r="K1680" s="8" t="s">
        <v>3183</v>
      </c>
      <c r="L1680" s="10" t="s">
        <v>4918</v>
      </c>
      <c r="M1680" s="10" t="s">
        <v>4919</v>
      </c>
      <c r="N1680" s="10"/>
      <c r="O1680" s="8" t="s">
        <v>3190</v>
      </c>
      <c r="P1680" s="8"/>
      <c r="Q1680" s="8">
        <v>50</v>
      </c>
      <c r="R1680" s="8">
        <v>22676</v>
      </c>
      <c r="S1680" s="8"/>
      <c r="T1680" s="8"/>
      <c r="U1680" s="8"/>
      <c r="V1680" s="8"/>
      <c r="W1680" s="8"/>
      <c r="X1680" s="8"/>
      <c r="Y1680" s="8"/>
      <c r="Z1680" s="10" t="s">
        <v>3186</v>
      </c>
      <c r="AA1680" s="8" t="s">
        <v>332</v>
      </c>
      <c r="AB1680" s="8">
        <v>1</v>
      </c>
    </row>
    <row r="1681" spans="1:28" ht="21.6" customHeight="1">
      <c r="A1681" s="8">
        <v>202</v>
      </c>
      <c r="B1681" s="8">
        <v>2026011840</v>
      </c>
      <c r="C1681" s="8">
        <v>1</v>
      </c>
      <c r="D1681" s="8" t="s">
        <v>3177</v>
      </c>
      <c r="E1681" s="8" t="s">
        <v>123</v>
      </c>
      <c r="F1681" s="8" t="s">
        <v>4805</v>
      </c>
      <c r="G1681" s="8" t="s">
        <v>3903</v>
      </c>
      <c r="H1681" s="8" t="s">
        <v>3627</v>
      </c>
      <c r="I1681" s="8" t="s">
        <v>4502</v>
      </c>
      <c r="J1681" s="8" t="s">
        <v>3277</v>
      </c>
      <c r="K1681" s="8" t="s">
        <v>3183</v>
      </c>
      <c r="L1681" s="10" t="s">
        <v>3207</v>
      </c>
      <c r="M1681" s="10" t="s">
        <v>3208</v>
      </c>
      <c r="N1681" s="10" t="s">
        <v>3299</v>
      </c>
      <c r="O1681" s="8" t="s">
        <v>3190</v>
      </c>
      <c r="P1681" s="8"/>
      <c r="Q1681" s="8"/>
      <c r="R1681" s="8">
        <v>20821</v>
      </c>
      <c r="S1681" s="8"/>
      <c r="T1681" s="8"/>
      <c r="U1681" s="8"/>
      <c r="V1681" s="8"/>
      <c r="W1681" s="8"/>
      <c r="X1681" s="8"/>
      <c r="Y1681" s="8"/>
      <c r="Z1681" s="10" t="s">
        <v>3186</v>
      </c>
      <c r="AA1681" s="8" t="s">
        <v>332</v>
      </c>
      <c r="AB1681" s="8">
        <v>1</v>
      </c>
    </row>
    <row r="1682" spans="1:28" ht="21.6" customHeight="1">
      <c r="A1682" s="8">
        <v>310</v>
      </c>
      <c r="B1682" s="8">
        <v>2026012020</v>
      </c>
      <c r="C1682" s="8">
        <v>1</v>
      </c>
      <c r="D1682" s="8" t="s">
        <v>3177</v>
      </c>
      <c r="E1682" s="8" t="s">
        <v>118</v>
      </c>
      <c r="F1682" s="8" t="s">
        <v>4846</v>
      </c>
      <c r="G1682" s="8" t="s">
        <v>3204</v>
      </c>
      <c r="H1682" s="8" t="s">
        <v>3427</v>
      </c>
      <c r="I1682" s="8" t="s">
        <v>3706</v>
      </c>
      <c r="J1682" s="8" t="s">
        <v>3253</v>
      </c>
      <c r="K1682" s="8" t="s">
        <v>3183</v>
      </c>
      <c r="L1682" s="10" t="s">
        <v>3707</v>
      </c>
      <c r="M1682" s="10" t="s">
        <v>3708</v>
      </c>
      <c r="N1682" s="10" t="s">
        <v>3424</v>
      </c>
      <c r="O1682" s="8" t="s">
        <v>3190</v>
      </c>
      <c r="P1682" s="8"/>
      <c r="Q1682" s="8"/>
      <c r="R1682" s="8">
        <v>263518</v>
      </c>
      <c r="S1682" s="8"/>
      <c r="T1682" s="8"/>
      <c r="U1682" s="8"/>
      <c r="V1682" s="8"/>
      <c r="W1682" s="8"/>
      <c r="X1682" s="8"/>
      <c r="Y1682" s="8"/>
      <c r="Z1682" s="10" t="s">
        <v>3696</v>
      </c>
      <c r="AA1682" s="8" t="s">
        <v>332</v>
      </c>
      <c r="AB1682" s="8">
        <v>1</v>
      </c>
    </row>
    <row r="1683" spans="1:28" ht="21.6" customHeight="1">
      <c r="A1683" s="8">
        <v>317</v>
      </c>
      <c r="B1683" s="8">
        <v>2026011488</v>
      </c>
      <c r="C1683" s="8">
        <v>1</v>
      </c>
      <c r="D1683" s="8" t="s">
        <v>3177</v>
      </c>
      <c r="E1683" s="8" t="s">
        <v>118</v>
      </c>
      <c r="F1683" s="8" t="s">
        <v>4777</v>
      </c>
      <c r="G1683" s="8" t="s">
        <v>3280</v>
      </c>
      <c r="H1683" s="8" t="s">
        <v>3363</v>
      </c>
      <c r="I1683" s="8" t="s">
        <v>3428</v>
      </c>
      <c r="J1683" s="8" t="s">
        <v>3253</v>
      </c>
      <c r="K1683" s="8" t="s">
        <v>3183</v>
      </c>
      <c r="L1683" s="10" t="s">
        <v>3270</v>
      </c>
      <c r="M1683" s="10" t="s">
        <v>3429</v>
      </c>
      <c r="N1683" s="10" t="s">
        <v>3430</v>
      </c>
      <c r="O1683" s="8" t="s">
        <v>3190</v>
      </c>
      <c r="P1683" s="8"/>
      <c r="Q1683" s="8"/>
      <c r="R1683" s="8">
        <v>82505</v>
      </c>
      <c r="S1683" s="8"/>
      <c r="T1683" s="8"/>
      <c r="U1683" s="8"/>
      <c r="V1683" s="8"/>
      <c r="W1683" s="8"/>
      <c r="X1683" s="8"/>
      <c r="Y1683" s="8"/>
      <c r="Z1683" s="10" t="s">
        <v>3696</v>
      </c>
      <c r="AA1683" s="8" t="s">
        <v>332</v>
      </c>
      <c r="AB1683" s="8">
        <v>1</v>
      </c>
    </row>
    <row r="1684" spans="1:28" ht="21.6" customHeight="1">
      <c r="A1684" s="8">
        <v>324</v>
      </c>
      <c r="B1684" s="8">
        <v>2026013084</v>
      </c>
      <c r="C1684" s="8">
        <v>1</v>
      </c>
      <c r="D1684" s="8" t="s">
        <v>3177</v>
      </c>
      <c r="E1684" s="8" t="s">
        <v>118</v>
      </c>
      <c r="F1684" s="8" t="s">
        <v>4920</v>
      </c>
      <c r="G1684" s="8" t="s">
        <v>3386</v>
      </c>
      <c r="H1684" s="8" t="s">
        <v>4077</v>
      </c>
      <c r="I1684" s="8" t="s">
        <v>3440</v>
      </c>
      <c r="J1684" s="8" t="s">
        <v>3277</v>
      </c>
      <c r="K1684" s="8" t="s">
        <v>3183</v>
      </c>
      <c r="L1684" s="10" t="s">
        <v>3434</v>
      </c>
      <c r="M1684" s="10" t="s">
        <v>3441</v>
      </c>
      <c r="N1684" s="10" t="s">
        <v>3442</v>
      </c>
      <c r="O1684" s="8" t="s">
        <v>363</v>
      </c>
      <c r="P1684" s="8"/>
      <c r="Q1684" s="8"/>
      <c r="R1684" s="8">
        <v>159192</v>
      </c>
      <c r="S1684" s="8"/>
      <c r="T1684" s="8"/>
      <c r="U1684" s="8"/>
      <c r="V1684" s="8"/>
      <c r="W1684" s="8"/>
      <c r="X1684" s="8"/>
      <c r="Y1684" s="8"/>
      <c r="Z1684" s="10" t="s">
        <v>4488</v>
      </c>
      <c r="AA1684" s="8" t="s">
        <v>332</v>
      </c>
      <c r="AB1684" s="8">
        <v>1</v>
      </c>
    </row>
    <row r="1685" spans="1:28" ht="21.6" customHeight="1">
      <c r="A1685" s="8">
        <v>366</v>
      </c>
      <c r="B1685" s="8">
        <v>2026013010</v>
      </c>
      <c r="C1685" s="8">
        <v>1</v>
      </c>
      <c r="D1685" s="8" t="s">
        <v>3177</v>
      </c>
      <c r="E1685" s="8" t="s">
        <v>118</v>
      </c>
      <c r="F1685" s="8" t="s">
        <v>4920</v>
      </c>
      <c r="G1685" s="8" t="s">
        <v>3233</v>
      </c>
      <c r="H1685" s="8" t="s">
        <v>3381</v>
      </c>
      <c r="I1685" s="8" t="s">
        <v>3536</v>
      </c>
      <c r="J1685" s="8" t="s">
        <v>3298</v>
      </c>
      <c r="K1685" s="8" t="s">
        <v>3183</v>
      </c>
      <c r="L1685" s="10" t="s">
        <v>4921</v>
      </c>
      <c r="M1685" s="10" t="s">
        <v>3538</v>
      </c>
      <c r="N1685" s="10"/>
      <c r="O1685" s="8" t="s">
        <v>322</v>
      </c>
      <c r="P1685" s="8"/>
      <c r="Q1685" s="8"/>
      <c r="R1685" s="8">
        <v>149988</v>
      </c>
      <c r="S1685" s="8"/>
      <c r="T1685" s="8"/>
      <c r="U1685" s="8"/>
      <c r="V1685" s="8"/>
      <c r="W1685" s="8" t="s">
        <v>332</v>
      </c>
      <c r="X1685" s="8"/>
      <c r="Y1685" s="8"/>
      <c r="Z1685" s="10" t="s">
        <v>4922</v>
      </c>
      <c r="AA1685" s="8" t="s">
        <v>332</v>
      </c>
      <c r="AB1685" s="8">
        <v>1</v>
      </c>
    </row>
    <row r="1686" spans="1:28" ht="21.6" customHeight="1">
      <c r="A1686" s="8">
        <v>450</v>
      </c>
      <c r="B1686" s="8">
        <v>2026013008</v>
      </c>
      <c r="C1686" s="8">
        <v>1</v>
      </c>
      <c r="D1686" s="8" t="s">
        <v>3177</v>
      </c>
      <c r="E1686" s="8" t="s">
        <v>134</v>
      </c>
      <c r="F1686" s="8" t="s">
        <v>4920</v>
      </c>
      <c r="G1686" s="8" t="s">
        <v>3221</v>
      </c>
      <c r="H1686" s="8" t="s">
        <v>3222</v>
      </c>
      <c r="I1686" s="8" t="s">
        <v>3470</v>
      </c>
      <c r="J1686" s="8" t="s">
        <v>3471</v>
      </c>
      <c r="K1686" s="8" t="s">
        <v>3183</v>
      </c>
      <c r="L1686" s="10" t="s">
        <v>3472</v>
      </c>
      <c r="M1686" s="10" t="s">
        <v>3410</v>
      </c>
      <c r="N1686" s="10" t="s">
        <v>3442</v>
      </c>
      <c r="O1686" s="8" t="s">
        <v>322</v>
      </c>
      <c r="P1686" s="8"/>
      <c r="Q1686" s="8"/>
      <c r="R1686" s="8">
        <v>76644</v>
      </c>
      <c r="S1686" s="8" t="s">
        <v>332</v>
      </c>
      <c r="T1686" s="8"/>
      <c r="U1686" s="8"/>
      <c r="V1686" s="8"/>
      <c r="W1686" s="8"/>
      <c r="X1686" s="8"/>
      <c r="Y1686" s="8"/>
      <c r="Z1686" s="10" t="s">
        <v>3696</v>
      </c>
      <c r="AA1686" s="8" t="s">
        <v>332</v>
      </c>
      <c r="AB1686" s="8">
        <v>1</v>
      </c>
    </row>
  </sheetData>
  <autoFilter ref="A1:AB2" xr:uid="{00000000-0009-0000-0000-000005000000}"/>
  <phoneticPr fontId="4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6"/>
  <dimension ref="A1:AP15"/>
  <sheetViews>
    <sheetView workbookViewId="0">
      <pane ySplit="1" topLeftCell="A2" activePane="bottomLeft" state="frozen"/>
      <selection pane="bottomLeft" activeCell="S17" sqref="S17"/>
    </sheetView>
  </sheetViews>
  <sheetFormatPr defaultRowHeight="15.6"/>
  <cols>
    <col min="1" max="1" width="6" style="102" bestFit="1" customWidth="1"/>
    <col min="2" max="2" width="6" style="102" hidden="1" customWidth="1"/>
    <col min="3" max="3" width="11.59765625" style="102" bestFit="1" customWidth="1"/>
    <col min="4" max="5" width="8.09765625" style="102" hidden="1" customWidth="1"/>
    <col min="6" max="8" width="13.796875" style="102" customWidth="1"/>
    <col min="9" max="9" width="8.09765625" style="102" hidden="1" customWidth="1"/>
    <col min="10" max="11" width="6" style="102" hidden="1" customWidth="1"/>
    <col min="12" max="16" width="8.09765625" style="102" hidden="1" customWidth="1"/>
    <col min="17" max="17" width="11.3984375" style="102" hidden="1" customWidth="1"/>
    <col min="18" max="18" width="8.09765625" style="102" hidden="1" customWidth="1"/>
    <col min="19" max="19" width="8.09765625" style="102" customWidth="1"/>
    <col min="20" max="20" width="6" style="102" hidden="1" customWidth="1"/>
    <col min="21" max="21" width="7.5" style="102" hidden="1" customWidth="1"/>
    <col min="22" max="23" width="19.09765625" style="102" hidden="1" customWidth="1"/>
    <col min="24" max="24" width="19.09765625" style="102" bestFit="1" customWidth="1"/>
    <col min="25" max="27" width="8.09765625" style="102" hidden="1" customWidth="1"/>
    <col min="28" max="28" width="9.5" style="102" hidden="1" customWidth="1"/>
    <col min="29" max="29" width="38.19921875" style="102" bestFit="1" customWidth="1"/>
    <col min="30" max="30" width="38.19921875" style="79" bestFit="1" customWidth="1"/>
    <col min="31" max="31" width="6" style="102" hidden="1" customWidth="1"/>
    <col min="32" max="32" width="6.59765625" style="102" hidden="1" customWidth="1"/>
    <col min="33" max="38" width="6" style="102" hidden="1" customWidth="1"/>
  </cols>
  <sheetData>
    <row r="1" spans="1:42" ht="49.95" customHeight="1">
      <c r="A1" s="86" t="s">
        <v>284</v>
      </c>
      <c r="B1" s="86" t="s">
        <v>285</v>
      </c>
      <c r="C1" s="86" t="s">
        <v>286</v>
      </c>
      <c r="D1" s="86" t="s">
        <v>287</v>
      </c>
      <c r="E1" s="86" t="s">
        <v>288</v>
      </c>
      <c r="F1" s="86" t="s">
        <v>289</v>
      </c>
      <c r="G1" s="86" t="s">
        <v>290</v>
      </c>
      <c r="H1" s="86" t="s">
        <v>291</v>
      </c>
      <c r="I1" s="86" t="s">
        <v>292</v>
      </c>
      <c r="J1" s="86" t="s">
        <v>293</v>
      </c>
      <c r="K1" s="86" t="s">
        <v>294</v>
      </c>
      <c r="L1" s="86" t="s">
        <v>295</v>
      </c>
      <c r="M1" s="86" t="s">
        <v>296</v>
      </c>
      <c r="N1" s="86" t="s">
        <v>297</v>
      </c>
      <c r="O1" s="86" t="s">
        <v>298</v>
      </c>
      <c r="P1" s="86" t="s">
        <v>299</v>
      </c>
      <c r="Q1" s="86" t="s">
        <v>300</v>
      </c>
      <c r="R1" s="86" t="s">
        <v>301</v>
      </c>
      <c r="S1" s="86" t="s">
        <v>302</v>
      </c>
      <c r="T1" s="86" t="s">
        <v>303</v>
      </c>
      <c r="U1" s="86" t="s">
        <v>304</v>
      </c>
      <c r="V1" s="86" t="s">
        <v>305</v>
      </c>
      <c r="W1" s="86" t="s">
        <v>306</v>
      </c>
      <c r="X1" s="86" t="s">
        <v>307</v>
      </c>
      <c r="Y1" s="86" t="s">
        <v>308</v>
      </c>
      <c r="Z1" s="86" t="s">
        <v>309</v>
      </c>
      <c r="AA1" s="86" t="s">
        <v>310</v>
      </c>
      <c r="AB1" s="86" t="s">
        <v>311</v>
      </c>
      <c r="AC1" s="86" t="s">
        <v>312</v>
      </c>
      <c r="AD1" s="87" t="s">
        <v>4923</v>
      </c>
      <c r="AE1" s="7" t="s">
        <v>313</v>
      </c>
      <c r="AF1" s="7" t="s">
        <v>314</v>
      </c>
      <c r="AG1" s="7" t="s">
        <v>315</v>
      </c>
      <c r="AH1" s="7" t="s">
        <v>316</v>
      </c>
      <c r="AI1" s="7" t="s">
        <v>317</v>
      </c>
      <c r="AJ1" s="7" t="s">
        <v>318</v>
      </c>
      <c r="AK1" s="7" t="s">
        <v>319</v>
      </c>
      <c r="AL1" s="7" t="s">
        <v>320</v>
      </c>
    </row>
    <row r="2" spans="1:42" ht="21.6" customHeight="1">
      <c r="A2" s="8">
        <v>87</v>
      </c>
      <c r="B2" s="8" t="s">
        <v>322</v>
      </c>
      <c r="C2" s="8">
        <v>2025011806</v>
      </c>
      <c r="D2" s="8"/>
      <c r="E2" s="8"/>
      <c r="F2" s="8">
        <v>4983</v>
      </c>
      <c r="G2" s="8" t="s">
        <v>591</v>
      </c>
      <c r="H2" s="8" t="s">
        <v>396</v>
      </c>
      <c r="I2" s="8"/>
      <c r="J2" s="8"/>
      <c r="K2" s="8"/>
      <c r="L2" s="8"/>
      <c r="M2" s="9"/>
      <c r="N2" s="8"/>
      <c r="O2" s="9"/>
      <c r="P2" s="10"/>
      <c r="Q2" s="8" t="s">
        <v>592</v>
      </c>
      <c r="R2" s="8" t="s">
        <v>326</v>
      </c>
      <c r="S2" s="8" t="s">
        <v>134</v>
      </c>
      <c r="T2" s="8">
        <v>1</v>
      </c>
      <c r="U2" s="8" t="s">
        <v>327</v>
      </c>
      <c r="V2" s="8" t="s">
        <v>4924</v>
      </c>
      <c r="W2" s="8" t="s">
        <v>4925</v>
      </c>
      <c r="X2" s="103">
        <v>45670.677083333343</v>
      </c>
      <c r="Y2" s="8"/>
      <c r="Z2" s="8">
        <v>0.7</v>
      </c>
      <c r="AA2" s="8"/>
      <c r="AB2" s="8" t="s">
        <v>330</v>
      </c>
      <c r="AC2" s="81" t="s">
        <v>341</v>
      </c>
      <c r="AD2" s="125" t="s">
        <v>100</v>
      </c>
      <c r="AE2" s="8"/>
      <c r="AF2" s="8"/>
      <c r="AG2" s="8"/>
      <c r="AH2" s="8"/>
      <c r="AI2" s="8"/>
      <c r="AJ2" s="8"/>
      <c r="AK2" s="8" t="s">
        <v>332</v>
      </c>
      <c r="AL2" s="83" t="e">
        <f>DATEVALUE(TEXT(I2, "yyyy/mm/dd"))</f>
        <v>#VALUE!</v>
      </c>
    </row>
    <row r="3" spans="1:42" ht="21.6" customHeight="1" thickBot="1">
      <c r="A3" s="11">
        <v>52</v>
      </c>
      <c r="B3" s="11" t="s">
        <v>322</v>
      </c>
      <c r="C3" s="11">
        <v>2025031532</v>
      </c>
      <c r="D3" s="11"/>
      <c r="E3" s="11"/>
      <c r="F3" s="11">
        <v>2221</v>
      </c>
      <c r="G3" s="11" t="s">
        <v>643</v>
      </c>
      <c r="H3" s="11" t="s">
        <v>396</v>
      </c>
      <c r="I3" s="11"/>
      <c r="J3" s="11"/>
      <c r="K3" s="11"/>
      <c r="L3" s="11"/>
      <c r="M3" s="12"/>
      <c r="N3" s="11"/>
      <c r="O3" s="12"/>
      <c r="P3" s="13"/>
      <c r="Q3" s="11" t="s">
        <v>644</v>
      </c>
      <c r="R3" s="11" t="s">
        <v>326</v>
      </c>
      <c r="S3" s="11" t="s">
        <v>134</v>
      </c>
      <c r="T3" s="11">
        <v>1</v>
      </c>
      <c r="U3" s="11" t="s">
        <v>327</v>
      </c>
      <c r="V3" s="11" t="s">
        <v>4926</v>
      </c>
      <c r="W3" s="11" t="s">
        <v>4927</v>
      </c>
      <c r="X3" s="123">
        <v>45728.498611111107</v>
      </c>
      <c r="Y3" s="11"/>
      <c r="Z3" s="11">
        <v>0.3</v>
      </c>
      <c r="AA3" s="11"/>
      <c r="AB3" s="11" t="s">
        <v>330</v>
      </c>
      <c r="AC3" s="13" t="s">
        <v>100</v>
      </c>
      <c r="AD3" s="151" t="s">
        <v>4928</v>
      </c>
      <c r="AE3" s="11"/>
      <c r="AF3" s="11"/>
      <c r="AG3" s="11"/>
      <c r="AH3" s="11"/>
      <c r="AI3" s="11"/>
      <c r="AJ3" s="11"/>
      <c r="AK3" s="11" t="s">
        <v>332</v>
      </c>
      <c r="AL3" s="83" t="e">
        <f>DATEVALUE(TEXT(I3, "yyyy/mm/dd"))</f>
        <v>#VALUE!</v>
      </c>
    </row>
    <row r="4" spans="1:42" ht="21.6" customHeight="1" thickBot="1">
      <c r="A4" s="8">
        <v>35</v>
      </c>
      <c r="B4" s="8" t="s">
        <v>322</v>
      </c>
      <c r="C4" s="8">
        <v>2025041163</v>
      </c>
      <c r="D4" s="8"/>
      <c r="E4" s="8"/>
      <c r="F4" s="8">
        <v>3772</v>
      </c>
      <c r="G4" s="8" t="s">
        <v>540</v>
      </c>
      <c r="H4" s="8" t="s">
        <v>358</v>
      </c>
      <c r="I4" s="8"/>
      <c r="J4" s="8"/>
      <c r="K4" s="8"/>
      <c r="L4" s="8"/>
      <c r="M4" s="9"/>
      <c r="N4" s="8"/>
      <c r="O4" s="9"/>
      <c r="P4" s="10"/>
      <c r="Q4" s="8" t="s">
        <v>541</v>
      </c>
      <c r="R4" s="8" t="s">
        <v>326</v>
      </c>
      <c r="S4" s="8" t="s">
        <v>123</v>
      </c>
      <c r="T4" s="8">
        <v>1</v>
      </c>
      <c r="U4" s="8" t="s">
        <v>327</v>
      </c>
      <c r="V4" s="8" t="s">
        <v>4929</v>
      </c>
      <c r="W4" s="8" t="s">
        <v>4930</v>
      </c>
      <c r="X4" s="103">
        <v>45756.634027777778</v>
      </c>
      <c r="Y4" s="8"/>
      <c r="Z4" s="8">
        <v>0.3</v>
      </c>
      <c r="AA4" s="8"/>
      <c r="AB4" s="8" t="s">
        <v>330</v>
      </c>
      <c r="AC4" s="10"/>
      <c r="AD4" s="149" t="s">
        <v>4928</v>
      </c>
      <c r="AE4" s="8"/>
      <c r="AF4" s="8"/>
      <c r="AG4" s="8"/>
      <c r="AH4" s="8"/>
      <c r="AI4" s="8"/>
      <c r="AJ4" s="8"/>
      <c r="AK4" s="8" t="s">
        <v>332</v>
      </c>
      <c r="AL4" s="83" t="e">
        <f>DATEVALUE(TEXT(I4, "yyyy/mm/dd"))</f>
        <v>#VALUE!</v>
      </c>
      <c r="AM4" s="150" t="s">
        <v>4931</v>
      </c>
      <c r="AN4" s="381">
        <v>2025041163</v>
      </c>
      <c r="AO4" s="382"/>
      <c r="AP4" s="383"/>
    </row>
    <row r="5" spans="1:42" ht="21.6" customHeight="1">
      <c r="A5" s="8">
        <v>49</v>
      </c>
      <c r="B5" s="8" t="s">
        <v>363</v>
      </c>
      <c r="C5" s="8">
        <v>2025051401</v>
      </c>
      <c r="D5" s="8" t="s">
        <v>4932</v>
      </c>
      <c r="E5" s="8" t="s">
        <v>365</v>
      </c>
      <c r="F5" s="8">
        <v>5316</v>
      </c>
      <c r="G5" s="8" t="s">
        <v>255</v>
      </c>
      <c r="H5" s="8" t="s">
        <v>358</v>
      </c>
      <c r="I5" s="8" t="s">
        <v>4933</v>
      </c>
      <c r="J5" s="8" t="s">
        <v>445</v>
      </c>
      <c r="K5" s="8" t="s">
        <v>200</v>
      </c>
      <c r="L5" s="8" t="s">
        <v>1749</v>
      </c>
      <c r="M5" s="9" t="s">
        <v>1750</v>
      </c>
      <c r="N5" s="8">
        <v>3404</v>
      </c>
      <c r="O5" s="9" t="s">
        <v>1751</v>
      </c>
      <c r="P5" s="10" t="s">
        <v>4934</v>
      </c>
      <c r="Q5" s="8" t="s">
        <v>1740</v>
      </c>
      <c r="R5" s="8" t="s">
        <v>326</v>
      </c>
      <c r="S5" s="8" t="s">
        <v>123</v>
      </c>
      <c r="T5" s="8">
        <v>1</v>
      </c>
      <c r="U5" s="8" t="s">
        <v>327</v>
      </c>
      <c r="V5" s="8" t="s">
        <v>4935</v>
      </c>
      <c r="W5" s="8" t="s">
        <v>4936</v>
      </c>
      <c r="X5" s="103">
        <v>45786.517361111109</v>
      </c>
      <c r="Y5" s="8" t="s">
        <v>4937</v>
      </c>
      <c r="Z5" s="8">
        <v>0.5</v>
      </c>
      <c r="AA5" s="8"/>
      <c r="AB5" s="8" t="s">
        <v>330</v>
      </c>
      <c r="AC5" s="10" t="s">
        <v>4938</v>
      </c>
      <c r="AD5" s="81" t="s">
        <v>4939</v>
      </c>
      <c r="AE5" s="8"/>
      <c r="AF5" s="8"/>
      <c r="AG5" s="8"/>
      <c r="AH5" s="8"/>
      <c r="AI5" s="8"/>
      <c r="AJ5" s="8"/>
      <c r="AK5" s="8" t="s">
        <v>332</v>
      </c>
      <c r="AL5" s="157">
        <f>DATEVALUE(TEXT(I5, "yyyy/mm/dd"))</f>
        <v>45786</v>
      </c>
    </row>
    <row r="6" spans="1:42" ht="21.6" customHeight="1">
      <c r="A6" s="8"/>
      <c r="B6" s="8"/>
      <c r="C6" s="8"/>
      <c r="D6" s="8"/>
      <c r="E6" s="8"/>
      <c r="F6" s="8"/>
      <c r="G6" s="8"/>
      <c r="H6" s="8"/>
      <c r="I6" s="8"/>
      <c r="J6" s="8"/>
      <c r="K6" s="8"/>
      <c r="L6" s="8"/>
      <c r="M6" s="9"/>
      <c r="N6" s="8"/>
      <c r="O6" s="9"/>
      <c r="P6" s="10"/>
      <c r="Q6" s="8"/>
      <c r="R6" s="8"/>
      <c r="S6" s="8"/>
      <c r="T6" s="8"/>
      <c r="U6" s="8"/>
      <c r="V6" s="8"/>
      <c r="W6" s="8"/>
      <c r="X6" s="103"/>
      <c r="Y6" s="8"/>
      <c r="Z6" s="8"/>
      <c r="AA6" s="8"/>
      <c r="AB6" s="8"/>
      <c r="AC6" s="84"/>
      <c r="AD6" s="121"/>
      <c r="AE6" s="8"/>
      <c r="AF6" s="8"/>
      <c r="AG6" s="8"/>
      <c r="AH6" s="8"/>
      <c r="AI6" s="8"/>
      <c r="AJ6" s="8"/>
      <c r="AK6" s="8" t="s">
        <v>332</v>
      </c>
      <c r="AL6" s="83" t="e">
        <f>DATEVALUE(TEXT(I6, "yyyy/mm/dd"))</f>
        <v>#VALUE!</v>
      </c>
    </row>
    <row r="7" spans="1:42" ht="21.6" customHeight="1">
      <c r="A7" s="91"/>
      <c r="B7" s="91"/>
      <c r="C7" s="91"/>
      <c r="D7" s="91"/>
      <c r="E7" s="91"/>
      <c r="F7" s="91"/>
      <c r="G7" s="91"/>
      <c r="H7" s="91"/>
      <c r="I7" s="91"/>
      <c r="J7" s="91"/>
      <c r="K7" s="91"/>
      <c r="L7" s="91"/>
      <c r="M7" s="92"/>
      <c r="N7" s="91"/>
      <c r="O7" s="92"/>
      <c r="P7" s="93"/>
      <c r="Q7" s="91"/>
      <c r="R7" s="91"/>
      <c r="S7" s="91"/>
      <c r="T7" s="91"/>
      <c r="U7" s="91"/>
      <c r="V7" s="91"/>
      <c r="W7" s="91"/>
      <c r="X7" s="91"/>
      <c r="Y7" s="91"/>
      <c r="Z7" s="91"/>
      <c r="AA7" s="91"/>
      <c r="AB7" s="91"/>
      <c r="AC7" s="94"/>
      <c r="AD7" s="95"/>
      <c r="AE7" s="85"/>
      <c r="AF7" s="11"/>
      <c r="AG7" s="11"/>
      <c r="AH7" s="11"/>
      <c r="AI7" s="11"/>
      <c r="AJ7" s="11"/>
      <c r="AK7" s="11" t="s">
        <v>332</v>
      </c>
    </row>
    <row r="8" spans="1:42" ht="21.6" customHeight="1">
      <c r="A8" s="91"/>
      <c r="B8" s="91"/>
      <c r="C8" s="91"/>
      <c r="D8" s="91"/>
      <c r="E8" s="91"/>
      <c r="F8" s="91"/>
      <c r="G8" s="91"/>
      <c r="H8" s="91"/>
      <c r="I8" s="91"/>
      <c r="J8" s="91"/>
      <c r="K8" s="91"/>
      <c r="L8" s="91"/>
      <c r="M8" s="92"/>
      <c r="N8" s="91"/>
      <c r="O8" s="92"/>
      <c r="P8" s="93"/>
      <c r="Q8" s="91"/>
      <c r="R8" s="91"/>
      <c r="S8" s="91"/>
      <c r="T8" s="91"/>
      <c r="U8" s="91"/>
      <c r="V8" s="91"/>
      <c r="W8" s="91"/>
      <c r="X8" s="91"/>
      <c r="Y8" s="91"/>
      <c r="Z8" s="91"/>
      <c r="AA8" s="91"/>
      <c r="AB8" s="91"/>
      <c r="AC8" s="96"/>
      <c r="AD8" s="97"/>
      <c r="AE8" s="85"/>
      <c r="AF8" s="11"/>
      <c r="AG8" s="11"/>
      <c r="AH8" s="11"/>
      <c r="AI8" s="11"/>
      <c r="AJ8" s="11"/>
      <c r="AK8" s="11" t="s">
        <v>332</v>
      </c>
    </row>
    <row r="9" spans="1:42" ht="21.6" customHeight="1">
      <c r="A9" s="91"/>
      <c r="B9" s="91"/>
      <c r="C9" s="91"/>
      <c r="D9" s="91"/>
      <c r="E9" s="91"/>
      <c r="F9" s="91"/>
      <c r="G9" s="91"/>
      <c r="H9" s="91"/>
      <c r="I9" s="91"/>
      <c r="J9" s="91"/>
      <c r="K9" s="91"/>
      <c r="L9" s="91"/>
      <c r="M9" s="92"/>
      <c r="N9" s="91"/>
      <c r="O9" s="92"/>
      <c r="P9" s="92"/>
      <c r="Q9" s="91"/>
      <c r="R9" s="91"/>
      <c r="S9" s="91"/>
      <c r="T9" s="91"/>
      <c r="U9" s="91"/>
      <c r="V9" s="91"/>
      <c r="W9" s="91"/>
      <c r="X9" s="91"/>
      <c r="Y9" s="91"/>
      <c r="Z9" s="91"/>
      <c r="AA9" s="91"/>
      <c r="AB9" s="91"/>
      <c r="AC9" s="98"/>
      <c r="AD9" s="95"/>
      <c r="AE9" s="85"/>
      <c r="AF9" s="11"/>
      <c r="AG9" s="11"/>
      <c r="AH9" s="11"/>
      <c r="AI9" s="11"/>
      <c r="AJ9" s="11"/>
      <c r="AK9" s="11" t="s">
        <v>332</v>
      </c>
    </row>
    <row r="10" spans="1:42" ht="21.6" customHeight="1">
      <c r="A10" s="91"/>
      <c r="B10" s="91"/>
      <c r="C10" s="91"/>
      <c r="D10" s="91"/>
      <c r="E10" s="91"/>
      <c r="F10" s="91"/>
      <c r="G10" s="91"/>
      <c r="H10" s="91"/>
      <c r="I10" s="91"/>
      <c r="J10" s="91"/>
      <c r="K10" s="91"/>
      <c r="L10" s="91"/>
      <c r="M10" s="92"/>
      <c r="N10" s="91"/>
      <c r="O10" s="92"/>
      <c r="P10" s="92"/>
      <c r="Q10" s="91"/>
      <c r="R10" s="91"/>
      <c r="S10" s="91"/>
      <c r="T10" s="91"/>
      <c r="U10" s="91"/>
      <c r="V10" s="91"/>
      <c r="W10" s="91"/>
      <c r="X10" s="91"/>
      <c r="Y10" s="91"/>
      <c r="Z10" s="91"/>
      <c r="AA10" s="91"/>
      <c r="AB10" s="91"/>
      <c r="AC10" s="94"/>
      <c r="AD10" s="99"/>
      <c r="AE10" s="85" t="s">
        <v>332</v>
      </c>
      <c r="AF10" s="11"/>
      <c r="AG10" s="11"/>
      <c r="AH10" s="11"/>
      <c r="AI10" s="11"/>
      <c r="AJ10" s="11"/>
      <c r="AK10" s="11" t="s">
        <v>332</v>
      </c>
    </row>
    <row r="11" spans="1:42" ht="21.6" customHeight="1">
      <c r="A11" s="88"/>
      <c r="B11" s="88"/>
      <c r="C11" s="88"/>
      <c r="D11" s="88"/>
      <c r="E11" s="88"/>
      <c r="F11" s="88"/>
      <c r="G11" s="88"/>
      <c r="H11" s="88"/>
      <c r="I11" s="88"/>
      <c r="J11" s="88"/>
      <c r="K11" s="88"/>
      <c r="L11" s="88"/>
      <c r="M11" s="89"/>
      <c r="N11" s="88"/>
      <c r="O11" s="89"/>
      <c r="P11" s="89"/>
      <c r="Q11" s="88"/>
      <c r="R11" s="88"/>
      <c r="S11" s="88"/>
      <c r="T11" s="88"/>
      <c r="U11" s="88"/>
      <c r="V11" s="88"/>
      <c r="W11" s="88"/>
      <c r="X11" s="88"/>
      <c r="Y11" s="88"/>
      <c r="Z11" s="88"/>
      <c r="AA11" s="88"/>
      <c r="AB11" s="88"/>
      <c r="AC11" s="89"/>
      <c r="AD11" s="90"/>
      <c r="AE11" s="82"/>
      <c r="AF11" s="82"/>
      <c r="AG11" s="82"/>
      <c r="AH11" s="82"/>
      <c r="AI11" s="82"/>
      <c r="AJ11" s="82"/>
      <c r="AK11" s="82"/>
    </row>
    <row r="12" spans="1:42" ht="21.6" customHeight="1">
      <c r="A12" s="296"/>
      <c r="B12" s="296"/>
      <c r="C12" s="296"/>
      <c r="D12" s="296"/>
      <c r="E12" s="296"/>
      <c r="F12" s="296"/>
      <c r="G12" s="296"/>
      <c r="H12" s="296"/>
      <c r="I12" s="296"/>
      <c r="J12" s="296"/>
      <c r="K12" s="296"/>
      <c r="L12" s="296"/>
      <c r="M12" s="100"/>
      <c r="N12" s="296"/>
      <c r="O12" s="100"/>
      <c r="P12" s="100"/>
      <c r="Q12" s="296"/>
      <c r="R12" s="296"/>
      <c r="S12" s="296"/>
      <c r="T12" s="296"/>
      <c r="U12" s="296"/>
      <c r="V12" s="296"/>
      <c r="W12" s="296"/>
      <c r="X12" s="296"/>
      <c r="Y12" s="296"/>
      <c r="Z12" s="296"/>
      <c r="AA12" s="296"/>
      <c r="AB12" s="296"/>
      <c r="AC12" s="100"/>
      <c r="AD12" s="101"/>
      <c r="AE12" s="296"/>
      <c r="AF12" s="296"/>
      <c r="AG12" s="296"/>
      <c r="AH12" s="296"/>
      <c r="AI12" s="296"/>
      <c r="AJ12" s="296"/>
      <c r="AK12" s="296"/>
    </row>
    <row r="13" spans="1:42">
      <c r="F13" s="75" t="s">
        <v>123</v>
      </c>
      <c r="G13" s="76" t="s">
        <v>118</v>
      </c>
      <c r="H13" s="76" t="s">
        <v>134</v>
      </c>
    </row>
    <row r="14" spans="1:42">
      <c r="C14" s="74" t="s">
        <v>4940</v>
      </c>
      <c r="F14" s="77">
        <f>COUNTIF($S:$S,F13)</f>
        <v>2</v>
      </c>
      <c r="G14" s="77">
        <f>COUNTIF($S:$S,G13)</f>
        <v>0</v>
      </c>
      <c r="H14" s="77">
        <f>COUNTIF($S:$S,H13)</f>
        <v>2</v>
      </c>
    </row>
    <row r="15" spans="1:42">
      <c r="F15" s="77"/>
      <c r="G15" s="77"/>
      <c r="H15" s="77"/>
    </row>
  </sheetData>
  <autoFilter ref="A1:AL1" xr:uid="{00000000-0009-0000-0000-000006000000}"/>
  <mergeCells count="1">
    <mergeCell ref="AN4:AP4"/>
  </mergeCells>
  <phoneticPr fontId="45"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8">
    <tabColor rgb="FFFFFF00"/>
  </sheetPr>
  <dimension ref="A1:AE993"/>
  <sheetViews>
    <sheetView zoomScaleNormal="100" workbookViewId="0">
      <pane ySplit="6" topLeftCell="A7" activePane="bottomLeft" state="frozen"/>
      <selection activeCell="AB5" sqref="AB5"/>
      <selection pane="bottomLeft" activeCell="E10" sqref="A1:R68"/>
    </sheetView>
  </sheetViews>
  <sheetFormatPr defaultColWidth="11.19921875" defaultRowHeight="15" customHeight="1"/>
  <cols>
    <col min="1" max="1" width="13.69921875" style="153" bestFit="1" customWidth="1"/>
    <col min="2" max="2" width="14.09765625" style="153" bestFit="1" customWidth="1"/>
    <col min="3" max="5" width="9" style="147" bestFit="1" customWidth="1"/>
    <col min="6" max="6" width="11.8984375" style="153" bestFit="1" customWidth="1"/>
    <col min="7" max="7" width="11.8984375" style="153" customWidth="1"/>
    <col min="8" max="8" width="11.69921875" style="171" bestFit="1" customWidth="1"/>
    <col min="9" max="9" width="11.69921875" style="173" customWidth="1"/>
    <col min="10" max="10" width="12.8984375" style="153" customWidth="1"/>
    <col min="11" max="11" width="12.3984375" style="153" bestFit="1" customWidth="1"/>
    <col min="12" max="12" width="12.3984375" style="102" bestFit="1" customWidth="1"/>
    <col min="13" max="13" width="13.69921875" style="153" bestFit="1" customWidth="1"/>
    <col min="14" max="14" width="10" style="153" bestFit="1" customWidth="1"/>
    <col min="15" max="16" width="3.3984375" style="153" bestFit="1" customWidth="1"/>
    <col min="17" max="17" width="4" style="153" customWidth="1"/>
    <col min="18" max="18" width="5.09765625" style="153" customWidth="1"/>
    <col min="19" max="350" width="11.19921875" style="153" customWidth="1"/>
    <col min="351" max="16384" width="11.19921875" style="153"/>
  </cols>
  <sheetData>
    <row r="1" spans="1:31" ht="20.25" customHeight="1">
      <c r="A1" s="262" t="s">
        <v>4941</v>
      </c>
      <c r="B1" s="262" t="s">
        <v>104</v>
      </c>
      <c r="C1" s="263" t="s">
        <v>4942</v>
      </c>
      <c r="D1" s="264" t="s">
        <v>4943</v>
      </c>
      <c r="E1" s="265" t="s">
        <v>4944</v>
      </c>
      <c r="F1" s="262" t="s">
        <v>4945</v>
      </c>
      <c r="G1" s="262" t="s">
        <v>4946</v>
      </c>
      <c r="H1" s="250" t="s">
        <v>125</v>
      </c>
      <c r="I1" s="250" t="s">
        <v>109</v>
      </c>
      <c r="J1" s="166" t="s">
        <v>126</v>
      </c>
      <c r="K1" s="156" t="s">
        <v>127</v>
      </c>
      <c r="L1" s="156" t="s">
        <v>128</v>
      </c>
      <c r="M1" s="152">
        <f>首頁!B5</f>
        <v>46023</v>
      </c>
      <c r="N1" s="153">
        <v>20</v>
      </c>
      <c r="O1" s="153">
        <v>20</v>
      </c>
      <c r="P1" s="153">
        <v>20</v>
      </c>
      <c r="Q1" s="115"/>
      <c r="R1" s="115"/>
      <c r="W1" s="291" t="s">
        <v>10</v>
      </c>
      <c r="X1" s="291" t="s">
        <v>11</v>
      </c>
      <c r="Y1" s="344" t="s">
        <v>6</v>
      </c>
      <c r="Z1" s="291" t="s">
        <v>13</v>
      </c>
      <c r="AA1" s="293" t="s">
        <v>18</v>
      </c>
      <c r="AB1" s="293" t="s">
        <v>18</v>
      </c>
      <c r="AC1" s="293" t="s">
        <v>18</v>
      </c>
      <c r="AD1" s="293" t="s">
        <v>18</v>
      </c>
      <c r="AE1" s="293" t="s">
        <v>18</v>
      </c>
    </row>
    <row r="2" spans="1:31" ht="21" customHeight="1">
      <c r="A2" s="266">
        <f>COUNTIFS(門市總表!E:E,N5,門市總表!F:F,"新開")</f>
        <v>2</v>
      </c>
      <c r="B2" s="267">
        <f>首頁!B3</f>
        <v>1</v>
      </c>
      <c r="C2" s="266">
        <f>N1</f>
        <v>20</v>
      </c>
      <c r="D2" s="266">
        <f>N1</f>
        <v>20</v>
      </c>
      <c r="E2" s="267">
        <f>COUNTIF(C$7:C$251,"v")</f>
        <v>14</v>
      </c>
      <c r="F2" s="267">
        <f>MAX(0, D2 - E2)</f>
        <v>6</v>
      </c>
      <c r="G2" s="268" t="str">
        <f>ROUND(IF((E2/D2)&gt;1,1,(E2/D2))*100,2)&amp;"%"</f>
        <v>70%</v>
      </c>
      <c r="H2" s="251" t="s">
        <v>39</v>
      </c>
      <c r="I2" s="162">
        <f>IF(H2&lt;&gt;"",COUNTIFS('0919門市清單主檔'!$Y:$Y,$N$5,'0919門市清單主檔'!$AC:$AC,H2),"")</f>
        <v>0</v>
      </c>
      <c r="J2" s="163" t="str">
        <f>IF(H2&lt;&gt;"",IF(I2=0,"0%",ROUND(K2/I2,4)*100&amp;"%"),"")</f>
        <v>0%</v>
      </c>
      <c r="K2" s="162">
        <f>IF(H2&lt;&gt;"",COUNTIF(J7:J251,"v"),"")</f>
        <v>0</v>
      </c>
      <c r="L2" s="162">
        <f>IF(H2&lt;&gt;"",I2-K2,"")</f>
        <v>0</v>
      </c>
      <c r="M2" s="152">
        <f>首頁!C5</f>
        <v>46054</v>
      </c>
      <c r="Q2" s="115"/>
      <c r="R2" s="115"/>
      <c r="W2" s="159">
        <f>COUNTIFS('0919門市清單主檔'!$V:$V,W1)</f>
        <v>12</v>
      </c>
      <c r="X2" s="159">
        <f>COUNTIFS('0919門市清單主檔'!$V:$V,X1)</f>
        <v>32</v>
      </c>
      <c r="Y2" s="159">
        <f>COUNTIFS('0919門市清單主檔'!$V:$V,Y1)</f>
        <v>18</v>
      </c>
      <c r="Z2" s="159">
        <f>COUNTIFS('0919門市清單主檔'!$V:$V,Z1)</f>
        <v>13</v>
      </c>
      <c r="AA2" s="292" t="s">
        <v>18</v>
      </c>
      <c r="AB2" s="292" t="s">
        <v>18</v>
      </c>
      <c r="AC2" s="292" t="s">
        <v>18</v>
      </c>
      <c r="AD2" s="292" t="s">
        <v>18</v>
      </c>
      <c r="AE2" s="292" t="s">
        <v>18</v>
      </c>
    </row>
    <row r="3" spans="1:31" ht="21" customHeight="1">
      <c r="A3" s="262" t="s">
        <v>4947</v>
      </c>
      <c r="B3" s="267">
        <f>首頁!C3</f>
        <v>2</v>
      </c>
      <c r="C3" s="266">
        <f>O1</f>
        <v>20</v>
      </c>
      <c r="D3" s="266" t="str">
        <f ca="1">IF(TODAY()&gt;=M2,IF(D2-E2&lt;0,O1-(E2-D2),O1+(D2-E2)),"0")</f>
        <v>0</v>
      </c>
      <c r="E3" s="267">
        <f>COUNTIF(D$7:D$251,"v")</f>
        <v>0</v>
      </c>
      <c r="F3" s="267" t="str">
        <f ca="1">IF(TODAY()&gt;=M2,MAX(0,D3-E3),"0")</f>
        <v>0</v>
      </c>
      <c r="G3" s="268" t="e">
        <f ca="1">ROUND(IF((E3/D3)&gt;1,1,(E3/D3))*100,2)&amp;"%"</f>
        <v>#DIV/0!</v>
      </c>
      <c r="H3" s="251" t="str">
        <f>IF(首頁!B14=0,"",首頁!B14)</f>
        <v>--</v>
      </c>
      <c r="I3" s="162">
        <f>IF(H3&lt;&gt;"",COUNTIFS('0919門市清單主檔'!$Y:$Y,$N$5,'0919門市清單主檔'!$AF:$AF,H3),"")</f>
        <v>0</v>
      </c>
      <c r="J3" s="163" t="str">
        <f>IF(H3&lt;&gt;"",IF(I3=0,"0%",ROUND(K3/I3,4)*100&amp;"%"),"")</f>
        <v>0%</v>
      </c>
      <c r="K3" s="162">
        <f ca="1">IF(H3&lt;&gt;"",COUNTIF(G:G,"V"),"")</f>
        <v>0</v>
      </c>
      <c r="L3" s="162">
        <f ca="1">IF(H3&lt;&gt;"",I3-K3,"")</f>
        <v>0</v>
      </c>
      <c r="M3" s="152">
        <f>首頁!D5</f>
        <v>46082</v>
      </c>
      <c r="N3" s="152">
        <f>首頁!E5</f>
        <v>46113</v>
      </c>
      <c r="Q3" s="115"/>
      <c r="R3" s="115"/>
    </row>
    <row r="4" spans="1:31" ht="21" customHeight="1">
      <c r="A4" s="267">
        <f>COUNTIFS(門市總表!E:E,N5,門市總表!F:F,"撤店")</f>
        <v>1</v>
      </c>
      <c r="B4" s="267">
        <f>首頁!D3</f>
        <v>3</v>
      </c>
      <c r="C4" s="266">
        <f>P1</f>
        <v>20</v>
      </c>
      <c r="D4" s="266" t="str">
        <f ca="1">IF(TODAY()&gt;=M3,IF(D3-E3&lt;0,P1-(E3-D3),P1+(D3-E3)),"0")</f>
        <v>0</v>
      </c>
      <c r="E4" s="267">
        <f>COUNTIF(E$7:E$251,"v")</f>
        <v>0</v>
      </c>
      <c r="F4" s="267" t="str">
        <f ca="1">IF(TODAY()&gt;=M3,MAX(0,D4-E4),"0")</f>
        <v>0</v>
      </c>
      <c r="G4" s="268" t="e">
        <f ca="1">ROUND(IF((E4/D4)&gt;1,1,(E4/D4))*100,2)&amp;"%"</f>
        <v>#DIV/0!</v>
      </c>
      <c r="H4" s="251" t="str">
        <f>IF(首頁!C14=0,"",首頁!C14)</f>
        <v>+L90</v>
      </c>
      <c r="I4" s="162">
        <f>IF(H4&lt;&gt;"",COUNTIFS('0919門市清單主檔'!$Y:$Y,$N$5,'0919門市清單主檔'!$AG:$AG,H4),"")</f>
        <v>58</v>
      </c>
      <c r="J4" s="163" t="str">
        <f>IF(H4&lt;&gt;"",IF(I4=0,"0%",ROUND(K4/I4,4)*100&amp;"%"),"")</f>
        <v>79.31%</v>
      </c>
      <c r="K4" s="162">
        <f>IF(H4&lt;&gt;"",COUNTIF(H:H,"V"),"")</f>
        <v>46</v>
      </c>
      <c r="L4" s="162">
        <f>IF(H4&lt;&gt;"",I4-K4,"")</f>
        <v>12</v>
      </c>
      <c r="M4" s="152">
        <f>首頁!F5</f>
        <v>46023</v>
      </c>
      <c r="Q4" s="115"/>
      <c r="R4" s="115"/>
    </row>
    <row r="5" spans="1:31" ht="22.5" customHeight="1">
      <c r="A5" s="266">
        <f>COUNTA(A7:A250)-COUNTIF(F7:F251,"非當季")-A2</f>
        <v>60</v>
      </c>
      <c r="B5" s="269" t="s">
        <v>116</v>
      </c>
      <c r="C5" s="270">
        <f>SUM(C2:C4)</f>
        <v>60</v>
      </c>
      <c r="D5" s="270"/>
      <c r="E5" s="270">
        <f>SUM(E2:E4)</f>
        <v>14</v>
      </c>
      <c r="F5" s="270">
        <f>A5-SUM(E2:E4)</f>
        <v>46</v>
      </c>
      <c r="G5" s="271" t="str">
        <f>ROUND(IF((E5/C5)&gt;1,1,(E5/C5))*100,0)&amp;"%"</f>
        <v>23%</v>
      </c>
      <c r="H5" s="251" t="str">
        <f>IF(首頁!D14=0,"",首頁!D14)</f>
        <v>+721</v>
      </c>
      <c r="I5" s="162">
        <f>IF(H5&lt;&gt;"",COUNTIFS('0919門市清單主檔'!$Y:$Y,$N$5,'0919門市清單主檔'!$AH:$AH,H5),"")</f>
        <v>50</v>
      </c>
      <c r="J5" s="163" t="str">
        <f>IF(H5&lt;&gt;"",IF(I5=0,"0%",ROUND(K5/I5,4)*100&amp;"%"),"")</f>
        <v>22%</v>
      </c>
      <c r="K5" s="162">
        <f>IF(H5&lt;&gt;"",COUNTIF(I:I,"V"),"")</f>
        <v>11</v>
      </c>
      <c r="L5" s="162">
        <f>IF(H5&lt;&gt;"",I5-K5,"")</f>
        <v>39</v>
      </c>
      <c r="M5" s="152">
        <f ca="1">TODAY()</f>
        <v>46045</v>
      </c>
      <c r="N5" s="294" t="s">
        <v>118</v>
      </c>
      <c r="Q5" s="115"/>
      <c r="R5" s="115"/>
      <c r="S5" s="158"/>
      <c r="T5" s="158"/>
    </row>
    <row r="6" spans="1:31" ht="25.5" customHeight="1">
      <c r="A6" s="252" t="s">
        <v>26</v>
      </c>
      <c r="B6" s="252" t="s">
        <v>27</v>
      </c>
      <c r="C6" s="252" t="str">
        <f>首頁!B4</f>
        <v>1月</v>
      </c>
      <c r="D6" s="252" t="str">
        <f>首頁!C4</f>
        <v>2月</v>
      </c>
      <c r="E6" s="252" t="str">
        <f>首頁!D4</f>
        <v>3月</v>
      </c>
      <c r="F6" s="252" t="s">
        <v>4945</v>
      </c>
      <c r="G6" s="252" t="str">
        <f>H3</f>
        <v>--</v>
      </c>
      <c r="H6" s="252" t="str">
        <f>H4</f>
        <v>+L90</v>
      </c>
      <c r="I6" s="252" t="str">
        <f>H5</f>
        <v>+721</v>
      </c>
      <c r="J6" s="252" t="str">
        <f>H2</f>
        <v>HUB</v>
      </c>
      <c r="K6" s="252" t="s">
        <v>4948</v>
      </c>
      <c r="L6" s="252" t="s">
        <v>4949</v>
      </c>
      <c r="M6" s="154" t="s">
        <v>4953</v>
      </c>
      <c r="N6" s="155" t="str">
        <f t="array" ref="N6">IFERROR(HYPERLINK("#" &amp; ADDRESS(MIN(IF(ISNUMBER(SEARCH(M6, A6:J188)), ROW(A6:J188), 10000000000)), MIN(IF(ISNUMBER(SEARCH(M6, A6:J188)), COLUMN(A6:J188), 10000000000))), "搜索"), "未找到")</f>
        <v>搜索</v>
      </c>
      <c r="Q6" s="115"/>
      <c r="R6" s="115"/>
    </row>
    <row r="7" spans="1:31" ht="21.6" customHeight="1">
      <c r="A7" s="116">
        <v>5513</v>
      </c>
      <c r="B7" s="116" t="s">
        <v>87</v>
      </c>
      <c r="C7" s="146" t="str">
        <f>IF(COUNTIFS(IM!$F:$F,A7,IM!$AD:$AD,"O",IM!$X:$X,"&gt;="&amp;$M$1, IM!$X:$X,"&lt;"&amp;$M$2)&gt;0,"V","")</f>
        <v>V</v>
      </c>
      <c r="D7" s="146" t="str">
        <f>IF(AND(C7&lt;&gt;"V", COUNTIFS(IM!$F:$F,A7, IM!$AD:$AD, "O", IM!$X:$X, "&gt;="&amp;$M$2, IM!$X:$X, "&lt;"&amp;$M$3)&gt;0), "V", "")</f>
        <v/>
      </c>
      <c r="E7" s="146" t="str">
        <f>IF(AND(C7&lt;&gt;"V",D7&lt;&gt;"V", COUNTIFS(IM!$F:$F, A7, IM!$AD:$AD, "O", IM!$X:$X, "&gt;="&amp;$M$3, IM!$X:$X, "&lt;"&amp;$N$3)&gt;0), "V", "")</f>
        <v/>
      </c>
      <c r="F7" s="116" t="str">
        <f>IF(VLOOKUP(A7,門市總表!A:F,6,FALSE)="新開","新開不保養",
IF(VLOOKUP(A7,門市總表!A:F,6,FALSE)="撤店","閉店不保養",IF(VLOOKUP(A7,門市總表!A:F,6,FALSE)="非當季","非當季",IF(VLOOKUP(A7,門市總表!A:F,6,FALSE)="跨季補單","跨季補單",
IF(COUNTBLANK(C7:E7)=3,"未保養","")
))))</f>
        <v>新開不保養</v>
      </c>
      <c r="G7" s="116" t="str">
        <f>IF(COUNTIFS('0919門市清單主檔'!C:C,B7,'0919門市清單主檔'!AF:AF,$H$3)=1,
    IF(COUNTIFS(IM!F:F,A7,IM!AC:AC,"*"&amp;$H$3&amp;"*") + COUNTIFS('0919門市清單主檔'!C:C,B7,'0919門市清單主檔'!AF:AF,$H$3) &gt; 1,
       "V","未完工"),"-")</f>
        <v>-</v>
      </c>
      <c r="H7" s="253" t="str">
        <f>IF(COUNTIFS('0919門市清單主檔'!C:C,B7,'0919門市清單主檔'!AG:AG,$H$4)=1,
    IF(COUNTIFS(IM!F:F,A7,IM!AC:AC,"*"&amp;$H$4&amp;"*") + COUNTIFS('0919門市清單主檔'!C:C,B7,'0919門市清單主檔'!AG:AG,$H$4) &gt; 1,
       "V","未完工"),"-")</f>
        <v>未完工</v>
      </c>
      <c r="I7" s="253" t="str">
        <f>IF(COUNTIFS('0919門市清單主檔'!C:C,B7,'0919門市清單主檔'!AH:AH,$H$5)=1,
    IF(COUNTIFS(IM!F:F,A7,IM!AC:AC,"*"&amp;$H$5&amp;"*") + COUNTIFS('0919門市清單主檔'!C:C,B7,'0919門市清單主檔'!AH:AH,$H$5) &gt; 1,
       "V","未完工"),"-")</f>
        <v>-</v>
      </c>
      <c r="J7" s="253" t="str">
        <f>IF(
    COUNTIFS('0919門市清單主檔'!C:C,B7,'0919門市清單主檔'!AC:AC,$H$2)=1,
    IF(
        COUNTIFS(
            IM!F:F,A7,
            IM!AC:AC,"*"&amp;$H$2&amp;"*",
            IM!X:X,"&gt;="&amp;$M$1,
            IM!X:X,"&lt;="&amp;$M$3
        )
        + COUNTIFS('0919門市清單主檔'!C:C,B7,'0919門市清單主檔'!AC:AC,$H$2)
        &gt;1,
        "V",
        "未完工"
    ),
    "-"
)</f>
        <v>-</v>
      </c>
      <c r="K7" s="122">
        <v>45894</v>
      </c>
      <c r="L7" s="116" t="str">
        <f>VLOOKUP(A7,'0919門市清單主檔'!B:V,21,FALSE)</f>
        <v>新莊區</v>
      </c>
      <c r="M7" s="153" t="str">
        <f>VLOOKUP(A7,門市總表!A:B,2,FALSE)</f>
        <v>新莊A3站</v>
      </c>
      <c r="Q7" s="115"/>
      <c r="R7" s="120" t="s">
        <v>4952</v>
      </c>
    </row>
    <row r="8" spans="1:31" ht="21.6" customHeight="1">
      <c r="A8" s="116">
        <v>5389</v>
      </c>
      <c r="B8" s="116" t="str">
        <f>VLOOKUP(A8,門市總表!A:B,2,FALSE)</f>
        <v>新莊瓏山林</v>
      </c>
      <c r="C8" s="146" t="str">
        <f>IF(COUNTIFS(IM!$F:$F,A8,IM!$AD:$AD,"O",IM!$X:$X,"&gt;="&amp;$M$1, IM!$X:$X,"&lt;"&amp;$M$2)&gt;0,"V","")</f>
        <v/>
      </c>
      <c r="D8" s="146" t="str">
        <f>IF(AND(C8&lt;&gt;"V", COUNTIFS(IM!$F:$F,A8, IM!$AD:$AD, "O", IM!$X:$X, "&gt;="&amp;$M$2, IM!$X:$X, "&lt;"&amp;$M$3)&gt;0), "V", "")</f>
        <v/>
      </c>
      <c r="E8" s="146" t="str">
        <f>IF(AND(C8&lt;&gt;"V",D8&lt;&gt;"V", COUNTIFS(IM!$F:$F, A8, IM!$AD:$AD, "O", IM!$X:$X, "&gt;="&amp;$M$3, IM!$X:$X, "&lt;"&amp;$N$3)&gt;0), "V", "")</f>
        <v/>
      </c>
      <c r="F8" s="116" t="str">
        <f>IF(VLOOKUP(A8,門市總表!A:F,6,FALSE)="新開","新開不保養",
IF(VLOOKUP(A8,門市總表!A:F,6,FALSE)="撤店","閉店不保養",IF(VLOOKUP(A8,門市總表!A:F,6,FALSE)="非當季","非當季",IF(VLOOKUP(A8,門市總表!A:F,6,FALSE)="跨季補單","跨季補單",
IF(COUNTBLANK(C8:E8)=3,"未保養","")
))))</f>
        <v>新開不保養</v>
      </c>
      <c r="G8" s="116" t="str">
        <f>IF(COUNTIFS('0919門市清單主檔'!C:C,B8,'0919門市清單主檔'!AF:AF,$H$3)=1,
    IF(COUNTIFS(IM!F:F,A8,IM!AC:AC,"*"&amp;$H$3&amp;"*") + COUNTIFS('0919門市清單主檔'!C:C,B8,'0919門市清單主檔'!AF:AF,$H$3) &gt; 1,
       "V","未完工"),"-")</f>
        <v>-</v>
      </c>
      <c r="H8" s="253" t="str">
        <f>IF(COUNTIFS('0919門市清單主檔'!C:C,B8,'0919門市清單主檔'!AG:AG,$H$4)=1,
    IF(COUNTIFS(IM!F:F,A8,IM!AC:AC,"*"&amp;$H$4&amp;"*") + COUNTIFS('0919門市清單主檔'!C:C,B8,'0919門市清單主檔'!AG:AG,$H$4) &gt; 1,
       "V","未完工"),"-")</f>
        <v>未完工</v>
      </c>
      <c r="I8" s="253" t="str">
        <f>IF(COUNTIFS('0919門市清單主檔'!C:C,B8,'0919門市清單主檔'!AH:AH,$H$5)=1,
    IF(COUNTIFS(IM!F:F,A8,IM!AC:AC,"*"&amp;$H$5&amp;"*") + COUNTIFS('0919門市清單主檔'!C:C,B8,'0919門市清單主檔'!AH:AH,$H$5) &gt; 1,
       "V","未完工"),"-")</f>
        <v>-</v>
      </c>
      <c r="J8" s="253" t="str">
        <f>IF(
    COUNTIFS('0919門市清單主檔'!C:C,B8,'0919門市清單主檔'!AC:AC,$H$2)=1,
    IF(
        COUNTIFS(
            IM!F:F,A8,
            IM!AC:AC,"*"&amp;$H$2&amp;"*",
            IM!X:X,"&gt;="&amp;$M$1,
            IM!X:X,"&lt;="&amp;$M$3
        )
        + COUNTIFS('0919門市清單主檔'!C:C,B8,'0919門市清單主檔'!AC:AC,$H$2)
        &gt;1,
        "V",
        "未完工"
    ),
    "-"
)</f>
        <v>-</v>
      </c>
      <c r="K8" s="122">
        <v>45910</v>
      </c>
      <c r="L8" s="116" t="str">
        <f>VLOOKUP(A8,'0919門市清單主檔'!B:V,21,FALSE)</f>
        <v>新莊區</v>
      </c>
      <c r="M8" s="153" t="str">
        <f>VLOOKUP(A8,門市總表!A:B,2,FALSE)</f>
        <v>新莊瓏山林</v>
      </c>
      <c r="Q8" s="115" t="s">
        <v>4951</v>
      </c>
      <c r="R8" s="115"/>
    </row>
    <row r="9" spans="1:31" ht="21.6" customHeight="1">
      <c r="A9" s="116" t="s">
        <v>67</v>
      </c>
      <c r="B9" s="116" t="str">
        <f>VLOOKUP(A9,門市總表!A:B,2,FALSE)</f>
        <v>新莊福營店</v>
      </c>
      <c r="C9" s="146" t="str">
        <f>IF(COUNTIFS(IM!$F:$F,A9,IM!$AD:$AD,"O",IM!$X:$X,"&gt;="&amp;$M$1, IM!$X:$X,"&lt;"&amp;$M$2)&gt;0,"V","")</f>
        <v>V</v>
      </c>
      <c r="D9" s="146" t="str">
        <f>IF(AND(C9&lt;&gt;"V", COUNTIFS(IM!$F:$F,A9, IM!$AD:$AD, "O", IM!$X:$X, "&gt;="&amp;$M$2, IM!$X:$X, "&lt;"&amp;$M$3)&gt;0), "V", "")</f>
        <v/>
      </c>
      <c r="E9" s="146" t="str">
        <f>IF(AND(C9&lt;&gt;"V",D9&lt;&gt;"V", COUNTIFS(IM!$F:$F, A9, IM!$AD:$AD, "O", IM!$X:$X, "&gt;="&amp;$M$3, IM!$X:$X, "&lt;"&amp;$N$3)&gt;0), "V", "")</f>
        <v/>
      </c>
      <c r="F9" s="116" t="str">
        <f>IF(VLOOKUP(A9,門市總表!A:F,6,FALSE)="新開","新開不保養",
IF(VLOOKUP(A9,門市總表!A:F,6,FALSE)="撤店","閉店不保養",IF(VLOOKUP(A9,門市總表!A:F,6,FALSE)="非當季","非當季",IF(VLOOKUP(A9,門市總表!A:F,6,FALSE)="跨季補單","跨季補單",
IF(COUNTBLANK(C9:E9)=3,"未保養","")
))))</f>
        <v>閉店不保養</v>
      </c>
      <c r="G9" s="116" t="str">
        <f>IF(COUNTIFS('0919門市清單主檔'!C:C,B9,'0919門市清單主檔'!AF:AF,$H$3)=1,
    IF(COUNTIFS(IM!F:F,A9,IM!AC:AC,"*"&amp;$H$3&amp;"*") + COUNTIFS('0919門市清單主檔'!C:C,B9,'0919門市清單主檔'!AF:AF,$H$3) &gt; 1,
       "V","未完工"),"-")</f>
        <v>-</v>
      </c>
      <c r="H9" s="253" t="str">
        <f>IF(COUNTIFS('0919門市清單主檔'!C:C,B9,'0919門市清單主檔'!AG:AG,$H$4)=1,
    IF(COUNTIFS(IM!F:F,A9,IM!AC:AC,"*"&amp;$H$4&amp;"*") + COUNTIFS('0919門市清單主檔'!C:C,B9,'0919門市清單主檔'!AG:AG,$H$4) &gt; 1,
       "V","未完工"),"-")</f>
        <v>V</v>
      </c>
      <c r="I9" s="253" t="str">
        <f>IF(COUNTIFS('0919門市清單主檔'!C:C,B9,'0919門市清單主檔'!AH:AH,$H$5)=1,
    IF(COUNTIFS(IM!F:F,A9,IM!AC:AC,"*"&amp;$H$5&amp;"*") + COUNTIFS('0919門市清單主檔'!C:C,B9,'0919門市清單主檔'!AH:AH,$H$5) &gt; 1,
       "V","未完工"),"-")</f>
        <v>未完工</v>
      </c>
      <c r="J9" s="253" t="str">
        <f>IF(
    COUNTIFS('0919門市清單主檔'!C:C,B9,'0919門市清單主檔'!AC:AC,$H$2)=1,
    IF(
        COUNTIFS(
            IM!F:F,A9,
            IM!AC:AC,"*"&amp;$H$2&amp;"*",
            IM!X:X,"&gt;="&amp;$M$1,
            IM!X:X,"&lt;="&amp;$M$3
        )
        + COUNTIFS('0919門市清單主檔'!C:C,B9,'0919門市清單主檔'!AC:AC,$H$2)
        &gt;1,
        "V",
        "未完工"
    ),
    "-"
)</f>
        <v>-</v>
      </c>
      <c r="K9" s="122">
        <v>45918</v>
      </c>
      <c r="L9" s="116" t="str">
        <f>VLOOKUP(A9,'0919門市清單主檔'!B:V,21,FALSE)</f>
        <v>新莊區</v>
      </c>
      <c r="M9" s="153" t="str">
        <f>VLOOKUP(A9,門市總表!A:B,2,FALSE)</f>
        <v>新莊福營店</v>
      </c>
      <c r="Q9" s="115" t="s">
        <v>4951</v>
      </c>
      <c r="R9" s="115"/>
    </row>
    <row r="10" spans="1:31" ht="21.6" customHeight="1">
      <c r="A10" s="116" t="s">
        <v>88</v>
      </c>
      <c r="B10" s="116" t="str">
        <f>VLOOKUP(A10,門市總表!A:B,2,FALSE)</f>
        <v>車麗屋新莊店</v>
      </c>
      <c r="C10" s="146" t="str">
        <f>IF(COUNTIFS(IM!$F:$F,A10,IM!$AD:$AD,"O",IM!$X:$X,"&gt;="&amp;$M$1, IM!$X:$X,"&lt;"&amp;$M$2)&gt;0,"V","")</f>
        <v/>
      </c>
      <c r="D10" s="146" t="str">
        <f>IF(AND(C10&lt;&gt;"V", COUNTIFS(IM!$F:$F,A10, IM!$AD:$AD, "O", IM!$X:$X, "&gt;="&amp;$M$2, IM!$X:$X, "&lt;"&amp;$M$3)&gt;0), "V", "")</f>
        <v/>
      </c>
      <c r="E10" s="146" t="str">
        <f>IF(AND(C10&lt;&gt;"V",D10&lt;&gt;"V", COUNTIFS(IM!$F:$F, A10, IM!$AD:$AD, "O", IM!$X:$X, "&gt;="&amp;$M$3, IM!$X:$X, "&lt;"&amp;$N$3)&gt;0), "V", "")</f>
        <v/>
      </c>
      <c r="F10" s="116" t="str">
        <f>IF(VLOOKUP(A10,門市總表!A:F,6,FALSE)="新開","新開不保養",
IF(VLOOKUP(A10,門市總表!A:F,6,FALSE)="撤店","閉店不保養",IF(VLOOKUP(A10,門市總表!A:F,6,FALSE)="非當季","非當季",IF(VLOOKUP(A10,門市總表!A:F,6,FALSE)="跨季補單","跨季補單",
IF(COUNTBLANK(C10:E10)=3,"未保養","")
))))</f>
        <v>未保養</v>
      </c>
      <c r="G10" s="116" t="str">
        <f>IF(COUNTIFS('0919門市清單主檔'!C:C,B10,'0919門市清單主檔'!AF:AF,$H$3)=1,
    IF(COUNTIFS(IM!F:F,A10,IM!AC:AC,"*"&amp;$H$3&amp;"*") + COUNTIFS('0919門市清單主檔'!C:C,B10,'0919門市清單主檔'!AF:AF,$H$3) &gt; 1,
       "V","未完工"),"-")</f>
        <v>-</v>
      </c>
      <c r="H10" s="253" t="str">
        <f>IF(COUNTIFS('0919門市清單主檔'!C:C,B10,'0919門市清單主檔'!AG:AG,$H$4)=1,
    IF(COUNTIFS(IM!F:F,A10,IM!AC:AC,"*"&amp;$H$4&amp;"*") + COUNTIFS('0919門市清單主檔'!C:C,B10,'0919門市清單主檔'!AG:AG,$H$4) &gt; 1,
       "V","未完工"),"-")</f>
        <v>-</v>
      </c>
      <c r="I10" s="253" t="str">
        <f>IF(COUNTIFS('0919門市清單主檔'!C:C,B10,'0919門市清單主檔'!AH:AH,$H$5)=1,
    IF(COUNTIFS(IM!F:F,A10,IM!AC:AC,"*"&amp;$H$5&amp;"*") + COUNTIFS('0919門市清單主檔'!C:C,B10,'0919門市清單主檔'!AH:AH,$H$5) &gt; 1,
       "V","未完工"),"-")</f>
        <v>-</v>
      </c>
      <c r="J10" s="253" t="str">
        <f>IF(
    COUNTIFS('0919門市清單主檔'!C:C,B10,'0919門市清單主檔'!AC:AC,$H$2)=1,
    IF(
        COUNTIFS(
            IM!F:F,A10,
            IM!AC:AC,"*"&amp;$H$2&amp;"*",
            IM!X:X,"&gt;="&amp;$M$1,
            IM!X:X,"&lt;="&amp;$M$3
        )
        + COUNTIFS('0919門市清單主檔'!C:C,B10,'0919門市清單主檔'!AC:AC,$H$2)
        &gt;1,
        "V",
        "未完工"
    ),
    "-"
)</f>
        <v>-</v>
      </c>
      <c r="K10" s="122">
        <v>45894</v>
      </c>
      <c r="L10" s="116" t="str">
        <f>VLOOKUP(A10,'0919門市清單主檔'!B:V,21,FALSE)</f>
        <v>新莊區</v>
      </c>
      <c r="M10" s="153" t="str">
        <f>VLOOKUP(A10,門市總表!A:B,2,FALSE)</f>
        <v>車麗屋新莊店</v>
      </c>
      <c r="Q10" s="115"/>
      <c r="R10" s="120" t="s">
        <v>4952</v>
      </c>
    </row>
    <row r="11" spans="1:31" ht="21.6" customHeight="1">
      <c r="A11" s="116">
        <v>5430</v>
      </c>
      <c r="B11" s="116" t="str">
        <f>VLOOKUP(A11,門市總表!A:B,2,FALSE)</f>
        <v>蘆洲河上洲</v>
      </c>
      <c r="C11" s="146" t="str">
        <f>IF(COUNTIFS(IM!$F:$F,A11,IM!$AD:$AD,"O",IM!$X:$X,"&gt;="&amp;$M$1, IM!$X:$X,"&lt;"&amp;$M$2)&gt;0,"V","")</f>
        <v/>
      </c>
      <c r="D11" s="146" t="str">
        <f>IF(AND(C11&lt;&gt;"V", COUNTIFS(IM!$F:$F,A11, IM!$AD:$AD, "O", IM!$X:$X, "&gt;="&amp;$M$2, IM!$X:$X, "&lt;"&amp;$M$3)&gt;0), "V", "")</f>
        <v/>
      </c>
      <c r="E11" s="146" t="str">
        <f>IF(AND(C11&lt;&gt;"V",D11&lt;&gt;"V", COUNTIFS(IM!$F:$F, A11, IM!$AD:$AD, "O", IM!$X:$X, "&gt;="&amp;$M$3, IM!$X:$X, "&lt;"&amp;$N$3)&gt;0), "V", "")</f>
        <v/>
      </c>
      <c r="F11" s="116" t="str">
        <f>IF(VLOOKUP(A11,門市總表!A:F,6,FALSE)="新開","新開不保養",
IF(VLOOKUP(A11,門市總表!A:F,6,FALSE)="撤店","閉店不保養",IF(VLOOKUP(A11,門市總表!A:F,6,FALSE)="非當季","非當季",IF(VLOOKUP(A11,門市總表!A:F,6,FALSE)="跨季補單","跨季補單",
IF(COUNTBLANK(C11:E11)=3,"未保養","")
))))</f>
        <v>未保養</v>
      </c>
      <c r="G11" s="116" t="str">
        <f>IF(COUNTIFS('0919門市清單主檔'!C:C,B11,'0919門市清單主檔'!AF:AF,$H$3)=1,
    IF(COUNTIFS(IM!F:F,A11,IM!AC:AC,"*"&amp;$H$3&amp;"*") + COUNTIFS('0919門市清單主檔'!C:C,B11,'0919門市清單主檔'!AF:AF,$H$3) &gt; 1,
       "V","未完工"),"-")</f>
        <v>-</v>
      </c>
      <c r="H11" s="253" t="str">
        <f>IF(COUNTIFS('0919門市清單主檔'!C:C,B11,'0919門市清單主檔'!AG:AG,$H$4)=1,
    IF(COUNTIFS(IM!F:F,A11,IM!AC:AC,"*"&amp;$H$4&amp;"*") + COUNTIFS('0919門市清單主檔'!C:C,B11,'0919門市清單主檔'!AG:AG,$H$4) &gt; 1,
       "V","未完工"),"-")</f>
        <v>未完工</v>
      </c>
      <c r="I11" s="253" t="str">
        <f>IF(COUNTIFS('0919門市清單主檔'!C:C,B11,'0919門市清單主檔'!AH:AH,$H$5)=1,
    IF(COUNTIFS(IM!F:F,A11,IM!AC:AC,"*"&amp;$H$5&amp;"*") + COUNTIFS('0919門市清單主檔'!C:C,B11,'0919門市清單主檔'!AH:AH,$H$5) &gt; 1,
       "V","未完工"),"-")</f>
        <v>-</v>
      </c>
      <c r="J11" s="253" t="str">
        <f>IF(
    COUNTIFS('0919門市清單主檔'!C:C,B11,'0919門市清單主檔'!AC:AC,$H$2)=1,
    IF(
        COUNTIFS(
            IM!F:F,A11,
            IM!AC:AC,"*"&amp;$H$2&amp;"*",
            IM!X:X,"&gt;="&amp;$M$1,
            IM!X:X,"&lt;="&amp;$M$3
        )
        + COUNTIFS('0919門市清單主檔'!C:C,B11,'0919門市清單主檔'!AC:AC,$H$2)
        &gt;1,
        "V",
        "未完工"
    ),
    "-"
)</f>
        <v>-</v>
      </c>
      <c r="K11" s="122">
        <v>45876</v>
      </c>
      <c r="L11" s="116" t="str">
        <f>VLOOKUP(A11,'0919門市清單主檔'!B:V,21,FALSE)</f>
        <v>蘆洲區</v>
      </c>
      <c r="M11" s="153" t="str">
        <f>VLOOKUP(A11,門市總表!A:B,2,FALSE)</f>
        <v>蘆洲河上洲</v>
      </c>
      <c r="Q11" s="115" t="s">
        <v>4951</v>
      </c>
      <c r="R11" s="115"/>
    </row>
    <row r="12" spans="1:31" ht="21.6" customHeight="1">
      <c r="A12" s="116">
        <v>2325</v>
      </c>
      <c r="B12" s="116" t="str">
        <f>VLOOKUP(A12,門市總表!A:B,2,FALSE)</f>
        <v>北縣五泰店</v>
      </c>
      <c r="C12" s="146" t="str">
        <f>IF(COUNTIFS(IM!$F:$F,A12,IM!$AD:$AD,"O",IM!$X:$X,"&gt;="&amp;$M$1, IM!$X:$X,"&lt;"&amp;$M$2)&gt;0,"V","")</f>
        <v/>
      </c>
      <c r="D12" s="146" t="str">
        <f>IF(AND(C12&lt;&gt;"V", COUNTIFS(IM!$F:$F,A12, IM!$AD:$AD, "O", IM!$X:$X, "&gt;="&amp;$M$2, IM!$X:$X, "&lt;"&amp;$M$3)&gt;0), "V", "")</f>
        <v/>
      </c>
      <c r="E12" s="146" t="str">
        <f>IF(AND(C12&lt;&gt;"V",D12&lt;&gt;"V", COUNTIFS(IM!$F:$F, A12, IM!$AD:$AD, "O", IM!$X:$X, "&gt;="&amp;$M$3, IM!$X:$X, "&lt;"&amp;$N$3)&gt;0), "V", "")</f>
        <v/>
      </c>
      <c r="F12" s="116" t="str">
        <f>IF(VLOOKUP(A12,門市總表!A:F,6,FALSE)="新開","新開不保養",
IF(VLOOKUP(A12,門市總表!A:F,6,FALSE)="撤店","閉店不保養",IF(VLOOKUP(A12,門市總表!A:F,6,FALSE)="非當季","非當季",IF(VLOOKUP(A12,門市總表!A:F,6,FALSE)="跨季補單","跨季補單",
IF(COUNTBLANK(C12:E12)=3,"未保養","")
))))</f>
        <v>未保養</v>
      </c>
      <c r="G12" s="116" t="str">
        <f>IF(COUNTIFS('0919門市清單主檔'!C:C,B12,'0919門市清單主檔'!AF:AF,$H$3)=1,
    IF(COUNTIFS(IM!F:F,A12,IM!AC:AC,"*"&amp;$H$3&amp;"*") + COUNTIFS('0919門市清單主檔'!C:C,B12,'0919門市清單主檔'!AF:AF,$H$3) &gt; 1,
       "V","未完工"),"-")</f>
        <v>-</v>
      </c>
      <c r="H12" s="253" t="str">
        <f>IF(COUNTIFS('0919門市清單主檔'!C:C,B12,'0919門市清單主檔'!AG:AG,$H$4)=1,
    IF(COUNTIFS(IM!F:F,A12,IM!AC:AC,"*"&amp;$H$4&amp;"*") + COUNTIFS('0919門市清單主檔'!C:C,B12,'0919門市清單主檔'!AG:AG,$H$4) &gt; 1,
       "V","未完工"),"-")</f>
        <v>未完工</v>
      </c>
      <c r="I12" s="253" t="str">
        <f>IF(COUNTIFS('0919門市清單主檔'!C:C,B12,'0919門市清單主檔'!AH:AH,$H$5)=1,
    IF(COUNTIFS(IM!F:F,A12,IM!AC:AC,"*"&amp;$H$5&amp;"*") + COUNTIFS('0919門市清單主檔'!C:C,B12,'0919門市清單主檔'!AH:AH,$H$5) &gt; 1,
       "V","未完工"),"-")</f>
        <v>未完工</v>
      </c>
      <c r="J12" s="253" t="str">
        <f>IF(
    COUNTIFS('0919門市清單主檔'!C:C,B12,'0919門市清單主檔'!AC:AC,$H$2)=1,
    IF(
        COUNTIFS(
            IM!F:F,A12,
            IM!AC:AC,"*"&amp;$H$2&amp;"*",
            IM!X:X,"&gt;="&amp;$M$1,
            IM!X:X,"&lt;="&amp;$M$3
        )
        + COUNTIFS('0919門市清單主檔'!C:C,B12,'0919門市清單主檔'!AC:AC,$H$2)
        &gt;1,
        "V",
        "未完工"
    ),
    "-"
)</f>
        <v>-</v>
      </c>
      <c r="K12" s="122">
        <v>45918</v>
      </c>
      <c r="L12" s="116" t="str">
        <f>VLOOKUP(A12,'0919門市清單主檔'!B:V,21,FALSE)</f>
        <v>五股區</v>
      </c>
      <c r="M12" s="153" t="str">
        <f>VLOOKUP(A12,門市總表!A:B,2,FALSE)</f>
        <v>北縣五泰店</v>
      </c>
      <c r="Q12" s="115" t="s">
        <v>4951</v>
      </c>
      <c r="R12" s="115"/>
    </row>
    <row r="13" spans="1:31" ht="21.6" customHeight="1">
      <c r="A13" s="116">
        <v>4819</v>
      </c>
      <c r="B13" s="116" t="str">
        <f>VLOOKUP(A13,門市總表!A:B,2,FALSE)</f>
        <v>五股凌雲店</v>
      </c>
      <c r="C13" s="146" t="str">
        <f>IF(COUNTIFS(IM!$F:$F,A13,IM!$AD:$AD,"O",IM!$X:$X,"&gt;="&amp;$M$1, IM!$X:$X,"&lt;"&amp;$M$2)&gt;0,"V","")</f>
        <v/>
      </c>
      <c r="D13" s="146" t="str">
        <f>IF(AND(C13&lt;&gt;"V", COUNTIFS(IM!$F:$F,A13, IM!$AD:$AD, "O", IM!$X:$X, "&gt;="&amp;$M$2, IM!$X:$X, "&lt;"&amp;$M$3)&gt;0), "V", "")</f>
        <v/>
      </c>
      <c r="E13" s="146" t="str">
        <f>IF(AND(C13&lt;&gt;"V",D13&lt;&gt;"V", COUNTIFS(IM!$F:$F, A13, IM!$AD:$AD, "O", IM!$X:$X, "&gt;="&amp;$M$3, IM!$X:$X, "&lt;"&amp;$N$3)&gt;0), "V", "")</f>
        <v/>
      </c>
      <c r="F13" s="116" t="str">
        <f>IF(VLOOKUP(A13,門市總表!A:F,6,FALSE)="新開","新開不保養",
IF(VLOOKUP(A13,門市總表!A:F,6,FALSE)="撤店","閉店不保養",IF(VLOOKUP(A13,門市總表!A:F,6,FALSE)="非當季","非當季",IF(VLOOKUP(A13,門市總表!A:F,6,FALSE)="跨季補單","跨季補單",
IF(COUNTBLANK(C13:E13)=3,"未保養","")
))))</f>
        <v>未保養</v>
      </c>
      <c r="G13" s="116" t="str">
        <f>IF(COUNTIFS('0919門市清單主檔'!C:C,B13,'0919門市清單主檔'!AF:AF,$H$3)=1,
    IF(COUNTIFS(IM!F:F,A13,IM!AC:AC,"*"&amp;$H$3&amp;"*") + COUNTIFS('0919門市清單主檔'!C:C,B13,'0919門市清單主檔'!AF:AF,$H$3) &gt; 1,
       "V","未完工"),"-")</f>
        <v>-</v>
      </c>
      <c r="H13" s="253" t="str">
        <f>IF(COUNTIFS('0919門市清單主檔'!C:C,B13,'0919門市清單主檔'!AG:AG,$H$4)=1,
    IF(COUNTIFS(IM!F:F,A13,IM!AC:AC,"*"&amp;$H$4&amp;"*") + COUNTIFS('0919門市清單主檔'!C:C,B13,'0919門市清單主檔'!AG:AG,$H$4) &gt; 1,
       "V","未完工"),"-")</f>
        <v>未完工</v>
      </c>
      <c r="I13" s="253" t="str">
        <f>IF(COUNTIFS('0919門市清單主檔'!C:C,B13,'0919門市清單主檔'!AH:AH,$H$5)=1,
    IF(COUNTIFS(IM!F:F,A13,IM!AC:AC,"*"&amp;$H$5&amp;"*") + COUNTIFS('0919門市清單主檔'!C:C,B13,'0919門市清單主檔'!AH:AH,$H$5) &gt; 1,
       "V","未完工"),"-")</f>
        <v>未完工</v>
      </c>
      <c r="J13" s="253" t="str">
        <f>IF(
    COUNTIFS('0919門市清單主檔'!C:C,B13,'0919門市清單主檔'!AC:AC,$H$2)=1,
    IF(
        COUNTIFS(
            IM!F:F,A13,
            IM!AC:AC,"*"&amp;$H$2&amp;"*",
            IM!X:X,"&gt;="&amp;$M$1,
            IM!X:X,"&lt;="&amp;$M$3
        )
        + COUNTIFS('0919門市清單主檔'!C:C,B13,'0919門市清單主檔'!AC:AC,$H$2)
        &gt;1,
        "V",
        "未完工"
    ),
    "-"
)</f>
        <v>-</v>
      </c>
      <c r="K13" s="122">
        <v>45917</v>
      </c>
      <c r="L13" s="116" t="str">
        <f>VLOOKUP(A13,'0919門市清單主檔'!B:V,21,FALSE)</f>
        <v>五股區</v>
      </c>
      <c r="M13" s="153" t="str">
        <f>VLOOKUP(A13,門市總表!A:B,2,FALSE)</f>
        <v>五股凌雲店</v>
      </c>
      <c r="Q13" s="115"/>
      <c r="R13" s="120" t="s">
        <v>4952</v>
      </c>
    </row>
    <row r="14" spans="1:31" ht="21.6" customHeight="1">
      <c r="A14" s="116">
        <v>4801</v>
      </c>
      <c r="B14" s="116" t="str">
        <f>VLOOKUP(A14,門市總表!A:B,2,FALSE)</f>
        <v>五股成州店</v>
      </c>
      <c r="C14" s="146" t="str">
        <f>IF(COUNTIFS(IM!$F:$F,A14,IM!$AD:$AD,"O",IM!$X:$X,"&gt;="&amp;$M$1, IM!$X:$X,"&lt;"&amp;$M$2)&gt;0,"V","")</f>
        <v/>
      </c>
      <c r="D14" s="146" t="str">
        <f>IF(AND(C14&lt;&gt;"V", COUNTIFS(IM!$F:$F,A14, IM!$AD:$AD, "O", IM!$X:$X, "&gt;="&amp;$M$2, IM!$X:$X, "&lt;"&amp;$M$3)&gt;0), "V", "")</f>
        <v/>
      </c>
      <c r="E14" s="146" t="str">
        <f>IF(AND(C14&lt;&gt;"V",D14&lt;&gt;"V", COUNTIFS(IM!$F:$F, A14, IM!$AD:$AD, "O", IM!$X:$X, "&gt;="&amp;$M$3, IM!$X:$X, "&lt;"&amp;$N$3)&gt;0), "V", "")</f>
        <v/>
      </c>
      <c r="F14" s="116" t="str">
        <f>IF(VLOOKUP(A14,門市總表!A:F,6,FALSE)="新開","新開不保養",
IF(VLOOKUP(A14,門市總表!A:F,6,FALSE)="撤店","閉店不保養",IF(VLOOKUP(A14,門市總表!A:F,6,FALSE)="非當季","非當季",IF(VLOOKUP(A14,門市總表!A:F,6,FALSE)="跨季補單","跨季補單",
IF(COUNTBLANK(C14:E14)=3,"未保養","")
))))</f>
        <v>未保養</v>
      </c>
      <c r="G14" s="116" t="str">
        <f>IF(COUNTIFS('0919門市清單主檔'!C:C,B14,'0919門市清單主檔'!AF:AF,$H$3)=1,
    IF(COUNTIFS(IM!F:F,A14,IM!AC:AC,"*"&amp;$H$3&amp;"*") + COUNTIFS('0919門市清單主檔'!C:C,B14,'0919門市清單主檔'!AF:AF,$H$3) &gt; 1,
       "V","未完工"),"-")</f>
        <v>-</v>
      </c>
      <c r="H14" s="253" t="str">
        <f>IF(COUNTIFS('0919門市清單主檔'!C:C,B14,'0919門市清單主檔'!AG:AG,$H$4)=1,
    IF(COUNTIFS(IM!F:F,A14,IM!AC:AC,"*"&amp;$H$4&amp;"*") + COUNTIFS('0919門市清單主檔'!C:C,B14,'0919門市清單主檔'!AG:AG,$H$4) &gt; 1,
       "V","未完工"),"-")</f>
        <v>未完工</v>
      </c>
      <c r="I14" s="253" t="str">
        <f>IF(COUNTIFS('0919門市清單主檔'!C:C,B14,'0919門市清單主檔'!AH:AH,$H$5)=1,
    IF(COUNTIFS(IM!F:F,A14,IM!AC:AC,"*"&amp;$H$5&amp;"*") + COUNTIFS('0919門市清單主檔'!C:C,B14,'0919門市清單主檔'!AH:AH,$H$5) &gt; 1,
       "V","未完工"),"-")</f>
        <v>未完工</v>
      </c>
      <c r="J14" s="253" t="str">
        <f>IF(
    COUNTIFS('0919門市清單主檔'!C:C,B14,'0919門市清單主檔'!AC:AC,$H$2)=1,
    IF(
        COUNTIFS(
            IM!F:F,A14,
            IM!AC:AC,"*"&amp;$H$2&amp;"*",
            IM!X:X,"&gt;="&amp;$M$1,
            IM!X:X,"&lt;="&amp;$M$3
        )
        + COUNTIFS('0919門市清單主檔'!C:C,B14,'0919門市清單主檔'!AC:AC,$H$2)
        &gt;1,
        "V",
        "未完工"
    ),
    "-"
)</f>
        <v>-</v>
      </c>
      <c r="K14" s="122">
        <v>45894</v>
      </c>
      <c r="L14" s="116" t="str">
        <f>VLOOKUP(A14,'0919門市清單主檔'!B:V,21,FALSE)</f>
        <v>五股區</v>
      </c>
      <c r="M14" s="153" t="str">
        <f>VLOOKUP(A14,門市總表!A:B,2,FALSE)</f>
        <v>五股成州店</v>
      </c>
      <c r="Q14" s="115"/>
      <c r="R14" s="120" t="s">
        <v>4952</v>
      </c>
    </row>
    <row r="15" spans="1:31" ht="21.6" customHeight="1">
      <c r="A15" s="116">
        <v>5003</v>
      </c>
      <c r="B15" s="116" t="str">
        <f>VLOOKUP(A15,門市總表!A:B,2,FALSE)</f>
        <v>五股更寮店</v>
      </c>
      <c r="C15" s="146" t="str">
        <f>IF(COUNTIFS(IM!$F:$F,A15,IM!$AD:$AD,"O",IM!$X:$X,"&gt;="&amp;$M$1, IM!$X:$X,"&lt;"&amp;$M$2)&gt;0,"V","")</f>
        <v/>
      </c>
      <c r="D15" s="146" t="str">
        <f>IF(AND(C15&lt;&gt;"V", COUNTIFS(IM!$F:$F,A15, IM!$AD:$AD, "O", IM!$X:$X, "&gt;="&amp;$M$2, IM!$X:$X, "&lt;"&amp;$M$3)&gt;0), "V", "")</f>
        <v/>
      </c>
      <c r="E15" s="146" t="str">
        <f>IF(AND(C15&lt;&gt;"V",D15&lt;&gt;"V", COUNTIFS(IM!$F:$F, A15, IM!$AD:$AD, "O", IM!$X:$X, "&gt;="&amp;$M$3, IM!$X:$X, "&lt;"&amp;$N$3)&gt;0), "V", "")</f>
        <v/>
      </c>
      <c r="F15" s="116" t="str">
        <f>IF(VLOOKUP(A15,門市總表!A:F,6,FALSE)="新開","新開不保養",
IF(VLOOKUP(A15,門市總表!A:F,6,FALSE)="撤店","閉店不保養",IF(VLOOKUP(A15,門市總表!A:F,6,FALSE)="非當季","非當季",IF(VLOOKUP(A15,門市總表!A:F,6,FALSE)="跨季補單","跨季補單",
IF(COUNTBLANK(C15:E15)=3,"未保養","")
))))</f>
        <v>未保養</v>
      </c>
      <c r="G15" s="116" t="str">
        <f>IF(COUNTIFS('0919門市清單主檔'!C:C,B15,'0919門市清單主檔'!AF:AF,$H$3)=1,
    IF(COUNTIFS(IM!F:F,A15,IM!AC:AC,"*"&amp;$H$3&amp;"*") + COUNTIFS('0919門市清單主檔'!C:C,B15,'0919門市清單主檔'!AF:AF,$H$3) &gt; 1,
       "V","未完工"),"-")</f>
        <v>-</v>
      </c>
      <c r="H15" s="253" t="str">
        <f>IF(COUNTIFS('0919門市清單主檔'!C:C,B15,'0919門市清單主檔'!AG:AG,$H$4)=1,
    IF(COUNTIFS(IM!F:F,A15,IM!AC:AC,"*"&amp;$H$4&amp;"*") + COUNTIFS('0919門市清單主檔'!C:C,B15,'0919門市清單主檔'!AG:AG,$H$4) &gt; 1,
       "V","未完工"),"-")</f>
        <v>V</v>
      </c>
      <c r="I15" s="253" t="str">
        <f>IF(COUNTIFS('0919門市清單主檔'!C:C,B15,'0919門市清單主檔'!AH:AH,$H$5)=1,
    IF(COUNTIFS(IM!F:F,A15,IM!AC:AC,"*"&amp;$H$5&amp;"*") + COUNTIFS('0919門市清單主檔'!C:C,B15,'0919門市清單主檔'!AH:AH,$H$5) &gt; 1,
       "V","未完工"),"-")</f>
        <v>未完工</v>
      </c>
      <c r="J15" s="253" t="str">
        <f>IF(
    COUNTIFS('0919門市清單主檔'!C:C,B15,'0919門市清單主檔'!AC:AC,$H$2)=1,
    IF(
        COUNTIFS(
            IM!F:F,A15,
            IM!AC:AC,"*"&amp;$H$2&amp;"*",
            IM!X:X,"&gt;="&amp;$M$1,
            IM!X:X,"&lt;="&amp;$M$3
        )
        + COUNTIFS('0919門市清單主檔'!C:C,B15,'0919門市清單主檔'!AC:AC,$H$2)
        &gt;1,
        "V",
        "未完工"
    ),
    "-"
)</f>
        <v>-</v>
      </c>
      <c r="K15" s="122">
        <v>45894</v>
      </c>
      <c r="L15" s="116" t="str">
        <f>VLOOKUP(A15,'0919門市清單主檔'!B:V,21,FALSE)</f>
        <v>五股區</v>
      </c>
      <c r="M15" s="153" t="str">
        <f>VLOOKUP(A15,門市總表!A:B,2,FALSE)</f>
        <v>五股更寮店</v>
      </c>
      <c r="Q15" s="115" t="s">
        <v>4951</v>
      </c>
      <c r="R15" s="115"/>
    </row>
    <row r="16" spans="1:31" ht="21.6" customHeight="1">
      <c r="A16" s="116">
        <v>3227</v>
      </c>
      <c r="B16" s="116" t="str">
        <f>VLOOKUP(A16,門市總表!A:B,2,FALSE)</f>
        <v>五股四維店</v>
      </c>
      <c r="C16" s="146" t="str">
        <f>IF(COUNTIFS(IM!$F:$F,A16,IM!$AD:$AD,"O",IM!$X:$X,"&gt;="&amp;$M$1, IM!$X:$X,"&lt;"&amp;$M$2)&gt;0,"V","")</f>
        <v/>
      </c>
      <c r="D16" s="146" t="str">
        <f>IF(AND(C16&lt;&gt;"V", COUNTIFS(IM!$F:$F,A16, IM!$AD:$AD, "O", IM!$X:$X, "&gt;="&amp;$M$2, IM!$X:$X, "&lt;"&amp;$M$3)&gt;0), "V", "")</f>
        <v/>
      </c>
      <c r="E16" s="146" t="str">
        <f>IF(AND(C16&lt;&gt;"V",D16&lt;&gt;"V", COUNTIFS(IM!$F:$F, A16, IM!$AD:$AD, "O", IM!$X:$X, "&gt;="&amp;$M$3, IM!$X:$X, "&lt;"&amp;$N$3)&gt;0), "V", "")</f>
        <v/>
      </c>
      <c r="F16" s="116" t="str">
        <f>IF(VLOOKUP(A16,門市總表!A:F,6,FALSE)="新開","新開不保養",
IF(VLOOKUP(A16,門市總表!A:F,6,FALSE)="撤店","閉店不保養",IF(VLOOKUP(A16,門市總表!A:F,6,FALSE)="非當季","非當季",IF(VLOOKUP(A16,門市總表!A:F,6,FALSE)="跨季補單","跨季補單",
IF(COUNTBLANK(C16:E16)=3,"未保養","")
))))</f>
        <v>未保養</v>
      </c>
      <c r="G16" s="116" t="str">
        <f>IF(COUNTIFS('0919門市清單主檔'!C:C,B16,'0919門市清單主檔'!AF:AF,$H$3)=1,
    IF(COUNTIFS(IM!F:F,A16,IM!AC:AC,"*"&amp;$H$3&amp;"*") + COUNTIFS('0919門市清單主檔'!C:C,B16,'0919門市清單主檔'!AF:AF,$H$3) &gt; 1,
       "V","未完工"),"-")</f>
        <v>-</v>
      </c>
      <c r="H16" s="253" t="str">
        <f>IF(COUNTIFS('0919門市清單主檔'!C:C,B16,'0919門市清單主檔'!AG:AG,$H$4)=1,
    IF(COUNTIFS(IM!F:F,A16,IM!AC:AC,"*"&amp;$H$4&amp;"*") + COUNTIFS('0919門市清單主檔'!C:C,B16,'0919門市清單主檔'!AG:AG,$H$4) &gt; 1,
       "V","未完工"),"-")</f>
        <v>V</v>
      </c>
      <c r="I16" s="253" t="str">
        <f>IF(COUNTIFS('0919門市清單主檔'!C:C,B16,'0919門市清單主檔'!AH:AH,$H$5)=1,
    IF(COUNTIFS(IM!F:F,A16,IM!AC:AC,"*"&amp;$H$5&amp;"*") + COUNTIFS('0919門市清單主檔'!C:C,B16,'0919門市清單主檔'!AH:AH,$H$5) &gt; 1,
       "V","未完工"),"-")</f>
        <v>未完工</v>
      </c>
      <c r="J16" s="253" t="str">
        <f>IF(
    COUNTIFS('0919門市清單主檔'!C:C,B16,'0919門市清單主檔'!AC:AC,$H$2)=1,
    IF(
        COUNTIFS(
            IM!F:F,A16,
            IM!AC:AC,"*"&amp;$H$2&amp;"*",
            IM!X:X,"&gt;="&amp;$M$1,
            IM!X:X,"&lt;="&amp;$M$3
        )
        + COUNTIFS('0919門市清單主檔'!C:C,B16,'0919門市清單主檔'!AC:AC,$H$2)
        &gt;1,
        "V",
        "未完工"
    ),
    "-"
)</f>
        <v>-</v>
      </c>
      <c r="K16" s="122">
        <v>45908</v>
      </c>
      <c r="L16" s="116" t="str">
        <f>VLOOKUP(A16,'0919門市清單主檔'!B:V,21,FALSE)</f>
        <v>五股區</v>
      </c>
      <c r="M16" s="153" t="str">
        <f>VLOOKUP(A16,門市總表!A:B,2,FALSE)</f>
        <v>五股四維店</v>
      </c>
      <c r="Q16" s="115" t="s">
        <v>4951</v>
      </c>
      <c r="R16" s="115"/>
    </row>
    <row r="17" spans="1:18" ht="21.6" customHeight="1">
      <c r="A17" s="116">
        <v>2691</v>
      </c>
      <c r="B17" s="116" t="str">
        <f>VLOOKUP(A17,門市總表!A:B,2,FALSE)</f>
        <v>五股興珍店</v>
      </c>
      <c r="C17" s="146" t="str">
        <f>IF(COUNTIFS(IM!$F:$F,A17,IM!$AD:$AD,"O",IM!$X:$X,"&gt;="&amp;$M$1, IM!$X:$X,"&lt;"&amp;$M$2)&gt;0,"V","")</f>
        <v/>
      </c>
      <c r="D17" s="146" t="str">
        <f>IF(AND(C17&lt;&gt;"V", COUNTIFS(IM!$F:$F,A17, IM!$AD:$AD, "O", IM!$X:$X, "&gt;="&amp;$M$2, IM!$X:$X, "&lt;"&amp;$M$3)&gt;0), "V", "")</f>
        <v/>
      </c>
      <c r="E17" s="146" t="str">
        <f>IF(AND(C17&lt;&gt;"V",D17&lt;&gt;"V", COUNTIFS(IM!$F:$F, A17, IM!$AD:$AD, "O", IM!$X:$X, "&gt;="&amp;$M$3, IM!$X:$X, "&lt;"&amp;$N$3)&gt;0), "V", "")</f>
        <v/>
      </c>
      <c r="F17" s="116" t="str">
        <f>IF(VLOOKUP(A17,門市總表!A:F,6,FALSE)="新開","新開不保養",
IF(VLOOKUP(A17,門市總表!A:F,6,FALSE)="撤店","閉店不保養",IF(VLOOKUP(A17,門市總表!A:F,6,FALSE)="非當季","非當季",IF(VLOOKUP(A17,門市總表!A:F,6,FALSE)="跨季補單","跨季補單",
IF(COUNTBLANK(C17:E17)=3,"未保養","")
))))</f>
        <v>未保養</v>
      </c>
      <c r="G17" s="116" t="str">
        <f>IF(COUNTIFS('0919門市清單主檔'!C:C,B17,'0919門市清單主檔'!AF:AF,$H$3)=1,
    IF(COUNTIFS(IM!F:F,A17,IM!AC:AC,"*"&amp;$H$3&amp;"*") + COUNTIFS('0919門市清單主檔'!C:C,B17,'0919門市清單主檔'!AF:AF,$H$3) &gt; 1,
       "V","未完工"),"-")</f>
        <v>-</v>
      </c>
      <c r="H17" s="253" t="str">
        <f>IF(COUNTIFS('0919門市清單主檔'!C:C,B17,'0919門市清單主檔'!AG:AG,$H$4)=1,
    IF(COUNTIFS(IM!F:F,A17,IM!AC:AC,"*"&amp;$H$4&amp;"*") + COUNTIFS('0919門市清單主檔'!C:C,B17,'0919門市清單主檔'!AG:AG,$H$4) &gt; 1,
       "V","未完工"),"-")</f>
        <v>V</v>
      </c>
      <c r="I17" s="253" t="str">
        <f>IF(COUNTIFS('0919門市清單主檔'!C:C,B17,'0919門市清單主檔'!AH:AH,$H$5)=1,
    IF(COUNTIFS(IM!F:F,A17,IM!AC:AC,"*"&amp;$H$5&amp;"*") + COUNTIFS('0919門市清單主檔'!C:C,B17,'0919門市清單主檔'!AH:AH,$H$5) &gt; 1,
       "V","未完工"),"-")</f>
        <v>未完工</v>
      </c>
      <c r="J17" s="253" t="str">
        <f>IF(
    COUNTIFS('0919門市清單主檔'!C:C,B17,'0919門市清單主檔'!AC:AC,$H$2)=1,
    IF(
        COUNTIFS(
            IM!F:F,A17,
            IM!AC:AC,"*"&amp;$H$2&amp;"*",
            IM!X:X,"&gt;="&amp;$M$1,
            IM!X:X,"&lt;="&amp;$M$3
        )
        + COUNTIFS('0919門市清單主檔'!C:C,B17,'0919門市清單主檔'!AC:AC,$H$2)
        &gt;1,
        "V",
        "未完工"
    ),
    "-"
)</f>
        <v>-</v>
      </c>
      <c r="K17" s="122">
        <v>45923</v>
      </c>
      <c r="L17" s="116" t="str">
        <f>VLOOKUP(A17,'0919門市清單主檔'!B:V,21,FALSE)</f>
        <v>五股區</v>
      </c>
      <c r="M17" s="153" t="str">
        <f>VLOOKUP(A17,門市總表!A:B,2,FALSE)</f>
        <v>五股興珍店</v>
      </c>
      <c r="Q17" s="115" t="s">
        <v>4951</v>
      </c>
      <c r="R17" s="115"/>
    </row>
    <row r="18" spans="1:18" ht="21.6" customHeight="1">
      <c r="A18" s="116">
        <v>2535</v>
      </c>
      <c r="B18" s="116" t="str">
        <f>VLOOKUP(A18,門市總表!A:B,2,FALSE)</f>
        <v>五股五工店</v>
      </c>
      <c r="C18" s="146" t="str">
        <f>IF(COUNTIFS(IM!$F:$F,A18,IM!$AD:$AD,"O",IM!$X:$X,"&gt;="&amp;$M$1, IM!$X:$X,"&lt;"&amp;$M$2)&gt;0,"V","")</f>
        <v/>
      </c>
      <c r="D18" s="146" t="str">
        <f>IF(AND(C18&lt;&gt;"V", COUNTIFS(IM!$F:$F,A18, IM!$AD:$AD, "O", IM!$X:$X, "&gt;="&amp;$M$2, IM!$X:$X, "&lt;"&amp;$M$3)&gt;0), "V", "")</f>
        <v/>
      </c>
      <c r="E18" s="146" t="str">
        <f>IF(AND(C18&lt;&gt;"V",D18&lt;&gt;"V", COUNTIFS(IM!$F:$F, A18, IM!$AD:$AD, "O", IM!$X:$X, "&gt;="&amp;$M$3, IM!$X:$X, "&lt;"&amp;$N$3)&gt;0), "V", "")</f>
        <v/>
      </c>
      <c r="F18" s="116" t="str">
        <f>IF(VLOOKUP(A18,門市總表!A:F,6,FALSE)="新開","新開不保養",
IF(VLOOKUP(A18,門市總表!A:F,6,FALSE)="撤店","閉店不保養",IF(VLOOKUP(A18,門市總表!A:F,6,FALSE)="非當季","非當季",IF(VLOOKUP(A18,門市總表!A:F,6,FALSE)="跨季補單","跨季補單",
IF(COUNTBLANK(C18:E18)=3,"未保養","")
))))</f>
        <v>未保養</v>
      </c>
      <c r="G18" s="116" t="str">
        <f>IF(COUNTIFS('0919門市清單主檔'!C:C,B18,'0919門市清單主檔'!AF:AF,$H$3)=1,
    IF(COUNTIFS(IM!F:F,A18,IM!AC:AC,"*"&amp;$H$3&amp;"*") + COUNTIFS('0919門市清單主檔'!C:C,B18,'0919門市清單主檔'!AF:AF,$H$3) &gt; 1,
       "V","未完工"),"-")</f>
        <v>-</v>
      </c>
      <c r="H18" s="253" t="str">
        <f>IF(COUNTIFS('0919門市清單主檔'!C:C,B18,'0919門市清單主檔'!AG:AG,$H$4)=1,
    IF(COUNTIFS(IM!F:F,A18,IM!AC:AC,"*"&amp;$H$4&amp;"*") + COUNTIFS('0919門市清單主檔'!C:C,B18,'0919門市清單主檔'!AG:AG,$H$4) &gt; 1,
       "V","未完工"),"-")</f>
        <v>V</v>
      </c>
      <c r="I18" s="253" t="str">
        <f>IF(COUNTIFS('0919門市清單主檔'!C:C,B18,'0919門市清單主檔'!AH:AH,$H$5)=1,
    IF(COUNTIFS(IM!F:F,A18,IM!AC:AC,"*"&amp;$H$5&amp;"*") + COUNTIFS('0919門市清單主檔'!C:C,B18,'0919門市清單主檔'!AH:AH,$H$5) &gt; 1,
       "V","未完工"),"-")</f>
        <v>未完工</v>
      </c>
      <c r="J18" s="253" t="str">
        <f>IF(
    COUNTIFS('0919門市清單主檔'!C:C,B18,'0919門市清單主檔'!AC:AC,$H$2)=1,
    IF(
        COUNTIFS(
            IM!F:F,A18,
            IM!AC:AC,"*"&amp;$H$2&amp;"*",
            IM!X:X,"&gt;="&amp;$M$1,
            IM!X:X,"&lt;="&amp;$M$3
        )
        + COUNTIFS('0919門市清單主檔'!C:C,B18,'0919門市清單主檔'!AC:AC,$H$2)
        &gt;1,
        "V",
        "未完工"
    ),
    "-"
)</f>
        <v>-</v>
      </c>
      <c r="K18" s="122">
        <v>45882</v>
      </c>
      <c r="L18" s="116" t="str">
        <f>VLOOKUP(A18,'0919門市清單主檔'!B:V,21,FALSE)</f>
        <v>五股區</v>
      </c>
      <c r="M18" s="153" t="str">
        <f>VLOOKUP(A18,門市總表!A:B,2,FALSE)</f>
        <v>五股五工店</v>
      </c>
      <c r="Q18" s="115" t="s">
        <v>4951</v>
      </c>
      <c r="R18" s="115"/>
    </row>
    <row r="19" spans="1:18" ht="21.6" customHeight="1">
      <c r="A19" s="116" t="s">
        <v>80</v>
      </c>
      <c r="B19" s="116" t="str">
        <f>VLOOKUP(A19,門市總表!A:B,2,FALSE)</f>
        <v>五股訓練教室</v>
      </c>
      <c r="C19" s="146" t="str">
        <f>IF(COUNTIFS(IM!$F:$F,A19,IM!$AD:$AD,"O",IM!$X:$X,"&gt;="&amp;$M$1, IM!$X:$X,"&lt;"&amp;$M$2)&gt;0,"V","")</f>
        <v/>
      </c>
      <c r="D19" s="146" t="str">
        <f>IF(AND(C19&lt;&gt;"V", COUNTIFS(IM!$F:$F,A19, IM!$AD:$AD, "O", IM!$X:$X, "&gt;="&amp;$M$2, IM!$X:$X, "&lt;"&amp;$M$3)&gt;0), "V", "")</f>
        <v/>
      </c>
      <c r="E19" s="146" t="str">
        <f>IF(AND(C19&lt;&gt;"V",D19&lt;&gt;"V", COUNTIFS(IM!$F:$F, A19, IM!$AD:$AD, "O", IM!$X:$X, "&gt;="&amp;$M$3, IM!$X:$X, "&lt;"&amp;$N$3)&gt;0), "V", "")</f>
        <v/>
      </c>
      <c r="F19" s="116" t="str">
        <f>IF(VLOOKUP(A19,門市總表!A:F,6,FALSE)="新開","新開不保養",
IF(VLOOKUP(A19,門市總表!A:F,6,FALSE)="撤店","閉店不保養",IF(VLOOKUP(A19,門市總表!A:F,6,FALSE)="非當季","非當季",IF(VLOOKUP(A19,門市總表!A:F,6,FALSE)="跨季補單","跨季補單",
IF(COUNTBLANK(C19:E19)=3,"未保養","")
))))</f>
        <v>未保養</v>
      </c>
      <c r="G19" s="116" t="str">
        <f>IF(COUNTIFS('0919門市清單主檔'!C:C,B19,'0919門市清單主檔'!AF:AF,$H$3)=1,
    IF(COUNTIFS(IM!F:F,A19,IM!AC:AC,"*"&amp;$H$3&amp;"*") + COUNTIFS('0919門市清單主檔'!C:C,B19,'0919門市清單主檔'!AF:AF,$H$3) &gt; 1,
       "V","未完工"),"-")</f>
        <v>-</v>
      </c>
      <c r="H19" s="253" t="str">
        <f>IF(COUNTIFS('0919門市清單主檔'!C:C,B19,'0919門市清單主檔'!AG:AG,$H$4)=1,
    IF(COUNTIFS(IM!F:F,A19,IM!AC:AC,"*"&amp;$H$4&amp;"*") + COUNTIFS('0919門市清單主檔'!C:C,B19,'0919門市清單主檔'!AG:AG,$H$4) &gt; 1,
       "V","未完工"),"-")</f>
        <v>未完工</v>
      </c>
      <c r="I19" s="253" t="str">
        <f>IF(COUNTIFS('0919門市清單主檔'!C:C,B19,'0919門市清單主檔'!AH:AH,$H$5)=1,
    IF(COUNTIFS(IM!F:F,A19,IM!AC:AC,"*"&amp;$H$5&amp;"*") + COUNTIFS('0919門市清單主檔'!C:C,B19,'0919門市清單主檔'!AH:AH,$H$5) &gt; 1,
       "V","未完工"),"-")</f>
        <v>-</v>
      </c>
      <c r="J19" s="253" t="str">
        <f>IF(
    COUNTIFS('0919門市清單主檔'!C:C,B19,'0919門市清單主檔'!AC:AC,$H$2)=1,
    IF(
        COUNTIFS(
            IM!F:F,A19,
            IM!AC:AC,"*"&amp;$H$2&amp;"*",
            IM!X:X,"&gt;="&amp;$M$1,
            IM!X:X,"&lt;="&amp;$M$3
        )
        + COUNTIFS('0919門市清單主檔'!C:C,B19,'0919門市清單主檔'!AC:AC,$H$2)
        &gt;1,
        "V",
        "未完工"
    ),
    "-"
)</f>
        <v>-</v>
      </c>
      <c r="K19" s="122">
        <v>45876</v>
      </c>
      <c r="L19" s="116" t="str">
        <f>VLOOKUP(A19,'0919門市清單主檔'!B:V,21,FALSE)</f>
        <v>五股區</v>
      </c>
      <c r="M19" s="153" t="str">
        <f>VLOOKUP(A19,門市總表!A:B,2,FALSE)</f>
        <v>五股訓練教室</v>
      </c>
      <c r="Q19" s="115" t="s">
        <v>4951</v>
      </c>
      <c r="R19" s="115"/>
    </row>
    <row r="20" spans="1:18" ht="21.6" customHeight="1">
      <c r="A20" s="116">
        <v>5057</v>
      </c>
      <c r="B20" s="116" t="str">
        <f>VLOOKUP(A20,門市總表!A:B,2,FALSE)</f>
        <v>新莊中港店</v>
      </c>
      <c r="C20" s="146" t="str">
        <f>IF(COUNTIFS(IM!$F:$F,A20,IM!$AD:$AD,"O",IM!$X:$X,"&gt;="&amp;$M$1, IM!$X:$X,"&lt;"&amp;$M$2)&gt;0,"V","")</f>
        <v/>
      </c>
      <c r="D20" s="146" t="str">
        <f>IF(AND(C20&lt;&gt;"V", COUNTIFS(IM!$F:$F,A20, IM!$AD:$AD, "O", IM!$X:$X, "&gt;="&amp;$M$2, IM!$X:$X, "&lt;"&amp;$M$3)&gt;0), "V", "")</f>
        <v/>
      </c>
      <c r="E20" s="146" t="str">
        <f>IF(AND(C20&lt;&gt;"V",D20&lt;&gt;"V", COUNTIFS(IM!$F:$F, A20, IM!$AD:$AD, "O", IM!$X:$X, "&gt;="&amp;$M$3, IM!$X:$X, "&lt;"&amp;$N$3)&gt;0), "V", "")</f>
        <v/>
      </c>
      <c r="F20" s="116" t="str">
        <f>IF(VLOOKUP(A20,門市總表!A:F,6,FALSE)="新開","新開不保養",
IF(VLOOKUP(A20,門市總表!A:F,6,FALSE)="撤店","閉店不保養",IF(VLOOKUP(A20,門市總表!A:F,6,FALSE)="非當季","非當季",IF(VLOOKUP(A20,門市總表!A:F,6,FALSE)="跨季補單","跨季補單",
IF(COUNTBLANK(C20:E20)=3,"未保養","")
))))</f>
        <v>未保養</v>
      </c>
      <c r="G20" s="116" t="str">
        <f>IF(COUNTIFS('0919門市清單主檔'!C:C,B20,'0919門市清單主檔'!AF:AF,$H$3)=1,
    IF(COUNTIFS(IM!F:F,A20,IM!AC:AC,"*"&amp;$H$3&amp;"*") + COUNTIFS('0919門市清單主檔'!C:C,B20,'0919門市清單主檔'!AF:AF,$H$3) &gt; 1,
       "V","未完工"),"-")</f>
        <v>-</v>
      </c>
      <c r="H20" s="253" t="str">
        <f>IF(COUNTIFS('0919門市清單主檔'!C:C,B20,'0919門市清單主檔'!AG:AG,$H$4)=1,
    IF(COUNTIFS(IM!F:F,A20,IM!AC:AC,"*"&amp;$H$4&amp;"*") + COUNTIFS('0919門市清單主檔'!C:C,B20,'0919門市清單主檔'!AG:AG,$H$4) &gt; 1,
       "V","未完工"),"-")</f>
        <v>未完工</v>
      </c>
      <c r="I20" s="253" t="str">
        <f>IF(COUNTIFS('0919門市清單主檔'!C:C,B20,'0919門市清單主檔'!AH:AH,$H$5)=1,
    IF(COUNTIFS(IM!F:F,A20,IM!AC:AC,"*"&amp;$H$5&amp;"*") + COUNTIFS('0919門市清單主檔'!C:C,B20,'0919門市清單主檔'!AH:AH,$H$5) &gt; 1,
       "V","未完工"),"-")</f>
        <v>未完工</v>
      </c>
      <c r="J20" s="253" t="str">
        <f>IF(
    COUNTIFS('0919門市清單主檔'!C:C,B20,'0919門市清單主檔'!AC:AC,$H$2)=1,
    IF(
        COUNTIFS(
            IM!F:F,A20,
            IM!AC:AC,"*"&amp;$H$2&amp;"*",
            IM!X:X,"&gt;="&amp;$M$1,
            IM!X:X,"&lt;="&amp;$M$3
        )
        + COUNTIFS('0919門市清單主檔'!C:C,B20,'0919門市清單主檔'!AC:AC,$H$2)
        &gt;1,
        "V",
        "未完工"
    ),
    "-"
)</f>
        <v>-</v>
      </c>
      <c r="K20" s="122">
        <v>45894</v>
      </c>
      <c r="L20" s="116" t="str">
        <f>VLOOKUP(A20,'0919門市清單主檔'!B:V,21,FALSE)</f>
        <v>新莊區</v>
      </c>
      <c r="M20" s="153" t="str">
        <f>VLOOKUP(A20,門市總表!A:B,2,FALSE)</f>
        <v>新莊中港店</v>
      </c>
      <c r="Q20" s="115" t="s">
        <v>4951</v>
      </c>
      <c r="R20" s="120" t="s">
        <v>4952</v>
      </c>
    </row>
    <row r="21" spans="1:18" ht="21.6" customHeight="1">
      <c r="A21" s="116">
        <v>4856</v>
      </c>
      <c r="B21" s="116" t="str">
        <f>VLOOKUP(A21,門市總表!A:B,2,FALSE)</f>
        <v>新莊小胖店</v>
      </c>
      <c r="C21" s="146" t="str">
        <f>IF(COUNTIFS(IM!$F:$F,A21,IM!$AD:$AD,"O",IM!$X:$X,"&gt;="&amp;$M$1, IM!$X:$X,"&lt;"&amp;$M$2)&gt;0,"V","")</f>
        <v/>
      </c>
      <c r="D21" s="146" t="str">
        <f>IF(AND(C21&lt;&gt;"V", COUNTIFS(IM!$F:$F,A21, IM!$AD:$AD, "O", IM!$X:$X, "&gt;="&amp;$M$2, IM!$X:$X, "&lt;"&amp;$M$3)&gt;0), "V", "")</f>
        <v/>
      </c>
      <c r="E21" s="146" t="str">
        <f>IF(AND(C21&lt;&gt;"V",D21&lt;&gt;"V", COUNTIFS(IM!$F:$F, A21, IM!$AD:$AD, "O", IM!$X:$X, "&gt;="&amp;$M$3, IM!$X:$X, "&lt;"&amp;$N$3)&gt;0), "V", "")</f>
        <v/>
      </c>
      <c r="F21" s="116" t="str">
        <f>IF(VLOOKUP(A21,門市總表!A:F,6,FALSE)="新開","新開不保養",
IF(VLOOKUP(A21,門市總表!A:F,6,FALSE)="撤店","閉店不保養",IF(VLOOKUP(A21,門市總表!A:F,6,FALSE)="非當季","非當季",IF(VLOOKUP(A21,門市總表!A:F,6,FALSE)="跨季補單","跨季補單",
IF(COUNTBLANK(C21:E21)=3,"未保養","")
))))</f>
        <v>未保養</v>
      </c>
      <c r="G21" s="116" t="str">
        <f>IF(COUNTIFS('0919門市清單主檔'!C:C,B21,'0919門市清單主檔'!AF:AF,$H$3)=1,
    IF(COUNTIFS(IM!F:F,A21,IM!AC:AC,"*"&amp;$H$3&amp;"*") + COUNTIFS('0919門市清單主檔'!C:C,B21,'0919門市清單主檔'!AF:AF,$H$3) &gt; 1,
       "V","未完工"),"-")</f>
        <v>-</v>
      </c>
      <c r="H21" s="253" t="str">
        <f>IF(COUNTIFS('0919門市清單主檔'!C:C,B21,'0919門市清單主檔'!AG:AG,$H$4)=1,
    IF(COUNTIFS(IM!F:F,A21,IM!AC:AC,"*"&amp;$H$4&amp;"*") + COUNTIFS('0919門市清單主檔'!C:C,B21,'0919門市清單主檔'!AG:AG,$H$4) &gt; 1,
       "V","未完工"),"-")</f>
        <v>未完工</v>
      </c>
      <c r="I21" s="253" t="str">
        <f>IF(COUNTIFS('0919門市清單主檔'!C:C,B21,'0919門市清單主檔'!AH:AH,$H$5)=1,
    IF(COUNTIFS(IM!F:F,A21,IM!AC:AC,"*"&amp;$H$5&amp;"*") + COUNTIFS('0919門市清單主檔'!C:C,B21,'0919門市清單主檔'!AH:AH,$H$5) &gt; 1,
       "V","未完工"),"-")</f>
        <v>未完工</v>
      </c>
      <c r="J21" s="253" t="str">
        <f>IF(
    COUNTIFS('0919門市清單主檔'!C:C,B21,'0919門市清單主檔'!AC:AC,$H$2)=1,
    IF(
        COUNTIFS(
            IM!F:F,A21,
            IM!AC:AC,"*"&amp;$H$2&amp;"*",
            IM!X:X,"&gt;="&amp;$M$1,
            IM!X:X,"&lt;="&amp;$M$3
        )
        + COUNTIFS('0919門市清單主檔'!C:C,B21,'0919門市清單主檔'!AC:AC,$H$2)
        &gt;1,
        "V",
        "未完工"
    ),
    "-"
)</f>
        <v>-</v>
      </c>
      <c r="K21" s="122">
        <v>45883</v>
      </c>
      <c r="L21" s="116" t="str">
        <f>VLOOKUP(A21,'0919門市清單主檔'!B:V,21,FALSE)</f>
        <v>新莊區</v>
      </c>
      <c r="M21" s="153" t="str">
        <f>VLOOKUP(A21,門市總表!A:B,2,FALSE)</f>
        <v>新莊小胖店</v>
      </c>
      <c r="Q21" s="115" t="s">
        <v>4951</v>
      </c>
      <c r="R21" s="120" t="s">
        <v>4952</v>
      </c>
    </row>
    <row r="22" spans="1:18" ht="21.6" customHeight="1">
      <c r="A22" s="116">
        <v>4552</v>
      </c>
      <c r="B22" s="116" t="str">
        <f>VLOOKUP(A22,門市總表!A:B,2,FALSE)</f>
        <v>新莊福慧店</v>
      </c>
      <c r="C22" s="146" t="str">
        <f>IF(COUNTIFS(IM!$F:$F,A22,IM!$AD:$AD,"O",IM!$X:$X,"&gt;="&amp;$M$1, IM!$X:$X,"&lt;"&amp;$M$2)&gt;0,"V","")</f>
        <v/>
      </c>
      <c r="D22" s="146" t="str">
        <f>IF(AND(C22&lt;&gt;"V", COUNTIFS(IM!$F:$F,A22, IM!$AD:$AD, "O", IM!$X:$X, "&gt;="&amp;$M$2, IM!$X:$X, "&lt;"&amp;$M$3)&gt;0), "V", "")</f>
        <v/>
      </c>
      <c r="E22" s="146" t="str">
        <f>IF(AND(C22&lt;&gt;"V",D22&lt;&gt;"V", COUNTIFS(IM!$F:$F, A22, IM!$AD:$AD, "O", IM!$X:$X, "&gt;="&amp;$M$3, IM!$X:$X, "&lt;"&amp;$N$3)&gt;0), "V", "")</f>
        <v/>
      </c>
      <c r="F22" s="116" t="str">
        <f>IF(VLOOKUP(A22,門市總表!A:F,6,FALSE)="新開","新開不保養",
IF(VLOOKUP(A22,門市總表!A:F,6,FALSE)="撤店","閉店不保養",IF(VLOOKUP(A22,門市總表!A:F,6,FALSE)="非當季","非當季",IF(VLOOKUP(A22,門市總表!A:F,6,FALSE)="跨季補單","跨季補單",
IF(COUNTBLANK(C22:E22)=3,"未保養","")
))))</f>
        <v>未保養</v>
      </c>
      <c r="G22" s="116" t="str">
        <f>IF(COUNTIFS('0919門市清單主檔'!C:C,B22,'0919門市清單主檔'!AF:AF,$H$3)=1,
    IF(COUNTIFS(IM!F:F,A22,IM!AC:AC,"*"&amp;$H$3&amp;"*") + COUNTIFS('0919門市清單主檔'!C:C,B22,'0919門市清單主檔'!AF:AF,$H$3) &gt; 1,
       "V","未完工"),"-")</f>
        <v>-</v>
      </c>
      <c r="H22" s="253" t="str">
        <f>IF(COUNTIFS('0919門市清單主檔'!C:C,B22,'0919門市清單主檔'!AG:AG,$H$4)=1,
    IF(COUNTIFS(IM!F:F,A22,IM!AC:AC,"*"&amp;$H$4&amp;"*") + COUNTIFS('0919門市清單主檔'!C:C,B22,'0919門市清單主檔'!AG:AG,$H$4) &gt; 1,
       "V","未完工"),"-")</f>
        <v>未完工</v>
      </c>
      <c r="I22" s="253" t="str">
        <f>IF(COUNTIFS('0919門市清單主檔'!C:C,B22,'0919門市清單主檔'!AH:AH,$H$5)=1,
    IF(COUNTIFS(IM!F:F,A22,IM!AC:AC,"*"&amp;$H$5&amp;"*") + COUNTIFS('0919門市清單主檔'!C:C,B22,'0919門市清單主檔'!AH:AH,$H$5) &gt; 1,
       "V","未完工"),"-")</f>
        <v>-</v>
      </c>
      <c r="J22" s="253" t="str">
        <f>IF(
    COUNTIFS('0919門市清單主檔'!C:C,B22,'0919門市清單主檔'!AC:AC,$H$2)=1,
    IF(
        COUNTIFS(
            IM!F:F,A22,
            IM!AC:AC,"*"&amp;$H$2&amp;"*",
            IM!X:X,"&gt;="&amp;$M$1,
            IM!X:X,"&lt;="&amp;$M$3
        )
        + COUNTIFS('0919門市清單主檔'!C:C,B22,'0919門市清單主檔'!AC:AC,$H$2)
        &gt;1,
        "V",
        "未完工"
    ),
    "-"
)</f>
        <v>-</v>
      </c>
      <c r="K22" s="122">
        <v>45923</v>
      </c>
      <c r="L22" s="116" t="str">
        <f>VLOOKUP(A22,'0919門市清單主檔'!B:V,21,FALSE)</f>
        <v>新莊區</v>
      </c>
      <c r="M22" s="153" t="str">
        <f>VLOOKUP(A22,門市總表!A:B,2,FALSE)</f>
        <v>新莊福慧店</v>
      </c>
      <c r="Q22" s="115" t="s">
        <v>4951</v>
      </c>
      <c r="R22" s="120" t="s">
        <v>4952</v>
      </c>
    </row>
    <row r="23" spans="1:18" ht="21.6" customHeight="1">
      <c r="A23" s="116">
        <v>4144</v>
      </c>
      <c r="B23" s="116" t="str">
        <f>VLOOKUP(A23,門市總表!A:B,2,FALSE)</f>
        <v>新莊頭前店</v>
      </c>
      <c r="C23" s="146" t="str">
        <f>IF(COUNTIFS(IM!$F:$F,A23,IM!$AD:$AD,"O",IM!$X:$X,"&gt;="&amp;$M$1, IM!$X:$X,"&lt;"&amp;$M$2)&gt;0,"V","")</f>
        <v/>
      </c>
      <c r="D23" s="146" t="str">
        <f>IF(AND(C23&lt;&gt;"V", COUNTIFS(IM!$F:$F,A23, IM!$AD:$AD, "O", IM!$X:$X, "&gt;="&amp;$M$2, IM!$X:$X, "&lt;"&amp;$M$3)&gt;0), "V", "")</f>
        <v/>
      </c>
      <c r="E23" s="146" t="str">
        <f>IF(AND(C23&lt;&gt;"V",D23&lt;&gt;"V", COUNTIFS(IM!$F:$F, A23, IM!$AD:$AD, "O", IM!$X:$X, "&gt;="&amp;$M$3, IM!$X:$X, "&lt;"&amp;$N$3)&gt;0), "V", "")</f>
        <v/>
      </c>
      <c r="F23" s="116" t="str">
        <f>IF(VLOOKUP(A23,門市總表!A:F,6,FALSE)="新開","新開不保養",
IF(VLOOKUP(A23,門市總表!A:F,6,FALSE)="撤店","閉店不保養",IF(VLOOKUP(A23,門市總表!A:F,6,FALSE)="非當季","非當季",IF(VLOOKUP(A23,門市總表!A:F,6,FALSE)="跨季補單","跨季補單",
IF(COUNTBLANK(C23:E23)=3,"未保養","")
))))</f>
        <v>未保養</v>
      </c>
      <c r="G23" s="116" t="str">
        <f>IF(COUNTIFS('0919門市清單主檔'!C:C,B23,'0919門市清單主檔'!AF:AF,$H$3)=1,
    IF(COUNTIFS(IM!F:F,A23,IM!AC:AC,"*"&amp;$H$3&amp;"*") + COUNTIFS('0919門市清單主檔'!C:C,B23,'0919門市清單主檔'!AF:AF,$H$3) &gt; 1,
       "V","未完工"),"-")</f>
        <v>-</v>
      </c>
      <c r="H23" s="253" t="str">
        <f>IF(COUNTIFS('0919門市清單主檔'!C:C,B23,'0919門市清單主檔'!AG:AG,$H$4)=1,
    IF(COUNTIFS(IM!F:F,A23,IM!AC:AC,"*"&amp;$H$4&amp;"*") + COUNTIFS('0919門市清單主檔'!C:C,B23,'0919門市清單主檔'!AG:AG,$H$4) &gt; 1,
       "V","未完工"),"-")</f>
        <v>未完工</v>
      </c>
      <c r="I23" s="253" t="str">
        <f>IF(COUNTIFS('0919門市清單主檔'!C:C,B23,'0919門市清單主檔'!AH:AH,$H$5)=1,
    IF(COUNTIFS(IM!F:F,A23,IM!AC:AC,"*"&amp;$H$5&amp;"*") + COUNTIFS('0919門市清單主檔'!C:C,B23,'0919門市清單主檔'!AH:AH,$H$5) &gt; 1,
       "V","未完工"),"-")</f>
        <v>未完工</v>
      </c>
      <c r="J23" s="253" t="str">
        <f>IF(
    COUNTIFS('0919門市清單主檔'!C:C,B23,'0919門市清單主檔'!AC:AC,$H$2)=1,
    IF(
        COUNTIFS(
            IM!F:F,A23,
            IM!AC:AC,"*"&amp;$H$2&amp;"*",
            IM!X:X,"&gt;="&amp;$M$1,
            IM!X:X,"&lt;="&amp;$M$3
        )
        + COUNTIFS('0919門市清單主檔'!C:C,B23,'0919門市清單主檔'!AC:AC,$H$2)
        &gt;1,
        "V",
        "未完工"
    ),
    "-"
)</f>
        <v>-</v>
      </c>
      <c r="K23" s="122">
        <v>45876</v>
      </c>
      <c r="L23" s="116" t="str">
        <f>VLOOKUP(A23,'0919門市清單主檔'!B:V,21,FALSE)</f>
        <v>新莊區</v>
      </c>
      <c r="M23" s="153" t="str">
        <f>VLOOKUP(A23,門市總表!A:B,2,FALSE)</f>
        <v>新莊頭前店</v>
      </c>
      <c r="Q23" s="115" t="s">
        <v>4951</v>
      </c>
      <c r="R23" s="115"/>
    </row>
    <row r="24" spans="1:18" ht="21.6" customHeight="1">
      <c r="A24" s="116">
        <v>3380</v>
      </c>
      <c r="B24" s="116" t="str">
        <f>VLOOKUP(A24,門市總表!A:B,2,FALSE)</f>
        <v>北縣莊勝店</v>
      </c>
      <c r="C24" s="146" t="str">
        <f>IF(COUNTIFS(IM!$F:$F,A24,IM!$AD:$AD,"O",IM!$X:$X,"&gt;="&amp;$M$1, IM!$X:$X,"&lt;"&amp;$M$2)&gt;0,"V","")</f>
        <v/>
      </c>
      <c r="D24" s="146" t="str">
        <f>IF(AND(C24&lt;&gt;"V", COUNTIFS(IM!$F:$F,A24, IM!$AD:$AD, "O", IM!$X:$X, "&gt;="&amp;$M$2, IM!$X:$X, "&lt;"&amp;$M$3)&gt;0), "V", "")</f>
        <v/>
      </c>
      <c r="E24" s="146" t="str">
        <f>IF(AND(C24&lt;&gt;"V",D24&lt;&gt;"V", COUNTIFS(IM!$F:$F, A24, IM!$AD:$AD, "O", IM!$X:$X, "&gt;="&amp;$M$3, IM!$X:$X, "&lt;"&amp;$N$3)&gt;0), "V", "")</f>
        <v/>
      </c>
      <c r="F24" s="116" t="str">
        <f>IF(VLOOKUP(A24,門市總表!A:F,6,FALSE)="新開","新開不保養",
IF(VLOOKUP(A24,門市總表!A:F,6,FALSE)="撤店","閉店不保養",IF(VLOOKUP(A24,門市總表!A:F,6,FALSE)="非當季","非當季",IF(VLOOKUP(A24,門市總表!A:F,6,FALSE)="跨季補單","跨季補單",
IF(COUNTBLANK(C24:E24)=3,"未保養","")
))))</f>
        <v>未保養</v>
      </c>
      <c r="G24" s="116" t="str">
        <f>IF(COUNTIFS('0919門市清單主檔'!C:C,B24,'0919門市清單主檔'!AF:AF,$H$3)=1,
    IF(COUNTIFS(IM!F:F,A24,IM!AC:AC,"*"&amp;$H$3&amp;"*") + COUNTIFS('0919門市清單主檔'!C:C,B24,'0919門市清單主檔'!AF:AF,$H$3) &gt; 1,
       "V","未完工"),"-")</f>
        <v>-</v>
      </c>
      <c r="H24" s="253" t="str">
        <f>IF(COUNTIFS('0919門市清單主檔'!C:C,B24,'0919門市清單主檔'!AG:AG,$H$4)=1,
    IF(COUNTIFS(IM!F:F,A24,IM!AC:AC,"*"&amp;$H$4&amp;"*") + COUNTIFS('0919門市清單主檔'!C:C,B24,'0919門市清單主檔'!AG:AG,$H$4) &gt; 1,
       "V","未完工"),"-")</f>
        <v>V</v>
      </c>
      <c r="I24" s="253" t="str">
        <f>IF(COUNTIFS('0919門市清單主檔'!C:C,B24,'0919門市清單主檔'!AH:AH,$H$5)=1,
    IF(COUNTIFS(IM!F:F,A24,IM!AC:AC,"*"&amp;$H$5&amp;"*") + COUNTIFS('0919門市清單主檔'!C:C,B24,'0919門市清單主檔'!AH:AH,$H$5) &gt; 1,
       "V","未完工"),"-")</f>
        <v>未完工</v>
      </c>
      <c r="J24" s="253" t="str">
        <f>IF(
    COUNTIFS('0919門市清單主檔'!C:C,B24,'0919門市清單主檔'!AC:AC,$H$2)=1,
    IF(
        COUNTIFS(
            IM!F:F,A24,
            IM!AC:AC,"*"&amp;$H$2&amp;"*",
            IM!X:X,"&gt;="&amp;$M$1,
            IM!X:X,"&lt;="&amp;$M$3
        )
        + COUNTIFS('0919門市清單主檔'!C:C,B24,'0919門市清單主檔'!AC:AC,$H$2)
        &gt;1,
        "V",
        "未完工"
    ),
    "-"
)</f>
        <v>-</v>
      </c>
      <c r="K24" s="122">
        <v>45852</v>
      </c>
      <c r="L24" s="116" t="str">
        <f>VLOOKUP(A24,'0919門市清單主檔'!B:V,21,FALSE)</f>
        <v>新莊區</v>
      </c>
      <c r="M24" s="153" t="str">
        <f>VLOOKUP(A24,門市總表!A:B,2,FALSE)</f>
        <v>北縣莊勝店</v>
      </c>
      <c r="Q24" s="115" t="s">
        <v>4951</v>
      </c>
      <c r="R24" s="115"/>
    </row>
    <row r="25" spans="1:18" ht="21.6" customHeight="1">
      <c r="A25" s="116">
        <v>2362</v>
      </c>
      <c r="B25" s="116" t="str">
        <f>VLOOKUP(A25,門市總表!A:B,2,FALSE)</f>
        <v>新莊化成店</v>
      </c>
      <c r="C25" s="146" t="str">
        <f>IF(COUNTIFS(IM!$F:$F,A25,IM!$AD:$AD,"O",IM!$X:$X,"&gt;="&amp;$M$1, IM!$X:$X,"&lt;"&amp;$M$2)&gt;0,"V","")</f>
        <v/>
      </c>
      <c r="D25" s="146" t="str">
        <f>IF(AND(C25&lt;&gt;"V", COUNTIFS(IM!$F:$F,A25, IM!$AD:$AD, "O", IM!$X:$X, "&gt;="&amp;$M$2, IM!$X:$X, "&lt;"&amp;$M$3)&gt;0), "V", "")</f>
        <v/>
      </c>
      <c r="E25" s="146" t="str">
        <f>IF(AND(C25&lt;&gt;"V",D25&lt;&gt;"V", COUNTIFS(IM!$F:$F, A25, IM!$AD:$AD, "O", IM!$X:$X, "&gt;="&amp;$M$3, IM!$X:$X, "&lt;"&amp;$N$3)&gt;0), "V", "")</f>
        <v/>
      </c>
      <c r="F25" s="116" t="str">
        <f>IF(VLOOKUP(A25,門市總表!A:F,6,FALSE)="新開","新開不保養",
IF(VLOOKUP(A25,門市總表!A:F,6,FALSE)="撤店","閉店不保養",IF(VLOOKUP(A25,門市總表!A:F,6,FALSE)="非當季","非當季",IF(VLOOKUP(A25,門市總表!A:F,6,FALSE)="跨季補單","跨季補單",
IF(COUNTBLANK(C25:E25)=3,"未保養","")
))))</f>
        <v>未保養</v>
      </c>
      <c r="G25" s="116" t="str">
        <f>IF(COUNTIFS('0919門市清單主檔'!C:C,B25,'0919門市清單主檔'!AF:AF,$H$3)=1,
    IF(COUNTIFS(IM!F:F,A25,IM!AC:AC,"*"&amp;$H$3&amp;"*") + COUNTIFS('0919門市清單主檔'!C:C,B25,'0919門市清單主檔'!AF:AF,$H$3) &gt; 1,
       "V","未完工"),"-")</f>
        <v>-</v>
      </c>
      <c r="H25" s="253" t="str">
        <f>IF(COUNTIFS('0919門市清單主檔'!C:C,B25,'0919門市清單主檔'!AG:AG,$H$4)=1,
    IF(COUNTIFS(IM!F:F,A25,IM!AC:AC,"*"&amp;$H$4&amp;"*") + COUNTIFS('0919門市清單主檔'!C:C,B25,'0919門市清單主檔'!AG:AG,$H$4) &gt; 1,
       "V","未完工"),"-")</f>
        <v>V</v>
      </c>
      <c r="I25" s="253" t="str">
        <f>IF(COUNTIFS('0919門市清單主檔'!C:C,B25,'0919門市清單主檔'!AH:AH,$H$5)=1,
    IF(COUNTIFS(IM!F:F,A25,IM!AC:AC,"*"&amp;$H$5&amp;"*") + COUNTIFS('0919門市清單主檔'!C:C,B25,'0919門市清單主檔'!AH:AH,$H$5) &gt; 1,
       "V","未完工"),"-")</f>
        <v>未完工</v>
      </c>
      <c r="J25" s="253" t="str">
        <f>IF(
    COUNTIFS('0919門市清單主檔'!C:C,B25,'0919門市清單主檔'!AC:AC,$H$2)=1,
    IF(
        COUNTIFS(
            IM!F:F,A25,
            IM!AC:AC,"*"&amp;$H$2&amp;"*",
            IM!X:X,"&gt;="&amp;$M$1,
            IM!X:X,"&lt;="&amp;$M$3
        )
        + COUNTIFS('0919門市清單主檔'!C:C,B25,'0919門市清單主檔'!AC:AC,$H$2)
        &gt;1,
        "V",
        "未完工"
    ),
    "-"
)</f>
        <v>-</v>
      </c>
      <c r="K25" s="122">
        <v>45908</v>
      </c>
      <c r="L25" s="116" t="str">
        <f>VLOOKUP(A25,'0919門市清單主檔'!B:V,21,FALSE)</f>
        <v>新莊區</v>
      </c>
      <c r="M25" s="153" t="str">
        <f>VLOOKUP(A25,門市總表!A:B,2,FALSE)</f>
        <v>新莊化成店</v>
      </c>
      <c r="Q25" s="115" t="s">
        <v>4951</v>
      </c>
      <c r="R25" s="115"/>
    </row>
    <row r="26" spans="1:18" ht="21.6" customHeight="1">
      <c r="A26" s="116" t="s">
        <v>68</v>
      </c>
      <c r="B26" s="116" t="str">
        <f>VLOOKUP(A26,門市總表!A:B,2,FALSE)</f>
        <v>田倉新樹店</v>
      </c>
      <c r="C26" s="146" t="str">
        <f>IF(COUNTIFS(IM!$F:$F,A26,IM!$AD:$AD,"O",IM!$X:$X,"&gt;="&amp;$M$1, IM!$X:$X,"&lt;"&amp;$M$2)&gt;0,"V","")</f>
        <v/>
      </c>
      <c r="D26" s="146" t="str">
        <f>IF(AND(C26&lt;&gt;"V", COUNTIFS(IM!$F:$F,A26, IM!$AD:$AD, "O", IM!$X:$X, "&gt;="&amp;$M$2, IM!$X:$X, "&lt;"&amp;$M$3)&gt;0), "V", "")</f>
        <v/>
      </c>
      <c r="E26" s="146" t="str">
        <f>IF(AND(C26&lt;&gt;"V",D26&lt;&gt;"V", COUNTIFS(IM!$F:$F, A26, IM!$AD:$AD, "O", IM!$X:$X, "&gt;="&amp;$M$3, IM!$X:$X, "&lt;"&amp;$N$3)&gt;0), "V", "")</f>
        <v/>
      </c>
      <c r="F26" s="116" t="str">
        <f>IF(VLOOKUP(A26,門市總表!A:F,6,FALSE)="新開","新開不保養",
IF(VLOOKUP(A26,門市總表!A:F,6,FALSE)="撤店","閉店不保養",IF(VLOOKUP(A26,門市總表!A:F,6,FALSE)="非當季","非當季",IF(VLOOKUP(A26,門市總表!A:F,6,FALSE)="跨季補單","跨季補單",
IF(COUNTBLANK(C26:E26)=3,"未保養","")
))))</f>
        <v>未保養</v>
      </c>
      <c r="G26" s="116" t="str">
        <f>IF(COUNTIFS('0919門市清單主檔'!C:C,B26,'0919門市清單主檔'!AF:AF,$H$3)=1,
    IF(COUNTIFS(IM!F:F,A26,IM!AC:AC,"*"&amp;$H$3&amp;"*") + COUNTIFS('0919門市清單主檔'!C:C,B26,'0919門市清單主檔'!AF:AF,$H$3) &gt; 1,
       "V","未完工"),"-")</f>
        <v>-</v>
      </c>
      <c r="H26" s="253" t="str">
        <f>IF(COUNTIFS('0919門市清單主檔'!C:C,B26,'0919門市清單主檔'!AG:AG,$H$4)=1,
    IF(COUNTIFS(IM!F:F,A26,IM!AC:AC,"*"&amp;$H$4&amp;"*") + COUNTIFS('0919門市清單主檔'!C:C,B26,'0919門市清單主檔'!AG:AG,$H$4) &gt; 1,
       "V","未完工"),"-")</f>
        <v>-</v>
      </c>
      <c r="I26" s="253" t="str">
        <f>IF(COUNTIFS('0919門市清單主檔'!C:C,B26,'0919門市清單主檔'!AH:AH,$H$5)=1,
    IF(COUNTIFS(IM!F:F,A26,IM!AC:AC,"*"&amp;$H$5&amp;"*") + COUNTIFS('0919門市清單主檔'!C:C,B26,'0919門市清單主檔'!AH:AH,$H$5) &gt; 1,
       "V","未完工"),"-")</f>
        <v>-</v>
      </c>
      <c r="J26" s="253" t="str">
        <f>IF(
    COUNTIFS('0919門市清單主檔'!C:C,B26,'0919門市清單主檔'!AC:AC,$H$2)=1,
    IF(
        COUNTIFS(
            IM!F:F,A26,
            IM!AC:AC,"*"&amp;$H$2&amp;"*",
            IM!X:X,"&gt;="&amp;$M$1,
            IM!X:X,"&lt;="&amp;$M$3
        )
        + COUNTIFS('0919門市清單主檔'!C:C,B26,'0919門市清單主檔'!AC:AC,$H$2)
        &gt;1,
        "V",
        "未完工"
    ),
    "-"
)</f>
        <v>-</v>
      </c>
      <c r="K26" s="122">
        <v>45910</v>
      </c>
      <c r="L26" s="116" t="str">
        <f>VLOOKUP(A26,'0919門市清單主檔'!B:V,21,FALSE)</f>
        <v>新莊區</v>
      </c>
      <c r="M26" s="153" t="str">
        <f>VLOOKUP(A26,門市總表!A:B,2,FALSE)</f>
        <v>田倉新樹店</v>
      </c>
      <c r="Q26" s="115"/>
      <c r="R26" s="115"/>
    </row>
    <row r="27" spans="1:18" ht="21.6" customHeight="1">
      <c r="A27" s="116">
        <v>5291</v>
      </c>
      <c r="B27" s="116" t="str">
        <f>VLOOKUP(A27,門市總表!A:B,2,FALSE)</f>
        <v>新莊國家置地</v>
      </c>
      <c r="C27" s="146" t="str">
        <f>IF(COUNTIFS(IM!$F:$F,A27,IM!$AD:$AD,"O",IM!$X:$X,"&gt;="&amp;$M$1, IM!$X:$X,"&lt;"&amp;$M$2)&gt;0,"V","")</f>
        <v/>
      </c>
      <c r="D27" s="146" t="str">
        <f>IF(AND(C27&lt;&gt;"V", COUNTIFS(IM!$F:$F,A27, IM!$AD:$AD, "O", IM!$X:$X, "&gt;="&amp;$M$2, IM!$X:$X, "&lt;"&amp;$M$3)&gt;0), "V", "")</f>
        <v/>
      </c>
      <c r="E27" s="146" t="str">
        <f>IF(AND(C27&lt;&gt;"V",D27&lt;&gt;"V", COUNTIFS(IM!$F:$F, A27, IM!$AD:$AD, "O", IM!$X:$X, "&gt;="&amp;$M$3, IM!$X:$X, "&lt;"&amp;$N$3)&gt;0), "V", "")</f>
        <v/>
      </c>
      <c r="F27" s="116" t="str">
        <f>IF(VLOOKUP(A27,門市總表!A:F,6,FALSE)="新開","新開不保養",
IF(VLOOKUP(A27,門市總表!A:F,6,FALSE)="撤店","閉店不保養",IF(VLOOKUP(A27,門市總表!A:F,6,FALSE)="非當季","非當季",IF(VLOOKUP(A27,門市總表!A:F,6,FALSE)="跨季補單","跨季補單",
IF(COUNTBLANK(C27:E27)=3,"未保養","")
))))</f>
        <v>未保養</v>
      </c>
      <c r="G27" s="116" t="str">
        <f>IF(COUNTIFS('0919門市清單主檔'!C:C,B27,'0919門市清單主檔'!AF:AF,$H$3)=1,
    IF(COUNTIFS(IM!F:F,A27,IM!AC:AC,"*"&amp;$H$3&amp;"*") + COUNTIFS('0919門市清單主檔'!C:C,B27,'0919門市清單主檔'!AF:AF,$H$3) &gt; 1,
       "V","未完工"),"-")</f>
        <v>-</v>
      </c>
      <c r="H27" s="253" t="str">
        <f>IF(COUNTIFS('0919門市清單主檔'!C:C,B27,'0919門市清單主檔'!AG:AG,$H$4)=1,
    IF(COUNTIFS(IM!F:F,A27,IM!AC:AC,"*"&amp;$H$4&amp;"*") + COUNTIFS('0919門市清單主檔'!C:C,B27,'0919門市清單主檔'!AG:AG,$H$4) &gt; 1,
       "V","未完工"),"-")</f>
        <v>V</v>
      </c>
      <c r="I27" s="253" t="str">
        <f>IF(COUNTIFS('0919門市清單主檔'!C:C,B27,'0919門市清單主檔'!AH:AH,$H$5)=1,
    IF(COUNTIFS(IM!F:F,A27,IM!AC:AC,"*"&amp;$H$5&amp;"*") + COUNTIFS('0919門市清單主檔'!C:C,B27,'0919門市清單主檔'!AH:AH,$H$5) &gt; 1,
       "V","未完工"),"-")</f>
        <v>未完工</v>
      </c>
      <c r="J27" s="253" t="str">
        <f>IF(
    COUNTIFS('0919門市清單主檔'!C:C,B27,'0919門市清單主檔'!AC:AC,$H$2)=1,
    IF(
        COUNTIFS(
            IM!F:F,A27,
            IM!AC:AC,"*"&amp;$H$2&amp;"*",
            IM!X:X,"&gt;="&amp;$M$1,
            IM!X:X,"&lt;="&amp;$M$3
        )
        + COUNTIFS('0919門市清單主檔'!C:C,B27,'0919門市清單主檔'!AC:AC,$H$2)
        &gt;1,
        "V",
        "未完工"
    ),
    "-"
)</f>
        <v>-</v>
      </c>
      <c r="K27" s="122">
        <v>45908</v>
      </c>
      <c r="L27" s="116" t="str">
        <f>VLOOKUP(A27,'0919門市清單主檔'!B:V,21,FALSE)</f>
        <v>新莊區</v>
      </c>
      <c r="M27" s="153" t="str">
        <f>VLOOKUP(A27,門市總表!A:B,2,FALSE)</f>
        <v>新莊國家置地</v>
      </c>
      <c r="Q27" s="115"/>
      <c r="R27" s="120" t="s">
        <v>4952</v>
      </c>
    </row>
    <row r="28" spans="1:18" ht="21.6" customHeight="1">
      <c r="A28" s="116">
        <v>4005</v>
      </c>
      <c r="B28" s="116" t="str">
        <f>VLOOKUP(A28,門市總表!A:B,2,FALSE)</f>
        <v>新莊雙鳳店</v>
      </c>
      <c r="C28" s="146" t="str">
        <f>IF(COUNTIFS(IM!$F:$F,A28,IM!$AD:$AD,"O",IM!$X:$X,"&gt;="&amp;$M$1, IM!$X:$X,"&lt;"&amp;$M$2)&gt;0,"V","")</f>
        <v/>
      </c>
      <c r="D28" s="146" t="str">
        <f>IF(AND(C28&lt;&gt;"V", COUNTIFS(IM!$F:$F,A28, IM!$AD:$AD, "O", IM!$X:$X, "&gt;="&amp;$M$2, IM!$X:$X, "&lt;"&amp;$M$3)&gt;0), "V", "")</f>
        <v/>
      </c>
      <c r="E28" s="146" t="str">
        <f>IF(AND(C28&lt;&gt;"V",D28&lt;&gt;"V", COUNTIFS(IM!$F:$F, A28, IM!$AD:$AD, "O", IM!$X:$X, "&gt;="&amp;$M$3, IM!$X:$X, "&lt;"&amp;$N$3)&gt;0), "V", "")</f>
        <v/>
      </c>
      <c r="F28" s="116" t="str">
        <f>IF(VLOOKUP(A28,門市總表!A:F,6,FALSE)="新開","新開不保養",
IF(VLOOKUP(A28,門市總表!A:F,6,FALSE)="撤店","閉店不保養",IF(VLOOKUP(A28,門市總表!A:F,6,FALSE)="非當季","非當季",IF(VLOOKUP(A28,門市總表!A:F,6,FALSE)="跨季補單","跨季補單",
IF(COUNTBLANK(C28:E28)=3,"未保養","")
))))</f>
        <v>未保養</v>
      </c>
      <c r="G28" s="116" t="str">
        <f>IF(COUNTIFS('0919門市清單主檔'!C:C,B28,'0919門市清單主檔'!AF:AF,$H$3)=1,
    IF(COUNTIFS(IM!F:F,A28,IM!AC:AC,"*"&amp;$H$3&amp;"*") + COUNTIFS('0919門市清單主檔'!C:C,B28,'0919門市清單主檔'!AF:AF,$H$3) &gt; 1,
       "V","未完工"),"-")</f>
        <v>-</v>
      </c>
      <c r="H28" s="253" t="str">
        <f>IF(COUNTIFS('0919門市清單主檔'!C:C,B28,'0919門市清單主檔'!AG:AG,$H$4)=1,
    IF(COUNTIFS(IM!F:F,A28,IM!AC:AC,"*"&amp;$H$4&amp;"*") + COUNTIFS('0919門市清單主檔'!C:C,B28,'0919門市清單主檔'!AG:AG,$H$4) &gt; 1,
       "V","未完工"),"-")</f>
        <v>V</v>
      </c>
      <c r="I28" s="253" t="str">
        <f>IF(COUNTIFS('0919門市清單主檔'!C:C,B28,'0919門市清單主檔'!AH:AH,$H$5)=1,
    IF(COUNTIFS(IM!F:F,A28,IM!AC:AC,"*"&amp;$H$5&amp;"*") + COUNTIFS('0919門市清單主檔'!C:C,B28,'0919門市清單主檔'!AH:AH,$H$5) &gt; 1,
       "V","未完工"),"-")</f>
        <v>未完工</v>
      </c>
      <c r="J28" s="253" t="str">
        <f>IF(
    COUNTIFS('0919門市清單主檔'!C:C,B28,'0919門市清單主檔'!AC:AC,$H$2)=1,
    IF(
        COUNTIFS(
            IM!F:F,A28,
            IM!AC:AC,"*"&amp;$H$2&amp;"*",
            IM!X:X,"&gt;="&amp;$M$1,
            IM!X:X,"&lt;="&amp;$M$3
        )
        + COUNTIFS('0919門市清單主檔'!C:C,B28,'0919門市清單主檔'!AC:AC,$H$2)
        &gt;1,
        "V",
        "未完工"
    ),
    "-"
)</f>
        <v>-</v>
      </c>
      <c r="K28" s="122">
        <v>45908</v>
      </c>
      <c r="L28" s="116" t="str">
        <f>VLOOKUP(A28,'0919門市清單主檔'!B:V,21,FALSE)</f>
        <v>新莊區</v>
      </c>
      <c r="M28" s="153" t="str">
        <f>VLOOKUP(A28,門市總表!A:B,2,FALSE)</f>
        <v>新莊雙鳳店</v>
      </c>
      <c r="Q28" s="115"/>
      <c r="R28" s="120" t="s">
        <v>4952</v>
      </c>
    </row>
    <row r="29" spans="1:18" ht="21.6" customHeight="1">
      <c r="A29" s="116" t="s">
        <v>70</v>
      </c>
      <c r="B29" s="116" t="str">
        <f>VLOOKUP(A29,門市總表!A:B,2,FALSE)</f>
        <v>田倉民安店</v>
      </c>
      <c r="C29" s="146" t="str">
        <f>IF(COUNTIFS(IM!$F:$F,A29,IM!$AD:$AD,"O",IM!$X:$X,"&gt;="&amp;$M$1, IM!$X:$X,"&lt;"&amp;$M$2)&gt;0,"V","")</f>
        <v/>
      </c>
      <c r="D29" s="146" t="str">
        <f>IF(AND(C29&lt;&gt;"V", COUNTIFS(IM!$F:$F,A29, IM!$AD:$AD, "O", IM!$X:$X, "&gt;="&amp;$M$2, IM!$X:$X, "&lt;"&amp;$M$3)&gt;0), "V", "")</f>
        <v/>
      </c>
      <c r="E29" s="146" t="str">
        <f>IF(AND(C29&lt;&gt;"V",D29&lt;&gt;"V", COUNTIFS(IM!$F:$F, A29, IM!$AD:$AD, "O", IM!$X:$X, "&gt;="&amp;$M$3, IM!$X:$X, "&lt;"&amp;$N$3)&gt;0), "V", "")</f>
        <v/>
      </c>
      <c r="F29" s="116" t="str">
        <f>IF(VLOOKUP(A29,門市總表!A:F,6,FALSE)="新開","新開不保養",
IF(VLOOKUP(A29,門市總表!A:F,6,FALSE)="撤店","閉店不保養",IF(VLOOKUP(A29,門市總表!A:F,6,FALSE)="非當季","非當季",IF(VLOOKUP(A29,門市總表!A:F,6,FALSE)="跨季補單","跨季補單",
IF(COUNTBLANK(C29:E29)=3,"未保養","")
))))</f>
        <v>未保養</v>
      </c>
      <c r="G29" s="116" t="str">
        <f>IF(COUNTIFS('0919門市清單主檔'!C:C,B29,'0919門市清單主檔'!AF:AF,$H$3)=1,
    IF(COUNTIFS(IM!F:F,A29,IM!AC:AC,"*"&amp;$H$3&amp;"*") + COUNTIFS('0919門市清單主檔'!C:C,B29,'0919門市清單主檔'!AF:AF,$H$3) &gt; 1,
       "V","未完工"),"-")</f>
        <v>-</v>
      </c>
      <c r="H29" s="253" t="str">
        <f>IF(COUNTIFS('0919門市清單主檔'!C:C,B29,'0919門市清單主檔'!AG:AG,$H$4)=1,
    IF(COUNTIFS(IM!F:F,A29,IM!AC:AC,"*"&amp;$H$4&amp;"*") + COUNTIFS('0919門市清單主檔'!C:C,B29,'0919門市清單主檔'!AG:AG,$H$4) &gt; 1,
       "V","未完工"),"-")</f>
        <v>-</v>
      </c>
      <c r="I29" s="253" t="str">
        <f>IF(COUNTIFS('0919門市清單主檔'!C:C,B29,'0919門市清單主檔'!AH:AH,$H$5)=1,
    IF(COUNTIFS(IM!F:F,A29,IM!AC:AC,"*"&amp;$H$5&amp;"*") + COUNTIFS('0919門市清單主檔'!C:C,B29,'0919門市清單主檔'!AH:AH,$H$5) &gt; 1,
       "V","未完工"),"-")</f>
        <v>-</v>
      </c>
      <c r="J29" s="253" t="str">
        <f>IF(
    COUNTIFS('0919門市清單主檔'!C:C,B29,'0919門市清單主檔'!AC:AC,$H$2)=1,
    IF(
        COUNTIFS(
            IM!F:F,A29,
            IM!AC:AC,"*"&amp;$H$2&amp;"*",
            IM!X:X,"&gt;="&amp;$M$1,
            IM!X:X,"&lt;="&amp;$M$3
        )
        + COUNTIFS('0919門市清單主檔'!C:C,B29,'0919門市清單主檔'!AC:AC,$H$2)
        &gt;1,
        "V",
        "未完工"
    ),
    "-"
)</f>
        <v>-</v>
      </c>
      <c r="K29" s="122">
        <v>45866</v>
      </c>
      <c r="L29" s="116" t="str">
        <f>VLOOKUP(A29,'0919門市清單主檔'!B:V,21,FALSE)</f>
        <v>新莊區</v>
      </c>
      <c r="M29" s="153" t="str">
        <f>VLOOKUP(A29,門市總表!A:B,2,FALSE)</f>
        <v>田倉民安店</v>
      </c>
      <c r="Q29" s="115" t="s">
        <v>4951</v>
      </c>
      <c r="R29" s="115"/>
    </row>
    <row r="30" spans="1:18" ht="21.6" customHeight="1">
      <c r="A30" s="116">
        <v>4208</v>
      </c>
      <c r="B30" s="116" t="str">
        <f>VLOOKUP(A30,門市總表!A:B,2,FALSE)</f>
        <v>新莊瓊泰店</v>
      </c>
      <c r="C30" s="146" t="str">
        <f>IF(COUNTIFS(IM!$F:$F,A30,IM!$AD:$AD,"O",IM!$X:$X,"&gt;="&amp;$M$1, IM!$X:$X,"&lt;"&amp;$M$2)&gt;0,"V","")</f>
        <v/>
      </c>
      <c r="D30" s="146" t="str">
        <f>IF(AND(C30&lt;&gt;"V", COUNTIFS(IM!$F:$F,A30, IM!$AD:$AD, "O", IM!$X:$X, "&gt;="&amp;$M$2, IM!$X:$X, "&lt;"&amp;$M$3)&gt;0), "V", "")</f>
        <v/>
      </c>
      <c r="E30" s="146" t="str">
        <f>IF(AND(C30&lt;&gt;"V",D30&lt;&gt;"V", COUNTIFS(IM!$F:$F, A30, IM!$AD:$AD, "O", IM!$X:$X, "&gt;="&amp;$M$3, IM!$X:$X, "&lt;"&amp;$N$3)&gt;0), "V", "")</f>
        <v/>
      </c>
      <c r="F30" s="116" t="str">
        <f>IF(VLOOKUP(A30,門市總表!A:F,6,FALSE)="新開","新開不保養",
IF(VLOOKUP(A30,門市總表!A:F,6,FALSE)="撤店","閉店不保養",IF(VLOOKUP(A30,門市總表!A:F,6,FALSE)="非當季","非當季",IF(VLOOKUP(A30,門市總表!A:F,6,FALSE)="跨季補單","跨季補單",
IF(COUNTBLANK(C30:E30)=3,"未保養","")
))))</f>
        <v>未保養</v>
      </c>
      <c r="G30" s="116" t="str">
        <f>IF(COUNTIFS('0919門市清單主檔'!C:C,B30,'0919門市清單主檔'!AF:AF,$H$3)=1,
    IF(COUNTIFS(IM!F:F,A30,IM!AC:AC,"*"&amp;$H$3&amp;"*") + COUNTIFS('0919門市清單主檔'!C:C,B30,'0919門市清單主檔'!AF:AF,$H$3) &gt; 1,
       "V","未完工"),"-")</f>
        <v>-</v>
      </c>
      <c r="H30" s="253" t="str">
        <f>IF(COUNTIFS('0919門市清單主檔'!C:C,B30,'0919門市清單主檔'!AG:AG,$H$4)=1,
    IF(COUNTIFS(IM!F:F,A30,IM!AC:AC,"*"&amp;$H$4&amp;"*") + COUNTIFS('0919門市清單主檔'!C:C,B30,'0919門市清單主檔'!AG:AG,$H$4) &gt; 1,
       "V","未完工"),"-")</f>
        <v>V</v>
      </c>
      <c r="I30" s="253" t="str">
        <f>IF(COUNTIFS('0919門市清單主檔'!C:C,B30,'0919門市清單主檔'!AH:AH,$H$5)=1,
    IF(COUNTIFS(IM!F:F,A30,IM!AC:AC,"*"&amp;$H$5&amp;"*") + COUNTIFS('0919門市清單主檔'!C:C,B30,'0919門市清單主檔'!AH:AH,$H$5) &gt; 1,
       "V","未完工"),"-")</f>
        <v>未完工</v>
      </c>
      <c r="J30" s="253" t="str">
        <f>IF(
    COUNTIFS('0919門市清單主檔'!C:C,B30,'0919門市清單主檔'!AC:AC,$H$2)=1,
    IF(
        COUNTIFS(
            IM!F:F,A30,
            IM!AC:AC,"*"&amp;$H$2&amp;"*",
            IM!X:X,"&gt;="&amp;$M$1,
            IM!X:X,"&lt;="&amp;$M$3
        )
        + COUNTIFS('0919門市清單主檔'!C:C,B30,'0919門市清單主檔'!AC:AC,$H$2)
        &gt;1,
        "V",
        "未完工"
    ),
    "-"
)</f>
        <v>-</v>
      </c>
      <c r="K30" s="122">
        <v>45841</v>
      </c>
      <c r="L30" s="116" t="str">
        <f>VLOOKUP(A30,'0919門市清單主檔'!B:V,21,FALSE)</f>
        <v>新莊區</v>
      </c>
      <c r="M30" s="153" t="str">
        <f>VLOOKUP(A30,門市總表!A:B,2,FALSE)</f>
        <v>新莊瓊泰店</v>
      </c>
      <c r="Q30" s="115" t="s">
        <v>4951</v>
      </c>
      <c r="R30" s="120" t="s">
        <v>4952</v>
      </c>
    </row>
    <row r="31" spans="1:18" ht="21.6" customHeight="1">
      <c r="A31" s="116">
        <v>2743</v>
      </c>
      <c r="B31" s="116" t="str">
        <f>VLOOKUP(A31,門市總表!A:B,2,FALSE)</f>
        <v>新莊豐年店</v>
      </c>
      <c r="C31" s="146" t="str">
        <f>IF(COUNTIFS(IM!$F:$F,A31,IM!$AD:$AD,"O",IM!$X:$X,"&gt;="&amp;$M$1, IM!$X:$X,"&lt;"&amp;$M$2)&gt;0,"V","")</f>
        <v/>
      </c>
      <c r="D31" s="146" t="str">
        <f>IF(AND(C31&lt;&gt;"V", COUNTIFS(IM!$F:$F,A31, IM!$AD:$AD, "O", IM!$X:$X, "&gt;="&amp;$M$2, IM!$X:$X, "&lt;"&amp;$M$3)&gt;0), "V", "")</f>
        <v/>
      </c>
      <c r="E31" s="146" t="str">
        <f>IF(AND(C31&lt;&gt;"V",D31&lt;&gt;"V", COUNTIFS(IM!$F:$F, A31, IM!$AD:$AD, "O", IM!$X:$X, "&gt;="&amp;$M$3, IM!$X:$X, "&lt;"&amp;$N$3)&gt;0), "V", "")</f>
        <v/>
      </c>
      <c r="F31" s="116" t="str">
        <f>IF(VLOOKUP(A31,門市總表!A:F,6,FALSE)="新開","新開不保養",
IF(VLOOKUP(A31,門市總表!A:F,6,FALSE)="撤店","閉店不保養",IF(VLOOKUP(A31,門市總表!A:F,6,FALSE)="非當季","非當季",IF(VLOOKUP(A31,門市總表!A:F,6,FALSE)="跨季補單","跨季補單",
IF(COUNTBLANK(C31:E31)=3,"未保養","")
))))</f>
        <v>未保養</v>
      </c>
      <c r="G31" s="116" t="str">
        <f>IF(COUNTIFS('0919門市清單主檔'!C:C,B31,'0919門市清單主檔'!AF:AF,$H$3)=1,
    IF(COUNTIFS(IM!F:F,A31,IM!AC:AC,"*"&amp;$H$3&amp;"*") + COUNTIFS('0919門市清單主檔'!C:C,B31,'0919門市清單主檔'!AF:AF,$H$3) &gt; 1,
       "V","未完工"),"-")</f>
        <v>-</v>
      </c>
      <c r="H31" s="253" t="str">
        <f>IF(COUNTIFS('0919門市清單主檔'!C:C,B31,'0919門市清單主檔'!AG:AG,$H$4)=1,
    IF(COUNTIFS(IM!F:F,A31,IM!AC:AC,"*"&amp;$H$4&amp;"*") + COUNTIFS('0919門市清單主檔'!C:C,B31,'0919門市清單主檔'!AG:AG,$H$4) &gt; 1,
       "V","未完工"),"-")</f>
        <v>V</v>
      </c>
      <c r="I31" s="253" t="str">
        <f>IF(COUNTIFS('0919門市清單主檔'!C:C,B31,'0919門市清單主檔'!AH:AH,$H$5)=1,
    IF(COUNTIFS(IM!F:F,A31,IM!AC:AC,"*"&amp;$H$5&amp;"*") + COUNTIFS('0919門市清單主檔'!C:C,B31,'0919門市清單主檔'!AH:AH,$H$5) &gt; 1,
       "V","未完工"),"-")</f>
        <v>未完工</v>
      </c>
      <c r="J31" s="253" t="str">
        <f>IF(
    COUNTIFS('0919門市清單主檔'!C:C,B31,'0919門市清單主檔'!AC:AC,$H$2)=1,
    IF(
        COUNTIFS(
            IM!F:F,A31,
            IM!AC:AC,"*"&amp;$H$2&amp;"*",
            IM!X:X,"&gt;="&amp;$M$1,
            IM!X:X,"&lt;="&amp;$M$3
        )
        + COUNTIFS('0919門市清單主檔'!C:C,B31,'0919門市清單主檔'!AC:AC,$H$2)
        &gt;1,
        "V",
        "未完工"
    ),
    "-"
)</f>
        <v>-</v>
      </c>
      <c r="K31" s="122">
        <v>45848</v>
      </c>
      <c r="L31" s="116" t="str">
        <f>VLOOKUP(A31,'0919門市清單主檔'!B:V,21,FALSE)</f>
        <v>新莊區</v>
      </c>
      <c r="M31" s="153" t="str">
        <f>VLOOKUP(A31,門市總表!A:B,2,FALSE)</f>
        <v>新莊豐年店</v>
      </c>
      <c r="Q31" s="115" t="s">
        <v>4951</v>
      </c>
      <c r="R31" s="115"/>
    </row>
    <row r="32" spans="1:18" ht="21.6" customHeight="1">
      <c r="A32" s="116">
        <v>3851</v>
      </c>
      <c r="B32" s="116" t="str">
        <f>VLOOKUP(A32,門市總表!A:B,2,FALSE)</f>
        <v>新莊輔園店</v>
      </c>
      <c r="C32" s="146" t="str">
        <f>IF(COUNTIFS(IM!$F:$F,A32,IM!$AD:$AD,"O",IM!$X:$X,"&gt;="&amp;$M$1, IM!$X:$X,"&lt;"&amp;$M$2)&gt;0,"V","")</f>
        <v/>
      </c>
      <c r="D32" s="146" t="str">
        <f>IF(AND(C32&lt;&gt;"V", COUNTIFS(IM!$F:$F,A32, IM!$AD:$AD, "O", IM!$X:$X, "&gt;="&amp;$M$2, IM!$X:$X, "&lt;"&amp;$M$3)&gt;0), "V", "")</f>
        <v/>
      </c>
      <c r="E32" s="146" t="str">
        <f>IF(AND(C32&lt;&gt;"V",D32&lt;&gt;"V", COUNTIFS(IM!$F:$F, A32, IM!$AD:$AD, "O", IM!$X:$X, "&gt;="&amp;$M$3, IM!$X:$X, "&lt;"&amp;$N$3)&gt;0), "V", "")</f>
        <v/>
      </c>
      <c r="F32" s="116" t="str">
        <f>IF(VLOOKUP(A32,門市總表!A:F,6,FALSE)="新開","新開不保養",
IF(VLOOKUP(A32,門市總表!A:F,6,FALSE)="撤店","閉店不保養",IF(VLOOKUP(A32,門市總表!A:F,6,FALSE)="非當季","非當季",IF(VLOOKUP(A32,門市總表!A:F,6,FALSE)="跨季補單","跨季補單",
IF(COUNTBLANK(C32:E32)=3,"未保養","")
))))</f>
        <v>未保養</v>
      </c>
      <c r="G32" s="116" t="str">
        <f>IF(COUNTIFS('0919門市清單主檔'!C:C,B32,'0919門市清單主檔'!AF:AF,$H$3)=1,
    IF(COUNTIFS(IM!F:F,A32,IM!AC:AC,"*"&amp;$H$3&amp;"*") + COUNTIFS('0919門市清單主檔'!C:C,B32,'0919門市清單主檔'!AF:AF,$H$3) &gt; 1,
       "V","未完工"),"-")</f>
        <v>-</v>
      </c>
      <c r="H32" s="253" t="str">
        <f>IF(COUNTIFS('0919門市清單主檔'!C:C,B32,'0919門市清單主檔'!AG:AG,$H$4)=1,
    IF(COUNTIFS(IM!F:F,A32,IM!AC:AC,"*"&amp;$H$4&amp;"*") + COUNTIFS('0919門市清單主檔'!C:C,B32,'0919門市清單主檔'!AG:AG,$H$4) &gt; 1,
       "V","未完工"),"-")</f>
        <v>V</v>
      </c>
      <c r="I32" s="253" t="str">
        <f>IF(COUNTIFS('0919門市清單主檔'!C:C,B32,'0919門市清單主檔'!AH:AH,$H$5)=1,
    IF(COUNTIFS(IM!F:F,A32,IM!AC:AC,"*"&amp;$H$5&amp;"*") + COUNTIFS('0919門市清單主檔'!C:C,B32,'0919門市清單主檔'!AH:AH,$H$5) &gt; 1,
       "V","未完工"),"-")</f>
        <v>未完工</v>
      </c>
      <c r="J32" s="253" t="str">
        <f>IF(
    COUNTIFS('0919門市清單主檔'!C:C,B32,'0919門市清單主檔'!AC:AC,$H$2)=1,
    IF(
        COUNTIFS(
            IM!F:F,A32,
            IM!AC:AC,"*"&amp;$H$2&amp;"*",
            IM!X:X,"&gt;="&amp;$M$1,
            IM!X:X,"&lt;="&amp;$M$3
        )
        + COUNTIFS('0919門市清單主檔'!C:C,B32,'0919門市清單主檔'!AC:AC,$H$2)
        &gt;1,
        "V",
        "未完工"
    ),
    "-"
)</f>
        <v>-</v>
      </c>
      <c r="K32" s="122">
        <v>45901</v>
      </c>
      <c r="L32" s="116" t="str">
        <f>VLOOKUP(A32,'0919門市清單主檔'!B:V,21,FALSE)</f>
        <v>新莊區</v>
      </c>
      <c r="M32" s="153" t="str">
        <f>VLOOKUP(A32,門市總表!A:B,2,FALSE)</f>
        <v>新莊輔園店</v>
      </c>
      <c r="Q32" s="115"/>
      <c r="R32" s="120" t="s">
        <v>4952</v>
      </c>
    </row>
    <row r="33" spans="1:18" ht="21.6" customHeight="1">
      <c r="A33" s="116">
        <v>4025</v>
      </c>
      <c r="B33" s="116" t="str">
        <f>VLOOKUP(A33,門市總表!A:B,2,FALSE)</f>
        <v>新莊祐信店</v>
      </c>
      <c r="C33" s="146" t="str">
        <f>IF(COUNTIFS(IM!$F:$F,A33,IM!$AD:$AD,"O",IM!$X:$X,"&gt;="&amp;$M$1, IM!$X:$X,"&lt;"&amp;$M$2)&gt;0,"V","")</f>
        <v/>
      </c>
      <c r="D33" s="146" t="str">
        <f>IF(AND(C33&lt;&gt;"V", COUNTIFS(IM!$F:$F,A33, IM!$AD:$AD, "O", IM!$X:$X, "&gt;="&amp;$M$2, IM!$X:$X, "&lt;"&amp;$M$3)&gt;0), "V", "")</f>
        <v/>
      </c>
      <c r="E33" s="146" t="str">
        <f>IF(AND(C33&lt;&gt;"V",D33&lt;&gt;"V", COUNTIFS(IM!$F:$F, A33, IM!$AD:$AD, "O", IM!$X:$X, "&gt;="&amp;$M$3, IM!$X:$X, "&lt;"&amp;$N$3)&gt;0), "V", "")</f>
        <v/>
      </c>
      <c r="F33" s="116" t="str">
        <f>IF(VLOOKUP(A33,門市總表!A:F,6,FALSE)="新開","新開不保養",
IF(VLOOKUP(A33,門市總表!A:F,6,FALSE)="撤店","閉店不保養",IF(VLOOKUP(A33,門市總表!A:F,6,FALSE)="非當季","非當季",IF(VLOOKUP(A33,門市總表!A:F,6,FALSE)="跨季補單","跨季補單",
IF(COUNTBLANK(C33:E33)=3,"未保養","")
))))</f>
        <v>未保養</v>
      </c>
      <c r="G33" s="116" t="str">
        <f>IF(COUNTIFS('0919門市清單主檔'!C:C,B33,'0919門市清單主檔'!AF:AF,$H$3)=1,
    IF(COUNTIFS(IM!F:F,A33,IM!AC:AC,"*"&amp;$H$3&amp;"*") + COUNTIFS('0919門市清單主檔'!C:C,B33,'0919門市清單主檔'!AF:AF,$H$3) &gt; 1,
       "V","未完工"),"-")</f>
        <v>-</v>
      </c>
      <c r="H33" s="253" t="str">
        <f>IF(COUNTIFS('0919門市清單主檔'!C:C,B33,'0919門市清單主檔'!AG:AG,$H$4)=1,
    IF(COUNTIFS(IM!F:F,A33,IM!AC:AC,"*"&amp;$H$4&amp;"*") + COUNTIFS('0919門市清單主檔'!C:C,B33,'0919門市清單主檔'!AG:AG,$H$4) &gt; 1,
       "V","未完工"),"-")</f>
        <v>V</v>
      </c>
      <c r="I33" s="253" t="str">
        <f>IF(COUNTIFS('0919門市清單主檔'!C:C,B33,'0919門市清單主檔'!AH:AH,$H$5)=1,
    IF(COUNTIFS(IM!F:F,A33,IM!AC:AC,"*"&amp;$H$5&amp;"*") + COUNTIFS('0919門市清單主檔'!C:C,B33,'0919門市清單主檔'!AH:AH,$H$5) &gt; 1,
       "V","未完工"),"-")</f>
        <v>-</v>
      </c>
      <c r="J33" s="253" t="str">
        <f>IF(
    COUNTIFS('0919門市清單主檔'!C:C,B33,'0919門市清單主檔'!AC:AC,$H$2)=1,
    IF(
        COUNTIFS(
            IM!F:F,A33,
            IM!AC:AC,"*"&amp;$H$2&amp;"*",
            IM!X:X,"&gt;="&amp;$M$1,
            IM!X:X,"&lt;="&amp;$M$3
        )
        + COUNTIFS('0919門市清單主檔'!C:C,B33,'0919門市清單主檔'!AC:AC,$H$2)
        &gt;1,
        "V",
        "未完工"
    ),
    "-"
)</f>
        <v>-</v>
      </c>
      <c r="K33" s="122">
        <v>45842</v>
      </c>
      <c r="L33" s="116" t="str">
        <f>VLOOKUP(A33,'0919門市清單主檔'!B:V,21,FALSE)</f>
        <v>新莊區</v>
      </c>
      <c r="M33" s="153" t="str">
        <f>VLOOKUP(A33,門市總表!A:B,2,FALSE)</f>
        <v>新莊祐信店</v>
      </c>
      <c r="Q33" s="115"/>
      <c r="R33" s="115"/>
    </row>
    <row r="34" spans="1:18" ht="21.6" customHeight="1">
      <c r="A34" s="116">
        <v>4341</v>
      </c>
      <c r="B34" s="116" t="str">
        <f>VLOOKUP(A34,門市總表!A:B,2,FALSE)</f>
        <v>新莊莊美店</v>
      </c>
      <c r="C34" s="146" t="str">
        <f>IF(COUNTIFS(IM!$F:$F,A34,IM!$AD:$AD,"O",IM!$X:$X,"&gt;="&amp;$M$1, IM!$X:$X,"&lt;"&amp;$M$2)&gt;0,"V","")</f>
        <v/>
      </c>
      <c r="D34" s="146" t="str">
        <f>IF(AND(C34&lt;&gt;"V", COUNTIFS(IM!$F:$F,A34, IM!$AD:$AD, "O", IM!$X:$X, "&gt;="&amp;$M$2, IM!$X:$X, "&lt;"&amp;$M$3)&gt;0), "V", "")</f>
        <v/>
      </c>
      <c r="E34" s="146" t="str">
        <f>IF(AND(C34&lt;&gt;"V",D34&lt;&gt;"V", COUNTIFS(IM!$F:$F, A34, IM!$AD:$AD, "O", IM!$X:$X, "&gt;="&amp;$M$3, IM!$X:$X, "&lt;"&amp;$N$3)&gt;0), "V", "")</f>
        <v/>
      </c>
      <c r="F34" s="116" t="str">
        <f>IF(VLOOKUP(A34,門市總表!A:F,6,FALSE)="新開","新開不保養",
IF(VLOOKUP(A34,門市總表!A:F,6,FALSE)="撤店","閉店不保養",IF(VLOOKUP(A34,門市總表!A:F,6,FALSE)="非當季","非當季",IF(VLOOKUP(A34,門市總表!A:F,6,FALSE)="跨季補單","跨季補單",
IF(COUNTBLANK(C34:E34)=3,"未保養","")
))))</f>
        <v>未保養</v>
      </c>
      <c r="G34" s="116" t="str">
        <f>IF(COUNTIFS('0919門市清單主檔'!C:C,B34,'0919門市清單主檔'!AF:AF,$H$3)=1,
    IF(COUNTIFS(IM!F:F,A34,IM!AC:AC,"*"&amp;$H$3&amp;"*") + COUNTIFS('0919門市清單主檔'!C:C,B34,'0919門市清單主檔'!AF:AF,$H$3) &gt; 1,
       "V","未完工"),"-")</f>
        <v>-</v>
      </c>
      <c r="H34" s="253" t="str">
        <f>IF(COUNTIFS('0919門市清單主檔'!C:C,B34,'0919門市清單主檔'!AG:AG,$H$4)=1,
    IF(COUNTIFS(IM!F:F,A34,IM!AC:AC,"*"&amp;$H$4&amp;"*") + COUNTIFS('0919門市清單主檔'!C:C,B34,'0919門市清單主檔'!AG:AG,$H$4) &gt; 1,
       "V","未完工"),"-")</f>
        <v>V</v>
      </c>
      <c r="I34" s="253" t="str">
        <f>IF(COUNTIFS('0919門市清單主檔'!C:C,B34,'0919門市清單主檔'!AH:AH,$H$5)=1,
    IF(COUNTIFS(IM!F:F,A34,IM!AC:AC,"*"&amp;$H$5&amp;"*") + COUNTIFS('0919門市清單主檔'!C:C,B34,'0919門市清單主檔'!AH:AH,$H$5) &gt; 1,
       "V","未完工"),"-")</f>
        <v>未完工</v>
      </c>
      <c r="J34" s="253" t="str">
        <f>IF(
    COUNTIFS('0919門市清單主檔'!C:C,B34,'0919門市清單主檔'!AC:AC,$H$2)=1,
    IF(
        COUNTIFS(
            IM!F:F,A34,
            IM!AC:AC,"*"&amp;$H$2&amp;"*",
            IM!X:X,"&gt;="&amp;$M$1,
            IM!X:X,"&lt;="&amp;$M$3
        )
        + COUNTIFS('0919門市清單主檔'!C:C,B34,'0919門市清單主檔'!AC:AC,$H$2)
        &gt;1,
        "V",
        "未完工"
    ),
    "-"
)</f>
        <v>-</v>
      </c>
      <c r="K34" s="122">
        <v>45849</v>
      </c>
      <c r="L34" s="116" t="str">
        <f>VLOOKUP(A34,'0919門市清單主檔'!B:V,21,FALSE)</f>
        <v>新莊區</v>
      </c>
      <c r="M34" s="153" t="str">
        <f>VLOOKUP(A34,門市總表!A:B,2,FALSE)</f>
        <v>新莊莊美店</v>
      </c>
      <c r="Q34" s="115"/>
      <c r="R34" s="120" t="s">
        <v>4952</v>
      </c>
    </row>
    <row r="35" spans="1:18" ht="21.6" customHeight="1">
      <c r="A35" s="116">
        <v>4163</v>
      </c>
      <c r="B35" s="116" t="str">
        <f>VLOOKUP(A35,門市總表!A:B,2,FALSE)</f>
        <v>新莊中泉店</v>
      </c>
      <c r="C35" s="146" t="str">
        <f>IF(COUNTIFS(IM!$F:$F,A35,IM!$AD:$AD,"O",IM!$X:$X,"&gt;="&amp;$M$1, IM!$X:$X,"&lt;"&amp;$M$2)&gt;0,"V","")</f>
        <v/>
      </c>
      <c r="D35" s="146" t="str">
        <f>IF(AND(C35&lt;&gt;"V", COUNTIFS(IM!$F:$F,A35, IM!$AD:$AD, "O", IM!$X:$X, "&gt;="&amp;$M$2, IM!$X:$X, "&lt;"&amp;$M$3)&gt;0), "V", "")</f>
        <v/>
      </c>
      <c r="E35" s="146" t="str">
        <f>IF(AND(C35&lt;&gt;"V",D35&lt;&gt;"V", COUNTIFS(IM!$F:$F, A35, IM!$AD:$AD, "O", IM!$X:$X, "&gt;="&amp;$M$3, IM!$X:$X, "&lt;"&amp;$N$3)&gt;0), "V", "")</f>
        <v/>
      </c>
      <c r="F35" s="116" t="str">
        <f>IF(VLOOKUP(A35,門市總表!A:F,6,FALSE)="新開","新開不保養",
IF(VLOOKUP(A35,門市總表!A:F,6,FALSE)="撤店","閉店不保養",IF(VLOOKUP(A35,門市總表!A:F,6,FALSE)="非當季","非當季",IF(VLOOKUP(A35,門市總表!A:F,6,FALSE)="跨季補單","跨季補單",
IF(COUNTBLANK(C35:E35)=3,"未保養","")
))))</f>
        <v>未保養</v>
      </c>
      <c r="G35" s="116" t="str">
        <f>IF(COUNTIFS('0919門市清單主檔'!C:C,B35,'0919門市清單主檔'!AF:AF,$H$3)=1,
    IF(COUNTIFS(IM!F:F,A35,IM!AC:AC,"*"&amp;$H$3&amp;"*") + COUNTIFS('0919門市清單主檔'!C:C,B35,'0919門市清單主檔'!AF:AF,$H$3) &gt; 1,
       "V","未完工"),"-")</f>
        <v>-</v>
      </c>
      <c r="H35" s="253" t="str">
        <f>IF(COUNTIFS('0919門市清單主檔'!C:C,B35,'0919門市清單主檔'!AG:AG,$H$4)=1,
    IF(COUNTIFS(IM!F:F,A35,IM!AC:AC,"*"&amp;$H$4&amp;"*") + COUNTIFS('0919門市清單主檔'!C:C,B35,'0919門市清單主檔'!AG:AG,$H$4) &gt; 1,
       "V","未完工"),"-")</f>
        <v>V</v>
      </c>
      <c r="I35" s="253" t="str">
        <f>IF(COUNTIFS('0919門市清單主檔'!C:C,B35,'0919門市清單主檔'!AH:AH,$H$5)=1,
    IF(COUNTIFS(IM!F:F,A35,IM!AC:AC,"*"&amp;$H$5&amp;"*") + COUNTIFS('0919門市清單主檔'!C:C,B35,'0919門市清單主檔'!AH:AH,$H$5) &gt; 1,
       "V","未完工"),"-")</f>
        <v>未完工</v>
      </c>
      <c r="J35" s="253" t="str">
        <f>IF(
    COUNTIFS('0919門市清單主檔'!C:C,B35,'0919門市清單主檔'!AC:AC,$H$2)=1,
    IF(
        COUNTIFS(
            IM!F:F,A35,
            IM!AC:AC,"*"&amp;$H$2&amp;"*",
            IM!X:X,"&gt;="&amp;$M$1,
            IM!X:X,"&lt;="&amp;$M$3
        )
        + COUNTIFS('0919門市清單主檔'!C:C,B35,'0919門市清單主檔'!AC:AC,$H$2)
        &gt;1,
        "V",
        "未完工"
    ),
    "-"
)</f>
        <v>-</v>
      </c>
      <c r="K35" s="122">
        <v>45846</v>
      </c>
      <c r="L35" s="116" t="str">
        <f>VLOOKUP(A35,'0919門市清單主檔'!B:V,21,FALSE)</f>
        <v>新莊區</v>
      </c>
      <c r="M35" s="153" t="str">
        <f>VLOOKUP(A35,門市總表!A:B,2,FALSE)</f>
        <v>新莊中泉店</v>
      </c>
      <c r="Q35" s="115" t="s">
        <v>4951</v>
      </c>
      <c r="R35" s="115"/>
    </row>
    <row r="36" spans="1:18" ht="21.6" customHeight="1">
      <c r="A36" s="116">
        <v>3652</v>
      </c>
      <c r="B36" s="116" t="str">
        <f>VLOOKUP(A36,門市總表!A:B,2,FALSE)</f>
        <v>新莊莊民店</v>
      </c>
      <c r="C36" s="146" t="str">
        <f>IF(COUNTIFS(IM!$F:$F,A36,IM!$AD:$AD,"O",IM!$X:$X,"&gt;="&amp;$M$1, IM!$X:$X,"&lt;"&amp;$M$2)&gt;0,"V","")</f>
        <v/>
      </c>
      <c r="D36" s="146" t="str">
        <f>IF(AND(C36&lt;&gt;"V", COUNTIFS(IM!$F:$F,A36, IM!$AD:$AD, "O", IM!$X:$X, "&gt;="&amp;$M$2, IM!$X:$X, "&lt;"&amp;$M$3)&gt;0), "V", "")</f>
        <v/>
      </c>
      <c r="E36" s="146" t="str">
        <f>IF(AND(C36&lt;&gt;"V",D36&lt;&gt;"V", COUNTIFS(IM!$F:$F, A36, IM!$AD:$AD, "O", IM!$X:$X, "&gt;="&amp;$M$3, IM!$X:$X, "&lt;"&amp;$N$3)&gt;0), "V", "")</f>
        <v/>
      </c>
      <c r="F36" s="116" t="str">
        <f>IF(VLOOKUP(A36,門市總表!A:F,6,FALSE)="新開","新開不保養",
IF(VLOOKUP(A36,門市總表!A:F,6,FALSE)="撤店","閉店不保養",IF(VLOOKUP(A36,門市總表!A:F,6,FALSE)="非當季","非當季",IF(VLOOKUP(A36,門市總表!A:F,6,FALSE)="跨季補單","跨季補單",
IF(COUNTBLANK(C36:E36)=3,"未保養","")
))))</f>
        <v>未保養</v>
      </c>
      <c r="G36" s="116" t="str">
        <f>IF(COUNTIFS('0919門市清單主檔'!C:C,B36,'0919門市清單主檔'!AF:AF,$H$3)=1,
    IF(COUNTIFS(IM!F:F,A36,IM!AC:AC,"*"&amp;$H$3&amp;"*") + COUNTIFS('0919門市清單主檔'!C:C,B36,'0919門市清單主檔'!AF:AF,$H$3) &gt; 1,
       "V","未完工"),"-")</f>
        <v>-</v>
      </c>
      <c r="H36" s="253" t="str">
        <f>IF(COUNTIFS('0919門市清單主檔'!C:C,B36,'0919門市清單主檔'!AG:AG,$H$4)=1,
    IF(COUNTIFS(IM!F:F,A36,IM!AC:AC,"*"&amp;$H$4&amp;"*") + COUNTIFS('0919門市清單主檔'!C:C,B36,'0919門市清單主檔'!AG:AG,$H$4) &gt; 1,
       "V","未完工"),"-")</f>
        <v>V</v>
      </c>
      <c r="I36" s="253" t="str">
        <f>IF(COUNTIFS('0919門市清單主檔'!C:C,B36,'0919門市清單主檔'!AH:AH,$H$5)=1,
    IF(COUNTIFS(IM!F:F,A36,IM!AC:AC,"*"&amp;$H$5&amp;"*") + COUNTIFS('0919門市清單主檔'!C:C,B36,'0919門市清單主檔'!AH:AH,$H$5) &gt; 1,
       "V","未完工"),"-")</f>
        <v>未完工</v>
      </c>
      <c r="J36" s="253" t="str">
        <f>IF(
    COUNTIFS('0919門市清單主檔'!C:C,B36,'0919門市清單主檔'!AC:AC,$H$2)=1,
    IF(
        COUNTIFS(
            IM!F:F,A36,
            IM!AC:AC,"*"&amp;$H$2&amp;"*",
            IM!X:X,"&gt;="&amp;$M$1,
            IM!X:X,"&lt;="&amp;$M$3
        )
        + COUNTIFS('0919門市清單主檔'!C:C,B36,'0919門市清單主檔'!AC:AC,$H$2)
        &gt;1,
        "V",
        "未完工"
    ),
    "-"
)</f>
        <v>-</v>
      </c>
      <c r="K36" s="122">
        <v>45859</v>
      </c>
      <c r="L36" s="116" t="str">
        <f>VLOOKUP(A36,'0919門市清單主檔'!B:V,21,FALSE)</f>
        <v>新莊區</v>
      </c>
      <c r="M36" s="153" t="str">
        <f>VLOOKUP(A36,門市總表!A:B,2,FALSE)</f>
        <v>新莊莊民店</v>
      </c>
      <c r="Q36" s="115" t="s">
        <v>4951</v>
      </c>
      <c r="R36" s="115"/>
    </row>
    <row r="37" spans="1:18" ht="21.6" customHeight="1">
      <c r="A37" s="116">
        <v>4194</v>
      </c>
      <c r="B37" s="116" t="str">
        <f>VLOOKUP(A37,門市總表!A:B,2,FALSE)</f>
        <v>新莊鼎苑店</v>
      </c>
      <c r="C37" s="146" t="str">
        <f>IF(COUNTIFS(IM!$F:$F,A37,IM!$AD:$AD,"O",IM!$X:$X,"&gt;="&amp;$M$1, IM!$X:$X,"&lt;"&amp;$M$2)&gt;0,"V","")</f>
        <v/>
      </c>
      <c r="D37" s="146" t="str">
        <f>IF(AND(C37&lt;&gt;"V", COUNTIFS(IM!$F:$F,A37, IM!$AD:$AD, "O", IM!$X:$X, "&gt;="&amp;$M$2, IM!$X:$X, "&lt;"&amp;$M$3)&gt;0), "V", "")</f>
        <v/>
      </c>
      <c r="E37" s="146" t="str">
        <f>IF(AND(C37&lt;&gt;"V",D37&lt;&gt;"V", COUNTIFS(IM!$F:$F, A37, IM!$AD:$AD, "O", IM!$X:$X, "&gt;="&amp;$M$3, IM!$X:$X, "&lt;"&amp;$N$3)&gt;0), "V", "")</f>
        <v/>
      </c>
      <c r="F37" s="116" t="str">
        <f>IF(VLOOKUP(A37,門市總表!A:F,6,FALSE)="新開","新開不保養",
IF(VLOOKUP(A37,門市總表!A:F,6,FALSE)="撤店","閉店不保養",IF(VLOOKUP(A37,門市總表!A:F,6,FALSE)="非當季","非當季",IF(VLOOKUP(A37,門市總表!A:F,6,FALSE)="跨季補單","跨季補單",
IF(COUNTBLANK(C37:E37)=3,"未保養","")
))))</f>
        <v>未保養</v>
      </c>
      <c r="G37" s="116" t="str">
        <f>IF(COUNTIFS('0919門市清單主檔'!C:C,B37,'0919門市清單主檔'!AF:AF,$H$3)=1,
    IF(COUNTIFS(IM!F:F,A37,IM!AC:AC,"*"&amp;$H$3&amp;"*") + COUNTIFS('0919門市清單主檔'!C:C,B37,'0919門市清單主檔'!AF:AF,$H$3) &gt; 1,
       "V","未完工"),"-")</f>
        <v>-</v>
      </c>
      <c r="H37" s="253" t="str">
        <f>IF(COUNTIFS('0919門市清單主檔'!C:C,B37,'0919門市清單主檔'!AG:AG,$H$4)=1,
    IF(COUNTIFS(IM!F:F,A37,IM!AC:AC,"*"&amp;$H$4&amp;"*") + COUNTIFS('0919門市清單主檔'!C:C,B37,'0919門市清單主檔'!AG:AG,$H$4) &gt; 1,
       "V","未完工"),"-")</f>
        <v>V</v>
      </c>
      <c r="I37" s="253" t="str">
        <f>IF(COUNTIFS('0919門市清單主檔'!C:C,B37,'0919門市清單主檔'!AH:AH,$H$5)=1,
    IF(COUNTIFS(IM!F:F,A37,IM!AC:AC,"*"&amp;$H$5&amp;"*") + COUNTIFS('0919門市清單主檔'!C:C,B37,'0919門市清單主檔'!AH:AH,$H$5) &gt; 1,
       "V","未完工"),"-")</f>
        <v>未完工</v>
      </c>
      <c r="J37" s="253" t="str">
        <f>IF(
    COUNTIFS('0919門市清單主檔'!C:C,B37,'0919門市清單主檔'!AC:AC,$H$2)=1,
    IF(
        COUNTIFS(
            IM!F:F,A37,
            IM!AC:AC,"*"&amp;$H$2&amp;"*",
            IM!X:X,"&gt;="&amp;$M$1,
            IM!X:X,"&lt;="&amp;$M$3
        )
        + COUNTIFS('0919門市清單主檔'!C:C,B37,'0919門市清單主檔'!AC:AC,$H$2)
        &gt;1,
        "V",
        "未完工"
    ),
    "-"
)</f>
        <v>-</v>
      </c>
      <c r="K37" s="122">
        <v>45882</v>
      </c>
      <c r="L37" s="116" t="str">
        <f>VLOOKUP(A37,'0919門市清單主檔'!B:V,21,FALSE)</f>
        <v>新莊區</v>
      </c>
      <c r="M37" s="153" t="str">
        <f>VLOOKUP(A37,門市總表!A:B,2,FALSE)</f>
        <v>新莊鼎苑店</v>
      </c>
      <c r="Q37" s="115" t="s">
        <v>4951</v>
      </c>
      <c r="R37" s="115"/>
    </row>
    <row r="38" spans="1:18" ht="21.6" customHeight="1">
      <c r="A38" s="116">
        <v>4228</v>
      </c>
      <c r="B38" s="116" t="str">
        <f>VLOOKUP(A38,門市總表!A:B,2,FALSE)</f>
        <v>新莊頭前公園</v>
      </c>
      <c r="C38" s="146" t="str">
        <f>IF(COUNTIFS(IM!$F:$F,A38,IM!$AD:$AD,"O",IM!$X:$X,"&gt;="&amp;$M$1, IM!$X:$X,"&lt;"&amp;$M$2)&gt;0,"V","")</f>
        <v/>
      </c>
      <c r="D38" s="146" t="str">
        <f>IF(AND(C38&lt;&gt;"V", COUNTIFS(IM!$F:$F,A38, IM!$AD:$AD, "O", IM!$X:$X, "&gt;="&amp;$M$2, IM!$X:$X, "&lt;"&amp;$M$3)&gt;0), "V", "")</f>
        <v/>
      </c>
      <c r="E38" s="146" t="str">
        <f>IF(AND(C38&lt;&gt;"V",D38&lt;&gt;"V", COUNTIFS(IM!$F:$F, A38, IM!$AD:$AD, "O", IM!$X:$X, "&gt;="&amp;$M$3, IM!$X:$X, "&lt;"&amp;$N$3)&gt;0), "V", "")</f>
        <v/>
      </c>
      <c r="F38" s="116" t="str">
        <f>IF(VLOOKUP(A38,門市總表!A:F,6,FALSE)="新開","新開不保養",
IF(VLOOKUP(A38,門市總表!A:F,6,FALSE)="撤店","閉店不保養",IF(VLOOKUP(A38,門市總表!A:F,6,FALSE)="非當季","非當季",IF(VLOOKUP(A38,門市總表!A:F,6,FALSE)="跨季補單","跨季補單",
IF(COUNTBLANK(C38:E38)=3,"未保養","")
))))</f>
        <v>未保養</v>
      </c>
      <c r="G38" s="116" t="str">
        <f>IF(COUNTIFS('0919門市清單主檔'!C:C,B38,'0919門市清單主檔'!AF:AF,$H$3)=1,
    IF(COUNTIFS(IM!F:F,A38,IM!AC:AC,"*"&amp;$H$3&amp;"*") + COUNTIFS('0919門市清單主檔'!C:C,B38,'0919門市清單主檔'!AF:AF,$H$3) &gt; 1,
       "V","未完工"),"-")</f>
        <v>-</v>
      </c>
      <c r="H38" s="253" t="str">
        <f>IF(COUNTIFS('0919門市清單主檔'!C:C,B38,'0919門市清單主檔'!AG:AG,$H$4)=1,
    IF(COUNTIFS(IM!F:F,A38,IM!AC:AC,"*"&amp;$H$4&amp;"*") + COUNTIFS('0919門市清單主檔'!C:C,B38,'0919門市清單主檔'!AG:AG,$H$4) &gt; 1,
       "V","未完工"),"-")</f>
        <v>V</v>
      </c>
      <c r="I38" s="253" t="str">
        <f>IF(COUNTIFS('0919門市清單主檔'!C:C,B38,'0919門市清單主檔'!AH:AH,$H$5)=1,
    IF(COUNTIFS(IM!F:F,A38,IM!AC:AC,"*"&amp;$H$5&amp;"*") + COUNTIFS('0919門市清單主檔'!C:C,B38,'0919門市清單主檔'!AH:AH,$H$5) &gt; 1,
       "V","未完工"),"-")</f>
        <v>-</v>
      </c>
      <c r="J38" s="253" t="str">
        <f>IF(
    COUNTIFS('0919門市清單主檔'!C:C,B38,'0919門市清單主檔'!AC:AC,$H$2)=1,
    IF(
        COUNTIFS(
            IM!F:F,A38,
            IM!AC:AC,"*"&amp;$H$2&amp;"*",
            IM!X:X,"&gt;="&amp;$M$1,
            IM!X:X,"&lt;="&amp;$M$3
        )
        + COUNTIFS('0919門市清單主檔'!C:C,B38,'0919門市清單主檔'!AC:AC,$H$2)
        &gt;1,
        "V",
        "未完工"
    ),
    "-"
)</f>
        <v>-</v>
      </c>
      <c r="K38" s="122">
        <v>45887</v>
      </c>
      <c r="L38" s="116" t="str">
        <f>VLOOKUP(A38,'0919門市清單主檔'!B:V,21,FALSE)</f>
        <v>新莊區</v>
      </c>
      <c r="M38" s="153" t="str">
        <f>VLOOKUP(A38,門市總表!A:B,2,FALSE)</f>
        <v>新莊頭前公園</v>
      </c>
      <c r="Q38" s="115"/>
      <c r="R38" s="115"/>
    </row>
    <row r="39" spans="1:18" ht="21.6" customHeight="1">
      <c r="A39" s="116">
        <v>4762</v>
      </c>
      <c r="B39" s="116" t="str">
        <f>VLOOKUP(A39,門市總表!A:B,2,FALSE)</f>
        <v>新莊巷口店</v>
      </c>
      <c r="C39" s="146" t="str">
        <f>IF(COUNTIFS(IM!$F:$F,A39,IM!$AD:$AD,"O",IM!$X:$X,"&gt;="&amp;$M$1, IM!$X:$X,"&lt;"&amp;$M$2)&gt;0,"V","")</f>
        <v/>
      </c>
      <c r="D39" s="146" t="str">
        <f>IF(AND(C39&lt;&gt;"V", COUNTIFS(IM!$F:$F,A39, IM!$AD:$AD, "O", IM!$X:$X, "&gt;="&amp;$M$2, IM!$X:$X, "&lt;"&amp;$M$3)&gt;0), "V", "")</f>
        <v/>
      </c>
      <c r="E39" s="146" t="str">
        <f>IF(AND(C39&lt;&gt;"V",D39&lt;&gt;"V", COUNTIFS(IM!$F:$F, A39, IM!$AD:$AD, "O", IM!$X:$X, "&gt;="&amp;$M$3, IM!$X:$X, "&lt;"&amp;$N$3)&gt;0), "V", "")</f>
        <v/>
      </c>
      <c r="F39" s="116" t="str">
        <f>IF(VLOOKUP(A39,門市總表!A:F,6,FALSE)="新開","新開不保養",
IF(VLOOKUP(A39,門市總表!A:F,6,FALSE)="撤店","閉店不保養",IF(VLOOKUP(A39,門市總表!A:F,6,FALSE)="非當季","非當季",IF(VLOOKUP(A39,門市總表!A:F,6,FALSE)="跨季補單","跨季補單",
IF(COUNTBLANK(C39:E39)=3,"未保養","")
))))</f>
        <v>未保養</v>
      </c>
      <c r="G39" s="116" t="str">
        <f>IF(COUNTIFS('0919門市清單主檔'!C:C,B39,'0919門市清單主檔'!AF:AF,$H$3)=1,
    IF(COUNTIFS(IM!F:F,A39,IM!AC:AC,"*"&amp;$H$3&amp;"*") + COUNTIFS('0919門市清單主檔'!C:C,B39,'0919門市清單主檔'!AF:AF,$H$3) &gt; 1,
       "V","未完工"),"-")</f>
        <v>-</v>
      </c>
      <c r="H39" s="253" t="str">
        <f>IF(COUNTIFS('0919門市清單主檔'!C:C,B39,'0919門市清單主檔'!AG:AG,$H$4)=1,
    IF(COUNTIFS(IM!F:F,A39,IM!AC:AC,"*"&amp;$H$4&amp;"*") + COUNTIFS('0919門市清單主檔'!C:C,B39,'0919門市清單主檔'!AG:AG,$H$4) &gt; 1,
       "V","未完工"),"-")</f>
        <v>V</v>
      </c>
      <c r="I39" s="253" t="str">
        <f>IF(COUNTIFS('0919門市清單主檔'!C:C,B39,'0919門市清單主檔'!AH:AH,$H$5)=1,
    IF(COUNTIFS(IM!F:F,A39,IM!AC:AC,"*"&amp;$H$5&amp;"*") + COUNTIFS('0919門市清單主檔'!C:C,B39,'0919門市清單主檔'!AH:AH,$H$5) &gt; 1,
       "V","未完工"),"-")</f>
        <v>未完工</v>
      </c>
      <c r="J39" s="253" t="str">
        <f>IF(
    COUNTIFS('0919門市清單主檔'!C:C,B39,'0919門市清單主檔'!AC:AC,$H$2)=1,
    IF(
        COUNTIFS(
            IM!F:F,A39,
            IM!AC:AC,"*"&amp;$H$2&amp;"*",
            IM!X:X,"&gt;="&amp;$M$1,
            IM!X:X,"&lt;="&amp;$M$3
        )
        + COUNTIFS('0919門市清單主檔'!C:C,B39,'0919門市清單主檔'!AC:AC,$H$2)
        &gt;1,
        "V",
        "未完工"
    ),
    "-"
)</f>
        <v>-</v>
      </c>
      <c r="K39" s="122">
        <v>45887</v>
      </c>
      <c r="L39" s="116" t="str">
        <f>VLOOKUP(A39,'0919門市清單主檔'!B:V,21,FALSE)</f>
        <v>新莊區</v>
      </c>
      <c r="M39" s="153" t="str">
        <f>VLOOKUP(A39,門市總表!A:B,2,FALSE)</f>
        <v>新莊巷口店</v>
      </c>
      <c r="Q39" s="115" t="s">
        <v>4951</v>
      </c>
      <c r="R39" s="115"/>
    </row>
    <row r="40" spans="1:18" ht="21.6" customHeight="1">
      <c r="A40" s="116">
        <v>3999</v>
      </c>
      <c r="B40" s="116" t="str">
        <f>VLOOKUP(A40,門市總表!A:B,2,FALSE)</f>
        <v>新莊福祐店</v>
      </c>
      <c r="C40" s="146" t="str">
        <f>IF(COUNTIFS(IM!$F:$F,A40,IM!$AD:$AD,"O",IM!$X:$X,"&gt;="&amp;$M$1, IM!$X:$X,"&lt;"&amp;$M$2)&gt;0,"V","")</f>
        <v/>
      </c>
      <c r="D40" s="146" t="str">
        <f>IF(AND(C40&lt;&gt;"V", COUNTIFS(IM!$F:$F,A40, IM!$AD:$AD, "O", IM!$X:$X, "&gt;="&amp;$M$2, IM!$X:$X, "&lt;"&amp;$M$3)&gt;0), "V", "")</f>
        <v/>
      </c>
      <c r="E40" s="146" t="str">
        <f>IF(AND(C40&lt;&gt;"V",D40&lt;&gt;"V", COUNTIFS(IM!$F:$F, A40, IM!$AD:$AD, "O", IM!$X:$X, "&gt;="&amp;$M$3, IM!$X:$X, "&lt;"&amp;$N$3)&gt;0), "V", "")</f>
        <v/>
      </c>
      <c r="F40" s="116" t="str">
        <f>IF(VLOOKUP(A40,門市總表!A:F,6,FALSE)="新開","新開不保養",
IF(VLOOKUP(A40,門市總表!A:F,6,FALSE)="撤店","閉店不保養",IF(VLOOKUP(A40,門市總表!A:F,6,FALSE)="非當季","非當季",IF(VLOOKUP(A40,門市總表!A:F,6,FALSE)="跨季補單","跨季補單",
IF(COUNTBLANK(C40:E40)=3,"未保養","")
))))</f>
        <v>未保養</v>
      </c>
      <c r="G40" s="116" t="str">
        <f>IF(COUNTIFS('0919門市清單主檔'!C:C,B40,'0919門市清單主檔'!AF:AF,$H$3)=1,
    IF(COUNTIFS(IM!F:F,A40,IM!AC:AC,"*"&amp;$H$3&amp;"*") + COUNTIFS('0919門市清單主檔'!C:C,B40,'0919門市清單主檔'!AF:AF,$H$3) &gt; 1,
       "V","未完工"),"-")</f>
        <v>-</v>
      </c>
      <c r="H40" s="253" t="str">
        <f>IF(COUNTIFS('0919門市清單主檔'!C:C,B40,'0919門市清單主檔'!AG:AG,$H$4)=1,
    IF(COUNTIFS(IM!F:F,A40,IM!AC:AC,"*"&amp;$H$4&amp;"*") + COUNTIFS('0919門市清單主檔'!C:C,B40,'0919門市清單主檔'!AG:AG,$H$4) &gt; 1,
       "V","未完工"),"-")</f>
        <v>V</v>
      </c>
      <c r="I40" s="253" t="str">
        <f>IF(COUNTIFS('0919門市清單主檔'!C:C,B40,'0919門市清單主檔'!AH:AH,$H$5)=1,
    IF(COUNTIFS(IM!F:F,A40,IM!AC:AC,"*"&amp;$H$5&amp;"*") + COUNTIFS('0919門市清單主檔'!C:C,B40,'0919門市清單主檔'!AH:AH,$H$5) &gt; 1,
       "V","未完工"),"-")</f>
        <v>未完工</v>
      </c>
      <c r="J40" s="253" t="str">
        <f>IF(
    COUNTIFS('0919門市清單主檔'!C:C,B40,'0919門市清單主檔'!AC:AC,$H$2)=1,
    IF(
        COUNTIFS(
            IM!F:F,A40,
            IM!AC:AC,"*"&amp;$H$2&amp;"*",
            IM!X:X,"&gt;="&amp;$M$1,
            IM!X:X,"&lt;="&amp;$M$3
        )
        + COUNTIFS('0919門市清單主檔'!C:C,B40,'0919門市清單主檔'!AC:AC,$H$2)
        &gt;1,
        "V",
        "未完工"
    ),
    "-"
)</f>
        <v>-</v>
      </c>
      <c r="K40" s="122">
        <v>45887</v>
      </c>
      <c r="L40" s="116" t="str">
        <f>VLOOKUP(A40,'0919門市清單主檔'!B:V,21,FALSE)</f>
        <v>新莊區</v>
      </c>
      <c r="M40" s="153" t="str">
        <f>VLOOKUP(A40,門市總表!A:B,2,FALSE)</f>
        <v>新莊福祐店</v>
      </c>
      <c r="Q40" s="115" t="s">
        <v>4951</v>
      </c>
      <c r="R40" s="115"/>
    </row>
    <row r="41" spans="1:18" ht="21.6" customHeight="1">
      <c r="A41" s="116">
        <v>4701</v>
      </c>
      <c r="B41" s="116" t="str">
        <f>VLOOKUP(A41,門市總表!A:B,2,FALSE)</f>
        <v>新莊昌平店</v>
      </c>
      <c r="C41" s="146" t="str">
        <f>IF(COUNTIFS(IM!$F:$F,A41,IM!$AD:$AD,"O",IM!$X:$X,"&gt;="&amp;$M$1, IM!$X:$X,"&lt;"&amp;$M$2)&gt;0,"V","")</f>
        <v/>
      </c>
      <c r="D41" s="146" t="str">
        <f>IF(AND(C41&lt;&gt;"V", COUNTIFS(IM!$F:$F,A41, IM!$AD:$AD, "O", IM!$X:$X, "&gt;="&amp;$M$2, IM!$X:$X, "&lt;"&amp;$M$3)&gt;0), "V", "")</f>
        <v/>
      </c>
      <c r="E41" s="146" t="str">
        <f>IF(AND(C41&lt;&gt;"V",D41&lt;&gt;"V", COUNTIFS(IM!$F:$F, A41, IM!$AD:$AD, "O", IM!$X:$X, "&gt;="&amp;$M$3, IM!$X:$X, "&lt;"&amp;$N$3)&gt;0), "V", "")</f>
        <v/>
      </c>
      <c r="F41" s="116" t="str">
        <f>IF(VLOOKUP(A41,門市總表!A:F,6,FALSE)="新開","新開不保養",
IF(VLOOKUP(A41,門市總表!A:F,6,FALSE)="撤店","閉店不保養",IF(VLOOKUP(A41,門市總表!A:F,6,FALSE)="非當季","非當季",IF(VLOOKUP(A41,門市總表!A:F,6,FALSE)="跨季補單","跨季補單",
IF(COUNTBLANK(C41:E41)=3,"未保養","")
))))</f>
        <v>未保養</v>
      </c>
      <c r="G41" s="116" t="str">
        <f>IF(COUNTIFS('0919門市清單主檔'!C:C,B41,'0919門市清單主檔'!AF:AF,$H$3)=1,
    IF(COUNTIFS(IM!F:F,A41,IM!AC:AC,"*"&amp;$H$3&amp;"*") + COUNTIFS('0919門市清單主檔'!C:C,B41,'0919門市清單主檔'!AF:AF,$H$3) &gt; 1,
       "V","未完工"),"-")</f>
        <v>-</v>
      </c>
      <c r="H41" s="253" t="str">
        <f>IF(COUNTIFS('0919門市清單主檔'!C:C,B41,'0919門市清單主檔'!AG:AG,$H$4)=1,
    IF(COUNTIFS(IM!F:F,A41,IM!AC:AC,"*"&amp;$H$4&amp;"*") + COUNTIFS('0919門市清單主檔'!C:C,B41,'0919門市清單主檔'!AG:AG,$H$4) &gt; 1,
       "V","未完工"),"-")</f>
        <v>V</v>
      </c>
      <c r="I41" s="253" t="str">
        <f>IF(COUNTIFS('0919門市清單主檔'!C:C,B41,'0919門市清單主檔'!AH:AH,$H$5)=1,
    IF(COUNTIFS(IM!F:F,A41,IM!AC:AC,"*"&amp;$H$5&amp;"*") + COUNTIFS('0919門市清單主檔'!C:C,B41,'0919門市清單主檔'!AH:AH,$H$5) &gt; 1,
       "V","未完工"),"-")</f>
        <v>未完工</v>
      </c>
      <c r="J41" s="253" t="str">
        <f>IF(
    COUNTIFS('0919門市清單主檔'!C:C,B41,'0919門市清單主檔'!AC:AC,$H$2)=1,
    IF(
        COUNTIFS(
            IM!F:F,A41,
            IM!AC:AC,"*"&amp;$H$2&amp;"*",
            IM!X:X,"&gt;="&amp;$M$1,
            IM!X:X,"&lt;="&amp;$M$3
        )
        + COUNTIFS('0919門市清單主檔'!C:C,B41,'0919門市清單主檔'!AC:AC,$H$2)
        &gt;1,
        "V",
        "未完工"
    ),
    "-"
)</f>
        <v>-</v>
      </c>
      <c r="K41" s="122">
        <v>45887</v>
      </c>
      <c r="L41" s="116" t="str">
        <f>VLOOKUP(A41,'0919門市清單主檔'!B:V,21,FALSE)</f>
        <v>新莊區</v>
      </c>
      <c r="M41" s="153" t="str">
        <f>VLOOKUP(A41,門市總表!A:B,2,FALSE)</f>
        <v>新莊昌平店</v>
      </c>
      <c r="Q41" s="115"/>
      <c r="R41" s="115"/>
    </row>
    <row r="42" spans="1:18" ht="21.6" customHeight="1">
      <c r="A42" s="116">
        <v>4125</v>
      </c>
      <c r="B42" s="116" t="str">
        <f>VLOOKUP(A42,門市總表!A:B,2,FALSE)</f>
        <v>蘆洲長樂店</v>
      </c>
      <c r="C42" s="146" t="str">
        <f>IF(COUNTIFS(IM!$F:$F,A42,IM!$AD:$AD,"O",IM!$X:$X,"&gt;="&amp;$M$1, IM!$X:$X,"&lt;"&amp;$M$2)&gt;0,"V","")</f>
        <v/>
      </c>
      <c r="D42" s="146" t="str">
        <f>IF(AND(C42&lt;&gt;"V", COUNTIFS(IM!$F:$F,A42, IM!$AD:$AD, "O", IM!$X:$X, "&gt;="&amp;$M$2, IM!$X:$X, "&lt;"&amp;$M$3)&gt;0), "V", "")</f>
        <v/>
      </c>
      <c r="E42" s="146" t="str">
        <f>IF(AND(C42&lt;&gt;"V",D42&lt;&gt;"V", COUNTIFS(IM!$F:$F, A42, IM!$AD:$AD, "O", IM!$X:$X, "&gt;="&amp;$M$3, IM!$X:$X, "&lt;"&amp;$N$3)&gt;0), "V", "")</f>
        <v/>
      </c>
      <c r="F42" s="116" t="str">
        <f>IF(VLOOKUP(A42,門市總表!A:F,6,FALSE)="新開","新開不保養",
IF(VLOOKUP(A42,門市總表!A:F,6,FALSE)="撤店","閉店不保養",IF(VLOOKUP(A42,門市總表!A:F,6,FALSE)="非當季","非當季",IF(VLOOKUP(A42,門市總表!A:F,6,FALSE)="跨季補單","跨季補單",
IF(COUNTBLANK(C42:E42)=3,"未保養","")
))))</f>
        <v>未保養</v>
      </c>
      <c r="G42" s="116" t="str">
        <f>IF(COUNTIFS('0919門市清單主檔'!C:C,B42,'0919門市清單主檔'!AF:AF,$H$3)=1,
    IF(COUNTIFS(IM!F:F,A42,IM!AC:AC,"*"&amp;$H$3&amp;"*") + COUNTIFS('0919門市清單主檔'!C:C,B42,'0919門市清單主檔'!AF:AF,$H$3) &gt; 1,
       "V","未完工"),"-")</f>
        <v>-</v>
      </c>
      <c r="H42" s="253" t="str">
        <f>IF(COUNTIFS('0919門市清單主檔'!C:C,B42,'0919門市清單主檔'!AG:AG,$H$4)=1,
    IF(COUNTIFS(IM!F:F,A42,IM!AC:AC,"*"&amp;$H$4&amp;"*") + COUNTIFS('0919門市清單主檔'!C:C,B42,'0919門市清單主檔'!AG:AG,$H$4) &gt; 1,
       "V","未完工"),"-")</f>
        <v>V</v>
      </c>
      <c r="I42" s="253" t="str">
        <f>IF(COUNTIFS('0919門市清單主檔'!C:C,B42,'0919門市清單主檔'!AH:AH,$H$5)=1,
    IF(COUNTIFS(IM!F:F,A42,IM!AC:AC,"*"&amp;$H$5&amp;"*") + COUNTIFS('0919門市清單主檔'!C:C,B42,'0919門市清單主檔'!AH:AH,$H$5) &gt; 1,
       "V","未完工"),"-")</f>
        <v>未完工</v>
      </c>
      <c r="J42" s="253" t="str">
        <f>IF(
    COUNTIFS('0919門市清單主檔'!C:C,B42,'0919門市清單主檔'!AC:AC,$H$2)=1,
    IF(
        COUNTIFS(
            IM!F:F,A42,
            IM!AC:AC,"*"&amp;$H$2&amp;"*",
            IM!X:X,"&gt;="&amp;$M$1,
            IM!X:X,"&lt;="&amp;$M$3
        )
        + COUNTIFS('0919門市清單主檔'!C:C,B42,'0919門市清單主檔'!AC:AC,$H$2)
        &gt;1,
        "V",
        "未完工"
    ),
    "-"
)</f>
        <v>-</v>
      </c>
      <c r="K42" s="122">
        <v>45867</v>
      </c>
      <c r="L42" s="116" t="str">
        <f>VLOOKUP(A42,'0919門市清單主檔'!B:V,21,FALSE)</f>
        <v>蘆洲區</v>
      </c>
      <c r="M42" s="153" t="str">
        <f>VLOOKUP(A42,門市總表!A:B,2,FALSE)</f>
        <v>蘆洲長樂店</v>
      </c>
      <c r="Q42" s="115" t="s">
        <v>4951</v>
      </c>
      <c r="R42" s="115"/>
    </row>
    <row r="43" spans="1:18" ht="21.6" customHeight="1">
      <c r="A43" s="116">
        <v>2958</v>
      </c>
      <c r="B43" s="116" t="str">
        <f>VLOOKUP(A43,門市總表!A:B,2,FALSE)</f>
        <v>北縣蘆旺店</v>
      </c>
      <c r="C43" s="146" t="str">
        <f>IF(COUNTIFS(IM!$F:$F,A43,IM!$AD:$AD,"O",IM!$X:$X,"&gt;="&amp;$M$1, IM!$X:$X,"&lt;"&amp;$M$2)&gt;0,"V","")</f>
        <v/>
      </c>
      <c r="D43" s="146" t="str">
        <f>IF(AND(C43&lt;&gt;"V", COUNTIFS(IM!$F:$F,A43, IM!$AD:$AD, "O", IM!$X:$X, "&gt;="&amp;$M$2, IM!$X:$X, "&lt;"&amp;$M$3)&gt;0), "V", "")</f>
        <v/>
      </c>
      <c r="E43" s="146" t="str">
        <f>IF(AND(C43&lt;&gt;"V",D43&lt;&gt;"V", COUNTIFS(IM!$F:$F, A43, IM!$AD:$AD, "O", IM!$X:$X, "&gt;="&amp;$M$3, IM!$X:$X, "&lt;"&amp;$N$3)&gt;0), "V", "")</f>
        <v/>
      </c>
      <c r="F43" s="116" t="str">
        <f>IF(VLOOKUP(A43,門市總表!A:F,6,FALSE)="新開","新開不保養",
IF(VLOOKUP(A43,門市總表!A:F,6,FALSE)="撤店","閉店不保養",IF(VLOOKUP(A43,門市總表!A:F,6,FALSE)="非當季","非當季",IF(VLOOKUP(A43,門市總表!A:F,6,FALSE)="跨季補單","跨季補單",
IF(COUNTBLANK(C43:E43)=3,"未保養","")
))))</f>
        <v>未保養</v>
      </c>
      <c r="G43" s="116" t="str">
        <f>IF(COUNTIFS('0919門市清單主檔'!C:C,B43,'0919門市清單主檔'!AF:AF,$H$3)=1,
    IF(COUNTIFS(IM!F:F,A43,IM!AC:AC,"*"&amp;$H$3&amp;"*") + COUNTIFS('0919門市清單主檔'!C:C,B43,'0919門市清單主檔'!AF:AF,$H$3) &gt; 1,
       "V","未完工"),"-")</f>
        <v>-</v>
      </c>
      <c r="H43" s="253" t="str">
        <f>IF(COUNTIFS('0919門市清單主檔'!C:C,B43,'0919門市清單主檔'!AG:AG,$H$4)=1,
    IF(COUNTIFS(IM!F:F,A43,IM!AC:AC,"*"&amp;$H$4&amp;"*") + COUNTIFS('0919門市清單主檔'!C:C,B43,'0919門市清單主檔'!AG:AG,$H$4) &gt; 1,
       "V","未完工"),"-")</f>
        <v>V</v>
      </c>
      <c r="I43" s="253" t="str">
        <f>IF(COUNTIFS('0919門市清單主檔'!C:C,B43,'0919門市清單主檔'!AH:AH,$H$5)=1,
    IF(COUNTIFS(IM!F:F,A43,IM!AC:AC,"*"&amp;$H$5&amp;"*") + COUNTIFS('0919門市清單主檔'!C:C,B43,'0919門市清單主檔'!AH:AH,$H$5) &gt; 1,
       "V","未完工"),"-")</f>
        <v>未完工</v>
      </c>
      <c r="J43" s="253" t="str">
        <f>IF(
    COUNTIFS('0919門市清單主檔'!C:C,B43,'0919門市清單主檔'!AC:AC,$H$2)=1,
    IF(
        COUNTIFS(
            IM!F:F,A43,
            IM!AC:AC,"*"&amp;$H$2&amp;"*",
            IM!X:X,"&gt;="&amp;$M$1,
            IM!X:X,"&lt;="&amp;$M$3
        )
        + COUNTIFS('0919門市清單主檔'!C:C,B43,'0919門市清單主檔'!AC:AC,$H$2)
        &gt;1,
        "V",
        "未完工"
    ),
    "-"
)</f>
        <v>-</v>
      </c>
      <c r="K43" s="122">
        <v>45862</v>
      </c>
      <c r="L43" s="116" t="str">
        <f>VLOOKUP(A43,'0919門市清單主檔'!B:V,21,FALSE)</f>
        <v>蘆洲區</v>
      </c>
      <c r="M43" s="153" t="str">
        <f>VLOOKUP(A43,門市總表!A:B,2,FALSE)</f>
        <v>北縣蘆旺店</v>
      </c>
      <c r="Q43" s="115" t="s">
        <v>4951</v>
      </c>
      <c r="R43" s="115"/>
    </row>
    <row r="44" spans="1:18" ht="21.6" customHeight="1">
      <c r="A44" s="116">
        <v>3929</v>
      </c>
      <c r="B44" s="116" t="str">
        <f>VLOOKUP(A44,門市總表!A:B,2,FALSE)</f>
        <v>蘆洲中山一</v>
      </c>
      <c r="C44" s="146" t="str">
        <f>IF(COUNTIFS(IM!$F:$F,A44,IM!$AD:$AD,"O",IM!$X:$X,"&gt;="&amp;$M$1, IM!$X:$X,"&lt;"&amp;$M$2)&gt;0,"V","")</f>
        <v/>
      </c>
      <c r="D44" s="146" t="str">
        <f>IF(AND(C44&lt;&gt;"V", COUNTIFS(IM!$F:$F,A44, IM!$AD:$AD, "O", IM!$X:$X, "&gt;="&amp;$M$2, IM!$X:$X, "&lt;"&amp;$M$3)&gt;0), "V", "")</f>
        <v/>
      </c>
      <c r="E44" s="146" t="str">
        <f>IF(AND(C44&lt;&gt;"V",D44&lt;&gt;"V", COUNTIFS(IM!$F:$F, A44, IM!$AD:$AD, "O", IM!$X:$X, "&gt;="&amp;$M$3, IM!$X:$X, "&lt;"&amp;$N$3)&gt;0), "V", "")</f>
        <v/>
      </c>
      <c r="F44" s="116" t="str">
        <f>IF(VLOOKUP(A44,門市總表!A:F,6,FALSE)="新開","新開不保養",
IF(VLOOKUP(A44,門市總表!A:F,6,FALSE)="撤店","閉店不保養",IF(VLOOKUP(A44,門市總表!A:F,6,FALSE)="非當季","非當季",IF(VLOOKUP(A44,門市總表!A:F,6,FALSE)="跨季補單","跨季補單",
IF(COUNTBLANK(C44:E44)=3,"未保養","")
))))</f>
        <v>未保養</v>
      </c>
      <c r="G44" s="116" t="str">
        <f>IF(COUNTIFS('0919門市清單主檔'!C:C,B44,'0919門市清單主檔'!AF:AF,$H$3)=1,
    IF(COUNTIFS(IM!F:F,A44,IM!AC:AC,"*"&amp;$H$3&amp;"*") + COUNTIFS('0919門市清單主檔'!C:C,B44,'0919門市清單主檔'!AF:AF,$H$3) &gt; 1,
       "V","未完工"),"-")</f>
        <v>-</v>
      </c>
      <c r="H44" s="253" t="str">
        <f>IF(COUNTIFS('0919門市清單主檔'!C:C,B44,'0919門市清單主檔'!AG:AG,$H$4)=1,
    IF(COUNTIFS(IM!F:F,A44,IM!AC:AC,"*"&amp;$H$4&amp;"*") + COUNTIFS('0919門市清單主檔'!C:C,B44,'0919門市清單主檔'!AG:AG,$H$4) &gt; 1,
       "V","未完工"),"-")</f>
        <v>V</v>
      </c>
      <c r="I44" s="253" t="str">
        <f>IF(COUNTIFS('0919門市清單主檔'!C:C,B44,'0919門市清單主檔'!AH:AH,$H$5)=1,
    IF(COUNTIFS(IM!F:F,A44,IM!AC:AC,"*"&amp;$H$5&amp;"*") + COUNTIFS('0919門市清單主檔'!C:C,B44,'0919門市清單主檔'!AH:AH,$H$5) &gt; 1,
       "V","未完工"),"-")</f>
        <v>未完工</v>
      </c>
      <c r="J44" s="253" t="str">
        <f>IF(
    COUNTIFS('0919門市清單主檔'!C:C,B44,'0919門市清單主檔'!AC:AC,$H$2)=1,
    IF(
        COUNTIFS(
            IM!F:F,A44,
            IM!AC:AC,"*"&amp;$H$2&amp;"*",
            IM!X:X,"&gt;="&amp;$M$1,
            IM!X:X,"&lt;="&amp;$M$3
        )
        + COUNTIFS('0919門市清單主檔'!C:C,B44,'0919門市清單主檔'!AC:AC,$H$2)
        &gt;1,
        "V",
        "未完工"
    ),
    "-"
)</f>
        <v>-</v>
      </c>
      <c r="K44" s="122">
        <v>45862</v>
      </c>
      <c r="L44" s="116" t="str">
        <f>VLOOKUP(A44,'0919門市清單主檔'!B:V,21,FALSE)</f>
        <v>蘆洲區</v>
      </c>
      <c r="M44" s="153" t="str">
        <f>VLOOKUP(A44,門市總表!A:B,2,FALSE)</f>
        <v>蘆洲中山一</v>
      </c>
      <c r="Q44" s="115"/>
      <c r="R44" s="115"/>
    </row>
    <row r="45" spans="1:18" ht="21.6" customHeight="1">
      <c r="A45" s="116">
        <v>3452</v>
      </c>
      <c r="B45" s="116" t="str">
        <f>VLOOKUP(A45,門市總表!A:B,2,FALSE)</f>
        <v>蘆洲信義店</v>
      </c>
      <c r="C45" s="146" t="str">
        <f>IF(COUNTIFS(IM!$F:$F,A45,IM!$AD:$AD,"O",IM!$X:$X,"&gt;="&amp;$M$1, IM!$X:$X,"&lt;"&amp;$M$2)&gt;0,"V","")</f>
        <v/>
      </c>
      <c r="D45" s="146" t="str">
        <f>IF(AND(C45&lt;&gt;"V", COUNTIFS(IM!$F:$F,A45, IM!$AD:$AD, "O", IM!$X:$X, "&gt;="&amp;$M$2, IM!$X:$X, "&lt;"&amp;$M$3)&gt;0), "V", "")</f>
        <v/>
      </c>
      <c r="E45" s="146" t="str">
        <f>IF(AND(C45&lt;&gt;"V",D45&lt;&gt;"V", COUNTIFS(IM!$F:$F, A45, IM!$AD:$AD, "O", IM!$X:$X, "&gt;="&amp;$M$3, IM!$X:$X, "&lt;"&amp;$N$3)&gt;0), "V", "")</f>
        <v/>
      </c>
      <c r="F45" s="116" t="str">
        <f>IF(VLOOKUP(A45,門市總表!A:F,6,FALSE)="新開","新開不保養",
IF(VLOOKUP(A45,門市總表!A:F,6,FALSE)="撤店","閉店不保養",IF(VLOOKUP(A45,門市總表!A:F,6,FALSE)="非當季","非當季",IF(VLOOKUP(A45,門市總表!A:F,6,FALSE)="跨季補單","跨季補單",
IF(COUNTBLANK(C45:E45)=3,"未保養","")
))))</f>
        <v>未保養</v>
      </c>
      <c r="G45" s="116" t="str">
        <f>IF(COUNTIFS('0919門市清單主檔'!C:C,B45,'0919門市清單主檔'!AF:AF,$H$3)=1,
    IF(COUNTIFS(IM!F:F,A45,IM!AC:AC,"*"&amp;$H$3&amp;"*") + COUNTIFS('0919門市清單主檔'!C:C,B45,'0919門市清單主檔'!AF:AF,$H$3) &gt; 1,
       "V","未完工"),"-")</f>
        <v>-</v>
      </c>
      <c r="H45" s="253" t="str">
        <f>IF(COUNTIFS('0919門市清單主檔'!C:C,B45,'0919門市清單主檔'!AG:AG,$H$4)=1,
    IF(COUNTIFS(IM!F:F,A45,IM!AC:AC,"*"&amp;$H$4&amp;"*") + COUNTIFS('0919門市清單主檔'!C:C,B45,'0919門市清單主檔'!AG:AG,$H$4) &gt; 1,
       "V","未完工"),"-")</f>
        <v>V</v>
      </c>
      <c r="I45" s="253" t="str">
        <f>IF(COUNTIFS('0919門市清單主檔'!C:C,B45,'0919門市清單主檔'!AH:AH,$H$5)=1,
    IF(COUNTIFS(IM!F:F,A45,IM!AC:AC,"*"&amp;$H$5&amp;"*") + COUNTIFS('0919門市清單主檔'!C:C,B45,'0919門市清單主檔'!AH:AH,$H$5) &gt; 1,
       "V","未完工"),"-")</f>
        <v>未完工</v>
      </c>
      <c r="J45" s="253" t="str">
        <f>IF(
    COUNTIFS('0919門市清單主檔'!C:C,B45,'0919門市清單主檔'!AC:AC,$H$2)=1,
    IF(
        COUNTIFS(
            IM!F:F,A45,
            IM!AC:AC,"*"&amp;$H$2&amp;"*",
            IM!X:X,"&gt;="&amp;$M$1,
            IM!X:X,"&lt;="&amp;$M$3
        )
        + COUNTIFS('0919門市清單主檔'!C:C,B45,'0919門市清單主檔'!AC:AC,$H$2)
        &gt;1,
        "V",
        "未完工"
    ),
    "-"
)</f>
        <v>-</v>
      </c>
      <c r="K45" s="122">
        <v>45876</v>
      </c>
      <c r="L45" s="116" t="str">
        <f>VLOOKUP(A45,'0919門市清單主檔'!B:V,21,FALSE)</f>
        <v>蘆洲區</v>
      </c>
      <c r="M45" s="153" t="str">
        <f>VLOOKUP(A45,門市總表!A:B,2,FALSE)</f>
        <v>蘆洲信義店</v>
      </c>
      <c r="Q45" s="115"/>
      <c r="R45" s="115"/>
    </row>
    <row r="46" spans="1:18" ht="21.6" customHeight="1">
      <c r="A46" s="116">
        <v>5341</v>
      </c>
      <c r="B46" s="116" t="str">
        <f>VLOOKUP(A46,門市總表!A:B,2,FALSE)</f>
        <v>蘆洲切仔麵</v>
      </c>
      <c r="C46" s="146" t="str">
        <f>IF(COUNTIFS(IM!$F:$F,A46,IM!$AD:$AD,"O",IM!$X:$X,"&gt;="&amp;$M$1, IM!$X:$X,"&lt;"&amp;$M$2)&gt;0,"V","")</f>
        <v/>
      </c>
      <c r="D46" s="146" t="str">
        <f>IF(AND(C46&lt;&gt;"V", COUNTIFS(IM!$F:$F,A46, IM!$AD:$AD, "O", IM!$X:$X, "&gt;="&amp;$M$2, IM!$X:$X, "&lt;"&amp;$M$3)&gt;0), "V", "")</f>
        <v/>
      </c>
      <c r="E46" s="146" t="str">
        <f>IF(AND(C46&lt;&gt;"V",D46&lt;&gt;"V", COUNTIFS(IM!$F:$F, A46, IM!$AD:$AD, "O", IM!$X:$X, "&gt;="&amp;$M$3, IM!$X:$X, "&lt;"&amp;$N$3)&gt;0), "V", "")</f>
        <v/>
      </c>
      <c r="F46" s="116" t="str">
        <f>IF(VLOOKUP(A46,門市總表!A:F,6,FALSE)="新開","新開不保養",
IF(VLOOKUP(A46,門市總表!A:F,6,FALSE)="撤店","閉店不保養",IF(VLOOKUP(A46,門市總表!A:F,6,FALSE)="非當季","非當季",IF(VLOOKUP(A46,門市總表!A:F,6,FALSE)="跨季補單","跨季補單",
IF(COUNTBLANK(C46:E46)=3,"未保養","")
))))</f>
        <v>未保養</v>
      </c>
      <c r="G46" s="116" t="str">
        <f>IF(COUNTIFS('0919門市清單主檔'!C:C,B46,'0919門市清單主檔'!AF:AF,$H$3)=1,
    IF(COUNTIFS(IM!F:F,A46,IM!AC:AC,"*"&amp;$H$3&amp;"*") + COUNTIFS('0919門市清單主檔'!C:C,B46,'0919門市清單主檔'!AF:AF,$H$3) &gt; 1,
       "V","未完工"),"-")</f>
        <v>-</v>
      </c>
      <c r="H46" s="253" t="str">
        <f>IF(COUNTIFS('0919門市清單主檔'!C:C,B46,'0919門市清單主檔'!AG:AG,$H$4)=1,
    IF(COUNTIFS(IM!F:F,A46,IM!AC:AC,"*"&amp;$H$4&amp;"*") + COUNTIFS('0919門市清單主檔'!C:C,B46,'0919門市清單主檔'!AG:AG,$H$4) &gt; 1,
       "V","未完工"),"-")</f>
        <v>V</v>
      </c>
      <c r="I46" s="253" t="str">
        <f>IF(COUNTIFS('0919門市清單主檔'!C:C,B46,'0919門市清單主檔'!AH:AH,$H$5)=1,
    IF(COUNTIFS(IM!F:F,A46,IM!AC:AC,"*"&amp;$H$5&amp;"*") + COUNTIFS('0919門市清單主檔'!C:C,B46,'0919門市清單主檔'!AH:AH,$H$5) &gt; 1,
       "V","未完工"),"-")</f>
        <v>未完工</v>
      </c>
      <c r="J46" s="253" t="str">
        <f>IF(
    COUNTIFS('0919門市清單主檔'!C:C,B46,'0919門市清單主檔'!AC:AC,$H$2)=1,
    IF(
        COUNTIFS(
            IM!F:F,A46,
            IM!AC:AC,"*"&amp;$H$2&amp;"*",
            IM!X:X,"&gt;="&amp;$M$1,
            IM!X:X,"&lt;="&amp;$M$3
        )
        + COUNTIFS('0919門市清單主檔'!C:C,B46,'0919門市清單主檔'!AC:AC,$H$2)
        &gt;1,
        "V",
        "未完工"
    ),
    "-"
)</f>
        <v>-</v>
      </c>
      <c r="K46" s="122">
        <v>45846</v>
      </c>
      <c r="L46" s="116" t="str">
        <f>VLOOKUP(A46,'0919門市清單主檔'!B:V,21,FALSE)</f>
        <v>蘆洲區</v>
      </c>
      <c r="M46" s="153" t="str">
        <f>VLOOKUP(A46,門市總表!A:B,2,FALSE)</f>
        <v>蘆洲切仔麵</v>
      </c>
      <c r="Q46" s="115" t="s">
        <v>4951</v>
      </c>
      <c r="R46" s="115"/>
    </row>
    <row r="47" spans="1:18" ht="21.6" customHeight="1">
      <c r="A47" s="116">
        <v>4218</v>
      </c>
      <c r="B47" s="116" t="str">
        <f>VLOOKUP(A47,門市總表!A:B,2,FALSE)</f>
        <v>蘆洲湧蓮店</v>
      </c>
      <c r="C47" s="146" t="str">
        <f>IF(COUNTIFS(IM!$F:$F,A47,IM!$AD:$AD,"O",IM!$X:$X,"&gt;="&amp;$M$1, IM!$X:$X,"&lt;"&amp;$M$2)&gt;0,"V","")</f>
        <v/>
      </c>
      <c r="D47" s="146" t="str">
        <f>IF(AND(C47&lt;&gt;"V", COUNTIFS(IM!$F:$F,A47, IM!$AD:$AD, "O", IM!$X:$X, "&gt;="&amp;$M$2, IM!$X:$X, "&lt;"&amp;$M$3)&gt;0), "V", "")</f>
        <v/>
      </c>
      <c r="E47" s="146" t="str">
        <f>IF(AND(C47&lt;&gt;"V",D47&lt;&gt;"V", COUNTIFS(IM!$F:$F, A47, IM!$AD:$AD, "O", IM!$X:$X, "&gt;="&amp;$M$3, IM!$X:$X, "&lt;"&amp;$N$3)&gt;0), "V", "")</f>
        <v/>
      </c>
      <c r="F47" s="116" t="str">
        <f>IF(VLOOKUP(A47,門市總表!A:F,6,FALSE)="新開","新開不保養",
IF(VLOOKUP(A47,門市總表!A:F,6,FALSE)="撤店","閉店不保養",IF(VLOOKUP(A47,門市總表!A:F,6,FALSE)="非當季","非當季",IF(VLOOKUP(A47,門市總表!A:F,6,FALSE)="跨季補單","跨季補單",
IF(COUNTBLANK(C47:E47)=3,"未保養","")
))))</f>
        <v>未保養</v>
      </c>
      <c r="G47" s="116" t="str">
        <f>IF(COUNTIFS('0919門市清單主檔'!C:C,B47,'0919門市清單主檔'!AF:AF,$H$3)=1,
    IF(COUNTIFS(IM!F:F,A47,IM!AC:AC,"*"&amp;$H$3&amp;"*") + COUNTIFS('0919門市清單主檔'!C:C,B47,'0919門市清單主檔'!AF:AF,$H$3) &gt; 1,
       "V","未完工"),"-")</f>
        <v>-</v>
      </c>
      <c r="H47" s="253" t="str">
        <f>IF(COUNTIFS('0919門市清單主檔'!C:C,B47,'0919門市清單主檔'!AG:AG,$H$4)=1,
    IF(COUNTIFS(IM!F:F,A47,IM!AC:AC,"*"&amp;$H$4&amp;"*") + COUNTIFS('0919門市清單主檔'!C:C,B47,'0919門市清單主檔'!AG:AG,$H$4) &gt; 1,
       "V","未完工"),"-")</f>
        <v>V</v>
      </c>
      <c r="I47" s="253" t="str">
        <f>IF(COUNTIFS('0919門市清單主檔'!C:C,B47,'0919門市清單主檔'!AH:AH,$H$5)=1,
    IF(COUNTIFS(IM!F:F,A47,IM!AC:AC,"*"&amp;$H$5&amp;"*") + COUNTIFS('0919門市清單主檔'!C:C,B47,'0919門市清單主檔'!AH:AH,$H$5) &gt; 1,
       "V","未完工"),"-")</f>
        <v>未完工</v>
      </c>
      <c r="J47" s="253" t="str">
        <f>IF(
    COUNTIFS('0919門市清單主檔'!C:C,B47,'0919門市清單主檔'!AC:AC,$H$2)=1,
    IF(
        COUNTIFS(
            IM!F:F,A47,
            IM!AC:AC,"*"&amp;$H$2&amp;"*",
            IM!X:X,"&gt;="&amp;$M$1,
            IM!X:X,"&lt;="&amp;$M$3
        )
        + COUNTIFS('0919門市清單主檔'!C:C,B47,'0919門市清單主檔'!AC:AC,$H$2)
        &gt;1,
        "V",
        "未完工"
    ),
    "-"
)</f>
        <v>-</v>
      </c>
      <c r="K47" s="122">
        <v>45918</v>
      </c>
      <c r="L47" s="116" t="str">
        <f>VLOOKUP(A47,'0919門市清單主檔'!B:V,21,FALSE)</f>
        <v>蘆洲區</v>
      </c>
      <c r="M47" s="153" t="str">
        <f>VLOOKUP(A47,門市總表!A:B,2,FALSE)</f>
        <v>蘆洲湧蓮店</v>
      </c>
      <c r="Q47" s="115" t="s">
        <v>4951</v>
      </c>
      <c r="R47" s="115"/>
    </row>
    <row r="48" spans="1:18" ht="21.6" customHeight="1">
      <c r="A48" s="116">
        <v>4036</v>
      </c>
      <c r="B48" s="116" t="str">
        <f>VLOOKUP(A48,門市總表!A:B,2,FALSE)</f>
        <v>蘆洲永樂店</v>
      </c>
      <c r="C48" s="146" t="str">
        <f>IF(COUNTIFS(IM!$F:$F,A48,IM!$AD:$AD,"O",IM!$X:$X,"&gt;="&amp;$M$1, IM!$X:$X,"&lt;"&amp;$M$2)&gt;0,"V","")</f>
        <v/>
      </c>
      <c r="D48" s="146" t="str">
        <f>IF(AND(C48&lt;&gt;"V", COUNTIFS(IM!$F:$F,A48, IM!$AD:$AD, "O", IM!$X:$X, "&gt;="&amp;$M$2, IM!$X:$X, "&lt;"&amp;$M$3)&gt;0), "V", "")</f>
        <v/>
      </c>
      <c r="E48" s="146" t="str">
        <f>IF(AND(C48&lt;&gt;"V",D48&lt;&gt;"V", COUNTIFS(IM!$F:$F, A48, IM!$AD:$AD, "O", IM!$X:$X, "&gt;="&amp;$M$3, IM!$X:$X, "&lt;"&amp;$N$3)&gt;0), "V", "")</f>
        <v/>
      </c>
      <c r="F48" s="116" t="str">
        <f>IF(VLOOKUP(A48,門市總表!A:F,6,FALSE)="新開","新開不保養",
IF(VLOOKUP(A48,門市總表!A:F,6,FALSE)="撤店","閉店不保養",IF(VLOOKUP(A48,門市總表!A:F,6,FALSE)="非當季","非當季",IF(VLOOKUP(A48,門市總表!A:F,6,FALSE)="跨季補單","跨季補單",
IF(COUNTBLANK(C48:E48)=3,"未保養","")
))))</f>
        <v>未保養</v>
      </c>
      <c r="G48" s="116" t="str">
        <f>IF(COUNTIFS('0919門市清單主檔'!C:C,B48,'0919門市清單主檔'!AF:AF,$H$3)=1,
    IF(COUNTIFS(IM!F:F,A48,IM!AC:AC,"*"&amp;$H$3&amp;"*") + COUNTIFS('0919門市清單主檔'!C:C,B48,'0919門市清單主檔'!AF:AF,$H$3) &gt; 1,
       "V","未完工"),"-")</f>
        <v>-</v>
      </c>
      <c r="H48" s="253" t="str">
        <f>IF(COUNTIFS('0919門市清單主檔'!C:C,B48,'0919門市清單主檔'!AG:AG,$H$4)=1,
    IF(COUNTIFS(IM!F:F,A48,IM!AC:AC,"*"&amp;$H$4&amp;"*") + COUNTIFS('0919門市清單主檔'!C:C,B48,'0919門市清單主檔'!AG:AG,$H$4) &gt; 1,
       "V","未完工"),"-")</f>
        <v>V</v>
      </c>
      <c r="I48" s="253" t="str">
        <f>IF(COUNTIFS('0919門市清單主檔'!C:C,B48,'0919門市清單主檔'!AH:AH,$H$5)=1,
    IF(COUNTIFS(IM!F:F,A48,IM!AC:AC,"*"&amp;$H$5&amp;"*") + COUNTIFS('0919門市清單主檔'!C:C,B48,'0919門市清單主檔'!AH:AH,$H$5) &gt; 1,
       "V","未完工"),"-")</f>
        <v>未完工</v>
      </c>
      <c r="J48" s="253" t="str">
        <f>IF(
    COUNTIFS('0919門市清單主檔'!C:C,B48,'0919門市清單主檔'!AC:AC,$H$2)=1,
    IF(
        COUNTIFS(
            IM!F:F,A48,
            IM!AC:AC,"*"&amp;$H$2&amp;"*",
            IM!X:X,"&gt;="&amp;$M$1,
            IM!X:X,"&lt;="&amp;$M$3
        )
        + COUNTIFS('0919門市清單主檔'!C:C,B48,'0919門市清單主檔'!AC:AC,$H$2)
        &gt;1,
        "V",
        "未完工"
    ),
    "-"
)</f>
        <v>-</v>
      </c>
      <c r="K48" s="122">
        <v>45841</v>
      </c>
      <c r="L48" s="116" t="str">
        <f>VLOOKUP(A48,'0919門市清單主檔'!B:V,21,FALSE)</f>
        <v>蘆洲區</v>
      </c>
      <c r="M48" s="153" t="str">
        <f>VLOOKUP(A48,門市總表!A:B,2,FALSE)</f>
        <v>蘆洲永樂店</v>
      </c>
      <c r="Q48" s="115" t="s">
        <v>4951</v>
      </c>
      <c r="R48" s="115"/>
    </row>
    <row r="49" spans="1:18" ht="21.6" customHeight="1">
      <c r="A49" s="116">
        <v>2301</v>
      </c>
      <c r="B49" s="116" t="str">
        <f>VLOOKUP(A49,門市總表!A:B,2,FALSE)</f>
        <v>蘆洲樂平店</v>
      </c>
      <c r="C49" s="146" t="str">
        <f>IF(COUNTIFS(IM!$F:$F,A49,IM!$AD:$AD,"O",IM!$X:$X,"&gt;="&amp;$M$1, IM!$X:$X,"&lt;"&amp;$M$2)&gt;0,"V","")</f>
        <v/>
      </c>
      <c r="D49" s="146" t="str">
        <f>IF(AND(C49&lt;&gt;"V", COUNTIFS(IM!$F:$F,A49, IM!$AD:$AD, "O", IM!$X:$X, "&gt;="&amp;$M$2, IM!$X:$X, "&lt;"&amp;$M$3)&gt;0), "V", "")</f>
        <v/>
      </c>
      <c r="E49" s="146" t="str">
        <f>IF(AND(C49&lt;&gt;"V",D49&lt;&gt;"V", COUNTIFS(IM!$F:$F, A49, IM!$AD:$AD, "O", IM!$X:$X, "&gt;="&amp;$M$3, IM!$X:$X, "&lt;"&amp;$N$3)&gt;0), "V", "")</f>
        <v/>
      </c>
      <c r="F49" s="116" t="str">
        <f>IF(VLOOKUP(A49,門市總表!A:F,6,FALSE)="新開","新開不保養",
IF(VLOOKUP(A49,門市總表!A:F,6,FALSE)="撤店","閉店不保養",IF(VLOOKUP(A49,門市總表!A:F,6,FALSE)="非當季","非當季",IF(VLOOKUP(A49,門市總表!A:F,6,FALSE)="跨季補單","跨季補單",
IF(COUNTBLANK(C49:E49)=3,"未保養","")
))))</f>
        <v>未保養</v>
      </c>
      <c r="G49" s="116" t="str">
        <f>IF(COUNTIFS('0919門市清單主檔'!C:C,B49,'0919門市清單主檔'!AF:AF,$H$3)=1,
    IF(COUNTIFS(IM!F:F,A49,IM!AC:AC,"*"&amp;$H$3&amp;"*") + COUNTIFS('0919門市清單主檔'!C:C,B49,'0919門市清單主檔'!AF:AF,$H$3) &gt; 1,
       "V","未完工"),"-")</f>
        <v>-</v>
      </c>
      <c r="H49" s="253" t="str">
        <f>IF(COUNTIFS('0919門市清單主檔'!C:C,B49,'0919門市清單主檔'!AG:AG,$H$4)=1,
    IF(COUNTIFS(IM!F:F,A49,IM!AC:AC,"*"&amp;$H$4&amp;"*") + COUNTIFS('0919門市清單主檔'!C:C,B49,'0919門市清單主檔'!AG:AG,$H$4) &gt; 1,
       "V","未完工"),"-")</f>
        <v>V</v>
      </c>
      <c r="I49" s="253" t="str">
        <f>IF(COUNTIFS('0919門市清單主檔'!C:C,B49,'0919門市清單主檔'!AH:AH,$H$5)=1,
    IF(COUNTIFS(IM!F:F,A49,IM!AC:AC,"*"&amp;$H$5&amp;"*") + COUNTIFS('0919門市清單主檔'!C:C,B49,'0919門市清單主檔'!AH:AH,$H$5) &gt; 1,
       "V","未完工"),"-")</f>
        <v>未完工</v>
      </c>
      <c r="J49" s="253" t="str">
        <f>IF(
    COUNTIFS('0919門市清單主檔'!C:C,B49,'0919門市清單主檔'!AC:AC,$H$2)=1,
    IF(
        COUNTIFS(
            IM!F:F,A49,
            IM!AC:AC,"*"&amp;$H$2&amp;"*",
            IM!X:X,"&gt;="&amp;$M$1,
            IM!X:X,"&lt;="&amp;$M$3
        )
        + COUNTIFS('0919門市清單主檔'!C:C,B49,'0919門市清單主檔'!AC:AC,$H$2)
        &gt;1,
        "V",
        "未完工"
    ),
    "-"
)</f>
        <v>-</v>
      </c>
      <c r="K49" s="122">
        <v>45841</v>
      </c>
      <c r="L49" s="116" t="str">
        <f>VLOOKUP(A49,'0919門市清單主檔'!B:V,21,FALSE)</f>
        <v>蘆洲區</v>
      </c>
      <c r="M49" s="153" t="str">
        <f>VLOOKUP(A49,門市總表!A:B,2,FALSE)</f>
        <v>蘆洲樂平店</v>
      </c>
      <c r="Q49" s="115" t="s">
        <v>4951</v>
      </c>
      <c r="R49" s="115"/>
    </row>
    <row r="50" spans="1:18" ht="21.6" customHeight="1">
      <c r="A50" s="116">
        <v>3892</v>
      </c>
      <c r="B50" s="116" t="str">
        <f>VLOOKUP(A50,門市總表!A:B,2,FALSE)</f>
        <v>蘆洲光榮店</v>
      </c>
      <c r="C50" s="146" t="str">
        <f>IF(COUNTIFS(IM!$F:$F,A50,IM!$AD:$AD,"O",IM!$X:$X,"&gt;="&amp;$M$1, IM!$X:$X,"&lt;"&amp;$M$2)&gt;0,"V","")</f>
        <v/>
      </c>
      <c r="D50" s="146" t="str">
        <f>IF(AND(C50&lt;&gt;"V", COUNTIFS(IM!$F:$F,A50, IM!$AD:$AD, "O", IM!$X:$X, "&gt;="&amp;$M$2, IM!$X:$X, "&lt;"&amp;$M$3)&gt;0), "V", "")</f>
        <v/>
      </c>
      <c r="E50" s="146" t="str">
        <f>IF(AND(C50&lt;&gt;"V",D50&lt;&gt;"V", COUNTIFS(IM!$F:$F, A50, IM!$AD:$AD, "O", IM!$X:$X, "&gt;="&amp;$M$3, IM!$X:$X, "&lt;"&amp;$N$3)&gt;0), "V", "")</f>
        <v/>
      </c>
      <c r="F50" s="116" t="str">
        <f>IF(VLOOKUP(A50,門市總表!A:F,6,FALSE)="新開","新開不保養",
IF(VLOOKUP(A50,門市總表!A:F,6,FALSE)="撤店","閉店不保養",IF(VLOOKUP(A50,門市總表!A:F,6,FALSE)="非當季","非當季",IF(VLOOKUP(A50,門市總表!A:F,6,FALSE)="跨季補單","跨季補單",
IF(COUNTBLANK(C50:E50)=3,"未保養","")
))))</f>
        <v>未保養</v>
      </c>
      <c r="G50" s="116" t="str">
        <f>IF(COUNTIFS('0919門市清單主檔'!C:C,B50,'0919門市清單主檔'!AF:AF,$H$3)=1,
    IF(COUNTIFS(IM!F:F,A50,IM!AC:AC,"*"&amp;$H$3&amp;"*") + COUNTIFS('0919門市清單主檔'!C:C,B50,'0919門市清單主檔'!AF:AF,$H$3) &gt; 1,
       "V","未完工"),"-")</f>
        <v>-</v>
      </c>
      <c r="H50" s="253" t="str">
        <f>IF(COUNTIFS('0919門市清單主檔'!C:C,B50,'0919門市清單主檔'!AG:AG,$H$4)=1,
    IF(COUNTIFS(IM!F:F,A50,IM!AC:AC,"*"&amp;$H$4&amp;"*") + COUNTIFS('0919門市清單主檔'!C:C,B50,'0919門市清單主檔'!AG:AG,$H$4) &gt; 1,
       "V","未完工"),"-")</f>
        <v>V</v>
      </c>
      <c r="I50" s="253" t="str">
        <f>IF(COUNTIFS('0919門市清單主檔'!C:C,B50,'0919門市清單主檔'!AH:AH,$H$5)=1,
    IF(COUNTIFS(IM!F:F,A50,IM!AC:AC,"*"&amp;$H$5&amp;"*") + COUNTIFS('0919門市清單主檔'!C:C,B50,'0919門市清單主檔'!AH:AH,$H$5) &gt; 1,
       "V","未完工"),"-")</f>
        <v>未完工</v>
      </c>
      <c r="J50" s="253" t="str">
        <f>IF(
    COUNTIFS('0919門市清單主檔'!C:C,B50,'0919門市清單主檔'!AC:AC,$H$2)=1,
    IF(
        COUNTIFS(
            IM!F:F,A50,
            IM!AC:AC,"*"&amp;$H$2&amp;"*",
            IM!X:X,"&gt;="&amp;$M$1,
            IM!X:X,"&lt;="&amp;$M$3
        )
        + COUNTIFS('0919門市清單主檔'!C:C,B50,'0919門市清單主檔'!AC:AC,$H$2)
        &gt;1,
        "V",
        "未完工"
    ),
    "-"
)</f>
        <v>-</v>
      </c>
      <c r="K50" s="122">
        <v>45848</v>
      </c>
      <c r="L50" s="116" t="str">
        <f>VLOOKUP(A50,'0919門市清單主檔'!B:V,21,FALSE)</f>
        <v>蘆洲區</v>
      </c>
      <c r="M50" s="153" t="str">
        <f>VLOOKUP(A50,門市總表!A:B,2,FALSE)</f>
        <v>蘆洲光榮店</v>
      </c>
      <c r="Q50" s="115" t="s">
        <v>4951</v>
      </c>
      <c r="R50" s="115"/>
    </row>
    <row r="51" spans="1:18" ht="21.6" customHeight="1">
      <c r="A51" s="116">
        <v>4923</v>
      </c>
      <c r="B51" s="116" t="str">
        <f>VLOOKUP(A51,門市總表!A:B,2,FALSE)</f>
        <v>蘆洲永平店</v>
      </c>
      <c r="C51" s="146" t="str">
        <f>IF(COUNTIFS(IM!$F:$F,A51,IM!$AD:$AD,"O",IM!$X:$X,"&gt;="&amp;$M$1, IM!$X:$X,"&lt;"&amp;$M$2)&gt;0,"V","")</f>
        <v/>
      </c>
      <c r="D51" s="146" t="str">
        <f>IF(AND(C51&lt;&gt;"V", COUNTIFS(IM!$F:$F,A51, IM!$AD:$AD, "O", IM!$X:$X, "&gt;="&amp;$M$2, IM!$X:$X, "&lt;"&amp;$M$3)&gt;0), "V", "")</f>
        <v/>
      </c>
      <c r="E51" s="146" t="str">
        <f>IF(AND(C51&lt;&gt;"V",D51&lt;&gt;"V", COUNTIFS(IM!$F:$F, A51, IM!$AD:$AD, "O", IM!$X:$X, "&gt;="&amp;$M$3, IM!$X:$X, "&lt;"&amp;$N$3)&gt;0), "V", "")</f>
        <v/>
      </c>
      <c r="F51" s="116" t="str">
        <f>IF(VLOOKUP(A51,門市總表!A:F,6,FALSE)="新開","新開不保養",
IF(VLOOKUP(A51,門市總表!A:F,6,FALSE)="撤店","閉店不保養",IF(VLOOKUP(A51,門市總表!A:F,6,FALSE)="非當季","非當季",IF(VLOOKUP(A51,門市總表!A:F,6,FALSE)="跨季補單","跨季補單",
IF(COUNTBLANK(C51:E51)=3,"未保養","")
))))</f>
        <v>未保養</v>
      </c>
      <c r="G51" s="116" t="str">
        <f>IF(COUNTIFS('0919門市清單主檔'!C:C,B51,'0919門市清單主檔'!AF:AF,$H$3)=1,
    IF(COUNTIFS(IM!F:F,A51,IM!AC:AC,"*"&amp;$H$3&amp;"*") + COUNTIFS('0919門市清單主檔'!C:C,B51,'0919門市清單主檔'!AF:AF,$H$3) &gt; 1,
       "V","未完工"),"-")</f>
        <v>-</v>
      </c>
      <c r="H51" s="253" t="str">
        <f>IF(COUNTIFS('0919門市清單主檔'!C:C,B51,'0919門市清單主檔'!AG:AG,$H$4)=1,
    IF(COUNTIFS(IM!F:F,A51,IM!AC:AC,"*"&amp;$H$4&amp;"*") + COUNTIFS('0919門市清單主檔'!C:C,B51,'0919門市清單主檔'!AG:AG,$H$4) &gt; 1,
       "V","未完工"),"-")</f>
        <v>V</v>
      </c>
      <c r="I51" s="253" t="str">
        <f>IF(COUNTIFS('0919門市清單主檔'!C:C,B51,'0919門市清單主檔'!AH:AH,$H$5)=1,
    IF(COUNTIFS(IM!F:F,A51,IM!AC:AC,"*"&amp;$H$5&amp;"*") + COUNTIFS('0919門市清單主檔'!C:C,B51,'0919門市清單主檔'!AH:AH,$H$5) &gt; 1,
       "V","未完工"),"-")</f>
        <v>未完工</v>
      </c>
      <c r="J51" s="253" t="str">
        <f>IF(
    COUNTIFS('0919門市清單主檔'!C:C,B51,'0919門市清單主檔'!AC:AC,$H$2)=1,
    IF(
        COUNTIFS(
            IM!F:F,A51,
            IM!AC:AC,"*"&amp;$H$2&amp;"*",
            IM!X:X,"&gt;="&amp;$M$1,
            IM!X:X,"&lt;="&amp;$M$3
        )
        + COUNTIFS('0919門市清單主檔'!C:C,B51,'0919門市清單主檔'!AC:AC,$H$2)
        &gt;1,
        "V",
        "未完工"
    ),
    "-"
)</f>
        <v>-</v>
      </c>
      <c r="K51" s="122">
        <v>45848</v>
      </c>
      <c r="L51" s="116" t="str">
        <f>VLOOKUP(A51,'0919門市清單主檔'!B:V,21,FALSE)</f>
        <v>蘆洲區</v>
      </c>
      <c r="M51" s="153" t="str">
        <f>VLOOKUP(A51,門市總表!A:B,2,FALSE)</f>
        <v>蘆洲永平店</v>
      </c>
      <c r="Q51" s="115" t="s">
        <v>4951</v>
      </c>
      <c r="R51" s="115"/>
    </row>
    <row r="52" spans="1:18" ht="21.6" customHeight="1">
      <c r="A52" s="116">
        <v>5354</v>
      </c>
      <c r="B52" s="116" t="str">
        <f>VLOOKUP(A52,門市總表!A:B,2,FALSE)</f>
        <v>蘆洲希望店</v>
      </c>
      <c r="C52" s="146" t="str">
        <f>IF(COUNTIFS(IM!$F:$F,A52,IM!$AD:$AD,"O",IM!$X:$X,"&gt;="&amp;$M$1, IM!$X:$X,"&lt;"&amp;$M$2)&gt;0,"V","")</f>
        <v/>
      </c>
      <c r="D52" s="146" t="str">
        <f>IF(AND(C52&lt;&gt;"V", COUNTIFS(IM!$F:$F,A52, IM!$AD:$AD, "O", IM!$X:$X, "&gt;="&amp;$M$2, IM!$X:$X, "&lt;"&amp;$M$3)&gt;0), "V", "")</f>
        <v/>
      </c>
      <c r="E52" s="146" t="str">
        <f>IF(AND(C52&lt;&gt;"V",D52&lt;&gt;"V", COUNTIFS(IM!$F:$F, A52, IM!$AD:$AD, "O", IM!$X:$X, "&gt;="&amp;$M$3, IM!$X:$X, "&lt;"&amp;$N$3)&gt;0), "V", "")</f>
        <v/>
      </c>
      <c r="F52" s="116" t="str">
        <f>IF(VLOOKUP(A52,門市總表!A:F,6,FALSE)="新開","新開不保養",
IF(VLOOKUP(A52,門市總表!A:F,6,FALSE)="撤店","閉店不保養",IF(VLOOKUP(A52,門市總表!A:F,6,FALSE)="非當季","非當季",IF(VLOOKUP(A52,門市總表!A:F,6,FALSE)="跨季補單","跨季補單",
IF(COUNTBLANK(C52:E52)=3,"未保養","")
))))</f>
        <v>未保養</v>
      </c>
      <c r="G52" s="116" t="str">
        <f>IF(COUNTIFS('0919門市清單主檔'!C:C,B52,'0919門市清單主檔'!AF:AF,$H$3)=1,
    IF(COUNTIFS(IM!F:F,A52,IM!AC:AC,"*"&amp;$H$3&amp;"*") + COUNTIFS('0919門市清單主檔'!C:C,B52,'0919門市清單主檔'!AF:AF,$H$3) &gt; 1,
       "V","未完工"),"-")</f>
        <v>-</v>
      </c>
      <c r="H52" s="253" t="str">
        <f>IF(COUNTIFS('0919門市清單主檔'!C:C,B52,'0919門市清單主檔'!AG:AG,$H$4)=1,
    IF(COUNTIFS(IM!F:F,A52,IM!AC:AC,"*"&amp;$H$4&amp;"*") + COUNTIFS('0919門市清單主檔'!C:C,B52,'0919門市清單主檔'!AG:AG,$H$4) &gt; 1,
       "V","未完工"),"-")</f>
        <v>V</v>
      </c>
      <c r="I52" s="253" t="str">
        <f>IF(COUNTIFS('0919門市清單主檔'!C:C,B52,'0919門市清單主檔'!AH:AH,$H$5)=1,
    IF(COUNTIFS(IM!F:F,A52,IM!AC:AC,"*"&amp;$H$5&amp;"*") + COUNTIFS('0919門市清單主檔'!C:C,B52,'0919門市清單主檔'!AH:AH,$H$5) &gt; 1,
       "V","未完工"),"-")</f>
        <v>未完工</v>
      </c>
      <c r="J52" s="253" t="str">
        <f>IF(
    COUNTIFS('0919門市清單主檔'!C:C,B52,'0919門市清單主檔'!AC:AC,$H$2)=1,
    IF(
        COUNTIFS(
            IM!F:F,A52,
            IM!AC:AC,"*"&amp;$H$2&amp;"*",
            IM!X:X,"&gt;="&amp;$M$1,
            IM!X:X,"&lt;="&amp;$M$3
        )
        + COUNTIFS('0919門市清單主檔'!C:C,B52,'0919門市清單主檔'!AC:AC,$H$2)
        &gt;1,
        "V",
        "未完工"
    ),
    "-"
)</f>
        <v>-</v>
      </c>
      <c r="K52" s="122">
        <v>45841</v>
      </c>
      <c r="L52" s="116" t="str">
        <f>VLOOKUP(A52,'0919門市清單主檔'!B:V,21,FALSE)</f>
        <v>蘆洲區</v>
      </c>
      <c r="M52" s="153" t="str">
        <f>VLOOKUP(A52,門市總表!A:B,2,FALSE)</f>
        <v>蘆洲希望店</v>
      </c>
      <c r="Q52" s="115" t="s">
        <v>4951</v>
      </c>
      <c r="R52" s="115"/>
    </row>
    <row r="53" spans="1:18" ht="19.5" customHeight="1">
      <c r="A53" s="116">
        <v>5082</v>
      </c>
      <c r="B53" s="116" t="str">
        <f>VLOOKUP(A53,門市總表!A:B,2,FALSE)</f>
        <v>蘆洲水湳店</v>
      </c>
      <c r="C53" s="146" t="str">
        <f>IF(COUNTIFS(IM!$F:$F,A53,IM!$AD:$AD,"O",IM!$X:$X,"&gt;="&amp;$M$1, IM!$X:$X,"&lt;"&amp;$M$2)&gt;0,"V","")</f>
        <v/>
      </c>
      <c r="D53" s="146" t="str">
        <f>IF(AND(C53&lt;&gt;"V", COUNTIFS(IM!$F:$F,A53, IM!$AD:$AD, "O", IM!$X:$X, "&gt;="&amp;$M$2, IM!$X:$X, "&lt;"&amp;$M$3)&gt;0), "V", "")</f>
        <v/>
      </c>
      <c r="E53" s="146" t="str">
        <f>IF(AND(C53&lt;&gt;"V",D53&lt;&gt;"V", COUNTIFS(IM!$F:$F, A53, IM!$AD:$AD, "O", IM!$X:$X, "&gt;="&amp;$M$3, IM!$X:$X, "&lt;"&amp;$N$3)&gt;0), "V", "")</f>
        <v/>
      </c>
      <c r="F53" s="116" t="str">
        <f>IF(VLOOKUP(A53,門市總表!A:F,6,FALSE)="新開","新開不保養",
IF(VLOOKUP(A53,門市總表!A:F,6,FALSE)="撤店","閉店不保養",IF(VLOOKUP(A53,門市總表!A:F,6,FALSE)="非當季","非當季",IF(VLOOKUP(A53,門市總表!A:F,6,FALSE)="跨季補單","跨季補單",
IF(COUNTBLANK(C53:E53)=3,"未保養","")
))))</f>
        <v>未保養</v>
      </c>
      <c r="G53" s="116" t="str">
        <f>IF(COUNTIFS('0919門市清單主檔'!C:C,B53,'0919門市清單主檔'!AF:AF,$H$3)=1,
    IF(COUNTIFS(IM!F:F,A53,IM!AC:AC,"*"&amp;$H$3&amp;"*") + COUNTIFS('0919門市清單主檔'!C:C,B53,'0919門市清單主檔'!AF:AF,$H$3) &gt; 1,
       "V","未完工"),"-")</f>
        <v>-</v>
      </c>
      <c r="H53" s="253" t="str">
        <f>IF(COUNTIFS('0919門市清單主檔'!C:C,B53,'0919門市清單主檔'!AG:AG,$H$4)=1,
    IF(COUNTIFS(IM!F:F,A53,IM!AC:AC,"*"&amp;$H$4&amp;"*") + COUNTIFS('0919門市清單主檔'!C:C,B53,'0919門市清單主檔'!AG:AG,$H$4) &gt; 1,
       "V","未完工"),"-")</f>
        <v>V</v>
      </c>
      <c r="I53" s="253" t="str">
        <f>IF(COUNTIFS('0919門市清單主檔'!C:C,B53,'0919門市清單主檔'!AH:AH,$H$5)=1,
    IF(COUNTIFS(IM!F:F,A53,IM!AC:AC,"*"&amp;$H$5&amp;"*") + COUNTIFS('0919門市清單主檔'!C:C,B53,'0919門市清單主檔'!AH:AH,$H$5) &gt; 1,
       "V","未完工"),"-")</f>
        <v>未完工</v>
      </c>
      <c r="J53" s="253" t="str">
        <f>IF(
    COUNTIFS('0919門市清單主檔'!C:C,B53,'0919門市清單主檔'!AC:AC,$H$2)=1,
    IF(
        COUNTIFS(
            IM!F:F,A53,
            IM!AC:AC,"*"&amp;$H$2&amp;"*",
            IM!X:X,"&gt;="&amp;$M$1,
            IM!X:X,"&lt;="&amp;$M$3
        )
        + COUNTIFS('0919門市清單主檔'!C:C,B53,'0919門市清單主檔'!AC:AC,$H$2)
        &gt;1,
        "V",
        "未完工"
    ),
    "-"
)</f>
        <v>-</v>
      </c>
      <c r="K53" s="122">
        <v>45889</v>
      </c>
      <c r="L53" s="116" t="str">
        <f>VLOOKUP(A53,'0919門市清單主檔'!B:V,21,FALSE)</f>
        <v>蘆洲區</v>
      </c>
      <c r="M53" s="153" t="str">
        <f>VLOOKUP(A53,門市總表!A:B,2,FALSE)</f>
        <v>蘆洲水湳店</v>
      </c>
      <c r="Q53" s="115" t="s">
        <v>4951</v>
      </c>
      <c r="R53" s="115"/>
    </row>
    <row r="54" spans="1:18" ht="19.5" customHeight="1">
      <c r="A54" s="116" t="s">
        <v>75</v>
      </c>
      <c r="B54" s="116" t="str">
        <f>VLOOKUP(A54,門市總表!A:B,2,FALSE)</f>
        <v>車麗屋蘆洲店</v>
      </c>
      <c r="C54" s="146" t="str">
        <f>IF(COUNTIFS(IM!$F:$F,A54,IM!$AD:$AD,"O",IM!$X:$X,"&gt;="&amp;$M$1, IM!$X:$X,"&lt;"&amp;$M$2)&gt;0,"V","")</f>
        <v/>
      </c>
      <c r="D54" s="146" t="str">
        <f>IF(AND(C54&lt;&gt;"V", COUNTIFS(IM!$F:$F,A54, IM!$AD:$AD, "O", IM!$X:$X, "&gt;="&amp;$M$2, IM!$X:$X, "&lt;"&amp;$M$3)&gt;0), "V", "")</f>
        <v/>
      </c>
      <c r="E54" s="146" t="str">
        <f>IF(AND(C54&lt;&gt;"V",D54&lt;&gt;"V", COUNTIFS(IM!$F:$F, A54, IM!$AD:$AD, "O", IM!$X:$X, "&gt;="&amp;$M$3, IM!$X:$X, "&lt;"&amp;$N$3)&gt;0), "V", "")</f>
        <v/>
      </c>
      <c r="F54" s="116" t="str">
        <f>IF(VLOOKUP(A54,門市總表!A:F,6,FALSE)="新開","新開不保養",
IF(VLOOKUP(A54,門市總表!A:F,6,FALSE)="撤店","閉店不保養",IF(VLOOKUP(A54,門市總表!A:F,6,FALSE)="非當季","非當季",IF(VLOOKUP(A54,門市總表!A:F,6,FALSE)="跨季補單","跨季補單",
IF(COUNTBLANK(C54:E54)=3,"未保養","")
))))</f>
        <v>未保養</v>
      </c>
      <c r="G54" s="116" t="str">
        <f>IF(COUNTIFS('0919門市清單主檔'!C:C,B54,'0919門市清單主檔'!AF:AF,$H$3)=1,
    IF(COUNTIFS(IM!F:F,A54,IM!AC:AC,"*"&amp;$H$3&amp;"*") + COUNTIFS('0919門市清單主檔'!C:C,B54,'0919門市清單主檔'!AF:AF,$H$3) &gt; 1,
       "V","未完工"),"-")</f>
        <v>-</v>
      </c>
      <c r="H54" s="253" t="str">
        <f>IF(COUNTIFS('0919門市清單主檔'!C:C,B54,'0919門市清單主檔'!AG:AG,$H$4)=1,
    IF(COUNTIFS(IM!F:F,A54,IM!AC:AC,"*"&amp;$H$4&amp;"*") + COUNTIFS('0919門市清單主檔'!C:C,B54,'0919門市清單主檔'!AG:AG,$H$4) &gt; 1,
       "V","未完工"),"-")</f>
        <v>-</v>
      </c>
      <c r="I54" s="253" t="str">
        <f>IF(COUNTIFS('0919門市清單主檔'!C:C,B54,'0919門市清單主檔'!AH:AH,$H$5)=1,
    IF(COUNTIFS(IM!F:F,A54,IM!AC:AC,"*"&amp;$H$5&amp;"*") + COUNTIFS('0919門市清單主檔'!C:C,B54,'0919門市清單主檔'!AH:AH,$H$5) &gt; 1,
       "V","未完工"),"-")</f>
        <v>-</v>
      </c>
      <c r="J54" s="253" t="str">
        <f>IF(
    COUNTIFS('0919門市清單主檔'!C:C,B54,'0919門市清單主檔'!AC:AC,$H$2)=1,
    IF(
        COUNTIFS(
            IM!F:F,A54,
            IM!AC:AC,"*"&amp;$H$2&amp;"*",
            IM!X:X,"&gt;="&amp;$M$1,
            IM!X:X,"&lt;="&amp;$M$3
        )
        + COUNTIFS('0919門市清單主檔'!C:C,B54,'0919門市清單主檔'!AC:AC,$H$2)
        &gt;1,
        "V",
        "未完工"
    ),
    "-"
)</f>
        <v>-</v>
      </c>
      <c r="K54" s="122">
        <v>45849</v>
      </c>
      <c r="L54" s="116" t="str">
        <f>VLOOKUP(A54,'0919門市清單主檔'!B:V,21,FALSE)</f>
        <v>蘆洲區</v>
      </c>
      <c r="M54" s="153" t="str">
        <f>VLOOKUP(A54,門市總表!A:B,2,FALSE)</f>
        <v>車麗屋蘆洲店</v>
      </c>
      <c r="Q54" s="115" t="s">
        <v>4951</v>
      </c>
      <c r="R54" s="115"/>
    </row>
    <row r="55" spans="1:18" ht="19.5" customHeight="1">
      <c r="A55" s="116" t="s">
        <v>76</v>
      </c>
      <c r="B55" s="116" t="str">
        <f>VLOOKUP(A55,門市總表!A:B,2,FALSE)</f>
        <v>蘆洲權義店</v>
      </c>
      <c r="C55" s="146" t="str">
        <f>IF(COUNTIFS(IM!$F:$F,A55,IM!$AD:$AD,"O",IM!$X:$X,"&gt;="&amp;$M$1, IM!$X:$X,"&lt;"&amp;$M$2)&gt;0,"V","")</f>
        <v/>
      </c>
      <c r="D55" s="146" t="str">
        <f>IF(AND(C55&lt;&gt;"V", COUNTIFS(IM!$F:$F,A55, IM!$AD:$AD, "O", IM!$X:$X, "&gt;="&amp;$M$2, IM!$X:$X, "&lt;"&amp;$M$3)&gt;0), "V", "")</f>
        <v/>
      </c>
      <c r="E55" s="146" t="str">
        <f>IF(AND(C55&lt;&gt;"V",D55&lt;&gt;"V", COUNTIFS(IM!$F:$F, A55, IM!$AD:$AD, "O", IM!$X:$X, "&gt;="&amp;$M$3, IM!$X:$X, "&lt;"&amp;$N$3)&gt;0), "V", "")</f>
        <v/>
      </c>
      <c r="F55" s="116" t="str">
        <f>IF(VLOOKUP(A55,門市總表!A:F,6,FALSE)="新開","新開不保養",
IF(VLOOKUP(A55,門市總表!A:F,6,FALSE)="撤店","閉店不保養",IF(VLOOKUP(A55,門市總表!A:F,6,FALSE)="非當季","非當季",IF(VLOOKUP(A55,門市總表!A:F,6,FALSE)="跨季補單","跨季補單",
IF(COUNTBLANK(C55:E55)=3,"未保養","")
))))</f>
        <v>未保養</v>
      </c>
      <c r="G55" s="116" t="str">
        <f>IF(COUNTIFS('0919門市清單主檔'!C:C,B55,'0919門市清單主檔'!AF:AF,$H$3)=1,
    IF(COUNTIFS(IM!F:F,A55,IM!AC:AC,"*"&amp;$H$3&amp;"*") + COUNTIFS('0919門市清單主檔'!C:C,B55,'0919門市清單主檔'!AF:AF,$H$3) &gt; 1,
       "V","未完工"),"-")</f>
        <v>-</v>
      </c>
      <c r="H55" s="253" t="str">
        <f>IF(COUNTIFS('0919門市清單主檔'!C:C,B55,'0919門市清單主檔'!AG:AG,$H$4)=1,
    IF(COUNTIFS(IM!F:F,A55,IM!AC:AC,"*"&amp;$H$4&amp;"*") + COUNTIFS('0919門市清單主檔'!C:C,B55,'0919門市清單主檔'!AG:AG,$H$4) &gt; 1,
       "V","未完工"),"-")</f>
        <v>V</v>
      </c>
      <c r="I55" s="253" t="str">
        <f>IF(COUNTIFS('0919門市清單主檔'!C:C,B55,'0919門市清單主檔'!AH:AH,$H$5)=1,
    IF(COUNTIFS(IM!F:F,A55,IM!AC:AC,"*"&amp;$H$5&amp;"*") + COUNTIFS('0919門市清單主檔'!C:C,B55,'0919門市清單主檔'!AH:AH,$H$5) &gt; 1,
       "V","未完工"),"-")</f>
        <v>未完工</v>
      </c>
      <c r="J55" s="253" t="str">
        <f>IF(
    COUNTIFS('0919門市清單主檔'!C:C,B55,'0919門市清單主檔'!AC:AC,$H$2)=1,
    IF(
        COUNTIFS(
            IM!F:F,A55,
            IM!AC:AC,"*"&amp;$H$2&amp;"*",
            IM!X:X,"&gt;="&amp;$M$1,
            IM!X:X,"&lt;="&amp;$M$3
        )
        + COUNTIFS('0919門市清單主檔'!C:C,B55,'0919門市清單主檔'!AC:AC,$H$2)
        &gt;1,
        "V",
        "未完工"
    ),
    "-"
)</f>
        <v>-</v>
      </c>
      <c r="K55" s="122">
        <v>45908</v>
      </c>
      <c r="L55" s="116" t="str">
        <f>VLOOKUP(A55,'0919門市清單主檔'!B:V,21,FALSE)</f>
        <v>蘆洲區</v>
      </c>
      <c r="M55" s="153" t="str">
        <f>VLOOKUP(A55,門市總表!A:B,2,FALSE)</f>
        <v>蘆洲權義店</v>
      </c>
      <c r="Q55" s="115"/>
      <c r="R55" s="120" t="s">
        <v>4952</v>
      </c>
    </row>
    <row r="56" spans="1:18" ht="18.75" customHeight="1">
      <c r="A56" s="116">
        <v>2890</v>
      </c>
      <c r="B56" s="116" t="str">
        <f>VLOOKUP(A56,門市總表!A:B,2,FALSE)</f>
        <v>蘆洲鷺江店</v>
      </c>
      <c r="C56" s="146" t="str">
        <f>IF(COUNTIFS(IM!$F:$F,A56,IM!$AD:$AD,"O",IM!$X:$X,"&gt;="&amp;$M$1, IM!$X:$X,"&lt;"&amp;$M$2)&gt;0,"V","")</f>
        <v/>
      </c>
      <c r="D56" s="146" t="str">
        <f>IF(AND(C56&lt;&gt;"V", COUNTIFS(IM!$F:$F,A56, IM!$AD:$AD, "O", IM!$X:$X, "&gt;="&amp;$M$2, IM!$X:$X, "&lt;"&amp;$M$3)&gt;0), "V", "")</f>
        <v/>
      </c>
      <c r="E56" s="146" t="str">
        <f>IF(AND(C56&lt;&gt;"V",D56&lt;&gt;"V", COUNTIFS(IM!$F:$F, A56, IM!$AD:$AD, "O", IM!$X:$X, "&gt;="&amp;$M$3, IM!$X:$X, "&lt;"&amp;$N$3)&gt;0), "V", "")</f>
        <v/>
      </c>
      <c r="F56" s="116" t="str">
        <f>IF(VLOOKUP(A56,門市總表!A:F,6,FALSE)="新開","新開不保養",
IF(VLOOKUP(A56,門市總表!A:F,6,FALSE)="撤店","閉店不保養",IF(VLOOKUP(A56,門市總表!A:F,6,FALSE)="非當季","非當季",IF(VLOOKUP(A56,門市總表!A:F,6,FALSE)="跨季補單","跨季補單",
IF(COUNTBLANK(C56:E56)=3,"未保養","")
))))</f>
        <v>未保養</v>
      </c>
      <c r="G56" s="116" t="str">
        <f>IF(COUNTIFS('0919門市清單主檔'!C:C,B56,'0919門市清單主檔'!AF:AF,$H$3)=1,
    IF(COUNTIFS(IM!F:F,A56,IM!AC:AC,"*"&amp;$H$3&amp;"*") + COUNTIFS('0919門市清單主檔'!C:C,B56,'0919門市清單主檔'!AF:AF,$H$3) &gt; 1,
       "V","未完工"),"-")</f>
        <v>-</v>
      </c>
      <c r="H56" s="253" t="str">
        <f>IF(COUNTIFS('0919門市清單主檔'!C:C,B56,'0919門市清單主檔'!AG:AG,$H$4)=1,
    IF(COUNTIFS(IM!F:F,A56,IM!AC:AC,"*"&amp;$H$4&amp;"*") + COUNTIFS('0919門市清單主檔'!C:C,B56,'0919門市清單主檔'!AG:AG,$H$4) &gt; 1,
       "V","未完工"),"-")</f>
        <v>V</v>
      </c>
      <c r="I56" s="253" t="str">
        <f>IF(COUNTIFS('0919門市清單主檔'!C:C,B56,'0919門市清單主檔'!AH:AH,$H$5)=1,
    IF(COUNTIFS(IM!F:F,A56,IM!AC:AC,"*"&amp;$H$5&amp;"*") + COUNTIFS('0919門市清單主檔'!C:C,B56,'0919門市清單主檔'!AH:AH,$H$5) &gt; 1,
       "V","未完工"),"-")</f>
        <v>未完工</v>
      </c>
      <c r="J56" s="253" t="str">
        <f>IF(
    COUNTIFS('0919門市清單主檔'!C:C,B56,'0919門市清單主檔'!AC:AC,$H$2)=1,
    IF(
        COUNTIFS(
            IM!F:F,A56,
            IM!AC:AC,"*"&amp;$H$2&amp;"*",
            IM!X:X,"&gt;="&amp;$M$1,
            IM!X:X,"&lt;="&amp;$M$3
        )
        + COUNTIFS('0919門市清單主檔'!C:C,B56,'0919門市清單主檔'!AC:AC,$H$2)
        &gt;1,
        "V",
        "未完工"
    ),
    "-"
)</f>
        <v>-</v>
      </c>
      <c r="K56" s="122">
        <v>45842</v>
      </c>
      <c r="L56" s="116" t="str">
        <f>VLOOKUP(A56,'0919門市清單主檔'!B:V,21,FALSE)</f>
        <v>蘆洲區</v>
      </c>
      <c r="M56" s="153" t="str">
        <f>VLOOKUP(A56,門市總表!A:B,2,FALSE)</f>
        <v>蘆洲鷺江店</v>
      </c>
      <c r="Q56" s="115" t="s">
        <v>4951</v>
      </c>
      <c r="R56" s="115"/>
    </row>
    <row r="57" spans="1:18" ht="18.75" customHeight="1">
      <c r="A57" s="116">
        <v>2390</v>
      </c>
      <c r="B57" s="116" t="str">
        <f>VLOOKUP(A57,門市總表!A:B,2,FALSE)</f>
        <v>五股產業園區</v>
      </c>
      <c r="C57" s="146" t="str">
        <f>IF(COUNTIFS(IM!$F:$F,A57,IM!$AD:$AD,"O",IM!$X:$X,"&gt;="&amp;$M$1, IM!$X:$X,"&lt;"&amp;$M$2)&gt;0,"V","")</f>
        <v>V</v>
      </c>
      <c r="D57" s="146" t="str">
        <f>IF(AND(C57&lt;&gt;"V", COUNTIFS(IM!$F:$F,A57, IM!$AD:$AD, "O", IM!$X:$X, "&gt;="&amp;$M$2, IM!$X:$X, "&lt;"&amp;$M$3)&gt;0), "V", "")</f>
        <v/>
      </c>
      <c r="E57" s="146" t="str">
        <f>IF(AND(C57&lt;&gt;"V",D57&lt;&gt;"V", COUNTIFS(IM!$F:$F, A57, IM!$AD:$AD, "O", IM!$X:$X, "&gt;="&amp;$M$3, IM!$X:$X, "&lt;"&amp;$N$3)&gt;0), "V", "")</f>
        <v/>
      </c>
      <c r="F57" s="116" t="str">
        <f>IF(VLOOKUP(A57,門市總表!A:F,6,FALSE)="新開","新開不保養",
IF(VLOOKUP(A57,門市總表!A:F,6,FALSE)="撤店","閉店不保養",IF(VLOOKUP(A57,門市總表!A:F,6,FALSE)="非當季","非當季",IF(VLOOKUP(A57,門市總表!A:F,6,FALSE)="跨季補單","跨季補單",
IF(COUNTBLANK(C57:E57)=3,"未保養","")
))))</f>
        <v/>
      </c>
      <c r="G57" s="116" t="str">
        <f>IF(COUNTIFS('0919門市清單主檔'!C:C,B57,'0919門市清單主檔'!AF:AF,$H$3)=1,
    IF(COUNTIFS(IM!F:F,A57,IM!AC:AC,"*"&amp;$H$3&amp;"*") + COUNTIFS('0919門市清單主檔'!C:C,B57,'0919門市清單主檔'!AF:AF,$H$3) &gt; 1,
       "V","未完工"),"-")</f>
        <v>-</v>
      </c>
      <c r="H57" s="253" t="str">
        <f>IF(COUNTIFS('0919門市清單主檔'!C:C,B57,'0919門市清單主檔'!AG:AG,$H$4)=1,
    IF(COUNTIFS(IM!F:F,A57,IM!AC:AC,"*"&amp;$H$4&amp;"*") + COUNTIFS('0919門市清單主檔'!C:C,B57,'0919門市清單主檔'!AG:AG,$H$4) &gt; 1,
       "V","未完工"),"-")</f>
        <v>未完工</v>
      </c>
      <c r="I57" s="253" t="str">
        <f>IF(COUNTIFS('0919門市清單主檔'!C:C,B57,'0919門市清單主檔'!AH:AH,$H$5)=1,
    IF(COUNTIFS(IM!F:F,A57,IM!AC:AC,"*"&amp;$H$5&amp;"*") + COUNTIFS('0919門市清單主檔'!C:C,B57,'0919門市清單主檔'!AH:AH,$H$5) &gt; 1,
       "V","未完工"),"-")</f>
        <v>V</v>
      </c>
      <c r="J57" s="253" t="str">
        <f>IF(
    COUNTIFS('0919門市清單主檔'!C:C,B57,'0919門市清單主檔'!AC:AC,$H$2)=1,
    IF(
        COUNTIFS(
            IM!F:F,A57,
            IM!AC:AC,"*"&amp;$H$2&amp;"*",
            IM!X:X,"&gt;="&amp;$M$1,
            IM!X:X,"&lt;="&amp;$M$3
        )
        + COUNTIFS('0919門市清單主檔'!C:C,B57,'0919門市清單主檔'!AC:AC,$H$2)
        &gt;1,
        "V",
        "未完工"
    ),
    "-"
)</f>
        <v>-</v>
      </c>
      <c r="K57" s="122">
        <v>45882</v>
      </c>
      <c r="L57" s="116" t="str">
        <f>VLOOKUP(A57,'0919門市清單主檔'!B:V,21,FALSE)</f>
        <v>五股區</v>
      </c>
      <c r="M57" s="153" t="str">
        <f>VLOOKUP(A57,門市總表!A:B,2,FALSE)</f>
        <v>五股產業園區</v>
      </c>
      <c r="Q57" s="115"/>
      <c r="R57" s="120" t="s">
        <v>4952</v>
      </c>
    </row>
    <row r="58" spans="1:18" ht="18.75" customHeight="1">
      <c r="A58" s="116">
        <v>3358</v>
      </c>
      <c r="B58" s="116" t="str">
        <f>VLOOKUP(A58,門市總表!A:B,2,FALSE)</f>
        <v>新莊棒球場</v>
      </c>
      <c r="C58" s="146" t="str">
        <f>IF(COUNTIFS(IM!$F:$F,A58,IM!$AD:$AD,"O",IM!$X:$X,"&gt;="&amp;$M$1, IM!$X:$X,"&lt;"&amp;$M$2)&gt;0,"V","")</f>
        <v>V</v>
      </c>
      <c r="D58" s="146" t="str">
        <f>IF(AND(C58&lt;&gt;"V", COUNTIFS(IM!$F:$F,A58, IM!$AD:$AD, "O", IM!$X:$X, "&gt;="&amp;$M$2, IM!$X:$X, "&lt;"&amp;$M$3)&gt;0), "V", "")</f>
        <v/>
      </c>
      <c r="E58" s="146" t="str">
        <f>IF(AND(C58&lt;&gt;"V",D58&lt;&gt;"V", COUNTIFS(IM!$F:$F, A58, IM!$AD:$AD, "O", IM!$X:$X, "&gt;="&amp;$M$3, IM!$X:$X, "&lt;"&amp;$N$3)&gt;0), "V", "")</f>
        <v/>
      </c>
      <c r="F58" s="116" t="str">
        <f>IF(VLOOKUP(A58,門市總表!A:F,6,FALSE)="新開","新開不保養",
IF(VLOOKUP(A58,門市總表!A:F,6,FALSE)="撤店","閉店不保養",IF(VLOOKUP(A58,門市總表!A:F,6,FALSE)="非當季","非當季",IF(VLOOKUP(A58,門市總表!A:F,6,FALSE)="跨季補單","跨季補單",
IF(COUNTBLANK(C58:E58)=3,"未保養","")
))))</f>
        <v/>
      </c>
      <c r="G58" s="116" t="str">
        <f>IF(COUNTIFS('0919門市清單主檔'!C:C,B58,'0919門市清單主檔'!AF:AF,$H$3)=1,
    IF(COUNTIFS(IM!F:F,A58,IM!AC:AC,"*"&amp;$H$3&amp;"*") + COUNTIFS('0919門市清單主檔'!C:C,B58,'0919門市清單主檔'!AF:AF,$H$3) &gt; 1,
       "V","未完工"),"-")</f>
        <v>-</v>
      </c>
      <c r="H58" s="253" t="str">
        <f>IF(COUNTIFS('0919門市清單主檔'!C:C,B58,'0919門市清單主檔'!AG:AG,$H$4)=1,
    IF(COUNTIFS(IM!F:F,A58,IM!AC:AC,"*"&amp;$H$4&amp;"*") + COUNTIFS('0919門市清單主檔'!C:C,B58,'0919門市清單主檔'!AG:AG,$H$4) &gt; 1,
       "V","未完工"),"-")</f>
        <v>V</v>
      </c>
      <c r="I58" s="253" t="str">
        <f>IF(COUNTIFS('0919門市清單主檔'!C:C,B58,'0919門市清單主檔'!AH:AH,$H$5)=1,
    IF(COUNTIFS(IM!F:F,A58,IM!AC:AC,"*"&amp;$H$5&amp;"*") + COUNTIFS('0919門市清單主檔'!C:C,B58,'0919門市清單主檔'!AH:AH,$H$5) &gt; 1,
       "V","未完工"),"-")</f>
        <v>V</v>
      </c>
      <c r="J58" s="253" t="str">
        <f>IF(
    COUNTIFS('0919門市清單主檔'!C:C,B58,'0919門市清單主檔'!AC:AC,$H$2)=1,
    IF(
        COUNTIFS(
            IM!F:F,A58,
            IM!AC:AC,"*"&amp;$H$2&amp;"*",
            IM!X:X,"&gt;="&amp;$M$1,
            IM!X:X,"&lt;="&amp;$M$3
        )
        + COUNTIFS('0919門市清單主檔'!C:C,B58,'0919門市清單主檔'!AC:AC,$H$2)
        &gt;1,
        "V",
        "未完工"
    ),
    "-"
)</f>
        <v>-</v>
      </c>
      <c r="K58" s="122">
        <v>45901</v>
      </c>
      <c r="L58" s="116" t="str">
        <f>VLOOKUP(A58,'0919門市清單主檔'!B:V,21,FALSE)</f>
        <v>新莊區</v>
      </c>
      <c r="M58" s="153" t="str">
        <f>VLOOKUP(A58,門市總表!A:B,2,FALSE)</f>
        <v>新莊棒球場</v>
      </c>
      <c r="Q58" s="115"/>
      <c r="R58" s="115"/>
    </row>
    <row r="59" spans="1:18" ht="18.75" customHeight="1">
      <c r="A59" s="116">
        <v>4609</v>
      </c>
      <c r="B59" s="116" t="str">
        <f>VLOOKUP(A59,門市總表!A:B,2,FALSE)</f>
        <v>蘆洲洲正店</v>
      </c>
      <c r="C59" s="146" t="str">
        <f>IF(COUNTIFS(IM!$F:$F,A59,IM!$AD:$AD,"O",IM!$X:$X,"&gt;="&amp;$M$1, IM!$X:$X,"&lt;"&amp;$M$2)&gt;0,"V","")</f>
        <v>V</v>
      </c>
      <c r="D59" s="146" t="str">
        <f>IF(AND(C59&lt;&gt;"V", COUNTIFS(IM!$F:$F,A59, IM!$AD:$AD, "O", IM!$X:$X, "&gt;="&amp;$M$2, IM!$X:$X, "&lt;"&amp;$M$3)&gt;0), "V", "")</f>
        <v/>
      </c>
      <c r="E59" s="146" t="str">
        <f>IF(AND(C59&lt;&gt;"V",D59&lt;&gt;"V", COUNTIFS(IM!$F:$F, A59, IM!$AD:$AD, "O", IM!$X:$X, "&gt;="&amp;$M$3, IM!$X:$X, "&lt;"&amp;$N$3)&gt;0), "V", "")</f>
        <v/>
      </c>
      <c r="F59" s="116" t="str">
        <f>IF(VLOOKUP(A59,門市總表!A:F,6,FALSE)="新開","新開不保養",
IF(VLOOKUP(A59,門市總表!A:F,6,FALSE)="撤店","閉店不保養",IF(VLOOKUP(A59,門市總表!A:F,6,FALSE)="非當季","非當季",IF(VLOOKUP(A59,門市總表!A:F,6,FALSE)="跨季補單","跨季補單",
IF(COUNTBLANK(C59:E59)=3,"未保養","")
))))</f>
        <v/>
      </c>
      <c r="G59" s="116" t="str">
        <f>IF(COUNTIFS('0919門市清單主檔'!C:C,B59,'0919門市清單主檔'!AF:AF,$H$3)=1,
    IF(COUNTIFS(IM!F:F,A59,IM!AC:AC,"*"&amp;$H$3&amp;"*") + COUNTIFS('0919門市清單主檔'!C:C,B59,'0919門市清單主檔'!AF:AF,$H$3) &gt; 1,
       "V","未完工"),"-")</f>
        <v>-</v>
      </c>
      <c r="H59" s="253" t="str">
        <f>IF(COUNTIFS('0919門市清單主檔'!C:C,B59,'0919門市清單主檔'!AG:AG,$H$4)=1,
    IF(COUNTIFS(IM!F:F,A59,IM!AC:AC,"*"&amp;$H$4&amp;"*") + COUNTIFS('0919門市清單主檔'!C:C,B59,'0919門市清單主檔'!AG:AG,$H$4) &gt; 1,
       "V","未完工"),"-")</f>
        <v>V</v>
      </c>
      <c r="I59" s="253" t="str">
        <f>IF(COUNTIFS('0919門市清單主檔'!C:C,B59,'0919門市清單主檔'!AH:AH,$H$5)=1,
    IF(COUNTIFS(IM!F:F,A59,IM!AC:AC,"*"&amp;$H$5&amp;"*") + COUNTIFS('0919門市清單主檔'!C:C,B59,'0919門市清單主檔'!AH:AH,$H$5) &gt; 1,
       "V","未完工"),"-")</f>
        <v>V</v>
      </c>
      <c r="J59" s="253" t="str">
        <f>IF(
    COUNTIFS('0919門市清單主檔'!C:C,B59,'0919門市清單主檔'!AC:AC,$H$2)=1,
    IF(
        COUNTIFS(
            IM!F:F,A59,
            IM!AC:AC,"*"&amp;$H$2&amp;"*",
            IM!X:X,"&gt;="&amp;$M$1,
            IM!X:X,"&lt;="&amp;$M$3
        )
        + COUNTIFS('0919門市清單主檔'!C:C,B59,'0919門市清單主檔'!AC:AC,$H$2)
        &gt;1,
        "V",
        "未完工"
    ),
    "-"
)</f>
        <v>-</v>
      </c>
      <c r="K59" s="122">
        <v>45873</v>
      </c>
      <c r="L59" s="116" t="str">
        <f>VLOOKUP(A59,'0919門市清單主檔'!B:V,21,FALSE)</f>
        <v>蘆洲區</v>
      </c>
      <c r="M59" s="153" t="str">
        <f>VLOOKUP(A59,門市總表!A:B,2,FALSE)</f>
        <v>蘆洲洲正店</v>
      </c>
      <c r="Q59" s="115"/>
      <c r="R59" s="115"/>
    </row>
    <row r="60" spans="1:18" ht="18.75" customHeight="1">
      <c r="A60" s="116">
        <v>3770</v>
      </c>
      <c r="B60" s="116" t="str">
        <f>VLOOKUP(A60,門市總表!A:B,2,FALSE)</f>
        <v>北縣西雲店</v>
      </c>
      <c r="C60" s="146" t="str">
        <f>IF(COUNTIFS(IM!$F:$F,A60,IM!$AD:$AD,"O",IM!$X:$X,"&gt;="&amp;$M$1, IM!$X:$X,"&lt;"&amp;$M$2)&gt;0,"V","")</f>
        <v>V</v>
      </c>
      <c r="D60" s="146" t="str">
        <f>IF(AND(C60&lt;&gt;"V", COUNTIFS(IM!$F:$F,A60, IM!$AD:$AD, "O", IM!$X:$X, "&gt;="&amp;$M$2, IM!$X:$X, "&lt;"&amp;$M$3)&gt;0), "V", "")</f>
        <v/>
      </c>
      <c r="E60" s="146" t="str">
        <f>IF(AND(C60&lt;&gt;"V",D60&lt;&gt;"V", COUNTIFS(IM!$F:$F, A60, IM!$AD:$AD, "O", IM!$X:$X, "&gt;="&amp;$M$3, IM!$X:$X, "&lt;"&amp;$N$3)&gt;0), "V", "")</f>
        <v/>
      </c>
      <c r="F60" s="116" t="str">
        <f>IF(VLOOKUP(A60,門市總表!A:F,6,FALSE)="新開","新開不保養",
IF(VLOOKUP(A60,門市總表!A:F,6,FALSE)="撤店","閉店不保養",IF(VLOOKUP(A60,門市總表!A:F,6,FALSE)="非當季","非當季",IF(VLOOKUP(A60,門市總表!A:F,6,FALSE)="跨季補單","跨季補單",
IF(COUNTBLANK(C60:E60)=3,"未保養","")
))))</f>
        <v/>
      </c>
      <c r="G60" s="116" t="str">
        <f>IF(COUNTIFS('0919門市清單主檔'!C:C,B60,'0919門市清單主檔'!AF:AF,$H$3)=1,
    IF(COUNTIFS(IM!F:F,A60,IM!AC:AC,"*"&amp;$H$3&amp;"*") + COUNTIFS('0919門市清單主檔'!C:C,B60,'0919門市清單主檔'!AF:AF,$H$3) &gt; 1,
       "V","未完工"),"-")</f>
        <v>-</v>
      </c>
      <c r="H60" s="253" t="str">
        <f>IF(COUNTIFS('0919門市清單主檔'!C:C,B60,'0919門市清單主檔'!AG:AG,$H$4)=1,
    IF(COUNTIFS(IM!F:F,A60,IM!AC:AC,"*"&amp;$H$4&amp;"*") + COUNTIFS('0919門市清單主檔'!C:C,B60,'0919門市清單主檔'!AG:AG,$H$4) &gt; 1,
       "V","未完工"),"-")</f>
        <v>V</v>
      </c>
      <c r="I60" s="253" t="str">
        <f>IF(COUNTIFS('0919門市清單主檔'!C:C,B60,'0919門市清單主檔'!AH:AH,$H$5)=1,
    IF(COUNTIFS(IM!F:F,A60,IM!AC:AC,"*"&amp;$H$5&amp;"*") + COUNTIFS('0919門市清單主檔'!C:C,B60,'0919門市清單主檔'!AH:AH,$H$5) &gt; 1,
       "V","未完工"),"-")</f>
        <v>V</v>
      </c>
      <c r="J60" s="253" t="str">
        <f>IF(
    COUNTIFS('0919門市清單主檔'!C:C,B60,'0919門市清單主檔'!AC:AC,$H$2)=1,
    IF(
        COUNTIFS(
            IM!F:F,A60,
            IM!AC:AC,"*"&amp;$H$2&amp;"*",
            IM!X:X,"&gt;="&amp;$M$1,
            IM!X:X,"&lt;="&amp;$M$3
        )
        + COUNTIFS('0919門市清單主檔'!C:C,B60,'0919門市清單主檔'!AC:AC,$H$2)
        &gt;1,
        "V",
        "未完工"
    ),
    "-"
)</f>
        <v>-</v>
      </c>
      <c r="K60" s="122">
        <v>45923</v>
      </c>
      <c r="L60" s="116" t="str">
        <f>VLOOKUP(A60,'0919門市清單主檔'!B:V,21,FALSE)</f>
        <v>五股區</v>
      </c>
      <c r="M60" s="153" t="str">
        <f>VLOOKUP(A60,門市總表!A:B,2,FALSE)</f>
        <v>北縣西雲店</v>
      </c>
      <c r="Q60" s="115" t="s">
        <v>4951</v>
      </c>
      <c r="R60" s="115"/>
    </row>
    <row r="61" spans="1:18" ht="18.75" customHeight="1">
      <c r="A61" s="116">
        <v>3052</v>
      </c>
      <c r="B61" s="116" t="str">
        <f>VLOOKUP(A61,門市總表!A:B,2,FALSE)</f>
        <v>北縣莊玲店</v>
      </c>
      <c r="C61" s="146" t="str">
        <f>IF(COUNTIFS(IM!$F:$F,A61,IM!$AD:$AD,"O",IM!$X:$X,"&gt;="&amp;$M$1, IM!$X:$X,"&lt;"&amp;$M$2)&gt;0,"V","")</f>
        <v>V</v>
      </c>
      <c r="D61" s="146" t="str">
        <f>IF(AND(C61&lt;&gt;"V", COUNTIFS(IM!$F:$F,A61, IM!$AD:$AD, "O", IM!$X:$X, "&gt;="&amp;$M$2, IM!$X:$X, "&lt;"&amp;$M$3)&gt;0), "V", "")</f>
        <v/>
      </c>
      <c r="E61" s="146" t="str">
        <f>IF(AND(C61&lt;&gt;"V",D61&lt;&gt;"V", COUNTIFS(IM!$F:$F, A61, IM!$AD:$AD, "O", IM!$X:$X, "&gt;="&amp;$M$3, IM!$X:$X, "&lt;"&amp;$N$3)&gt;0), "V", "")</f>
        <v/>
      </c>
      <c r="F61" s="116" t="str">
        <f>IF(VLOOKUP(A61,門市總表!A:F,6,FALSE)="新開","新開不保養",
IF(VLOOKUP(A61,門市總表!A:F,6,FALSE)="撤店","閉店不保養",IF(VLOOKUP(A61,門市總表!A:F,6,FALSE)="非當季","非當季",IF(VLOOKUP(A61,門市總表!A:F,6,FALSE)="跨季補單","跨季補單",
IF(COUNTBLANK(C61:E61)=3,"未保養","")
))))</f>
        <v/>
      </c>
      <c r="G61" s="116" t="str">
        <f>IF(COUNTIFS('0919門市清單主檔'!C:C,B61,'0919門市清單主檔'!AF:AF,$H$3)=1,
    IF(COUNTIFS(IM!F:F,A61,IM!AC:AC,"*"&amp;$H$3&amp;"*") + COUNTIFS('0919門市清單主檔'!C:C,B61,'0919門市清單主檔'!AF:AF,$H$3) &gt; 1,
       "V","未完工"),"-")</f>
        <v>-</v>
      </c>
      <c r="H61" s="253" t="str">
        <f>IF(COUNTIFS('0919門市清單主檔'!C:C,B61,'0919門市清單主檔'!AG:AG,$H$4)=1,
    IF(COUNTIFS(IM!F:F,A61,IM!AC:AC,"*"&amp;$H$4&amp;"*") + COUNTIFS('0919門市清單主檔'!C:C,B61,'0919門市清單主檔'!AG:AG,$H$4) &gt; 1,
       "V","未完工"),"-")</f>
        <v>V</v>
      </c>
      <c r="I61" s="253" t="str">
        <f>IF(COUNTIFS('0919門市清單主檔'!C:C,B61,'0919門市清單主檔'!AH:AH,$H$5)=1,
    IF(COUNTIFS(IM!F:F,A61,IM!AC:AC,"*"&amp;$H$5&amp;"*") + COUNTIFS('0919門市清單主檔'!C:C,B61,'0919門市清單主檔'!AH:AH,$H$5) &gt; 1,
       "V","未完工"),"-")</f>
        <v>V</v>
      </c>
      <c r="J61" s="253" t="str">
        <f>IF(
    COUNTIFS('0919門市清單主檔'!C:C,B61,'0919門市清單主檔'!AC:AC,$H$2)=1,
    IF(
        COUNTIFS(
            IM!F:F,A61,
            IM!AC:AC,"*"&amp;$H$2&amp;"*",
            IM!X:X,"&gt;="&amp;$M$1,
            IM!X:X,"&lt;="&amp;$M$3
        )
        + COUNTIFS('0919門市清單主檔'!C:C,B61,'0919門市清單主檔'!AC:AC,$H$2)
        &gt;1,
        "V",
        "未完工"
    ),
    "-"
)</f>
        <v>-</v>
      </c>
      <c r="K61" s="122">
        <v>45873</v>
      </c>
      <c r="L61" s="116" t="str">
        <f>VLOOKUP(A61,'0919門市清單主檔'!B:V,21,FALSE)</f>
        <v>新莊區</v>
      </c>
      <c r="M61" s="153" t="str">
        <f>VLOOKUP(A61,門市總表!A:B,2,FALSE)</f>
        <v>北縣莊玲店</v>
      </c>
      <c r="Q61" s="115" t="s">
        <v>4951</v>
      </c>
      <c r="R61" s="115"/>
    </row>
    <row r="62" spans="1:18" ht="18.75" customHeight="1">
      <c r="A62" s="116" t="s">
        <v>51</v>
      </c>
      <c r="B62" s="116" t="str">
        <f>VLOOKUP(A62,門市總表!A:B,2,FALSE)</f>
        <v>新莊裕民店</v>
      </c>
      <c r="C62" s="146" t="str">
        <f>IF(COUNTIFS(IM!$F:$F,A62,IM!$AD:$AD,"O",IM!$X:$X,"&gt;="&amp;$M$1, IM!$X:$X,"&lt;"&amp;$M$2)&gt;0,"V","")</f>
        <v>V</v>
      </c>
      <c r="D62" s="146" t="str">
        <f>IF(AND(C62&lt;&gt;"V", COUNTIFS(IM!$F:$F,A62, IM!$AD:$AD, "O", IM!$X:$X, "&gt;="&amp;$M$2, IM!$X:$X, "&lt;"&amp;$M$3)&gt;0), "V", "")</f>
        <v/>
      </c>
      <c r="E62" s="146" t="str">
        <f>IF(AND(C62&lt;&gt;"V",D62&lt;&gt;"V", COUNTIFS(IM!$F:$F, A62, IM!$AD:$AD, "O", IM!$X:$X, "&gt;="&amp;$M$3, IM!$X:$X, "&lt;"&amp;$N$3)&gt;0), "V", "")</f>
        <v/>
      </c>
      <c r="F62" s="116" t="str">
        <f>IF(VLOOKUP(A62,門市總表!A:F,6,FALSE)="新開","新開不保養",
IF(VLOOKUP(A62,門市總表!A:F,6,FALSE)="撤店","閉店不保養",IF(VLOOKUP(A62,門市總表!A:F,6,FALSE)="非當季","非當季",IF(VLOOKUP(A62,門市總表!A:F,6,FALSE)="跨季補單","跨季補單",
IF(COUNTBLANK(C62:E62)=3,"未保養","")
))))</f>
        <v/>
      </c>
      <c r="G62" s="116" t="str">
        <f>IF(COUNTIFS('0919門市清單主檔'!C:C,B62,'0919門市清單主檔'!AF:AF,$H$3)=1,
    IF(COUNTIFS(IM!F:F,A62,IM!AC:AC,"*"&amp;$H$3&amp;"*") + COUNTIFS('0919門市清單主檔'!C:C,B62,'0919門市清單主檔'!AF:AF,$H$3) &gt; 1,
       "V","未完工"),"-")</f>
        <v>-</v>
      </c>
      <c r="H62" s="253" t="str">
        <f>IF(COUNTIFS('0919門市清單主檔'!C:C,B62,'0919門市清單主檔'!AG:AG,$H$4)=1,
    IF(COUNTIFS(IM!F:F,A62,IM!AC:AC,"*"&amp;$H$4&amp;"*") + COUNTIFS('0919門市清單主檔'!C:C,B62,'0919門市清單主檔'!AG:AG,$H$4) &gt; 1,
       "V","未完工"),"-")</f>
        <v>V</v>
      </c>
      <c r="I62" s="253" t="str">
        <f>IF(COUNTIFS('0919門市清單主檔'!C:C,B62,'0919門市清單主檔'!AH:AH,$H$5)=1,
    IF(COUNTIFS(IM!F:F,A62,IM!AC:AC,"*"&amp;$H$5&amp;"*") + COUNTIFS('0919門市清單主檔'!C:C,B62,'0919門市清單主檔'!AH:AH,$H$5) &gt; 1,
       "V","未完工"),"-")</f>
        <v>V</v>
      </c>
      <c r="J62" s="253" t="str">
        <f>IF(
    COUNTIFS('0919門市清單主檔'!C:C,B62,'0919門市清單主檔'!AC:AC,$H$2)=1,
    IF(
        COUNTIFS(
            IM!F:F,A62,
            IM!AC:AC,"*"&amp;$H$2&amp;"*",
            IM!X:X,"&gt;="&amp;$M$1,
            IM!X:X,"&lt;="&amp;$M$3
        )
        + COUNTIFS('0919門市清單主檔'!C:C,B62,'0919門市清單主檔'!AC:AC,$H$2)
        &gt;1,
        "V",
        "未完工"
    ),
    "-"
)</f>
        <v>-</v>
      </c>
      <c r="K62" s="122">
        <v>45882</v>
      </c>
      <c r="L62" s="116" t="str">
        <f>VLOOKUP(A62,'0919門市清單主檔'!B:V,21,FALSE)</f>
        <v>新莊區</v>
      </c>
      <c r="M62" s="153" t="str">
        <f>VLOOKUP(A62,門市總表!A:B,2,FALSE)</f>
        <v>新莊裕民店</v>
      </c>
      <c r="Q62" s="115" t="s">
        <v>4951</v>
      </c>
      <c r="R62" s="115"/>
    </row>
    <row r="63" spans="1:18" ht="18.75" customHeight="1">
      <c r="A63" s="116">
        <v>3921</v>
      </c>
      <c r="B63" s="116" t="str">
        <f>VLOOKUP(A63,門市總表!A:B,2,FALSE)</f>
        <v>五股福鑫店</v>
      </c>
      <c r="C63" s="146" t="str">
        <f>IF(COUNTIFS(IM!$F:$F,A63,IM!$AD:$AD,"O",IM!$X:$X,"&gt;="&amp;$M$1, IM!$X:$X,"&lt;"&amp;$M$2)&gt;0,"V","")</f>
        <v>V</v>
      </c>
      <c r="D63" s="146" t="str">
        <f>IF(AND(C63&lt;&gt;"V", COUNTIFS(IM!$F:$F,A63, IM!$AD:$AD, "O", IM!$X:$X, "&gt;="&amp;$M$2, IM!$X:$X, "&lt;"&amp;$M$3)&gt;0), "V", "")</f>
        <v/>
      </c>
      <c r="E63" s="146" t="str">
        <f>IF(AND(C63&lt;&gt;"V",D63&lt;&gt;"V", COUNTIFS(IM!$F:$F, A63, IM!$AD:$AD, "O", IM!$X:$X, "&gt;="&amp;$M$3, IM!$X:$X, "&lt;"&amp;$N$3)&gt;0), "V", "")</f>
        <v/>
      </c>
      <c r="F63" s="116" t="str">
        <f>IF(VLOOKUP(A63,門市總表!A:F,6,FALSE)="新開","新開不保養",
IF(VLOOKUP(A63,門市總表!A:F,6,FALSE)="撤店","閉店不保養",IF(VLOOKUP(A63,門市總表!A:F,6,FALSE)="非當季","非當季",IF(VLOOKUP(A63,門市總表!A:F,6,FALSE)="跨季補單","跨季補單",
IF(COUNTBLANK(C63:E63)=3,"未保養","")
))))</f>
        <v/>
      </c>
      <c r="G63" s="116" t="str">
        <f>IF(COUNTIFS('0919門市清單主檔'!C:C,B63,'0919門市清單主檔'!AF:AF,$H$3)=1,
    IF(COUNTIFS(IM!F:F,A63,IM!AC:AC,"*"&amp;$H$3&amp;"*") + COUNTIFS('0919門市清單主檔'!C:C,B63,'0919門市清單主檔'!AF:AF,$H$3) &gt; 1,
       "V","未完工"),"-")</f>
        <v>-</v>
      </c>
      <c r="H63" s="253" t="str">
        <f>IF(COUNTIFS('0919門市清單主檔'!C:C,B63,'0919門市清單主檔'!AG:AG,$H$4)=1,
    IF(COUNTIFS(IM!F:F,A63,IM!AC:AC,"*"&amp;$H$4&amp;"*") + COUNTIFS('0919門市清單主檔'!C:C,B63,'0919門市清單主檔'!AG:AG,$H$4) &gt; 1,
       "V","未完工"),"-")</f>
        <v>V</v>
      </c>
      <c r="I63" s="253" t="str">
        <f>IF(COUNTIFS('0919門市清單主檔'!C:C,B63,'0919門市清單主檔'!AH:AH,$H$5)=1,
    IF(COUNTIFS(IM!F:F,A63,IM!AC:AC,"*"&amp;$H$5&amp;"*") + COUNTIFS('0919門市清單主檔'!C:C,B63,'0919門市清單主檔'!AH:AH,$H$5) &gt; 1,
       "V","未完工"),"-")</f>
        <v>V</v>
      </c>
      <c r="J63" s="253" t="str">
        <f>IF(
    COUNTIFS('0919門市清單主檔'!C:C,B63,'0919門市清單主檔'!AC:AC,$H$2)=1,
    IF(
        COUNTIFS(
            IM!F:F,A63,
            IM!AC:AC,"*"&amp;$H$2&amp;"*",
            IM!X:X,"&gt;="&amp;$M$1,
            IM!X:X,"&lt;="&amp;$M$3
        )
        + COUNTIFS('0919門市清單主檔'!C:C,B63,'0919門市清單主檔'!AC:AC,$H$2)
        &gt;1,
        "V",
        "未完工"
    ),
    "-"
)</f>
        <v>-</v>
      </c>
      <c r="K63" s="122">
        <v>45908</v>
      </c>
      <c r="L63" s="116" t="str">
        <f>VLOOKUP(A63,'0919門市清單主檔'!B:V,21,FALSE)</f>
        <v>五股區</v>
      </c>
      <c r="M63" s="153" t="str">
        <f>VLOOKUP(A63,門市總表!A:B,2,FALSE)</f>
        <v>五股福鑫店</v>
      </c>
      <c r="Q63" s="115" t="s">
        <v>4951</v>
      </c>
      <c r="R63" s="115"/>
    </row>
    <row r="64" spans="1:18" ht="19.5" customHeight="1">
      <c r="A64" s="116">
        <v>4316</v>
      </c>
      <c r="B64" s="116" t="str">
        <f>VLOOKUP(A64,門市總表!A:B,2,FALSE)</f>
        <v>五股工商店</v>
      </c>
      <c r="C64" s="146" t="str">
        <f>IF(COUNTIFS(IM!$F:$F,A64,IM!$AD:$AD,"O",IM!$X:$X,"&gt;="&amp;$M$1, IM!$X:$X,"&lt;"&amp;$M$2)&gt;0,"V","")</f>
        <v>V</v>
      </c>
      <c r="D64" s="146" t="str">
        <f>IF(AND(C64&lt;&gt;"V", COUNTIFS(IM!$F:$F,A64, IM!$AD:$AD, "O", IM!$X:$X, "&gt;="&amp;$M$2, IM!$X:$X, "&lt;"&amp;$M$3)&gt;0), "V", "")</f>
        <v/>
      </c>
      <c r="E64" s="146" t="str">
        <f>IF(AND(C64&lt;&gt;"V",D64&lt;&gt;"V", COUNTIFS(IM!$F:$F, A64, IM!$AD:$AD, "O", IM!$X:$X, "&gt;="&amp;$M$3, IM!$X:$X, "&lt;"&amp;$N$3)&gt;0), "V", "")</f>
        <v/>
      </c>
      <c r="F64" s="116" t="str">
        <f>IF(VLOOKUP(A64,門市總表!A:F,6,FALSE)="新開","新開不保養",
IF(VLOOKUP(A64,門市總表!A:F,6,FALSE)="撤店","閉店不保養",IF(VLOOKUP(A64,門市總表!A:F,6,FALSE)="非當季","非當季",IF(VLOOKUP(A64,門市總表!A:F,6,FALSE)="跨季補單","跨季補單",
IF(COUNTBLANK(C64:E64)=3,"未保養","")
))))</f>
        <v/>
      </c>
      <c r="G64" s="116" t="str">
        <f>IF(COUNTIFS('0919門市清單主檔'!C:C,B64,'0919門市清單主檔'!AF:AF,$H$3)=1,
    IF(COUNTIFS(IM!F:F,A64,IM!AC:AC,"*"&amp;$H$3&amp;"*") + COUNTIFS('0919門市清單主檔'!C:C,B64,'0919門市清單主檔'!AF:AF,$H$3) &gt; 1,
       "V","未完工"),"-")</f>
        <v>-</v>
      </c>
      <c r="H64" s="253" t="str">
        <f>IF(COUNTIFS('0919門市清單主檔'!C:C,B64,'0919門市清單主檔'!AG:AG,$H$4)=1,
    IF(COUNTIFS(IM!F:F,A64,IM!AC:AC,"*"&amp;$H$4&amp;"*") + COUNTIFS('0919門市清單主檔'!C:C,B64,'0919門市清單主檔'!AG:AG,$H$4) &gt; 1,
       "V","未完工"),"-")</f>
        <v>V</v>
      </c>
      <c r="I64" s="253" t="str">
        <f>IF(COUNTIFS('0919門市清單主檔'!C:C,B64,'0919門市清單主檔'!AH:AH,$H$5)=1,
    IF(COUNTIFS(IM!F:F,A64,IM!AC:AC,"*"&amp;$H$5&amp;"*") + COUNTIFS('0919門市清單主檔'!C:C,B64,'0919門市清單主檔'!AH:AH,$H$5) &gt; 1,
       "V","未完工"),"-")</f>
        <v>V</v>
      </c>
      <c r="J64" s="253" t="str">
        <f>IF(
    COUNTIFS('0919門市清單主檔'!C:C,B64,'0919門市清單主檔'!AC:AC,$H$2)=1,
    IF(
        COUNTIFS(
            IM!F:F,A64,
            IM!AC:AC,"*"&amp;$H$2&amp;"*",
            IM!X:X,"&gt;="&amp;$M$1,
            IM!X:X,"&lt;="&amp;$M$3
        )
        + COUNTIFS('0919門市清單主檔'!C:C,B64,'0919門市清單主檔'!AC:AC,$H$2)
        &gt;1,
        "V",
        "未完工"
    ),
    "-"
)</f>
        <v>-</v>
      </c>
      <c r="K64" s="122">
        <v>45888</v>
      </c>
      <c r="L64" s="116" t="str">
        <f>VLOOKUP(A64,'0919門市清單主檔'!B:V,21,FALSE)</f>
        <v>五股區</v>
      </c>
      <c r="M64" s="153" t="str">
        <f>VLOOKUP(A64,門市總表!A:B,2,FALSE)</f>
        <v>五股工商店</v>
      </c>
      <c r="Q64" s="115" t="s">
        <v>4951</v>
      </c>
      <c r="R64" s="120" t="s">
        <v>4952</v>
      </c>
    </row>
    <row r="65" spans="1:18" ht="19.5" customHeight="1">
      <c r="A65" s="116">
        <v>4679</v>
      </c>
      <c r="B65" s="116" t="str">
        <f>VLOOKUP(A65,門市總表!A:B,2,FALSE)</f>
        <v>新莊幸運店</v>
      </c>
      <c r="C65" s="146" t="str">
        <f>IF(COUNTIFS(IM!$F:$F,A65,IM!$AD:$AD,"O",IM!$X:$X,"&gt;="&amp;$M$1, IM!$X:$X,"&lt;"&amp;$M$2)&gt;0,"V","")</f>
        <v>V</v>
      </c>
      <c r="D65" s="146" t="str">
        <f>IF(AND(C65&lt;&gt;"V", COUNTIFS(IM!$F:$F,A65, IM!$AD:$AD, "O", IM!$X:$X, "&gt;="&amp;$M$2, IM!$X:$X, "&lt;"&amp;$M$3)&gt;0), "V", "")</f>
        <v/>
      </c>
      <c r="E65" s="146" t="str">
        <f>IF(AND(C65&lt;&gt;"V",D65&lt;&gt;"V", COUNTIFS(IM!$F:$F, A65, IM!$AD:$AD, "O", IM!$X:$X, "&gt;="&amp;$M$3, IM!$X:$X, "&lt;"&amp;$N$3)&gt;0), "V", "")</f>
        <v/>
      </c>
      <c r="F65" s="116" t="str">
        <f>IF(VLOOKUP(A65,門市總表!A:F,6,FALSE)="新開","新開不保養",
IF(VLOOKUP(A65,門市總表!A:F,6,FALSE)="撤店","閉店不保養",IF(VLOOKUP(A65,門市總表!A:F,6,FALSE)="非當季","非當季",IF(VLOOKUP(A65,門市總表!A:F,6,FALSE)="跨季補單","跨季補單",
IF(COUNTBLANK(C65:E65)=3,"未保養","")
))))</f>
        <v/>
      </c>
      <c r="G65" s="116" t="str">
        <f>IF(COUNTIFS('0919門市清單主檔'!C:C,B65,'0919門市清單主檔'!AF:AF,$H$3)=1,
    IF(COUNTIFS(IM!F:F,A65,IM!AC:AC,"*"&amp;$H$3&amp;"*") + COUNTIFS('0919門市清單主檔'!C:C,B65,'0919門市清單主檔'!AF:AF,$H$3) &gt; 1,
       "V","未完工"),"-")</f>
        <v>-</v>
      </c>
      <c r="H65" s="253" t="str">
        <f>IF(COUNTIFS('0919門市清單主檔'!C:C,B65,'0919門市清單主檔'!AG:AG,$H$4)=1,
    IF(COUNTIFS(IM!F:F,A65,IM!AC:AC,"*"&amp;$H$4&amp;"*") + COUNTIFS('0919門市清單主檔'!C:C,B65,'0919門市清單主檔'!AG:AG,$H$4) &gt; 1,
       "V","未完工"),"-")</f>
        <v>V</v>
      </c>
      <c r="I65" s="253" t="str">
        <f>IF(COUNTIFS('0919門市清單主檔'!C:C,B65,'0919門市清單主檔'!AH:AH,$H$5)=1,
    IF(COUNTIFS(IM!F:F,A65,IM!AC:AC,"*"&amp;$H$5&amp;"*") + COUNTIFS('0919門市清單主檔'!C:C,B65,'0919門市清單主檔'!AH:AH,$H$5) &gt; 1,
       "V","未完工"),"-")</f>
        <v>V</v>
      </c>
      <c r="J65" s="253" t="str">
        <f>IF(
    COUNTIFS('0919門市清單主檔'!C:C,B65,'0919門市清單主檔'!AC:AC,$H$2)=1,
    IF(
        COUNTIFS(
            IM!F:F,A65,
            IM!AC:AC,"*"&amp;$H$2&amp;"*",
            IM!X:X,"&gt;="&amp;$M$1,
            IM!X:X,"&lt;="&amp;$M$3
        )
        + COUNTIFS('0919門市清單主檔'!C:C,B65,'0919門市清單主檔'!AC:AC,$H$2)
        &gt;1,
        "V",
        "未完工"
    ),
    "-"
)</f>
        <v>-</v>
      </c>
      <c r="K65" s="122">
        <v>45923</v>
      </c>
      <c r="L65" s="116" t="str">
        <f>VLOOKUP(A65,'0919門市清單主檔'!B:V,21,FALSE)</f>
        <v>新莊區</v>
      </c>
      <c r="M65" s="153" t="str">
        <f>VLOOKUP(A65,門市總表!A:B,2,FALSE)</f>
        <v>新莊幸運店</v>
      </c>
      <c r="Q65" s="115" t="s">
        <v>4951</v>
      </c>
      <c r="R65" s="115"/>
    </row>
    <row r="66" spans="1:18" ht="19.5" customHeight="1">
      <c r="A66" s="116">
        <v>3785</v>
      </c>
      <c r="B66" s="116" t="str">
        <f>VLOOKUP(A66,門市總表!A:B,2,FALSE)</f>
        <v>北縣莊榮店</v>
      </c>
      <c r="C66" s="146" t="str">
        <f>IF(COUNTIFS(IM!$F:$F,A66,IM!$AD:$AD,"O",IM!$X:$X,"&gt;="&amp;$M$1, IM!$X:$X,"&lt;"&amp;$M$2)&gt;0,"V","")</f>
        <v>V</v>
      </c>
      <c r="D66" s="146" t="str">
        <f>IF(AND(C66&lt;&gt;"V", COUNTIFS(IM!$F:$F,A66, IM!$AD:$AD, "O", IM!$X:$X, "&gt;="&amp;$M$2, IM!$X:$X, "&lt;"&amp;$M$3)&gt;0), "V", "")</f>
        <v/>
      </c>
      <c r="E66" s="146" t="str">
        <f>IF(AND(C66&lt;&gt;"V",D66&lt;&gt;"V", COUNTIFS(IM!$F:$F, A66, IM!$AD:$AD, "O", IM!$X:$X, "&gt;="&amp;$M$3, IM!$X:$X, "&lt;"&amp;$N$3)&gt;0), "V", "")</f>
        <v/>
      </c>
      <c r="F66" s="116" t="str">
        <f>IF(VLOOKUP(A66,門市總表!A:F,6,FALSE)="新開","新開不保養",
IF(VLOOKUP(A66,門市總表!A:F,6,FALSE)="撤店","閉店不保養",IF(VLOOKUP(A66,門市總表!A:F,6,FALSE)="非當季","非當季",IF(VLOOKUP(A66,門市總表!A:F,6,FALSE)="跨季補單","跨季補單",
IF(COUNTBLANK(C66:E66)=3,"未保養","")
))))</f>
        <v/>
      </c>
      <c r="G66" s="116" t="str">
        <f>IF(COUNTIFS('0919門市清單主檔'!C:C,B66,'0919門市清單主檔'!AF:AF,$H$3)=1,
    IF(COUNTIFS(IM!F:F,A66,IM!AC:AC,"*"&amp;$H$3&amp;"*") + COUNTIFS('0919門市清單主檔'!C:C,B66,'0919門市清單主檔'!AF:AF,$H$3) &gt; 1,
       "V","未完工"),"-")</f>
        <v>-</v>
      </c>
      <c r="H66" s="253" t="str">
        <f>IF(COUNTIFS('0919門市清單主檔'!C:C,B66,'0919門市清單主檔'!AG:AG,$H$4)=1,
    IF(COUNTIFS(IM!F:F,A66,IM!AC:AC,"*"&amp;$H$4&amp;"*") + COUNTIFS('0919門市清單主檔'!C:C,B66,'0919門市清單主檔'!AG:AG,$H$4) &gt; 1,
       "V","未完工"),"-")</f>
        <v>V</v>
      </c>
      <c r="I66" s="253" t="str">
        <f>IF(COUNTIFS('0919門市清單主檔'!C:C,B66,'0919門市清單主檔'!AH:AH,$H$5)=1,
    IF(COUNTIFS(IM!F:F,A66,IM!AC:AC,"*"&amp;$H$5&amp;"*") + COUNTIFS('0919門市清單主檔'!C:C,B66,'0919門市清單主檔'!AH:AH,$H$5) &gt; 1,
       "V","未完工"),"-")</f>
        <v>V</v>
      </c>
      <c r="J66" s="253" t="str">
        <f>IF(
    COUNTIFS('0919門市清單主檔'!C:C,B66,'0919門市清單主檔'!AC:AC,$H$2)=1,
    IF(
        COUNTIFS(
            IM!F:F,A66,
            IM!AC:AC,"*"&amp;$H$2&amp;"*",
            IM!X:X,"&gt;="&amp;$M$1,
            IM!X:X,"&lt;="&amp;$M$3
        )
        + COUNTIFS('0919門市清單主檔'!C:C,B66,'0919門市清單主檔'!AC:AC,$H$2)
        &gt;1,
        "V",
        "未完工"
    ),
    "-"
)</f>
        <v>-</v>
      </c>
      <c r="K66" s="122">
        <v>45923</v>
      </c>
      <c r="L66" s="116" t="str">
        <f>VLOOKUP(A66,'0919門市清單主檔'!B:V,21,FALSE)</f>
        <v>新莊區</v>
      </c>
      <c r="M66" s="153" t="str">
        <f>VLOOKUP(A66,門市總表!A:B,2,FALSE)</f>
        <v>北縣莊榮店</v>
      </c>
      <c r="Q66" s="115" t="s">
        <v>4951</v>
      </c>
      <c r="R66" s="115"/>
    </row>
    <row r="67" spans="1:18" ht="19.5" customHeight="1">
      <c r="A67" s="116">
        <v>5197</v>
      </c>
      <c r="B67" s="116" t="str">
        <f>VLOOKUP(A67,門市總表!A:B,2,FALSE)</f>
        <v>蘆洲鴻悅店</v>
      </c>
      <c r="C67" s="146" t="str">
        <f>IF(COUNTIFS(IM!$F:$F,A67,IM!$AD:$AD,"O",IM!$X:$X,"&gt;="&amp;$M$1, IM!$X:$X,"&lt;"&amp;$M$2)&gt;0,"V","")</f>
        <v>V</v>
      </c>
      <c r="D67" s="146" t="str">
        <f>IF(AND(C67&lt;&gt;"V", COUNTIFS(IM!$F:$F,A67, IM!$AD:$AD, "O", IM!$X:$X, "&gt;="&amp;$M$2, IM!$X:$X, "&lt;"&amp;$M$3)&gt;0), "V", "")</f>
        <v/>
      </c>
      <c r="E67" s="146" t="str">
        <f>IF(AND(C67&lt;&gt;"V",D67&lt;&gt;"V", COUNTIFS(IM!$F:$F, A67, IM!$AD:$AD, "O", IM!$X:$X, "&gt;="&amp;$M$3, IM!$X:$X, "&lt;"&amp;$N$3)&gt;0), "V", "")</f>
        <v/>
      </c>
      <c r="F67" s="116" t="str">
        <f>IF(VLOOKUP(A67,門市總表!A:F,6,FALSE)="新開","新開不保養",
IF(VLOOKUP(A67,門市總表!A:F,6,FALSE)="撤店","閉店不保養",IF(VLOOKUP(A67,門市總表!A:F,6,FALSE)="非當季","非當季",IF(VLOOKUP(A67,門市總表!A:F,6,FALSE)="跨季補單","跨季補單",
IF(COUNTBLANK(C67:E67)=3,"未保養","")
))))</f>
        <v/>
      </c>
      <c r="G67" s="116" t="str">
        <f>IF(COUNTIFS('0919門市清單主檔'!C:C,B67,'0919門市清單主檔'!AF:AF,$H$3)=1,
    IF(COUNTIFS(IM!F:F,A67,IM!AC:AC,"*"&amp;$H$3&amp;"*") + COUNTIFS('0919門市清單主檔'!C:C,B67,'0919門市清單主檔'!AF:AF,$H$3) &gt; 1,
       "V","未完工"),"-")</f>
        <v>-</v>
      </c>
      <c r="H67" s="253" t="str">
        <f>IF(COUNTIFS('0919門市清單主檔'!C:C,B67,'0919門市清單主檔'!AG:AG,$H$4)=1,
    IF(COUNTIFS(IM!F:F,A67,IM!AC:AC,"*"&amp;$H$4&amp;"*") + COUNTIFS('0919門市清單主檔'!C:C,B67,'0919門市清單主檔'!AG:AG,$H$4) &gt; 1,
       "V","未完工"),"-")</f>
        <v>V</v>
      </c>
      <c r="I67" s="253" t="str">
        <f>IF(COUNTIFS('0919門市清單主檔'!C:C,B67,'0919門市清單主檔'!AH:AH,$H$5)=1,
    IF(COUNTIFS(IM!F:F,A67,IM!AC:AC,"*"&amp;$H$5&amp;"*") + COUNTIFS('0919門市清單主檔'!C:C,B67,'0919門市清單主檔'!AH:AH,$H$5) &gt; 1,
       "V","未完工"),"-")</f>
        <v>V</v>
      </c>
      <c r="J67" s="253" t="str">
        <f>IF(
    COUNTIFS('0919門市清單主檔'!C:C,B67,'0919門市清單主檔'!AC:AC,$H$2)=1,
    IF(
        COUNTIFS(
            IM!F:F,A67,
            IM!AC:AC,"*"&amp;$H$2&amp;"*",
            IM!X:X,"&gt;="&amp;$M$1,
            IM!X:X,"&lt;="&amp;$M$3
        )
        + COUNTIFS('0919門市清單主檔'!C:C,B67,'0919門市清單主檔'!AC:AC,$H$2)
        &gt;1,
        "V",
        "未完工"
    ),
    "-"
)</f>
        <v>-</v>
      </c>
      <c r="K67" s="122">
        <v>45846</v>
      </c>
      <c r="L67" s="116" t="str">
        <f>VLOOKUP(A67,'0919門市清單主檔'!B:V,21,FALSE)</f>
        <v>蘆洲區</v>
      </c>
      <c r="M67" s="153" t="str">
        <f>VLOOKUP(A67,門市總表!A:B,2,FALSE)</f>
        <v>蘆洲鴻悅店</v>
      </c>
      <c r="Q67" s="115" t="s">
        <v>4951</v>
      </c>
      <c r="R67" s="115"/>
    </row>
    <row r="68" spans="1:18" ht="19.5" customHeight="1">
      <c r="A68" s="116">
        <v>2109</v>
      </c>
      <c r="B68" s="116" t="str">
        <f>VLOOKUP(A68,門市總表!A:B,2,FALSE)</f>
        <v>新莊瓊林南</v>
      </c>
      <c r="C68" s="146" t="str">
        <f>IF(COUNTIFS(IM!$F:$F,A68,IM!$AD:$AD,"O",IM!$X:$X,"&gt;="&amp;$M$1, IM!$X:$X,"&lt;"&amp;$M$2)&gt;0,"V","")</f>
        <v>V</v>
      </c>
      <c r="D68" s="146" t="str">
        <f>IF(AND(C68&lt;&gt;"V", COUNTIFS(IM!$F:$F,A68, IM!$AD:$AD, "O", IM!$X:$X, "&gt;="&amp;$M$2, IM!$X:$X, "&lt;"&amp;$M$3)&gt;0), "V", "")</f>
        <v/>
      </c>
      <c r="E68" s="146" t="str">
        <f>IF(AND(C68&lt;&gt;"V",D68&lt;&gt;"V", COUNTIFS(IM!$F:$F, A68, IM!$AD:$AD, "O", IM!$X:$X, "&gt;="&amp;$M$3, IM!$X:$X, "&lt;"&amp;$N$3)&gt;0), "V", "")</f>
        <v/>
      </c>
      <c r="F68" s="116" t="str">
        <f>IF(VLOOKUP(A68,門市總表!A:F,6,FALSE)="新開","新開不保養",
IF(VLOOKUP(A68,門市總表!A:F,6,FALSE)="撤店","閉店不保養",IF(VLOOKUP(A68,門市總表!A:F,6,FALSE)="非當季","非當季",IF(VLOOKUP(A68,門市總表!A:F,6,FALSE)="跨季補單","跨季補單",
IF(COUNTBLANK(C68:E68)=3,"未保養","")
))))</f>
        <v/>
      </c>
      <c r="G68" s="116" t="str">
        <f>IF(COUNTIFS('0919門市清單主檔'!C:C,B68,'0919門市清單主檔'!AF:AF,$H$3)=1,
    IF(COUNTIFS(IM!F:F,A68,IM!AC:AC,"*"&amp;$H$3&amp;"*") + COUNTIFS('0919門市清單主檔'!C:C,B68,'0919門市清單主檔'!AF:AF,$H$3) &gt; 1,
       "V","未完工"),"-")</f>
        <v>-</v>
      </c>
      <c r="H68" s="253" t="str">
        <f>IF(COUNTIFS('0919門市清單主檔'!C:C,B68,'0919門市清單主檔'!AG:AG,$H$4)=1,
    IF(COUNTIFS(IM!F:F,A68,IM!AC:AC,"*"&amp;$H$4&amp;"*") + COUNTIFS('0919門市清單主檔'!C:C,B68,'0919門市清單主檔'!AG:AG,$H$4) &gt; 1,
       "V","未完工"),"-")</f>
        <v>V</v>
      </c>
      <c r="I68" s="253" t="str">
        <f>IF(COUNTIFS('0919門市清單主檔'!C:C,B68,'0919門市清單主檔'!AH:AH,$H$5)=1,
    IF(COUNTIFS(IM!F:F,A68,IM!AC:AC,"*"&amp;$H$5&amp;"*") + COUNTIFS('0919門市清單主檔'!C:C,B68,'0919門市清單主檔'!AH:AH,$H$5) &gt; 1,
       "V","未完工"),"-")</f>
        <v>-</v>
      </c>
      <c r="J68" s="253" t="str">
        <f>IF(
    COUNTIFS('0919門市清單主檔'!C:C,B68,'0919門市清單主檔'!AC:AC,$H$2)=1,
    IF(
        COUNTIFS(
            IM!F:F,A68,
            IM!AC:AC,"*"&amp;$H$2&amp;"*",
            IM!X:X,"&gt;="&amp;$M$1,
            IM!X:X,"&lt;="&amp;$M$3
        )
        + COUNTIFS('0919門市清單主檔'!C:C,B68,'0919門市清單主檔'!AC:AC,$H$2)
        &gt;1,
        "V",
        "未完工"
    ),
    "-"
)</f>
        <v>-</v>
      </c>
      <c r="K68" s="122">
        <v>45910</v>
      </c>
      <c r="L68" s="116" t="str">
        <f>VLOOKUP(A68,'0919門市清單主檔'!B:V,21,FALSE)</f>
        <v>新莊區</v>
      </c>
      <c r="M68" s="153" t="str">
        <f>VLOOKUP(A68,門市總表!A:B,2,FALSE)</f>
        <v>新莊瓊林南</v>
      </c>
      <c r="Q68" s="115" t="s">
        <v>4951</v>
      </c>
      <c r="R68" s="115"/>
    </row>
    <row r="69" spans="1:18" ht="15.75" customHeight="1">
      <c r="A69" s="115"/>
      <c r="B69" s="115"/>
      <c r="C69" s="148"/>
      <c r="D69" s="148"/>
      <c r="E69" s="148"/>
      <c r="F69" s="115"/>
      <c r="G69" s="115"/>
      <c r="H69" s="170"/>
      <c r="I69" s="172"/>
      <c r="J69" s="115"/>
      <c r="Q69" s="115"/>
      <c r="R69" s="115"/>
    </row>
    <row r="70" spans="1:18" ht="15.75" customHeight="1">
      <c r="A70" s="115"/>
      <c r="B70" s="115"/>
      <c r="C70" s="148"/>
      <c r="D70" s="148"/>
      <c r="E70" s="148"/>
      <c r="F70" s="115"/>
      <c r="G70" s="115"/>
      <c r="H70" s="170"/>
      <c r="I70" s="172"/>
      <c r="J70" s="115"/>
      <c r="Q70" s="115"/>
      <c r="R70" s="115"/>
    </row>
    <row r="71" spans="1:18" ht="15.75" customHeight="1">
      <c r="A71" s="115"/>
      <c r="B71" s="115"/>
      <c r="C71" s="148"/>
      <c r="D71" s="148"/>
      <c r="E71" s="148"/>
      <c r="F71" s="115"/>
      <c r="G71" s="115"/>
      <c r="H71" s="170"/>
      <c r="I71" s="172"/>
      <c r="J71" s="115"/>
      <c r="Q71" s="115"/>
      <c r="R71" s="115"/>
    </row>
    <row r="72" spans="1:18" ht="15.75" customHeight="1">
      <c r="A72" s="115"/>
      <c r="B72" s="115"/>
      <c r="C72" s="148"/>
      <c r="D72" s="148"/>
      <c r="E72" s="148"/>
      <c r="F72" s="115"/>
      <c r="G72" s="115"/>
      <c r="H72" s="170"/>
      <c r="I72" s="172"/>
      <c r="J72" s="115"/>
      <c r="Q72" s="115"/>
      <c r="R72" s="115"/>
    </row>
    <row r="73" spans="1:18" ht="15.75" customHeight="1">
      <c r="A73" s="115"/>
      <c r="B73" s="115"/>
      <c r="C73" s="148"/>
      <c r="D73" s="148"/>
      <c r="E73" s="148"/>
      <c r="F73" s="115"/>
      <c r="G73" s="115"/>
      <c r="H73" s="170"/>
      <c r="I73" s="172"/>
      <c r="J73" s="115"/>
      <c r="Q73" s="115"/>
      <c r="R73" s="115"/>
    </row>
    <row r="74" spans="1:18" ht="15.75" customHeight="1">
      <c r="A74" s="115"/>
      <c r="B74" s="115"/>
      <c r="C74" s="148"/>
      <c r="D74" s="148"/>
      <c r="E74" s="148"/>
      <c r="F74" s="115"/>
      <c r="G74" s="115"/>
      <c r="H74" s="170"/>
      <c r="I74" s="172"/>
      <c r="J74" s="115"/>
      <c r="Q74" s="115"/>
      <c r="R74" s="115"/>
    </row>
    <row r="75" spans="1:18" ht="15.75" customHeight="1">
      <c r="A75" s="115"/>
      <c r="B75" s="115"/>
      <c r="C75" s="148"/>
      <c r="D75" s="148"/>
      <c r="E75" s="148"/>
      <c r="F75" s="115"/>
      <c r="G75" s="115"/>
      <c r="H75" s="170"/>
      <c r="I75" s="172"/>
      <c r="J75" s="115"/>
      <c r="Q75" s="115"/>
      <c r="R75" s="115"/>
    </row>
    <row r="76" spans="1:18" ht="15.75" customHeight="1">
      <c r="A76" s="115"/>
      <c r="B76" s="115"/>
      <c r="C76" s="148"/>
      <c r="D76" s="148"/>
      <c r="E76" s="148"/>
      <c r="F76" s="115"/>
      <c r="G76" s="115"/>
      <c r="H76" s="170"/>
      <c r="I76" s="172"/>
      <c r="J76" s="115"/>
      <c r="Q76" s="115"/>
      <c r="R76" s="115"/>
    </row>
    <row r="77" spans="1:18" ht="15.75" customHeight="1">
      <c r="A77" s="115"/>
      <c r="B77" s="115"/>
      <c r="C77" s="148"/>
      <c r="D77" s="148"/>
      <c r="E77" s="148"/>
      <c r="F77" s="115"/>
      <c r="G77" s="115"/>
      <c r="H77" s="170"/>
      <c r="I77" s="172"/>
      <c r="J77" s="115"/>
      <c r="Q77" s="115"/>
      <c r="R77" s="115"/>
    </row>
    <row r="78" spans="1:18" ht="15.75" customHeight="1">
      <c r="A78" s="115"/>
      <c r="B78" s="115"/>
      <c r="C78" s="148"/>
      <c r="D78" s="148"/>
      <c r="E78" s="148"/>
      <c r="F78" s="115"/>
      <c r="G78" s="115"/>
      <c r="H78" s="170"/>
      <c r="I78" s="172"/>
      <c r="J78" s="115"/>
      <c r="Q78" s="115"/>
      <c r="R78" s="115"/>
    </row>
    <row r="79" spans="1:18" ht="15.75" customHeight="1">
      <c r="A79" s="115"/>
      <c r="B79" s="115"/>
      <c r="C79" s="148"/>
      <c r="D79" s="148"/>
      <c r="E79" s="148"/>
      <c r="F79" s="115"/>
      <c r="G79" s="115"/>
      <c r="H79" s="170"/>
      <c r="I79" s="172"/>
      <c r="J79" s="115"/>
      <c r="Q79" s="115"/>
      <c r="R79" s="115"/>
    </row>
    <row r="80" spans="1:18" ht="15.75" customHeight="1">
      <c r="A80" s="115"/>
      <c r="B80" s="115"/>
      <c r="C80" s="148"/>
      <c r="D80" s="148"/>
      <c r="E80" s="148"/>
      <c r="F80" s="115"/>
      <c r="G80" s="115"/>
      <c r="H80" s="170"/>
      <c r="I80" s="172"/>
      <c r="J80" s="115"/>
      <c r="Q80" s="115"/>
      <c r="R80" s="115"/>
    </row>
    <row r="81" spans="1:18" ht="15.75" customHeight="1">
      <c r="A81" s="115"/>
      <c r="B81" s="115"/>
      <c r="C81" s="148"/>
      <c r="D81" s="148"/>
      <c r="E81" s="148"/>
      <c r="F81" s="115"/>
      <c r="G81" s="115"/>
      <c r="H81" s="170"/>
      <c r="I81" s="172"/>
      <c r="J81" s="115"/>
      <c r="Q81" s="115"/>
      <c r="R81" s="115"/>
    </row>
    <row r="82" spans="1:18" ht="15.75" customHeight="1">
      <c r="A82" s="115"/>
      <c r="B82" s="115"/>
      <c r="C82" s="148"/>
      <c r="D82" s="148"/>
      <c r="E82" s="148"/>
      <c r="F82" s="115"/>
      <c r="G82" s="115"/>
      <c r="H82" s="170"/>
      <c r="I82" s="172"/>
      <c r="J82" s="115"/>
      <c r="Q82" s="115"/>
      <c r="R82" s="115"/>
    </row>
    <row r="83" spans="1:18" ht="15.75" customHeight="1">
      <c r="A83" s="115"/>
      <c r="B83" s="115"/>
      <c r="C83" s="148"/>
      <c r="D83" s="148"/>
      <c r="E83" s="148"/>
      <c r="F83" s="115"/>
      <c r="G83" s="115"/>
      <c r="H83" s="170"/>
      <c r="I83" s="172"/>
      <c r="J83" s="115"/>
      <c r="Q83" s="115"/>
      <c r="R83" s="115"/>
    </row>
    <row r="84" spans="1:18" ht="15.75" customHeight="1">
      <c r="A84" s="115"/>
      <c r="B84" s="115"/>
      <c r="C84" s="148"/>
      <c r="D84" s="148"/>
      <c r="E84" s="148"/>
      <c r="F84" s="115"/>
      <c r="G84" s="115"/>
      <c r="H84" s="170"/>
      <c r="I84" s="172"/>
      <c r="J84" s="115"/>
      <c r="Q84" s="115"/>
      <c r="R84" s="115"/>
    </row>
    <row r="85" spans="1:18" ht="15.75" customHeight="1">
      <c r="A85" s="115"/>
      <c r="B85" s="115"/>
      <c r="C85" s="148"/>
      <c r="D85" s="148"/>
      <c r="E85" s="148"/>
      <c r="F85" s="115"/>
      <c r="G85" s="115"/>
      <c r="H85" s="170"/>
      <c r="I85" s="172"/>
      <c r="J85" s="115"/>
      <c r="Q85" s="115"/>
      <c r="R85" s="115"/>
    </row>
    <row r="86" spans="1:18" ht="15.75" customHeight="1">
      <c r="A86" s="115"/>
      <c r="B86" s="115"/>
      <c r="C86" s="148"/>
      <c r="D86" s="148"/>
      <c r="E86" s="148"/>
      <c r="F86" s="115"/>
      <c r="G86" s="115"/>
      <c r="H86" s="170"/>
      <c r="I86" s="172"/>
      <c r="J86" s="115"/>
      <c r="Q86" s="115"/>
      <c r="R86" s="115"/>
    </row>
    <row r="87" spans="1:18" ht="15.75" customHeight="1">
      <c r="A87" s="115"/>
      <c r="B87" s="115"/>
      <c r="C87" s="148"/>
      <c r="D87" s="148"/>
      <c r="E87" s="148"/>
      <c r="F87" s="115"/>
      <c r="G87" s="115"/>
      <c r="H87" s="170"/>
      <c r="I87" s="172"/>
      <c r="J87" s="115"/>
      <c r="Q87" s="115"/>
      <c r="R87" s="115"/>
    </row>
    <row r="88" spans="1:18" ht="15.75" customHeight="1">
      <c r="A88" s="115"/>
      <c r="B88" s="115"/>
      <c r="C88" s="148"/>
      <c r="D88" s="148"/>
      <c r="E88" s="148"/>
      <c r="F88" s="115"/>
      <c r="G88" s="115"/>
      <c r="H88" s="170"/>
      <c r="I88" s="172"/>
      <c r="J88" s="115"/>
      <c r="Q88" s="115"/>
      <c r="R88" s="115"/>
    </row>
    <row r="89" spans="1:18" ht="15.75" customHeight="1">
      <c r="A89" s="115"/>
      <c r="B89" s="115"/>
      <c r="C89" s="148"/>
      <c r="D89" s="148"/>
      <c r="E89" s="148"/>
      <c r="F89" s="115"/>
      <c r="G89" s="115"/>
      <c r="H89" s="170"/>
      <c r="I89" s="172"/>
      <c r="J89" s="115"/>
      <c r="Q89" s="115"/>
      <c r="R89" s="115"/>
    </row>
    <row r="90" spans="1:18" ht="15.75" customHeight="1">
      <c r="A90" s="115"/>
      <c r="B90" s="115"/>
      <c r="C90" s="148"/>
      <c r="D90" s="148"/>
      <c r="E90" s="148"/>
      <c r="F90" s="115"/>
      <c r="G90" s="115"/>
      <c r="H90" s="170"/>
      <c r="I90" s="172"/>
      <c r="J90" s="115"/>
      <c r="Q90" s="115"/>
      <c r="R90" s="115"/>
    </row>
    <row r="91" spans="1:18" ht="15.75" customHeight="1">
      <c r="A91" s="115"/>
      <c r="B91" s="115"/>
      <c r="C91" s="148"/>
      <c r="D91" s="148"/>
      <c r="E91" s="148"/>
      <c r="F91" s="115"/>
      <c r="G91" s="115"/>
      <c r="H91" s="170"/>
      <c r="I91" s="172"/>
      <c r="J91" s="115"/>
      <c r="Q91" s="115"/>
      <c r="R91" s="115"/>
    </row>
    <row r="92" spans="1:18" ht="15.75" customHeight="1">
      <c r="A92" s="115"/>
      <c r="B92" s="115"/>
      <c r="C92" s="148"/>
      <c r="D92" s="148"/>
      <c r="E92" s="148"/>
      <c r="F92" s="115"/>
      <c r="G92" s="115"/>
      <c r="H92" s="170"/>
      <c r="I92" s="172"/>
      <c r="J92" s="115"/>
      <c r="Q92" s="115"/>
      <c r="R92" s="115"/>
    </row>
    <row r="93" spans="1:18" ht="15.75" customHeight="1">
      <c r="A93" s="115"/>
      <c r="B93" s="115"/>
      <c r="C93" s="148"/>
      <c r="D93" s="148"/>
      <c r="E93" s="148"/>
      <c r="F93" s="115"/>
      <c r="G93" s="115"/>
      <c r="H93" s="170"/>
      <c r="I93" s="172"/>
      <c r="J93" s="115"/>
      <c r="Q93" s="115"/>
      <c r="R93" s="115"/>
    </row>
    <row r="94" spans="1:18" ht="15.75" customHeight="1">
      <c r="A94" s="115"/>
      <c r="B94" s="115"/>
      <c r="C94" s="148"/>
      <c r="D94" s="148"/>
      <c r="E94" s="148"/>
      <c r="F94" s="115"/>
      <c r="G94" s="115"/>
      <c r="H94" s="170"/>
      <c r="I94" s="172"/>
      <c r="J94" s="115"/>
      <c r="Q94" s="115"/>
      <c r="R94" s="115"/>
    </row>
    <row r="95" spans="1:18" ht="15.75" customHeight="1">
      <c r="A95" s="115"/>
      <c r="B95" s="115"/>
      <c r="C95" s="148"/>
      <c r="D95" s="148"/>
      <c r="E95" s="148"/>
      <c r="F95" s="115"/>
      <c r="G95" s="115"/>
      <c r="H95" s="170"/>
      <c r="I95" s="172"/>
      <c r="J95" s="115"/>
      <c r="Q95" s="115"/>
      <c r="R95" s="115"/>
    </row>
    <row r="96" spans="1:18" ht="15.75" customHeight="1">
      <c r="A96" s="115"/>
      <c r="B96" s="115"/>
      <c r="C96" s="148"/>
      <c r="D96" s="148"/>
      <c r="E96" s="148"/>
      <c r="F96" s="115"/>
      <c r="G96" s="115"/>
      <c r="H96" s="170"/>
      <c r="I96" s="172"/>
      <c r="J96" s="115"/>
      <c r="Q96" s="115"/>
      <c r="R96" s="115"/>
    </row>
    <row r="97" spans="1:18" ht="15.75" customHeight="1">
      <c r="A97" s="115"/>
      <c r="B97" s="115"/>
      <c r="C97" s="148"/>
      <c r="D97" s="148"/>
      <c r="E97" s="148"/>
      <c r="F97" s="115"/>
      <c r="G97" s="115"/>
      <c r="H97" s="170"/>
      <c r="I97" s="172"/>
      <c r="J97" s="115"/>
      <c r="Q97" s="115"/>
      <c r="R97" s="115"/>
    </row>
    <row r="98" spans="1:18" ht="15.75" customHeight="1">
      <c r="A98" s="115"/>
      <c r="B98" s="115"/>
      <c r="C98" s="148"/>
      <c r="D98" s="148"/>
      <c r="E98" s="148"/>
      <c r="F98" s="115"/>
      <c r="G98" s="115"/>
      <c r="H98" s="170"/>
      <c r="I98" s="172"/>
      <c r="J98" s="115"/>
      <c r="Q98" s="115"/>
      <c r="R98" s="115"/>
    </row>
    <row r="99" spans="1:18" ht="15.75" customHeight="1">
      <c r="A99" s="115"/>
      <c r="B99" s="115"/>
      <c r="C99" s="148"/>
      <c r="D99" s="148"/>
      <c r="E99" s="148"/>
      <c r="F99" s="115"/>
      <c r="G99" s="115"/>
      <c r="H99" s="170"/>
      <c r="I99" s="172"/>
      <c r="J99" s="115"/>
      <c r="Q99" s="115"/>
      <c r="R99" s="115"/>
    </row>
    <row r="100" spans="1:18" ht="15.75" customHeight="1">
      <c r="A100" s="115"/>
      <c r="B100" s="115"/>
      <c r="C100" s="148"/>
      <c r="D100" s="148"/>
      <c r="E100" s="148"/>
      <c r="F100" s="115"/>
      <c r="G100" s="115"/>
      <c r="H100" s="170"/>
      <c r="I100" s="172"/>
      <c r="J100" s="115"/>
      <c r="Q100" s="115"/>
      <c r="R100" s="115"/>
    </row>
    <row r="101" spans="1:18" ht="15.75" customHeight="1">
      <c r="A101" s="115"/>
      <c r="B101" s="115"/>
      <c r="C101" s="148"/>
      <c r="D101" s="148"/>
      <c r="E101" s="148"/>
      <c r="F101" s="115"/>
      <c r="G101" s="115"/>
      <c r="H101" s="170"/>
      <c r="I101" s="172"/>
      <c r="J101" s="115"/>
      <c r="Q101" s="115"/>
      <c r="R101" s="115"/>
    </row>
    <row r="102" spans="1:18" ht="15.75" customHeight="1">
      <c r="A102" s="115"/>
      <c r="B102" s="115"/>
      <c r="C102" s="148"/>
      <c r="D102" s="148"/>
      <c r="E102" s="148"/>
      <c r="F102" s="115"/>
      <c r="G102" s="115"/>
      <c r="H102" s="170"/>
      <c r="I102" s="172"/>
      <c r="J102" s="115"/>
      <c r="Q102" s="115"/>
      <c r="R102" s="115"/>
    </row>
    <row r="103" spans="1:18" ht="15.75" customHeight="1">
      <c r="A103" s="115"/>
      <c r="B103" s="115"/>
      <c r="C103" s="148"/>
      <c r="D103" s="148"/>
      <c r="E103" s="148"/>
      <c r="F103" s="115"/>
      <c r="G103" s="115"/>
      <c r="H103" s="170"/>
      <c r="I103" s="172"/>
      <c r="J103" s="115"/>
      <c r="Q103" s="115"/>
      <c r="R103" s="115"/>
    </row>
    <row r="104" spans="1:18" ht="15.75" customHeight="1">
      <c r="A104" s="115"/>
      <c r="B104" s="115"/>
      <c r="C104" s="148"/>
      <c r="D104" s="148"/>
      <c r="E104" s="148"/>
      <c r="F104" s="115"/>
      <c r="G104" s="115"/>
      <c r="H104" s="170"/>
      <c r="I104" s="172"/>
      <c r="J104" s="115"/>
      <c r="Q104" s="115"/>
      <c r="R104" s="115"/>
    </row>
    <row r="105" spans="1:18" ht="15.75" customHeight="1">
      <c r="A105" s="115"/>
      <c r="B105" s="115"/>
      <c r="C105" s="148"/>
      <c r="D105" s="148"/>
      <c r="E105" s="148"/>
      <c r="F105" s="115"/>
      <c r="G105" s="115"/>
      <c r="H105" s="170"/>
      <c r="I105" s="172"/>
      <c r="J105" s="115"/>
      <c r="Q105" s="115"/>
      <c r="R105" s="115"/>
    </row>
    <row r="106" spans="1:18" ht="15.75" customHeight="1">
      <c r="A106" s="115"/>
      <c r="B106" s="115"/>
      <c r="C106" s="148"/>
      <c r="D106" s="148"/>
      <c r="E106" s="148"/>
      <c r="F106" s="115"/>
      <c r="G106" s="115"/>
      <c r="H106" s="170"/>
      <c r="I106" s="172"/>
      <c r="J106" s="115"/>
      <c r="Q106" s="115"/>
      <c r="R106" s="115"/>
    </row>
    <row r="107" spans="1:18" ht="15.75" customHeight="1">
      <c r="A107" s="115"/>
      <c r="B107" s="115"/>
      <c r="C107" s="148"/>
      <c r="D107" s="148"/>
      <c r="E107" s="148"/>
      <c r="F107" s="115"/>
      <c r="G107" s="115"/>
      <c r="H107" s="170"/>
      <c r="I107" s="172"/>
      <c r="J107" s="115"/>
      <c r="Q107" s="115"/>
      <c r="R107" s="115"/>
    </row>
    <row r="108" spans="1:18" ht="15.75" customHeight="1">
      <c r="A108" s="115"/>
      <c r="B108" s="115"/>
      <c r="C108" s="148"/>
      <c r="D108" s="148"/>
      <c r="E108" s="148"/>
      <c r="F108" s="115"/>
      <c r="G108" s="115"/>
      <c r="H108" s="170"/>
      <c r="I108" s="172"/>
      <c r="J108" s="115"/>
      <c r="Q108" s="115"/>
      <c r="R108" s="115"/>
    </row>
    <row r="109" spans="1:18" ht="15.75" customHeight="1">
      <c r="A109" s="115"/>
      <c r="B109" s="115"/>
      <c r="C109" s="148"/>
      <c r="D109" s="148"/>
      <c r="E109" s="148"/>
      <c r="F109" s="115"/>
      <c r="G109" s="115"/>
      <c r="H109" s="170"/>
      <c r="I109" s="172"/>
      <c r="J109" s="115"/>
      <c r="Q109" s="115"/>
      <c r="R109" s="115"/>
    </row>
    <row r="110" spans="1:18" ht="15.75" customHeight="1">
      <c r="A110" s="115"/>
      <c r="B110" s="115"/>
      <c r="C110" s="148"/>
      <c r="D110" s="148"/>
      <c r="E110" s="148"/>
      <c r="F110" s="115"/>
      <c r="G110" s="115"/>
      <c r="H110" s="170"/>
      <c r="I110" s="172"/>
      <c r="J110" s="115"/>
      <c r="Q110" s="115"/>
      <c r="R110" s="115"/>
    </row>
    <row r="111" spans="1:18" ht="15.75" customHeight="1">
      <c r="A111" s="115"/>
      <c r="B111" s="115"/>
      <c r="C111" s="148"/>
      <c r="D111" s="148"/>
      <c r="E111" s="148"/>
      <c r="F111" s="115"/>
      <c r="G111" s="115"/>
      <c r="H111" s="170"/>
      <c r="I111" s="172"/>
      <c r="J111" s="115"/>
      <c r="Q111" s="115"/>
      <c r="R111" s="115"/>
    </row>
    <row r="112" spans="1:18" ht="15.75" customHeight="1">
      <c r="A112" s="115"/>
      <c r="B112" s="115"/>
      <c r="C112" s="148"/>
      <c r="D112" s="148"/>
      <c r="E112" s="148"/>
      <c r="F112" s="115"/>
      <c r="G112" s="115"/>
      <c r="H112" s="170"/>
      <c r="I112" s="172"/>
      <c r="J112" s="115"/>
      <c r="Q112" s="115"/>
      <c r="R112" s="115"/>
    </row>
    <row r="113" spans="1:18" ht="15.75" customHeight="1">
      <c r="A113" s="115"/>
      <c r="B113" s="115"/>
      <c r="C113" s="148"/>
      <c r="D113" s="148"/>
      <c r="E113" s="148"/>
      <c r="F113" s="115"/>
      <c r="G113" s="115"/>
      <c r="H113" s="170"/>
      <c r="I113" s="172"/>
      <c r="J113" s="115"/>
      <c r="Q113" s="115"/>
      <c r="R113" s="115"/>
    </row>
    <row r="114" spans="1:18" ht="15.75" customHeight="1">
      <c r="A114" s="115"/>
      <c r="B114" s="115"/>
      <c r="C114" s="148"/>
      <c r="D114" s="148"/>
      <c r="E114" s="148"/>
      <c r="F114" s="115"/>
      <c r="G114" s="115"/>
      <c r="H114" s="170"/>
      <c r="I114" s="172"/>
      <c r="J114" s="115"/>
      <c r="Q114" s="115"/>
      <c r="R114" s="115"/>
    </row>
    <row r="115" spans="1:18" ht="15.75" customHeight="1">
      <c r="A115" s="115"/>
      <c r="B115" s="115"/>
      <c r="C115" s="148"/>
      <c r="D115" s="148"/>
      <c r="E115" s="148"/>
      <c r="F115" s="115"/>
      <c r="G115" s="115"/>
      <c r="H115" s="170"/>
      <c r="I115" s="172"/>
      <c r="J115" s="115"/>
      <c r="Q115" s="115"/>
      <c r="R115" s="115"/>
    </row>
    <row r="116" spans="1:18" ht="15.75" customHeight="1">
      <c r="A116" s="115"/>
      <c r="B116" s="115"/>
      <c r="C116" s="148"/>
      <c r="D116" s="148"/>
      <c r="E116" s="148"/>
      <c r="F116" s="115"/>
      <c r="G116" s="115"/>
      <c r="H116" s="170"/>
      <c r="I116" s="172"/>
      <c r="J116" s="115"/>
      <c r="Q116" s="115"/>
      <c r="R116" s="115"/>
    </row>
    <row r="117" spans="1:18" ht="15.75" customHeight="1">
      <c r="A117" s="115"/>
      <c r="B117" s="115"/>
      <c r="C117" s="148"/>
      <c r="D117" s="148"/>
      <c r="E117" s="148"/>
      <c r="F117" s="115"/>
      <c r="G117" s="115"/>
      <c r="H117" s="170"/>
      <c r="I117" s="172"/>
      <c r="J117" s="115"/>
      <c r="Q117" s="115"/>
      <c r="R117" s="115"/>
    </row>
    <row r="118" spans="1:18" ht="15.75" customHeight="1">
      <c r="A118" s="115"/>
      <c r="B118" s="115"/>
      <c r="C118" s="148"/>
      <c r="D118" s="148"/>
      <c r="E118" s="148"/>
      <c r="F118" s="115"/>
      <c r="G118" s="115"/>
      <c r="H118" s="170"/>
      <c r="I118" s="172"/>
      <c r="J118" s="115"/>
      <c r="Q118" s="115"/>
      <c r="R118" s="115"/>
    </row>
    <row r="119" spans="1:18" ht="15.75" customHeight="1">
      <c r="A119" s="115"/>
      <c r="B119" s="115"/>
      <c r="C119" s="148"/>
      <c r="D119" s="148"/>
      <c r="E119" s="148"/>
      <c r="F119" s="115"/>
      <c r="G119" s="115"/>
      <c r="H119" s="170"/>
      <c r="I119" s="172"/>
      <c r="J119" s="115"/>
      <c r="Q119" s="115"/>
      <c r="R119" s="115"/>
    </row>
    <row r="120" spans="1:18" ht="15.75" customHeight="1">
      <c r="A120" s="115"/>
      <c r="B120" s="115"/>
      <c r="C120" s="148"/>
      <c r="D120" s="148"/>
      <c r="E120" s="148"/>
      <c r="F120" s="115"/>
      <c r="G120" s="115"/>
      <c r="H120" s="170"/>
      <c r="I120" s="172"/>
      <c r="J120" s="115"/>
      <c r="Q120" s="115"/>
      <c r="R120" s="115"/>
    </row>
    <row r="121" spans="1:18" ht="15.75" customHeight="1">
      <c r="A121" s="115"/>
      <c r="B121" s="115"/>
      <c r="C121" s="148"/>
      <c r="D121" s="148"/>
      <c r="E121" s="148"/>
      <c r="F121" s="115"/>
      <c r="G121" s="115"/>
      <c r="H121" s="170"/>
      <c r="I121" s="172"/>
      <c r="J121" s="115"/>
      <c r="Q121" s="115"/>
      <c r="R121" s="115"/>
    </row>
    <row r="122" spans="1:18" ht="15.75" customHeight="1">
      <c r="A122" s="115"/>
      <c r="B122" s="115"/>
      <c r="C122" s="148"/>
      <c r="D122" s="148"/>
      <c r="E122" s="148"/>
      <c r="F122" s="115"/>
      <c r="G122" s="115"/>
      <c r="H122" s="170"/>
      <c r="I122" s="172"/>
      <c r="J122" s="115"/>
      <c r="Q122" s="115"/>
      <c r="R122" s="115"/>
    </row>
    <row r="123" spans="1:18" ht="15.75" customHeight="1">
      <c r="A123" s="115"/>
      <c r="B123" s="115"/>
      <c r="C123" s="148"/>
      <c r="D123" s="148"/>
      <c r="E123" s="148"/>
      <c r="F123" s="115"/>
      <c r="G123" s="115"/>
      <c r="H123" s="170"/>
      <c r="I123" s="172"/>
      <c r="J123" s="115"/>
      <c r="Q123" s="115"/>
      <c r="R123" s="115"/>
    </row>
    <row r="124" spans="1:18" ht="15.75" customHeight="1">
      <c r="A124" s="115"/>
      <c r="B124" s="115"/>
      <c r="C124" s="148"/>
      <c r="D124" s="148"/>
      <c r="E124" s="148"/>
      <c r="F124" s="115"/>
      <c r="G124" s="115"/>
      <c r="H124" s="170"/>
      <c r="I124" s="172"/>
      <c r="J124" s="115"/>
      <c r="Q124" s="115"/>
      <c r="R124" s="115"/>
    </row>
    <row r="125" spans="1:18" ht="15.75" customHeight="1">
      <c r="A125" s="115"/>
      <c r="B125" s="115"/>
      <c r="C125" s="148"/>
      <c r="D125" s="148"/>
      <c r="E125" s="148"/>
      <c r="F125" s="115"/>
      <c r="G125" s="115"/>
      <c r="H125" s="170"/>
      <c r="I125" s="172"/>
      <c r="J125" s="115"/>
      <c r="Q125" s="115"/>
      <c r="R125" s="115"/>
    </row>
    <row r="126" spans="1:18" ht="15.75" customHeight="1">
      <c r="A126" s="115"/>
      <c r="B126" s="115"/>
      <c r="C126" s="148"/>
      <c r="D126" s="148"/>
      <c r="E126" s="148"/>
      <c r="F126" s="115"/>
      <c r="G126" s="115"/>
      <c r="H126" s="170"/>
      <c r="I126" s="172"/>
      <c r="J126" s="115"/>
      <c r="Q126" s="115"/>
      <c r="R126" s="115"/>
    </row>
    <row r="127" spans="1:18" ht="15.75" customHeight="1">
      <c r="A127" s="115"/>
      <c r="B127" s="115"/>
      <c r="C127" s="148"/>
      <c r="D127" s="148"/>
      <c r="E127" s="148"/>
      <c r="F127" s="115"/>
      <c r="G127" s="115"/>
      <c r="H127" s="170"/>
      <c r="I127" s="172"/>
      <c r="J127" s="115"/>
      <c r="Q127" s="115"/>
      <c r="R127" s="115"/>
    </row>
    <row r="128" spans="1:18" ht="15.75" customHeight="1">
      <c r="A128" s="115"/>
      <c r="B128" s="115"/>
      <c r="C128" s="148"/>
      <c r="D128" s="148"/>
      <c r="E128" s="148"/>
      <c r="F128" s="115"/>
      <c r="G128" s="115"/>
      <c r="H128" s="170"/>
      <c r="I128" s="172"/>
      <c r="J128" s="115"/>
      <c r="Q128" s="115"/>
      <c r="R128" s="115"/>
    </row>
    <row r="129" spans="1:18" ht="15.75" customHeight="1">
      <c r="A129" s="115"/>
      <c r="B129" s="115"/>
      <c r="C129" s="148"/>
      <c r="D129" s="148"/>
      <c r="E129" s="148"/>
      <c r="F129" s="115"/>
      <c r="G129" s="115"/>
      <c r="H129" s="170"/>
      <c r="I129" s="172"/>
      <c r="J129" s="115"/>
      <c r="Q129" s="115"/>
      <c r="R129" s="115"/>
    </row>
    <row r="130" spans="1:18" ht="15.75" customHeight="1">
      <c r="A130" s="115"/>
      <c r="B130" s="115"/>
      <c r="C130" s="148"/>
      <c r="D130" s="148"/>
      <c r="E130" s="148"/>
      <c r="F130" s="115"/>
      <c r="G130" s="115"/>
      <c r="H130" s="170"/>
      <c r="I130" s="172"/>
      <c r="J130" s="115"/>
      <c r="Q130" s="115"/>
      <c r="R130" s="115"/>
    </row>
    <row r="131" spans="1:18" ht="15.75" customHeight="1">
      <c r="A131" s="115"/>
      <c r="B131" s="115"/>
      <c r="C131" s="148"/>
      <c r="D131" s="148"/>
      <c r="E131" s="148"/>
      <c r="F131" s="115"/>
      <c r="G131" s="115"/>
      <c r="H131" s="170"/>
      <c r="I131" s="172"/>
      <c r="J131" s="115"/>
      <c r="Q131" s="115"/>
      <c r="R131" s="115"/>
    </row>
    <row r="132" spans="1:18" ht="15.75" customHeight="1">
      <c r="A132" s="115"/>
      <c r="B132" s="115"/>
      <c r="C132" s="148"/>
      <c r="D132" s="148"/>
      <c r="E132" s="148"/>
      <c r="F132" s="115"/>
      <c r="G132" s="115"/>
      <c r="H132" s="170"/>
      <c r="I132" s="172"/>
      <c r="J132" s="115"/>
      <c r="Q132" s="115"/>
      <c r="R132" s="115"/>
    </row>
    <row r="133" spans="1:18" ht="15.75" customHeight="1">
      <c r="A133" s="115"/>
      <c r="B133" s="115"/>
      <c r="C133" s="148"/>
      <c r="D133" s="148"/>
      <c r="E133" s="148"/>
      <c r="F133" s="115"/>
      <c r="G133" s="115"/>
      <c r="H133" s="170"/>
      <c r="I133" s="172"/>
      <c r="J133" s="115"/>
      <c r="Q133" s="115"/>
      <c r="R133" s="115"/>
    </row>
    <row r="134" spans="1:18" ht="15.75" customHeight="1">
      <c r="A134" s="115"/>
      <c r="B134" s="115"/>
      <c r="C134" s="148"/>
      <c r="D134" s="148"/>
      <c r="E134" s="148"/>
      <c r="F134" s="115"/>
      <c r="G134" s="115"/>
      <c r="H134" s="170"/>
      <c r="I134" s="172"/>
      <c r="J134" s="115"/>
      <c r="Q134" s="115"/>
      <c r="R134" s="115"/>
    </row>
    <row r="135" spans="1:18" ht="15.75" customHeight="1">
      <c r="A135" s="115"/>
      <c r="B135" s="115"/>
      <c r="C135" s="148"/>
      <c r="D135" s="148"/>
      <c r="E135" s="148"/>
      <c r="F135" s="115"/>
      <c r="G135" s="115"/>
      <c r="H135" s="170"/>
      <c r="I135" s="172"/>
      <c r="J135" s="115"/>
      <c r="Q135" s="115"/>
      <c r="R135" s="115"/>
    </row>
    <row r="136" spans="1:18" ht="15.75" customHeight="1">
      <c r="A136" s="115"/>
      <c r="B136" s="115"/>
      <c r="C136" s="148"/>
      <c r="D136" s="148"/>
      <c r="E136" s="148"/>
      <c r="F136" s="115"/>
      <c r="G136" s="115"/>
      <c r="H136" s="170"/>
      <c r="I136" s="172"/>
      <c r="J136" s="115"/>
      <c r="Q136" s="115"/>
      <c r="R136" s="115"/>
    </row>
    <row r="137" spans="1:18" ht="15.75" customHeight="1">
      <c r="A137" s="115"/>
      <c r="B137" s="115"/>
      <c r="C137" s="148"/>
      <c r="D137" s="148"/>
      <c r="E137" s="148"/>
      <c r="F137" s="115"/>
      <c r="G137" s="115"/>
      <c r="H137" s="170"/>
      <c r="I137" s="172"/>
      <c r="J137" s="115"/>
      <c r="Q137" s="115"/>
      <c r="R137" s="115"/>
    </row>
    <row r="138" spans="1:18" ht="15.75" customHeight="1">
      <c r="A138" s="115"/>
      <c r="B138" s="115"/>
      <c r="C138" s="148"/>
      <c r="D138" s="148"/>
      <c r="E138" s="148"/>
      <c r="F138" s="115"/>
      <c r="G138" s="115"/>
      <c r="H138" s="170"/>
      <c r="I138" s="172"/>
      <c r="J138" s="115"/>
      <c r="Q138" s="115"/>
      <c r="R138" s="115"/>
    </row>
    <row r="139" spans="1:18" ht="15.75" customHeight="1">
      <c r="A139" s="115"/>
      <c r="B139" s="115"/>
      <c r="C139" s="148"/>
      <c r="D139" s="148"/>
      <c r="E139" s="148"/>
      <c r="F139" s="115"/>
      <c r="G139" s="115"/>
      <c r="H139" s="170"/>
      <c r="I139" s="172"/>
      <c r="J139" s="115"/>
      <c r="Q139" s="115"/>
      <c r="R139" s="115"/>
    </row>
    <row r="140" spans="1:18" ht="15.75" customHeight="1">
      <c r="A140" s="115"/>
      <c r="B140" s="115"/>
      <c r="C140" s="148"/>
      <c r="D140" s="148"/>
      <c r="E140" s="148"/>
      <c r="F140" s="115"/>
      <c r="G140" s="115"/>
      <c r="H140" s="170"/>
      <c r="I140" s="172"/>
      <c r="J140" s="115"/>
      <c r="Q140" s="115"/>
      <c r="R140" s="115"/>
    </row>
    <row r="141" spans="1:18" ht="15.75" customHeight="1">
      <c r="A141" s="115"/>
      <c r="B141" s="115"/>
      <c r="C141" s="148"/>
      <c r="D141" s="148"/>
      <c r="E141" s="148"/>
      <c r="F141" s="115"/>
      <c r="G141" s="115"/>
      <c r="H141" s="170"/>
      <c r="I141" s="172"/>
      <c r="J141" s="115"/>
      <c r="Q141" s="115"/>
      <c r="R141" s="115"/>
    </row>
    <row r="142" spans="1:18" ht="15.75" customHeight="1">
      <c r="A142" s="115"/>
      <c r="B142" s="115"/>
      <c r="C142" s="148"/>
      <c r="D142" s="148"/>
      <c r="E142" s="148"/>
      <c r="F142" s="115"/>
      <c r="G142" s="115"/>
      <c r="H142" s="170"/>
      <c r="I142" s="172"/>
      <c r="J142" s="115"/>
      <c r="Q142" s="115"/>
      <c r="R142" s="115"/>
    </row>
    <row r="143" spans="1:18" ht="15.75" customHeight="1">
      <c r="A143" s="115"/>
      <c r="B143" s="115"/>
      <c r="C143" s="148"/>
      <c r="D143" s="148"/>
      <c r="E143" s="148"/>
      <c r="F143" s="115"/>
      <c r="G143" s="115"/>
      <c r="H143" s="170"/>
      <c r="I143" s="172"/>
      <c r="J143" s="115"/>
      <c r="Q143" s="115"/>
      <c r="R143" s="115"/>
    </row>
    <row r="144" spans="1:18" ht="15.75" customHeight="1">
      <c r="A144" s="115"/>
      <c r="B144" s="115"/>
      <c r="C144" s="148"/>
      <c r="D144" s="148"/>
      <c r="E144" s="148"/>
      <c r="F144" s="115"/>
      <c r="G144" s="115"/>
      <c r="H144" s="170"/>
      <c r="I144" s="172"/>
      <c r="J144" s="115"/>
      <c r="Q144" s="115"/>
      <c r="R144" s="115"/>
    </row>
    <row r="145" spans="1:18" ht="15.75" customHeight="1">
      <c r="A145" s="115"/>
      <c r="B145" s="115"/>
      <c r="C145" s="148"/>
      <c r="D145" s="148"/>
      <c r="E145" s="148"/>
      <c r="F145" s="115"/>
      <c r="G145" s="115"/>
      <c r="H145" s="170"/>
      <c r="I145" s="172"/>
      <c r="J145" s="115"/>
      <c r="Q145" s="115"/>
      <c r="R145" s="115"/>
    </row>
    <row r="146" spans="1:18" ht="15.75" customHeight="1">
      <c r="A146" s="115"/>
      <c r="B146" s="115"/>
      <c r="C146" s="148"/>
      <c r="D146" s="148"/>
      <c r="E146" s="148"/>
      <c r="F146" s="115"/>
      <c r="G146" s="115"/>
      <c r="H146" s="170"/>
      <c r="I146" s="172"/>
      <c r="J146" s="115"/>
      <c r="Q146" s="115"/>
      <c r="R146" s="115"/>
    </row>
    <row r="147" spans="1:18" ht="15.75" customHeight="1">
      <c r="A147" s="115"/>
      <c r="B147" s="115"/>
      <c r="C147" s="148"/>
      <c r="D147" s="148"/>
      <c r="E147" s="148"/>
      <c r="F147" s="115"/>
      <c r="G147" s="115"/>
      <c r="H147" s="170"/>
      <c r="I147" s="172"/>
      <c r="J147" s="115"/>
      <c r="Q147" s="115"/>
      <c r="R147" s="115"/>
    </row>
    <row r="148" spans="1:18" ht="15.75" customHeight="1">
      <c r="A148" s="115"/>
      <c r="B148" s="115"/>
      <c r="C148" s="148"/>
      <c r="D148" s="148"/>
      <c r="E148" s="148"/>
      <c r="F148" s="115"/>
      <c r="G148" s="115"/>
      <c r="H148" s="170"/>
      <c r="I148" s="172"/>
      <c r="J148" s="115"/>
      <c r="Q148" s="115"/>
      <c r="R148" s="115"/>
    </row>
    <row r="149" spans="1:18" ht="15.75" customHeight="1">
      <c r="A149" s="115"/>
      <c r="B149" s="115"/>
      <c r="C149" s="148"/>
      <c r="D149" s="148"/>
      <c r="E149" s="148"/>
      <c r="F149" s="115"/>
      <c r="G149" s="115"/>
      <c r="H149" s="170"/>
      <c r="I149" s="172"/>
      <c r="J149" s="115"/>
      <c r="Q149" s="115"/>
      <c r="R149" s="115"/>
    </row>
    <row r="150" spans="1:18" ht="15.75" customHeight="1">
      <c r="A150" s="115"/>
      <c r="B150" s="115"/>
      <c r="C150" s="148"/>
      <c r="D150" s="148"/>
      <c r="E150" s="148"/>
      <c r="F150" s="115"/>
      <c r="G150" s="115"/>
      <c r="H150" s="170"/>
      <c r="I150" s="172"/>
      <c r="J150" s="115"/>
      <c r="Q150" s="115"/>
      <c r="R150" s="115"/>
    </row>
    <row r="151" spans="1:18" ht="15.75" customHeight="1">
      <c r="A151" s="115"/>
      <c r="B151" s="115"/>
      <c r="C151" s="148"/>
      <c r="D151" s="148"/>
      <c r="E151" s="148"/>
      <c r="F151" s="115"/>
      <c r="G151" s="115"/>
      <c r="H151" s="170"/>
      <c r="I151" s="172"/>
      <c r="J151" s="115"/>
      <c r="Q151" s="115"/>
      <c r="R151" s="115"/>
    </row>
    <row r="152" spans="1:18" ht="15.75" customHeight="1">
      <c r="A152" s="115"/>
      <c r="B152" s="115"/>
      <c r="C152" s="148"/>
      <c r="D152" s="148"/>
      <c r="E152" s="148"/>
      <c r="F152" s="115"/>
      <c r="G152" s="115"/>
      <c r="H152" s="170"/>
      <c r="I152" s="172"/>
      <c r="J152" s="115"/>
      <c r="Q152" s="115"/>
      <c r="R152" s="115"/>
    </row>
    <row r="153" spans="1:18" ht="15.75" customHeight="1">
      <c r="A153" s="115"/>
      <c r="B153" s="115"/>
      <c r="C153" s="148"/>
      <c r="D153" s="148"/>
      <c r="E153" s="148"/>
      <c r="F153" s="115"/>
      <c r="G153" s="115"/>
      <c r="H153" s="170"/>
      <c r="I153" s="172"/>
      <c r="J153" s="115"/>
      <c r="Q153" s="115"/>
      <c r="R153" s="115"/>
    </row>
    <row r="154" spans="1:18" ht="15.75" customHeight="1">
      <c r="A154" s="115"/>
      <c r="B154" s="115"/>
      <c r="C154" s="148"/>
      <c r="D154" s="148"/>
      <c r="E154" s="148"/>
      <c r="F154" s="115"/>
      <c r="G154" s="115"/>
      <c r="H154" s="170"/>
      <c r="I154" s="172"/>
      <c r="J154" s="115"/>
      <c r="Q154" s="115"/>
      <c r="R154" s="115"/>
    </row>
    <row r="155" spans="1:18" ht="15.75" customHeight="1">
      <c r="A155" s="115"/>
      <c r="B155" s="115"/>
      <c r="C155" s="148"/>
      <c r="D155" s="148"/>
      <c r="E155" s="148"/>
      <c r="F155" s="115"/>
      <c r="G155" s="115"/>
      <c r="H155" s="170"/>
      <c r="I155" s="172"/>
      <c r="J155" s="115"/>
      <c r="Q155" s="115"/>
      <c r="R155" s="115"/>
    </row>
    <row r="156" spans="1:18" ht="15.75" customHeight="1">
      <c r="A156" s="115"/>
      <c r="B156" s="115"/>
      <c r="C156" s="148"/>
      <c r="D156" s="148"/>
      <c r="E156" s="148"/>
      <c r="F156" s="115"/>
      <c r="G156" s="115"/>
      <c r="H156" s="170"/>
      <c r="I156" s="172"/>
      <c r="J156" s="115"/>
      <c r="Q156" s="115"/>
      <c r="R156" s="115"/>
    </row>
    <row r="157" spans="1:18" ht="15.75" customHeight="1">
      <c r="A157" s="115"/>
      <c r="B157" s="115"/>
      <c r="C157" s="148"/>
      <c r="D157" s="148"/>
      <c r="E157" s="148"/>
      <c r="F157" s="115"/>
      <c r="G157" s="115"/>
      <c r="H157" s="170"/>
      <c r="I157" s="172"/>
      <c r="J157" s="115"/>
      <c r="Q157" s="115"/>
      <c r="R157" s="115"/>
    </row>
    <row r="158" spans="1:18" ht="15.75" customHeight="1">
      <c r="A158" s="115"/>
      <c r="B158" s="115"/>
      <c r="C158" s="148"/>
      <c r="D158" s="148"/>
      <c r="E158" s="148"/>
      <c r="F158" s="115"/>
      <c r="G158" s="115"/>
      <c r="H158" s="170"/>
      <c r="I158" s="172"/>
      <c r="J158" s="115"/>
      <c r="Q158" s="115"/>
      <c r="R158" s="115"/>
    </row>
    <row r="159" spans="1:18" ht="15.75" customHeight="1">
      <c r="A159" s="115"/>
      <c r="B159" s="115"/>
      <c r="C159" s="148"/>
      <c r="D159" s="148"/>
      <c r="E159" s="148"/>
      <c r="F159" s="115"/>
      <c r="G159" s="115"/>
      <c r="H159" s="170"/>
      <c r="I159" s="172"/>
      <c r="J159" s="115"/>
      <c r="Q159" s="115"/>
      <c r="R159" s="115"/>
    </row>
    <row r="160" spans="1:18" ht="15.75" customHeight="1">
      <c r="A160" s="115"/>
      <c r="B160" s="115"/>
      <c r="C160" s="148"/>
      <c r="D160" s="148"/>
      <c r="E160" s="148"/>
      <c r="F160" s="115"/>
      <c r="G160" s="115"/>
      <c r="H160" s="170"/>
      <c r="I160" s="172"/>
      <c r="J160" s="115"/>
      <c r="Q160" s="115"/>
      <c r="R160" s="115"/>
    </row>
    <row r="161" spans="1:18" ht="15.75" customHeight="1">
      <c r="A161" s="115"/>
      <c r="B161" s="115"/>
      <c r="C161" s="148"/>
      <c r="D161" s="148"/>
      <c r="E161" s="148"/>
      <c r="F161" s="115"/>
      <c r="G161" s="115"/>
      <c r="H161" s="170"/>
      <c r="I161" s="172"/>
      <c r="J161" s="115"/>
      <c r="Q161" s="115"/>
      <c r="R161" s="115"/>
    </row>
    <row r="162" spans="1:18" ht="15.75" customHeight="1">
      <c r="A162" s="115"/>
      <c r="B162" s="115"/>
      <c r="C162" s="148"/>
      <c r="D162" s="148"/>
      <c r="E162" s="148"/>
      <c r="F162" s="115"/>
      <c r="G162" s="115"/>
      <c r="H162" s="170"/>
      <c r="I162" s="172"/>
      <c r="J162" s="115"/>
      <c r="Q162" s="115"/>
      <c r="R162" s="115"/>
    </row>
    <row r="163" spans="1:18" ht="15.75" customHeight="1">
      <c r="A163" s="115"/>
      <c r="B163" s="115"/>
      <c r="C163" s="148"/>
      <c r="D163" s="148"/>
      <c r="E163" s="148"/>
      <c r="F163" s="115"/>
      <c r="G163" s="115"/>
      <c r="H163" s="170"/>
      <c r="I163" s="172"/>
      <c r="J163" s="115"/>
      <c r="Q163" s="115"/>
      <c r="R163" s="115"/>
    </row>
    <row r="164" spans="1:18" ht="15.75" customHeight="1">
      <c r="A164" s="115"/>
      <c r="B164" s="115"/>
      <c r="C164" s="148"/>
      <c r="D164" s="148"/>
      <c r="E164" s="148"/>
      <c r="F164" s="115"/>
      <c r="G164" s="115"/>
      <c r="H164" s="170"/>
      <c r="I164" s="172"/>
      <c r="J164" s="115"/>
      <c r="Q164" s="115"/>
      <c r="R164" s="115"/>
    </row>
    <row r="165" spans="1:18" ht="15.75" customHeight="1">
      <c r="A165" s="115"/>
      <c r="B165" s="115"/>
      <c r="C165" s="148"/>
      <c r="D165" s="148"/>
      <c r="E165" s="148"/>
      <c r="F165" s="115"/>
      <c r="G165" s="115"/>
      <c r="H165" s="170"/>
      <c r="I165" s="172"/>
      <c r="J165" s="115"/>
      <c r="Q165" s="115"/>
      <c r="R165" s="115"/>
    </row>
    <row r="166" spans="1:18" ht="15.75" customHeight="1">
      <c r="A166" s="115"/>
      <c r="B166" s="115"/>
      <c r="C166" s="148"/>
      <c r="D166" s="148"/>
      <c r="E166" s="148"/>
      <c r="F166" s="115"/>
      <c r="G166" s="115"/>
      <c r="H166" s="170"/>
      <c r="I166" s="172"/>
      <c r="J166" s="115"/>
      <c r="Q166" s="115"/>
      <c r="R166" s="115"/>
    </row>
    <row r="167" spans="1:18" ht="15.75" customHeight="1">
      <c r="A167" s="115"/>
      <c r="B167" s="115"/>
      <c r="C167" s="148"/>
      <c r="D167" s="148"/>
      <c r="E167" s="148"/>
      <c r="F167" s="115"/>
      <c r="G167" s="115"/>
      <c r="H167" s="170"/>
      <c r="I167" s="172"/>
      <c r="J167" s="115"/>
      <c r="Q167" s="115"/>
      <c r="R167" s="115"/>
    </row>
    <row r="168" spans="1:18" ht="15.75" customHeight="1">
      <c r="A168" s="115"/>
      <c r="B168" s="115"/>
      <c r="C168" s="148"/>
      <c r="D168" s="148"/>
      <c r="E168" s="148"/>
      <c r="F168" s="115"/>
      <c r="G168" s="115"/>
      <c r="H168" s="170"/>
      <c r="I168" s="172"/>
      <c r="J168" s="115"/>
      <c r="Q168" s="115"/>
      <c r="R168" s="115"/>
    </row>
    <row r="169" spans="1:18" ht="15.75" customHeight="1">
      <c r="A169" s="115"/>
      <c r="B169" s="115"/>
      <c r="C169" s="148"/>
      <c r="D169" s="148"/>
      <c r="E169" s="148"/>
      <c r="F169" s="115"/>
      <c r="G169" s="115"/>
      <c r="H169" s="170"/>
      <c r="I169" s="172"/>
      <c r="J169" s="115"/>
      <c r="Q169" s="115"/>
      <c r="R169" s="115"/>
    </row>
    <row r="170" spans="1:18" ht="15.75" customHeight="1">
      <c r="A170" s="115"/>
      <c r="B170" s="115"/>
      <c r="C170" s="148"/>
      <c r="D170" s="148"/>
      <c r="E170" s="148"/>
      <c r="F170" s="115"/>
      <c r="G170" s="115"/>
      <c r="H170" s="170"/>
      <c r="I170" s="172"/>
      <c r="J170" s="115"/>
      <c r="Q170" s="115"/>
      <c r="R170" s="115"/>
    </row>
    <row r="171" spans="1:18" ht="15.75" customHeight="1">
      <c r="A171" s="115"/>
      <c r="B171" s="115"/>
      <c r="C171" s="148"/>
      <c r="D171" s="148"/>
      <c r="E171" s="148"/>
      <c r="F171" s="115"/>
      <c r="G171" s="115"/>
      <c r="H171" s="170"/>
      <c r="I171" s="172"/>
      <c r="J171" s="115"/>
      <c r="Q171" s="115"/>
      <c r="R171" s="115"/>
    </row>
    <row r="172" spans="1:18" ht="15.75" customHeight="1">
      <c r="A172" s="115"/>
      <c r="B172" s="115"/>
      <c r="C172" s="148"/>
      <c r="D172" s="148"/>
      <c r="E172" s="148"/>
      <c r="F172" s="115"/>
      <c r="G172" s="115"/>
      <c r="H172" s="170"/>
      <c r="I172" s="172"/>
      <c r="J172" s="115"/>
      <c r="Q172" s="115"/>
      <c r="R172" s="115"/>
    </row>
    <row r="173" spans="1:18" ht="15.75" customHeight="1">
      <c r="A173" s="115"/>
      <c r="B173" s="115"/>
      <c r="C173" s="148"/>
      <c r="D173" s="148"/>
      <c r="E173" s="148"/>
      <c r="F173" s="115"/>
      <c r="G173" s="115"/>
      <c r="H173" s="170"/>
      <c r="I173" s="172"/>
      <c r="J173" s="115"/>
      <c r="Q173" s="115"/>
      <c r="R173" s="115"/>
    </row>
    <row r="174" spans="1:18" ht="15.75" customHeight="1">
      <c r="A174" s="115"/>
      <c r="B174" s="115"/>
      <c r="C174" s="148"/>
      <c r="D174" s="148"/>
      <c r="E174" s="148"/>
      <c r="F174" s="115"/>
      <c r="G174" s="115"/>
      <c r="H174" s="170"/>
      <c r="I174" s="172"/>
      <c r="J174" s="115"/>
      <c r="Q174" s="115"/>
      <c r="R174" s="115"/>
    </row>
    <row r="175" spans="1:18" ht="15.75" customHeight="1">
      <c r="A175" s="115"/>
      <c r="B175" s="115"/>
      <c r="C175" s="148"/>
      <c r="D175" s="148"/>
      <c r="E175" s="148"/>
      <c r="F175" s="115"/>
      <c r="G175" s="115"/>
      <c r="H175" s="170"/>
      <c r="I175" s="172"/>
      <c r="J175" s="115"/>
      <c r="Q175" s="115"/>
      <c r="R175" s="115"/>
    </row>
    <row r="176" spans="1:18" ht="15.75" customHeight="1">
      <c r="A176" s="115"/>
      <c r="B176" s="115"/>
      <c r="C176" s="148"/>
      <c r="D176" s="148"/>
      <c r="E176" s="148"/>
      <c r="F176" s="115"/>
      <c r="G176" s="115"/>
      <c r="H176" s="170"/>
      <c r="I176" s="172"/>
      <c r="J176" s="115"/>
      <c r="Q176" s="115"/>
      <c r="R176" s="115"/>
    </row>
    <row r="177" spans="1:18" ht="15.75" customHeight="1">
      <c r="A177" s="115"/>
      <c r="B177" s="115"/>
      <c r="C177" s="148"/>
      <c r="D177" s="148"/>
      <c r="E177" s="148"/>
      <c r="F177" s="115"/>
      <c r="G177" s="115"/>
      <c r="H177" s="170"/>
      <c r="I177" s="172"/>
      <c r="J177" s="115"/>
      <c r="Q177" s="115"/>
      <c r="R177" s="115"/>
    </row>
    <row r="178" spans="1:18" ht="15.75" customHeight="1">
      <c r="A178" s="115"/>
      <c r="B178" s="115"/>
      <c r="C178" s="148"/>
      <c r="D178" s="148"/>
      <c r="E178" s="148"/>
      <c r="F178" s="115"/>
      <c r="G178" s="115"/>
      <c r="H178" s="170"/>
      <c r="I178" s="172"/>
      <c r="J178" s="115"/>
      <c r="Q178" s="115"/>
      <c r="R178" s="115"/>
    </row>
    <row r="179" spans="1:18" ht="15.75" customHeight="1">
      <c r="A179" s="115"/>
      <c r="B179" s="115"/>
      <c r="C179" s="148"/>
      <c r="D179" s="148"/>
      <c r="E179" s="148"/>
      <c r="F179" s="115"/>
      <c r="G179" s="115"/>
      <c r="H179" s="170"/>
      <c r="I179" s="172"/>
      <c r="J179" s="115"/>
      <c r="Q179" s="115"/>
      <c r="R179" s="115"/>
    </row>
    <row r="180" spans="1:18" ht="15.75" customHeight="1">
      <c r="A180" s="115"/>
      <c r="B180" s="115"/>
      <c r="C180" s="148"/>
      <c r="D180" s="148"/>
      <c r="E180" s="148"/>
      <c r="F180" s="115"/>
      <c r="G180" s="115"/>
      <c r="H180" s="170"/>
      <c r="I180" s="172"/>
      <c r="J180" s="115"/>
      <c r="Q180" s="115"/>
      <c r="R180" s="115"/>
    </row>
    <row r="181" spans="1:18" ht="15.75" customHeight="1">
      <c r="A181" s="115"/>
      <c r="B181" s="115"/>
      <c r="C181" s="148"/>
      <c r="D181" s="148"/>
      <c r="E181" s="148"/>
      <c r="F181" s="115"/>
      <c r="G181" s="115"/>
      <c r="H181" s="170"/>
      <c r="I181" s="172"/>
      <c r="J181" s="115"/>
      <c r="Q181" s="115"/>
      <c r="R181" s="115"/>
    </row>
    <row r="182" spans="1:18" ht="15.75" customHeight="1">
      <c r="A182" s="115"/>
      <c r="B182" s="115"/>
      <c r="C182" s="148"/>
      <c r="D182" s="148"/>
      <c r="E182" s="148"/>
      <c r="F182" s="115"/>
      <c r="G182" s="115"/>
      <c r="H182" s="170"/>
      <c r="I182" s="172"/>
      <c r="J182" s="115"/>
      <c r="Q182" s="115"/>
      <c r="R182" s="115"/>
    </row>
    <row r="183" spans="1:18" ht="15.75" customHeight="1">
      <c r="A183" s="115"/>
      <c r="B183" s="115"/>
      <c r="C183" s="148"/>
      <c r="D183" s="148"/>
      <c r="E183" s="148"/>
      <c r="F183" s="115"/>
      <c r="G183" s="115"/>
      <c r="H183" s="170"/>
      <c r="I183" s="172"/>
      <c r="J183" s="115"/>
      <c r="Q183" s="115"/>
      <c r="R183" s="115"/>
    </row>
    <row r="184" spans="1:18" ht="15.75" customHeight="1">
      <c r="A184" s="115"/>
      <c r="B184" s="115"/>
      <c r="C184" s="148"/>
      <c r="D184" s="148"/>
      <c r="E184" s="148"/>
      <c r="F184" s="115"/>
      <c r="G184" s="115"/>
      <c r="H184" s="170"/>
      <c r="I184" s="172"/>
      <c r="J184" s="115"/>
      <c r="Q184" s="115"/>
      <c r="R184" s="115"/>
    </row>
    <row r="185" spans="1:18" ht="15.75" customHeight="1">
      <c r="A185" s="115"/>
      <c r="B185" s="115"/>
      <c r="C185" s="148"/>
      <c r="D185" s="148"/>
      <c r="E185" s="148"/>
      <c r="F185" s="115"/>
      <c r="G185" s="115"/>
      <c r="H185" s="170"/>
      <c r="I185" s="172"/>
      <c r="J185" s="115"/>
      <c r="Q185" s="115"/>
      <c r="R185" s="115"/>
    </row>
    <row r="186" spans="1:18" ht="15.75" customHeight="1">
      <c r="A186" s="115"/>
      <c r="B186" s="115"/>
      <c r="C186" s="148"/>
      <c r="D186" s="148"/>
      <c r="E186" s="148"/>
      <c r="F186" s="115"/>
      <c r="G186" s="115"/>
      <c r="H186" s="170"/>
      <c r="I186" s="172"/>
      <c r="J186" s="115"/>
      <c r="Q186" s="115"/>
      <c r="R186" s="115"/>
    </row>
    <row r="187" spans="1:18" ht="15.75" customHeight="1">
      <c r="A187" s="115"/>
      <c r="B187" s="115"/>
      <c r="C187" s="148"/>
      <c r="D187" s="148"/>
      <c r="E187" s="148"/>
      <c r="F187" s="115"/>
      <c r="G187" s="115"/>
      <c r="H187" s="170"/>
      <c r="I187" s="172"/>
      <c r="J187" s="115"/>
      <c r="Q187" s="115"/>
      <c r="R187" s="115"/>
    </row>
    <row r="188" spans="1:18" ht="15.75" customHeight="1">
      <c r="A188" s="115"/>
      <c r="B188" s="115"/>
      <c r="C188" s="148"/>
      <c r="D188" s="148"/>
      <c r="E188" s="148"/>
      <c r="F188" s="115"/>
      <c r="G188" s="115"/>
      <c r="H188" s="170"/>
      <c r="I188" s="172"/>
      <c r="J188" s="115"/>
      <c r="Q188" s="115"/>
      <c r="R188" s="115"/>
    </row>
    <row r="189" spans="1:18" ht="15.75" customHeight="1">
      <c r="A189" s="115"/>
      <c r="B189" s="115"/>
      <c r="C189" s="148"/>
      <c r="D189" s="148"/>
      <c r="E189" s="148"/>
      <c r="F189" s="115"/>
      <c r="G189" s="115"/>
      <c r="H189" s="170"/>
      <c r="I189" s="172"/>
      <c r="J189" s="115"/>
      <c r="Q189" s="115"/>
      <c r="R189" s="115"/>
    </row>
    <row r="190" spans="1:18" ht="15.75" customHeight="1">
      <c r="A190" s="115"/>
      <c r="B190" s="115"/>
      <c r="C190" s="148"/>
      <c r="D190" s="148"/>
      <c r="E190" s="148"/>
      <c r="F190" s="115"/>
      <c r="G190" s="115"/>
      <c r="H190" s="170"/>
      <c r="I190" s="172"/>
      <c r="J190" s="115"/>
      <c r="Q190" s="115"/>
      <c r="R190" s="115"/>
    </row>
    <row r="191" spans="1:18" ht="15.75" customHeight="1">
      <c r="A191" s="115"/>
      <c r="B191" s="115"/>
      <c r="C191" s="148"/>
      <c r="D191" s="148"/>
      <c r="E191" s="148"/>
      <c r="F191" s="115"/>
      <c r="G191" s="115"/>
      <c r="H191" s="170"/>
      <c r="I191" s="172"/>
      <c r="J191" s="115"/>
      <c r="Q191" s="115"/>
      <c r="R191" s="115"/>
    </row>
    <row r="192" spans="1:18" ht="15.75" customHeight="1">
      <c r="A192" s="115"/>
      <c r="B192" s="115"/>
      <c r="C192" s="148"/>
      <c r="D192" s="148"/>
      <c r="E192" s="148"/>
      <c r="F192" s="115"/>
      <c r="G192" s="115"/>
      <c r="H192" s="170"/>
      <c r="I192" s="172"/>
      <c r="J192" s="115"/>
      <c r="Q192" s="115"/>
      <c r="R192" s="115"/>
    </row>
    <row r="193" spans="1:18" ht="15.75" customHeight="1">
      <c r="A193" s="115"/>
      <c r="B193" s="115"/>
      <c r="C193" s="148"/>
      <c r="D193" s="148"/>
      <c r="E193" s="148"/>
      <c r="F193" s="115"/>
      <c r="G193" s="115"/>
      <c r="H193" s="170"/>
      <c r="I193" s="172"/>
      <c r="J193" s="115"/>
      <c r="Q193" s="115"/>
      <c r="R193" s="115"/>
    </row>
    <row r="194" spans="1:18" ht="15.75" customHeight="1">
      <c r="A194" s="115"/>
      <c r="B194" s="115"/>
      <c r="C194" s="148"/>
      <c r="D194" s="148"/>
      <c r="E194" s="148"/>
      <c r="F194" s="115"/>
      <c r="G194" s="115"/>
      <c r="H194" s="170"/>
      <c r="I194" s="172"/>
      <c r="J194" s="115"/>
      <c r="Q194" s="115"/>
      <c r="R194" s="115"/>
    </row>
    <row r="195" spans="1:18" ht="15.75" customHeight="1">
      <c r="A195" s="115"/>
      <c r="B195" s="115"/>
      <c r="C195" s="148"/>
      <c r="D195" s="148"/>
      <c r="E195" s="148"/>
      <c r="F195" s="115"/>
      <c r="G195" s="115"/>
      <c r="H195" s="170"/>
      <c r="I195" s="172"/>
      <c r="J195" s="115"/>
      <c r="Q195" s="115"/>
      <c r="R195" s="115"/>
    </row>
    <row r="196" spans="1:18" ht="15.75" customHeight="1">
      <c r="A196" s="115"/>
      <c r="B196" s="115"/>
      <c r="C196" s="148"/>
      <c r="D196" s="148"/>
      <c r="E196" s="148"/>
      <c r="F196" s="115"/>
      <c r="G196" s="115"/>
      <c r="H196" s="170"/>
      <c r="I196" s="172"/>
      <c r="J196" s="115"/>
      <c r="Q196" s="115"/>
      <c r="R196" s="115"/>
    </row>
    <row r="197" spans="1:18" ht="15.75" customHeight="1">
      <c r="A197" s="115"/>
      <c r="B197" s="115"/>
      <c r="C197" s="148"/>
      <c r="D197" s="148"/>
      <c r="E197" s="148"/>
      <c r="F197" s="115"/>
      <c r="G197" s="115"/>
      <c r="H197" s="170"/>
      <c r="I197" s="172"/>
      <c r="J197" s="115"/>
      <c r="Q197" s="115"/>
      <c r="R197" s="115"/>
    </row>
    <row r="198" spans="1:18" ht="15.75" customHeight="1">
      <c r="A198" s="115"/>
      <c r="B198" s="115"/>
      <c r="C198" s="148"/>
      <c r="D198" s="148"/>
      <c r="E198" s="148"/>
      <c r="F198" s="115"/>
      <c r="G198" s="115"/>
      <c r="H198" s="170"/>
      <c r="I198" s="172"/>
      <c r="J198" s="115"/>
      <c r="Q198" s="115"/>
      <c r="R198" s="115"/>
    </row>
    <row r="199" spans="1:18" ht="15.75" customHeight="1">
      <c r="A199" s="115"/>
      <c r="B199" s="115"/>
      <c r="C199" s="148"/>
      <c r="D199" s="148"/>
      <c r="E199" s="148"/>
      <c r="F199" s="115"/>
      <c r="G199" s="115"/>
      <c r="H199" s="170"/>
      <c r="I199" s="172"/>
      <c r="J199" s="115"/>
      <c r="Q199" s="115"/>
      <c r="R199" s="115"/>
    </row>
    <row r="200" spans="1:18" ht="15.75" customHeight="1">
      <c r="A200" s="115"/>
      <c r="B200" s="115"/>
      <c r="C200" s="148"/>
      <c r="D200" s="148"/>
      <c r="E200" s="148"/>
      <c r="F200" s="115"/>
      <c r="G200" s="115"/>
      <c r="H200" s="170"/>
      <c r="I200" s="172"/>
      <c r="J200" s="115"/>
      <c r="Q200" s="115"/>
      <c r="R200" s="115"/>
    </row>
    <row r="201" spans="1:18" ht="15.75" customHeight="1">
      <c r="A201" s="115"/>
      <c r="B201" s="115"/>
      <c r="C201" s="148"/>
      <c r="D201" s="148"/>
      <c r="E201" s="148"/>
      <c r="F201" s="115"/>
      <c r="G201" s="115"/>
      <c r="H201" s="170"/>
      <c r="I201" s="172"/>
      <c r="J201" s="115"/>
      <c r="Q201" s="115"/>
      <c r="R201" s="115"/>
    </row>
    <row r="202" spans="1:18" ht="15.75" customHeight="1">
      <c r="A202" s="115"/>
      <c r="B202" s="115"/>
      <c r="C202" s="148"/>
      <c r="D202" s="148"/>
      <c r="E202" s="148"/>
      <c r="F202" s="115"/>
      <c r="G202" s="115"/>
      <c r="H202" s="170"/>
      <c r="I202" s="172"/>
      <c r="J202" s="115"/>
      <c r="Q202" s="115"/>
      <c r="R202" s="115"/>
    </row>
    <row r="203" spans="1:18" ht="15.75" customHeight="1">
      <c r="A203" s="115"/>
      <c r="B203" s="115"/>
      <c r="C203" s="148"/>
      <c r="D203" s="148"/>
      <c r="E203" s="148"/>
      <c r="F203" s="115"/>
      <c r="G203" s="115"/>
      <c r="H203" s="170"/>
      <c r="I203" s="172"/>
      <c r="J203" s="115"/>
      <c r="Q203" s="115"/>
      <c r="R203" s="115"/>
    </row>
    <row r="204" spans="1:18" ht="15.75" customHeight="1">
      <c r="A204" s="115"/>
      <c r="B204" s="115"/>
      <c r="C204" s="148"/>
      <c r="D204" s="148"/>
      <c r="E204" s="148"/>
      <c r="F204" s="115"/>
      <c r="G204" s="115"/>
      <c r="H204" s="170"/>
      <c r="I204" s="172"/>
      <c r="J204" s="115"/>
      <c r="Q204" s="115"/>
      <c r="R204" s="115"/>
    </row>
    <row r="205" spans="1:18" ht="15.75" customHeight="1">
      <c r="A205" s="115"/>
      <c r="B205" s="115"/>
      <c r="C205" s="148"/>
      <c r="D205" s="148"/>
      <c r="E205" s="148"/>
      <c r="F205" s="115"/>
      <c r="G205" s="115"/>
      <c r="H205" s="170"/>
      <c r="I205" s="172"/>
      <c r="J205" s="115"/>
      <c r="Q205" s="115"/>
      <c r="R205" s="115"/>
    </row>
    <row r="206" spans="1:18" ht="15.75" customHeight="1">
      <c r="A206" s="115"/>
      <c r="B206" s="115"/>
      <c r="C206" s="148"/>
      <c r="D206" s="148"/>
      <c r="E206" s="148"/>
      <c r="F206" s="115"/>
      <c r="G206" s="115"/>
      <c r="H206" s="170"/>
      <c r="I206" s="172"/>
      <c r="J206" s="115"/>
      <c r="Q206" s="115"/>
      <c r="R206" s="115"/>
    </row>
    <row r="207" spans="1:18" ht="15.75" customHeight="1">
      <c r="A207" s="115"/>
      <c r="B207" s="115"/>
      <c r="C207" s="148"/>
      <c r="D207" s="148"/>
      <c r="E207" s="148"/>
      <c r="F207" s="115"/>
      <c r="G207" s="115"/>
      <c r="H207" s="170"/>
      <c r="I207" s="172"/>
      <c r="J207" s="115"/>
      <c r="Q207" s="115"/>
      <c r="R207" s="115"/>
    </row>
    <row r="208" spans="1:18" ht="15.75" customHeight="1">
      <c r="A208" s="115"/>
      <c r="B208" s="115"/>
      <c r="C208" s="148"/>
      <c r="D208" s="148"/>
      <c r="E208" s="148"/>
      <c r="F208" s="115"/>
      <c r="G208" s="115"/>
      <c r="H208" s="170"/>
      <c r="I208" s="172"/>
      <c r="J208" s="115"/>
      <c r="Q208" s="115"/>
      <c r="R208" s="115"/>
    </row>
    <row r="209" spans="1:18" ht="15.75" customHeight="1">
      <c r="A209" s="115"/>
      <c r="B209" s="115"/>
      <c r="C209" s="148"/>
      <c r="D209" s="148"/>
      <c r="E209" s="148"/>
      <c r="F209" s="115"/>
      <c r="G209" s="115"/>
      <c r="H209" s="170"/>
      <c r="I209" s="172"/>
      <c r="J209" s="115"/>
      <c r="Q209" s="115"/>
      <c r="R209" s="115"/>
    </row>
    <row r="210" spans="1:18" ht="15.75" customHeight="1">
      <c r="A210" s="115"/>
      <c r="B210" s="115"/>
      <c r="C210" s="148"/>
      <c r="D210" s="148"/>
      <c r="E210" s="148"/>
      <c r="F210" s="115"/>
      <c r="G210" s="115"/>
      <c r="H210" s="170"/>
      <c r="I210" s="172"/>
      <c r="J210" s="115"/>
      <c r="Q210" s="115"/>
      <c r="R210" s="115"/>
    </row>
    <row r="211" spans="1:18" ht="15.75" customHeight="1">
      <c r="A211" s="115"/>
      <c r="B211" s="115"/>
      <c r="C211" s="148"/>
      <c r="D211" s="148"/>
      <c r="E211" s="148"/>
      <c r="F211" s="115"/>
      <c r="G211" s="115"/>
      <c r="H211" s="170"/>
      <c r="I211" s="172"/>
      <c r="J211" s="115"/>
      <c r="Q211" s="115"/>
      <c r="R211" s="115"/>
    </row>
    <row r="212" spans="1:18" ht="15.75" customHeight="1">
      <c r="A212" s="115"/>
      <c r="B212" s="115"/>
      <c r="C212" s="148"/>
      <c r="D212" s="148"/>
      <c r="E212" s="148"/>
      <c r="F212" s="115"/>
      <c r="G212" s="115"/>
      <c r="H212" s="170"/>
      <c r="I212" s="172"/>
      <c r="J212" s="115"/>
      <c r="Q212" s="115"/>
      <c r="R212" s="115"/>
    </row>
    <row r="213" spans="1:18" ht="15.75" customHeight="1">
      <c r="A213" s="115"/>
      <c r="B213" s="115"/>
      <c r="C213" s="148"/>
      <c r="D213" s="148"/>
      <c r="E213" s="148"/>
      <c r="F213" s="115"/>
      <c r="G213" s="115"/>
      <c r="H213" s="170"/>
      <c r="I213" s="172"/>
      <c r="J213" s="115"/>
      <c r="Q213" s="115"/>
      <c r="R213" s="115"/>
    </row>
    <row r="214" spans="1:18" ht="15.75" customHeight="1">
      <c r="A214" s="115"/>
      <c r="B214" s="115"/>
      <c r="C214" s="148"/>
      <c r="D214" s="148"/>
      <c r="E214" s="148"/>
      <c r="F214" s="115"/>
      <c r="G214" s="115"/>
      <c r="H214" s="170"/>
      <c r="I214" s="172"/>
      <c r="J214" s="115"/>
      <c r="Q214" s="115"/>
      <c r="R214" s="115"/>
    </row>
    <row r="215" spans="1:18" ht="15.75" customHeight="1">
      <c r="A215" s="115"/>
      <c r="B215" s="115"/>
      <c r="C215" s="148"/>
      <c r="D215" s="148"/>
      <c r="E215" s="148"/>
      <c r="F215" s="115"/>
      <c r="G215" s="115"/>
      <c r="H215" s="170"/>
      <c r="I215" s="172"/>
      <c r="J215" s="115"/>
      <c r="Q215" s="115"/>
      <c r="R215" s="115"/>
    </row>
    <row r="216" spans="1:18" ht="15.75" customHeight="1">
      <c r="A216" s="115"/>
      <c r="B216" s="115"/>
      <c r="C216" s="148"/>
      <c r="D216" s="148"/>
      <c r="E216" s="148"/>
      <c r="F216" s="115"/>
      <c r="G216" s="115"/>
      <c r="H216" s="170"/>
      <c r="I216" s="172"/>
      <c r="J216" s="115"/>
      <c r="Q216" s="115"/>
      <c r="R216" s="115"/>
    </row>
    <row r="217" spans="1:18" ht="15.75" customHeight="1">
      <c r="A217" s="115"/>
      <c r="B217" s="115"/>
      <c r="C217" s="148"/>
      <c r="D217" s="148"/>
      <c r="E217" s="148"/>
      <c r="F217" s="115"/>
      <c r="G217" s="115"/>
      <c r="H217" s="170"/>
      <c r="I217" s="172"/>
      <c r="J217" s="115"/>
      <c r="Q217" s="115"/>
      <c r="R217" s="115"/>
    </row>
    <row r="218" spans="1:18" ht="15.75" customHeight="1">
      <c r="A218" s="115"/>
      <c r="B218" s="115"/>
      <c r="C218" s="148"/>
      <c r="D218" s="148"/>
      <c r="E218" s="148"/>
      <c r="F218" s="115"/>
      <c r="G218" s="115"/>
      <c r="H218" s="170"/>
      <c r="I218" s="172"/>
      <c r="J218" s="115"/>
      <c r="Q218" s="115"/>
      <c r="R218" s="115"/>
    </row>
    <row r="219" spans="1:18" ht="15.75" customHeight="1">
      <c r="A219" s="115"/>
      <c r="B219" s="115"/>
      <c r="C219" s="148"/>
      <c r="D219" s="148"/>
      <c r="E219" s="148"/>
      <c r="F219" s="115"/>
      <c r="G219" s="115"/>
      <c r="H219" s="170"/>
      <c r="I219" s="172"/>
      <c r="J219" s="115"/>
      <c r="Q219" s="115"/>
      <c r="R219" s="115"/>
    </row>
    <row r="220" spans="1:18" ht="15.75" customHeight="1">
      <c r="A220" s="115"/>
      <c r="B220" s="115"/>
      <c r="C220" s="148"/>
      <c r="D220" s="148"/>
      <c r="E220" s="148"/>
      <c r="F220" s="115"/>
      <c r="G220" s="115"/>
      <c r="H220" s="170"/>
      <c r="I220" s="172"/>
      <c r="J220" s="115"/>
      <c r="Q220" s="115"/>
      <c r="R220" s="115"/>
    </row>
    <row r="221" spans="1:18" ht="15.75" customHeight="1">
      <c r="A221" s="115"/>
      <c r="B221" s="115"/>
      <c r="C221" s="148"/>
      <c r="D221" s="148"/>
      <c r="E221" s="148"/>
      <c r="F221" s="115"/>
      <c r="G221" s="115"/>
      <c r="H221" s="170"/>
      <c r="I221" s="172"/>
      <c r="J221" s="115"/>
      <c r="Q221" s="115"/>
      <c r="R221" s="115"/>
    </row>
    <row r="222" spans="1:18" ht="15.75" customHeight="1">
      <c r="A222" s="115"/>
      <c r="B222" s="115"/>
      <c r="C222" s="148"/>
      <c r="D222" s="148"/>
      <c r="E222" s="148"/>
      <c r="F222" s="115"/>
      <c r="G222" s="115"/>
      <c r="H222" s="170"/>
      <c r="I222" s="172"/>
      <c r="J222" s="115"/>
      <c r="Q222" s="115"/>
      <c r="R222" s="115"/>
    </row>
    <row r="223" spans="1:18" ht="15.75" customHeight="1">
      <c r="A223" s="115"/>
      <c r="B223" s="115"/>
      <c r="C223" s="148"/>
      <c r="D223" s="148"/>
      <c r="E223" s="148"/>
      <c r="F223" s="115"/>
      <c r="G223" s="115"/>
      <c r="H223" s="170"/>
      <c r="I223" s="172"/>
      <c r="J223" s="115"/>
      <c r="Q223" s="115"/>
      <c r="R223" s="115"/>
    </row>
    <row r="224" spans="1:18" ht="15.75" customHeight="1">
      <c r="A224" s="115"/>
      <c r="B224" s="115"/>
      <c r="C224" s="148"/>
      <c r="D224" s="148"/>
      <c r="E224" s="148"/>
      <c r="F224" s="115"/>
      <c r="G224" s="115"/>
      <c r="H224" s="170"/>
      <c r="I224" s="172"/>
      <c r="J224" s="115"/>
      <c r="Q224" s="115"/>
      <c r="R224" s="115"/>
    </row>
    <row r="225" spans="1:18" ht="15.75" customHeight="1">
      <c r="A225" s="115"/>
      <c r="B225" s="115"/>
      <c r="C225" s="148"/>
      <c r="D225" s="148"/>
      <c r="E225" s="148"/>
      <c r="F225" s="115"/>
      <c r="G225" s="115"/>
      <c r="H225" s="170"/>
      <c r="I225" s="172"/>
      <c r="J225" s="115"/>
      <c r="Q225" s="115"/>
      <c r="R225" s="115"/>
    </row>
    <row r="226" spans="1:18" ht="15.75" customHeight="1">
      <c r="A226" s="115"/>
      <c r="B226" s="115"/>
      <c r="C226" s="148"/>
      <c r="D226" s="148"/>
      <c r="E226" s="148"/>
      <c r="F226" s="115"/>
      <c r="G226" s="115"/>
      <c r="H226" s="170"/>
      <c r="I226" s="172"/>
      <c r="J226" s="115"/>
      <c r="Q226" s="115"/>
      <c r="R226" s="115"/>
    </row>
    <row r="227" spans="1:18" ht="15.75" customHeight="1">
      <c r="A227" s="115"/>
      <c r="B227" s="115"/>
      <c r="C227" s="148"/>
      <c r="D227" s="148"/>
      <c r="E227" s="148"/>
      <c r="F227" s="115"/>
      <c r="G227" s="115"/>
      <c r="H227" s="170"/>
      <c r="I227" s="172"/>
      <c r="J227" s="115"/>
      <c r="Q227" s="115"/>
      <c r="R227" s="115"/>
    </row>
    <row r="228" spans="1:18" ht="15.75" customHeight="1">
      <c r="A228" s="115"/>
      <c r="B228" s="115"/>
      <c r="C228" s="148"/>
      <c r="D228" s="148"/>
      <c r="E228" s="148"/>
      <c r="F228" s="115"/>
      <c r="G228" s="115"/>
      <c r="H228" s="170"/>
      <c r="I228" s="172"/>
      <c r="J228" s="115"/>
      <c r="Q228" s="115"/>
      <c r="R228" s="115"/>
    </row>
    <row r="229" spans="1:18" ht="15.75" customHeight="1">
      <c r="A229" s="115"/>
      <c r="B229" s="115"/>
      <c r="C229" s="148"/>
      <c r="D229" s="148"/>
      <c r="E229" s="148"/>
      <c r="F229" s="115"/>
      <c r="G229" s="115"/>
      <c r="H229" s="170"/>
      <c r="I229" s="172"/>
      <c r="J229" s="115"/>
      <c r="Q229" s="115"/>
      <c r="R229" s="115"/>
    </row>
    <row r="230" spans="1:18" ht="15.75" customHeight="1">
      <c r="A230" s="115"/>
      <c r="B230" s="115"/>
      <c r="C230" s="148"/>
      <c r="D230" s="148"/>
      <c r="E230" s="148"/>
      <c r="F230" s="115"/>
      <c r="G230" s="115"/>
      <c r="H230" s="170"/>
      <c r="I230" s="172"/>
      <c r="J230" s="115"/>
      <c r="Q230" s="115"/>
      <c r="R230" s="115"/>
    </row>
    <row r="231" spans="1:18" ht="15.75" customHeight="1">
      <c r="A231" s="115"/>
      <c r="B231" s="115"/>
      <c r="C231" s="148"/>
      <c r="D231" s="148"/>
      <c r="E231" s="148"/>
      <c r="F231" s="115"/>
      <c r="G231" s="115"/>
      <c r="H231" s="170"/>
      <c r="I231" s="172"/>
      <c r="J231" s="115"/>
      <c r="Q231" s="115"/>
      <c r="R231" s="115"/>
    </row>
    <row r="232" spans="1:18" ht="15.75" customHeight="1">
      <c r="A232" s="115"/>
      <c r="B232" s="115"/>
      <c r="C232" s="148"/>
      <c r="D232" s="148"/>
      <c r="E232" s="148"/>
      <c r="F232" s="115"/>
      <c r="G232" s="115"/>
      <c r="H232" s="170"/>
      <c r="I232" s="172"/>
      <c r="J232" s="115"/>
      <c r="Q232" s="115"/>
      <c r="R232" s="115"/>
    </row>
    <row r="233" spans="1:18" ht="15.75" customHeight="1">
      <c r="A233" s="115"/>
      <c r="B233" s="115"/>
      <c r="C233" s="148"/>
      <c r="D233" s="148"/>
      <c r="E233" s="148"/>
      <c r="F233" s="115"/>
      <c r="G233" s="115"/>
      <c r="H233" s="170"/>
      <c r="I233" s="172"/>
      <c r="J233" s="115"/>
      <c r="Q233" s="115"/>
      <c r="R233" s="115"/>
    </row>
    <row r="234" spans="1:18" ht="15.75" customHeight="1">
      <c r="A234" s="115"/>
      <c r="B234" s="115"/>
      <c r="C234" s="148"/>
      <c r="D234" s="148"/>
      <c r="E234" s="148"/>
      <c r="F234" s="115"/>
      <c r="G234" s="115"/>
      <c r="H234" s="170"/>
      <c r="I234" s="172"/>
      <c r="J234" s="115"/>
      <c r="Q234" s="115"/>
      <c r="R234" s="115"/>
    </row>
    <row r="235" spans="1:18" ht="15.75" customHeight="1">
      <c r="A235" s="115"/>
      <c r="B235" s="115"/>
      <c r="C235" s="148"/>
      <c r="D235" s="148"/>
      <c r="E235" s="148"/>
      <c r="F235" s="115"/>
      <c r="G235" s="115"/>
      <c r="H235" s="170"/>
      <c r="I235" s="172"/>
      <c r="J235" s="115"/>
      <c r="Q235" s="115"/>
      <c r="R235" s="115"/>
    </row>
    <row r="236" spans="1:18" ht="15.75" customHeight="1">
      <c r="A236" s="115"/>
      <c r="B236" s="115"/>
      <c r="C236" s="148"/>
      <c r="D236" s="148"/>
      <c r="E236" s="148"/>
      <c r="F236" s="115"/>
      <c r="G236" s="115"/>
      <c r="H236" s="170"/>
      <c r="I236" s="172"/>
      <c r="J236" s="115"/>
      <c r="Q236" s="115"/>
      <c r="R236" s="115"/>
    </row>
    <row r="237" spans="1:18" ht="15.75" customHeight="1">
      <c r="A237" s="115"/>
      <c r="B237" s="115"/>
      <c r="C237" s="148"/>
      <c r="D237" s="148"/>
      <c r="E237" s="148"/>
      <c r="F237" s="115"/>
      <c r="G237" s="115"/>
      <c r="H237" s="170"/>
      <c r="I237" s="172"/>
      <c r="J237" s="115"/>
      <c r="Q237" s="115"/>
      <c r="R237" s="115"/>
    </row>
    <row r="238" spans="1:18" ht="15.75" customHeight="1">
      <c r="A238" s="115"/>
      <c r="B238" s="115"/>
      <c r="C238" s="148"/>
      <c r="D238" s="148"/>
      <c r="E238" s="148"/>
      <c r="F238" s="115"/>
      <c r="G238" s="115"/>
      <c r="H238" s="170"/>
      <c r="I238" s="172"/>
      <c r="J238" s="115"/>
      <c r="Q238" s="115"/>
      <c r="R238" s="115"/>
    </row>
    <row r="239" spans="1:18" ht="15.75" customHeight="1">
      <c r="A239" s="115"/>
      <c r="B239" s="115"/>
      <c r="C239" s="148"/>
      <c r="D239" s="148"/>
      <c r="E239" s="148"/>
      <c r="F239" s="115"/>
      <c r="G239" s="115"/>
      <c r="H239" s="170"/>
      <c r="I239" s="172"/>
      <c r="J239" s="115"/>
      <c r="Q239" s="115"/>
      <c r="R239" s="115"/>
    </row>
    <row r="240" spans="1:18" ht="15.75" customHeight="1">
      <c r="A240" s="115"/>
      <c r="B240" s="115"/>
      <c r="C240" s="148"/>
      <c r="D240" s="148"/>
      <c r="E240" s="148"/>
      <c r="F240" s="115"/>
      <c r="G240" s="115"/>
      <c r="H240" s="170"/>
      <c r="I240" s="172"/>
      <c r="J240" s="115"/>
      <c r="Q240" s="115"/>
      <c r="R240" s="115"/>
    </row>
    <row r="241" spans="1:18" ht="15.75" customHeight="1">
      <c r="A241" s="115"/>
      <c r="B241" s="115"/>
      <c r="C241" s="148"/>
      <c r="D241" s="148"/>
      <c r="E241" s="148"/>
      <c r="F241" s="115"/>
      <c r="G241" s="115"/>
      <c r="H241" s="170"/>
      <c r="I241" s="172"/>
      <c r="J241" s="115"/>
      <c r="Q241" s="115"/>
      <c r="R241" s="115"/>
    </row>
    <row r="242" spans="1:18" ht="15.75" customHeight="1">
      <c r="A242" s="115"/>
      <c r="B242" s="115"/>
      <c r="C242" s="148"/>
      <c r="D242" s="148"/>
      <c r="E242" s="148"/>
      <c r="F242" s="115"/>
      <c r="G242" s="115"/>
      <c r="H242" s="170"/>
      <c r="I242" s="172"/>
      <c r="J242" s="115"/>
      <c r="Q242" s="115"/>
      <c r="R242" s="115"/>
    </row>
    <row r="243" spans="1:18" ht="15.75" customHeight="1">
      <c r="A243" s="115"/>
      <c r="B243" s="115"/>
      <c r="C243" s="148"/>
      <c r="D243" s="148"/>
      <c r="E243" s="148"/>
      <c r="F243" s="115"/>
      <c r="G243" s="115"/>
      <c r="H243" s="170"/>
      <c r="I243" s="172"/>
      <c r="J243" s="115"/>
      <c r="Q243" s="115"/>
      <c r="R243" s="115"/>
    </row>
    <row r="244" spans="1:18" ht="15.75" customHeight="1">
      <c r="A244" s="115"/>
      <c r="B244" s="115"/>
      <c r="C244" s="148"/>
      <c r="D244" s="148"/>
      <c r="E244" s="148"/>
      <c r="F244" s="115"/>
      <c r="G244" s="115"/>
      <c r="H244" s="170"/>
      <c r="I244" s="172"/>
      <c r="J244" s="115"/>
      <c r="Q244" s="115"/>
      <c r="R244" s="115"/>
    </row>
    <row r="245" spans="1:18" ht="15.75" customHeight="1">
      <c r="A245" s="115"/>
      <c r="B245" s="115"/>
      <c r="C245" s="118"/>
      <c r="D245" s="118"/>
      <c r="E245" s="118"/>
      <c r="F245" s="115"/>
      <c r="G245" s="115"/>
      <c r="H245" s="170"/>
      <c r="I245" s="172"/>
      <c r="J245" s="115"/>
      <c r="Q245" s="115"/>
      <c r="R245" s="115"/>
    </row>
    <row r="246" spans="1:18" ht="15.75" customHeight="1">
      <c r="A246" s="115"/>
      <c r="B246" s="115"/>
      <c r="C246" s="118"/>
      <c r="D246" s="118"/>
      <c r="E246" s="118"/>
      <c r="F246" s="115"/>
      <c r="G246" s="115"/>
      <c r="H246" s="170"/>
      <c r="I246" s="172"/>
      <c r="J246" s="115"/>
      <c r="Q246" s="115"/>
      <c r="R246" s="115"/>
    </row>
    <row r="247" spans="1:18" ht="15.75" customHeight="1">
      <c r="A247" s="115"/>
      <c r="B247" s="115"/>
      <c r="C247" s="118"/>
      <c r="D247" s="118"/>
      <c r="E247" s="118"/>
      <c r="F247" s="115"/>
      <c r="G247" s="115"/>
      <c r="H247" s="170"/>
      <c r="I247" s="172"/>
      <c r="J247" s="115"/>
      <c r="Q247" s="115"/>
      <c r="R247" s="115"/>
    </row>
    <row r="248" spans="1:18" ht="15.75" customHeight="1">
      <c r="A248" s="115"/>
      <c r="B248" s="115"/>
      <c r="C248" s="118"/>
      <c r="D248" s="118"/>
      <c r="E248" s="118"/>
      <c r="F248" s="115"/>
      <c r="G248" s="115"/>
      <c r="H248" s="170"/>
      <c r="I248" s="172"/>
      <c r="J248" s="115"/>
      <c r="Q248" s="115"/>
      <c r="R248" s="115"/>
    </row>
    <row r="249" spans="1:18" ht="15.75" customHeight="1">
      <c r="A249" s="115"/>
      <c r="B249" s="115"/>
      <c r="C249" s="118"/>
      <c r="D249" s="118"/>
      <c r="E249" s="118"/>
      <c r="F249" s="115"/>
      <c r="G249" s="115"/>
      <c r="H249" s="170"/>
      <c r="I249" s="172"/>
      <c r="J249" s="115"/>
      <c r="Q249" s="115"/>
      <c r="R249" s="115"/>
    </row>
    <row r="250" spans="1:18" ht="15.75" customHeight="1">
      <c r="A250" s="115"/>
      <c r="B250" s="115"/>
      <c r="C250" s="118"/>
      <c r="D250" s="118"/>
      <c r="E250" s="118"/>
      <c r="F250" s="115"/>
      <c r="G250" s="115"/>
      <c r="H250" s="170"/>
      <c r="I250" s="172"/>
      <c r="J250" s="115"/>
      <c r="Q250" s="115"/>
      <c r="R250" s="115"/>
    </row>
    <row r="251" spans="1:18" ht="15.75" customHeight="1">
      <c r="A251" s="115"/>
      <c r="B251" s="115"/>
      <c r="C251" s="118"/>
      <c r="D251" s="118"/>
      <c r="E251" s="118"/>
      <c r="F251" s="115"/>
      <c r="G251" s="115"/>
      <c r="H251" s="170"/>
      <c r="I251" s="172"/>
      <c r="J251" s="115"/>
      <c r="Q251" s="115"/>
      <c r="R251" s="115"/>
    </row>
    <row r="252" spans="1:18" ht="15.75" customHeight="1">
      <c r="A252" s="115"/>
      <c r="B252" s="115"/>
      <c r="C252" s="118"/>
      <c r="D252" s="118"/>
      <c r="E252" s="118"/>
      <c r="F252" s="115"/>
      <c r="G252" s="115"/>
      <c r="H252" s="170"/>
      <c r="I252" s="172"/>
      <c r="J252" s="115"/>
      <c r="Q252" s="115"/>
      <c r="R252" s="115"/>
    </row>
    <row r="253" spans="1:18" ht="15.75" customHeight="1">
      <c r="A253" s="115"/>
      <c r="B253" s="115"/>
      <c r="C253" s="118"/>
      <c r="D253" s="118"/>
      <c r="E253" s="118"/>
      <c r="F253" s="115"/>
      <c r="G253" s="115"/>
      <c r="H253" s="170"/>
      <c r="I253" s="172"/>
      <c r="J253" s="115"/>
      <c r="Q253" s="115"/>
      <c r="R253" s="115"/>
    </row>
    <row r="254" spans="1:18" ht="15.75" customHeight="1">
      <c r="A254" s="115"/>
      <c r="B254" s="115"/>
      <c r="C254" s="118"/>
      <c r="D254" s="118"/>
      <c r="E254" s="118"/>
      <c r="F254" s="115"/>
      <c r="G254" s="115"/>
      <c r="H254" s="170"/>
      <c r="I254" s="172"/>
      <c r="J254" s="115"/>
      <c r="Q254" s="115"/>
      <c r="R254" s="115"/>
    </row>
    <row r="255" spans="1:18" ht="15.75" customHeight="1">
      <c r="A255" s="115"/>
      <c r="B255" s="115"/>
      <c r="C255" s="118"/>
      <c r="D255" s="118"/>
      <c r="E255" s="118"/>
      <c r="F255" s="115"/>
      <c r="G255" s="115"/>
      <c r="H255" s="170"/>
      <c r="I255" s="172"/>
      <c r="J255" s="115"/>
      <c r="Q255" s="115"/>
      <c r="R255" s="115"/>
    </row>
    <row r="256" spans="1:18" ht="15.75" customHeight="1">
      <c r="A256" s="115"/>
      <c r="B256" s="115"/>
      <c r="C256" s="118"/>
      <c r="D256" s="118"/>
      <c r="E256" s="118"/>
      <c r="F256" s="115"/>
      <c r="G256" s="115"/>
      <c r="H256" s="170"/>
      <c r="I256" s="172"/>
      <c r="J256" s="115"/>
      <c r="Q256" s="115"/>
      <c r="R256" s="115"/>
    </row>
    <row r="257" spans="1:18" ht="15.75" customHeight="1">
      <c r="A257" s="115"/>
      <c r="B257" s="115"/>
      <c r="C257" s="118"/>
      <c r="D257" s="118"/>
      <c r="E257" s="118"/>
      <c r="F257" s="115"/>
      <c r="G257" s="115"/>
      <c r="H257" s="170"/>
      <c r="I257" s="172"/>
      <c r="J257" s="115"/>
      <c r="Q257" s="115"/>
      <c r="R257" s="115"/>
    </row>
    <row r="258" spans="1:18" ht="15.75" customHeight="1">
      <c r="A258" s="115"/>
      <c r="B258" s="115"/>
      <c r="C258" s="118"/>
      <c r="D258" s="118"/>
      <c r="E258" s="118"/>
      <c r="F258" s="115"/>
      <c r="G258" s="115"/>
      <c r="H258" s="170"/>
      <c r="I258" s="172"/>
      <c r="J258" s="115"/>
      <c r="Q258" s="115"/>
      <c r="R258" s="115"/>
    </row>
    <row r="259" spans="1:18" ht="15.75" customHeight="1">
      <c r="A259" s="115"/>
      <c r="B259" s="115"/>
      <c r="C259" s="118"/>
      <c r="D259" s="118"/>
      <c r="E259" s="118"/>
      <c r="F259" s="115"/>
      <c r="G259" s="115"/>
      <c r="H259" s="170"/>
      <c r="I259" s="172"/>
      <c r="J259" s="115"/>
      <c r="Q259" s="115"/>
      <c r="R259" s="115"/>
    </row>
    <row r="260" spans="1:18" ht="15.75" customHeight="1">
      <c r="A260" s="115"/>
      <c r="B260" s="115"/>
      <c r="C260" s="118"/>
      <c r="D260" s="118"/>
      <c r="E260" s="118"/>
      <c r="F260" s="115"/>
      <c r="G260" s="115"/>
      <c r="H260" s="170"/>
      <c r="I260" s="172"/>
      <c r="J260" s="115"/>
      <c r="Q260" s="115"/>
      <c r="R260" s="115"/>
    </row>
    <row r="261" spans="1:18" ht="15.75" customHeight="1">
      <c r="A261" s="115"/>
      <c r="B261" s="115"/>
      <c r="C261" s="118"/>
      <c r="D261" s="118"/>
      <c r="E261" s="118"/>
      <c r="F261" s="115"/>
      <c r="G261" s="115"/>
      <c r="H261" s="170"/>
      <c r="I261" s="172"/>
      <c r="J261" s="115"/>
      <c r="Q261" s="115"/>
      <c r="R261" s="115"/>
    </row>
    <row r="262" spans="1:18" ht="15.75" customHeight="1">
      <c r="A262" s="115"/>
      <c r="B262" s="115"/>
      <c r="C262" s="118"/>
      <c r="D262" s="118"/>
      <c r="E262" s="118"/>
      <c r="F262" s="115"/>
      <c r="G262" s="115"/>
      <c r="H262" s="170"/>
      <c r="I262" s="172"/>
      <c r="J262" s="115"/>
      <c r="Q262" s="115"/>
      <c r="R262" s="115"/>
    </row>
    <row r="263" spans="1:18" ht="15.75" customHeight="1">
      <c r="A263" s="115"/>
      <c r="B263" s="115"/>
      <c r="C263" s="118"/>
      <c r="D263" s="118"/>
      <c r="E263" s="118"/>
      <c r="F263" s="115"/>
      <c r="G263" s="115"/>
      <c r="H263" s="170"/>
      <c r="I263" s="172"/>
      <c r="J263" s="115"/>
      <c r="Q263" s="115"/>
      <c r="R263" s="115"/>
    </row>
    <row r="264" spans="1:18" ht="15.75" customHeight="1">
      <c r="A264" s="115"/>
      <c r="B264" s="115"/>
      <c r="C264" s="118"/>
      <c r="D264" s="118"/>
      <c r="E264" s="118"/>
      <c r="F264" s="115"/>
      <c r="G264" s="115"/>
      <c r="H264" s="170"/>
      <c r="I264" s="172"/>
      <c r="J264" s="115"/>
      <c r="Q264" s="115"/>
      <c r="R264" s="115"/>
    </row>
    <row r="265" spans="1:18" ht="15.75" customHeight="1">
      <c r="A265" s="115"/>
      <c r="B265" s="115"/>
      <c r="C265" s="118"/>
      <c r="D265" s="118"/>
      <c r="E265" s="118"/>
      <c r="F265" s="115"/>
      <c r="G265" s="115"/>
      <c r="H265" s="170"/>
      <c r="I265" s="172"/>
      <c r="J265" s="115"/>
      <c r="Q265" s="115"/>
      <c r="R265" s="115"/>
    </row>
    <row r="266" spans="1:18" ht="15.75" customHeight="1">
      <c r="A266" s="115"/>
      <c r="B266" s="115"/>
      <c r="C266" s="118"/>
      <c r="D266" s="118"/>
      <c r="E266" s="118"/>
      <c r="F266" s="115"/>
      <c r="G266" s="115"/>
      <c r="H266" s="170"/>
      <c r="I266" s="172"/>
      <c r="J266" s="115"/>
      <c r="Q266" s="115"/>
      <c r="R266" s="115"/>
    </row>
    <row r="267" spans="1:18" ht="15.75" customHeight="1">
      <c r="A267" s="115"/>
      <c r="B267" s="115"/>
      <c r="C267" s="118"/>
      <c r="D267" s="118"/>
      <c r="E267" s="118"/>
      <c r="F267" s="115"/>
      <c r="G267" s="115"/>
      <c r="H267" s="170"/>
      <c r="I267" s="172"/>
      <c r="J267" s="115"/>
      <c r="Q267" s="115"/>
      <c r="R267" s="115"/>
    </row>
    <row r="268" spans="1:18" ht="15.75" customHeight="1">
      <c r="A268" s="115"/>
      <c r="B268" s="115"/>
      <c r="C268" s="118"/>
      <c r="D268" s="118"/>
      <c r="E268" s="118"/>
      <c r="F268" s="115"/>
      <c r="G268" s="115"/>
      <c r="H268" s="170"/>
      <c r="I268" s="172"/>
      <c r="J268" s="115"/>
      <c r="Q268" s="115"/>
      <c r="R268" s="115"/>
    </row>
    <row r="269" spans="1:18" ht="15.75" customHeight="1">
      <c r="A269" s="115"/>
      <c r="B269" s="115"/>
      <c r="C269" s="118"/>
      <c r="D269" s="118"/>
      <c r="E269" s="118"/>
      <c r="F269" s="115"/>
      <c r="G269" s="115"/>
      <c r="H269" s="170"/>
      <c r="I269" s="172"/>
      <c r="J269" s="115"/>
      <c r="Q269" s="115"/>
      <c r="R269" s="115"/>
    </row>
    <row r="270" spans="1:18" ht="15.75" customHeight="1">
      <c r="A270" s="115"/>
      <c r="B270" s="115"/>
      <c r="C270" s="118"/>
      <c r="D270" s="118"/>
      <c r="E270" s="118"/>
      <c r="F270" s="115"/>
      <c r="G270" s="115"/>
      <c r="H270" s="170"/>
      <c r="I270" s="172"/>
      <c r="J270" s="115"/>
      <c r="Q270" s="115"/>
      <c r="R270" s="115"/>
    </row>
    <row r="271" spans="1:18" ht="15.75" customHeight="1">
      <c r="A271" s="115"/>
      <c r="B271" s="115"/>
      <c r="C271" s="118"/>
      <c r="D271" s="118"/>
      <c r="E271" s="118"/>
      <c r="F271" s="115"/>
      <c r="G271" s="115"/>
      <c r="H271" s="170"/>
      <c r="I271" s="172"/>
      <c r="J271" s="115"/>
      <c r="Q271" s="115"/>
      <c r="R271" s="115"/>
    </row>
    <row r="272" spans="1:18" ht="15.75" customHeight="1">
      <c r="A272" s="115"/>
      <c r="B272" s="115"/>
      <c r="C272" s="118"/>
      <c r="D272" s="118"/>
      <c r="E272" s="118"/>
      <c r="F272" s="115"/>
      <c r="G272" s="115"/>
      <c r="H272" s="170"/>
      <c r="I272" s="172"/>
      <c r="J272" s="115"/>
      <c r="Q272" s="115"/>
      <c r="R272" s="115"/>
    </row>
    <row r="273" spans="1:18" ht="15.75" customHeight="1">
      <c r="A273" s="115"/>
      <c r="B273" s="115"/>
      <c r="C273" s="118"/>
      <c r="D273" s="118"/>
      <c r="E273" s="118"/>
      <c r="F273" s="115"/>
      <c r="G273" s="115"/>
      <c r="H273" s="170"/>
      <c r="I273" s="172"/>
      <c r="J273" s="115"/>
      <c r="Q273" s="115"/>
      <c r="R273" s="115"/>
    </row>
    <row r="274" spans="1:18" ht="15.75" customHeight="1">
      <c r="A274" s="115"/>
      <c r="B274" s="115"/>
      <c r="C274" s="118"/>
      <c r="D274" s="118"/>
      <c r="E274" s="118"/>
      <c r="F274" s="115"/>
      <c r="G274" s="115"/>
      <c r="H274" s="170"/>
      <c r="I274" s="172"/>
      <c r="J274" s="115"/>
      <c r="Q274" s="115"/>
      <c r="R274" s="115"/>
    </row>
    <row r="275" spans="1:18" ht="15.75" customHeight="1">
      <c r="A275" s="115"/>
      <c r="B275" s="115"/>
      <c r="C275" s="118"/>
      <c r="D275" s="118"/>
      <c r="E275" s="118"/>
      <c r="F275" s="115"/>
      <c r="G275" s="115"/>
      <c r="H275" s="170"/>
      <c r="I275" s="172"/>
      <c r="J275" s="115"/>
      <c r="Q275" s="115"/>
      <c r="R275" s="115"/>
    </row>
    <row r="276" spans="1:18" ht="15.75" customHeight="1">
      <c r="A276" s="115"/>
      <c r="B276" s="115"/>
      <c r="C276" s="118"/>
      <c r="D276" s="118"/>
      <c r="E276" s="118"/>
      <c r="F276" s="115"/>
      <c r="G276" s="115"/>
      <c r="H276" s="170"/>
      <c r="I276" s="172"/>
      <c r="J276" s="115"/>
      <c r="Q276" s="115"/>
      <c r="R276" s="115"/>
    </row>
    <row r="277" spans="1:18" ht="15.75" customHeight="1">
      <c r="A277" s="115"/>
      <c r="B277" s="115"/>
      <c r="C277" s="118"/>
      <c r="D277" s="118"/>
      <c r="E277" s="118"/>
      <c r="F277" s="115"/>
      <c r="G277" s="115"/>
      <c r="H277" s="170"/>
      <c r="I277" s="172"/>
      <c r="J277" s="115"/>
      <c r="Q277" s="115"/>
      <c r="R277" s="115"/>
    </row>
    <row r="278" spans="1:18" ht="15.75" customHeight="1">
      <c r="A278" s="115"/>
      <c r="B278" s="115"/>
      <c r="C278" s="118"/>
      <c r="D278" s="118"/>
      <c r="E278" s="118"/>
      <c r="F278" s="115"/>
      <c r="G278" s="115"/>
      <c r="H278" s="170"/>
      <c r="I278" s="172"/>
      <c r="J278" s="115"/>
      <c r="Q278" s="115"/>
      <c r="R278" s="115"/>
    </row>
    <row r="279" spans="1:18" ht="15.75" customHeight="1">
      <c r="A279" s="115"/>
      <c r="B279" s="115"/>
      <c r="C279" s="118"/>
      <c r="D279" s="118"/>
      <c r="E279" s="118"/>
      <c r="F279" s="115"/>
      <c r="G279" s="115"/>
      <c r="H279" s="170"/>
      <c r="I279" s="172"/>
      <c r="J279" s="115"/>
      <c r="Q279" s="115"/>
      <c r="R279" s="115"/>
    </row>
    <row r="280" spans="1:18" ht="15.75" customHeight="1">
      <c r="A280" s="115"/>
      <c r="B280" s="115"/>
      <c r="C280" s="118"/>
      <c r="D280" s="118"/>
      <c r="E280" s="118"/>
      <c r="F280" s="115"/>
      <c r="G280" s="115"/>
      <c r="H280" s="170"/>
      <c r="I280" s="172"/>
      <c r="J280" s="115"/>
      <c r="Q280" s="115"/>
      <c r="R280" s="115"/>
    </row>
    <row r="281" spans="1:18" ht="15.75" customHeight="1">
      <c r="A281" s="115"/>
      <c r="B281" s="115"/>
      <c r="C281" s="118"/>
      <c r="D281" s="118"/>
      <c r="E281" s="118"/>
      <c r="F281" s="115"/>
      <c r="G281" s="115"/>
      <c r="H281" s="170"/>
      <c r="I281" s="172"/>
      <c r="J281" s="115"/>
      <c r="Q281" s="115"/>
      <c r="R281" s="115"/>
    </row>
    <row r="282" spans="1:18" ht="15.75" customHeight="1">
      <c r="A282" s="115"/>
      <c r="B282" s="115"/>
      <c r="C282" s="118"/>
      <c r="D282" s="118"/>
      <c r="E282" s="118"/>
      <c r="F282" s="115"/>
      <c r="G282" s="115"/>
      <c r="H282" s="170"/>
      <c r="I282" s="172"/>
      <c r="J282" s="115"/>
      <c r="Q282" s="115"/>
      <c r="R282" s="115"/>
    </row>
    <row r="283" spans="1:18" ht="15.75" customHeight="1">
      <c r="A283" s="115"/>
      <c r="B283" s="115"/>
      <c r="C283" s="118"/>
      <c r="D283" s="118"/>
      <c r="E283" s="118"/>
      <c r="F283" s="115"/>
      <c r="G283" s="115"/>
      <c r="H283" s="170"/>
      <c r="I283" s="172"/>
      <c r="J283" s="115"/>
      <c r="Q283" s="115"/>
      <c r="R283" s="115"/>
    </row>
    <row r="284" spans="1:18" ht="15.75" customHeight="1">
      <c r="A284" s="115"/>
      <c r="B284" s="115"/>
      <c r="C284" s="118"/>
      <c r="D284" s="118"/>
      <c r="E284" s="118"/>
      <c r="F284" s="115"/>
      <c r="G284" s="115"/>
      <c r="H284" s="170"/>
      <c r="I284" s="172"/>
      <c r="J284" s="115"/>
      <c r="Q284" s="115"/>
      <c r="R284" s="115"/>
    </row>
    <row r="285" spans="1:18" ht="15.75" customHeight="1">
      <c r="A285" s="115"/>
      <c r="B285" s="115"/>
      <c r="C285" s="118"/>
      <c r="D285" s="118"/>
      <c r="E285" s="118"/>
      <c r="F285" s="115"/>
      <c r="G285" s="115"/>
      <c r="H285" s="170"/>
      <c r="I285" s="172"/>
      <c r="J285" s="115"/>
      <c r="Q285" s="115"/>
      <c r="R285" s="115"/>
    </row>
    <row r="286" spans="1:18" ht="15.75" customHeight="1">
      <c r="A286" s="115"/>
      <c r="B286" s="115"/>
      <c r="C286" s="118"/>
      <c r="D286" s="118"/>
      <c r="E286" s="118"/>
      <c r="F286" s="115"/>
      <c r="G286" s="115"/>
      <c r="H286" s="170"/>
      <c r="I286" s="172"/>
      <c r="J286" s="115"/>
      <c r="Q286" s="115"/>
      <c r="R286" s="115"/>
    </row>
    <row r="287" spans="1:18" ht="15.75" customHeight="1">
      <c r="A287" s="115"/>
      <c r="B287" s="115"/>
      <c r="C287" s="118"/>
      <c r="D287" s="118"/>
      <c r="E287" s="118"/>
      <c r="F287" s="115"/>
      <c r="G287" s="115"/>
      <c r="H287" s="170"/>
      <c r="I287" s="172"/>
      <c r="J287" s="115"/>
      <c r="Q287" s="115"/>
      <c r="R287" s="115"/>
    </row>
    <row r="288" spans="1:18" ht="15.75" customHeight="1">
      <c r="A288" s="115"/>
      <c r="B288" s="115"/>
      <c r="C288" s="118"/>
      <c r="D288" s="118"/>
      <c r="E288" s="118"/>
      <c r="F288" s="115"/>
      <c r="G288" s="115"/>
      <c r="H288" s="170"/>
      <c r="I288" s="172"/>
      <c r="J288" s="115"/>
      <c r="Q288" s="115"/>
      <c r="R288" s="115"/>
    </row>
    <row r="289" spans="1:18" ht="15.75" customHeight="1">
      <c r="A289" s="115"/>
      <c r="B289" s="115"/>
      <c r="C289" s="118"/>
      <c r="D289" s="118"/>
      <c r="E289" s="118"/>
      <c r="F289" s="115"/>
      <c r="G289" s="115"/>
      <c r="H289" s="170"/>
      <c r="I289" s="172"/>
      <c r="J289" s="115"/>
      <c r="Q289" s="115"/>
      <c r="R289" s="115"/>
    </row>
    <row r="290" spans="1:18" ht="15.75" customHeight="1">
      <c r="A290" s="115"/>
      <c r="B290" s="115"/>
      <c r="C290" s="118"/>
      <c r="D290" s="118"/>
      <c r="E290" s="118"/>
      <c r="F290" s="115"/>
      <c r="G290" s="115"/>
      <c r="H290" s="170"/>
      <c r="I290" s="172"/>
      <c r="J290" s="115"/>
      <c r="Q290" s="115"/>
      <c r="R290" s="115"/>
    </row>
    <row r="291" spans="1:18" ht="15.75" customHeight="1">
      <c r="A291" s="115"/>
      <c r="B291" s="115"/>
      <c r="C291" s="118"/>
      <c r="D291" s="118"/>
      <c r="E291" s="118"/>
      <c r="F291" s="115"/>
      <c r="G291" s="115"/>
      <c r="H291" s="170"/>
      <c r="I291" s="172"/>
      <c r="J291" s="115"/>
      <c r="Q291" s="115"/>
      <c r="R291" s="115"/>
    </row>
    <row r="292" spans="1:18" ht="15.75" customHeight="1">
      <c r="A292" s="115"/>
      <c r="B292" s="115"/>
      <c r="C292" s="118"/>
      <c r="D292" s="118"/>
      <c r="E292" s="118"/>
      <c r="F292" s="115"/>
      <c r="G292" s="115"/>
      <c r="H292" s="170"/>
      <c r="I292" s="172"/>
      <c r="J292" s="115"/>
      <c r="Q292" s="115"/>
      <c r="R292" s="115"/>
    </row>
    <row r="293" spans="1:18" ht="15.75" customHeight="1">
      <c r="A293" s="115"/>
      <c r="B293" s="115"/>
      <c r="C293" s="118"/>
      <c r="D293" s="118"/>
      <c r="E293" s="118"/>
      <c r="F293" s="115"/>
      <c r="G293" s="115"/>
      <c r="H293" s="170"/>
      <c r="I293" s="172"/>
      <c r="J293" s="115"/>
      <c r="Q293" s="115"/>
      <c r="R293" s="115"/>
    </row>
    <row r="294" spans="1:18" ht="15.75" customHeight="1">
      <c r="A294" s="115"/>
      <c r="B294" s="115"/>
      <c r="C294" s="118"/>
      <c r="D294" s="118"/>
      <c r="E294" s="118"/>
      <c r="F294" s="115"/>
      <c r="G294" s="115"/>
      <c r="H294" s="170"/>
      <c r="I294" s="172"/>
      <c r="J294" s="115"/>
      <c r="Q294" s="115"/>
      <c r="R294" s="115"/>
    </row>
    <row r="295" spans="1:18" ht="15.75" customHeight="1">
      <c r="A295" s="115"/>
      <c r="B295" s="115"/>
      <c r="C295" s="118"/>
      <c r="D295" s="118"/>
      <c r="E295" s="118"/>
      <c r="F295" s="115"/>
      <c r="G295" s="115"/>
      <c r="H295" s="170"/>
      <c r="I295" s="172"/>
      <c r="J295" s="115"/>
      <c r="Q295" s="115"/>
      <c r="R295" s="115"/>
    </row>
    <row r="296" spans="1:18" ht="15.75" customHeight="1">
      <c r="A296" s="115"/>
      <c r="B296" s="115"/>
      <c r="C296" s="118"/>
      <c r="D296" s="118"/>
      <c r="E296" s="118"/>
      <c r="F296" s="115"/>
      <c r="G296" s="115"/>
      <c r="H296" s="170"/>
      <c r="I296" s="172"/>
      <c r="J296" s="115"/>
      <c r="Q296" s="115"/>
      <c r="R296" s="115"/>
    </row>
    <row r="297" spans="1:18" ht="15.75" customHeight="1">
      <c r="A297" s="115"/>
      <c r="B297" s="115"/>
      <c r="C297" s="118"/>
      <c r="D297" s="118"/>
      <c r="E297" s="118"/>
      <c r="F297" s="115"/>
      <c r="G297" s="115"/>
      <c r="H297" s="170"/>
      <c r="I297" s="172"/>
      <c r="J297" s="115"/>
      <c r="Q297" s="115"/>
      <c r="R297" s="115"/>
    </row>
    <row r="298" spans="1:18" ht="15.75" customHeight="1">
      <c r="A298" s="115"/>
      <c r="B298" s="115"/>
      <c r="C298" s="118"/>
      <c r="D298" s="118"/>
      <c r="E298" s="118"/>
      <c r="F298" s="115"/>
      <c r="G298" s="115"/>
      <c r="H298" s="170"/>
      <c r="I298" s="172"/>
      <c r="J298" s="115"/>
      <c r="Q298" s="115"/>
      <c r="R298" s="115"/>
    </row>
    <row r="299" spans="1:18" ht="15.75" customHeight="1">
      <c r="A299" s="115"/>
      <c r="B299" s="115"/>
      <c r="C299" s="118"/>
      <c r="D299" s="118"/>
      <c r="E299" s="118"/>
      <c r="F299" s="115"/>
      <c r="G299" s="115"/>
      <c r="H299" s="170"/>
      <c r="I299" s="172"/>
      <c r="J299" s="115"/>
      <c r="Q299" s="115"/>
      <c r="R299" s="115"/>
    </row>
    <row r="300" spans="1:18" ht="15.75" customHeight="1">
      <c r="A300" s="115"/>
      <c r="B300" s="115"/>
      <c r="C300" s="118"/>
      <c r="D300" s="118"/>
      <c r="E300" s="118"/>
      <c r="F300" s="115"/>
      <c r="G300" s="115"/>
      <c r="H300" s="170"/>
      <c r="I300" s="172"/>
      <c r="J300" s="115"/>
      <c r="Q300" s="115"/>
      <c r="R300" s="115"/>
    </row>
    <row r="301" spans="1:18" ht="15.75" customHeight="1">
      <c r="A301" s="115"/>
      <c r="B301" s="115"/>
      <c r="C301" s="118"/>
      <c r="D301" s="118"/>
      <c r="E301" s="118"/>
      <c r="F301" s="115"/>
      <c r="G301" s="115"/>
      <c r="H301" s="170"/>
      <c r="I301" s="172"/>
      <c r="J301" s="115"/>
      <c r="Q301" s="115"/>
      <c r="R301" s="115"/>
    </row>
    <row r="302" spans="1:18" ht="15.75" customHeight="1">
      <c r="A302" s="115"/>
      <c r="B302" s="115"/>
      <c r="C302" s="118"/>
      <c r="D302" s="118"/>
      <c r="E302" s="118"/>
      <c r="F302" s="115"/>
      <c r="G302" s="115"/>
      <c r="H302" s="170"/>
      <c r="I302" s="172"/>
      <c r="J302" s="115"/>
      <c r="Q302" s="115"/>
      <c r="R302" s="115"/>
    </row>
    <row r="303" spans="1:18" ht="15.75" customHeight="1">
      <c r="A303" s="115"/>
      <c r="B303" s="115"/>
      <c r="C303" s="118"/>
      <c r="D303" s="118"/>
      <c r="E303" s="118"/>
      <c r="F303" s="115"/>
      <c r="G303" s="115"/>
      <c r="H303" s="170"/>
      <c r="I303" s="172"/>
      <c r="J303" s="115"/>
      <c r="Q303" s="115"/>
      <c r="R303" s="115"/>
    </row>
    <row r="304" spans="1:18" ht="15.75" customHeight="1">
      <c r="A304" s="115"/>
      <c r="B304" s="115"/>
      <c r="C304" s="118"/>
      <c r="D304" s="118"/>
      <c r="E304" s="118"/>
      <c r="F304" s="115"/>
      <c r="G304" s="115"/>
      <c r="H304" s="170"/>
      <c r="I304" s="172"/>
      <c r="J304" s="115"/>
      <c r="Q304" s="115"/>
      <c r="R304" s="115"/>
    </row>
    <row r="305" spans="1:18" ht="15.75" customHeight="1">
      <c r="A305" s="115"/>
      <c r="B305" s="115"/>
      <c r="C305" s="118"/>
      <c r="D305" s="118"/>
      <c r="E305" s="118"/>
      <c r="F305" s="115"/>
      <c r="G305" s="115"/>
      <c r="H305" s="170"/>
      <c r="I305" s="172"/>
      <c r="J305" s="115"/>
      <c r="Q305" s="115"/>
      <c r="R305" s="115"/>
    </row>
    <row r="306" spans="1:18" ht="15.75" customHeight="1">
      <c r="A306" s="115"/>
      <c r="B306" s="115"/>
      <c r="C306" s="118"/>
      <c r="D306" s="118"/>
      <c r="E306" s="118"/>
      <c r="F306" s="115"/>
      <c r="G306" s="115"/>
      <c r="H306" s="170"/>
      <c r="I306" s="172"/>
      <c r="J306" s="115"/>
      <c r="Q306" s="115"/>
      <c r="R306" s="115"/>
    </row>
    <row r="307" spans="1:18" ht="15.75" customHeight="1">
      <c r="A307" s="115"/>
      <c r="B307" s="115"/>
      <c r="C307" s="118"/>
      <c r="D307" s="118"/>
      <c r="E307" s="118"/>
      <c r="F307" s="115"/>
      <c r="G307" s="115"/>
      <c r="H307" s="170"/>
      <c r="I307" s="172"/>
      <c r="J307" s="115"/>
      <c r="Q307" s="115"/>
      <c r="R307" s="115"/>
    </row>
    <row r="308" spans="1:18" ht="15.75" customHeight="1">
      <c r="A308" s="115"/>
      <c r="B308" s="115"/>
      <c r="C308" s="118"/>
      <c r="D308" s="118"/>
      <c r="E308" s="118"/>
      <c r="F308" s="115"/>
      <c r="G308" s="115"/>
      <c r="H308" s="170"/>
      <c r="I308" s="172"/>
      <c r="J308" s="115"/>
      <c r="Q308" s="115"/>
      <c r="R308" s="115"/>
    </row>
    <row r="309" spans="1:18" ht="15.75" customHeight="1">
      <c r="A309" s="115"/>
      <c r="B309" s="115"/>
      <c r="C309" s="118"/>
      <c r="D309" s="118"/>
      <c r="E309" s="118"/>
      <c r="F309" s="115"/>
      <c r="G309" s="115"/>
      <c r="H309" s="170"/>
      <c r="I309" s="172"/>
      <c r="J309" s="115"/>
      <c r="Q309" s="115"/>
      <c r="R309" s="115"/>
    </row>
    <row r="310" spans="1:18" ht="15.75" customHeight="1">
      <c r="A310" s="115"/>
      <c r="B310" s="115"/>
      <c r="C310" s="118"/>
      <c r="D310" s="118"/>
      <c r="E310" s="118"/>
      <c r="F310" s="115"/>
      <c r="G310" s="115"/>
      <c r="H310" s="170"/>
      <c r="I310" s="172"/>
      <c r="J310" s="115"/>
      <c r="Q310" s="115"/>
      <c r="R310" s="115"/>
    </row>
    <row r="311" spans="1:18" ht="15.75" customHeight="1">
      <c r="A311" s="115"/>
      <c r="B311" s="115"/>
      <c r="C311" s="118"/>
      <c r="D311" s="118"/>
      <c r="E311" s="118"/>
      <c r="F311" s="115"/>
      <c r="G311" s="115"/>
      <c r="H311" s="170"/>
      <c r="I311" s="172"/>
      <c r="J311" s="115"/>
      <c r="Q311" s="115"/>
      <c r="R311" s="115"/>
    </row>
    <row r="312" spans="1:18" ht="15.75" customHeight="1">
      <c r="A312" s="115"/>
      <c r="B312" s="115"/>
      <c r="C312" s="118"/>
      <c r="D312" s="118"/>
      <c r="E312" s="118"/>
      <c r="F312" s="115"/>
      <c r="G312" s="115"/>
      <c r="H312" s="170"/>
      <c r="I312" s="172"/>
      <c r="J312" s="115"/>
      <c r="Q312" s="115"/>
      <c r="R312" s="115"/>
    </row>
    <row r="313" spans="1:18" ht="15.75" customHeight="1">
      <c r="A313" s="115"/>
      <c r="B313" s="115"/>
      <c r="C313" s="118"/>
      <c r="D313" s="118"/>
      <c r="E313" s="118"/>
      <c r="F313" s="115"/>
      <c r="G313" s="115"/>
      <c r="H313" s="170"/>
      <c r="I313" s="172"/>
      <c r="J313" s="115"/>
      <c r="Q313" s="115"/>
      <c r="R313" s="115"/>
    </row>
    <row r="314" spans="1:18" ht="15.75" customHeight="1">
      <c r="A314" s="115"/>
      <c r="B314" s="115"/>
      <c r="C314" s="118"/>
      <c r="D314" s="118"/>
      <c r="E314" s="118"/>
      <c r="F314" s="115"/>
      <c r="G314" s="115"/>
      <c r="H314" s="170"/>
      <c r="I314" s="172"/>
      <c r="J314" s="115"/>
      <c r="Q314" s="115"/>
      <c r="R314" s="115"/>
    </row>
    <row r="315" spans="1:18" ht="15.75" customHeight="1">
      <c r="A315" s="115"/>
      <c r="B315" s="115"/>
      <c r="C315" s="118"/>
      <c r="D315" s="118"/>
      <c r="E315" s="118"/>
      <c r="F315" s="115"/>
      <c r="G315" s="115"/>
      <c r="H315" s="170"/>
      <c r="I315" s="172"/>
      <c r="J315" s="115"/>
      <c r="Q315" s="115"/>
      <c r="R315" s="115"/>
    </row>
    <row r="316" spans="1:18" ht="15.75" customHeight="1">
      <c r="A316" s="115"/>
      <c r="B316" s="115"/>
      <c r="C316" s="118"/>
      <c r="D316" s="118"/>
      <c r="E316" s="118"/>
      <c r="F316" s="115"/>
      <c r="G316" s="115"/>
      <c r="H316" s="170"/>
      <c r="I316" s="172"/>
      <c r="J316" s="115"/>
      <c r="Q316" s="115"/>
      <c r="R316" s="115"/>
    </row>
    <row r="317" spans="1:18" ht="15.75" customHeight="1">
      <c r="A317" s="115"/>
      <c r="B317" s="115"/>
      <c r="C317" s="118"/>
      <c r="D317" s="118"/>
      <c r="E317" s="118"/>
      <c r="F317" s="115"/>
      <c r="G317" s="115"/>
      <c r="H317" s="170"/>
      <c r="I317" s="172"/>
      <c r="J317" s="115"/>
      <c r="Q317" s="115"/>
      <c r="R317" s="115"/>
    </row>
    <row r="318" spans="1:18" ht="15.75" customHeight="1">
      <c r="A318" s="115"/>
      <c r="B318" s="115"/>
      <c r="C318" s="118"/>
      <c r="D318" s="118"/>
      <c r="E318" s="118"/>
      <c r="F318" s="115"/>
      <c r="G318" s="115"/>
      <c r="H318" s="170"/>
      <c r="I318" s="172"/>
      <c r="J318" s="115"/>
      <c r="Q318" s="115"/>
      <c r="R318" s="115"/>
    </row>
    <row r="319" spans="1:18" ht="15.75" customHeight="1">
      <c r="A319" s="115"/>
      <c r="B319" s="115"/>
      <c r="C319" s="118"/>
      <c r="D319" s="118"/>
      <c r="E319" s="118"/>
      <c r="F319" s="115"/>
      <c r="G319" s="115"/>
      <c r="H319" s="170"/>
      <c r="I319" s="172"/>
      <c r="J319" s="115"/>
      <c r="Q319" s="115"/>
      <c r="R319" s="115"/>
    </row>
    <row r="320" spans="1:18" ht="15.75" customHeight="1">
      <c r="A320" s="115"/>
      <c r="B320" s="115"/>
      <c r="C320" s="118"/>
      <c r="D320" s="118"/>
      <c r="E320" s="118"/>
      <c r="F320" s="115"/>
      <c r="G320" s="115"/>
      <c r="H320" s="170"/>
      <c r="I320" s="172"/>
      <c r="J320" s="115"/>
      <c r="Q320" s="115"/>
      <c r="R320" s="115"/>
    </row>
    <row r="321" spans="1:18" ht="15.75" customHeight="1">
      <c r="A321" s="115"/>
      <c r="B321" s="115"/>
      <c r="C321" s="118"/>
      <c r="D321" s="118"/>
      <c r="E321" s="118"/>
      <c r="F321" s="115"/>
      <c r="G321" s="115"/>
      <c r="H321" s="170"/>
      <c r="I321" s="172"/>
      <c r="J321" s="115"/>
      <c r="Q321" s="115"/>
      <c r="R321" s="115"/>
    </row>
    <row r="322" spans="1:18" ht="15.75" customHeight="1">
      <c r="A322" s="115"/>
      <c r="B322" s="115"/>
      <c r="C322" s="118"/>
      <c r="D322" s="118"/>
      <c r="E322" s="118"/>
      <c r="F322" s="115"/>
      <c r="G322" s="115"/>
      <c r="H322" s="170"/>
      <c r="I322" s="172"/>
      <c r="J322" s="115"/>
      <c r="Q322" s="115"/>
      <c r="R322" s="115"/>
    </row>
    <row r="323" spans="1:18" ht="15.75" customHeight="1">
      <c r="A323" s="115"/>
      <c r="B323" s="115"/>
      <c r="C323" s="118"/>
      <c r="D323" s="118"/>
      <c r="E323" s="118"/>
      <c r="F323" s="115"/>
      <c r="G323" s="115"/>
      <c r="H323" s="170"/>
      <c r="I323" s="172"/>
      <c r="J323" s="115"/>
      <c r="Q323" s="115"/>
      <c r="R323" s="115"/>
    </row>
    <row r="324" spans="1:18" ht="15.75" customHeight="1">
      <c r="A324" s="115"/>
      <c r="B324" s="115"/>
      <c r="C324" s="118"/>
      <c r="D324" s="118"/>
      <c r="E324" s="118"/>
      <c r="F324" s="115"/>
      <c r="G324" s="115"/>
      <c r="H324" s="170"/>
      <c r="I324" s="172"/>
      <c r="J324" s="115"/>
      <c r="Q324" s="115"/>
      <c r="R324" s="115"/>
    </row>
    <row r="325" spans="1:18" ht="15.75" customHeight="1">
      <c r="A325" s="115"/>
      <c r="B325" s="115"/>
      <c r="C325" s="118"/>
      <c r="D325" s="118"/>
      <c r="E325" s="118"/>
      <c r="F325" s="115"/>
      <c r="G325" s="115"/>
      <c r="H325" s="170"/>
      <c r="I325" s="172"/>
      <c r="J325" s="115"/>
      <c r="Q325" s="115"/>
      <c r="R325" s="115"/>
    </row>
    <row r="326" spans="1:18" ht="15.75" customHeight="1">
      <c r="A326" s="115"/>
      <c r="B326" s="115"/>
      <c r="C326" s="118"/>
      <c r="D326" s="118"/>
      <c r="E326" s="118"/>
      <c r="F326" s="115"/>
      <c r="G326" s="115"/>
      <c r="H326" s="170"/>
      <c r="I326" s="172"/>
      <c r="J326" s="115"/>
      <c r="Q326" s="115"/>
      <c r="R326" s="115"/>
    </row>
    <row r="327" spans="1:18" ht="15.75" customHeight="1">
      <c r="A327" s="115"/>
      <c r="B327" s="115"/>
      <c r="C327" s="118"/>
      <c r="D327" s="118"/>
      <c r="E327" s="118"/>
      <c r="F327" s="115"/>
      <c r="G327" s="115"/>
      <c r="H327" s="170"/>
      <c r="I327" s="172"/>
      <c r="J327" s="115"/>
      <c r="Q327" s="115"/>
      <c r="R327" s="115"/>
    </row>
    <row r="328" spans="1:18" ht="15.75" customHeight="1">
      <c r="A328" s="115"/>
      <c r="B328" s="115"/>
      <c r="C328" s="118"/>
      <c r="D328" s="118"/>
      <c r="E328" s="118"/>
      <c r="F328" s="115"/>
      <c r="G328" s="115"/>
      <c r="H328" s="170"/>
      <c r="I328" s="172"/>
      <c r="J328" s="115"/>
      <c r="Q328" s="115"/>
      <c r="R328" s="115"/>
    </row>
    <row r="329" spans="1:18" ht="15.75" customHeight="1">
      <c r="A329" s="115"/>
      <c r="B329" s="115"/>
      <c r="C329" s="118"/>
      <c r="D329" s="118"/>
      <c r="E329" s="118"/>
      <c r="F329" s="115"/>
      <c r="G329" s="115"/>
      <c r="H329" s="170"/>
      <c r="I329" s="172"/>
      <c r="J329" s="115"/>
      <c r="Q329" s="115"/>
      <c r="R329" s="115"/>
    </row>
    <row r="330" spans="1:18" ht="15.75" customHeight="1">
      <c r="A330" s="115"/>
      <c r="B330" s="115"/>
      <c r="C330" s="118"/>
      <c r="D330" s="118"/>
      <c r="E330" s="118"/>
      <c r="F330" s="115"/>
      <c r="G330" s="115"/>
      <c r="H330" s="170"/>
      <c r="I330" s="172"/>
      <c r="J330" s="115"/>
      <c r="Q330" s="115"/>
      <c r="R330" s="115"/>
    </row>
    <row r="331" spans="1:18" ht="15.75" customHeight="1">
      <c r="A331" s="115"/>
      <c r="B331" s="115"/>
      <c r="C331" s="118"/>
      <c r="D331" s="118"/>
      <c r="E331" s="118"/>
      <c r="F331" s="115"/>
      <c r="G331" s="115"/>
      <c r="H331" s="170"/>
      <c r="I331" s="172"/>
      <c r="J331" s="115"/>
      <c r="Q331" s="115"/>
      <c r="R331" s="115"/>
    </row>
    <row r="332" spans="1:18" ht="15.75" customHeight="1">
      <c r="A332" s="115"/>
      <c r="B332" s="115"/>
      <c r="C332" s="118"/>
      <c r="D332" s="118"/>
      <c r="E332" s="118"/>
      <c r="F332" s="115"/>
      <c r="G332" s="115"/>
      <c r="H332" s="170"/>
      <c r="I332" s="172"/>
      <c r="J332" s="115"/>
      <c r="Q332" s="115"/>
      <c r="R332" s="115"/>
    </row>
    <row r="333" spans="1:18" ht="15.75" customHeight="1">
      <c r="A333" s="115"/>
      <c r="B333" s="115"/>
      <c r="C333" s="118"/>
      <c r="D333" s="118"/>
      <c r="E333" s="118"/>
      <c r="F333" s="115"/>
      <c r="G333" s="115"/>
      <c r="H333" s="170"/>
      <c r="I333" s="172"/>
      <c r="J333" s="115"/>
      <c r="Q333" s="115"/>
      <c r="R333" s="115"/>
    </row>
    <row r="334" spans="1:18" ht="15.75" customHeight="1">
      <c r="A334" s="115"/>
      <c r="B334" s="115"/>
      <c r="C334" s="118"/>
      <c r="D334" s="118"/>
      <c r="E334" s="118"/>
      <c r="F334" s="115"/>
      <c r="G334" s="115"/>
      <c r="H334" s="170"/>
      <c r="I334" s="172"/>
      <c r="J334" s="115"/>
      <c r="Q334" s="115"/>
      <c r="R334" s="115"/>
    </row>
    <row r="335" spans="1:18" ht="15.75" customHeight="1">
      <c r="A335" s="115"/>
      <c r="B335" s="115"/>
      <c r="C335" s="118"/>
      <c r="D335" s="118"/>
      <c r="E335" s="118"/>
      <c r="F335" s="115"/>
      <c r="G335" s="115"/>
      <c r="H335" s="170"/>
      <c r="I335" s="172"/>
      <c r="J335" s="115"/>
      <c r="Q335" s="115"/>
      <c r="R335" s="115"/>
    </row>
    <row r="336" spans="1:18" ht="15.75" customHeight="1">
      <c r="A336" s="115"/>
      <c r="B336" s="115"/>
      <c r="C336" s="118"/>
      <c r="D336" s="118"/>
      <c r="E336" s="118"/>
      <c r="F336" s="115"/>
      <c r="G336" s="115"/>
      <c r="H336" s="170"/>
      <c r="I336" s="172"/>
      <c r="J336" s="115"/>
      <c r="Q336" s="115"/>
      <c r="R336" s="115"/>
    </row>
    <row r="337" spans="1:18" ht="15.75" customHeight="1">
      <c r="A337" s="115"/>
      <c r="B337" s="115"/>
      <c r="C337" s="118"/>
      <c r="D337" s="118"/>
      <c r="E337" s="118"/>
      <c r="F337" s="115"/>
      <c r="G337" s="115"/>
      <c r="H337" s="170"/>
      <c r="I337" s="172"/>
      <c r="J337" s="115"/>
      <c r="Q337" s="115"/>
      <c r="R337" s="115"/>
    </row>
    <row r="338" spans="1:18" ht="15.75" customHeight="1">
      <c r="A338" s="115"/>
      <c r="B338" s="115"/>
      <c r="C338" s="118"/>
      <c r="D338" s="118"/>
      <c r="E338" s="118"/>
      <c r="F338" s="115"/>
      <c r="G338" s="115"/>
      <c r="H338" s="170"/>
      <c r="I338" s="172"/>
      <c r="J338" s="115"/>
      <c r="Q338" s="115"/>
      <c r="R338" s="115"/>
    </row>
    <row r="339" spans="1:18" ht="15.75" customHeight="1">
      <c r="A339" s="115"/>
      <c r="B339" s="115"/>
      <c r="C339" s="118"/>
      <c r="D339" s="118"/>
      <c r="E339" s="118"/>
      <c r="F339" s="115"/>
      <c r="G339" s="115"/>
      <c r="H339" s="170"/>
      <c r="I339" s="172"/>
      <c r="J339" s="115"/>
      <c r="Q339" s="115"/>
      <c r="R339" s="115"/>
    </row>
    <row r="340" spans="1:18" ht="15.75" customHeight="1">
      <c r="A340" s="115"/>
      <c r="B340" s="115"/>
      <c r="C340" s="118"/>
      <c r="D340" s="118"/>
      <c r="E340" s="118"/>
      <c r="F340" s="115"/>
      <c r="G340" s="115"/>
      <c r="H340" s="170"/>
      <c r="I340" s="172"/>
      <c r="J340" s="115"/>
      <c r="Q340" s="115"/>
      <c r="R340" s="115"/>
    </row>
    <row r="341" spans="1:18" ht="15.75" customHeight="1">
      <c r="A341" s="115"/>
      <c r="B341" s="115"/>
      <c r="C341" s="118"/>
      <c r="D341" s="118"/>
      <c r="E341" s="118"/>
      <c r="F341" s="115"/>
      <c r="G341" s="115"/>
      <c r="H341" s="170"/>
      <c r="I341" s="172"/>
      <c r="J341" s="115"/>
      <c r="Q341" s="115"/>
      <c r="R341" s="115"/>
    </row>
    <row r="342" spans="1:18" ht="15.75" customHeight="1">
      <c r="A342" s="115"/>
      <c r="B342" s="115"/>
      <c r="C342" s="118"/>
      <c r="D342" s="118"/>
      <c r="E342" s="118"/>
      <c r="F342" s="115"/>
      <c r="G342" s="115"/>
      <c r="H342" s="170"/>
      <c r="I342" s="172"/>
      <c r="J342" s="115"/>
      <c r="Q342" s="115"/>
      <c r="R342" s="115"/>
    </row>
    <row r="343" spans="1:18" ht="15.75" customHeight="1">
      <c r="A343" s="115"/>
      <c r="B343" s="115"/>
      <c r="C343" s="118"/>
      <c r="D343" s="118"/>
      <c r="E343" s="118"/>
      <c r="F343" s="115"/>
      <c r="G343" s="115"/>
      <c r="H343" s="170"/>
      <c r="I343" s="172"/>
      <c r="J343" s="115"/>
      <c r="Q343" s="115"/>
      <c r="R343" s="115"/>
    </row>
    <row r="344" spans="1:18" ht="15.75" customHeight="1">
      <c r="A344" s="115"/>
      <c r="B344" s="115"/>
      <c r="C344" s="118"/>
      <c r="D344" s="118"/>
      <c r="E344" s="118"/>
      <c r="F344" s="115"/>
      <c r="G344" s="115"/>
      <c r="H344" s="170"/>
      <c r="I344" s="172"/>
      <c r="J344" s="115"/>
      <c r="Q344" s="115"/>
      <c r="R344" s="115"/>
    </row>
    <row r="345" spans="1:18" ht="15.75" customHeight="1">
      <c r="A345" s="115"/>
      <c r="B345" s="115"/>
      <c r="C345" s="118"/>
      <c r="D345" s="118"/>
      <c r="E345" s="118"/>
      <c r="F345" s="115"/>
      <c r="G345" s="115"/>
      <c r="H345" s="170"/>
      <c r="I345" s="172"/>
      <c r="J345" s="115"/>
      <c r="Q345" s="115"/>
      <c r="R345" s="115"/>
    </row>
    <row r="346" spans="1:18" ht="15.75" customHeight="1">
      <c r="A346" s="115"/>
      <c r="B346" s="115"/>
      <c r="C346" s="118"/>
      <c r="D346" s="118"/>
      <c r="E346" s="118"/>
      <c r="F346" s="115"/>
      <c r="G346" s="115"/>
      <c r="H346" s="170"/>
      <c r="I346" s="172"/>
      <c r="J346" s="115"/>
      <c r="Q346" s="115"/>
      <c r="R346" s="115"/>
    </row>
    <row r="347" spans="1:18" ht="15.75" customHeight="1">
      <c r="A347" s="115"/>
      <c r="B347" s="115"/>
      <c r="C347" s="118"/>
      <c r="D347" s="118"/>
      <c r="E347" s="118"/>
      <c r="F347" s="115"/>
      <c r="G347" s="115"/>
      <c r="H347" s="170"/>
      <c r="I347" s="172"/>
      <c r="J347" s="115"/>
      <c r="Q347" s="115"/>
      <c r="R347" s="115"/>
    </row>
    <row r="348" spans="1:18" ht="15.75" customHeight="1">
      <c r="A348" s="115"/>
      <c r="B348" s="115"/>
      <c r="C348" s="118"/>
      <c r="D348" s="118"/>
      <c r="E348" s="118"/>
      <c r="F348" s="115"/>
      <c r="G348" s="115"/>
      <c r="H348" s="170"/>
      <c r="I348" s="172"/>
      <c r="J348" s="115"/>
      <c r="Q348" s="115"/>
      <c r="R348" s="115"/>
    </row>
    <row r="349" spans="1:18" ht="15.75" customHeight="1">
      <c r="A349" s="115"/>
      <c r="B349" s="115"/>
      <c r="C349" s="118"/>
      <c r="D349" s="118"/>
      <c r="E349" s="118"/>
      <c r="F349" s="115"/>
      <c r="G349" s="115"/>
      <c r="H349" s="170"/>
      <c r="I349" s="172"/>
      <c r="J349" s="115"/>
      <c r="Q349" s="115"/>
      <c r="R349" s="115"/>
    </row>
    <row r="350" spans="1:18" ht="15.75" customHeight="1">
      <c r="A350" s="115"/>
      <c r="B350" s="115"/>
      <c r="C350" s="118"/>
      <c r="D350" s="118"/>
      <c r="E350" s="118"/>
      <c r="F350" s="115"/>
      <c r="G350" s="115"/>
      <c r="H350" s="170"/>
      <c r="I350" s="172"/>
      <c r="J350" s="115"/>
      <c r="Q350" s="115"/>
      <c r="R350" s="115"/>
    </row>
    <row r="351" spans="1:18" ht="15.75" customHeight="1">
      <c r="A351" s="115"/>
      <c r="B351" s="115"/>
      <c r="C351" s="118"/>
      <c r="D351" s="118"/>
      <c r="E351" s="118"/>
      <c r="F351" s="115"/>
      <c r="G351" s="115"/>
      <c r="H351" s="170"/>
      <c r="I351" s="172"/>
      <c r="J351" s="115"/>
      <c r="Q351" s="115"/>
      <c r="R351" s="115"/>
    </row>
    <row r="352" spans="1:18" ht="15.75" customHeight="1">
      <c r="A352" s="115"/>
      <c r="B352" s="115"/>
      <c r="C352" s="118"/>
      <c r="D352" s="118"/>
      <c r="E352" s="118"/>
      <c r="F352" s="115"/>
      <c r="G352" s="115"/>
      <c r="H352" s="170"/>
      <c r="I352" s="172"/>
      <c r="J352" s="115"/>
      <c r="Q352" s="115"/>
      <c r="R352" s="115"/>
    </row>
    <row r="353" spans="1:18" ht="15.75" customHeight="1">
      <c r="A353" s="115"/>
      <c r="B353" s="115"/>
      <c r="C353" s="118"/>
      <c r="D353" s="118"/>
      <c r="E353" s="118"/>
      <c r="F353" s="115"/>
      <c r="G353" s="115"/>
      <c r="H353" s="170"/>
      <c r="I353" s="172"/>
      <c r="J353" s="115"/>
      <c r="Q353" s="115"/>
      <c r="R353" s="115"/>
    </row>
    <row r="354" spans="1:18" ht="15.75" customHeight="1">
      <c r="A354" s="115"/>
      <c r="B354" s="115"/>
      <c r="C354" s="118"/>
      <c r="D354" s="118"/>
      <c r="E354" s="118"/>
      <c r="F354" s="115"/>
      <c r="G354" s="115"/>
      <c r="H354" s="170"/>
      <c r="I354" s="172"/>
      <c r="J354" s="115"/>
      <c r="Q354" s="115"/>
      <c r="R354" s="115"/>
    </row>
    <row r="355" spans="1:18" ht="15.75" customHeight="1">
      <c r="A355" s="115"/>
      <c r="B355" s="115"/>
      <c r="C355" s="118"/>
      <c r="D355" s="118"/>
      <c r="E355" s="118"/>
      <c r="F355" s="115"/>
      <c r="G355" s="115"/>
      <c r="H355" s="170"/>
      <c r="I355" s="172"/>
      <c r="J355" s="115"/>
      <c r="Q355" s="115"/>
      <c r="R355" s="115"/>
    </row>
    <row r="356" spans="1:18" ht="15.75" customHeight="1">
      <c r="A356" s="115"/>
      <c r="B356" s="115"/>
      <c r="C356" s="118"/>
      <c r="D356" s="118"/>
      <c r="E356" s="118"/>
      <c r="F356" s="115"/>
      <c r="G356" s="115"/>
      <c r="H356" s="170"/>
      <c r="I356" s="172"/>
      <c r="J356" s="115"/>
      <c r="Q356" s="115"/>
      <c r="R356" s="115"/>
    </row>
    <row r="357" spans="1:18" ht="15.75" customHeight="1">
      <c r="A357" s="115"/>
      <c r="B357" s="115"/>
      <c r="C357" s="118"/>
      <c r="D357" s="118"/>
      <c r="E357" s="118"/>
      <c r="F357" s="115"/>
      <c r="G357" s="115"/>
      <c r="H357" s="170"/>
      <c r="I357" s="172"/>
      <c r="J357" s="115"/>
      <c r="Q357" s="115"/>
      <c r="R357" s="115"/>
    </row>
    <row r="358" spans="1:18" ht="15.75" customHeight="1">
      <c r="A358" s="115"/>
      <c r="B358" s="115"/>
      <c r="C358" s="118"/>
      <c r="D358" s="118"/>
      <c r="E358" s="118"/>
      <c r="F358" s="115"/>
      <c r="G358" s="115"/>
      <c r="H358" s="170"/>
      <c r="I358" s="172"/>
      <c r="J358" s="115"/>
      <c r="Q358" s="115"/>
      <c r="R358" s="115"/>
    </row>
    <row r="359" spans="1:18" ht="15.75" customHeight="1">
      <c r="A359" s="115"/>
      <c r="B359" s="115"/>
      <c r="C359" s="118"/>
      <c r="D359" s="118"/>
      <c r="E359" s="118"/>
      <c r="F359" s="115"/>
      <c r="G359" s="115"/>
      <c r="H359" s="170"/>
      <c r="I359" s="172"/>
      <c r="J359" s="115"/>
      <c r="Q359" s="115"/>
      <c r="R359" s="115"/>
    </row>
    <row r="360" spans="1:18" ht="15.75" customHeight="1">
      <c r="A360" s="115"/>
      <c r="B360" s="115"/>
      <c r="C360" s="118"/>
      <c r="D360" s="118"/>
      <c r="E360" s="118"/>
      <c r="F360" s="115"/>
      <c r="G360" s="115"/>
      <c r="H360" s="170"/>
      <c r="I360" s="172"/>
      <c r="J360" s="115"/>
      <c r="Q360" s="115"/>
      <c r="R360" s="115"/>
    </row>
    <row r="361" spans="1:18" ht="15.75" customHeight="1">
      <c r="A361" s="115"/>
      <c r="B361" s="115"/>
      <c r="C361" s="118"/>
      <c r="D361" s="118"/>
      <c r="E361" s="118"/>
      <c r="F361" s="115"/>
      <c r="G361" s="115"/>
      <c r="H361" s="170"/>
      <c r="I361" s="172"/>
      <c r="J361" s="115"/>
      <c r="Q361" s="115"/>
      <c r="R361" s="115"/>
    </row>
    <row r="362" spans="1:18" ht="15.75" customHeight="1">
      <c r="A362" s="115"/>
      <c r="B362" s="115"/>
      <c r="C362" s="118"/>
      <c r="D362" s="118"/>
      <c r="E362" s="118"/>
      <c r="F362" s="115"/>
      <c r="G362" s="115"/>
      <c r="H362" s="170"/>
      <c r="I362" s="172"/>
      <c r="J362" s="115"/>
      <c r="Q362" s="115"/>
      <c r="R362" s="115"/>
    </row>
    <row r="363" spans="1:18" ht="15.75" customHeight="1">
      <c r="A363" s="115"/>
      <c r="B363" s="115"/>
      <c r="C363" s="118"/>
      <c r="D363" s="118"/>
      <c r="E363" s="118"/>
      <c r="F363" s="115"/>
      <c r="G363" s="115"/>
      <c r="H363" s="170"/>
      <c r="I363" s="172"/>
      <c r="J363" s="115"/>
      <c r="Q363" s="115"/>
      <c r="R363" s="115"/>
    </row>
    <row r="364" spans="1:18" ht="15.75" customHeight="1">
      <c r="A364" s="115"/>
      <c r="B364" s="115"/>
      <c r="C364" s="118"/>
      <c r="D364" s="118"/>
      <c r="E364" s="118"/>
      <c r="F364" s="115"/>
      <c r="G364" s="115"/>
      <c r="H364" s="170"/>
      <c r="I364" s="172"/>
      <c r="J364" s="115"/>
      <c r="Q364" s="115"/>
      <c r="R364" s="115"/>
    </row>
    <row r="365" spans="1:18" ht="15.75" customHeight="1">
      <c r="A365" s="115"/>
      <c r="B365" s="115"/>
      <c r="C365" s="118"/>
      <c r="D365" s="118"/>
      <c r="E365" s="118"/>
      <c r="F365" s="115"/>
      <c r="G365" s="115"/>
      <c r="H365" s="170"/>
      <c r="I365" s="172"/>
      <c r="J365" s="115"/>
      <c r="Q365" s="115"/>
      <c r="R365" s="115"/>
    </row>
    <row r="366" spans="1:18" ht="15.75" customHeight="1">
      <c r="A366" s="115"/>
      <c r="B366" s="115"/>
      <c r="C366" s="118"/>
      <c r="D366" s="118"/>
      <c r="E366" s="118"/>
      <c r="F366" s="115"/>
      <c r="G366" s="115"/>
      <c r="H366" s="170"/>
      <c r="I366" s="172"/>
      <c r="J366" s="115"/>
      <c r="Q366" s="115"/>
      <c r="R366" s="115"/>
    </row>
    <row r="367" spans="1:18" ht="15.75" customHeight="1">
      <c r="A367" s="115"/>
      <c r="B367" s="115"/>
      <c r="C367" s="118"/>
      <c r="D367" s="118"/>
      <c r="E367" s="118"/>
      <c r="F367" s="115"/>
      <c r="G367" s="115"/>
      <c r="H367" s="170"/>
      <c r="I367" s="172"/>
      <c r="J367" s="115"/>
      <c r="Q367" s="115"/>
      <c r="R367" s="115"/>
    </row>
    <row r="368" spans="1:18" ht="15.75" customHeight="1">
      <c r="A368" s="115"/>
      <c r="B368" s="115"/>
      <c r="C368" s="118"/>
      <c r="D368" s="118"/>
      <c r="E368" s="118"/>
      <c r="F368" s="115"/>
      <c r="G368" s="115"/>
      <c r="H368" s="170"/>
      <c r="I368" s="172"/>
      <c r="J368" s="115"/>
      <c r="Q368" s="115"/>
      <c r="R368" s="115"/>
    </row>
    <row r="369" spans="1:18" ht="15.75" customHeight="1">
      <c r="A369" s="115"/>
      <c r="B369" s="115"/>
      <c r="C369" s="118"/>
      <c r="D369" s="118"/>
      <c r="E369" s="118"/>
      <c r="F369" s="115"/>
      <c r="G369" s="115"/>
      <c r="H369" s="170"/>
      <c r="I369" s="172"/>
      <c r="J369" s="115"/>
      <c r="Q369" s="115"/>
      <c r="R369" s="115"/>
    </row>
    <row r="370" spans="1:18" ht="15.75" customHeight="1">
      <c r="A370" s="115"/>
      <c r="B370" s="115"/>
      <c r="C370" s="118"/>
      <c r="D370" s="118"/>
      <c r="E370" s="118"/>
      <c r="F370" s="115"/>
      <c r="G370" s="115"/>
      <c r="H370" s="170"/>
      <c r="I370" s="172"/>
      <c r="J370" s="115"/>
      <c r="Q370" s="115"/>
      <c r="R370" s="115"/>
    </row>
    <row r="371" spans="1:18" ht="15.75" customHeight="1">
      <c r="A371" s="115"/>
      <c r="B371" s="115"/>
      <c r="C371" s="118"/>
      <c r="D371" s="118"/>
      <c r="E371" s="118"/>
      <c r="F371" s="115"/>
      <c r="G371" s="115"/>
      <c r="H371" s="170"/>
      <c r="I371" s="172"/>
      <c r="J371" s="115"/>
      <c r="Q371" s="115"/>
      <c r="R371" s="115"/>
    </row>
    <row r="372" spans="1:18" ht="15.75" customHeight="1">
      <c r="A372" s="115"/>
      <c r="B372" s="115"/>
      <c r="C372" s="118"/>
      <c r="D372" s="118"/>
      <c r="E372" s="118"/>
      <c r="F372" s="115"/>
      <c r="G372" s="115"/>
      <c r="H372" s="170"/>
      <c r="I372" s="172"/>
      <c r="J372" s="115"/>
      <c r="Q372" s="115"/>
      <c r="R372" s="115"/>
    </row>
    <row r="373" spans="1:18" ht="15.75" customHeight="1">
      <c r="A373" s="115"/>
      <c r="B373" s="115"/>
      <c r="C373" s="118"/>
      <c r="D373" s="118"/>
      <c r="E373" s="118"/>
      <c r="F373" s="115"/>
      <c r="G373" s="115"/>
      <c r="H373" s="170"/>
      <c r="I373" s="172"/>
      <c r="J373" s="115"/>
      <c r="Q373" s="115"/>
      <c r="R373" s="115"/>
    </row>
    <row r="374" spans="1:18" ht="15.75" customHeight="1">
      <c r="A374" s="115"/>
      <c r="B374" s="115"/>
      <c r="C374" s="118"/>
      <c r="D374" s="118"/>
      <c r="E374" s="118"/>
      <c r="F374" s="115"/>
      <c r="G374" s="115"/>
      <c r="H374" s="170"/>
      <c r="I374" s="172"/>
      <c r="J374" s="115"/>
      <c r="Q374" s="115"/>
      <c r="R374" s="115"/>
    </row>
    <row r="375" spans="1:18" ht="15.75" customHeight="1">
      <c r="A375" s="115"/>
      <c r="B375" s="115"/>
      <c r="C375" s="118"/>
      <c r="D375" s="118"/>
      <c r="E375" s="118"/>
      <c r="F375" s="115"/>
      <c r="G375" s="115"/>
      <c r="H375" s="170"/>
      <c r="I375" s="172"/>
      <c r="J375" s="115"/>
      <c r="Q375" s="115"/>
      <c r="R375" s="115"/>
    </row>
    <row r="376" spans="1:18" ht="15.75" customHeight="1">
      <c r="A376" s="115"/>
      <c r="B376" s="115"/>
      <c r="C376" s="118"/>
      <c r="D376" s="118"/>
      <c r="E376" s="118"/>
      <c r="F376" s="115"/>
      <c r="G376" s="115"/>
      <c r="H376" s="170"/>
      <c r="I376" s="172"/>
      <c r="J376" s="115"/>
      <c r="Q376" s="115"/>
      <c r="R376" s="115"/>
    </row>
    <row r="377" spans="1:18" ht="15.75" customHeight="1">
      <c r="A377" s="115"/>
      <c r="B377" s="115"/>
      <c r="C377" s="118"/>
      <c r="D377" s="118"/>
      <c r="E377" s="118"/>
      <c r="F377" s="115"/>
      <c r="G377" s="115"/>
      <c r="H377" s="170"/>
      <c r="I377" s="172"/>
      <c r="J377" s="115"/>
      <c r="Q377" s="115"/>
      <c r="R377" s="115"/>
    </row>
    <row r="378" spans="1:18" ht="15.75" customHeight="1">
      <c r="A378" s="115"/>
      <c r="B378" s="115"/>
      <c r="C378" s="118"/>
      <c r="D378" s="118"/>
      <c r="E378" s="118"/>
      <c r="F378" s="115"/>
      <c r="G378" s="115"/>
      <c r="H378" s="170"/>
      <c r="I378" s="172"/>
      <c r="J378" s="115"/>
      <c r="Q378" s="115"/>
      <c r="R378" s="115"/>
    </row>
    <row r="379" spans="1:18" ht="15.75" customHeight="1">
      <c r="A379" s="115"/>
      <c r="B379" s="115"/>
      <c r="C379" s="118"/>
      <c r="D379" s="118"/>
      <c r="E379" s="118"/>
      <c r="F379" s="115"/>
      <c r="G379" s="115"/>
      <c r="H379" s="170"/>
      <c r="I379" s="172"/>
      <c r="J379" s="115"/>
      <c r="Q379" s="115"/>
      <c r="R379" s="115"/>
    </row>
    <row r="380" spans="1:18" ht="15.75" customHeight="1">
      <c r="A380" s="115"/>
      <c r="B380" s="115"/>
      <c r="C380" s="118"/>
      <c r="D380" s="118"/>
      <c r="E380" s="118"/>
      <c r="F380" s="115"/>
      <c r="G380" s="115"/>
      <c r="H380" s="170"/>
      <c r="I380" s="172"/>
      <c r="J380" s="115"/>
      <c r="Q380" s="115"/>
      <c r="R380" s="115"/>
    </row>
    <row r="381" spans="1:18" ht="15.75" customHeight="1">
      <c r="A381" s="115"/>
      <c r="B381" s="115"/>
      <c r="C381" s="118"/>
      <c r="D381" s="118"/>
      <c r="E381" s="118"/>
      <c r="F381" s="115"/>
      <c r="G381" s="115"/>
      <c r="H381" s="170"/>
      <c r="I381" s="172"/>
      <c r="J381" s="115"/>
      <c r="Q381" s="115"/>
      <c r="R381" s="115"/>
    </row>
    <row r="382" spans="1:18" ht="15.75" customHeight="1">
      <c r="A382" s="115"/>
      <c r="B382" s="115"/>
      <c r="C382" s="118"/>
      <c r="D382" s="118"/>
      <c r="E382" s="118"/>
      <c r="F382" s="115"/>
      <c r="G382" s="115"/>
      <c r="H382" s="170"/>
      <c r="I382" s="172"/>
      <c r="J382" s="115"/>
      <c r="Q382" s="115"/>
      <c r="R382" s="115"/>
    </row>
    <row r="383" spans="1:18" ht="15.75" customHeight="1">
      <c r="A383" s="115"/>
      <c r="B383" s="115"/>
      <c r="C383" s="118"/>
      <c r="D383" s="118"/>
      <c r="E383" s="118"/>
      <c r="F383" s="115"/>
      <c r="G383" s="115"/>
      <c r="H383" s="170"/>
      <c r="I383" s="172"/>
      <c r="J383" s="115"/>
      <c r="Q383" s="115"/>
      <c r="R383" s="115"/>
    </row>
    <row r="384" spans="1:18" ht="15.75" customHeight="1">
      <c r="A384" s="115"/>
      <c r="B384" s="115"/>
      <c r="C384" s="118"/>
      <c r="D384" s="118"/>
      <c r="E384" s="118"/>
      <c r="F384" s="115"/>
      <c r="G384" s="115"/>
      <c r="H384" s="170"/>
      <c r="I384" s="172"/>
      <c r="J384" s="115"/>
      <c r="Q384" s="115"/>
      <c r="R384" s="115"/>
    </row>
    <row r="385" spans="1:18" ht="15.75" customHeight="1">
      <c r="A385" s="115"/>
      <c r="B385" s="115"/>
      <c r="C385" s="118"/>
      <c r="D385" s="118"/>
      <c r="E385" s="118"/>
      <c r="F385" s="115"/>
      <c r="G385" s="115"/>
      <c r="H385" s="170"/>
      <c r="I385" s="172"/>
      <c r="J385" s="115"/>
      <c r="Q385" s="115"/>
      <c r="R385" s="115"/>
    </row>
    <row r="386" spans="1:18" ht="15.75" customHeight="1">
      <c r="A386" s="115"/>
      <c r="B386" s="115"/>
      <c r="C386" s="118"/>
      <c r="D386" s="118"/>
      <c r="E386" s="118"/>
      <c r="F386" s="115"/>
      <c r="G386" s="115"/>
      <c r="H386" s="170"/>
      <c r="I386" s="172"/>
      <c r="J386" s="115"/>
      <c r="Q386" s="115"/>
      <c r="R386" s="115"/>
    </row>
    <row r="387" spans="1:18" ht="15.75" customHeight="1">
      <c r="A387" s="115"/>
      <c r="B387" s="115"/>
      <c r="C387" s="118"/>
      <c r="D387" s="118"/>
      <c r="E387" s="118"/>
      <c r="F387" s="115"/>
      <c r="G387" s="115"/>
      <c r="H387" s="170"/>
      <c r="I387" s="172"/>
      <c r="J387" s="115"/>
      <c r="Q387" s="115"/>
      <c r="R387" s="115"/>
    </row>
    <row r="388" spans="1:18" ht="15.75" customHeight="1">
      <c r="A388" s="115"/>
      <c r="B388" s="115"/>
      <c r="C388" s="118"/>
      <c r="D388" s="118"/>
      <c r="E388" s="118"/>
      <c r="F388" s="115"/>
      <c r="G388" s="115"/>
      <c r="H388" s="170"/>
      <c r="I388" s="172"/>
      <c r="J388" s="115"/>
      <c r="Q388" s="115"/>
      <c r="R388" s="115"/>
    </row>
    <row r="389" spans="1:18" ht="15.75" customHeight="1">
      <c r="A389" s="115"/>
      <c r="B389" s="115"/>
      <c r="C389" s="118"/>
      <c r="D389" s="118"/>
      <c r="E389" s="118"/>
      <c r="F389" s="115"/>
      <c r="G389" s="115"/>
      <c r="H389" s="170"/>
      <c r="I389" s="172"/>
      <c r="J389" s="115"/>
      <c r="Q389" s="115"/>
      <c r="R389" s="115"/>
    </row>
    <row r="390" spans="1:18" ht="15.75" customHeight="1">
      <c r="A390" s="115"/>
      <c r="B390" s="115"/>
      <c r="C390" s="118"/>
      <c r="D390" s="118"/>
      <c r="E390" s="118"/>
      <c r="F390" s="115"/>
      <c r="G390" s="115"/>
      <c r="H390" s="170"/>
      <c r="I390" s="172"/>
      <c r="J390" s="115"/>
      <c r="Q390" s="115"/>
      <c r="R390" s="115"/>
    </row>
    <row r="391" spans="1:18" ht="15.75" customHeight="1">
      <c r="A391" s="115"/>
      <c r="B391" s="115"/>
      <c r="C391" s="118"/>
      <c r="D391" s="118"/>
      <c r="E391" s="118"/>
      <c r="F391" s="115"/>
      <c r="G391" s="115"/>
      <c r="H391" s="170"/>
      <c r="I391" s="172"/>
      <c r="J391" s="115"/>
      <c r="Q391" s="115"/>
      <c r="R391" s="115"/>
    </row>
    <row r="392" spans="1:18" ht="15.75" customHeight="1">
      <c r="A392" s="115"/>
      <c r="B392" s="115"/>
      <c r="C392" s="118"/>
      <c r="D392" s="118"/>
      <c r="E392" s="118"/>
      <c r="F392" s="115"/>
      <c r="G392" s="115"/>
      <c r="H392" s="170"/>
      <c r="I392" s="172"/>
      <c r="J392" s="115"/>
      <c r="Q392" s="115"/>
      <c r="R392" s="115"/>
    </row>
    <row r="393" spans="1:18" ht="15.75" customHeight="1">
      <c r="A393" s="115"/>
      <c r="B393" s="115"/>
      <c r="C393" s="118"/>
      <c r="D393" s="118"/>
      <c r="E393" s="118"/>
      <c r="F393" s="115"/>
      <c r="G393" s="115"/>
      <c r="H393" s="170"/>
      <c r="I393" s="172"/>
      <c r="J393" s="115"/>
      <c r="Q393" s="115"/>
      <c r="R393" s="115"/>
    </row>
    <row r="394" spans="1:18" ht="15.75" customHeight="1">
      <c r="A394" s="115"/>
      <c r="B394" s="115"/>
      <c r="C394" s="118"/>
      <c r="D394" s="118"/>
      <c r="E394" s="118"/>
      <c r="F394" s="115"/>
      <c r="G394" s="115"/>
      <c r="H394" s="170"/>
      <c r="I394" s="172"/>
      <c r="J394" s="115"/>
      <c r="Q394" s="115"/>
      <c r="R394" s="115"/>
    </row>
    <row r="395" spans="1:18" ht="15.75" customHeight="1">
      <c r="A395" s="115"/>
      <c r="B395" s="115"/>
      <c r="C395" s="118"/>
      <c r="D395" s="118"/>
      <c r="E395" s="118"/>
      <c r="F395" s="115"/>
      <c r="G395" s="115"/>
      <c r="H395" s="170"/>
      <c r="I395" s="172"/>
      <c r="J395" s="115"/>
      <c r="Q395" s="115"/>
      <c r="R395" s="115"/>
    </row>
    <row r="396" spans="1:18" ht="15.75" customHeight="1">
      <c r="A396" s="115"/>
      <c r="B396" s="115"/>
      <c r="C396" s="118"/>
      <c r="D396" s="118"/>
      <c r="E396" s="118"/>
      <c r="F396" s="115"/>
      <c r="G396" s="115"/>
      <c r="H396" s="170"/>
      <c r="I396" s="172"/>
      <c r="J396" s="115"/>
      <c r="Q396" s="115"/>
      <c r="R396" s="115"/>
    </row>
    <row r="397" spans="1:18" ht="15.75" customHeight="1">
      <c r="A397" s="115"/>
      <c r="B397" s="115"/>
      <c r="C397" s="118"/>
      <c r="D397" s="118"/>
      <c r="E397" s="118"/>
      <c r="F397" s="115"/>
      <c r="G397" s="115"/>
      <c r="H397" s="170"/>
      <c r="I397" s="172"/>
      <c r="J397" s="115"/>
      <c r="Q397" s="115"/>
      <c r="R397" s="115"/>
    </row>
    <row r="398" spans="1:18" ht="15.75" customHeight="1">
      <c r="A398" s="115"/>
      <c r="B398" s="115"/>
      <c r="C398" s="118"/>
      <c r="D398" s="118"/>
      <c r="E398" s="118"/>
      <c r="F398" s="115"/>
      <c r="G398" s="115"/>
      <c r="H398" s="170"/>
      <c r="I398" s="172"/>
      <c r="J398" s="115"/>
      <c r="Q398" s="115"/>
      <c r="R398" s="115"/>
    </row>
    <row r="399" spans="1:18" ht="15.75" customHeight="1">
      <c r="A399" s="115"/>
      <c r="B399" s="115"/>
      <c r="C399" s="118"/>
      <c r="D399" s="118"/>
      <c r="E399" s="118"/>
      <c r="F399" s="115"/>
      <c r="G399" s="115"/>
      <c r="H399" s="170"/>
      <c r="I399" s="172"/>
      <c r="J399" s="115"/>
      <c r="Q399" s="115"/>
      <c r="R399" s="115"/>
    </row>
    <row r="400" spans="1:18" ht="15.75" customHeight="1">
      <c r="A400" s="115"/>
      <c r="B400" s="115"/>
      <c r="C400" s="118"/>
      <c r="D400" s="118"/>
      <c r="E400" s="118"/>
      <c r="F400" s="115"/>
      <c r="G400" s="115"/>
      <c r="H400" s="170"/>
      <c r="I400" s="172"/>
      <c r="J400" s="115"/>
      <c r="Q400" s="115"/>
      <c r="R400" s="115"/>
    </row>
    <row r="401" spans="1:18" ht="15.75" customHeight="1">
      <c r="A401" s="115"/>
      <c r="B401" s="115"/>
      <c r="C401" s="118"/>
      <c r="D401" s="118"/>
      <c r="E401" s="118"/>
      <c r="F401" s="115"/>
      <c r="G401" s="115"/>
      <c r="H401" s="170"/>
      <c r="I401" s="172"/>
      <c r="J401" s="115"/>
      <c r="Q401" s="115"/>
      <c r="R401" s="115"/>
    </row>
    <row r="402" spans="1:18" ht="15.75" customHeight="1">
      <c r="A402" s="115"/>
      <c r="B402" s="115"/>
      <c r="C402" s="118"/>
      <c r="D402" s="118"/>
      <c r="E402" s="118"/>
      <c r="F402" s="115"/>
      <c r="G402" s="115"/>
      <c r="H402" s="170"/>
      <c r="I402" s="172"/>
      <c r="J402" s="115"/>
      <c r="Q402" s="115"/>
      <c r="R402" s="115"/>
    </row>
    <row r="403" spans="1:18" ht="15.75" customHeight="1">
      <c r="A403" s="115"/>
      <c r="B403" s="115"/>
      <c r="C403" s="118"/>
      <c r="D403" s="118"/>
      <c r="E403" s="118"/>
      <c r="F403" s="115"/>
      <c r="G403" s="115"/>
      <c r="H403" s="170"/>
      <c r="I403" s="172"/>
      <c r="J403" s="115"/>
      <c r="Q403" s="115"/>
      <c r="R403" s="115"/>
    </row>
    <row r="404" spans="1:18" ht="15.75" customHeight="1">
      <c r="A404" s="115"/>
      <c r="B404" s="115"/>
      <c r="C404" s="118"/>
      <c r="D404" s="118"/>
      <c r="E404" s="118"/>
      <c r="F404" s="115"/>
      <c r="G404" s="115"/>
      <c r="H404" s="170"/>
      <c r="I404" s="172"/>
      <c r="J404" s="115"/>
      <c r="Q404" s="115"/>
      <c r="R404" s="115"/>
    </row>
    <row r="405" spans="1:18" ht="15.75" customHeight="1">
      <c r="A405" s="115"/>
      <c r="B405" s="115"/>
      <c r="C405" s="118"/>
      <c r="D405" s="118"/>
      <c r="E405" s="118"/>
      <c r="F405" s="115"/>
      <c r="G405" s="115"/>
      <c r="H405" s="170"/>
      <c r="I405" s="172"/>
      <c r="J405" s="115"/>
      <c r="Q405" s="115"/>
      <c r="R405" s="115"/>
    </row>
    <row r="406" spans="1:18" ht="15.75" customHeight="1">
      <c r="A406" s="115"/>
      <c r="B406" s="115"/>
      <c r="C406" s="118"/>
      <c r="D406" s="118"/>
      <c r="E406" s="118"/>
      <c r="F406" s="115"/>
      <c r="G406" s="115"/>
      <c r="H406" s="170"/>
      <c r="I406" s="172"/>
      <c r="J406" s="115"/>
      <c r="Q406" s="115"/>
      <c r="R406" s="115"/>
    </row>
    <row r="407" spans="1:18" ht="15.75" customHeight="1">
      <c r="A407" s="115"/>
      <c r="B407" s="115"/>
      <c r="C407" s="118"/>
      <c r="D407" s="118"/>
      <c r="E407" s="118"/>
      <c r="F407" s="115"/>
      <c r="G407" s="115"/>
      <c r="H407" s="170"/>
      <c r="I407" s="172"/>
      <c r="J407" s="115"/>
      <c r="Q407" s="115"/>
      <c r="R407" s="115"/>
    </row>
    <row r="408" spans="1:18" ht="15.75" customHeight="1">
      <c r="A408" s="115"/>
      <c r="B408" s="115"/>
      <c r="C408" s="118"/>
      <c r="D408" s="118"/>
      <c r="E408" s="118"/>
      <c r="F408" s="115"/>
      <c r="G408" s="115"/>
      <c r="H408" s="170"/>
      <c r="I408" s="172"/>
      <c r="J408" s="115"/>
      <c r="Q408" s="115"/>
      <c r="R408" s="115"/>
    </row>
    <row r="409" spans="1:18" ht="15.75" customHeight="1">
      <c r="A409" s="115"/>
      <c r="B409" s="115"/>
      <c r="C409" s="118"/>
      <c r="D409" s="118"/>
      <c r="E409" s="118"/>
      <c r="F409" s="115"/>
      <c r="G409" s="115"/>
      <c r="H409" s="170"/>
      <c r="I409" s="172"/>
      <c r="J409" s="115"/>
      <c r="Q409" s="115"/>
      <c r="R409" s="115"/>
    </row>
    <row r="410" spans="1:18" ht="15.75" customHeight="1">
      <c r="A410" s="115"/>
      <c r="B410" s="115"/>
      <c r="C410" s="118"/>
      <c r="D410" s="118"/>
      <c r="E410" s="118"/>
      <c r="F410" s="115"/>
      <c r="G410" s="115"/>
      <c r="H410" s="170"/>
      <c r="I410" s="172"/>
      <c r="J410" s="115"/>
      <c r="Q410" s="115"/>
      <c r="R410" s="115"/>
    </row>
    <row r="411" spans="1:18" ht="15.75" customHeight="1">
      <c r="A411" s="115"/>
      <c r="B411" s="115"/>
      <c r="C411" s="118"/>
      <c r="D411" s="118"/>
      <c r="E411" s="118"/>
      <c r="F411" s="115"/>
      <c r="G411" s="115"/>
      <c r="H411" s="170"/>
      <c r="I411" s="172"/>
      <c r="J411" s="115"/>
      <c r="Q411" s="115"/>
      <c r="R411" s="115"/>
    </row>
    <row r="412" spans="1:18" ht="15.75" customHeight="1">
      <c r="A412" s="115"/>
      <c r="B412" s="115"/>
      <c r="C412" s="118"/>
      <c r="D412" s="118"/>
      <c r="E412" s="118"/>
      <c r="F412" s="115"/>
      <c r="G412" s="115"/>
      <c r="H412" s="170"/>
      <c r="I412" s="172"/>
      <c r="J412" s="115"/>
      <c r="Q412" s="115"/>
      <c r="R412" s="115"/>
    </row>
    <row r="413" spans="1:18" ht="15.75" customHeight="1">
      <c r="A413" s="115"/>
      <c r="B413" s="115"/>
      <c r="C413" s="118"/>
      <c r="D413" s="118"/>
      <c r="E413" s="118"/>
      <c r="F413" s="115"/>
      <c r="G413" s="115"/>
      <c r="H413" s="170"/>
      <c r="I413" s="172"/>
      <c r="J413" s="115"/>
      <c r="Q413" s="115"/>
      <c r="R413" s="115"/>
    </row>
    <row r="414" spans="1:18" ht="15.75" customHeight="1">
      <c r="A414" s="115"/>
      <c r="B414" s="115"/>
      <c r="C414" s="118"/>
      <c r="D414" s="118"/>
      <c r="E414" s="118"/>
      <c r="F414" s="115"/>
      <c r="G414" s="115"/>
      <c r="H414" s="170"/>
      <c r="I414" s="172"/>
      <c r="J414" s="115"/>
      <c r="Q414" s="115"/>
      <c r="R414" s="115"/>
    </row>
    <row r="415" spans="1:18" ht="15.75" customHeight="1">
      <c r="A415" s="115"/>
      <c r="B415" s="115"/>
      <c r="C415" s="118"/>
      <c r="D415" s="118"/>
      <c r="E415" s="118"/>
      <c r="F415" s="115"/>
      <c r="G415" s="115"/>
      <c r="H415" s="170"/>
      <c r="I415" s="172"/>
      <c r="J415" s="115"/>
      <c r="Q415" s="115"/>
      <c r="R415" s="115"/>
    </row>
    <row r="416" spans="1:18" ht="15.75" customHeight="1">
      <c r="A416" s="115"/>
      <c r="B416" s="115"/>
      <c r="C416" s="118"/>
      <c r="D416" s="118"/>
      <c r="E416" s="118"/>
      <c r="F416" s="115"/>
      <c r="G416" s="115"/>
      <c r="H416" s="170"/>
      <c r="I416" s="172"/>
      <c r="J416" s="115"/>
      <c r="Q416" s="115"/>
      <c r="R416" s="115"/>
    </row>
    <row r="417" spans="1:18" ht="15.75" customHeight="1">
      <c r="A417" s="115"/>
      <c r="B417" s="115"/>
      <c r="C417" s="118"/>
      <c r="D417" s="118"/>
      <c r="E417" s="118"/>
      <c r="F417" s="115"/>
      <c r="G417" s="115"/>
      <c r="H417" s="170"/>
      <c r="I417" s="172"/>
      <c r="J417" s="115"/>
      <c r="Q417" s="115"/>
      <c r="R417" s="115"/>
    </row>
    <row r="418" spans="1:18" ht="15.75" customHeight="1">
      <c r="A418" s="115"/>
      <c r="B418" s="115"/>
      <c r="C418" s="118"/>
      <c r="D418" s="118"/>
      <c r="E418" s="118"/>
      <c r="F418" s="115"/>
      <c r="G418" s="115"/>
      <c r="H418" s="170"/>
      <c r="I418" s="172"/>
      <c r="J418" s="115"/>
      <c r="Q418" s="115"/>
      <c r="R418" s="115"/>
    </row>
    <row r="419" spans="1:18" ht="15.75" customHeight="1">
      <c r="A419" s="115"/>
      <c r="B419" s="115"/>
      <c r="C419" s="118"/>
      <c r="D419" s="118"/>
      <c r="E419" s="118"/>
      <c r="F419" s="115"/>
      <c r="G419" s="115"/>
      <c r="H419" s="170"/>
      <c r="I419" s="172"/>
      <c r="J419" s="115"/>
      <c r="Q419" s="115"/>
      <c r="R419" s="115"/>
    </row>
    <row r="420" spans="1:18" ht="15.75" customHeight="1">
      <c r="A420" s="115"/>
      <c r="B420" s="115"/>
      <c r="C420" s="118"/>
      <c r="D420" s="118"/>
      <c r="E420" s="118"/>
      <c r="F420" s="115"/>
      <c r="G420" s="115"/>
      <c r="H420" s="170"/>
      <c r="I420" s="172"/>
      <c r="J420" s="115"/>
      <c r="Q420" s="115"/>
      <c r="R420" s="115"/>
    </row>
    <row r="421" spans="1:18" ht="15.75" customHeight="1">
      <c r="A421" s="115"/>
      <c r="B421" s="115"/>
      <c r="C421" s="118"/>
      <c r="D421" s="118"/>
      <c r="E421" s="118"/>
      <c r="F421" s="115"/>
      <c r="G421" s="115"/>
      <c r="H421" s="170"/>
      <c r="I421" s="172"/>
      <c r="J421" s="115"/>
      <c r="Q421" s="115"/>
      <c r="R421" s="115"/>
    </row>
    <row r="422" spans="1:18" ht="15.75" customHeight="1">
      <c r="A422" s="115"/>
      <c r="B422" s="115"/>
      <c r="C422" s="118"/>
      <c r="D422" s="118"/>
      <c r="E422" s="118"/>
      <c r="F422" s="115"/>
      <c r="G422" s="115"/>
      <c r="H422" s="170"/>
      <c r="I422" s="172"/>
      <c r="J422" s="115"/>
      <c r="Q422" s="115"/>
      <c r="R422" s="115"/>
    </row>
    <row r="423" spans="1:18" ht="15.75" customHeight="1">
      <c r="A423" s="115"/>
      <c r="B423" s="115"/>
      <c r="C423" s="118"/>
      <c r="D423" s="118"/>
      <c r="E423" s="118"/>
      <c r="F423" s="115"/>
      <c r="G423" s="115"/>
      <c r="H423" s="170"/>
      <c r="I423" s="172"/>
      <c r="J423" s="115"/>
      <c r="Q423" s="115"/>
      <c r="R423" s="115"/>
    </row>
    <row r="424" spans="1:18" ht="15.75" customHeight="1">
      <c r="A424" s="115"/>
      <c r="B424" s="115"/>
      <c r="C424" s="118"/>
      <c r="D424" s="118"/>
      <c r="E424" s="118"/>
      <c r="F424" s="115"/>
      <c r="G424" s="115"/>
      <c r="H424" s="170"/>
      <c r="I424" s="172"/>
      <c r="J424" s="115"/>
      <c r="Q424" s="115"/>
      <c r="R424" s="115"/>
    </row>
    <row r="425" spans="1:18" ht="15.75" customHeight="1">
      <c r="A425" s="115"/>
      <c r="B425" s="115"/>
      <c r="C425" s="118"/>
      <c r="D425" s="118"/>
      <c r="E425" s="118"/>
      <c r="F425" s="115"/>
      <c r="G425" s="115"/>
      <c r="H425" s="170"/>
      <c r="I425" s="172"/>
      <c r="J425" s="115"/>
      <c r="Q425" s="115"/>
      <c r="R425" s="115"/>
    </row>
    <row r="426" spans="1:18" ht="15.75" customHeight="1">
      <c r="A426" s="115"/>
      <c r="B426" s="115"/>
      <c r="C426" s="118"/>
      <c r="D426" s="118"/>
      <c r="E426" s="118"/>
      <c r="F426" s="115"/>
      <c r="G426" s="115"/>
      <c r="H426" s="170"/>
      <c r="I426" s="172"/>
      <c r="J426" s="115"/>
      <c r="Q426" s="115"/>
      <c r="R426" s="115"/>
    </row>
    <row r="427" spans="1:18" ht="15.75" customHeight="1">
      <c r="A427" s="115"/>
      <c r="B427" s="115"/>
      <c r="C427" s="118"/>
      <c r="D427" s="118"/>
      <c r="E427" s="118"/>
      <c r="F427" s="115"/>
      <c r="G427" s="115"/>
      <c r="H427" s="170"/>
      <c r="I427" s="172"/>
      <c r="J427" s="115"/>
      <c r="Q427" s="115"/>
      <c r="R427" s="115"/>
    </row>
    <row r="428" spans="1:18" ht="15.75" customHeight="1">
      <c r="A428" s="115"/>
      <c r="B428" s="115"/>
      <c r="C428" s="118"/>
      <c r="D428" s="118"/>
      <c r="E428" s="118"/>
      <c r="F428" s="115"/>
      <c r="G428" s="115"/>
      <c r="H428" s="170"/>
      <c r="I428" s="172"/>
      <c r="J428" s="115"/>
      <c r="Q428" s="115"/>
      <c r="R428" s="115"/>
    </row>
    <row r="429" spans="1:18" ht="15.75" customHeight="1">
      <c r="A429" s="115"/>
      <c r="B429" s="115"/>
      <c r="C429" s="118"/>
      <c r="D429" s="118"/>
      <c r="E429" s="118"/>
      <c r="F429" s="115"/>
      <c r="G429" s="115"/>
      <c r="H429" s="170"/>
      <c r="I429" s="172"/>
      <c r="J429" s="115"/>
      <c r="Q429" s="115"/>
      <c r="R429" s="115"/>
    </row>
    <row r="430" spans="1:18" ht="15.75" customHeight="1">
      <c r="A430" s="115"/>
      <c r="B430" s="115"/>
      <c r="C430" s="118"/>
      <c r="D430" s="118"/>
      <c r="E430" s="118"/>
      <c r="F430" s="115"/>
      <c r="G430" s="115"/>
      <c r="H430" s="170"/>
      <c r="I430" s="172"/>
      <c r="J430" s="115"/>
      <c r="Q430" s="115"/>
      <c r="R430" s="115"/>
    </row>
    <row r="431" spans="1:18" ht="15.75" customHeight="1">
      <c r="A431" s="115"/>
      <c r="B431" s="115"/>
      <c r="C431" s="118"/>
      <c r="D431" s="118"/>
      <c r="E431" s="118"/>
      <c r="F431" s="115"/>
      <c r="G431" s="115"/>
      <c r="H431" s="170"/>
      <c r="I431" s="172"/>
      <c r="J431" s="115"/>
      <c r="Q431" s="115"/>
      <c r="R431" s="115"/>
    </row>
    <row r="432" spans="1:18" ht="15.75" customHeight="1">
      <c r="A432" s="115"/>
      <c r="B432" s="115"/>
      <c r="C432" s="118"/>
      <c r="D432" s="118"/>
      <c r="E432" s="118"/>
      <c r="F432" s="115"/>
      <c r="G432" s="115"/>
      <c r="H432" s="170"/>
      <c r="I432" s="172"/>
      <c r="J432" s="115"/>
      <c r="Q432" s="115"/>
      <c r="R432" s="115"/>
    </row>
    <row r="433" spans="1:18" ht="15.75" customHeight="1">
      <c r="A433" s="115"/>
      <c r="B433" s="115"/>
      <c r="C433" s="118"/>
      <c r="D433" s="118"/>
      <c r="E433" s="118"/>
      <c r="F433" s="115"/>
      <c r="G433" s="115"/>
      <c r="H433" s="170"/>
      <c r="I433" s="172"/>
      <c r="J433" s="115"/>
      <c r="Q433" s="115"/>
      <c r="R433" s="115"/>
    </row>
    <row r="434" spans="1:18" ht="15.75" customHeight="1">
      <c r="A434" s="115"/>
      <c r="B434" s="115"/>
      <c r="C434" s="118"/>
      <c r="D434" s="118"/>
      <c r="E434" s="118"/>
      <c r="F434" s="115"/>
      <c r="G434" s="115"/>
      <c r="H434" s="170"/>
      <c r="I434" s="172"/>
      <c r="J434" s="115"/>
      <c r="Q434" s="115"/>
      <c r="R434" s="115"/>
    </row>
    <row r="435" spans="1:18" ht="15.75" customHeight="1">
      <c r="A435" s="115"/>
      <c r="B435" s="115"/>
      <c r="C435" s="118"/>
      <c r="D435" s="118"/>
      <c r="E435" s="118"/>
      <c r="F435" s="115"/>
      <c r="G435" s="115"/>
      <c r="H435" s="170"/>
      <c r="I435" s="172"/>
      <c r="J435" s="115"/>
      <c r="Q435" s="115"/>
      <c r="R435" s="115"/>
    </row>
    <row r="436" spans="1:18" ht="15.75" customHeight="1">
      <c r="A436" s="115"/>
      <c r="B436" s="115"/>
      <c r="C436" s="118"/>
      <c r="D436" s="118"/>
      <c r="E436" s="118"/>
      <c r="F436" s="115"/>
      <c r="G436" s="115"/>
      <c r="H436" s="170"/>
      <c r="I436" s="172"/>
      <c r="J436" s="115"/>
      <c r="Q436" s="115"/>
      <c r="R436" s="115"/>
    </row>
    <row r="437" spans="1:18" ht="15.75" customHeight="1">
      <c r="A437" s="115"/>
      <c r="B437" s="115"/>
      <c r="C437" s="118"/>
      <c r="D437" s="118"/>
      <c r="E437" s="118"/>
      <c r="F437" s="115"/>
      <c r="G437" s="115"/>
      <c r="H437" s="170"/>
      <c r="I437" s="172"/>
      <c r="J437" s="115"/>
      <c r="Q437" s="115"/>
      <c r="R437" s="115"/>
    </row>
    <row r="438" spans="1:18" ht="15.75" customHeight="1">
      <c r="A438" s="115"/>
      <c r="B438" s="115"/>
      <c r="C438" s="118"/>
      <c r="D438" s="118"/>
      <c r="E438" s="118"/>
      <c r="F438" s="115"/>
      <c r="G438" s="115"/>
      <c r="H438" s="170"/>
      <c r="I438" s="172"/>
      <c r="J438" s="115"/>
      <c r="Q438" s="115"/>
      <c r="R438" s="115"/>
    </row>
    <row r="439" spans="1:18" ht="15.75" customHeight="1">
      <c r="A439" s="115"/>
      <c r="B439" s="115"/>
      <c r="C439" s="118"/>
      <c r="D439" s="118"/>
      <c r="E439" s="118"/>
      <c r="F439" s="115"/>
      <c r="G439" s="115"/>
      <c r="H439" s="170"/>
      <c r="I439" s="172"/>
      <c r="J439" s="115"/>
      <c r="Q439" s="115"/>
      <c r="R439" s="115"/>
    </row>
    <row r="440" spans="1:18" ht="15.75" customHeight="1">
      <c r="A440" s="115"/>
      <c r="B440" s="115"/>
      <c r="C440" s="118"/>
      <c r="D440" s="118"/>
      <c r="E440" s="118"/>
      <c r="F440" s="115"/>
      <c r="G440" s="115"/>
      <c r="H440" s="170"/>
      <c r="I440" s="172"/>
      <c r="J440" s="115"/>
      <c r="Q440" s="115"/>
      <c r="R440" s="115"/>
    </row>
    <row r="441" spans="1:18" ht="15.75" customHeight="1">
      <c r="A441" s="115"/>
      <c r="B441" s="115"/>
      <c r="C441" s="118"/>
      <c r="D441" s="118"/>
      <c r="E441" s="118"/>
      <c r="F441" s="115"/>
      <c r="G441" s="115"/>
      <c r="H441" s="170"/>
      <c r="I441" s="172"/>
      <c r="J441" s="115"/>
      <c r="Q441" s="115"/>
      <c r="R441" s="115"/>
    </row>
    <row r="442" spans="1:18" ht="15.75" customHeight="1">
      <c r="A442" s="115"/>
      <c r="B442" s="115"/>
      <c r="C442" s="118"/>
      <c r="D442" s="118"/>
      <c r="E442" s="118"/>
      <c r="F442" s="115"/>
      <c r="G442" s="115"/>
      <c r="H442" s="170"/>
      <c r="I442" s="172"/>
      <c r="J442" s="115"/>
      <c r="Q442" s="115"/>
      <c r="R442" s="115"/>
    </row>
    <row r="443" spans="1:18" ht="15.75" customHeight="1">
      <c r="A443" s="115"/>
      <c r="B443" s="115"/>
      <c r="C443" s="118"/>
      <c r="D443" s="118"/>
      <c r="E443" s="118"/>
      <c r="F443" s="115"/>
      <c r="G443" s="115"/>
      <c r="H443" s="170"/>
      <c r="I443" s="172"/>
      <c r="J443" s="115"/>
      <c r="Q443" s="115"/>
      <c r="R443" s="115"/>
    </row>
    <row r="444" spans="1:18" ht="15.75" customHeight="1">
      <c r="A444" s="115"/>
      <c r="B444" s="115"/>
      <c r="C444" s="118"/>
      <c r="D444" s="118"/>
      <c r="E444" s="118"/>
      <c r="F444" s="115"/>
      <c r="G444" s="115"/>
      <c r="H444" s="170"/>
      <c r="I444" s="172"/>
      <c r="J444" s="115"/>
      <c r="Q444" s="115"/>
      <c r="R444" s="115"/>
    </row>
    <row r="445" spans="1:18" ht="15.75" customHeight="1">
      <c r="A445" s="115"/>
      <c r="B445" s="115"/>
      <c r="C445" s="118"/>
      <c r="D445" s="118"/>
      <c r="E445" s="118"/>
      <c r="F445" s="115"/>
      <c r="G445" s="115"/>
      <c r="H445" s="170"/>
      <c r="I445" s="172"/>
      <c r="J445" s="115"/>
      <c r="Q445" s="115"/>
      <c r="R445" s="115"/>
    </row>
    <row r="446" spans="1:18" ht="15.75" customHeight="1">
      <c r="A446" s="115"/>
      <c r="B446" s="115"/>
      <c r="C446" s="118"/>
      <c r="D446" s="118"/>
      <c r="E446" s="118"/>
      <c r="F446" s="115"/>
      <c r="G446" s="115"/>
      <c r="H446" s="170"/>
      <c r="I446" s="172"/>
      <c r="J446" s="115"/>
      <c r="Q446" s="115"/>
      <c r="R446" s="115"/>
    </row>
    <row r="447" spans="1:18" ht="15.75" customHeight="1">
      <c r="A447" s="115"/>
      <c r="B447" s="115"/>
      <c r="C447" s="118"/>
      <c r="D447" s="118"/>
      <c r="E447" s="118"/>
      <c r="F447" s="115"/>
      <c r="G447" s="115"/>
      <c r="H447" s="170"/>
      <c r="I447" s="172"/>
      <c r="J447" s="115"/>
      <c r="Q447" s="115"/>
      <c r="R447" s="115"/>
    </row>
    <row r="448" spans="1:18" ht="15.75" customHeight="1">
      <c r="A448" s="115"/>
      <c r="B448" s="115"/>
      <c r="C448" s="118"/>
      <c r="D448" s="118"/>
      <c r="E448" s="118"/>
      <c r="F448" s="115"/>
      <c r="G448" s="115"/>
      <c r="H448" s="170"/>
      <c r="I448" s="172"/>
      <c r="J448" s="115"/>
      <c r="Q448" s="115"/>
      <c r="R448" s="115"/>
    </row>
    <row r="449" spans="1:18" ht="15.75" customHeight="1">
      <c r="A449" s="115"/>
      <c r="B449" s="115"/>
      <c r="C449" s="118"/>
      <c r="D449" s="118"/>
      <c r="E449" s="118"/>
      <c r="F449" s="115"/>
      <c r="G449" s="115"/>
      <c r="H449" s="170"/>
      <c r="I449" s="172"/>
      <c r="J449" s="115"/>
      <c r="Q449" s="115"/>
      <c r="R449" s="115"/>
    </row>
    <row r="450" spans="1:18" ht="15.75" customHeight="1">
      <c r="A450" s="115"/>
      <c r="B450" s="115"/>
      <c r="C450" s="118"/>
      <c r="D450" s="118"/>
      <c r="E450" s="118"/>
      <c r="F450" s="115"/>
      <c r="G450" s="115"/>
      <c r="H450" s="170"/>
      <c r="I450" s="172"/>
      <c r="J450" s="115"/>
      <c r="Q450" s="115"/>
      <c r="R450" s="115"/>
    </row>
    <row r="451" spans="1:18" ht="15.75" customHeight="1">
      <c r="A451" s="115"/>
      <c r="B451" s="115"/>
      <c r="C451" s="118"/>
      <c r="D451" s="118"/>
      <c r="E451" s="118"/>
      <c r="F451" s="115"/>
      <c r="G451" s="115"/>
      <c r="H451" s="170"/>
      <c r="I451" s="172"/>
      <c r="J451" s="115"/>
      <c r="Q451" s="115"/>
      <c r="R451" s="115"/>
    </row>
    <row r="452" spans="1:18" ht="15.75" customHeight="1">
      <c r="A452" s="115"/>
      <c r="B452" s="115"/>
      <c r="C452" s="118"/>
      <c r="D452" s="118"/>
      <c r="E452" s="118"/>
      <c r="F452" s="115"/>
      <c r="G452" s="115"/>
      <c r="H452" s="170"/>
      <c r="I452" s="172"/>
      <c r="J452" s="115"/>
      <c r="Q452" s="115"/>
      <c r="R452" s="115"/>
    </row>
    <row r="453" spans="1:18" ht="15.75" customHeight="1">
      <c r="A453" s="115"/>
      <c r="B453" s="115"/>
      <c r="C453" s="118"/>
      <c r="D453" s="118"/>
      <c r="E453" s="118"/>
      <c r="F453" s="115"/>
      <c r="G453" s="115"/>
      <c r="H453" s="170"/>
      <c r="I453" s="172"/>
      <c r="J453" s="115"/>
      <c r="Q453" s="115"/>
      <c r="R453" s="115"/>
    </row>
    <row r="454" spans="1:18" ht="15.75" customHeight="1">
      <c r="A454" s="115"/>
      <c r="B454" s="115"/>
      <c r="C454" s="118"/>
      <c r="D454" s="118"/>
      <c r="E454" s="118"/>
      <c r="F454" s="115"/>
      <c r="G454" s="115"/>
      <c r="H454" s="170"/>
      <c r="I454" s="172"/>
      <c r="J454" s="115"/>
      <c r="Q454" s="115"/>
      <c r="R454" s="115"/>
    </row>
    <row r="455" spans="1:18" ht="15.75" customHeight="1">
      <c r="A455" s="115"/>
      <c r="B455" s="115"/>
      <c r="C455" s="118"/>
      <c r="D455" s="118"/>
      <c r="E455" s="118"/>
      <c r="F455" s="115"/>
      <c r="G455" s="115"/>
      <c r="H455" s="170"/>
      <c r="I455" s="172"/>
      <c r="J455" s="115"/>
      <c r="Q455" s="115"/>
      <c r="R455" s="115"/>
    </row>
    <row r="456" spans="1:18" ht="15.75" customHeight="1">
      <c r="A456" s="115"/>
      <c r="B456" s="115"/>
      <c r="C456" s="118"/>
      <c r="D456" s="118"/>
      <c r="E456" s="118"/>
      <c r="F456" s="115"/>
      <c r="G456" s="115"/>
      <c r="H456" s="170"/>
      <c r="I456" s="172"/>
      <c r="J456" s="115"/>
      <c r="Q456" s="115"/>
      <c r="R456" s="115"/>
    </row>
    <row r="457" spans="1:18" ht="15.75" customHeight="1">
      <c r="A457" s="115"/>
      <c r="B457" s="115"/>
      <c r="C457" s="118"/>
      <c r="D457" s="118"/>
      <c r="E457" s="118"/>
      <c r="F457" s="115"/>
      <c r="G457" s="115"/>
      <c r="H457" s="170"/>
      <c r="I457" s="172"/>
      <c r="J457" s="115"/>
      <c r="Q457" s="115"/>
      <c r="R457" s="115"/>
    </row>
    <row r="458" spans="1:18" ht="15.75" customHeight="1">
      <c r="A458" s="115"/>
      <c r="B458" s="115"/>
      <c r="C458" s="118"/>
      <c r="D458" s="118"/>
      <c r="E458" s="118"/>
      <c r="F458" s="115"/>
      <c r="G458" s="115"/>
      <c r="H458" s="170"/>
      <c r="I458" s="172"/>
      <c r="J458" s="115"/>
      <c r="Q458" s="115"/>
      <c r="R458" s="115"/>
    </row>
    <row r="459" spans="1:18" ht="15.75" customHeight="1">
      <c r="A459" s="115"/>
      <c r="B459" s="115"/>
      <c r="C459" s="118"/>
      <c r="D459" s="118"/>
      <c r="E459" s="118"/>
      <c r="F459" s="115"/>
      <c r="G459" s="115"/>
      <c r="H459" s="170"/>
      <c r="I459" s="172"/>
      <c r="J459" s="115"/>
      <c r="Q459" s="115"/>
      <c r="R459" s="115"/>
    </row>
    <row r="460" spans="1:18" ht="15.75" customHeight="1">
      <c r="A460" s="115"/>
      <c r="B460" s="115"/>
      <c r="C460" s="118"/>
      <c r="D460" s="118"/>
      <c r="E460" s="118"/>
      <c r="F460" s="115"/>
      <c r="G460" s="115"/>
      <c r="H460" s="170"/>
      <c r="I460" s="172"/>
      <c r="J460" s="115"/>
      <c r="Q460" s="115"/>
      <c r="R460" s="115"/>
    </row>
    <row r="461" spans="1:18" ht="15.75" customHeight="1">
      <c r="A461" s="115"/>
      <c r="B461" s="115"/>
      <c r="C461" s="118"/>
      <c r="D461" s="118"/>
      <c r="E461" s="118"/>
      <c r="F461" s="115"/>
      <c r="G461" s="115"/>
      <c r="H461" s="170"/>
      <c r="I461" s="172"/>
      <c r="J461" s="115"/>
      <c r="Q461" s="115"/>
      <c r="R461" s="115"/>
    </row>
    <row r="462" spans="1:18" ht="15.75" customHeight="1">
      <c r="A462" s="115"/>
      <c r="B462" s="115"/>
      <c r="C462" s="118"/>
      <c r="D462" s="118"/>
      <c r="E462" s="118"/>
      <c r="F462" s="115"/>
      <c r="G462" s="115"/>
      <c r="H462" s="170"/>
      <c r="I462" s="172"/>
      <c r="J462" s="115"/>
      <c r="Q462" s="115"/>
      <c r="R462" s="115"/>
    </row>
    <row r="463" spans="1:18" ht="15.75" customHeight="1">
      <c r="A463" s="115"/>
      <c r="B463" s="115"/>
      <c r="C463" s="118"/>
      <c r="D463" s="118"/>
      <c r="E463" s="118"/>
      <c r="F463" s="115"/>
      <c r="G463" s="115"/>
      <c r="H463" s="170"/>
      <c r="I463" s="172"/>
      <c r="J463" s="115"/>
      <c r="Q463" s="115"/>
      <c r="R463" s="115"/>
    </row>
    <row r="464" spans="1:18" ht="15.75" customHeight="1">
      <c r="A464" s="115"/>
      <c r="B464" s="115"/>
      <c r="C464" s="118"/>
      <c r="D464" s="118"/>
      <c r="E464" s="118"/>
      <c r="F464" s="115"/>
      <c r="G464" s="115"/>
      <c r="H464" s="170"/>
      <c r="I464" s="172"/>
      <c r="J464" s="115"/>
      <c r="Q464" s="115"/>
      <c r="R464" s="115"/>
    </row>
    <row r="465" spans="1:18" ht="15.75" customHeight="1">
      <c r="A465" s="115"/>
      <c r="B465" s="115"/>
      <c r="C465" s="118"/>
      <c r="D465" s="118"/>
      <c r="E465" s="118"/>
      <c r="F465" s="115"/>
      <c r="G465" s="115"/>
      <c r="H465" s="170"/>
      <c r="I465" s="172"/>
      <c r="J465" s="115"/>
      <c r="Q465" s="115"/>
      <c r="R465" s="115"/>
    </row>
    <row r="466" spans="1:18" ht="15.75" customHeight="1">
      <c r="A466" s="115"/>
      <c r="B466" s="115"/>
      <c r="C466" s="118"/>
      <c r="D466" s="118"/>
      <c r="E466" s="118"/>
      <c r="F466" s="115"/>
      <c r="G466" s="115"/>
      <c r="H466" s="170"/>
      <c r="I466" s="172"/>
      <c r="J466" s="115"/>
      <c r="Q466" s="115"/>
      <c r="R466" s="115"/>
    </row>
    <row r="467" spans="1:18" ht="15.75" customHeight="1">
      <c r="A467" s="115"/>
      <c r="B467" s="115"/>
      <c r="C467" s="118"/>
      <c r="D467" s="118"/>
      <c r="E467" s="118"/>
      <c r="F467" s="115"/>
      <c r="G467" s="115"/>
      <c r="H467" s="170"/>
      <c r="I467" s="172"/>
      <c r="J467" s="115"/>
      <c r="Q467" s="115"/>
      <c r="R467" s="115"/>
    </row>
    <row r="468" spans="1:18" ht="15.75" customHeight="1">
      <c r="A468" s="115"/>
      <c r="B468" s="115"/>
      <c r="C468" s="118"/>
      <c r="D468" s="118"/>
      <c r="E468" s="118"/>
      <c r="F468" s="115"/>
      <c r="G468" s="115"/>
      <c r="H468" s="170"/>
      <c r="I468" s="172"/>
      <c r="J468" s="115"/>
      <c r="Q468" s="115"/>
      <c r="R468" s="115"/>
    </row>
    <row r="469" spans="1:18" ht="15.75" customHeight="1">
      <c r="A469" s="115"/>
      <c r="B469" s="115"/>
      <c r="C469" s="118"/>
      <c r="D469" s="118"/>
      <c r="E469" s="118"/>
      <c r="F469" s="115"/>
      <c r="G469" s="115"/>
      <c r="H469" s="170"/>
      <c r="I469" s="172"/>
      <c r="J469" s="115"/>
      <c r="Q469" s="115"/>
      <c r="R469" s="115"/>
    </row>
    <row r="470" spans="1:18" ht="15.75" customHeight="1">
      <c r="A470" s="115"/>
      <c r="B470" s="115"/>
      <c r="C470" s="118"/>
      <c r="D470" s="118"/>
      <c r="E470" s="118"/>
      <c r="F470" s="115"/>
      <c r="G470" s="115"/>
      <c r="H470" s="170"/>
      <c r="I470" s="172"/>
      <c r="J470" s="115"/>
      <c r="Q470" s="115"/>
      <c r="R470" s="115"/>
    </row>
    <row r="471" spans="1:18" ht="15.75" customHeight="1">
      <c r="A471" s="115"/>
      <c r="B471" s="115"/>
      <c r="C471" s="118"/>
      <c r="D471" s="118"/>
      <c r="E471" s="118"/>
      <c r="F471" s="115"/>
      <c r="G471" s="115"/>
      <c r="H471" s="170"/>
      <c r="I471" s="172"/>
      <c r="J471" s="115"/>
      <c r="Q471" s="115"/>
      <c r="R471" s="115"/>
    </row>
    <row r="472" spans="1:18" ht="15.75" customHeight="1">
      <c r="A472" s="115"/>
      <c r="B472" s="115"/>
      <c r="C472" s="118"/>
      <c r="D472" s="118"/>
      <c r="E472" s="118"/>
      <c r="F472" s="115"/>
      <c r="G472" s="115"/>
      <c r="H472" s="170"/>
      <c r="I472" s="172"/>
      <c r="J472" s="115"/>
      <c r="Q472" s="115"/>
      <c r="R472" s="115"/>
    </row>
    <row r="473" spans="1:18" ht="15.75" customHeight="1">
      <c r="A473" s="115"/>
      <c r="B473" s="115"/>
      <c r="C473" s="118"/>
      <c r="D473" s="118"/>
      <c r="E473" s="118"/>
      <c r="F473" s="115"/>
      <c r="G473" s="115"/>
      <c r="H473" s="170"/>
      <c r="I473" s="172"/>
      <c r="J473" s="115"/>
      <c r="Q473" s="115"/>
      <c r="R473" s="115"/>
    </row>
    <row r="474" spans="1:18" ht="15.75" customHeight="1">
      <c r="A474" s="115"/>
      <c r="B474" s="115"/>
      <c r="C474" s="118"/>
      <c r="D474" s="118"/>
      <c r="E474" s="118"/>
      <c r="F474" s="115"/>
      <c r="G474" s="115"/>
      <c r="H474" s="170"/>
      <c r="I474" s="172"/>
      <c r="J474" s="115"/>
      <c r="Q474" s="115"/>
      <c r="R474" s="115"/>
    </row>
    <row r="475" spans="1:18" ht="15.75" customHeight="1">
      <c r="A475" s="115"/>
      <c r="B475" s="115"/>
      <c r="C475" s="118"/>
      <c r="D475" s="118"/>
      <c r="E475" s="118"/>
      <c r="F475" s="115"/>
      <c r="G475" s="115"/>
      <c r="H475" s="170"/>
      <c r="I475" s="172"/>
      <c r="J475" s="115"/>
      <c r="Q475" s="115"/>
      <c r="R475" s="115"/>
    </row>
    <row r="476" spans="1:18" ht="15.75" customHeight="1">
      <c r="A476" s="115"/>
      <c r="B476" s="115"/>
      <c r="C476" s="118"/>
      <c r="D476" s="118"/>
      <c r="E476" s="118"/>
      <c r="F476" s="115"/>
      <c r="G476" s="115"/>
      <c r="H476" s="170"/>
      <c r="I476" s="172"/>
      <c r="J476" s="115"/>
      <c r="Q476" s="115"/>
      <c r="R476" s="115"/>
    </row>
    <row r="477" spans="1:18" ht="15.75" customHeight="1">
      <c r="A477" s="115"/>
      <c r="B477" s="115"/>
      <c r="C477" s="118"/>
      <c r="D477" s="118"/>
      <c r="E477" s="118"/>
      <c r="F477" s="115"/>
      <c r="G477" s="115"/>
      <c r="H477" s="170"/>
      <c r="I477" s="172"/>
      <c r="J477" s="115"/>
      <c r="Q477" s="115"/>
      <c r="R477" s="115"/>
    </row>
    <row r="478" spans="1:18" ht="15.75" customHeight="1">
      <c r="A478" s="115"/>
      <c r="B478" s="115"/>
      <c r="C478" s="118"/>
      <c r="D478" s="118"/>
      <c r="E478" s="118"/>
      <c r="F478" s="115"/>
      <c r="G478" s="115"/>
      <c r="H478" s="170"/>
      <c r="I478" s="172"/>
      <c r="J478" s="115"/>
      <c r="Q478" s="115"/>
      <c r="R478" s="115"/>
    </row>
    <row r="479" spans="1:18" ht="15.75" customHeight="1">
      <c r="A479" s="115"/>
      <c r="B479" s="115"/>
      <c r="C479" s="118"/>
      <c r="D479" s="118"/>
      <c r="E479" s="118"/>
      <c r="F479" s="115"/>
      <c r="G479" s="115"/>
      <c r="H479" s="170"/>
      <c r="I479" s="172"/>
      <c r="J479" s="115"/>
      <c r="Q479" s="115"/>
      <c r="R479" s="115"/>
    </row>
    <row r="480" spans="1:18" ht="15.75" customHeight="1">
      <c r="A480" s="115"/>
      <c r="B480" s="115"/>
      <c r="C480" s="118"/>
      <c r="D480" s="118"/>
      <c r="E480" s="118"/>
      <c r="F480" s="115"/>
      <c r="G480" s="115"/>
      <c r="H480" s="170"/>
      <c r="I480" s="172"/>
      <c r="J480" s="115"/>
      <c r="Q480" s="115"/>
      <c r="R480" s="115"/>
    </row>
    <row r="481" spans="1:18" ht="15.75" customHeight="1">
      <c r="A481" s="115"/>
      <c r="B481" s="115"/>
      <c r="C481" s="118"/>
      <c r="D481" s="118"/>
      <c r="E481" s="118"/>
      <c r="F481" s="115"/>
      <c r="G481" s="115"/>
      <c r="H481" s="170"/>
      <c r="I481" s="172"/>
      <c r="J481" s="115"/>
      <c r="Q481" s="115"/>
      <c r="R481" s="115"/>
    </row>
    <row r="482" spans="1:18" ht="15.75" customHeight="1">
      <c r="A482" s="115"/>
      <c r="B482" s="115"/>
      <c r="C482" s="118"/>
      <c r="D482" s="118"/>
      <c r="E482" s="118"/>
      <c r="F482" s="115"/>
      <c r="G482" s="115"/>
      <c r="H482" s="170"/>
      <c r="I482" s="172"/>
      <c r="J482" s="115"/>
      <c r="Q482" s="115"/>
      <c r="R482" s="115"/>
    </row>
    <row r="483" spans="1:18" ht="15.75" customHeight="1">
      <c r="A483" s="115"/>
      <c r="B483" s="115"/>
      <c r="C483" s="118"/>
      <c r="D483" s="118"/>
      <c r="E483" s="118"/>
      <c r="F483" s="115"/>
      <c r="G483" s="115"/>
      <c r="H483" s="170"/>
      <c r="I483" s="172"/>
      <c r="J483" s="115"/>
      <c r="Q483" s="115"/>
      <c r="R483" s="115"/>
    </row>
    <row r="484" spans="1:18" ht="15.75" customHeight="1">
      <c r="A484" s="115"/>
      <c r="B484" s="115"/>
      <c r="C484" s="118"/>
      <c r="D484" s="118"/>
      <c r="E484" s="118"/>
      <c r="F484" s="115"/>
      <c r="G484" s="115"/>
      <c r="H484" s="170"/>
      <c r="I484" s="172"/>
      <c r="J484" s="115"/>
      <c r="Q484" s="115"/>
      <c r="R484" s="115"/>
    </row>
    <row r="485" spans="1:18" ht="15.75" customHeight="1">
      <c r="A485" s="115"/>
      <c r="B485" s="115"/>
      <c r="C485" s="118"/>
      <c r="D485" s="118"/>
      <c r="E485" s="118"/>
      <c r="F485" s="115"/>
      <c r="G485" s="115"/>
      <c r="H485" s="170"/>
      <c r="I485" s="172"/>
      <c r="J485" s="115"/>
      <c r="Q485" s="115"/>
      <c r="R485" s="115"/>
    </row>
    <row r="486" spans="1:18" ht="15.75" customHeight="1">
      <c r="A486" s="115"/>
      <c r="B486" s="115"/>
      <c r="C486" s="118"/>
      <c r="D486" s="118"/>
      <c r="E486" s="118"/>
      <c r="F486" s="115"/>
      <c r="G486" s="115"/>
      <c r="H486" s="170"/>
      <c r="I486" s="172"/>
      <c r="J486" s="115"/>
      <c r="Q486" s="115"/>
      <c r="R486" s="115"/>
    </row>
    <row r="487" spans="1:18" ht="15.75" customHeight="1">
      <c r="A487" s="115"/>
      <c r="B487" s="115"/>
      <c r="C487" s="118"/>
      <c r="D487" s="118"/>
      <c r="E487" s="118"/>
      <c r="F487" s="115"/>
      <c r="G487" s="115"/>
      <c r="H487" s="170"/>
      <c r="I487" s="172"/>
      <c r="J487" s="115"/>
      <c r="Q487" s="115"/>
      <c r="R487" s="115"/>
    </row>
    <row r="488" spans="1:18" ht="15.75" customHeight="1">
      <c r="A488" s="115"/>
      <c r="B488" s="115"/>
      <c r="C488" s="118"/>
      <c r="D488" s="118"/>
      <c r="E488" s="118"/>
      <c r="F488" s="115"/>
      <c r="G488" s="115"/>
      <c r="H488" s="170"/>
      <c r="I488" s="172"/>
      <c r="J488" s="115"/>
      <c r="Q488" s="115"/>
      <c r="R488" s="115"/>
    </row>
    <row r="489" spans="1:18" ht="15.75" customHeight="1">
      <c r="A489" s="115"/>
      <c r="B489" s="115"/>
      <c r="C489" s="118"/>
      <c r="D489" s="118"/>
      <c r="E489" s="118"/>
      <c r="F489" s="115"/>
      <c r="G489" s="115"/>
      <c r="H489" s="170"/>
      <c r="I489" s="172"/>
      <c r="J489" s="115"/>
      <c r="Q489" s="115"/>
      <c r="R489" s="115"/>
    </row>
    <row r="490" spans="1:18" ht="15.75" customHeight="1">
      <c r="A490" s="115"/>
      <c r="B490" s="115"/>
      <c r="C490" s="118"/>
      <c r="D490" s="118"/>
      <c r="E490" s="118"/>
      <c r="F490" s="115"/>
      <c r="G490" s="115"/>
      <c r="H490" s="170"/>
      <c r="I490" s="172"/>
      <c r="J490" s="115"/>
      <c r="Q490" s="115"/>
      <c r="R490" s="115"/>
    </row>
    <row r="491" spans="1:18" ht="15.75" customHeight="1">
      <c r="A491" s="115"/>
      <c r="B491" s="115"/>
      <c r="C491" s="118"/>
      <c r="D491" s="118"/>
      <c r="E491" s="118"/>
      <c r="F491" s="115"/>
      <c r="G491" s="115"/>
      <c r="H491" s="170"/>
      <c r="I491" s="172"/>
      <c r="J491" s="115"/>
      <c r="Q491" s="115"/>
      <c r="R491" s="115"/>
    </row>
    <row r="492" spans="1:18" ht="15.75" customHeight="1">
      <c r="A492" s="115"/>
      <c r="B492" s="115"/>
      <c r="C492" s="118"/>
      <c r="D492" s="118"/>
      <c r="E492" s="118"/>
      <c r="F492" s="115"/>
      <c r="G492" s="115"/>
      <c r="H492" s="170"/>
      <c r="I492" s="172"/>
      <c r="J492" s="115"/>
      <c r="Q492" s="115"/>
      <c r="R492" s="115"/>
    </row>
    <row r="493" spans="1:18" ht="15.75" customHeight="1">
      <c r="A493" s="115"/>
      <c r="B493" s="115"/>
      <c r="C493" s="118"/>
      <c r="D493" s="118"/>
      <c r="E493" s="118"/>
      <c r="F493" s="115"/>
      <c r="G493" s="115"/>
      <c r="H493" s="170"/>
      <c r="I493" s="172"/>
      <c r="J493" s="115"/>
      <c r="Q493" s="115"/>
      <c r="R493" s="115"/>
    </row>
    <row r="494" spans="1:18" ht="15.75" customHeight="1">
      <c r="A494" s="115"/>
      <c r="B494" s="115"/>
      <c r="C494" s="118"/>
      <c r="D494" s="118"/>
      <c r="E494" s="118"/>
      <c r="F494" s="115"/>
      <c r="G494" s="115"/>
      <c r="H494" s="170"/>
      <c r="I494" s="172"/>
      <c r="J494" s="115"/>
      <c r="Q494" s="115"/>
      <c r="R494" s="115"/>
    </row>
    <row r="495" spans="1:18" ht="15.75" customHeight="1">
      <c r="A495" s="115"/>
      <c r="B495" s="115"/>
      <c r="C495" s="118"/>
      <c r="D495" s="118"/>
      <c r="E495" s="118"/>
      <c r="F495" s="115"/>
      <c r="G495" s="115"/>
      <c r="H495" s="170"/>
      <c r="I495" s="172"/>
      <c r="J495" s="115"/>
      <c r="Q495" s="115"/>
      <c r="R495" s="115"/>
    </row>
    <row r="496" spans="1:18" ht="15.75" customHeight="1">
      <c r="A496" s="115"/>
      <c r="B496" s="115"/>
      <c r="C496" s="118"/>
      <c r="D496" s="118"/>
      <c r="E496" s="118"/>
      <c r="F496" s="115"/>
      <c r="G496" s="115"/>
      <c r="H496" s="170"/>
      <c r="I496" s="172"/>
      <c r="J496" s="115"/>
      <c r="Q496" s="115"/>
      <c r="R496" s="115"/>
    </row>
    <row r="497" spans="1:18" ht="15.75" customHeight="1">
      <c r="A497" s="115"/>
      <c r="B497" s="115"/>
      <c r="C497" s="118"/>
      <c r="D497" s="118"/>
      <c r="E497" s="118"/>
      <c r="F497" s="115"/>
      <c r="G497" s="115"/>
      <c r="H497" s="170"/>
      <c r="I497" s="172"/>
      <c r="J497" s="115"/>
      <c r="Q497" s="115"/>
      <c r="R497" s="115"/>
    </row>
    <row r="498" spans="1:18" ht="15.75" customHeight="1">
      <c r="A498" s="115"/>
      <c r="B498" s="115"/>
      <c r="C498" s="118"/>
      <c r="D498" s="118"/>
      <c r="E498" s="118"/>
      <c r="F498" s="115"/>
      <c r="G498" s="115"/>
      <c r="H498" s="170"/>
      <c r="I498" s="172"/>
      <c r="J498" s="115"/>
      <c r="Q498" s="115"/>
      <c r="R498" s="115"/>
    </row>
    <row r="499" spans="1:18" ht="15.75" customHeight="1">
      <c r="A499" s="115"/>
      <c r="B499" s="115"/>
      <c r="C499" s="118"/>
      <c r="D499" s="118"/>
      <c r="E499" s="118"/>
      <c r="F499" s="115"/>
      <c r="G499" s="115"/>
      <c r="H499" s="170"/>
      <c r="I499" s="172"/>
      <c r="J499" s="115"/>
      <c r="Q499" s="115"/>
      <c r="R499" s="115"/>
    </row>
    <row r="500" spans="1:18" ht="15.75" customHeight="1">
      <c r="A500" s="115"/>
      <c r="B500" s="115"/>
      <c r="C500" s="118"/>
      <c r="D500" s="118"/>
      <c r="E500" s="118"/>
      <c r="F500" s="115"/>
      <c r="G500" s="115"/>
      <c r="H500" s="170"/>
      <c r="I500" s="172"/>
      <c r="J500" s="115"/>
      <c r="Q500" s="115"/>
      <c r="R500" s="115"/>
    </row>
    <row r="501" spans="1:18" ht="15.75" customHeight="1">
      <c r="A501" s="115"/>
      <c r="B501" s="115"/>
      <c r="C501" s="118"/>
      <c r="D501" s="118"/>
      <c r="E501" s="118"/>
      <c r="F501" s="115"/>
      <c r="G501" s="115"/>
      <c r="H501" s="170"/>
      <c r="I501" s="172"/>
      <c r="J501" s="115"/>
      <c r="Q501" s="115"/>
      <c r="R501" s="115"/>
    </row>
    <row r="502" spans="1:18" ht="15.75" customHeight="1">
      <c r="A502" s="115"/>
      <c r="B502" s="115"/>
      <c r="C502" s="118"/>
      <c r="D502" s="118"/>
      <c r="E502" s="118"/>
      <c r="F502" s="115"/>
      <c r="G502" s="115"/>
      <c r="H502" s="170"/>
      <c r="I502" s="172"/>
      <c r="J502" s="115"/>
      <c r="Q502" s="115"/>
      <c r="R502" s="115"/>
    </row>
    <row r="503" spans="1:18" ht="15.75" customHeight="1">
      <c r="A503" s="115"/>
      <c r="B503" s="115"/>
      <c r="C503" s="118"/>
      <c r="D503" s="118"/>
      <c r="E503" s="118"/>
      <c r="F503" s="115"/>
      <c r="G503" s="115"/>
      <c r="H503" s="170"/>
      <c r="I503" s="172"/>
      <c r="J503" s="115"/>
      <c r="Q503" s="115"/>
      <c r="R503" s="115"/>
    </row>
    <row r="504" spans="1:18" ht="15.75" customHeight="1">
      <c r="A504" s="115"/>
      <c r="B504" s="115"/>
      <c r="C504" s="118"/>
      <c r="D504" s="118"/>
      <c r="E504" s="118"/>
      <c r="F504" s="115"/>
      <c r="G504" s="115"/>
      <c r="H504" s="170"/>
      <c r="I504" s="172"/>
      <c r="J504" s="115"/>
      <c r="Q504" s="115"/>
      <c r="R504" s="115"/>
    </row>
    <row r="505" spans="1:18" ht="15.75" customHeight="1">
      <c r="A505" s="115"/>
      <c r="B505" s="115"/>
      <c r="C505" s="118"/>
      <c r="D505" s="118"/>
      <c r="E505" s="118"/>
      <c r="F505" s="115"/>
      <c r="G505" s="115"/>
      <c r="H505" s="170"/>
      <c r="I505" s="172"/>
      <c r="J505" s="115"/>
      <c r="Q505" s="115"/>
      <c r="R505" s="115"/>
    </row>
    <row r="506" spans="1:18" ht="15.75" customHeight="1">
      <c r="A506" s="115"/>
      <c r="B506" s="115"/>
      <c r="C506" s="118"/>
      <c r="D506" s="118"/>
      <c r="E506" s="118"/>
      <c r="F506" s="115"/>
      <c r="G506" s="115"/>
      <c r="H506" s="170"/>
      <c r="I506" s="172"/>
      <c r="J506" s="115"/>
      <c r="Q506" s="115"/>
      <c r="R506" s="115"/>
    </row>
    <row r="507" spans="1:18" ht="15.75" customHeight="1">
      <c r="A507" s="115"/>
      <c r="B507" s="115"/>
      <c r="C507" s="118"/>
      <c r="D507" s="118"/>
      <c r="E507" s="118"/>
      <c r="F507" s="115"/>
      <c r="G507" s="115"/>
      <c r="H507" s="170"/>
      <c r="I507" s="172"/>
      <c r="J507" s="115"/>
      <c r="Q507" s="115"/>
      <c r="R507" s="115"/>
    </row>
    <row r="508" spans="1:18" ht="15.75" customHeight="1">
      <c r="A508" s="115"/>
      <c r="B508" s="115"/>
      <c r="C508" s="118"/>
      <c r="D508" s="118"/>
      <c r="E508" s="118"/>
      <c r="F508" s="115"/>
      <c r="G508" s="115"/>
      <c r="H508" s="170"/>
      <c r="I508" s="172"/>
      <c r="J508" s="115"/>
      <c r="Q508" s="115"/>
      <c r="R508" s="115"/>
    </row>
    <row r="509" spans="1:18" ht="15.75" customHeight="1">
      <c r="A509" s="115"/>
      <c r="B509" s="115"/>
      <c r="C509" s="118"/>
      <c r="D509" s="118"/>
      <c r="E509" s="118"/>
      <c r="F509" s="115"/>
      <c r="G509" s="115"/>
      <c r="H509" s="170"/>
      <c r="I509" s="172"/>
      <c r="J509" s="115"/>
      <c r="Q509" s="115"/>
      <c r="R509" s="115"/>
    </row>
    <row r="510" spans="1:18" ht="15.75" customHeight="1">
      <c r="A510" s="115"/>
      <c r="B510" s="115"/>
      <c r="C510" s="118"/>
      <c r="D510" s="118"/>
      <c r="E510" s="118"/>
      <c r="F510" s="115"/>
      <c r="G510" s="115"/>
      <c r="H510" s="170"/>
      <c r="I510" s="172"/>
      <c r="J510" s="115"/>
      <c r="Q510" s="115"/>
      <c r="R510" s="115"/>
    </row>
    <row r="511" spans="1:18" ht="15.75" customHeight="1">
      <c r="A511" s="115"/>
      <c r="B511" s="115"/>
      <c r="C511" s="118"/>
      <c r="D511" s="118"/>
      <c r="E511" s="118"/>
      <c r="F511" s="115"/>
      <c r="G511" s="115"/>
      <c r="H511" s="170"/>
      <c r="I511" s="172"/>
      <c r="J511" s="115"/>
      <c r="Q511" s="115"/>
      <c r="R511" s="115"/>
    </row>
    <row r="512" spans="1:18" ht="15.75" customHeight="1">
      <c r="A512" s="115"/>
      <c r="B512" s="115"/>
      <c r="C512" s="118"/>
      <c r="D512" s="118"/>
      <c r="E512" s="118"/>
      <c r="F512" s="115"/>
      <c r="G512" s="115"/>
      <c r="H512" s="170"/>
      <c r="I512" s="172"/>
      <c r="J512" s="115"/>
      <c r="Q512" s="115"/>
      <c r="R512" s="115"/>
    </row>
    <row r="513" spans="1:18" ht="15.75" customHeight="1">
      <c r="A513" s="115"/>
      <c r="B513" s="115"/>
      <c r="C513" s="118"/>
      <c r="D513" s="118"/>
      <c r="E513" s="118"/>
      <c r="F513" s="115"/>
      <c r="G513" s="115"/>
      <c r="H513" s="170"/>
      <c r="I513" s="172"/>
      <c r="J513" s="115"/>
      <c r="Q513" s="115"/>
      <c r="R513" s="115"/>
    </row>
    <row r="514" spans="1:18" ht="15.75" customHeight="1">
      <c r="A514" s="115"/>
      <c r="B514" s="115"/>
      <c r="C514" s="118"/>
      <c r="D514" s="118"/>
      <c r="E514" s="118"/>
      <c r="F514" s="115"/>
      <c r="G514" s="115"/>
      <c r="H514" s="170"/>
      <c r="I514" s="172"/>
      <c r="J514" s="115"/>
      <c r="Q514" s="115"/>
      <c r="R514" s="115"/>
    </row>
    <row r="515" spans="1:18" ht="15.75" customHeight="1">
      <c r="A515" s="115"/>
      <c r="B515" s="115"/>
      <c r="C515" s="118"/>
      <c r="D515" s="118"/>
      <c r="E515" s="118"/>
      <c r="F515" s="115"/>
      <c r="G515" s="115"/>
      <c r="H515" s="170"/>
      <c r="I515" s="172"/>
      <c r="J515" s="115"/>
      <c r="Q515" s="115"/>
      <c r="R515" s="115"/>
    </row>
    <row r="516" spans="1:18" ht="15.75" customHeight="1">
      <c r="A516" s="115"/>
      <c r="B516" s="115"/>
      <c r="C516" s="118"/>
      <c r="D516" s="118"/>
      <c r="E516" s="118"/>
      <c r="F516" s="115"/>
      <c r="G516" s="115"/>
      <c r="H516" s="170"/>
      <c r="I516" s="172"/>
      <c r="J516" s="115"/>
      <c r="Q516" s="115"/>
      <c r="R516" s="115"/>
    </row>
    <row r="517" spans="1:18" ht="15.75" customHeight="1">
      <c r="A517" s="115"/>
      <c r="B517" s="115"/>
      <c r="C517" s="118"/>
      <c r="D517" s="118"/>
      <c r="E517" s="118"/>
      <c r="F517" s="115"/>
      <c r="G517" s="115"/>
      <c r="H517" s="170"/>
      <c r="I517" s="172"/>
      <c r="J517" s="115"/>
      <c r="Q517" s="115"/>
      <c r="R517" s="115"/>
    </row>
    <row r="518" spans="1:18" ht="15.75" customHeight="1">
      <c r="A518" s="115"/>
      <c r="B518" s="115"/>
      <c r="C518" s="118"/>
      <c r="D518" s="118"/>
      <c r="E518" s="118"/>
      <c r="F518" s="115"/>
      <c r="G518" s="115"/>
      <c r="H518" s="170"/>
      <c r="I518" s="172"/>
      <c r="J518" s="115"/>
      <c r="Q518" s="115"/>
      <c r="R518" s="115"/>
    </row>
    <row r="519" spans="1:18" ht="15.75" customHeight="1">
      <c r="A519" s="115"/>
      <c r="B519" s="115"/>
      <c r="C519" s="118"/>
      <c r="D519" s="118"/>
      <c r="E519" s="118"/>
      <c r="F519" s="115"/>
      <c r="G519" s="115"/>
      <c r="H519" s="170"/>
      <c r="I519" s="172"/>
      <c r="J519" s="115"/>
      <c r="Q519" s="115"/>
      <c r="R519" s="115"/>
    </row>
    <row r="520" spans="1:18" ht="15.75" customHeight="1">
      <c r="A520" s="115"/>
      <c r="B520" s="115"/>
      <c r="C520" s="118"/>
      <c r="D520" s="118"/>
      <c r="E520" s="118"/>
      <c r="F520" s="115"/>
      <c r="G520" s="115"/>
      <c r="H520" s="170"/>
      <c r="I520" s="172"/>
      <c r="J520" s="115"/>
      <c r="Q520" s="115"/>
      <c r="R520" s="115"/>
    </row>
    <row r="521" spans="1:18" ht="15.75" customHeight="1">
      <c r="A521" s="115"/>
      <c r="B521" s="115"/>
      <c r="C521" s="118"/>
      <c r="D521" s="118"/>
      <c r="E521" s="118"/>
      <c r="F521" s="115"/>
      <c r="G521" s="115"/>
      <c r="H521" s="170"/>
      <c r="I521" s="172"/>
      <c r="J521" s="115"/>
      <c r="Q521" s="115"/>
      <c r="R521" s="115"/>
    </row>
    <row r="522" spans="1:18" ht="15.75" customHeight="1">
      <c r="A522" s="115"/>
      <c r="B522" s="115"/>
      <c r="C522" s="118"/>
      <c r="D522" s="118"/>
      <c r="E522" s="118"/>
      <c r="F522" s="115"/>
      <c r="G522" s="115"/>
      <c r="H522" s="170"/>
      <c r="I522" s="172"/>
      <c r="J522" s="115"/>
      <c r="Q522" s="115"/>
      <c r="R522" s="115"/>
    </row>
    <row r="523" spans="1:18" ht="15.75" customHeight="1">
      <c r="A523" s="115"/>
      <c r="B523" s="115"/>
      <c r="C523" s="118"/>
      <c r="D523" s="118"/>
      <c r="E523" s="118"/>
      <c r="F523" s="115"/>
      <c r="G523" s="115"/>
      <c r="H523" s="170"/>
      <c r="I523" s="172"/>
      <c r="J523" s="115"/>
      <c r="Q523" s="115"/>
      <c r="R523" s="115"/>
    </row>
    <row r="524" spans="1:18" ht="15.75" customHeight="1">
      <c r="A524" s="115"/>
      <c r="B524" s="115"/>
      <c r="C524" s="118"/>
      <c r="D524" s="118"/>
      <c r="E524" s="118"/>
      <c r="F524" s="115"/>
      <c r="G524" s="115"/>
      <c r="H524" s="170"/>
      <c r="I524" s="172"/>
      <c r="J524" s="115"/>
      <c r="Q524" s="115"/>
      <c r="R524" s="115"/>
    </row>
    <row r="525" spans="1:18" ht="15.75" customHeight="1">
      <c r="A525" s="115"/>
      <c r="B525" s="115"/>
      <c r="C525" s="118"/>
      <c r="D525" s="118"/>
      <c r="E525" s="118"/>
      <c r="F525" s="115"/>
      <c r="G525" s="115"/>
      <c r="H525" s="170"/>
      <c r="I525" s="172"/>
      <c r="J525" s="115"/>
      <c r="Q525" s="115"/>
      <c r="R525" s="115"/>
    </row>
    <row r="526" spans="1:18" ht="15.75" customHeight="1">
      <c r="A526" s="115"/>
      <c r="B526" s="115"/>
      <c r="C526" s="118"/>
      <c r="D526" s="118"/>
      <c r="E526" s="118"/>
      <c r="F526" s="115"/>
      <c r="G526" s="115"/>
      <c r="H526" s="170"/>
      <c r="I526" s="172"/>
      <c r="J526" s="115"/>
      <c r="Q526" s="115"/>
      <c r="R526" s="115"/>
    </row>
    <row r="527" spans="1:18" ht="15.75" customHeight="1">
      <c r="A527" s="115"/>
      <c r="B527" s="115"/>
      <c r="C527" s="118"/>
      <c r="D527" s="118"/>
      <c r="E527" s="118"/>
      <c r="F527" s="115"/>
      <c r="G527" s="115"/>
      <c r="H527" s="170"/>
      <c r="I527" s="172"/>
      <c r="J527" s="115"/>
      <c r="Q527" s="115"/>
      <c r="R527" s="115"/>
    </row>
    <row r="528" spans="1:18" ht="15.75" customHeight="1">
      <c r="A528" s="115"/>
      <c r="B528" s="115"/>
      <c r="C528" s="118"/>
      <c r="D528" s="118"/>
      <c r="E528" s="118"/>
      <c r="F528" s="115"/>
      <c r="G528" s="115"/>
      <c r="H528" s="170"/>
      <c r="I528" s="172"/>
      <c r="J528" s="115"/>
      <c r="Q528" s="115"/>
      <c r="R528" s="115"/>
    </row>
    <row r="529" spans="1:18" ht="15.75" customHeight="1">
      <c r="A529" s="115"/>
      <c r="B529" s="115"/>
      <c r="C529" s="118"/>
      <c r="D529" s="118"/>
      <c r="E529" s="118"/>
      <c r="F529" s="115"/>
      <c r="G529" s="115"/>
      <c r="H529" s="170"/>
      <c r="I529" s="172"/>
      <c r="J529" s="115"/>
      <c r="Q529" s="115"/>
      <c r="R529" s="115"/>
    </row>
    <row r="530" spans="1:18" ht="15.75" customHeight="1">
      <c r="A530" s="115"/>
      <c r="B530" s="115"/>
      <c r="C530" s="118"/>
      <c r="D530" s="118"/>
      <c r="E530" s="118"/>
      <c r="F530" s="115"/>
      <c r="G530" s="115"/>
      <c r="H530" s="170"/>
      <c r="I530" s="172"/>
      <c r="J530" s="115"/>
      <c r="Q530" s="115"/>
      <c r="R530" s="115"/>
    </row>
    <row r="531" spans="1:18" ht="15.75" customHeight="1">
      <c r="A531" s="115"/>
      <c r="B531" s="115"/>
      <c r="C531" s="118"/>
      <c r="D531" s="118"/>
      <c r="E531" s="118"/>
      <c r="F531" s="115"/>
      <c r="G531" s="115"/>
      <c r="H531" s="170"/>
      <c r="I531" s="172"/>
      <c r="J531" s="115"/>
      <c r="Q531" s="115"/>
      <c r="R531" s="115"/>
    </row>
    <row r="532" spans="1:18" ht="15.75" customHeight="1">
      <c r="A532" s="115"/>
      <c r="B532" s="115"/>
      <c r="C532" s="118"/>
      <c r="D532" s="118"/>
      <c r="E532" s="118"/>
      <c r="F532" s="115"/>
      <c r="G532" s="115"/>
      <c r="H532" s="170"/>
      <c r="I532" s="172"/>
      <c r="J532" s="115"/>
      <c r="Q532" s="115"/>
      <c r="R532" s="115"/>
    </row>
    <row r="533" spans="1:18" ht="15.75" customHeight="1">
      <c r="A533" s="115"/>
      <c r="B533" s="115"/>
      <c r="C533" s="118"/>
      <c r="D533" s="118"/>
      <c r="E533" s="118"/>
      <c r="F533" s="115"/>
      <c r="G533" s="115"/>
      <c r="H533" s="170"/>
      <c r="I533" s="172"/>
      <c r="J533" s="115"/>
      <c r="Q533" s="115"/>
      <c r="R533" s="115"/>
    </row>
    <row r="534" spans="1:18" ht="15.75" customHeight="1">
      <c r="A534" s="115"/>
      <c r="B534" s="115"/>
      <c r="C534" s="118"/>
      <c r="D534" s="118"/>
      <c r="E534" s="118"/>
      <c r="F534" s="115"/>
      <c r="G534" s="115"/>
      <c r="H534" s="170"/>
      <c r="I534" s="172"/>
      <c r="J534" s="115"/>
      <c r="Q534" s="115"/>
      <c r="R534" s="115"/>
    </row>
    <row r="535" spans="1:18" ht="15.75" customHeight="1">
      <c r="A535" s="115"/>
      <c r="B535" s="115"/>
      <c r="C535" s="118"/>
      <c r="D535" s="118"/>
      <c r="E535" s="118"/>
      <c r="F535" s="115"/>
      <c r="G535" s="115"/>
      <c r="H535" s="170"/>
      <c r="I535" s="172"/>
      <c r="J535" s="115"/>
      <c r="Q535" s="115"/>
      <c r="R535" s="115"/>
    </row>
    <row r="536" spans="1:18" ht="15.75" customHeight="1">
      <c r="A536" s="115"/>
      <c r="B536" s="115"/>
      <c r="C536" s="118"/>
      <c r="D536" s="118"/>
      <c r="E536" s="118"/>
      <c r="F536" s="115"/>
      <c r="G536" s="115"/>
      <c r="H536" s="170"/>
      <c r="I536" s="172"/>
      <c r="J536" s="115"/>
      <c r="Q536" s="115"/>
      <c r="R536" s="115"/>
    </row>
    <row r="537" spans="1:18" ht="15.75" customHeight="1">
      <c r="A537" s="115"/>
      <c r="B537" s="115"/>
      <c r="C537" s="118"/>
      <c r="D537" s="118"/>
      <c r="E537" s="118"/>
      <c r="F537" s="115"/>
      <c r="G537" s="115"/>
      <c r="H537" s="170"/>
      <c r="I537" s="172"/>
      <c r="J537" s="115"/>
      <c r="Q537" s="115"/>
      <c r="R537" s="115"/>
    </row>
    <row r="538" spans="1:18" ht="15.75" customHeight="1">
      <c r="A538" s="115"/>
      <c r="B538" s="115"/>
      <c r="C538" s="118"/>
      <c r="D538" s="118"/>
      <c r="E538" s="118"/>
      <c r="F538" s="115"/>
      <c r="G538" s="115"/>
      <c r="H538" s="170"/>
      <c r="I538" s="172"/>
      <c r="J538" s="115"/>
      <c r="Q538" s="115"/>
      <c r="R538" s="115"/>
    </row>
    <row r="539" spans="1:18" ht="15.75" customHeight="1">
      <c r="A539" s="115"/>
      <c r="B539" s="115"/>
      <c r="C539" s="118"/>
      <c r="D539" s="118"/>
      <c r="E539" s="118"/>
      <c r="F539" s="115"/>
      <c r="G539" s="115"/>
      <c r="H539" s="170"/>
      <c r="I539" s="172"/>
      <c r="J539" s="115"/>
      <c r="Q539" s="115"/>
      <c r="R539" s="115"/>
    </row>
    <row r="540" spans="1:18" ht="15.75" customHeight="1">
      <c r="A540" s="115"/>
      <c r="B540" s="115"/>
      <c r="C540" s="118"/>
      <c r="D540" s="118"/>
      <c r="E540" s="118"/>
      <c r="F540" s="115"/>
      <c r="G540" s="115"/>
      <c r="H540" s="170"/>
      <c r="I540" s="172"/>
      <c r="J540" s="115"/>
      <c r="Q540" s="115"/>
      <c r="R540" s="115"/>
    </row>
    <row r="541" spans="1:18" ht="15.75" customHeight="1">
      <c r="A541" s="115"/>
      <c r="B541" s="115"/>
      <c r="C541" s="118"/>
      <c r="D541" s="118"/>
      <c r="E541" s="118"/>
      <c r="F541" s="115"/>
      <c r="G541" s="115"/>
      <c r="H541" s="170"/>
      <c r="I541" s="172"/>
      <c r="J541" s="115"/>
      <c r="Q541" s="115"/>
      <c r="R541" s="115"/>
    </row>
    <row r="542" spans="1:18" ht="15.75" customHeight="1">
      <c r="A542" s="115"/>
      <c r="B542" s="115"/>
      <c r="C542" s="118"/>
      <c r="D542" s="118"/>
      <c r="E542" s="118"/>
      <c r="F542" s="115"/>
      <c r="G542" s="115"/>
      <c r="H542" s="170"/>
      <c r="I542" s="172"/>
      <c r="J542" s="115"/>
      <c r="Q542" s="115"/>
      <c r="R542" s="115"/>
    </row>
    <row r="543" spans="1:18" ht="15.75" customHeight="1">
      <c r="A543" s="115"/>
      <c r="B543" s="115"/>
      <c r="C543" s="118"/>
      <c r="D543" s="118"/>
      <c r="E543" s="118"/>
      <c r="F543" s="115"/>
      <c r="G543" s="115"/>
      <c r="H543" s="170"/>
      <c r="I543" s="172"/>
      <c r="J543" s="115"/>
      <c r="Q543" s="115"/>
      <c r="R543" s="115"/>
    </row>
    <row r="544" spans="1:18" ht="15.75" customHeight="1">
      <c r="A544" s="115"/>
      <c r="B544" s="115"/>
      <c r="C544" s="118"/>
      <c r="D544" s="118"/>
      <c r="E544" s="118"/>
      <c r="F544" s="115"/>
      <c r="G544" s="115"/>
      <c r="H544" s="170"/>
      <c r="I544" s="172"/>
      <c r="J544" s="115"/>
      <c r="Q544" s="115"/>
      <c r="R544" s="115"/>
    </row>
    <row r="545" spans="1:18" ht="15.75" customHeight="1">
      <c r="A545" s="115"/>
      <c r="B545" s="115"/>
      <c r="C545" s="118"/>
      <c r="D545" s="118"/>
      <c r="E545" s="118"/>
      <c r="F545" s="115"/>
      <c r="G545" s="115"/>
      <c r="H545" s="170"/>
      <c r="I545" s="172"/>
      <c r="J545" s="115"/>
      <c r="Q545" s="115"/>
      <c r="R545" s="115"/>
    </row>
    <row r="546" spans="1:18" ht="15.75" customHeight="1">
      <c r="A546" s="115"/>
      <c r="B546" s="115"/>
      <c r="C546" s="118"/>
      <c r="D546" s="118"/>
      <c r="E546" s="118"/>
      <c r="F546" s="115"/>
      <c r="G546" s="115"/>
      <c r="H546" s="170"/>
      <c r="I546" s="172"/>
      <c r="J546" s="115"/>
      <c r="Q546" s="115"/>
      <c r="R546" s="115"/>
    </row>
    <row r="547" spans="1:18" ht="15.75" customHeight="1">
      <c r="A547" s="115"/>
      <c r="B547" s="115"/>
      <c r="C547" s="118"/>
      <c r="D547" s="118"/>
      <c r="E547" s="118"/>
      <c r="F547" s="115"/>
      <c r="G547" s="115"/>
      <c r="H547" s="170"/>
      <c r="I547" s="172"/>
      <c r="J547" s="115"/>
      <c r="Q547" s="115"/>
      <c r="R547" s="115"/>
    </row>
    <row r="548" spans="1:18" ht="15.75" customHeight="1">
      <c r="A548" s="115"/>
      <c r="B548" s="115"/>
      <c r="C548" s="118"/>
      <c r="D548" s="118"/>
      <c r="E548" s="118"/>
      <c r="F548" s="115"/>
      <c r="G548" s="115"/>
      <c r="H548" s="170"/>
      <c r="I548" s="172"/>
      <c r="J548" s="115"/>
      <c r="Q548" s="115"/>
      <c r="R548" s="115"/>
    </row>
    <row r="549" spans="1:18" ht="15.75" customHeight="1">
      <c r="A549" s="115"/>
      <c r="B549" s="115"/>
      <c r="C549" s="118"/>
      <c r="D549" s="118"/>
      <c r="E549" s="118"/>
      <c r="F549" s="115"/>
      <c r="G549" s="115"/>
      <c r="H549" s="170"/>
      <c r="I549" s="172"/>
      <c r="J549" s="115"/>
      <c r="Q549" s="115"/>
      <c r="R549" s="115"/>
    </row>
    <row r="550" spans="1:18" ht="15.75" customHeight="1">
      <c r="A550" s="115"/>
      <c r="B550" s="115"/>
      <c r="C550" s="118"/>
      <c r="D550" s="118"/>
      <c r="E550" s="118"/>
      <c r="F550" s="115"/>
      <c r="G550" s="115"/>
      <c r="H550" s="170"/>
      <c r="I550" s="172"/>
      <c r="J550" s="115"/>
      <c r="Q550" s="115"/>
      <c r="R550" s="115"/>
    </row>
    <row r="551" spans="1:18" ht="15.75" customHeight="1">
      <c r="A551" s="115"/>
      <c r="B551" s="115"/>
      <c r="C551" s="118"/>
      <c r="D551" s="118"/>
      <c r="E551" s="118"/>
      <c r="F551" s="115"/>
      <c r="G551" s="115"/>
      <c r="H551" s="170"/>
      <c r="I551" s="172"/>
      <c r="J551" s="115"/>
      <c r="Q551" s="115"/>
      <c r="R551" s="115"/>
    </row>
    <row r="552" spans="1:18" ht="15.75" customHeight="1">
      <c r="A552" s="115"/>
      <c r="B552" s="115"/>
      <c r="C552" s="118"/>
      <c r="D552" s="118"/>
      <c r="E552" s="118"/>
      <c r="F552" s="115"/>
      <c r="G552" s="115"/>
      <c r="H552" s="170"/>
      <c r="I552" s="172"/>
      <c r="J552" s="115"/>
      <c r="Q552" s="115"/>
      <c r="R552" s="115"/>
    </row>
    <row r="553" spans="1:18" ht="15.75" customHeight="1">
      <c r="A553" s="115"/>
      <c r="B553" s="115"/>
      <c r="C553" s="118"/>
      <c r="D553" s="118"/>
      <c r="E553" s="118"/>
      <c r="F553" s="115"/>
      <c r="G553" s="115"/>
      <c r="H553" s="170"/>
      <c r="I553" s="172"/>
      <c r="J553" s="115"/>
      <c r="Q553" s="115"/>
      <c r="R553" s="115"/>
    </row>
    <row r="554" spans="1:18" ht="15.75" customHeight="1">
      <c r="A554" s="115"/>
      <c r="B554" s="115"/>
      <c r="C554" s="118"/>
      <c r="D554" s="118"/>
      <c r="E554" s="118"/>
      <c r="F554" s="115"/>
      <c r="G554" s="115"/>
      <c r="H554" s="170"/>
      <c r="I554" s="172"/>
      <c r="J554" s="115"/>
      <c r="Q554" s="115"/>
      <c r="R554" s="115"/>
    </row>
    <row r="555" spans="1:18" ht="15.75" customHeight="1">
      <c r="A555" s="115"/>
      <c r="B555" s="115"/>
      <c r="C555" s="118"/>
      <c r="D555" s="118"/>
      <c r="E555" s="118"/>
      <c r="F555" s="115"/>
      <c r="G555" s="115"/>
      <c r="H555" s="170"/>
      <c r="I555" s="172"/>
      <c r="J555" s="115"/>
      <c r="Q555" s="115"/>
      <c r="R555" s="115"/>
    </row>
    <row r="556" spans="1:18" ht="15.75" customHeight="1">
      <c r="A556" s="115"/>
      <c r="B556" s="115"/>
      <c r="C556" s="118"/>
      <c r="D556" s="118"/>
      <c r="E556" s="118"/>
      <c r="F556" s="115"/>
      <c r="G556" s="115"/>
      <c r="H556" s="170"/>
      <c r="I556" s="172"/>
      <c r="J556" s="115"/>
      <c r="Q556" s="115"/>
      <c r="R556" s="115"/>
    </row>
    <row r="557" spans="1:18" ht="15.75" customHeight="1">
      <c r="A557" s="115"/>
      <c r="B557" s="115"/>
      <c r="C557" s="118"/>
      <c r="D557" s="118"/>
      <c r="E557" s="118"/>
      <c r="F557" s="115"/>
      <c r="G557" s="115"/>
      <c r="H557" s="170"/>
      <c r="I557" s="172"/>
      <c r="J557" s="115"/>
      <c r="Q557" s="115"/>
      <c r="R557" s="115"/>
    </row>
    <row r="558" spans="1:18" ht="15.75" customHeight="1">
      <c r="A558" s="115"/>
      <c r="B558" s="115"/>
      <c r="C558" s="118"/>
      <c r="D558" s="118"/>
      <c r="E558" s="118"/>
      <c r="F558" s="115"/>
      <c r="G558" s="115"/>
      <c r="H558" s="170"/>
      <c r="I558" s="172"/>
      <c r="J558" s="115"/>
      <c r="Q558" s="115"/>
      <c r="R558" s="115"/>
    </row>
    <row r="559" spans="1:18" ht="15.75" customHeight="1">
      <c r="A559" s="115"/>
      <c r="B559" s="115"/>
      <c r="C559" s="118"/>
      <c r="D559" s="118"/>
      <c r="E559" s="118"/>
      <c r="F559" s="115"/>
      <c r="G559" s="115"/>
      <c r="H559" s="170"/>
      <c r="I559" s="172"/>
      <c r="J559" s="115"/>
      <c r="Q559" s="115"/>
      <c r="R559" s="115"/>
    </row>
    <row r="560" spans="1:18" ht="15.75" customHeight="1">
      <c r="A560" s="115"/>
      <c r="B560" s="115"/>
      <c r="C560" s="118"/>
      <c r="D560" s="118"/>
      <c r="E560" s="118"/>
      <c r="F560" s="115"/>
      <c r="G560" s="115"/>
      <c r="H560" s="170"/>
      <c r="I560" s="172"/>
      <c r="J560" s="115"/>
      <c r="Q560" s="115"/>
      <c r="R560" s="115"/>
    </row>
    <row r="561" spans="1:18" ht="15.75" customHeight="1">
      <c r="A561" s="115"/>
      <c r="B561" s="115"/>
      <c r="C561" s="118"/>
      <c r="D561" s="118"/>
      <c r="E561" s="118"/>
      <c r="F561" s="115"/>
      <c r="G561" s="115"/>
      <c r="H561" s="170"/>
      <c r="I561" s="172"/>
      <c r="J561" s="115"/>
      <c r="Q561" s="115"/>
      <c r="R561" s="115"/>
    </row>
    <row r="562" spans="1:18" ht="15.75" customHeight="1">
      <c r="A562" s="115"/>
      <c r="B562" s="115"/>
      <c r="C562" s="118"/>
      <c r="D562" s="118"/>
      <c r="E562" s="118"/>
      <c r="F562" s="115"/>
      <c r="G562" s="115"/>
      <c r="H562" s="170"/>
      <c r="I562" s="172"/>
      <c r="J562" s="115"/>
      <c r="Q562" s="115"/>
      <c r="R562" s="115"/>
    </row>
    <row r="563" spans="1:18" ht="15.75" customHeight="1">
      <c r="A563" s="115"/>
      <c r="B563" s="115"/>
      <c r="C563" s="118"/>
      <c r="D563" s="118"/>
      <c r="E563" s="118"/>
      <c r="F563" s="115"/>
      <c r="G563" s="115"/>
      <c r="H563" s="170"/>
      <c r="I563" s="172"/>
      <c r="J563" s="115"/>
      <c r="Q563" s="115"/>
      <c r="R563" s="115"/>
    </row>
    <row r="564" spans="1:18" ht="15.75" customHeight="1">
      <c r="A564" s="115"/>
      <c r="B564" s="115"/>
      <c r="C564" s="118"/>
      <c r="D564" s="118"/>
      <c r="E564" s="118"/>
      <c r="F564" s="115"/>
      <c r="G564" s="115"/>
      <c r="H564" s="170"/>
      <c r="I564" s="172"/>
      <c r="J564" s="115"/>
      <c r="Q564" s="115"/>
      <c r="R564" s="115"/>
    </row>
    <row r="565" spans="1:18" ht="15.75" customHeight="1">
      <c r="A565" s="115"/>
      <c r="B565" s="115"/>
      <c r="C565" s="118"/>
      <c r="D565" s="118"/>
      <c r="E565" s="118"/>
      <c r="F565" s="115"/>
      <c r="G565" s="115"/>
      <c r="H565" s="170"/>
      <c r="I565" s="172"/>
      <c r="J565" s="115"/>
      <c r="Q565" s="115"/>
      <c r="R565" s="115"/>
    </row>
    <row r="566" spans="1:18" ht="15.75" customHeight="1">
      <c r="A566" s="115"/>
      <c r="B566" s="115"/>
      <c r="C566" s="118"/>
      <c r="D566" s="118"/>
      <c r="E566" s="118"/>
      <c r="F566" s="115"/>
      <c r="G566" s="115"/>
      <c r="H566" s="170"/>
      <c r="I566" s="172"/>
      <c r="J566" s="115"/>
      <c r="Q566" s="115"/>
      <c r="R566" s="115"/>
    </row>
    <row r="567" spans="1:18" ht="15.75" customHeight="1">
      <c r="A567" s="115"/>
      <c r="B567" s="115"/>
      <c r="C567" s="118"/>
      <c r="D567" s="118"/>
      <c r="E567" s="118"/>
      <c r="F567" s="115"/>
      <c r="G567" s="115"/>
      <c r="H567" s="170"/>
      <c r="I567" s="172"/>
      <c r="J567" s="115"/>
      <c r="Q567" s="115"/>
      <c r="R567" s="115"/>
    </row>
    <row r="568" spans="1:18" ht="15.75" customHeight="1">
      <c r="A568" s="115"/>
      <c r="B568" s="115"/>
      <c r="C568" s="118"/>
      <c r="D568" s="118"/>
      <c r="E568" s="118"/>
      <c r="F568" s="115"/>
      <c r="G568" s="115"/>
      <c r="H568" s="170"/>
      <c r="I568" s="172"/>
      <c r="J568" s="115"/>
      <c r="Q568" s="115"/>
      <c r="R568" s="115"/>
    </row>
    <row r="569" spans="1:18" ht="15.75" customHeight="1">
      <c r="A569" s="115"/>
      <c r="B569" s="115"/>
      <c r="C569" s="118"/>
      <c r="D569" s="118"/>
      <c r="E569" s="118"/>
      <c r="F569" s="115"/>
      <c r="G569" s="115"/>
      <c r="H569" s="170"/>
      <c r="I569" s="172"/>
      <c r="J569" s="115"/>
      <c r="Q569" s="115"/>
      <c r="R569" s="115"/>
    </row>
    <row r="570" spans="1:18" ht="15.75" customHeight="1">
      <c r="A570" s="115"/>
      <c r="B570" s="115"/>
      <c r="C570" s="118"/>
      <c r="D570" s="118"/>
      <c r="E570" s="118"/>
      <c r="F570" s="115"/>
      <c r="G570" s="115"/>
      <c r="H570" s="170"/>
      <c r="I570" s="172"/>
      <c r="J570" s="115"/>
      <c r="Q570" s="115"/>
      <c r="R570" s="115"/>
    </row>
    <row r="571" spans="1:18" ht="15.75" customHeight="1">
      <c r="A571" s="115"/>
      <c r="B571" s="115"/>
      <c r="C571" s="118"/>
      <c r="D571" s="118"/>
      <c r="E571" s="118"/>
      <c r="F571" s="115"/>
      <c r="G571" s="115"/>
      <c r="H571" s="170"/>
      <c r="I571" s="172"/>
      <c r="J571" s="115"/>
      <c r="Q571" s="115"/>
      <c r="R571" s="115"/>
    </row>
    <row r="572" spans="1:18" ht="15.75" customHeight="1">
      <c r="A572" s="115"/>
      <c r="B572" s="115"/>
      <c r="C572" s="118"/>
      <c r="D572" s="118"/>
      <c r="E572" s="118"/>
      <c r="F572" s="115"/>
      <c r="G572" s="115"/>
      <c r="H572" s="170"/>
      <c r="I572" s="172"/>
      <c r="J572" s="115"/>
      <c r="Q572" s="115"/>
      <c r="R572" s="115"/>
    </row>
    <row r="573" spans="1:18" ht="15.75" customHeight="1">
      <c r="A573" s="115"/>
      <c r="B573" s="115"/>
      <c r="C573" s="118"/>
      <c r="D573" s="118"/>
      <c r="E573" s="118"/>
      <c r="F573" s="115"/>
      <c r="G573" s="115"/>
      <c r="H573" s="170"/>
      <c r="I573" s="172"/>
      <c r="J573" s="115"/>
      <c r="Q573" s="115"/>
      <c r="R573" s="115"/>
    </row>
    <row r="574" spans="1:18" ht="15.75" customHeight="1">
      <c r="A574" s="115"/>
      <c r="B574" s="115"/>
      <c r="C574" s="118"/>
      <c r="D574" s="118"/>
      <c r="E574" s="118"/>
      <c r="F574" s="115"/>
      <c r="G574" s="115"/>
      <c r="H574" s="170"/>
      <c r="I574" s="172"/>
      <c r="J574" s="115"/>
      <c r="Q574" s="115"/>
      <c r="R574" s="115"/>
    </row>
    <row r="575" spans="1:18" ht="15.75" customHeight="1">
      <c r="A575" s="115"/>
      <c r="B575" s="115"/>
      <c r="C575" s="118"/>
      <c r="D575" s="118"/>
      <c r="E575" s="118"/>
      <c r="F575" s="115"/>
      <c r="G575" s="115"/>
      <c r="H575" s="170"/>
      <c r="I575" s="172"/>
      <c r="J575" s="115"/>
      <c r="Q575" s="115"/>
      <c r="R575" s="115"/>
    </row>
    <row r="576" spans="1:18" ht="15.75" customHeight="1">
      <c r="A576" s="115"/>
      <c r="B576" s="115"/>
      <c r="C576" s="118"/>
      <c r="D576" s="118"/>
      <c r="E576" s="118"/>
      <c r="F576" s="115"/>
      <c r="G576" s="115"/>
      <c r="H576" s="170"/>
      <c r="I576" s="172"/>
      <c r="J576" s="115"/>
      <c r="Q576" s="115"/>
      <c r="R576" s="115"/>
    </row>
    <row r="577" spans="1:18" ht="15.75" customHeight="1">
      <c r="A577" s="115"/>
      <c r="B577" s="115"/>
      <c r="C577" s="118"/>
      <c r="D577" s="118"/>
      <c r="E577" s="118"/>
      <c r="F577" s="115"/>
      <c r="G577" s="115"/>
      <c r="H577" s="170"/>
      <c r="I577" s="172"/>
      <c r="J577" s="115"/>
      <c r="Q577" s="115"/>
      <c r="R577" s="115"/>
    </row>
    <row r="578" spans="1:18" ht="15.75" customHeight="1">
      <c r="A578" s="115"/>
      <c r="B578" s="115"/>
      <c r="C578" s="118"/>
      <c r="D578" s="118"/>
      <c r="E578" s="118"/>
      <c r="F578" s="115"/>
      <c r="G578" s="115"/>
      <c r="H578" s="170"/>
      <c r="I578" s="172"/>
      <c r="J578" s="115"/>
      <c r="Q578" s="115"/>
      <c r="R578" s="115"/>
    </row>
    <row r="579" spans="1:18" ht="15.75" customHeight="1">
      <c r="A579" s="115"/>
      <c r="B579" s="115"/>
      <c r="C579" s="118"/>
      <c r="D579" s="118"/>
      <c r="E579" s="118"/>
      <c r="F579" s="115"/>
      <c r="G579" s="115"/>
      <c r="H579" s="170"/>
      <c r="I579" s="172"/>
      <c r="J579" s="115"/>
      <c r="Q579" s="115"/>
      <c r="R579" s="115"/>
    </row>
    <row r="580" spans="1:18" ht="15.75" customHeight="1">
      <c r="A580" s="115"/>
      <c r="B580" s="115"/>
      <c r="C580" s="118"/>
      <c r="D580" s="118"/>
      <c r="E580" s="118"/>
      <c r="F580" s="115"/>
      <c r="G580" s="115"/>
      <c r="H580" s="170"/>
      <c r="I580" s="172"/>
      <c r="J580" s="115"/>
      <c r="Q580" s="115"/>
      <c r="R580" s="115"/>
    </row>
    <row r="581" spans="1:18" ht="15.75" customHeight="1">
      <c r="A581" s="115"/>
      <c r="B581" s="115"/>
      <c r="C581" s="118"/>
      <c r="D581" s="118"/>
      <c r="E581" s="118"/>
      <c r="F581" s="115"/>
      <c r="G581" s="115"/>
      <c r="H581" s="170"/>
      <c r="I581" s="172"/>
      <c r="J581" s="115"/>
      <c r="Q581" s="115"/>
      <c r="R581" s="115"/>
    </row>
    <row r="582" spans="1:18" ht="15.75" customHeight="1">
      <c r="A582" s="115"/>
      <c r="B582" s="115"/>
      <c r="C582" s="118"/>
      <c r="D582" s="118"/>
      <c r="E582" s="118"/>
      <c r="F582" s="115"/>
      <c r="G582" s="115"/>
      <c r="H582" s="170"/>
      <c r="I582" s="172"/>
      <c r="J582" s="115"/>
      <c r="Q582" s="115"/>
      <c r="R582" s="115"/>
    </row>
    <row r="583" spans="1:18" ht="15.75" customHeight="1">
      <c r="A583" s="115"/>
      <c r="B583" s="115"/>
      <c r="C583" s="118"/>
      <c r="D583" s="118"/>
      <c r="E583" s="118"/>
      <c r="F583" s="115"/>
      <c r="G583" s="115"/>
      <c r="H583" s="170"/>
      <c r="I583" s="172"/>
      <c r="J583" s="115"/>
      <c r="Q583" s="115"/>
      <c r="R583" s="115"/>
    </row>
    <row r="584" spans="1:18" ht="15.75" customHeight="1">
      <c r="A584" s="115"/>
      <c r="B584" s="115"/>
      <c r="C584" s="118"/>
      <c r="D584" s="118"/>
      <c r="E584" s="118"/>
      <c r="F584" s="115"/>
      <c r="G584" s="115"/>
      <c r="H584" s="170"/>
      <c r="I584" s="172"/>
      <c r="J584" s="115"/>
      <c r="Q584" s="115"/>
      <c r="R584" s="115"/>
    </row>
    <row r="585" spans="1:18" ht="15.75" customHeight="1">
      <c r="A585" s="115"/>
      <c r="B585" s="115"/>
      <c r="C585" s="118"/>
      <c r="D585" s="118"/>
      <c r="E585" s="118"/>
      <c r="F585" s="115"/>
      <c r="G585" s="115"/>
      <c r="H585" s="170"/>
      <c r="I585" s="172"/>
      <c r="J585" s="115"/>
      <c r="Q585" s="115"/>
      <c r="R585" s="115"/>
    </row>
    <row r="586" spans="1:18" ht="15.75" customHeight="1">
      <c r="A586" s="115"/>
      <c r="B586" s="115"/>
      <c r="C586" s="118"/>
      <c r="D586" s="118"/>
      <c r="E586" s="118"/>
      <c r="F586" s="115"/>
      <c r="G586" s="115"/>
      <c r="H586" s="170"/>
      <c r="I586" s="172"/>
      <c r="J586" s="115"/>
      <c r="Q586" s="115"/>
      <c r="R586" s="115"/>
    </row>
    <row r="587" spans="1:18" ht="15.75" customHeight="1">
      <c r="A587" s="115"/>
      <c r="B587" s="115"/>
      <c r="C587" s="118"/>
      <c r="D587" s="118"/>
      <c r="E587" s="118"/>
      <c r="F587" s="115"/>
      <c r="G587" s="115"/>
      <c r="H587" s="170"/>
      <c r="I587" s="172"/>
      <c r="J587" s="115"/>
      <c r="Q587" s="115"/>
      <c r="R587" s="115"/>
    </row>
    <row r="588" spans="1:18" ht="15.75" customHeight="1">
      <c r="A588" s="115"/>
      <c r="B588" s="115"/>
      <c r="C588" s="118"/>
      <c r="D588" s="118"/>
      <c r="E588" s="118"/>
      <c r="F588" s="115"/>
      <c r="G588" s="115"/>
      <c r="H588" s="170"/>
      <c r="I588" s="172"/>
      <c r="J588" s="115"/>
      <c r="Q588" s="115"/>
      <c r="R588" s="115"/>
    </row>
    <row r="589" spans="1:18" ht="15.75" customHeight="1">
      <c r="A589" s="115"/>
      <c r="B589" s="115"/>
      <c r="C589" s="118"/>
      <c r="D589" s="118"/>
      <c r="E589" s="118"/>
      <c r="F589" s="115"/>
      <c r="G589" s="115"/>
      <c r="H589" s="170"/>
      <c r="I589" s="172"/>
      <c r="J589" s="115"/>
      <c r="Q589" s="115"/>
      <c r="R589" s="115"/>
    </row>
    <row r="590" spans="1:18" ht="15.75" customHeight="1">
      <c r="A590" s="115"/>
      <c r="B590" s="115"/>
      <c r="C590" s="118"/>
      <c r="D590" s="118"/>
      <c r="E590" s="118"/>
      <c r="F590" s="115"/>
      <c r="G590" s="115"/>
      <c r="H590" s="170"/>
      <c r="I590" s="172"/>
      <c r="J590" s="115"/>
      <c r="Q590" s="115"/>
      <c r="R590" s="115"/>
    </row>
    <row r="591" spans="1:18" ht="15.75" customHeight="1">
      <c r="A591" s="115"/>
      <c r="B591" s="115"/>
      <c r="C591" s="118"/>
      <c r="D591" s="118"/>
      <c r="E591" s="118"/>
      <c r="F591" s="115"/>
      <c r="G591" s="115"/>
      <c r="H591" s="170"/>
      <c r="I591" s="172"/>
      <c r="J591" s="115"/>
      <c r="Q591" s="115"/>
      <c r="R591" s="115"/>
    </row>
    <row r="592" spans="1:18" ht="15.75" customHeight="1">
      <c r="A592" s="115"/>
      <c r="B592" s="115"/>
      <c r="C592" s="118"/>
      <c r="D592" s="118"/>
      <c r="E592" s="118"/>
      <c r="F592" s="115"/>
      <c r="G592" s="115"/>
      <c r="H592" s="170"/>
      <c r="I592" s="172"/>
      <c r="J592" s="115"/>
      <c r="Q592" s="115"/>
      <c r="R592" s="115"/>
    </row>
    <row r="593" spans="1:18" ht="15.75" customHeight="1">
      <c r="A593" s="115"/>
      <c r="B593" s="115"/>
      <c r="C593" s="118"/>
      <c r="D593" s="118"/>
      <c r="E593" s="118"/>
      <c r="F593" s="115"/>
      <c r="G593" s="115"/>
      <c r="H593" s="170"/>
      <c r="I593" s="172"/>
      <c r="J593" s="115"/>
      <c r="Q593" s="115"/>
      <c r="R593" s="115"/>
    </row>
    <row r="594" spans="1:18" ht="15.75" customHeight="1">
      <c r="A594" s="115"/>
      <c r="B594" s="115"/>
      <c r="C594" s="118"/>
      <c r="D594" s="118"/>
      <c r="E594" s="118"/>
      <c r="F594" s="115"/>
      <c r="G594" s="115"/>
      <c r="H594" s="170"/>
      <c r="I594" s="172"/>
      <c r="J594" s="115"/>
      <c r="Q594" s="115"/>
      <c r="R594" s="115"/>
    </row>
    <row r="595" spans="1:18" ht="15.75" customHeight="1">
      <c r="A595" s="115"/>
      <c r="B595" s="115"/>
      <c r="C595" s="118"/>
      <c r="D595" s="118"/>
      <c r="E595" s="118"/>
      <c r="F595" s="115"/>
      <c r="G595" s="115"/>
      <c r="H595" s="170"/>
      <c r="I595" s="172"/>
      <c r="J595" s="115"/>
      <c r="Q595" s="115"/>
      <c r="R595" s="115"/>
    </row>
    <row r="596" spans="1:18" ht="15.75" customHeight="1">
      <c r="A596" s="115"/>
      <c r="B596" s="115"/>
      <c r="C596" s="118"/>
      <c r="D596" s="118"/>
      <c r="E596" s="118"/>
      <c r="F596" s="115"/>
      <c r="G596" s="115"/>
      <c r="H596" s="170"/>
      <c r="I596" s="172"/>
      <c r="J596" s="115"/>
      <c r="Q596" s="115"/>
      <c r="R596" s="115"/>
    </row>
    <row r="597" spans="1:18" ht="15.75" customHeight="1">
      <c r="A597" s="115"/>
      <c r="B597" s="115"/>
      <c r="C597" s="118"/>
      <c r="D597" s="118"/>
      <c r="E597" s="118"/>
      <c r="F597" s="115"/>
      <c r="G597" s="115"/>
      <c r="H597" s="170"/>
      <c r="I597" s="172"/>
      <c r="J597" s="115"/>
      <c r="Q597" s="115"/>
      <c r="R597" s="115"/>
    </row>
    <row r="598" spans="1:18" ht="15.75" customHeight="1">
      <c r="A598" s="115"/>
      <c r="B598" s="115"/>
      <c r="C598" s="118"/>
      <c r="D598" s="118"/>
      <c r="E598" s="118"/>
      <c r="F598" s="115"/>
      <c r="G598" s="115"/>
      <c r="H598" s="170"/>
      <c r="I598" s="172"/>
      <c r="J598" s="115"/>
      <c r="Q598" s="115"/>
      <c r="R598" s="115"/>
    </row>
    <row r="599" spans="1:18" ht="15.75" customHeight="1">
      <c r="A599" s="115"/>
      <c r="B599" s="115"/>
      <c r="C599" s="118"/>
      <c r="D599" s="118"/>
      <c r="E599" s="118"/>
      <c r="F599" s="115"/>
      <c r="G599" s="115"/>
      <c r="H599" s="170"/>
      <c r="I599" s="172"/>
      <c r="J599" s="115"/>
      <c r="Q599" s="115"/>
      <c r="R599" s="115"/>
    </row>
    <row r="600" spans="1:18" ht="15.75" customHeight="1">
      <c r="A600" s="115"/>
      <c r="B600" s="115"/>
      <c r="C600" s="118"/>
      <c r="D600" s="118"/>
      <c r="E600" s="118"/>
      <c r="F600" s="115"/>
      <c r="G600" s="115"/>
      <c r="H600" s="170"/>
      <c r="I600" s="172"/>
      <c r="J600" s="115"/>
      <c r="Q600" s="115"/>
      <c r="R600" s="115"/>
    </row>
    <row r="601" spans="1:18" ht="15.75" customHeight="1">
      <c r="A601" s="115"/>
      <c r="B601" s="115"/>
      <c r="C601" s="118"/>
      <c r="D601" s="118"/>
      <c r="E601" s="118"/>
      <c r="F601" s="115"/>
      <c r="G601" s="115"/>
      <c r="H601" s="170"/>
      <c r="I601" s="172"/>
      <c r="J601" s="115"/>
      <c r="Q601" s="115"/>
      <c r="R601" s="115"/>
    </row>
    <row r="602" spans="1:18" ht="15.75" customHeight="1">
      <c r="A602" s="115"/>
      <c r="B602" s="115"/>
      <c r="C602" s="118"/>
      <c r="D602" s="118"/>
      <c r="E602" s="118"/>
      <c r="F602" s="115"/>
      <c r="G602" s="115"/>
      <c r="H602" s="170"/>
      <c r="I602" s="172"/>
      <c r="J602" s="115"/>
      <c r="Q602" s="115"/>
      <c r="R602" s="115"/>
    </row>
    <row r="603" spans="1:18" ht="15.75" customHeight="1">
      <c r="A603" s="115"/>
      <c r="B603" s="115"/>
      <c r="C603" s="118"/>
      <c r="D603" s="118"/>
      <c r="E603" s="118"/>
      <c r="F603" s="115"/>
      <c r="G603" s="115"/>
      <c r="H603" s="170"/>
      <c r="I603" s="172"/>
      <c r="J603" s="115"/>
      <c r="Q603" s="115"/>
      <c r="R603" s="115"/>
    </row>
    <row r="604" spans="1:18" ht="15.75" customHeight="1">
      <c r="A604" s="115"/>
      <c r="B604" s="115"/>
      <c r="C604" s="118"/>
      <c r="D604" s="118"/>
      <c r="E604" s="118"/>
      <c r="F604" s="115"/>
      <c r="G604" s="115"/>
      <c r="H604" s="170"/>
      <c r="I604" s="172"/>
      <c r="J604" s="115"/>
      <c r="Q604" s="115"/>
      <c r="R604" s="115"/>
    </row>
    <row r="605" spans="1:18" ht="15.75" customHeight="1">
      <c r="A605" s="115"/>
      <c r="B605" s="115"/>
      <c r="C605" s="118"/>
      <c r="D605" s="118"/>
      <c r="E605" s="118"/>
      <c r="F605" s="115"/>
      <c r="G605" s="115"/>
      <c r="H605" s="170"/>
      <c r="I605" s="172"/>
      <c r="J605" s="115"/>
      <c r="Q605" s="115"/>
      <c r="R605" s="115"/>
    </row>
    <row r="606" spans="1:18" ht="15.75" customHeight="1">
      <c r="A606" s="115"/>
      <c r="B606" s="115"/>
      <c r="C606" s="118"/>
      <c r="D606" s="118"/>
      <c r="E606" s="118"/>
      <c r="F606" s="115"/>
      <c r="G606" s="115"/>
      <c r="H606" s="170"/>
      <c r="I606" s="172"/>
      <c r="J606" s="115"/>
      <c r="Q606" s="115"/>
      <c r="R606" s="115"/>
    </row>
    <row r="607" spans="1:18" ht="15.75" customHeight="1">
      <c r="A607" s="115"/>
      <c r="B607" s="115"/>
      <c r="C607" s="118"/>
      <c r="D607" s="118"/>
      <c r="E607" s="118"/>
      <c r="F607" s="115"/>
      <c r="G607" s="115"/>
      <c r="H607" s="170"/>
      <c r="I607" s="172"/>
      <c r="J607" s="115"/>
      <c r="Q607" s="115"/>
      <c r="R607" s="115"/>
    </row>
    <row r="608" spans="1:18" ht="15.75" customHeight="1">
      <c r="A608" s="115"/>
      <c r="B608" s="115"/>
      <c r="C608" s="118"/>
      <c r="D608" s="118"/>
      <c r="E608" s="118"/>
      <c r="F608" s="115"/>
      <c r="G608" s="115"/>
      <c r="H608" s="170"/>
      <c r="I608" s="172"/>
      <c r="J608" s="115"/>
      <c r="Q608" s="115"/>
      <c r="R608" s="115"/>
    </row>
    <row r="609" spans="1:18" ht="15.75" customHeight="1">
      <c r="A609" s="115"/>
      <c r="B609" s="115"/>
      <c r="C609" s="118"/>
      <c r="D609" s="118"/>
      <c r="E609" s="118"/>
      <c r="F609" s="115"/>
      <c r="G609" s="115"/>
      <c r="H609" s="170"/>
      <c r="I609" s="172"/>
      <c r="J609" s="115"/>
      <c r="Q609" s="115"/>
      <c r="R609" s="115"/>
    </row>
    <row r="610" spans="1:18" ht="15.75" customHeight="1">
      <c r="A610" s="115"/>
      <c r="B610" s="115"/>
      <c r="C610" s="118"/>
      <c r="D610" s="118"/>
      <c r="E610" s="118"/>
      <c r="F610" s="115"/>
      <c r="G610" s="115"/>
      <c r="H610" s="170"/>
      <c r="I610" s="172"/>
      <c r="J610" s="115"/>
      <c r="Q610" s="115"/>
      <c r="R610" s="115"/>
    </row>
    <row r="611" spans="1:18" ht="15.75" customHeight="1">
      <c r="A611" s="115"/>
      <c r="B611" s="115"/>
      <c r="C611" s="118"/>
      <c r="D611" s="118"/>
      <c r="E611" s="118"/>
      <c r="F611" s="115"/>
      <c r="G611" s="115"/>
      <c r="H611" s="170"/>
      <c r="I611" s="172"/>
      <c r="J611" s="115"/>
      <c r="Q611" s="115"/>
      <c r="R611" s="115"/>
    </row>
    <row r="612" spans="1:18" ht="15.75" customHeight="1">
      <c r="A612" s="115"/>
      <c r="B612" s="115"/>
      <c r="C612" s="118"/>
      <c r="D612" s="118"/>
      <c r="E612" s="118"/>
      <c r="F612" s="115"/>
      <c r="G612" s="115"/>
      <c r="H612" s="170"/>
      <c r="I612" s="172"/>
      <c r="J612" s="115"/>
      <c r="Q612" s="115"/>
      <c r="R612" s="115"/>
    </row>
    <row r="613" spans="1:18" ht="15.75" customHeight="1">
      <c r="A613" s="115"/>
      <c r="B613" s="115"/>
      <c r="C613" s="118"/>
      <c r="D613" s="118"/>
      <c r="E613" s="118"/>
      <c r="F613" s="115"/>
      <c r="G613" s="115"/>
      <c r="H613" s="170"/>
      <c r="I613" s="172"/>
      <c r="J613" s="115"/>
      <c r="Q613" s="115"/>
      <c r="R613" s="115"/>
    </row>
    <row r="614" spans="1:18" ht="15.75" customHeight="1">
      <c r="A614" s="115"/>
      <c r="B614" s="115"/>
      <c r="C614" s="118"/>
      <c r="D614" s="118"/>
      <c r="E614" s="118"/>
      <c r="F614" s="115"/>
      <c r="G614" s="115"/>
      <c r="H614" s="170"/>
      <c r="I614" s="172"/>
      <c r="J614" s="115"/>
      <c r="Q614" s="115"/>
      <c r="R614" s="115"/>
    </row>
    <row r="615" spans="1:18" ht="15.75" customHeight="1">
      <c r="A615" s="115"/>
      <c r="B615" s="115"/>
      <c r="C615" s="118"/>
      <c r="D615" s="118"/>
      <c r="E615" s="118"/>
      <c r="F615" s="115"/>
      <c r="G615" s="115"/>
      <c r="H615" s="170"/>
      <c r="I615" s="172"/>
      <c r="J615" s="115"/>
      <c r="Q615" s="115"/>
      <c r="R615" s="115"/>
    </row>
    <row r="616" spans="1:18" ht="15.75" customHeight="1">
      <c r="A616" s="115"/>
      <c r="B616" s="115"/>
      <c r="C616" s="118"/>
      <c r="D616" s="118"/>
      <c r="E616" s="118"/>
      <c r="F616" s="115"/>
      <c r="G616" s="115"/>
      <c r="H616" s="170"/>
      <c r="I616" s="172"/>
      <c r="J616" s="115"/>
      <c r="Q616" s="115"/>
      <c r="R616" s="115"/>
    </row>
    <row r="617" spans="1:18" ht="15.75" customHeight="1">
      <c r="A617" s="115"/>
      <c r="B617" s="115"/>
      <c r="C617" s="118"/>
      <c r="D617" s="118"/>
      <c r="E617" s="118"/>
      <c r="F617" s="115"/>
      <c r="G617" s="115"/>
      <c r="H617" s="170"/>
      <c r="I617" s="172"/>
      <c r="J617" s="115"/>
      <c r="Q617" s="115"/>
      <c r="R617" s="115"/>
    </row>
    <row r="618" spans="1:18" ht="15.75" customHeight="1">
      <c r="A618" s="115"/>
      <c r="B618" s="115"/>
      <c r="C618" s="118"/>
      <c r="D618" s="118"/>
      <c r="E618" s="118"/>
      <c r="F618" s="115"/>
      <c r="G618" s="115"/>
      <c r="H618" s="170"/>
      <c r="I618" s="172"/>
      <c r="J618" s="115"/>
      <c r="Q618" s="115"/>
      <c r="R618" s="115"/>
    </row>
    <row r="619" spans="1:18" ht="15.75" customHeight="1">
      <c r="A619" s="115"/>
      <c r="B619" s="115"/>
      <c r="C619" s="118"/>
      <c r="D619" s="118"/>
      <c r="E619" s="118"/>
      <c r="F619" s="115"/>
      <c r="G619" s="115"/>
      <c r="H619" s="170"/>
      <c r="I619" s="172"/>
      <c r="J619" s="115"/>
      <c r="Q619" s="115"/>
      <c r="R619" s="115"/>
    </row>
    <row r="620" spans="1:18" ht="15.75" customHeight="1">
      <c r="A620" s="115"/>
      <c r="B620" s="115"/>
      <c r="C620" s="118"/>
      <c r="D620" s="118"/>
      <c r="E620" s="118"/>
      <c r="F620" s="115"/>
      <c r="G620" s="115"/>
      <c r="H620" s="170"/>
      <c r="I620" s="172"/>
      <c r="J620" s="115"/>
      <c r="Q620" s="115"/>
      <c r="R620" s="115"/>
    </row>
    <row r="621" spans="1:18" ht="15.75" customHeight="1">
      <c r="A621" s="115"/>
      <c r="B621" s="115"/>
      <c r="C621" s="118"/>
      <c r="D621" s="118"/>
      <c r="E621" s="118"/>
      <c r="F621" s="115"/>
      <c r="G621" s="115"/>
      <c r="H621" s="170"/>
      <c r="I621" s="172"/>
      <c r="J621" s="115"/>
      <c r="Q621" s="115"/>
      <c r="R621" s="115"/>
    </row>
    <row r="622" spans="1:18" ht="15.75" customHeight="1">
      <c r="A622" s="115"/>
      <c r="B622" s="115"/>
      <c r="C622" s="118"/>
      <c r="D622" s="118"/>
      <c r="E622" s="118"/>
      <c r="F622" s="115"/>
      <c r="G622" s="115"/>
      <c r="H622" s="170"/>
      <c r="I622" s="172"/>
      <c r="J622" s="115"/>
      <c r="Q622" s="115"/>
      <c r="R622" s="115"/>
    </row>
    <row r="623" spans="1:18" ht="15.75" customHeight="1">
      <c r="A623" s="115"/>
      <c r="B623" s="115"/>
      <c r="C623" s="118"/>
      <c r="D623" s="118"/>
      <c r="E623" s="118"/>
      <c r="F623" s="115"/>
      <c r="G623" s="115"/>
      <c r="H623" s="170"/>
      <c r="I623" s="172"/>
      <c r="J623" s="115"/>
      <c r="Q623" s="115"/>
      <c r="R623" s="115"/>
    </row>
    <row r="624" spans="1:18" ht="15.75" customHeight="1">
      <c r="A624" s="115"/>
      <c r="B624" s="115"/>
      <c r="C624" s="118"/>
      <c r="D624" s="118"/>
      <c r="E624" s="118"/>
      <c r="F624" s="115"/>
      <c r="G624" s="115"/>
      <c r="H624" s="170"/>
      <c r="I624" s="172"/>
      <c r="J624" s="115"/>
      <c r="Q624" s="115"/>
      <c r="R624" s="115"/>
    </row>
    <row r="625" spans="1:18" ht="15.75" customHeight="1">
      <c r="A625" s="115"/>
      <c r="B625" s="115"/>
      <c r="C625" s="118"/>
      <c r="D625" s="118"/>
      <c r="E625" s="118"/>
      <c r="F625" s="115"/>
      <c r="G625" s="115"/>
      <c r="H625" s="170"/>
      <c r="I625" s="172"/>
      <c r="J625" s="115"/>
      <c r="Q625" s="115"/>
      <c r="R625" s="115"/>
    </row>
    <row r="626" spans="1:18" ht="15.75" customHeight="1">
      <c r="A626" s="115"/>
      <c r="B626" s="115"/>
      <c r="C626" s="118"/>
      <c r="D626" s="118"/>
      <c r="E626" s="118"/>
      <c r="F626" s="115"/>
      <c r="G626" s="115"/>
      <c r="H626" s="170"/>
      <c r="I626" s="172"/>
      <c r="J626" s="115"/>
      <c r="Q626" s="115"/>
      <c r="R626" s="115"/>
    </row>
    <row r="627" spans="1:18" ht="15.75" customHeight="1">
      <c r="A627" s="115"/>
      <c r="B627" s="115"/>
      <c r="C627" s="118"/>
      <c r="D627" s="118"/>
      <c r="E627" s="118"/>
      <c r="F627" s="115"/>
      <c r="G627" s="115"/>
      <c r="H627" s="170"/>
      <c r="I627" s="172"/>
      <c r="J627" s="115"/>
      <c r="Q627" s="115"/>
      <c r="R627" s="115"/>
    </row>
    <row r="628" spans="1:18" ht="15.75" customHeight="1">
      <c r="A628" s="115"/>
      <c r="B628" s="115"/>
      <c r="C628" s="118"/>
      <c r="D628" s="118"/>
      <c r="E628" s="118"/>
      <c r="F628" s="115"/>
      <c r="G628" s="115"/>
      <c r="H628" s="170"/>
      <c r="I628" s="172"/>
      <c r="J628" s="115"/>
      <c r="Q628" s="115"/>
      <c r="R628" s="115"/>
    </row>
    <row r="629" spans="1:18" ht="15.75" customHeight="1">
      <c r="A629" s="115"/>
      <c r="B629" s="115"/>
      <c r="C629" s="118"/>
      <c r="D629" s="118"/>
      <c r="E629" s="118"/>
      <c r="F629" s="115"/>
      <c r="G629" s="115"/>
      <c r="H629" s="170"/>
      <c r="I629" s="172"/>
      <c r="J629" s="115"/>
      <c r="Q629" s="115"/>
      <c r="R629" s="115"/>
    </row>
    <row r="630" spans="1:18" ht="15.75" customHeight="1">
      <c r="A630" s="115"/>
      <c r="B630" s="115"/>
      <c r="C630" s="118"/>
      <c r="D630" s="118"/>
      <c r="E630" s="118"/>
      <c r="F630" s="115"/>
      <c r="G630" s="115"/>
      <c r="H630" s="170"/>
      <c r="I630" s="172"/>
      <c r="J630" s="115"/>
      <c r="Q630" s="115"/>
      <c r="R630" s="115"/>
    </row>
    <row r="631" spans="1:18" ht="15.75" customHeight="1">
      <c r="A631" s="115"/>
      <c r="B631" s="115"/>
      <c r="C631" s="118"/>
      <c r="D631" s="118"/>
      <c r="E631" s="118"/>
      <c r="F631" s="115"/>
      <c r="G631" s="115"/>
      <c r="H631" s="170"/>
      <c r="I631" s="172"/>
      <c r="J631" s="115"/>
      <c r="Q631" s="115"/>
      <c r="R631" s="115"/>
    </row>
    <row r="632" spans="1:18" ht="15.75" customHeight="1">
      <c r="A632" s="115"/>
      <c r="B632" s="115"/>
      <c r="C632" s="118"/>
      <c r="D632" s="118"/>
      <c r="E632" s="118"/>
      <c r="F632" s="115"/>
      <c r="G632" s="115"/>
      <c r="H632" s="170"/>
      <c r="I632" s="172"/>
      <c r="J632" s="115"/>
      <c r="Q632" s="115"/>
      <c r="R632" s="115"/>
    </row>
    <row r="633" spans="1:18" ht="15.75" customHeight="1">
      <c r="A633" s="115"/>
      <c r="B633" s="115"/>
      <c r="C633" s="118"/>
      <c r="D633" s="118"/>
      <c r="E633" s="118"/>
      <c r="F633" s="115"/>
      <c r="G633" s="115"/>
      <c r="H633" s="170"/>
      <c r="I633" s="172"/>
      <c r="J633" s="115"/>
      <c r="Q633" s="115"/>
      <c r="R633" s="115"/>
    </row>
    <row r="634" spans="1:18" ht="15.75" customHeight="1">
      <c r="A634" s="115"/>
      <c r="B634" s="115"/>
      <c r="C634" s="118"/>
      <c r="D634" s="118"/>
      <c r="E634" s="118"/>
      <c r="F634" s="115"/>
      <c r="G634" s="115"/>
      <c r="H634" s="170"/>
      <c r="I634" s="172"/>
      <c r="J634" s="115"/>
      <c r="Q634" s="115"/>
      <c r="R634" s="115"/>
    </row>
    <row r="635" spans="1:18" ht="15.75" customHeight="1">
      <c r="A635" s="115"/>
      <c r="B635" s="115"/>
      <c r="C635" s="118"/>
      <c r="D635" s="118"/>
      <c r="E635" s="118"/>
      <c r="F635" s="115"/>
      <c r="G635" s="115"/>
      <c r="H635" s="170"/>
      <c r="I635" s="172"/>
      <c r="J635" s="115"/>
      <c r="Q635" s="115"/>
      <c r="R635" s="115"/>
    </row>
    <row r="636" spans="1:18" ht="15.75" customHeight="1">
      <c r="A636" s="115"/>
      <c r="B636" s="115"/>
      <c r="C636" s="118"/>
      <c r="D636" s="118"/>
      <c r="E636" s="118"/>
      <c r="F636" s="115"/>
      <c r="G636" s="115"/>
      <c r="H636" s="170"/>
      <c r="I636" s="172"/>
      <c r="J636" s="115"/>
      <c r="Q636" s="115"/>
      <c r="R636" s="115"/>
    </row>
    <row r="637" spans="1:18" ht="15.75" customHeight="1">
      <c r="A637" s="115"/>
      <c r="B637" s="115"/>
      <c r="C637" s="118"/>
      <c r="D637" s="118"/>
      <c r="E637" s="118"/>
      <c r="F637" s="115"/>
      <c r="G637" s="115"/>
      <c r="H637" s="170"/>
      <c r="I637" s="172"/>
      <c r="J637" s="115"/>
      <c r="Q637" s="115"/>
      <c r="R637" s="115"/>
    </row>
    <row r="638" spans="1:18" ht="15.75" customHeight="1">
      <c r="A638" s="115"/>
      <c r="B638" s="115"/>
      <c r="C638" s="118"/>
      <c r="D638" s="118"/>
      <c r="E638" s="118"/>
      <c r="F638" s="115"/>
      <c r="G638" s="115"/>
      <c r="H638" s="170"/>
      <c r="I638" s="172"/>
      <c r="J638" s="115"/>
      <c r="Q638" s="115"/>
      <c r="R638" s="115"/>
    </row>
    <row r="639" spans="1:18" ht="15.75" customHeight="1">
      <c r="A639" s="115"/>
      <c r="B639" s="115"/>
      <c r="C639" s="118"/>
      <c r="D639" s="118"/>
      <c r="E639" s="118"/>
      <c r="F639" s="115"/>
      <c r="G639" s="115"/>
      <c r="H639" s="170"/>
      <c r="I639" s="172"/>
      <c r="J639" s="115"/>
      <c r="Q639" s="115"/>
      <c r="R639" s="115"/>
    </row>
    <row r="640" spans="1:18" ht="15.75" customHeight="1">
      <c r="A640" s="115"/>
      <c r="B640" s="115"/>
      <c r="C640" s="118"/>
      <c r="D640" s="118"/>
      <c r="E640" s="118"/>
      <c r="F640" s="115"/>
      <c r="G640" s="115"/>
      <c r="H640" s="170"/>
      <c r="I640" s="172"/>
      <c r="J640" s="115"/>
      <c r="Q640" s="115"/>
      <c r="R640" s="115"/>
    </row>
    <row r="641" spans="1:18" ht="15.75" customHeight="1">
      <c r="A641" s="115"/>
      <c r="B641" s="115"/>
      <c r="C641" s="118"/>
      <c r="D641" s="118"/>
      <c r="E641" s="118"/>
      <c r="F641" s="115"/>
      <c r="G641" s="115"/>
      <c r="H641" s="170"/>
      <c r="I641" s="172"/>
      <c r="J641" s="115"/>
      <c r="Q641" s="115"/>
      <c r="R641" s="115"/>
    </row>
    <row r="642" spans="1:18" ht="15.75" customHeight="1">
      <c r="A642" s="115"/>
      <c r="B642" s="115"/>
      <c r="C642" s="118"/>
      <c r="D642" s="118"/>
      <c r="E642" s="118"/>
      <c r="F642" s="115"/>
      <c r="G642" s="115"/>
      <c r="H642" s="170"/>
      <c r="I642" s="172"/>
      <c r="J642" s="115"/>
      <c r="Q642" s="115"/>
      <c r="R642" s="115"/>
    </row>
    <row r="643" spans="1:18" ht="15.75" customHeight="1">
      <c r="A643" s="115"/>
      <c r="B643" s="115"/>
      <c r="C643" s="118"/>
      <c r="D643" s="118"/>
      <c r="E643" s="118"/>
      <c r="F643" s="115"/>
      <c r="G643" s="115"/>
      <c r="H643" s="170"/>
      <c r="I643" s="172"/>
      <c r="J643" s="115"/>
      <c r="Q643" s="115"/>
      <c r="R643" s="115"/>
    </row>
    <row r="644" spans="1:18" ht="15.75" customHeight="1">
      <c r="A644" s="115"/>
      <c r="B644" s="115"/>
      <c r="C644" s="118"/>
      <c r="D644" s="118"/>
      <c r="E644" s="118"/>
      <c r="F644" s="115"/>
      <c r="G644" s="115"/>
      <c r="H644" s="170"/>
      <c r="I644" s="172"/>
      <c r="J644" s="115"/>
      <c r="Q644" s="115"/>
      <c r="R644" s="115"/>
    </row>
    <row r="645" spans="1:18" ht="15.75" customHeight="1">
      <c r="A645" s="115"/>
      <c r="B645" s="115"/>
      <c r="C645" s="118"/>
      <c r="D645" s="118"/>
      <c r="E645" s="118"/>
      <c r="F645" s="115"/>
      <c r="G645" s="115"/>
      <c r="H645" s="170"/>
      <c r="I645" s="172"/>
      <c r="J645" s="115"/>
      <c r="Q645" s="115"/>
      <c r="R645" s="115"/>
    </row>
    <row r="646" spans="1:18" ht="15.75" customHeight="1">
      <c r="A646" s="115"/>
      <c r="B646" s="115"/>
      <c r="C646" s="118"/>
      <c r="D646" s="118"/>
      <c r="E646" s="118"/>
      <c r="F646" s="115"/>
      <c r="G646" s="115"/>
      <c r="H646" s="170"/>
      <c r="I646" s="172"/>
      <c r="J646" s="115"/>
      <c r="Q646" s="115"/>
      <c r="R646" s="115"/>
    </row>
    <row r="647" spans="1:18" ht="15.75" customHeight="1">
      <c r="A647" s="115"/>
      <c r="B647" s="115"/>
      <c r="C647" s="118"/>
      <c r="D647" s="118"/>
      <c r="E647" s="118"/>
      <c r="F647" s="115"/>
      <c r="G647" s="115"/>
      <c r="H647" s="170"/>
      <c r="I647" s="172"/>
      <c r="J647" s="115"/>
      <c r="Q647" s="115"/>
      <c r="R647" s="115"/>
    </row>
    <row r="648" spans="1:18" ht="15.75" customHeight="1">
      <c r="A648" s="115"/>
      <c r="B648" s="115"/>
      <c r="C648" s="118"/>
      <c r="D648" s="118"/>
      <c r="E648" s="118"/>
      <c r="F648" s="115"/>
      <c r="G648" s="115"/>
      <c r="H648" s="170"/>
      <c r="I648" s="172"/>
      <c r="J648" s="115"/>
      <c r="Q648" s="115"/>
      <c r="R648" s="115"/>
    </row>
    <row r="649" spans="1:18" ht="15.75" customHeight="1">
      <c r="A649" s="115"/>
      <c r="B649" s="115"/>
      <c r="C649" s="118"/>
      <c r="D649" s="118"/>
      <c r="E649" s="118"/>
      <c r="F649" s="115"/>
      <c r="G649" s="115"/>
      <c r="H649" s="170"/>
      <c r="I649" s="172"/>
      <c r="J649" s="115"/>
      <c r="Q649" s="115"/>
      <c r="R649" s="115"/>
    </row>
    <row r="650" spans="1:18" ht="15.75" customHeight="1">
      <c r="A650" s="115"/>
      <c r="B650" s="115"/>
      <c r="C650" s="118"/>
      <c r="D650" s="118"/>
      <c r="E650" s="118"/>
      <c r="F650" s="115"/>
      <c r="G650" s="115"/>
      <c r="H650" s="170"/>
      <c r="I650" s="172"/>
      <c r="J650" s="115"/>
      <c r="Q650" s="115"/>
      <c r="R650" s="115"/>
    </row>
    <row r="651" spans="1:18" ht="15.75" customHeight="1">
      <c r="A651" s="115"/>
      <c r="B651" s="115"/>
      <c r="C651" s="118"/>
      <c r="D651" s="118"/>
      <c r="E651" s="118"/>
      <c r="F651" s="115"/>
      <c r="G651" s="115"/>
      <c r="H651" s="170"/>
      <c r="I651" s="172"/>
      <c r="J651" s="115"/>
      <c r="Q651" s="115"/>
      <c r="R651" s="115"/>
    </row>
    <row r="652" spans="1:18" ht="15.75" customHeight="1">
      <c r="A652" s="115"/>
      <c r="B652" s="115"/>
      <c r="C652" s="118"/>
      <c r="D652" s="118"/>
      <c r="E652" s="118"/>
      <c r="F652" s="115"/>
      <c r="G652" s="115"/>
      <c r="H652" s="170"/>
      <c r="I652" s="172"/>
      <c r="J652" s="115"/>
      <c r="Q652" s="115"/>
      <c r="R652" s="115"/>
    </row>
    <row r="653" spans="1:18" ht="15.75" customHeight="1">
      <c r="A653" s="115"/>
      <c r="B653" s="115"/>
      <c r="C653" s="118"/>
      <c r="D653" s="118"/>
      <c r="E653" s="118"/>
      <c r="F653" s="115"/>
      <c r="G653" s="115"/>
      <c r="H653" s="170"/>
      <c r="I653" s="172"/>
      <c r="J653" s="115"/>
      <c r="Q653" s="115"/>
      <c r="R653" s="115"/>
    </row>
    <row r="654" spans="1:18" ht="15.75" customHeight="1">
      <c r="A654" s="115"/>
      <c r="B654" s="115"/>
      <c r="C654" s="118"/>
      <c r="D654" s="118"/>
      <c r="E654" s="118"/>
      <c r="F654" s="115"/>
      <c r="G654" s="115"/>
      <c r="H654" s="170"/>
      <c r="I654" s="172"/>
      <c r="J654" s="115"/>
      <c r="Q654" s="115"/>
      <c r="R654" s="115"/>
    </row>
    <row r="655" spans="1:18" ht="15.75" customHeight="1">
      <c r="A655" s="115"/>
      <c r="B655" s="115"/>
      <c r="C655" s="118"/>
      <c r="D655" s="118"/>
      <c r="E655" s="118"/>
      <c r="F655" s="115"/>
      <c r="G655" s="115"/>
      <c r="H655" s="170"/>
      <c r="I655" s="172"/>
      <c r="J655" s="115"/>
      <c r="Q655" s="115"/>
      <c r="R655" s="115"/>
    </row>
    <row r="656" spans="1:18" ht="15.75" customHeight="1">
      <c r="A656" s="115"/>
      <c r="B656" s="115"/>
      <c r="C656" s="118"/>
      <c r="D656" s="118"/>
      <c r="E656" s="118"/>
      <c r="F656" s="115"/>
      <c r="G656" s="115"/>
      <c r="H656" s="170"/>
      <c r="I656" s="172"/>
      <c r="J656" s="115"/>
      <c r="Q656" s="115"/>
      <c r="R656" s="115"/>
    </row>
    <row r="657" spans="1:18" ht="15.75" customHeight="1">
      <c r="A657" s="115"/>
      <c r="B657" s="115"/>
      <c r="C657" s="118"/>
      <c r="D657" s="118"/>
      <c r="E657" s="118"/>
      <c r="F657" s="115"/>
      <c r="G657" s="115"/>
      <c r="H657" s="170"/>
      <c r="I657" s="172"/>
      <c r="J657" s="115"/>
      <c r="Q657" s="115"/>
      <c r="R657" s="115"/>
    </row>
    <row r="658" spans="1:18" ht="15.75" customHeight="1">
      <c r="A658" s="115"/>
      <c r="B658" s="115"/>
      <c r="C658" s="118"/>
      <c r="D658" s="118"/>
      <c r="E658" s="118"/>
      <c r="F658" s="115"/>
      <c r="G658" s="115"/>
      <c r="H658" s="170"/>
      <c r="I658" s="172"/>
      <c r="J658" s="115"/>
      <c r="Q658" s="115"/>
      <c r="R658" s="115"/>
    </row>
    <row r="659" spans="1:18" ht="15.75" customHeight="1">
      <c r="A659" s="115"/>
      <c r="B659" s="115"/>
      <c r="C659" s="118"/>
      <c r="D659" s="118"/>
      <c r="E659" s="118"/>
      <c r="F659" s="115"/>
      <c r="G659" s="115"/>
      <c r="H659" s="170"/>
      <c r="I659" s="172"/>
      <c r="J659" s="115"/>
      <c r="Q659" s="115"/>
      <c r="R659" s="115"/>
    </row>
    <row r="660" spans="1:18" ht="15.75" customHeight="1">
      <c r="A660" s="115"/>
      <c r="B660" s="115"/>
      <c r="C660" s="118"/>
      <c r="D660" s="118"/>
      <c r="E660" s="118"/>
      <c r="F660" s="115"/>
      <c r="G660" s="115"/>
      <c r="H660" s="170"/>
      <c r="I660" s="172"/>
      <c r="J660" s="115"/>
      <c r="Q660" s="115"/>
      <c r="R660" s="115"/>
    </row>
    <row r="661" spans="1:18" ht="15.75" customHeight="1">
      <c r="A661" s="115"/>
      <c r="B661" s="115"/>
      <c r="C661" s="118"/>
      <c r="D661" s="118"/>
      <c r="E661" s="118"/>
      <c r="F661" s="115"/>
      <c r="G661" s="115"/>
      <c r="H661" s="170"/>
      <c r="I661" s="172"/>
      <c r="J661" s="115"/>
      <c r="Q661" s="115"/>
      <c r="R661" s="115"/>
    </row>
    <row r="662" spans="1:18" ht="15.75" customHeight="1">
      <c r="A662" s="115"/>
      <c r="B662" s="115"/>
      <c r="C662" s="118"/>
      <c r="D662" s="118"/>
      <c r="E662" s="118"/>
      <c r="F662" s="115"/>
      <c r="G662" s="115"/>
      <c r="H662" s="170"/>
      <c r="I662" s="172"/>
      <c r="J662" s="115"/>
      <c r="Q662" s="115"/>
      <c r="R662" s="115"/>
    </row>
    <row r="663" spans="1:18" ht="15.75" customHeight="1">
      <c r="A663" s="115"/>
      <c r="B663" s="115"/>
      <c r="C663" s="118"/>
      <c r="D663" s="118"/>
      <c r="E663" s="118"/>
      <c r="F663" s="115"/>
      <c r="G663" s="115"/>
      <c r="H663" s="170"/>
      <c r="I663" s="172"/>
      <c r="J663" s="115"/>
      <c r="Q663" s="115"/>
      <c r="R663" s="115"/>
    </row>
    <row r="664" spans="1:18" ht="15.75" customHeight="1">
      <c r="A664" s="115"/>
      <c r="B664" s="115"/>
      <c r="C664" s="118"/>
      <c r="D664" s="118"/>
      <c r="E664" s="118"/>
      <c r="F664" s="115"/>
      <c r="G664" s="115"/>
      <c r="H664" s="170"/>
      <c r="I664" s="172"/>
      <c r="J664" s="115"/>
      <c r="Q664" s="115"/>
      <c r="R664" s="115"/>
    </row>
    <row r="665" spans="1:18" ht="15.75" customHeight="1">
      <c r="A665" s="115"/>
      <c r="B665" s="115"/>
      <c r="C665" s="118"/>
      <c r="D665" s="118"/>
      <c r="E665" s="118"/>
      <c r="F665" s="115"/>
      <c r="G665" s="115"/>
      <c r="H665" s="170"/>
      <c r="I665" s="172"/>
      <c r="J665" s="115"/>
      <c r="Q665" s="115"/>
      <c r="R665" s="115"/>
    </row>
    <row r="666" spans="1:18" ht="15.75" customHeight="1">
      <c r="A666" s="115"/>
      <c r="B666" s="115"/>
      <c r="C666" s="118"/>
      <c r="D666" s="118"/>
      <c r="E666" s="118"/>
      <c r="F666" s="115"/>
      <c r="G666" s="115"/>
      <c r="H666" s="170"/>
      <c r="I666" s="172"/>
      <c r="J666" s="115"/>
      <c r="Q666" s="115"/>
      <c r="R666" s="115"/>
    </row>
    <row r="667" spans="1:18" ht="15.75" customHeight="1">
      <c r="A667" s="115"/>
      <c r="B667" s="115"/>
      <c r="C667" s="118"/>
      <c r="D667" s="118"/>
      <c r="E667" s="118"/>
      <c r="F667" s="115"/>
      <c r="G667" s="115"/>
      <c r="H667" s="170"/>
      <c r="I667" s="172"/>
      <c r="J667" s="115"/>
      <c r="Q667" s="115"/>
      <c r="R667" s="115"/>
    </row>
    <row r="668" spans="1:18" ht="15.75" customHeight="1">
      <c r="A668" s="115"/>
      <c r="B668" s="115"/>
      <c r="C668" s="118"/>
      <c r="D668" s="118"/>
      <c r="E668" s="118"/>
      <c r="F668" s="115"/>
      <c r="G668" s="115"/>
      <c r="H668" s="170"/>
      <c r="I668" s="172"/>
      <c r="J668" s="115"/>
      <c r="Q668" s="115"/>
      <c r="R668" s="115"/>
    </row>
    <row r="669" spans="1:18" ht="15.75" customHeight="1">
      <c r="A669" s="115"/>
      <c r="B669" s="115"/>
      <c r="C669" s="118"/>
      <c r="D669" s="118"/>
      <c r="E669" s="118"/>
      <c r="F669" s="115"/>
      <c r="G669" s="115"/>
      <c r="H669" s="170"/>
      <c r="I669" s="172"/>
      <c r="J669" s="115"/>
      <c r="Q669" s="115"/>
      <c r="R669" s="115"/>
    </row>
    <row r="670" spans="1:18" ht="15.75" customHeight="1">
      <c r="A670" s="115"/>
      <c r="B670" s="115"/>
      <c r="C670" s="118"/>
      <c r="D670" s="118"/>
      <c r="E670" s="118"/>
      <c r="F670" s="115"/>
      <c r="G670" s="115"/>
      <c r="H670" s="170"/>
      <c r="I670" s="172"/>
      <c r="J670" s="115"/>
      <c r="Q670" s="115"/>
      <c r="R670" s="115"/>
    </row>
    <row r="671" spans="1:18" ht="15.75" customHeight="1">
      <c r="A671" s="115"/>
      <c r="B671" s="115"/>
      <c r="C671" s="118"/>
      <c r="D671" s="118"/>
      <c r="E671" s="118"/>
      <c r="F671" s="115"/>
      <c r="G671" s="115"/>
      <c r="H671" s="170"/>
      <c r="I671" s="172"/>
      <c r="J671" s="115"/>
      <c r="Q671" s="115"/>
      <c r="R671" s="115"/>
    </row>
    <row r="672" spans="1:18" ht="15.75" customHeight="1">
      <c r="A672" s="115"/>
      <c r="B672" s="115"/>
      <c r="C672" s="118"/>
      <c r="D672" s="118"/>
      <c r="E672" s="118"/>
      <c r="F672" s="115"/>
      <c r="G672" s="115"/>
      <c r="H672" s="170"/>
      <c r="I672" s="172"/>
      <c r="J672" s="115"/>
      <c r="Q672" s="115"/>
      <c r="R672" s="115"/>
    </row>
    <row r="673" spans="1:18" ht="15.75" customHeight="1">
      <c r="A673" s="115"/>
      <c r="B673" s="115"/>
      <c r="C673" s="118"/>
      <c r="D673" s="118"/>
      <c r="E673" s="118"/>
      <c r="F673" s="115"/>
      <c r="G673" s="115"/>
      <c r="H673" s="170"/>
      <c r="I673" s="172"/>
      <c r="J673" s="115"/>
      <c r="Q673" s="115"/>
      <c r="R673" s="115"/>
    </row>
    <row r="674" spans="1:18" ht="15.75" customHeight="1">
      <c r="A674" s="115"/>
      <c r="B674" s="115"/>
      <c r="C674" s="118"/>
      <c r="D674" s="118"/>
      <c r="E674" s="118"/>
      <c r="F674" s="115"/>
      <c r="G674" s="115"/>
      <c r="H674" s="170"/>
      <c r="I674" s="172"/>
      <c r="J674" s="115"/>
      <c r="Q674" s="115"/>
      <c r="R674" s="115"/>
    </row>
    <row r="675" spans="1:18" ht="15.75" customHeight="1">
      <c r="A675" s="115"/>
      <c r="B675" s="115"/>
      <c r="C675" s="118"/>
      <c r="D675" s="118"/>
      <c r="E675" s="118"/>
      <c r="F675" s="115"/>
      <c r="G675" s="115"/>
      <c r="H675" s="170"/>
      <c r="I675" s="172"/>
      <c r="J675" s="115"/>
      <c r="Q675" s="115"/>
      <c r="R675" s="115"/>
    </row>
    <row r="676" spans="1:18" ht="15.75" customHeight="1">
      <c r="A676" s="115"/>
      <c r="B676" s="115"/>
      <c r="C676" s="118"/>
      <c r="D676" s="118"/>
      <c r="E676" s="118"/>
      <c r="F676" s="115"/>
      <c r="G676" s="115"/>
      <c r="H676" s="170"/>
      <c r="I676" s="172"/>
      <c r="J676" s="115"/>
      <c r="Q676" s="115"/>
      <c r="R676" s="115"/>
    </row>
    <row r="677" spans="1:18" ht="15.75" customHeight="1">
      <c r="A677" s="115"/>
      <c r="B677" s="115"/>
      <c r="C677" s="118"/>
      <c r="D677" s="118"/>
      <c r="E677" s="118"/>
      <c r="F677" s="115"/>
      <c r="G677" s="115"/>
      <c r="H677" s="170"/>
      <c r="I677" s="172"/>
      <c r="J677" s="115"/>
      <c r="Q677" s="115"/>
      <c r="R677" s="115"/>
    </row>
    <row r="678" spans="1:18" ht="15.75" customHeight="1">
      <c r="A678" s="115"/>
      <c r="B678" s="115"/>
      <c r="C678" s="118"/>
      <c r="D678" s="118"/>
      <c r="E678" s="118"/>
      <c r="F678" s="115"/>
      <c r="G678" s="115"/>
      <c r="H678" s="170"/>
      <c r="I678" s="172"/>
      <c r="J678" s="115"/>
      <c r="Q678" s="115"/>
      <c r="R678" s="115"/>
    </row>
    <row r="679" spans="1:18" ht="15.75" customHeight="1">
      <c r="A679" s="115"/>
      <c r="B679" s="115"/>
      <c r="C679" s="118"/>
      <c r="D679" s="118"/>
      <c r="E679" s="118"/>
      <c r="F679" s="115"/>
      <c r="G679" s="115"/>
      <c r="H679" s="170"/>
      <c r="I679" s="172"/>
      <c r="J679" s="115"/>
      <c r="Q679" s="115"/>
      <c r="R679" s="115"/>
    </row>
    <row r="680" spans="1:18" ht="15.75" customHeight="1">
      <c r="A680" s="115"/>
      <c r="B680" s="115"/>
      <c r="C680" s="118"/>
      <c r="D680" s="118"/>
      <c r="E680" s="118"/>
      <c r="F680" s="115"/>
      <c r="G680" s="115"/>
      <c r="H680" s="170"/>
      <c r="I680" s="172"/>
      <c r="J680" s="115"/>
      <c r="Q680" s="115"/>
      <c r="R680" s="115"/>
    </row>
    <row r="681" spans="1:18" ht="15.75" customHeight="1">
      <c r="A681" s="115"/>
      <c r="B681" s="115"/>
      <c r="C681" s="118"/>
      <c r="D681" s="118"/>
      <c r="E681" s="118"/>
      <c r="F681" s="115"/>
      <c r="G681" s="115"/>
      <c r="H681" s="170"/>
      <c r="I681" s="172"/>
      <c r="J681" s="115"/>
      <c r="Q681" s="115"/>
      <c r="R681" s="115"/>
    </row>
    <row r="682" spans="1:18" ht="15.75" customHeight="1">
      <c r="A682" s="115"/>
      <c r="B682" s="115"/>
      <c r="C682" s="118"/>
      <c r="D682" s="118"/>
      <c r="E682" s="118"/>
      <c r="F682" s="115"/>
      <c r="G682" s="115"/>
      <c r="H682" s="170"/>
      <c r="I682" s="172"/>
      <c r="J682" s="115"/>
      <c r="Q682" s="115"/>
      <c r="R682" s="115"/>
    </row>
    <row r="683" spans="1:18" ht="15.75" customHeight="1">
      <c r="A683" s="115"/>
      <c r="B683" s="115"/>
      <c r="C683" s="118"/>
      <c r="D683" s="118"/>
      <c r="E683" s="118"/>
      <c r="F683" s="115"/>
      <c r="G683" s="115"/>
      <c r="H683" s="170"/>
      <c r="I683" s="172"/>
      <c r="J683" s="115"/>
      <c r="Q683" s="115"/>
      <c r="R683" s="115"/>
    </row>
    <row r="684" spans="1:18" ht="15.75" customHeight="1">
      <c r="A684" s="115"/>
      <c r="B684" s="115"/>
      <c r="C684" s="118"/>
      <c r="D684" s="118"/>
      <c r="E684" s="118"/>
      <c r="F684" s="115"/>
      <c r="G684" s="115"/>
      <c r="H684" s="170"/>
      <c r="I684" s="172"/>
      <c r="J684" s="115"/>
      <c r="Q684" s="115"/>
      <c r="R684" s="115"/>
    </row>
    <row r="685" spans="1:18" ht="15.75" customHeight="1">
      <c r="A685" s="115"/>
      <c r="B685" s="115"/>
      <c r="C685" s="118"/>
      <c r="D685" s="118"/>
      <c r="E685" s="118"/>
      <c r="F685" s="115"/>
      <c r="G685" s="115"/>
      <c r="H685" s="170"/>
      <c r="I685" s="172"/>
      <c r="J685" s="115"/>
      <c r="Q685" s="115"/>
      <c r="R685" s="115"/>
    </row>
    <row r="686" spans="1:18" ht="15.75" customHeight="1">
      <c r="A686" s="115"/>
      <c r="B686" s="115"/>
      <c r="C686" s="118"/>
      <c r="D686" s="118"/>
      <c r="E686" s="118"/>
      <c r="F686" s="115"/>
      <c r="G686" s="115"/>
      <c r="H686" s="170"/>
      <c r="I686" s="172"/>
      <c r="J686" s="115"/>
      <c r="Q686" s="115"/>
      <c r="R686" s="115"/>
    </row>
    <row r="687" spans="1:18" ht="15.75" customHeight="1">
      <c r="A687" s="115"/>
      <c r="B687" s="115"/>
      <c r="C687" s="118"/>
      <c r="D687" s="118"/>
      <c r="E687" s="118"/>
      <c r="F687" s="115"/>
      <c r="G687" s="115"/>
      <c r="H687" s="170"/>
      <c r="I687" s="172"/>
      <c r="J687" s="115"/>
      <c r="Q687" s="115"/>
      <c r="R687" s="115"/>
    </row>
    <row r="688" spans="1:18" ht="15.75" customHeight="1">
      <c r="A688" s="115"/>
      <c r="B688" s="115"/>
      <c r="C688" s="118"/>
      <c r="D688" s="118"/>
      <c r="E688" s="118"/>
      <c r="F688" s="115"/>
      <c r="G688" s="115"/>
      <c r="H688" s="170"/>
      <c r="I688" s="172"/>
      <c r="J688" s="115"/>
      <c r="Q688" s="115"/>
      <c r="R688" s="115"/>
    </row>
    <row r="689" spans="1:18" ht="15.75" customHeight="1">
      <c r="A689" s="115"/>
      <c r="B689" s="115"/>
      <c r="C689" s="118"/>
      <c r="D689" s="118"/>
      <c r="E689" s="118"/>
      <c r="F689" s="115"/>
      <c r="G689" s="115"/>
      <c r="H689" s="170"/>
      <c r="I689" s="172"/>
      <c r="J689" s="115"/>
      <c r="Q689" s="115"/>
      <c r="R689" s="115"/>
    </row>
    <row r="690" spans="1:18" ht="15.75" customHeight="1">
      <c r="A690" s="115"/>
      <c r="B690" s="115"/>
      <c r="C690" s="118"/>
      <c r="D690" s="118"/>
      <c r="E690" s="118"/>
      <c r="F690" s="115"/>
      <c r="G690" s="115"/>
      <c r="H690" s="170"/>
      <c r="I690" s="172"/>
      <c r="J690" s="115"/>
      <c r="Q690" s="115"/>
      <c r="R690" s="115"/>
    </row>
    <row r="691" spans="1:18" ht="15.75" customHeight="1">
      <c r="A691" s="115"/>
      <c r="B691" s="115"/>
      <c r="C691" s="118"/>
      <c r="D691" s="118"/>
      <c r="E691" s="118"/>
      <c r="F691" s="115"/>
      <c r="G691" s="115"/>
      <c r="H691" s="170"/>
      <c r="I691" s="172"/>
      <c r="J691" s="115"/>
      <c r="Q691" s="115"/>
      <c r="R691" s="115"/>
    </row>
    <row r="692" spans="1:18" ht="15.75" customHeight="1">
      <c r="A692" s="115"/>
      <c r="B692" s="115"/>
      <c r="C692" s="118"/>
      <c r="D692" s="118"/>
      <c r="E692" s="118"/>
      <c r="F692" s="115"/>
      <c r="G692" s="115"/>
      <c r="H692" s="170"/>
      <c r="I692" s="172"/>
      <c r="J692" s="115"/>
      <c r="Q692" s="115"/>
      <c r="R692" s="115"/>
    </row>
    <row r="693" spans="1:18" ht="15.75" customHeight="1">
      <c r="A693" s="115"/>
      <c r="B693" s="115"/>
      <c r="C693" s="118"/>
      <c r="D693" s="118"/>
      <c r="E693" s="118"/>
      <c r="F693" s="115"/>
      <c r="G693" s="115"/>
      <c r="H693" s="170"/>
      <c r="I693" s="172"/>
      <c r="J693" s="115"/>
      <c r="Q693" s="115"/>
      <c r="R693" s="115"/>
    </row>
    <row r="694" spans="1:18" ht="15.75" customHeight="1">
      <c r="A694" s="115"/>
      <c r="B694" s="115"/>
      <c r="C694" s="118"/>
      <c r="D694" s="118"/>
      <c r="E694" s="118"/>
      <c r="F694" s="115"/>
      <c r="G694" s="115"/>
      <c r="H694" s="170"/>
      <c r="I694" s="172"/>
      <c r="J694" s="115"/>
      <c r="Q694" s="115"/>
      <c r="R694" s="115"/>
    </row>
    <row r="695" spans="1:18" ht="15.75" customHeight="1">
      <c r="A695" s="115"/>
      <c r="B695" s="115"/>
      <c r="C695" s="118"/>
      <c r="D695" s="118"/>
      <c r="E695" s="118"/>
      <c r="F695" s="115"/>
      <c r="G695" s="115"/>
      <c r="H695" s="170"/>
      <c r="I695" s="172"/>
      <c r="J695" s="115"/>
      <c r="Q695" s="115"/>
      <c r="R695" s="115"/>
    </row>
    <row r="696" spans="1:18" ht="15.75" customHeight="1">
      <c r="A696" s="115"/>
      <c r="B696" s="115"/>
      <c r="C696" s="118"/>
      <c r="D696" s="118"/>
      <c r="E696" s="118"/>
      <c r="F696" s="115"/>
      <c r="G696" s="115"/>
      <c r="H696" s="170"/>
      <c r="I696" s="172"/>
      <c r="J696" s="115"/>
      <c r="Q696" s="115"/>
      <c r="R696" s="115"/>
    </row>
    <row r="697" spans="1:18" ht="15.75" customHeight="1">
      <c r="A697" s="115"/>
      <c r="B697" s="115"/>
      <c r="C697" s="118"/>
      <c r="D697" s="118"/>
      <c r="E697" s="118"/>
      <c r="F697" s="115"/>
      <c r="G697" s="115"/>
      <c r="H697" s="170"/>
      <c r="I697" s="172"/>
      <c r="J697" s="115"/>
      <c r="Q697" s="115"/>
      <c r="R697" s="115"/>
    </row>
    <row r="698" spans="1:18" ht="15.75" customHeight="1">
      <c r="A698" s="115"/>
      <c r="B698" s="115"/>
      <c r="C698" s="118"/>
      <c r="D698" s="118"/>
      <c r="E698" s="118"/>
      <c r="F698" s="115"/>
      <c r="G698" s="115"/>
      <c r="H698" s="170"/>
      <c r="I698" s="172"/>
      <c r="J698" s="115"/>
      <c r="Q698" s="115"/>
      <c r="R698" s="115"/>
    </row>
    <row r="699" spans="1:18" ht="15.75" customHeight="1">
      <c r="A699" s="115"/>
      <c r="B699" s="115"/>
      <c r="C699" s="118"/>
      <c r="D699" s="118"/>
      <c r="E699" s="118"/>
      <c r="F699" s="115"/>
      <c r="G699" s="115"/>
      <c r="H699" s="170"/>
      <c r="I699" s="172"/>
      <c r="J699" s="115"/>
      <c r="Q699" s="115"/>
      <c r="R699" s="115"/>
    </row>
    <row r="700" spans="1:18" ht="15.75" customHeight="1">
      <c r="A700" s="115"/>
      <c r="B700" s="115"/>
      <c r="C700" s="118"/>
      <c r="D700" s="118"/>
      <c r="E700" s="118"/>
      <c r="F700" s="115"/>
      <c r="G700" s="115"/>
      <c r="H700" s="170"/>
      <c r="I700" s="172"/>
      <c r="J700" s="115"/>
      <c r="Q700" s="115"/>
      <c r="R700" s="115"/>
    </row>
    <row r="701" spans="1:18" ht="15.75" customHeight="1">
      <c r="A701" s="115"/>
      <c r="B701" s="115"/>
      <c r="C701" s="118"/>
      <c r="D701" s="118"/>
      <c r="E701" s="118"/>
      <c r="F701" s="115"/>
      <c r="G701" s="115"/>
      <c r="H701" s="170"/>
      <c r="I701" s="172"/>
      <c r="J701" s="115"/>
      <c r="Q701" s="115"/>
      <c r="R701" s="115"/>
    </row>
    <row r="702" spans="1:18" ht="15.75" customHeight="1">
      <c r="A702" s="115"/>
      <c r="B702" s="115"/>
      <c r="C702" s="118"/>
      <c r="D702" s="118"/>
      <c r="E702" s="118"/>
      <c r="F702" s="115"/>
      <c r="G702" s="115"/>
      <c r="H702" s="170"/>
      <c r="I702" s="172"/>
      <c r="J702" s="115"/>
      <c r="Q702" s="115"/>
      <c r="R702" s="115"/>
    </row>
    <row r="703" spans="1:18" ht="15.75" customHeight="1">
      <c r="A703" s="115"/>
      <c r="B703" s="115"/>
      <c r="C703" s="118"/>
      <c r="D703" s="118"/>
      <c r="E703" s="118"/>
      <c r="F703" s="115"/>
      <c r="G703" s="115"/>
      <c r="H703" s="170"/>
      <c r="I703" s="172"/>
      <c r="J703" s="115"/>
      <c r="Q703" s="115"/>
      <c r="R703" s="115"/>
    </row>
    <row r="704" spans="1:18" ht="15.75" customHeight="1">
      <c r="A704" s="115"/>
      <c r="B704" s="115"/>
      <c r="C704" s="118"/>
      <c r="D704" s="118"/>
      <c r="E704" s="118"/>
      <c r="F704" s="115"/>
      <c r="G704" s="115"/>
      <c r="H704" s="170"/>
      <c r="I704" s="172"/>
      <c r="J704" s="115"/>
      <c r="Q704" s="115"/>
      <c r="R704" s="115"/>
    </row>
    <row r="705" spans="1:18" ht="15.75" customHeight="1">
      <c r="A705" s="115"/>
      <c r="B705" s="115"/>
      <c r="C705" s="118"/>
      <c r="D705" s="118"/>
      <c r="E705" s="118"/>
      <c r="F705" s="115"/>
      <c r="G705" s="115"/>
      <c r="H705" s="170"/>
      <c r="I705" s="172"/>
      <c r="J705" s="115"/>
      <c r="Q705" s="115"/>
      <c r="R705" s="115"/>
    </row>
    <row r="706" spans="1:18" ht="15.75" customHeight="1">
      <c r="A706" s="115"/>
      <c r="B706" s="115"/>
      <c r="C706" s="118"/>
      <c r="D706" s="118"/>
      <c r="E706" s="118"/>
      <c r="F706" s="115"/>
      <c r="G706" s="115"/>
      <c r="H706" s="170"/>
      <c r="I706" s="172"/>
      <c r="J706" s="115"/>
      <c r="Q706" s="115"/>
      <c r="R706" s="115"/>
    </row>
    <row r="707" spans="1:18" ht="15.75" customHeight="1">
      <c r="A707" s="115"/>
      <c r="B707" s="115"/>
      <c r="C707" s="118"/>
      <c r="D707" s="118"/>
      <c r="E707" s="118"/>
      <c r="F707" s="115"/>
      <c r="G707" s="115"/>
      <c r="H707" s="170"/>
      <c r="I707" s="172"/>
      <c r="J707" s="115"/>
      <c r="Q707" s="115"/>
      <c r="R707" s="115"/>
    </row>
    <row r="708" spans="1:18" ht="15.75" customHeight="1">
      <c r="A708" s="115"/>
      <c r="B708" s="115"/>
      <c r="C708" s="118"/>
      <c r="D708" s="118"/>
      <c r="E708" s="118"/>
      <c r="F708" s="115"/>
      <c r="G708" s="115"/>
      <c r="H708" s="170"/>
      <c r="I708" s="172"/>
      <c r="J708" s="115"/>
      <c r="Q708" s="115"/>
      <c r="R708" s="115"/>
    </row>
    <row r="709" spans="1:18" ht="15.75" customHeight="1">
      <c r="A709" s="115"/>
      <c r="B709" s="115"/>
      <c r="C709" s="118"/>
      <c r="D709" s="118"/>
      <c r="E709" s="118"/>
      <c r="F709" s="115"/>
      <c r="G709" s="115"/>
      <c r="H709" s="170"/>
      <c r="I709" s="172"/>
      <c r="J709" s="115"/>
      <c r="Q709" s="115"/>
      <c r="R709" s="115"/>
    </row>
    <row r="710" spans="1:18" ht="15.75" customHeight="1">
      <c r="A710" s="115"/>
      <c r="B710" s="115"/>
      <c r="C710" s="118"/>
      <c r="D710" s="118"/>
      <c r="E710" s="118"/>
      <c r="F710" s="115"/>
      <c r="G710" s="115"/>
      <c r="H710" s="170"/>
      <c r="I710" s="172"/>
      <c r="J710" s="115"/>
      <c r="Q710" s="115"/>
      <c r="R710" s="115"/>
    </row>
    <row r="711" spans="1:18" ht="15.75" customHeight="1">
      <c r="A711" s="115"/>
      <c r="B711" s="115"/>
      <c r="C711" s="118"/>
      <c r="D711" s="118"/>
      <c r="E711" s="118"/>
      <c r="F711" s="115"/>
      <c r="G711" s="115"/>
      <c r="H711" s="170"/>
      <c r="I711" s="172"/>
      <c r="J711" s="115"/>
      <c r="Q711" s="115"/>
      <c r="R711" s="115"/>
    </row>
    <row r="712" spans="1:18" ht="15.75" customHeight="1">
      <c r="A712" s="115"/>
      <c r="B712" s="115"/>
      <c r="C712" s="118"/>
      <c r="D712" s="118"/>
      <c r="E712" s="118"/>
      <c r="F712" s="115"/>
      <c r="G712" s="115"/>
      <c r="H712" s="170"/>
      <c r="I712" s="172"/>
      <c r="J712" s="115"/>
      <c r="Q712" s="115"/>
      <c r="R712" s="115"/>
    </row>
    <row r="713" spans="1:18" ht="15.75" customHeight="1">
      <c r="A713" s="115"/>
      <c r="B713" s="115"/>
      <c r="C713" s="118"/>
      <c r="D713" s="118"/>
      <c r="E713" s="118"/>
      <c r="F713" s="115"/>
      <c r="G713" s="115"/>
      <c r="H713" s="170"/>
      <c r="I713" s="172"/>
      <c r="J713" s="115"/>
      <c r="Q713" s="115"/>
      <c r="R713" s="115"/>
    </row>
    <row r="714" spans="1:18" ht="15.75" customHeight="1">
      <c r="A714" s="115"/>
      <c r="B714" s="115"/>
      <c r="C714" s="118"/>
      <c r="D714" s="118"/>
      <c r="E714" s="118"/>
      <c r="F714" s="115"/>
      <c r="G714" s="115"/>
      <c r="H714" s="170"/>
      <c r="I714" s="172"/>
      <c r="J714" s="115"/>
      <c r="Q714" s="115"/>
      <c r="R714" s="115"/>
    </row>
    <row r="715" spans="1:18" ht="15.75" customHeight="1">
      <c r="A715" s="115"/>
      <c r="B715" s="115"/>
      <c r="C715" s="118"/>
      <c r="D715" s="118"/>
      <c r="E715" s="118"/>
      <c r="F715" s="115"/>
      <c r="G715" s="115"/>
      <c r="H715" s="170"/>
      <c r="I715" s="172"/>
      <c r="J715" s="115"/>
      <c r="Q715" s="115"/>
      <c r="R715" s="115"/>
    </row>
    <row r="716" spans="1:18" ht="15.75" customHeight="1">
      <c r="A716" s="115"/>
      <c r="B716" s="115"/>
      <c r="C716" s="118"/>
      <c r="D716" s="118"/>
      <c r="E716" s="118"/>
      <c r="F716" s="115"/>
      <c r="G716" s="115"/>
      <c r="H716" s="170"/>
      <c r="I716" s="172"/>
      <c r="J716" s="115"/>
      <c r="Q716" s="115"/>
      <c r="R716" s="115"/>
    </row>
    <row r="717" spans="1:18" ht="15.75" customHeight="1">
      <c r="A717" s="115"/>
      <c r="B717" s="115"/>
      <c r="C717" s="118"/>
      <c r="D717" s="118"/>
      <c r="E717" s="118"/>
      <c r="F717" s="115"/>
      <c r="G717" s="115"/>
      <c r="H717" s="170"/>
      <c r="I717" s="172"/>
      <c r="J717" s="115"/>
      <c r="Q717" s="115"/>
      <c r="R717" s="115"/>
    </row>
    <row r="718" spans="1:18" ht="15.75" customHeight="1">
      <c r="A718" s="115"/>
      <c r="B718" s="115"/>
      <c r="C718" s="118"/>
      <c r="D718" s="118"/>
      <c r="E718" s="118"/>
      <c r="F718" s="115"/>
      <c r="G718" s="115"/>
      <c r="H718" s="170"/>
      <c r="I718" s="172"/>
      <c r="J718" s="115"/>
      <c r="Q718" s="115"/>
      <c r="R718" s="115"/>
    </row>
    <row r="719" spans="1:18" ht="15.75" customHeight="1">
      <c r="A719" s="115"/>
      <c r="B719" s="115"/>
      <c r="C719" s="118"/>
      <c r="D719" s="118"/>
      <c r="E719" s="118"/>
      <c r="F719" s="115"/>
      <c r="G719" s="115"/>
      <c r="H719" s="170"/>
      <c r="I719" s="172"/>
      <c r="J719" s="115"/>
      <c r="Q719" s="115"/>
      <c r="R719" s="115"/>
    </row>
    <row r="720" spans="1:18" ht="15.75" customHeight="1">
      <c r="A720" s="115"/>
      <c r="B720" s="115"/>
      <c r="C720" s="118"/>
      <c r="D720" s="118"/>
      <c r="E720" s="118"/>
      <c r="F720" s="115"/>
      <c r="G720" s="115"/>
      <c r="H720" s="170"/>
      <c r="I720" s="172"/>
      <c r="J720" s="115"/>
      <c r="Q720" s="115"/>
      <c r="R720" s="115"/>
    </row>
    <row r="721" spans="1:18" ht="15.75" customHeight="1">
      <c r="A721" s="115"/>
      <c r="B721" s="115"/>
      <c r="C721" s="118"/>
      <c r="D721" s="118"/>
      <c r="E721" s="118"/>
      <c r="F721" s="115"/>
      <c r="G721" s="115"/>
      <c r="H721" s="170"/>
      <c r="I721" s="172"/>
      <c r="J721" s="115"/>
      <c r="Q721" s="115"/>
      <c r="R721" s="115"/>
    </row>
    <row r="722" spans="1:18" ht="15.75" customHeight="1">
      <c r="A722" s="115"/>
      <c r="B722" s="115"/>
      <c r="C722" s="118"/>
      <c r="D722" s="118"/>
      <c r="E722" s="118"/>
      <c r="F722" s="115"/>
      <c r="G722" s="115"/>
      <c r="H722" s="170"/>
      <c r="I722" s="172"/>
      <c r="J722" s="115"/>
      <c r="Q722" s="115"/>
      <c r="R722" s="115"/>
    </row>
    <row r="723" spans="1:18" ht="15.75" customHeight="1">
      <c r="A723" s="115"/>
      <c r="B723" s="115"/>
      <c r="C723" s="118"/>
      <c r="D723" s="118"/>
      <c r="E723" s="118"/>
      <c r="F723" s="115"/>
      <c r="G723" s="115"/>
      <c r="H723" s="170"/>
      <c r="I723" s="172"/>
      <c r="J723" s="115"/>
      <c r="Q723" s="115"/>
      <c r="R723" s="115"/>
    </row>
    <row r="724" spans="1:18" ht="15.75" customHeight="1">
      <c r="A724" s="115"/>
      <c r="B724" s="115"/>
      <c r="C724" s="118"/>
      <c r="D724" s="118"/>
      <c r="E724" s="118"/>
      <c r="F724" s="115"/>
      <c r="G724" s="115"/>
      <c r="H724" s="170"/>
      <c r="I724" s="172"/>
      <c r="J724" s="115"/>
      <c r="Q724" s="115"/>
      <c r="R724" s="115"/>
    </row>
    <row r="725" spans="1:18" ht="15.75" customHeight="1">
      <c r="A725" s="115"/>
      <c r="B725" s="115"/>
      <c r="C725" s="118"/>
      <c r="D725" s="118"/>
      <c r="E725" s="118"/>
      <c r="F725" s="115"/>
      <c r="G725" s="115"/>
      <c r="H725" s="170"/>
      <c r="I725" s="172"/>
      <c r="J725" s="115"/>
      <c r="Q725" s="115"/>
      <c r="R725" s="115"/>
    </row>
    <row r="726" spans="1:18" ht="15.75" customHeight="1">
      <c r="A726" s="115"/>
      <c r="B726" s="115"/>
      <c r="C726" s="118"/>
      <c r="D726" s="118"/>
      <c r="E726" s="118"/>
      <c r="F726" s="115"/>
      <c r="G726" s="115"/>
      <c r="H726" s="170"/>
      <c r="I726" s="172"/>
      <c r="J726" s="115"/>
      <c r="Q726" s="115"/>
      <c r="R726" s="115"/>
    </row>
    <row r="727" spans="1:18" ht="15.75" customHeight="1">
      <c r="A727" s="115"/>
      <c r="B727" s="115"/>
      <c r="C727" s="118"/>
      <c r="D727" s="118"/>
      <c r="E727" s="118"/>
      <c r="F727" s="115"/>
      <c r="G727" s="115"/>
      <c r="H727" s="170"/>
      <c r="I727" s="172"/>
      <c r="J727" s="115"/>
      <c r="Q727" s="115"/>
      <c r="R727" s="115"/>
    </row>
    <row r="728" spans="1:18" ht="15.75" customHeight="1">
      <c r="A728" s="115"/>
      <c r="B728" s="115"/>
      <c r="C728" s="118"/>
      <c r="D728" s="118"/>
      <c r="E728" s="118"/>
      <c r="F728" s="115"/>
      <c r="G728" s="115"/>
      <c r="H728" s="170"/>
      <c r="I728" s="172"/>
      <c r="J728" s="115"/>
      <c r="Q728" s="115"/>
      <c r="R728" s="115"/>
    </row>
    <row r="729" spans="1:18" ht="15.75" customHeight="1">
      <c r="A729" s="115"/>
      <c r="B729" s="115"/>
      <c r="C729" s="118"/>
      <c r="D729" s="118"/>
      <c r="E729" s="118"/>
      <c r="F729" s="115"/>
      <c r="G729" s="115"/>
      <c r="H729" s="170"/>
      <c r="I729" s="172"/>
      <c r="J729" s="115"/>
      <c r="Q729" s="115"/>
      <c r="R729" s="115"/>
    </row>
    <row r="730" spans="1:18" ht="15.75" customHeight="1">
      <c r="A730" s="115"/>
      <c r="B730" s="115"/>
      <c r="C730" s="118"/>
      <c r="D730" s="118"/>
      <c r="E730" s="118"/>
      <c r="F730" s="115"/>
      <c r="G730" s="115"/>
      <c r="H730" s="170"/>
      <c r="I730" s="172"/>
      <c r="J730" s="115"/>
      <c r="Q730" s="115"/>
      <c r="R730" s="115"/>
    </row>
    <row r="731" spans="1:18" ht="15.75" customHeight="1">
      <c r="A731" s="115"/>
      <c r="B731" s="115"/>
      <c r="C731" s="118"/>
      <c r="D731" s="118"/>
      <c r="E731" s="118"/>
      <c r="F731" s="115"/>
      <c r="G731" s="115"/>
      <c r="H731" s="170"/>
      <c r="I731" s="172"/>
      <c r="J731" s="115"/>
      <c r="Q731" s="115"/>
      <c r="R731" s="115"/>
    </row>
    <row r="732" spans="1:18" ht="15.75" customHeight="1">
      <c r="A732" s="115"/>
      <c r="B732" s="115"/>
      <c r="C732" s="118"/>
      <c r="D732" s="118"/>
      <c r="E732" s="118"/>
      <c r="F732" s="115"/>
      <c r="G732" s="115"/>
      <c r="H732" s="170"/>
      <c r="I732" s="172"/>
      <c r="J732" s="115"/>
      <c r="Q732" s="115"/>
      <c r="R732" s="115"/>
    </row>
    <row r="733" spans="1:18" ht="15.75" customHeight="1">
      <c r="A733" s="115"/>
      <c r="B733" s="115"/>
      <c r="C733" s="118"/>
      <c r="D733" s="118"/>
      <c r="E733" s="118"/>
      <c r="F733" s="115"/>
      <c r="G733" s="115"/>
      <c r="H733" s="170"/>
      <c r="I733" s="172"/>
      <c r="J733" s="115"/>
      <c r="Q733" s="115"/>
      <c r="R733" s="115"/>
    </row>
    <row r="734" spans="1:18" ht="15.75" customHeight="1">
      <c r="A734" s="115"/>
      <c r="B734" s="115"/>
      <c r="C734" s="118"/>
      <c r="D734" s="118"/>
      <c r="E734" s="118"/>
      <c r="F734" s="115"/>
      <c r="G734" s="115"/>
      <c r="H734" s="170"/>
      <c r="I734" s="172"/>
      <c r="J734" s="115"/>
      <c r="Q734" s="115"/>
      <c r="R734" s="115"/>
    </row>
    <row r="735" spans="1:18" ht="15.75" customHeight="1">
      <c r="A735" s="115"/>
      <c r="B735" s="115"/>
      <c r="C735" s="118"/>
      <c r="D735" s="118"/>
      <c r="E735" s="118"/>
      <c r="F735" s="115"/>
      <c r="G735" s="115"/>
      <c r="H735" s="170"/>
      <c r="I735" s="172"/>
      <c r="J735" s="115"/>
      <c r="Q735" s="115"/>
      <c r="R735" s="115"/>
    </row>
    <row r="736" spans="1:18" ht="15.75" customHeight="1">
      <c r="A736" s="115"/>
      <c r="B736" s="115"/>
      <c r="C736" s="118"/>
      <c r="D736" s="118"/>
      <c r="E736" s="118"/>
      <c r="F736" s="115"/>
      <c r="G736" s="115"/>
      <c r="H736" s="170"/>
      <c r="I736" s="172"/>
      <c r="J736" s="115"/>
      <c r="Q736" s="115"/>
      <c r="R736" s="115"/>
    </row>
    <row r="737" spans="1:18" ht="15.75" customHeight="1">
      <c r="A737" s="115"/>
      <c r="B737" s="115"/>
      <c r="C737" s="118"/>
      <c r="D737" s="118"/>
      <c r="E737" s="118"/>
      <c r="F737" s="115"/>
      <c r="G737" s="115"/>
      <c r="H737" s="170"/>
      <c r="I737" s="172"/>
      <c r="J737" s="115"/>
      <c r="Q737" s="115"/>
      <c r="R737" s="115"/>
    </row>
    <row r="738" spans="1:18" ht="15.75" customHeight="1">
      <c r="A738" s="115"/>
      <c r="B738" s="115"/>
      <c r="C738" s="118"/>
      <c r="D738" s="118"/>
      <c r="E738" s="118"/>
      <c r="F738" s="115"/>
      <c r="G738" s="115"/>
      <c r="H738" s="170"/>
      <c r="I738" s="172"/>
      <c r="J738" s="115"/>
      <c r="Q738" s="115"/>
      <c r="R738" s="115"/>
    </row>
    <row r="739" spans="1:18" ht="15.75" customHeight="1">
      <c r="A739" s="115"/>
      <c r="B739" s="115"/>
      <c r="C739" s="118"/>
      <c r="D739" s="118"/>
      <c r="E739" s="118"/>
      <c r="F739" s="115"/>
      <c r="G739" s="115"/>
      <c r="H739" s="170"/>
      <c r="I739" s="172"/>
      <c r="J739" s="115"/>
      <c r="Q739" s="115"/>
      <c r="R739" s="115"/>
    </row>
    <row r="740" spans="1:18" ht="15.75" customHeight="1">
      <c r="A740" s="115"/>
      <c r="B740" s="115"/>
      <c r="C740" s="118"/>
      <c r="D740" s="118"/>
      <c r="E740" s="118"/>
      <c r="F740" s="115"/>
      <c r="G740" s="115"/>
      <c r="H740" s="170"/>
      <c r="I740" s="172"/>
      <c r="J740" s="115"/>
      <c r="Q740" s="115"/>
      <c r="R740" s="115"/>
    </row>
    <row r="741" spans="1:18" ht="15.75" customHeight="1">
      <c r="A741" s="115"/>
      <c r="B741" s="115"/>
      <c r="C741" s="118"/>
      <c r="D741" s="118"/>
      <c r="E741" s="118"/>
      <c r="F741" s="115"/>
      <c r="G741" s="115"/>
      <c r="H741" s="170"/>
      <c r="I741" s="172"/>
      <c r="J741" s="115"/>
      <c r="Q741" s="115"/>
      <c r="R741" s="115"/>
    </row>
    <row r="742" spans="1:18" ht="15.75" customHeight="1">
      <c r="A742" s="115"/>
      <c r="B742" s="115"/>
      <c r="C742" s="118"/>
      <c r="D742" s="118"/>
      <c r="E742" s="118"/>
      <c r="F742" s="115"/>
      <c r="G742" s="115"/>
      <c r="H742" s="170"/>
      <c r="I742" s="172"/>
      <c r="J742" s="115"/>
      <c r="Q742" s="115"/>
      <c r="R742" s="115"/>
    </row>
    <row r="743" spans="1:18" ht="15.75" customHeight="1">
      <c r="A743" s="115"/>
      <c r="B743" s="115"/>
      <c r="C743" s="118"/>
      <c r="D743" s="118"/>
      <c r="E743" s="118"/>
      <c r="F743" s="115"/>
      <c r="G743" s="115"/>
      <c r="H743" s="170"/>
      <c r="I743" s="172"/>
      <c r="J743" s="115"/>
      <c r="Q743" s="115"/>
      <c r="R743" s="115"/>
    </row>
    <row r="744" spans="1:18" ht="15.75" customHeight="1">
      <c r="A744" s="115"/>
      <c r="B744" s="115"/>
      <c r="C744" s="118"/>
      <c r="D744" s="118"/>
      <c r="E744" s="118"/>
      <c r="F744" s="115"/>
      <c r="G744" s="115"/>
      <c r="H744" s="170"/>
      <c r="I744" s="172"/>
      <c r="J744" s="115"/>
      <c r="Q744" s="115"/>
      <c r="R744" s="115"/>
    </row>
    <row r="745" spans="1:18" ht="15.75" customHeight="1">
      <c r="A745" s="115"/>
      <c r="B745" s="115"/>
      <c r="C745" s="118"/>
      <c r="D745" s="118"/>
      <c r="E745" s="118"/>
      <c r="F745" s="115"/>
      <c r="G745" s="115"/>
      <c r="H745" s="170"/>
      <c r="I745" s="172"/>
      <c r="J745" s="115"/>
      <c r="Q745" s="115"/>
      <c r="R745" s="115"/>
    </row>
    <row r="746" spans="1:18" ht="15.75" customHeight="1">
      <c r="A746" s="115"/>
      <c r="B746" s="115"/>
      <c r="C746" s="118"/>
      <c r="D746" s="118"/>
      <c r="E746" s="118"/>
      <c r="F746" s="115"/>
      <c r="G746" s="115"/>
      <c r="H746" s="170"/>
      <c r="I746" s="172"/>
      <c r="J746" s="115"/>
      <c r="Q746" s="115"/>
      <c r="R746" s="115"/>
    </row>
    <row r="747" spans="1:18" ht="15.75" customHeight="1">
      <c r="A747" s="115"/>
      <c r="B747" s="115"/>
      <c r="C747" s="118"/>
      <c r="D747" s="118"/>
      <c r="E747" s="118"/>
      <c r="F747" s="115"/>
      <c r="G747" s="115"/>
      <c r="H747" s="170"/>
      <c r="I747" s="172"/>
      <c r="J747" s="115"/>
      <c r="Q747" s="115"/>
      <c r="R747" s="115"/>
    </row>
    <row r="748" spans="1:18" ht="15.75" customHeight="1">
      <c r="A748" s="115"/>
      <c r="B748" s="115"/>
      <c r="C748" s="118"/>
      <c r="D748" s="118"/>
      <c r="E748" s="118"/>
      <c r="F748" s="115"/>
      <c r="G748" s="115"/>
      <c r="H748" s="170"/>
      <c r="I748" s="172"/>
      <c r="J748" s="115"/>
      <c r="Q748" s="115"/>
      <c r="R748" s="115"/>
    </row>
    <row r="749" spans="1:18" ht="15.75" customHeight="1">
      <c r="A749" s="115"/>
      <c r="B749" s="115"/>
      <c r="C749" s="118"/>
      <c r="D749" s="118"/>
      <c r="E749" s="118"/>
      <c r="F749" s="115"/>
      <c r="G749" s="115"/>
      <c r="H749" s="170"/>
      <c r="I749" s="172"/>
      <c r="J749" s="115"/>
      <c r="Q749" s="115"/>
      <c r="R749" s="115"/>
    </row>
    <row r="750" spans="1:18" ht="15.75" customHeight="1">
      <c r="A750" s="115"/>
      <c r="B750" s="115"/>
      <c r="C750" s="118"/>
      <c r="D750" s="118"/>
      <c r="E750" s="118"/>
      <c r="F750" s="115"/>
      <c r="G750" s="115"/>
      <c r="H750" s="170"/>
      <c r="I750" s="172"/>
      <c r="J750" s="115"/>
      <c r="Q750" s="115"/>
      <c r="R750" s="115"/>
    </row>
    <row r="751" spans="1:18" ht="15.75" customHeight="1">
      <c r="A751" s="115"/>
      <c r="B751" s="115"/>
      <c r="C751" s="118"/>
      <c r="D751" s="118"/>
      <c r="E751" s="118"/>
      <c r="F751" s="115"/>
      <c r="G751" s="115"/>
      <c r="H751" s="170"/>
      <c r="I751" s="172"/>
      <c r="J751" s="115"/>
      <c r="Q751" s="115"/>
      <c r="R751" s="115"/>
    </row>
    <row r="752" spans="1:18" ht="15.75" customHeight="1">
      <c r="A752" s="115"/>
      <c r="B752" s="115"/>
      <c r="C752" s="118"/>
      <c r="D752" s="118"/>
      <c r="E752" s="118"/>
      <c r="F752" s="115"/>
      <c r="G752" s="115"/>
      <c r="H752" s="170"/>
      <c r="I752" s="172"/>
      <c r="J752" s="115"/>
      <c r="Q752" s="115"/>
      <c r="R752" s="115"/>
    </row>
    <row r="753" spans="1:18" ht="15.75" customHeight="1">
      <c r="A753" s="115"/>
      <c r="B753" s="115"/>
      <c r="C753" s="118"/>
      <c r="D753" s="118"/>
      <c r="E753" s="118"/>
      <c r="F753" s="115"/>
      <c r="G753" s="115"/>
      <c r="H753" s="170"/>
      <c r="I753" s="172"/>
      <c r="J753" s="115"/>
      <c r="Q753" s="115"/>
      <c r="R753" s="115"/>
    </row>
    <row r="754" spans="1:18" ht="15.75" customHeight="1">
      <c r="A754" s="115"/>
      <c r="B754" s="115"/>
      <c r="C754" s="118"/>
      <c r="D754" s="118"/>
      <c r="E754" s="118"/>
      <c r="F754" s="115"/>
      <c r="G754" s="115"/>
      <c r="H754" s="170"/>
      <c r="I754" s="172"/>
      <c r="J754" s="115"/>
      <c r="Q754" s="115"/>
      <c r="R754" s="115"/>
    </row>
    <row r="755" spans="1:18" ht="15.75" customHeight="1">
      <c r="A755" s="115"/>
      <c r="B755" s="115"/>
      <c r="C755" s="118"/>
      <c r="D755" s="118"/>
      <c r="E755" s="118"/>
      <c r="F755" s="115"/>
      <c r="G755" s="115"/>
      <c r="H755" s="170"/>
      <c r="I755" s="172"/>
      <c r="J755" s="115"/>
      <c r="Q755" s="115"/>
      <c r="R755" s="115"/>
    </row>
    <row r="756" spans="1:18" ht="15.75" customHeight="1">
      <c r="A756" s="115"/>
      <c r="B756" s="115"/>
      <c r="C756" s="118"/>
      <c r="D756" s="118"/>
      <c r="E756" s="118"/>
      <c r="F756" s="115"/>
      <c r="G756" s="115"/>
      <c r="H756" s="170"/>
      <c r="I756" s="172"/>
      <c r="J756" s="115"/>
      <c r="Q756" s="115"/>
      <c r="R756" s="115"/>
    </row>
    <row r="757" spans="1:18" ht="15.75" customHeight="1">
      <c r="A757" s="115"/>
      <c r="B757" s="115"/>
      <c r="C757" s="118"/>
      <c r="D757" s="118"/>
      <c r="E757" s="118"/>
      <c r="F757" s="115"/>
      <c r="G757" s="115"/>
      <c r="H757" s="170"/>
      <c r="I757" s="172"/>
      <c r="J757" s="115"/>
      <c r="Q757" s="115"/>
      <c r="R757" s="115"/>
    </row>
    <row r="758" spans="1:18" ht="15.75" customHeight="1">
      <c r="A758" s="115"/>
      <c r="B758" s="115"/>
      <c r="C758" s="118"/>
      <c r="D758" s="118"/>
      <c r="E758" s="118"/>
      <c r="F758" s="115"/>
      <c r="G758" s="115"/>
      <c r="H758" s="170"/>
      <c r="I758" s="172"/>
      <c r="J758" s="115"/>
      <c r="Q758" s="115"/>
      <c r="R758" s="115"/>
    </row>
    <row r="759" spans="1:18" ht="15.75" customHeight="1">
      <c r="A759" s="115"/>
      <c r="B759" s="115"/>
      <c r="C759" s="118"/>
      <c r="D759" s="118"/>
      <c r="E759" s="118"/>
      <c r="F759" s="115"/>
      <c r="G759" s="115"/>
      <c r="H759" s="170"/>
      <c r="I759" s="172"/>
      <c r="J759" s="115"/>
      <c r="Q759" s="115"/>
      <c r="R759" s="115"/>
    </row>
    <row r="760" spans="1:18" ht="15.75" customHeight="1">
      <c r="A760" s="115"/>
      <c r="B760" s="115"/>
      <c r="C760" s="118"/>
      <c r="D760" s="118"/>
      <c r="E760" s="118"/>
      <c r="F760" s="115"/>
      <c r="G760" s="115"/>
      <c r="H760" s="170"/>
      <c r="I760" s="172"/>
      <c r="J760" s="115"/>
      <c r="Q760" s="115"/>
      <c r="R760" s="115"/>
    </row>
    <row r="761" spans="1:18" ht="15.75" customHeight="1">
      <c r="A761" s="115"/>
      <c r="B761" s="115"/>
      <c r="C761" s="118"/>
      <c r="D761" s="118"/>
      <c r="E761" s="118"/>
      <c r="F761" s="115"/>
      <c r="G761" s="115"/>
      <c r="H761" s="170"/>
      <c r="I761" s="172"/>
      <c r="J761" s="115"/>
      <c r="Q761" s="115"/>
      <c r="R761" s="115"/>
    </row>
    <row r="762" spans="1:18" ht="15.75" customHeight="1">
      <c r="A762" s="115"/>
      <c r="B762" s="115"/>
      <c r="C762" s="118"/>
      <c r="D762" s="118"/>
      <c r="E762" s="118"/>
      <c r="F762" s="115"/>
      <c r="G762" s="115"/>
      <c r="H762" s="170"/>
      <c r="I762" s="172"/>
      <c r="J762" s="115"/>
      <c r="Q762" s="115"/>
      <c r="R762" s="115"/>
    </row>
    <row r="763" spans="1:18" ht="15.75" customHeight="1">
      <c r="A763" s="115"/>
      <c r="B763" s="115"/>
      <c r="C763" s="118"/>
      <c r="D763" s="118"/>
      <c r="E763" s="118"/>
      <c r="F763" s="115"/>
      <c r="G763" s="115"/>
      <c r="H763" s="170"/>
      <c r="I763" s="172"/>
      <c r="J763" s="115"/>
      <c r="Q763" s="115"/>
      <c r="R763" s="115"/>
    </row>
    <row r="764" spans="1:18" ht="15.75" customHeight="1">
      <c r="A764" s="115"/>
      <c r="B764" s="115"/>
      <c r="C764" s="118"/>
      <c r="D764" s="118"/>
      <c r="E764" s="118"/>
      <c r="F764" s="115"/>
      <c r="G764" s="115"/>
      <c r="H764" s="170"/>
      <c r="I764" s="172"/>
      <c r="J764" s="115"/>
      <c r="Q764" s="115"/>
      <c r="R764" s="115"/>
    </row>
    <row r="765" spans="1:18" ht="15.75" customHeight="1">
      <c r="A765" s="115"/>
      <c r="B765" s="115"/>
      <c r="C765" s="118"/>
      <c r="D765" s="118"/>
      <c r="E765" s="118"/>
      <c r="F765" s="115"/>
      <c r="G765" s="115"/>
      <c r="H765" s="170"/>
      <c r="I765" s="172"/>
      <c r="J765" s="115"/>
      <c r="Q765" s="115"/>
      <c r="R765" s="115"/>
    </row>
    <row r="766" spans="1:18" ht="15.75" customHeight="1">
      <c r="A766" s="115"/>
      <c r="B766" s="115"/>
      <c r="C766" s="118"/>
      <c r="D766" s="118"/>
      <c r="E766" s="118"/>
      <c r="F766" s="115"/>
      <c r="G766" s="115"/>
      <c r="H766" s="170"/>
      <c r="I766" s="172"/>
      <c r="J766" s="115"/>
      <c r="Q766" s="115"/>
      <c r="R766" s="115"/>
    </row>
    <row r="767" spans="1:18" ht="15.75" customHeight="1">
      <c r="A767" s="115"/>
      <c r="B767" s="115"/>
      <c r="C767" s="118"/>
      <c r="D767" s="118"/>
      <c r="E767" s="118"/>
      <c r="F767" s="115"/>
      <c r="G767" s="115"/>
      <c r="H767" s="170"/>
      <c r="I767" s="172"/>
      <c r="J767" s="115"/>
      <c r="Q767" s="115"/>
      <c r="R767" s="115"/>
    </row>
    <row r="768" spans="1:18" ht="15.75" customHeight="1">
      <c r="A768" s="115"/>
      <c r="B768" s="115"/>
      <c r="C768" s="118"/>
      <c r="D768" s="118"/>
      <c r="E768" s="118"/>
      <c r="F768" s="115"/>
      <c r="G768" s="115"/>
      <c r="H768" s="170"/>
      <c r="I768" s="172"/>
      <c r="J768" s="115"/>
      <c r="Q768" s="115"/>
      <c r="R768" s="115"/>
    </row>
    <row r="769" spans="1:18" ht="15.75" customHeight="1">
      <c r="A769" s="115"/>
      <c r="B769" s="115"/>
      <c r="C769" s="118"/>
      <c r="D769" s="118"/>
      <c r="E769" s="118"/>
      <c r="F769" s="115"/>
      <c r="G769" s="115"/>
      <c r="H769" s="170"/>
      <c r="I769" s="172"/>
      <c r="J769" s="115"/>
      <c r="Q769" s="115"/>
      <c r="R769" s="115"/>
    </row>
    <row r="770" spans="1:18" ht="15.75" customHeight="1">
      <c r="A770" s="115"/>
      <c r="B770" s="115"/>
      <c r="C770" s="118"/>
      <c r="D770" s="118"/>
      <c r="E770" s="118"/>
      <c r="F770" s="115"/>
      <c r="G770" s="115"/>
      <c r="H770" s="170"/>
      <c r="I770" s="172"/>
      <c r="J770" s="115"/>
      <c r="Q770" s="115"/>
      <c r="R770" s="115"/>
    </row>
    <row r="771" spans="1:18" ht="15.75" customHeight="1">
      <c r="A771" s="115"/>
      <c r="B771" s="115"/>
      <c r="C771" s="118"/>
      <c r="D771" s="118"/>
      <c r="E771" s="118"/>
      <c r="F771" s="115"/>
      <c r="G771" s="115"/>
      <c r="H771" s="170"/>
      <c r="I771" s="172"/>
      <c r="J771" s="115"/>
      <c r="Q771" s="115"/>
      <c r="R771" s="115"/>
    </row>
    <row r="772" spans="1:18" ht="15.75" customHeight="1">
      <c r="A772" s="115"/>
      <c r="B772" s="115"/>
      <c r="C772" s="118"/>
      <c r="D772" s="118"/>
      <c r="E772" s="118"/>
      <c r="F772" s="115"/>
      <c r="G772" s="115"/>
      <c r="H772" s="170"/>
      <c r="I772" s="172"/>
      <c r="J772" s="115"/>
      <c r="Q772" s="115"/>
      <c r="R772" s="115"/>
    </row>
    <row r="773" spans="1:18" ht="15.75" customHeight="1">
      <c r="A773" s="115"/>
      <c r="B773" s="115"/>
      <c r="C773" s="118"/>
      <c r="D773" s="118"/>
      <c r="E773" s="118"/>
      <c r="F773" s="115"/>
      <c r="G773" s="115"/>
      <c r="H773" s="170"/>
      <c r="I773" s="172"/>
      <c r="J773" s="115"/>
      <c r="Q773" s="115"/>
      <c r="R773" s="115"/>
    </row>
    <row r="774" spans="1:18" ht="15.75" customHeight="1">
      <c r="A774" s="115"/>
      <c r="B774" s="115"/>
      <c r="C774" s="118"/>
      <c r="D774" s="118"/>
      <c r="E774" s="118"/>
      <c r="F774" s="115"/>
      <c r="G774" s="115"/>
      <c r="H774" s="170"/>
      <c r="I774" s="172"/>
      <c r="J774" s="115"/>
      <c r="Q774" s="115"/>
      <c r="R774" s="115"/>
    </row>
    <row r="775" spans="1:18" ht="15.75" customHeight="1">
      <c r="A775" s="115"/>
      <c r="B775" s="115"/>
      <c r="C775" s="118"/>
      <c r="D775" s="118"/>
      <c r="E775" s="118"/>
      <c r="F775" s="115"/>
      <c r="G775" s="115"/>
      <c r="H775" s="170"/>
      <c r="I775" s="172"/>
      <c r="J775" s="115"/>
      <c r="Q775" s="115"/>
      <c r="R775" s="115"/>
    </row>
    <row r="776" spans="1:18" ht="15.75" customHeight="1">
      <c r="A776" s="115"/>
      <c r="B776" s="115"/>
      <c r="C776" s="118"/>
      <c r="D776" s="118"/>
      <c r="E776" s="118"/>
      <c r="F776" s="115"/>
      <c r="G776" s="115"/>
      <c r="H776" s="170"/>
      <c r="I776" s="172"/>
      <c r="J776" s="115"/>
      <c r="Q776" s="115"/>
      <c r="R776" s="115"/>
    </row>
    <row r="777" spans="1:18" ht="15.75" customHeight="1">
      <c r="A777" s="115"/>
      <c r="B777" s="115"/>
      <c r="C777" s="118"/>
      <c r="D777" s="118"/>
      <c r="E777" s="118"/>
      <c r="F777" s="115"/>
      <c r="G777" s="115"/>
      <c r="H777" s="170"/>
      <c r="I777" s="172"/>
      <c r="J777" s="115"/>
      <c r="Q777" s="115"/>
      <c r="R777" s="115"/>
    </row>
    <row r="778" spans="1:18" ht="15.75" customHeight="1">
      <c r="A778" s="115"/>
      <c r="B778" s="115"/>
      <c r="C778" s="118"/>
      <c r="D778" s="118"/>
      <c r="E778" s="118"/>
      <c r="F778" s="115"/>
      <c r="G778" s="115"/>
      <c r="H778" s="170"/>
      <c r="I778" s="172"/>
      <c r="J778" s="115"/>
      <c r="Q778" s="115"/>
      <c r="R778" s="115"/>
    </row>
    <row r="779" spans="1:18" ht="15.75" customHeight="1">
      <c r="A779" s="115"/>
      <c r="B779" s="115"/>
      <c r="C779" s="118"/>
      <c r="D779" s="118"/>
      <c r="E779" s="118"/>
      <c r="F779" s="115"/>
      <c r="G779" s="115"/>
      <c r="H779" s="170"/>
      <c r="I779" s="172"/>
      <c r="J779" s="115"/>
      <c r="Q779" s="115"/>
      <c r="R779" s="115"/>
    </row>
    <row r="780" spans="1:18" ht="15.75" customHeight="1">
      <c r="A780" s="115"/>
      <c r="B780" s="115"/>
      <c r="C780" s="118"/>
      <c r="D780" s="118"/>
      <c r="E780" s="118"/>
      <c r="F780" s="115"/>
      <c r="G780" s="115"/>
      <c r="H780" s="170"/>
      <c r="I780" s="172"/>
      <c r="J780" s="115"/>
      <c r="Q780" s="115"/>
      <c r="R780" s="115"/>
    </row>
    <row r="781" spans="1:18" ht="15.75" customHeight="1">
      <c r="A781" s="115"/>
      <c r="B781" s="115"/>
      <c r="C781" s="118"/>
      <c r="D781" s="118"/>
      <c r="E781" s="118"/>
      <c r="F781" s="115"/>
      <c r="G781" s="115"/>
      <c r="H781" s="170"/>
      <c r="I781" s="172"/>
      <c r="J781" s="115"/>
      <c r="Q781" s="115"/>
      <c r="R781" s="115"/>
    </row>
    <row r="782" spans="1:18" ht="15.75" customHeight="1">
      <c r="A782" s="115"/>
      <c r="B782" s="115"/>
      <c r="C782" s="118"/>
      <c r="D782" s="118"/>
      <c r="E782" s="118"/>
      <c r="F782" s="115"/>
      <c r="G782" s="115"/>
      <c r="H782" s="170"/>
      <c r="I782" s="172"/>
      <c r="J782" s="115"/>
      <c r="Q782" s="115"/>
      <c r="R782" s="115"/>
    </row>
    <row r="783" spans="1:18" ht="15.75" customHeight="1">
      <c r="A783" s="115"/>
      <c r="B783" s="115"/>
      <c r="C783" s="118"/>
      <c r="D783" s="118"/>
      <c r="E783" s="118"/>
      <c r="F783" s="115"/>
      <c r="G783" s="115"/>
      <c r="H783" s="170"/>
      <c r="I783" s="172"/>
      <c r="J783" s="115"/>
      <c r="Q783" s="115"/>
      <c r="R783" s="115"/>
    </row>
    <row r="784" spans="1:18" ht="15.75" customHeight="1">
      <c r="A784" s="115"/>
      <c r="B784" s="115"/>
      <c r="C784" s="118"/>
      <c r="D784" s="118"/>
      <c r="E784" s="118"/>
      <c r="F784" s="115"/>
      <c r="G784" s="115"/>
      <c r="H784" s="170"/>
      <c r="I784" s="172"/>
      <c r="J784" s="115"/>
      <c r="Q784" s="115"/>
      <c r="R784" s="115"/>
    </row>
    <row r="785" spans="1:18" ht="15.75" customHeight="1">
      <c r="A785" s="115"/>
      <c r="B785" s="115"/>
      <c r="C785" s="118"/>
      <c r="D785" s="118"/>
      <c r="E785" s="118"/>
      <c r="F785" s="115"/>
      <c r="G785" s="115"/>
      <c r="H785" s="170"/>
      <c r="I785" s="172"/>
      <c r="J785" s="115"/>
      <c r="Q785" s="115"/>
      <c r="R785" s="115"/>
    </row>
    <row r="786" spans="1:18" ht="15.75" customHeight="1">
      <c r="A786" s="115"/>
      <c r="B786" s="115"/>
      <c r="C786" s="118"/>
      <c r="D786" s="118"/>
      <c r="E786" s="118"/>
      <c r="F786" s="115"/>
      <c r="G786" s="115"/>
      <c r="H786" s="170"/>
      <c r="I786" s="172"/>
      <c r="J786" s="115"/>
      <c r="Q786" s="115"/>
      <c r="R786" s="115"/>
    </row>
    <row r="787" spans="1:18" ht="15.75" customHeight="1">
      <c r="A787" s="115"/>
      <c r="B787" s="115"/>
      <c r="C787" s="118"/>
      <c r="D787" s="118"/>
      <c r="E787" s="118"/>
      <c r="F787" s="115"/>
      <c r="G787" s="115"/>
      <c r="H787" s="170"/>
      <c r="I787" s="172"/>
      <c r="J787" s="115"/>
      <c r="Q787" s="115"/>
      <c r="R787" s="115"/>
    </row>
    <row r="788" spans="1:18" ht="15.75" customHeight="1">
      <c r="A788" s="115"/>
      <c r="B788" s="115"/>
      <c r="C788" s="118"/>
      <c r="D788" s="118"/>
      <c r="E788" s="118"/>
      <c r="F788" s="115"/>
      <c r="G788" s="115"/>
      <c r="H788" s="170"/>
      <c r="I788" s="172"/>
      <c r="J788" s="115"/>
      <c r="Q788" s="115"/>
      <c r="R788" s="115"/>
    </row>
    <row r="789" spans="1:18" ht="15.75" customHeight="1">
      <c r="A789" s="115"/>
      <c r="B789" s="115"/>
      <c r="C789" s="118"/>
      <c r="D789" s="118"/>
      <c r="E789" s="118"/>
      <c r="F789" s="115"/>
      <c r="G789" s="115"/>
      <c r="H789" s="170"/>
      <c r="I789" s="172"/>
      <c r="J789" s="115"/>
      <c r="Q789" s="115"/>
      <c r="R789" s="115"/>
    </row>
    <row r="790" spans="1:18" ht="15.75" customHeight="1">
      <c r="A790" s="115"/>
      <c r="B790" s="115"/>
      <c r="C790" s="118"/>
      <c r="D790" s="118"/>
      <c r="E790" s="118"/>
      <c r="F790" s="115"/>
      <c r="G790" s="115"/>
      <c r="H790" s="170"/>
      <c r="I790" s="172"/>
      <c r="J790" s="115"/>
      <c r="Q790" s="115"/>
      <c r="R790" s="115"/>
    </row>
    <row r="791" spans="1:18" ht="15.75" customHeight="1">
      <c r="A791" s="115"/>
      <c r="B791" s="115"/>
      <c r="C791" s="118"/>
      <c r="D791" s="118"/>
      <c r="E791" s="118"/>
      <c r="F791" s="115"/>
      <c r="G791" s="115"/>
      <c r="H791" s="170"/>
      <c r="I791" s="172"/>
      <c r="J791" s="115"/>
      <c r="Q791" s="115"/>
      <c r="R791" s="115"/>
    </row>
    <row r="792" spans="1:18" ht="15.75" customHeight="1">
      <c r="A792" s="115"/>
      <c r="B792" s="115"/>
      <c r="C792" s="118"/>
      <c r="D792" s="118"/>
      <c r="E792" s="118"/>
      <c r="F792" s="115"/>
      <c r="G792" s="115"/>
      <c r="H792" s="170"/>
      <c r="I792" s="172"/>
      <c r="J792" s="115"/>
      <c r="Q792" s="115"/>
      <c r="R792" s="115"/>
    </row>
    <row r="793" spans="1:18" ht="15.75" customHeight="1">
      <c r="A793" s="115"/>
      <c r="B793" s="115"/>
      <c r="C793" s="118"/>
      <c r="D793" s="118"/>
      <c r="E793" s="118"/>
      <c r="F793" s="115"/>
      <c r="G793" s="115"/>
      <c r="H793" s="170"/>
      <c r="I793" s="172"/>
      <c r="J793" s="115"/>
      <c r="Q793" s="115"/>
      <c r="R793" s="115"/>
    </row>
    <row r="794" spans="1:18" ht="15.75" customHeight="1">
      <c r="A794" s="115"/>
      <c r="B794" s="115"/>
      <c r="C794" s="118"/>
      <c r="D794" s="118"/>
      <c r="E794" s="118"/>
      <c r="F794" s="115"/>
      <c r="G794" s="115"/>
      <c r="H794" s="170"/>
      <c r="I794" s="172"/>
      <c r="J794" s="115"/>
      <c r="Q794" s="115"/>
      <c r="R794" s="115"/>
    </row>
    <row r="795" spans="1:18" ht="15.75" customHeight="1">
      <c r="A795" s="115"/>
      <c r="B795" s="115"/>
      <c r="C795" s="118"/>
      <c r="D795" s="118"/>
      <c r="E795" s="118"/>
      <c r="F795" s="115"/>
      <c r="G795" s="115"/>
      <c r="H795" s="170"/>
      <c r="I795" s="172"/>
      <c r="J795" s="115"/>
      <c r="Q795" s="115"/>
      <c r="R795" s="115"/>
    </row>
    <row r="796" spans="1:18" ht="15.75" customHeight="1">
      <c r="A796" s="115"/>
      <c r="B796" s="115"/>
      <c r="C796" s="118"/>
      <c r="D796" s="118"/>
      <c r="E796" s="118"/>
      <c r="F796" s="115"/>
      <c r="G796" s="115"/>
      <c r="H796" s="170"/>
      <c r="I796" s="172"/>
      <c r="J796" s="115"/>
      <c r="Q796" s="115"/>
      <c r="R796" s="115"/>
    </row>
    <row r="797" spans="1:18" ht="15.75" customHeight="1">
      <c r="A797" s="115"/>
      <c r="B797" s="115"/>
      <c r="C797" s="118"/>
      <c r="D797" s="118"/>
      <c r="E797" s="118"/>
      <c r="F797" s="115"/>
      <c r="G797" s="115"/>
      <c r="H797" s="170"/>
      <c r="I797" s="172"/>
      <c r="J797" s="115"/>
      <c r="Q797" s="115"/>
      <c r="R797" s="115"/>
    </row>
    <row r="798" spans="1:18" ht="15.75" customHeight="1">
      <c r="A798" s="115"/>
      <c r="B798" s="115"/>
      <c r="C798" s="118"/>
      <c r="D798" s="118"/>
      <c r="E798" s="118"/>
      <c r="F798" s="115"/>
      <c r="G798" s="115"/>
      <c r="H798" s="170"/>
      <c r="I798" s="172"/>
      <c r="J798" s="115"/>
      <c r="Q798" s="115"/>
      <c r="R798" s="115"/>
    </row>
    <row r="799" spans="1:18" ht="15.75" customHeight="1">
      <c r="A799" s="115"/>
      <c r="B799" s="115"/>
      <c r="C799" s="118"/>
      <c r="D799" s="118"/>
      <c r="E799" s="118"/>
      <c r="F799" s="115"/>
      <c r="G799" s="115"/>
      <c r="H799" s="170"/>
      <c r="I799" s="172"/>
      <c r="J799" s="115"/>
      <c r="Q799" s="115"/>
      <c r="R799" s="115"/>
    </row>
    <row r="800" spans="1:18" ht="15.75" customHeight="1">
      <c r="A800" s="115"/>
      <c r="B800" s="115"/>
      <c r="C800" s="118"/>
      <c r="D800" s="118"/>
      <c r="E800" s="118"/>
      <c r="F800" s="115"/>
      <c r="G800" s="115"/>
      <c r="H800" s="170"/>
      <c r="I800" s="172"/>
      <c r="J800" s="115"/>
      <c r="Q800" s="115"/>
      <c r="R800" s="115"/>
    </row>
    <row r="801" spans="1:18" ht="15.75" customHeight="1">
      <c r="A801" s="115"/>
      <c r="B801" s="115"/>
      <c r="C801" s="118"/>
      <c r="D801" s="118"/>
      <c r="E801" s="118"/>
      <c r="F801" s="115"/>
      <c r="G801" s="115"/>
      <c r="H801" s="170"/>
      <c r="I801" s="172"/>
      <c r="J801" s="115"/>
      <c r="Q801" s="115"/>
      <c r="R801" s="115"/>
    </row>
    <row r="802" spans="1:18" ht="15.75" customHeight="1">
      <c r="A802" s="115"/>
      <c r="B802" s="115"/>
      <c r="C802" s="118"/>
      <c r="D802" s="118"/>
      <c r="E802" s="118"/>
      <c r="F802" s="115"/>
      <c r="G802" s="115"/>
      <c r="H802" s="170"/>
      <c r="I802" s="172"/>
      <c r="J802" s="115"/>
      <c r="Q802" s="115"/>
      <c r="R802" s="115"/>
    </row>
    <row r="803" spans="1:18" ht="15.75" customHeight="1">
      <c r="A803" s="115"/>
      <c r="B803" s="115"/>
      <c r="C803" s="118"/>
      <c r="D803" s="118"/>
      <c r="E803" s="118"/>
      <c r="F803" s="115"/>
      <c r="G803" s="115"/>
      <c r="H803" s="170"/>
      <c r="I803" s="172"/>
      <c r="J803" s="115"/>
      <c r="Q803" s="115"/>
      <c r="R803" s="115"/>
    </row>
    <row r="804" spans="1:18" ht="15.75" customHeight="1">
      <c r="A804" s="115"/>
      <c r="B804" s="115"/>
      <c r="C804" s="118"/>
      <c r="D804" s="118"/>
      <c r="E804" s="118"/>
      <c r="F804" s="115"/>
      <c r="G804" s="115"/>
      <c r="H804" s="170"/>
      <c r="I804" s="172"/>
      <c r="J804" s="115"/>
      <c r="Q804" s="115"/>
      <c r="R804" s="115"/>
    </row>
    <row r="805" spans="1:18" ht="15.75" customHeight="1">
      <c r="A805" s="115"/>
      <c r="B805" s="115"/>
      <c r="C805" s="118"/>
      <c r="D805" s="118"/>
      <c r="E805" s="118"/>
      <c r="F805" s="115"/>
      <c r="G805" s="115"/>
      <c r="H805" s="170"/>
      <c r="I805" s="172"/>
      <c r="J805" s="115"/>
      <c r="Q805" s="115"/>
      <c r="R805" s="115"/>
    </row>
    <row r="806" spans="1:18" ht="15.75" customHeight="1">
      <c r="A806" s="115"/>
      <c r="B806" s="115"/>
      <c r="C806" s="118"/>
      <c r="D806" s="118"/>
      <c r="E806" s="118"/>
      <c r="F806" s="115"/>
      <c r="G806" s="115"/>
      <c r="H806" s="170"/>
      <c r="I806" s="172"/>
      <c r="J806" s="115"/>
      <c r="Q806" s="115"/>
      <c r="R806" s="115"/>
    </row>
    <row r="807" spans="1:18" ht="15.75" customHeight="1">
      <c r="A807" s="115"/>
      <c r="B807" s="115"/>
      <c r="C807" s="118"/>
      <c r="D807" s="118"/>
      <c r="E807" s="118"/>
      <c r="F807" s="115"/>
      <c r="G807" s="115"/>
      <c r="H807" s="170"/>
      <c r="I807" s="172"/>
      <c r="J807" s="115"/>
      <c r="Q807" s="115"/>
      <c r="R807" s="115"/>
    </row>
    <row r="808" spans="1:18" ht="15.75" customHeight="1">
      <c r="A808" s="115"/>
      <c r="B808" s="115"/>
      <c r="C808" s="118"/>
      <c r="D808" s="118"/>
      <c r="E808" s="118"/>
      <c r="F808" s="115"/>
      <c r="G808" s="115"/>
      <c r="H808" s="170"/>
      <c r="I808" s="172"/>
      <c r="J808" s="115"/>
      <c r="Q808" s="115"/>
      <c r="R808" s="115"/>
    </row>
    <row r="809" spans="1:18" ht="15.75" customHeight="1">
      <c r="A809" s="115"/>
      <c r="B809" s="115"/>
      <c r="C809" s="118"/>
      <c r="D809" s="118"/>
      <c r="E809" s="118"/>
      <c r="F809" s="115"/>
      <c r="G809" s="115"/>
      <c r="H809" s="170"/>
      <c r="I809" s="172"/>
      <c r="J809" s="115"/>
      <c r="Q809" s="115"/>
      <c r="R809" s="115"/>
    </row>
    <row r="810" spans="1:18" ht="15.75" customHeight="1">
      <c r="A810" s="115"/>
      <c r="B810" s="115"/>
      <c r="C810" s="118"/>
      <c r="D810" s="118"/>
      <c r="E810" s="118"/>
      <c r="F810" s="115"/>
      <c r="G810" s="115"/>
      <c r="H810" s="170"/>
      <c r="I810" s="172"/>
      <c r="J810" s="115"/>
      <c r="Q810" s="115"/>
      <c r="R810" s="115"/>
    </row>
    <row r="811" spans="1:18" ht="15.75" customHeight="1">
      <c r="A811" s="115"/>
      <c r="B811" s="115"/>
      <c r="C811" s="118"/>
      <c r="D811" s="118"/>
      <c r="E811" s="118"/>
      <c r="F811" s="115"/>
      <c r="G811" s="115"/>
      <c r="H811" s="170"/>
      <c r="I811" s="172"/>
      <c r="J811" s="115"/>
      <c r="Q811" s="115"/>
      <c r="R811" s="115"/>
    </row>
    <row r="812" spans="1:18" ht="15.75" customHeight="1">
      <c r="A812" s="115"/>
      <c r="B812" s="115"/>
      <c r="C812" s="118"/>
      <c r="D812" s="118"/>
      <c r="E812" s="118"/>
      <c r="F812" s="115"/>
      <c r="G812" s="115"/>
      <c r="H812" s="170"/>
      <c r="I812" s="172"/>
      <c r="J812" s="115"/>
      <c r="Q812" s="115"/>
      <c r="R812" s="115"/>
    </row>
    <row r="813" spans="1:18" ht="15.75" customHeight="1">
      <c r="A813" s="115"/>
      <c r="B813" s="115"/>
      <c r="C813" s="118"/>
      <c r="D813" s="118"/>
      <c r="E813" s="118"/>
      <c r="F813" s="115"/>
      <c r="G813" s="115"/>
      <c r="H813" s="170"/>
      <c r="I813" s="172"/>
      <c r="J813" s="115"/>
      <c r="Q813" s="115"/>
      <c r="R813" s="115"/>
    </row>
    <row r="814" spans="1:18" ht="15.75" customHeight="1">
      <c r="A814" s="115"/>
      <c r="B814" s="115"/>
      <c r="C814" s="118"/>
      <c r="D814" s="118"/>
      <c r="E814" s="118"/>
      <c r="F814" s="115"/>
      <c r="G814" s="115"/>
      <c r="H814" s="170"/>
      <c r="I814" s="172"/>
      <c r="J814" s="115"/>
      <c r="Q814" s="115"/>
      <c r="R814" s="115"/>
    </row>
    <row r="815" spans="1:18" ht="15.75" customHeight="1">
      <c r="A815" s="115"/>
      <c r="B815" s="115"/>
      <c r="C815" s="118"/>
      <c r="D815" s="118"/>
      <c r="E815" s="118"/>
      <c r="F815" s="115"/>
      <c r="G815" s="115"/>
      <c r="H815" s="170"/>
      <c r="I815" s="172"/>
      <c r="J815" s="115"/>
      <c r="Q815" s="115"/>
      <c r="R815" s="115"/>
    </row>
    <row r="816" spans="1:18" ht="15.75" customHeight="1">
      <c r="A816" s="115"/>
      <c r="B816" s="115"/>
      <c r="C816" s="118"/>
      <c r="D816" s="118"/>
      <c r="E816" s="118"/>
      <c r="F816" s="115"/>
      <c r="G816" s="115"/>
      <c r="H816" s="170"/>
      <c r="I816" s="172"/>
      <c r="J816" s="115"/>
      <c r="Q816" s="115"/>
      <c r="R816" s="115"/>
    </row>
    <row r="817" spans="1:18" ht="15.75" customHeight="1">
      <c r="A817" s="115"/>
      <c r="B817" s="115"/>
      <c r="C817" s="118"/>
      <c r="D817" s="118"/>
      <c r="E817" s="118"/>
      <c r="F817" s="115"/>
      <c r="G817" s="115"/>
      <c r="H817" s="170"/>
      <c r="I817" s="172"/>
      <c r="J817" s="115"/>
      <c r="Q817" s="115"/>
      <c r="R817" s="115"/>
    </row>
    <row r="818" spans="1:18" ht="15.75" customHeight="1">
      <c r="A818" s="115"/>
      <c r="B818" s="115"/>
      <c r="C818" s="118"/>
      <c r="D818" s="118"/>
      <c r="E818" s="118"/>
      <c r="F818" s="115"/>
      <c r="G818" s="115"/>
      <c r="H818" s="170"/>
      <c r="I818" s="172"/>
      <c r="J818" s="115"/>
      <c r="Q818" s="115"/>
      <c r="R818" s="115"/>
    </row>
    <row r="819" spans="1:18" ht="15.75" customHeight="1">
      <c r="A819" s="115"/>
      <c r="B819" s="115"/>
      <c r="C819" s="118"/>
      <c r="D819" s="118"/>
      <c r="E819" s="118"/>
      <c r="F819" s="115"/>
      <c r="G819" s="115"/>
      <c r="H819" s="170"/>
      <c r="I819" s="172"/>
      <c r="J819" s="115"/>
      <c r="Q819" s="115"/>
      <c r="R819" s="115"/>
    </row>
    <row r="820" spans="1:18" ht="15.75" customHeight="1">
      <c r="A820" s="115"/>
      <c r="B820" s="115"/>
      <c r="C820" s="118"/>
      <c r="D820" s="118"/>
      <c r="E820" s="118"/>
      <c r="F820" s="115"/>
      <c r="G820" s="115"/>
      <c r="H820" s="170"/>
      <c r="I820" s="172"/>
      <c r="J820" s="115"/>
      <c r="Q820" s="115"/>
      <c r="R820" s="115"/>
    </row>
    <row r="821" spans="1:18" ht="15.75" customHeight="1">
      <c r="A821" s="115"/>
      <c r="B821" s="115"/>
      <c r="C821" s="118"/>
      <c r="D821" s="118"/>
      <c r="E821" s="118"/>
      <c r="F821" s="115"/>
      <c r="G821" s="115"/>
      <c r="H821" s="170"/>
      <c r="I821" s="172"/>
      <c r="J821" s="115"/>
      <c r="Q821" s="115"/>
      <c r="R821" s="115"/>
    </row>
    <row r="822" spans="1:18" ht="15.75" customHeight="1">
      <c r="A822" s="115"/>
      <c r="B822" s="115"/>
      <c r="C822" s="118"/>
      <c r="D822" s="118"/>
      <c r="E822" s="118"/>
      <c r="F822" s="115"/>
      <c r="G822" s="115"/>
      <c r="H822" s="170"/>
      <c r="I822" s="172"/>
      <c r="J822" s="115"/>
      <c r="Q822" s="115"/>
      <c r="R822" s="115"/>
    </row>
    <row r="823" spans="1:18" ht="15.75" customHeight="1">
      <c r="A823" s="115"/>
      <c r="B823" s="115"/>
      <c r="C823" s="118"/>
      <c r="D823" s="118"/>
      <c r="E823" s="118"/>
      <c r="F823" s="115"/>
      <c r="G823" s="115"/>
      <c r="H823" s="170"/>
      <c r="I823" s="172"/>
      <c r="J823" s="115"/>
      <c r="Q823" s="115"/>
      <c r="R823" s="115"/>
    </row>
    <row r="824" spans="1:18" ht="15.75" customHeight="1">
      <c r="A824" s="115"/>
      <c r="B824" s="115"/>
      <c r="C824" s="118"/>
      <c r="D824" s="118"/>
      <c r="E824" s="118"/>
      <c r="F824" s="115"/>
      <c r="G824" s="115"/>
      <c r="H824" s="170"/>
      <c r="I824" s="172"/>
      <c r="J824" s="115"/>
      <c r="Q824" s="115"/>
      <c r="R824" s="115"/>
    </row>
    <row r="825" spans="1:18" ht="15.75" customHeight="1">
      <c r="A825" s="115"/>
      <c r="B825" s="115"/>
      <c r="C825" s="118"/>
      <c r="D825" s="118"/>
      <c r="E825" s="118"/>
      <c r="F825" s="115"/>
      <c r="G825" s="115"/>
      <c r="H825" s="170"/>
      <c r="I825" s="172"/>
      <c r="J825" s="115"/>
      <c r="Q825" s="115"/>
      <c r="R825" s="115"/>
    </row>
    <row r="826" spans="1:18" ht="15.75" customHeight="1">
      <c r="A826" s="115"/>
      <c r="B826" s="115"/>
      <c r="C826" s="118"/>
      <c r="D826" s="118"/>
      <c r="E826" s="118"/>
      <c r="F826" s="115"/>
      <c r="G826" s="115"/>
      <c r="H826" s="170"/>
      <c r="I826" s="172"/>
      <c r="J826" s="115"/>
      <c r="Q826" s="115"/>
      <c r="R826" s="115"/>
    </row>
    <row r="827" spans="1:18" ht="15.75" customHeight="1">
      <c r="A827" s="115"/>
      <c r="B827" s="115"/>
      <c r="C827" s="118"/>
      <c r="D827" s="118"/>
      <c r="E827" s="118"/>
      <c r="F827" s="115"/>
      <c r="G827" s="115"/>
      <c r="H827" s="170"/>
      <c r="I827" s="172"/>
      <c r="J827" s="115"/>
      <c r="Q827" s="115"/>
      <c r="R827" s="115"/>
    </row>
    <row r="828" spans="1:18" ht="15.75" customHeight="1">
      <c r="A828" s="115"/>
      <c r="B828" s="115"/>
      <c r="C828" s="118"/>
      <c r="D828" s="118"/>
      <c r="E828" s="118"/>
      <c r="F828" s="115"/>
      <c r="G828" s="115"/>
      <c r="H828" s="170"/>
      <c r="I828" s="172"/>
      <c r="J828" s="115"/>
      <c r="Q828" s="115"/>
      <c r="R828" s="115"/>
    </row>
    <row r="829" spans="1:18" ht="15.75" customHeight="1">
      <c r="A829" s="115"/>
      <c r="B829" s="115"/>
      <c r="C829" s="118"/>
      <c r="D829" s="118"/>
      <c r="E829" s="118"/>
      <c r="F829" s="115"/>
      <c r="G829" s="115"/>
      <c r="H829" s="170"/>
      <c r="I829" s="172"/>
      <c r="J829" s="115"/>
      <c r="Q829" s="115"/>
      <c r="R829" s="115"/>
    </row>
    <row r="830" spans="1:18" ht="15.75" customHeight="1">
      <c r="A830" s="115"/>
      <c r="B830" s="115"/>
      <c r="C830" s="118"/>
      <c r="D830" s="118"/>
      <c r="E830" s="118"/>
      <c r="F830" s="115"/>
      <c r="G830" s="115"/>
      <c r="H830" s="170"/>
      <c r="I830" s="172"/>
      <c r="J830" s="115"/>
      <c r="Q830" s="115"/>
      <c r="R830" s="115"/>
    </row>
    <row r="831" spans="1:18" ht="15.75" customHeight="1">
      <c r="A831" s="115"/>
      <c r="B831" s="115"/>
      <c r="C831" s="118"/>
      <c r="D831" s="118"/>
      <c r="E831" s="118"/>
      <c r="F831" s="115"/>
      <c r="G831" s="115"/>
      <c r="H831" s="170"/>
      <c r="I831" s="172"/>
      <c r="J831" s="115"/>
      <c r="Q831" s="115"/>
      <c r="R831" s="115"/>
    </row>
    <row r="832" spans="1:18" ht="15.75" customHeight="1">
      <c r="A832" s="115"/>
      <c r="B832" s="115"/>
      <c r="C832" s="118"/>
      <c r="D832" s="118"/>
      <c r="E832" s="118"/>
      <c r="F832" s="115"/>
      <c r="G832" s="115"/>
      <c r="H832" s="170"/>
      <c r="I832" s="172"/>
      <c r="J832" s="115"/>
      <c r="Q832" s="115"/>
      <c r="R832" s="115"/>
    </row>
    <row r="833" spans="1:18" ht="15.75" customHeight="1">
      <c r="A833" s="115"/>
      <c r="B833" s="115"/>
      <c r="C833" s="118"/>
      <c r="D833" s="118"/>
      <c r="E833" s="118"/>
      <c r="F833" s="115"/>
      <c r="G833" s="115"/>
      <c r="H833" s="170"/>
      <c r="I833" s="172"/>
      <c r="J833" s="115"/>
      <c r="Q833" s="115"/>
      <c r="R833" s="115"/>
    </row>
    <row r="834" spans="1:18" ht="15.75" customHeight="1">
      <c r="A834" s="115"/>
      <c r="B834" s="115"/>
      <c r="C834" s="118"/>
      <c r="D834" s="118"/>
      <c r="E834" s="118"/>
      <c r="F834" s="115"/>
      <c r="G834" s="115"/>
      <c r="H834" s="170"/>
      <c r="I834" s="172"/>
      <c r="J834" s="115"/>
      <c r="Q834" s="115"/>
      <c r="R834" s="115"/>
    </row>
    <row r="835" spans="1:18" ht="15.75" customHeight="1">
      <c r="A835" s="115"/>
      <c r="B835" s="115"/>
      <c r="C835" s="118"/>
      <c r="D835" s="118"/>
      <c r="E835" s="118"/>
      <c r="F835" s="115"/>
      <c r="G835" s="115"/>
      <c r="H835" s="170"/>
      <c r="I835" s="172"/>
      <c r="J835" s="115"/>
      <c r="Q835" s="115"/>
      <c r="R835" s="115"/>
    </row>
    <row r="836" spans="1:18" ht="15.75" customHeight="1">
      <c r="A836" s="115"/>
      <c r="B836" s="115"/>
      <c r="C836" s="118"/>
      <c r="D836" s="118"/>
      <c r="E836" s="118"/>
      <c r="F836" s="115"/>
      <c r="G836" s="115"/>
      <c r="H836" s="170"/>
      <c r="I836" s="172"/>
      <c r="J836" s="115"/>
      <c r="Q836" s="115"/>
      <c r="R836" s="115"/>
    </row>
    <row r="837" spans="1:18" ht="15.75" customHeight="1">
      <c r="A837" s="115"/>
      <c r="B837" s="115"/>
      <c r="C837" s="118"/>
      <c r="D837" s="118"/>
      <c r="E837" s="118"/>
      <c r="F837" s="115"/>
      <c r="G837" s="115"/>
      <c r="H837" s="170"/>
      <c r="I837" s="172"/>
      <c r="J837" s="115"/>
      <c r="Q837" s="115"/>
      <c r="R837" s="115"/>
    </row>
    <row r="838" spans="1:18" ht="15.75" customHeight="1">
      <c r="A838" s="115"/>
      <c r="B838" s="115"/>
      <c r="C838" s="118"/>
      <c r="D838" s="118"/>
      <c r="E838" s="118"/>
      <c r="F838" s="115"/>
      <c r="G838" s="115"/>
      <c r="H838" s="170"/>
      <c r="I838" s="172"/>
      <c r="J838" s="115"/>
      <c r="Q838" s="115"/>
      <c r="R838" s="115"/>
    </row>
    <row r="839" spans="1:18" ht="15.75" customHeight="1">
      <c r="A839" s="115"/>
      <c r="B839" s="115"/>
      <c r="C839" s="118"/>
      <c r="D839" s="118"/>
      <c r="E839" s="118"/>
      <c r="F839" s="115"/>
      <c r="G839" s="115"/>
      <c r="H839" s="170"/>
      <c r="I839" s="172"/>
      <c r="J839" s="115"/>
      <c r="Q839" s="115"/>
      <c r="R839" s="115"/>
    </row>
    <row r="840" spans="1:18" ht="15.75" customHeight="1">
      <c r="A840" s="115"/>
      <c r="B840" s="115"/>
      <c r="C840" s="118"/>
      <c r="D840" s="118"/>
      <c r="E840" s="118"/>
      <c r="F840" s="115"/>
      <c r="G840" s="115"/>
      <c r="H840" s="170"/>
      <c r="I840" s="172"/>
      <c r="J840" s="115"/>
      <c r="Q840" s="115"/>
      <c r="R840" s="115"/>
    </row>
    <row r="841" spans="1:18" ht="15.75" customHeight="1">
      <c r="A841" s="115"/>
      <c r="B841" s="115"/>
      <c r="C841" s="118"/>
      <c r="D841" s="118"/>
      <c r="E841" s="118"/>
      <c r="F841" s="115"/>
      <c r="G841" s="115"/>
      <c r="H841" s="170"/>
      <c r="I841" s="172"/>
      <c r="J841" s="115"/>
      <c r="Q841" s="115"/>
      <c r="R841" s="115"/>
    </row>
    <row r="842" spans="1:18" ht="15.75" customHeight="1">
      <c r="A842" s="115"/>
      <c r="B842" s="115"/>
      <c r="C842" s="118"/>
      <c r="D842" s="118"/>
      <c r="E842" s="118"/>
      <c r="F842" s="115"/>
      <c r="G842" s="115"/>
      <c r="H842" s="170"/>
      <c r="I842" s="172"/>
      <c r="J842" s="115"/>
      <c r="Q842" s="115"/>
      <c r="R842" s="115"/>
    </row>
    <row r="843" spans="1:18" ht="15.75" customHeight="1">
      <c r="A843" s="115"/>
      <c r="B843" s="115"/>
      <c r="C843" s="118"/>
      <c r="D843" s="118"/>
      <c r="E843" s="118"/>
      <c r="F843" s="115"/>
      <c r="G843" s="115"/>
      <c r="H843" s="170"/>
      <c r="I843" s="172"/>
      <c r="J843" s="115"/>
      <c r="Q843" s="115"/>
      <c r="R843" s="115"/>
    </row>
    <row r="844" spans="1:18" ht="15.75" customHeight="1">
      <c r="A844" s="115"/>
      <c r="B844" s="115"/>
      <c r="C844" s="118"/>
      <c r="D844" s="118"/>
      <c r="E844" s="118"/>
      <c r="F844" s="115"/>
      <c r="G844" s="115"/>
      <c r="H844" s="170"/>
      <c r="I844" s="172"/>
      <c r="J844" s="115"/>
      <c r="Q844" s="115"/>
      <c r="R844" s="115"/>
    </row>
    <row r="845" spans="1:18" ht="15.75" customHeight="1">
      <c r="A845" s="115"/>
      <c r="B845" s="115"/>
      <c r="C845" s="118"/>
      <c r="D845" s="118"/>
      <c r="E845" s="118"/>
      <c r="F845" s="115"/>
      <c r="G845" s="115"/>
      <c r="H845" s="170"/>
      <c r="I845" s="172"/>
      <c r="J845" s="115"/>
      <c r="Q845" s="115"/>
      <c r="R845" s="115"/>
    </row>
    <row r="846" spans="1:18" ht="15.75" customHeight="1">
      <c r="A846" s="115"/>
      <c r="B846" s="115"/>
      <c r="C846" s="118"/>
      <c r="D846" s="118"/>
      <c r="E846" s="118"/>
      <c r="F846" s="115"/>
      <c r="G846" s="115"/>
      <c r="H846" s="170"/>
      <c r="I846" s="172"/>
      <c r="J846" s="115"/>
      <c r="Q846" s="115"/>
      <c r="R846" s="115"/>
    </row>
    <row r="847" spans="1:18" ht="15.75" customHeight="1">
      <c r="A847" s="115"/>
      <c r="B847" s="115"/>
      <c r="C847" s="118"/>
      <c r="D847" s="118"/>
      <c r="E847" s="118"/>
      <c r="F847" s="115"/>
      <c r="G847" s="115"/>
      <c r="H847" s="170"/>
      <c r="I847" s="172"/>
      <c r="J847" s="115"/>
      <c r="Q847" s="115"/>
      <c r="R847" s="115"/>
    </row>
    <row r="848" spans="1:18" ht="15.75" customHeight="1">
      <c r="A848" s="115"/>
      <c r="B848" s="115"/>
      <c r="C848" s="118"/>
      <c r="D848" s="118"/>
      <c r="E848" s="118"/>
      <c r="F848" s="115"/>
      <c r="G848" s="115"/>
      <c r="H848" s="170"/>
      <c r="I848" s="172"/>
      <c r="J848" s="115"/>
      <c r="Q848" s="115"/>
      <c r="R848" s="115"/>
    </row>
    <row r="849" spans="1:18" ht="15.75" customHeight="1">
      <c r="A849" s="115"/>
      <c r="B849" s="115"/>
      <c r="C849" s="118"/>
      <c r="D849" s="118"/>
      <c r="E849" s="118"/>
      <c r="F849" s="115"/>
      <c r="G849" s="115"/>
      <c r="H849" s="170"/>
      <c r="I849" s="172"/>
      <c r="J849" s="115"/>
      <c r="Q849" s="115"/>
      <c r="R849" s="115"/>
    </row>
    <row r="850" spans="1:18" ht="15.75" customHeight="1">
      <c r="A850" s="115"/>
      <c r="B850" s="115"/>
      <c r="C850" s="118"/>
      <c r="D850" s="118"/>
      <c r="E850" s="118"/>
      <c r="F850" s="115"/>
      <c r="G850" s="115"/>
      <c r="H850" s="170"/>
      <c r="I850" s="172"/>
      <c r="J850" s="115"/>
      <c r="Q850" s="115"/>
      <c r="R850" s="115"/>
    </row>
    <row r="851" spans="1:18" ht="15.75" customHeight="1">
      <c r="A851" s="115"/>
      <c r="B851" s="115"/>
      <c r="C851" s="118"/>
      <c r="D851" s="118"/>
      <c r="E851" s="118"/>
      <c r="F851" s="115"/>
      <c r="G851" s="115"/>
      <c r="H851" s="170"/>
      <c r="I851" s="172"/>
      <c r="J851" s="115"/>
      <c r="Q851" s="115"/>
      <c r="R851" s="115"/>
    </row>
    <row r="852" spans="1:18" ht="15.75" customHeight="1">
      <c r="A852" s="115"/>
      <c r="B852" s="115"/>
      <c r="C852" s="118"/>
      <c r="D852" s="118"/>
      <c r="E852" s="118"/>
      <c r="F852" s="115"/>
      <c r="G852" s="115"/>
      <c r="H852" s="170"/>
      <c r="I852" s="172"/>
      <c r="J852" s="115"/>
      <c r="Q852" s="115"/>
      <c r="R852" s="115"/>
    </row>
    <row r="853" spans="1:18" ht="15.75" customHeight="1">
      <c r="A853" s="115"/>
      <c r="B853" s="115"/>
      <c r="C853" s="118"/>
      <c r="D853" s="118"/>
      <c r="E853" s="118"/>
      <c r="F853" s="115"/>
      <c r="G853" s="115"/>
      <c r="H853" s="170"/>
      <c r="I853" s="172"/>
      <c r="J853" s="115"/>
      <c r="Q853" s="115"/>
      <c r="R853" s="115"/>
    </row>
    <row r="854" spans="1:18" ht="15.75" customHeight="1">
      <c r="A854" s="115"/>
      <c r="B854" s="115"/>
      <c r="C854" s="118"/>
      <c r="D854" s="118"/>
      <c r="E854" s="118"/>
      <c r="F854" s="115"/>
      <c r="G854" s="115"/>
      <c r="H854" s="170"/>
      <c r="I854" s="172"/>
      <c r="J854" s="115"/>
      <c r="Q854" s="115"/>
      <c r="R854" s="115"/>
    </row>
    <row r="855" spans="1:18" ht="15.75" customHeight="1">
      <c r="A855" s="115"/>
      <c r="B855" s="115"/>
      <c r="C855" s="118"/>
      <c r="D855" s="118"/>
      <c r="E855" s="118"/>
      <c r="F855" s="115"/>
      <c r="G855" s="115"/>
      <c r="H855" s="170"/>
      <c r="I855" s="172"/>
      <c r="J855" s="115"/>
      <c r="Q855" s="115"/>
      <c r="R855" s="115"/>
    </row>
    <row r="856" spans="1:18" ht="15.75" customHeight="1">
      <c r="A856" s="115"/>
      <c r="B856" s="115"/>
      <c r="C856" s="118"/>
      <c r="D856" s="118"/>
      <c r="E856" s="118"/>
      <c r="F856" s="115"/>
      <c r="G856" s="115"/>
      <c r="H856" s="170"/>
      <c r="I856" s="172"/>
      <c r="J856" s="115"/>
      <c r="Q856" s="115"/>
      <c r="R856" s="115"/>
    </row>
    <row r="857" spans="1:18" ht="15.75" customHeight="1">
      <c r="A857" s="115"/>
      <c r="B857" s="115"/>
      <c r="C857" s="118"/>
      <c r="D857" s="118"/>
      <c r="E857" s="118"/>
      <c r="F857" s="115"/>
      <c r="G857" s="115"/>
      <c r="H857" s="170"/>
      <c r="I857" s="172"/>
      <c r="J857" s="115"/>
      <c r="Q857" s="115"/>
      <c r="R857" s="115"/>
    </row>
    <row r="858" spans="1:18" ht="15.75" customHeight="1">
      <c r="A858" s="115"/>
      <c r="B858" s="115"/>
      <c r="C858" s="118"/>
      <c r="D858" s="118"/>
      <c r="E858" s="118"/>
      <c r="F858" s="115"/>
      <c r="G858" s="115"/>
      <c r="H858" s="170"/>
      <c r="I858" s="172"/>
      <c r="J858" s="115"/>
      <c r="Q858" s="115"/>
      <c r="R858" s="115"/>
    </row>
    <row r="859" spans="1:18" ht="15.75" customHeight="1">
      <c r="A859" s="115"/>
      <c r="B859" s="115"/>
      <c r="C859" s="118"/>
      <c r="D859" s="118"/>
      <c r="E859" s="118"/>
      <c r="F859" s="115"/>
      <c r="G859" s="115"/>
      <c r="H859" s="170"/>
      <c r="I859" s="172"/>
      <c r="J859" s="115"/>
      <c r="Q859" s="115"/>
      <c r="R859" s="115"/>
    </row>
    <row r="860" spans="1:18" ht="15.75" customHeight="1">
      <c r="A860" s="115"/>
      <c r="B860" s="115"/>
      <c r="C860" s="118"/>
      <c r="D860" s="118"/>
      <c r="E860" s="118"/>
      <c r="F860" s="115"/>
      <c r="G860" s="115"/>
      <c r="H860" s="170"/>
      <c r="I860" s="172"/>
      <c r="J860" s="115"/>
      <c r="Q860" s="115"/>
      <c r="R860" s="115"/>
    </row>
    <row r="861" spans="1:18" ht="15.75" customHeight="1">
      <c r="A861" s="115"/>
      <c r="B861" s="115"/>
      <c r="C861" s="118"/>
      <c r="D861" s="118"/>
      <c r="E861" s="118"/>
      <c r="F861" s="115"/>
      <c r="G861" s="115"/>
      <c r="H861" s="170"/>
      <c r="I861" s="172"/>
      <c r="J861" s="115"/>
      <c r="Q861" s="115"/>
      <c r="R861" s="115"/>
    </row>
    <row r="862" spans="1:18" ht="15.75" customHeight="1">
      <c r="A862" s="115"/>
      <c r="B862" s="115"/>
      <c r="C862" s="118"/>
      <c r="D862" s="118"/>
      <c r="E862" s="118"/>
      <c r="F862" s="115"/>
      <c r="G862" s="115"/>
      <c r="H862" s="170"/>
      <c r="I862" s="172"/>
      <c r="J862" s="115"/>
      <c r="Q862" s="115"/>
      <c r="R862" s="115"/>
    </row>
    <row r="863" spans="1:18" ht="15.75" customHeight="1">
      <c r="A863" s="115"/>
      <c r="B863" s="115"/>
      <c r="C863" s="118"/>
      <c r="D863" s="118"/>
      <c r="E863" s="118"/>
      <c r="F863" s="115"/>
      <c r="G863" s="115"/>
      <c r="H863" s="170"/>
      <c r="I863" s="172"/>
      <c r="J863" s="115"/>
      <c r="Q863" s="115"/>
      <c r="R863" s="115"/>
    </row>
    <row r="864" spans="1:18" ht="15.75" customHeight="1">
      <c r="A864" s="115"/>
      <c r="B864" s="115"/>
      <c r="C864" s="118"/>
      <c r="D864" s="118"/>
      <c r="E864" s="118"/>
      <c r="F864" s="115"/>
      <c r="G864" s="115"/>
      <c r="H864" s="170"/>
      <c r="I864" s="172"/>
      <c r="J864" s="115"/>
      <c r="Q864" s="115"/>
      <c r="R864" s="115"/>
    </row>
    <row r="865" spans="1:18" ht="15.75" customHeight="1">
      <c r="A865" s="115"/>
      <c r="B865" s="115"/>
      <c r="C865" s="118"/>
      <c r="D865" s="118"/>
      <c r="E865" s="118"/>
      <c r="F865" s="115"/>
      <c r="G865" s="115"/>
      <c r="H865" s="170"/>
      <c r="I865" s="172"/>
      <c r="J865" s="115"/>
      <c r="Q865" s="115"/>
      <c r="R865" s="115"/>
    </row>
    <row r="866" spans="1:18" ht="15.75" customHeight="1">
      <c r="A866" s="115"/>
      <c r="B866" s="115"/>
      <c r="C866" s="118"/>
      <c r="D866" s="118"/>
      <c r="E866" s="118"/>
      <c r="F866" s="115"/>
      <c r="G866" s="115"/>
      <c r="H866" s="170"/>
      <c r="I866" s="172"/>
      <c r="J866" s="115"/>
      <c r="Q866" s="115"/>
      <c r="R866" s="115"/>
    </row>
    <row r="867" spans="1:18" ht="15.75" customHeight="1">
      <c r="A867" s="115"/>
      <c r="B867" s="115"/>
      <c r="C867" s="118"/>
      <c r="D867" s="118"/>
      <c r="E867" s="118"/>
      <c r="F867" s="115"/>
      <c r="G867" s="115"/>
      <c r="H867" s="170"/>
      <c r="I867" s="172"/>
      <c r="J867" s="115"/>
      <c r="Q867" s="115"/>
      <c r="R867" s="115"/>
    </row>
    <row r="868" spans="1:18" ht="15.75" customHeight="1">
      <c r="A868" s="115"/>
      <c r="B868" s="115"/>
      <c r="C868" s="118"/>
      <c r="D868" s="118"/>
      <c r="E868" s="118"/>
      <c r="F868" s="115"/>
      <c r="G868" s="115"/>
      <c r="H868" s="170"/>
      <c r="I868" s="172"/>
      <c r="J868" s="115"/>
      <c r="Q868" s="115"/>
      <c r="R868" s="115"/>
    </row>
    <row r="869" spans="1:18" ht="15.75" customHeight="1">
      <c r="A869" s="115"/>
      <c r="B869" s="115"/>
      <c r="C869" s="118"/>
      <c r="D869" s="118"/>
      <c r="E869" s="118"/>
      <c r="F869" s="115"/>
      <c r="G869" s="115"/>
      <c r="H869" s="170"/>
      <c r="I869" s="172"/>
      <c r="J869" s="115"/>
      <c r="Q869" s="115"/>
      <c r="R869" s="115"/>
    </row>
    <row r="870" spans="1:18" ht="15.75" customHeight="1">
      <c r="A870" s="115"/>
      <c r="B870" s="115"/>
      <c r="C870" s="118"/>
      <c r="D870" s="118"/>
      <c r="E870" s="118"/>
      <c r="F870" s="115"/>
      <c r="G870" s="115"/>
      <c r="H870" s="170"/>
      <c r="I870" s="172"/>
      <c r="J870" s="115"/>
      <c r="Q870" s="115"/>
      <c r="R870" s="115"/>
    </row>
    <row r="871" spans="1:18" ht="15.75" customHeight="1">
      <c r="A871" s="115"/>
      <c r="B871" s="115"/>
      <c r="C871" s="118"/>
      <c r="D871" s="118"/>
      <c r="E871" s="118"/>
      <c r="F871" s="115"/>
      <c r="G871" s="115"/>
      <c r="H871" s="170"/>
      <c r="I871" s="172"/>
      <c r="J871" s="115"/>
      <c r="Q871" s="115"/>
      <c r="R871" s="115"/>
    </row>
    <row r="872" spans="1:18" ht="15.75" customHeight="1">
      <c r="A872" s="115"/>
      <c r="B872" s="115"/>
      <c r="C872" s="118"/>
      <c r="D872" s="118"/>
      <c r="E872" s="118"/>
      <c r="F872" s="115"/>
      <c r="G872" s="115"/>
      <c r="H872" s="170"/>
      <c r="I872" s="172"/>
      <c r="J872" s="115"/>
      <c r="Q872" s="115"/>
      <c r="R872" s="115"/>
    </row>
    <row r="873" spans="1:18" ht="15.75" customHeight="1">
      <c r="A873" s="115"/>
      <c r="B873" s="115"/>
      <c r="C873" s="118"/>
      <c r="D873" s="118"/>
      <c r="E873" s="118"/>
      <c r="F873" s="115"/>
      <c r="G873" s="115"/>
      <c r="H873" s="170"/>
      <c r="I873" s="172"/>
      <c r="J873" s="115"/>
      <c r="Q873" s="115"/>
      <c r="R873" s="115"/>
    </row>
    <row r="874" spans="1:18" ht="15.75" customHeight="1">
      <c r="A874" s="115"/>
      <c r="B874" s="115"/>
      <c r="C874" s="118"/>
      <c r="D874" s="118"/>
      <c r="E874" s="118"/>
      <c r="F874" s="115"/>
      <c r="G874" s="115"/>
      <c r="H874" s="170"/>
      <c r="I874" s="172"/>
      <c r="J874" s="115"/>
      <c r="Q874" s="115"/>
      <c r="R874" s="115"/>
    </row>
    <row r="875" spans="1:18" ht="15.75" customHeight="1">
      <c r="A875" s="115"/>
      <c r="B875" s="115"/>
      <c r="C875" s="118"/>
      <c r="D875" s="118"/>
      <c r="E875" s="118"/>
      <c r="F875" s="115"/>
      <c r="G875" s="115"/>
      <c r="H875" s="170"/>
      <c r="I875" s="172"/>
      <c r="J875" s="115"/>
      <c r="Q875" s="115"/>
      <c r="R875" s="115"/>
    </row>
    <row r="876" spans="1:18" ht="15.75" customHeight="1">
      <c r="A876" s="115"/>
      <c r="B876" s="115"/>
      <c r="C876" s="118"/>
      <c r="D876" s="118"/>
      <c r="E876" s="118"/>
      <c r="F876" s="115"/>
      <c r="G876" s="115"/>
      <c r="H876" s="170"/>
      <c r="I876" s="172"/>
      <c r="J876" s="115"/>
      <c r="Q876" s="115"/>
      <c r="R876" s="115"/>
    </row>
    <row r="877" spans="1:18" ht="15.75" customHeight="1">
      <c r="A877" s="115"/>
      <c r="B877" s="115"/>
      <c r="C877" s="118"/>
      <c r="D877" s="118"/>
      <c r="E877" s="118"/>
      <c r="F877" s="115"/>
      <c r="G877" s="115"/>
      <c r="H877" s="170"/>
      <c r="I877" s="172"/>
      <c r="J877" s="115"/>
      <c r="Q877" s="115"/>
      <c r="R877" s="115"/>
    </row>
    <row r="878" spans="1:18" ht="15.75" customHeight="1">
      <c r="A878" s="115"/>
      <c r="B878" s="115"/>
      <c r="C878" s="118"/>
      <c r="D878" s="118"/>
      <c r="E878" s="118"/>
      <c r="F878" s="115"/>
      <c r="G878" s="115"/>
      <c r="H878" s="170"/>
      <c r="I878" s="172"/>
      <c r="J878" s="115"/>
      <c r="Q878" s="115"/>
      <c r="R878" s="115"/>
    </row>
    <row r="879" spans="1:18" ht="15.75" customHeight="1">
      <c r="A879" s="115"/>
      <c r="B879" s="115"/>
      <c r="C879" s="118"/>
      <c r="D879" s="118"/>
      <c r="E879" s="118"/>
      <c r="F879" s="115"/>
      <c r="G879" s="115"/>
      <c r="H879" s="170"/>
      <c r="I879" s="172"/>
      <c r="J879" s="115"/>
      <c r="Q879" s="115"/>
      <c r="R879" s="115"/>
    </row>
    <row r="880" spans="1:18" ht="15.75" customHeight="1">
      <c r="A880" s="115"/>
      <c r="B880" s="115"/>
      <c r="C880" s="118"/>
      <c r="D880" s="118"/>
      <c r="E880" s="118"/>
      <c r="F880" s="115"/>
      <c r="G880" s="115"/>
      <c r="H880" s="170"/>
      <c r="I880" s="172"/>
      <c r="J880" s="115"/>
      <c r="Q880" s="115"/>
      <c r="R880" s="115"/>
    </row>
    <row r="881" spans="1:18" ht="15.75" customHeight="1">
      <c r="A881" s="115"/>
      <c r="B881" s="115"/>
      <c r="C881" s="118"/>
      <c r="D881" s="118"/>
      <c r="E881" s="118"/>
      <c r="F881" s="115"/>
      <c r="G881" s="115"/>
      <c r="H881" s="170"/>
      <c r="I881" s="172"/>
      <c r="J881" s="115"/>
      <c r="Q881" s="115"/>
      <c r="R881" s="115"/>
    </row>
    <row r="882" spans="1:18" ht="15.75" customHeight="1">
      <c r="A882" s="115"/>
      <c r="B882" s="115"/>
      <c r="C882" s="118"/>
      <c r="D882" s="118"/>
      <c r="E882" s="118"/>
      <c r="F882" s="115"/>
      <c r="G882" s="115"/>
      <c r="H882" s="170"/>
      <c r="I882" s="172"/>
      <c r="J882" s="115"/>
      <c r="Q882" s="115"/>
      <c r="R882" s="115"/>
    </row>
    <row r="883" spans="1:18" ht="15.75" customHeight="1">
      <c r="A883" s="115"/>
      <c r="B883" s="115"/>
      <c r="C883" s="118"/>
      <c r="D883" s="118"/>
      <c r="E883" s="118"/>
      <c r="F883" s="115"/>
      <c r="G883" s="115"/>
      <c r="H883" s="170"/>
      <c r="I883" s="172"/>
      <c r="J883" s="115"/>
      <c r="Q883" s="115"/>
      <c r="R883" s="115"/>
    </row>
    <row r="884" spans="1:18" ht="15.75" customHeight="1">
      <c r="A884" s="115"/>
      <c r="B884" s="115"/>
      <c r="C884" s="118"/>
      <c r="D884" s="118"/>
      <c r="E884" s="118"/>
      <c r="F884" s="115"/>
      <c r="G884" s="115"/>
      <c r="H884" s="170"/>
      <c r="I884" s="172"/>
      <c r="J884" s="115"/>
      <c r="Q884" s="115"/>
      <c r="R884" s="115"/>
    </row>
    <row r="885" spans="1:18" ht="15.75" customHeight="1">
      <c r="A885" s="115"/>
      <c r="B885" s="115"/>
      <c r="C885" s="118"/>
      <c r="D885" s="118"/>
      <c r="E885" s="118"/>
      <c r="F885" s="115"/>
      <c r="G885" s="115"/>
      <c r="H885" s="170"/>
      <c r="I885" s="172"/>
      <c r="J885" s="115"/>
      <c r="Q885" s="115"/>
      <c r="R885" s="115"/>
    </row>
    <row r="886" spans="1:18" ht="15.75" customHeight="1">
      <c r="A886" s="115"/>
      <c r="B886" s="115"/>
      <c r="C886" s="118"/>
      <c r="D886" s="118"/>
      <c r="E886" s="118"/>
      <c r="F886" s="115"/>
      <c r="G886" s="115"/>
      <c r="H886" s="170"/>
      <c r="I886" s="172"/>
      <c r="J886" s="115"/>
      <c r="Q886" s="115"/>
      <c r="R886" s="115"/>
    </row>
    <row r="887" spans="1:18" ht="15.75" customHeight="1">
      <c r="A887" s="115"/>
      <c r="B887" s="115"/>
      <c r="C887" s="118"/>
      <c r="D887" s="118"/>
      <c r="E887" s="118"/>
      <c r="F887" s="115"/>
      <c r="G887" s="115"/>
      <c r="H887" s="170"/>
      <c r="I887" s="172"/>
      <c r="J887" s="115"/>
      <c r="Q887" s="115"/>
      <c r="R887" s="115"/>
    </row>
    <row r="888" spans="1:18" ht="15.75" customHeight="1">
      <c r="A888" s="115"/>
      <c r="B888" s="115"/>
      <c r="C888" s="118"/>
      <c r="D888" s="118"/>
      <c r="E888" s="118"/>
      <c r="F888" s="115"/>
      <c r="G888" s="115"/>
      <c r="H888" s="170"/>
      <c r="I888" s="172"/>
      <c r="J888" s="115"/>
      <c r="Q888" s="115"/>
      <c r="R888" s="115"/>
    </row>
    <row r="889" spans="1:18" ht="15.75" customHeight="1">
      <c r="A889" s="115"/>
      <c r="B889" s="115"/>
      <c r="C889" s="118"/>
      <c r="D889" s="118"/>
      <c r="E889" s="118"/>
      <c r="F889" s="115"/>
      <c r="G889" s="115"/>
      <c r="H889" s="170"/>
      <c r="I889" s="172"/>
      <c r="J889" s="115"/>
      <c r="Q889" s="115"/>
      <c r="R889" s="115"/>
    </row>
    <row r="890" spans="1:18" ht="15.75" customHeight="1">
      <c r="A890" s="115"/>
      <c r="B890" s="115"/>
      <c r="C890" s="118"/>
      <c r="D890" s="118"/>
      <c r="E890" s="118"/>
      <c r="F890" s="115"/>
      <c r="G890" s="115"/>
      <c r="H890" s="170"/>
      <c r="I890" s="172"/>
      <c r="J890" s="115"/>
      <c r="Q890" s="115"/>
      <c r="R890" s="115"/>
    </row>
    <row r="891" spans="1:18" ht="15.75" customHeight="1">
      <c r="A891" s="115"/>
      <c r="B891" s="115"/>
      <c r="C891" s="118"/>
      <c r="D891" s="118"/>
      <c r="E891" s="118"/>
      <c r="F891" s="115"/>
      <c r="G891" s="115"/>
      <c r="H891" s="170"/>
      <c r="I891" s="172"/>
      <c r="J891" s="115"/>
      <c r="Q891" s="115"/>
      <c r="R891" s="115"/>
    </row>
    <row r="892" spans="1:18" ht="15.75" customHeight="1">
      <c r="A892" s="115"/>
      <c r="B892" s="115"/>
      <c r="C892" s="118"/>
      <c r="D892" s="118"/>
      <c r="E892" s="118"/>
      <c r="F892" s="115"/>
      <c r="G892" s="115"/>
      <c r="H892" s="170"/>
      <c r="I892" s="172"/>
      <c r="J892" s="115"/>
      <c r="Q892" s="115"/>
      <c r="R892" s="115"/>
    </row>
    <row r="893" spans="1:18" ht="15.75" customHeight="1">
      <c r="A893" s="115"/>
      <c r="B893" s="115"/>
      <c r="C893" s="118"/>
      <c r="D893" s="118"/>
      <c r="E893" s="118"/>
      <c r="F893" s="115"/>
      <c r="G893" s="115"/>
      <c r="H893" s="170"/>
      <c r="I893" s="172"/>
      <c r="J893" s="115"/>
      <c r="Q893" s="115"/>
      <c r="R893" s="115"/>
    </row>
    <row r="894" spans="1:18" ht="15.75" customHeight="1">
      <c r="A894" s="115"/>
      <c r="B894" s="115"/>
      <c r="C894" s="118"/>
      <c r="D894" s="118"/>
      <c r="E894" s="118"/>
      <c r="F894" s="115"/>
      <c r="G894" s="115"/>
      <c r="H894" s="170"/>
      <c r="I894" s="172"/>
      <c r="J894" s="115"/>
      <c r="Q894" s="115"/>
      <c r="R894" s="115"/>
    </row>
    <row r="895" spans="1:18" ht="15.75" customHeight="1">
      <c r="A895" s="115"/>
      <c r="B895" s="115"/>
      <c r="C895" s="118"/>
      <c r="D895" s="118"/>
      <c r="E895" s="118"/>
      <c r="F895" s="115"/>
      <c r="G895" s="115"/>
      <c r="H895" s="170"/>
      <c r="I895" s="172"/>
      <c r="J895" s="115"/>
      <c r="Q895" s="115"/>
      <c r="R895" s="115"/>
    </row>
    <row r="896" spans="1:18" ht="15.75" customHeight="1">
      <c r="A896" s="115"/>
      <c r="B896" s="115"/>
      <c r="C896" s="118"/>
      <c r="D896" s="118"/>
      <c r="E896" s="118"/>
      <c r="F896" s="115"/>
      <c r="G896" s="115"/>
      <c r="H896" s="170"/>
      <c r="I896" s="172"/>
      <c r="J896" s="115"/>
      <c r="Q896" s="115"/>
      <c r="R896" s="115"/>
    </row>
    <row r="897" spans="1:18" ht="15.75" customHeight="1">
      <c r="A897" s="115"/>
      <c r="B897" s="115"/>
      <c r="C897" s="118"/>
      <c r="D897" s="118"/>
      <c r="E897" s="118"/>
      <c r="F897" s="115"/>
      <c r="G897" s="115"/>
      <c r="H897" s="170"/>
      <c r="I897" s="172"/>
      <c r="J897" s="115"/>
      <c r="Q897" s="115"/>
      <c r="R897" s="115"/>
    </row>
    <row r="898" spans="1:18" ht="15.75" customHeight="1">
      <c r="A898" s="115"/>
      <c r="B898" s="115"/>
      <c r="C898" s="118"/>
      <c r="D898" s="118"/>
      <c r="E898" s="118"/>
      <c r="F898" s="115"/>
      <c r="G898" s="115"/>
      <c r="H898" s="170"/>
      <c r="I898" s="172"/>
      <c r="J898" s="115"/>
      <c r="Q898" s="115"/>
      <c r="R898" s="115"/>
    </row>
    <row r="899" spans="1:18" ht="15.75" customHeight="1">
      <c r="A899" s="115"/>
      <c r="B899" s="115"/>
      <c r="C899" s="118"/>
      <c r="D899" s="118"/>
      <c r="E899" s="118"/>
      <c r="F899" s="115"/>
      <c r="G899" s="115"/>
      <c r="H899" s="170"/>
      <c r="I899" s="172"/>
      <c r="J899" s="115"/>
      <c r="Q899" s="115"/>
      <c r="R899" s="115"/>
    </row>
    <row r="900" spans="1:18" ht="15.75" customHeight="1">
      <c r="A900" s="115"/>
      <c r="B900" s="115"/>
      <c r="C900" s="118"/>
      <c r="D900" s="118"/>
      <c r="E900" s="118"/>
      <c r="F900" s="115"/>
      <c r="G900" s="115"/>
      <c r="H900" s="170"/>
      <c r="I900" s="172"/>
      <c r="J900" s="115"/>
      <c r="Q900" s="115"/>
      <c r="R900" s="115"/>
    </row>
    <row r="901" spans="1:18" ht="15.75" customHeight="1">
      <c r="A901" s="115"/>
      <c r="B901" s="115"/>
      <c r="C901" s="118"/>
      <c r="D901" s="118"/>
      <c r="E901" s="118"/>
      <c r="F901" s="115"/>
      <c r="G901" s="115"/>
      <c r="H901" s="170"/>
      <c r="I901" s="172"/>
      <c r="J901" s="115"/>
      <c r="Q901" s="115"/>
      <c r="R901" s="115"/>
    </row>
    <row r="902" spans="1:18" ht="15.75" customHeight="1">
      <c r="A902" s="115"/>
      <c r="B902" s="115"/>
      <c r="C902" s="118"/>
      <c r="D902" s="118"/>
      <c r="E902" s="118"/>
      <c r="F902" s="115"/>
      <c r="G902" s="115"/>
      <c r="H902" s="170"/>
      <c r="I902" s="172"/>
      <c r="J902" s="115"/>
      <c r="Q902" s="115"/>
      <c r="R902" s="115"/>
    </row>
    <row r="903" spans="1:18" ht="15.75" customHeight="1">
      <c r="A903" s="115"/>
      <c r="B903" s="115"/>
      <c r="C903" s="118"/>
      <c r="D903" s="118"/>
      <c r="E903" s="118"/>
      <c r="F903" s="115"/>
      <c r="G903" s="115"/>
      <c r="H903" s="170"/>
      <c r="I903" s="172"/>
      <c r="J903" s="115"/>
      <c r="Q903" s="115"/>
      <c r="R903" s="115"/>
    </row>
    <row r="904" spans="1:18" ht="15.75" customHeight="1">
      <c r="A904" s="115"/>
      <c r="B904" s="115"/>
      <c r="C904" s="118"/>
      <c r="D904" s="118"/>
      <c r="E904" s="118"/>
      <c r="F904" s="115"/>
      <c r="G904" s="115"/>
      <c r="H904" s="170"/>
      <c r="I904" s="172"/>
      <c r="J904" s="115"/>
      <c r="Q904" s="115"/>
      <c r="R904" s="115"/>
    </row>
    <row r="905" spans="1:18" ht="15.75" customHeight="1">
      <c r="A905" s="115"/>
      <c r="B905" s="115"/>
      <c r="C905" s="118"/>
      <c r="D905" s="118"/>
      <c r="E905" s="118"/>
      <c r="F905" s="115"/>
      <c r="G905" s="115"/>
      <c r="H905" s="170"/>
      <c r="I905" s="172"/>
      <c r="J905" s="115"/>
      <c r="Q905" s="115"/>
      <c r="R905" s="115"/>
    </row>
    <row r="906" spans="1:18" ht="15.75" customHeight="1">
      <c r="A906" s="115"/>
      <c r="B906" s="115"/>
      <c r="C906" s="118"/>
      <c r="D906" s="118"/>
      <c r="E906" s="118"/>
      <c r="F906" s="115"/>
      <c r="G906" s="115"/>
      <c r="H906" s="170"/>
      <c r="I906" s="172"/>
      <c r="J906" s="115"/>
      <c r="Q906" s="115"/>
      <c r="R906" s="115"/>
    </row>
    <row r="907" spans="1:18" ht="15.75" customHeight="1">
      <c r="A907" s="115"/>
      <c r="B907" s="115"/>
      <c r="C907" s="118"/>
      <c r="D907" s="118"/>
      <c r="E907" s="118"/>
      <c r="F907" s="115"/>
      <c r="G907" s="115"/>
      <c r="H907" s="170"/>
      <c r="I907" s="172"/>
      <c r="J907" s="115"/>
      <c r="Q907" s="115"/>
      <c r="R907" s="115"/>
    </row>
    <row r="908" spans="1:18" ht="15.75" customHeight="1">
      <c r="A908" s="115"/>
      <c r="B908" s="115"/>
      <c r="C908" s="118"/>
      <c r="D908" s="118"/>
      <c r="E908" s="118"/>
      <c r="F908" s="115"/>
      <c r="G908" s="115"/>
      <c r="H908" s="170"/>
      <c r="I908" s="172"/>
      <c r="J908" s="115"/>
      <c r="Q908" s="115"/>
      <c r="R908" s="115"/>
    </row>
    <row r="909" spans="1:18" ht="15.75" customHeight="1">
      <c r="A909" s="115"/>
      <c r="B909" s="115"/>
      <c r="C909" s="118"/>
      <c r="D909" s="118"/>
      <c r="E909" s="118"/>
      <c r="F909" s="115"/>
      <c r="G909" s="115"/>
      <c r="H909" s="170"/>
      <c r="I909" s="172"/>
      <c r="J909" s="115"/>
      <c r="Q909" s="115"/>
      <c r="R909" s="115"/>
    </row>
    <row r="910" spans="1:18" ht="15.75" customHeight="1">
      <c r="A910" s="115"/>
      <c r="B910" s="115"/>
      <c r="C910" s="118"/>
      <c r="D910" s="118"/>
      <c r="E910" s="118"/>
      <c r="F910" s="115"/>
      <c r="G910" s="115"/>
      <c r="H910" s="170"/>
      <c r="I910" s="172"/>
      <c r="J910" s="115"/>
      <c r="Q910" s="115"/>
      <c r="R910" s="115"/>
    </row>
    <row r="911" spans="1:18" ht="15.75" customHeight="1">
      <c r="A911" s="115"/>
      <c r="B911" s="115"/>
      <c r="C911" s="118"/>
      <c r="D911" s="118"/>
      <c r="E911" s="118"/>
      <c r="F911" s="115"/>
      <c r="G911" s="115"/>
      <c r="H911" s="170"/>
      <c r="I911" s="172"/>
      <c r="J911" s="115"/>
      <c r="Q911" s="115"/>
      <c r="R911" s="115"/>
    </row>
    <row r="912" spans="1:18" ht="15.75" customHeight="1">
      <c r="A912" s="115"/>
      <c r="B912" s="115"/>
      <c r="C912" s="118"/>
      <c r="D912" s="118"/>
      <c r="E912" s="118"/>
      <c r="F912" s="115"/>
      <c r="G912" s="115"/>
      <c r="H912" s="170"/>
      <c r="I912" s="172"/>
      <c r="J912" s="115"/>
      <c r="Q912" s="115"/>
      <c r="R912" s="115"/>
    </row>
    <row r="913" spans="1:18" ht="15.75" customHeight="1">
      <c r="A913" s="115"/>
      <c r="B913" s="115"/>
      <c r="C913" s="118"/>
      <c r="D913" s="118"/>
      <c r="E913" s="118"/>
      <c r="F913" s="115"/>
      <c r="G913" s="115"/>
      <c r="H913" s="170"/>
      <c r="I913" s="172"/>
      <c r="J913" s="115"/>
      <c r="Q913" s="115"/>
      <c r="R913" s="115"/>
    </row>
    <row r="914" spans="1:18" ht="15.75" customHeight="1">
      <c r="A914" s="115"/>
      <c r="B914" s="115"/>
      <c r="C914" s="118"/>
      <c r="D914" s="118"/>
      <c r="E914" s="118"/>
      <c r="F914" s="115"/>
      <c r="G914" s="115"/>
      <c r="H914" s="170"/>
      <c r="I914" s="172"/>
      <c r="J914" s="115"/>
      <c r="Q914" s="115"/>
      <c r="R914" s="115"/>
    </row>
    <row r="915" spans="1:18" ht="15.75" customHeight="1">
      <c r="A915" s="115"/>
      <c r="B915" s="115"/>
      <c r="C915" s="118"/>
      <c r="D915" s="118"/>
      <c r="E915" s="118"/>
      <c r="F915" s="115"/>
      <c r="G915" s="115"/>
      <c r="H915" s="170"/>
      <c r="I915" s="172"/>
      <c r="J915" s="115"/>
      <c r="Q915" s="115"/>
      <c r="R915" s="115"/>
    </row>
    <row r="916" spans="1:18" ht="15.75" customHeight="1">
      <c r="A916" s="115"/>
      <c r="B916" s="115"/>
      <c r="C916" s="118"/>
      <c r="D916" s="118"/>
      <c r="E916" s="118"/>
      <c r="F916" s="115"/>
      <c r="G916" s="115"/>
      <c r="H916" s="170"/>
      <c r="I916" s="172"/>
      <c r="J916" s="115"/>
      <c r="Q916" s="115"/>
      <c r="R916" s="115"/>
    </row>
    <row r="917" spans="1:18" ht="15.75" customHeight="1">
      <c r="A917" s="115"/>
      <c r="B917" s="115"/>
      <c r="C917" s="118"/>
      <c r="D917" s="118"/>
      <c r="E917" s="118"/>
      <c r="F917" s="115"/>
      <c r="G917" s="115"/>
      <c r="H917" s="170"/>
      <c r="I917" s="172"/>
      <c r="J917" s="115"/>
      <c r="Q917" s="115"/>
      <c r="R917" s="115"/>
    </row>
    <row r="918" spans="1:18" ht="15.75" customHeight="1">
      <c r="A918" s="115"/>
      <c r="B918" s="115"/>
      <c r="C918" s="118"/>
      <c r="D918" s="118"/>
      <c r="E918" s="118"/>
      <c r="F918" s="115"/>
      <c r="G918" s="115"/>
      <c r="H918" s="170"/>
      <c r="I918" s="172"/>
      <c r="J918" s="115"/>
      <c r="Q918" s="115"/>
      <c r="R918" s="115"/>
    </row>
    <row r="919" spans="1:18" ht="15.75" customHeight="1">
      <c r="A919" s="115"/>
      <c r="B919" s="115"/>
      <c r="C919" s="118"/>
      <c r="D919" s="118"/>
      <c r="E919" s="118"/>
      <c r="F919" s="115"/>
      <c r="G919" s="115"/>
      <c r="H919" s="170"/>
      <c r="I919" s="172"/>
      <c r="J919" s="115"/>
      <c r="Q919" s="115"/>
      <c r="R919" s="115"/>
    </row>
    <row r="920" spans="1:18" ht="15.75" customHeight="1">
      <c r="A920" s="115"/>
      <c r="B920" s="115"/>
      <c r="C920" s="118"/>
      <c r="D920" s="118"/>
      <c r="E920" s="118"/>
      <c r="F920" s="115"/>
      <c r="G920" s="115"/>
      <c r="H920" s="170"/>
      <c r="I920" s="172"/>
      <c r="J920" s="115"/>
      <c r="Q920" s="115"/>
      <c r="R920" s="115"/>
    </row>
    <row r="921" spans="1:18" ht="15.75" customHeight="1">
      <c r="A921" s="115"/>
      <c r="B921" s="115"/>
      <c r="C921" s="118"/>
      <c r="D921" s="118"/>
      <c r="E921" s="118"/>
      <c r="F921" s="115"/>
      <c r="G921" s="115"/>
      <c r="H921" s="170"/>
      <c r="I921" s="172"/>
      <c r="J921" s="115"/>
      <c r="Q921" s="115"/>
      <c r="R921" s="115"/>
    </row>
    <row r="922" spans="1:18" ht="15.75" customHeight="1">
      <c r="A922" s="115"/>
      <c r="B922" s="115"/>
      <c r="C922" s="118"/>
      <c r="D922" s="118"/>
      <c r="E922" s="118"/>
      <c r="F922" s="115"/>
      <c r="G922" s="115"/>
      <c r="H922" s="170"/>
      <c r="I922" s="172"/>
      <c r="J922" s="115"/>
      <c r="Q922" s="115"/>
      <c r="R922" s="115"/>
    </row>
    <row r="923" spans="1:18" ht="15.75" customHeight="1">
      <c r="A923" s="115"/>
      <c r="B923" s="115"/>
      <c r="C923" s="118"/>
      <c r="D923" s="118"/>
      <c r="E923" s="118"/>
      <c r="F923" s="115"/>
      <c r="G923" s="115"/>
      <c r="H923" s="170"/>
      <c r="I923" s="172"/>
      <c r="J923" s="115"/>
      <c r="Q923" s="115"/>
      <c r="R923" s="115"/>
    </row>
    <row r="924" spans="1:18" ht="15.75" customHeight="1">
      <c r="A924" s="115"/>
      <c r="B924" s="115"/>
      <c r="C924" s="118"/>
      <c r="D924" s="118"/>
      <c r="E924" s="118"/>
      <c r="F924" s="115"/>
      <c r="G924" s="115"/>
      <c r="H924" s="170"/>
      <c r="I924" s="172"/>
      <c r="J924" s="115"/>
      <c r="Q924" s="115"/>
      <c r="R924" s="115"/>
    </row>
    <row r="925" spans="1:18" ht="15.75" customHeight="1">
      <c r="A925" s="115"/>
      <c r="B925" s="115"/>
      <c r="C925" s="118"/>
      <c r="D925" s="118"/>
      <c r="E925" s="118"/>
      <c r="F925" s="115"/>
      <c r="G925" s="115"/>
      <c r="H925" s="170"/>
      <c r="I925" s="172"/>
      <c r="J925" s="115"/>
      <c r="Q925" s="115"/>
      <c r="R925" s="115"/>
    </row>
    <row r="926" spans="1:18" ht="15.75" customHeight="1">
      <c r="A926" s="115"/>
      <c r="B926" s="115"/>
      <c r="C926" s="118"/>
      <c r="D926" s="118"/>
      <c r="E926" s="118"/>
      <c r="F926" s="115"/>
      <c r="G926" s="115"/>
      <c r="H926" s="170"/>
      <c r="I926" s="172"/>
      <c r="J926" s="115"/>
      <c r="Q926" s="115"/>
      <c r="R926" s="115"/>
    </row>
    <row r="927" spans="1:18" ht="15.75" customHeight="1">
      <c r="A927" s="115"/>
      <c r="B927" s="115"/>
      <c r="C927" s="118"/>
      <c r="D927" s="118"/>
      <c r="E927" s="118"/>
      <c r="F927" s="115"/>
      <c r="G927" s="115"/>
      <c r="H927" s="170"/>
      <c r="I927" s="172"/>
      <c r="J927" s="115"/>
      <c r="Q927" s="115"/>
      <c r="R927" s="115"/>
    </row>
    <row r="928" spans="1:18" ht="15.75" customHeight="1">
      <c r="A928" s="115"/>
      <c r="B928" s="115"/>
      <c r="C928" s="118"/>
      <c r="D928" s="118"/>
      <c r="E928" s="118"/>
      <c r="F928" s="115"/>
      <c r="G928" s="115"/>
      <c r="H928" s="170"/>
      <c r="I928" s="172"/>
      <c r="J928" s="115"/>
      <c r="Q928" s="115"/>
      <c r="R928" s="115"/>
    </row>
    <row r="929" spans="1:18" ht="15.75" customHeight="1">
      <c r="A929" s="115"/>
      <c r="B929" s="115"/>
      <c r="C929" s="118"/>
      <c r="D929" s="118"/>
      <c r="E929" s="118"/>
      <c r="F929" s="115"/>
      <c r="G929" s="115"/>
      <c r="H929" s="170"/>
      <c r="I929" s="172"/>
      <c r="J929" s="115"/>
      <c r="Q929" s="115"/>
      <c r="R929" s="115"/>
    </row>
    <row r="930" spans="1:18" ht="15.75" customHeight="1">
      <c r="A930" s="115"/>
      <c r="B930" s="115"/>
      <c r="C930" s="118"/>
      <c r="D930" s="118"/>
      <c r="E930" s="118"/>
      <c r="F930" s="115"/>
      <c r="G930" s="115"/>
      <c r="H930" s="170"/>
      <c r="I930" s="172"/>
      <c r="J930" s="115"/>
      <c r="Q930" s="115"/>
      <c r="R930" s="115"/>
    </row>
    <row r="931" spans="1:18" ht="15.75" customHeight="1">
      <c r="A931" s="115"/>
      <c r="B931" s="115"/>
      <c r="C931" s="118"/>
      <c r="D931" s="118"/>
      <c r="E931" s="118"/>
      <c r="F931" s="115"/>
      <c r="G931" s="115"/>
      <c r="H931" s="170"/>
      <c r="I931" s="172"/>
      <c r="J931" s="115"/>
      <c r="Q931" s="115"/>
      <c r="R931" s="115"/>
    </row>
    <row r="932" spans="1:18" ht="15.75" customHeight="1">
      <c r="A932" s="115"/>
      <c r="B932" s="115"/>
      <c r="C932" s="118"/>
      <c r="D932" s="118"/>
      <c r="E932" s="118"/>
      <c r="F932" s="115"/>
      <c r="G932" s="115"/>
      <c r="H932" s="170"/>
      <c r="I932" s="172"/>
      <c r="J932" s="115"/>
      <c r="Q932" s="115"/>
      <c r="R932" s="115"/>
    </row>
    <row r="933" spans="1:18" ht="15.75" customHeight="1">
      <c r="A933" s="115"/>
      <c r="B933" s="115"/>
      <c r="C933" s="118"/>
      <c r="D933" s="118"/>
      <c r="E933" s="118"/>
      <c r="F933" s="115"/>
      <c r="G933" s="115"/>
      <c r="H933" s="170"/>
      <c r="I933" s="172"/>
      <c r="J933" s="115"/>
      <c r="Q933" s="115"/>
      <c r="R933" s="115"/>
    </row>
    <row r="934" spans="1:18" ht="15.75" customHeight="1">
      <c r="A934" s="115"/>
      <c r="B934" s="115"/>
      <c r="C934" s="118"/>
      <c r="D934" s="118"/>
      <c r="E934" s="118"/>
      <c r="F934" s="115"/>
      <c r="G934" s="115"/>
      <c r="H934" s="170"/>
      <c r="I934" s="172"/>
      <c r="J934" s="115"/>
      <c r="Q934" s="115"/>
      <c r="R934" s="115"/>
    </row>
    <row r="935" spans="1:18" ht="15.75" customHeight="1">
      <c r="A935" s="115"/>
      <c r="B935" s="115"/>
      <c r="C935" s="118"/>
      <c r="D935" s="118"/>
      <c r="E935" s="118"/>
      <c r="F935" s="115"/>
      <c r="G935" s="115"/>
      <c r="H935" s="170"/>
      <c r="I935" s="172"/>
      <c r="J935" s="115"/>
      <c r="Q935" s="115"/>
      <c r="R935" s="115"/>
    </row>
    <row r="936" spans="1:18" ht="15.75" customHeight="1">
      <c r="A936" s="115"/>
      <c r="B936" s="115"/>
      <c r="C936" s="118"/>
      <c r="D936" s="118"/>
      <c r="E936" s="118"/>
      <c r="F936" s="115"/>
      <c r="G936" s="115"/>
      <c r="H936" s="170"/>
      <c r="I936" s="172"/>
      <c r="J936" s="115"/>
      <c r="Q936" s="115"/>
      <c r="R936" s="115"/>
    </row>
    <row r="937" spans="1:18" ht="15.75" customHeight="1">
      <c r="A937" s="115"/>
      <c r="B937" s="115"/>
      <c r="C937" s="118"/>
      <c r="D937" s="118"/>
      <c r="E937" s="118"/>
      <c r="F937" s="115"/>
      <c r="G937" s="115"/>
      <c r="H937" s="170"/>
      <c r="I937" s="172"/>
      <c r="J937" s="115"/>
      <c r="Q937" s="115"/>
      <c r="R937" s="115"/>
    </row>
    <row r="938" spans="1:18" ht="15.75" customHeight="1">
      <c r="A938" s="115"/>
      <c r="B938" s="115"/>
      <c r="C938" s="118"/>
      <c r="D938" s="118"/>
      <c r="E938" s="118"/>
      <c r="F938" s="115"/>
      <c r="G938" s="115"/>
      <c r="H938" s="170"/>
      <c r="I938" s="172"/>
      <c r="J938" s="115"/>
      <c r="Q938" s="115"/>
      <c r="R938" s="115"/>
    </row>
    <row r="939" spans="1:18" ht="15.75" customHeight="1">
      <c r="A939" s="115"/>
      <c r="B939" s="115"/>
      <c r="C939" s="118"/>
      <c r="D939" s="118"/>
      <c r="E939" s="118"/>
      <c r="F939" s="115"/>
      <c r="G939" s="115"/>
      <c r="H939" s="170"/>
      <c r="I939" s="172"/>
      <c r="J939" s="115"/>
      <c r="Q939" s="115"/>
      <c r="R939" s="115"/>
    </row>
    <row r="940" spans="1:18" ht="15.75" customHeight="1">
      <c r="A940" s="115"/>
      <c r="B940" s="115"/>
      <c r="C940" s="118"/>
      <c r="D940" s="118"/>
      <c r="E940" s="118"/>
      <c r="F940" s="115"/>
      <c r="G940" s="115"/>
      <c r="H940" s="170"/>
      <c r="I940" s="172"/>
      <c r="J940" s="115"/>
      <c r="Q940" s="115"/>
      <c r="R940" s="115"/>
    </row>
    <row r="941" spans="1:18" ht="15.75" customHeight="1">
      <c r="A941" s="115"/>
      <c r="B941" s="115"/>
      <c r="C941" s="118"/>
      <c r="D941" s="118"/>
      <c r="E941" s="118"/>
      <c r="F941" s="115"/>
      <c r="G941" s="115"/>
      <c r="H941" s="170"/>
      <c r="I941" s="172"/>
      <c r="J941" s="115"/>
      <c r="Q941" s="115"/>
      <c r="R941" s="115"/>
    </row>
    <row r="942" spans="1:18" ht="15.75" customHeight="1">
      <c r="A942" s="115"/>
      <c r="B942" s="115"/>
      <c r="C942" s="118"/>
      <c r="D942" s="118"/>
      <c r="E942" s="118"/>
      <c r="F942" s="115"/>
      <c r="G942" s="115"/>
      <c r="H942" s="170"/>
      <c r="I942" s="172"/>
      <c r="J942" s="115"/>
      <c r="Q942" s="115"/>
      <c r="R942" s="115"/>
    </row>
    <row r="943" spans="1:18" ht="15.75" customHeight="1">
      <c r="A943" s="115"/>
      <c r="B943" s="115"/>
      <c r="C943" s="118"/>
      <c r="D943" s="118"/>
      <c r="E943" s="118"/>
      <c r="F943" s="115"/>
      <c r="G943" s="115"/>
      <c r="H943" s="170"/>
      <c r="I943" s="172"/>
      <c r="J943" s="115"/>
      <c r="Q943" s="115"/>
      <c r="R943" s="115"/>
    </row>
    <row r="944" spans="1:18" ht="15.75" customHeight="1">
      <c r="A944" s="115"/>
      <c r="B944" s="115"/>
      <c r="C944" s="118"/>
      <c r="D944" s="118"/>
      <c r="E944" s="118"/>
      <c r="F944" s="115"/>
      <c r="G944" s="115"/>
      <c r="H944" s="170"/>
      <c r="I944" s="172"/>
      <c r="J944" s="115"/>
      <c r="Q944" s="115"/>
      <c r="R944" s="115"/>
    </row>
    <row r="945" spans="1:18" ht="15.75" customHeight="1">
      <c r="A945" s="115"/>
      <c r="B945" s="115"/>
      <c r="C945" s="118"/>
      <c r="D945" s="118"/>
      <c r="E945" s="118"/>
      <c r="F945" s="115"/>
      <c r="G945" s="115"/>
      <c r="H945" s="170"/>
      <c r="I945" s="172"/>
      <c r="J945" s="115"/>
      <c r="Q945" s="115"/>
      <c r="R945" s="115"/>
    </row>
    <row r="946" spans="1:18" ht="15.75" customHeight="1">
      <c r="A946" s="115"/>
      <c r="B946" s="115"/>
      <c r="C946" s="118"/>
      <c r="D946" s="118"/>
      <c r="E946" s="118"/>
      <c r="F946" s="115"/>
      <c r="G946" s="115"/>
      <c r="H946" s="170"/>
      <c r="I946" s="172"/>
      <c r="J946" s="115"/>
      <c r="Q946" s="115"/>
      <c r="R946" s="115"/>
    </row>
    <row r="947" spans="1:18" ht="15.75" customHeight="1">
      <c r="A947" s="115"/>
      <c r="B947" s="115"/>
      <c r="C947" s="118"/>
      <c r="D947" s="118"/>
      <c r="E947" s="118"/>
      <c r="F947" s="115"/>
      <c r="G947" s="115"/>
      <c r="H947" s="170"/>
      <c r="I947" s="172"/>
      <c r="J947" s="115"/>
      <c r="Q947" s="115"/>
      <c r="R947" s="115"/>
    </row>
    <row r="948" spans="1:18" ht="15.75" customHeight="1">
      <c r="A948" s="115"/>
      <c r="B948" s="115"/>
      <c r="C948" s="118"/>
      <c r="D948" s="118"/>
      <c r="E948" s="118"/>
      <c r="F948" s="115"/>
      <c r="G948" s="115"/>
      <c r="H948" s="170"/>
      <c r="I948" s="172"/>
      <c r="J948" s="115"/>
      <c r="Q948" s="115"/>
      <c r="R948" s="115"/>
    </row>
    <row r="949" spans="1:18" ht="15.75" customHeight="1">
      <c r="A949" s="115"/>
      <c r="B949" s="115"/>
      <c r="C949" s="118"/>
      <c r="D949" s="118"/>
      <c r="E949" s="118"/>
      <c r="F949" s="115"/>
      <c r="G949" s="115"/>
      <c r="H949" s="170"/>
      <c r="I949" s="172"/>
      <c r="J949" s="115"/>
      <c r="Q949" s="115"/>
      <c r="R949" s="115"/>
    </row>
    <row r="950" spans="1:18" ht="15.75" customHeight="1">
      <c r="A950" s="115"/>
      <c r="B950" s="115"/>
      <c r="C950" s="118"/>
      <c r="D950" s="118"/>
      <c r="E950" s="118"/>
      <c r="F950" s="115"/>
      <c r="G950" s="115"/>
      <c r="H950" s="170"/>
      <c r="I950" s="172"/>
      <c r="J950" s="115"/>
      <c r="Q950" s="115"/>
      <c r="R950" s="115"/>
    </row>
    <row r="951" spans="1:18" ht="15.75" customHeight="1">
      <c r="A951" s="115"/>
      <c r="B951" s="115"/>
      <c r="C951" s="118"/>
      <c r="D951" s="118"/>
      <c r="E951" s="118"/>
      <c r="F951" s="115"/>
      <c r="G951" s="115"/>
      <c r="H951" s="170"/>
      <c r="I951" s="172"/>
      <c r="J951" s="115"/>
      <c r="Q951" s="115"/>
      <c r="R951" s="115"/>
    </row>
    <row r="952" spans="1:18" ht="15.75" customHeight="1">
      <c r="A952" s="115"/>
      <c r="B952" s="115"/>
      <c r="C952" s="118"/>
      <c r="D952" s="118"/>
      <c r="E952" s="118"/>
      <c r="F952" s="115"/>
      <c r="G952" s="115"/>
      <c r="H952" s="170"/>
      <c r="I952" s="172"/>
      <c r="J952" s="115"/>
      <c r="Q952" s="115"/>
      <c r="R952" s="115"/>
    </row>
    <row r="953" spans="1:18" ht="15.75" customHeight="1">
      <c r="A953" s="115"/>
      <c r="B953" s="115"/>
      <c r="C953" s="118"/>
      <c r="D953" s="118"/>
      <c r="E953" s="118"/>
      <c r="F953" s="115"/>
      <c r="G953" s="115"/>
      <c r="H953" s="170"/>
      <c r="I953" s="172"/>
      <c r="J953" s="115"/>
      <c r="Q953" s="115"/>
      <c r="R953" s="115"/>
    </row>
    <row r="954" spans="1:18" ht="15.75" customHeight="1">
      <c r="A954" s="115"/>
      <c r="B954" s="115"/>
      <c r="C954" s="118"/>
      <c r="D954" s="118"/>
      <c r="E954" s="118"/>
      <c r="F954" s="115"/>
      <c r="G954" s="115"/>
      <c r="H954" s="170"/>
      <c r="I954" s="172"/>
      <c r="J954" s="115"/>
      <c r="Q954" s="115"/>
      <c r="R954" s="115"/>
    </row>
    <row r="955" spans="1:18" ht="15.75" customHeight="1">
      <c r="A955" s="115"/>
      <c r="B955" s="115"/>
      <c r="C955" s="118"/>
      <c r="D955" s="118"/>
      <c r="E955" s="118"/>
      <c r="F955" s="115"/>
      <c r="G955" s="115"/>
      <c r="H955" s="170"/>
      <c r="I955" s="172"/>
      <c r="J955" s="115"/>
      <c r="Q955" s="115"/>
      <c r="R955" s="115"/>
    </row>
    <row r="956" spans="1:18" ht="15.75" customHeight="1">
      <c r="A956" s="115"/>
      <c r="B956" s="115"/>
      <c r="C956" s="118"/>
      <c r="D956" s="118"/>
      <c r="E956" s="118"/>
      <c r="F956" s="115"/>
      <c r="G956" s="115"/>
      <c r="H956" s="170"/>
      <c r="I956" s="172"/>
      <c r="J956" s="115"/>
      <c r="Q956" s="115"/>
      <c r="R956" s="115"/>
    </row>
    <row r="957" spans="1:18" ht="15.75" customHeight="1">
      <c r="A957" s="115"/>
      <c r="B957" s="115"/>
      <c r="C957" s="118"/>
      <c r="D957" s="118"/>
      <c r="E957" s="118"/>
      <c r="F957" s="115"/>
      <c r="G957" s="115"/>
      <c r="H957" s="170"/>
      <c r="I957" s="172"/>
      <c r="J957" s="115"/>
      <c r="Q957" s="115"/>
      <c r="R957" s="115"/>
    </row>
    <row r="958" spans="1:18" ht="15.75" customHeight="1">
      <c r="A958" s="115"/>
      <c r="B958" s="115"/>
      <c r="C958" s="118"/>
      <c r="D958" s="118"/>
      <c r="E958" s="118"/>
      <c r="F958" s="115"/>
      <c r="G958" s="115"/>
      <c r="H958" s="170"/>
      <c r="I958" s="172"/>
      <c r="J958" s="115"/>
      <c r="Q958" s="115"/>
      <c r="R958" s="115"/>
    </row>
    <row r="959" spans="1:18" ht="15.75" customHeight="1">
      <c r="A959" s="115"/>
      <c r="B959" s="115"/>
      <c r="C959" s="118"/>
      <c r="D959" s="118"/>
      <c r="E959" s="118"/>
      <c r="F959" s="115"/>
      <c r="G959" s="115"/>
      <c r="H959" s="170"/>
      <c r="I959" s="172"/>
      <c r="J959" s="115"/>
      <c r="Q959" s="115"/>
      <c r="R959" s="115"/>
    </row>
    <row r="960" spans="1:18" ht="15.75" customHeight="1">
      <c r="A960" s="115"/>
      <c r="B960" s="115"/>
      <c r="C960" s="118"/>
      <c r="D960" s="118"/>
      <c r="E960" s="118"/>
      <c r="F960" s="115"/>
      <c r="G960" s="115"/>
      <c r="H960" s="170"/>
      <c r="I960" s="172"/>
      <c r="J960" s="115"/>
      <c r="Q960" s="115"/>
      <c r="R960" s="115"/>
    </row>
    <row r="961" spans="1:18" ht="15.75" customHeight="1">
      <c r="A961" s="115"/>
      <c r="B961" s="115"/>
      <c r="C961" s="118"/>
      <c r="D961" s="118"/>
      <c r="E961" s="118"/>
      <c r="F961" s="115"/>
      <c r="G961" s="115"/>
      <c r="H961" s="170"/>
      <c r="I961" s="172"/>
      <c r="J961" s="115"/>
      <c r="Q961" s="115"/>
      <c r="R961" s="115"/>
    </row>
    <row r="962" spans="1:18" ht="15.75" customHeight="1">
      <c r="A962" s="115"/>
      <c r="B962" s="115"/>
      <c r="C962" s="118"/>
      <c r="D962" s="118"/>
      <c r="E962" s="118"/>
      <c r="F962" s="115"/>
      <c r="G962" s="115"/>
      <c r="H962" s="170"/>
      <c r="I962" s="172"/>
      <c r="J962" s="115"/>
      <c r="Q962" s="115"/>
      <c r="R962" s="115"/>
    </row>
    <row r="963" spans="1:18" ht="15.75" customHeight="1">
      <c r="A963" s="115"/>
      <c r="B963" s="115"/>
      <c r="C963" s="118"/>
      <c r="D963" s="118"/>
      <c r="E963" s="118"/>
      <c r="F963" s="115"/>
      <c r="G963" s="115"/>
      <c r="H963" s="170"/>
      <c r="I963" s="172"/>
      <c r="J963" s="115"/>
      <c r="Q963" s="115"/>
      <c r="R963" s="115"/>
    </row>
    <row r="964" spans="1:18" ht="15.75" customHeight="1">
      <c r="A964" s="115"/>
      <c r="B964" s="115"/>
      <c r="C964" s="118"/>
      <c r="D964" s="118"/>
      <c r="E964" s="118"/>
      <c r="F964" s="115"/>
      <c r="G964" s="115"/>
      <c r="H964" s="170"/>
      <c r="I964" s="172"/>
      <c r="J964" s="115"/>
      <c r="Q964" s="115"/>
      <c r="R964" s="115"/>
    </row>
    <row r="965" spans="1:18" ht="15.75" customHeight="1">
      <c r="A965" s="115"/>
      <c r="B965" s="115"/>
      <c r="C965" s="118"/>
      <c r="D965" s="118"/>
      <c r="E965" s="118"/>
      <c r="F965" s="115"/>
      <c r="G965" s="115"/>
      <c r="H965" s="170"/>
      <c r="I965" s="172"/>
      <c r="J965" s="115"/>
      <c r="Q965" s="115"/>
      <c r="R965" s="115"/>
    </row>
    <row r="966" spans="1:18" ht="15.75" customHeight="1">
      <c r="A966" s="115"/>
      <c r="B966" s="115"/>
      <c r="C966" s="118"/>
      <c r="D966" s="118"/>
      <c r="E966" s="118"/>
      <c r="F966" s="115"/>
      <c r="G966" s="115"/>
      <c r="H966" s="170"/>
      <c r="I966" s="172"/>
      <c r="J966" s="115"/>
      <c r="Q966" s="115"/>
      <c r="R966" s="115"/>
    </row>
    <row r="967" spans="1:18" ht="15.75" customHeight="1">
      <c r="A967" s="115"/>
      <c r="B967" s="115"/>
      <c r="C967" s="118"/>
      <c r="D967" s="118"/>
      <c r="E967" s="118"/>
      <c r="F967" s="115"/>
      <c r="G967" s="115"/>
      <c r="H967" s="170"/>
      <c r="I967" s="172"/>
      <c r="J967" s="115"/>
      <c r="Q967" s="115"/>
      <c r="R967" s="115"/>
    </row>
    <row r="968" spans="1:18" ht="15.75" customHeight="1">
      <c r="A968" s="115"/>
      <c r="B968" s="115"/>
      <c r="C968" s="118"/>
      <c r="D968" s="118"/>
      <c r="E968" s="118"/>
      <c r="F968" s="115"/>
      <c r="G968" s="115"/>
      <c r="H968" s="170"/>
      <c r="I968" s="172"/>
      <c r="J968" s="115"/>
      <c r="Q968" s="115"/>
      <c r="R968" s="115"/>
    </row>
    <row r="969" spans="1:18" ht="15.75" customHeight="1">
      <c r="A969" s="115"/>
      <c r="B969" s="115"/>
      <c r="C969" s="118"/>
      <c r="D969" s="118"/>
      <c r="E969" s="118"/>
      <c r="F969" s="115"/>
      <c r="G969" s="115"/>
      <c r="H969" s="170"/>
      <c r="I969" s="172"/>
      <c r="J969" s="115"/>
      <c r="Q969" s="115"/>
      <c r="R969" s="115"/>
    </row>
    <row r="970" spans="1:18" ht="15.75" customHeight="1">
      <c r="A970" s="115"/>
      <c r="B970" s="115"/>
      <c r="C970" s="118"/>
      <c r="D970" s="118"/>
      <c r="E970" s="118"/>
      <c r="F970" s="115"/>
      <c r="G970" s="115"/>
      <c r="H970" s="170"/>
      <c r="I970" s="172"/>
      <c r="J970" s="115"/>
      <c r="Q970" s="115"/>
      <c r="R970" s="115"/>
    </row>
    <row r="971" spans="1:18" ht="15.75" customHeight="1">
      <c r="A971" s="115"/>
      <c r="B971" s="115"/>
      <c r="C971" s="118"/>
      <c r="D971" s="118"/>
      <c r="E971" s="118"/>
      <c r="F971" s="115"/>
      <c r="G971" s="115"/>
      <c r="H971" s="170"/>
      <c r="I971" s="172"/>
      <c r="J971" s="115"/>
      <c r="Q971" s="115"/>
      <c r="R971" s="115"/>
    </row>
    <row r="972" spans="1:18" ht="15.75" customHeight="1">
      <c r="A972" s="115"/>
      <c r="B972" s="115"/>
      <c r="C972" s="118"/>
      <c r="D972" s="118"/>
      <c r="E972" s="118"/>
      <c r="F972" s="115"/>
      <c r="G972" s="115"/>
      <c r="H972" s="170"/>
      <c r="I972" s="172"/>
      <c r="J972" s="115"/>
      <c r="Q972" s="115"/>
      <c r="R972" s="115"/>
    </row>
    <row r="973" spans="1:18" ht="15.75" customHeight="1">
      <c r="A973" s="115"/>
      <c r="B973" s="115"/>
      <c r="C973" s="118"/>
      <c r="D973" s="118"/>
      <c r="E973" s="118"/>
      <c r="F973" s="115"/>
      <c r="G973" s="115"/>
      <c r="H973" s="170"/>
      <c r="I973" s="172"/>
      <c r="J973" s="115"/>
      <c r="Q973" s="115"/>
      <c r="R973" s="115"/>
    </row>
    <row r="974" spans="1:18" ht="15.75" customHeight="1">
      <c r="A974" s="115"/>
      <c r="B974" s="115"/>
      <c r="C974" s="118"/>
      <c r="D974" s="118"/>
      <c r="E974" s="118"/>
      <c r="F974" s="115"/>
      <c r="G974" s="115"/>
      <c r="H974" s="170"/>
      <c r="I974" s="172"/>
      <c r="J974" s="115"/>
      <c r="Q974" s="115"/>
      <c r="R974" s="115"/>
    </row>
    <row r="975" spans="1:18" ht="15.75" customHeight="1">
      <c r="A975" s="115"/>
      <c r="B975" s="115"/>
      <c r="C975" s="118"/>
      <c r="D975" s="118"/>
      <c r="E975" s="118"/>
      <c r="F975" s="115"/>
      <c r="G975" s="115"/>
      <c r="H975" s="170"/>
      <c r="I975" s="172"/>
      <c r="J975" s="115"/>
      <c r="Q975" s="115"/>
      <c r="R975" s="115"/>
    </row>
    <row r="976" spans="1:18" ht="15.75" customHeight="1">
      <c r="A976" s="115"/>
      <c r="B976" s="115"/>
      <c r="C976" s="118"/>
      <c r="D976" s="118"/>
      <c r="E976" s="118"/>
      <c r="F976" s="115"/>
      <c r="G976" s="115"/>
      <c r="H976" s="170"/>
      <c r="I976" s="172"/>
      <c r="J976" s="115"/>
      <c r="Q976" s="115"/>
      <c r="R976" s="115"/>
    </row>
    <row r="977" spans="1:18" ht="15.75" customHeight="1">
      <c r="A977" s="115"/>
      <c r="B977" s="115"/>
      <c r="C977" s="118"/>
      <c r="D977" s="118"/>
      <c r="E977" s="118"/>
      <c r="F977" s="115"/>
      <c r="G977" s="115"/>
      <c r="H977" s="170"/>
      <c r="I977" s="172"/>
      <c r="J977" s="115"/>
      <c r="Q977" s="115"/>
      <c r="R977" s="115"/>
    </row>
    <row r="978" spans="1:18" ht="15.75" customHeight="1">
      <c r="A978" s="115"/>
      <c r="B978" s="115"/>
      <c r="C978" s="118"/>
      <c r="D978" s="118"/>
      <c r="E978" s="118"/>
      <c r="F978" s="115"/>
      <c r="G978" s="115"/>
      <c r="H978" s="170"/>
      <c r="I978" s="172"/>
      <c r="J978" s="115"/>
      <c r="Q978" s="115"/>
      <c r="R978" s="115"/>
    </row>
    <row r="979" spans="1:18" ht="15.75" customHeight="1">
      <c r="A979" s="115"/>
      <c r="B979" s="115"/>
      <c r="C979" s="118"/>
      <c r="D979" s="118"/>
      <c r="E979" s="118"/>
      <c r="F979" s="115"/>
      <c r="G979" s="115"/>
      <c r="H979" s="170"/>
      <c r="I979" s="172"/>
      <c r="J979" s="115"/>
      <c r="Q979" s="115"/>
      <c r="R979" s="115"/>
    </row>
    <row r="980" spans="1:18" ht="15.75" customHeight="1">
      <c r="A980" s="115"/>
      <c r="B980" s="115"/>
      <c r="C980" s="118"/>
      <c r="D980" s="118"/>
      <c r="E980" s="118"/>
      <c r="F980" s="115"/>
      <c r="G980" s="115"/>
      <c r="H980" s="170"/>
      <c r="I980" s="172"/>
      <c r="J980" s="115"/>
      <c r="Q980" s="115"/>
      <c r="R980" s="115"/>
    </row>
    <row r="981" spans="1:18" ht="15.75" customHeight="1">
      <c r="A981" s="115"/>
      <c r="B981" s="115"/>
      <c r="C981" s="118"/>
      <c r="D981" s="118"/>
      <c r="E981" s="118"/>
      <c r="F981" s="115"/>
      <c r="G981" s="115"/>
      <c r="H981" s="170"/>
      <c r="I981" s="172"/>
      <c r="J981" s="115"/>
      <c r="Q981" s="115"/>
      <c r="R981" s="115"/>
    </row>
    <row r="982" spans="1:18" ht="15.75" customHeight="1">
      <c r="A982" s="115"/>
      <c r="B982" s="115"/>
      <c r="C982" s="118"/>
      <c r="D982" s="118"/>
      <c r="E982" s="118"/>
      <c r="F982" s="115"/>
      <c r="G982" s="115"/>
      <c r="H982" s="170"/>
      <c r="I982" s="172"/>
      <c r="J982" s="115"/>
      <c r="Q982" s="115"/>
      <c r="R982" s="115"/>
    </row>
    <row r="983" spans="1:18" ht="15.75" customHeight="1">
      <c r="A983" s="115"/>
      <c r="B983" s="115"/>
      <c r="C983" s="118"/>
      <c r="D983" s="118"/>
      <c r="E983" s="118"/>
      <c r="F983" s="115"/>
      <c r="G983" s="115"/>
      <c r="H983" s="170"/>
      <c r="I983" s="172"/>
      <c r="J983" s="115"/>
      <c r="Q983" s="115"/>
      <c r="R983" s="115"/>
    </row>
    <row r="984" spans="1:18" ht="15.75" customHeight="1">
      <c r="A984" s="115"/>
      <c r="B984" s="115"/>
      <c r="C984" s="118"/>
      <c r="D984" s="118"/>
      <c r="E984" s="118"/>
      <c r="F984" s="115"/>
      <c r="G984" s="115"/>
      <c r="H984" s="170"/>
      <c r="I984" s="172"/>
      <c r="J984" s="115"/>
      <c r="Q984" s="115"/>
      <c r="R984" s="115"/>
    </row>
    <row r="985" spans="1:18" ht="15.75" customHeight="1">
      <c r="A985" s="115"/>
      <c r="B985" s="115"/>
      <c r="C985" s="118"/>
      <c r="D985" s="118"/>
      <c r="E985" s="118"/>
      <c r="F985" s="115"/>
      <c r="G985" s="115"/>
      <c r="H985" s="170"/>
      <c r="I985" s="172"/>
      <c r="J985" s="115"/>
      <c r="Q985" s="115"/>
      <c r="R985" s="115"/>
    </row>
    <row r="986" spans="1:18" ht="15.75" customHeight="1">
      <c r="A986" s="115"/>
      <c r="B986" s="115"/>
      <c r="C986" s="118"/>
      <c r="D986" s="118"/>
      <c r="E986" s="118"/>
      <c r="F986" s="115"/>
      <c r="G986" s="115"/>
      <c r="H986" s="170"/>
      <c r="I986" s="172"/>
      <c r="J986" s="115"/>
      <c r="Q986" s="115"/>
      <c r="R986" s="115"/>
    </row>
    <row r="987" spans="1:18" ht="15.75" customHeight="1">
      <c r="A987" s="115"/>
      <c r="B987" s="115"/>
      <c r="C987" s="118"/>
      <c r="D987" s="118"/>
      <c r="E987" s="118"/>
      <c r="F987" s="115"/>
      <c r="G987" s="115"/>
      <c r="H987" s="170"/>
      <c r="I987" s="172"/>
      <c r="J987" s="115"/>
      <c r="Q987" s="115"/>
      <c r="R987" s="115"/>
    </row>
    <row r="988" spans="1:18" ht="15.6" customHeight="1"/>
    <row r="989" spans="1:18" ht="15.6" customHeight="1"/>
    <row r="990" spans="1:18" ht="15.6" customHeight="1"/>
    <row r="991" spans="1:18" ht="15.6" customHeight="1"/>
    <row r="992" spans="1:18" ht="15.6" customHeight="1"/>
    <row r="993" ht="15.6" customHeight="1"/>
  </sheetData>
  <autoFilter ref="A6:L6" xr:uid="{00000000-0009-0000-0000-000008000000}">
    <sortState xmlns:xlrd2="http://schemas.microsoft.com/office/spreadsheetml/2017/richdata2" ref="A7:L66">
      <sortCondition ref="L6"/>
    </sortState>
  </autoFilter>
  <sortState xmlns:xlrd2="http://schemas.microsoft.com/office/spreadsheetml/2017/richdata2" ref="A7:Z993">
    <sortCondition descending="1" ref="F7:F993"/>
  </sortState>
  <phoneticPr fontId="45" type="noConversion"/>
  <conditionalFormatting sqref="J69:J83">
    <cfRule type="expression" dxfId="473" priority="113">
      <formula>OR($J69="不保養", $J69="代保養")</formula>
    </cfRule>
  </conditionalFormatting>
  <conditionalFormatting sqref="F69:G987">
    <cfRule type="expression" dxfId="472" priority="114">
      <formula>OR($F69="不保養", $F69="代保養")</formula>
    </cfRule>
  </conditionalFormatting>
  <conditionalFormatting sqref="B6:B47 B49:B64 B69:B987">
    <cfRule type="expression" dxfId="471" priority="540">
      <formula>COUNTIF(#REF!, "Yes") = 1</formula>
    </cfRule>
  </conditionalFormatting>
  <conditionalFormatting sqref="B65">
    <cfRule type="expression" dxfId="470" priority="88">
      <formula>COUNTIF(#REF!, "Yes") = 1</formula>
    </cfRule>
  </conditionalFormatting>
  <conditionalFormatting sqref="G69:G1048576">
    <cfRule type="expression" dxfId="469" priority="76">
      <formula>G69="已PM未更換"</formula>
    </cfRule>
  </conditionalFormatting>
  <conditionalFormatting sqref="N5">
    <cfRule type="expression" dxfId="468" priority="74">
      <formula>COUNTIF(#REF!, "Yes") = 1</formula>
    </cfRule>
  </conditionalFormatting>
  <conditionalFormatting sqref="B66">
    <cfRule type="expression" dxfId="467" priority="57">
      <formula>COUNTIF(#REF!, "Yes") = 1</formula>
    </cfRule>
  </conditionalFormatting>
  <conditionalFormatting sqref="G7:G47 G49:G66">
    <cfRule type="expression" dxfId="466" priority="37">
      <formula>G7="完工已補裝"</formula>
    </cfRule>
    <cfRule type="expression" dxfId="465" priority="38">
      <formula>G7="已PM未更換"</formula>
    </cfRule>
    <cfRule type="expression" dxfId="464" priority="39">
      <formula>G7="未更換"</formula>
    </cfRule>
    <cfRule type="expression" dxfId="463" priority="40">
      <formula>G7="已更換"</formula>
    </cfRule>
  </conditionalFormatting>
  <conditionalFormatting sqref="K7:K47 K49:K66">
    <cfRule type="expression" dxfId="462" priority="36">
      <formula>IF(K7="不保養","true","FALSE")</formula>
    </cfRule>
  </conditionalFormatting>
  <conditionalFormatting sqref="F1">
    <cfRule type="expression" dxfId="461" priority="21">
      <formula>COUNTIF(#REF!, "Yes") = 1</formula>
    </cfRule>
  </conditionalFormatting>
  <conditionalFormatting sqref="G1">
    <cfRule type="expression" dxfId="460" priority="20">
      <formula>COUNTIF(#REF!, "Yes") = 1</formula>
    </cfRule>
  </conditionalFormatting>
  <conditionalFormatting sqref="A3">
    <cfRule type="expression" dxfId="459" priority="19">
      <formula>COUNTIF($A6:$A6, "Yes") = 1</formula>
    </cfRule>
  </conditionalFormatting>
  <conditionalFormatting sqref="E1">
    <cfRule type="expression" dxfId="458" priority="22">
      <formula>COUNTIF(#REF!, "Yes") = 1</formula>
    </cfRule>
  </conditionalFormatting>
  <conditionalFormatting sqref="A1:B1">
    <cfRule type="expression" dxfId="457" priority="23">
      <formula>COUNTIF($A2:$A2, "Yes") = 1</formula>
    </cfRule>
  </conditionalFormatting>
  <conditionalFormatting sqref="B67">
    <cfRule type="expression" dxfId="456" priority="18">
      <formula>COUNTIF(#REF!, "Yes") = 1</formula>
    </cfRule>
  </conditionalFormatting>
  <conditionalFormatting sqref="G67">
    <cfRule type="expression" dxfId="455" priority="14">
      <formula>G67="完工已補裝"</formula>
    </cfRule>
    <cfRule type="expression" dxfId="454" priority="15">
      <formula>G67="已PM未更換"</formula>
    </cfRule>
    <cfRule type="expression" dxfId="453" priority="16">
      <formula>G67="未更換"</formula>
    </cfRule>
    <cfRule type="expression" dxfId="452" priority="17">
      <formula>G67="已更換"</formula>
    </cfRule>
  </conditionalFormatting>
  <conditionalFormatting sqref="K67">
    <cfRule type="expression" dxfId="451" priority="13">
      <formula>IF(K67="不保養","true","FALSE")</formula>
    </cfRule>
  </conditionalFormatting>
  <conditionalFormatting sqref="B48">
    <cfRule type="expression" dxfId="450" priority="12">
      <formula>COUNTIF(#REF!, "Yes") = 1</formula>
    </cfRule>
  </conditionalFormatting>
  <conditionalFormatting sqref="G48">
    <cfRule type="expression" dxfId="449" priority="8">
      <formula>G48="完工已補裝"</formula>
    </cfRule>
    <cfRule type="expression" dxfId="448" priority="9">
      <formula>G48="已PM未更換"</formula>
    </cfRule>
    <cfRule type="expression" dxfId="447" priority="10">
      <formula>G48="未更換"</formula>
    </cfRule>
    <cfRule type="expression" dxfId="446" priority="11">
      <formula>G48="已更換"</formula>
    </cfRule>
  </conditionalFormatting>
  <conditionalFormatting sqref="K48">
    <cfRule type="expression" dxfId="445" priority="7">
      <formula>IF(K48="不保養","true","FALSE")</formula>
    </cfRule>
  </conditionalFormatting>
  <conditionalFormatting sqref="B68">
    <cfRule type="expression" dxfId="444" priority="6">
      <formula>COUNTIF(#REF!, "Yes") = 1</formula>
    </cfRule>
  </conditionalFormatting>
  <conditionalFormatting sqref="G68">
    <cfRule type="expression" dxfId="443" priority="2">
      <formula>G68="完工已補裝"</formula>
    </cfRule>
    <cfRule type="expression" dxfId="442" priority="3">
      <formula>G68="已PM未更換"</formula>
    </cfRule>
    <cfRule type="expression" dxfId="441" priority="4">
      <formula>G68="未更換"</formula>
    </cfRule>
    <cfRule type="expression" dxfId="440" priority="5">
      <formula>G68="已更換"</formula>
    </cfRule>
  </conditionalFormatting>
  <conditionalFormatting sqref="K68">
    <cfRule type="expression" dxfId="439" priority="1">
      <formula>IF(K68="不保養","true","FALSE")</formula>
    </cfRule>
  </conditionalFormatting>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7">
    <tabColor rgb="FFFFFF00"/>
  </sheetPr>
  <dimension ref="A1:AE110"/>
  <sheetViews>
    <sheetView zoomScaleNormal="100" workbookViewId="0">
      <pane ySplit="6" topLeftCell="A7" activePane="bottomLeft" state="frozen"/>
      <selection activeCell="F8" sqref="F8"/>
      <selection pane="bottomLeft" activeCell="E11" sqref="E11"/>
    </sheetView>
  </sheetViews>
  <sheetFormatPr defaultColWidth="11.19921875" defaultRowHeight="15" customHeight="1"/>
  <cols>
    <col min="1" max="1" width="13.69921875" style="153" bestFit="1" customWidth="1"/>
    <col min="2" max="2" width="14.09765625" style="153" bestFit="1" customWidth="1"/>
    <col min="3" max="5" width="9" style="147" bestFit="1" customWidth="1"/>
    <col min="6" max="6" width="11.8984375" style="153" bestFit="1" customWidth="1"/>
    <col min="7" max="7" width="11.8984375" style="153" customWidth="1"/>
    <col min="8" max="10" width="11.8984375" style="254" customWidth="1"/>
    <col min="11" max="11" width="17.69921875" style="153" bestFit="1" customWidth="1"/>
    <col min="14" max="14" width="9.69921875" style="239" bestFit="1" customWidth="1"/>
    <col min="15" max="16" width="3.3984375" style="153" bestFit="1" customWidth="1"/>
    <col min="17" max="17" width="7.5" style="153" bestFit="1" customWidth="1"/>
    <col min="18" max="18" width="7.69921875" style="153" customWidth="1"/>
    <col min="19" max="350" width="11.19921875" style="153" customWidth="1"/>
    <col min="351" max="16384" width="11.19921875" style="153"/>
  </cols>
  <sheetData>
    <row r="1" spans="1:31" ht="20.25" customHeight="1">
      <c r="A1" s="262" t="s">
        <v>4941</v>
      </c>
      <c r="B1" s="262" t="s">
        <v>104</v>
      </c>
      <c r="C1" s="263" t="s">
        <v>4942</v>
      </c>
      <c r="D1" s="264" t="s">
        <v>4943</v>
      </c>
      <c r="E1" s="265" t="s">
        <v>4944</v>
      </c>
      <c r="F1" s="262" t="s">
        <v>4945</v>
      </c>
      <c r="G1" s="262" t="s">
        <v>4946</v>
      </c>
      <c r="H1" s="250" t="s">
        <v>125</v>
      </c>
      <c r="I1" s="250" t="s">
        <v>109</v>
      </c>
      <c r="J1" s="166" t="s">
        <v>126</v>
      </c>
      <c r="K1" s="156" t="s">
        <v>127</v>
      </c>
      <c r="L1" s="156" t="s">
        <v>128</v>
      </c>
      <c r="M1" s="152">
        <f>首頁!B5</f>
        <v>46023</v>
      </c>
      <c r="N1" s="153">
        <v>35</v>
      </c>
      <c r="O1" s="153">
        <v>35</v>
      </c>
      <c r="P1" s="153">
        <v>34</v>
      </c>
      <c r="W1" s="291" t="s">
        <v>1</v>
      </c>
      <c r="X1" s="291" t="s">
        <v>2</v>
      </c>
      <c r="Y1" s="291" t="s">
        <v>3</v>
      </c>
      <c r="Z1" s="291" t="s">
        <v>4</v>
      </c>
      <c r="AA1" s="291" t="s">
        <v>5</v>
      </c>
      <c r="AB1" s="324" t="s">
        <v>13</v>
      </c>
      <c r="AC1" s="324" t="s">
        <v>12</v>
      </c>
      <c r="AD1" s="291" t="s">
        <v>8</v>
      </c>
      <c r="AE1" s="291" t="s">
        <v>9</v>
      </c>
    </row>
    <row r="2" spans="1:31" ht="21" customHeight="1">
      <c r="A2" s="266">
        <f>COUNTIFS(門市總表!E:E,N5,門市總表!F:F,"新開")</f>
        <v>0</v>
      </c>
      <c r="B2" s="267">
        <f>首頁!B3</f>
        <v>1</v>
      </c>
      <c r="C2" s="266">
        <f>N1</f>
        <v>35</v>
      </c>
      <c r="D2" s="266">
        <f>N1</f>
        <v>35</v>
      </c>
      <c r="E2" s="267">
        <f>COUNTIF(C$7:C$162,"v")</f>
        <v>46</v>
      </c>
      <c r="F2" s="267">
        <f>MAX(0, D2 - E2)</f>
        <v>0</v>
      </c>
      <c r="G2" s="268" t="str">
        <f>ROUND(IF((E2/D2)&gt;1,1,(E2/D2))*100,2)&amp;"%"</f>
        <v>100%</v>
      </c>
      <c r="H2" s="251" t="s">
        <v>39</v>
      </c>
      <c r="I2" s="162">
        <f>IF(H2&lt;&gt;"",COUNTIFS('0919門市清單主檔'!$Y:$Y,$N$5,'0919門市清單主檔'!$AC:$AC,H2),"")</f>
        <v>0</v>
      </c>
      <c r="J2" s="163" t="str">
        <f>IF(H2&lt;&gt;"",IF(I2=0,"0%",ROUND(K2/I2,4)*100&amp;"%"),"")</f>
        <v>0%</v>
      </c>
      <c r="K2" s="162">
        <f>IF(H2&lt;&gt;"",COUNTIF(J7:J231,"v"),"")</f>
        <v>0</v>
      </c>
      <c r="L2" s="162">
        <f>IF(H2&lt;&gt;"",I2-K2,"")</f>
        <v>0</v>
      </c>
      <c r="M2" s="152">
        <f>首頁!C5</f>
        <v>46054</v>
      </c>
      <c r="N2" s="152"/>
      <c r="W2" s="159">
        <f>COUNTIFS('0919門市清單主檔'!$V:$V,W1)</f>
        <v>1</v>
      </c>
      <c r="X2" s="159">
        <f>COUNTIFS('0919門市清單主檔'!$V:$V,X1)</f>
        <v>3</v>
      </c>
      <c r="Y2" s="159">
        <f>COUNTIFS('0919門市清單主檔'!$V:$V,Y1)</f>
        <v>16</v>
      </c>
      <c r="Z2" s="159">
        <f>COUNTIFS('0919門市清單主檔'!$V:$V,Z1)</f>
        <v>2</v>
      </c>
      <c r="AA2" s="159">
        <f>COUNTIFS('0919門市清單主檔'!$V:$V,AA1)</f>
        <v>8</v>
      </c>
      <c r="AB2" s="159">
        <f>COUNTIFS('0919門市清單主檔'!$V:$V,AB1)</f>
        <v>13</v>
      </c>
      <c r="AC2" s="159">
        <f>COUNTIFS('0919門市清單主檔'!$V:$V,AC1)</f>
        <v>3</v>
      </c>
      <c r="AD2" s="159">
        <f>COUNTIFS('0919門市清單主檔'!$V:$V,AD1)</f>
        <v>25</v>
      </c>
      <c r="AE2" s="159">
        <f>COUNTIFS('0919門市清單主檔'!$V:$V,AE1)</f>
        <v>33</v>
      </c>
    </row>
    <row r="3" spans="1:31" ht="21" customHeight="1">
      <c r="A3" s="262" t="s">
        <v>4947</v>
      </c>
      <c r="B3" s="267">
        <f>首頁!C3</f>
        <v>2</v>
      </c>
      <c r="C3" s="266">
        <f>O1</f>
        <v>35</v>
      </c>
      <c r="D3" s="266" t="str">
        <f ca="1">IF(TODAY()&gt;=M2,IF(D2-E2&lt;0,O1-(E2-D2),O1+(D2-E2)),"0")</f>
        <v>0</v>
      </c>
      <c r="E3" s="267">
        <f>COUNTIF(D$7:D$162,"v")</f>
        <v>0</v>
      </c>
      <c r="F3" s="267" t="str">
        <f ca="1">IF(TODAY()&gt;=M2,MAX(0,D3-E3),"0")</f>
        <v>0</v>
      </c>
      <c r="G3" s="268" t="e">
        <f ca="1">ROUND(IF((E3/D3)&gt;1,1,(E3/D3))*100,2)&amp;"%"</f>
        <v>#DIV/0!</v>
      </c>
      <c r="H3" s="251" t="str">
        <f>IF(首頁!B14=0,"",首頁!B14)</f>
        <v>--</v>
      </c>
      <c r="I3" s="162">
        <f>IF(H3&lt;&gt;"",COUNTIFS('0919門市清單主檔'!$Y:$Y,$N$5,'0919門市清單主檔'!$AF:$AF,H3),"")</f>
        <v>0</v>
      </c>
      <c r="J3" s="163" t="str">
        <f>IF(H3&lt;&gt;"",IF(I3=0,"0%",ROUND(K3/I3,4)*100&amp;"%"),"")</f>
        <v>0%</v>
      </c>
      <c r="K3" s="162">
        <f ca="1">IF(H3&lt;&gt;"",COUNTIF(G:G,"V"),"")</f>
        <v>0</v>
      </c>
      <c r="L3" s="162">
        <f ca="1">IF(H3&lt;&gt;"",I3-K3,"")</f>
        <v>0</v>
      </c>
      <c r="M3" s="152">
        <f>首頁!D5</f>
        <v>46082</v>
      </c>
      <c r="N3" s="152">
        <f>首頁!E5</f>
        <v>46113</v>
      </c>
      <c r="AA3" s="115"/>
      <c r="AB3" s="115"/>
    </row>
    <row r="4" spans="1:31" ht="21" customHeight="1">
      <c r="A4" s="267">
        <f>COUNTIFS(門市總表!E:E,N5,門市總表!F:F,"撤店")</f>
        <v>2</v>
      </c>
      <c r="B4" s="267">
        <f>首頁!D3</f>
        <v>3</v>
      </c>
      <c r="C4" s="266">
        <f>P1</f>
        <v>34</v>
      </c>
      <c r="D4" s="266" t="str">
        <f ca="1">IF(TODAY()&gt;=M3,IF(D3-E3&lt;0,P1-(E3-D3),P1+(D3-E3)),"0")</f>
        <v>0</v>
      </c>
      <c r="E4" s="267">
        <f>COUNTIF(E$7:E$162,"v")</f>
        <v>0</v>
      </c>
      <c r="F4" s="267" t="str">
        <f ca="1">IF(TODAY()&gt;=M3,MAX(0,D4-E4),"0")</f>
        <v>0</v>
      </c>
      <c r="G4" s="268" t="e">
        <f ca="1">ROUND(IF((E4/D4)&gt;1,1,(E4/D4))*100,2)&amp;"%"</f>
        <v>#DIV/0!</v>
      </c>
      <c r="H4" s="251" t="str">
        <f>IF(首頁!C14=0,"",首頁!C14)</f>
        <v>+L90</v>
      </c>
      <c r="I4" s="162">
        <f>IF(H4&lt;&gt;"",COUNTIFS('0919門市清單主檔'!$Y:$Y,$N$5,'0919門市清單主檔'!$AG:$AG,H4),"")</f>
        <v>102</v>
      </c>
      <c r="J4" s="163" t="str">
        <f>IF(H4&lt;&gt;"",IF(I4=0,"0%",ROUND(K4/I4,4)*100&amp;"%"),"")</f>
        <v>56.86%</v>
      </c>
      <c r="K4" s="162">
        <f>IF(H4&lt;&gt;"",COUNTIF(H:H,"V"),"")</f>
        <v>58</v>
      </c>
      <c r="L4" s="162">
        <f>IF(H4&lt;&gt;"",I4-K4,"")</f>
        <v>44</v>
      </c>
      <c r="M4" s="152">
        <f>首頁!F5</f>
        <v>46023</v>
      </c>
      <c r="N4" s="153"/>
      <c r="AA4" s="115"/>
      <c r="AB4" s="115"/>
    </row>
    <row r="5" spans="1:31" ht="22.5" customHeight="1">
      <c r="A5" s="266">
        <f>COUNTA(A7:A161)-COUNTIF(F7:F181,"非當季")-A2</f>
        <v>104</v>
      </c>
      <c r="B5" s="269" t="s">
        <v>116</v>
      </c>
      <c r="C5" s="270">
        <f>SUM(C2:C4)</f>
        <v>104</v>
      </c>
      <c r="D5" s="270"/>
      <c r="E5" s="270">
        <f>SUM(E2:E4)</f>
        <v>46</v>
      </c>
      <c r="F5" s="270">
        <f>A5-SUM(E2:E4)</f>
        <v>58</v>
      </c>
      <c r="G5" s="271" t="str">
        <f>ROUND(IF((E5/C5)&gt;1,1,(E5/C5))*100,0)&amp;"%"</f>
        <v>44%</v>
      </c>
      <c r="H5" s="251" t="str">
        <f>IF(首頁!D14=0,"",首頁!D14)</f>
        <v>+721</v>
      </c>
      <c r="I5" s="162">
        <f>IF(H5&lt;&gt;"",COUNTIFS('0919門市清單主檔'!$Y:$Y,$N$5,'0919門市清單主檔'!$AH:$AH,H5),"")</f>
        <v>85</v>
      </c>
      <c r="J5" s="163" t="str">
        <f>IF(H5&lt;&gt;"",IF(I5=0,"0%",ROUND(K5/I5,4)*100&amp;"%"),"")</f>
        <v>44.71%</v>
      </c>
      <c r="K5" s="162">
        <f>IF(H5&lt;&gt;"",COUNTIF(I:I,"V"),"")</f>
        <v>38</v>
      </c>
      <c r="L5" s="162">
        <f>IF(H5&lt;&gt;"",I5-K5,"")</f>
        <v>47</v>
      </c>
      <c r="M5" s="152">
        <f ca="1">TODAY()</f>
        <v>46045</v>
      </c>
      <c r="N5" s="294" t="s">
        <v>123</v>
      </c>
      <c r="R5" s="176"/>
      <c r="S5" s="176"/>
      <c r="T5" s="154" t="s">
        <v>1972</v>
      </c>
      <c r="U5" s="155" t="str">
        <f t="array" ref="U5">IFERROR(HYPERLINK("#" &amp; ADDRESS(MIN(IF(ISNUMBER(SEARCH(T5, A6:K47)), ROW(A6:K47), 10000000000)), MIN(IF(ISNUMBER(SEARCH(T5, A6:K47)), COLUMN(A6:K47), 10000000000))), "搜索"), "未找到")</f>
        <v>未找到</v>
      </c>
      <c r="AA5" s="115"/>
      <c r="AB5" s="115"/>
    </row>
    <row r="6" spans="1:31" ht="25.5" customHeight="1">
      <c r="A6" s="252" t="s">
        <v>26</v>
      </c>
      <c r="B6" s="252" t="s">
        <v>27</v>
      </c>
      <c r="C6" s="252" t="str">
        <f>首頁!B4</f>
        <v>1月</v>
      </c>
      <c r="D6" s="252" t="str">
        <f>首頁!C4</f>
        <v>2月</v>
      </c>
      <c r="E6" s="252" t="str">
        <f>首頁!D4</f>
        <v>3月</v>
      </c>
      <c r="F6" s="252" t="s">
        <v>4945</v>
      </c>
      <c r="G6" s="252" t="str">
        <f>H3</f>
        <v>--</v>
      </c>
      <c r="H6" s="252" t="str">
        <f>H4</f>
        <v>+L90</v>
      </c>
      <c r="I6" s="252" t="str">
        <f>H5</f>
        <v>+721</v>
      </c>
      <c r="J6" s="252" t="s">
        <v>39</v>
      </c>
      <c r="K6" s="252" t="s">
        <v>4948</v>
      </c>
      <c r="L6" s="252" t="s">
        <v>4949</v>
      </c>
      <c r="M6" s="154" t="s">
        <v>4950</v>
      </c>
      <c r="N6" s="155" t="str">
        <f t="array" ref="N6">IFERROR(HYPERLINK("#" &amp; ADDRESS(MIN(IF(ISNUMBER(SEARCH(M6, A6:J105)), ROW(A6:J105), 10000000000)), MIN(IF(ISNUMBER(SEARCH(M6, A6:J105)), COLUMN(A6:J105), 10000000000))), "搜索"), "未找到")</f>
        <v>未找到</v>
      </c>
      <c r="Q6" s="115"/>
      <c r="R6" s="115"/>
    </row>
    <row r="7" spans="1:31" ht="19.5" customHeight="1">
      <c r="A7" s="116">
        <v>4511</v>
      </c>
      <c r="B7" s="116" t="str">
        <f>VLOOKUP(A7,門市總表!A:B,2,FALSE)</f>
        <v>淡水屯山店</v>
      </c>
      <c r="C7" s="146" t="str">
        <f>IF(COUNTIFS(IM!$F:$F,A7,IM!$AD:$AD,"O",IM!$X:$X,"&gt;="&amp;$M$1, IM!$X:$X,"&lt;"&amp;$M$2)&gt;0,"V","")</f>
        <v/>
      </c>
      <c r="D7" s="146" t="str">
        <f>IF(AND(C7&lt;&gt;"V", COUNTIFS(IM!$F:$F,A7, IM!$AD:$AD, "O", IM!$X:$X, "&gt;="&amp;$M$2, IM!$X:$X, "&lt;"&amp;$M$3)&gt;0), "V", "")</f>
        <v/>
      </c>
      <c r="E7" s="146" t="str">
        <f>IF(AND(C7&lt;&gt;"V",D7&lt;&gt;"V", COUNTIFS(IM!$F:$F, A7, IM!$AD:$AD, "O", IM!$X:$X, "&gt;="&amp;$M$3, IM!$X:$X, "&lt;"&amp;$N$3)&gt;0), "V", "")</f>
        <v/>
      </c>
      <c r="F7" s="116" t="str">
        <f>IF(VLOOKUP(A7,門市總表!A:F,6,FALSE)="新開","新開不保養",
IF(VLOOKUP(A7,門市總表!A:F,6,FALSE)="撤店","閉店不保養",IF(VLOOKUP(A7,門市總表!A:F,6,FALSE)="非當季","非當季",IF(VLOOKUP(A7,門市總表!A:F,6,FALSE)="跨季補單","跨季補單",
IF(COUNTBLANK(C7:E7)=3,"未保養","")
))))</f>
        <v>閉店不保養</v>
      </c>
      <c r="G7" s="116" t="str">
        <f>IF(COUNTIFS('0919門市清單主檔'!C:C,B7,'0919門市清單主檔'!AF:AF,$H$3)=1,
    IF(COUNTIFS(IM!F:F,A7,IM!AC:AC,"*"&amp;$H$3&amp;"*") + COUNTIFS('0919門市清單主檔'!C:C,B7,'0919門市清單主檔'!AF:AF,$H$3) &gt; 1,
       "V","未完工"),"-")</f>
        <v>-</v>
      </c>
      <c r="H7" s="253" t="str">
        <f>IF(COUNTIFS('0919門市清單主檔'!C:C,B7,'0919門市清單主檔'!AG:AG,$H$4)=1,
    IF(COUNTIFS(IM!F:F,A7,IM!AC:AC,"*"&amp;$H$4&amp;"*") + COUNTIFS('0919門市清單主檔'!C:C,B7,'0919門市清單主檔'!AG:AG,$H$4) &gt; 1,
       "V","未完工"),"-")</f>
        <v>V</v>
      </c>
      <c r="I7" s="253" t="str">
        <f>IF(COUNTIFS('0919門市清單主檔'!C:C,B7,'0919門市清單主檔'!AH:AH,$H$5)=1,
    IF(COUNTIFS(IM!F:F,A7,IM!AC:AC,"*"&amp;$H$5&amp;"*") + COUNTIFS('0919門市清單主檔'!C:C,B7,'0919門市清單主檔'!AH:AH,$H$5) &gt; 1,
       "V","未完工"),"-")</f>
        <v>未完工</v>
      </c>
      <c r="J7" s="253" t="str">
        <f>IF(
    COUNTIFS('0919門市清單主檔'!C:C,B7,'0919門市清單主檔'!AC:AC,$H$2)=1,
    IF(
        COUNTIFS(
            IM!F:F,A7,
            IM!AC:AC,"*"&amp;$H$2&amp;"*",
            IM!X:X,"&gt;="&amp;$M$1,
            IM!X:X,"&lt;="&amp;$M$3
        )
        + COUNTIFS('0919門市清單主檔'!C:C,B7,'0919門市清單主檔'!AC:AC,$H$2)
        &gt;1,
        "V",
        "未完工"
    ),
    "-"
)</f>
        <v>-</v>
      </c>
      <c r="K7" s="122" t="s">
        <v>24</v>
      </c>
      <c r="L7" s="116" t="str">
        <f>VLOOKUP(A7,'0919門市清單主檔'!B:V,21,FALSE)</f>
        <v>淡水區</v>
      </c>
      <c r="M7" t="str">
        <f>VLOOKUP(A7,門市總表!A:B,2,FALSE)</f>
        <v>淡水屯山店</v>
      </c>
      <c r="Q7" s="115" t="s">
        <v>4951</v>
      </c>
      <c r="R7" s="120" t="s">
        <v>4952</v>
      </c>
    </row>
    <row r="8" spans="1:31" ht="19.5" customHeight="1">
      <c r="A8" s="116">
        <v>2237</v>
      </c>
      <c r="B8" s="116" t="str">
        <f>VLOOKUP(A8,門市總表!A:B,2,FALSE)</f>
        <v>三芝芝蘭店</v>
      </c>
      <c r="C8" s="146" t="str">
        <f>IF(COUNTIFS(IM!$F:$F,A8,IM!$AD:$AD,"O",IM!$X:$X,"&gt;="&amp;$M$1, IM!$X:$X,"&lt;"&amp;$M$2)&gt;0,"V","")</f>
        <v>V</v>
      </c>
      <c r="D8" s="146" t="str">
        <f>IF(AND(C8&lt;&gt;"V", COUNTIFS(IM!$F:$F,A8, IM!$AD:$AD, "O", IM!$X:$X, "&gt;="&amp;$M$2, IM!$X:$X, "&lt;"&amp;$M$3)&gt;0), "V", "")</f>
        <v/>
      </c>
      <c r="E8" s="146" t="str">
        <f>IF(AND(C8&lt;&gt;"V",D8&lt;&gt;"V", COUNTIFS(IM!$F:$F, A8, IM!$AD:$AD, "O", IM!$X:$X, "&gt;="&amp;$M$3, IM!$X:$X, "&lt;"&amp;$N$3)&gt;0), "V", "")</f>
        <v/>
      </c>
      <c r="F8" s="116" t="str">
        <f>IF(VLOOKUP(A8,門市總表!A:F,6,FALSE)="新開","新開不保養",
IF(VLOOKUP(A8,門市總表!A:F,6,FALSE)="撤店","閉店不保養",IF(VLOOKUP(A8,門市總表!A:F,6,FALSE)="非當季","非當季",IF(VLOOKUP(A8,門市總表!A:F,6,FALSE)="跨季補單","跨季補單",
IF(COUNTBLANK(C8:E8)=3,"未保養","")
))))</f>
        <v>閉店不保養</v>
      </c>
      <c r="G8" s="116" t="str">
        <f>IF(COUNTIFS('0919門市清單主檔'!C:C,B8,'0919門市清單主檔'!AF:AF,$H$3)=1,
    IF(COUNTIFS(IM!F:F,A8,IM!AC:AC,"*"&amp;$H$3&amp;"*") + COUNTIFS('0919門市清單主檔'!C:C,B8,'0919門市清單主檔'!AF:AF,$H$3) &gt; 1,
       "V","未完工"),"-")</f>
        <v>-</v>
      </c>
      <c r="H8" s="253" t="str">
        <f>IF(COUNTIFS('0919門市清單主檔'!C:C,B8,'0919門市清單主檔'!AG:AG,$H$4)=1,
    IF(COUNTIFS(IM!F:F,A8,IM!AC:AC,"*"&amp;$H$4&amp;"*") + COUNTIFS('0919門市清單主檔'!C:C,B8,'0919門市清單主檔'!AG:AG,$H$4) &gt; 1,
       "V","未完工"),"-")</f>
        <v>V</v>
      </c>
      <c r="I8" s="253" t="str">
        <f>IF(COUNTIFS('0919門市清單主檔'!C:C,B8,'0919門市清單主檔'!AH:AH,$H$5)=1,
    IF(COUNTIFS(IM!F:F,A8,IM!AC:AC,"*"&amp;$H$5&amp;"*") + COUNTIFS('0919門市清單主檔'!C:C,B8,'0919門市清單主檔'!AH:AH,$H$5) &gt; 1,
       "V","未完工"),"-")</f>
        <v>V</v>
      </c>
      <c r="J8" s="253" t="str">
        <f>IF(
    COUNTIFS('0919門市清單主檔'!C:C,B8,'0919門市清單主檔'!AC:AC,$H$2)=1,
    IF(
        COUNTIFS(
            IM!F:F,A8,
            IM!AC:AC,"*"&amp;$H$2&amp;"*",
            IM!X:X,"&gt;="&amp;$M$1,
            IM!X:X,"&lt;="&amp;$M$3
        )
        + COUNTIFS('0919門市清單主檔'!C:C,B8,'0919門市清單主檔'!AC:AC,$H$2)
        &gt;1,
        "V",
        "未完工"
    ),
    "-"
)</f>
        <v>-</v>
      </c>
      <c r="K8" s="122" t="s">
        <v>24</v>
      </c>
      <c r="L8" s="116" t="str">
        <f>VLOOKUP(A8,'0919門市清單主檔'!B:V,21,FALSE)</f>
        <v>三芝區</v>
      </c>
      <c r="M8" t="str">
        <f>VLOOKUP(A8,門市總表!A:B,2,FALSE)</f>
        <v>三芝芝蘭店</v>
      </c>
      <c r="Q8" s="115" t="s">
        <v>4951</v>
      </c>
      <c r="R8" s="120" t="s">
        <v>4952</v>
      </c>
    </row>
    <row r="9" spans="1:31" ht="19.5" customHeight="1">
      <c r="A9" s="116">
        <v>2763</v>
      </c>
      <c r="B9" s="116" t="str">
        <f>VLOOKUP(A9,門市總表!A:B,2,FALSE)</f>
        <v>桃縣桃燿店</v>
      </c>
      <c r="C9" s="146" t="str">
        <f>IF(COUNTIFS(IM!$F:$F,A9,IM!$AD:$AD,"O",IM!$X:$X,"&gt;="&amp;$M$1, IM!$X:$X,"&lt;"&amp;$M$2)&gt;0,"V","")</f>
        <v/>
      </c>
      <c r="D9" s="146" t="str">
        <f>IF(AND(C9&lt;&gt;"V", COUNTIFS(IM!$F:$F,A9, IM!$AD:$AD, "O", IM!$X:$X, "&gt;="&amp;$M$2, IM!$X:$X, "&lt;"&amp;$M$3)&gt;0), "V", "")</f>
        <v/>
      </c>
      <c r="E9" s="146" t="str">
        <f>IF(AND(C9&lt;&gt;"V",D9&lt;&gt;"V", COUNTIFS(IM!$F:$F, A9, IM!$AD:$AD, "O", IM!$X:$X, "&gt;="&amp;$M$3, IM!$X:$X, "&lt;"&amp;$N$3)&gt;0), "V", "")</f>
        <v/>
      </c>
      <c r="F9" s="116" t="str">
        <f>IF(VLOOKUP(A9,門市總表!A:F,6,FALSE)="新開","新開不保養",
IF(VLOOKUP(A9,門市總表!A:F,6,FALSE)="撤店","閉店不保養",IF(VLOOKUP(A9,門市總表!A:F,6,FALSE)="非當季","非當季",IF(VLOOKUP(A9,門市總表!A:F,6,FALSE)="跨季補單","跨季補單",
IF(COUNTBLANK(C9:E9)=3,"未保養","")
))))</f>
        <v>未保養</v>
      </c>
      <c r="G9" s="116" t="str">
        <f>IF(COUNTIFS('0919門市清單主檔'!C:C,B9,'0919門市清單主檔'!AF:AF,$H$3)=1,
    IF(COUNTIFS(IM!F:F,A9,IM!AC:AC,"*"&amp;$H$3&amp;"*") + COUNTIFS('0919門市清單主檔'!C:C,B9,'0919門市清單主檔'!AF:AF,$H$3) &gt; 1,
       "V","未完工"),"-")</f>
        <v>-</v>
      </c>
      <c r="H9" s="253" t="str">
        <f>IF(COUNTIFS('0919門市清單主檔'!C:C,B9,'0919門市清單主檔'!AG:AG,$H$4)=1,
    IF(COUNTIFS(IM!F:F,A9,IM!AC:AC,"*"&amp;$H$4&amp;"*") + COUNTIFS('0919門市清單主檔'!C:C,B9,'0919門市清單主檔'!AG:AG,$H$4) &gt; 1,
       "V","未完工"),"-")</f>
        <v>未完工</v>
      </c>
      <c r="I9" s="253" t="str">
        <f>IF(COUNTIFS('0919門市清單主檔'!C:C,B9,'0919門市清單主檔'!AH:AH,$H$5)=1,
    IF(COUNTIFS(IM!F:F,A9,IM!AC:AC,"*"&amp;$H$5&amp;"*") + COUNTIFS('0919門市清單主檔'!C:C,B9,'0919門市清單主檔'!AH:AH,$H$5) &gt; 1,
       "V","未完工"),"-")</f>
        <v>未完工</v>
      </c>
      <c r="J9" s="253" t="str">
        <f>IF(
    COUNTIFS('0919門市清單主檔'!C:C,B9,'0919門市清單主檔'!AC:AC,$H$2)=1,
    IF(
        COUNTIFS(
            IM!F:F,A9,
            IM!AC:AC,"*"&amp;$H$2&amp;"*",
            IM!X:X,"&gt;="&amp;$M$1,
            IM!X:X,"&lt;="&amp;$M$3
        )
        + COUNTIFS('0919門市清單主檔'!C:C,B9,'0919門市清單主檔'!AC:AC,$H$2)
        &gt;1,
        "V",
        "未完工"
    ),
    "-"
)</f>
        <v>-</v>
      </c>
      <c r="K9" s="122">
        <v>45866</v>
      </c>
      <c r="L9" s="116" t="str">
        <f>VLOOKUP(A9,'0919門市清單主檔'!B:V,21,FALSE)</f>
        <v>龜山區</v>
      </c>
      <c r="M9" t="str">
        <f>VLOOKUP(A9,門市總表!A:B,2,FALSE)</f>
        <v>桃縣桃燿店</v>
      </c>
      <c r="Q9" s="115" t="s">
        <v>4951</v>
      </c>
      <c r="R9" s="120" t="s">
        <v>4952</v>
      </c>
    </row>
    <row r="10" spans="1:31" ht="19.5" customHeight="1">
      <c r="A10" s="116">
        <v>3008</v>
      </c>
      <c r="B10" s="116" t="str">
        <f>VLOOKUP(A10,門市總表!A:B,2,FALSE)</f>
        <v>龜山香品店</v>
      </c>
      <c r="C10" s="146" t="str">
        <f>IF(COUNTIFS(IM!$F:$F,A10,IM!$AD:$AD,"O",IM!$X:$X,"&gt;="&amp;$M$1, IM!$X:$X,"&lt;"&amp;$M$2)&gt;0,"V","")</f>
        <v/>
      </c>
      <c r="D10" s="146" t="str">
        <f>IF(AND(C10&lt;&gt;"V", COUNTIFS(IM!$F:$F,A10, IM!$AD:$AD, "O", IM!$X:$X, "&gt;="&amp;$M$2, IM!$X:$X, "&lt;"&amp;$M$3)&gt;0), "V", "")</f>
        <v/>
      </c>
      <c r="E10" s="146" t="str">
        <f>IF(AND(C10&lt;&gt;"V",D10&lt;&gt;"V", COUNTIFS(IM!$F:$F, A10, IM!$AD:$AD, "O", IM!$X:$X, "&gt;="&amp;$M$3, IM!$X:$X, "&lt;"&amp;$N$3)&gt;0), "V", "")</f>
        <v/>
      </c>
      <c r="F10" s="116" t="str">
        <f>IF(VLOOKUP(A10,門市總表!A:F,6,FALSE)="新開","新開不保養",
IF(VLOOKUP(A10,門市總表!A:F,6,FALSE)="撤店","閉店不保養",IF(VLOOKUP(A10,門市總表!A:F,6,FALSE)="非當季","非當季",IF(VLOOKUP(A10,門市總表!A:F,6,FALSE)="跨季補單","跨季補單",
IF(COUNTBLANK(C10:E10)=3,"未保養","")
))))</f>
        <v>未保養</v>
      </c>
      <c r="G10" s="116" t="str">
        <f>IF(COUNTIFS('0919門市清單主檔'!C:C,B10,'0919門市清單主檔'!AF:AF,$H$3)=1,
    IF(COUNTIFS(IM!F:F,A10,IM!AC:AC,"*"&amp;$H$3&amp;"*") + COUNTIFS('0919門市清單主檔'!C:C,B10,'0919門市清單主檔'!AF:AF,$H$3) &gt; 1,
       "V","未完工"),"-")</f>
        <v>-</v>
      </c>
      <c r="H10" s="253" t="str">
        <f>IF(COUNTIFS('0919門市清單主檔'!C:C,B10,'0919門市清單主檔'!AG:AG,$H$4)=1,
    IF(COUNTIFS(IM!F:F,A10,IM!AC:AC,"*"&amp;$H$4&amp;"*") + COUNTIFS('0919門市清單主檔'!C:C,B10,'0919門市清單主檔'!AG:AG,$H$4) &gt; 1,
       "V","未完工"),"-")</f>
        <v>未完工</v>
      </c>
      <c r="I10" s="253" t="str">
        <f>IF(COUNTIFS('0919門市清單主檔'!C:C,B10,'0919門市清單主檔'!AH:AH,$H$5)=1,
    IF(COUNTIFS(IM!F:F,A10,IM!AC:AC,"*"&amp;$H$5&amp;"*") + COUNTIFS('0919門市清單主檔'!C:C,B10,'0919門市清單主檔'!AH:AH,$H$5) &gt; 1,
       "V","未完工"),"-")</f>
        <v>-</v>
      </c>
      <c r="J10" s="253" t="str">
        <f>IF(
    COUNTIFS('0919門市清單主檔'!C:C,B10,'0919門市清單主檔'!AC:AC,$H$2)=1,
    IF(
        COUNTIFS(
            IM!F:F,A10,
            IM!AC:AC,"*"&amp;$H$2&amp;"*",
            IM!X:X,"&gt;="&amp;$M$1,
            IM!X:X,"&lt;="&amp;$M$3
        )
        + COUNTIFS('0919門市清單主檔'!C:C,B10,'0919門市清單主檔'!AC:AC,$H$2)
        &gt;1,
        "V",
        "未完工"
    ),
    "-"
)</f>
        <v>-</v>
      </c>
      <c r="K10" s="122">
        <v>45854</v>
      </c>
      <c r="L10" s="116" t="str">
        <f>VLOOKUP(A10,'0919門市清單主檔'!B:V,21,FALSE)</f>
        <v>龜山區</v>
      </c>
      <c r="M10" t="str">
        <f>VLOOKUP(A10,門市總表!A:B,2,FALSE)</f>
        <v>龜山香品店</v>
      </c>
      <c r="Q10" s="115" t="s">
        <v>4951</v>
      </c>
      <c r="R10" s="115"/>
    </row>
    <row r="11" spans="1:31" ht="19.5" customHeight="1">
      <c r="A11" s="116">
        <v>3692</v>
      </c>
      <c r="B11" s="116" t="str">
        <f>VLOOKUP(A11,門市總表!A:B,2,FALSE)</f>
        <v>龜山頂湖店</v>
      </c>
      <c r="C11" s="146" t="str">
        <f>IF(COUNTIFS(IM!$F:$F,A11,IM!$AD:$AD,"O",IM!$X:$X,"&gt;="&amp;$M$1, IM!$X:$X,"&lt;"&amp;$M$2)&gt;0,"V","")</f>
        <v/>
      </c>
      <c r="D11" s="146" t="str">
        <f>IF(AND(C11&lt;&gt;"V", COUNTIFS(IM!$F:$F,A11, IM!$AD:$AD, "O", IM!$X:$X, "&gt;="&amp;$M$2, IM!$X:$X, "&lt;"&amp;$M$3)&gt;0), "V", "")</f>
        <v/>
      </c>
      <c r="E11" s="146" t="str">
        <f>IF(AND(C11&lt;&gt;"V",D11&lt;&gt;"V", COUNTIFS(IM!$F:$F, A11, IM!$AD:$AD, "O", IM!$X:$X, "&gt;="&amp;$M$3, IM!$X:$X, "&lt;"&amp;$N$3)&gt;0), "V", "")</f>
        <v/>
      </c>
      <c r="F11" s="116" t="str">
        <f>IF(VLOOKUP(A11,門市總表!A:F,6,FALSE)="新開","新開不保養",
IF(VLOOKUP(A11,門市總表!A:F,6,FALSE)="撤店","閉店不保養",IF(VLOOKUP(A11,門市總表!A:F,6,FALSE)="非當季","非當季",IF(VLOOKUP(A11,門市總表!A:F,6,FALSE)="跨季補單","跨季補單",
IF(COUNTBLANK(C11:E11)=3,"未保養","")
))))</f>
        <v>未保養</v>
      </c>
      <c r="G11" s="116" t="str">
        <f>IF(COUNTIFS('0919門市清單主檔'!C:C,B11,'0919門市清單主檔'!AF:AF,$H$3)=1,
    IF(COUNTIFS(IM!F:F,A11,IM!AC:AC,"*"&amp;$H$3&amp;"*") + COUNTIFS('0919門市清單主檔'!C:C,B11,'0919門市清單主檔'!AF:AF,$H$3) &gt; 1,
       "V","未完工"),"-")</f>
        <v>-</v>
      </c>
      <c r="H11" s="253" t="str">
        <f>IF(COUNTIFS('0919門市清單主檔'!C:C,B11,'0919門市清單主檔'!AG:AG,$H$4)=1,
    IF(COUNTIFS(IM!F:F,A11,IM!AC:AC,"*"&amp;$H$4&amp;"*") + COUNTIFS('0919門市清單主檔'!C:C,B11,'0919門市清單主檔'!AG:AG,$H$4) &gt; 1,
       "V","未完工"),"-")</f>
        <v>未完工</v>
      </c>
      <c r="I11" s="253" t="str">
        <f>IF(COUNTIFS('0919門市清單主檔'!C:C,B11,'0919門市清單主檔'!AH:AH,$H$5)=1,
    IF(COUNTIFS(IM!F:F,A11,IM!AC:AC,"*"&amp;$H$5&amp;"*") + COUNTIFS('0919門市清單主檔'!C:C,B11,'0919門市清單主檔'!AH:AH,$H$5) &gt; 1,
       "V","未完工"),"-")</f>
        <v>未完工</v>
      </c>
      <c r="J11" s="253" t="str">
        <f>IF(
    COUNTIFS('0919門市清單主檔'!C:C,B11,'0919門市清單主檔'!AC:AC,$H$2)=1,
    IF(
        COUNTIFS(
            IM!F:F,A11,
            IM!AC:AC,"*"&amp;$H$2&amp;"*",
            IM!X:X,"&gt;="&amp;$M$1,
            IM!X:X,"&lt;="&amp;$M$3
        )
        + COUNTIFS('0919門市清單主檔'!C:C,B11,'0919門市清單主檔'!AC:AC,$H$2)
        &gt;1,
        "V",
        "未完工"
    ),
    "-"
)</f>
        <v>-</v>
      </c>
      <c r="K11" s="122">
        <v>45882</v>
      </c>
      <c r="L11" s="116" t="str">
        <f>VLOOKUP(A11,'0919門市清單主檔'!B:V,21,FALSE)</f>
        <v>龜山區</v>
      </c>
      <c r="M11" t="str">
        <f>VLOOKUP(A11,門市總表!A:B,2,FALSE)</f>
        <v>龜山頂湖店</v>
      </c>
      <c r="Q11" s="115"/>
      <c r="R11" s="120" t="s">
        <v>4952</v>
      </c>
    </row>
    <row r="12" spans="1:31" ht="19.5" customHeight="1">
      <c r="A12" s="116">
        <v>3749</v>
      </c>
      <c r="B12" s="116" t="str">
        <f>VLOOKUP(A12,門市總表!A:B,2,FALSE)</f>
        <v>龜山長庚科大</v>
      </c>
      <c r="C12" s="146" t="str">
        <f>IF(COUNTIFS(IM!$F:$F,A12,IM!$AD:$AD,"O",IM!$X:$X,"&gt;="&amp;$M$1, IM!$X:$X,"&lt;"&amp;$M$2)&gt;0,"V","")</f>
        <v/>
      </c>
      <c r="D12" s="146" t="str">
        <f>IF(AND(C12&lt;&gt;"V", COUNTIFS(IM!$F:$F,A12, IM!$AD:$AD, "O", IM!$X:$X, "&gt;="&amp;$M$2, IM!$X:$X, "&lt;"&amp;$M$3)&gt;0), "V", "")</f>
        <v/>
      </c>
      <c r="E12" s="146" t="str">
        <f>IF(AND(C12&lt;&gt;"V",D12&lt;&gt;"V", COUNTIFS(IM!$F:$F, A12, IM!$AD:$AD, "O", IM!$X:$X, "&gt;="&amp;$M$3, IM!$X:$X, "&lt;"&amp;$N$3)&gt;0), "V", "")</f>
        <v/>
      </c>
      <c r="F12" s="116" t="str">
        <f>IF(VLOOKUP(A12,門市總表!A:F,6,FALSE)="新開","新開不保養",
IF(VLOOKUP(A12,門市總表!A:F,6,FALSE)="撤店","閉店不保養",IF(VLOOKUP(A12,門市總表!A:F,6,FALSE)="非當季","非當季",IF(VLOOKUP(A12,門市總表!A:F,6,FALSE)="跨季補單","跨季補單",
IF(COUNTBLANK(C12:E12)=3,"未保養","")
))))</f>
        <v>未保養</v>
      </c>
      <c r="G12" s="116" t="str">
        <f>IF(COUNTIFS('0919門市清單主檔'!C:C,B12,'0919門市清單主檔'!AF:AF,$H$3)=1,
    IF(COUNTIFS(IM!F:F,A12,IM!AC:AC,"*"&amp;$H$3&amp;"*") + COUNTIFS('0919門市清單主檔'!C:C,B12,'0919門市清單主檔'!AF:AF,$H$3) &gt; 1,
       "V","未完工"),"-")</f>
        <v>-</v>
      </c>
      <c r="H12" s="253" t="str">
        <f>IF(COUNTIFS('0919門市清單主檔'!C:C,B12,'0919門市清單主檔'!AG:AG,$H$4)=1,
    IF(COUNTIFS(IM!F:F,A12,IM!AC:AC,"*"&amp;$H$4&amp;"*") + COUNTIFS('0919門市清單主檔'!C:C,B12,'0919門市清單主檔'!AG:AG,$H$4) &gt; 1,
       "V","未完工"),"-")</f>
        <v>未完工</v>
      </c>
      <c r="I12" s="253" t="str">
        <f>IF(COUNTIFS('0919門市清單主檔'!C:C,B12,'0919門市清單主檔'!AH:AH,$H$5)=1,
    IF(COUNTIFS(IM!F:F,A12,IM!AC:AC,"*"&amp;$H$5&amp;"*") + COUNTIFS('0919門市清單主檔'!C:C,B12,'0919門市清單主檔'!AH:AH,$H$5) &gt; 1,
       "V","未完工"),"-")</f>
        <v>-</v>
      </c>
      <c r="J12" s="253" t="str">
        <f>IF(
    COUNTIFS('0919門市清單主檔'!C:C,B12,'0919門市清單主檔'!AC:AC,$H$2)=1,
    IF(
        COUNTIFS(
            IM!F:F,A12,
            IM!AC:AC,"*"&amp;$H$2&amp;"*",
            IM!X:X,"&gt;="&amp;$M$1,
            IM!X:X,"&lt;="&amp;$M$3
        )
        + COUNTIFS('0919門市清單主檔'!C:C,B12,'0919門市清單主檔'!AC:AC,$H$2)
        &gt;1,
        "V",
        "未完工"
    ),
    "-"
)</f>
        <v>-</v>
      </c>
      <c r="K12" s="122">
        <v>45842</v>
      </c>
      <c r="L12" s="116" t="str">
        <f>VLOOKUP(A12,'0919門市清單主檔'!B:V,21,FALSE)</f>
        <v>龜山區</v>
      </c>
      <c r="M12" t="str">
        <f>VLOOKUP(A12,門市總表!A:B,2,FALSE)</f>
        <v>龜山長庚科大</v>
      </c>
      <c r="Q12" s="115"/>
      <c r="R12" s="120" t="s">
        <v>4952</v>
      </c>
    </row>
    <row r="13" spans="1:31" ht="19.5" customHeight="1">
      <c r="A13" s="116">
        <v>4035</v>
      </c>
      <c r="B13" s="116" t="str">
        <f>VLOOKUP(A13,門市總表!A:B,2,FALSE)</f>
        <v>龜山南上店</v>
      </c>
      <c r="C13" s="146" t="str">
        <f>IF(COUNTIFS(IM!$F:$F,A13,IM!$AD:$AD,"O",IM!$X:$X,"&gt;="&amp;$M$1, IM!$X:$X,"&lt;"&amp;$M$2)&gt;0,"V","")</f>
        <v/>
      </c>
      <c r="D13" s="146" t="str">
        <f>IF(AND(C13&lt;&gt;"V", COUNTIFS(IM!$F:$F,A13, IM!$AD:$AD, "O", IM!$X:$X, "&gt;="&amp;$M$2, IM!$X:$X, "&lt;"&amp;$M$3)&gt;0), "V", "")</f>
        <v/>
      </c>
      <c r="E13" s="146" t="str">
        <f>IF(AND(C13&lt;&gt;"V",D13&lt;&gt;"V", COUNTIFS(IM!$F:$F, A13, IM!$AD:$AD, "O", IM!$X:$X, "&gt;="&amp;$M$3, IM!$X:$X, "&lt;"&amp;$N$3)&gt;0), "V", "")</f>
        <v/>
      </c>
      <c r="F13" s="116" t="str">
        <f>IF(VLOOKUP(A13,門市總表!A:F,6,FALSE)="新開","新開不保養",
IF(VLOOKUP(A13,門市總表!A:F,6,FALSE)="撤店","閉店不保養",IF(VLOOKUP(A13,門市總表!A:F,6,FALSE)="非當季","非當季",IF(VLOOKUP(A13,門市總表!A:F,6,FALSE)="跨季補單","跨季補單",
IF(COUNTBLANK(C13:E13)=3,"未保養","")
))))</f>
        <v>未保養</v>
      </c>
      <c r="G13" s="116" t="str">
        <f>IF(COUNTIFS('0919門市清單主檔'!C:C,B13,'0919門市清單主檔'!AF:AF,$H$3)=1,
    IF(COUNTIFS(IM!F:F,A13,IM!AC:AC,"*"&amp;$H$3&amp;"*") + COUNTIFS('0919門市清單主檔'!C:C,B13,'0919門市清單主檔'!AF:AF,$H$3) &gt; 1,
       "V","未完工"),"-")</f>
        <v>-</v>
      </c>
      <c r="H13" s="253" t="str">
        <f>IF(COUNTIFS('0919門市清單主檔'!C:C,B13,'0919門市清單主檔'!AG:AG,$H$4)=1,
    IF(COUNTIFS(IM!F:F,A13,IM!AC:AC,"*"&amp;$H$4&amp;"*") + COUNTIFS('0919門市清單主檔'!C:C,B13,'0919門市清單主檔'!AG:AG,$H$4) &gt; 1,
       "V","未完工"),"-")</f>
        <v>未完工</v>
      </c>
      <c r="I13" s="253" t="str">
        <f>IF(COUNTIFS('0919門市清單主檔'!C:C,B13,'0919門市清單主檔'!AH:AH,$H$5)=1,
    IF(COUNTIFS(IM!F:F,A13,IM!AC:AC,"*"&amp;$H$5&amp;"*") + COUNTIFS('0919門市清單主檔'!C:C,B13,'0919門市清單主檔'!AH:AH,$H$5) &gt; 1,
       "V","未完工"),"-")</f>
        <v>未完工</v>
      </c>
      <c r="J13" s="253" t="str">
        <f>IF(
    COUNTIFS('0919門市清單主檔'!C:C,B13,'0919門市清單主檔'!AC:AC,$H$2)=1,
    IF(
        COUNTIFS(
            IM!F:F,A13,
            IM!AC:AC,"*"&amp;$H$2&amp;"*",
            IM!X:X,"&gt;="&amp;$M$1,
            IM!X:X,"&lt;="&amp;$M$3
        )
        + COUNTIFS('0919門市清單主檔'!C:C,B13,'0919門市清單主檔'!AC:AC,$H$2)
        &gt;1,
        "V",
        "未完工"
    ),
    "-"
)</f>
        <v>-</v>
      </c>
      <c r="K13" s="122">
        <v>45884</v>
      </c>
      <c r="L13" s="116" t="str">
        <f>VLOOKUP(A13,'0919門市清單主檔'!B:V,21,FALSE)</f>
        <v>龜山區</v>
      </c>
      <c r="M13" t="str">
        <f>VLOOKUP(A13,門市總表!A:B,2,FALSE)</f>
        <v>龜山南上店</v>
      </c>
      <c r="Q13" s="115"/>
      <c r="R13" s="120" t="s">
        <v>4952</v>
      </c>
    </row>
    <row r="14" spans="1:31" ht="19.5" customHeight="1">
      <c r="A14" s="116">
        <v>4197</v>
      </c>
      <c r="B14" s="116" t="str">
        <f>VLOOKUP(A14,門市總表!A:B,2,FALSE)</f>
        <v>龜山崇優店</v>
      </c>
      <c r="C14" s="146" t="str">
        <f>IF(COUNTIFS(IM!$F:$F,A14,IM!$AD:$AD,"O",IM!$X:$X,"&gt;="&amp;$M$1, IM!$X:$X,"&lt;"&amp;$M$2)&gt;0,"V","")</f>
        <v/>
      </c>
      <c r="D14" s="146" t="str">
        <f>IF(AND(C14&lt;&gt;"V", COUNTIFS(IM!$F:$F,A14, IM!$AD:$AD, "O", IM!$X:$X, "&gt;="&amp;$M$2, IM!$X:$X, "&lt;"&amp;$M$3)&gt;0), "V", "")</f>
        <v/>
      </c>
      <c r="E14" s="146" t="str">
        <f>IF(AND(C14&lt;&gt;"V",D14&lt;&gt;"V", COUNTIFS(IM!$F:$F, A14, IM!$AD:$AD, "O", IM!$X:$X, "&gt;="&amp;$M$3, IM!$X:$X, "&lt;"&amp;$N$3)&gt;0), "V", "")</f>
        <v/>
      </c>
      <c r="F14" s="116" t="str">
        <f>IF(VLOOKUP(A14,門市總表!A:F,6,FALSE)="新開","新開不保養",
IF(VLOOKUP(A14,門市總表!A:F,6,FALSE)="撤店","閉店不保養",IF(VLOOKUP(A14,門市總表!A:F,6,FALSE)="非當季","非當季",IF(VLOOKUP(A14,門市總表!A:F,6,FALSE)="跨季補單","跨季補單",
IF(COUNTBLANK(C14:E14)=3,"未保養","")
))))</f>
        <v>未保養</v>
      </c>
      <c r="G14" s="116" t="str">
        <f>IF(COUNTIFS('0919門市清單主檔'!C:C,B14,'0919門市清單主檔'!AF:AF,$H$3)=1,
    IF(COUNTIFS(IM!F:F,A14,IM!AC:AC,"*"&amp;$H$3&amp;"*") + COUNTIFS('0919門市清單主檔'!C:C,B14,'0919門市清單主檔'!AF:AF,$H$3) &gt; 1,
       "V","未完工"),"-")</f>
        <v>-</v>
      </c>
      <c r="H14" s="253" t="str">
        <f>IF(COUNTIFS('0919門市清單主檔'!C:C,B14,'0919門市清單主檔'!AG:AG,$H$4)=1,
    IF(COUNTIFS(IM!F:F,A14,IM!AC:AC,"*"&amp;$H$4&amp;"*") + COUNTIFS('0919門市清單主檔'!C:C,B14,'0919門市清單主檔'!AG:AG,$H$4) &gt; 1,
       "V","未完工"),"-")</f>
        <v>未完工</v>
      </c>
      <c r="I14" s="253" t="str">
        <f>IF(COUNTIFS('0919門市清單主檔'!C:C,B14,'0919門市清單主檔'!AH:AH,$H$5)=1,
    IF(COUNTIFS(IM!F:F,A14,IM!AC:AC,"*"&amp;$H$5&amp;"*") + COUNTIFS('0919門市清單主檔'!C:C,B14,'0919門市清單主檔'!AH:AH,$H$5) &gt; 1,
       "V","未完工"),"-")</f>
        <v>未完工</v>
      </c>
      <c r="J14" s="253" t="str">
        <f>IF(
    COUNTIFS('0919門市清單主檔'!C:C,B14,'0919門市清單主檔'!AC:AC,$H$2)=1,
    IF(
        COUNTIFS(
            IM!F:F,A14,
            IM!AC:AC,"*"&amp;$H$2&amp;"*",
            IM!X:X,"&gt;="&amp;$M$1,
            IM!X:X,"&lt;="&amp;$M$3
        )
        + COUNTIFS('0919門市清單主檔'!C:C,B14,'0919門市清單主檔'!AC:AC,$H$2)
        &gt;1,
        "V",
        "未完工"
    ),
    "-"
)</f>
        <v>-</v>
      </c>
      <c r="K14" s="122">
        <v>45840</v>
      </c>
      <c r="L14" s="116" t="str">
        <f>VLOOKUP(A14,'0919門市清單主檔'!B:V,21,FALSE)</f>
        <v>龜山區</v>
      </c>
      <c r="M14" t="str">
        <f>VLOOKUP(A14,門市總表!A:B,2,FALSE)</f>
        <v>龜山崇優店</v>
      </c>
      <c r="Q14" s="115"/>
      <c r="R14" s="120" t="s">
        <v>4952</v>
      </c>
    </row>
    <row r="15" spans="1:31" ht="19.5" customHeight="1">
      <c r="A15" s="116">
        <v>4629</v>
      </c>
      <c r="B15" s="116" t="str">
        <f>VLOOKUP(A15,門市總表!A:B,2,FALSE)</f>
        <v>龜山警大店</v>
      </c>
      <c r="C15" s="146" t="str">
        <f>IF(COUNTIFS(IM!$F:$F,A15,IM!$AD:$AD,"O",IM!$X:$X,"&gt;="&amp;$M$1, IM!$X:$X,"&lt;"&amp;$M$2)&gt;0,"V","")</f>
        <v/>
      </c>
      <c r="D15" s="146" t="str">
        <f>IF(AND(C15&lt;&gt;"V", COUNTIFS(IM!$F:$F,A15, IM!$AD:$AD, "O", IM!$X:$X, "&gt;="&amp;$M$2, IM!$X:$X, "&lt;"&amp;$M$3)&gt;0), "V", "")</f>
        <v/>
      </c>
      <c r="E15" s="146" t="str">
        <f>IF(AND(C15&lt;&gt;"V",D15&lt;&gt;"V", COUNTIFS(IM!$F:$F, A15, IM!$AD:$AD, "O", IM!$X:$X, "&gt;="&amp;$M$3, IM!$X:$X, "&lt;"&amp;$N$3)&gt;0), "V", "")</f>
        <v/>
      </c>
      <c r="F15" s="116" t="str">
        <f>IF(VLOOKUP(A15,門市總表!A:F,6,FALSE)="新開","新開不保養",
IF(VLOOKUP(A15,門市總表!A:F,6,FALSE)="撤店","閉店不保養",IF(VLOOKUP(A15,門市總表!A:F,6,FALSE)="非當季","非當季",IF(VLOOKUP(A15,門市總表!A:F,6,FALSE)="跨季補單","跨季補單",
IF(COUNTBLANK(C15:E15)=3,"未保養","")
))))</f>
        <v>未保養</v>
      </c>
      <c r="G15" s="116" t="str">
        <f>IF(COUNTIFS('0919門市清單主檔'!C:C,B15,'0919門市清單主檔'!AF:AF,$H$3)=1,
    IF(COUNTIFS(IM!F:F,A15,IM!AC:AC,"*"&amp;$H$3&amp;"*") + COUNTIFS('0919門市清單主檔'!C:C,B15,'0919門市清單主檔'!AF:AF,$H$3) &gt; 1,
       "V","未完工"),"-")</f>
        <v>-</v>
      </c>
      <c r="H15" s="253" t="str">
        <f>IF(COUNTIFS('0919門市清單主檔'!C:C,B15,'0919門市清單主檔'!AG:AG,$H$4)=1,
    IF(COUNTIFS(IM!F:F,A15,IM!AC:AC,"*"&amp;$H$4&amp;"*") + COUNTIFS('0919門市清單主檔'!C:C,B15,'0919門市清單主檔'!AG:AG,$H$4) &gt; 1,
       "V","未完工"),"-")</f>
        <v>未完工</v>
      </c>
      <c r="I15" s="253" t="str">
        <f>IF(COUNTIFS('0919門市清單主檔'!C:C,B15,'0919門市清單主檔'!AH:AH,$H$5)=1,
    IF(COUNTIFS(IM!F:F,A15,IM!AC:AC,"*"&amp;$H$5&amp;"*") + COUNTIFS('0919門市清單主檔'!C:C,B15,'0919門市清單主檔'!AH:AH,$H$5) &gt; 1,
       "V","未完工"),"-")</f>
        <v>未完工</v>
      </c>
      <c r="J15" s="253" t="str">
        <f>IF(
    COUNTIFS('0919門市清單主檔'!C:C,B15,'0919門市清單主檔'!AC:AC,$H$2)=1,
    IF(
        COUNTIFS(
            IM!F:F,A15,
            IM!AC:AC,"*"&amp;$H$2&amp;"*",
            IM!X:X,"&gt;="&amp;$M$1,
            IM!X:X,"&lt;="&amp;$M$3
        )
        + COUNTIFS('0919門市清單主檔'!C:C,B15,'0919門市清單主檔'!AC:AC,$H$2)
        &gt;1,
        "V",
        "未完工"
    ),
    "-"
)</f>
        <v>-</v>
      </c>
      <c r="K15" s="122">
        <v>45861</v>
      </c>
      <c r="L15" s="116" t="str">
        <f>VLOOKUP(A15,'0919門市清單主檔'!B:V,21,FALSE)</f>
        <v>蘆竹區</v>
      </c>
      <c r="M15" t="str">
        <f>VLOOKUP(A15,門市總表!A:B,2,FALSE)</f>
        <v>龜山警大店</v>
      </c>
      <c r="Q15" s="115"/>
      <c r="R15" s="120" t="s">
        <v>4952</v>
      </c>
    </row>
    <row r="16" spans="1:31" ht="19.5" customHeight="1">
      <c r="A16" s="116">
        <v>4933</v>
      </c>
      <c r="B16" s="116" t="str">
        <f>VLOOKUP(A16,門市總表!A:B,2,FALSE)</f>
        <v>龜山連莊店</v>
      </c>
      <c r="C16" s="146" t="str">
        <f>IF(COUNTIFS(IM!$F:$F,A16,IM!$AD:$AD,"O",IM!$X:$X,"&gt;="&amp;$M$1, IM!$X:$X,"&lt;"&amp;$M$2)&gt;0,"V","")</f>
        <v/>
      </c>
      <c r="D16" s="146" t="str">
        <f>IF(AND(C16&lt;&gt;"V", COUNTIFS(IM!$F:$F,A16, IM!$AD:$AD, "O", IM!$X:$X, "&gt;="&amp;$M$2, IM!$X:$X, "&lt;"&amp;$M$3)&gt;0), "V", "")</f>
        <v/>
      </c>
      <c r="E16" s="146" t="str">
        <f>IF(AND(C16&lt;&gt;"V",D16&lt;&gt;"V", COUNTIFS(IM!$F:$F, A16, IM!$AD:$AD, "O", IM!$X:$X, "&gt;="&amp;$M$3, IM!$X:$X, "&lt;"&amp;$N$3)&gt;0), "V", "")</f>
        <v/>
      </c>
      <c r="F16" s="116" t="str">
        <f>IF(VLOOKUP(A16,門市總表!A:F,6,FALSE)="新開","新開不保養",
IF(VLOOKUP(A16,門市總表!A:F,6,FALSE)="撤店","閉店不保養",IF(VLOOKUP(A16,門市總表!A:F,6,FALSE)="非當季","非當季",IF(VLOOKUP(A16,門市總表!A:F,6,FALSE)="跨季補單","跨季補單",
IF(COUNTBLANK(C16:E16)=3,"未保養","")
))))</f>
        <v>未保養</v>
      </c>
      <c r="G16" s="116" t="str">
        <f>IF(COUNTIFS('0919門市清單主檔'!C:C,B16,'0919門市清單主檔'!AF:AF,$H$3)=1,
    IF(COUNTIFS(IM!F:F,A16,IM!AC:AC,"*"&amp;$H$3&amp;"*") + COUNTIFS('0919門市清單主檔'!C:C,B16,'0919門市清單主檔'!AF:AF,$H$3) &gt; 1,
       "V","未完工"),"-")</f>
        <v>-</v>
      </c>
      <c r="H16" s="253" t="str">
        <f>IF(COUNTIFS('0919門市清單主檔'!C:C,B16,'0919門市清單主檔'!AG:AG,$H$4)=1,
    IF(COUNTIFS(IM!F:F,A16,IM!AC:AC,"*"&amp;$H$4&amp;"*") + COUNTIFS('0919門市清單主檔'!C:C,B16,'0919門市清單主檔'!AG:AG,$H$4) &gt; 1,
       "V","未完工"),"-")</f>
        <v>未完工</v>
      </c>
      <c r="I16" s="253" t="str">
        <f>IF(COUNTIFS('0919門市清單主檔'!C:C,B16,'0919門市清單主檔'!AH:AH,$H$5)=1,
    IF(COUNTIFS(IM!F:F,A16,IM!AC:AC,"*"&amp;$H$5&amp;"*") + COUNTIFS('0919門市清單主檔'!C:C,B16,'0919門市清單主檔'!AH:AH,$H$5) &gt; 1,
       "V","未完工"),"-")</f>
        <v>未完工</v>
      </c>
      <c r="J16" s="253" t="str">
        <f>IF(
    COUNTIFS('0919門市清單主檔'!C:C,B16,'0919門市清單主檔'!AC:AC,$H$2)=1,
    IF(
        COUNTIFS(
            IM!F:F,A16,
            IM!AC:AC,"*"&amp;$H$2&amp;"*",
            IM!X:X,"&gt;="&amp;$M$1,
            IM!X:X,"&lt;="&amp;$M$3
        )
        + COUNTIFS('0919門市清單主檔'!C:C,B16,'0919門市清單主檔'!AC:AC,$H$2)
        &gt;1,
        "V",
        "未完工"
    ),
    "-"
)</f>
        <v>-</v>
      </c>
      <c r="K16" s="122">
        <v>45901</v>
      </c>
      <c r="L16" s="116" t="str">
        <f>VLOOKUP(A16,'0919門市清單主檔'!B:V,21,FALSE)</f>
        <v>龜山區</v>
      </c>
      <c r="M16" t="str">
        <f>VLOOKUP(A16,門市總表!A:B,2,FALSE)</f>
        <v>龜山連莊店</v>
      </c>
      <c r="Q16" s="115"/>
      <c r="R16" s="120" t="s">
        <v>4952</v>
      </c>
    </row>
    <row r="17" spans="1:18" ht="19.5" customHeight="1">
      <c r="A17" s="116">
        <v>5031</v>
      </c>
      <c r="B17" s="116" t="str">
        <f>VLOOKUP(A17,門市總表!A:B,2,FALSE)</f>
        <v>龜山文化七</v>
      </c>
      <c r="C17" s="146" t="str">
        <f>IF(COUNTIFS(IM!$F:$F,A17,IM!$AD:$AD,"O",IM!$X:$X,"&gt;="&amp;$M$1, IM!$X:$X,"&lt;"&amp;$M$2)&gt;0,"V","")</f>
        <v/>
      </c>
      <c r="D17" s="146" t="str">
        <f>IF(AND(C17&lt;&gt;"V", COUNTIFS(IM!$F:$F,A17, IM!$AD:$AD, "O", IM!$X:$X, "&gt;="&amp;$M$2, IM!$X:$X, "&lt;"&amp;$M$3)&gt;0), "V", "")</f>
        <v/>
      </c>
      <c r="E17" s="146" t="str">
        <f>IF(AND(C17&lt;&gt;"V",D17&lt;&gt;"V", COUNTIFS(IM!$F:$F, A17, IM!$AD:$AD, "O", IM!$X:$X, "&gt;="&amp;$M$3, IM!$X:$X, "&lt;"&amp;$N$3)&gt;0), "V", "")</f>
        <v/>
      </c>
      <c r="F17" s="116" t="str">
        <f>IF(VLOOKUP(A17,門市總表!A:F,6,FALSE)="新開","新開不保養",
IF(VLOOKUP(A17,門市總表!A:F,6,FALSE)="撤店","閉店不保養",IF(VLOOKUP(A17,門市總表!A:F,6,FALSE)="非當季","非當季",IF(VLOOKUP(A17,門市總表!A:F,6,FALSE)="跨季補單","跨季補單",
IF(COUNTBLANK(C17:E17)=3,"未保養","")
))))</f>
        <v>未保養</v>
      </c>
      <c r="G17" s="116" t="str">
        <f>IF(COUNTIFS('0919門市清單主檔'!C:C,B17,'0919門市清單主檔'!AF:AF,$H$3)=1,
    IF(COUNTIFS(IM!F:F,A17,IM!AC:AC,"*"&amp;$H$3&amp;"*") + COUNTIFS('0919門市清單主檔'!C:C,B17,'0919門市清單主檔'!AF:AF,$H$3) &gt; 1,
       "V","未完工"),"-")</f>
        <v>-</v>
      </c>
      <c r="H17" s="253" t="str">
        <f>IF(COUNTIFS('0919門市清單主檔'!C:C,B17,'0919門市清單主檔'!AG:AG,$H$4)=1,
    IF(COUNTIFS(IM!F:F,A17,IM!AC:AC,"*"&amp;$H$4&amp;"*") + COUNTIFS('0919門市清單主檔'!C:C,B17,'0919門市清單主檔'!AG:AG,$H$4) &gt; 1,
       "V","未完工"),"-")</f>
        <v>未完工</v>
      </c>
      <c r="I17" s="253" t="str">
        <f>IF(COUNTIFS('0919門市清單主檔'!C:C,B17,'0919門市清單主檔'!AH:AH,$H$5)=1,
    IF(COUNTIFS(IM!F:F,A17,IM!AC:AC,"*"&amp;$H$5&amp;"*") + COUNTIFS('0919門市清單主檔'!C:C,B17,'0919門市清單主檔'!AH:AH,$H$5) &gt; 1,
       "V","未完工"),"-")</f>
        <v>未完工</v>
      </c>
      <c r="J17" s="253" t="str">
        <f>IF(
    COUNTIFS('0919門市清單主檔'!C:C,B17,'0919門市清單主檔'!AC:AC,$H$2)=1,
    IF(
        COUNTIFS(
            IM!F:F,A17,
            IM!AC:AC,"*"&amp;$H$2&amp;"*",
            IM!X:X,"&gt;="&amp;$M$1,
            IM!X:X,"&lt;="&amp;$M$3
        )
        + COUNTIFS('0919門市清單主檔'!C:C,B17,'0919門市清單主檔'!AC:AC,$H$2)
        &gt;1,
        "V",
        "未完工"
    ),
    "-"
)</f>
        <v>-</v>
      </c>
      <c r="K17" s="122">
        <v>45887</v>
      </c>
      <c r="L17" s="116" t="str">
        <f>VLOOKUP(A17,'0919門市清單主檔'!B:V,21,FALSE)</f>
        <v>蘆竹區</v>
      </c>
      <c r="M17" t="str">
        <f>VLOOKUP(A17,門市總表!A:B,2,FALSE)</f>
        <v>龜山文化七</v>
      </c>
      <c r="Q17" s="115" t="s">
        <v>4951</v>
      </c>
      <c r="R17" s="120" t="s">
        <v>4952</v>
      </c>
    </row>
    <row r="18" spans="1:18" ht="19.5" customHeight="1">
      <c r="A18" s="116">
        <v>5075</v>
      </c>
      <c r="B18" s="116" t="str">
        <f>VLOOKUP(A18,門市總表!A:B,2,FALSE)</f>
        <v>龜山復興店</v>
      </c>
      <c r="C18" s="146" t="str">
        <f>IF(COUNTIFS(IM!$F:$F,A18,IM!$AD:$AD,"O",IM!$X:$X,"&gt;="&amp;$M$1, IM!$X:$X,"&lt;"&amp;$M$2)&gt;0,"V","")</f>
        <v/>
      </c>
      <c r="D18" s="146" t="str">
        <f>IF(AND(C18&lt;&gt;"V", COUNTIFS(IM!$F:$F,A18, IM!$AD:$AD, "O", IM!$X:$X, "&gt;="&amp;$M$2, IM!$X:$X, "&lt;"&amp;$M$3)&gt;0), "V", "")</f>
        <v/>
      </c>
      <c r="E18" s="146" t="str">
        <f>IF(AND(C18&lt;&gt;"V",D18&lt;&gt;"V", COUNTIFS(IM!$F:$F, A18, IM!$AD:$AD, "O", IM!$X:$X, "&gt;="&amp;$M$3, IM!$X:$X, "&lt;"&amp;$N$3)&gt;0), "V", "")</f>
        <v/>
      </c>
      <c r="F18" s="116" t="str">
        <f>IF(VLOOKUP(A18,門市總表!A:F,6,FALSE)="新開","新開不保養",
IF(VLOOKUP(A18,門市總表!A:F,6,FALSE)="撤店","閉店不保養",IF(VLOOKUP(A18,門市總表!A:F,6,FALSE)="非當季","非當季",IF(VLOOKUP(A18,門市總表!A:F,6,FALSE)="跨季補單","跨季補單",
IF(COUNTBLANK(C18:E18)=3,"未保養","")
))))</f>
        <v>未保養</v>
      </c>
      <c r="G18" s="116" t="str">
        <f>IF(COUNTIFS('0919門市清單主檔'!C:C,B18,'0919門市清單主檔'!AF:AF,$H$3)=1,
    IF(COUNTIFS(IM!F:F,A18,IM!AC:AC,"*"&amp;$H$3&amp;"*") + COUNTIFS('0919門市清單主檔'!C:C,B18,'0919門市清單主檔'!AF:AF,$H$3) &gt; 1,
       "V","未完工"),"-")</f>
        <v>-</v>
      </c>
      <c r="H18" s="253" t="str">
        <f>IF(COUNTIFS('0919門市清單主檔'!C:C,B18,'0919門市清單主檔'!AG:AG,$H$4)=1,
    IF(COUNTIFS(IM!F:F,A18,IM!AC:AC,"*"&amp;$H$4&amp;"*") + COUNTIFS('0919門市清單主檔'!C:C,B18,'0919門市清單主檔'!AG:AG,$H$4) &gt; 1,
       "V","未完工"),"-")</f>
        <v>未完工</v>
      </c>
      <c r="I18" s="253" t="str">
        <f>IF(COUNTIFS('0919門市清單主檔'!C:C,B18,'0919門市清單主檔'!AH:AH,$H$5)=1,
    IF(COUNTIFS(IM!F:F,A18,IM!AC:AC,"*"&amp;$H$5&amp;"*") + COUNTIFS('0919門市清單主檔'!C:C,B18,'0919門市清單主檔'!AH:AH,$H$5) &gt; 1,
       "V","未完工"),"-")</f>
        <v>未完工</v>
      </c>
      <c r="J18" s="253" t="str">
        <f>IF(
    COUNTIFS('0919門市清單主檔'!C:C,B18,'0919門市清單主檔'!AC:AC,$H$2)=1,
    IF(
        COUNTIFS(
            IM!F:F,A18,
            IM!AC:AC,"*"&amp;$H$2&amp;"*",
            IM!X:X,"&gt;="&amp;$M$1,
            IM!X:X,"&lt;="&amp;$M$3
        )
        + COUNTIFS('0919門市清單主檔'!C:C,B18,'0919門市清單主檔'!AC:AC,$H$2)
        &gt;1,
        "V",
        "未完工"
    ),
    "-"
)</f>
        <v>-</v>
      </c>
      <c r="K18" s="122">
        <v>45884</v>
      </c>
      <c r="L18" s="116" t="str">
        <f>VLOOKUP(A18,'0919門市清單主檔'!B:V,21,FALSE)</f>
        <v>蘆竹區</v>
      </c>
      <c r="M18" t="str">
        <f>VLOOKUP(A18,門市總表!A:B,2,FALSE)</f>
        <v>龜山復興店</v>
      </c>
      <c r="Q18" s="115"/>
      <c r="R18" s="120" t="s">
        <v>4952</v>
      </c>
    </row>
    <row r="19" spans="1:18" ht="19.5" customHeight="1">
      <c r="A19" s="116">
        <v>5178</v>
      </c>
      <c r="B19" s="116" t="str">
        <f>VLOOKUP(A19,門市總表!A:B,2,FALSE)</f>
        <v>龜山茶專二店</v>
      </c>
      <c r="C19" s="146" t="str">
        <f>IF(COUNTIFS(IM!$F:$F,A19,IM!$AD:$AD,"O",IM!$X:$X,"&gt;="&amp;$M$1, IM!$X:$X,"&lt;"&amp;$M$2)&gt;0,"V","")</f>
        <v/>
      </c>
      <c r="D19" s="146" t="str">
        <f>IF(AND(C19&lt;&gt;"V", COUNTIFS(IM!$F:$F,A19, IM!$AD:$AD, "O", IM!$X:$X, "&gt;="&amp;$M$2, IM!$X:$X, "&lt;"&amp;$M$3)&gt;0), "V", "")</f>
        <v/>
      </c>
      <c r="E19" s="146" t="str">
        <f>IF(AND(C19&lt;&gt;"V",D19&lt;&gt;"V", COUNTIFS(IM!$F:$F, A19, IM!$AD:$AD, "O", IM!$X:$X, "&gt;="&amp;$M$3, IM!$X:$X, "&lt;"&amp;$N$3)&gt;0), "V", "")</f>
        <v/>
      </c>
      <c r="F19" s="116" t="str">
        <f>IF(VLOOKUP(A19,門市總表!A:F,6,FALSE)="新開","新開不保養",
IF(VLOOKUP(A19,門市總表!A:F,6,FALSE)="撤店","閉店不保養",IF(VLOOKUP(A19,門市總表!A:F,6,FALSE)="非當季","非當季",IF(VLOOKUP(A19,門市總表!A:F,6,FALSE)="跨季補單","跨季補單",
IF(COUNTBLANK(C19:E19)=3,"未保養","")
))))</f>
        <v>未保養</v>
      </c>
      <c r="G19" s="116" t="str">
        <f>IF(COUNTIFS('0919門市清單主檔'!C:C,B19,'0919門市清單主檔'!AF:AF,$H$3)=1,
    IF(COUNTIFS(IM!F:F,A19,IM!AC:AC,"*"&amp;$H$3&amp;"*") + COUNTIFS('0919門市清單主檔'!C:C,B19,'0919門市清單主檔'!AF:AF,$H$3) &gt; 1,
       "V","未完工"),"-")</f>
        <v>-</v>
      </c>
      <c r="H19" s="253" t="str">
        <f>IF(COUNTIFS('0919門市清單主檔'!C:C,B19,'0919門市清單主檔'!AG:AG,$H$4)=1,
    IF(COUNTIFS(IM!F:F,A19,IM!AC:AC,"*"&amp;$H$4&amp;"*") + COUNTIFS('0919門市清單主檔'!C:C,B19,'0919門市清單主檔'!AG:AG,$H$4) &gt; 1,
       "V","未完工"),"-")</f>
        <v>未完工</v>
      </c>
      <c r="I19" s="253" t="str">
        <f>IF(COUNTIFS('0919門市清單主檔'!C:C,B19,'0919門市清單主檔'!AH:AH,$H$5)=1,
    IF(COUNTIFS(IM!F:F,A19,IM!AC:AC,"*"&amp;$H$5&amp;"*") + COUNTIFS('0919門市清單主檔'!C:C,B19,'0919門市清單主檔'!AH:AH,$H$5) &gt; 1,
       "V","未完工"),"-")</f>
        <v>未完工</v>
      </c>
      <c r="J19" s="253" t="str">
        <f>IF(
    COUNTIFS('0919門市清單主檔'!C:C,B19,'0919門市清單主檔'!AC:AC,$H$2)=1,
    IF(
        COUNTIFS(
            IM!F:F,A19,
            IM!AC:AC,"*"&amp;$H$2&amp;"*",
            IM!X:X,"&gt;="&amp;$M$1,
            IM!X:X,"&lt;="&amp;$M$3
        )
        + COUNTIFS('0919門市清單主檔'!C:C,B19,'0919門市清單主檔'!AC:AC,$H$2)
        &gt;1,
        "V",
        "未完工"
    ),
    "-"
)</f>
        <v>-</v>
      </c>
      <c r="K19" s="122">
        <v>45882</v>
      </c>
      <c r="L19" s="116" t="str">
        <f>VLOOKUP(A19,'0919門市清單主檔'!B:V,21,FALSE)</f>
        <v>蘆竹區</v>
      </c>
      <c r="M19" t="str">
        <f>VLOOKUP(A19,門市總表!A:B,2,FALSE)</f>
        <v>龜山茶專二店</v>
      </c>
      <c r="Q19" s="115"/>
      <c r="R19" s="120" t="s">
        <v>4952</v>
      </c>
    </row>
    <row r="20" spans="1:18" ht="19.5" customHeight="1">
      <c r="A20" s="116">
        <v>5248</v>
      </c>
      <c r="B20" s="116" t="str">
        <f>VLOOKUP(A20,門市總表!A:B,2,FALSE)</f>
        <v>龜山慧敏店</v>
      </c>
      <c r="C20" s="146" t="str">
        <f>IF(COUNTIFS(IM!$F:$F,A20,IM!$AD:$AD,"O",IM!$X:$X,"&gt;="&amp;$M$1, IM!$X:$X,"&lt;"&amp;$M$2)&gt;0,"V","")</f>
        <v/>
      </c>
      <c r="D20" s="146" t="str">
        <f>IF(AND(C20&lt;&gt;"V", COUNTIFS(IM!$F:$F,A20, IM!$AD:$AD, "O", IM!$X:$X, "&gt;="&amp;$M$2, IM!$X:$X, "&lt;"&amp;$M$3)&gt;0), "V", "")</f>
        <v/>
      </c>
      <c r="E20" s="146" t="str">
        <f>IF(AND(C20&lt;&gt;"V",D20&lt;&gt;"V", COUNTIFS(IM!$F:$F, A20, IM!$AD:$AD, "O", IM!$X:$X, "&gt;="&amp;$M$3, IM!$X:$X, "&lt;"&amp;$N$3)&gt;0), "V", "")</f>
        <v/>
      </c>
      <c r="F20" s="116" t="str">
        <f>IF(VLOOKUP(A20,門市總表!A:F,6,FALSE)="新開","新開不保養",
IF(VLOOKUP(A20,門市總表!A:F,6,FALSE)="撤店","閉店不保養",IF(VLOOKUP(A20,門市總表!A:F,6,FALSE)="非當季","非當季",IF(VLOOKUP(A20,門市總表!A:F,6,FALSE)="跨季補單","跨季補單",
IF(COUNTBLANK(C20:E20)=3,"未保養","")
))))</f>
        <v>未保養</v>
      </c>
      <c r="G20" s="116" t="str">
        <f>IF(COUNTIFS('0919門市清單主檔'!C:C,B20,'0919門市清單主檔'!AF:AF,$H$3)=1,
    IF(COUNTIFS(IM!F:F,A20,IM!AC:AC,"*"&amp;$H$3&amp;"*") + COUNTIFS('0919門市清單主檔'!C:C,B20,'0919門市清單主檔'!AF:AF,$H$3) &gt; 1,
       "V","未完工"),"-")</f>
        <v>-</v>
      </c>
      <c r="H20" s="253" t="str">
        <f>IF(COUNTIFS('0919門市清單主檔'!C:C,B20,'0919門市清單主檔'!AG:AG,$H$4)=1,
    IF(COUNTIFS(IM!F:F,A20,IM!AC:AC,"*"&amp;$H$4&amp;"*") + COUNTIFS('0919門市清單主檔'!C:C,B20,'0919門市清單主檔'!AG:AG,$H$4) &gt; 1,
       "V","未完工"),"-")</f>
        <v>未完工</v>
      </c>
      <c r="I20" s="253" t="str">
        <f>IF(COUNTIFS('0919門市清單主檔'!C:C,B20,'0919門市清單主檔'!AH:AH,$H$5)=1,
    IF(COUNTIFS(IM!F:F,A20,IM!AC:AC,"*"&amp;$H$5&amp;"*") + COUNTIFS('0919門市清單主檔'!C:C,B20,'0919門市清單主檔'!AH:AH,$H$5) &gt; 1,
       "V","未完工"),"-")</f>
        <v>未完工</v>
      </c>
      <c r="J20" s="253" t="str">
        <f>IF(
    COUNTIFS('0919門市清單主檔'!C:C,B20,'0919門市清單主檔'!AC:AC,$H$2)=1,
    IF(
        COUNTIFS(
            IM!F:F,A20,
            IM!AC:AC,"*"&amp;$H$2&amp;"*",
            IM!X:X,"&gt;="&amp;$M$1,
            IM!X:X,"&lt;="&amp;$M$3
        )
        + COUNTIFS('0919門市清單主檔'!C:C,B20,'0919門市清單主檔'!AC:AC,$H$2)
        &gt;1,
        "V",
        "未完工"
    ),
    "-"
)</f>
        <v>-</v>
      </c>
      <c r="K20" s="122">
        <v>45882</v>
      </c>
      <c r="L20" s="116" t="str">
        <f>VLOOKUP(A20,'0919門市清單主檔'!B:V,21,FALSE)</f>
        <v>蘆竹區</v>
      </c>
      <c r="M20" t="str">
        <f>VLOOKUP(A20,門市總表!A:B,2,FALSE)</f>
        <v>龜山慧敏店</v>
      </c>
      <c r="Q20" s="115" t="s">
        <v>4951</v>
      </c>
      <c r="R20" s="120" t="s">
        <v>4952</v>
      </c>
    </row>
    <row r="21" spans="1:18" ht="19.5" customHeight="1">
      <c r="A21" s="116">
        <v>5251</v>
      </c>
      <c r="B21" s="116" t="str">
        <f>VLOOKUP(A21,門市總表!A:B,2,FALSE)</f>
        <v>龜山明德樓</v>
      </c>
      <c r="C21" s="146" t="str">
        <f>IF(COUNTIFS(IM!$F:$F,A21,IM!$AD:$AD,"O",IM!$X:$X,"&gt;="&amp;$M$1, IM!$X:$X,"&lt;"&amp;$M$2)&gt;0,"V","")</f>
        <v/>
      </c>
      <c r="D21" s="146" t="str">
        <f>IF(AND(C21&lt;&gt;"V", COUNTIFS(IM!$F:$F,A21, IM!$AD:$AD, "O", IM!$X:$X, "&gt;="&amp;$M$2, IM!$X:$X, "&lt;"&amp;$M$3)&gt;0), "V", "")</f>
        <v/>
      </c>
      <c r="E21" s="146" t="str">
        <f>IF(AND(C21&lt;&gt;"V",D21&lt;&gt;"V", COUNTIFS(IM!$F:$F, A21, IM!$AD:$AD, "O", IM!$X:$X, "&gt;="&amp;$M$3, IM!$X:$X, "&lt;"&amp;$N$3)&gt;0), "V", "")</f>
        <v/>
      </c>
      <c r="F21" s="116" t="str">
        <f>IF(VLOOKUP(A21,門市總表!A:F,6,FALSE)="新開","新開不保養",
IF(VLOOKUP(A21,門市總表!A:F,6,FALSE)="撤店","閉店不保養",IF(VLOOKUP(A21,門市總表!A:F,6,FALSE)="非當季","非當季",IF(VLOOKUP(A21,門市總表!A:F,6,FALSE)="跨季補單","跨季補單",
IF(COUNTBLANK(C21:E21)=3,"未保養","")
))))</f>
        <v>未保養</v>
      </c>
      <c r="G21" s="116" t="str">
        <f>IF(COUNTIFS('0919門市清單主檔'!C:C,B21,'0919門市清單主檔'!AF:AF,$H$3)=1,
    IF(COUNTIFS(IM!F:F,A21,IM!AC:AC,"*"&amp;$H$3&amp;"*") + COUNTIFS('0919門市清單主檔'!C:C,B21,'0919門市清單主檔'!AF:AF,$H$3) &gt; 1,
       "V","未完工"),"-")</f>
        <v>-</v>
      </c>
      <c r="H21" s="253" t="str">
        <f>IF(COUNTIFS('0919門市清單主檔'!C:C,B21,'0919門市清單主檔'!AG:AG,$H$4)=1,
    IF(COUNTIFS(IM!F:F,A21,IM!AC:AC,"*"&amp;$H$4&amp;"*") + COUNTIFS('0919門市清單主檔'!C:C,B21,'0919門市清單主檔'!AG:AG,$H$4) &gt; 1,
       "V","未完工"),"-")</f>
        <v>未完工</v>
      </c>
      <c r="I21" s="253" t="str">
        <f>IF(COUNTIFS('0919門市清單主檔'!C:C,B21,'0919門市清單主檔'!AH:AH,$H$5)=1,
    IF(COUNTIFS(IM!F:F,A21,IM!AC:AC,"*"&amp;$H$5&amp;"*") + COUNTIFS('0919門市清單主檔'!C:C,B21,'0919門市清單主檔'!AH:AH,$H$5) &gt; 1,
       "V","未完工"),"-")</f>
        <v>未完工</v>
      </c>
      <c r="J21" s="253" t="str">
        <f>IF(
    COUNTIFS('0919門市清單主檔'!C:C,B21,'0919門市清單主檔'!AC:AC,$H$2)=1,
    IF(
        COUNTIFS(
            IM!F:F,A21,
            IM!AC:AC,"*"&amp;$H$2&amp;"*",
            IM!X:X,"&gt;="&amp;$M$1,
            IM!X:X,"&lt;="&amp;$M$3
        )
        + COUNTIFS('0919門市清單主檔'!C:C,B21,'0919門市清單主檔'!AC:AC,$H$2)
        &gt;1,
        "V",
        "未完工"
    ),
    "-"
)</f>
        <v>-</v>
      </c>
      <c r="K21" s="122">
        <v>45881</v>
      </c>
      <c r="L21" s="116" t="str">
        <f>VLOOKUP(A21,'0919門市清單主檔'!B:V,21,FALSE)</f>
        <v>蘆竹區</v>
      </c>
      <c r="M21" t="str">
        <f>VLOOKUP(A21,門市總表!A:B,2,FALSE)</f>
        <v>龜山明德樓</v>
      </c>
      <c r="Q21" s="115" t="s">
        <v>4951</v>
      </c>
      <c r="R21" s="120" t="s">
        <v>4952</v>
      </c>
    </row>
    <row r="22" spans="1:18" ht="19.5" customHeight="1">
      <c r="A22" s="116">
        <v>5402</v>
      </c>
      <c r="B22" s="116" t="str">
        <f>VLOOKUP(A22,門市總表!A:B,2,FALSE)</f>
        <v>龜山A8站</v>
      </c>
      <c r="C22" s="146" t="str">
        <f>IF(COUNTIFS(IM!$F:$F,A22,IM!$AD:$AD,"O",IM!$X:$X,"&gt;="&amp;$M$1, IM!$X:$X,"&lt;"&amp;$M$2)&gt;0,"V","")</f>
        <v/>
      </c>
      <c r="D22" s="146" t="str">
        <f>IF(AND(C22&lt;&gt;"V", COUNTIFS(IM!$F:$F,A22, IM!$AD:$AD, "O", IM!$X:$X, "&gt;="&amp;$M$2, IM!$X:$X, "&lt;"&amp;$M$3)&gt;0), "V", "")</f>
        <v/>
      </c>
      <c r="E22" s="146" t="str">
        <f>IF(AND(C22&lt;&gt;"V",D22&lt;&gt;"V", COUNTIFS(IM!$F:$F, A22, IM!$AD:$AD, "O", IM!$X:$X, "&gt;="&amp;$M$3, IM!$X:$X, "&lt;"&amp;$N$3)&gt;0), "V", "")</f>
        <v/>
      </c>
      <c r="F22" s="116" t="str">
        <f>IF(VLOOKUP(A22,門市總表!A:F,6,FALSE)="新開","新開不保養",
IF(VLOOKUP(A22,門市總表!A:F,6,FALSE)="撤店","閉店不保養",IF(VLOOKUP(A22,門市總表!A:F,6,FALSE)="非當季","非當季",IF(VLOOKUP(A22,門市總表!A:F,6,FALSE)="跨季補單","跨季補單",
IF(COUNTBLANK(C22:E22)=3,"未保養","")
))))</f>
        <v>未保養</v>
      </c>
      <c r="G22" s="116" t="str">
        <f>IF(COUNTIFS('0919門市清單主檔'!C:C,B22,'0919門市清單主檔'!AF:AF,$H$3)=1,
    IF(COUNTIFS(IM!F:F,A22,IM!AC:AC,"*"&amp;$H$3&amp;"*") + COUNTIFS('0919門市清單主檔'!C:C,B22,'0919門市清單主檔'!AF:AF,$H$3) &gt; 1,
       "V","未完工"),"-")</f>
        <v>-</v>
      </c>
      <c r="H22" s="253" t="str">
        <f>IF(COUNTIFS('0919門市清單主檔'!C:C,B22,'0919門市清單主檔'!AG:AG,$H$4)=1,
    IF(COUNTIFS(IM!F:F,A22,IM!AC:AC,"*"&amp;$H$4&amp;"*") + COUNTIFS('0919門市清單主檔'!C:C,B22,'0919門市清單主檔'!AG:AG,$H$4) &gt; 1,
       "V","未完工"),"-")</f>
        <v>未完工</v>
      </c>
      <c r="I22" s="253" t="str">
        <f>IF(COUNTIFS('0919門市清單主檔'!C:C,B22,'0919門市清單主檔'!AH:AH,$H$5)=1,
    IF(COUNTIFS(IM!F:F,A22,IM!AC:AC,"*"&amp;$H$5&amp;"*") + COUNTIFS('0919門市清單主檔'!C:C,B22,'0919門市清單主檔'!AH:AH,$H$5) &gt; 1,
       "V","未完工"),"-")</f>
        <v>未完工</v>
      </c>
      <c r="J22" s="253" t="str">
        <f>IF(
    COUNTIFS('0919門市清單主檔'!C:C,B22,'0919門市清單主檔'!AC:AC,$H$2)=1,
    IF(
        COUNTIFS(
            IM!F:F,A22,
            IM!AC:AC,"*"&amp;$H$2&amp;"*",
            IM!X:X,"&gt;="&amp;$M$1,
            IM!X:X,"&lt;="&amp;$M$3
        )
        + COUNTIFS('0919門市清單主檔'!C:C,B22,'0919門市清單主檔'!AC:AC,$H$2)
        &gt;1,
        "V",
        "未完工"
    ),
    "-"
)</f>
        <v>-</v>
      </c>
      <c r="K22" s="122">
        <v>45854</v>
      </c>
      <c r="L22" s="116" t="str">
        <f>VLOOKUP(A22,'0919門市清單主檔'!B:V,21,FALSE)</f>
        <v>蘆竹區</v>
      </c>
      <c r="M22" t="str">
        <f>VLOOKUP(A22,門市總表!A:B,2,FALSE)</f>
        <v>龜山A8站</v>
      </c>
      <c r="Q22" s="115" t="s">
        <v>4951</v>
      </c>
      <c r="R22" s="120" t="s">
        <v>4952</v>
      </c>
    </row>
    <row r="23" spans="1:18" ht="19.5" customHeight="1">
      <c r="A23" s="116">
        <v>5465</v>
      </c>
      <c r="B23" s="116" t="str">
        <f>VLOOKUP(A23,門市總表!A:B,2,FALSE)</f>
        <v>龜山庚勤樓</v>
      </c>
      <c r="C23" s="146" t="str">
        <f>IF(COUNTIFS(IM!$F:$F,A23,IM!$AD:$AD,"O",IM!$X:$X,"&gt;="&amp;$M$1, IM!$X:$X,"&lt;"&amp;$M$2)&gt;0,"V","")</f>
        <v/>
      </c>
      <c r="D23" s="146" t="str">
        <f>IF(AND(C23&lt;&gt;"V", COUNTIFS(IM!$F:$F,A23, IM!$AD:$AD, "O", IM!$X:$X, "&gt;="&amp;$M$2, IM!$X:$X, "&lt;"&amp;$M$3)&gt;0), "V", "")</f>
        <v/>
      </c>
      <c r="E23" s="146" t="str">
        <f>IF(AND(C23&lt;&gt;"V",D23&lt;&gt;"V", COUNTIFS(IM!$F:$F, A23, IM!$AD:$AD, "O", IM!$X:$X, "&gt;="&amp;$M$3, IM!$X:$X, "&lt;"&amp;$N$3)&gt;0), "V", "")</f>
        <v/>
      </c>
      <c r="F23" s="116" t="str">
        <f>IF(VLOOKUP(A23,門市總表!A:F,6,FALSE)="新開","新開不保養",
IF(VLOOKUP(A23,門市總表!A:F,6,FALSE)="撤店","閉店不保養",IF(VLOOKUP(A23,門市總表!A:F,6,FALSE)="非當季","非當季",IF(VLOOKUP(A23,門市總表!A:F,6,FALSE)="跨季補單","跨季補單",
IF(COUNTBLANK(C23:E23)=3,"未保養","")
))))</f>
        <v>未保養</v>
      </c>
      <c r="G23" s="116" t="str">
        <f>IF(COUNTIFS('0919門市清單主檔'!C:C,B23,'0919門市清單主檔'!AF:AF,$H$3)=1,
    IF(COUNTIFS(IM!F:F,A23,IM!AC:AC,"*"&amp;$H$3&amp;"*") + COUNTIFS('0919門市清單主檔'!C:C,B23,'0919門市清單主檔'!AF:AF,$H$3) &gt; 1,
       "V","未完工"),"-")</f>
        <v>-</v>
      </c>
      <c r="H23" s="253" t="str">
        <f>IF(COUNTIFS('0919門市清單主檔'!C:C,B23,'0919門市清單主檔'!AG:AG,$H$4)=1,
    IF(COUNTIFS(IM!F:F,A23,IM!AC:AC,"*"&amp;$H$4&amp;"*") + COUNTIFS('0919門市清單主檔'!C:C,B23,'0919門市清單主檔'!AG:AG,$H$4) &gt; 1,
       "V","未完工"),"-")</f>
        <v>未完工</v>
      </c>
      <c r="I23" s="253" t="str">
        <f>IF(COUNTIFS('0919門市清單主檔'!C:C,B23,'0919門市清單主檔'!AH:AH,$H$5)=1,
    IF(COUNTIFS(IM!F:F,A23,IM!AC:AC,"*"&amp;$H$5&amp;"*") + COUNTIFS('0919門市清單主檔'!C:C,B23,'0919門市清單主檔'!AH:AH,$H$5) &gt; 1,
       "V","未完工"),"-")</f>
        <v>未完工</v>
      </c>
      <c r="J23" s="253" t="str">
        <f>IF(
    COUNTIFS('0919門市清單主檔'!C:C,B23,'0919門市清單主檔'!AC:AC,$H$2)=1,
    IF(
        COUNTIFS(
            IM!F:F,A23,
            IM!AC:AC,"*"&amp;$H$2&amp;"*",
            IM!X:X,"&gt;="&amp;$M$1,
            IM!X:X,"&lt;="&amp;$M$3
        )
        + COUNTIFS('0919門市清單主檔'!C:C,B23,'0919門市清單主檔'!AC:AC,$H$2)
        &gt;1,
        "V",
        "未完工"
    ),
    "-"
)</f>
        <v>-</v>
      </c>
      <c r="K23" s="122">
        <v>45854</v>
      </c>
      <c r="L23" s="116" t="str">
        <f>VLOOKUP(A23,'0919門市清單主檔'!B:V,21,FALSE)</f>
        <v>蘆竹區</v>
      </c>
      <c r="M23" t="str">
        <f>VLOOKUP(A23,門市總表!A:B,2,FALSE)</f>
        <v>龜山庚勤樓</v>
      </c>
      <c r="Q23" s="115" t="s">
        <v>4951</v>
      </c>
      <c r="R23" s="120" t="s">
        <v>4952</v>
      </c>
    </row>
    <row r="24" spans="1:18" ht="19.5" customHeight="1">
      <c r="A24" s="116" t="s">
        <v>84</v>
      </c>
      <c r="B24" s="116" t="str">
        <f>VLOOKUP(A24,門市總表!A:B,2,FALSE)</f>
        <v>田倉復興店</v>
      </c>
      <c r="C24" s="146" t="str">
        <f>IF(COUNTIFS(IM!$F:$F,A24,IM!$AD:$AD,"O",IM!$X:$X,"&gt;="&amp;$M$1, IM!$X:$X,"&lt;"&amp;$M$2)&gt;0,"V","")</f>
        <v/>
      </c>
      <c r="D24" s="146" t="str">
        <f>IF(AND(C24&lt;&gt;"V", COUNTIFS(IM!$F:$F,A24, IM!$AD:$AD, "O", IM!$X:$X, "&gt;="&amp;$M$2, IM!$X:$X, "&lt;"&amp;$M$3)&gt;0), "V", "")</f>
        <v/>
      </c>
      <c r="E24" s="146" t="str">
        <f>IF(AND(C24&lt;&gt;"V",D24&lt;&gt;"V", COUNTIFS(IM!$F:$F, A24, IM!$AD:$AD, "O", IM!$X:$X, "&gt;="&amp;$M$3, IM!$X:$X, "&lt;"&amp;$N$3)&gt;0), "V", "")</f>
        <v/>
      </c>
      <c r="F24" s="116" t="str">
        <f>IF(VLOOKUP(A24,門市總表!A:F,6,FALSE)="新開","新開不保養",
IF(VLOOKUP(A24,門市總表!A:F,6,FALSE)="撤店","閉店不保養",IF(VLOOKUP(A24,門市總表!A:F,6,FALSE)="非當季","非當季",IF(VLOOKUP(A24,門市總表!A:F,6,FALSE)="跨季補單","跨季補單",
IF(COUNTBLANK(C24:E24)=3,"未保養","")
))))</f>
        <v>未保養</v>
      </c>
      <c r="G24" s="116" t="str">
        <f>IF(COUNTIFS('0919門市清單主檔'!C:C,B24,'0919門市清單主檔'!AF:AF,$H$3)=1,
    IF(COUNTIFS(IM!F:F,A24,IM!AC:AC,"*"&amp;$H$3&amp;"*") + COUNTIFS('0919門市清單主檔'!C:C,B24,'0919門市清單主檔'!AF:AF,$H$3) &gt; 1,
       "V","未完工"),"-")</f>
        <v>-</v>
      </c>
      <c r="H24" s="253" t="str">
        <f>IF(COUNTIFS('0919門市清單主檔'!C:C,B24,'0919門市清單主檔'!AG:AG,$H$4)=1,
    IF(COUNTIFS(IM!F:F,A24,IM!AC:AC,"*"&amp;$H$4&amp;"*") + COUNTIFS('0919門市清單主檔'!C:C,B24,'0919門市清單主檔'!AG:AG,$H$4) &gt; 1,
       "V","未完工"),"-")</f>
        <v>未完工</v>
      </c>
      <c r="I24" s="253" t="str">
        <f>IF(COUNTIFS('0919門市清單主檔'!C:C,B24,'0919門市清單主檔'!AH:AH,$H$5)=1,
    IF(COUNTIFS(IM!F:F,A24,IM!AC:AC,"*"&amp;$H$5&amp;"*") + COUNTIFS('0919門市清單主檔'!C:C,B24,'0919門市清單主檔'!AH:AH,$H$5) &gt; 1,
       "V","未完工"),"-")</f>
        <v>未完工</v>
      </c>
      <c r="J24" s="253" t="str">
        <f>IF(
    COUNTIFS('0919門市清單主檔'!C:C,B24,'0919門市清單主檔'!AC:AC,$H$2)=1,
    IF(
        COUNTIFS(
            IM!F:F,A24,
            IM!AC:AC,"*"&amp;$H$2&amp;"*",
            IM!X:X,"&gt;="&amp;$M$1,
            IM!X:X,"&lt;="&amp;$M$3
        )
        + COUNTIFS('0919門市清單主檔'!C:C,B24,'0919門市清單主檔'!AC:AC,$H$2)
        &gt;1,
        "V",
        "未完工"
    ),
    "-"
)</f>
        <v>-</v>
      </c>
      <c r="K24" s="122">
        <v>45852</v>
      </c>
      <c r="L24" s="116" t="str">
        <f>VLOOKUP(A24,'0919門市清單主檔'!B:V,21,FALSE)</f>
        <v>蘆竹區</v>
      </c>
      <c r="M24" t="str">
        <f>VLOOKUP(A24,門市總表!A:B,2,FALSE)</f>
        <v>田倉復興店</v>
      </c>
      <c r="Q24" s="115" t="s">
        <v>4951</v>
      </c>
      <c r="R24" s="120" t="s">
        <v>4952</v>
      </c>
    </row>
    <row r="25" spans="1:18" ht="19.5" customHeight="1">
      <c r="A25" s="116" t="s">
        <v>85</v>
      </c>
      <c r="B25" s="116" t="str">
        <f>VLOOKUP(A25,門市總表!A:B,2,FALSE)</f>
        <v>田倉文興店</v>
      </c>
      <c r="C25" s="146" t="str">
        <f>IF(COUNTIFS(IM!$F:$F,A25,IM!$AD:$AD,"O",IM!$X:$X,"&gt;="&amp;$M$1, IM!$X:$X,"&lt;"&amp;$M$2)&gt;0,"V","")</f>
        <v/>
      </c>
      <c r="D25" s="146" t="str">
        <f>IF(AND(C25&lt;&gt;"V", COUNTIFS(IM!$F:$F,A25, IM!$AD:$AD, "O", IM!$X:$X, "&gt;="&amp;$M$2, IM!$X:$X, "&lt;"&amp;$M$3)&gt;0), "V", "")</f>
        <v/>
      </c>
      <c r="E25" s="146" t="str">
        <f>IF(AND(C25&lt;&gt;"V",D25&lt;&gt;"V", COUNTIFS(IM!$F:$F, A25, IM!$AD:$AD, "O", IM!$X:$X, "&gt;="&amp;$M$3, IM!$X:$X, "&lt;"&amp;$N$3)&gt;0), "V", "")</f>
        <v/>
      </c>
      <c r="F25" s="116" t="str">
        <f>IF(VLOOKUP(A25,門市總表!A:F,6,FALSE)="新開","新開不保養",
IF(VLOOKUP(A25,門市總表!A:F,6,FALSE)="撤店","閉店不保養",IF(VLOOKUP(A25,門市總表!A:F,6,FALSE)="非當季","非當季",IF(VLOOKUP(A25,門市總表!A:F,6,FALSE)="跨季補單","跨季補單",
IF(COUNTBLANK(C25:E25)=3,"未保養","")
))))</f>
        <v>未保養</v>
      </c>
      <c r="G25" s="116" t="str">
        <f>IF(COUNTIFS('0919門市清單主檔'!C:C,B25,'0919門市清單主檔'!AF:AF,$H$3)=1,
    IF(COUNTIFS(IM!F:F,A25,IM!AC:AC,"*"&amp;$H$3&amp;"*") + COUNTIFS('0919門市清單主檔'!C:C,B25,'0919門市清單主檔'!AF:AF,$H$3) &gt; 1,
       "V","未完工"),"-")</f>
        <v>-</v>
      </c>
      <c r="H25" s="253" t="str">
        <f>IF(COUNTIFS('0919門市清單主檔'!C:C,B25,'0919門市清單主檔'!AG:AG,$H$4)=1,
    IF(COUNTIFS(IM!F:F,A25,IM!AC:AC,"*"&amp;$H$4&amp;"*") + COUNTIFS('0919門市清單主檔'!C:C,B25,'0919門市清單主檔'!AG:AG,$H$4) &gt; 1,
       "V","未完工"),"-")</f>
        <v>未完工</v>
      </c>
      <c r="I25" s="253" t="str">
        <f>IF(COUNTIFS('0919門市清單主檔'!C:C,B25,'0919門市清單主檔'!AH:AH,$H$5)=1,
    IF(COUNTIFS(IM!F:F,A25,IM!AC:AC,"*"&amp;$H$5&amp;"*") + COUNTIFS('0919門市清單主檔'!C:C,B25,'0919門市清單主檔'!AH:AH,$H$5) &gt; 1,
       "V","未完工"),"-")</f>
        <v>-</v>
      </c>
      <c r="J25" s="253" t="str">
        <f>IF(
    COUNTIFS('0919門市清單主檔'!C:C,B25,'0919門市清單主檔'!AC:AC,$H$2)=1,
    IF(
        COUNTIFS(
            IM!F:F,A25,
            IM!AC:AC,"*"&amp;$H$2&amp;"*",
            IM!X:X,"&gt;="&amp;$M$1,
            IM!X:X,"&lt;="&amp;$M$3
        )
        + COUNTIFS('0919門市清單主檔'!C:C,B25,'0919門市清單主檔'!AC:AC,$H$2)
        &gt;1,
        "V",
        "未完工"
    ),
    "-"
)</f>
        <v>-</v>
      </c>
      <c r="K25" s="122">
        <v>45852</v>
      </c>
      <c r="L25" s="116" t="str">
        <f>VLOOKUP(A25,'0919門市清單主檔'!B:V,21,FALSE)</f>
        <v>蘆竹區</v>
      </c>
      <c r="M25" t="str">
        <f>VLOOKUP(A25,門市總表!A:B,2,FALSE)</f>
        <v>田倉文興店</v>
      </c>
      <c r="Q25" s="115" t="s">
        <v>4951</v>
      </c>
      <c r="R25" s="120" t="s">
        <v>4952</v>
      </c>
    </row>
    <row r="26" spans="1:18" ht="19.5" customHeight="1">
      <c r="A26" s="116">
        <v>2201</v>
      </c>
      <c r="B26" s="116" t="str">
        <f>VLOOKUP(A26,門市總表!A:B,2,FALSE)</f>
        <v>桃縣內溪店</v>
      </c>
      <c r="C26" s="146" t="str">
        <f>IF(COUNTIFS(IM!$F:$F,A26,IM!$AD:$AD,"O",IM!$X:$X,"&gt;="&amp;$M$1, IM!$X:$X,"&lt;"&amp;$M$2)&gt;0,"V","")</f>
        <v/>
      </c>
      <c r="D26" s="146" t="str">
        <f>IF(AND(C26&lt;&gt;"V", COUNTIFS(IM!$F:$F,A26, IM!$AD:$AD, "O", IM!$X:$X, "&gt;="&amp;$M$2, IM!$X:$X, "&lt;"&amp;$M$3)&gt;0), "V", "")</f>
        <v/>
      </c>
      <c r="E26" s="146" t="str">
        <f>IF(AND(C26&lt;&gt;"V",D26&lt;&gt;"V", COUNTIFS(IM!$F:$F, A26, IM!$AD:$AD, "O", IM!$X:$X, "&gt;="&amp;$M$3, IM!$X:$X, "&lt;"&amp;$N$3)&gt;0), "V", "")</f>
        <v/>
      </c>
      <c r="F26" s="116" t="str">
        <f>IF(VLOOKUP(A26,門市總表!A:F,6,FALSE)="新開","新開不保養",
IF(VLOOKUP(A26,門市總表!A:F,6,FALSE)="撤店","閉店不保養",IF(VLOOKUP(A26,門市總表!A:F,6,FALSE)="非當季","非當季",IF(VLOOKUP(A26,門市總表!A:F,6,FALSE)="跨季補單","跨季補單",
IF(COUNTBLANK(C26:E26)=3,"未保養","")
))))</f>
        <v>未保養</v>
      </c>
      <c r="G26" s="116" t="str">
        <f>IF(COUNTIFS('0919門市清單主檔'!C:C,B26,'0919門市清單主檔'!AF:AF,$H$3)=1,
    IF(COUNTIFS(IM!F:F,A26,IM!AC:AC,"*"&amp;$H$3&amp;"*") + COUNTIFS('0919門市清單主檔'!C:C,B26,'0919門市清單主檔'!AF:AF,$H$3) &gt; 1,
       "V","未完工"),"-")</f>
        <v>-</v>
      </c>
      <c r="H26" s="253" t="str">
        <f>IF(COUNTIFS('0919門市清單主檔'!C:C,B26,'0919門市清單主檔'!AG:AG,$H$4)=1,
    IF(COUNTIFS(IM!F:F,A26,IM!AC:AC,"*"&amp;$H$4&amp;"*") + COUNTIFS('0919門市清單主檔'!C:C,B26,'0919門市清單主檔'!AG:AG,$H$4) &gt; 1,
       "V","未完工"),"-")</f>
        <v>未完工</v>
      </c>
      <c r="I26" s="253" t="str">
        <f>IF(COUNTIFS('0919門市清單主檔'!C:C,B26,'0919門市清單主檔'!AH:AH,$H$5)=1,
    IF(COUNTIFS(IM!F:F,A26,IM!AC:AC,"*"&amp;$H$5&amp;"*") + COUNTIFS('0919門市清單主檔'!C:C,B26,'0919門市清單主檔'!AH:AH,$H$5) &gt; 1,
       "V","未完工"),"-")</f>
        <v>未完工</v>
      </c>
      <c r="J26" s="253" t="str">
        <f>IF(
    COUNTIFS('0919門市清單主檔'!C:C,B26,'0919門市清單主檔'!AC:AC,$H$2)=1,
    IF(
        COUNTIFS(
            IM!F:F,A26,
            IM!AC:AC,"*"&amp;$H$2&amp;"*",
            IM!X:X,"&gt;="&amp;$M$1,
            IM!X:X,"&lt;="&amp;$M$3
        )
        + COUNTIFS('0919門市清單主檔'!C:C,B26,'0919門市清單主檔'!AC:AC,$H$2)
        &gt;1,
        "V",
        "未完工"
    ),
    "-"
)</f>
        <v>-</v>
      </c>
      <c r="K26" s="122">
        <v>45852</v>
      </c>
      <c r="L26" s="116" t="str">
        <f>VLOOKUP(A26,'0919門市清單主檔'!B:V,21,FALSE)</f>
        <v>龜山區</v>
      </c>
      <c r="M26" t="str">
        <f>VLOOKUP(A26,門市總表!A:B,2,FALSE)</f>
        <v>桃縣內溪店</v>
      </c>
      <c r="Q26" s="115"/>
      <c r="R26" s="120" t="s">
        <v>4952</v>
      </c>
    </row>
    <row r="27" spans="1:18" ht="19.5" customHeight="1">
      <c r="A27" s="116">
        <v>2255</v>
      </c>
      <c r="B27" s="116" t="str">
        <f>VLOOKUP(A27,門市總表!A:B,2,FALSE)</f>
        <v>蘆竹六福店</v>
      </c>
      <c r="C27" s="146" t="str">
        <f>IF(COUNTIFS(IM!$F:$F,A27,IM!$AD:$AD,"O",IM!$X:$X,"&gt;="&amp;$M$1, IM!$X:$X,"&lt;"&amp;$M$2)&gt;0,"V","")</f>
        <v/>
      </c>
      <c r="D27" s="146" t="str">
        <f>IF(AND(C27&lt;&gt;"V", COUNTIFS(IM!$F:$F,A27, IM!$AD:$AD, "O", IM!$X:$X, "&gt;="&amp;$M$2, IM!$X:$X, "&lt;"&amp;$M$3)&gt;0), "V", "")</f>
        <v/>
      </c>
      <c r="E27" s="146" t="str">
        <f>IF(AND(C27&lt;&gt;"V",D27&lt;&gt;"V", COUNTIFS(IM!$F:$F, A27, IM!$AD:$AD, "O", IM!$X:$X, "&gt;="&amp;$M$3, IM!$X:$X, "&lt;"&amp;$N$3)&gt;0), "V", "")</f>
        <v/>
      </c>
      <c r="F27" s="116" t="str">
        <f>IF(VLOOKUP(A27,門市總表!A:F,6,FALSE)="新開","新開不保養",
IF(VLOOKUP(A27,門市總表!A:F,6,FALSE)="撤店","閉店不保養",IF(VLOOKUP(A27,門市總表!A:F,6,FALSE)="非當季","非當季",IF(VLOOKUP(A27,門市總表!A:F,6,FALSE)="跨季補單","跨季補單",
IF(COUNTBLANK(C27:E27)=3,"未保養","")
))))</f>
        <v>未保養</v>
      </c>
      <c r="G27" s="116" t="str">
        <f>IF(COUNTIFS('0919門市清單主檔'!C:C,B27,'0919門市清單主檔'!AF:AF,$H$3)=1,
    IF(COUNTIFS(IM!F:F,A27,IM!AC:AC,"*"&amp;$H$3&amp;"*") + COUNTIFS('0919門市清單主檔'!C:C,B27,'0919門市清單主檔'!AF:AF,$H$3) &gt; 1,
       "V","未完工"),"-")</f>
        <v>-</v>
      </c>
      <c r="H27" s="253" t="str">
        <f>IF(COUNTIFS('0919門市清單主檔'!C:C,B27,'0919門市清單主檔'!AG:AG,$H$4)=1,
    IF(COUNTIFS(IM!F:F,A27,IM!AC:AC,"*"&amp;$H$4&amp;"*") + COUNTIFS('0919門市清單主檔'!C:C,B27,'0919門市清單主檔'!AG:AG,$H$4) &gt; 1,
       "V","未完工"),"-")</f>
        <v>未完工</v>
      </c>
      <c r="I27" s="253" t="str">
        <f>IF(COUNTIFS('0919門市清單主檔'!C:C,B27,'0919門市清單主檔'!AH:AH,$H$5)=1,
    IF(COUNTIFS(IM!F:F,A27,IM!AC:AC,"*"&amp;$H$5&amp;"*") + COUNTIFS('0919門市清單主檔'!C:C,B27,'0919門市清單主檔'!AH:AH,$H$5) &gt; 1,
       "V","未完工"),"-")</f>
        <v>-</v>
      </c>
      <c r="J27" s="253" t="str">
        <f>IF(
    COUNTIFS('0919門市清單主檔'!C:C,B27,'0919門市清單主檔'!AC:AC,$H$2)=1,
    IF(
        COUNTIFS(
            IM!F:F,A27,
            IM!AC:AC,"*"&amp;$H$2&amp;"*",
            IM!X:X,"&gt;="&amp;$M$1,
            IM!X:X,"&lt;="&amp;$M$3
        )
        + COUNTIFS('0919門市清單主檔'!C:C,B27,'0919門市清單主檔'!AC:AC,$H$2)
        &gt;1,
        "V",
        "未完工"
    ),
    "-"
)</f>
        <v>-</v>
      </c>
      <c r="K27" s="122">
        <v>45852</v>
      </c>
      <c r="L27" s="116" t="str">
        <f>VLOOKUP(A27,'0919門市清單主檔'!B:V,21,FALSE)</f>
        <v>龜山區</v>
      </c>
      <c r="M27" t="str">
        <f>VLOOKUP(A27,門市總表!A:B,2,FALSE)</f>
        <v>蘆竹六福店</v>
      </c>
      <c r="Q27" s="115" t="s">
        <v>4951</v>
      </c>
      <c r="R27" s="120" t="s">
        <v>4952</v>
      </c>
    </row>
    <row r="28" spans="1:18" ht="19.5" customHeight="1">
      <c r="A28" s="116">
        <v>2322</v>
      </c>
      <c r="B28" s="116" t="str">
        <f>VLOOKUP(A28,門市總表!A:B,2,FALSE)</f>
        <v>蘆竹大華店</v>
      </c>
      <c r="C28" s="146" t="str">
        <f>IF(COUNTIFS(IM!$F:$F,A28,IM!$AD:$AD,"O",IM!$X:$X,"&gt;="&amp;$M$1, IM!$X:$X,"&lt;"&amp;$M$2)&gt;0,"V","")</f>
        <v/>
      </c>
      <c r="D28" s="146" t="str">
        <f>IF(AND(C28&lt;&gt;"V", COUNTIFS(IM!$F:$F,A28, IM!$AD:$AD, "O", IM!$X:$X, "&gt;="&amp;$M$2, IM!$X:$X, "&lt;"&amp;$M$3)&gt;0), "V", "")</f>
        <v/>
      </c>
      <c r="E28" s="146" t="str">
        <f>IF(AND(C28&lt;&gt;"V",D28&lt;&gt;"V", COUNTIFS(IM!$F:$F, A28, IM!$AD:$AD, "O", IM!$X:$X, "&gt;="&amp;$M$3, IM!$X:$X, "&lt;"&amp;$N$3)&gt;0), "V", "")</f>
        <v/>
      </c>
      <c r="F28" s="116" t="str">
        <f>IF(VLOOKUP(A28,門市總表!A:F,6,FALSE)="新開","新開不保養",
IF(VLOOKUP(A28,門市總表!A:F,6,FALSE)="撤店","閉店不保養",IF(VLOOKUP(A28,門市總表!A:F,6,FALSE)="非當季","非當季",IF(VLOOKUP(A28,門市總表!A:F,6,FALSE)="跨季補單","跨季補單",
IF(COUNTBLANK(C28:E28)=3,"未保養","")
))))</f>
        <v>未保養</v>
      </c>
      <c r="G28" s="116" t="str">
        <f>IF(COUNTIFS('0919門市清單主檔'!C:C,B28,'0919門市清單主檔'!AF:AF,$H$3)=1,
    IF(COUNTIFS(IM!F:F,A28,IM!AC:AC,"*"&amp;$H$3&amp;"*") + COUNTIFS('0919門市清單主檔'!C:C,B28,'0919門市清單主檔'!AF:AF,$H$3) &gt; 1,
       "V","未完工"),"-")</f>
        <v>-</v>
      </c>
      <c r="H28" s="253" t="str">
        <f>IF(COUNTIFS('0919門市清單主檔'!C:C,B28,'0919門市清單主檔'!AG:AG,$H$4)=1,
    IF(COUNTIFS(IM!F:F,A28,IM!AC:AC,"*"&amp;$H$4&amp;"*") + COUNTIFS('0919門市清單主檔'!C:C,B28,'0919門市清單主檔'!AG:AG,$H$4) &gt; 1,
       "V","未完工"),"-")</f>
        <v>未完工</v>
      </c>
      <c r="I28" s="253" t="str">
        <f>IF(COUNTIFS('0919門市清單主檔'!C:C,B28,'0919門市清單主檔'!AH:AH,$H$5)=1,
    IF(COUNTIFS(IM!F:F,A28,IM!AC:AC,"*"&amp;$H$5&amp;"*") + COUNTIFS('0919門市清單主檔'!C:C,B28,'0919門市清單主檔'!AH:AH,$H$5) &gt; 1,
       "V","未完工"),"-")</f>
        <v>-</v>
      </c>
      <c r="J28" s="253" t="str">
        <f>IF(
    COUNTIFS('0919門市清單主檔'!C:C,B28,'0919門市清單主檔'!AC:AC,$H$2)=1,
    IF(
        COUNTIFS(
            IM!F:F,A28,
            IM!AC:AC,"*"&amp;$H$2&amp;"*",
            IM!X:X,"&gt;="&amp;$M$1,
            IM!X:X,"&lt;="&amp;$M$3
        )
        + COUNTIFS('0919門市清單主檔'!C:C,B28,'0919門市清單主檔'!AC:AC,$H$2)
        &gt;1,
        "V",
        "未完工"
    ),
    "-"
)</f>
        <v>-</v>
      </c>
      <c r="K28" s="122">
        <v>45867</v>
      </c>
      <c r="L28" s="116" t="str">
        <f>VLOOKUP(A28,'0919門市清單主檔'!B:V,21,FALSE)</f>
        <v>龜山區</v>
      </c>
      <c r="M28" t="str">
        <f>VLOOKUP(A28,門市總表!A:B,2,FALSE)</f>
        <v>蘆竹大華店</v>
      </c>
      <c r="Q28" s="115" t="s">
        <v>4951</v>
      </c>
      <c r="R28" s="120" t="s">
        <v>4952</v>
      </c>
    </row>
    <row r="29" spans="1:18" ht="19.5" customHeight="1">
      <c r="A29" s="116">
        <v>2401</v>
      </c>
      <c r="B29" s="116" t="str">
        <f>VLOOKUP(A29,門市總表!A:B,2,FALSE)</f>
        <v>蘆竹南工店</v>
      </c>
      <c r="C29" s="146" t="str">
        <f>IF(COUNTIFS(IM!$F:$F,A29,IM!$AD:$AD,"O",IM!$X:$X,"&gt;="&amp;$M$1, IM!$X:$X,"&lt;"&amp;$M$2)&gt;0,"V","")</f>
        <v/>
      </c>
      <c r="D29" s="146" t="str">
        <f>IF(AND(C29&lt;&gt;"V", COUNTIFS(IM!$F:$F,A29, IM!$AD:$AD, "O", IM!$X:$X, "&gt;="&amp;$M$2, IM!$X:$X, "&lt;"&amp;$M$3)&gt;0), "V", "")</f>
        <v/>
      </c>
      <c r="E29" s="146" t="str">
        <f>IF(AND(C29&lt;&gt;"V",D29&lt;&gt;"V", COUNTIFS(IM!$F:$F, A29, IM!$AD:$AD, "O", IM!$X:$X, "&gt;="&amp;$M$3, IM!$X:$X, "&lt;"&amp;$N$3)&gt;0), "V", "")</f>
        <v/>
      </c>
      <c r="F29" s="116" t="str">
        <f>IF(VLOOKUP(A29,門市總表!A:F,6,FALSE)="新開","新開不保養",
IF(VLOOKUP(A29,門市總表!A:F,6,FALSE)="撤店","閉店不保養",IF(VLOOKUP(A29,門市總表!A:F,6,FALSE)="非當季","非當季",IF(VLOOKUP(A29,門市總表!A:F,6,FALSE)="跨季補單","跨季補單",
IF(COUNTBLANK(C29:E29)=3,"未保養","")
))))</f>
        <v>未保養</v>
      </c>
      <c r="G29" s="116" t="str">
        <f>IF(COUNTIFS('0919門市清單主檔'!C:C,B29,'0919門市清單主檔'!AF:AF,$H$3)=1,
    IF(COUNTIFS(IM!F:F,A29,IM!AC:AC,"*"&amp;$H$3&amp;"*") + COUNTIFS('0919門市清單主檔'!C:C,B29,'0919門市清單主檔'!AF:AF,$H$3) &gt; 1,
       "V","未完工"),"-")</f>
        <v>-</v>
      </c>
      <c r="H29" s="253" t="str">
        <f>IF(COUNTIFS('0919門市清單主檔'!C:C,B29,'0919門市清單主檔'!AG:AG,$H$4)=1,
    IF(COUNTIFS(IM!F:F,A29,IM!AC:AC,"*"&amp;$H$4&amp;"*") + COUNTIFS('0919門市清單主檔'!C:C,B29,'0919門市清單主檔'!AG:AG,$H$4) &gt; 1,
       "V","未完工"),"-")</f>
        <v>未完工</v>
      </c>
      <c r="I29" s="253" t="str">
        <f>IF(COUNTIFS('0919門市清單主檔'!C:C,B29,'0919門市清單主檔'!AH:AH,$H$5)=1,
    IF(COUNTIFS(IM!F:F,A29,IM!AC:AC,"*"&amp;$H$5&amp;"*") + COUNTIFS('0919門市清單主檔'!C:C,B29,'0919門市清單主檔'!AH:AH,$H$5) &gt; 1,
       "V","未完工"),"-")</f>
        <v>未完工</v>
      </c>
      <c r="J29" s="253" t="str">
        <f>IF(
    COUNTIFS('0919門市清單主檔'!C:C,B29,'0919門市清單主檔'!AC:AC,$H$2)=1,
    IF(
        COUNTIFS(
            IM!F:F,A29,
            IM!AC:AC,"*"&amp;$H$2&amp;"*",
            IM!X:X,"&gt;="&amp;$M$1,
            IM!X:X,"&lt;="&amp;$M$3
        )
        + COUNTIFS('0919門市清單主檔'!C:C,B29,'0919門市清單主檔'!AC:AC,$H$2)
        &gt;1,
        "V",
        "未完工"
    ),
    "-"
)</f>
        <v>-</v>
      </c>
      <c r="K29" s="122">
        <v>45866</v>
      </c>
      <c r="L29" s="116" t="str">
        <f>VLOOKUP(A29,'0919門市清單主檔'!B:V,21,FALSE)</f>
        <v>龜山區</v>
      </c>
      <c r="M29" t="str">
        <f>VLOOKUP(A29,門市總表!A:B,2,FALSE)</f>
        <v>蘆竹南工店</v>
      </c>
      <c r="Q29" s="115" t="s">
        <v>4951</v>
      </c>
      <c r="R29" s="120" t="s">
        <v>4952</v>
      </c>
    </row>
    <row r="30" spans="1:18" ht="19.5" customHeight="1">
      <c r="A30" s="116">
        <v>2482</v>
      </c>
      <c r="B30" s="116" t="str">
        <f>VLOOKUP(A30,門市總表!A:B,2,FALSE)</f>
        <v>蘆竹光明店</v>
      </c>
      <c r="C30" s="146" t="str">
        <f>IF(COUNTIFS(IM!$F:$F,A30,IM!$AD:$AD,"O",IM!$X:$X,"&gt;="&amp;$M$1, IM!$X:$X,"&lt;"&amp;$M$2)&gt;0,"V","")</f>
        <v/>
      </c>
      <c r="D30" s="146" t="str">
        <f>IF(AND(C30&lt;&gt;"V", COUNTIFS(IM!$F:$F,A30, IM!$AD:$AD, "O", IM!$X:$X, "&gt;="&amp;$M$2, IM!$X:$X, "&lt;"&amp;$M$3)&gt;0), "V", "")</f>
        <v/>
      </c>
      <c r="E30" s="146" t="str">
        <f>IF(AND(C30&lt;&gt;"V",D30&lt;&gt;"V", COUNTIFS(IM!$F:$F, A30, IM!$AD:$AD, "O", IM!$X:$X, "&gt;="&amp;$M$3, IM!$X:$X, "&lt;"&amp;$N$3)&gt;0), "V", "")</f>
        <v/>
      </c>
      <c r="F30" s="116" t="str">
        <f>IF(VLOOKUP(A30,門市總表!A:F,6,FALSE)="新開","新開不保養",
IF(VLOOKUP(A30,門市總表!A:F,6,FALSE)="撤店","閉店不保養",IF(VLOOKUP(A30,門市總表!A:F,6,FALSE)="非當季","非當季",IF(VLOOKUP(A30,門市總表!A:F,6,FALSE)="跨季補單","跨季補單",
IF(COUNTBLANK(C30:E30)=3,"未保養","")
))))</f>
        <v>未保養</v>
      </c>
      <c r="G30" s="116" t="str">
        <f>IF(COUNTIFS('0919門市清單主檔'!C:C,B30,'0919門市清單主檔'!AF:AF,$H$3)=1,
    IF(COUNTIFS(IM!F:F,A30,IM!AC:AC,"*"&amp;$H$3&amp;"*") + COUNTIFS('0919門市清單主檔'!C:C,B30,'0919門市清單主檔'!AF:AF,$H$3) &gt; 1,
       "V","未完工"),"-")</f>
        <v>-</v>
      </c>
      <c r="H30" s="253" t="str">
        <f>IF(COUNTIFS('0919門市清單主檔'!C:C,B30,'0919門市清單主檔'!AG:AG,$H$4)=1,
    IF(COUNTIFS(IM!F:F,A30,IM!AC:AC,"*"&amp;$H$4&amp;"*") + COUNTIFS('0919門市清單主檔'!C:C,B30,'0919門市清單主檔'!AG:AG,$H$4) &gt; 1,
       "V","未完工"),"-")</f>
        <v>未完工</v>
      </c>
      <c r="I30" s="253" t="str">
        <f>IF(COUNTIFS('0919門市清單主檔'!C:C,B30,'0919門市清單主檔'!AH:AH,$H$5)=1,
    IF(COUNTIFS(IM!F:F,A30,IM!AC:AC,"*"&amp;$H$5&amp;"*") + COUNTIFS('0919門市清單主檔'!C:C,B30,'0919門市清單主檔'!AH:AH,$H$5) &gt; 1,
       "V","未完工"),"-")</f>
        <v>-</v>
      </c>
      <c r="J30" s="253" t="str">
        <f>IF(
    COUNTIFS('0919門市清單主檔'!C:C,B30,'0919門市清單主檔'!AC:AC,$H$2)=1,
    IF(
        COUNTIFS(
            IM!F:F,A30,
            IM!AC:AC,"*"&amp;$H$2&amp;"*",
            IM!X:X,"&gt;="&amp;$M$1,
            IM!X:X,"&lt;="&amp;$M$3
        )
        + COUNTIFS('0919門市清單主檔'!C:C,B30,'0919門市清單主檔'!AC:AC,$H$2)
        &gt;1,
        "V",
        "未完工"
    ),
    "-"
)</f>
        <v>-</v>
      </c>
      <c r="K30" s="122">
        <v>45841</v>
      </c>
      <c r="L30" s="116" t="str">
        <f>VLOOKUP(A30,'0919門市清單主檔'!B:V,21,FALSE)</f>
        <v>龜山區</v>
      </c>
      <c r="M30" t="str">
        <f>VLOOKUP(A30,門市總表!A:B,2,FALSE)</f>
        <v>蘆竹光明店</v>
      </c>
      <c r="Q30" s="115" t="s">
        <v>4951</v>
      </c>
      <c r="R30" s="120" t="s">
        <v>4952</v>
      </c>
    </row>
    <row r="31" spans="1:18" ht="19.5" customHeight="1">
      <c r="A31" s="116">
        <v>2501</v>
      </c>
      <c r="B31" s="116" t="str">
        <f>VLOOKUP(A31,門市總表!A:B,2,FALSE)</f>
        <v>蘆竹南山店</v>
      </c>
      <c r="C31" s="146" t="str">
        <f>IF(COUNTIFS(IM!$F:$F,A31,IM!$AD:$AD,"O",IM!$X:$X,"&gt;="&amp;$M$1, IM!$X:$X,"&lt;"&amp;$M$2)&gt;0,"V","")</f>
        <v/>
      </c>
      <c r="D31" s="146" t="str">
        <f>IF(AND(C31&lt;&gt;"V", COUNTIFS(IM!$F:$F,A31, IM!$AD:$AD, "O", IM!$X:$X, "&gt;="&amp;$M$2, IM!$X:$X, "&lt;"&amp;$M$3)&gt;0), "V", "")</f>
        <v/>
      </c>
      <c r="E31" s="146" t="str">
        <f>IF(AND(C31&lt;&gt;"V",D31&lt;&gt;"V", COUNTIFS(IM!$F:$F, A31, IM!$AD:$AD, "O", IM!$X:$X, "&gt;="&amp;$M$3, IM!$X:$X, "&lt;"&amp;$N$3)&gt;0), "V", "")</f>
        <v/>
      </c>
      <c r="F31" s="116" t="str">
        <f>IF(VLOOKUP(A31,門市總表!A:F,6,FALSE)="新開","新開不保養",
IF(VLOOKUP(A31,門市總表!A:F,6,FALSE)="撤店","閉店不保養",IF(VLOOKUP(A31,門市總表!A:F,6,FALSE)="非當季","非當季",IF(VLOOKUP(A31,門市總表!A:F,6,FALSE)="跨季補單","跨季補單",
IF(COUNTBLANK(C31:E31)=3,"未保養","")
))))</f>
        <v>未保養</v>
      </c>
      <c r="G31" s="116" t="str">
        <f>IF(COUNTIFS('0919門市清單主檔'!C:C,B31,'0919門市清單主檔'!AF:AF,$H$3)=1,
    IF(COUNTIFS(IM!F:F,A31,IM!AC:AC,"*"&amp;$H$3&amp;"*") + COUNTIFS('0919門市清單主檔'!C:C,B31,'0919門市清單主檔'!AF:AF,$H$3) &gt; 1,
       "V","未完工"),"-")</f>
        <v>-</v>
      </c>
      <c r="H31" s="253" t="str">
        <f>IF(COUNTIFS('0919門市清單主檔'!C:C,B31,'0919門市清單主檔'!AG:AG,$H$4)=1,
    IF(COUNTIFS(IM!F:F,A31,IM!AC:AC,"*"&amp;$H$4&amp;"*") + COUNTIFS('0919門市清單主檔'!C:C,B31,'0919門市清單主檔'!AG:AG,$H$4) &gt; 1,
       "V","未完工"),"-")</f>
        <v>未完工</v>
      </c>
      <c r="I31" s="253" t="str">
        <f>IF(COUNTIFS('0919門市清單主檔'!C:C,B31,'0919門市清單主檔'!AH:AH,$H$5)=1,
    IF(COUNTIFS(IM!F:F,A31,IM!AC:AC,"*"&amp;$H$5&amp;"*") + COUNTIFS('0919門市清單主檔'!C:C,B31,'0919門市清單主檔'!AH:AH,$H$5) &gt; 1,
       "V","未完工"),"-")</f>
        <v>未完工</v>
      </c>
      <c r="J31" s="253" t="str">
        <f>IF(
    COUNTIFS('0919門市清單主檔'!C:C,B31,'0919門市清單主檔'!AC:AC,$H$2)=1,
    IF(
        COUNTIFS(
            IM!F:F,A31,
            IM!AC:AC,"*"&amp;$H$2&amp;"*",
            IM!X:X,"&gt;="&amp;$M$1,
            IM!X:X,"&lt;="&amp;$M$3
        )
        + COUNTIFS('0919門市清單主檔'!C:C,B31,'0919門市清單主檔'!AC:AC,$H$2)
        &gt;1,
        "V",
        "未完工"
    ),
    "-"
)</f>
        <v>-</v>
      </c>
      <c r="K31" s="122">
        <v>45841</v>
      </c>
      <c r="L31" s="116" t="str">
        <f>VLOOKUP(A31,'0919門市清單主檔'!B:V,21,FALSE)</f>
        <v>龜山區</v>
      </c>
      <c r="M31" t="str">
        <f>VLOOKUP(A31,門市總表!A:B,2,FALSE)</f>
        <v>蘆竹南山店</v>
      </c>
      <c r="Q31" s="115" t="s">
        <v>4951</v>
      </c>
      <c r="R31" s="120" t="s">
        <v>4952</v>
      </c>
    </row>
    <row r="32" spans="1:18" ht="19.5" customHeight="1">
      <c r="A32" s="116">
        <v>2566</v>
      </c>
      <c r="B32" s="116" t="str">
        <f>VLOOKUP(A32,門市總表!A:B,2,FALSE)</f>
        <v>桃縣桃旺店</v>
      </c>
      <c r="C32" s="146" t="str">
        <f>IF(COUNTIFS(IM!$F:$F,A32,IM!$AD:$AD,"O",IM!$X:$X,"&gt;="&amp;$M$1, IM!$X:$X,"&lt;"&amp;$M$2)&gt;0,"V","")</f>
        <v/>
      </c>
      <c r="D32" s="146" t="str">
        <f>IF(AND(C32&lt;&gt;"V", COUNTIFS(IM!$F:$F,A32, IM!$AD:$AD, "O", IM!$X:$X, "&gt;="&amp;$M$2, IM!$X:$X, "&lt;"&amp;$M$3)&gt;0), "V", "")</f>
        <v/>
      </c>
      <c r="E32" s="146" t="str">
        <f>IF(AND(C32&lt;&gt;"V",D32&lt;&gt;"V", COUNTIFS(IM!$F:$F, A32, IM!$AD:$AD, "O", IM!$X:$X, "&gt;="&amp;$M$3, IM!$X:$X, "&lt;"&amp;$N$3)&gt;0), "V", "")</f>
        <v/>
      </c>
      <c r="F32" s="116" t="str">
        <f>IF(VLOOKUP(A32,門市總表!A:F,6,FALSE)="新開","新開不保養",
IF(VLOOKUP(A32,門市總表!A:F,6,FALSE)="撤店","閉店不保養",IF(VLOOKUP(A32,門市總表!A:F,6,FALSE)="非當季","非當季",IF(VLOOKUP(A32,門市總表!A:F,6,FALSE)="跨季補單","跨季補單",
IF(COUNTBLANK(C32:E32)=3,"未保養","")
))))</f>
        <v>未保養</v>
      </c>
      <c r="G32" s="116" t="str">
        <f>IF(COUNTIFS('0919門市清單主檔'!C:C,B32,'0919門市清單主檔'!AF:AF,$H$3)=1,
    IF(COUNTIFS(IM!F:F,A32,IM!AC:AC,"*"&amp;$H$3&amp;"*") + COUNTIFS('0919門市清單主檔'!C:C,B32,'0919門市清單主檔'!AF:AF,$H$3) &gt; 1,
       "V","未完工"),"-")</f>
        <v>-</v>
      </c>
      <c r="H32" s="253" t="str">
        <f>IF(COUNTIFS('0919門市清單主檔'!C:C,B32,'0919門市清單主檔'!AG:AG,$H$4)=1,
    IF(COUNTIFS(IM!F:F,A32,IM!AC:AC,"*"&amp;$H$4&amp;"*") + COUNTIFS('0919門市清單主檔'!C:C,B32,'0919門市清單主檔'!AG:AG,$H$4) &gt; 1,
       "V","未完工"),"-")</f>
        <v>未完工</v>
      </c>
      <c r="I32" s="253" t="str">
        <f>IF(COUNTIFS('0919門市清單主檔'!C:C,B32,'0919門市清單主檔'!AH:AH,$H$5)=1,
    IF(COUNTIFS(IM!F:F,A32,IM!AC:AC,"*"&amp;$H$5&amp;"*") + COUNTIFS('0919門市清單主檔'!C:C,B32,'0919門市清單主檔'!AH:AH,$H$5) &gt; 1,
       "V","未完工"),"-")</f>
        <v>-</v>
      </c>
      <c r="J32" s="253" t="str">
        <f>IF(
    COUNTIFS('0919門市清單主檔'!C:C,B32,'0919門市清單主檔'!AC:AC,$H$2)=1,
    IF(
        COUNTIFS(
            IM!F:F,A32,
            IM!AC:AC,"*"&amp;$H$2&amp;"*",
            IM!X:X,"&gt;="&amp;$M$1,
            IM!X:X,"&lt;="&amp;$M$3
        )
        + COUNTIFS('0919門市清單主檔'!C:C,B32,'0919門市清單主檔'!AC:AC,$H$2)
        &gt;1,
        "V",
        "未完工"
    ),
    "-"
)</f>
        <v>-</v>
      </c>
      <c r="K32" s="122">
        <v>45861</v>
      </c>
      <c r="L32" s="116" t="str">
        <f>VLOOKUP(A32,'0919門市清單主檔'!B:V,21,FALSE)</f>
        <v>龜山區</v>
      </c>
      <c r="M32" t="str">
        <f>VLOOKUP(A32,門市總表!A:B,2,FALSE)</f>
        <v>桃縣桃旺店</v>
      </c>
      <c r="Q32" s="115"/>
      <c r="R32" s="120" t="s">
        <v>4952</v>
      </c>
    </row>
    <row r="33" spans="1:18" ht="19.5" customHeight="1">
      <c r="A33" s="116">
        <v>2620</v>
      </c>
      <c r="B33" s="116" t="str">
        <f>VLOOKUP(A33,門市總表!A:B,2,FALSE)</f>
        <v>桃縣桃科店</v>
      </c>
      <c r="C33" s="146" t="str">
        <f>IF(COUNTIFS(IM!$F:$F,A33,IM!$AD:$AD,"O",IM!$X:$X,"&gt;="&amp;$M$1, IM!$X:$X,"&lt;"&amp;$M$2)&gt;0,"V","")</f>
        <v/>
      </c>
      <c r="D33" s="146" t="str">
        <f>IF(AND(C33&lt;&gt;"V", COUNTIFS(IM!$F:$F,A33, IM!$AD:$AD, "O", IM!$X:$X, "&gt;="&amp;$M$2, IM!$X:$X, "&lt;"&amp;$M$3)&gt;0), "V", "")</f>
        <v/>
      </c>
      <c r="E33" s="146" t="str">
        <f>IF(AND(C33&lt;&gt;"V",D33&lt;&gt;"V", COUNTIFS(IM!$F:$F, A33, IM!$AD:$AD, "O", IM!$X:$X, "&gt;="&amp;$M$3, IM!$X:$X, "&lt;"&amp;$N$3)&gt;0), "V", "")</f>
        <v/>
      </c>
      <c r="F33" s="116" t="str">
        <f>IF(VLOOKUP(A33,門市總表!A:F,6,FALSE)="新開","新開不保養",
IF(VLOOKUP(A33,門市總表!A:F,6,FALSE)="撤店","閉店不保養",IF(VLOOKUP(A33,門市總表!A:F,6,FALSE)="非當季","非當季",IF(VLOOKUP(A33,門市總表!A:F,6,FALSE)="跨季補單","跨季補單",
IF(COUNTBLANK(C33:E33)=3,"未保養","")
))))</f>
        <v>未保養</v>
      </c>
      <c r="G33" s="116" t="str">
        <f>IF(COUNTIFS('0919門市清單主檔'!C:C,B33,'0919門市清單主檔'!AF:AF,$H$3)=1,
    IF(COUNTIFS(IM!F:F,A33,IM!AC:AC,"*"&amp;$H$3&amp;"*") + COUNTIFS('0919門市清單主檔'!C:C,B33,'0919門市清單主檔'!AF:AF,$H$3) &gt; 1,
       "V","未完工"),"-")</f>
        <v>-</v>
      </c>
      <c r="H33" s="253" t="str">
        <f>IF(COUNTIFS('0919門市清單主檔'!C:C,B33,'0919門市清單主檔'!AG:AG,$H$4)=1,
    IF(COUNTIFS(IM!F:F,A33,IM!AC:AC,"*"&amp;$H$4&amp;"*") + COUNTIFS('0919門市清單主檔'!C:C,B33,'0919門市清單主檔'!AG:AG,$H$4) &gt; 1,
       "V","未完工"),"-")</f>
        <v>未完工</v>
      </c>
      <c r="I33" s="253" t="str">
        <f>IF(COUNTIFS('0919門市清單主檔'!C:C,B33,'0919門市清單主檔'!AH:AH,$H$5)=1,
    IF(COUNTIFS(IM!F:F,A33,IM!AC:AC,"*"&amp;$H$5&amp;"*") + COUNTIFS('0919門市清單主檔'!C:C,B33,'0919門市清單主檔'!AH:AH,$H$5) &gt; 1,
       "V","未完工"),"-")</f>
        <v>未完工</v>
      </c>
      <c r="J33" s="253" t="str">
        <f>IF(
    COUNTIFS('0919門市清單主檔'!C:C,B33,'0919門市清單主檔'!AC:AC,$H$2)=1,
    IF(
        COUNTIFS(
            IM!F:F,A33,
            IM!AC:AC,"*"&amp;$H$2&amp;"*",
            IM!X:X,"&gt;="&amp;$M$1,
            IM!X:X,"&lt;="&amp;$M$3
        )
        + COUNTIFS('0919門市清單主檔'!C:C,B33,'0919門市清單主檔'!AC:AC,$H$2)
        &gt;1,
        "V",
        "未完工"
    ),
    "-"
)</f>
        <v>-</v>
      </c>
      <c r="K33" s="122">
        <v>45842</v>
      </c>
      <c r="L33" s="116" t="str">
        <f>VLOOKUP(A33,'0919門市清單主檔'!B:V,21,FALSE)</f>
        <v>龜山區</v>
      </c>
      <c r="M33" t="str">
        <f>VLOOKUP(A33,門市總表!A:B,2,FALSE)</f>
        <v>桃縣桃科店</v>
      </c>
      <c r="Q33" s="115" t="s">
        <v>4951</v>
      </c>
      <c r="R33" s="120" t="s">
        <v>4952</v>
      </c>
    </row>
    <row r="34" spans="1:18" ht="19.5" customHeight="1">
      <c r="A34" s="116">
        <v>2622</v>
      </c>
      <c r="B34" s="116" t="str">
        <f>VLOOKUP(A34,門市總表!A:B,2,FALSE)</f>
        <v>蘆竹君悅店</v>
      </c>
      <c r="C34" s="146" t="str">
        <f>IF(COUNTIFS(IM!$F:$F,A34,IM!$AD:$AD,"O",IM!$X:$X,"&gt;="&amp;$M$1, IM!$X:$X,"&lt;"&amp;$M$2)&gt;0,"V","")</f>
        <v/>
      </c>
      <c r="D34" s="146" t="str">
        <f>IF(AND(C34&lt;&gt;"V", COUNTIFS(IM!$F:$F,A34, IM!$AD:$AD, "O", IM!$X:$X, "&gt;="&amp;$M$2, IM!$X:$X, "&lt;"&amp;$M$3)&gt;0), "V", "")</f>
        <v/>
      </c>
      <c r="E34" s="146" t="str">
        <f>IF(AND(C34&lt;&gt;"V",D34&lt;&gt;"V", COUNTIFS(IM!$F:$F, A34, IM!$AD:$AD, "O", IM!$X:$X, "&gt;="&amp;$M$3, IM!$X:$X, "&lt;"&amp;$N$3)&gt;0), "V", "")</f>
        <v/>
      </c>
      <c r="F34" s="116" t="str">
        <f>IF(VLOOKUP(A34,門市總表!A:F,6,FALSE)="新開","新開不保養",
IF(VLOOKUP(A34,門市總表!A:F,6,FALSE)="撤店","閉店不保養",IF(VLOOKUP(A34,門市總表!A:F,6,FALSE)="非當季","非當季",IF(VLOOKUP(A34,門市總表!A:F,6,FALSE)="跨季補單","跨季補單",
IF(COUNTBLANK(C34:E34)=3,"未保養","")
))))</f>
        <v>未保養</v>
      </c>
      <c r="G34" s="116" t="str">
        <f>IF(COUNTIFS('0919門市清單主檔'!C:C,B34,'0919門市清單主檔'!AF:AF,$H$3)=1,
    IF(COUNTIFS(IM!F:F,A34,IM!AC:AC,"*"&amp;$H$3&amp;"*") + COUNTIFS('0919門市清單主檔'!C:C,B34,'0919門市清單主檔'!AF:AF,$H$3) &gt; 1,
       "V","未完工"),"-")</f>
        <v>-</v>
      </c>
      <c r="H34" s="253" t="str">
        <f>IF(COUNTIFS('0919門市清單主檔'!C:C,B34,'0919門市清單主檔'!AG:AG,$H$4)=1,
    IF(COUNTIFS(IM!F:F,A34,IM!AC:AC,"*"&amp;$H$4&amp;"*") + COUNTIFS('0919門市清單主檔'!C:C,B34,'0919門市清單主檔'!AG:AG,$H$4) &gt; 1,
       "V","未完工"),"-")</f>
        <v>未完工</v>
      </c>
      <c r="I34" s="253" t="str">
        <f>IF(COUNTIFS('0919門市清單主檔'!C:C,B34,'0919門市清單主檔'!AH:AH,$H$5)=1,
    IF(COUNTIFS(IM!F:F,A34,IM!AC:AC,"*"&amp;$H$5&amp;"*") + COUNTIFS('0919門市清單主檔'!C:C,B34,'0919門市清單主檔'!AH:AH,$H$5) &gt; 1,
       "V","未完工"),"-")</f>
        <v>-</v>
      </c>
      <c r="J34" s="253" t="str">
        <f>IF(
    COUNTIFS('0919門市清單主檔'!C:C,B34,'0919門市清單主檔'!AC:AC,$H$2)=1,
    IF(
        COUNTIFS(
            IM!F:F,A34,
            IM!AC:AC,"*"&amp;$H$2&amp;"*",
            IM!X:X,"&gt;="&amp;$M$1,
            IM!X:X,"&lt;="&amp;$M$3
        )
        + COUNTIFS('0919門市清單主檔'!C:C,B34,'0919門市清單主檔'!AC:AC,$H$2)
        &gt;1,
        "V",
        "未完工"
    ),
    "-"
)</f>
        <v>-</v>
      </c>
      <c r="K34" s="122">
        <v>45902</v>
      </c>
      <c r="L34" s="116" t="str">
        <f>VLOOKUP(A34,'0919門市清單主檔'!B:V,21,FALSE)</f>
        <v>龜山區</v>
      </c>
      <c r="M34" t="str">
        <f>VLOOKUP(A34,門市總表!A:B,2,FALSE)</f>
        <v>蘆竹君悅店</v>
      </c>
      <c r="Q34" s="115" t="s">
        <v>4951</v>
      </c>
      <c r="R34" s="115"/>
    </row>
    <row r="35" spans="1:18" ht="19.5" customHeight="1">
      <c r="A35" s="116">
        <v>2988</v>
      </c>
      <c r="B35" s="116" t="str">
        <f>VLOOKUP(A35,門市總表!A:B,2,FALSE)</f>
        <v>蘆竹蘆興店</v>
      </c>
      <c r="C35" s="146" t="str">
        <f>IF(COUNTIFS(IM!$F:$F,A35,IM!$AD:$AD,"O",IM!$X:$X,"&gt;="&amp;$M$1, IM!$X:$X,"&lt;"&amp;$M$2)&gt;0,"V","")</f>
        <v/>
      </c>
      <c r="D35" s="146" t="str">
        <f>IF(AND(C35&lt;&gt;"V", COUNTIFS(IM!$F:$F,A35, IM!$AD:$AD, "O", IM!$X:$X, "&gt;="&amp;$M$2, IM!$X:$X, "&lt;"&amp;$M$3)&gt;0), "V", "")</f>
        <v/>
      </c>
      <c r="E35" s="146" t="str">
        <f>IF(AND(C35&lt;&gt;"V",D35&lt;&gt;"V", COUNTIFS(IM!$F:$F, A35, IM!$AD:$AD, "O", IM!$X:$X, "&gt;="&amp;$M$3, IM!$X:$X, "&lt;"&amp;$N$3)&gt;0), "V", "")</f>
        <v/>
      </c>
      <c r="F35" s="116" t="str">
        <f>IF(VLOOKUP(A35,門市總表!A:F,6,FALSE)="新開","新開不保養",
IF(VLOOKUP(A35,門市總表!A:F,6,FALSE)="撤店","閉店不保養",IF(VLOOKUP(A35,門市總表!A:F,6,FALSE)="非當季","非當季",IF(VLOOKUP(A35,門市總表!A:F,6,FALSE)="跨季補單","跨季補單",
IF(COUNTBLANK(C35:E35)=3,"未保養","")
))))</f>
        <v>未保養</v>
      </c>
      <c r="G35" s="116" t="str">
        <f>IF(COUNTIFS('0919門市清單主檔'!C:C,B35,'0919門市清單主檔'!AF:AF,$H$3)=1,
    IF(COUNTIFS(IM!F:F,A35,IM!AC:AC,"*"&amp;$H$3&amp;"*") + COUNTIFS('0919門市清單主檔'!C:C,B35,'0919門市清單主檔'!AF:AF,$H$3) &gt; 1,
       "V","未完工"),"-")</f>
        <v>-</v>
      </c>
      <c r="H35" s="253" t="str">
        <f>IF(COUNTIFS('0919門市清單主檔'!C:C,B35,'0919門市清單主檔'!AG:AG,$H$4)=1,
    IF(COUNTIFS(IM!F:F,A35,IM!AC:AC,"*"&amp;$H$4&amp;"*") + COUNTIFS('0919門市清單主檔'!C:C,B35,'0919門市清單主檔'!AG:AG,$H$4) &gt; 1,
       "V","未完工"),"-")</f>
        <v>未完工</v>
      </c>
      <c r="I35" s="253" t="str">
        <f>IF(COUNTIFS('0919門市清單主檔'!C:C,B35,'0919門市清單主檔'!AH:AH,$H$5)=1,
    IF(COUNTIFS(IM!F:F,A35,IM!AC:AC,"*"&amp;$H$5&amp;"*") + COUNTIFS('0919門市清單主檔'!C:C,B35,'0919門市清單主檔'!AH:AH,$H$5) &gt; 1,
       "V","未完工"),"-")</f>
        <v>未完工</v>
      </c>
      <c r="J35" s="253" t="str">
        <f>IF(
    COUNTIFS('0919門市清單主檔'!C:C,B35,'0919門市清單主檔'!AC:AC,$H$2)=1,
    IF(
        COUNTIFS(
            IM!F:F,A35,
            IM!AC:AC,"*"&amp;$H$2&amp;"*",
            IM!X:X,"&gt;="&amp;$M$1,
            IM!X:X,"&lt;="&amp;$M$3
        )
        + COUNTIFS('0919門市清單主檔'!C:C,B35,'0919門市清單主檔'!AC:AC,$H$2)
        &gt;1,
        "V",
        "未完工"
    ),
    "-"
)</f>
        <v>-</v>
      </c>
      <c r="K35" s="122">
        <v>45846</v>
      </c>
      <c r="L35" s="116" t="str">
        <f>VLOOKUP(A35,'0919門市清單主檔'!B:V,21,FALSE)</f>
        <v>龜山區</v>
      </c>
      <c r="M35" t="str">
        <f>VLOOKUP(A35,門市總表!A:B,2,FALSE)</f>
        <v>蘆竹蘆興店</v>
      </c>
      <c r="Q35" s="115" t="s">
        <v>4951</v>
      </c>
      <c r="R35" s="115"/>
    </row>
    <row r="36" spans="1:18" ht="21.6" customHeight="1">
      <c r="A36" s="116">
        <v>3045</v>
      </c>
      <c r="B36" s="116" t="str">
        <f>VLOOKUP(A36,門市總表!A:B,2,FALSE)</f>
        <v>桃縣桃楚店</v>
      </c>
      <c r="C36" s="146" t="str">
        <f>IF(COUNTIFS(IM!$F:$F,A36,IM!$AD:$AD,"O",IM!$X:$X,"&gt;="&amp;$M$1, IM!$X:$X,"&lt;"&amp;$M$2)&gt;0,"V","")</f>
        <v/>
      </c>
      <c r="D36" s="146" t="str">
        <f>IF(AND(C36&lt;&gt;"V", COUNTIFS(IM!$F:$F,A36, IM!$AD:$AD, "O", IM!$X:$X, "&gt;="&amp;$M$2, IM!$X:$X, "&lt;"&amp;$M$3)&gt;0), "V", "")</f>
        <v/>
      </c>
      <c r="E36" s="146" t="str">
        <f>IF(AND(C36&lt;&gt;"V",D36&lt;&gt;"V", COUNTIFS(IM!$F:$F, A36, IM!$AD:$AD, "O", IM!$X:$X, "&gt;="&amp;$M$3, IM!$X:$X, "&lt;"&amp;$N$3)&gt;0), "V", "")</f>
        <v/>
      </c>
      <c r="F36" s="116" t="str">
        <f>IF(VLOOKUP(A36,門市總表!A:F,6,FALSE)="新開","新開不保養",
IF(VLOOKUP(A36,門市總表!A:F,6,FALSE)="撤店","閉店不保養",IF(VLOOKUP(A36,門市總表!A:F,6,FALSE)="非當季","非當季",IF(VLOOKUP(A36,門市總表!A:F,6,FALSE)="跨季補單","跨季補單",
IF(COUNTBLANK(C36:E36)=3,"未保養","")
))))</f>
        <v>未保養</v>
      </c>
      <c r="G36" s="116" t="str">
        <f>IF(COUNTIFS('0919門市清單主檔'!C:C,B36,'0919門市清單主檔'!AF:AF,$H$3)=1,
    IF(COUNTIFS(IM!F:F,A36,IM!AC:AC,"*"&amp;$H$3&amp;"*") + COUNTIFS('0919門市清單主檔'!C:C,B36,'0919門市清單主檔'!AF:AF,$H$3) &gt; 1,
       "V","未完工"),"-")</f>
        <v>-</v>
      </c>
      <c r="H36" s="253" t="str">
        <f>IF(COUNTIFS('0919門市清單主檔'!C:C,B36,'0919門市清單主檔'!AG:AG,$H$4)=1,
    IF(COUNTIFS(IM!F:F,A36,IM!AC:AC,"*"&amp;$H$4&amp;"*") + COUNTIFS('0919門市清單主檔'!C:C,B36,'0919門市清單主檔'!AG:AG,$H$4) &gt; 1,
       "V","未完工"),"-")</f>
        <v>未完工</v>
      </c>
      <c r="I36" s="253" t="str">
        <f>IF(COUNTIFS('0919門市清單主檔'!C:C,B36,'0919門市清單主檔'!AH:AH,$H$5)=1,
    IF(COUNTIFS(IM!F:F,A36,IM!AC:AC,"*"&amp;$H$5&amp;"*") + COUNTIFS('0919門市清單主檔'!C:C,B36,'0919門市清單主檔'!AH:AH,$H$5) &gt; 1,
       "V","未完工"),"-")</f>
        <v>未完工</v>
      </c>
      <c r="J36" s="253" t="str">
        <f>IF(
    COUNTIFS('0919門市清單主檔'!C:C,B36,'0919門市清單主檔'!AC:AC,$H$2)=1,
    IF(
        COUNTIFS(
            IM!F:F,A36,
            IM!AC:AC,"*"&amp;$H$2&amp;"*",
            IM!X:X,"&gt;="&amp;$M$1,
            IM!X:X,"&lt;="&amp;$M$3
        )
        + COUNTIFS('0919門市清單主檔'!C:C,B36,'0919門市清單主檔'!AC:AC,$H$2)
        &gt;1,
        "V",
        "未完工"
    ),
    "-"
)</f>
        <v>-</v>
      </c>
      <c r="K36" s="122">
        <v>45923</v>
      </c>
      <c r="L36" s="116" t="str">
        <f>VLOOKUP(A36,'0919門市清單主檔'!B:V,21,FALSE)</f>
        <v>龜山區</v>
      </c>
      <c r="M36" t="str">
        <f>VLOOKUP(A36,門市總表!A:B,2,FALSE)</f>
        <v>桃縣桃楚店</v>
      </c>
      <c r="Q36" s="115" t="s">
        <v>4951</v>
      </c>
      <c r="R36" s="115"/>
    </row>
    <row r="37" spans="1:18" ht="21.6" customHeight="1">
      <c r="A37" s="116">
        <v>3556</v>
      </c>
      <c r="B37" s="116" t="str">
        <f>VLOOKUP(A37,門市總表!A:B,2,FALSE)</f>
        <v>桃縣蘆華店</v>
      </c>
      <c r="C37" s="146" t="str">
        <f>IF(COUNTIFS(IM!$F:$F,A37,IM!$AD:$AD,"O",IM!$X:$X,"&gt;="&amp;$M$1, IM!$X:$X,"&lt;"&amp;$M$2)&gt;0,"V","")</f>
        <v/>
      </c>
      <c r="D37" s="146" t="str">
        <f>IF(AND(C37&lt;&gt;"V", COUNTIFS(IM!$F:$F,A37, IM!$AD:$AD, "O", IM!$X:$X, "&gt;="&amp;$M$2, IM!$X:$X, "&lt;"&amp;$M$3)&gt;0), "V", "")</f>
        <v/>
      </c>
      <c r="E37" s="146" t="str">
        <f>IF(AND(C37&lt;&gt;"V",D37&lt;&gt;"V", COUNTIFS(IM!$F:$F, A37, IM!$AD:$AD, "O", IM!$X:$X, "&gt;="&amp;$M$3, IM!$X:$X, "&lt;"&amp;$N$3)&gt;0), "V", "")</f>
        <v/>
      </c>
      <c r="F37" s="116" t="str">
        <f>IF(VLOOKUP(A37,門市總表!A:F,6,FALSE)="新開","新開不保養",
IF(VLOOKUP(A37,門市總表!A:F,6,FALSE)="撤店","閉店不保養",IF(VLOOKUP(A37,門市總表!A:F,6,FALSE)="非當季","非當季",IF(VLOOKUP(A37,門市總表!A:F,6,FALSE)="跨季補單","跨季補單",
IF(COUNTBLANK(C37:E37)=3,"未保養","")
))))</f>
        <v>未保養</v>
      </c>
      <c r="G37" s="116" t="str">
        <f>IF(COUNTIFS('0919門市清單主檔'!C:C,B37,'0919門市清單主檔'!AF:AF,$H$3)=1,
    IF(COUNTIFS(IM!F:F,A37,IM!AC:AC,"*"&amp;$H$3&amp;"*") + COUNTIFS('0919門市清單主檔'!C:C,B37,'0919門市清單主檔'!AF:AF,$H$3) &gt; 1,
       "V","未完工"),"-")</f>
        <v>-</v>
      </c>
      <c r="H37" s="253" t="str">
        <f>IF(COUNTIFS('0919門市清單主檔'!C:C,B37,'0919門市清單主檔'!AG:AG,$H$4)=1,
    IF(COUNTIFS(IM!F:F,A37,IM!AC:AC,"*"&amp;$H$4&amp;"*") + COUNTIFS('0919門市清單主檔'!C:C,B37,'0919門市清單主檔'!AG:AG,$H$4) &gt; 1,
       "V","未完工"),"-")</f>
        <v>未完工</v>
      </c>
      <c r="I37" s="253" t="str">
        <f>IF(COUNTIFS('0919門市清單主檔'!C:C,B37,'0919門市清單主檔'!AH:AH,$H$5)=1,
    IF(COUNTIFS(IM!F:F,A37,IM!AC:AC,"*"&amp;$H$5&amp;"*") + COUNTIFS('0919門市清單主檔'!C:C,B37,'0919門市清單主檔'!AH:AH,$H$5) &gt; 1,
       "V","未完工"),"-")</f>
        <v>未完工</v>
      </c>
      <c r="J37" s="253" t="str">
        <f>IF(
    COUNTIFS('0919門市清單主檔'!C:C,B37,'0919門市清單主檔'!AC:AC,$H$2)=1,
    IF(
        COUNTIFS(
            IM!F:F,A37,
            IM!AC:AC,"*"&amp;$H$2&amp;"*",
            IM!X:X,"&gt;="&amp;$M$1,
            IM!X:X,"&lt;="&amp;$M$3
        )
        + COUNTIFS('0919門市清單主檔'!C:C,B37,'0919門市清單主檔'!AC:AC,$H$2)
        &gt;1,
        "V",
        "未完工"
    ),
    "-"
)</f>
        <v>-</v>
      </c>
      <c r="K37" s="122">
        <v>45860</v>
      </c>
      <c r="L37" s="116" t="str">
        <f>VLOOKUP(A37,'0919門市清單主檔'!B:V,21,FALSE)</f>
        <v>龜山區</v>
      </c>
      <c r="M37" t="str">
        <f>VLOOKUP(A37,門市總表!A:B,2,FALSE)</f>
        <v>桃縣蘆華店</v>
      </c>
      <c r="Q37" s="115" t="s">
        <v>4951</v>
      </c>
      <c r="R37" s="120" t="s">
        <v>4952</v>
      </c>
    </row>
    <row r="38" spans="1:18" ht="21.6" customHeight="1">
      <c r="A38" s="116">
        <v>3880</v>
      </c>
      <c r="B38" s="116" t="str">
        <f>VLOOKUP(A38,門市總表!A:B,2,FALSE)</f>
        <v>桃縣富竹店</v>
      </c>
      <c r="C38" s="146" t="str">
        <f>IF(COUNTIFS(IM!$F:$F,A38,IM!$AD:$AD,"O",IM!$X:$X,"&gt;="&amp;$M$1, IM!$X:$X,"&lt;"&amp;$M$2)&gt;0,"V","")</f>
        <v/>
      </c>
      <c r="D38" s="146" t="str">
        <f>IF(AND(C38&lt;&gt;"V", COUNTIFS(IM!$F:$F,A38, IM!$AD:$AD, "O", IM!$X:$X, "&gt;="&amp;$M$2, IM!$X:$X, "&lt;"&amp;$M$3)&gt;0), "V", "")</f>
        <v/>
      </c>
      <c r="E38" s="146" t="str">
        <f>IF(AND(C38&lt;&gt;"V",D38&lt;&gt;"V", COUNTIFS(IM!$F:$F, A38, IM!$AD:$AD, "O", IM!$X:$X, "&gt;="&amp;$M$3, IM!$X:$X, "&lt;"&amp;$N$3)&gt;0), "V", "")</f>
        <v/>
      </c>
      <c r="F38" s="116" t="str">
        <f>IF(VLOOKUP(A38,門市總表!A:F,6,FALSE)="新開","新開不保養",
IF(VLOOKUP(A38,門市總表!A:F,6,FALSE)="撤店","閉店不保養",IF(VLOOKUP(A38,門市總表!A:F,6,FALSE)="非當季","非當季",IF(VLOOKUP(A38,門市總表!A:F,6,FALSE)="跨季補單","跨季補單",
IF(COUNTBLANK(C38:E38)=3,"未保養","")
))))</f>
        <v>未保養</v>
      </c>
      <c r="G38" s="116" t="str">
        <f>IF(COUNTIFS('0919門市清單主檔'!C:C,B38,'0919門市清單主檔'!AF:AF,$H$3)=1,
    IF(COUNTIFS(IM!F:F,A38,IM!AC:AC,"*"&amp;$H$3&amp;"*") + COUNTIFS('0919門市清單主檔'!C:C,B38,'0919門市清單主檔'!AF:AF,$H$3) &gt; 1,
       "V","未完工"),"-")</f>
        <v>-</v>
      </c>
      <c r="H38" s="253" t="str">
        <f>IF(COUNTIFS('0919門市清單主檔'!C:C,B38,'0919門市清單主檔'!AG:AG,$H$4)=1,
    IF(COUNTIFS(IM!F:F,A38,IM!AC:AC,"*"&amp;$H$4&amp;"*") + COUNTIFS('0919門市清單主檔'!C:C,B38,'0919門市清單主檔'!AG:AG,$H$4) &gt; 1,
       "V","未完工"),"-")</f>
        <v>未完工</v>
      </c>
      <c r="I38" s="253" t="str">
        <f>IF(COUNTIFS('0919門市清單主檔'!C:C,B38,'0919門市清單主檔'!AH:AH,$H$5)=1,
    IF(COUNTIFS(IM!F:F,A38,IM!AC:AC,"*"&amp;$H$5&amp;"*") + COUNTIFS('0919門市清單主檔'!C:C,B38,'0919門市清單主檔'!AH:AH,$H$5) &gt; 1,
       "V","未完工"),"-")</f>
        <v>未完工</v>
      </c>
      <c r="J38" s="253" t="str">
        <f>IF(
    COUNTIFS('0919門市清單主檔'!C:C,B38,'0919門市清單主檔'!AC:AC,$H$2)=1,
    IF(
        COUNTIFS(
            IM!F:F,A38,
            IM!AC:AC,"*"&amp;$H$2&amp;"*",
            IM!X:X,"&gt;="&amp;$M$1,
            IM!X:X,"&lt;="&amp;$M$3
        )
        + COUNTIFS('0919門市清單主檔'!C:C,B38,'0919門市清單主檔'!AC:AC,$H$2)
        &gt;1,
        "V",
        "未完工"
    ),
    "-"
)</f>
        <v>-</v>
      </c>
      <c r="K38" s="122">
        <v>45860</v>
      </c>
      <c r="L38" s="116" t="str">
        <f>VLOOKUP(A38,'0919門市清單主檔'!B:V,21,FALSE)</f>
        <v>龜山區</v>
      </c>
      <c r="M38" t="str">
        <f>VLOOKUP(A38,門市總表!A:B,2,FALSE)</f>
        <v>桃縣富竹店</v>
      </c>
      <c r="Q38" s="115" t="s">
        <v>4951</v>
      </c>
      <c r="R38" s="120" t="s">
        <v>4952</v>
      </c>
    </row>
    <row r="39" spans="1:18" ht="21.6" customHeight="1">
      <c r="A39" s="116">
        <v>3881</v>
      </c>
      <c r="B39" s="116" t="str">
        <f>VLOOKUP(A39,門市總表!A:B,2,FALSE)</f>
        <v>蘆竹蘆東店</v>
      </c>
      <c r="C39" s="146" t="str">
        <f>IF(COUNTIFS(IM!$F:$F,A39,IM!$AD:$AD,"O",IM!$X:$X,"&gt;="&amp;$M$1, IM!$X:$X,"&lt;"&amp;$M$2)&gt;0,"V","")</f>
        <v/>
      </c>
      <c r="D39" s="146" t="str">
        <f>IF(AND(C39&lt;&gt;"V", COUNTIFS(IM!$F:$F,A39, IM!$AD:$AD, "O", IM!$X:$X, "&gt;="&amp;$M$2, IM!$X:$X, "&lt;"&amp;$M$3)&gt;0), "V", "")</f>
        <v/>
      </c>
      <c r="E39" s="146" t="str">
        <f>IF(AND(C39&lt;&gt;"V",D39&lt;&gt;"V", COUNTIFS(IM!$F:$F, A39, IM!$AD:$AD, "O", IM!$X:$X, "&gt;="&amp;$M$3, IM!$X:$X, "&lt;"&amp;$N$3)&gt;0), "V", "")</f>
        <v/>
      </c>
      <c r="F39" s="116" t="str">
        <f>IF(VLOOKUP(A39,門市總表!A:F,6,FALSE)="新開","新開不保養",
IF(VLOOKUP(A39,門市總表!A:F,6,FALSE)="撤店","閉店不保養",IF(VLOOKUP(A39,門市總表!A:F,6,FALSE)="非當季","非當季",IF(VLOOKUP(A39,門市總表!A:F,6,FALSE)="跨季補單","跨季補單",
IF(COUNTBLANK(C39:E39)=3,"未保養","")
))))</f>
        <v>未保養</v>
      </c>
      <c r="G39" s="116" t="str">
        <f>IF(COUNTIFS('0919門市清單主檔'!C:C,B39,'0919門市清單主檔'!AF:AF,$H$3)=1,
    IF(COUNTIFS(IM!F:F,A39,IM!AC:AC,"*"&amp;$H$3&amp;"*") + COUNTIFS('0919門市清單主檔'!C:C,B39,'0919門市清單主檔'!AF:AF,$H$3) &gt; 1,
       "V","未完工"),"-")</f>
        <v>-</v>
      </c>
      <c r="H39" s="253" t="str">
        <f>IF(COUNTIFS('0919門市清單主檔'!C:C,B39,'0919門市清單主檔'!AG:AG,$H$4)=1,
    IF(COUNTIFS(IM!F:F,A39,IM!AC:AC,"*"&amp;$H$4&amp;"*") + COUNTIFS('0919門市清單主檔'!C:C,B39,'0919門市清單主檔'!AG:AG,$H$4) &gt; 1,
       "V","未完工"),"-")</f>
        <v>未完工</v>
      </c>
      <c r="I39" s="253" t="str">
        <f>IF(COUNTIFS('0919門市清單主檔'!C:C,B39,'0919門市清單主檔'!AH:AH,$H$5)=1,
    IF(COUNTIFS(IM!F:F,A39,IM!AC:AC,"*"&amp;$H$5&amp;"*") + COUNTIFS('0919門市清單主檔'!C:C,B39,'0919門市清單主檔'!AH:AH,$H$5) &gt; 1,
       "V","未完工"),"-")</f>
        <v>未完工</v>
      </c>
      <c r="J39" s="253" t="str">
        <f>IF(
    COUNTIFS('0919門市清單主檔'!C:C,B39,'0919門市清單主檔'!AC:AC,$H$2)=1,
    IF(
        COUNTIFS(
            IM!F:F,A39,
            IM!AC:AC,"*"&amp;$H$2&amp;"*",
            IM!X:X,"&gt;="&amp;$M$1,
            IM!X:X,"&lt;="&amp;$M$3
        )
        + COUNTIFS('0919門市清單主檔'!C:C,B39,'0919門市清單主檔'!AC:AC,$H$2)
        &gt;1,
        "V",
        "未完工"
    ),
    "-"
)</f>
        <v>-</v>
      </c>
      <c r="K39" s="122">
        <v>45860</v>
      </c>
      <c r="L39" s="116" t="str">
        <f>VLOOKUP(A39,'0919門市清單主檔'!B:V,21,FALSE)</f>
        <v>龜山區</v>
      </c>
      <c r="M39" t="str">
        <f>VLOOKUP(A39,門市總表!A:B,2,FALSE)</f>
        <v>蘆竹蘆東店</v>
      </c>
      <c r="Q39" s="115"/>
      <c r="R39" s="120" t="s">
        <v>4952</v>
      </c>
    </row>
    <row r="40" spans="1:18" ht="21.6" customHeight="1">
      <c r="A40" s="116">
        <v>4272</v>
      </c>
      <c r="B40" s="116" t="str">
        <f>VLOOKUP(A40,門市總表!A:B,2,FALSE)</f>
        <v>蘆竹南福店</v>
      </c>
      <c r="C40" s="146" t="str">
        <f>IF(COUNTIFS(IM!$F:$F,A40,IM!$AD:$AD,"O",IM!$X:$X,"&gt;="&amp;$M$1, IM!$X:$X,"&lt;"&amp;$M$2)&gt;0,"V","")</f>
        <v/>
      </c>
      <c r="D40" s="146" t="str">
        <f>IF(AND(C40&lt;&gt;"V", COUNTIFS(IM!$F:$F,A40, IM!$AD:$AD, "O", IM!$X:$X, "&gt;="&amp;$M$2, IM!$X:$X, "&lt;"&amp;$M$3)&gt;0), "V", "")</f>
        <v/>
      </c>
      <c r="E40" s="146" t="str">
        <f>IF(AND(C40&lt;&gt;"V",D40&lt;&gt;"V", COUNTIFS(IM!$F:$F, A40, IM!$AD:$AD, "O", IM!$X:$X, "&gt;="&amp;$M$3, IM!$X:$X, "&lt;"&amp;$N$3)&gt;0), "V", "")</f>
        <v/>
      </c>
      <c r="F40" s="116" t="str">
        <f>IF(VLOOKUP(A40,門市總表!A:F,6,FALSE)="新開","新開不保養",
IF(VLOOKUP(A40,門市總表!A:F,6,FALSE)="撤店","閉店不保養",IF(VLOOKUP(A40,門市總表!A:F,6,FALSE)="非當季","非當季",IF(VLOOKUP(A40,門市總表!A:F,6,FALSE)="跨季補單","跨季補單",
IF(COUNTBLANK(C40:E40)=3,"未保養","")
))))</f>
        <v>未保養</v>
      </c>
      <c r="G40" s="116" t="str">
        <f>IF(COUNTIFS('0919門市清單主檔'!C:C,B40,'0919門市清單主檔'!AF:AF,$H$3)=1,
    IF(COUNTIFS(IM!F:F,A40,IM!AC:AC,"*"&amp;$H$3&amp;"*") + COUNTIFS('0919門市清單主檔'!C:C,B40,'0919門市清單主檔'!AF:AF,$H$3) &gt; 1,
       "V","未完工"),"-")</f>
        <v>-</v>
      </c>
      <c r="H40" s="253" t="str">
        <f>IF(COUNTIFS('0919門市清單主檔'!C:C,B40,'0919門市清單主檔'!AG:AG,$H$4)=1,
    IF(COUNTIFS(IM!F:F,A40,IM!AC:AC,"*"&amp;$H$4&amp;"*") + COUNTIFS('0919門市清單主檔'!C:C,B40,'0919門市清單主檔'!AG:AG,$H$4) &gt; 1,
       "V","未完工"),"-")</f>
        <v>未完工</v>
      </c>
      <c r="I40" s="253" t="str">
        <f>IF(COUNTIFS('0919門市清單主檔'!C:C,B40,'0919門市清單主檔'!AH:AH,$H$5)=1,
    IF(COUNTIFS(IM!F:F,A40,IM!AC:AC,"*"&amp;$H$5&amp;"*") + COUNTIFS('0919門市清單主檔'!C:C,B40,'0919門市清單主檔'!AH:AH,$H$5) &gt; 1,
       "V","未完工"),"-")</f>
        <v>-</v>
      </c>
      <c r="J40" s="253" t="str">
        <f>IF(
    COUNTIFS('0919門市清單主檔'!C:C,B40,'0919門市清單主檔'!AC:AC,$H$2)=1,
    IF(
        COUNTIFS(
            IM!F:F,A40,
            IM!AC:AC,"*"&amp;$H$2&amp;"*",
            IM!X:X,"&gt;="&amp;$M$1,
            IM!X:X,"&lt;="&amp;$M$3
        )
        + COUNTIFS('0919門市清單主檔'!C:C,B40,'0919門市清單主檔'!AC:AC,$H$2)
        &gt;1,
        "V",
        "未完工"
    ),
    "-"
)</f>
        <v>-</v>
      </c>
      <c r="K40" s="122">
        <v>45854</v>
      </c>
      <c r="L40" s="116" t="str">
        <f>VLOOKUP(A40,'0919門市清單主檔'!B:V,21,FALSE)</f>
        <v>龜山區</v>
      </c>
      <c r="M40" t="str">
        <f>VLOOKUP(A40,門市總表!A:B,2,FALSE)</f>
        <v>蘆竹南福店</v>
      </c>
      <c r="Q40" s="115"/>
      <c r="R40" s="120" t="s">
        <v>4952</v>
      </c>
    </row>
    <row r="41" spans="1:18" ht="21.6" customHeight="1">
      <c r="A41" s="116">
        <v>4289</v>
      </c>
      <c r="B41" s="116" t="str">
        <f>VLOOKUP(A41,門市總表!A:B,2,FALSE)</f>
        <v>蘆竹六股埤</v>
      </c>
      <c r="C41" s="146" t="str">
        <f>IF(COUNTIFS(IM!$F:$F,A41,IM!$AD:$AD,"O",IM!$X:$X,"&gt;="&amp;$M$1, IM!$X:$X,"&lt;"&amp;$M$2)&gt;0,"V","")</f>
        <v/>
      </c>
      <c r="D41" s="146" t="str">
        <f>IF(AND(C41&lt;&gt;"V", COUNTIFS(IM!$F:$F,A41, IM!$AD:$AD, "O", IM!$X:$X, "&gt;="&amp;$M$2, IM!$X:$X, "&lt;"&amp;$M$3)&gt;0), "V", "")</f>
        <v/>
      </c>
      <c r="E41" s="146" t="str">
        <f>IF(AND(C41&lt;&gt;"V",D41&lt;&gt;"V", COUNTIFS(IM!$F:$F, A41, IM!$AD:$AD, "O", IM!$X:$X, "&gt;="&amp;$M$3, IM!$X:$X, "&lt;"&amp;$N$3)&gt;0), "V", "")</f>
        <v/>
      </c>
      <c r="F41" s="116" t="str">
        <f>IF(VLOOKUP(A41,門市總表!A:F,6,FALSE)="新開","新開不保養",
IF(VLOOKUP(A41,門市總表!A:F,6,FALSE)="撤店","閉店不保養",IF(VLOOKUP(A41,門市總表!A:F,6,FALSE)="非當季","非當季",IF(VLOOKUP(A41,門市總表!A:F,6,FALSE)="跨季補單","跨季補單",
IF(COUNTBLANK(C41:E41)=3,"未保養","")
))))</f>
        <v>未保養</v>
      </c>
      <c r="G41" s="116" t="str">
        <f>IF(COUNTIFS('0919門市清單主檔'!C:C,B41,'0919門市清單主檔'!AF:AF,$H$3)=1,
    IF(COUNTIFS(IM!F:F,A41,IM!AC:AC,"*"&amp;$H$3&amp;"*") + COUNTIFS('0919門市清單主檔'!C:C,B41,'0919門市清單主檔'!AF:AF,$H$3) &gt; 1,
       "V","未完工"),"-")</f>
        <v>-</v>
      </c>
      <c r="H41" s="253" t="str">
        <f>IF(COUNTIFS('0919門市清單主檔'!C:C,B41,'0919門市清單主檔'!AG:AG,$H$4)=1,
    IF(COUNTIFS(IM!F:F,A41,IM!AC:AC,"*"&amp;$H$4&amp;"*") + COUNTIFS('0919門市清單主檔'!C:C,B41,'0919門市清單主檔'!AG:AG,$H$4) &gt; 1,
       "V","未完工"),"-")</f>
        <v>未完工</v>
      </c>
      <c r="I41" s="253" t="str">
        <f>IF(COUNTIFS('0919門市清單主檔'!C:C,B41,'0919門市清單主檔'!AH:AH,$H$5)=1,
    IF(COUNTIFS(IM!F:F,A41,IM!AC:AC,"*"&amp;$H$5&amp;"*") + COUNTIFS('0919門市清單主檔'!C:C,B41,'0919門市清單主檔'!AH:AH,$H$5) &gt; 1,
       "V","未完工"),"-")</f>
        <v>未完工</v>
      </c>
      <c r="J41" s="253" t="str">
        <f>IF(
    COUNTIFS('0919門市清單主檔'!C:C,B41,'0919門市清單主檔'!AC:AC,$H$2)=1,
    IF(
        COUNTIFS(
            IM!F:F,A41,
            IM!AC:AC,"*"&amp;$H$2&amp;"*",
            IM!X:X,"&gt;="&amp;$M$1,
            IM!X:X,"&lt;="&amp;$M$3
        )
        + COUNTIFS('0919門市清單主檔'!C:C,B41,'0919門市清單主檔'!AC:AC,$H$2)
        &gt;1,
        "V",
        "未完工"
    ),
    "-"
)</f>
        <v>-</v>
      </c>
      <c r="K41" s="122">
        <v>45840</v>
      </c>
      <c r="L41" s="116" t="str">
        <f>VLOOKUP(A41,'0919門市清單主檔'!B:V,21,FALSE)</f>
        <v>龜山區</v>
      </c>
      <c r="M41" t="str">
        <f>VLOOKUP(A41,門市總表!A:B,2,FALSE)</f>
        <v>蘆竹六股埤</v>
      </c>
      <c r="Q41" s="115" t="s">
        <v>4951</v>
      </c>
      <c r="R41" s="120" t="s">
        <v>4952</v>
      </c>
    </row>
    <row r="42" spans="1:18" ht="21.6" customHeight="1">
      <c r="A42" s="116">
        <v>4342</v>
      </c>
      <c r="B42" s="116" t="str">
        <f>VLOOKUP(A42,門市總表!A:B,2,FALSE)</f>
        <v>蘆竹南崁店</v>
      </c>
      <c r="C42" s="146" t="str">
        <f>IF(COUNTIFS(IM!$F:$F,A42,IM!$AD:$AD,"O",IM!$X:$X,"&gt;="&amp;$M$1, IM!$X:$X,"&lt;"&amp;$M$2)&gt;0,"V","")</f>
        <v/>
      </c>
      <c r="D42" s="146" t="str">
        <f>IF(AND(C42&lt;&gt;"V", COUNTIFS(IM!$F:$F,A42, IM!$AD:$AD, "O", IM!$X:$X, "&gt;="&amp;$M$2, IM!$X:$X, "&lt;"&amp;$M$3)&gt;0), "V", "")</f>
        <v/>
      </c>
      <c r="E42" s="146" t="str">
        <f>IF(AND(C42&lt;&gt;"V",D42&lt;&gt;"V", COUNTIFS(IM!$F:$F, A42, IM!$AD:$AD, "O", IM!$X:$X, "&gt;="&amp;$M$3, IM!$X:$X, "&lt;"&amp;$N$3)&gt;0), "V", "")</f>
        <v/>
      </c>
      <c r="F42" s="116" t="str">
        <f>IF(VLOOKUP(A42,門市總表!A:F,6,FALSE)="新開","新開不保養",
IF(VLOOKUP(A42,門市總表!A:F,6,FALSE)="撤店","閉店不保養",IF(VLOOKUP(A42,門市總表!A:F,6,FALSE)="非當季","非當季",IF(VLOOKUP(A42,門市總表!A:F,6,FALSE)="跨季補單","跨季補單",
IF(COUNTBLANK(C42:E42)=3,"未保養","")
))))</f>
        <v>未保養</v>
      </c>
      <c r="G42" s="116" t="str">
        <f>IF(COUNTIFS('0919門市清單主檔'!C:C,B42,'0919門市清單主檔'!AF:AF,$H$3)=1,
    IF(COUNTIFS(IM!F:F,A42,IM!AC:AC,"*"&amp;$H$3&amp;"*") + COUNTIFS('0919門市清單主檔'!C:C,B42,'0919門市清單主檔'!AF:AF,$H$3) &gt; 1,
       "V","未完工"),"-")</f>
        <v>-</v>
      </c>
      <c r="H42" s="253" t="str">
        <f>IF(COUNTIFS('0919門市清單主檔'!C:C,B42,'0919門市清單主檔'!AG:AG,$H$4)=1,
    IF(COUNTIFS(IM!F:F,A42,IM!AC:AC,"*"&amp;$H$4&amp;"*") + COUNTIFS('0919門市清單主檔'!C:C,B42,'0919門市清單主檔'!AG:AG,$H$4) &gt; 1,
       "V","未完工"),"-")</f>
        <v>未完工</v>
      </c>
      <c r="I42" s="253" t="str">
        <f>IF(COUNTIFS('0919門市清單主檔'!C:C,B42,'0919門市清單主檔'!AH:AH,$H$5)=1,
    IF(COUNTIFS(IM!F:F,A42,IM!AC:AC,"*"&amp;$H$5&amp;"*") + COUNTIFS('0919門市清單主檔'!C:C,B42,'0919門市清單主檔'!AH:AH,$H$5) &gt; 1,
       "V","未完工"),"-")</f>
        <v>未完工</v>
      </c>
      <c r="J42" s="253" t="str">
        <f>IF(
    COUNTIFS('0919門市清單主檔'!C:C,B42,'0919門市清單主檔'!AC:AC,$H$2)=1,
    IF(
        COUNTIFS(
            IM!F:F,A42,
            IM!AC:AC,"*"&amp;$H$2&amp;"*",
            IM!X:X,"&gt;="&amp;$M$1,
            IM!X:X,"&lt;="&amp;$M$3
        )
        + COUNTIFS('0919門市清單主檔'!C:C,B42,'0919門市清單主檔'!AC:AC,$H$2)
        &gt;1,
        "V",
        "未完工"
    ),
    "-"
)</f>
        <v>-</v>
      </c>
      <c r="K42" s="122">
        <v>45840</v>
      </c>
      <c r="L42" s="116" t="str">
        <f>VLOOKUP(A42,'0919門市清單主檔'!B:V,21,FALSE)</f>
        <v>龜山區</v>
      </c>
      <c r="M42" t="str">
        <f>VLOOKUP(A42,門市總表!A:B,2,FALSE)</f>
        <v>蘆竹南崁店</v>
      </c>
      <c r="Q42" s="115" t="s">
        <v>4951</v>
      </c>
      <c r="R42" s="120" t="s">
        <v>4952</v>
      </c>
    </row>
    <row r="43" spans="1:18" ht="21.6" customHeight="1">
      <c r="A43" s="116">
        <v>4456</v>
      </c>
      <c r="B43" s="116" t="str">
        <f>VLOOKUP(A43,門市總表!A:B,2,FALSE)</f>
        <v>蘆竹華麗店</v>
      </c>
      <c r="C43" s="146" t="str">
        <f>IF(COUNTIFS(IM!$F:$F,A43,IM!$AD:$AD,"O",IM!$X:$X,"&gt;="&amp;$M$1, IM!$X:$X,"&lt;"&amp;$M$2)&gt;0,"V","")</f>
        <v/>
      </c>
      <c r="D43" s="146" t="str">
        <f>IF(AND(C43&lt;&gt;"V", COUNTIFS(IM!$F:$F,A43, IM!$AD:$AD, "O", IM!$X:$X, "&gt;="&amp;$M$2, IM!$X:$X, "&lt;"&amp;$M$3)&gt;0), "V", "")</f>
        <v/>
      </c>
      <c r="E43" s="146" t="str">
        <f>IF(AND(C43&lt;&gt;"V",D43&lt;&gt;"V", COUNTIFS(IM!$F:$F, A43, IM!$AD:$AD, "O", IM!$X:$X, "&gt;="&amp;$M$3, IM!$X:$X, "&lt;"&amp;$N$3)&gt;0), "V", "")</f>
        <v/>
      </c>
      <c r="F43" s="116" t="str">
        <f>IF(VLOOKUP(A43,門市總表!A:F,6,FALSE)="新開","新開不保養",
IF(VLOOKUP(A43,門市總表!A:F,6,FALSE)="撤店","閉店不保養",IF(VLOOKUP(A43,門市總表!A:F,6,FALSE)="非當季","非當季",IF(VLOOKUP(A43,門市總表!A:F,6,FALSE)="跨季補單","跨季補單",
IF(COUNTBLANK(C43:E43)=3,"未保養","")
))))</f>
        <v>未保養</v>
      </c>
      <c r="G43" s="116" t="str">
        <f>IF(COUNTIFS('0919門市清單主檔'!C:C,B43,'0919門市清單主檔'!AF:AF,$H$3)=1,
    IF(COUNTIFS(IM!F:F,A43,IM!AC:AC,"*"&amp;$H$3&amp;"*") + COUNTIFS('0919門市清單主檔'!C:C,B43,'0919門市清單主檔'!AF:AF,$H$3) &gt; 1,
       "V","未完工"),"-")</f>
        <v>-</v>
      </c>
      <c r="H43" s="253" t="str">
        <f>IF(COUNTIFS('0919門市清單主檔'!C:C,B43,'0919門市清單主檔'!AG:AG,$H$4)=1,
    IF(COUNTIFS(IM!F:F,A43,IM!AC:AC,"*"&amp;$H$4&amp;"*") + COUNTIFS('0919門市清單主檔'!C:C,B43,'0919門市清單主檔'!AG:AG,$H$4) &gt; 1,
       "V","未完工"),"-")</f>
        <v>未完工</v>
      </c>
      <c r="I43" s="253" t="str">
        <f>IF(COUNTIFS('0919門市清單主檔'!C:C,B43,'0919門市清單主檔'!AH:AH,$H$5)=1,
    IF(COUNTIFS(IM!F:F,A43,IM!AC:AC,"*"&amp;$H$5&amp;"*") + COUNTIFS('0919門市清單主檔'!C:C,B43,'0919門市清單主檔'!AH:AH,$H$5) &gt; 1,
       "V","未完工"),"-")</f>
        <v>-</v>
      </c>
      <c r="J43" s="253" t="str">
        <f>IF(
    COUNTIFS('0919門市清單主檔'!C:C,B43,'0919門市清單主檔'!AC:AC,$H$2)=1,
    IF(
        COUNTIFS(
            IM!F:F,A43,
            IM!AC:AC,"*"&amp;$H$2&amp;"*",
            IM!X:X,"&gt;="&amp;$M$1,
            IM!X:X,"&lt;="&amp;$M$3
        )
        + COUNTIFS('0919門市清單主檔'!C:C,B43,'0919門市清單主檔'!AC:AC,$H$2)
        &gt;1,
        "V",
        "未完工"
    ),
    "-"
)</f>
        <v>-</v>
      </c>
      <c r="K43" s="122">
        <v>45840</v>
      </c>
      <c r="L43" s="116" t="str">
        <f>VLOOKUP(A43,'0919門市清單主檔'!B:V,21,FALSE)</f>
        <v>龜山區</v>
      </c>
      <c r="M43" t="str">
        <f>VLOOKUP(A43,門市總表!A:B,2,FALSE)</f>
        <v>蘆竹華麗店</v>
      </c>
      <c r="Q43" s="115" t="s">
        <v>4951</v>
      </c>
      <c r="R43" s="120" t="s">
        <v>4952</v>
      </c>
    </row>
    <row r="44" spans="1:18" ht="21.6" customHeight="1">
      <c r="A44" s="116">
        <v>4601</v>
      </c>
      <c r="B44" s="116" t="str">
        <f>VLOOKUP(A44,門市總表!A:B,2,FALSE)</f>
        <v>蘆竹領航店</v>
      </c>
      <c r="C44" s="146" t="str">
        <f>IF(COUNTIFS(IM!$F:$F,A44,IM!$AD:$AD,"O",IM!$X:$X,"&gt;="&amp;$M$1, IM!$X:$X,"&lt;"&amp;$M$2)&gt;0,"V","")</f>
        <v/>
      </c>
      <c r="D44" s="146" t="str">
        <f>IF(AND(C44&lt;&gt;"V", COUNTIFS(IM!$F:$F,A44, IM!$AD:$AD, "O", IM!$X:$X, "&gt;="&amp;$M$2, IM!$X:$X, "&lt;"&amp;$M$3)&gt;0), "V", "")</f>
        <v/>
      </c>
      <c r="E44" s="146" t="str">
        <f>IF(AND(C44&lt;&gt;"V",D44&lt;&gt;"V", COUNTIFS(IM!$F:$F, A44, IM!$AD:$AD, "O", IM!$X:$X, "&gt;="&amp;$M$3, IM!$X:$X, "&lt;"&amp;$N$3)&gt;0), "V", "")</f>
        <v/>
      </c>
      <c r="F44" s="116" t="str">
        <f>IF(VLOOKUP(A44,門市總表!A:F,6,FALSE)="新開","新開不保養",
IF(VLOOKUP(A44,門市總表!A:F,6,FALSE)="撤店","閉店不保養",IF(VLOOKUP(A44,門市總表!A:F,6,FALSE)="非當季","非當季",IF(VLOOKUP(A44,門市總表!A:F,6,FALSE)="跨季補單","跨季補單",
IF(COUNTBLANK(C44:E44)=3,"未保養","")
))))</f>
        <v>未保養</v>
      </c>
      <c r="G44" s="116" t="str">
        <f>IF(COUNTIFS('0919門市清單主檔'!C:C,B44,'0919門市清單主檔'!AF:AF,$H$3)=1,
    IF(COUNTIFS(IM!F:F,A44,IM!AC:AC,"*"&amp;$H$3&amp;"*") + COUNTIFS('0919門市清單主檔'!C:C,B44,'0919門市清單主檔'!AF:AF,$H$3) &gt; 1,
       "V","未完工"),"-")</f>
        <v>-</v>
      </c>
      <c r="H44" s="253" t="str">
        <f>IF(COUNTIFS('0919門市清單主檔'!C:C,B44,'0919門市清單主檔'!AG:AG,$H$4)=1,
    IF(COUNTIFS(IM!F:F,A44,IM!AC:AC,"*"&amp;$H$4&amp;"*") + COUNTIFS('0919門市清單主檔'!C:C,B44,'0919門市清單主檔'!AG:AG,$H$4) &gt; 1,
       "V","未完工"),"-")</f>
        <v>未完工</v>
      </c>
      <c r="I44" s="253" t="str">
        <f>IF(COUNTIFS('0919門市清單主檔'!C:C,B44,'0919門市清單主檔'!AH:AH,$H$5)=1,
    IF(COUNTIFS(IM!F:F,A44,IM!AC:AC,"*"&amp;$H$5&amp;"*") + COUNTIFS('0919門市清單主檔'!C:C,B44,'0919門市清單主檔'!AH:AH,$H$5) &gt; 1,
       "V","未完工"),"-")</f>
        <v>-</v>
      </c>
      <c r="J44" s="253" t="str">
        <f>IF(
    COUNTIFS('0919門市清單主檔'!C:C,B44,'0919門市清單主檔'!AC:AC,$H$2)=1,
    IF(
        COUNTIFS(
            IM!F:F,A44,
            IM!AC:AC,"*"&amp;$H$2&amp;"*",
            IM!X:X,"&gt;="&amp;$M$1,
            IM!X:X,"&lt;="&amp;$M$3
        )
        + COUNTIFS('0919門市清單主檔'!C:C,B44,'0919門市清單主檔'!AC:AC,$H$2)
        &gt;1,
        "V",
        "未完工"
    ),
    "-"
)</f>
        <v>-</v>
      </c>
      <c r="K44" s="122">
        <v>45866</v>
      </c>
      <c r="L44" s="116" t="str">
        <f>VLOOKUP(A44,'0919門市清單主檔'!B:V,21,FALSE)</f>
        <v>龜山區</v>
      </c>
      <c r="M44" t="str">
        <f>VLOOKUP(A44,門市總表!A:B,2,FALSE)</f>
        <v>蘆竹領航店</v>
      </c>
      <c r="Q44" s="115"/>
      <c r="R44" s="120" t="s">
        <v>4952</v>
      </c>
    </row>
    <row r="45" spans="1:18" ht="21.6" customHeight="1">
      <c r="A45" s="116">
        <v>4673</v>
      </c>
      <c r="B45" s="116" t="str">
        <f>VLOOKUP(A45,門市總表!A:B,2,FALSE)</f>
        <v>蘆竹海山店</v>
      </c>
      <c r="C45" s="146" t="str">
        <f>IF(COUNTIFS(IM!$F:$F,A45,IM!$AD:$AD,"O",IM!$X:$X,"&gt;="&amp;$M$1, IM!$X:$X,"&lt;"&amp;$M$2)&gt;0,"V","")</f>
        <v/>
      </c>
      <c r="D45" s="146" t="str">
        <f>IF(AND(C45&lt;&gt;"V", COUNTIFS(IM!$F:$F,A45, IM!$AD:$AD, "O", IM!$X:$X, "&gt;="&amp;$M$2, IM!$X:$X, "&lt;"&amp;$M$3)&gt;0), "V", "")</f>
        <v/>
      </c>
      <c r="E45" s="146" t="str">
        <f>IF(AND(C45&lt;&gt;"V",D45&lt;&gt;"V", COUNTIFS(IM!$F:$F, A45, IM!$AD:$AD, "O", IM!$X:$X, "&gt;="&amp;$M$3, IM!$X:$X, "&lt;"&amp;$N$3)&gt;0), "V", "")</f>
        <v/>
      </c>
      <c r="F45" s="116" t="str">
        <f>IF(VLOOKUP(A45,門市總表!A:F,6,FALSE)="新開","新開不保養",
IF(VLOOKUP(A45,門市總表!A:F,6,FALSE)="撤店","閉店不保養",IF(VLOOKUP(A45,門市總表!A:F,6,FALSE)="非當季","非當季",IF(VLOOKUP(A45,門市總表!A:F,6,FALSE)="跨季補單","跨季補單",
IF(COUNTBLANK(C45:E45)=3,"未保養","")
))))</f>
        <v>未保養</v>
      </c>
      <c r="G45" s="116" t="str">
        <f>IF(COUNTIFS('0919門市清單主檔'!C:C,B45,'0919門市清單主檔'!AF:AF,$H$3)=1,
    IF(COUNTIFS(IM!F:F,A45,IM!AC:AC,"*"&amp;$H$3&amp;"*") + COUNTIFS('0919門市清單主檔'!C:C,B45,'0919門市清單主檔'!AF:AF,$H$3) &gt; 1,
       "V","未完工"),"-")</f>
        <v>-</v>
      </c>
      <c r="H45" s="253" t="str">
        <f>IF(COUNTIFS('0919門市清單主檔'!C:C,B45,'0919門市清單主檔'!AG:AG,$H$4)=1,
    IF(COUNTIFS(IM!F:F,A45,IM!AC:AC,"*"&amp;$H$4&amp;"*") + COUNTIFS('0919門市清單主檔'!C:C,B45,'0919門市清單主檔'!AG:AG,$H$4) &gt; 1,
       "V","未完工"),"-")</f>
        <v>未完工</v>
      </c>
      <c r="I45" s="253" t="str">
        <f>IF(COUNTIFS('0919門市清單主檔'!C:C,B45,'0919門市清單主檔'!AH:AH,$H$5)=1,
    IF(COUNTIFS(IM!F:F,A45,IM!AC:AC,"*"&amp;$H$5&amp;"*") + COUNTIFS('0919門市清單主檔'!C:C,B45,'0919門市清單主檔'!AH:AH,$H$5) &gt; 1,
       "V","未完工"),"-")</f>
        <v>未完工</v>
      </c>
      <c r="J45" s="253" t="str">
        <f>IF(
    COUNTIFS('0919門市清單主檔'!C:C,B45,'0919門市清單主檔'!AC:AC,$H$2)=1,
    IF(
        COUNTIFS(
            IM!F:F,A45,
            IM!AC:AC,"*"&amp;$H$2&amp;"*",
            IM!X:X,"&gt;="&amp;$M$1,
            IM!X:X,"&lt;="&amp;$M$3
        )
        + COUNTIFS('0919門市清單主檔'!C:C,B45,'0919門市清單主檔'!AC:AC,$H$2)
        &gt;1,
        "V",
        "未完工"
    ),
    "-"
)</f>
        <v>-</v>
      </c>
      <c r="K45" s="122">
        <v>45887</v>
      </c>
      <c r="L45" s="116" t="str">
        <f>VLOOKUP(A45,'0919門市清單主檔'!B:V,21,FALSE)</f>
        <v>蘆竹區</v>
      </c>
      <c r="M45" t="str">
        <f>VLOOKUP(A45,門市總表!A:B,2,FALSE)</f>
        <v>蘆竹海山店</v>
      </c>
      <c r="Q45" s="115" t="s">
        <v>4951</v>
      </c>
      <c r="R45" s="120" t="s">
        <v>4952</v>
      </c>
    </row>
    <row r="46" spans="1:18" ht="21.6" customHeight="1">
      <c r="A46" s="116">
        <v>5110</v>
      </c>
      <c r="B46" s="116" t="str">
        <f>VLOOKUP(A46,門市總表!A:B,2,FALSE)</f>
        <v>蘆竹龍安店</v>
      </c>
      <c r="C46" s="146" t="str">
        <f>IF(COUNTIFS(IM!$F:$F,A46,IM!$AD:$AD,"O",IM!$X:$X,"&gt;="&amp;$M$1, IM!$X:$X,"&lt;"&amp;$M$2)&gt;0,"V","")</f>
        <v/>
      </c>
      <c r="D46" s="146" t="str">
        <f>IF(AND(C46&lt;&gt;"V", COUNTIFS(IM!$F:$F,A46, IM!$AD:$AD, "O", IM!$X:$X, "&gt;="&amp;$M$2, IM!$X:$X, "&lt;"&amp;$M$3)&gt;0), "V", "")</f>
        <v/>
      </c>
      <c r="E46" s="146" t="str">
        <f>IF(AND(C46&lt;&gt;"V",D46&lt;&gt;"V", COUNTIFS(IM!$F:$F, A46, IM!$AD:$AD, "O", IM!$X:$X, "&gt;="&amp;$M$3, IM!$X:$X, "&lt;"&amp;$N$3)&gt;0), "V", "")</f>
        <v/>
      </c>
      <c r="F46" s="116" t="str">
        <f>IF(VLOOKUP(A46,門市總表!A:F,6,FALSE)="新開","新開不保養",
IF(VLOOKUP(A46,門市總表!A:F,6,FALSE)="撤店","閉店不保養",IF(VLOOKUP(A46,門市總表!A:F,6,FALSE)="非當季","非當季",IF(VLOOKUP(A46,門市總表!A:F,6,FALSE)="跨季補單","跨季補單",
IF(COUNTBLANK(C46:E46)=3,"未保養","")
))))</f>
        <v>未保養</v>
      </c>
      <c r="G46" s="116" t="str">
        <f>IF(COUNTIFS('0919門市清單主檔'!C:C,B46,'0919門市清單主檔'!AF:AF,$H$3)=1,
    IF(COUNTIFS(IM!F:F,A46,IM!AC:AC,"*"&amp;$H$3&amp;"*") + COUNTIFS('0919門市清單主檔'!C:C,B46,'0919門市清單主檔'!AF:AF,$H$3) &gt; 1,
       "V","未完工"),"-")</f>
        <v>-</v>
      </c>
      <c r="H46" s="253" t="str">
        <f>IF(COUNTIFS('0919門市清單主檔'!C:C,B46,'0919門市清單主檔'!AG:AG,$H$4)=1,
    IF(COUNTIFS(IM!F:F,A46,IM!AC:AC,"*"&amp;$H$4&amp;"*") + COUNTIFS('0919門市清單主檔'!C:C,B46,'0919門市清單主檔'!AG:AG,$H$4) &gt; 1,
       "V","未完工"),"-")</f>
        <v>未完工</v>
      </c>
      <c r="I46" s="253" t="str">
        <f>IF(COUNTIFS('0919門市清單主檔'!C:C,B46,'0919門市清單主檔'!AH:AH,$H$5)=1,
    IF(COUNTIFS(IM!F:F,A46,IM!AC:AC,"*"&amp;$H$5&amp;"*") + COUNTIFS('0919門市清單主檔'!C:C,B46,'0919門市清單主檔'!AH:AH,$H$5) &gt; 1,
       "V","未完工"),"-")</f>
        <v>未完工</v>
      </c>
      <c r="J46" s="253" t="str">
        <f>IF(
    COUNTIFS('0919門市清單主檔'!C:C,B46,'0919門市清單主檔'!AC:AC,$H$2)=1,
    IF(
        COUNTIFS(
            IM!F:F,A46,
            IM!AC:AC,"*"&amp;$H$2&amp;"*",
            IM!X:X,"&gt;="&amp;$M$1,
            IM!X:X,"&lt;="&amp;$M$3
        )
        + COUNTIFS('0919門市清單主檔'!C:C,B46,'0919門市清單主檔'!AC:AC,$H$2)
        &gt;1,
        "V",
        "未完工"
    ),
    "-"
)</f>
        <v>-</v>
      </c>
      <c r="K46" s="122">
        <v>45867</v>
      </c>
      <c r="L46" s="116" t="str">
        <f>VLOOKUP(A46,'0919門市清單主檔'!B:V,21,FALSE)</f>
        <v>蘆竹區</v>
      </c>
      <c r="M46" t="str">
        <f>VLOOKUP(A46,門市總表!A:B,2,FALSE)</f>
        <v>蘆竹龍安店</v>
      </c>
      <c r="Q46" s="115"/>
      <c r="R46" s="120" t="s">
        <v>4952</v>
      </c>
    </row>
    <row r="47" spans="1:18" ht="21.6" customHeight="1">
      <c r="A47" s="116">
        <v>5357</v>
      </c>
      <c r="B47" s="116" t="str">
        <f>VLOOKUP(A47,門市總表!A:B,2,FALSE)</f>
        <v>蘆竹南山北</v>
      </c>
      <c r="C47" s="146" t="str">
        <f>IF(COUNTIFS(IM!$F:$F,A47,IM!$AD:$AD,"O",IM!$X:$X,"&gt;="&amp;$M$1, IM!$X:$X,"&lt;"&amp;$M$2)&gt;0,"V","")</f>
        <v/>
      </c>
      <c r="D47" s="146" t="str">
        <f>IF(AND(C47&lt;&gt;"V", COUNTIFS(IM!$F:$F,A47, IM!$AD:$AD, "O", IM!$X:$X, "&gt;="&amp;$M$2, IM!$X:$X, "&lt;"&amp;$M$3)&gt;0), "V", "")</f>
        <v/>
      </c>
      <c r="E47" s="146" t="str">
        <f>IF(AND(C47&lt;&gt;"V",D47&lt;&gt;"V", COUNTIFS(IM!$F:$F, A47, IM!$AD:$AD, "O", IM!$X:$X, "&gt;="&amp;$M$3, IM!$X:$X, "&lt;"&amp;$N$3)&gt;0), "V", "")</f>
        <v/>
      </c>
      <c r="F47" s="116" t="str">
        <f>IF(VLOOKUP(A47,門市總表!A:F,6,FALSE)="新開","新開不保養",
IF(VLOOKUP(A47,門市總表!A:F,6,FALSE)="撤店","閉店不保養",IF(VLOOKUP(A47,門市總表!A:F,6,FALSE)="非當季","非當季",IF(VLOOKUP(A47,門市總表!A:F,6,FALSE)="跨季補單","跨季補單",
IF(COUNTBLANK(C47:E47)=3,"未保養","")
))))</f>
        <v>未保養</v>
      </c>
      <c r="G47" s="116" t="str">
        <f>IF(COUNTIFS('0919門市清單主檔'!C:C,B47,'0919門市清單主檔'!AF:AF,$H$3)=1,
    IF(COUNTIFS(IM!F:F,A47,IM!AC:AC,"*"&amp;$H$3&amp;"*") + COUNTIFS('0919門市清單主檔'!C:C,B47,'0919門市清單主檔'!AF:AF,$H$3) &gt; 1,
       "V","未完工"),"-")</f>
        <v>-</v>
      </c>
      <c r="H47" s="253" t="str">
        <f>IF(COUNTIFS('0919門市清單主檔'!C:C,B47,'0919門市清單主檔'!AG:AG,$H$4)=1,
    IF(COUNTIFS(IM!F:F,A47,IM!AC:AC,"*"&amp;$H$4&amp;"*") + COUNTIFS('0919門市清單主檔'!C:C,B47,'0919門市清單主檔'!AG:AG,$H$4) &gt; 1,
       "V","未完工"),"-")</f>
        <v>未完工</v>
      </c>
      <c r="I47" s="253" t="str">
        <f>IF(COUNTIFS('0919門市清單主檔'!C:C,B47,'0919門市清單主檔'!AH:AH,$H$5)=1,
    IF(COUNTIFS(IM!F:F,A47,IM!AC:AC,"*"&amp;$H$5&amp;"*") + COUNTIFS('0919門市清單主檔'!C:C,B47,'0919門市清單主檔'!AH:AH,$H$5) &gt; 1,
       "V","未完工"),"-")</f>
        <v>未完工</v>
      </c>
      <c r="J47" s="253" t="str">
        <f>IF(
    COUNTIFS('0919門市清單主檔'!C:C,B47,'0919門市清單主檔'!AC:AC,$H$2)=1,
    IF(
        COUNTIFS(
            IM!F:F,A47,
            IM!AC:AC,"*"&amp;$H$2&amp;"*",
            IM!X:X,"&gt;="&amp;$M$1,
            IM!X:X,"&lt;="&amp;$M$3
        )
        + COUNTIFS('0919門市清單主檔'!C:C,B47,'0919門市清單主檔'!AC:AC,$H$2)
        &gt;1,
        "V",
        "未完工"
    ),
    "-"
)</f>
        <v>-</v>
      </c>
      <c r="K47" s="122">
        <v>45867</v>
      </c>
      <c r="L47" s="116" t="str">
        <f>VLOOKUP(A47,'0919門市清單主檔'!B:V,21,FALSE)</f>
        <v>蘆竹區</v>
      </c>
      <c r="M47" t="str">
        <f>VLOOKUP(A47,門市總表!A:B,2,FALSE)</f>
        <v>蘆竹南山北</v>
      </c>
      <c r="Q47" s="115"/>
      <c r="R47" s="120" t="s">
        <v>4952</v>
      </c>
    </row>
    <row r="48" spans="1:18" ht="21.6" customHeight="1">
      <c r="A48" s="116">
        <v>5368</v>
      </c>
      <c r="B48" s="116" t="str">
        <f>VLOOKUP(A48,門市總表!A:B,2,FALSE)</f>
        <v>蘆竹山鼻店</v>
      </c>
      <c r="C48" s="146" t="str">
        <f>IF(COUNTIFS(IM!$F:$F,A48,IM!$AD:$AD,"O",IM!$X:$X,"&gt;="&amp;$M$1, IM!$X:$X,"&lt;"&amp;$M$2)&gt;0,"V","")</f>
        <v/>
      </c>
      <c r="D48" s="146" t="str">
        <f>IF(AND(C48&lt;&gt;"V", COUNTIFS(IM!$F:$F,A48, IM!$AD:$AD, "O", IM!$X:$X, "&gt;="&amp;$M$2, IM!$X:$X, "&lt;"&amp;$M$3)&gt;0), "V", "")</f>
        <v/>
      </c>
      <c r="E48" s="146" t="str">
        <f>IF(AND(C48&lt;&gt;"V",D48&lt;&gt;"V", COUNTIFS(IM!$F:$F, A48, IM!$AD:$AD, "O", IM!$X:$X, "&gt;="&amp;$M$3, IM!$X:$X, "&lt;"&amp;$N$3)&gt;0), "V", "")</f>
        <v/>
      </c>
      <c r="F48" s="116" t="str">
        <f>IF(VLOOKUP(A48,門市總表!A:F,6,FALSE)="新開","新開不保養",
IF(VLOOKUP(A48,門市總表!A:F,6,FALSE)="撤店","閉店不保養",IF(VLOOKUP(A48,門市總表!A:F,6,FALSE)="非當季","非當季",IF(VLOOKUP(A48,門市總表!A:F,6,FALSE)="跨季補單","跨季補單",
IF(COUNTBLANK(C48:E48)=3,"未保養","")
))))</f>
        <v>未保養</v>
      </c>
      <c r="G48" s="116" t="str">
        <f>IF(COUNTIFS('0919門市清單主檔'!C:C,B48,'0919門市清單主檔'!AF:AF,$H$3)=1,
    IF(COUNTIFS(IM!F:F,A48,IM!AC:AC,"*"&amp;$H$3&amp;"*") + COUNTIFS('0919門市清單主檔'!C:C,B48,'0919門市清單主檔'!AF:AF,$H$3) &gt; 1,
       "V","未完工"),"-")</f>
        <v>-</v>
      </c>
      <c r="H48" s="253" t="str">
        <f>IF(COUNTIFS('0919門市清單主檔'!C:C,B48,'0919門市清單主檔'!AG:AG,$H$4)=1,
    IF(COUNTIFS(IM!F:F,A48,IM!AC:AC,"*"&amp;$H$4&amp;"*") + COUNTIFS('0919門市清單主檔'!C:C,B48,'0919門市清單主檔'!AG:AG,$H$4) &gt; 1,
       "V","未完工"),"-")</f>
        <v>未完工</v>
      </c>
      <c r="I48" s="253" t="str">
        <f>IF(COUNTIFS('0919門市清單主檔'!C:C,B48,'0919門市清單主檔'!AH:AH,$H$5)=1,
    IF(COUNTIFS(IM!F:F,A48,IM!AC:AC,"*"&amp;$H$5&amp;"*") + COUNTIFS('0919門市清單主檔'!C:C,B48,'0919門市清單主檔'!AH:AH,$H$5) &gt; 1,
       "V","未完工"),"-")</f>
        <v>-</v>
      </c>
      <c r="J48" s="253" t="str">
        <f>IF(
    COUNTIFS('0919門市清單主檔'!C:C,B48,'0919門市清單主檔'!AC:AC,$H$2)=1,
    IF(
        COUNTIFS(
            IM!F:F,A48,
            IM!AC:AC,"*"&amp;$H$2&amp;"*",
            IM!X:X,"&gt;="&amp;$M$1,
            IM!X:X,"&lt;="&amp;$M$3
        )
        + COUNTIFS('0919門市清單主檔'!C:C,B48,'0919門市清單主檔'!AC:AC,$H$2)
        &gt;1,
        "V",
        "未完工"
    ),
    "-"
)</f>
        <v>-</v>
      </c>
      <c r="K48" s="122">
        <v>45895</v>
      </c>
      <c r="L48" s="116" t="str">
        <f>VLOOKUP(A48,'0919門市清單主檔'!B:V,21,FALSE)</f>
        <v>蘆竹區</v>
      </c>
      <c r="M48" t="str">
        <f>VLOOKUP(A48,門市總表!A:B,2,FALSE)</f>
        <v>蘆竹山鼻店</v>
      </c>
      <c r="Q48" s="115" t="s">
        <v>4951</v>
      </c>
      <c r="R48" s="120" t="s">
        <v>4952</v>
      </c>
    </row>
    <row r="49" spans="1:18" ht="21.6" customHeight="1">
      <c r="A49" s="116" t="s">
        <v>86</v>
      </c>
      <c r="B49" s="116" t="str">
        <f>VLOOKUP(A49,門市總表!A:B,2,FALSE)</f>
        <v>蘆竹南華店</v>
      </c>
      <c r="C49" s="146" t="str">
        <f>IF(COUNTIFS(IM!$F:$F,A49,IM!$AD:$AD,"O",IM!$X:$X,"&gt;="&amp;$M$1, IM!$X:$X,"&lt;"&amp;$M$2)&gt;0,"V","")</f>
        <v/>
      </c>
      <c r="D49" s="146" t="str">
        <f>IF(AND(C49&lt;&gt;"V", COUNTIFS(IM!$F:$F,A49, IM!$AD:$AD, "O", IM!$X:$X, "&gt;="&amp;$M$2, IM!$X:$X, "&lt;"&amp;$M$3)&gt;0), "V", "")</f>
        <v/>
      </c>
      <c r="E49" s="146" t="str">
        <f>IF(AND(C49&lt;&gt;"V",D49&lt;&gt;"V", COUNTIFS(IM!$F:$F, A49, IM!$AD:$AD, "O", IM!$X:$X, "&gt;="&amp;$M$3, IM!$X:$X, "&lt;"&amp;$N$3)&gt;0), "V", "")</f>
        <v/>
      </c>
      <c r="F49" s="116" t="str">
        <f>IF(VLOOKUP(A49,門市總表!A:F,6,FALSE)="新開","新開不保養",
IF(VLOOKUP(A49,門市總表!A:F,6,FALSE)="撤店","閉店不保養",IF(VLOOKUP(A49,門市總表!A:F,6,FALSE)="非當季","非當季",IF(VLOOKUP(A49,門市總表!A:F,6,FALSE)="跨季補單","跨季補單",
IF(COUNTBLANK(C49:E49)=3,"未保養","")
))))</f>
        <v>未保養</v>
      </c>
      <c r="G49" s="116" t="str">
        <f>IF(COUNTIFS('0919門市清單主檔'!C:C,B49,'0919門市清單主檔'!AF:AF,$H$3)=1,
    IF(COUNTIFS(IM!F:F,A49,IM!AC:AC,"*"&amp;$H$3&amp;"*") + COUNTIFS('0919門市清單主檔'!C:C,B49,'0919門市清單主檔'!AF:AF,$H$3) &gt; 1,
       "V","未完工"),"-")</f>
        <v>-</v>
      </c>
      <c r="H49" s="253" t="str">
        <f>IF(COUNTIFS('0919門市清單主檔'!C:C,B49,'0919門市清單主檔'!AG:AG,$H$4)=1,
    IF(COUNTIFS(IM!F:F,A49,IM!AC:AC,"*"&amp;$H$4&amp;"*") + COUNTIFS('0919門市清單主檔'!C:C,B49,'0919門市清單主檔'!AG:AG,$H$4) &gt; 1,
       "V","未完工"),"-")</f>
        <v>未完工</v>
      </c>
      <c r="I49" s="253" t="str">
        <f>IF(COUNTIFS('0919門市清單主檔'!C:C,B49,'0919門市清單主檔'!AH:AH,$H$5)=1,
    IF(COUNTIFS(IM!F:F,A49,IM!AC:AC,"*"&amp;$H$5&amp;"*") + COUNTIFS('0919門市清單主檔'!C:C,B49,'0919門市清單主檔'!AH:AH,$H$5) &gt; 1,
       "V","未完工"),"-")</f>
        <v>未完工</v>
      </c>
      <c r="J49" s="253" t="str">
        <f>IF(
    COUNTIFS('0919門市清單主檔'!C:C,B49,'0919門市清單主檔'!AC:AC,$H$2)=1,
    IF(
        COUNTIFS(
            IM!F:F,A49,
            IM!AC:AC,"*"&amp;$H$2&amp;"*",
            IM!X:X,"&gt;="&amp;$M$1,
            IM!X:X,"&lt;="&amp;$M$3
        )
        + COUNTIFS('0919門市清單主檔'!C:C,B49,'0919門市清單主檔'!AC:AC,$H$2)
        &gt;1,
        "V",
        "未完工"
    ),
    "-"
)</f>
        <v>-</v>
      </c>
      <c r="K49" s="122">
        <v>45890</v>
      </c>
      <c r="L49" s="116" t="str">
        <f>VLOOKUP(A49,'0919門市清單主檔'!B:V,21,FALSE)</f>
        <v>蘆竹區</v>
      </c>
      <c r="M49" t="str">
        <f>VLOOKUP(A49,門市總表!A:B,2,FALSE)</f>
        <v>蘆竹南華店</v>
      </c>
      <c r="Q49" s="115" t="s">
        <v>4951</v>
      </c>
      <c r="R49" s="120" t="s">
        <v>4952</v>
      </c>
    </row>
    <row r="50" spans="1:18" ht="21.6" customHeight="1">
      <c r="A50" s="116">
        <v>4845</v>
      </c>
      <c r="B50" s="116" t="str">
        <f>VLOOKUP(A50,門市總表!A:B,2,FALSE)</f>
        <v>石門海角店</v>
      </c>
      <c r="C50" s="146" t="str">
        <f>IF(COUNTIFS(IM!$F:$F,A50,IM!$AD:$AD,"O",IM!$X:$X,"&gt;="&amp;$M$1, IM!$X:$X,"&lt;"&amp;$M$2)&gt;0,"V","")</f>
        <v/>
      </c>
      <c r="D50" s="146" t="str">
        <f>IF(AND(C50&lt;&gt;"V", COUNTIFS(IM!$F:$F,A50, IM!$AD:$AD, "O", IM!$X:$X, "&gt;="&amp;$M$2, IM!$X:$X, "&lt;"&amp;$M$3)&gt;0), "V", "")</f>
        <v/>
      </c>
      <c r="E50" s="146" t="str">
        <f>IF(AND(C50&lt;&gt;"V",D50&lt;&gt;"V", COUNTIFS(IM!$F:$F, A50, IM!$AD:$AD, "O", IM!$X:$X, "&gt;="&amp;$M$3, IM!$X:$X, "&lt;"&amp;$N$3)&gt;0), "V", "")</f>
        <v/>
      </c>
      <c r="F50" s="116" t="str">
        <f>IF(VLOOKUP(A50,門市總表!A:F,6,FALSE)="新開","新開不保養",
IF(VLOOKUP(A50,門市總表!A:F,6,FALSE)="撤店","閉店不保養",IF(VLOOKUP(A50,門市總表!A:F,6,FALSE)="非當季","非當季",IF(VLOOKUP(A50,門市總表!A:F,6,FALSE)="跨季補單","跨季補單",
IF(COUNTBLANK(C50:E50)=3,"未保養","")
))))</f>
        <v>未保養</v>
      </c>
      <c r="G50" s="116" t="str">
        <f>IF(COUNTIFS('0919門市清單主檔'!C:C,B50,'0919門市清單主檔'!AF:AF,$H$3)=1,
    IF(COUNTIFS(IM!F:F,A50,IM!AC:AC,"*"&amp;$H$3&amp;"*") + COUNTIFS('0919門市清單主檔'!C:C,B50,'0919門市清單主檔'!AF:AF,$H$3) &gt; 1,
       "V","未完工"),"-")</f>
        <v>-</v>
      </c>
      <c r="H50" s="253" t="str">
        <f>IF(COUNTIFS('0919門市清單主檔'!C:C,B50,'0919門市清單主檔'!AG:AG,$H$4)=1,
    IF(COUNTIFS(IM!F:F,A50,IM!AC:AC,"*"&amp;$H$4&amp;"*") + COUNTIFS('0919門市清單主檔'!C:C,B50,'0919門市清單主檔'!AG:AG,$H$4) &gt; 1,
       "V","未完工"),"-")</f>
        <v>V</v>
      </c>
      <c r="I50" s="253" t="str">
        <f>IF(COUNTIFS('0919門市清單主檔'!C:C,B50,'0919門市清單主檔'!AH:AH,$H$5)=1,
    IF(COUNTIFS(IM!F:F,A50,IM!AC:AC,"*"&amp;$H$5&amp;"*") + COUNTIFS('0919門市清單主檔'!C:C,B50,'0919門市清單主檔'!AH:AH,$H$5) &gt; 1,
       "V","未完工"),"-")</f>
        <v>未完工</v>
      </c>
      <c r="J50" s="253" t="str">
        <f>IF(
    COUNTIFS('0919門市清單主檔'!C:C,B50,'0919門市清單主檔'!AC:AC,$H$2)=1,
    IF(
        COUNTIFS(
            IM!F:F,A50,
            IM!AC:AC,"*"&amp;$H$2&amp;"*",
            IM!X:X,"&gt;="&amp;$M$1,
            IM!X:X,"&lt;="&amp;$M$3
        )
        + COUNTIFS('0919門市清單主檔'!C:C,B50,'0919門市清單主檔'!AC:AC,$H$2)
        &gt;1,
        "V",
        "未完工"
    ),
    "-"
)</f>
        <v>-</v>
      </c>
      <c r="K50" s="122">
        <v>45841</v>
      </c>
      <c r="L50" s="116" t="str">
        <f>VLOOKUP(A50,'0919門市清單主檔'!B:V,21,FALSE)</f>
        <v>石門區</v>
      </c>
      <c r="M50" t="str">
        <f>VLOOKUP(A50,門市總表!A:B,2,FALSE)</f>
        <v>石門海角店</v>
      </c>
      <c r="Q50" s="115" t="s">
        <v>4951</v>
      </c>
      <c r="R50" s="120" t="s">
        <v>4952</v>
      </c>
    </row>
    <row r="51" spans="1:18" ht="21.6" customHeight="1">
      <c r="A51" s="116">
        <v>3243</v>
      </c>
      <c r="B51" s="116" t="str">
        <f>VLOOKUP(A51,門市總表!A:B,2,FALSE)</f>
        <v>北縣醒吾店</v>
      </c>
      <c r="C51" s="146" t="str">
        <f>IF(COUNTIFS(IM!$F:$F,A51,IM!$AD:$AD,"O",IM!$X:$X,"&gt;="&amp;$M$1, IM!$X:$X,"&lt;"&amp;$M$2)&gt;0,"V","")</f>
        <v/>
      </c>
      <c r="D51" s="146" t="str">
        <f>IF(AND(C51&lt;&gt;"V", COUNTIFS(IM!$F:$F,A51, IM!$AD:$AD, "O", IM!$X:$X, "&gt;="&amp;$M$2, IM!$X:$X, "&lt;"&amp;$M$3)&gt;0), "V", "")</f>
        <v/>
      </c>
      <c r="E51" s="146" t="str">
        <f>IF(AND(C51&lt;&gt;"V",D51&lt;&gt;"V", COUNTIFS(IM!$F:$F, A51, IM!$AD:$AD, "O", IM!$X:$X, "&gt;="&amp;$M$3, IM!$X:$X, "&lt;"&amp;$N$3)&gt;0), "V", "")</f>
        <v/>
      </c>
      <c r="F51" s="116" t="str">
        <f>IF(VLOOKUP(A51,門市總表!A:F,6,FALSE)="新開","新開不保養",
IF(VLOOKUP(A51,門市總表!A:F,6,FALSE)="撤店","閉店不保養",IF(VLOOKUP(A51,門市總表!A:F,6,FALSE)="非當季","非當季",IF(VLOOKUP(A51,門市總表!A:F,6,FALSE)="跨季補單","跨季補單",
IF(COUNTBLANK(C51:E51)=3,"未保養","")
))))</f>
        <v>未保養</v>
      </c>
      <c r="G51" s="116" t="str">
        <f>IF(COUNTIFS('0919門市清單主檔'!C:C,B51,'0919門市清單主檔'!AF:AF,$H$3)=1,
    IF(COUNTIFS(IM!F:F,A51,IM!AC:AC,"*"&amp;$H$3&amp;"*") + COUNTIFS('0919門市清單主檔'!C:C,B51,'0919門市清單主檔'!AF:AF,$H$3) &gt; 1,
       "V","未完工"),"-")</f>
        <v>-</v>
      </c>
      <c r="H51" s="253" t="str">
        <f>IF(COUNTIFS('0919門市清單主檔'!C:C,B51,'0919門市清單主檔'!AG:AG,$H$4)=1,
    IF(COUNTIFS(IM!F:F,A51,IM!AC:AC,"*"&amp;$H$4&amp;"*") + COUNTIFS('0919門市清單主檔'!C:C,B51,'0919門市清單主檔'!AG:AG,$H$4) &gt; 1,
       "V","未完工"),"-")</f>
        <v>V</v>
      </c>
      <c r="I51" s="253" t="str">
        <f>IF(COUNTIFS('0919門市清單主檔'!C:C,B51,'0919門市清單主檔'!AH:AH,$H$5)=1,
    IF(COUNTIFS(IM!F:F,A51,IM!AC:AC,"*"&amp;$H$5&amp;"*") + COUNTIFS('0919門市清單主檔'!C:C,B51,'0919門市清單主檔'!AH:AH,$H$5) &gt; 1,
       "V","未完工"),"-")</f>
        <v>未完工</v>
      </c>
      <c r="J51" s="253" t="str">
        <f>IF(
    COUNTIFS('0919門市清單主檔'!C:C,B51,'0919門市清單主檔'!AC:AC,$H$2)=1,
    IF(
        COUNTIFS(
            IM!F:F,A51,
            IM!AC:AC,"*"&amp;$H$2&amp;"*",
            IM!X:X,"&gt;="&amp;$M$1,
            IM!X:X,"&lt;="&amp;$M$3
        )
        + COUNTIFS('0919門市清單主檔'!C:C,B51,'0919門市清單主檔'!AC:AC,$H$2)
        &gt;1,
        "V",
        "未完工"
    ),
    "-"
)</f>
        <v>-</v>
      </c>
      <c r="K51" s="122">
        <v>45867</v>
      </c>
      <c r="L51" s="116" t="str">
        <f>VLOOKUP(A51,'0919門市清單主檔'!B:V,21,FALSE)</f>
        <v>林口區</v>
      </c>
      <c r="M51" t="str">
        <f>VLOOKUP(A51,門市總表!A:B,2,FALSE)</f>
        <v>北縣醒吾店</v>
      </c>
      <c r="Q51" s="115"/>
      <c r="R51" s="120" t="s">
        <v>4952</v>
      </c>
    </row>
    <row r="52" spans="1:18" ht="21.6" customHeight="1">
      <c r="A52" s="116">
        <v>2267</v>
      </c>
      <c r="B52" s="116" t="str">
        <f>VLOOKUP(A52,門市總表!A:B,2,FALSE)</f>
        <v>北縣金陽店</v>
      </c>
      <c r="C52" s="146" t="str">
        <f>IF(COUNTIFS(IM!$F:$F,A52,IM!$AD:$AD,"O",IM!$X:$X,"&gt;="&amp;$M$1, IM!$X:$X,"&lt;"&amp;$M$2)&gt;0,"V","")</f>
        <v/>
      </c>
      <c r="D52" s="146" t="str">
        <f>IF(AND(C52&lt;&gt;"V", COUNTIFS(IM!$F:$F,A52, IM!$AD:$AD, "O", IM!$X:$X, "&gt;="&amp;$M$2, IM!$X:$X, "&lt;"&amp;$M$3)&gt;0), "V", "")</f>
        <v/>
      </c>
      <c r="E52" s="146" t="str">
        <f>IF(AND(C52&lt;&gt;"V",D52&lt;&gt;"V", COUNTIFS(IM!$F:$F, A52, IM!$AD:$AD, "O", IM!$X:$X, "&gt;="&amp;$M$3, IM!$X:$X, "&lt;"&amp;$N$3)&gt;0), "V", "")</f>
        <v/>
      </c>
      <c r="F52" s="116" t="str">
        <f>IF(VLOOKUP(A52,門市總表!A:F,6,FALSE)="新開","新開不保養",
IF(VLOOKUP(A52,門市總表!A:F,6,FALSE)="撤店","閉店不保養",IF(VLOOKUP(A52,門市總表!A:F,6,FALSE)="非當季","非當季",IF(VLOOKUP(A52,門市總表!A:F,6,FALSE)="跨季補單","跨季補單",
IF(COUNTBLANK(C52:E52)=3,"未保養","")
))))</f>
        <v>未保養</v>
      </c>
      <c r="G52" s="116" t="str">
        <f>IF(COUNTIFS('0919門市清單主檔'!C:C,B52,'0919門市清單主檔'!AF:AF,$H$3)=1,
    IF(COUNTIFS(IM!F:F,A52,IM!AC:AC,"*"&amp;$H$3&amp;"*") + COUNTIFS('0919門市清單主檔'!C:C,B52,'0919門市清單主檔'!AF:AF,$H$3) &gt; 1,
       "V","未完工"),"-")</f>
        <v>-</v>
      </c>
      <c r="H52" s="253" t="str">
        <f>IF(COUNTIFS('0919門市清單主檔'!C:C,B52,'0919門市清單主檔'!AG:AG,$H$4)=1,
    IF(COUNTIFS(IM!F:F,A52,IM!AC:AC,"*"&amp;$H$4&amp;"*") + COUNTIFS('0919門市清單主檔'!C:C,B52,'0919門市清單主檔'!AG:AG,$H$4) &gt; 1,
       "V","未完工"),"-")</f>
        <v>V</v>
      </c>
      <c r="I52" s="253" t="str">
        <f>IF(COUNTIFS('0919門市清單主檔'!C:C,B52,'0919門市清單主檔'!AH:AH,$H$5)=1,
    IF(COUNTIFS(IM!F:F,A52,IM!AC:AC,"*"&amp;$H$5&amp;"*") + COUNTIFS('0919門市清單主檔'!C:C,B52,'0919門市清單主檔'!AH:AH,$H$5) &gt; 1,
       "V","未完工"),"-")</f>
        <v>未完工</v>
      </c>
      <c r="J52" s="253" t="str">
        <f>IF(
    COUNTIFS('0919門市清單主檔'!C:C,B52,'0919門市清單主檔'!AC:AC,$H$2)=1,
    IF(
        COUNTIFS(
            IM!F:F,A52,
            IM!AC:AC,"*"&amp;$H$2&amp;"*",
            IM!X:X,"&gt;="&amp;$M$1,
            IM!X:X,"&lt;="&amp;$M$3
        )
        + COUNTIFS('0919門市清單主檔'!C:C,B52,'0919門市清單主檔'!AC:AC,$H$2)
        &gt;1,
        "V",
        "未完工"
    ),
    "-"
)</f>
        <v>-</v>
      </c>
      <c r="K52" s="122">
        <v>45901</v>
      </c>
      <c r="L52" s="116" t="str">
        <f>VLOOKUP(A52,'0919門市清單主檔'!B:V,21,FALSE)</f>
        <v>金山區</v>
      </c>
      <c r="M52" t="str">
        <f>VLOOKUP(A52,門市總表!A:B,2,FALSE)</f>
        <v>北縣金陽店</v>
      </c>
      <c r="Q52" s="115" t="s">
        <v>4951</v>
      </c>
      <c r="R52" s="120" t="s">
        <v>4952</v>
      </c>
    </row>
    <row r="53" spans="1:18" ht="21.6" customHeight="1">
      <c r="A53" s="116">
        <v>4906</v>
      </c>
      <c r="B53" s="116" t="str">
        <f>VLOOKUP(A53,門市總表!A:B,2,FALSE)</f>
        <v>金山銀山店</v>
      </c>
      <c r="C53" s="146" t="str">
        <f>IF(COUNTIFS(IM!$F:$F,A53,IM!$AD:$AD,"O",IM!$X:$X,"&gt;="&amp;$M$1, IM!$X:$X,"&lt;"&amp;$M$2)&gt;0,"V","")</f>
        <v/>
      </c>
      <c r="D53" s="146" t="str">
        <f>IF(AND(C53&lt;&gt;"V", COUNTIFS(IM!$F:$F,A53, IM!$AD:$AD, "O", IM!$X:$X, "&gt;="&amp;$M$2, IM!$X:$X, "&lt;"&amp;$M$3)&gt;0), "V", "")</f>
        <v/>
      </c>
      <c r="E53" s="146" t="str">
        <f>IF(AND(C53&lt;&gt;"V",D53&lt;&gt;"V", COUNTIFS(IM!$F:$F, A53, IM!$AD:$AD, "O", IM!$X:$X, "&gt;="&amp;$M$3, IM!$X:$X, "&lt;"&amp;$N$3)&gt;0), "V", "")</f>
        <v/>
      </c>
      <c r="F53" s="116" t="str">
        <f>IF(VLOOKUP(A53,門市總表!A:F,6,FALSE)="新開","新開不保養",
IF(VLOOKUP(A53,門市總表!A:F,6,FALSE)="撤店","閉店不保養",IF(VLOOKUP(A53,門市總表!A:F,6,FALSE)="非當季","非當季",IF(VLOOKUP(A53,門市總表!A:F,6,FALSE)="跨季補單","跨季補單",
IF(COUNTBLANK(C53:E53)=3,"未保養","")
))))</f>
        <v>未保養</v>
      </c>
      <c r="G53" s="116" t="str">
        <f>IF(COUNTIFS('0919門市清單主檔'!C:C,B53,'0919門市清單主檔'!AF:AF,$H$3)=1,
    IF(COUNTIFS(IM!F:F,A53,IM!AC:AC,"*"&amp;$H$3&amp;"*") + COUNTIFS('0919門市清單主檔'!C:C,B53,'0919門市清單主檔'!AF:AF,$H$3) &gt; 1,
       "V","未完工"),"-")</f>
        <v>-</v>
      </c>
      <c r="H53" s="253" t="str">
        <f>IF(COUNTIFS('0919門市清單主檔'!C:C,B53,'0919門市清單主檔'!AG:AG,$H$4)=1,
    IF(COUNTIFS(IM!F:F,A53,IM!AC:AC,"*"&amp;$H$4&amp;"*") + COUNTIFS('0919門市清單主檔'!C:C,B53,'0919門市清單主檔'!AG:AG,$H$4) &gt; 1,
       "V","未完工"),"-")</f>
        <v>V</v>
      </c>
      <c r="I53" s="253" t="str">
        <f>IF(COUNTIFS('0919門市清單主檔'!C:C,B53,'0919門市清單主檔'!AH:AH,$H$5)=1,
    IF(COUNTIFS(IM!F:F,A53,IM!AC:AC,"*"&amp;$H$5&amp;"*") + COUNTIFS('0919門市清單主檔'!C:C,B53,'0919門市清單主檔'!AH:AH,$H$5) &gt; 1,
       "V","未完工"),"-")</f>
        <v>未完工</v>
      </c>
      <c r="J53" s="253" t="str">
        <f>IF(
    COUNTIFS('0919門市清單主檔'!C:C,B53,'0919門市清單主檔'!AC:AC,$H$2)=1,
    IF(
        COUNTIFS(
            IM!F:F,A53,
            IM!AC:AC,"*"&amp;$H$2&amp;"*",
            IM!X:X,"&gt;="&amp;$M$1,
            IM!X:X,"&lt;="&amp;$M$3
        )
        + COUNTIFS('0919門市清單主檔'!C:C,B53,'0919門市清單主檔'!AC:AC,$H$2)
        &gt;1,
        "V",
        "未完工"
    ),
    "-"
)</f>
        <v>-</v>
      </c>
      <c r="K53" s="122">
        <v>45901</v>
      </c>
      <c r="L53" s="116" t="str">
        <f>VLOOKUP(A53,'0919門市清單主檔'!B:V,21,FALSE)</f>
        <v>金山區</v>
      </c>
      <c r="M53" t="str">
        <f>VLOOKUP(A53,門市總表!A:B,2,FALSE)</f>
        <v>金山銀山店</v>
      </c>
      <c r="Q53" s="115"/>
      <c r="R53" s="120" t="s">
        <v>4952</v>
      </c>
    </row>
    <row r="54" spans="1:18" ht="21.6" customHeight="1">
      <c r="A54" s="116">
        <v>3137</v>
      </c>
      <c r="B54" s="116" t="str">
        <f>VLOOKUP(A54,門市總表!A:B,2,FALSE)</f>
        <v>北縣黎明店</v>
      </c>
      <c r="C54" s="146" t="str">
        <f>IF(COUNTIFS(IM!$F:$F,A54,IM!$AD:$AD,"O",IM!$X:$X,"&gt;="&amp;$M$1, IM!$X:$X,"&lt;"&amp;$M$2)&gt;0,"V","")</f>
        <v/>
      </c>
      <c r="D54" s="146" t="str">
        <f>IF(AND(C54&lt;&gt;"V", COUNTIFS(IM!$F:$F,A54, IM!$AD:$AD, "O", IM!$X:$X, "&gt;="&amp;$M$2, IM!$X:$X, "&lt;"&amp;$M$3)&gt;0), "V", "")</f>
        <v/>
      </c>
      <c r="E54" s="146" t="str">
        <f>IF(AND(C54&lt;&gt;"V",D54&lt;&gt;"V", COUNTIFS(IM!$F:$F, A54, IM!$AD:$AD, "O", IM!$X:$X, "&gt;="&amp;$M$3, IM!$X:$X, "&lt;"&amp;$N$3)&gt;0), "V", "")</f>
        <v/>
      </c>
      <c r="F54" s="116" t="str">
        <f>IF(VLOOKUP(A54,門市總表!A:F,6,FALSE)="新開","新開不保養",
IF(VLOOKUP(A54,門市總表!A:F,6,FALSE)="撤店","閉店不保養",IF(VLOOKUP(A54,門市總表!A:F,6,FALSE)="非當季","非當季",IF(VLOOKUP(A54,門市總表!A:F,6,FALSE)="跨季補單","跨季補單",
IF(COUNTBLANK(C54:E54)=3,"未保養","")
))))</f>
        <v>未保養</v>
      </c>
      <c r="G54" s="116" t="str">
        <f>IF(COUNTIFS('0919門市清單主檔'!C:C,B54,'0919門市清單主檔'!AF:AF,$H$3)=1,
    IF(COUNTIFS(IM!F:F,A54,IM!AC:AC,"*"&amp;$H$3&amp;"*") + COUNTIFS('0919門市清單主檔'!C:C,B54,'0919門市清單主檔'!AF:AF,$H$3) &gt; 1,
       "V","未完工"),"-")</f>
        <v>-</v>
      </c>
      <c r="H54" s="253" t="str">
        <f>IF(COUNTIFS('0919門市清單主檔'!C:C,B54,'0919門市清單主檔'!AG:AG,$H$4)=1,
    IF(COUNTIFS(IM!F:F,A54,IM!AC:AC,"*"&amp;$H$4&amp;"*") + COUNTIFS('0919門市清單主檔'!C:C,B54,'0919門市清單主檔'!AG:AG,$H$4) &gt; 1,
       "V","未完工"),"-")</f>
        <v>V</v>
      </c>
      <c r="I54" s="253" t="str">
        <f>IF(COUNTIFS('0919門市清單主檔'!C:C,B54,'0919門市清單主檔'!AH:AH,$H$5)=1,
    IF(COUNTIFS(IM!F:F,A54,IM!AC:AC,"*"&amp;$H$5&amp;"*") + COUNTIFS('0919門市清單主檔'!C:C,B54,'0919門市清單主檔'!AH:AH,$H$5) &gt; 1,
       "V","未完工"),"-")</f>
        <v>未完工</v>
      </c>
      <c r="J54" s="253" t="str">
        <f>IF(
    COUNTIFS('0919門市清單主檔'!C:C,B54,'0919門市清單主檔'!AC:AC,$H$2)=1,
    IF(
        COUNTIFS(
            IM!F:F,A54,
            IM!AC:AC,"*"&amp;$H$2&amp;"*",
            IM!X:X,"&gt;="&amp;$M$1,
            IM!X:X,"&lt;="&amp;$M$3
        )
        + COUNTIFS('0919門市清單主檔'!C:C,B54,'0919門市清單主檔'!AC:AC,$H$2)
        &gt;1,
        "V",
        "未完工"
    ),
    "-"
)</f>
        <v>-</v>
      </c>
      <c r="K54" s="122">
        <v>45894</v>
      </c>
      <c r="L54" s="116" t="str">
        <f>VLOOKUP(A54,'0919門市清單主檔'!B:V,21,FALSE)</f>
        <v>泰山區</v>
      </c>
      <c r="M54" t="str">
        <f>VLOOKUP(A54,門市總表!A:B,2,FALSE)</f>
        <v>北縣黎明店</v>
      </c>
      <c r="Q54" s="115"/>
      <c r="R54" s="120" t="s">
        <v>4952</v>
      </c>
    </row>
    <row r="55" spans="1:18" ht="21.6" customHeight="1">
      <c r="A55" s="116">
        <v>3751</v>
      </c>
      <c r="B55" s="116" t="str">
        <f>VLOOKUP(A55,門市總表!A:B,2,FALSE)</f>
        <v>淡水真理大</v>
      </c>
      <c r="C55" s="146" t="str">
        <f>IF(COUNTIFS(IM!$F:$F,A55,IM!$AD:$AD,"O",IM!$X:$X,"&gt;="&amp;$M$1, IM!$X:$X,"&lt;"&amp;$M$2)&gt;0,"V","")</f>
        <v/>
      </c>
      <c r="D55" s="146" t="str">
        <f>IF(AND(C55&lt;&gt;"V", COUNTIFS(IM!$F:$F,A55, IM!$AD:$AD, "O", IM!$X:$X, "&gt;="&amp;$M$2, IM!$X:$X, "&lt;"&amp;$M$3)&gt;0), "V", "")</f>
        <v/>
      </c>
      <c r="E55" s="146" t="str">
        <f>IF(AND(C55&lt;&gt;"V",D55&lt;&gt;"V", COUNTIFS(IM!$F:$F, A55, IM!$AD:$AD, "O", IM!$X:$X, "&gt;="&amp;$M$3, IM!$X:$X, "&lt;"&amp;$N$3)&gt;0), "V", "")</f>
        <v/>
      </c>
      <c r="F55" s="116" t="str">
        <f>IF(VLOOKUP(A55,門市總表!A:F,6,FALSE)="新開","新開不保養",
IF(VLOOKUP(A55,門市總表!A:F,6,FALSE)="撤店","閉店不保養",IF(VLOOKUP(A55,門市總表!A:F,6,FALSE)="非當季","非當季",IF(VLOOKUP(A55,門市總表!A:F,6,FALSE)="跨季補單","跨季補單",
IF(COUNTBLANK(C55:E55)=3,"未保養","")
))))</f>
        <v>未保養</v>
      </c>
      <c r="G55" s="116" t="str">
        <f>IF(COUNTIFS('0919門市清單主檔'!C:C,B55,'0919門市清單主檔'!AF:AF,$H$3)=1,
    IF(COUNTIFS(IM!F:F,A55,IM!AC:AC,"*"&amp;$H$3&amp;"*") + COUNTIFS('0919門市清單主檔'!C:C,B55,'0919門市清單主檔'!AF:AF,$H$3) &gt; 1,
       "V","未完工"),"-")</f>
        <v>-</v>
      </c>
      <c r="H55" s="253" t="str">
        <f>IF(COUNTIFS('0919門市清單主檔'!C:C,B55,'0919門市清單主檔'!AG:AG,$H$4)=1,
    IF(COUNTIFS(IM!F:F,A55,IM!AC:AC,"*"&amp;$H$4&amp;"*") + COUNTIFS('0919門市清單主檔'!C:C,B55,'0919門市清單主檔'!AG:AG,$H$4) &gt; 1,
       "V","未完工"),"-")</f>
        <v>V</v>
      </c>
      <c r="I55" s="253" t="str">
        <f>IF(COUNTIFS('0919門市清單主檔'!C:C,B55,'0919門市清單主檔'!AH:AH,$H$5)=1,
    IF(COUNTIFS(IM!F:F,A55,IM!AC:AC,"*"&amp;$H$5&amp;"*") + COUNTIFS('0919門市清單主檔'!C:C,B55,'0919門市清單主檔'!AH:AH,$H$5) &gt; 1,
       "V","未完工"),"-")</f>
        <v>未完工</v>
      </c>
      <c r="J55" s="253" t="str">
        <f>IF(
    COUNTIFS('0919門市清單主檔'!C:C,B55,'0919門市清單主檔'!AC:AC,$H$2)=1,
    IF(
        COUNTIFS(
            IM!F:F,A55,
            IM!AC:AC,"*"&amp;$H$2&amp;"*",
            IM!X:X,"&gt;="&amp;$M$1,
            IM!X:X,"&lt;="&amp;$M$3
        )
        + COUNTIFS('0919門市清單主檔'!C:C,B55,'0919門市清單主檔'!AC:AC,$H$2)
        &gt;1,
        "V",
        "未完工"
    ),
    "-"
)</f>
        <v>-</v>
      </c>
      <c r="K55" s="122">
        <v>45856</v>
      </c>
      <c r="L55" s="116" t="str">
        <f>VLOOKUP(A55,'0919門市清單主檔'!B:V,21,FALSE)</f>
        <v>淡水區</v>
      </c>
      <c r="M55" t="str">
        <f>VLOOKUP(A55,門市總表!A:B,2,FALSE)</f>
        <v>淡水真理大</v>
      </c>
      <c r="Q55" s="115" t="s">
        <v>4951</v>
      </c>
      <c r="R55" s="120" t="s">
        <v>4952</v>
      </c>
    </row>
    <row r="56" spans="1:18" ht="21.6" customHeight="1">
      <c r="A56" s="116">
        <v>4298</v>
      </c>
      <c r="B56" s="116" t="str">
        <f>VLOOKUP(A56,門市總表!A:B,2,FALSE)</f>
        <v>淡水後洲店</v>
      </c>
      <c r="C56" s="146" t="str">
        <f>IF(COUNTIFS(IM!$F:$F,A56,IM!$AD:$AD,"O",IM!$X:$X,"&gt;="&amp;$M$1, IM!$X:$X,"&lt;"&amp;$M$2)&gt;0,"V","")</f>
        <v/>
      </c>
      <c r="D56" s="146" t="str">
        <f>IF(AND(C56&lt;&gt;"V", COUNTIFS(IM!$F:$F,A56, IM!$AD:$AD, "O", IM!$X:$X, "&gt;="&amp;$M$2, IM!$X:$X, "&lt;"&amp;$M$3)&gt;0), "V", "")</f>
        <v/>
      </c>
      <c r="E56" s="146" t="str">
        <f>IF(AND(C56&lt;&gt;"V",D56&lt;&gt;"V", COUNTIFS(IM!$F:$F, A56, IM!$AD:$AD, "O", IM!$X:$X, "&gt;="&amp;$M$3, IM!$X:$X, "&lt;"&amp;$N$3)&gt;0), "V", "")</f>
        <v/>
      </c>
      <c r="F56" s="116" t="str">
        <f>IF(VLOOKUP(A56,門市總表!A:F,6,FALSE)="新開","新開不保養",
IF(VLOOKUP(A56,門市總表!A:F,6,FALSE)="撤店","閉店不保養",IF(VLOOKUP(A56,門市總表!A:F,6,FALSE)="非當季","非當季",IF(VLOOKUP(A56,門市總表!A:F,6,FALSE)="跨季補單","跨季補單",
IF(COUNTBLANK(C56:E56)=3,"未保養","")
))))</f>
        <v>未保養</v>
      </c>
      <c r="G56" s="116" t="str">
        <f>IF(COUNTIFS('0919門市清單主檔'!C:C,B56,'0919門市清單主檔'!AF:AF,$H$3)=1,
    IF(COUNTIFS(IM!F:F,A56,IM!AC:AC,"*"&amp;$H$3&amp;"*") + COUNTIFS('0919門市清單主檔'!C:C,B56,'0919門市清單主檔'!AF:AF,$H$3) &gt; 1,
       "V","未完工"),"-")</f>
        <v>-</v>
      </c>
      <c r="H56" s="253" t="str">
        <f>IF(COUNTIFS('0919門市清單主檔'!C:C,B56,'0919門市清單主檔'!AG:AG,$H$4)=1,
    IF(COUNTIFS(IM!F:F,A56,IM!AC:AC,"*"&amp;$H$4&amp;"*") + COUNTIFS('0919門市清單主檔'!C:C,B56,'0919門市清單主檔'!AG:AG,$H$4) &gt; 1,
       "V","未完工"),"-")</f>
        <v>V</v>
      </c>
      <c r="I56" s="253" t="str">
        <f>IF(COUNTIFS('0919門市清單主檔'!C:C,B56,'0919門市清單主檔'!AH:AH,$H$5)=1,
    IF(COUNTIFS(IM!F:F,A56,IM!AC:AC,"*"&amp;$H$5&amp;"*") + COUNTIFS('0919門市清單主檔'!C:C,B56,'0919門市清單主檔'!AH:AH,$H$5) &gt; 1,
       "V","未完工"),"-")</f>
        <v>未完工</v>
      </c>
      <c r="J56" s="253" t="str">
        <f>IF(
    COUNTIFS('0919門市清單主檔'!C:C,B56,'0919門市清單主檔'!AC:AC,$H$2)=1,
    IF(
        COUNTIFS(
            IM!F:F,A56,
            IM!AC:AC,"*"&amp;$H$2&amp;"*",
            IM!X:X,"&gt;="&amp;$M$1,
            IM!X:X,"&lt;="&amp;$M$3
        )
        + COUNTIFS('0919門市清單主檔'!C:C,B56,'0919門市清單主檔'!AC:AC,$H$2)
        &gt;1,
        "V",
        "未完工"
    ),
    "-"
)</f>
        <v>-</v>
      </c>
      <c r="K56" s="122">
        <v>45896</v>
      </c>
      <c r="L56" s="116" t="str">
        <f>VLOOKUP(A56,'0919門市清單主檔'!B:V,21,FALSE)</f>
        <v>淡水區</v>
      </c>
      <c r="M56" t="str">
        <f>VLOOKUP(A56,門市總表!A:B,2,FALSE)</f>
        <v>淡水後洲店</v>
      </c>
      <c r="Q56" s="115" t="s">
        <v>4951</v>
      </c>
      <c r="R56" s="120" t="s">
        <v>4952</v>
      </c>
    </row>
    <row r="57" spans="1:18" ht="21.6" customHeight="1">
      <c r="A57" s="116">
        <v>4529</v>
      </c>
      <c r="B57" s="116" t="str">
        <f>VLOOKUP(A57,門市總表!A:B,2,FALSE)</f>
        <v>淡水新洲店</v>
      </c>
      <c r="C57" s="146" t="str">
        <f>IF(COUNTIFS(IM!$F:$F,A57,IM!$AD:$AD,"O",IM!$X:$X,"&gt;="&amp;$M$1, IM!$X:$X,"&lt;"&amp;$M$2)&gt;0,"V","")</f>
        <v/>
      </c>
      <c r="D57" s="146" t="str">
        <f>IF(AND(C57&lt;&gt;"V", COUNTIFS(IM!$F:$F,A57, IM!$AD:$AD, "O", IM!$X:$X, "&gt;="&amp;$M$2, IM!$X:$X, "&lt;"&amp;$M$3)&gt;0), "V", "")</f>
        <v/>
      </c>
      <c r="E57" s="146" t="str">
        <f>IF(AND(C57&lt;&gt;"V",D57&lt;&gt;"V", COUNTIFS(IM!$F:$F, A57, IM!$AD:$AD, "O", IM!$X:$X, "&gt;="&amp;$M$3, IM!$X:$X, "&lt;"&amp;$N$3)&gt;0), "V", "")</f>
        <v/>
      </c>
      <c r="F57" s="116" t="str">
        <f>IF(VLOOKUP(A57,門市總表!A:F,6,FALSE)="新開","新開不保養",
IF(VLOOKUP(A57,門市總表!A:F,6,FALSE)="撤店","閉店不保養",IF(VLOOKUP(A57,門市總表!A:F,6,FALSE)="非當季","非當季",IF(VLOOKUP(A57,門市總表!A:F,6,FALSE)="跨季補單","跨季補單",
IF(COUNTBLANK(C57:E57)=3,"未保養","")
))))</f>
        <v>未保養</v>
      </c>
      <c r="G57" s="116" t="str">
        <f>IF(COUNTIFS('0919門市清單主檔'!C:C,B57,'0919門市清單主檔'!AF:AF,$H$3)=1,
    IF(COUNTIFS(IM!F:F,A57,IM!AC:AC,"*"&amp;$H$3&amp;"*") + COUNTIFS('0919門市清單主檔'!C:C,B57,'0919門市清單主檔'!AF:AF,$H$3) &gt; 1,
       "V","未完工"),"-")</f>
        <v>-</v>
      </c>
      <c r="H57" s="253" t="str">
        <f>IF(COUNTIFS('0919門市清單主檔'!C:C,B57,'0919門市清單主檔'!AG:AG,$H$4)=1,
    IF(COUNTIFS(IM!F:F,A57,IM!AC:AC,"*"&amp;$H$4&amp;"*") + COUNTIFS('0919門市清單主檔'!C:C,B57,'0919門市清單主檔'!AG:AG,$H$4) &gt; 1,
       "V","未完工"),"-")</f>
        <v>V</v>
      </c>
      <c r="I57" s="253" t="str">
        <f>IF(COUNTIFS('0919門市清單主檔'!C:C,B57,'0919門市清單主檔'!AH:AH,$H$5)=1,
    IF(COUNTIFS(IM!F:F,A57,IM!AC:AC,"*"&amp;$H$5&amp;"*") + COUNTIFS('0919門市清單主檔'!C:C,B57,'0919門市清單主檔'!AH:AH,$H$5) &gt; 1,
       "V","未完工"),"-")</f>
        <v>未完工</v>
      </c>
      <c r="J57" s="253" t="str">
        <f>IF(
    COUNTIFS('0919門市清單主檔'!C:C,B57,'0919門市清單主檔'!AC:AC,$H$2)=1,
    IF(
        COUNTIFS(
            IM!F:F,A57,
            IM!AC:AC,"*"&amp;$H$2&amp;"*",
            IM!X:X,"&gt;="&amp;$M$1,
            IM!X:X,"&lt;="&amp;$M$3
        )
        + COUNTIFS('0919門市清單主檔'!C:C,B57,'0919門市清單主檔'!AC:AC,$H$2)
        &gt;1,
        "V",
        "未完工"
    ),
    "-"
)</f>
        <v>-</v>
      </c>
      <c r="K57" s="122">
        <v>45842</v>
      </c>
      <c r="L57" s="116" t="str">
        <f>VLOOKUP(A57,'0919門市清單主檔'!B:V,21,FALSE)</f>
        <v>淡水區</v>
      </c>
      <c r="M57" t="str">
        <f>VLOOKUP(A57,門市總表!A:B,2,FALSE)</f>
        <v>淡水新洲店</v>
      </c>
      <c r="Q57" s="115" t="s">
        <v>4951</v>
      </c>
      <c r="R57" s="120" t="s">
        <v>4952</v>
      </c>
    </row>
    <row r="58" spans="1:18" ht="21.6" customHeight="1">
      <c r="A58" s="116">
        <v>2318</v>
      </c>
      <c r="B58" s="116" t="str">
        <f>VLOOKUP(A58,門市總表!A:B,2,FALSE)</f>
        <v>北縣淡俊店</v>
      </c>
      <c r="C58" s="146" t="str">
        <f>IF(COUNTIFS(IM!$F:$F,A58,IM!$AD:$AD,"O",IM!$X:$X,"&gt;="&amp;$M$1, IM!$X:$X,"&lt;"&amp;$M$2)&gt;0,"V","")</f>
        <v/>
      </c>
      <c r="D58" s="146" t="str">
        <f>IF(AND(C58&lt;&gt;"V", COUNTIFS(IM!$F:$F,A58, IM!$AD:$AD, "O", IM!$X:$X, "&gt;="&amp;$M$2, IM!$X:$X, "&lt;"&amp;$M$3)&gt;0), "V", "")</f>
        <v/>
      </c>
      <c r="E58" s="146" t="str">
        <f>IF(AND(C58&lt;&gt;"V",D58&lt;&gt;"V", COUNTIFS(IM!$F:$F, A58, IM!$AD:$AD, "O", IM!$X:$X, "&gt;="&amp;$M$3, IM!$X:$X, "&lt;"&amp;$N$3)&gt;0), "V", "")</f>
        <v/>
      </c>
      <c r="F58" s="116" t="str">
        <f>IF(VLOOKUP(A58,門市總表!A:F,6,FALSE)="新開","新開不保養",
IF(VLOOKUP(A58,門市總表!A:F,6,FALSE)="撤店","閉店不保養",IF(VLOOKUP(A58,門市總表!A:F,6,FALSE)="非當季","非當季",IF(VLOOKUP(A58,門市總表!A:F,6,FALSE)="跨季補單","跨季補單",
IF(COUNTBLANK(C58:E58)=3,"未保養","")
))))</f>
        <v>未保養</v>
      </c>
      <c r="G58" s="116" t="str">
        <f>IF(COUNTIFS('0919門市清單主檔'!C:C,B58,'0919門市清單主檔'!AF:AF,$H$3)=1,
    IF(COUNTIFS(IM!F:F,A58,IM!AC:AC,"*"&amp;$H$3&amp;"*") + COUNTIFS('0919門市清單主檔'!C:C,B58,'0919門市清單主檔'!AF:AF,$H$3) &gt; 1,
       "V","未完工"),"-")</f>
        <v>-</v>
      </c>
      <c r="H58" s="253" t="str">
        <f>IF(COUNTIFS('0919門市清單主檔'!C:C,B58,'0919門市清單主檔'!AG:AG,$H$4)=1,
    IF(COUNTIFS(IM!F:F,A58,IM!AC:AC,"*"&amp;$H$4&amp;"*") + COUNTIFS('0919門市清單主檔'!C:C,B58,'0919門市清單主檔'!AG:AG,$H$4) &gt; 1,
       "V","未完工"),"-")</f>
        <v>V</v>
      </c>
      <c r="I58" s="253" t="str">
        <f>IF(COUNTIFS('0919門市清單主檔'!C:C,B58,'0919門市清單主檔'!AH:AH,$H$5)=1,
    IF(COUNTIFS(IM!F:F,A58,IM!AC:AC,"*"&amp;$H$5&amp;"*") + COUNTIFS('0919門市清單主檔'!C:C,B58,'0919門市清單主檔'!AH:AH,$H$5) &gt; 1,
       "V","未完工"),"-")</f>
        <v>未完工</v>
      </c>
      <c r="J58" s="253" t="str">
        <f>IF(
    COUNTIFS('0919門市清單主檔'!C:C,B58,'0919門市清單主檔'!AC:AC,$H$2)=1,
    IF(
        COUNTIFS(
            IM!F:F,A58,
            IM!AC:AC,"*"&amp;$H$2&amp;"*",
            IM!X:X,"&gt;="&amp;$M$1,
            IM!X:X,"&lt;="&amp;$M$3
        )
        + COUNTIFS('0919門市清單主檔'!C:C,B58,'0919門市清單主檔'!AC:AC,$H$2)
        &gt;1,
        "V",
        "未完工"
    ),
    "-"
)</f>
        <v>-</v>
      </c>
      <c r="K58" s="122" t="s">
        <v>24</v>
      </c>
      <c r="L58" s="116" t="str">
        <f>VLOOKUP(A58,'0919門市清單主檔'!B:V,21,FALSE)</f>
        <v>淡水區</v>
      </c>
      <c r="M58" t="str">
        <f>VLOOKUP(A58,門市總表!A:B,2,FALSE)</f>
        <v>北縣淡俊店</v>
      </c>
      <c r="Q58" s="115" t="s">
        <v>4951</v>
      </c>
      <c r="R58" s="120" t="s">
        <v>4952</v>
      </c>
    </row>
    <row r="59" spans="1:18" ht="21.6" customHeight="1">
      <c r="A59" s="116">
        <v>2897</v>
      </c>
      <c r="B59" s="116" t="str">
        <f>VLOOKUP(A59,門市總表!A:B,2,FALSE)</f>
        <v>淡水台電宿舍</v>
      </c>
      <c r="C59" s="146" t="str">
        <f>IF(COUNTIFS(IM!$F:$F,A59,IM!$AD:$AD,"O",IM!$X:$X,"&gt;="&amp;$M$1, IM!$X:$X,"&lt;"&amp;$M$2)&gt;0,"V","")</f>
        <v/>
      </c>
      <c r="D59" s="146" t="str">
        <f>IF(AND(C59&lt;&gt;"V", COUNTIFS(IM!$F:$F,A59, IM!$AD:$AD, "O", IM!$X:$X, "&gt;="&amp;$M$2, IM!$X:$X, "&lt;"&amp;$M$3)&gt;0), "V", "")</f>
        <v/>
      </c>
      <c r="E59" s="146" t="str">
        <f>IF(AND(C59&lt;&gt;"V",D59&lt;&gt;"V", COUNTIFS(IM!$F:$F, A59, IM!$AD:$AD, "O", IM!$X:$X, "&gt;="&amp;$M$3, IM!$X:$X, "&lt;"&amp;$N$3)&gt;0), "V", "")</f>
        <v/>
      </c>
      <c r="F59" s="116" t="str">
        <f>IF(VLOOKUP(A59,門市總表!A:F,6,FALSE)="新開","新開不保養",
IF(VLOOKUP(A59,門市總表!A:F,6,FALSE)="撤店","閉店不保養",IF(VLOOKUP(A59,門市總表!A:F,6,FALSE)="非當季","非當季",IF(VLOOKUP(A59,門市總表!A:F,6,FALSE)="跨季補單","跨季補單",
IF(COUNTBLANK(C59:E59)=3,"未保養","")
))))</f>
        <v>未保養</v>
      </c>
      <c r="G59" s="116" t="str">
        <f>IF(COUNTIFS('0919門市清單主檔'!C:C,B59,'0919門市清單主檔'!AF:AF,$H$3)=1,
    IF(COUNTIFS(IM!F:F,A59,IM!AC:AC,"*"&amp;$H$3&amp;"*") + COUNTIFS('0919門市清單主檔'!C:C,B59,'0919門市清單主檔'!AF:AF,$H$3) &gt; 1,
       "V","未完工"),"-")</f>
        <v>-</v>
      </c>
      <c r="H59" s="253" t="str">
        <f>IF(COUNTIFS('0919門市清單主檔'!C:C,B59,'0919門市清單主檔'!AG:AG,$H$4)=1,
    IF(COUNTIFS(IM!F:F,A59,IM!AC:AC,"*"&amp;$H$4&amp;"*") + COUNTIFS('0919門市清單主檔'!C:C,B59,'0919門市清單主檔'!AG:AG,$H$4) &gt; 1,
       "V","未完工"),"-")</f>
        <v>V</v>
      </c>
      <c r="I59" s="253" t="str">
        <f>IF(COUNTIFS('0919門市清單主檔'!C:C,B59,'0919門市清單主檔'!AH:AH,$H$5)=1,
    IF(COUNTIFS(IM!F:F,A59,IM!AC:AC,"*"&amp;$H$5&amp;"*") + COUNTIFS('0919門市清單主檔'!C:C,B59,'0919門市清單主檔'!AH:AH,$H$5) &gt; 1,
       "V","未完工"),"-")</f>
        <v>未完工</v>
      </c>
      <c r="J59" s="253" t="str">
        <f>IF(
    COUNTIFS('0919門市清單主檔'!C:C,B59,'0919門市清單主檔'!AC:AC,$H$2)=1,
    IF(
        COUNTIFS(
            IM!F:F,A59,
            IM!AC:AC,"*"&amp;$H$2&amp;"*",
            IM!X:X,"&gt;="&amp;$M$1,
            IM!X:X,"&lt;="&amp;$M$3
        )
        + COUNTIFS('0919門市清單主檔'!C:C,B59,'0919門市清單主檔'!AC:AC,$H$2)
        &gt;1,
        "V",
        "未完工"
    ),
    "-"
)</f>
        <v>-</v>
      </c>
      <c r="K59" s="122">
        <v>45923</v>
      </c>
      <c r="L59" s="116" t="str">
        <f>VLOOKUP(A59,'0919門市清單主檔'!B:V,21,FALSE)</f>
        <v>淡水區</v>
      </c>
      <c r="M59" t="str">
        <f>VLOOKUP(A59,門市總表!A:B,2,FALSE)</f>
        <v>淡水台電宿舍</v>
      </c>
      <c r="Q59" s="115"/>
      <c r="R59" s="120" t="s">
        <v>4952</v>
      </c>
    </row>
    <row r="60" spans="1:18" ht="21.6" customHeight="1">
      <c r="A60" s="116">
        <v>4093</v>
      </c>
      <c r="B60" s="116" t="str">
        <f>VLOOKUP(A60,門市總表!A:B,2,FALSE)</f>
        <v>淡水新市一</v>
      </c>
      <c r="C60" s="146" t="str">
        <f>IF(COUNTIFS(IM!$F:$F,A60,IM!$AD:$AD,"O",IM!$X:$X,"&gt;="&amp;$M$1, IM!$X:$X,"&lt;"&amp;$M$2)&gt;0,"V","")</f>
        <v/>
      </c>
      <c r="D60" s="146" t="str">
        <f>IF(AND(C60&lt;&gt;"V", COUNTIFS(IM!$F:$F,A60, IM!$AD:$AD, "O", IM!$X:$X, "&gt;="&amp;$M$2, IM!$X:$X, "&lt;"&amp;$M$3)&gt;0), "V", "")</f>
        <v/>
      </c>
      <c r="E60" s="146" t="str">
        <f>IF(AND(C60&lt;&gt;"V",D60&lt;&gt;"V", COUNTIFS(IM!$F:$F, A60, IM!$AD:$AD, "O", IM!$X:$X, "&gt;="&amp;$M$3, IM!$X:$X, "&lt;"&amp;$N$3)&gt;0), "V", "")</f>
        <v/>
      </c>
      <c r="F60" s="116" t="str">
        <f>IF(VLOOKUP(A60,門市總表!A:F,6,FALSE)="新開","新開不保養",
IF(VLOOKUP(A60,門市總表!A:F,6,FALSE)="撤店","閉店不保養",IF(VLOOKUP(A60,門市總表!A:F,6,FALSE)="非當季","非當季",IF(VLOOKUP(A60,門市總表!A:F,6,FALSE)="跨季補單","跨季補單",
IF(COUNTBLANK(C60:E60)=3,"未保養","")
))))</f>
        <v>未保養</v>
      </c>
      <c r="G60" s="116" t="str">
        <f>IF(COUNTIFS('0919門市清單主檔'!C:C,B60,'0919門市清單主檔'!AF:AF,$H$3)=1,
    IF(COUNTIFS(IM!F:F,A60,IM!AC:AC,"*"&amp;$H$3&amp;"*") + COUNTIFS('0919門市清單主檔'!C:C,B60,'0919門市清單主檔'!AF:AF,$H$3) &gt; 1,
       "V","未完工"),"-")</f>
        <v>-</v>
      </c>
      <c r="H60" s="253" t="str">
        <f>IF(COUNTIFS('0919門市清單主檔'!C:C,B60,'0919門市清單主檔'!AG:AG,$H$4)=1,
    IF(COUNTIFS(IM!F:F,A60,IM!AC:AC,"*"&amp;$H$4&amp;"*") + COUNTIFS('0919門市清單主檔'!C:C,B60,'0919門市清單主檔'!AG:AG,$H$4) &gt; 1,
       "V","未完工"),"-")</f>
        <v>V</v>
      </c>
      <c r="I60" s="253" t="str">
        <f>IF(COUNTIFS('0919門市清單主檔'!C:C,B60,'0919門市清單主檔'!AH:AH,$H$5)=1,
    IF(COUNTIFS(IM!F:F,A60,IM!AC:AC,"*"&amp;$H$5&amp;"*") + COUNTIFS('0919門市清單主檔'!C:C,B60,'0919門市清單主檔'!AH:AH,$H$5) &gt; 1,
       "V","未完工"),"-")</f>
        <v>未完工</v>
      </c>
      <c r="J60" s="253" t="str">
        <f>IF(
    COUNTIFS('0919門市清單主檔'!C:C,B60,'0919門市清單主檔'!AC:AC,$H$2)=1,
    IF(
        COUNTIFS(
            IM!F:F,A60,
            IM!AC:AC,"*"&amp;$H$2&amp;"*",
            IM!X:X,"&gt;="&amp;$M$1,
            IM!X:X,"&lt;="&amp;$M$3
        )
        + COUNTIFS('0919門市清單主檔'!C:C,B60,'0919門市清單主檔'!AC:AC,$H$2)
        &gt;1,
        "V",
        "未完工"
    ),
    "-"
)</f>
        <v>-</v>
      </c>
      <c r="K60" s="122">
        <v>45881</v>
      </c>
      <c r="L60" s="116" t="str">
        <f>VLOOKUP(A60,'0919門市清單主檔'!B:V,21,FALSE)</f>
        <v>淡水區</v>
      </c>
      <c r="M60" t="str">
        <f>VLOOKUP(A60,門市總表!A:B,2,FALSE)</f>
        <v>淡水新市一</v>
      </c>
      <c r="Q60" s="115"/>
      <c r="R60" s="120" t="s">
        <v>4952</v>
      </c>
    </row>
    <row r="61" spans="1:18" ht="21.6" customHeight="1">
      <c r="A61" s="116">
        <v>4541</v>
      </c>
      <c r="B61" s="116" t="str">
        <f>VLOOKUP(A61,門市總表!A:B,2,FALSE)</f>
        <v>淡水海天店</v>
      </c>
      <c r="C61" s="146" t="str">
        <f>IF(COUNTIFS(IM!$F:$F,A61,IM!$AD:$AD,"O",IM!$X:$X,"&gt;="&amp;$M$1, IM!$X:$X,"&lt;"&amp;$M$2)&gt;0,"V","")</f>
        <v/>
      </c>
      <c r="D61" s="146" t="str">
        <f>IF(AND(C61&lt;&gt;"V", COUNTIFS(IM!$F:$F,A61, IM!$AD:$AD, "O", IM!$X:$X, "&gt;="&amp;$M$2, IM!$X:$X, "&lt;"&amp;$M$3)&gt;0), "V", "")</f>
        <v/>
      </c>
      <c r="E61" s="146" t="str">
        <f>IF(AND(C61&lt;&gt;"V",D61&lt;&gt;"V", COUNTIFS(IM!$F:$F, A61, IM!$AD:$AD, "O", IM!$X:$X, "&gt;="&amp;$M$3, IM!$X:$X, "&lt;"&amp;$N$3)&gt;0), "V", "")</f>
        <v/>
      </c>
      <c r="F61" s="116" t="str">
        <f>IF(VLOOKUP(A61,門市總表!A:F,6,FALSE)="新開","新開不保養",
IF(VLOOKUP(A61,門市總表!A:F,6,FALSE)="撤店","閉店不保養",IF(VLOOKUP(A61,門市總表!A:F,6,FALSE)="非當季","非當季",IF(VLOOKUP(A61,門市總表!A:F,6,FALSE)="跨季補單","跨季補單",
IF(COUNTBLANK(C61:E61)=3,"未保養","")
))))</f>
        <v>未保養</v>
      </c>
      <c r="G61" s="116" t="str">
        <f>IF(COUNTIFS('0919門市清單主檔'!C:C,B61,'0919門市清單主檔'!AF:AF,$H$3)=1,
    IF(COUNTIFS(IM!F:F,A61,IM!AC:AC,"*"&amp;$H$3&amp;"*") + COUNTIFS('0919門市清單主檔'!C:C,B61,'0919門市清單主檔'!AF:AF,$H$3) &gt; 1,
       "V","未完工"),"-")</f>
        <v>-</v>
      </c>
      <c r="H61" s="253" t="str">
        <f>IF(COUNTIFS('0919門市清單主檔'!C:C,B61,'0919門市清單主檔'!AG:AG,$H$4)=1,
    IF(COUNTIFS(IM!F:F,A61,IM!AC:AC,"*"&amp;$H$4&amp;"*") + COUNTIFS('0919門市清單主檔'!C:C,B61,'0919門市清單主檔'!AG:AG,$H$4) &gt; 1,
       "V","未完工"),"-")</f>
        <v>V</v>
      </c>
      <c r="I61" s="253" t="str">
        <f>IF(COUNTIFS('0919門市清單主檔'!C:C,B61,'0919門市清單主檔'!AH:AH,$H$5)=1,
    IF(COUNTIFS(IM!F:F,A61,IM!AC:AC,"*"&amp;$H$5&amp;"*") + COUNTIFS('0919門市清單主檔'!C:C,B61,'0919門市清單主檔'!AH:AH,$H$5) &gt; 1,
       "V","未完工"),"-")</f>
        <v>未完工</v>
      </c>
      <c r="J61" s="253" t="str">
        <f>IF(
    COUNTIFS('0919門市清單主檔'!C:C,B61,'0919門市清單主檔'!AC:AC,$H$2)=1,
    IF(
        COUNTIFS(
            IM!F:F,A61,
            IM!AC:AC,"*"&amp;$H$2&amp;"*",
            IM!X:X,"&gt;="&amp;$M$1,
            IM!X:X,"&lt;="&amp;$M$3
        )
        + COUNTIFS('0919門市清單主檔'!C:C,B61,'0919門市清單主檔'!AC:AC,$H$2)
        &gt;1,
        "V",
        "未完工"
    ),
    "-"
)</f>
        <v>-</v>
      </c>
      <c r="K61" s="122">
        <v>45874</v>
      </c>
      <c r="L61" s="116" t="str">
        <f>VLOOKUP(A61,'0919門市清單主檔'!B:V,21,FALSE)</f>
        <v>淡水區</v>
      </c>
      <c r="M61" t="str">
        <f>VLOOKUP(A61,門市總表!A:B,2,FALSE)</f>
        <v>淡水海天店</v>
      </c>
      <c r="Q61" s="115" t="s">
        <v>4951</v>
      </c>
      <c r="R61" s="120" t="s">
        <v>4952</v>
      </c>
    </row>
    <row r="62" spans="1:18" ht="21.6" customHeight="1">
      <c r="A62" s="116">
        <v>4658</v>
      </c>
      <c r="B62" s="116" t="str">
        <f>VLOOKUP(A62,門市總表!A:B,2,FALSE)</f>
        <v>淡水英才店</v>
      </c>
      <c r="C62" s="146" t="str">
        <f>IF(COUNTIFS(IM!$F:$F,A62,IM!$AD:$AD,"O",IM!$X:$X,"&gt;="&amp;$M$1, IM!$X:$X,"&lt;"&amp;$M$2)&gt;0,"V","")</f>
        <v/>
      </c>
      <c r="D62" s="146" t="str">
        <f>IF(AND(C62&lt;&gt;"V", COUNTIFS(IM!$F:$F,A62, IM!$AD:$AD, "O", IM!$X:$X, "&gt;="&amp;$M$2, IM!$X:$X, "&lt;"&amp;$M$3)&gt;0), "V", "")</f>
        <v/>
      </c>
      <c r="E62" s="146" t="str">
        <f>IF(AND(C62&lt;&gt;"V",D62&lt;&gt;"V", COUNTIFS(IM!$F:$F, A62, IM!$AD:$AD, "O", IM!$X:$X, "&gt;="&amp;$M$3, IM!$X:$X, "&lt;"&amp;$N$3)&gt;0), "V", "")</f>
        <v/>
      </c>
      <c r="F62" s="116" t="str">
        <f>IF(VLOOKUP(A62,門市總表!A:F,6,FALSE)="新開","新開不保養",
IF(VLOOKUP(A62,門市總表!A:F,6,FALSE)="撤店","閉店不保養",IF(VLOOKUP(A62,門市總表!A:F,6,FALSE)="非當季","非當季",IF(VLOOKUP(A62,門市總表!A:F,6,FALSE)="跨季補單","跨季補單",
IF(COUNTBLANK(C62:E62)=3,"未保養","")
))))</f>
        <v>未保養</v>
      </c>
      <c r="G62" s="116" t="str">
        <f>IF(COUNTIFS('0919門市清單主檔'!C:C,B62,'0919門市清單主檔'!AF:AF,$H$3)=1,
    IF(COUNTIFS(IM!F:F,A62,IM!AC:AC,"*"&amp;$H$3&amp;"*") + COUNTIFS('0919門市清單主檔'!C:C,B62,'0919門市清單主檔'!AF:AF,$H$3) &gt; 1,
       "V","未完工"),"-")</f>
        <v>-</v>
      </c>
      <c r="H62" s="253" t="str">
        <f>IF(COUNTIFS('0919門市清單主檔'!C:C,B62,'0919門市清單主檔'!AG:AG,$H$4)=1,
    IF(COUNTIFS(IM!F:F,A62,IM!AC:AC,"*"&amp;$H$4&amp;"*") + COUNTIFS('0919門市清單主檔'!C:C,B62,'0919門市清單主檔'!AG:AG,$H$4) &gt; 1,
       "V","未完工"),"-")</f>
        <v>V</v>
      </c>
      <c r="I62" s="253" t="str">
        <f>IF(COUNTIFS('0919門市清單主檔'!C:C,B62,'0919門市清單主檔'!AH:AH,$H$5)=1,
    IF(COUNTIFS(IM!F:F,A62,IM!AC:AC,"*"&amp;$H$5&amp;"*") + COUNTIFS('0919門市清單主檔'!C:C,B62,'0919門市清單主檔'!AH:AH,$H$5) &gt; 1,
       "V","未完工"),"-")</f>
        <v>未完工</v>
      </c>
      <c r="J62" s="253" t="str">
        <f>IF(
    COUNTIFS('0919門市清單主檔'!C:C,B62,'0919門市清單主檔'!AC:AC,$H$2)=1,
    IF(
        COUNTIFS(
            IM!F:F,A62,
            IM!AC:AC,"*"&amp;$H$2&amp;"*",
            IM!X:X,"&gt;="&amp;$M$1,
            IM!X:X,"&lt;="&amp;$M$3
        )
        + COUNTIFS('0919門市清單主檔'!C:C,B62,'0919門市清單主檔'!AC:AC,$H$2)
        &gt;1,
        "V",
        "未完工"
    ),
    "-"
)</f>
        <v>-</v>
      </c>
      <c r="K62" s="122">
        <v>45866</v>
      </c>
      <c r="L62" s="116" t="str">
        <f>VLOOKUP(A62,'0919門市清單主檔'!B:V,21,FALSE)</f>
        <v>淡水區</v>
      </c>
      <c r="M62" t="str">
        <f>VLOOKUP(A62,門市總表!A:B,2,FALSE)</f>
        <v>淡水英才店</v>
      </c>
      <c r="Q62" s="115" t="s">
        <v>4951</v>
      </c>
      <c r="R62" s="120" t="s">
        <v>4952</v>
      </c>
    </row>
    <row r="63" spans="1:18" ht="21.6" customHeight="1">
      <c r="A63" s="116">
        <v>4802</v>
      </c>
      <c r="B63" s="116" t="str">
        <f>VLOOKUP(A63,門市總表!A:B,2,FALSE)</f>
        <v>淡水沙崙店</v>
      </c>
      <c r="C63" s="146" t="str">
        <f>IF(COUNTIFS(IM!$F:$F,A63,IM!$AD:$AD,"O",IM!$X:$X,"&gt;="&amp;$M$1, IM!$X:$X,"&lt;"&amp;$M$2)&gt;0,"V","")</f>
        <v/>
      </c>
      <c r="D63" s="146" t="str">
        <f>IF(AND(C63&lt;&gt;"V", COUNTIFS(IM!$F:$F,A63, IM!$AD:$AD, "O", IM!$X:$X, "&gt;="&amp;$M$2, IM!$X:$X, "&lt;"&amp;$M$3)&gt;0), "V", "")</f>
        <v/>
      </c>
      <c r="E63" s="146" t="str">
        <f>IF(AND(C63&lt;&gt;"V",D63&lt;&gt;"V", COUNTIFS(IM!$F:$F, A63, IM!$AD:$AD, "O", IM!$X:$X, "&gt;="&amp;$M$3, IM!$X:$X, "&lt;"&amp;$N$3)&gt;0), "V", "")</f>
        <v/>
      </c>
      <c r="F63" s="116" t="str">
        <f>IF(VLOOKUP(A63,門市總表!A:F,6,FALSE)="新開","新開不保養",
IF(VLOOKUP(A63,門市總表!A:F,6,FALSE)="撤店","閉店不保養",IF(VLOOKUP(A63,門市總表!A:F,6,FALSE)="非當季","非當季",IF(VLOOKUP(A63,門市總表!A:F,6,FALSE)="跨季補單","跨季補單",
IF(COUNTBLANK(C63:E63)=3,"未保養","")
))))</f>
        <v>未保養</v>
      </c>
      <c r="G63" s="116" t="str">
        <f>IF(COUNTIFS('0919門市清單主檔'!C:C,B63,'0919門市清單主檔'!AF:AF,$H$3)=1,
    IF(COUNTIFS(IM!F:F,A63,IM!AC:AC,"*"&amp;$H$3&amp;"*") + COUNTIFS('0919門市清單主檔'!C:C,B63,'0919門市清單主檔'!AF:AF,$H$3) &gt; 1,
       "V","未完工"),"-")</f>
        <v>-</v>
      </c>
      <c r="H63" s="253" t="str">
        <f>IF(COUNTIFS('0919門市清單主檔'!C:C,B63,'0919門市清單主檔'!AG:AG,$H$4)=1,
    IF(COUNTIFS(IM!F:F,A63,IM!AC:AC,"*"&amp;$H$4&amp;"*") + COUNTIFS('0919門市清單主檔'!C:C,B63,'0919門市清單主檔'!AG:AG,$H$4) &gt; 1,
       "V","未完工"),"-")</f>
        <v>V</v>
      </c>
      <c r="I63" s="253" t="str">
        <f>IF(COUNTIFS('0919門市清單主檔'!C:C,B63,'0919門市清單主檔'!AH:AH,$H$5)=1,
    IF(COUNTIFS(IM!F:F,A63,IM!AC:AC,"*"&amp;$H$5&amp;"*") + COUNTIFS('0919門市清單主檔'!C:C,B63,'0919門市清單主檔'!AH:AH,$H$5) &gt; 1,
       "V","未完工"),"-")</f>
        <v>未完工</v>
      </c>
      <c r="J63" s="253" t="str">
        <f>IF(
    COUNTIFS('0919門市清單主檔'!C:C,B63,'0919門市清單主檔'!AC:AC,$H$2)=1,
    IF(
        COUNTIFS(
            IM!F:F,A63,
            IM!AC:AC,"*"&amp;$H$2&amp;"*",
            IM!X:X,"&gt;="&amp;$M$1,
            IM!X:X,"&lt;="&amp;$M$3
        )
        + COUNTIFS('0919門市清單主檔'!C:C,B63,'0919門市清單主檔'!AC:AC,$H$2)
        &gt;1,
        "V",
        "未完工"
    ),
    "-"
)</f>
        <v>-</v>
      </c>
      <c r="K63" s="122">
        <v>45901</v>
      </c>
      <c r="L63" s="116" t="str">
        <f>VLOOKUP(A63,'0919門市清單主檔'!B:V,21,FALSE)</f>
        <v>淡水區</v>
      </c>
      <c r="M63" t="str">
        <f>VLOOKUP(A63,門市總表!A:B,2,FALSE)</f>
        <v>淡水沙崙店</v>
      </c>
      <c r="Q63" s="115" t="s">
        <v>4951</v>
      </c>
      <c r="R63" s="120" t="s">
        <v>4952</v>
      </c>
    </row>
    <row r="64" spans="1:18" ht="21.6" customHeight="1">
      <c r="A64" s="116">
        <v>5060</v>
      </c>
      <c r="B64" s="116" t="str">
        <f>VLOOKUP(A64,門市總表!A:B,2,FALSE)</f>
        <v>淡水魚市店</v>
      </c>
      <c r="C64" s="146" t="str">
        <f>IF(COUNTIFS(IM!$F:$F,A64,IM!$AD:$AD,"O",IM!$X:$X,"&gt;="&amp;$M$1, IM!$X:$X,"&lt;"&amp;$M$2)&gt;0,"V","")</f>
        <v/>
      </c>
      <c r="D64" s="146" t="str">
        <f>IF(AND(C64&lt;&gt;"V", COUNTIFS(IM!$F:$F,A64, IM!$AD:$AD, "O", IM!$X:$X, "&gt;="&amp;$M$2, IM!$X:$X, "&lt;"&amp;$M$3)&gt;0), "V", "")</f>
        <v/>
      </c>
      <c r="E64" s="146" t="str">
        <f>IF(AND(C64&lt;&gt;"V",D64&lt;&gt;"V", COUNTIFS(IM!$F:$F, A64, IM!$AD:$AD, "O", IM!$X:$X, "&gt;="&amp;$M$3, IM!$X:$X, "&lt;"&amp;$N$3)&gt;0), "V", "")</f>
        <v/>
      </c>
      <c r="F64" s="116" t="str">
        <f>IF(VLOOKUP(A64,門市總表!A:F,6,FALSE)="新開","新開不保養",
IF(VLOOKUP(A64,門市總表!A:F,6,FALSE)="撤店","閉店不保養",IF(VLOOKUP(A64,門市總表!A:F,6,FALSE)="非當季","非當季",IF(VLOOKUP(A64,門市總表!A:F,6,FALSE)="跨季補單","跨季補單",
IF(COUNTBLANK(C64:E64)=3,"未保養","")
))))</f>
        <v>未保養</v>
      </c>
      <c r="G64" s="116" t="str">
        <f>IF(COUNTIFS('0919門市清單主檔'!C:C,B64,'0919門市清單主檔'!AF:AF,$H$3)=1,
    IF(COUNTIFS(IM!F:F,A64,IM!AC:AC,"*"&amp;$H$3&amp;"*") + COUNTIFS('0919門市清單主檔'!C:C,B64,'0919門市清單主檔'!AF:AF,$H$3) &gt; 1,
       "V","未完工"),"-")</f>
        <v>-</v>
      </c>
      <c r="H64" s="253" t="str">
        <f>IF(COUNTIFS('0919門市清單主檔'!C:C,B64,'0919門市清單主檔'!AG:AG,$H$4)=1,
    IF(COUNTIFS(IM!F:F,A64,IM!AC:AC,"*"&amp;$H$4&amp;"*") + COUNTIFS('0919門市清單主檔'!C:C,B64,'0919門市清單主檔'!AG:AG,$H$4) &gt; 1,
       "V","未完工"),"-")</f>
        <v>V</v>
      </c>
      <c r="I64" s="253" t="str">
        <f>IF(COUNTIFS('0919門市清單主檔'!C:C,B64,'0919門市清單主檔'!AH:AH,$H$5)=1,
    IF(COUNTIFS(IM!F:F,A64,IM!AC:AC,"*"&amp;$H$5&amp;"*") + COUNTIFS('0919門市清單主檔'!C:C,B64,'0919門市清單主檔'!AH:AH,$H$5) &gt; 1,
       "V","未完工"),"-")</f>
        <v>未完工</v>
      </c>
      <c r="J64" s="253" t="str">
        <f>IF(
    COUNTIFS('0919門市清單主檔'!C:C,B64,'0919門市清單主檔'!AC:AC,$H$2)=1,
    IF(
        COUNTIFS(
            IM!F:F,A64,
            IM!AC:AC,"*"&amp;$H$2&amp;"*",
            IM!X:X,"&gt;="&amp;$M$1,
            IM!X:X,"&lt;="&amp;$M$3
        )
        + COUNTIFS('0919門市清單主檔'!C:C,B64,'0919門市清單主檔'!AC:AC,$H$2)
        &gt;1,
        "V",
        "未完工"
    ),
    "-"
)</f>
        <v>-</v>
      </c>
      <c r="K64" s="122">
        <v>45902</v>
      </c>
      <c r="L64" s="116" t="str">
        <f>VLOOKUP(A64,'0919門市清單主檔'!B:V,21,FALSE)</f>
        <v>淡水區</v>
      </c>
      <c r="M64" t="str">
        <f>VLOOKUP(A64,門市總表!A:B,2,FALSE)</f>
        <v>淡水魚市店</v>
      </c>
      <c r="Q64" s="115"/>
      <c r="R64" s="120" t="s">
        <v>4952</v>
      </c>
    </row>
    <row r="65" spans="1:18" ht="21.6" customHeight="1">
      <c r="A65" s="116" t="s">
        <v>71</v>
      </c>
      <c r="B65" s="116" t="str">
        <f>VLOOKUP(A65,門市總表!A:B,2,FALSE)</f>
        <v>淡水金龍店</v>
      </c>
      <c r="C65" s="146" t="str">
        <f>IF(COUNTIFS(IM!$F:$F,A65,IM!$AD:$AD,"O",IM!$X:$X,"&gt;="&amp;$M$1, IM!$X:$X,"&lt;"&amp;$M$2)&gt;0,"V","")</f>
        <v/>
      </c>
      <c r="D65" s="146" t="str">
        <f>IF(AND(C65&lt;&gt;"V", COUNTIFS(IM!$F:$F,A65, IM!$AD:$AD, "O", IM!$X:$X, "&gt;="&amp;$M$2, IM!$X:$X, "&lt;"&amp;$M$3)&gt;0), "V", "")</f>
        <v/>
      </c>
      <c r="E65" s="146" t="str">
        <f>IF(AND(C65&lt;&gt;"V",D65&lt;&gt;"V", COUNTIFS(IM!$F:$F, A65, IM!$AD:$AD, "O", IM!$X:$X, "&gt;="&amp;$M$3, IM!$X:$X, "&lt;"&amp;$N$3)&gt;0), "V", "")</f>
        <v/>
      </c>
      <c r="F65" s="116" t="str">
        <f>IF(VLOOKUP(A65,門市總表!A:F,6,FALSE)="新開","新開不保養",
IF(VLOOKUP(A65,門市總表!A:F,6,FALSE)="撤店","閉店不保養",IF(VLOOKUP(A65,門市總表!A:F,6,FALSE)="非當季","非當季",IF(VLOOKUP(A65,門市總表!A:F,6,FALSE)="跨季補單","跨季補單",
IF(COUNTBLANK(C65:E65)=3,"未保養","")
))))</f>
        <v>未保養</v>
      </c>
      <c r="G65" s="116" t="str">
        <f>IF(COUNTIFS('0919門市清單主檔'!C:C,B65,'0919門市清單主檔'!AF:AF,$H$3)=1,
    IF(COUNTIFS(IM!F:F,A65,IM!AC:AC,"*"&amp;$H$3&amp;"*") + COUNTIFS('0919門市清單主檔'!C:C,B65,'0919門市清單主檔'!AF:AF,$H$3) &gt; 1,
       "V","未完工"),"-")</f>
        <v>-</v>
      </c>
      <c r="H65" s="253" t="str">
        <f>IF(COUNTIFS('0919門市清單主檔'!C:C,B65,'0919門市清單主檔'!AG:AG,$H$4)=1,
    IF(COUNTIFS(IM!F:F,A65,IM!AC:AC,"*"&amp;$H$4&amp;"*") + COUNTIFS('0919門市清單主檔'!C:C,B65,'0919門市清單主檔'!AG:AG,$H$4) &gt; 1,
       "V","未完工"),"-")</f>
        <v>V</v>
      </c>
      <c r="I65" s="253" t="str">
        <f>IF(COUNTIFS('0919門市清單主檔'!C:C,B65,'0919門市清單主檔'!AH:AH,$H$5)=1,
    IF(COUNTIFS(IM!F:F,A65,IM!AC:AC,"*"&amp;$H$5&amp;"*") + COUNTIFS('0919門市清單主檔'!C:C,B65,'0919門市清單主檔'!AH:AH,$H$5) &gt; 1,
       "V","未完工"),"-")</f>
        <v>未完工</v>
      </c>
      <c r="J65" s="253" t="str">
        <f>IF(
    COUNTIFS('0919門市清單主檔'!C:C,B65,'0919門市清單主檔'!AC:AC,$H$2)=1,
    IF(
        COUNTIFS(
            IM!F:F,A65,
            IM!AC:AC,"*"&amp;$H$2&amp;"*",
            IM!X:X,"&gt;="&amp;$M$1,
            IM!X:X,"&lt;="&amp;$M$3
        )
        + COUNTIFS('0919門市清單主檔'!C:C,B65,'0919門市清單主檔'!AC:AC,$H$2)
        &gt;1,
        "V",
        "未完工"
    ),
    "-"
)</f>
        <v>-</v>
      </c>
      <c r="K65" s="122">
        <v>45902</v>
      </c>
      <c r="L65" s="116" t="str">
        <f>VLOOKUP(A65,'0919門市清單主檔'!B:V,21,FALSE)</f>
        <v>淡水區</v>
      </c>
      <c r="M65" t="str">
        <f>VLOOKUP(A65,門市總表!A:B,2,FALSE)</f>
        <v>淡水金龍店</v>
      </c>
      <c r="Q65" s="115" t="s">
        <v>4951</v>
      </c>
      <c r="R65" s="120" t="s">
        <v>4952</v>
      </c>
    </row>
    <row r="66" spans="1:18" ht="21.6" customHeight="1">
      <c r="A66" s="116">
        <v>2428</v>
      </c>
      <c r="B66" s="116" t="str">
        <f>VLOOKUP(A66,門市總表!A:B,2,FALSE)</f>
        <v>龜山文化二</v>
      </c>
      <c r="C66" s="146" t="str">
        <f>IF(COUNTIFS(IM!$F:$F,A66,IM!$AD:$AD,"O",IM!$X:$X,"&gt;="&amp;$M$1, IM!$X:$X,"&lt;"&amp;$M$2)&gt;0,"V","")</f>
        <v>V</v>
      </c>
      <c r="D66" s="146" t="str">
        <f>IF(AND(C66&lt;&gt;"V", COUNTIFS(IM!$F:$F,A66, IM!$AD:$AD, "O", IM!$X:$X, "&gt;="&amp;$M$2, IM!$X:$X, "&lt;"&amp;$M$3)&gt;0), "V", "")</f>
        <v/>
      </c>
      <c r="E66" s="146" t="str">
        <f>IF(AND(C66&lt;&gt;"V",D66&lt;&gt;"V", COUNTIFS(IM!$F:$F, A66, IM!$AD:$AD, "O", IM!$X:$X, "&gt;="&amp;$M$3, IM!$X:$X, "&lt;"&amp;$N$3)&gt;0), "V", "")</f>
        <v/>
      </c>
      <c r="F66" s="116" t="str">
        <f>IF(VLOOKUP(A66,門市總表!A:F,6,FALSE)="新開","新開不保養",
IF(VLOOKUP(A66,門市總表!A:F,6,FALSE)="撤店","閉店不保養",IF(VLOOKUP(A66,門市總表!A:F,6,FALSE)="非當季","非當季",IF(VLOOKUP(A66,門市總表!A:F,6,FALSE)="跨季補單","跨季補單",
IF(COUNTBLANK(C66:E66)=3,"未保養","")
))))</f>
        <v/>
      </c>
      <c r="G66" s="116" t="str">
        <f>IF(COUNTIFS('0919門市清單主檔'!C:C,B66,'0919門市清單主檔'!AF:AF,$H$3)=1,
    IF(COUNTIFS(IM!F:F,A66,IM!AC:AC,"*"&amp;$H$3&amp;"*") + COUNTIFS('0919門市清單主檔'!C:C,B66,'0919門市清單主檔'!AF:AF,$H$3) &gt; 1,
       "V","未完工"),"-")</f>
        <v>-</v>
      </c>
      <c r="H66" s="253" t="str">
        <f>IF(COUNTIFS('0919門市清單主檔'!C:C,B66,'0919門市清單主檔'!AG:AG,$H$4)=1,
    IF(COUNTIFS(IM!F:F,A66,IM!AC:AC,"*"&amp;$H$4&amp;"*") + COUNTIFS('0919門市清單主檔'!C:C,B66,'0919門市清單主檔'!AG:AG,$H$4) &gt; 1,
       "V","未完工"),"-")</f>
        <v>V</v>
      </c>
      <c r="I66" s="253" t="str">
        <f>IF(COUNTIFS('0919門市清單主檔'!C:C,B66,'0919門市清單主檔'!AH:AH,$H$5)=1,
    IF(COUNTIFS(IM!F:F,A66,IM!AC:AC,"*"&amp;$H$5&amp;"*") + COUNTIFS('0919門市清單主檔'!C:C,B66,'0919門市清單主檔'!AH:AH,$H$5) &gt; 1,
       "V","未完工"),"-")</f>
        <v>未完工</v>
      </c>
      <c r="J66" s="253" t="str">
        <f>IF(
    COUNTIFS('0919門市清單主檔'!C:C,B66,'0919門市清單主檔'!AC:AC,$H$2)=1,
    IF(
        COUNTIFS(
            IM!F:F,A66,
            IM!AC:AC,"*"&amp;$H$2&amp;"*",
            IM!X:X,"&gt;="&amp;$M$1,
            IM!X:X,"&lt;="&amp;$M$3
        )
        + COUNTIFS('0919門市清單主檔'!C:C,B66,'0919門市清單主檔'!AC:AC,$H$2)
        &gt;1,
        "V",
        "未完工"
    ),
    "-"
)</f>
        <v>-</v>
      </c>
      <c r="K66" s="122">
        <v>45902</v>
      </c>
      <c r="L66" s="116" t="str">
        <f>VLOOKUP(A66,'0919門市清單主檔'!B:V,21,FALSE)</f>
        <v>龜山區</v>
      </c>
      <c r="M66" t="str">
        <f>VLOOKUP(A66,門市總表!A:B,2,FALSE)</f>
        <v>龜山文化二</v>
      </c>
      <c r="Q66" s="115" t="s">
        <v>4951</v>
      </c>
      <c r="R66" s="120" t="s">
        <v>4952</v>
      </c>
    </row>
    <row r="67" spans="1:18" ht="21.6" customHeight="1">
      <c r="A67" s="116">
        <v>2596</v>
      </c>
      <c r="B67" s="116" t="str">
        <f>VLOOKUP(A67,門市總表!A:B,2,FALSE)</f>
        <v>桃縣桃高店</v>
      </c>
      <c r="C67" s="146" t="str">
        <f>IF(COUNTIFS(IM!$F:$F,A67,IM!$AD:$AD,"O",IM!$X:$X,"&gt;="&amp;$M$1, IM!$X:$X,"&lt;"&amp;$M$2)&gt;0,"V","")</f>
        <v>V</v>
      </c>
      <c r="D67" s="146" t="str">
        <f>IF(AND(C67&lt;&gt;"V", COUNTIFS(IM!$F:$F,A67, IM!$AD:$AD, "O", IM!$X:$X, "&gt;="&amp;$M$2, IM!$X:$X, "&lt;"&amp;$M$3)&gt;0), "V", "")</f>
        <v/>
      </c>
      <c r="E67" s="146" t="str">
        <f>IF(AND(C67&lt;&gt;"V",D67&lt;&gt;"V", COUNTIFS(IM!$F:$F, A67, IM!$AD:$AD, "O", IM!$X:$X, "&gt;="&amp;$M$3, IM!$X:$X, "&lt;"&amp;$N$3)&gt;0), "V", "")</f>
        <v/>
      </c>
      <c r="F67" s="116" t="str">
        <f>IF(VLOOKUP(A67,門市總表!A:F,6,FALSE)="新開","新開不保養",
IF(VLOOKUP(A67,門市總表!A:F,6,FALSE)="撤店","閉店不保養",IF(VLOOKUP(A67,門市總表!A:F,6,FALSE)="非當季","非當季",IF(VLOOKUP(A67,門市總表!A:F,6,FALSE)="跨季補單","跨季補單",
IF(COUNTBLANK(C67:E67)=3,"未保養","")
))))</f>
        <v/>
      </c>
      <c r="G67" s="116" t="str">
        <f>IF(COUNTIFS('0919門市清單主檔'!C:C,B67,'0919門市清單主檔'!AF:AF,$H$3)=1,
    IF(COUNTIFS(IM!F:F,A67,IM!AC:AC,"*"&amp;$H$3&amp;"*") + COUNTIFS('0919門市清單主檔'!C:C,B67,'0919門市清單主檔'!AF:AF,$H$3) &gt; 1,
       "V","未完工"),"-")</f>
        <v>-</v>
      </c>
      <c r="H67" s="253" t="str">
        <f>IF(COUNTIFS('0919門市清單主檔'!C:C,B67,'0919門市清單主檔'!AG:AG,$H$4)=1,
    IF(COUNTIFS(IM!F:F,A67,IM!AC:AC,"*"&amp;$H$4&amp;"*") + COUNTIFS('0919門市清單主檔'!C:C,B67,'0919門市清單主檔'!AG:AG,$H$4) &gt; 1,
       "V","未完工"),"-")</f>
        <v>V</v>
      </c>
      <c r="I67" s="253" t="str">
        <f>IF(COUNTIFS('0919門市清單主檔'!C:C,B67,'0919門市清單主檔'!AH:AH,$H$5)=1,
    IF(COUNTIFS(IM!F:F,A67,IM!AC:AC,"*"&amp;$H$5&amp;"*") + COUNTIFS('0919門市清單主檔'!C:C,B67,'0919門市清單主檔'!AH:AH,$H$5) &gt; 1,
       "V","未完工"),"-")</f>
        <v>V</v>
      </c>
      <c r="J67" s="253" t="str">
        <f>IF(
    COUNTIFS('0919門市清單主檔'!C:C,B67,'0919門市清單主檔'!AC:AC,$H$2)=1,
    IF(
        COUNTIFS(
            IM!F:F,A67,
            IM!AC:AC,"*"&amp;$H$2&amp;"*",
            IM!X:X,"&gt;="&amp;$M$1,
            IM!X:X,"&lt;="&amp;$M$3
        )
        + COUNTIFS('0919門市清單主檔'!C:C,B67,'0919門市清單主檔'!AC:AC,$H$2)
        &gt;1,
        "V",
        "未完工"
    ),
    "-"
)</f>
        <v>-</v>
      </c>
      <c r="K67" s="122">
        <v>45846</v>
      </c>
      <c r="L67" s="116" t="str">
        <f>VLOOKUP(A67,'0919門市清單主檔'!B:V,21,FALSE)</f>
        <v>龜山區</v>
      </c>
      <c r="M67" t="str">
        <f>VLOOKUP(A67,門市總表!A:B,2,FALSE)</f>
        <v>桃縣桃高店</v>
      </c>
      <c r="Q67" s="115" t="s">
        <v>4951</v>
      </c>
      <c r="R67" s="120" t="s">
        <v>4952</v>
      </c>
    </row>
    <row r="68" spans="1:18" ht="21.6" customHeight="1">
      <c r="A68" s="116">
        <v>4503</v>
      </c>
      <c r="B68" s="116" t="str">
        <f>VLOOKUP(A68,門市總表!A:B,2,FALSE)</f>
        <v>龜山復恆店</v>
      </c>
      <c r="C68" s="146" t="str">
        <f>IF(COUNTIFS(IM!$F:$F,A68,IM!$AD:$AD,"O",IM!$X:$X,"&gt;="&amp;$M$1, IM!$X:$X,"&lt;"&amp;$M$2)&gt;0,"V","")</f>
        <v>V</v>
      </c>
      <c r="D68" s="146" t="str">
        <f>IF(AND(C68&lt;&gt;"V", COUNTIFS(IM!$F:$F,A68, IM!$AD:$AD, "O", IM!$X:$X, "&gt;="&amp;$M$2, IM!$X:$X, "&lt;"&amp;$M$3)&gt;0), "V", "")</f>
        <v/>
      </c>
      <c r="E68" s="146" t="str">
        <f>IF(AND(C68&lt;&gt;"V",D68&lt;&gt;"V", COUNTIFS(IM!$F:$F, A68, IM!$AD:$AD, "O", IM!$X:$X, "&gt;="&amp;$M$3, IM!$X:$X, "&lt;"&amp;$N$3)&gt;0), "V", "")</f>
        <v/>
      </c>
      <c r="F68" s="116" t="str">
        <f>IF(VLOOKUP(A68,門市總表!A:F,6,FALSE)="新開","新開不保養",
IF(VLOOKUP(A68,門市總表!A:F,6,FALSE)="撤店","閉店不保養",IF(VLOOKUP(A68,門市總表!A:F,6,FALSE)="非當季","非當季",IF(VLOOKUP(A68,門市總表!A:F,6,FALSE)="跨季補單","跨季補單",
IF(COUNTBLANK(C68:E68)=3,"未保養","")
))))</f>
        <v/>
      </c>
      <c r="G68" s="116" t="str">
        <f>IF(COUNTIFS('0919門市清單主檔'!C:C,B68,'0919門市清單主檔'!AF:AF,$H$3)=1,
    IF(COUNTIFS(IM!F:F,A68,IM!AC:AC,"*"&amp;$H$3&amp;"*") + COUNTIFS('0919門市清單主檔'!C:C,B68,'0919門市清單主檔'!AF:AF,$H$3) &gt; 1,
       "V","未完工"),"-")</f>
        <v>-</v>
      </c>
      <c r="H68" s="253" t="str">
        <f>IF(COUNTIFS('0919門市清單主檔'!C:C,B68,'0919門市清單主檔'!AG:AG,$H$4)=1,
    IF(COUNTIFS(IM!F:F,A68,IM!AC:AC,"*"&amp;$H$4&amp;"*") + COUNTIFS('0919門市清單主檔'!C:C,B68,'0919門市清單主檔'!AG:AG,$H$4) &gt; 1,
       "V","未完工"),"-")</f>
        <v>V</v>
      </c>
      <c r="I68" s="253" t="str">
        <f>IF(COUNTIFS('0919門市清單主檔'!C:C,B68,'0919門市清單主檔'!AH:AH,$H$5)=1,
    IF(COUNTIFS(IM!F:F,A68,IM!AC:AC,"*"&amp;$H$5&amp;"*") + COUNTIFS('0919門市清單主檔'!C:C,B68,'0919門市清單主檔'!AH:AH,$H$5) &gt; 1,
       "V","未完工"),"-")</f>
        <v>-</v>
      </c>
      <c r="J68" s="253" t="str">
        <f>IF(
    COUNTIFS('0919門市清單主檔'!C:C,B68,'0919門市清單主檔'!AC:AC,$H$2)=1,
    IF(
        COUNTIFS(
            IM!F:F,A68,
            IM!AC:AC,"*"&amp;$H$2&amp;"*",
            IM!X:X,"&gt;="&amp;$M$1,
            IM!X:X,"&lt;="&amp;$M$3
        )
        + COUNTIFS('0919門市清單主檔'!C:C,B68,'0919門市清單主檔'!AC:AC,$H$2)
        &gt;1,
        "V",
        "未完工"
    ),
    "-"
)</f>
        <v>-</v>
      </c>
      <c r="K68" s="122">
        <v>45861</v>
      </c>
      <c r="L68" s="116" t="str">
        <f>VLOOKUP(A68,'0919門市清單主檔'!B:V,21,FALSE)</f>
        <v>龜山區</v>
      </c>
      <c r="M68" t="str">
        <f>VLOOKUP(A68,門市總表!A:B,2,FALSE)</f>
        <v>龜山復恆店</v>
      </c>
      <c r="Q68" s="115" t="s">
        <v>4951</v>
      </c>
      <c r="R68" s="120" t="s">
        <v>4952</v>
      </c>
    </row>
    <row r="69" spans="1:18" ht="21.6" customHeight="1">
      <c r="A69" s="116">
        <v>4902</v>
      </c>
      <c r="B69" s="116" t="str">
        <f>VLOOKUP(A69,門市總表!A:B,2,FALSE)</f>
        <v>龜山玄武店</v>
      </c>
      <c r="C69" s="146" t="str">
        <f>IF(COUNTIFS(IM!$F:$F,A69,IM!$AD:$AD,"O",IM!$X:$X,"&gt;="&amp;$M$1, IM!$X:$X,"&lt;"&amp;$M$2)&gt;0,"V","")</f>
        <v>V</v>
      </c>
      <c r="D69" s="146" t="str">
        <f>IF(AND(C69&lt;&gt;"V", COUNTIFS(IM!$F:$F,A69, IM!$AD:$AD, "O", IM!$X:$X, "&gt;="&amp;$M$2, IM!$X:$X, "&lt;"&amp;$M$3)&gt;0), "V", "")</f>
        <v/>
      </c>
      <c r="E69" s="146" t="str">
        <f>IF(AND(C69&lt;&gt;"V",D69&lt;&gt;"V", COUNTIFS(IM!$F:$F, A69, IM!$AD:$AD, "O", IM!$X:$X, "&gt;="&amp;$M$3, IM!$X:$X, "&lt;"&amp;$N$3)&gt;0), "V", "")</f>
        <v/>
      </c>
      <c r="F69" s="116" t="str">
        <f>IF(VLOOKUP(A69,門市總表!A:F,6,FALSE)="新開","新開不保養",
IF(VLOOKUP(A69,門市總表!A:F,6,FALSE)="撤店","閉店不保養",IF(VLOOKUP(A69,門市總表!A:F,6,FALSE)="非當季","非當季",IF(VLOOKUP(A69,門市總表!A:F,6,FALSE)="跨季補單","跨季補單",
IF(COUNTBLANK(C69:E69)=3,"未保養","")
))))</f>
        <v/>
      </c>
      <c r="G69" s="116" t="str">
        <f>IF(COUNTIFS('0919門市清單主檔'!C:C,B69,'0919門市清單主檔'!AF:AF,$H$3)=1,
    IF(COUNTIFS(IM!F:F,A69,IM!AC:AC,"*"&amp;$H$3&amp;"*") + COUNTIFS('0919門市清單主檔'!C:C,B69,'0919門市清單主檔'!AF:AF,$H$3) &gt; 1,
       "V","未完工"),"-")</f>
        <v>-</v>
      </c>
      <c r="H69" s="253" t="str">
        <f>IF(COUNTIFS('0919門市清單主檔'!C:C,B69,'0919門市清單主檔'!AG:AG,$H$4)=1,
    IF(COUNTIFS(IM!F:F,A69,IM!AC:AC,"*"&amp;$H$4&amp;"*") + COUNTIFS('0919門市清單主檔'!C:C,B69,'0919門市清單主檔'!AG:AG,$H$4) &gt; 1,
       "V","未完工"),"-")</f>
        <v>V</v>
      </c>
      <c r="I69" s="253" t="str">
        <f>IF(COUNTIFS('0919門市清單主檔'!C:C,B69,'0919門市清單主檔'!AH:AH,$H$5)=1,
    IF(COUNTIFS(IM!F:F,A69,IM!AC:AC,"*"&amp;$H$5&amp;"*") + COUNTIFS('0919門市清單主檔'!C:C,B69,'0919門市清單主檔'!AH:AH,$H$5) &gt; 1,
       "V","未完工"),"-")</f>
        <v>V</v>
      </c>
      <c r="J69" s="253" t="str">
        <f>IF(
    COUNTIFS('0919門市清單主檔'!C:C,B69,'0919門市清單主檔'!AC:AC,$H$2)=1,
    IF(
        COUNTIFS(
            IM!F:F,A69,
            IM!AC:AC,"*"&amp;$H$2&amp;"*",
            IM!X:X,"&gt;="&amp;$M$1,
            IM!X:X,"&lt;="&amp;$M$3
        )
        + COUNTIFS('0919門市清單主檔'!C:C,B69,'0919門市清單主檔'!AC:AC,$H$2)
        &gt;1,
        "V",
        "未完工"
    ),
    "-"
)</f>
        <v>-</v>
      </c>
      <c r="K69" s="122">
        <v>45912</v>
      </c>
      <c r="L69" s="116" t="str">
        <f>VLOOKUP(A69,'0919門市清單主檔'!B:V,21,FALSE)</f>
        <v>蘆竹區</v>
      </c>
      <c r="M69" t="str">
        <f>VLOOKUP(A69,門市總表!A:B,2,FALSE)</f>
        <v>龜山玄武店</v>
      </c>
      <c r="Q69" s="115" t="s">
        <v>4951</v>
      </c>
      <c r="R69" s="120" t="s">
        <v>4952</v>
      </c>
    </row>
    <row r="70" spans="1:18" ht="21.6" customHeight="1">
      <c r="A70" s="116">
        <v>4981</v>
      </c>
      <c r="B70" s="116" t="str">
        <f>VLOOKUP(A70,門市總表!A:B,2,FALSE)</f>
        <v>龜山樂學店</v>
      </c>
      <c r="C70" s="146" t="str">
        <f>IF(COUNTIFS(IM!$F:$F,A70,IM!$AD:$AD,"O",IM!$X:$X,"&gt;="&amp;$M$1, IM!$X:$X,"&lt;"&amp;$M$2)&gt;0,"V","")</f>
        <v>V</v>
      </c>
      <c r="D70" s="146" t="str">
        <f>IF(AND(C70&lt;&gt;"V", COUNTIFS(IM!$F:$F,A70, IM!$AD:$AD, "O", IM!$X:$X, "&gt;="&amp;$M$2, IM!$X:$X, "&lt;"&amp;$M$3)&gt;0), "V", "")</f>
        <v/>
      </c>
      <c r="E70" s="146" t="str">
        <f>IF(AND(C70&lt;&gt;"V",D70&lt;&gt;"V", COUNTIFS(IM!$F:$F, A70, IM!$AD:$AD, "O", IM!$X:$X, "&gt;="&amp;$M$3, IM!$X:$X, "&lt;"&amp;$N$3)&gt;0), "V", "")</f>
        <v/>
      </c>
      <c r="F70" s="116" t="str">
        <f>IF(VLOOKUP(A70,門市總表!A:F,6,FALSE)="新開","新開不保養",
IF(VLOOKUP(A70,門市總表!A:F,6,FALSE)="撤店","閉店不保養",IF(VLOOKUP(A70,門市總表!A:F,6,FALSE)="非當季","非當季",IF(VLOOKUP(A70,門市總表!A:F,6,FALSE)="跨季補單","跨季補單",
IF(COUNTBLANK(C70:E70)=3,"未保養","")
))))</f>
        <v/>
      </c>
      <c r="G70" s="116" t="str">
        <f>IF(COUNTIFS('0919門市清單主檔'!C:C,B70,'0919門市清單主檔'!AF:AF,$H$3)=1,
    IF(COUNTIFS(IM!F:F,A70,IM!AC:AC,"*"&amp;$H$3&amp;"*") + COUNTIFS('0919門市清單主檔'!C:C,B70,'0919門市清單主檔'!AF:AF,$H$3) &gt; 1,
       "V","未完工"),"-")</f>
        <v>-</v>
      </c>
      <c r="H70" s="253" t="str">
        <f>IF(COUNTIFS('0919門市清單主檔'!C:C,B70,'0919門市清單主檔'!AG:AG,$H$4)=1,
    IF(COUNTIFS(IM!F:F,A70,IM!AC:AC,"*"&amp;$H$4&amp;"*") + COUNTIFS('0919門市清單主檔'!C:C,B70,'0919門市清單主檔'!AG:AG,$H$4) &gt; 1,
       "V","未完工"),"-")</f>
        <v>V</v>
      </c>
      <c r="I70" s="253" t="str">
        <f>IF(COUNTIFS('0919門市清單主檔'!C:C,B70,'0919門市清單主檔'!AH:AH,$H$5)=1,
    IF(COUNTIFS(IM!F:F,A70,IM!AC:AC,"*"&amp;$H$5&amp;"*") + COUNTIFS('0919門市清單主檔'!C:C,B70,'0919門市清單主檔'!AH:AH,$H$5) &gt; 1,
       "V","未完工"),"-")</f>
        <v>-</v>
      </c>
      <c r="J70" s="253" t="str">
        <f>IF(
    COUNTIFS('0919門市清單主檔'!C:C,B70,'0919門市清單主檔'!AC:AC,$H$2)=1,
    IF(
        COUNTIFS(
            IM!F:F,A70,
            IM!AC:AC,"*"&amp;$H$2&amp;"*",
            IM!X:X,"&gt;="&amp;$M$1,
            IM!X:X,"&lt;="&amp;$M$3
        )
        + COUNTIFS('0919門市清單主檔'!C:C,B70,'0919門市清單主檔'!AC:AC,$H$2)
        &gt;1,
        "V",
        "未完工"
    ),
    "-"
)</f>
        <v>-</v>
      </c>
      <c r="K70" s="122">
        <v>45895</v>
      </c>
      <c r="L70" s="116" t="str">
        <f>VLOOKUP(A70,'0919門市清單主檔'!B:V,21,FALSE)</f>
        <v>蘆竹區</v>
      </c>
      <c r="M70" t="str">
        <f>VLOOKUP(A70,門市總表!A:B,2,FALSE)</f>
        <v>龜山樂學店</v>
      </c>
      <c r="Q70" s="115" t="s">
        <v>4951</v>
      </c>
      <c r="R70" s="120" t="s">
        <v>4952</v>
      </c>
    </row>
    <row r="71" spans="1:18" ht="21.6" customHeight="1">
      <c r="A71" s="116">
        <v>5016</v>
      </c>
      <c r="B71" s="116" t="str">
        <f>VLOOKUP(A71,門市總表!A:B,2,FALSE)</f>
        <v>龜山樂善店</v>
      </c>
      <c r="C71" s="146" t="str">
        <f>IF(COUNTIFS(IM!$F:$F,A71,IM!$AD:$AD,"O",IM!$X:$X,"&gt;="&amp;$M$1, IM!$X:$X,"&lt;"&amp;$M$2)&gt;0,"V","")</f>
        <v>V</v>
      </c>
      <c r="D71" s="146" t="str">
        <f>IF(AND(C71&lt;&gt;"V", COUNTIFS(IM!$F:$F,A71, IM!$AD:$AD, "O", IM!$X:$X, "&gt;="&amp;$M$2, IM!$X:$X, "&lt;"&amp;$M$3)&gt;0), "V", "")</f>
        <v/>
      </c>
      <c r="E71" s="146" t="str">
        <f>IF(AND(C71&lt;&gt;"V",D71&lt;&gt;"V", COUNTIFS(IM!$F:$F, A71, IM!$AD:$AD, "O", IM!$X:$X, "&gt;="&amp;$M$3, IM!$X:$X, "&lt;"&amp;$N$3)&gt;0), "V", "")</f>
        <v/>
      </c>
      <c r="F71" s="116" t="str">
        <f>IF(VLOOKUP(A71,門市總表!A:F,6,FALSE)="新開","新開不保養",
IF(VLOOKUP(A71,門市總表!A:F,6,FALSE)="撤店","閉店不保養",IF(VLOOKUP(A71,門市總表!A:F,6,FALSE)="非當季","非當季",IF(VLOOKUP(A71,門市總表!A:F,6,FALSE)="跨季補單","跨季補單",
IF(COUNTBLANK(C71:E71)=3,"未保養","")
))))</f>
        <v/>
      </c>
      <c r="G71" s="116" t="str">
        <f>IF(COUNTIFS('0919門市清單主檔'!C:C,B71,'0919門市清單主檔'!AF:AF,$H$3)=1,
    IF(COUNTIFS(IM!F:F,A71,IM!AC:AC,"*"&amp;$H$3&amp;"*") + COUNTIFS('0919門市清單主檔'!C:C,B71,'0919門市清單主檔'!AF:AF,$H$3) &gt; 1,
       "V","未完工"),"-")</f>
        <v>-</v>
      </c>
      <c r="H71" s="253" t="str">
        <f>IF(COUNTIFS('0919門市清單主檔'!C:C,B71,'0919門市清單主檔'!AG:AG,$H$4)=1,
    IF(COUNTIFS(IM!F:F,A71,IM!AC:AC,"*"&amp;$H$4&amp;"*") + COUNTIFS('0919門市清單主檔'!C:C,B71,'0919門市清單主檔'!AG:AG,$H$4) &gt; 1,
       "V","未完工"),"-")</f>
        <v>V</v>
      </c>
      <c r="I71" s="253" t="str">
        <f>IF(COUNTIFS('0919門市清單主檔'!C:C,B71,'0919門市清單主檔'!AH:AH,$H$5)=1,
    IF(COUNTIFS(IM!F:F,A71,IM!AC:AC,"*"&amp;$H$5&amp;"*") + COUNTIFS('0919門市清單主檔'!C:C,B71,'0919門市清單主檔'!AH:AH,$H$5) &gt; 1,
       "V","未完工"),"-")</f>
        <v>V</v>
      </c>
      <c r="J71" s="253" t="str">
        <f>IF(
    COUNTIFS('0919門市清單主檔'!C:C,B71,'0919門市清單主檔'!AC:AC,$H$2)=1,
    IF(
        COUNTIFS(
            IM!F:F,A71,
            IM!AC:AC,"*"&amp;$H$2&amp;"*",
            IM!X:X,"&gt;="&amp;$M$1,
            IM!X:X,"&lt;="&amp;$M$3
        )
        + COUNTIFS('0919門市清單主檔'!C:C,B71,'0919門市清單主檔'!AC:AC,$H$2)
        &gt;1,
        "V",
        "未完工"
    ),
    "-"
)</f>
        <v>-</v>
      </c>
      <c r="K71" s="122">
        <v>45891</v>
      </c>
      <c r="L71" s="116" t="str">
        <f>VLOOKUP(A71,'0919門市清單主檔'!B:V,21,FALSE)</f>
        <v>蘆竹區</v>
      </c>
      <c r="M71" t="str">
        <f>VLOOKUP(A71,門市總表!A:B,2,FALSE)</f>
        <v>龜山樂善店</v>
      </c>
      <c r="Q71" s="115" t="s">
        <v>4951</v>
      </c>
      <c r="R71" s="120" t="s">
        <v>4952</v>
      </c>
    </row>
    <row r="72" spans="1:18" ht="21.6" customHeight="1">
      <c r="A72" s="116">
        <v>4572</v>
      </c>
      <c r="B72" s="116" t="str">
        <f>VLOOKUP(A72,門市總表!A:B,2,FALSE)</f>
        <v>蘆竹海湖店</v>
      </c>
      <c r="C72" s="146" t="str">
        <f>IF(COUNTIFS(IM!$F:$F,A72,IM!$AD:$AD,"O",IM!$X:$X,"&gt;="&amp;$M$1, IM!$X:$X,"&lt;"&amp;$M$2)&gt;0,"V","")</f>
        <v>V</v>
      </c>
      <c r="D72" s="146" t="str">
        <f>IF(AND(C72&lt;&gt;"V", COUNTIFS(IM!$F:$F,A72, IM!$AD:$AD, "O", IM!$X:$X, "&gt;="&amp;$M$2, IM!$X:$X, "&lt;"&amp;$M$3)&gt;0), "V", "")</f>
        <v/>
      </c>
      <c r="E72" s="146" t="str">
        <f>IF(AND(C72&lt;&gt;"V",D72&lt;&gt;"V", COUNTIFS(IM!$F:$F, A72, IM!$AD:$AD, "O", IM!$X:$X, "&gt;="&amp;$M$3, IM!$X:$X, "&lt;"&amp;$N$3)&gt;0), "V", "")</f>
        <v/>
      </c>
      <c r="F72" s="116" t="str">
        <f>IF(VLOOKUP(A72,門市總表!A:F,6,FALSE)="新開","新開不保養",
IF(VLOOKUP(A72,門市總表!A:F,6,FALSE)="撤店","閉店不保養",IF(VLOOKUP(A72,門市總表!A:F,6,FALSE)="非當季","非當季",IF(VLOOKUP(A72,門市總表!A:F,6,FALSE)="跨季補單","跨季補單",
IF(COUNTBLANK(C72:E72)=3,"未保養","")
))))</f>
        <v/>
      </c>
      <c r="G72" s="116" t="str">
        <f>IF(COUNTIFS('0919門市清單主檔'!C:C,B72,'0919門市清單主檔'!AF:AF,$H$3)=1,
    IF(COUNTIFS(IM!F:F,A72,IM!AC:AC,"*"&amp;$H$3&amp;"*") + COUNTIFS('0919門市清單主檔'!C:C,B72,'0919門市清單主檔'!AF:AF,$H$3) &gt; 1,
       "V","未完工"),"-")</f>
        <v>-</v>
      </c>
      <c r="H72" s="253" t="str">
        <f>IF(COUNTIFS('0919門市清單主檔'!C:C,B72,'0919門市清單主檔'!AG:AG,$H$4)=1,
    IF(COUNTIFS(IM!F:F,A72,IM!AC:AC,"*"&amp;$H$4&amp;"*") + COUNTIFS('0919門市清單主檔'!C:C,B72,'0919門市清單主檔'!AG:AG,$H$4) &gt; 1,
       "V","未完工"),"-")</f>
        <v>未完工</v>
      </c>
      <c r="I72" s="253" t="str">
        <f>IF(COUNTIFS('0919門市清單主檔'!C:C,B72,'0919門市清單主檔'!AH:AH,$H$5)=1,
    IF(COUNTIFS(IM!F:F,A72,IM!AC:AC,"*"&amp;$H$5&amp;"*") + COUNTIFS('0919門市清單主檔'!C:C,B72,'0919門市清單主檔'!AH:AH,$H$5) &gt; 1,
       "V","未完工"),"-")</f>
        <v>-</v>
      </c>
      <c r="J72" s="253" t="str">
        <f>IF(
    COUNTIFS('0919門市清單主檔'!C:C,B72,'0919門市清單主檔'!AC:AC,$H$2)=1,
    IF(
        COUNTIFS(
            IM!F:F,A72,
            IM!AC:AC,"*"&amp;$H$2&amp;"*",
            IM!X:X,"&gt;="&amp;$M$1,
            IM!X:X,"&lt;="&amp;$M$3
        )
        + COUNTIFS('0919門市清單主檔'!C:C,B72,'0919門市清單主檔'!AC:AC,$H$2)
        &gt;1,
        "V",
        "未完工"
    ),
    "-"
)</f>
        <v>-</v>
      </c>
      <c r="K72" s="122">
        <v>45884</v>
      </c>
      <c r="L72" s="116" t="str">
        <f>VLOOKUP(A72,'0919門市清單主檔'!B:V,21,FALSE)</f>
        <v>龜山區</v>
      </c>
      <c r="M72" t="str">
        <f>VLOOKUP(A72,門市總表!A:B,2,FALSE)</f>
        <v>蘆竹海湖店</v>
      </c>
      <c r="Q72" s="115" t="s">
        <v>4951</v>
      </c>
      <c r="R72" s="120" t="s">
        <v>4952</v>
      </c>
    </row>
    <row r="73" spans="1:18" ht="21.6" customHeight="1">
      <c r="A73" s="116" t="s">
        <v>54</v>
      </c>
      <c r="B73" s="116" t="str">
        <f>VLOOKUP(A73,門市總表!A:B,2,FALSE)</f>
        <v>蘆竹揚耀店</v>
      </c>
      <c r="C73" s="146" t="str">
        <f>IF(COUNTIFS(IM!$F:$F,A73,IM!$AD:$AD,"O",IM!$X:$X,"&gt;="&amp;$M$1, IM!$X:$X,"&lt;"&amp;$M$2)&gt;0,"V","")</f>
        <v>V</v>
      </c>
      <c r="D73" s="146" t="str">
        <f>IF(AND(C73&lt;&gt;"V", COUNTIFS(IM!$F:$F,A73, IM!$AD:$AD, "O", IM!$X:$X, "&gt;="&amp;$M$2, IM!$X:$X, "&lt;"&amp;$M$3)&gt;0), "V", "")</f>
        <v/>
      </c>
      <c r="E73" s="146" t="str">
        <f>IF(AND(C73&lt;&gt;"V",D73&lt;&gt;"V", COUNTIFS(IM!$F:$F, A73, IM!$AD:$AD, "O", IM!$X:$X, "&gt;="&amp;$M$3, IM!$X:$X, "&lt;"&amp;$N$3)&gt;0), "V", "")</f>
        <v/>
      </c>
      <c r="F73" s="116" t="str">
        <f>IF(VLOOKUP(A73,門市總表!A:F,6,FALSE)="新開","新開不保養",
IF(VLOOKUP(A73,門市總表!A:F,6,FALSE)="撤店","閉店不保養",IF(VLOOKUP(A73,門市總表!A:F,6,FALSE)="非當季","非當季",IF(VLOOKUP(A73,門市總表!A:F,6,FALSE)="跨季補單","跨季補單",
IF(COUNTBLANK(C73:E73)=3,"未保養","")
))))</f>
        <v/>
      </c>
      <c r="G73" s="116" t="str">
        <f>IF(COUNTIFS('0919門市清單主檔'!C:C,B73,'0919門市清單主檔'!AF:AF,$H$3)=1,
    IF(COUNTIFS(IM!F:F,A73,IM!AC:AC,"*"&amp;$H$3&amp;"*") + COUNTIFS('0919門市清單主檔'!C:C,B73,'0919門市清單主檔'!AF:AF,$H$3) &gt; 1,
       "V","未完工"),"-")</f>
        <v>-</v>
      </c>
      <c r="H73" s="253" t="str">
        <f>IF(COUNTIFS('0919門市清單主檔'!C:C,B73,'0919門市清單主檔'!AG:AG,$H$4)=1,
    IF(COUNTIFS(IM!F:F,A73,IM!AC:AC,"*"&amp;$H$4&amp;"*") + COUNTIFS('0919門市清單主檔'!C:C,B73,'0919門市清單主檔'!AG:AG,$H$4) &gt; 1,
       "V","未完工"),"-")</f>
        <v>未完工</v>
      </c>
      <c r="I73" s="253" t="str">
        <f>IF(COUNTIFS('0919門市清單主檔'!C:C,B73,'0919門市清單主檔'!AH:AH,$H$5)=1,
    IF(COUNTIFS(IM!F:F,A73,IM!AC:AC,"*"&amp;$H$5&amp;"*") + COUNTIFS('0919門市清單主檔'!C:C,B73,'0919門市清單主檔'!AH:AH,$H$5) &gt; 1,
       "V","未完工"),"-")</f>
        <v>-</v>
      </c>
      <c r="J73" s="253" t="str">
        <f>IF(
    COUNTIFS('0919門市清單主檔'!C:C,B73,'0919門市清單主檔'!AC:AC,$H$2)=1,
    IF(
        COUNTIFS(
            IM!F:F,A73,
            IM!AC:AC,"*"&amp;$H$2&amp;"*",
            IM!X:X,"&gt;="&amp;$M$1,
            IM!X:X,"&lt;="&amp;$M$3
        )
        + COUNTIFS('0919門市清單主檔'!C:C,B73,'0919門市清單主檔'!AC:AC,$H$2)
        &gt;1,
        "V",
        "未完工"
    ),
    "-"
)</f>
        <v>-</v>
      </c>
      <c r="K73" s="122">
        <v>45848</v>
      </c>
      <c r="L73" s="116" t="str">
        <f>VLOOKUP(A73,'0919門市清單主檔'!B:V,21,FALSE)</f>
        <v>蘆竹區</v>
      </c>
      <c r="M73" t="str">
        <f>VLOOKUP(A73,門市總表!A:B,2,FALSE)</f>
        <v>蘆竹揚耀店</v>
      </c>
      <c r="Q73" s="115"/>
      <c r="R73" s="120" t="s">
        <v>4952</v>
      </c>
    </row>
    <row r="74" spans="1:18" ht="21.6" customHeight="1">
      <c r="A74" s="116" t="s">
        <v>55</v>
      </c>
      <c r="B74" s="116" t="str">
        <f>VLOOKUP(A74,門市總表!A:B,2,FALSE)</f>
        <v>匯躍蘆竹店</v>
      </c>
      <c r="C74" s="146" t="str">
        <f>IF(COUNTIFS(IM!$F:$F,A74,IM!$AD:$AD,"O",IM!$X:$X,"&gt;="&amp;$M$1, IM!$X:$X,"&lt;"&amp;$M$2)&gt;0,"V","")</f>
        <v>V</v>
      </c>
      <c r="D74" s="146" t="str">
        <f>IF(AND(C74&lt;&gt;"V", COUNTIFS(IM!$F:$F,A74, IM!$AD:$AD, "O", IM!$X:$X, "&gt;="&amp;$M$2, IM!$X:$X, "&lt;"&amp;$M$3)&gt;0), "V", "")</f>
        <v/>
      </c>
      <c r="E74" s="146" t="str">
        <f>IF(AND(C74&lt;&gt;"V",D74&lt;&gt;"V", COUNTIFS(IM!$F:$F, A74, IM!$AD:$AD, "O", IM!$X:$X, "&gt;="&amp;$M$3, IM!$X:$X, "&lt;"&amp;$N$3)&gt;0), "V", "")</f>
        <v/>
      </c>
      <c r="F74" s="116" t="str">
        <f>IF(VLOOKUP(A74,門市總表!A:F,6,FALSE)="新開","新開不保養",
IF(VLOOKUP(A74,門市總表!A:F,6,FALSE)="撤店","閉店不保養",IF(VLOOKUP(A74,門市總表!A:F,6,FALSE)="非當季","非當季",IF(VLOOKUP(A74,門市總表!A:F,6,FALSE)="跨季補單","跨季補單",
IF(COUNTBLANK(C74:E74)=3,"未保養","")
))))</f>
        <v/>
      </c>
      <c r="G74" s="116" t="str">
        <f>IF(COUNTIFS('0919門市清單主檔'!C:C,B74,'0919門市清單主檔'!AF:AF,$H$3)=1,
    IF(COUNTIFS(IM!F:F,A74,IM!AC:AC,"*"&amp;$H$3&amp;"*") + COUNTIFS('0919門市清單主檔'!C:C,B74,'0919門市清單主檔'!AF:AF,$H$3) &gt; 1,
       "V","未完工"),"-")</f>
        <v>-</v>
      </c>
      <c r="H74" s="253" t="str">
        <f>IF(COUNTIFS('0919門市清單主檔'!C:C,B74,'0919門市清單主檔'!AG:AG,$H$4)=1,
    IF(COUNTIFS(IM!F:F,A74,IM!AC:AC,"*"&amp;$H$4&amp;"*") + COUNTIFS('0919門市清單主檔'!C:C,B74,'0919門市清單主檔'!AG:AG,$H$4) &gt; 1,
       "V","未完工"),"-")</f>
        <v>未完工</v>
      </c>
      <c r="I74" s="253" t="str">
        <f>IF(COUNTIFS('0919門市清單主檔'!C:C,B74,'0919門市清單主檔'!AH:AH,$H$5)=1,
    IF(COUNTIFS(IM!F:F,A74,IM!AC:AC,"*"&amp;$H$5&amp;"*") + COUNTIFS('0919門市清單主檔'!C:C,B74,'0919門市清單主檔'!AH:AH,$H$5) &gt; 1,
       "V","未完工"),"-")</f>
        <v>-</v>
      </c>
      <c r="J74" s="253" t="str">
        <f>IF(
    COUNTIFS('0919門市清單主檔'!C:C,B74,'0919門市清單主檔'!AC:AC,$H$2)=1,
    IF(
        COUNTIFS(
            IM!F:F,A74,
            IM!AC:AC,"*"&amp;$H$2&amp;"*",
            IM!X:X,"&gt;="&amp;$M$1,
            IM!X:X,"&lt;="&amp;$M$3
        )
        + COUNTIFS('0919門市清單主檔'!C:C,B74,'0919門市清單主檔'!AC:AC,$H$2)
        &gt;1,
        "V",
        "未完工"
    ),
    "-"
)</f>
        <v>-</v>
      </c>
      <c r="K74" s="122">
        <v>45848</v>
      </c>
      <c r="L74" s="116" t="str">
        <f>VLOOKUP(A74,'0919門市清單主檔'!B:V,21,FALSE)</f>
        <v>蘆竹區</v>
      </c>
      <c r="M74" t="str">
        <f>VLOOKUP(A74,門市總表!A:B,2,FALSE)</f>
        <v>匯躍蘆竹店</v>
      </c>
      <c r="Q74" s="115"/>
      <c r="R74" s="120" t="s">
        <v>4952</v>
      </c>
    </row>
    <row r="75" spans="1:18" ht="21.6" customHeight="1">
      <c r="A75" s="116">
        <v>2315</v>
      </c>
      <c r="B75" s="116" t="str">
        <f>VLOOKUP(A75,門市總表!A:B,2,FALSE)</f>
        <v>蘆竹坑口店</v>
      </c>
      <c r="C75" s="146" t="str">
        <f>IF(COUNTIFS(IM!$F:$F,A75,IM!$AD:$AD,"O",IM!$X:$X,"&gt;="&amp;$M$1, IM!$X:$X,"&lt;"&amp;$M$2)&gt;0,"V","")</f>
        <v>V</v>
      </c>
      <c r="D75" s="146" t="str">
        <f>IF(AND(C75&lt;&gt;"V", COUNTIFS(IM!$F:$F,A75, IM!$AD:$AD, "O", IM!$X:$X, "&gt;="&amp;$M$2, IM!$X:$X, "&lt;"&amp;$M$3)&gt;0), "V", "")</f>
        <v/>
      </c>
      <c r="E75" s="146" t="str">
        <f>IF(AND(C75&lt;&gt;"V",D75&lt;&gt;"V", COUNTIFS(IM!$F:$F, A75, IM!$AD:$AD, "O", IM!$X:$X, "&gt;="&amp;$M$3, IM!$X:$X, "&lt;"&amp;$N$3)&gt;0), "V", "")</f>
        <v/>
      </c>
      <c r="F75" s="116" t="str">
        <f>IF(VLOOKUP(A75,門市總表!A:F,6,FALSE)="新開","新開不保養",
IF(VLOOKUP(A75,門市總表!A:F,6,FALSE)="撤店","閉店不保養",IF(VLOOKUP(A75,門市總表!A:F,6,FALSE)="非當季","非當季",IF(VLOOKUP(A75,門市總表!A:F,6,FALSE)="跨季補單","跨季補單",
IF(COUNTBLANK(C75:E75)=3,"未保養","")
))))</f>
        <v/>
      </c>
      <c r="G75" s="116" t="str">
        <f>IF(COUNTIFS('0919門市清單主檔'!C:C,B75,'0919門市清單主檔'!AF:AF,$H$3)=1,
    IF(COUNTIFS(IM!F:F,A75,IM!AC:AC,"*"&amp;$H$3&amp;"*") + COUNTIFS('0919門市清單主檔'!C:C,B75,'0919門市清單主檔'!AF:AF,$H$3) &gt; 1,
       "V","未完工"),"-")</f>
        <v>-</v>
      </c>
      <c r="H75" s="253" t="str">
        <f>IF(COUNTIFS('0919門市清單主檔'!C:C,B75,'0919門市清單主檔'!AG:AG,$H$4)=1,
    IF(COUNTIFS(IM!F:F,A75,IM!AC:AC,"*"&amp;$H$4&amp;"*") + COUNTIFS('0919門市清單主檔'!C:C,B75,'0919門市清單主檔'!AG:AG,$H$4) &gt; 1,
       "V","未完工"),"-")</f>
        <v>V</v>
      </c>
      <c r="I75" s="253" t="str">
        <f>IF(COUNTIFS('0919門市清單主檔'!C:C,B75,'0919門市清單主檔'!AH:AH,$H$5)=1,
    IF(COUNTIFS(IM!F:F,A75,IM!AC:AC,"*"&amp;$H$5&amp;"*") + COUNTIFS('0919門市清單主檔'!C:C,B75,'0919門市清單主檔'!AH:AH,$H$5) &gt; 1,
       "V","未完工"),"-")</f>
        <v>V</v>
      </c>
      <c r="J75" s="253" t="str">
        <f>IF(
    COUNTIFS('0919門市清單主檔'!C:C,B75,'0919門市清單主檔'!AC:AC,$H$2)=1,
    IF(
        COUNTIFS(
            IM!F:F,A75,
            IM!AC:AC,"*"&amp;$H$2&amp;"*",
            IM!X:X,"&gt;="&amp;$M$1,
            IM!X:X,"&lt;="&amp;$M$3
        )
        + COUNTIFS('0919門市清單主檔'!C:C,B75,'0919門市清單主檔'!AC:AC,$H$2)
        &gt;1,
        "V",
        "未完工"
    ),
    "-"
)</f>
        <v>-</v>
      </c>
      <c r="K75" s="122">
        <v>45880</v>
      </c>
      <c r="L75" s="116" t="str">
        <f>VLOOKUP(A75,'0919門市清單主檔'!B:V,21,FALSE)</f>
        <v>龜山區</v>
      </c>
      <c r="M75" t="str">
        <f>VLOOKUP(A75,門市總表!A:B,2,FALSE)</f>
        <v>蘆竹坑口店</v>
      </c>
      <c r="Q75" s="115"/>
      <c r="R75" s="120" t="s">
        <v>4952</v>
      </c>
    </row>
    <row r="76" spans="1:18" ht="21.6" customHeight="1">
      <c r="A76" s="116">
        <v>4844</v>
      </c>
      <c r="B76" s="116" t="str">
        <f>VLOOKUP(A76,門市總表!A:B,2,FALSE)</f>
        <v>三芝天涯店</v>
      </c>
      <c r="C76" s="146" t="str">
        <f>IF(COUNTIFS(IM!$F:$F,A76,IM!$AD:$AD,"O",IM!$X:$X,"&gt;="&amp;$M$1, IM!$X:$X,"&lt;"&amp;$M$2)&gt;0,"V","")</f>
        <v>V</v>
      </c>
      <c r="D76" s="146" t="str">
        <f>IF(AND(C76&lt;&gt;"V", COUNTIFS(IM!$F:$F,A76, IM!$AD:$AD, "O", IM!$X:$X, "&gt;="&amp;$M$2, IM!$X:$X, "&lt;"&amp;$M$3)&gt;0), "V", "")</f>
        <v/>
      </c>
      <c r="E76" s="146" t="str">
        <f>IF(AND(C76&lt;&gt;"V",D76&lt;&gt;"V", COUNTIFS(IM!$F:$F, A76, IM!$AD:$AD, "O", IM!$X:$X, "&gt;="&amp;$M$3, IM!$X:$X, "&lt;"&amp;$N$3)&gt;0), "V", "")</f>
        <v/>
      </c>
      <c r="F76" s="116" t="str">
        <f>IF(VLOOKUP(A76,門市總表!A:F,6,FALSE)="新開","新開不保養",
IF(VLOOKUP(A76,門市總表!A:F,6,FALSE)="撤店","閉店不保養",IF(VLOOKUP(A76,門市總表!A:F,6,FALSE)="非當季","非當季",IF(VLOOKUP(A76,門市總表!A:F,6,FALSE)="跨季補單","跨季補單",
IF(COUNTBLANK(C76:E76)=3,"未保養","")
))))</f>
        <v/>
      </c>
      <c r="G76" s="116" t="str">
        <f>IF(COUNTIFS('0919門市清單主檔'!C:C,B76,'0919門市清單主檔'!AF:AF,$H$3)=1,
    IF(COUNTIFS(IM!F:F,A76,IM!AC:AC,"*"&amp;$H$3&amp;"*") + COUNTIFS('0919門市清單主檔'!C:C,B76,'0919門市清單主檔'!AF:AF,$H$3) &gt; 1,
       "V","未完工"),"-")</f>
        <v>-</v>
      </c>
      <c r="H76" s="253" t="str">
        <f>IF(COUNTIFS('0919門市清單主檔'!C:C,B76,'0919門市清單主檔'!AG:AG,$H$4)=1,
    IF(COUNTIFS(IM!F:F,A76,IM!AC:AC,"*"&amp;$H$4&amp;"*") + COUNTIFS('0919門市清單主檔'!C:C,B76,'0919門市清單主檔'!AG:AG,$H$4) &gt; 1,
       "V","未完工"),"-")</f>
        <v>V</v>
      </c>
      <c r="I76" s="253" t="str">
        <f>IF(COUNTIFS('0919門市清單主檔'!C:C,B76,'0919門市清單主檔'!AH:AH,$H$5)=1,
    IF(COUNTIFS(IM!F:F,A76,IM!AC:AC,"*"&amp;$H$5&amp;"*") + COUNTIFS('0919門市清單主檔'!C:C,B76,'0919門市清單主檔'!AH:AH,$H$5) &gt; 1,
       "V","未完工"),"-")</f>
        <v>V</v>
      </c>
      <c r="J76" s="253" t="str">
        <f>IF(
    COUNTIFS('0919門市清單主檔'!C:C,B76,'0919門市清單主檔'!AC:AC,$H$2)=1,
    IF(
        COUNTIFS(
            IM!F:F,A76,
            IM!AC:AC,"*"&amp;$H$2&amp;"*",
            IM!X:X,"&gt;="&amp;$M$1,
            IM!X:X,"&lt;="&amp;$M$3
        )
        + COUNTIFS('0919門市清單主檔'!C:C,B76,'0919門市清單主檔'!AC:AC,$H$2)
        &gt;1,
        "V",
        "未完工"
    ),
    "-"
)</f>
        <v>-</v>
      </c>
      <c r="K76" s="122" t="s">
        <v>24</v>
      </c>
      <c r="L76" s="116" t="str">
        <f>VLOOKUP(A76,'0919門市清單主檔'!B:V,21,FALSE)</f>
        <v>三芝區</v>
      </c>
      <c r="M76" t="str">
        <f>VLOOKUP(A76,門市總表!A:B,2,FALSE)</f>
        <v>三芝天涯店</v>
      </c>
      <c r="Q76" s="115" t="s">
        <v>4951</v>
      </c>
      <c r="R76" s="120" t="s">
        <v>4952</v>
      </c>
    </row>
    <row r="77" spans="1:18" ht="21.6" customHeight="1">
      <c r="A77" s="116">
        <v>5080</v>
      </c>
      <c r="B77" s="116" t="str">
        <f>VLOOKUP(A77,門市總表!A:B,2,FALSE)</f>
        <v>三芝楓愛林</v>
      </c>
      <c r="C77" s="146" t="str">
        <f>IF(COUNTIFS(IM!$F:$F,A77,IM!$AD:$AD,"O",IM!$X:$X,"&gt;="&amp;$M$1, IM!$X:$X,"&lt;"&amp;$M$2)&gt;0,"V","")</f>
        <v>V</v>
      </c>
      <c r="D77" s="146" t="str">
        <f>IF(AND(C77&lt;&gt;"V", COUNTIFS(IM!$F:$F,A77, IM!$AD:$AD, "O", IM!$X:$X, "&gt;="&amp;$M$2, IM!$X:$X, "&lt;"&amp;$M$3)&gt;0), "V", "")</f>
        <v/>
      </c>
      <c r="E77" s="146" t="str">
        <f>IF(AND(C77&lt;&gt;"V",D77&lt;&gt;"V", COUNTIFS(IM!$F:$F, A77, IM!$AD:$AD, "O", IM!$X:$X, "&gt;="&amp;$M$3, IM!$X:$X, "&lt;"&amp;$N$3)&gt;0), "V", "")</f>
        <v/>
      </c>
      <c r="F77" s="116" t="str">
        <f>IF(VLOOKUP(A77,門市總表!A:F,6,FALSE)="新開","新開不保養",
IF(VLOOKUP(A77,門市總表!A:F,6,FALSE)="撤店","閉店不保養",IF(VLOOKUP(A77,門市總表!A:F,6,FALSE)="非當季","非當季",IF(VLOOKUP(A77,門市總表!A:F,6,FALSE)="跨季補單","跨季補單",
IF(COUNTBLANK(C77:E77)=3,"未保養","")
))))</f>
        <v/>
      </c>
      <c r="G77" s="116" t="str">
        <f>IF(COUNTIFS('0919門市清單主檔'!C:C,B77,'0919門市清單主檔'!AF:AF,$H$3)=1,
    IF(COUNTIFS(IM!F:F,A77,IM!AC:AC,"*"&amp;$H$3&amp;"*") + COUNTIFS('0919門市清單主檔'!C:C,B77,'0919門市清單主檔'!AF:AF,$H$3) &gt; 1,
       "V","未完工"),"-")</f>
        <v>-</v>
      </c>
      <c r="H77" s="253" t="str">
        <f>IF(COUNTIFS('0919門市清單主檔'!C:C,B77,'0919門市清單主檔'!AG:AG,$H$4)=1,
    IF(COUNTIFS(IM!F:F,A77,IM!AC:AC,"*"&amp;$H$4&amp;"*") + COUNTIFS('0919門市清單主檔'!C:C,B77,'0919門市清單主檔'!AG:AG,$H$4) &gt; 1,
       "V","未完工"),"-")</f>
        <v>V</v>
      </c>
      <c r="I77" s="253" t="str">
        <f>IF(COUNTIFS('0919門市清單主檔'!C:C,B77,'0919門市清單主檔'!AH:AH,$H$5)=1,
    IF(COUNTIFS(IM!F:F,A77,IM!AC:AC,"*"&amp;$H$5&amp;"*") + COUNTIFS('0919門市清單主檔'!C:C,B77,'0919門市清單主檔'!AH:AH,$H$5) &gt; 1,
       "V","未完工"),"-")</f>
        <v>V</v>
      </c>
      <c r="J77" s="253" t="str">
        <f>IF(
    COUNTIFS('0919門市清單主檔'!C:C,B77,'0919門市清單主檔'!AC:AC,$H$2)=1,
    IF(
        COUNTIFS(
            IM!F:F,A77,
            IM!AC:AC,"*"&amp;$H$2&amp;"*",
            IM!X:X,"&gt;="&amp;$M$1,
            IM!X:X,"&lt;="&amp;$M$3
        )
        + COUNTIFS('0919門市清單主檔'!C:C,B77,'0919門市清單主檔'!AC:AC,$H$2)
        &gt;1,
        "V",
        "未完工"
    ),
    "-"
)</f>
        <v>-</v>
      </c>
      <c r="K77" s="122">
        <v>45881</v>
      </c>
      <c r="L77" s="116" t="str">
        <f>VLOOKUP(A77,'0919門市清單主檔'!B:V,21,FALSE)</f>
        <v>三芝區</v>
      </c>
      <c r="M77" t="str">
        <f>VLOOKUP(A77,門市總表!A:B,2,FALSE)</f>
        <v>三芝楓愛林</v>
      </c>
      <c r="Q77" s="115"/>
      <c r="R77" s="120" t="s">
        <v>4952</v>
      </c>
    </row>
    <row r="78" spans="1:18" ht="21.6" customHeight="1">
      <c r="A78" s="116">
        <v>4282</v>
      </c>
      <c r="B78" s="116" t="str">
        <f>VLOOKUP(A78,門市總表!A:B,2,FALSE)</f>
        <v>林口建林店</v>
      </c>
      <c r="C78" s="146" t="str">
        <f>IF(COUNTIFS(IM!$F:$F,A78,IM!$AD:$AD,"O",IM!$X:$X,"&gt;="&amp;$M$1, IM!$X:$X,"&lt;"&amp;$M$2)&gt;0,"V","")</f>
        <v>V</v>
      </c>
      <c r="D78" s="146" t="str">
        <f>IF(AND(C78&lt;&gt;"V", COUNTIFS(IM!$F:$F,A78, IM!$AD:$AD, "O", IM!$X:$X, "&gt;="&amp;$M$2, IM!$X:$X, "&lt;"&amp;$M$3)&gt;0), "V", "")</f>
        <v/>
      </c>
      <c r="E78" s="146" t="str">
        <f>IF(AND(C78&lt;&gt;"V",D78&lt;&gt;"V", COUNTIFS(IM!$F:$F, A78, IM!$AD:$AD, "O", IM!$X:$X, "&gt;="&amp;$M$3, IM!$X:$X, "&lt;"&amp;$N$3)&gt;0), "V", "")</f>
        <v/>
      </c>
      <c r="F78" s="116" t="str">
        <f>IF(VLOOKUP(A78,門市總表!A:F,6,FALSE)="新開","新開不保養",
IF(VLOOKUP(A78,門市總表!A:F,6,FALSE)="撤店","閉店不保養",IF(VLOOKUP(A78,門市總表!A:F,6,FALSE)="非當季","非當季",IF(VLOOKUP(A78,門市總表!A:F,6,FALSE)="跨季補單","跨季補單",
IF(COUNTBLANK(C78:E78)=3,"未保養","")
))))</f>
        <v/>
      </c>
      <c r="G78" s="116" t="str">
        <f>IF(COUNTIFS('0919門市清單主檔'!C:C,B78,'0919門市清單主檔'!AF:AF,$H$3)=1,
    IF(COUNTIFS(IM!F:F,A78,IM!AC:AC,"*"&amp;$H$3&amp;"*") + COUNTIFS('0919門市清單主檔'!C:C,B78,'0919門市清單主檔'!AF:AF,$H$3) &gt; 1,
       "V","未完工"),"-")</f>
        <v>-</v>
      </c>
      <c r="H78" s="253" t="str">
        <f>IF(COUNTIFS('0919門市清單主檔'!C:C,B78,'0919門市清單主檔'!AG:AG,$H$4)=1,
    IF(COUNTIFS(IM!F:F,A78,IM!AC:AC,"*"&amp;$H$4&amp;"*") + COUNTIFS('0919門市清單主檔'!C:C,B78,'0919門市清單主檔'!AG:AG,$H$4) &gt; 1,
       "V","未完工"),"-")</f>
        <v>V</v>
      </c>
      <c r="I78" s="253" t="str">
        <f>IF(COUNTIFS('0919門市清單主檔'!C:C,B78,'0919門市清單主檔'!AH:AH,$H$5)=1,
    IF(COUNTIFS(IM!F:F,A78,IM!AC:AC,"*"&amp;$H$5&amp;"*") + COUNTIFS('0919門市清單主檔'!C:C,B78,'0919門市清單主檔'!AH:AH,$H$5) &gt; 1,
       "V","未完工"),"-")</f>
        <v>V</v>
      </c>
      <c r="J78" s="253" t="str">
        <f>IF(
    COUNTIFS('0919門市清單主檔'!C:C,B78,'0919門市清單主檔'!AC:AC,$H$2)=1,
    IF(
        COUNTIFS(
            IM!F:F,A78,
            IM!AC:AC,"*"&amp;$H$2&amp;"*",
            IM!X:X,"&gt;="&amp;$M$1,
            IM!X:X,"&lt;="&amp;$M$3
        )
        + COUNTIFS('0919門市清單主檔'!C:C,B78,'0919門市清單主檔'!AC:AC,$H$2)
        &gt;1,
        "V",
        "未完工"
    ),
    "-"
)</f>
        <v>-</v>
      </c>
      <c r="K78" s="122">
        <v>45848</v>
      </c>
      <c r="L78" s="116" t="str">
        <f>VLOOKUP(A78,'0919門市清單主檔'!B:V,21,FALSE)</f>
        <v>林口區</v>
      </c>
      <c r="M78" t="str">
        <f>VLOOKUP(A78,門市總表!A:B,2,FALSE)</f>
        <v>林口建林店</v>
      </c>
      <c r="Q78" s="115" t="s">
        <v>4951</v>
      </c>
      <c r="R78" s="120" t="s">
        <v>4952</v>
      </c>
    </row>
    <row r="79" spans="1:18" ht="21.6" customHeight="1">
      <c r="A79" s="116">
        <v>2749</v>
      </c>
      <c r="B79" s="116" t="str">
        <f>VLOOKUP(A79,門市總表!A:B,2,FALSE)</f>
        <v>淡水灰瑤子</v>
      </c>
      <c r="C79" s="146" t="str">
        <f>IF(COUNTIFS(IM!$F:$F,A79,IM!$AD:$AD,"O",IM!$X:$X,"&gt;="&amp;$M$1, IM!$X:$X,"&lt;"&amp;$M$2)&gt;0,"V","")</f>
        <v>V</v>
      </c>
      <c r="D79" s="146" t="str">
        <f>IF(AND(C79&lt;&gt;"V", COUNTIFS(IM!$F:$F,A79, IM!$AD:$AD, "O", IM!$X:$X, "&gt;="&amp;$M$2, IM!$X:$X, "&lt;"&amp;$M$3)&gt;0), "V", "")</f>
        <v/>
      </c>
      <c r="E79" s="146" t="str">
        <f>IF(AND(C79&lt;&gt;"V",D79&lt;&gt;"V", COUNTIFS(IM!$F:$F, A79, IM!$AD:$AD, "O", IM!$X:$X, "&gt;="&amp;$M$3, IM!$X:$X, "&lt;"&amp;$N$3)&gt;0), "V", "")</f>
        <v/>
      </c>
      <c r="F79" s="116" t="str">
        <f>IF(VLOOKUP(A79,門市總表!A:F,6,FALSE)="新開","新開不保養",
IF(VLOOKUP(A79,門市總表!A:F,6,FALSE)="撤店","閉店不保養",IF(VLOOKUP(A79,門市總表!A:F,6,FALSE)="非當季","非當季",IF(VLOOKUP(A79,門市總表!A:F,6,FALSE)="跨季補單","跨季補單",
IF(COUNTBLANK(C79:E79)=3,"未保養","")
))))</f>
        <v/>
      </c>
      <c r="G79" s="116" t="str">
        <f>IF(COUNTIFS('0919門市清單主檔'!C:C,B79,'0919門市清單主檔'!AF:AF,$H$3)=1,
    IF(COUNTIFS(IM!F:F,A79,IM!AC:AC,"*"&amp;$H$3&amp;"*") + COUNTIFS('0919門市清單主檔'!C:C,B79,'0919門市清單主檔'!AF:AF,$H$3) &gt; 1,
       "V","未完工"),"-")</f>
        <v>-</v>
      </c>
      <c r="H79" s="253" t="str">
        <f>IF(COUNTIFS('0919門市清單主檔'!C:C,B79,'0919門市清單主檔'!AG:AG,$H$4)=1,
    IF(COUNTIFS(IM!F:F,A79,IM!AC:AC,"*"&amp;$H$4&amp;"*") + COUNTIFS('0919門市清單主檔'!C:C,B79,'0919門市清單主檔'!AG:AG,$H$4) &gt; 1,
       "V","未完工"),"-")</f>
        <v>V</v>
      </c>
      <c r="I79" s="253" t="str">
        <f>IF(COUNTIFS('0919門市清單主檔'!C:C,B79,'0919門市清單主檔'!AH:AH,$H$5)=1,
    IF(COUNTIFS(IM!F:F,A79,IM!AC:AC,"*"&amp;$H$5&amp;"*") + COUNTIFS('0919門市清單主檔'!C:C,B79,'0919門市清單主檔'!AH:AH,$H$5) &gt; 1,
       "V","未完工"),"-")</f>
        <v>V</v>
      </c>
      <c r="J79" s="253" t="str">
        <f>IF(
    COUNTIFS('0919門市清單主檔'!C:C,B79,'0919門市清單主檔'!AC:AC,$H$2)=1,
    IF(
        COUNTIFS(
            IM!F:F,A79,
            IM!AC:AC,"*"&amp;$H$2&amp;"*",
            IM!X:X,"&gt;="&amp;$M$1,
            IM!X:X,"&lt;="&amp;$M$3
        )
        + COUNTIFS('0919門市清單主檔'!C:C,B79,'0919門市清單主檔'!AC:AC,$H$2)
        &gt;1,
        "V",
        "未完工"
    ),
    "-"
)</f>
        <v>-</v>
      </c>
      <c r="K79" s="122">
        <v>45896</v>
      </c>
      <c r="L79" s="116" t="str">
        <f>VLOOKUP(A79,'0919門市清單主檔'!B:V,21,FALSE)</f>
        <v>淡水區</v>
      </c>
      <c r="M79" t="str">
        <f>VLOOKUP(A79,門市總表!A:B,2,FALSE)</f>
        <v>淡水灰瑤子</v>
      </c>
      <c r="Q79" s="115" t="s">
        <v>4951</v>
      </c>
      <c r="R79" s="120" t="s">
        <v>4952</v>
      </c>
    </row>
    <row r="80" spans="1:18" ht="21.6" customHeight="1">
      <c r="A80" s="116">
        <v>4739</v>
      </c>
      <c r="B80" s="116" t="str">
        <f>VLOOKUP(A80,門市總表!A:B,2,FALSE)</f>
        <v>淡水櫻花店</v>
      </c>
      <c r="C80" s="146" t="str">
        <f>IF(COUNTIFS(IM!$F:$F,A80,IM!$AD:$AD,"O",IM!$X:$X,"&gt;="&amp;$M$1, IM!$X:$X,"&lt;"&amp;$M$2)&gt;0,"V","")</f>
        <v>V</v>
      </c>
      <c r="D80" s="146" t="str">
        <f>IF(AND(C80&lt;&gt;"V", COUNTIFS(IM!$F:$F,A80, IM!$AD:$AD, "O", IM!$X:$X, "&gt;="&amp;$M$2, IM!$X:$X, "&lt;"&amp;$M$3)&gt;0), "V", "")</f>
        <v/>
      </c>
      <c r="E80" s="146" t="str">
        <f>IF(AND(C80&lt;&gt;"V",D80&lt;&gt;"V", COUNTIFS(IM!$F:$F, A80, IM!$AD:$AD, "O", IM!$X:$X, "&gt;="&amp;$M$3, IM!$X:$X, "&lt;"&amp;$N$3)&gt;0), "V", "")</f>
        <v/>
      </c>
      <c r="F80" s="116" t="str">
        <f>IF(VLOOKUP(A80,門市總表!A:F,6,FALSE)="新開","新開不保養",
IF(VLOOKUP(A80,門市總表!A:F,6,FALSE)="撤店","閉店不保養",IF(VLOOKUP(A80,門市總表!A:F,6,FALSE)="非當季","非當季",IF(VLOOKUP(A80,門市總表!A:F,6,FALSE)="跨季補單","跨季補單",
IF(COUNTBLANK(C80:E80)=3,"未保養","")
))))</f>
        <v/>
      </c>
      <c r="G80" s="116" t="str">
        <f>IF(COUNTIFS('0919門市清單主檔'!C:C,B80,'0919門市清單主檔'!AF:AF,$H$3)=1,
    IF(COUNTIFS(IM!F:F,A80,IM!AC:AC,"*"&amp;$H$3&amp;"*") + COUNTIFS('0919門市清單主檔'!C:C,B80,'0919門市清單主檔'!AF:AF,$H$3) &gt; 1,
       "V","未完工"),"-")</f>
        <v>-</v>
      </c>
      <c r="H80" s="253" t="str">
        <f>IF(COUNTIFS('0919門市清單主檔'!C:C,B80,'0919門市清單主檔'!AG:AG,$H$4)=1,
    IF(COUNTIFS(IM!F:F,A80,IM!AC:AC,"*"&amp;$H$4&amp;"*") + COUNTIFS('0919門市清單主檔'!C:C,B80,'0919門市清單主檔'!AG:AG,$H$4) &gt; 1,
       "V","未完工"),"-")</f>
        <v>V</v>
      </c>
      <c r="I80" s="253" t="str">
        <f>IF(COUNTIFS('0919門市清單主檔'!C:C,B80,'0919門市清單主檔'!AH:AH,$H$5)=1,
    IF(COUNTIFS(IM!F:F,A80,IM!AC:AC,"*"&amp;$H$5&amp;"*") + COUNTIFS('0919門市清單主檔'!C:C,B80,'0919門市清單主檔'!AH:AH,$H$5) &gt; 1,
       "V","未完工"),"-")</f>
        <v>V</v>
      </c>
      <c r="J80" s="253" t="str">
        <f>IF(
    COUNTIFS('0919門市清單主檔'!C:C,B80,'0919門市清單主檔'!AC:AC,$H$2)=1,
    IF(
        COUNTIFS(
            IM!F:F,A80,
            IM!AC:AC,"*"&amp;$H$2&amp;"*",
            IM!X:X,"&gt;="&amp;$M$1,
            IM!X:X,"&lt;="&amp;$M$3
        )
        + COUNTIFS('0919門市清單主檔'!C:C,B80,'0919門市清單主檔'!AC:AC,$H$2)
        &gt;1,
        "V",
        "未完工"
    ),
    "-"
)</f>
        <v>-</v>
      </c>
      <c r="K80" s="122">
        <v>45923</v>
      </c>
      <c r="L80" s="116" t="str">
        <f>VLOOKUP(A80,'0919門市清單主檔'!B:V,21,FALSE)</f>
        <v>淡水區</v>
      </c>
      <c r="M80" t="str">
        <f>VLOOKUP(A80,門市總表!A:B,2,FALSE)</f>
        <v>淡水櫻花店</v>
      </c>
      <c r="Q80" s="115" t="s">
        <v>4951</v>
      </c>
      <c r="R80" s="120" t="s">
        <v>4952</v>
      </c>
    </row>
    <row r="81" spans="1:18" ht="21.6" customHeight="1">
      <c r="A81" s="116">
        <v>4153</v>
      </c>
      <c r="B81" s="116" t="str">
        <f>VLOOKUP(A81,門市總表!A:B,2,FALSE)</f>
        <v>淡水莊園店</v>
      </c>
      <c r="C81" s="146" t="str">
        <f>IF(COUNTIFS(IM!$F:$F,A81,IM!$AD:$AD,"O",IM!$X:$X,"&gt;="&amp;$M$1, IM!$X:$X,"&lt;"&amp;$M$2)&gt;0,"V","")</f>
        <v>V</v>
      </c>
      <c r="D81" s="146" t="str">
        <f>IF(AND(C81&lt;&gt;"V", COUNTIFS(IM!$F:$F,A81, IM!$AD:$AD, "O", IM!$X:$X, "&gt;="&amp;$M$2, IM!$X:$X, "&lt;"&amp;$M$3)&gt;0), "V", "")</f>
        <v/>
      </c>
      <c r="E81" s="146" t="str">
        <f>IF(AND(C81&lt;&gt;"V",D81&lt;&gt;"V", COUNTIFS(IM!$F:$F, A81, IM!$AD:$AD, "O", IM!$X:$X, "&gt;="&amp;$M$3, IM!$X:$X, "&lt;"&amp;$N$3)&gt;0), "V", "")</f>
        <v/>
      </c>
      <c r="F81" s="116" t="str">
        <f>IF(VLOOKUP(A81,門市總表!A:F,6,FALSE)="新開","新開不保養",
IF(VLOOKUP(A81,門市總表!A:F,6,FALSE)="撤店","閉店不保養",IF(VLOOKUP(A81,門市總表!A:F,6,FALSE)="非當季","非當季",IF(VLOOKUP(A81,門市總表!A:F,6,FALSE)="跨季補單","跨季補單",
IF(COUNTBLANK(C81:E81)=3,"未保養","")
))))</f>
        <v/>
      </c>
      <c r="G81" s="116" t="str">
        <f>IF(COUNTIFS('0919門市清單主檔'!C:C,B81,'0919門市清單主檔'!AF:AF,$H$3)=1,
    IF(COUNTIFS(IM!F:F,A81,IM!AC:AC,"*"&amp;$H$3&amp;"*") + COUNTIFS('0919門市清單主檔'!C:C,B81,'0919門市清單主檔'!AF:AF,$H$3) &gt; 1,
       "V","未完工"),"-")</f>
        <v>-</v>
      </c>
      <c r="H81" s="253" t="str">
        <f>IF(COUNTIFS('0919門市清單主檔'!C:C,B81,'0919門市清單主檔'!AG:AG,$H$4)=1,
    IF(COUNTIFS(IM!F:F,A81,IM!AC:AC,"*"&amp;$H$4&amp;"*") + COUNTIFS('0919門市清單主檔'!C:C,B81,'0919門市清單主檔'!AG:AG,$H$4) &gt; 1,
       "V","未完工"),"-")</f>
        <v>V</v>
      </c>
      <c r="I81" s="253" t="str">
        <f>IF(COUNTIFS('0919門市清單主檔'!C:C,B81,'0919門市清單主檔'!AH:AH,$H$5)=1,
    IF(COUNTIFS(IM!F:F,A81,IM!AC:AC,"*"&amp;$H$5&amp;"*") + COUNTIFS('0919門市清單主檔'!C:C,B81,'0919門市清單主檔'!AH:AH,$H$5) &gt; 1,
       "V","未完工"),"-")</f>
        <v>V</v>
      </c>
      <c r="J81" s="253" t="str">
        <f>IF(
    COUNTIFS('0919門市清單主檔'!C:C,B81,'0919門市清單主檔'!AC:AC,$H$2)=1,
    IF(
        COUNTIFS(
            IM!F:F,A81,
            IM!AC:AC,"*"&amp;$H$2&amp;"*",
            IM!X:X,"&gt;="&amp;$M$1,
            IM!X:X,"&lt;="&amp;$M$3
        )
        + COUNTIFS('0919門市清單主檔'!C:C,B81,'0919門市清單主檔'!AC:AC,$H$2)
        &gt;1,
        "V",
        "未完工"
    ),
    "-"
)</f>
        <v>-</v>
      </c>
      <c r="K81" s="122">
        <v>45877</v>
      </c>
      <c r="L81" s="116" t="str">
        <f>VLOOKUP(A81,'0919門市清單主檔'!B:V,21,FALSE)</f>
        <v>淡水區</v>
      </c>
      <c r="M81" t="str">
        <f>VLOOKUP(A81,門市總表!A:B,2,FALSE)</f>
        <v>淡水莊園店</v>
      </c>
      <c r="Q81" s="115" t="s">
        <v>4951</v>
      </c>
      <c r="R81" s="120" t="s">
        <v>4952</v>
      </c>
    </row>
    <row r="82" spans="1:18" ht="21.6" customHeight="1">
      <c r="A82" s="116">
        <v>4483</v>
      </c>
      <c r="B82" s="116" t="str">
        <f>VLOOKUP(A82,門市總表!A:B,2,FALSE)</f>
        <v>林口築夢店</v>
      </c>
      <c r="C82" s="146" t="str">
        <f>IF(COUNTIFS(IM!$F:$F,A82,IM!$AD:$AD,"O",IM!$X:$X,"&gt;="&amp;$M$1, IM!$X:$X,"&lt;"&amp;$M$2)&gt;0,"V","")</f>
        <v>V</v>
      </c>
      <c r="D82" s="146" t="str">
        <f>IF(AND(C82&lt;&gt;"V", COUNTIFS(IM!$F:$F,A82, IM!$AD:$AD, "O", IM!$X:$X, "&gt;="&amp;$M$2, IM!$X:$X, "&lt;"&amp;$M$3)&gt;0), "V", "")</f>
        <v/>
      </c>
      <c r="E82" s="146" t="str">
        <f>IF(AND(C82&lt;&gt;"V",D82&lt;&gt;"V", COUNTIFS(IM!$F:$F, A82, IM!$AD:$AD, "O", IM!$X:$X, "&gt;="&amp;$M$3, IM!$X:$X, "&lt;"&amp;$N$3)&gt;0), "V", "")</f>
        <v/>
      </c>
      <c r="F82" s="116" t="str">
        <f>IF(VLOOKUP(A82,門市總表!A:F,6,FALSE)="新開","新開不保養",
IF(VLOOKUP(A82,門市總表!A:F,6,FALSE)="撤店","閉店不保養",IF(VLOOKUP(A82,門市總表!A:F,6,FALSE)="非當季","非當季",IF(VLOOKUP(A82,門市總表!A:F,6,FALSE)="跨季補單","跨季補單",
IF(COUNTBLANK(C82:E82)=3,"未保養","")
))))</f>
        <v/>
      </c>
      <c r="G82" s="116" t="str">
        <f>IF(COUNTIFS('0919門市清單主檔'!C:C,B82,'0919門市清單主檔'!AF:AF,$H$3)=1,
    IF(COUNTIFS(IM!F:F,A82,IM!AC:AC,"*"&amp;$H$3&amp;"*") + COUNTIFS('0919門市清單主檔'!C:C,B82,'0919門市清單主檔'!AF:AF,$H$3) &gt; 1,
       "V","未完工"),"-")</f>
        <v>-</v>
      </c>
      <c r="H82" s="253" t="str">
        <f>IF(COUNTIFS('0919門市清單主檔'!C:C,B82,'0919門市清單主檔'!AG:AG,$H$4)=1,
    IF(COUNTIFS(IM!F:F,A82,IM!AC:AC,"*"&amp;$H$4&amp;"*") + COUNTIFS('0919門市清單主檔'!C:C,B82,'0919門市清單主檔'!AG:AG,$H$4) &gt; 1,
       "V","未完工"),"-")</f>
        <v>V</v>
      </c>
      <c r="I82" s="253" t="str">
        <f>IF(COUNTIFS('0919門市清單主檔'!C:C,B82,'0919門市清單主檔'!AH:AH,$H$5)=1,
    IF(COUNTIFS(IM!F:F,A82,IM!AC:AC,"*"&amp;$H$5&amp;"*") + COUNTIFS('0919門市清單主檔'!C:C,B82,'0919門市清單主檔'!AH:AH,$H$5) &gt; 1,
       "V","未完工"),"-")</f>
        <v>V</v>
      </c>
      <c r="J82" s="253" t="str">
        <f>IF(
    COUNTIFS('0919門市清單主檔'!C:C,B82,'0919門市清單主檔'!AC:AC,$H$2)=1,
    IF(
        COUNTIFS(
            IM!F:F,A82,
            IM!AC:AC,"*"&amp;$H$2&amp;"*",
            IM!X:X,"&gt;="&amp;$M$1,
            IM!X:X,"&lt;="&amp;$M$3
        )
        + COUNTIFS('0919門市清單主檔'!C:C,B82,'0919門市清單主檔'!AC:AC,$H$2)
        &gt;1,
        "V",
        "未完工"
    ),
    "-"
)</f>
        <v>-</v>
      </c>
      <c r="K82" s="122">
        <v>45902</v>
      </c>
      <c r="L82" s="116" t="str">
        <f>VLOOKUP(A82,'0919門市清單主檔'!B:V,21,FALSE)</f>
        <v>林口區</v>
      </c>
      <c r="M82" t="str">
        <f>VLOOKUP(A82,門市總表!A:B,2,FALSE)</f>
        <v>林口築夢店</v>
      </c>
      <c r="Q82" s="115" t="s">
        <v>4951</v>
      </c>
      <c r="R82" s="115"/>
    </row>
    <row r="83" spans="1:18" ht="21.6" customHeight="1">
      <c r="A83" s="116">
        <v>4514</v>
      </c>
      <c r="B83" s="116" t="str">
        <f>VLOOKUP(A83,門市總表!A:B,2,FALSE)</f>
        <v>林口老師店</v>
      </c>
      <c r="C83" s="146" t="str">
        <f>IF(COUNTIFS(IM!$F:$F,A83,IM!$AD:$AD,"O",IM!$X:$X,"&gt;="&amp;$M$1, IM!$X:$X,"&lt;"&amp;$M$2)&gt;0,"V","")</f>
        <v>V</v>
      </c>
      <c r="D83" s="146" t="str">
        <f>IF(AND(C83&lt;&gt;"V", COUNTIFS(IM!$F:$F,A83, IM!$AD:$AD, "O", IM!$X:$X, "&gt;="&amp;$M$2, IM!$X:$X, "&lt;"&amp;$M$3)&gt;0), "V", "")</f>
        <v/>
      </c>
      <c r="E83" s="146" t="str">
        <f>IF(AND(C83&lt;&gt;"V",D83&lt;&gt;"V", COUNTIFS(IM!$F:$F, A83, IM!$AD:$AD, "O", IM!$X:$X, "&gt;="&amp;$M$3, IM!$X:$X, "&lt;"&amp;$N$3)&gt;0), "V", "")</f>
        <v/>
      </c>
      <c r="F83" s="116" t="str">
        <f>IF(VLOOKUP(A83,門市總表!A:F,6,FALSE)="新開","新開不保養",
IF(VLOOKUP(A83,門市總表!A:F,6,FALSE)="撤店","閉店不保養",IF(VLOOKUP(A83,門市總表!A:F,6,FALSE)="非當季","非當季",IF(VLOOKUP(A83,門市總表!A:F,6,FALSE)="跨季補單","跨季補單",
IF(COUNTBLANK(C83:E83)=3,"未保養","")
))))</f>
        <v/>
      </c>
      <c r="G83" s="116" t="str">
        <f>IF(COUNTIFS('0919門市清單主檔'!C:C,B83,'0919門市清單主檔'!AF:AF,$H$3)=1,
    IF(COUNTIFS(IM!F:F,A83,IM!AC:AC,"*"&amp;$H$3&amp;"*") + COUNTIFS('0919門市清單主檔'!C:C,B83,'0919門市清單主檔'!AF:AF,$H$3) &gt; 1,
       "V","未完工"),"-")</f>
        <v>-</v>
      </c>
      <c r="H83" s="253" t="str">
        <f>IF(COUNTIFS('0919門市清單主檔'!C:C,B83,'0919門市清單主檔'!AG:AG,$H$4)=1,
    IF(COUNTIFS(IM!F:F,A83,IM!AC:AC,"*"&amp;$H$4&amp;"*") + COUNTIFS('0919門市清單主檔'!C:C,B83,'0919門市清單主檔'!AG:AG,$H$4) &gt; 1,
       "V","未完工"),"-")</f>
        <v>V</v>
      </c>
      <c r="I83" s="253" t="str">
        <f>IF(COUNTIFS('0919門市清單主檔'!C:C,B83,'0919門市清單主檔'!AH:AH,$H$5)=1,
    IF(COUNTIFS(IM!F:F,A83,IM!AC:AC,"*"&amp;$H$5&amp;"*") + COUNTIFS('0919門市清單主檔'!C:C,B83,'0919門市清單主檔'!AH:AH,$H$5) &gt; 1,
       "V","未完工"),"-")</f>
        <v>V</v>
      </c>
      <c r="J83" s="253" t="str">
        <f>IF(
    COUNTIFS('0919門市清單主檔'!C:C,B83,'0919門市清單主檔'!AC:AC,$H$2)=1,
    IF(
        COUNTIFS(
            IM!F:F,A83,
            IM!AC:AC,"*"&amp;$H$2&amp;"*",
            IM!X:X,"&gt;="&amp;$M$1,
            IM!X:X,"&lt;="&amp;$M$3
        )
        + COUNTIFS('0919門市清單主檔'!C:C,B83,'0919門市清單主檔'!AC:AC,$H$2)
        &gt;1,
        "V",
        "未完工"
    ),
    "-"
)</f>
        <v>-</v>
      </c>
      <c r="K83" s="122">
        <v>45894</v>
      </c>
      <c r="L83" s="116" t="str">
        <f>VLOOKUP(A83,'0919門市清單主檔'!B:V,21,FALSE)</f>
        <v>林口區</v>
      </c>
      <c r="M83" t="str">
        <f>VLOOKUP(A83,門市總表!A:B,2,FALSE)</f>
        <v>林口老師店</v>
      </c>
      <c r="Q83" s="115"/>
      <c r="R83" s="120" t="s">
        <v>4952</v>
      </c>
    </row>
    <row r="84" spans="1:18" ht="21.6" customHeight="1">
      <c r="A84" s="116">
        <v>5364</v>
      </c>
      <c r="B84" s="116" t="str">
        <f>VLOOKUP(A84,門市總表!A:B,2,FALSE)</f>
        <v>林口舊街店</v>
      </c>
      <c r="C84" s="146" t="str">
        <f>IF(COUNTIFS(IM!$F:$F,A84,IM!$AD:$AD,"O",IM!$X:$X,"&gt;="&amp;$M$1, IM!$X:$X,"&lt;"&amp;$M$2)&gt;0,"V","")</f>
        <v>V</v>
      </c>
      <c r="D84" s="146" t="str">
        <f>IF(AND(C84&lt;&gt;"V", COUNTIFS(IM!$F:$F,A84, IM!$AD:$AD, "O", IM!$X:$X, "&gt;="&amp;$M$2, IM!$X:$X, "&lt;"&amp;$M$3)&gt;0), "V", "")</f>
        <v/>
      </c>
      <c r="E84" s="146" t="str">
        <f>IF(AND(C84&lt;&gt;"V",D84&lt;&gt;"V", COUNTIFS(IM!$F:$F, A84, IM!$AD:$AD, "O", IM!$X:$X, "&gt;="&amp;$M$3, IM!$X:$X, "&lt;"&amp;$N$3)&gt;0), "V", "")</f>
        <v/>
      </c>
      <c r="F84" s="116" t="str">
        <f>IF(VLOOKUP(A84,門市總表!A:F,6,FALSE)="新開","新開不保養",
IF(VLOOKUP(A84,門市總表!A:F,6,FALSE)="撤店","閉店不保養",IF(VLOOKUP(A84,門市總表!A:F,6,FALSE)="非當季","非當季",IF(VLOOKUP(A84,門市總表!A:F,6,FALSE)="跨季補單","跨季補單",
IF(COUNTBLANK(C84:E84)=3,"未保養","")
))))</f>
        <v/>
      </c>
      <c r="G84" s="116" t="str">
        <f>IF(COUNTIFS('0919門市清單主檔'!C:C,B84,'0919門市清單主檔'!AF:AF,$H$3)=1,
    IF(COUNTIFS(IM!F:F,A84,IM!AC:AC,"*"&amp;$H$3&amp;"*") + COUNTIFS('0919門市清單主檔'!C:C,B84,'0919門市清單主檔'!AF:AF,$H$3) &gt; 1,
       "V","未完工"),"-")</f>
        <v>-</v>
      </c>
      <c r="H84" s="253" t="str">
        <f>IF(COUNTIFS('0919門市清單主檔'!C:C,B84,'0919門市清單主檔'!AG:AG,$H$4)=1,
    IF(COUNTIFS(IM!F:F,A84,IM!AC:AC,"*"&amp;$H$4&amp;"*") + COUNTIFS('0919門市清單主檔'!C:C,B84,'0919門市清單主檔'!AG:AG,$H$4) &gt; 1,
       "V","未完工"),"-")</f>
        <v>V</v>
      </c>
      <c r="I84" s="253" t="str">
        <f>IF(COUNTIFS('0919門市清單主檔'!C:C,B84,'0919門市清單主檔'!AH:AH,$H$5)=1,
    IF(COUNTIFS(IM!F:F,A84,IM!AC:AC,"*"&amp;$H$5&amp;"*") + COUNTIFS('0919門市清單主檔'!C:C,B84,'0919門市清單主檔'!AH:AH,$H$5) &gt; 1,
       "V","未完工"),"-")</f>
        <v>V</v>
      </c>
      <c r="J84" s="253" t="str">
        <f>IF(
    COUNTIFS('0919門市清單主檔'!C:C,B84,'0919門市清單主檔'!AC:AC,$H$2)=1,
    IF(
        COUNTIFS(
            IM!F:F,A84,
            IM!AC:AC,"*"&amp;$H$2&amp;"*",
            IM!X:X,"&gt;="&amp;$M$1,
            IM!X:X,"&lt;="&amp;$M$3
        )
        + COUNTIFS('0919門市清單主檔'!C:C,B84,'0919門市清單主檔'!AC:AC,$H$2)
        &gt;1,
        "V",
        "未完工"
    ),
    "-"
)</f>
        <v>-</v>
      </c>
      <c r="K84" s="122">
        <v>45840</v>
      </c>
      <c r="L84" s="116" t="str">
        <f>VLOOKUP(A84,'0919門市清單主檔'!B:V,21,FALSE)</f>
        <v>林口區</v>
      </c>
      <c r="M84" t="str">
        <f>VLOOKUP(A84,門市總表!A:B,2,FALSE)</f>
        <v>林口舊街店</v>
      </c>
      <c r="Q84" s="115" t="s">
        <v>4951</v>
      </c>
      <c r="R84" s="120" t="s">
        <v>4952</v>
      </c>
    </row>
    <row r="85" spans="1:18" ht="21.6" customHeight="1">
      <c r="A85" s="116" t="s">
        <v>49</v>
      </c>
      <c r="B85" s="116" t="str">
        <f>VLOOKUP(A85,門市總表!A:B,2,FALSE)</f>
        <v>林口顧家店</v>
      </c>
      <c r="C85" s="146" t="str">
        <f>IF(COUNTIFS(IM!$F:$F,A85,IM!$AD:$AD,"O",IM!$X:$X,"&gt;="&amp;$M$1, IM!$X:$X,"&lt;"&amp;$M$2)&gt;0,"V","")</f>
        <v>V</v>
      </c>
      <c r="D85" s="146" t="str">
        <f>IF(AND(C85&lt;&gt;"V", COUNTIFS(IM!$F:$F,A85, IM!$AD:$AD, "O", IM!$X:$X, "&gt;="&amp;$M$2, IM!$X:$X, "&lt;"&amp;$M$3)&gt;0), "V", "")</f>
        <v/>
      </c>
      <c r="E85" s="146" t="str">
        <f>IF(AND(C85&lt;&gt;"V",D85&lt;&gt;"V", COUNTIFS(IM!$F:$F, A85, IM!$AD:$AD, "O", IM!$X:$X, "&gt;="&amp;$M$3, IM!$X:$X, "&lt;"&amp;$N$3)&gt;0), "V", "")</f>
        <v/>
      </c>
      <c r="F85" s="116" t="str">
        <f>IF(VLOOKUP(A85,門市總表!A:F,6,FALSE)="新開","新開不保養",
IF(VLOOKUP(A85,門市總表!A:F,6,FALSE)="撤店","閉店不保養",IF(VLOOKUP(A85,門市總表!A:F,6,FALSE)="非當季","非當季",IF(VLOOKUP(A85,門市總表!A:F,6,FALSE)="跨季補單","跨季補單",
IF(COUNTBLANK(C85:E85)=3,"未保養","")
))))</f>
        <v/>
      </c>
      <c r="G85" s="116" t="str">
        <f>IF(COUNTIFS('0919門市清單主檔'!C:C,B85,'0919門市清單主檔'!AF:AF,$H$3)=1,
    IF(COUNTIFS(IM!F:F,A85,IM!AC:AC,"*"&amp;$H$3&amp;"*") + COUNTIFS('0919門市清單主檔'!C:C,B85,'0919門市清單主檔'!AF:AF,$H$3) &gt; 1,
       "V","未完工"),"-")</f>
        <v>-</v>
      </c>
      <c r="H85" s="253" t="str">
        <f>IF(COUNTIFS('0919門市清單主檔'!C:C,B85,'0919門市清單主檔'!AG:AG,$H$4)=1,
    IF(COUNTIFS(IM!F:F,A85,IM!AC:AC,"*"&amp;$H$4&amp;"*") + COUNTIFS('0919門市清單主檔'!C:C,B85,'0919門市清單主檔'!AG:AG,$H$4) &gt; 1,
       "V","未完工"),"-")</f>
        <v>-</v>
      </c>
      <c r="I85" s="253" t="str">
        <f>IF(COUNTIFS('0919門市清單主檔'!C:C,B85,'0919門市清單主檔'!AH:AH,$H$5)=1,
    IF(COUNTIFS(IM!F:F,A85,IM!AC:AC,"*"&amp;$H$5&amp;"*") + COUNTIFS('0919門市清單主檔'!C:C,B85,'0919門市清單主檔'!AH:AH,$H$5) &gt; 1,
       "V","未完工"),"-")</f>
        <v>-</v>
      </c>
      <c r="J85" s="253" t="str">
        <f>IF(
    COUNTIFS('0919門市清單主檔'!C:C,B85,'0919門市清單主檔'!AC:AC,$H$2)=1,
    IF(
        COUNTIFS(
            IM!F:F,A85,
            IM!AC:AC,"*"&amp;$H$2&amp;"*",
            IM!X:X,"&gt;="&amp;$M$1,
            IM!X:X,"&lt;="&amp;$M$3
        )
        + COUNTIFS('0919門市清單主檔'!C:C,B85,'0919門市清單主檔'!AC:AC,$H$2)
        &gt;1,
        "V",
        "未完工"
    ),
    "-"
)</f>
        <v>-</v>
      </c>
      <c r="K85" s="122">
        <v>45860</v>
      </c>
      <c r="L85" s="116" t="str">
        <f>VLOOKUP(A85,'0919門市清單主檔'!B:V,21,FALSE)</f>
        <v>林口區</v>
      </c>
      <c r="M85" t="str">
        <f>VLOOKUP(A85,門市總表!A:B,2,FALSE)</f>
        <v>林口顧家店</v>
      </c>
      <c r="Q85" s="115"/>
      <c r="R85" s="120" t="s">
        <v>4952</v>
      </c>
    </row>
    <row r="86" spans="1:18" ht="21.6" customHeight="1">
      <c r="A86" s="116">
        <v>4538</v>
      </c>
      <c r="B86" s="116" t="str">
        <f>VLOOKUP(A86,門市總表!A:B,2,FALSE)</f>
        <v>林口童樂店</v>
      </c>
      <c r="C86" s="146" t="str">
        <f>IF(COUNTIFS(IM!$F:$F,A86,IM!$AD:$AD,"O",IM!$X:$X,"&gt;="&amp;$M$1, IM!$X:$X,"&lt;"&amp;$M$2)&gt;0,"V","")</f>
        <v>V</v>
      </c>
      <c r="D86" s="146" t="str">
        <f>IF(AND(C86&lt;&gt;"V", COUNTIFS(IM!$F:$F,A86, IM!$AD:$AD, "O", IM!$X:$X, "&gt;="&amp;$M$2, IM!$X:$X, "&lt;"&amp;$M$3)&gt;0), "V", "")</f>
        <v/>
      </c>
      <c r="E86" s="146" t="str">
        <f>IF(AND(C86&lt;&gt;"V",D86&lt;&gt;"V", COUNTIFS(IM!$F:$F, A86, IM!$AD:$AD, "O", IM!$X:$X, "&gt;="&amp;$M$3, IM!$X:$X, "&lt;"&amp;$N$3)&gt;0), "V", "")</f>
        <v/>
      </c>
      <c r="F86" s="116" t="str">
        <f>IF(VLOOKUP(A86,門市總表!A:F,6,FALSE)="新開","新開不保養",
IF(VLOOKUP(A86,門市總表!A:F,6,FALSE)="撤店","閉店不保養",IF(VLOOKUP(A86,門市總表!A:F,6,FALSE)="非當季","非當季",IF(VLOOKUP(A86,門市總表!A:F,6,FALSE)="跨季補單","跨季補單",
IF(COUNTBLANK(C86:E86)=3,"未保養","")
))))</f>
        <v/>
      </c>
      <c r="G86" s="116" t="str">
        <f>IF(COUNTIFS('0919門市清單主檔'!C:C,B86,'0919門市清單主檔'!AF:AF,$H$3)=1,
    IF(COUNTIFS(IM!F:F,A86,IM!AC:AC,"*"&amp;$H$3&amp;"*") + COUNTIFS('0919門市清單主檔'!C:C,B86,'0919門市清單主檔'!AF:AF,$H$3) &gt; 1,
       "V","未完工"),"-")</f>
        <v>-</v>
      </c>
      <c r="H86" s="253" t="str">
        <f>IF(COUNTIFS('0919門市清單主檔'!C:C,B86,'0919門市清單主檔'!AG:AG,$H$4)=1,
    IF(COUNTIFS(IM!F:F,A86,IM!AC:AC,"*"&amp;$H$4&amp;"*") + COUNTIFS('0919門市清單主檔'!C:C,B86,'0919門市清單主檔'!AG:AG,$H$4) &gt; 1,
       "V","未完工"),"-")</f>
        <v>V</v>
      </c>
      <c r="I86" s="253" t="str">
        <f>IF(COUNTIFS('0919門市清單主檔'!C:C,B86,'0919門市清單主檔'!AH:AH,$H$5)=1,
    IF(COUNTIFS(IM!F:F,A86,IM!AC:AC,"*"&amp;$H$5&amp;"*") + COUNTIFS('0919門市清單主檔'!C:C,B86,'0919門市清單主檔'!AH:AH,$H$5) &gt; 1,
       "V","未完工"),"-")</f>
        <v>V</v>
      </c>
      <c r="J86" s="253" t="str">
        <f>IF(
    COUNTIFS('0919門市清單主檔'!C:C,B86,'0919門市清單主檔'!AC:AC,$H$2)=1,
    IF(
        COUNTIFS(
            IM!F:F,A86,
            IM!AC:AC,"*"&amp;$H$2&amp;"*",
            IM!X:X,"&gt;="&amp;$M$1,
            IM!X:X,"&lt;="&amp;$M$3
        )
        + COUNTIFS('0919門市清單主檔'!C:C,B86,'0919門市清單主檔'!AC:AC,$H$2)
        &gt;1,
        "V",
        "未完工"
    ),
    "-"
)</f>
        <v>-</v>
      </c>
      <c r="K86" s="122">
        <v>45923</v>
      </c>
      <c r="L86" s="116" t="str">
        <f>VLOOKUP(A86,'0919門市清單主檔'!B:V,21,FALSE)</f>
        <v>林口區</v>
      </c>
      <c r="M86" t="str">
        <f>VLOOKUP(A86,門市總表!A:B,2,FALSE)</f>
        <v>林口童樂店</v>
      </c>
      <c r="Q86" s="115" t="s">
        <v>4951</v>
      </c>
      <c r="R86" s="120" t="s">
        <v>4952</v>
      </c>
    </row>
    <row r="87" spans="1:18" ht="21.6" customHeight="1">
      <c r="A87" s="116">
        <v>3606</v>
      </c>
      <c r="B87" s="116" t="str">
        <f>VLOOKUP(A87,門市總表!A:B,2,FALSE)</f>
        <v>北縣泰富店</v>
      </c>
      <c r="C87" s="146" t="str">
        <f>IF(COUNTIFS(IM!$F:$F,A87,IM!$AD:$AD,"O",IM!$X:$X,"&gt;="&amp;$M$1, IM!$X:$X,"&lt;"&amp;$M$2)&gt;0,"V","")</f>
        <v>V</v>
      </c>
      <c r="D87" s="146" t="str">
        <f>IF(AND(C87&lt;&gt;"V", COUNTIFS(IM!$F:$F,A87, IM!$AD:$AD, "O", IM!$X:$X, "&gt;="&amp;$M$2, IM!$X:$X, "&lt;"&amp;$M$3)&gt;0), "V", "")</f>
        <v/>
      </c>
      <c r="E87" s="146" t="str">
        <f>IF(AND(C87&lt;&gt;"V",D87&lt;&gt;"V", COUNTIFS(IM!$F:$F, A87, IM!$AD:$AD, "O", IM!$X:$X, "&gt;="&amp;$M$3, IM!$X:$X, "&lt;"&amp;$N$3)&gt;0), "V", "")</f>
        <v/>
      </c>
      <c r="F87" s="116" t="str">
        <f>IF(VLOOKUP(A87,門市總表!A:F,6,FALSE)="新開","新開不保養",
IF(VLOOKUP(A87,門市總表!A:F,6,FALSE)="撤店","閉店不保養",IF(VLOOKUP(A87,門市總表!A:F,6,FALSE)="非當季","非當季",IF(VLOOKUP(A87,門市總表!A:F,6,FALSE)="跨季補單","跨季補單",
IF(COUNTBLANK(C87:E87)=3,"未保養","")
))))</f>
        <v/>
      </c>
      <c r="G87" s="116" t="str">
        <f>IF(COUNTIFS('0919門市清單主檔'!C:C,B87,'0919門市清單主檔'!AF:AF,$H$3)=1,
    IF(COUNTIFS(IM!F:F,A87,IM!AC:AC,"*"&amp;$H$3&amp;"*") + COUNTIFS('0919門市清單主檔'!C:C,B87,'0919門市清單主檔'!AF:AF,$H$3) &gt; 1,
       "V","未完工"),"-")</f>
        <v>-</v>
      </c>
      <c r="H87" s="253" t="str">
        <f>IF(COUNTIFS('0919門市清單主檔'!C:C,B87,'0919門市清單主檔'!AG:AG,$H$4)=1,
    IF(COUNTIFS(IM!F:F,A87,IM!AC:AC,"*"&amp;$H$4&amp;"*") + COUNTIFS('0919門市清單主檔'!C:C,B87,'0919門市清單主檔'!AG:AG,$H$4) &gt; 1,
       "V","未完工"),"-")</f>
        <v>V</v>
      </c>
      <c r="I87" s="253" t="str">
        <f>IF(COUNTIFS('0919門市清單主檔'!C:C,B87,'0919門市清單主檔'!AH:AH,$H$5)=1,
    IF(COUNTIFS(IM!F:F,A87,IM!AC:AC,"*"&amp;$H$5&amp;"*") + COUNTIFS('0919門市清單主檔'!C:C,B87,'0919門市清單主檔'!AH:AH,$H$5) &gt; 1,
       "V","未完工"),"-")</f>
        <v>V</v>
      </c>
      <c r="J87" s="253" t="str">
        <f>IF(
    COUNTIFS('0919門市清單主檔'!C:C,B87,'0919門市清單主檔'!AC:AC,$H$2)=1,
    IF(
        COUNTIFS(
            IM!F:F,A87,
            IM!AC:AC,"*"&amp;$H$2&amp;"*",
            IM!X:X,"&gt;="&amp;$M$1,
            IM!X:X,"&lt;="&amp;$M$3
        )
        + COUNTIFS('0919門市清單主檔'!C:C,B87,'0919門市清單主檔'!AC:AC,$H$2)
        &gt;1,
        "V",
        "未完工"
    ),
    "-"
)</f>
        <v>-</v>
      </c>
      <c r="K87" s="122">
        <v>45860</v>
      </c>
      <c r="L87" s="116" t="str">
        <f>VLOOKUP(A87,'0919門市清單主檔'!B:V,21,FALSE)</f>
        <v>泰山區</v>
      </c>
      <c r="M87" t="str">
        <f>VLOOKUP(A87,門市總表!A:B,2,FALSE)</f>
        <v>北縣泰富店</v>
      </c>
      <c r="Q87" s="115" t="s">
        <v>4951</v>
      </c>
      <c r="R87" s="120" t="s">
        <v>4952</v>
      </c>
    </row>
    <row r="88" spans="1:18" ht="21.6" customHeight="1">
      <c r="A88" s="116">
        <v>4656</v>
      </c>
      <c r="B88" s="116" t="str">
        <f>VLOOKUP(A88,門市總表!A:B,2,FALSE)</f>
        <v>泰山新民店</v>
      </c>
      <c r="C88" s="146" t="str">
        <f>IF(COUNTIFS(IM!$F:$F,A88,IM!$AD:$AD,"O",IM!$X:$X,"&gt;="&amp;$M$1, IM!$X:$X,"&lt;"&amp;$M$2)&gt;0,"V","")</f>
        <v>V</v>
      </c>
      <c r="D88" s="146" t="str">
        <f>IF(AND(C88&lt;&gt;"V", COUNTIFS(IM!$F:$F,A88, IM!$AD:$AD, "O", IM!$X:$X, "&gt;="&amp;$M$2, IM!$X:$X, "&lt;"&amp;$M$3)&gt;0), "V", "")</f>
        <v/>
      </c>
      <c r="E88" s="146" t="str">
        <f>IF(AND(C88&lt;&gt;"V",D88&lt;&gt;"V", COUNTIFS(IM!$F:$F, A88, IM!$AD:$AD, "O", IM!$X:$X, "&gt;="&amp;$M$3, IM!$X:$X, "&lt;"&amp;$N$3)&gt;0), "V", "")</f>
        <v/>
      </c>
      <c r="F88" s="116" t="str">
        <f>IF(VLOOKUP(A88,門市總表!A:F,6,FALSE)="新開","新開不保養",
IF(VLOOKUP(A88,門市總表!A:F,6,FALSE)="撤店","閉店不保養",IF(VLOOKUP(A88,門市總表!A:F,6,FALSE)="非當季","非當季",IF(VLOOKUP(A88,門市總表!A:F,6,FALSE)="跨季補單","跨季補單",
IF(COUNTBLANK(C88:E88)=3,"未保養","")
))))</f>
        <v/>
      </c>
      <c r="G88" s="116" t="str">
        <f>IF(COUNTIFS('0919門市清單主檔'!C:C,B88,'0919門市清單主檔'!AF:AF,$H$3)=1,
    IF(COUNTIFS(IM!F:F,A88,IM!AC:AC,"*"&amp;$H$3&amp;"*") + COUNTIFS('0919門市清單主檔'!C:C,B88,'0919門市清單主檔'!AF:AF,$H$3) &gt; 1,
       "V","未完工"),"-")</f>
        <v>-</v>
      </c>
      <c r="H88" s="253" t="str">
        <f>IF(COUNTIFS('0919門市清單主檔'!C:C,B88,'0919門市清單主檔'!AG:AG,$H$4)=1,
    IF(COUNTIFS(IM!F:F,A88,IM!AC:AC,"*"&amp;$H$4&amp;"*") + COUNTIFS('0919門市清單主檔'!C:C,B88,'0919門市清單主檔'!AG:AG,$H$4) &gt; 1,
       "V","未完工"),"-")</f>
        <v>V</v>
      </c>
      <c r="I88" s="253" t="str">
        <f>IF(COUNTIFS('0919門市清單主檔'!C:C,B88,'0919門市清單主檔'!AH:AH,$H$5)=1,
    IF(COUNTIFS(IM!F:F,A88,IM!AC:AC,"*"&amp;$H$5&amp;"*") + COUNTIFS('0919門市清單主檔'!C:C,B88,'0919門市清單主檔'!AH:AH,$H$5) &gt; 1,
       "V","未完工"),"-")</f>
        <v>V</v>
      </c>
      <c r="J88" s="253" t="str">
        <f>IF(
    COUNTIFS('0919門市清單主檔'!C:C,B88,'0919門市清單主檔'!AC:AC,$H$2)=1,
    IF(
        COUNTIFS(
            IM!F:F,A88,
            IM!AC:AC,"*"&amp;$H$2&amp;"*",
            IM!X:X,"&gt;="&amp;$M$1,
            IM!X:X,"&lt;="&amp;$M$3
        )
        + COUNTIFS('0919門市清單主檔'!C:C,B88,'0919門市清單主檔'!AC:AC,$H$2)
        &gt;1,
        "V",
        "未完工"
    ),
    "-"
)</f>
        <v>-</v>
      </c>
      <c r="K88" s="122">
        <v>45841</v>
      </c>
      <c r="L88" s="116" t="str">
        <f>VLOOKUP(A88,'0919門市清單主檔'!B:V,21,FALSE)</f>
        <v>泰山區</v>
      </c>
      <c r="M88" t="str">
        <f>VLOOKUP(A88,門市總表!A:B,2,FALSE)</f>
        <v>泰山新民店</v>
      </c>
      <c r="Q88" s="115" t="s">
        <v>4951</v>
      </c>
      <c r="R88" s="120" t="s">
        <v>4952</v>
      </c>
    </row>
    <row r="89" spans="1:18" ht="21.6" customHeight="1">
      <c r="A89" s="116">
        <v>2375</v>
      </c>
      <c r="B89" s="116" t="str">
        <f>VLOOKUP(A89,門市總表!A:B,2,FALSE)</f>
        <v>桃縣桃貿店</v>
      </c>
      <c r="C89" s="146" t="str">
        <f>IF(COUNTIFS(IM!$F:$F,A89,IM!$AD:$AD,"O",IM!$X:$X,"&gt;="&amp;$M$1, IM!$X:$X,"&lt;"&amp;$M$2)&gt;0,"V","")</f>
        <v>V</v>
      </c>
      <c r="D89" s="146" t="str">
        <f>IF(AND(C89&lt;&gt;"V", COUNTIFS(IM!$F:$F,A89, IM!$AD:$AD, "O", IM!$X:$X, "&gt;="&amp;$M$2, IM!$X:$X, "&lt;"&amp;$M$3)&gt;0), "V", "")</f>
        <v/>
      </c>
      <c r="E89" s="146" t="str">
        <f>IF(AND(C89&lt;&gt;"V",D89&lt;&gt;"V", COUNTIFS(IM!$F:$F, A89, IM!$AD:$AD, "O", IM!$X:$X, "&gt;="&amp;$M$3, IM!$X:$X, "&lt;"&amp;$N$3)&gt;0), "V", "")</f>
        <v/>
      </c>
      <c r="F89" s="116" t="str">
        <f>IF(VLOOKUP(A89,門市總表!A:F,6,FALSE)="新開","新開不保養",
IF(VLOOKUP(A89,門市總表!A:F,6,FALSE)="撤店","閉店不保養",IF(VLOOKUP(A89,門市總表!A:F,6,FALSE)="非當季","非當季",IF(VLOOKUP(A89,門市總表!A:F,6,FALSE)="跨季補單","跨季補單",
IF(COUNTBLANK(C89:E89)=3,"未保養","")
))))</f>
        <v/>
      </c>
      <c r="G89" s="116" t="str">
        <f>IF(COUNTIFS('0919門市清單主檔'!C:C,B89,'0919門市清單主檔'!AF:AF,$H$3)=1,
    IF(COUNTIFS(IM!F:F,A89,IM!AC:AC,"*"&amp;$H$3&amp;"*") + COUNTIFS('0919門市清單主檔'!C:C,B89,'0919門市清單主檔'!AF:AF,$H$3) &gt; 1,
       "V","未完工"),"-")</f>
        <v>-</v>
      </c>
      <c r="H89" s="253" t="str">
        <f>IF(COUNTIFS('0919門市清單主檔'!C:C,B89,'0919門市清單主檔'!AG:AG,$H$4)=1,
    IF(COUNTIFS(IM!F:F,A89,IM!AC:AC,"*"&amp;$H$4&amp;"*") + COUNTIFS('0919門市清單主檔'!C:C,B89,'0919門市清單主檔'!AG:AG,$H$4) &gt; 1,
       "V","未完工"),"-")</f>
        <v>V</v>
      </c>
      <c r="I89" s="253" t="str">
        <f>IF(COUNTIFS('0919門市清單主檔'!C:C,B89,'0919門市清單主檔'!AH:AH,$H$5)=1,
    IF(COUNTIFS(IM!F:F,A89,IM!AC:AC,"*"&amp;$H$5&amp;"*") + COUNTIFS('0919門市清單主檔'!C:C,B89,'0919門市清單主檔'!AH:AH,$H$5) &gt; 1,
       "V","未完工"),"-")</f>
        <v>V</v>
      </c>
      <c r="J89" s="253" t="str">
        <f>IF(
    COUNTIFS('0919門市清單主檔'!C:C,B89,'0919門市清單主檔'!AC:AC,$H$2)=1,
    IF(
        COUNTIFS(
            IM!F:F,A89,
            IM!AC:AC,"*"&amp;$H$2&amp;"*",
            IM!X:X,"&gt;="&amp;$M$1,
            IM!X:X,"&lt;="&amp;$M$3
        )
        + COUNTIFS('0919門市清單主檔'!C:C,B89,'0919門市清單主檔'!AC:AC,$H$2)
        &gt;1,
        "V",
        "未完工"
    ),
    "-"
)</f>
        <v>-</v>
      </c>
      <c r="K89" s="122">
        <v>45902</v>
      </c>
      <c r="L89" s="116" t="str">
        <f>VLOOKUP(A89,'0919門市清單主檔'!B:V,21,FALSE)</f>
        <v>龜山區</v>
      </c>
      <c r="M89" t="str">
        <f>VLOOKUP(A89,門市總表!A:B,2,FALSE)</f>
        <v>桃縣桃貿店</v>
      </c>
      <c r="Q89" s="115" t="s">
        <v>4951</v>
      </c>
      <c r="R89" s="120" t="s">
        <v>4952</v>
      </c>
    </row>
    <row r="90" spans="1:18" ht="21.6" customHeight="1">
      <c r="A90" s="116">
        <v>3017</v>
      </c>
      <c r="B90" s="116" t="str">
        <f>VLOOKUP(A90,門市總表!A:B,2,FALSE)</f>
        <v>龜山大同店</v>
      </c>
      <c r="C90" s="146" t="str">
        <f>IF(COUNTIFS(IM!$F:$F,A90,IM!$AD:$AD,"O",IM!$X:$X,"&gt;="&amp;$M$1, IM!$X:$X,"&lt;"&amp;$M$2)&gt;0,"V","")</f>
        <v>V</v>
      </c>
      <c r="D90" s="146" t="str">
        <f>IF(AND(C90&lt;&gt;"V", COUNTIFS(IM!$F:$F,A90, IM!$AD:$AD, "O", IM!$X:$X, "&gt;="&amp;$M$2, IM!$X:$X, "&lt;"&amp;$M$3)&gt;0), "V", "")</f>
        <v/>
      </c>
      <c r="E90" s="146" t="str">
        <f>IF(AND(C90&lt;&gt;"V",D90&lt;&gt;"V", COUNTIFS(IM!$F:$F, A90, IM!$AD:$AD, "O", IM!$X:$X, "&gt;="&amp;$M$3, IM!$X:$X, "&lt;"&amp;$N$3)&gt;0), "V", "")</f>
        <v/>
      </c>
      <c r="F90" s="116" t="str">
        <f>IF(VLOOKUP(A90,門市總表!A:F,6,FALSE)="新開","新開不保養",
IF(VLOOKUP(A90,門市總表!A:F,6,FALSE)="撤店","閉店不保養",IF(VLOOKUP(A90,門市總表!A:F,6,FALSE)="非當季","非當季",IF(VLOOKUP(A90,門市總表!A:F,6,FALSE)="跨季補單","跨季補單",
IF(COUNTBLANK(C90:E90)=3,"未保養","")
))))</f>
        <v/>
      </c>
      <c r="G90" s="116" t="str">
        <f>IF(COUNTIFS('0919門市清單主檔'!C:C,B90,'0919門市清單主檔'!AF:AF,$H$3)=1,
    IF(COUNTIFS(IM!F:F,A90,IM!AC:AC,"*"&amp;$H$3&amp;"*") + COUNTIFS('0919門市清單主檔'!C:C,B90,'0919門市清單主檔'!AF:AF,$H$3) &gt; 1,
       "V","未完工"),"-")</f>
        <v>-</v>
      </c>
      <c r="H90" s="253" t="str">
        <f>IF(COUNTIFS('0919門市清單主檔'!C:C,B90,'0919門市清單主檔'!AG:AG,$H$4)=1,
    IF(COUNTIFS(IM!F:F,A90,IM!AC:AC,"*"&amp;$H$4&amp;"*") + COUNTIFS('0919門市清單主檔'!C:C,B90,'0919門市清單主檔'!AG:AG,$H$4) &gt; 1,
       "V","未完工"),"-")</f>
        <v>V</v>
      </c>
      <c r="I90" s="253" t="str">
        <f>IF(COUNTIFS('0919門市清單主檔'!C:C,B90,'0919門市清單主檔'!AH:AH,$H$5)=1,
    IF(COUNTIFS(IM!F:F,A90,IM!AC:AC,"*"&amp;$H$5&amp;"*") + COUNTIFS('0919門市清單主檔'!C:C,B90,'0919門市清單主檔'!AH:AH,$H$5) &gt; 1,
       "V","未完工"),"-")</f>
        <v>V</v>
      </c>
      <c r="J90" s="253" t="str">
        <f>IF(
    COUNTIFS('0919門市清單主檔'!C:C,B90,'0919門市清單主檔'!AC:AC,$H$2)=1,
    IF(
        COUNTIFS(
            IM!F:F,A90,
            IM!AC:AC,"*"&amp;$H$2&amp;"*",
            IM!X:X,"&gt;="&amp;$M$1,
            IM!X:X,"&lt;="&amp;$M$3
        )
        + COUNTIFS('0919門市清單主檔'!C:C,B90,'0919門市清單主檔'!AC:AC,$H$2)
        &gt;1,
        "V",
        "未完工"
    ),
    "-"
)</f>
        <v>-</v>
      </c>
      <c r="K90" s="122">
        <v>45895</v>
      </c>
      <c r="L90" s="116" t="str">
        <f>VLOOKUP(A90,'0919門市清單主檔'!B:V,21,FALSE)</f>
        <v>龜山區</v>
      </c>
      <c r="M90" t="str">
        <f>VLOOKUP(A90,門市總表!A:B,2,FALSE)</f>
        <v>龜山大同店</v>
      </c>
      <c r="Q90" s="115" t="s">
        <v>4951</v>
      </c>
      <c r="R90" s="120" t="s">
        <v>4952</v>
      </c>
    </row>
    <row r="91" spans="1:18" ht="21.6" customHeight="1">
      <c r="A91" s="116">
        <v>4690</v>
      </c>
      <c r="B91" s="116" t="str">
        <f>VLOOKUP(A91,門市總表!A:B,2,FALSE)</f>
        <v>龜山同福店</v>
      </c>
      <c r="C91" s="146" t="str">
        <f>IF(COUNTIFS(IM!$F:$F,A91,IM!$AD:$AD,"O",IM!$X:$X,"&gt;="&amp;$M$1, IM!$X:$X,"&lt;"&amp;$M$2)&gt;0,"V","")</f>
        <v>V</v>
      </c>
      <c r="D91" s="146" t="str">
        <f>IF(AND(C91&lt;&gt;"V", COUNTIFS(IM!$F:$F,A91, IM!$AD:$AD, "O", IM!$X:$X, "&gt;="&amp;$M$2, IM!$X:$X, "&lt;"&amp;$M$3)&gt;0), "V", "")</f>
        <v/>
      </c>
      <c r="E91" s="146" t="str">
        <f>IF(AND(C91&lt;&gt;"V",D91&lt;&gt;"V", COUNTIFS(IM!$F:$F, A91, IM!$AD:$AD, "O", IM!$X:$X, "&gt;="&amp;$M$3, IM!$X:$X, "&lt;"&amp;$N$3)&gt;0), "V", "")</f>
        <v/>
      </c>
      <c r="F91" s="116" t="str">
        <f>IF(VLOOKUP(A91,門市總表!A:F,6,FALSE)="新開","新開不保養",
IF(VLOOKUP(A91,門市總表!A:F,6,FALSE)="撤店","閉店不保養",IF(VLOOKUP(A91,門市總表!A:F,6,FALSE)="非當季","非當季",IF(VLOOKUP(A91,門市總表!A:F,6,FALSE)="跨季補單","跨季補單",
IF(COUNTBLANK(C91:E91)=3,"未保養","")
))))</f>
        <v/>
      </c>
      <c r="G91" s="116" t="str">
        <f>IF(COUNTIFS('0919門市清單主檔'!C:C,B91,'0919門市清單主檔'!AF:AF,$H$3)=1,
    IF(COUNTIFS(IM!F:F,A91,IM!AC:AC,"*"&amp;$H$3&amp;"*") + COUNTIFS('0919門市清單主檔'!C:C,B91,'0919門市清單主檔'!AF:AF,$H$3) &gt; 1,
       "V","未完工"),"-")</f>
        <v>-</v>
      </c>
      <c r="H91" s="253" t="str">
        <f>IF(COUNTIFS('0919門市清單主檔'!C:C,B91,'0919門市清單主檔'!AG:AG,$H$4)=1,
    IF(COUNTIFS(IM!F:F,A91,IM!AC:AC,"*"&amp;$H$4&amp;"*") + COUNTIFS('0919門市清單主檔'!C:C,B91,'0919門市清單主檔'!AG:AG,$H$4) &gt; 1,
       "V","未完工"),"-")</f>
        <v>V</v>
      </c>
      <c r="I91" s="253" t="str">
        <f>IF(COUNTIFS('0919門市清單主檔'!C:C,B91,'0919門市清單主檔'!AH:AH,$H$5)=1,
    IF(COUNTIFS(IM!F:F,A91,IM!AC:AC,"*"&amp;$H$5&amp;"*") + COUNTIFS('0919門市清單主檔'!C:C,B91,'0919門市清單主檔'!AH:AH,$H$5) &gt; 1,
       "V","未完工"),"-")</f>
        <v>V</v>
      </c>
      <c r="J91" s="253" t="str">
        <f>IF(
    COUNTIFS('0919門市清單主檔'!C:C,B91,'0919門市清單主檔'!AC:AC,$H$2)=1,
    IF(
        COUNTIFS(
            IM!F:F,A91,
            IM!AC:AC,"*"&amp;$H$2&amp;"*",
            IM!X:X,"&gt;="&amp;$M$1,
            IM!X:X,"&lt;="&amp;$M$3
        )
        + COUNTIFS('0919門市清單主檔'!C:C,B91,'0919門市清單主檔'!AC:AC,$H$2)
        &gt;1,
        "V",
        "未完工"
    ),
    "-"
)</f>
        <v>-</v>
      </c>
      <c r="K91" s="122">
        <v>45854</v>
      </c>
      <c r="L91" s="116" t="str">
        <f>VLOOKUP(A91,'0919門市清單主檔'!B:V,21,FALSE)</f>
        <v>蘆竹區</v>
      </c>
      <c r="M91" t="str">
        <f>VLOOKUP(A91,門市總表!A:B,2,FALSE)</f>
        <v>龜山同福店</v>
      </c>
      <c r="Q91" s="115" t="s">
        <v>4951</v>
      </c>
      <c r="R91" s="120" t="s">
        <v>4952</v>
      </c>
    </row>
    <row r="92" spans="1:18" ht="21.6" customHeight="1">
      <c r="A92" s="116">
        <v>4825</v>
      </c>
      <c r="B92" s="116" t="str">
        <f>VLOOKUP(A92,門市總表!A:B,2,FALSE)</f>
        <v>龜山兔子坑</v>
      </c>
      <c r="C92" s="146" t="str">
        <f>IF(COUNTIFS(IM!$F:$F,A92,IM!$AD:$AD,"O",IM!$X:$X,"&gt;="&amp;$M$1, IM!$X:$X,"&lt;"&amp;$M$2)&gt;0,"V","")</f>
        <v>V</v>
      </c>
      <c r="D92" s="146" t="str">
        <f>IF(AND(C92&lt;&gt;"V", COUNTIFS(IM!$F:$F,A92, IM!$AD:$AD, "O", IM!$X:$X, "&gt;="&amp;$M$2, IM!$X:$X, "&lt;"&amp;$M$3)&gt;0), "V", "")</f>
        <v/>
      </c>
      <c r="E92" s="146" t="str">
        <f>IF(AND(C92&lt;&gt;"V",D92&lt;&gt;"V", COUNTIFS(IM!$F:$F, A92, IM!$AD:$AD, "O", IM!$X:$X, "&gt;="&amp;$M$3, IM!$X:$X, "&lt;"&amp;$N$3)&gt;0), "V", "")</f>
        <v/>
      </c>
      <c r="F92" s="116" t="str">
        <f>IF(VLOOKUP(A92,門市總表!A:F,6,FALSE)="新開","新開不保養",
IF(VLOOKUP(A92,門市總表!A:F,6,FALSE)="撤店","閉店不保養",IF(VLOOKUP(A92,門市總表!A:F,6,FALSE)="非當季","非當季",IF(VLOOKUP(A92,門市總表!A:F,6,FALSE)="跨季補單","跨季補單",
IF(COUNTBLANK(C92:E92)=3,"未保養","")
))))</f>
        <v/>
      </c>
      <c r="G92" s="116" t="str">
        <f>IF(COUNTIFS('0919門市清單主檔'!C:C,B92,'0919門市清單主檔'!AF:AF,$H$3)=1,
    IF(COUNTIFS(IM!F:F,A92,IM!AC:AC,"*"&amp;$H$3&amp;"*") + COUNTIFS('0919門市清單主檔'!C:C,B92,'0919門市清單主檔'!AF:AF,$H$3) &gt; 1,
       "V","未完工"),"-")</f>
        <v>-</v>
      </c>
      <c r="H92" s="253" t="str">
        <f>IF(COUNTIFS('0919門市清單主檔'!C:C,B92,'0919門市清單主檔'!AG:AG,$H$4)=1,
    IF(COUNTIFS(IM!F:F,A92,IM!AC:AC,"*"&amp;$H$4&amp;"*") + COUNTIFS('0919門市清單主檔'!C:C,B92,'0919門市清單主檔'!AG:AG,$H$4) &gt; 1,
       "V","未完工"),"-")</f>
        <v>V</v>
      </c>
      <c r="I92" s="253" t="str">
        <f>IF(COUNTIFS('0919門市清單主檔'!C:C,B92,'0919門市清單主檔'!AH:AH,$H$5)=1,
    IF(COUNTIFS(IM!F:F,A92,IM!AC:AC,"*"&amp;$H$5&amp;"*") + COUNTIFS('0919門市清單主檔'!C:C,B92,'0919門市清單主檔'!AH:AH,$H$5) &gt; 1,
       "V","未完工"),"-")</f>
        <v>V</v>
      </c>
      <c r="J92" s="253" t="str">
        <f>IF(
    COUNTIFS('0919門市清單主檔'!C:C,B92,'0919門市清單主檔'!AC:AC,$H$2)=1,
    IF(
        COUNTIFS(
            IM!F:F,A92,
            IM!AC:AC,"*"&amp;$H$2&amp;"*",
            IM!X:X,"&gt;="&amp;$M$1,
            IM!X:X,"&lt;="&amp;$M$3
        )
        + COUNTIFS('0919門市清單主檔'!C:C,B92,'0919門市清單主檔'!AC:AC,$H$2)
        &gt;1,
        "V",
        "未完工"
    ),
    "-"
)</f>
        <v>-</v>
      </c>
      <c r="K92" s="122">
        <v>45924</v>
      </c>
      <c r="L92" s="116" t="str">
        <f>VLOOKUP(A92,'0919門市清單主檔'!B:V,21,FALSE)</f>
        <v>蘆竹區</v>
      </c>
      <c r="M92" t="str">
        <f>VLOOKUP(A92,門市總表!A:B,2,FALSE)</f>
        <v>龜山兔子坑</v>
      </c>
      <c r="Q92" s="115" t="s">
        <v>4951</v>
      </c>
      <c r="R92" s="120" t="s">
        <v>4952</v>
      </c>
    </row>
    <row r="93" spans="1:18" ht="21.6" customHeight="1">
      <c r="A93" s="116">
        <v>5162</v>
      </c>
      <c r="B93" s="116" t="str">
        <f>VLOOKUP(A93,門市總表!A:B,2,FALSE)</f>
        <v>龜山茶專店</v>
      </c>
      <c r="C93" s="146" t="str">
        <f>IF(COUNTIFS(IM!$F:$F,A93,IM!$AD:$AD,"O",IM!$X:$X,"&gt;="&amp;$M$1, IM!$X:$X,"&lt;"&amp;$M$2)&gt;0,"V","")</f>
        <v>V</v>
      </c>
      <c r="D93" s="146" t="str">
        <f>IF(AND(C93&lt;&gt;"V", COUNTIFS(IM!$F:$F,A93, IM!$AD:$AD, "O", IM!$X:$X, "&gt;="&amp;$M$2, IM!$X:$X, "&lt;"&amp;$M$3)&gt;0), "V", "")</f>
        <v/>
      </c>
      <c r="E93" s="146" t="str">
        <f>IF(AND(C93&lt;&gt;"V",D93&lt;&gt;"V", COUNTIFS(IM!$F:$F, A93, IM!$AD:$AD, "O", IM!$X:$X, "&gt;="&amp;$M$3, IM!$X:$X, "&lt;"&amp;$N$3)&gt;0), "V", "")</f>
        <v/>
      </c>
      <c r="F93" s="116" t="str">
        <f>IF(VLOOKUP(A93,門市總表!A:F,6,FALSE)="新開","新開不保養",
IF(VLOOKUP(A93,門市總表!A:F,6,FALSE)="撤店","閉店不保養",IF(VLOOKUP(A93,門市總表!A:F,6,FALSE)="非當季","非當季",IF(VLOOKUP(A93,門市總表!A:F,6,FALSE)="跨季補單","跨季補單",
IF(COUNTBLANK(C93:E93)=3,"未保養","")
))))</f>
        <v/>
      </c>
      <c r="G93" s="116" t="str">
        <f>IF(COUNTIFS('0919門市清單主檔'!C:C,B93,'0919門市清單主檔'!AF:AF,$H$3)=1,
    IF(COUNTIFS(IM!F:F,A93,IM!AC:AC,"*"&amp;$H$3&amp;"*") + COUNTIFS('0919門市清單主檔'!C:C,B93,'0919門市清單主檔'!AF:AF,$H$3) &gt; 1,
       "V","未完工"),"-")</f>
        <v>-</v>
      </c>
      <c r="H93" s="253" t="str">
        <f>IF(COUNTIFS('0919門市清單主檔'!C:C,B93,'0919門市清單主檔'!AG:AG,$H$4)=1,
    IF(COUNTIFS(IM!F:F,A93,IM!AC:AC,"*"&amp;$H$4&amp;"*") + COUNTIFS('0919門市清單主檔'!C:C,B93,'0919門市清單主檔'!AG:AG,$H$4) &gt; 1,
       "V","未完工"),"-")</f>
        <v>V</v>
      </c>
      <c r="I93" s="253" t="str">
        <f>IF(COUNTIFS('0919門市清單主檔'!C:C,B93,'0919門市清單主檔'!AH:AH,$H$5)=1,
    IF(COUNTIFS(IM!F:F,A93,IM!AC:AC,"*"&amp;$H$5&amp;"*") + COUNTIFS('0919門市清單主檔'!C:C,B93,'0919門市清單主檔'!AH:AH,$H$5) &gt; 1,
       "V","未完工"),"-")</f>
        <v>V</v>
      </c>
      <c r="J93" s="253" t="str">
        <f>IF(
    COUNTIFS('0919門市清單主檔'!C:C,B93,'0919門市清單主檔'!AC:AC,$H$2)=1,
    IF(
        COUNTIFS(
            IM!F:F,A93,
            IM!AC:AC,"*"&amp;$H$2&amp;"*",
            IM!X:X,"&gt;="&amp;$M$1,
            IM!X:X,"&lt;="&amp;$M$3
        )
        + COUNTIFS('0919門市清單主檔'!C:C,B93,'0919門市清單主檔'!AC:AC,$H$2)
        &gt;1,
        "V",
        "未完工"
    ),
    "-"
)</f>
        <v>-</v>
      </c>
      <c r="K93" s="122">
        <v>45884</v>
      </c>
      <c r="L93" s="116" t="str">
        <f>VLOOKUP(A93,'0919門市清單主檔'!B:V,21,FALSE)</f>
        <v>蘆竹區</v>
      </c>
      <c r="M93" t="str">
        <f>VLOOKUP(A93,門市總表!A:B,2,FALSE)</f>
        <v>龜山茶專店</v>
      </c>
      <c r="Q93" s="115" t="s">
        <v>4951</v>
      </c>
      <c r="R93" s="120" t="s">
        <v>4952</v>
      </c>
    </row>
    <row r="94" spans="1:18" ht="21.6" customHeight="1">
      <c r="A94" s="116">
        <v>2540</v>
      </c>
      <c r="B94" s="116" t="str">
        <f>VLOOKUP(A94,門市總表!A:B,2,FALSE)</f>
        <v>蘆竹坑子口</v>
      </c>
      <c r="C94" s="146" t="str">
        <f>IF(COUNTIFS(IM!$F:$F,A94,IM!$AD:$AD,"O",IM!$X:$X,"&gt;="&amp;$M$1, IM!$X:$X,"&lt;"&amp;$M$2)&gt;0,"V","")</f>
        <v>V</v>
      </c>
      <c r="D94" s="146" t="str">
        <f>IF(AND(C94&lt;&gt;"V", COUNTIFS(IM!$F:$F,A94, IM!$AD:$AD, "O", IM!$X:$X, "&gt;="&amp;$M$2, IM!$X:$X, "&lt;"&amp;$M$3)&gt;0), "V", "")</f>
        <v/>
      </c>
      <c r="E94" s="146" t="str">
        <f>IF(AND(C94&lt;&gt;"V",D94&lt;&gt;"V", COUNTIFS(IM!$F:$F, A94, IM!$AD:$AD, "O", IM!$X:$X, "&gt;="&amp;$M$3, IM!$X:$X, "&lt;"&amp;$N$3)&gt;0), "V", "")</f>
        <v/>
      </c>
      <c r="F94" s="116" t="str">
        <f>IF(VLOOKUP(A94,門市總表!A:F,6,FALSE)="新開","新開不保養",
IF(VLOOKUP(A94,門市總表!A:F,6,FALSE)="撤店","閉店不保養",IF(VLOOKUP(A94,門市總表!A:F,6,FALSE)="非當季","非當季",IF(VLOOKUP(A94,門市總表!A:F,6,FALSE)="跨季補單","跨季補單",
IF(COUNTBLANK(C94:E94)=3,"未保養","")
))))</f>
        <v/>
      </c>
      <c r="G94" s="116" t="str">
        <f>IF(COUNTIFS('0919門市清單主檔'!C:C,B94,'0919門市清單主檔'!AF:AF,$H$3)=1,
    IF(COUNTIFS(IM!F:F,A94,IM!AC:AC,"*"&amp;$H$3&amp;"*") + COUNTIFS('0919門市清單主檔'!C:C,B94,'0919門市清單主檔'!AF:AF,$H$3) &gt; 1,
       "V","未完工"),"-")</f>
        <v>-</v>
      </c>
      <c r="H94" s="253" t="str">
        <f>IF(COUNTIFS('0919門市清單主檔'!C:C,B94,'0919門市清單主檔'!AG:AG,$H$4)=1,
    IF(COUNTIFS(IM!F:F,A94,IM!AC:AC,"*"&amp;$H$4&amp;"*") + COUNTIFS('0919門市清單主檔'!C:C,B94,'0919門市清單主檔'!AG:AG,$H$4) &gt; 1,
       "V","未完工"),"-")</f>
        <v>V</v>
      </c>
      <c r="I94" s="253" t="str">
        <f>IF(COUNTIFS('0919門市清單主檔'!C:C,B94,'0919門市清單主檔'!AH:AH,$H$5)=1,
    IF(COUNTIFS(IM!F:F,A94,IM!AC:AC,"*"&amp;$H$5&amp;"*") + COUNTIFS('0919門市清單主檔'!C:C,B94,'0919門市清單主檔'!AH:AH,$H$5) &gt; 1,
       "V","未完工"),"-")</f>
        <v>V</v>
      </c>
      <c r="J94" s="253" t="str">
        <f>IF(
    COUNTIFS('0919門市清單主檔'!C:C,B94,'0919門市清單主檔'!AC:AC,$H$2)=1,
    IF(
        COUNTIFS(
            IM!F:F,A94,
            IM!AC:AC,"*"&amp;$H$2&amp;"*",
            IM!X:X,"&gt;="&amp;$M$1,
            IM!X:X,"&lt;="&amp;$M$3
        )
        + COUNTIFS('0919門市清單主檔'!C:C,B94,'0919門市清單主檔'!AC:AC,$H$2)
        &gt;1,
        "V",
        "未完工"
    ),
    "-"
)</f>
        <v>-</v>
      </c>
      <c r="K94" s="122">
        <v>45841</v>
      </c>
      <c r="L94" s="116" t="str">
        <f>VLOOKUP(A94,'0919門市清單主檔'!B:V,21,FALSE)</f>
        <v>蘆竹區</v>
      </c>
      <c r="M94" t="str">
        <f>VLOOKUP(A94,門市總表!A:B,2,FALSE)</f>
        <v>蘆竹坑子口</v>
      </c>
      <c r="Q94" s="115" t="s">
        <v>4951</v>
      </c>
      <c r="R94" s="120" t="s">
        <v>4952</v>
      </c>
    </row>
    <row r="95" spans="1:18" ht="21.6" customHeight="1">
      <c r="A95" s="116">
        <v>4852</v>
      </c>
      <c r="B95" s="116" t="str">
        <f>VLOOKUP(A95,門市總表!A:B,2,FALSE)</f>
        <v>蘆竹福祿店</v>
      </c>
      <c r="C95" s="146" t="str">
        <f>IF(COUNTIFS(IM!$F:$F,A95,IM!$AD:$AD,"O",IM!$X:$X,"&gt;="&amp;$M$1, IM!$X:$X,"&lt;"&amp;$M$2)&gt;0,"V","")</f>
        <v>V</v>
      </c>
      <c r="D95" s="146" t="str">
        <f>IF(AND(C95&lt;&gt;"V", COUNTIFS(IM!$F:$F,A95, IM!$AD:$AD, "O", IM!$X:$X, "&gt;="&amp;$M$2, IM!$X:$X, "&lt;"&amp;$M$3)&gt;0), "V", "")</f>
        <v/>
      </c>
      <c r="E95" s="146" t="str">
        <f>IF(AND(C95&lt;&gt;"V",D95&lt;&gt;"V", COUNTIFS(IM!$F:$F, A95, IM!$AD:$AD, "O", IM!$X:$X, "&gt;="&amp;$M$3, IM!$X:$X, "&lt;"&amp;$N$3)&gt;0), "V", "")</f>
        <v/>
      </c>
      <c r="F95" s="116" t="str">
        <f>IF(VLOOKUP(A95,門市總表!A:F,6,FALSE)="新開","新開不保養",
IF(VLOOKUP(A95,門市總表!A:F,6,FALSE)="撤店","閉店不保養",IF(VLOOKUP(A95,門市總表!A:F,6,FALSE)="非當季","非當季",IF(VLOOKUP(A95,門市總表!A:F,6,FALSE)="跨季補單","跨季補單",
IF(COUNTBLANK(C95:E95)=3,"未保養","")
))))</f>
        <v/>
      </c>
      <c r="G95" s="116" t="str">
        <f>IF(COUNTIFS('0919門市清單主檔'!C:C,B95,'0919門市清單主檔'!AF:AF,$H$3)=1,
    IF(COUNTIFS(IM!F:F,A95,IM!AC:AC,"*"&amp;$H$3&amp;"*") + COUNTIFS('0919門市清單主檔'!C:C,B95,'0919門市清單主檔'!AF:AF,$H$3) &gt; 1,
       "V","未完工"),"-")</f>
        <v>-</v>
      </c>
      <c r="H95" s="253" t="str">
        <f>IF(COUNTIFS('0919門市清單主檔'!C:C,B95,'0919門市清單主檔'!AG:AG,$H$4)=1,
    IF(COUNTIFS(IM!F:F,A95,IM!AC:AC,"*"&amp;$H$4&amp;"*") + COUNTIFS('0919門市清單主檔'!C:C,B95,'0919門市清單主檔'!AG:AG,$H$4) &gt; 1,
       "V","未完工"),"-")</f>
        <v>V</v>
      </c>
      <c r="I95" s="253" t="str">
        <f>IF(COUNTIFS('0919門市清單主檔'!C:C,B95,'0919門市清單主檔'!AH:AH,$H$5)=1,
    IF(COUNTIFS(IM!F:F,A95,IM!AC:AC,"*"&amp;$H$5&amp;"*") + COUNTIFS('0919門市清單主檔'!C:C,B95,'0919門市清單主檔'!AH:AH,$H$5) &gt; 1,
       "V","未完工"),"-")</f>
        <v>V</v>
      </c>
      <c r="J95" s="253" t="str">
        <f>IF(
    COUNTIFS('0919門市清單主檔'!C:C,B95,'0919門市清單主檔'!AC:AC,$H$2)=1,
    IF(
        COUNTIFS(
            IM!F:F,A95,
            IM!AC:AC,"*"&amp;$H$2&amp;"*",
            IM!X:X,"&gt;="&amp;$M$1,
            IM!X:X,"&lt;="&amp;$M$3
        )
        + COUNTIFS('0919門市清單主檔'!C:C,B95,'0919門市清單主檔'!AC:AC,$H$2)
        &gt;1,
        "V",
        "未完工"
    ),
    "-"
)</f>
        <v>-</v>
      </c>
      <c r="K95" s="122">
        <v>45867</v>
      </c>
      <c r="L95" s="116" t="str">
        <f>VLOOKUP(A95,'0919門市清單主檔'!B:V,21,FALSE)</f>
        <v>蘆竹區</v>
      </c>
      <c r="M95" t="str">
        <f>VLOOKUP(A95,門市總表!A:B,2,FALSE)</f>
        <v>蘆竹福祿店</v>
      </c>
      <c r="Q95" s="115" t="s">
        <v>4951</v>
      </c>
      <c r="R95" s="120" t="s">
        <v>4952</v>
      </c>
    </row>
    <row r="96" spans="1:18" ht="21.6" customHeight="1">
      <c r="A96" s="116">
        <v>2306</v>
      </c>
      <c r="B96" s="116" t="str">
        <f>VLOOKUP(A96,門市總表!A:B,2,FALSE)</f>
        <v>八里凱旋門</v>
      </c>
      <c r="C96" s="146" t="str">
        <f>IF(COUNTIFS(IM!$F:$F,A96,IM!$AD:$AD,"O",IM!$X:$X,"&gt;="&amp;$M$1, IM!$X:$X,"&lt;"&amp;$M$2)&gt;0,"V","")</f>
        <v>V</v>
      </c>
      <c r="D96" s="146" t="str">
        <f>IF(AND(C96&lt;&gt;"V", COUNTIFS(IM!$F:$F,A96, IM!$AD:$AD, "O", IM!$X:$X, "&gt;="&amp;$M$2, IM!$X:$X, "&lt;"&amp;$M$3)&gt;0), "V", "")</f>
        <v/>
      </c>
      <c r="E96" s="146" t="str">
        <f>IF(AND(C96&lt;&gt;"V",D96&lt;&gt;"V", COUNTIFS(IM!$F:$F, A96, IM!$AD:$AD, "O", IM!$X:$X, "&gt;="&amp;$M$3, IM!$X:$X, "&lt;"&amp;$N$3)&gt;0), "V", "")</f>
        <v/>
      </c>
      <c r="F96" s="116" t="str">
        <f>IF(VLOOKUP(A96,門市總表!A:F,6,FALSE)="新開","新開不保養",
IF(VLOOKUP(A96,門市總表!A:F,6,FALSE)="撤店","閉店不保養",IF(VLOOKUP(A96,門市總表!A:F,6,FALSE)="非當季","非當季",IF(VLOOKUP(A96,門市總表!A:F,6,FALSE)="跨季補單","跨季補單",
IF(COUNTBLANK(C96:E96)=3,"未保養","")
))))</f>
        <v/>
      </c>
      <c r="G96" s="116" t="str">
        <f>IF(COUNTIFS('0919門市清單主檔'!C:C,B96,'0919門市清單主檔'!AF:AF,$H$3)=1,
    IF(COUNTIFS(IM!F:F,A96,IM!AC:AC,"*"&amp;$H$3&amp;"*") + COUNTIFS('0919門市清單主檔'!C:C,B96,'0919門市清單主檔'!AF:AF,$H$3) &gt; 1,
       "V","未完工"),"-")</f>
        <v>-</v>
      </c>
      <c r="H96" s="253" t="str">
        <f>IF(COUNTIFS('0919門市清單主檔'!C:C,B96,'0919門市清單主檔'!AG:AG,$H$4)=1,
    IF(COUNTIFS(IM!F:F,A96,IM!AC:AC,"*"&amp;$H$4&amp;"*") + COUNTIFS('0919門市清單主檔'!C:C,B96,'0919門市清單主檔'!AG:AG,$H$4) &gt; 1,
       "V","未完工"),"-")</f>
        <v>V</v>
      </c>
      <c r="I96" s="253" t="str">
        <f>IF(COUNTIFS('0919門市清單主檔'!C:C,B96,'0919門市清單主檔'!AH:AH,$H$5)=1,
    IF(COUNTIFS(IM!F:F,A96,IM!AC:AC,"*"&amp;$H$5&amp;"*") + COUNTIFS('0919門市清單主檔'!C:C,B96,'0919門市清單主檔'!AH:AH,$H$5) &gt; 1,
       "V","未完工"),"-")</f>
        <v>V</v>
      </c>
      <c r="J96" s="253" t="str">
        <f>IF(
    COUNTIFS('0919門市清單主檔'!C:C,B96,'0919門市清單主檔'!AC:AC,$H$2)=1,
    IF(
        COUNTIFS(
            IM!F:F,A96,
            IM!AC:AC,"*"&amp;$H$2&amp;"*",
            IM!X:X,"&gt;="&amp;$M$1,
            IM!X:X,"&lt;="&amp;$M$3
        )
        + COUNTIFS('0919門市清單主檔'!C:C,B96,'0919門市清單主檔'!AC:AC,$H$2)
        &gt;1,
        "V",
        "未完工"
    ),
    "-"
)</f>
        <v>-</v>
      </c>
      <c r="K96" s="122">
        <v>45923</v>
      </c>
      <c r="L96" s="116" t="str">
        <f>VLOOKUP(A96,'0919門市清單主檔'!B:V,21,FALSE)</f>
        <v>八里區</v>
      </c>
      <c r="M96" t="str">
        <f>VLOOKUP(A96,門市總表!A:B,2,FALSE)</f>
        <v>八里凱旋門</v>
      </c>
      <c r="Q96" s="115" t="s">
        <v>4951</v>
      </c>
      <c r="R96" s="115"/>
    </row>
    <row r="97" spans="1:18" ht="21.6" customHeight="1">
      <c r="A97" s="116">
        <v>2442</v>
      </c>
      <c r="B97" s="116" t="str">
        <f>VLOOKUP(A97,門市總表!A:B,2,FALSE)</f>
        <v>北縣商港店</v>
      </c>
      <c r="C97" s="146" t="str">
        <f>IF(COUNTIFS(IM!$F:$F,A97,IM!$AD:$AD,"O",IM!$X:$X,"&gt;="&amp;$M$1, IM!$X:$X,"&lt;"&amp;$M$2)&gt;0,"V","")</f>
        <v>V</v>
      </c>
      <c r="D97" s="146" t="str">
        <f>IF(AND(C97&lt;&gt;"V", COUNTIFS(IM!$F:$F,A97, IM!$AD:$AD, "O", IM!$X:$X, "&gt;="&amp;$M$2, IM!$X:$X, "&lt;"&amp;$M$3)&gt;0), "V", "")</f>
        <v/>
      </c>
      <c r="E97" s="146" t="str">
        <f>IF(AND(C97&lt;&gt;"V",D97&lt;&gt;"V", COUNTIFS(IM!$F:$F, A97, IM!$AD:$AD, "O", IM!$X:$X, "&gt;="&amp;$M$3, IM!$X:$X, "&lt;"&amp;$N$3)&gt;0), "V", "")</f>
        <v/>
      </c>
      <c r="F97" s="116" t="str">
        <f>IF(VLOOKUP(A97,門市總表!A:F,6,FALSE)="新開","新開不保養",
IF(VLOOKUP(A97,門市總表!A:F,6,FALSE)="撤店","閉店不保養",IF(VLOOKUP(A97,門市總表!A:F,6,FALSE)="非當季","非當季",IF(VLOOKUP(A97,門市總表!A:F,6,FALSE)="跨季補單","跨季補單",
IF(COUNTBLANK(C97:E97)=3,"未保養","")
))))</f>
        <v/>
      </c>
      <c r="G97" s="116" t="str">
        <f>IF(COUNTIFS('0919門市清單主檔'!C:C,B97,'0919門市清單主檔'!AF:AF,$H$3)=1,
    IF(COUNTIFS(IM!F:F,A97,IM!AC:AC,"*"&amp;$H$3&amp;"*") + COUNTIFS('0919門市清單主檔'!C:C,B97,'0919門市清單主檔'!AF:AF,$H$3) &gt; 1,
       "V","未完工"),"-")</f>
        <v>-</v>
      </c>
      <c r="H97" s="253" t="str">
        <f>IF(COUNTIFS('0919門市清單主檔'!C:C,B97,'0919門市清單主檔'!AG:AG,$H$4)=1,
    IF(COUNTIFS(IM!F:F,A97,IM!AC:AC,"*"&amp;$H$4&amp;"*") + COUNTIFS('0919門市清單主檔'!C:C,B97,'0919門市清單主檔'!AG:AG,$H$4) &gt; 1,
       "V","未完工"),"-")</f>
        <v>V</v>
      </c>
      <c r="I97" s="253" t="str">
        <f>IF(COUNTIFS('0919門市清單主檔'!C:C,B97,'0919門市清單主檔'!AH:AH,$H$5)=1,
    IF(COUNTIFS(IM!F:F,A97,IM!AC:AC,"*"&amp;$H$5&amp;"*") + COUNTIFS('0919門市清單主檔'!C:C,B97,'0919門市清單主檔'!AH:AH,$H$5) &gt; 1,
       "V","未完工"),"-")</f>
        <v>V</v>
      </c>
      <c r="J97" s="253" t="str">
        <f>IF(
    COUNTIFS('0919門市清單主檔'!C:C,B97,'0919門市清單主檔'!AC:AC,$H$2)=1,
    IF(
        COUNTIFS(
            IM!F:F,A97,
            IM!AC:AC,"*"&amp;$H$2&amp;"*",
            IM!X:X,"&gt;="&amp;$M$1,
            IM!X:X,"&lt;="&amp;$M$3
        )
        + COUNTIFS('0919門市清單主檔'!C:C,B97,'0919門市清單主檔'!AC:AC,$H$2)
        &gt;1,
        "V",
        "未完工"
    ),
    "-"
)</f>
        <v>-</v>
      </c>
      <c r="K97" s="122">
        <v>45909</v>
      </c>
      <c r="L97" s="116" t="str">
        <f>VLOOKUP(A97,'0919門市清單主檔'!B:V,21,FALSE)</f>
        <v>八里區</v>
      </c>
      <c r="M97" t="str">
        <f>VLOOKUP(A97,門市總表!A:B,2,FALSE)</f>
        <v>北縣商港店</v>
      </c>
      <c r="Q97" s="115"/>
      <c r="R97" s="120" t="s">
        <v>4952</v>
      </c>
    </row>
    <row r="98" spans="1:18" ht="21.6" customHeight="1">
      <c r="A98" s="116">
        <v>4259</v>
      </c>
      <c r="B98" s="116" t="str">
        <f>VLOOKUP(A98,門市總表!A:B,2,FALSE)</f>
        <v>八里水灣店</v>
      </c>
      <c r="C98" s="146" t="str">
        <f>IF(COUNTIFS(IM!$F:$F,A98,IM!$AD:$AD,"O",IM!$X:$X,"&gt;="&amp;$M$1, IM!$X:$X,"&lt;"&amp;$M$2)&gt;0,"V","")</f>
        <v>V</v>
      </c>
      <c r="D98" s="146" t="str">
        <f>IF(AND(C98&lt;&gt;"V", COUNTIFS(IM!$F:$F,A98, IM!$AD:$AD, "O", IM!$X:$X, "&gt;="&amp;$M$2, IM!$X:$X, "&lt;"&amp;$M$3)&gt;0), "V", "")</f>
        <v/>
      </c>
      <c r="E98" s="146" t="str">
        <f>IF(AND(C98&lt;&gt;"V",D98&lt;&gt;"V", COUNTIFS(IM!$F:$F, A98, IM!$AD:$AD, "O", IM!$X:$X, "&gt;="&amp;$M$3, IM!$X:$X, "&lt;"&amp;$N$3)&gt;0), "V", "")</f>
        <v/>
      </c>
      <c r="F98" s="116" t="str">
        <f>IF(VLOOKUP(A98,門市總表!A:F,6,FALSE)="新開","新開不保養",
IF(VLOOKUP(A98,門市總表!A:F,6,FALSE)="撤店","閉店不保養",IF(VLOOKUP(A98,門市總表!A:F,6,FALSE)="非當季","非當季",IF(VLOOKUP(A98,門市總表!A:F,6,FALSE)="跨季補單","跨季補單",
IF(COUNTBLANK(C98:E98)=3,"未保養","")
))))</f>
        <v/>
      </c>
      <c r="G98" s="116" t="str">
        <f>IF(COUNTIFS('0919門市清單主檔'!C:C,B98,'0919門市清單主檔'!AF:AF,$H$3)=1,
    IF(COUNTIFS(IM!F:F,A98,IM!AC:AC,"*"&amp;$H$3&amp;"*") + COUNTIFS('0919門市清單主檔'!C:C,B98,'0919門市清單主檔'!AF:AF,$H$3) &gt; 1,
       "V","未完工"),"-")</f>
        <v>-</v>
      </c>
      <c r="H98" s="253" t="str">
        <f>IF(COUNTIFS('0919門市清單主檔'!C:C,B98,'0919門市清單主檔'!AG:AG,$H$4)=1,
    IF(COUNTIFS(IM!F:F,A98,IM!AC:AC,"*"&amp;$H$4&amp;"*") + COUNTIFS('0919門市清單主檔'!C:C,B98,'0919門市清單主檔'!AG:AG,$H$4) &gt; 1,
       "V","未完工"),"-")</f>
        <v>V</v>
      </c>
      <c r="I98" s="253" t="str">
        <f>IF(COUNTIFS('0919門市清單主檔'!C:C,B98,'0919門市清單主檔'!AH:AH,$H$5)=1,
    IF(COUNTIFS(IM!F:F,A98,IM!AC:AC,"*"&amp;$H$5&amp;"*") + COUNTIFS('0919門市清單主檔'!C:C,B98,'0919門市清單主檔'!AH:AH,$H$5) &gt; 1,
       "V","未完工"),"-")</f>
        <v>V</v>
      </c>
      <c r="J98" s="253" t="str">
        <f>IF(
    COUNTIFS('0919門市清單主檔'!C:C,B98,'0919門市清單主檔'!AC:AC,$H$2)=1,
    IF(
        COUNTIFS(
            IM!F:F,A98,
            IM!AC:AC,"*"&amp;$H$2&amp;"*",
            IM!X:X,"&gt;="&amp;$M$1,
            IM!X:X,"&lt;="&amp;$M$3
        )
        + COUNTIFS('0919門市清單主檔'!C:C,B98,'0919門市清單主檔'!AC:AC,$H$2)
        &gt;1,
        "V",
        "未完工"
    ),
    "-"
)</f>
        <v>-</v>
      </c>
      <c r="K98" s="122">
        <v>45903</v>
      </c>
      <c r="L98" s="116" t="str">
        <f>VLOOKUP(A98,'0919門市清單主檔'!B:V,21,FALSE)</f>
        <v>八里區</v>
      </c>
      <c r="M98" t="str">
        <f>VLOOKUP(A98,門市總表!A:B,2,FALSE)</f>
        <v>八里水灣店</v>
      </c>
      <c r="Q98" s="115"/>
      <c r="R98" s="120" t="s">
        <v>4952</v>
      </c>
    </row>
    <row r="99" spans="1:18" ht="21.6" customHeight="1">
      <c r="A99" s="116">
        <v>4528</v>
      </c>
      <c r="B99" s="116" t="str">
        <f>VLOOKUP(A99,門市總表!A:B,2,FALSE)</f>
        <v>八里鐵塔店</v>
      </c>
      <c r="C99" s="146" t="str">
        <f>IF(COUNTIFS(IM!$F:$F,A99,IM!$AD:$AD,"O",IM!$X:$X,"&gt;="&amp;$M$1, IM!$X:$X,"&lt;"&amp;$M$2)&gt;0,"V","")</f>
        <v>V</v>
      </c>
      <c r="D99" s="146" t="str">
        <f>IF(AND(C99&lt;&gt;"V", COUNTIFS(IM!$F:$F,A99, IM!$AD:$AD, "O", IM!$X:$X, "&gt;="&amp;$M$2, IM!$X:$X, "&lt;"&amp;$M$3)&gt;0), "V", "")</f>
        <v/>
      </c>
      <c r="E99" s="146" t="str">
        <f>IF(AND(C99&lt;&gt;"V",D99&lt;&gt;"V", COUNTIFS(IM!$F:$F, A99, IM!$AD:$AD, "O", IM!$X:$X, "&gt;="&amp;$M$3, IM!$X:$X, "&lt;"&amp;$N$3)&gt;0), "V", "")</f>
        <v/>
      </c>
      <c r="F99" s="116" t="str">
        <f>IF(VLOOKUP(A99,門市總表!A:F,6,FALSE)="新開","新開不保養",
IF(VLOOKUP(A99,門市總表!A:F,6,FALSE)="撤店","閉店不保養",IF(VLOOKUP(A99,門市總表!A:F,6,FALSE)="非當季","非當季",IF(VLOOKUP(A99,門市總表!A:F,6,FALSE)="跨季補單","跨季補單",
IF(COUNTBLANK(C99:E99)=3,"未保養","")
))))</f>
        <v/>
      </c>
      <c r="G99" s="116" t="str">
        <f>IF(COUNTIFS('0919門市清單主檔'!C:C,B99,'0919門市清單主檔'!AF:AF,$H$3)=1,
    IF(COUNTIFS(IM!F:F,A99,IM!AC:AC,"*"&amp;$H$3&amp;"*") + COUNTIFS('0919門市清單主檔'!C:C,B99,'0919門市清單主檔'!AF:AF,$H$3) &gt; 1,
       "V","未完工"),"-")</f>
        <v>-</v>
      </c>
      <c r="H99" s="253" t="str">
        <f>IF(COUNTIFS('0919門市清單主檔'!C:C,B99,'0919門市清單主檔'!AG:AG,$H$4)=1,
    IF(COUNTIFS(IM!F:F,A99,IM!AC:AC,"*"&amp;$H$4&amp;"*") + COUNTIFS('0919門市清單主檔'!C:C,B99,'0919門市清單主檔'!AG:AG,$H$4) &gt; 1,
       "V","未完工"),"-")</f>
        <v>V</v>
      </c>
      <c r="I99" s="253" t="str">
        <f>IF(COUNTIFS('0919門市清單主檔'!C:C,B99,'0919門市清單主檔'!AH:AH,$H$5)=1,
    IF(COUNTIFS(IM!F:F,A99,IM!AC:AC,"*"&amp;$H$5&amp;"*") + COUNTIFS('0919門市清單主檔'!C:C,B99,'0919門市清單主檔'!AH:AH,$H$5) &gt; 1,
       "V","未完工"),"-")</f>
        <v>V</v>
      </c>
      <c r="J99" s="253" t="str">
        <f>IF(
    COUNTIFS('0919門市清單主檔'!C:C,B99,'0919門市清單主檔'!AC:AC,$H$2)=1,
    IF(
        COUNTIFS(
            IM!F:F,A99,
            IM!AC:AC,"*"&amp;$H$2&amp;"*",
            IM!X:X,"&gt;="&amp;$M$1,
            IM!X:X,"&lt;="&amp;$M$3
        )
        + COUNTIFS('0919門市清單主檔'!C:C,B99,'0919門市清單主檔'!AC:AC,$H$2)
        &gt;1,
        "V",
        "未完工"
    ),
    "-"
)</f>
        <v>-</v>
      </c>
      <c r="K99" s="122">
        <v>45903</v>
      </c>
      <c r="L99" s="116" t="str">
        <f>VLOOKUP(A99,'0919門市清單主檔'!B:V,21,FALSE)</f>
        <v>八里區</v>
      </c>
      <c r="M99" t="str">
        <f>VLOOKUP(A99,門市總表!A:B,2,FALSE)</f>
        <v>八里鐵塔店</v>
      </c>
      <c r="Q99" s="115"/>
      <c r="R99" s="120" t="s">
        <v>4952</v>
      </c>
    </row>
    <row r="100" spans="1:18" ht="21.6" customHeight="1">
      <c r="A100" s="116">
        <v>4764</v>
      </c>
      <c r="B100" s="116" t="str">
        <f>VLOOKUP(A100,門市總表!A:B,2,FALSE)</f>
        <v>八里大船店</v>
      </c>
      <c r="C100" s="146" t="str">
        <f>IF(COUNTIFS(IM!$F:$F,A100,IM!$AD:$AD,"O",IM!$X:$X,"&gt;="&amp;$M$1, IM!$X:$X,"&lt;"&amp;$M$2)&gt;0,"V","")</f>
        <v>V</v>
      </c>
      <c r="D100" s="146" t="str">
        <f>IF(AND(C100&lt;&gt;"V", COUNTIFS(IM!$F:$F,A100, IM!$AD:$AD, "O", IM!$X:$X, "&gt;="&amp;$M$2, IM!$X:$X, "&lt;"&amp;$M$3)&gt;0), "V", "")</f>
        <v/>
      </c>
      <c r="E100" s="146" t="str">
        <f>IF(AND(C100&lt;&gt;"V",D100&lt;&gt;"V", COUNTIFS(IM!$F:$F, A100, IM!$AD:$AD, "O", IM!$X:$X, "&gt;="&amp;$M$3, IM!$X:$X, "&lt;"&amp;$N$3)&gt;0), "V", "")</f>
        <v/>
      </c>
      <c r="F100" s="116" t="str">
        <f>IF(VLOOKUP(A100,門市總表!A:F,6,FALSE)="新開","新開不保養",
IF(VLOOKUP(A100,門市總表!A:F,6,FALSE)="撤店","閉店不保養",IF(VLOOKUP(A100,門市總表!A:F,6,FALSE)="非當季","非當季",IF(VLOOKUP(A100,門市總表!A:F,6,FALSE)="跨季補單","跨季補單",
IF(COUNTBLANK(C100:E100)=3,"未保養","")
))))</f>
        <v/>
      </c>
      <c r="G100" s="116" t="str">
        <f>IF(COUNTIFS('0919門市清單主檔'!C:C,B100,'0919門市清單主檔'!AF:AF,$H$3)=1,
    IF(COUNTIFS(IM!F:F,A100,IM!AC:AC,"*"&amp;$H$3&amp;"*") + COUNTIFS('0919門市清單主檔'!C:C,B100,'0919門市清單主檔'!AF:AF,$H$3) &gt; 1,
       "V","未完工"),"-")</f>
        <v>-</v>
      </c>
      <c r="H100" s="253" t="str">
        <f>IF(COUNTIFS('0919門市清單主檔'!C:C,B100,'0919門市清單主檔'!AG:AG,$H$4)=1,
    IF(COUNTIFS(IM!F:F,A100,IM!AC:AC,"*"&amp;$H$4&amp;"*") + COUNTIFS('0919門市清單主檔'!C:C,B100,'0919門市清單主檔'!AG:AG,$H$4) &gt; 1,
       "V","未完工"),"-")</f>
        <v>V</v>
      </c>
      <c r="I100" s="253" t="str">
        <f>IF(COUNTIFS('0919門市清單主檔'!C:C,B100,'0919門市清單主檔'!AH:AH,$H$5)=1,
    IF(COUNTIFS(IM!F:F,A100,IM!AC:AC,"*"&amp;$H$5&amp;"*") + COUNTIFS('0919門市清單主檔'!C:C,B100,'0919門市清單主檔'!AH:AH,$H$5) &gt; 1,
       "V","未完工"),"-")</f>
        <v>V</v>
      </c>
      <c r="J100" s="253" t="str">
        <f>IF(
    COUNTIFS('0919門市清單主檔'!C:C,B100,'0919門市清單主檔'!AC:AC,$H$2)=1,
    IF(
        COUNTIFS(
            IM!F:F,A100,
            IM!AC:AC,"*"&amp;$H$2&amp;"*",
            IM!X:X,"&gt;="&amp;$M$1,
            IM!X:X,"&lt;="&amp;$M$3
        )
        + COUNTIFS('0919門市清單主檔'!C:C,B100,'0919門市清單主檔'!AC:AC,$H$2)
        &gt;1,
        "V",
        "未完工"
    ),
    "-"
)</f>
        <v>-</v>
      </c>
      <c r="K100" s="122">
        <v>45903</v>
      </c>
      <c r="L100" s="116" t="str">
        <f>VLOOKUP(A100,'0919門市清單主檔'!B:V,21,FALSE)</f>
        <v>八里區</v>
      </c>
      <c r="M100" t="str">
        <f>VLOOKUP(A100,門市總表!A:B,2,FALSE)</f>
        <v>八里大船店</v>
      </c>
      <c r="Q100" s="115"/>
      <c r="R100" s="120" t="s">
        <v>4952</v>
      </c>
    </row>
    <row r="101" spans="1:18" ht="21.6" customHeight="1">
      <c r="A101" s="116">
        <v>5074</v>
      </c>
      <c r="B101" s="116" t="str">
        <f>VLOOKUP(A101,門市總表!A:B,2,FALSE)</f>
        <v>八里福德新村</v>
      </c>
      <c r="C101" s="146" t="str">
        <f>IF(COUNTIFS(IM!$F:$F,A101,IM!$AD:$AD,"O",IM!$X:$X,"&gt;="&amp;$M$1, IM!$X:$X,"&lt;"&amp;$M$2)&gt;0,"V","")</f>
        <v>V</v>
      </c>
      <c r="D101" s="146" t="str">
        <f>IF(AND(C101&lt;&gt;"V", COUNTIFS(IM!$F:$F,A101, IM!$AD:$AD, "O", IM!$X:$X, "&gt;="&amp;$M$2, IM!$X:$X, "&lt;"&amp;$M$3)&gt;0), "V", "")</f>
        <v/>
      </c>
      <c r="E101" s="146" t="str">
        <f>IF(AND(C101&lt;&gt;"V",D101&lt;&gt;"V", COUNTIFS(IM!$F:$F, A101, IM!$AD:$AD, "O", IM!$X:$X, "&gt;="&amp;$M$3, IM!$X:$X, "&lt;"&amp;$N$3)&gt;0), "V", "")</f>
        <v/>
      </c>
      <c r="F101" s="116" t="str">
        <f>IF(VLOOKUP(A101,門市總表!A:F,6,FALSE)="新開","新開不保養",
IF(VLOOKUP(A101,門市總表!A:F,6,FALSE)="撤店","閉店不保養",IF(VLOOKUP(A101,門市總表!A:F,6,FALSE)="非當季","非當季",IF(VLOOKUP(A101,門市總表!A:F,6,FALSE)="跨季補單","跨季補單",
IF(COUNTBLANK(C101:E101)=3,"未保養","")
))))</f>
        <v/>
      </c>
      <c r="G101" s="116" t="str">
        <f>IF(COUNTIFS('0919門市清單主檔'!C:C,B101,'0919門市清單主檔'!AF:AF,$H$3)=1,
    IF(COUNTIFS(IM!F:F,A101,IM!AC:AC,"*"&amp;$H$3&amp;"*") + COUNTIFS('0919門市清單主檔'!C:C,B101,'0919門市清單主檔'!AF:AF,$H$3) &gt; 1,
       "V","未完工"),"-")</f>
        <v>-</v>
      </c>
      <c r="H101" s="253" t="str">
        <f>IF(COUNTIFS('0919門市清單主檔'!C:C,B101,'0919門市清單主檔'!AG:AG,$H$4)=1,
    IF(COUNTIFS(IM!F:F,A101,IM!AC:AC,"*"&amp;$H$4&amp;"*") + COUNTIFS('0919門市清單主檔'!C:C,B101,'0919門市清單主檔'!AG:AG,$H$4) &gt; 1,
       "V","未完工"),"-")</f>
        <v>V</v>
      </c>
      <c r="I101" s="253" t="str">
        <f>IF(COUNTIFS('0919門市清單主檔'!C:C,B101,'0919門市清單主檔'!AH:AH,$H$5)=1,
    IF(COUNTIFS(IM!F:F,A101,IM!AC:AC,"*"&amp;$H$5&amp;"*") + COUNTIFS('0919門市清單主檔'!C:C,B101,'0919門市清單主檔'!AH:AH,$H$5) &gt; 1,
       "V","未完工"),"-")</f>
        <v>V</v>
      </c>
      <c r="J101" s="253" t="str">
        <f>IF(
    COUNTIFS('0919門市清單主檔'!C:C,B101,'0919門市清單主檔'!AC:AC,$H$2)=1,
    IF(
        COUNTIFS(
            IM!F:F,A101,
            IM!AC:AC,"*"&amp;$H$2&amp;"*",
            IM!X:X,"&gt;="&amp;$M$1,
            IM!X:X,"&lt;="&amp;$M$3
        )
        + COUNTIFS('0919門市清單主檔'!C:C,B101,'0919門市清單主檔'!AC:AC,$H$2)
        &gt;1,
        "V",
        "未完工"
    ),
    "-"
)</f>
        <v>-</v>
      </c>
      <c r="K101" s="122">
        <v>45901</v>
      </c>
      <c r="L101" s="116" t="str">
        <f>VLOOKUP(A101,'0919門市清單主檔'!B:V,21,FALSE)</f>
        <v>八里區</v>
      </c>
      <c r="M101" t="str">
        <f>VLOOKUP(A101,門市總表!A:B,2,FALSE)</f>
        <v>八里福德新村</v>
      </c>
      <c r="Q101" s="115" t="s">
        <v>4951</v>
      </c>
      <c r="R101" s="120" t="s">
        <v>4952</v>
      </c>
    </row>
    <row r="102" spans="1:18" ht="21.6" customHeight="1">
      <c r="A102" s="116">
        <v>3458</v>
      </c>
      <c r="B102" s="116" t="str">
        <f>VLOOKUP(A102,門市總表!A:B,2,FALSE)</f>
        <v>八里龍米店</v>
      </c>
      <c r="C102" s="146" t="str">
        <f>IF(COUNTIFS(IM!$F:$F,A102,IM!$AD:$AD,"O",IM!$X:$X,"&gt;="&amp;$M$1, IM!$X:$X,"&lt;"&amp;$M$2)&gt;0,"V","")</f>
        <v>V</v>
      </c>
      <c r="D102" s="146" t="str">
        <f>IF(AND(C102&lt;&gt;"V", COUNTIFS(IM!$F:$F,A102, IM!$AD:$AD, "O", IM!$X:$X, "&gt;="&amp;$M$2, IM!$X:$X, "&lt;"&amp;$M$3)&gt;0), "V", "")</f>
        <v/>
      </c>
      <c r="E102" s="146" t="str">
        <f>IF(AND(C102&lt;&gt;"V",D102&lt;&gt;"V", COUNTIFS(IM!$F:$F, A102, IM!$AD:$AD, "O", IM!$X:$X, "&gt;="&amp;$M$3, IM!$X:$X, "&lt;"&amp;$N$3)&gt;0), "V", "")</f>
        <v/>
      </c>
      <c r="F102" s="116" t="str">
        <f>IF(VLOOKUP(A102,門市總表!A:F,6,FALSE)="新開","新開不保養",
IF(VLOOKUP(A102,門市總表!A:F,6,FALSE)="撤店","閉店不保養",IF(VLOOKUP(A102,門市總表!A:F,6,FALSE)="非當季","非當季",IF(VLOOKUP(A102,門市總表!A:F,6,FALSE)="跨季補單","跨季補單",
IF(COUNTBLANK(C102:E102)=3,"未保養","")
))))</f>
        <v/>
      </c>
      <c r="G102" s="116" t="str">
        <f>IF(COUNTIFS('0919門市清單主檔'!C:C,B102,'0919門市清單主檔'!AF:AF,$H$3)=1,
    IF(COUNTIFS(IM!F:F,A102,IM!AC:AC,"*"&amp;$H$3&amp;"*") + COUNTIFS('0919門市清單主檔'!C:C,B102,'0919門市清單主檔'!AF:AF,$H$3) &gt; 1,
       "V","未完工"),"-")</f>
        <v>-</v>
      </c>
      <c r="H102" s="253" t="str">
        <f>IF(COUNTIFS('0919門市清單主檔'!C:C,B102,'0919門市清單主檔'!AG:AG,$H$4)=1,
    IF(COUNTIFS(IM!F:F,A102,IM!AC:AC,"*"&amp;$H$4&amp;"*") + COUNTIFS('0919門市清單主檔'!C:C,B102,'0919門市清單主檔'!AG:AG,$H$4) &gt; 1,
       "V","未完工"),"-")</f>
        <v>V</v>
      </c>
      <c r="I102" s="253" t="str">
        <f>IF(COUNTIFS('0919門市清單主檔'!C:C,B102,'0919門市清單主檔'!AH:AH,$H$5)=1,
    IF(COUNTIFS(IM!F:F,A102,IM!AC:AC,"*"&amp;$H$5&amp;"*") + COUNTIFS('0919門市清單主檔'!C:C,B102,'0919門市清單主檔'!AH:AH,$H$5) &gt; 1,
       "V","未完工"),"-")</f>
        <v>V</v>
      </c>
      <c r="J102" s="253" t="str">
        <f>IF(
    COUNTIFS('0919門市清單主檔'!C:C,B102,'0919門市清單主檔'!AC:AC,$H$2)=1,
    IF(
        COUNTIFS(
            IM!F:F,A102,
            IM!AC:AC,"*"&amp;$H$2&amp;"*",
            IM!X:X,"&gt;="&amp;$M$1,
            IM!X:X,"&lt;="&amp;$M$3
        )
        + COUNTIFS('0919門市清單主檔'!C:C,B102,'0919門市清單主檔'!AC:AC,$H$2)
        &gt;1,
        "V",
        "未完工"
    ),
    "-"
)</f>
        <v>-</v>
      </c>
      <c r="K102" s="122">
        <v>45881</v>
      </c>
      <c r="L102" s="116" t="str">
        <f>VLOOKUP(A102,'0919門市清單主檔'!B:V,21,FALSE)</f>
        <v>八里區</v>
      </c>
      <c r="M102" t="str">
        <f>VLOOKUP(A102,門市總表!A:B,2,FALSE)</f>
        <v>八里龍米店</v>
      </c>
      <c r="Q102" s="115" t="s">
        <v>4951</v>
      </c>
      <c r="R102" s="120" t="s">
        <v>4952</v>
      </c>
    </row>
    <row r="103" spans="1:18" ht="21.6" customHeight="1">
      <c r="A103" s="116">
        <v>4243</v>
      </c>
      <c r="B103" s="116" t="str">
        <f>VLOOKUP(A103,門市總表!A:B,2,FALSE)</f>
        <v>八里聖心店</v>
      </c>
      <c r="C103" s="146" t="str">
        <f>IF(COUNTIFS(IM!$F:$F,A103,IM!$AD:$AD,"O",IM!$X:$X,"&gt;="&amp;$M$1, IM!$X:$X,"&lt;"&amp;$M$2)&gt;0,"V","")</f>
        <v>V</v>
      </c>
      <c r="D103" s="146" t="str">
        <f>IF(AND(C103&lt;&gt;"V", COUNTIFS(IM!$F:$F,A103, IM!$AD:$AD, "O", IM!$X:$X, "&gt;="&amp;$M$2, IM!$X:$X, "&lt;"&amp;$M$3)&gt;0), "V", "")</f>
        <v/>
      </c>
      <c r="E103" s="146" t="str">
        <f>IF(AND(C103&lt;&gt;"V",D103&lt;&gt;"V", COUNTIFS(IM!$F:$F, A103, IM!$AD:$AD, "O", IM!$X:$X, "&gt;="&amp;$M$3, IM!$X:$X, "&lt;"&amp;$N$3)&gt;0), "V", "")</f>
        <v/>
      </c>
      <c r="F103" s="116" t="str">
        <f>IF(VLOOKUP(A103,門市總表!A:F,6,FALSE)="新開","新開不保養",
IF(VLOOKUP(A103,門市總表!A:F,6,FALSE)="撤店","閉店不保養",IF(VLOOKUP(A103,門市總表!A:F,6,FALSE)="非當季","非當季",IF(VLOOKUP(A103,門市總表!A:F,6,FALSE)="跨季補單","跨季補單",
IF(COUNTBLANK(C103:E103)=3,"未保養","")
))))</f>
        <v/>
      </c>
      <c r="G103" s="116" t="str">
        <f>IF(COUNTIFS('0919門市清單主檔'!C:C,B103,'0919門市清單主檔'!AF:AF,$H$3)=1,
    IF(COUNTIFS(IM!F:F,A103,IM!AC:AC,"*"&amp;$H$3&amp;"*") + COUNTIFS('0919門市清單主檔'!C:C,B103,'0919門市清單主檔'!AF:AF,$H$3) &gt; 1,
       "V","未完工"),"-")</f>
        <v>-</v>
      </c>
      <c r="H103" s="253" t="str">
        <f>IF(COUNTIFS('0919門市清單主檔'!C:C,B103,'0919門市清單主檔'!AG:AG,$H$4)=1,
    IF(COUNTIFS(IM!F:F,A103,IM!AC:AC,"*"&amp;$H$4&amp;"*") + COUNTIFS('0919門市清單主檔'!C:C,B103,'0919門市清單主檔'!AG:AG,$H$4) &gt; 1,
       "V","未完工"),"-")</f>
        <v>V</v>
      </c>
      <c r="I103" s="253" t="str">
        <f>IF(COUNTIFS('0919門市清單主檔'!C:C,B103,'0919門市清單主檔'!AH:AH,$H$5)=1,
    IF(COUNTIFS(IM!F:F,A103,IM!AC:AC,"*"&amp;$H$5&amp;"*") + COUNTIFS('0919門市清單主檔'!C:C,B103,'0919門市清單主檔'!AH:AH,$H$5) &gt; 1,
       "V","未完工"),"-")</f>
        <v>V</v>
      </c>
      <c r="J103" s="253" t="str">
        <f>IF(
    COUNTIFS('0919門市清單主檔'!C:C,B103,'0919門市清單主檔'!AC:AC,$H$2)=1,
    IF(
        COUNTIFS(
            IM!F:F,A103,
            IM!AC:AC,"*"&amp;$H$2&amp;"*",
            IM!X:X,"&gt;="&amp;$M$1,
            IM!X:X,"&lt;="&amp;$M$3
        )
        + COUNTIFS('0919門市清單主檔'!C:C,B103,'0919門市清單主檔'!AC:AC,$H$2)
        &gt;1,
        "V",
        "未完工"
    ),
    "-"
)</f>
        <v>-</v>
      </c>
      <c r="K103" s="122">
        <v>45877</v>
      </c>
      <c r="L103" s="116" t="str">
        <f>VLOOKUP(A103,'0919門市清單主檔'!B:V,21,FALSE)</f>
        <v>八里區</v>
      </c>
      <c r="M103" t="str">
        <f>VLOOKUP(A103,門市總表!A:B,2,FALSE)</f>
        <v>八里聖心店</v>
      </c>
      <c r="Q103" s="115" t="s">
        <v>4951</v>
      </c>
      <c r="R103" s="120" t="s">
        <v>4952</v>
      </c>
    </row>
    <row r="104" spans="1:18" ht="21.6" customHeight="1">
      <c r="A104" s="116" t="s">
        <v>46</v>
      </c>
      <c r="B104" s="116" t="str">
        <f>VLOOKUP(A104,門市總表!A:B,2,FALSE)</f>
        <v>車麗屋林口店</v>
      </c>
      <c r="C104" s="146" t="str">
        <f>IF(COUNTIFS(IM!$F:$F,A104,IM!$AD:$AD,"O",IM!$X:$X,"&gt;="&amp;$M$1, IM!$X:$X,"&lt;"&amp;$M$2)&gt;0,"V","")</f>
        <v>V</v>
      </c>
      <c r="D104" s="146" t="str">
        <f>IF(AND(C104&lt;&gt;"V", COUNTIFS(IM!$F:$F,A104, IM!$AD:$AD, "O", IM!$X:$X, "&gt;="&amp;$M$2, IM!$X:$X, "&lt;"&amp;$M$3)&gt;0), "V", "")</f>
        <v/>
      </c>
      <c r="E104" s="146" t="str">
        <f>IF(AND(C104&lt;&gt;"V",D104&lt;&gt;"V", COUNTIFS(IM!$F:$F, A104, IM!$AD:$AD, "O", IM!$X:$X, "&gt;="&amp;$M$3, IM!$X:$X, "&lt;"&amp;$N$3)&gt;0), "V", "")</f>
        <v/>
      </c>
      <c r="F104" s="116" t="str">
        <f>IF(VLOOKUP(A104,門市總表!A:F,6,FALSE)="新開","新開不保養",
IF(VLOOKUP(A104,門市總表!A:F,6,FALSE)="撤店","閉店不保養",IF(VLOOKUP(A104,門市總表!A:F,6,FALSE)="非當季","非當季",IF(VLOOKUP(A104,門市總表!A:F,6,FALSE)="跨季補單","跨季補單",
IF(COUNTBLANK(C104:E104)=3,"未保養","")
))))</f>
        <v/>
      </c>
      <c r="G104" s="116" t="str">
        <f>IF(COUNTIFS('0919門市清單主檔'!C:C,B104,'0919門市清單主檔'!AF:AF,$H$3)=1,
    IF(COUNTIFS(IM!F:F,A104,IM!AC:AC,"*"&amp;$H$3&amp;"*") + COUNTIFS('0919門市清單主檔'!C:C,B104,'0919門市清單主檔'!AF:AF,$H$3) &gt; 1,
       "V","未完工"),"-")</f>
        <v>-</v>
      </c>
      <c r="H104" s="253" t="str">
        <f>IF(COUNTIFS('0919門市清單主檔'!C:C,B104,'0919門市清單主檔'!AG:AG,$H$4)=1,
    IF(COUNTIFS(IM!F:F,A104,IM!AC:AC,"*"&amp;$H$4&amp;"*") + COUNTIFS('0919門市清單主檔'!C:C,B104,'0919門市清單主檔'!AG:AG,$H$4) &gt; 1,
       "V","未完工"),"-")</f>
        <v>-</v>
      </c>
      <c r="I104" s="253" t="str">
        <f>IF(COUNTIFS('0919門市清單主檔'!C:C,B104,'0919門市清單主檔'!AH:AH,$H$5)=1,
    IF(COUNTIFS(IM!F:F,A104,IM!AC:AC,"*"&amp;$H$5&amp;"*") + COUNTIFS('0919門市清單主檔'!C:C,B104,'0919門市清單主檔'!AH:AH,$H$5) &gt; 1,
       "V","未完工"),"-")</f>
        <v>-</v>
      </c>
      <c r="J104" s="253" t="str">
        <f>IF(
    COUNTIFS('0919門市清單主檔'!C:C,B104,'0919門市清單主檔'!AC:AC,$H$2)=1,
    IF(
        COUNTIFS(
            IM!F:F,A104,
            IM!AC:AC,"*"&amp;$H$2&amp;"*",
            IM!X:X,"&gt;="&amp;$M$1,
            IM!X:X,"&lt;="&amp;$M$3
        )
        + COUNTIFS('0919門市清單主檔'!C:C,B104,'0919門市清單主檔'!AC:AC,$H$2)
        &gt;1,
        "V",
        "未完工"
    ),
    "-"
)</f>
        <v>-</v>
      </c>
      <c r="K104" s="122">
        <v>45862</v>
      </c>
      <c r="L104" s="116" t="str">
        <f>VLOOKUP(A104,'0919門市清單主檔'!B:V,21,FALSE)</f>
        <v>林口區</v>
      </c>
      <c r="M104" t="str">
        <f>VLOOKUP(A104,門市總表!A:B,2,FALSE)</f>
        <v>車麗屋林口店</v>
      </c>
      <c r="Q104" s="115"/>
      <c r="R104" s="120" t="s">
        <v>4952</v>
      </c>
    </row>
    <row r="105" spans="1:18" ht="21.6" customHeight="1">
      <c r="A105" s="116">
        <v>3878</v>
      </c>
      <c r="B105" s="116" t="str">
        <f>VLOOKUP(A105,門市總表!A:B,2,FALSE)</f>
        <v>林口清梅店</v>
      </c>
      <c r="C105" s="146" t="str">
        <f>IF(COUNTIFS(IM!$F:$F,A105,IM!$AD:$AD,"O",IM!$X:$X,"&gt;="&amp;$M$1, IM!$X:$X,"&lt;"&amp;$M$2)&gt;0,"V","")</f>
        <v>V</v>
      </c>
      <c r="D105" s="146" t="str">
        <f>IF(AND(C105&lt;&gt;"V", COUNTIFS(IM!$F:$F,A105, IM!$AD:$AD, "O", IM!$X:$X, "&gt;="&amp;$M$2, IM!$X:$X, "&lt;"&amp;$M$3)&gt;0), "V", "")</f>
        <v/>
      </c>
      <c r="E105" s="146" t="str">
        <f>IF(AND(C105&lt;&gt;"V",D105&lt;&gt;"V", COUNTIFS(IM!$F:$F, A105, IM!$AD:$AD, "O", IM!$X:$X, "&gt;="&amp;$M$3, IM!$X:$X, "&lt;"&amp;$N$3)&gt;0), "V", "")</f>
        <v/>
      </c>
      <c r="F105" s="116" t="str">
        <f>IF(VLOOKUP(A105,門市總表!A:F,6,FALSE)="新開","新開不保養",
IF(VLOOKUP(A105,門市總表!A:F,6,FALSE)="撤店","閉店不保養",IF(VLOOKUP(A105,門市總表!A:F,6,FALSE)="非當季","非當季",IF(VLOOKUP(A105,門市總表!A:F,6,FALSE)="跨季補單","跨季補單",
IF(COUNTBLANK(C105:E105)=3,"未保養","")
))))</f>
        <v/>
      </c>
      <c r="G105" s="116" t="str">
        <f>IF(COUNTIFS('0919門市清單主檔'!C:C,B105,'0919門市清單主檔'!AF:AF,$H$3)=1,
    IF(COUNTIFS(IM!F:F,A105,IM!AC:AC,"*"&amp;$H$3&amp;"*") + COUNTIFS('0919門市清單主檔'!C:C,B105,'0919門市清單主檔'!AF:AF,$H$3) &gt; 1,
       "V","未完工"),"-")</f>
        <v>-</v>
      </c>
      <c r="H105" s="253" t="str">
        <f>IF(COUNTIFS('0919門市清單主檔'!C:C,B105,'0919門市清單主檔'!AG:AG,$H$4)=1,
    IF(COUNTIFS(IM!F:F,A105,IM!AC:AC,"*"&amp;$H$4&amp;"*") + COUNTIFS('0919門市清單主檔'!C:C,B105,'0919門市清單主檔'!AG:AG,$H$4) &gt; 1,
       "V","未完工"),"-")</f>
        <v>V</v>
      </c>
      <c r="I105" s="253" t="str">
        <f>IF(COUNTIFS('0919門市清單主檔'!C:C,B105,'0919門市清單主檔'!AH:AH,$H$5)=1,
    IF(COUNTIFS(IM!F:F,A105,IM!AC:AC,"*"&amp;$H$5&amp;"*") + COUNTIFS('0919門市清單主檔'!C:C,B105,'0919門市清單主檔'!AH:AH,$H$5) &gt; 1,
       "V","未完工"),"-")</f>
        <v>V</v>
      </c>
      <c r="J105" s="253" t="str">
        <f>IF(
    COUNTIFS('0919門市清單主檔'!C:C,B105,'0919門市清單主檔'!AC:AC,$H$2)=1,
    IF(
        COUNTIFS(
            IM!F:F,A105,
            IM!AC:AC,"*"&amp;$H$2&amp;"*",
            IM!X:X,"&gt;="&amp;$M$1,
            IM!X:X,"&lt;="&amp;$M$3
        )
        + COUNTIFS('0919門市清單主檔'!C:C,B105,'0919門市清單主檔'!AC:AC,$H$2)
        &gt;1,
        "V",
        "未完工"
    ),
    "-"
)</f>
        <v>-</v>
      </c>
      <c r="K105" s="122">
        <v>45848</v>
      </c>
      <c r="L105" s="116" t="str">
        <f>VLOOKUP(A105,'0919門市清單主檔'!B:V,21,FALSE)</f>
        <v>林口區</v>
      </c>
      <c r="M105" t="str">
        <f>VLOOKUP(A105,門市總表!A:B,2,FALSE)</f>
        <v>林口清梅店</v>
      </c>
      <c r="Q105" s="115" t="s">
        <v>4951</v>
      </c>
      <c r="R105" s="120" t="s">
        <v>4952</v>
      </c>
    </row>
    <row r="106" spans="1:18" ht="21.6" customHeight="1">
      <c r="A106" s="116">
        <v>4057</v>
      </c>
      <c r="B106" s="116" t="str">
        <f>VLOOKUP(A106,門市總表!A:B,2,FALSE)</f>
        <v>林口香澄店</v>
      </c>
      <c r="C106" s="146" t="str">
        <f>IF(COUNTIFS(IM!$F:$F,A106,IM!$AD:$AD,"O",IM!$X:$X,"&gt;="&amp;$M$1, IM!$X:$X,"&lt;"&amp;$M$2)&gt;0,"V","")</f>
        <v>V</v>
      </c>
      <c r="D106" s="146" t="str">
        <f>IF(AND(C106&lt;&gt;"V", COUNTIFS(IM!$F:$F,A106, IM!$AD:$AD, "O", IM!$X:$X, "&gt;="&amp;$M$2, IM!$X:$X, "&lt;"&amp;$M$3)&gt;0), "V", "")</f>
        <v/>
      </c>
      <c r="E106" s="146" t="str">
        <f>IF(AND(C106&lt;&gt;"V",D106&lt;&gt;"V", COUNTIFS(IM!$F:$F, A106, IM!$AD:$AD, "O", IM!$X:$X, "&gt;="&amp;$M$3, IM!$X:$X, "&lt;"&amp;$N$3)&gt;0), "V", "")</f>
        <v/>
      </c>
      <c r="F106" s="116" t="str">
        <f>IF(VLOOKUP(A106,門市總表!A:F,6,FALSE)="新開","新開不保養",
IF(VLOOKUP(A106,門市總表!A:F,6,FALSE)="撤店","閉店不保養",IF(VLOOKUP(A106,門市總表!A:F,6,FALSE)="非當季","非當季",IF(VLOOKUP(A106,門市總表!A:F,6,FALSE)="跨季補單","跨季補單",
IF(COUNTBLANK(C106:E106)=3,"未保養","")
))))</f>
        <v/>
      </c>
      <c r="G106" s="116" t="str">
        <f>IF(COUNTIFS('0919門市清單主檔'!C:C,B106,'0919門市清單主檔'!AF:AF,$H$3)=1,
    IF(COUNTIFS(IM!F:F,A106,IM!AC:AC,"*"&amp;$H$3&amp;"*") + COUNTIFS('0919門市清單主檔'!C:C,B106,'0919門市清單主檔'!AF:AF,$H$3) &gt; 1,
       "V","未完工"),"-")</f>
        <v>-</v>
      </c>
      <c r="H106" s="253" t="str">
        <f>IF(COUNTIFS('0919門市清單主檔'!C:C,B106,'0919門市清單主檔'!AG:AG,$H$4)=1,
    IF(COUNTIFS(IM!F:F,A106,IM!AC:AC,"*"&amp;$H$4&amp;"*") + COUNTIFS('0919門市清單主檔'!C:C,B106,'0919門市清單主檔'!AG:AG,$H$4) &gt; 1,
       "V","未完工"),"-")</f>
        <v>V</v>
      </c>
      <c r="I106" s="253" t="str">
        <f>IF(COUNTIFS('0919門市清單主檔'!C:C,B106,'0919門市清單主檔'!AH:AH,$H$5)=1,
    IF(COUNTIFS(IM!F:F,A106,IM!AC:AC,"*"&amp;$H$5&amp;"*") + COUNTIFS('0919門市清單主檔'!C:C,B106,'0919門市清單主檔'!AH:AH,$H$5) &gt; 1,
       "V","未完工"),"-")</f>
        <v>V</v>
      </c>
      <c r="J106" s="253" t="str">
        <f>IF(
    COUNTIFS('0919門市清單主檔'!C:C,B106,'0919門市清單主檔'!AC:AC,$H$2)=1,
    IF(
        COUNTIFS(
            IM!F:F,A106,
            IM!AC:AC,"*"&amp;$H$2&amp;"*",
            IM!X:X,"&gt;="&amp;$M$1,
            IM!X:X,"&lt;="&amp;$M$3
        )
        + COUNTIFS('0919門市清單主檔'!C:C,B106,'0919門市清單主檔'!AC:AC,$H$2)
        &gt;1,
        "V",
        "未完工"
    ),
    "-"
)</f>
        <v>-</v>
      </c>
      <c r="K106" s="122">
        <v>45848</v>
      </c>
      <c r="L106" s="116" t="str">
        <f>VLOOKUP(A106,'0919門市清單主檔'!B:V,21,FALSE)</f>
        <v>林口區</v>
      </c>
      <c r="M106" t="str">
        <f>VLOOKUP(A106,門市總表!A:B,2,FALSE)</f>
        <v>林口香澄店</v>
      </c>
      <c r="Q106" s="115" t="s">
        <v>4951</v>
      </c>
      <c r="R106" s="120" t="s">
        <v>4952</v>
      </c>
    </row>
    <row r="107" spans="1:18" ht="21.6" customHeight="1">
      <c r="A107" s="116">
        <v>4326</v>
      </c>
      <c r="B107" s="116" t="str">
        <f>VLOOKUP(A107,門市總表!A:B,2,FALSE)</f>
        <v>林口建安店</v>
      </c>
      <c r="C107" s="146" t="str">
        <f>IF(COUNTIFS(IM!$F:$F,A107,IM!$AD:$AD,"O",IM!$X:$X,"&gt;="&amp;$M$1, IM!$X:$X,"&lt;"&amp;$M$2)&gt;0,"V","")</f>
        <v>V</v>
      </c>
      <c r="D107" s="146" t="str">
        <f>IF(AND(C107&lt;&gt;"V", COUNTIFS(IM!$F:$F,A107, IM!$AD:$AD, "O", IM!$X:$X, "&gt;="&amp;$M$2, IM!$X:$X, "&lt;"&amp;$M$3)&gt;0), "V", "")</f>
        <v/>
      </c>
      <c r="E107" s="146" t="str">
        <f>IF(AND(C107&lt;&gt;"V",D107&lt;&gt;"V", COUNTIFS(IM!$F:$F, A107, IM!$AD:$AD, "O", IM!$X:$X, "&gt;="&amp;$M$3, IM!$X:$X, "&lt;"&amp;$N$3)&gt;0), "V", "")</f>
        <v/>
      </c>
      <c r="F107" s="116" t="str">
        <f>IF(VLOOKUP(A107,門市總表!A:F,6,FALSE)="新開","新開不保養",
IF(VLOOKUP(A107,門市總表!A:F,6,FALSE)="撤店","閉店不保養",IF(VLOOKUP(A107,門市總表!A:F,6,FALSE)="非當季","非當季",IF(VLOOKUP(A107,門市總表!A:F,6,FALSE)="跨季補單","跨季補單",
IF(COUNTBLANK(C107:E107)=3,"未保養","")
))))</f>
        <v/>
      </c>
      <c r="G107" s="116" t="str">
        <f>IF(COUNTIFS('0919門市清單主檔'!C:C,B107,'0919門市清單主檔'!AF:AF,$H$3)=1,
    IF(COUNTIFS(IM!F:F,A107,IM!AC:AC,"*"&amp;$H$3&amp;"*") + COUNTIFS('0919門市清單主檔'!C:C,B107,'0919門市清單主檔'!AF:AF,$H$3) &gt; 1,
       "V","未完工"),"-")</f>
        <v>-</v>
      </c>
      <c r="H107" s="253" t="str">
        <f>IF(COUNTIFS('0919門市清單主檔'!C:C,B107,'0919門市清單主檔'!AG:AG,$H$4)=1,
    IF(COUNTIFS(IM!F:F,A107,IM!AC:AC,"*"&amp;$H$4&amp;"*") + COUNTIFS('0919門市清單主檔'!C:C,B107,'0919門市清單主檔'!AG:AG,$H$4) &gt; 1,
       "V","未完工"),"-")</f>
        <v>V</v>
      </c>
      <c r="I107" s="253" t="str">
        <f>IF(COUNTIFS('0919門市清單主檔'!C:C,B107,'0919門市清單主檔'!AH:AH,$H$5)=1,
    IF(COUNTIFS(IM!F:F,A107,IM!AC:AC,"*"&amp;$H$5&amp;"*") + COUNTIFS('0919門市清單主檔'!C:C,B107,'0919門市清單主檔'!AH:AH,$H$5) &gt; 1,
       "V","未完工"),"-")</f>
        <v>V</v>
      </c>
      <c r="J107" s="253" t="str">
        <f>IF(
    COUNTIFS('0919門市清單主檔'!C:C,B107,'0919門市清單主檔'!AC:AC,$H$2)=1,
    IF(
        COUNTIFS(
            IM!F:F,A107,
            IM!AC:AC,"*"&amp;$H$2&amp;"*",
            IM!X:X,"&gt;="&amp;$M$1,
            IM!X:X,"&lt;="&amp;$M$3
        )
        + COUNTIFS('0919門市清單主檔'!C:C,B107,'0919門市清單主檔'!AC:AC,$H$2)
        &gt;1,
        "V",
        "未完工"
    ),
    "-"
)</f>
        <v>-</v>
      </c>
      <c r="K107" s="122">
        <v>45923</v>
      </c>
      <c r="L107" s="116" t="str">
        <f>VLOOKUP(A107,'0919門市清單主檔'!B:V,21,FALSE)</f>
        <v>林口區</v>
      </c>
      <c r="M107" t="str">
        <f>VLOOKUP(A107,門市總表!A:B,2,FALSE)</f>
        <v>林口建安店</v>
      </c>
      <c r="Q107" s="115"/>
      <c r="R107" s="120" t="s">
        <v>4952</v>
      </c>
    </row>
    <row r="108" spans="1:18" ht="21.6" customHeight="1">
      <c r="A108" s="116">
        <v>4834</v>
      </c>
      <c r="B108" s="116" t="str">
        <f>VLOOKUP(A108,門市總表!A:B,2,FALSE)</f>
        <v>林口大千苑店</v>
      </c>
      <c r="C108" s="146" t="str">
        <f>IF(COUNTIFS(IM!$F:$F,A108,IM!$AD:$AD,"O",IM!$X:$X,"&gt;="&amp;$M$1, IM!$X:$X,"&lt;"&amp;$M$2)&gt;0,"V","")</f>
        <v>V</v>
      </c>
      <c r="D108" s="146" t="str">
        <f>IF(AND(C108&lt;&gt;"V", COUNTIFS(IM!$F:$F,A108, IM!$AD:$AD, "O", IM!$X:$X, "&gt;="&amp;$M$2, IM!$X:$X, "&lt;"&amp;$M$3)&gt;0), "V", "")</f>
        <v/>
      </c>
      <c r="E108" s="146" t="str">
        <f>IF(AND(C108&lt;&gt;"V",D108&lt;&gt;"V", COUNTIFS(IM!$F:$F, A108, IM!$AD:$AD, "O", IM!$X:$X, "&gt;="&amp;$M$3, IM!$X:$X, "&lt;"&amp;$N$3)&gt;0), "V", "")</f>
        <v/>
      </c>
      <c r="F108" s="116" t="str">
        <f>IF(VLOOKUP(A108,門市總表!A:F,6,FALSE)="新開","新開不保養",
IF(VLOOKUP(A108,門市總表!A:F,6,FALSE)="撤店","閉店不保養",IF(VLOOKUP(A108,門市總表!A:F,6,FALSE)="非當季","非當季",IF(VLOOKUP(A108,門市總表!A:F,6,FALSE)="跨季補單","跨季補單",
IF(COUNTBLANK(C108:E108)=3,"未保養","")
))))</f>
        <v/>
      </c>
      <c r="G108" s="116" t="str">
        <f>IF(COUNTIFS('0919門市清單主檔'!C:C,B108,'0919門市清單主檔'!AF:AF,$H$3)=1,
    IF(COUNTIFS(IM!F:F,A108,IM!AC:AC,"*"&amp;$H$3&amp;"*") + COUNTIFS('0919門市清單主檔'!C:C,B108,'0919門市清單主檔'!AF:AF,$H$3) &gt; 1,
       "V","未完工"),"-")</f>
        <v>-</v>
      </c>
      <c r="H108" s="253" t="str">
        <f>IF(COUNTIFS('0919門市清單主檔'!C:C,B108,'0919門市清單主檔'!AG:AG,$H$4)=1,
    IF(COUNTIFS(IM!F:F,A108,IM!AC:AC,"*"&amp;$H$4&amp;"*") + COUNTIFS('0919門市清單主檔'!C:C,B108,'0919門市清單主檔'!AG:AG,$H$4) &gt; 1,
       "V","未完工"),"-")</f>
        <v>V</v>
      </c>
      <c r="I108" s="253" t="str">
        <f>IF(COUNTIFS('0919門市清單主檔'!C:C,B108,'0919門市清單主檔'!AH:AH,$H$5)=1,
    IF(COUNTIFS(IM!F:F,A108,IM!AC:AC,"*"&amp;$H$5&amp;"*") + COUNTIFS('0919門市清單主檔'!C:C,B108,'0919門市清單主檔'!AH:AH,$H$5) &gt; 1,
       "V","未完工"),"-")</f>
        <v>V</v>
      </c>
      <c r="J108" s="253" t="str">
        <f>IF(
    COUNTIFS('0919門市清單主檔'!C:C,B108,'0919門市清單主檔'!AC:AC,$H$2)=1,
    IF(
        COUNTIFS(
            IM!F:F,A108,
            IM!AC:AC,"*"&amp;$H$2&amp;"*",
            IM!X:X,"&gt;="&amp;$M$1,
            IM!X:X,"&lt;="&amp;$M$3
        )
        + COUNTIFS('0919門市清單主檔'!C:C,B108,'0919門市清單主檔'!AC:AC,$H$2)
        &gt;1,
        "V",
        "未完工"
    ),
    "-"
)</f>
        <v>-</v>
      </c>
      <c r="K108" s="122">
        <v>45877</v>
      </c>
      <c r="L108" s="116" t="str">
        <f>VLOOKUP(A108,'0919門市清單主檔'!B:V,21,FALSE)</f>
        <v>林口區</v>
      </c>
      <c r="M108" t="str">
        <f>VLOOKUP(A108,門市總表!A:B,2,FALSE)</f>
        <v>林口大千苑店</v>
      </c>
      <c r="Q108" s="115" t="s">
        <v>4951</v>
      </c>
      <c r="R108" s="120" t="s">
        <v>4952</v>
      </c>
    </row>
    <row r="109" spans="1:18" ht="21.6" customHeight="1">
      <c r="A109" s="116">
        <v>4715</v>
      </c>
      <c r="B109" s="116" t="str">
        <f>VLOOKUP(A109,門市總表!A:B,2,FALSE)</f>
        <v>林口捷韻店</v>
      </c>
      <c r="C109" s="146" t="str">
        <f>IF(COUNTIFS(IM!$F:$F,A109,IM!$AD:$AD,"O",IM!$X:$X,"&gt;="&amp;$M$1, IM!$X:$X,"&lt;"&amp;$M$2)&gt;0,"V","")</f>
        <v>V</v>
      </c>
      <c r="D109" s="146" t="str">
        <f>IF(AND(C109&lt;&gt;"V", COUNTIFS(IM!$F:$F,A109, IM!$AD:$AD, "O", IM!$X:$X, "&gt;="&amp;$M$2, IM!$X:$X, "&lt;"&amp;$M$3)&gt;0), "V", "")</f>
        <v/>
      </c>
      <c r="E109" s="146" t="str">
        <f>IF(AND(C109&lt;&gt;"V",D109&lt;&gt;"V", COUNTIFS(IM!$F:$F, A109, IM!$AD:$AD, "O", IM!$X:$X, "&gt;="&amp;$M$3, IM!$X:$X, "&lt;"&amp;$N$3)&gt;0), "V", "")</f>
        <v/>
      </c>
      <c r="F109" s="116" t="str">
        <f>IF(VLOOKUP(A109,門市總表!A:F,6,FALSE)="新開","新開不保養",
IF(VLOOKUP(A109,門市總表!A:F,6,FALSE)="撤店","閉店不保養",IF(VLOOKUP(A109,門市總表!A:F,6,FALSE)="非當季","非當季",IF(VLOOKUP(A109,門市總表!A:F,6,FALSE)="跨季補單","跨季補單",
IF(COUNTBLANK(C109:E109)=3,"未保養","")
))))</f>
        <v/>
      </c>
      <c r="G109" s="116" t="str">
        <f>IF(COUNTIFS('0919門市清單主檔'!C:C,B109,'0919門市清單主檔'!AF:AF,$H$3)=1,
    IF(COUNTIFS(IM!F:F,A109,IM!AC:AC,"*"&amp;$H$3&amp;"*") + COUNTIFS('0919門市清單主檔'!C:C,B109,'0919門市清單主檔'!AF:AF,$H$3) &gt; 1,
       "V","未完工"),"-")</f>
        <v>-</v>
      </c>
      <c r="H109" s="253" t="str">
        <f>IF(COUNTIFS('0919門市清單主檔'!C:C,B109,'0919門市清單主檔'!AG:AG,$H$4)=1,
    IF(COUNTIFS(IM!F:F,A109,IM!AC:AC,"*"&amp;$H$4&amp;"*") + COUNTIFS('0919門市清單主檔'!C:C,B109,'0919門市清單主檔'!AG:AG,$H$4) &gt; 1,
       "V","未完工"),"-")</f>
        <v>V</v>
      </c>
      <c r="I109" s="253" t="str">
        <f>IF(COUNTIFS('0919門市清單主檔'!C:C,B109,'0919門市清單主檔'!AH:AH,$H$5)=1,
    IF(COUNTIFS(IM!F:F,A109,IM!AC:AC,"*"&amp;$H$5&amp;"*") + COUNTIFS('0919門市清單主檔'!C:C,B109,'0919門市清單主檔'!AH:AH,$H$5) &gt; 1,
       "V","未完工"),"-")</f>
        <v>V</v>
      </c>
      <c r="J109" s="253" t="str">
        <f>IF(
    COUNTIFS('0919門市清單主檔'!C:C,B109,'0919門市清單主檔'!AC:AC,$H$2)=1,
    IF(
        COUNTIFS(
            IM!F:F,A109,
            IM!AC:AC,"*"&amp;$H$2&amp;"*",
            IM!X:X,"&gt;="&amp;$M$1,
            IM!X:X,"&lt;="&amp;$M$3
        )
        + COUNTIFS('0919門市清單主檔'!C:C,B109,'0919門市清單主檔'!AC:AC,$H$2)
        &gt;1,
        "V",
        "未完工"
    ),
    "-"
)</f>
        <v>-</v>
      </c>
      <c r="K109" s="122">
        <v>45870</v>
      </c>
      <c r="L109" s="116" t="str">
        <f>VLOOKUP(A109,'0919門市清單主檔'!B:V,21,FALSE)</f>
        <v>林口區</v>
      </c>
      <c r="M109" t="str">
        <f>VLOOKUP(A109,門市總表!A:B,2,FALSE)</f>
        <v>林口捷韻店</v>
      </c>
      <c r="Q109" s="115" t="s">
        <v>4951</v>
      </c>
      <c r="R109" s="120" t="s">
        <v>4952</v>
      </c>
    </row>
    <row r="110" spans="1:18" ht="21.6" customHeight="1">
      <c r="A110" s="116">
        <v>4788</v>
      </c>
      <c r="B110" s="116" t="str">
        <f>VLOOKUP(A110,門市總表!A:B,2,FALSE)</f>
        <v>淡水國家店</v>
      </c>
      <c r="C110" s="146" t="str">
        <f>IF(COUNTIFS(IM!$F:$F,A110,IM!$AD:$AD,"O",IM!$X:$X,"&gt;="&amp;$M$1, IM!$X:$X,"&lt;"&amp;$M$2)&gt;0,"V","")</f>
        <v>V</v>
      </c>
      <c r="D110" s="146" t="str">
        <f>IF(AND(C110&lt;&gt;"V", COUNTIFS(IM!$F:$F,A110, IM!$AD:$AD, "O", IM!$X:$X, "&gt;="&amp;$M$2, IM!$X:$X, "&lt;"&amp;$M$3)&gt;0), "V", "")</f>
        <v/>
      </c>
      <c r="E110" s="146" t="str">
        <f>IF(AND(C110&lt;&gt;"V",D110&lt;&gt;"V", COUNTIFS(IM!$F:$F, A110, IM!$AD:$AD, "O", IM!$X:$X, "&gt;="&amp;$M$3, IM!$X:$X, "&lt;"&amp;$N$3)&gt;0), "V", "")</f>
        <v/>
      </c>
      <c r="F110" s="116" t="str">
        <f>IF(VLOOKUP(A110,門市總表!A:F,6,FALSE)="新開","新開不保養",
IF(VLOOKUP(A110,門市總表!A:F,6,FALSE)="撤店","閉店不保養",IF(VLOOKUP(A110,門市總表!A:F,6,FALSE)="非當季","非當季",IF(VLOOKUP(A110,門市總表!A:F,6,FALSE)="跨季補單","跨季補單",
IF(COUNTBLANK(C110:E110)=3,"未保養","")
))))</f>
        <v/>
      </c>
      <c r="G110" s="116" t="str">
        <f>IF(COUNTIFS('0919門市清單主檔'!C:C,B110,'0919門市清單主檔'!AF:AF,$H$3)=1,
    IF(COUNTIFS(IM!F:F,A110,IM!AC:AC,"*"&amp;$H$3&amp;"*") + COUNTIFS('0919門市清單主檔'!C:C,B110,'0919門市清單主檔'!AF:AF,$H$3) &gt; 1,
       "V","未完工"),"-")</f>
        <v>-</v>
      </c>
      <c r="H110" s="253" t="str">
        <f>IF(COUNTIFS('0919門市清單主檔'!C:C,B110,'0919門市清單主檔'!AG:AG,$H$4)=1,
    IF(COUNTIFS(IM!F:F,A110,IM!AC:AC,"*"&amp;$H$4&amp;"*") + COUNTIFS('0919門市清單主檔'!C:C,B110,'0919門市清單主檔'!AG:AG,$H$4) &gt; 1,
       "V","未完工"),"-")</f>
        <v>V</v>
      </c>
      <c r="I110" s="253" t="str">
        <f>IF(COUNTIFS('0919門市清單主檔'!C:C,B110,'0919門市清單主檔'!AH:AH,$H$5)=1,
    IF(COUNTIFS(IM!F:F,A110,IM!AC:AC,"*"&amp;$H$5&amp;"*") + COUNTIFS('0919門市清單主檔'!C:C,B110,'0919門市清單主檔'!AH:AH,$H$5) &gt; 1,
       "V","未完工"),"-")</f>
        <v>V</v>
      </c>
      <c r="J110" s="253" t="str">
        <f>IF(
    COUNTIFS('0919門市清單主檔'!C:C,B110,'0919門市清單主檔'!AC:AC,$H$2)=1,
    IF(
        COUNTIFS(
            IM!F:F,A110,
            IM!AC:AC,"*"&amp;$H$2&amp;"*",
            IM!X:X,"&gt;="&amp;$M$1,
            IM!X:X,"&lt;="&amp;$M$3
        )
        + COUNTIFS('0919門市清單主檔'!C:C,B110,'0919門市清單主檔'!AC:AC,$H$2)
        &gt;1,
        "V",
        "未完工"
    ),
    "-"
)</f>
        <v>-</v>
      </c>
      <c r="K110" s="122">
        <v>45863</v>
      </c>
      <c r="L110" s="116" t="str">
        <f>VLOOKUP(A110,'0919門市清單主檔'!B:V,21,FALSE)</f>
        <v>淡水區</v>
      </c>
      <c r="M110" t="str">
        <f>VLOOKUP(A110,門市總表!A:B,2,FALSE)</f>
        <v>淡水國家店</v>
      </c>
      <c r="Q110" s="115" t="s">
        <v>4951</v>
      </c>
      <c r="R110" s="115"/>
    </row>
  </sheetData>
  <autoFilter ref="A6:L110" xr:uid="{00000000-0009-0000-0000-000007000000}"/>
  <sortState xmlns:xlrd2="http://schemas.microsoft.com/office/spreadsheetml/2017/richdata2" ref="A7:Z110">
    <sortCondition descending="1" ref="F7:F110"/>
  </sortState>
  <phoneticPr fontId="45" type="noConversion"/>
  <conditionalFormatting sqref="B6 B8:B43 B50:B110">
    <cfRule type="expression" dxfId="438" priority="528">
      <formula>COUNTIF(#REF!, "Yes") = 1</formula>
    </cfRule>
  </conditionalFormatting>
  <conditionalFormatting sqref="B44">
    <cfRule type="expression" dxfId="437" priority="75">
      <formula>COUNTIF(#REF!, "Yes") = 1</formula>
    </cfRule>
  </conditionalFormatting>
  <conditionalFormatting sqref="K8:K47 K50:K110">
    <cfRule type="expression" dxfId="436" priority="71">
      <formula>IF(K8="不保養","true","FALSE")</formula>
    </cfRule>
  </conditionalFormatting>
  <conditionalFormatting sqref="F1 N5">
    <cfRule type="expression" dxfId="435" priority="69">
      <formula>COUNTIF(#REF!, "Yes") = 1</formula>
    </cfRule>
  </conditionalFormatting>
  <conditionalFormatting sqref="G1">
    <cfRule type="expression" dxfId="434" priority="67">
      <formula>COUNTIF(#REF!, "Yes") = 1</formula>
    </cfRule>
  </conditionalFormatting>
  <conditionalFormatting sqref="B45:B46">
    <cfRule type="expression" dxfId="433" priority="59">
      <formula>COUNTIF(#REF!, "Yes") = 1</formula>
    </cfRule>
  </conditionalFormatting>
  <conditionalFormatting sqref="G8:G46 G50:G110">
    <cfRule type="expression" dxfId="432" priority="34">
      <formula>G8="完工已補裝"</formula>
    </cfRule>
    <cfRule type="expression" dxfId="431" priority="35">
      <formula>G8="已PM未更換"</formula>
    </cfRule>
    <cfRule type="expression" dxfId="430" priority="36">
      <formula>G8="未更換"</formula>
    </cfRule>
    <cfRule type="expression" dxfId="429" priority="37">
      <formula>G8="已更換"</formula>
    </cfRule>
  </conditionalFormatting>
  <conditionalFormatting sqref="B47">
    <cfRule type="expression" dxfId="428" priority="32">
      <formula>COUNTIF(#REF!, "Yes") = 1</formula>
    </cfRule>
  </conditionalFormatting>
  <conditionalFormatting sqref="G47">
    <cfRule type="expression" dxfId="427" priority="28">
      <formula>G47="完工已補裝"</formula>
    </cfRule>
    <cfRule type="expression" dxfId="426" priority="29">
      <formula>G47="已PM未更換"</formula>
    </cfRule>
    <cfRule type="expression" dxfId="425" priority="30">
      <formula>G47="未更換"</formula>
    </cfRule>
    <cfRule type="expression" dxfId="424" priority="31">
      <formula>G47="已更換"</formula>
    </cfRule>
  </conditionalFormatting>
  <conditionalFormatting sqref="B7">
    <cfRule type="expression" dxfId="423" priority="27">
      <formula>COUNTIF(#REF!, "Yes") = 1</formula>
    </cfRule>
  </conditionalFormatting>
  <conditionalFormatting sqref="G7">
    <cfRule type="expression" dxfId="422" priority="22">
      <formula>G7="完工已補裝"</formula>
    </cfRule>
    <cfRule type="expression" dxfId="421" priority="23">
      <formula>G7="已PM未更換"</formula>
    </cfRule>
    <cfRule type="expression" dxfId="420" priority="24">
      <formula>G7="未更換"</formula>
    </cfRule>
    <cfRule type="expression" dxfId="419" priority="25">
      <formula>G7="已更換"</formula>
    </cfRule>
  </conditionalFormatting>
  <conditionalFormatting sqref="K48">
    <cfRule type="expression" dxfId="418" priority="21">
      <formula>IF(K48="不保養","true","FALSE")</formula>
    </cfRule>
  </conditionalFormatting>
  <conditionalFormatting sqref="B48">
    <cfRule type="expression" dxfId="417" priority="20">
      <formula>COUNTIF(#REF!, "Yes") = 1</formula>
    </cfRule>
  </conditionalFormatting>
  <conditionalFormatting sqref="G48">
    <cfRule type="expression" dxfId="416" priority="16">
      <formula>G48="完工已補裝"</formula>
    </cfRule>
    <cfRule type="expression" dxfId="415" priority="17">
      <formula>G48="已PM未更換"</formula>
    </cfRule>
    <cfRule type="expression" dxfId="414" priority="18">
      <formula>G48="未更換"</formula>
    </cfRule>
    <cfRule type="expression" dxfId="413" priority="19">
      <formula>G48="已更換"</formula>
    </cfRule>
  </conditionalFormatting>
  <conditionalFormatting sqref="K49">
    <cfRule type="expression" dxfId="412" priority="15">
      <formula>IF(K49="不保養","true","FALSE")</formula>
    </cfRule>
  </conditionalFormatting>
  <conditionalFormatting sqref="B49">
    <cfRule type="expression" dxfId="411" priority="14">
      <formula>COUNTIF(#REF!, "Yes") = 1</formula>
    </cfRule>
  </conditionalFormatting>
  <conditionalFormatting sqref="G49">
    <cfRule type="expression" dxfId="410" priority="10">
      <formula>G49="完工已補裝"</formula>
    </cfRule>
    <cfRule type="expression" dxfId="409" priority="11">
      <formula>G49="已PM未更換"</formula>
    </cfRule>
    <cfRule type="expression" dxfId="408" priority="12">
      <formula>G49="未更換"</formula>
    </cfRule>
    <cfRule type="expression" dxfId="407" priority="13">
      <formula>G49="已更換"</formula>
    </cfRule>
  </conditionalFormatting>
  <conditionalFormatting sqref="A3">
    <cfRule type="expression" dxfId="406" priority="9">
      <formula>COUNTIF($A6:$A6, "Yes") = 1</formula>
    </cfRule>
  </conditionalFormatting>
  <conditionalFormatting sqref="E1">
    <cfRule type="expression" dxfId="405" priority="539">
      <formula>COUNTIF(#REF!, "Yes") = 1</formula>
    </cfRule>
  </conditionalFormatting>
  <conditionalFormatting sqref="A1:B1">
    <cfRule type="expression" dxfId="404" priority="540">
      <formula>COUNTIF($A2:$A2, "Yes") = 1</formula>
    </cfRule>
  </conditionalFormatting>
  <conditionalFormatting sqref="K7">
    <cfRule type="expression" dxfId="403" priority="1">
      <formula>IF(K7="不保養","true","FALSE")</formula>
    </cfRule>
  </conditionalFormatting>
  <conditionalFormatting sqref="A7:A110">
    <cfRule type="duplicateValues" dxfId="402" priority="708"/>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AE964"/>
  <sheetViews>
    <sheetView zoomScaleNormal="100" workbookViewId="0">
      <pane ySplit="6" topLeftCell="A7" activePane="bottomLeft" state="frozen"/>
      <selection activeCell="AB5" sqref="AB5"/>
      <selection pane="bottomLeft" activeCell="A7" sqref="A1:XFD1048576"/>
    </sheetView>
  </sheetViews>
  <sheetFormatPr defaultColWidth="11.19921875" defaultRowHeight="15" customHeight="1"/>
  <cols>
    <col min="1" max="1" width="13.69921875" style="153" bestFit="1" customWidth="1"/>
    <col min="2" max="2" width="14.09765625" style="153" bestFit="1" customWidth="1"/>
    <col min="3" max="5" width="9" style="147" bestFit="1" customWidth="1"/>
    <col min="6" max="6" width="11.8984375" style="119" bestFit="1" customWidth="1"/>
    <col min="7" max="7" width="11.8984375" style="119" customWidth="1"/>
    <col min="9" max="9" width="11.19921875" style="239" customWidth="1"/>
    <col min="10" max="10" width="11.19921875" style="153" customWidth="1"/>
    <col min="11" max="11" width="11.69921875" style="153" bestFit="1" customWidth="1"/>
    <col min="12" max="12" width="12.3984375" style="239" bestFit="1" customWidth="1"/>
    <col min="13" max="13" width="11.59765625" style="153" customWidth="1"/>
    <col min="14" max="14" width="10" style="153" bestFit="1" customWidth="1"/>
    <col min="15" max="16" width="3.3984375" style="153" bestFit="1" customWidth="1"/>
    <col min="17" max="17" width="7.5" style="153" bestFit="1" customWidth="1"/>
    <col min="18" max="18" width="5.09765625" style="153" customWidth="1"/>
    <col min="19" max="350" width="11.19921875" style="153" customWidth="1"/>
    <col min="351" max="16384" width="11.19921875" style="153"/>
  </cols>
  <sheetData>
    <row r="1" spans="1:31" ht="20.25" customHeight="1">
      <c r="A1" s="262" t="s">
        <v>4941</v>
      </c>
      <c r="B1" s="262" t="s">
        <v>104</v>
      </c>
      <c r="C1" s="263" t="s">
        <v>4942</v>
      </c>
      <c r="D1" s="264" t="s">
        <v>4943</v>
      </c>
      <c r="E1" s="265" t="s">
        <v>4944</v>
      </c>
      <c r="F1" s="262" t="s">
        <v>4945</v>
      </c>
      <c r="G1" s="262" t="s">
        <v>4946</v>
      </c>
      <c r="H1" s="250" t="s">
        <v>125</v>
      </c>
      <c r="I1" s="250" t="s">
        <v>109</v>
      </c>
      <c r="J1" s="166" t="s">
        <v>126</v>
      </c>
      <c r="K1" s="156" t="s">
        <v>127</v>
      </c>
      <c r="L1" s="156" t="s">
        <v>128</v>
      </c>
      <c r="M1" s="152">
        <f>首頁!B5</f>
        <v>46023</v>
      </c>
      <c r="N1" s="153">
        <v>36</v>
      </c>
      <c r="O1" s="153">
        <v>35</v>
      </c>
      <c r="P1" s="153">
        <v>35</v>
      </c>
      <c r="Q1" s="115"/>
      <c r="R1" s="115"/>
      <c r="W1" s="344" t="s">
        <v>15</v>
      </c>
      <c r="X1" s="344" t="s">
        <v>16</v>
      </c>
      <c r="Y1" s="344" t="s">
        <v>7</v>
      </c>
      <c r="Z1" s="293" t="s">
        <v>18</v>
      </c>
      <c r="AA1" s="293" t="s">
        <v>18</v>
      </c>
      <c r="AB1" s="293" t="s">
        <v>18</v>
      </c>
      <c r="AC1" s="293" t="s">
        <v>18</v>
      </c>
      <c r="AD1" s="293" t="s">
        <v>18</v>
      </c>
      <c r="AE1" s="293" t="s">
        <v>18</v>
      </c>
    </row>
    <row r="2" spans="1:31" ht="21" customHeight="1">
      <c r="A2" s="266">
        <f>COUNTIFS(門市總表!E:E,N5,門市總表!F:F,"新開")</f>
        <v>1</v>
      </c>
      <c r="B2" s="267">
        <f>首頁!B3</f>
        <v>1</v>
      </c>
      <c r="C2" s="266">
        <f>N1</f>
        <v>36</v>
      </c>
      <c r="D2" s="266">
        <f>N1</f>
        <v>36</v>
      </c>
      <c r="E2" s="267">
        <f>COUNTIF(C$7:C$251,"v")</f>
        <v>31</v>
      </c>
      <c r="F2" s="267">
        <f>MAX(0, D2 - E2)</f>
        <v>5</v>
      </c>
      <c r="G2" s="268" t="str">
        <f>ROUND(IF((E2/D2)&gt;1,1,(E2/D2))*100,2)&amp;"%"</f>
        <v>86.11%</v>
      </c>
      <c r="H2" s="251" t="s">
        <v>39</v>
      </c>
      <c r="I2" s="162">
        <f>IF(H2&lt;&gt;"",COUNTIFS('0919門市清單主檔'!$Y:$Y,$N$5,'0919門市清單主檔'!$AC:$AC,H2),"")</f>
        <v>0</v>
      </c>
      <c r="J2" s="163" t="str">
        <f>IF(H2&lt;&gt;"",IF(I2=0,"0%",ROUND(K2/I2,4)*100&amp;"%"),"")</f>
        <v>0%</v>
      </c>
      <c r="K2" s="162">
        <f>IF(H2&lt;&gt;"",COUNTIF(J7:J251,"v"),"")</f>
        <v>0</v>
      </c>
      <c r="L2" s="162">
        <f>IF(H2&lt;&gt;"",I2-K2,"")</f>
        <v>0</v>
      </c>
      <c r="M2" s="152">
        <f>首頁!C5</f>
        <v>46054</v>
      </c>
      <c r="N2" s="152"/>
      <c r="Q2" s="115"/>
      <c r="R2" s="115"/>
      <c r="W2" s="159">
        <f>COUNTIFS('0919門市清單主檔'!$V:$V,W1)</f>
        <v>27</v>
      </c>
      <c r="X2" s="159">
        <f>COUNTIFS('0919門市清單主檔'!$V:$V,X1)</f>
        <v>6</v>
      </c>
      <c r="Y2" s="159">
        <f>COUNTIFS('0919門市清單主檔'!$V:$V,Y1)</f>
        <v>74</v>
      </c>
      <c r="Z2" s="292" t="s">
        <v>18</v>
      </c>
      <c r="AA2" s="292" t="s">
        <v>18</v>
      </c>
      <c r="AB2" s="292" t="s">
        <v>18</v>
      </c>
      <c r="AC2" s="292" t="s">
        <v>18</v>
      </c>
      <c r="AD2" s="292" t="s">
        <v>18</v>
      </c>
      <c r="AE2" s="292" t="s">
        <v>18</v>
      </c>
    </row>
    <row r="3" spans="1:31" ht="21" customHeight="1">
      <c r="A3" s="262" t="s">
        <v>4947</v>
      </c>
      <c r="B3" s="267">
        <f>首頁!C3</f>
        <v>2</v>
      </c>
      <c r="C3" s="266">
        <f>O1</f>
        <v>35</v>
      </c>
      <c r="D3" s="266" t="str">
        <f ca="1">IF(TODAY()&gt;=M2,IF(D2-E2&lt;0,O1-(E2-D2),O1+(D2-E2)),"0")</f>
        <v>0</v>
      </c>
      <c r="E3" s="267">
        <f>COUNTIF(D$7:D$251,"v")</f>
        <v>0</v>
      </c>
      <c r="F3" s="267" t="str">
        <f ca="1">IF(TODAY()&gt;=M2,MAX(0,D3-E3),"0")</f>
        <v>0</v>
      </c>
      <c r="G3" s="268" t="e">
        <f ca="1">ROUND(IF((E3/D3)&gt;1,1,(E3/D3))*100,2)&amp;"%"</f>
        <v>#DIV/0!</v>
      </c>
      <c r="H3" s="251" t="str">
        <f>IF(首頁!B14=0,"",首頁!B14)</f>
        <v>--</v>
      </c>
      <c r="I3" s="162">
        <f>IF(H3&lt;&gt;"",COUNTIFS('0919門市清單主檔'!$Y:$Y,$N$5,'0919門市清單主檔'!$AF:$AF,H3),"")</f>
        <v>0</v>
      </c>
      <c r="J3" s="163" t="str">
        <f>IF(H3&lt;&gt;"",IF(I3=0,"0%",ROUND(K3/I3,4)*100&amp;"%"),"")</f>
        <v>0%</v>
      </c>
      <c r="K3" s="162">
        <f ca="1">IF(H3&lt;&gt;"",COUNTIF(G:G,"V"),"")</f>
        <v>0</v>
      </c>
      <c r="L3" s="162">
        <f ca="1">IF(H3&lt;&gt;"",I3-K3,"")</f>
        <v>0</v>
      </c>
      <c r="M3" s="152">
        <f>首頁!D5</f>
        <v>46082</v>
      </c>
      <c r="N3" s="152">
        <f>首頁!E5</f>
        <v>46113</v>
      </c>
      <c r="Q3" s="115"/>
      <c r="R3" s="115"/>
    </row>
    <row r="4" spans="1:31" ht="21" customHeight="1">
      <c r="A4" s="267">
        <f>COUNTIFS(門市總表!E:E,N5,門市總表!F:F,"撤店")</f>
        <v>0</v>
      </c>
      <c r="B4" s="267">
        <f>首頁!D3</f>
        <v>3</v>
      </c>
      <c r="C4" s="266">
        <f>P1</f>
        <v>35</v>
      </c>
      <c r="D4" s="266" t="str">
        <f ca="1">IF(TODAY()&gt;=M3,IF(D3-E3&lt;0,P1-(E3-D3),P1+(D3-E3)),"0")</f>
        <v>0</v>
      </c>
      <c r="E4" s="267">
        <f>COUNTIF(E$7:E$251,"v")</f>
        <v>0</v>
      </c>
      <c r="F4" s="267" t="str">
        <f ca="1">IF(TODAY()&gt;=M3,MAX(0,D4-E4),"0")</f>
        <v>0</v>
      </c>
      <c r="G4" s="268" t="e">
        <f ca="1">ROUND(IF((E4/D4)&gt;1,1,(E4/D4))*100,2)&amp;"%"</f>
        <v>#DIV/0!</v>
      </c>
      <c r="H4" s="251" t="str">
        <f>IF(首頁!C14=0,"",首頁!C14)</f>
        <v>+L90</v>
      </c>
      <c r="I4" s="162">
        <f>IF(H4&lt;&gt;"",COUNTIFS('0919門市清單主檔'!$Y:$Y,$N$5,'0919門市清單主檔'!$AG:$AG,H4),"")</f>
        <v>105</v>
      </c>
      <c r="J4" s="163" t="str">
        <f>IF(H4&lt;&gt;"",IF(I4=0,"0%",ROUND(K4/I4,4)*100&amp;"%"),"")</f>
        <v>64.76%</v>
      </c>
      <c r="K4" s="162">
        <f>IF(H4&lt;&gt;"",COUNTIF(H:H,"V"),"")</f>
        <v>68</v>
      </c>
      <c r="L4" s="162">
        <f>IF(H4&lt;&gt;"",I4-K4,"")</f>
        <v>37</v>
      </c>
      <c r="M4" s="152">
        <f>首頁!F5</f>
        <v>46023</v>
      </c>
      <c r="Q4" s="115"/>
      <c r="R4" s="115"/>
    </row>
    <row r="5" spans="1:31" ht="22.5" customHeight="1">
      <c r="A5" s="266">
        <f>COUNTA(A7:A250)-COUNTIF(F7:F251,"非當季")-A2</f>
        <v>106</v>
      </c>
      <c r="B5" s="269" t="s">
        <v>116</v>
      </c>
      <c r="C5" s="270">
        <f>SUM(C2:C4)</f>
        <v>106</v>
      </c>
      <c r="D5" s="270"/>
      <c r="E5" s="270">
        <f>SUM(E2:E4)</f>
        <v>31</v>
      </c>
      <c r="F5" s="270">
        <f>A5-SUM(E2:E4)</f>
        <v>75</v>
      </c>
      <c r="G5" s="271" t="str">
        <f>ROUND(IF((E5/C5)&gt;1,1,(E5/C5))*100,0)&amp;"%"</f>
        <v>29%</v>
      </c>
      <c r="H5" s="251" t="str">
        <f>IF(首頁!D14=0,"",首頁!D14)</f>
        <v>+721</v>
      </c>
      <c r="I5" s="162">
        <f>IF(H5&lt;&gt;"",COUNTIFS('0919門市清單主檔'!$Y:$Y,$N$5,'0919門市清單主檔'!$AH:$AH,H5),"")</f>
        <v>96</v>
      </c>
      <c r="J5" s="163" t="str">
        <f>IF(H5&lt;&gt;"",IF(I5=0,"0%",ROUND(K5/I5,4)*100&amp;"%"),"")</f>
        <v>29.17%</v>
      </c>
      <c r="K5" s="162">
        <f>IF(H5&lt;&gt;"",COUNTIF(I:I,"V"),"")</f>
        <v>28</v>
      </c>
      <c r="L5" s="162">
        <f>IF(H5&lt;&gt;"",I5-K5,"")</f>
        <v>68</v>
      </c>
      <c r="M5" s="152">
        <f ca="1">TODAY()</f>
        <v>46045</v>
      </c>
      <c r="N5" s="294" t="s">
        <v>133</v>
      </c>
      <c r="Q5" s="115"/>
      <c r="R5" s="115"/>
      <c r="S5" s="174"/>
      <c r="T5" s="175"/>
      <c r="U5" s="154" t="s">
        <v>4954</v>
      </c>
      <c r="V5" s="155" t="str">
        <f t="array" ref="V5">IFERROR(HYPERLINK("#" &amp; ADDRESS(MIN(IF(ISNUMBER(SEARCH(U5, A6:J182)), ROW(A6:J182), 10000000000)), MIN(IF(ISNUMBER(SEARCH(U5, A6:J182)), COLUMN(A6:J182), 10000000000))), "搜索"), "未找到")</f>
        <v>搜索</v>
      </c>
      <c r="W5" s="239"/>
    </row>
    <row r="6" spans="1:31" ht="25.5" customHeight="1">
      <c r="A6" s="252" t="s">
        <v>26</v>
      </c>
      <c r="B6" s="252" t="s">
        <v>27</v>
      </c>
      <c r="C6" s="252" t="str">
        <f>首頁!B4</f>
        <v>1月</v>
      </c>
      <c r="D6" s="252" t="str">
        <f>首頁!C4</f>
        <v>2月</v>
      </c>
      <c r="E6" s="252" t="str">
        <f>首頁!D4</f>
        <v>3月</v>
      </c>
      <c r="F6" s="252" t="s">
        <v>4945</v>
      </c>
      <c r="G6" s="252" t="str">
        <f>H3</f>
        <v>--</v>
      </c>
      <c r="H6" s="252" t="str">
        <f>H4</f>
        <v>+L90</v>
      </c>
      <c r="I6" s="252" t="str">
        <f>H5</f>
        <v>+721</v>
      </c>
      <c r="J6" s="252" t="str">
        <f>H2</f>
        <v>HUB</v>
      </c>
      <c r="K6" s="252" t="s">
        <v>4948</v>
      </c>
      <c r="L6" s="252" t="s">
        <v>4949</v>
      </c>
      <c r="M6" s="154" t="s">
        <v>4955</v>
      </c>
      <c r="N6" s="155" t="str">
        <f t="array" ref="N6">IFERROR(HYPERLINK("#" &amp; ADDRESS(MIN(IF(ISNUMBER(SEARCH(M6, A6:J188)), ROW(A6:J188), 10000000000)), MIN(IF(ISNUMBER(SEARCH(M6, A6:J188)), COLUMN(A6:J188), 10000000000))), "搜索"), "未找到")</f>
        <v>未找到</v>
      </c>
      <c r="Q6" s="115"/>
      <c r="R6" s="115"/>
    </row>
    <row r="7" spans="1:31" ht="21.6" customHeight="1">
      <c r="A7" s="116">
        <v>5491</v>
      </c>
      <c r="B7" s="116" t="str">
        <f>VLOOKUP(A7,門市總表!A:B,2,FALSE)</f>
        <v>三重向日葵</v>
      </c>
      <c r="C7" s="146" t="str">
        <f>IF(COUNTIFS(IM!$F:$F,A7,IM!$AD:$AD,"O",IM!$X:$X,"&gt;="&amp;$M$1, IM!$X:$X,"&lt;"&amp;$M$2)&gt;0,"V","")</f>
        <v>V</v>
      </c>
      <c r="D7" s="146" t="str">
        <f>IF(AND(C7&lt;&gt;"V", COUNTIFS(IM!$F:$F,A7, IM!$AD:$AD, "O", IM!$X:$X, "&gt;="&amp;$M$2, IM!$X:$X, "&lt;"&amp;$M$3)&gt;0), "V", "")</f>
        <v/>
      </c>
      <c r="E7" s="146" t="str">
        <f>IF(AND(C7&lt;&gt;"V",D7&lt;&gt;"V", COUNTIFS(IM!$F:$F, A7, IM!$AD:$AD, "O", IM!$X:$X, "&gt;="&amp;$M$3, IM!$X:$X, "&lt;"&amp;$N$3)&gt;0), "V", "")</f>
        <v/>
      </c>
      <c r="F7" s="116" t="str">
        <f>IF(VLOOKUP(A7,門市總表!A:F,6,FALSE)="新開","新開不保養",
IF(VLOOKUP(A7,門市總表!A:F,6,FALSE)="撤店","閉店不保養",IF(VLOOKUP(A7,門市總表!A:F,6,FALSE)="非當季","非當季",IF(VLOOKUP(A7,門市總表!A:F,6,FALSE)="跨季補單","跨季補單",
IF(COUNTBLANK(C7:E7)=3,"未保養","")
))))</f>
        <v>新開不保養</v>
      </c>
      <c r="G7" s="116" t="str">
        <f>IF(COUNTIFS('0919門市清單主檔'!C:C,B7,'0919門市清單主檔'!AF:AF,$H$3)=1,
    IF(COUNTIFS(IM!F:F,A7,IM!AC:AC,"*"&amp;$H$3&amp;"*") + COUNTIFS('0919門市清單主檔'!C:C,B7,'0919門市清單主檔'!AF:AF,$H$3) &gt; 1,
       "V","未完工"),"-")</f>
        <v>-</v>
      </c>
      <c r="H7" s="253" t="str">
        <f>IF(COUNTIFS('0919門市清單主檔'!C:C,B7,'0919門市清單主檔'!AG:AG,$H$4)=1,
    IF(COUNTIFS(IM!F:F,A7,IM!AC:AC,"*"&amp;$H$4&amp;"*") + COUNTIFS('0919門市清單主檔'!C:C,B7,'0919門市清單主檔'!AG:AG,$H$4) &gt; 1,
       "V","未完工"),"-")</f>
        <v>-</v>
      </c>
      <c r="I7" s="253" t="str">
        <f>IF(COUNTIFS('0919門市清單主檔'!C:C,B7,'0919門市清單主檔'!AH:AH,$H$5)=1,
    IF(COUNTIFS(IM!F:F,A7,IM!AC:AC,"*"&amp;$H$5&amp;"*") + COUNTIFS('0919門市清單主檔'!C:C,B7,'0919門市清單主檔'!AH:AH,$H$5) &gt; 1,
       "V","未完工"),"-")</f>
        <v>-</v>
      </c>
      <c r="J7" s="253" t="str">
        <f>IF(
    COUNTIFS('0919門市清單主檔'!C:C,B7,'0919門市清單主檔'!AC:AC,$H$2)=1,
    IF(
        COUNTIFS(
            IM!F:F,A7,
            IM!AC:AC,"*"&amp;$H$2&amp;"*",
            IM!X:X,"&gt;="&amp;$M$1,
            IM!X:X,"&lt;="&amp;$M$3
        )
        + COUNTIFS('0919門市清單主檔'!C:C,B7,'0919門市清單主檔'!AC:AC,$H$2)
        &gt;1,
        "V",
        "未完工"
    ),
    "-"
)</f>
        <v>-</v>
      </c>
      <c r="K7" s="122">
        <v>45903</v>
      </c>
      <c r="L7" s="116" t="str">
        <f>VLOOKUP(A7,'0919門市清單主檔'!B:V,21,FALSE)</f>
        <v>三重區</v>
      </c>
      <c r="M7" s="153" t="str">
        <f>VLOOKUP(A7,門市總表!A:B,2,FALSE)</f>
        <v>三重向日葵</v>
      </c>
    </row>
    <row r="8" spans="1:31" ht="21.6" customHeight="1">
      <c r="A8" s="116">
        <v>4084</v>
      </c>
      <c r="B8" s="116" t="str">
        <f>VLOOKUP(A8,門市總表!A:B,2,FALSE)</f>
        <v>三重昌隆店</v>
      </c>
      <c r="C8" s="146" t="str">
        <f>IF(COUNTIFS(IM!$F:$F,A8,IM!$AD:$AD,"O",IM!$X:$X,"&gt;="&amp;$M$1, IM!$X:$X,"&lt;"&amp;$M$2)&gt;0,"V","")</f>
        <v/>
      </c>
      <c r="D8" s="146" t="str">
        <f>IF(AND(C8&lt;&gt;"V", COUNTIFS(IM!$F:$F,A8, IM!$AD:$AD, "O", IM!$X:$X, "&gt;="&amp;$M$2, IM!$X:$X, "&lt;"&amp;$M$3)&gt;0), "V", "")</f>
        <v/>
      </c>
      <c r="E8" s="146" t="str">
        <f>IF(AND(C8&lt;&gt;"V",D8&lt;&gt;"V", COUNTIFS(IM!$F:$F, A8, IM!$AD:$AD, "O", IM!$X:$X, "&gt;="&amp;$M$3, IM!$X:$X, "&lt;"&amp;$N$3)&gt;0), "V", "")</f>
        <v/>
      </c>
      <c r="F8" s="116" t="str">
        <f>IF(VLOOKUP(A8,門市總表!A:F,6,FALSE)="新開","新開不保養",
IF(VLOOKUP(A8,門市總表!A:F,6,FALSE)="撤店","閉店不保養",IF(VLOOKUP(A8,門市總表!A:F,6,FALSE)="非當季","非當季",IF(VLOOKUP(A8,門市總表!A:F,6,FALSE)="跨季補單","跨季補單",
IF(COUNTBLANK(C8:E8)=3,"未保養","")
))))</f>
        <v>未保養</v>
      </c>
      <c r="G8" s="116" t="str">
        <f>IF(COUNTIFS('0919門市清單主檔'!C:C,B8,'0919門市清單主檔'!AF:AF,$H$3)=1,
    IF(COUNTIFS(IM!F:F,A8,IM!AC:AC,"*"&amp;$H$3&amp;"*") + COUNTIFS('0919門市清單主檔'!C:C,B8,'0919門市清單主檔'!AF:AF,$H$3) &gt; 1,
       "V","未完工"),"-")</f>
        <v>-</v>
      </c>
      <c r="H8" s="253" t="str">
        <f>IF(COUNTIFS('0919門市清單主檔'!C:C,B8,'0919門市清單主檔'!AG:AG,$H$4)=1,
    IF(COUNTIFS(IM!F:F,A8,IM!AC:AC,"*"&amp;$H$4&amp;"*") + COUNTIFS('0919門市清單主檔'!C:C,B8,'0919門市清單主檔'!AG:AG,$H$4) &gt; 1,
       "V","未完工"),"-")</f>
        <v>V</v>
      </c>
      <c r="I8" s="253" t="str">
        <f>IF(COUNTIFS('0919門市清單主檔'!C:C,B8,'0919門市清單主檔'!AH:AH,$H$5)=1,
    IF(COUNTIFS(IM!F:F,A8,IM!AC:AC,"*"&amp;$H$5&amp;"*") + COUNTIFS('0919門市清單主檔'!C:C,B8,'0919門市清單主檔'!AH:AH,$H$5) &gt; 1,
       "V","未完工"),"-")</f>
        <v>未完工</v>
      </c>
      <c r="J8" s="253" t="str">
        <f>IF(
    COUNTIFS('0919門市清單主檔'!C:C,B8,'0919門市清單主檔'!AC:AC,$H$2)=1,
    IF(
        COUNTIFS(
            IM!F:F,A8,
            IM!AC:AC,"*"&amp;$H$2&amp;"*",
            IM!X:X,"&gt;="&amp;$M$1,
            IM!X:X,"&lt;="&amp;$M$3
        )
        + COUNTIFS('0919門市清單主檔'!C:C,B8,'0919門市清單主檔'!AC:AC,$H$2)
        &gt;1,
        "V",
        "未完工"
    ),
    "-"
)</f>
        <v>-</v>
      </c>
      <c r="K8" s="122">
        <v>45916</v>
      </c>
      <c r="L8" s="116" t="str">
        <f>VLOOKUP(A8,'0919門市清單主檔'!B:V,21,FALSE)</f>
        <v>三重區</v>
      </c>
      <c r="M8" s="153" t="str">
        <f>VLOOKUP(A8,門市總表!A:B,2,FALSE)</f>
        <v>三重昌隆店</v>
      </c>
      <c r="Q8" s="115" t="s">
        <v>4951</v>
      </c>
      <c r="R8" s="115"/>
    </row>
    <row r="9" spans="1:31" ht="21.6" customHeight="1">
      <c r="A9" s="116">
        <v>3627</v>
      </c>
      <c r="B9" s="116" t="str">
        <f>VLOOKUP(A9,門市總表!A:B,2,FALSE)</f>
        <v>三重重新橋</v>
      </c>
      <c r="C9" s="146" t="str">
        <f>IF(COUNTIFS(IM!$F:$F,A9,IM!$AD:$AD,"O",IM!$X:$X,"&gt;="&amp;$M$1, IM!$X:$X,"&lt;"&amp;$M$2)&gt;0,"V","")</f>
        <v/>
      </c>
      <c r="D9" s="146" t="str">
        <f>IF(AND(C9&lt;&gt;"V", COUNTIFS(IM!$F:$F,A9, IM!$AD:$AD, "O", IM!$X:$X, "&gt;="&amp;$M$2, IM!$X:$X, "&lt;"&amp;$M$3)&gt;0), "V", "")</f>
        <v/>
      </c>
      <c r="E9" s="146" t="str">
        <f>IF(AND(C9&lt;&gt;"V",D9&lt;&gt;"V", COUNTIFS(IM!$F:$F, A9, IM!$AD:$AD, "O", IM!$X:$X, "&gt;="&amp;$M$3, IM!$X:$X, "&lt;"&amp;$N$3)&gt;0), "V", "")</f>
        <v/>
      </c>
      <c r="F9" s="116" t="str">
        <f>IF(VLOOKUP(A9,門市總表!A:F,6,FALSE)="新開","新開不保養",
IF(VLOOKUP(A9,門市總表!A:F,6,FALSE)="撤店","閉店不保養",IF(VLOOKUP(A9,門市總表!A:F,6,FALSE)="非當季","非當季",IF(VLOOKUP(A9,門市總表!A:F,6,FALSE)="跨季補單","跨季補單",
IF(COUNTBLANK(C9:E9)=3,"未保養","")
))))</f>
        <v>未保養</v>
      </c>
      <c r="G9" s="116" t="str">
        <f>IF(COUNTIFS('0919門市清單主檔'!C:C,B9,'0919門市清單主檔'!AF:AF,$H$3)=1,
    IF(COUNTIFS(IM!F:F,A9,IM!AC:AC,"*"&amp;$H$3&amp;"*") + COUNTIFS('0919門市清單主檔'!C:C,B9,'0919門市清單主檔'!AF:AF,$H$3) &gt; 1,
       "V","未完工"),"-")</f>
        <v>-</v>
      </c>
      <c r="H9" s="253" t="str">
        <f>IF(COUNTIFS('0919門市清單主檔'!C:C,B9,'0919門市清單主檔'!AG:AG,$H$4)=1,
    IF(COUNTIFS(IM!F:F,A9,IM!AC:AC,"*"&amp;$H$4&amp;"*") + COUNTIFS('0919門市清單主檔'!C:C,B9,'0919門市清單主檔'!AG:AG,$H$4) &gt; 1,
       "V","未完工"),"-")</f>
        <v>V</v>
      </c>
      <c r="I9" s="253" t="str">
        <f>IF(COUNTIFS('0919門市清單主檔'!C:C,B9,'0919門市清單主檔'!AH:AH,$H$5)=1,
    IF(COUNTIFS(IM!F:F,A9,IM!AC:AC,"*"&amp;$H$5&amp;"*") + COUNTIFS('0919門市清單主檔'!C:C,B9,'0919門市清單主檔'!AH:AH,$H$5) &gt; 1,
       "V","未完工"),"-")</f>
        <v>未完工</v>
      </c>
      <c r="J9" s="253" t="str">
        <f>IF(
    COUNTIFS('0919門市清單主檔'!C:C,B9,'0919門市清單主檔'!AC:AC,$H$2)=1,
    IF(
        COUNTIFS(
            IM!F:F,A9,
            IM!AC:AC,"*"&amp;$H$2&amp;"*",
            IM!X:X,"&gt;="&amp;$M$1,
            IM!X:X,"&lt;="&amp;$M$3
        )
        + COUNTIFS('0919門市清單主檔'!C:C,B9,'0919門市清單主檔'!AC:AC,$H$2)
        &gt;1,
        "V",
        "未完工"
    ),
    "-"
)</f>
        <v>-</v>
      </c>
      <c r="K9" s="122">
        <v>45852</v>
      </c>
      <c r="L9" s="116" t="str">
        <f>VLOOKUP(A9,'0919門市清單主檔'!B:V,21,FALSE)</f>
        <v>三重區</v>
      </c>
      <c r="M9" s="153" t="str">
        <f>VLOOKUP(A9,門市總表!A:B,2,FALSE)</f>
        <v>三重重新橋</v>
      </c>
      <c r="Q9" s="115" t="s">
        <v>4951</v>
      </c>
      <c r="R9" s="115"/>
    </row>
    <row r="10" spans="1:31" ht="21.6" customHeight="1">
      <c r="A10" s="116">
        <v>4260</v>
      </c>
      <c r="B10" s="116" t="str">
        <f>VLOOKUP(A10,門市總表!A:B,2,FALSE)</f>
        <v>三重高中店</v>
      </c>
      <c r="C10" s="146" t="str">
        <f>IF(COUNTIFS(IM!$F:$F,A10,IM!$AD:$AD,"O",IM!$X:$X,"&gt;="&amp;$M$1, IM!$X:$X,"&lt;"&amp;$M$2)&gt;0,"V","")</f>
        <v/>
      </c>
      <c r="D10" s="146" t="str">
        <f>IF(AND(C10&lt;&gt;"V", COUNTIFS(IM!$F:$F,A10, IM!$AD:$AD, "O", IM!$X:$X, "&gt;="&amp;$M$2, IM!$X:$X, "&lt;"&amp;$M$3)&gt;0), "V", "")</f>
        <v/>
      </c>
      <c r="E10" s="146" t="str">
        <f>IF(AND(C10&lt;&gt;"V",D10&lt;&gt;"V", COUNTIFS(IM!$F:$F, A10, IM!$AD:$AD, "O", IM!$X:$X, "&gt;="&amp;$M$3, IM!$X:$X, "&lt;"&amp;$N$3)&gt;0), "V", "")</f>
        <v/>
      </c>
      <c r="F10" s="116" t="str">
        <f>IF(VLOOKUP(A10,門市總表!A:F,6,FALSE)="新開","新開不保養",
IF(VLOOKUP(A10,門市總表!A:F,6,FALSE)="撤店","閉店不保養",IF(VLOOKUP(A10,門市總表!A:F,6,FALSE)="非當季","非當季",IF(VLOOKUP(A10,門市總表!A:F,6,FALSE)="跨季補單","跨季補單",
IF(COUNTBLANK(C10:E10)=3,"未保養","")
))))</f>
        <v>未保養</v>
      </c>
      <c r="G10" s="116" t="str">
        <f>IF(COUNTIFS('0919門市清單主檔'!C:C,B10,'0919門市清單主檔'!AF:AF,$H$3)=1,
    IF(COUNTIFS(IM!F:F,A10,IM!AC:AC,"*"&amp;$H$3&amp;"*") + COUNTIFS('0919門市清單主檔'!C:C,B10,'0919門市清單主檔'!AF:AF,$H$3) &gt; 1,
       "V","未完工"),"-")</f>
        <v>-</v>
      </c>
      <c r="H10" s="253" t="str">
        <f>IF(COUNTIFS('0919門市清單主檔'!C:C,B10,'0919門市清單主檔'!AG:AG,$H$4)=1,
    IF(COUNTIFS(IM!F:F,A10,IM!AC:AC,"*"&amp;$H$4&amp;"*") + COUNTIFS('0919門市清單主檔'!C:C,B10,'0919門市清單主檔'!AG:AG,$H$4) &gt; 1,
       "V","未完工"),"-")</f>
        <v>V</v>
      </c>
      <c r="I10" s="253" t="str">
        <f>IF(COUNTIFS('0919門市清單主檔'!C:C,B10,'0919門市清單主檔'!AH:AH,$H$5)=1,
    IF(COUNTIFS(IM!F:F,A10,IM!AC:AC,"*"&amp;$H$5&amp;"*") + COUNTIFS('0919門市清單主檔'!C:C,B10,'0919門市清單主檔'!AH:AH,$H$5) &gt; 1,
       "V","未完工"),"-")</f>
        <v>未完工</v>
      </c>
      <c r="J10" s="253" t="str">
        <f>IF(
    COUNTIFS('0919門市清單主檔'!C:C,B10,'0919門市清單主檔'!AC:AC,$H$2)=1,
    IF(
        COUNTIFS(
            IM!F:F,A10,
            IM!AC:AC,"*"&amp;$H$2&amp;"*",
            IM!X:X,"&gt;="&amp;$M$1,
            IM!X:X,"&lt;="&amp;$M$3
        )
        + COUNTIFS('0919門市清單主檔'!C:C,B10,'0919門市清單主檔'!AC:AC,$H$2)
        &gt;1,
        "V",
        "未完工"
    ),
    "-"
)</f>
        <v>-</v>
      </c>
      <c r="K10" s="122">
        <v>45925</v>
      </c>
      <c r="L10" s="116" t="str">
        <f>VLOOKUP(A10,'0919門市清單主檔'!B:V,21,FALSE)</f>
        <v>三重區</v>
      </c>
      <c r="M10" s="153" t="str">
        <f>VLOOKUP(A10,門市總表!A:B,2,FALSE)</f>
        <v>三重高中店</v>
      </c>
      <c r="Q10" s="115" t="s">
        <v>4951</v>
      </c>
      <c r="R10" s="115"/>
    </row>
    <row r="11" spans="1:31" ht="21.6" customHeight="1">
      <c r="A11" s="116" t="s">
        <v>57</v>
      </c>
      <c r="B11" s="116" t="str">
        <f>VLOOKUP(A11,門市總表!A:B,2,FALSE)</f>
        <v>三重大有店</v>
      </c>
      <c r="C11" s="146" t="str">
        <f>IF(COUNTIFS(IM!$F:$F,A11,IM!$AD:$AD,"O",IM!$X:$X,"&gt;="&amp;$M$1, IM!$X:$X,"&lt;"&amp;$M$2)&gt;0,"V","")</f>
        <v/>
      </c>
      <c r="D11" s="146" t="str">
        <f>IF(AND(C11&lt;&gt;"V", COUNTIFS(IM!$F:$F,A11, IM!$AD:$AD, "O", IM!$X:$X, "&gt;="&amp;$M$2, IM!$X:$X, "&lt;"&amp;$M$3)&gt;0), "V", "")</f>
        <v/>
      </c>
      <c r="E11" s="146" t="str">
        <f>IF(AND(C11&lt;&gt;"V",D11&lt;&gt;"V", COUNTIFS(IM!$F:$F, A11, IM!$AD:$AD, "O", IM!$X:$X, "&gt;="&amp;$M$3, IM!$X:$X, "&lt;"&amp;$N$3)&gt;0), "V", "")</f>
        <v/>
      </c>
      <c r="F11" s="116" t="str">
        <f>IF(VLOOKUP(A11,門市總表!A:F,6,FALSE)="新開","新開不保養",
IF(VLOOKUP(A11,門市總表!A:F,6,FALSE)="撤店","閉店不保養",IF(VLOOKUP(A11,門市總表!A:F,6,FALSE)="非當季","非當季",IF(VLOOKUP(A11,門市總表!A:F,6,FALSE)="跨季補單","跨季補單",
IF(COUNTBLANK(C11:E11)=3,"未保養","")
))))</f>
        <v>未保養</v>
      </c>
      <c r="G11" s="116" t="str">
        <f>IF(COUNTIFS('0919門市清單主檔'!C:C,B11,'0919門市清單主檔'!AF:AF,$H$3)=1,
    IF(COUNTIFS(IM!F:F,A11,IM!AC:AC,"*"&amp;$H$3&amp;"*") + COUNTIFS('0919門市清單主檔'!C:C,B11,'0919門市清單主檔'!AF:AF,$H$3) &gt; 1,
       "V","未完工"),"-")</f>
        <v>-</v>
      </c>
      <c r="H11" s="253" t="str">
        <f>IF(COUNTIFS('0919門市清單主檔'!C:C,B11,'0919門市清單主檔'!AG:AG,$H$4)=1,
    IF(COUNTIFS(IM!F:F,A11,IM!AC:AC,"*"&amp;$H$4&amp;"*") + COUNTIFS('0919門市清單主檔'!C:C,B11,'0919門市清單主檔'!AG:AG,$H$4) &gt; 1,
       "V","未完工"),"-")</f>
        <v>V</v>
      </c>
      <c r="I11" s="253" t="str">
        <f>IF(COUNTIFS('0919門市清單主檔'!C:C,B11,'0919門市清單主檔'!AH:AH,$H$5)=1,
    IF(COUNTIFS(IM!F:F,A11,IM!AC:AC,"*"&amp;$H$5&amp;"*") + COUNTIFS('0919門市清單主檔'!C:C,B11,'0919門市清單主檔'!AH:AH,$H$5) &gt; 1,
       "V","未完工"),"-")</f>
        <v>未完工</v>
      </c>
      <c r="J11" s="253" t="str">
        <f>IF(
    COUNTIFS('0919門市清單主檔'!C:C,B11,'0919門市清單主檔'!AC:AC,$H$2)=1,
    IF(
        COUNTIFS(
            IM!F:F,A11,
            IM!AC:AC,"*"&amp;$H$2&amp;"*",
            IM!X:X,"&gt;="&amp;$M$1,
            IM!X:X,"&lt;="&amp;$M$3
        )
        + COUNTIFS('0919門市清單主檔'!C:C,B11,'0919門市清單主檔'!AC:AC,$H$2)
        &gt;1,
        "V",
        "未完工"
    ),
    "-"
)</f>
        <v>-</v>
      </c>
      <c r="K11" s="122">
        <v>45925</v>
      </c>
      <c r="L11" s="116" t="str">
        <f>VLOOKUP(A11,'0919門市清單主檔'!B:V,21,FALSE)</f>
        <v>三重區</v>
      </c>
      <c r="M11" s="153" t="str">
        <f>VLOOKUP(A11,門市總表!A:B,2,FALSE)</f>
        <v>三重大有店</v>
      </c>
      <c r="Q11" s="115" t="s">
        <v>4951</v>
      </c>
      <c r="R11" s="115"/>
    </row>
    <row r="12" spans="1:31" ht="21.6" customHeight="1">
      <c r="A12" s="116">
        <v>4397</v>
      </c>
      <c r="B12" s="116" t="str">
        <f>VLOOKUP(A12,門市總表!A:B,2,FALSE)</f>
        <v>三重仁旺店</v>
      </c>
      <c r="C12" s="146" t="str">
        <f>IF(COUNTIFS(IM!$F:$F,A12,IM!$AD:$AD,"O",IM!$X:$X,"&gt;="&amp;$M$1, IM!$X:$X,"&lt;"&amp;$M$2)&gt;0,"V","")</f>
        <v/>
      </c>
      <c r="D12" s="146" t="str">
        <f>IF(AND(C12&lt;&gt;"V", COUNTIFS(IM!$F:$F,A12, IM!$AD:$AD, "O", IM!$X:$X, "&gt;="&amp;$M$2, IM!$X:$X, "&lt;"&amp;$M$3)&gt;0), "V", "")</f>
        <v/>
      </c>
      <c r="E12" s="146" t="str">
        <f>IF(AND(C12&lt;&gt;"V",D12&lt;&gt;"V", COUNTIFS(IM!$F:$F, A12, IM!$AD:$AD, "O", IM!$X:$X, "&gt;="&amp;$M$3, IM!$X:$X, "&lt;"&amp;$N$3)&gt;0), "V", "")</f>
        <v/>
      </c>
      <c r="F12" s="116" t="str">
        <f>IF(VLOOKUP(A12,門市總表!A:F,6,FALSE)="新開","新開不保養",
IF(VLOOKUP(A12,門市總表!A:F,6,FALSE)="撤店","閉店不保養",IF(VLOOKUP(A12,門市總表!A:F,6,FALSE)="非當季","非當季",IF(VLOOKUP(A12,門市總表!A:F,6,FALSE)="跨季補單","跨季補單",
IF(COUNTBLANK(C12:E12)=3,"未保養","")
))))</f>
        <v>未保養</v>
      </c>
      <c r="G12" s="116" t="str">
        <f>IF(COUNTIFS('0919門市清單主檔'!C:C,B12,'0919門市清單主檔'!AF:AF,$H$3)=1,
    IF(COUNTIFS(IM!F:F,A12,IM!AC:AC,"*"&amp;$H$3&amp;"*") + COUNTIFS('0919門市清單主檔'!C:C,B12,'0919門市清單主檔'!AF:AF,$H$3) &gt; 1,
       "V","未完工"),"-")</f>
        <v>-</v>
      </c>
      <c r="H12" s="253" t="str">
        <f>IF(COUNTIFS('0919門市清單主檔'!C:C,B12,'0919門市清單主檔'!AG:AG,$H$4)=1,
    IF(COUNTIFS(IM!F:F,A12,IM!AC:AC,"*"&amp;$H$4&amp;"*") + COUNTIFS('0919門市清單主檔'!C:C,B12,'0919門市清單主檔'!AG:AG,$H$4) &gt; 1,
       "V","未完工"),"-")</f>
        <v>V</v>
      </c>
      <c r="I12" s="253" t="str">
        <f>IF(COUNTIFS('0919門市清單主檔'!C:C,B12,'0919門市清單主檔'!AH:AH,$H$5)=1,
    IF(COUNTIFS(IM!F:F,A12,IM!AC:AC,"*"&amp;$H$5&amp;"*") + COUNTIFS('0919門市清單主檔'!C:C,B12,'0919門市清單主檔'!AH:AH,$H$5) &gt; 1,
       "V","未完工"),"-")</f>
        <v>未完工</v>
      </c>
      <c r="J12" s="253" t="str">
        <f>IF(
    COUNTIFS('0919門市清單主檔'!C:C,B12,'0919門市清單主檔'!AC:AC,$H$2)=1,
    IF(
        COUNTIFS(
            IM!F:F,A12,
            IM!AC:AC,"*"&amp;$H$2&amp;"*",
            IM!X:X,"&gt;="&amp;$M$1,
            IM!X:X,"&lt;="&amp;$M$3
        )
        + COUNTIFS('0919門市清單主檔'!C:C,B12,'0919門市清單主檔'!AC:AC,$H$2)
        &gt;1,
        "V",
        "未完工"
    ),
    "-"
)</f>
        <v>-</v>
      </c>
      <c r="K12" s="122">
        <v>45916</v>
      </c>
      <c r="L12" s="116" t="str">
        <f>VLOOKUP(A12,'0919門市清單主檔'!B:V,21,FALSE)</f>
        <v>三重區</v>
      </c>
      <c r="M12" s="153" t="str">
        <f>VLOOKUP(A12,門市總表!A:B,2,FALSE)</f>
        <v>三重仁旺店</v>
      </c>
      <c r="Q12" s="115" t="s">
        <v>4951</v>
      </c>
      <c r="R12" s="115"/>
    </row>
    <row r="13" spans="1:31" ht="21.6" customHeight="1">
      <c r="A13" s="116">
        <v>4586</v>
      </c>
      <c r="B13" s="116" t="str">
        <f>VLOOKUP(A13,門市總表!A:B,2,FALSE)</f>
        <v>三重三文店</v>
      </c>
      <c r="C13" s="146" t="str">
        <f>IF(COUNTIFS(IM!$F:$F,A13,IM!$AD:$AD,"O",IM!$X:$X,"&gt;="&amp;$M$1, IM!$X:$X,"&lt;"&amp;$M$2)&gt;0,"V","")</f>
        <v/>
      </c>
      <c r="D13" s="146" t="str">
        <f>IF(AND(C13&lt;&gt;"V", COUNTIFS(IM!$F:$F,A13, IM!$AD:$AD, "O", IM!$X:$X, "&gt;="&amp;$M$2, IM!$X:$X, "&lt;"&amp;$M$3)&gt;0), "V", "")</f>
        <v/>
      </c>
      <c r="E13" s="146" t="str">
        <f>IF(AND(C13&lt;&gt;"V",D13&lt;&gt;"V", COUNTIFS(IM!$F:$F, A13, IM!$AD:$AD, "O", IM!$X:$X, "&gt;="&amp;$M$3, IM!$X:$X, "&lt;"&amp;$N$3)&gt;0), "V", "")</f>
        <v/>
      </c>
      <c r="F13" s="116" t="str">
        <f>IF(VLOOKUP(A13,門市總表!A:F,6,FALSE)="新開","新開不保養",
IF(VLOOKUP(A13,門市總表!A:F,6,FALSE)="撤店","閉店不保養",IF(VLOOKUP(A13,門市總表!A:F,6,FALSE)="非當季","非當季",IF(VLOOKUP(A13,門市總表!A:F,6,FALSE)="跨季補單","跨季補單",
IF(COUNTBLANK(C13:E13)=3,"未保養","")
))))</f>
        <v>未保養</v>
      </c>
      <c r="G13" s="116" t="str">
        <f>IF(COUNTIFS('0919門市清單主檔'!C:C,B13,'0919門市清單主檔'!AF:AF,$H$3)=1,
    IF(COUNTIFS(IM!F:F,A13,IM!AC:AC,"*"&amp;$H$3&amp;"*") + COUNTIFS('0919門市清單主檔'!C:C,B13,'0919門市清單主檔'!AF:AF,$H$3) &gt; 1,
       "V","未完工"),"-")</f>
        <v>-</v>
      </c>
      <c r="H13" s="253" t="str">
        <f>IF(COUNTIFS('0919門市清單主檔'!C:C,B13,'0919門市清單主檔'!AG:AG,$H$4)=1,
    IF(COUNTIFS(IM!F:F,A13,IM!AC:AC,"*"&amp;$H$4&amp;"*") + COUNTIFS('0919門市清單主檔'!C:C,B13,'0919門市清單主檔'!AG:AG,$H$4) &gt; 1,
       "V","未完工"),"-")</f>
        <v>V</v>
      </c>
      <c r="I13" s="253" t="str">
        <f>IF(COUNTIFS('0919門市清單主檔'!C:C,B13,'0919門市清單主檔'!AH:AH,$H$5)=1,
    IF(COUNTIFS(IM!F:F,A13,IM!AC:AC,"*"&amp;$H$5&amp;"*") + COUNTIFS('0919門市清單主檔'!C:C,B13,'0919門市清單主檔'!AH:AH,$H$5) &gt; 1,
       "V","未完工"),"-")</f>
        <v>-</v>
      </c>
      <c r="J13" s="253" t="str">
        <f>IF(
    COUNTIFS('0919門市清單主檔'!C:C,B13,'0919門市清單主檔'!AC:AC,$H$2)=1,
    IF(
        COUNTIFS(
            IM!F:F,A13,
            IM!AC:AC,"*"&amp;$H$2&amp;"*",
            IM!X:X,"&gt;="&amp;$M$1,
            IM!X:X,"&lt;="&amp;$M$3
        )
        + COUNTIFS('0919門市清單主檔'!C:C,B13,'0919門市清單主檔'!AC:AC,$H$2)
        &gt;1,
        "V",
        "未完工"
    ),
    "-"
)</f>
        <v>-</v>
      </c>
      <c r="K13" s="122">
        <v>45902</v>
      </c>
      <c r="L13" s="116" t="str">
        <f>VLOOKUP(A13,'0919門市清單主檔'!B:V,21,FALSE)</f>
        <v>三重區</v>
      </c>
      <c r="M13" s="153" t="str">
        <f>VLOOKUP(A13,門市總表!A:B,2,FALSE)</f>
        <v>三重三文店</v>
      </c>
      <c r="Q13" s="115" t="s">
        <v>4951</v>
      </c>
      <c r="R13" s="115"/>
    </row>
    <row r="14" spans="1:31" ht="21.6" customHeight="1">
      <c r="A14" s="116">
        <v>3840</v>
      </c>
      <c r="B14" s="116" t="str">
        <f>VLOOKUP(A14,門市總表!A:B,2,FALSE)</f>
        <v>北縣天龍店</v>
      </c>
      <c r="C14" s="146" t="str">
        <f>IF(COUNTIFS(IM!$F:$F,A14,IM!$AD:$AD,"O",IM!$X:$X,"&gt;="&amp;$M$1, IM!$X:$X,"&lt;"&amp;$M$2)&gt;0,"V","")</f>
        <v/>
      </c>
      <c r="D14" s="146" t="str">
        <f>IF(AND(C14&lt;&gt;"V", COUNTIFS(IM!$F:$F,A14, IM!$AD:$AD, "O", IM!$X:$X, "&gt;="&amp;$M$2, IM!$X:$X, "&lt;"&amp;$M$3)&gt;0), "V", "")</f>
        <v/>
      </c>
      <c r="E14" s="146" t="str">
        <f>IF(AND(C14&lt;&gt;"V",D14&lt;&gt;"V", COUNTIFS(IM!$F:$F, A14, IM!$AD:$AD, "O", IM!$X:$X, "&gt;="&amp;$M$3, IM!$X:$X, "&lt;"&amp;$N$3)&gt;0), "V", "")</f>
        <v/>
      </c>
      <c r="F14" s="116" t="str">
        <f>IF(VLOOKUP(A14,門市總表!A:F,6,FALSE)="新開","新開不保養",
IF(VLOOKUP(A14,門市總表!A:F,6,FALSE)="撤店","閉店不保養",IF(VLOOKUP(A14,門市總表!A:F,6,FALSE)="非當季","非當季",IF(VLOOKUP(A14,門市總表!A:F,6,FALSE)="跨季補單","跨季補單",
IF(COUNTBLANK(C14:E14)=3,"未保養","")
))))</f>
        <v>未保養</v>
      </c>
      <c r="G14" s="116" t="str">
        <f>IF(COUNTIFS('0919門市清單主檔'!C:C,B14,'0919門市清單主檔'!AF:AF,$H$3)=1,
    IF(COUNTIFS(IM!F:F,A14,IM!AC:AC,"*"&amp;$H$3&amp;"*") + COUNTIFS('0919門市清單主檔'!C:C,B14,'0919門市清單主檔'!AF:AF,$H$3) &gt; 1,
       "V","未完工"),"-")</f>
        <v>-</v>
      </c>
      <c r="H14" s="253" t="str">
        <f>IF(COUNTIFS('0919門市清單主檔'!C:C,B14,'0919門市清單主檔'!AG:AG,$H$4)=1,
    IF(COUNTIFS(IM!F:F,A14,IM!AC:AC,"*"&amp;$H$4&amp;"*") + COUNTIFS('0919門市清單主檔'!C:C,B14,'0919門市清單主檔'!AG:AG,$H$4) &gt; 1,
       "V","未完工"),"-")</f>
        <v>V</v>
      </c>
      <c r="I14" s="253" t="str">
        <f>IF(COUNTIFS('0919門市清單主檔'!C:C,B14,'0919門市清單主檔'!AH:AH,$H$5)=1,
    IF(COUNTIFS(IM!F:F,A14,IM!AC:AC,"*"&amp;$H$5&amp;"*") + COUNTIFS('0919門市清單主檔'!C:C,B14,'0919門市清單主檔'!AH:AH,$H$5) &gt; 1,
       "V","未完工"),"-")</f>
        <v>未完工</v>
      </c>
      <c r="J14" s="253" t="str">
        <f>IF(
    COUNTIFS('0919門市清單主檔'!C:C,B14,'0919門市清單主檔'!AC:AC,$H$2)=1,
    IF(
        COUNTIFS(
            IM!F:F,A14,
            IM!AC:AC,"*"&amp;$H$2&amp;"*",
            IM!X:X,"&gt;="&amp;$M$1,
            IM!X:X,"&lt;="&amp;$M$3
        )
        + COUNTIFS('0919門市清單主檔'!C:C,B14,'0919門市清單主檔'!AC:AC,$H$2)
        &gt;1,
        "V",
        "未完工"
    ),
    "-"
)</f>
        <v>-</v>
      </c>
      <c r="K14" s="122">
        <v>45896</v>
      </c>
      <c r="L14" s="116" t="str">
        <f>VLOOKUP(A14,'0919門市清單主檔'!B:V,21,FALSE)</f>
        <v>三重區</v>
      </c>
      <c r="M14" s="153" t="str">
        <f>VLOOKUP(A14,門市總表!A:B,2,FALSE)</f>
        <v>北縣天龍店</v>
      </c>
      <c r="Q14" s="115" t="s">
        <v>4951</v>
      </c>
      <c r="R14" s="115"/>
    </row>
    <row r="15" spans="1:31" ht="21.6" customHeight="1">
      <c r="A15" s="116">
        <v>2259</v>
      </c>
      <c r="B15" s="116" t="str">
        <f>VLOOKUP(A15,門市總表!A:B,2,FALSE)</f>
        <v>三重興華店</v>
      </c>
      <c r="C15" s="146" t="str">
        <f>IF(COUNTIFS(IM!$F:$F,A15,IM!$AD:$AD,"O",IM!$X:$X,"&gt;="&amp;$M$1, IM!$X:$X,"&lt;"&amp;$M$2)&gt;0,"V","")</f>
        <v/>
      </c>
      <c r="D15" s="146" t="str">
        <f>IF(AND(C15&lt;&gt;"V", COUNTIFS(IM!$F:$F,A15, IM!$AD:$AD, "O", IM!$X:$X, "&gt;="&amp;$M$2, IM!$X:$X, "&lt;"&amp;$M$3)&gt;0), "V", "")</f>
        <v/>
      </c>
      <c r="E15" s="146" t="str">
        <f>IF(AND(C15&lt;&gt;"V",D15&lt;&gt;"V", COUNTIFS(IM!$F:$F, A15, IM!$AD:$AD, "O", IM!$X:$X, "&gt;="&amp;$M$3, IM!$X:$X, "&lt;"&amp;$N$3)&gt;0), "V", "")</f>
        <v/>
      </c>
      <c r="F15" s="116" t="str">
        <f>IF(VLOOKUP(A15,門市總表!A:F,6,FALSE)="新開","新開不保養",
IF(VLOOKUP(A15,門市總表!A:F,6,FALSE)="撤店","閉店不保養",IF(VLOOKUP(A15,門市總表!A:F,6,FALSE)="非當季","非當季",IF(VLOOKUP(A15,門市總表!A:F,6,FALSE)="跨季補單","跨季補單",
IF(COUNTBLANK(C15:E15)=3,"未保養","")
))))</f>
        <v>未保養</v>
      </c>
      <c r="G15" s="116" t="str">
        <f>IF(COUNTIFS('0919門市清單主檔'!C:C,B15,'0919門市清單主檔'!AF:AF,$H$3)=1,
    IF(COUNTIFS(IM!F:F,A15,IM!AC:AC,"*"&amp;$H$3&amp;"*") + COUNTIFS('0919門市清單主檔'!C:C,B15,'0919門市清單主檔'!AF:AF,$H$3) &gt; 1,
       "V","未完工"),"-")</f>
        <v>-</v>
      </c>
      <c r="H15" s="253" t="str">
        <f>IF(COUNTIFS('0919門市清單主檔'!C:C,B15,'0919門市清單主檔'!AG:AG,$H$4)=1,
    IF(COUNTIFS(IM!F:F,A15,IM!AC:AC,"*"&amp;$H$4&amp;"*") + COUNTIFS('0919門市清單主檔'!C:C,B15,'0919門市清單主檔'!AG:AG,$H$4) &gt; 1,
       "V","未完工"),"-")</f>
        <v>V</v>
      </c>
      <c r="I15" s="253" t="str">
        <f>IF(COUNTIFS('0919門市清單主檔'!C:C,B15,'0919門市清單主檔'!AH:AH,$H$5)=1,
    IF(COUNTIFS(IM!F:F,A15,IM!AC:AC,"*"&amp;$H$5&amp;"*") + COUNTIFS('0919門市清單主檔'!C:C,B15,'0919門市清單主檔'!AH:AH,$H$5) &gt; 1,
       "V","未完工"),"-")</f>
        <v>未完工</v>
      </c>
      <c r="J15" s="253" t="str">
        <f>IF(
    COUNTIFS('0919門市清單主檔'!C:C,B15,'0919門市清單主檔'!AC:AC,$H$2)=1,
    IF(
        COUNTIFS(
            IM!F:F,A15,
            IM!AC:AC,"*"&amp;$H$2&amp;"*",
            IM!X:X,"&gt;="&amp;$M$1,
            IM!X:X,"&lt;="&amp;$M$3
        )
        + COUNTIFS('0919門市清單主檔'!C:C,B15,'0919門市清單主檔'!AC:AC,$H$2)
        &gt;1,
        "V",
        "未完工"
    ),
    "-"
)</f>
        <v>-</v>
      </c>
      <c r="K15" s="122">
        <v>45882</v>
      </c>
      <c r="L15" s="116" t="str">
        <f>VLOOKUP(A15,'0919門市清單主檔'!B:V,21,FALSE)</f>
        <v>三重區</v>
      </c>
      <c r="M15" s="153" t="str">
        <f>VLOOKUP(A15,門市總表!A:B,2,FALSE)</f>
        <v>三重興華店</v>
      </c>
      <c r="Q15" s="115" t="s">
        <v>4951</v>
      </c>
      <c r="R15" s="115"/>
    </row>
    <row r="16" spans="1:31" ht="21.6" customHeight="1">
      <c r="A16" s="116">
        <v>2837</v>
      </c>
      <c r="B16" s="116" t="str">
        <f>VLOOKUP(A16,門市總表!A:B,2,FALSE)</f>
        <v>三重洛陽店</v>
      </c>
      <c r="C16" s="146" t="str">
        <f>IF(COUNTIFS(IM!$F:$F,A16,IM!$AD:$AD,"O",IM!$X:$X,"&gt;="&amp;$M$1, IM!$X:$X,"&lt;"&amp;$M$2)&gt;0,"V","")</f>
        <v/>
      </c>
      <c r="D16" s="146" t="str">
        <f>IF(AND(C16&lt;&gt;"V", COUNTIFS(IM!$F:$F,A16, IM!$AD:$AD, "O", IM!$X:$X, "&gt;="&amp;$M$2, IM!$X:$X, "&lt;"&amp;$M$3)&gt;0), "V", "")</f>
        <v/>
      </c>
      <c r="E16" s="146" t="str">
        <f>IF(AND(C16&lt;&gt;"V",D16&lt;&gt;"V", COUNTIFS(IM!$F:$F, A16, IM!$AD:$AD, "O", IM!$X:$X, "&gt;="&amp;$M$3, IM!$X:$X, "&lt;"&amp;$N$3)&gt;0), "V", "")</f>
        <v/>
      </c>
      <c r="F16" s="116" t="str">
        <f>IF(VLOOKUP(A16,門市總表!A:F,6,FALSE)="新開","新開不保養",
IF(VLOOKUP(A16,門市總表!A:F,6,FALSE)="撤店","閉店不保養",IF(VLOOKUP(A16,門市總表!A:F,6,FALSE)="非當季","非當季",IF(VLOOKUP(A16,門市總表!A:F,6,FALSE)="跨季補單","跨季補單",
IF(COUNTBLANK(C16:E16)=3,"未保養","")
))))</f>
        <v>未保養</v>
      </c>
      <c r="G16" s="116" t="str">
        <f>IF(COUNTIFS('0919門市清單主檔'!C:C,B16,'0919門市清單主檔'!AF:AF,$H$3)=1,
    IF(COUNTIFS(IM!F:F,A16,IM!AC:AC,"*"&amp;$H$3&amp;"*") + COUNTIFS('0919門市清單主檔'!C:C,B16,'0919門市清單主檔'!AF:AF,$H$3) &gt; 1,
       "V","未完工"),"-")</f>
        <v>-</v>
      </c>
      <c r="H16" s="253" t="str">
        <f>IF(COUNTIFS('0919門市清單主檔'!C:C,B16,'0919門市清單主檔'!AG:AG,$H$4)=1,
    IF(COUNTIFS(IM!F:F,A16,IM!AC:AC,"*"&amp;$H$4&amp;"*") + COUNTIFS('0919門市清單主檔'!C:C,B16,'0919門市清單主檔'!AG:AG,$H$4) &gt; 1,
       "V","未完工"),"-")</f>
        <v>V</v>
      </c>
      <c r="I16" s="253" t="str">
        <f>IF(COUNTIFS('0919門市清單主檔'!C:C,B16,'0919門市清單主檔'!AH:AH,$H$5)=1,
    IF(COUNTIFS(IM!F:F,A16,IM!AC:AC,"*"&amp;$H$5&amp;"*") + COUNTIFS('0919門市清單主檔'!C:C,B16,'0919門市清單主檔'!AH:AH,$H$5) &gt; 1,
       "V","未完工"),"-")</f>
        <v>未完工</v>
      </c>
      <c r="J16" s="253" t="str">
        <f>IF(
    COUNTIFS('0919門市清單主檔'!C:C,B16,'0919門市清單主檔'!AC:AC,$H$2)=1,
    IF(
        COUNTIFS(
            IM!F:F,A16,
            IM!AC:AC,"*"&amp;$H$2&amp;"*",
            IM!X:X,"&gt;="&amp;$M$1,
            IM!X:X,"&lt;="&amp;$M$3
        )
        + COUNTIFS('0919門市清單主檔'!C:C,B16,'0919門市清單主檔'!AC:AC,$H$2)
        &gt;1,
        "V",
        "未完工"
    ),
    "-"
)</f>
        <v>-</v>
      </c>
      <c r="K16" s="122">
        <v>45881</v>
      </c>
      <c r="L16" s="116" t="str">
        <f>VLOOKUP(A16,'0919門市清單主檔'!B:V,21,FALSE)</f>
        <v>三重區</v>
      </c>
      <c r="M16" s="153" t="str">
        <f>VLOOKUP(A16,門市總表!A:B,2,FALSE)</f>
        <v>三重洛陽店</v>
      </c>
      <c r="Q16" s="115" t="s">
        <v>4951</v>
      </c>
      <c r="R16" s="115"/>
    </row>
    <row r="17" spans="1:18" ht="21.6" customHeight="1">
      <c r="A17" s="116" t="s">
        <v>58</v>
      </c>
      <c r="B17" s="116" t="str">
        <f>VLOOKUP(A17,門市總表!A:B,2,FALSE)</f>
        <v>三重三民店</v>
      </c>
      <c r="C17" s="146" t="str">
        <f>IF(COUNTIFS(IM!$F:$F,A17,IM!$AD:$AD,"O",IM!$X:$X,"&gt;="&amp;$M$1, IM!$X:$X,"&lt;"&amp;$M$2)&gt;0,"V","")</f>
        <v/>
      </c>
      <c r="D17" s="146" t="str">
        <f>IF(AND(C17&lt;&gt;"V", COUNTIFS(IM!$F:$F,A17, IM!$AD:$AD, "O", IM!$X:$X, "&gt;="&amp;$M$2, IM!$X:$X, "&lt;"&amp;$M$3)&gt;0), "V", "")</f>
        <v/>
      </c>
      <c r="E17" s="146" t="str">
        <f>IF(AND(C17&lt;&gt;"V",D17&lt;&gt;"V", COUNTIFS(IM!$F:$F, A17, IM!$AD:$AD, "O", IM!$X:$X, "&gt;="&amp;$M$3, IM!$X:$X, "&lt;"&amp;$N$3)&gt;0), "V", "")</f>
        <v/>
      </c>
      <c r="F17" s="116" t="str">
        <f>IF(VLOOKUP(A17,門市總表!A:F,6,FALSE)="新開","新開不保養",
IF(VLOOKUP(A17,門市總表!A:F,6,FALSE)="撤店","閉店不保養",IF(VLOOKUP(A17,門市總表!A:F,6,FALSE)="非當季","非當季",IF(VLOOKUP(A17,門市總表!A:F,6,FALSE)="跨季補單","跨季補單",
IF(COUNTBLANK(C17:E17)=3,"未保養","")
))))</f>
        <v>未保養</v>
      </c>
      <c r="G17" s="116" t="str">
        <f>IF(COUNTIFS('0919門市清單主檔'!C:C,B17,'0919門市清單主檔'!AF:AF,$H$3)=1,
    IF(COUNTIFS(IM!F:F,A17,IM!AC:AC,"*"&amp;$H$3&amp;"*") + COUNTIFS('0919門市清單主檔'!C:C,B17,'0919門市清單主檔'!AF:AF,$H$3) &gt; 1,
       "V","未完工"),"-")</f>
        <v>-</v>
      </c>
      <c r="H17" s="253" t="str">
        <f>IF(COUNTIFS('0919門市清單主檔'!C:C,B17,'0919門市清單主檔'!AG:AG,$H$4)=1,
    IF(COUNTIFS(IM!F:F,A17,IM!AC:AC,"*"&amp;$H$4&amp;"*") + COUNTIFS('0919門市清單主檔'!C:C,B17,'0919門市清單主檔'!AG:AG,$H$4) &gt; 1,
       "V","未完工"),"-")</f>
        <v>V</v>
      </c>
      <c r="I17" s="253" t="str">
        <f>IF(COUNTIFS('0919門市清單主檔'!C:C,B17,'0919門市清單主檔'!AH:AH,$H$5)=1,
    IF(COUNTIFS(IM!F:F,A17,IM!AC:AC,"*"&amp;$H$5&amp;"*") + COUNTIFS('0919門市清單主檔'!C:C,B17,'0919門市清單主檔'!AH:AH,$H$5) &gt; 1,
       "V","未完工"),"-")</f>
        <v>未完工</v>
      </c>
      <c r="J17" s="253" t="str">
        <f>IF(
    COUNTIFS('0919門市清單主檔'!C:C,B17,'0919門市清單主檔'!AC:AC,$H$2)=1,
    IF(
        COUNTIFS(
            IM!F:F,A17,
            IM!AC:AC,"*"&amp;$H$2&amp;"*",
            IM!X:X,"&gt;="&amp;$M$1,
            IM!X:X,"&lt;="&amp;$M$3
        )
        + COUNTIFS('0919門市清單主檔'!C:C,B17,'0919門市清單主檔'!AC:AC,$H$2)
        &gt;1,
        "V",
        "未完工"
    ),
    "-"
)</f>
        <v>-</v>
      </c>
      <c r="K17" s="122">
        <v>45881</v>
      </c>
      <c r="L17" s="116" t="str">
        <f>VLOOKUP(A17,'0919門市清單主檔'!B:V,21,FALSE)</f>
        <v>三重區</v>
      </c>
      <c r="M17" s="153" t="str">
        <f>VLOOKUP(A17,門市總表!A:B,2,FALSE)</f>
        <v>三重三民店</v>
      </c>
      <c r="Q17" s="115" t="s">
        <v>4951</v>
      </c>
      <c r="R17" s="115"/>
    </row>
    <row r="18" spans="1:18" ht="21.6" customHeight="1">
      <c r="A18" s="116">
        <v>3676</v>
      </c>
      <c r="B18" s="116" t="str">
        <f>VLOOKUP(A18,門市總表!A:B,2,FALSE)</f>
        <v>三重田心店</v>
      </c>
      <c r="C18" s="146" t="str">
        <f>IF(COUNTIFS(IM!$F:$F,A18,IM!$AD:$AD,"O",IM!$X:$X,"&gt;="&amp;$M$1, IM!$X:$X,"&lt;"&amp;$M$2)&gt;0,"V","")</f>
        <v/>
      </c>
      <c r="D18" s="146" t="str">
        <f>IF(AND(C18&lt;&gt;"V", COUNTIFS(IM!$F:$F,A18, IM!$AD:$AD, "O", IM!$X:$X, "&gt;="&amp;$M$2, IM!$X:$X, "&lt;"&amp;$M$3)&gt;0), "V", "")</f>
        <v/>
      </c>
      <c r="E18" s="146" t="str">
        <f>IF(AND(C18&lt;&gt;"V",D18&lt;&gt;"V", COUNTIFS(IM!$F:$F, A18, IM!$AD:$AD, "O", IM!$X:$X, "&gt;="&amp;$M$3, IM!$X:$X, "&lt;"&amp;$N$3)&gt;0), "V", "")</f>
        <v/>
      </c>
      <c r="F18" s="116" t="str">
        <f>IF(VLOOKUP(A18,門市總表!A:F,6,FALSE)="新開","新開不保養",
IF(VLOOKUP(A18,門市總表!A:F,6,FALSE)="撤店","閉店不保養",IF(VLOOKUP(A18,門市總表!A:F,6,FALSE)="非當季","非當季",IF(VLOOKUP(A18,門市總表!A:F,6,FALSE)="跨季補單","跨季補單",
IF(COUNTBLANK(C18:E18)=3,"未保養","")
))))</f>
        <v>未保養</v>
      </c>
      <c r="G18" s="116" t="str">
        <f>IF(COUNTIFS('0919門市清單主檔'!C:C,B18,'0919門市清單主檔'!AF:AF,$H$3)=1,
    IF(COUNTIFS(IM!F:F,A18,IM!AC:AC,"*"&amp;$H$3&amp;"*") + COUNTIFS('0919門市清單主檔'!C:C,B18,'0919門市清單主檔'!AF:AF,$H$3) &gt; 1,
       "V","未完工"),"-")</f>
        <v>-</v>
      </c>
      <c r="H18" s="253" t="str">
        <f>IF(COUNTIFS('0919門市清單主檔'!C:C,B18,'0919門市清單主檔'!AG:AG,$H$4)=1,
    IF(COUNTIFS(IM!F:F,A18,IM!AC:AC,"*"&amp;$H$4&amp;"*") + COUNTIFS('0919門市清單主檔'!C:C,B18,'0919門市清單主檔'!AG:AG,$H$4) &gt; 1,
       "V","未完工"),"-")</f>
        <v>V</v>
      </c>
      <c r="I18" s="253" t="str">
        <f>IF(COUNTIFS('0919門市清單主檔'!C:C,B18,'0919門市清單主檔'!AH:AH,$H$5)=1,
    IF(COUNTIFS(IM!F:F,A18,IM!AC:AC,"*"&amp;$H$5&amp;"*") + COUNTIFS('0919門市清單主檔'!C:C,B18,'0919門市清單主檔'!AH:AH,$H$5) &gt; 1,
       "V","未完工"),"-")</f>
        <v>未完工</v>
      </c>
      <c r="J18" s="253" t="str">
        <f>IF(
    COUNTIFS('0919門市清單主檔'!C:C,B18,'0919門市清單主檔'!AC:AC,$H$2)=1,
    IF(
        COUNTIFS(
            IM!F:F,A18,
            IM!AC:AC,"*"&amp;$H$2&amp;"*",
            IM!X:X,"&gt;="&amp;$M$1,
            IM!X:X,"&lt;="&amp;$M$3
        )
        + COUNTIFS('0919門市清單主檔'!C:C,B18,'0919門市清單主檔'!AC:AC,$H$2)
        &gt;1,
        "V",
        "未完工"
    ),
    "-"
)</f>
        <v>-</v>
      </c>
      <c r="K18" s="122">
        <v>45860</v>
      </c>
      <c r="L18" s="116" t="str">
        <f>VLOOKUP(A18,'0919門市清單主檔'!B:V,21,FALSE)</f>
        <v>三重區</v>
      </c>
      <c r="M18" s="153" t="str">
        <f>VLOOKUP(A18,門市總表!A:B,2,FALSE)</f>
        <v>三重田心店</v>
      </c>
      <c r="Q18" s="115" t="s">
        <v>4951</v>
      </c>
      <c r="R18" s="115"/>
    </row>
    <row r="19" spans="1:18" ht="21.6" customHeight="1">
      <c r="A19" s="116">
        <v>3623</v>
      </c>
      <c r="B19" s="116" t="str">
        <f>VLOOKUP(A19,門市總表!A:B,2,FALSE)</f>
        <v>三重自強店</v>
      </c>
      <c r="C19" s="146" t="str">
        <f>IF(COUNTIFS(IM!$F:$F,A19,IM!$AD:$AD,"O",IM!$X:$X,"&gt;="&amp;$M$1, IM!$X:$X,"&lt;"&amp;$M$2)&gt;0,"V","")</f>
        <v/>
      </c>
      <c r="D19" s="146" t="str">
        <f>IF(AND(C19&lt;&gt;"V", COUNTIFS(IM!$F:$F,A19, IM!$AD:$AD, "O", IM!$X:$X, "&gt;="&amp;$M$2, IM!$X:$X, "&lt;"&amp;$M$3)&gt;0), "V", "")</f>
        <v/>
      </c>
      <c r="E19" s="146" t="str">
        <f>IF(AND(C19&lt;&gt;"V",D19&lt;&gt;"V", COUNTIFS(IM!$F:$F, A19, IM!$AD:$AD, "O", IM!$X:$X, "&gt;="&amp;$M$3, IM!$X:$X, "&lt;"&amp;$N$3)&gt;0), "V", "")</f>
        <v/>
      </c>
      <c r="F19" s="116" t="str">
        <f>IF(VLOOKUP(A19,門市總表!A:F,6,FALSE)="新開","新開不保養",
IF(VLOOKUP(A19,門市總表!A:F,6,FALSE)="撤店","閉店不保養",IF(VLOOKUP(A19,門市總表!A:F,6,FALSE)="非當季","非當季",IF(VLOOKUP(A19,門市總表!A:F,6,FALSE)="跨季補單","跨季補單",
IF(COUNTBLANK(C19:E19)=3,"未保養","")
))))</f>
        <v>未保養</v>
      </c>
      <c r="G19" s="116" t="str">
        <f>IF(COUNTIFS('0919門市清單主檔'!C:C,B19,'0919門市清單主檔'!AF:AF,$H$3)=1,
    IF(COUNTIFS(IM!F:F,A19,IM!AC:AC,"*"&amp;$H$3&amp;"*") + COUNTIFS('0919門市清單主檔'!C:C,B19,'0919門市清單主檔'!AF:AF,$H$3) &gt; 1,
       "V","未完工"),"-")</f>
        <v>-</v>
      </c>
      <c r="H19" s="253" t="str">
        <f>IF(COUNTIFS('0919門市清單主檔'!C:C,B19,'0919門市清單主檔'!AG:AG,$H$4)=1,
    IF(COUNTIFS(IM!F:F,A19,IM!AC:AC,"*"&amp;$H$4&amp;"*") + COUNTIFS('0919門市清單主檔'!C:C,B19,'0919門市清單主檔'!AG:AG,$H$4) &gt; 1,
       "V","未完工"),"-")</f>
        <v>未完工</v>
      </c>
      <c r="I19" s="253" t="str">
        <f>IF(COUNTIFS('0919門市清單主檔'!C:C,B19,'0919門市清單主檔'!AH:AH,$H$5)=1,
    IF(COUNTIFS(IM!F:F,A19,IM!AC:AC,"*"&amp;$H$5&amp;"*") + COUNTIFS('0919門市清單主檔'!C:C,B19,'0919門市清單主檔'!AH:AH,$H$5) &gt; 1,
       "V","未完工"),"-")</f>
        <v>未完工</v>
      </c>
      <c r="J19" s="253" t="str">
        <f>IF(
    COUNTIFS('0919門市清單主檔'!C:C,B19,'0919門市清單主檔'!AC:AC,$H$2)=1,
    IF(
        COUNTIFS(
            IM!F:F,A19,
            IM!AC:AC,"*"&amp;$H$2&amp;"*",
            IM!X:X,"&gt;="&amp;$M$1,
            IM!X:X,"&lt;="&amp;$M$3
        )
        + COUNTIFS('0919門市清單主檔'!C:C,B19,'0919門市清單主檔'!AC:AC,$H$2)
        &gt;1,
        "V",
        "未完工"
    ),
    "-"
)</f>
        <v>-</v>
      </c>
      <c r="K19" s="122">
        <v>45882</v>
      </c>
      <c r="L19" s="116" t="str">
        <f>VLOOKUP(A19,'0919門市清單主檔'!B:V,21,FALSE)</f>
        <v>三重區</v>
      </c>
      <c r="M19" s="153" t="str">
        <f>VLOOKUP(A19,門市總表!A:B,2,FALSE)</f>
        <v>三重自強店</v>
      </c>
      <c r="Q19" s="115" t="s">
        <v>4951</v>
      </c>
      <c r="R19" s="115"/>
    </row>
    <row r="20" spans="1:18" ht="21.6" customHeight="1">
      <c r="A20" s="116">
        <v>4155</v>
      </c>
      <c r="B20" s="116" t="str">
        <f>VLOOKUP(A20,門市總表!A:B,2,FALSE)</f>
        <v>三重穀保店</v>
      </c>
      <c r="C20" s="146" t="str">
        <f>IF(COUNTIFS(IM!$F:$F,A20,IM!$AD:$AD,"O",IM!$X:$X,"&gt;="&amp;$M$1, IM!$X:$X,"&lt;"&amp;$M$2)&gt;0,"V","")</f>
        <v/>
      </c>
      <c r="D20" s="146" t="str">
        <f>IF(AND(C20&lt;&gt;"V", COUNTIFS(IM!$F:$F,A20, IM!$AD:$AD, "O", IM!$X:$X, "&gt;="&amp;$M$2, IM!$X:$X, "&lt;"&amp;$M$3)&gt;0), "V", "")</f>
        <v/>
      </c>
      <c r="E20" s="146" t="str">
        <f>IF(AND(C20&lt;&gt;"V",D20&lt;&gt;"V", COUNTIFS(IM!$F:$F, A20, IM!$AD:$AD, "O", IM!$X:$X, "&gt;="&amp;$M$3, IM!$X:$X, "&lt;"&amp;$N$3)&gt;0), "V", "")</f>
        <v/>
      </c>
      <c r="F20" s="116" t="str">
        <f>IF(VLOOKUP(A20,門市總表!A:F,6,FALSE)="新開","新開不保養",
IF(VLOOKUP(A20,門市總表!A:F,6,FALSE)="撤店","閉店不保養",IF(VLOOKUP(A20,門市總表!A:F,6,FALSE)="非當季","非當季",IF(VLOOKUP(A20,門市總表!A:F,6,FALSE)="跨季補單","跨季補單",
IF(COUNTBLANK(C20:E20)=3,"未保養","")
))))</f>
        <v>未保養</v>
      </c>
      <c r="G20" s="116" t="str">
        <f>IF(COUNTIFS('0919門市清單主檔'!C:C,B20,'0919門市清單主檔'!AF:AF,$H$3)=1,
    IF(COUNTIFS(IM!F:F,A20,IM!AC:AC,"*"&amp;$H$3&amp;"*") + COUNTIFS('0919門市清單主檔'!C:C,B20,'0919門市清單主檔'!AF:AF,$H$3) &gt; 1,
       "V","未完工"),"-")</f>
        <v>-</v>
      </c>
      <c r="H20" s="253" t="str">
        <f>IF(COUNTIFS('0919門市清單主檔'!C:C,B20,'0919門市清單主檔'!AG:AG,$H$4)=1,
    IF(COUNTIFS(IM!F:F,A20,IM!AC:AC,"*"&amp;$H$4&amp;"*") + COUNTIFS('0919門市清單主檔'!C:C,B20,'0919門市清單主檔'!AG:AG,$H$4) &gt; 1,
       "V","未完工"),"-")</f>
        <v>V</v>
      </c>
      <c r="I20" s="253" t="str">
        <f>IF(COUNTIFS('0919門市清單主檔'!C:C,B20,'0919門市清單主檔'!AH:AH,$H$5)=1,
    IF(COUNTIFS(IM!F:F,A20,IM!AC:AC,"*"&amp;$H$5&amp;"*") + COUNTIFS('0919門市清單主檔'!C:C,B20,'0919門市清單主檔'!AH:AH,$H$5) &gt; 1,
       "V","未完工"),"-")</f>
        <v>未完工</v>
      </c>
      <c r="J20" s="253" t="str">
        <f>IF(
    COUNTIFS('0919門市清單主檔'!C:C,B20,'0919門市清單主檔'!AC:AC,$H$2)=1,
    IF(
        COUNTIFS(
            IM!F:F,A20,
            IM!AC:AC,"*"&amp;$H$2&amp;"*",
            IM!X:X,"&gt;="&amp;$M$1,
            IM!X:X,"&lt;="&amp;$M$3
        )
        + COUNTIFS('0919門市清單主檔'!C:C,B20,'0919門市清單主檔'!AC:AC,$H$2)
        &gt;1,
        "V",
        "未完工"
    ),
    "-"
)</f>
        <v>-</v>
      </c>
      <c r="K20" s="122">
        <v>45916</v>
      </c>
      <c r="L20" s="116" t="str">
        <f>VLOOKUP(A20,'0919門市清單主檔'!B:V,21,FALSE)</f>
        <v>三重區</v>
      </c>
      <c r="M20" s="153" t="str">
        <f>VLOOKUP(A20,門市總表!A:B,2,FALSE)</f>
        <v>三重穀保店</v>
      </c>
      <c r="Q20" s="115" t="s">
        <v>4951</v>
      </c>
      <c r="R20" s="115"/>
    </row>
    <row r="21" spans="1:18" ht="21.6" customHeight="1">
      <c r="A21" s="116">
        <v>4652</v>
      </c>
      <c r="B21" s="116" t="str">
        <f>VLOOKUP(A21,門市總表!A:B,2,FALSE)</f>
        <v>三重商工店</v>
      </c>
      <c r="C21" s="146" t="str">
        <f>IF(COUNTIFS(IM!$F:$F,A21,IM!$AD:$AD,"O",IM!$X:$X,"&gt;="&amp;$M$1, IM!$X:$X,"&lt;"&amp;$M$2)&gt;0,"V","")</f>
        <v/>
      </c>
      <c r="D21" s="146" t="str">
        <f>IF(AND(C21&lt;&gt;"V", COUNTIFS(IM!$F:$F,A21, IM!$AD:$AD, "O", IM!$X:$X, "&gt;="&amp;$M$2, IM!$X:$X, "&lt;"&amp;$M$3)&gt;0), "V", "")</f>
        <v/>
      </c>
      <c r="E21" s="146" t="str">
        <f>IF(AND(C21&lt;&gt;"V",D21&lt;&gt;"V", COUNTIFS(IM!$F:$F, A21, IM!$AD:$AD, "O", IM!$X:$X, "&gt;="&amp;$M$3, IM!$X:$X, "&lt;"&amp;$N$3)&gt;0), "V", "")</f>
        <v/>
      </c>
      <c r="F21" s="116" t="str">
        <f>IF(VLOOKUP(A21,門市總表!A:F,6,FALSE)="新開","新開不保養",
IF(VLOOKUP(A21,門市總表!A:F,6,FALSE)="撤店","閉店不保養",IF(VLOOKUP(A21,門市總表!A:F,6,FALSE)="非當季","非當季",IF(VLOOKUP(A21,門市總表!A:F,6,FALSE)="跨季補單","跨季補單",
IF(COUNTBLANK(C21:E21)=3,"未保養","")
))))</f>
        <v>未保養</v>
      </c>
      <c r="G21" s="116" t="str">
        <f>IF(COUNTIFS('0919門市清單主檔'!C:C,B21,'0919門市清單主檔'!AF:AF,$H$3)=1,
    IF(COUNTIFS(IM!F:F,A21,IM!AC:AC,"*"&amp;$H$3&amp;"*") + COUNTIFS('0919門市清單主檔'!C:C,B21,'0919門市清單主檔'!AF:AF,$H$3) &gt; 1,
       "V","未完工"),"-")</f>
        <v>-</v>
      </c>
      <c r="H21" s="253" t="str">
        <f>IF(COUNTIFS('0919門市清單主檔'!C:C,B21,'0919門市清單主檔'!AG:AG,$H$4)=1,
    IF(COUNTIFS(IM!F:F,A21,IM!AC:AC,"*"&amp;$H$4&amp;"*") + COUNTIFS('0919門市清單主檔'!C:C,B21,'0919門市清單主檔'!AG:AG,$H$4) &gt; 1,
       "V","未完工"),"-")</f>
        <v>V</v>
      </c>
      <c r="I21" s="253" t="str">
        <f>IF(COUNTIFS('0919門市清單主檔'!C:C,B21,'0919門市清單主檔'!AH:AH,$H$5)=1,
    IF(COUNTIFS(IM!F:F,A21,IM!AC:AC,"*"&amp;$H$5&amp;"*") + COUNTIFS('0919門市清單主檔'!C:C,B21,'0919門市清單主檔'!AH:AH,$H$5) &gt; 1,
       "V","未完工"),"-")</f>
        <v>-</v>
      </c>
      <c r="J21" s="253" t="str">
        <f>IF(
    COUNTIFS('0919門市清單主檔'!C:C,B21,'0919門市清單主檔'!AC:AC,$H$2)=1,
    IF(
        COUNTIFS(
            IM!F:F,A21,
            IM!AC:AC,"*"&amp;$H$2&amp;"*",
            IM!X:X,"&gt;="&amp;$M$1,
            IM!X:X,"&lt;="&amp;$M$3
        )
        + COUNTIFS('0919門市清單主檔'!C:C,B21,'0919門市清單主檔'!AC:AC,$H$2)
        &gt;1,
        "V",
        "未完工"
    ),
    "-"
)</f>
        <v>-</v>
      </c>
      <c r="K21" s="122">
        <v>45916</v>
      </c>
      <c r="L21" s="116" t="str">
        <f>VLOOKUP(A21,'0919門市清單主檔'!B:V,21,FALSE)</f>
        <v>三重區</v>
      </c>
      <c r="M21" s="153" t="str">
        <f>VLOOKUP(A21,門市總表!A:B,2,FALSE)</f>
        <v>三重商工店</v>
      </c>
      <c r="Q21" s="115" t="s">
        <v>4951</v>
      </c>
      <c r="R21" s="115"/>
    </row>
    <row r="22" spans="1:18" ht="21.6" customHeight="1">
      <c r="A22" s="116">
        <v>4388</v>
      </c>
      <c r="B22" s="116" t="str">
        <f>VLOOKUP(A22,門市總表!A:B,2,FALSE)</f>
        <v>三重薔薇店</v>
      </c>
      <c r="C22" s="146" t="str">
        <f>IF(COUNTIFS(IM!$F:$F,A22,IM!$AD:$AD,"O",IM!$X:$X,"&gt;="&amp;$M$1, IM!$X:$X,"&lt;"&amp;$M$2)&gt;0,"V","")</f>
        <v/>
      </c>
      <c r="D22" s="146" t="str">
        <f>IF(AND(C22&lt;&gt;"V", COUNTIFS(IM!$F:$F,A22, IM!$AD:$AD, "O", IM!$X:$X, "&gt;="&amp;$M$2, IM!$X:$X, "&lt;"&amp;$M$3)&gt;0), "V", "")</f>
        <v/>
      </c>
      <c r="E22" s="146" t="str">
        <f>IF(AND(C22&lt;&gt;"V",D22&lt;&gt;"V", COUNTIFS(IM!$F:$F, A22, IM!$AD:$AD, "O", IM!$X:$X, "&gt;="&amp;$M$3, IM!$X:$X, "&lt;"&amp;$N$3)&gt;0), "V", "")</f>
        <v/>
      </c>
      <c r="F22" s="116" t="str">
        <f>IF(VLOOKUP(A22,門市總表!A:F,6,FALSE)="新開","新開不保養",
IF(VLOOKUP(A22,門市總表!A:F,6,FALSE)="撤店","閉店不保養",IF(VLOOKUP(A22,門市總表!A:F,6,FALSE)="非當季","非當季",IF(VLOOKUP(A22,門市總表!A:F,6,FALSE)="跨季補單","跨季補單",
IF(COUNTBLANK(C22:E22)=3,"未保養","")
))))</f>
        <v>未保養</v>
      </c>
      <c r="G22" s="116" t="str">
        <f>IF(COUNTIFS('0919門市清單主檔'!C:C,B22,'0919門市清單主檔'!AF:AF,$H$3)=1,
    IF(COUNTIFS(IM!F:F,A22,IM!AC:AC,"*"&amp;$H$3&amp;"*") + COUNTIFS('0919門市清單主檔'!C:C,B22,'0919門市清單主檔'!AF:AF,$H$3) &gt; 1,
       "V","未完工"),"-")</f>
        <v>-</v>
      </c>
      <c r="H22" s="253" t="str">
        <f>IF(COUNTIFS('0919門市清單主檔'!C:C,B22,'0919門市清單主檔'!AG:AG,$H$4)=1,
    IF(COUNTIFS(IM!F:F,A22,IM!AC:AC,"*"&amp;$H$4&amp;"*") + COUNTIFS('0919門市清單主檔'!C:C,B22,'0919門市清單主檔'!AG:AG,$H$4) &gt; 1,
       "V","未完工"),"-")</f>
        <v>V</v>
      </c>
      <c r="I22" s="253" t="str">
        <f>IF(COUNTIFS('0919門市清單主檔'!C:C,B22,'0919門市清單主檔'!AH:AH,$H$5)=1,
    IF(COUNTIFS(IM!F:F,A22,IM!AC:AC,"*"&amp;$H$5&amp;"*") + COUNTIFS('0919門市清單主檔'!C:C,B22,'0919門市清單主檔'!AH:AH,$H$5) &gt; 1,
       "V","未完工"),"-")</f>
        <v>未完工</v>
      </c>
      <c r="J22" s="253" t="str">
        <f>IF(
    COUNTIFS('0919門市清單主檔'!C:C,B22,'0919門市清單主檔'!AC:AC,$H$2)=1,
    IF(
        COUNTIFS(
            IM!F:F,A22,
            IM!AC:AC,"*"&amp;$H$2&amp;"*",
            IM!X:X,"&gt;="&amp;$M$1,
            IM!X:X,"&lt;="&amp;$M$3
        )
        + COUNTIFS('0919門市清單主檔'!C:C,B22,'0919門市清單主檔'!AC:AC,$H$2)
        &gt;1,
        "V",
        "未完工"
    ),
    "-"
)</f>
        <v>-</v>
      </c>
      <c r="K22" s="122">
        <v>45886</v>
      </c>
      <c r="L22" s="116" t="str">
        <f>VLOOKUP(A22,'0919門市清單主檔'!B:V,21,FALSE)</f>
        <v>三重區</v>
      </c>
      <c r="M22" s="153" t="str">
        <f>VLOOKUP(A22,門市總表!A:B,2,FALSE)</f>
        <v>三重薔薇店</v>
      </c>
      <c r="Q22" s="115" t="s">
        <v>4951</v>
      </c>
      <c r="R22" s="115"/>
    </row>
    <row r="23" spans="1:18" ht="21.6" customHeight="1">
      <c r="A23" s="116">
        <v>4968</v>
      </c>
      <c r="B23" s="116" t="str">
        <f>VLOOKUP(A23,門市總表!A:B,2,FALSE)</f>
        <v>三重太璞宮</v>
      </c>
      <c r="C23" s="146" t="str">
        <f>IF(COUNTIFS(IM!$F:$F,A23,IM!$AD:$AD,"O",IM!$X:$X,"&gt;="&amp;$M$1, IM!$X:$X,"&lt;"&amp;$M$2)&gt;0,"V","")</f>
        <v/>
      </c>
      <c r="D23" s="146" t="str">
        <f>IF(AND(C23&lt;&gt;"V", COUNTIFS(IM!$F:$F,A23, IM!$AD:$AD, "O", IM!$X:$X, "&gt;="&amp;$M$2, IM!$X:$X, "&lt;"&amp;$M$3)&gt;0), "V", "")</f>
        <v/>
      </c>
      <c r="E23" s="146" t="str">
        <f>IF(AND(C23&lt;&gt;"V",D23&lt;&gt;"V", COUNTIFS(IM!$F:$F, A23, IM!$AD:$AD, "O", IM!$X:$X, "&gt;="&amp;$M$3, IM!$X:$X, "&lt;"&amp;$N$3)&gt;0), "V", "")</f>
        <v/>
      </c>
      <c r="F23" s="116" t="str">
        <f>IF(VLOOKUP(A23,門市總表!A:F,6,FALSE)="新開","新開不保養",
IF(VLOOKUP(A23,門市總表!A:F,6,FALSE)="撤店","閉店不保養",IF(VLOOKUP(A23,門市總表!A:F,6,FALSE)="非當季","非當季",IF(VLOOKUP(A23,門市總表!A:F,6,FALSE)="跨季補單","跨季補單",
IF(COUNTBLANK(C23:E23)=3,"未保養","")
))))</f>
        <v>未保養</v>
      </c>
      <c r="G23" s="116" t="str">
        <f>IF(COUNTIFS('0919門市清單主檔'!C:C,B23,'0919門市清單主檔'!AF:AF,$H$3)=1,
    IF(COUNTIFS(IM!F:F,A23,IM!AC:AC,"*"&amp;$H$3&amp;"*") + COUNTIFS('0919門市清單主檔'!C:C,B23,'0919門市清單主檔'!AF:AF,$H$3) &gt; 1,
       "V","未完工"),"-")</f>
        <v>-</v>
      </c>
      <c r="H23" s="253" t="str">
        <f>IF(COUNTIFS('0919門市清單主檔'!C:C,B23,'0919門市清單主檔'!AG:AG,$H$4)=1,
    IF(COUNTIFS(IM!F:F,A23,IM!AC:AC,"*"&amp;$H$4&amp;"*") + COUNTIFS('0919門市清單主檔'!C:C,B23,'0919門市清單主檔'!AG:AG,$H$4) &gt; 1,
       "V","未完工"),"-")</f>
        <v>V</v>
      </c>
      <c r="I23" s="253" t="str">
        <f>IF(COUNTIFS('0919門市清單主檔'!C:C,B23,'0919門市清單主檔'!AH:AH,$H$5)=1,
    IF(COUNTIFS(IM!F:F,A23,IM!AC:AC,"*"&amp;$H$5&amp;"*") + COUNTIFS('0919門市清單主檔'!C:C,B23,'0919門市清單主檔'!AH:AH,$H$5) &gt; 1,
       "V","未完工"),"-")</f>
        <v>未完工</v>
      </c>
      <c r="J23" s="253" t="str">
        <f>IF(
    COUNTIFS('0919門市清單主檔'!C:C,B23,'0919門市清單主檔'!AC:AC,$H$2)=1,
    IF(
        COUNTIFS(
            IM!F:F,A23,
            IM!AC:AC,"*"&amp;$H$2&amp;"*",
            IM!X:X,"&gt;="&amp;$M$1,
            IM!X:X,"&lt;="&amp;$M$3
        )
        + COUNTIFS('0919門市清單主檔'!C:C,B23,'0919門市清單主檔'!AC:AC,$H$2)
        &gt;1,
        "V",
        "未完工"
    ),
    "-"
)</f>
        <v>-</v>
      </c>
      <c r="K23" s="122">
        <v>45840</v>
      </c>
      <c r="L23" s="116" t="str">
        <f>VLOOKUP(A23,'0919門市清單主檔'!B:V,21,FALSE)</f>
        <v>三重區</v>
      </c>
      <c r="M23" s="153" t="str">
        <f>VLOOKUP(A23,門市總表!A:B,2,FALSE)</f>
        <v>三重太璞宮</v>
      </c>
      <c r="Q23" s="115" t="s">
        <v>4951</v>
      </c>
      <c r="R23" s="115"/>
    </row>
    <row r="24" spans="1:18" ht="21.6" customHeight="1">
      <c r="A24" s="116">
        <v>3983</v>
      </c>
      <c r="B24" s="116" t="str">
        <f>VLOOKUP(A24,門市總表!A:B,2,FALSE)</f>
        <v>三重星光店</v>
      </c>
      <c r="C24" s="146" t="str">
        <f>IF(COUNTIFS(IM!$F:$F,A24,IM!$AD:$AD,"O",IM!$X:$X,"&gt;="&amp;$M$1, IM!$X:$X,"&lt;"&amp;$M$2)&gt;0,"V","")</f>
        <v/>
      </c>
      <c r="D24" s="146" t="str">
        <f>IF(AND(C24&lt;&gt;"V", COUNTIFS(IM!$F:$F,A24, IM!$AD:$AD, "O", IM!$X:$X, "&gt;="&amp;$M$2, IM!$X:$X, "&lt;"&amp;$M$3)&gt;0), "V", "")</f>
        <v/>
      </c>
      <c r="E24" s="146" t="str">
        <f>IF(AND(C24&lt;&gt;"V",D24&lt;&gt;"V", COUNTIFS(IM!$F:$F, A24, IM!$AD:$AD, "O", IM!$X:$X, "&gt;="&amp;$M$3, IM!$X:$X, "&lt;"&amp;$N$3)&gt;0), "V", "")</f>
        <v/>
      </c>
      <c r="F24" s="116" t="str">
        <f>IF(VLOOKUP(A24,門市總表!A:F,6,FALSE)="新開","新開不保養",
IF(VLOOKUP(A24,門市總表!A:F,6,FALSE)="撤店","閉店不保養",IF(VLOOKUP(A24,門市總表!A:F,6,FALSE)="非當季","非當季",IF(VLOOKUP(A24,門市總表!A:F,6,FALSE)="跨季補單","跨季補單",
IF(COUNTBLANK(C24:E24)=3,"未保養","")
))))</f>
        <v>未保養</v>
      </c>
      <c r="G24" s="116" t="str">
        <f>IF(COUNTIFS('0919門市清單主檔'!C:C,B24,'0919門市清單主檔'!AF:AF,$H$3)=1,
    IF(COUNTIFS(IM!F:F,A24,IM!AC:AC,"*"&amp;$H$3&amp;"*") + COUNTIFS('0919門市清單主檔'!C:C,B24,'0919門市清單主檔'!AF:AF,$H$3) &gt; 1,
       "V","未完工"),"-")</f>
        <v>-</v>
      </c>
      <c r="H24" s="253" t="str">
        <f>IF(COUNTIFS('0919門市清單主檔'!C:C,B24,'0919門市清單主檔'!AG:AG,$H$4)=1,
    IF(COUNTIFS(IM!F:F,A24,IM!AC:AC,"*"&amp;$H$4&amp;"*") + COUNTIFS('0919門市清單主檔'!C:C,B24,'0919門市清單主檔'!AG:AG,$H$4) &gt; 1,
       "V","未完工"),"-")</f>
        <v>V</v>
      </c>
      <c r="I24" s="253" t="str">
        <f>IF(COUNTIFS('0919門市清單主檔'!C:C,B24,'0919門市清單主檔'!AH:AH,$H$5)=1,
    IF(COUNTIFS(IM!F:F,A24,IM!AC:AC,"*"&amp;$H$5&amp;"*") + COUNTIFS('0919門市清單主檔'!C:C,B24,'0919門市清單主檔'!AH:AH,$H$5) &gt; 1,
       "V","未完工"),"-")</f>
        <v>未完工</v>
      </c>
      <c r="J24" s="253" t="str">
        <f>IF(
    COUNTIFS('0919門市清單主檔'!C:C,B24,'0919門市清單主檔'!AC:AC,$H$2)=1,
    IF(
        COUNTIFS(
            IM!F:F,A24,
            IM!AC:AC,"*"&amp;$H$2&amp;"*",
            IM!X:X,"&gt;="&amp;$M$1,
            IM!X:X,"&lt;="&amp;$M$3
        )
        + COUNTIFS('0919門市清單主檔'!C:C,B24,'0919門市清單主檔'!AC:AC,$H$2)
        &gt;1,
        "V",
        "未完工"
    ),
    "-"
)</f>
        <v>-</v>
      </c>
      <c r="K24" s="122">
        <v>45925</v>
      </c>
      <c r="L24" s="116" t="str">
        <f>VLOOKUP(A24,'0919門市清單主檔'!B:V,21,FALSE)</f>
        <v>三重區</v>
      </c>
      <c r="M24" s="153" t="str">
        <f>VLOOKUP(A24,門市總表!A:B,2,FALSE)</f>
        <v>三重星光店</v>
      </c>
      <c r="Q24" s="115" t="s">
        <v>4951</v>
      </c>
      <c r="R24" s="115"/>
    </row>
    <row r="25" spans="1:18" ht="21.6" customHeight="1">
      <c r="A25" s="116" t="s">
        <v>59</v>
      </c>
      <c r="B25" s="116" t="str">
        <f>VLOOKUP(A25,門市總表!A:B,2,FALSE)</f>
        <v>三重中興北二</v>
      </c>
      <c r="C25" s="146" t="str">
        <f>IF(COUNTIFS(IM!$F:$F,A25,IM!$AD:$AD,"O",IM!$X:$X,"&gt;="&amp;$M$1, IM!$X:$X,"&lt;"&amp;$M$2)&gt;0,"V","")</f>
        <v/>
      </c>
      <c r="D25" s="146" t="str">
        <f>IF(AND(C25&lt;&gt;"V", COUNTIFS(IM!$F:$F,A25, IM!$AD:$AD, "O", IM!$X:$X, "&gt;="&amp;$M$2, IM!$X:$X, "&lt;"&amp;$M$3)&gt;0), "V", "")</f>
        <v/>
      </c>
      <c r="E25" s="146" t="str">
        <f>IF(AND(C25&lt;&gt;"V",D25&lt;&gt;"V", COUNTIFS(IM!$F:$F, A25, IM!$AD:$AD, "O", IM!$X:$X, "&gt;="&amp;$M$3, IM!$X:$X, "&lt;"&amp;$N$3)&gt;0), "V", "")</f>
        <v/>
      </c>
      <c r="F25" s="116" t="str">
        <f>IF(VLOOKUP(A25,門市總表!A:F,6,FALSE)="新開","新開不保養",
IF(VLOOKUP(A25,門市總表!A:F,6,FALSE)="撤店","閉店不保養",IF(VLOOKUP(A25,門市總表!A:F,6,FALSE)="非當季","非當季",IF(VLOOKUP(A25,門市總表!A:F,6,FALSE)="跨季補單","跨季補單",
IF(COUNTBLANK(C25:E25)=3,"未保養","")
))))</f>
        <v>未保養</v>
      </c>
      <c r="G25" s="116" t="str">
        <f>IF(COUNTIFS('0919門市清單主檔'!C:C,B25,'0919門市清單主檔'!AF:AF,$H$3)=1,
    IF(COUNTIFS(IM!F:F,A25,IM!AC:AC,"*"&amp;$H$3&amp;"*") + COUNTIFS('0919門市清單主檔'!C:C,B25,'0919門市清單主檔'!AF:AF,$H$3) &gt; 1,
       "V","未完工"),"-")</f>
        <v>-</v>
      </c>
      <c r="H25" s="253" t="str">
        <f>IF(COUNTIFS('0919門市清單主檔'!C:C,B25,'0919門市清單主檔'!AG:AG,$H$4)=1,
    IF(COUNTIFS(IM!F:F,A25,IM!AC:AC,"*"&amp;$H$4&amp;"*") + COUNTIFS('0919門市清單主檔'!C:C,B25,'0919門市清單主檔'!AG:AG,$H$4) &gt; 1,
       "V","未完工"),"-")</f>
        <v>V</v>
      </c>
      <c r="I25" s="253" t="str">
        <f>IF(COUNTIFS('0919門市清單主檔'!C:C,B25,'0919門市清單主檔'!AH:AH,$H$5)=1,
    IF(COUNTIFS(IM!F:F,A25,IM!AC:AC,"*"&amp;$H$5&amp;"*") + COUNTIFS('0919門市清單主檔'!C:C,B25,'0919門市清單主檔'!AH:AH,$H$5) &gt; 1,
       "V","未完工"),"-")</f>
        <v>未完工</v>
      </c>
      <c r="J25" s="253" t="str">
        <f>IF(
    COUNTIFS('0919門市清單主檔'!C:C,B25,'0919門市清單主檔'!AC:AC,$H$2)=1,
    IF(
        COUNTIFS(
            IM!F:F,A25,
            IM!AC:AC,"*"&amp;$H$2&amp;"*",
            IM!X:X,"&gt;="&amp;$M$1,
            IM!X:X,"&lt;="&amp;$M$3
        )
        + COUNTIFS('0919門市清單主檔'!C:C,B25,'0919門市清單主檔'!AC:AC,$H$2)
        &gt;1,
        "V",
        "未完工"
    ),
    "-"
)</f>
        <v>-</v>
      </c>
      <c r="K25" s="122">
        <v>45925</v>
      </c>
      <c r="L25" s="116" t="str">
        <f>VLOOKUP(A25,'0919門市清單主檔'!B:V,21,FALSE)</f>
        <v>三重區</v>
      </c>
      <c r="M25" s="153" t="str">
        <f>VLOOKUP(A25,門市總表!A:B,2,FALSE)</f>
        <v>三重中興北二</v>
      </c>
      <c r="Q25" s="115" t="s">
        <v>4951</v>
      </c>
      <c r="R25" s="115"/>
    </row>
    <row r="26" spans="1:18" ht="21.6" customHeight="1">
      <c r="A26" s="116" t="s">
        <v>60</v>
      </c>
      <c r="B26" s="116" t="str">
        <f>VLOOKUP(A26,門市總表!A:B,2,FALSE)</f>
        <v>北縣五華三店</v>
      </c>
      <c r="C26" s="146" t="str">
        <f>IF(COUNTIFS(IM!$F:$F,A26,IM!$AD:$AD,"O",IM!$X:$X,"&gt;="&amp;$M$1, IM!$X:$X,"&lt;"&amp;$M$2)&gt;0,"V","")</f>
        <v/>
      </c>
      <c r="D26" s="146" t="str">
        <f>IF(AND(C26&lt;&gt;"V", COUNTIFS(IM!$F:$F,A26, IM!$AD:$AD, "O", IM!$X:$X, "&gt;="&amp;$M$2, IM!$X:$X, "&lt;"&amp;$M$3)&gt;0), "V", "")</f>
        <v/>
      </c>
      <c r="E26" s="146" t="str">
        <f>IF(AND(C26&lt;&gt;"V",D26&lt;&gt;"V", COUNTIFS(IM!$F:$F, A26, IM!$AD:$AD, "O", IM!$X:$X, "&gt;="&amp;$M$3, IM!$X:$X, "&lt;"&amp;$N$3)&gt;0), "V", "")</f>
        <v/>
      </c>
      <c r="F26" s="116" t="str">
        <f>IF(VLOOKUP(A26,門市總表!A:F,6,FALSE)="新開","新開不保養",
IF(VLOOKUP(A26,門市總表!A:F,6,FALSE)="撤店","閉店不保養",IF(VLOOKUP(A26,門市總表!A:F,6,FALSE)="非當季","非當季",IF(VLOOKUP(A26,門市總表!A:F,6,FALSE)="跨季補單","跨季補單",
IF(COUNTBLANK(C26:E26)=3,"未保養","")
))))</f>
        <v>未保養</v>
      </c>
      <c r="G26" s="116" t="str">
        <f>IF(COUNTIFS('0919門市清單主檔'!C:C,B26,'0919門市清單主檔'!AF:AF,$H$3)=1,
    IF(COUNTIFS(IM!F:F,A26,IM!AC:AC,"*"&amp;$H$3&amp;"*") + COUNTIFS('0919門市清單主檔'!C:C,B26,'0919門市清單主檔'!AF:AF,$H$3) &gt; 1,
       "V","未完工"),"-")</f>
        <v>-</v>
      </c>
      <c r="H26" s="253" t="str">
        <f>IF(COUNTIFS('0919門市清單主檔'!C:C,B26,'0919門市清單主檔'!AG:AG,$H$4)=1,
    IF(COUNTIFS(IM!F:F,A26,IM!AC:AC,"*"&amp;$H$4&amp;"*") + COUNTIFS('0919門市清單主檔'!C:C,B26,'0919門市清單主檔'!AG:AG,$H$4) &gt; 1,
       "V","未完工"),"-")</f>
        <v>V</v>
      </c>
      <c r="I26" s="253" t="str">
        <f>IF(COUNTIFS('0919門市清單主檔'!C:C,B26,'0919門市清單主檔'!AH:AH,$H$5)=1,
    IF(COUNTIFS(IM!F:F,A26,IM!AC:AC,"*"&amp;$H$5&amp;"*") + COUNTIFS('0919門市清單主檔'!C:C,B26,'0919門市清單主檔'!AH:AH,$H$5) &gt; 1,
       "V","未完工"),"-")</f>
        <v>未完工</v>
      </c>
      <c r="J26" s="253" t="str">
        <f>IF(
    COUNTIFS('0919門市清單主檔'!C:C,B26,'0919門市清單主檔'!AC:AC,$H$2)=1,
    IF(
        COUNTIFS(
            IM!F:F,A26,
            IM!AC:AC,"*"&amp;$H$2&amp;"*",
            IM!X:X,"&gt;="&amp;$M$1,
            IM!X:X,"&lt;="&amp;$M$3
        )
        + COUNTIFS('0919門市清單主檔'!C:C,B26,'0919門市清單主檔'!AC:AC,$H$2)
        &gt;1,
        "V",
        "未完工"
    ),
    "-"
)</f>
        <v>-</v>
      </c>
      <c r="K26" s="122">
        <v>45904</v>
      </c>
      <c r="L26" s="116" t="str">
        <f>VLOOKUP(A26,'0919門市清單主檔'!B:V,21,FALSE)</f>
        <v>三重區</v>
      </c>
      <c r="M26" s="153" t="str">
        <f>VLOOKUP(A26,門市總表!A:B,2,FALSE)</f>
        <v>北縣五華三店</v>
      </c>
      <c r="Q26" s="115" t="s">
        <v>4951</v>
      </c>
      <c r="R26" s="115"/>
    </row>
    <row r="27" spans="1:18" ht="21.6" customHeight="1">
      <c r="A27" s="116">
        <v>3741</v>
      </c>
      <c r="B27" s="116" t="str">
        <f>VLOOKUP(A27,門市總表!A:B,2,FALSE)</f>
        <v>三重重新三</v>
      </c>
      <c r="C27" s="146" t="str">
        <f>IF(COUNTIFS(IM!$F:$F,A27,IM!$AD:$AD,"O",IM!$X:$X,"&gt;="&amp;$M$1, IM!$X:$X,"&lt;"&amp;$M$2)&gt;0,"V","")</f>
        <v/>
      </c>
      <c r="D27" s="146" t="str">
        <f>IF(AND(C27&lt;&gt;"V", COUNTIFS(IM!$F:$F,A27, IM!$AD:$AD, "O", IM!$X:$X, "&gt;="&amp;$M$2, IM!$X:$X, "&lt;"&amp;$M$3)&gt;0), "V", "")</f>
        <v/>
      </c>
      <c r="E27" s="146" t="str">
        <f>IF(AND(C27&lt;&gt;"V",D27&lt;&gt;"V", COUNTIFS(IM!$F:$F, A27, IM!$AD:$AD, "O", IM!$X:$X, "&gt;="&amp;$M$3, IM!$X:$X, "&lt;"&amp;$N$3)&gt;0), "V", "")</f>
        <v/>
      </c>
      <c r="F27" s="116" t="str">
        <f>IF(VLOOKUP(A27,門市總表!A:F,6,FALSE)="新開","新開不保養",
IF(VLOOKUP(A27,門市總表!A:F,6,FALSE)="撤店","閉店不保養",IF(VLOOKUP(A27,門市總表!A:F,6,FALSE)="非當季","非當季",IF(VLOOKUP(A27,門市總表!A:F,6,FALSE)="跨季補單","跨季補單",
IF(COUNTBLANK(C27:E27)=3,"未保養","")
))))</f>
        <v>未保養</v>
      </c>
      <c r="G27" s="116" t="str">
        <f>IF(COUNTIFS('0919門市清單主檔'!C:C,B27,'0919門市清單主檔'!AF:AF,$H$3)=1,
    IF(COUNTIFS(IM!F:F,A27,IM!AC:AC,"*"&amp;$H$3&amp;"*") + COUNTIFS('0919門市清單主檔'!C:C,B27,'0919門市清單主檔'!AF:AF,$H$3) &gt; 1,
       "V","未完工"),"-")</f>
        <v>-</v>
      </c>
      <c r="H27" s="253" t="str">
        <f>IF(COUNTIFS('0919門市清單主檔'!C:C,B27,'0919門市清單主檔'!AG:AG,$H$4)=1,
    IF(COUNTIFS(IM!F:F,A27,IM!AC:AC,"*"&amp;$H$4&amp;"*") + COUNTIFS('0919門市清單主檔'!C:C,B27,'0919門市清單主檔'!AG:AG,$H$4) &gt; 1,
       "V","未完工"),"-")</f>
        <v>V</v>
      </c>
      <c r="I27" s="253" t="str">
        <f>IF(COUNTIFS('0919門市清單主檔'!C:C,B27,'0919門市清單主檔'!AH:AH,$H$5)=1,
    IF(COUNTIFS(IM!F:F,A27,IM!AC:AC,"*"&amp;$H$5&amp;"*") + COUNTIFS('0919門市清單主檔'!C:C,B27,'0919門市清單主檔'!AH:AH,$H$5) &gt; 1,
       "V","未完工"),"-")</f>
        <v>-</v>
      </c>
      <c r="J27" s="253" t="str">
        <f>IF(
    COUNTIFS('0919門市清單主檔'!C:C,B27,'0919門市清單主檔'!AC:AC,$H$2)=1,
    IF(
        COUNTIFS(
            IM!F:F,A27,
            IM!AC:AC,"*"&amp;$H$2&amp;"*",
            IM!X:X,"&gt;="&amp;$M$1,
            IM!X:X,"&lt;="&amp;$M$3
        )
        + COUNTIFS('0919門市清單主檔'!C:C,B27,'0919門市清單主檔'!AC:AC,$H$2)
        &gt;1,
        "V",
        "未完工"
    ),
    "-"
)</f>
        <v>-</v>
      </c>
      <c r="K27" s="122">
        <v>45904</v>
      </c>
      <c r="L27" s="116" t="str">
        <f>VLOOKUP(A27,'0919門市清單主檔'!B:V,21,FALSE)</f>
        <v>三重區</v>
      </c>
      <c r="M27" s="153" t="str">
        <f>VLOOKUP(A27,門市總表!A:B,2,FALSE)</f>
        <v>三重重新三</v>
      </c>
      <c r="Q27" s="115" t="s">
        <v>4951</v>
      </c>
      <c r="R27" s="115"/>
    </row>
    <row r="28" spans="1:18" ht="21.6" customHeight="1">
      <c r="A28" s="116">
        <v>2321</v>
      </c>
      <c r="B28" s="116" t="str">
        <f>VLOOKUP(A28,門市總表!A:B,2,FALSE)</f>
        <v>三重同安店</v>
      </c>
      <c r="C28" s="146" t="str">
        <f>IF(COUNTIFS(IM!$F:$F,A28,IM!$AD:$AD,"O",IM!$X:$X,"&gt;="&amp;$M$1, IM!$X:$X,"&lt;"&amp;$M$2)&gt;0,"V","")</f>
        <v/>
      </c>
      <c r="D28" s="146" t="str">
        <f>IF(AND(C28&lt;&gt;"V", COUNTIFS(IM!$F:$F,A28, IM!$AD:$AD, "O", IM!$X:$X, "&gt;="&amp;$M$2, IM!$X:$X, "&lt;"&amp;$M$3)&gt;0), "V", "")</f>
        <v/>
      </c>
      <c r="E28" s="146" t="str">
        <f>IF(AND(C28&lt;&gt;"V",D28&lt;&gt;"V", COUNTIFS(IM!$F:$F, A28, IM!$AD:$AD, "O", IM!$X:$X, "&gt;="&amp;$M$3, IM!$X:$X, "&lt;"&amp;$N$3)&gt;0), "V", "")</f>
        <v/>
      </c>
      <c r="F28" s="116" t="str">
        <f>IF(VLOOKUP(A28,門市總表!A:F,6,FALSE)="新開","新開不保養",
IF(VLOOKUP(A28,門市總表!A:F,6,FALSE)="撤店","閉店不保養",IF(VLOOKUP(A28,門市總表!A:F,6,FALSE)="非當季","非當季",IF(VLOOKUP(A28,門市總表!A:F,6,FALSE)="跨季補單","跨季補單",
IF(COUNTBLANK(C28:E28)=3,"未保養","")
))))</f>
        <v>未保養</v>
      </c>
      <c r="G28" s="116" t="str">
        <f>IF(COUNTIFS('0919門市清單主檔'!C:C,B28,'0919門市清單主檔'!AF:AF,$H$3)=1,
    IF(COUNTIFS(IM!F:F,A28,IM!AC:AC,"*"&amp;$H$3&amp;"*") + COUNTIFS('0919門市清單主檔'!C:C,B28,'0919門市清單主檔'!AF:AF,$H$3) &gt; 1,
       "V","未完工"),"-")</f>
        <v>-</v>
      </c>
      <c r="H28" s="253" t="str">
        <f>IF(COUNTIFS('0919門市清單主檔'!C:C,B28,'0919門市清單主檔'!AG:AG,$H$4)=1,
    IF(COUNTIFS(IM!F:F,A28,IM!AC:AC,"*"&amp;$H$4&amp;"*") + COUNTIFS('0919門市清單主檔'!C:C,B28,'0919門市清單主檔'!AG:AG,$H$4) &gt; 1,
       "V","未完工"),"-")</f>
        <v>V</v>
      </c>
      <c r="I28" s="253" t="str">
        <f>IF(COUNTIFS('0919門市清單主檔'!C:C,B28,'0919門市清單主檔'!AH:AH,$H$5)=1,
    IF(COUNTIFS(IM!F:F,A28,IM!AC:AC,"*"&amp;$H$5&amp;"*") + COUNTIFS('0919門市清單主檔'!C:C,B28,'0919門市清單主檔'!AH:AH,$H$5) &gt; 1,
       "V","未完工"),"-")</f>
        <v>未完工</v>
      </c>
      <c r="J28" s="253" t="str">
        <f>IF(
    COUNTIFS('0919門市清單主檔'!C:C,B28,'0919門市清單主檔'!AC:AC,$H$2)=1,
    IF(
        COUNTIFS(
            IM!F:F,A28,
            IM!AC:AC,"*"&amp;$H$2&amp;"*",
            IM!X:X,"&gt;="&amp;$M$1,
            IM!X:X,"&lt;="&amp;$M$3
        )
        + COUNTIFS('0919門市清單主檔'!C:C,B28,'0919門市清單主檔'!AC:AC,$H$2)
        &gt;1,
        "V",
        "未完工"
    ),
    "-"
)</f>
        <v>-</v>
      </c>
      <c r="K28" s="122">
        <v>45887</v>
      </c>
      <c r="L28" s="116" t="str">
        <f>VLOOKUP(A28,'0919門市清單主檔'!B:V,21,FALSE)</f>
        <v>三重區</v>
      </c>
      <c r="M28" s="153" t="str">
        <f>VLOOKUP(A28,門市總表!A:B,2,FALSE)</f>
        <v>三重同安店</v>
      </c>
      <c r="Q28" s="115" t="s">
        <v>4951</v>
      </c>
      <c r="R28" s="115"/>
    </row>
    <row r="29" spans="1:18" ht="21.6" customHeight="1">
      <c r="A29" s="116">
        <v>4134</v>
      </c>
      <c r="B29" s="116" t="str">
        <f>VLOOKUP(A29,門市總表!A:B,2,FALSE)</f>
        <v>三重大同南</v>
      </c>
      <c r="C29" s="146" t="str">
        <f>IF(COUNTIFS(IM!$F:$F,A29,IM!$AD:$AD,"O",IM!$X:$X,"&gt;="&amp;$M$1, IM!$X:$X,"&lt;"&amp;$M$2)&gt;0,"V","")</f>
        <v/>
      </c>
      <c r="D29" s="146" t="str">
        <f>IF(AND(C29&lt;&gt;"V", COUNTIFS(IM!$F:$F,A29, IM!$AD:$AD, "O", IM!$X:$X, "&gt;="&amp;$M$2, IM!$X:$X, "&lt;"&amp;$M$3)&gt;0), "V", "")</f>
        <v/>
      </c>
      <c r="E29" s="146" t="str">
        <f>IF(AND(C29&lt;&gt;"V",D29&lt;&gt;"V", COUNTIFS(IM!$F:$F, A29, IM!$AD:$AD, "O", IM!$X:$X, "&gt;="&amp;$M$3, IM!$X:$X, "&lt;"&amp;$N$3)&gt;0), "V", "")</f>
        <v/>
      </c>
      <c r="F29" s="116" t="str">
        <f>IF(VLOOKUP(A29,門市總表!A:F,6,FALSE)="新開","新開不保養",
IF(VLOOKUP(A29,門市總表!A:F,6,FALSE)="撤店","閉店不保養",IF(VLOOKUP(A29,門市總表!A:F,6,FALSE)="非當季","非當季",IF(VLOOKUP(A29,門市總表!A:F,6,FALSE)="跨季補單","跨季補單",
IF(COUNTBLANK(C29:E29)=3,"未保養","")
))))</f>
        <v>未保養</v>
      </c>
      <c r="G29" s="116" t="str">
        <f>IF(COUNTIFS('0919門市清單主檔'!C:C,B29,'0919門市清單主檔'!AF:AF,$H$3)=1,
    IF(COUNTIFS(IM!F:F,A29,IM!AC:AC,"*"&amp;$H$3&amp;"*") + COUNTIFS('0919門市清單主檔'!C:C,B29,'0919門市清單主檔'!AF:AF,$H$3) &gt; 1,
       "V","未完工"),"-")</f>
        <v>-</v>
      </c>
      <c r="H29" s="253" t="str">
        <f>IF(COUNTIFS('0919門市清單主檔'!C:C,B29,'0919門市清單主檔'!AG:AG,$H$4)=1,
    IF(COUNTIFS(IM!F:F,A29,IM!AC:AC,"*"&amp;$H$4&amp;"*") + COUNTIFS('0919門市清單主檔'!C:C,B29,'0919門市清單主檔'!AG:AG,$H$4) &gt; 1,
       "V","未完工"),"-")</f>
        <v>V</v>
      </c>
      <c r="I29" s="253" t="str">
        <f>IF(COUNTIFS('0919門市清單主檔'!C:C,B29,'0919門市清單主檔'!AH:AH,$H$5)=1,
    IF(COUNTIFS(IM!F:F,A29,IM!AC:AC,"*"&amp;$H$5&amp;"*") + COUNTIFS('0919門市清單主檔'!C:C,B29,'0919門市清單主檔'!AH:AH,$H$5) &gt; 1,
       "V","未完工"),"-")</f>
        <v>未完工</v>
      </c>
      <c r="J29" s="253" t="str">
        <f>IF(
    COUNTIFS('0919門市清單主檔'!C:C,B29,'0919門市清單主檔'!AC:AC,$H$2)=1,
    IF(
        COUNTIFS(
            IM!F:F,A29,
            IM!AC:AC,"*"&amp;$H$2&amp;"*",
            IM!X:X,"&gt;="&amp;$M$1,
            IM!X:X,"&lt;="&amp;$M$3
        )
        + COUNTIFS('0919門市清單主檔'!C:C,B29,'0919門市清單主檔'!AC:AC,$H$2)
        &gt;1,
        "V",
        "未完工"
    ),
    "-"
)</f>
        <v>-</v>
      </c>
      <c r="K29" s="122">
        <v>45925</v>
      </c>
      <c r="L29" s="116" t="str">
        <f>VLOOKUP(A29,'0919門市清單主檔'!B:V,21,FALSE)</f>
        <v>三重區</v>
      </c>
      <c r="M29" s="153" t="str">
        <f>VLOOKUP(A29,門市總表!A:B,2,FALSE)</f>
        <v>三重大同南</v>
      </c>
      <c r="Q29" s="115" t="s">
        <v>4951</v>
      </c>
      <c r="R29" s="115"/>
    </row>
    <row r="30" spans="1:18" ht="21.6" customHeight="1">
      <c r="A30" s="116">
        <v>2302</v>
      </c>
      <c r="B30" s="116" t="str">
        <f>VLOOKUP(A30,門市總表!A:B,2,FALSE)</f>
        <v>三重重安店</v>
      </c>
      <c r="C30" s="146" t="str">
        <f>IF(COUNTIFS(IM!$F:$F,A30,IM!$AD:$AD,"O",IM!$X:$X,"&gt;="&amp;$M$1, IM!$X:$X,"&lt;"&amp;$M$2)&gt;0,"V","")</f>
        <v/>
      </c>
      <c r="D30" s="146" t="str">
        <f>IF(AND(C30&lt;&gt;"V", COUNTIFS(IM!$F:$F,A30, IM!$AD:$AD, "O", IM!$X:$X, "&gt;="&amp;$M$2, IM!$X:$X, "&lt;"&amp;$M$3)&gt;0), "V", "")</f>
        <v/>
      </c>
      <c r="E30" s="146" t="str">
        <f>IF(AND(C30&lt;&gt;"V",D30&lt;&gt;"V", COUNTIFS(IM!$F:$F, A30, IM!$AD:$AD, "O", IM!$X:$X, "&gt;="&amp;$M$3, IM!$X:$X, "&lt;"&amp;$N$3)&gt;0), "V", "")</f>
        <v/>
      </c>
      <c r="F30" s="116" t="str">
        <f>IF(VLOOKUP(A30,門市總表!A:F,6,FALSE)="新開","新開不保養",
IF(VLOOKUP(A30,門市總表!A:F,6,FALSE)="撤店","閉店不保養",IF(VLOOKUP(A30,門市總表!A:F,6,FALSE)="非當季","非當季",IF(VLOOKUP(A30,門市總表!A:F,6,FALSE)="跨季補單","跨季補單",
IF(COUNTBLANK(C30:E30)=3,"未保養","")
))))</f>
        <v>未保養</v>
      </c>
      <c r="G30" s="116" t="str">
        <f>IF(COUNTIFS('0919門市清單主檔'!C:C,B30,'0919門市清單主檔'!AF:AF,$H$3)=1,
    IF(COUNTIFS(IM!F:F,A30,IM!AC:AC,"*"&amp;$H$3&amp;"*") + COUNTIFS('0919門市清單主檔'!C:C,B30,'0919門市清單主檔'!AF:AF,$H$3) &gt; 1,
       "V","未完工"),"-")</f>
        <v>-</v>
      </c>
      <c r="H30" s="253" t="str">
        <f>IF(COUNTIFS('0919門市清單主檔'!C:C,B30,'0919門市清單主檔'!AG:AG,$H$4)=1,
    IF(COUNTIFS(IM!F:F,A30,IM!AC:AC,"*"&amp;$H$4&amp;"*") + COUNTIFS('0919門市清單主檔'!C:C,B30,'0919門市清單主檔'!AG:AG,$H$4) &gt; 1,
       "V","未完工"),"-")</f>
        <v>V</v>
      </c>
      <c r="I30" s="253" t="str">
        <f>IF(COUNTIFS('0919門市清單主檔'!C:C,B30,'0919門市清單主檔'!AH:AH,$H$5)=1,
    IF(COUNTIFS(IM!F:F,A30,IM!AC:AC,"*"&amp;$H$5&amp;"*") + COUNTIFS('0919門市清單主檔'!C:C,B30,'0919門市清單主檔'!AH:AH,$H$5) &gt; 1,
       "V","未完工"),"-")</f>
        <v>未完工</v>
      </c>
      <c r="J30" s="253" t="str">
        <f>IF(
    COUNTIFS('0919門市清單主檔'!C:C,B30,'0919門市清單主檔'!AC:AC,$H$2)=1,
    IF(
        COUNTIFS(
            IM!F:F,A30,
            IM!AC:AC,"*"&amp;$H$2&amp;"*",
            IM!X:X,"&gt;="&amp;$M$1,
            IM!X:X,"&lt;="&amp;$M$3
        )
        + COUNTIFS('0919門市清單主檔'!C:C,B30,'0919門市清單主檔'!AC:AC,$H$2)
        &gt;1,
        "V",
        "未完工"
    ),
    "-"
)</f>
        <v>-</v>
      </c>
      <c r="K30" s="122">
        <v>45904</v>
      </c>
      <c r="L30" s="116" t="str">
        <f>VLOOKUP(A30,'0919門市清單主檔'!B:V,21,FALSE)</f>
        <v>三重區</v>
      </c>
      <c r="M30" s="153" t="str">
        <f>VLOOKUP(A30,門市總表!A:B,2,FALSE)</f>
        <v>三重重安店</v>
      </c>
      <c r="Q30" s="115" t="s">
        <v>4951</v>
      </c>
      <c r="R30" s="115"/>
    </row>
    <row r="31" spans="1:18" ht="21.6" customHeight="1">
      <c r="A31" s="116" t="s">
        <v>62</v>
      </c>
      <c r="B31" s="116" t="str">
        <f>VLOOKUP(A31,門市總表!A:B,2,FALSE)</f>
        <v>三重正義北店</v>
      </c>
      <c r="C31" s="146" t="str">
        <f>IF(COUNTIFS(IM!$F:$F,A31,IM!$AD:$AD,"O",IM!$X:$X,"&gt;="&amp;$M$1, IM!$X:$X,"&lt;"&amp;$M$2)&gt;0,"V","")</f>
        <v/>
      </c>
      <c r="D31" s="146" t="str">
        <f>IF(AND(C31&lt;&gt;"V", COUNTIFS(IM!$F:$F,A31, IM!$AD:$AD, "O", IM!$X:$X, "&gt;="&amp;$M$2, IM!$X:$X, "&lt;"&amp;$M$3)&gt;0), "V", "")</f>
        <v/>
      </c>
      <c r="E31" s="146" t="str">
        <f>IF(AND(C31&lt;&gt;"V",D31&lt;&gt;"V", COUNTIFS(IM!$F:$F, A31, IM!$AD:$AD, "O", IM!$X:$X, "&gt;="&amp;$M$3, IM!$X:$X, "&lt;"&amp;$N$3)&gt;0), "V", "")</f>
        <v/>
      </c>
      <c r="F31" s="116" t="str">
        <f>IF(VLOOKUP(A31,門市總表!A:F,6,FALSE)="新開","新開不保養",
IF(VLOOKUP(A31,門市總表!A:F,6,FALSE)="撤店","閉店不保養",IF(VLOOKUP(A31,門市總表!A:F,6,FALSE)="非當季","非當季",IF(VLOOKUP(A31,門市總表!A:F,6,FALSE)="跨季補單","跨季補單",
IF(COUNTBLANK(C31:E31)=3,"未保養","")
))))</f>
        <v>未保養</v>
      </c>
      <c r="G31" s="116" t="str">
        <f>IF(COUNTIFS('0919門市清單主檔'!C:C,B31,'0919門市清單主檔'!AF:AF,$H$3)=1,
    IF(COUNTIFS(IM!F:F,A31,IM!AC:AC,"*"&amp;$H$3&amp;"*") + COUNTIFS('0919門市清單主檔'!C:C,B31,'0919門市清單主檔'!AF:AF,$H$3) &gt; 1,
       "V","未完工"),"-")</f>
        <v>-</v>
      </c>
      <c r="H31" s="253" t="str">
        <f>IF(COUNTIFS('0919門市清單主檔'!C:C,B31,'0919門市清單主檔'!AG:AG,$H$4)=1,
    IF(COUNTIFS(IM!F:F,A31,IM!AC:AC,"*"&amp;$H$4&amp;"*") + COUNTIFS('0919門市清單主檔'!C:C,B31,'0919門市清單主檔'!AG:AG,$H$4) &gt; 1,
       "V","未完工"),"-")</f>
        <v>V</v>
      </c>
      <c r="I31" s="253" t="str">
        <f>IF(COUNTIFS('0919門市清單主檔'!C:C,B31,'0919門市清單主檔'!AH:AH,$H$5)=1,
    IF(COUNTIFS(IM!F:F,A31,IM!AC:AC,"*"&amp;$H$5&amp;"*") + COUNTIFS('0919門市清單主檔'!C:C,B31,'0919門市清單主檔'!AH:AH,$H$5) &gt; 1,
       "V","未完工"),"-")</f>
        <v>未完工</v>
      </c>
      <c r="J31" s="253" t="str">
        <f>IF(
    COUNTIFS('0919門市清單主檔'!C:C,B31,'0919門市清單主檔'!AC:AC,$H$2)=1,
    IF(
        COUNTIFS(
            IM!F:F,A31,
            IM!AC:AC,"*"&amp;$H$2&amp;"*",
            IM!X:X,"&gt;="&amp;$M$1,
            IM!X:X,"&lt;="&amp;$M$3
        )
        + COUNTIFS('0919門市清單主檔'!C:C,B31,'0919門市清單主檔'!AC:AC,$H$2)
        &gt;1,
        "V",
        "未完工"
    ),
    "-"
)</f>
        <v>-</v>
      </c>
      <c r="K31" s="122">
        <v>45874</v>
      </c>
      <c r="L31" s="116" t="str">
        <f>VLOOKUP(A31,'0919門市清單主檔'!B:V,21,FALSE)</f>
        <v>三重區</v>
      </c>
      <c r="M31" s="153" t="str">
        <f>VLOOKUP(A31,門市總表!A:B,2,FALSE)</f>
        <v>三重正義北店</v>
      </c>
      <c r="Q31" s="115" t="s">
        <v>4951</v>
      </c>
      <c r="R31" s="115"/>
    </row>
    <row r="32" spans="1:18" ht="21.6" customHeight="1">
      <c r="A32" s="116">
        <v>4560</v>
      </c>
      <c r="B32" s="116" t="str">
        <f>VLOOKUP(A32,門市總表!A:B,2,FALSE)</f>
        <v>三重大院店</v>
      </c>
      <c r="C32" s="146" t="str">
        <f>IF(COUNTIFS(IM!$F:$F,A32,IM!$AD:$AD,"O",IM!$X:$X,"&gt;="&amp;$M$1, IM!$X:$X,"&lt;"&amp;$M$2)&gt;0,"V","")</f>
        <v/>
      </c>
      <c r="D32" s="146" t="str">
        <f>IF(AND(C32&lt;&gt;"V", COUNTIFS(IM!$F:$F,A32, IM!$AD:$AD, "O", IM!$X:$X, "&gt;="&amp;$M$2, IM!$X:$X, "&lt;"&amp;$M$3)&gt;0), "V", "")</f>
        <v/>
      </c>
      <c r="E32" s="146" t="str">
        <f>IF(AND(C32&lt;&gt;"V",D32&lt;&gt;"V", COUNTIFS(IM!$F:$F, A32, IM!$AD:$AD, "O", IM!$X:$X, "&gt;="&amp;$M$3, IM!$X:$X, "&lt;"&amp;$N$3)&gt;0), "V", "")</f>
        <v/>
      </c>
      <c r="F32" s="116" t="str">
        <f>IF(VLOOKUP(A32,門市總表!A:F,6,FALSE)="新開","新開不保養",
IF(VLOOKUP(A32,門市總表!A:F,6,FALSE)="撤店","閉店不保養",IF(VLOOKUP(A32,門市總表!A:F,6,FALSE)="非當季","非當季",IF(VLOOKUP(A32,門市總表!A:F,6,FALSE)="跨季補單","跨季補單",
IF(COUNTBLANK(C32:E32)=3,"未保養","")
))))</f>
        <v>未保養</v>
      </c>
      <c r="G32" s="116" t="str">
        <f>IF(COUNTIFS('0919門市清單主檔'!C:C,B32,'0919門市清單主檔'!AF:AF,$H$3)=1,
    IF(COUNTIFS(IM!F:F,A32,IM!AC:AC,"*"&amp;$H$3&amp;"*") + COUNTIFS('0919門市清單主檔'!C:C,B32,'0919門市清單主檔'!AF:AF,$H$3) &gt; 1,
       "V","未完工"),"-")</f>
        <v>-</v>
      </c>
      <c r="H32" s="253" t="str">
        <f>IF(COUNTIFS('0919門市清單主檔'!C:C,B32,'0919門市清單主檔'!AG:AG,$H$4)=1,
    IF(COUNTIFS(IM!F:F,A32,IM!AC:AC,"*"&amp;$H$4&amp;"*") + COUNTIFS('0919門市清單主檔'!C:C,B32,'0919門市清單主檔'!AG:AG,$H$4) &gt; 1,
       "V","未完工"),"-")</f>
        <v>V</v>
      </c>
      <c r="I32" s="253" t="str">
        <f>IF(COUNTIFS('0919門市清單主檔'!C:C,B32,'0919門市清單主檔'!AH:AH,$H$5)=1,
    IF(COUNTIFS(IM!F:F,A32,IM!AC:AC,"*"&amp;$H$5&amp;"*") + COUNTIFS('0919門市清單主檔'!C:C,B32,'0919門市清單主檔'!AH:AH,$H$5) &gt; 1,
       "V","未完工"),"-")</f>
        <v>未完工</v>
      </c>
      <c r="J32" s="253" t="str">
        <f>IF(
    COUNTIFS('0919門市清單主檔'!C:C,B32,'0919門市清單主檔'!AC:AC,$H$2)=1,
    IF(
        COUNTIFS(
            IM!F:F,A32,
            IM!AC:AC,"*"&amp;$H$2&amp;"*",
            IM!X:X,"&gt;="&amp;$M$1,
            IM!X:X,"&lt;="&amp;$M$3
        )
        + COUNTIFS('0919門市清單主檔'!C:C,B32,'0919門市清單主檔'!AC:AC,$H$2)
        &gt;1,
        "V",
        "未完工"
    ),
    "-"
)</f>
        <v>-</v>
      </c>
      <c r="K32" s="122">
        <v>45894</v>
      </c>
      <c r="L32" s="116" t="str">
        <f>VLOOKUP(A32,'0919門市清單主檔'!B:V,21,FALSE)</f>
        <v>三重區</v>
      </c>
      <c r="M32" s="153" t="str">
        <f>VLOOKUP(A32,門市總表!A:B,2,FALSE)</f>
        <v>三重大院店</v>
      </c>
      <c r="Q32" s="115" t="s">
        <v>4951</v>
      </c>
      <c r="R32" s="115"/>
    </row>
    <row r="33" spans="1:18" ht="21.6" customHeight="1">
      <c r="A33" s="116">
        <v>2042</v>
      </c>
      <c r="B33" s="116" t="str">
        <f>VLOOKUP(A33,門市總表!A:B,2,FALSE)</f>
        <v>三重中央北店</v>
      </c>
      <c r="C33" s="146" t="str">
        <f>IF(COUNTIFS(IM!$F:$F,A33,IM!$AD:$AD,"O",IM!$X:$X,"&gt;="&amp;$M$1, IM!$X:$X,"&lt;"&amp;$M$2)&gt;0,"V","")</f>
        <v/>
      </c>
      <c r="D33" s="146" t="str">
        <f>IF(AND(C33&lt;&gt;"V", COUNTIFS(IM!$F:$F,A33, IM!$AD:$AD, "O", IM!$X:$X, "&gt;="&amp;$M$2, IM!$X:$X, "&lt;"&amp;$M$3)&gt;0), "V", "")</f>
        <v/>
      </c>
      <c r="E33" s="146" t="str">
        <f>IF(AND(C33&lt;&gt;"V",D33&lt;&gt;"V", COUNTIFS(IM!$F:$F, A33, IM!$AD:$AD, "O", IM!$X:$X, "&gt;="&amp;$M$3, IM!$X:$X, "&lt;"&amp;$N$3)&gt;0), "V", "")</f>
        <v/>
      </c>
      <c r="F33" s="116" t="str">
        <f>IF(VLOOKUP(A33,門市總表!A:F,6,FALSE)="新開","新開不保養",
IF(VLOOKUP(A33,門市總表!A:F,6,FALSE)="撤店","閉店不保養",IF(VLOOKUP(A33,門市總表!A:F,6,FALSE)="非當季","非當季",IF(VLOOKUP(A33,門市總表!A:F,6,FALSE)="跨季補單","跨季補單",
IF(COUNTBLANK(C33:E33)=3,"未保養","")
))))</f>
        <v>未保養</v>
      </c>
      <c r="G33" s="116" t="str">
        <f>IF(COUNTIFS('0919門市清單主檔'!C:C,B33,'0919門市清單主檔'!AF:AF,$H$3)=1,
    IF(COUNTIFS(IM!F:F,A33,IM!AC:AC,"*"&amp;$H$3&amp;"*") + COUNTIFS('0919門市清單主檔'!C:C,B33,'0919門市清單主檔'!AF:AF,$H$3) &gt; 1,
       "V","未完工"),"-")</f>
        <v>-</v>
      </c>
      <c r="H33" s="253" t="str">
        <f>IF(COUNTIFS('0919門市清單主檔'!C:C,B33,'0919門市清單主檔'!AG:AG,$H$4)=1,
    IF(COUNTIFS(IM!F:F,A33,IM!AC:AC,"*"&amp;$H$4&amp;"*") + COUNTIFS('0919門市清單主檔'!C:C,B33,'0919門市清單主檔'!AG:AG,$H$4) &gt; 1,
       "V","未完工"),"-")</f>
        <v>V</v>
      </c>
      <c r="I33" s="253" t="str">
        <f>IF(COUNTIFS('0919門市清單主檔'!C:C,B33,'0919門市清單主檔'!AH:AH,$H$5)=1,
    IF(COUNTIFS(IM!F:F,A33,IM!AC:AC,"*"&amp;$H$5&amp;"*") + COUNTIFS('0919門市清單主檔'!C:C,B33,'0919門市清單主檔'!AH:AH,$H$5) &gt; 1,
       "V","未完工"),"-")</f>
        <v>未完工</v>
      </c>
      <c r="J33" s="253" t="str">
        <f>IF(
    COUNTIFS('0919門市清單主檔'!C:C,B33,'0919門市清單主檔'!AC:AC,$H$2)=1,
    IF(
        COUNTIFS(
            IM!F:F,A33,
            IM!AC:AC,"*"&amp;$H$2&amp;"*",
            IM!X:X,"&gt;="&amp;$M$1,
            IM!X:X,"&lt;="&amp;$M$3
        )
        + COUNTIFS('0919門市清單主檔'!C:C,B33,'0919門市清單主檔'!AC:AC,$H$2)
        &gt;1,
        "V",
        "未完工"
    ),
    "-"
)</f>
        <v>-</v>
      </c>
      <c r="K33" s="122">
        <v>45876</v>
      </c>
      <c r="L33" s="116" t="str">
        <f>VLOOKUP(A33,'0919門市清單主檔'!B:V,21,FALSE)</f>
        <v>三重區</v>
      </c>
      <c r="M33" s="153" t="str">
        <f>VLOOKUP(A33,門市總表!A:B,2,FALSE)</f>
        <v>三重中央北店</v>
      </c>
      <c r="Q33" s="115" t="s">
        <v>4951</v>
      </c>
      <c r="R33" s="115"/>
    </row>
    <row r="34" spans="1:18" ht="21.6" customHeight="1">
      <c r="A34" s="116">
        <v>2935</v>
      </c>
      <c r="B34" s="116" t="str">
        <f>VLOOKUP(A34,門市總表!A:B,2,FALSE)</f>
        <v>三重夜市口</v>
      </c>
      <c r="C34" s="146" t="str">
        <f>IF(COUNTIFS(IM!$F:$F,A34,IM!$AD:$AD,"O",IM!$X:$X,"&gt;="&amp;$M$1, IM!$X:$X,"&lt;"&amp;$M$2)&gt;0,"V","")</f>
        <v/>
      </c>
      <c r="D34" s="146" t="str">
        <f>IF(AND(C34&lt;&gt;"V", COUNTIFS(IM!$F:$F,A34, IM!$AD:$AD, "O", IM!$X:$X, "&gt;="&amp;$M$2, IM!$X:$X, "&lt;"&amp;$M$3)&gt;0), "V", "")</f>
        <v/>
      </c>
      <c r="E34" s="146" t="str">
        <f>IF(AND(C34&lt;&gt;"V",D34&lt;&gt;"V", COUNTIFS(IM!$F:$F, A34, IM!$AD:$AD, "O", IM!$X:$X, "&gt;="&amp;$M$3, IM!$X:$X, "&lt;"&amp;$N$3)&gt;0), "V", "")</f>
        <v/>
      </c>
      <c r="F34" s="116" t="str">
        <f>IF(VLOOKUP(A34,門市總表!A:F,6,FALSE)="新開","新開不保養",
IF(VLOOKUP(A34,門市總表!A:F,6,FALSE)="撤店","閉店不保養",IF(VLOOKUP(A34,門市總表!A:F,6,FALSE)="非當季","非當季",IF(VLOOKUP(A34,門市總表!A:F,6,FALSE)="跨季補單","跨季補單",
IF(COUNTBLANK(C34:E34)=3,"未保養","")
))))</f>
        <v>未保養</v>
      </c>
      <c r="G34" s="116" t="str">
        <f>IF(COUNTIFS('0919門市清單主檔'!C:C,B34,'0919門市清單主檔'!AF:AF,$H$3)=1,
    IF(COUNTIFS(IM!F:F,A34,IM!AC:AC,"*"&amp;$H$3&amp;"*") + COUNTIFS('0919門市清單主檔'!C:C,B34,'0919門市清單主檔'!AF:AF,$H$3) &gt; 1,
       "V","未完工"),"-")</f>
        <v>-</v>
      </c>
      <c r="H34" s="253" t="str">
        <f>IF(COUNTIFS('0919門市清單主檔'!C:C,B34,'0919門市清單主檔'!AG:AG,$H$4)=1,
    IF(COUNTIFS(IM!F:F,A34,IM!AC:AC,"*"&amp;$H$4&amp;"*") + COUNTIFS('0919門市清單主檔'!C:C,B34,'0919門市清單主檔'!AG:AG,$H$4) &gt; 1,
       "V","未完工"),"-")</f>
        <v>V</v>
      </c>
      <c r="I34" s="253" t="str">
        <f>IF(COUNTIFS('0919門市清單主檔'!C:C,B34,'0919門市清單主檔'!AH:AH,$H$5)=1,
    IF(COUNTIFS(IM!F:F,A34,IM!AC:AC,"*"&amp;$H$5&amp;"*") + COUNTIFS('0919門市清單主檔'!C:C,B34,'0919門市清單主檔'!AH:AH,$H$5) &gt; 1,
       "V","未完工"),"-")</f>
        <v>未完工</v>
      </c>
      <c r="J34" s="253" t="str">
        <f>IF(
    COUNTIFS('0919門市清單主檔'!C:C,B34,'0919門市清單主檔'!AC:AC,$H$2)=1,
    IF(
        COUNTIFS(
            IM!F:F,A34,
            IM!AC:AC,"*"&amp;$H$2&amp;"*",
            IM!X:X,"&gt;="&amp;$M$1,
            IM!X:X,"&lt;="&amp;$M$3
        )
        + COUNTIFS('0919門市清單主檔'!C:C,B34,'0919門市清單主檔'!AC:AC,$H$2)
        &gt;1,
        "V",
        "未完工"
    ),
    "-"
)</f>
        <v>-</v>
      </c>
      <c r="K34" s="122">
        <v>45868</v>
      </c>
      <c r="L34" s="116" t="str">
        <f>VLOOKUP(A34,'0919門市清單主檔'!B:V,21,FALSE)</f>
        <v>三重區</v>
      </c>
      <c r="M34" s="153" t="str">
        <f>VLOOKUP(A34,門市總表!A:B,2,FALSE)</f>
        <v>三重夜市口</v>
      </c>
    </row>
    <row r="35" spans="1:18" ht="21.6" customHeight="1">
      <c r="A35" s="116" t="s">
        <v>63</v>
      </c>
      <c r="B35" s="116" t="str">
        <f>VLOOKUP(A35,門市總表!A:B,2,FALSE)</f>
        <v>三重車路頭</v>
      </c>
      <c r="C35" s="146" t="str">
        <f>IF(COUNTIFS(IM!$F:$F,A35,IM!$AD:$AD,"O",IM!$X:$X,"&gt;="&amp;$M$1, IM!$X:$X,"&lt;"&amp;$M$2)&gt;0,"V","")</f>
        <v/>
      </c>
      <c r="D35" s="146" t="str">
        <f>IF(AND(C35&lt;&gt;"V", COUNTIFS(IM!$F:$F,A35, IM!$AD:$AD, "O", IM!$X:$X, "&gt;="&amp;$M$2, IM!$X:$X, "&lt;"&amp;$M$3)&gt;0), "V", "")</f>
        <v/>
      </c>
      <c r="E35" s="146" t="str">
        <f>IF(AND(C35&lt;&gt;"V",D35&lt;&gt;"V", COUNTIFS(IM!$F:$F, A35, IM!$AD:$AD, "O", IM!$X:$X, "&gt;="&amp;$M$3, IM!$X:$X, "&lt;"&amp;$N$3)&gt;0), "V", "")</f>
        <v/>
      </c>
      <c r="F35" s="116" t="str">
        <f>IF(VLOOKUP(A35,門市總表!A:F,6,FALSE)="新開","新開不保養",
IF(VLOOKUP(A35,門市總表!A:F,6,FALSE)="撤店","閉店不保養",IF(VLOOKUP(A35,門市總表!A:F,6,FALSE)="非當季","非當季",IF(VLOOKUP(A35,門市總表!A:F,6,FALSE)="跨季補單","跨季補單",
IF(COUNTBLANK(C35:E35)=3,"未保養","")
))))</f>
        <v>未保養</v>
      </c>
      <c r="G35" s="116" t="str">
        <f>IF(COUNTIFS('0919門市清單主檔'!C:C,B35,'0919門市清單主檔'!AF:AF,$H$3)=1,
    IF(COUNTIFS(IM!F:F,A35,IM!AC:AC,"*"&amp;$H$3&amp;"*") + COUNTIFS('0919門市清單主檔'!C:C,B35,'0919門市清單主檔'!AF:AF,$H$3) &gt; 1,
       "V","未完工"),"-")</f>
        <v>-</v>
      </c>
      <c r="H35" s="253" t="str">
        <f>IF(COUNTIFS('0919門市清單主檔'!C:C,B35,'0919門市清單主檔'!AG:AG,$H$4)=1,
    IF(COUNTIFS(IM!F:F,A35,IM!AC:AC,"*"&amp;$H$4&amp;"*") + COUNTIFS('0919門市清單主檔'!C:C,B35,'0919門市清單主檔'!AG:AG,$H$4) &gt; 1,
       "V","未完工"),"-")</f>
        <v>V</v>
      </c>
      <c r="I35" s="253" t="str">
        <f>IF(COUNTIFS('0919門市清單主檔'!C:C,B35,'0919門市清單主檔'!AH:AH,$H$5)=1,
    IF(COUNTIFS(IM!F:F,A35,IM!AC:AC,"*"&amp;$H$5&amp;"*") + COUNTIFS('0919門市清單主檔'!C:C,B35,'0919門市清單主檔'!AH:AH,$H$5) &gt; 1,
       "V","未完工"),"-")</f>
        <v>未完工</v>
      </c>
      <c r="J35" s="253" t="str">
        <f>IF(
    COUNTIFS('0919門市清單主檔'!C:C,B35,'0919門市清單主檔'!AC:AC,$H$2)=1,
    IF(
        COUNTIFS(
            IM!F:F,A35,
            IM!AC:AC,"*"&amp;$H$2&amp;"*",
            IM!X:X,"&gt;="&amp;$M$1,
            IM!X:X,"&lt;="&amp;$M$3
        )
        + COUNTIFS('0919門市清單主檔'!C:C,B35,'0919門市清單主檔'!AC:AC,$H$2)
        &gt;1,
        "V",
        "未完工"
    ),
    "-"
)</f>
        <v>-</v>
      </c>
      <c r="K35" s="122">
        <v>45869</v>
      </c>
      <c r="L35" s="116" t="str">
        <f>VLOOKUP(A35,'0919門市清單主檔'!B:V,21,FALSE)</f>
        <v>三重區</v>
      </c>
      <c r="M35" s="153" t="str">
        <f>VLOOKUP(A35,門市總表!A:B,2,FALSE)</f>
        <v>三重車路頭</v>
      </c>
    </row>
    <row r="36" spans="1:18" ht="21.6" customHeight="1">
      <c r="A36" s="116" t="s">
        <v>64</v>
      </c>
      <c r="B36" s="116" t="str">
        <f>VLOOKUP(A36,門市總表!A:B,2,FALSE)</f>
        <v>三重福隆店</v>
      </c>
      <c r="C36" s="146" t="str">
        <f>IF(COUNTIFS(IM!$F:$F,A36,IM!$AD:$AD,"O",IM!$X:$X,"&gt;="&amp;$M$1, IM!$X:$X,"&lt;"&amp;$M$2)&gt;0,"V","")</f>
        <v/>
      </c>
      <c r="D36" s="146" t="str">
        <f>IF(AND(C36&lt;&gt;"V", COUNTIFS(IM!$F:$F,A36, IM!$AD:$AD, "O", IM!$X:$X, "&gt;="&amp;$M$2, IM!$X:$X, "&lt;"&amp;$M$3)&gt;0), "V", "")</f>
        <v/>
      </c>
      <c r="E36" s="146" t="str">
        <f>IF(AND(C36&lt;&gt;"V",D36&lt;&gt;"V", COUNTIFS(IM!$F:$F, A36, IM!$AD:$AD, "O", IM!$X:$X, "&gt;="&amp;$M$3, IM!$X:$X, "&lt;"&amp;$N$3)&gt;0), "V", "")</f>
        <v/>
      </c>
      <c r="F36" s="116" t="str">
        <f>IF(VLOOKUP(A36,門市總表!A:F,6,FALSE)="新開","新開不保養",
IF(VLOOKUP(A36,門市總表!A:F,6,FALSE)="撤店","閉店不保養",IF(VLOOKUP(A36,門市總表!A:F,6,FALSE)="非當季","非當季",IF(VLOOKUP(A36,門市總表!A:F,6,FALSE)="跨季補單","跨季補單",
IF(COUNTBLANK(C36:E36)=3,"未保養","")
))))</f>
        <v>未保養</v>
      </c>
      <c r="G36" s="116" t="str">
        <f>IF(COUNTIFS('0919門市清單主檔'!C:C,B36,'0919門市清單主檔'!AF:AF,$H$3)=1,
    IF(COUNTIFS(IM!F:F,A36,IM!AC:AC,"*"&amp;$H$3&amp;"*") + COUNTIFS('0919門市清單主檔'!C:C,B36,'0919門市清單主檔'!AF:AF,$H$3) &gt; 1,
       "V","未完工"),"-")</f>
        <v>-</v>
      </c>
      <c r="H36" s="253" t="str">
        <f>IF(COUNTIFS('0919門市清單主檔'!C:C,B36,'0919門市清單主檔'!AG:AG,$H$4)=1,
    IF(COUNTIFS(IM!F:F,A36,IM!AC:AC,"*"&amp;$H$4&amp;"*") + COUNTIFS('0919門市清單主檔'!C:C,B36,'0919門市清單主檔'!AG:AG,$H$4) &gt; 1,
       "V","未完工"),"-")</f>
        <v>V</v>
      </c>
      <c r="I36" s="253" t="str">
        <f>IF(COUNTIFS('0919門市清單主檔'!C:C,B36,'0919門市清單主檔'!AH:AH,$H$5)=1,
    IF(COUNTIFS(IM!F:F,A36,IM!AC:AC,"*"&amp;$H$5&amp;"*") + COUNTIFS('0919門市清單主檔'!C:C,B36,'0919門市清單主檔'!AH:AH,$H$5) &gt; 1,
       "V","未完工"),"-")</f>
        <v>-</v>
      </c>
      <c r="J36" s="253" t="str">
        <f>IF(
    COUNTIFS('0919門市清單主檔'!C:C,B36,'0919門市清單主檔'!AC:AC,$H$2)=1,
    IF(
        COUNTIFS(
            IM!F:F,A36,
            IM!AC:AC,"*"&amp;$H$2&amp;"*",
            IM!X:X,"&gt;="&amp;$M$1,
            IM!X:X,"&lt;="&amp;$M$3
        )
        + COUNTIFS('0919門市清單主檔'!C:C,B36,'0919門市清單主檔'!AC:AC,$H$2)
        &gt;1,
        "V",
        "未完工"
    ),
    "-"
)</f>
        <v>-</v>
      </c>
      <c r="K36" s="122">
        <v>45870</v>
      </c>
      <c r="L36" s="116" t="str">
        <f>VLOOKUP(A36,'0919門市清單主檔'!B:V,21,FALSE)</f>
        <v>三重區</v>
      </c>
      <c r="M36" s="153" t="str">
        <f>VLOOKUP(A36,門市總表!A:B,2,FALSE)</f>
        <v>三重福隆店</v>
      </c>
    </row>
    <row r="37" spans="1:18" ht="21.6" customHeight="1">
      <c r="A37" s="116" t="s">
        <v>65</v>
      </c>
      <c r="B37" s="116" t="str">
        <f>VLOOKUP(A37,門市總表!A:B,2,FALSE)</f>
        <v>三重中興北</v>
      </c>
      <c r="C37" s="146" t="str">
        <f>IF(COUNTIFS(IM!$F:$F,A37,IM!$AD:$AD,"O",IM!$X:$X,"&gt;="&amp;$M$1, IM!$X:$X,"&lt;"&amp;$M$2)&gt;0,"V","")</f>
        <v/>
      </c>
      <c r="D37" s="146" t="str">
        <f>IF(AND(C37&lt;&gt;"V", COUNTIFS(IM!$F:$F,A37, IM!$AD:$AD, "O", IM!$X:$X, "&gt;="&amp;$M$2, IM!$X:$X, "&lt;"&amp;$M$3)&gt;0), "V", "")</f>
        <v/>
      </c>
      <c r="E37" s="146" t="str">
        <f>IF(AND(C37&lt;&gt;"V",D37&lt;&gt;"V", COUNTIFS(IM!$F:$F, A37, IM!$AD:$AD, "O", IM!$X:$X, "&gt;="&amp;$M$3, IM!$X:$X, "&lt;"&amp;$N$3)&gt;0), "V", "")</f>
        <v/>
      </c>
      <c r="F37" s="116" t="str">
        <f>IF(VLOOKUP(A37,門市總表!A:F,6,FALSE)="新開","新開不保養",
IF(VLOOKUP(A37,門市總表!A:F,6,FALSE)="撤店","閉店不保養",IF(VLOOKUP(A37,門市總表!A:F,6,FALSE)="非當季","非當季",IF(VLOOKUP(A37,門市總表!A:F,6,FALSE)="跨季補單","跨季補單",
IF(COUNTBLANK(C37:E37)=3,"未保養","")
))))</f>
        <v>未保養</v>
      </c>
      <c r="G37" s="116" t="str">
        <f>IF(COUNTIFS('0919門市清單主檔'!C:C,B37,'0919門市清單主檔'!AF:AF,$H$3)=1,
    IF(COUNTIFS(IM!F:F,A37,IM!AC:AC,"*"&amp;$H$3&amp;"*") + COUNTIFS('0919門市清單主檔'!C:C,B37,'0919門市清單主檔'!AF:AF,$H$3) &gt; 1,
       "V","未完工"),"-")</f>
        <v>-</v>
      </c>
      <c r="H37" s="253" t="str">
        <f>IF(COUNTIFS('0919門市清單主檔'!C:C,B37,'0919門市清單主檔'!AG:AG,$H$4)=1,
    IF(COUNTIFS(IM!F:F,A37,IM!AC:AC,"*"&amp;$H$4&amp;"*") + COUNTIFS('0919門市清單主檔'!C:C,B37,'0919門市清單主檔'!AG:AG,$H$4) &gt; 1,
       "V","未完工"),"-")</f>
        <v>V</v>
      </c>
      <c r="I37" s="253" t="str">
        <f>IF(COUNTIFS('0919門市清單主檔'!C:C,B37,'0919門市清單主檔'!AH:AH,$H$5)=1,
    IF(COUNTIFS(IM!F:F,A37,IM!AC:AC,"*"&amp;$H$5&amp;"*") + COUNTIFS('0919門市清單主檔'!C:C,B37,'0919門市清單主檔'!AH:AH,$H$5) &gt; 1,
       "V","未完工"),"-")</f>
        <v>未完工</v>
      </c>
      <c r="J37" s="253" t="str">
        <f>IF(
    COUNTIFS('0919門市清單主檔'!C:C,B37,'0919門市清單主檔'!AC:AC,$H$2)=1,
    IF(
        COUNTIFS(
            IM!F:F,A37,
            IM!AC:AC,"*"&amp;$H$2&amp;"*",
            IM!X:X,"&gt;="&amp;$M$1,
            IM!X:X,"&lt;="&amp;$M$3
        )
        + COUNTIFS('0919門市清單主檔'!C:C,B37,'0919門市清單主檔'!AC:AC,$H$2)
        &gt;1,
        "V",
        "未完工"
    ),
    "-"
)</f>
        <v>-</v>
      </c>
      <c r="K37" s="122">
        <v>45871</v>
      </c>
      <c r="L37" s="116" t="str">
        <f>VLOOKUP(A37,'0919門市清單主檔'!B:V,21,FALSE)</f>
        <v>三重區</v>
      </c>
      <c r="M37" s="153" t="str">
        <f>VLOOKUP(A37,門市總表!A:B,2,FALSE)</f>
        <v>三重中興北</v>
      </c>
    </row>
    <row r="38" spans="1:18" ht="21.6" customHeight="1">
      <c r="A38" s="116">
        <v>4977</v>
      </c>
      <c r="B38" s="116" t="str">
        <f>VLOOKUP(A38,門市總表!A:B,2,FALSE)</f>
        <v>三重初戀店</v>
      </c>
      <c r="C38" s="146" t="str">
        <f>IF(COUNTIFS(IM!$F:$F,A38,IM!$AD:$AD,"O",IM!$X:$X,"&gt;="&amp;$M$1, IM!$X:$X,"&lt;"&amp;$M$2)&gt;0,"V","")</f>
        <v/>
      </c>
      <c r="D38" s="146" t="str">
        <f>IF(AND(C38&lt;&gt;"V", COUNTIFS(IM!$F:$F,A38, IM!$AD:$AD, "O", IM!$X:$X, "&gt;="&amp;$M$2, IM!$X:$X, "&lt;"&amp;$M$3)&gt;0), "V", "")</f>
        <v/>
      </c>
      <c r="E38" s="146" t="str">
        <f>IF(AND(C38&lt;&gt;"V",D38&lt;&gt;"V", COUNTIFS(IM!$F:$F, A38, IM!$AD:$AD, "O", IM!$X:$X, "&gt;="&amp;$M$3, IM!$X:$X, "&lt;"&amp;$N$3)&gt;0), "V", "")</f>
        <v/>
      </c>
      <c r="F38" s="116" t="str">
        <f>IF(VLOOKUP(A38,門市總表!A:F,6,FALSE)="新開","新開不保養",
IF(VLOOKUP(A38,門市總表!A:F,6,FALSE)="撤店","閉店不保養",IF(VLOOKUP(A38,門市總表!A:F,6,FALSE)="非當季","非當季",IF(VLOOKUP(A38,門市總表!A:F,6,FALSE)="跨季補單","跨季補單",
IF(COUNTBLANK(C38:E38)=3,"未保養","")
))))</f>
        <v>未保養</v>
      </c>
      <c r="G38" s="116" t="str">
        <f>IF(COUNTIFS('0919門市清單主檔'!C:C,B38,'0919門市清單主檔'!AF:AF,$H$3)=1,
    IF(COUNTIFS(IM!F:F,A38,IM!AC:AC,"*"&amp;$H$3&amp;"*") + COUNTIFS('0919門市清單主檔'!C:C,B38,'0919門市清單主檔'!AF:AF,$H$3) &gt; 1,
       "V","未完工"),"-")</f>
        <v>-</v>
      </c>
      <c r="H38" s="253" t="str">
        <f>IF(COUNTIFS('0919門市清單主檔'!C:C,B38,'0919門市清單主檔'!AG:AG,$H$4)=1,
    IF(COUNTIFS(IM!F:F,A38,IM!AC:AC,"*"&amp;$H$4&amp;"*") + COUNTIFS('0919門市清單主檔'!C:C,B38,'0919門市清單主檔'!AG:AG,$H$4) &gt; 1,
       "V","未完工"),"-")</f>
        <v>V</v>
      </c>
      <c r="I38" s="253" t="str">
        <f>IF(COUNTIFS('0919門市清單主檔'!C:C,B38,'0919門市清單主檔'!AH:AH,$H$5)=1,
    IF(COUNTIFS(IM!F:F,A38,IM!AC:AC,"*"&amp;$H$5&amp;"*") + COUNTIFS('0919門市清單主檔'!C:C,B38,'0919門市清單主檔'!AH:AH,$H$5) &gt; 1,
       "V","未完工"),"-")</f>
        <v>未完工</v>
      </c>
      <c r="J38" s="253" t="str">
        <f>IF(
    COUNTIFS('0919門市清單主檔'!C:C,B38,'0919門市清單主檔'!AC:AC,$H$2)=1,
    IF(
        COUNTIFS(
            IM!F:F,A38,
            IM!AC:AC,"*"&amp;$H$2&amp;"*",
            IM!X:X,"&gt;="&amp;$M$1,
            IM!X:X,"&lt;="&amp;$M$3
        )
        + COUNTIFS('0919門市清單主檔'!C:C,B38,'0919門市清單主檔'!AC:AC,$H$2)
        &gt;1,
        "V",
        "未完工"
    ),
    "-"
)</f>
        <v>-</v>
      </c>
      <c r="K38" s="122">
        <v>45872</v>
      </c>
      <c r="L38" s="116" t="str">
        <f>VLOOKUP(A38,'0919門市清單主檔'!B:V,21,FALSE)</f>
        <v>三重區</v>
      </c>
      <c r="M38" s="153" t="str">
        <f>VLOOKUP(A38,門市總表!A:B,2,FALSE)</f>
        <v>三重初戀店</v>
      </c>
    </row>
    <row r="39" spans="1:18" ht="21.6" customHeight="1">
      <c r="A39" s="116">
        <v>5316</v>
      </c>
      <c r="B39" s="116" t="str">
        <f>VLOOKUP(A39,門市總表!A:B,2,FALSE)</f>
        <v>三重五常店</v>
      </c>
      <c r="C39" s="146" t="str">
        <f>IF(COUNTIFS(IM!$F:$F,A39,IM!$AD:$AD,"O",IM!$X:$X,"&gt;="&amp;$M$1, IM!$X:$X,"&lt;"&amp;$M$2)&gt;0,"V","")</f>
        <v/>
      </c>
      <c r="D39" s="146" t="str">
        <f>IF(AND(C39&lt;&gt;"V", COUNTIFS(IM!$F:$F,A39, IM!$AD:$AD, "O", IM!$X:$X, "&gt;="&amp;$M$2, IM!$X:$X, "&lt;"&amp;$M$3)&gt;0), "V", "")</f>
        <v/>
      </c>
      <c r="E39" s="146" t="str">
        <f>IF(AND(C39&lt;&gt;"V",D39&lt;&gt;"V", COUNTIFS(IM!$F:$F, A39, IM!$AD:$AD, "O", IM!$X:$X, "&gt;="&amp;$M$3, IM!$X:$X, "&lt;"&amp;$N$3)&gt;0), "V", "")</f>
        <v/>
      </c>
      <c r="F39" s="116" t="str">
        <f>IF(VLOOKUP(A39,門市總表!A:F,6,FALSE)="新開","新開不保養",
IF(VLOOKUP(A39,門市總表!A:F,6,FALSE)="撤店","閉店不保養",IF(VLOOKUP(A39,門市總表!A:F,6,FALSE)="非當季","非當季",IF(VLOOKUP(A39,門市總表!A:F,6,FALSE)="跨季補單","跨季補單",
IF(COUNTBLANK(C39:E39)=3,"未保養","")
))))</f>
        <v>未保養</v>
      </c>
      <c r="G39" s="116" t="str">
        <f>IF(COUNTIFS('0919門市清單主檔'!C:C,B39,'0919門市清單主檔'!AF:AF,$H$3)=1,
    IF(COUNTIFS(IM!F:F,A39,IM!AC:AC,"*"&amp;$H$3&amp;"*") + COUNTIFS('0919門市清單主檔'!C:C,B39,'0919門市清單主檔'!AF:AF,$H$3) &gt; 1,
       "V","未完工"),"-")</f>
        <v>-</v>
      </c>
      <c r="H39" s="253" t="str">
        <f>IF(COUNTIFS('0919門市清單主檔'!C:C,B39,'0919門市清單主檔'!AG:AG,$H$4)=1,
    IF(COUNTIFS(IM!F:F,A39,IM!AC:AC,"*"&amp;$H$4&amp;"*") + COUNTIFS('0919門市清單主檔'!C:C,B39,'0919門市清單主檔'!AG:AG,$H$4) &gt; 1,
       "V","未完工"),"-")</f>
        <v>V</v>
      </c>
      <c r="I39" s="253" t="str">
        <f>IF(COUNTIFS('0919門市清單主檔'!C:C,B39,'0919門市清單主檔'!AH:AH,$H$5)=1,
    IF(COUNTIFS(IM!F:F,A39,IM!AC:AC,"*"&amp;$H$5&amp;"*") + COUNTIFS('0919門市清單主檔'!C:C,B39,'0919門市清單主檔'!AH:AH,$H$5) &gt; 1,
       "V","未完工"),"-")</f>
        <v>未完工</v>
      </c>
      <c r="J39" s="253" t="str">
        <f>IF(
    COUNTIFS('0919門市清單主檔'!C:C,B39,'0919門市清單主檔'!AC:AC,$H$2)=1,
    IF(
        COUNTIFS(
            IM!F:F,A39,
            IM!AC:AC,"*"&amp;$H$2&amp;"*",
            IM!X:X,"&gt;="&amp;$M$1,
            IM!X:X,"&lt;="&amp;$M$3
        )
        + COUNTIFS('0919門市清單主檔'!C:C,B39,'0919門市清單主檔'!AC:AC,$H$2)
        &gt;1,
        "V",
        "未完工"
    ),
    "-"
)</f>
        <v>-</v>
      </c>
      <c r="K39" s="122">
        <v>45873</v>
      </c>
      <c r="L39" s="116" t="str">
        <f>VLOOKUP(A39,'0919門市清單主檔'!B:V,21,FALSE)</f>
        <v>三重區</v>
      </c>
      <c r="M39" s="153" t="str">
        <f>VLOOKUP(A39,門市總表!A:B,2,FALSE)</f>
        <v>三重五常店</v>
      </c>
    </row>
    <row r="40" spans="1:18" ht="21.6" customHeight="1">
      <c r="A40" s="116">
        <v>3359</v>
      </c>
      <c r="B40" s="116" t="str">
        <f>VLOOKUP(A40,門市總表!A:B,2,FALSE)</f>
        <v>三重金陵店</v>
      </c>
      <c r="C40" s="146" t="str">
        <f>IF(COUNTIFS(IM!$F:$F,A40,IM!$AD:$AD,"O",IM!$X:$X,"&gt;="&amp;$M$1, IM!$X:$X,"&lt;"&amp;$M$2)&gt;0,"V","")</f>
        <v/>
      </c>
      <c r="D40" s="146" t="str">
        <f>IF(AND(C40&lt;&gt;"V", COUNTIFS(IM!$F:$F,A40, IM!$AD:$AD, "O", IM!$X:$X, "&gt;="&amp;$M$2, IM!$X:$X, "&lt;"&amp;$M$3)&gt;0), "V", "")</f>
        <v/>
      </c>
      <c r="E40" s="146" t="str">
        <f>IF(AND(C40&lt;&gt;"V",D40&lt;&gt;"V", COUNTIFS(IM!$F:$F, A40, IM!$AD:$AD, "O", IM!$X:$X, "&gt;="&amp;$M$3, IM!$X:$X, "&lt;"&amp;$N$3)&gt;0), "V", "")</f>
        <v/>
      </c>
      <c r="F40" s="116" t="str">
        <f>IF(VLOOKUP(A40,門市總表!A:F,6,FALSE)="新開","新開不保養",
IF(VLOOKUP(A40,門市總表!A:F,6,FALSE)="撤店","閉店不保養",IF(VLOOKUP(A40,門市總表!A:F,6,FALSE)="非當季","非當季",IF(VLOOKUP(A40,門市總表!A:F,6,FALSE)="跨季補單","跨季補單",
IF(COUNTBLANK(C40:E40)=3,"未保養","")
))))</f>
        <v>未保養</v>
      </c>
      <c r="G40" s="116" t="str">
        <f>IF(COUNTIFS('0919門市清單主檔'!C:C,B40,'0919門市清單主檔'!AF:AF,$H$3)=1,
    IF(COUNTIFS(IM!F:F,A40,IM!AC:AC,"*"&amp;$H$3&amp;"*") + COUNTIFS('0919門市清單主檔'!C:C,B40,'0919門市清單主檔'!AF:AF,$H$3) &gt; 1,
       "V","未完工"),"-")</f>
        <v>-</v>
      </c>
      <c r="H40" s="253" t="str">
        <f>IF(COUNTIFS('0919門市清單主檔'!C:C,B40,'0919門市清單主檔'!AG:AG,$H$4)=1,
    IF(COUNTIFS(IM!F:F,A40,IM!AC:AC,"*"&amp;$H$4&amp;"*") + COUNTIFS('0919門市清單主檔'!C:C,B40,'0919門市清單主檔'!AG:AG,$H$4) &gt; 1,
       "V","未完工"),"-")</f>
        <v>-</v>
      </c>
      <c r="I40" s="253" t="str">
        <f>IF(COUNTIFS('0919門市清單主檔'!C:C,B40,'0919門市清單主檔'!AH:AH,$H$5)=1,
    IF(COUNTIFS(IM!F:F,A40,IM!AC:AC,"*"&amp;$H$5&amp;"*") + COUNTIFS('0919門市清單主檔'!C:C,B40,'0919門市清單主檔'!AH:AH,$H$5) &gt; 1,
       "V","未完工"),"-")</f>
        <v>未完工</v>
      </c>
      <c r="J40" s="253" t="str">
        <f>IF(
    COUNTIFS('0919門市清單主檔'!C:C,B40,'0919門市清單主檔'!AC:AC,$H$2)=1,
    IF(
        COUNTIFS(
            IM!F:F,A40,
            IM!AC:AC,"*"&amp;$H$2&amp;"*",
            IM!X:X,"&gt;="&amp;$M$1,
            IM!X:X,"&lt;="&amp;$M$3
        )
        + COUNTIFS('0919門市清單主檔'!C:C,B40,'0919門市清單主檔'!AC:AC,$H$2)
        &gt;1,
        "V",
        "未完工"
    ),
    "-"
)</f>
        <v>-</v>
      </c>
      <c r="K40" s="122">
        <v>45874</v>
      </c>
      <c r="L40" s="116" t="str">
        <f>VLOOKUP(A40,'0919門市清單主檔'!B:V,21,FALSE)</f>
        <v>三重區</v>
      </c>
      <c r="M40" s="153" t="str">
        <f>VLOOKUP(A40,門市總表!A:B,2,FALSE)</f>
        <v>三重金陵店</v>
      </c>
    </row>
    <row r="41" spans="1:18" ht="21.6" customHeight="1">
      <c r="A41" s="116">
        <v>4539</v>
      </c>
      <c r="B41" s="116" t="str">
        <f>VLOOKUP(A41,門市總表!A:B,2,FALSE)</f>
        <v>三重自信店</v>
      </c>
      <c r="C41" s="146" t="str">
        <f>IF(COUNTIFS(IM!$F:$F,A41,IM!$AD:$AD,"O",IM!$X:$X,"&gt;="&amp;$M$1, IM!$X:$X,"&lt;"&amp;$M$2)&gt;0,"V","")</f>
        <v/>
      </c>
      <c r="D41" s="146" t="str">
        <f>IF(AND(C41&lt;&gt;"V", COUNTIFS(IM!$F:$F,A41, IM!$AD:$AD, "O", IM!$X:$X, "&gt;="&amp;$M$2, IM!$X:$X, "&lt;"&amp;$M$3)&gt;0), "V", "")</f>
        <v/>
      </c>
      <c r="E41" s="146" t="str">
        <f>IF(AND(C41&lt;&gt;"V",D41&lt;&gt;"V", COUNTIFS(IM!$F:$F, A41, IM!$AD:$AD, "O", IM!$X:$X, "&gt;="&amp;$M$3, IM!$X:$X, "&lt;"&amp;$N$3)&gt;0), "V", "")</f>
        <v/>
      </c>
      <c r="F41" s="116" t="str">
        <f>IF(VLOOKUP(A41,門市總表!A:F,6,FALSE)="新開","新開不保養",
IF(VLOOKUP(A41,門市總表!A:F,6,FALSE)="撤店","閉店不保養",IF(VLOOKUP(A41,門市總表!A:F,6,FALSE)="非當季","非當季",IF(VLOOKUP(A41,門市總表!A:F,6,FALSE)="跨季補單","跨季補單",
IF(COUNTBLANK(C41:E41)=3,"未保養","")
))))</f>
        <v>未保養</v>
      </c>
      <c r="G41" s="116" t="str">
        <f>IF(COUNTIFS('0919門市清單主檔'!C:C,B41,'0919門市清單主檔'!AF:AF,$H$3)=1,
    IF(COUNTIFS(IM!F:F,A41,IM!AC:AC,"*"&amp;$H$3&amp;"*") + COUNTIFS('0919門市清單主檔'!C:C,B41,'0919門市清單主檔'!AF:AF,$H$3) &gt; 1,
       "V","未完工"),"-")</f>
        <v>-</v>
      </c>
      <c r="H41" s="253" t="str">
        <f>IF(COUNTIFS('0919門市清單主檔'!C:C,B41,'0919門市清單主檔'!AG:AG,$H$4)=1,
    IF(COUNTIFS(IM!F:F,A41,IM!AC:AC,"*"&amp;$H$4&amp;"*") + COUNTIFS('0919門市清單主檔'!C:C,B41,'0919門市清單主檔'!AG:AG,$H$4) &gt; 1,
       "V","未完工"),"-")</f>
        <v>V</v>
      </c>
      <c r="I41" s="253" t="str">
        <f>IF(COUNTIFS('0919門市清單主檔'!C:C,B41,'0919門市清單主檔'!AH:AH,$H$5)=1,
    IF(COUNTIFS(IM!F:F,A41,IM!AC:AC,"*"&amp;$H$5&amp;"*") + COUNTIFS('0919門市清單主檔'!C:C,B41,'0919門市清單主檔'!AH:AH,$H$5) &gt; 1,
       "V","未完工"),"-")</f>
        <v>未完工</v>
      </c>
      <c r="J41" s="253" t="str">
        <f>IF(
    COUNTIFS('0919門市清單主檔'!C:C,B41,'0919門市清單主檔'!AC:AC,$H$2)=1,
    IF(
        COUNTIFS(
            IM!F:F,A41,
            IM!AC:AC,"*"&amp;$H$2&amp;"*",
            IM!X:X,"&gt;="&amp;$M$1,
            IM!X:X,"&lt;="&amp;$M$3
        )
        + COUNTIFS('0919門市清單主檔'!C:C,B41,'0919門市清單主檔'!AC:AC,$H$2)
        &gt;1,
        "V",
        "未完工"
    ),
    "-"
)</f>
        <v>-</v>
      </c>
      <c r="K41" s="122">
        <v>45875</v>
      </c>
      <c r="L41" s="116" t="str">
        <f>VLOOKUP(A41,'0919門市清單主檔'!B:V,21,FALSE)</f>
        <v>三重區</v>
      </c>
      <c r="M41" s="153" t="str">
        <f>VLOOKUP(A41,門市總表!A:B,2,FALSE)</f>
        <v>三重自信店</v>
      </c>
    </row>
    <row r="42" spans="1:18" ht="21.6" customHeight="1">
      <c r="A42" s="116">
        <v>4184</v>
      </c>
      <c r="B42" s="116" t="str">
        <f>VLOOKUP(A42,門市總表!A:B,2,FALSE)</f>
        <v>三重今大店</v>
      </c>
      <c r="C42" s="146" t="str">
        <f>IF(COUNTIFS(IM!$F:$F,A42,IM!$AD:$AD,"O",IM!$X:$X,"&gt;="&amp;$M$1, IM!$X:$X,"&lt;"&amp;$M$2)&gt;0,"V","")</f>
        <v/>
      </c>
      <c r="D42" s="146" t="str">
        <f>IF(AND(C42&lt;&gt;"V", COUNTIFS(IM!$F:$F,A42, IM!$AD:$AD, "O", IM!$X:$X, "&gt;="&amp;$M$2, IM!$X:$X, "&lt;"&amp;$M$3)&gt;0), "V", "")</f>
        <v/>
      </c>
      <c r="E42" s="146" t="str">
        <f>IF(AND(C42&lt;&gt;"V",D42&lt;&gt;"V", COUNTIFS(IM!$F:$F, A42, IM!$AD:$AD, "O", IM!$X:$X, "&gt;="&amp;$M$3, IM!$X:$X, "&lt;"&amp;$N$3)&gt;0), "V", "")</f>
        <v/>
      </c>
      <c r="F42" s="116" t="str">
        <f>IF(VLOOKUP(A42,門市總表!A:F,6,FALSE)="新開","新開不保養",
IF(VLOOKUP(A42,門市總表!A:F,6,FALSE)="撤店","閉店不保養",IF(VLOOKUP(A42,門市總表!A:F,6,FALSE)="非當季","非當季",IF(VLOOKUP(A42,門市總表!A:F,6,FALSE)="跨季補單","跨季補單",
IF(COUNTBLANK(C42:E42)=3,"未保養","")
))))</f>
        <v>未保養</v>
      </c>
      <c r="G42" s="116" t="str">
        <f>IF(COUNTIFS('0919門市清單主檔'!C:C,B42,'0919門市清單主檔'!AF:AF,$H$3)=1,
    IF(COUNTIFS(IM!F:F,A42,IM!AC:AC,"*"&amp;$H$3&amp;"*") + COUNTIFS('0919門市清單主檔'!C:C,B42,'0919門市清單主檔'!AF:AF,$H$3) &gt; 1,
       "V","未完工"),"-")</f>
        <v>-</v>
      </c>
      <c r="H42" s="253" t="str">
        <f>IF(COUNTIFS('0919門市清單主檔'!C:C,B42,'0919門市清單主檔'!AG:AG,$H$4)=1,
    IF(COUNTIFS(IM!F:F,A42,IM!AC:AC,"*"&amp;$H$4&amp;"*") + COUNTIFS('0919門市清單主檔'!C:C,B42,'0919門市清單主檔'!AG:AG,$H$4) &gt; 1,
       "V","未完工"),"-")</f>
        <v>V</v>
      </c>
      <c r="I42" s="253" t="str">
        <f>IF(COUNTIFS('0919門市清單主檔'!C:C,B42,'0919門市清單主檔'!AH:AH,$H$5)=1,
    IF(COUNTIFS(IM!F:F,A42,IM!AC:AC,"*"&amp;$H$5&amp;"*") + COUNTIFS('0919門市清單主檔'!C:C,B42,'0919門市清單主檔'!AH:AH,$H$5) &gt; 1,
       "V","未完工"),"-")</f>
        <v>未完工</v>
      </c>
      <c r="J42" s="253" t="str">
        <f>IF(
    COUNTIFS('0919門市清單主檔'!C:C,B42,'0919門市清單主檔'!AC:AC,$H$2)=1,
    IF(
        COUNTIFS(
            IM!F:F,A42,
            IM!AC:AC,"*"&amp;$H$2&amp;"*",
            IM!X:X,"&gt;="&amp;$M$1,
            IM!X:X,"&lt;="&amp;$M$3
        )
        + COUNTIFS('0919門市清單主檔'!C:C,B42,'0919門市清單主檔'!AC:AC,$H$2)
        &gt;1,
        "V",
        "未完工"
    ),
    "-"
)</f>
        <v>-</v>
      </c>
      <c r="K42" s="122">
        <v>45876</v>
      </c>
      <c r="L42" s="116" t="str">
        <f>VLOOKUP(A42,'0919門市清單主檔'!B:V,21,FALSE)</f>
        <v>三重區</v>
      </c>
      <c r="M42" s="153" t="str">
        <f>VLOOKUP(A42,門市總表!A:B,2,FALSE)</f>
        <v>三重今大店</v>
      </c>
    </row>
    <row r="43" spans="1:18" ht="21.6" customHeight="1">
      <c r="A43" s="116">
        <v>2543</v>
      </c>
      <c r="B43" s="116" t="str">
        <f>VLOOKUP(A43,門市總表!A:B,2,FALSE)</f>
        <v>三重大仁店</v>
      </c>
      <c r="C43" s="146" t="str">
        <f>IF(COUNTIFS(IM!$F:$F,A43,IM!$AD:$AD,"O",IM!$X:$X,"&gt;="&amp;$M$1, IM!$X:$X,"&lt;"&amp;$M$2)&gt;0,"V","")</f>
        <v/>
      </c>
      <c r="D43" s="146" t="str">
        <f>IF(AND(C43&lt;&gt;"V", COUNTIFS(IM!$F:$F,A43, IM!$AD:$AD, "O", IM!$X:$X, "&gt;="&amp;$M$2, IM!$X:$X, "&lt;"&amp;$M$3)&gt;0), "V", "")</f>
        <v/>
      </c>
      <c r="E43" s="146" t="str">
        <f>IF(AND(C43&lt;&gt;"V",D43&lt;&gt;"V", COUNTIFS(IM!$F:$F, A43, IM!$AD:$AD, "O", IM!$X:$X, "&gt;="&amp;$M$3, IM!$X:$X, "&lt;"&amp;$N$3)&gt;0), "V", "")</f>
        <v/>
      </c>
      <c r="F43" s="116" t="str">
        <f>IF(VLOOKUP(A43,門市總表!A:F,6,FALSE)="新開","新開不保養",
IF(VLOOKUP(A43,門市總表!A:F,6,FALSE)="撤店","閉店不保養",IF(VLOOKUP(A43,門市總表!A:F,6,FALSE)="非當季","非當季",IF(VLOOKUP(A43,門市總表!A:F,6,FALSE)="跨季補單","跨季補單",
IF(COUNTBLANK(C43:E43)=3,"未保養","")
))))</f>
        <v>未保養</v>
      </c>
      <c r="G43" s="116" t="str">
        <f>IF(COUNTIFS('0919門市清單主檔'!C:C,B43,'0919門市清單主檔'!AF:AF,$H$3)=1,
    IF(COUNTIFS(IM!F:F,A43,IM!AC:AC,"*"&amp;$H$3&amp;"*") + COUNTIFS('0919門市清單主檔'!C:C,B43,'0919門市清單主檔'!AF:AF,$H$3) &gt; 1,
       "V","未完工"),"-")</f>
        <v>-</v>
      </c>
      <c r="H43" s="253" t="str">
        <f>IF(COUNTIFS('0919門市清單主檔'!C:C,B43,'0919門市清單主檔'!AG:AG,$H$4)=1,
    IF(COUNTIFS(IM!F:F,A43,IM!AC:AC,"*"&amp;$H$4&amp;"*") + COUNTIFS('0919門市清單主檔'!C:C,B43,'0919門市清單主檔'!AG:AG,$H$4) &gt; 1,
       "V","未完工"),"-")</f>
        <v>V</v>
      </c>
      <c r="I43" s="253" t="str">
        <f>IF(COUNTIFS('0919門市清單主檔'!C:C,B43,'0919門市清單主檔'!AH:AH,$H$5)=1,
    IF(COUNTIFS(IM!F:F,A43,IM!AC:AC,"*"&amp;$H$5&amp;"*") + COUNTIFS('0919門市清單主檔'!C:C,B43,'0919門市清單主檔'!AH:AH,$H$5) &gt; 1,
       "V","未完工"),"-")</f>
        <v>未完工</v>
      </c>
      <c r="J43" s="253" t="str">
        <f>IF(
    COUNTIFS('0919門市清單主檔'!C:C,B43,'0919門市清單主檔'!AC:AC,$H$2)=1,
    IF(
        COUNTIFS(
            IM!F:F,A43,
            IM!AC:AC,"*"&amp;$H$2&amp;"*",
            IM!X:X,"&gt;="&amp;$M$1,
            IM!X:X,"&lt;="&amp;$M$3
        )
        + COUNTIFS('0919門市清單主檔'!C:C,B43,'0919門市清單主檔'!AC:AC,$H$2)
        &gt;1,
        "V",
        "未完工"
    ),
    "-"
)</f>
        <v>-</v>
      </c>
      <c r="K43" s="122">
        <v>45877</v>
      </c>
      <c r="L43" s="116" t="str">
        <f>VLOOKUP(A43,'0919門市清單主檔'!B:V,21,FALSE)</f>
        <v>三重區</v>
      </c>
      <c r="M43" s="153" t="str">
        <f>VLOOKUP(A43,門市總表!A:B,2,FALSE)</f>
        <v>三重大仁店</v>
      </c>
    </row>
    <row r="44" spans="1:18" ht="21.6" customHeight="1">
      <c r="A44" s="116">
        <v>4804</v>
      </c>
      <c r="B44" s="116" t="str">
        <f>VLOOKUP(A44,門市總表!A:B,2,FALSE)</f>
        <v>三重國隆店</v>
      </c>
      <c r="C44" s="146" t="str">
        <f>IF(COUNTIFS(IM!$F:$F,A44,IM!$AD:$AD,"O",IM!$X:$X,"&gt;="&amp;$M$1, IM!$X:$X,"&lt;"&amp;$M$2)&gt;0,"V","")</f>
        <v/>
      </c>
      <c r="D44" s="146" t="str">
        <f>IF(AND(C44&lt;&gt;"V", COUNTIFS(IM!$F:$F,A44, IM!$AD:$AD, "O", IM!$X:$X, "&gt;="&amp;$M$2, IM!$X:$X, "&lt;"&amp;$M$3)&gt;0), "V", "")</f>
        <v/>
      </c>
      <c r="E44" s="146" t="str">
        <f>IF(AND(C44&lt;&gt;"V",D44&lt;&gt;"V", COUNTIFS(IM!$F:$F, A44, IM!$AD:$AD, "O", IM!$X:$X, "&gt;="&amp;$M$3, IM!$X:$X, "&lt;"&amp;$N$3)&gt;0), "V", "")</f>
        <v/>
      </c>
      <c r="F44" s="116" t="str">
        <f>IF(VLOOKUP(A44,門市總表!A:F,6,FALSE)="新開","新開不保養",
IF(VLOOKUP(A44,門市總表!A:F,6,FALSE)="撤店","閉店不保養",IF(VLOOKUP(A44,門市總表!A:F,6,FALSE)="非當季","非當季",IF(VLOOKUP(A44,門市總表!A:F,6,FALSE)="跨季補單","跨季補單",
IF(COUNTBLANK(C44:E44)=3,"未保養","")
))))</f>
        <v>未保養</v>
      </c>
      <c r="G44" s="116" t="str">
        <f>IF(COUNTIFS('0919門市清單主檔'!C:C,B44,'0919門市清單主檔'!AF:AF,$H$3)=1,
    IF(COUNTIFS(IM!F:F,A44,IM!AC:AC,"*"&amp;$H$3&amp;"*") + COUNTIFS('0919門市清單主檔'!C:C,B44,'0919門市清單主檔'!AF:AF,$H$3) &gt; 1,
       "V","未完工"),"-")</f>
        <v>-</v>
      </c>
      <c r="H44" s="253" t="str">
        <f>IF(COUNTIFS('0919門市清單主檔'!C:C,B44,'0919門市清單主檔'!AG:AG,$H$4)=1,
    IF(COUNTIFS(IM!F:F,A44,IM!AC:AC,"*"&amp;$H$4&amp;"*") + COUNTIFS('0919門市清單主檔'!C:C,B44,'0919門市清單主檔'!AG:AG,$H$4) &gt; 1,
       "V","未完工"),"-")</f>
        <v>V</v>
      </c>
      <c r="I44" s="253" t="str">
        <f>IF(COUNTIFS('0919門市清單主檔'!C:C,B44,'0919門市清單主檔'!AH:AH,$H$5)=1,
    IF(COUNTIFS(IM!F:F,A44,IM!AC:AC,"*"&amp;$H$5&amp;"*") + COUNTIFS('0919門市清單主檔'!C:C,B44,'0919門市清單主檔'!AH:AH,$H$5) &gt; 1,
       "V","未完工"),"-")</f>
        <v>未完工</v>
      </c>
      <c r="J44" s="253" t="str">
        <f>IF(
    COUNTIFS('0919門市清單主檔'!C:C,B44,'0919門市清單主檔'!AC:AC,$H$2)=1,
    IF(
        COUNTIFS(
            IM!F:F,A44,
            IM!AC:AC,"*"&amp;$H$2&amp;"*",
            IM!X:X,"&gt;="&amp;$M$1,
            IM!X:X,"&lt;="&amp;$M$3
        )
        + COUNTIFS('0919門市清單主檔'!C:C,B44,'0919門市清單主檔'!AC:AC,$H$2)
        &gt;1,
        "V",
        "未完工"
    ),
    "-"
)</f>
        <v>-</v>
      </c>
      <c r="K44" s="122">
        <v>45878</v>
      </c>
      <c r="L44" s="116" t="str">
        <f>VLOOKUP(A44,'0919門市清單主檔'!B:V,21,FALSE)</f>
        <v>三重區</v>
      </c>
      <c r="M44" s="153" t="str">
        <f>VLOOKUP(A44,門市總表!A:B,2,FALSE)</f>
        <v>三重國隆店</v>
      </c>
    </row>
    <row r="45" spans="1:18" ht="21.6" customHeight="1">
      <c r="A45" s="116">
        <v>4698</v>
      </c>
      <c r="B45" s="116" t="str">
        <f>VLOOKUP(A45,門市總表!A:B,2,FALSE)</f>
        <v>三重頂崁店</v>
      </c>
      <c r="C45" s="146" t="str">
        <f>IF(COUNTIFS(IM!$F:$F,A45,IM!$AD:$AD,"O",IM!$X:$X,"&gt;="&amp;$M$1, IM!$X:$X,"&lt;"&amp;$M$2)&gt;0,"V","")</f>
        <v/>
      </c>
      <c r="D45" s="146" t="str">
        <f>IF(AND(C45&lt;&gt;"V", COUNTIFS(IM!$F:$F,A45, IM!$AD:$AD, "O", IM!$X:$X, "&gt;="&amp;$M$2, IM!$X:$X, "&lt;"&amp;$M$3)&gt;0), "V", "")</f>
        <v/>
      </c>
      <c r="E45" s="146" t="str">
        <f>IF(AND(C45&lt;&gt;"V",D45&lt;&gt;"V", COUNTIFS(IM!$F:$F, A45, IM!$AD:$AD, "O", IM!$X:$X, "&gt;="&amp;$M$3, IM!$X:$X, "&lt;"&amp;$N$3)&gt;0), "V", "")</f>
        <v/>
      </c>
      <c r="F45" s="116" t="str">
        <f>IF(VLOOKUP(A45,門市總表!A:F,6,FALSE)="新開","新開不保養",
IF(VLOOKUP(A45,門市總表!A:F,6,FALSE)="撤店","閉店不保養",IF(VLOOKUP(A45,門市總表!A:F,6,FALSE)="非當季","非當季",IF(VLOOKUP(A45,門市總表!A:F,6,FALSE)="跨季補單","跨季補單",
IF(COUNTBLANK(C45:E45)=3,"未保養","")
))))</f>
        <v>未保養</v>
      </c>
      <c r="G45" s="116" t="str">
        <f>IF(COUNTIFS('0919門市清單主檔'!C:C,B45,'0919門市清單主檔'!AF:AF,$H$3)=1,
    IF(COUNTIFS(IM!F:F,A45,IM!AC:AC,"*"&amp;$H$3&amp;"*") + COUNTIFS('0919門市清單主檔'!C:C,B45,'0919門市清單主檔'!AF:AF,$H$3) &gt; 1,
       "V","未完工"),"-")</f>
        <v>-</v>
      </c>
      <c r="H45" s="253" t="str">
        <f>IF(COUNTIFS('0919門市清單主檔'!C:C,B45,'0919門市清單主檔'!AG:AG,$H$4)=1,
    IF(COUNTIFS(IM!F:F,A45,IM!AC:AC,"*"&amp;$H$4&amp;"*") + COUNTIFS('0919門市清單主檔'!C:C,B45,'0919門市清單主檔'!AG:AG,$H$4) &gt; 1,
       "V","未完工"),"-")</f>
        <v>V</v>
      </c>
      <c r="I45" s="253" t="str">
        <f>IF(COUNTIFS('0919門市清單主檔'!C:C,B45,'0919門市清單主檔'!AH:AH,$H$5)=1,
    IF(COUNTIFS(IM!F:F,A45,IM!AC:AC,"*"&amp;$H$5&amp;"*") + COUNTIFS('0919門市清單主檔'!C:C,B45,'0919門市清單主檔'!AH:AH,$H$5) &gt; 1,
       "V","未完工"),"-")</f>
        <v>未完工</v>
      </c>
      <c r="J45" s="253" t="str">
        <f>IF(
    COUNTIFS('0919門市清單主檔'!C:C,B45,'0919門市清單主檔'!AC:AC,$H$2)=1,
    IF(
        COUNTIFS(
            IM!F:F,A45,
            IM!AC:AC,"*"&amp;$H$2&amp;"*",
            IM!X:X,"&gt;="&amp;$M$1,
            IM!X:X,"&lt;="&amp;$M$3
        )
        + COUNTIFS('0919門市清單主檔'!C:C,B45,'0919門市清單主檔'!AC:AC,$H$2)
        &gt;1,
        "V",
        "未完工"
    ),
    "-"
)</f>
        <v>-</v>
      </c>
      <c r="K45" s="122">
        <v>45879</v>
      </c>
      <c r="L45" s="116" t="str">
        <f>VLOOKUP(A45,'0919門市清單主檔'!B:V,21,FALSE)</f>
        <v>三重區</v>
      </c>
      <c r="M45" s="153" t="str">
        <f>VLOOKUP(A45,門市總表!A:B,2,FALSE)</f>
        <v>三重頂崁店</v>
      </c>
    </row>
    <row r="46" spans="1:18" ht="21.6" customHeight="1">
      <c r="A46" s="116">
        <v>3601</v>
      </c>
      <c r="B46" s="116" t="str">
        <f>VLOOKUP(A46,門市總表!A:B,2,FALSE)</f>
        <v>三重重富店</v>
      </c>
      <c r="C46" s="146" t="str">
        <f>IF(COUNTIFS(IM!$F:$F,A46,IM!$AD:$AD,"O",IM!$X:$X,"&gt;="&amp;$M$1, IM!$X:$X,"&lt;"&amp;$M$2)&gt;0,"V","")</f>
        <v/>
      </c>
      <c r="D46" s="146" t="str">
        <f>IF(AND(C46&lt;&gt;"V", COUNTIFS(IM!$F:$F,A46, IM!$AD:$AD, "O", IM!$X:$X, "&gt;="&amp;$M$2, IM!$X:$X, "&lt;"&amp;$M$3)&gt;0), "V", "")</f>
        <v/>
      </c>
      <c r="E46" s="146" t="str">
        <f>IF(AND(C46&lt;&gt;"V",D46&lt;&gt;"V", COUNTIFS(IM!$F:$F, A46, IM!$AD:$AD, "O", IM!$X:$X, "&gt;="&amp;$M$3, IM!$X:$X, "&lt;"&amp;$N$3)&gt;0), "V", "")</f>
        <v/>
      </c>
      <c r="F46" s="116" t="str">
        <f>IF(VLOOKUP(A46,門市總表!A:F,6,FALSE)="新開","新開不保養",
IF(VLOOKUP(A46,門市總表!A:F,6,FALSE)="撤店","閉店不保養",IF(VLOOKUP(A46,門市總表!A:F,6,FALSE)="非當季","非當季",IF(VLOOKUP(A46,門市總表!A:F,6,FALSE)="跨季補單","跨季補單",
IF(COUNTBLANK(C46:E46)=3,"未保養","")
))))</f>
        <v>未保養</v>
      </c>
      <c r="G46" s="116" t="str">
        <f>IF(COUNTIFS('0919門市清單主檔'!C:C,B46,'0919門市清單主檔'!AF:AF,$H$3)=1,
    IF(COUNTIFS(IM!F:F,A46,IM!AC:AC,"*"&amp;$H$3&amp;"*") + COUNTIFS('0919門市清單主檔'!C:C,B46,'0919門市清單主檔'!AF:AF,$H$3) &gt; 1,
       "V","未完工"),"-")</f>
        <v>-</v>
      </c>
      <c r="H46" s="253" t="str">
        <f>IF(COUNTIFS('0919門市清單主檔'!C:C,B46,'0919門市清單主檔'!AG:AG,$H$4)=1,
    IF(COUNTIFS(IM!F:F,A46,IM!AC:AC,"*"&amp;$H$4&amp;"*") + COUNTIFS('0919門市清單主檔'!C:C,B46,'0919門市清單主檔'!AG:AG,$H$4) &gt; 1,
       "V","未完工"),"-")</f>
        <v>V</v>
      </c>
      <c r="I46" s="253" t="str">
        <f>IF(COUNTIFS('0919門市清單主檔'!C:C,B46,'0919門市清單主檔'!AH:AH,$H$5)=1,
    IF(COUNTIFS(IM!F:F,A46,IM!AC:AC,"*"&amp;$H$5&amp;"*") + COUNTIFS('0919門市清單主檔'!C:C,B46,'0919門市清單主檔'!AH:AH,$H$5) &gt; 1,
       "V","未完工"),"-")</f>
        <v>未完工</v>
      </c>
      <c r="J46" s="253" t="str">
        <f>IF(
    COUNTIFS('0919門市清單主檔'!C:C,B46,'0919門市清單主檔'!AC:AC,$H$2)=1,
    IF(
        COUNTIFS(
            IM!F:F,A46,
            IM!AC:AC,"*"&amp;$H$2&amp;"*",
            IM!X:X,"&gt;="&amp;$M$1,
            IM!X:X,"&lt;="&amp;$M$3
        )
        + COUNTIFS('0919門市清單主檔'!C:C,B46,'0919門市清單主檔'!AC:AC,$H$2)
        &gt;1,
        "V",
        "未完工"
    ),
    "-"
)</f>
        <v>-</v>
      </c>
      <c r="K46" s="122">
        <v>45880</v>
      </c>
      <c r="L46" s="116" t="str">
        <f>VLOOKUP(A46,'0919門市清單主檔'!B:V,21,FALSE)</f>
        <v>三重區</v>
      </c>
      <c r="M46" s="153" t="str">
        <f>VLOOKUP(A46,門市總表!A:B,2,FALSE)</f>
        <v>三重重富店</v>
      </c>
    </row>
    <row r="47" spans="1:18" ht="21.6" customHeight="1">
      <c r="A47" s="116" t="s">
        <v>69</v>
      </c>
      <c r="B47" s="116" t="str">
        <f>VLOOKUP(A47,門市總表!A:B,2,FALSE)</f>
        <v>三重興德店</v>
      </c>
      <c r="C47" s="146" t="str">
        <f>IF(COUNTIFS(IM!$F:$F,A47,IM!$AD:$AD,"O",IM!$X:$X,"&gt;="&amp;$M$1, IM!$X:$X,"&lt;"&amp;$M$2)&gt;0,"V","")</f>
        <v/>
      </c>
      <c r="D47" s="146" t="str">
        <f>IF(AND(C47&lt;&gt;"V", COUNTIFS(IM!$F:$F,A47, IM!$AD:$AD, "O", IM!$X:$X, "&gt;="&amp;$M$2, IM!$X:$X, "&lt;"&amp;$M$3)&gt;0), "V", "")</f>
        <v/>
      </c>
      <c r="E47" s="146" t="str">
        <f>IF(AND(C47&lt;&gt;"V",D47&lt;&gt;"V", COUNTIFS(IM!$F:$F, A47, IM!$AD:$AD, "O", IM!$X:$X, "&gt;="&amp;$M$3, IM!$X:$X, "&lt;"&amp;$N$3)&gt;0), "V", "")</f>
        <v/>
      </c>
      <c r="F47" s="116" t="str">
        <f>IF(VLOOKUP(A47,門市總表!A:F,6,FALSE)="新開","新開不保養",
IF(VLOOKUP(A47,門市總表!A:F,6,FALSE)="撤店","閉店不保養",IF(VLOOKUP(A47,門市總表!A:F,6,FALSE)="非當季","非當季",IF(VLOOKUP(A47,門市總表!A:F,6,FALSE)="跨季補單","跨季補單",
IF(COUNTBLANK(C47:E47)=3,"未保養","")
))))</f>
        <v>未保養</v>
      </c>
      <c r="G47" s="116" t="str">
        <f>IF(COUNTIFS('0919門市清單主檔'!C:C,B47,'0919門市清單主檔'!AF:AF,$H$3)=1,
    IF(COUNTIFS(IM!F:F,A47,IM!AC:AC,"*"&amp;$H$3&amp;"*") + COUNTIFS('0919門市清單主檔'!C:C,B47,'0919門市清單主檔'!AF:AF,$H$3) &gt; 1,
       "V","未完工"),"-")</f>
        <v>-</v>
      </c>
      <c r="H47" s="253" t="str">
        <f>IF(COUNTIFS('0919門市清單主檔'!C:C,B47,'0919門市清單主檔'!AG:AG,$H$4)=1,
    IF(COUNTIFS(IM!F:F,A47,IM!AC:AC,"*"&amp;$H$4&amp;"*") + COUNTIFS('0919門市清單主檔'!C:C,B47,'0919門市清單主檔'!AG:AG,$H$4) &gt; 1,
       "V","未完工"),"-")</f>
        <v>V</v>
      </c>
      <c r="I47" s="253" t="str">
        <f>IF(COUNTIFS('0919門市清單主檔'!C:C,B47,'0919門市清單主檔'!AH:AH,$H$5)=1,
    IF(COUNTIFS(IM!F:F,A47,IM!AC:AC,"*"&amp;$H$5&amp;"*") + COUNTIFS('0919門市清單主檔'!C:C,B47,'0919門市清單主檔'!AH:AH,$H$5) &gt; 1,
       "V","未完工"),"-")</f>
        <v>未完工</v>
      </c>
      <c r="J47" s="253" t="str">
        <f>IF(
    COUNTIFS('0919門市清單主檔'!C:C,B47,'0919門市清單主檔'!AC:AC,$H$2)=1,
    IF(
        COUNTIFS(
            IM!F:F,A47,
            IM!AC:AC,"*"&amp;$H$2&amp;"*",
            IM!X:X,"&gt;="&amp;$M$1,
            IM!X:X,"&lt;="&amp;$M$3
        )
        + COUNTIFS('0919門市清單主檔'!C:C,B47,'0919門市清單主檔'!AC:AC,$H$2)
        &gt;1,
        "V",
        "未完工"
    ),
    "-"
)</f>
        <v>-</v>
      </c>
      <c r="K47" s="122">
        <v>45882</v>
      </c>
      <c r="L47" s="116" t="str">
        <f>VLOOKUP(A47,'0919門市清單主檔'!B:V,21,FALSE)</f>
        <v>三重區</v>
      </c>
      <c r="M47" s="153" t="str">
        <f>VLOOKUP(A47,門市總表!A:B,2,FALSE)</f>
        <v>三重興德店</v>
      </c>
    </row>
    <row r="48" spans="1:18" ht="21.6" customHeight="1">
      <c r="A48" s="116">
        <v>5352</v>
      </c>
      <c r="B48" s="116" t="str">
        <f>VLOOKUP(A48,門市總表!A:B,2,FALSE)</f>
        <v>三重重陽店</v>
      </c>
      <c r="C48" s="146" t="str">
        <f>IF(COUNTIFS(IM!$F:$F,A48,IM!$AD:$AD,"O",IM!$X:$X,"&gt;="&amp;$M$1, IM!$X:$X,"&lt;"&amp;$M$2)&gt;0,"V","")</f>
        <v/>
      </c>
      <c r="D48" s="146" t="str">
        <f>IF(AND(C48&lt;&gt;"V", COUNTIFS(IM!$F:$F,A48, IM!$AD:$AD, "O", IM!$X:$X, "&gt;="&amp;$M$2, IM!$X:$X, "&lt;"&amp;$M$3)&gt;0), "V", "")</f>
        <v/>
      </c>
      <c r="E48" s="146" t="str">
        <f>IF(AND(C48&lt;&gt;"V",D48&lt;&gt;"V", COUNTIFS(IM!$F:$F, A48, IM!$AD:$AD, "O", IM!$X:$X, "&gt;="&amp;$M$3, IM!$X:$X, "&lt;"&amp;$N$3)&gt;0), "V", "")</f>
        <v/>
      </c>
      <c r="F48" s="116" t="str">
        <f>IF(VLOOKUP(A48,門市總表!A:F,6,FALSE)="新開","新開不保養",
IF(VLOOKUP(A48,門市總表!A:F,6,FALSE)="撤店","閉店不保養",IF(VLOOKUP(A48,門市總表!A:F,6,FALSE)="非當季","非當季",IF(VLOOKUP(A48,門市總表!A:F,6,FALSE)="跨季補單","跨季補單",
IF(COUNTBLANK(C48:E48)=3,"未保養","")
))))</f>
        <v>未保養</v>
      </c>
      <c r="G48" s="116" t="str">
        <f>IF(COUNTIFS('0919門市清單主檔'!C:C,B48,'0919門市清單主檔'!AF:AF,$H$3)=1,
    IF(COUNTIFS(IM!F:F,A48,IM!AC:AC,"*"&amp;$H$3&amp;"*") + COUNTIFS('0919門市清單主檔'!C:C,B48,'0919門市清單主檔'!AF:AF,$H$3) &gt; 1,
       "V","未完工"),"-")</f>
        <v>-</v>
      </c>
      <c r="H48" s="253" t="str">
        <f>IF(COUNTIFS('0919門市清單主檔'!C:C,B48,'0919門市清單主檔'!AG:AG,$H$4)=1,
    IF(COUNTIFS(IM!F:F,A48,IM!AC:AC,"*"&amp;$H$4&amp;"*") + COUNTIFS('0919門市清單主檔'!C:C,B48,'0919門市清單主檔'!AG:AG,$H$4) &gt; 1,
       "V","未完工"),"-")</f>
        <v>V</v>
      </c>
      <c r="I48" s="253" t="str">
        <f>IF(COUNTIFS('0919門市清單主檔'!C:C,B48,'0919門市清單主檔'!AH:AH,$H$5)=1,
    IF(COUNTIFS(IM!F:F,A48,IM!AC:AC,"*"&amp;$H$5&amp;"*") + COUNTIFS('0919門市清單主檔'!C:C,B48,'0919門市清單主檔'!AH:AH,$H$5) &gt; 1,
       "V","未完工"),"-")</f>
        <v>未完工</v>
      </c>
      <c r="J48" s="253" t="str">
        <f>IF(
    COUNTIFS('0919門市清單主檔'!C:C,B48,'0919門市清單主檔'!AC:AC,$H$2)=1,
    IF(
        COUNTIFS(
            IM!F:F,A48,
            IM!AC:AC,"*"&amp;$H$2&amp;"*",
            IM!X:X,"&gt;="&amp;$M$1,
            IM!X:X,"&lt;="&amp;$M$3
        )
        + COUNTIFS('0919門市清單主檔'!C:C,B48,'0919門市清單主檔'!AC:AC,$H$2)
        &gt;1,
        "V",
        "未完工"
    ),
    "-"
)</f>
        <v>-</v>
      </c>
      <c r="K48" s="122">
        <v>45885</v>
      </c>
      <c r="L48" s="116" t="str">
        <f>VLOOKUP(A48,'0919門市清單主檔'!B:V,21,FALSE)</f>
        <v>三重區</v>
      </c>
      <c r="M48" s="153" t="str">
        <f>VLOOKUP(A48,門市總表!A:B,2,FALSE)</f>
        <v>三重重陽店</v>
      </c>
    </row>
    <row r="49" spans="1:13" ht="21.6" customHeight="1">
      <c r="A49" s="116" t="s">
        <v>72</v>
      </c>
      <c r="B49" s="116" t="str">
        <f>VLOOKUP(A49,門市總表!A:B,2,FALSE)</f>
        <v>三重溪尾店</v>
      </c>
      <c r="C49" s="146" t="str">
        <f>IF(COUNTIFS(IM!$F:$F,A49,IM!$AD:$AD,"O",IM!$X:$X,"&gt;="&amp;$M$1, IM!$X:$X,"&lt;"&amp;$M$2)&gt;0,"V","")</f>
        <v/>
      </c>
      <c r="D49" s="146" t="str">
        <f>IF(AND(C49&lt;&gt;"V", COUNTIFS(IM!$F:$F,A49, IM!$AD:$AD, "O", IM!$X:$X, "&gt;="&amp;$M$2, IM!$X:$X, "&lt;"&amp;$M$3)&gt;0), "V", "")</f>
        <v/>
      </c>
      <c r="E49" s="146" t="str">
        <f>IF(AND(C49&lt;&gt;"V",D49&lt;&gt;"V", COUNTIFS(IM!$F:$F, A49, IM!$AD:$AD, "O", IM!$X:$X, "&gt;="&amp;$M$3, IM!$X:$X, "&lt;"&amp;$N$3)&gt;0), "V", "")</f>
        <v/>
      </c>
      <c r="F49" s="116" t="str">
        <f>IF(VLOOKUP(A49,門市總表!A:F,6,FALSE)="新開","新開不保養",
IF(VLOOKUP(A49,門市總表!A:F,6,FALSE)="撤店","閉店不保養",IF(VLOOKUP(A49,門市總表!A:F,6,FALSE)="非當季","非當季",IF(VLOOKUP(A49,門市總表!A:F,6,FALSE)="跨季補單","跨季補單",
IF(COUNTBLANK(C49:E49)=3,"未保養","")
))))</f>
        <v>未保養</v>
      </c>
      <c r="G49" s="116" t="str">
        <f>IF(COUNTIFS('0919門市清單主檔'!C:C,B49,'0919門市清單主檔'!AF:AF,$H$3)=1,
    IF(COUNTIFS(IM!F:F,A49,IM!AC:AC,"*"&amp;$H$3&amp;"*") + COUNTIFS('0919門市清單主檔'!C:C,B49,'0919門市清單主檔'!AF:AF,$H$3) &gt; 1,
       "V","未完工"),"-")</f>
        <v>-</v>
      </c>
      <c r="H49" s="253" t="str">
        <f>IF(COUNTIFS('0919門市清單主檔'!C:C,B49,'0919門市清單主檔'!AG:AG,$H$4)=1,
    IF(COUNTIFS(IM!F:F,A49,IM!AC:AC,"*"&amp;$H$4&amp;"*") + COUNTIFS('0919門市清單主檔'!C:C,B49,'0919門市清單主檔'!AG:AG,$H$4) &gt; 1,
       "V","未完工"),"-")</f>
        <v>V</v>
      </c>
      <c r="I49" s="253" t="str">
        <f>IF(COUNTIFS('0919門市清單主檔'!C:C,B49,'0919門市清單主檔'!AH:AH,$H$5)=1,
    IF(COUNTIFS(IM!F:F,A49,IM!AC:AC,"*"&amp;$H$5&amp;"*") + COUNTIFS('0919門市清單主檔'!C:C,B49,'0919門市清單主檔'!AH:AH,$H$5) &gt; 1,
       "V","未完工"),"-")</f>
        <v>未完工</v>
      </c>
      <c r="J49" s="253" t="str">
        <f>IF(
    COUNTIFS('0919門市清單主檔'!C:C,B49,'0919門市清單主檔'!AC:AC,$H$2)=1,
    IF(
        COUNTIFS(
            IM!F:F,A49,
            IM!AC:AC,"*"&amp;$H$2&amp;"*",
            IM!X:X,"&gt;="&amp;$M$1,
            IM!X:X,"&lt;="&amp;$M$3
        )
        + COUNTIFS('0919門市清單主檔'!C:C,B49,'0919門市清單主檔'!AC:AC,$H$2)
        &gt;1,
        "V",
        "未完工"
    ),
    "-"
)</f>
        <v>-</v>
      </c>
      <c r="K49" s="122">
        <v>45886</v>
      </c>
      <c r="L49" s="116" t="str">
        <f>VLOOKUP(A49,'0919門市清單主檔'!B:V,21,FALSE)</f>
        <v>三重區</v>
      </c>
      <c r="M49" s="153" t="str">
        <f>VLOOKUP(A49,門市總表!A:B,2,FALSE)</f>
        <v>三重溪尾店</v>
      </c>
    </row>
    <row r="50" spans="1:13" ht="21.6" customHeight="1">
      <c r="A50" s="116">
        <v>4098</v>
      </c>
      <c r="B50" s="116" t="str">
        <f>VLOOKUP(A50,門市總表!A:B,2,FALSE)</f>
        <v>三重仁美店</v>
      </c>
      <c r="C50" s="146" t="str">
        <f>IF(COUNTIFS(IM!$F:$F,A50,IM!$AD:$AD,"O",IM!$X:$X,"&gt;="&amp;$M$1, IM!$X:$X,"&lt;"&amp;$M$2)&gt;0,"V","")</f>
        <v/>
      </c>
      <c r="D50" s="146" t="str">
        <f>IF(AND(C50&lt;&gt;"V", COUNTIFS(IM!$F:$F,A50, IM!$AD:$AD, "O", IM!$X:$X, "&gt;="&amp;$M$2, IM!$X:$X, "&lt;"&amp;$M$3)&gt;0), "V", "")</f>
        <v/>
      </c>
      <c r="E50" s="146" t="str">
        <f>IF(AND(C50&lt;&gt;"V",D50&lt;&gt;"V", COUNTIFS(IM!$F:$F, A50, IM!$AD:$AD, "O", IM!$X:$X, "&gt;="&amp;$M$3, IM!$X:$X, "&lt;"&amp;$N$3)&gt;0), "V", "")</f>
        <v/>
      </c>
      <c r="F50" s="116" t="str">
        <f>IF(VLOOKUP(A50,門市總表!A:F,6,FALSE)="新開","新開不保養",
IF(VLOOKUP(A50,門市總表!A:F,6,FALSE)="撤店","閉店不保養",IF(VLOOKUP(A50,門市總表!A:F,6,FALSE)="非當季","非當季",IF(VLOOKUP(A50,門市總表!A:F,6,FALSE)="跨季補單","跨季補單",
IF(COUNTBLANK(C50:E50)=3,"未保養","")
))))</f>
        <v>未保養</v>
      </c>
      <c r="G50" s="116" t="str">
        <f>IF(COUNTIFS('0919門市清單主檔'!C:C,B50,'0919門市清單主檔'!AF:AF,$H$3)=1,
    IF(COUNTIFS(IM!F:F,A50,IM!AC:AC,"*"&amp;$H$3&amp;"*") + COUNTIFS('0919門市清單主檔'!C:C,B50,'0919門市清單主檔'!AF:AF,$H$3) &gt; 1,
       "V","未完工"),"-")</f>
        <v>-</v>
      </c>
      <c r="H50" s="253" t="str">
        <f>IF(COUNTIFS('0919門市清單主檔'!C:C,B50,'0919門市清單主檔'!AG:AG,$H$4)=1,
    IF(COUNTIFS(IM!F:F,A50,IM!AC:AC,"*"&amp;$H$4&amp;"*") + COUNTIFS('0919門市清單主檔'!C:C,B50,'0919門市清單主檔'!AG:AG,$H$4) &gt; 1,
       "V","未完工"),"-")</f>
        <v>V</v>
      </c>
      <c r="I50" s="253" t="str">
        <f>IF(COUNTIFS('0919門市清單主檔'!C:C,B50,'0919門市清單主檔'!AH:AH,$H$5)=1,
    IF(COUNTIFS(IM!F:F,A50,IM!AC:AC,"*"&amp;$H$5&amp;"*") + COUNTIFS('0919門市清單主檔'!C:C,B50,'0919門市清單主檔'!AH:AH,$H$5) &gt; 1,
       "V","未完工"),"-")</f>
        <v>未完工</v>
      </c>
      <c r="J50" s="253" t="str">
        <f>IF(
    COUNTIFS('0919門市清單主檔'!C:C,B50,'0919門市清單主檔'!AC:AC,$H$2)=1,
    IF(
        COUNTIFS(
            IM!F:F,A50,
            IM!AC:AC,"*"&amp;$H$2&amp;"*",
            IM!X:X,"&gt;="&amp;$M$1,
            IM!X:X,"&lt;="&amp;$M$3
        )
        + COUNTIFS('0919門市清單主檔'!C:C,B50,'0919門市清單主檔'!AC:AC,$H$2)
        &gt;1,
        "V",
        "未完工"
    ),
    "-"
)</f>
        <v>-</v>
      </c>
      <c r="K50" s="122">
        <v>45887</v>
      </c>
      <c r="L50" s="116" t="str">
        <f>VLOOKUP(A50,'0919門市清單主檔'!B:V,21,FALSE)</f>
        <v>三重區</v>
      </c>
      <c r="M50" s="153" t="str">
        <f>VLOOKUP(A50,門市總表!A:B,2,FALSE)</f>
        <v>三重仁美店</v>
      </c>
    </row>
    <row r="51" spans="1:13" ht="21.6" customHeight="1">
      <c r="A51" s="116">
        <v>4029</v>
      </c>
      <c r="B51" s="116" t="str">
        <f>VLOOKUP(A51,門市總表!A:B,2,FALSE)</f>
        <v>三重龍濱店</v>
      </c>
      <c r="C51" s="146" t="str">
        <f>IF(COUNTIFS(IM!$F:$F,A51,IM!$AD:$AD,"O",IM!$X:$X,"&gt;="&amp;$M$1, IM!$X:$X,"&lt;"&amp;$M$2)&gt;0,"V","")</f>
        <v/>
      </c>
      <c r="D51" s="146" t="str">
        <f>IF(AND(C51&lt;&gt;"V", COUNTIFS(IM!$F:$F,A51, IM!$AD:$AD, "O", IM!$X:$X, "&gt;="&amp;$M$2, IM!$X:$X, "&lt;"&amp;$M$3)&gt;0), "V", "")</f>
        <v/>
      </c>
      <c r="E51" s="146" t="str">
        <f>IF(AND(C51&lt;&gt;"V",D51&lt;&gt;"V", COUNTIFS(IM!$F:$F, A51, IM!$AD:$AD, "O", IM!$X:$X, "&gt;="&amp;$M$3, IM!$X:$X, "&lt;"&amp;$N$3)&gt;0), "V", "")</f>
        <v/>
      </c>
      <c r="F51" s="116" t="str">
        <f>IF(VLOOKUP(A51,門市總表!A:F,6,FALSE)="新開","新開不保養",
IF(VLOOKUP(A51,門市總表!A:F,6,FALSE)="撤店","閉店不保養",IF(VLOOKUP(A51,門市總表!A:F,6,FALSE)="非當季","非當季",IF(VLOOKUP(A51,門市總表!A:F,6,FALSE)="跨季補單","跨季補單",
IF(COUNTBLANK(C51:E51)=3,"未保養","")
))))</f>
        <v>未保養</v>
      </c>
      <c r="G51" s="116" t="str">
        <f>IF(COUNTIFS('0919門市清單主檔'!C:C,B51,'0919門市清單主檔'!AF:AF,$H$3)=1,
    IF(COUNTIFS(IM!F:F,A51,IM!AC:AC,"*"&amp;$H$3&amp;"*") + COUNTIFS('0919門市清單主檔'!C:C,B51,'0919門市清單主檔'!AF:AF,$H$3) &gt; 1,
       "V","未完工"),"-")</f>
        <v>-</v>
      </c>
      <c r="H51" s="253" t="str">
        <f>IF(COUNTIFS('0919門市清單主檔'!C:C,B51,'0919門市清單主檔'!AG:AG,$H$4)=1,
    IF(COUNTIFS(IM!F:F,A51,IM!AC:AC,"*"&amp;$H$4&amp;"*") + COUNTIFS('0919門市清單主檔'!C:C,B51,'0919門市清單主檔'!AG:AG,$H$4) &gt; 1,
       "V","未完工"),"-")</f>
        <v>V</v>
      </c>
      <c r="I51" s="253" t="str">
        <f>IF(COUNTIFS('0919門市清單主檔'!C:C,B51,'0919門市清單主檔'!AH:AH,$H$5)=1,
    IF(COUNTIFS(IM!F:F,A51,IM!AC:AC,"*"&amp;$H$5&amp;"*") + COUNTIFS('0919門市清單主檔'!C:C,B51,'0919門市清單主檔'!AH:AH,$H$5) &gt; 1,
       "V","未完工"),"-")</f>
        <v>未完工</v>
      </c>
      <c r="J51" s="253" t="str">
        <f>IF(
    COUNTIFS('0919門市清單主檔'!C:C,B51,'0919門市清單主檔'!AC:AC,$H$2)=1,
    IF(
        COUNTIFS(
            IM!F:F,A51,
            IM!AC:AC,"*"&amp;$H$2&amp;"*",
            IM!X:X,"&gt;="&amp;$M$1,
            IM!X:X,"&lt;="&amp;$M$3
        )
        + COUNTIFS('0919門市清單主檔'!C:C,B51,'0919門市清單主檔'!AC:AC,$H$2)
        &gt;1,
        "V",
        "未完工"
    ),
    "-"
)</f>
        <v>-</v>
      </c>
      <c r="K51" s="122">
        <v>45888</v>
      </c>
      <c r="L51" s="116" t="str">
        <f>VLOOKUP(A51,'0919門市清單主檔'!B:V,21,FALSE)</f>
        <v>三重區</v>
      </c>
      <c r="M51" s="153" t="str">
        <f>VLOOKUP(A51,門市總表!A:B,2,FALSE)</f>
        <v>三重龍濱店</v>
      </c>
    </row>
    <row r="52" spans="1:13" ht="21.6" customHeight="1">
      <c r="A52" s="116">
        <v>2759</v>
      </c>
      <c r="B52" s="116" t="str">
        <f>VLOOKUP(A52,門市總表!A:B,2,FALSE)</f>
        <v>三重仁化店</v>
      </c>
      <c r="C52" s="146" t="str">
        <f>IF(COUNTIFS(IM!$F:$F,A52,IM!$AD:$AD,"O",IM!$X:$X,"&gt;="&amp;$M$1, IM!$X:$X,"&lt;"&amp;$M$2)&gt;0,"V","")</f>
        <v/>
      </c>
      <c r="D52" s="146" t="str">
        <f>IF(AND(C52&lt;&gt;"V", COUNTIFS(IM!$F:$F,A52, IM!$AD:$AD, "O", IM!$X:$X, "&gt;="&amp;$M$2, IM!$X:$X, "&lt;"&amp;$M$3)&gt;0), "V", "")</f>
        <v/>
      </c>
      <c r="E52" s="146" t="str">
        <f>IF(AND(C52&lt;&gt;"V",D52&lt;&gt;"V", COUNTIFS(IM!$F:$F, A52, IM!$AD:$AD, "O", IM!$X:$X, "&gt;="&amp;$M$3, IM!$X:$X, "&lt;"&amp;$N$3)&gt;0), "V", "")</f>
        <v/>
      </c>
      <c r="F52" s="116" t="str">
        <f>IF(VLOOKUP(A52,門市總表!A:F,6,FALSE)="新開","新開不保養",
IF(VLOOKUP(A52,門市總表!A:F,6,FALSE)="撤店","閉店不保養",IF(VLOOKUP(A52,門市總表!A:F,6,FALSE)="非當季","非當季",IF(VLOOKUP(A52,門市總表!A:F,6,FALSE)="跨季補單","跨季補單",
IF(COUNTBLANK(C52:E52)=3,"未保養","")
))))</f>
        <v>未保養</v>
      </c>
      <c r="G52" s="116" t="str">
        <f>IF(COUNTIFS('0919門市清單主檔'!C:C,B52,'0919門市清單主檔'!AF:AF,$H$3)=1,
    IF(COUNTIFS(IM!F:F,A52,IM!AC:AC,"*"&amp;$H$3&amp;"*") + COUNTIFS('0919門市清單主檔'!C:C,B52,'0919門市清單主檔'!AF:AF,$H$3) &gt; 1,
       "V","未完工"),"-")</f>
        <v>-</v>
      </c>
      <c r="H52" s="253" t="str">
        <f>IF(COUNTIFS('0919門市清單主檔'!C:C,B52,'0919門市清單主檔'!AG:AG,$H$4)=1,
    IF(COUNTIFS(IM!F:F,A52,IM!AC:AC,"*"&amp;$H$4&amp;"*") + COUNTIFS('0919門市清單主檔'!C:C,B52,'0919門市清單主檔'!AG:AG,$H$4) &gt; 1,
       "V","未完工"),"-")</f>
        <v>V</v>
      </c>
      <c r="I52" s="253" t="str">
        <f>IF(COUNTIFS('0919門市清單主檔'!C:C,B52,'0919門市清單主檔'!AH:AH,$H$5)=1,
    IF(COUNTIFS(IM!F:F,A52,IM!AC:AC,"*"&amp;$H$5&amp;"*") + COUNTIFS('0919門市清單主檔'!C:C,B52,'0919門市清單主檔'!AH:AH,$H$5) &gt; 1,
       "V","未完工"),"-")</f>
        <v>未完工</v>
      </c>
      <c r="J52" s="253" t="str">
        <f>IF(
    COUNTIFS('0919門市清單主檔'!C:C,B52,'0919門市清單主檔'!AC:AC,$H$2)=1,
    IF(
        COUNTIFS(
            IM!F:F,A52,
            IM!AC:AC,"*"&amp;$H$2&amp;"*",
            IM!X:X,"&gt;="&amp;$M$1,
            IM!X:X,"&lt;="&amp;$M$3
        )
        + COUNTIFS('0919門市清單主檔'!C:C,B52,'0919門市清單主檔'!AC:AC,$H$2)
        &gt;1,
        "V",
        "未完工"
    ),
    "-"
)</f>
        <v>-</v>
      </c>
      <c r="K52" s="122">
        <v>45889</v>
      </c>
      <c r="L52" s="116" t="str">
        <f>VLOOKUP(A52,'0919門市清單主檔'!B:V,21,FALSE)</f>
        <v>三重區</v>
      </c>
      <c r="M52" s="153" t="str">
        <f>VLOOKUP(A52,門市總表!A:B,2,FALSE)</f>
        <v>三重仁化店</v>
      </c>
    </row>
    <row r="53" spans="1:13" ht="21.6" customHeight="1">
      <c r="A53" s="116">
        <v>3796</v>
      </c>
      <c r="B53" s="116" t="str">
        <f>VLOOKUP(A53,門市總表!A:B,2,FALSE)</f>
        <v>三重進安店</v>
      </c>
      <c r="C53" s="146" t="str">
        <f>IF(COUNTIFS(IM!$F:$F,A53,IM!$AD:$AD,"O",IM!$X:$X,"&gt;="&amp;$M$1, IM!$X:$X,"&lt;"&amp;$M$2)&gt;0,"V","")</f>
        <v/>
      </c>
      <c r="D53" s="146" t="str">
        <f>IF(AND(C53&lt;&gt;"V", COUNTIFS(IM!$F:$F,A53, IM!$AD:$AD, "O", IM!$X:$X, "&gt;="&amp;$M$2, IM!$X:$X, "&lt;"&amp;$M$3)&gt;0), "V", "")</f>
        <v/>
      </c>
      <c r="E53" s="146" t="str">
        <f>IF(AND(C53&lt;&gt;"V",D53&lt;&gt;"V", COUNTIFS(IM!$F:$F, A53, IM!$AD:$AD, "O", IM!$X:$X, "&gt;="&amp;$M$3, IM!$X:$X, "&lt;"&amp;$N$3)&gt;0), "V", "")</f>
        <v/>
      </c>
      <c r="F53" s="116" t="str">
        <f>IF(VLOOKUP(A53,門市總表!A:F,6,FALSE)="新開","新開不保養",
IF(VLOOKUP(A53,門市總表!A:F,6,FALSE)="撤店","閉店不保養",IF(VLOOKUP(A53,門市總表!A:F,6,FALSE)="非當季","非當季",IF(VLOOKUP(A53,門市總表!A:F,6,FALSE)="跨季補單","跨季補單",
IF(COUNTBLANK(C53:E53)=3,"未保養","")
))))</f>
        <v>未保養</v>
      </c>
      <c r="G53" s="116" t="str">
        <f>IF(COUNTIFS('0919門市清單主檔'!C:C,B53,'0919門市清單主檔'!AF:AF,$H$3)=1,
    IF(COUNTIFS(IM!F:F,A53,IM!AC:AC,"*"&amp;$H$3&amp;"*") + COUNTIFS('0919門市清單主檔'!C:C,B53,'0919門市清單主檔'!AF:AF,$H$3) &gt; 1,
       "V","未完工"),"-")</f>
        <v>-</v>
      </c>
      <c r="H53" s="253" t="str">
        <f>IF(COUNTIFS('0919門市清單主檔'!C:C,B53,'0919門市清單主檔'!AG:AG,$H$4)=1,
    IF(COUNTIFS(IM!F:F,A53,IM!AC:AC,"*"&amp;$H$4&amp;"*") + COUNTIFS('0919門市清單主檔'!C:C,B53,'0919門市清單主檔'!AG:AG,$H$4) &gt; 1,
       "V","未完工"),"-")</f>
        <v>V</v>
      </c>
      <c r="I53" s="253" t="str">
        <f>IF(COUNTIFS('0919門市清單主檔'!C:C,B53,'0919門市清單主檔'!AH:AH,$H$5)=1,
    IF(COUNTIFS(IM!F:F,A53,IM!AC:AC,"*"&amp;$H$5&amp;"*") + COUNTIFS('0919門市清單主檔'!C:C,B53,'0919門市清單主檔'!AH:AH,$H$5) &gt; 1,
       "V","未完工"),"-")</f>
        <v>未完工</v>
      </c>
      <c r="J53" s="253" t="str">
        <f>IF(
    COUNTIFS('0919門市清單主檔'!C:C,B53,'0919門市清單主檔'!AC:AC,$H$2)=1,
    IF(
        COUNTIFS(
            IM!F:F,A53,
            IM!AC:AC,"*"&amp;$H$2&amp;"*",
            IM!X:X,"&gt;="&amp;$M$1,
            IM!X:X,"&lt;="&amp;$M$3
        )
        + COUNTIFS('0919門市清單主檔'!C:C,B53,'0919門市清單主檔'!AC:AC,$H$2)
        &gt;1,
        "V",
        "未完工"
    ),
    "-"
)</f>
        <v>-</v>
      </c>
      <c r="K53" s="122">
        <v>45890</v>
      </c>
      <c r="L53" s="116" t="str">
        <f>VLOOKUP(A53,'0919門市清單主檔'!B:V,21,FALSE)</f>
        <v>三重區</v>
      </c>
      <c r="M53" s="153" t="str">
        <f>VLOOKUP(A53,門市總表!A:B,2,FALSE)</f>
        <v>三重進安店</v>
      </c>
    </row>
    <row r="54" spans="1:13" ht="21.6" customHeight="1">
      <c r="A54" s="116">
        <v>4083</v>
      </c>
      <c r="B54" s="116" t="str">
        <f>VLOOKUP(A54,門市總表!A:B,2,FALSE)</f>
        <v>三重中央南</v>
      </c>
      <c r="C54" s="146" t="str">
        <f>IF(COUNTIFS(IM!$F:$F,A54,IM!$AD:$AD,"O",IM!$X:$X,"&gt;="&amp;$M$1, IM!$X:$X,"&lt;"&amp;$M$2)&gt;0,"V","")</f>
        <v/>
      </c>
      <c r="D54" s="146" t="str">
        <f>IF(AND(C54&lt;&gt;"V", COUNTIFS(IM!$F:$F,A54, IM!$AD:$AD, "O", IM!$X:$X, "&gt;="&amp;$M$2, IM!$X:$X, "&lt;"&amp;$M$3)&gt;0), "V", "")</f>
        <v/>
      </c>
      <c r="E54" s="146" t="str">
        <f>IF(AND(C54&lt;&gt;"V",D54&lt;&gt;"V", COUNTIFS(IM!$F:$F, A54, IM!$AD:$AD, "O", IM!$X:$X, "&gt;="&amp;$M$3, IM!$X:$X, "&lt;"&amp;$N$3)&gt;0), "V", "")</f>
        <v/>
      </c>
      <c r="F54" s="116" t="str">
        <f>IF(VLOOKUP(A54,門市總表!A:F,6,FALSE)="新開","新開不保養",
IF(VLOOKUP(A54,門市總表!A:F,6,FALSE)="撤店","閉店不保養",IF(VLOOKUP(A54,門市總表!A:F,6,FALSE)="非當季","非當季",IF(VLOOKUP(A54,門市總表!A:F,6,FALSE)="跨季補單","跨季補單",
IF(COUNTBLANK(C54:E54)=3,"未保養","")
))))</f>
        <v>未保養</v>
      </c>
      <c r="G54" s="116" t="str">
        <f>IF(COUNTIFS('0919門市清單主檔'!C:C,B54,'0919門市清單主檔'!AF:AF,$H$3)=1,
    IF(COUNTIFS(IM!F:F,A54,IM!AC:AC,"*"&amp;$H$3&amp;"*") + COUNTIFS('0919門市清單主檔'!C:C,B54,'0919門市清單主檔'!AF:AF,$H$3) &gt; 1,
       "V","未完工"),"-")</f>
        <v>-</v>
      </c>
      <c r="H54" s="253" t="str">
        <f>IF(COUNTIFS('0919門市清單主檔'!C:C,B54,'0919門市清單主檔'!AG:AG,$H$4)=1,
    IF(COUNTIFS(IM!F:F,A54,IM!AC:AC,"*"&amp;$H$4&amp;"*") + COUNTIFS('0919門市清單主檔'!C:C,B54,'0919門市清單主檔'!AG:AG,$H$4) &gt; 1,
       "V","未完工"),"-")</f>
        <v>V</v>
      </c>
      <c r="I54" s="253" t="str">
        <f>IF(COUNTIFS('0919門市清單主檔'!C:C,B54,'0919門市清單主檔'!AH:AH,$H$5)=1,
    IF(COUNTIFS(IM!F:F,A54,IM!AC:AC,"*"&amp;$H$5&amp;"*") + COUNTIFS('0919門市清單主檔'!C:C,B54,'0919門市清單主檔'!AH:AH,$H$5) &gt; 1,
       "V","未完工"),"-")</f>
        <v>未完工</v>
      </c>
      <c r="J54" s="253" t="str">
        <f>IF(
    COUNTIFS('0919門市清單主檔'!C:C,B54,'0919門市清單主檔'!AC:AC,$H$2)=1,
    IF(
        COUNTIFS(
            IM!F:F,A54,
            IM!AC:AC,"*"&amp;$H$2&amp;"*",
            IM!X:X,"&gt;="&amp;$M$1,
            IM!X:X,"&lt;="&amp;$M$3
        )
        + COUNTIFS('0919門市清單主檔'!C:C,B54,'0919門市清單主檔'!AC:AC,$H$2)
        &gt;1,
        "V",
        "未完工"
    ),
    "-"
)</f>
        <v>-</v>
      </c>
      <c r="K54" s="122">
        <v>45891</v>
      </c>
      <c r="L54" s="116" t="str">
        <f>VLOOKUP(A54,'0919門市清單主檔'!B:V,21,FALSE)</f>
        <v>三重區</v>
      </c>
      <c r="M54" s="153" t="str">
        <f>VLOOKUP(A54,門市總表!A:B,2,FALSE)</f>
        <v>三重中央南</v>
      </c>
    </row>
    <row r="55" spans="1:13" ht="21.6" customHeight="1">
      <c r="A55" s="116">
        <v>4101</v>
      </c>
      <c r="B55" s="116" t="str">
        <f>VLOOKUP(A55,門市總表!A:B,2,FALSE)</f>
        <v>三重溪華店</v>
      </c>
      <c r="C55" s="146" t="str">
        <f>IF(COUNTIFS(IM!$F:$F,A55,IM!$AD:$AD,"O",IM!$X:$X,"&gt;="&amp;$M$1, IM!$X:$X,"&lt;"&amp;$M$2)&gt;0,"V","")</f>
        <v/>
      </c>
      <c r="D55" s="146" t="str">
        <f>IF(AND(C55&lt;&gt;"V", COUNTIFS(IM!$F:$F,A55, IM!$AD:$AD, "O", IM!$X:$X, "&gt;="&amp;$M$2, IM!$X:$X, "&lt;"&amp;$M$3)&gt;0), "V", "")</f>
        <v/>
      </c>
      <c r="E55" s="146" t="str">
        <f>IF(AND(C55&lt;&gt;"V",D55&lt;&gt;"V", COUNTIFS(IM!$F:$F, A55, IM!$AD:$AD, "O", IM!$X:$X, "&gt;="&amp;$M$3, IM!$X:$X, "&lt;"&amp;$N$3)&gt;0), "V", "")</f>
        <v/>
      </c>
      <c r="F55" s="116" t="str">
        <f>IF(VLOOKUP(A55,門市總表!A:F,6,FALSE)="新開","新開不保養",
IF(VLOOKUP(A55,門市總表!A:F,6,FALSE)="撤店","閉店不保養",IF(VLOOKUP(A55,門市總表!A:F,6,FALSE)="非當季","非當季",IF(VLOOKUP(A55,門市總表!A:F,6,FALSE)="跨季補單","跨季補單",
IF(COUNTBLANK(C55:E55)=3,"未保養","")
))))</f>
        <v>未保養</v>
      </c>
      <c r="G55" s="116" t="str">
        <f>IF(COUNTIFS('0919門市清單主檔'!C:C,B55,'0919門市清單主檔'!AF:AF,$H$3)=1,
    IF(COUNTIFS(IM!F:F,A55,IM!AC:AC,"*"&amp;$H$3&amp;"*") + COUNTIFS('0919門市清單主檔'!C:C,B55,'0919門市清單主檔'!AF:AF,$H$3) &gt; 1,
       "V","未完工"),"-")</f>
        <v>-</v>
      </c>
      <c r="H55" s="253" t="str">
        <f>IF(COUNTIFS('0919門市清單主檔'!C:C,B55,'0919門市清單主檔'!AG:AG,$H$4)=1,
    IF(COUNTIFS(IM!F:F,A55,IM!AC:AC,"*"&amp;$H$4&amp;"*") + COUNTIFS('0919門市清單主檔'!C:C,B55,'0919門市清單主檔'!AG:AG,$H$4) &gt; 1,
       "V","未完工"),"-")</f>
        <v>V</v>
      </c>
      <c r="I55" s="253" t="str">
        <f>IF(COUNTIFS('0919門市清單主檔'!C:C,B55,'0919門市清單主檔'!AH:AH,$H$5)=1,
    IF(COUNTIFS(IM!F:F,A55,IM!AC:AC,"*"&amp;$H$5&amp;"*") + COUNTIFS('0919門市清單主檔'!C:C,B55,'0919門市清單主檔'!AH:AH,$H$5) &gt; 1,
       "V","未完工"),"-")</f>
        <v>未完工</v>
      </c>
      <c r="J55" s="253" t="str">
        <f>IF(
    COUNTIFS('0919門市清單主檔'!C:C,B55,'0919門市清單主檔'!AC:AC,$H$2)=1,
    IF(
        COUNTIFS(
            IM!F:F,A55,
            IM!AC:AC,"*"&amp;$H$2&amp;"*",
            IM!X:X,"&gt;="&amp;$M$1,
            IM!X:X,"&lt;="&amp;$M$3
        )
        + COUNTIFS('0919門市清單主檔'!C:C,B55,'0919門市清單主檔'!AC:AC,$H$2)
        &gt;1,
        "V",
        "未完工"
    ),
    "-"
)</f>
        <v>-</v>
      </c>
      <c r="K55" s="122">
        <v>45892</v>
      </c>
      <c r="L55" s="116" t="str">
        <f>VLOOKUP(A55,'0919門市清單主檔'!B:V,21,FALSE)</f>
        <v>三重區</v>
      </c>
      <c r="M55" s="153" t="str">
        <f>VLOOKUP(A55,門市總表!A:B,2,FALSE)</f>
        <v>三重溪華店</v>
      </c>
    </row>
    <row r="56" spans="1:13" ht="21.6" customHeight="1">
      <c r="A56" s="116">
        <v>3811</v>
      </c>
      <c r="B56" s="116" t="str">
        <f>VLOOKUP(A56,門市總表!A:B,2,FALSE)</f>
        <v>三重碧華公園</v>
      </c>
      <c r="C56" s="146" t="str">
        <f>IF(COUNTIFS(IM!$F:$F,A56,IM!$AD:$AD,"O",IM!$X:$X,"&gt;="&amp;$M$1, IM!$X:$X,"&lt;"&amp;$M$2)&gt;0,"V","")</f>
        <v/>
      </c>
      <c r="D56" s="146" t="str">
        <f>IF(AND(C56&lt;&gt;"V", COUNTIFS(IM!$F:$F,A56, IM!$AD:$AD, "O", IM!$X:$X, "&gt;="&amp;$M$2, IM!$X:$X, "&lt;"&amp;$M$3)&gt;0), "V", "")</f>
        <v/>
      </c>
      <c r="E56" s="146" t="str">
        <f>IF(AND(C56&lt;&gt;"V",D56&lt;&gt;"V", COUNTIFS(IM!$F:$F, A56, IM!$AD:$AD, "O", IM!$X:$X, "&gt;="&amp;$M$3, IM!$X:$X, "&lt;"&amp;$N$3)&gt;0), "V", "")</f>
        <v/>
      </c>
      <c r="F56" s="116" t="str">
        <f>IF(VLOOKUP(A56,門市總表!A:F,6,FALSE)="新開","新開不保養",
IF(VLOOKUP(A56,門市總表!A:F,6,FALSE)="撤店","閉店不保養",IF(VLOOKUP(A56,門市總表!A:F,6,FALSE)="非當季","非當季",IF(VLOOKUP(A56,門市總表!A:F,6,FALSE)="跨季補單","跨季補單",
IF(COUNTBLANK(C56:E56)=3,"未保養","")
))))</f>
        <v>未保養</v>
      </c>
      <c r="G56" s="116" t="str">
        <f>IF(COUNTIFS('0919門市清單主檔'!C:C,B56,'0919門市清單主檔'!AF:AF,$H$3)=1,
    IF(COUNTIFS(IM!F:F,A56,IM!AC:AC,"*"&amp;$H$3&amp;"*") + COUNTIFS('0919門市清單主檔'!C:C,B56,'0919門市清單主檔'!AF:AF,$H$3) &gt; 1,
       "V","未完工"),"-")</f>
        <v>-</v>
      </c>
      <c r="H56" s="253" t="str">
        <f>IF(COUNTIFS('0919門市清單主檔'!C:C,B56,'0919門市清單主檔'!AG:AG,$H$4)=1,
    IF(COUNTIFS(IM!F:F,A56,IM!AC:AC,"*"&amp;$H$4&amp;"*") + COUNTIFS('0919門市清單主檔'!C:C,B56,'0919門市清單主檔'!AG:AG,$H$4) &gt; 1,
       "V","未完工"),"-")</f>
        <v>V</v>
      </c>
      <c r="I56" s="253" t="str">
        <f>IF(COUNTIFS('0919門市清單主檔'!C:C,B56,'0919門市清單主檔'!AH:AH,$H$5)=1,
    IF(COUNTIFS(IM!F:F,A56,IM!AC:AC,"*"&amp;$H$5&amp;"*") + COUNTIFS('0919門市清單主檔'!C:C,B56,'0919門市清單主檔'!AH:AH,$H$5) &gt; 1,
       "V","未完工"),"-")</f>
        <v>未完工</v>
      </c>
      <c r="J56" s="253" t="str">
        <f>IF(
    COUNTIFS('0919門市清單主檔'!C:C,B56,'0919門市清單主檔'!AC:AC,$H$2)=1,
    IF(
        COUNTIFS(
            IM!F:F,A56,
            IM!AC:AC,"*"&amp;$H$2&amp;"*",
            IM!X:X,"&gt;="&amp;$M$1,
            IM!X:X,"&lt;="&amp;$M$3
        )
        + COUNTIFS('0919門市清單主檔'!C:C,B56,'0919門市清單主檔'!AC:AC,$H$2)
        &gt;1,
        "V",
        "未完工"
    ),
    "-"
)</f>
        <v>-</v>
      </c>
      <c r="K56" s="122">
        <v>45894</v>
      </c>
      <c r="L56" s="116" t="str">
        <f>VLOOKUP(A56,'0919門市清單主檔'!B:V,21,FALSE)</f>
        <v>三重區</v>
      </c>
      <c r="M56" s="153" t="str">
        <f>VLOOKUP(A56,門市總表!A:B,2,FALSE)</f>
        <v>三重碧華公園</v>
      </c>
    </row>
    <row r="57" spans="1:13" ht="21.6" customHeight="1">
      <c r="A57" s="116">
        <v>2349</v>
      </c>
      <c r="B57" s="116" t="str">
        <f>VLOOKUP(A57,門市總表!A:B,2,FALSE)</f>
        <v>三重永福店</v>
      </c>
      <c r="C57" s="146" t="str">
        <f>IF(COUNTIFS(IM!$F:$F,A57,IM!$AD:$AD,"O",IM!$X:$X,"&gt;="&amp;$M$1, IM!$X:$X,"&lt;"&amp;$M$2)&gt;0,"V","")</f>
        <v/>
      </c>
      <c r="D57" s="146" t="str">
        <f>IF(AND(C57&lt;&gt;"V", COUNTIFS(IM!$F:$F,A57, IM!$AD:$AD, "O", IM!$X:$X, "&gt;="&amp;$M$2, IM!$X:$X, "&lt;"&amp;$M$3)&gt;0), "V", "")</f>
        <v/>
      </c>
      <c r="E57" s="146" t="str">
        <f>IF(AND(C57&lt;&gt;"V",D57&lt;&gt;"V", COUNTIFS(IM!$F:$F, A57, IM!$AD:$AD, "O", IM!$X:$X, "&gt;="&amp;$M$3, IM!$X:$X, "&lt;"&amp;$N$3)&gt;0), "V", "")</f>
        <v/>
      </c>
      <c r="F57" s="116" t="str">
        <f>IF(VLOOKUP(A57,門市總表!A:F,6,FALSE)="新開","新開不保養",
IF(VLOOKUP(A57,門市總表!A:F,6,FALSE)="撤店","閉店不保養",IF(VLOOKUP(A57,門市總表!A:F,6,FALSE)="非當季","非當季",IF(VLOOKUP(A57,門市總表!A:F,6,FALSE)="跨季補單","跨季補單",
IF(COUNTBLANK(C57:E57)=3,"未保養","")
))))</f>
        <v>未保養</v>
      </c>
      <c r="G57" s="116" t="str">
        <f>IF(COUNTIFS('0919門市清單主檔'!C:C,B57,'0919門市清單主檔'!AF:AF,$H$3)=1,
    IF(COUNTIFS(IM!F:F,A57,IM!AC:AC,"*"&amp;$H$3&amp;"*") + COUNTIFS('0919門市清單主檔'!C:C,B57,'0919門市清單主檔'!AF:AF,$H$3) &gt; 1,
       "V","未完工"),"-")</f>
        <v>-</v>
      </c>
      <c r="H57" s="253" t="str">
        <f>IF(COUNTIFS('0919門市清單主檔'!C:C,B57,'0919門市清單主檔'!AG:AG,$H$4)=1,
    IF(COUNTIFS(IM!F:F,A57,IM!AC:AC,"*"&amp;$H$4&amp;"*") + COUNTIFS('0919門市清單主檔'!C:C,B57,'0919門市清單主檔'!AG:AG,$H$4) &gt; 1,
       "V","未完工"),"-")</f>
        <v>V</v>
      </c>
      <c r="I57" s="253" t="str">
        <f>IF(COUNTIFS('0919門市清單主檔'!C:C,B57,'0919門市清單主檔'!AH:AH,$H$5)=1,
    IF(COUNTIFS(IM!F:F,A57,IM!AC:AC,"*"&amp;$H$5&amp;"*") + COUNTIFS('0919門市清單主檔'!C:C,B57,'0919門市清單主檔'!AH:AH,$H$5) &gt; 1,
       "V","未完工"),"-")</f>
        <v>未完工</v>
      </c>
      <c r="J57" s="253" t="str">
        <f>IF(
    COUNTIFS('0919門市清單主檔'!C:C,B57,'0919門市清單主檔'!AC:AC,$H$2)=1,
    IF(
        COUNTIFS(
            IM!F:F,A57,
            IM!AC:AC,"*"&amp;$H$2&amp;"*",
            IM!X:X,"&gt;="&amp;$M$1,
            IM!X:X,"&lt;="&amp;$M$3
        )
        + COUNTIFS('0919門市清單主檔'!C:C,B57,'0919門市清單主檔'!AC:AC,$H$2)
        &gt;1,
        "V",
        "未完工"
    ),
    "-"
)</f>
        <v>-</v>
      </c>
      <c r="K57" s="122">
        <v>45895</v>
      </c>
      <c r="L57" s="116" t="str">
        <f>VLOOKUP(A57,'0919門市清單主檔'!B:V,21,FALSE)</f>
        <v>三重區</v>
      </c>
      <c r="M57" s="153" t="str">
        <f>VLOOKUP(A57,門市總表!A:B,2,FALSE)</f>
        <v>三重永福店</v>
      </c>
    </row>
    <row r="58" spans="1:13" ht="21.6" customHeight="1">
      <c r="A58" s="116" t="s">
        <v>78</v>
      </c>
      <c r="B58" s="116" t="str">
        <f>VLOOKUP(A58,門市總表!A:B,2,FALSE)</f>
        <v>三重維德店</v>
      </c>
      <c r="C58" s="146" t="str">
        <f>IF(COUNTIFS(IM!$F:$F,A58,IM!$AD:$AD,"O",IM!$X:$X,"&gt;="&amp;$M$1, IM!$X:$X,"&lt;"&amp;$M$2)&gt;0,"V","")</f>
        <v/>
      </c>
      <c r="D58" s="146" t="str">
        <f>IF(AND(C58&lt;&gt;"V", COUNTIFS(IM!$F:$F,A58, IM!$AD:$AD, "O", IM!$X:$X, "&gt;="&amp;$M$2, IM!$X:$X, "&lt;"&amp;$M$3)&gt;0), "V", "")</f>
        <v/>
      </c>
      <c r="E58" s="146" t="str">
        <f>IF(AND(C58&lt;&gt;"V",D58&lt;&gt;"V", COUNTIFS(IM!$F:$F, A58, IM!$AD:$AD, "O", IM!$X:$X, "&gt;="&amp;$M$3, IM!$X:$X, "&lt;"&amp;$N$3)&gt;0), "V", "")</f>
        <v/>
      </c>
      <c r="F58" s="116" t="str">
        <f>IF(VLOOKUP(A58,門市總表!A:F,6,FALSE)="新開","新開不保養",
IF(VLOOKUP(A58,門市總表!A:F,6,FALSE)="撤店","閉店不保養",IF(VLOOKUP(A58,門市總表!A:F,6,FALSE)="非當季","非當季",IF(VLOOKUP(A58,門市總表!A:F,6,FALSE)="跨季補單","跨季補單",
IF(COUNTBLANK(C58:E58)=3,"未保養","")
))))</f>
        <v>未保養</v>
      </c>
      <c r="G58" s="116" t="str">
        <f>IF(COUNTIFS('0919門市清單主檔'!C:C,B58,'0919門市清單主檔'!AF:AF,$H$3)=1,
    IF(COUNTIFS(IM!F:F,A58,IM!AC:AC,"*"&amp;$H$3&amp;"*") + COUNTIFS('0919門市清單主檔'!C:C,B58,'0919門市清單主檔'!AF:AF,$H$3) &gt; 1,
       "V","未完工"),"-")</f>
        <v>-</v>
      </c>
      <c r="H58" s="253" t="str">
        <f>IF(COUNTIFS('0919門市清單主檔'!C:C,B58,'0919門市清單主檔'!AG:AG,$H$4)=1,
    IF(COUNTIFS(IM!F:F,A58,IM!AC:AC,"*"&amp;$H$4&amp;"*") + COUNTIFS('0919門市清單主檔'!C:C,B58,'0919門市清單主檔'!AG:AG,$H$4) &gt; 1,
       "V","未完工"),"-")</f>
        <v>V</v>
      </c>
      <c r="I58" s="253" t="str">
        <f>IF(COUNTIFS('0919門市清單主檔'!C:C,B58,'0919門市清單主檔'!AH:AH,$H$5)=1,
    IF(COUNTIFS(IM!F:F,A58,IM!AC:AC,"*"&amp;$H$5&amp;"*") + COUNTIFS('0919門市清單主檔'!C:C,B58,'0919門市清單主檔'!AH:AH,$H$5) &gt; 1,
       "V","未完工"),"-")</f>
        <v>-</v>
      </c>
      <c r="J58" s="253" t="str">
        <f>IF(
    COUNTIFS('0919門市清單主檔'!C:C,B58,'0919門市清單主檔'!AC:AC,$H$2)=1,
    IF(
        COUNTIFS(
            IM!F:F,A58,
            IM!AC:AC,"*"&amp;$H$2&amp;"*",
            IM!X:X,"&gt;="&amp;$M$1,
            IM!X:X,"&lt;="&amp;$M$3
        )
        + COUNTIFS('0919門市清單主檔'!C:C,B58,'0919門市清單主檔'!AC:AC,$H$2)
        &gt;1,
        "V",
        "未完工"
    ),
    "-"
)</f>
        <v>-</v>
      </c>
      <c r="K58" s="122">
        <v>45896</v>
      </c>
      <c r="L58" s="116" t="str">
        <f>VLOOKUP(A58,'0919門市清單主檔'!B:V,21,FALSE)</f>
        <v>三重區</v>
      </c>
      <c r="M58" s="153" t="str">
        <f>VLOOKUP(A58,門市總表!A:B,2,FALSE)</f>
        <v>三重維德店</v>
      </c>
    </row>
    <row r="59" spans="1:13" ht="21.6" customHeight="1">
      <c r="A59" s="116">
        <v>3772</v>
      </c>
      <c r="B59" s="116" t="str">
        <f>VLOOKUP(A59,門市總表!A:B,2,FALSE)</f>
        <v>三重美溪店</v>
      </c>
      <c r="C59" s="146" t="str">
        <f>IF(COUNTIFS(IM!$F:$F,A59,IM!$AD:$AD,"O",IM!$X:$X,"&gt;="&amp;$M$1, IM!$X:$X,"&lt;"&amp;$M$2)&gt;0,"V","")</f>
        <v/>
      </c>
      <c r="D59" s="146" t="str">
        <f>IF(AND(C59&lt;&gt;"V", COUNTIFS(IM!$F:$F,A59, IM!$AD:$AD, "O", IM!$X:$X, "&gt;="&amp;$M$2, IM!$X:$X, "&lt;"&amp;$M$3)&gt;0), "V", "")</f>
        <v/>
      </c>
      <c r="E59" s="146" t="str">
        <f>IF(AND(C59&lt;&gt;"V",D59&lt;&gt;"V", COUNTIFS(IM!$F:$F, A59, IM!$AD:$AD, "O", IM!$X:$X, "&gt;="&amp;$M$3, IM!$X:$X, "&lt;"&amp;$N$3)&gt;0), "V", "")</f>
        <v/>
      </c>
      <c r="F59" s="116" t="str">
        <f>IF(VLOOKUP(A59,門市總表!A:F,6,FALSE)="新開","新開不保養",
IF(VLOOKUP(A59,門市總表!A:F,6,FALSE)="撤店","閉店不保養",IF(VLOOKUP(A59,門市總表!A:F,6,FALSE)="非當季","非當季",IF(VLOOKUP(A59,門市總表!A:F,6,FALSE)="跨季補單","跨季補單",
IF(COUNTBLANK(C59:E59)=3,"未保養","")
))))</f>
        <v>未保養</v>
      </c>
      <c r="G59" s="116" t="str">
        <f>IF(COUNTIFS('0919門市清單主檔'!C:C,B59,'0919門市清單主檔'!AF:AF,$H$3)=1,
    IF(COUNTIFS(IM!F:F,A59,IM!AC:AC,"*"&amp;$H$3&amp;"*") + COUNTIFS('0919門市清單主檔'!C:C,B59,'0919門市清單主檔'!AF:AF,$H$3) &gt; 1,
       "V","未完工"),"-")</f>
        <v>-</v>
      </c>
      <c r="H59" s="253" t="str">
        <f>IF(COUNTIFS('0919門市清單主檔'!C:C,B59,'0919門市清單主檔'!AG:AG,$H$4)=1,
    IF(COUNTIFS(IM!F:F,A59,IM!AC:AC,"*"&amp;$H$4&amp;"*") + COUNTIFS('0919門市清單主檔'!C:C,B59,'0919門市清單主檔'!AG:AG,$H$4) &gt; 1,
       "V","未完工"),"-")</f>
        <v>V</v>
      </c>
      <c r="I59" s="253" t="str">
        <f>IF(COUNTIFS('0919門市清單主檔'!C:C,B59,'0919門市清單主檔'!AH:AH,$H$5)=1,
    IF(COUNTIFS(IM!F:F,A59,IM!AC:AC,"*"&amp;$H$5&amp;"*") + COUNTIFS('0919門市清單主檔'!C:C,B59,'0919門市清單主檔'!AH:AH,$H$5) &gt; 1,
       "V","未完工"),"-")</f>
        <v>未完工</v>
      </c>
      <c r="J59" s="253" t="str">
        <f>IF(
    COUNTIFS('0919門市清單主檔'!C:C,B59,'0919門市清單主檔'!AC:AC,$H$2)=1,
    IF(
        COUNTIFS(
            IM!F:F,A59,
            IM!AC:AC,"*"&amp;$H$2&amp;"*",
            IM!X:X,"&gt;="&amp;$M$1,
            IM!X:X,"&lt;="&amp;$M$3
        )
        + COUNTIFS('0919門市清單主檔'!C:C,B59,'0919門市清單主檔'!AC:AC,$H$2)
        &gt;1,
        "V",
        "未完工"
    ),
    "-"
)</f>
        <v>-</v>
      </c>
      <c r="K59" s="122">
        <v>45897</v>
      </c>
      <c r="L59" s="116" t="str">
        <f>VLOOKUP(A59,'0919門市清單主檔'!B:V,21,FALSE)</f>
        <v>三重區</v>
      </c>
      <c r="M59" s="153" t="str">
        <f>VLOOKUP(A59,門市總表!A:B,2,FALSE)</f>
        <v>三重美溪店</v>
      </c>
    </row>
    <row r="60" spans="1:13" ht="21.6" customHeight="1">
      <c r="A60" s="116" t="s">
        <v>79</v>
      </c>
      <c r="B60" s="116" t="str">
        <f>VLOOKUP(A60,門市總表!A:B,2,FALSE)</f>
        <v>三重徐匯站</v>
      </c>
      <c r="C60" s="146" t="str">
        <f>IF(COUNTIFS(IM!$F:$F,A60,IM!$AD:$AD,"O",IM!$X:$X,"&gt;="&amp;$M$1, IM!$X:$X,"&lt;"&amp;$M$2)&gt;0,"V","")</f>
        <v/>
      </c>
      <c r="D60" s="146" t="str">
        <f>IF(AND(C60&lt;&gt;"V", COUNTIFS(IM!$F:$F,A60, IM!$AD:$AD, "O", IM!$X:$X, "&gt;="&amp;$M$2, IM!$X:$X, "&lt;"&amp;$M$3)&gt;0), "V", "")</f>
        <v/>
      </c>
      <c r="E60" s="146" t="str">
        <f>IF(AND(C60&lt;&gt;"V",D60&lt;&gt;"V", COUNTIFS(IM!$F:$F, A60, IM!$AD:$AD, "O", IM!$X:$X, "&gt;="&amp;$M$3, IM!$X:$X, "&lt;"&amp;$N$3)&gt;0), "V", "")</f>
        <v/>
      </c>
      <c r="F60" s="116" t="str">
        <f>IF(VLOOKUP(A60,門市總表!A:F,6,FALSE)="新開","新開不保養",
IF(VLOOKUP(A60,門市總表!A:F,6,FALSE)="撤店","閉店不保養",IF(VLOOKUP(A60,門市總表!A:F,6,FALSE)="非當季","非當季",IF(VLOOKUP(A60,門市總表!A:F,6,FALSE)="跨季補單","跨季補單",
IF(COUNTBLANK(C60:E60)=3,"未保養","")
))))</f>
        <v>未保養</v>
      </c>
      <c r="G60" s="116" t="str">
        <f>IF(COUNTIFS('0919門市清單主檔'!C:C,B60,'0919門市清單主檔'!AF:AF,$H$3)=1,
    IF(COUNTIFS(IM!F:F,A60,IM!AC:AC,"*"&amp;$H$3&amp;"*") + COUNTIFS('0919門市清單主檔'!C:C,B60,'0919門市清單主檔'!AF:AF,$H$3) &gt; 1,
       "V","未完工"),"-")</f>
        <v>-</v>
      </c>
      <c r="H60" s="253" t="str">
        <f>IF(COUNTIFS('0919門市清單主檔'!C:C,B60,'0919門市清單主檔'!AG:AG,$H$4)=1,
    IF(COUNTIFS(IM!F:F,A60,IM!AC:AC,"*"&amp;$H$4&amp;"*") + COUNTIFS('0919門市清單主檔'!C:C,B60,'0919門市清單主檔'!AG:AG,$H$4) &gt; 1,
       "V","未完工"),"-")</f>
        <v>V</v>
      </c>
      <c r="I60" s="253" t="str">
        <f>IF(COUNTIFS('0919門市清單主檔'!C:C,B60,'0919門市清單主檔'!AH:AH,$H$5)=1,
    IF(COUNTIFS(IM!F:F,A60,IM!AC:AC,"*"&amp;$H$5&amp;"*") + COUNTIFS('0919門市清單主檔'!C:C,B60,'0919門市清單主檔'!AH:AH,$H$5) &gt; 1,
       "V","未完工"),"-")</f>
        <v>未完工</v>
      </c>
      <c r="J60" s="253" t="str">
        <f>IF(
    COUNTIFS('0919門市清單主檔'!C:C,B60,'0919門市清單主檔'!AC:AC,$H$2)=1,
    IF(
        COUNTIFS(
            IM!F:F,A60,
            IM!AC:AC,"*"&amp;$H$2&amp;"*",
            IM!X:X,"&gt;="&amp;$M$1,
            IM!X:X,"&lt;="&amp;$M$3
        )
        + COUNTIFS('0919門市清單主檔'!C:C,B60,'0919門市清單主檔'!AC:AC,$H$2)
        &gt;1,
        "V",
        "未完工"
    ),
    "-"
)</f>
        <v>-</v>
      </c>
      <c r="K60" s="122">
        <v>45899</v>
      </c>
      <c r="L60" s="116" t="str">
        <f>VLOOKUP(A60,'0919門市清單主檔'!B:V,21,FALSE)</f>
        <v>三重區</v>
      </c>
      <c r="M60" s="153" t="str">
        <f>VLOOKUP(A60,門市總表!A:B,2,FALSE)</f>
        <v>三重徐匯站</v>
      </c>
    </row>
    <row r="61" spans="1:13" ht="21.6" customHeight="1">
      <c r="A61" s="116">
        <v>3957</v>
      </c>
      <c r="B61" s="116" t="str">
        <f>VLOOKUP(A61,門市總表!A:B,2,FALSE)</f>
        <v>三重福仁店</v>
      </c>
      <c r="C61" s="146" t="str">
        <f>IF(COUNTIFS(IM!$F:$F,A61,IM!$AD:$AD,"O",IM!$X:$X,"&gt;="&amp;$M$1, IM!$X:$X,"&lt;"&amp;$M$2)&gt;0,"V","")</f>
        <v/>
      </c>
      <c r="D61" s="146" t="str">
        <f>IF(AND(C61&lt;&gt;"V", COUNTIFS(IM!$F:$F,A61, IM!$AD:$AD, "O", IM!$X:$X, "&gt;="&amp;$M$2, IM!$X:$X, "&lt;"&amp;$M$3)&gt;0), "V", "")</f>
        <v/>
      </c>
      <c r="E61" s="146" t="str">
        <f>IF(AND(C61&lt;&gt;"V",D61&lt;&gt;"V", COUNTIFS(IM!$F:$F, A61, IM!$AD:$AD, "O", IM!$X:$X, "&gt;="&amp;$M$3, IM!$X:$X, "&lt;"&amp;$N$3)&gt;0), "V", "")</f>
        <v/>
      </c>
      <c r="F61" s="116" t="str">
        <f>IF(VLOOKUP(A61,門市總表!A:F,6,FALSE)="新開","新開不保養",
IF(VLOOKUP(A61,門市總表!A:F,6,FALSE)="撤店","閉店不保養",IF(VLOOKUP(A61,門市總表!A:F,6,FALSE)="非當季","非當季",IF(VLOOKUP(A61,門市總表!A:F,6,FALSE)="跨季補單","跨季補單",
IF(COUNTBLANK(C61:E61)=3,"未保養","")
))))</f>
        <v>未保養</v>
      </c>
      <c r="G61" s="116" t="str">
        <f>IF(COUNTIFS('0919門市清單主檔'!C:C,B61,'0919門市清單主檔'!AF:AF,$H$3)=1,
    IF(COUNTIFS(IM!F:F,A61,IM!AC:AC,"*"&amp;$H$3&amp;"*") + COUNTIFS('0919門市清單主檔'!C:C,B61,'0919門市清單主檔'!AF:AF,$H$3) &gt; 1,
       "V","未完工"),"-")</f>
        <v>-</v>
      </c>
      <c r="H61" s="253" t="str">
        <f>IF(COUNTIFS('0919門市清單主檔'!C:C,B61,'0919門市清單主檔'!AG:AG,$H$4)=1,
    IF(COUNTIFS(IM!F:F,A61,IM!AC:AC,"*"&amp;$H$4&amp;"*") + COUNTIFS('0919門市清單主檔'!C:C,B61,'0919門市清單主檔'!AG:AG,$H$4) &gt; 1,
       "V","未完工"),"-")</f>
        <v>V</v>
      </c>
      <c r="I61" s="253" t="str">
        <f>IF(COUNTIFS('0919門市清單主檔'!C:C,B61,'0919門市清單主檔'!AH:AH,$H$5)=1,
    IF(COUNTIFS(IM!F:F,A61,IM!AC:AC,"*"&amp;$H$5&amp;"*") + COUNTIFS('0919門市清單主檔'!C:C,B61,'0919門市清單主檔'!AH:AH,$H$5) &gt; 1,
       "V","未完工"),"-")</f>
        <v>未完工</v>
      </c>
      <c r="J61" s="253" t="str">
        <f>IF(
    COUNTIFS('0919門市清單主檔'!C:C,B61,'0919門市清單主檔'!AC:AC,$H$2)=1,
    IF(
        COUNTIFS(
            IM!F:F,A61,
            IM!AC:AC,"*"&amp;$H$2&amp;"*",
            IM!X:X,"&gt;="&amp;$M$1,
            IM!X:X,"&lt;="&amp;$M$3
        )
        + COUNTIFS('0919門市清單主檔'!C:C,B61,'0919門市清單主檔'!AC:AC,$H$2)
        &gt;1,
        "V",
        "未完工"
    ),
    "-"
)</f>
        <v>-</v>
      </c>
      <c r="K61" s="122">
        <v>45900</v>
      </c>
      <c r="L61" s="116" t="str">
        <f>VLOOKUP(A61,'0919門市清單主檔'!B:V,21,FALSE)</f>
        <v>三重區</v>
      </c>
      <c r="M61" s="153" t="str">
        <f>VLOOKUP(A61,門市總表!A:B,2,FALSE)</f>
        <v>三重福仁店</v>
      </c>
    </row>
    <row r="62" spans="1:13" ht="21.6" customHeight="1">
      <c r="A62" s="116">
        <v>5377</v>
      </c>
      <c r="B62" s="116" t="str">
        <f>VLOOKUP(A62,門市總表!A:B,2,FALSE)</f>
        <v>三重大智店</v>
      </c>
      <c r="C62" s="146" t="str">
        <f>IF(COUNTIFS(IM!$F:$F,A62,IM!$AD:$AD,"O",IM!$X:$X,"&gt;="&amp;$M$1, IM!$X:$X,"&lt;"&amp;$M$2)&gt;0,"V","")</f>
        <v/>
      </c>
      <c r="D62" s="146" t="str">
        <f>IF(AND(C62&lt;&gt;"V", COUNTIFS(IM!$F:$F,A62, IM!$AD:$AD, "O", IM!$X:$X, "&gt;="&amp;$M$2, IM!$X:$X, "&lt;"&amp;$M$3)&gt;0), "V", "")</f>
        <v/>
      </c>
      <c r="E62" s="146" t="str">
        <f>IF(AND(C62&lt;&gt;"V",D62&lt;&gt;"V", COUNTIFS(IM!$F:$F, A62, IM!$AD:$AD, "O", IM!$X:$X, "&gt;="&amp;$M$3, IM!$X:$X, "&lt;"&amp;$N$3)&gt;0), "V", "")</f>
        <v/>
      </c>
      <c r="F62" s="116" t="str">
        <f>IF(VLOOKUP(A62,門市總表!A:F,6,FALSE)="新開","新開不保養",
IF(VLOOKUP(A62,門市總表!A:F,6,FALSE)="撤店","閉店不保養",IF(VLOOKUP(A62,門市總表!A:F,6,FALSE)="非當季","非當季",IF(VLOOKUP(A62,門市總表!A:F,6,FALSE)="跨季補單","跨季補單",
IF(COUNTBLANK(C62:E62)=3,"未保養","")
))))</f>
        <v>未保養</v>
      </c>
      <c r="G62" s="116" t="str">
        <f>IF(COUNTIFS('0919門市清單主檔'!C:C,B62,'0919門市清單主檔'!AF:AF,$H$3)=1,
    IF(COUNTIFS(IM!F:F,A62,IM!AC:AC,"*"&amp;$H$3&amp;"*") + COUNTIFS('0919門市清單主檔'!C:C,B62,'0919門市清單主檔'!AF:AF,$H$3) &gt; 1,
       "V","未完工"),"-")</f>
        <v>-</v>
      </c>
      <c r="H62" s="253" t="str">
        <f>IF(COUNTIFS('0919門市清單主檔'!C:C,B62,'0919門市清單主檔'!AG:AG,$H$4)=1,
    IF(COUNTIFS(IM!F:F,A62,IM!AC:AC,"*"&amp;$H$4&amp;"*") + COUNTIFS('0919門市清單主檔'!C:C,B62,'0919門市清單主檔'!AG:AG,$H$4) &gt; 1,
       "V","未完工"),"-")</f>
        <v>未完工</v>
      </c>
      <c r="I62" s="253" t="str">
        <f>IF(COUNTIFS('0919門市清單主檔'!C:C,B62,'0919門市清單主檔'!AH:AH,$H$5)=1,
    IF(COUNTIFS(IM!F:F,A62,IM!AC:AC,"*"&amp;$H$5&amp;"*") + COUNTIFS('0919門市清單主檔'!C:C,B62,'0919門市清單主檔'!AH:AH,$H$5) &gt; 1,
       "V","未完工"),"-")</f>
        <v>-</v>
      </c>
      <c r="J62" s="253" t="str">
        <f>IF(
    COUNTIFS('0919門市清單主檔'!C:C,B62,'0919門市清單主檔'!AC:AC,$H$2)=1,
    IF(
        COUNTIFS(
            IM!F:F,A62,
            IM!AC:AC,"*"&amp;$H$2&amp;"*",
            IM!X:X,"&gt;="&amp;$M$1,
            IM!X:X,"&lt;="&amp;$M$3
        )
        + COUNTIFS('0919門市清單主檔'!C:C,B62,'0919門市清單主檔'!AC:AC,$H$2)
        &gt;1,
        "V",
        "未完工"
    ),
    "-"
)</f>
        <v>-</v>
      </c>
      <c r="K62" s="122">
        <v>45901</v>
      </c>
      <c r="L62" s="116" t="str">
        <f>VLOOKUP(A62,'0919門市清單主檔'!B:V,21,FALSE)</f>
        <v>三重區</v>
      </c>
      <c r="M62" s="153" t="str">
        <f>VLOOKUP(A62,門市總表!A:B,2,FALSE)</f>
        <v>三重大智店</v>
      </c>
    </row>
    <row r="63" spans="1:13" ht="21.6" customHeight="1">
      <c r="A63" s="116">
        <v>5410</v>
      </c>
      <c r="B63" s="116" t="str">
        <f>VLOOKUP(A63,門市總表!A:B,2,FALSE)</f>
        <v>三重力行店</v>
      </c>
      <c r="C63" s="146" t="str">
        <f>IF(COUNTIFS(IM!$F:$F,A63,IM!$AD:$AD,"O",IM!$X:$X,"&gt;="&amp;$M$1, IM!$X:$X,"&lt;"&amp;$M$2)&gt;0,"V","")</f>
        <v/>
      </c>
      <c r="D63" s="146" t="str">
        <f>IF(AND(C63&lt;&gt;"V", COUNTIFS(IM!$F:$F,A63, IM!$AD:$AD, "O", IM!$X:$X, "&gt;="&amp;$M$2, IM!$X:$X, "&lt;"&amp;$M$3)&gt;0), "V", "")</f>
        <v/>
      </c>
      <c r="E63" s="146" t="str">
        <f>IF(AND(C63&lt;&gt;"V",D63&lt;&gt;"V", COUNTIFS(IM!$F:$F, A63, IM!$AD:$AD, "O", IM!$X:$X, "&gt;="&amp;$M$3, IM!$X:$X, "&lt;"&amp;$N$3)&gt;0), "V", "")</f>
        <v/>
      </c>
      <c r="F63" s="116" t="str">
        <f>IF(VLOOKUP(A63,門市總表!A:F,6,FALSE)="新開","新開不保養",
IF(VLOOKUP(A63,門市總表!A:F,6,FALSE)="撤店","閉店不保養",IF(VLOOKUP(A63,門市總表!A:F,6,FALSE)="非當季","非當季",IF(VLOOKUP(A63,門市總表!A:F,6,FALSE)="跨季補單","跨季補單",
IF(COUNTBLANK(C63:E63)=3,"未保養","")
))))</f>
        <v>未保養</v>
      </c>
      <c r="G63" s="116" t="str">
        <f>IF(COUNTIFS('0919門市清單主檔'!C:C,B63,'0919門市清單主檔'!AF:AF,$H$3)=1,
    IF(COUNTIFS(IM!F:F,A63,IM!AC:AC,"*"&amp;$H$3&amp;"*") + COUNTIFS('0919門市清單主檔'!C:C,B63,'0919門市清單主檔'!AF:AF,$H$3) &gt; 1,
       "V","未完工"),"-")</f>
        <v>-</v>
      </c>
      <c r="H63" s="253" t="str">
        <f>IF(COUNTIFS('0919門市清單主檔'!C:C,B63,'0919門市清單主檔'!AG:AG,$H$4)=1,
    IF(COUNTIFS(IM!F:F,A63,IM!AC:AC,"*"&amp;$H$4&amp;"*") + COUNTIFS('0919門市清單主檔'!C:C,B63,'0919門市清單主檔'!AG:AG,$H$4) &gt; 1,
       "V","未完工"),"-")</f>
        <v>未完工</v>
      </c>
      <c r="I63" s="253" t="str">
        <f>IF(COUNTIFS('0919門市清單主檔'!C:C,B63,'0919門市清單主檔'!AH:AH,$H$5)=1,
    IF(COUNTIFS(IM!F:F,A63,IM!AC:AC,"*"&amp;$H$5&amp;"*") + COUNTIFS('0919門市清單主檔'!C:C,B63,'0919門市清單主檔'!AH:AH,$H$5) &gt; 1,
       "V","未完工"),"-")</f>
        <v>-</v>
      </c>
      <c r="J63" s="253" t="str">
        <f>IF(
    COUNTIFS('0919門市清單主檔'!C:C,B63,'0919門市清單主檔'!AC:AC,$H$2)=1,
    IF(
        COUNTIFS(
            IM!F:F,A63,
            IM!AC:AC,"*"&amp;$H$2&amp;"*",
            IM!X:X,"&gt;="&amp;$M$1,
            IM!X:X,"&lt;="&amp;$M$3
        )
        + COUNTIFS('0919門市清單主檔'!C:C,B63,'0919門市清單主檔'!AC:AC,$H$2)
        &gt;1,
        "V",
        "未完工"
    ),
    "-"
)</f>
        <v>-</v>
      </c>
      <c r="K63" s="122">
        <v>45903</v>
      </c>
      <c r="L63" s="116" t="str">
        <f>VLOOKUP(A63,'0919門市清單主檔'!B:V,21,FALSE)</f>
        <v>三重區</v>
      </c>
      <c r="M63" s="153" t="str">
        <f>VLOOKUP(A63,門市總表!A:B,2,FALSE)</f>
        <v>三重力行店</v>
      </c>
    </row>
    <row r="64" spans="1:13" ht="21.6" customHeight="1">
      <c r="A64" s="116">
        <v>2380</v>
      </c>
      <c r="B64" s="116" t="str">
        <f>VLOOKUP(A64,門市總表!A:B,2,FALSE)</f>
        <v>永和樂華夜市</v>
      </c>
      <c r="C64" s="146" t="str">
        <f>IF(COUNTIFS(IM!$F:$F,A64,IM!$AD:$AD,"O",IM!$X:$X,"&gt;="&amp;$M$1, IM!$X:$X,"&lt;"&amp;$M$2)&gt;0,"V","")</f>
        <v/>
      </c>
      <c r="D64" s="146" t="str">
        <f>IF(AND(C64&lt;&gt;"V", COUNTIFS(IM!$F:$F,A64, IM!$AD:$AD, "O", IM!$X:$X, "&gt;="&amp;$M$2, IM!$X:$X, "&lt;"&amp;$M$3)&gt;0), "V", "")</f>
        <v/>
      </c>
      <c r="E64" s="146" t="str">
        <f>IF(AND(C64&lt;&gt;"V",D64&lt;&gt;"V", COUNTIFS(IM!$F:$F, A64, IM!$AD:$AD, "O", IM!$X:$X, "&gt;="&amp;$M$3, IM!$X:$X, "&lt;"&amp;$N$3)&gt;0), "V", "")</f>
        <v/>
      </c>
      <c r="F64" s="116" t="str">
        <f>IF(VLOOKUP(A64,門市總表!A:F,6,FALSE)="新開","新開不保養",
IF(VLOOKUP(A64,門市總表!A:F,6,FALSE)="撤店","閉店不保養",IF(VLOOKUP(A64,門市總表!A:F,6,FALSE)="非當季","非當季",IF(VLOOKUP(A64,門市總表!A:F,6,FALSE)="跨季補單","跨季補單",
IF(COUNTBLANK(C64:E64)=3,"未保養","")
))))</f>
        <v>未保養</v>
      </c>
      <c r="G64" s="116" t="str">
        <f>IF(COUNTIFS('0919門市清單主檔'!C:C,B64,'0919門市清單主檔'!AF:AF,$H$3)=1,
    IF(COUNTIFS(IM!F:F,A64,IM!AC:AC,"*"&amp;$H$3&amp;"*") + COUNTIFS('0919門市清單主檔'!C:C,B64,'0919門市清單主檔'!AF:AF,$H$3) &gt; 1,
       "V","未完工"),"-")</f>
        <v>-</v>
      </c>
      <c r="H64" s="253" t="str">
        <f>IF(COUNTIFS('0919門市清單主檔'!C:C,B64,'0919門市清單主檔'!AG:AG,$H$4)=1,
    IF(COUNTIFS(IM!F:F,A64,IM!AC:AC,"*"&amp;$H$4&amp;"*") + COUNTIFS('0919門市清單主檔'!C:C,B64,'0919門市清單主檔'!AG:AG,$H$4) &gt; 1,
       "V","未完工"),"-")</f>
        <v>未完工</v>
      </c>
      <c r="I64" s="253" t="str">
        <f>IF(COUNTIFS('0919門市清單主檔'!C:C,B64,'0919門市清單主檔'!AH:AH,$H$5)=1,
    IF(COUNTIFS(IM!F:F,A64,IM!AC:AC,"*"&amp;$H$5&amp;"*") + COUNTIFS('0919門市清單主檔'!C:C,B64,'0919門市清單主檔'!AH:AH,$H$5) &gt; 1,
       "V","未完工"),"-")</f>
        <v>未完工</v>
      </c>
      <c r="J64" s="253" t="str">
        <f>IF(
    COUNTIFS('0919門市清單主檔'!C:C,B64,'0919門市清單主檔'!AC:AC,$H$2)=1,
    IF(
        COUNTIFS(
            IM!F:F,A64,
            IM!AC:AC,"*"&amp;$H$2&amp;"*",
            IM!X:X,"&gt;="&amp;$M$1,
            IM!X:X,"&lt;="&amp;$M$3
        )
        + COUNTIFS('0919門市清單主檔'!C:C,B64,'0919門市清單主檔'!AC:AC,$H$2)
        &gt;1,
        "V",
        "未完工"
    ),
    "-"
)</f>
        <v>-</v>
      </c>
      <c r="K64" s="122">
        <v>45905</v>
      </c>
      <c r="L64" s="116" t="str">
        <f>VLOOKUP(A64,'0919門市清單主檔'!B:V,21,FALSE)</f>
        <v>永和區</v>
      </c>
      <c r="M64" s="153" t="str">
        <f>VLOOKUP(A64,門市總表!A:B,2,FALSE)</f>
        <v>永和樂華夜市</v>
      </c>
    </row>
    <row r="65" spans="1:13" ht="21.6" customHeight="1">
      <c r="A65" s="116">
        <v>3941</v>
      </c>
      <c r="B65" s="116" t="str">
        <f>VLOOKUP(A65,門市總表!A:B,2,FALSE)</f>
        <v>永和興工店</v>
      </c>
      <c r="C65" s="146" t="str">
        <f>IF(COUNTIFS(IM!$F:$F,A65,IM!$AD:$AD,"O",IM!$X:$X,"&gt;="&amp;$M$1, IM!$X:$X,"&lt;"&amp;$M$2)&gt;0,"V","")</f>
        <v/>
      </c>
      <c r="D65" s="146" t="str">
        <f>IF(AND(C65&lt;&gt;"V", COUNTIFS(IM!$F:$F,A65, IM!$AD:$AD, "O", IM!$X:$X, "&gt;="&amp;$M$2, IM!$X:$X, "&lt;"&amp;$M$3)&gt;0), "V", "")</f>
        <v/>
      </c>
      <c r="E65" s="146" t="str">
        <f>IF(AND(C65&lt;&gt;"V",D65&lt;&gt;"V", COUNTIFS(IM!$F:$F, A65, IM!$AD:$AD, "O", IM!$X:$X, "&gt;="&amp;$M$3, IM!$X:$X, "&lt;"&amp;$N$3)&gt;0), "V", "")</f>
        <v/>
      </c>
      <c r="F65" s="116" t="str">
        <f>IF(VLOOKUP(A65,門市總表!A:F,6,FALSE)="新開","新開不保養",
IF(VLOOKUP(A65,門市總表!A:F,6,FALSE)="撤店","閉店不保養",IF(VLOOKUP(A65,門市總表!A:F,6,FALSE)="非當季","非當季",IF(VLOOKUP(A65,門市總表!A:F,6,FALSE)="跨季補單","跨季補單",
IF(COUNTBLANK(C65:E65)=3,"未保養","")
))))</f>
        <v>未保養</v>
      </c>
      <c r="G65" s="116" t="str">
        <f>IF(COUNTIFS('0919門市清單主檔'!C:C,B65,'0919門市清單主檔'!AF:AF,$H$3)=1,
    IF(COUNTIFS(IM!F:F,A65,IM!AC:AC,"*"&amp;$H$3&amp;"*") + COUNTIFS('0919門市清單主檔'!C:C,B65,'0919門市清單主檔'!AF:AF,$H$3) &gt; 1,
       "V","未完工"),"-")</f>
        <v>-</v>
      </c>
      <c r="H65" s="253" t="str">
        <f>IF(COUNTIFS('0919門市清單主檔'!C:C,B65,'0919門市清單主檔'!AG:AG,$H$4)=1,
    IF(COUNTIFS(IM!F:F,A65,IM!AC:AC,"*"&amp;$H$4&amp;"*") + COUNTIFS('0919門市清單主檔'!C:C,B65,'0919門市清單主檔'!AG:AG,$H$4) &gt; 1,
       "V","未完工"),"-")</f>
        <v>未完工</v>
      </c>
      <c r="I65" s="253" t="str">
        <f>IF(COUNTIFS('0919門市清單主檔'!C:C,B65,'0919門市清單主檔'!AH:AH,$H$5)=1,
    IF(COUNTIFS(IM!F:F,A65,IM!AC:AC,"*"&amp;$H$5&amp;"*") + COUNTIFS('0919門市清單主檔'!C:C,B65,'0919門市清單主檔'!AH:AH,$H$5) &gt; 1,
       "V","未完工"),"-")</f>
        <v>未完工</v>
      </c>
      <c r="J65" s="253" t="str">
        <f>IF(
    COUNTIFS('0919門市清單主檔'!C:C,B65,'0919門市清單主檔'!AC:AC,$H$2)=1,
    IF(
        COUNTIFS(
            IM!F:F,A65,
            IM!AC:AC,"*"&amp;$H$2&amp;"*",
            IM!X:X,"&gt;="&amp;$M$1,
            IM!X:X,"&lt;="&amp;$M$3
        )
        + COUNTIFS('0919門市清單主檔'!C:C,B65,'0919門市清單主檔'!AC:AC,$H$2)
        &gt;1,
        "V",
        "未完工"
    ),
    "-"
)</f>
        <v>-</v>
      </c>
      <c r="K65" s="122">
        <v>45907</v>
      </c>
      <c r="L65" s="116" t="str">
        <f>VLOOKUP(A65,'0919門市清單主檔'!B:V,21,FALSE)</f>
        <v>永和區</v>
      </c>
      <c r="M65" s="153" t="str">
        <f>VLOOKUP(A65,門市總表!A:B,2,FALSE)</f>
        <v>永和興工店</v>
      </c>
    </row>
    <row r="66" spans="1:13" ht="21.6" customHeight="1">
      <c r="A66" s="116">
        <v>5240</v>
      </c>
      <c r="B66" s="116" t="str">
        <f>VLOOKUP(A66,門市總表!A:B,2,FALSE)</f>
        <v>中和運動中心</v>
      </c>
      <c r="C66" s="146" t="str">
        <f>IF(COUNTIFS(IM!$F:$F,A66,IM!$AD:$AD,"O",IM!$X:$X,"&gt;="&amp;$M$1, IM!$X:$X,"&lt;"&amp;$M$2)&gt;0,"V","")</f>
        <v/>
      </c>
      <c r="D66" s="146" t="str">
        <f>IF(AND(C66&lt;&gt;"V", COUNTIFS(IM!$F:$F,A66, IM!$AD:$AD, "O", IM!$X:$X, "&gt;="&amp;$M$2, IM!$X:$X, "&lt;"&amp;$M$3)&gt;0), "V", "")</f>
        <v/>
      </c>
      <c r="E66" s="146" t="str">
        <f>IF(AND(C66&lt;&gt;"V",D66&lt;&gt;"V", COUNTIFS(IM!$F:$F, A66, IM!$AD:$AD, "O", IM!$X:$X, "&gt;="&amp;$M$3, IM!$X:$X, "&lt;"&amp;$N$3)&gt;0), "V", "")</f>
        <v/>
      </c>
      <c r="F66" s="116" t="str">
        <f>IF(VLOOKUP(A66,門市總表!A:F,6,FALSE)="新開","新開不保養",
IF(VLOOKUP(A66,門市總表!A:F,6,FALSE)="撤店","閉店不保養",IF(VLOOKUP(A66,門市總表!A:F,6,FALSE)="非當季","非當季",IF(VLOOKUP(A66,門市總表!A:F,6,FALSE)="跨季補單","跨季補單",
IF(COUNTBLANK(C66:E66)=3,"未保養","")
))))</f>
        <v>未保養</v>
      </c>
      <c r="G66" s="116" t="str">
        <f>IF(COUNTIFS('0919門市清單主檔'!C:C,B66,'0919門市清單主檔'!AF:AF,$H$3)=1,
    IF(COUNTIFS(IM!F:F,A66,IM!AC:AC,"*"&amp;$H$3&amp;"*") + COUNTIFS('0919門市清單主檔'!C:C,B66,'0919門市清單主檔'!AF:AF,$H$3) &gt; 1,
       "V","未完工"),"-")</f>
        <v>-</v>
      </c>
      <c r="H66" s="253" t="str">
        <f>IF(COUNTIFS('0919門市清單主檔'!C:C,B66,'0919門市清單主檔'!AG:AG,$H$4)=1,
    IF(COUNTIFS(IM!F:F,A66,IM!AC:AC,"*"&amp;$H$4&amp;"*") + COUNTIFS('0919門市清單主檔'!C:C,B66,'0919門市清單主檔'!AG:AG,$H$4) &gt; 1,
       "V","未完工"),"-")</f>
        <v>未完工</v>
      </c>
      <c r="I66" s="253" t="str">
        <f>IF(COUNTIFS('0919門市清單主檔'!C:C,B66,'0919門市清單主檔'!AH:AH,$H$5)=1,
    IF(COUNTIFS(IM!F:F,A66,IM!AC:AC,"*"&amp;$H$5&amp;"*") + COUNTIFS('0919門市清單主檔'!C:C,B66,'0919門市清單主檔'!AH:AH,$H$5) &gt; 1,
       "V","未完工"),"-")</f>
        <v>未完工</v>
      </c>
      <c r="J66" s="253" t="str">
        <f>IF(
    COUNTIFS('0919門市清單主檔'!C:C,B66,'0919門市清單主檔'!AC:AC,$H$2)=1,
    IF(
        COUNTIFS(
            IM!F:F,A66,
            IM!AC:AC,"*"&amp;$H$2&amp;"*",
            IM!X:X,"&gt;="&amp;$M$1,
            IM!X:X,"&lt;="&amp;$M$3
        )
        + COUNTIFS('0919門市清單主檔'!C:C,B66,'0919門市清單主檔'!AC:AC,$H$2)
        &gt;1,
        "V",
        "未完工"
    ),
    "-"
)</f>
        <v>-</v>
      </c>
      <c r="K66" s="122">
        <v>45910</v>
      </c>
      <c r="L66" s="116" t="str">
        <f>VLOOKUP(A66,'0919門市清單主檔'!B:V,21,FALSE)</f>
        <v>中和區</v>
      </c>
      <c r="M66" s="153" t="str">
        <f>VLOOKUP(A66,門市總表!A:B,2,FALSE)</f>
        <v>中和運動中心</v>
      </c>
    </row>
    <row r="67" spans="1:13" ht="21.6" customHeight="1">
      <c r="A67" s="116">
        <v>2171</v>
      </c>
      <c r="B67" s="116" t="str">
        <f>VLOOKUP(A67,門市總表!A:B,2,FALSE)</f>
        <v>北縣興南店</v>
      </c>
      <c r="C67" s="146" t="str">
        <f>IF(COUNTIFS(IM!$F:$F,A67,IM!$AD:$AD,"O",IM!$X:$X,"&gt;="&amp;$M$1, IM!$X:$X,"&lt;"&amp;$M$2)&gt;0,"V","")</f>
        <v/>
      </c>
      <c r="D67" s="146" t="str">
        <f>IF(AND(C67&lt;&gt;"V", COUNTIFS(IM!$F:$F,A67, IM!$AD:$AD, "O", IM!$X:$X, "&gt;="&amp;$M$2, IM!$X:$X, "&lt;"&amp;$M$3)&gt;0), "V", "")</f>
        <v/>
      </c>
      <c r="E67" s="146" t="str">
        <f>IF(AND(C67&lt;&gt;"V",D67&lt;&gt;"V", COUNTIFS(IM!$F:$F, A67, IM!$AD:$AD, "O", IM!$X:$X, "&gt;="&amp;$M$3, IM!$X:$X, "&lt;"&amp;$N$3)&gt;0), "V", "")</f>
        <v/>
      </c>
      <c r="F67" s="116" t="str">
        <f>IF(VLOOKUP(A67,門市總表!A:F,6,FALSE)="新開","新開不保養",
IF(VLOOKUP(A67,門市總表!A:F,6,FALSE)="撤店","閉店不保養",IF(VLOOKUP(A67,門市總表!A:F,6,FALSE)="非當季","非當季",IF(VLOOKUP(A67,門市總表!A:F,6,FALSE)="跨季補單","跨季補單",
IF(COUNTBLANK(C67:E67)=3,"未保養","")
))))</f>
        <v>未保養</v>
      </c>
      <c r="G67" s="116" t="str">
        <f>IF(COUNTIFS('0919門市清單主檔'!C:C,B67,'0919門市清單主檔'!AF:AF,$H$3)=1,
    IF(COUNTIFS(IM!F:F,A67,IM!AC:AC,"*"&amp;$H$3&amp;"*") + COUNTIFS('0919門市清單主檔'!C:C,B67,'0919門市清單主檔'!AF:AF,$H$3) &gt; 1,
       "V","未完工"),"-")</f>
        <v>-</v>
      </c>
      <c r="H67" s="253" t="str">
        <f>IF(COUNTIFS('0919門市清單主檔'!C:C,B67,'0919門市清單主檔'!AG:AG,$H$4)=1,
    IF(COUNTIFS(IM!F:F,A67,IM!AC:AC,"*"&amp;$H$4&amp;"*") + COUNTIFS('0919門市清單主檔'!C:C,B67,'0919門市清單主檔'!AG:AG,$H$4) &gt; 1,
       "V","未完工"),"-")</f>
        <v>未完工</v>
      </c>
      <c r="I67" s="253" t="str">
        <f>IF(COUNTIFS('0919門市清單主檔'!C:C,B67,'0919門市清單主檔'!AH:AH,$H$5)=1,
    IF(COUNTIFS(IM!F:F,A67,IM!AC:AC,"*"&amp;$H$5&amp;"*") + COUNTIFS('0919門市清單主檔'!C:C,B67,'0919門市清單主檔'!AH:AH,$H$5) &gt; 1,
       "V","未完工"),"-")</f>
        <v>未完工</v>
      </c>
      <c r="J67" s="253" t="str">
        <f>IF(
    COUNTIFS('0919門市清單主檔'!C:C,B67,'0919門市清單主檔'!AC:AC,$H$2)=1,
    IF(
        COUNTIFS(
            IM!F:F,A67,
            IM!AC:AC,"*"&amp;$H$2&amp;"*",
            IM!X:X,"&gt;="&amp;$M$1,
            IM!X:X,"&lt;="&amp;$M$3
        )
        + COUNTIFS('0919門市清單主檔'!C:C,B67,'0919門市清單主檔'!AC:AC,$H$2)
        &gt;1,
        "V",
        "未完工"
    ),
    "-"
)</f>
        <v>-</v>
      </c>
      <c r="K67" s="122">
        <v>45911</v>
      </c>
      <c r="L67" s="116" t="str">
        <f>VLOOKUP(A67,'0919門市清單主檔'!B:V,21,FALSE)</f>
        <v>中和區</v>
      </c>
      <c r="M67" s="153" t="str">
        <f>VLOOKUP(A67,門市總表!A:B,2,FALSE)</f>
        <v>北縣興南店</v>
      </c>
    </row>
    <row r="68" spans="1:13" ht="21.6" customHeight="1">
      <c r="A68" s="116">
        <v>2062</v>
      </c>
      <c r="B68" s="116" t="str">
        <f>VLOOKUP(A68,門市總表!A:B,2,FALSE)</f>
        <v>中和員山店</v>
      </c>
      <c r="C68" s="146" t="str">
        <f>IF(COUNTIFS(IM!$F:$F,A68,IM!$AD:$AD,"O",IM!$X:$X,"&gt;="&amp;$M$1, IM!$X:$X,"&lt;"&amp;$M$2)&gt;0,"V","")</f>
        <v/>
      </c>
      <c r="D68" s="146" t="str">
        <f>IF(AND(C68&lt;&gt;"V", COUNTIFS(IM!$F:$F,A68, IM!$AD:$AD, "O", IM!$X:$X, "&gt;="&amp;$M$2, IM!$X:$X, "&lt;"&amp;$M$3)&gt;0), "V", "")</f>
        <v/>
      </c>
      <c r="E68" s="146" t="str">
        <f>IF(AND(C68&lt;&gt;"V",D68&lt;&gt;"V", COUNTIFS(IM!$F:$F, A68, IM!$AD:$AD, "O", IM!$X:$X, "&gt;="&amp;$M$3, IM!$X:$X, "&lt;"&amp;$N$3)&gt;0), "V", "")</f>
        <v/>
      </c>
      <c r="F68" s="116" t="str">
        <f>IF(VLOOKUP(A68,門市總表!A:F,6,FALSE)="新開","新開不保養",
IF(VLOOKUP(A68,門市總表!A:F,6,FALSE)="撤店","閉店不保養",IF(VLOOKUP(A68,門市總表!A:F,6,FALSE)="非當季","非當季",IF(VLOOKUP(A68,門市總表!A:F,6,FALSE)="跨季補單","跨季補單",
IF(COUNTBLANK(C68:E68)=3,"未保養","")
))))</f>
        <v>未保養</v>
      </c>
      <c r="G68" s="116" t="str">
        <f>IF(COUNTIFS('0919門市清單主檔'!C:C,B68,'0919門市清單主檔'!AF:AF,$H$3)=1,
    IF(COUNTIFS(IM!F:F,A68,IM!AC:AC,"*"&amp;$H$3&amp;"*") + COUNTIFS('0919門市清單主檔'!C:C,B68,'0919門市清單主檔'!AF:AF,$H$3) &gt; 1,
       "V","未完工"),"-")</f>
        <v>-</v>
      </c>
      <c r="H68" s="253" t="str">
        <f>IF(COUNTIFS('0919門市清單主檔'!C:C,B68,'0919門市清單主檔'!AG:AG,$H$4)=1,
    IF(COUNTIFS(IM!F:F,A68,IM!AC:AC,"*"&amp;$H$4&amp;"*") + COUNTIFS('0919門市清單主檔'!C:C,B68,'0919門市清單主檔'!AG:AG,$H$4) &gt; 1,
       "V","未完工"),"-")</f>
        <v>未完工</v>
      </c>
      <c r="I68" s="253" t="str">
        <f>IF(COUNTIFS('0919門市清單主檔'!C:C,B68,'0919門市清單主檔'!AH:AH,$H$5)=1,
    IF(COUNTIFS(IM!F:F,A68,IM!AC:AC,"*"&amp;$H$5&amp;"*") + COUNTIFS('0919門市清單主檔'!C:C,B68,'0919門市清單主檔'!AH:AH,$H$5) &gt; 1,
       "V","未完工"),"-")</f>
        <v>未完工</v>
      </c>
      <c r="J68" s="253" t="str">
        <f>IF(
    COUNTIFS('0919門市清單主檔'!C:C,B68,'0919門市清單主檔'!AC:AC,$H$2)=1,
    IF(
        COUNTIFS(
            IM!F:F,A68,
            IM!AC:AC,"*"&amp;$H$2&amp;"*",
            IM!X:X,"&gt;="&amp;$M$1,
            IM!X:X,"&lt;="&amp;$M$3
        )
        + COUNTIFS('0919門市清單主檔'!C:C,B68,'0919門市清單主檔'!AC:AC,$H$2)
        &gt;1,
        "V",
        "未完工"
    ),
    "-"
)</f>
        <v>-</v>
      </c>
      <c r="K68" s="122">
        <v>45912</v>
      </c>
      <c r="L68" s="116" t="str">
        <f>VLOOKUP(A68,'0919門市清單主檔'!B:V,21,FALSE)</f>
        <v>中和區</v>
      </c>
      <c r="M68" s="153" t="str">
        <f>VLOOKUP(A68,門市總表!A:B,2,FALSE)</f>
        <v>中和員山店</v>
      </c>
    </row>
    <row r="69" spans="1:13" ht="21.6" customHeight="1">
      <c r="A69" s="116">
        <v>2180</v>
      </c>
      <c r="B69" s="116" t="str">
        <f>VLOOKUP(A69,門市總表!A:B,2,FALSE)</f>
        <v>中和國際店</v>
      </c>
      <c r="C69" s="146" t="str">
        <f>IF(COUNTIFS(IM!$F:$F,A69,IM!$AD:$AD,"O",IM!$X:$X,"&gt;="&amp;$M$1, IM!$X:$X,"&lt;"&amp;$M$2)&gt;0,"V","")</f>
        <v/>
      </c>
      <c r="D69" s="146" t="str">
        <f>IF(AND(C69&lt;&gt;"V", COUNTIFS(IM!$F:$F,A69, IM!$AD:$AD, "O", IM!$X:$X, "&gt;="&amp;$M$2, IM!$X:$X, "&lt;"&amp;$M$3)&gt;0), "V", "")</f>
        <v/>
      </c>
      <c r="E69" s="146" t="str">
        <f>IF(AND(C69&lt;&gt;"V",D69&lt;&gt;"V", COUNTIFS(IM!$F:$F, A69, IM!$AD:$AD, "O", IM!$X:$X, "&gt;="&amp;$M$3, IM!$X:$X, "&lt;"&amp;$N$3)&gt;0), "V", "")</f>
        <v/>
      </c>
      <c r="F69" s="116" t="str">
        <f>IF(VLOOKUP(A69,門市總表!A:F,6,FALSE)="新開","新開不保養",
IF(VLOOKUP(A69,門市總表!A:F,6,FALSE)="撤店","閉店不保養",IF(VLOOKUP(A69,門市總表!A:F,6,FALSE)="非當季","非當季",IF(VLOOKUP(A69,門市總表!A:F,6,FALSE)="跨季補單","跨季補單",
IF(COUNTBLANK(C69:E69)=3,"未保養","")
))))</f>
        <v>未保養</v>
      </c>
      <c r="G69" s="116" t="str">
        <f>IF(COUNTIFS('0919門市清單主檔'!C:C,B69,'0919門市清單主檔'!AF:AF,$H$3)=1,
    IF(COUNTIFS(IM!F:F,A69,IM!AC:AC,"*"&amp;$H$3&amp;"*") + COUNTIFS('0919門市清單主檔'!C:C,B69,'0919門市清單主檔'!AF:AF,$H$3) &gt; 1,
       "V","未完工"),"-")</f>
        <v>-</v>
      </c>
      <c r="H69" s="253" t="str">
        <f>IF(COUNTIFS('0919門市清單主檔'!C:C,B69,'0919門市清單主檔'!AG:AG,$H$4)=1,
    IF(COUNTIFS(IM!F:F,A69,IM!AC:AC,"*"&amp;$H$4&amp;"*") + COUNTIFS('0919門市清單主檔'!C:C,B69,'0919門市清單主檔'!AG:AG,$H$4) &gt; 1,
       "V","未完工"),"-")</f>
        <v>未完工</v>
      </c>
      <c r="I69" s="253" t="str">
        <f>IF(COUNTIFS('0919門市清單主檔'!C:C,B69,'0919門市清單主檔'!AH:AH,$H$5)=1,
    IF(COUNTIFS(IM!F:F,A69,IM!AC:AC,"*"&amp;$H$5&amp;"*") + COUNTIFS('0919門市清單主檔'!C:C,B69,'0919門市清單主檔'!AH:AH,$H$5) &gt; 1,
       "V","未完工"),"-")</f>
        <v>未完工</v>
      </c>
      <c r="J69" s="253" t="str">
        <f>IF(
    COUNTIFS('0919門市清單主檔'!C:C,B69,'0919門市清單主檔'!AC:AC,$H$2)=1,
    IF(
        COUNTIFS(
            IM!F:F,A69,
            IM!AC:AC,"*"&amp;$H$2&amp;"*",
            IM!X:X,"&gt;="&amp;$M$1,
            IM!X:X,"&lt;="&amp;$M$3
        )
        + COUNTIFS('0919門市清單主檔'!C:C,B69,'0919門市清單主檔'!AC:AC,$H$2)
        &gt;1,
        "V",
        "未完工"
    ),
    "-"
)</f>
        <v>-</v>
      </c>
      <c r="K69" s="122">
        <v>45913</v>
      </c>
      <c r="L69" s="116" t="str">
        <f>VLOOKUP(A69,'0919門市清單主檔'!B:V,21,FALSE)</f>
        <v>中和區</v>
      </c>
      <c r="M69" s="153" t="str">
        <f>VLOOKUP(A69,門市總表!A:B,2,FALSE)</f>
        <v>中和國際店</v>
      </c>
    </row>
    <row r="70" spans="1:13" ht="21.6" customHeight="1">
      <c r="A70" s="116">
        <v>2398</v>
      </c>
      <c r="B70" s="116" t="str">
        <f>VLOOKUP(A70,門市總表!A:B,2,FALSE)</f>
        <v>中和泰和店</v>
      </c>
      <c r="C70" s="146" t="str">
        <f>IF(COUNTIFS(IM!$F:$F,A70,IM!$AD:$AD,"O",IM!$X:$X,"&gt;="&amp;$M$1, IM!$X:$X,"&lt;"&amp;$M$2)&gt;0,"V","")</f>
        <v/>
      </c>
      <c r="D70" s="146" t="str">
        <f>IF(AND(C70&lt;&gt;"V", COUNTIFS(IM!$F:$F,A70, IM!$AD:$AD, "O", IM!$X:$X, "&gt;="&amp;$M$2, IM!$X:$X, "&lt;"&amp;$M$3)&gt;0), "V", "")</f>
        <v/>
      </c>
      <c r="E70" s="146" t="str">
        <f>IF(AND(C70&lt;&gt;"V",D70&lt;&gt;"V", COUNTIFS(IM!$F:$F, A70, IM!$AD:$AD, "O", IM!$X:$X, "&gt;="&amp;$M$3, IM!$X:$X, "&lt;"&amp;$N$3)&gt;0), "V", "")</f>
        <v/>
      </c>
      <c r="F70" s="116" t="str">
        <f>IF(VLOOKUP(A70,門市總表!A:F,6,FALSE)="新開","新開不保養",
IF(VLOOKUP(A70,門市總表!A:F,6,FALSE)="撤店","閉店不保養",IF(VLOOKUP(A70,門市總表!A:F,6,FALSE)="非當季","非當季",IF(VLOOKUP(A70,門市總表!A:F,6,FALSE)="跨季補單","跨季補單",
IF(COUNTBLANK(C70:E70)=3,"未保養","")
))))</f>
        <v>未保養</v>
      </c>
      <c r="G70" s="116" t="str">
        <f>IF(COUNTIFS('0919門市清單主檔'!C:C,B70,'0919門市清單主檔'!AF:AF,$H$3)=1,
    IF(COUNTIFS(IM!F:F,A70,IM!AC:AC,"*"&amp;$H$3&amp;"*") + COUNTIFS('0919門市清單主檔'!C:C,B70,'0919門市清單主檔'!AF:AF,$H$3) &gt; 1,
       "V","未完工"),"-")</f>
        <v>-</v>
      </c>
      <c r="H70" s="253" t="str">
        <f>IF(COUNTIFS('0919門市清單主檔'!C:C,B70,'0919門市清單主檔'!AG:AG,$H$4)=1,
    IF(COUNTIFS(IM!F:F,A70,IM!AC:AC,"*"&amp;$H$4&amp;"*") + COUNTIFS('0919門市清單主檔'!C:C,B70,'0919門市清單主檔'!AG:AG,$H$4) &gt; 1,
       "V","未完工"),"-")</f>
        <v>未完工</v>
      </c>
      <c r="I70" s="253" t="str">
        <f>IF(COUNTIFS('0919門市清單主檔'!C:C,B70,'0919門市清單主檔'!AH:AH,$H$5)=1,
    IF(COUNTIFS(IM!F:F,A70,IM!AC:AC,"*"&amp;$H$5&amp;"*") + COUNTIFS('0919門市清單主檔'!C:C,B70,'0919門市清單主檔'!AH:AH,$H$5) &gt; 1,
       "V","未完工"),"-")</f>
        <v>未完工</v>
      </c>
      <c r="J70" s="253" t="str">
        <f>IF(
    COUNTIFS('0919門市清單主檔'!C:C,B70,'0919門市清單主檔'!AC:AC,$H$2)=1,
    IF(
        COUNTIFS(
            IM!F:F,A70,
            IM!AC:AC,"*"&amp;$H$2&amp;"*",
            IM!X:X,"&gt;="&amp;$M$1,
            IM!X:X,"&lt;="&amp;$M$3
        )
        + COUNTIFS('0919門市清單主檔'!C:C,B70,'0919門市清單主檔'!AC:AC,$H$2)
        &gt;1,
        "V",
        "未完工"
    ),
    "-"
)</f>
        <v>-</v>
      </c>
      <c r="K70" s="122">
        <v>45914</v>
      </c>
      <c r="L70" s="116" t="str">
        <f>VLOOKUP(A70,'0919門市清單主檔'!B:V,21,FALSE)</f>
        <v>中和區</v>
      </c>
      <c r="M70" s="153" t="str">
        <f>VLOOKUP(A70,門市總表!A:B,2,FALSE)</f>
        <v>中和泰和店</v>
      </c>
    </row>
    <row r="71" spans="1:13" ht="21.6" customHeight="1">
      <c r="A71" s="116">
        <v>2570</v>
      </c>
      <c r="B71" s="116" t="str">
        <f>VLOOKUP(A71,門市總表!A:B,2,FALSE)</f>
        <v>中和和圓店</v>
      </c>
      <c r="C71" s="146" t="str">
        <f>IF(COUNTIFS(IM!$F:$F,A71,IM!$AD:$AD,"O",IM!$X:$X,"&gt;="&amp;$M$1, IM!$X:$X,"&lt;"&amp;$M$2)&gt;0,"V","")</f>
        <v/>
      </c>
      <c r="D71" s="146" t="str">
        <f>IF(AND(C71&lt;&gt;"V", COUNTIFS(IM!$F:$F,A71, IM!$AD:$AD, "O", IM!$X:$X, "&gt;="&amp;$M$2, IM!$X:$X, "&lt;"&amp;$M$3)&gt;0), "V", "")</f>
        <v/>
      </c>
      <c r="E71" s="146" t="str">
        <f>IF(AND(C71&lt;&gt;"V",D71&lt;&gt;"V", COUNTIFS(IM!$F:$F, A71, IM!$AD:$AD, "O", IM!$X:$X, "&gt;="&amp;$M$3, IM!$X:$X, "&lt;"&amp;$N$3)&gt;0), "V", "")</f>
        <v/>
      </c>
      <c r="F71" s="116" t="str">
        <f>IF(VLOOKUP(A71,門市總表!A:F,6,FALSE)="新開","新開不保養",
IF(VLOOKUP(A71,門市總表!A:F,6,FALSE)="撤店","閉店不保養",IF(VLOOKUP(A71,門市總表!A:F,6,FALSE)="非當季","非當季",IF(VLOOKUP(A71,門市總表!A:F,6,FALSE)="跨季補單","跨季補單",
IF(COUNTBLANK(C71:E71)=3,"未保養","")
))))</f>
        <v>未保養</v>
      </c>
      <c r="G71" s="116" t="str">
        <f>IF(COUNTIFS('0919門市清單主檔'!C:C,B71,'0919門市清單主檔'!AF:AF,$H$3)=1,
    IF(COUNTIFS(IM!F:F,A71,IM!AC:AC,"*"&amp;$H$3&amp;"*") + COUNTIFS('0919門市清單主檔'!C:C,B71,'0919門市清單主檔'!AF:AF,$H$3) &gt; 1,
       "V","未完工"),"-")</f>
        <v>-</v>
      </c>
      <c r="H71" s="253" t="str">
        <f>IF(COUNTIFS('0919門市清單主檔'!C:C,B71,'0919門市清單主檔'!AG:AG,$H$4)=1,
    IF(COUNTIFS(IM!F:F,A71,IM!AC:AC,"*"&amp;$H$4&amp;"*") + COUNTIFS('0919門市清單主檔'!C:C,B71,'0919門市清單主檔'!AG:AG,$H$4) &gt; 1,
       "V","未完工"),"-")</f>
        <v>未完工</v>
      </c>
      <c r="I71" s="253" t="str">
        <f>IF(COUNTIFS('0919門市清單主檔'!C:C,B71,'0919門市清單主檔'!AH:AH,$H$5)=1,
    IF(COUNTIFS(IM!F:F,A71,IM!AC:AC,"*"&amp;$H$5&amp;"*") + COUNTIFS('0919門市清單主檔'!C:C,B71,'0919門市清單主檔'!AH:AH,$H$5) &gt; 1,
       "V","未完工"),"-")</f>
        <v>未完工</v>
      </c>
      <c r="J71" s="253" t="str">
        <f>IF(
    COUNTIFS('0919門市清單主檔'!C:C,B71,'0919門市清單主檔'!AC:AC,$H$2)=1,
    IF(
        COUNTIFS(
            IM!F:F,A71,
            IM!AC:AC,"*"&amp;$H$2&amp;"*",
            IM!X:X,"&gt;="&amp;$M$1,
            IM!X:X,"&lt;="&amp;$M$3
        )
        + COUNTIFS('0919門市清單主檔'!C:C,B71,'0919門市清單主檔'!AC:AC,$H$2)
        &gt;1,
        "V",
        "未完工"
    ),
    "-"
)</f>
        <v>-</v>
      </c>
      <c r="K71" s="122">
        <v>45915</v>
      </c>
      <c r="L71" s="116" t="str">
        <f>VLOOKUP(A71,'0919門市清單主檔'!B:V,21,FALSE)</f>
        <v>中和區</v>
      </c>
      <c r="M71" s="153" t="str">
        <f>VLOOKUP(A71,門市總表!A:B,2,FALSE)</f>
        <v>中和和圓店</v>
      </c>
    </row>
    <row r="72" spans="1:13" ht="21.6" customHeight="1">
      <c r="A72" s="116">
        <v>3318</v>
      </c>
      <c r="B72" s="116" t="str">
        <f>VLOOKUP(A72,門市總表!A:B,2,FALSE)</f>
        <v>中和自治店</v>
      </c>
      <c r="C72" s="146" t="str">
        <f>IF(COUNTIFS(IM!$F:$F,A72,IM!$AD:$AD,"O",IM!$X:$X,"&gt;="&amp;$M$1, IM!$X:$X,"&lt;"&amp;$M$2)&gt;0,"V","")</f>
        <v/>
      </c>
      <c r="D72" s="146" t="str">
        <f>IF(AND(C72&lt;&gt;"V", COUNTIFS(IM!$F:$F,A72, IM!$AD:$AD, "O", IM!$X:$X, "&gt;="&amp;$M$2, IM!$X:$X, "&lt;"&amp;$M$3)&gt;0), "V", "")</f>
        <v/>
      </c>
      <c r="E72" s="146" t="str">
        <f>IF(AND(C72&lt;&gt;"V",D72&lt;&gt;"V", COUNTIFS(IM!$F:$F, A72, IM!$AD:$AD, "O", IM!$X:$X, "&gt;="&amp;$M$3, IM!$X:$X, "&lt;"&amp;$N$3)&gt;0), "V", "")</f>
        <v/>
      </c>
      <c r="F72" s="116" t="str">
        <f>IF(VLOOKUP(A72,門市總表!A:F,6,FALSE)="新開","新開不保養",
IF(VLOOKUP(A72,門市總表!A:F,6,FALSE)="撤店","閉店不保養",IF(VLOOKUP(A72,門市總表!A:F,6,FALSE)="非當季","非當季",IF(VLOOKUP(A72,門市總表!A:F,6,FALSE)="跨季補單","跨季補單",
IF(COUNTBLANK(C72:E72)=3,"未保養","")
))))</f>
        <v>未保養</v>
      </c>
      <c r="G72" s="116" t="str">
        <f>IF(COUNTIFS('0919門市清單主檔'!C:C,B72,'0919門市清單主檔'!AF:AF,$H$3)=1,
    IF(COUNTIFS(IM!F:F,A72,IM!AC:AC,"*"&amp;$H$3&amp;"*") + COUNTIFS('0919門市清單主檔'!C:C,B72,'0919門市清單主檔'!AF:AF,$H$3) &gt; 1,
       "V","未完工"),"-")</f>
        <v>-</v>
      </c>
      <c r="H72" s="253" t="str">
        <f>IF(COUNTIFS('0919門市清單主檔'!C:C,B72,'0919門市清單主檔'!AG:AG,$H$4)=1,
    IF(COUNTIFS(IM!F:F,A72,IM!AC:AC,"*"&amp;$H$4&amp;"*") + COUNTIFS('0919門市清單主檔'!C:C,B72,'0919門市清單主檔'!AG:AG,$H$4) &gt; 1,
       "V","未完工"),"-")</f>
        <v>未完工</v>
      </c>
      <c r="I72" s="253" t="str">
        <f>IF(COUNTIFS('0919門市清單主檔'!C:C,B72,'0919門市清單主檔'!AH:AH,$H$5)=1,
    IF(COUNTIFS(IM!F:F,A72,IM!AC:AC,"*"&amp;$H$5&amp;"*") + COUNTIFS('0919門市清單主檔'!C:C,B72,'0919門市清單主檔'!AH:AH,$H$5) &gt; 1,
       "V","未完工"),"-")</f>
        <v>未完工</v>
      </c>
      <c r="J72" s="253" t="str">
        <f>IF(
    COUNTIFS('0919門市清單主檔'!C:C,B72,'0919門市清單主檔'!AC:AC,$H$2)=1,
    IF(
        COUNTIFS(
            IM!F:F,A72,
            IM!AC:AC,"*"&amp;$H$2&amp;"*",
            IM!X:X,"&gt;="&amp;$M$1,
            IM!X:X,"&lt;="&amp;$M$3
        )
        + COUNTIFS('0919門市清單主檔'!C:C,B72,'0919門市清單主檔'!AC:AC,$H$2)
        &gt;1,
        "V",
        "未完工"
    ),
    "-"
)</f>
        <v>-</v>
      </c>
      <c r="K72" s="122">
        <v>45917</v>
      </c>
      <c r="L72" s="116" t="str">
        <f>VLOOKUP(A72,'0919門市清單主檔'!B:V,21,FALSE)</f>
        <v>中和區</v>
      </c>
      <c r="M72" s="153" t="str">
        <f>VLOOKUP(A72,門市總表!A:B,2,FALSE)</f>
        <v>中和自治店</v>
      </c>
    </row>
    <row r="73" spans="1:13" ht="21.6" customHeight="1">
      <c r="A73" s="116" t="s">
        <v>89</v>
      </c>
      <c r="B73" s="116" t="str">
        <f>VLOOKUP(A73,門市總表!A:B,2,FALSE)</f>
        <v>中和連城店</v>
      </c>
      <c r="C73" s="146" t="str">
        <f>IF(COUNTIFS(IM!$F:$F,A73,IM!$AD:$AD,"O",IM!$X:$X,"&gt;="&amp;$M$1, IM!$X:$X,"&lt;"&amp;$M$2)&gt;0,"V","")</f>
        <v/>
      </c>
      <c r="D73" s="146" t="str">
        <f>IF(AND(C73&lt;&gt;"V", COUNTIFS(IM!$F:$F,A73, IM!$AD:$AD, "O", IM!$X:$X, "&gt;="&amp;$M$2, IM!$X:$X, "&lt;"&amp;$M$3)&gt;0), "V", "")</f>
        <v/>
      </c>
      <c r="E73" s="146" t="str">
        <f>IF(AND(C73&lt;&gt;"V",D73&lt;&gt;"V", COUNTIFS(IM!$F:$F, A73, IM!$AD:$AD, "O", IM!$X:$X, "&gt;="&amp;$M$3, IM!$X:$X, "&lt;"&amp;$N$3)&gt;0), "V", "")</f>
        <v/>
      </c>
      <c r="F73" s="116" t="str">
        <f>IF(VLOOKUP(A73,門市總表!A:F,6,FALSE)="新開","新開不保養",
IF(VLOOKUP(A73,門市總表!A:F,6,FALSE)="撤店","閉店不保養",IF(VLOOKUP(A73,門市總表!A:F,6,FALSE)="非當季","非當季",IF(VLOOKUP(A73,門市總表!A:F,6,FALSE)="跨季補單","跨季補單",
IF(COUNTBLANK(C73:E73)=3,"未保養","")
))))</f>
        <v>未保養</v>
      </c>
      <c r="G73" s="116" t="str">
        <f>IF(COUNTIFS('0919門市清單主檔'!C:C,B73,'0919門市清單主檔'!AF:AF,$H$3)=1,
    IF(COUNTIFS(IM!F:F,A73,IM!AC:AC,"*"&amp;$H$3&amp;"*") + COUNTIFS('0919門市清單主檔'!C:C,B73,'0919門市清單主檔'!AF:AF,$H$3) &gt; 1,
       "V","未完工"),"-")</f>
        <v>-</v>
      </c>
      <c r="H73" s="253" t="str">
        <f>IF(COUNTIFS('0919門市清單主檔'!C:C,B73,'0919門市清單主檔'!AG:AG,$H$4)=1,
    IF(COUNTIFS(IM!F:F,A73,IM!AC:AC,"*"&amp;$H$4&amp;"*") + COUNTIFS('0919門市清單主檔'!C:C,B73,'0919門市清單主檔'!AG:AG,$H$4) &gt; 1,
       "V","未完工"),"-")</f>
        <v>未完工</v>
      </c>
      <c r="I73" s="253" t="str">
        <f>IF(COUNTIFS('0919門市清單主檔'!C:C,B73,'0919門市清單主檔'!AH:AH,$H$5)=1,
    IF(COUNTIFS(IM!F:F,A73,IM!AC:AC,"*"&amp;$H$5&amp;"*") + COUNTIFS('0919門市清單主檔'!C:C,B73,'0919門市清單主檔'!AH:AH,$H$5) &gt; 1,
       "V","未完工"),"-")</f>
        <v>未完工</v>
      </c>
      <c r="J73" s="253" t="str">
        <f>IF(
    COUNTIFS('0919門市清單主檔'!C:C,B73,'0919門市清單主檔'!AC:AC,$H$2)=1,
    IF(
        COUNTIFS(
            IM!F:F,A73,
            IM!AC:AC,"*"&amp;$H$2&amp;"*",
            IM!X:X,"&gt;="&amp;$M$1,
            IM!X:X,"&lt;="&amp;$M$3
        )
        + COUNTIFS('0919門市清單主檔'!C:C,B73,'0919門市清單主檔'!AC:AC,$H$2)
        &gt;1,
        "V",
        "未完工"
    ),
    "-"
)</f>
        <v>-</v>
      </c>
      <c r="K73" s="122">
        <v>45918</v>
      </c>
      <c r="L73" s="116" t="str">
        <f>VLOOKUP(A73,'0919門市清單主檔'!B:V,21,FALSE)</f>
        <v>中和區</v>
      </c>
      <c r="M73" s="153" t="str">
        <f>VLOOKUP(A73,門市總表!A:B,2,FALSE)</f>
        <v>中和連城店</v>
      </c>
    </row>
    <row r="74" spans="1:13" ht="21.6" customHeight="1">
      <c r="A74" s="116">
        <v>4020</v>
      </c>
      <c r="B74" s="116" t="str">
        <f>VLOOKUP(A74,門市總表!A:B,2,FALSE)</f>
        <v>中和連勝店</v>
      </c>
      <c r="C74" s="146" t="str">
        <f>IF(COUNTIFS(IM!$F:$F,A74,IM!$AD:$AD,"O",IM!$X:$X,"&gt;="&amp;$M$1, IM!$X:$X,"&lt;"&amp;$M$2)&gt;0,"V","")</f>
        <v/>
      </c>
      <c r="D74" s="146" t="str">
        <f>IF(AND(C74&lt;&gt;"V", COUNTIFS(IM!$F:$F,A74, IM!$AD:$AD, "O", IM!$X:$X, "&gt;="&amp;$M$2, IM!$X:$X, "&lt;"&amp;$M$3)&gt;0), "V", "")</f>
        <v/>
      </c>
      <c r="E74" s="146" t="str">
        <f>IF(AND(C74&lt;&gt;"V",D74&lt;&gt;"V", COUNTIFS(IM!$F:$F, A74, IM!$AD:$AD, "O", IM!$X:$X, "&gt;="&amp;$M$3, IM!$X:$X, "&lt;"&amp;$N$3)&gt;0), "V", "")</f>
        <v/>
      </c>
      <c r="F74" s="116" t="str">
        <f>IF(VLOOKUP(A74,門市總表!A:F,6,FALSE)="新開","新開不保養",
IF(VLOOKUP(A74,門市總表!A:F,6,FALSE)="撤店","閉店不保養",IF(VLOOKUP(A74,門市總表!A:F,6,FALSE)="非當季","非當季",IF(VLOOKUP(A74,門市總表!A:F,6,FALSE)="跨季補單","跨季補單",
IF(COUNTBLANK(C74:E74)=3,"未保養","")
))))</f>
        <v>未保養</v>
      </c>
      <c r="G74" s="116" t="str">
        <f>IF(COUNTIFS('0919門市清單主檔'!C:C,B74,'0919門市清單主檔'!AF:AF,$H$3)=1,
    IF(COUNTIFS(IM!F:F,A74,IM!AC:AC,"*"&amp;$H$3&amp;"*") + COUNTIFS('0919門市清單主檔'!C:C,B74,'0919門市清單主檔'!AF:AF,$H$3) &gt; 1,
       "V","未完工"),"-")</f>
        <v>-</v>
      </c>
      <c r="H74" s="253" t="str">
        <f>IF(COUNTIFS('0919門市清單主檔'!C:C,B74,'0919門市清單主檔'!AG:AG,$H$4)=1,
    IF(COUNTIFS(IM!F:F,A74,IM!AC:AC,"*"&amp;$H$4&amp;"*") + COUNTIFS('0919門市清單主檔'!C:C,B74,'0919門市清單主檔'!AG:AG,$H$4) &gt; 1,
       "V","未完工"),"-")</f>
        <v>未完工</v>
      </c>
      <c r="I74" s="253" t="str">
        <f>IF(COUNTIFS('0919門市清單主檔'!C:C,B74,'0919門市清單主檔'!AH:AH,$H$5)=1,
    IF(COUNTIFS(IM!F:F,A74,IM!AC:AC,"*"&amp;$H$5&amp;"*") + COUNTIFS('0919門市清單主檔'!C:C,B74,'0919門市清單主檔'!AH:AH,$H$5) &gt; 1,
       "V","未完工"),"-")</f>
        <v>未完工</v>
      </c>
      <c r="J74" s="253" t="str">
        <f>IF(
    COUNTIFS('0919門市清單主檔'!C:C,B74,'0919門市清單主檔'!AC:AC,$H$2)=1,
    IF(
        COUNTIFS(
            IM!F:F,A74,
            IM!AC:AC,"*"&amp;$H$2&amp;"*",
            IM!X:X,"&gt;="&amp;$M$1,
            IM!X:X,"&lt;="&amp;$M$3
        )
        + COUNTIFS('0919門市清單主檔'!C:C,B74,'0919門市清單主檔'!AC:AC,$H$2)
        &gt;1,
        "V",
        "未完工"
    ),
    "-"
)</f>
        <v>-</v>
      </c>
      <c r="K74" s="122">
        <v>45921</v>
      </c>
      <c r="L74" s="116" t="str">
        <f>VLOOKUP(A74,'0919門市清單主檔'!B:V,21,FALSE)</f>
        <v>中和區</v>
      </c>
      <c r="M74" s="153" t="str">
        <f>VLOOKUP(A74,門市總表!A:B,2,FALSE)</f>
        <v>中和連勝店</v>
      </c>
    </row>
    <row r="75" spans="1:13" ht="21.6" customHeight="1">
      <c r="A75" s="116">
        <v>4748</v>
      </c>
      <c r="B75" s="116" t="str">
        <f>VLOOKUP(A75,門市總表!A:B,2,FALSE)</f>
        <v>中和霸氣店</v>
      </c>
      <c r="C75" s="146" t="str">
        <f>IF(COUNTIFS(IM!$F:$F,A75,IM!$AD:$AD,"O",IM!$X:$X,"&gt;="&amp;$M$1, IM!$X:$X,"&lt;"&amp;$M$2)&gt;0,"V","")</f>
        <v/>
      </c>
      <c r="D75" s="146" t="str">
        <f>IF(AND(C75&lt;&gt;"V", COUNTIFS(IM!$F:$F,A75, IM!$AD:$AD, "O", IM!$X:$X, "&gt;="&amp;$M$2, IM!$X:$X, "&lt;"&amp;$M$3)&gt;0), "V", "")</f>
        <v/>
      </c>
      <c r="E75" s="146" t="str">
        <f>IF(AND(C75&lt;&gt;"V",D75&lt;&gt;"V", COUNTIFS(IM!$F:$F, A75, IM!$AD:$AD, "O", IM!$X:$X, "&gt;="&amp;$M$3, IM!$X:$X, "&lt;"&amp;$N$3)&gt;0), "V", "")</f>
        <v/>
      </c>
      <c r="F75" s="116" t="str">
        <f>IF(VLOOKUP(A75,門市總表!A:F,6,FALSE)="新開","新開不保養",
IF(VLOOKUP(A75,門市總表!A:F,6,FALSE)="撤店","閉店不保養",IF(VLOOKUP(A75,門市總表!A:F,6,FALSE)="非當季","非當季",IF(VLOOKUP(A75,門市總表!A:F,6,FALSE)="跨季補單","跨季補單",
IF(COUNTBLANK(C75:E75)=3,"未保養","")
))))</f>
        <v>未保養</v>
      </c>
      <c r="G75" s="116" t="str">
        <f>IF(COUNTIFS('0919門市清單主檔'!C:C,B75,'0919門市清單主檔'!AF:AF,$H$3)=1,
    IF(COUNTIFS(IM!F:F,A75,IM!AC:AC,"*"&amp;$H$3&amp;"*") + COUNTIFS('0919門市清單主檔'!C:C,B75,'0919門市清單主檔'!AF:AF,$H$3) &gt; 1,
       "V","未完工"),"-")</f>
        <v>-</v>
      </c>
      <c r="H75" s="253" t="str">
        <f>IF(COUNTIFS('0919門市清單主檔'!C:C,B75,'0919門市清單主檔'!AG:AG,$H$4)=1,
    IF(COUNTIFS(IM!F:F,A75,IM!AC:AC,"*"&amp;$H$4&amp;"*") + COUNTIFS('0919門市清單主檔'!C:C,B75,'0919門市清單主檔'!AG:AG,$H$4) &gt; 1,
       "V","未完工"),"-")</f>
        <v>未完工</v>
      </c>
      <c r="I75" s="253" t="str">
        <f>IF(COUNTIFS('0919門市清單主檔'!C:C,B75,'0919門市清單主檔'!AH:AH,$H$5)=1,
    IF(COUNTIFS(IM!F:F,A75,IM!AC:AC,"*"&amp;$H$5&amp;"*") + COUNTIFS('0919門市清單主檔'!C:C,B75,'0919門市清單主檔'!AH:AH,$H$5) &gt; 1,
       "V","未完工"),"-")</f>
        <v>未完工</v>
      </c>
      <c r="J75" s="253" t="str">
        <f>IF(
    COUNTIFS('0919門市清單主檔'!C:C,B75,'0919門市清單主檔'!AC:AC,$H$2)=1,
    IF(
        COUNTIFS(
            IM!F:F,A75,
            IM!AC:AC,"*"&amp;$H$2&amp;"*",
            IM!X:X,"&gt;="&amp;$M$1,
            IM!X:X,"&lt;="&amp;$M$3
        )
        + COUNTIFS('0919門市清單主檔'!C:C,B75,'0919門市清單主檔'!AC:AC,$H$2)
        &gt;1,
        "V",
        "未完工"
    ),
    "-"
)</f>
        <v>-</v>
      </c>
      <c r="K75" s="122">
        <v>45924</v>
      </c>
      <c r="L75" s="116" t="str">
        <f>VLOOKUP(A75,'0919門市清單主檔'!B:V,21,FALSE)</f>
        <v>中和區</v>
      </c>
      <c r="M75" s="153" t="str">
        <f>VLOOKUP(A75,門市總表!A:B,2,FALSE)</f>
        <v>中和霸氣店</v>
      </c>
    </row>
    <row r="76" spans="1:13" ht="21.6" customHeight="1">
      <c r="A76" s="116" t="s">
        <v>90</v>
      </c>
      <c r="B76" s="116" t="str">
        <f>VLOOKUP(A76,門市總表!A:B,2,FALSE)</f>
        <v>北縣福美店</v>
      </c>
      <c r="C76" s="146" t="str">
        <f>IF(COUNTIFS(IM!$F:$F,A76,IM!$AD:$AD,"O",IM!$X:$X,"&gt;="&amp;$M$1, IM!$X:$X,"&lt;"&amp;$M$2)&gt;0,"V","")</f>
        <v/>
      </c>
      <c r="D76" s="146" t="str">
        <f>IF(AND(C76&lt;&gt;"V", COUNTIFS(IM!$F:$F,A76, IM!$AD:$AD, "O", IM!$X:$X, "&gt;="&amp;$M$2, IM!$X:$X, "&lt;"&amp;$M$3)&gt;0), "V", "")</f>
        <v/>
      </c>
      <c r="E76" s="146" t="str">
        <f>IF(AND(C76&lt;&gt;"V",D76&lt;&gt;"V", COUNTIFS(IM!$F:$F, A76, IM!$AD:$AD, "O", IM!$X:$X, "&gt;="&amp;$M$3, IM!$X:$X, "&lt;"&amp;$N$3)&gt;0), "V", "")</f>
        <v/>
      </c>
      <c r="F76" s="116" t="str">
        <f>IF(VLOOKUP(A76,門市總表!A:F,6,FALSE)="新開","新開不保養",
IF(VLOOKUP(A76,門市總表!A:F,6,FALSE)="撤店","閉店不保養",IF(VLOOKUP(A76,門市總表!A:F,6,FALSE)="非當季","非當季",IF(VLOOKUP(A76,門市總表!A:F,6,FALSE)="跨季補單","跨季補單",
IF(COUNTBLANK(C76:E76)=3,"未保養","")
))))</f>
        <v>未保養</v>
      </c>
      <c r="G76" s="116" t="str">
        <f>IF(COUNTIFS('0919門市清單主檔'!C:C,B76,'0919門市清單主檔'!AF:AF,$H$3)=1,
    IF(COUNTIFS(IM!F:F,A76,IM!AC:AC,"*"&amp;$H$3&amp;"*") + COUNTIFS('0919門市清單主檔'!C:C,B76,'0919門市清單主檔'!AF:AF,$H$3) &gt; 1,
       "V","未完工"),"-")</f>
        <v>-</v>
      </c>
      <c r="H76" s="253" t="str">
        <f>IF(COUNTIFS('0919門市清單主檔'!C:C,B76,'0919門市清單主檔'!AG:AG,$H$4)=1,
    IF(COUNTIFS(IM!F:F,A76,IM!AC:AC,"*"&amp;$H$4&amp;"*") + COUNTIFS('0919門市清單主檔'!C:C,B76,'0919門市清單主檔'!AG:AG,$H$4) &gt; 1,
       "V","未完工"),"-")</f>
        <v>未完工</v>
      </c>
      <c r="I76" s="253" t="str">
        <f>IF(COUNTIFS('0919門市清單主檔'!C:C,B76,'0919門市清單主檔'!AH:AH,$H$5)=1,
    IF(COUNTIFS(IM!F:F,A76,IM!AC:AC,"*"&amp;$H$5&amp;"*") + COUNTIFS('0919門市清單主檔'!C:C,B76,'0919門市清單主檔'!AH:AH,$H$5) &gt; 1,
       "V","未完工"),"-")</f>
        <v>未完工</v>
      </c>
      <c r="J76" s="253" t="str">
        <f>IF(
    COUNTIFS('0919門市清單主檔'!C:C,B76,'0919門市清單主檔'!AC:AC,$H$2)=1,
    IF(
        COUNTIFS(
            IM!F:F,A76,
            IM!AC:AC,"*"&amp;$H$2&amp;"*",
            IM!X:X,"&gt;="&amp;$M$1,
            IM!X:X,"&lt;="&amp;$M$3
        )
        + COUNTIFS('0919門市清單主檔'!C:C,B76,'0919門市清單主檔'!AC:AC,$H$2)
        &gt;1,
        "V",
        "未完工"
    ),
    "-"
)</f>
        <v>-</v>
      </c>
      <c r="K76" s="122">
        <v>45927</v>
      </c>
      <c r="L76" s="116" t="str">
        <f>VLOOKUP(A76,'0919門市清單主檔'!B:V,21,FALSE)</f>
        <v>中和區</v>
      </c>
      <c r="M76" s="153" t="str">
        <f>VLOOKUP(A76,門市總表!A:B,2,FALSE)</f>
        <v>北縣福美店</v>
      </c>
    </row>
    <row r="77" spans="1:13" ht="21.6" customHeight="1">
      <c r="A77" s="116">
        <v>4008</v>
      </c>
      <c r="B77" s="116" t="str">
        <f>VLOOKUP(A77,門市總表!A:B,2,FALSE)</f>
        <v>中和力德店</v>
      </c>
      <c r="C77" s="146" t="str">
        <f>IF(COUNTIFS(IM!$F:$F,A77,IM!$AD:$AD,"O",IM!$X:$X,"&gt;="&amp;$M$1, IM!$X:$X,"&lt;"&amp;$M$2)&gt;0,"V","")</f>
        <v/>
      </c>
      <c r="D77" s="146" t="str">
        <f>IF(AND(C77&lt;&gt;"V", COUNTIFS(IM!$F:$F,A77, IM!$AD:$AD, "O", IM!$X:$X, "&gt;="&amp;$M$2, IM!$X:$X, "&lt;"&amp;$M$3)&gt;0), "V", "")</f>
        <v/>
      </c>
      <c r="E77" s="146" t="str">
        <f>IF(AND(C77&lt;&gt;"V",D77&lt;&gt;"V", COUNTIFS(IM!$F:$F, A77, IM!$AD:$AD, "O", IM!$X:$X, "&gt;="&amp;$M$3, IM!$X:$X, "&lt;"&amp;$N$3)&gt;0), "V", "")</f>
        <v/>
      </c>
      <c r="F77" s="116" t="str">
        <f>IF(VLOOKUP(A77,門市總表!A:F,6,FALSE)="新開","新開不保養",
IF(VLOOKUP(A77,門市總表!A:F,6,FALSE)="撤店","閉店不保養",IF(VLOOKUP(A77,門市總表!A:F,6,FALSE)="非當季","非當季",IF(VLOOKUP(A77,門市總表!A:F,6,FALSE)="跨季補單","跨季補單",
IF(COUNTBLANK(C77:E77)=3,"未保養","")
))))</f>
        <v>未保養</v>
      </c>
      <c r="G77" s="116" t="str">
        <f>IF(COUNTIFS('0919門市清單主檔'!C:C,B77,'0919門市清單主檔'!AF:AF,$H$3)=1,
    IF(COUNTIFS(IM!F:F,A77,IM!AC:AC,"*"&amp;$H$3&amp;"*") + COUNTIFS('0919門市清單主檔'!C:C,B77,'0919門市清單主檔'!AF:AF,$H$3) &gt; 1,
       "V","未完工"),"-")</f>
        <v>-</v>
      </c>
      <c r="H77" s="253" t="str">
        <f>IF(COUNTIFS('0919門市清單主檔'!C:C,B77,'0919門市清單主檔'!AG:AG,$H$4)=1,
    IF(COUNTIFS(IM!F:F,A77,IM!AC:AC,"*"&amp;$H$4&amp;"*") + COUNTIFS('0919門市清單主檔'!C:C,B77,'0919門市清單主檔'!AG:AG,$H$4) &gt; 1,
       "V","未完工"),"-")</f>
        <v>未完工</v>
      </c>
      <c r="I77" s="253" t="str">
        <f>IF(COUNTIFS('0919門市清單主檔'!C:C,B77,'0919門市清單主檔'!AH:AH,$H$5)=1,
    IF(COUNTIFS(IM!F:F,A77,IM!AC:AC,"*"&amp;$H$5&amp;"*") + COUNTIFS('0919門市清單主檔'!C:C,B77,'0919門市清單主檔'!AH:AH,$H$5) &gt; 1,
       "V","未完工"),"-")</f>
        <v>未完工</v>
      </c>
      <c r="J77" s="253" t="str">
        <f>IF(
    COUNTIFS('0919門市清單主檔'!C:C,B77,'0919門市清單主檔'!AC:AC,$H$2)=1,
    IF(
        COUNTIFS(
            IM!F:F,A77,
            IM!AC:AC,"*"&amp;$H$2&amp;"*",
            IM!X:X,"&gt;="&amp;$M$1,
            IM!X:X,"&lt;="&amp;$M$3
        )
        + COUNTIFS('0919門市清單主檔'!C:C,B77,'0919門市清單主檔'!AC:AC,$H$2)
        &gt;1,
        "V",
        "未完工"
    ),
    "-"
)</f>
        <v>-</v>
      </c>
      <c r="K77" s="122">
        <v>45928</v>
      </c>
      <c r="L77" s="116" t="str">
        <f>VLOOKUP(A77,'0919門市清單主檔'!B:V,21,FALSE)</f>
        <v>中和區</v>
      </c>
      <c r="M77" s="153" t="str">
        <f>VLOOKUP(A77,門市總表!A:B,2,FALSE)</f>
        <v>中和力德店</v>
      </c>
    </row>
    <row r="78" spans="1:13" ht="21.6" customHeight="1">
      <c r="A78" s="116">
        <v>3569</v>
      </c>
      <c r="B78" s="116" t="str">
        <f>VLOOKUP(A78,門市總表!A:B,2,FALSE)</f>
        <v>中和中板店</v>
      </c>
      <c r="C78" s="146" t="str">
        <f>IF(COUNTIFS(IM!$F:$F,A78,IM!$AD:$AD,"O",IM!$X:$X,"&gt;="&amp;$M$1, IM!$X:$X,"&lt;"&amp;$M$2)&gt;0,"V","")</f>
        <v/>
      </c>
      <c r="D78" s="146" t="str">
        <f>IF(AND(C78&lt;&gt;"V", COUNTIFS(IM!$F:$F,A78, IM!$AD:$AD, "O", IM!$X:$X, "&gt;="&amp;$M$2, IM!$X:$X, "&lt;"&amp;$M$3)&gt;0), "V", "")</f>
        <v/>
      </c>
      <c r="E78" s="146" t="str">
        <f>IF(AND(C78&lt;&gt;"V",D78&lt;&gt;"V", COUNTIFS(IM!$F:$F, A78, IM!$AD:$AD, "O", IM!$X:$X, "&gt;="&amp;$M$3, IM!$X:$X, "&lt;"&amp;$N$3)&gt;0), "V", "")</f>
        <v/>
      </c>
      <c r="F78" s="116" t="str">
        <f>IF(VLOOKUP(A78,門市總表!A:F,6,FALSE)="新開","新開不保養",
IF(VLOOKUP(A78,門市總表!A:F,6,FALSE)="撤店","閉店不保養",IF(VLOOKUP(A78,門市總表!A:F,6,FALSE)="非當季","非當季",IF(VLOOKUP(A78,門市總表!A:F,6,FALSE)="跨季補單","跨季補單",
IF(COUNTBLANK(C78:E78)=3,"未保養","")
))))</f>
        <v>未保養</v>
      </c>
      <c r="G78" s="116" t="str">
        <f>IF(COUNTIFS('0919門市清單主檔'!C:C,B78,'0919門市清單主檔'!AF:AF,$H$3)=1,
    IF(COUNTIFS(IM!F:F,A78,IM!AC:AC,"*"&amp;$H$3&amp;"*") + COUNTIFS('0919門市清單主檔'!C:C,B78,'0919門市清單主檔'!AF:AF,$H$3) &gt; 1,
       "V","未完工"),"-")</f>
        <v>-</v>
      </c>
      <c r="H78" s="253" t="str">
        <f>IF(COUNTIFS('0919門市清單主檔'!C:C,B78,'0919門市清單主檔'!AG:AG,$H$4)=1,
    IF(COUNTIFS(IM!F:F,A78,IM!AC:AC,"*"&amp;$H$4&amp;"*") + COUNTIFS('0919門市清單主檔'!C:C,B78,'0919門市清單主檔'!AG:AG,$H$4) &gt; 1,
       "V","未完工"),"-")</f>
        <v>未完工</v>
      </c>
      <c r="I78" s="253" t="str">
        <f>IF(COUNTIFS('0919門市清單主檔'!C:C,B78,'0919門市清單主檔'!AH:AH,$H$5)=1,
    IF(COUNTIFS(IM!F:F,A78,IM!AC:AC,"*"&amp;$H$5&amp;"*") + COUNTIFS('0919門市清單主檔'!C:C,B78,'0919門市清單主檔'!AH:AH,$H$5) &gt; 1,
       "V","未完工"),"-")</f>
        <v>未完工</v>
      </c>
      <c r="J78" s="253" t="str">
        <f>IF(
    COUNTIFS('0919門市清單主檔'!C:C,B78,'0919門市清單主檔'!AC:AC,$H$2)=1,
    IF(
        COUNTIFS(
            IM!F:F,A78,
            IM!AC:AC,"*"&amp;$H$2&amp;"*",
            IM!X:X,"&gt;="&amp;$M$1,
            IM!X:X,"&lt;="&amp;$M$3
        )
        + COUNTIFS('0919門市清單主檔'!C:C,B78,'0919門市清單主檔'!AC:AC,$H$2)
        &gt;1,
        "V",
        "未完工"
    ),
    "-"
)</f>
        <v>-</v>
      </c>
      <c r="K78" s="122">
        <v>45929</v>
      </c>
      <c r="L78" s="116" t="str">
        <f>VLOOKUP(A78,'0919門市清單主檔'!B:V,21,FALSE)</f>
        <v>中和區</v>
      </c>
      <c r="M78" s="153" t="str">
        <f>VLOOKUP(A78,門市總表!A:B,2,FALSE)</f>
        <v>中和中板店</v>
      </c>
    </row>
    <row r="79" spans="1:13" ht="21.6" customHeight="1">
      <c r="A79" s="116" t="s">
        <v>91</v>
      </c>
      <c r="B79" s="116" t="str">
        <f>VLOOKUP(A79,門市總表!A:B,2,FALSE)</f>
        <v>中和永安市場</v>
      </c>
      <c r="C79" s="146" t="str">
        <f>IF(COUNTIFS(IM!$F:$F,A79,IM!$AD:$AD,"O",IM!$X:$X,"&gt;="&amp;$M$1, IM!$X:$X,"&lt;"&amp;$M$2)&gt;0,"V","")</f>
        <v/>
      </c>
      <c r="D79" s="146" t="str">
        <f>IF(AND(C79&lt;&gt;"V", COUNTIFS(IM!$F:$F,A79, IM!$AD:$AD, "O", IM!$X:$X, "&gt;="&amp;$M$2, IM!$X:$X, "&lt;"&amp;$M$3)&gt;0), "V", "")</f>
        <v/>
      </c>
      <c r="E79" s="146" t="str">
        <f>IF(AND(C79&lt;&gt;"V",D79&lt;&gt;"V", COUNTIFS(IM!$F:$F, A79, IM!$AD:$AD, "O", IM!$X:$X, "&gt;="&amp;$M$3, IM!$X:$X, "&lt;"&amp;$N$3)&gt;0), "V", "")</f>
        <v/>
      </c>
      <c r="F79" s="116" t="str">
        <f>IF(VLOOKUP(A79,門市總表!A:F,6,FALSE)="新開","新開不保養",
IF(VLOOKUP(A79,門市總表!A:F,6,FALSE)="撤店","閉店不保養",IF(VLOOKUP(A79,門市總表!A:F,6,FALSE)="非當季","非當季",IF(VLOOKUP(A79,門市總表!A:F,6,FALSE)="跨季補單","跨季補單",
IF(COUNTBLANK(C79:E79)=3,"未保養","")
))))</f>
        <v>未保養</v>
      </c>
      <c r="G79" s="116" t="str">
        <f>IF(COUNTIFS('0919門市清單主檔'!C:C,B79,'0919門市清單主檔'!AF:AF,$H$3)=1,
    IF(COUNTIFS(IM!F:F,A79,IM!AC:AC,"*"&amp;$H$3&amp;"*") + COUNTIFS('0919門市清單主檔'!C:C,B79,'0919門市清單主檔'!AF:AF,$H$3) &gt; 1,
       "V","未完工"),"-")</f>
        <v>-</v>
      </c>
      <c r="H79" s="253" t="str">
        <f>IF(COUNTIFS('0919門市清單主檔'!C:C,B79,'0919門市清單主檔'!AG:AG,$H$4)=1,
    IF(COUNTIFS(IM!F:F,A79,IM!AC:AC,"*"&amp;$H$4&amp;"*") + COUNTIFS('0919門市清單主檔'!C:C,B79,'0919門市清單主檔'!AG:AG,$H$4) &gt; 1,
       "V","未完工"),"-")</f>
        <v>未完工</v>
      </c>
      <c r="I79" s="253" t="str">
        <f>IF(COUNTIFS('0919門市清單主檔'!C:C,B79,'0919門市清單主檔'!AH:AH,$H$5)=1,
    IF(COUNTIFS(IM!F:F,A79,IM!AC:AC,"*"&amp;$H$5&amp;"*") + COUNTIFS('0919門市清單主檔'!C:C,B79,'0919門市清單主檔'!AH:AH,$H$5) &gt; 1,
       "V","未完工"),"-")</f>
        <v>-</v>
      </c>
      <c r="J79" s="253" t="str">
        <f>IF(
    COUNTIFS('0919門市清單主檔'!C:C,B79,'0919門市清單主檔'!AC:AC,$H$2)=1,
    IF(
        COUNTIFS(
            IM!F:F,A79,
            IM!AC:AC,"*"&amp;$H$2&amp;"*",
            IM!X:X,"&gt;="&amp;$M$1,
            IM!X:X,"&lt;="&amp;$M$3
        )
        + COUNTIFS('0919門市清單主檔'!C:C,B79,'0919門市清單主檔'!AC:AC,$H$2)
        &gt;1,
        "V",
        "未完工"
    ),
    "-"
)</f>
        <v>-</v>
      </c>
      <c r="K79" s="122">
        <v>45930</v>
      </c>
      <c r="L79" s="116" t="str">
        <f>VLOOKUP(A79,'0919門市清單主檔'!B:V,21,FALSE)</f>
        <v>中和區</v>
      </c>
      <c r="M79" s="153" t="str">
        <f>VLOOKUP(A79,門市總表!A:B,2,FALSE)</f>
        <v>中和永安市場</v>
      </c>
    </row>
    <row r="80" spans="1:13" ht="21.6" customHeight="1">
      <c r="A80" s="116" t="s">
        <v>92</v>
      </c>
      <c r="B80" s="116" t="str">
        <f>VLOOKUP(A80,門市總表!A:B,2,FALSE)</f>
        <v>中和遠東店</v>
      </c>
      <c r="C80" s="146" t="str">
        <f>IF(COUNTIFS(IM!$F:$F,A80,IM!$AD:$AD,"O",IM!$X:$X,"&gt;="&amp;$M$1, IM!$X:$X,"&lt;"&amp;$M$2)&gt;0,"V","")</f>
        <v/>
      </c>
      <c r="D80" s="146" t="str">
        <f>IF(AND(C80&lt;&gt;"V", COUNTIFS(IM!$F:$F,A80, IM!$AD:$AD, "O", IM!$X:$X, "&gt;="&amp;$M$2, IM!$X:$X, "&lt;"&amp;$M$3)&gt;0), "V", "")</f>
        <v/>
      </c>
      <c r="E80" s="146" t="str">
        <f>IF(AND(C80&lt;&gt;"V",D80&lt;&gt;"V", COUNTIFS(IM!$F:$F, A80, IM!$AD:$AD, "O", IM!$X:$X, "&gt;="&amp;$M$3, IM!$X:$X, "&lt;"&amp;$N$3)&gt;0), "V", "")</f>
        <v/>
      </c>
      <c r="F80" s="116" t="str">
        <f>IF(VLOOKUP(A80,門市總表!A:F,6,FALSE)="新開","新開不保養",
IF(VLOOKUP(A80,門市總表!A:F,6,FALSE)="撤店","閉店不保養",IF(VLOOKUP(A80,門市總表!A:F,6,FALSE)="非當季","非當季",IF(VLOOKUP(A80,門市總表!A:F,6,FALSE)="跨季補單","跨季補單",
IF(COUNTBLANK(C80:E80)=3,"未保養","")
))))</f>
        <v>未保養</v>
      </c>
      <c r="G80" s="116" t="str">
        <f>IF(COUNTIFS('0919門市清單主檔'!C:C,B80,'0919門市清單主檔'!AF:AF,$H$3)=1,
    IF(COUNTIFS(IM!F:F,A80,IM!AC:AC,"*"&amp;$H$3&amp;"*") + COUNTIFS('0919門市清單主檔'!C:C,B80,'0919門市清單主檔'!AF:AF,$H$3) &gt; 1,
       "V","未完工"),"-")</f>
        <v>-</v>
      </c>
      <c r="H80" s="253" t="str">
        <f>IF(COUNTIFS('0919門市清單主檔'!C:C,B80,'0919門市清單主檔'!AG:AG,$H$4)=1,
    IF(COUNTIFS(IM!F:F,A80,IM!AC:AC,"*"&amp;$H$4&amp;"*") + COUNTIFS('0919門市清單主檔'!C:C,B80,'0919門市清單主檔'!AG:AG,$H$4) &gt; 1,
       "V","未完工"),"-")</f>
        <v>未完工</v>
      </c>
      <c r="I80" s="253" t="str">
        <f>IF(COUNTIFS('0919門市清單主檔'!C:C,B80,'0919門市清單主檔'!AH:AH,$H$5)=1,
    IF(COUNTIFS(IM!F:F,A80,IM!AC:AC,"*"&amp;$H$5&amp;"*") + COUNTIFS('0919門市清單主檔'!C:C,B80,'0919門市清單主檔'!AH:AH,$H$5) &gt; 1,
       "V","未完工"),"-")</f>
        <v>未完工</v>
      </c>
      <c r="J80" s="253" t="str">
        <f>IF(
    COUNTIFS('0919門市清單主檔'!C:C,B80,'0919門市清單主檔'!AC:AC,$H$2)=1,
    IF(
        COUNTIFS(
            IM!F:F,A80,
            IM!AC:AC,"*"&amp;$H$2&amp;"*",
            IM!X:X,"&gt;="&amp;$M$1,
            IM!X:X,"&lt;="&amp;$M$3
        )
        + COUNTIFS('0919門市清單主檔'!C:C,B80,'0919門市清單主檔'!AC:AC,$H$2)
        &gt;1,
        "V",
        "未完工"
    ),
    "-"
)</f>
        <v>-</v>
      </c>
      <c r="K80" s="122">
        <v>45931</v>
      </c>
      <c r="L80" s="116" t="str">
        <f>VLOOKUP(A80,'0919門市清單主檔'!B:V,21,FALSE)</f>
        <v>中和區</v>
      </c>
      <c r="M80" s="153" t="str">
        <f>VLOOKUP(A80,門市總表!A:B,2,FALSE)</f>
        <v>中和遠東店</v>
      </c>
    </row>
    <row r="81" spans="1:18" ht="21.6" customHeight="1">
      <c r="A81" s="116" t="s">
        <v>93</v>
      </c>
      <c r="B81" s="116" t="str">
        <f>VLOOKUP(A81,門市總表!A:B,2,FALSE)</f>
        <v>中和景安站</v>
      </c>
      <c r="C81" s="146" t="str">
        <f>IF(COUNTIFS(IM!$F:$F,A81,IM!$AD:$AD,"O",IM!$X:$X,"&gt;="&amp;$M$1, IM!$X:$X,"&lt;"&amp;$M$2)&gt;0,"V","")</f>
        <v/>
      </c>
      <c r="D81" s="146" t="str">
        <f>IF(AND(C81&lt;&gt;"V", COUNTIFS(IM!$F:$F,A81, IM!$AD:$AD, "O", IM!$X:$X, "&gt;="&amp;$M$2, IM!$X:$X, "&lt;"&amp;$M$3)&gt;0), "V", "")</f>
        <v/>
      </c>
      <c r="E81" s="146" t="str">
        <f>IF(AND(C81&lt;&gt;"V",D81&lt;&gt;"V", COUNTIFS(IM!$F:$F, A81, IM!$AD:$AD, "O", IM!$X:$X, "&gt;="&amp;$M$3, IM!$X:$X, "&lt;"&amp;$N$3)&gt;0), "V", "")</f>
        <v/>
      </c>
      <c r="F81" s="116" t="str">
        <f>IF(VLOOKUP(A81,門市總表!A:F,6,FALSE)="新開","新開不保養",
IF(VLOOKUP(A81,門市總表!A:F,6,FALSE)="撤店","閉店不保養",IF(VLOOKUP(A81,門市總表!A:F,6,FALSE)="非當季","非當季",IF(VLOOKUP(A81,門市總表!A:F,6,FALSE)="跨季補單","跨季補單",
IF(COUNTBLANK(C81:E81)=3,"未保養","")
))))</f>
        <v>未保養</v>
      </c>
      <c r="G81" s="116" t="str">
        <f>IF(COUNTIFS('0919門市清單主檔'!C:C,B81,'0919門市清單主檔'!AF:AF,$H$3)=1,
    IF(COUNTIFS(IM!F:F,A81,IM!AC:AC,"*"&amp;$H$3&amp;"*") + COUNTIFS('0919門市清單主檔'!C:C,B81,'0919門市清單主檔'!AF:AF,$H$3) &gt; 1,
       "V","未完工"),"-")</f>
        <v>-</v>
      </c>
      <c r="H81" s="253" t="str">
        <f>IF(COUNTIFS('0919門市清單主檔'!C:C,B81,'0919門市清單主檔'!AG:AG,$H$4)=1,
    IF(COUNTIFS(IM!F:F,A81,IM!AC:AC,"*"&amp;$H$4&amp;"*") + COUNTIFS('0919門市清單主檔'!C:C,B81,'0919門市清單主檔'!AG:AG,$H$4) &gt; 1,
       "V","未完工"),"-")</f>
        <v>未完工</v>
      </c>
      <c r="I81" s="253" t="str">
        <f>IF(COUNTIFS('0919門市清單主檔'!C:C,B81,'0919門市清單主檔'!AH:AH,$H$5)=1,
    IF(COUNTIFS(IM!F:F,A81,IM!AC:AC,"*"&amp;$H$5&amp;"*") + COUNTIFS('0919門市清單主檔'!C:C,B81,'0919門市清單主檔'!AH:AH,$H$5) &gt; 1,
       "V","未完工"),"-")</f>
        <v>未完工</v>
      </c>
      <c r="J81" s="253" t="str">
        <f>IF(
    COUNTIFS('0919門市清單主檔'!C:C,B81,'0919門市清單主檔'!AC:AC,$H$2)=1,
    IF(
        COUNTIFS(
            IM!F:F,A81,
            IM!AC:AC,"*"&amp;$H$2&amp;"*",
            IM!X:X,"&gt;="&amp;$M$1,
            IM!X:X,"&lt;="&amp;$M$3
        )
        + COUNTIFS('0919門市清單主檔'!C:C,B81,'0919門市清單主檔'!AC:AC,$H$2)
        &gt;1,
        "V",
        "未完工"
    ),
    "-"
)</f>
        <v>-</v>
      </c>
      <c r="K81" s="122">
        <v>45932</v>
      </c>
      <c r="L81" s="116" t="str">
        <f>VLOOKUP(A81,'0919門市清單主檔'!B:V,21,FALSE)</f>
        <v>中和區</v>
      </c>
      <c r="M81" s="153" t="str">
        <f>VLOOKUP(A81,門市總表!A:B,2,FALSE)</f>
        <v>中和景安站</v>
      </c>
    </row>
    <row r="82" spans="1:18" ht="21.6" customHeight="1">
      <c r="A82" s="116" t="s">
        <v>94</v>
      </c>
      <c r="B82" s="116" t="str">
        <f>VLOOKUP(A82,門市總表!A:B,2,FALSE)</f>
        <v>中和橋安店</v>
      </c>
      <c r="C82" s="146" t="str">
        <f>IF(COUNTIFS(IM!$F:$F,A82,IM!$AD:$AD,"O",IM!$X:$X,"&gt;="&amp;$M$1, IM!$X:$X,"&lt;"&amp;$M$2)&gt;0,"V","")</f>
        <v/>
      </c>
      <c r="D82" s="146" t="str">
        <f>IF(AND(C82&lt;&gt;"V", COUNTIFS(IM!$F:$F,A82, IM!$AD:$AD, "O", IM!$X:$X, "&gt;="&amp;$M$2, IM!$X:$X, "&lt;"&amp;$M$3)&gt;0), "V", "")</f>
        <v/>
      </c>
      <c r="E82" s="146" t="str">
        <f>IF(AND(C82&lt;&gt;"V",D82&lt;&gt;"V", COUNTIFS(IM!$F:$F, A82, IM!$AD:$AD, "O", IM!$X:$X, "&gt;="&amp;$M$3, IM!$X:$X, "&lt;"&amp;$N$3)&gt;0), "V", "")</f>
        <v/>
      </c>
      <c r="F82" s="116" t="str">
        <f>IF(VLOOKUP(A82,門市總表!A:F,6,FALSE)="新開","新開不保養",
IF(VLOOKUP(A82,門市總表!A:F,6,FALSE)="撤店","閉店不保養",IF(VLOOKUP(A82,門市總表!A:F,6,FALSE)="非當季","非當季",IF(VLOOKUP(A82,門市總表!A:F,6,FALSE)="跨季補單","跨季補單",
IF(COUNTBLANK(C82:E82)=3,"未保養","")
))))</f>
        <v>未保養</v>
      </c>
      <c r="G82" s="116" t="str">
        <f>IF(COUNTIFS('0919門市清單主檔'!C:C,B82,'0919門市清單主檔'!AF:AF,$H$3)=1,
    IF(COUNTIFS(IM!F:F,A82,IM!AC:AC,"*"&amp;$H$3&amp;"*") + COUNTIFS('0919門市清單主檔'!C:C,B82,'0919門市清單主檔'!AF:AF,$H$3) &gt; 1,
       "V","未完工"),"-")</f>
        <v>-</v>
      </c>
      <c r="H82" s="253" t="str">
        <f>IF(COUNTIFS('0919門市清單主檔'!C:C,B82,'0919門市清單主檔'!AG:AG,$H$4)=1,
    IF(COUNTIFS(IM!F:F,A82,IM!AC:AC,"*"&amp;$H$4&amp;"*") + COUNTIFS('0919門市清單主檔'!C:C,B82,'0919門市清單主檔'!AG:AG,$H$4) &gt; 1,
       "V","未完工"),"-")</f>
        <v>未完工</v>
      </c>
      <c r="I82" s="253" t="str">
        <f>IF(COUNTIFS('0919門市清單主檔'!C:C,B82,'0919門市清單主檔'!AH:AH,$H$5)=1,
    IF(COUNTIFS(IM!F:F,A82,IM!AC:AC,"*"&amp;$H$5&amp;"*") + COUNTIFS('0919門市清單主檔'!C:C,B82,'0919門市清單主檔'!AH:AH,$H$5) &gt; 1,
       "V","未完工"),"-")</f>
        <v>未完工</v>
      </c>
      <c r="J82" s="253" t="str">
        <f>IF(
    COUNTIFS('0919門市清單主檔'!C:C,B82,'0919門市清單主檔'!AC:AC,$H$2)=1,
    IF(
        COUNTIFS(
            IM!F:F,A82,
            IM!AC:AC,"*"&amp;$H$2&amp;"*",
            IM!X:X,"&gt;="&amp;$M$1,
            IM!X:X,"&lt;="&amp;$M$3
        )
        + COUNTIFS('0919門市清單主檔'!C:C,B82,'0919門市清單主檔'!AC:AC,$H$2)
        &gt;1,
        "V",
        "未完工"
    ),
    "-"
)</f>
        <v>-</v>
      </c>
      <c r="K82" s="122">
        <v>45933</v>
      </c>
      <c r="L82" s="116" t="str">
        <f>VLOOKUP(A82,'0919門市清單主檔'!B:V,21,FALSE)</f>
        <v>中和區</v>
      </c>
      <c r="M82" s="153" t="str">
        <f>VLOOKUP(A82,門市總表!A:B,2,FALSE)</f>
        <v>中和橋安店</v>
      </c>
    </row>
    <row r="83" spans="1:18" ht="21.6" customHeight="1">
      <c r="A83" s="116" t="s">
        <v>95</v>
      </c>
      <c r="B83" s="116" t="str">
        <f>VLOOKUP(A83,門市總表!A:B,2,FALSE)</f>
        <v>中和水源店</v>
      </c>
      <c r="C83" s="146" t="str">
        <f>IF(COUNTIFS(IM!$F:$F,A83,IM!$AD:$AD,"O",IM!$X:$X,"&gt;="&amp;$M$1, IM!$X:$X,"&lt;"&amp;$M$2)&gt;0,"V","")</f>
        <v/>
      </c>
      <c r="D83" s="146" t="str">
        <f>IF(AND(C83&lt;&gt;"V", COUNTIFS(IM!$F:$F,A83, IM!$AD:$AD, "O", IM!$X:$X, "&gt;="&amp;$M$2, IM!$X:$X, "&lt;"&amp;$M$3)&gt;0), "V", "")</f>
        <v/>
      </c>
      <c r="E83" s="146" t="str">
        <f>IF(AND(C83&lt;&gt;"V",D83&lt;&gt;"V", COUNTIFS(IM!$F:$F, A83, IM!$AD:$AD, "O", IM!$X:$X, "&gt;="&amp;$M$3, IM!$X:$X, "&lt;"&amp;$N$3)&gt;0), "V", "")</f>
        <v/>
      </c>
      <c r="F83" s="116" t="str">
        <f>IF(VLOOKUP(A83,門市總表!A:F,6,FALSE)="新開","新開不保養",
IF(VLOOKUP(A83,門市總表!A:F,6,FALSE)="撤店","閉店不保養",IF(VLOOKUP(A83,門市總表!A:F,6,FALSE)="非當季","非當季",IF(VLOOKUP(A83,門市總表!A:F,6,FALSE)="跨季補單","跨季補單",
IF(COUNTBLANK(C83:E83)=3,"未保養","")
))))</f>
        <v>未保養</v>
      </c>
      <c r="G83" s="116" t="str">
        <f>IF(COUNTIFS('0919門市清單主檔'!C:C,B83,'0919門市清單主檔'!AF:AF,$H$3)=1,
    IF(COUNTIFS(IM!F:F,A83,IM!AC:AC,"*"&amp;$H$3&amp;"*") + COUNTIFS('0919門市清單主檔'!C:C,B83,'0919門市清單主檔'!AF:AF,$H$3) &gt; 1,
       "V","未完工"),"-")</f>
        <v>-</v>
      </c>
      <c r="H83" s="253" t="str">
        <f>IF(COUNTIFS('0919門市清單主檔'!C:C,B83,'0919門市清單主檔'!AG:AG,$H$4)=1,
    IF(COUNTIFS(IM!F:F,A83,IM!AC:AC,"*"&amp;$H$4&amp;"*") + COUNTIFS('0919門市清單主檔'!C:C,B83,'0919門市清單主檔'!AG:AG,$H$4) &gt; 1,
       "V","未完工"),"-")</f>
        <v>未完工</v>
      </c>
      <c r="I83" s="253" t="str">
        <f>IF(COUNTIFS('0919門市清單主檔'!C:C,B83,'0919門市清單主檔'!AH:AH,$H$5)=1,
    IF(COUNTIFS(IM!F:F,A83,IM!AC:AC,"*"&amp;$H$5&amp;"*") + COUNTIFS('0919門市清單主檔'!C:C,B83,'0919門市清單主檔'!AH:AH,$H$5) &gt; 1,
       "V","未完工"),"-")</f>
        <v>未完工</v>
      </c>
      <c r="J83" s="253" t="str">
        <f>IF(
    COUNTIFS('0919門市清單主檔'!C:C,B83,'0919門市清單主檔'!AC:AC,$H$2)=1,
    IF(
        COUNTIFS(
            IM!F:F,A83,
            IM!AC:AC,"*"&amp;$H$2&amp;"*",
            IM!X:X,"&gt;="&amp;$M$1,
            IM!X:X,"&lt;="&amp;$M$3
        )
        + COUNTIFS('0919門市清單主檔'!C:C,B83,'0919門市清單主檔'!AC:AC,$H$2)
        &gt;1,
        "V",
        "未完工"
    ),
    "-"
)</f>
        <v>-</v>
      </c>
      <c r="K83" s="122">
        <v>45935</v>
      </c>
      <c r="L83" s="116" t="str">
        <f>VLOOKUP(A83,'0919門市清單主檔'!B:V,21,FALSE)</f>
        <v>中和區</v>
      </c>
      <c r="M83" s="153" t="str">
        <f>VLOOKUP(A83,門市總表!A:B,2,FALSE)</f>
        <v>中和水源店</v>
      </c>
    </row>
    <row r="84" spans="1:18" ht="21.6" customHeight="1">
      <c r="A84" s="116" t="s">
        <v>56</v>
      </c>
      <c r="B84" s="116" t="str">
        <f>VLOOKUP(A84,門市總表!A:B,2,FALSE)</f>
        <v>三重重新店</v>
      </c>
      <c r="C84" s="146" t="str">
        <f>IF(COUNTIFS(IM!$F:$F,A84,IM!$AD:$AD,"O",IM!$X:$X,"&gt;="&amp;$M$1, IM!$X:$X,"&lt;"&amp;$M$2)&gt;0,"V","")</f>
        <v>V</v>
      </c>
      <c r="D84" s="146" t="str">
        <f>IF(AND(C84&lt;&gt;"V", COUNTIFS(IM!$F:$F,A84, IM!$AD:$AD, "O", IM!$X:$X, "&gt;="&amp;$M$2, IM!$X:$X, "&lt;"&amp;$M$3)&gt;0), "V", "")</f>
        <v/>
      </c>
      <c r="E84" s="146" t="str">
        <f>IF(AND(C84&lt;&gt;"V",D84&lt;&gt;"V", COUNTIFS(IM!$F:$F, A84, IM!$AD:$AD, "O", IM!$X:$X, "&gt;="&amp;$M$3, IM!$X:$X, "&lt;"&amp;$N$3)&gt;0), "V", "")</f>
        <v/>
      </c>
      <c r="F84" s="116" t="str">
        <f>IF(VLOOKUP(A84,門市總表!A:F,6,FALSE)="新開","新開不保養",
IF(VLOOKUP(A84,門市總表!A:F,6,FALSE)="撤店","閉店不保養",IF(VLOOKUP(A84,門市總表!A:F,6,FALSE)="非當季","非當季",IF(VLOOKUP(A84,門市總表!A:F,6,FALSE)="跨季補單","跨季補單",
IF(COUNTBLANK(C84:E84)=3,"未保養","")
))))</f>
        <v/>
      </c>
      <c r="G84" s="116" t="str">
        <f>IF(COUNTIFS('0919門市清單主檔'!C:C,B84,'0919門市清單主檔'!AF:AF,$H$3)=1,
    IF(COUNTIFS(IM!F:F,A84,IM!AC:AC,"*"&amp;$H$3&amp;"*") + COUNTIFS('0919門市清單主檔'!C:C,B84,'0919門市清單主檔'!AF:AF,$H$3) &gt; 1,
       "V","未完工"),"-")</f>
        <v>-</v>
      </c>
      <c r="H84" s="253" t="str">
        <f>IF(COUNTIFS('0919門市清單主檔'!C:C,B84,'0919門市清單主檔'!AG:AG,$H$4)=1,
    IF(COUNTIFS(IM!F:F,A84,IM!AC:AC,"*"&amp;$H$4&amp;"*") + COUNTIFS('0919門市清單主檔'!C:C,B84,'0919門市清單主檔'!AG:AG,$H$4) &gt; 1,
       "V","未完工"),"-")</f>
        <v>V</v>
      </c>
      <c r="I84" s="253" t="str">
        <f>IF(COUNTIFS('0919門市清單主檔'!C:C,B84,'0919門市清單主檔'!AH:AH,$H$5)=1,
    IF(COUNTIFS(IM!F:F,A84,IM!AC:AC,"*"&amp;$H$5&amp;"*") + COUNTIFS('0919門市清單主檔'!C:C,B84,'0919門市清單主檔'!AH:AH,$H$5) &gt; 1,
       "V","未完工"),"-")</f>
        <v>V</v>
      </c>
      <c r="J84" s="253" t="str">
        <f>IF(
    COUNTIFS('0919門市清單主檔'!C:C,B84,'0919門市清單主檔'!AC:AC,$H$2)=1,
    IF(
        COUNTIFS(
            IM!F:F,A84,
            IM!AC:AC,"*"&amp;$H$2&amp;"*",
            IM!X:X,"&gt;="&amp;$M$1,
            IM!X:X,"&lt;="&amp;$M$3
        )
        + COUNTIFS('0919門市清單主檔'!C:C,B84,'0919門市清單主檔'!AC:AC,$H$2)
        &gt;1,
        "V",
        "未完工"
    ),
    "-"
)</f>
        <v>-</v>
      </c>
      <c r="K84" s="122">
        <v>45867</v>
      </c>
      <c r="L84" s="116" t="str">
        <f>VLOOKUP(A84,'0919門市清單主檔'!B:V,21,FALSE)</f>
        <v>三重區</v>
      </c>
      <c r="M84" s="153" t="str">
        <f>VLOOKUP(A84,門市總表!A:B,2,FALSE)</f>
        <v>三重重新店</v>
      </c>
      <c r="Q84" s="115" t="s">
        <v>4951</v>
      </c>
      <c r="R84" s="115"/>
    </row>
    <row r="85" spans="1:18" ht="21.6" customHeight="1">
      <c r="A85" s="116">
        <v>4352</v>
      </c>
      <c r="B85" s="116" t="str">
        <f>VLOOKUP(A85,門市總表!A:B,2,FALSE)</f>
        <v>三重公園店</v>
      </c>
      <c r="C85" s="146" t="str">
        <f>IF(COUNTIFS(IM!$F:$F,A85,IM!$AD:$AD,"O",IM!$X:$X,"&gt;="&amp;$M$1, IM!$X:$X,"&lt;"&amp;$M$2)&gt;0,"V","")</f>
        <v>V</v>
      </c>
      <c r="D85" s="146" t="str">
        <f>IF(AND(C85&lt;&gt;"V", COUNTIFS(IM!$F:$F,A85, IM!$AD:$AD, "O", IM!$X:$X, "&gt;="&amp;$M$2, IM!$X:$X, "&lt;"&amp;$M$3)&gt;0), "V", "")</f>
        <v/>
      </c>
      <c r="E85" s="146" t="str">
        <f>IF(AND(C85&lt;&gt;"V",D85&lt;&gt;"V", COUNTIFS(IM!$F:$F, A85, IM!$AD:$AD, "O", IM!$X:$X, "&gt;="&amp;$M$3, IM!$X:$X, "&lt;"&amp;$N$3)&gt;0), "V", "")</f>
        <v/>
      </c>
      <c r="F85" s="116" t="str">
        <f>IF(VLOOKUP(A85,門市總表!A:F,6,FALSE)="新開","新開不保養",
IF(VLOOKUP(A85,門市總表!A:F,6,FALSE)="撤店","閉店不保養",IF(VLOOKUP(A85,門市總表!A:F,6,FALSE)="非當季","非當季",IF(VLOOKUP(A85,門市總表!A:F,6,FALSE)="跨季補單","跨季補單",
IF(COUNTBLANK(C85:E85)=3,"未保養","")
))))</f>
        <v/>
      </c>
      <c r="G85" s="116" t="str">
        <f>IF(COUNTIFS('0919門市清單主檔'!C:C,B85,'0919門市清單主檔'!AF:AF,$H$3)=1,
    IF(COUNTIFS(IM!F:F,A85,IM!AC:AC,"*"&amp;$H$3&amp;"*") + COUNTIFS('0919門市清單主檔'!C:C,B85,'0919門市清單主檔'!AF:AF,$H$3) &gt; 1,
       "V","未完工"),"-")</f>
        <v>-</v>
      </c>
      <c r="H85" s="253" t="str">
        <f>IF(COUNTIFS('0919門市清單主檔'!C:C,B85,'0919門市清單主檔'!AG:AG,$H$4)=1,
    IF(COUNTIFS(IM!F:F,A85,IM!AC:AC,"*"&amp;$H$4&amp;"*") + COUNTIFS('0919門市清單主檔'!C:C,B85,'0919門市清單主檔'!AG:AG,$H$4) &gt; 1,
       "V","未完工"),"-")</f>
        <v>V</v>
      </c>
      <c r="I85" s="253" t="str">
        <f>IF(COUNTIFS('0919門市清單主檔'!C:C,B85,'0919門市清單主檔'!AH:AH,$H$5)=1,
    IF(COUNTIFS(IM!F:F,A85,IM!AC:AC,"*"&amp;$H$5&amp;"*") + COUNTIFS('0919門市清單主檔'!C:C,B85,'0919門市清單主檔'!AH:AH,$H$5) &gt; 1,
       "V","未完工"),"-")</f>
        <v>V</v>
      </c>
      <c r="J85" s="253" t="str">
        <f>IF(
    COUNTIFS('0919門市清單主檔'!C:C,B85,'0919門市清單主檔'!AC:AC,$H$2)=1,
    IF(
        COUNTIFS(
            IM!F:F,A85,
            IM!AC:AC,"*"&amp;$H$2&amp;"*",
            IM!X:X,"&gt;="&amp;$M$1,
            IM!X:X,"&lt;="&amp;$M$3
        )
        + COUNTIFS('0919門市清單主檔'!C:C,B85,'0919門市清單主檔'!AC:AC,$H$2)
        &gt;1,
        "V",
        "未完工"
    ),
    "-"
)</f>
        <v>-</v>
      </c>
      <c r="K85" s="122">
        <v>45922</v>
      </c>
      <c r="L85" s="116" t="str">
        <f>VLOOKUP(A85,'0919門市清單主檔'!B:V,21,FALSE)</f>
        <v>三重區</v>
      </c>
      <c r="M85" s="153" t="str">
        <f>VLOOKUP(A85,門市總表!A:B,2,FALSE)</f>
        <v>三重公園店</v>
      </c>
      <c r="Q85" s="115" t="s">
        <v>4951</v>
      </c>
      <c r="R85" s="115"/>
    </row>
    <row r="86" spans="1:18" ht="21.6" customHeight="1">
      <c r="A86" s="116">
        <v>4241</v>
      </c>
      <c r="B86" s="116" t="str">
        <f>VLOOKUP(A86,門市總表!A:B,2,FALSE)</f>
        <v>三重仁義店</v>
      </c>
      <c r="C86" s="146" t="str">
        <f>IF(COUNTIFS(IM!$F:$F,A86,IM!$AD:$AD,"O",IM!$X:$X,"&gt;="&amp;$M$1, IM!$X:$X,"&lt;"&amp;$M$2)&gt;0,"V","")</f>
        <v>V</v>
      </c>
      <c r="D86" s="146" t="str">
        <f>IF(AND(C86&lt;&gt;"V", COUNTIFS(IM!$F:$F,A86, IM!$AD:$AD, "O", IM!$X:$X, "&gt;="&amp;$M$2, IM!$X:$X, "&lt;"&amp;$M$3)&gt;0), "V", "")</f>
        <v/>
      </c>
      <c r="E86" s="146" t="str">
        <f>IF(AND(C86&lt;&gt;"V",D86&lt;&gt;"V", COUNTIFS(IM!$F:$F, A86, IM!$AD:$AD, "O", IM!$X:$X, "&gt;="&amp;$M$3, IM!$X:$X, "&lt;"&amp;$N$3)&gt;0), "V", "")</f>
        <v/>
      </c>
      <c r="F86" s="116" t="str">
        <f>IF(VLOOKUP(A86,門市總表!A:F,6,FALSE)="新開","新開不保養",
IF(VLOOKUP(A86,門市總表!A:F,6,FALSE)="撤店","閉店不保養",IF(VLOOKUP(A86,門市總表!A:F,6,FALSE)="非當季","非當季",IF(VLOOKUP(A86,門市總表!A:F,6,FALSE)="跨季補單","跨季補單",
IF(COUNTBLANK(C86:E86)=3,"未保養","")
))))</f>
        <v/>
      </c>
      <c r="G86" s="116" t="str">
        <f>IF(COUNTIFS('0919門市清單主檔'!C:C,B86,'0919門市清單主檔'!AF:AF,$H$3)=1,
    IF(COUNTIFS(IM!F:F,A86,IM!AC:AC,"*"&amp;$H$3&amp;"*") + COUNTIFS('0919門市清單主檔'!C:C,B86,'0919門市清單主檔'!AF:AF,$H$3) &gt; 1,
       "V","未完工"),"-")</f>
        <v>-</v>
      </c>
      <c r="H86" s="253" t="str">
        <f>IF(COUNTIFS('0919門市清單主檔'!C:C,B86,'0919門市清單主檔'!AG:AG,$H$4)=1,
    IF(COUNTIFS(IM!F:F,A86,IM!AC:AC,"*"&amp;$H$4&amp;"*") + COUNTIFS('0919門市清單主檔'!C:C,B86,'0919門市清單主檔'!AG:AG,$H$4) &gt; 1,
       "V","未完工"),"-")</f>
        <v>V</v>
      </c>
      <c r="I86" s="253" t="str">
        <f>IF(COUNTIFS('0919門市清單主檔'!C:C,B86,'0919門市清單主檔'!AH:AH,$H$5)=1,
    IF(COUNTIFS(IM!F:F,A86,IM!AC:AC,"*"&amp;$H$5&amp;"*") + COUNTIFS('0919門市清單主檔'!C:C,B86,'0919門市清單主檔'!AH:AH,$H$5) &gt; 1,
       "V","未完工"),"-")</f>
        <v>V</v>
      </c>
      <c r="J86" s="253" t="str">
        <f>IF(
    COUNTIFS('0919門市清單主檔'!C:C,B86,'0919門市清單主檔'!AC:AC,$H$2)=1,
    IF(
        COUNTIFS(
            IM!F:F,A86,
            IM!AC:AC,"*"&amp;$H$2&amp;"*",
            IM!X:X,"&gt;="&amp;$M$1,
            IM!X:X,"&lt;="&amp;$M$3
        )
        + COUNTIFS('0919門市清單主檔'!C:C,B86,'0919門市清單主檔'!AC:AC,$H$2)
        &gt;1,
        "V",
        "未完工"
    ),
    "-"
)</f>
        <v>-</v>
      </c>
      <c r="K86" s="122">
        <v>45916</v>
      </c>
      <c r="L86" s="116" t="str">
        <f>VLOOKUP(A86,'0919門市清單主檔'!B:V,21,FALSE)</f>
        <v>三重區</v>
      </c>
      <c r="M86" s="153" t="str">
        <f>VLOOKUP(A86,門市總表!A:B,2,FALSE)</f>
        <v>三重仁義店</v>
      </c>
      <c r="Q86" s="115" t="s">
        <v>4951</v>
      </c>
      <c r="R86" s="115"/>
    </row>
    <row r="87" spans="1:18" ht="21.6" customHeight="1">
      <c r="A87" s="116">
        <v>5245</v>
      </c>
      <c r="B87" s="116" t="str">
        <f>VLOOKUP(A87,門市總表!A:B,2,FALSE)</f>
        <v>三重護山店</v>
      </c>
      <c r="C87" s="146" t="str">
        <f>IF(COUNTIFS(IM!$F:$F,A87,IM!$AD:$AD,"O",IM!$X:$X,"&gt;="&amp;$M$1, IM!$X:$X,"&lt;"&amp;$M$2)&gt;0,"V","")</f>
        <v>V</v>
      </c>
      <c r="D87" s="146" t="str">
        <f>IF(AND(C87&lt;&gt;"V", COUNTIFS(IM!$F:$F,A87, IM!$AD:$AD, "O", IM!$X:$X, "&gt;="&amp;$M$2, IM!$X:$X, "&lt;"&amp;$M$3)&gt;0), "V", "")</f>
        <v/>
      </c>
      <c r="E87" s="146" t="str">
        <f>IF(AND(C87&lt;&gt;"V",D87&lt;&gt;"V", COUNTIFS(IM!$F:$F, A87, IM!$AD:$AD, "O", IM!$X:$X, "&gt;="&amp;$M$3, IM!$X:$X, "&lt;"&amp;$N$3)&gt;0), "V", "")</f>
        <v/>
      </c>
      <c r="F87" s="116" t="str">
        <f>IF(VLOOKUP(A87,門市總表!A:F,6,FALSE)="新開","新開不保養",
IF(VLOOKUP(A87,門市總表!A:F,6,FALSE)="撤店","閉店不保養",IF(VLOOKUP(A87,門市總表!A:F,6,FALSE)="非當季","非當季",IF(VLOOKUP(A87,門市總表!A:F,6,FALSE)="跨季補單","跨季補單",
IF(COUNTBLANK(C87:E87)=3,"未保養","")
))))</f>
        <v/>
      </c>
      <c r="G87" s="116" t="str">
        <f>IF(COUNTIFS('0919門市清單主檔'!C:C,B87,'0919門市清單主檔'!AF:AF,$H$3)=1,
    IF(COUNTIFS(IM!F:F,A87,IM!AC:AC,"*"&amp;$H$3&amp;"*") + COUNTIFS('0919門市清單主檔'!C:C,B87,'0919門市清單主檔'!AF:AF,$H$3) &gt; 1,
       "V","未完工"),"-")</f>
        <v>-</v>
      </c>
      <c r="H87" s="253" t="str">
        <f>IF(COUNTIFS('0919門市清單主檔'!C:C,B87,'0919門市清單主檔'!AG:AG,$H$4)=1,
    IF(COUNTIFS(IM!F:F,A87,IM!AC:AC,"*"&amp;$H$4&amp;"*") + COUNTIFS('0919門市清單主檔'!C:C,B87,'0919門市清單主檔'!AG:AG,$H$4) &gt; 1,
       "V","未完工"),"-")</f>
        <v>V</v>
      </c>
      <c r="I87" s="253" t="str">
        <f>IF(COUNTIFS('0919門市清單主檔'!C:C,B87,'0919門市清單主檔'!AH:AH,$H$5)=1,
    IF(COUNTIFS(IM!F:F,A87,IM!AC:AC,"*"&amp;$H$5&amp;"*") + COUNTIFS('0919門市清單主檔'!C:C,B87,'0919門市清單主檔'!AH:AH,$H$5) &gt; 1,
       "V","未完工"),"-")</f>
        <v>V</v>
      </c>
      <c r="J87" s="253" t="str">
        <f>IF(
    COUNTIFS('0919門市清單主檔'!C:C,B87,'0919門市清單主檔'!AC:AC,$H$2)=1,
    IF(
        COUNTIFS(
            IM!F:F,A87,
            IM!AC:AC,"*"&amp;$H$2&amp;"*",
            IM!X:X,"&gt;="&amp;$M$1,
            IM!X:X,"&lt;="&amp;$M$3
        )
        + COUNTIFS('0919門市清單主檔'!C:C,B87,'0919門市清單主檔'!AC:AC,$H$2)
        &gt;1,
        "V",
        "未完工"
    ),
    "-"
)</f>
        <v>-</v>
      </c>
      <c r="K87" s="122" t="s">
        <v>24</v>
      </c>
      <c r="L87" s="116" t="str">
        <f>VLOOKUP(A87,'0919門市清單主檔'!B:V,21,FALSE)</f>
        <v>三重區</v>
      </c>
      <c r="M87" s="153" t="str">
        <f>VLOOKUP(A87,門市總表!A:B,2,FALSE)</f>
        <v>三重護山店</v>
      </c>
      <c r="Q87" s="115" t="s">
        <v>4951</v>
      </c>
      <c r="R87" s="115"/>
    </row>
    <row r="88" spans="1:18" ht="21.6" customHeight="1">
      <c r="A88" s="116">
        <v>2222</v>
      </c>
      <c r="B88" s="116" t="str">
        <f>VLOOKUP(A88,門市總表!A:B,2,FALSE)</f>
        <v>三重義天店</v>
      </c>
      <c r="C88" s="146" t="str">
        <f>IF(COUNTIFS(IM!$F:$F,A88,IM!$AD:$AD,"O",IM!$X:$X,"&gt;="&amp;$M$1, IM!$X:$X,"&lt;"&amp;$M$2)&gt;0,"V","")</f>
        <v>V</v>
      </c>
      <c r="D88" s="146" t="str">
        <f>IF(AND(C88&lt;&gt;"V", COUNTIFS(IM!$F:$F,A88, IM!$AD:$AD, "O", IM!$X:$X, "&gt;="&amp;$M$2, IM!$X:$X, "&lt;"&amp;$M$3)&gt;0), "V", "")</f>
        <v/>
      </c>
      <c r="E88" s="146" t="str">
        <f>IF(AND(C88&lt;&gt;"V",D88&lt;&gt;"V", COUNTIFS(IM!$F:$F, A88, IM!$AD:$AD, "O", IM!$X:$X, "&gt;="&amp;$M$3, IM!$X:$X, "&lt;"&amp;$N$3)&gt;0), "V", "")</f>
        <v/>
      </c>
      <c r="F88" s="116" t="str">
        <f>IF(VLOOKUP(A88,門市總表!A:F,6,FALSE)="新開","新開不保養",
IF(VLOOKUP(A88,門市總表!A:F,6,FALSE)="撤店","閉店不保養",IF(VLOOKUP(A88,門市總表!A:F,6,FALSE)="非當季","非當季",IF(VLOOKUP(A88,門市總表!A:F,6,FALSE)="跨季補單","跨季補單",
IF(COUNTBLANK(C88:E88)=3,"未保養","")
))))</f>
        <v/>
      </c>
      <c r="G88" s="116" t="str">
        <f>IF(COUNTIFS('0919門市清單主檔'!C:C,B88,'0919門市清單主檔'!AF:AF,$H$3)=1,
    IF(COUNTIFS(IM!F:F,A88,IM!AC:AC,"*"&amp;$H$3&amp;"*") + COUNTIFS('0919門市清單主檔'!C:C,B88,'0919門市清單主檔'!AF:AF,$H$3) &gt; 1,
       "V","未完工"),"-")</f>
        <v>-</v>
      </c>
      <c r="H88" s="253" t="str">
        <f>IF(COUNTIFS('0919門市清單主檔'!C:C,B88,'0919門市清單主檔'!AG:AG,$H$4)=1,
    IF(COUNTIFS(IM!F:F,A88,IM!AC:AC,"*"&amp;$H$4&amp;"*") + COUNTIFS('0919門市清單主檔'!C:C,B88,'0919門市清單主檔'!AG:AG,$H$4) &gt; 1,
       "V","未完工"),"-")</f>
        <v>V</v>
      </c>
      <c r="I88" s="253" t="str">
        <f>IF(COUNTIFS('0919門市清單主檔'!C:C,B88,'0919門市清單主檔'!AH:AH,$H$5)=1,
    IF(COUNTIFS(IM!F:F,A88,IM!AC:AC,"*"&amp;$H$5&amp;"*") + COUNTIFS('0919門市清單主檔'!C:C,B88,'0919門市清單主檔'!AH:AH,$H$5) &gt; 1,
       "V","未完工"),"-")</f>
        <v>V</v>
      </c>
      <c r="J88" s="253" t="str">
        <f>IF(
    COUNTIFS('0919門市清單主檔'!C:C,B88,'0919門市清單主檔'!AC:AC,$H$2)=1,
    IF(
        COUNTIFS(
            IM!F:F,A88,
            IM!AC:AC,"*"&amp;$H$2&amp;"*",
            IM!X:X,"&gt;="&amp;$M$1,
            IM!X:X,"&lt;="&amp;$M$3
        )
        + COUNTIFS('0919門市清單主檔'!C:C,B88,'0919門市清單主檔'!AC:AC,$H$2)
        &gt;1,
        "V",
        "未完工"
    ),
    "-"
)</f>
        <v>-</v>
      </c>
      <c r="K88" s="122">
        <v>45898</v>
      </c>
      <c r="L88" s="116" t="str">
        <f>VLOOKUP(A88,'0919門市清單主檔'!B:V,21,FALSE)</f>
        <v>三重區</v>
      </c>
      <c r="M88" s="153" t="str">
        <f>VLOOKUP(A88,門市總表!A:B,2,FALSE)</f>
        <v>三重義天店</v>
      </c>
    </row>
    <row r="89" spans="1:18" ht="21.6" customHeight="1">
      <c r="A89" s="116">
        <v>4970</v>
      </c>
      <c r="B89" s="116" t="str">
        <f>VLOOKUP(A89,門市總表!A:B,2,FALSE)</f>
        <v>中和一品苑</v>
      </c>
      <c r="C89" s="146" t="str">
        <f>IF(COUNTIFS(IM!$F:$F,A89,IM!$AD:$AD,"O",IM!$X:$X,"&gt;="&amp;$M$1, IM!$X:$X,"&lt;"&amp;$M$2)&gt;0,"V","")</f>
        <v>V</v>
      </c>
      <c r="D89" s="146" t="str">
        <f>IF(AND(C89&lt;&gt;"V", COUNTIFS(IM!$F:$F,A89, IM!$AD:$AD, "O", IM!$X:$X, "&gt;="&amp;$M$2, IM!$X:$X, "&lt;"&amp;$M$3)&gt;0), "V", "")</f>
        <v/>
      </c>
      <c r="E89" s="146" t="str">
        <f>IF(AND(C89&lt;&gt;"V",D89&lt;&gt;"V", COUNTIFS(IM!$F:$F, A89, IM!$AD:$AD, "O", IM!$X:$X, "&gt;="&amp;$M$3, IM!$X:$X, "&lt;"&amp;$N$3)&gt;0), "V", "")</f>
        <v/>
      </c>
      <c r="F89" s="116" t="str">
        <f>IF(VLOOKUP(A89,門市總表!A:F,6,FALSE)="新開","新開不保養",
IF(VLOOKUP(A89,門市總表!A:F,6,FALSE)="撤店","閉店不保養",IF(VLOOKUP(A89,門市總表!A:F,6,FALSE)="非當季","非當季",IF(VLOOKUP(A89,門市總表!A:F,6,FALSE)="跨季補單","跨季補單",
IF(COUNTBLANK(C89:E89)=3,"未保養","")
))))</f>
        <v/>
      </c>
      <c r="G89" s="116" t="str">
        <f>IF(COUNTIFS('0919門市清單主檔'!C:C,B89,'0919門市清單主檔'!AF:AF,$H$3)=1,
    IF(COUNTIFS(IM!F:F,A89,IM!AC:AC,"*"&amp;$H$3&amp;"*") + COUNTIFS('0919門市清單主檔'!C:C,B89,'0919門市清單主檔'!AF:AF,$H$3) &gt; 1,
       "V","未完工"),"-")</f>
        <v>-</v>
      </c>
      <c r="H89" s="253" t="str">
        <f>IF(COUNTIFS('0919門市清單主檔'!C:C,B89,'0919門市清單主檔'!AG:AG,$H$4)=1,
    IF(COUNTIFS(IM!F:F,A89,IM!AC:AC,"*"&amp;$H$4&amp;"*") + COUNTIFS('0919門市清單主檔'!C:C,B89,'0919門市清單主檔'!AG:AG,$H$4) &gt; 1,
       "V","未完工"),"-")</f>
        <v>未完工</v>
      </c>
      <c r="I89" s="253" t="str">
        <f>IF(COUNTIFS('0919門市清單主檔'!C:C,B89,'0919門市清單主檔'!AH:AH,$H$5)=1,
    IF(COUNTIFS(IM!F:F,A89,IM!AC:AC,"*"&amp;$H$5&amp;"*") + COUNTIFS('0919門市清單主檔'!C:C,B89,'0919門市清單主檔'!AH:AH,$H$5) &gt; 1,
       "V","未完工"),"-")</f>
        <v>V</v>
      </c>
      <c r="J89" s="253" t="str">
        <f>IF(
    COUNTIFS('0919門市清單主檔'!C:C,B89,'0919門市清單主檔'!AC:AC,$H$2)=1,
    IF(
        COUNTIFS(
            IM!F:F,A89,
            IM!AC:AC,"*"&amp;$H$2&amp;"*",
            IM!X:X,"&gt;="&amp;$M$1,
            IM!X:X,"&lt;="&amp;$M$3
        )
        + COUNTIFS('0919門市清單主檔'!C:C,B89,'0919門市清單主檔'!AC:AC,$H$2)
        &gt;1,
        "V",
        "未完工"
    ),
    "-"
)</f>
        <v>-</v>
      </c>
      <c r="K89" s="122">
        <v>45926</v>
      </c>
      <c r="L89" s="116" t="str">
        <f>VLOOKUP(A89,'0919門市清單主檔'!B:V,21,FALSE)</f>
        <v>中和區</v>
      </c>
      <c r="M89" s="153" t="str">
        <f>VLOOKUP(A89,門市總表!A:B,2,FALSE)</f>
        <v>中和一品苑</v>
      </c>
    </row>
    <row r="90" spans="1:18" ht="21.6" customHeight="1">
      <c r="A90" s="116">
        <v>2014</v>
      </c>
      <c r="B90" s="116" t="str">
        <f>VLOOKUP(A90,門市總表!A:B,2,FALSE)</f>
        <v>三重果菜市場</v>
      </c>
      <c r="C90" s="146" t="str">
        <f>IF(COUNTIFS(IM!$F:$F,A90,IM!$AD:$AD,"O",IM!$X:$X,"&gt;="&amp;$M$1, IM!$X:$X,"&lt;"&amp;$M$2)&gt;0,"V","")</f>
        <v>V</v>
      </c>
      <c r="D90" s="146" t="str">
        <f>IF(AND(C90&lt;&gt;"V", COUNTIFS(IM!$F:$F,A90, IM!$AD:$AD, "O", IM!$X:$X, "&gt;="&amp;$M$2, IM!$X:$X, "&lt;"&amp;$M$3)&gt;0), "V", "")</f>
        <v/>
      </c>
      <c r="E90" s="146" t="str">
        <f>IF(AND(C90&lt;&gt;"V",D90&lt;&gt;"V", COUNTIFS(IM!$F:$F, A90, IM!$AD:$AD, "O", IM!$X:$X, "&gt;="&amp;$M$3, IM!$X:$X, "&lt;"&amp;$N$3)&gt;0), "V", "")</f>
        <v/>
      </c>
      <c r="F90" s="116" t="str">
        <f>IF(VLOOKUP(A90,門市總表!A:F,6,FALSE)="新開","新開不保養",
IF(VLOOKUP(A90,門市總表!A:F,6,FALSE)="撤店","閉店不保養",IF(VLOOKUP(A90,門市總表!A:F,6,FALSE)="非當季","非當季",IF(VLOOKUP(A90,門市總表!A:F,6,FALSE)="跨季補單","跨季補單",
IF(COUNTBLANK(C90:E90)=3,"未保養","")
))))</f>
        <v/>
      </c>
      <c r="G90" s="116" t="str">
        <f>IF(COUNTIFS('0919門市清單主檔'!C:C,B90,'0919門市清單主檔'!AF:AF,$H$3)=1,
    IF(COUNTIFS(IM!F:F,A90,IM!AC:AC,"*"&amp;$H$3&amp;"*") + COUNTIFS('0919門市清單主檔'!C:C,B90,'0919門市清單主檔'!AF:AF,$H$3) &gt; 1,
       "V","未完工"),"-")</f>
        <v>-</v>
      </c>
      <c r="H90" s="253" t="str">
        <f>IF(COUNTIFS('0919門市清單主檔'!C:C,B90,'0919門市清單主檔'!AG:AG,$H$4)=1,
    IF(COUNTIFS(IM!F:F,A90,IM!AC:AC,"*"&amp;$H$4&amp;"*") + COUNTIFS('0919門市清單主檔'!C:C,B90,'0919門市清單主檔'!AG:AG,$H$4) &gt; 1,
       "V","未完工"),"-")</f>
        <v>V</v>
      </c>
      <c r="I90" s="253" t="str">
        <f>IF(COUNTIFS('0919門市清單主檔'!C:C,B90,'0919門市清單主檔'!AH:AH,$H$5)=1,
    IF(COUNTIFS(IM!F:F,A90,IM!AC:AC,"*"&amp;$H$5&amp;"*") + COUNTIFS('0919門市清單主檔'!C:C,B90,'0919門市清單主檔'!AH:AH,$H$5) &gt; 1,
       "V","未完工"),"-")</f>
        <v>V</v>
      </c>
      <c r="J90" s="253" t="str">
        <f>IF(
    COUNTIFS('0919門市清單主檔'!C:C,B90,'0919門市清單主檔'!AC:AC,$H$2)=1,
    IF(
        COUNTIFS(
            IM!F:F,A90,
            IM!AC:AC,"*"&amp;$H$2&amp;"*",
            IM!X:X,"&gt;="&amp;$M$1,
            IM!X:X,"&lt;="&amp;$M$3
        )
        + COUNTIFS('0919門市清單主檔'!C:C,B90,'0919門市清單主檔'!AC:AC,$H$2)
        &gt;1,
        "V",
        "未完工"
    ),
    "-"
)</f>
        <v>-</v>
      </c>
      <c r="K90" s="122">
        <v>45925</v>
      </c>
      <c r="L90" s="116" t="str">
        <f>VLOOKUP(A90,'0919門市清單主檔'!B:V,21,FALSE)</f>
        <v>三重區</v>
      </c>
      <c r="M90" s="153" t="str">
        <f>VLOOKUP(A90,門市總表!A:B,2,FALSE)</f>
        <v>三重果菜市場</v>
      </c>
      <c r="Q90" s="115" t="s">
        <v>4951</v>
      </c>
      <c r="R90" s="115"/>
    </row>
    <row r="91" spans="1:18" ht="21.6" customHeight="1">
      <c r="A91" s="116">
        <v>2209</v>
      </c>
      <c r="B91" s="116" t="str">
        <f>VLOOKUP(A91,門市總表!A:B,2,FALSE)</f>
        <v>三重圖書館</v>
      </c>
      <c r="C91" s="146" t="str">
        <f>IF(COUNTIFS(IM!$F:$F,A91,IM!$AD:$AD,"O",IM!$X:$X,"&gt;="&amp;$M$1, IM!$X:$X,"&lt;"&amp;$M$2)&gt;0,"V","")</f>
        <v>V</v>
      </c>
      <c r="D91" s="146" t="str">
        <f>IF(AND(C91&lt;&gt;"V", COUNTIFS(IM!$F:$F,A91, IM!$AD:$AD, "O", IM!$X:$X, "&gt;="&amp;$M$2, IM!$X:$X, "&lt;"&amp;$M$3)&gt;0), "V", "")</f>
        <v/>
      </c>
      <c r="E91" s="146" t="str">
        <f>IF(AND(C91&lt;&gt;"V",D91&lt;&gt;"V", COUNTIFS(IM!$F:$F, A91, IM!$AD:$AD, "O", IM!$X:$X, "&gt;="&amp;$M$3, IM!$X:$X, "&lt;"&amp;$N$3)&gt;0), "V", "")</f>
        <v/>
      </c>
      <c r="F91" s="116" t="str">
        <f>IF(VLOOKUP(A91,門市總表!A:F,6,FALSE)="新開","新開不保養",
IF(VLOOKUP(A91,門市總表!A:F,6,FALSE)="撤店","閉店不保養",IF(VLOOKUP(A91,門市總表!A:F,6,FALSE)="非當季","非當季",IF(VLOOKUP(A91,門市總表!A:F,6,FALSE)="跨季補單","跨季補單",
IF(COUNTBLANK(C91:E91)=3,"未保養","")
))))</f>
        <v/>
      </c>
      <c r="G91" s="116" t="str">
        <f>IF(COUNTIFS('0919門市清單主檔'!C:C,B91,'0919門市清單主檔'!AF:AF,$H$3)=1,
    IF(COUNTIFS(IM!F:F,A91,IM!AC:AC,"*"&amp;$H$3&amp;"*") + COUNTIFS('0919門市清單主檔'!C:C,B91,'0919門市清單主檔'!AF:AF,$H$3) &gt; 1,
       "V","未完工"),"-")</f>
        <v>-</v>
      </c>
      <c r="H91" s="253" t="str">
        <f>IF(COUNTIFS('0919門市清單主檔'!C:C,B91,'0919門市清單主檔'!AG:AG,$H$4)=1,
    IF(COUNTIFS(IM!F:F,A91,IM!AC:AC,"*"&amp;$H$4&amp;"*") + COUNTIFS('0919門市清單主檔'!C:C,B91,'0919門市清單主檔'!AG:AG,$H$4) &gt; 1,
       "V","未完工"),"-")</f>
        <v>未完工</v>
      </c>
      <c r="I91" s="253" t="str">
        <f>IF(COUNTIFS('0919門市清單主檔'!C:C,B91,'0919門市清單主檔'!AH:AH,$H$5)=1,
    IF(COUNTIFS(IM!F:F,A91,IM!AC:AC,"*"&amp;$H$5&amp;"*") + COUNTIFS('0919門市清單主檔'!C:C,B91,'0919門市清單主檔'!AH:AH,$H$5) &gt; 1,
       "V","未完工"),"-")</f>
        <v>V</v>
      </c>
      <c r="J91" s="253" t="str">
        <f>IF(
    COUNTIFS('0919門市清單主檔'!C:C,B91,'0919門市清單主檔'!AC:AC,$H$2)=1,
    IF(
        COUNTIFS(
            IM!F:F,A91,
            IM!AC:AC,"*"&amp;$H$2&amp;"*",
            IM!X:X,"&gt;="&amp;$M$1,
            IM!X:X,"&lt;="&amp;$M$3
        )
        + COUNTIFS('0919門市清單主檔'!C:C,B91,'0919門市清單主檔'!AC:AC,$H$2)
        &gt;1,
        "V",
        "未完工"
    ),
    "-"
)</f>
        <v>-</v>
      </c>
      <c r="K91" s="122">
        <v>45883</v>
      </c>
      <c r="L91" s="116" t="str">
        <f>VLOOKUP(A91,'0919門市清單主檔'!B:V,21,FALSE)</f>
        <v>三重區</v>
      </c>
      <c r="M91" s="153" t="str">
        <f>VLOOKUP(A91,門市總表!A:B,2,FALSE)</f>
        <v>三重圖書館</v>
      </c>
    </row>
    <row r="92" spans="1:18" ht="21.6" customHeight="1">
      <c r="A92" s="116" t="s">
        <v>53</v>
      </c>
      <c r="B92" s="116" t="str">
        <f>VLOOKUP(A92,門市總表!A:B,2,FALSE)</f>
        <v>北縣溪尾二店</v>
      </c>
      <c r="C92" s="146" t="str">
        <f>IF(COUNTIFS(IM!$F:$F,A92,IM!$AD:$AD,"O",IM!$X:$X,"&gt;="&amp;$M$1, IM!$X:$X,"&lt;"&amp;$M$2)&gt;0,"V","")</f>
        <v>V</v>
      </c>
      <c r="D92" s="146" t="str">
        <f>IF(AND(C92&lt;&gt;"V", COUNTIFS(IM!$F:$F,A92, IM!$AD:$AD, "O", IM!$X:$X, "&gt;="&amp;$M$2, IM!$X:$X, "&lt;"&amp;$M$3)&gt;0), "V", "")</f>
        <v/>
      </c>
      <c r="E92" s="146" t="str">
        <f>IF(AND(C92&lt;&gt;"V",D92&lt;&gt;"V", COUNTIFS(IM!$F:$F, A92, IM!$AD:$AD, "O", IM!$X:$X, "&gt;="&amp;$M$3, IM!$X:$X, "&lt;"&amp;$N$3)&gt;0), "V", "")</f>
        <v/>
      </c>
      <c r="F92" s="116" t="str">
        <f>IF(VLOOKUP(A92,門市總表!A:F,6,FALSE)="新開","新開不保養",
IF(VLOOKUP(A92,門市總表!A:F,6,FALSE)="撤店","閉店不保養",IF(VLOOKUP(A92,門市總表!A:F,6,FALSE)="非當季","非當季",IF(VLOOKUP(A92,門市總表!A:F,6,FALSE)="跨季補單","跨季補單",
IF(COUNTBLANK(C92:E92)=3,"未保養","")
))))</f>
        <v/>
      </c>
      <c r="G92" s="116" t="str">
        <f>IF(COUNTIFS('0919門市清單主檔'!C:C,B92,'0919門市清單主檔'!AF:AF,$H$3)=1,
    IF(COUNTIFS(IM!F:F,A92,IM!AC:AC,"*"&amp;$H$3&amp;"*") + COUNTIFS('0919門市清單主檔'!C:C,B92,'0919門市清單主檔'!AF:AF,$H$3) &gt; 1,
       "V","未完工"),"-")</f>
        <v>-</v>
      </c>
      <c r="H92" s="253" t="str">
        <f>IF(COUNTIFS('0919門市清單主檔'!C:C,B92,'0919門市清單主檔'!AG:AG,$H$4)=1,
    IF(COUNTIFS(IM!F:F,A92,IM!AC:AC,"*"&amp;$H$4&amp;"*") + COUNTIFS('0919門市清單主檔'!C:C,B92,'0919門市清單主檔'!AG:AG,$H$4) &gt; 1,
       "V","未完工"),"-")</f>
        <v>V</v>
      </c>
      <c r="I92" s="253" t="str">
        <f>IF(COUNTIFS('0919門市清單主檔'!C:C,B92,'0919門市清單主檔'!AH:AH,$H$5)=1,
    IF(COUNTIFS(IM!F:F,A92,IM!AC:AC,"*"&amp;$H$5&amp;"*") + COUNTIFS('0919門市清單主檔'!C:C,B92,'0919門市清單主檔'!AH:AH,$H$5) &gt; 1,
       "V","未完工"),"-")</f>
        <v>V</v>
      </c>
      <c r="J92" s="253" t="str">
        <f>IF(
    COUNTIFS('0919門市清單主檔'!C:C,B92,'0919門市清單主檔'!AC:AC,$H$2)=1,
    IF(
        COUNTIFS(
            IM!F:F,A92,
            IM!AC:AC,"*"&amp;$H$2&amp;"*",
            IM!X:X,"&gt;="&amp;$M$1,
            IM!X:X,"&lt;="&amp;$M$3
        )
        + COUNTIFS('0919門市清單主檔'!C:C,B92,'0919門市清單主檔'!AC:AC,$H$2)
        &gt;1,
        "V",
        "未完工"
    ),
    "-"
)</f>
        <v>-</v>
      </c>
      <c r="K92" s="122">
        <v>45893</v>
      </c>
      <c r="L92" s="116" t="str">
        <f>VLOOKUP(A92,'0919門市清單主檔'!B:V,21,FALSE)</f>
        <v>三重區</v>
      </c>
      <c r="M92" s="153" t="str">
        <f>VLOOKUP(A92,門市總表!A:B,2,FALSE)</f>
        <v>北縣溪尾二店</v>
      </c>
    </row>
    <row r="93" spans="1:18" ht="21.6" customHeight="1">
      <c r="A93" s="116">
        <v>3082</v>
      </c>
      <c r="B93" s="116" t="str">
        <f>VLOOKUP(A93,門市總表!A:B,2,FALSE)</f>
        <v>永和福和花園</v>
      </c>
      <c r="C93" s="146" t="str">
        <f>IF(COUNTIFS(IM!$F:$F,A93,IM!$AD:$AD,"O",IM!$X:$X,"&gt;="&amp;$M$1, IM!$X:$X,"&lt;"&amp;$M$2)&gt;0,"V","")</f>
        <v>V</v>
      </c>
      <c r="D93" s="146" t="str">
        <f>IF(AND(C93&lt;&gt;"V", COUNTIFS(IM!$F:$F,A93, IM!$AD:$AD, "O", IM!$X:$X, "&gt;="&amp;$M$2, IM!$X:$X, "&lt;"&amp;$M$3)&gt;0), "V", "")</f>
        <v/>
      </c>
      <c r="E93" s="146" t="str">
        <f>IF(AND(C93&lt;&gt;"V",D93&lt;&gt;"V", COUNTIFS(IM!$F:$F, A93, IM!$AD:$AD, "O", IM!$X:$X, "&gt;="&amp;$M$3, IM!$X:$X, "&lt;"&amp;$N$3)&gt;0), "V", "")</f>
        <v/>
      </c>
      <c r="F93" s="116" t="str">
        <f>IF(VLOOKUP(A93,門市總表!A:F,6,FALSE)="新開","新開不保養",
IF(VLOOKUP(A93,門市總表!A:F,6,FALSE)="撤店","閉店不保養",IF(VLOOKUP(A93,門市總表!A:F,6,FALSE)="非當季","非當季",IF(VLOOKUP(A93,門市總表!A:F,6,FALSE)="跨季補單","跨季補單",
IF(COUNTBLANK(C93:E93)=3,"未保養","")
))))</f>
        <v/>
      </c>
      <c r="G93" s="116" t="str">
        <f>IF(COUNTIFS('0919門市清單主檔'!C:C,B93,'0919門市清單主檔'!AF:AF,$H$3)=1,
    IF(COUNTIFS(IM!F:F,A93,IM!AC:AC,"*"&amp;$H$3&amp;"*") + COUNTIFS('0919門市清單主檔'!C:C,B93,'0919門市清單主檔'!AF:AF,$H$3) &gt; 1,
       "V","未完工"),"-")</f>
        <v>-</v>
      </c>
      <c r="H93" s="253" t="str">
        <f>IF(COUNTIFS('0919門市清單主檔'!C:C,B93,'0919門市清單主檔'!AG:AG,$H$4)=1,
    IF(COUNTIFS(IM!F:F,A93,IM!AC:AC,"*"&amp;$H$4&amp;"*") + COUNTIFS('0919門市清單主檔'!C:C,B93,'0919門市清單主檔'!AG:AG,$H$4) &gt; 1,
       "V","未完工"),"-")</f>
        <v>未完工</v>
      </c>
      <c r="I93" s="253" t="str">
        <f>IF(COUNTIFS('0919門市清單主檔'!C:C,B93,'0919門市清單主檔'!AH:AH,$H$5)=1,
    IF(COUNTIFS(IM!F:F,A93,IM!AC:AC,"*"&amp;$H$5&amp;"*") + COUNTIFS('0919門市清單主檔'!C:C,B93,'0919門市清單主檔'!AH:AH,$H$5) &gt; 1,
       "V","未完工"),"-")</f>
        <v>V</v>
      </c>
      <c r="J93" s="253" t="str">
        <f>IF(
    COUNTIFS('0919門市清單主檔'!C:C,B93,'0919門市清單主檔'!AC:AC,$H$2)=1,
    IF(
        COUNTIFS(
            IM!F:F,A93,
            IM!AC:AC,"*"&amp;$H$2&amp;"*",
            IM!X:X,"&gt;="&amp;$M$1,
            IM!X:X,"&lt;="&amp;$M$3
        )
        + COUNTIFS('0919門市清單主檔'!C:C,B93,'0919門市清單主檔'!AC:AC,$H$2)
        &gt;1,
        "V",
        "未完工"
    ),
    "-"
)</f>
        <v>-</v>
      </c>
      <c r="K93" s="122">
        <v>45904</v>
      </c>
      <c r="L93" s="116" t="str">
        <f>VLOOKUP(A93,'0919門市清單主檔'!B:V,21,FALSE)</f>
        <v>永和區</v>
      </c>
      <c r="M93" s="153" t="str">
        <f>VLOOKUP(A93,門市總表!A:B,2,FALSE)</f>
        <v>永和福和花園</v>
      </c>
    </row>
    <row r="94" spans="1:18" ht="21.6" customHeight="1">
      <c r="A94" s="116">
        <v>2941</v>
      </c>
      <c r="B94" s="116" t="str">
        <f>VLOOKUP(A94,門市總表!A:B,2,FALSE)</f>
        <v>永和頂溪店</v>
      </c>
      <c r="C94" s="146" t="str">
        <f>IF(COUNTIFS(IM!$F:$F,A94,IM!$AD:$AD,"O",IM!$X:$X,"&gt;="&amp;$M$1, IM!$X:$X,"&lt;"&amp;$M$2)&gt;0,"V","")</f>
        <v>V</v>
      </c>
      <c r="D94" s="146" t="str">
        <f>IF(AND(C94&lt;&gt;"V", COUNTIFS(IM!$F:$F,A94, IM!$AD:$AD, "O", IM!$X:$X, "&gt;="&amp;$M$2, IM!$X:$X, "&lt;"&amp;$M$3)&gt;0), "V", "")</f>
        <v/>
      </c>
      <c r="E94" s="146" t="str">
        <f>IF(AND(C94&lt;&gt;"V",D94&lt;&gt;"V", COUNTIFS(IM!$F:$F, A94, IM!$AD:$AD, "O", IM!$X:$X, "&gt;="&amp;$M$3, IM!$X:$X, "&lt;"&amp;$N$3)&gt;0), "V", "")</f>
        <v/>
      </c>
      <c r="F94" s="116" t="str">
        <f>IF(VLOOKUP(A94,門市總表!A:F,6,FALSE)="新開","新開不保養",
IF(VLOOKUP(A94,門市總表!A:F,6,FALSE)="撤店","閉店不保養",IF(VLOOKUP(A94,門市總表!A:F,6,FALSE)="非當季","非當季",IF(VLOOKUP(A94,門市總表!A:F,6,FALSE)="跨季補單","跨季補單",
IF(COUNTBLANK(C94:E94)=3,"未保養","")
))))</f>
        <v/>
      </c>
      <c r="G94" s="116" t="str">
        <f>IF(COUNTIFS('0919門市清單主檔'!C:C,B94,'0919門市清單主檔'!AF:AF,$H$3)=1,
    IF(COUNTIFS(IM!F:F,A94,IM!AC:AC,"*"&amp;$H$3&amp;"*") + COUNTIFS('0919門市清單主檔'!C:C,B94,'0919門市清單主檔'!AF:AF,$H$3) &gt; 1,
       "V","未完工"),"-")</f>
        <v>-</v>
      </c>
      <c r="H94" s="253" t="str">
        <f>IF(COUNTIFS('0919門市清單主檔'!C:C,B94,'0919門市清單主檔'!AG:AG,$H$4)=1,
    IF(COUNTIFS(IM!F:F,A94,IM!AC:AC,"*"&amp;$H$4&amp;"*") + COUNTIFS('0919門市清單主檔'!C:C,B94,'0919門市清單主檔'!AG:AG,$H$4) &gt; 1,
       "V","未完工"),"-")</f>
        <v>未完工</v>
      </c>
      <c r="I94" s="253" t="str">
        <f>IF(COUNTIFS('0919門市清單主檔'!C:C,B94,'0919門市清單主檔'!AH:AH,$H$5)=1,
    IF(COUNTIFS(IM!F:F,A94,IM!AC:AC,"*"&amp;$H$5&amp;"*") + COUNTIFS('0919門市清單主檔'!C:C,B94,'0919門市清單主檔'!AH:AH,$H$5) &gt; 1,
       "V","未完工"),"-")</f>
        <v>V</v>
      </c>
      <c r="J94" s="253" t="str">
        <f>IF(
    COUNTIFS('0919門市清單主檔'!C:C,B94,'0919門市清單主檔'!AC:AC,$H$2)=1,
    IF(
        COUNTIFS(
            IM!F:F,A94,
            IM!AC:AC,"*"&amp;$H$2&amp;"*",
            IM!X:X,"&gt;="&amp;$M$1,
            IM!X:X,"&lt;="&amp;$M$3
        )
        + COUNTIFS('0919門市清單主檔'!C:C,B94,'0919門市清單主檔'!AC:AC,$H$2)
        &gt;1,
        "V",
        "未完工"
    ),
    "-"
)</f>
        <v>-</v>
      </c>
      <c r="K94" s="122">
        <v>45906</v>
      </c>
      <c r="L94" s="116" t="str">
        <f>VLOOKUP(A94,'0919門市清單主檔'!B:V,21,FALSE)</f>
        <v>永和區</v>
      </c>
      <c r="M94" s="153" t="str">
        <f>VLOOKUP(A94,門市總表!A:B,2,FALSE)</f>
        <v>永和頂溪店</v>
      </c>
    </row>
    <row r="95" spans="1:18" ht="21.6" customHeight="1">
      <c r="A95" s="116">
        <v>3968</v>
      </c>
      <c r="B95" s="116" t="str">
        <f>VLOOKUP(A95,門市總表!A:B,2,FALSE)</f>
        <v>永和貞寧店</v>
      </c>
      <c r="C95" s="146" t="str">
        <f>IF(COUNTIFS(IM!$F:$F,A95,IM!$AD:$AD,"O",IM!$X:$X,"&gt;="&amp;$M$1, IM!$X:$X,"&lt;"&amp;$M$2)&gt;0,"V","")</f>
        <v>V</v>
      </c>
      <c r="D95" s="146" t="str">
        <f>IF(AND(C95&lt;&gt;"V", COUNTIFS(IM!$F:$F,A95, IM!$AD:$AD, "O", IM!$X:$X, "&gt;="&amp;$M$2, IM!$X:$X, "&lt;"&amp;$M$3)&gt;0), "V", "")</f>
        <v/>
      </c>
      <c r="E95" s="146" t="str">
        <f>IF(AND(C95&lt;&gt;"V",D95&lt;&gt;"V", COUNTIFS(IM!$F:$F, A95, IM!$AD:$AD, "O", IM!$X:$X, "&gt;="&amp;$M$3, IM!$X:$X, "&lt;"&amp;$N$3)&gt;0), "V", "")</f>
        <v/>
      </c>
      <c r="F95" s="116" t="str">
        <f>IF(VLOOKUP(A95,門市總表!A:F,6,FALSE)="新開","新開不保養",
IF(VLOOKUP(A95,門市總表!A:F,6,FALSE)="撤店","閉店不保養",IF(VLOOKUP(A95,門市總表!A:F,6,FALSE)="非當季","非當季",IF(VLOOKUP(A95,門市總表!A:F,6,FALSE)="跨季補單","跨季補單",
IF(COUNTBLANK(C95:E95)=3,"未保養","")
))))</f>
        <v/>
      </c>
      <c r="G95" s="116" t="str">
        <f>IF(COUNTIFS('0919門市清單主檔'!C:C,B95,'0919門市清單主檔'!AF:AF,$H$3)=1,
    IF(COUNTIFS(IM!F:F,A95,IM!AC:AC,"*"&amp;$H$3&amp;"*") + COUNTIFS('0919門市清單主檔'!C:C,B95,'0919門市清單主檔'!AF:AF,$H$3) &gt; 1,
       "V","未完工"),"-")</f>
        <v>-</v>
      </c>
      <c r="H95" s="253" t="str">
        <f>IF(COUNTIFS('0919門市清單主檔'!C:C,B95,'0919門市清單主檔'!AG:AG,$H$4)=1,
    IF(COUNTIFS(IM!F:F,A95,IM!AC:AC,"*"&amp;$H$4&amp;"*") + COUNTIFS('0919門市清單主檔'!C:C,B95,'0919門市清單主檔'!AG:AG,$H$4) &gt; 1,
       "V","未完工"),"-")</f>
        <v>未完工</v>
      </c>
      <c r="I95" s="253" t="str">
        <f>IF(COUNTIFS('0919門市清單主檔'!C:C,B95,'0919門市清單主檔'!AH:AH,$H$5)=1,
    IF(COUNTIFS(IM!F:F,A95,IM!AC:AC,"*"&amp;$H$5&amp;"*") + COUNTIFS('0919門市清單主檔'!C:C,B95,'0919門市清單主檔'!AH:AH,$H$5) &gt; 1,
       "V","未完工"),"-")</f>
        <v>V</v>
      </c>
      <c r="J95" s="253" t="str">
        <f>IF(
    COUNTIFS('0919門市清單主檔'!C:C,B95,'0919門市清單主檔'!AC:AC,$H$2)=1,
    IF(
        COUNTIFS(
            IM!F:F,A95,
            IM!AC:AC,"*"&amp;$H$2&amp;"*",
            IM!X:X,"&gt;="&amp;$M$1,
            IM!X:X,"&lt;="&amp;$M$3
        )
        + COUNTIFS('0919門市清單主檔'!C:C,B95,'0919門市清單主檔'!AC:AC,$H$2)
        &gt;1,
        "V",
        "未完工"
    ),
    "-"
)</f>
        <v>-</v>
      </c>
      <c r="K95" s="122">
        <v>45908</v>
      </c>
      <c r="L95" s="116" t="str">
        <f>VLOOKUP(A95,'0919門市清單主檔'!B:V,21,FALSE)</f>
        <v>永和區</v>
      </c>
      <c r="M95" s="153" t="str">
        <f>VLOOKUP(A95,門市總表!A:B,2,FALSE)</f>
        <v>永和貞寧店</v>
      </c>
    </row>
    <row r="96" spans="1:18" ht="21.6" customHeight="1">
      <c r="A96" s="116">
        <v>4019</v>
      </c>
      <c r="B96" s="116" t="str">
        <f>VLOOKUP(A96,門市總表!A:B,2,FALSE)</f>
        <v>永和永霖店</v>
      </c>
      <c r="C96" s="146" t="str">
        <f>IF(COUNTIFS(IM!$F:$F,A96,IM!$AD:$AD,"O",IM!$X:$X,"&gt;="&amp;$M$1, IM!$X:$X,"&lt;"&amp;$M$2)&gt;0,"V","")</f>
        <v>V</v>
      </c>
      <c r="D96" s="146" t="str">
        <f>IF(AND(C96&lt;&gt;"V", COUNTIFS(IM!$F:$F,A96, IM!$AD:$AD, "O", IM!$X:$X, "&gt;="&amp;$M$2, IM!$X:$X, "&lt;"&amp;$M$3)&gt;0), "V", "")</f>
        <v/>
      </c>
      <c r="E96" s="146" t="str">
        <f>IF(AND(C96&lt;&gt;"V",D96&lt;&gt;"V", COUNTIFS(IM!$F:$F, A96, IM!$AD:$AD, "O", IM!$X:$X, "&gt;="&amp;$M$3, IM!$X:$X, "&lt;"&amp;$N$3)&gt;0), "V", "")</f>
        <v/>
      </c>
      <c r="F96" s="116" t="str">
        <f>IF(VLOOKUP(A96,門市總表!A:F,6,FALSE)="新開","新開不保養",
IF(VLOOKUP(A96,門市總表!A:F,6,FALSE)="撤店","閉店不保養",IF(VLOOKUP(A96,門市總表!A:F,6,FALSE)="非當季","非當季",IF(VLOOKUP(A96,門市總表!A:F,6,FALSE)="跨季補單","跨季補單",
IF(COUNTBLANK(C96:E96)=3,"未保養","")
))))</f>
        <v/>
      </c>
      <c r="G96" s="116" t="str">
        <f>IF(COUNTIFS('0919門市清單主檔'!C:C,B96,'0919門市清單主檔'!AF:AF,$H$3)=1,
    IF(COUNTIFS(IM!F:F,A96,IM!AC:AC,"*"&amp;$H$3&amp;"*") + COUNTIFS('0919門市清單主檔'!C:C,B96,'0919門市清單主檔'!AF:AF,$H$3) &gt; 1,
       "V","未完工"),"-")</f>
        <v>-</v>
      </c>
      <c r="H96" s="253" t="str">
        <f>IF(COUNTIFS('0919門市清單主檔'!C:C,B96,'0919門市清單主檔'!AG:AG,$H$4)=1,
    IF(COUNTIFS(IM!F:F,A96,IM!AC:AC,"*"&amp;$H$4&amp;"*") + COUNTIFS('0919門市清單主檔'!C:C,B96,'0919門市清單主檔'!AG:AG,$H$4) &gt; 1,
       "V","未完工"),"-")</f>
        <v>未完工</v>
      </c>
      <c r="I96" s="253" t="str">
        <f>IF(COUNTIFS('0919門市清單主檔'!C:C,B96,'0919門市清單主檔'!AH:AH,$H$5)=1,
    IF(COUNTIFS(IM!F:F,A96,IM!AC:AC,"*"&amp;$H$5&amp;"*") + COUNTIFS('0919門市清單主檔'!C:C,B96,'0919門市清單主檔'!AH:AH,$H$5) &gt; 1,
       "V","未完工"),"-")</f>
        <v>V</v>
      </c>
      <c r="J96" s="253" t="str">
        <f>IF(
    COUNTIFS('0919門市清單主檔'!C:C,B96,'0919門市清單主檔'!AC:AC,$H$2)=1,
    IF(
        COUNTIFS(
            IM!F:F,A96,
            IM!AC:AC,"*"&amp;$H$2&amp;"*",
            IM!X:X,"&gt;="&amp;$M$1,
            IM!X:X,"&lt;="&amp;$M$3
        )
        + COUNTIFS('0919門市清單主檔'!C:C,B96,'0919門市清單主檔'!AC:AC,$H$2)
        &gt;1,
        "V",
        "未完工"
    ),
    "-"
)</f>
        <v>-</v>
      </c>
      <c r="K96" s="122">
        <v>45909</v>
      </c>
      <c r="L96" s="116" t="str">
        <f>VLOOKUP(A96,'0919門市清單主檔'!B:V,21,FALSE)</f>
        <v>永和區</v>
      </c>
      <c r="M96" s="153" t="str">
        <f>VLOOKUP(A96,門市總表!A:B,2,FALSE)</f>
        <v>永和永霖店</v>
      </c>
    </row>
    <row r="97" spans="1:18" ht="21.6" customHeight="1">
      <c r="A97" s="116">
        <v>2303</v>
      </c>
      <c r="B97" s="116" t="str">
        <f>VLOOKUP(A97,門市總表!A:B,2,FALSE)</f>
        <v>三重三和夜市</v>
      </c>
      <c r="C97" s="146" t="str">
        <f>IF(COUNTIFS(IM!$F:$F,A97,IM!$AD:$AD,"O",IM!$X:$X,"&gt;="&amp;$M$1, IM!$X:$X,"&lt;"&amp;$M$2)&gt;0,"V","")</f>
        <v>V</v>
      </c>
      <c r="D97" s="146" t="str">
        <f>IF(AND(C97&lt;&gt;"V", COUNTIFS(IM!$F:$F,A97, IM!$AD:$AD, "O", IM!$X:$X, "&gt;="&amp;$M$2, IM!$X:$X, "&lt;"&amp;$M$3)&gt;0), "V", "")</f>
        <v/>
      </c>
      <c r="E97" s="146" t="str">
        <f>IF(AND(C97&lt;&gt;"V",D97&lt;&gt;"V", COUNTIFS(IM!$F:$F, A97, IM!$AD:$AD, "O", IM!$X:$X, "&gt;="&amp;$M$3, IM!$X:$X, "&lt;"&amp;$N$3)&gt;0), "V", "")</f>
        <v/>
      </c>
      <c r="F97" s="116" t="str">
        <f>IF(VLOOKUP(A97,門市總表!A:F,6,FALSE)="新開","新開不保養",
IF(VLOOKUP(A97,門市總表!A:F,6,FALSE)="撤店","閉店不保養",IF(VLOOKUP(A97,門市總表!A:F,6,FALSE)="非當季","非當季",IF(VLOOKUP(A97,門市總表!A:F,6,FALSE)="跨季補單","跨季補單",
IF(COUNTBLANK(C97:E97)=3,"未保養","")
))))</f>
        <v/>
      </c>
      <c r="G97" s="116" t="str">
        <f>IF(COUNTIFS('0919門市清單主檔'!C:C,B97,'0919門市清單主檔'!AF:AF,$H$3)=1,
    IF(COUNTIFS(IM!F:F,A97,IM!AC:AC,"*"&amp;$H$3&amp;"*") + COUNTIFS('0919門市清單主檔'!C:C,B97,'0919門市清單主檔'!AF:AF,$H$3) &gt; 1,
       "V","未完工"),"-")</f>
        <v>-</v>
      </c>
      <c r="H97" s="253" t="str">
        <f>IF(COUNTIFS('0919門市清單主檔'!C:C,B97,'0919門市清單主檔'!AG:AG,$H$4)=1,
    IF(COUNTIFS(IM!F:F,A97,IM!AC:AC,"*"&amp;$H$4&amp;"*") + COUNTIFS('0919門市清單主檔'!C:C,B97,'0919門市清單主檔'!AG:AG,$H$4) &gt; 1,
       "V","未完工"),"-")</f>
        <v>V</v>
      </c>
      <c r="I97" s="253" t="str">
        <f>IF(COUNTIFS('0919門市清單主檔'!C:C,B97,'0919門市清單主檔'!AH:AH,$H$5)=1,
    IF(COUNTIFS(IM!F:F,A97,IM!AC:AC,"*"&amp;$H$5&amp;"*") + COUNTIFS('0919門市清單主檔'!C:C,B97,'0919門市清單主檔'!AH:AH,$H$5) &gt; 1,
       "V","未完工"),"-")</f>
        <v>V</v>
      </c>
      <c r="J97" s="253" t="str">
        <f>IF(
    COUNTIFS('0919門市清單主檔'!C:C,B97,'0919門市清單主檔'!AC:AC,$H$2)=1,
    IF(
        COUNTIFS(
            IM!F:F,A97,
            IM!AC:AC,"*"&amp;$H$2&amp;"*",
            IM!X:X,"&gt;="&amp;$M$1,
            IM!X:X,"&lt;="&amp;$M$3
        )
        + COUNTIFS('0919門市清單主檔'!C:C,B97,'0919門市清單主檔'!AC:AC,$H$2)
        &gt;1,
        "V",
        "未完工"
    ),
    "-"
)</f>
        <v>-</v>
      </c>
      <c r="K97" s="122">
        <v>45867</v>
      </c>
      <c r="L97" s="116" t="str">
        <f>VLOOKUP(A97,'0919門市清單主檔'!B:V,21,FALSE)</f>
        <v>三重區</v>
      </c>
      <c r="M97" s="153" t="str">
        <f>VLOOKUP(A97,門市總表!A:B,2,FALSE)</f>
        <v>三重三和夜市</v>
      </c>
      <c r="Q97" s="115" t="s">
        <v>4951</v>
      </c>
      <c r="R97" s="115"/>
    </row>
    <row r="98" spans="1:18" ht="21.6" customHeight="1">
      <c r="A98" s="116">
        <v>4312</v>
      </c>
      <c r="B98" s="116" t="str">
        <f>VLOOKUP(A98,門市總表!A:B,2,FALSE)</f>
        <v>三重文化北</v>
      </c>
      <c r="C98" s="146" t="str">
        <f>IF(COUNTIFS(IM!$F:$F,A98,IM!$AD:$AD,"O",IM!$X:$X,"&gt;="&amp;$M$1, IM!$X:$X,"&lt;"&amp;$M$2)&gt;0,"V","")</f>
        <v>V</v>
      </c>
      <c r="D98" s="146" t="str">
        <f>IF(AND(C98&lt;&gt;"V", COUNTIFS(IM!$F:$F,A98, IM!$AD:$AD, "O", IM!$X:$X, "&gt;="&amp;$M$2, IM!$X:$X, "&lt;"&amp;$M$3)&gt;0), "V", "")</f>
        <v/>
      </c>
      <c r="E98" s="146" t="str">
        <f>IF(AND(C98&lt;&gt;"V",D98&lt;&gt;"V", COUNTIFS(IM!$F:$F, A98, IM!$AD:$AD, "O", IM!$X:$X, "&gt;="&amp;$M$3, IM!$X:$X, "&lt;"&amp;$N$3)&gt;0), "V", "")</f>
        <v/>
      </c>
      <c r="F98" s="116" t="str">
        <f>IF(VLOOKUP(A98,門市總表!A:F,6,FALSE)="新開","新開不保養",
IF(VLOOKUP(A98,門市總表!A:F,6,FALSE)="撤店","閉店不保養",IF(VLOOKUP(A98,門市總表!A:F,6,FALSE)="非當季","非當季",IF(VLOOKUP(A98,門市總表!A:F,6,FALSE)="跨季補單","跨季補單",
IF(COUNTBLANK(C98:E98)=3,"未保養","")
))))</f>
        <v/>
      </c>
      <c r="G98" s="116" t="str">
        <f>IF(COUNTIFS('0919門市清單主檔'!C:C,B98,'0919門市清單主檔'!AF:AF,$H$3)=1,
    IF(COUNTIFS(IM!F:F,A98,IM!AC:AC,"*"&amp;$H$3&amp;"*") + COUNTIFS('0919門市清單主檔'!C:C,B98,'0919門市清單主檔'!AF:AF,$H$3) &gt; 1,
       "V","未完工"),"-")</f>
        <v>-</v>
      </c>
      <c r="H98" s="253" t="str">
        <f>IF(COUNTIFS('0919門市清單主檔'!C:C,B98,'0919門市清單主檔'!AG:AG,$H$4)=1,
    IF(COUNTIFS(IM!F:F,A98,IM!AC:AC,"*"&amp;$H$4&amp;"*") + COUNTIFS('0919門市清單主檔'!C:C,B98,'0919門市清單主檔'!AG:AG,$H$4) &gt; 1,
       "V","未完工"),"-")</f>
        <v>V</v>
      </c>
      <c r="I98" s="253" t="str">
        <f>IF(COUNTIFS('0919門市清單主檔'!C:C,B98,'0919門市清單主檔'!AH:AH,$H$5)=1,
    IF(COUNTIFS(IM!F:F,A98,IM!AC:AC,"*"&amp;$H$5&amp;"*") + COUNTIFS('0919門市清單主檔'!C:C,B98,'0919門市清單主檔'!AH:AH,$H$5) &gt; 1,
       "V","未完工"),"-")</f>
        <v>V</v>
      </c>
      <c r="J98" s="253" t="str">
        <f>IF(
    COUNTIFS('0919門市清單主檔'!C:C,B98,'0919門市清單主檔'!AC:AC,$H$2)=1,
    IF(
        COUNTIFS(
            IM!F:F,A98,
            IM!AC:AC,"*"&amp;$H$2&amp;"*",
            IM!X:X,"&gt;="&amp;$M$1,
            IM!X:X,"&lt;="&amp;$M$3
        )
        + COUNTIFS('0919門市清單主檔'!C:C,B98,'0919門市清單主檔'!AC:AC,$H$2)
        &gt;1,
        "V",
        "未完工"
    ),
    "-"
)</f>
        <v>-</v>
      </c>
      <c r="K98" s="122">
        <v>45884</v>
      </c>
      <c r="L98" s="116" t="str">
        <f>VLOOKUP(A98,'0919門市清單主檔'!B:V,21,FALSE)</f>
        <v>三重區</v>
      </c>
      <c r="M98" s="153" t="str">
        <f>VLOOKUP(A98,門市總表!A:B,2,FALSE)</f>
        <v>三重文化北</v>
      </c>
    </row>
    <row r="99" spans="1:18" ht="21.6" customHeight="1">
      <c r="A99" s="116">
        <v>5457</v>
      </c>
      <c r="B99" s="116" t="str">
        <f>VLOOKUP(A99,門市總表!A:B,2,FALSE)</f>
        <v>三重鑫五華</v>
      </c>
      <c r="C99" s="146" t="str">
        <f>IF(COUNTIFS(IM!$F:$F,A99,IM!$AD:$AD,"O",IM!$X:$X,"&gt;="&amp;$M$1, IM!$X:$X,"&lt;"&amp;$M$2)&gt;0,"V","")</f>
        <v>V</v>
      </c>
      <c r="D99" s="146" t="str">
        <f>IF(AND(C99&lt;&gt;"V", COUNTIFS(IM!$F:$F,A99, IM!$AD:$AD, "O", IM!$X:$X, "&gt;="&amp;$M$2, IM!$X:$X, "&lt;"&amp;$M$3)&gt;0), "V", "")</f>
        <v/>
      </c>
      <c r="E99" s="146" t="str">
        <f>IF(AND(C99&lt;&gt;"V",D99&lt;&gt;"V", COUNTIFS(IM!$F:$F, A99, IM!$AD:$AD, "O", IM!$X:$X, "&gt;="&amp;$M$3, IM!$X:$X, "&lt;"&amp;$N$3)&gt;0), "V", "")</f>
        <v/>
      </c>
      <c r="F99" s="116" t="str">
        <f>IF(VLOOKUP(A99,門市總表!A:F,6,FALSE)="新開","新開不保養",
IF(VLOOKUP(A99,門市總表!A:F,6,FALSE)="撤店","閉店不保養",IF(VLOOKUP(A99,門市總表!A:F,6,FALSE)="非當季","非當季",IF(VLOOKUP(A99,門市總表!A:F,6,FALSE)="跨季補單","跨季補單",
IF(COUNTBLANK(C99:E99)=3,"未保養","")
))))</f>
        <v/>
      </c>
      <c r="G99" s="116" t="str">
        <f>IF(COUNTIFS('0919門市清單主檔'!C:C,B99,'0919門市清單主檔'!AF:AF,$H$3)=1,
    IF(COUNTIFS(IM!F:F,A99,IM!AC:AC,"*"&amp;$H$3&amp;"*") + COUNTIFS('0919門市清單主檔'!C:C,B99,'0919門市清單主檔'!AF:AF,$H$3) &gt; 1,
       "V","未完工"),"-")</f>
        <v>-</v>
      </c>
      <c r="H99" s="253" t="str">
        <f>IF(COUNTIFS('0919門市清單主檔'!C:C,B99,'0919門市清單主檔'!AG:AG,$H$4)=1,
    IF(COUNTIFS(IM!F:F,A99,IM!AC:AC,"*"&amp;$H$4&amp;"*") + COUNTIFS('0919門市清單主檔'!C:C,B99,'0919門市清單主檔'!AG:AG,$H$4) &gt; 1,
       "V","未完工"),"-")</f>
        <v>未完工</v>
      </c>
      <c r="I99" s="253" t="str">
        <f>IF(COUNTIFS('0919門市清單主檔'!C:C,B99,'0919門市清單主檔'!AH:AH,$H$5)=1,
    IF(COUNTIFS(IM!F:F,A99,IM!AC:AC,"*"&amp;$H$5&amp;"*") + COUNTIFS('0919門市清單主檔'!C:C,B99,'0919門市清單主檔'!AH:AH,$H$5) &gt; 1,
       "V","未完工"),"-")</f>
        <v>-</v>
      </c>
      <c r="J99" s="253" t="str">
        <f>IF(
    COUNTIFS('0919門市清單主檔'!C:C,B99,'0919門市清單主檔'!AC:AC,$H$2)=1,
    IF(
        COUNTIFS(
            IM!F:F,A99,
            IM!AC:AC,"*"&amp;$H$2&amp;"*",
            IM!X:X,"&gt;="&amp;$M$1,
            IM!X:X,"&lt;="&amp;$M$3
        )
        + COUNTIFS('0919門市清單主檔'!C:C,B99,'0919門市清單主檔'!AC:AC,$H$2)
        &gt;1,
        "V",
        "未完工"
    ),
    "-"
)</f>
        <v>-</v>
      </c>
      <c r="K99" s="122">
        <v>45902</v>
      </c>
      <c r="L99" s="116" t="str">
        <f>VLOOKUP(A99,'0919門市清單主檔'!B:V,21,FALSE)</f>
        <v>三重區</v>
      </c>
      <c r="M99" s="153" t="str">
        <f>VLOOKUP(A99,門市總表!A:B,2,FALSE)</f>
        <v>三重鑫五華</v>
      </c>
    </row>
    <row r="100" spans="1:18" ht="21.6" customHeight="1">
      <c r="A100" s="116">
        <v>2911</v>
      </c>
      <c r="B100" s="116" t="str">
        <f>VLOOKUP(A100,門市總表!A:B,2,FALSE)</f>
        <v>中和和大店</v>
      </c>
      <c r="C100" s="146" t="str">
        <f>IF(COUNTIFS(IM!$F:$F,A100,IM!$AD:$AD,"O",IM!$X:$X,"&gt;="&amp;$M$1, IM!$X:$X,"&lt;"&amp;$M$2)&gt;0,"V","")</f>
        <v>V</v>
      </c>
      <c r="D100" s="146" t="str">
        <f>IF(AND(C100&lt;&gt;"V", COUNTIFS(IM!$F:$F,A100, IM!$AD:$AD, "O", IM!$X:$X, "&gt;="&amp;$M$2, IM!$X:$X, "&lt;"&amp;$M$3)&gt;0), "V", "")</f>
        <v/>
      </c>
      <c r="E100" s="146" t="str">
        <f>IF(AND(C100&lt;&gt;"V",D100&lt;&gt;"V", COUNTIFS(IM!$F:$F, A100, IM!$AD:$AD, "O", IM!$X:$X, "&gt;="&amp;$M$3, IM!$X:$X, "&lt;"&amp;$N$3)&gt;0), "V", "")</f>
        <v/>
      </c>
      <c r="F100" s="116" t="str">
        <f>IF(VLOOKUP(A100,門市總表!A:F,6,FALSE)="新開","新開不保養",
IF(VLOOKUP(A100,門市總表!A:F,6,FALSE)="撤店","閉店不保養",IF(VLOOKUP(A100,門市總表!A:F,6,FALSE)="非當季","非當季",IF(VLOOKUP(A100,門市總表!A:F,6,FALSE)="跨季補單","跨季補單",
IF(COUNTBLANK(C100:E100)=3,"未保養","")
))))</f>
        <v/>
      </c>
      <c r="G100" s="116" t="str">
        <f>IF(COUNTIFS('0919門市清單主檔'!C:C,B100,'0919門市清單主檔'!AF:AF,$H$3)=1,
    IF(COUNTIFS(IM!F:F,A100,IM!AC:AC,"*"&amp;$H$3&amp;"*") + COUNTIFS('0919門市清單主檔'!C:C,B100,'0919門市清單主檔'!AF:AF,$H$3) &gt; 1,
       "V","未完工"),"-")</f>
        <v>-</v>
      </c>
      <c r="H100" s="253" t="str">
        <f>IF(COUNTIFS('0919門市清單主檔'!C:C,B100,'0919門市清單主檔'!AG:AG,$H$4)=1,
    IF(COUNTIFS(IM!F:F,A100,IM!AC:AC,"*"&amp;$H$4&amp;"*") + COUNTIFS('0919門市清單主檔'!C:C,B100,'0919門市清單主檔'!AG:AG,$H$4) &gt; 1,
       "V","未完工"),"-")</f>
        <v>未完工</v>
      </c>
      <c r="I100" s="253" t="str">
        <f>IF(COUNTIFS('0919門市清單主檔'!C:C,B100,'0919門市清單主檔'!AH:AH,$H$5)=1,
    IF(COUNTIFS(IM!F:F,A100,IM!AC:AC,"*"&amp;$H$5&amp;"*") + COUNTIFS('0919門市清單主檔'!C:C,B100,'0919門市清單主檔'!AH:AH,$H$5) &gt; 1,
       "V","未完工"),"-")</f>
        <v>V</v>
      </c>
      <c r="J100" s="253" t="str">
        <f>IF(
    COUNTIFS('0919門市清單主檔'!C:C,B100,'0919門市清單主檔'!AC:AC,$H$2)=1,
    IF(
        COUNTIFS(
            IM!F:F,A100,
            IM!AC:AC,"*"&amp;$H$2&amp;"*",
            IM!X:X,"&gt;="&amp;$M$1,
            IM!X:X,"&lt;="&amp;$M$3
        )
        + COUNTIFS('0919門市清單主檔'!C:C,B100,'0919門市清單主檔'!AC:AC,$H$2)
        &gt;1,
        "V",
        "未完工"
    ),
    "-"
)</f>
        <v>-</v>
      </c>
      <c r="K100" s="122">
        <v>45916</v>
      </c>
      <c r="L100" s="116" t="str">
        <f>VLOOKUP(A100,'0919門市清單主檔'!B:V,21,FALSE)</f>
        <v>中和區</v>
      </c>
      <c r="M100" s="153" t="str">
        <f>VLOOKUP(A100,門市總表!A:B,2,FALSE)</f>
        <v>中和和大店</v>
      </c>
    </row>
    <row r="101" spans="1:18" ht="21.6" customHeight="1">
      <c r="A101" s="116">
        <v>4536</v>
      </c>
      <c r="B101" s="116" t="str">
        <f>VLOOKUP(A101,門市總表!A:B,2,FALSE)</f>
        <v>中和景德店</v>
      </c>
      <c r="C101" s="146" t="str">
        <f>IF(COUNTIFS(IM!$F:$F,A101,IM!$AD:$AD,"O",IM!$X:$X,"&gt;="&amp;$M$1, IM!$X:$X,"&lt;"&amp;$M$2)&gt;0,"V","")</f>
        <v>V</v>
      </c>
      <c r="D101" s="146" t="str">
        <f>IF(AND(C101&lt;&gt;"V", COUNTIFS(IM!$F:$F,A101, IM!$AD:$AD, "O", IM!$X:$X, "&gt;="&amp;$M$2, IM!$X:$X, "&lt;"&amp;$M$3)&gt;0), "V", "")</f>
        <v/>
      </c>
      <c r="E101" s="146" t="str">
        <f>IF(AND(C101&lt;&gt;"V",D101&lt;&gt;"V", COUNTIFS(IM!$F:$F, A101, IM!$AD:$AD, "O", IM!$X:$X, "&gt;="&amp;$M$3, IM!$X:$X, "&lt;"&amp;$N$3)&gt;0), "V", "")</f>
        <v/>
      </c>
      <c r="F101" s="116" t="str">
        <f>IF(VLOOKUP(A101,門市總表!A:F,6,FALSE)="新開","新開不保養",
IF(VLOOKUP(A101,門市總表!A:F,6,FALSE)="撤店","閉店不保養",IF(VLOOKUP(A101,門市總表!A:F,6,FALSE)="非當季","非當季",IF(VLOOKUP(A101,門市總表!A:F,6,FALSE)="跨季補單","跨季補單",
IF(COUNTBLANK(C101:E101)=3,"未保養","")
))))</f>
        <v/>
      </c>
      <c r="G101" s="116" t="str">
        <f>IF(COUNTIFS('0919門市清單主檔'!C:C,B101,'0919門市清單主檔'!AF:AF,$H$3)=1,
    IF(COUNTIFS(IM!F:F,A101,IM!AC:AC,"*"&amp;$H$3&amp;"*") + COUNTIFS('0919門市清單主檔'!C:C,B101,'0919門市清單主檔'!AF:AF,$H$3) &gt; 1,
       "V","未完工"),"-")</f>
        <v>-</v>
      </c>
      <c r="H101" s="253" t="str">
        <f>IF(COUNTIFS('0919門市清單主檔'!C:C,B101,'0919門市清單主檔'!AG:AG,$H$4)=1,
    IF(COUNTIFS(IM!F:F,A101,IM!AC:AC,"*"&amp;$H$4&amp;"*") + COUNTIFS('0919門市清單主檔'!C:C,B101,'0919門市清單主檔'!AG:AG,$H$4) &gt; 1,
       "V","未完工"),"-")</f>
        <v>未完工</v>
      </c>
      <c r="I101" s="253" t="str">
        <f>IF(COUNTIFS('0919門市清單主檔'!C:C,B101,'0919門市清單主檔'!AH:AH,$H$5)=1,
    IF(COUNTIFS(IM!F:F,A101,IM!AC:AC,"*"&amp;$H$5&amp;"*") + COUNTIFS('0919門市清單主檔'!C:C,B101,'0919門市清單主檔'!AH:AH,$H$5) &gt; 1,
       "V","未完工"),"-")</f>
        <v>V</v>
      </c>
      <c r="J101" s="253" t="str">
        <f>IF(
    COUNTIFS('0919門市清單主檔'!C:C,B101,'0919門市清單主檔'!AC:AC,$H$2)=1,
    IF(
        COUNTIFS(
            IM!F:F,A101,
            IM!AC:AC,"*"&amp;$H$2&amp;"*",
            IM!X:X,"&gt;="&amp;$M$1,
            IM!X:X,"&lt;="&amp;$M$3
        )
        + COUNTIFS('0919門市清單主檔'!C:C,B101,'0919門市清單主檔'!AC:AC,$H$2)
        &gt;1,
        "V",
        "未完工"
    ),
    "-"
)</f>
        <v>-</v>
      </c>
      <c r="K101" s="122">
        <v>45922</v>
      </c>
      <c r="L101" s="116" t="str">
        <f>VLOOKUP(A101,'0919門市清單主檔'!B:V,21,FALSE)</f>
        <v>中和區</v>
      </c>
      <c r="M101" s="153" t="str">
        <f>VLOOKUP(A101,門市總表!A:B,2,FALSE)</f>
        <v>中和景德店</v>
      </c>
    </row>
    <row r="102" spans="1:18" ht="21.6" customHeight="1">
      <c r="A102" s="116">
        <v>4573</v>
      </c>
      <c r="B102" s="116" t="str">
        <f>VLOOKUP(A102,門市總表!A:B,2,FALSE)</f>
        <v>中和浪漫店</v>
      </c>
      <c r="C102" s="146" t="str">
        <f>IF(COUNTIFS(IM!$F:$F,A102,IM!$AD:$AD,"O",IM!$X:$X,"&gt;="&amp;$M$1, IM!$X:$X,"&lt;"&amp;$M$2)&gt;0,"V","")</f>
        <v>V</v>
      </c>
      <c r="D102" s="146" t="str">
        <f>IF(AND(C102&lt;&gt;"V", COUNTIFS(IM!$F:$F,A102, IM!$AD:$AD, "O", IM!$X:$X, "&gt;="&amp;$M$2, IM!$X:$X, "&lt;"&amp;$M$3)&gt;0), "V", "")</f>
        <v/>
      </c>
      <c r="E102" s="146" t="str">
        <f>IF(AND(C102&lt;&gt;"V",D102&lt;&gt;"V", COUNTIFS(IM!$F:$F, A102, IM!$AD:$AD, "O", IM!$X:$X, "&gt;="&amp;$M$3, IM!$X:$X, "&lt;"&amp;$N$3)&gt;0), "V", "")</f>
        <v/>
      </c>
      <c r="F102" s="116" t="str">
        <f>IF(VLOOKUP(A102,門市總表!A:F,6,FALSE)="新開","新開不保養",
IF(VLOOKUP(A102,門市總表!A:F,6,FALSE)="撤店","閉店不保養",IF(VLOOKUP(A102,門市總表!A:F,6,FALSE)="非當季","非當季",IF(VLOOKUP(A102,門市總表!A:F,6,FALSE)="跨季補單","跨季補單",
IF(COUNTBLANK(C102:E102)=3,"未保養","")
))))</f>
        <v/>
      </c>
      <c r="G102" s="116" t="str">
        <f>IF(COUNTIFS('0919門市清單主檔'!C:C,B102,'0919門市清單主檔'!AF:AF,$H$3)=1,
    IF(COUNTIFS(IM!F:F,A102,IM!AC:AC,"*"&amp;$H$3&amp;"*") + COUNTIFS('0919門市清單主檔'!C:C,B102,'0919門市清單主檔'!AF:AF,$H$3) &gt; 1,
       "V","未完工"),"-")</f>
        <v>-</v>
      </c>
      <c r="H102" s="253" t="str">
        <f>IF(COUNTIFS('0919門市清單主檔'!C:C,B102,'0919門市清單主檔'!AG:AG,$H$4)=1,
    IF(COUNTIFS(IM!F:F,A102,IM!AC:AC,"*"&amp;$H$4&amp;"*") + COUNTIFS('0919門市清單主檔'!C:C,B102,'0919門市清單主檔'!AG:AG,$H$4) &gt; 1,
       "V","未完工"),"-")</f>
        <v>未完工</v>
      </c>
      <c r="I102" s="253" t="str">
        <f>IF(COUNTIFS('0919門市清單主檔'!C:C,B102,'0919門市清單主檔'!AH:AH,$H$5)=1,
    IF(COUNTIFS(IM!F:F,A102,IM!AC:AC,"*"&amp;$H$5&amp;"*") + COUNTIFS('0919門市清單主檔'!C:C,B102,'0919門市清單主檔'!AH:AH,$H$5) &gt; 1,
       "V","未完工"),"-")</f>
        <v>V</v>
      </c>
      <c r="J102" s="253" t="str">
        <f>IF(
    COUNTIFS('0919門市清單主檔'!C:C,B102,'0919門市清單主檔'!AC:AC,$H$2)=1,
    IF(
        COUNTIFS(
            IM!F:F,A102,
            IM!AC:AC,"*"&amp;$H$2&amp;"*",
            IM!X:X,"&gt;="&amp;$M$1,
            IM!X:X,"&lt;="&amp;$M$3
        )
        + COUNTIFS('0919門市清單主檔'!C:C,B102,'0919門市清單主檔'!AC:AC,$H$2)
        &gt;1,
        "V",
        "未完工"
    ),
    "-"
)</f>
        <v>-</v>
      </c>
      <c r="K102" s="122">
        <v>45923</v>
      </c>
      <c r="L102" s="116" t="str">
        <f>VLOOKUP(A102,'0919門市清單主檔'!B:V,21,FALSE)</f>
        <v>中和區</v>
      </c>
      <c r="M102" s="153" t="str">
        <f>VLOOKUP(A102,門市總表!A:B,2,FALSE)</f>
        <v>中和浪漫店</v>
      </c>
    </row>
    <row r="103" spans="1:18" ht="21.6" customHeight="1">
      <c r="A103" s="116">
        <v>4770</v>
      </c>
      <c r="B103" s="116" t="str">
        <f>VLOOKUP(A103,門市總表!A:B,2,FALSE)</f>
        <v>中和嘉德店</v>
      </c>
      <c r="C103" s="146" t="str">
        <f>IF(COUNTIFS(IM!$F:$F,A103,IM!$AD:$AD,"O",IM!$X:$X,"&gt;="&amp;$M$1, IM!$X:$X,"&lt;"&amp;$M$2)&gt;0,"V","")</f>
        <v>V</v>
      </c>
      <c r="D103" s="146" t="str">
        <f>IF(AND(C103&lt;&gt;"V", COUNTIFS(IM!$F:$F,A103, IM!$AD:$AD, "O", IM!$X:$X, "&gt;="&amp;$M$2, IM!$X:$X, "&lt;"&amp;$M$3)&gt;0), "V", "")</f>
        <v/>
      </c>
      <c r="E103" s="146" t="str">
        <f>IF(AND(C103&lt;&gt;"V",D103&lt;&gt;"V", COUNTIFS(IM!$F:$F, A103, IM!$AD:$AD, "O", IM!$X:$X, "&gt;="&amp;$M$3, IM!$X:$X, "&lt;"&amp;$N$3)&gt;0), "V", "")</f>
        <v/>
      </c>
      <c r="F103" s="116" t="str">
        <f>IF(VLOOKUP(A103,門市總表!A:F,6,FALSE)="新開","新開不保養",
IF(VLOOKUP(A103,門市總表!A:F,6,FALSE)="撤店","閉店不保養",IF(VLOOKUP(A103,門市總表!A:F,6,FALSE)="非當季","非當季",IF(VLOOKUP(A103,門市總表!A:F,6,FALSE)="跨季補單","跨季補單",
IF(COUNTBLANK(C103:E103)=3,"未保養","")
))))</f>
        <v/>
      </c>
      <c r="G103" s="116" t="str">
        <f>IF(COUNTIFS('0919門市清單主檔'!C:C,B103,'0919門市清單主檔'!AF:AF,$H$3)=1,
    IF(COUNTIFS(IM!F:F,A103,IM!AC:AC,"*"&amp;$H$3&amp;"*") + COUNTIFS('0919門市清單主檔'!C:C,B103,'0919門市清單主檔'!AF:AF,$H$3) &gt; 1,
       "V","未完工"),"-")</f>
        <v>-</v>
      </c>
      <c r="H103" s="253" t="str">
        <f>IF(COUNTIFS('0919門市清單主檔'!C:C,B103,'0919門市清單主檔'!AG:AG,$H$4)=1,
    IF(COUNTIFS(IM!F:F,A103,IM!AC:AC,"*"&amp;$H$4&amp;"*") + COUNTIFS('0919門市清單主檔'!C:C,B103,'0919門市清單主檔'!AG:AG,$H$4) &gt; 1,
       "V","未完工"),"-")</f>
        <v>未完工</v>
      </c>
      <c r="I103" s="253" t="str">
        <f>IF(COUNTIFS('0919門市清單主檔'!C:C,B103,'0919門市清單主檔'!AH:AH,$H$5)=1,
    IF(COUNTIFS(IM!F:F,A103,IM!AC:AC,"*"&amp;$H$5&amp;"*") + COUNTIFS('0919門市清單主檔'!C:C,B103,'0919門市清單主檔'!AH:AH,$H$5) &gt; 1,
       "V","未完工"),"-")</f>
        <v>-</v>
      </c>
      <c r="J103" s="253" t="str">
        <f>IF(
    COUNTIFS('0919門市清單主檔'!C:C,B103,'0919門市清單主檔'!AC:AC,$H$2)=1,
    IF(
        COUNTIFS(
            IM!F:F,A103,
            IM!AC:AC,"*"&amp;$H$2&amp;"*",
            IM!X:X,"&gt;="&amp;$M$1,
            IM!X:X,"&lt;="&amp;$M$3
        )
        + COUNTIFS('0919門市清單主檔'!C:C,B103,'0919門市清單主檔'!AC:AC,$H$2)
        &gt;1,
        "V",
        "未完工"
    ),
    "-"
)</f>
        <v>-</v>
      </c>
      <c r="K103" s="122">
        <v>45925</v>
      </c>
      <c r="L103" s="116" t="str">
        <f>VLOOKUP(A103,'0919門市清單主檔'!B:V,21,FALSE)</f>
        <v>中和區</v>
      </c>
      <c r="M103" s="153" t="str">
        <f>VLOOKUP(A103,門市總表!A:B,2,FALSE)</f>
        <v>中和嘉德店</v>
      </c>
    </row>
    <row r="104" spans="1:18" ht="21.6" customHeight="1">
      <c r="A104" s="116" t="s">
        <v>52</v>
      </c>
      <c r="B104" s="116" t="str">
        <f>VLOOKUP(A104,門市總表!A:B,2,FALSE)</f>
        <v>北縣南勢店</v>
      </c>
      <c r="C104" s="146" t="str">
        <f>IF(COUNTIFS(IM!$F:$F,A104,IM!$AD:$AD,"O",IM!$X:$X,"&gt;="&amp;$M$1, IM!$X:$X,"&lt;"&amp;$M$2)&gt;0,"V","")</f>
        <v>V</v>
      </c>
      <c r="D104" s="146" t="str">
        <f>IF(AND(C104&lt;&gt;"V", COUNTIFS(IM!$F:$F,A104, IM!$AD:$AD, "O", IM!$X:$X, "&gt;="&amp;$M$2, IM!$X:$X, "&lt;"&amp;$M$3)&gt;0), "V", "")</f>
        <v/>
      </c>
      <c r="E104" s="146" t="str">
        <f>IF(AND(C104&lt;&gt;"V",D104&lt;&gt;"V", COUNTIFS(IM!$F:$F, A104, IM!$AD:$AD, "O", IM!$X:$X, "&gt;="&amp;$M$3, IM!$X:$X, "&lt;"&amp;$N$3)&gt;0), "V", "")</f>
        <v/>
      </c>
      <c r="F104" s="116" t="str">
        <f>IF(VLOOKUP(A104,門市總表!A:F,6,FALSE)="新開","新開不保養",
IF(VLOOKUP(A104,門市總表!A:F,6,FALSE)="撤店","閉店不保養",IF(VLOOKUP(A104,門市總表!A:F,6,FALSE)="非當季","非當季",IF(VLOOKUP(A104,門市總表!A:F,6,FALSE)="跨季補單","跨季補單",
IF(COUNTBLANK(C104:E104)=3,"未保養","")
))))</f>
        <v/>
      </c>
      <c r="G104" s="116" t="str">
        <f>IF(COUNTIFS('0919門市清單主檔'!C:C,B104,'0919門市清單主檔'!AF:AF,$H$3)=1,
    IF(COUNTIFS(IM!F:F,A104,IM!AC:AC,"*"&amp;$H$3&amp;"*") + COUNTIFS('0919門市清單主檔'!C:C,B104,'0919門市清單主檔'!AF:AF,$H$3) &gt; 1,
       "V","未完工"),"-")</f>
        <v>-</v>
      </c>
      <c r="H104" s="253" t="str">
        <f>IF(COUNTIFS('0919門市清單主檔'!C:C,B104,'0919門市清單主檔'!AG:AG,$H$4)=1,
    IF(COUNTIFS(IM!F:F,A104,IM!AC:AC,"*"&amp;$H$4&amp;"*") + COUNTIFS('0919門市清單主檔'!C:C,B104,'0919門市清單主檔'!AG:AG,$H$4) &gt; 1,
       "V","未完工"),"-")</f>
        <v>未完工</v>
      </c>
      <c r="I104" s="253" t="str">
        <f>IF(COUNTIFS('0919門市清單主檔'!C:C,B104,'0919門市清單主檔'!AH:AH,$H$5)=1,
    IF(COUNTIFS(IM!F:F,A104,IM!AC:AC,"*"&amp;$H$5&amp;"*") + COUNTIFS('0919門市清單主檔'!C:C,B104,'0919門市清單主檔'!AH:AH,$H$5) &gt; 1,
       "V","未完工"),"-")</f>
        <v>V</v>
      </c>
      <c r="J104" s="253" t="str">
        <f>IF(
    COUNTIFS('0919門市清單主檔'!C:C,B104,'0919門市清單主檔'!AC:AC,$H$2)=1,
    IF(
        COUNTIFS(
            IM!F:F,A104,
            IM!AC:AC,"*"&amp;$H$2&amp;"*",
            IM!X:X,"&gt;="&amp;$M$1,
            IM!X:X,"&lt;="&amp;$M$3
        )
        + COUNTIFS('0919門市清單主檔'!C:C,B104,'0919門市清單主檔'!AC:AC,$H$2)
        &gt;1,
        "V",
        "未完工"
    ),
    "-"
)</f>
        <v>-</v>
      </c>
      <c r="K104" s="122">
        <v>45934</v>
      </c>
      <c r="L104" s="116" t="str">
        <f>VLOOKUP(A104,'0919門市清單主檔'!B:V,21,FALSE)</f>
        <v>中和區</v>
      </c>
      <c r="M104" s="153" t="str">
        <f>VLOOKUP(A104,門市總表!A:B,2,FALSE)</f>
        <v>北縣南勢店</v>
      </c>
    </row>
    <row r="105" spans="1:18" ht="21.6" customHeight="1">
      <c r="A105" s="116">
        <v>5401</v>
      </c>
      <c r="B105" s="116" t="str">
        <f>VLOOKUP(A105,門市總表!A:B,2,FALSE)</f>
        <v>中和壽南店</v>
      </c>
      <c r="C105" s="146" t="str">
        <f>IF(COUNTIFS(IM!$F:$F,A105,IM!$AD:$AD,"O",IM!$X:$X,"&gt;="&amp;$M$1, IM!$X:$X,"&lt;"&amp;$M$2)&gt;0,"V","")</f>
        <v>V</v>
      </c>
      <c r="D105" s="146" t="str">
        <f>IF(AND(C105&lt;&gt;"V", COUNTIFS(IM!$F:$F,A105, IM!$AD:$AD, "O", IM!$X:$X, "&gt;="&amp;$M$2, IM!$X:$X, "&lt;"&amp;$M$3)&gt;0), "V", "")</f>
        <v/>
      </c>
      <c r="E105" s="146" t="str">
        <f>IF(AND(C105&lt;&gt;"V",D105&lt;&gt;"V", COUNTIFS(IM!$F:$F, A105, IM!$AD:$AD, "O", IM!$X:$X, "&gt;="&amp;$M$3, IM!$X:$X, "&lt;"&amp;$N$3)&gt;0), "V", "")</f>
        <v/>
      </c>
      <c r="F105" s="116" t="str">
        <f>IF(VLOOKUP(A105,門市總表!A:F,6,FALSE)="新開","新開不保養",
IF(VLOOKUP(A105,門市總表!A:F,6,FALSE)="撤店","閉店不保養",IF(VLOOKUP(A105,門市總表!A:F,6,FALSE)="非當季","非當季",IF(VLOOKUP(A105,門市總表!A:F,6,FALSE)="跨季補單","跨季補單",
IF(COUNTBLANK(C105:E105)=3,"未保養","")
))))</f>
        <v/>
      </c>
      <c r="G105" s="116" t="str">
        <f>IF(COUNTIFS('0919門市清單主檔'!C:C,B105,'0919門市清單主檔'!AF:AF,$H$3)=1,
    IF(COUNTIFS(IM!F:F,A105,IM!AC:AC,"*"&amp;$H$3&amp;"*") + COUNTIFS('0919門市清單主檔'!C:C,B105,'0919門市清單主檔'!AF:AF,$H$3) &gt; 1,
       "V","未完工"),"-")</f>
        <v>-</v>
      </c>
      <c r="H105" s="253" t="str">
        <f>IF(COUNTIFS('0919門市清單主檔'!C:C,B105,'0919門市清單主檔'!AG:AG,$H$4)=1,
    IF(COUNTIFS(IM!F:F,A105,IM!AC:AC,"*"&amp;$H$4&amp;"*") + COUNTIFS('0919門市清單主檔'!C:C,B105,'0919門市清單主檔'!AG:AG,$H$4) &gt; 1,
       "V","未完工"),"-")</f>
        <v>V</v>
      </c>
      <c r="I105" s="253" t="str">
        <f>IF(COUNTIFS('0919門市清單主檔'!C:C,B105,'0919門市清單主檔'!AH:AH,$H$5)=1,
    IF(COUNTIFS(IM!F:F,A105,IM!AC:AC,"*"&amp;$H$5&amp;"*") + COUNTIFS('0919門市清單主檔'!C:C,B105,'0919門市清單主檔'!AH:AH,$H$5) &gt; 1,
       "V","未完工"),"-")</f>
        <v>V</v>
      </c>
      <c r="J105" s="253" t="str">
        <f>IF(
    COUNTIFS('0919門市清單主檔'!C:C,B105,'0919門市清單主檔'!AC:AC,$H$2)=1,
    IF(
        COUNTIFS(
            IM!F:F,A105,
            IM!AC:AC,"*"&amp;$H$2&amp;"*",
            IM!X:X,"&gt;="&amp;$M$1,
            IM!X:X,"&lt;="&amp;$M$3
        )
        + COUNTIFS('0919門市清單主檔'!C:C,B105,'0919門市清單主檔'!AC:AC,$H$2)
        &gt;1,
        "V",
        "未完工"
    ),
    "-"
)</f>
        <v>-</v>
      </c>
      <c r="K105" s="122">
        <v>45936</v>
      </c>
      <c r="L105" s="116" t="str">
        <f>VLOOKUP(A105,'0919門市清單主檔'!B:V,21,FALSE)</f>
        <v>中和區</v>
      </c>
      <c r="M105" s="153" t="str">
        <f>VLOOKUP(A105,門市總表!A:B,2,FALSE)</f>
        <v>中和壽南店</v>
      </c>
    </row>
    <row r="106" spans="1:18" ht="21.6" customHeight="1">
      <c r="A106" s="116" t="s">
        <v>50</v>
      </c>
      <c r="B106" s="116" t="str">
        <f>VLOOKUP(A106,門市總表!A:B,2,FALSE)</f>
        <v>三重運動公園</v>
      </c>
      <c r="C106" s="146" t="str">
        <f>IF(COUNTIFS(IM!$F:$F,A106,IM!$AD:$AD,"O",IM!$X:$X,"&gt;="&amp;$M$1, IM!$X:$X,"&lt;"&amp;$M$2)&gt;0,"V","")</f>
        <v>V</v>
      </c>
      <c r="D106" s="146" t="str">
        <f>IF(AND(C106&lt;&gt;"V", COUNTIFS(IM!$F:$F,A106, IM!$AD:$AD, "O", IM!$X:$X, "&gt;="&amp;$M$2, IM!$X:$X, "&lt;"&amp;$M$3)&gt;0), "V", "")</f>
        <v/>
      </c>
      <c r="E106" s="146" t="str">
        <f>IF(AND(C106&lt;&gt;"V",D106&lt;&gt;"V", COUNTIFS(IM!$F:$F, A106, IM!$AD:$AD, "O", IM!$X:$X, "&gt;="&amp;$M$3, IM!$X:$X, "&lt;"&amp;$N$3)&gt;0), "V", "")</f>
        <v/>
      </c>
      <c r="F106" s="116" t="str">
        <f>IF(VLOOKUP(A106,門市總表!A:F,6,FALSE)="新開","新開不保養",
IF(VLOOKUP(A106,門市總表!A:F,6,FALSE)="撤店","閉店不保養",IF(VLOOKUP(A106,門市總表!A:F,6,FALSE)="非當季","非當季",IF(VLOOKUP(A106,門市總表!A:F,6,FALSE)="跨季補單","跨季補單",
IF(COUNTBLANK(C106:E106)=3,"未保養","")
))))</f>
        <v/>
      </c>
      <c r="G106" s="116" t="str">
        <f>IF(COUNTIFS('0919門市清單主檔'!C:C,B106,'0919門市清單主檔'!AF:AF,$H$3)=1,
    IF(COUNTIFS(IM!F:F,A106,IM!AC:AC,"*"&amp;$H$3&amp;"*") + COUNTIFS('0919門市清單主檔'!C:C,B106,'0919門市清單主檔'!AF:AF,$H$3) &gt; 1,
       "V","未完工"),"-")</f>
        <v>-</v>
      </c>
      <c r="H106" s="253" t="str">
        <f>IF(COUNTIFS('0919門市清單主檔'!C:C,B106,'0919門市清單主檔'!AG:AG,$H$4)=1,
    IF(COUNTIFS(IM!F:F,A106,IM!AC:AC,"*"&amp;$H$4&amp;"*") + COUNTIFS('0919門市清單主檔'!C:C,B106,'0919門市清單主檔'!AG:AG,$H$4) &gt; 1,
       "V","未完工"),"-")</f>
        <v>V</v>
      </c>
      <c r="I106" s="253" t="str">
        <f>IF(COUNTIFS('0919門市清單主檔'!C:C,B106,'0919門市清單主檔'!AH:AH,$H$5)=1,
    IF(COUNTIFS(IM!F:F,A106,IM!AC:AC,"*"&amp;$H$5&amp;"*") + COUNTIFS('0919門市清單主檔'!C:C,B106,'0919門市清單主檔'!AH:AH,$H$5) &gt; 1,
       "V","未完工"),"-")</f>
        <v>V</v>
      </c>
      <c r="J106" s="253" t="str">
        <f>IF(
    COUNTIFS('0919門市清單主檔'!C:C,B106,'0919門市清單主檔'!AC:AC,$H$2)=1,
    IF(
        COUNTIFS(
            IM!F:F,A106,
            IM!AC:AC,"*"&amp;$H$2&amp;"*",
            IM!X:X,"&gt;="&amp;$M$1,
            IM!X:X,"&lt;="&amp;$M$3
        )
        + COUNTIFS('0919門市清單主檔'!C:C,B106,'0919門市清單主檔'!AC:AC,$H$2)
        &gt;1,
        "V",
        "未完工"
    ),
    "-"
)</f>
        <v>-</v>
      </c>
      <c r="K106" s="122">
        <v>45916</v>
      </c>
      <c r="L106" s="116" t="str">
        <f>VLOOKUP(A106,'0919門市清單主檔'!B:V,21,FALSE)</f>
        <v>三重區</v>
      </c>
      <c r="M106" s="153" t="str">
        <f>VLOOKUP(A106,門市總表!A:B,2,FALSE)</f>
        <v>三重運動公園</v>
      </c>
      <c r="Q106" s="115" t="s">
        <v>4951</v>
      </c>
      <c r="R106" s="115"/>
    </row>
    <row r="107" spans="1:18" ht="21.6" customHeight="1">
      <c r="A107" s="116">
        <v>4210</v>
      </c>
      <c r="B107" s="116" t="str">
        <f>VLOOKUP(A107,門市總表!A:B,2,FALSE)</f>
        <v>三重福華店</v>
      </c>
      <c r="C107" s="146" t="str">
        <f>IF(COUNTIFS(IM!$F:$F,A107,IM!$AD:$AD,"O",IM!$X:$X,"&gt;="&amp;$M$1, IM!$X:$X,"&lt;"&amp;$M$2)&gt;0,"V","")</f>
        <v>V</v>
      </c>
      <c r="D107" s="146" t="str">
        <f>IF(AND(C107&lt;&gt;"V", COUNTIFS(IM!$F:$F,A107, IM!$AD:$AD, "O", IM!$X:$X, "&gt;="&amp;$M$2, IM!$X:$X, "&lt;"&amp;$M$3)&gt;0), "V", "")</f>
        <v/>
      </c>
      <c r="E107" s="146" t="str">
        <f>IF(AND(C107&lt;&gt;"V",D107&lt;&gt;"V", COUNTIFS(IM!$F:$F, A107, IM!$AD:$AD, "O", IM!$X:$X, "&gt;="&amp;$M$3, IM!$X:$X, "&lt;"&amp;$N$3)&gt;0), "V", "")</f>
        <v/>
      </c>
      <c r="F107" s="116" t="str">
        <f>IF(VLOOKUP(A107,門市總表!A:F,6,FALSE)="新開","新開不保養",
IF(VLOOKUP(A107,門市總表!A:F,6,FALSE)="撤店","閉店不保養",IF(VLOOKUP(A107,門市總表!A:F,6,FALSE)="非當季","非當季",IF(VLOOKUP(A107,門市總表!A:F,6,FALSE)="跨季補單","跨季補單",
IF(COUNTBLANK(C107:E107)=3,"未保養","")
))))</f>
        <v/>
      </c>
      <c r="G107" s="116" t="str">
        <f>IF(COUNTIFS('0919門市清單主檔'!C:C,B107,'0919門市清單主檔'!AF:AF,$H$3)=1,
    IF(COUNTIFS(IM!F:F,A107,IM!AC:AC,"*"&amp;$H$3&amp;"*") + COUNTIFS('0919門市清單主檔'!C:C,B107,'0919門市清單主檔'!AF:AF,$H$3) &gt; 1,
       "V","未完工"),"-")</f>
        <v>-</v>
      </c>
      <c r="H107" s="253" t="str">
        <f>IF(COUNTIFS('0919門市清單主檔'!C:C,B107,'0919門市清單主檔'!AG:AG,$H$4)=1,
    IF(COUNTIFS(IM!F:F,A107,IM!AC:AC,"*"&amp;$H$4&amp;"*") + COUNTIFS('0919門市清單主檔'!C:C,B107,'0919門市清單主檔'!AG:AG,$H$4) &gt; 1,
       "V","未完工"),"-")</f>
        <v>V</v>
      </c>
      <c r="I107" s="253" t="str">
        <f>IF(COUNTIFS('0919門市清單主檔'!C:C,B107,'0919門市清單主檔'!AH:AH,$H$5)=1,
    IF(COUNTIFS(IM!F:F,A107,IM!AC:AC,"*"&amp;$H$5&amp;"*") + COUNTIFS('0919門市清單主檔'!C:C,B107,'0919門市清單主檔'!AH:AH,$H$5) &gt; 1,
       "V","未完工"),"-")</f>
        <v>V</v>
      </c>
      <c r="J107" s="253" t="str">
        <f>IF(
    COUNTIFS('0919門市清單主檔'!C:C,B107,'0919門市清單主檔'!AC:AC,$H$2)=1,
    IF(
        COUNTIFS(
            IM!F:F,A107,
            IM!AC:AC,"*"&amp;$H$2&amp;"*",
            IM!X:X,"&gt;="&amp;$M$1,
            IM!X:X,"&lt;="&amp;$M$3
        )
        + COUNTIFS('0919門市清單主檔'!C:C,B107,'0919門市清單主檔'!AC:AC,$H$2)
        &gt;1,
        "V",
        "未完工"
    ),
    "-"
)</f>
        <v>-</v>
      </c>
      <c r="K107" s="122">
        <v>45881</v>
      </c>
      <c r="L107" s="116" t="str">
        <f>VLOOKUP(A107,'0919門市清單主檔'!B:V,21,FALSE)</f>
        <v>三重區</v>
      </c>
      <c r="M107" s="153" t="str">
        <f>VLOOKUP(A107,門市總表!A:B,2,FALSE)</f>
        <v>三重福華店</v>
      </c>
    </row>
    <row r="108" spans="1:18" ht="21.6" customHeight="1">
      <c r="A108" s="116">
        <v>3890</v>
      </c>
      <c r="B108" s="116" t="str">
        <f>VLOOKUP(A108,門市總表!A:B,2,FALSE)</f>
        <v>三重美堤店</v>
      </c>
      <c r="C108" s="146" t="str">
        <f>IF(COUNTIFS(IM!$F:$F,A108,IM!$AD:$AD,"O",IM!$X:$X,"&gt;="&amp;$M$1, IM!$X:$X,"&lt;"&amp;$M$2)&gt;0,"V","")</f>
        <v>V</v>
      </c>
      <c r="D108" s="146" t="str">
        <f>IF(AND(C108&lt;&gt;"V", COUNTIFS(IM!$F:$F,A108, IM!$AD:$AD, "O", IM!$X:$X, "&gt;="&amp;$M$2, IM!$X:$X, "&lt;"&amp;$M$3)&gt;0), "V", "")</f>
        <v/>
      </c>
      <c r="E108" s="146" t="str">
        <f>IF(AND(C108&lt;&gt;"V",D108&lt;&gt;"V", COUNTIFS(IM!$F:$F, A108, IM!$AD:$AD, "O", IM!$X:$X, "&gt;="&amp;$M$3, IM!$X:$X, "&lt;"&amp;$N$3)&gt;0), "V", "")</f>
        <v/>
      </c>
      <c r="F108" s="116" t="str">
        <f>IF(VLOOKUP(A108,門市總表!A:F,6,FALSE)="新開","新開不保養",
IF(VLOOKUP(A108,門市總表!A:F,6,FALSE)="撤店","閉店不保養",IF(VLOOKUP(A108,門市總表!A:F,6,FALSE)="非當季","非當季",IF(VLOOKUP(A108,門市總表!A:F,6,FALSE)="跨季補單","跨季補單",
IF(COUNTBLANK(C108:E108)=3,"未保養","")
))))</f>
        <v/>
      </c>
      <c r="G108" s="116" t="str">
        <f>IF(COUNTIFS('0919門市清單主檔'!C:C,B108,'0919門市清單主檔'!AF:AF,$H$3)=1,
    IF(COUNTIFS(IM!F:F,A108,IM!AC:AC,"*"&amp;$H$3&amp;"*") + COUNTIFS('0919門市清單主檔'!C:C,B108,'0919門市清單主檔'!AF:AF,$H$3) &gt; 1,
       "V","未完工"),"-")</f>
        <v>-</v>
      </c>
      <c r="H108" s="253" t="str">
        <f>IF(COUNTIFS('0919門市清單主檔'!C:C,B108,'0919門市清單主檔'!AG:AG,$H$4)=1,
    IF(COUNTIFS(IM!F:F,A108,IM!AC:AC,"*"&amp;$H$4&amp;"*") + COUNTIFS('0919門市清單主檔'!C:C,B108,'0919門市清單主檔'!AG:AG,$H$4) &gt; 1,
       "V","未完工"),"-")</f>
        <v>V</v>
      </c>
      <c r="I108" s="253" t="str">
        <f>IF(COUNTIFS('0919門市清單主檔'!C:C,B108,'0919門市清單主檔'!AH:AH,$H$5)=1,
    IF(COUNTIFS(IM!F:F,A108,IM!AC:AC,"*"&amp;$H$5&amp;"*") + COUNTIFS('0919門市清單主檔'!C:C,B108,'0919門市清單主檔'!AH:AH,$H$5) &gt; 1,
       "V","未完工"),"-")</f>
        <v>V</v>
      </c>
      <c r="J108" s="253" t="str">
        <f>IF(
    COUNTIFS('0919門市清單主檔'!C:C,B108,'0919門市清單主檔'!AC:AC,$H$2)=1,
    IF(
        COUNTIFS(
            IM!F:F,A108,
            IM!AC:AC,"*"&amp;$H$2&amp;"*",
            IM!X:X,"&gt;="&amp;$M$1,
            IM!X:X,"&lt;="&amp;$M$3
        )
        + COUNTIFS('0919門市清單主檔'!C:C,B108,'0919門市清單主檔'!AC:AC,$H$2)
        &gt;1,
        "V",
        "未完工"
    ),
    "-"
)</f>
        <v>-</v>
      </c>
      <c r="K108" s="122">
        <v>45925</v>
      </c>
      <c r="L108" s="116" t="str">
        <f>VLOOKUP(A108,'0919門市清單主檔'!B:V,21,FALSE)</f>
        <v>三重區</v>
      </c>
      <c r="M108" s="153" t="str">
        <f>VLOOKUP(A108,門市總表!A:B,2,FALSE)</f>
        <v>三重美堤店</v>
      </c>
      <c r="Q108" s="115" t="s">
        <v>4951</v>
      </c>
      <c r="R108" s="115"/>
    </row>
    <row r="109" spans="1:18" ht="21.6" customHeight="1">
      <c r="A109" s="116">
        <v>2399</v>
      </c>
      <c r="B109" s="116" t="str">
        <f>VLOOKUP(A109,門市總表!A:B,2,FALSE)</f>
        <v>三重三陽店</v>
      </c>
      <c r="C109" s="146" t="str">
        <f>IF(COUNTIFS(IM!$F:$F,A109,IM!$AD:$AD,"O",IM!$X:$X,"&gt;="&amp;$M$1, IM!$X:$X,"&lt;"&amp;$M$2)&gt;0,"V","")</f>
        <v>V</v>
      </c>
      <c r="D109" s="146" t="str">
        <f>IF(AND(C109&lt;&gt;"V", COUNTIFS(IM!$F:$F,A109, IM!$AD:$AD, "O", IM!$X:$X, "&gt;="&amp;$M$2, IM!$X:$X, "&lt;"&amp;$M$3)&gt;0), "V", "")</f>
        <v/>
      </c>
      <c r="E109" s="146" t="str">
        <f>IF(AND(C109&lt;&gt;"V",D109&lt;&gt;"V", COUNTIFS(IM!$F:$F, A109, IM!$AD:$AD, "O", IM!$X:$X, "&gt;="&amp;$M$3, IM!$X:$X, "&lt;"&amp;$N$3)&gt;0), "V", "")</f>
        <v/>
      </c>
      <c r="F109" s="116" t="str">
        <f>IF(VLOOKUP(A109,門市總表!A:F,6,FALSE)="新開","新開不保養",
IF(VLOOKUP(A109,門市總表!A:F,6,FALSE)="撤店","閉店不保養",IF(VLOOKUP(A109,門市總表!A:F,6,FALSE)="非當季","非當季",IF(VLOOKUP(A109,門市總表!A:F,6,FALSE)="跨季補單","跨季補單",
IF(COUNTBLANK(C109:E109)=3,"未保養","")
))))</f>
        <v/>
      </c>
      <c r="G109" s="116" t="str">
        <f>IF(COUNTIFS('0919門市清單主檔'!C:C,B109,'0919門市清單主檔'!AF:AF,$H$3)=1,
    IF(COUNTIFS(IM!F:F,A109,IM!AC:AC,"*"&amp;$H$3&amp;"*") + COUNTIFS('0919門市清單主檔'!C:C,B109,'0919門市清單主檔'!AF:AF,$H$3) &gt; 1,
       "V","未完工"),"-")</f>
        <v>-</v>
      </c>
      <c r="H109" s="253" t="str">
        <f>IF(COUNTIFS('0919門市清單主檔'!C:C,B109,'0919門市清單主檔'!AG:AG,$H$4)=1,
    IF(COUNTIFS(IM!F:F,A109,IM!AC:AC,"*"&amp;$H$4&amp;"*") + COUNTIFS('0919門市清單主檔'!C:C,B109,'0919門市清單主檔'!AG:AG,$H$4) &gt; 1,
       "V","未完工"),"-")</f>
        <v>V</v>
      </c>
      <c r="I109" s="253" t="str">
        <f>IF(COUNTIFS('0919門市清單主檔'!C:C,B109,'0919門市清單主檔'!AH:AH,$H$5)=1,
    IF(COUNTIFS(IM!F:F,A109,IM!AC:AC,"*"&amp;$H$5&amp;"*") + COUNTIFS('0919門市清單主檔'!C:C,B109,'0919門市清單主檔'!AH:AH,$H$5) &gt; 1,
       "V","未完工"),"-")</f>
        <v>V</v>
      </c>
      <c r="J109" s="253" t="str">
        <f>IF(
    COUNTIFS('0919門市清單主檔'!C:C,B109,'0919門市清單主檔'!AC:AC,$H$2)=1,
    IF(
        COUNTIFS(
            IM!F:F,A109,
            IM!AC:AC,"*"&amp;$H$2&amp;"*",
            IM!X:X,"&gt;="&amp;$M$1,
            IM!X:X,"&lt;="&amp;$M$3
        )
        + COUNTIFS('0919門市清單主檔'!C:C,B109,'0919門市清單主檔'!AC:AC,$H$2)
        &gt;1,
        "V",
        "未完工"
    ),
    "-"
)</f>
        <v>-</v>
      </c>
      <c r="K109" s="122">
        <v>45904</v>
      </c>
      <c r="L109" s="116" t="str">
        <f>VLOOKUP(A109,'0919門市清單主檔'!B:V,21,FALSE)</f>
        <v>三重區</v>
      </c>
      <c r="M109" s="153" t="str">
        <f>VLOOKUP(A109,門市總表!A:B,2,FALSE)</f>
        <v>三重三陽店</v>
      </c>
      <c r="Q109" s="115" t="s">
        <v>4951</v>
      </c>
      <c r="R109" s="115"/>
    </row>
    <row r="110" spans="1:18" ht="21.6" customHeight="1">
      <c r="A110" s="116">
        <v>4196</v>
      </c>
      <c r="B110" s="116" t="str">
        <f>VLOOKUP(A110,門市總表!A:B,2,FALSE)</f>
        <v>三重蝶愛店</v>
      </c>
      <c r="C110" s="146" t="str">
        <f>IF(COUNTIFS(IM!$F:$F,A110,IM!$AD:$AD,"O",IM!$X:$X,"&gt;="&amp;$M$1, IM!$X:$X,"&lt;"&amp;$M$2)&gt;0,"V","")</f>
        <v>V</v>
      </c>
      <c r="D110" s="146" t="str">
        <f>IF(AND(C110&lt;&gt;"V", COUNTIFS(IM!$F:$F,A110, IM!$AD:$AD, "O", IM!$X:$X, "&gt;="&amp;$M$2, IM!$X:$X, "&lt;"&amp;$M$3)&gt;0), "V", "")</f>
        <v/>
      </c>
      <c r="E110" s="146" t="str">
        <f>IF(AND(C110&lt;&gt;"V",D110&lt;&gt;"V", COUNTIFS(IM!$F:$F, A110, IM!$AD:$AD, "O", IM!$X:$X, "&gt;="&amp;$M$3, IM!$X:$X, "&lt;"&amp;$N$3)&gt;0), "V", "")</f>
        <v/>
      </c>
      <c r="F110" s="116" t="str">
        <f>IF(VLOOKUP(A110,門市總表!A:F,6,FALSE)="新開","新開不保養",
IF(VLOOKUP(A110,門市總表!A:F,6,FALSE)="撤店","閉店不保養",IF(VLOOKUP(A110,門市總表!A:F,6,FALSE)="非當季","非當季",IF(VLOOKUP(A110,門市總表!A:F,6,FALSE)="跨季補單","跨季補單",
IF(COUNTBLANK(C110:E110)=3,"未保養","")
))))</f>
        <v/>
      </c>
      <c r="G110" s="116" t="str">
        <f>IF(COUNTIFS('0919門市清單主檔'!C:C,B110,'0919門市清單主檔'!AF:AF,$H$3)=1,
    IF(COUNTIFS(IM!F:F,A110,IM!AC:AC,"*"&amp;$H$3&amp;"*") + COUNTIFS('0919門市清單主檔'!C:C,B110,'0919門市清單主檔'!AF:AF,$H$3) &gt; 1,
       "V","未完工"),"-")</f>
        <v>-</v>
      </c>
      <c r="H110" s="253" t="str">
        <f>IF(COUNTIFS('0919門市清單主檔'!C:C,B110,'0919門市清單主檔'!AG:AG,$H$4)=1,
    IF(COUNTIFS(IM!F:F,A110,IM!AC:AC,"*"&amp;$H$4&amp;"*") + COUNTIFS('0919門市清單主檔'!C:C,B110,'0919門市清單主檔'!AG:AG,$H$4) &gt; 1,
       "V","未完工"),"-")</f>
        <v>V</v>
      </c>
      <c r="I110" s="253" t="str">
        <f>IF(COUNTIFS('0919門市清單主檔'!C:C,B110,'0919門市清單主檔'!AH:AH,$H$5)=1,
    IF(COUNTIFS(IM!F:F,A110,IM!AC:AC,"*"&amp;$H$5&amp;"*") + COUNTIFS('0919門市清單主檔'!C:C,B110,'0919門市清單主檔'!AH:AH,$H$5) &gt; 1,
       "V","未完工"),"-")</f>
        <v>V</v>
      </c>
      <c r="J110" s="253" t="str">
        <f>IF(
    COUNTIFS('0919門市清單主檔'!C:C,B110,'0919門市清單主檔'!AC:AC,$H$2)=1,
    IF(
        COUNTIFS(
            IM!F:F,A110,
            IM!AC:AC,"*"&amp;$H$2&amp;"*",
            IM!X:X,"&gt;="&amp;$M$1,
            IM!X:X,"&lt;="&amp;$M$3
        )
        + COUNTIFS('0919門市清單主檔'!C:C,B110,'0919門市清單主檔'!AC:AC,$H$2)
        &gt;1,
        "V",
        "未完工"
    ),
    "-"
)</f>
        <v>-</v>
      </c>
      <c r="K110" s="122">
        <v>45904</v>
      </c>
      <c r="L110" s="116" t="str">
        <f>VLOOKUP(A110,'0919門市清單主檔'!B:V,21,FALSE)</f>
        <v>三重區</v>
      </c>
      <c r="M110" s="153" t="str">
        <f>VLOOKUP(A110,門市總表!A:B,2,FALSE)</f>
        <v>三重蝶愛店</v>
      </c>
      <c r="Q110" s="115" t="s">
        <v>4951</v>
      </c>
      <c r="R110" s="115"/>
    </row>
    <row r="111" spans="1:18" ht="21.6" customHeight="1">
      <c r="A111" s="116">
        <v>4191</v>
      </c>
      <c r="B111" s="116" t="str">
        <f>VLOOKUP(A111,門市總表!A:B,2,FALSE)</f>
        <v>三重溪美店</v>
      </c>
      <c r="C111" s="146" t="str">
        <f>IF(COUNTIFS(IM!$F:$F,A111,IM!$AD:$AD,"O",IM!$X:$X,"&gt;="&amp;$M$1, IM!$X:$X,"&lt;"&amp;$M$2)&gt;0,"V","")</f>
        <v>V</v>
      </c>
      <c r="D111" s="146" t="str">
        <f>IF(AND(C111&lt;&gt;"V", COUNTIFS(IM!$F:$F,A111, IM!$AD:$AD, "O", IM!$X:$X, "&gt;="&amp;$M$2, IM!$X:$X, "&lt;"&amp;$M$3)&gt;0), "V", "")</f>
        <v/>
      </c>
      <c r="E111" s="146" t="str">
        <f>IF(AND(C111&lt;&gt;"V",D111&lt;&gt;"V", COUNTIFS(IM!$F:$F, A111, IM!$AD:$AD, "O", IM!$X:$X, "&gt;="&amp;$M$3, IM!$X:$X, "&lt;"&amp;$N$3)&gt;0), "V", "")</f>
        <v/>
      </c>
      <c r="F111" s="116" t="str">
        <f>IF(VLOOKUP(A111,門市總表!A:F,6,FALSE)="新開","新開不保養",
IF(VLOOKUP(A111,門市總表!A:F,6,FALSE)="撤店","閉店不保養",IF(VLOOKUP(A111,門市總表!A:F,6,FALSE)="非當季","非當季",IF(VLOOKUP(A111,門市總表!A:F,6,FALSE)="跨季補單","跨季補單",
IF(COUNTBLANK(C111:E111)=3,"未保養","")
))))</f>
        <v/>
      </c>
      <c r="G111" s="116" t="str">
        <f>IF(COUNTIFS('0919門市清單主檔'!C:C,B111,'0919門市清單主檔'!AF:AF,$H$3)=1,
    IF(COUNTIFS(IM!F:F,A111,IM!AC:AC,"*"&amp;$H$3&amp;"*") + COUNTIFS('0919門市清單主檔'!C:C,B111,'0919門市清單主檔'!AF:AF,$H$3) &gt; 1,
       "V","未完工"),"-")</f>
        <v>-</v>
      </c>
      <c r="H111" s="253" t="str">
        <f>IF(COUNTIFS('0919門市清單主檔'!C:C,B111,'0919門市清單主檔'!AG:AG,$H$4)=1,
    IF(COUNTIFS(IM!F:F,A111,IM!AC:AC,"*"&amp;$H$4&amp;"*") + COUNTIFS('0919門市清單主檔'!C:C,B111,'0919門市清單主檔'!AG:AG,$H$4) &gt; 1,
       "V","未完工"),"-")</f>
        <v>V</v>
      </c>
      <c r="I111" s="253" t="str">
        <f>IF(COUNTIFS('0919門市清單主檔'!C:C,B111,'0919門市清單主檔'!AH:AH,$H$5)=1,
    IF(COUNTIFS(IM!F:F,A111,IM!AC:AC,"*"&amp;$H$5&amp;"*") + COUNTIFS('0919門市清單主檔'!C:C,B111,'0919門市清單主檔'!AH:AH,$H$5) &gt; 1,
       "V","未完工"),"-")</f>
        <v>V</v>
      </c>
      <c r="J111" s="253" t="str">
        <f>IF(
    COUNTIFS('0919門市清單主檔'!C:C,B111,'0919門市清單主檔'!AC:AC,$H$2)=1,
    IF(
        COUNTIFS(
            IM!F:F,A111,
            IM!AC:AC,"*"&amp;$H$2&amp;"*",
            IM!X:X,"&gt;="&amp;$M$1,
            IM!X:X,"&lt;="&amp;$M$3
        )
        + COUNTIFS('0919門市清單主檔'!C:C,B111,'0919門市清單主檔'!AC:AC,$H$2)
        &gt;1,
        "V",
        "未完工"
    ),
    "-"
)</f>
        <v>-</v>
      </c>
      <c r="K111" s="122">
        <v>45904</v>
      </c>
      <c r="L111" s="116" t="str">
        <f>VLOOKUP(A111,'0919門市清單主檔'!B:V,21,FALSE)</f>
        <v>三重區</v>
      </c>
      <c r="M111" s="153" t="str">
        <f>VLOOKUP(A111,門市總表!A:B,2,FALSE)</f>
        <v>三重溪美店</v>
      </c>
      <c r="Q111" s="115" t="s">
        <v>4951</v>
      </c>
      <c r="R111" s="115"/>
    </row>
    <row r="112" spans="1:18" ht="21.6" customHeight="1">
      <c r="A112" s="116">
        <v>3883</v>
      </c>
      <c r="B112" s="116" t="str">
        <f>VLOOKUP(A112,門市總表!A:B,2,FALSE)</f>
        <v>中和和竹店</v>
      </c>
      <c r="C112" s="146" t="str">
        <f>IF(COUNTIFS(IM!$F:$F,A112,IM!$AD:$AD,"O",IM!$X:$X,"&gt;="&amp;$M$1, IM!$X:$X,"&lt;"&amp;$M$2)&gt;0,"V","")</f>
        <v>V</v>
      </c>
      <c r="D112" s="146" t="str">
        <f>IF(AND(C112&lt;&gt;"V", COUNTIFS(IM!$F:$F,A112, IM!$AD:$AD, "O", IM!$X:$X, "&gt;="&amp;$M$2, IM!$X:$X, "&lt;"&amp;$M$3)&gt;0), "V", "")</f>
        <v/>
      </c>
      <c r="E112" s="146" t="str">
        <f>IF(AND(C112&lt;&gt;"V",D112&lt;&gt;"V", COUNTIFS(IM!$F:$F, A112, IM!$AD:$AD, "O", IM!$X:$X, "&gt;="&amp;$M$3, IM!$X:$X, "&lt;"&amp;$N$3)&gt;0), "V", "")</f>
        <v/>
      </c>
      <c r="F112" s="116" t="str">
        <f>IF(VLOOKUP(A112,門市總表!A:F,6,FALSE)="新開","新開不保養",
IF(VLOOKUP(A112,門市總表!A:F,6,FALSE)="撤店","閉店不保養",IF(VLOOKUP(A112,門市總表!A:F,6,FALSE)="非當季","非當季",IF(VLOOKUP(A112,門市總表!A:F,6,FALSE)="跨季補單","跨季補單",
IF(COUNTBLANK(C112:E112)=3,"未保養","")
))))</f>
        <v/>
      </c>
      <c r="G112" s="116" t="str">
        <f>IF(COUNTIFS('0919門市清單主檔'!C:C,B112,'0919門市清單主檔'!AF:AF,$H$3)=1,
    IF(COUNTIFS(IM!F:F,A112,IM!AC:AC,"*"&amp;$H$3&amp;"*") + COUNTIFS('0919門市清單主檔'!C:C,B112,'0919門市清單主檔'!AF:AF,$H$3) &gt; 1,
       "V","未完工"),"-")</f>
        <v>-</v>
      </c>
      <c r="H112" s="253" t="str">
        <f>IF(COUNTIFS('0919門市清單主檔'!C:C,B112,'0919門市清單主檔'!AG:AG,$H$4)=1,
    IF(COUNTIFS(IM!F:F,A112,IM!AC:AC,"*"&amp;$H$4&amp;"*") + COUNTIFS('0919門市清單主檔'!C:C,B112,'0919門市清單主檔'!AG:AG,$H$4) &gt; 1,
       "V","未完工"),"-")</f>
        <v>未完工</v>
      </c>
      <c r="I112" s="253" t="str">
        <f>IF(COUNTIFS('0919門市清單主檔'!C:C,B112,'0919門市清單主檔'!AH:AH,$H$5)=1,
    IF(COUNTIFS(IM!F:F,A112,IM!AC:AC,"*"&amp;$H$5&amp;"*") + COUNTIFS('0919門市清單主檔'!C:C,B112,'0919門市清單主檔'!AH:AH,$H$5) &gt; 1,
       "V","未完工"),"-")</f>
        <v>V</v>
      </c>
      <c r="J112" s="253" t="str">
        <f>IF(
    COUNTIFS('0919門市清單主檔'!C:C,B112,'0919門市清單主檔'!AC:AC,$H$2)=1,
    IF(
        COUNTIFS(
            IM!F:F,A112,
            IM!AC:AC,"*"&amp;$H$2&amp;"*",
            IM!X:X,"&gt;="&amp;$M$1,
            IM!X:X,"&lt;="&amp;$M$3
        )
        + COUNTIFS('0919門市清單主檔'!C:C,B112,'0919門市清單主檔'!AC:AC,$H$2)
        &gt;1,
        "V",
        "未完工"
    ),
    "-"
)</f>
        <v>-</v>
      </c>
      <c r="K112" s="122">
        <v>45919</v>
      </c>
      <c r="L112" s="116" t="str">
        <f>VLOOKUP(A112,'0919門市清單主檔'!B:V,21,FALSE)</f>
        <v>中和區</v>
      </c>
      <c r="M112" s="153" t="str">
        <f>VLOOKUP(A112,門市總表!A:B,2,FALSE)</f>
        <v>中和和竹店</v>
      </c>
    </row>
    <row r="113" spans="1:13" ht="21.6" customHeight="1">
      <c r="A113" s="116">
        <v>3913</v>
      </c>
      <c r="B113" s="116" t="str">
        <f>VLOOKUP(A113,門市總表!A:B,2,FALSE)</f>
        <v>中和和玉店</v>
      </c>
      <c r="C113" s="146" t="str">
        <f>IF(COUNTIFS(IM!$F:$F,A113,IM!$AD:$AD,"O",IM!$X:$X,"&gt;="&amp;$M$1, IM!$X:$X,"&lt;"&amp;$M$2)&gt;0,"V","")</f>
        <v>V</v>
      </c>
      <c r="D113" s="146" t="str">
        <f>IF(AND(C113&lt;&gt;"V", COUNTIFS(IM!$F:$F,A113, IM!$AD:$AD, "O", IM!$X:$X, "&gt;="&amp;$M$2, IM!$X:$X, "&lt;"&amp;$M$3)&gt;0), "V", "")</f>
        <v/>
      </c>
      <c r="E113" s="146" t="str">
        <f>IF(AND(C113&lt;&gt;"V",D113&lt;&gt;"V", COUNTIFS(IM!$F:$F, A113, IM!$AD:$AD, "O", IM!$X:$X, "&gt;="&amp;$M$3, IM!$X:$X, "&lt;"&amp;$N$3)&gt;0), "V", "")</f>
        <v/>
      </c>
      <c r="F113" s="116" t="str">
        <f>IF(VLOOKUP(A113,門市總表!A:F,6,FALSE)="新開","新開不保養",
IF(VLOOKUP(A113,門市總表!A:F,6,FALSE)="撤店","閉店不保養",IF(VLOOKUP(A113,門市總表!A:F,6,FALSE)="非當季","非當季",IF(VLOOKUP(A113,門市總表!A:F,6,FALSE)="跨季補單","跨季補單",
IF(COUNTBLANK(C113:E113)=3,"未保養","")
))))</f>
        <v/>
      </c>
      <c r="G113" s="116" t="str">
        <f>IF(COUNTIFS('0919門市清單主檔'!C:C,B113,'0919門市清單主檔'!AF:AF,$H$3)=1,
    IF(COUNTIFS(IM!F:F,A113,IM!AC:AC,"*"&amp;$H$3&amp;"*") + COUNTIFS('0919門市清單主檔'!C:C,B113,'0919門市清單主檔'!AF:AF,$H$3) &gt; 1,
       "V","未完工"),"-")</f>
        <v>-</v>
      </c>
      <c r="H113" s="253" t="str">
        <f>IF(COUNTIFS('0919門市清單主檔'!C:C,B113,'0919門市清單主檔'!AG:AG,$H$4)=1,
    IF(COUNTIFS(IM!F:F,A113,IM!AC:AC,"*"&amp;$H$4&amp;"*") + COUNTIFS('0919門市清單主檔'!C:C,B113,'0919門市清單主檔'!AG:AG,$H$4) &gt; 1,
       "V","未完工"),"-")</f>
        <v>未完工</v>
      </c>
      <c r="I113" s="253" t="str">
        <f>IF(COUNTIFS('0919門市清單主檔'!C:C,B113,'0919門市清單主檔'!AH:AH,$H$5)=1,
    IF(COUNTIFS(IM!F:F,A113,IM!AC:AC,"*"&amp;$H$5&amp;"*") + COUNTIFS('0919門市清單主檔'!C:C,B113,'0919門市清單主檔'!AH:AH,$H$5) &gt; 1,
       "V","未完工"),"-")</f>
        <v>V</v>
      </c>
      <c r="J113" s="253" t="str">
        <f>IF(
    COUNTIFS('0919門市清單主檔'!C:C,B113,'0919門市清單主檔'!AC:AC,$H$2)=1,
    IF(
        COUNTIFS(
            IM!F:F,A113,
            IM!AC:AC,"*"&amp;$H$2&amp;"*",
            IM!X:X,"&gt;="&amp;$M$1,
            IM!X:X,"&lt;="&amp;$M$3
        )
        + COUNTIFS('0919門市清單主檔'!C:C,B113,'0919門市清單主檔'!AC:AC,$H$2)
        &gt;1,
        "V",
        "未完工"
    ),
    "-"
)</f>
        <v>-</v>
      </c>
      <c r="K113" s="122">
        <v>45920</v>
      </c>
      <c r="L113" s="116" t="str">
        <f>VLOOKUP(A113,'0919門市清單主檔'!B:V,21,FALSE)</f>
        <v>中和區</v>
      </c>
      <c r="M113" s="153" t="str">
        <f>VLOOKUP(A113,門市總表!A:B,2,FALSE)</f>
        <v>中和和玉店</v>
      </c>
    </row>
    <row r="114" spans="1:13" ht="15" customHeight="1">
      <c r="A114" s="117"/>
      <c r="B114" s="117"/>
    </row>
    <row r="115" spans="1:13" ht="15" customHeight="1">
      <c r="A115" s="117"/>
      <c r="B115" s="117"/>
    </row>
    <row r="116" spans="1:13" ht="15" customHeight="1">
      <c r="A116" s="117"/>
      <c r="B116" s="117"/>
    </row>
    <row r="117" spans="1:13" ht="15" customHeight="1">
      <c r="A117" s="117"/>
      <c r="B117" s="117"/>
    </row>
    <row r="118" spans="1:13" ht="15" customHeight="1">
      <c r="A118" s="117"/>
      <c r="B118" s="117"/>
    </row>
    <row r="119" spans="1:13" ht="15" customHeight="1">
      <c r="A119" s="117"/>
      <c r="B119" s="117"/>
    </row>
    <row r="120" spans="1:13" ht="15" customHeight="1">
      <c r="A120" s="117"/>
      <c r="B120" s="117"/>
    </row>
    <row r="121" spans="1:13" ht="15" customHeight="1">
      <c r="A121" s="117"/>
      <c r="B121" s="117"/>
    </row>
    <row r="122" spans="1:13" ht="15" customHeight="1">
      <c r="A122" s="117"/>
      <c r="B122" s="117"/>
    </row>
    <row r="123" spans="1:13" ht="15" customHeight="1">
      <c r="A123" s="117"/>
      <c r="B123" s="117"/>
    </row>
    <row r="124" spans="1:13" ht="15" customHeight="1">
      <c r="A124" s="117"/>
      <c r="B124" s="117"/>
    </row>
    <row r="125" spans="1:13" ht="15" customHeight="1">
      <c r="A125" s="117"/>
      <c r="B125" s="117"/>
    </row>
    <row r="126" spans="1:13" ht="15" customHeight="1">
      <c r="A126" s="117"/>
      <c r="B126" s="117"/>
    </row>
    <row r="127" spans="1:13" ht="15" customHeight="1">
      <c r="A127" s="117"/>
      <c r="B127" s="117"/>
    </row>
    <row r="128" spans="1:13" ht="15" customHeight="1">
      <c r="A128" s="117"/>
      <c r="B128" s="117"/>
    </row>
    <row r="129" spans="1:2" ht="15" customHeight="1">
      <c r="A129" s="117"/>
      <c r="B129" s="117"/>
    </row>
    <row r="130" spans="1:2" ht="15" customHeight="1">
      <c r="A130" s="117"/>
      <c r="B130" s="117"/>
    </row>
    <row r="131" spans="1:2" ht="15" customHeight="1">
      <c r="A131" s="117"/>
      <c r="B131" s="117"/>
    </row>
    <row r="132" spans="1:2" ht="15" customHeight="1">
      <c r="A132" s="117"/>
      <c r="B132" s="117"/>
    </row>
    <row r="133" spans="1:2" ht="15" customHeight="1">
      <c r="A133" s="117"/>
      <c r="B133" s="117"/>
    </row>
    <row r="134" spans="1:2" ht="15" customHeight="1">
      <c r="A134" s="117"/>
      <c r="B134" s="117"/>
    </row>
    <row r="135" spans="1:2" ht="15" customHeight="1">
      <c r="A135" s="117"/>
      <c r="B135" s="117"/>
    </row>
    <row r="136" spans="1:2" ht="15" customHeight="1">
      <c r="A136" s="117"/>
      <c r="B136" s="117"/>
    </row>
    <row r="137" spans="1:2" ht="15" customHeight="1">
      <c r="A137" s="117"/>
      <c r="B137" s="117"/>
    </row>
    <row r="138" spans="1:2" ht="15" customHeight="1">
      <c r="A138" s="117"/>
      <c r="B138" s="117"/>
    </row>
    <row r="139" spans="1:2" ht="15" customHeight="1">
      <c r="A139" s="117"/>
      <c r="B139" s="117"/>
    </row>
    <row r="140" spans="1:2" ht="15" customHeight="1">
      <c r="A140" s="117"/>
      <c r="B140" s="117"/>
    </row>
    <row r="141" spans="1:2" ht="15" customHeight="1">
      <c r="A141" s="117"/>
      <c r="B141" s="117"/>
    </row>
    <row r="142" spans="1:2" ht="15" customHeight="1">
      <c r="A142" s="117"/>
      <c r="B142" s="117"/>
    </row>
    <row r="143" spans="1:2" ht="15" customHeight="1">
      <c r="A143" s="117"/>
      <c r="B143" s="117"/>
    </row>
    <row r="144" spans="1:2" ht="15" customHeight="1">
      <c r="A144" s="117"/>
      <c r="B144" s="117"/>
    </row>
    <row r="145" spans="1:2" ht="15" customHeight="1">
      <c r="A145" s="117"/>
      <c r="B145" s="117"/>
    </row>
    <row r="146" spans="1:2" ht="15" customHeight="1">
      <c r="A146" s="117"/>
      <c r="B146" s="117"/>
    </row>
    <row r="147" spans="1:2" ht="15" customHeight="1">
      <c r="A147" s="117"/>
      <c r="B147" s="117"/>
    </row>
    <row r="148" spans="1:2" ht="15" customHeight="1">
      <c r="A148" s="117"/>
      <c r="B148" s="117"/>
    </row>
    <row r="149" spans="1:2" ht="15" customHeight="1">
      <c r="A149" s="117"/>
      <c r="B149" s="117"/>
    </row>
    <row r="150" spans="1:2" ht="15" customHeight="1">
      <c r="A150" s="117"/>
      <c r="B150" s="117"/>
    </row>
    <row r="151" spans="1:2" ht="15" customHeight="1">
      <c r="A151" s="117"/>
      <c r="B151" s="117"/>
    </row>
    <row r="152" spans="1:2" ht="15" customHeight="1">
      <c r="A152" s="117"/>
      <c r="B152" s="117"/>
    </row>
    <row r="153" spans="1:2" ht="15" customHeight="1">
      <c r="A153" s="117"/>
      <c r="B153" s="117"/>
    </row>
    <row r="154" spans="1:2" ht="15" customHeight="1">
      <c r="A154" s="117"/>
      <c r="B154" s="117"/>
    </row>
    <row r="155" spans="1:2" ht="15" customHeight="1">
      <c r="A155" s="117"/>
      <c r="B155" s="117"/>
    </row>
    <row r="156" spans="1:2" ht="15" customHeight="1">
      <c r="A156" s="117"/>
      <c r="B156" s="117"/>
    </row>
    <row r="157" spans="1:2" ht="15" customHeight="1">
      <c r="A157" s="117"/>
      <c r="B157" s="117"/>
    </row>
    <row r="158" spans="1:2" ht="15" customHeight="1">
      <c r="A158" s="117"/>
      <c r="B158" s="117"/>
    </row>
    <row r="159" spans="1:2" ht="15" customHeight="1">
      <c r="A159" s="117"/>
      <c r="B159" s="117"/>
    </row>
    <row r="160" spans="1:2" ht="15" customHeight="1">
      <c r="A160" s="117"/>
      <c r="B160" s="117"/>
    </row>
    <row r="161" spans="1:2" ht="15" customHeight="1">
      <c r="A161" s="117"/>
      <c r="B161" s="117"/>
    </row>
    <row r="162" spans="1:2" ht="15" customHeight="1">
      <c r="A162" s="117"/>
      <c r="B162" s="117"/>
    </row>
    <row r="163" spans="1:2" ht="15" customHeight="1">
      <c r="A163" s="117"/>
      <c r="B163" s="117"/>
    </row>
    <row r="164" spans="1:2" ht="15" customHeight="1">
      <c r="A164" s="117"/>
      <c r="B164" s="117"/>
    </row>
    <row r="165" spans="1:2" ht="15" customHeight="1">
      <c r="A165" s="117"/>
      <c r="B165" s="117"/>
    </row>
    <row r="166" spans="1:2" ht="15" customHeight="1">
      <c r="A166" s="117"/>
      <c r="B166" s="117"/>
    </row>
    <row r="167" spans="1:2" ht="15" customHeight="1">
      <c r="A167" s="117"/>
      <c r="B167" s="117"/>
    </row>
    <row r="168" spans="1:2" ht="15" customHeight="1">
      <c r="A168" s="117"/>
      <c r="B168" s="117"/>
    </row>
    <row r="169" spans="1:2" ht="15" customHeight="1">
      <c r="A169" s="117"/>
      <c r="B169" s="117"/>
    </row>
    <row r="170" spans="1:2" ht="15" customHeight="1">
      <c r="A170" s="117"/>
      <c r="B170" s="117"/>
    </row>
    <row r="171" spans="1:2" ht="15" customHeight="1">
      <c r="A171" s="117"/>
      <c r="B171" s="117"/>
    </row>
    <row r="172" spans="1:2" ht="15" customHeight="1">
      <c r="A172" s="117"/>
      <c r="B172" s="117"/>
    </row>
    <row r="173" spans="1:2" ht="15" customHeight="1">
      <c r="A173" s="117"/>
      <c r="B173" s="117"/>
    </row>
    <row r="174" spans="1:2" ht="15" customHeight="1">
      <c r="A174" s="117"/>
      <c r="B174" s="117"/>
    </row>
    <row r="175" spans="1:2" ht="15" customHeight="1">
      <c r="A175" s="117"/>
      <c r="B175" s="117"/>
    </row>
    <row r="176" spans="1:2" ht="15" customHeight="1">
      <c r="A176" s="117"/>
      <c r="B176" s="117"/>
    </row>
    <row r="177" spans="1:2" ht="15" customHeight="1">
      <c r="A177" s="117"/>
      <c r="B177" s="117"/>
    </row>
    <row r="178" spans="1:2" ht="15" customHeight="1">
      <c r="A178" s="117"/>
      <c r="B178" s="117"/>
    </row>
    <row r="179" spans="1:2" ht="15" customHeight="1">
      <c r="A179" s="117"/>
      <c r="B179" s="117"/>
    </row>
    <row r="180" spans="1:2" ht="15" customHeight="1">
      <c r="A180" s="117"/>
      <c r="B180" s="117"/>
    </row>
    <row r="181" spans="1:2" ht="15" customHeight="1">
      <c r="A181" s="117"/>
      <c r="B181" s="117"/>
    </row>
    <row r="182" spans="1:2" ht="15" customHeight="1">
      <c r="A182" s="117"/>
      <c r="B182" s="117"/>
    </row>
    <row r="183" spans="1:2" ht="15" customHeight="1">
      <c r="A183" s="117"/>
      <c r="B183" s="117"/>
    </row>
    <row r="184" spans="1:2" ht="15" customHeight="1">
      <c r="A184" s="117"/>
      <c r="B184" s="117"/>
    </row>
    <row r="185" spans="1:2" ht="15" customHeight="1">
      <c r="A185" s="117"/>
      <c r="B185" s="117"/>
    </row>
    <row r="186" spans="1:2" ht="15" customHeight="1">
      <c r="A186" s="117"/>
      <c r="B186" s="117"/>
    </row>
    <row r="187" spans="1:2" ht="15" customHeight="1">
      <c r="A187" s="117"/>
      <c r="B187" s="117"/>
    </row>
    <row r="188" spans="1:2" ht="15" customHeight="1">
      <c r="A188" s="117"/>
      <c r="B188" s="117"/>
    </row>
    <row r="189" spans="1:2" ht="15" customHeight="1">
      <c r="A189" s="117"/>
      <c r="B189" s="117"/>
    </row>
    <row r="190" spans="1:2" ht="15" customHeight="1">
      <c r="A190" s="117"/>
      <c r="B190" s="117"/>
    </row>
    <row r="191" spans="1:2" ht="15" customHeight="1">
      <c r="A191" s="117"/>
      <c r="B191" s="117"/>
    </row>
    <row r="192" spans="1:2" ht="15" customHeight="1">
      <c r="A192" s="117"/>
      <c r="B192" s="117"/>
    </row>
    <row r="193" spans="1:2" ht="15" customHeight="1">
      <c r="A193" s="117"/>
      <c r="B193" s="117"/>
    </row>
    <row r="194" spans="1:2" ht="15" customHeight="1">
      <c r="A194" s="117"/>
      <c r="B194" s="117"/>
    </row>
    <row r="195" spans="1:2" ht="15" customHeight="1">
      <c r="A195" s="117"/>
      <c r="B195" s="117"/>
    </row>
    <row r="196" spans="1:2" ht="15" customHeight="1">
      <c r="A196" s="117"/>
      <c r="B196" s="117"/>
    </row>
    <row r="197" spans="1:2" ht="15" customHeight="1">
      <c r="A197" s="117"/>
      <c r="B197" s="117"/>
    </row>
    <row r="198" spans="1:2" ht="15" customHeight="1">
      <c r="A198" s="117"/>
      <c r="B198" s="117"/>
    </row>
    <row r="199" spans="1:2" ht="15" customHeight="1">
      <c r="A199" s="117"/>
      <c r="B199" s="117"/>
    </row>
    <row r="200" spans="1:2" ht="15" customHeight="1">
      <c r="A200" s="117"/>
      <c r="B200" s="117"/>
    </row>
    <row r="201" spans="1:2" ht="15" customHeight="1">
      <c r="A201" s="117"/>
      <c r="B201" s="117"/>
    </row>
    <row r="202" spans="1:2" ht="15" customHeight="1">
      <c r="A202" s="117"/>
      <c r="B202" s="117"/>
    </row>
    <row r="203" spans="1:2" ht="15" customHeight="1">
      <c r="A203" s="117"/>
      <c r="B203" s="117"/>
    </row>
    <row r="204" spans="1:2" ht="15" customHeight="1">
      <c r="A204" s="117"/>
      <c r="B204" s="117"/>
    </row>
    <row r="205" spans="1:2" ht="15" customHeight="1">
      <c r="A205" s="117"/>
      <c r="B205" s="117"/>
    </row>
    <row r="206" spans="1:2" ht="15" customHeight="1">
      <c r="A206" s="117"/>
      <c r="B206" s="117"/>
    </row>
    <row r="207" spans="1:2" ht="15" customHeight="1">
      <c r="A207" s="117"/>
      <c r="B207" s="117"/>
    </row>
    <row r="208" spans="1:2" ht="15" customHeight="1">
      <c r="A208" s="117"/>
      <c r="B208" s="117"/>
    </row>
    <row r="209" spans="1:2" ht="15" customHeight="1">
      <c r="A209" s="117"/>
      <c r="B209" s="117"/>
    </row>
    <row r="210" spans="1:2" ht="15" customHeight="1">
      <c r="A210" s="117"/>
      <c r="B210" s="117"/>
    </row>
    <row r="211" spans="1:2" ht="15" customHeight="1">
      <c r="A211" s="117"/>
      <c r="B211" s="117"/>
    </row>
    <row r="212" spans="1:2" ht="15" customHeight="1">
      <c r="A212" s="117"/>
      <c r="B212" s="117"/>
    </row>
    <row r="213" spans="1:2" ht="15" customHeight="1">
      <c r="A213" s="117"/>
      <c r="B213" s="117"/>
    </row>
    <row r="214" spans="1:2" ht="15" customHeight="1">
      <c r="A214" s="117"/>
      <c r="B214" s="117"/>
    </row>
    <row r="215" spans="1:2" ht="15" customHeight="1">
      <c r="A215" s="117"/>
      <c r="B215" s="117"/>
    </row>
    <row r="216" spans="1:2" ht="15" customHeight="1">
      <c r="A216" s="117"/>
      <c r="B216" s="117"/>
    </row>
    <row r="217" spans="1:2" ht="15" customHeight="1">
      <c r="A217" s="117"/>
      <c r="B217" s="117"/>
    </row>
    <row r="218" spans="1:2" ht="15" customHeight="1">
      <c r="A218" s="117"/>
      <c r="B218" s="117"/>
    </row>
    <row r="219" spans="1:2" ht="15" customHeight="1">
      <c r="A219" s="117"/>
      <c r="B219" s="117"/>
    </row>
    <row r="220" spans="1:2" ht="15" customHeight="1">
      <c r="A220" s="117"/>
      <c r="B220" s="117"/>
    </row>
    <row r="221" spans="1:2" ht="15" customHeight="1">
      <c r="A221" s="117"/>
      <c r="B221" s="117"/>
    </row>
    <row r="222" spans="1:2" ht="15" customHeight="1">
      <c r="A222" s="117"/>
      <c r="B222" s="117"/>
    </row>
    <row r="223" spans="1:2" ht="15" customHeight="1">
      <c r="A223" s="117"/>
      <c r="B223" s="117"/>
    </row>
    <row r="224" spans="1:2" ht="15" customHeight="1">
      <c r="A224" s="117"/>
      <c r="B224" s="117"/>
    </row>
    <row r="225" spans="1:2" ht="15" customHeight="1">
      <c r="A225" s="117"/>
      <c r="B225" s="117"/>
    </row>
    <row r="226" spans="1:2" ht="15" customHeight="1">
      <c r="A226" s="117"/>
      <c r="B226" s="117"/>
    </row>
    <row r="227" spans="1:2" ht="15" customHeight="1">
      <c r="A227" s="117"/>
      <c r="B227" s="117"/>
    </row>
    <row r="228" spans="1:2" ht="15" customHeight="1">
      <c r="A228" s="117"/>
      <c r="B228" s="117"/>
    </row>
    <row r="229" spans="1:2" ht="15" customHeight="1">
      <c r="A229" s="117"/>
      <c r="B229" s="117"/>
    </row>
    <row r="230" spans="1:2" ht="15" customHeight="1">
      <c r="A230" s="117"/>
      <c r="B230" s="117"/>
    </row>
    <row r="231" spans="1:2" ht="15" customHeight="1">
      <c r="A231" s="117"/>
      <c r="B231" s="117"/>
    </row>
    <row r="232" spans="1:2" ht="15" customHeight="1">
      <c r="A232" s="117"/>
      <c r="B232" s="117"/>
    </row>
    <row r="233" spans="1:2" ht="15" customHeight="1">
      <c r="A233" s="117"/>
      <c r="B233" s="117"/>
    </row>
    <row r="234" spans="1:2" ht="15" customHeight="1">
      <c r="A234" s="117"/>
      <c r="B234" s="117"/>
    </row>
    <row r="235" spans="1:2" ht="15" customHeight="1">
      <c r="A235" s="117"/>
      <c r="B235" s="117"/>
    </row>
    <row r="236" spans="1:2" ht="15" customHeight="1">
      <c r="A236" s="117"/>
      <c r="B236" s="117"/>
    </row>
    <row r="237" spans="1:2" ht="15" customHeight="1">
      <c r="A237" s="117"/>
      <c r="B237" s="117"/>
    </row>
    <row r="238" spans="1:2" ht="15" customHeight="1">
      <c r="A238" s="117"/>
      <c r="B238" s="117"/>
    </row>
    <row r="239" spans="1:2" ht="15" customHeight="1">
      <c r="A239" s="117"/>
      <c r="B239" s="117"/>
    </row>
    <row r="240" spans="1:2" ht="15" customHeight="1">
      <c r="A240" s="117"/>
      <c r="B240" s="117"/>
    </row>
    <row r="241" spans="1:2" ht="15" customHeight="1">
      <c r="A241" s="117"/>
      <c r="B241" s="117"/>
    </row>
    <row r="242" spans="1:2" ht="15" customHeight="1">
      <c r="A242" s="117"/>
      <c r="B242" s="117"/>
    </row>
    <row r="243" spans="1:2" ht="15" customHeight="1">
      <c r="A243" s="117"/>
      <c r="B243" s="117"/>
    </row>
    <row r="244" spans="1:2" ht="15" customHeight="1">
      <c r="A244" s="117"/>
      <c r="B244" s="117"/>
    </row>
    <row r="245" spans="1:2" ht="15" customHeight="1">
      <c r="A245" s="117"/>
      <c r="B245" s="117"/>
    </row>
    <row r="246" spans="1:2" ht="15" customHeight="1">
      <c r="A246" s="117"/>
      <c r="B246" s="117"/>
    </row>
    <row r="247" spans="1:2" ht="15" customHeight="1">
      <c r="A247" s="117"/>
      <c r="B247" s="117"/>
    </row>
    <row r="248" spans="1:2" ht="15" customHeight="1">
      <c r="A248" s="117"/>
      <c r="B248" s="117"/>
    </row>
    <row r="249" spans="1:2" ht="15" customHeight="1">
      <c r="A249" s="117"/>
      <c r="B249" s="117"/>
    </row>
    <row r="250" spans="1:2" ht="15" customHeight="1">
      <c r="A250" s="117"/>
      <c r="B250" s="117"/>
    </row>
    <row r="251" spans="1:2" ht="15" customHeight="1">
      <c r="A251" s="117"/>
      <c r="B251" s="117"/>
    </row>
    <row r="252" spans="1:2" ht="15" customHeight="1">
      <c r="A252" s="117"/>
      <c r="B252" s="117"/>
    </row>
    <row r="253" spans="1:2" ht="15" customHeight="1">
      <c r="A253" s="117"/>
      <c r="B253" s="117"/>
    </row>
    <row r="254" spans="1:2" ht="15" customHeight="1">
      <c r="A254" s="117"/>
      <c r="B254" s="117"/>
    </row>
    <row r="255" spans="1:2" ht="15" customHeight="1">
      <c r="A255" s="117"/>
      <c r="B255" s="117"/>
    </row>
    <row r="256" spans="1:2" ht="15" customHeight="1">
      <c r="A256" s="117"/>
      <c r="B256" s="117"/>
    </row>
    <row r="257" spans="1:2" ht="15" customHeight="1">
      <c r="A257" s="117"/>
      <c r="B257" s="117"/>
    </row>
    <row r="258" spans="1:2" ht="15" customHeight="1">
      <c r="A258" s="117"/>
      <c r="B258" s="117"/>
    </row>
    <row r="259" spans="1:2" ht="15" customHeight="1">
      <c r="A259" s="117"/>
      <c r="B259" s="117"/>
    </row>
    <row r="260" spans="1:2" ht="15" customHeight="1">
      <c r="A260" s="117"/>
      <c r="B260" s="117"/>
    </row>
    <row r="261" spans="1:2" ht="15" customHeight="1">
      <c r="A261" s="117"/>
      <c r="B261" s="117"/>
    </row>
    <row r="262" spans="1:2" ht="15" customHeight="1">
      <c r="A262" s="117"/>
      <c r="B262" s="117"/>
    </row>
    <row r="263" spans="1:2" ht="15" customHeight="1">
      <c r="A263" s="117"/>
      <c r="B263" s="117"/>
    </row>
    <row r="264" spans="1:2" ht="15" customHeight="1">
      <c r="A264" s="117"/>
      <c r="B264" s="117"/>
    </row>
    <row r="265" spans="1:2" ht="15" customHeight="1">
      <c r="A265" s="117"/>
      <c r="B265" s="117"/>
    </row>
    <row r="266" spans="1:2" ht="15" customHeight="1">
      <c r="A266" s="117"/>
      <c r="B266" s="117"/>
    </row>
    <row r="267" spans="1:2" ht="15" customHeight="1">
      <c r="A267" s="117"/>
      <c r="B267" s="117"/>
    </row>
    <row r="268" spans="1:2" ht="15" customHeight="1">
      <c r="A268" s="117"/>
      <c r="B268" s="117"/>
    </row>
    <row r="269" spans="1:2" ht="15" customHeight="1">
      <c r="A269" s="117"/>
      <c r="B269" s="117"/>
    </row>
    <row r="270" spans="1:2" ht="15" customHeight="1">
      <c r="A270" s="117"/>
      <c r="B270" s="117"/>
    </row>
    <row r="271" spans="1:2" ht="15" customHeight="1">
      <c r="A271" s="117"/>
      <c r="B271" s="117"/>
    </row>
    <row r="272" spans="1:2" ht="15" customHeight="1">
      <c r="A272" s="117"/>
      <c r="B272" s="117"/>
    </row>
    <row r="273" spans="1:2" ht="15" customHeight="1">
      <c r="A273" s="117"/>
      <c r="B273" s="117"/>
    </row>
    <row r="274" spans="1:2" ht="15" customHeight="1">
      <c r="A274" s="117"/>
      <c r="B274" s="117"/>
    </row>
    <row r="275" spans="1:2" ht="15" customHeight="1">
      <c r="A275" s="117"/>
      <c r="B275" s="117"/>
    </row>
    <row r="276" spans="1:2" ht="15" customHeight="1">
      <c r="A276" s="117"/>
      <c r="B276" s="117"/>
    </row>
    <row r="277" spans="1:2" ht="15" customHeight="1">
      <c r="A277" s="117"/>
      <c r="B277" s="117"/>
    </row>
    <row r="278" spans="1:2" ht="15" customHeight="1">
      <c r="A278" s="117"/>
      <c r="B278" s="117"/>
    </row>
    <row r="279" spans="1:2" ht="15" customHeight="1">
      <c r="A279" s="117"/>
      <c r="B279" s="117"/>
    </row>
    <row r="280" spans="1:2" ht="15" customHeight="1">
      <c r="A280" s="117"/>
      <c r="B280" s="117"/>
    </row>
    <row r="281" spans="1:2" ht="15" customHeight="1">
      <c r="A281" s="117"/>
      <c r="B281" s="117"/>
    </row>
    <row r="282" spans="1:2" ht="15" customHeight="1">
      <c r="A282" s="117"/>
      <c r="B282" s="117"/>
    </row>
    <row r="283" spans="1:2" ht="15" customHeight="1">
      <c r="A283" s="117"/>
      <c r="B283" s="117"/>
    </row>
    <row r="284" spans="1:2" ht="15" customHeight="1">
      <c r="A284" s="117"/>
      <c r="B284" s="117"/>
    </row>
    <row r="285" spans="1:2" ht="15" customHeight="1">
      <c r="A285" s="117"/>
      <c r="B285" s="117"/>
    </row>
    <row r="286" spans="1:2" ht="15" customHeight="1">
      <c r="A286" s="117"/>
      <c r="B286" s="117"/>
    </row>
    <row r="287" spans="1:2" ht="15" customHeight="1">
      <c r="A287" s="117"/>
      <c r="B287" s="117"/>
    </row>
    <row r="288" spans="1:2" ht="15" customHeight="1">
      <c r="A288" s="117"/>
      <c r="B288" s="117"/>
    </row>
    <row r="289" spans="1:2" ht="15" customHeight="1">
      <c r="A289" s="117"/>
      <c r="B289" s="117"/>
    </row>
    <row r="290" spans="1:2" ht="15" customHeight="1">
      <c r="A290" s="117"/>
      <c r="B290" s="117"/>
    </row>
    <row r="291" spans="1:2" ht="15" customHeight="1">
      <c r="A291" s="117"/>
      <c r="B291" s="117"/>
    </row>
    <row r="292" spans="1:2" ht="15" customHeight="1">
      <c r="A292" s="117"/>
      <c r="B292" s="117"/>
    </row>
    <row r="293" spans="1:2" ht="15" customHeight="1">
      <c r="A293" s="117"/>
      <c r="B293" s="117"/>
    </row>
    <row r="294" spans="1:2" ht="15" customHeight="1">
      <c r="A294" s="117"/>
      <c r="B294" s="117"/>
    </row>
    <row r="295" spans="1:2" ht="15" customHeight="1">
      <c r="A295" s="117"/>
      <c r="B295" s="117"/>
    </row>
    <row r="296" spans="1:2" ht="15" customHeight="1">
      <c r="A296" s="117"/>
      <c r="B296" s="117"/>
    </row>
    <row r="297" spans="1:2" ht="15" customHeight="1">
      <c r="A297" s="117"/>
      <c r="B297" s="117"/>
    </row>
    <row r="298" spans="1:2" ht="15" customHeight="1">
      <c r="A298" s="117"/>
      <c r="B298" s="117"/>
    </row>
    <row r="299" spans="1:2" ht="15" customHeight="1">
      <c r="A299" s="117"/>
      <c r="B299" s="117"/>
    </row>
    <row r="300" spans="1:2" ht="15" customHeight="1">
      <c r="A300" s="117"/>
      <c r="B300" s="117"/>
    </row>
    <row r="301" spans="1:2" ht="15" customHeight="1">
      <c r="A301" s="117"/>
      <c r="B301" s="117"/>
    </row>
    <row r="302" spans="1:2" ht="15" customHeight="1">
      <c r="A302" s="117"/>
      <c r="B302" s="117"/>
    </row>
    <row r="303" spans="1:2" ht="15" customHeight="1">
      <c r="A303" s="117"/>
      <c r="B303" s="117"/>
    </row>
    <row r="304" spans="1:2" ht="15" customHeight="1">
      <c r="A304" s="117"/>
      <c r="B304" s="117"/>
    </row>
    <row r="305" spans="1:2" ht="15" customHeight="1">
      <c r="A305" s="117"/>
      <c r="B305" s="117"/>
    </row>
    <row r="306" spans="1:2" ht="15" customHeight="1">
      <c r="A306" s="117"/>
      <c r="B306" s="117"/>
    </row>
    <row r="307" spans="1:2" ht="15" customHeight="1">
      <c r="A307" s="117"/>
      <c r="B307" s="117"/>
    </row>
    <row r="308" spans="1:2" ht="15" customHeight="1">
      <c r="A308" s="117"/>
      <c r="B308" s="117"/>
    </row>
    <row r="309" spans="1:2" ht="15" customHeight="1">
      <c r="A309" s="117"/>
      <c r="B309" s="117"/>
    </row>
    <row r="310" spans="1:2" ht="15" customHeight="1">
      <c r="A310" s="117"/>
      <c r="B310" s="117"/>
    </row>
    <row r="311" spans="1:2" ht="15" customHeight="1">
      <c r="A311" s="117"/>
      <c r="B311" s="117"/>
    </row>
    <row r="312" spans="1:2" ht="15" customHeight="1">
      <c r="A312" s="117"/>
      <c r="B312" s="117"/>
    </row>
    <row r="313" spans="1:2" ht="15" customHeight="1">
      <c r="A313" s="117"/>
      <c r="B313" s="117"/>
    </row>
    <row r="314" spans="1:2" ht="15" customHeight="1">
      <c r="A314" s="117"/>
      <c r="B314" s="117"/>
    </row>
    <row r="315" spans="1:2" ht="15" customHeight="1">
      <c r="A315" s="117"/>
      <c r="B315" s="117"/>
    </row>
    <row r="316" spans="1:2" ht="15" customHeight="1">
      <c r="A316" s="117"/>
      <c r="B316" s="117"/>
    </row>
    <row r="317" spans="1:2" ht="15" customHeight="1">
      <c r="A317" s="117"/>
      <c r="B317" s="117"/>
    </row>
    <row r="318" spans="1:2" ht="15" customHeight="1">
      <c r="A318" s="117"/>
      <c r="B318" s="117"/>
    </row>
    <row r="319" spans="1:2" ht="15" customHeight="1">
      <c r="A319" s="117"/>
      <c r="B319" s="117"/>
    </row>
    <row r="320" spans="1:2" ht="15" customHeight="1">
      <c r="A320" s="117"/>
      <c r="B320" s="117"/>
    </row>
    <row r="321" spans="1:2" ht="15" customHeight="1">
      <c r="A321" s="117"/>
      <c r="B321" s="117"/>
    </row>
    <row r="322" spans="1:2" ht="15" customHeight="1">
      <c r="A322" s="117"/>
      <c r="B322" s="117"/>
    </row>
    <row r="323" spans="1:2" ht="15" customHeight="1">
      <c r="A323" s="117"/>
      <c r="B323" s="117"/>
    </row>
    <row r="324" spans="1:2" ht="15" customHeight="1">
      <c r="A324" s="117"/>
      <c r="B324" s="117"/>
    </row>
    <row r="325" spans="1:2" ht="15" customHeight="1">
      <c r="A325" s="117"/>
      <c r="B325" s="117"/>
    </row>
    <row r="326" spans="1:2" ht="15" customHeight="1">
      <c r="A326" s="117"/>
      <c r="B326" s="117"/>
    </row>
    <row r="327" spans="1:2" ht="15" customHeight="1">
      <c r="A327" s="117"/>
      <c r="B327" s="117"/>
    </row>
    <row r="328" spans="1:2" ht="15" customHeight="1">
      <c r="A328" s="117"/>
      <c r="B328" s="117"/>
    </row>
    <row r="329" spans="1:2" ht="15" customHeight="1">
      <c r="A329" s="117"/>
      <c r="B329" s="117"/>
    </row>
    <row r="330" spans="1:2" ht="15" customHeight="1">
      <c r="A330" s="117"/>
      <c r="B330" s="117"/>
    </row>
    <row r="331" spans="1:2" ht="15" customHeight="1">
      <c r="A331" s="117"/>
      <c r="B331" s="117"/>
    </row>
    <row r="332" spans="1:2" ht="15" customHeight="1">
      <c r="A332" s="117"/>
      <c r="B332" s="117"/>
    </row>
    <row r="333" spans="1:2" ht="15" customHeight="1">
      <c r="A333" s="117"/>
      <c r="B333" s="117"/>
    </row>
    <row r="334" spans="1:2" ht="15" customHeight="1">
      <c r="A334" s="117"/>
      <c r="B334" s="117"/>
    </row>
    <row r="335" spans="1:2" ht="15" customHeight="1">
      <c r="A335" s="117"/>
      <c r="B335" s="117"/>
    </row>
    <row r="336" spans="1:2" ht="15" customHeight="1">
      <c r="A336" s="117"/>
      <c r="B336" s="117"/>
    </row>
    <row r="337" spans="1:2" ht="15" customHeight="1">
      <c r="A337" s="117"/>
      <c r="B337" s="117"/>
    </row>
    <row r="338" spans="1:2" ht="15" customHeight="1">
      <c r="A338" s="117"/>
      <c r="B338" s="117"/>
    </row>
    <row r="339" spans="1:2" ht="15" customHeight="1">
      <c r="A339" s="117"/>
      <c r="B339" s="117"/>
    </row>
    <row r="340" spans="1:2" ht="15" customHeight="1">
      <c r="A340" s="117"/>
      <c r="B340" s="117"/>
    </row>
    <row r="341" spans="1:2" ht="15" customHeight="1">
      <c r="A341" s="117"/>
      <c r="B341" s="117"/>
    </row>
    <row r="342" spans="1:2" ht="15" customHeight="1">
      <c r="A342" s="117"/>
      <c r="B342" s="117"/>
    </row>
    <row r="343" spans="1:2" ht="15" customHeight="1">
      <c r="A343" s="117"/>
      <c r="B343" s="117"/>
    </row>
    <row r="344" spans="1:2" ht="15" customHeight="1">
      <c r="A344" s="117"/>
      <c r="B344" s="117"/>
    </row>
    <row r="345" spans="1:2" ht="15" customHeight="1">
      <c r="A345" s="117"/>
      <c r="B345" s="117"/>
    </row>
    <row r="346" spans="1:2" ht="15" customHeight="1">
      <c r="A346" s="117"/>
      <c r="B346" s="117"/>
    </row>
    <row r="347" spans="1:2" ht="15" customHeight="1">
      <c r="A347" s="117"/>
      <c r="B347" s="117"/>
    </row>
    <row r="348" spans="1:2" ht="15" customHeight="1">
      <c r="A348" s="117"/>
      <c r="B348" s="117"/>
    </row>
    <row r="349" spans="1:2" ht="15" customHeight="1">
      <c r="A349" s="117"/>
      <c r="B349" s="117"/>
    </row>
    <row r="350" spans="1:2" ht="15" customHeight="1">
      <c r="A350" s="117"/>
      <c r="B350" s="117"/>
    </row>
    <row r="351" spans="1:2" ht="15" customHeight="1">
      <c r="A351" s="117"/>
      <c r="B351" s="117"/>
    </row>
    <row r="352" spans="1:2" ht="15" customHeight="1">
      <c r="A352" s="117"/>
      <c r="B352" s="117"/>
    </row>
    <row r="353" spans="1:2" ht="15" customHeight="1">
      <c r="A353" s="117"/>
      <c r="B353" s="117"/>
    </row>
    <row r="354" spans="1:2" ht="15" customHeight="1">
      <c r="A354" s="117"/>
      <c r="B354" s="117"/>
    </row>
    <row r="355" spans="1:2" ht="15" customHeight="1">
      <c r="A355" s="117"/>
      <c r="B355" s="117"/>
    </row>
    <row r="356" spans="1:2" ht="15" customHeight="1">
      <c r="A356" s="117"/>
      <c r="B356" s="117"/>
    </row>
    <row r="357" spans="1:2" ht="15" customHeight="1">
      <c r="A357" s="117"/>
      <c r="B357" s="117"/>
    </row>
    <row r="358" spans="1:2" ht="15" customHeight="1">
      <c r="A358" s="117"/>
      <c r="B358" s="117"/>
    </row>
    <row r="359" spans="1:2" ht="15" customHeight="1">
      <c r="A359" s="117"/>
      <c r="B359" s="117"/>
    </row>
    <row r="360" spans="1:2" ht="15" customHeight="1">
      <c r="A360" s="117"/>
      <c r="B360" s="117"/>
    </row>
    <row r="361" spans="1:2" ht="15" customHeight="1">
      <c r="A361" s="117"/>
      <c r="B361" s="117"/>
    </row>
    <row r="362" spans="1:2" ht="15" customHeight="1">
      <c r="A362" s="117"/>
      <c r="B362" s="117"/>
    </row>
    <row r="363" spans="1:2" ht="15" customHeight="1">
      <c r="A363" s="117"/>
      <c r="B363" s="117"/>
    </row>
    <row r="364" spans="1:2" ht="15" customHeight="1">
      <c r="A364" s="117"/>
      <c r="B364" s="117"/>
    </row>
    <row r="365" spans="1:2" ht="15" customHeight="1">
      <c r="A365" s="117"/>
      <c r="B365" s="117"/>
    </row>
    <row r="366" spans="1:2" ht="15" customHeight="1">
      <c r="A366" s="117"/>
      <c r="B366" s="117"/>
    </row>
    <row r="367" spans="1:2" ht="15" customHeight="1">
      <c r="A367" s="117"/>
      <c r="B367" s="117"/>
    </row>
    <row r="368" spans="1:2" ht="15" customHeight="1">
      <c r="A368" s="117"/>
      <c r="B368" s="117"/>
    </row>
    <row r="369" spans="1:2" ht="15" customHeight="1">
      <c r="A369" s="117"/>
      <c r="B369" s="117"/>
    </row>
    <row r="370" spans="1:2" ht="15" customHeight="1">
      <c r="A370" s="117"/>
      <c r="B370" s="117"/>
    </row>
    <row r="371" spans="1:2" ht="15" customHeight="1">
      <c r="A371" s="117"/>
      <c r="B371" s="117"/>
    </row>
    <row r="372" spans="1:2" ht="15" customHeight="1">
      <c r="A372" s="117"/>
      <c r="B372" s="117"/>
    </row>
    <row r="373" spans="1:2" ht="15" customHeight="1">
      <c r="A373" s="117"/>
      <c r="B373" s="117"/>
    </row>
    <row r="374" spans="1:2" ht="15" customHeight="1">
      <c r="A374" s="117"/>
      <c r="B374" s="117"/>
    </row>
    <row r="375" spans="1:2" ht="15" customHeight="1">
      <c r="A375" s="117"/>
      <c r="B375" s="117"/>
    </row>
    <row r="376" spans="1:2" ht="15" customHeight="1">
      <c r="A376" s="117"/>
      <c r="B376" s="117"/>
    </row>
    <row r="377" spans="1:2" ht="15" customHeight="1">
      <c r="A377" s="117"/>
      <c r="B377" s="117"/>
    </row>
    <row r="378" spans="1:2" ht="15" customHeight="1">
      <c r="A378" s="117"/>
      <c r="B378" s="117"/>
    </row>
    <row r="379" spans="1:2" ht="15" customHeight="1">
      <c r="A379" s="117"/>
      <c r="B379" s="117"/>
    </row>
    <row r="380" spans="1:2" ht="15" customHeight="1">
      <c r="A380" s="117"/>
      <c r="B380" s="117"/>
    </row>
    <row r="381" spans="1:2" ht="15" customHeight="1">
      <c r="A381" s="117"/>
      <c r="B381" s="117"/>
    </row>
    <row r="382" spans="1:2" ht="15" customHeight="1">
      <c r="A382" s="117"/>
      <c r="B382" s="117"/>
    </row>
    <row r="383" spans="1:2" ht="15" customHeight="1">
      <c r="A383" s="117"/>
      <c r="B383" s="117"/>
    </row>
    <row r="384" spans="1:2" ht="15" customHeight="1">
      <c r="A384" s="117"/>
      <c r="B384" s="117"/>
    </row>
    <row r="385" spans="1:2" ht="15" customHeight="1">
      <c r="A385" s="117"/>
      <c r="B385" s="117"/>
    </row>
    <row r="386" spans="1:2" ht="15" customHeight="1">
      <c r="A386" s="117"/>
      <c r="B386" s="117"/>
    </row>
    <row r="387" spans="1:2" ht="15" customHeight="1">
      <c r="A387" s="117"/>
      <c r="B387" s="117"/>
    </row>
    <row r="388" spans="1:2" ht="15" customHeight="1">
      <c r="A388" s="117"/>
      <c r="B388" s="117"/>
    </row>
    <row r="389" spans="1:2" ht="15" customHeight="1">
      <c r="A389" s="117"/>
      <c r="B389" s="117"/>
    </row>
    <row r="390" spans="1:2" ht="15" customHeight="1">
      <c r="A390" s="117"/>
      <c r="B390" s="117"/>
    </row>
    <row r="391" spans="1:2" ht="15" customHeight="1">
      <c r="A391" s="117"/>
      <c r="B391" s="117"/>
    </row>
    <row r="392" spans="1:2" ht="15" customHeight="1">
      <c r="A392" s="117"/>
      <c r="B392" s="117"/>
    </row>
    <row r="393" spans="1:2" ht="15" customHeight="1">
      <c r="A393" s="117"/>
      <c r="B393" s="117"/>
    </row>
    <row r="394" spans="1:2" ht="15" customHeight="1">
      <c r="A394" s="117"/>
      <c r="B394" s="117"/>
    </row>
    <row r="395" spans="1:2" ht="15" customHeight="1">
      <c r="A395" s="117"/>
      <c r="B395" s="117"/>
    </row>
    <row r="396" spans="1:2" ht="15" customHeight="1">
      <c r="A396" s="117"/>
      <c r="B396" s="117"/>
    </row>
    <row r="397" spans="1:2" ht="15" customHeight="1">
      <c r="A397" s="117"/>
      <c r="B397" s="117"/>
    </row>
    <row r="398" spans="1:2" ht="15" customHeight="1">
      <c r="A398" s="117"/>
      <c r="B398" s="117"/>
    </row>
    <row r="399" spans="1:2" ht="15" customHeight="1">
      <c r="A399" s="117"/>
      <c r="B399" s="117"/>
    </row>
    <row r="400" spans="1:2" ht="15" customHeight="1">
      <c r="A400" s="117"/>
      <c r="B400" s="117"/>
    </row>
    <row r="401" spans="1:2" ht="15" customHeight="1">
      <c r="A401" s="117"/>
      <c r="B401" s="117"/>
    </row>
    <row r="402" spans="1:2" ht="15" customHeight="1">
      <c r="A402" s="117"/>
      <c r="B402" s="117"/>
    </row>
    <row r="403" spans="1:2" ht="15" customHeight="1">
      <c r="A403" s="117"/>
      <c r="B403" s="117"/>
    </row>
    <row r="404" spans="1:2" ht="15" customHeight="1">
      <c r="A404" s="117"/>
      <c r="B404" s="117"/>
    </row>
    <row r="405" spans="1:2" ht="15" customHeight="1">
      <c r="A405" s="117"/>
      <c r="B405" s="117"/>
    </row>
    <row r="406" spans="1:2" ht="15" customHeight="1">
      <c r="A406" s="117"/>
      <c r="B406" s="117"/>
    </row>
    <row r="407" spans="1:2" ht="15" customHeight="1">
      <c r="A407" s="117"/>
      <c r="B407" s="117"/>
    </row>
    <row r="408" spans="1:2" ht="15" customHeight="1">
      <c r="A408" s="117"/>
      <c r="B408" s="117"/>
    </row>
    <row r="409" spans="1:2" ht="15" customHeight="1">
      <c r="A409" s="117"/>
      <c r="B409" s="117"/>
    </row>
    <row r="410" spans="1:2" ht="15" customHeight="1">
      <c r="A410" s="117"/>
      <c r="B410" s="117"/>
    </row>
    <row r="411" spans="1:2" ht="15" customHeight="1">
      <c r="A411" s="117"/>
      <c r="B411" s="117"/>
    </row>
    <row r="412" spans="1:2" ht="15" customHeight="1">
      <c r="A412" s="117"/>
      <c r="B412" s="117"/>
    </row>
    <row r="413" spans="1:2" ht="15" customHeight="1">
      <c r="A413" s="117"/>
      <c r="B413" s="117"/>
    </row>
    <row r="414" spans="1:2" ht="15" customHeight="1">
      <c r="A414" s="117"/>
      <c r="B414" s="117"/>
    </row>
    <row r="415" spans="1:2" ht="15" customHeight="1">
      <c r="A415" s="117"/>
      <c r="B415" s="117"/>
    </row>
    <row r="416" spans="1:2" ht="15" customHeight="1">
      <c r="A416" s="117"/>
      <c r="B416" s="117"/>
    </row>
    <row r="417" spans="1:2" ht="15" customHeight="1">
      <c r="A417" s="117"/>
      <c r="B417" s="117"/>
    </row>
    <row r="418" spans="1:2" ht="15" customHeight="1">
      <c r="A418" s="117"/>
      <c r="B418" s="117"/>
    </row>
    <row r="419" spans="1:2" ht="15" customHeight="1">
      <c r="A419" s="117"/>
      <c r="B419" s="117"/>
    </row>
    <row r="420" spans="1:2" ht="15" customHeight="1">
      <c r="A420" s="117"/>
      <c r="B420" s="117"/>
    </row>
    <row r="421" spans="1:2" ht="15" customHeight="1">
      <c r="A421" s="117"/>
      <c r="B421" s="117"/>
    </row>
    <row r="422" spans="1:2" ht="15" customHeight="1">
      <c r="A422" s="117"/>
      <c r="B422" s="117"/>
    </row>
    <row r="423" spans="1:2" ht="15" customHeight="1">
      <c r="A423" s="117"/>
      <c r="B423" s="117"/>
    </row>
    <row r="424" spans="1:2" ht="15" customHeight="1">
      <c r="A424" s="117"/>
      <c r="B424" s="117"/>
    </row>
    <row r="425" spans="1:2" ht="15" customHeight="1">
      <c r="A425" s="117"/>
      <c r="B425" s="117"/>
    </row>
    <row r="426" spans="1:2" ht="15" customHeight="1">
      <c r="A426" s="117"/>
      <c r="B426" s="117"/>
    </row>
    <row r="427" spans="1:2" ht="15" customHeight="1">
      <c r="A427" s="117"/>
      <c r="B427" s="117"/>
    </row>
    <row r="428" spans="1:2" ht="15" customHeight="1">
      <c r="A428" s="117"/>
      <c r="B428" s="117"/>
    </row>
    <row r="429" spans="1:2" ht="15" customHeight="1">
      <c r="A429" s="117"/>
      <c r="B429" s="117"/>
    </row>
    <row r="430" spans="1:2" ht="15" customHeight="1">
      <c r="A430" s="117"/>
      <c r="B430" s="117"/>
    </row>
    <row r="431" spans="1:2" ht="15" customHeight="1">
      <c r="A431" s="117"/>
      <c r="B431" s="117"/>
    </row>
    <row r="432" spans="1:2" ht="15" customHeight="1">
      <c r="A432" s="117"/>
      <c r="B432" s="117"/>
    </row>
    <row r="433" spans="1:2" ht="15" customHeight="1">
      <c r="A433" s="117"/>
      <c r="B433" s="117"/>
    </row>
    <row r="434" spans="1:2" ht="15" customHeight="1">
      <c r="A434" s="117"/>
      <c r="B434" s="117"/>
    </row>
    <row r="435" spans="1:2" ht="15" customHeight="1">
      <c r="A435" s="117"/>
      <c r="B435" s="117"/>
    </row>
    <row r="436" spans="1:2" ht="15" customHeight="1">
      <c r="A436" s="117"/>
      <c r="B436" s="117"/>
    </row>
    <row r="437" spans="1:2" ht="15" customHeight="1">
      <c r="A437" s="117"/>
      <c r="B437" s="117"/>
    </row>
    <row r="438" spans="1:2" ht="15" customHeight="1">
      <c r="A438" s="117"/>
      <c r="B438" s="117"/>
    </row>
    <row r="439" spans="1:2" ht="15" customHeight="1">
      <c r="A439" s="117"/>
      <c r="B439" s="117"/>
    </row>
    <row r="440" spans="1:2" ht="15" customHeight="1">
      <c r="A440" s="117"/>
      <c r="B440" s="117"/>
    </row>
    <row r="441" spans="1:2" ht="15" customHeight="1">
      <c r="A441" s="117"/>
      <c r="B441" s="117"/>
    </row>
    <row r="442" spans="1:2" ht="15" customHeight="1">
      <c r="A442" s="117"/>
      <c r="B442" s="117"/>
    </row>
    <row r="443" spans="1:2" ht="15" customHeight="1">
      <c r="A443" s="117"/>
      <c r="B443" s="117"/>
    </row>
    <row r="444" spans="1:2" ht="15" customHeight="1">
      <c r="A444" s="117"/>
      <c r="B444" s="117"/>
    </row>
    <row r="445" spans="1:2" ht="15" customHeight="1">
      <c r="A445" s="117"/>
      <c r="B445" s="117"/>
    </row>
    <row r="446" spans="1:2" ht="15" customHeight="1">
      <c r="A446" s="117"/>
      <c r="B446" s="117"/>
    </row>
    <row r="447" spans="1:2" ht="15" customHeight="1">
      <c r="A447" s="117"/>
      <c r="B447" s="117"/>
    </row>
    <row r="448" spans="1:2" ht="15" customHeight="1">
      <c r="A448" s="117"/>
      <c r="B448" s="117"/>
    </row>
    <row r="449" spans="1:2" ht="15" customHeight="1">
      <c r="A449" s="117"/>
      <c r="B449" s="117"/>
    </row>
    <row r="450" spans="1:2" ht="15" customHeight="1">
      <c r="A450" s="117"/>
      <c r="B450" s="117"/>
    </row>
    <row r="451" spans="1:2" ht="15" customHeight="1">
      <c r="A451" s="117"/>
      <c r="B451" s="117"/>
    </row>
    <row r="452" spans="1:2" ht="15" customHeight="1">
      <c r="A452" s="117"/>
      <c r="B452" s="117"/>
    </row>
    <row r="453" spans="1:2" ht="15" customHeight="1">
      <c r="A453" s="117"/>
      <c r="B453" s="117"/>
    </row>
    <row r="454" spans="1:2" ht="15" customHeight="1">
      <c r="A454" s="117"/>
      <c r="B454" s="117"/>
    </row>
    <row r="455" spans="1:2" ht="15" customHeight="1">
      <c r="A455" s="117"/>
      <c r="B455" s="117"/>
    </row>
    <row r="456" spans="1:2" ht="15" customHeight="1">
      <c r="A456" s="117"/>
      <c r="B456" s="117"/>
    </row>
    <row r="457" spans="1:2" ht="15" customHeight="1">
      <c r="A457" s="117"/>
      <c r="B457" s="117"/>
    </row>
    <row r="458" spans="1:2" ht="15" customHeight="1">
      <c r="A458" s="117"/>
      <c r="B458" s="117"/>
    </row>
    <row r="459" spans="1:2" ht="15" customHeight="1">
      <c r="A459" s="117"/>
      <c r="B459" s="117"/>
    </row>
    <row r="460" spans="1:2" ht="15" customHeight="1">
      <c r="A460" s="117"/>
      <c r="B460" s="117"/>
    </row>
    <row r="461" spans="1:2" ht="15" customHeight="1">
      <c r="A461" s="117"/>
      <c r="B461" s="117"/>
    </row>
    <row r="462" spans="1:2" ht="15" customHeight="1">
      <c r="A462" s="117"/>
      <c r="B462" s="117"/>
    </row>
    <row r="463" spans="1:2" ht="15" customHeight="1">
      <c r="A463" s="117"/>
      <c r="B463" s="117"/>
    </row>
    <row r="464" spans="1:2" ht="15" customHeight="1">
      <c r="A464" s="117"/>
      <c r="B464" s="117"/>
    </row>
    <row r="465" spans="1:2" ht="15" customHeight="1">
      <c r="A465" s="117"/>
      <c r="B465" s="117"/>
    </row>
    <row r="466" spans="1:2" ht="15" customHeight="1">
      <c r="A466" s="117"/>
      <c r="B466" s="117"/>
    </row>
    <row r="467" spans="1:2" ht="15" customHeight="1">
      <c r="A467" s="117"/>
      <c r="B467" s="117"/>
    </row>
    <row r="468" spans="1:2" ht="15" customHeight="1">
      <c r="A468" s="117"/>
      <c r="B468" s="117"/>
    </row>
    <row r="469" spans="1:2" ht="15" customHeight="1">
      <c r="A469" s="117"/>
      <c r="B469" s="117"/>
    </row>
    <row r="470" spans="1:2" ht="15" customHeight="1">
      <c r="A470" s="117"/>
      <c r="B470" s="117"/>
    </row>
    <row r="471" spans="1:2" ht="15" customHeight="1">
      <c r="A471" s="117"/>
      <c r="B471" s="117"/>
    </row>
    <row r="472" spans="1:2" ht="15" customHeight="1">
      <c r="A472" s="117"/>
      <c r="B472" s="117"/>
    </row>
    <row r="473" spans="1:2" ht="15" customHeight="1">
      <c r="A473" s="117"/>
      <c r="B473" s="117"/>
    </row>
    <row r="474" spans="1:2" ht="15" customHeight="1">
      <c r="A474" s="117"/>
      <c r="B474" s="117"/>
    </row>
    <row r="475" spans="1:2" ht="15" customHeight="1">
      <c r="A475" s="117"/>
      <c r="B475" s="117"/>
    </row>
    <row r="476" spans="1:2" ht="15" customHeight="1">
      <c r="A476" s="117"/>
      <c r="B476" s="117"/>
    </row>
    <row r="477" spans="1:2" ht="15" customHeight="1">
      <c r="A477" s="117"/>
      <c r="B477" s="117"/>
    </row>
    <row r="478" spans="1:2" ht="15" customHeight="1">
      <c r="A478" s="117"/>
      <c r="B478" s="117"/>
    </row>
    <row r="479" spans="1:2" ht="15" customHeight="1">
      <c r="A479" s="117"/>
      <c r="B479" s="117"/>
    </row>
    <row r="480" spans="1:2" ht="15" customHeight="1">
      <c r="A480" s="117"/>
      <c r="B480" s="117"/>
    </row>
    <row r="481" spans="1:2" ht="15" customHeight="1">
      <c r="A481" s="117"/>
      <c r="B481" s="117"/>
    </row>
    <row r="482" spans="1:2" ht="15" customHeight="1">
      <c r="A482" s="117"/>
      <c r="B482" s="117"/>
    </row>
    <row r="483" spans="1:2" ht="15" customHeight="1">
      <c r="A483" s="117"/>
      <c r="B483" s="117"/>
    </row>
    <row r="484" spans="1:2" ht="15" customHeight="1">
      <c r="A484" s="117"/>
      <c r="B484" s="117"/>
    </row>
    <row r="485" spans="1:2" ht="15" customHeight="1">
      <c r="A485" s="117"/>
      <c r="B485" s="117"/>
    </row>
    <row r="486" spans="1:2" ht="15" customHeight="1">
      <c r="A486" s="117"/>
      <c r="B486" s="117"/>
    </row>
    <row r="487" spans="1:2" ht="15" customHeight="1">
      <c r="A487" s="117"/>
      <c r="B487" s="117"/>
    </row>
    <row r="488" spans="1:2" ht="15" customHeight="1">
      <c r="A488" s="117"/>
      <c r="B488" s="117"/>
    </row>
    <row r="489" spans="1:2" ht="15" customHeight="1">
      <c r="A489" s="117"/>
      <c r="B489" s="117"/>
    </row>
    <row r="490" spans="1:2" ht="15" customHeight="1">
      <c r="A490" s="117"/>
      <c r="B490" s="117"/>
    </row>
    <row r="491" spans="1:2" ht="15" customHeight="1">
      <c r="A491" s="117"/>
      <c r="B491" s="117"/>
    </row>
    <row r="492" spans="1:2" ht="15" customHeight="1">
      <c r="A492" s="117"/>
      <c r="B492" s="117"/>
    </row>
    <row r="493" spans="1:2" ht="15" customHeight="1">
      <c r="A493" s="117"/>
      <c r="B493" s="117"/>
    </row>
    <row r="494" spans="1:2" ht="15" customHeight="1">
      <c r="A494" s="117"/>
      <c r="B494" s="117"/>
    </row>
    <row r="495" spans="1:2" ht="15" customHeight="1">
      <c r="A495" s="117"/>
      <c r="B495" s="117"/>
    </row>
    <row r="496" spans="1:2" ht="15" customHeight="1">
      <c r="A496" s="117"/>
      <c r="B496" s="117"/>
    </row>
    <row r="497" spans="1:2" ht="15" customHeight="1">
      <c r="A497" s="117"/>
      <c r="B497" s="117"/>
    </row>
    <row r="498" spans="1:2" ht="15" customHeight="1">
      <c r="A498" s="117"/>
      <c r="B498" s="117"/>
    </row>
    <row r="499" spans="1:2" ht="15" customHeight="1">
      <c r="A499" s="117"/>
      <c r="B499" s="117"/>
    </row>
    <row r="500" spans="1:2" ht="15" customHeight="1">
      <c r="A500" s="117"/>
      <c r="B500" s="117"/>
    </row>
    <row r="501" spans="1:2" ht="15" customHeight="1">
      <c r="A501" s="117"/>
      <c r="B501" s="117"/>
    </row>
    <row r="502" spans="1:2" ht="15" customHeight="1">
      <c r="A502" s="117"/>
      <c r="B502" s="117"/>
    </row>
    <row r="503" spans="1:2" ht="15" customHeight="1">
      <c r="A503" s="117"/>
      <c r="B503" s="117"/>
    </row>
    <row r="504" spans="1:2" ht="15" customHeight="1">
      <c r="A504" s="117"/>
      <c r="B504" s="117"/>
    </row>
    <row r="505" spans="1:2" ht="15" customHeight="1">
      <c r="A505" s="117"/>
      <c r="B505" s="117"/>
    </row>
    <row r="506" spans="1:2" ht="15" customHeight="1">
      <c r="A506" s="117"/>
      <c r="B506" s="117"/>
    </row>
    <row r="507" spans="1:2" ht="15" customHeight="1">
      <c r="A507" s="117"/>
      <c r="B507" s="117"/>
    </row>
    <row r="508" spans="1:2" ht="15" customHeight="1">
      <c r="A508" s="117"/>
      <c r="B508" s="117"/>
    </row>
    <row r="509" spans="1:2" ht="15" customHeight="1">
      <c r="A509" s="117"/>
      <c r="B509" s="117"/>
    </row>
    <row r="510" spans="1:2" ht="15" customHeight="1">
      <c r="A510" s="117"/>
      <c r="B510" s="117"/>
    </row>
    <row r="511" spans="1:2" ht="15" customHeight="1">
      <c r="A511" s="117"/>
      <c r="B511" s="117"/>
    </row>
    <row r="512" spans="1:2" ht="15" customHeight="1">
      <c r="A512" s="117"/>
      <c r="B512" s="117"/>
    </row>
    <row r="513" spans="1:2" ht="15" customHeight="1">
      <c r="A513" s="117"/>
      <c r="B513" s="117"/>
    </row>
    <row r="514" spans="1:2" ht="15" customHeight="1">
      <c r="A514" s="117"/>
      <c r="B514" s="117"/>
    </row>
    <row r="515" spans="1:2" ht="15" customHeight="1">
      <c r="A515" s="117"/>
      <c r="B515" s="117"/>
    </row>
    <row r="516" spans="1:2" ht="15" customHeight="1">
      <c r="A516" s="117"/>
      <c r="B516" s="117"/>
    </row>
    <row r="517" spans="1:2" ht="15" customHeight="1">
      <c r="A517" s="117"/>
      <c r="B517" s="117"/>
    </row>
    <row r="518" spans="1:2" ht="15" customHeight="1">
      <c r="A518" s="117"/>
      <c r="B518" s="117"/>
    </row>
    <row r="519" spans="1:2" ht="15" customHeight="1">
      <c r="A519" s="117"/>
      <c r="B519" s="117"/>
    </row>
    <row r="520" spans="1:2" ht="15" customHeight="1">
      <c r="A520" s="117"/>
      <c r="B520" s="117"/>
    </row>
    <row r="521" spans="1:2" ht="15" customHeight="1">
      <c r="A521" s="117"/>
      <c r="B521" s="117"/>
    </row>
    <row r="522" spans="1:2" ht="15" customHeight="1">
      <c r="A522" s="117"/>
      <c r="B522" s="117"/>
    </row>
    <row r="523" spans="1:2" ht="15" customHeight="1">
      <c r="A523" s="117"/>
      <c r="B523" s="117"/>
    </row>
    <row r="524" spans="1:2" ht="15" customHeight="1">
      <c r="A524" s="117"/>
      <c r="B524" s="117"/>
    </row>
    <row r="525" spans="1:2" ht="15" customHeight="1">
      <c r="A525" s="117"/>
      <c r="B525" s="117"/>
    </row>
    <row r="526" spans="1:2" ht="15" customHeight="1">
      <c r="A526" s="117"/>
      <c r="B526" s="117"/>
    </row>
    <row r="527" spans="1:2" ht="15" customHeight="1">
      <c r="A527" s="117"/>
      <c r="B527" s="117"/>
    </row>
    <row r="528" spans="1:2" ht="15" customHeight="1">
      <c r="A528" s="117"/>
      <c r="B528" s="117"/>
    </row>
    <row r="529" spans="1:2" ht="15" customHeight="1">
      <c r="A529" s="117"/>
      <c r="B529" s="117"/>
    </row>
    <row r="530" spans="1:2" ht="15" customHeight="1">
      <c r="A530" s="117"/>
      <c r="B530" s="117"/>
    </row>
    <row r="531" spans="1:2" ht="15" customHeight="1">
      <c r="A531" s="117"/>
      <c r="B531" s="117"/>
    </row>
    <row r="532" spans="1:2" ht="15" customHeight="1">
      <c r="A532" s="117"/>
      <c r="B532" s="117"/>
    </row>
    <row r="533" spans="1:2" ht="15" customHeight="1">
      <c r="A533" s="117"/>
      <c r="B533" s="117"/>
    </row>
    <row r="534" spans="1:2" ht="15" customHeight="1">
      <c r="A534" s="117"/>
      <c r="B534" s="117"/>
    </row>
    <row r="535" spans="1:2" ht="15" customHeight="1">
      <c r="A535" s="117"/>
      <c r="B535" s="117"/>
    </row>
    <row r="536" spans="1:2" ht="15" customHeight="1">
      <c r="A536" s="117"/>
      <c r="B536" s="117"/>
    </row>
    <row r="537" spans="1:2" ht="15" customHeight="1">
      <c r="A537" s="117"/>
      <c r="B537" s="117"/>
    </row>
    <row r="538" spans="1:2" ht="15" customHeight="1">
      <c r="A538" s="117"/>
      <c r="B538" s="117"/>
    </row>
    <row r="539" spans="1:2" ht="15" customHeight="1">
      <c r="A539" s="117"/>
      <c r="B539" s="117"/>
    </row>
    <row r="540" spans="1:2" ht="15" customHeight="1">
      <c r="A540" s="117"/>
      <c r="B540" s="117"/>
    </row>
    <row r="541" spans="1:2" ht="15" customHeight="1">
      <c r="A541" s="117"/>
      <c r="B541" s="117"/>
    </row>
    <row r="542" spans="1:2" ht="15" customHeight="1">
      <c r="A542" s="117"/>
      <c r="B542" s="117"/>
    </row>
    <row r="543" spans="1:2" ht="15" customHeight="1">
      <c r="A543" s="117"/>
      <c r="B543" s="117"/>
    </row>
    <row r="544" spans="1:2" ht="15" customHeight="1">
      <c r="A544" s="117"/>
      <c r="B544" s="117"/>
    </row>
    <row r="545" spans="1:2" ht="15" customHeight="1">
      <c r="A545" s="117"/>
      <c r="B545" s="117"/>
    </row>
    <row r="546" spans="1:2" ht="15" customHeight="1">
      <c r="A546" s="117"/>
      <c r="B546" s="117"/>
    </row>
    <row r="547" spans="1:2" ht="15" customHeight="1">
      <c r="A547" s="117"/>
      <c r="B547" s="117"/>
    </row>
    <row r="548" spans="1:2" ht="15" customHeight="1">
      <c r="A548" s="117"/>
      <c r="B548" s="117"/>
    </row>
    <row r="549" spans="1:2" ht="15" customHeight="1">
      <c r="A549" s="117"/>
      <c r="B549" s="117"/>
    </row>
    <row r="550" spans="1:2" ht="15" customHeight="1">
      <c r="A550" s="117"/>
      <c r="B550" s="117"/>
    </row>
    <row r="551" spans="1:2" ht="15" customHeight="1">
      <c r="A551" s="117"/>
      <c r="B551" s="117"/>
    </row>
    <row r="552" spans="1:2" ht="15" customHeight="1">
      <c r="A552" s="117"/>
      <c r="B552" s="117"/>
    </row>
    <row r="553" spans="1:2" ht="15" customHeight="1">
      <c r="A553" s="117"/>
      <c r="B553" s="117"/>
    </row>
    <row r="554" spans="1:2" ht="15" customHeight="1">
      <c r="A554" s="117"/>
      <c r="B554" s="117"/>
    </row>
    <row r="555" spans="1:2" ht="15" customHeight="1">
      <c r="A555" s="117"/>
      <c r="B555" s="117"/>
    </row>
    <row r="556" spans="1:2" ht="15" customHeight="1">
      <c r="A556" s="117"/>
      <c r="B556" s="117"/>
    </row>
    <row r="557" spans="1:2" ht="15" customHeight="1">
      <c r="A557" s="117"/>
      <c r="B557" s="117"/>
    </row>
    <row r="558" spans="1:2" ht="15" customHeight="1">
      <c r="A558" s="117"/>
      <c r="B558" s="117"/>
    </row>
    <row r="559" spans="1:2" ht="15" customHeight="1">
      <c r="A559" s="117"/>
      <c r="B559" s="117"/>
    </row>
    <row r="560" spans="1:2" ht="15" customHeight="1">
      <c r="A560" s="117"/>
      <c r="B560" s="117"/>
    </row>
    <row r="561" spans="1:2" ht="15" customHeight="1">
      <c r="A561" s="117"/>
      <c r="B561" s="117"/>
    </row>
    <row r="562" spans="1:2" ht="15" customHeight="1">
      <c r="A562" s="117"/>
      <c r="B562" s="117"/>
    </row>
    <row r="563" spans="1:2" ht="15" customHeight="1">
      <c r="A563" s="117"/>
      <c r="B563" s="117"/>
    </row>
    <row r="564" spans="1:2" ht="15" customHeight="1">
      <c r="A564" s="117"/>
      <c r="B564" s="117"/>
    </row>
    <row r="565" spans="1:2" ht="15" customHeight="1">
      <c r="A565" s="117"/>
      <c r="B565" s="117"/>
    </row>
    <row r="566" spans="1:2" ht="15" customHeight="1">
      <c r="A566" s="117"/>
      <c r="B566" s="117"/>
    </row>
    <row r="567" spans="1:2" ht="15" customHeight="1">
      <c r="A567" s="117"/>
      <c r="B567" s="117"/>
    </row>
    <row r="568" spans="1:2" ht="15" customHeight="1">
      <c r="A568" s="117"/>
      <c r="B568" s="117"/>
    </row>
    <row r="569" spans="1:2" ht="15" customHeight="1">
      <c r="A569" s="117"/>
      <c r="B569" s="117"/>
    </row>
    <row r="570" spans="1:2" ht="15" customHeight="1">
      <c r="A570" s="117"/>
      <c r="B570" s="117"/>
    </row>
    <row r="571" spans="1:2" ht="15" customHeight="1">
      <c r="A571" s="117"/>
      <c r="B571" s="117"/>
    </row>
    <row r="572" spans="1:2" ht="15" customHeight="1">
      <c r="A572" s="117"/>
      <c r="B572" s="117"/>
    </row>
    <row r="573" spans="1:2" ht="15" customHeight="1">
      <c r="A573" s="117"/>
      <c r="B573" s="117"/>
    </row>
    <row r="574" spans="1:2" ht="15" customHeight="1">
      <c r="A574" s="117"/>
      <c r="B574" s="117"/>
    </row>
    <row r="575" spans="1:2" ht="15" customHeight="1">
      <c r="A575" s="117"/>
      <c r="B575" s="117"/>
    </row>
    <row r="576" spans="1:2" ht="15" customHeight="1">
      <c r="A576" s="117"/>
      <c r="B576" s="117"/>
    </row>
    <row r="577" spans="1:2" ht="15" customHeight="1">
      <c r="A577" s="117"/>
      <c r="B577" s="117"/>
    </row>
    <row r="578" spans="1:2" ht="15" customHeight="1">
      <c r="A578" s="117"/>
      <c r="B578" s="117"/>
    </row>
    <row r="579" spans="1:2" ht="15" customHeight="1">
      <c r="A579" s="117"/>
      <c r="B579" s="117"/>
    </row>
    <row r="580" spans="1:2" ht="15" customHeight="1">
      <c r="A580" s="117"/>
      <c r="B580" s="117"/>
    </row>
    <row r="581" spans="1:2" ht="15" customHeight="1">
      <c r="A581" s="117"/>
      <c r="B581" s="117"/>
    </row>
    <row r="582" spans="1:2" ht="15" customHeight="1">
      <c r="A582" s="117"/>
      <c r="B582" s="117"/>
    </row>
    <row r="583" spans="1:2" ht="15" customHeight="1">
      <c r="A583" s="117"/>
      <c r="B583" s="117"/>
    </row>
    <row r="584" spans="1:2" ht="15" customHeight="1">
      <c r="A584" s="117"/>
      <c r="B584" s="117"/>
    </row>
    <row r="585" spans="1:2" ht="15" customHeight="1">
      <c r="A585" s="117"/>
      <c r="B585" s="117"/>
    </row>
    <row r="586" spans="1:2" ht="15" customHeight="1">
      <c r="A586" s="117"/>
      <c r="B586" s="117"/>
    </row>
    <row r="587" spans="1:2" ht="15" customHeight="1">
      <c r="A587" s="117"/>
      <c r="B587" s="117"/>
    </row>
    <row r="588" spans="1:2" ht="15" customHeight="1">
      <c r="A588" s="117"/>
      <c r="B588" s="117"/>
    </row>
    <row r="589" spans="1:2" ht="15" customHeight="1">
      <c r="A589" s="117"/>
      <c r="B589" s="117"/>
    </row>
    <row r="590" spans="1:2" ht="15" customHeight="1">
      <c r="A590" s="117"/>
      <c r="B590" s="117"/>
    </row>
    <row r="591" spans="1:2" ht="15" customHeight="1">
      <c r="A591" s="117"/>
      <c r="B591" s="117"/>
    </row>
    <row r="592" spans="1:2" ht="15" customHeight="1">
      <c r="A592" s="117"/>
      <c r="B592" s="117"/>
    </row>
    <row r="593" spans="1:2" ht="15" customHeight="1">
      <c r="A593" s="117"/>
      <c r="B593" s="117"/>
    </row>
    <row r="594" spans="1:2" ht="15" customHeight="1">
      <c r="A594" s="117"/>
      <c r="B594" s="117"/>
    </row>
    <row r="595" spans="1:2" ht="15" customHeight="1">
      <c r="A595" s="117"/>
      <c r="B595" s="117"/>
    </row>
    <row r="596" spans="1:2" ht="15" customHeight="1">
      <c r="A596" s="117"/>
      <c r="B596" s="117"/>
    </row>
    <row r="597" spans="1:2" ht="15" customHeight="1">
      <c r="A597" s="117"/>
      <c r="B597" s="117"/>
    </row>
    <row r="598" spans="1:2" ht="15" customHeight="1">
      <c r="A598" s="117"/>
      <c r="B598" s="117"/>
    </row>
    <row r="599" spans="1:2" ht="15" customHeight="1">
      <c r="A599" s="117"/>
      <c r="B599" s="117"/>
    </row>
    <row r="600" spans="1:2" ht="15" customHeight="1">
      <c r="A600" s="117"/>
      <c r="B600" s="117"/>
    </row>
    <row r="601" spans="1:2" ht="15" customHeight="1">
      <c r="A601" s="117"/>
      <c r="B601" s="117"/>
    </row>
    <row r="602" spans="1:2" ht="15" customHeight="1">
      <c r="A602" s="117"/>
      <c r="B602" s="117"/>
    </row>
    <row r="603" spans="1:2" ht="15" customHeight="1">
      <c r="A603" s="117"/>
      <c r="B603" s="117"/>
    </row>
    <row r="604" spans="1:2" ht="15" customHeight="1">
      <c r="A604" s="117"/>
      <c r="B604" s="117"/>
    </row>
    <row r="605" spans="1:2" ht="15" customHeight="1">
      <c r="A605" s="117"/>
      <c r="B605" s="117"/>
    </row>
    <row r="606" spans="1:2" ht="15" customHeight="1">
      <c r="A606" s="117"/>
      <c r="B606" s="117"/>
    </row>
    <row r="607" spans="1:2" ht="15" customHeight="1">
      <c r="A607" s="117"/>
      <c r="B607" s="117"/>
    </row>
    <row r="608" spans="1:2" ht="15" customHeight="1">
      <c r="A608" s="117"/>
      <c r="B608" s="117"/>
    </row>
    <row r="609" spans="1:2" ht="15" customHeight="1">
      <c r="A609" s="117"/>
      <c r="B609" s="117"/>
    </row>
    <row r="610" spans="1:2" ht="15" customHeight="1">
      <c r="A610" s="117"/>
      <c r="B610" s="117"/>
    </row>
    <row r="611" spans="1:2" ht="15" customHeight="1">
      <c r="A611" s="117"/>
      <c r="B611" s="117"/>
    </row>
    <row r="612" spans="1:2" ht="15" customHeight="1">
      <c r="A612" s="117"/>
      <c r="B612" s="117"/>
    </row>
    <row r="613" spans="1:2" ht="15" customHeight="1">
      <c r="A613" s="117"/>
      <c r="B613" s="117"/>
    </row>
    <row r="614" spans="1:2" ht="15" customHeight="1">
      <c r="A614" s="117"/>
      <c r="B614" s="117"/>
    </row>
    <row r="615" spans="1:2" ht="15" customHeight="1">
      <c r="A615" s="117"/>
      <c r="B615" s="117"/>
    </row>
    <row r="616" spans="1:2" ht="15" customHeight="1">
      <c r="A616" s="117"/>
      <c r="B616" s="117"/>
    </row>
    <row r="617" spans="1:2" ht="15" customHeight="1">
      <c r="A617" s="117"/>
      <c r="B617" s="117"/>
    </row>
    <row r="618" spans="1:2" ht="15" customHeight="1">
      <c r="A618" s="117"/>
      <c r="B618" s="117"/>
    </row>
    <row r="619" spans="1:2" ht="15" customHeight="1">
      <c r="A619" s="117"/>
      <c r="B619" s="117"/>
    </row>
    <row r="620" spans="1:2" ht="15" customHeight="1">
      <c r="A620" s="117"/>
      <c r="B620" s="117"/>
    </row>
    <row r="621" spans="1:2" ht="15" customHeight="1">
      <c r="A621" s="117"/>
      <c r="B621" s="117"/>
    </row>
    <row r="622" spans="1:2" ht="15" customHeight="1">
      <c r="A622" s="117"/>
      <c r="B622" s="117"/>
    </row>
    <row r="623" spans="1:2" ht="15" customHeight="1">
      <c r="A623" s="117"/>
      <c r="B623" s="117"/>
    </row>
    <row r="624" spans="1:2" ht="15" customHeight="1">
      <c r="A624" s="117"/>
      <c r="B624" s="117"/>
    </row>
    <row r="625" spans="1:2" ht="15" customHeight="1">
      <c r="A625" s="117"/>
      <c r="B625" s="117"/>
    </row>
    <row r="626" spans="1:2" ht="15" customHeight="1">
      <c r="A626" s="117"/>
      <c r="B626" s="117"/>
    </row>
    <row r="627" spans="1:2" ht="15" customHeight="1">
      <c r="A627" s="117"/>
      <c r="B627" s="117"/>
    </row>
    <row r="628" spans="1:2" ht="15" customHeight="1">
      <c r="A628" s="117"/>
      <c r="B628" s="117"/>
    </row>
    <row r="629" spans="1:2" ht="15" customHeight="1">
      <c r="A629" s="117"/>
      <c r="B629" s="117"/>
    </row>
    <row r="630" spans="1:2" ht="15" customHeight="1">
      <c r="A630" s="117"/>
      <c r="B630" s="117"/>
    </row>
    <row r="631" spans="1:2" ht="15" customHeight="1">
      <c r="A631" s="117"/>
      <c r="B631" s="117"/>
    </row>
    <row r="632" spans="1:2" ht="15" customHeight="1">
      <c r="A632" s="117"/>
      <c r="B632" s="117"/>
    </row>
    <row r="633" spans="1:2" ht="15" customHeight="1">
      <c r="A633" s="117"/>
      <c r="B633" s="117"/>
    </row>
    <row r="634" spans="1:2" ht="15" customHeight="1">
      <c r="A634" s="117"/>
      <c r="B634" s="117"/>
    </row>
    <row r="635" spans="1:2" ht="15" customHeight="1">
      <c r="A635" s="117"/>
      <c r="B635" s="117"/>
    </row>
    <row r="636" spans="1:2" ht="15" customHeight="1">
      <c r="A636" s="117"/>
      <c r="B636" s="117"/>
    </row>
    <row r="637" spans="1:2" ht="15" customHeight="1">
      <c r="A637" s="117"/>
      <c r="B637" s="117"/>
    </row>
    <row r="638" spans="1:2" ht="15" customHeight="1">
      <c r="A638" s="117"/>
      <c r="B638" s="117"/>
    </row>
    <row r="639" spans="1:2" ht="15" customHeight="1">
      <c r="A639" s="117"/>
      <c r="B639" s="117"/>
    </row>
    <row r="640" spans="1:2" ht="15" customHeight="1">
      <c r="A640" s="117"/>
      <c r="B640" s="117"/>
    </row>
    <row r="641" spans="1:2" ht="15" customHeight="1">
      <c r="A641" s="117"/>
      <c r="B641" s="117"/>
    </row>
    <row r="642" spans="1:2" ht="15" customHeight="1">
      <c r="A642" s="117"/>
      <c r="B642" s="117"/>
    </row>
    <row r="643" spans="1:2" ht="15" customHeight="1">
      <c r="A643" s="117"/>
      <c r="B643" s="117"/>
    </row>
    <row r="644" spans="1:2" ht="15" customHeight="1">
      <c r="A644" s="117"/>
      <c r="B644" s="117"/>
    </row>
    <row r="645" spans="1:2" ht="15" customHeight="1">
      <c r="A645" s="117"/>
      <c r="B645" s="117"/>
    </row>
    <row r="646" spans="1:2" ht="15" customHeight="1">
      <c r="A646" s="117"/>
      <c r="B646" s="117"/>
    </row>
    <row r="647" spans="1:2" ht="15" customHeight="1">
      <c r="A647" s="117"/>
      <c r="B647" s="117"/>
    </row>
    <row r="648" spans="1:2" ht="15" customHeight="1">
      <c r="A648" s="117"/>
      <c r="B648" s="117"/>
    </row>
    <row r="649" spans="1:2" ht="15" customHeight="1">
      <c r="A649" s="117"/>
      <c r="B649" s="117"/>
    </row>
    <row r="650" spans="1:2" ht="15" customHeight="1">
      <c r="A650" s="117"/>
      <c r="B650" s="117"/>
    </row>
    <row r="651" spans="1:2" ht="15" customHeight="1">
      <c r="A651" s="117"/>
      <c r="B651" s="117"/>
    </row>
    <row r="652" spans="1:2" ht="15" customHeight="1">
      <c r="A652" s="117"/>
      <c r="B652" s="117"/>
    </row>
    <row r="653" spans="1:2" ht="15" customHeight="1">
      <c r="A653" s="117"/>
      <c r="B653" s="117"/>
    </row>
    <row r="654" spans="1:2" ht="15" customHeight="1">
      <c r="A654" s="117"/>
      <c r="B654" s="117"/>
    </row>
    <row r="655" spans="1:2" ht="15" customHeight="1">
      <c r="A655" s="117"/>
      <c r="B655" s="117"/>
    </row>
    <row r="656" spans="1:2" ht="15" customHeight="1">
      <c r="A656" s="117"/>
      <c r="B656" s="117"/>
    </row>
    <row r="657" spans="1:2" ht="15" customHeight="1">
      <c r="A657" s="117"/>
      <c r="B657" s="117"/>
    </row>
    <row r="658" spans="1:2" ht="15" customHeight="1">
      <c r="A658" s="117"/>
      <c r="B658" s="117"/>
    </row>
    <row r="659" spans="1:2" ht="15" customHeight="1">
      <c r="A659" s="117"/>
      <c r="B659" s="117"/>
    </row>
    <row r="660" spans="1:2" ht="15" customHeight="1">
      <c r="A660" s="117"/>
      <c r="B660" s="117"/>
    </row>
    <row r="661" spans="1:2" ht="15" customHeight="1">
      <c r="A661" s="117"/>
      <c r="B661" s="117"/>
    </row>
    <row r="662" spans="1:2" ht="15" customHeight="1">
      <c r="A662" s="117"/>
      <c r="B662" s="117"/>
    </row>
    <row r="663" spans="1:2" ht="15" customHeight="1">
      <c r="A663" s="117"/>
      <c r="B663" s="117"/>
    </row>
    <row r="664" spans="1:2" ht="15" customHeight="1">
      <c r="A664" s="117"/>
      <c r="B664" s="117"/>
    </row>
    <row r="665" spans="1:2" ht="15" customHeight="1">
      <c r="A665" s="117"/>
      <c r="B665" s="117"/>
    </row>
    <row r="666" spans="1:2" ht="15" customHeight="1">
      <c r="A666" s="117"/>
      <c r="B666" s="117"/>
    </row>
    <row r="667" spans="1:2" ht="15" customHeight="1">
      <c r="A667" s="117"/>
      <c r="B667" s="117"/>
    </row>
    <row r="668" spans="1:2" ht="15" customHeight="1">
      <c r="A668" s="117"/>
      <c r="B668" s="117"/>
    </row>
    <row r="669" spans="1:2" ht="15" customHeight="1">
      <c r="A669" s="117"/>
      <c r="B669" s="117"/>
    </row>
    <row r="670" spans="1:2" ht="15" customHeight="1">
      <c r="A670" s="117"/>
      <c r="B670" s="117"/>
    </row>
    <row r="671" spans="1:2" ht="15" customHeight="1">
      <c r="A671" s="117"/>
      <c r="B671" s="117"/>
    </row>
    <row r="672" spans="1:2" ht="15" customHeight="1">
      <c r="A672" s="117"/>
      <c r="B672" s="117"/>
    </row>
    <row r="673" spans="1:2" ht="15" customHeight="1">
      <c r="A673" s="117"/>
      <c r="B673" s="117"/>
    </row>
    <row r="674" spans="1:2" ht="15" customHeight="1">
      <c r="A674" s="117"/>
      <c r="B674" s="117"/>
    </row>
    <row r="675" spans="1:2" ht="15" customHeight="1">
      <c r="A675" s="117"/>
      <c r="B675" s="117"/>
    </row>
    <row r="676" spans="1:2" ht="15" customHeight="1">
      <c r="A676" s="117"/>
      <c r="B676" s="117"/>
    </row>
    <row r="677" spans="1:2" ht="15" customHeight="1">
      <c r="A677" s="117"/>
      <c r="B677" s="117"/>
    </row>
    <row r="678" spans="1:2" ht="15" customHeight="1">
      <c r="A678" s="117"/>
      <c r="B678" s="117"/>
    </row>
    <row r="679" spans="1:2" ht="15" customHeight="1">
      <c r="A679" s="117"/>
      <c r="B679" s="117"/>
    </row>
    <row r="680" spans="1:2" ht="15" customHeight="1">
      <c r="A680" s="117"/>
      <c r="B680" s="117"/>
    </row>
    <row r="681" spans="1:2" ht="15" customHeight="1">
      <c r="A681" s="117"/>
      <c r="B681" s="117"/>
    </row>
    <row r="682" spans="1:2" ht="15" customHeight="1">
      <c r="A682" s="117"/>
      <c r="B682" s="117"/>
    </row>
    <row r="683" spans="1:2" ht="15" customHeight="1">
      <c r="A683" s="117"/>
      <c r="B683" s="117"/>
    </row>
    <row r="684" spans="1:2" ht="15" customHeight="1">
      <c r="A684" s="117"/>
      <c r="B684" s="117"/>
    </row>
    <row r="685" spans="1:2" ht="15" customHeight="1">
      <c r="A685" s="117"/>
      <c r="B685" s="117"/>
    </row>
    <row r="686" spans="1:2" ht="15" customHeight="1">
      <c r="A686" s="117"/>
      <c r="B686" s="117"/>
    </row>
    <row r="687" spans="1:2" ht="15" customHeight="1">
      <c r="A687" s="117"/>
      <c r="B687" s="117"/>
    </row>
    <row r="688" spans="1:2" ht="15" customHeight="1">
      <c r="A688" s="117"/>
      <c r="B688" s="117"/>
    </row>
    <row r="689" spans="1:2" ht="15" customHeight="1">
      <c r="A689" s="117"/>
      <c r="B689" s="117"/>
    </row>
    <row r="690" spans="1:2" ht="15" customHeight="1">
      <c r="A690" s="117"/>
      <c r="B690" s="117"/>
    </row>
    <row r="691" spans="1:2" ht="15" customHeight="1">
      <c r="A691" s="117"/>
      <c r="B691" s="117"/>
    </row>
    <row r="692" spans="1:2" ht="15" customHeight="1">
      <c r="A692" s="117"/>
      <c r="B692" s="117"/>
    </row>
    <row r="693" spans="1:2" ht="15" customHeight="1">
      <c r="A693" s="117"/>
      <c r="B693" s="117"/>
    </row>
    <row r="694" spans="1:2" ht="15" customHeight="1">
      <c r="A694" s="117"/>
      <c r="B694" s="117"/>
    </row>
    <row r="695" spans="1:2" ht="15" customHeight="1">
      <c r="A695" s="117"/>
      <c r="B695" s="117"/>
    </row>
    <row r="696" spans="1:2" ht="15" customHeight="1">
      <c r="A696" s="117"/>
      <c r="B696" s="117"/>
    </row>
    <row r="697" spans="1:2" ht="15" customHeight="1">
      <c r="A697" s="117"/>
      <c r="B697" s="117"/>
    </row>
    <row r="698" spans="1:2" ht="15" customHeight="1">
      <c r="A698" s="117"/>
      <c r="B698" s="117"/>
    </row>
    <row r="699" spans="1:2" ht="15" customHeight="1">
      <c r="A699" s="117"/>
      <c r="B699" s="117"/>
    </row>
    <row r="700" spans="1:2" ht="15" customHeight="1">
      <c r="A700" s="117"/>
      <c r="B700" s="117"/>
    </row>
    <row r="701" spans="1:2" ht="15" customHeight="1">
      <c r="A701" s="117"/>
      <c r="B701" s="117"/>
    </row>
    <row r="702" spans="1:2" ht="15" customHeight="1">
      <c r="A702" s="117"/>
      <c r="B702" s="117"/>
    </row>
    <row r="703" spans="1:2" ht="15" customHeight="1">
      <c r="A703" s="117"/>
      <c r="B703" s="117"/>
    </row>
    <row r="704" spans="1:2" ht="15" customHeight="1">
      <c r="A704" s="117"/>
      <c r="B704" s="117"/>
    </row>
    <row r="705" spans="1:2" ht="15" customHeight="1">
      <c r="A705" s="117"/>
      <c r="B705" s="117"/>
    </row>
    <row r="706" spans="1:2" ht="15" customHeight="1">
      <c r="A706" s="117"/>
      <c r="B706" s="117"/>
    </row>
    <row r="707" spans="1:2" ht="15" customHeight="1">
      <c r="A707" s="117"/>
      <c r="B707" s="117"/>
    </row>
    <row r="708" spans="1:2" ht="15" customHeight="1">
      <c r="A708" s="117"/>
      <c r="B708" s="117"/>
    </row>
    <row r="709" spans="1:2" ht="15" customHeight="1">
      <c r="A709" s="117"/>
      <c r="B709" s="117"/>
    </row>
    <row r="710" spans="1:2" ht="15" customHeight="1">
      <c r="A710" s="117"/>
      <c r="B710" s="117"/>
    </row>
    <row r="711" spans="1:2" ht="15" customHeight="1">
      <c r="A711" s="117"/>
      <c r="B711" s="117"/>
    </row>
    <row r="712" spans="1:2" ht="15" customHeight="1">
      <c r="A712" s="117"/>
      <c r="B712" s="117"/>
    </row>
    <row r="713" spans="1:2" ht="15" customHeight="1">
      <c r="A713" s="117"/>
      <c r="B713" s="117"/>
    </row>
    <row r="714" spans="1:2" ht="15" customHeight="1">
      <c r="A714" s="117"/>
      <c r="B714" s="117"/>
    </row>
    <row r="715" spans="1:2" ht="15" customHeight="1">
      <c r="A715" s="117"/>
      <c r="B715" s="117"/>
    </row>
    <row r="716" spans="1:2" ht="15" customHeight="1">
      <c r="A716" s="117"/>
      <c r="B716" s="117"/>
    </row>
    <row r="717" spans="1:2" ht="15" customHeight="1">
      <c r="A717" s="117"/>
      <c r="B717" s="117"/>
    </row>
    <row r="718" spans="1:2" ht="15" customHeight="1">
      <c r="A718" s="117"/>
      <c r="B718" s="117"/>
    </row>
    <row r="719" spans="1:2" ht="15" customHeight="1">
      <c r="A719" s="117"/>
      <c r="B719" s="117"/>
    </row>
    <row r="720" spans="1:2" ht="15" customHeight="1">
      <c r="A720" s="117"/>
      <c r="B720" s="117"/>
    </row>
    <row r="721" spans="1:2" ht="15" customHeight="1">
      <c r="A721" s="117"/>
      <c r="B721" s="117"/>
    </row>
    <row r="722" spans="1:2" ht="15" customHeight="1">
      <c r="A722" s="117"/>
      <c r="B722" s="117"/>
    </row>
    <row r="723" spans="1:2" ht="15" customHeight="1">
      <c r="A723" s="117"/>
      <c r="B723" s="117"/>
    </row>
    <row r="724" spans="1:2" ht="15" customHeight="1">
      <c r="A724" s="117"/>
      <c r="B724" s="117"/>
    </row>
    <row r="725" spans="1:2" ht="15" customHeight="1">
      <c r="A725" s="117"/>
      <c r="B725" s="117"/>
    </row>
    <row r="726" spans="1:2" ht="15" customHeight="1">
      <c r="A726" s="117"/>
      <c r="B726" s="117"/>
    </row>
    <row r="727" spans="1:2" ht="15" customHeight="1">
      <c r="A727" s="117"/>
      <c r="B727" s="117"/>
    </row>
    <row r="728" spans="1:2" ht="15" customHeight="1">
      <c r="A728" s="117"/>
      <c r="B728" s="117"/>
    </row>
    <row r="729" spans="1:2" ht="15" customHeight="1">
      <c r="A729" s="117"/>
      <c r="B729" s="117"/>
    </row>
    <row r="730" spans="1:2" ht="15" customHeight="1">
      <c r="A730" s="117"/>
      <c r="B730" s="117"/>
    </row>
    <row r="731" spans="1:2" ht="15" customHeight="1">
      <c r="A731" s="117"/>
      <c r="B731" s="117"/>
    </row>
    <row r="732" spans="1:2" ht="15" customHeight="1">
      <c r="A732" s="117"/>
      <c r="B732" s="117"/>
    </row>
    <row r="733" spans="1:2" ht="15" customHeight="1">
      <c r="A733" s="117"/>
      <c r="B733" s="117"/>
    </row>
    <row r="734" spans="1:2" ht="15" customHeight="1">
      <c r="A734" s="117"/>
      <c r="B734" s="117"/>
    </row>
    <row r="735" spans="1:2" ht="15" customHeight="1">
      <c r="A735" s="117"/>
      <c r="B735" s="117"/>
    </row>
    <row r="736" spans="1:2" ht="15" customHeight="1">
      <c r="A736" s="117"/>
      <c r="B736" s="117"/>
    </row>
    <row r="737" spans="1:2" ht="15" customHeight="1">
      <c r="A737" s="117"/>
      <c r="B737" s="117"/>
    </row>
    <row r="738" spans="1:2" ht="15" customHeight="1">
      <c r="A738" s="117"/>
      <c r="B738" s="117"/>
    </row>
    <row r="739" spans="1:2" ht="15" customHeight="1">
      <c r="A739" s="117"/>
      <c r="B739" s="117"/>
    </row>
    <row r="740" spans="1:2" ht="15" customHeight="1">
      <c r="A740" s="117"/>
      <c r="B740" s="117"/>
    </row>
    <row r="741" spans="1:2" ht="15" customHeight="1">
      <c r="A741" s="117"/>
      <c r="B741" s="117"/>
    </row>
    <row r="742" spans="1:2" ht="15" customHeight="1">
      <c r="A742" s="117"/>
      <c r="B742" s="117"/>
    </row>
    <row r="743" spans="1:2" ht="15" customHeight="1">
      <c r="A743" s="117"/>
      <c r="B743" s="117"/>
    </row>
    <row r="744" spans="1:2" ht="15" customHeight="1">
      <c r="A744" s="117"/>
      <c r="B744" s="117"/>
    </row>
    <row r="745" spans="1:2" ht="15" customHeight="1">
      <c r="A745" s="117"/>
      <c r="B745" s="117"/>
    </row>
    <row r="746" spans="1:2" ht="15" customHeight="1">
      <c r="A746" s="117"/>
      <c r="B746" s="117"/>
    </row>
    <row r="747" spans="1:2" ht="15" customHeight="1">
      <c r="A747" s="117"/>
      <c r="B747" s="117"/>
    </row>
    <row r="748" spans="1:2" ht="15" customHeight="1">
      <c r="A748" s="117"/>
      <c r="B748" s="117"/>
    </row>
    <row r="749" spans="1:2" ht="15" customHeight="1">
      <c r="A749" s="117"/>
      <c r="B749" s="117"/>
    </row>
    <row r="750" spans="1:2" ht="15" customHeight="1">
      <c r="A750" s="117"/>
      <c r="B750" s="117"/>
    </row>
    <row r="751" spans="1:2" ht="15" customHeight="1">
      <c r="A751" s="117"/>
      <c r="B751" s="117"/>
    </row>
    <row r="752" spans="1:2" ht="15" customHeight="1">
      <c r="A752" s="117"/>
      <c r="B752" s="117"/>
    </row>
    <row r="753" spans="1:2" ht="15" customHeight="1">
      <c r="A753" s="117"/>
      <c r="B753" s="117"/>
    </row>
    <row r="754" spans="1:2" ht="15" customHeight="1">
      <c r="A754" s="117"/>
      <c r="B754" s="117"/>
    </row>
    <row r="755" spans="1:2" ht="15" customHeight="1">
      <c r="A755" s="117"/>
      <c r="B755" s="117"/>
    </row>
    <row r="756" spans="1:2" ht="15" customHeight="1">
      <c r="A756" s="117"/>
      <c r="B756" s="117"/>
    </row>
    <row r="757" spans="1:2" ht="15" customHeight="1">
      <c r="A757" s="117"/>
      <c r="B757" s="117"/>
    </row>
    <row r="758" spans="1:2" ht="15" customHeight="1">
      <c r="A758" s="117"/>
      <c r="B758" s="117"/>
    </row>
    <row r="759" spans="1:2" ht="15" customHeight="1">
      <c r="A759" s="117"/>
      <c r="B759" s="117"/>
    </row>
    <row r="760" spans="1:2" ht="15" customHeight="1">
      <c r="A760" s="117"/>
      <c r="B760" s="117"/>
    </row>
    <row r="761" spans="1:2" ht="15" customHeight="1">
      <c r="A761" s="117"/>
      <c r="B761" s="117"/>
    </row>
    <row r="762" spans="1:2" ht="15" customHeight="1">
      <c r="A762" s="117"/>
      <c r="B762" s="117"/>
    </row>
    <row r="763" spans="1:2" ht="15" customHeight="1">
      <c r="A763" s="117"/>
      <c r="B763" s="117"/>
    </row>
    <row r="764" spans="1:2" ht="15" customHeight="1">
      <c r="A764" s="117"/>
      <c r="B764" s="117"/>
    </row>
    <row r="765" spans="1:2" ht="15" customHeight="1">
      <c r="A765" s="117"/>
      <c r="B765" s="117"/>
    </row>
    <row r="766" spans="1:2" ht="15" customHeight="1">
      <c r="A766" s="117"/>
      <c r="B766" s="117"/>
    </row>
    <row r="767" spans="1:2" ht="15" customHeight="1">
      <c r="A767" s="117"/>
      <c r="B767" s="117"/>
    </row>
    <row r="768" spans="1:2" ht="15" customHeight="1">
      <c r="A768" s="117"/>
      <c r="B768" s="117"/>
    </row>
    <row r="769" spans="1:2" ht="15" customHeight="1">
      <c r="A769" s="117"/>
      <c r="B769" s="117"/>
    </row>
    <row r="770" spans="1:2" ht="15" customHeight="1">
      <c r="A770" s="117"/>
      <c r="B770" s="117"/>
    </row>
    <row r="771" spans="1:2" ht="15" customHeight="1">
      <c r="A771" s="117"/>
      <c r="B771" s="117"/>
    </row>
    <row r="772" spans="1:2" ht="15" customHeight="1">
      <c r="A772" s="117"/>
      <c r="B772" s="117"/>
    </row>
    <row r="773" spans="1:2" ht="15" customHeight="1">
      <c r="A773" s="117"/>
      <c r="B773" s="117"/>
    </row>
    <row r="774" spans="1:2" ht="15" customHeight="1">
      <c r="A774" s="117"/>
      <c r="B774" s="117"/>
    </row>
    <row r="775" spans="1:2" ht="15" customHeight="1">
      <c r="A775" s="117"/>
      <c r="B775" s="117"/>
    </row>
    <row r="776" spans="1:2" ht="15" customHeight="1">
      <c r="A776" s="117"/>
      <c r="B776" s="117"/>
    </row>
    <row r="777" spans="1:2" ht="15" customHeight="1">
      <c r="A777" s="117"/>
      <c r="B777" s="117"/>
    </row>
    <row r="778" spans="1:2" ht="15" customHeight="1">
      <c r="A778" s="117"/>
      <c r="B778" s="117"/>
    </row>
    <row r="779" spans="1:2" ht="15" customHeight="1">
      <c r="A779" s="117"/>
      <c r="B779" s="117"/>
    </row>
    <row r="780" spans="1:2" ht="15" customHeight="1">
      <c r="A780" s="117"/>
      <c r="B780" s="117"/>
    </row>
    <row r="781" spans="1:2" ht="15" customHeight="1">
      <c r="A781" s="117"/>
      <c r="B781" s="117"/>
    </row>
    <row r="782" spans="1:2" ht="15" customHeight="1">
      <c r="A782" s="117"/>
      <c r="B782" s="117"/>
    </row>
    <row r="783" spans="1:2" ht="15" customHeight="1">
      <c r="A783" s="117"/>
      <c r="B783" s="117"/>
    </row>
    <row r="784" spans="1:2" ht="15" customHeight="1">
      <c r="A784" s="117"/>
      <c r="B784" s="117"/>
    </row>
    <row r="785" spans="1:2" ht="15" customHeight="1">
      <c r="A785" s="117"/>
      <c r="B785" s="117"/>
    </row>
    <row r="786" spans="1:2" ht="15" customHeight="1">
      <c r="A786" s="117"/>
      <c r="B786" s="117"/>
    </row>
    <row r="787" spans="1:2" ht="15" customHeight="1">
      <c r="A787" s="117"/>
      <c r="B787" s="117"/>
    </row>
    <row r="788" spans="1:2" ht="15" customHeight="1">
      <c r="A788" s="117"/>
      <c r="B788" s="117"/>
    </row>
    <row r="789" spans="1:2" ht="15" customHeight="1">
      <c r="A789" s="117"/>
      <c r="B789" s="117"/>
    </row>
    <row r="790" spans="1:2" ht="15" customHeight="1">
      <c r="A790" s="117"/>
      <c r="B790" s="117"/>
    </row>
    <row r="791" spans="1:2" ht="15" customHeight="1">
      <c r="A791" s="117"/>
      <c r="B791" s="117"/>
    </row>
    <row r="792" spans="1:2" ht="15" customHeight="1">
      <c r="A792" s="117"/>
      <c r="B792" s="117"/>
    </row>
    <row r="793" spans="1:2" ht="15" customHeight="1">
      <c r="A793" s="117"/>
      <c r="B793" s="117"/>
    </row>
    <row r="794" spans="1:2" ht="15" customHeight="1">
      <c r="A794" s="117"/>
      <c r="B794" s="117"/>
    </row>
    <row r="795" spans="1:2" ht="15" customHeight="1">
      <c r="A795" s="117"/>
      <c r="B795" s="117"/>
    </row>
    <row r="796" spans="1:2" ht="15" customHeight="1">
      <c r="A796" s="117"/>
      <c r="B796" s="117"/>
    </row>
    <row r="797" spans="1:2" ht="15" customHeight="1">
      <c r="A797" s="117"/>
      <c r="B797" s="117"/>
    </row>
    <row r="798" spans="1:2" ht="15" customHeight="1">
      <c r="A798" s="117"/>
      <c r="B798" s="117"/>
    </row>
    <row r="799" spans="1:2" ht="15" customHeight="1">
      <c r="A799" s="117"/>
      <c r="B799" s="117"/>
    </row>
    <row r="800" spans="1:2" ht="15" customHeight="1">
      <c r="A800" s="117"/>
      <c r="B800" s="117"/>
    </row>
    <row r="801" spans="1:2" ht="15" customHeight="1">
      <c r="A801" s="117"/>
      <c r="B801" s="117"/>
    </row>
    <row r="802" spans="1:2" ht="15" customHeight="1">
      <c r="A802" s="117"/>
      <c r="B802" s="117"/>
    </row>
    <row r="803" spans="1:2" ht="15" customHeight="1">
      <c r="A803" s="117"/>
      <c r="B803" s="117"/>
    </row>
    <row r="804" spans="1:2" ht="15" customHeight="1">
      <c r="A804" s="117"/>
      <c r="B804" s="117"/>
    </row>
    <row r="805" spans="1:2" ht="15" customHeight="1">
      <c r="A805" s="117"/>
      <c r="B805" s="117"/>
    </row>
    <row r="806" spans="1:2" ht="15" customHeight="1">
      <c r="A806" s="117"/>
      <c r="B806" s="117"/>
    </row>
    <row r="807" spans="1:2" ht="15" customHeight="1">
      <c r="A807" s="117"/>
      <c r="B807" s="117"/>
    </row>
    <row r="808" spans="1:2" ht="15" customHeight="1">
      <c r="A808" s="117"/>
      <c r="B808" s="117"/>
    </row>
    <row r="809" spans="1:2" ht="15" customHeight="1">
      <c r="A809" s="117"/>
      <c r="B809" s="117"/>
    </row>
    <row r="810" spans="1:2" ht="15" customHeight="1">
      <c r="A810" s="117"/>
      <c r="B810" s="117"/>
    </row>
    <row r="811" spans="1:2" ht="15" customHeight="1">
      <c r="A811" s="117"/>
      <c r="B811" s="117"/>
    </row>
    <row r="812" spans="1:2" ht="15" customHeight="1">
      <c r="A812" s="117"/>
      <c r="B812" s="117"/>
    </row>
    <row r="813" spans="1:2" ht="15" customHeight="1">
      <c r="A813" s="117"/>
      <c r="B813" s="117"/>
    </row>
    <row r="814" spans="1:2" ht="15" customHeight="1">
      <c r="A814" s="117"/>
      <c r="B814" s="117"/>
    </row>
    <row r="815" spans="1:2" ht="15" customHeight="1">
      <c r="A815" s="117"/>
      <c r="B815" s="117"/>
    </row>
    <row r="816" spans="1:2" ht="15" customHeight="1">
      <c r="A816" s="117"/>
      <c r="B816" s="117"/>
    </row>
    <row r="817" spans="1:2" ht="15" customHeight="1">
      <c r="A817" s="117"/>
      <c r="B817" s="117"/>
    </row>
    <row r="818" spans="1:2" ht="15" customHeight="1">
      <c r="A818" s="117"/>
      <c r="B818" s="117"/>
    </row>
    <row r="819" spans="1:2" ht="15" customHeight="1">
      <c r="A819" s="117"/>
      <c r="B819" s="117"/>
    </row>
    <row r="820" spans="1:2" ht="15" customHeight="1">
      <c r="A820" s="117"/>
      <c r="B820" s="117"/>
    </row>
    <row r="821" spans="1:2" ht="15" customHeight="1">
      <c r="A821" s="117"/>
      <c r="B821" s="117"/>
    </row>
    <row r="822" spans="1:2" ht="15" customHeight="1">
      <c r="A822" s="117"/>
      <c r="B822" s="117"/>
    </row>
    <row r="823" spans="1:2" ht="15" customHeight="1">
      <c r="A823" s="117"/>
      <c r="B823" s="117"/>
    </row>
    <row r="824" spans="1:2" ht="15" customHeight="1">
      <c r="A824" s="117"/>
      <c r="B824" s="117"/>
    </row>
    <row r="825" spans="1:2" ht="15" customHeight="1">
      <c r="A825" s="117"/>
      <c r="B825" s="117"/>
    </row>
    <row r="826" spans="1:2" ht="15" customHeight="1">
      <c r="A826" s="117"/>
      <c r="B826" s="117"/>
    </row>
    <row r="827" spans="1:2" ht="15" customHeight="1">
      <c r="A827" s="117"/>
      <c r="B827" s="117"/>
    </row>
    <row r="828" spans="1:2" ht="15" customHeight="1">
      <c r="A828" s="117"/>
      <c r="B828" s="117"/>
    </row>
    <row r="829" spans="1:2" ht="15" customHeight="1">
      <c r="A829" s="117"/>
      <c r="B829" s="117"/>
    </row>
    <row r="830" spans="1:2" ht="15" customHeight="1">
      <c r="A830" s="117"/>
      <c r="B830" s="117"/>
    </row>
    <row r="831" spans="1:2" ht="15" customHeight="1">
      <c r="A831" s="117"/>
      <c r="B831" s="117"/>
    </row>
    <row r="832" spans="1:2" ht="15" customHeight="1">
      <c r="A832" s="117"/>
      <c r="B832" s="117"/>
    </row>
    <row r="833" spans="1:2" ht="15" customHeight="1">
      <c r="A833" s="117"/>
      <c r="B833" s="117"/>
    </row>
    <row r="834" spans="1:2" ht="15" customHeight="1">
      <c r="A834" s="117"/>
      <c r="B834" s="117"/>
    </row>
    <row r="835" spans="1:2" ht="15" customHeight="1">
      <c r="A835" s="117"/>
      <c r="B835" s="117"/>
    </row>
    <row r="836" spans="1:2" ht="15" customHeight="1">
      <c r="A836" s="117"/>
      <c r="B836" s="117"/>
    </row>
    <row r="837" spans="1:2" ht="15" customHeight="1">
      <c r="A837" s="117"/>
      <c r="B837" s="117"/>
    </row>
    <row r="838" spans="1:2" ht="15" customHeight="1">
      <c r="A838" s="117"/>
      <c r="B838" s="117"/>
    </row>
    <row r="839" spans="1:2" ht="15" customHeight="1">
      <c r="A839" s="117"/>
      <c r="B839" s="117"/>
    </row>
    <row r="840" spans="1:2" ht="15" customHeight="1">
      <c r="A840" s="117"/>
      <c r="B840" s="117"/>
    </row>
    <row r="841" spans="1:2" ht="15" customHeight="1">
      <c r="A841" s="117"/>
      <c r="B841" s="117"/>
    </row>
    <row r="842" spans="1:2" ht="15" customHeight="1">
      <c r="A842" s="117"/>
      <c r="B842" s="117"/>
    </row>
    <row r="843" spans="1:2" ht="15" customHeight="1">
      <c r="A843" s="117"/>
      <c r="B843" s="117"/>
    </row>
    <row r="844" spans="1:2" ht="15" customHeight="1">
      <c r="A844" s="117"/>
      <c r="B844" s="117"/>
    </row>
    <row r="845" spans="1:2" ht="15" customHeight="1">
      <c r="A845" s="117"/>
      <c r="B845" s="117"/>
    </row>
    <row r="846" spans="1:2" ht="15" customHeight="1">
      <c r="A846" s="117"/>
      <c r="B846" s="117"/>
    </row>
    <row r="847" spans="1:2" ht="15" customHeight="1">
      <c r="A847" s="117"/>
      <c r="B847" s="117"/>
    </row>
    <row r="848" spans="1:2" ht="15" customHeight="1">
      <c r="A848" s="117"/>
      <c r="B848" s="117"/>
    </row>
    <row r="849" spans="1:2" ht="15" customHeight="1">
      <c r="A849" s="117"/>
      <c r="B849" s="117"/>
    </row>
    <row r="850" spans="1:2" ht="15" customHeight="1">
      <c r="A850" s="117"/>
      <c r="B850" s="117"/>
    </row>
    <row r="851" spans="1:2" ht="15" customHeight="1">
      <c r="A851" s="117"/>
      <c r="B851" s="117"/>
    </row>
    <row r="852" spans="1:2" ht="15" customHeight="1">
      <c r="A852" s="117"/>
      <c r="B852" s="117"/>
    </row>
    <row r="853" spans="1:2" ht="15" customHeight="1">
      <c r="A853" s="117"/>
      <c r="B853" s="117"/>
    </row>
    <row r="854" spans="1:2" ht="15" customHeight="1">
      <c r="A854" s="117"/>
      <c r="B854" s="117"/>
    </row>
    <row r="855" spans="1:2" ht="15" customHeight="1">
      <c r="A855" s="117"/>
      <c r="B855" s="117"/>
    </row>
    <row r="856" spans="1:2" ht="15" customHeight="1">
      <c r="A856" s="117"/>
      <c r="B856" s="117"/>
    </row>
    <row r="857" spans="1:2" ht="15" customHeight="1">
      <c r="A857" s="117"/>
      <c r="B857" s="117"/>
    </row>
    <row r="858" spans="1:2" ht="15" customHeight="1">
      <c r="A858" s="117"/>
      <c r="B858" s="117"/>
    </row>
    <row r="859" spans="1:2" ht="15" customHeight="1">
      <c r="A859" s="117"/>
      <c r="B859" s="117"/>
    </row>
    <row r="860" spans="1:2" ht="15" customHeight="1">
      <c r="A860" s="117"/>
      <c r="B860" s="117"/>
    </row>
    <row r="861" spans="1:2" ht="15" customHeight="1">
      <c r="A861" s="117"/>
      <c r="B861" s="117"/>
    </row>
    <row r="862" spans="1:2" ht="15" customHeight="1">
      <c r="A862" s="117"/>
      <c r="B862" s="117"/>
    </row>
    <row r="863" spans="1:2" ht="15" customHeight="1">
      <c r="A863" s="117"/>
      <c r="B863" s="117"/>
    </row>
    <row r="864" spans="1:2" ht="15" customHeight="1">
      <c r="A864" s="117"/>
      <c r="B864" s="117"/>
    </row>
    <row r="865" spans="1:2" ht="15" customHeight="1">
      <c r="A865" s="117"/>
      <c r="B865" s="117"/>
    </row>
    <row r="866" spans="1:2" ht="15" customHeight="1">
      <c r="A866" s="117"/>
      <c r="B866" s="117"/>
    </row>
    <row r="867" spans="1:2" ht="15" customHeight="1">
      <c r="A867" s="117"/>
      <c r="B867" s="117"/>
    </row>
    <row r="868" spans="1:2" ht="15" customHeight="1">
      <c r="A868" s="117"/>
      <c r="B868" s="117"/>
    </row>
    <row r="869" spans="1:2" ht="15" customHeight="1">
      <c r="A869" s="117"/>
      <c r="B869" s="117"/>
    </row>
    <row r="870" spans="1:2" ht="15" customHeight="1">
      <c r="A870" s="117"/>
      <c r="B870" s="117"/>
    </row>
    <row r="871" spans="1:2" ht="15" customHeight="1">
      <c r="A871" s="117"/>
      <c r="B871" s="117"/>
    </row>
    <row r="872" spans="1:2" ht="15" customHeight="1">
      <c r="A872" s="117"/>
      <c r="B872" s="117"/>
    </row>
    <row r="873" spans="1:2" ht="15" customHeight="1">
      <c r="A873" s="117"/>
      <c r="B873" s="117"/>
    </row>
    <row r="874" spans="1:2" ht="15" customHeight="1">
      <c r="A874" s="117"/>
      <c r="B874" s="117"/>
    </row>
    <row r="875" spans="1:2" ht="15" customHeight="1">
      <c r="A875" s="117"/>
      <c r="B875" s="117"/>
    </row>
    <row r="876" spans="1:2" ht="15" customHeight="1">
      <c r="A876" s="117"/>
      <c r="B876" s="117"/>
    </row>
    <row r="877" spans="1:2" ht="15" customHeight="1">
      <c r="A877" s="117"/>
      <c r="B877" s="117"/>
    </row>
    <row r="878" spans="1:2" ht="15" customHeight="1">
      <c r="A878" s="117"/>
      <c r="B878" s="117"/>
    </row>
    <row r="879" spans="1:2" ht="15" customHeight="1">
      <c r="A879" s="117"/>
      <c r="B879" s="117"/>
    </row>
    <row r="880" spans="1:2" ht="15" customHeight="1">
      <c r="A880" s="117"/>
      <c r="B880" s="117"/>
    </row>
    <row r="881" spans="1:2" ht="15" customHeight="1">
      <c r="A881" s="117"/>
      <c r="B881" s="117"/>
    </row>
    <row r="882" spans="1:2" ht="15" customHeight="1">
      <c r="A882" s="117"/>
      <c r="B882" s="117"/>
    </row>
    <row r="883" spans="1:2" ht="15" customHeight="1">
      <c r="A883" s="117"/>
      <c r="B883" s="117"/>
    </row>
    <row r="884" spans="1:2" ht="15" customHeight="1">
      <c r="A884" s="117"/>
      <c r="B884" s="117"/>
    </row>
    <row r="885" spans="1:2" ht="15" customHeight="1">
      <c r="A885" s="117"/>
      <c r="B885" s="117"/>
    </row>
    <row r="886" spans="1:2" ht="15" customHeight="1">
      <c r="A886" s="117"/>
      <c r="B886" s="117"/>
    </row>
    <row r="887" spans="1:2" ht="15" customHeight="1">
      <c r="A887" s="117"/>
      <c r="B887" s="117"/>
    </row>
    <row r="888" spans="1:2" ht="15" customHeight="1">
      <c r="A888" s="117"/>
      <c r="B888" s="117"/>
    </row>
    <row r="889" spans="1:2" ht="15" customHeight="1">
      <c r="A889" s="117"/>
      <c r="B889" s="117"/>
    </row>
    <row r="890" spans="1:2" ht="15" customHeight="1">
      <c r="A890" s="117"/>
      <c r="B890" s="117"/>
    </row>
    <row r="891" spans="1:2" ht="15" customHeight="1">
      <c r="A891" s="117"/>
      <c r="B891" s="117"/>
    </row>
    <row r="892" spans="1:2" ht="15" customHeight="1">
      <c r="A892" s="117"/>
      <c r="B892" s="117"/>
    </row>
    <row r="893" spans="1:2" ht="15" customHeight="1">
      <c r="A893" s="117"/>
      <c r="B893" s="117"/>
    </row>
    <row r="894" spans="1:2" ht="15" customHeight="1">
      <c r="A894" s="117"/>
      <c r="B894" s="117"/>
    </row>
    <row r="895" spans="1:2" ht="15" customHeight="1">
      <c r="A895" s="117"/>
      <c r="B895" s="117"/>
    </row>
    <row r="896" spans="1:2" ht="15" customHeight="1">
      <c r="A896" s="117"/>
      <c r="B896" s="117"/>
    </row>
    <row r="897" spans="1:2" ht="15" customHeight="1">
      <c r="A897" s="117"/>
      <c r="B897" s="117"/>
    </row>
    <row r="898" spans="1:2" ht="15" customHeight="1">
      <c r="A898" s="117"/>
      <c r="B898" s="117"/>
    </row>
    <row r="899" spans="1:2" ht="15" customHeight="1">
      <c r="A899" s="117"/>
      <c r="B899" s="117"/>
    </row>
    <row r="900" spans="1:2" ht="15" customHeight="1">
      <c r="A900" s="117"/>
      <c r="B900" s="117"/>
    </row>
    <row r="901" spans="1:2" ht="15" customHeight="1">
      <c r="A901" s="117"/>
      <c r="B901" s="117"/>
    </row>
    <row r="902" spans="1:2" ht="15" customHeight="1">
      <c r="A902" s="117"/>
      <c r="B902" s="117"/>
    </row>
    <row r="903" spans="1:2" ht="15" customHeight="1">
      <c r="A903" s="117"/>
      <c r="B903" s="117"/>
    </row>
    <row r="904" spans="1:2" ht="15" customHeight="1">
      <c r="A904" s="117"/>
      <c r="B904" s="117"/>
    </row>
    <row r="905" spans="1:2" ht="15" customHeight="1">
      <c r="A905" s="117"/>
      <c r="B905" s="117"/>
    </row>
    <row r="906" spans="1:2" ht="15" customHeight="1">
      <c r="A906" s="117"/>
      <c r="B906" s="117"/>
    </row>
    <row r="907" spans="1:2" ht="15" customHeight="1">
      <c r="A907" s="117"/>
      <c r="B907" s="117"/>
    </row>
    <row r="908" spans="1:2" ht="15" customHeight="1">
      <c r="A908" s="117"/>
      <c r="B908" s="117"/>
    </row>
    <row r="909" spans="1:2" ht="15" customHeight="1">
      <c r="A909" s="117"/>
      <c r="B909" s="117"/>
    </row>
    <row r="910" spans="1:2" ht="15" customHeight="1">
      <c r="A910" s="117"/>
      <c r="B910" s="117"/>
    </row>
    <row r="911" spans="1:2" ht="15" customHeight="1">
      <c r="A911" s="117"/>
      <c r="B911" s="117"/>
    </row>
    <row r="912" spans="1:2" ht="15" customHeight="1">
      <c r="A912" s="117"/>
      <c r="B912" s="117"/>
    </row>
    <row r="913" spans="1:2" ht="15" customHeight="1">
      <c r="A913" s="117"/>
      <c r="B913" s="117"/>
    </row>
    <row r="914" spans="1:2" ht="15" customHeight="1">
      <c r="A914" s="117"/>
      <c r="B914" s="117"/>
    </row>
    <row r="915" spans="1:2" ht="15" customHeight="1">
      <c r="A915" s="117"/>
      <c r="B915" s="117"/>
    </row>
    <row r="916" spans="1:2" ht="15" customHeight="1">
      <c r="A916" s="117"/>
      <c r="B916" s="117"/>
    </row>
    <row r="917" spans="1:2" ht="15" customHeight="1">
      <c r="A917" s="117"/>
      <c r="B917" s="117"/>
    </row>
    <row r="918" spans="1:2" ht="15" customHeight="1">
      <c r="A918" s="117"/>
      <c r="B918" s="117"/>
    </row>
    <row r="919" spans="1:2" ht="15" customHeight="1">
      <c r="A919" s="117"/>
      <c r="B919" s="117"/>
    </row>
    <row r="920" spans="1:2" ht="15" customHeight="1">
      <c r="A920" s="117"/>
      <c r="B920" s="117"/>
    </row>
    <row r="921" spans="1:2" ht="15" customHeight="1">
      <c r="A921" s="117"/>
      <c r="B921" s="117"/>
    </row>
    <row r="922" spans="1:2" ht="15" customHeight="1">
      <c r="A922" s="117"/>
      <c r="B922" s="117"/>
    </row>
    <row r="923" spans="1:2" ht="15" customHeight="1">
      <c r="A923" s="117"/>
      <c r="B923" s="117"/>
    </row>
    <row r="924" spans="1:2" ht="15" customHeight="1">
      <c r="A924" s="117"/>
      <c r="B924" s="117"/>
    </row>
    <row r="925" spans="1:2" ht="15" customHeight="1">
      <c r="A925" s="117"/>
      <c r="B925" s="117"/>
    </row>
    <row r="926" spans="1:2" ht="15" customHeight="1">
      <c r="A926" s="117"/>
      <c r="B926" s="117"/>
    </row>
    <row r="927" spans="1:2" ht="15" customHeight="1">
      <c r="A927" s="117"/>
      <c r="B927" s="117"/>
    </row>
    <row r="928" spans="1:2" ht="15" customHeight="1">
      <c r="A928" s="117"/>
      <c r="B928" s="117"/>
    </row>
    <row r="929" spans="1:2" ht="15" customHeight="1">
      <c r="A929" s="117"/>
      <c r="B929" s="117"/>
    </row>
    <row r="930" spans="1:2" ht="15" customHeight="1">
      <c r="A930" s="117"/>
      <c r="B930" s="117"/>
    </row>
    <row r="931" spans="1:2" ht="15" customHeight="1">
      <c r="A931" s="117"/>
      <c r="B931" s="117"/>
    </row>
    <row r="932" spans="1:2" ht="15" customHeight="1">
      <c r="A932" s="117"/>
      <c r="B932" s="117"/>
    </row>
    <row r="933" spans="1:2" ht="15" customHeight="1">
      <c r="A933" s="117"/>
      <c r="B933" s="117"/>
    </row>
    <row r="934" spans="1:2" ht="15" customHeight="1">
      <c r="A934" s="117"/>
      <c r="B934" s="117"/>
    </row>
    <row r="935" spans="1:2" ht="15" customHeight="1">
      <c r="A935" s="117"/>
      <c r="B935" s="117"/>
    </row>
    <row r="936" spans="1:2" ht="15" customHeight="1">
      <c r="A936" s="117"/>
      <c r="B936" s="117"/>
    </row>
    <row r="937" spans="1:2" ht="15" customHeight="1">
      <c r="A937" s="117"/>
      <c r="B937" s="117"/>
    </row>
    <row r="938" spans="1:2" ht="15" customHeight="1">
      <c r="A938" s="117"/>
      <c r="B938" s="117"/>
    </row>
    <row r="939" spans="1:2" ht="15" customHeight="1">
      <c r="A939" s="117"/>
      <c r="B939" s="117"/>
    </row>
    <row r="940" spans="1:2" ht="15" customHeight="1">
      <c r="A940" s="117"/>
      <c r="B940" s="117"/>
    </row>
    <row r="941" spans="1:2" ht="15" customHeight="1">
      <c r="A941" s="117"/>
      <c r="B941" s="117"/>
    </row>
    <row r="942" spans="1:2" ht="15" customHeight="1">
      <c r="A942" s="117"/>
      <c r="B942" s="117"/>
    </row>
    <row r="943" spans="1:2" ht="15" customHeight="1">
      <c r="A943" s="117"/>
      <c r="B943" s="117"/>
    </row>
    <row r="944" spans="1:2" ht="15" customHeight="1">
      <c r="A944" s="117"/>
      <c r="B944" s="117"/>
    </row>
    <row r="945" spans="1:2" ht="15" customHeight="1">
      <c r="A945" s="117"/>
      <c r="B945" s="117"/>
    </row>
    <row r="946" spans="1:2" ht="15" customHeight="1">
      <c r="A946" s="117"/>
      <c r="B946" s="117"/>
    </row>
    <row r="947" spans="1:2" ht="15" customHeight="1">
      <c r="A947" s="117"/>
      <c r="B947" s="117"/>
    </row>
    <row r="948" spans="1:2" ht="15" customHeight="1">
      <c r="A948" s="117"/>
      <c r="B948" s="117"/>
    </row>
    <row r="949" spans="1:2" ht="15" customHeight="1">
      <c r="A949" s="117"/>
      <c r="B949" s="117"/>
    </row>
    <row r="950" spans="1:2" ht="15" customHeight="1">
      <c r="A950" s="117"/>
      <c r="B950" s="117"/>
    </row>
    <row r="951" spans="1:2" ht="15" customHeight="1">
      <c r="A951" s="117"/>
      <c r="B951" s="117"/>
    </row>
    <row r="952" spans="1:2" ht="15" customHeight="1">
      <c r="A952" s="117"/>
      <c r="B952" s="117"/>
    </row>
    <row r="953" spans="1:2" ht="15" customHeight="1">
      <c r="A953" s="117"/>
      <c r="B953" s="117"/>
    </row>
    <row r="954" spans="1:2" ht="15" customHeight="1">
      <c r="A954" s="117"/>
      <c r="B954" s="117"/>
    </row>
    <row r="955" spans="1:2" ht="15" customHeight="1">
      <c r="A955" s="117"/>
      <c r="B955" s="117"/>
    </row>
    <row r="956" spans="1:2" ht="15" customHeight="1">
      <c r="A956" s="117"/>
      <c r="B956" s="117"/>
    </row>
    <row r="957" spans="1:2" ht="15" customHeight="1">
      <c r="A957" s="117"/>
      <c r="B957" s="117"/>
    </row>
    <row r="958" spans="1:2" ht="15" customHeight="1">
      <c r="A958" s="117"/>
      <c r="B958" s="117"/>
    </row>
    <row r="959" spans="1:2" ht="15" customHeight="1">
      <c r="A959" s="117"/>
      <c r="B959" s="117"/>
    </row>
    <row r="960" spans="1:2" ht="15" customHeight="1">
      <c r="A960" s="117"/>
      <c r="B960" s="117"/>
    </row>
    <row r="961" spans="1:2" ht="15" customHeight="1">
      <c r="A961" s="117"/>
      <c r="B961" s="117"/>
    </row>
    <row r="962" spans="1:2" ht="15" customHeight="1">
      <c r="A962" s="117"/>
      <c r="B962" s="117"/>
    </row>
    <row r="963" spans="1:2" ht="15" customHeight="1">
      <c r="A963" s="117"/>
      <c r="B963" s="117"/>
    </row>
    <row r="964" spans="1:2" ht="15" customHeight="1">
      <c r="A964" s="117"/>
      <c r="B964" s="117"/>
    </row>
  </sheetData>
  <autoFilter ref="A6:L6" xr:uid="{00000000-0009-0000-0000-000009000000}"/>
  <sortState xmlns:xlrd2="http://schemas.microsoft.com/office/spreadsheetml/2017/richdata2" ref="A7:Z964">
    <sortCondition descending="1" ref="F7:F964"/>
  </sortState>
  <phoneticPr fontId="45" type="noConversion"/>
  <conditionalFormatting sqref="B6 B8:B41">
    <cfRule type="expression" dxfId="401" priority="31">
      <formula>COUNTIF(#REF!, "Yes") = 1</formula>
    </cfRule>
  </conditionalFormatting>
  <conditionalFormatting sqref="N5">
    <cfRule type="expression" dxfId="400" priority="30">
      <formula>COUNTIF(#REF!, "Yes") = 1</formula>
    </cfRule>
  </conditionalFormatting>
  <conditionalFormatting sqref="B42">
    <cfRule type="expression" dxfId="399" priority="29">
      <formula>COUNTIF(#REF!, "Yes") = 1</formula>
    </cfRule>
  </conditionalFormatting>
  <conditionalFormatting sqref="G8:G42">
    <cfRule type="expression" dxfId="398" priority="25">
      <formula>G8="完工已補裝"</formula>
    </cfRule>
    <cfRule type="expression" dxfId="397" priority="26">
      <formula>G8="已PM未更換"</formula>
    </cfRule>
    <cfRule type="expression" dxfId="396" priority="27">
      <formula>G8="未更換"</formula>
    </cfRule>
    <cfRule type="expression" dxfId="395" priority="28">
      <formula>G8="已更換"</formula>
    </cfRule>
  </conditionalFormatting>
  <conditionalFormatting sqref="K8:K42">
    <cfRule type="expression" dxfId="394" priority="24">
      <formula>IF(K8="不保養","true","FALSE")</formula>
    </cfRule>
  </conditionalFormatting>
  <conditionalFormatting sqref="B7">
    <cfRule type="expression" dxfId="393" priority="23">
      <formula>COUNTIF(#REF!, "Yes") = 1</formula>
    </cfRule>
  </conditionalFormatting>
  <conditionalFormatting sqref="G7">
    <cfRule type="expression" dxfId="392" priority="19">
      <formula>G7="完工已補裝"</formula>
    </cfRule>
    <cfRule type="expression" dxfId="391" priority="20">
      <formula>G7="已PM未更換"</formula>
    </cfRule>
    <cfRule type="expression" dxfId="390" priority="21">
      <formula>G7="未更換"</formula>
    </cfRule>
    <cfRule type="expression" dxfId="389" priority="22">
      <formula>G7="已更換"</formula>
    </cfRule>
  </conditionalFormatting>
  <conditionalFormatting sqref="K7">
    <cfRule type="expression" dxfId="388" priority="18">
      <formula>IF(K7="不保養","true","FALSE")</formula>
    </cfRule>
  </conditionalFormatting>
  <conditionalFormatting sqref="B43:B79 B81:B113">
    <cfRule type="expression" dxfId="387" priority="17">
      <formula>COUNTIF(#REF!, "Yes") = 1</formula>
    </cfRule>
  </conditionalFormatting>
  <conditionalFormatting sqref="G43:G79 G81:G113">
    <cfRule type="expression" dxfId="386" priority="13">
      <formula>G43="完工已補裝"</formula>
    </cfRule>
    <cfRule type="expression" dxfId="385" priority="14">
      <formula>G43="已PM未更換"</formula>
    </cfRule>
    <cfRule type="expression" dxfId="384" priority="15">
      <formula>G43="未更換"</formula>
    </cfRule>
    <cfRule type="expression" dxfId="383" priority="16">
      <formula>G43="已更換"</formula>
    </cfRule>
  </conditionalFormatting>
  <conditionalFormatting sqref="K43:K79 K81:K113">
    <cfRule type="expression" dxfId="382" priority="12">
      <formula>IF(K43="不保養","true","FALSE")</formula>
    </cfRule>
  </conditionalFormatting>
  <conditionalFormatting sqref="F1">
    <cfRule type="expression" dxfId="381" priority="9">
      <formula>COUNTIF(#REF!, "Yes") = 1</formula>
    </cfRule>
  </conditionalFormatting>
  <conditionalFormatting sqref="G1">
    <cfRule type="expression" dxfId="380" priority="8">
      <formula>COUNTIF(#REF!, "Yes") = 1</formula>
    </cfRule>
  </conditionalFormatting>
  <conditionalFormatting sqref="A3">
    <cfRule type="expression" dxfId="379" priority="7">
      <formula>COUNTIF($A6:$A6, "Yes") = 1</formula>
    </cfRule>
  </conditionalFormatting>
  <conditionalFormatting sqref="E1">
    <cfRule type="expression" dxfId="378" priority="10">
      <formula>COUNTIF(#REF!, "Yes") = 1</formula>
    </cfRule>
  </conditionalFormatting>
  <conditionalFormatting sqref="A1:B1">
    <cfRule type="expression" dxfId="377" priority="11">
      <formula>COUNTIF($A2:$A2, "Yes") = 1</formula>
    </cfRule>
  </conditionalFormatting>
  <conditionalFormatting sqref="B80">
    <cfRule type="expression" dxfId="376" priority="6">
      <formula>COUNTIF(#REF!, "Yes") = 1</formula>
    </cfRule>
  </conditionalFormatting>
  <conditionalFormatting sqref="G80">
    <cfRule type="expression" dxfId="375" priority="2">
      <formula>G80="完工已補裝"</formula>
    </cfRule>
    <cfRule type="expression" dxfId="374" priority="3">
      <formula>G80="已PM未更換"</formula>
    </cfRule>
    <cfRule type="expression" dxfId="373" priority="4">
      <formula>G80="未更換"</formula>
    </cfRule>
    <cfRule type="expression" dxfId="372" priority="5">
      <formula>G80="已更換"</formula>
    </cfRule>
  </conditionalFormatting>
  <conditionalFormatting sqref="K80">
    <cfRule type="expression" dxfId="371" priority="1">
      <formula>IF(K80="不保養","true","FALSE")</formula>
    </cfRule>
  </conditionalFormatting>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9">
    <tabColor rgb="FFFFFF00"/>
  </sheetPr>
  <dimension ref="A1:AE962"/>
  <sheetViews>
    <sheetView zoomScaleNormal="100" workbookViewId="0">
      <pane ySplit="6" topLeftCell="A7" activePane="bottomLeft" state="frozen"/>
      <selection activeCell="AB5" sqref="AB5"/>
      <selection pane="bottomLeft" activeCell="I9" sqref="I9"/>
    </sheetView>
  </sheetViews>
  <sheetFormatPr defaultColWidth="11.19921875" defaultRowHeight="15" customHeight="1"/>
  <cols>
    <col min="1" max="1" width="13.69921875" style="153" bestFit="1" customWidth="1"/>
    <col min="2" max="2" width="14.09765625" style="153" bestFit="1" customWidth="1"/>
    <col min="3" max="5" width="9" style="147" bestFit="1" customWidth="1"/>
    <col min="6" max="6" width="11.8984375" style="119" bestFit="1" customWidth="1"/>
    <col min="7" max="7" width="11.8984375" style="119" customWidth="1"/>
    <col min="9" max="9" width="11.19921875" style="239" customWidth="1"/>
    <col min="10" max="10" width="11.19921875" style="153" customWidth="1"/>
    <col min="11" max="11" width="11.69921875" style="153" bestFit="1" customWidth="1"/>
    <col min="12" max="12" width="12.3984375" style="239" bestFit="1" customWidth="1"/>
    <col min="13" max="13" width="11.59765625" style="153" customWidth="1"/>
    <col min="14" max="14" width="10" style="153" bestFit="1" customWidth="1"/>
    <col min="15" max="16" width="3.3984375" style="153" bestFit="1" customWidth="1"/>
    <col min="17" max="17" width="7.5" style="153" bestFit="1" customWidth="1"/>
    <col min="18" max="18" width="5.09765625" style="153" customWidth="1"/>
    <col min="19" max="350" width="11.19921875" style="153" customWidth="1"/>
    <col min="351" max="16384" width="11.19921875" style="153"/>
  </cols>
  <sheetData>
    <row r="1" spans="1:31" ht="20.25" customHeight="1">
      <c r="A1" s="262" t="s">
        <v>4941</v>
      </c>
      <c r="B1" s="262" t="s">
        <v>104</v>
      </c>
      <c r="C1" s="263" t="s">
        <v>4942</v>
      </c>
      <c r="D1" s="264" t="s">
        <v>4943</v>
      </c>
      <c r="E1" s="265" t="s">
        <v>4944</v>
      </c>
      <c r="F1" s="262" t="s">
        <v>4945</v>
      </c>
      <c r="G1" s="262" t="s">
        <v>4946</v>
      </c>
      <c r="H1" s="250" t="s">
        <v>125</v>
      </c>
      <c r="I1" s="250" t="s">
        <v>109</v>
      </c>
      <c r="J1" s="166" t="s">
        <v>126</v>
      </c>
      <c r="K1" s="156" t="s">
        <v>127</v>
      </c>
      <c r="L1" s="156" t="s">
        <v>128</v>
      </c>
      <c r="M1" s="152">
        <f>首頁!B5</f>
        <v>46023</v>
      </c>
      <c r="N1" s="153">
        <v>12</v>
      </c>
      <c r="O1" s="153">
        <v>12</v>
      </c>
      <c r="P1" s="153">
        <v>12</v>
      </c>
      <c r="Q1" s="115"/>
      <c r="R1" s="115"/>
      <c r="W1" s="291" t="s">
        <v>14</v>
      </c>
      <c r="X1" s="293" t="s">
        <v>18</v>
      </c>
      <c r="Y1" s="293" t="s">
        <v>18</v>
      </c>
      <c r="Z1" s="293" t="s">
        <v>18</v>
      </c>
      <c r="AA1" s="293" t="s">
        <v>18</v>
      </c>
      <c r="AB1" s="293" t="s">
        <v>18</v>
      </c>
      <c r="AC1" s="293" t="s">
        <v>18</v>
      </c>
      <c r="AD1" s="293" t="s">
        <v>18</v>
      </c>
      <c r="AE1" s="293" t="s">
        <v>18</v>
      </c>
    </row>
    <row r="2" spans="1:31" ht="21" customHeight="1">
      <c r="A2" s="266">
        <f>COUNTIFS(門市總表!E:E,N5,門市總表!F:F,"新開")</f>
        <v>0</v>
      </c>
      <c r="B2" s="267">
        <f>首頁!B3</f>
        <v>1</v>
      </c>
      <c r="C2" s="266">
        <f>N1</f>
        <v>12</v>
      </c>
      <c r="D2" s="266">
        <f>N1</f>
        <v>12</v>
      </c>
      <c r="E2" s="267">
        <f>COUNTIF(C$7:C$249,"v")</f>
        <v>4</v>
      </c>
      <c r="F2" s="267">
        <f>MAX(0, D2 - E2)</f>
        <v>8</v>
      </c>
      <c r="G2" s="268" t="str">
        <f>ROUND(IF((E2/D2)&gt;1,1,(E2/D2))*100,2)&amp;"%"</f>
        <v>33.33%</v>
      </c>
      <c r="H2" s="251" t="s">
        <v>39</v>
      </c>
      <c r="I2" s="162">
        <f>IF(H2&lt;&gt;"",COUNTIFS('0919門市清單主檔'!$Y:$Y,$N$5,'0919門市清單主檔'!$AC:$AC,H2),"")</f>
        <v>0</v>
      </c>
      <c r="J2" s="163" t="str">
        <f>IF(H2&lt;&gt;"",IF(I2=0,"0%",ROUND(K2/I2,4)*100&amp;"%"),"")</f>
        <v>0%</v>
      </c>
      <c r="K2" s="162">
        <f>IF(H2&lt;&gt;"",COUNTIF(J7:J249,"v"),"")</f>
        <v>0</v>
      </c>
      <c r="L2" s="162">
        <f>IF(H2&lt;&gt;"",I2-K2,"")</f>
        <v>0</v>
      </c>
      <c r="M2" s="152">
        <f>首頁!C5</f>
        <v>46054</v>
      </c>
      <c r="N2" s="152"/>
      <c r="Q2" s="115"/>
      <c r="R2" s="115"/>
      <c r="W2" s="159">
        <f>COUNTIFS('0919門市清單主檔'!$V:$V,W1)</f>
        <v>36</v>
      </c>
      <c r="X2" s="292" t="s">
        <v>18</v>
      </c>
      <c r="Y2" s="292" t="s">
        <v>18</v>
      </c>
      <c r="Z2" s="292" t="s">
        <v>18</v>
      </c>
      <c r="AA2" s="292" t="s">
        <v>18</v>
      </c>
      <c r="AB2" s="292" t="s">
        <v>18</v>
      </c>
      <c r="AC2" s="292" t="s">
        <v>18</v>
      </c>
      <c r="AD2" s="292" t="s">
        <v>18</v>
      </c>
      <c r="AE2" s="292" t="s">
        <v>18</v>
      </c>
    </row>
    <row r="3" spans="1:31" ht="21" customHeight="1">
      <c r="A3" s="262" t="s">
        <v>4947</v>
      </c>
      <c r="B3" s="267">
        <f>首頁!C3</f>
        <v>2</v>
      </c>
      <c r="C3" s="266">
        <f>O1</f>
        <v>12</v>
      </c>
      <c r="D3" s="266" t="str">
        <f ca="1">IF(TODAY()&gt;=M2,IF(D2-E2&lt;0,O1-(E2-D2),O1+(D2-E2)),"0")</f>
        <v>0</v>
      </c>
      <c r="E3" s="267">
        <f>COUNTIF(D$7:D$249,"v")</f>
        <v>0</v>
      </c>
      <c r="F3" s="267" t="str">
        <f ca="1">IF(TODAY()&gt;=M2,MAX(0,D3-E3),"0")</f>
        <v>0</v>
      </c>
      <c r="G3" s="268" t="e">
        <f ca="1">ROUND(IF((E3/D3)&gt;1,1,(E3/D3))*100,2)&amp;"%"</f>
        <v>#DIV/0!</v>
      </c>
      <c r="H3" s="251" t="str">
        <f>IF(首頁!B14=0,"",首頁!B14)</f>
        <v>--</v>
      </c>
      <c r="I3" s="162">
        <f>IF(H3&lt;&gt;"",COUNTIFS('0919門市清單主檔'!$Y:$Y,$N$5,'0919門市清單主檔'!$AF:$AF,H3),"")</f>
        <v>0</v>
      </c>
      <c r="J3" s="163" t="str">
        <f>IF(H3&lt;&gt;"",IF(I3=0,"0%",ROUND(K3/I3,4)*100&amp;"%"),"")</f>
        <v>0%</v>
      </c>
      <c r="K3" s="162">
        <f ca="1">IF(H3&lt;&gt;"",COUNTIF(G:G,"V"),"")</f>
        <v>0</v>
      </c>
      <c r="L3" s="162">
        <f ca="1">IF(H3&lt;&gt;"",I3-K3,"")</f>
        <v>0</v>
      </c>
      <c r="M3" s="152">
        <f>首頁!D5</f>
        <v>46082</v>
      </c>
      <c r="N3" s="152">
        <f>首頁!E5</f>
        <v>46113</v>
      </c>
      <c r="Q3" s="115"/>
      <c r="R3" s="115"/>
    </row>
    <row r="4" spans="1:31" ht="21" customHeight="1">
      <c r="A4" s="267">
        <f>COUNTIFS(門市總表!E:E,N5,門市總表!F:F,"撤店")</f>
        <v>1</v>
      </c>
      <c r="B4" s="267">
        <f>首頁!D3</f>
        <v>3</v>
      </c>
      <c r="C4" s="266">
        <f>P1</f>
        <v>12</v>
      </c>
      <c r="D4" s="266" t="str">
        <f ca="1">IF(TODAY()&gt;=M3,IF(D3-E3&lt;0,P1-(E3-D3),P1+(D3-E3)),"0")</f>
        <v>0</v>
      </c>
      <c r="E4" s="267">
        <f>COUNTIF(E$7:E$249,"v")</f>
        <v>0</v>
      </c>
      <c r="F4" s="267" t="str">
        <f ca="1">IF(TODAY()&gt;=M3,MAX(0,D4-E4),"0")</f>
        <v>0</v>
      </c>
      <c r="G4" s="268" t="e">
        <f ca="1">ROUND(IF((E4/D4)&gt;1,1,(E4/D4))*100,2)&amp;"%"</f>
        <v>#DIV/0!</v>
      </c>
      <c r="H4" s="251" t="str">
        <f>IF(首頁!C14=0,"",首頁!C14)</f>
        <v>+L90</v>
      </c>
      <c r="I4" s="162">
        <f>IF(H4&lt;&gt;"",COUNTIFS('0919門市清單主檔'!$Y:$Y,$N$5,'0919門市清單主檔'!$AG:$AG,H4),"")</f>
        <v>35</v>
      </c>
      <c r="J4" s="163" t="str">
        <f>IF(H4&lt;&gt;"",IF(I4=0,"0%",ROUND(K4/I4,4)*100&amp;"%"),"")</f>
        <v>88.57%</v>
      </c>
      <c r="K4" s="162">
        <f>IF(H4&lt;&gt;"",COUNTIF(H:H,"V"),"")</f>
        <v>31</v>
      </c>
      <c r="L4" s="162">
        <f>IF(H4&lt;&gt;"",I4-K4,"")</f>
        <v>4</v>
      </c>
      <c r="M4" s="152">
        <f>首頁!F5</f>
        <v>46023</v>
      </c>
      <c r="Q4" s="115"/>
      <c r="R4" s="115"/>
    </row>
    <row r="5" spans="1:31" ht="22.5" customHeight="1">
      <c r="A5" s="266">
        <f>COUNTA(A7:A248)-COUNTIF(F7:F249,"非當季")-A2</f>
        <v>36</v>
      </c>
      <c r="B5" s="269" t="s">
        <v>116</v>
      </c>
      <c r="C5" s="270">
        <f>SUM(C2:C4)</f>
        <v>36</v>
      </c>
      <c r="D5" s="270"/>
      <c r="E5" s="270">
        <f>SUM(E2:E4)</f>
        <v>4</v>
      </c>
      <c r="F5" s="270">
        <f>A5-SUM(E2:E4)</f>
        <v>32</v>
      </c>
      <c r="G5" s="271" t="str">
        <f>ROUND(IF((E5/C5)&gt;1,1,(E5/C5))*100,0)&amp;"%"</f>
        <v>11%</v>
      </c>
      <c r="H5" s="251" t="str">
        <f>IF(首頁!D14=0,"",首頁!D14)</f>
        <v>+721</v>
      </c>
      <c r="I5" s="162">
        <f>IF(H5&lt;&gt;"",COUNTIFS('0919門市清單主檔'!$Y:$Y,$N$5,'0919門市清單主檔'!$AH:$AH,H5),"")</f>
        <v>30</v>
      </c>
      <c r="J5" s="163" t="str">
        <f>IF(H5&lt;&gt;"",IF(I5=0,"0%",ROUND(K5/I5,4)*100&amp;"%"),"")</f>
        <v>6.67%</v>
      </c>
      <c r="K5" s="162">
        <f>IF(H5&lt;&gt;"",COUNTIF(I:I,"V"),"")</f>
        <v>2</v>
      </c>
      <c r="L5" s="162">
        <f>IF(H5&lt;&gt;"",I5-K5,"")</f>
        <v>28</v>
      </c>
      <c r="M5" s="152">
        <f ca="1">TODAY()</f>
        <v>46045</v>
      </c>
      <c r="N5" s="294" t="s">
        <v>134</v>
      </c>
      <c r="Q5" s="115"/>
      <c r="R5" s="115"/>
      <c r="S5" s="174"/>
      <c r="T5" s="175"/>
      <c r="U5" s="154" t="s">
        <v>4954</v>
      </c>
      <c r="V5" s="155" t="str">
        <f t="array" ref="V5">IFERROR(HYPERLINK("#" &amp; ADDRESS(MIN(IF(ISNUMBER(SEARCH(U5, A6:J180)), ROW(A6:J180), 10000000000)), MIN(IF(ISNUMBER(SEARCH(U5, A6:J180)), COLUMN(A6:J180), 10000000000))), "搜索"), "未找到")</f>
        <v>未找到</v>
      </c>
      <c r="W5" s="239"/>
    </row>
    <row r="6" spans="1:31" ht="25.5" customHeight="1">
      <c r="A6" s="252" t="s">
        <v>26</v>
      </c>
      <c r="B6" s="252" t="s">
        <v>27</v>
      </c>
      <c r="C6" s="252" t="str">
        <f>首頁!B4</f>
        <v>1月</v>
      </c>
      <c r="D6" s="252" t="str">
        <f>首頁!C4</f>
        <v>2月</v>
      </c>
      <c r="E6" s="252" t="str">
        <f>首頁!D4</f>
        <v>3月</v>
      </c>
      <c r="F6" s="252" t="s">
        <v>4945</v>
      </c>
      <c r="G6" s="252" t="str">
        <f>H3</f>
        <v>--</v>
      </c>
      <c r="H6" s="252" t="str">
        <f>H4</f>
        <v>+L90</v>
      </c>
      <c r="I6" s="252" t="str">
        <f>H5</f>
        <v>+721</v>
      </c>
      <c r="J6" s="252" t="str">
        <f>H2</f>
        <v>HUB</v>
      </c>
      <c r="K6" s="252" t="s">
        <v>4948</v>
      </c>
      <c r="L6" s="252" t="s">
        <v>4949</v>
      </c>
      <c r="M6" s="154" t="s">
        <v>4956</v>
      </c>
      <c r="N6" s="155" t="str">
        <f t="array" ref="N6">IFERROR(HYPERLINK("#" &amp; ADDRESS(MIN(IF(ISNUMBER(SEARCH(M6, A6:J186)), ROW(A6:J186), 10000000000)), MIN(IF(ISNUMBER(SEARCH(M6, A6:J186)), COLUMN(A6:J186), 10000000000))), "搜索"), "未找到")</f>
        <v>搜索</v>
      </c>
      <c r="Q6" s="115"/>
      <c r="R6" s="115"/>
    </row>
    <row r="7" spans="1:31" ht="21.6" customHeight="1">
      <c r="A7" s="116">
        <v>3818</v>
      </c>
      <c r="B7" s="116" t="str">
        <f>VLOOKUP(A7,門市總表!A:B,2,FALSE)</f>
        <v>板橋漢江店</v>
      </c>
      <c r="C7" s="146" t="str">
        <f>IF(COUNTIFS(IM!$F:$F,A7,IM!$AD:$AD,"O",IM!$X:$X,"&gt;="&amp;$M$1, IM!$X:$X,"&lt;"&amp;$M$2)&gt;0,"V","")</f>
        <v/>
      </c>
      <c r="D7" s="146" t="str">
        <f>IF(AND(C7&lt;&gt;"V", COUNTIFS(IM!$F:$F,A7, IM!$AD:$AD, "O", IM!$X:$X, "&gt;="&amp;$M$2, IM!$X:$X, "&lt;"&amp;$M$3)&gt;0), "V", "")</f>
        <v/>
      </c>
      <c r="E7" s="146" t="str">
        <f>IF(AND(C7&lt;&gt;"V",D7&lt;&gt;"V", COUNTIFS(IM!$F:$F, A7, IM!$AD:$AD, "O", IM!$X:$X, "&gt;="&amp;$M$3, IM!$X:$X, "&lt;"&amp;$N$3)&gt;0), "V", "")</f>
        <v/>
      </c>
      <c r="F7" s="116" t="str">
        <f>IF(VLOOKUP(A7,門市總表!A:F,6,FALSE)="新開","新開不保養",
IF(VLOOKUP(A7,門市總表!A:F,6,FALSE)="撤店","閉店不保養",IF(VLOOKUP(A7,門市總表!A:F,6,FALSE)="非當季","非當季",IF(VLOOKUP(A7,門市總表!A:F,6,FALSE)="跨季補單","跨季補單",
IF(COUNTBLANK(C7:E7)=3,"未保養","")
))))</f>
        <v>閉店不保養</v>
      </c>
      <c r="G7" s="116" t="str">
        <f>IF(COUNTIFS('0919門市清單主檔'!C:C,B7,'0919門市清單主檔'!AF:AF,$H$3)=1,
    IF(COUNTIFS(IM!F:F,A7,IM!AC:AC,"*"&amp;$H$3&amp;"*") + COUNTIFS('0919門市清單主檔'!C:C,B7,'0919門市清單主檔'!AF:AF,$H$3) &gt; 1,
       "V","未完工"),"-")</f>
        <v>-</v>
      </c>
      <c r="H7" s="253" t="str">
        <f>IF(COUNTIFS('0919門市清單主檔'!C:C,B7,'0919門市清單主檔'!AG:AG,$H$4)=1,
    IF(COUNTIFS(IM!F:F,A7,IM!AC:AC,"*"&amp;$H$4&amp;"*") + COUNTIFS('0919門市清單主檔'!C:C,B7,'0919門市清單主檔'!AG:AG,$H$4) &gt; 1,
       "V","未完工"),"-")</f>
        <v>V</v>
      </c>
      <c r="I7" s="253" t="str">
        <f>IF(COUNTIFS('0919門市清單主檔'!C:C,B7,'0919門市清單主檔'!AH:AH,$H$5)=1,
    IF(COUNTIFS(IM!F:F,A7,IM!AC:AC,"*"&amp;$H$5&amp;"*") + COUNTIFS('0919門市清單主檔'!C:C,B7,'0919門市清單主檔'!AH:AH,$H$5) &gt; 1,
       "V","未完工"),"-")</f>
        <v>未完工</v>
      </c>
      <c r="J7" s="253" t="str">
        <f>IF(
    COUNTIFS('0919門市清單主檔'!C:C,B7,'0919門市清單主檔'!AC:AC,$H$2)=1,
    IF(
        COUNTIFS(
            IM!F:F,A7,
            IM!AC:AC,"*"&amp;$H$2&amp;"*",
            IM!X:X,"&gt;="&amp;$M$1,
            IM!X:X,"&lt;="&amp;$M$3
        )
        + COUNTIFS('0919門市清單主檔'!C:C,B7,'0919門市清單主檔'!AC:AC,$H$2)
        &gt;1,
        "V",
        "未完工"
    ),
    "-"
)</f>
        <v>-</v>
      </c>
      <c r="K7" s="122">
        <v>45904</v>
      </c>
      <c r="L7" s="116" t="str">
        <f>VLOOKUP(A7,'0919門市清單主檔'!B:V,21,FALSE)</f>
        <v>板橋區</v>
      </c>
      <c r="Q7" s="115" t="s">
        <v>4951</v>
      </c>
      <c r="R7" s="115"/>
    </row>
    <row r="8" spans="1:31" ht="21.6" customHeight="1">
      <c r="A8" s="116" t="s">
        <v>83</v>
      </c>
      <c r="B8" s="116" t="str">
        <f>VLOOKUP(A8,門市總表!A:B,2,FALSE)</f>
        <v>車麗屋板橋店</v>
      </c>
      <c r="C8" s="146" t="str">
        <f>IF(COUNTIFS(IM!$F:$F,A8,IM!$AD:$AD,"O",IM!$X:$X,"&gt;="&amp;$M$1, IM!$X:$X,"&lt;"&amp;$M$2)&gt;0,"V","")</f>
        <v/>
      </c>
      <c r="D8" s="146" t="str">
        <f>IF(AND(C8&lt;&gt;"V", COUNTIFS(IM!$F:$F,A8, IM!$AD:$AD, "O", IM!$X:$X, "&gt;="&amp;$M$2, IM!$X:$X, "&lt;"&amp;$M$3)&gt;0), "V", "")</f>
        <v/>
      </c>
      <c r="E8" s="146" t="str">
        <f>IF(AND(C8&lt;&gt;"V",D8&lt;&gt;"V", COUNTIFS(IM!$F:$F, A8, IM!$AD:$AD, "O", IM!$X:$X, "&gt;="&amp;$M$3, IM!$X:$X, "&lt;"&amp;$N$3)&gt;0), "V", "")</f>
        <v/>
      </c>
      <c r="F8" s="116" t="str">
        <f>IF(VLOOKUP(A8,門市總表!A:F,6,FALSE)="新開","新開不保養",
IF(VLOOKUP(A8,門市總表!A:F,6,FALSE)="撤店","閉店不保養",IF(VLOOKUP(A8,門市總表!A:F,6,FALSE)="非當季","非當季",IF(VLOOKUP(A8,門市總表!A:F,6,FALSE)="跨季補單","跨季補單",
IF(COUNTBLANK(C8:E8)=3,"未保養","")
))))</f>
        <v>未保養</v>
      </c>
      <c r="G8" s="116" t="str">
        <f>IF(COUNTIFS('0919門市清單主檔'!C:C,B8,'0919門市清單主檔'!AF:AF,$H$3)=1,
    IF(COUNTIFS(IM!F:F,A8,IM!AC:AC,"*"&amp;$H$3&amp;"*") + COUNTIFS('0919門市清單主檔'!C:C,B8,'0919門市清單主檔'!AF:AF,$H$3) &gt; 1,
       "V","未完工"),"-")</f>
        <v>-</v>
      </c>
      <c r="H8" s="253" t="str">
        <f>IF(COUNTIFS('0919門市清單主檔'!C:C,B8,'0919門市清單主檔'!AG:AG,$H$4)=1,
    IF(COUNTIFS(IM!F:F,A8,IM!AC:AC,"*"&amp;$H$4&amp;"*") + COUNTIFS('0919門市清單主檔'!C:C,B8,'0919門市清單主檔'!AG:AG,$H$4) &gt; 1,
       "V","未完工"),"-")</f>
        <v>-</v>
      </c>
      <c r="I8" s="253" t="str">
        <f>IF(COUNTIFS('0919門市清單主檔'!C:C,B8,'0919門市清單主檔'!AH:AH,$H$5)=1,
    IF(COUNTIFS(IM!F:F,A8,IM!AC:AC,"*"&amp;$H$5&amp;"*") + COUNTIFS('0919門市清單主檔'!C:C,B8,'0919門市清單主檔'!AH:AH,$H$5) &gt; 1,
       "V","未完工"),"-")</f>
        <v>-</v>
      </c>
      <c r="J8" s="253" t="str">
        <f>IF(
    COUNTIFS('0919門市清單主檔'!C:C,B8,'0919門市清單主檔'!AC:AC,$H$2)=1,
    IF(
        COUNTIFS(
            IM!F:F,A8,
            IM!AC:AC,"*"&amp;$H$2&amp;"*",
            IM!X:X,"&gt;="&amp;$M$1,
            IM!X:X,"&lt;="&amp;$M$3
        )
        + COUNTIFS('0919門市清單主檔'!C:C,B8,'0919門市清單主檔'!AC:AC,$H$2)
        &gt;1,
        "V",
        "未完工"
    ),
    "-"
)</f>
        <v>-</v>
      </c>
      <c r="K8" s="122">
        <v>45925</v>
      </c>
      <c r="L8" s="116" t="str">
        <f>VLOOKUP(A8,'0919門市清單主檔'!B:V,21,FALSE)</f>
        <v>板橋區</v>
      </c>
      <c r="Q8" s="115" t="s">
        <v>4951</v>
      </c>
      <c r="R8" s="115"/>
    </row>
    <row r="9" spans="1:31" ht="21.6" customHeight="1">
      <c r="A9" s="116">
        <v>3551</v>
      </c>
      <c r="B9" s="116" t="str">
        <f>VLOOKUP(A9,門市總表!A:B,2,FALSE)</f>
        <v>板橋板豐店</v>
      </c>
      <c r="C9" s="146" t="str">
        <f>IF(COUNTIFS(IM!$F:$F,A9,IM!$AD:$AD,"O",IM!$X:$X,"&gt;="&amp;$M$1, IM!$X:$X,"&lt;"&amp;$M$2)&gt;0,"V","")</f>
        <v/>
      </c>
      <c r="D9" s="146" t="str">
        <f>IF(AND(C9&lt;&gt;"V", COUNTIFS(IM!$F:$F,A9, IM!$AD:$AD, "O", IM!$X:$X, "&gt;="&amp;$M$2, IM!$X:$X, "&lt;"&amp;$M$3)&gt;0), "V", "")</f>
        <v/>
      </c>
      <c r="E9" s="146" t="str">
        <f>IF(AND(C9&lt;&gt;"V",D9&lt;&gt;"V", COUNTIFS(IM!$F:$F, A9, IM!$AD:$AD, "O", IM!$X:$X, "&gt;="&amp;$M$3, IM!$X:$X, "&lt;"&amp;$N$3)&gt;0), "V", "")</f>
        <v/>
      </c>
      <c r="F9" s="116" t="str">
        <f>IF(VLOOKUP(A9,門市總表!A:F,6,FALSE)="新開","新開不保養",
IF(VLOOKUP(A9,門市總表!A:F,6,FALSE)="撤店","閉店不保養",IF(VLOOKUP(A9,門市總表!A:F,6,FALSE)="非當季","非當季",IF(VLOOKUP(A9,門市總表!A:F,6,FALSE)="跨季補單","跨季補單",
IF(COUNTBLANK(C9:E9)=3,"未保養","")
))))</f>
        <v>未保養</v>
      </c>
      <c r="G9" s="116" t="str">
        <f>IF(COUNTIFS('0919門市清單主檔'!C:C,B9,'0919門市清單主檔'!AF:AF,$H$3)=1,
    IF(COUNTIFS(IM!F:F,A9,IM!AC:AC,"*"&amp;$H$3&amp;"*") + COUNTIFS('0919門市清單主檔'!C:C,B9,'0919門市清單主檔'!AF:AF,$H$3) &gt; 1,
       "V","未完工"),"-")</f>
        <v>-</v>
      </c>
      <c r="H9" s="253" t="str">
        <f>IF(COUNTIFS('0919門市清單主檔'!C:C,B9,'0919門市清單主檔'!AG:AG,$H$4)=1,
    IF(COUNTIFS(IM!F:F,A9,IM!AC:AC,"*"&amp;$H$4&amp;"*") + COUNTIFS('0919門市清單主檔'!C:C,B9,'0919門市清單主檔'!AG:AG,$H$4) &gt; 1,
       "V","未完工"),"-")</f>
        <v>V</v>
      </c>
      <c r="I9" s="253" t="str">
        <f>IF(COUNTIFS('0919門市清單主檔'!C:C,B9,'0919門市清單主檔'!AH:AH,$H$5)=1,
    IF(COUNTIFS(IM!F:F,A9,IM!AC:AC,"*"&amp;$H$5&amp;"*") + COUNTIFS('0919門市清單主檔'!C:C,B9,'0919門市清單主檔'!AH:AH,$H$5) &gt; 1,
       "V","未完工"),"-")</f>
        <v>未完工</v>
      </c>
      <c r="J9" s="253" t="str">
        <f>IF(
    COUNTIFS('0919門市清單主檔'!C:C,B9,'0919門市清單主檔'!AC:AC,$H$2)=1,
    IF(
        COUNTIFS(
            IM!F:F,A9,
            IM!AC:AC,"*"&amp;$H$2&amp;"*",
            IM!X:X,"&gt;="&amp;$M$1,
            IM!X:X,"&lt;="&amp;$M$3
        )
        + COUNTIFS('0919門市清單主檔'!C:C,B9,'0919門市清單主檔'!AC:AC,$H$2)
        &gt;1,
        "V",
        "未完工"
    ),
    "-"
)</f>
        <v>-</v>
      </c>
      <c r="K9" s="122">
        <v>45925</v>
      </c>
      <c r="L9" s="116" t="str">
        <f>VLOOKUP(A9,'0919門市清單主檔'!B:V,21,FALSE)</f>
        <v>板橋區</v>
      </c>
      <c r="Q9" s="115" t="s">
        <v>4951</v>
      </c>
      <c r="R9" s="115"/>
    </row>
    <row r="10" spans="1:31" ht="21.6" customHeight="1">
      <c r="A10" s="116">
        <v>2995</v>
      </c>
      <c r="B10" s="116" t="str">
        <f>VLOOKUP(A10,門市總表!A:B,2,FALSE)</f>
        <v>板橋湳雅夜市</v>
      </c>
      <c r="C10" s="146" t="str">
        <f>IF(COUNTIFS(IM!$F:$F,A10,IM!$AD:$AD,"O",IM!$X:$X,"&gt;="&amp;$M$1, IM!$X:$X,"&lt;"&amp;$M$2)&gt;0,"V","")</f>
        <v/>
      </c>
      <c r="D10" s="146" t="str">
        <f>IF(AND(C10&lt;&gt;"V", COUNTIFS(IM!$F:$F,A10, IM!$AD:$AD, "O", IM!$X:$X, "&gt;="&amp;$M$2, IM!$X:$X, "&lt;"&amp;$M$3)&gt;0), "V", "")</f>
        <v/>
      </c>
      <c r="E10" s="146" t="str">
        <f>IF(AND(C10&lt;&gt;"V",D10&lt;&gt;"V", COUNTIFS(IM!$F:$F, A10, IM!$AD:$AD, "O", IM!$X:$X, "&gt;="&amp;$M$3, IM!$X:$X, "&lt;"&amp;$N$3)&gt;0), "V", "")</f>
        <v/>
      </c>
      <c r="F10" s="116" t="str">
        <f>IF(VLOOKUP(A10,門市總表!A:F,6,FALSE)="新開","新開不保養",
IF(VLOOKUP(A10,門市總表!A:F,6,FALSE)="撤店","閉店不保養",IF(VLOOKUP(A10,門市總表!A:F,6,FALSE)="非當季","非當季",IF(VLOOKUP(A10,門市總表!A:F,6,FALSE)="跨季補單","跨季補單",
IF(COUNTBLANK(C10:E10)=3,"未保養","")
))))</f>
        <v>未保養</v>
      </c>
      <c r="G10" s="116" t="str">
        <f>IF(COUNTIFS('0919門市清單主檔'!C:C,B10,'0919門市清單主檔'!AF:AF,$H$3)=1,
    IF(COUNTIFS(IM!F:F,A10,IM!AC:AC,"*"&amp;$H$3&amp;"*") + COUNTIFS('0919門市清單主檔'!C:C,B10,'0919門市清單主檔'!AF:AF,$H$3) &gt; 1,
       "V","未完工"),"-")</f>
        <v>-</v>
      </c>
      <c r="H10" s="253" t="str">
        <f>IF(COUNTIFS('0919門市清單主檔'!C:C,B10,'0919門市清單主檔'!AG:AG,$H$4)=1,
    IF(COUNTIFS(IM!F:F,A10,IM!AC:AC,"*"&amp;$H$4&amp;"*") + COUNTIFS('0919門市清單主檔'!C:C,B10,'0919門市清單主檔'!AG:AG,$H$4) &gt; 1,
       "V","未完工"),"-")</f>
        <v>V</v>
      </c>
      <c r="I10" s="253" t="str">
        <f>IF(COUNTIFS('0919門市清單主檔'!C:C,B10,'0919門市清單主檔'!AH:AH,$H$5)=1,
    IF(COUNTIFS(IM!F:F,A10,IM!AC:AC,"*"&amp;$H$5&amp;"*") + COUNTIFS('0919門市清單主檔'!C:C,B10,'0919門市清單主檔'!AH:AH,$H$5) &gt; 1,
       "V","未完工"),"-")</f>
        <v>未完工</v>
      </c>
      <c r="J10" s="253" t="str">
        <f>IF(
    COUNTIFS('0919門市清單主檔'!C:C,B10,'0919門市清單主檔'!AC:AC,$H$2)=1,
    IF(
        COUNTIFS(
            IM!F:F,A10,
            IM!AC:AC,"*"&amp;$H$2&amp;"*",
            IM!X:X,"&gt;="&amp;$M$1,
            IM!X:X,"&lt;="&amp;$M$3
        )
        + COUNTIFS('0919門市清單主檔'!C:C,B10,'0919門市清單主檔'!AC:AC,$H$2)
        &gt;1,
        "V",
        "未完工"
    ),
    "-"
)</f>
        <v>-</v>
      </c>
      <c r="K10" s="122">
        <v>45925</v>
      </c>
      <c r="L10" s="116" t="str">
        <f>VLOOKUP(A10,'0919門市清單主檔'!B:V,21,FALSE)</f>
        <v>板橋區</v>
      </c>
      <c r="Q10" s="115" t="s">
        <v>4951</v>
      </c>
      <c r="R10" s="115"/>
    </row>
    <row r="11" spans="1:31" ht="21.6" customHeight="1">
      <c r="A11" s="116">
        <v>3147</v>
      </c>
      <c r="B11" s="116" t="str">
        <f>VLOOKUP(A11,門市總表!A:B,2,FALSE)</f>
        <v>北縣板明店</v>
      </c>
      <c r="C11" s="146" t="str">
        <f>IF(COUNTIFS(IM!$F:$F,A11,IM!$AD:$AD,"O",IM!$X:$X,"&gt;="&amp;$M$1, IM!$X:$X,"&lt;"&amp;$M$2)&gt;0,"V","")</f>
        <v/>
      </c>
      <c r="D11" s="146" t="str">
        <f>IF(AND(C11&lt;&gt;"V", COUNTIFS(IM!$F:$F,A11, IM!$AD:$AD, "O", IM!$X:$X, "&gt;="&amp;$M$2, IM!$X:$X, "&lt;"&amp;$M$3)&gt;0), "V", "")</f>
        <v/>
      </c>
      <c r="E11" s="146" t="str">
        <f>IF(AND(C11&lt;&gt;"V",D11&lt;&gt;"V", COUNTIFS(IM!$F:$F, A11, IM!$AD:$AD, "O", IM!$X:$X, "&gt;="&amp;$M$3, IM!$X:$X, "&lt;"&amp;$N$3)&gt;0), "V", "")</f>
        <v/>
      </c>
      <c r="F11" s="116" t="str">
        <f>IF(VLOOKUP(A11,門市總表!A:F,6,FALSE)="新開","新開不保養",
IF(VLOOKUP(A11,門市總表!A:F,6,FALSE)="撤店","閉店不保養",IF(VLOOKUP(A11,門市總表!A:F,6,FALSE)="非當季","非當季",IF(VLOOKUP(A11,門市總表!A:F,6,FALSE)="跨季補單","跨季補單",
IF(COUNTBLANK(C11:E11)=3,"未保養","")
))))</f>
        <v>未保養</v>
      </c>
      <c r="G11" s="116" t="str">
        <f>IF(COUNTIFS('0919門市清單主檔'!C:C,B11,'0919門市清單主檔'!AF:AF,$H$3)=1,
    IF(COUNTIFS(IM!F:F,A11,IM!AC:AC,"*"&amp;$H$3&amp;"*") + COUNTIFS('0919門市清單主檔'!C:C,B11,'0919門市清單主檔'!AF:AF,$H$3) &gt; 1,
       "V","未完工"),"-")</f>
        <v>-</v>
      </c>
      <c r="H11" s="253" t="str">
        <f>IF(COUNTIFS('0919門市清單主檔'!C:C,B11,'0919門市清單主檔'!AG:AG,$H$4)=1,
    IF(COUNTIFS(IM!F:F,A11,IM!AC:AC,"*"&amp;$H$4&amp;"*") + COUNTIFS('0919門市清單主檔'!C:C,B11,'0919門市清單主檔'!AG:AG,$H$4) &gt; 1,
       "V","未完工"),"-")</f>
        <v>V</v>
      </c>
      <c r="I11" s="253" t="str">
        <f>IF(COUNTIFS('0919門市清單主檔'!C:C,B11,'0919門市清單主檔'!AH:AH,$H$5)=1,
    IF(COUNTIFS(IM!F:F,A11,IM!AC:AC,"*"&amp;$H$5&amp;"*") + COUNTIFS('0919門市清單主檔'!C:C,B11,'0919門市清單主檔'!AH:AH,$H$5) &gt; 1,
       "V","未完工"),"-")</f>
        <v>未完工</v>
      </c>
      <c r="J11" s="253" t="str">
        <f>IF(
    COUNTIFS('0919門市清單主檔'!C:C,B11,'0919門市清單主檔'!AC:AC,$H$2)=1,
    IF(
        COUNTIFS(
            IM!F:F,A11,
            IM!AC:AC,"*"&amp;$H$2&amp;"*",
            IM!X:X,"&gt;="&amp;$M$1,
            IM!X:X,"&lt;="&amp;$M$3
        )
        + COUNTIFS('0919門市清單主檔'!C:C,B11,'0919門市清單主檔'!AC:AC,$H$2)
        &gt;1,
        "V",
        "未完工"
    ),
    "-"
)</f>
        <v>-</v>
      </c>
      <c r="K11" s="122">
        <v>45922</v>
      </c>
      <c r="L11" s="116" t="str">
        <f>VLOOKUP(A11,'0919門市清單主檔'!B:V,21,FALSE)</f>
        <v>板橋區</v>
      </c>
      <c r="Q11" s="115" t="s">
        <v>4951</v>
      </c>
      <c r="R11" s="115"/>
    </row>
    <row r="12" spans="1:31" ht="21.6" customHeight="1">
      <c r="A12" s="116">
        <v>2224</v>
      </c>
      <c r="B12" s="116" t="str">
        <f>VLOOKUP(A12,門市總表!A:B,2,FALSE)</f>
        <v>板橋莒光店</v>
      </c>
      <c r="C12" s="146" t="str">
        <f>IF(COUNTIFS(IM!$F:$F,A12,IM!$AD:$AD,"O",IM!$X:$X,"&gt;="&amp;$M$1, IM!$X:$X,"&lt;"&amp;$M$2)&gt;0,"V","")</f>
        <v/>
      </c>
      <c r="D12" s="146" t="str">
        <f>IF(AND(C12&lt;&gt;"V", COUNTIFS(IM!$F:$F,A12, IM!$AD:$AD, "O", IM!$X:$X, "&gt;="&amp;$M$2, IM!$X:$X, "&lt;"&amp;$M$3)&gt;0), "V", "")</f>
        <v/>
      </c>
      <c r="E12" s="146" t="str">
        <f>IF(AND(C12&lt;&gt;"V",D12&lt;&gt;"V", COUNTIFS(IM!$F:$F, A12, IM!$AD:$AD, "O", IM!$X:$X, "&gt;="&amp;$M$3, IM!$X:$X, "&lt;"&amp;$N$3)&gt;0), "V", "")</f>
        <v/>
      </c>
      <c r="F12" s="116" t="str">
        <f>IF(VLOOKUP(A12,門市總表!A:F,6,FALSE)="新開","新開不保養",
IF(VLOOKUP(A12,門市總表!A:F,6,FALSE)="撤店","閉店不保養",IF(VLOOKUP(A12,門市總表!A:F,6,FALSE)="非當季","非當季",IF(VLOOKUP(A12,門市總表!A:F,6,FALSE)="跨季補單","跨季補單",
IF(COUNTBLANK(C12:E12)=3,"未保養","")
))))</f>
        <v>未保養</v>
      </c>
      <c r="G12" s="116" t="str">
        <f>IF(COUNTIFS('0919門市清單主檔'!C:C,B12,'0919門市清單主檔'!AF:AF,$H$3)=1,
    IF(COUNTIFS(IM!F:F,A12,IM!AC:AC,"*"&amp;$H$3&amp;"*") + COUNTIFS('0919門市清單主檔'!C:C,B12,'0919門市清單主檔'!AF:AF,$H$3) &gt; 1,
       "V","未完工"),"-")</f>
        <v>-</v>
      </c>
      <c r="H12" s="253" t="str">
        <f>IF(COUNTIFS('0919門市清單主檔'!C:C,B12,'0919門市清單主檔'!AG:AG,$H$4)=1,
    IF(COUNTIFS(IM!F:F,A12,IM!AC:AC,"*"&amp;$H$4&amp;"*") + COUNTIFS('0919門市清單主檔'!C:C,B12,'0919門市清單主檔'!AG:AG,$H$4) &gt; 1,
       "V","未完工"),"-")</f>
        <v>V</v>
      </c>
      <c r="I12" s="253" t="str">
        <f>IF(COUNTIFS('0919門市清單主檔'!C:C,B12,'0919門市清單主檔'!AH:AH,$H$5)=1,
    IF(COUNTIFS(IM!F:F,A12,IM!AC:AC,"*"&amp;$H$5&amp;"*") + COUNTIFS('0919門市清單主檔'!C:C,B12,'0919門市清單主檔'!AH:AH,$H$5) &gt; 1,
       "V","未完工"),"-")</f>
        <v>未完工</v>
      </c>
      <c r="J12" s="253" t="str">
        <f>IF(
    COUNTIFS('0919門市清單主檔'!C:C,B12,'0919門市清單主檔'!AC:AC,$H$2)=1,
    IF(
        COUNTIFS(
            IM!F:F,A12,
            IM!AC:AC,"*"&amp;$H$2&amp;"*",
            IM!X:X,"&gt;="&amp;$M$1,
            IM!X:X,"&lt;="&amp;$M$3
        )
        + COUNTIFS('0919門市清單主檔'!C:C,B12,'0919門市清單主檔'!AC:AC,$H$2)
        &gt;1,
        "V",
        "未完工"
    ),
    "-"
)</f>
        <v>-</v>
      </c>
      <c r="K12" s="122">
        <v>45916</v>
      </c>
      <c r="L12" s="116" t="str">
        <f>VLOOKUP(A12,'0919門市清單主檔'!B:V,21,FALSE)</f>
        <v>板橋區</v>
      </c>
      <c r="Q12" s="115" t="s">
        <v>4951</v>
      </c>
      <c r="R12" s="115"/>
    </row>
    <row r="13" spans="1:31" ht="21.6" customHeight="1">
      <c r="A13" s="116" t="s">
        <v>82</v>
      </c>
      <c r="B13" s="116" t="str">
        <f>VLOOKUP(A13,門市總表!A:B,2,FALSE)</f>
        <v>板橋寶翠店</v>
      </c>
      <c r="C13" s="146" t="str">
        <f>IF(COUNTIFS(IM!$F:$F,A13,IM!$AD:$AD,"O",IM!$X:$X,"&gt;="&amp;$M$1, IM!$X:$X,"&lt;"&amp;$M$2)&gt;0,"V","")</f>
        <v/>
      </c>
      <c r="D13" s="146" t="str">
        <f>IF(AND(C13&lt;&gt;"V", COUNTIFS(IM!$F:$F,A13, IM!$AD:$AD, "O", IM!$X:$X, "&gt;="&amp;$M$2, IM!$X:$X, "&lt;"&amp;$M$3)&gt;0), "V", "")</f>
        <v/>
      </c>
      <c r="E13" s="146" t="str">
        <f>IF(AND(C13&lt;&gt;"V",D13&lt;&gt;"V", COUNTIFS(IM!$F:$F, A13, IM!$AD:$AD, "O", IM!$X:$X, "&gt;="&amp;$M$3, IM!$X:$X, "&lt;"&amp;$N$3)&gt;0), "V", "")</f>
        <v/>
      </c>
      <c r="F13" s="116" t="str">
        <f>IF(VLOOKUP(A13,門市總表!A:F,6,FALSE)="新開","新開不保養",
IF(VLOOKUP(A13,門市總表!A:F,6,FALSE)="撤店","閉店不保養",IF(VLOOKUP(A13,門市總表!A:F,6,FALSE)="非當季","非當季",IF(VLOOKUP(A13,門市總表!A:F,6,FALSE)="跨季補單","跨季補單",
IF(COUNTBLANK(C13:E13)=3,"未保養","")
))))</f>
        <v>未保養</v>
      </c>
      <c r="G13" s="116" t="str">
        <f>IF(COUNTIFS('0919門市清單主檔'!C:C,B13,'0919門市清單主檔'!AF:AF,$H$3)=1,
    IF(COUNTIFS(IM!F:F,A13,IM!AC:AC,"*"&amp;$H$3&amp;"*") + COUNTIFS('0919門市清單主檔'!C:C,B13,'0919門市清單主檔'!AF:AF,$H$3) &gt; 1,
       "V","未完工"),"-")</f>
        <v>-</v>
      </c>
      <c r="H13" s="253" t="str">
        <f>IF(COUNTIFS('0919門市清單主檔'!C:C,B13,'0919門市清單主檔'!AG:AG,$H$4)=1,
    IF(COUNTIFS(IM!F:F,A13,IM!AC:AC,"*"&amp;$H$4&amp;"*") + COUNTIFS('0919門市清單主檔'!C:C,B13,'0919門市清單主檔'!AG:AG,$H$4) &gt; 1,
       "V","未完工"),"-")</f>
        <v>V</v>
      </c>
      <c r="I13" s="253" t="str">
        <f>IF(COUNTIFS('0919門市清單主檔'!C:C,B13,'0919門市清單主檔'!AH:AH,$H$5)=1,
    IF(COUNTIFS(IM!F:F,A13,IM!AC:AC,"*"&amp;$H$5&amp;"*") + COUNTIFS('0919門市清單主檔'!C:C,B13,'0919門市清單主檔'!AH:AH,$H$5) &gt; 1,
       "V","未完工"),"-")</f>
        <v>未完工</v>
      </c>
      <c r="J13" s="253" t="str">
        <f>IF(
    COUNTIFS('0919門市清單主檔'!C:C,B13,'0919門市清單主檔'!AC:AC,$H$2)=1,
    IF(
        COUNTIFS(
            IM!F:F,A13,
            IM!AC:AC,"*"&amp;$H$2&amp;"*",
            IM!X:X,"&gt;="&amp;$M$1,
            IM!X:X,"&lt;="&amp;$M$3
        )
        + COUNTIFS('0919門市清單主檔'!C:C,B13,'0919門市清單主檔'!AC:AC,$H$2)
        &gt;1,
        "V",
        "未完工"
    ),
    "-"
)</f>
        <v>-</v>
      </c>
      <c r="K13" s="122">
        <v>45916</v>
      </c>
      <c r="L13" s="116" t="str">
        <f>VLOOKUP(A13,'0919門市清單主檔'!B:V,21,FALSE)</f>
        <v>板橋區</v>
      </c>
      <c r="Q13" s="115" t="s">
        <v>4951</v>
      </c>
      <c r="R13" s="115"/>
    </row>
    <row r="14" spans="1:31" ht="21.6" customHeight="1">
      <c r="A14" s="116">
        <v>3752</v>
      </c>
      <c r="B14" s="116" t="str">
        <f>VLOOKUP(A14,門市總表!A:B,2,FALSE)</f>
        <v>板橋豫章店</v>
      </c>
      <c r="C14" s="146" t="str">
        <f>IF(COUNTIFS(IM!$F:$F,A14,IM!$AD:$AD,"O",IM!$X:$X,"&gt;="&amp;$M$1, IM!$X:$X,"&lt;"&amp;$M$2)&gt;0,"V","")</f>
        <v/>
      </c>
      <c r="D14" s="146" t="str">
        <f>IF(AND(C14&lt;&gt;"V", COUNTIFS(IM!$F:$F,A14, IM!$AD:$AD, "O", IM!$X:$X, "&gt;="&amp;$M$2, IM!$X:$X, "&lt;"&amp;$M$3)&gt;0), "V", "")</f>
        <v/>
      </c>
      <c r="E14" s="146" t="str">
        <f>IF(AND(C14&lt;&gt;"V",D14&lt;&gt;"V", COUNTIFS(IM!$F:$F, A14, IM!$AD:$AD, "O", IM!$X:$X, "&gt;="&amp;$M$3, IM!$X:$X, "&lt;"&amp;$N$3)&gt;0), "V", "")</f>
        <v/>
      </c>
      <c r="F14" s="116" t="str">
        <f>IF(VLOOKUP(A14,門市總表!A:F,6,FALSE)="新開","新開不保養",
IF(VLOOKUP(A14,門市總表!A:F,6,FALSE)="撤店","閉店不保養",IF(VLOOKUP(A14,門市總表!A:F,6,FALSE)="非當季","非當季",IF(VLOOKUP(A14,門市總表!A:F,6,FALSE)="跨季補單","跨季補單",
IF(COUNTBLANK(C14:E14)=3,"未保養","")
))))</f>
        <v>未保養</v>
      </c>
      <c r="G14" s="116" t="str">
        <f>IF(COUNTIFS('0919門市清單主檔'!C:C,B14,'0919門市清單主檔'!AF:AF,$H$3)=1,
    IF(COUNTIFS(IM!F:F,A14,IM!AC:AC,"*"&amp;$H$3&amp;"*") + COUNTIFS('0919門市清單主檔'!C:C,B14,'0919門市清單主檔'!AF:AF,$H$3) &gt; 1,
       "V","未完工"),"-")</f>
        <v>-</v>
      </c>
      <c r="H14" s="253" t="str">
        <f>IF(COUNTIFS('0919門市清單主檔'!C:C,B14,'0919門市清單主檔'!AG:AG,$H$4)=1,
    IF(COUNTIFS(IM!F:F,A14,IM!AC:AC,"*"&amp;$H$4&amp;"*") + COUNTIFS('0919門市清單主檔'!C:C,B14,'0919門市清單主檔'!AG:AG,$H$4) &gt; 1,
       "V","未完工"),"-")</f>
        <v>V</v>
      </c>
      <c r="I14" s="253" t="str">
        <f>IF(COUNTIFS('0919門市清單主檔'!C:C,B14,'0919門市清單主檔'!AH:AH,$H$5)=1,
    IF(COUNTIFS(IM!F:F,A14,IM!AC:AC,"*"&amp;$H$5&amp;"*") + COUNTIFS('0919門市清單主檔'!C:C,B14,'0919門市清單主檔'!AH:AH,$H$5) &gt; 1,
       "V","未完工"),"-")</f>
        <v>未完工</v>
      </c>
      <c r="J14" s="253" t="str">
        <f>IF(
    COUNTIFS('0919門市清單主檔'!C:C,B14,'0919門市清單主檔'!AC:AC,$H$2)=1,
    IF(
        COUNTIFS(
            IM!F:F,A14,
            IM!AC:AC,"*"&amp;$H$2&amp;"*",
            IM!X:X,"&gt;="&amp;$M$1,
            IM!X:X,"&lt;="&amp;$M$3
        )
        + COUNTIFS('0919門市清單主檔'!C:C,B14,'0919門市清單主檔'!AC:AC,$H$2)
        &gt;1,
        "V",
        "未完工"
    ),
    "-"
)</f>
        <v>-</v>
      </c>
      <c r="K14" s="122">
        <v>45902</v>
      </c>
      <c r="L14" s="116" t="str">
        <f>VLOOKUP(A14,'0919門市清單主檔'!B:V,21,FALSE)</f>
        <v>板橋區</v>
      </c>
      <c r="Q14" s="115" t="s">
        <v>4951</v>
      </c>
      <c r="R14" s="115"/>
    </row>
    <row r="15" spans="1:31" ht="21.6" customHeight="1">
      <c r="A15" s="116">
        <v>4406</v>
      </c>
      <c r="B15" s="116" t="str">
        <f>VLOOKUP(A15,門市總表!A:B,2,FALSE)</f>
        <v>板橋稚暉店</v>
      </c>
      <c r="C15" s="146" t="str">
        <f>IF(COUNTIFS(IM!$F:$F,A15,IM!$AD:$AD,"O",IM!$X:$X,"&gt;="&amp;$M$1, IM!$X:$X,"&lt;"&amp;$M$2)&gt;0,"V","")</f>
        <v/>
      </c>
      <c r="D15" s="146" t="str">
        <f>IF(AND(C15&lt;&gt;"V", COUNTIFS(IM!$F:$F,A15, IM!$AD:$AD, "O", IM!$X:$X, "&gt;="&amp;$M$2, IM!$X:$X, "&lt;"&amp;$M$3)&gt;0), "V", "")</f>
        <v/>
      </c>
      <c r="E15" s="146" t="str">
        <f>IF(AND(C15&lt;&gt;"V",D15&lt;&gt;"V", COUNTIFS(IM!$F:$F, A15, IM!$AD:$AD, "O", IM!$X:$X, "&gt;="&amp;$M$3, IM!$X:$X, "&lt;"&amp;$N$3)&gt;0), "V", "")</f>
        <v/>
      </c>
      <c r="F15" s="116" t="str">
        <f>IF(VLOOKUP(A15,門市總表!A:F,6,FALSE)="新開","新開不保養",
IF(VLOOKUP(A15,門市總表!A:F,6,FALSE)="撤店","閉店不保養",IF(VLOOKUP(A15,門市總表!A:F,6,FALSE)="非當季","非當季",IF(VLOOKUP(A15,門市總表!A:F,6,FALSE)="跨季補單","跨季補單",
IF(COUNTBLANK(C15:E15)=3,"未保養","")
))))</f>
        <v>未保養</v>
      </c>
      <c r="G15" s="116" t="str">
        <f>IF(COUNTIFS('0919門市清單主檔'!C:C,B15,'0919門市清單主檔'!AF:AF,$H$3)=1,
    IF(COUNTIFS(IM!F:F,A15,IM!AC:AC,"*"&amp;$H$3&amp;"*") + COUNTIFS('0919門市清單主檔'!C:C,B15,'0919門市清單主檔'!AF:AF,$H$3) &gt; 1,
       "V","未完工"),"-")</f>
        <v>-</v>
      </c>
      <c r="H15" s="253" t="str">
        <f>IF(COUNTIFS('0919門市清單主檔'!C:C,B15,'0919門市清單主檔'!AG:AG,$H$4)=1,
    IF(COUNTIFS(IM!F:F,A15,IM!AC:AC,"*"&amp;$H$4&amp;"*") + COUNTIFS('0919門市清單主檔'!C:C,B15,'0919門市清單主檔'!AG:AG,$H$4) &gt; 1,
       "V","未完工"),"-")</f>
        <v>V</v>
      </c>
      <c r="I15" s="253" t="str">
        <f>IF(COUNTIFS('0919門市清單主檔'!C:C,B15,'0919門市清單主檔'!AH:AH,$H$5)=1,
    IF(COUNTIFS(IM!F:F,A15,IM!AC:AC,"*"&amp;$H$5&amp;"*") + COUNTIFS('0919門市清單主檔'!C:C,B15,'0919門市清單主檔'!AH:AH,$H$5) &gt; 1,
       "V","未完工"),"-")</f>
        <v>-</v>
      </c>
      <c r="J15" s="253" t="str">
        <f>IF(
    COUNTIFS('0919門市清單主檔'!C:C,B15,'0919門市清單主檔'!AC:AC,$H$2)=1,
    IF(
        COUNTIFS(
            IM!F:F,A15,
            IM!AC:AC,"*"&amp;$H$2&amp;"*",
            IM!X:X,"&gt;="&amp;$M$1,
            IM!X:X,"&lt;="&amp;$M$3
        )
        + COUNTIFS('0919門市清單主檔'!C:C,B15,'0919門市清單主檔'!AC:AC,$H$2)
        &gt;1,
        "V",
        "未完工"
    ),
    "-"
)</f>
        <v>-</v>
      </c>
      <c r="K15" s="122">
        <v>45896</v>
      </c>
      <c r="L15" s="116" t="str">
        <f>VLOOKUP(A15,'0919門市清單主檔'!B:V,21,FALSE)</f>
        <v>板橋區</v>
      </c>
      <c r="Q15" s="115" t="s">
        <v>4951</v>
      </c>
      <c r="R15" s="115"/>
    </row>
    <row r="16" spans="1:31" ht="21.6" customHeight="1">
      <c r="A16" s="116">
        <v>3965</v>
      </c>
      <c r="B16" s="116" t="str">
        <f>VLOOKUP(A16,門市總表!A:B,2,FALSE)</f>
        <v>板橋民治店</v>
      </c>
      <c r="C16" s="146" t="str">
        <f>IF(COUNTIFS(IM!$F:$F,A16,IM!$AD:$AD,"O",IM!$X:$X,"&gt;="&amp;$M$1, IM!$X:$X,"&lt;"&amp;$M$2)&gt;0,"V","")</f>
        <v/>
      </c>
      <c r="D16" s="146" t="str">
        <f>IF(AND(C16&lt;&gt;"V", COUNTIFS(IM!$F:$F,A16, IM!$AD:$AD, "O", IM!$X:$X, "&gt;="&amp;$M$2, IM!$X:$X, "&lt;"&amp;$M$3)&gt;0), "V", "")</f>
        <v/>
      </c>
      <c r="E16" s="146" t="str">
        <f>IF(AND(C16&lt;&gt;"V",D16&lt;&gt;"V", COUNTIFS(IM!$F:$F, A16, IM!$AD:$AD, "O", IM!$X:$X, "&gt;="&amp;$M$3, IM!$X:$X, "&lt;"&amp;$N$3)&gt;0), "V", "")</f>
        <v/>
      </c>
      <c r="F16" s="116" t="str">
        <f>IF(VLOOKUP(A16,門市總表!A:F,6,FALSE)="新開","新開不保養",
IF(VLOOKUP(A16,門市總表!A:F,6,FALSE)="撤店","閉店不保養",IF(VLOOKUP(A16,門市總表!A:F,6,FALSE)="非當季","非當季",IF(VLOOKUP(A16,門市總表!A:F,6,FALSE)="跨季補單","跨季補單",
IF(COUNTBLANK(C16:E16)=3,"未保養","")
))))</f>
        <v>未保養</v>
      </c>
      <c r="G16" s="116" t="str">
        <f>IF(COUNTIFS('0919門市清單主檔'!C:C,B16,'0919門市清單主檔'!AF:AF,$H$3)=1,
    IF(COUNTIFS(IM!F:F,A16,IM!AC:AC,"*"&amp;$H$3&amp;"*") + COUNTIFS('0919門市清單主檔'!C:C,B16,'0919門市清單主檔'!AF:AF,$H$3) &gt; 1,
       "V","未完工"),"-")</f>
        <v>-</v>
      </c>
      <c r="H16" s="253" t="str">
        <f>IF(COUNTIFS('0919門市清單主檔'!C:C,B16,'0919門市清單主檔'!AG:AG,$H$4)=1,
    IF(COUNTIFS(IM!F:F,A16,IM!AC:AC,"*"&amp;$H$4&amp;"*") + COUNTIFS('0919門市清單主檔'!C:C,B16,'0919門市清單主檔'!AG:AG,$H$4) &gt; 1,
       "V","未完工"),"-")</f>
        <v>V</v>
      </c>
      <c r="I16" s="253" t="str">
        <f>IF(COUNTIFS('0919門市清單主檔'!C:C,B16,'0919門市清單主檔'!AH:AH,$H$5)=1,
    IF(COUNTIFS(IM!F:F,A16,IM!AC:AC,"*"&amp;$H$5&amp;"*") + COUNTIFS('0919門市清單主檔'!C:C,B16,'0919門市清單主檔'!AH:AH,$H$5) &gt; 1,
       "V","未完工"),"-")</f>
        <v>未完工</v>
      </c>
      <c r="J16" s="253" t="str">
        <f>IF(
    COUNTIFS('0919門市清單主檔'!C:C,B16,'0919門市清單主檔'!AC:AC,$H$2)=1,
    IF(
        COUNTIFS(
            IM!F:F,A16,
            IM!AC:AC,"*"&amp;$H$2&amp;"*",
            IM!X:X,"&gt;="&amp;$M$1,
            IM!X:X,"&lt;="&amp;$M$3
        )
        + COUNTIFS('0919門市清單主檔'!C:C,B16,'0919門市清單主檔'!AC:AC,$H$2)
        &gt;1,
        "V",
        "未完工"
    ),
    "-"
)</f>
        <v>-</v>
      </c>
      <c r="K16" s="122">
        <v>45882</v>
      </c>
      <c r="L16" s="116" t="str">
        <f>VLOOKUP(A16,'0919門市清單主檔'!B:V,21,FALSE)</f>
        <v>板橋區</v>
      </c>
      <c r="Q16" s="115" t="s">
        <v>4951</v>
      </c>
      <c r="R16" s="115"/>
    </row>
    <row r="17" spans="1:18" ht="21.6" customHeight="1">
      <c r="A17" s="116">
        <v>3416</v>
      </c>
      <c r="B17" s="116" t="str">
        <f>VLOOKUP(A17,門市總表!A:B,2,FALSE)</f>
        <v>板橋國慶店</v>
      </c>
      <c r="C17" s="146" t="str">
        <f>IF(COUNTIFS(IM!$F:$F,A17,IM!$AD:$AD,"O",IM!$X:$X,"&gt;="&amp;$M$1, IM!$X:$X,"&lt;"&amp;$M$2)&gt;0,"V","")</f>
        <v/>
      </c>
      <c r="D17" s="146" t="str">
        <f>IF(AND(C17&lt;&gt;"V", COUNTIFS(IM!$F:$F,A17, IM!$AD:$AD, "O", IM!$X:$X, "&gt;="&amp;$M$2, IM!$X:$X, "&lt;"&amp;$M$3)&gt;0), "V", "")</f>
        <v/>
      </c>
      <c r="E17" s="146" t="str">
        <f>IF(AND(C17&lt;&gt;"V",D17&lt;&gt;"V", COUNTIFS(IM!$F:$F, A17, IM!$AD:$AD, "O", IM!$X:$X, "&gt;="&amp;$M$3, IM!$X:$X, "&lt;"&amp;$N$3)&gt;0), "V", "")</f>
        <v/>
      </c>
      <c r="F17" s="116" t="str">
        <f>IF(VLOOKUP(A17,門市總表!A:F,6,FALSE)="新開","新開不保養",
IF(VLOOKUP(A17,門市總表!A:F,6,FALSE)="撤店","閉店不保養",IF(VLOOKUP(A17,門市總表!A:F,6,FALSE)="非當季","非當季",IF(VLOOKUP(A17,門市總表!A:F,6,FALSE)="跨季補單","跨季補單",
IF(COUNTBLANK(C17:E17)=3,"未保養","")
))))</f>
        <v>未保養</v>
      </c>
      <c r="G17" s="116" t="str">
        <f>IF(COUNTIFS('0919門市清單主檔'!C:C,B17,'0919門市清單主檔'!AF:AF,$H$3)=1,
    IF(COUNTIFS(IM!F:F,A17,IM!AC:AC,"*"&amp;$H$3&amp;"*") + COUNTIFS('0919門市清單主檔'!C:C,B17,'0919門市清單主檔'!AF:AF,$H$3) &gt; 1,
       "V","未完工"),"-")</f>
        <v>-</v>
      </c>
      <c r="H17" s="253" t="str">
        <f>IF(COUNTIFS('0919門市清單主檔'!C:C,B17,'0919門市清單主檔'!AG:AG,$H$4)=1,
    IF(COUNTIFS(IM!F:F,A17,IM!AC:AC,"*"&amp;$H$4&amp;"*") + COUNTIFS('0919門市清單主檔'!C:C,B17,'0919門市清單主檔'!AG:AG,$H$4) &gt; 1,
       "V","未完工"),"-")</f>
        <v>V</v>
      </c>
      <c r="I17" s="253" t="str">
        <f>IF(COUNTIFS('0919門市清單主檔'!C:C,B17,'0919門市清單主檔'!AH:AH,$H$5)=1,
    IF(COUNTIFS(IM!F:F,A17,IM!AC:AC,"*"&amp;$H$5&amp;"*") + COUNTIFS('0919門市清單主檔'!C:C,B17,'0919門市清單主檔'!AH:AH,$H$5) &gt; 1,
       "V","未完工"),"-")</f>
        <v>未完工</v>
      </c>
      <c r="J17" s="253" t="str">
        <f>IF(
    COUNTIFS('0919門市清單主檔'!C:C,B17,'0919門市清單主檔'!AC:AC,$H$2)=1,
    IF(
        COUNTIFS(
            IM!F:F,A17,
            IM!AC:AC,"*"&amp;$H$2&amp;"*",
            IM!X:X,"&gt;="&amp;$M$1,
            IM!X:X,"&lt;="&amp;$M$3
        )
        + COUNTIFS('0919門市清單主檔'!C:C,B17,'0919門市清單主檔'!AC:AC,$H$2)
        &gt;1,
        "V",
        "未完工"
    ),
    "-"
)</f>
        <v>-</v>
      </c>
      <c r="K17" s="122">
        <v>45881</v>
      </c>
      <c r="L17" s="116" t="str">
        <f>VLOOKUP(A17,'0919門市清單主檔'!B:V,21,FALSE)</f>
        <v>板橋區</v>
      </c>
      <c r="Q17" s="115" t="s">
        <v>4951</v>
      </c>
      <c r="R17" s="115"/>
    </row>
    <row r="18" spans="1:18" ht="21.6" customHeight="1">
      <c r="A18" s="116">
        <v>3977</v>
      </c>
      <c r="B18" s="116" t="str">
        <f>VLOOKUP(A18,門市總表!A:B,2,FALSE)</f>
        <v>板橋玉川店</v>
      </c>
      <c r="C18" s="146" t="str">
        <f>IF(COUNTIFS(IM!$F:$F,A18,IM!$AD:$AD,"O",IM!$X:$X,"&gt;="&amp;$M$1, IM!$X:$X,"&lt;"&amp;$M$2)&gt;0,"V","")</f>
        <v/>
      </c>
      <c r="D18" s="146" t="str">
        <f>IF(AND(C18&lt;&gt;"V", COUNTIFS(IM!$F:$F,A18, IM!$AD:$AD, "O", IM!$X:$X, "&gt;="&amp;$M$2, IM!$X:$X, "&lt;"&amp;$M$3)&gt;0), "V", "")</f>
        <v/>
      </c>
      <c r="E18" s="146" t="str">
        <f>IF(AND(C18&lt;&gt;"V",D18&lt;&gt;"V", COUNTIFS(IM!$F:$F, A18, IM!$AD:$AD, "O", IM!$X:$X, "&gt;="&amp;$M$3, IM!$X:$X, "&lt;"&amp;$N$3)&gt;0), "V", "")</f>
        <v/>
      </c>
      <c r="F18" s="116" t="str">
        <f>IF(VLOOKUP(A18,門市總表!A:F,6,FALSE)="新開","新開不保養",
IF(VLOOKUP(A18,門市總表!A:F,6,FALSE)="撤店","閉店不保養",IF(VLOOKUP(A18,門市總表!A:F,6,FALSE)="非當季","非當季",IF(VLOOKUP(A18,門市總表!A:F,6,FALSE)="跨季補單","跨季補單",
IF(COUNTBLANK(C18:E18)=3,"未保養","")
))))</f>
        <v>未保養</v>
      </c>
      <c r="G18" s="116" t="str">
        <f>IF(COUNTIFS('0919門市清單主檔'!C:C,B18,'0919門市清單主檔'!AF:AF,$H$3)=1,
    IF(COUNTIFS(IM!F:F,A18,IM!AC:AC,"*"&amp;$H$3&amp;"*") + COUNTIFS('0919門市清單主檔'!C:C,B18,'0919門市清單主檔'!AF:AF,$H$3) &gt; 1,
       "V","未完工"),"-")</f>
        <v>-</v>
      </c>
      <c r="H18" s="253" t="str">
        <f>IF(COUNTIFS('0919門市清單主檔'!C:C,B18,'0919門市清單主檔'!AG:AG,$H$4)=1,
    IF(COUNTIFS(IM!F:F,A18,IM!AC:AC,"*"&amp;$H$4&amp;"*") + COUNTIFS('0919門市清單主檔'!C:C,B18,'0919門市清單主檔'!AG:AG,$H$4) &gt; 1,
       "V","未完工"),"-")</f>
        <v>V</v>
      </c>
      <c r="I18" s="253" t="str">
        <f>IF(COUNTIFS('0919門市清單主檔'!C:C,B18,'0919門市清單主檔'!AH:AH,$H$5)=1,
    IF(COUNTIFS(IM!F:F,A18,IM!AC:AC,"*"&amp;$H$5&amp;"*") + COUNTIFS('0919門市清單主檔'!C:C,B18,'0919門市清單主檔'!AH:AH,$H$5) &gt; 1,
       "V","未完工"),"-")</f>
        <v>未完工</v>
      </c>
      <c r="J18" s="253" t="str">
        <f>IF(
    COUNTIFS('0919門市清單主檔'!C:C,B18,'0919門市清單主檔'!AC:AC,$H$2)=1,
    IF(
        COUNTIFS(
            IM!F:F,A18,
            IM!AC:AC,"*"&amp;$H$2&amp;"*",
            IM!X:X,"&gt;="&amp;$M$1,
            IM!X:X,"&lt;="&amp;$M$3
        )
        + COUNTIFS('0919門市清單主檔'!C:C,B18,'0919門市清單主檔'!AC:AC,$H$2)
        &gt;1,
        "V",
        "未完工"
    ),
    "-"
)</f>
        <v>-</v>
      </c>
      <c r="K18" s="122">
        <v>45881</v>
      </c>
      <c r="L18" s="116" t="str">
        <f>VLOOKUP(A18,'0919門市清單主檔'!B:V,21,FALSE)</f>
        <v>板橋區</v>
      </c>
      <c r="Q18" s="115" t="s">
        <v>4951</v>
      </c>
      <c r="R18" s="115"/>
    </row>
    <row r="19" spans="1:18" ht="21.6" customHeight="1">
      <c r="A19" s="116">
        <v>2154</v>
      </c>
      <c r="B19" s="116" t="str">
        <f>VLOOKUP(A19,門市總表!A:B,2,FALSE)</f>
        <v>北縣板莊店</v>
      </c>
      <c r="C19" s="146" t="str">
        <f>IF(COUNTIFS(IM!$F:$F,A19,IM!$AD:$AD,"O",IM!$X:$X,"&gt;="&amp;$M$1, IM!$X:$X,"&lt;"&amp;$M$2)&gt;0,"V","")</f>
        <v/>
      </c>
      <c r="D19" s="146" t="str">
        <f>IF(AND(C19&lt;&gt;"V", COUNTIFS(IM!$F:$F,A19, IM!$AD:$AD, "O", IM!$X:$X, "&gt;="&amp;$M$2, IM!$X:$X, "&lt;"&amp;$M$3)&gt;0), "V", "")</f>
        <v/>
      </c>
      <c r="E19" s="146" t="str">
        <f>IF(AND(C19&lt;&gt;"V",D19&lt;&gt;"V", COUNTIFS(IM!$F:$F, A19, IM!$AD:$AD, "O", IM!$X:$X, "&gt;="&amp;$M$3, IM!$X:$X, "&lt;"&amp;$N$3)&gt;0), "V", "")</f>
        <v/>
      </c>
      <c r="F19" s="116" t="str">
        <f>IF(VLOOKUP(A19,門市總表!A:F,6,FALSE)="新開","新開不保養",
IF(VLOOKUP(A19,門市總表!A:F,6,FALSE)="撤店","閉店不保養",IF(VLOOKUP(A19,門市總表!A:F,6,FALSE)="非當季","非當季",IF(VLOOKUP(A19,門市總表!A:F,6,FALSE)="跨季補單","跨季補單",
IF(COUNTBLANK(C19:E19)=3,"未保養","")
))))</f>
        <v>未保養</v>
      </c>
      <c r="G19" s="116" t="str">
        <f>IF(COUNTIFS('0919門市清單主檔'!C:C,B19,'0919門市清單主檔'!AF:AF,$H$3)=1,
    IF(COUNTIFS(IM!F:F,A19,IM!AC:AC,"*"&amp;$H$3&amp;"*") + COUNTIFS('0919門市清單主檔'!C:C,B19,'0919門市清單主檔'!AF:AF,$H$3) &gt; 1,
       "V","未完工"),"-")</f>
        <v>-</v>
      </c>
      <c r="H19" s="253" t="str">
        <f>IF(COUNTIFS('0919門市清單主檔'!C:C,B19,'0919門市清單主檔'!AG:AG,$H$4)=1,
    IF(COUNTIFS(IM!F:F,A19,IM!AC:AC,"*"&amp;$H$4&amp;"*") + COUNTIFS('0919門市清單主檔'!C:C,B19,'0919門市清單主檔'!AG:AG,$H$4) &gt; 1,
       "V","未完工"),"-")</f>
        <v>V</v>
      </c>
      <c r="I19" s="253" t="str">
        <f>IF(COUNTIFS('0919門市清單主檔'!C:C,B19,'0919門市清單主檔'!AH:AH,$H$5)=1,
    IF(COUNTIFS(IM!F:F,A19,IM!AC:AC,"*"&amp;$H$5&amp;"*") + COUNTIFS('0919門市清單主檔'!C:C,B19,'0919門市清單主檔'!AH:AH,$H$5) &gt; 1,
       "V","未完工"),"-")</f>
        <v>未完工</v>
      </c>
      <c r="J19" s="253" t="str">
        <f>IF(
    COUNTIFS('0919門市清單主檔'!C:C,B19,'0919門市清單主檔'!AC:AC,$H$2)=1,
    IF(
        COUNTIFS(
            IM!F:F,A19,
            IM!AC:AC,"*"&amp;$H$2&amp;"*",
            IM!X:X,"&gt;="&amp;$M$1,
            IM!X:X,"&lt;="&amp;$M$3
        )
        + COUNTIFS('0919門市清單主檔'!C:C,B19,'0919門市清單主檔'!AC:AC,$H$2)
        &gt;1,
        "V",
        "未完工"
    ),
    "-"
)</f>
        <v>-</v>
      </c>
      <c r="K19" s="122">
        <v>45925</v>
      </c>
      <c r="L19" s="116" t="str">
        <f>VLOOKUP(A19,'0919門市清單主檔'!B:V,21,FALSE)</f>
        <v>板橋區</v>
      </c>
      <c r="Q19" s="115" t="s">
        <v>4951</v>
      </c>
      <c r="R19" s="115"/>
    </row>
    <row r="20" spans="1:18" ht="21.6" customHeight="1">
      <c r="A20" s="116">
        <v>3962</v>
      </c>
      <c r="B20" s="116" t="str">
        <f>VLOOKUP(A20,門市總表!A:B,2,FALSE)</f>
        <v>板橋仁化店</v>
      </c>
      <c r="C20" s="146" t="str">
        <f>IF(COUNTIFS(IM!$F:$F,A20,IM!$AD:$AD,"O",IM!$X:$X,"&gt;="&amp;$M$1, IM!$X:$X,"&lt;"&amp;$M$2)&gt;0,"V","")</f>
        <v/>
      </c>
      <c r="D20" s="146" t="str">
        <f>IF(AND(C20&lt;&gt;"V", COUNTIFS(IM!$F:$F,A20, IM!$AD:$AD, "O", IM!$X:$X, "&gt;="&amp;$M$2, IM!$X:$X, "&lt;"&amp;$M$3)&gt;0), "V", "")</f>
        <v/>
      </c>
      <c r="E20" s="146" t="str">
        <f>IF(AND(C20&lt;&gt;"V",D20&lt;&gt;"V", COUNTIFS(IM!$F:$F, A20, IM!$AD:$AD, "O", IM!$X:$X, "&gt;="&amp;$M$3, IM!$X:$X, "&lt;"&amp;$N$3)&gt;0), "V", "")</f>
        <v/>
      </c>
      <c r="F20" s="116" t="str">
        <f>IF(VLOOKUP(A20,門市總表!A:F,6,FALSE)="新開","新開不保養",
IF(VLOOKUP(A20,門市總表!A:F,6,FALSE)="撤店","閉店不保養",IF(VLOOKUP(A20,門市總表!A:F,6,FALSE)="非當季","非當季",IF(VLOOKUP(A20,門市總表!A:F,6,FALSE)="跨季補單","跨季補單",
IF(COUNTBLANK(C20:E20)=3,"未保養","")
))))</f>
        <v>未保養</v>
      </c>
      <c r="G20" s="116" t="str">
        <f>IF(COUNTIFS('0919門市清單主檔'!C:C,B20,'0919門市清單主檔'!AF:AF,$H$3)=1,
    IF(COUNTIFS(IM!F:F,A20,IM!AC:AC,"*"&amp;$H$3&amp;"*") + COUNTIFS('0919門市清單主檔'!C:C,B20,'0919門市清單主檔'!AF:AF,$H$3) &gt; 1,
       "V","未完工"),"-")</f>
        <v>-</v>
      </c>
      <c r="H20" s="253" t="str">
        <f>IF(COUNTIFS('0919門市清單主檔'!C:C,B20,'0919門市清單主檔'!AG:AG,$H$4)=1,
    IF(COUNTIFS(IM!F:F,A20,IM!AC:AC,"*"&amp;$H$4&amp;"*") + COUNTIFS('0919門市清單主檔'!C:C,B20,'0919門市清單主檔'!AG:AG,$H$4) &gt; 1,
       "V","未完工"),"-")</f>
        <v>V</v>
      </c>
      <c r="I20" s="253" t="str">
        <f>IF(COUNTIFS('0919門市清單主檔'!C:C,B20,'0919門市清單主檔'!AH:AH,$H$5)=1,
    IF(COUNTIFS(IM!F:F,A20,IM!AC:AC,"*"&amp;$H$5&amp;"*") + COUNTIFS('0919門市清單主檔'!C:C,B20,'0919門市清單主檔'!AH:AH,$H$5) &gt; 1,
       "V","未完工"),"-")</f>
        <v>未完工</v>
      </c>
      <c r="J20" s="253" t="str">
        <f>IF(
    COUNTIFS('0919門市清單主檔'!C:C,B20,'0919門市清單主檔'!AC:AC,$H$2)=1,
    IF(
        COUNTIFS(
            IM!F:F,A20,
            IM!AC:AC,"*"&amp;$H$2&amp;"*",
            IM!X:X,"&gt;="&amp;$M$1,
            IM!X:X,"&lt;="&amp;$M$3
        )
        + COUNTIFS('0919門市清單主檔'!C:C,B20,'0919門市清單主檔'!AC:AC,$H$2)
        &gt;1,
        "V",
        "未完工"
    ),
    "-"
)</f>
        <v>-</v>
      </c>
      <c r="K20" s="122">
        <v>45882</v>
      </c>
      <c r="L20" s="116" t="str">
        <f>VLOOKUP(A20,'0919門市清單主檔'!B:V,21,FALSE)</f>
        <v>板橋區</v>
      </c>
      <c r="Q20" s="115" t="s">
        <v>4951</v>
      </c>
      <c r="R20" s="115"/>
    </row>
    <row r="21" spans="1:18" ht="21.6" customHeight="1">
      <c r="A21" s="116">
        <v>5384</v>
      </c>
      <c r="B21" s="116" t="str">
        <f>VLOOKUP(A21,門市總表!A:B,2,FALSE)</f>
        <v>板橋民生站</v>
      </c>
      <c r="C21" s="146" t="str">
        <f>IF(COUNTIFS(IM!$F:$F,A21,IM!$AD:$AD,"O",IM!$X:$X,"&gt;="&amp;$M$1, IM!$X:$X,"&lt;"&amp;$M$2)&gt;0,"V","")</f>
        <v/>
      </c>
      <c r="D21" s="146" t="str">
        <f>IF(AND(C21&lt;&gt;"V", COUNTIFS(IM!$F:$F,A21, IM!$AD:$AD, "O", IM!$X:$X, "&gt;="&amp;$M$2, IM!$X:$X, "&lt;"&amp;$M$3)&gt;0), "V", "")</f>
        <v/>
      </c>
      <c r="E21" s="146" t="str">
        <f>IF(AND(C21&lt;&gt;"V",D21&lt;&gt;"V", COUNTIFS(IM!$F:$F, A21, IM!$AD:$AD, "O", IM!$X:$X, "&gt;="&amp;$M$3, IM!$X:$X, "&lt;"&amp;$N$3)&gt;0), "V", "")</f>
        <v/>
      </c>
      <c r="F21" s="116" t="str">
        <f>IF(VLOOKUP(A21,門市總表!A:F,6,FALSE)="新開","新開不保養",
IF(VLOOKUP(A21,門市總表!A:F,6,FALSE)="撤店","閉店不保養",IF(VLOOKUP(A21,門市總表!A:F,6,FALSE)="非當季","非當季",IF(VLOOKUP(A21,門市總表!A:F,6,FALSE)="跨季補單","跨季補單",
IF(COUNTBLANK(C21:E21)=3,"未保養","")
))))</f>
        <v>未保養</v>
      </c>
      <c r="G21" s="116" t="str">
        <f>IF(COUNTIFS('0919門市清單主檔'!C:C,B21,'0919門市清單主檔'!AF:AF,$H$3)=1,
    IF(COUNTIFS(IM!F:F,A21,IM!AC:AC,"*"&amp;$H$3&amp;"*") + COUNTIFS('0919門市清單主檔'!C:C,B21,'0919門市清單主檔'!AF:AF,$H$3) &gt; 1,
       "V","未完工"),"-")</f>
        <v>-</v>
      </c>
      <c r="H21" s="253" t="str">
        <f>IF(COUNTIFS('0919門市清單主檔'!C:C,B21,'0919門市清單主檔'!AG:AG,$H$4)=1,
    IF(COUNTIFS(IM!F:F,A21,IM!AC:AC,"*"&amp;$H$4&amp;"*") + COUNTIFS('0919門市清單主檔'!C:C,B21,'0919門市清單主檔'!AG:AG,$H$4) &gt; 1,
       "V","未完工"),"-")</f>
        <v>V</v>
      </c>
      <c r="I21" s="253" t="str">
        <f>IF(COUNTIFS('0919門市清單主檔'!C:C,B21,'0919門市清單主檔'!AH:AH,$H$5)=1,
    IF(COUNTIFS(IM!F:F,A21,IM!AC:AC,"*"&amp;$H$5&amp;"*") + COUNTIFS('0919門市清單主檔'!C:C,B21,'0919門市清單主檔'!AH:AH,$H$5) &gt; 1,
       "V","未完工"),"-")</f>
        <v>未完工</v>
      </c>
      <c r="J21" s="253" t="str">
        <f>IF(
    COUNTIFS('0919門市清單主檔'!C:C,B21,'0919門市清單主檔'!AC:AC,$H$2)=1,
    IF(
        COUNTIFS(
            IM!F:F,A21,
            IM!AC:AC,"*"&amp;$H$2&amp;"*",
            IM!X:X,"&gt;="&amp;$M$1,
            IM!X:X,"&lt;="&amp;$M$3
        )
        + COUNTIFS('0919門市清單主檔'!C:C,B21,'0919門市清單主檔'!AC:AC,$H$2)
        &gt;1,
        "V",
        "未完工"
    ),
    "-"
)</f>
        <v>-</v>
      </c>
      <c r="K21" s="122" t="s">
        <v>24</v>
      </c>
      <c r="L21" s="116" t="str">
        <f>VLOOKUP(A21,'0919門市清單主檔'!B:V,21,FALSE)</f>
        <v>板橋區</v>
      </c>
      <c r="Q21" s="115" t="s">
        <v>4951</v>
      </c>
      <c r="R21" s="115"/>
    </row>
    <row r="22" spans="1:18" ht="21.6" customHeight="1">
      <c r="A22" s="116">
        <v>2746</v>
      </c>
      <c r="B22" s="116" t="str">
        <f>VLOOKUP(A22,門市總表!A:B,2,FALSE)</f>
        <v>北縣板嘉店</v>
      </c>
      <c r="C22" s="146" t="str">
        <f>IF(COUNTIFS(IM!$F:$F,A22,IM!$AD:$AD,"O",IM!$X:$X,"&gt;="&amp;$M$1, IM!$X:$X,"&lt;"&amp;$M$2)&gt;0,"V","")</f>
        <v/>
      </c>
      <c r="D22" s="146" t="str">
        <f>IF(AND(C22&lt;&gt;"V", COUNTIFS(IM!$F:$F,A22, IM!$AD:$AD, "O", IM!$X:$X, "&gt;="&amp;$M$2, IM!$X:$X, "&lt;"&amp;$M$3)&gt;0), "V", "")</f>
        <v/>
      </c>
      <c r="E22" s="146" t="str">
        <f>IF(AND(C22&lt;&gt;"V",D22&lt;&gt;"V", COUNTIFS(IM!$F:$F, A22, IM!$AD:$AD, "O", IM!$X:$X, "&gt;="&amp;$M$3, IM!$X:$X, "&lt;"&amp;$N$3)&gt;0), "V", "")</f>
        <v/>
      </c>
      <c r="F22" s="116" t="str">
        <f>IF(VLOOKUP(A22,門市總表!A:F,6,FALSE)="新開","新開不保養",
IF(VLOOKUP(A22,門市總表!A:F,6,FALSE)="撤店","閉店不保養",IF(VLOOKUP(A22,門市總表!A:F,6,FALSE)="非當季","非當季",IF(VLOOKUP(A22,門市總表!A:F,6,FALSE)="跨季補單","跨季補單",
IF(COUNTBLANK(C22:E22)=3,"未保養","")
))))</f>
        <v>未保養</v>
      </c>
      <c r="G22" s="116" t="str">
        <f>IF(COUNTIFS('0919門市清單主檔'!C:C,B22,'0919門市清單主檔'!AF:AF,$H$3)=1,
    IF(COUNTIFS(IM!F:F,A22,IM!AC:AC,"*"&amp;$H$3&amp;"*") + COUNTIFS('0919門市清單主檔'!C:C,B22,'0919門市清單主檔'!AF:AF,$H$3) &gt; 1,
       "V","未完工"),"-")</f>
        <v>-</v>
      </c>
      <c r="H22" s="253" t="str">
        <f>IF(COUNTIFS('0919門市清單主檔'!C:C,B22,'0919門市清單主檔'!AG:AG,$H$4)=1,
    IF(COUNTIFS(IM!F:F,A22,IM!AC:AC,"*"&amp;$H$4&amp;"*") + COUNTIFS('0919門市清單主檔'!C:C,B22,'0919門市清單主檔'!AG:AG,$H$4) &gt; 1,
       "V","未完工"),"-")</f>
        <v>V</v>
      </c>
      <c r="I22" s="253" t="str">
        <f>IF(COUNTIFS('0919門市清單主檔'!C:C,B22,'0919門市清單主檔'!AH:AH,$H$5)=1,
    IF(COUNTIFS(IM!F:F,A22,IM!AC:AC,"*"&amp;$H$5&amp;"*") + COUNTIFS('0919門市清單主檔'!C:C,B22,'0919門市清單主檔'!AH:AH,$H$5) &gt; 1,
       "V","未完工"),"-")</f>
        <v>未完工</v>
      </c>
      <c r="J22" s="253" t="str">
        <f>IF(
    COUNTIFS('0919門市清單主檔'!C:C,B22,'0919門市清單主檔'!AC:AC,$H$2)=1,
    IF(
        COUNTIFS(
            IM!F:F,A22,
            IM!AC:AC,"*"&amp;$H$2&amp;"*",
            IM!X:X,"&gt;="&amp;$M$1,
            IM!X:X,"&lt;="&amp;$M$3
        )
        + COUNTIFS('0919門市清單主檔'!C:C,B22,'0919門市清單主檔'!AC:AC,$H$2)
        &gt;1,
        "V",
        "未完工"
    ),
    "-"
)</f>
        <v>-</v>
      </c>
      <c r="K22" s="122">
        <v>45916</v>
      </c>
      <c r="L22" s="116" t="str">
        <f>VLOOKUP(A22,'0919門市清單主檔'!B:V,21,FALSE)</f>
        <v>板橋區</v>
      </c>
      <c r="Q22" s="115" t="s">
        <v>4951</v>
      </c>
      <c r="R22" s="115"/>
    </row>
    <row r="23" spans="1:18" ht="21.6" customHeight="1">
      <c r="A23" s="116">
        <v>2221</v>
      </c>
      <c r="B23" s="116" t="str">
        <f>VLOOKUP(A23,門市總表!A:B,2,FALSE)</f>
        <v>板橋雙十店</v>
      </c>
      <c r="C23" s="146" t="str">
        <f>IF(COUNTIFS(IM!$F:$F,A23,IM!$AD:$AD,"O",IM!$X:$X,"&gt;="&amp;$M$1, IM!$X:$X,"&lt;"&amp;$M$2)&gt;0,"V","")</f>
        <v/>
      </c>
      <c r="D23" s="146" t="str">
        <f>IF(AND(C23&lt;&gt;"V", COUNTIFS(IM!$F:$F,A23, IM!$AD:$AD, "O", IM!$X:$X, "&gt;="&amp;$M$2, IM!$X:$X, "&lt;"&amp;$M$3)&gt;0), "V", "")</f>
        <v/>
      </c>
      <c r="E23" s="146" t="str">
        <f>IF(AND(C23&lt;&gt;"V",D23&lt;&gt;"V", COUNTIFS(IM!$F:$F, A23, IM!$AD:$AD, "O", IM!$X:$X, "&gt;="&amp;$M$3, IM!$X:$X, "&lt;"&amp;$N$3)&gt;0), "V", "")</f>
        <v/>
      </c>
      <c r="F23" s="116" t="str">
        <f>IF(VLOOKUP(A23,門市總表!A:F,6,FALSE)="新開","新開不保養",
IF(VLOOKUP(A23,門市總表!A:F,6,FALSE)="撤店","閉店不保養",IF(VLOOKUP(A23,門市總表!A:F,6,FALSE)="非當季","非當季",IF(VLOOKUP(A23,門市總表!A:F,6,FALSE)="跨季補單","跨季補單",
IF(COUNTBLANK(C23:E23)=3,"未保養","")
))))</f>
        <v>未保養</v>
      </c>
      <c r="G23" s="116" t="str">
        <f>IF(COUNTIFS('0919門市清單主檔'!C:C,B23,'0919門市清單主檔'!AF:AF,$H$3)=1,
    IF(COUNTIFS(IM!F:F,A23,IM!AC:AC,"*"&amp;$H$3&amp;"*") + COUNTIFS('0919門市清單主檔'!C:C,B23,'0919門市清單主檔'!AF:AF,$H$3) &gt; 1,
       "V","未完工"),"-")</f>
        <v>-</v>
      </c>
      <c r="H23" s="253" t="str">
        <f>IF(COUNTIFS('0919門市清單主檔'!C:C,B23,'0919門市清單主檔'!AG:AG,$H$4)=1,
    IF(COUNTIFS(IM!F:F,A23,IM!AC:AC,"*"&amp;$H$4&amp;"*") + COUNTIFS('0919門市清單主檔'!C:C,B23,'0919門市清單主檔'!AG:AG,$H$4) &gt; 1,
       "V","未完工"),"-")</f>
        <v>V</v>
      </c>
      <c r="I23" s="253" t="str">
        <f>IF(COUNTIFS('0919門市清單主檔'!C:C,B23,'0919門市清單主檔'!AH:AH,$H$5)=1,
    IF(COUNTIFS(IM!F:F,A23,IM!AC:AC,"*"&amp;$H$5&amp;"*") + COUNTIFS('0919門市清單主檔'!C:C,B23,'0919門市清單主檔'!AH:AH,$H$5) &gt; 1,
       "V","未完工"),"-")</f>
        <v>未完工</v>
      </c>
      <c r="J23" s="253" t="str">
        <f>IF(
    COUNTIFS('0919門市清單主檔'!C:C,B23,'0919門市清單主檔'!AC:AC,$H$2)=1,
    IF(
        COUNTIFS(
            IM!F:F,A23,
            IM!AC:AC,"*"&amp;$H$2&amp;"*",
            IM!X:X,"&gt;="&amp;$M$1,
            IM!X:X,"&lt;="&amp;$M$3
        )
        + COUNTIFS('0919門市清單主檔'!C:C,B23,'0919門市清單主檔'!AC:AC,$H$2)
        &gt;1,
        "V",
        "未完工"
    ),
    "-"
)</f>
        <v>-</v>
      </c>
      <c r="K23" s="122">
        <v>45916</v>
      </c>
      <c r="L23" s="116" t="str">
        <f>VLOOKUP(A23,'0919門市清單主檔'!B:V,21,FALSE)</f>
        <v>板橋區</v>
      </c>
      <c r="Q23" s="115" t="s">
        <v>4951</v>
      </c>
      <c r="R23" s="115"/>
    </row>
    <row r="24" spans="1:18" ht="21.6" customHeight="1">
      <c r="A24" s="116">
        <v>3955</v>
      </c>
      <c r="B24" s="116" t="str">
        <f>VLOOKUP(A24,門市總表!A:B,2,FALSE)</f>
        <v>板橋海龍店</v>
      </c>
      <c r="C24" s="146" t="str">
        <f>IF(COUNTIFS(IM!$F:$F,A24,IM!$AD:$AD,"O",IM!$X:$X,"&gt;="&amp;$M$1, IM!$X:$X,"&lt;"&amp;$M$2)&gt;0,"V","")</f>
        <v/>
      </c>
      <c r="D24" s="146" t="str">
        <f>IF(AND(C24&lt;&gt;"V", COUNTIFS(IM!$F:$F,A24, IM!$AD:$AD, "O", IM!$X:$X, "&gt;="&amp;$M$2, IM!$X:$X, "&lt;"&amp;$M$3)&gt;0), "V", "")</f>
        <v/>
      </c>
      <c r="E24" s="146" t="str">
        <f>IF(AND(C24&lt;&gt;"V",D24&lt;&gt;"V", COUNTIFS(IM!$F:$F, A24, IM!$AD:$AD, "O", IM!$X:$X, "&gt;="&amp;$M$3, IM!$X:$X, "&lt;"&amp;$N$3)&gt;0), "V", "")</f>
        <v/>
      </c>
      <c r="F24" s="116" t="str">
        <f>IF(VLOOKUP(A24,門市總表!A:F,6,FALSE)="新開","新開不保養",
IF(VLOOKUP(A24,門市總表!A:F,6,FALSE)="撤店","閉店不保養",IF(VLOOKUP(A24,門市總表!A:F,6,FALSE)="非當季","非當季",IF(VLOOKUP(A24,門市總表!A:F,6,FALSE)="跨季補單","跨季補單",
IF(COUNTBLANK(C24:E24)=3,"未保養","")
))))</f>
        <v>未保養</v>
      </c>
      <c r="G24" s="116" t="str">
        <f>IF(COUNTIFS('0919門市清單主檔'!C:C,B24,'0919門市清單主檔'!AF:AF,$H$3)=1,
    IF(COUNTIFS(IM!F:F,A24,IM!AC:AC,"*"&amp;$H$3&amp;"*") + COUNTIFS('0919門市清單主檔'!C:C,B24,'0919門市清單主檔'!AF:AF,$H$3) &gt; 1,
       "V","未完工"),"-")</f>
        <v>-</v>
      </c>
      <c r="H24" s="253" t="str">
        <f>IF(COUNTIFS('0919門市清單主檔'!C:C,B24,'0919門市清單主檔'!AG:AG,$H$4)=1,
    IF(COUNTIFS(IM!F:F,A24,IM!AC:AC,"*"&amp;$H$4&amp;"*") + COUNTIFS('0919門市清單主檔'!C:C,B24,'0919門市清單主檔'!AG:AG,$H$4) &gt; 1,
       "V","未完工"),"-")</f>
        <v>V</v>
      </c>
      <c r="I24" s="253" t="str">
        <f>IF(COUNTIFS('0919門市清單主檔'!C:C,B24,'0919門市清單主檔'!AH:AH,$H$5)=1,
    IF(COUNTIFS(IM!F:F,A24,IM!AC:AC,"*"&amp;$H$5&amp;"*") + COUNTIFS('0919門市清單主檔'!C:C,B24,'0919門市清單主檔'!AH:AH,$H$5) &gt; 1,
       "V","未完工"),"-")</f>
        <v>-</v>
      </c>
      <c r="J24" s="253" t="str">
        <f>IF(
    COUNTIFS('0919門市清單主檔'!C:C,B24,'0919門市清單主檔'!AC:AC,$H$2)=1,
    IF(
        COUNTIFS(
            IM!F:F,A24,
            IM!AC:AC,"*"&amp;$H$2&amp;"*",
            IM!X:X,"&gt;="&amp;$M$1,
            IM!X:X,"&lt;="&amp;$M$3
        )
        + COUNTIFS('0919門市清單主檔'!C:C,B24,'0919門市清單主檔'!AC:AC,$H$2)
        &gt;1,
        "V",
        "未完工"
    ),
    "-"
)</f>
        <v>-</v>
      </c>
      <c r="K24" s="122">
        <v>45886</v>
      </c>
      <c r="L24" s="116" t="str">
        <f>VLOOKUP(A24,'0919門市清單主檔'!B:V,21,FALSE)</f>
        <v>板橋區</v>
      </c>
      <c r="Q24" s="115" t="s">
        <v>4951</v>
      </c>
      <c r="R24" s="115"/>
    </row>
    <row r="25" spans="1:18" ht="21.6" customHeight="1">
      <c r="A25" s="116">
        <v>3853</v>
      </c>
      <c r="B25" s="116" t="str">
        <f>VLOOKUP(A25,門市總表!A:B,2,FALSE)</f>
        <v>板橋互助店</v>
      </c>
      <c r="C25" s="146" t="str">
        <f>IF(COUNTIFS(IM!$F:$F,A25,IM!$AD:$AD,"O",IM!$X:$X,"&gt;="&amp;$M$1, IM!$X:$X,"&lt;"&amp;$M$2)&gt;0,"V","")</f>
        <v/>
      </c>
      <c r="D25" s="146" t="str">
        <f>IF(AND(C25&lt;&gt;"V", COUNTIFS(IM!$F:$F,A25, IM!$AD:$AD, "O", IM!$X:$X, "&gt;="&amp;$M$2, IM!$X:$X, "&lt;"&amp;$M$3)&gt;0), "V", "")</f>
        <v/>
      </c>
      <c r="E25" s="146" t="str">
        <f>IF(AND(C25&lt;&gt;"V",D25&lt;&gt;"V", COUNTIFS(IM!$F:$F, A25, IM!$AD:$AD, "O", IM!$X:$X, "&gt;="&amp;$M$3, IM!$X:$X, "&lt;"&amp;$N$3)&gt;0), "V", "")</f>
        <v/>
      </c>
      <c r="F25" s="116" t="str">
        <f>IF(VLOOKUP(A25,門市總表!A:F,6,FALSE)="新開","新開不保養",
IF(VLOOKUP(A25,門市總表!A:F,6,FALSE)="撤店","閉店不保養",IF(VLOOKUP(A25,門市總表!A:F,6,FALSE)="非當季","非當季",IF(VLOOKUP(A25,門市總表!A:F,6,FALSE)="跨季補單","跨季補單",
IF(COUNTBLANK(C25:E25)=3,"未保養","")
))))</f>
        <v>未保養</v>
      </c>
      <c r="G25" s="116" t="str">
        <f>IF(COUNTIFS('0919門市清單主檔'!C:C,B25,'0919門市清單主檔'!AF:AF,$H$3)=1,
    IF(COUNTIFS(IM!F:F,A25,IM!AC:AC,"*"&amp;$H$3&amp;"*") + COUNTIFS('0919門市清單主檔'!C:C,B25,'0919門市清單主檔'!AF:AF,$H$3) &gt; 1,
       "V","未完工"),"-")</f>
        <v>-</v>
      </c>
      <c r="H25" s="253" t="str">
        <f>IF(COUNTIFS('0919門市清單主檔'!C:C,B25,'0919門市清單主檔'!AG:AG,$H$4)=1,
    IF(COUNTIFS(IM!F:F,A25,IM!AC:AC,"*"&amp;$H$4&amp;"*") + COUNTIFS('0919門市清單主檔'!C:C,B25,'0919門市清單主檔'!AG:AG,$H$4) &gt; 1,
       "V","未完工"),"-")</f>
        <v>V</v>
      </c>
      <c r="I25" s="253" t="str">
        <f>IF(COUNTIFS('0919門市清單主檔'!C:C,B25,'0919門市清單主檔'!AH:AH,$H$5)=1,
    IF(COUNTIFS(IM!F:F,A25,IM!AC:AC,"*"&amp;$H$5&amp;"*") + COUNTIFS('0919門市清單主檔'!C:C,B25,'0919門市清單主檔'!AH:AH,$H$5) &gt; 1,
       "V","未完工"),"-")</f>
        <v>未完工</v>
      </c>
      <c r="J25" s="253" t="str">
        <f>IF(
    COUNTIFS('0919門市清單主檔'!C:C,B25,'0919門市清單主檔'!AC:AC,$H$2)=1,
    IF(
        COUNTIFS(
            IM!F:F,A25,
            IM!AC:AC,"*"&amp;$H$2&amp;"*",
            IM!X:X,"&gt;="&amp;$M$1,
            IM!X:X,"&lt;="&amp;$M$3
        )
        + COUNTIFS('0919門市清單主檔'!C:C,B25,'0919門市清單主檔'!AC:AC,$H$2)
        &gt;1,
        "V",
        "未完工"
    ),
    "-"
)</f>
        <v>-</v>
      </c>
      <c r="K25" s="122">
        <v>45840</v>
      </c>
      <c r="L25" s="116" t="str">
        <f>VLOOKUP(A25,'0919門市清單主檔'!B:V,21,FALSE)</f>
        <v>板橋區</v>
      </c>
      <c r="Q25" s="115" t="s">
        <v>4951</v>
      </c>
      <c r="R25" s="115"/>
    </row>
    <row r="26" spans="1:18" ht="21.6" customHeight="1">
      <c r="A26" s="116">
        <v>4983</v>
      </c>
      <c r="B26" s="116" t="str">
        <f>VLOOKUP(A26,門市總表!A:B,2,FALSE)</f>
        <v>板橋藝文店</v>
      </c>
      <c r="C26" s="146" t="str">
        <f>IF(COUNTIFS(IM!$F:$F,A26,IM!$AD:$AD,"O",IM!$X:$X,"&gt;="&amp;$M$1, IM!$X:$X,"&lt;"&amp;$M$2)&gt;0,"V","")</f>
        <v/>
      </c>
      <c r="D26" s="146" t="str">
        <f>IF(AND(C26&lt;&gt;"V", COUNTIFS(IM!$F:$F,A26, IM!$AD:$AD, "O", IM!$X:$X, "&gt;="&amp;$M$2, IM!$X:$X, "&lt;"&amp;$M$3)&gt;0), "V", "")</f>
        <v/>
      </c>
      <c r="E26" s="146" t="str">
        <f>IF(AND(C26&lt;&gt;"V",D26&lt;&gt;"V", COUNTIFS(IM!$F:$F, A26, IM!$AD:$AD, "O", IM!$X:$X, "&gt;="&amp;$M$3, IM!$X:$X, "&lt;"&amp;$N$3)&gt;0), "V", "")</f>
        <v/>
      </c>
      <c r="F26" s="116" t="str">
        <f>IF(VLOOKUP(A26,門市總表!A:F,6,FALSE)="新開","新開不保養",
IF(VLOOKUP(A26,門市總表!A:F,6,FALSE)="撤店","閉店不保養",IF(VLOOKUP(A26,門市總表!A:F,6,FALSE)="非當季","非當季",IF(VLOOKUP(A26,門市總表!A:F,6,FALSE)="跨季補單","跨季補單",
IF(COUNTBLANK(C26:E26)=3,"未保養","")
))))</f>
        <v>未保養</v>
      </c>
      <c r="G26" s="116" t="str">
        <f>IF(COUNTIFS('0919門市清單主檔'!C:C,B26,'0919門市清單主檔'!AF:AF,$H$3)=1,
    IF(COUNTIFS(IM!F:F,A26,IM!AC:AC,"*"&amp;$H$3&amp;"*") + COUNTIFS('0919門市清單主檔'!C:C,B26,'0919門市清單主檔'!AF:AF,$H$3) &gt; 1,
       "V","未完工"),"-")</f>
        <v>-</v>
      </c>
      <c r="H26" s="253" t="str">
        <f>IF(COUNTIFS('0919門市清單主檔'!C:C,B26,'0919門市清單主檔'!AG:AG,$H$4)=1,
    IF(COUNTIFS(IM!F:F,A26,IM!AC:AC,"*"&amp;$H$4&amp;"*") + COUNTIFS('0919門市清單主檔'!C:C,B26,'0919門市清單主檔'!AG:AG,$H$4) &gt; 1,
       "V","未完工"),"-")</f>
        <v>V</v>
      </c>
      <c r="I26" s="253" t="str">
        <f>IF(COUNTIFS('0919門市清單主檔'!C:C,B26,'0919門市清單主檔'!AH:AH,$H$5)=1,
    IF(COUNTIFS(IM!F:F,A26,IM!AC:AC,"*"&amp;$H$5&amp;"*") + COUNTIFS('0919門市清單主檔'!C:C,B26,'0919門市清單主檔'!AH:AH,$H$5) &gt; 1,
       "V","未完工"),"-")</f>
        <v>未完工</v>
      </c>
      <c r="J26" s="253" t="str">
        <f>IF(
    COUNTIFS('0919門市清單主檔'!C:C,B26,'0919門市清單主檔'!AC:AC,$H$2)=1,
    IF(
        COUNTIFS(
            IM!F:F,A26,
            IM!AC:AC,"*"&amp;$H$2&amp;"*",
            IM!X:X,"&gt;="&amp;$M$1,
            IM!X:X,"&lt;="&amp;$M$3
        )
        + COUNTIFS('0919門市清單主檔'!C:C,B26,'0919門市清單主檔'!AC:AC,$H$2)
        &gt;1,
        "V",
        "未完工"
    ),
    "-"
)</f>
        <v>-</v>
      </c>
      <c r="K26" s="122">
        <v>45925</v>
      </c>
      <c r="L26" s="116" t="str">
        <f>VLOOKUP(A26,'0919門市清單主檔'!B:V,21,FALSE)</f>
        <v>板橋區</v>
      </c>
      <c r="Q26" s="115" t="s">
        <v>4951</v>
      </c>
      <c r="R26" s="115"/>
    </row>
    <row r="27" spans="1:18" ht="21.6" customHeight="1">
      <c r="A27" s="116">
        <v>3183</v>
      </c>
      <c r="B27" s="116" t="str">
        <f>VLOOKUP(A27,門市總表!A:B,2,FALSE)</f>
        <v>板橋板好店</v>
      </c>
      <c r="C27" s="146" t="str">
        <f>IF(COUNTIFS(IM!$F:$F,A27,IM!$AD:$AD,"O",IM!$X:$X,"&gt;="&amp;$M$1, IM!$X:$X,"&lt;"&amp;$M$2)&gt;0,"V","")</f>
        <v/>
      </c>
      <c r="D27" s="146" t="str">
        <f>IF(AND(C27&lt;&gt;"V", COUNTIFS(IM!$F:$F,A27, IM!$AD:$AD, "O", IM!$X:$X, "&gt;="&amp;$M$2, IM!$X:$X, "&lt;"&amp;$M$3)&gt;0), "V", "")</f>
        <v/>
      </c>
      <c r="E27" s="146" t="str">
        <f>IF(AND(C27&lt;&gt;"V",D27&lt;&gt;"V", COUNTIFS(IM!$F:$F, A27, IM!$AD:$AD, "O", IM!$X:$X, "&gt;="&amp;$M$3, IM!$X:$X, "&lt;"&amp;$N$3)&gt;0), "V", "")</f>
        <v/>
      </c>
      <c r="F27" s="116" t="str">
        <f>IF(VLOOKUP(A27,門市總表!A:F,6,FALSE)="新開","新開不保養",
IF(VLOOKUP(A27,門市總表!A:F,6,FALSE)="撤店","閉店不保養",IF(VLOOKUP(A27,門市總表!A:F,6,FALSE)="非當季","非當季",IF(VLOOKUP(A27,門市總表!A:F,6,FALSE)="跨季補單","跨季補單",
IF(COUNTBLANK(C27:E27)=3,"未保養","")
))))</f>
        <v>未保養</v>
      </c>
      <c r="G27" s="116" t="str">
        <f>IF(COUNTIFS('0919門市清單主檔'!C:C,B27,'0919門市清單主檔'!AF:AF,$H$3)=1,
    IF(COUNTIFS(IM!F:F,A27,IM!AC:AC,"*"&amp;$H$3&amp;"*") + COUNTIFS('0919門市清單主檔'!C:C,B27,'0919門市清單主檔'!AF:AF,$H$3) &gt; 1,
       "V","未完工"),"-")</f>
        <v>-</v>
      </c>
      <c r="H27" s="253" t="str">
        <f>IF(COUNTIFS('0919門市清單主檔'!C:C,B27,'0919門市清單主檔'!AG:AG,$H$4)=1,
    IF(COUNTIFS(IM!F:F,A27,IM!AC:AC,"*"&amp;$H$4&amp;"*") + COUNTIFS('0919門市清單主檔'!C:C,B27,'0919門市清單主檔'!AG:AG,$H$4) &gt; 1,
       "V","未完工"),"-")</f>
        <v>V</v>
      </c>
      <c r="I27" s="253" t="str">
        <f>IF(COUNTIFS('0919門市清單主檔'!C:C,B27,'0919門市清單主檔'!AH:AH,$H$5)=1,
    IF(COUNTIFS(IM!F:F,A27,IM!AC:AC,"*"&amp;$H$5&amp;"*") + COUNTIFS('0919門市清單主檔'!C:C,B27,'0919門市清單主檔'!AH:AH,$H$5) &gt; 1,
       "V","未完工"),"-")</f>
        <v>未完工</v>
      </c>
      <c r="J27" s="253" t="str">
        <f>IF(
    COUNTIFS('0919門市清單主檔'!C:C,B27,'0919門市清單主檔'!AC:AC,$H$2)=1,
    IF(
        COUNTIFS(
            IM!F:F,A27,
            IM!AC:AC,"*"&amp;$H$2&amp;"*",
            IM!X:X,"&gt;="&amp;$M$1,
            IM!X:X,"&lt;="&amp;$M$3
        )
        + COUNTIFS('0919門市清單主檔'!C:C,B27,'0919門市清單主檔'!AC:AC,$H$2)
        &gt;1,
        "V",
        "未完工"
    ),
    "-"
)</f>
        <v>-</v>
      </c>
      <c r="K27" s="122">
        <v>45925</v>
      </c>
      <c r="L27" s="116" t="str">
        <f>VLOOKUP(A27,'0919門市清單主檔'!B:V,21,FALSE)</f>
        <v>板橋區</v>
      </c>
      <c r="Q27" s="115" t="s">
        <v>4951</v>
      </c>
      <c r="R27" s="115"/>
    </row>
    <row r="28" spans="1:18" ht="21.6" customHeight="1">
      <c r="A28" s="116">
        <v>4422</v>
      </c>
      <c r="B28" s="116" t="str">
        <f>VLOOKUP(A28,門市總表!A:B,2,FALSE)</f>
        <v>板橋合安店</v>
      </c>
      <c r="C28" s="146" t="str">
        <f>IF(COUNTIFS(IM!$F:$F,A28,IM!$AD:$AD,"O",IM!$X:$X,"&gt;="&amp;$M$1, IM!$X:$X,"&lt;"&amp;$M$2)&gt;0,"V","")</f>
        <v/>
      </c>
      <c r="D28" s="146" t="str">
        <f>IF(AND(C28&lt;&gt;"V", COUNTIFS(IM!$F:$F,A28, IM!$AD:$AD, "O", IM!$X:$X, "&gt;="&amp;$M$2, IM!$X:$X, "&lt;"&amp;$M$3)&gt;0), "V", "")</f>
        <v/>
      </c>
      <c r="E28" s="146" t="str">
        <f>IF(AND(C28&lt;&gt;"V",D28&lt;&gt;"V", COUNTIFS(IM!$F:$F, A28, IM!$AD:$AD, "O", IM!$X:$X, "&gt;="&amp;$M$3, IM!$X:$X, "&lt;"&amp;$N$3)&gt;0), "V", "")</f>
        <v/>
      </c>
      <c r="F28" s="116" t="str">
        <f>IF(VLOOKUP(A28,門市總表!A:F,6,FALSE)="新開","新開不保養",
IF(VLOOKUP(A28,門市總表!A:F,6,FALSE)="撤店","閉店不保養",IF(VLOOKUP(A28,門市總表!A:F,6,FALSE)="非當季","非當季",IF(VLOOKUP(A28,門市總表!A:F,6,FALSE)="跨季補單","跨季補單",
IF(COUNTBLANK(C28:E28)=3,"未保養","")
))))</f>
        <v>未保養</v>
      </c>
      <c r="G28" s="116" t="str">
        <f>IF(COUNTIFS('0919門市清單主檔'!C:C,B28,'0919門市清單主檔'!AF:AF,$H$3)=1,
    IF(COUNTIFS(IM!F:F,A28,IM!AC:AC,"*"&amp;$H$3&amp;"*") + COUNTIFS('0919門市清單主檔'!C:C,B28,'0919門市清單主檔'!AF:AF,$H$3) &gt; 1,
       "V","未完工"),"-")</f>
        <v>-</v>
      </c>
      <c r="H28" s="253" t="str">
        <f>IF(COUNTIFS('0919門市清單主檔'!C:C,B28,'0919門市清單主檔'!AG:AG,$H$4)=1,
    IF(COUNTIFS(IM!F:F,A28,IM!AC:AC,"*"&amp;$H$4&amp;"*") + COUNTIFS('0919門市清單主檔'!C:C,B28,'0919門市清單主檔'!AG:AG,$H$4) &gt; 1,
       "V","未完工"),"-")</f>
        <v>V</v>
      </c>
      <c r="I28" s="253" t="str">
        <f>IF(COUNTIFS('0919門市清單主檔'!C:C,B28,'0919門市清單主檔'!AH:AH,$H$5)=1,
    IF(COUNTIFS(IM!F:F,A28,IM!AC:AC,"*"&amp;$H$5&amp;"*") + COUNTIFS('0919門市清單主檔'!C:C,B28,'0919門市清單主檔'!AH:AH,$H$5) &gt; 1,
       "V","未完工"),"-")</f>
        <v>未完工</v>
      </c>
      <c r="J28" s="253" t="str">
        <f>IF(
    COUNTIFS('0919門市清單主檔'!C:C,B28,'0919門市清單主檔'!AC:AC,$H$2)=1,
    IF(
        COUNTIFS(
            IM!F:F,A28,
            IM!AC:AC,"*"&amp;$H$2&amp;"*",
            IM!X:X,"&gt;="&amp;$M$1,
            IM!X:X,"&lt;="&amp;$M$3
        )
        + COUNTIFS('0919門市清單主檔'!C:C,B28,'0919門市清單主檔'!AC:AC,$H$2)
        &gt;1,
        "V",
        "未完工"
    ),
    "-"
)</f>
        <v>-</v>
      </c>
      <c r="K28" s="122">
        <v>45904</v>
      </c>
      <c r="L28" s="116" t="str">
        <f>VLOOKUP(A28,'0919門市清單主檔'!B:V,21,FALSE)</f>
        <v>板橋區</v>
      </c>
      <c r="Q28" s="115" t="s">
        <v>4951</v>
      </c>
      <c r="R28" s="115"/>
    </row>
    <row r="29" spans="1:18" ht="21.6" customHeight="1">
      <c r="A29" s="116" t="s">
        <v>77</v>
      </c>
      <c r="B29" s="116" t="str">
        <f>VLOOKUP(A29,門市總表!A:B,2,FALSE)</f>
        <v>板橋大興店</v>
      </c>
      <c r="C29" s="146" t="str">
        <f>IF(COUNTIFS(IM!$F:$F,A29,IM!$AD:$AD,"O",IM!$X:$X,"&gt;="&amp;$M$1, IM!$X:$X,"&lt;"&amp;$M$2)&gt;0,"V","")</f>
        <v/>
      </c>
      <c r="D29" s="146" t="str">
        <f>IF(AND(C29&lt;&gt;"V", COUNTIFS(IM!$F:$F,A29, IM!$AD:$AD, "O", IM!$X:$X, "&gt;="&amp;$M$2, IM!$X:$X, "&lt;"&amp;$M$3)&gt;0), "V", "")</f>
        <v/>
      </c>
      <c r="E29" s="146" t="str">
        <f>IF(AND(C29&lt;&gt;"V",D29&lt;&gt;"V", COUNTIFS(IM!$F:$F, A29, IM!$AD:$AD, "O", IM!$X:$X, "&gt;="&amp;$M$3, IM!$X:$X, "&lt;"&amp;$N$3)&gt;0), "V", "")</f>
        <v/>
      </c>
      <c r="F29" s="116" t="str">
        <f>IF(VLOOKUP(A29,門市總表!A:F,6,FALSE)="新開","新開不保養",
IF(VLOOKUP(A29,門市總表!A:F,6,FALSE)="撤店","閉店不保養",IF(VLOOKUP(A29,門市總表!A:F,6,FALSE)="非當季","非當季",IF(VLOOKUP(A29,門市總表!A:F,6,FALSE)="跨季補單","跨季補單",
IF(COUNTBLANK(C29:E29)=3,"未保養","")
))))</f>
        <v>未保養</v>
      </c>
      <c r="G29" s="116" t="str">
        <f>IF(COUNTIFS('0919門市清單主檔'!C:C,B29,'0919門市清單主檔'!AF:AF,$H$3)=1,
    IF(COUNTIFS(IM!F:F,A29,IM!AC:AC,"*"&amp;$H$3&amp;"*") + COUNTIFS('0919門市清單主檔'!C:C,B29,'0919門市清單主檔'!AF:AF,$H$3) &gt; 1,
       "V","未完工"),"-")</f>
        <v>-</v>
      </c>
      <c r="H29" s="253" t="str">
        <f>IF(COUNTIFS('0919門市清單主檔'!C:C,B29,'0919門市清單主檔'!AG:AG,$H$4)=1,
    IF(COUNTIFS(IM!F:F,A29,IM!AC:AC,"*"&amp;$H$4&amp;"*") + COUNTIFS('0919門市清單主檔'!C:C,B29,'0919門市清單主檔'!AG:AG,$H$4) &gt; 1,
       "V","未完工"),"-")</f>
        <v>V</v>
      </c>
      <c r="I29" s="253" t="str">
        <f>IF(COUNTIFS('0919門市清單主檔'!C:C,B29,'0919門市清單主檔'!AH:AH,$H$5)=1,
    IF(COUNTIFS(IM!F:F,A29,IM!AC:AC,"*"&amp;$H$5&amp;"*") + COUNTIFS('0919門市清單主檔'!C:C,B29,'0919門市清單主檔'!AH:AH,$H$5) &gt; 1,
       "V","未完工"),"-")</f>
        <v>-</v>
      </c>
      <c r="J29" s="253" t="str">
        <f>IF(
    COUNTIFS('0919門市清單主檔'!C:C,B29,'0919門市清單主檔'!AC:AC,$H$2)=1,
    IF(
        COUNTIFS(
            IM!F:F,A29,
            IM!AC:AC,"*"&amp;$H$2&amp;"*",
            IM!X:X,"&gt;="&amp;$M$1,
            IM!X:X,"&lt;="&amp;$M$3
        )
        + COUNTIFS('0919門市清單主檔'!C:C,B29,'0919門市清單主檔'!AC:AC,$H$2)
        &gt;1,
        "V",
        "未完工"
    ),
    "-"
)</f>
        <v>-</v>
      </c>
      <c r="K29" s="122">
        <v>45904</v>
      </c>
      <c r="L29" s="116" t="str">
        <f>VLOOKUP(A29,'0919門市清單主檔'!B:V,21,FALSE)</f>
        <v>板橋區</v>
      </c>
      <c r="Q29" s="115" t="s">
        <v>4951</v>
      </c>
      <c r="R29" s="115"/>
    </row>
    <row r="30" spans="1:18" ht="21.6" customHeight="1">
      <c r="A30" s="116">
        <v>2403</v>
      </c>
      <c r="B30" s="116" t="str">
        <f>VLOOKUP(A30,門市總表!A:B,2,FALSE)</f>
        <v>板橋板龍店</v>
      </c>
      <c r="C30" s="146" t="str">
        <f>IF(COUNTIFS(IM!$F:$F,A30,IM!$AD:$AD,"O",IM!$X:$X,"&gt;="&amp;$M$1, IM!$X:$X,"&lt;"&amp;$M$2)&gt;0,"V","")</f>
        <v/>
      </c>
      <c r="D30" s="146" t="str">
        <f>IF(AND(C30&lt;&gt;"V", COUNTIFS(IM!$F:$F,A30, IM!$AD:$AD, "O", IM!$X:$X, "&gt;="&amp;$M$2, IM!$X:$X, "&lt;"&amp;$M$3)&gt;0), "V", "")</f>
        <v/>
      </c>
      <c r="E30" s="146" t="str">
        <f>IF(AND(C30&lt;&gt;"V",D30&lt;&gt;"V", COUNTIFS(IM!$F:$F, A30, IM!$AD:$AD, "O", IM!$X:$X, "&gt;="&amp;$M$3, IM!$X:$X, "&lt;"&amp;$N$3)&gt;0), "V", "")</f>
        <v/>
      </c>
      <c r="F30" s="116" t="str">
        <f>IF(VLOOKUP(A30,門市總表!A:F,6,FALSE)="新開","新開不保養",
IF(VLOOKUP(A30,門市總表!A:F,6,FALSE)="撤店","閉店不保養",IF(VLOOKUP(A30,門市總表!A:F,6,FALSE)="非當季","非當季",IF(VLOOKUP(A30,門市總表!A:F,6,FALSE)="跨季補單","跨季補單",
IF(COUNTBLANK(C30:E30)=3,"未保養","")
))))</f>
        <v>未保養</v>
      </c>
      <c r="G30" s="116" t="str">
        <f>IF(COUNTIFS('0919門市清單主檔'!C:C,B30,'0919門市清單主檔'!AF:AF,$H$3)=1,
    IF(COUNTIFS(IM!F:F,A30,IM!AC:AC,"*"&amp;$H$3&amp;"*") + COUNTIFS('0919門市清單主檔'!C:C,B30,'0919門市清單主檔'!AF:AF,$H$3) &gt; 1,
       "V","未完工"),"-")</f>
        <v>-</v>
      </c>
      <c r="H30" s="253" t="str">
        <f>IF(COUNTIFS('0919門市清單主檔'!C:C,B30,'0919門市清單主檔'!AG:AG,$H$4)=1,
    IF(COUNTIFS(IM!F:F,A30,IM!AC:AC,"*"&amp;$H$4&amp;"*") + COUNTIFS('0919門市清單主檔'!C:C,B30,'0919門市清單主檔'!AG:AG,$H$4) &gt; 1,
       "V","未完工"),"-")</f>
        <v>V</v>
      </c>
      <c r="I30" s="253" t="str">
        <f>IF(COUNTIFS('0919門市清單主檔'!C:C,B30,'0919門市清單主檔'!AH:AH,$H$5)=1,
    IF(COUNTIFS(IM!F:F,A30,IM!AC:AC,"*"&amp;$H$5&amp;"*") + COUNTIFS('0919門市清單主檔'!C:C,B30,'0919門市清單主檔'!AH:AH,$H$5) &gt; 1,
       "V","未完工"),"-")</f>
        <v>未完工</v>
      </c>
      <c r="J30" s="253" t="str">
        <f>IF(
    COUNTIFS('0919門市清單主檔'!C:C,B30,'0919門市清單主檔'!AC:AC,$H$2)=1,
    IF(
        COUNTIFS(
            IM!F:F,A30,
            IM!AC:AC,"*"&amp;$H$2&amp;"*",
            IM!X:X,"&gt;="&amp;$M$1,
            IM!X:X,"&lt;="&amp;$M$3
        )
        + COUNTIFS('0919門市清單主檔'!C:C,B30,'0919門市清單主檔'!AC:AC,$H$2)
        &gt;1,
        "V",
        "未完工"
    ),
    "-"
)</f>
        <v>-</v>
      </c>
      <c r="K30" s="122">
        <v>45904</v>
      </c>
      <c r="L30" s="116" t="str">
        <f>VLOOKUP(A30,'0919門市清單主檔'!B:V,21,FALSE)</f>
        <v>板橋區</v>
      </c>
      <c r="Q30" s="115" t="s">
        <v>4951</v>
      </c>
      <c r="R30" s="115"/>
    </row>
    <row r="31" spans="1:18" ht="21.6" customHeight="1">
      <c r="A31" s="116">
        <v>4145</v>
      </c>
      <c r="B31" s="116" t="str">
        <f>VLOOKUP(A31,門市總表!A:B,2,FALSE)</f>
        <v>板橋僑興店</v>
      </c>
      <c r="C31" s="146" t="str">
        <f>IF(COUNTIFS(IM!$F:$F,A31,IM!$AD:$AD,"O",IM!$X:$X,"&gt;="&amp;$M$1, IM!$X:$X,"&lt;"&amp;$M$2)&gt;0,"V","")</f>
        <v/>
      </c>
      <c r="D31" s="146" t="str">
        <f>IF(AND(C31&lt;&gt;"V", COUNTIFS(IM!$F:$F,A31, IM!$AD:$AD, "O", IM!$X:$X, "&gt;="&amp;$M$2, IM!$X:$X, "&lt;"&amp;$M$3)&gt;0), "V", "")</f>
        <v/>
      </c>
      <c r="E31" s="146" t="str">
        <f>IF(AND(C31&lt;&gt;"V",D31&lt;&gt;"V", COUNTIFS(IM!$F:$F, A31, IM!$AD:$AD, "O", IM!$X:$X, "&gt;="&amp;$M$3, IM!$X:$X, "&lt;"&amp;$N$3)&gt;0), "V", "")</f>
        <v/>
      </c>
      <c r="F31" s="116" t="str">
        <f>IF(VLOOKUP(A31,門市總表!A:F,6,FALSE)="新開","新開不保養",
IF(VLOOKUP(A31,門市總表!A:F,6,FALSE)="撤店","閉店不保養",IF(VLOOKUP(A31,門市總表!A:F,6,FALSE)="非當季","非當季",IF(VLOOKUP(A31,門市總表!A:F,6,FALSE)="跨季補單","跨季補單",
IF(COUNTBLANK(C31:E31)=3,"未保養","")
))))</f>
        <v>未保養</v>
      </c>
      <c r="G31" s="116" t="str">
        <f>IF(COUNTIFS('0919門市清單主檔'!C:C,B31,'0919門市清單主檔'!AF:AF,$H$3)=1,
    IF(COUNTIFS(IM!F:F,A31,IM!AC:AC,"*"&amp;$H$3&amp;"*") + COUNTIFS('0919門市清單主檔'!C:C,B31,'0919門市清單主檔'!AF:AF,$H$3) &gt; 1,
       "V","未完工"),"-")</f>
        <v>-</v>
      </c>
      <c r="H31" s="253" t="str">
        <f>IF(COUNTIFS('0919門市清單主檔'!C:C,B31,'0919門市清單主檔'!AG:AG,$H$4)=1,
    IF(COUNTIFS(IM!F:F,A31,IM!AC:AC,"*"&amp;$H$4&amp;"*") + COUNTIFS('0919門市清單主檔'!C:C,B31,'0919門市清單主檔'!AG:AG,$H$4) &gt; 1,
       "V","未完工"),"-")</f>
        <v>V</v>
      </c>
      <c r="I31" s="253" t="str">
        <f>IF(COUNTIFS('0919門市清單主檔'!C:C,B31,'0919門市清單主檔'!AH:AH,$H$5)=1,
    IF(COUNTIFS(IM!F:F,A31,IM!AC:AC,"*"&amp;$H$5&amp;"*") + COUNTIFS('0919門市清單主檔'!C:C,B31,'0919門市清單主檔'!AH:AH,$H$5) &gt; 1,
       "V","未完工"),"-")</f>
        <v>未完工</v>
      </c>
      <c r="J31" s="253" t="str">
        <f>IF(
    COUNTIFS('0919門市清單主檔'!C:C,B31,'0919門市清單主檔'!AC:AC,$H$2)=1,
    IF(
        COUNTIFS(
            IM!F:F,A31,
            IM!AC:AC,"*"&amp;$H$2&amp;"*",
            IM!X:X,"&gt;="&amp;$M$1,
            IM!X:X,"&lt;="&amp;$M$3
        )
        + COUNTIFS('0919門市清單主檔'!C:C,B31,'0919門市清單主檔'!AC:AC,$H$2)
        &gt;1,
        "V",
        "未完工"
    ),
    "-"
)</f>
        <v>-</v>
      </c>
      <c r="K31" s="122">
        <v>45887</v>
      </c>
      <c r="L31" s="116" t="str">
        <f>VLOOKUP(A31,'0919門市清單主檔'!B:V,21,FALSE)</f>
        <v>板橋區</v>
      </c>
      <c r="Q31" s="115" t="s">
        <v>4951</v>
      </c>
      <c r="R31" s="115"/>
    </row>
    <row r="32" spans="1:18" ht="21.6" customHeight="1">
      <c r="A32" s="116" t="s">
        <v>74</v>
      </c>
      <c r="B32" s="116" t="str">
        <f>VLOOKUP(A32,門市總表!A:B,2,FALSE)</f>
        <v>板橋僑福店</v>
      </c>
      <c r="C32" s="146" t="str">
        <f>IF(COUNTIFS(IM!$F:$F,A32,IM!$AD:$AD,"O",IM!$X:$X,"&gt;="&amp;$M$1, IM!$X:$X,"&lt;"&amp;$M$2)&gt;0,"V","")</f>
        <v/>
      </c>
      <c r="D32" s="146" t="str">
        <f>IF(AND(C32&lt;&gt;"V", COUNTIFS(IM!$F:$F,A32, IM!$AD:$AD, "O", IM!$X:$X, "&gt;="&amp;$M$2, IM!$X:$X, "&lt;"&amp;$M$3)&gt;0), "V", "")</f>
        <v/>
      </c>
      <c r="E32" s="146" t="str">
        <f>IF(AND(C32&lt;&gt;"V",D32&lt;&gt;"V", COUNTIFS(IM!$F:$F, A32, IM!$AD:$AD, "O", IM!$X:$X, "&gt;="&amp;$M$3, IM!$X:$X, "&lt;"&amp;$N$3)&gt;0), "V", "")</f>
        <v/>
      </c>
      <c r="F32" s="116" t="str">
        <f>IF(VLOOKUP(A32,門市總表!A:F,6,FALSE)="新開","新開不保養",
IF(VLOOKUP(A32,門市總表!A:F,6,FALSE)="撤店","閉店不保養",IF(VLOOKUP(A32,門市總表!A:F,6,FALSE)="非當季","非當季",IF(VLOOKUP(A32,門市總表!A:F,6,FALSE)="跨季補單","跨季補單",
IF(COUNTBLANK(C32:E32)=3,"未保養","")
))))</f>
        <v>未保養</v>
      </c>
      <c r="G32" s="116" t="str">
        <f>IF(COUNTIFS('0919門市清單主檔'!C:C,B32,'0919門市清單主檔'!AF:AF,$H$3)=1,
    IF(COUNTIFS(IM!F:F,A32,IM!AC:AC,"*"&amp;$H$3&amp;"*") + COUNTIFS('0919門市清單主檔'!C:C,B32,'0919門市清單主檔'!AF:AF,$H$3) &gt; 1,
       "V","未完工"),"-")</f>
        <v>-</v>
      </c>
      <c r="H32" s="253" t="str">
        <f>IF(COUNTIFS('0919門市清單主檔'!C:C,B32,'0919門市清單主檔'!AG:AG,$H$4)=1,
    IF(COUNTIFS(IM!F:F,A32,IM!AC:AC,"*"&amp;$H$4&amp;"*") + COUNTIFS('0919門市清單主檔'!C:C,B32,'0919門市清單主檔'!AG:AG,$H$4) &gt; 1,
       "V","未完工"),"-")</f>
        <v>V</v>
      </c>
      <c r="I32" s="253" t="str">
        <f>IF(COUNTIFS('0919門市清單主檔'!C:C,B32,'0919門市清單主檔'!AH:AH,$H$5)=1,
    IF(COUNTIFS(IM!F:F,A32,IM!AC:AC,"*"&amp;$H$5&amp;"*") + COUNTIFS('0919門市清單主檔'!C:C,B32,'0919門市清單主檔'!AH:AH,$H$5) &gt; 1,
       "V","未完工"),"-")</f>
        <v>未完工</v>
      </c>
      <c r="J32" s="253" t="str">
        <f>IF(
    COUNTIFS('0919門市清單主檔'!C:C,B32,'0919門市清單主檔'!AC:AC,$H$2)=1,
    IF(
        COUNTIFS(
            IM!F:F,A32,
            IM!AC:AC,"*"&amp;$H$2&amp;"*",
            IM!X:X,"&gt;="&amp;$M$1,
            IM!X:X,"&lt;="&amp;$M$3
        )
        + COUNTIFS('0919門市清單主檔'!C:C,B32,'0919門市清單主檔'!AC:AC,$H$2)
        &gt;1,
        "V",
        "未完工"
    ),
    "-"
)</f>
        <v>-</v>
      </c>
      <c r="K32" s="122">
        <v>45925</v>
      </c>
      <c r="L32" s="116" t="str">
        <f>VLOOKUP(A32,'0919門市清單主檔'!B:V,21,FALSE)</f>
        <v>板橋區</v>
      </c>
      <c r="Q32" s="115" t="s">
        <v>4951</v>
      </c>
      <c r="R32" s="115"/>
    </row>
    <row r="33" spans="1:18" ht="21.6" customHeight="1">
      <c r="A33" s="116" t="s">
        <v>73</v>
      </c>
      <c r="B33" s="116" t="str">
        <f>VLOOKUP(A33,門市總表!A:B,2,FALSE)</f>
        <v>北縣僑中三店</v>
      </c>
      <c r="C33" s="146" t="str">
        <f>IF(COUNTIFS(IM!$F:$F,A33,IM!$AD:$AD,"O",IM!$X:$X,"&gt;="&amp;$M$1, IM!$X:$X,"&lt;"&amp;$M$2)&gt;0,"V","")</f>
        <v/>
      </c>
      <c r="D33" s="146" t="str">
        <f>IF(AND(C33&lt;&gt;"V", COUNTIFS(IM!$F:$F,A33, IM!$AD:$AD, "O", IM!$X:$X, "&gt;="&amp;$M$2, IM!$X:$X, "&lt;"&amp;$M$3)&gt;0), "V", "")</f>
        <v/>
      </c>
      <c r="E33" s="146" t="str">
        <f>IF(AND(C33&lt;&gt;"V",D33&lt;&gt;"V", COUNTIFS(IM!$F:$F, A33, IM!$AD:$AD, "O", IM!$X:$X, "&gt;="&amp;$M$3, IM!$X:$X, "&lt;"&amp;$N$3)&gt;0), "V", "")</f>
        <v/>
      </c>
      <c r="F33" s="116" t="str">
        <f>IF(VLOOKUP(A33,門市總表!A:F,6,FALSE)="新開","新開不保養",
IF(VLOOKUP(A33,門市總表!A:F,6,FALSE)="撤店","閉店不保養",IF(VLOOKUP(A33,門市總表!A:F,6,FALSE)="非當季","非當季",IF(VLOOKUP(A33,門市總表!A:F,6,FALSE)="跨季補單","跨季補單",
IF(COUNTBLANK(C33:E33)=3,"未保養","")
))))</f>
        <v>未保養</v>
      </c>
      <c r="G33" s="116" t="str">
        <f>IF(COUNTIFS('0919門市清單主檔'!C:C,B33,'0919門市清單主檔'!AF:AF,$H$3)=1,
    IF(COUNTIFS(IM!F:F,A33,IM!AC:AC,"*"&amp;$H$3&amp;"*") + COUNTIFS('0919門市清單主檔'!C:C,B33,'0919門市清單主檔'!AF:AF,$H$3) &gt; 1,
       "V","未完工"),"-")</f>
        <v>-</v>
      </c>
      <c r="H33" s="253" t="str">
        <f>IF(COUNTIFS('0919門市清單主檔'!C:C,B33,'0919門市清單主檔'!AG:AG,$H$4)=1,
    IF(COUNTIFS(IM!F:F,A33,IM!AC:AC,"*"&amp;$H$4&amp;"*") + COUNTIFS('0919門市清單主檔'!C:C,B33,'0919門市清單主檔'!AG:AG,$H$4) &gt; 1,
       "V","未完工"),"-")</f>
        <v>V</v>
      </c>
      <c r="I33" s="253" t="str">
        <f>IF(COUNTIFS('0919門市清單主檔'!C:C,B33,'0919門市清單主檔'!AH:AH,$H$5)=1,
    IF(COUNTIFS(IM!F:F,A33,IM!AC:AC,"*"&amp;$H$5&amp;"*") + COUNTIFS('0919門市清單主檔'!C:C,B33,'0919門市清單主檔'!AH:AH,$H$5) &gt; 1,
       "V","未完工"),"-")</f>
        <v>未完工</v>
      </c>
      <c r="J33" s="253" t="str">
        <f>IF(
    COUNTIFS('0919門市清單主檔'!C:C,B33,'0919門市清單主檔'!AC:AC,$H$2)=1,
    IF(
        COUNTIFS(
            IM!F:F,A33,
            IM!AC:AC,"*"&amp;$H$2&amp;"*",
            IM!X:X,"&gt;="&amp;$M$1,
            IM!X:X,"&lt;="&amp;$M$3
        )
        + COUNTIFS('0919門市清單主檔'!C:C,B33,'0919門市清單主檔'!AC:AC,$H$2)
        &gt;1,
        "V",
        "未完工"
    ),
    "-"
)</f>
        <v>-</v>
      </c>
      <c r="K33" s="122">
        <v>45904</v>
      </c>
      <c r="L33" s="116" t="str">
        <f>VLOOKUP(A33,'0919門市清單主檔'!B:V,21,FALSE)</f>
        <v>板橋區</v>
      </c>
      <c r="Q33" s="115" t="s">
        <v>4951</v>
      </c>
      <c r="R33" s="115"/>
    </row>
    <row r="34" spans="1:18" ht="21.6" customHeight="1">
      <c r="A34" s="116">
        <v>4917</v>
      </c>
      <c r="B34" s="116" t="str">
        <f>VLOOKUP(A34,門市總表!A:B,2,FALSE)</f>
        <v>板橋翠華店</v>
      </c>
      <c r="C34" s="146" t="str">
        <f>IF(COUNTIFS(IM!$F:$F,A34,IM!$AD:$AD,"O",IM!$X:$X,"&gt;="&amp;$M$1, IM!$X:$X,"&lt;"&amp;$M$2)&gt;0,"V","")</f>
        <v/>
      </c>
      <c r="D34" s="146" t="str">
        <f>IF(AND(C34&lt;&gt;"V", COUNTIFS(IM!$F:$F,A34, IM!$AD:$AD, "O", IM!$X:$X, "&gt;="&amp;$M$2, IM!$X:$X, "&lt;"&amp;$M$3)&gt;0), "V", "")</f>
        <v/>
      </c>
      <c r="E34" s="146" t="str">
        <f>IF(AND(C34&lt;&gt;"V",D34&lt;&gt;"V", COUNTIFS(IM!$F:$F, A34, IM!$AD:$AD, "O", IM!$X:$X, "&gt;="&amp;$M$3, IM!$X:$X, "&lt;"&amp;$N$3)&gt;0), "V", "")</f>
        <v/>
      </c>
      <c r="F34" s="116" t="str">
        <f>IF(VLOOKUP(A34,門市總表!A:F,6,FALSE)="新開","新開不保養",
IF(VLOOKUP(A34,門市總表!A:F,6,FALSE)="撤店","閉店不保養",IF(VLOOKUP(A34,門市總表!A:F,6,FALSE)="非當季","非當季",IF(VLOOKUP(A34,門市總表!A:F,6,FALSE)="跨季補單","跨季補單",
IF(COUNTBLANK(C34:E34)=3,"未保養","")
))))</f>
        <v>未保養</v>
      </c>
      <c r="G34" s="116" t="str">
        <f>IF(COUNTIFS('0919門市清單主檔'!C:C,B34,'0919門市清單主檔'!AF:AF,$H$3)=1,
    IF(COUNTIFS(IM!F:F,A34,IM!AC:AC,"*"&amp;$H$3&amp;"*") + COUNTIFS('0919門市清單主檔'!C:C,B34,'0919門市清單主檔'!AF:AF,$H$3) &gt; 1,
       "V","未完工"),"-")</f>
        <v>-</v>
      </c>
      <c r="H34" s="253" t="str">
        <f>IF(COUNTIFS('0919門市清單主檔'!C:C,B34,'0919門市清單主檔'!AG:AG,$H$4)=1,
    IF(COUNTIFS(IM!F:F,A34,IM!AC:AC,"*"&amp;$H$4&amp;"*") + COUNTIFS('0919門市清單主檔'!C:C,B34,'0919門市清單主檔'!AG:AG,$H$4) &gt; 1,
       "V","未完工"),"-")</f>
        <v>V</v>
      </c>
      <c r="I34" s="253" t="str">
        <f>IF(COUNTIFS('0919門市清單主檔'!C:C,B34,'0919門市清單主檔'!AH:AH,$H$5)=1,
    IF(COUNTIFS(IM!F:F,A34,IM!AC:AC,"*"&amp;$H$5&amp;"*") + COUNTIFS('0919門市清單主檔'!C:C,B34,'0919門市清單主檔'!AH:AH,$H$5) &gt; 1,
       "V","未完工"),"-")</f>
        <v>未完工</v>
      </c>
      <c r="J34" s="253" t="str">
        <f>IF(
    COUNTIFS('0919門市清單主檔'!C:C,B34,'0919門市清單主檔'!AC:AC,$H$2)=1,
    IF(
        COUNTIFS(
            IM!F:F,A34,
            IM!AC:AC,"*"&amp;$H$2&amp;"*",
            IM!X:X,"&gt;="&amp;$M$1,
            IM!X:X,"&lt;="&amp;$M$3
        )
        + COUNTIFS('0919門市清單主檔'!C:C,B34,'0919門市清單主檔'!AC:AC,$H$2)
        &gt;1,
        "V",
        "未完工"
    ),
    "-"
)</f>
        <v>-</v>
      </c>
      <c r="K34" s="122">
        <v>45874</v>
      </c>
      <c r="L34" s="116" t="str">
        <f>VLOOKUP(A34,'0919門市清單主檔'!B:V,21,FALSE)</f>
        <v>板橋區</v>
      </c>
      <c r="Q34" s="115" t="s">
        <v>4951</v>
      </c>
      <c r="R34" s="115"/>
    </row>
    <row r="35" spans="1:18" ht="21.6" customHeight="1">
      <c r="A35" s="116">
        <v>2069</v>
      </c>
      <c r="B35" s="116" t="str">
        <f>VLOOKUP(A35,門市總表!A:B,2,FALSE)</f>
        <v>板橋江子翠站</v>
      </c>
      <c r="C35" s="146" t="str">
        <f>IF(COUNTIFS(IM!$F:$F,A35,IM!$AD:$AD,"O",IM!$X:$X,"&gt;="&amp;$M$1, IM!$X:$X,"&lt;"&amp;$M$2)&gt;0,"V","")</f>
        <v/>
      </c>
      <c r="D35" s="146" t="str">
        <f>IF(AND(C35&lt;&gt;"V", COUNTIFS(IM!$F:$F,A35, IM!$AD:$AD, "O", IM!$X:$X, "&gt;="&amp;$M$2, IM!$X:$X, "&lt;"&amp;$M$3)&gt;0), "V", "")</f>
        <v/>
      </c>
      <c r="E35" s="146" t="str">
        <f>IF(AND(C35&lt;&gt;"V",D35&lt;&gt;"V", COUNTIFS(IM!$F:$F, A35, IM!$AD:$AD, "O", IM!$X:$X, "&gt;="&amp;$M$3, IM!$X:$X, "&lt;"&amp;$N$3)&gt;0), "V", "")</f>
        <v/>
      </c>
      <c r="F35" s="116" t="str">
        <f>IF(VLOOKUP(A35,門市總表!A:F,6,FALSE)="新開","新開不保養",
IF(VLOOKUP(A35,門市總表!A:F,6,FALSE)="撤店","閉店不保養",IF(VLOOKUP(A35,門市總表!A:F,6,FALSE)="非當季","非當季",IF(VLOOKUP(A35,門市總表!A:F,6,FALSE)="跨季補單","跨季補單",
IF(COUNTBLANK(C35:E35)=3,"未保養","")
))))</f>
        <v>未保養</v>
      </c>
      <c r="G35" s="116" t="str">
        <f>IF(COUNTIFS('0919門市清單主檔'!C:C,B35,'0919門市清單主檔'!AF:AF,$H$3)=1,
    IF(COUNTIFS(IM!F:F,A35,IM!AC:AC,"*"&amp;$H$3&amp;"*") + COUNTIFS('0919門市清單主檔'!C:C,B35,'0919門市清單主檔'!AF:AF,$H$3) &gt; 1,
       "V","未完工"),"-")</f>
        <v>-</v>
      </c>
      <c r="H35" s="253" t="str">
        <f>IF(COUNTIFS('0919門市清單主檔'!C:C,B35,'0919門市清單主檔'!AG:AG,$H$4)=1,
    IF(COUNTIFS(IM!F:F,A35,IM!AC:AC,"*"&amp;$H$4&amp;"*") + COUNTIFS('0919門市清單主檔'!C:C,B35,'0919門市清單主檔'!AG:AG,$H$4) &gt; 1,
       "V","未完工"),"-")</f>
        <v>V</v>
      </c>
      <c r="I35" s="253" t="str">
        <f>IF(COUNTIFS('0919門市清單主檔'!C:C,B35,'0919門市清單主檔'!AH:AH,$H$5)=1,
    IF(COUNTIFS(IM!F:F,A35,IM!AC:AC,"*"&amp;$H$5&amp;"*") + COUNTIFS('0919門市清單主檔'!C:C,B35,'0919門市清單主檔'!AH:AH,$H$5) &gt; 1,
       "V","未完工"),"-")</f>
        <v>未完工</v>
      </c>
      <c r="J35" s="253" t="str">
        <f>IF(
    COUNTIFS('0919門市清單主檔'!C:C,B35,'0919門市清單主檔'!AC:AC,$H$2)=1,
    IF(
        COUNTIFS(
            IM!F:F,A35,
            IM!AC:AC,"*"&amp;$H$2&amp;"*",
            IM!X:X,"&gt;="&amp;$M$1,
            IM!X:X,"&lt;="&amp;$M$3
        )
        + COUNTIFS('0919門市清單主檔'!C:C,B35,'0919門市清單主檔'!AC:AC,$H$2)
        &gt;1,
        "V",
        "未完工"
    ),
    "-"
)</f>
        <v>-</v>
      </c>
      <c r="K35" s="122">
        <v>45916</v>
      </c>
      <c r="L35" s="116" t="str">
        <f>VLOOKUP(A35,'0919門市清單主檔'!B:V,21,FALSE)</f>
        <v>板橋區</v>
      </c>
      <c r="Q35" s="115" t="s">
        <v>4951</v>
      </c>
      <c r="R35" s="115"/>
    </row>
    <row r="36" spans="1:18" ht="21.6" customHeight="1">
      <c r="A36" s="116" t="s">
        <v>61</v>
      </c>
      <c r="B36" s="116" t="str">
        <f>VLOOKUP(A36,門市總表!A:B,2,FALSE)</f>
        <v>板橋成都店</v>
      </c>
      <c r="C36" s="146" t="str">
        <f>IF(COUNTIFS(IM!$F:$F,A36,IM!$AD:$AD,"O",IM!$X:$X,"&gt;="&amp;$M$1, IM!$X:$X,"&lt;"&amp;$M$2)&gt;0,"V","")</f>
        <v/>
      </c>
      <c r="D36" s="146" t="str">
        <f>IF(AND(C36&lt;&gt;"V", COUNTIFS(IM!$F:$F,A36, IM!$AD:$AD, "O", IM!$X:$X, "&gt;="&amp;$M$2, IM!$X:$X, "&lt;"&amp;$M$3)&gt;0), "V", "")</f>
        <v/>
      </c>
      <c r="E36" s="146" t="str">
        <f>IF(AND(C36&lt;&gt;"V",D36&lt;&gt;"V", COUNTIFS(IM!$F:$F, A36, IM!$AD:$AD, "O", IM!$X:$X, "&gt;="&amp;$M$3, IM!$X:$X, "&lt;"&amp;$N$3)&gt;0), "V", "")</f>
        <v/>
      </c>
      <c r="F36" s="116" t="str">
        <f>IF(VLOOKUP(A36,門市總表!A:F,6,FALSE)="新開","新開不保養",
IF(VLOOKUP(A36,門市總表!A:F,6,FALSE)="撤店","閉店不保養",IF(VLOOKUP(A36,門市總表!A:F,6,FALSE)="非當季","非當季",IF(VLOOKUP(A36,門市總表!A:F,6,FALSE)="跨季補單","跨季補單",
IF(COUNTBLANK(C36:E36)=3,"未保養","")
))))</f>
        <v>未保養</v>
      </c>
      <c r="G36" s="116" t="str">
        <f>IF(COUNTIFS('0919門市清單主檔'!C:C,B36,'0919門市清單主檔'!AF:AF,$H$3)=1,
    IF(COUNTIFS(IM!F:F,A36,IM!AC:AC,"*"&amp;$H$3&amp;"*") + COUNTIFS('0919門市清單主檔'!C:C,B36,'0919門市清單主檔'!AF:AF,$H$3) &gt; 1,
       "V","未完工"),"-")</f>
        <v>-</v>
      </c>
      <c r="H36" s="253" t="str">
        <f>IF(COUNTIFS('0919門市清單主檔'!C:C,B36,'0919門市清單主檔'!AG:AG,$H$4)=1,
    IF(COUNTIFS(IM!F:F,A36,IM!AC:AC,"*"&amp;$H$4&amp;"*") + COUNTIFS('0919門市清單主檔'!C:C,B36,'0919門市清單主檔'!AG:AG,$H$4) &gt; 1,
       "V","未完工"),"-")</f>
        <v>V</v>
      </c>
      <c r="I36" s="253" t="str">
        <f>IF(COUNTIFS('0919門市清單主檔'!C:C,B36,'0919門市清單主檔'!AH:AH,$H$5)=1,
    IF(COUNTIFS(IM!F:F,A36,IM!AC:AC,"*"&amp;$H$5&amp;"*") + COUNTIFS('0919門市清單主檔'!C:C,B36,'0919門市清單主檔'!AH:AH,$H$5) &gt; 1,
       "V","未完工"),"-")</f>
        <v>未完工</v>
      </c>
      <c r="J36" s="253" t="str">
        <f>IF(
    COUNTIFS('0919門市清單主檔'!C:C,B36,'0919門市清單主檔'!AC:AC,$H$2)=1,
    IF(
        COUNTIFS(
            IM!F:F,A36,
            IM!AC:AC,"*"&amp;$H$2&amp;"*",
            IM!X:X,"&gt;="&amp;$M$1,
            IM!X:X,"&lt;="&amp;$M$3
        )
        + COUNTIFS('0919門市清單主檔'!C:C,B36,'0919門市清單主檔'!AC:AC,$H$2)
        &gt;1,
        "V",
        "未完工"
    ),
    "-"
)</f>
        <v>-</v>
      </c>
      <c r="K36" s="122">
        <v>45894</v>
      </c>
      <c r="L36" s="116" t="str">
        <f>VLOOKUP(A36,'0919門市清單主檔'!B:V,21,FALSE)</f>
        <v>板橋區</v>
      </c>
      <c r="Q36" s="115" t="s">
        <v>4951</v>
      </c>
      <c r="R36" s="115"/>
    </row>
    <row r="37" spans="1:18" ht="21.6" customHeight="1">
      <c r="A37" s="116">
        <v>4046</v>
      </c>
      <c r="B37" s="116" t="str">
        <f>VLOOKUP(A37,門市總表!A:B,2,FALSE)</f>
        <v>板橋福康店</v>
      </c>
      <c r="C37" s="146" t="str">
        <f>IF(COUNTIFS(IM!$F:$F,A37,IM!$AD:$AD,"O",IM!$X:$X,"&gt;="&amp;$M$1, IM!$X:$X,"&lt;"&amp;$M$2)&gt;0,"V","")</f>
        <v/>
      </c>
      <c r="D37" s="146" t="str">
        <f>IF(AND(C37&lt;&gt;"V", COUNTIFS(IM!$F:$F,A37, IM!$AD:$AD, "O", IM!$X:$X, "&gt;="&amp;$M$2, IM!$X:$X, "&lt;"&amp;$M$3)&gt;0), "V", "")</f>
        <v/>
      </c>
      <c r="E37" s="146" t="str">
        <f>IF(AND(C37&lt;&gt;"V",D37&lt;&gt;"V", COUNTIFS(IM!$F:$F, A37, IM!$AD:$AD, "O", IM!$X:$X, "&gt;="&amp;$M$3, IM!$X:$X, "&lt;"&amp;$N$3)&gt;0), "V", "")</f>
        <v/>
      </c>
      <c r="F37" s="116" t="str">
        <f>IF(VLOOKUP(A37,門市總表!A:F,6,FALSE)="新開","新開不保養",
IF(VLOOKUP(A37,門市總表!A:F,6,FALSE)="撤店","閉店不保養",IF(VLOOKUP(A37,門市總表!A:F,6,FALSE)="非當季","非當季",IF(VLOOKUP(A37,門市總表!A:F,6,FALSE)="跨季補單","跨季補單",
IF(COUNTBLANK(C37:E37)=3,"未保養","")
))))</f>
        <v>未保養</v>
      </c>
      <c r="G37" s="116" t="str">
        <f>IF(COUNTIFS('0919門市清單主檔'!C:C,B37,'0919門市清單主檔'!AF:AF,$H$3)=1,
    IF(COUNTIFS(IM!F:F,A37,IM!AC:AC,"*"&amp;$H$3&amp;"*") + COUNTIFS('0919門市清單主檔'!C:C,B37,'0919門市清單主檔'!AF:AF,$H$3) &gt; 1,
       "V","未完工"),"-")</f>
        <v>-</v>
      </c>
      <c r="H37" s="253" t="str">
        <f>IF(COUNTIFS('0919門市清單主檔'!C:C,B37,'0919門市清單主檔'!AG:AG,$H$4)=1,
    IF(COUNTIFS(IM!F:F,A37,IM!AC:AC,"*"&amp;$H$4&amp;"*") + COUNTIFS('0919門市清單主檔'!C:C,B37,'0919門市清單主檔'!AG:AG,$H$4) &gt; 1,
       "V","未完工"),"-")</f>
        <v>未完工</v>
      </c>
      <c r="I37" s="253" t="str">
        <f>IF(COUNTIFS('0919門市清單主檔'!C:C,B37,'0919門市清單主檔'!AH:AH,$H$5)=1,
    IF(COUNTIFS(IM!F:F,A37,IM!AC:AC,"*"&amp;$H$5&amp;"*") + COUNTIFS('0919門市清單主檔'!C:C,B37,'0919門市清單主檔'!AH:AH,$H$5) &gt; 1,
       "V","未完工"),"-")</f>
        <v>未完工</v>
      </c>
      <c r="J37" s="253" t="str">
        <f>IF(
    COUNTIFS('0919門市清單主檔'!C:C,B37,'0919門市清單主檔'!AC:AC,$H$2)=1,
    IF(
        COUNTIFS(
            IM!F:F,A37,
            IM!AC:AC,"*"&amp;$H$2&amp;"*",
            IM!X:X,"&gt;="&amp;$M$1,
            IM!X:X,"&lt;="&amp;$M$3
        )
        + COUNTIFS('0919門市清單主檔'!C:C,B37,'0919門市清單主檔'!AC:AC,$H$2)
        &gt;1,
        "V",
        "未完工"
    ),
    "-"
)</f>
        <v>-</v>
      </c>
      <c r="K37" s="122">
        <v>45876</v>
      </c>
      <c r="L37" s="116" t="str">
        <f>VLOOKUP(A37,'0919門市清單主檔'!B:V,21,FALSE)</f>
        <v>板橋區</v>
      </c>
      <c r="Q37" s="115" t="s">
        <v>4951</v>
      </c>
      <c r="R37" s="115"/>
    </row>
    <row r="38" spans="1:18" ht="21.6" customHeight="1">
      <c r="A38" s="116">
        <v>4680</v>
      </c>
      <c r="B38" s="116" t="str">
        <f>VLOOKUP(A38,門市總表!A:B,2,FALSE)</f>
        <v>板橋江寧店</v>
      </c>
      <c r="C38" s="146" t="str">
        <f>IF(COUNTIFS(IM!$F:$F,A38,IM!$AD:$AD,"O",IM!$X:$X,"&gt;="&amp;$M$1, IM!$X:$X,"&lt;"&amp;$M$2)&gt;0,"V","")</f>
        <v/>
      </c>
      <c r="D38" s="146" t="str">
        <f>IF(AND(C38&lt;&gt;"V", COUNTIFS(IM!$F:$F,A38, IM!$AD:$AD, "O", IM!$X:$X, "&gt;="&amp;$M$2, IM!$X:$X, "&lt;"&amp;$M$3)&gt;0), "V", "")</f>
        <v/>
      </c>
      <c r="E38" s="146" t="str">
        <f>IF(AND(C38&lt;&gt;"V",D38&lt;&gt;"V", COUNTIFS(IM!$F:$F, A38, IM!$AD:$AD, "O", IM!$X:$X, "&gt;="&amp;$M$3, IM!$X:$X, "&lt;"&amp;$N$3)&gt;0), "V", "")</f>
        <v/>
      </c>
      <c r="F38" s="116" t="str">
        <f>IF(VLOOKUP(A38,門市總表!A:F,6,FALSE)="新開","新開不保養",
IF(VLOOKUP(A38,門市總表!A:F,6,FALSE)="撤店","閉店不保養",IF(VLOOKUP(A38,門市總表!A:F,6,FALSE)="非當季","非當季",IF(VLOOKUP(A38,門市總表!A:F,6,FALSE)="跨季補單","跨季補單",
IF(COUNTBLANK(C38:E38)=3,"未保養","")
))))</f>
        <v>未保養</v>
      </c>
      <c r="G38" s="116" t="str">
        <f>IF(COUNTIFS('0919門市清單主檔'!C:C,B38,'0919門市清單主檔'!AF:AF,$H$3)=1,
    IF(COUNTIFS(IM!F:F,A38,IM!AC:AC,"*"&amp;$H$3&amp;"*") + COUNTIFS('0919門市清單主檔'!C:C,B38,'0919門市清單主檔'!AF:AF,$H$3) &gt; 1,
       "V","未完工"),"-")</f>
        <v>-</v>
      </c>
      <c r="H38" s="253" t="str">
        <f>IF(COUNTIFS('0919門市清單主檔'!C:C,B38,'0919門市清單主檔'!AG:AG,$H$4)=1,
    IF(COUNTIFS(IM!F:F,A38,IM!AC:AC,"*"&amp;$H$4&amp;"*") + COUNTIFS('0919門市清單主檔'!C:C,B38,'0919門市清單主檔'!AG:AG,$H$4) &gt; 1,
       "V","未完工"),"-")</f>
        <v>未完工</v>
      </c>
      <c r="I38" s="253" t="str">
        <f>IF(COUNTIFS('0919門市清單主檔'!C:C,B38,'0919門市清單主檔'!AH:AH,$H$5)=1,
    IF(COUNTIFS(IM!F:F,A38,IM!AC:AC,"*"&amp;$H$5&amp;"*") + COUNTIFS('0919門市清單主檔'!C:C,B38,'0919門市清單主檔'!AH:AH,$H$5) &gt; 1,
       "V","未完工"),"-")</f>
        <v>未完工</v>
      </c>
      <c r="J38" s="253" t="str">
        <f>IF(
    COUNTIFS('0919門市清單主檔'!C:C,B38,'0919門市清單主檔'!AC:AC,$H$2)=1,
    IF(
        COUNTIFS(
            IM!F:F,A38,
            IM!AC:AC,"*"&amp;$H$2&amp;"*",
            IM!X:X,"&gt;="&amp;$M$1,
            IM!X:X,"&lt;="&amp;$M$3
        )
        + COUNTIFS('0919門市清單主檔'!C:C,B38,'0919門市清單主檔'!AC:AC,$H$2)
        &gt;1,
        "V",
        "未完工"
    ),
    "-"
)</f>
        <v>-</v>
      </c>
      <c r="K38" s="122">
        <v>45867</v>
      </c>
      <c r="L38" s="116" t="str">
        <f>VLOOKUP(A38,'0919門市清單主檔'!B:V,21,FALSE)</f>
        <v>板橋區</v>
      </c>
      <c r="Q38" s="115" t="s">
        <v>4951</v>
      </c>
      <c r="R38" s="115"/>
    </row>
    <row r="39" spans="1:18" ht="21.6" customHeight="1">
      <c r="A39" s="116">
        <v>5451</v>
      </c>
      <c r="B39" s="116" t="str">
        <f>VLOOKUP(A39,門市總表!A:B,2,FALSE)</f>
        <v>板橋懷仁店</v>
      </c>
      <c r="C39" s="146" t="str">
        <f>IF(COUNTIFS(IM!$F:$F,A39,IM!$AD:$AD,"O",IM!$X:$X,"&gt;="&amp;$M$1, IM!$X:$X,"&lt;"&amp;$M$2)&gt;0,"V","")</f>
        <v>V</v>
      </c>
      <c r="D39" s="146" t="str">
        <f>IF(AND(C39&lt;&gt;"V", COUNTIFS(IM!$F:$F,A39, IM!$AD:$AD, "O", IM!$X:$X, "&gt;="&amp;$M$2, IM!$X:$X, "&lt;"&amp;$M$3)&gt;0), "V", "")</f>
        <v/>
      </c>
      <c r="E39" s="146" t="str">
        <f>IF(AND(C39&lt;&gt;"V",D39&lt;&gt;"V", COUNTIFS(IM!$F:$F, A39, IM!$AD:$AD, "O", IM!$X:$X, "&gt;="&amp;$M$3, IM!$X:$X, "&lt;"&amp;$N$3)&gt;0), "V", "")</f>
        <v/>
      </c>
      <c r="F39" s="116" t="str">
        <f>IF(VLOOKUP(A39,門市總表!A:F,6,FALSE)="新開","新開不保養",
IF(VLOOKUP(A39,門市總表!A:F,6,FALSE)="撤店","閉店不保養",IF(VLOOKUP(A39,門市總表!A:F,6,FALSE)="非當季","非當季",IF(VLOOKUP(A39,門市總表!A:F,6,FALSE)="跨季補單","跨季補單",
IF(COUNTBLANK(C39:E39)=3,"未保養","")
))))</f>
        <v/>
      </c>
      <c r="G39" s="116" t="str">
        <f>IF(COUNTIFS('0919門市清單主檔'!C:C,B39,'0919門市清單主檔'!AF:AF,$H$3)=1,
    IF(COUNTIFS(IM!F:F,A39,IM!AC:AC,"*"&amp;$H$3&amp;"*") + COUNTIFS('0919門市清單主檔'!C:C,B39,'0919門市清單主檔'!AF:AF,$H$3) &gt; 1,
       "V","未完工"),"-")</f>
        <v>-</v>
      </c>
      <c r="H39" s="253" t="str">
        <f>IF(COUNTIFS('0919門市清單主檔'!C:C,B39,'0919門市清單主檔'!AG:AG,$H$4)=1,
    IF(COUNTIFS(IM!F:F,A39,IM!AC:AC,"*"&amp;$H$4&amp;"*") + COUNTIFS('0919門市清單主檔'!C:C,B39,'0919門市清單主檔'!AG:AG,$H$4) &gt; 1,
       "V","未完工"),"-")</f>
        <v>未完工</v>
      </c>
      <c r="I39" s="253" t="str">
        <f>IF(COUNTIFS('0919門市清單主檔'!C:C,B39,'0919門市清單主檔'!AH:AH,$H$5)=1,
    IF(COUNTIFS(IM!F:F,A39,IM!AC:AC,"*"&amp;$H$5&amp;"*") + COUNTIFS('0919門市清單主檔'!C:C,B39,'0919門市清單主檔'!AH:AH,$H$5) &gt; 1,
       "V","未完工"),"-")</f>
        <v>-</v>
      </c>
      <c r="J39" s="253" t="str">
        <f>IF(
    COUNTIFS('0919門市清單主檔'!C:C,B39,'0919門市清單主檔'!AC:AC,$H$2)=1,
    IF(
        COUNTIFS(
            IM!F:F,A39,
            IM!AC:AC,"*"&amp;$H$2&amp;"*",
            IM!X:X,"&gt;="&amp;$M$1,
            IM!X:X,"&lt;="&amp;$M$3
        )
        + COUNTIFS('0919門市清單主檔'!C:C,B39,'0919門市清單主檔'!AC:AC,$H$2)
        &gt;1,
        "V",
        "未完工"
    ),
    "-"
)</f>
        <v>-</v>
      </c>
      <c r="K39" s="122">
        <v>45916</v>
      </c>
      <c r="L39" s="116" t="str">
        <f>VLOOKUP(A39,'0919門市清單主檔'!B:V,21,FALSE)</f>
        <v>板橋區</v>
      </c>
      <c r="Q39" s="115" t="s">
        <v>4951</v>
      </c>
      <c r="R39" s="115"/>
    </row>
    <row r="40" spans="1:18" ht="21.6" customHeight="1">
      <c r="A40" s="116">
        <v>5496</v>
      </c>
      <c r="B40" s="116" t="str">
        <f>VLOOKUP(A40,門市總表!A:B,2,FALSE)</f>
        <v>板橋市民廣場</v>
      </c>
      <c r="C40" s="146" t="str">
        <f>IF(COUNTIFS(IM!$F:$F,A40,IM!$AD:$AD,"O",IM!$X:$X,"&gt;="&amp;$M$1, IM!$X:$X,"&lt;"&amp;$M$2)&gt;0,"V","")</f>
        <v>V</v>
      </c>
      <c r="D40" s="146" t="str">
        <f>IF(AND(C40&lt;&gt;"V", COUNTIFS(IM!$F:$F,A40, IM!$AD:$AD, "O", IM!$X:$X, "&gt;="&amp;$M$2, IM!$X:$X, "&lt;"&amp;$M$3)&gt;0), "V", "")</f>
        <v/>
      </c>
      <c r="E40" s="146" t="str">
        <f>IF(AND(C40&lt;&gt;"V",D40&lt;&gt;"V", COUNTIFS(IM!$F:$F, A40, IM!$AD:$AD, "O", IM!$X:$X, "&gt;="&amp;$M$3, IM!$X:$X, "&lt;"&amp;$N$3)&gt;0), "V", "")</f>
        <v/>
      </c>
      <c r="F40" s="116" t="str">
        <f>IF(VLOOKUP(A40,門市總表!A:F,6,FALSE)="新開","新開不保養",
IF(VLOOKUP(A40,門市總表!A:F,6,FALSE)="撤店","閉店不保養",IF(VLOOKUP(A40,門市總表!A:F,6,FALSE)="非當季","非當季",IF(VLOOKUP(A40,門市總表!A:F,6,FALSE)="跨季補單","跨季補單",
IF(COUNTBLANK(C40:E40)=3,"未保養","")
))))</f>
        <v/>
      </c>
      <c r="G40" s="116" t="str">
        <f>IF(COUNTIFS('0919門市清單主檔'!C:C,B40,'0919門市清單主檔'!AF:AF,$H$3)=1,
    IF(COUNTIFS(IM!F:F,A40,IM!AC:AC,"*"&amp;$H$3&amp;"*") + COUNTIFS('0919門市清單主檔'!C:C,B40,'0919門市清單主檔'!AF:AF,$H$3) &gt; 1,
       "V","未完工"),"-")</f>
        <v>-</v>
      </c>
      <c r="H40" s="253" t="str">
        <f>IF(COUNTIFS('0919門市清單主檔'!C:C,B40,'0919門市清單主檔'!AG:AG,$H$4)=1,
    IF(COUNTIFS(IM!F:F,A40,IM!AC:AC,"*"&amp;$H$4&amp;"*") + COUNTIFS('0919門市清單主檔'!C:C,B40,'0919門市清單主檔'!AG:AG,$H$4) &gt; 1,
       "V","未完工"),"-")</f>
        <v>V</v>
      </c>
      <c r="I40" s="253" t="str">
        <f>IF(COUNTIFS('0919門市清單主檔'!C:C,B40,'0919門市清單主檔'!AH:AH,$H$5)=1,
    IF(COUNTIFS(IM!F:F,A40,IM!AC:AC,"*"&amp;$H$5&amp;"*") + COUNTIFS('0919門市清單主檔'!C:C,B40,'0919門市清單主檔'!AH:AH,$H$5) &gt; 1,
       "V","未完工"),"-")</f>
        <v>-</v>
      </c>
      <c r="J40" s="253" t="str">
        <f>IF(
    COUNTIFS('0919門市清單主檔'!C:C,B40,'0919門市清單主檔'!AC:AC,$H$2)=1,
    IF(
        COUNTIFS(
            IM!F:F,A40,
            IM!AC:AC,"*"&amp;$H$2&amp;"*",
            IM!X:X,"&gt;="&amp;$M$1,
            IM!X:X,"&lt;="&amp;$M$3
        )
        + COUNTIFS('0919門市清單主檔'!C:C,B40,'0919門市清單主檔'!AC:AC,$H$2)
        &gt;1,
        "V",
        "未完工"
    ),
    "-"
)</f>
        <v>-</v>
      </c>
      <c r="K40" s="122">
        <v>45867</v>
      </c>
      <c r="L40" s="116" t="str">
        <f>VLOOKUP(A40,'0919門市清單主檔'!B:V,21,FALSE)</f>
        <v>板橋區</v>
      </c>
      <c r="Q40" s="115" t="s">
        <v>4951</v>
      </c>
      <c r="R40" s="115"/>
    </row>
    <row r="41" spans="1:18" ht="21.6" customHeight="1">
      <c r="A41" s="116" t="s">
        <v>48</v>
      </c>
      <c r="B41" s="116" t="str">
        <f>VLOOKUP(A41,門市總表!A:B,2,FALSE)</f>
        <v>北縣府中店</v>
      </c>
      <c r="C41" s="146" t="str">
        <f>IF(COUNTIFS(IM!$F:$F,A41,IM!$AD:$AD,"O",IM!$X:$X,"&gt;="&amp;$M$1, IM!$X:$X,"&lt;"&amp;$M$2)&gt;0,"V","")</f>
        <v>V</v>
      </c>
      <c r="D41" s="146" t="str">
        <f>IF(AND(C41&lt;&gt;"V", COUNTIFS(IM!$F:$F,A41, IM!$AD:$AD, "O", IM!$X:$X, "&gt;="&amp;$M$2, IM!$X:$X, "&lt;"&amp;$M$3)&gt;0), "V", "")</f>
        <v/>
      </c>
      <c r="E41" s="146" t="str">
        <f>IF(AND(C41&lt;&gt;"V",D41&lt;&gt;"V", COUNTIFS(IM!$F:$F, A41, IM!$AD:$AD, "O", IM!$X:$X, "&gt;="&amp;$M$3, IM!$X:$X, "&lt;"&amp;$N$3)&gt;0), "V", "")</f>
        <v/>
      </c>
      <c r="F41" s="116" t="str">
        <f>IF(VLOOKUP(A41,門市總表!A:F,6,FALSE)="新開","新開不保養",
IF(VLOOKUP(A41,門市總表!A:F,6,FALSE)="撤店","閉店不保養",IF(VLOOKUP(A41,門市總表!A:F,6,FALSE)="非當季","非當季",IF(VLOOKUP(A41,門市總表!A:F,6,FALSE)="跨季補單","跨季補單",
IF(COUNTBLANK(C41:E41)=3,"未保養","")
))))</f>
        <v/>
      </c>
      <c r="G41" s="116" t="str">
        <f>IF(COUNTIFS('0919門市清單主檔'!C:C,B41,'0919門市清單主檔'!AF:AF,$H$3)=1,
    IF(COUNTIFS(IM!F:F,A41,IM!AC:AC,"*"&amp;$H$3&amp;"*") + COUNTIFS('0919門市清單主檔'!C:C,B41,'0919門市清單主檔'!AF:AF,$H$3) &gt; 1,
       "V","未完工"),"-")</f>
        <v>-</v>
      </c>
      <c r="H41" s="253" t="str">
        <f>IF(COUNTIFS('0919門市清單主檔'!C:C,B41,'0919門市清單主檔'!AG:AG,$H$4)=1,
    IF(COUNTIFS(IM!F:F,A41,IM!AC:AC,"*"&amp;$H$4&amp;"*") + COUNTIFS('0919門市清單主檔'!C:C,B41,'0919門市清單主檔'!AG:AG,$H$4) &gt; 1,
       "V","未完工"),"-")</f>
        <v>未完工</v>
      </c>
      <c r="I41" s="253" t="str">
        <f>IF(COUNTIFS('0919門市清單主檔'!C:C,B41,'0919門市清單主檔'!AH:AH,$H$5)=1,
    IF(COUNTIFS(IM!F:F,A41,IM!AC:AC,"*"&amp;$H$5&amp;"*") + COUNTIFS('0919門市清單主檔'!C:C,B41,'0919門市清單主檔'!AH:AH,$H$5) &gt; 1,
       "V","未完工"),"-")</f>
        <v>V</v>
      </c>
      <c r="J41" s="253" t="str">
        <f>IF(
    COUNTIFS('0919門市清單主檔'!C:C,B41,'0919門市清單主檔'!AC:AC,$H$2)=1,
    IF(
        COUNTIFS(
            IM!F:F,A41,
            IM!AC:AC,"*"&amp;$H$2&amp;"*",
            IM!X:X,"&gt;="&amp;$M$1,
            IM!X:X,"&lt;="&amp;$M$3
        )
        + COUNTIFS('0919門市清單主檔'!C:C,B41,'0919門市清單主檔'!AC:AC,$H$2)
        &gt;1,
        "V",
        "未完工"
    ),
    "-"
)</f>
        <v>-</v>
      </c>
      <c r="K41" s="122">
        <v>45860</v>
      </c>
      <c r="L41" s="116" t="str">
        <f>VLOOKUP(A41,'0919門市清單主檔'!B:V,21,FALSE)</f>
        <v>板橋區</v>
      </c>
      <c r="Q41" s="115" t="s">
        <v>4951</v>
      </c>
      <c r="R41" s="115"/>
    </row>
    <row r="42" spans="1:18" ht="21.6" customHeight="1">
      <c r="A42" s="116">
        <v>2422</v>
      </c>
      <c r="B42" s="116" t="str">
        <f>VLOOKUP(A42,門市總表!A:B,2,FALSE)</f>
        <v>北縣板億店</v>
      </c>
      <c r="C42" s="146" t="str">
        <f>IF(COUNTIFS(IM!$F:$F,A42,IM!$AD:$AD,"O",IM!$X:$X,"&gt;="&amp;$M$1, IM!$X:$X,"&lt;"&amp;$M$2)&gt;0,"V","")</f>
        <v>V</v>
      </c>
      <c r="D42" s="146" t="str">
        <f>IF(AND(C42&lt;&gt;"V", COUNTIFS(IM!$F:$F,A42, IM!$AD:$AD, "O", IM!$X:$X, "&gt;="&amp;$M$2, IM!$X:$X, "&lt;"&amp;$M$3)&gt;0), "V", "")</f>
        <v/>
      </c>
      <c r="E42" s="146" t="str">
        <f>IF(AND(C42&lt;&gt;"V",D42&lt;&gt;"V", COUNTIFS(IM!$F:$F, A42, IM!$AD:$AD, "O", IM!$X:$X, "&gt;="&amp;$M$3, IM!$X:$X, "&lt;"&amp;$N$3)&gt;0), "V", "")</f>
        <v/>
      </c>
      <c r="F42" s="116" t="str">
        <f>IF(VLOOKUP(A42,門市總表!A:F,6,FALSE)="新開","新開不保養",
IF(VLOOKUP(A42,門市總表!A:F,6,FALSE)="撤店","閉店不保養",IF(VLOOKUP(A42,門市總表!A:F,6,FALSE)="非當季","非當季",IF(VLOOKUP(A42,門市總表!A:F,6,FALSE)="跨季補單","跨季補單",
IF(COUNTBLANK(C42:E42)=3,"未保養","")
))))</f>
        <v/>
      </c>
      <c r="G42" s="116" t="str">
        <f>IF(COUNTIFS('0919門市清單主檔'!C:C,B42,'0919門市清單主檔'!AF:AF,$H$3)=1,
    IF(COUNTIFS(IM!F:F,A42,IM!AC:AC,"*"&amp;$H$3&amp;"*") + COUNTIFS('0919門市清單主檔'!C:C,B42,'0919門市清單主檔'!AF:AF,$H$3) &gt; 1,
       "V","未完工"),"-")</f>
        <v>-</v>
      </c>
      <c r="H42" s="253" t="str">
        <f>IF(COUNTIFS('0919門市清單主檔'!C:C,B42,'0919門市清單主檔'!AG:AG,$H$4)=1,
    IF(COUNTIFS(IM!F:F,A42,IM!AC:AC,"*"&amp;$H$4&amp;"*") + COUNTIFS('0919門市清單主檔'!C:C,B42,'0919門市清單主檔'!AG:AG,$H$4) &gt; 1,
       "V","未完工"),"-")</f>
        <v>V</v>
      </c>
      <c r="I42" s="253" t="str">
        <f>IF(COUNTIFS('0919門市清單主檔'!C:C,B42,'0919門市清單主檔'!AH:AH,$H$5)=1,
    IF(COUNTIFS(IM!F:F,A42,IM!AC:AC,"*"&amp;$H$5&amp;"*") + COUNTIFS('0919門市清單主檔'!C:C,B42,'0919門市清單主檔'!AH:AH,$H$5) &gt; 1,
       "V","未完工"),"-")</f>
        <v>V</v>
      </c>
      <c r="J42" s="253" t="str">
        <f>IF(
    COUNTIFS('0919門市清單主檔'!C:C,B42,'0919門市清單主檔'!AC:AC,$H$2)=1,
    IF(
        COUNTIFS(
            IM!F:F,A42,
            IM!AC:AC,"*"&amp;$H$2&amp;"*",
            IM!X:X,"&gt;="&amp;$M$1,
            IM!X:X,"&lt;="&amp;$M$3
        )
        + COUNTIFS('0919門市清單主檔'!C:C,B42,'0919門市清單主檔'!AC:AC,$H$2)
        &gt;1,
        "V",
        "未完工"
    ),
    "-"
)</f>
        <v>-</v>
      </c>
      <c r="K42" s="122">
        <v>45904</v>
      </c>
      <c r="L42" s="116" t="str">
        <f>VLOOKUP(A42,'0919門市清單主檔'!B:V,21,FALSE)</f>
        <v>板橋區</v>
      </c>
      <c r="Q42" s="115" t="s">
        <v>4951</v>
      </c>
      <c r="R42" s="115"/>
    </row>
    <row r="43" spans="1:18" ht="15" customHeight="1">
      <c r="A43" s="117"/>
      <c r="B43" s="117"/>
    </row>
    <row r="44" spans="1:18" ht="15" customHeight="1">
      <c r="A44" s="117"/>
      <c r="B44" s="117"/>
    </row>
    <row r="45" spans="1:18" ht="15" customHeight="1">
      <c r="A45" s="117"/>
      <c r="B45" s="117"/>
    </row>
    <row r="46" spans="1:18" ht="15" customHeight="1">
      <c r="A46" s="117"/>
      <c r="B46" s="117"/>
    </row>
    <row r="47" spans="1:18" ht="15" customHeight="1">
      <c r="A47" s="117"/>
      <c r="B47" s="117"/>
    </row>
    <row r="48" spans="1:18" ht="15" customHeight="1">
      <c r="A48" s="117"/>
      <c r="B48" s="117"/>
    </row>
    <row r="49" spans="1:2" ht="15" customHeight="1">
      <c r="A49" s="117"/>
      <c r="B49" s="117"/>
    </row>
    <row r="50" spans="1:2" ht="15" customHeight="1">
      <c r="A50" s="117"/>
      <c r="B50" s="117"/>
    </row>
    <row r="51" spans="1:2" ht="15" customHeight="1">
      <c r="A51" s="117"/>
      <c r="B51" s="117"/>
    </row>
    <row r="52" spans="1:2" ht="15" customHeight="1">
      <c r="A52" s="117"/>
      <c r="B52" s="117"/>
    </row>
    <row r="53" spans="1:2" ht="15" customHeight="1">
      <c r="A53" s="117"/>
      <c r="B53" s="117"/>
    </row>
    <row r="54" spans="1:2" ht="15" customHeight="1">
      <c r="A54" s="117"/>
      <c r="B54" s="117"/>
    </row>
    <row r="55" spans="1:2" ht="15" customHeight="1">
      <c r="A55" s="117"/>
      <c r="B55" s="117"/>
    </row>
    <row r="56" spans="1:2" ht="15" customHeight="1">
      <c r="A56" s="117"/>
      <c r="B56" s="117"/>
    </row>
    <row r="57" spans="1:2" ht="15" customHeight="1">
      <c r="A57" s="117"/>
      <c r="B57" s="117"/>
    </row>
    <row r="58" spans="1:2" ht="15" customHeight="1">
      <c r="A58" s="117"/>
      <c r="B58" s="117"/>
    </row>
    <row r="59" spans="1:2" ht="15" customHeight="1">
      <c r="A59" s="117"/>
      <c r="B59" s="117"/>
    </row>
    <row r="60" spans="1:2" ht="15" customHeight="1">
      <c r="A60" s="117"/>
      <c r="B60" s="117"/>
    </row>
    <row r="61" spans="1:2" ht="15" customHeight="1">
      <c r="A61" s="117"/>
      <c r="B61" s="117"/>
    </row>
    <row r="62" spans="1:2" ht="15" customHeight="1">
      <c r="A62" s="117"/>
      <c r="B62" s="117"/>
    </row>
    <row r="63" spans="1:2" ht="15" customHeight="1">
      <c r="A63" s="117"/>
      <c r="B63" s="117"/>
    </row>
    <row r="64" spans="1:2" ht="15" customHeight="1">
      <c r="A64" s="117"/>
      <c r="B64" s="117"/>
    </row>
    <row r="65" spans="1:2" ht="15" customHeight="1">
      <c r="A65" s="117"/>
      <c r="B65" s="117"/>
    </row>
    <row r="66" spans="1:2" ht="15" customHeight="1">
      <c r="A66" s="117"/>
      <c r="B66" s="117"/>
    </row>
    <row r="67" spans="1:2" ht="15" customHeight="1">
      <c r="A67" s="117"/>
      <c r="B67" s="117"/>
    </row>
    <row r="68" spans="1:2" ht="15" customHeight="1">
      <c r="A68" s="117"/>
      <c r="B68" s="117"/>
    </row>
    <row r="69" spans="1:2" ht="15" customHeight="1">
      <c r="A69" s="117"/>
      <c r="B69" s="117"/>
    </row>
    <row r="70" spans="1:2" ht="15" customHeight="1">
      <c r="A70" s="117"/>
      <c r="B70" s="117"/>
    </row>
    <row r="71" spans="1:2" ht="15" customHeight="1">
      <c r="A71" s="117"/>
      <c r="B71" s="117"/>
    </row>
    <row r="72" spans="1:2" ht="15" customHeight="1">
      <c r="A72" s="117"/>
      <c r="B72" s="117"/>
    </row>
    <row r="73" spans="1:2" ht="15" customHeight="1">
      <c r="A73" s="117"/>
      <c r="B73" s="117"/>
    </row>
    <row r="74" spans="1:2" ht="15" customHeight="1">
      <c r="A74" s="117"/>
      <c r="B74" s="117"/>
    </row>
    <row r="75" spans="1:2" ht="15" customHeight="1">
      <c r="A75" s="117"/>
      <c r="B75" s="117"/>
    </row>
    <row r="76" spans="1:2" ht="15" customHeight="1">
      <c r="A76" s="117"/>
      <c r="B76" s="117"/>
    </row>
    <row r="77" spans="1:2" ht="15" customHeight="1">
      <c r="A77" s="117"/>
      <c r="B77" s="117"/>
    </row>
    <row r="78" spans="1:2" ht="15" customHeight="1">
      <c r="A78" s="117"/>
      <c r="B78" s="117"/>
    </row>
    <row r="79" spans="1:2" ht="15" customHeight="1">
      <c r="A79" s="117"/>
      <c r="B79" s="117"/>
    </row>
    <row r="80" spans="1:2" ht="15" customHeight="1">
      <c r="A80" s="117"/>
      <c r="B80" s="117"/>
    </row>
    <row r="81" spans="1:2" ht="15" customHeight="1">
      <c r="A81" s="117"/>
      <c r="B81" s="117"/>
    </row>
    <row r="82" spans="1:2" ht="15" customHeight="1">
      <c r="A82" s="117"/>
      <c r="B82" s="117"/>
    </row>
    <row r="83" spans="1:2" ht="15" customHeight="1">
      <c r="A83" s="117"/>
      <c r="B83" s="117"/>
    </row>
    <row r="84" spans="1:2" ht="15" customHeight="1">
      <c r="A84" s="117"/>
      <c r="B84" s="117"/>
    </row>
    <row r="85" spans="1:2" ht="15" customHeight="1">
      <c r="A85" s="117"/>
      <c r="B85" s="117"/>
    </row>
    <row r="86" spans="1:2" ht="15" customHeight="1">
      <c r="A86" s="117"/>
      <c r="B86" s="117"/>
    </row>
    <row r="87" spans="1:2" ht="15" customHeight="1">
      <c r="A87" s="117"/>
      <c r="B87" s="117"/>
    </row>
    <row r="88" spans="1:2" ht="15" customHeight="1">
      <c r="A88" s="117"/>
      <c r="B88" s="117"/>
    </row>
    <row r="89" spans="1:2" ht="15" customHeight="1">
      <c r="A89" s="117"/>
      <c r="B89" s="117"/>
    </row>
    <row r="90" spans="1:2" ht="15" customHeight="1">
      <c r="A90" s="117"/>
      <c r="B90" s="117"/>
    </row>
    <row r="91" spans="1:2" ht="15" customHeight="1">
      <c r="A91" s="117"/>
      <c r="B91" s="117"/>
    </row>
    <row r="92" spans="1:2" ht="15" customHeight="1">
      <c r="A92" s="117"/>
      <c r="B92" s="117"/>
    </row>
    <row r="93" spans="1:2" ht="15" customHeight="1">
      <c r="A93" s="117"/>
      <c r="B93" s="117"/>
    </row>
    <row r="94" spans="1:2" ht="15" customHeight="1">
      <c r="A94" s="117"/>
      <c r="B94" s="117"/>
    </row>
    <row r="95" spans="1:2" ht="15" customHeight="1">
      <c r="A95" s="117"/>
      <c r="B95" s="117"/>
    </row>
    <row r="96" spans="1:2" ht="15" customHeight="1">
      <c r="A96" s="117"/>
      <c r="B96" s="117"/>
    </row>
    <row r="97" spans="1:2" ht="15" customHeight="1">
      <c r="A97" s="117"/>
      <c r="B97" s="117"/>
    </row>
    <row r="98" spans="1:2" ht="15" customHeight="1">
      <c r="A98" s="117"/>
      <c r="B98" s="117"/>
    </row>
    <row r="99" spans="1:2" ht="15" customHeight="1">
      <c r="A99" s="117"/>
      <c r="B99" s="117"/>
    </row>
    <row r="100" spans="1:2" ht="15" customHeight="1">
      <c r="A100" s="117"/>
      <c r="B100" s="117"/>
    </row>
    <row r="101" spans="1:2" ht="15" customHeight="1">
      <c r="A101" s="117"/>
      <c r="B101" s="117"/>
    </row>
    <row r="102" spans="1:2" ht="15" customHeight="1">
      <c r="A102" s="117"/>
      <c r="B102" s="117"/>
    </row>
    <row r="103" spans="1:2" ht="15" customHeight="1">
      <c r="A103" s="117"/>
      <c r="B103" s="117"/>
    </row>
    <row r="104" spans="1:2" ht="15" customHeight="1">
      <c r="A104" s="117"/>
      <c r="B104" s="117"/>
    </row>
    <row r="105" spans="1:2" ht="15" customHeight="1">
      <c r="A105" s="117"/>
      <c r="B105" s="117"/>
    </row>
    <row r="106" spans="1:2" ht="15" customHeight="1">
      <c r="A106" s="117"/>
      <c r="B106" s="117"/>
    </row>
    <row r="107" spans="1:2" ht="15" customHeight="1">
      <c r="A107" s="117"/>
      <c r="B107" s="117"/>
    </row>
    <row r="108" spans="1:2" ht="15" customHeight="1">
      <c r="A108" s="117"/>
      <c r="B108" s="117"/>
    </row>
    <row r="109" spans="1:2" ht="15" customHeight="1">
      <c r="A109" s="117"/>
      <c r="B109" s="117"/>
    </row>
    <row r="110" spans="1:2" ht="15" customHeight="1">
      <c r="A110" s="117"/>
      <c r="B110" s="117"/>
    </row>
    <row r="111" spans="1:2" ht="15" customHeight="1">
      <c r="A111" s="117"/>
      <c r="B111" s="117"/>
    </row>
    <row r="112" spans="1:2" ht="15" customHeight="1">
      <c r="A112" s="117"/>
      <c r="B112" s="117"/>
    </row>
    <row r="113" spans="1:2" ht="15" customHeight="1">
      <c r="A113" s="117"/>
      <c r="B113" s="117"/>
    </row>
    <row r="114" spans="1:2" ht="15" customHeight="1">
      <c r="A114" s="117"/>
      <c r="B114" s="117"/>
    </row>
    <row r="115" spans="1:2" ht="15" customHeight="1">
      <c r="A115" s="117"/>
      <c r="B115" s="117"/>
    </row>
    <row r="116" spans="1:2" ht="15" customHeight="1">
      <c r="A116" s="117"/>
      <c r="B116" s="117"/>
    </row>
    <row r="117" spans="1:2" ht="15" customHeight="1">
      <c r="A117" s="117"/>
      <c r="B117" s="117"/>
    </row>
    <row r="118" spans="1:2" ht="15" customHeight="1">
      <c r="A118" s="117"/>
      <c r="B118" s="117"/>
    </row>
    <row r="119" spans="1:2" ht="15" customHeight="1">
      <c r="A119" s="117"/>
      <c r="B119" s="117"/>
    </row>
    <row r="120" spans="1:2" ht="15" customHeight="1">
      <c r="A120" s="117"/>
      <c r="B120" s="117"/>
    </row>
    <row r="121" spans="1:2" ht="15" customHeight="1">
      <c r="A121" s="117"/>
      <c r="B121" s="117"/>
    </row>
    <row r="122" spans="1:2" ht="15" customHeight="1">
      <c r="A122" s="117"/>
      <c r="B122" s="117"/>
    </row>
    <row r="123" spans="1:2" ht="15" customHeight="1">
      <c r="A123" s="117"/>
      <c r="B123" s="117"/>
    </row>
    <row r="124" spans="1:2" ht="15" customHeight="1">
      <c r="A124" s="117"/>
      <c r="B124" s="117"/>
    </row>
    <row r="125" spans="1:2" ht="15" customHeight="1">
      <c r="A125" s="117"/>
      <c r="B125" s="117"/>
    </row>
    <row r="126" spans="1:2" ht="15" customHeight="1">
      <c r="A126" s="117"/>
      <c r="B126" s="117"/>
    </row>
    <row r="127" spans="1:2" ht="15" customHeight="1">
      <c r="A127" s="117"/>
      <c r="B127" s="117"/>
    </row>
    <row r="128" spans="1:2" ht="15" customHeight="1">
      <c r="A128" s="117"/>
      <c r="B128" s="117"/>
    </row>
    <row r="129" spans="1:2" ht="15" customHeight="1">
      <c r="A129" s="117"/>
      <c r="B129" s="117"/>
    </row>
    <row r="130" spans="1:2" ht="15" customHeight="1">
      <c r="A130" s="117"/>
      <c r="B130" s="117"/>
    </row>
    <row r="131" spans="1:2" ht="15" customHeight="1">
      <c r="A131" s="117"/>
      <c r="B131" s="117"/>
    </row>
    <row r="132" spans="1:2" ht="15" customHeight="1">
      <c r="A132" s="117"/>
      <c r="B132" s="117"/>
    </row>
    <row r="133" spans="1:2" ht="15" customHeight="1">
      <c r="A133" s="117"/>
      <c r="B133" s="117"/>
    </row>
    <row r="134" spans="1:2" ht="15" customHeight="1">
      <c r="A134" s="117"/>
      <c r="B134" s="117"/>
    </row>
    <row r="135" spans="1:2" ht="15" customHeight="1">
      <c r="A135" s="117"/>
      <c r="B135" s="117"/>
    </row>
    <row r="136" spans="1:2" ht="15" customHeight="1">
      <c r="A136" s="117"/>
      <c r="B136" s="117"/>
    </row>
    <row r="137" spans="1:2" ht="15" customHeight="1">
      <c r="A137" s="117"/>
      <c r="B137" s="117"/>
    </row>
    <row r="138" spans="1:2" ht="15" customHeight="1">
      <c r="A138" s="117"/>
      <c r="B138" s="117"/>
    </row>
    <row r="139" spans="1:2" ht="15" customHeight="1">
      <c r="A139" s="117"/>
      <c r="B139" s="117"/>
    </row>
    <row r="140" spans="1:2" ht="15" customHeight="1">
      <c r="A140" s="117"/>
      <c r="B140" s="117"/>
    </row>
    <row r="141" spans="1:2" ht="15" customHeight="1">
      <c r="A141" s="117"/>
      <c r="B141" s="117"/>
    </row>
    <row r="142" spans="1:2" ht="15" customHeight="1">
      <c r="A142" s="117"/>
      <c r="B142" s="117"/>
    </row>
    <row r="143" spans="1:2" ht="15" customHeight="1">
      <c r="A143" s="117"/>
      <c r="B143" s="117"/>
    </row>
    <row r="144" spans="1:2" ht="15" customHeight="1">
      <c r="A144" s="117"/>
      <c r="B144" s="117"/>
    </row>
    <row r="145" spans="1:2" ht="15" customHeight="1">
      <c r="A145" s="117"/>
      <c r="B145" s="117"/>
    </row>
    <row r="146" spans="1:2" ht="15" customHeight="1">
      <c r="A146" s="117"/>
      <c r="B146" s="117"/>
    </row>
    <row r="147" spans="1:2" ht="15" customHeight="1">
      <c r="A147" s="117"/>
      <c r="B147" s="117"/>
    </row>
    <row r="148" spans="1:2" ht="15" customHeight="1">
      <c r="A148" s="117"/>
      <c r="B148" s="117"/>
    </row>
    <row r="149" spans="1:2" ht="15" customHeight="1">
      <c r="A149" s="117"/>
      <c r="B149" s="117"/>
    </row>
    <row r="150" spans="1:2" ht="15" customHeight="1">
      <c r="A150" s="117"/>
      <c r="B150" s="117"/>
    </row>
    <row r="151" spans="1:2" ht="15" customHeight="1">
      <c r="A151" s="117"/>
      <c r="B151" s="117"/>
    </row>
    <row r="152" spans="1:2" ht="15" customHeight="1">
      <c r="A152" s="117"/>
      <c r="B152" s="117"/>
    </row>
    <row r="153" spans="1:2" ht="15" customHeight="1">
      <c r="A153" s="117"/>
      <c r="B153" s="117"/>
    </row>
    <row r="154" spans="1:2" ht="15" customHeight="1">
      <c r="A154" s="117"/>
      <c r="B154" s="117"/>
    </row>
    <row r="155" spans="1:2" ht="15" customHeight="1">
      <c r="A155" s="117"/>
      <c r="B155" s="117"/>
    </row>
    <row r="156" spans="1:2" ht="15" customHeight="1">
      <c r="A156" s="117"/>
      <c r="B156" s="117"/>
    </row>
    <row r="157" spans="1:2" ht="15" customHeight="1">
      <c r="A157" s="117"/>
      <c r="B157" s="117"/>
    </row>
    <row r="158" spans="1:2" ht="15" customHeight="1">
      <c r="A158" s="117"/>
      <c r="B158" s="117"/>
    </row>
    <row r="159" spans="1:2" ht="15" customHeight="1">
      <c r="A159" s="117"/>
      <c r="B159" s="117"/>
    </row>
    <row r="160" spans="1:2" ht="15" customHeight="1">
      <c r="A160" s="117"/>
      <c r="B160" s="117"/>
    </row>
    <row r="161" spans="1:2" ht="15" customHeight="1">
      <c r="A161" s="117"/>
      <c r="B161" s="117"/>
    </row>
    <row r="162" spans="1:2" ht="15" customHeight="1">
      <c r="A162" s="117"/>
      <c r="B162" s="117"/>
    </row>
    <row r="163" spans="1:2" ht="15" customHeight="1">
      <c r="A163" s="117"/>
      <c r="B163" s="117"/>
    </row>
    <row r="164" spans="1:2" ht="15" customHeight="1">
      <c r="A164" s="117"/>
      <c r="B164" s="117"/>
    </row>
    <row r="165" spans="1:2" ht="15" customHeight="1">
      <c r="A165" s="117"/>
      <c r="B165" s="117"/>
    </row>
    <row r="166" spans="1:2" ht="15" customHeight="1">
      <c r="A166" s="117"/>
      <c r="B166" s="117"/>
    </row>
    <row r="167" spans="1:2" ht="15" customHeight="1">
      <c r="A167" s="117"/>
      <c r="B167" s="117"/>
    </row>
    <row r="168" spans="1:2" ht="15" customHeight="1">
      <c r="A168" s="117"/>
      <c r="B168" s="117"/>
    </row>
    <row r="169" spans="1:2" ht="15" customHeight="1">
      <c r="A169" s="117"/>
      <c r="B169" s="117"/>
    </row>
    <row r="170" spans="1:2" ht="15" customHeight="1">
      <c r="A170" s="117"/>
      <c r="B170" s="117"/>
    </row>
    <row r="171" spans="1:2" ht="15" customHeight="1">
      <c r="A171" s="117"/>
      <c r="B171" s="117"/>
    </row>
    <row r="172" spans="1:2" ht="15" customHeight="1">
      <c r="A172" s="117"/>
      <c r="B172" s="117"/>
    </row>
    <row r="173" spans="1:2" ht="15" customHeight="1">
      <c r="A173" s="117"/>
      <c r="B173" s="117"/>
    </row>
    <row r="174" spans="1:2" ht="15" customHeight="1">
      <c r="A174" s="117"/>
      <c r="B174" s="117"/>
    </row>
    <row r="175" spans="1:2" ht="15" customHeight="1">
      <c r="A175" s="117"/>
      <c r="B175" s="117"/>
    </row>
    <row r="176" spans="1:2" ht="15" customHeight="1">
      <c r="A176" s="117"/>
      <c r="B176" s="117"/>
    </row>
    <row r="177" spans="1:2" ht="15" customHeight="1">
      <c r="A177" s="117"/>
      <c r="B177" s="117"/>
    </row>
    <row r="178" spans="1:2" ht="15" customHeight="1">
      <c r="A178" s="117"/>
      <c r="B178" s="117"/>
    </row>
    <row r="179" spans="1:2" ht="15" customHeight="1">
      <c r="A179" s="117"/>
      <c r="B179" s="117"/>
    </row>
    <row r="180" spans="1:2" ht="15" customHeight="1">
      <c r="A180" s="117"/>
      <c r="B180" s="117"/>
    </row>
    <row r="181" spans="1:2" ht="15" customHeight="1">
      <c r="A181" s="117"/>
      <c r="B181" s="117"/>
    </row>
    <row r="182" spans="1:2" ht="15" customHeight="1">
      <c r="A182" s="117"/>
      <c r="B182" s="117"/>
    </row>
    <row r="183" spans="1:2" ht="15" customHeight="1">
      <c r="A183" s="117"/>
      <c r="B183" s="117"/>
    </row>
    <row r="184" spans="1:2" ht="15" customHeight="1">
      <c r="A184" s="117"/>
      <c r="B184" s="117"/>
    </row>
    <row r="185" spans="1:2" ht="15" customHeight="1">
      <c r="A185" s="117"/>
      <c r="B185" s="117"/>
    </row>
    <row r="186" spans="1:2" ht="15" customHeight="1">
      <c r="A186" s="117"/>
      <c r="B186" s="117"/>
    </row>
    <row r="187" spans="1:2" ht="15" customHeight="1">
      <c r="A187" s="117"/>
      <c r="B187" s="117"/>
    </row>
    <row r="188" spans="1:2" ht="15" customHeight="1">
      <c r="A188" s="117"/>
      <c r="B188" s="117"/>
    </row>
    <row r="189" spans="1:2" ht="15" customHeight="1">
      <c r="A189" s="117"/>
      <c r="B189" s="117"/>
    </row>
    <row r="190" spans="1:2" ht="15" customHeight="1">
      <c r="A190" s="117"/>
      <c r="B190" s="117"/>
    </row>
    <row r="191" spans="1:2" ht="15" customHeight="1">
      <c r="A191" s="117"/>
      <c r="B191" s="117"/>
    </row>
    <row r="192" spans="1:2" ht="15" customHeight="1">
      <c r="A192" s="117"/>
      <c r="B192" s="117"/>
    </row>
    <row r="193" spans="1:2" ht="15" customHeight="1">
      <c r="A193" s="117"/>
      <c r="B193" s="117"/>
    </row>
    <row r="194" spans="1:2" ht="15" customHeight="1">
      <c r="A194" s="117"/>
      <c r="B194" s="117"/>
    </row>
    <row r="195" spans="1:2" ht="15" customHeight="1">
      <c r="A195" s="117"/>
      <c r="B195" s="117"/>
    </row>
    <row r="196" spans="1:2" ht="15" customHeight="1">
      <c r="A196" s="117"/>
      <c r="B196" s="117"/>
    </row>
    <row r="197" spans="1:2" ht="15" customHeight="1">
      <c r="A197" s="117"/>
      <c r="B197" s="117"/>
    </row>
    <row r="198" spans="1:2" ht="15" customHeight="1">
      <c r="A198" s="117"/>
      <c r="B198" s="117"/>
    </row>
    <row r="199" spans="1:2" ht="15" customHeight="1">
      <c r="A199" s="117"/>
      <c r="B199" s="117"/>
    </row>
    <row r="200" spans="1:2" ht="15" customHeight="1">
      <c r="A200" s="117"/>
      <c r="B200" s="117"/>
    </row>
    <row r="201" spans="1:2" ht="15" customHeight="1">
      <c r="A201" s="117"/>
      <c r="B201" s="117"/>
    </row>
    <row r="202" spans="1:2" ht="15" customHeight="1">
      <c r="A202" s="117"/>
      <c r="B202" s="117"/>
    </row>
    <row r="203" spans="1:2" ht="15" customHeight="1">
      <c r="A203" s="117"/>
      <c r="B203" s="117"/>
    </row>
    <row r="204" spans="1:2" ht="15" customHeight="1">
      <c r="A204" s="117"/>
      <c r="B204" s="117"/>
    </row>
    <row r="205" spans="1:2" ht="15" customHeight="1">
      <c r="A205" s="117"/>
      <c r="B205" s="117"/>
    </row>
    <row r="206" spans="1:2" ht="15" customHeight="1">
      <c r="A206" s="117"/>
      <c r="B206" s="117"/>
    </row>
    <row r="207" spans="1:2" ht="15" customHeight="1">
      <c r="A207" s="117"/>
      <c r="B207" s="117"/>
    </row>
    <row r="208" spans="1:2" ht="15" customHeight="1">
      <c r="A208" s="117"/>
      <c r="B208" s="117"/>
    </row>
    <row r="209" spans="1:2" ht="15" customHeight="1">
      <c r="A209" s="117"/>
      <c r="B209" s="117"/>
    </row>
    <row r="210" spans="1:2" ht="15" customHeight="1">
      <c r="A210" s="117"/>
      <c r="B210" s="117"/>
    </row>
    <row r="211" spans="1:2" ht="15" customHeight="1">
      <c r="A211" s="117"/>
      <c r="B211" s="117"/>
    </row>
    <row r="212" spans="1:2" ht="15" customHeight="1">
      <c r="A212" s="117"/>
      <c r="B212" s="117"/>
    </row>
    <row r="213" spans="1:2" ht="15" customHeight="1">
      <c r="A213" s="117"/>
      <c r="B213" s="117"/>
    </row>
    <row r="214" spans="1:2" ht="15" customHeight="1">
      <c r="A214" s="117"/>
      <c r="B214" s="117"/>
    </row>
    <row r="215" spans="1:2" ht="15" customHeight="1">
      <c r="A215" s="117"/>
      <c r="B215" s="117"/>
    </row>
    <row r="216" spans="1:2" ht="15" customHeight="1">
      <c r="A216" s="117"/>
      <c r="B216" s="117"/>
    </row>
    <row r="217" spans="1:2" ht="15" customHeight="1">
      <c r="A217" s="117"/>
      <c r="B217" s="117"/>
    </row>
    <row r="218" spans="1:2" ht="15" customHeight="1">
      <c r="A218" s="117"/>
      <c r="B218" s="117"/>
    </row>
    <row r="219" spans="1:2" ht="15" customHeight="1">
      <c r="A219" s="117"/>
      <c r="B219" s="117"/>
    </row>
    <row r="220" spans="1:2" ht="15" customHeight="1">
      <c r="A220" s="117"/>
      <c r="B220" s="117"/>
    </row>
    <row r="221" spans="1:2" ht="15" customHeight="1">
      <c r="A221" s="117"/>
      <c r="B221" s="117"/>
    </row>
    <row r="222" spans="1:2" ht="15" customHeight="1">
      <c r="A222" s="117"/>
      <c r="B222" s="117"/>
    </row>
    <row r="223" spans="1:2" ht="15" customHeight="1">
      <c r="A223" s="117"/>
      <c r="B223" s="117"/>
    </row>
    <row r="224" spans="1:2" ht="15" customHeight="1">
      <c r="A224" s="117"/>
      <c r="B224" s="117"/>
    </row>
    <row r="225" spans="1:2" ht="15" customHeight="1">
      <c r="A225" s="117"/>
      <c r="B225" s="117"/>
    </row>
    <row r="226" spans="1:2" ht="15" customHeight="1">
      <c r="A226" s="117"/>
      <c r="B226" s="117"/>
    </row>
    <row r="227" spans="1:2" ht="15" customHeight="1">
      <c r="A227" s="117"/>
      <c r="B227" s="117"/>
    </row>
    <row r="228" spans="1:2" ht="15" customHeight="1">
      <c r="A228" s="117"/>
      <c r="B228" s="117"/>
    </row>
    <row r="229" spans="1:2" ht="15" customHeight="1">
      <c r="A229" s="117"/>
      <c r="B229" s="117"/>
    </row>
    <row r="230" spans="1:2" ht="15" customHeight="1">
      <c r="A230" s="117"/>
      <c r="B230" s="117"/>
    </row>
    <row r="231" spans="1:2" ht="15" customHeight="1">
      <c r="A231" s="117"/>
      <c r="B231" s="117"/>
    </row>
    <row r="232" spans="1:2" ht="15" customHeight="1">
      <c r="A232" s="117"/>
      <c r="B232" s="117"/>
    </row>
    <row r="233" spans="1:2" ht="15" customHeight="1">
      <c r="A233" s="117"/>
      <c r="B233" s="117"/>
    </row>
    <row r="234" spans="1:2" ht="15" customHeight="1">
      <c r="A234" s="117"/>
      <c r="B234" s="117"/>
    </row>
    <row r="235" spans="1:2" ht="15" customHeight="1">
      <c r="A235" s="117"/>
      <c r="B235" s="117"/>
    </row>
    <row r="236" spans="1:2" ht="15" customHeight="1">
      <c r="A236" s="117"/>
      <c r="B236" s="117"/>
    </row>
    <row r="237" spans="1:2" ht="15" customHeight="1">
      <c r="A237" s="117"/>
      <c r="B237" s="117"/>
    </row>
    <row r="238" spans="1:2" ht="15" customHeight="1">
      <c r="A238" s="117"/>
      <c r="B238" s="117"/>
    </row>
    <row r="239" spans="1:2" ht="15" customHeight="1">
      <c r="A239" s="117"/>
      <c r="B239" s="117"/>
    </row>
    <row r="240" spans="1:2" ht="15" customHeight="1">
      <c r="A240" s="117"/>
      <c r="B240" s="117"/>
    </row>
    <row r="241" spans="1:2" ht="15" customHeight="1">
      <c r="A241" s="117"/>
      <c r="B241" s="117"/>
    </row>
    <row r="242" spans="1:2" ht="15" customHeight="1">
      <c r="A242" s="117"/>
      <c r="B242" s="117"/>
    </row>
    <row r="243" spans="1:2" ht="15" customHeight="1">
      <c r="A243" s="117"/>
      <c r="B243" s="117"/>
    </row>
    <row r="244" spans="1:2" ht="15" customHeight="1">
      <c r="A244" s="117"/>
      <c r="B244" s="117"/>
    </row>
    <row r="245" spans="1:2" ht="15" customHeight="1">
      <c r="A245" s="117"/>
      <c r="B245" s="117"/>
    </row>
    <row r="246" spans="1:2" ht="15" customHeight="1">
      <c r="A246" s="117"/>
      <c r="B246" s="117"/>
    </row>
    <row r="247" spans="1:2" ht="15" customHeight="1">
      <c r="A247" s="117"/>
      <c r="B247" s="117"/>
    </row>
    <row r="248" spans="1:2" ht="15" customHeight="1">
      <c r="A248" s="117"/>
      <c r="B248" s="117"/>
    </row>
    <row r="249" spans="1:2" ht="15" customHeight="1">
      <c r="A249" s="117"/>
      <c r="B249" s="117"/>
    </row>
    <row r="250" spans="1:2" ht="15" customHeight="1">
      <c r="A250" s="117"/>
      <c r="B250" s="117"/>
    </row>
    <row r="251" spans="1:2" ht="15" customHeight="1">
      <c r="A251" s="117"/>
      <c r="B251" s="117"/>
    </row>
    <row r="252" spans="1:2" ht="15" customHeight="1">
      <c r="A252" s="117"/>
      <c r="B252" s="117"/>
    </row>
    <row r="253" spans="1:2" ht="15" customHeight="1">
      <c r="A253" s="117"/>
      <c r="B253" s="117"/>
    </row>
    <row r="254" spans="1:2" ht="15" customHeight="1">
      <c r="A254" s="117"/>
      <c r="B254" s="117"/>
    </row>
    <row r="255" spans="1:2" ht="15" customHeight="1">
      <c r="A255" s="117"/>
      <c r="B255" s="117"/>
    </row>
    <row r="256" spans="1:2" ht="15" customHeight="1">
      <c r="A256" s="117"/>
      <c r="B256" s="117"/>
    </row>
    <row r="257" spans="1:2" ht="15" customHeight="1">
      <c r="A257" s="117"/>
      <c r="B257" s="117"/>
    </row>
    <row r="258" spans="1:2" ht="15" customHeight="1">
      <c r="A258" s="117"/>
      <c r="B258" s="117"/>
    </row>
    <row r="259" spans="1:2" ht="15" customHeight="1">
      <c r="A259" s="117"/>
      <c r="B259" s="117"/>
    </row>
    <row r="260" spans="1:2" ht="15" customHeight="1">
      <c r="A260" s="117"/>
      <c r="B260" s="117"/>
    </row>
    <row r="261" spans="1:2" ht="15" customHeight="1">
      <c r="A261" s="117"/>
      <c r="B261" s="117"/>
    </row>
    <row r="262" spans="1:2" ht="15" customHeight="1">
      <c r="A262" s="117"/>
      <c r="B262" s="117"/>
    </row>
    <row r="263" spans="1:2" ht="15" customHeight="1">
      <c r="A263" s="117"/>
      <c r="B263" s="117"/>
    </row>
    <row r="264" spans="1:2" ht="15" customHeight="1">
      <c r="A264" s="117"/>
      <c r="B264" s="117"/>
    </row>
    <row r="265" spans="1:2" ht="15" customHeight="1">
      <c r="A265" s="117"/>
      <c r="B265" s="117"/>
    </row>
    <row r="266" spans="1:2" ht="15" customHeight="1">
      <c r="A266" s="117"/>
      <c r="B266" s="117"/>
    </row>
    <row r="267" spans="1:2" ht="15" customHeight="1">
      <c r="A267" s="117"/>
      <c r="B267" s="117"/>
    </row>
    <row r="268" spans="1:2" ht="15" customHeight="1">
      <c r="A268" s="117"/>
      <c r="B268" s="117"/>
    </row>
    <row r="269" spans="1:2" ht="15" customHeight="1">
      <c r="A269" s="117"/>
      <c r="B269" s="117"/>
    </row>
    <row r="270" spans="1:2" ht="15" customHeight="1">
      <c r="A270" s="117"/>
      <c r="B270" s="117"/>
    </row>
    <row r="271" spans="1:2" ht="15" customHeight="1">
      <c r="A271" s="117"/>
      <c r="B271" s="117"/>
    </row>
    <row r="272" spans="1:2" ht="15" customHeight="1">
      <c r="A272" s="117"/>
      <c r="B272" s="117"/>
    </row>
    <row r="273" spans="1:2" ht="15" customHeight="1">
      <c r="A273" s="117"/>
      <c r="B273" s="117"/>
    </row>
    <row r="274" spans="1:2" ht="15" customHeight="1">
      <c r="A274" s="117"/>
      <c r="B274" s="117"/>
    </row>
    <row r="275" spans="1:2" ht="15" customHeight="1">
      <c r="A275" s="117"/>
      <c r="B275" s="117"/>
    </row>
    <row r="276" spans="1:2" ht="15" customHeight="1">
      <c r="A276" s="117"/>
      <c r="B276" s="117"/>
    </row>
    <row r="277" spans="1:2" ht="15" customHeight="1">
      <c r="A277" s="117"/>
      <c r="B277" s="117"/>
    </row>
    <row r="278" spans="1:2" ht="15" customHeight="1">
      <c r="A278" s="117"/>
      <c r="B278" s="117"/>
    </row>
    <row r="279" spans="1:2" ht="15" customHeight="1">
      <c r="A279" s="117"/>
      <c r="B279" s="117"/>
    </row>
    <row r="280" spans="1:2" ht="15" customHeight="1">
      <c r="A280" s="117"/>
      <c r="B280" s="117"/>
    </row>
    <row r="281" spans="1:2" ht="15" customHeight="1">
      <c r="A281" s="117"/>
      <c r="B281" s="117"/>
    </row>
    <row r="282" spans="1:2" ht="15" customHeight="1">
      <c r="A282" s="117"/>
      <c r="B282" s="117"/>
    </row>
    <row r="283" spans="1:2" ht="15" customHeight="1">
      <c r="A283" s="117"/>
      <c r="B283" s="117"/>
    </row>
    <row r="284" spans="1:2" ht="15" customHeight="1">
      <c r="A284" s="117"/>
      <c r="B284" s="117"/>
    </row>
    <row r="285" spans="1:2" ht="15" customHeight="1">
      <c r="A285" s="117"/>
      <c r="B285" s="117"/>
    </row>
    <row r="286" spans="1:2" ht="15" customHeight="1">
      <c r="A286" s="117"/>
      <c r="B286" s="117"/>
    </row>
    <row r="287" spans="1:2" ht="15" customHeight="1">
      <c r="A287" s="117"/>
      <c r="B287" s="117"/>
    </row>
    <row r="288" spans="1:2" ht="15" customHeight="1">
      <c r="A288" s="117"/>
      <c r="B288" s="117"/>
    </row>
    <row r="289" spans="1:2" ht="15" customHeight="1">
      <c r="A289" s="117"/>
      <c r="B289" s="117"/>
    </row>
    <row r="290" spans="1:2" ht="15" customHeight="1">
      <c r="A290" s="117"/>
      <c r="B290" s="117"/>
    </row>
    <row r="291" spans="1:2" ht="15" customHeight="1">
      <c r="A291" s="117"/>
      <c r="B291" s="117"/>
    </row>
    <row r="292" spans="1:2" ht="15" customHeight="1">
      <c r="A292" s="117"/>
      <c r="B292" s="117"/>
    </row>
    <row r="293" spans="1:2" ht="15" customHeight="1">
      <c r="A293" s="117"/>
      <c r="B293" s="117"/>
    </row>
    <row r="294" spans="1:2" ht="15" customHeight="1">
      <c r="A294" s="117"/>
      <c r="B294" s="117"/>
    </row>
    <row r="295" spans="1:2" ht="15" customHeight="1">
      <c r="A295" s="117"/>
      <c r="B295" s="117"/>
    </row>
    <row r="296" spans="1:2" ht="15" customHeight="1">
      <c r="A296" s="117"/>
      <c r="B296" s="117"/>
    </row>
    <row r="297" spans="1:2" ht="15" customHeight="1">
      <c r="A297" s="117"/>
      <c r="B297" s="117"/>
    </row>
    <row r="298" spans="1:2" ht="15" customHeight="1">
      <c r="A298" s="117"/>
      <c r="B298" s="117"/>
    </row>
    <row r="299" spans="1:2" ht="15" customHeight="1">
      <c r="A299" s="117"/>
      <c r="B299" s="117"/>
    </row>
    <row r="300" spans="1:2" ht="15" customHeight="1">
      <c r="A300" s="117"/>
      <c r="B300" s="117"/>
    </row>
    <row r="301" spans="1:2" ht="15" customHeight="1">
      <c r="A301" s="117"/>
      <c r="B301" s="117"/>
    </row>
    <row r="302" spans="1:2" ht="15" customHeight="1">
      <c r="A302" s="117"/>
      <c r="B302" s="117"/>
    </row>
    <row r="303" spans="1:2" ht="15" customHeight="1">
      <c r="A303" s="117"/>
      <c r="B303" s="117"/>
    </row>
    <row r="304" spans="1:2" ht="15" customHeight="1">
      <c r="A304" s="117"/>
      <c r="B304" s="117"/>
    </row>
    <row r="305" spans="1:2" ht="15" customHeight="1">
      <c r="A305" s="117"/>
      <c r="B305" s="117"/>
    </row>
    <row r="306" spans="1:2" ht="15" customHeight="1">
      <c r="A306" s="117"/>
      <c r="B306" s="117"/>
    </row>
    <row r="307" spans="1:2" ht="15" customHeight="1">
      <c r="A307" s="117"/>
      <c r="B307" s="117"/>
    </row>
    <row r="308" spans="1:2" ht="15" customHeight="1">
      <c r="A308" s="117"/>
      <c r="B308" s="117"/>
    </row>
    <row r="309" spans="1:2" ht="15" customHeight="1">
      <c r="A309" s="117"/>
      <c r="B309" s="117"/>
    </row>
    <row r="310" spans="1:2" ht="15" customHeight="1">
      <c r="A310" s="117"/>
      <c r="B310" s="117"/>
    </row>
    <row r="311" spans="1:2" ht="15" customHeight="1">
      <c r="A311" s="117"/>
      <c r="B311" s="117"/>
    </row>
    <row r="312" spans="1:2" ht="15" customHeight="1">
      <c r="A312" s="117"/>
      <c r="B312" s="117"/>
    </row>
    <row r="313" spans="1:2" ht="15" customHeight="1">
      <c r="A313" s="117"/>
      <c r="B313" s="117"/>
    </row>
    <row r="314" spans="1:2" ht="15" customHeight="1">
      <c r="A314" s="117"/>
      <c r="B314" s="117"/>
    </row>
    <row r="315" spans="1:2" ht="15" customHeight="1">
      <c r="A315" s="117"/>
      <c r="B315" s="117"/>
    </row>
    <row r="316" spans="1:2" ht="15" customHeight="1">
      <c r="A316" s="117"/>
      <c r="B316" s="117"/>
    </row>
    <row r="317" spans="1:2" ht="15" customHeight="1">
      <c r="A317" s="117"/>
      <c r="B317" s="117"/>
    </row>
    <row r="318" spans="1:2" ht="15" customHeight="1">
      <c r="A318" s="117"/>
      <c r="B318" s="117"/>
    </row>
    <row r="319" spans="1:2" ht="15" customHeight="1">
      <c r="A319" s="117"/>
      <c r="B319" s="117"/>
    </row>
    <row r="320" spans="1:2" ht="15" customHeight="1">
      <c r="A320" s="117"/>
      <c r="B320" s="117"/>
    </row>
    <row r="321" spans="1:2" ht="15" customHeight="1">
      <c r="A321" s="117"/>
      <c r="B321" s="117"/>
    </row>
    <row r="322" spans="1:2" ht="15" customHeight="1">
      <c r="A322" s="117"/>
      <c r="B322" s="117"/>
    </row>
    <row r="323" spans="1:2" ht="15" customHeight="1">
      <c r="A323" s="117"/>
      <c r="B323" s="117"/>
    </row>
    <row r="324" spans="1:2" ht="15" customHeight="1">
      <c r="A324" s="117"/>
      <c r="B324" s="117"/>
    </row>
    <row r="325" spans="1:2" ht="15" customHeight="1">
      <c r="A325" s="117"/>
      <c r="B325" s="117"/>
    </row>
    <row r="326" spans="1:2" ht="15" customHeight="1">
      <c r="A326" s="117"/>
      <c r="B326" s="117"/>
    </row>
    <row r="327" spans="1:2" ht="15" customHeight="1">
      <c r="A327" s="117"/>
      <c r="B327" s="117"/>
    </row>
    <row r="328" spans="1:2" ht="15" customHeight="1">
      <c r="A328" s="117"/>
      <c r="B328" s="117"/>
    </row>
    <row r="329" spans="1:2" ht="15" customHeight="1">
      <c r="A329" s="117"/>
      <c r="B329" s="117"/>
    </row>
    <row r="330" spans="1:2" ht="15" customHeight="1">
      <c r="A330" s="117"/>
      <c r="B330" s="117"/>
    </row>
    <row r="331" spans="1:2" ht="15" customHeight="1">
      <c r="A331" s="117"/>
      <c r="B331" s="117"/>
    </row>
    <row r="332" spans="1:2" ht="15" customHeight="1">
      <c r="A332" s="117"/>
      <c r="B332" s="117"/>
    </row>
    <row r="333" spans="1:2" ht="15" customHeight="1">
      <c r="A333" s="117"/>
      <c r="B333" s="117"/>
    </row>
    <row r="334" spans="1:2" ht="15" customHeight="1">
      <c r="A334" s="117"/>
      <c r="B334" s="117"/>
    </row>
    <row r="335" spans="1:2" ht="15" customHeight="1">
      <c r="A335" s="117"/>
      <c r="B335" s="117"/>
    </row>
    <row r="336" spans="1:2" ht="15" customHeight="1">
      <c r="A336" s="117"/>
      <c r="B336" s="117"/>
    </row>
    <row r="337" spans="1:2" ht="15" customHeight="1">
      <c r="A337" s="117"/>
      <c r="B337" s="117"/>
    </row>
    <row r="338" spans="1:2" ht="15" customHeight="1">
      <c r="A338" s="117"/>
      <c r="B338" s="117"/>
    </row>
    <row r="339" spans="1:2" ht="15" customHeight="1">
      <c r="A339" s="117"/>
      <c r="B339" s="117"/>
    </row>
    <row r="340" spans="1:2" ht="15" customHeight="1">
      <c r="A340" s="117"/>
      <c r="B340" s="117"/>
    </row>
    <row r="341" spans="1:2" ht="15" customHeight="1">
      <c r="A341" s="117"/>
      <c r="B341" s="117"/>
    </row>
    <row r="342" spans="1:2" ht="15" customHeight="1">
      <c r="A342" s="117"/>
      <c r="B342" s="117"/>
    </row>
    <row r="343" spans="1:2" ht="15" customHeight="1">
      <c r="A343" s="117"/>
      <c r="B343" s="117"/>
    </row>
    <row r="344" spans="1:2" ht="15" customHeight="1">
      <c r="A344" s="117"/>
      <c r="B344" s="117"/>
    </row>
    <row r="345" spans="1:2" ht="15" customHeight="1">
      <c r="A345" s="117"/>
      <c r="B345" s="117"/>
    </row>
    <row r="346" spans="1:2" ht="15" customHeight="1">
      <c r="A346" s="117"/>
      <c r="B346" s="117"/>
    </row>
    <row r="347" spans="1:2" ht="15" customHeight="1">
      <c r="A347" s="117"/>
      <c r="B347" s="117"/>
    </row>
    <row r="348" spans="1:2" ht="15" customHeight="1">
      <c r="A348" s="117"/>
      <c r="B348" s="117"/>
    </row>
    <row r="349" spans="1:2" ht="15" customHeight="1">
      <c r="A349" s="117"/>
      <c r="B349" s="117"/>
    </row>
    <row r="350" spans="1:2" ht="15" customHeight="1">
      <c r="A350" s="117"/>
      <c r="B350" s="117"/>
    </row>
    <row r="351" spans="1:2" ht="15" customHeight="1">
      <c r="A351" s="117"/>
      <c r="B351" s="117"/>
    </row>
    <row r="352" spans="1:2" ht="15" customHeight="1">
      <c r="A352" s="117"/>
      <c r="B352" s="117"/>
    </row>
    <row r="353" spans="1:2" ht="15" customHeight="1">
      <c r="A353" s="117"/>
      <c r="B353" s="117"/>
    </row>
    <row r="354" spans="1:2" ht="15" customHeight="1">
      <c r="A354" s="117"/>
      <c r="B354" s="117"/>
    </row>
    <row r="355" spans="1:2" ht="15" customHeight="1">
      <c r="A355" s="117"/>
      <c r="B355" s="117"/>
    </row>
    <row r="356" spans="1:2" ht="15" customHeight="1">
      <c r="A356" s="117"/>
      <c r="B356" s="117"/>
    </row>
    <row r="357" spans="1:2" ht="15" customHeight="1">
      <c r="A357" s="117"/>
      <c r="B357" s="117"/>
    </row>
    <row r="358" spans="1:2" ht="15" customHeight="1">
      <c r="A358" s="117"/>
      <c r="B358" s="117"/>
    </row>
    <row r="359" spans="1:2" ht="15" customHeight="1">
      <c r="A359" s="117"/>
      <c r="B359" s="117"/>
    </row>
    <row r="360" spans="1:2" ht="15" customHeight="1">
      <c r="A360" s="117"/>
      <c r="B360" s="117"/>
    </row>
    <row r="361" spans="1:2" ht="15" customHeight="1">
      <c r="A361" s="117"/>
      <c r="B361" s="117"/>
    </row>
    <row r="362" spans="1:2" ht="15" customHeight="1">
      <c r="A362" s="117"/>
      <c r="B362" s="117"/>
    </row>
    <row r="363" spans="1:2" ht="15" customHeight="1">
      <c r="A363" s="117"/>
      <c r="B363" s="117"/>
    </row>
    <row r="364" spans="1:2" ht="15" customHeight="1">
      <c r="A364" s="117"/>
      <c r="B364" s="117"/>
    </row>
    <row r="365" spans="1:2" ht="15" customHeight="1">
      <c r="A365" s="117"/>
      <c r="B365" s="117"/>
    </row>
    <row r="366" spans="1:2" ht="15" customHeight="1">
      <c r="A366" s="117"/>
      <c r="B366" s="117"/>
    </row>
    <row r="367" spans="1:2" ht="15" customHeight="1">
      <c r="A367" s="117"/>
      <c r="B367" s="117"/>
    </row>
    <row r="368" spans="1:2" ht="15" customHeight="1">
      <c r="A368" s="117"/>
      <c r="B368" s="117"/>
    </row>
    <row r="369" spans="1:2" ht="15" customHeight="1">
      <c r="A369" s="117"/>
      <c r="B369" s="117"/>
    </row>
    <row r="370" spans="1:2" ht="15" customHeight="1">
      <c r="A370" s="117"/>
      <c r="B370" s="117"/>
    </row>
    <row r="371" spans="1:2" ht="15" customHeight="1">
      <c r="A371" s="117"/>
      <c r="B371" s="117"/>
    </row>
    <row r="372" spans="1:2" ht="15" customHeight="1">
      <c r="A372" s="117"/>
      <c r="B372" s="117"/>
    </row>
    <row r="373" spans="1:2" ht="15" customHeight="1">
      <c r="A373" s="117"/>
      <c r="B373" s="117"/>
    </row>
    <row r="374" spans="1:2" ht="15" customHeight="1">
      <c r="A374" s="117"/>
      <c r="B374" s="117"/>
    </row>
    <row r="375" spans="1:2" ht="15" customHeight="1">
      <c r="A375" s="117"/>
      <c r="B375" s="117"/>
    </row>
    <row r="376" spans="1:2" ht="15" customHeight="1">
      <c r="A376" s="117"/>
      <c r="B376" s="117"/>
    </row>
    <row r="377" spans="1:2" ht="15" customHeight="1">
      <c r="A377" s="117"/>
      <c r="B377" s="117"/>
    </row>
    <row r="378" spans="1:2" ht="15" customHeight="1">
      <c r="A378" s="117"/>
      <c r="B378" s="117"/>
    </row>
    <row r="379" spans="1:2" ht="15" customHeight="1">
      <c r="A379" s="117"/>
      <c r="B379" s="117"/>
    </row>
    <row r="380" spans="1:2" ht="15" customHeight="1">
      <c r="A380" s="117"/>
      <c r="B380" s="117"/>
    </row>
    <row r="381" spans="1:2" ht="15" customHeight="1">
      <c r="A381" s="117"/>
      <c r="B381" s="117"/>
    </row>
    <row r="382" spans="1:2" ht="15" customHeight="1">
      <c r="A382" s="117"/>
      <c r="B382" s="117"/>
    </row>
    <row r="383" spans="1:2" ht="15" customHeight="1">
      <c r="A383" s="117"/>
      <c r="B383" s="117"/>
    </row>
    <row r="384" spans="1:2" ht="15" customHeight="1">
      <c r="A384" s="117"/>
      <c r="B384" s="117"/>
    </row>
    <row r="385" spans="1:2" ht="15" customHeight="1">
      <c r="A385" s="117"/>
      <c r="B385" s="117"/>
    </row>
    <row r="386" spans="1:2" ht="15" customHeight="1">
      <c r="A386" s="117"/>
      <c r="B386" s="117"/>
    </row>
    <row r="387" spans="1:2" ht="15" customHeight="1">
      <c r="A387" s="117"/>
      <c r="B387" s="117"/>
    </row>
    <row r="388" spans="1:2" ht="15" customHeight="1">
      <c r="A388" s="117"/>
      <c r="B388" s="117"/>
    </row>
    <row r="389" spans="1:2" ht="15" customHeight="1">
      <c r="A389" s="117"/>
      <c r="B389" s="117"/>
    </row>
    <row r="390" spans="1:2" ht="15" customHeight="1">
      <c r="A390" s="117"/>
      <c r="B390" s="117"/>
    </row>
    <row r="391" spans="1:2" ht="15" customHeight="1">
      <c r="A391" s="117"/>
      <c r="B391" s="117"/>
    </row>
    <row r="392" spans="1:2" ht="15" customHeight="1">
      <c r="A392" s="117"/>
      <c r="B392" s="117"/>
    </row>
    <row r="393" spans="1:2" ht="15" customHeight="1">
      <c r="A393" s="117"/>
      <c r="B393" s="117"/>
    </row>
    <row r="394" spans="1:2" ht="15" customHeight="1">
      <c r="A394" s="117"/>
      <c r="B394" s="117"/>
    </row>
    <row r="395" spans="1:2" ht="15" customHeight="1">
      <c r="A395" s="117"/>
      <c r="B395" s="117"/>
    </row>
    <row r="396" spans="1:2" ht="15" customHeight="1">
      <c r="A396" s="117"/>
      <c r="B396" s="117"/>
    </row>
    <row r="397" spans="1:2" ht="15" customHeight="1">
      <c r="A397" s="117"/>
      <c r="B397" s="117"/>
    </row>
    <row r="398" spans="1:2" ht="15" customHeight="1">
      <c r="A398" s="117"/>
      <c r="B398" s="117"/>
    </row>
    <row r="399" spans="1:2" ht="15" customHeight="1">
      <c r="A399" s="117"/>
      <c r="B399" s="117"/>
    </row>
    <row r="400" spans="1:2" ht="15" customHeight="1">
      <c r="A400" s="117"/>
      <c r="B400" s="117"/>
    </row>
    <row r="401" spans="1:2" ht="15" customHeight="1">
      <c r="A401" s="117"/>
      <c r="B401" s="117"/>
    </row>
    <row r="402" spans="1:2" ht="15" customHeight="1">
      <c r="A402" s="117"/>
      <c r="B402" s="117"/>
    </row>
    <row r="403" spans="1:2" ht="15" customHeight="1">
      <c r="A403" s="117"/>
      <c r="B403" s="117"/>
    </row>
    <row r="404" spans="1:2" ht="15" customHeight="1">
      <c r="A404" s="117"/>
      <c r="B404" s="117"/>
    </row>
    <row r="405" spans="1:2" ht="15" customHeight="1">
      <c r="A405" s="117"/>
      <c r="B405" s="117"/>
    </row>
    <row r="406" spans="1:2" ht="15" customHeight="1">
      <c r="A406" s="117"/>
      <c r="B406" s="117"/>
    </row>
    <row r="407" spans="1:2" ht="15" customHeight="1">
      <c r="A407" s="117"/>
      <c r="B407" s="117"/>
    </row>
    <row r="408" spans="1:2" ht="15" customHeight="1">
      <c r="A408" s="117"/>
      <c r="B408" s="117"/>
    </row>
    <row r="409" spans="1:2" ht="15" customHeight="1">
      <c r="A409" s="117"/>
      <c r="B409" s="117"/>
    </row>
    <row r="410" spans="1:2" ht="15" customHeight="1">
      <c r="A410" s="117"/>
      <c r="B410" s="117"/>
    </row>
    <row r="411" spans="1:2" ht="15" customHeight="1">
      <c r="A411" s="117"/>
      <c r="B411" s="117"/>
    </row>
    <row r="412" spans="1:2" ht="15" customHeight="1">
      <c r="A412" s="117"/>
      <c r="B412" s="117"/>
    </row>
    <row r="413" spans="1:2" ht="15" customHeight="1">
      <c r="A413" s="117"/>
      <c r="B413" s="117"/>
    </row>
    <row r="414" spans="1:2" ht="15" customHeight="1">
      <c r="A414" s="117"/>
      <c r="B414" s="117"/>
    </row>
    <row r="415" spans="1:2" ht="15" customHeight="1">
      <c r="A415" s="117"/>
      <c r="B415" s="117"/>
    </row>
    <row r="416" spans="1:2" ht="15" customHeight="1">
      <c r="A416" s="117"/>
      <c r="B416" s="117"/>
    </row>
    <row r="417" spans="1:2" ht="15" customHeight="1">
      <c r="A417" s="117"/>
      <c r="B417" s="117"/>
    </row>
    <row r="418" spans="1:2" ht="15" customHeight="1">
      <c r="A418" s="117"/>
      <c r="B418" s="117"/>
    </row>
    <row r="419" spans="1:2" ht="15" customHeight="1">
      <c r="A419" s="117"/>
      <c r="B419" s="117"/>
    </row>
    <row r="420" spans="1:2" ht="15" customHeight="1">
      <c r="A420" s="117"/>
      <c r="B420" s="117"/>
    </row>
    <row r="421" spans="1:2" ht="15" customHeight="1">
      <c r="A421" s="117"/>
      <c r="B421" s="117"/>
    </row>
    <row r="422" spans="1:2" ht="15" customHeight="1">
      <c r="A422" s="117"/>
      <c r="B422" s="117"/>
    </row>
    <row r="423" spans="1:2" ht="15" customHeight="1">
      <c r="A423" s="117"/>
      <c r="B423" s="117"/>
    </row>
    <row r="424" spans="1:2" ht="15" customHeight="1">
      <c r="A424" s="117"/>
      <c r="B424" s="117"/>
    </row>
    <row r="425" spans="1:2" ht="15" customHeight="1">
      <c r="A425" s="117"/>
      <c r="B425" s="117"/>
    </row>
    <row r="426" spans="1:2" ht="15" customHeight="1">
      <c r="A426" s="117"/>
      <c r="B426" s="117"/>
    </row>
    <row r="427" spans="1:2" ht="15" customHeight="1">
      <c r="A427" s="117"/>
      <c r="B427" s="117"/>
    </row>
    <row r="428" spans="1:2" ht="15" customHeight="1">
      <c r="A428" s="117"/>
      <c r="B428" s="117"/>
    </row>
    <row r="429" spans="1:2" ht="15" customHeight="1">
      <c r="A429" s="117"/>
      <c r="B429" s="117"/>
    </row>
    <row r="430" spans="1:2" ht="15" customHeight="1">
      <c r="A430" s="117"/>
      <c r="B430" s="117"/>
    </row>
    <row r="431" spans="1:2" ht="15" customHeight="1">
      <c r="A431" s="117"/>
      <c r="B431" s="117"/>
    </row>
    <row r="432" spans="1:2" ht="15" customHeight="1">
      <c r="A432" s="117"/>
      <c r="B432" s="117"/>
    </row>
    <row r="433" spans="1:2" ht="15" customHeight="1">
      <c r="A433" s="117"/>
      <c r="B433" s="117"/>
    </row>
    <row r="434" spans="1:2" ht="15" customHeight="1">
      <c r="A434" s="117"/>
      <c r="B434" s="117"/>
    </row>
    <row r="435" spans="1:2" ht="15" customHeight="1">
      <c r="A435" s="117"/>
      <c r="B435" s="117"/>
    </row>
    <row r="436" spans="1:2" ht="15" customHeight="1">
      <c r="A436" s="117"/>
      <c r="B436" s="117"/>
    </row>
    <row r="437" spans="1:2" ht="15" customHeight="1">
      <c r="A437" s="117"/>
      <c r="B437" s="117"/>
    </row>
    <row r="438" spans="1:2" ht="15" customHeight="1">
      <c r="A438" s="117"/>
      <c r="B438" s="117"/>
    </row>
    <row r="439" spans="1:2" ht="15" customHeight="1">
      <c r="A439" s="117"/>
      <c r="B439" s="117"/>
    </row>
    <row r="440" spans="1:2" ht="15" customHeight="1">
      <c r="A440" s="117"/>
      <c r="B440" s="117"/>
    </row>
    <row r="441" spans="1:2" ht="15" customHeight="1">
      <c r="A441" s="117"/>
      <c r="B441" s="117"/>
    </row>
    <row r="442" spans="1:2" ht="15" customHeight="1">
      <c r="A442" s="117"/>
      <c r="B442" s="117"/>
    </row>
    <row r="443" spans="1:2" ht="15" customHeight="1">
      <c r="A443" s="117"/>
      <c r="B443" s="117"/>
    </row>
    <row r="444" spans="1:2" ht="15" customHeight="1">
      <c r="A444" s="117"/>
      <c r="B444" s="117"/>
    </row>
    <row r="445" spans="1:2" ht="15" customHeight="1">
      <c r="A445" s="117"/>
      <c r="B445" s="117"/>
    </row>
    <row r="446" spans="1:2" ht="15" customHeight="1">
      <c r="A446" s="117"/>
      <c r="B446" s="117"/>
    </row>
    <row r="447" spans="1:2" ht="15" customHeight="1">
      <c r="A447" s="117"/>
      <c r="B447" s="117"/>
    </row>
    <row r="448" spans="1:2" ht="15" customHeight="1">
      <c r="A448" s="117"/>
      <c r="B448" s="117"/>
    </row>
    <row r="449" spans="1:2" ht="15" customHeight="1">
      <c r="A449" s="117"/>
      <c r="B449" s="117"/>
    </row>
    <row r="450" spans="1:2" ht="15" customHeight="1">
      <c r="A450" s="117"/>
      <c r="B450" s="117"/>
    </row>
    <row r="451" spans="1:2" ht="15" customHeight="1">
      <c r="A451" s="117"/>
      <c r="B451" s="117"/>
    </row>
    <row r="452" spans="1:2" ht="15" customHeight="1">
      <c r="A452" s="117"/>
      <c r="B452" s="117"/>
    </row>
    <row r="453" spans="1:2" ht="15" customHeight="1">
      <c r="A453" s="117"/>
      <c r="B453" s="117"/>
    </row>
    <row r="454" spans="1:2" ht="15" customHeight="1">
      <c r="A454" s="117"/>
      <c r="B454" s="117"/>
    </row>
    <row r="455" spans="1:2" ht="15" customHeight="1">
      <c r="A455" s="117"/>
      <c r="B455" s="117"/>
    </row>
    <row r="456" spans="1:2" ht="15" customHeight="1">
      <c r="A456" s="117"/>
      <c r="B456" s="117"/>
    </row>
    <row r="457" spans="1:2" ht="15" customHeight="1">
      <c r="A457" s="117"/>
      <c r="B457" s="117"/>
    </row>
    <row r="458" spans="1:2" ht="15" customHeight="1">
      <c r="A458" s="117"/>
      <c r="B458" s="117"/>
    </row>
    <row r="459" spans="1:2" ht="15" customHeight="1">
      <c r="A459" s="117"/>
      <c r="B459" s="117"/>
    </row>
    <row r="460" spans="1:2" ht="15" customHeight="1">
      <c r="A460" s="117"/>
      <c r="B460" s="117"/>
    </row>
    <row r="461" spans="1:2" ht="15" customHeight="1">
      <c r="A461" s="117"/>
      <c r="B461" s="117"/>
    </row>
    <row r="462" spans="1:2" ht="15" customHeight="1">
      <c r="A462" s="117"/>
      <c r="B462" s="117"/>
    </row>
    <row r="463" spans="1:2" ht="15" customHeight="1">
      <c r="A463" s="117"/>
      <c r="B463" s="117"/>
    </row>
    <row r="464" spans="1:2" ht="15" customHeight="1">
      <c r="A464" s="117"/>
      <c r="B464" s="117"/>
    </row>
    <row r="465" spans="1:2" ht="15" customHeight="1">
      <c r="A465" s="117"/>
      <c r="B465" s="117"/>
    </row>
    <row r="466" spans="1:2" ht="15" customHeight="1">
      <c r="A466" s="117"/>
      <c r="B466" s="117"/>
    </row>
    <row r="467" spans="1:2" ht="15" customHeight="1">
      <c r="A467" s="117"/>
      <c r="B467" s="117"/>
    </row>
    <row r="468" spans="1:2" ht="15" customHeight="1">
      <c r="A468" s="117"/>
      <c r="B468" s="117"/>
    </row>
    <row r="469" spans="1:2" ht="15" customHeight="1">
      <c r="A469" s="117"/>
      <c r="B469" s="117"/>
    </row>
    <row r="470" spans="1:2" ht="15" customHeight="1">
      <c r="A470" s="117"/>
      <c r="B470" s="117"/>
    </row>
    <row r="471" spans="1:2" ht="15" customHeight="1">
      <c r="A471" s="117"/>
      <c r="B471" s="117"/>
    </row>
    <row r="472" spans="1:2" ht="15" customHeight="1">
      <c r="A472" s="117"/>
      <c r="B472" s="117"/>
    </row>
    <row r="473" spans="1:2" ht="15" customHeight="1">
      <c r="A473" s="117"/>
      <c r="B473" s="117"/>
    </row>
    <row r="474" spans="1:2" ht="15" customHeight="1">
      <c r="A474" s="117"/>
      <c r="B474" s="117"/>
    </row>
    <row r="475" spans="1:2" ht="15" customHeight="1">
      <c r="A475" s="117"/>
      <c r="B475" s="117"/>
    </row>
    <row r="476" spans="1:2" ht="15" customHeight="1">
      <c r="A476" s="117"/>
      <c r="B476" s="117"/>
    </row>
    <row r="477" spans="1:2" ht="15" customHeight="1">
      <c r="A477" s="117"/>
      <c r="B477" s="117"/>
    </row>
    <row r="478" spans="1:2" ht="15" customHeight="1">
      <c r="A478" s="117"/>
      <c r="B478" s="117"/>
    </row>
    <row r="479" spans="1:2" ht="15" customHeight="1">
      <c r="A479" s="117"/>
      <c r="B479" s="117"/>
    </row>
    <row r="480" spans="1:2" ht="15" customHeight="1">
      <c r="A480" s="117"/>
      <c r="B480" s="117"/>
    </row>
    <row r="481" spans="1:2" ht="15" customHeight="1">
      <c r="A481" s="117"/>
      <c r="B481" s="117"/>
    </row>
    <row r="482" spans="1:2" ht="15" customHeight="1">
      <c r="A482" s="117"/>
      <c r="B482" s="117"/>
    </row>
    <row r="483" spans="1:2" ht="15" customHeight="1">
      <c r="A483" s="117"/>
      <c r="B483" s="117"/>
    </row>
    <row r="484" spans="1:2" ht="15" customHeight="1">
      <c r="A484" s="117"/>
      <c r="B484" s="117"/>
    </row>
    <row r="485" spans="1:2" ht="15" customHeight="1">
      <c r="A485" s="117"/>
      <c r="B485" s="117"/>
    </row>
    <row r="486" spans="1:2" ht="15" customHeight="1">
      <c r="A486" s="117"/>
      <c r="B486" s="117"/>
    </row>
    <row r="487" spans="1:2" ht="15" customHeight="1">
      <c r="A487" s="117"/>
      <c r="B487" s="117"/>
    </row>
    <row r="488" spans="1:2" ht="15" customHeight="1">
      <c r="A488" s="117"/>
      <c r="B488" s="117"/>
    </row>
    <row r="489" spans="1:2" ht="15" customHeight="1">
      <c r="A489" s="117"/>
      <c r="B489" s="117"/>
    </row>
    <row r="490" spans="1:2" ht="15" customHeight="1">
      <c r="A490" s="117"/>
      <c r="B490" s="117"/>
    </row>
    <row r="491" spans="1:2" ht="15" customHeight="1">
      <c r="A491" s="117"/>
      <c r="B491" s="117"/>
    </row>
    <row r="492" spans="1:2" ht="15" customHeight="1">
      <c r="A492" s="117"/>
      <c r="B492" s="117"/>
    </row>
    <row r="493" spans="1:2" ht="15" customHeight="1">
      <c r="A493" s="117"/>
      <c r="B493" s="117"/>
    </row>
    <row r="494" spans="1:2" ht="15" customHeight="1">
      <c r="A494" s="117"/>
      <c r="B494" s="117"/>
    </row>
    <row r="495" spans="1:2" ht="15" customHeight="1">
      <c r="A495" s="117"/>
      <c r="B495" s="117"/>
    </row>
    <row r="496" spans="1:2" ht="15" customHeight="1">
      <c r="A496" s="117"/>
      <c r="B496" s="117"/>
    </row>
    <row r="497" spans="1:2" ht="15" customHeight="1">
      <c r="A497" s="117"/>
      <c r="B497" s="117"/>
    </row>
    <row r="498" spans="1:2" ht="15" customHeight="1">
      <c r="A498" s="117"/>
      <c r="B498" s="117"/>
    </row>
    <row r="499" spans="1:2" ht="15" customHeight="1">
      <c r="A499" s="117"/>
      <c r="B499" s="117"/>
    </row>
    <row r="500" spans="1:2" ht="15" customHeight="1">
      <c r="A500" s="117"/>
      <c r="B500" s="117"/>
    </row>
    <row r="501" spans="1:2" ht="15" customHeight="1">
      <c r="A501" s="117"/>
      <c r="B501" s="117"/>
    </row>
    <row r="502" spans="1:2" ht="15" customHeight="1">
      <c r="A502" s="117"/>
      <c r="B502" s="117"/>
    </row>
    <row r="503" spans="1:2" ht="15" customHeight="1">
      <c r="A503" s="117"/>
      <c r="B503" s="117"/>
    </row>
    <row r="504" spans="1:2" ht="15" customHeight="1">
      <c r="A504" s="117"/>
      <c r="B504" s="117"/>
    </row>
    <row r="505" spans="1:2" ht="15" customHeight="1">
      <c r="A505" s="117"/>
      <c r="B505" s="117"/>
    </row>
    <row r="506" spans="1:2" ht="15" customHeight="1">
      <c r="A506" s="117"/>
      <c r="B506" s="117"/>
    </row>
    <row r="507" spans="1:2" ht="15" customHeight="1">
      <c r="A507" s="117"/>
      <c r="B507" s="117"/>
    </row>
    <row r="508" spans="1:2" ht="15" customHeight="1">
      <c r="A508" s="117"/>
      <c r="B508" s="117"/>
    </row>
    <row r="509" spans="1:2" ht="15" customHeight="1">
      <c r="A509" s="117"/>
      <c r="B509" s="117"/>
    </row>
    <row r="510" spans="1:2" ht="15" customHeight="1">
      <c r="A510" s="117"/>
      <c r="B510" s="117"/>
    </row>
    <row r="511" spans="1:2" ht="15" customHeight="1">
      <c r="A511" s="117"/>
      <c r="B511" s="117"/>
    </row>
    <row r="512" spans="1:2" ht="15" customHeight="1">
      <c r="A512" s="117"/>
      <c r="B512" s="117"/>
    </row>
    <row r="513" spans="1:2" ht="15" customHeight="1">
      <c r="A513" s="117"/>
      <c r="B513" s="117"/>
    </row>
    <row r="514" spans="1:2" ht="15" customHeight="1">
      <c r="A514" s="117"/>
      <c r="B514" s="117"/>
    </row>
    <row r="515" spans="1:2" ht="15" customHeight="1">
      <c r="A515" s="117"/>
      <c r="B515" s="117"/>
    </row>
    <row r="516" spans="1:2" ht="15" customHeight="1">
      <c r="A516" s="117"/>
      <c r="B516" s="117"/>
    </row>
    <row r="517" spans="1:2" ht="15" customHeight="1">
      <c r="A517" s="117"/>
      <c r="B517" s="117"/>
    </row>
    <row r="518" spans="1:2" ht="15" customHeight="1">
      <c r="A518" s="117"/>
      <c r="B518" s="117"/>
    </row>
    <row r="519" spans="1:2" ht="15" customHeight="1">
      <c r="A519" s="117"/>
      <c r="B519" s="117"/>
    </row>
    <row r="520" spans="1:2" ht="15" customHeight="1">
      <c r="A520" s="117"/>
      <c r="B520" s="117"/>
    </row>
    <row r="521" spans="1:2" ht="15" customHeight="1">
      <c r="A521" s="117"/>
      <c r="B521" s="117"/>
    </row>
    <row r="522" spans="1:2" ht="15" customHeight="1">
      <c r="A522" s="117"/>
      <c r="B522" s="117"/>
    </row>
    <row r="523" spans="1:2" ht="15" customHeight="1">
      <c r="A523" s="117"/>
      <c r="B523" s="117"/>
    </row>
    <row r="524" spans="1:2" ht="15" customHeight="1">
      <c r="A524" s="117"/>
      <c r="B524" s="117"/>
    </row>
    <row r="525" spans="1:2" ht="15" customHeight="1">
      <c r="A525" s="117"/>
      <c r="B525" s="117"/>
    </row>
    <row r="526" spans="1:2" ht="15" customHeight="1">
      <c r="A526" s="117"/>
      <c r="B526" s="117"/>
    </row>
    <row r="527" spans="1:2" ht="15" customHeight="1">
      <c r="A527" s="117"/>
      <c r="B527" s="117"/>
    </row>
    <row r="528" spans="1:2" ht="15" customHeight="1">
      <c r="A528" s="117"/>
      <c r="B528" s="117"/>
    </row>
    <row r="529" spans="1:2" ht="15" customHeight="1">
      <c r="A529" s="117"/>
      <c r="B529" s="117"/>
    </row>
    <row r="530" spans="1:2" ht="15" customHeight="1">
      <c r="A530" s="117"/>
      <c r="B530" s="117"/>
    </row>
    <row r="531" spans="1:2" ht="15" customHeight="1">
      <c r="A531" s="117"/>
      <c r="B531" s="117"/>
    </row>
    <row r="532" spans="1:2" ht="15" customHeight="1">
      <c r="A532" s="117"/>
      <c r="B532" s="117"/>
    </row>
    <row r="533" spans="1:2" ht="15" customHeight="1">
      <c r="A533" s="117"/>
      <c r="B533" s="117"/>
    </row>
    <row r="534" spans="1:2" ht="15" customHeight="1">
      <c r="A534" s="117"/>
      <c r="B534" s="117"/>
    </row>
    <row r="535" spans="1:2" ht="15" customHeight="1">
      <c r="A535" s="117"/>
      <c r="B535" s="117"/>
    </row>
    <row r="536" spans="1:2" ht="15" customHeight="1">
      <c r="A536" s="117"/>
      <c r="B536" s="117"/>
    </row>
    <row r="537" spans="1:2" ht="15" customHeight="1">
      <c r="A537" s="117"/>
      <c r="B537" s="117"/>
    </row>
    <row r="538" spans="1:2" ht="15" customHeight="1">
      <c r="A538" s="117"/>
      <c r="B538" s="117"/>
    </row>
    <row r="539" spans="1:2" ht="15" customHeight="1">
      <c r="A539" s="117"/>
      <c r="B539" s="117"/>
    </row>
    <row r="540" spans="1:2" ht="15" customHeight="1">
      <c r="A540" s="117"/>
      <c r="B540" s="117"/>
    </row>
    <row r="541" spans="1:2" ht="15" customHeight="1">
      <c r="A541" s="117"/>
      <c r="B541" s="117"/>
    </row>
    <row r="542" spans="1:2" ht="15" customHeight="1">
      <c r="A542" s="117"/>
      <c r="B542" s="117"/>
    </row>
    <row r="543" spans="1:2" ht="15" customHeight="1">
      <c r="A543" s="117"/>
      <c r="B543" s="117"/>
    </row>
    <row r="544" spans="1:2" ht="15" customHeight="1">
      <c r="A544" s="117"/>
      <c r="B544" s="117"/>
    </row>
    <row r="545" spans="1:2" ht="15" customHeight="1">
      <c r="A545" s="117"/>
      <c r="B545" s="117"/>
    </row>
    <row r="546" spans="1:2" ht="15" customHeight="1">
      <c r="A546" s="117"/>
      <c r="B546" s="117"/>
    </row>
    <row r="547" spans="1:2" ht="15" customHeight="1">
      <c r="A547" s="117"/>
      <c r="B547" s="117"/>
    </row>
    <row r="548" spans="1:2" ht="15" customHeight="1">
      <c r="A548" s="117"/>
      <c r="B548" s="117"/>
    </row>
    <row r="549" spans="1:2" ht="15" customHeight="1">
      <c r="A549" s="117"/>
      <c r="B549" s="117"/>
    </row>
    <row r="550" spans="1:2" ht="15" customHeight="1">
      <c r="A550" s="117"/>
      <c r="B550" s="117"/>
    </row>
    <row r="551" spans="1:2" ht="15" customHeight="1">
      <c r="A551" s="117"/>
      <c r="B551" s="117"/>
    </row>
    <row r="552" spans="1:2" ht="15" customHeight="1">
      <c r="A552" s="117"/>
      <c r="B552" s="117"/>
    </row>
    <row r="553" spans="1:2" ht="15" customHeight="1">
      <c r="A553" s="117"/>
      <c r="B553" s="117"/>
    </row>
    <row r="554" spans="1:2" ht="15" customHeight="1">
      <c r="A554" s="117"/>
      <c r="B554" s="117"/>
    </row>
    <row r="555" spans="1:2" ht="15" customHeight="1">
      <c r="A555" s="117"/>
      <c r="B555" s="117"/>
    </row>
    <row r="556" spans="1:2" ht="15" customHeight="1">
      <c r="A556" s="117"/>
      <c r="B556" s="117"/>
    </row>
    <row r="557" spans="1:2" ht="15" customHeight="1">
      <c r="A557" s="117"/>
      <c r="B557" s="117"/>
    </row>
    <row r="558" spans="1:2" ht="15" customHeight="1">
      <c r="A558" s="117"/>
      <c r="B558" s="117"/>
    </row>
    <row r="559" spans="1:2" ht="15" customHeight="1">
      <c r="A559" s="117"/>
      <c r="B559" s="117"/>
    </row>
    <row r="560" spans="1:2" ht="15" customHeight="1">
      <c r="A560" s="117"/>
      <c r="B560" s="117"/>
    </row>
    <row r="561" spans="1:2" ht="15" customHeight="1">
      <c r="A561" s="117"/>
      <c r="B561" s="117"/>
    </row>
    <row r="562" spans="1:2" ht="15" customHeight="1">
      <c r="A562" s="117"/>
      <c r="B562" s="117"/>
    </row>
    <row r="563" spans="1:2" ht="15" customHeight="1">
      <c r="A563" s="117"/>
      <c r="B563" s="117"/>
    </row>
    <row r="564" spans="1:2" ht="15" customHeight="1">
      <c r="A564" s="117"/>
      <c r="B564" s="117"/>
    </row>
    <row r="565" spans="1:2" ht="15" customHeight="1">
      <c r="A565" s="117"/>
      <c r="B565" s="117"/>
    </row>
    <row r="566" spans="1:2" ht="15" customHeight="1">
      <c r="A566" s="117"/>
      <c r="B566" s="117"/>
    </row>
    <row r="567" spans="1:2" ht="15" customHeight="1">
      <c r="A567" s="117"/>
      <c r="B567" s="117"/>
    </row>
    <row r="568" spans="1:2" ht="15" customHeight="1">
      <c r="A568" s="117"/>
      <c r="B568" s="117"/>
    </row>
    <row r="569" spans="1:2" ht="15" customHeight="1">
      <c r="A569" s="117"/>
      <c r="B569" s="117"/>
    </row>
    <row r="570" spans="1:2" ht="15" customHeight="1">
      <c r="A570" s="117"/>
      <c r="B570" s="117"/>
    </row>
    <row r="571" spans="1:2" ht="15" customHeight="1">
      <c r="A571" s="117"/>
      <c r="B571" s="117"/>
    </row>
    <row r="572" spans="1:2" ht="15" customHeight="1">
      <c r="A572" s="117"/>
      <c r="B572" s="117"/>
    </row>
    <row r="573" spans="1:2" ht="15" customHeight="1">
      <c r="A573" s="117"/>
      <c r="B573" s="117"/>
    </row>
    <row r="574" spans="1:2" ht="15" customHeight="1">
      <c r="A574" s="117"/>
      <c r="B574" s="117"/>
    </row>
    <row r="575" spans="1:2" ht="15" customHeight="1">
      <c r="A575" s="117"/>
      <c r="B575" s="117"/>
    </row>
    <row r="576" spans="1:2" ht="15" customHeight="1">
      <c r="A576" s="117"/>
      <c r="B576" s="117"/>
    </row>
    <row r="577" spans="1:2" ht="15" customHeight="1">
      <c r="A577" s="117"/>
      <c r="B577" s="117"/>
    </row>
    <row r="578" spans="1:2" ht="15" customHeight="1">
      <c r="A578" s="117"/>
      <c r="B578" s="117"/>
    </row>
    <row r="579" spans="1:2" ht="15" customHeight="1">
      <c r="A579" s="117"/>
      <c r="B579" s="117"/>
    </row>
    <row r="580" spans="1:2" ht="15" customHeight="1">
      <c r="A580" s="117"/>
      <c r="B580" s="117"/>
    </row>
    <row r="581" spans="1:2" ht="15" customHeight="1">
      <c r="A581" s="117"/>
      <c r="B581" s="117"/>
    </row>
    <row r="582" spans="1:2" ht="15" customHeight="1">
      <c r="A582" s="117"/>
      <c r="B582" s="117"/>
    </row>
    <row r="583" spans="1:2" ht="15" customHeight="1">
      <c r="A583" s="117"/>
      <c r="B583" s="117"/>
    </row>
    <row r="584" spans="1:2" ht="15" customHeight="1">
      <c r="A584" s="117"/>
      <c r="B584" s="117"/>
    </row>
    <row r="585" spans="1:2" ht="15" customHeight="1">
      <c r="A585" s="117"/>
      <c r="B585" s="117"/>
    </row>
    <row r="586" spans="1:2" ht="15" customHeight="1">
      <c r="A586" s="117"/>
      <c r="B586" s="117"/>
    </row>
    <row r="587" spans="1:2" ht="15" customHeight="1">
      <c r="A587" s="117"/>
      <c r="B587" s="117"/>
    </row>
    <row r="588" spans="1:2" ht="15" customHeight="1">
      <c r="A588" s="117"/>
      <c r="B588" s="117"/>
    </row>
    <row r="589" spans="1:2" ht="15" customHeight="1">
      <c r="A589" s="117"/>
      <c r="B589" s="117"/>
    </row>
    <row r="590" spans="1:2" ht="15" customHeight="1">
      <c r="A590" s="117"/>
      <c r="B590" s="117"/>
    </row>
    <row r="591" spans="1:2" ht="15" customHeight="1">
      <c r="A591" s="117"/>
      <c r="B591" s="117"/>
    </row>
    <row r="592" spans="1:2" ht="15" customHeight="1">
      <c r="A592" s="117"/>
      <c r="B592" s="117"/>
    </row>
    <row r="593" spans="1:2" ht="15" customHeight="1">
      <c r="A593" s="117"/>
      <c r="B593" s="117"/>
    </row>
    <row r="594" spans="1:2" ht="15" customHeight="1">
      <c r="A594" s="117"/>
      <c r="B594" s="117"/>
    </row>
    <row r="595" spans="1:2" ht="15" customHeight="1">
      <c r="A595" s="117"/>
      <c r="B595" s="117"/>
    </row>
    <row r="596" spans="1:2" ht="15" customHeight="1">
      <c r="A596" s="117"/>
      <c r="B596" s="117"/>
    </row>
    <row r="597" spans="1:2" ht="15" customHeight="1">
      <c r="A597" s="117"/>
      <c r="B597" s="117"/>
    </row>
    <row r="598" spans="1:2" ht="15" customHeight="1">
      <c r="A598" s="117"/>
      <c r="B598" s="117"/>
    </row>
    <row r="599" spans="1:2" ht="15" customHeight="1">
      <c r="A599" s="117"/>
      <c r="B599" s="117"/>
    </row>
    <row r="600" spans="1:2" ht="15" customHeight="1">
      <c r="A600" s="117"/>
      <c r="B600" s="117"/>
    </row>
    <row r="601" spans="1:2" ht="15" customHeight="1">
      <c r="A601" s="117"/>
      <c r="B601" s="117"/>
    </row>
    <row r="602" spans="1:2" ht="15" customHeight="1">
      <c r="A602" s="117"/>
      <c r="B602" s="117"/>
    </row>
    <row r="603" spans="1:2" ht="15" customHeight="1">
      <c r="A603" s="117"/>
      <c r="B603" s="117"/>
    </row>
    <row r="604" spans="1:2" ht="15" customHeight="1">
      <c r="A604" s="117"/>
      <c r="B604" s="117"/>
    </row>
    <row r="605" spans="1:2" ht="15" customHeight="1">
      <c r="A605" s="117"/>
      <c r="B605" s="117"/>
    </row>
    <row r="606" spans="1:2" ht="15" customHeight="1">
      <c r="A606" s="117"/>
      <c r="B606" s="117"/>
    </row>
    <row r="607" spans="1:2" ht="15" customHeight="1">
      <c r="A607" s="117"/>
      <c r="B607" s="117"/>
    </row>
    <row r="608" spans="1:2" ht="15" customHeight="1">
      <c r="A608" s="117"/>
      <c r="B608" s="117"/>
    </row>
    <row r="609" spans="1:2" ht="15" customHeight="1">
      <c r="A609" s="117"/>
      <c r="B609" s="117"/>
    </row>
    <row r="610" spans="1:2" ht="15" customHeight="1">
      <c r="A610" s="117"/>
      <c r="B610" s="117"/>
    </row>
    <row r="611" spans="1:2" ht="15" customHeight="1">
      <c r="A611" s="117"/>
      <c r="B611" s="117"/>
    </row>
    <row r="612" spans="1:2" ht="15" customHeight="1">
      <c r="A612" s="117"/>
      <c r="B612" s="117"/>
    </row>
    <row r="613" spans="1:2" ht="15" customHeight="1">
      <c r="A613" s="117"/>
      <c r="B613" s="117"/>
    </row>
    <row r="614" spans="1:2" ht="15" customHeight="1">
      <c r="A614" s="117"/>
      <c r="B614" s="117"/>
    </row>
    <row r="615" spans="1:2" ht="15" customHeight="1">
      <c r="A615" s="117"/>
      <c r="B615" s="117"/>
    </row>
    <row r="616" spans="1:2" ht="15" customHeight="1">
      <c r="A616" s="117"/>
      <c r="B616" s="117"/>
    </row>
    <row r="617" spans="1:2" ht="15" customHeight="1">
      <c r="A617" s="117"/>
      <c r="B617" s="117"/>
    </row>
    <row r="618" spans="1:2" ht="15" customHeight="1">
      <c r="A618" s="117"/>
      <c r="B618" s="117"/>
    </row>
    <row r="619" spans="1:2" ht="15" customHeight="1">
      <c r="A619" s="117"/>
      <c r="B619" s="117"/>
    </row>
    <row r="620" spans="1:2" ht="15" customHeight="1">
      <c r="A620" s="117"/>
      <c r="B620" s="117"/>
    </row>
    <row r="621" spans="1:2" ht="15" customHeight="1">
      <c r="A621" s="117"/>
      <c r="B621" s="117"/>
    </row>
    <row r="622" spans="1:2" ht="15" customHeight="1">
      <c r="A622" s="117"/>
      <c r="B622" s="117"/>
    </row>
    <row r="623" spans="1:2" ht="15" customHeight="1">
      <c r="A623" s="117"/>
      <c r="B623" s="117"/>
    </row>
    <row r="624" spans="1:2" ht="15" customHeight="1">
      <c r="A624" s="117"/>
      <c r="B624" s="117"/>
    </row>
    <row r="625" spans="1:2" ht="15" customHeight="1">
      <c r="A625" s="117"/>
      <c r="B625" s="117"/>
    </row>
    <row r="626" spans="1:2" ht="15" customHeight="1">
      <c r="A626" s="117"/>
      <c r="B626" s="117"/>
    </row>
    <row r="627" spans="1:2" ht="15" customHeight="1">
      <c r="A627" s="117"/>
      <c r="B627" s="117"/>
    </row>
    <row r="628" spans="1:2" ht="15" customHeight="1">
      <c r="A628" s="117"/>
      <c r="B628" s="117"/>
    </row>
    <row r="629" spans="1:2" ht="15" customHeight="1">
      <c r="A629" s="117"/>
      <c r="B629" s="117"/>
    </row>
    <row r="630" spans="1:2" ht="15" customHeight="1">
      <c r="A630" s="117"/>
      <c r="B630" s="117"/>
    </row>
    <row r="631" spans="1:2" ht="15" customHeight="1">
      <c r="A631" s="117"/>
      <c r="B631" s="117"/>
    </row>
    <row r="632" spans="1:2" ht="15" customHeight="1">
      <c r="A632" s="117"/>
      <c r="B632" s="117"/>
    </row>
    <row r="633" spans="1:2" ht="15" customHeight="1">
      <c r="A633" s="117"/>
      <c r="B633" s="117"/>
    </row>
    <row r="634" spans="1:2" ht="15" customHeight="1">
      <c r="A634" s="117"/>
      <c r="B634" s="117"/>
    </row>
    <row r="635" spans="1:2" ht="15" customHeight="1">
      <c r="A635" s="117"/>
      <c r="B635" s="117"/>
    </row>
    <row r="636" spans="1:2" ht="15" customHeight="1">
      <c r="A636" s="117"/>
      <c r="B636" s="117"/>
    </row>
    <row r="637" spans="1:2" ht="15" customHeight="1">
      <c r="A637" s="117"/>
      <c r="B637" s="117"/>
    </row>
    <row r="638" spans="1:2" ht="15" customHeight="1">
      <c r="A638" s="117"/>
      <c r="B638" s="117"/>
    </row>
    <row r="639" spans="1:2" ht="15" customHeight="1">
      <c r="A639" s="117"/>
      <c r="B639" s="117"/>
    </row>
    <row r="640" spans="1:2" ht="15" customHeight="1">
      <c r="A640" s="117"/>
      <c r="B640" s="117"/>
    </row>
    <row r="641" spans="1:2" ht="15" customHeight="1">
      <c r="A641" s="117"/>
      <c r="B641" s="117"/>
    </row>
    <row r="642" spans="1:2" ht="15" customHeight="1">
      <c r="A642" s="117"/>
      <c r="B642" s="117"/>
    </row>
    <row r="643" spans="1:2" ht="15" customHeight="1">
      <c r="A643" s="117"/>
      <c r="B643" s="117"/>
    </row>
    <row r="644" spans="1:2" ht="15" customHeight="1">
      <c r="A644" s="117"/>
      <c r="B644" s="117"/>
    </row>
    <row r="645" spans="1:2" ht="15" customHeight="1">
      <c r="A645" s="117"/>
      <c r="B645" s="117"/>
    </row>
    <row r="646" spans="1:2" ht="15" customHeight="1">
      <c r="A646" s="117"/>
      <c r="B646" s="117"/>
    </row>
    <row r="647" spans="1:2" ht="15" customHeight="1">
      <c r="A647" s="117"/>
      <c r="B647" s="117"/>
    </row>
    <row r="648" spans="1:2" ht="15" customHeight="1">
      <c r="A648" s="117"/>
      <c r="B648" s="117"/>
    </row>
    <row r="649" spans="1:2" ht="15" customHeight="1">
      <c r="A649" s="117"/>
      <c r="B649" s="117"/>
    </row>
    <row r="650" spans="1:2" ht="15" customHeight="1">
      <c r="A650" s="117"/>
      <c r="B650" s="117"/>
    </row>
    <row r="651" spans="1:2" ht="15" customHeight="1">
      <c r="A651" s="117"/>
      <c r="B651" s="117"/>
    </row>
    <row r="652" spans="1:2" ht="15" customHeight="1">
      <c r="A652" s="117"/>
      <c r="B652" s="117"/>
    </row>
    <row r="653" spans="1:2" ht="15" customHeight="1">
      <c r="A653" s="117"/>
      <c r="B653" s="117"/>
    </row>
    <row r="654" spans="1:2" ht="15" customHeight="1">
      <c r="A654" s="117"/>
      <c r="B654" s="117"/>
    </row>
    <row r="655" spans="1:2" ht="15" customHeight="1">
      <c r="A655" s="117"/>
      <c r="B655" s="117"/>
    </row>
    <row r="656" spans="1:2" ht="15" customHeight="1">
      <c r="A656" s="117"/>
      <c r="B656" s="117"/>
    </row>
    <row r="657" spans="1:2" ht="15" customHeight="1">
      <c r="A657" s="117"/>
      <c r="B657" s="117"/>
    </row>
    <row r="658" spans="1:2" ht="15" customHeight="1">
      <c r="A658" s="117"/>
      <c r="B658" s="117"/>
    </row>
    <row r="659" spans="1:2" ht="15" customHeight="1">
      <c r="A659" s="117"/>
      <c r="B659" s="117"/>
    </row>
    <row r="660" spans="1:2" ht="15" customHeight="1">
      <c r="A660" s="117"/>
      <c r="B660" s="117"/>
    </row>
    <row r="661" spans="1:2" ht="15" customHeight="1">
      <c r="A661" s="117"/>
      <c r="B661" s="117"/>
    </row>
    <row r="662" spans="1:2" ht="15" customHeight="1">
      <c r="A662" s="117"/>
      <c r="B662" s="117"/>
    </row>
    <row r="663" spans="1:2" ht="15" customHeight="1">
      <c r="A663" s="117"/>
      <c r="B663" s="117"/>
    </row>
    <row r="664" spans="1:2" ht="15" customHeight="1">
      <c r="A664" s="117"/>
      <c r="B664" s="117"/>
    </row>
    <row r="665" spans="1:2" ht="15" customHeight="1">
      <c r="A665" s="117"/>
      <c r="B665" s="117"/>
    </row>
    <row r="666" spans="1:2" ht="15" customHeight="1">
      <c r="A666" s="117"/>
      <c r="B666" s="117"/>
    </row>
    <row r="667" spans="1:2" ht="15" customHeight="1">
      <c r="A667" s="117"/>
      <c r="B667" s="117"/>
    </row>
    <row r="668" spans="1:2" ht="15" customHeight="1">
      <c r="A668" s="117"/>
      <c r="B668" s="117"/>
    </row>
    <row r="669" spans="1:2" ht="15" customHeight="1">
      <c r="A669" s="117"/>
      <c r="B669" s="117"/>
    </row>
    <row r="670" spans="1:2" ht="15" customHeight="1">
      <c r="A670" s="117"/>
      <c r="B670" s="117"/>
    </row>
    <row r="671" spans="1:2" ht="15" customHeight="1">
      <c r="A671" s="117"/>
      <c r="B671" s="117"/>
    </row>
    <row r="672" spans="1:2" ht="15" customHeight="1">
      <c r="A672" s="117"/>
      <c r="B672" s="117"/>
    </row>
    <row r="673" spans="1:2" ht="15" customHeight="1">
      <c r="A673" s="117"/>
      <c r="B673" s="117"/>
    </row>
    <row r="674" spans="1:2" ht="15" customHeight="1">
      <c r="A674" s="117"/>
      <c r="B674" s="117"/>
    </row>
    <row r="675" spans="1:2" ht="15" customHeight="1">
      <c r="A675" s="117"/>
      <c r="B675" s="117"/>
    </row>
    <row r="676" spans="1:2" ht="15" customHeight="1">
      <c r="A676" s="117"/>
      <c r="B676" s="117"/>
    </row>
    <row r="677" spans="1:2" ht="15" customHeight="1">
      <c r="A677" s="117"/>
      <c r="B677" s="117"/>
    </row>
    <row r="678" spans="1:2" ht="15" customHeight="1">
      <c r="A678" s="117"/>
      <c r="B678" s="117"/>
    </row>
    <row r="679" spans="1:2" ht="15" customHeight="1">
      <c r="A679" s="117"/>
      <c r="B679" s="117"/>
    </row>
    <row r="680" spans="1:2" ht="15" customHeight="1">
      <c r="A680" s="117"/>
      <c r="B680" s="117"/>
    </row>
    <row r="681" spans="1:2" ht="15" customHeight="1">
      <c r="A681" s="117"/>
      <c r="B681" s="117"/>
    </row>
    <row r="682" spans="1:2" ht="15" customHeight="1">
      <c r="A682" s="117"/>
      <c r="B682" s="117"/>
    </row>
    <row r="683" spans="1:2" ht="15" customHeight="1">
      <c r="A683" s="117"/>
      <c r="B683" s="117"/>
    </row>
    <row r="684" spans="1:2" ht="15" customHeight="1">
      <c r="A684" s="117"/>
      <c r="B684" s="117"/>
    </row>
    <row r="685" spans="1:2" ht="15" customHeight="1">
      <c r="A685" s="117"/>
      <c r="B685" s="117"/>
    </row>
    <row r="686" spans="1:2" ht="15" customHeight="1">
      <c r="A686" s="117"/>
      <c r="B686" s="117"/>
    </row>
    <row r="687" spans="1:2" ht="15" customHeight="1">
      <c r="A687" s="117"/>
      <c r="B687" s="117"/>
    </row>
    <row r="688" spans="1:2" ht="15" customHeight="1">
      <c r="A688" s="117"/>
      <c r="B688" s="117"/>
    </row>
    <row r="689" spans="1:2" ht="15" customHeight="1">
      <c r="A689" s="117"/>
      <c r="B689" s="117"/>
    </row>
    <row r="690" spans="1:2" ht="15" customHeight="1">
      <c r="A690" s="117"/>
      <c r="B690" s="117"/>
    </row>
    <row r="691" spans="1:2" ht="15" customHeight="1">
      <c r="A691" s="117"/>
      <c r="B691" s="117"/>
    </row>
    <row r="692" spans="1:2" ht="15" customHeight="1">
      <c r="A692" s="117"/>
      <c r="B692" s="117"/>
    </row>
    <row r="693" spans="1:2" ht="15" customHeight="1">
      <c r="A693" s="117"/>
      <c r="B693" s="117"/>
    </row>
    <row r="694" spans="1:2" ht="15" customHeight="1">
      <c r="A694" s="117"/>
      <c r="B694" s="117"/>
    </row>
    <row r="695" spans="1:2" ht="15" customHeight="1">
      <c r="A695" s="117"/>
      <c r="B695" s="117"/>
    </row>
    <row r="696" spans="1:2" ht="15" customHeight="1">
      <c r="A696" s="117"/>
      <c r="B696" s="117"/>
    </row>
    <row r="697" spans="1:2" ht="15" customHeight="1">
      <c r="A697" s="117"/>
      <c r="B697" s="117"/>
    </row>
    <row r="698" spans="1:2" ht="15" customHeight="1">
      <c r="A698" s="117"/>
      <c r="B698" s="117"/>
    </row>
    <row r="699" spans="1:2" ht="15" customHeight="1">
      <c r="A699" s="117"/>
      <c r="B699" s="117"/>
    </row>
    <row r="700" spans="1:2" ht="15" customHeight="1">
      <c r="A700" s="117"/>
      <c r="B700" s="117"/>
    </row>
    <row r="701" spans="1:2" ht="15" customHeight="1">
      <c r="A701" s="117"/>
      <c r="B701" s="117"/>
    </row>
    <row r="702" spans="1:2" ht="15" customHeight="1">
      <c r="A702" s="117"/>
      <c r="B702" s="117"/>
    </row>
    <row r="703" spans="1:2" ht="15" customHeight="1">
      <c r="A703" s="117"/>
      <c r="B703" s="117"/>
    </row>
    <row r="704" spans="1:2" ht="15" customHeight="1">
      <c r="A704" s="117"/>
      <c r="B704" s="117"/>
    </row>
    <row r="705" spans="1:2" ht="15" customHeight="1">
      <c r="A705" s="117"/>
      <c r="B705" s="117"/>
    </row>
    <row r="706" spans="1:2" ht="15" customHeight="1">
      <c r="A706" s="117"/>
      <c r="B706" s="117"/>
    </row>
    <row r="707" spans="1:2" ht="15" customHeight="1">
      <c r="A707" s="117"/>
      <c r="B707" s="117"/>
    </row>
    <row r="708" spans="1:2" ht="15" customHeight="1">
      <c r="A708" s="117"/>
      <c r="B708" s="117"/>
    </row>
    <row r="709" spans="1:2" ht="15" customHeight="1">
      <c r="A709" s="117"/>
      <c r="B709" s="117"/>
    </row>
    <row r="710" spans="1:2" ht="15" customHeight="1">
      <c r="A710" s="117"/>
      <c r="B710" s="117"/>
    </row>
    <row r="711" spans="1:2" ht="15" customHeight="1">
      <c r="A711" s="117"/>
      <c r="B711" s="117"/>
    </row>
    <row r="712" spans="1:2" ht="15" customHeight="1">
      <c r="A712" s="117"/>
      <c r="B712" s="117"/>
    </row>
    <row r="713" spans="1:2" ht="15" customHeight="1">
      <c r="A713" s="117"/>
      <c r="B713" s="117"/>
    </row>
    <row r="714" spans="1:2" ht="15" customHeight="1">
      <c r="A714" s="117"/>
      <c r="B714" s="117"/>
    </row>
    <row r="715" spans="1:2" ht="15" customHeight="1">
      <c r="A715" s="117"/>
      <c r="B715" s="117"/>
    </row>
    <row r="716" spans="1:2" ht="15" customHeight="1">
      <c r="A716" s="117"/>
      <c r="B716" s="117"/>
    </row>
    <row r="717" spans="1:2" ht="15" customHeight="1">
      <c r="A717" s="117"/>
      <c r="B717" s="117"/>
    </row>
    <row r="718" spans="1:2" ht="15" customHeight="1">
      <c r="A718" s="117"/>
      <c r="B718" s="117"/>
    </row>
    <row r="719" spans="1:2" ht="15" customHeight="1">
      <c r="A719" s="117"/>
      <c r="B719" s="117"/>
    </row>
    <row r="720" spans="1:2" ht="15" customHeight="1">
      <c r="A720" s="117"/>
      <c r="B720" s="117"/>
    </row>
    <row r="721" spans="1:2" ht="15" customHeight="1">
      <c r="A721" s="117"/>
      <c r="B721" s="117"/>
    </row>
    <row r="722" spans="1:2" ht="15" customHeight="1">
      <c r="A722" s="117"/>
      <c r="B722" s="117"/>
    </row>
    <row r="723" spans="1:2" ht="15" customHeight="1">
      <c r="A723" s="117"/>
      <c r="B723" s="117"/>
    </row>
    <row r="724" spans="1:2" ht="15" customHeight="1">
      <c r="A724" s="117"/>
      <c r="B724" s="117"/>
    </row>
    <row r="725" spans="1:2" ht="15" customHeight="1">
      <c r="A725" s="117"/>
      <c r="B725" s="117"/>
    </row>
    <row r="726" spans="1:2" ht="15" customHeight="1">
      <c r="A726" s="117"/>
      <c r="B726" s="117"/>
    </row>
    <row r="727" spans="1:2" ht="15" customHeight="1">
      <c r="A727" s="117"/>
      <c r="B727" s="117"/>
    </row>
    <row r="728" spans="1:2" ht="15" customHeight="1">
      <c r="A728" s="117"/>
      <c r="B728" s="117"/>
    </row>
    <row r="729" spans="1:2" ht="15" customHeight="1">
      <c r="A729" s="117"/>
      <c r="B729" s="117"/>
    </row>
    <row r="730" spans="1:2" ht="15" customHeight="1">
      <c r="A730" s="117"/>
      <c r="B730" s="117"/>
    </row>
    <row r="731" spans="1:2" ht="15" customHeight="1">
      <c r="A731" s="117"/>
      <c r="B731" s="117"/>
    </row>
    <row r="732" spans="1:2" ht="15" customHeight="1">
      <c r="A732" s="117"/>
      <c r="B732" s="117"/>
    </row>
    <row r="733" spans="1:2" ht="15" customHeight="1">
      <c r="A733" s="117"/>
      <c r="B733" s="117"/>
    </row>
    <row r="734" spans="1:2" ht="15" customHeight="1">
      <c r="A734" s="117"/>
      <c r="B734" s="117"/>
    </row>
    <row r="735" spans="1:2" ht="15" customHeight="1">
      <c r="A735" s="117"/>
      <c r="B735" s="117"/>
    </row>
    <row r="736" spans="1:2" ht="15" customHeight="1">
      <c r="A736" s="117"/>
      <c r="B736" s="117"/>
    </row>
    <row r="737" spans="1:2" ht="15" customHeight="1">
      <c r="A737" s="117"/>
      <c r="B737" s="117"/>
    </row>
    <row r="738" spans="1:2" ht="15" customHeight="1">
      <c r="A738" s="117"/>
      <c r="B738" s="117"/>
    </row>
    <row r="739" spans="1:2" ht="15" customHeight="1">
      <c r="A739" s="117"/>
      <c r="B739" s="117"/>
    </row>
    <row r="740" spans="1:2" ht="15" customHeight="1">
      <c r="A740" s="117"/>
      <c r="B740" s="117"/>
    </row>
    <row r="741" spans="1:2" ht="15" customHeight="1">
      <c r="A741" s="117"/>
      <c r="B741" s="117"/>
    </row>
    <row r="742" spans="1:2" ht="15" customHeight="1">
      <c r="A742" s="117"/>
      <c r="B742" s="117"/>
    </row>
    <row r="743" spans="1:2" ht="15" customHeight="1">
      <c r="A743" s="117"/>
      <c r="B743" s="117"/>
    </row>
    <row r="744" spans="1:2" ht="15" customHeight="1">
      <c r="A744" s="117"/>
      <c r="B744" s="117"/>
    </row>
    <row r="745" spans="1:2" ht="15" customHeight="1">
      <c r="A745" s="117"/>
      <c r="B745" s="117"/>
    </row>
    <row r="746" spans="1:2" ht="15" customHeight="1">
      <c r="A746" s="117"/>
      <c r="B746" s="117"/>
    </row>
    <row r="747" spans="1:2" ht="15" customHeight="1">
      <c r="A747" s="117"/>
      <c r="B747" s="117"/>
    </row>
    <row r="748" spans="1:2" ht="15" customHeight="1">
      <c r="A748" s="117"/>
      <c r="B748" s="117"/>
    </row>
    <row r="749" spans="1:2" ht="15" customHeight="1">
      <c r="A749" s="117"/>
      <c r="B749" s="117"/>
    </row>
    <row r="750" spans="1:2" ht="15" customHeight="1">
      <c r="A750" s="117"/>
      <c r="B750" s="117"/>
    </row>
    <row r="751" spans="1:2" ht="15" customHeight="1">
      <c r="A751" s="117"/>
      <c r="B751" s="117"/>
    </row>
    <row r="752" spans="1:2" ht="15" customHeight="1">
      <c r="A752" s="117"/>
      <c r="B752" s="117"/>
    </row>
    <row r="753" spans="1:2" ht="15" customHeight="1">
      <c r="A753" s="117"/>
      <c r="B753" s="117"/>
    </row>
    <row r="754" spans="1:2" ht="15" customHeight="1">
      <c r="A754" s="117"/>
      <c r="B754" s="117"/>
    </row>
    <row r="755" spans="1:2" ht="15" customHeight="1">
      <c r="A755" s="117"/>
      <c r="B755" s="117"/>
    </row>
    <row r="756" spans="1:2" ht="15" customHeight="1">
      <c r="A756" s="117"/>
      <c r="B756" s="117"/>
    </row>
    <row r="757" spans="1:2" ht="15" customHeight="1">
      <c r="A757" s="117"/>
      <c r="B757" s="117"/>
    </row>
    <row r="758" spans="1:2" ht="15" customHeight="1">
      <c r="A758" s="117"/>
      <c r="B758" s="117"/>
    </row>
    <row r="759" spans="1:2" ht="15" customHeight="1">
      <c r="A759" s="117"/>
      <c r="B759" s="117"/>
    </row>
    <row r="760" spans="1:2" ht="15" customHeight="1">
      <c r="A760" s="117"/>
      <c r="B760" s="117"/>
    </row>
    <row r="761" spans="1:2" ht="15" customHeight="1">
      <c r="A761" s="117"/>
      <c r="B761" s="117"/>
    </row>
    <row r="762" spans="1:2" ht="15" customHeight="1">
      <c r="A762" s="117"/>
      <c r="B762" s="117"/>
    </row>
    <row r="763" spans="1:2" ht="15" customHeight="1">
      <c r="A763" s="117"/>
      <c r="B763" s="117"/>
    </row>
    <row r="764" spans="1:2" ht="15" customHeight="1">
      <c r="A764" s="117"/>
      <c r="B764" s="117"/>
    </row>
    <row r="765" spans="1:2" ht="15" customHeight="1">
      <c r="A765" s="117"/>
      <c r="B765" s="117"/>
    </row>
    <row r="766" spans="1:2" ht="15" customHeight="1">
      <c r="A766" s="117"/>
      <c r="B766" s="117"/>
    </row>
    <row r="767" spans="1:2" ht="15" customHeight="1">
      <c r="A767" s="117"/>
      <c r="B767" s="117"/>
    </row>
    <row r="768" spans="1:2" ht="15" customHeight="1">
      <c r="A768" s="117"/>
      <c r="B768" s="117"/>
    </row>
    <row r="769" spans="1:2" ht="15" customHeight="1">
      <c r="A769" s="117"/>
      <c r="B769" s="117"/>
    </row>
    <row r="770" spans="1:2" ht="15" customHeight="1">
      <c r="A770" s="117"/>
      <c r="B770" s="117"/>
    </row>
    <row r="771" spans="1:2" ht="15" customHeight="1">
      <c r="A771" s="117"/>
      <c r="B771" s="117"/>
    </row>
    <row r="772" spans="1:2" ht="15" customHeight="1">
      <c r="A772" s="117"/>
      <c r="B772" s="117"/>
    </row>
    <row r="773" spans="1:2" ht="15" customHeight="1">
      <c r="A773" s="117"/>
      <c r="B773" s="117"/>
    </row>
    <row r="774" spans="1:2" ht="15" customHeight="1">
      <c r="A774" s="117"/>
      <c r="B774" s="117"/>
    </row>
    <row r="775" spans="1:2" ht="15" customHeight="1">
      <c r="A775" s="117"/>
      <c r="B775" s="117"/>
    </row>
    <row r="776" spans="1:2" ht="15" customHeight="1">
      <c r="A776" s="117"/>
      <c r="B776" s="117"/>
    </row>
    <row r="777" spans="1:2" ht="15" customHeight="1">
      <c r="A777" s="117"/>
      <c r="B777" s="117"/>
    </row>
    <row r="778" spans="1:2" ht="15" customHeight="1">
      <c r="A778" s="117"/>
      <c r="B778" s="117"/>
    </row>
    <row r="779" spans="1:2" ht="15" customHeight="1">
      <c r="A779" s="117"/>
      <c r="B779" s="117"/>
    </row>
    <row r="780" spans="1:2" ht="15" customHeight="1">
      <c r="A780" s="117"/>
      <c r="B780" s="117"/>
    </row>
    <row r="781" spans="1:2" ht="15" customHeight="1">
      <c r="A781" s="117"/>
      <c r="B781" s="117"/>
    </row>
    <row r="782" spans="1:2" ht="15" customHeight="1">
      <c r="A782" s="117"/>
      <c r="B782" s="117"/>
    </row>
    <row r="783" spans="1:2" ht="15" customHeight="1">
      <c r="A783" s="117"/>
      <c r="B783" s="117"/>
    </row>
    <row r="784" spans="1:2" ht="15" customHeight="1">
      <c r="A784" s="117"/>
      <c r="B784" s="117"/>
    </row>
    <row r="785" spans="1:2" ht="15" customHeight="1">
      <c r="A785" s="117"/>
      <c r="B785" s="117"/>
    </row>
    <row r="786" spans="1:2" ht="15" customHeight="1">
      <c r="A786" s="117"/>
      <c r="B786" s="117"/>
    </row>
    <row r="787" spans="1:2" ht="15" customHeight="1">
      <c r="A787" s="117"/>
      <c r="B787" s="117"/>
    </row>
    <row r="788" spans="1:2" ht="15" customHeight="1">
      <c r="A788" s="117"/>
      <c r="B788" s="117"/>
    </row>
    <row r="789" spans="1:2" ht="15" customHeight="1">
      <c r="A789" s="117"/>
      <c r="B789" s="117"/>
    </row>
    <row r="790" spans="1:2" ht="15" customHeight="1">
      <c r="A790" s="117"/>
      <c r="B790" s="117"/>
    </row>
    <row r="791" spans="1:2" ht="15" customHeight="1">
      <c r="A791" s="117"/>
      <c r="B791" s="117"/>
    </row>
    <row r="792" spans="1:2" ht="15" customHeight="1">
      <c r="A792" s="117"/>
      <c r="B792" s="117"/>
    </row>
    <row r="793" spans="1:2" ht="15" customHeight="1">
      <c r="A793" s="117"/>
      <c r="B793" s="117"/>
    </row>
    <row r="794" spans="1:2" ht="15" customHeight="1">
      <c r="A794" s="117"/>
      <c r="B794" s="117"/>
    </row>
    <row r="795" spans="1:2" ht="15" customHeight="1">
      <c r="A795" s="117"/>
      <c r="B795" s="117"/>
    </row>
    <row r="796" spans="1:2" ht="15" customHeight="1">
      <c r="A796" s="117"/>
      <c r="B796" s="117"/>
    </row>
    <row r="797" spans="1:2" ht="15" customHeight="1">
      <c r="A797" s="117"/>
      <c r="B797" s="117"/>
    </row>
    <row r="798" spans="1:2" ht="15" customHeight="1">
      <c r="A798" s="117"/>
      <c r="B798" s="117"/>
    </row>
    <row r="799" spans="1:2" ht="15" customHeight="1">
      <c r="A799" s="117"/>
      <c r="B799" s="117"/>
    </row>
    <row r="800" spans="1:2" ht="15" customHeight="1">
      <c r="A800" s="117"/>
      <c r="B800" s="117"/>
    </row>
    <row r="801" spans="1:2" ht="15" customHeight="1">
      <c r="A801" s="117"/>
      <c r="B801" s="117"/>
    </row>
    <row r="802" spans="1:2" ht="15" customHeight="1">
      <c r="A802" s="117"/>
      <c r="B802" s="117"/>
    </row>
    <row r="803" spans="1:2" ht="15" customHeight="1">
      <c r="A803" s="117"/>
      <c r="B803" s="117"/>
    </row>
    <row r="804" spans="1:2" ht="15" customHeight="1">
      <c r="A804" s="117"/>
      <c r="B804" s="117"/>
    </row>
    <row r="805" spans="1:2" ht="15" customHeight="1">
      <c r="A805" s="117"/>
      <c r="B805" s="117"/>
    </row>
    <row r="806" spans="1:2" ht="15" customHeight="1">
      <c r="A806" s="117"/>
      <c r="B806" s="117"/>
    </row>
    <row r="807" spans="1:2" ht="15" customHeight="1">
      <c r="A807" s="117"/>
      <c r="B807" s="117"/>
    </row>
    <row r="808" spans="1:2" ht="15" customHeight="1">
      <c r="A808" s="117"/>
      <c r="B808" s="117"/>
    </row>
    <row r="809" spans="1:2" ht="15" customHeight="1">
      <c r="A809" s="117"/>
      <c r="B809" s="117"/>
    </row>
    <row r="810" spans="1:2" ht="15" customHeight="1">
      <c r="A810" s="117"/>
      <c r="B810" s="117"/>
    </row>
    <row r="811" spans="1:2" ht="15" customHeight="1">
      <c r="A811" s="117"/>
      <c r="B811" s="117"/>
    </row>
    <row r="812" spans="1:2" ht="15" customHeight="1">
      <c r="A812" s="117"/>
      <c r="B812" s="117"/>
    </row>
    <row r="813" spans="1:2" ht="15" customHeight="1">
      <c r="A813" s="117"/>
      <c r="B813" s="117"/>
    </row>
    <row r="814" spans="1:2" ht="15" customHeight="1">
      <c r="A814" s="117"/>
      <c r="B814" s="117"/>
    </row>
    <row r="815" spans="1:2" ht="15" customHeight="1">
      <c r="A815" s="117"/>
      <c r="B815" s="117"/>
    </row>
    <row r="816" spans="1:2" ht="15" customHeight="1">
      <c r="A816" s="117"/>
      <c r="B816" s="117"/>
    </row>
    <row r="817" spans="1:2" ht="15" customHeight="1">
      <c r="A817" s="117"/>
      <c r="B817" s="117"/>
    </row>
    <row r="818" spans="1:2" ht="15" customHeight="1">
      <c r="A818" s="117"/>
      <c r="B818" s="117"/>
    </row>
    <row r="819" spans="1:2" ht="15" customHeight="1">
      <c r="A819" s="117"/>
      <c r="B819" s="117"/>
    </row>
    <row r="820" spans="1:2" ht="15" customHeight="1">
      <c r="A820" s="117"/>
      <c r="B820" s="117"/>
    </row>
    <row r="821" spans="1:2" ht="15" customHeight="1">
      <c r="A821" s="117"/>
      <c r="B821" s="117"/>
    </row>
    <row r="822" spans="1:2" ht="15" customHeight="1">
      <c r="A822" s="117"/>
      <c r="B822" s="117"/>
    </row>
    <row r="823" spans="1:2" ht="15" customHeight="1">
      <c r="A823" s="117"/>
      <c r="B823" s="117"/>
    </row>
    <row r="824" spans="1:2" ht="15" customHeight="1">
      <c r="A824" s="117"/>
      <c r="B824" s="117"/>
    </row>
    <row r="825" spans="1:2" ht="15" customHeight="1">
      <c r="A825" s="117"/>
      <c r="B825" s="117"/>
    </row>
    <row r="826" spans="1:2" ht="15" customHeight="1">
      <c r="A826" s="117"/>
      <c r="B826" s="117"/>
    </row>
    <row r="827" spans="1:2" ht="15" customHeight="1">
      <c r="A827" s="117"/>
      <c r="B827" s="117"/>
    </row>
    <row r="828" spans="1:2" ht="15" customHeight="1">
      <c r="A828" s="117"/>
      <c r="B828" s="117"/>
    </row>
    <row r="829" spans="1:2" ht="15" customHeight="1">
      <c r="A829" s="117"/>
      <c r="B829" s="117"/>
    </row>
    <row r="830" spans="1:2" ht="15" customHeight="1">
      <c r="A830" s="117"/>
      <c r="B830" s="117"/>
    </row>
    <row r="831" spans="1:2" ht="15" customHeight="1">
      <c r="A831" s="117"/>
      <c r="B831" s="117"/>
    </row>
    <row r="832" spans="1:2" ht="15" customHeight="1">
      <c r="A832" s="117"/>
      <c r="B832" s="117"/>
    </row>
    <row r="833" spans="1:2" ht="15" customHeight="1">
      <c r="A833" s="117"/>
      <c r="B833" s="117"/>
    </row>
    <row r="834" spans="1:2" ht="15" customHeight="1">
      <c r="A834" s="117"/>
      <c r="B834" s="117"/>
    </row>
    <row r="835" spans="1:2" ht="15" customHeight="1">
      <c r="A835" s="117"/>
      <c r="B835" s="117"/>
    </row>
    <row r="836" spans="1:2" ht="15" customHeight="1">
      <c r="A836" s="117"/>
      <c r="B836" s="117"/>
    </row>
    <row r="837" spans="1:2" ht="15" customHeight="1">
      <c r="A837" s="117"/>
      <c r="B837" s="117"/>
    </row>
    <row r="838" spans="1:2" ht="15" customHeight="1">
      <c r="A838" s="117"/>
      <c r="B838" s="117"/>
    </row>
    <row r="839" spans="1:2" ht="15" customHeight="1">
      <c r="A839" s="117"/>
      <c r="B839" s="117"/>
    </row>
    <row r="840" spans="1:2" ht="15" customHeight="1">
      <c r="A840" s="117"/>
      <c r="B840" s="117"/>
    </row>
    <row r="841" spans="1:2" ht="15" customHeight="1">
      <c r="A841" s="117"/>
      <c r="B841" s="117"/>
    </row>
    <row r="842" spans="1:2" ht="15" customHeight="1">
      <c r="A842" s="117"/>
      <c r="B842" s="117"/>
    </row>
    <row r="843" spans="1:2" ht="15" customHeight="1">
      <c r="A843" s="117"/>
      <c r="B843" s="117"/>
    </row>
    <row r="844" spans="1:2" ht="15" customHeight="1">
      <c r="A844" s="117"/>
      <c r="B844" s="117"/>
    </row>
    <row r="845" spans="1:2" ht="15" customHeight="1">
      <c r="A845" s="117"/>
      <c r="B845" s="117"/>
    </row>
    <row r="846" spans="1:2" ht="15" customHeight="1">
      <c r="A846" s="117"/>
      <c r="B846" s="117"/>
    </row>
    <row r="847" spans="1:2" ht="15" customHeight="1">
      <c r="A847" s="117"/>
      <c r="B847" s="117"/>
    </row>
    <row r="848" spans="1:2" ht="15" customHeight="1">
      <c r="A848" s="117"/>
      <c r="B848" s="117"/>
    </row>
    <row r="849" spans="1:2" ht="15" customHeight="1">
      <c r="A849" s="117"/>
      <c r="B849" s="117"/>
    </row>
    <row r="850" spans="1:2" ht="15" customHeight="1">
      <c r="A850" s="117"/>
      <c r="B850" s="117"/>
    </row>
    <row r="851" spans="1:2" ht="15" customHeight="1">
      <c r="A851" s="117"/>
      <c r="B851" s="117"/>
    </row>
    <row r="852" spans="1:2" ht="15" customHeight="1">
      <c r="A852" s="117"/>
      <c r="B852" s="117"/>
    </row>
    <row r="853" spans="1:2" ht="15" customHeight="1">
      <c r="A853" s="117"/>
      <c r="B853" s="117"/>
    </row>
    <row r="854" spans="1:2" ht="15" customHeight="1">
      <c r="A854" s="117"/>
      <c r="B854" s="117"/>
    </row>
    <row r="855" spans="1:2" ht="15" customHeight="1">
      <c r="A855" s="117"/>
      <c r="B855" s="117"/>
    </row>
    <row r="856" spans="1:2" ht="15" customHeight="1">
      <c r="A856" s="117"/>
      <c r="B856" s="117"/>
    </row>
    <row r="857" spans="1:2" ht="15" customHeight="1">
      <c r="A857" s="117"/>
      <c r="B857" s="117"/>
    </row>
    <row r="858" spans="1:2" ht="15" customHeight="1">
      <c r="A858" s="117"/>
      <c r="B858" s="117"/>
    </row>
    <row r="859" spans="1:2" ht="15" customHeight="1">
      <c r="A859" s="117"/>
      <c r="B859" s="117"/>
    </row>
    <row r="860" spans="1:2" ht="15" customHeight="1">
      <c r="A860" s="117"/>
      <c r="B860" s="117"/>
    </row>
    <row r="861" spans="1:2" ht="15" customHeight="1">
      <c r="A861" s="117"/>
      <c r="B861" s="117"/>
    </row>
    <row r="862" spans="1:2" ht="15" customHeight="1">
      <c r="A862" s="117"/>
      <c r="B862" s="117"/>
    </row>
    <row r="863" spans="1:2" ht="15" customHeight="1">
      <c r="A863" s="117"/>
      <c r="B863" s="117"/>
    </row>
    <row r="864" spans="1:2" ht="15" customHeight="1">
      <c r="A864" s="117"/>
      <c r="B864" s="117"/>
    </row>
    <row r="865" spans="1:2" ht="15" customHeight="1">
      <c r="A865" s="117"/>
      <c r="B865" s="117"/>
    </row>
    <row r="866" spans="1:2" ht="15" customHeight="1">
      <c r="A866" s="117"/>
      <c r="B866" s="117"/>
    </row>
    <row r="867" spans="1:2" ht="15" customHeight="1">
      <c r="A867" s="117"/>
      <c r="B867" s="117"/>
    </row>
    <row r="868" spans="1:2" ht="15" customHeight="1">
      <c r="A868" s="117"/>
      <c r="B868" s="117"/>
    </row>
    <row r="869" spans="1:2" ht="15" customHeight="1">
      <c r="A869" s="117"/>
      <c r="B869" s="117"/>
    </row>
    <row r="870" spans="1:2" ht="15" customHeight="1">
      <c r="A870" s="117"/>
      <c r="B870" s="117"/>
    </row>
    <row r="871" spans="1:2" ht="15" customHeight="1">
      <c r="A871" s="117"/>
      <c r="B871" s="117"/>
    </row>
    <row r="872" spans="1:2" ht="15" customHeight="1">
      <c r="A872" s="117"/>
      <c r="B872" s="117"/>
    </row>
    <row r="873" spans="1:2" ht="15" customHeight="1">
      <c r="A873" s="117"/>
      <c r="B873" s="117"/>
    </row>
    <row r="874" spans="1:2" ht="15" customHeight="1">
      <c r="A874" s="117"/>
      <c r="B874" s="117"/>
    </row>
    <row r="875" spans="1:2" ht="15" customHeight="1">
      <c r="A875" s="117"/>
      <c r="B875" s="117"/>
    </row>
    <row r="876" spans="1:2" ht="15" customHeight="1">
      <c r="A876" s="117"/>
      <c r="B876" s="117"/>
    </row>
    <row r="877" spans="1:2" ht="15" customHeight="1">
      <c r="A877" s="117"/>
      <c r="B877" s="117"/>
    </row>
    <row r="878" spans="1:2" ht="15" customHeight="1">
      <c r="A878" s="117"/>
      <c r="B878" s="117"/>
    </row>
    <row r="879" spans="1:2" ht="15" customHeight="1">
      <c r="A879" s="117"/>
      <c r="B879" s="117"/>
    </row>
    <row r="880" spans="1:2" ht="15" customHeight="1">
      <c r="A880" s="117"/>
      <c r="B880" s="117"/>
    </row>
    <row r="881" spans="1:2" ht="15" customHeight="1">
      <c r="A881" s="117"/>
      <c r="B881" s="117"/>
    </row>
    <row r="882" spans="1:2" ht="15" customHeight="1">
      <c r="A882" s="117"/>
      <c r="B882" s="117"/>
    </row>
    <row r="883" spans="1:2" ht="15" customHeight="1">
      <c r="A883" s="117"/>
      <c r="B883" s="117"/>
    </row>
    <row r="884" spans="1:2" ht="15" customHeight="1">
      <c r="A884" s="117"/>
      <c r="B884" s="117"/>
    </row>
    <row r="885" spans="1:2" ht="15" customHeight="1">
      <c r="A885" s="117"/>
      <c r="B885" s="117"/>
    </row>
    <row r="886" spans="1:2" ht="15" customHeight="1">
      <c r="A886" s="117"/>
      <c r="B886" s="117"/>
    </row>
    <row r="887" spans="1:2" ht="15" customHeight="1">
      <c r="A887" s="117"/>
      <c r="B887" s="117"/>
    </row>
    <row r="888" spans="1:2" ht="15" customHeight="1">
      <c r="A888" s="117"/>
      <c r="B888" s="117"/>
    </row>
    <row r="889" spans="1:2" ht="15" customHeight="1">
      <c r="A889" s="117"/>
      <c r="B889" s="117"/>
    </row>
    <row r="890" spans="1:2" ht="15" customHeight="1">
      <c r="A890" s="117"/>
      <c r="B890" s="117"/>
    </row>
    <row r="891" spans="1:2" ht="15" customHeight="1">
      <c r="A891" s="117"/>
      <c r="B891" s="117"/>
    </row>
    <row r="892" spans="1:2" ht="15" customHeight="1">
      <c r="A892" s="117"/>
      <c r="B892" s="117"/>
    </row>
    <row r="893" spans="1:2" ht="15" customHeight="1">
      <c r="A893" s="117"/>
      <c r="B893" s="117"/>
    </row>
    <row r="894" spans="1:2" ht="15" customHeight="1">
      <c r="A894" s="117"/>
      <c r="B894" s="117"/>
    </row>
    <row r="895" spans="1:2" ht="15" customHeight="1">
      <c r="A895" s="117"/>
      <c r="B895" s="117"/>
    </row>
    <row r="896" spans="1:2" ht="15" customHeight="1">
      <c r="A896" s="117"/>
      <c r="B896" s="117"/>
    </row>
    <row r="897" spans="1:2" ht="15" customHeight="1">
      <c r="A897" s="117"/>
      <c r="B897" s="117"/>
    </row>
    <row r="898" spans="1:2" ht="15" customHeight="1">
      <c r="A898" s="117"/>
      <c r="B898" s="117"/>
    </row>
    <row r="899" spans="1:2" ht="15" customHeight="1">
      <c r="A899" s="117"/>
      <c r="B899" s="117"/>
    </row>
    <row r="900" spans="1:2" ht="15" customHeight="1">
      <c r="A900" s="117"/>
      <c r="B900" s="117"/>
    </row>
    <row r="901" spans="1:2" ht="15" customHeight="1">
      <c r="A901" s="117"/>
      <c r="B901" s="117"/>
    </row>
    <row r="902" spans="1:2" ht="15" customHeight="1">
      <c r="A902" s="117"/>
      <c r="B902" s="117"/>
    </row>
    <row r="903" spans="1:2" ht="15" customHeight="1">
      <c r="A903" s="117"/>
      <c r="B903" s="117"/>
    </row>
    <row r="904" spans="1:2" ht="15" customHeight="1">
      <c r="A904" s="117"/>
      <c r="B904" s="117"/>
    </row>
    <row r="905" spans="1:2" ht="15" customHeight="1">
      <c r="A905" s="117"/>
      <c r="B905" s="117"/>
    </row>
    <row r="906" spans="1:2" ht="15" customHeight="1">
      <c r="A906" s="117"/>
      <c r="B906" s="117"/>
    </row>
    <row r="907" spans="1:2" ht="15" customHeight="1">
      <c r="A907" s="117"/>
      <c r="B907" s="117"/>
    </row>
    <row r="908" spans="1:2" ht="15" customHeight="1">
      <c r="A908" s="117"/>
      <c r="B908" s="117"/>
    </row>
    <row r="909" spans="1:2" ht="15" customHeight="1">
      <c r="A909" s="117"/>
      <c r="B909" s="117"/>
    </row>
    <row r="910" spans="1:2" ht="15" customHeight="1">
      <c r="A910" s="117"/>
      <c r="B910" s="117"/>
    </row>
    <row r="911" spans="1:2" ht="15" customHeight="1">
      <c r="A911" s="117"/>
      <c r="B911" s="117"/>
    </row>
    <row r="912" spans="1:2" ht="15" customHeight="1">
      <c r="A912" s="117"/>
      <c r="B912" s="117"/>
    </row>
    <row r="913" spans="1:2" ht="15" customHeight="1">
      <c r="A913" s="117"/>
      <c r="B913" s="117"/>
    </row>
    <row r="914" spans="1:2" ht="15" customHeight="1">
      <c r="A914" s="117"/>
      <c r="B914" s="117"/>
    </row>
    <row r="915" spans="1:2" ht="15" customHeight="1">
      <c r="A915" s="117"/>
      <c r="B915" s="117"/>
    </row>
    <row r="916" spans="1:2" ht="15" customHeight="1">
      <c r="A916" s="117"/>
      <c r="B916" s="117"/>
    </row>
    <row r="917" spans="1:2" ht="15" customHeight="1">
      <c r="A917" s="117"/>
      <c r="B917" s="117"/>
    </row>
    <row r="918" spans="1:2" ht="15" customHeight="1">
      <c r="A918" s="117"/>
      <c r="B918" s="117"/>
    </row>
    <row r="919" spans="1:2" ht="15" customHeight="1">
      <c r="A919" s="117"/>
      <c r="B919" s="117"/>
    </row>
    <row r="920" spans="1:2" ht="15" customHeight="1">
      <c r="A920" s="117"/>
      <c r="B920" s="117"/>
    </row>
    <row r="921" spans="1:2" ht="15" customHeight="1">
      <c r="A921" s="117"/>
      <c r="B921" s="117"/>
    </row>
    <row r="922" spans="1:2" ht="15" customHeight="1">
      <c r="A922" s="117"/>
      <c r="B922" s="117"/>
    </row>
    <row r="923" spans="1:2" ht="15" customHeight="1">
      <c r="A923" s="117"/>
      <c r="B923" s="117"/>
    </row>
    <row r="924" spans="1:2" ht="15" customHeight="1">
      <c r="A924" s="117"/>
      <c r="B924" s="117"/>
    </row>
    <row r="925" spans="1:2" ht="15" customHeight="1">
      <c r="A925" s="117"/>
      <c r="B925" s="117"/>
    </row>
    <row r="926" spans="1:2" ht="15" customHeight="1">
      <c r="A926" s="117"/>
      <c r="B926" s="117"/>
    </row>
    <row r="927" spans="1:2" ht="15" customHeight="1">
      <c r="A927" s="117"/>
      <c r="B927" s="117"/>
    </row>
    <row r="928" spans="1:2" ht="15" customHeight="1">
      <c r="A928" s="117"/>
      <c r="B928" s="117"/>
    </row>
    <row r="929" spans="1:2" ht="15" customHeight="1">
      <c r="A929" s="117"/>
      <c r="B929" s="117"/>
    </row>
    <row r="930" spans="1:2" ht="15" customHeight="1">
      <c r="A930" s="117"/>
      <c r="B930" s="117"/>
    </row>
    <row r="931" spans="1:2" ht="15" customHeight="1">
      <c r="A931" s="117"/>
      <c r="B931" s="117"/>
    </row>
    <row r="932" spans="1:2" ht="15" customHeight="1">
      <c r="A932" s="117"/>
      <c r="B932" s="117"/>
    </row>
    <row r="933" spans="1:2" ht="15" customHeight="1">
      <c r="A933" s="117"/>
      <c r="B933" s="117"/>
    </row>
    <row r="934" spans="1:2" ht="15" customHeight="1">
      <c r="A934" s="117"/>
      <c r="B934" s="117"/>
    </row>
    <row r="935" spans="1:2" ht="15" customHeight="1">
      <c r="A935" s="117"/>
      <c r="B935" s="117"/>
    </row>
    <row r="936" spans="1:2" ht="15" customHeight="1">
      <c r="A936" s="117"/>
      <c r="B936" s="117"/>
    </row>
    <row r="937" spans="1:2" ht="15" customHeight="1">
      <c r="A937" s="117"/>
      <c r="B937" s="117"/>
    </row>
    <row r="938" spans="1:2" ht="15" customHeight="1">
      <c r="A938" s="117"/>
      <c r="B938" s="117"/>
    </row>
    <row r="939" spans="1:2" ht="15" customHeight="1">
      <c r="A939" s="117"/>
      <c r="B939" s="117"/>
    </row>
    <row r="940" spans="1:2" ht="15" customHeight="1">
      <c r="A940" s="117"/>
      <c r="B940" s="117"/>
    </row>
    <row r="941" spans="1:2" ht="15" customHeight="1">
      <c r="A941" s="117"/>
      <c r="B941" s="117"/>
    </row>
    <row r="942" spans="1:2" ht="15" customHeight="1">
      <c r="A942" s="117"/>
      <c r="B942" s="117"/>
    </row>
    <row r="943" spans="1:2" ht="15" customHeight="1">
      <c r="A943" s="117"/>
      <c r="B943" s="117"/>
    </row>
    <row r="944" spans="1:2" ht="15" customHeight="1">
      <c r="A944" s="117"/>
      <c r="B944" s="117"/>
    </row>
    <row r="945" spans="1:2" ht="15" customHeight="1">
      <c r="A945" s="117"/>
      <c r="B945" s="117"/>
    </row>
    <row r="946" spans="1:2" ht="15" customHeight="1">
      <c r="A946" s="117"/>
      <c r="B946" s="117"/>
    </row>
    <row r="947" spans="1:2" ht="15" customHeight="1">
      <c r="A947" s="117"/>
      <c r="B947" s="117"/>
    </row>
    <row r="948" spans="1:2" ht="15" customHeight="1">
      <c r="A948" s="117"/>
      <c r="B948" s="117"/>
    </row>
    <row r="949" spans="1:2" ht="15" customHeight="1">
      <c r="A949" s="117"/>
      <c r="B949" s="117"/>
    </row>
    <row r="950" spans="1:2" ht="15" customHeight="1">
      <c r="A950" s="117"/>
      <c r="B950" s="117"/>
    </row>
    <row r="951" spans="1:2" ht="15" customHeight="1">
      <c r="A951" s="117"/>
      <c r="B951" s="117"/>
    </row>
    <row r="952" spans="1:2" ht="15" customHeight="1">
      <c r="A952" s="117"/>
      <c r="B952" s="117"/>
    </row>
    <row r="953" spans="1:2" ht="15" customHeight="1">
      <c r="A953" s="117"/>
      <c r="B953" s="117"/>
    </row>
    <row r="954" spans="1:2" ht="15" customHeight="1">
      <c r="A954" s="117"/>
      <c r="B954" s="117"/>
    </row>
    <row r="955" spans="1:2" ht="15" customHeight="1">
      <c r="A955" s="117"/>
      <c r="B955" s="117"/>
    </row>
    <row r="956" spans="1:2" ht="15" customHeight="1">
      <c r="A956" s="117"/>
      <c r="B956" s="117"/>
    </row>
    <row r="957" spans="1:2" ht="15" customHeight="1">
      <c r="A957" s="117"/>
      <c r="B957" s="117"/>
    </row>
    <row r="958" spans="1:2" ht="15" customHeight="1">
      <c r="A958" s="117"/>
      <c r="B958" s="117"/>
    </row>
    <row r="959" spans="1:2" ht="15" customHeight="1">
      <c r="A959" s="117"/>
      <c r="B959" s="117"/>
    </row>
    <row r="960" spans="1:2" ht="15" customHeight="1">
      <c r="A960" s="117"/>
      <c r="B960" s="117"/>
    </row>
    <row r="961" spans="1:2" ht="15" customHeight="1">
      <c r="A961" s="117"/>
      <c r="B961" s="117"/>
    </row>
    <row r="962" spans="1:2" ht="15" customHeight="1">
      <c r="A962" s="117"/>
      <c r="B962" s="117"/>
    </row>
  </sheetData>
  <autoFilter ref="A6:L6" xr:uid="{00000000-0009-0000-0000-00000A000000}"/>
  <sortState xmlns:xlrd2="http://schemas.microsoft.com/office/spreadsheetml/2017/richdata2" ref="A7:Z962">
    <sortCondition descending="1" ref="F7:F962"/>
  </sortState>
  <phoneticPr fontId="45" type="noConversion"/>
  <conditionalFormatting sqref="B6 B8:B40">
    <cfRule type="expression" dxfId="370" priority="409">
      <formula>COUNTIF(#REF!, "Yes") = 1</formula>
    </cfRule>
  </conditionalFormatting>
  <conditionalFormatting sqref="N5">
    <cfRule type="expression" dxfId="369" priority="75">
      <formula>COUNTIF(#REF!, "Yes") = 1</formula>
    </cfRule>
  </conditionalFormatting>
  <conditionalFormatting sqref="B41">
    <cfRule type="expression" dxfId="368" priority="58">
      <formula>COUNTIF(#REF!, "Yes") = 1</formula>
    </cfRule>
  </conditionalFormatting>
  <conditionalFormatting sqref="G8:G41">
    <cfRule type="expression" dxfId="367" priority="31">
      <formula>G8="完工已補裝"</formula>
    </cfRule>
    <cfRule type="expression" dxfId="366" priority="32">
      <formula>G8="已PM未更換"</formula>
    </cfRule>
    <cfRule type="expression" dxfId="365" priority="33">
      <formula>G8="未更換"</formula>
    </cfRule>
    <cfRule type="expression" dxfId="364" priority="34">
      <formula>G8="已更換"</formula>
    </cfRule>
  </conditionalFormatting>
  <conditionalFormatting sqref="K8:K41">
    <cfRule type="expression" dxfId="363" priority="30">
      <formula>IF(K8="不保養","true","FALSE")</formula>
    </cfRule>
  </conditionalFormatting>
  <conditionalFormatting sqref="B7">
    <cfRule type="expression" dxfId="362" priority="29">
      <formula>COUNTIF(#REF!, "Yes") = 1</formula>
    </cfRule>
  </conditionalFormatting>
  <conditionalFormatting sqref="G7">
    <cfRule type="expression" dxfId="361" priority="25">
      <formula>G7="完工已補裝"</formula>
    </cfRule>
    <cfRule type="expression" dxfId="360" priority="26">
      <formula>G7="已PM未更換"</formula>
    </cfRule>
    <cfRule type="expression" dxfId="359" priority="27">
      <formula>G7="未更換"</formula>
    </cfRule>
    <cfRule type="expression" dxfId="358" priority="28">
      <formula>G7="已更換"</formula>
    </cfRule>
  </conditionalFormatting>
  <conditionalFormatting sqref="K7">
    <cfRule type="expression" dxfId="357" priority="24">
      <formula>IF(K7="不保養","true","FALSE")</formula>
    </cfRule>
  </conditionalFormatting>
  <conditionalFormatting sqref="B42">
    <cfRule type="expression" dxfId="356" priority="23">
      <formula>COUNTIF(#REF!, "Yes") = 1</formula>
    </cfRule>
  </conditionalFormatting>
  <conditionalFormatting sqref="G42">
    <cfRule type="expression" dxfId="355" priority="19">
      <formula>G42="完工已補裝"</formula>
    </cfRule>
    <cfRule type="expression" dxfId="354" priority="20">
      <formula>G42="已PM未更換"</formula>
    </cfRule>
    <cfRule type="expression" dxfId="353" priority="21">
      <formula>G42="未更換"</formula>
    </cfRule>
    <cfRule type="expression" dxfId="352" priority="22">
      <formula>G42="已更換"</formula>
    </cfRule>
  </conditionalFormatting>
  <conditionalFormatting sqref="K42">
    <cfRule type="expression" dxfId="351" priority="18">
      <formula>IF(K42="不保養","true","FALSE")</formula>
    </cfRule>
  </conditionalFormatting>
  <conditionalFormatting sqref="F1">
    <cfRule type="expression" dxfId="350" priority="3">
      <formula>COUNTIF(#REF!, "Yes") = 1</formula>
    </cfRule>
  </conditionalFormatting>
  <conditionalFormatting sqref="G1">
    <cfRule type="expression" dxfId="349" priority="2">
      <formula>COUNTIF(#REF!, "Yes") = 1</formula>
    </cfRule>
  </conditionalFormatting>
  <conditionalFormatting sqref="A3">
    <cfRule type="expression" dxfId="348" priority="1">
      <formula>COUNTIF($A6:$A6, "Yes") = 1</formula>
    </cfRule>
  </conditionalFormatting>
  <conditionalFormatting sqref="E1">
    <cfRule type="expression" dxfId="347" priority="4">
      <formula>COUNTIF(#REF!, "Yes") = 1</formula>
    </cfRule>
  </conditionalFormatting>
  <conditionalFormatting sqref="A1:B1">
    <cfRule type="expression" dxfId="346" priority="5">
      <formula>COUNTIF($A2:$A2, "Yes") = 1</formula>
    </cfRule>
  </conditionalFormatting>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1"/>
  <dimension ref="A1:AA102"/>
  <sheetViews>
    <sheetView workbookViewId="0">
      <selection activeCell="M27" sqref="M27"/>
    </sheetView>
  </sheetViews>
  <sheetFormatPr defaultRowHeight="14.4"/>
  <cols>
    <col min="1" max="1" width="5.3984375" style="23" bestFit="1" customWidth="1"/>
    <col min="2" max="2" width="12.59765625" style="24" bestFit="1" customWidth="1"/>
    <col min="3" max="3" width="12.796875" style="23" bestFit="1" customWidth="1"/>
    <col min="4" max="4" width="12.296875" style="25" customWidth="1"/>
    <col min="5" max="5" width="8.796875" style="18" customWidth="1"/>
    <col min="6" max="6" width="5.3984375" style="18" bestFit="1" customWidth="1"/>
    <col min="7" max="7" width="10.59765625" style="18" bestFit="1" customWidth="1"/>
    <col min="8" max="8" width="10.19921875" style="18" bestFit="1" customWidth="1"/>
    <col min="9" max="9" width="6.19921875" style="18" bestFit="1" customWidth="1"/>
    <col min="10" max="13" width="8.796875" style="18" customWidth="1"/>
    <col min="14" max="14" width="10.59765625" style="18" bestFit="1" customWidth="1"/>
    <col min="15" max="351" width="8.796875" style="18" customWidth="1"/>
    <col min="352" max="16384" width="8.796875" style="18"/>
  </cols>
  <sheetData>
    <row r="1" spans="1:27" ht="15.6" customHeight="1">
      <c r="A1" s="14" t="s">
        <v>23</v>
      </c>
      <c r="B1" s="15"/>
      <c r="C1" s="16"/>
      <c r="D1" s="17"/>
      <c r="G1" s="18" t="s">
        <v>4957</v>
      </c>
      <c r="H1" s="18" t="s">
        <v>4958</v>
      </c>
      <c r="I1" s="18" t="s">
        <v>4959</v>
      </c>
      <c r="J1" s="1"/>
      <c r="K1" s="1" t="s">
        <v>1</v>
      </c>
      <c r="L1" s="1" t="s">
        <v>326</v>
      </c>
      <c r="N1" s="18" t="s">
        <v>1</v>
      </c>
      <c r="O1" s="18" t="s">
        <v>2</v>
      </c>
      <c r="P1" s="18" t="s">
        <v>3</v>
      </c>
      <c r="Q1" s="18" t="s">
        <v>4</v>
      </c>
      <c r="R1" s="18" t="s">
        <v>5</v>
      </c>
      <c r="S1" s="18" t="s">
        <v>6</v>
      </c>
      <c r="T1" s="18" t="s">
        <v>7</v>
      </c>
      <c r="W1" s="18" t="s">
        <v>10</v>
      </c>
      <c r="X1" s="18" t="s">
        <v>11</v>
      </c>
      <c r="Y1" s="18" t="s">
        <v>12</v>
      </c>
      <c r="Z1" s="18" t="s">
        <v>13</v>
      </c>
      <c r="AA1" s="18" t="s">
        <v>14</v>
      </c>
    </row>
    <row r="2" spans="1:27" ht="15.6" customHeight="1">
      <c r="A2" s="19" t="s">
        <v>141</v>
      </c>
      <c r="B2" s="20" t="s">
        <v>142</v>
      </c>
      <c r="C2" s="21" t="s">
        <v>4960</v>
      </c>
      <c r="D2" s="22" t="s">
        <v>140</v>
      </c>
      <c r="G2" s="321" t="s">
        <v>5</v>
      </c>
      <c r="H2" s="1" t="s">
        <v>123</v>
      </c>
      <c r="I2" s="1">
        <v>8733</v>
      </c>
      <c r="J2" s="1"/>
      <c r="K2" s="1" t="s">
        <v>2</v>
      </c>
      <c r="L2" s="1" t="s">
        <v>326</v>
      </c>
    </row>
    <row r="3" spans="1:27" ht="15.6" customHeight="1">
      <c r="B3" s="24" t="e">
        <f>VLOOKUP($A3,門市總表!$A:$C,2,FALSE)</f>
        <v>#N/A</v>
      </c>
      <c r="C3" s="25"/>
      <c r="D3" s="25" t="s">
        <v>23</v>
      </c>
      <c r="G3" s="18" t="s">
        <v>2</v>
      </c>
      <c r="H3" s="1" t="s">
        <v>123</v>
      </c>
      <c r="I3" s="1">
        <v>8733</v>
      </c>
      <c r="J3" s="1"/>
      <c r="K3" s="1" t="s">
        <v>3</v>
      </c>
      <c r="L3" s="1" t="s">
        <v>326</v>
      </c>
    </row>
    <row r="4" spans="1:27" ht="15.6" customHeight="1">
      <c r="B4" s="24" t="e">
        <f>VLOOKUP($A4,門市總表!$A:$C,2,FALSE)</f>
        <v>#N/A</v>
      </c>
      <c r="C4" s="25"/>
      <c r="D4" s="25" t="s">
        <v>23</v>
      </c>
      <c r="G4" s="18" t="s">
        <v>1</v>
      </c>
      <c r="H4" s="1" t="s">
        <v>123</v>
      </c>
      <c r="I4" s="1">
        <v>8733</v>
      </c>
      <c r="J4" s="1"/>
      <c r="K4" s="1" t="s">
        <v>4</v>
      </c>
      <c r="L4" s="1" t="s">
        <v>326</v>
      </c>
    </row>
    <row r="5" spans="1:27" ht="15.6" customHeight="1">
      <c r="B5" s="24" t="e">
        <f>VLOOKUP($A5,門市總表!$A:$C,2,FALSE)</f>
        <v>#N/A</v>
      </c>
      <c r="C5" s="25"/>
      <c r="D5" s="25" t="s">
        <v>23</v>
      </c>
      <c r="G5" s="321" t="s">
        <v>13</v>
      </c>
      <c r="H5" s="1" t="s">
        <v>123</v>
      </c>
      <c r="I5" s="1">
        <v>8686</v>
      </c>
      <c r="J5" s="1"/>
      <c r="K5" s="1" t="s">
        <v>13</v>
      </c>
      <c r="L5" s="1" t="s">
        <v>326</v>
      </c>
    </row>
    <row r="6" spans="1:27" ht="15.6" customHeight="1">
      <c r="A6" s="23">
        <v>2237</v>
      </c>
      <c r="B6" s="24" t="str">
        <f>VLOOKUP($A6,門市總表!$A:$C,2,FALSE)</f>
        <v>三芝芝蘭店</v>
      </c>
      <c r="C6" s="25">
        <v>46052</v>
      </c>
      <c r="D6" s="25" t="s">
        <v>23</v>
      </c>
      <c r="G6" s="321" t="s">
        <v>4</v>
      </c>
      <c r="H6" s="1" t="s">
        <v>123</v>
      </c>
      <c r="I6" s="1">
        <v>8733</v>
      </c>
      <c r="J6" s="1"/>
      <c r="K6" s="1" t="s">
        <v>5</v>
      </c>
      <c r="L6" s="1" t="s">
        <v>326</v>
      </c>
    </row>
    <row r="7" spans="1:27" ht="15.6" customHeight="1">
      <c r="A7" s="23" t="s">
        <v>67</v>
      </c>
      <c r="B7" s="24" t="str">
        <f>VLOOKUP($A7,門市總表!$A:$C,2,FALSE)</f>
        <v>新莊福營店</v>
      </c>
      <c r="C7" s="25">
        <v>45673</v>
      </c>
      <c r="D7" s="25" t="s">
        <v>23</v>
      </c>
      <c r="G7" s="321" t="s">
        <v>12</v>
      </c>
      <c r="H7" s="1" t="s">
        <v>123</v>
      </c>
      <c r="I7" s="1">
        <v>8686</v>
      </c>
      <c r="J7" s="1"/>
      <c r="K7" s="1" t="s">
        <v>10</v>
      </c>
      <c r="L7" s="1" t="s">
        <v>326</v>
      </c>
    </row>
    <row r="8" spans="1:27" ht="15.6" customHeight="1">
      <c r="A8" s="23">
        <v>4511</v>
      </c>
      <c r="B8" s="24" t="str">
        <f>VLOOKUP($A8,門市總表!$A:$C,2,FALSE)</f>
        <v>淡水屯山店</v>
      </c>
      <c r="C8" s="25">
        <v>45670</v>
      </c>
      <c r="D8" s="25" t="s">
        <v>23</v>
      </c>
      <c r="G8" s="18" t="s">
        <v>3</v>
      </c>
      <c r="H8" s="320" t="s">
        <v>123</v>
      </c>
      <c r="I8" s="1">
        <v>8733</v>
      </c>
      <c r="J8" s="1"/>
      <c r="K8" s="1" t="s">
        <v>6</v>
      </c>
      <c r="L8" s="1" t="s">
        <v>326</v>
      </c>
    </row>
    <row r="9" spans="1:27" ht="15.6" customHeight="1">
      <c r="A9" s="23">
        <v>3818</v>
      </c>
      <c r="B9" s="24" t="str">
        <f>VLOOKUP($A9,門市總表!$A:$C,2,FALSE)</f>
        <v>板橋漢江店</v>
      </c>
      <c r="C9" s="25">
        <v>46050</v>
      </c>
      <c r="D9" s="25" t="s">
        <v>23</v>
      </c>
      <c r="G9" s="321" t="s">
        <v>9</v>
      </c>
      <c r="H9" s="1" t="s">
        <v>123</v>
      </c>
      <c r="I9" s="1">
        <v>8733</v>
      </c>
      <c r="J9" s="1"/>
      <c r="K9" s="1" t="s">
        <v>7</v>
      </c>
      <c r="L9" s="1" t="s">
        <v>326</v>
      </c>
    </row>
    <row r="10" spans="1:27" ht="15.6" customHeight="1">
      <c r="C10" s="25"/>
      <c r="G10" s="321" t="s">
        <v>8</v>
      </c>
      <c r="H10" s="1" t="s">
        <v>123</v>
      </c>
      <c r="I10" s="1">
        <v>8733</v>
      </c>
      <c r="J10" s="320"/>
      <c r="K10" s="320"/>
      <c r="L10" s="320"/>
    </row>
    <row r="11" spans="1:27" ht="15.6" customHeight="1">
      <c r="A11" s="14" t="s">
        <v>4961</v>
      </c>
      <c r="B11" s="15"/>
      <c r="C11" s="16"/>
      <c r="D11" s="17"/>
      <c r="G11" s="321" t="s">
        <v>14</v>
      </c>
      <c r="H11" s="319" t="s">
        <v>134</v>
      </c>
      <c r="I11" s="321">
        <v>8614</v>
      </c>
      <c r="J11" s="321"/>
      <c r="K11" s="321"/>
    </row>
    <row r="12" spans="1:27" ht="15.6" customHeight="1">
      <c r="A12" s="26" t="s">
        <v>141</v>
      </c>
      <c r="B12" s="27" t="s">
        <v>142</v>
      </c>
      <c r="C12" s="28" t="s">
        <v>4960</v>
      </c>
      <c r="D12" s="29" t="s">
        <v>140</v>
      </c>
      <c r="G12" s="321" t="s">
        <v>10</v>
      </c>
      <c r="H12" s="1" t="s">
        <v>118</v>
      </c>
      <c r="I12" s="320">
        <v>8686</v>
      </c>
      <c r="J12" s="321"/>
      <c r="K12" s="321"/>
    </row>
    <row r="13" spans="1:27" ht="15.6" customHeight="1">
      <c r="B13" s="24" t="e">
        <f>VLOOKUP(A13,'0919門市清單主檔'!B:C,2,FALSE)</f>
        <v>#N/A</v>
      </c>
      <c r="C13" s="25">
        <v>45946</v>
      </c>
      <c r="D13" s="23" t="s">
        <v>4962</v>
      </c>
      <c r="G13" s="321" t="s">
        <v>11</v>
      </c>
      <c r="H13" s="1" t="s">
        <v>118</v>
      </c>
      <c r="I13" s="320">
        <v>8686</v>
      </c>
      <c r="J13" s="321"/>
      <c r="K13" s="321"/>
    </row>
    <row r="14" spans="1:27" ht="15.6" customHeight="1">
      <c r="A14" s="18"/>
      <c r="B14" s="24" t="e">
        <f>VLOOKUP(A14,'0919門市清單主檔'!B:C,2,FALSE)</f>
        <v>#N/A</v>
      </c>
      <c r="C14" s="128"/>
      <c r="D14" s="23" t="s">
        <v>4962</v>
      </c>
      <c r="G14" s="321" t="s">
        <v>6</v>
      </c>
      <c r="H14" s="1" t="s">
        <v>118</v>
      </c>
      <c r="I14" s="320">
        <v>8733</v>
      </c>
      <c r="J14" s="321"/>
      <c r="K14" s="321"/>
    </row>
    <row r="15" spans="1:27" ht="15.6" customHeight="1">
      <c r="A15" s="18"/>
      <c r="B15" s="24" t="e">
        <f>VLOOKUP(A15,'0919門市清單主檔'!B:C,2,FALSE)</f>
        <v>#N/A</v>
      </c>
      <c r="C15" s="128"/>
      <c r="D15" s="23" t="s">
        <v>4962</v>
      </c>
      <c r="G15" s="321" t="s">
        <v>7</v>
      </c>
      <c r="H15" s="321" t="s">
        <v>133</v>
      </c>
      <c r="I15" s="320">
        <v>8733</v>
      </c>
      <c r="J15" s="321"/>
      <c r="K15" s="321"/>
    </row>
    <row r="16" spans="1:27" ht="15.6" customHeight="1">
      <c r="B16" s="24" t="e">
        <f>VLOOKUP(A16,'0919門市清單主檔'!B:C,2,FALSE)</f>
        <v>#N/A</v>
      </c>
      <c r="C16" s="25"/>
      <c r="D16" s="23" t="s">
        <v>4962</v>
      </c>
      <c r="G16" s="321" t="s">
        <v>15</v>
      </c>
      <c r="H16" s="321" t="s">
        <v>133</v>
      </c>
      <c r="I16" s="321">
        <v>8665</v>
      </c>
      <c r="J16" s="321"/>
      <c r="K16" s="321"/>
    </row>
    <row r="17" spans="1:12" ht="15.6" customHeight="1">
      <c r="G17" s="321" t="s">
        <v>16</v>
      </c>
      <c r="H17" s="321" t="s">
        <v>133</v>
      </c>
      <c r="I17" s="321">
        <v>8665</v>
      </c>
      <c r="J17" s="1"/>
      <c r="K17" s="1"/>
      <c r="L17" s="1"/>
    </row>
    <row r="18" spans="1:12" ht="15.6" customHeight="1">
      <c r="A18" s="14" t="s">
        <v>24</v>
      </c>
      <c r="B18" s="15"/>
      <c r="C18" s="16"/>
      <c r="D18" s="17"/>
      <c r="G18" s="1"/>
      <c r="H18" s="1"/>
      <c r="I18" s="1"/>
    </row>
    <row r="19" spans="1:12">
      <c r="A19" s="26" t="s">
        <v>141</v>
      </c>
      <c r="B19" s="27" t="s">
        <v>142</v>
      </c>
      <c r="C19" s="28" t="s">
        <v>4960</v>
      </c>
      <c r="D19" s="29" t="s">
        <v>140</v>
      </c>
    </row>
    <row r="20" spans="1:12">
      <c r="A20" s="23">
        <v>5513</v>
      </c>
      <c r="B20" s="24" t="str">
        <f>VLOOKUP(A20,'0919門市清單主檔'!B:C,2,FALSE)</f>
        <v>新莊A3站</v>
      </c>
      <c r="C20" s="25">
        <v>45946</v>
      </c>
      <c r="D20" s="23" t="s">
        <v>24</v>
      </c>
    </row>
    <row r="21" spans="1:12">
      <c r="A21" s="18">
        <v>5491</v>
      </c>
      <c r="B21" s="24" t="str">
        <f>VLOOKUP(A21,'0919門市清單主檔'!B:C,2,FALSE)</f>
        <v>三重向日葵</v>
      </c>
      <c r="C21" s="128">
        <v>45960</v>
      </c>
      <c r="D21" s="23" t="s">
        <v>24</v>
      </c>
    </row>
    <row r="22" spans="1:12">
      <c r="A22" s="18">
        <v>5389</v>
      </c>
      <c r="B22" s="24" t="str">
        <f>VLOOKUP(A22,'0919門市清單主檔'!B:C,2,FALSE)</f>
        <v>新莊瓏山林</v>
      </c>
      <c r="C22" s="128">
        <v>46055</v>
      </c>
      <c r="D22" s="23" t="s">
        <v>24</v>
      </c>
    </row>
    <row r="23" spans="1:12">
      <c r="B23" s="24" t="e">
        <f>VLOOKUP(A23,'0919門市清單主檔'!B:C,2,FALSE)</f>
        <v>#N/A</v>
      </c>
      <c r="C23" s="25"/>
      <c r="D23" s="23" t="s">
        <v>24</v>
      </c>
    </row>
    <row r="24" spans="1:12">
      <c r="B24" s="24" t="e">
        <f>VLOOKUP(A24,'0919門市清單主檔'!B:C,2,FALSE)</f>
        <v>#N/A</v>
      </c>
      <c r="C24" s="25"/>
      <c r="D24" s="23" t="s">
        <v>24</v>
      </c>
    </row>
    <row r="25" spans="1:12">
      <c r="B25" s="24" t="e">
        <f>VLOOKUP(A25,'0919門市清單主檔'!B:C,2,FALSE)</f>
        <v>#N/A</v>
      </c>
      <c r="C25" s="25"/>
      <c r="D25" s="23" t="s">
        <v>24</v>
      </c>
    </row>
    <row r="26" spans="1:12">
      <c r="A26" s="14" t="s">
        <v>4963</v>
      </c>
      <c r="B26" s="15"/>
      <c r="C26" s="16"/>
      <c r="D26" s="17"/>
    </row>
    <row r="27" spans="1:12">
      <c r="A27" s="19" t="s">
        <v>141</v>
      </c>
      <c r="B27" s="20" t="s">
        <v>142</v>
      </c>
      <c r="C27" s="21" t="s">
        <v>4960</v>
      </c>
      <c r="D27" s="22" t="s">
        <v>140</v>
      </c>
    </row>
    <row r="28" spans="1:12">
      <c r="B28" s="24" t="e">
        <f>VLOOKUP($A28,門市總表!$A:$C,2,FALSE)</f>
        <v>#N/A</v>
      </c>
      <c r="C28" s="25"/>
      <c r="D28" s="25" t="s">
        <v>4963</v>
      </c>
    </row>
    <row r="31" spans="1:12">
      <c r="A31" s="14" t="s">
        <v>4964</v>
      </c>
      <c r="B31" s="15"/>
      <c r="C31" s="16"/>
      <c r="D31" s="17"/>
    </row>
    <row r="32" spans="1:12">
      <c r="A32" s="19" t="s">
        <v>141</v>
      </c>
      <c r="B32" s="20" t="s">
        <v>142</v>
      </c>
      <c r="C32" s="21" t="s">
        <v>4960</v>
      </c>
      <c r="D32" s="22" t="s">
        <v>140</v>
      </c>
    </row>
    <row r="33" spans="1:4" ht="15.6" customHeight="1">
      <c r="A33" s="18"/>
      <c r="B33" s="24" t="e">
        <f>VLOOKUP($A33,門市總表!$A:$C,2,FALSE)</f>
        <v>#N/A</v>
      </c>
      <c r="C33" s="71"/>
      <c r="D33" s="25" t="s">
        <v>4965</v>
      </c>
    </row>
    <row r="34" spans="1:4" ht="15.6" customHeight="1">
      <c r="A34" s="18"/>
      <c r="B34" s="24" t="e">
        <f>VLOOKUP($A34,門市總表!$A:$C,2,FALSE)</f>
        <v>#N/A</v>
      </c>
      <c r="C34" s="71">
        <v>46023</v>
      </c>
      <c r="D34" s="25" t="s">
        <v>4964</v>
      </c>
    </row>
    <row r="35" spans="1:4" ht="15.6" customHeight="1">
      <c r="B35" s="24" t="e">
        <f>VLOOKUP($A35,門市總表!$A:$C,2,FALSE)</f>
        <v>#N/A</v>
      </c>
      <c r="C35" s="71">
        <v>46023</v>
      </c>
      <c r="D35" s="25" t="s">
        <v>4964</v>
      </c>
    </row>
    <row r="36" spans="1:4" ht="15.6" customHeight="1">
      <c r="B36" s="24" t="e">
        <f>VLOOKUP($A36,門市總表!$A:$C,2,FALSE)</f>
        <v>#N/A</v>
      </c>
      <c r="C36" s="71">
        <v>46023</v>
      </c>
      <c r="D36" s="25" t="s">
        <v>4964</v>
      </c>
    </row>
    <row r="37" spans="1:4" ht="15.6" customHeight="1">
      <c r="B37" s="24" t="e">
        <f>VLOOKUP($A37,門市總表!$A:$C,2,FALSE)</f>
        <v>#N/A</v>
      </c>
      <c r="C37" s="71">
        <v>46023</v>
      </c>
      <c r="D37" s="25" t="s">
        <v>4964</v>
      </c>
    </row>
    <row r="38" spans="1:4" ht="15.6" customHeight="1">
      <c r="B38" s="24" t="e">
        <f>VLOOKUP($A38,門市總表!$A:$C,2,FALSE)</f>
        <v>#N/A</v>
      </c>
      <c r="C38" s="71">
        <v>46023</v>
      </c>
      <c r="D38" s="25" t="s">
        <v>4964</v>
      </c>
    </row>
    <row r="39" spans="1:4" ht="15.6" customHeight="1">
      <c r="B39" s="24" t="e">
        <f>VLOOKUP($A39,門市總表!$A:$C,2,FALSE)</f>
        <v>#N/A</v>
      </c>
      <c r="C39" s="71">
        <v>46023</v>
      </c>
      <c r="D39" s="25" t="s">
        <v>4964</v>
      </c>
    </row>
    <row r="40" spans="1:4" ht="15.6" customHeight="1">
      <c r="B40" s="24" t="e">
        <f>VLOOKUP($A40,門市總表!$A:$C,2,FALSE)</f>
        <v>#N/A</v>
      </c>
      <c r="C40" s="71">
        <v>46023</v>
      </c>
      <c r="D40" s="25" t="s">
        <v>4964</v>
      </c>
    </row>
    <row r="41" spans="1:4" ht="15.6" customHeight="1">
      <c r="B41" s="24" t="e">
        <f>VLOOKUP($A41,門市總表!$A:$C,2,FALSE)</f>
        <v>#N/A</v>
      </c>
      <c r="C41" s="71">
        <v>46023</v>
      </c>
      <c r="D41" s="25" t="s">
        <v>4964</v>
      </c>
    </row>
    <row r="42" spans="1:4" ht="15.6" customHeight="1">
      <c r="B42" s="24" t="e">
        <f>VLOOKUP($A42,門市總表!$A:$C,2,FALSE)</f>
        <v>#N/A</v>
      </c>
      <c r="C42" s="71">
        <v>46023</v>
      </c>
      <c r="D42" s="25" t="s">
        <v>4964</v>
      </c>
    </row>
    <row r="43" spans="1:4" ht="15.6" customHeight="1">
      <c r="B43" s="24" t="e">
        <f>VLOOKUP($A43,門市總表!$A:$C,2,FALSE)</f>
        <v>#N/A</v>
      </c>
      <c r="C43" s="71">
        <v>46023</v>
      </c>
      <c r="D43" s="25" t="s">
        <v>4964</v>
      </c>
    </row>
    <row r="44" spans="1:4" ht="15.6" customHeight="1">
      <c r="B44" s="24" t="e">
        <f>VLOOKUP($A44,門市總表!$A:$C,2,FALSE)</f>
        <v>#N/A</v>
      </c>
      <c r="C44" s="71">
        <v>46023</v>
      </c>
      <c r="D44" s="25" t="s">
        <v>4964</v>
      </c>
    </row>
    <row r="45" spans="1:4" ht="15.6" customHeight="1">
      <c r="B45" s="24" t="e">
        <f>VLOOKUP($A45,門市總表!$A:$C,2,FALSE)</f>
        <v>#N/A</v>
      </c>
      <c r="C45" s="71">
        <v>46023</v>
      </c>
      <c r="D45" s="25" t="s">
        <v>4964</v>
      </c>
    </row>
    <row r="46" spans="1:4" ht="15.6" customHeight="1">
      <c r="B46" s="24" t="e">
        <f>VLOOKUP($A46,門市總表!$A:$C,2,FALSE)</f>
        <v>#N/A</v>
      </c>
      <c r="C46" s="71">
        <v>46023</v>
      </c>
      <c r="D46" s="25" t="s">
        <v>4964</v>
      </c>
    </row>
    <row r="47" spans="1:4" ht="15.6" customHeight="1">
      <c r="B47" s="24" t="e">
        <f>VLOOKUP($A47,門市總表!$A:$C,2,FALSE)</f>
        <v>#N/A</v>
      </c>
      <c r="C47" s="71">
        <v>46023</v>
      </c>
      <c r="D47" s="25" t="s">
        <v>4964</v>
      </c>
    </row>
    <row r="48" spans="1:4" ht="15.6" customHeight="1">
      <c r="B48" s="24" t="e">
        <f>VLOOKUP($A48,門市總表!$A:$C,2,FALSE)</f>
        <v>#N/A</v>
      </c>
      <c r="C48" s="71">
        <v>46023</v>
      </c>
      <c r="D48" s="25" t="s">
        <v>4964</v>
      </c>
    </row>
    <row r="49" spans="2:4" ht="15.6" customHeight="1">
      <c r="B49" s="24" t="e">
        <f>VLOOKUP($A49,門市總表!$A:$C,2,FALSE)</f>
        <v>#N/A</v>
      </c>
      <c r="C49" s="71">
        <v>46023</v>
      </c>
      <c r="D49" s="25" t="s">
        <v>4964</v>
      </c>
    </row>
    <row r="50" spans="2:4" ht="15.6" customHeight="1">
      <c r="B50" s="24" t="e">
        <f>VLOOKUP($A50,門市總表!$A:$C,2,FALSE)</f>
        <v>#N/A</v>
      </c>
      <c r="C50" s="71">
        <v>46023</v>
      </c>
      <c r="D50" s="25" t="s">
        <v>4964</v>
      </c>
    </row>
    <row r="51" spans="2:4" ht="15.6" customHeight="1">
      <c r="B51" s="24" t="e">
        <f>VLOOKUP($A51,門市總表!$A:$C,2,FALSE)</f>
        <v>#N/A</v>
      </c>
      <c r="C51" s="71">
        <v>46023</v>
      </c>
      <c r="D51" s="25" t="s">
        <v>4964</v>
      </c>
    </row>
    <row r="52" spans="2:4" ht="15.6" customHeight="1">
      <c r="B52" s="24" t="e">
        <f>VLOOKUP($A52,門市總表!$A:$C,2,FALSE)</f>
        <v>#N/A</v>
      </c>
      <c r="C52" s="71">
        <v>46023</v>
      </c>
      <c r="D52" s="25" t="s">
        <v>4964</v>
      </c>
    </row>
    <row r="53" spans="2:4" ht="15.6" customHeight="1">
      <c r="B53" s="24" t="e">
        <f>VLOOKUP($A53,門市總表!$A:$C,2,FALSE)</f>
        <v>#N/A</v>
      </c>
      <c r="C53" s="71">
        <v>46023</v>
      </c>
      <c r="D53" s="25" t="s">
        <v>4964</v>
      </c>
    </row>
    <row r="54" spans="2:4" ht="15.6" customHeight="1">
      <c r="B54" s="24" t="e">
        <f>VLOOKUP($A54,門市總表!$A:$C,2,FALSE)</f>
        <v>#N/A</v>
      </c>
      <c r="C54" s="71">
        <v>46023</v>
      </c>
      <c r="D54" s="25" t="s">
        <v>4964</v>
      </c>
    </row>
    <row r="55" spans="2:4" ht="15.6" customHeight="1">
      <c r="B55" s="24" t="e">
        <f>VLOOKUP($A55,門市總表!$A:$C,2,FALSE)</f>
        <v>#N/A</v>
      </c>
      <c r="C55" s="71">
        <v>46023</v>
      </c>
      <c r="D55" s="25" t="s">
        <v>4964</v>
      </c>
    </row>
    <row r="56" spans="2:4" ht="15.6" customHeight="1">
      <c r="B56" s="24" t="e">
        <f>VLOOKUP($A56,門市總表!$A:$C,2,FALSE)</f>
        <v>#N/A</v>
      </c>
      <c r="C56" s="71">
        <v>46023</v>
      </c>
      <c r="D56" s="25" t="s">
        <v>4964</v>
      </c>
    </row>
    <row r="57" spans="2:4" ht="15.6" customHeight="1">
      <c r="B57" s="24" t="e">
        <f>VLOOKUP($A57,門市總表!$A:$C,2,FALSE)</f>
        <v>#N/A</v>
      </c>
      <c r="C57" s="71">
        <v>46023</v>
      </c>
      <c r="D57" s="25" t="s">
        <v>4964</v>
      </c>
    </row>
    <row r="58" spans="2:4" ht="15.6" customHeight="1">
      <c r="B58" s="24" t="e">
        <f>VLOOKUP($A58,門市總表!$A:$C,2,FALSE)</f>
        <v>#N/A</v>
      </c>
      <c r="C58" s="71">
        <v>46023</v>
      </c>
      <c r="D58" s="25" t="s">
        <v>4964</v>
      </c>
    </row>
    <row r="59" spans="2:4" ht="15.6" customHeight="1">
      <c r="B59" s="24" t="e">
        <f>VLOOKUP($A59,門市總表!$A:$C,2,FALSE)</f>
        <v>#N/A</v>
      </c>
      <c r="C59" s="71">
        <v>46023</v>
      </c>
      <c r="D59" s="25" t="s">
        <v>4964</v>
      </c>
    </row>
    <row r="60" spans="2:4" ht="15.6" customHeight="1">
      <c r="B60" s="24" t="e">
        <f>VLOOKUP($A60,門市總表!$A:$C,2,FALSE)</f>
        <v>#N/A</v>
      </c>
      <c r="C60" s="71">
        <v>46023</v>
      </c>
      <c r="D60" s="25" t="s">
        <v>4964</v>
      </c>
    </row>
    <row r="61" spans="2:4" ht="15.6" customHeight="1">
      <c r="B61" s="24" t="e">
        <f>VLOOKUP($A61,門市總表!$A:$C,2,FALSE)</f>
        <v>#N/A</v>
      </c>
      <c r="C61" s="71">
        <v>46023</v>
      </c>
      <c r="D61" s="25" t="s">
        <v>4964</v>
      </c>
    </row>
    <row r="62" spans="2:4" ht="15.6" customHeight="1">
      <c r="B62" s="24" t="e">
        <f>VLOOKUP($A62,門市總表!$A:$C,2,FALSE)</f>
        <v>#N/A</v>
      </c>
      <c r="C62" s="71">
        <v>46023</v>
      </c>
      <c r="D62" s="25" t="s">
        <v>4964</v>
      </c>
    </row>
    <row r="63" spans="2:4" ht="15.6" customHeight="1">
      <c r="B63" s="24" t="e">
        <f>VLOOKUP($A63,門市總表!$A:$C,2,FALSE)</f>
        <v>#N/A</v>
      </c>
      <c r="C63" s="71">
        <v>46023</v>
      </c>
      <c r="D63" s="25" t="s">
        <v>4964</v>
      </c>
    </row>
    <row r="64" spans="2:4" ht="15.6" customHeight="1">
      <c r="B64" s="24" t="e">
        <f>VLOOKUP($A64,門市總表!$A:$C,2,FALSE)</f>
        <v>#N/A</v>
      </c>
      <c r="C64" s="71">
        <v>46023</v>
      </c>
      <c r="D64" s="25" t="s">
        <v>4964</v>
      </c>
    </row>
    <row r="65" spans="2:4" ht="15.6" customHeight="1">
      <c r="B65" s="24" t="e">
        <f>VLOOKUP($A65,門市總表!$A:$C,2,FALSE)</f>
        <v>#N/A</v>
      </c>
      <c r="C65" s="71">
        <v>46023</v>
      </c>
      <c r="D65" s="25" t="s">
        <v>4964</v>
      </c>
    </row>
    <row r="66" spans="2:4" ht="15.6" customHeight="1">
      <c r="B66" s="24" t="e">
        <f>VLOOKUP($A66,門市總表!$A:$C,2,FALSE)</f>
        <v>#N/A</v>
      </c>
      <c r="C66" s="71">
        <v>46023</v>
      </c>
      <c r="D66" s="25" t="s">
        <v>4964</v>
      </c>
    </row>
    <row r="67" spans="2:4" ht="15.6" customHeight="1">
      <c r="B67" s="24" t="e">
        <f>VLOOKUP($A67,門市總表!$A:$C,2,FALSE)</f>
        <v>#N/A</v>
      </c>
      <c r="C67" s="71">
        <v>46023</v>
      </c>
      <c r="D67" s="25" t="s">
        <v>4964</v>
      </c>
    </row>
    <row r="68" spans="2:4" ht="15.6" customHeight="1">
      <c r="B68" s="24" t="e">
        <f>VLOOKUP($A68,門市總表!$A:$C,2,FALSE)</f>
        <v>#N/A</v>
      </c>
      <c r="C68" s="71">
        <v>46023</v>
      </c>
      <c r="D68" s="25" t="s">
        <v>4964</v>
      </c>
    </row>
    <row r="69" spans="2:4" ht="15.6" customHeight="1">
      <c r="B69" s="24" t="e">
        <f>VLOOKUP($A69,門市總表!$A:$C,2,FALSE)</f>
        <v>#N/A</v>
      </c>
      <c r="C69" s="71">
        <v>46023</v>
      </c>
      <c r="D69" s="25" t="s">
        <v>4964</v>
      </c>
    </row>
    <row r="70" spans="2:4" ht="15.6" customHeight="1">
      <c r="B70" s="24" t="e">
        <f>VLOOKUP($A70,門市總表!$A:$C,2,FALSE)</f>
        <v>#N/A</v>
      </c>
      <c r="C70" s="71">
        <v>46023</v>
      </c>
      <c r="D70" s="25" t="s">
        <v>4964</v>
      </c>
    </row>
    <row r="71" spans="2:4" ht="15.6" customHeight="1">
      <c r="B71" s="24" t="e">
        <f>VLOOKUP($A71,門市總表!$A:$C,2,FALSE)</f>
        <v>#N/A</v>
      </c>
      <c r="C71" s="71">
        <v>46023</v>
      </c>
      <c r="D71" s="25" t="s">
        <v>4964</v>
      </c>
    </row>
    <row r="72" spans="2:4" ht="15.6" customHeight="1">
      <c r="B72" s="24" t="e">
        <f>VLOOKUP($A72,門市總表!$A:$C,2,FALSE)</f>
        <v>#N/A</v>
      </c>
      <c r="C72" s="71">
        <v>46023</v>
      </c>
      <c r="D72" s="25" t="s">
        <v>4964</v>
      </c>
    </row>
    <row r="73" spans="2:4" ht="15.6" customHeight="1">
      <c r="B73" s="24" t="e">
        <f>VLOOKUP($A73,門市總表!$A:$C,2,FALSE)</f>
        <v>#N/A</v>
      </c>
      <c r="C73" s="71">
        <v>46023</v>
      </c>
      <c r="D73" s="25" t="s">
        <v>4964</v>
      </c>
    </row>
    <row r="74" spans="2:4" ht="15.6" customHeight="1">
      <c r="B74" s="24" t="e">
        <f>VLOOKUP($A74,門市總表!$A:$C,2,FALSE)</f>
        <v>#N/A</v>
      </c>
      <c r="C74" s="71">
        <v>46023</v>
      </c>
      <c r="D74" s="25" t="s">
        <v>4964</v>
      </c>
    </row>
    <row r="75" spans="2:4" ht="15.6" customHeight="1">
      <c r="B75" s="24" t="e">
        <f>VLOOKUP($A75,門市總表!$A:$C,2,FALSE)</f>
        <v>#N/A</v>
      </c>
      <c r="C75" s="71">
        <v>46023</v>
      </c>
      <c r="D75" s="25" t="s">
        <v>4964</v>
      </c>
    </row>
    <row r="76" spans="2:4" ht="15.6" customHeight="1">
      <c r="B76" s="24" t="e">
        <f>VLOOKUP($A76,門市總表!$A:$C,2,FALSE)</f>
        <v>#N/A</v>
      </c>
      <c r="C76" s="71">
        <v>46023</v>
      </c>
      <c r="D76" s="25" t="s">
        <v>4964</v>
      </c>
    </row>
    <row r="77" spans="2:4" ht="15.6" customHeight="1">
      <c r="B77" s="24" t="e">
        <f>VLOOKUP($A77,門市總表!$A:$C,2,FALSE)</f>
        <v>#N/A</v>
      </c>
      <c r="C77" s="71">
        <v>46023</v>
      </c>
      <c r="D77" s="25" t="s">
        <v>4964</v>
      </c>
    </row>
    <row r="78" spans="2:4" ht="15.6" customHeight="1">
      <c r="B78" s="24" t="e">
        <f>VLOOKUP($A78,門市總表!$A:$C,2,FALSE)</f>
        <v>#N/A</v>
      </c>
      <c r="C78" s="71">
        <v>46023</v>
      </c>
      <c r="D78" s="25" t="s">
        <v>4964</v>
      </c>
    </row>
    <row r="79" spans="2:4" ht="15.6" customHeight="1">
      <c r="B79" s="24" t="e">
        <f>VLOOKUP($A79,門市總表!$A:$C,2,FALSE)</f>
        <v>#N/A</v>
      </c>
      <c r="C79" s="71">
        <v>46023</v>
      </c>
      <c r="D79" s="25" t="s">
        <v>4964</v>
      </c>
    </row>
    <row r="80" spans="2:4" ht="15.6" customHeight="1">
      <c r="B80" s="24" t="e">
        <f>VLOOKUP($A80,門市總表!$A:$C,2,FALSE)</f>
        <v>#N/A</v>
      </c>
      <c r="C80" s="71">
        <v>46023</v>
      </c>
      <c r="D80" s="25" t="s">
        <v>4964</v>
      </c>
    </row>
    <row r="81" spans="2:4" ht="15.6" customHeight="1">
      <c r="B81" s="24" t="e">
        <f>VLOOKUP($A81,門市總表!$A:$C,2,FALSE)</f>
        <v>#N/A</v>
      </c>
      <c r="C81" s="71">
        <v>46023</v>
      </c>
      <c r="D81" s="25" t="s">
        <v>4964</v>
      </c>
    </row>
    <row r="82" spans="2:4" ht="15.6" customHeight="1">
      <c r="B82" s="24" t="e">
        <f>VLOOKUP($A82,門市總表!$A:$C,2,FALSE)</f>
        <v>#N/A</v>
      </c>
      <c r="C82" s="71">
        <v>46023</v>
      </c>
      <c r="D82" s="25" t="s">
        <v>4964</v>
      </c>
    </row>
    <row r="83" spans="2:4" ht="15.6" customHeight="1">
      <c r="B83" s="24" t="e">
        <f>VLOOKUP($A83,門市總表!$A:$C,2,FALSE)</f>
        <v>#N/A</v>
      </c>
      <c r="C83" s="71">
        <v>46023</v>
      </c>
      <c r="D83" s="25" t="s">
        <v>4964</v>
      </c>
    </row>
    <row r="84" spans="2:4" ht="15.6" customHeight="1">
      <c r="B84" s="24" t="e">
        <f>VLOOKUP($A84,門市總表!$A:$C,2,FALSE)</f>
        <v>#N/A</v>
      </c>
      <c r="C84" s="71">
        <v>46023</v>
      </c>
      <c r="D84" s="25" t="s">
        <v>4964</v>
      </c>
    </row>
    <row r="85" spans="2:4" ht="15.6" customHeight="1">
      <c r="B85" s="24" t="e">
        <f>VLOOKUP($A85,門市總表!$A:$C,2,FALSE)</f>
        <v>#N/A</v>
      </c>
      <c r="C85" s="71">
        <v>46023</v>
      </c>
      <c r="D85" s="25" t="s">
        <v>4964</v>
      </c>
    </row>
    <row r="86" spans="2:4" ht="15.6" customHeight="1">
      <c r="B86" s="24" t="e">
        <f>VLOOKUP($A86,門市總表!$A:$C,2,FALSE)</f>
        <v>#N/A</v>
      </c>
      <c r="C86" s="71">
        <v>46023</v>
      </c>
      <c r="D86" s="25" t="s">
        <v>4964</v>
      </c>
    </row>
    <row r="87" spans="2:4" ht="15.6" customHeight="1">
      <c r="B87" s="24" t="e">
        <f>VLOOKUP($A87,門市總表!$A:$C,2,FALSE)</f>
        <v>#N/A</v>
      </c>
      <c r="C87" s="71">
        <v>46023</v>
      </c>
      <c r="D87" s="25" t="s">
        <v>4964</v>
      </c>
    </row>
    <row r="88" spans="2:4" ht="15.6" customHeight="1">
      <c r="B88" s="24" t="e">
        <f>VLOOKUP($A88,門市總表!$A:$C,2,FALSE)</f>
        <v>#N/A</v>
      </c>
      <c r="C88" s="71">
        <v>46023</v>
      </c>
      <c r="D88" s="25" t="s">
        <v>4964</v>
      </c>
    </row>
    <row r="89" spans="2:4" ht="15.6" customHeight="1">
      <c r="B89" s="24" t="e">
        <f>VLOOKUP($A89,門市總表!$A:$C,2,FALSE)</f>
        <v>#N/A</v>
      </c>
      <c r="C89" s="71">
        <v>46023</v>
      </c>
      <c r="D89" s="25" t="s">
        <v>4964</v>
      </c>
    </row>
    <row r="90" spans="2:4" ht="15.6" customHeight="1">
      <c r="B90" s="24" t="e">
        <f>VLOOKUP($A90,門市總表!$A:$C,2,FALSE)</f>
        <v>#N/A</v>
      </c>
      <c r="C90" s="71">
        <v>46023</v>
      </c>
      <c r="D90" s="25" t="s">
        <v>4964</v>
      </c>
    </row>
    <row r="91" spans="2:4" ht="15.6" customHeight="1">
      <c r="B91" s="24" t="e">
        <f>VLOOKUP($A91,門市總表!$A:$C,2,FALSE)</f>
        <v>#N/A</v>
      </c>
      <c r="C91" s="71">
        <v>46023</v>
      </c>
      <c r="D91" s="25" t="s">
        <v>4964</v>
      </c>
    </row>
    <row r="92" spans="2:4" ht="15.6" customHeight="1">
      <c r="B92" s="24" t="e">
        <f>VLOOKUP($A92,門市總表!$A:$C,2,FALSE)</f>
        <v>#N/A</v>
      </c>
      <c r="C92" s="71">
        <v>46023</v>
      </c>
      <c r="D92" s="25" t="s">
        <v>4964</v>
      </c>
    </row>
    <row r="93" spans="2:4" ht="15.6" customHeight="1">
      <c r="B93" s="24" t="e">
        <f>VLOOKUP($A93,門市總表!$A:$C,2,FALSE)</f>
        <v>#N/A</v>
      </c>
      <c r="C93" s="71">
        <v>46023</v>
      </c>
      <c r="D93" s="25" t="s">
        <v>4964</v>
      </c>
    </row>
    <row r="94" spans="2:4" ht="15.6" customHeight="1">
      <c r="B94" s="24" t="e">
        <f>VLOOKUP($A94,門市總表!$A:$C,2,FALSE)</f>
        <v>#N/A</v>
      </c>
      <c r="C94" s="71">
        <v>46023</v>
      </c>
      <c r="D94" s="25" t="s">
        <v>4964</v>
      </c>
    </row>
    <row r="95" spans="2:4" ht="15.6" customHeight="1">
      <c r="B95" s="24" t="e">
        <f>VLOOKUP($A95,門市總表!$A:$C,2,FALSE)</f>
        <v>#N/A</v>
      </c>
      <c r="C95" s="71">
        <v>46023</v>
      </c>
      <c r="D95" s="25" t="s">
        <v>4964</v>
      </c>
    </row>
    <row r="96" spans="2:4" ht="15.6" customHeight="1">
      <c r="B96" s="24" t="e">
        <f>VLOOKUP($A96,門市總表!$A:$C,2,FALSE)</f>
        <v>#N/A</v>
      </c>
      <c r="C96" s="71">
        <v>46023</v>
      </c>
      <c r="D96" s="25" t="s">
        <v>4964</v>
      </c>
    </row>
    <row r="97" spans="2:4" ht="15.6" customHeight="1">
      <c r="B97" s="24" t="e">
        <f>VLOOKUP($A97,門市總表!$A:$C,2,FALSE)</f>
        <v>#N/A</v>
      </c>
      <c r="C97" s="71">
        <v>46023</v>
      </c>
      <c r="D97" s="25" t="s">
        <v>4964</v>
      </c>
    </row>
    <row r="98" spans="2:4" ht="15.6" customHeight="1">
      <c r="B98" s="24" t="e">
        <f>VLOOKUP($A98,門市總表!$A:$C,2,FALSE)</f>
        <v>#N/A</v>
      </c>
      <c r="C98" s="71">
        <v>46023</v>
      </c>
      <c r="D98" s="25" t="s">
        <v>4964</v>
      </c>
    </row>
    <row r="99" spans="2:4" ht="15.6" customHeight="1">
      <c r="B99" s="24" t="e">
        <f>VLOOKUP($A99,門市總表!$A:$C,2,FALSE)</f>
        <v>#N/A</v>
      </c>
      <c r="C99" s="71">
        <v>46023</v>
      </c>
      <c r="D99" s="25" t="s">
        <v>4964</v>
      </c>
    </row>
    <row r="100" spans="2:4" ht="15.6" customHeight="1">
      <c r="B100" s="24" t="e">
        <f>VLOOKUP($A100,門市總表!$A:$C,2,FALSE)</f>
        <v>#N/A</v>
      </c>
      <c r="C100" s="71">
        <v>46023</v>
      </c>
      <c r="D100" s="25" t="s">
        <v>4964</v>
      </c>
    </row>
    <row r="101" spans="2:4" ht="15.6" customHeight="1">
      <c r="B101" s="24" t="e">
        <f>VLOOKUP($A101,門市總表!$A:$C,2,FALSE)</f>
        <v>#N/A</v>
      </c>
      <c r="C101" s="71">
        <v>46023</v>
      </c>
      <c r="D101" s="25" t="s">
        <v>4964</v>
      </c>
    </row>
    <row r="102" spans="2:4" ht="15.6" customHeight="1">
      <c r="B102" s="24" t="e">
        <f>VLOOKUP($A102,門市總表!$A:$C,2,FALSE)</f>
        <v>#N/A</v>
      </c>
      <c r="C102" s="71">
        <v>46023</v>
      </c>
      <c r="D102" s="25" t="s">
        <v>4964</v>
      </c>
    </row>
  </sheetData>
  <autoFilter ref="G1:I1" xr:uid="{00000000-0009-0000-0000-00000B000000}">
    <sortState xmlns:xlrd2="http://schemas.microsoft.com/office/spreadsheetml/2017/richdata2" ref="G2:I18">
      <sortCondition ref="H1"/>
    </sortState>
  </autoFilter>
  <phoneticPr fontId="45" type="noConversion"/>
  <conditionalFormatting sqref="A4">
    <cfRule type="duplicateValues" dxfId="345" priority="7"/>
  </conditionalFormatting>
  <conditionalFormatting sqref="A5">
    <cfRule type="duplicateValues" dxfId="344" priority="6"/>
  </conditionalFormatting>
  <conditionalFormatting sqref="A3">
    <cfRule type="duplicateValues" dxfId="343" priority="5"/>
  </conditionalFormatting>
  <conditionalFormatting sqref="A31:A32">
    <cfRule type="duplicateValues" dxfId="342" priority="4"/>
  </conditionalFormatting>
  <conditionalFormatting sqref="A28">
    <cfRule type="duplicateValues" dxfId="341" priority="2"/>
  </conditionalFormatting>
  <conditionalFormatting sqref="A26:A27">
    <cfRule type="duplicateValues" dxfId="340" priority="3"/>
  </conditionalFormatting>
  <conditionalFormatting sqref="A1:A2 A6:A10 A18:A20 A23:A25 A35:A36">
    <cfRule type="duplicateValues" dxfId="339" priority="8"/>
  </conditionalFormatting>
  <conditionalFormatting sqref="A11:A13 A16">
    <cfRule type="duplicateValues" dxfId="338" priority="1"/>
  </conditionalFormatting>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2"/>
  <dimension ref="A1:AI310"/>
  <sheetViews>
    <sheetView zoomScale="90" zoomScaleNormal="90" workbookViewId="0">
      <pane ySplit="1" topLeftCell="A2" activePane="bottomLeft" state="frozen"/>
      <selection pane="bottomLeft" activeCell="W8" sqref="W8"/>
    </sheetView>
  </sheetViews>
  <sheetFormatPr defaultColWidth="8.19921875" defaultRowHeight="21.6" customHeight="1"/>
  <cols>
    <col min="1" max="1" width="5.69921875" style="5" customWidth="1"/>
    <col min="2" max="2" width="7.09765625" style="2" customWidth="1"/>
    <col min="3" max="3" width="11.296875" style="4" customWidth="1"/>
    <col min="4" max="4" width="5.796875" style="4" bestFit="1" customWidth="1"/>
    <col min="5" max="5" width="13" style="257" hidden="1" customWidth="1"/>
    <col min="6" max="6" width="8.19921875" style="4" hidden="1" customWidth="1"/>
    <col min="7" max="7" width="4.8984375" style="4" hidden="1" customWidth="1"/>
    <col min="8" max="8" width="6.59765625" style="4" hidden="1" customWidth="1"/>
    <col min="9" max="9" width="13.796875" style="4" hidden="1" customWidth="1"/>
    <col min="10" max="10" width="11.796875" style="5" customWidth="1"/>
    <col min="11" max="11" width="14.09765625" style="368" hidden="1" customWidth="1"/>
    <col min="12" max="12" width="8.19921875" style="218" hidden="1" customWidth="1"/>
    <col min="13" max="13" width="13.796875" style="368" hidden="1" customWidth="1"/>
    <col min="14" max="14" width="8.19921875" style="218" hidden="1" customWidth="1"/>
    <col min="15" max="15" width="12.69921875" style="258" hidden="1" customWidth="1"/>
    <col min="16" max="16" width="8.19921875" style="258" hidden="1" customWidth="1"/>
    <col min="17" max="18" width="12.69921875" style="258" hidden="1" customWidth="1"/>
    <col min="19" max="20" width="13" style="258" hidden="1" customWidth="1"/>
    <col min="21" max="21" width="8.19921875" style="260" customWidth="1"/>
    <col min="22" max="22" width="8.19921875" style="258" customWidth="1"/>
    <col min="23" max="23" width="25.59765625" style="258" customWidth="1"/>
    <col min="24" max="25" width="8.19921875" style="258" customWidth="1"/>
    <col min="26" max="27" width="8.19921875" style="218" customWidth="1"/>
    <col min="28" max="28" width="13.5" style="218" bestFit="1" customWidth="1"/>
    <col min="29" max="29" width="9.69921875" style="2" bestFit="1" customWidth="1"/>
    <col min="30" max="31" width="12.59765625" style="218" customWidth="1"/>
    <col min="32" max="32" width="11.09765625" style="258" bestFit="1" customWidth="1"/>
    <col min="33" max="33" width="9.296875" style="258" bestFit="1" customWidth="1"/>
    <col min="34" max="34" width="8.19921875" style="258" customWidth="1"/>
    <col min="35" max="35" width="9.8984375" style="258" bestFit="1" customWidth="1"/>
    <col min="36" max="367" width="8.19921875" style="258" customWidth="1"/>
    <col min="368" max="16384" width="8.19921875" style="258"/>
  </cols>
  <sheetData>
    <row r="1" spans="1:34" ht="21.6" customHeight="1">
      <c r="A1" s="2" t="s">
        <v>4966</v>
      </c>
      <c r="B1" s="2" t="s">
        <v>141</v>
      </c>
      <c r="C1" s="3" t="s">
        <v>142</v>
      </c>
      <c r="D1" s="2" t="s">
        <v>4967</v>
      </c>
      <c r="F1" s="2" t="s">
        <v>4968</v>
      </c>
      <c r="G1" s="2" t="s">
        <v>4969</v>
      </c>
      <c r="H1" s="2" t="s">
        <v>4970</v>
      </c>
      <c r="I1" s="2" t="s">
        <v>4971</v>
      </c>
      <c r="J1" s="2" t="s">
        <v>4972</v>
      </c>
      <c r="K1" s="368" t="s">
        <v>4973</v>
      </c>
      <c r="L1" s="217" t="s">
        <v>4974</v>
      </c>
      <c r="M1" s="368" t="s">
        <v>4975</v>
      </c>
      <c r="N1" s="218" t="s">
        <v>4976</v>
      </c>
      <c r="O1" s="219" t="s">
        <v>141</v>
      </c>
      <c r="P1" s="219" t="s">
        <v>4977</v>
      </c>
      <c r="Q1" s="219" t="s">
        <v>4978</v>
      </c>
      <c r="R1" s="219" t="s">
        <v>4979</v>
      </c>
      <c r="S1" s="219" t="s">
        <v>4980</v>
      </c>
      <c r="T1" s="219" t="s">
        <v>4979</v>
      </c>
      <c r="U1" s="220" t="s">
        <v>28</v>
      </c>
      <c r="V1" s="221" t="s">
        <v>278</v>
      </c>
      <c r="W1" s="221" t="s">
        <v>3169</v>
      </c>
      <c r="X1" s="221" t="s">
        <v>4981</v>
      </c>
      <c r="Y1" s="221" t="s">
        <v>30</v>
      </c>
      <c r="Z1" s="218" t="s">
        <v>4982</v>
      </c>
      <c r="AA1" s="218" t="s">
        <v>4983</v>
      </c>
      <c r="AB1" s="228" t="s">
        <v>4984</v>
      </c>
      <c r="AC1" s="228" t="s">
        <v>39</v>
      </c>
      <c r="AD1" s="228" t="s">
        <v>140</v>
      </c>
      <c r="AE1" s="228" t="s">
        <v>4985</v>
      </c>
      <c r="AF1" s="228" t="str">
        <f>首頁!B14</f>
        <v>--</v>
      </c>
      <c r="AG1" s="228" t="str">
        <f>首頁!C14</f>
        <v>+L90</v>
      </c>
      <c r="AH1" s="228" t="str">
        <f>首頁!D14</f>
        <v>+721</v>
      </c>
    </row>
    <row r="2" spans="1:34" ht="21.6" customHeight="1">
      <c r="A2" s="2">
        <v>1</v>
      </c>
      <c r="B2" s="2">
        <v>2306</v>
      </c>
      <c r="C2" s="4" t="s">
        <v>1709</v>
      </c>
      <c r="D2" s="2" t="s">
        <v>4986</v>
      </c>
      <c r="F2" s="2" t="s">
        <v>4987</v>
      </c>
      <c r="G2" s="2" t="s">
        <v>4988</v>
      </c>
      <c r="H2" s="78" t="s">
        <v>4989</v>
      </c>
      <c r="I2" s="4" t="s">
        <v>4990</v>
      </c>
      <c r="J2" s="5" t="s">
        <v>4991</v>
      </c>
      <c r="U2" s="222" t="str">
        <f t="shared" ref="U2:U33" si="0">IFERROR(LEFT(J2,FIND("縣",J2)),IFERROR(LEFT(J2,FIND("市",J2)),J2))</f>
        <v>新北市</v>
      </c>
      <c r="V2" s="223" t="str">
        <f t="shared" ref="V2:V65" si="1">IFERROR(
IFERROR(
IFERROR(
MID(J2,FIND("市",J2)+1,IF(FIND("區",J2)-FIND("市",J2)&gt;3,FIND("鄉",J2)-FIND("市",J2),FIND("區",J2)-FIND("市",J2))),
MID(J2,FIND("市",J2)+1,IF(FIND("鎮",J2)-FIND("市",J2)&gt;3,FIND("鄉",J2)-FIND("市",J2),FIND("鎮",J2)-FIND("市",J2)))
),
MID(J2,FIND("市",J2)+1,IF(FIND("鄉",J2)-FIND("市",J2)&gt;3,FIND("區",J2)-FIND("市",J2),FIND("鄉",J2)-FIND("市",J2)))
),
IFERROR(
IFERROR(
IFERROR(
MID(J2,FIND("縣",J2)+1,IF(FIND("區",J2)-FIND("縣",J2)&gt;3,FIND("鄉",J2)-FIND("縣",J2),FIND("區",J2)-FIND("縣",J2))),
MID(J2,FIND("縣",J2)+1,IF(FIND("鎮",J2)-FIND("縣",J2)&gt;3,FIND("鄉",J2)-FIND("縣",J2),FIND("鎮",J2)-FIND("縣",J2)))
),
MID(J2,FIND("縣",J2)+1,IF(FIND("鄉",J2)-FIND("縣",J2)&gt;3,FIND("區",J2)-FIND("縣",J2),FIND("鄉",J2)-FIND("縣",J2)))
),
IFERROR(
MID(J2,FIND("市",J2)+1,IF(FIND("縣",J2)-FIND("市",J2)&gt;3,FIND("鄉",J2)-FIND("市",J2),FIND("縣",J2)-FIND("市",J2))),
MID(J2,FIND("縣",J2)+1,IF(FIND("市",J2)-FIND("縣",J2)&gt;3,FIND("鄉",J2)-FIND("縣",J2),FIND("市",J2)-FIND("縣",J2)))
)))</f>
        <v>八里區</v>
      </c>
      <c r="W2" s="223" t="str">
        <f t="shared" ref="W2:W65" si="2">IFERROR(MID(J2,IFERROR(FIND("鄉",J2),IFERROR(FIND("鎮",J2),FIND("區",J2)))+1,LEN(J2)),IFERROR(MID(J2,FIND("市",J2)+1,LEN(J2)),MID(J2,FIND("縣",J2)+1,LEN(J2))))</f>
        <v>中山路一段177號</v>
      </c>
      <c r="X2" s="2" t="s">
        <v>326</v>
      </c>
      <c r="Y2" s="2" t="str">
        <f>VLOOKUP(V2,門市狀態!G:H,2,FALSE)</f>
        <v>吳宗鴻</v>
      </c>
      <c r="Z2" s="218" t="str">
        <f>IF(D2="FVC7", IF(COUNTIF(特殊門市清單!N:N, B2)=0, "FVC7", VLOOKUP(B2,特殊門市清單!N:T,7,FALSE)), IF(AA2="v","Peplink",""))</f>
        <v/>
      </c>
      <c r="AA2" s="218" t="str">
        <f>IFERROR(VLOOKUP(B2,門市狀態!A:D,4,FALSE),"")</f>
        <v/>
      </c>
      <c r="AB2" s="224" t="str">
        <f>VLOOKUP(B2,門市總表!A:B,2,FALSE)</f>
        <v>八里凱旋門</v>
      </c>
      <c r="AC2" s="225"/>
      <c r="AD2" s="224"/>
      <c r="AE2" s="224"/>
      <c r="AF2" s="224" t="s">
        <v>4992</v>
      </c>
      <c r="AG2" s="248" t="s">
        <v>102</v>
      </c>
      <c r="AH2" s="224" t="s">
        <v>103</v>
      </c>
    </row>
    <row r="3" spans="1:34" ht="21.6" customHeight="1">
      <c r="A3" s="2">
        <v>2</v>
      </c>
      <c r="B3" s="2">
        <v>2442</v>
      </c>
      <c r="C3" s="4" t="s">
        <v>1076</v>
      </c>
      <c r="D3" s="2" t="s">
        <v>4993</v>
      </c>
      <c r="F3" s="2" t="s">
        <v>4987</v>
      </c>
      <c r="G3" s="2" t="s">
        <v>4988</v>
      </c>
      <c r="H3" s="78" t="s">
        <v>4989</v>
      </c>
      <c r="I3" s="4" t="s">
        <v>4994</v>
      </c>
      <c r="J3" s="5" t="s">
        <v>4995</v>
      </c>
      <c r="U3" s="222" t="str">
        <f t="shared" si="0"/>
        <v>新北市</v>
      </c>
      <c r="V3" s="223" t="str">
        <f t="shared" si="1"/>
        <v>八里區</v>
      </c>
      <c r="W3" s="223" t="str">
        <f t="shared" si="2"/>
        <v>商港路46.48號</v>
      </c>
      <c r="X3" s="2" t="s">
        <v>326</v>
      </c>
      <c r="Y3" s="2" t="str">
        <f>VLOOKUP(V3,門市狀態!G:H,2,FALSE)</f>
        <v>吳宗鴻</v>
      </c>
      <c r="Z3" s="218" t="str">
        <f>IF(D3="FVC7", IF(COUNTIF(特殊門市清單!N:N, B3)=0, "FVC7", VLOOKUP(B3,特殊門市清單!N:T,7,FALSE)), IF(AA3="v","Peplink",""))</f>
        <v/>
      </c>
      <c r="AA3" s="218" t="str">
        <f>IFERROR(VLOOKUP(B3,門市狀態!A:D,4,FALSE),"")</f>
        <v/>
      </c>
      <c r="AB3" s="224" t="str">
        <f>VLOOKUP(B3,門市總表!A:B,2,FALSE)</f>
        <v>北縣商港店</v>
      </c>
      <c r="AC3" s="225"/>
      <c r="AD3" s="224"/>
      <c r="AE3" s="224"/>
      <c r="AF3" s="224" t="s">
        <v>4992</v>
      </c>
      <c r="AG3" s="248" t="s">
        <v>102</v>
      </c>
      <c r="AH3" s="224" t="s">
        <v>103</v>
      </c>
    </row>
    <row r="4" spans="1:34" ht="21.6" customHeight="1">
      <c r="A4" s="2">
        <v>3</v>
      </c>
      <c r="B4" s="2">
        <v>4259</v>
      </c>
      <c r="C4" s="4" t="s">
        <v>1713</v>
      </c>
      <c r="D4" s="2" t="s">
        <v>4986</v>
      </c>
      <c r="F4" s="2" t="s">
        <v>4987</v>
      </c>
      <c r="G4" s="2" t="s">
        <v>4988</v>
      </c>
      <c r="H4" s="78" t="s">
        <v>4989</v>
      </c>
      <c r="I4" s="4" t="s">
        <v>4996</v>
      </c>
      <c r="J4" s="5" t="s">
        <v>4997</v>
      </c>
      <c r="U4" s="222" t="str">
        <f t="shared" si="0"/>
        <v>新北市</v>
      </c>
      <c r="V4" s="223" t="str">
        <f t="shared" si="1"/>
        <v>八里區</v>
      </c>
      <c r="W4" s="223" t="str">
        <f t="shared" si="2"/>
        <v>中山路1段125、127號1樓</v>
      </c>
      <c r="X4" s="2" t="s">
        <v>326</v>
      </c>
      <c r="Y4" s="2" t="str">
        <f>VLOOKUP(V4,門市狀態!G:H,2,FALSE)</f>
        <v>吳宗鴻</v>
      </c>
      <c r="Z4" s="218" t="str">
        <f>IF(D4="FVC7", IF(COUNTIF(特殊門市清單!N:N, B4)=0, "FVC7", VLOOKUP(B4,特殊門市清單!N:T,7,FALSE)), IF(AA4="v","Peplink",""))</f>
        <v/>
      </c>
      <c r="AA4" s="218" t="str">
        <f>IFERROR(VLOOKUP(B4,門市狀態!A:D,4,FALSE),"")</f>
        <v/>
      </c>
      <c r="AB4" s="224" t="str">
        <f>VLOOKUP(B4,門市總表!A:B,2,FALSE)</f>
        <v>八里水灣店</v>
      </c>
      <c r="AC4" s="225"/>
      <c r="AD4" s="224"/>
      <c r="AE4" s="224"/>
      <c r="AF4" s="224" t="s">
        <v>4992</v>
      </c>
      <c r="AG4" s="248" t="s">
        <v>102</v>
      </c>
      <c r="AH4" s="224" t="s">
        <v>103</v>
      </c>
    </row>
    <row r="5" spans="1:34" ht="21.6" customHeight="1">
      <c r="A5" s="2">
        <v>4</v>
      </c>
      <c r="B5" s="2">
        <v>4528</v>
      </c>
      <c r="C5" s="4" t="s">
        <v>1718</v>
      </c>
      <c r="D5" s="2" t="s">
        <v>4998</v>
      </c>
      <c r="F5" s="2" t="s">
        <v>4987</v>
      </c>
      <c r="G5" s="2" t="s">
        <v>4988</v>
      </c>
      <c r="H5" s="78" t="s">
        <v>4989</v>
      </c>
      <c r="I5" s="4" t="s">
        <v>4999</v>
      </c>
      <c r="J5" s="5" t="s">
        <v>5000</v>
      </c>
      <c r="U5" s="222" t="str">
        <f t="shared" si="0"/>
        <v>新北市</v>
      </c>
      <c r="V5" s="223" t="str">
        <f t="shared" si="1"/>
        <v>八里區</v>
      </c>
      <c r="W5" s="223" t="str">
        <f t="shared" si="2"/>
        <v>中山路一段43、43-1號</v>
      </c>
      <c r="X5" s="2" t="s">
        <v>326</v>
      </c>
      <c r="Y5" s="2" t="str">
        <f>VLOOKUP(V5,門市狀態!G:H,2,FALSE)</f>
        <v>吳宗鴻</v>
      </c>
      <c r="Z5" s="218" t="str">
        <f>IF(D5="FVC7", IF(COUNTIF(特殊門市清單!N:N, B5)=0, "FVC7", VLOOKUP(B5,特殊門市清單!N:T,7,FALSE)), IF(AA5="v","Peplink",""))</f>
        <v/>
      </c>
      <c r="AA5" s="218" t="str">
        <f>IFERROR(VLOOKUP(B5,門市狀態!A:D,4,FALSE),"")</f>
        <v/>
      </c>
      <c r="AB5" s="224" t="str">
        <f>VLOOKUP(B5,門市總表!A:B,2,FALSE)</f>
        <v>八里鐵塔店</v>
      </c>
      <c r="AC5" s="225"/>
      <c r="AD5" s="224"/>
      <c r="AE5" s="224"/>
      <c r="AF5" s="224" t="s">
        <v>4992</v>
      </c>
      <c r="AG5" s="248" t="s">
        <v>102</v>
      </c>
      <c r="AH5" s="224" t="s">
        <v>103</v>
      </c>
    </row>
    <row r="6" spans="1:34" ht="21.6" customHeight="1">
      <c r="A6" s="2">
        <v>5</v>
      </c>
      <c r="B6" s="2">
        <v>4764</v>
      </c>
      <c r="C6" s="4" t="s">
        <v>1699</v>
      </c>
      <c r="D6" s="2" t="s">
        <v>4998</v>
      </c>
      <c r="F6" s="2" t="s">
        <v>4987</v>
      </c>
      <c r="G6" s="2" t="s">
        <v>4988</v>
      </c>
      <c r="H6" s="78" t="s">
        <v>4989</v>
      </c>
      <c r="I6" s="4" t="s">
        <v>5001</v>
      </c>
      <c r="J6" s="5" t="s">
        <v>5002</v>
      </c>
      <c r="U6" s="222" t="str">
        <f t="shared" si="0"/>
        <v>新北市</v>
      </c>
      <c r="V6" s="223" t="str">
        <f t="shared" si="1"/>
        <v>八里區</v>
      </c>
      <c r="W6" s="223" t="str">
        <f t="shared" si="2"/>
        <v xml:space="preserve">商港路8、10號 </v>
      </c>
      <c r="X6" s="2" t="s">
        <v>326</v>
      </c>
      <c r="Y6" s="2" t="str">
        <f>VLOOKUP(V6,門市狀態!G:H,2,FALSE)</f>
        <v>吳宗鴻</v>
      </c>
      <c r="Z6" s="218" t="str">
        <f>IF(D6="FVC7", IF(COUNTIF(特殊門市清單!N:N, B6)=0, "FVC7", VLOOKUP(B6,特殊門市清單!N:T,7,FALSE)), IF(AA6="v","Peplink",""))</f>
        <v/>
      </c>
      <c r="AA6" s="218" t="str">
        <f>IFERROR(VLOOKUP(B6,門市狀態!A:D,4,FALSE),"")</f>
        <v/>
      </c>
      <c r="AB6" s="224" t="str">
        <f>VLOOKUP(B6,門市總表!A:B,2,FALSE)</f>
        <v>八里大船店</v>
      </c>
      <c r="AC6" s="225"/>
      <c r="AD6" s="224"/>
      <c r="AE6" s="224"/>
      <c r="AF6" s="224" t="s">
        <v>4992</v>
      </c>
      <c r="AG6" s="248" t="s">
        <v>102</v>
      </c>
      <c r="AH6" s="224" t="s">
        <v>103</v>
      </c>
    </row>
    <row r="7" spans="1:34" ht="21.6" customHeight="1">
      <c r="A7" s="2">
        <v>6</v>
      </c>
      <c r="B7" s="2">
        <v>5074</v>
      </c>
      <c r="C7" s="4" t="s">
        <v>1705</v>
      </c>
      <c r="D7" s="2" t="s">
        <v>4998</v>
      </c>
      <c r="F7" s="2" t="s">
        <v>4987</v>
      </c>
      <c r="G7" s="2" t="s">
        <v>4988</v>
      </c>
      <c r="H7" s="78" t="s">
        <v>4989</v>
      </c>
      <c r="I7" s="4" t="s">
        <v>5003</v>
      </c>
      <c r="J7" s="5" t="s">
        <v>5004</v>
      </c>
      <c r="U7" s="222" t="str">
        <f t="shared" si="0"/>
        <v>新北市</v>
      </c>
      <c r="V7" s="223" t="str">
        <f t="shared" si="1"/>
        <v>八里區</v>
      </c>
      <c r="W7" s="223" t="str">
        <f t="shared" si="2"/>
        <v>福德新村1號1樓</v>
      </c>
      <c r="X7" s="2" t="s">
        <v>326</v>
      </c>
      <c r="Y7" s="2" t="str">
        <f>VLOOKUP(V7,門市狀態!G:H,2,FALSE)</f>
        <v>吳宗鴻</v>
      </c>
      <c r="Z7" s="218" t="str">
        <f>IF(D7="FVC7", IF(COUNTIF(特殊門市清單!N:N, B7)=0, "FVC7", VLOOKUP(B7,特殊門市清單!N:T,7,FALSE)), IF(AA7="v","Peplink",""))</f>
        <v/>
      </c>
      <c r="AA7" s="218" t="str">
        <f>IFERROR(VLOOKUP(B7,門市狀態!A:D,4,FALSE),"")</f>
        <v/>
      </c>
      <c r="AB7" s="224" t="str">
        <f>VLOOKUP(B7,門市總表!A:B,2,FALSE)</f>
        <v>八里福德新村</v>
      </c>
      <c r="AC7" s="225"/>
      <c r="AD7" s="224"/>
      <c r="AE7" s="224" t="s">
        <v>4985</v>
      </c>
      <c r="AF7" s="224" t="s">
        <v>4992</v>
      </c>
      <c r="AG7" s="248" t="s">
        <v>102</v>
      </c>
      <c r="AH7" s="224" t="s">
        <v>103</v>
      </c>
    </row>
    <row r="8" spans="1:34" ht="21.6" customHeight="1">
      <c r="A8" s="2">
        <v>7</v>
      </c>
      <c r="B8" s="2">
        <v>3458</v>
      </c>
      <c r="C8" s="4" t="s">
        <v>1726</v>
      </c>
      <c r="D8" s="2" t="s">
        <v>4986</v>
      </c>
      <c r="F8" s="2" t="s">
        <v>5005</v>
      </c>
      <c r="G8" s="2" t="s">
        <v>5006</v>
      </c>
      <c r="H8" s="78" t="s">
        <v>5007</v>
      </c>
      <c r="I8" s="4" t="s">
        <v>5008</v>
      </c>
      <c r="J8" s="5" t="s">
        <v>5009</v>
      </c>
      <c r="U8" s="222" t="str">
        <f t="shared" si="0"/>
        <v>新北市</v>
      </c>
      <c r="V8" s="223" t="str">
        <f t="shared" si="1"/>
        <v>八里區</v>
      </c>
      <c r="W8" s="223" t="str">
        <f t="shared" si="2"/>
        <v>龍米路一段215.217號</v>
      </c>
      <c r="X8" s="2" t="s">
        <v>326</v>
      </c>
      <c r="Y8" s="2" t="str">
        <f>VLOOKUP(V8,門市狀態!G:H,2,FALSE)</f>
        <v>吳宗鴻</v>
      </c>
      <c r="Z8" s="218" t="str">
        <f>IF(D8="FVC7", IF(COUNTIF(特殊門市清單!N:N, B8)=0, "FVC7", VLOOKUP(B8,特殊門市清單!N:T,7,FALSE)), IF(AA8="v","Peplink",""))</f>
        <v/>
      </c>
      <c r="AA8" s="218" t="str">
        <f>IFERROR(VLOOKUP(B8,門市狀態!A:D,4,FALSE),"")</f>
        <v/>
      </c>
      <c r="AB8" s="224" t="str">
        <f>VLOOKUP(B8,門市總表!A:B,2,FALSE)</f>
        <v>八里龍米店</v>
      </c>
      <c r="AC8" s="225"/>
      <c r="AD8" s="224"/>
      <c r="AE8" s="224"/>
      <c r="AF8" s="224" t="s">
        <v>4992</v>
      </c>
      <c r="AG8" s="248" t="s">
        <v>102</v>
      </c>
      <c r="AH8" s="224" t="s">
        <v>103</v>
      </c>
    </row>
    <row r="9" spans="1:34" ht="21.6" customHeight="1">
      <c r="A9" s="2">
        <v>8</v>
      </c>
      <c r="B9" s="2">
        <v>4243</v>
      </c>
      <c r="C9" s="4" t="s">
        <v>1722</v>
      </c>
      <c r="D9" s="2" t="s">
        <v>4986</v>
      </c>
      <c r="F9" s="2" t="s">
        <v>5005</v>
      </c>
      <c r="G9" s="2" t="s">
        <v>5006</v>
      </c>
      <c r="H9" s="78" t="s">
        <v>5007</v>
      </c>
      <c r="I9" s="4" t="s">
        <v>5010</v>
      </c>
      <c r="J9" s="5" t="s">
        <v>5011</v>
      </c>
      <c r="U9" s="222" t="str">
        <f t="shared" si="0"/>
        <v>新北市</v>
      </c>
      <c r="V9" s="223" t="str">
        <f t="shared" si="1"/>
        <v>八里區</v>
      </c>
      <c r="W9" s="223" t="str">
        <f t="shared" si="2"/>
        <v>龍米路二段57、59號</v>
      </c>
      <c r="X9" s="2" t="s">
        <v>326</v>
      </c>
      <c r="Y9" s="2" t="str">
        <f>VLOOKUP(V9,門市狀態!G:H,2,FALSE)</f>
        <v>吳宗鴻</v>
      </c>
      <c r="Z9" s="218" t="str">
        <f>IF(D9="FVC7", IF(COUNTIF(特殊門市清單!N:N, B9)=0, "FVC7", VLOOKUP(B9,特殊門市清單!N:T,7,FALSE)), IF(AA9="v","Peplink",""))</f>
        <v/>
      </c>
      <c r="AA9" s="218" t="str">
        <f>IFERROR(VLOOKUP(B9,門市狀態!A:D,4,FALSE),"")</f>
        <v/>
      </c>
      <c r="AB9" s="224" t="str">
        <f>VLOOKUP(B9,門市總表!A:B,2,FALSE)</f>
        <v>八里聖心店</v>
      </c>
      <c r="AC9" s="225"/>
      <c r="AD9" s="224"/>
      <c r="AE9" s="224"/>
      <c r="AF9" s="224" t="s">
        <v>4992</v>
      </c>
      <c r="AG9" s="248" t="s">
        <v>102</v>
      </c>
      <c r="AH9" s="224" t="s">
        <v>103</v>
      </c>
    </row>
    <row r="10" spans="1:34" ht="21.6" customHeight="1">
      <c r="A10" s="2">
        <v>9</v>
      </c>
      <c r="B10" s="2">
        <v>2237</v>
      </c>
      <c r="C10" s="4" t="s">
        <v>151</v>
      </c>
      <c r="D10" s="2" t="s">
        <v>4986</v>
      </c>
      <c r="F10" s="2" t="s">
        <v>5012</v>
      </c>
      <c r="G10" s="2" t="s">
        <v>5013</v>
      </c>
      <c r="H10" s="78" t="s">
        <v>5014</v>
      </c>
      <c r="I10" s="4" t="s">
        <v>5015</v>
      </c>
      <c r="J10" s="5" t="s">
        <v>5016</v>
      </c>
      <c r="U10" s="222" t="str">
        <f t="shared" si="0"/>
        <v>新北市</v>
      </c>
      <c r="V10" s="223" t="str">
        <f t="shared" si="1"/>
        <v>三芝區</v>
      </c>
      <c r="W10" s="223" t="str">
        <f t="shared" si="2"/>
        <v>中正路一段68號</v>
      </c>
      <c r="X10" s="2" t="s">
        <v>326</v>
      </c>
      <c r="Y10" s="2" t="str">
        <f>VLOOKUP(V10,門市狀態!G:H,2,FALSE)</f>
        <v>吳宗鴻</v>
      </c>
      <c r="Z10" s="218" t="str">
        <f>IF(D10="FVC7", IF(COUNTIF(特殊門市清單!N:N, B10)=0, "FVC7", VLOOKUP(B10,特殊門市清單!N:T,7,FALSE)), IF(AA10="v","Peplink",""))</f>
        <v/>
      </c>
      <c r="AA10" s="218" t="str">
        <f>IFERROR(VLOOKUP(B10,門市狀態!A:D,4,FALSE),"")</f>
        <v>撤店</v>
      </c>
      <c r="AB10" s="224" t="str">
        <f>VLOOKUP(B10,門市總表!A:B,2,FALSE)</f>
        <v>三芝芝蘭店</v>
      </c>
      <c r="AC10" s="225"/>
      <c r="AD10" s="224"/>
      <c r="AE10" s="224"/>
      <c r="AF10" s="224" t="s">
        <v>4992</v>
      </c>
      <c r="AG10" s="248" t="s">
        <v>102</v>
      </c>
      <c r="AH10" s="224" t="s">
        <v>103</v>
      </c>
    </row>
    <row r="11" spans="1:34" ht="21.6" customHeight="1">
      <c r="A11" s="2">
        <v>10</v>
      </c>
      <c r="B11" s="2">
        <v>4844</v>
      </c>
      <c r="C11" s="4" t="s">
        <v>2037</v>
      </c>
      <c r="D11" s="2" t="s">
        <v>4986</v>
      </c>
      <c r="F11" s="2" t="s">
        <v>5012</v>
      </c>
      <c r="G11" s="2" t="s">
        <v>5013</v>
      </c>
      <c r="H11" s="78" t="s">
        <v>5014</v>
      </c>
      <c r="I11" s="4" t="s">
        <v>5017</v>
      </c>
      <c r="J11" s="5" t="s">
        <v>5018</v>
      </c>
      <c r="U11" s="222" t="str">
        <f t="shared" si="0"/>
        <v>新北市</v>
      </c>
      <c r="V11" s="223" t="str">
        <f t="shared" si="1"/>
        <v>三芝區</v>
      </c>
      <c r="W11" s="223" t="str">
        <f t="shared" si="2"/>
        <v>田心子2號</v>
      </c>
      <c r="X11" s="2" t="s">
        <v>326</v>
      </c>
      <c r="Y11" s="2" t="str">
        <f>VLOOKUP(V11,門市狀態!G:H,2,FALSE)</f>
        <v>吳宗鴻</v>
      </c>
      <c r="Z11" s="218" t="str">
        <f>IF(D11="FVC7", IF(COUNTIF(特殊門市清單!N:N, B11)=0, "FVC7", VLOOKUP(B11,特殊門市清單!N:T,7,FALSE)), IF(AA11="v","Peplink",""))</f>
        <v/>
      </c>
      <c r="AA11" s="218" t="str">
        <f>IFERROR(VLOOKUP(B11,門市狀態!A:D,4,FALSE),"")</f>
        <v/>
      </c>
      <c r="AB11" s="224" t="str">
        <f>VLOOKUP(B11,門市總表!A:B,2,FALSE)</f>
        <v>三芝天涯店</v>
      </c>
      <c r="AC11" s="225"/>
      <c r="AD11" s="224"/>
      <c r="AE11" s="224" t="s">
        <v>4985</v>
      </c>
      <c r="AF11" s="224" t="s">
        <v>4992</v>
      </c>
      <c r="AG11" s="248" t="s">
        <v>102</v>
      </c>
      <c r="AH11" s="224" t="s">
        <v>103</v>
      </c>
    </row>
    <row r="12" spans="1:34" ht="21.6" customHeight="1">
      <c r="A12" s="2">
        <v>11</v>
      </c>
      <c r="B12" s="2">
        <v>5080</v>
      </c>
      <c r="C12" s="4" t="s">
        <v>201</v>
      </c>
      <c r="D12" s="2" t="s">
        <v>4993</v>
      </c>
      <c r="F12" s="2" t="s">
        <v>5012</v>
      </c>
      <c r="G12" s="2" t="s">
        <v>5013</v>
      </c>
      <c r="H12" s="78" t="s">
        <v>5014</v>
      </c>
      <c r="I12" s="4" t="s">
        <v>5019</v>
      </c>
      <c r="J12" s="5" t="s">
        <v>5020</v>
      </c>
      <c r="U12" s="222" t="str">
        <f t="shared" si="0"/>
        <v>新北市</v>
      </c>
      <c r="V12" s="223" t="str">
        <f t="shared" si="1"/>
        <v>三芝區</v>
      </c>
      <c r="W12" s="223" t="str">
        <f t="shared" si="2"/>
        <v>車埕69之6、7號</v>
      </c>
      <c r="X12" s="2" t="s">
        <v>326</v>
      </c>
      <c r="Y12" s="2" t="str">
        <f>VLOOKUP(V12,門市狀態!G:H,2,FALSE)</f>
        <v>吳宗鴻</v>
      </c>
      <c r="Z12" s="218" t="str">
        <f>IF(D12="FVC7", IF(COUNTIF(特殊門市清單!N:N, B12)=0, "FVC7", VLOOKUP(B12,特殊門市清單!N:T,7,FALSE)), IF(AA12="v","Peplink",""))</f>
        <v/>
      </c>
      <c r="AA12" s="218" t="str">
        <f>IFERROR(VLOOKUP(B12,門市狀態!A:D,4,FALSE),"")</f>
        <v/>
      </c>
      <c r="AB12" s="224" t="str">
        <f>VLOOKUP(B12,門市總表!A:B,2,FALSE)</f>
        <v>三芝楓愛林</v>
      </c>
      <c r="AC12" s="225"/>
      <c r="AD12" s="224"/>
      <c r="AE12" s="224" t="s">
        <v>4985</v>
      </c>
      <c r="AF12" s="224" t="s">
        <v>4992</v>
      </c>
      <c r="AG12" s="248" t="s">
        <v>102</v>
      </c>
      <c r="AH12" s="224" t="s">
        <v>103</v>
      </c>
    </row>
    <row r="13" spans="1:34" ht="21.6" customHeight="1">
      <c r="A13" s="2">
        <v>12</v>
      </c>
      <c r="B13" s="2">
        <v>4845</v>
      </c>
      <c r="C13" s="4" t="s">
        <v>2288</v>
      </c>
      <c r="D13" s="2" t="s">
        <v>4993</v>
      </c>
      <c r="F13" s="2" t="s">
        <v>5012</v>
      </c>
      <c r="G13" s="2" t="s">
        <v>5013</v>
      </c>
      <c r="H13" s="78" t="s">
        <v>5014</v>
      </c>
      <c r="I13" s="4" t="s">
        <v>5021</v>
      </c>
      <c r="J13" s="5" t="s">
        <v>5022</v>
      </c>
      <c r="U13" s="222" t="str">
        <f t="shared" si="0"/>
        <v>新北市</v>
      </c>
      <c r="V13" s="223" t="str">
        <f t="shared" si="1"/>
        <v>石門區</v>
      </c>
      <c r="W13" s="223" t="str">
        <f t="shared" si="2"/>
        <v xml:space="preserve">草里里1鄰阿里荖6之2號 </v>
      </c>
      <c r="X13" s="2" t="s">
        <v>326</v>
      </c>
      <c r="Y13" s="2" t="str">
        <f>VLOOKUP(V13,門市狀態!G:H,2,FALSE)</f>
        <v>吳宗鴻</v>
      </c>
      <c r="Z13" s="218" t="str">
        <f>IF(D13="FVC7", IF(COUNTIF(特殊門市清單!N:N, B13)=0, "FVC7", VLOOKUP(B13,特殊門市清單!N:T,7,FALSE)), IF(AA13="v","Peplink",""))</f>
        <v/>
      </c>
      <c r="AA13" s="218" t="str">
        <f>IFERROR(VLOOKUP(B13,門市狀態!A:D,4,FALSE),"")</f>
        <v/>
      </c>
      <c r="AB13" s="224" t="str">
        <f>VLOOKUP(B13,門市總表!A:B,2,FALSE)</f>
        <v>石門海角店</v>
      </c>
      <c r="AC13" s="259"/>
      <c r="AD13" s="224"/>
      <c r="AE13" s="224" t="s">
        <v>4985</v>
      </c>
      <c r="AF13" s="224" t="s">
        <v>4992</v>
      </c>
      <c r="AG13" s="248" t="s">
        <v>102</v>
      </c>
      <c r="AH13" s="224" t="s">
        <v>103</v>
      </c>
    </row>
    <row r="14" spans="1:34" ht="21.6" customHeight="1">
      <c r="A14" s="2">
        <v>13</v>
      </c>
      <c r="B14" s="2">
        <v>3243</v>
      </c>
      <c r="C14" s="4" t="s">
        <v>1990</v>
      </c>
      <c r="D14" s="2" t="s">
        <v>5023</v>
      </c>
      <c r="F14" s="2" t="s">
        <v>5005</v>
      </c>
      <c r="G14" s="2" t="s">
        <v>5024</v>
      </c>
      <c r="H14" s="78" t="s">
        <v>5025</v>
      </c>
      <c r="I14" s="4" t="s">
        <v>5026</v>
      </c>
      <c r="J14" s="5" t="s">
        <v>5027</v>
      </c>
      <c r="U14" s="222" t="str">
        <f t="shared" si="0"/>
        <v>新北市</v>
      </c>
      <c r="V14" s="223" t="str">
        <f t="shared" si="1"/>
        <v>林口區</v>
      </c>
      <c r="W14" s="223" t="str">
        <f t="shared" si="2"/>
        <v>粉寮路一段101號(醒吾科技大學內生活大樓一樓餐飲中心美食廣場)</v>
      </c>
      <c r="X14" s="2" t="s">
        <v>326</v>
      </c>
      <c r="Y14" s="2" t="str">
        <f>VLOOKUP(V14,門市狀態!G:H,2,FALSE)</f>
        <v>吳宗鴻</v>
      </c>
      <c r="Z14" s="218" t="s">
        <v>66</v>
      </c>
      <c r="AA14" s="218" t="str">
        <f>IFERROR(VLOOKUP(B14,門市狀態!A:D,4,FALSE),"")</f>
        <v/>
      </c>
      <c r="AB14" s="224" t="str">
        <f>VLOOKUP(B14,門市總表!A:B,2,FALSE)</f>
        <v>北縣醒吾店</v>
      </c>
      <c r="AC14" s="259"/>
      <c r="AD14" s="224" t="s">
        <v>66</v>
      </c>
      <c r="AE14" s="224"/>
      <c r="AF14" s="224" t="s">
        <v>4992</v>
      </c>
      <c r="AG14" s="248" t="s">
        <v>102</v>
      </c>
      <c r="AH14" s="224" t="s">
        <v>103</v>
      </c>
    </row>
    <row r="15" spans="1:34" ht="21.6" customHeight="1">
      <c r="A15" s="2">
        <v>14</v>
      </c>
      <c r="B15" s="2" t="s">
        <v>46</v>
      </c>
      <c r="C15" s="4" t="s">
        <v>337</v>
      </c>
      <c r="D15" s="2" t="s">
        <v>4982</v>
      </c>
      <c r="F15" s="2" t="s">
        <v>5005</v>
      </c>
      <c r="G15" s="2" t="s">
        <v>5028</v>
      </c>
      <c r="H15" s="78" t="s">
        <v>5029</v>
      </c>
      <c r="I15" s="4" t="s">
        <v>5030</v>
      </c>
      <c r="J15" s="5" t="s">
        <v>5031</v>
      </c>
      <c r="U15" s="222" t="str">
        <f t="shared" si="0"/>
        <v>新北市</v>
      </c>
      <c r="V15" s="223" t="str">
        <f t="shared" si="1"/>
        <v>林口區</v>
      </c>
      <c r="W15" s="223" t="str">
        <f t="shared" si="2"/>
        <v>文化三路一段394巷12號</v>
      </c>
      <c r="X15" s="2" t="s">
        <v>326</v>
      </c>
      <c r="Y15" s="2" t="str">
        <f>VLOOKUP(V15,門市狀態!G:H,2,FALSE)</f>
        <v>吳宗鴻</v>
      </c>
      <c r="Z15" s="218" t="str">
        <f>IF(D15="FVC7", IF(COUNTIF(特殊門市清單!N:N, B15)=0, "FVC7", VLOOKUP(B15,特殊門市清單!N:T,7,FALSE)), IF(AA15="v","Peplink",""))</f>
        <v>萊到店 WebPOS</v>
      </c>
      <c r="AA15" s="218" t="str">
        <f>IFERROR(VLOOKUP(B15,門市狀態!A:D,4,FALSE),"")</f>
        <v/>
      </c>
      <c r="AB15" s="224" t="str">
        <f>VLOOKUP(B15,門市總表!A:B,2,FALSE)</f>
        <v>車麗屋林口店</v>
      </c>
      <c r="AC15" s="259"/>
      <c r="AD15" s="224"/>
      <c r="AE15" s="224"/>
      <c r="AF15" s="224"/>
      <c r="AG15" s="248"/>
      <c r="AH15" s="224"/>
    </row>
    <row r="16" spans="1:34" ht="21.6" customHeight="1">
      <c r="A16" s="2">
        <v>15</v>
      </c>
      <c r="B16" s="2" t="s">
        <v>49</v>
      </c>
      <c r="C16" s="4" t="s">
        <v>342</v>
      </c>
      <c r="D16" s="2" t="s">
        <v>4982</v>
      </c>
      <c r="F16" s="2" t="s">
        <v>5005</v>
      </c>
      <c r="G16" s="2" t="s">
        <v>5028</v>
      </c>
      <c r="H16" s="78" t="s">
        <v>5029</v>
      </c>
      <c r="I16" s="4" t="s">
        <v>5032</v>
      </c>
      <c r="J16" s="5" t="s">
        <v>5033</v>
      </c>
      <c r="U16" s="222" t="str">
        <f t="shared" si="0"/>
        <v>新北市</v>
      </c>
      <c r="V16" s="223" t="str">
        <f t="shared" si="1"/>
        <v>林口區</v>
      </c>
      <c r="W16" s="223" t="str">
        <f t="shared" si="2"/>
        <v>麗園一街2巷1號地下層</v>
      </c>
      <c r="X16" s="2" t="s">
        <v>326</v>
      </c>
      <c r="Y16" s="2" t="str">
        <f>VLOOKUP(V16,門市狀態!G:H,2,FALSE)</f>
        <v>吳宗鴻</v>
      </c>
      <c r="Z16" s="218" t="str">
        <f>IF(D16="FVC7", IF(COUNTIF(特殊門市清單!N:N, B16)=0, "FVC7", VLOOKUP(B16,特殊門市清單!N:T,7,FALSE)), IF(AA16="v","Peplink",""))</f>
        <v>萊到店 WebPOS</v>
      </c>
      <c r="AA16" s="218" t="str">
        <f>IFERROR(VLOOKUP(B16,門市狀態!A:D,4,FALSE),"")</f>
        <v/>
      </c>
      <c r="AB16" s="224" t="str">
        <f>VLOOKUP(B16,門市總表!A:B,2,FALSE)</f>
        <v>林口顧家店</v>
      </c>
      <c r="AC16" s="259"/>
      <c r="AD16" s="224"/>
      <c r="AE16" s="224"/>
      <c r="AF16" s="224"/>
      <c r="AG16" s="248"/>
      <c r="AH16" s="224"/>
    </row>
    <row r="17" spans="1:34" ht="21.6" customHeight="1">
      <c r="A17" s="2">
        <v>16</v>
      </c>
      <c r="B17" s="2">
        <v>3878</v>
      </c>
      <c r="C17" s="4" t="s">
        <v>354</v>
      </c>
      <c r="D17" s="2" t="s">
        <v>4998</v>
      </c>
      <c r="F17" s="2" t="s">
        <v>5005</v>
      </c>
      <c r="G17" s="2" t="s">
        <v>5024</v>
      </c>
      <c r="H17" s="78" t="s">
        <v>5025</v>
      </c>
      <c r="I17" s="4" t="s">
        <v>5034</v>
      </c>
      <c r="J17" s="5" t="s">
        <v>5035</v>
      </c>
      <c r="U17" s="222" t="str">
        <f t="shared" si="0"/>
        <v>新北市</v>
      </c>
      <c r="V17" s="223" t="str">
        <f t="shared" si="1"/>
        <v>林口區</v>
      </c>
      <c r="W17" s="223" t="str">
        <f t="shared" si="2"/>
        <v>湖北里湖子48號之1壹樓部份</v>
      </c>
      <c r="X17" s="2" t="s">
        <v>326</v>
      </c>
      <c r="Y17" s="2" t="str">
        <f>VLOOKUP(V17,門市狀態!G:H,2,FALSE)</f>
        <v>吳宗鴻</v>
      </c>
      <c r="Z17" s="218" t="str">
        <f>IF(D17="FVC7", IF(COUNTIF(特殊門市清單!N:N, B17)=0, "FVC7", VLOOKUP(B17,特殊門市清單!N:T,7,FALSE)), IF(AA17="v","Peplink",""))</f>
        <v/>
      </c>
      <c r="AA17" s="218" t="str">
        <f>IFERROR(VLOOKUP(B17,門市狀態!A:D,4,FALSE),"")</f>
        <v/>
      </c>
      <c r="AB17" s="224" t="str">
        <f>VLOOKUP(B17,門市總表!A:B,2,FALSE)</f>
        <v>林口清梅店</v>
      </c>
      <c r="AC17" s="259"/>
      <c r="AD17" s="224"/>
      <c r="AE17" s="224"/>
      <c r="AF17" s="224" t="s">
        <v>4992</v>
      </c>
      <c r="AG17" s="248" t="s">
        <v>102</v>
      </c>
      <c r="AH17" s="224" t="s">
        <v>103</v>
      </c>
    </row>
    <row r="18" spans="1:34" ht="21.6" customHeight="1">
      <c r="A18" s="2">
        <v>17</v>
      </c>
      <c r="B18" s="2">
        <v>4057</v>
      </c>
      <c r="C18" s="4" t="s">
        <v>350</v>
      </c>
      <c r="D18" s="2" t="s">
        <v>4986</v>
      </c>
      <c r="F18" s="2" t="s">
        <v>5005</v>
      </c>
      <c r="G18" s="2" t="s">
        <v>5024</v>
      </c>
      <c r="H18" s="78" t="s">
        <v>5025</v>
      </c>
      <c r="I18" s="4" t="s">
        <v>5036</v>
      </c>
      <c r="J18" s="5" t="s">
        <v>5037</v>
      </c>
      <c r="U18" s="222" t="str">
        <f t="shared" si="0"/>
        <v>新北市</v>
      </c>
      <c r="V18" s="223" t="str">
        <f t="shared" si="1"/>
        <v>林口區</v>
      </c>
      <c r="W18" s="223" t="str">
        <f t="shared" si="2"/>
        <v>文化三路一段613、615號1樓全部</v>
      </c>
      <c r="X18" s="2" t="s">
        <v>326</v>
      </c>
      <c r="Y18" s="2" t="str">
        <f>VLOOKUP(V18,門市狀態!G:H,2,FALSE)</f>
        <v>吳宗鴻</v>
      </c>
      <c r="Z18" s="218" t="str">
        <f>IF(D18="FVC7", IF(COUNTIF(特殊門市清單!N:N, B18)=0, "FVC7", VLOOKUP(B18,特殊門市清單!N:T,7,FALSE)), IF(AA18="v","Peplink",""))</f>
        <v/>
      </c>
      <c r="AA18" s="218" t="str">
        <f>IFERROR(VLOOKUP(B18,門市狀態!A:D,4,FALSE),"")</f>
        <v/>
      </c>
      <c r="AB18" s="224" t="str">
        <f>VLOOKUP(B18,門市總表!A:B,2,FALSE)</f>
        <v>林口香澄店</v>
      </c>
      <c r="AC18" s="259"/>
      <c r="AD18" s="224"/>
      <c r="AE18" s="224"/>
      <c r="AF18" s="224" t="s">
        <v>4992</v>
      </c>
      <c r="AG18" s="248" t="s">
        <v>102</v>
      </c>
      <c r="AH18" s="224" t="s">
        <v>103</v>
      </c>
    </row>
    <row r="19" spans="1:34" ht="21.6" customHeight="1">
      <c r="A19" s="2">
        <v>18</v>
      </c>
      <c r="B19" s="2">
        <v>4282</v>
      </c>
      <c r="C19" s="4" t="s">
        <v>1625</v>
      </c>
      <c r="D19" s="2" t="s">
        <v>4998</v>
      </c>
      <c r="F19" s="2" t="s">
        <v>5005</v>
      </c>
      <c r="G19" s="2" t="s">
        <v>5024</v>
      </c>
      <c r="H19" s="78" t="s">
        <v>5025</v>
      </c>
      <c r="I19" s="4" t="s">
        <v>5038</v>
      </c>
      <c r="J19" s="5" t="s">
        <v>5039</v>
      </c>
      <c r="U19" s="222" t="str">
        <f t="shared" si="0"/>
        <v>新北市</v>
      </c>
      <c r="V19" s="223" t="str">
        <f t="shared" si="1"/>
        <v>林口區</v>
      </c>
      <c r="W19" s="223" t="str">
        <f t="shared" si="2"/>
        <v>文化北路一段258號一樓</v>
      </c>
      <c r="X19" s="2" t="s">
        <v>326</v>
      </c>
      <c r="Y19" s="2" t="str">
        <f>VLOOKUP(V19,門市狀態!G:H,2,FALSE)</f>
        <v>吳宗鴻</v>
      </c>
      <c r="Z19" s="218" t="str">
        <f>IF(D19="FVC7", IF(COUNTIF(特殊門市清單!N:N, B19)=0, "FVC7", VLOOKUP(B19,特殊門市清單!N:T,7,FALSE)), IF(AA19="v","Peplink",""))</f>
        <v/>
      </c>
      <c r="AA19" s="218" t="str">
        <f>IFERROR(VLOOKUP(B19,門市狀態!A:D,4,FALSE),"")</f>
        <v/>
      </c>
      <c r="AB19" s="224" t="str">
        <f>VLOOKUP(B19,門市總表!A:B,2,FALSE)</f>
        <v>林口建林店</v>
      </c>
      <c r="AC19" s="259"/>
      <c r="AD19" s="224"/>
      <c r="AE19" s="224"/>
      <c r="AF19" s="224" t="s">
        <v>4992</v>
      </c>
      <c r="AG19" s="248" t="s">
        <v>102</v>
      </c>
      <c r="AH19" s="224" t="s">
        <v>103</v>
      </c>
    </row>
    <row r="20" spans="1:34" ht="21.6" customHeight="1">
      <c r="A20" s="2">
        <v>19</v>
      </c>
      <c r="B20" s="2">
        <v>4326</v>
      </c>
      <c r="C20" s="4" t="s">
        <v>333</v>
      </c>
      <c r="D20" s="2" t="s">
        <v>4998</v>
      </c>
      <c r="F20" s="2" t="s">
        <v>5005</v>
      </c>
      <c r="G20" s="2" t="s">
        <v>5024</v>
      </c>
      <c r="H20" s="78" t="s">
        <v>5025</v>
      </c>
      <c r="I20" s="4" t="s">
        <v>5040</v>
      </c>
      <c r="J20" s="5" t="s">
        <v>5041</v>
      </c>
      <c r="U20" s="222" t="str">
        <f t="shared" si="0"/>
        <v>新北市</v>
      </c>
      <c r="V20" s="223" t="str">
        <f t="shared" si="1"/>
        <v>林口區</v>
      </c>
      <c r="W20" s="223" t="str">
        <f t="shared" si="2"/>
        <v>忠孝路1號1樓</v>
      </c>
      <c r="X20" s="2" t="s">
        <v>326</v>
      </c>
      <c r="Y20" s="2" t="str">
        <f>VLOOKUP(V20,門市狀態!G:H,2,FALSE)</f>
        <v>吳宗鴻</v>
      </c>
      <c r="Z20" s="218" t="str">
        <f>IF(D20="FVC7", IF(COUNTIF(特殊門市清單!N:N, B20)=0, "FVC7", VLOOKUP(B20,特殊門市清單!N:T,7,FALSE)), IF(AA20="v","Peplink",""))</f>
        <v/>
      </c>
      <c r="AA20" s="218" t="str">
        <f>IFERROR(VLOOKUP(B20,門市狀態!A:D,4,FALSE),"")</f>
        <v/>
      </c>
      <c r="AB20" s="224" t="str">
        <f>VLOOKUP(B20,門市總表!A:B,2,FALSE)</f>
        <v>林口建安店</v>
      </c>
      <c r="AC20" s="259"/>
      <c r="AD20" s="224"/>
      <c r="AE20" s="224"/>
      <c r="AF20" s="224" t="s">
        <v>4992</v>
      </c>
      <c r="AG20" s="248" t="s">
        <v>102</v>
      </c>
      <c r="AH20" s="224" t="s">
        <v>103</v>
      </c>
    </row>
    <row r="21" spans="1:34" ht="21.6" customHeight="1">
      <c r="A21" s="2">
        <v>20</v>
      </c>
      <c r="B21" s="2">
        <v>4483</v>
      </c>
      <c r="C21" s="4" t="s">
        <v>2000</v>
      </c>
      <c r="D21" s="2" t="s">
        <v>4998</v>
      </c>
      <c r="F21" s="2" t="s">
        <v>5005</v>
      </c>
      <c r="G21" s="2" t="s">
        <v>5024</v>
      </c>
      <c r="H21" s="78" t="s">
        <v>5025</v>
      </c>
      <c r="I21" s="4" t="s">
        <v>5042</v>
      </c>
      <c r="J21" s="5" t="s">
        <v>5043</v>
      </c>
      <c r="U21" s="222" t="str">
        <f t="shared" si="0"/>
        <v>新北市</v>
      </c>
      <c r="V21" s="223" t="str">
        <f t="shared" si="1"/>
        <v>林口區</v>
      </c>
      <c r="W21" s="223" t="str">
        <f t="shared" si="2"/>
        <v>仁愛路一段619號</v>
      </c>
      <c r="X21" s="2" t="s">
        <v>326</v>
      </c>
      <c r="Y21" s="2" t="str">
        <f>VLOOKUP(V21,門市狀態!G:H,2,FALSE)</f>
        <v>吳宗鴻</v>
      </c>
      <c r="Z21" s="218" t="str">
        <f>IF(D21="FVC7", IF(COUNTIF(特殊門市清單!N:N, B21)=0, "FVC7", VLOOKUP(B21,特殊門市清單!N:T,7,FALSE)), IF(AA21="v","Peplink",""))</f>
        <v/>
      </c>
      <c r="AA21" s="218" t="str">
        <f>IFERROR(VLOOKUP(B21,門市狀態!A:D,4,FALSE),"")</f>
        <v/>
      </c>
      <c r="AB21" s="224" t="str">
        <f>VLOOKUP(B21,門市總表!A:B,2,FALSE)</f>
        <v>林口築夢店</v>
      </c>
      <c r="AC21" s="259"/>
      <c r="AD21" s="224"/>
      <c r="AE21" s="224"/>
      <c r="AF21" s="224" t="s">
        <v>4992</v>
      </c>
      <c r="AG21" s="248" t="s">
        <v>102</v>
      </c>
      <c r="AH21" s="224" t="s">
        <v>103</v>
      </c>
    </row>
    <row r="22" spans="1:34" ht="21.6" customHeight="1">
      <c r="A22" s="2">
        <v>21</v>
      </c>
      <c r="B22" s="2">
        <v>4514</v>
      </c>
      <c r="C22" s="4" t="s">
        <v>1994</v>
      </c>
      <c r="D22" s="2" t="s">
        <v>4986</v>
      </c>
      <c r="F22" s="2" t="s">
        <v>5005</v>
      </c>
      <c r="G22" s="2" t="s">
        <v>5024</v>
      </c>
      <c r="H22" s="78" t="s">
        <v>5025</v>
      </c>
      <c r="I22" s="4" t="s">
        <v>5044</v>
      </c>
      <c r="J22" s="5" t="s">
        <v>5045</v>
      </c>
      <c r="U22" s="222" t="str">
        <f t="shared" si="0"/>
        <v>新北市</v>
      </c>
      <c r="V22" s="223" t="str">
        <f t="shared" si="1"/>
        <v>林口區</v>
      </c>
      <c r="W22" s="223" t="str">
        <f t="shared" si="2"/>
        <v>自強二街8、10號</v>
      </c>
      <c r="X22" s="2" t="s">
        <v>326</v>
      </c>
      <c r="Y22" s="2" t="str">
        <f>VLOOKUP(V22,門市狀態!G:H,2,FALSE)</f>
        <v>吳宗鴻</v>
      </c>
      <c r="Z22" s="218" t="str">
        <f>IF(D22="FVC7", IF(COUNTIF(特殊門市清單!N:N, B22)=0, "FVC7", VLOOKUP(B22,特殊門市清單!N:T,7,FALSE)), IF(AA22="v","Peplink",""))</f>
        <v/>
      </c>
      <c r="AA22" s="218" t="str">
        <f>IFERROR(VLOOKUP(B22,門市狀態!A:D,4,FALSE),"")</f>
        <v/>
      </c>
      <c r="AB22" s="224" t="str">
        <f>VLOOKUP(B22,門市總表!A:B,2,FALSE)</f>
        <v>林口老師店</v>
      </c>
      <c r="AC22" s="259"/>
      <c r="AD22" s="224"/>
      <c r="AE22" s="224"/>
      <c r="AF22" s="224" t="s">
        <v>4992</v>
      </c>
      <c r="AG22" s="248" t="s">
        <v>102</v>
      </c>
      <c r="AH22" s="224" t="s">
        <v>103</v>
      </c>
    </row>
    <row r="23" spans="1:34" ht="21.6" customHeight="1">
      <c r="A23" s="2">
        <v>22</v>
      </c>
      <c r="B23" s="2">
        <v>4538</v>
      </c>
      <c r="C23" s="4" t="s">
        <v>346</v>
      </c>
      <c r="D23" s="2" t="s">
        <v>4998</v>
      </c>
      <c r="F23" s="2" t="s">
        <v>5005</v>
      </c>
      <c r="G23" s="2" t="s">
        <v>5024</v>
      </c>
      <c r="H23" s="78" t="s">
        <v>5025</v>
      </c>
      <c r="I23" s="4" t="s">
        <v>5046</v>
      </c>
      <c r="J23" s="5" t="s">
        <v>5047</v>
      </c>
      <c r="U23" s="222" t="str">
        <f t="shared" si="0"/>
        <v>新北市</v>
      </c>
      <c r="V23" s="223" t="str">
        <f t="shared" si="1"/>
        <v>林口區</v>
      </c>
      <c r="W23" s="223" t="str">
        <f t="shared" si="2"/>
        <v>仁愛路二段492-1號、492-2號</v>
      </c>
      <c r="X23" s="2" t="s">
        <v>326</v>
      </c>
      <c r="Y23" s="2" t="str">
        <f>VLOOKUP(V23,門市狀態!G:H,2,FALSE)</f>
        <v>吳宗鴻</v>
      </c>
      <c r="Z23" s="218" t="str">
        <f>IF(D23="FVC7", IF(COUNTIF(特殊門市清單!N:N, B23)=0, "FVC7", VLOOKUP(B23,特殊門市清單!N:T,7,FALSE)), IF(AA23="v","Peplink",""))</f>
        <v/>
      </c>
      <c r="AA23" s="218" t="str">
        <f>IFERROR(VLOOKUP(B23,門市狀態!A:D,4,FALSE),"")</f>
        <v/>
      </c>
      <c r="AB23" s="224" t="str">
        <f>VLOOKUP(B23,門市總表!A:B,2,FALSE)</f>
        <v>林口童樂店</v>
      </c>
      <c r="AC23" s="259"/>
      <c r="AD23" s="224"/>
      <c r="AE23" s="224"/>
      <c r="AF23" s="224" t="s">
        <v>4992</v>
      </c>
      <c r="AG23" s="248" t="s">
        <v>102</v>
      </c>
      <c r="AH23" s="224" t="s">
        <v>103</v>
      </c>
    </row>
    <row r="24" spans="1:34" ht="21.6" customHeight="1">
      <c r="A24" s="2">
        <v>23</v>
      </c>
      <c r="B24" s="2">
        <v>4834</v>
      </c>
      <c r="C24" s="4" t="s">
        <v>323</v>
      </c>
      <c r="D24" s="2" t="s">
        <v>4986</v>
      </c>
      <c r="F24" s="2" t="s">
        <v>5005</v>
      </c>
      <c r="G24" s="2" t="s">
        <v>5024</v>
      </c>
      <c r="H24" s="78" t="s">
        <v>5025</v>
      </c>
      <c r="I24" s="4" t="s">
        <v>5048</v>
      </c>
      <c r="J24" s="5" t="s">
        <v>5049</v>
      </c>
      <c r="U24" s="222" t="str">
        <f t="shared" si="0"/>
        <v>新北市</v>
      </c>
      <c r="V24" s="223" t="str">
        <f t="shared" si="1"/>
        <v>林口區</v>
      </c>
      <c r="W24" s="223" t="str">
        <f t="shared" si="2"/>
        <v>文化三路一段39巷297號1、2樓</v>
      </c>
      <c r="X24" s="2" t="s">
        <v>326</v>
      </c>
      <c r="Y24" s="2" t="str">
        <f>VLOOKUP(V24,門市狀態!G:H,2,FALSE)</f>
        <v>吳宗鴻</v>
      </c>
      <c r="Z24" s="218" t="str">
        <f>IF(D24="FVC7", IF(COUNTIF(特殊門市清單!N:N, B24)=0, "FVC7", VLOOKUP(B24,特殊門市清單!N:T,7,FALSE)), IF(AA24="v","Peplink",""))</f>
        <v/>
      </c>
      <c r="AA24" s="218" t="str">
        <f>IFERROR(VLOOKUP(B24,門市狀態!A:D,4,FALSE),"")</f>
        <v/>
      </c>
      <c r="AB24" s="224" t="str">
        <f>VLOOKUP(B24,門市總表!A:B,2,FALSE)</f>
        <v>林口大千苑店</v>
      </c>
      <c r="AC24" s="259"/>
      <c r="AD24" s="224"/>
      <c r="AE24" s="224"/>
      <c r="AF24" s="224" t="s">
        <v>4992</v>
      </c>
      <c r="AG24" s="248" t="s">
        <v>102</v>
      </c>
      <c r="AH24" s="224" t="s">
        <v>103</v>
      </c>
    </row>
    <row r="25" spans="1:34" ht="21.6" customHeight="1">
      <c r="A25" s="2">
        <v>24</v>
      </c>
      <c r="B25" s="2">
        <v>4715</v>
      </c>
      <c r="C25" s="4" t="s">
        <v>1566</v>
      </c>
      <c r="D25" s="2" t="s">
        <v>4993</v>
      </c>
      <c r="F25" s="2" t="s">
        <v>5005</v>
      </c>
      <c r="G25" s="2" t="s">
        <v>5050</v>
      </c>
      <c r="H25" s="78" t="s">
        <v>5051</v>
      </c>
      <c r="I25" s="4" t="s">
        <v>5052</v>
      </c>
      <c r="J25" s="5" t="s">
        <v>5053</v>
      </c>
      <c r="U25" s="222" t="str">
        <f t="shared" si="0"/>
        <v>新北市</v>
      </c>
      <c r="V25" s="223" t="str">
        <f t="shared" si="1"/>
        <v>林口區</v>
      </c>
      <c r="W25" s="223" t="str">
        <f t="shared" si="2"/>
        <v>文化北路一段123號一樓</v>
      </c>
      <c r="X25" s="2" t="s">
        <v>326</v>
      </c>
      <c r="Y25" s="2" t="str">
        <f>VLOOKUP(V25,門市狀態!G:H,2,FALSE)</f>
        <v>吳宗鴻</v>
      </c>
      <c r="Z25" s="218" t="str">
        <f>IF(D25="FVC7", IF(COUNTIF(特殊門市清單!N:N, B25)=0, "FVC7", VLOOKUP(B25,特殊門市清單!N:T,7,FALSE)), IF(AA25="v","Peplink",""))</f>
        <v/>
      </c>
      <c r="AA25" s="218" t="str">
        <f>IFERROR(VLOOKUP(B25,門市狀態!A:D,4,FALSE),"")</f>
        <v/>
      </c>
      <c r="AB25" s="224" t="str">
        <f>VLOOKUP(B25,門市總表!A:B,2,FALSE)</f>
        <v>林口捷韻店</v>
      </c>
      <c r="AC25" s="259"/>
      <c r="AD25" s="224"/>
      <c r="AE25" s="224"/>
      <c r="AF25" s="224" t="s">
        <v>4992</v>
      </c>
      <c r="AG25" s="248" t="s">
        <v>102</v>
      </c>
      <c r="AH25" s="224" t="s">
        <v>103</v>
      </c>
    </row>
    <row r="26" spans="1:34" ht="21.6" customHeight="1">
      <c r="A26" s="2">
        <v>25</v>
      </c>
      <c r="B26" s="2">
        <v>5364</v>
      </c>
      <c r="C26" s="4" t="s">
        <v>261</v>
      </c>
      <c r="D26" s="2"/>
      <c r="F26" s="2"/>
      <c r="G26" s="2"/>
      <c r="H26" s="78"/>
      <c r="J26" s="5" t="s">
        <v>5054</v>
      </c>
      <c r="U26" s="222" t="str">
        <f t="shared" si="0"/>
        <v>新北市</v>
      </c>
      <c r="V26" s="223" t="str">
        <f t="shared" si="1"/>
        <v>林口區</v>
      </c>
      <c r="W26" s="223" t="str">
        <f t="shared" si="2"/>
        <v>中正路100號一樓</v>
      </c>
      <c r="X26" s="2" t="s">
        <v>326</v>
      </c>
      <c r="Y26" s="2" t="str">
        <f>VLOOKUP(V26,門市狀態!G:H,2,FALSE)</f>
        <v>吳宗鴻</v>
      </c>
      <c r="Z26" s="218" t="str">
        <f>IF(D26="FVC7", IF(COUNTIF(特殊門市清單!N:N, B26)=0, "FVC7", VLOOKUP(B26,特殊門市清單!N:T,7,FALSE)), IF(AA26="v","Peplink",""))</f>
        <v/>
      </c>
      <c r="AA26" s="218" t="str">
        <f>IFERROR(VLOOKUP(B26,門市狀態!A:D,4,FALSE),"")</f>
        <v/>
      </c>
      <c r="AB26" s="224" t="str">
        <f>VLOOKUP(B26,門市總表!A:B,2,FALSE)</f>
        <v>林口舊街店</v>
      </c>
      <c r="AC26" s="259"/>
      <c r="AD26" s="224"/>
      <c r="AE26" s="224"/>
      <c r="AF26" s="224" t="s">
        <v>4992</v>
      </c>
      <c r="AG26" s="248" t="s">
        <v>102</v>
      </c>
      <c r="AH26" s="224" t="s">
        <v>103</v>
      </c>
    </row>
    <row r="27" spans="1:34" ht="21.6" customHeight="1">
      <c r="A27" s="2">
        <v>26</v>
      </c>
      <c r="B27" s="2">
        <v>2267</v>
      </c>
      <c r="C27" s="4" t="s">
        <v>2284</v>
      </c>
      <c r="D27" s="2" t="s">
        <v>4993</v>
      </c>
      <c r="F27" s="2" t="s">
        <v>5012</v>
      </c>
      <c r="G27" s="2" t="s">
        <v>5013</v>
      </c>
      <c r="H27" s="78" t="s">
        <v>5014</v>
      </c>
      <c r="I27" s="4" t="s">
        <v>5055</v>
      </c>
      <c r="J27" s="5" t="s">
        <v>5056</v>
      </c>
      <c r="U27" s="222" t="str">
        <f t="shared" si="0"/>
        <v>新北市</v>
      </c>
      <c r="V27" s="223" t="str">
        <f t="shared" si="1"/>
        <v>金山區</v>
      </c>
      <c r="W27" s="223" t="str">
        <f t="shared" si="2"/>
        <v>中正路26號</v>
      </c>
      <c r="X27" s="2" t="s">
        <v>326</v>
      </c>
      <c r="Y27" s="2" t="str">
        <f>VLOOKUP(V27,門市狀態!G:H,2,FALSE)</f>
        <v>吳宗鴻</v>
      </c>
      <c r="Z27" s="218" t="str">
        <f>IF(D27="FVC7", IF(COUNTIF(特殊門市清單!N:N, B27)=0, "FVC7", VLOOKUP(B27,特殊門市清單!N:T,7,FALSE)), IF(AA27="v","Peplink",""))</f>
        <v/>
      </c>
      <c r="AA27" s="218" t="str">
        <f>IFERROR(VLOOKUP(B27,門市狀態!A:D,4,FALSE),"")</f>
        <v/>
      </c>
      <c r="AB27" s="224" t="str">
        <f>VLOOKUP(B27,門市總表!A:B,2,FALSE)</f>
        <v>北縣金陽店</v>
      </c>
      <c r="AC27" s="259"/>
      <c r="AD27" s="224"/>
      <c r="AE27" s="224"/>
      <c r="AF27" s="224" t="s">
        <v>4992</v>
      </c>
      <c r="AG27" s="248" t="s">
        <v>102</v>
      </c>
      <c r="AH27" s="224" t="s">
        <v>103</v>
      </c>
    </row>
    <row r="28" spans="1:34" ht="21.6" customHeight="1">
      <c r="A28" s="2">
        <v>27</v>
      </c>
      <c r="B28" s="2">
        <v>4906</v>
      </c>
      <c r="C28" s="4" t="s">
        <v>2280</v>
      </c>
      <c r="D28" s="2" t="s">
        <v>4993</v>
      </c>
      <c r="F28" s="2" t="s">
        <v>5012</v>
      </c>
      <c r="G28" s="2" t="s">
        <v>5013</v>
      </c>
      <c r="H28" s="78" t="s">
        <v>5014</v>
      </c>
      <c r="I28" s="4" t="s">
        <v>5057</v>
      </c>
      <c r="J28" s="5" t="s">
        <v>5058</v>
      </c>
      <c r="U28" s="222" t="str">
        <f t="shared" si="0"/>
        <v>新北市</v>
      </c>
      <c r="V28" s="223" t="str">
        <f t="shared" si="1"/>
        <v>金山區</v>
      </c>
      <c r="W28" s="223" t="str">
        <f t="shared" si="2"/>
        <v xml:space="preserve">仁愛路66、68號 </v>
      </c>
      <c r="X28" s="2" t="s">
        <v>326</v>
      </c>
      <c r="Y28" s="2" t="str">
        <f>VLOOKUP(V28,門市狀態!G:H,2,FALSE)</f>
        <v>吳宗鴻</v>
      </c>
      <c r="Z28" s="218" t="str">
        <f>IF(D28="FVC7", IF(COUNTIF(特殊門市清單!N:N, B28)=0, "FVC7", VLOOKUP(B28,特殊門市清單!N:T,7,FALSE)), IF(AA28="v","Peplink",""))</f>
        <v/>
      </c>
      <c r="AA28" s="218" t="str">
        <f>IFERROR(VLOOKUP(B28,門市狀態!A:D,4,FALSE),"")</f>
        <v/>
      </c>
      <c r="AB28" s="224" t="str">
        <f>VLOOKUP(B28,門市總表!A:B,2,FALSE)</f>
        <v>金山銀山店</v>
      </c>
      <c r="AC28" s="259"/>
      <c r="AD28" s="224"/>
      <c r="AE28" s="224" t="s">
        <v>4985</v>
      </c>
      <c r="AF28" s="224" t="s">
        <v>4992</v>
      </c>
      <c r="AG28" s="248" t="s">
        <v>102</v>
      </c>
      <c r="AH28" s="224" t="s">
        <v>103</v>
      </c>
    </row>
    <row r="29" spans="1:34" ht="21.6" customHeight="1">
      <c r="A29" s="2">
        <v>28</v>
      </c>
      <c r="B29" s="2">
        <v>3137</v>
      </c>
      <c r="C29" s="4" t="s">
        <v>2018</v>
      </c>
      <c r="D29" s="2" t="s">
        <v>4998</v>
      </c>
      <c r="F29" s="2" t="s">
        <v>5005</v>
      </c>
      <c r="G29" s="2" t="s">
        <v>5059</v>
      </c>
      <c r="H29" s="78" t="s">
        <v>5060</v>
      </c>
      <c r="I29" s="4" t="s">
        <v>5061</v>
      </c>
      <c r="J29" s="5" t="s">
        <v>5062</v>
      </c>
      <c r="U29" s="222" t="str">
        <f t="shared" si="0"/>
        <v>新北市</v>
      </c>
      <c r="V29" s="223" t="str">
        <f t="shared" si="1"/>
        <v>泰山區</v>
      </c>
      <c r="W29" s="223" t="str">
        <f t="shared" si="2"/>
        <v>泰林路三段22號</v>
      </c>
      <c r="X29" s="2" t="s">
        <v>326</v>
      </c>
      <c r="Y29" s="2" t="str">
        <f>VLOOKUP(V29,門市狀態!G:H,2,FALSE)</f>
        <v>吳宗鴻</v>
      </c>
      <c r="Z29" s="218" t="s">
        <v>66</v>
      </c>
      <c r="AA29" s="218" t="str">
        <f>IFERROR(VLOOKUP(B29,門市狀態!A:D,4,FALSE),"")</f>
        <v/>
      </c>
      <c r="AB29" s="224" t="str">
        <f>VLOOKUP(B29,門市總表!A:B,2,FALSE)</f>
        <v>北縣黎明店</v>
      </c>
      <c r="AC29" s="259"/>
      <c r="AD29" s="224" t="s">
        <v>66</v>
      </c>
      <c r="AE29" s="224" t="s">
        <v>4985</v>
      </c>
      <c r="AF29" s="224" t="s">
        <v>4992</v>
      </c>
      <c r="AG29" s="248" t="s">
        <v>102</v>
      </c>
      <c r="AH29" s="224" t="s">
        <v>103</v>
      </c>
    </row>
    <row r="30" spans="1:34" ht="21.6" customHeight="1">
      <c r="A30" s="2">
        <v>29</v>
      </c>
      <c r="B30" s="2">
        <v>3606</v>
      </c>
      <c r="C30" s="4" t="s">
        <v>1534</v>
      </c>
      <c r="D30" s="2" t="s">
        <v>4986</v>
      </c>
      <c r="F30" s="2" t="s">
        <v>5005</v>
      </c>
      <c r="G30" s="2" t="s">
        <v>5059</v>
      </c>
      <c r="H30" s="78" t="s">
        <v>5060</v>
      </c>
      <c r="I30" s="4" t="s">
        <v>5063</v>
      </c>
      <c r="J30" s="5" t="s">
        <v>5064</v>
      </c>
      <c r="U30" s="222" t="str">
        <f t="shared" si="0"/>
        <v>新北市</v>
      </c>
      <c r="V30" s="223" t="str">
        <f t="shared" si="1"/>
        <v>泰山區</v>
      </c>
      <c r="W30" s="223" t="str">
        <f t="shared" si="2"/>
        <v>明志路二段324、326號一樓</v>
      </c>
      <c r="X30" s="2" t="s">
        <v>326</v>
      </c>
      <c r="Y30" s="2" t="str">
        <f>VLOOKUP(V30,門市狀態!G:H,2,FALSE)</f>
        <v>吳宗鴻</v>
      </c>
      <c r="Z30" s="218" t="str">
        <f>IF(D30="FVC7", IF(COUNTIF(特殊門市清單!N:N, B30)=0, "FVC7", VLOOKUP(B30,特殊門市清單!N:T,7,FALSE)), IF(AA30="v","Peplink",""))</f>
        <v/>
      </c>
      <c r="AA30" s="218" t="str">
        <f>IFERROR(VLOOKUP(B30,門市狀態!A:D,4,FALSE),"")</f>
        <v/>
      </c>
      <c r="AB30" s="224" t="str">
        <f>VLOOKUP(B30,門市總表!A:B,2,FALSE)</f>
        <v>北縣泰富店</v>
      </c>
      <c r="AC30" s="259"/>
      <c r="AD30" s="224"/>
      <c r="AE30" s="224"/>
      <c r="AF30" s="224" t="s">
        <v>4992</v>
      </c>
      <c r="AG30" s="248" t="s">
        <v>102</v>
      </c>
      <c r="AH30" s="224" t="s">
        <v>103</v>
      </c>
    </row>
    <row r="31" spans="1:34" ht="21.6" customHeight="1">
      <c r="A31" s="2">
        <v>30</v>
      </c>
      <c r="B31" s="2">
        <v>4656</v>
      </c>
      <c r="C31" s="4" t="s">
        <v>1538</v>
      </c>
      <c r="D31" s="2" t="s">
        <v>4986</v>
      </c>
      <c r="F31" s="2" t="s">
        <v>5005</v>
      </c>
      <c r="G31" s="2" t="s">
        <v>5059</v>
      </c>
      <c r="H31" s="78" t="s">
        <v>5060</v>
      </c>
      <c r="I31" s="4" t="s">
        <v>5065</v>
      </c>
      <c r="J31" s="5" t="s">
        <v>5066</v>
      </c>
      <c r="U31" s="222" t="str">
        <f t="shared" si="0"/>
        <v>新北市</v>
      </c>
      <c r="V31" s="223" t="str">
        <f t="shared" si="1"/>
        <v>泰山區</v>
      </c>
      <c r="W31" s="223" t="str">
        <f t="shared" si="2"/>
        <v>新民路10、12號一樓</v>
      </c>
      <c r="X31" s="2" t="s">
        <v>326</v>
      </c>
      <c r="Y31" s="2" t="str">
        <f>VLOOKUP(V31,門市狀態!G:H,2,FALSE)</f>
        <v>吳宗鴻</v>
      </c>
      <c r="Z31" s="218" t="str">
        <f>IF(D31="FVC7", IF(COUNTIF(特殊門市清單!N:N, B31)=0, "FVC7", VLOOKUP(B31,特殊門市清單!N:T,7,FALSE)), IF(AA31="v","Peplink",""))</f>
        <v/>
      </c>
      <c r="AA31" s="218" t="str">
        <f>IFERROR(VLOOKUP(B31,門市狀態!A:D,4,FALSE),"")</f>
        <v/>
      </c>
      <c r="AB31" s="224" t="str">
        <f>VLOOKUP(B31,門市總表!A:B,2,FALSE)</f>
        <v>泰山新民店</v>
      </c>
      <c r="AC31" s="259"/>
      <c r="AD31" s="224"/>
      <c r="AE31" s="224"/>
      <c r="AF31" s="224" t="s">
        <v>4992</v>
      </c>
      <c r="AG31" s="248" t="s">
        <v>102</v>
      </c>
      <c r="AH31" s="224" t="s">
        <v>103</v>
      </c>
    </row>
    <row r="32" spans="1:34" ht="21.6" customHeight="1">
      <c r="A32" s="2">
        <v>31</v>
      </c>
      <c r="B32" s="2">
        <v>3751</v>
      </c>
      <c r="C32" s="4" t="s">
        <v>571</v>
      </c>
      <c r="D32" s="2" t="s">
        <v>4986</v>
      </c>
      <c r="F32" s="2" t="s">
        <v>5012</v>
      </c>
      <c r="G32" s="2" t="s">
        <v>5067</v>
      </c>
      <c r="H32" s="78" t="s">
        <v>5068</v>
      </c>
      <c r="I32" s="4" t="s">
        <v>5069</v>
      </c>
      <c r="J32" s="5" t="s">
        <v>5070</v>
      </c>
      <c r="U32" s="222" t="str">
        <f t="shared" si="0"/>
        <v>新北市</v>
      </c>
      <c r="V32" s="223" t="str">
        <f t="shared" si="1"/>
        <v>淡水區</v>
      </c>
      <c r="W32" s="223" t="str">
        <f t="shared" si="2"/>
        <v>真理街32號</v>
      </c>
      <c r="X32" s="2" t="s">
        <v>326</v>
      </c>
      <c r="Y32" s="2" t="str">
        <f>VLOOKUP(V32,門市狀態!G:H,2,FALSE)</f>
        <v>吳宗鴻</v>
      </c>
      <c r="Z32" s="218" t="s">
        <v>66</v>
      </c>
      <c r="AA32" s="218" t="str">
        <f>IFERROR(VLOOKUP(B32,門市狀態!A:D,4,FALSE),"")</f>
        <v/>
      </c>
      <c r="AB32" s="224" t="str">
        <f>VLOOKUP(B32,門市總表!A:B,2,FALSE)</f>
        <v>淡水真理大</v>
      </c>
      <c r="AC32" s="259"/>
      <c r="AD32" s="224" t="s">
        <v>66</v>
      </c>
      <c r="AE32" s="224"/>
      <c r="AF32" s="224" t="s">
        <v>4992</v>
      </c>
      <c r="AG32" s="248" t="s">
        <v>102</v>
      </c>
      <c r="AH32" s="224" t="s">
        <v>103</v>
      </c>
    </row>
    <row r="33" spans="1:34" ht="21.6" customHeight="1">
      <c r="A33" s="2">
        <v>32</v>
      </c>
      <c r="B33" s="2">
        <v>2749</v>
      </c>
      <c r="C33" s="4" t="s">
        <v>2024</v>
      </c>
      <c r="D33" s="2" t="s">
        <v>4986</v>
      </c>
      <c r="F33" s="2" t="s">
        <v>5012</v>
      </c>
      <c r="G33" s="2" t="s">
        <v>5013</v>
      </c>
      <c r="H33" s="78" t="s">
        <v>5014</v>
      </c>
      <c r="I33" s="4" t="s">
        <v>5071</v>
      </c>
      <c r="J33" s="5" t="s">
        <v>5072</v>
      </c>
      <c r="U33" s="222" t="str">
        <f t="shared" si="0"/>
        <v>新北市</v>
      </c>
      <c r="V33" s="223" t="str">
        <f t="shared" si="1"/>
        <v>淡水區</v>
      </c>
      <c r="W33" s="223" t="str">
        <f t="shared" si="2"/>
        <v>淡金路5段20-22號</v>
      </c>
      <c r="X33" s="2" t="s">
        <v>326</v>
      </c>
      <c r="Y33" s="2" t="str">
        <f>VLOOKUP(V33,門市狀態!G:H,2,FALSE)</f>
        <v>吳宗鴻</v>
      </c>
      <c r="Z33" s="218" t="str">
        <f>IF(D33="FVC7", IF(COUNTIF(特殊門市清單!N:N, B33)=0, "FVC7", VLOOKUP(B33,特殊門市清單!N:T,7,FALSE)), IF(AA33="v","Peplink",""))</f>
        <v/>
      </c>
      <c r="AA33" s="218" t="str">
        <f>IFERROR(VLOOKUP(B33,門市狀態!A:D,4,FALSE),"")</f>
        <v/>
      </c>
      <c r="AB33" s="224" t="str">
        <f>VLOOKUP(B33,門市總表!A:B,2,FALSE)</f>
        <v>淡水灰瑤子</v>
      </c>
      <c r="AC33" s="259"/>
      <c r="AD33" s="224"/>
      <c r="AE33" s="224"/>
      <c r="AF33" s="224" t="s">
        <v>4992</v>
      </c>
      <c r="AG33" s="248" t="s">
        <v>102</v>
      </c>
      <c r="AH33" s="224" t="s">
        <v>103</v>
      </c>
    </row>
    <row r="34" spans="1:34" ht="21.6" customHeight="1">
      <c r="A34" s="2">
        <v>33</v>
      </c>
      <c r="B34" s="2">
        <v>4298</v>
      </c>
      <c r="C34" s="4" t="s">
        <v>599</v>
      </c>
      <c r="D34" s="2" t="s">
        <v>4986</v>
      </c>
      <c r="F34" s="2" t="s">
        <v>5012</v>
      </c>
      <c r="G34" s="2" t="s">
        <v>5013</v>
      </c>
      <c r="H34" s="78" t="s">
        <v>5014</v>
      </c>
      <c r="I34" s="4" t="s">
        <v>5073</v>
      </c>
      <c r="J34" s="5" t="s">
        <v>5074</v>
      </c>
      <c r="U34" s="222" t="str">
        <f t="shared" ref="U34:U65" si="3">IFERROR(LEFT(J34,FIND("縣",J34)),IFERROR(LEFT(J34,FIND("市",J34)),J34))</f>
        <v>新北市</v>
      </c>
      <c r="V34" s="223" t="str">
        <f t="shared" si="1"/>
        <v>淡水區</v>
      </c>
      <c r="W34" s="223" t="str">
        <f t="shared" si="2"/>
        <v>後洲路一段50號、50之1號1樓</v>
      </c>
      <c r="X34" s="2" t="s">
        <v>326</v>
      </c>
      <c r="Y34" s="2" t="str">
        <f>VLOOKUP(V34,門市狀態!G:H,2,FALSE)</f>
        <v>吳宗鴻</v>
      </c>
      <c r="Z34" s="218" t="str">
        <f>IF(D34="FVC7", IF(COUNTIF(特殊門市清單!N:N, B34)=0, "FVC7", VLOOKUP(B34,特殊門市清單!N:T,7,FALSE)), IF(AA34="v","Peplink",""))</f>
        <v/>
      </c>
      <c r="AA34" s="218" t="str">
        <f>IFERROR(VLOOKUP(B34,門市狀態!A:D,4,FALSE),"")</f>
        <v/>
      </c>
      <c r="AB34" s="224" t="str">
        <f>VLOOKUP(B34,門市總表!A:B,2,FALSE)</f>
        <v>淡水後洲店</v>
      </c>
      <c r="AC34" s="259"/>
      <c r="AD34" s="224"/>
      <c r="AE34" s="224"/>
      <c r="AF34" s="224" t="s">
        <v>4992</v>
      </c>
      <c r="AG34" s="248" t="s">
        <v>102</v>
      </c>
      <c r="AH34" s="224" t="s">
        <v>103</v>
      </c>
    </row>
    <row r="35" spans="1:34" ht="21.6" customHeight="1">
      <c r="A35" s="2">
        <v>34</v>
      </c>
      <c r="B35" s="2">
        <v>4511</v>
      </c>
      <c r="C35" s="4" t="s">
        <v>163</v>
      </c>
      <c r="D35" s="2" t="s">
        <v>5023</v>
      </c>
      <c r="F35" s="2" t="s">
        <v>5012</v>
      </c>
      <c r="G35" s="2" t="s">
        <v>5013</v>
      </c>
      <c r="H35" s="78" t="s">
        <v>5014</v>
      </c>
      <c r="I35" s="4" t="s">
        <v>5075</v>
      </c>
      <c r="J35" s="5" t="s">
        <v>5076</v>
      </c>
      <c r="U35" s="222" t="str">
        <f t="shared" si="3"/>
        <v>新北市</v>
      </c>
      <c r="V35" s="223" t="str">
        <f t="shared" si="1"/>
        <v>淡水區</v>
      </c>
      <c r="W35" s="223" t="str">
        <f t="shared" si="2"/>
        <v>淡金路5段98、100、102號</v>
      </c>
      <c r="X35" s="2" t="s">
        <v>326</v>
      </c>
      <c r="Y35" s="2" t="str">
        <f>VLOOKUP(V35,門市狀態!G:H,2,FALSE)</f>
        <v>吳宗鴻</v>
      </c>
      <c r="Z35" s="218" t="str">
        <f>IF(D35="FVC7", IF(COUNTIF(特殊門市清單!N:N, B35)=0, "FVC7", VLOOKUP(B35,特殊門市清單!N:T,7,FALSE)), IF(AA35="v","Peplink",""))</f>
        <v/>
      </c>
      <c r="AA35" s="218" t="str">
        <f>IFERROR(VLOOKUP(B35,門市狀態!A:D,4,FALSE),"")</f>
        <v>撤店</v>
      </c>
      <c r="AB35" s="224" t="str">
        <f>VLOOKUP(B35,門市總表!A:B,2,FALSE)</f>
        <v>淡水屯山店</v>
      </c>
      <c r="AC35" s="259"/>
      <c r="AD35" s="224"/>
      <c r="AE35" s="224"/>
      <c r="AF35" s="224" t="s">
        <v>4992</v>
      </c>
      <c r="AG35" s="248" t="s">
        <v>102</v>
      </c>
      <c r="AH35" s="224" t="s">
        <v>103</v>
      </c>
    </row>
    <row r="36" spans="1:34" ht="21.6" customHeight="1">
      <c r="A36" s="2">
        <v>35</v>
      </c>
      <c r="B36" s="2">
        <v>4529</v>
      </c>
      <c r="C36" s="4" t="s">
        <v>619</v>
      </c>
      <c r="D36" s="2" t="s">
        <v>4993</v>
      </c>
      <c r="F36" s="2" t="s">
        <v>5012</v>
      </c>
      <c r="G36" s="2" t="s">
        <v>5013</v>
      </c>
      <c r="H36" s="78" t="s">
        <v>5014</v>
      </c>
      <c r="I36" s="4" t="s">
        <v>5077</v>
      </c>
      <c r="J36" s="5" t="s">
        <v>5078</v>
      </c>
      <c r="U36" s="222" t="str">
        <f t="shared" si="3"/>
        <v>新北市</v>
      </c>
      <c r="V36" s="223" t="str">
        <f t="shared" si="1"/>
        <v>淡水區</v>
      </c>
      <c r="W36" s="223" t="str">
        <f t="shared" si="2"/>
        <v>新市二路二段52、56、58、60號一樓全部</v>
      </c>
      <c r="X36" s="2" t="s">
        <v>326</v>
      </c>
      <c r="Y36" s="2" t="str">
        <f>VLOOKUP(V36,門市狀態!G:H,2,FALSE)</f>
        <v>吳宗鴻</v>
      </c>
      <c r="Z36" s="218" t="str">
        <f>IF(D36="FVC7", IF(COUNTIF(特殊門市清單!N:N, B36)=0, "FVC7", VLOOKUP(B36,特殊門市清單!N:T,7,FALSE)), IF(AA36="v","Peplink",""))</f>
        <v/>
      </c>
      <c r="AA36" s="218" t="str">
        <f>IFERROR(VLOOKUP(B36,門市狀態!A:D,4,FALSE),"")</f>
        <v/>
      </c>
      <c r="AB36" s="224" t="str">
        <f>VLOOKUP(B36,門市總表!A:B,2,FALSE)</f>
        <v>淡水新洲店</v>
      </c>
      <c r="AC36" s="259"/>
      <c r="AD36" s="224"/>
      <c r="AE36" s="224" t="s">
        <v>4985</v>
      </c>
      <c r="AF36" s="224" t="s">
        <v>4992</v>
      </c>
      <c r="AG36" s="248" t="s">
        <v>102</v>
      </c>
      <c r="AH36" s="224" t="s">
        <v>103</v>
      </c>
    </row>
    <row r="37" spans="1:34" ht="21.6" customHeight="1">
      <c r="A37" s="2">
        <v>36</v>
      </c>
      <c r="B37" s="2">
        <v>4739</v>
      </c>
      <c r="C37" s="4" t="s">
        <v>2043</v>
      </c>
      <c r="D37" s="2" t="s">
        <v>5023</v>
      </c>
      <c r="F37" s="2" t="s">
        <v>5012</v>
      </c>
      <c r="G37" s="2" t="s">
        <v>5013</v>
      </c>
      <c r="H37" s="78" t="s">
        <v>5014</v>
      </c>
      <c r="I37" s="4" t="s">
        <v>5079</v>
      </c>
      <c r="J37" s="5" t="s">
        <v>5080</v>
      </c>
      <c r="U37" s="222" t="str">
        <f t="shared" si="3"/>
        <v>新北市</v>
      </c>
      <c r="V37" s="223" t="str">
        <f t="shared" si="1"/>
        <v>淡水區</v>
      </c>
      <c r="W37" s="223" t="str">
        <f t="shared" si="2"/>
        <v>北新路二段17號</v>
      </c>
      <c r="X37" s="2" t="s">
        <v>326</v>
      </c>
      <c r="Y37" s="2" t="str">
        <f>VLOOKUP(V37,門市狀態!G:H,2,FALSE)</f>
        <v>吳宗鴻</v>
      </c>
      <c r="Z37" s="218" t="str">
        <f>IF(D37="FVC7", IF(COUNTIF(特殊門市清單!N:N, B37)=0, "FVC7", VLOOKUP(B37,特殊門市清單!N:T,7,FALSE)), IF(AA37="v","Peplink",""))</f>
        <v/>
      </c>
      <c r="AA37" s="218" t="str">
        <f>IFERROR(VLOOKUP(B37,門市狀態!A:D,4,FALSE),"")</f>
        <v/>
      </c>
      <c r="AB37" s="224" t="str">
        <f>VLOOKUP(B37,門市總表!A:B,2,FALSE)</f>
        <v>淡水櫻花店</v>
      </c>
      <c r="AC37" s="259"/>
      <c r="AD37" s="224"/>
      <c r="AE37" s="224"/>
      <c r="AF37" s="224" t="s">
        <v>4992</v>
      </c>
      <c r="AG37" s="248" t="s">
        <v>102</v>
      </c>
      <c r="AH37" s="224" t="s">
        <v>103</v>
      </c>
    </row>
    <row r="38" spans="1:34" ht="21.6" customHeight="1">
      <c r="A38" s="2">
        <v>37</v>
      </c>
      <c r="B38" s="2">
        <v>2318</v>
      </c>
      <c r="C38" s="4" t="s">
        <v>776</v>
      </c>
      <c r="D38" s="2" t="s">
        <v>4993</v>
      </c>
      <c r="F38" s="2" t="s">
        <v>5012</v>
      </c>
      <c r="G38" s="2" t="s">
        <v>5067</v>
      </c>
      <c r="H38" s="78" t="s">
        <v>5068</v>
      </c>
      <c r="I38" s="4" t="s">
        <v>5081</v>
      </c>
      <c r="J38" s="5" t="s">
        <v>5082</v>
      </c>
      <c r="U38" s="222" t="str">
        <f t="shared" si="3"/>
        <v>新北市</v>
      </c>
      <c r="V38" s="223" t="str">
        <f t="shared" si="1"/>
        <v>淡水區</v>
      </c>
      <c r="W38" s="223" t="str">
        <f t="shared" si="2"/>
        <v>北新路137、139號1F</v>
      </c>
      <c r="X38" s="2" t="s">
        <v>326</v>
      </c>
      <c r="Y38" s="2" t="str">
        <f>VLOOKUP(V38,門市狀態!G:H,2,FALSE)</f>
        <v>吳宗鴻</v>
      </c>
      <c r="Z38" s="218" t="str">
        <f>IF(D38="FVC7", IF(COUNTIF(特殊門市清單!N:N, B38)=0, "FVC7", VLOOKUP(B38,特殊門市清單!N:T,7,FALSE)), IF(AA38="v","Peplink",""))</f>
        <v/>
      </c>
      <c r="AA38" s="218" t="str">
        <f>IFERROR(VLOOKUP(B38,門市狀態!A:D,4,FALSE),"")</f>
        <v/>
      </c>
      <c r="AB38" s="224" t="str">
        <f>VLOOKUP(B38,門市總表!A:B,2,FALSE)</f>
        <v>北縣淡俊店</v>
      </c>
      <c r="AC38" s="259"/>
      <c r="AD38" s="224"/>
      <c r="AE38" s="224" t="s">
        <v>4985</v>
      </c>
      <c r="AF38" s="224" t="s">
        <v>4992</v>
      </c>
      <c r="AG38" s="248" t="s">
        <v>102</v>
      </c>
      <c r="AH38" s="224" t="s">
        <v>103</v>
      </c>
    </row>
    <row r="39" spans="1:34" ht="21.6" customHeight="1">
      <c r="A39" s="2">
        <v>38</v>
      </c>
      <c r="B39" s="2">
        <v>2897</v>
      </c>
      <c r="C39" s="4" t="s">
        <v>2301</v>
      </c>
      <c r="D39" s="2" t="s">
        <v>4986</v>
      </c>
      <c r="F39" s="2" t="s">
        <v>5012</v>
      </c>
      <c r="G39" s="2" t="s">
        <v>5067</v>
      </c>
      <c r="H39" s="78" t="s">
        <v>5068</v>
      </c>
      <c r="I39" s="4" t="s">
        <v>5083</v>
      </c>
      <c r="J39" s="5" t="s">
        <v>5084</v>
      </c>
      <c r="U39" s="222" t="str">
        <f t="shared" si="3"/>
        <v>新北市</v>
      </c>
      <c r="V39" s="223" t="str">
        <f t="shared" si="1"/>
        <v>淡水區</v>
      </c>
      <c r="W39" s="223" t="str">
        <f t="shared" si="2"/>
        <v>北新路165.167號</v>
      </c>
      <c r="X39" s="2" t="s">
        <v>326</v>
      </c>
      <c r="Y39" s="2" t="str">
        <f>VLOOKUP(V39,門市狀態!G:H,2,FALSE)</f>
        <v>吳宗鴻</v>
      </c>
      <c r="Z39" s="218" t="str">
        <f>IF(D39="FVC7", IF(COUNTIF(特殊門市清單!N:N, B39)=0, "FVC7", VLOOKUP(B39,特殊門市清單!N:T,7,FALSE)), IF(AA39="v","Peplink",""))</f>
        <v/>
      </c>
      <c r="AA39" s="218" t="str">
        <f>IFERROR(VLOOKUP(B39,門市狀態!A:D,4,FALSE),"")</f>
        <v/>
      </c>
      <c r="AB39" s="224" t="str">
        <f>VLOOKUP(B39,門市總表!A:B,2,FALSE)</f>
        <v>淡水台電宿舍</v>
      </c>
      <c r="AC39" s="259"/>
      <c r="AD39" s="224"/>
      <c r="AE39" s="224"/>
      <c r="AF39" s="224" t="s">
        <v>4992</v>
      </c>
      <c r="AG39" s="248" t="s">
        <v>102</v>
      </c>
      <c r="AH39" s="224" t="s">
        <v>103</v>
      </c>
    </row>
    <row r="40" spans="1:34" ht="21.6" customHeight="1">
      <c r="A40" s="2">
        <v>39</v>
      </c>
      <c r="B40" s="2">
        <v>4093</v>
      </c>
      <c r="C40" s="4" t="s">
        <v>579</v>
      </c>
      <c r="D40" s="2" t="s">
        <v>4993</v>
      </c>
      <c r="F40" s="2" t="s">
        <v>5012</v>
      </c>
      <c r="G40" s="2" t="s">
        <v>5067</v>
      </c>
      <c r="H40" s="78" t="s">
        <v>5068</v>
      </c>
      <c r="I40" s="4" t="s">
        <v>5085</v>
      </c>
      <c r="J40" s="5" t="s">
        <v>5086</v>
      </c>
      <c r="U40" s="222" t="str">
        <f t="shared" si="3"/>
        <v>新北市</v>
      </c>
      <c r="V40" s="223" t="str">
        <f t="shared" si="1"/>
        <v>淡水區</v>
      </c>
      <c r="W40" s="223" t="str">
        <f t="shared" si="2"/>
        <v>新市一路一段104巷6號1樓</v>
      </c>
      <c r="X40" s="2" t="s">
        <v>326</v>
      </c>
      <c r="Y40" s="2" t="str">
        <f>VLOOKUP(V40,門市狀態!G:H,2,FALSE)</f>
        <v>吳宗鴻</v>
      </c>
      <c r="Z40" s="218" t="str">
        <f>IF(D40="FVC7", IF(COUNTIF(特殊門市清單!N:N, B40)=0, "FVC7", VLOOKUP(B40,特殊門市清單!N:T,7,FALSE)), IF(AA40="v","Peplink",""))</f>
        <v/>
      </c>
      <c r="AA40" s="218" t="str">
        <f>IFERROR(VLOOKUP(B40,門市狀態!A:D,4,FALSE),"")</f>
        <v/>
      </c>
      <c r="AB40" s="224" t="str">
        <f>VLOOKUP(B40,門市總表!A:B,2,FALSE)</f>
        <v>淡水新市一</v>
      </c>
      <c r="AC40" s="259"/>
      <c r="AD40" s="224"/>
      <c r="AE40" s="224"/>
      <c r="AF40" s="224" t="s">
        <v>4992</v>
      </c>
      <c r="AG40" s="248" t="s">
        <v>102</v>
      </c>
      <c r="AH40" s="224" t="s">
        <v>103</v>
      </c>
    </row>
    <row r="41" spans="1:34" ht="21.6" customHeight="1">
      <c r="A41" s="2">
        <v>40</v>
      </c>
      <c r="B41" s="2">
        <v>4153</v>
      </c>
      <c r="C41" s="4" t="s">
        <v>583</v>
      </c>
      <c r="D41" s="2" t="s">
        <v>4986</v>
      </c>
      <c r="F41" s="2" t="s">
        <v>5012</v>
      </c>
      <c r="G41" s="2" t="s">
        <v>5067</v>
      </c>
      <c r="H41" s="78" t="s">
        <v>5068</v>
      </c>
      <c r="I41" s="4" t="s">
        <v>5087</v>
      </c>
      <c r="J41" s="5" t="s">
        <v>5088</v>
      </c>
      <c r="U41" s="222" t="str">
        <f t="shared" si="3"/>
        <v>新北市</v>
      </c>
      <c r="V41" s="223" t="str">
        <f t="shared" si="1"/>
        <v>淡水區</v>
      </c>
      <c r="W41" s="223" t="str">
        <f t="shared" si="2"/>
        <v>濱海路一段221號(金湯川溫泉汽旅區會館區一樓)</v>
      </c>
      <c r="X41" s="2" t="s">
        <v>326</v>
      </c>
      <c r="Y41" s="2" t="str">
        <f>VLOOKUP(V41,門市狀態!G:H,2,FALSE)</f>
        <v>吳宗鴻</v>
      </c>
      <c r="Z41" s="218" t="str">
        <f>IF(D41="FVC7", IF(COUNTIF(特殊門市清單!N:N, B41)=0, "FVC7", VLOOKUP(B41,特殊門市清單!N:T,7,FALSE)), IF(AA41="v","Peplink",""))</f>
        <v/>
      </c>
      <c r="AA41" s="218" t="str">
        <f>IFERROR(VLOOKUP(B41,門市狀態!A:D,4,FALSE),"")</f>
        <v/>
      </c>
      <c r="AB41" s="224" t="str">
        <f>VLOOKUP(B41,門市總表!A:B,2,FALSE)</f>
        <v>淡水莊園店</v>
      </c>
      <c r="AC41" s="259"/>
      <c r="AD41" s="224"/>
      <c r="AE41" s="224" t="s">
        <v>4985</v>
      </c>
      <c r="AF41" s="224" t="s">
        <v>4992</v>
      </c>
      <c r="AG41" s="248" t="s">
        <v>102</v>
      </c>
      <c r="AH41" s="224" t="s">
        <v>103</v>
      </c>
    </row>
    <row r="42" spans="1:34" ht="21.6" customHeight="1">
      <c r="A42" s="2">
        <v>41</v>
      </c>
      <c r="B42" s="2">
        <v>4541</v>
      </c>
      <c r="C42" s="4" t="s">
        <v>1678</v>
      </c>
      <c r="D42" s="2" t="s">
        <v>4993</v>
      </c>
      <c r="F42" s="2" t="s">
        <v>5012</v>
      </c>
      <c r="G42" s="2" t="s">
        <v>5067</v>
      </c>
      <c r="H42" s="78" t="s">
        <v>5068</v>
      </c>
      <c r="I42" s="4" t="s">
        <v>5089</v>
      </c>
      <c r="J42" s="5" t="s">
        <v>5090</v>
      </c>
      <c r="U42" s="222" t="str">
        <f t="shared" si="3"/>
        <v>新北市</v>
      </c>
      <c r="V42" s="223" t="str">
        <f t="shared" si="1"/>
        <v>淡水區</v>
      </c>
      <c r="W42" s="223" t="str">
        <f t="shared" si="2"/>
        <v>濱海路三段140、142號</v>
      </c>
      <c r="X42" s="2" t="s">
        <v>326</v>
      </c>
      <c r="Y42" s="2" t="str">
        <f>VLOOKUP(V42,門市狀態!G:H,2,FALSE)</f>
        <v>吳宗鴻</v>
      </c>
      <c r="Z42" s="218" t="str">
        <f>IF(D42="FVC7", IF(COUNTIF(特殊門市清單!N:N, B42)=0, "FVC7", VLOOKUP(B42,特殊門市清單!N:T,7,FALSE)), IF(AA42="v","Peplink",""))</f>
        <v/>
      </c>
      <c r="AA42" s="218" t="str">
        <f>IFERROR(VLOOKUP(B42,門市狀態!A:D,4,FALSE),"")</f>
        <v/>
      </c>
      <c r="AB42" s="224" t="str">
        <f>VLOOKUP(B42,門市總表!A:B,2,FALSE)</f>
        <v>淡水海天店</v>
      </c>
      <c r="AC42" s="259"/>
      <c r="AD42" s="224"/>
      <c r="AE42" s="224"/>
      <c r="AF42" s="224" t="s">
        <v>4992</v>
      </c>
      <c r="AG42" s="248" t="s">
        <v>102</v>
      </c>
      <c r="AH42" s="224" t="s">
        <v>103</v>
      </c>
    </row>
    <row r="43" spans="1:34" ht="21.6" customHeight="1">
      <c r="A43" s="2">
        <v>42</v>
      </c>
      <c r="B43" s="2">
        <v>4658</v>
      </c>
      <c r="C43" s="4" t="s">
        <v>566</v>
      </c>
      <c r="D43" s="2" t="s">
        <v>4998</v>
      </c>
      <c r="F43" s="2" t="s">
        <v>5012</v>
      </c>
      <c r="G43" s="2" t="s">
        <v>5067</v>
      </c>
      <c r="H43" s="78" t="s">
        <v>5068</v>
      </c>
      <c r="I43" s="4" t="s">
        <v>5091</v>
      </c>
      <c r="J43" s="5" t="s">
        <v>5092</v>
      </c>
      <c r="U43" s="222" t="str">
        <f t="shared" si="3"/>
        <v>新北市</v>
      </c>
      <c r="V43" s="223" t="str">
        <f t="shared" si="1"/>
        <v>淡水區</v>
      </c>
      <c r="W43" s="223" t="str">
        <f t="shared" si="2"/>
        <v>清水街2號、英專路43號</v>
      </c>
      <c r="X43" s="2" t="s">
        <v>326</v>
      </c>
      <c r="Y43" s="2" t="str">
        <f>VLOOKUP(V43,門市狀態!G:H,2,FALSE)</f>
        <v>吳宗鴻</v>
      </c>
      <c r="Z43" s="218" t="str">
        <f>IF(D43="FVC7", IF(COUNTIF(特殊門市清單!N:N, B43)=0, "FVC7", VLOOKUP(B43,特殊門市清單!N:T,7,FALSE)), IF(AA43="v","Peplink",""))</f>
        <v/>
      </c>
      <c r="AA43" s="218" t="str">
        <f>IFERROR(VLOOKUP(B43,門市狀態!A:D,4,FALSE),"")</f>
        <v/>
      </c>
      <c r="AB43" s="224" t="str">
        <f>VLOOKUP(B43,門市總表!A:B,2,FALSE)</f>
        <v>淡水英才店</v>
      </c>
      <c r="AC43" s="259"/>
      <c r="AD43" s="224"/>
      <c r="AE43" s="224"/>
      <c r="AF43" s="224" t="s">
        <v>4992</v>
      </c>
      <c r="AG43" s="248" t="s">
        <v>102</v>
      </c>
      <c r="AH43" s="224" t="s">
        <v>103</v>
      </c>
    </row>
    <row r="44" spans="1:34" ht="21.6" customHeight="1">
      <c r="A44" s="2">
        <v>43</v>
      </c>
      <c r="B44" s="2">
        <v>4788</v>
      </c>
      <c r="C44" s="4" t="s">
        <v>587</v>
      </c>
      <c r="D44" s="2" t="s">
        <v>4986</v>
      </c>
      <c r="F44" s="2" t="s">
        <v>5012</v>
      </c>
      <c r="G44" s="2" t="s">
        <v>5067</v>
      </c>
      <c r="H44" s="78" t="s">
        <v>5068</v>
      </c>
      <c r="I44" s="4" t="s">
        <v>5093</v>
      </c>
      <c r="J44" s="5" t="s">
        <v>5094</v>
      </c>
      <c r="U44" s="222" t="str">
        <f t="shared" si="3"/>
        <v>新北市</v>
      </c>
      <c r="V44" s="223" t="str">
        <f t="shared" si="1"/>
        <v>淡水區</v>
      </c>
      <c r="W44" s="223" t="str">
        <f t="shared" si="2"/>
        <v>新市五路二段51、53、55號</v>
      </c>
      <c r="X44" s="2" t="s">
        <v>326</v>
      </c>
      <c r="Y44" s="2" t="str">
        <f>VLOOKUP(V44,門市狀態!G:H,2,FALSE)</f>
        <v>吳宗鴻</v>
      </c>
      <c r="Z44" s="218" t="str">
        <f>IF(D44="FVC7", IF(COUNTIF(特殊門市清單!N:N, B44)=0, "FVC7", VLOOKUP(B44,特殊門市清單!N:T,7,FALSE)), IF(AA44="v","Peplink",""))</f>
        <v/>
      </c>
      <c r="AA44" s="218" t="str">
        <f>IFERROR(VLOOKUP(B44,門市狀態!A:D,4,FALSE),"")</f>
        <v/>
      </c>
      <c r="AB44" s="224" t="str">
        <f>VLOOKUP(B44,門市總表!A:B,2,FALSE)</f>
        <v>淡水國家店</v>
      </c>
      <c r="AC44" s="259"/>
      <c r="AD44" s="224"/>
      <c r="AE44" s="224"/>
      <c r="AF44" s="224" t="s">
        <v>4992</v>
      </c>
      <c r="AG44" s="248" t="s">
        <v>102</v>
      </c>
      <c r="AH44" s="224" t="s">
        <v>103</v>
      </c>
    </row>
    <row r="45" spans="1:34" ht="21.6" customHeight="1">
      <c r="A45" s="2">
        <v>44</v>
      </c>
      <c r="B45" s="2">
        <v>4802</v>
      </c>
      <c r="C45" s="4" t="s">
        <v>575</v>
      </c>
      <c r="D45" s="2" t="s">
        <v>4998</v>
      </c>
      <c r="F45" s="2" t="s">
        <v>5012</v>
      </c>
      <c r="G45" s="2" t="s">
        <v>5067</v>
      </c>
      <c r="H45" s="78" t="s">
        <v>5068</v>
      </c>
      <c r="I45" s="4" t="s">
        <v>5095</v>
      </c>
      <c r="J45" s="5" t="s">
        <v>5096</v>
      </c>
      <c r="U45" s="222" t="str">
        <f t="shared" si="3"/>
        <v>新北市</v>
      </c>
      <c r="V45" s="223" t="str">
        <f t="shared" si="1"/>
        <v>淡水區</v>
      </c>
      <c r="W45" s="223" t="str">
        <f t="shared" si="2"/>
        <v>沙崙路214號</v>
      </c>
      <c r="X45" s="2" t="s">
        <v>326</v>
      </c>
      <c r="Y45" s="2" t="str">
        <f>VLOOKUP(V45,門市狀態!G:H,2,FALSE)</f>
        <v>吳宗鴻</v>
      </c>
      <c r="Z45" s="218" t="str">
        <f>IF(D45="FVC7", IF(COUNTIF(特殊門市清單!N:N, B45)=0, "FVC7", VLOOKUP(B45,特殊門市清單!N:T,7,FALSE)), IF(AA45="v","Peplink",""))</f>
        <v/>
      </c>
      <c r="AA45" s="218" t="str">
        <f>IFERROR(VLOOKUP(B45,門市狀態!A:D,4,FALSE),"")</f>
        <v/>
      </c>
      <c r="AB45" s="224" t="str">
        <f>VLOOKUP(B45,門市總表!A:B,2,FALSE)</f>
        <v>淡水沙崙店</v>
      </c>
      <c r="AC45" s="259"/>
      <c r="AD45" s="224"/>
      <c r="AE45" s="224" t="s">
        <v>4985</v>
      </c>
      <c r="AF45" s="224" t="s">
        <v>4992</v>
      </c>
      <c r="AG45" s="248" t="s">
        <v>102</v>
      </c>
      <c r="AH45" s="224" t="s">
        <v>103</v>
      </c>
    </row>
    <row r="46" spans="1:34" ht="21.6" customHeight="1">
      <c r="A46" s="2">
        <v>45</v>
      </c>
      <c r="B46" s="2">
        <v>5060</v>
      </c>
      <c r="C46" s="4" t="s">
        <v>1064</v>
      </c>
      <c r="D46" s="2" t="s">
        <v>5023</v>
      </c>
      <c r="F46" s="2" t="s">
        <v>5012</v>
      </c>
      <c r="G46" s="2" t="s">
        <v>5067</v>
      </c>
      <c r="H46" s="78" t="s">
        <v>5068</v>
      </c>
      <c r="I46" s="4" t="s">
        <v>5097</v>
      </c>
      <c r="J46" s="5" t="s">
        <v>5098</v>
      </c>
      <c r="U46" s="222" t="str">
        <f t="shared" si="3"/>
        <v>新北市</v>
      </c>
      <c r="V46" s="223" t="str">
        <f t="shared" si="1"/>
        <v>淡水區</v>
      </c>
      <c r="W46" s="223" t="str">
        <f t="shared" si="2"/>
        <v>觀海路201號</v>
      </c>
      <c r="X46" s="2" t="s">
        <v>326</v>
      </c>
      <c r="Y46" s="2" t="str">
        <f>VLOOKUP(V46,門市狀態!G:H,2,FALSE)</f>
        <v>吳宗鴻</v>
      </c>
      <c r="Z46" s="218" t="str">
        <f>IF(D46="FVC7", IF(COUNTIF(特殊門市清單!N:N, B46)=0, "FVC7", VLOOKUP(B46,特殊門市清單!N:T,7,FALSE)), IF(AA46="v","Peplink",""))</f>
        <v/>
      </c>
      <c r="AA46" s="218" t="str">
        <f>IFERROR(VLOOKUP(B46,門市狀態!A:D,4,FALSE),"")</f>
        <v/>
      </c>
      <c r="AB46" s="224" t="str">
        <f>VLOOKUP(B46,門市總表!A:B,2,FALSE)</f>
        <v>淡水魚市店</v>
      </c>
      <c r="AC46" s="259"/>
      <c r="AD46" s="224"/>
      <c r="AE46" s="224" t="s">
        <v>4985</v>
      </c>
      <c r="AF46" s="224" t="s">
        <v>4992</v>
      </c>
      <c r="AG46" s="248" t="s">
        <v>102</v>
      </c>
      <c r="AH46" s="224" t="s">
        <v>103</v>
      </c>
    </row>
    <row r="47" spans="1:34" ht="21.6" customHeight="1">
      <c r="A47" s="2">
        <v>46</v>
      </c>
      <c r="B47" s="2" t="s">
        <v>71</v>
      </c>
      <c r="C47" s="4" t="s">
        <v>788</v>
      </c>
      <c r="D47" s="2" t="s">
        <v>4993</v>
      </c>
      <c r="F47" s="2" t="s">
        <v>5012</v>
      </c>
      <c r="G47" s="2" t="s">
        <v>5067</v>
      </c>
      <c r="H47" s="78" t="s">
        <v>5068</v>
      </c>
      <c r="I47" s="4" t="s">
        <v>5099</v>
      </c>
      <c r="J47" s="5" t="s">
        <v>5100</v>
      </c>
      <c r="U47" s="222" t="str">
        <f t="shared" si="3"/>
        <v>新北市</v>
      </c>
      <c r="V47" s="223" t="str">
        <f t="shared" si="1"/>
        <v>淡水區</v>
      </c>
      <c r="W47" s="223" t="str">
        <f t="shared" si="2"/>
        <v>水源街２段１９４號一樓及地下一樓全部</v>
      </c>
      <c r="X47" s="2" t="s">
        <v>326</v>
      </c>
      <c r="Y47" s="2" t="str">
        <f>VLOOKUP(V47,門市狀態!G:H,2,FALSE)</f>
        <v>吳宗鴻</v>
      </c>
      <c r="Z47" s="218" t="str">
        <f>IF(D47="FVC7", IF(COUNTIF(特殊門市清單!N:N, B47)=0, "FVC7", VLOOKUP(B47,特殊門市清單!N:T,7,FALSE)), IF(AA47="v","Peplink",""))</f>
        <v/>
      </c>
      <c r="AA47" s="218" t="str">
        <f>IFERROR(VLOOKUP(B47,門市狀態!A:D,4,FALSE),"")</f>
        <v/>
      </c>
      <c r="AB47" s="224" t="str">
        <f>VLOOKUP(B47,門市總表!A:B,2,FALSE)</f>
        <v>淡水金龍店</v>
      </c>
      <c r="AC47" s="259"/>
      <c r="AD47" s="224"/>
      <c r="AE47" s="224" t="s">
        <v>4985</v>
      </c>
      <c r="AF47" s="224" t="s">
        <v>4992</v>
      </c>
      <c r="AG47" s="248" t="s">
        <v>102</v>
      </c>
      <c r="AH47" s="224" t="s">
        <v>103</v>
      </c>
    </row>
    <row r="48" spans="1:34" ht="21.6" customHeight="1">
      <c r="A48" s="2">
        <v>47</v>
      </c>
      <c r="B48" s="273">
        <v>2201</v>
      </c>
      <c r="C48" s="274" t="s">
        <v>2706</v>
      </c>
      <c r="J48" s="5" t="s">
        <v>5101</v>
      </c>
      <c r="U48" s="260" t="str">
        <f t="shared" si="3"/>
        <v>桃園市</v>
      </c>
      <c r="V48" s="258" t="str">
        <f t="shared" si="1"/>
        <v>龜山區</v>
      </c>
      <c r="W48" s="258" t="str">
        <f t="shared" si="2"/>
        <v>中興路265號</v>
      </c>
      <c r="X48" s="2" t="s">
        <v>326</v>
      </c>
      <c r="Y48" s="2" t="str">
        <f>VLOOKUP(V48,門市狀態!G:H,2,FALSE)</f>
        <v>吳宗鴻</v>
      </c>
      <c r="Z48" s="218" t="str">
        <f>IF(D48="FVC7", IF(COUNTIF(特殊門市清單!N:N, B48)=0, "FVC7", VLOOKUP(B48,特殊門市清單!N:T,7,FALSE)), IF(AA48="v","Peplink",""))</f>
        <v/>
      </c>
      <c r="AA48" s="218" t="str">
        <f>IFERROR(VLOOKUP(B48,門市狀態!A:D,4,FALSE),"")</f>
        <v/>
      </c>
      <c r="AB48" s="224" t="str">
        <f>VLOOKUP(B48,門市總表!A:B,2,FALSE)</f>
        <v>桃縣內溪店</v>
      </c>
      <c r="AC48" s="259"/>
      <c r="AD48" s="224"/>
      <c r="AE48" s="224"/>
      <c r="AF48" s="224"/>
      <c r="AG48" s="248" t="s">
        <v>102</v>
      </c>
      <c r="AH48" s="224" t="s">
        <v>103</v>
      </c>
    </row>
    <row r="49" spans="1:34" ht="21.6" customHeight="1">
      <c r="A49" s="2">
        <v>48</v>
      </c>
      <c r="B49" s="273">
        <v>2255</v>
      </c>
      <c r="C49" s="274" t="s">
        <v>5102</v>
      </c>
      <c r="J49" s="5" t="s">
        <v>5103</v>
      </c>
      <c r="U49" s="260" t="str">
        <f t="shared" si="3"/>
        <v>桃園市</v>
      </c>
      <c r="V49" s="258" t="str">
        <f t="shared" si="1"/>
        <v>龜山區</v>
      </c>
      <c r="W49" s="258" t="str">
        <f t="shared" si="2"/>
        <v>文化二路155號</v>
      </c>
      <c r="X49" s="2" t="s">
        <v>326</v>
      </c>
      <c r="Y49" s="2" t="str">
        <f>VLOOKUP(V49,門市狀態!G:H,2,FALSE)</f>
        <v>吳宗鴻</v>
      </c>
      <c r="Z49" s="218" t="str">
        <f>IF(D49="FVC7", IF(COUNTIF(特殊門市清單!N:N, B49)=0, "FVC7", VLOOKUP(B49,特殊門市清單!N:T,7,FALSE)), IF(AA49="v","Peplink",""))</f>
        <v/>
      </c>
      <c r="AA49" s="218" t="str">
        <f>IFERROR(VLOOKUP(B49,門市狀態!A:D,4,FALSE),"")</f>
        <v/>
      </c>
      <c r="AB49" s="224" t="str">
        <f>VLOOKUP(B49,門市總表!A:B,2,FALSE)</f>
        <v>蘆竹六福店</v>
      </c>
      <c r="AC49" s="259"/>
      <c r="AD49" s="224"/>
      <c r="AE49" s="224"/>
      <c r="AF49" s="224"/>
      <c r="AG49" s="248" t="s">
        <v>102</v>
      </c>
      <c r="AH49" s="224"/>
    </row>
    <row r="50" spans="1:34" ht="21.6" customHeight="1">
      <c r="A50" s="2">
        <v>49</v>
      </c>
      <c r="B50" s="273">
        <v>2315</v>
      </c>
      <c r="C50" s="274" t="s">
        <v>3032</v>
      </c>
      <c r="J50" s="5" t="s">
        <v>5104</v>
      </c>
      <c r="U50" s="260" t="str">
        <f t="shared" si="3"/>
        <v>桃園市</v>
      </c>
      <c r="V50" s="258" t="str">
        <f t="shared" si="1"/>
        <v>龜山區</v>
      </c>
      <c r="W50" s="258" t="str">
        <f t="shared" si="2"/>
        <v>文化一路73號</v>
      </c>
      <c r="X50" s="2" t="s">
        <v>326</v>
      </c>
      <c r="Y50" s="2" t="str">
        <f>VLOOKUP(V50,門市狀態!G:H,2,FALSE)</f>
        <v>吳宗鴻</v>
      </c>
      <c r="Z50" s="218" t="str">
        <f>IF(D50="FVC7", IF(COUNTIF(特殊門市清單!N:N, B50)=0, "FVC7", VLOOKUP(B50,特殊門市清單!N:T,7,FALSE)), IF(AA50="v","Peplink",""))</f>
        <v/>
      </c>
      <c r="AA50" s="218" t="str">
        <f>IFERROR(VLOOKUP(B50,門市狀態!A:D,4,FALSE),"")</f>
        <v/>
      </c>
      <c r="AB50" s="224" t="str">
        <f>VLOOKUP(B50,門市總表!A:B,2,FALSE)</f>
        <v>蘆竹坑口店</v>
      </c>
      <c r="AC50" s="259"/>
      <c r="AD50" s="224"/>
      <c r="AE50" s="224"/>
      <c r="AF50" s="224"/>
      <c r="AG50" s="248" t="s">
        <v>102</v>
      </c>
      <c r="AH50" s="224" t="s">
        <v>103</v>
      </c>
    </row>
    <row r="51" spans="1:34" ht="21.6" customHeight="1">
      <c r="A51" s="2">
        <v>50</v>
      </c>
      <c r="B51" s="273">
        <v>2322</v>
      </c>
      <c r="C51" s="274" t="s">
        <v>5105</v>
      </c>
      <c r="J51" s="5" t="s">
        <v>5106</v>
      </c>
      <c r="U51" s="260" t="str">
        <f t="shared" si="3"/>
        <v>桃園市</v>
      </c>
      <c r="V51" s="258" t="str">
        <f t="shared" si="1"/>
        <v>龜山區</v>
      </c>
      <c r="W51" s="258" t="str">
        <f t="shared" si="2"/>
        <v>文化三路48、50號及文三一街1號</v>
      </c>
      <c r="X51" s="2" t="s">
        <v>326</v>
      </c>
      <c r="Y51" s="2" t="str">
        <f>VLOOKUP(V51,門市狀態!G:H,2,FALSE)</f>
        <v>吳宗鴻</v>
      </c>
      <c r="Z51" s="218" t="str">
        <f>IF(D51="FVC7", IF(COUNTIF(特殊門市清單!N:N, B51)=0, "FVC7", VLOOKUP(B51,特殊門市清單!N:T,7,FALSE)), IF(AA51="v","Peplink",""))</f>
        <v/>
      </c>
      <c r="AA51" s="218" t="str">
        <f>IFERROR(VLOOKUP(B51,門市狀態!A:D,4,FALSE),"")</f>
        <v/>
      </c>
      <c r="AB51" s="224" t="str">
        <f>VLOOKUP(B51,門市總表!A:B,2,FALSE)</f>
        <v>蘆竹大華店</v>
      </c>
      <c r="AC51" s="259"/>
      <c r="AD51" s="224"/>
      <c r="AE51" s="224"/>
      <c r="AF51" s="224"/>
      <c r="AG51" s="248" t="s">
        <v>102</v>
      </c>
      <c r="AH51" s="224"/>
    </row>
    <row r="52" spans="1:34" ht="21.6" customHeight="1">
      <c r="A52" s="2">
        <v>51</v>
      </c>
      <c r="B52" s="273">
        <v>2375</v>
      </c>
      <c r="C52" s="274" t="s">
        <v>2479</v>
      </c>
      <c r="J52" s="5" t="s">
        <v>5107</v>
      </c>
      <c r="U52" s="260" t="str">
        <f t="shared" si="3"/>
        <v>桃園市</v>
      </c>
      <c r="V52" s="258" t="str">
        <f t="shared" si="1"/>
        <v>龜山區</v>
      </c>
      <c r="W52" s="258" t="str">
        <f t="shared" si="2"/>
        <v>頂湖23號、頂湖三街2號</v>
      </c>
      <c r="X52" s="2" t="s">
        <v>326</v>
      </c>
      <c r="Y52" s="2" t="str">
        <f>VLOOKUP(V52,門市狀態!G:H,2,FALSE)</f>
        <v>吳宗鴻</v>
      </c>
      <c r="Z52" s="218" t="str">
        <f>IF(D52="FVC7", IF(COUNTIF(特殊門市清單!N:N, B52)=0, "FVC7", VLOOKUP(B52,特殊門市清單!N:T,7,FALSE)), IF(AA52="v","Peplink",""))</f>
        <v/>
      </c>
      <c r="AA52" s="218" t="str">
        <f>IFERROR(VLOOKUP(B52,門市狀態!A:D,4,FALSE),"")</f>
        <v/>
      </c>
      <c r="AB52" s="224" t="str">
        <f>VLOOKUP(B52,門市總表!A:B,2,FALSE)</f>
        <v>桃縣桃貿店</v>
      </c>
      <c r="AC52" s="259"/>
      <c r="AD52" s="224"/>
      <c r="AE52" s="224"/>
      <c r="AF52" s="224"/>
      <c r="AG52" s="248" t="s">
        <v>102</v>
      </c>
      <c r="AH52" s="224" t="s">
        <v>103</v>
      </c>
    </row>
    <row r="53" spans="1:34" ht="21.6" customHeight="1">
      <c r="A53" s="2">
        <v>52</v>
      </c>
      <c r="B53" s="273">
        <v>2401</v>
      </c>
      <c r="C53" s="274" t="s">
        <v>5108</v>
      </c>
      <c r="J53" s="5" t="s">
        <v>5109</v>
      </c>
      <c r="U53" s="260" t="str">
        <f t="shared" si="3"/>
        <v>桃園市</v>
      </c>
      <c r="V53" s="258" t="str">
        <f t="shared" si="1"/>
        <v>龜山區</v>
      </c>
      <c r="W53" s="258" t="str">
        <f t="shared" si="2"/>
        <v>文化三路95,97號</v>
      </c>
      <c r="X53" s="2" t="s">
        <v>326</v>
      </c>
      <c r="Y53" s="2" t="str">
        <f>VLOOKUP(V53,門市狀態!G:H,2,FALSE)</f>
        <v>吳宗鴻</v>
      </c>
      <c r="Z53" s="218" t="str">
        <f>IF(D53="FVC7", IF(COUNTIF(特殊門市清單!N:N, B53)=0, "FVC7", VLOOKUP(B53,特殊門市清單!N:T,7,FALSE)), IF(AA53="v","Peplink",""))</f>
        <v/>
      </c>
      <c r="AA53" s="218" t="str">
        <f>IFERROR(VLOOKUP(B53,門市狀態!A:D,4,FALSE),"")</f>
        <v/>
      </c>
      <c r="AB53" s="224" t="str">
        <f>VLOOKUP(B53,門市總表!A:B,2,FALSE)</f>
        <v>蘆竹南工店</v>
      </c>
      <c r="AC53" s="259"/>
      <c r="AD53" s="224"/>
      <c r="AE53" s="224"/>
      <c r="AF53" s="224"/>
      <c r="AG53" s="248" t="s">
        <v>102</v>
      </c>
      <c r="AH53" s="224" t="s">
        <v>103</v>
      </c>
    </row>
    <row r="54" spans="1:34" ht="21.6" customHeight="1">
      <c r="A54" s="2">
        <v>53</v>
      </c>
      <c r="B54" s="273">
        <v>2428</v>
      </c>
      <c r="C54" s="274" t="s">
        <v>3146</v>
      </c>
      <c r="J54" s="5" t="s">
        <v>5110</v>
      </c>
      <c r="U54" s="260" t="str">
        <f t="shared" si="3"/>
        <v>桃園市</v>
      </c>
      <c r="V54" s="258" t="str">
        <f t="shared" si="1"/>
        <v>龜山區</v>
      </c>
      <c r="W54" s="258" t="str">
        <f t="shared" si="2"/>
        <v>大同路358、364號</v>
      </c>
      <c r="X54" s="2" t="s">
        <v>326</v>
      </c>
      <c r="Y54" s="2" t="str">
        <f>VLOOKUP(V54,門市狀態!G:H,2,FALSE)</f>
        <v>吳宗鴻</v>
      </c>
      <c r="Z54" s="218" t="str">
        <f>IF(D54="FVC7", IF(COUNTIF(特殊門市清單!N:N, B54)=0, "FVC7", VLOOKUP(B54,特殊門市清單!N:T,7,FALSE)), IF(AA54="v","Peplink",""))</f>
        <v/>
      </c>
      <c r="AA54" s="218" t="str">
        <f>IFERROR(VLOOKUP(B54,門市狀態!A:D,4,FALSE),"")</f>
        <v/>
      </c>
      <c r="AB54" s="224" t="str">
        <f>VLOOKUP(B54,門市總表!A:B,2,FALSE)</f>
        <v>龜山文化二</v>
      </c>
      <c r="AC54" s="259"/>
      <c r="AD54" s="224"/>
      <c r="AE54" s="224"/>
      <c r="AF54" s="224"/>
      <c r="AG54" s="248" t="s">
        <v>102</v>
      </c>
      <c r="AH54" s="224" t="s">
        <v>103</v>
      </c>
    </row>
    <row r="55" spans="1:34" ht="21.6" customHeight="1">
      <c r="A55" s="2">
        <v>54</v>
      </c>
      <c r="B55" s="273">
        <v>2482</v>
      </c>
      <c r="C55" s="274" t="s">
        <v>5111</v>
      </c>
      <c r="J55" s="5" t="s">
        <v>5112</v>
      </c>
      <c r="U55" s="260" t="str">
        <f t="shared" si="3"/>
        <v>桃園市</v>
      </c>
      <c r="V55" s="258" t="str">
        <f t="shared" si="1"/>
        <v>龜山區</v>
      </c>
      <c r="W55" s="258" t="str">
        <f t="shared" si="2"/>
        <v>忠義路一段1041號</v>
      </c>
      <c r="X55" s="2" t="s">
        <v>326</v>
      </c>
      <c r="Y55" s="2" t="str">
        <f>VLOOKUP(V55,門市狀態!G:H,2,FALSE)</f>
        <v>吳宗鴻</v>
      </c>
      <c r="Z55" s="218" t="str">
        <f>IF(D55="FVC7", IF(COUNTIF(特殊門市清單!N:N, B55)=0, "FVC7", VLOOKUP(B55,特殊門市清單!N:T,7,FALSE)), IF(AA55="v","Peplink",""))</f>
        <v/>
      </c>
      <c r="AA55" s="218" t="str">
        <f>IFERROR(VLOOKUP(B55,門市狀態!A:D,4,FALSE),"")</f>
        <v/>
      </c>
      <c r="AB55" s="224" t="str">
        <f>VLOOKUP(B55,門市總表!A:B,2,FALSE)</f>
        <v>蘆竹光明店</v>
      </c>
      <c r="AC55" s="259"/>
      <c r="AD55" s="224"/>
      <c r="AE55" s="224"/>
      <c r="AF55" s="224"/>
      <c r="AG55" s="248" t="s">
        <v>102</v>
      </c>
      <c r="AH55" s="224"/>
    </row>
    <row r="56" spans="1:34" ht="21.6" customHeight="1">
      <c r="A56" s="2">
        <v>55</v>
      </c>
      <c r="B56" s="273">
        <v>2501</v>
      </c>
      <c r="C56" s="274" t="s">
        <v>5113</v>
      </c>
      <c r="J56" s="5" t="s">
        <v>5114</v>
      </c>
      <c r="U56" s="260" t="str">
        <f t="shared" si="3"/>
        <v>桃園市</v>
      </c>
      <c r="V56" s="258" t="str">
        <f t="shared" si="1"/>
        <v>龜山區</v>
      </c>
      <c r="W56" s="258" t="str">
        <f t="shared" si="2"/>
        <v>頂湖路1號</v>
      </c>
      <c r="X56" s="2" t="s">
        <v>326</v>
      </c>
      <c r="Y56" s="2" t="str">
        <f>VLOOKUP(V56,門市狀態!G:H,2,FALSE)</f>
        <v>吳宗鴻</v>
      </c>
      <c r="Z56" s="218" t="str">
        <f>IF(D56="FVC7", IF(COUNTIF(特殊門市清單!N:N, B56)=0, "FVC7", VLOOKUP(B56,特殊門市清單!N:T,7,FALSE)), IF(AA56="v","Peplink",""))</f>
        <v/>
      </c>
      <c r="AA56" s="218" t="str">
        <f>IFERROR(VLOOKUP(B56,門市狀態!A:D,4,FALSE),"")</f>
        <v/>
      </c>
      <c r="AB56" s="224" t="str">
        <f>VLOOKUP(B56,門市總表!A:B,2,FALSE)</f>
        <v>蘆竹南山店</v>
      </c>
      <c r="AC56" s="259"/>
      <c r="AD56" s="224"/>
      <c r="AE56" s="224"/>
      <c r="AF56" s="224"/>
      <c r="AG56" s="248" t="s">
        <v>102</v>
      </c>
      <c r="AH56" s="224" t="s">
        <v>103</v>
      </c>
    </row>
    <row r="57" spans="1:34" ht="21.6" customHeight="1">
      <c r="A57" s="2">
        <v>56</v>
      </c>
      <c r="B57" s="273">
        <v>2540</v>
      </c>
      <c r="C57" s="274" t="s">
        <v>2529</v>
      </c>
      <c r="J57" s="5" t="s">
        <v>5115</v>
      </c>
      <c r="U57" s="260" t="str">
        <f t="shared" si="3"/>
        <v>園市</v>
      </c>
      <c r="V57" s="258" t="str">
        <f t="shared" si="1"/>
        <v>蘆竹區</v>
      </c>
      <c r="W57" s="258" t="str">
        <f t="shared" si="2"/>
        <v>濱海路一段203號</v>
      </c>
      <c r="X57" s="2" t="s">
        <v>326</v>
      </c>
      <c r="Y57" s="2" t="str">
        <f>VLOOKUP(V57,門市狀態!G:H,2,FALSE)</f>
        <v>吳宗鴻</v>
      </c>
      <c r="Z57" s="218" t="str">
        <f>IF(D57="FVC7", IF(COUNTIF(特殊門市清單!N:N, B57)=0, "FVC7", VLOOKUP(B57,特殊門市清單!N:T,7,FALSE)), IF(AA57="v","Peplink",""))</f>
        <v/>
      </c>
      <c r="AA57" s="218" t="str">
        <f>IFERROR(VLOOKUP(B57,門市狀態!A:D,4,FALSE),"")</f>
        <v/>
      </c>
      <c r="AB57" s="224" t="str">
        <f>VLOOKUP(B57,門市總表!A:B,2,FALSE)</f>
        <v>蘆竹坑子口</v>
      </c>
      <c r="AC57" s="259"/>
      <c r="AD57" s="224"/>
      <c r="AE57" s="224"/>
      <c r="AF57" s="224"/>
      <c r="AG57" s="248" t="s">
        <v>102</v>
      </c>
      <c r="AH57" s="224" t="s">
        <v>103</v>
      </c>
    </row>
    <row r="58" spans="1:34" ht="21.6" customHeight="1">
      <c r="A58" s="2">
        <v>57</v>
      </c>
      <c r="B58" s="273">
        <v>2566</v>
      </c>
      <c r="C58" s="274" t="s">
        <v>5116</v>
      </c>
      <c r="J58" s="5" t="s">
        <v>5117</v>
      </c>
      <c r="U58" s="260" t="str">
        <f t="shared" si="3"/>
        <v>桃園市</v>
      </c>
      <c r="V58" s="258" t="str">
        <f t="shared" si="1"/>
        <v>龜山區</v>
      </c>
      <c r="W58" s="258" t="str">
        <f t="shared" si="2"/>
        <v>復興街5號</v>
      </c>
      <c r="X58" s="2" t="s">
        <v>326</v>
      </c>
      <c r="Y58" s="2" t="str">
        <f>VLOOKUP(V58,門市狀態!G:H,2,FALSE)</f>
        <v>吳宗鴻</v>
      </c>
      <c r="Z58" s="218" t="str">
        <f>IF(D58="FVC7", IF(COUNTIF(特殊門市清單!N:N, B58)=0, "FVC7", VLOOKUP(B58,特殊門市清單!N:T,7,FALSE)), IF(AA58="v","Peplink",""))</f>
        <v/>
      </c>
      <c r="AA58" s="218" t="str">
        <f>IFERROR(VLOOKUP(B58,門市狀態!A:D,4,FALSE),"")</f>
        <v/>
      </c>
      <c r="AB58" s="224" t="str">
        <f>VLOOKUP(B58,門市總表!A:B,2,FALSE)</f>
        <v>桃縣桃旺店</v>
      </c>
      <c r="AC58" s="259"/>
      <c r="AD58" s="224"/>
      <c r="AE58" s="224"/>
      <c r="AF58" s="224"/>
      <c r="AG58" s="248" t="s">
        <v>102</v>
      </c>
      <c r="AH58" s="224"/>
    </row>
    <row r="59" spans="1:34" ht="21.6" customHeight="1">
      <c r="A59" s="2">
        <v>58</v>
      </c>
      <c r="B59" s="273">
        <v>2596</v>
      </c>
      <c r="C59" s="274" t="s">
        <v>3125</v>
      </c>
      <c r="J59" s="5" t="s">
        <v>5118</v>
      </c>
      <c r="U59" s="260" t="str">
        <f t="shared" si="3"/>
        <v>桃園市</v>
      </c>
      <c r="V59" s="258" t="str">
        <f t="shared" si="1"/>
        <v>龜山區</v>
      </c>
      <c r="W59" s="258" t="str">
        <f t="shared" si="2"/>
        <v>南上路284號</v>
      </c>
      <c r="X59" s="2" t="s">
        <v>326</v>
      </c>
      <c r="Y59" s="2" t="str">
        <f>VLOOKUP(V59,門市狀態!G:H,2,FALSE)</f>
        <v>吳宗鴻</v>
      </c>
      <c r="Z59" s="218" t="str">
        <f>IF(D59="FVC7", IF(COUNTIF(特殊門市清單!N:N, B59)=0, "FVC7", VLOOKUP(B59,特殊門市清單!N:T,7,FALSE)), IF(AA59="v","Peplink",""))</f>
        <v/>
      </c>
      <c r="AA59" s="218" t="str">
        <f>IFERROR(VLOOKUP(B59,門市狀態!A:D,4,FALSE),"")</f>
        <v/>
      </c>
      <c r="AB59" s="224" t="str">
        <f>VLOOKUP(B59,門市總表!A:B,2,FALSE)</f>
        <v>桃縣桃高店</v>
      </c>
      <c r="AC59" s="259"/>
      <c r="AD59" s="224"/>
      <c r="AE59" s="224"/>
      <c r="AF59" s="224"/>
      <c r="AG59" s="248" t="s">
        <v>102</v>
      </c>
      <c r="AH59" s="224" t="s">
        <v>103</v>
      </c>
    </row>
    <row r="60" spans="1:34" ht="21.6" customHeight="1">
      <c r="A60" s="2">
        <v>59</v>
      </c>
      <c r="B60" s="273">
        <v>2620</v>
      </c>
      <c r="C60" s="274" t="s">
        <v>5119</v>
      </c>
      <c r="J60" s="5" t="s">
        <v>5120</v>
      </c>
      <c r="U60" s="260" t="str">
        <f t="shared" si="3"/>
        <v>桃園市</v>
      </c>
      <c r="V60" s="258" t="str">
        <f t="shared" si="1"/>
        <v>龜山區</v>
      </c>
      <c r="W60" s="258" t="str">
        <f t="shared" si="2"/>
        <v>民生北路一段128、130、132號</v>
      </c>
      <c r="X60" s="2" t="s">
        <v>326</v>
      </c>
      <c r="Y60" s="2" t="str">
        <f>VLOOKUP(V60,門市狀態!G:H,2,FALSE)</f>
        <v>吳宗鴻</v>
      </c>
      <c r="Z60" s="218" t="str">
        <f>IF(D60="FVC7", IF(COUNTIF(特殊門市清單!N:N, B60)=0, "FVC7", VLOOKUP(B60,特殊門市清單!N:T,7,FALSE)), IF(AA60="v","Peplink",""))</f>
        <v/>
      </c>
      <c r="AA60" s="218" t="str">
        <f>IFERROR(VLOOKUP(B60,門市狀態!A:D,4,FALSE),"")</f>
        <v/>
      </c>
      <c r="AB60" s="224" t="str">
        <f>VLOOKUP(B60,門市總表!A:B,2,FALSE)</f>
        <v>桃縣桃科店</v>
      </c>
      <c r="AC60" s="259"/>
      <c r="AD60" s="224"/>
      <c r="AE60" s="224"/>
      <c r="AF60" s="224"/>
      <c r="AG60" s="248" t="s">
        <v>102</v>
      </c>
      <c r="AH60" s="224" t="s">
        <v>103</v>
      </c>
    </row>
    <row r="61" spans="1:34" ht="21.6" customHeight="1">
      <c r="A61" s="2">
        <v>60</v>
      </c>
      <c r="B61" s="273">
        <v>2622</v>
      </c>
      <c r="C61" s="274" t="s">
        <v>5121</v>
      </c>
      <c r="J61" s="5" t="s">
        <v>5122</v>
      </c>
      <c r="U61" s="260" t="str">
        <f t="shared" si="3"/>
        <v>桃園市</v>
      </c>
      <c r="V61" s="258" t="str">
        <f t="shared" si="1"/>
        <v>龜山區</v>
      </c>
      <c r="W61" s="258" t="str">
        <f t="shared" si="2"/>
        <v>復興一路102號</v>
      </c>
      <c r="X61" s="2" t="s">
        <v>326</v>
      </c>
      <c r="Y61" s="2" t="str">
        <f>VLOOKUP(V61,門市狀態!G:H,2,FALSE)</f>
        <v>吳宗鴻</v>
      </c>
      <c r="Z61" s="218" t="str">
        <f>IF(D61="FVC7", IF(COUNTIF(特殊門市清單!N:N, B61)=0, "FVC7", VLOOKUP(B61,特殊門市清單!N:T,7,FALSE)), IF(AA61="v","Peplink",""))</f>
        <v/>
      </c>
      <c r="AA61" s="218" t="str">
        <f>IFERROR(VLOOKUP(B61,門市狀態!A:D,4,FALSE),"")</f>
        <v/>
      </c>
      <c r="AB61" s="224" t="str">
        <f>VLOOKUP(B61,門市總表!A:B,2,FALSE)</f>
        <v>蘆竹君悅店</v>
      </c>
      <c r="AC61" s="259"/>
      <c r="AD61" s="224"/>
      <c r="AE61" s="224"/>
      <c r="AF61" s="224"/>
      <c r="AG61" s="248" t="s">
        <v>102</v>
      </c>
      <c r="AH61" s="224"/>
    </row>
    <row r="62" spans="1:34" ht="21.6" customHeight="1">
      <c r="A62" s="2">
        <v>61</v>
      </c>
      <c r="B62" s="273">
        <v>2763</v>
      </c>
      <c r="C62" s="274" t="s">
        <v>5123</v>
      </c>
      <c r="J62" s="5" t="s">
        <v>5124</v>
      </c>
      <c r="U62" s="260" t="str">
        <f t="shared" si="3"/>
        <v>桃園市</v>
      </c>
      <c r="V62" s="258" t="str">
        <f t="shared" si="1"/>
        <v>龜山區</v>
      </c>
      <c r="W62" s="258" t="str">
        <f t="shared" si="2"/>
        <v>復興三路71號</v>
      </c>
      <c r="X62" s="2" t="s">
        <v>326</v>
      </c>
      <c r="Y62" s="2" t="str">
        <f>VLOOKUP(V62,門市狀態!G:H,2,FALSE)</f>
        <v>吳宗鴻</v>
      </c>
      <c r="Z62" s="218" t="str">
        <f>IF(D62="FVC7", IF(COUNTIF(特殊門市清單!N:N, B62)=0, "FVC7", VLOOKUP(B62,特殊門市清單!N:T,7,FALSE)), IF(AA62="v","Peplink",""))</f>
        <v/>
      </c>
      <c r="AA62" s="218" t="str">
        <f>IFERROR(VLOOKUP(B62,門市狀態!A:D,4,FALSE),"")</f>
        <v/>
      </c>
      <c r="AB62" s="224" t="str">
        <f>VLOOKUP(B62,門市總表!A:B,2,FALSE)</f>
        <v>桃縣桃燿店</v>
      </c>
      <c r="AC62" s="259"/>
      <c r="AD62" s="224"/>
      <c r="AE62" s="224"/>
      <c r="AF62" s="224"/>
      <c r="AG62" s="248" t="s">
        <v>102</v>
      </c>
      <c r="AH62" s="224" t="s">
        <v>103</v>
      </c>
    </row>
    <row r="63" spans="1:34" ht="21.6" customHeight="1">
      <c r="A63" s="2">
        <v>62</v>
      </c>
      <c r="B63" s="273">
        <v>2988</v>
      </c>
      <c r="C63" s="274" t="s">
        <v>5125</v>
      </c>
      <c r="J63" s="5" t="s">
        <v>5126</v>
      </c>
      <c r="U63" s="260" t="str">
        <f t="shared" si="3"/>
        <v>桃園市</v>
      </c>
      <c r="V63" s="258" t="str">
        <f t="shared" si="1"/>
        <v>龜山區</v>
      </c>
      <c r="W63" s="258" t="str">
        <f t="shared" si="2"/>
        <v>樹人路56號</v>
      </c>
      <c r="X63" s="2" t="s">
        <v>326</v>
      </c>
      <c r="Y63" s="2" t="str">
        <f>VLOOKUP(V63,門市狀態!G:H,2,FALSE)</f>
        <v>吳宗鴻</v>
      </c>
      <c r="Z63" s="218" t="str">
        <f>IF(D63="FVC7", IF(COUNTIF(特殊門市清單!N:N, B63)=0, "FVC7", VLOOKUP(B63,特殊門市清單!N:T,7,FALSE)), IF(AA63="v","Peplink",""))</f>
        <v/>
      </c>
      <c r="AA63" s="218" t="str">
        <f>IFERROR(VLOOKUP(B63,門市狀態!A:D,4,FALSE),"")</f>
        <v/>
      </c>
      <c r="AB63" s="224" t="str">
        <f>VLOOKUP(B63,門市總表!A:B,2,FALSE)</f>
        <v>蘆竹蘆興店</v>
      </c>
      <c r="AC63" s="259"/>
      <c r="AD63" s="224"/>
      <c r="AE63" s="224"/>
      <c r="AF63" s="224"/>
      <c r="AG63" s="248" t="s">
        <v>102</v>
      </c>
      <c r="AH63" s="224" t="s">
        <v>103</v>
      </c>
    </row>
    <row r="64" spans="1:34" ht="21.6" customHeight="1">
      <c r="A64" s="2">
        <v>63</v>
      </c>
      <c r="B64" s="273">
        <v>3008</v>
      </c>
      <c r="C64" s="274" t="s">
        <v>5127</v>
      </c>
      <c r="J64" s="5" t="s">
        <v>5128</v>
      </c>
      <c r="U64" s="260" t="str">
        <f t="shared" si="3"/>
        <v>桃園市</v>
      </c>
      <c r="V64" s="258" t="str">
        <f t="shared" si="1"/>
        <v>龜山區</v>
      </c>
      <c r="W64" s="258" t="str">
        <f t="shared" si="2"/>
        <v>中興路302號</v>
      </c>
      <c r="X64" s="2" t="s">
        <v>326</v>
      </c>
      <c r="Y64" s="2" t="str">
        <f>VLOOKUP(V64,門市狀態!G:H,2,FALSE)</f>
        <v>吳宗鴻</v>
      </c>
      <c r="Z64" s="218" t="str">
        <f>IF(D64="FVC7", IF(COUNTIF(特殊門市清單!N:N, B64)=0, "FVC7", VLOOKUP(B64,特殊門市清單!N:T,7,FALSE)), IF(AA64="v","Peplink",""))</f>
        <v/>
      </c>
      <c r="AA64" s="218" t="str">
        <f>IFERROR(VLOOKUP(B64,門市狀態!A:D,4,FALSE),"")</f>
        <v/>
      </c>
      <c r="AB64" s="224" t="str">
        <f>VLOOKUP(B64,門市總表!A:B,2,FALSE)</f>
        <v>龜山香品店</v>
      </c>
      <c r="AC64" s="259"/>
      <c r="AD64" s="224"/>
      <c r="AE64" s="224"/>
      <c r="AF64" s="224"/>
      <c r="AG64" s="248" t="s">
        <v>102</v>
      </c>
      <c r="AH64" s="224"/>
    </row>
    <row r="65" spans="1:34" ht="21.6" customHeight="1">
      <c r="A65" s="2">
        <v>64</v>
      </c>
      <c r="B65" s="273">
        <v>3017</v>
      </c>
      <c r="C65" s="274" t="s">
        <v>2445</v>
      </c>
      <c r="J65" s="5" t="s">
        <v>5129</v>
      </c>
      <c r="U65" s="260" t="str">
        <f t="shared" si="3"/>
        <v>桃園市</v>
      </c>
      <c r="V65" s="258" t="str">
        <f t="shared" si="1"/>
        <v>龜山區</v>
      </c>
      <c r="W65" s="258" t="str">
        <f t="shared" si="2"/>
        <v>自強東路192號</v>
      </c>
      <c r="X65" s="2" t="s">
        <v>326</v>
      </c>
      <c r="Y65" s="2" t="str">
        <f>VLOOKUP(V65,門市狀態!G:H,2,FALSE)</f>
        <v>吳宗鴻</v>
      </c>
      <c r="Z65" s="218" t="str">
        <f>IF(D65="FVC7", IF(COUNTIF(特殊門市清單!N:N, B65)=0, "FVC7", VLOOKUP(B65,特殊門市清單!N:T,7,FALSE)), IF(AA65="v","Peplink",""))</f>
        <v/>
      </c>
      <c r="AA65" s="218" t="str">
        <f>IFERROR(VLOOKUP(B65,門市狀態!A:D,4,FALSE),"")</f>
        <v/>
      </c>
      <c r="AB65" s="224" t="str">
        <f>VLOOKUP(B65,門市總表!A:B,2,FALSE)</f>
        <v>龜山大同店</v>
      </c>
      <c r="AC65" s="259"/>
      <c r="AD65" s="224"/>
      <c r="AE65" s="224"/>
      <c r="AF65" s="224"/>
      <c r="AG65" s="248" t="s">
        <v>102</v>
      </c>
      <c r="AH65" s="224" t="s">
        <v>103</v>
      </c>
    </row>
    <row r="66" spans="1:34" ht="21.6" customHeight="1">
      <c r="A66" s="2">
        <v>65</v>
      </c>
      <c r="B66" s="273">
        <v>3045</v>
      </c>
      <c r="C66" s="274" t="s">
        <v>5130</v>
      </c>
      <c r="J66" s="5" t="s">
        <v>5131</v>
      </c>
      <c r="U66" s="260" t="str">
        <f t="shared" ref="U66:U97" si="4">IFERROR(LEFT(J66,FIND("縣",J66)),IFERROR(LEFT(J66,FIND("市",J66)),J66))</f>
        <v>桃園市</v>
      </c>
      <c r="V66" s="258" t="str">
        <f t="shared" ref="V66:V129" si="5">IFERROR(
IFERROR(
IFERROR(
MID(J66,FIND("市",J66)+1,IF(FIND("區",J66)-FIND("市",J66)&gt;3,FIND("鄉",J66)-FIND("市",J66),FIND("區",J66)-FIND("市",J66))),
MID(J66,FIND("市",J66)+1,IF(FIND("鎮",J66)-FIND("市",J66)&gt;3,FIND("鄉",J66)-FIND("市",J66),FIND("鎮",J66)-FIND("市",J66)))
),
MID(J66,FIND("市",J66)+1,IF(FIND("鄉",J66)-FIND("市",J66)&gt;3,FIND("區",J66)-FIND("市",J66),FIND("鄉",J66)-FIND("市",J66)))
),
IFERROR(
IFERROR(
IFERROR(
MID(J66,FIND("縣",J66)+1,IF(FIND("區",J66)-FIND("縣",J66)&gt;3,FIND("鄉",J66)-FIND("縣",J66),FIND("區",J66)-FIND("縣",J66))),
MID(J66,FIND("縣",J66)+1,IF(FIND("鎮",J66)-FIND("縣",J66)&gt;3,FIND("鄉",J66)-FIND("縣",J66),FIND("鎮",J66)-FIND("縣",J66)))
),
MID(J66,FIND("縣",J66)+1,IF(FIND("鄉",J66)-FIND("縣",J66)&gt;3,FIND("區",J66)-FIND("縣",J66),FIND("鄉",J66)-FIND("縣",J66)))
),
IFERROR(
MID(J66,FIND("市",J66)+1,IF(FIND("縣",J66)-FIND("市",J66)&gt;3,FIND("鄉",J66)-FIND("市",J66),FIND("縣",J66)-FIND("市",J66))),
MID(J66,FIND("縣",J66)+1,IF(FIND("市",J66)-FIND("縣",J66)&gt;3,FIND("鄉",J66)-FIND("縣",J66),FIND("市",J66)-FIND("縣",J66)))
)))</f>
        <v>龜山區</v>
      </c>
      <c r="W66" s="258" t="str">
        <f t="shared" ref="W66:W129" si="6">IFERROR(MID(J66,IFERROR(FIND("鄉",J66),IFERROR(FIND("鎮",J66),FIND("區",J66)))+1,LEN(J66)),IFERROR(MID(J66,FIND("市",J66)+1,LEN(J66)),MID(J66,FIND("縣",J66)+1,LEN(J66))))</f>
        <v>茶專路172巷2.4號</v>
      </c>
      <c r="X66" s="2" t="s">
        <v>326</v>
      </c>
      <c r="Y66" s="2" t="str">
        <f>VLOOKUP(V66,門市狀態!G:H,2,FALSE)</f>
        <v>吳宗鴻</v>
      </c>
      <c r="Z66" s="218" t="str">
        <f>IF(D66="FVC7", IF(COUNTIF(特殊門市清單!N:N, B66)=0, "FVC7", VLOOKUP(B66,特殊門市清單!N:T,7,FALSE)), IF(AA66="v","Peplink",""))</f>
        <v/>
      </c>
      <c r="AA66" s="218" t="str">
        <f>IFERROR(VLOOKUP(B66,門市狀態!A:D,4,FALSE),"")</f>
        <v/>
      </c>
      <c r="AB66" s="224" t="str">
        <f>VLOOKUP(B66,門市總表!A:B,2,FALSE)</f>
        <v>桃縣桃楚店</v>
      </c>
      <c r="AC66" s="259"/>
      <c r="AD66" s="224"/>
      <c r="AE66" s="224"/>
      <c r="AF66" s="224"/>
      <c r="AG66" s="248" t="s">
        <v>102</v>
      </c>
      <c r="AH66" s="224" t="s">
        <v>103</v>
      </c>
    </row>
    <row r="67" spans="1:34" ht="21.6" customHeight="1">
      <c r="A67" s="2">
        <v>66</v>
      </c>
      <c r="B67" s="273">
        <v>3556</v>
      </c>
      <c r="C67" s="274" t="s">
        <v>5132</v>
      </c>
      <c r="J67" s="5" t="s">
        <v>5133</v>
      </c>
      <c r="U67" s="260" t="str">
        <f t="shared" si="4"/>
        <v>桃園市</v>
      </c>
      <c r="V67" s="258" t="str">
        <f t="shared" si="5"/>
        <v>龜山區</v>
      </c>
      <c r="W67" s="258" t="str">
        <f t="shared" si="6"/>
        <v>萬壽路一段388、390號</v>
      </c>
      <c r="X67" s="2" t="s">
        <v>326</v>
      </c>
      <c r="Y67" s="2" t="str">
        <f>VLOOKUP(V67,門市狀態!G:H,2,FALSE)</f>
        <v>吳宗鴻</v>
      </c>
      <c r="Z67" s="218" t="str">
        <f>IF(D67="FVC7", IF(COUNTIF(特殊門市清單!N:N, B67)=0, "FVC7", VLOOKUP(B67,特殊門市清單!N:T,7,FALSE)), IF(AA67="v","Peplink",""))</f>
        <v/>
      </c>
      <c r="AA67" s="218" t="str">
        <f>IFERROR(VLOOKUP(B67,門市狀態!A:D,4,FALSE),"")</f>
        <v/>
      </c>
      <c r="AB67" s="224" t="str">
        <f>VLOOKUP(B67,門市總表!A:B,2,FALSE)</f>
        <v>桃縣蘆華店</v>
      </c>
      <c r="AC67" s="259"/>
      <c r="AD67" s="224"/>
      <c r="AE67" s="224"/>
      <c r="AF67" s="224"/>
      <c r="AG67" s="248" t="s">
        <v>102</v>
      </c>
      <c r="AH67" s="224" t="s">
        <v>103</v>
      </c>
    </row>
    <row r="68" spans="1:34" ht="21.6" customHeight="1">
      <c r="A68" s="2">
        <v>67</v>
      </c>
      <c r="B68" s="273">
        <v>3692</v>
      </c>
      <c r="C68" s="274" t="s">
        <v>5134</v>
      </c>
      <c r="J68" s="5" t="s">
        <v>5135</v>
      </c>
      <c r="U68" s="260" t="str">
        <f t="shared" si="4"/>
        <v>桃園市</v>
      </c>
      <c r="V68" s="258" t="str">
        <f t="shared" si="5"/>
        <v>龜山區</v>
      </c>
      <c r="W68" s="258" t="str">
        <f t="shared" si="6"/>
        <v>樂學路470號</v>
      </c>
      <c r="X68" s="2" t="s">
        <v>326</v>
      </c>
      <c r="Y68" s="2" t="str">
        <f>VLOOKUP(V68,門市狀態!G:H,2,FALSE)</f>
        <v>吳宗鴻</v>
      </c>
      <c r="Z68" s="218" t="str">
        <f>IF(D68="FVC7", IF(COUNTIF(特殊門市清單!N:N, B68)=0, "FVC7", VLOOKUP(B68,特殊門市清單!N:T,7,FALSE)), IF(AA68="v","Peplink",""))</f>
        <v/>
      </c>
      <c r="AA68" s="218" t="str">
        <f>IFERROR(VLOOKUP(B68,門市狀態!A:D,4,FALSE),"")</f>
        <v/>
      </c>
      <c r="AB68" s="224" t="str">
        <f>VLOOKUP(B68,門市總表!A:B,2,FALSE)</f>
        <v>龜山頂湖店</v>
      </c>
      <c r="AC68" s="259"/>
      <c r="AD68" s="224"/>
      <c r="AE68" s="224"/>
      <c r="AF68" s="224"/>
      <c r="AG68" s="248" t="s">
        <v>102</v>
      </c>
      <c r="AH68" s="224" t="s">
        <v>103</v>
      </c>
    </row>
    <row r="69" spans="1:34" ht="21.6" customHeight="1">
      <c r="A69" s="2">
        <v>68</v>
      </c>
      <c r="B69" s="273">
        <v>3749</v>
      </c>
      <c r="C69" s="274" t="s">
        <v>5136</v>
      </c>
      <c r="J69" s="5" t="s">
        <v>5137</v>
      </c>
      <c r="U69" s="260" t="str">
        <f t="shared" si="4"/>
        <v>桃園市</v>
      </c>
      <c r="V69" s="258" t="str">
        <f t="shared" si="5"/>
        <v>龜山區</v>
      </c>
      <c r="W69" s="258" t="str">
        <f t="shared" si="6"/>
        <v>文化一路261號(長庚科大 第三教學大樓 1樓)</v>
      </c>
      <c r="X69" s="2" t="s">
        <v>326</v>
      </c>
      <c r="Y69" s="2" t="str">
        <f>VLOOKUP(V69,門市狀態!G:H,2,FALSE)</f>
        <v>吳宗鴻</v>
      </c>
      <c r="Z69" s="218" t="str">
        <f>IF(D69="FVC7", IF(COUNTIF(特殊門市清單!N:N, B69)=0, "FVC7", VLOOKUP(B69,特殊門市清單!N:T,7,FALSE)), IF(AA69="v","Peplink",""))</f>
        <v/>
      </c>
      <c r="AA69" s="218" t="str">
        <f>IFERROR(VLOOKUP(B69,門市狀態!A:D,4,FALSE),"")</f>
        <v/>
      </c>
      <c r="AB69" s="224" t="str">
        <f>VLOOKUP(B69,門市總表!A:B,2,FALSE)</f>
        <v>龜山長庚科大</v>
      </c>
      <c r="AC69" s="259"/>
      <c r="AD69" s="224"/>
      <c r="AE69" s="224"/>
      <c r="AF69" s="224"/>
      <c r="AG69" s="248" t="s">
        <v>102</v>
      </c>
      <c r="AH69" s="224"/>
    </row>
    <row r="70" spans="1:34" ht="21.6" customHeight="1">
      <c r="A70" s="2">
        <v>69</v>
      </c>
      <c r="B70" s="273">
        <v>3880</v>
      </c>
      <c r="C70" s="274" t="s">
        <v>5138</v>
      </c>
      <c r="J70" s="5" t="s">
        <v>5139</v>
      </c>
      <c r="U70" s="260" t="str">
        <f t="shared" si="4"/>
        <v>桃園市</v>
      </c>
      <c r="V70" s="258" t="str">
        <f t="shared" si="5"/>
        <v>龜山區</v>
      </c>
      <c r="W70" s="258" t="str">
        <f t="shared" si="6"/>
        <v>樂善二路181.183號</v>
      </c>
      <c r="X70" s="2" t="s">
        <v>326</v>
      </c>
      <c r="Y70" s="2" t="str">
        <f>VLOOKUP(V70,門市狀態!G:H,2,FALSE)</f>
        <v>吳宗鴻</v>
      </c>
      <c r="Z70" s="218" t="str">
        <f>IF(D70="FVC7", IF(COUNTIF(特殊門市清單!N:N, B70)=0, "FVC7", VLOOKUP(B70,特殊門市清單!N:T,7,FALSE)), IF(AA70="v","Peplink",""))</f>
        <v/>
      </c>
      <c r="AA70" s="218" t="str">
        <f>IFERROR(VLOOKUP(B70,門市狀態!A:D,4,FALSE),"")</f>
        <v/>
      </c>
      <c r="AB70" s="224" t="str">
        <f>VLOOKUP(B70,門市總表!A:B,2,FALSE)</f>
        <v>桃縣富竹店</v>
      </c>
      <c r="AC70" s="259"/>
      <c r="AD70" s="224"/>
      <c r="AE70" s="224"/>
      <c r="AF70" s="224"/>
      <c r="AG70" s="248" t="s">
        <v>102</v>
      </c>
      <c r="AH70" s="224" t="s">
        <v>103</v>
      </c>
    </row>
    <row r="71" spans="1:34" ht="21.6" customHeight="1">
      <c r="A71" s="2">
        <v>70</v>
      </c>
      <c r="B71" s="273">
        <v>3881</v>
      </c>
      <c r="C71" s="274" t="s">
        <v>5140</v>
      </c>
      <c r="J71" s="5" t="s">
        <v>5141</v>
      </c>
      <c r="U71" s="260" t="str">
        <f t="shared" si="4"/>
        <v>桃園市</v>
      </c>
      <c r="V71" s="258" t="str">
        <f t="shared" si="5"/>
        <v>龜山區</v>
      </c>
      <c r="W71" s="258" t="str">
        <f t="shared" si="6"/>
        <v>文化七路55號1樓部份</v>
      </c>
      <c r="X71" s="2" t="s">
        <v>326</v>
      </c>
      <c r="Y71" s="2" t="str">
        <f>VLOOKUP(V71,門市狀態!G:H,2,FALSE)</f>
        <v>吳宗鴻</v>
      </c>
      <c r="Z71" s="218" t="str">
        <f>IF(D71="FVC7", IF(COUNTIF(特殊門市清單!N:N, B71)=0, "FVC7", VLOOKUP(B71,特殊門市清單!N:T,7,FALSE)), IF(AA71="v","Peplink",""))</f>
        <v/>
      </c>
      <c r="AA71" s="218" t="str">
        <f>IFERROR(VLOOKUP(B71,門市狀態!A:D,4,FALSE),"")</f>
        <v/>
      </c>
      <c r="AB71" s="224" t="str">
        <f>VLOOKUP(B71,門市總表!A:B,2,FALSE)</f>
        <v>蘆竹蘆東店</v>
      </c>
      <c r="AC71" s="259"/>
      <c r="AD71" s="224"/>
      <c r="AE71" s="224"/>
      <c r="AF71" s="224"/>
      <c r="AG71" s="248" t="s">
        <v>102</v>
      </c>
      <c r="AH71" s="224" t="s">
        <v>103</v>
      </c>
    </row>
    <row r="72" spans="1:34" ht="21.6" customHeight="1">
      <c r="A72" s="2">
        <v>71</v>
      </c>
      <c r="B72" s="273">
        <v>4035</v>
      </c>
      <c r="C72" s="274" t="s">
        <v>5142</v>
      </c>
      <c r="J72" s="5" t="s">
        <v>5143</v>
      </c>
      <c r="U72" s="260" t="str">
        <f t="shared" si="4"/>
        <v>桃園市</v>
      </c>
      <c r="V72" s="258" t="str">
        <f t="shared" si="5"/>
        <v>龜山區</v>
      </c>
      <c r="W72" s="258" t="str">
        <f t="shared" si="6"/>
        <v>復興街185號1樓</v>
      </c>
      <c r="X72" s="2" t="s">
        <v>326</v>
      </c>
      <c r="Y72" s="2" t="str">
        <f>VLOOKUP(V72,門市狀態!G:H,2,FALSE)</f>
        <v>吳宗鴻</v>
      </c>
      <c r="Z72" s="218" t="str">
        <f>IF(D72="FVC7", IF(COUNTIF(特殊門市清單!N:N, B72)=0, "FVC7", VLOOKUP(B72,特殊門市清單!N:T,7,FALSE)), IF(AA72="v","Peplink",""))</f>
        <v/>
      </c>
      <c r="AA72" s="218" t="str">
        <f>IFERROR(VLOOKUP(B72,門市狀態!A:D,4,FALSE),"")</f>
        <v/>
      </c>
      <c r="AB72" s="224" t="str">
        <f>VLOOKUP(B72,門市總表!A:B,2,FALSE)</f>
        <v>龜山南上店</v>
      </c>
      <c r="AC72" s="259"/>
      <c r="AD72" s="224"/>
      <c r="AE72" s="224"/>
      <c r="AF72" s="224"/>
      <c r="AG72" s="248" t="s">
        <v>102</v>
      </c>
      <c r="AH72" s="224" t="s">
        <v>103</v>
      </c>
    </row>
    <row r="73" spans="1:34" ht="21.6" customHeight="1">
      <c r="A73" s="2">
        <v>72</v>
      </c>
      <c r="B73" s="273">
        <v>4197</v>
      </c>
      <c r="C73" s="274" t="s">
        <v>5144</v>
      </c>
      <c r="J73" s="5" t="s">
        <v>5145</v>
      </c>
      <c r="U73" s="260" t="str">
        <f t="shared" si="4"/>
        <v>桃園市</v>
      </c>
      <c r="V73" s="258" t="str">
        <f t="shared" si="5"/>
        <v>龜山區</v>
      </c>
      <c r="W73" s="258" t="str">
        <f t="shared" si="6"/>
        <v>茶專路22號</v>
      </c>
      <c r="X73" s="2" t="s">
        <v>326</v>
      </c>
      <c r="Y73" s="2" t="str">
        <f>VLOOKUP(V73,門市狀態!G:H,2,FALSE)</f>
        <v>吳宗鴻</v>
      </c>
      <c r="Z73" s="218" t="str">
        <f>IF(D73="FVC7", IF(COUNTIF(特殊門市清單!N:N, B73)=0, "FVC7", VLOOKUP(B73,特殊門市清單!N:T,7,FALSE)), IF(AA73="v","Peplink",""))</f>
        <v/>
      </c>
      <c r="AA73" s="218" t="str">
        <f>IFERROR(VLOOKUP(B73,門市狀態!A:D,4,FALSE),"")</f>
        <v/>
      </c>
      <c r="AB73" s="224" t="str">
        <f>VLOOKUP(B73,門市總表!A:B,2,FALSE)</f>
        <v>龜山崇優店</v>
      </c>
      <c r="AC73" s="259"/>
      <c r="AD73" s="224"/>
      <c r="AE73" s="224"/>
      <c r="AF73" s="224"/>
      <c r="AG73" s="248" t="s">
        <v>102</v>
      </c>
      <c r="AH73" s="224" t="s">
        <v>103</v>
      </c>
    </row>
    <row r="74" spans="1:34" ht="21.6" customHeight="1">
      <c r="A74" s="2">
        <v>73</v>
      </c>
      <c r="B74" s="273">
        <v>4272</v>
      </c>
      <c r="C74" s="274" t="s">
        <v>5146</v>
      </c>
      <c r="J74" s="5" t="s">
        <v>5147</v>
      </c>
      <c r="U74" s="260" t="str">
        <f t="shared" si="4"/>
        <v>桃園市</v>
      </c>
      <c r="V74" s="258" t="str">
        <f t="shared" si="5"/>
        <v>龜山區</v>
      </c>
      <c r="W74" s="258" t="str">
        <f t="shared" si="6"/>
        <v>文化一路250號 (國立體育大學體育館)</v>
      </c>
      <c r="X74" s="2" t="s">
        <v>326</v>
      </c>
      <c r="Y74" s="2" t="str">
        <f>VLOOKUP(V74,門市狀態!G:H,2,FALSE)</f>
        <v>吳宗鴻</v>
      </c>
      <c r="Z74" s="218" t="str">
        <f>IF(D74="FVC7", IF(COUNTIF(特殊門市清單!N:N, B74)=0, "FVC7", VLOOKUP(B74,特殊門市清單!N:T,7,FALSE)), IF(AA74="v","Peplink",""))</f>
        <v/>
      </c>
      <c r="AA74" s="218" t="str">
        <f>IFERROR(VLOOKUP(B74,門市狀態!A:D,4,FALSE),"")</f>
        <v/>
      </c>
      <c r="AB74" s="224" t="str">
        <f>VLOOKUP(B74,門市總表!A:B,2,FALSE)</f>
        <v>蘆竹南福店</v>
      </c>
      <c r="AC74" s="259"/>
      <c r="AD74" s="224"/>
      <c r="AE74" s="224"/>
      <c r="AF74" s="224"/>
      <c r="AG74" s="248" t="s">
        <v>102</v>
      </c>
      <c r="AH74" s="224"/>
    </row>
    <row r="75" spans="1:34" ht="21.6" customHeight="1">
      <c r="A75" s="2">
        <v>74</v>
      </c>
      <c r="B75" s="273">
        <v>4289</v>
      </c>
      <c r="C75" s="274" t="s">
        <v>5148</v>
      </c>
      <c r="J75" s="5" t="s">
        <v>5149</v>
      </c>
      <c r="U75" s="260" t="str">
        <f t="shared" si="4"/>
        <v>桃園市</v>
      </c>
      <c r="V75" s="258" t="str">
        <f t="shared" si="5"/>
        <v>龜山區</v>
      </c>
      <c r="W75" s="258" t="str">
        <f t="shared" si="6"/>
        <v>文三一街50-1號</v>
      </c>
      <c r="X75" s="2" t="s">
        <v>326</v>
      </c>
      <c r="Y75" s="2" t="str">
        <f>VLOOKUP(V75,門市狀態!G:H,2,FALSE)</f>
        <v>吳宗鴻</v>
      </c>
      <c r="Z75" s="218" t="str">
        <f>IF(D75="FVC7", IF(COUNTIF(特殊門市清單!N:N, B75)=0, "FVC7", VLOOKUP(B75,特殊門市清單!N:T,7,FALSE)), IF(AA75="v","Peplink",""))</f>
        <v/>
      </c>
      <c r="AA75" s="218" t="str">
        <f>IFERROR(VLOOKUP(B75,門市狀態!A:D,4,FALSE),"")</f>
        <v/>
      </c>
      <c r="AB75" s="224" t="str">
        <f>VLOOKUP(B75,門市總表!A:B,2,FALSE)</f>
        <v>蘆竹六股埤</v>
      </c>
      <c r="AC75" s="259"/>
      <c r="AD75" s="224"/>
      <c r="AE75" s="224"/>
      <c r="AF75" s="224"/>
      <c r="AG75" s="248" t="s">
        <v>102</v>
      </c>
      <c r="AH75" s="224" t="s">
        <v>103</v>
      </c>
    </row>
    <row r="76" spans="1:34" ht="21.6" customHeight="1">
      <c r="A76" s="2">
        <v>75</v>
      </c>
      <c r="B76" s="273">
        <v>4342</v>
      </c>
      <c r="C76" s="274" t="s">
        <v>5150</v>
      </c>
      <c r="J76" s="5" t="s">
        <v>5151</v>
      </c>
      <c r="U76" s="260" t="str">
        <f t="shared" si="4"/>
        <v>桃園市</v>
      </c>
      <c r="V76" s="258" t="str">
        <f t="shared" si="5"/>
        <v>龜山區</v>
      </c>
      <c r="W76" s="258" t="str">
        <f t="shared" si="6"/>
        <v>文化一路6號</v>
      </c>
      <c r="X76" s="2" t="s">
        <v>326</v>
      </c>
      <c r="Y76" s="2" t="str">
        <f>VLOOKUP(V76,門市狀態!G:H,2,FALSE)</f>
        <v>吳宗鴻</v>
      </c>
      <c r="Z76" s="218" t="str">
        <f>IF(D76="FVC7", IF(COUNTIF(特殊門市清單!N:N, B76)=0, "FVC7", VLOOKUP(B76,特殊門市清單!N:T,7,FALSE)), IF(AA76="v","Peplink",""))</f>
        <v/>
      </c>
      <c r="AA76" s="218" t="str">
        <f>IFERROR(VLOOKUP(B76,門市狀態!A:D,4,FALSE),"")</f>
        <v/>
      </c>
      <c r="AB76" s="224" t="str">
        <f>VLOOKUP(B76,門市總表!A:B,2,FALSE)</f>
        <v>蘆竹南崁店</v>
      </c>
      <c r="AC76" s="259"/>
      <c r="AD76" s="224"/>
      <c r="AE76" s="224"/>
      <c r="AF76" s="224"/>
      <c r="AG76" s="248" t="s">
        <v>102</v>
      </c>
      <c r="AH76" s="224" t="s">
        <v>103</v>
      </c>
    </row>
    <row r="77" spans="1:34" ht="21.6" customHeight="1">
      <c r="A77" s="2">
        <v>76</v>
      </c>
      <c r="B77" s="273">
        <v>4456</v>
      </c>
      <c r="C77" s="274" t="s">
        <v>5152</v>
      </c>
      <c r="J77" s="5" t="s">
        <v>5153</v>
      </c>
      <c r="U77" s="260" t="str">
        <f t="shared" si="4"/>
        <v>桃園市</v>
      </c>
      <c r="V77" s="258" t="str">
        <f t="shared" si="5"/>
        <v>龜山區</v>
      </c>
      <c r="W77" s="258" t="str">
        <f t="shared" si="6"/>
        <v>新興街255、257號</v>
      </c>
      <c r="X77" s="2" t="s">
        <v>326</v>
      </c>
      <c r="Y77" s="2" t="str">
        <f>VLOOKUP(V77,門市狀態!G:H,2,FALSE)</f>
        <v>吳宗鴻</v>
      </c>
      <c r="Z77" s="218" t="str">
        <f>IF(D77="FVC7", IF(COUNTIF(特殊門市清單!N:N, B77)=0, "FVC7", VLOOKUP(B77,特殊門市清單!N:T,7,FALSE)), IF(AA77="v","Peplink",""))</f>
        <v/>
      </c>
      <c r="AA77" s="218" t="str">
        <f>IFERROR(VLOOKUP(B77,門市狀態!A:D,4,FALSE),"")</f>
        <v/>
      </c>
      <c r="AB77" s="224" t="str">
        <f>VLOOKUP(B77,門市總表!A:B,2,FALSE)</f>
        <v>蘆竹華麗店</v>
      </c>
      <c r="AC77" s="259"/>
      <c r="AD77" s="224"/>
      <c r="AE77" s="224"/>
      <c r="AF77" s="224"/>
      <c r="AG77" s="248" t="s">
        <v>102</v>
      </c>
      <c r="AH77" s="224"/>
    </row>
    <row r="78" spans="1:34" ht="21.6" customHeight="1">
      <c r="A78" s="2">
        <v>77</v>
      </c>
      <c r="B78" s="273">
        <v>4503</v>
      </c>
      <c r="C78" s="274" t="s">
        <v>3133</v>
      </c>
      <c r="J78" s="5" t="s">
        <v>5154</v>
      </c>
      <c r="U78" s="260" t="str">
        <f t="shared" si="4"/>
        <v>桃園市</v>
      </c>
      <c r="V78" s="258" t="str">
        <f t="shared" si="5"/>
        <v>龜山區</v>
      </c>
      <c r="W78" s="258" t="str">
        <f t="shared" si="6"/>
        <v>文青路163號</v>
      </c>
      <c r="X78" s="2" t="s">
        <v>326</v>
      </c>
      <c r="Y78" s="2" t="str">
        <f>VLOOKUP(V78,門市狀態!G:H,2,FALSE)</f>
        <v>吳宗鴻</v>
      </c>
      <c r="Z78" s="218" t="str">
        <f>IF(D78="FVC7", IF(COUNTIF(特殊門市清單!N:N, B78)=0, "FVC7", VLOOKUP(B78,特殊門市清單!N:T,7,FALSE)), IF(AA78="v","Peplink",""))</f>
        <v/>
      </c>
      <c r="AA78" s="218" t="str">
        <f>IFERROR(VLOOKUP(B78,門市狀態!A:D,4,FALSE),"")</f>
        <v/>
      </c>
      <c r="AB78" s="224" t="str">
        <f>VLOOKUP(B78,門市總表!A:B,2,FALSE)</f>
        <v>龜山復恆店</v>
      </c>
      <c r="AC78" s="259"/>
      <c r="AD78" s="224"/>
      <c r="AE78" s="224"/>
      <c r="AF78" s="224"/>
      <c r="AG78" s="248" t="s">
        <v>102</v>
      </c>
      <c r="AH78" s="224"/>
    </row>
    <row r="79" spans="1:34" ht="21.6" customHeight="1">
      <c r="A79" s="2">
        <v>78</v>
      </c>
      <c r="B79" s="273">
        <v>4572</v>
      </c>
      <c r="C79" s="274" t="s">
        <v>3059</v>
      </c>
      <c r="J79" s="5" t="s">
        <v>5155</v>
      </c>
      <c r="U79" s="260" t="str">
        <f t="shared" si="4"/>
        <v>桃園市</v>
      </c>
      <c r="V79" s="258" t="str">
        <f t="shared" si="5"/>
        <v>龜山區</v>
      </c>
      <c r="W79" s="258" t="str">
        <f t="shared" si="6"/>
        <v>復興一街360號</v>
      </c>
      <c r="X79" s="2" t="s">
        <v>326</v>
      </c>
      <c r="Y79" s="2" t="str">
        <f>VLOOKUP(V79,門市狀態!G:H,2,FALSE)</f>
        <v>吳宗鴻</v>
      </c>
      <c r="Z79" s="218" t="str">
        <f>IF(D79="FVC7", IF(COUNTIF(特殊門市清單!N:N, B79)=0, "FVC7", VLOOKUP(B79,特殊門市清單!N:T,7,FALSE)), IF(AA79="v","Peplink",""))</f>
        <v/>
      </c>
      <c r="AA79" s="218" t="str">
        <f>IFERROR(VLOOKUP(B79,門市狀態!A:D,4,FALSE),"")</f>
        <v/>
      </c>
      <c r="AB79" s="224" t="str">
        <f>VLOOKUP(B79,門市總表!A:B,2,FALSE)</f>
        <v>蘆竹海湖店</v>
      </c>
      <c r="AC79" s="259"/>
      <c r="AD79" s="224"/>
      <c r="AE79" s="224"/>
      <c r="AF79" s="224"/>
      <c r="AG79" s="248" t="s">
        <v>102</v>
      </c>
      <c r="AH79" s="224"/>
    </row>
    <row r="80" spans="1:34" ht="21.6" customHeight="1">
      <c r="A80" s="2">
        <v>79</v>
      </c>
      <c r="B80" s="273">
        <v>4601</v>
      </c>
      <c r="C80" s="274" t="s">
        <v>5156</v>
      </c>
      <c r="J80" s="5" t="s">
        <v>5157</v>
      </c>
      <c r="U80" s="260" t="str">
        <f t="shared" si="4"/>
        <v>桃園市</v>
      </c>
      <c r="V80" s="258" t="str">
        <f t="shared" si="5"/>
        <v>龜山區</v>
      </c>
      <c r="W80" s="258" t="str">
        <f t="shared" si="6"/>
        <v>文興路30號</v>
      </c>
      <c r="X80" s="2" t="s">
        <v>326</v>
      </c>
      <c r="Y80" s="2" t="str">
        <f>VLOOKUP(V80,門市狀態!G:H,2,FALSE)</f>
        <v>吳宗鴻</v>
      </c>
      <c r="Z80" s="218" t="str">
        <f>IF(D80="FVC7", IF(COUNTIF(特殊門市清單!N:N, B80)=0, "FVC7", VLOOKUP(B80,特殊門市清單!N:T,7,FALSE)), IF(AA80="v","Peplink",""))</f>
        <v/>
      </c>
      <c r="AA80" s="218" t="str">
        <f>IFERROR(VLOOKUP(B80,門市狀態!A:D,4,FALSE),"")</f>
        <v/>
      </c>
      <c r="AB80" s="224" t="str">
        <f>VLOOKUP(B80,門市總表!A:B,2,FALSE)</f>
        <v>蘆竹領航店</v>
      </c>
      <c r="AC80" s="259"/>
      <c r="AD80" s="224"/>
      <c r="AE80" s="224"/>
      <c r="AF80" s="224"/>
      <c r="AG80" s="248" t="s">
        <v>102</v>
      </c>
      <c r="AH80" s="224"/>
    </row>
    <row r="81" spans="1:34" ht="21.6" customHeight="1">
      <c r="A81" s="2">
        <v>80</v>
      </c>
      <c r="B81" s="273">
        <v>4629</v>
      </c>
      <c r="C81" s="274" t="s">
        <v>5158</v>
      </c>
      <c r="J81" s="5" t="s">
        <v>5159</v>
      </c>
      <c r="U81" s="260" t="str">
        <f t="shared" si="4"/>
        <v>桃園市</v>
      </c>
      <c r="V81" s="258" t="str">
        <f t="shared" si="5"/>
        <v>蘆竹區</v>
      </c>
      <c r="W81" s="258" t="str">
        <f t="shared" si="6"/>
        <v>南山路二段429號</v>
      </c>
      <c r="X81" s="2" t="s">
        <v>326</v>
      </c>
      <c r="Y81" s="2" t="str">
        <f>VLOOKUP(V81,門市狀態!G:H,2,FALSE)</f>
        <v>吳宗鴻</v>
      </c>
      <c r="Z81" s="218" t="str">
        <f>IF(D81="FVC7", IF(COUNTIF(特殊門市清單!N:N, B81)=0, "FVC7", VLOOKUP(B81,特殊門市清單!N:T,7,FALSE)), IF(AA81="v","Peplink",""))</f>
        <v/>
      </c>
      <c r="AA81" s="218" t="str">
        <f>IFERROR(VLOOKUP(B81,門市狀態!A:D,4,FALSE),"")</f>
        <v/>
      </c>
      <c r="AB81" s="224" t="str">
        <f>VLOOKUP(B81,門市總表!A:B,2,FALSE)</f>
        <v>龜山警大店</v>
      </c>
      <c r="AC81" s="259"/>
      <c r="AD81" s="224"/>
      <c r="AE81" s="224"/>
      <c r="AF81" s="224"/>
      <c r="AG81" s="248" t="s">
        <v>102</v>
      </c>
      <c r="AH81" s="224" t="s">
        <v>103</v>
      </c>
    </row>
    <row r="82" spans="1:34" ht="21.6" customHeight="1">
      <c r="A82" s="2">
        <v>81</v>
      </c>
      <c r="B82" s="273">
        <v>4673</v>
      </c>
      <c r="C82" s="274" t="s">
        <v>5160</v>
      </c>
      <c r="J82" s="5" t="s">
        <v>5161</v>
      </c>
      <c r="U82" s="260" t="str">
        <f t="shared" si="4"/>
        <v>桃園市</v>
      </c>
      <c r="V82" s="258" t="str">
        <f t="shared" si="5"/>
        <v>蘆竹區</v>
      </c>
      <c r="W82" s="258" t="str">
        <f t="shared" si="6"/>
        <v>南山路一段378號</v>
      </c>
      <c r="X82" s="2" t="s">
        <v>326</v>
      </c>
      <c r="Y82" s="2" t="str">
        <f>VLOOKUP(V82,門市狀態!G:H,2,FALSE)</f>
        <v>吳宗鴻</v>
      </c>
      <c r="Z82" s="218" t="str">
        <f>IF(D82="FVC7", IF(COUNTIF(特殊門市清單!N:N, B82)=0, "FVC7", VLOOKUP(B82,特殊門市清單!N:T,7,FALSE)), IF(AA82="v","Peplink",""))</f>
        <v/>
      </c>
      <c r="AA82" s="218" t="str">
        <f>IFERROR(VLOOKUP(B82,門市狀態!A:D,4,FALSE),"")</f>
        <v/>
      </c>
      <c r="AB82" s="224" t="str">
        <f>VLOOKUP(B82,門市總表!A:B,2,FALSE)</f>
        <v>蘆竹海山店</v>
      </c>
      <c r="AC82" s="259"/>
      <c r="AD82" s="224"/>
      <c r="AE82" s="224"/>
      <c r="AF82" s="224"/>
      <c r="AG82" s="248" t="s">
        <v>102</v>
      </c>
      <c r="AH82" s="224" t="s">
        <v>103</v>
      </c>
    </row>
    <row r="83" spans="1:34" ht="21.6" customHeight="1">
      <c r="A83" s="2">
        <v>82</v>
      </c>
      <c r="B83" s="273">
        <v>4690</v>
      </c>
      <c r="C83" s="274" t="s">
        <v>2484</v>
      </c>
      <c r="J83" s="5" t="s">
        <v>5162</v>
      </c>
      <c r="U83" s="260" t="str">
        <f t="shared" si="4"/>
        <v>桃園市</v>
      </c>
      <c r="V83" s="258" t="str">
        <f t="shared" si="5"/>
        <v>蘆竹區</v>
      </c>
      <c r="W83" s="258" t="str">
        <f t="shared" si="6"/>
        <v>大華街69-1、69-2號</v>
      </c>
      <c r="X83" s="2" t="s">
        <v>326</v>
      </c>
      <c r="Y83" s="2" t="str">
        <f>VLOOKUP(V83,門市狀態!G:H,2,FALSE)</f>
        <v>吳宗鴻</v>
      </c>
      <c r="Z83" s="218" t="str">
        <f>IF(D83="FVC7", IF(COUNTIF(特殊門市清單!N:N, B83)=0, "FVC7", VLOOKUP(B83,特殊門市清單!N:T,7,FALSE)), IF(AA83="v","Peplink",""))</f>
        <v/>
      </c>
      <c r="AA83" s="218" t="str">
        <f>IFERROR(VLOOKUP(B83,門市狀態!A:D,4,FALSE),"")</f>
        <v/>
      </c>
      <c r="AB83" s="224" t="str">
        <f>VLOOKUP(B83,門市總表!A:B,2,FALSE)</f>
        <v>龜山同福店</v>
      </c>
      <c r="AC83" s="259"/>
      <c r="AD83" s="224"/>
      <c r="AE83" s="224"/>
      <c r="AF83" s="224"/>
      <c r="AG83" s="248" t="s">
        <v>102</v>
      </c>
      <c r="AH83" s="224" t="s">
        <v>103</v>
      </c>
    </row>
    <row r="84" spans="1:34" ht="21.6" customHeight="1">
      <c r="A84" s="2">
        <v>83</v>
      </c>
      <c r="B84" s="273">
        <v>4825</v>
      </c>
      <c r="C84" s="274" t="s">
        <v>2461</v>
      </c>
      <c r="J84" s="5" t="s">
        <v>5163</v>
      </c>
      <c r="U84" s="260" t="str">
        <f t="shared" si="4"/>
        <v>桃園市</v>
      </c>
      <c r="V84" s="258" t="str">
        <f t="shared" si="5"/>
        <v>蘆竹區</v>
      </c>
      <c r="W84" s="258" t="str">
        <f t="shared" si="6"/>
        <v>南工路一段14號</v>
      </c>
      <c r="X84" s="2" t="s">
        <v>326</v>
      </c>
      <c r="Y84" s="2" t="str">
        <f>VLOOKUP(V84,門市狀態!G:H,2,FALSE)</f>
        <v>吳宗鴻</v>
      </c>
      <c r="Z84" s="218" t="str">
        <f>IF(D84="FVC7", IF(COUNTIF(特殊門市清單!N:N, B84)=0, "FVC7", VLOOKUP(B84,特殊門市清單!N:T,7,FALSE)), IF(AA84="v","Peplink",""))</f>
        <v/>
      </c>
      <c r="AA84" s="218" t="str">
        <f>IFERROR(VLOOKUP(B84,門市狀態!A:D,4,FALSE),"")</f>
        <v/>
      </c>
      <c r="AB84" s="224" t="str">
        <f>VLOOKUP(B84,門市總表!A:B,2,FALSE)</f>
        <v>龜山兔子坑</v>
      </c>
      <c r="AC84" s="259"/>
      <c r="AD84" s="224"/>
      <c r="AE84" s="224"/>
      <c r="AF84" s="224"/>
      <c r="AG84" s="248" t="s">
        <v>102</v>
      </c>
      <c r="AH84" s="224" t="s">
        <v>103</v>
      </c>
    </row>
    <row r="85" spans="1:34" ht="21.6" customHeight="1">
      <c r="A85" s="2">
        <v>84</v>
      </c>
      <c r="B85" s="273">
        <v>4852</v>
      </c>
      <c r="C85" s="274" t="s">
        <v>2324</v>
      </c>
      <c r="J85" s="5" t="s">
        <v>5164</v>
      </c>
      <c r="U85" s="260" t="str">
        <f t="shared" si="4"/>
        <v>桃園市</v>
      </c>
      <c r="V85" s="258" t="str">
        <f t="shared" si="5"/>
        <v>蘆竹區</v>
      </c>
      <c r="W85" s="258" t="str">
        <f t="shared" si="6"/>
        <v>光明路二段171、173號</v>
      </c>
      <c r="X85" s="2" t="s">
        <v>326</v>
      </c>
      <c r="Y85" s="2" t="str">
        <f>VLOOKUP(V85,門市狀態!G:H,2,FALSE)</f>
        <v>吳宗鴻</v>
      </c>
      <c r="Z85" s="218" t="str">
        <f>IF(D85="FVC7", IF(COUNTIF(特殊門市清單!N:N, B85)=0, "FVC7", VLOOKUP(B85,特殊門市清單!N:T,7,FALSE)), IF(AA85="v","Peplink",""))</f>
        <v/>
      </c>
      <c r="AA85" s="218" t="str">
        <f>IFERROR(VLOOKUP(B85,門市狀態!A:D,4,FALSE),"")</f>
        <v/>
      </c>
      <c r="AB85" s="224" t="str">
        <f>VLOOKUP(B85,門市總表!A:B,2,FALSE)</f>
        <v>蘆竹福祿店</v>
      </c>
      <c r="AC85" s="259"/>
      <c r="AD85" s="224"/>
      <c r="AE85" s="224"/>
      <c r="AF85" s="224"/>
      <c r="AG85" s="248" t="s">
        <v>102</v>
      </c>
      <c r="AH85" s="224" t="s">
        <v>103</v>
      </c>
    </row>
    <row r="86" spans="1:34" ht="21.6" customHeight="1">
      <c r="A86" s="2">
        <v>85</v>
      </c>
      <c r="B86" s="273">
        <v>4902</v>
      </c>
      <c r="C86" s="274" t="s">
        <v>3152</v>
      </c>
      <c r="J86" s="5" t="s">
        <v>5165</v>
      </c>
      <c r="U86" s="260" t="str">
        <f t="shared" si="4"/>
        <v>桃園市</v>
      </c>
      <c r="V86" s="258" t="str">
        <f t="shared" si="5"/>
        <v>蘆竹區</v>
      </c>
      <c r="W86" s="258" t="str">
        <f t="shared" si="6"/>
        <v>南山路二段166號</v>
      </c>
      <c r="X86" s="2" t="s">
        <v>326</v>
      </c>
      <c r="Y86" s="2" t="str">
        <f>VLOOKUP(V86,門市狀態!G:H,2,FALSE)</f>
        <v>吳宗鴻</v>
      </c>
      <c r="Z86" s="218" t="str">
        <f>IF(D86="FVC7", IF(COUNTIF(特殊門市清單!N:N, B86)=0, "FVC7", VLOOKUP(B86,特殊門市清單!N:T,7,FALSE)), IF(AA86="v","Peplink",""))</f>
        <v/>
      </c>
      <c r="AA86" s="218" t="str">
        <f>IFERROR(VLOOKUP(B86,門市狀態!A:D,4,FALSE),"")</f>
        <v/>
      </c>
      <c r="AB86" s="224" t="str">
        <f>VLOOKUP(B86,門市總表!A:B,2,FALSE)</f>
        <v>龜山玄武店</v>
      </c>
      <c r="AC86" s="259"/>
      <c r="AD86" s="224"/>
      <c r="AE86" s="224"/>
      <c r="AF86" s="224"/>
      <c r="AG86" s="248" t="s">
        <v>102</v>
      </c>
      <c r="AH86" s="224" t="s">
        <v>103</v>
      </c>
    </row>
    <row r="87" spans="1:34" ht="21.6" customHeight="1">
      <c r="A87" s="2">
        <v>86</v>
      </c>
      <c r="B87" s="273">
        <v>4933</v>
      </c>
      <c r="C87" s="274" t="s">
        <v>5166</v>
      </c>
      <c r="J87" s="5" t="s">
        <v>5167</v>
      </c>
      <c r="U87" s="260" t="str">
        <f t="shared" si="4"/>
        <v>桃園市</v>
      </c>
      <c r="V87" s="258" t="str">
        <f t="shared" si="5"/>
        <v>龜山區</v>
      </c>
      <c r="W87" s="258" t="str">
        <f t="shared" si="6"/>
        <v>萬壽路一段388、390號一樓</v>
      </c>
      <c r="X87" s="2" t="s">
        <v>326</v>
      </c>
      <c r="Y87" s="2" t="str">
        <f>VLOOKUP(V87,門市狀態!G:H,2,FALSE)</f>
        <v>吳宗鴻</v>
      </c>
      <c r="Z87" s="218" t="str">
        <f>IF(D87="FVC7", IF(COUNTIF(特殊門市清單!N:N, B87)=0, "FVC7", VLOOKUP(B87,特殊門市清單!N:T,7,FALSE)), IF(AA87="v","Peplink",""))</f>
        <v/>
      </c>
      <c r="AA87" s="218" t="str">
        <f>IFERROR(VLOOKUP(B87,門市狀態!A:D,4,FALSE),"")</f>
        <v/>
      </c>
      <c r="AB87" s="224" t="str">
        <f>VLOOKUP(B87,門市總表!A:B,2,FALSE)</f>
        <v>龜山連莊店</v>
      </c>
      <c r="AC87" s="259"/>
      <c r="AD87" s="224"/>
      <c r="AE87" s="224"/>
      <c r="AF87" s="224"/>
      <c r="AG87" s="248" t="s">
        <v>102</v>
      </c>
      <c r="AH87" s="224" t="s">
        <v>103</v>
      </c>
    </row>
    <row r="88" spans="1:34" ht="21.6" customHeight="1">
      <c r="A88" s="2">
        <v>87</v>
      </c>
      <c r="B88" s="273">
        <v>4981</v>
      </c>
      <c r="C88" s="274" t="s">
        <v>3120</v>
      </c>
      <c r="J88" s="5" t="s">
        <v>5168</v>
      </c>
      <c r="U88" s="260" t="str">
        <f t="shared" si="4"/>
        <v>桃園市</v>
      </c>
      <c r="V88" s="258" t="str">
        <f t="shared" si="5"/>
        <v>蘆竹區</v>
      </c>
      <c r="W88" s="258" t="str">
        <f t="shared" si="6"/>
        <v>長興路三段217號</v>
      </c>
      <c r="X88" s="2" t="s">
        <v>326</v>
      </c>
      <c r="Y88" s="2" t="str">
        <f>VLOOKUP(V88,門市狀態!G:H,2,FALSE)</f>
        <v>吳宗鴻</v>
      </c>
      <c r="Z88" s="218" t="str">
        <f>IF(D88="FVC7", IF(COUNTIF(特殊門市清單!N:N, B88)=0, "FVC7", VLOOKUP(B88,特殊門市清單!N:T,7,FALSE)), IF(AA88="v","Peplink",""))</f>
        <v/>
      </c>
      <c r="AA88" s="218" t="str">
        <f>IFERROR(VLOOKUP(B88,門市狀態!A:D,4,FALSE),"")</f>
        <v/>
      </c>
      <c r="AB88" s="224" t="str">
        <f>VLOOKUP(B88,門市總表!A:B,2,FALSE)</f>
        <v>龜山樂學店</v>
      </c>
      <c r="AC88" s="259"/>
      <c r="AD88" s="224"/>
      <c r="AE88" s="224"/>
      <c r="AF88" s="224"/>
      <c r="AG88" s="248" t="s">
        <v>102</v>
      </c>
      <c r="AH88" s="224"/>
    </row>
    <row r="89" spans="1:34" ht="21.6" customHeight="1">
      <c r="A89" s="2">
        <v>88</v>
      </c>
      <c r="B89" s="273">
        <v>5016</v>
      </c>
      <c r="C89" s="274" t="s">
        <v>3141</v>
      </c>
      <c r="J89" s="5" t="s">
        <v>5169</v>
      </c>
      <c r="U89" s="260" t="str">
        <f t="shared" si="4"/>
        <v>桃園市</v>
      </c>
      <c r="V89" s="258" t="str">
        <f t="shared" si="5"/>
        <v>蘆竹區</v>
      </c>
      <c r="W89" s="258" t="str">
        <f t="shared" si="6"/>
        <v>南崁路一段225、227號</v>
      </c>
      <c r="X89" s="2" t="s">
        <v>326</v>
      </c>
      <c r="Y89" s="2" t="str">
        <f>VLOOKUP(V89,門市狀態!G:H,2,FALSE)</f>
        <v>吳宗鴻</v>
      </c>
      <c r="Z89" s="218" t="str">
        <f>IF(D89="FVC7", IF(COUNTIF(特殊門市清單!N:N, B89)=0, "FVC7", VLOOKUP(B89,特殊門市清單!N:T,7,FALSE)), IF(AA89="v","Peplink",""))</f>
        <v/>
      </c>
      <c r="AA89" s="218" t="str">
        <f>IFERROR(VLOOKUP(B89,門市狀態!A:D,4,FALSE),"")</f>
        <v/>
      </c>
      <c r="AB89" s="224" t="str">
        <f>VLOOKUP(B89,門市總表!A:B,2,FALSE)</f>
        <v>龜山樂善店</v>
      </c>
      <c r="AC89" s="259"/>
      <c r="AD89" s="224"/>
      <c r="AE89" s="224"/>
      <c r="AF89" s="224"/>
      <c r="AG89" s="248" t="s">
        <v>102</v>
      </c>
      <c r="AH89" s="224" t="s">
        <v>103</v>
      </c>
    </row>
    <row r="90" spans="1:34" ht="21.6" customHeight="1">
      <c r="A90" s="2">
        <v>89</v>
      </c>
      <c r="B90" s="273">
        <v>5031</v>
      </c>
      <c r="C90" s="274" t="s">
        <v>5170</v>
      </c>
      <c r="J90" s="5" t="s">
        <v>5171</v>
      </c>
      <c r="U90" s="260" t="str">
        <f t="shared" si="4"/>
        <v>桃園市</v>
      </c>
      <c r="V90" s="258" t="str">
        <f t="shared" si="5"/>
        <v>蘆竹區</v>
      </c>
      <c r="W90" s="258" t="str">
        <f t="shared" si="6"/>
        <v>南工路150號</v>
      </c>
      <c r="X90" s="2" t="s">
        <v>326</v>
      </c>
      <c r="Y90" s="2" t="str">
        <f>VLOOKUP(V90,門市狀態!G:H,2,FALSE)</f>
        <v>吳宗鴻</v>
      </c>
      <c r="Z90" s="218" t="str">
        <f>IF(D90="FVC7", IF(COUNTIF(特殊門市清單!N:N, B90)=0, "FVC7", VLOOKUP(B90,特殊門市清單!N:T,7,FALSE)), IF(AA90="v","Peplink",""))</f>
        <v/>
      </c>
      <c r="AA90" s="218" t="str">
        <f>IFERROR(VLOOKUP(B90,門市狀態!A:D,4,FALSE),"")</f>
        <v/>
      </c>
      <c r="AB90" s="224" t="str">
        <f>VLOOKUP(B90,門市總表!A:B,2,FALSE)</f>
        <v>龜山文化七</v>
      </c>
      <c r="AC90" s="259"/>
      <c r="AD90" s="224"/>
      <c r="AE90" s="224"/>
      <c r="AF90" s="224"/>
      <c r="AG90" s="248" t="s">
        <v>102</v>
      </c>
      <c r="AH90" s="224" t="s">
        <v>103</v>
      </c>
    </row>
    <row r="91" spans="1:34" ht="21.6" customHeight="1">
      <c r="A91" s="2">
        <v>90</v>
      </c>
      <c r="B91" s="273">
        <v>5075</v>
      </c>
      <c r="C91" s="274" t="s">
        <v>5172</v>
      </c>
      <c r="J91" s="5" t="s">
        <v>5173</v>
      </c>
      <c r="U91" s="260" t="str">
        <f t="shared" si="4"/>
        <v>桃園市</v>
      </c>
      <c r="V91" s="258" t="str">
        <f t="shared" si="5"/>
        <v>蘆竹區</v>
      </c>
      <c r="W91" s="258" t="str">
        <f t="shared" si="6"/>
        <v>大竹北路180號</v>
      </c>
      <c r="X91" s="2" t="s">
        <v>326</v>
      </c>
      <c r="Y91" s="2" t="str">
        <f>VLOOKUP(V91,門市狀態!G:H,2,FALSE)</f>
        <v>吳宗鴻</v>
      </c>
      <c r="Z91" s="218" t="str">
        <f>IF(D91="FVC7", IF(COUNTIF(特殊門市清單!N:N, B91)=0, "FVC7", VLOOKUP(B91,特殊門市清單!N:T,7,FALSE)), IF(AA91="v","Peplink",""))</f>
        <v/>
      </c>
      <c r="AA91" s="218" t="str">
        <f>IFERROR(VLOOKUP(B91,門市狀態!A:D,4,FALSE),"")</f>
        <v/>
      </c>
      <c r="AB91" s="224" t="str">
        <f>VLOOKUP(B91,門市總表!A:B,2,FALSE)</f>
        <v>龜山復興店</v>
      </c>
      <c r="AC91" s="259"/>
      <c r="AD91" s="224"/>
      <c r="AE91" s="224"/>
      <c r="AF91" s="224"/>
      <c r="AG91" s="248" t="s">
        <v>102</v>
      </c>
      <c r="AH91" s="224" t="s">
        <v>103</v>
      </c>
    </row>
    <row r="92" spans="1:34" ht="21.6" customHeight="1">
      <c r="A92" s="2">
        <v>91</v>
      </c>
      <c r="B92" s="273">
        <v>5110</v>
      </c>
      <c r="C92" s="274" t="s">
        <v>5174</v>
      </c>
      <c r="J92" s="5" t="s">
        <v>5175</v>
      </c>
      <c r="U92" s="260" t="str">
        <f t="shared" si="4"/>
        <v>桃園市</v>
      </c>
      <c r="V92" s="258" t="str">
        <f t="shared" si="5"/>
        <v>蘆竹區</v>
      </c>
      <c r="W92" s="258" t="str">
        <f t="shared" si="6"/>
        <v>富國路二段2號</v>
      </c>
      <c r="X92" s="2" t="s">
        <v>326</v>
      </c>
      <c r="Y92" s="2" t="str">
        <f>VLOOKUP(V92,門市狀態!G:H,2,FALSE)</f>
        <v>吳宗鴻</v>
      </c>
      <c r="Z92" s="218" t="str">
        <f>IF(D92="FVC7", IF(COUNTIF(特殊門市清單!N:N, B92)=0, "FVC7", VLOOKUP(B92,特殊門市清單!N:T,7,FALSE)), IF(AA92="v","Peplink",""))</f>
        <v/>
      </c>
      <c r="AA92" s="218" t="str">
        <f>IFERROR(VLOOKUP(B92,門市狀態!A:D,4,FALSE),"")</f>
        <v/>
      </c>
      <c r="AB92" s="224" t="str">
        <f>VLOOKUP(B92,門市總表!A:B,2,FALSE)</f>
        <v>蘆竹龍安店</v>
      </c>
      <c r="AC92" s="259"/>
      <c r="AD92" s="224"/>
      <c r="AE92" s="224"/>
      <c r="AF92" s="224"/>
      <c r="AG92" s="248" t="s">
        <v>102</v>
      </c>
      <c r="AH92" s="224" t="s">
        <v>103</v>
      </c>
    </row>
    <row r="93" spans="1:34" ht="21.6" customHeight="1">
      <c r="A93" s="2">
        <v>92</v>
      </c>
      <c r="B93" s="273">
        <v>5162</v>
      </c>
      <c r="C93" s="274" t="s">
        <v>2453</v>
      </c>
      <c r="J93" s="5" t="s">
        <v>5176</v>
      </c>
      <c r="U93" s="260" t="str">
        <f t="shared" si="4"/>
        <v>桃園市</v>
      </c>
      <c r="V93" s="258" t="str">
        <f t="shared" si="5"/>
        <v>蘆竹區</v>
      </c>
      <c r="W93" s="258" t="str">
        <f t="shared" si="6"/>
        <v>長興路二段22號</v>
      </c>
      <c r="X93" s="2" t="s">
        <v>326</v>
      </c>
      <c r="Y93" s="2" t="str">
        <f>VLOOKUP(V93,門市狀態!G:H,2,FALSE)</f>
        <v>吳宗鴻</v>
      </c>
      <c r="Z93" s="218" t="str">
        <f>IF(D93="FVC7", IF(COUNTIF(特殊門市清單!N:N, B93)=0, "FVC7", VLOOKUP(B93,特殊門市清單!N:T,7,FALSE)), IF(AA93="v","Peplink",""))</f>
        <v/>
      </c>
      <c r="AA93" s="218" t="str">
        <f>IFERROR(VLOOKUP(B93,門市狀態!A:D,4,FALSE),"")</f>
        <v/>
      </c>
      <c r="AB93" s="224" t="str">
        <f>VLOOKUP(B93,門市總表!A:B,2,FALSE)</f>
        <v>龜山茶專店</v>
      </c>
      <c r="AC93" s="259"/>
      <c r="AD93" s="224"/>
      <c r="AE93" s="224"/>
      <c r="AF93" s="224"/>
      <c r="AG93" s="248" t="s">
        <v>102</v>
      </c>
      <c r="AH93" s="224" t="s">
        <v>103</v>
      </c>
    </row>
    <row r="94" spans="1:34" ht="21.6" customHeight="1">
      <c r="A94" s="2">
        <v>93</v>
      </c>
      <c r="B94" s="273">
        <v>5178</v>
      </c>
      <c r="C94" s="274" t="s">
        <v>5177</v>
      </c>
      <c r="J94" s="5" t="s">
        <v>5178</v>
      </c>
      <c r="U94" s="260" t="str">
        <f t="shared" si="4"/>
        <v>桃園市</v>
      </c>
      <c r="V94" s="258" t="str">
        <f t="shared" si="5"/>
        <v>蘆竹區</v>
      </c>
      <c r="W94" s="258" t="str">
        <f t="shared" si="6"/>
        <v>南福街162、164號</v>
      </c>
      <c r="X94" s="2" t="s">
        <v>326</v>
      </c>
      <c r="Y94" s="2" t="str">
        <f>VLOOKUP(V94,門市狀態!G:H,2,FALSE)</f>
        <v>吳宗鴻</v>
      </c>
      <c r="Z94" s="218" t="str">
        <f>IF(D94="FVC7", IF(COUNTIF(特殊門市清單!N:N, B94)=0, "FVC7", VLOOKUP(B94,特殊門市清單!N:T,7,FALSE)), IF(AA94="v","Peplink",""))</f>
        <v/>
      </c>
      <c r="AA94" s="218" t="str">
        <f>IFERROR(VLOOKUP(B94,門市狀態!A:D,4,FALSE),"")</f>
        <v/>
      </c>
      <c r="AB94" s="224" t="str">
        <f>VLOOKUP(B94,門市總表!A:B,2,FALSE)</f>
        <v>龜山茶專二店</v>
      </c>
      <c r="AC94" s="259"/>
      <c r="AD94" s="224"/>
      <c r="AE94" s="224"/>
      <c r="AF94" s="224"/>
      <c r="AG94" s="248" t="s">
        <v>102</v>
      </c>
      <c r="AH94" s="224" t="s">
        <v>103</v>
      </c>
    </row>
    <row r="95" spans="1:34" ht="21.6" customHeight="1">
      <c r="A95" s="2">
        <v>94</v>
      </c>
      <c r="B95" s="273">
        <v>5248</v>
      </c>
      <c r="C95" s="274" t="s">
        <v>5179</v>
      </c>
      <c r="J95" s="5" t="s">
        <v>5180</v>
      </c>
      <c r="U95" s="260" t="str">
        <f t="shared" si="4"/>
        <v>桃園市</v>
      </c>
      <c r="V95" s="258" t="str">
        <f t="shared" si="5"/>
        <v>蘆竹區</v>
      </c>
      <c r="W95" s="258" t="str">
        <f t="shared" si="6"/>
        <v>中興路118號</v>
      </c>
      <c r="X95" s="2" t="s">
        <v>326</v>
      </c>
      <c r="Y95" s="2" t="str">
        <f>VLOOKUP(V95,門市狀態!G:H,2,FALSE)</f>
        <v>吳宗鴻</v>
      </c>
      <c r="Z95" s="218" t="str">
        <f>IF(D95="FVC7", IF(COUNTIF(特殊門市清單!N:N, B95)=0, "FVC7", VLOOKUP(B95,特殊門市清單!N:T,7,FALSE)), IF(AA95="v","Peplink",""))</f>
        <v/>
      </c>
      <c r="AA95" s="218" t="str">
        <f>IFERROR(VLOOKUP(B95,門市狀態!A:D,4,FALSE),"")</f>
        <v/>
      </c>
      <c r="AB95" s="224" t="str">
        <f>VLOOKUP(B95,門市總表!A:B,2,FALSE)</f>
        <v>龜山慧敏店</v>
      </c>
      <c r="AC95" s="259"/>
      <c r="AD95" s="224"/>
      <c r="AE95" s="224"/>
      <c r="AF95" s="224"/>
      <c r="AG95" s="248" t="s">
        <v>102</v>
      </c>
      <c r="AH95" s="224" t="s">
        <v>103</v>
      </c>
    </row>
    <row r="96" spans="1:34" ht="21.6" customHeight="1">
      <c r="A96" s="2">
        <v>95</v>
      </c>
      <c r="B96" s="273">
        <v>5251</v>
      </c>
      <c r="C96" s="274" t="s">
        <v>5181</v>
      </c>
      <c r="J96" s="5" t="s">
        <v>5182</v>
      </c>
      <c r="U96" s="260" t="str">
        <f t="shared" si="4"/>
        <v>桃園市</v>
      </c>
      <c r="V96" s="258" t="str">
        <f t="shared" si="5"/>
        <v>蘆竹區</v>
      </c>
      <c r="W96" s="258" t="str">
        <f t="shared" si="6"/>
        <v>南崁路二段66之2號</v>
      </c>
      <c r="X96" s="2" t="s">
        <v>326</v>
      </c>
      <c r="Y96" s="2" t="str">
        <f>VLOOKUP(V96,門市狀態!G:H,2,FALSE)</f>
        <v>吳宗鴻</v>
      </c>
      <c r="Z96" s="218" t="str">
        <f>IF(D96="FVC7", IF(COUNTIF(特殊門市清單!N:N, B96)=0, "FVC7", VLOOKUP(B96,特殊門市清單!N:T,7,FALSE)), IF(AA96="v","Peplink",""))</f>
        <v/>
      </c>
      <c r="AA96" s="218" t="str">
        <f>IFERROR(VLOOKUP(B96,門市狀態!A:D,4,FALSE),"")</f>
        <v/>
      </c>
      <c r="AB96" s="224" t="str">
        <f>VLOOKUP(B96,門市總表!A:B,2,FALSE)</f>
        <v>龜山明德樓</v>
      </c>
      <c r="AC96" s="259"/>
      <c r="AD96" s="224"/>
      <c r="AE96" s="224"/>
      <c r="AF96" s="224"/>
      <c r="AG96" s="248" t="s">
        <v>102</v>
      </c>
      <c r="AH96" s="224" t="s">
        <v>103</v>
      </c>
    </row>
    <row r="97" spans="1:34" ht="21.6" customHeight="1">
      <c r="A97" s="2">
        <v>96</v>
      </c>
      <c r="B97" s="273">
        <v>5357</v>
      </c>
      <c r="C97" s="274" t="s">
        <v>5183</v>
      </c>
      <c r="J97" s="5" t="s">
        <v>5184</v>
      </c>
      <c r="U97" s="260" t="str">
        <f t="shared" si="4"/>
        <v>桃園市</v>
      </c>
      <c r="V97" s="258" t="str">
        <f t="shared" si="5"/>
        <v>蘆竹區</v>
      </c>
      <c r="W97" s="258" t="str">
        <f t="shared" si="6"/>
        <v>大新路818、820號</v>
      </c>
      <c r="X97" s="2" t="s">
        <v>326</v>
      </c>
      <c r="Y97" s="2" t="str">
        <f>VLOOKUP(V97,門市狀態!G:H,2,FALSE)</f>
        <v>吳宗鴻</v>
      </c>
      <c r="Z97" s="218" t="str">
        <f>IF(D97="FVC7", IF(COUNTIF(特殊門市清單!N:N, B97)=0, "FVC7", VLOOKUP(B97,特殊門市清單!N:T,7,FALSE)), IF(AA97="v","Peplink",""))</f>
        <v/>
      </c>
      <c r="AA97" s="218" t="str">
        <f>IFERROR(VLOOKUP(B97,門市狀態!A:D,4,FALSE),"")</f>
        <v/>
      </c>
      <c r="AB97" s="224" t="str">
        <f>VLOOKUP(B97,門市總表!A:B,2,FALSE)</f>
        <v>蘆竹南山北</v>
      </c>
      <c r="AC97" s="259"/>
      <c r="AD97" s="224"/>
      <c r="AE97" s="224"/>
      <c r="AF97" s="224"/>
      <c r="AG97" s="248" t="s">
        <v>102</v>
      </c>
      <c r="AH97" s="224" t="s">
        <v>103</v>
      </c>
    </row>
    <row r="98" spans="1:34" ht="21.6" customHeight="1">
      <c r="A98" s="2">
        <v>97</v>
      </c>
      <c r="B98" s="273">
        <v>5368</v>
      </c>
      <c r="C98" s="274" t="s">
        <v>5185</v>
      </c>
      <c r="J98" s="5" t="s">
        <v>5186</v>
      </c>
      <c r="U98" s="260" t="str">
        <f t="shared" ref="U98:U129" si="7">IFERROR(LEFT(J98,FIND("縣",J98)),IFERROR(LEFT(J98,FIND("市",J98)),J98))</f>
        <v>桃園市</v>
      </c>
      <c r="V98" s="258" t="str">
        <f t="shared" si="5"/>
        <v>蘆竹區</v>
      </c>
      <c r="W98" s="258" t="str">
        <f t="shared" si="6"/>
        <v>海湖東路295號</v>
      </c>
      <c r="X98" s="2" t="s">
        <v>326</v>
      </c>
      <c r="Y98" s="2" t="str">
        <f>VLOOKUP(V98,門市狀態!G:H,2,FALSE)</f>
        <v>吳宗鴻</v>
      </c>
      <c r="Z98" s="218" t="str">
        <f>IF(D98="FVC7", IF(COUNTIF(特殊門市清單!N:N, B98)=0, "FVC7", VLOOKUP(B98,特殊門市清單!N:T,7,FALSE)), IF(AA98="v","Peplink",""))</f>
        <v/>
      </c>
      <c r="AA98" s="218" t="str">
        <f>IFERROR(VLOOKUP(B98,門市狀態!A:D,4,FALSE),"")</f>
        <v/>
      </c>
      <c r="AB98" s="224" t="str">
        <f>VLOOKUP(B98,門市總表!A:B,2,FALSE)</f>
        <v>蘆竹山鼻店</v>
      </c>
      <c r="AC98" s="259"/>
      <c r="AD98" s="224"/>
      <c r="AE98" s="224"/>
      <c r="AF98" s="224"/>
      <c r="AG98" s="248" t="s">
        <v>102</v>
      </c>
      <c r="AH98" s="224"/>
    </row>
    <row r="99" spans="1:34" ht="21.6" customHeight="1">
      <c r="A99" s="2">
        <v>98</v>
      </c>
      <c r="B99" s="273">
        <v>5402</v>
      </c>
      <c r="C99" s="274" t="s">
        <v>5187</v>
      </c>
      <c r="J99" s="5" t="s">
        <v>5188</v>
      </c>
      <c r="U99" s="260" t="str">
        <f t="shared" si="7"/>
        <v>桃園市</v>
      </c>
      <c r="V99" s="258" t="str">
        <f t="shared" si="5"/>
        <v>蘆竹區</v>
      </c>
      <c r="W99" s="258" t="str">
        <f t="shared" si="6"/>
        <v>南崁路一段286號</v>
      </c>
      <c r="X99" s="2" t="s">
        <v>326</v>
      </c>
      <c r="Y99" s="2" t="str">
        <f>VLOOKUP(V99,門市狀態!G:H,2,FALSE)</f>
        <v>吳宗鴻</v>
      </c>
      <c r="Z99" s="218" t="str">
        <f>IF(D99="FVC7", IF(COUNTIF(特殊門市清單!N:N, B99)=0, "FVC7", VLOOKUP(B99,特殊門市清單!N:T,7,FALSE)), IF(AA99="v","Peplink",""))</f>
        <v/>
      </c>
      <c r="AA99" s="218" t="str">
        <f>IFERROR(VLOOKUP(B99,門市狀態!A:D,4,FALSE),"")</f>
        <v/>
      </c>
      <c r="AB99" s="224" t="str">
        <f>VLOOKUP(B99,門市總表!A:B,2,FALSE)</f>
        <v>龜山A8站</v>
      </c>
      <c r="AC99" s="259"/>
      <c r="AD99" s="224"/>
      <c r="AE99" s="224"/>
      <c r="AF99" s="224"/>
      <c r="AG99" s="248" t="s">
        <v>102</v>
      </c>
      <c r="AH99" s="224" t="s">
        <v>103</v>
      </c>
    </row>
    <row r="100" spans="1:34" ht="21.6" customHeight="1">
      <c r="A100" s="2">
        <v>99</v>
      </c>
      <c r="B100" s="273">
        <v>5465</v>
      </c>
      <c r="C100" s="274" t="s">
        <v>5189</v>
      </c>
      <c r="J100" s="5" t="s">
        <v>5190</v>
      </c>
      <c r="U100" s="260" t="str">
        <f t="shared" si="7"/>
        <v>桃園市</v>
      </c>
      <c r="V100" s="258" t="str">
        <f t="shared" si="5"/>
        <v>蘆竹區</v>
      </c>
      <c r="W100" s="258" t="str">
        <f t="shared" si="6"/>
        <v>海山路二段513、515號</v>
      </c>
      <c r="X100" s="2" t="s">
        <v>326</v>
      </c>
      <c r="Y100" s="2" t="str">
        <f>VLOOKUP(V100,門市狀態!G:H,2,FALSE)</f>
        <v>吳宗鴻</v>
      </c>
      <c r="Z100" s="218" t="str">
        <f>IF(D100="FVC7", IF(COUNTIF(特殊門市清單!N:N, B100)=0, "FVC7", VLOOKUP(B100,特殊門市清單!N:T,7,FALSE)), IF(AA100="v","Peplink",""))</f>
        <v/>
      </c>
      <c r="AA100" s="218" t="str">
        <f>IFERROR(VLOOKUP(B100,門市狀態!A:D,4,FALSE),"")</f>
        <v/>
      </c>
      <c r="AB100" s="224" t="str">
        <f>VLOOKUP(B100,門市總表!A:B,2,FALSE)</f>
        <v>龜山庚勤樓</v>
      </c>
      <c r="AC100" s="259"/>
      <c r="AD100" s="224"/>
      <c r="AE100" s="224"/>
      <c r="AF100" s="224"/>
      <c r="AG100" s="248" t="s">
        <v>102</v>
      </c>
      <c r="AH100" s="224" t="s">
        <v>103</v>
      </c>
    </row>
    <row r="101" spans="1:34" ht="21.6" customHeight="1">
      <c r="A101" s="2">
        <v>100</v>
      </c>
      <c r="B101" s="273" t="s">
        <v>86</v>
      </c>
      <c r="C101" s="274" t="s">
        <v>5191</v>
      </c>
      <c r="J101" s="5" t="s">
        <v>5192</v>
      </c>
      <c r="U101" s="260" t="str">
        <f t="shared" si="7"/>
        <v>桃園市</v>
      </c>
      <c r="V101" s="258" t="str">
        <f t="shared" si="5"/>
        <v>蘆竹區</v>
      </c>
      <c r="W101" s="258" t="str">
        <f t="shared" si="6"/>
        <v>福祿一街56號</v>
      </c>
      <c r="X101" s="2" t="s">
        <v>326</v>
      </c>
      <c r="Y101" s="2" t="str">
        <f>VLOOKUP(V101,門市狀態!G:H,2,FALSE)</f>
        <v>吳宗鴻</v>
      </c>
      <c r="Z101" s="218" t="str">
        <f>IF(D101="FVC7", IF(COUNTIF(特殊門市清單!N:N, B101)=0, "FVC7", VLOOKUP(B101,特殊門市清單!N:T,7,FALSE)), IF(AA101="v","Peplink",""))</f>
        <v/>
      </c>
      <c r="AA101" s="218" t="str">
        <f>IFERROR(VLOOKUP(B101,門市狀態!A:D,4,FALSE),"")</f>
        <v/>
      </c>
      <c r="AB101" s="224" t="str">
        <f>VLOOKUP(B101,門市總表!A:B,2,FALSE)</f>
        <v>蘆竹南華店</v>
      </c>
      <c r="AC101" s="259"/>
      <c r="AD101" s="224"/>
      <c r="AE101" s="224"/>
      <c r="AF101" s="224"/>
      <c r="AG101" s="248" t="s">
        <v>102</v>
      </c>
      <c r="AH101" s="224" t="s">
        <v>103</v>
      </c>
    </row>
    <row r="102" spans="1:34" ht="21.6" customHeight="1">
      <c r="A102" s="2">
        <v>101</v>
      </c>
      <c r="B102" s="273" t="s">
        <v>84</v>
      </c>
      <c r="C102" s="274" t="s">
        <v>5193</v>
      </c>
      <c r="J102" s="5" t="s">
        <v>5194</v>
      </c>
      <c r="U102" s="260" t="str">
        <f t="shared" si="7"/>
        <v>桃園市</v>
      </c>
      <c r="V102" s="258" t="str">
        <f t="shared" si="5"/>
        <v>蘆竹區</v>
      </c>
      <c r="W102" s="258" t="str">
        <f t="shared" si="6"/>
        <v>南華一街1號</v>
      </c>
      <c r="X102" s="2" t="s">
        <v>326</v>
      </c>
      <c r="Y102" s="2" t="str">
        <f>VLOOKUP(V102,門市狀態!G:H,2,FALSE)</f>
        <v>吳宗鴻</v>
      </c>
      <c r="Z102" s="218" t="str">
        <f>IF(D102="FVC7", IF(COUNTIF(特殊門市清單!N:N, B102)=0, "FVC7", VLOOKUP(B102,特殊門市清單!N:T,7,FALSE)), IF(AA102="v","Peplink",""))</f>
        <v/>
      </c>
      <c r="AA102" s="218" t="str">
        <f>IFERROR(VLOOKUP(B102,門市狀態!A:D,4,FALSE),"")</f>
        <v/>
      </c>
      <c r="AB102" s="224" t="str">
        <f>VLOOKUP(B102,門市總表!A:B,2,FALSE)</f>
        <v>田倉復興店</v>
      </c>
      <c r="AC102" s="259"/>
      <c r="AD102" s="224"/>
      <c r="AE102" s="224"/>
      <c r="AF102" s="224"/>
      <c r="AG102" s="248" t="s">
        <v>102</v>
      </c>
      <c r="AH102" s="224" t="s">
        <v>103</v>
      </c>
    </row>
    <row r="103" spans="1:34" ht="21.6" customHeight="1">
      <c r="A103" s="2">
        <v>102</v>
      </c>
      <c r="B103" s="273" t="s">
        <v>85</v>
      </c>
      <c r="C103" s="274" t="s">
        <v>5195</v>
      </c>
      <c r="J103" s="5" t="s">
        <v>5196</v>
      </c>
      <c r="U103" s="260" t="str">
        <f t="shared" si="7"/>
        <v>桃園市</v>
      </c>
      <c r="V103" s="258" t="str">
        <f t="shared" si="5"/>
        <v>蘆竹區</v>
      </c>
      <c r="W103" s="258" t="str">
        <f t="shared" si="6"/>
        <v>新生路116號</v>
      </c>
      <c r="X103" s="2" t="s">
        <v>326</v>
      </c>
      <c r="Y103" s="2" t="str">
        <f>VLOOKUP(V103,門市狀態!G:H,2,FALSE)</f>
        <v>吳宗鴻</v>
      </c>
      <c r="Z103" s="218" t="str">
        <f>IF(D103="FVC7", IF(COUNTIF(特殊門市清單!N:N, B103)=0, "FVC7", VLOOKUP(B103,特殊門市清單!N:T,7,FALSE)), IF(AA103="v","Peplink",""))</f>
        <v/>
      </c>
      <c r="AA103" s="218" t="str">
        <f>IFERROR(VLOOKUP(B103,門市狀態!A:D,4,FALSE),"")</f>
        <v/>
      </c>
      <c r="AB103" s="224" t="str">
        <f>VLOOKUP(B103,門市總表!A:B,2,FALSE)</f>
        <v>田倉文興店</v>
      </c>
      <c r="AC103" s="259"/>
      <c r="AD103" s="224"/>
      <c r="AE103" s="224"/>
      <c r="AF103" s="224"/>
      <c r="AG103" s="248" t="s">
        <v>102</v>
      </c>
      <c r="AH103" s="224"/>
    </row>
    <row r="104" spans="1:34" ht="21.6" customHeight="1">
      <c r="A104" s="2">
        <v>103</v>
      </c>
      <c r="B104" s="273" t="s">
        <v>54</v>
      </c>
      <c r="C104" s="274" t="s">
        <v>3063</v>
      </c>
      <c r="J104" s="5" t="s">
        <v>5197</v>
      </c>
      <c r="U104" s="260" t="str">
        <f t="shared" si="7"/>
        <v>桃園市</v>
      </c>
      <c r="V104" s="258" t="str">
        <f t="shared" si="5"/>
        <v>蘆竹區</v>
      </c>
      <c r="W104" s="258" t="str">
        <f t="shared" si="6"/>
        <v>海湖東路351-3號</v>
      </c>
      <c r="X104" s="2" t="s">
        <v>326</v>
      </c>
      <c r="Y104" s="2" t="str">
        <f>VLOOKUP(V104,門市狀態!G:H,2,FALSE)</f>
        <v>吳宗鴻</v>
      </c>
      <c r="Z104" s="218" t="str">
        <f>IF(D104="FVC7", IF(COUNTIF(特殊門市清單!N:N, B104)=0, "FVC7", VLOOKUP(B104,特殊門市清單!N:T,7,FALSE)), IF(AA104="v","Peplink",""))</f>
        <v/>
      </c>
      <c r="AA104" s="218" t="str">
        <f>IFERROR(VLOOKUP(B104,門市狀態!A:D,4,FALSE),"")</f>
        <v/>
      </c>
      <c r="AB104" s="224" t="str">
        <f>VLOOKUP(B104,門市總表!A:B,2,FALSE)</f>
        <v>蘆竹揚耀店</v>
      </c>
      <c r="AC104" s="259"/>
      <c r="AD104" s="224"/>
      <c r="AE104" s="224"/>
      <c r="AF104" s="224"/>
      <c r="AG104" s="248" t="s">
        <v>102</v>
      </c>
      <c r="AH104" s="224"/>
    </row>
    <row r="105" spans="1:34" ht="21.6" customHeight="1">
      <c r="A105" s="2">
        <v>104</v>
      </c>
      <c r="B105" s="273" t="s">
        <v>55</v>
      </c>
      <c r="C105" s="274" t="s">
        <v>3050</v>
      </c>
      <c r="J105" s="5" t="s">
        <v>5198</v>
      </c>
      <c r="U105" s="260" t="str">
        <f t="shared" si="7"/>
        <v>桃園市</v>
      </c>
      <c r="V105" s="258" t="str">
        <f t="shared" si="5"/>
        <v>蘆竹區</v>
      </c>
      <c r="W105" s="258" t="str">
        <f t="shared" si="6"/>
        <v>圳岸街308之12號一樓</v>
      </c>
      <c r="X105" s="2" t="s">
        <v>326</v>
      </c>
      <c r="Y105" s="2" t="str">
        <f>VLOOKUP(V105,門市狀態!G:H,2,FALSE)</f>
        <v>吳宗鴻</v>
      </c>
      <c r="Z105" s="218" t="str">
        <f>IF(D105="FVC7", IF(COUNTIF(特殊門市清單!N:N, B105)=0, "FVC7", VLOOKUP(B105,特殊門市清單!N:T,7,FALSE)), IF(AA105="v","Peplink",""))</f>
        <v/>
      </c>
      <c r="AA105" s="218" t="str">
        <f>IFERROR(VLOOKUP(B105,門市狀態!A:D,4,FALSE),"")</f>
        <v/>
      </c>
      <c r="AB105" s="224" t="str">
        <f>VLOOKUP(B105,門市總表!A:B,2,FALSE)</f>
        <v>匯躍蘆竹店</v>
      </c>
      <c r="AC105" s="259"/>
      <c r="AD105" s="224"/>
      <c r="AE105" s="224"/>
      <c r="AF105" s="224"/>
      <c r="AG105" s="248" t="s">
        <v>102</v>
      </c>
      <c r="AH105" s="224"/>
    </row>
    <row r="106" spans="1:34" ht="21.6" customHeight="1">
      <c r="A106" s="2">
        <v>105</v>
      </c>
      <c r="B106" s="2">
        <v>3752</v>
      </c>
      <c r="C106" s="4" t="s">
        <v>985</v>
      </c>
      <c r="D106" s="2" t="s">
        <v>4986</v>
      </c>
      <c r="F106" s="2" t="s">
        <v>5199</v>
      </c>
      <c r="G106" s="2" t="s">
        <v>5200</v>
      </c>
      <c r="H106" s="78" t="s">
        <v>5201</v>
      </c>
      <c r="I106" s="4" t="s">
        <v>5202</v>
      </c>
      <c r="J106" s="5" t="s">
        <v>5203</v>
      </c>
      <c r="L106" s="368"/>
      <c r="N106" s="368"/>
      <c r="O106" s="219"/>
      <c r="R106" s="219"/>
      <c r="T106" s="219"/>
      <c r="U106" s="222" t="str">
        <f t="shared" si="7"/>
        <v>新北市</v>
      </c>
      <c r="V106" s="223" t="str">
        <f t="shared" si="5"/>
        <v>板橋區</v>
      </c>
      <c r="W106" s="223" t="str">
        <f t="shared" si="6"/>
        <v>四川路一段391號1F</v>
      </c>
      <c r="X106" s="2" t="s">
        <v>326</v>
      </c>
      <c r="Y106" s="2" t="str">
        <f>VLOOKUP(V106,門市狀態!G:H,2,FALSE)</f>
        <v>狄澤洋</v>
      </c>
      <c r="Z106" s="218" t="s">
        <v>66</v>
      </c>
      <c r="AA106" s="218" t="str">
        <f>IFERROR(VLOOKUP(B106,門市狀態!A:D,4,FALSE),"")</f>
        <v/>
      </c>
      <c r="AB106" s="224" t="str">
        <f>VLOOKUP(B106,門市總表!A:B,2,FALSE)</f>
        <v>板橋豫章店</v>
      </c>
      <c r="AC106" s="259"/>
      <c r="AD106" s="224" t="s">
        <v>66</v>
      </c>
      <c r="AE106" s="224"/>
      <c r="AF106" s="224" t="s">
        <v>4992</v>
      </c>
      <c r="AG106" s="248" t="s">
        <v>102</v>
      </c>
      <c r="AH106" s="224" t="s">
        <v>103</v>
      </c>
    </row>
    <row r="107" spans="1:34" ht="21.6" customHeight="1">
      <c r="A107" s="2">
        <v>106</v>
      </c>
      <c r="B107" s="2">
        <v>4406</v>
      </c>
      <c r="C107" s="4" t="s">
        <v>1020</v>
      </c>
      <c r="D107" s="2" t="s">
        <v>4993</v>
      </c>
      <c r="F107" s="2" t="s">
        <v>5199</v>
      </c>
      <c r="G107" s="2" t="s">
        <v>5204</v>
      </c>
      <c r="H107" s="78" t="s">
        <v>5205</v>
      </c>
      <c r="I107" s="4" t="s">
        <v>5206</v>
      </c>
      <c r="J107" s="5" t="s">
        <v>5207</v>
      </c>
      <c r="L107" s="368"/>
      <c r="N107" s="368"/>
      <c r="O107" s="219"/>
      <c r="R107" s="219"/>
      <c r="T107" s="219"/>
      <c r="U107" s="222" t="str">
        <f t="shared" si="7"/>
        <v>新北市</v>
      </c>
      <c r="V107" s="223" t="str">
        <f t="shared" si="5"/>
        <v>板橋區</v>
      </c>
      <c r="W107" s="223" t="str">
        <f t="shared" si="6"/>
        <v>貴興路89號、91號一樓</v>
      </c>
      <c r="X107" s="2" t="s">
        <v>326</v>
      </c>
      <c r="Y107" s="2" t="str">
        <f>VLOOKUP(V107,門市狀態!G:H,2,FALSE)</f>
        <v>狄澤洋</v>
      </c>
      <c r="Z107" s="218" t="str">
        <f>IF(D107="FVC7", IF(COUNTIF(特殊門市清單!N:N, B107)=0, "FVC7", VLOOKUP(B107,特殊門市清單!N:T,7,FALSE)), IF(AA107="v","Peplink",""))</f>
        <v/>
      </c>
      <c r="AA107" s="218" t="str">
        <f>IFERROR(VLOOKUP(B107,門市狀態!A:D,4,FALSE),"")</f>
        <v/>
      </c>
      <c r="AB107" s="224" t="str">
        <f>VLOOKUP(B107,門市總表!A:B,2,FALSE)</f>
        <v>板橋稚暉店</v>
      </c>
      <c r="AC107" s="259"/>
      <c r="AD107" s="224"/>
      <c r="AE107" s="224"/>
      <c r="AF107" s="224" t="s">
        <v>4992</v>
      </c>
      <c r="AG107" s="248" t="s">
        <v>102</v>
      </c>
      <c r="AH107" s="224"/>
    </row>
    <row r="108" spans="1:34" ht="21.6" customHeight="1">
      <c r="A108" s="2">
        <v>107</v>
      </c>
      <c r="B108" s="2">
        <v>2069</v>
      </c>
      <c r="C108" s="4" t="s">
        <v>2070</v>
      </c>
      <c r="D108" s="2" t="s">
        <v>4998</v>
      </c>
      <c r="F108" s="2" t="s">
        <v>5199</v>
      </c>
      <c r="G108" s="2" t="s">
        <v>5208</v>
      </c>
      <c r="H108" s="78" t="s">
        <v>5209</v>
      </c>
      <c r="I108" s="4" t="s">
        <v>5210</v>
      </c>
      <c r="J108" s="5" t="s">
        <v>5211</v>
      </c>
      <c r="L108" s="368"/>
      <c r="N108" s="368"/>
      <c r="O108" s="219"/>
      <c r="R108" s="219"/>
      <c r="T108" s="219"/>
      <c r="U108" s="222" t="str">
        <f t="shared" si="7"/>
        <v>新北市</v>
      </c>
      <c r="V108" s="223" t="str">
        <f t="shared" si="5"/>
        <v>板橋區</v>
      </c>
      <c r="W108" s="223" t="str">
        <f t="shared" si="6"/>
        <v>文化路二段408號</v>
      </c>
      <c r="X108" s="2" t="s">
        <v>326</v>
      </c>
      <c r="Y108" s="2" t="str">
        <f>VLOOKUP(V108,門市狀態!G:H,2,FALSE)</f>
        <v>狄澤洋</v>
      </c>
      <c r="Z108" s="218" t="str">
        <f>IF(D108="FVC7", IF(COUNTIF(特殊門市清單!N:N, B108)=0, "FVC7", VLOOKUP(B108,特殊門市清單!N:T,7,FALSE)), IF(AA108="v","Peplink",""))</f>
        <v/>
      </c>
      <c r="AA108" s="218" t="str">
        <f>IFERROR(VLOOKUP(B108,門市狀態!A:D,4,FALSE),"")</f>
        <v/>
      </c>
      <c r="AB108" s="224" t="str">
        <f>VLOOKUP(B108,門市總表!A:B,2,FALSE)</f>
        <v>板橋江子翠站</v>
      </c>
      <c r="AC108" s="259"/>
      <c r="AD108" s="224"/>
      <c r="AE108" s="224"/>
      <c r="AF108" s="224" t="s">
        <v>4992</v>
      </c>
      <c r="AG108" s="248" t="s">
        <v>102</v>
      </c>
      <c r="AH108" s="224" t="s">
        <v>103</v>
      </c>
    </row>
    <row r="109" spans="1:34" ht="21.6" customHeight="1">
      <c r="A109" s="2">
        <v>108</v>
      </c>
      <c r="B109" s="2">
        <v>2154</v>
      </c>
      <c r="C109" s="4" t="s">
        <v>5212</v>
      </c>
      <c r="D109" s="2" t="s">
        <v>4986</v>
      </c>
      <c r="F109" s="2" t="s">
        <v>5199</v>
      </c>
      <c r="G109" s="2" t="s">
        <v>5208</v>
      </c>
      <c r="H109" s="78" t="s">
        <v>5209</v>
      </c>
      <c r="I109" s="4" t="s">
        <v>5213</v>
      </c>
      <c r="J109" s="5" t="s">
        <v>5214</v>
      </c>
      <c r="L109" s="368"/>
      <c r="N109" s="368"/>
      <c r="O109" s="219"/>
      <c r="R109" s="219"/>
      <c r="T109" s="219"/>
      <c r="U109" s="222" t="str">
        <f t="shared" si="7"/>
        <v>新北市</v>
      </c>
      <c r="V109" s="223" t="str">
        <f t="shared" si="5"/>
        <v>板橋區</v>
      </c>
      <c r="W109" s="223" t="str">
        <f t="shared" si="6"/>
        <v>莊敬路248號</v>
      </c>
      <c r="X109" s="2" t="s">
        <v>326</v>
      </c>
      <c r="Y109" s="2" t="str">
        <f>VLOOKUP(V109,門市狀態!G:H,2,FALSE)</f>
        <v>狄澤洋</v>
      </c>
      <c r="Z109" s="218" t="str">
        <f>IF(D109="FVC7", IF(COUNTIF(特殊門市清單!N:N, B109)=0, "FVC7", VLOOKUP(B109,特殊門市清單!N:T,7,FALSE)), IF(AA109="v","Peplink",""))</f>
        <v/>
      </c>
      <c r="AA109" s="218" t="str">
        <f>IFERROR(VLOOKUP(B109,門市狀態!A:D,4,FALSE),"")</f>
        <v/>
      </c>
      <c r="AB109" s="224" t="str">
        <f>VLOOKUP(B109,門市總表!A:B,2,FALSE)</f>
        <v>北縣板莊店</v>
      </c>
      <c r="AC109" s="259"/>
      <c r="AD109" s="224"/>
      <c r="AE109" s="224"/>
      <c r="AF109" s="224" t="s">
        <v>4992</v>
      </c>
      <c r="AG109" s="248" t="s">
        <v>102</v>
      </c>
      <c r="AH109" s="224" t="s">
        <v>103</v>
      </c>
    </row>
    <row r="110" spans="1:34" ht="21.6" customHeight="1">
      <c r="A110" s="2">
        <v>109</v>
      </c>
      <c r="B110" s="2">
        <v>2221</v>
      </c>
      <c r="C110" s="4" t="s">
        <v>643</v>
      </c>
      <c r="D110" s="2" t="s">
        <v>4986</v>
      </c>
      <c r="F110" s="2" t="s">
        <v>5199</v>
      </c>
      <c r="G110" s="2" t="s">
        <v>5208</v>
      </c>
      <c r="H110" s="78" t="s">
        <v>5209</v>
      </c>
      <c r="I110" s="4" t="s">
        <v>5215</v>
      </c>
      <c r="J110" s="5" t="s">
        <v>5216</v>
      </c>
      <c r="L110" s="368"/>
      <c r="N110" s="368"/>
      <c r="O110" s="219"/>
      <c r="R110" s="219"/>
      <c r="T110" s="219"/>
      <c r="U110" s="222" t="str">
        <f t="shared" si="7"/>
        <v>新北市</v>
      </c>
      <c r="V110" s="223" t="str">
        <f t="shared" si="5"/>
        <v>板橋區</v>
      </c>
      <c r="W110" s="223" t="str">
        <f t="shared" si="6"/>
        <v>雙十路三段12、14、16號</v>
      </c>
      <c r="X110" s="2" t="s">
        <v>326</v>
      </c>
      <c r="Y110" s="2" t="str">
        <f>VLOOKUP(V110,門市狀態!G:H,2,FALSE)</f>
        <v>狄澤洋</v>
      </c>
      <c r="Z110" s="218" t="str">
        <f>IF(D110="FVC7", IF(COUNTIF(特殊門市清單!N:N, B110)=0, "FVC7", VLOOKUP(B110,特殊門市清單!N:T,7,FALSE)), IF(AA110="v","Peplink",""))</f>
        <v/>
      </c>
      <c r="AA110" s="218" t="str">
        <f>IFERROR(VLOOKUP(B110,門市狀態!A:D,4,FALSE),"")</f>
        <v/>
      </c>
      <c r="AB110" s="224" t="str">
        <f>VLOOKUP(B110,門市總表!A:B,2,FALSE)</f>
        <v>板橋雙十店</v>
      </c>
      <c r="AC110" s="259"/>
      <c r="AD110" s="224"/>
      <c r="AE110" s="224"/>
      <c r="AF110" s="224" t="s">
        <v>4992</v>
      </c>
      <c r="AG110" s="248" t="s">
        <v>102</v>
      </c>
      <c r="AH110" s="224" t="s">
        <v>103</v>
      </c>
    </row>
    <row r="111" spans="1:34" ht="21.6" customHeight="1">
      <c r="A111" s="2">
        <v>110</v>
      </c>
      <c r="B111" s="2">
        <v>2224</v>
      </c>
      <c r="C111" s="4" t="s">
        <v>1030</v>
      </c>
      <c r="D111" s="2" t="s">
        <v>4993</v>
      </c>
      <c r="F111" s="2" t="s">
        <v>5199</v>
      </c>
      <c r="G111" s="2" t="s">
        <v>5208</v>
      </c>
      <c r="H111" s="78" t="s">
        <v>5209</v>
      </c>
      <c r="I111" s="4" t="s">
        <v>5217</v>
      </c>
      <c r="J111" s="5" t="s">
        <v>5218</v>
      </c>
      <c r="L111" s="368"/>
      <c r="N111" s="368"/>
      <c r="O111" s="219"/>
      <c r="R111" s="219"/>
      <c r="T111" s="219"/>
      <c r="U111" s="222" t="str">
        <f t="shared" si="7"/>
        <v>新北市</v>
      </c>
      <c r="V111" s="223" t="str">
        <f t="shared" si="5"/>
        <v>板橋區</v>
      </c>
      <c r="W111" s="223" t="str">
        <f t="shared" si="6"/>
        <v>文化路二段78號</v>
      </c>
      <c r="X111" s="2" t="s">
        <v>326</v>
      </c>
      <c r="Y111" s="2" t="str">
        <f>VLOOKUP(V111,門市狀態!G:H,2,FALSE)</f>
        <v>狄澤洋</v>
      </c>
      <c r="Z111" s="218" t="str">
        <f>IF(D111="FVC7", IF(COUNTIF(特殊門市清單!N:N, B111)=0, "FVC7", VLOOKUP(B111,特殊門市清單!N:T,7,FALSE)), IF(AA111="v","Peplink",""))</f>
        <v/>
      </c>
      <c r="AA111" s="218" t="str">
        <f>IFERROR(VLOOKUP(B111,門市狀態!A:D,4,FALSE),"")</f>
        <v/>
      </c>
      <c r="AB111" s="224" t="str">
        <f>VLOOKUP(B111,門市總表!A:B,2,FALSE)</f>
        <v>板橋莒光店</v>
      </c>
      <c r="AC111" s="259"/>
      <c r="AD111" s="224"/>
      <c r="AE111" s="224"/>
      <c r="AF111" s="224" t="s">
        <v>4992</v>
      </c>
      <c r="AG111" s="248" t="s">
        <v>102</v>
      </c>
      <c r="AH111" s="224" t="s">
        <v>103</v>
      </c>
    </row>
    <row r="112" spans="1:34" ht="21.6" customHeight="1">
      <c r="A112" s="2">
        <v>111</v>
      </c>
      <c r="B112" s="2">
        <v>2746</v>
      </c>
      <c r="C112" s="4" t="s">
        <v>5219</v>
      </c>
      <c r="D112" s="2" t="s">
        <v>4986</v>
      </c>
      <c r="F112" s="2" t="s">
        <v>5199</v>
      </c>
      <c r="G112" s="2" t="s">
        <v>5208</v>
      </c>
      <c r="H112" s="78" t="s">
        <v>5209</v>
      </c>
      <c r="I112" s="4" t="s">
        <v>5220</v>
      </c>
      <c r="J112" s="5" t="s">
        <v>5221</v>
      </c>
      <c r="L112" s="368"/>
      <c r="N112" s="368"/>
      <c r="O112" s="219"/>
      <c r="R112" s="219"/>
      <c r="T112" s="219"/>
      <c r="U112" s="222" t="str">
        <f t="shared" si="7"/>
        <v>新北市</v>
      </c>
      <c r="V112" s="223" t="str">
        <f t="shared" si="5"/>
        <v>板橋區</v>
      </c>
      <c r="W112" s="223" t="str">
        <f t="shared" si="6"/>
        <v>雙十路三段29號</v>
      </c>
      <c r="X112" s="2" t="s">
        <v>326</v>
      </c>
      <c r="Y112" s="2" t="str">
        <f>VLOOKUP(V112,門市狀態!G:H,2,FALSE)</f>
        <v>狄澤洋</v>
      </c>
      <c r="Z112" s="218" t="str">
        <f>IF(D112="FVC7", IF(COUNTIF(特殊門市清單!N:N, B112)=0, "FVC7", VLOOKUP(B112,特殊門市清單!N:T,7,FALSE)), IF(AA112="v","Peplink",""))</f>
        <v/>
      </c>
      <c r="AA112" s="218" t="str">
        <f>IFERROR(VLOOKUP(B112,門市狀態!A:D,4,FALSE),"")</f>
        <v/>
      </c>
      <c r="AB112" s="224" t="str">
        <f>VLOOKUP(B112,門市總表!A:B,2,FALSE)</f>
        <v>北縣板嘉店</v>
      </c>
      <c r="AC112" s="259"/>
      <c r="AD112" s="224"/>
      <c r="AE112" s="224"/>
      <c r="AF112" s="224" t="s">
        <v>4992</v>
      </c>
      <c r="AG112" s="248" t="s">
        <v>102</v>
      </c>
      <c r="AH112" s="224" t="s">
        <v>103</v>
      </c>
    </row>
    <row r="113" spans="1:34" ht="21.6" customHeight="1">
      <c r="A113" s="2">
        <v>112</v>
      </c>
      <c r="B113" s="2">
        <v>3955</v>
      </c>
      <c r="C113" s="4" t="s">
        <v>627</v>
      </c>
      <c r="D113" s="2" t="s">
        <v>4993</v>
      </c>
      <c r="F113" s="2" t="s">
        <v>5199</v>
      </c>
      <c r="G113" s="2" t="s">
        <v>5208</v>
      </c>
      <c r="H113" s="78" t="s">
        <v>5209</v>
      </c>
      <c r="I113" s="4" t="s">
        <v>5222</v>
      </c>
      <c r="J113" s="5" t="s">
        <v>5223</v>
      </c>
      <c r="L113" s="368"/>
      <c r="N113" s="368"/>
      <c r="O113" s="219"/>
      <c r="R113" s="219"/>
      <c r="T113" s="219"/>
      <c r="U113" s="222" t="str">
        <f t="shared" si="7"/>
        <v>新北市</v>
      </c>
      <c r="V113" s="223" t="str">
        <f t="shared" si="5"/>
        <v>板橋區</v>
      </c>
      <c r="W113" s="223" t="str">
        <f t="shared" si="6"/>
        <v>新海路393、395號一樓全部</v>
      </c>
      <c r="X113" s="2" t="s">
        <v>326</v>
      </c>
      <c r="Y113" s="2" t="str">
        <f>VLOOKUP(V113,門市狀態!G:H,2,FALSE)</f>
        <v>狄澤洋</v>
      </c>
      <c r="Z113" s="218" t="str">
        <f>IF(D113="FVC7", IF(COUNTIF(特殊門市清單!N:N, B113)=0, "FVC7", VLOOKUP(B113,特殊門市清單!N:T,7,FALSE)), IF(AA113="v","Peplink",""))</f>
        <v/>
      </c>
      <c r="AA113" s="218" t="str">
        <f>IFERROR(VLOOKUP(B113,門市狀態!A:D,4,FALSE),"")</f>
        <v/>
      </c>
      <c r="AB113" s="224" t="str">
        <f>VLOOKUP(B113,門市總表!A:B,2,FALSE)</f>
        <v>板橋海龍店</v>
      </c>
      <c r="AC113" s="259"/>
      <c r="AD113" s="224"/>
      <c r="AE113" s="224"/>
      <c r="AF113" s="224" t="s">
        <v>4992</v>
      </c>
      <c r="AG113" s="248" t="s">
        <v>102</v>
      </c>
      <c r="AH113" s="224"/>
    </row>
    <row r="114" spans="1:34" ht="21.6" customHeight="1">
      <c r="A114" s="2">
        <v>113</v>
      </c>
      <c r="B114" s="2">
        <v>3962</v>
      </c>
      <c r="C114" s="4" t="s">
        <v>725</v>
      </c>
      <c r="D114" s="2" t="s">
        <v>4986</v>
      </c>
      <c r="F114" s="2" t="s">
        <v>5199</v>
      </c>
      <c r="G114" s="2" t="s">
        <v>5208</v>
      </c>
      <c r="H114" s="78" t="s">
        <v>5209</v>
      </c>
      <c r="I114" s="4" t="s">
        <v>5224</v>
      </c>
      <c r="J114" s="5" t="s">
        <v>5225</v>
      </c>
      <c r="L114" s="368"/>
      <c r="N114" s="368"/>
      <c r="O114" s="219"/>
      <c r="R114" s="219"/>
      <c r="T114" s="219"/>
      <c r="U114" s="222" t="str">
        <f t="shared" si="7"/>
        <v>新北市</v>
      </c>
      <c r="V114" s="223" t="str">
        <f t="shared" si="5"/>
        <v>板橋區</v>
      </c>
      <c r="W114" s="223" t="str">
        <f t="shared" si="6"/>
        <v>仁化街186號一樓全部</v>
      </c>
      <c r="X114" s="2" t="s">
        <v>326</v>
      </c>
      <c r="Y114" s="2" t="str">
        <f>VLOOKUP(V114,門市狀態!G:H,2,FALSE)</f>
        <v>狄澤洋</v>
      </c>
      <c r="Z114" s="218" t="str">
        <f>IF(D114="FVC7", IF(COUNTIF(特殊門市清單!N:N, B114)=0, "FVC7", VLOOKUP(B114,特殊門市清單!N:T,7,FALSE)), IF(AA114="v","Peplink",""))</f>
        <v/>
      </c>
      <c r="AA114" s="218" t="str">
        <f>IFERROR(VLOOKUP(B114,門市狀態!A:D,4,FALSE),"")</f>
        <v/>
      </c>
      <c r="AB114" s="224" t="str">
        <f>VLOOKUP(B114,門市總表!A:B,2,FALSE)</f>
        <v>板橋仁化店</v>
      </c>
      <c r="AC114" s="259"/>
      <c r="AD114" s="224"/>
      <c r="AE114" s="224"/>
      <c r="AF114" s="224" t="s">
        <v>4992</v>
      </c>
      <c r="AG114" s="248" t="s">
        <v>102</v>
      </c>
      <c r="AH114" s="224" t="s">
        <v>103</v>
      </c>
    </row>
    <row r="115" spans="1:34" ht="21.6" customHeight="1">
      <c r="A115" s="2">
        <v>114</v>
      </c>
      <c r="B115" s="2">
        <v>3965</v>
      </c>
      <c r="C115" s="4" t="s">
        <v>1038</v>
      </c>
      <c r="D115" s="2" t="s">
        <v>4986</v>
      </c>
      <c r="F115" s="2" t="s">
        <v>5199</v>
      </c>
      <c r="G115" s="2" t="s">
        <v>5208</v>
      </c>
      <c r="H115" s="2" t="s">
        <v>5209</v>
      </c>
      <c r="I115" s="4" t="s">
        <v>5226</v>
      </c>
      <c r="J115" s="5" t="s">
        <v>5227</v>
      </c>
      <c r="L115" s="368"/>
      <c r="N115" s="368"/>
      <c r="O115" s="219"/>
      <c r="R115" s="219"/>
      <c r="T115" s="219"/>
      <c r="U115" s="222" t="str">
        <f t="shared" si="7"/>
        <v>新北市</v>
      </c>
      <c r="V115" s="223" t="str">
        <f t="shared" si="5"/>
        <v>板橋區</v>
      </c>
      <c r="W115" s="223" t="str">
        <f t="shared" si="6"/>
        <v>民治街57巷2號、59號</v>
      </c>
      <c r="X115" s="2" t="s">
        <v>326</v>
      </c>
      <c r="Y115" s="2" t="str">
        <f>VLOOKUP(V115,門市狀態!G:H,2,FALSE)</f>
        <v>狄澤洋</v>
      </c>
      <c r="Z115" s="218" t="str">
        <f>IF(D115="FVC7", IF(COUNTIF(特殊門市清單!N:N, B115)=0, "FVC7", VLOOKUP(B115,特殊門市清單!N:T,7,FALSE)), IF(AA115="v","Peplink",""))</f>
        <v/>
      </c>
      <c r="AA115" s="218" t="str">
        <f>IFERROR(VLOOKUP(B115,門市狀態!A:D,4,FALSE),"")</f>
        <v/>
      </c>
      <c r="AB115" s="224" t="str">
        <f>VLOOKUP(B115,門市總表!A:B,2,FALSE)</f>
        <v>板橋民治店</v>
      </c>
      <c r="AC115" s="259"/>
      <c r="AD115" s="224"/>
      <c r="AE115" s="224"/>
      <c r="AF115" s="224" t="s">
        <v>4992</v>
      </c>
      <c r="AG115" s="248" t="s">
        <v>102</v>
      </c>
      <c r="AH115" s="224" t="s">
        <v>103</v>
      </c>
    </row>
    <row r="116" spans="1:34" ht="21.6" customHeight="1">
      <c r="A116" s="2">
        <v>115</v>
      </c>
      <c r="B116" s="2">
        <v>4680</v>
      </c>
      <c r="C116" s="4" t="s">
        <v>1223</v>
      </c>
      <c r="D116" s="2" t="s">
        <v>4986</v>
      </c>
      <c r="F116" s="2" t="s">
        <v>5199</v>
      </c>
      <c r="G116" s="2" t="s">
        <v>5208</v>
      </c>
      <c r="H116" s="78" t="s">
        <v>5209</v>
      </c>
      <c r="I116" s="4" t="s">
        <v>5228</v>
      </c>
      <c r="J116" s="5" t="s">
        <v>5229</v>
      </c>
      <c r="L116" s="368"/>
      <c r="N116" s="368"/>
      <c r="O116" s="219"/>
      <c r="R116" s="219"/>
      <c r="T116" s="219"/>
      <c r="U116" s="222" t="str">
        <f t="shared" si="7"/>
        <v>新北市</v>
      </c>
      <c r="V116" s="223" t="str">
        <f t="shared" si="5"/>
        <v>板橋區</v>
      </c>
      <c r="W116" s="223" t="str">
        <f t="shared" si="6"/>
        <v>江寧路三段49、51號一樓</v>
      </c>
      <c r="X116" s="2" t="s">
        <v>326</v>
      </c>
      <c r="Y116" s="2" t="str">
        <f>VLOOKUP(V116,門市狀態!G:H,2,FALSE)</f>
        <v>狄澤洋</v>
      </c>
      <c r="Z116" s="218" t="str">
        <f>IF(D116="FVC7", IF(COUNTIF(特殊門市清單!N:N, B116)=0, "FVC7", VLOOKUP(B116,特殊門市清單!N:T,7,FALSE)), IF(AA116="v","Peplink",""))</f>
        <v/>
      </c>
      <c r="AA116" s="218" t="str">
        <f>IFERROR(VLOOKUP(B116,門市狀態!A:D,4,FALSE),"")</f>
        <v/>
      </c>
      <c r="AB116" s="224" t="str">
        <f>VLOOKUP(B116,門市總表!A:B,2,FALSE)</f>
        <v>板橋江寧店</v>
      </c>
      <c r="AC116" s="259"/>
      <c r="AD116" s="224"/>
      <c r="AE116" s="224" t="s">
        <v>4985</v>
      </c>
      <c r="AF116" s="224" t="s">
        <v>4992</v>
      </c>
      <c r="AG116" s="248" t="s">
        <v>102</v>
      </c>
      <c r="AH116" s="224" t="s">
        <v>103</v>
      </c>
    </row>
    <row r="117" spans="1:34" ht="21.6" customHeight="1">
      <c r="A117" s="2">
        <v>116</v>
      </c>
      <c r="B117" s="2">
        <v>4917</v>
      </c>
      <c r="C117" s="4" t="s">
        <v>187</v>
      </c>
      <c r="D117" s="2" t="s">
        <v>4998</v>
      </c>
      <c r="F117" s="2" t="s">
        <v>5199</v>
      </c>
      <c r="G117" s="2" t="s">
        <v>5208</v>
      </c>
      <c r="H117" s="78" t="s">
        <v>5209</v>
      </c>
      <c r="I117" s="4" t="s">
        <v>5230</v>
      </c>
      <c r="J117" s="5" t="s">
        <v>5231</v>
      </c>
      <c r="L117" s="368"/>
      <c r="N117" s="368"/>
      <c r="O117" s="219"/>
      <c r="R117" s="219"/>
      <c r="T117" s="219"/>
      <c r="U117" s="222" t="str">
        <f t="shared" si="7"/>
        <v>新北市</v>
      </c>
      <c r="V117" s="223" t="str">
        <f t="shared" si="5"/>
        <v>板橋區</v>
      </c>
      <c r="W117" s="223" t="str">
        <f t="shared" si="6"/>
        <v>翠華街6巷1號1樓</v>
      </c>
      <c r="X117" s="2" t="s">
        <v>326</v>
      </c>
      <c r="Y117" s="2" t="str">
        <f>VLOOKUP(V117,門市狀態!G:H,2,FALSE)</f>
        <v>狄澤洋</v>
      </c>
      <c r="Z117" s="218" t="str">
        <f>IF(D117="FVC7", IF(COUNTIF(特殊門市清單!N:N, B117)=0, "FVC7", VLOOKUP(B117,特殊門市清單!N:T,7,FALSE)), IF(AA117="v","Peplink",""))</f>
        <v/>
      </c>
      <c r="AA117" s="218" t="str">
        <f>IFERROR(VLOOKUP(B117,門市狀態!A:D,4,FALSE),"")</f>
        <v/>
      </c>
      <c r="AB117" s="224" t="str">
        <f>VLOOKUP(B117,門市總表!A:B,2,FALSE)</f>
        <v>板橋翠華店</v>
      </c>
      <c r="AC117" s="259"/>
      <c r="AD117" s="224"/>
      <c r="AE117" s="224" t="s">
        <v>4985</v>
      </c>
      <c r="AF117" s="224" t="s">
        <v>4992</v>
      </c>
      <c r="AG117" s="248" t="s">
        <v>102</v>
      </c>
      <c r="AH117" s="224" t="s">
        <v>103</v>
      </c>
    </row>
    <row r="118" spans="1:34" ht="21.6" customHeight="1">
      <c r="A118" s="2">
        <v>117</v>
      </c>
      <c r="B118" s="2" t="s">
        <v>82</v>
      </c>
      <c r="C118" s="4" t="s">
        <v>1034</v>
      </c>
      <c r="D118" s="2" t="s">
        <v>4998</v>
      </c>
      <c r="F118" s="2" t="s">
        <v>5199</v>
      </c>
      <c r="G118" s="2" t="s">
        <v>5208</v>
      </c>
      <c r="H118" s="78" t="s">
        <v>5209</v>
      </c>
      <c r="I118" s="4" t="s">
        <v>5232</v>
      </c>
      <c r="J118" s="5" t="s">
        <v>5233</v>
      </c>
      <c r="L118" s="368"/>
      <c r="N118" s="368"/>
      <c r="O118" s="219"/>
      <c r="R118" s="219"/>
      <c r="T118" s="219"/>
      <c r="U118" s="222" t="str">
        <f t="shared" si="7"/>
        <v>新北市</v>
      </c>
      <c r="V118" s="223" t="str">
        <f t="shared" si="5"/>
        <v>板橋區</v>
      </c>
      <c r="W118" s="223" t="str">
        <f t="shared" si="6"/>
        <v>文化路二段439之1號</v>
      </c>
      <c r="X118" s="2" t="s">
        <v>326</v>
      </c>
      <c r="Y118" s="2" t="str">
        <f>VLOOKUP(V118,門市狀態!G:H,2,FALSE)</f>
        <v>狄澤洋</v>
      </c>
      <c r="Z118" s="218" t="str">
        <f>IF(D118="FVC7", IF(COUNTIF(特殊門市清單!N:N, B118)=0, "FVC7", VLOOKUP(B118,特殊門市清單!N:T,7,FALSE)), IF(AA118="v","Peplink",""))</f>
        <v/>
      </c>
      <c r="AA118" s="218" t="str">
        <f>IFERROR(VLOOKUP(B118,門市狀態!A:D,4,FALSE),"")</f>
        <v/>
      </c>
      <c r="AB118" s="224" t="str">
        <f>VLOOKUP(B118,門市總表!A:B,2,FALSE)</f>
        <v>板橋寶翠店</v>
      </c>
      <c r="AC118" s="259"/>
      <c r="AD118" s="224"/>
      <c r="AE118" s="224"/>
      <c r="AF118" s="224" t="s">
        <v>4992</v>
      </c>
      <c r="AG118" s="248" t="s">
        <v>102</v>
      </c>
      <c r="AH118" s="224" t="s">
        <v>103</v>
      </c>
    </row>
    <row r="119" spans="1:34" ht="21.6" customHeight="1">
      <c r="A119" s="2">
        <v>118</v>
      </c>
      <c r="B119" s="2">
        <v>3147</v>
      </c>
      <c r="C119" s="4" t="s">
        <v>5234</v>
      </c>
      <c r="D119" s="2" t="s">
        <v>4986</v>
      </c>
      <c r="F119" s="2" t="s">
        <v>5199</v>
      </c>
      <c r="G119" s="2" t="s">
        <v>5235</v>
      </c>
      <c r="H119" s="78" t="s">
        <v>5236</v>
      </c>
      <c r="I119" s="4" t="s">
        <v>5237</v>
      </c>
      <c r="J119" s="5" t="s">
        <v>5238</v>
      </c>
      <c r="L119" s="368"/>
      <c r="N119" s="368"/>
      <c r="O119" s="219"/>
      <c r="R119" s="219"/>
      <c r="T119" s="219"/>
      <c r="U119" s="222" t="str">
        <f t="shared" si="7"/>
        <v>新北市</v>
      </c>
      <c r="V119" s="223" t="str">
        <f t="shared" si="5"/>
        <v>板橋區</v>
      </c>
      <c r="W119" s="223" t="str">
        <f t="shared" si="6"/>
        <v>陽明街52號+自由路1號</v>
      </c>
      <c r="X119" s="2" t="s">
        <v>326</v>
      </c>
      <c r="Y119" s="2" t="str">
        <f>VLOOKUP(V119,門市狀態!G:H,2,FALSE)</f>
        <v>狄澤洋</v>
      </c>
      <c r="Z119" s="218" t="str">
        <f>IF(D119="FVC7", IF(COUNTIF(特殊門市清單!N:N, B119)=0, "FVC7", VLOOKUP(B119,特殊門市清單!N:T,7,FALSE)), IF(AA119="v","Peplink",""))</f>
        <v/>
      </c>
      <c r="AA119" s="218" t="str">
        <f>IFERROR(VLOOKUP(B119,門市狀態!A:D,4,FALSE),"")</f>
        <v/>
      </c>
      <c r="AB119" s="224" t="str">
        <f>VLOOKUP(B119,門市總表!A:B,2,FALSE)</f>
        <v>北縣板明店</v>
      </c>
      <c r="AC119" s="259"/>
      <c r="AD119" s="224"/>
      <c r="AE119" s="224"/>
      <c r="AF119" s="224" t="s">
        <v>4992</v>
      </c>
      <c r="AG119" s="248" t="s">
        <v>102</v>
      </c>
      <c r="AH119" s="224" t="s">
        <v>103</v>
      </c>
    </row>
    <row r="120" spans="1:34" ht="21.6" customHeight="1">
      <c r="A120" s="2">
        <v>119</v>
      </c>
      <c r="B120" s="2">
        <v>3183</v>
      </c>
      <c r="C120" s="4" t="s">
        <v>595</v>
      </c>
      <c r="D120" s="2" t="s">
        <v>4993</v>
      </c>
      <c r="F120" s="2" t="s">
        <v>5199</v>
      </c>
      <c r="G120" s="2" t="s">
        <v>5235</v>
      </c>
      <c r="H120" s="78" t="s">
        <v>5236</v>
      </c>
      <c r="I120" s="4" t="s">
        <v>5239</v>
      </c>
      <c r="J120" s="5" t="s">
        <v>5240</v>
      </c>
      <c r="L120" s="368"/>
      <c r="N120" s="368"/>
      <c r="O120" s="219"/>
      <c r="R120" s="219"/>
      <c r="T120" s="219"/>
      <c r="U120" s="222" t="str">
        <f t="shared" si="7"/>
        <v>新北市</v>
      </c>
      <c r="V120" s="223" t="str">
        <f t="shared" si="5"/>
        <v>板橋區</v>
      </c>
      <c r="W120" s="223" t="str">
        <f t="shared" si="6"/>
        <v>中正路341巷37號</v>
      </c>
      <c r="X120" s="2" t="s">
        <v>326</v>
      </c>
      <c r="Y120" s="2" t="str">
        <f>VLOOKUP(V120,門市狀態!G:H,2,FALSE)</f>
        <v>狄澤洋</v>
      </c>
      <c r="Z120" s="218" t="str">
        <f>IF(D120="FVC7", IF(COUNTIF(特殊門市清單!N:N, B120)=0, "FVC7", VLOOKUP(B120,特殊門市清單!N:T,7,FALSE)), IF(AA120="v","Peplink",""))</f>
        <v/>
      </c>
      <c r="AA120" s="218" t="str">
        <f>IFERROR(VLOOKUP(B120,門市狀態!A:D,4,FALSE),"")</f>
        <v/>
      </c>
      <c r="AB120" s="224" t="str">
        <f>VLOOKUP(B120,門市總表!A:B,2,FALSE)</f>
        <v>板橋板好店</v>
      </c>
      <c r="AC120" s="259"/>
      <c r="AD120" s="224"/>
      <c r="AE120" s="224"/>
      <c r="AF120" s="224" t="s">
        <v>4992</v>
      </c>
      <c r="AG120" s="248" t="s">
        <v>102</v>
      </c>
      <c r="AH120" s="224" t="s">
        <v>103</v>
      </c>
    </row>
    <row r="121" spans="1:34" ht="21.6" customHeight="1">
      <c r="A121" s="2">
        <v>120</v>
      </c>
      <c r="B121" s="2">
        <v>3551</v>
      </c>
      <c r="C121" s="4" t="s">
        <v>936</v>
      </c>
      <c r="D121" s="2" t="s">
        <v>4998</v>
      </c>
      <c r="F121" s="2" t="s">
        <v>5199</v>
      </c>
      <c r="G121" s="2" t="s">
        <v>5235</v>
      </c>
      <c r="H121" s="78" t="s">
        <v>5236</v>
      </c>
      <c r="I121" s="4" t="s">
        <v>5241</v>
      </c>
      <c r="J121" s="5" t="s">
        <v>5242</v>
      </c>
      <c r="L121" s="368"/>
      <c r="N121" s="368"/>
      <c r="O121" s="219"/>
      <c r="R121" s="219"/>
      <c r="T121" s="219"/>
      <c r="U121" s="222" t="str">
        <f t="shared" si="7"/>
        <v>新北市</v>
      </c>
      <c r="V121" s="223" t="str">
        <f t="shared" si="5"/>
        <v>板橋區</v>
      </c>
      <c r="W121" s="223" t="str">
        <f t="shared" si="6"/>
        <v>永豐街51-1.51-2號一樓全部</v>
      </c>
      <c r="X121" s="2" t="s">
        <v>326</v>
      </c>
      <c r="Y121" s="2" t="str">
        <f>VLOOKUP(V121,門市狀態!G:H,2,FALSE)</f>
        <v>狄澤洋</v>
      </c>
      <c r="Z121" s="218" t="str">
        <f>IF(D121="FVC7", IF(COUNTIF(特殊門市清單!N:N, B121)=0, "FVC7", VLOOKUP(B121,特殊門市清單!N:T,7,FALSE)), IF(AA121="v","Peplink",""))</f>
        <v/>
      </c>
      <c r="AA121" s="218" t="str">
        <f>IFERROR(VLOOKUP(B121,門市狀態!A:D,4,FALSE),"")</f>
        <v/>
      </c>
      <c r="AB121" s="224" t="str">
        <f>VLOOKUP(B121,門市總表!A:B,2,FALSE)</f>
        <v>板橋板豐店</v>
      </c>
      <c r="AC121" s="259"/>
      <c r="AD121" s="224"/>
      <c r="AE121" s="224"/>
      <c r="AF121" s="224" t="s">
        <v>4992</v>
      </c>
      <c r="AG121" s="248" t="s">
        <v>102</v>
      </c>
      <c r="AH121" s="224" t="s">
        <v>103</v>
      </c>
    </row>
    <row r="122" spans="1:34" ht="21.6" customHeight="1">
      <c r="A122" s="2">
        <v>121</v>
      </c>
      <c r="B122" s="2">
        <v>3818</v>
      </c>
      <c r="C122" s="4" t="s">
        <v>153</v>
      </c>
      <c r="D122" s="2" t="s">
        <v>4986</v>
      </c>
      <c r="F122" s="2" t="s">
        <v>5199</v>
      </c>
      <c r="G122" s="2" t="s">
        <v>5235</v>
      </c>
      <c r="H122" s="78" t="s">
        <v>5236</v>
      </c>
      <c r="I122" s="4" t="s">
        <v>5243</v>
      </c>
      <c r="J122" s="5" t="s">
        <v>5244</v>
      </c>
      <c r="L122" s="368"/>
      <c r="N122" s="368"/>
      <c r="O122" s="219"/>
      <c r="R122" s="219"/>
      <c r="T122" s="219"/>
      <c r="U122" s="222" t="str">
        <f t="shared" si="7"/>
        <v>新北市</v>
      </c>
      <c r="V122" s="223" t="str">
        <f t="shared" si="5"/>
        <v>板橋區</v>
      </c>
      <c r="W122" s="223" t="str">
        <f t="shared" si="6"/>
        <v>長江路2段2號一樓</v>
      </c>
      <c r="X122" s="2" t="s">
        <v>326</v>
      </c>
      <c r="Y122" s="2" t="str">
        <f>VLOOKUP(V122,門市狀態!G:H,2,FALSE)</f>
        <v>狄澤洋</v>
      </c>
      <c r="Z122" s="218" t="str">
        <f>IF(D122="FVC7", IF(COUNTIF(特殊門市清單!N:N, B122)=0, "FVC7", VLOOKUP(B122,特殊門市清單!N:T,7,FALSE)), IF(AA122="v","Peplink",""))</f>
        <v/>
      </c>
      <c r="AA122" s="218" t="str">
        <f>IFERROR(VLOOKUP(B122,門市狀態!A:D,4,FALSE),"")</f>
        <v>撤店</v>
      </c>
      <c r="AB122" s="224" t="str">
        <f>VLOOKUP(B122,門市總表!A:B,2,FALSE)</f>
        <v>板橋漢江店</v>
      </c>
      <c r="AC122" s="259"/>
      <c r="AD122" s="224"/>
      <c r="AE122" s="224"/>
      <c r="AF122" s="224" t="s">
        <v>4992</v>
      </c>
      <c r="AG122" s="248" t="s">
        <v>102</v>
      </c>
      <c r="AH122" s="224" t="s">
        <v>103</v>
      </c>
    </row>
    <row r="123" spans="1:34" ht="21.6" customHeight="1">
      <c r="A123" s="2">
        <v>122</v>
      </c>
      <c r="B123" s="2">
        <v>3853</v>
      </c>
      <c r="C123" s="4" t="s">
        <v>623</v>
      </c>
      <c r="D123" s="2" t="s">
        <v>4986</v>
      </c>
      <c r="F123" s="2" t="s">
        <v>5199</v>
      </c>
      <c r="G123" s="2" t="s">
        <v>5235</v>
      </c>
      <c r="H123" s="78" t="s">
        <v>5236</v>
      </c>
      <c r="I123" s="4" t="s">
        <v>5245</v>
      </c>
      <c r="J123" s="5" t="s">
        <v>5246</v>
      </c>
      <c r="L123" s="368"/>
      <c r="N123" s="368"/>
      <c r="O123" s="219"/>
      <c r="R123" s="219"/>
      <c r="T123" s="219"/>
      <c r="U123" s="222" t="str">
        <f t="shared" si="7"/>
        <v>新北市</v>
      </c>
      <c r="V123" s="223" t="str">
        <f t="shared" si="5"/>
        <v>板橋區</v>
      </c>
      <c r="W123" s="223" t="str">
        <f t="shared" si="6"/>
        <v>互助街48號一樓全部及50號一樓及地下室全部</v>
      </c>
      <c r="X123" s="2" t="s">
        <v>326</v>
      </c>
      <c r="Y123" s="2" t="str">
        <f>VLOOKUP(V123,門市狀態!G:H,2,FALSE)</f>
        <v>狄澤洋</v>
      </c>
      <c r="Z123" s="218" t="str">
        <f>IF(D123="FVC7", IF(COUNTIF(特殊門市清單!N:N, B123)=0, "FVC7", VLOOKUP(B123,特殊門市清單!N:T,7,FALSE)), IF(AA123="v","Peplink",""))</f>
        <v/>
      </c>
      <c r="AA123" s="218" t="str">
        <f>IFERROR(VLOOKUP(B123,門市狀態!A:D,4,FALSE),"")</f>
        <v/>
      </c>
      <c r="AB123" s="224" t="str">
        <f>VLOOKUP(B123,門市總表!A:B,2,FALSE)</f>
        <v>板橋互助店</v>
      </c>
      <c r="AC123" s="259"/>
      <c r="AD123" s="224"/>
      <c r="AE123" s="224"/>
      <c r="AF123" s="224" t="s">
        <v>4992</v>
      </c>
      <c r="AG123" s="248" t="s">
        <v>102</v>
      </c>
      <c r="AH123" s="224" t="s">
        <v>103</v>
      </c>
    </row>
    <row r="124" spans="1:34" ht="21.6" customHeight="1">
      <c r="A124" s="2">
        <v>123</v>
      </c>
      <c r="B124" s="2">
        <v>4983</v>
      </c>
      <c r="C124" s="4" t="s">
        <v>591</v>
      </c>
      <c r="D124" s="2" t="s">
        <v>4986</v>
      </c>
      <c r="F124" s="2" t="s">
        <v>5199</v>
      </c>
      <c r="G124" s="2" t="s">
        <v>5235</v>
      </c>
      <c r="H124" s="78" t="s">
        <v>5236</v>
      </c>
      <c r="I124" s="4" t="s">
        <v>5247</v>
      </c>
      <c r="J124" s="5" t="s">
        <v>5248</v>
      </c>
      <c r="L124" s="368"/>
      <c r="N124" s="368"/>
      <c r="O124" s="219"/>
      <c r="R124" s="219"/>
      <c r="T124" s="219"/>
      <c r="U124" s="222" t="str">
        <f t="shared" si="7"/>
        <v>新北市</v>
      </c>
      <c r="V124" s="223" t="str">
        <f t="shared" si="5"/>
        <v>板橋區</v>
      </c>
      <c r="W124" s="223" t="str">
        <f t="shared" si="6"/>
        <v>藝文街171號一樓</v>
      </c>
      <c r="X124" s="2" t="s">
        <v>326</v>
      </c>
      <c r="Y124" s="2" t="str">
        <f>VLOOKUP(V124,門市狀態!G:H,2,FALSE)</f>
        <v>狄澤洋</v>
      </c>
      <c r="Z124" s="218" t="str">
        <f>IF(D124="FVC7", IF(COUNTIF(特殊門市清單!N:N, B124)=0, "FVC7", VLOOKUP(B124,特殊門市清單!N:T,7,FALSE)), IF(AA124="v","Peplink",""))</f>
        <v/>
      </c>
      <c r="AA124" s="218" t="str">
        <f>IFERROR(VLOOKUP(B124,門市狀態!A:D,4,FALSE),"")</f>
        <v/>
      </c>
      <c r="AB124" s="224" t="str">
        <f>VLOOKUP(B124,門市總表!A:B,2,FALSE)</f>
        <v>板橋藝文店</v>
      </c>
      <c r="AC124" s="259"/>
      <c r="AD124" s="224"/>
      <c r="AE124" s="224" t="s">
        <v>4985</v>
      </c>
      <c r="AF124" s="224" t="s">
        <v>4992</v>
      </c>
      <c r="AG124" s="248" t="s">
        <v>102</v>
      </c>
      <c r="AH124" s="224" t="s">
        <v>103</v>
      </c>
    </row>
    <row r="125" spans="1:34" ht="21.6" customHeight="1">
      <c r="A125" s="2">
        <v>124</v>
      </c>
      <c r="B125" s="2" t="s">
        <v>74</v>
      </c>
      <c r="C125" s="4" t="s">
        <v>2182</v>
      </c>
      <c r="D125" s="2" t="s">
        <v>4986</v>
      </c>
      <c r="F125" s="2" t="s">
        <v>5199</v>
      </c>
      <c r="G125" s="2" t="s">
        <v>5235</v>
      </c>
      <c r="H125" s="78" t="s">
        <v>5236</v>
      </c>
      <c r="I125" s="4" t="s">
        <v>5249</v>
      </c>
      <c r="J125" s="5" t="s">
        <v>5250</v>
      </c>
      <c r="L125" s="368"/>
      <c r="N125" s="368"/>
      <c r="O125" s="219"/>
      <c r="R125" s="219"/>
      <c r="T125" s="219"/>
      <c r="U125" s="222" t="str">
        <f t="shared" si="7"/>
        <v>新北市</v>
      </c>
      <c r="V125" s="223" t="str">
        <f t="shared" si="5"/>
        <v>板橋區</v>
      </c>
      <c r="W125" s="223" t="str">
        <f t="shared" si="6"/>
        <v>幸褔路70巷1號</v>
      </c>
      <c r="X125" s="2" t="s">
        <v>326</v>
      </c>
      <c r="Y125" s="2" t="str">
        <f>VLOOKUP(V125,門市狀態!G:H,2,FALSE)</f>
        <v>狄澤洋</v>
      </c>
      <c r="Z125" s="218" t="str">
        <f>IF(D125="FVC7", IF(COUNTIF(特殊門市清單!N:N, B125)=0, "FVC7", VLOOKUP(B125,特殊門市清單!N:T,7,FALSE)), IF(AA125="v","Peplink",""))</f>
        <v/>
      </c>
      <c r="AA125" s="218" t="str">
        <f>IFERROR(VLOOKUP(B125,門市狀態!A:D,4,FALSE),"")</f>
        <v/>
      </c>
      <c r="AB125" s="224" t="str">
        <f>VLOOKUP(B125,門市總表!A:B,2,FALSE)</f>
        <v>板橋僑福店</v>
      </c>
      <c r="AC125" s="259"/>
      <c r="AD125" s="224"/>
      <c r="AE125" s="224" t="s">
        <v>4985</v>
      </c>
      <c r="AF125" s="224" t="s">
        <v>4992</v>
      </c>
      <c r="AG125" s="248" t="s">
        <v>102</v>
      </c>
      <c r="AH125" s="224" t="s">
        <v>103</v>
      </c>
    </row>
    <row r="126" spans="1:34" ht="21.6" customHeight="1">
      <c r="A126" s="2">
        <v>125</v>
      </c>
      <c r="B126" s="2" t="s">
        <v>48</v>
      </c>
      <c r="C126" s="4" t="s">
        <v>5251</v>
      </c>
      <c r="D126" s="2" t="s">
        <v>4998</v>
      </c>
      <c r="F126" s="2" t="s">
        <v>5199</v>
      </c>
      <c r="G126" s="2" t="s">
        <v>5235</v>
      </c>
      <c r="H126" s="78" t="s">
        <v>5236</v>
      </c>
      <c r="I126" s="4" t="s">
        <v>5252</v>
      </c>
      <c r="J126" s="5" t="s">
        <v>5253</v>
      </c>
      <c r="L126" s="368"/>
      <c r="N126" s="368"/>
      <c r="O126" s="219"/>
      <c r="R126" s="219"/>
      <c r="T126" s="219"/>
      <c r="U126" s="222" t="str">
        <f t="shared" si="7"/>
        <v>新北市</v>
      </c>
      <c r="V126" s="223" t="str">
        <f t="shared" si="5"/>
        <v>板橋區</v>
      </c>
      <c r="W126" s="223" t="str">
        <f t="shared" si="6"/>
        <v>府中路24號</v>
      </c>
      <c r="X126" s="2" t="s">
        <v>326</v>
      </c>
      <c r="Y126" s="2" t="str">
        <f>VLOOKUP(V126,門市狀態!G:H,2,FALSE)</f>
        <v>狄澤洋</v>
      </c>
      <c r="Z126" s="218" t="str">
        <f>IF(D126="FVC7", IF(COUNTIF(特殊門市清單!N:N, B126)=0, "FVC7", VLOOKUP(B126,特殊門市清單!N:T,7,FALSE)), IF(AA126="v","Peplink",""))</f>
        <v/>
      </c>
      <c r="AA126" s="218" t="str">
        <f>IFERROR(VLOOKUP(B126,門市狀態!A:D,4,FALSE),"")</f>
        <v/>
      </c>
      <c r="AB126" s="224" t="str">
        <f>VLOOKUP(B126,門市總表!A:B,2,FALSE)</f>
        <v>北縣府中店</v>
      </c>
      <c r="AC126" s="259"/>
      <c r="AD126" s="224"/>
      <c r="AE126" s="224"/>
      <c r="AF126" s="224" t="s">
        <v>4992</v>
      </c>
      <c r="AG126" s="248" t="s">
        <v>102</v>
      </c>
      <c r="AH126" s="224" t="s">
        <v>103</v>
      </c>
    </row>
    <row r="127" spans="1:34" ht="21.6" customHeight="1">
      <c r="A127" s="2">
        <v>126</v>
      </c>
      <c r="B127" s="2" t="s">
        <v>61</v>
      </c>
      <c r="C127" s="4" t="s">
        <v>1521</v>
      </c>
      <c r="D127" s="2" t="s">
        <v>4998</v>
      </c>
      <c r="F127" s="2" t="s">
        <v>5199</v>
      </c>
      <c r="G127" s="2" t="s">
        <v>5235</v>
      </c>
      <c r="H127" s="78" t="s">
        <v>5236</v>
      </c>
      <c r="I127" s="4" t="s">
        <v>5254</v>
      </c>
      <c r="J127" s="5" t="s">
        <v>5255</v>
      </c>
      <c r="L127" s="368"/>
      <c r="N127" s="368"/>
      <c r="O127" s="219"/>
      <c r="R127" s="219"/>
      <c r="T127" s="219"/>
      <c r="U127" s="222" t="str">
        <f t="shared" si="7"/>
        <v>新北市</v>
      </c>
      <c r="V127" s="223" t="str">
        <f t="shared" si="5"/>
        <v>板橋區</v>
      </c>
      <c r="W127" s="223" t="str">
        <f t="shared" si="6"/>
        <v>重慶路245巷61號</v>
      </c>
      <c r="X127" s="2" t="s">
        <v>326</v>
      </c>
      <c r="Y127" s="2" t="str">
        <f>VLOOKUP(V127,門市狀態!G:H,2,FALSE)</f>
        <v>狄澤洋</v>
      </c>
      <c r="Z127" s="218" t="str">
        <f>IF(D127="FVC7", IF(COUNTIF(特殊門市清單!N:N, B127)=0, "FVC7", VLOOKUP(B127,特殊門市清單!N:T,7,FALSE)), IF(AA127="v","Peplink",""))</f>
        <v/>
      </c>
      <c r="AA127" s="218" t="str">
        <f>IFERROR(VLOOKUP(B127,門市狀態!A:D,4,FALSE),"")</f>
        <v/>
      </c>
      <c r="AB127" s="224" t="str">
        <f>VLOOKUP(B127,門市總表!A:B,2,FALSE)</f>
        <v>板橋成都店</v>
      </c>
      <c r="AC127" s="259"/>
      <c r="AD127" s="224"/>
      <c r="AE127" s="224" t="s">
        <v>4985</v>
      </c>
      <c r="AF127" s="224" t="s">
        <v>4992</v>
      </c>
      <c r="AG127" s="248" t="s">
        <v>102</v>
      </c>
      <c r="AH127" s="224" t="s">
        <v>103</v>
      </c>
    </row>
    <row r="128" spans="1:34" ht="21.6" customHeight="1">
      <c r="A128" s="2">
        <v>127</v>
      </c>
      <c r="B128" s="2" t="s">
        <v>83</v>
      </c>
      <c r="C128" s="4" t="s">
        <v>1024</v>
      </c>
      <c r="D128" s="2" t="s">
        <v>4982</v>
      </c>
      <c r="F128" s="2" t="s">
        <v>5199</v>
      </c>
      <c r="G128" s="2" t="s">
        <v>5235</v>
      </c>
      <c r="H128" s="78" t="s">
        <v>5236</v>
      </c>
      <c r="I128" s="4" t="s">
        <v>5256</v>
      </c>
      <c r="J128" s="5" t="s">
        <v>5257</v>
      </c>
      <c r="L128" s="368"/>
      <c r="N128" s="368"/>
      <c r="O128" s="219"/>
      <c r="R128" s="219"/>
      <c r="T128" s="219"/>
      <c r="U128" s="222" t="str">
        <f t="shared" si="7"/>
        <v>新北市</v>
      </c>
      <c r="V128" s="223" t="str">
        <f t="shared" si="5"/>
        <v>板橋區</v>
      </c>
      <c r="W128" s="223" t="str">
        <f t="shared" si="6"/>
        <v>中山路一段279號</v>
      </c>
      <c r="X128" s="2" t="s">
        <v>326</v>
      </c>
      <c r="Y128" s="2" t="str">
        <f>VLOOKUP(V128,門市狀態!G:H,2,FALSE)</f>
        <v>狄澤洋</v>
      </c>
      <c r="Z128" s="218" t="str">
        <f>IF(D128="FVC7", IF(COUNTIF(特殊門市清單!N:N, B128)=0, "FVC7", VLOOKUP(B128,特殊門市清單!N:T,7,FALSE)), IF(AA128="v","Peplink",""))</f>
        <v>萊到店 WebPOS</v>
      </c>
      <c r="AA128" s="218" t="str">
        <f>IFERROR(VLOOKUP(B128,門市狀態!A:D,4,FALSE),"")</f>
        <v/>
      </c>
      <c r="AB128" s="224" t="str">
        <f>VLOOKUP(B128,門市總表!A:B,2,FALSE)</f>
        <v>車麗屋板橋店</v>
      </c>
      <c r="AC128" s="259"/>
      <c r="AD128" s="224"/>
      <c r="AE128" s="224"/>
      <c r="AF128" s="224"/>
      <c r="AG128" s="248"/>
      <c r="AH128" s="224"/>
    </row>
    <row r="129" spans="1:34" ht="21.6" customHeight="1">
      <c r="A129" s="2">
        <v>128</v>
      </c>
      <c r="B129" s="2">
        <v>2403</v>
      </c>
      <c r="C129" s="4" t="s">
        <v>532</v>
      </c>
      <c r="D129" s="2" t="s">
        <v>4986</v>
      </c>
      <c r="F129" s="2" t="s">
        <v>5199</v>
      </c>
      <c r="G129" s="2" t="s">
        <v>5200</v>
      </c>
      <c r="H129" s="78" t="s">
        <v>5201</v>
      </c>
      <c r="I129" s="4" t="s">
        <v>5258</v>
      </c>
      <c r="J129" s="5" t="s">
        <v>5259</v>
      </c>
      <c r="L129" s="368"/>
      <c r="N129" s="368"/>
      <c r="O129" s="219"/>
      <c r="R129" s="219"/>
      <c r="T129" s="219"/>
      <c r="U129" s="222" t="str">
        <f t="shared" si="7"/>
        <v>新北市</v>
      </c>
      <c r="V129" s="223" t="str">
        <f t="shared" si="5"/>
        <v>板橋區</v>
      </c>
      <c r="W129" s="223" t="str">
        <f t="shared" si="6"/>
        <v>龍興街73巷2、4號1樓</v>
      </c>
      <c r="X129" s="2" t="s">
        <v>326</v>
      </c>
      <c r="Y129" s="2" t="str">
        <f>VLOOKUP(V129,門市狀態!G:H,2,FALSE)</f>
        <v>狄澤洋</v>
      </c>
      <c r="Z129" s="218" t="str">
        <f>IF(D129="FVC7", IF(COUNTIF(特殊門市清單!N:N, B129)=0, "FVC7", VLOOKUP(B129,特殊門市清單!N:T,7,FALSE)), IF(AA129="v","Peplink",""))</f>
        <v/>
      </c>
      <c r="AA129" s="218" t="str">
        <f>IFERROR(VLOOKUP(B129,門市狀態!A:D,4,FALSE),"")</f>
        <v/>
      </c>
      <c r="AB129" s="224" t="str">
        <f>VLOOKUP(B129,門市總表!A:B,2,FALSE)</f>
        <v>板橋板龍店</v>
      </c>
      <c r="AC129" s="259"/>
      <c r="AD129" s="224"/>
      <c r="AE129" s="224"/>
      <c r="AF129" s="224" t="s">
        <v>4992</v>
      </c>
      <c r="AG129" s="248" t="s">
        <v>102</v>
      </c>
      <c r="AH129" s="224" t="s">
        <v>103</v>
      </c>
    </row>
    <row r="130" spans="1:34" ht="21.6" customHeight="1">
      <c r="A130" s="2">
        <v>129</v>
      </c>
      <c r="B130" s="2">
        <v>2422</v>
      </c>
      <c r="C130" s="4" t="s">
        <v>544</v>
      </c>
      <c r="D130" s="2" t="s">
        <v>4986</v>
      </c>
      <c r="F130" s="2" t="s">
        <v>5199</v>
      </c>
      <c r="G130" s="2" t="s">
        <v>5200</v>
      </c>
      <c r="H130" s="78" t="s">
        <v>5201</v>
      </c>
      <c r="I130" s="4" t="s">
        <v>5260</v>
      </c>
      <c r="J130" s="5" t="s">
        <v>5261</v>
      </c>
      <c r="L130" s="368"/>
      <c r="N130" s="368"/>
      <c r="O130" s="219"/>
      <c r="R130" s="219"/>
      <c r="T130" s="219"/>
      <c r="U130" s="222" t="str">
        <f t="shared" ref="U130:U140" si="8">IFERROR(LEFT(J130,FIND("縣",J130)),IFERROR(LEFT(J130,FIND("市",J130)),J130))</f>
        <v>新北市</v>
      </c>
      <c r="V130" s="223" t="str">
        <f t="shared" ref="V130:V193" si="9">IFERROR(
IFERROR(
IFERROR(
MID(J130,FIND("市",J130)+1,IF(FIND("區",J130)-FIND("市",J130)&gt;3,FIND("鄉",J130)-FIND("市",J130),FIND("區",J130)-FIND("市",J130))),
MID(J130,FIND("市",J130)+1,IF(FIND("鎮",J130)-FIND("市",J130)&gt;3,FIND("鄉",J130)-FIND("市",J130),FIND("鎮",J130)-FIND("市",J130)))
),
MID(J130,FIND("市",J130)+1,IF(FIND("鄉",J130)-FIND("市",J130)&gt;3,FIND("區",J130)-FIND("市",J130),FIND("鄉",J130)-FIND("市",J130)))
),
IFERROR(
IFERROR(
IFERROR(
MID(J130,FIND("縣",J130)+1,IF(FIND("區",J130)-FIND("縣",J130)&gt;3,FIND("鄉",J130)-FIND("縣",J130),FIND("區",J130)-FIND("縣",J130))),
MID(J130,FIND("縣",J130)+1,IF(FIND("鎮",J130)-FIND("縣",J130)&gt;3,FIND("鄉",J130)-FIND("縣",J130),FIND("鎮",J130)-FIND("縣",J130)))
),
MID(J130,FIND("縣",J130)+1,IF(FIND("鄉",J130)-FIND("縣",J130)&gt;3,FIND("區",J130)-FIND("縣",J130),FIND("鄉",J130)-FIND("縣",J130)))
),
IFERROR(
MID(J130,FIND("市",J130)+1,IF(FIND("縣",J130)-FIND("市",J130)&gt;3,FIND("鄉",J130)-FIND("市",J130),FIND("縣",J130)-FIND("市",J130))),
MID(J130,FIND("縣",J130)+1,IF(FIND("市",J130)-FIND("縣",J130)&gt;3,FIND("鄉",J130)-FIND("縣",J130),FIND("市",J130)-FIND("縣",J130)))
)))</f>
        <v>板橋區</v>
      </c>
      <c r="W130" s="223" t="str">
        <f t="shared" ref="W130:W193" si="10">IFERROR(MID(J130,IFERROR(FIND("鄉",J130),IFERROR(FIND("鎮",J130),FIND("區",J130)))+1,LEN(J130)),IFERROR(MID(J130,FIND("市",J130)+1,LEN(J130)),MID(J130,FIND("縣",J130)+1,LEN(J130))))</f>
        <v>大觀路3段160巷31弄1號</v>
      </c>
      <c r="X130" s="2" t="s">
        <v>326</v>
      </c>
      <c r="Y130" s="2" t="str">
        <f>VLOOKUP(V130,門市狀態!G:H,2,FALSE)</f>
        <v>狄澤洋</v>
      </c>
      <c r="Z130" s="218" t="str">
        <f>IF(D130="FVC7", IF(COUNTIF(特殊門市清單!N:N, B130)=0, "FVC7", VLOOKUP(B130,特殊門市清單!N:T,7,FALSE)), IF(AA130="v","Peplink",""))</f>
        <v/>
      </c>
      <c r="AA130" s="218" t="str">
        <f>IFERROR(VLOOKUP(B130,門市狀態!A:D,4,FALSE),"")</f>
        <v/>
      </c>
      <c r="AB130" s="224" t="str">
        <f>VLOOKUP(B130,門市總表!A:B,2,FALSE)</f>
        <v>北縣板億店</v>
      </c>
      <c r="AC130" s="259"/>
      <c r="AD130" s="224"/>
      <c r="AE130" s="224"/>
      <c r="AF130" s="224" t="s">
        <v>4992</v>
      </c>
      <c r="AG130" s="248" t="s">
        <v>102</v>
      </c>
      <c r="AH130" s="224" t="s">
        <v>103</v>
      </c>
    </row>
    <row r="131" spans="1:34" ht="21.6" customHeight="1">
      <c r="A131" s="2">
        <v>130</v>
      </c>
      <c r="B131" s="2">
        <v>2995</v>
      </c>
      <c r="C131" s="4" t="s">
        <v>1016</v>
      </c>
      <c r="D131" s="2" t="s">
        <v>4986</v>
      </c>
      <c r="F131" s="2" t="s">
        <v>5199</v>
      </c>
      <c r="G131" s="2" t="s">
        <v>5200</v>
      </c>
      <c r="H131" s="78" t="s">
        <v>5201</v>
      </c>
      <c r="I131" s="4" t="s">
        <v>5262</v>
      </c>
      <c r="J131" s="5" t="s">
        <v>5263</v>
      </c>
      <c r="L131" s="368"/>
      <c r="N131" s="368"/>
      <c r="O131" s="219"/>
      <c r="R131" s="219"/>
      <c r="T131" s="219"/>
      <c r="U131" s="222" t="str">
        <f t="shared" si="8"/>
        <v>新北市</v>
      </c>
      <c r="V131" s="223" t="str">
        <f t="shared" si="9"/>
        <v>板橋區</v>
      </c>
      <c r="W131" s="223" t="str">
        <f t="shared" si="10"/>
        <v>南雅東路100巷3號一樓</v>
      </c>
      <c r="X131" s="2" t="s">
        <v>326</v>
      </c>
      <c r="Y131" s="2" t="str">
        <f>VLOOKUP(V131,門市狀態!G:H,2,FALSE)</f>
        <v>狄澤洋</v>
      </c>
      <c r="Z131" s="218" t="str">
        <f>IF(D131="FVC7", IF(COUNTIF(特殊門市清單!N:N, B131)=0, "FVC7", VLOOKUP(B131,特殊門市清單!N:T,7,FALSE)), IF(AA131="v","Peplink",""))</f>
        <v/>
      </c>
      <c r="AA131" s="218" t="str">
        <f>IFERROR(VLOOKUP(B131,門市狀態!A:D,4,FALSE),"")</f>
        <v/>
      </c>
      <c r="AB131" s="224" t="str">
        <f>VLOOKUP(B131,門市總表!A:B,2,FALSE)</f>
        <v>板橋湳雅夜市</v>
      </c>
      <c r="AC131" s="259"/>
      <c r="AD131" s="224"/>
      <c r="AE131" s="224" t="s">
        <v>4985</v>
      </c>
      <c r="AF131" s="224" t="s">
        <v>4992</v>
      </c>
      <c r="AG131" s="248" t="s">
        <v>102</v>
      </c>
      <c r="AH131" s="224" t="s">
        <v>103</v>
      </c>
    </row>
    <row r="132" spans="1:34" ht="21.6" customHeight="1">
      <c r="A132" s="2">
        <v>131</v>
      </c>
      <c r="B132" s="2">
        <v>3416</v>
      </c>
      <c r="C132" s="4" t="s">
        <v>977</v>
      </c>
      <c r="D132" s="2" t="s">
        <v>4998</v>
      </c>
      <c r="F132" s="2" t="s">
        <v>5199</v>
      </c>
      <c r="G132" s="2" t="s">
        <v>5200</v>
      </c>
      <c r="H132" s="78" t="s">
        <v>5201</v>
      </c>
      <c r="I132" s="4" t="s">
        <v>5264</v>
      </c>
      <c r="J132" s="5" t="s">
        <v>5265</v>
      </c>
      <c r="L132" s="368"/>
      <c r="N132" s="368"/>
      <c r="O132" s="219"/>
      <c r="R132" s="219"/>
      <c r="T132" s="219"/>
      <c r="U132" s="222" t="str">
        <f t="shared" si="8"/>
        <v>新北市</v>
      </c>
      <c r="V132" s="223" t="str">
        <f t="shared" si="9"/>
        <v>板橋區</v>
      </c>
      <c r="W132" s="223" t="str">
        <f t="shared" si="10"/>
        <v>國慶路180號</v>
      </c>
      <c r="X132" s="2" t="s">
        <v>326</v>
      </c>
      <c r="Y132" s="2" t="str">
        <f>VLOOKUP(V132,門市狀態!G:H,2,FALSE)</f>
        <v>狄澤洋</v>
      </c>
      <c r="Z132" s="218" t="str">
        <f>IF(D132="FVC7", IF(COUNTIF(特殊門市清單!N:N, B132)=0, "FVC7", VLOOKUP(B132,特殊門市清單!N:T,7,FALSE)), IF(AA132="v","Peplink",""))</f>
        <v/>
      </c>
      <c r="AA132" s="218" t="str">
        <f>IFERROR(VLOOKUP(B132,門市狀態!A:D,4,FALSE),"")</f>
        <v/>
      </c>
      <c r="AB132" s="224" t="str">
        <f>VLOOKUP(B132,門市總表!A:B,2,FALSE)</f>
        <v>板橋國慶店</v>
      </c>
      <c r="AC132" s="259"/>
      <c r="AD132" s="224"/>
      <c r="AE132" s="224"/>
      <c r="AF132" s="224" t="s">
        <v>4992</v>
      </c>
      <c r="AG132" s="248" t="s">
        <v>102</v>
      </c>
      <c r="AH132" s="224" t="s">
        <v>103</v>
      </c>
    </row>
    <row r="133" spans="1:34" ht="21.6" customHeight="1">
      <c r="A133" s="2">
        <v>132</v>
      </c>
      <c r="B133" s="2">
        <v>3977</v>
      </c>
      <c r="C133" s="4" t="s">
        <v>981</v>
      </c>
      <c r="D133" s="2" t="s">
        <v>4998</v>
      </c>
      <c r="F133" s="2" t="s">
        <v>5199</v>
      </c>
      <c r="G133" s="2" t="s">
        <v>5200</v>
      </c>
      <c r="H133" s="78" t="s">
        <v>5201</v>
      </c>
      <c r="I133" s="4" t="s">
        <v>5266</v>
      </c>
      <c r="J133" s="5" t="s">
        <v>5267</v>
      </c>
      <c r="L133" s="368"/>
      <c r="N133" s="368"/>
      <c r="O133" s="219"/>
      <c r="R133" s="219"/>
      <c r="T133" s="219"/>
      <c r="U133" s="222" t="str">
        <f t="shared" si="8"/>
        <v>新北市</v>
      </c>
      <c r="V133" s="223" t="str">
        <f t="shared" si="9"/>
        <v>板橋區</v>
      </c>
      <c r="W133" s="223" t="str">
        <f t="shared" si="10"/>
        <v>四川路一段483一樓、485號一、二、三樓</v>
      </c>
      <c r="X133" s="2" t="s">
        <v>326</v>
      </c>
      <c r="Y133" s="2" t="str">
        <f>VLOOKUP(V133,門市狀態!G:H,2,FALSE)</f>
        <v>狄澤洋</v>
      </c>
      <c r="Z133" s="218" t="str">
        <f>IF(D133="FVC7", IF(COUNTIF(特殊門市清單!N:N, B133)=0, "FVC7", VLOOKUP(B133,特殊門市清單!N:T,7,FALSE)), IF(AA133="v","Peplink",""))</f>
        <v/>
      </c>
      <c r="AA133" s="218" t="str">
        <f>IFERROR(VLOOKUP(B133,門市狀態!A:D,4,FALSE),"")</f>
        <v/>
      </c>
      <c r="AB133" s="224" t="str">
        <f>VLOOKUP(B133,門市總表!A:B,2,FALSE)</f>
        <v>板橋玉川店</v>
      </c>
      <c r="AC133" s="259"/>
      <c r="AD133" s="224"/>
      <c r="AE133" s="224"/>
      <c r="AF133" s="224" t="s">
        <v>4992</v>
      </c>
      <c r="AG133" s="248" t="s">
        <v>102</v>
      </c>
      <c r="AH133" s="224" t="s">
        <v>103</v>
      </c>
    </row>
    <row r="134" spans="1:34" ht="21.6" customHeight="1">
      <c r="A134" s="2">
        <v>133</v>
      </c>
      <c r="B134" s="2">
        <v>4046</v>
      </c>
      <c r="C134" s="4" t="s">
        <v>1377</v>
      </c>
      <c r="D134" s="2" t="s">
        <v>4993</v>
      </c>
      <c r="F134" s="2" t="s">
        <v>5199</v>
      </c>
      <c r="G134" s="2" t="s">
        <v>5200</v>
      </c>
      <c r="H134" s="78" t="s">
        <v>5201</v>
      </c>
      <c r="I134" s="4" t="s">
        <v>5268</v>
      </c>
      <c r="J134" s="5" t="s">
        <v>5269</v>
      </c>
      <c r="L134" s="368"/>
      <c r="N134" s="368"/>
      <c r="O134" s="219"/>
      <c r="R134" s="219"/>
      <c r="T134" s="219"/>
      <c r="U134" s="222" t="str">
        <f t="shared" si="8"/>
        <v>新北市</v>
      </c>
      <c r="V134" s="223" t="str">
        <f t="shared" si="9"/>
        <v>板橋區</v>
      </c>
      <c r="W134" s="223" t="str">
        <f t="shared" si="10"/>
        <v>僑中一街124巷11弄1、3號一樓全部</v>
      </c>
      <c r="X134" s="2" t="s">
        <v>326</v>
      </c>
      <c r="Y134" s="2" t="str">
        <f>VLOOKUP(V134,門市狀態!G:H,2,FALSE)</f>
        <v>狄澤洋</v>
      </c>
      <c r="Z134" s="218" t="str">
        <f>IF(D134="FVC7", IF(COUNTIF(特殊門市清單!N:N, B134)=0, "FVC7", VLOOKUP(B134,特殊門市清單!N:T,7,FALSE)), IF(AA134="v","Peplink",""))</f>
        <v/>
      </c>
      <c r="AA134" s="218" t="str">
        <f>IFERROR(VLOOKUP(B134,門市狀態!A:D,4,FALSE),"")</f>
        <v/>
      </c>
      <c r="AB134" s="224" t="str">
        <f>VLOOKUP(B134,門市總表!A:B,2,FALSE)</f>
        <v>板橋福康店</v>
      </c>
      <c r="AC134" s="259"/>
      <c r="AD134" s="224"/>
      <c r="AE134" s="224"/>
      <c r="AF134" s="224" t="s">
        <v>4992</v>
      </c>
      <c r="AG134" s="248" t="s">
        <v>102</v>
      </c>
      <c r="AH134" s="224" t="s">
        <v>103</v>
      </c>
    </row>
    <row r="135" spans="1:34" ht="21.6" customHeight="1">
      <c r="A135" s="2">
        <v>134</v>
      </c>
      <c r="B135" s="2">
        <v>4145</v>
      </c>
      <c r="C135" s="4" t="s">
        <v>528</v>
      </c>
      <c r="D135" s="2" t="s">
        <v>4986</v>
      </c>
      <c r="F135" s="2" t="s">
        <v>5199</v>
      </c>
      <c r="G135" s="2" t="s">
        <v>5200</v>
      </c>
      <c r="H135" s="78" t="s">
        <v>5201</v>
      </c>
      <c r="I135" s="4" t="s">
        <v>5270</v>
      </c>
      <c r="J135" s="5" t="s">
        <v>5271</v>
      </c>
      <c r="L135" s="368"/>
      <c r="N135" s="368"/>
      <c r="O135" s="219"/>
      <c r="R135" s="219"/>
      <c r="T135" s="219"/>
      <c r="U135" s="222" t="str">
        <f t="shared" si="8"/>
        <v>新北市</v>
      </c>
      <c r="V135" s="223" t="str">
        <f t="shared" si="9"/>
        <v>板橋區</v>
      </c>
      <c r="W135" s="223" t="str">
        <f t="shared" si="10"/>
        <v>僑中二街104巷1、3號一樓部份</v>
      </c>
      <c r="X135" s="2" t="s">
        <v>326</v>
      </c>
      <c r="Y135" s="2" t="str">
        <f>VLOOKUP(V135,門市狀態!G:H,2,FALSE)</f>
        <v>狄澤洋</v>
      </c>
      <c r="Z135" s="218" t="str">
        <f>IF(D135="FVC7", IF(COUNTIF(特殊門市清單!N:N, B135)=0, "FVC7", VLOOKUP(B135,特殊門市清單!N:T,7,FALSE)), IF(AA135="v","Peplink",""))</f>
        <v/>
      </c>
      <c r="AA135" s="218" t="str">
        <f>IFERROR(VLOOKUP(B135,門市狀態!A:D,4,FALSE),"")</f>
        <v/>
      </c>
      <c r="AB135" s="224" t="str">
        <f>VLOOKUP(B135,門市總表!A:B,2,FALSE)</f>
        <v>板橋僑興店</v>
      </c>
      <c r="AC135" s="259"/>
      <c r="AD135" s="224"/>
      <c r="AE135" s="224"/>
      <c r="AF135" s="224" t="s">
        <v>4992</v>
      </c>
      <c r="AG135" s="248" t="s">
        <v>102</v>
      </c>
      <c r="AH135" s="224" t="s">
        <v>103</v>
      </c>
    </row>
    <row r="136" spans="1:34" ht="21.6" customHeight="1">
      <c r="A136" s="2">
        <v>135</v>
      </c>
      <c r="B136" s="2">
        <v>4422</v>
      </c>
      <c r="C136" s="4" t="s">
        <v>552</v>
      </c>
      <c r="D136" s="2" t="s">
        <v>4986</v>
      </c>
      <c r="F136" s="2" t="s">
        <v>5199</v>
      </c>
      <c r="G136" s="2" t="s">
        <v>5200</v>
      </c>
      <c r="H136" s="78" t="s">
        <v>5201</v>
      </c>
      <c r="I136" s="4" t="s">
        <v>5272</v>
      </c>
      <c r="J136" s="5" t="s">
        <v>5273</v>
      </c>
      <c r="L136" s="368"/>
      <c r="N136" s="368"/>
      <c r="O136" s="219"/>
      <c r="R136" s="219"/>
      <c r="T136" s="219"/>
      <c r="U136" s="222" t="str">
        <f t="shared" si="8"/>
        <v>新北市</v>
      </c>
      <c r="V136" s="223" t="str">
        <f t="shared" si="9"/>
        <v>板橋區</v>
      </c>
      <c r="W136" s="223" t="str">
        <f t="shared" si="10"/>
        <v>合安一路61號一樓全部</v>
      </c>
      <c r="X136" s="2" t="s">
        <v>326</v>
      </c>
      <c r="Y136" s="2" t="str">
        <f>VLOOKUP(V136,門市狀態!G:H,2,FALSE)</f>
        <v>狄澤洋</v>
      </c>
      <c r="Z136" s="218" t="str">
        <f>IF(D136="FVC7", IF(COUNTIF(特殊門市清單!N:N, B136)=0, "FVC7", VLOOKUP(B136,特殊門市清單!N:T,7,FALSE)), IF(AA136="v","Peplink",""))</f>
        <v/>
      </c>
      <c r="AA136" s="218" t="str">
        <f>IFERROR(VLOOKUP(B136,門市狀態!A:D,4,FALSE),"")</f>
        <v/>
      </c>
      <c r="AB136" s="224" t="str">
        <f>VLOOKUP(B136,門市總表!A:B,2,FALSE)</f>
        <v>板橋合安店</v>
      </c>
      <c r="AC136" s="259"/>
      <c r="AD136" s="224"/>
      <c r="AE136" s="224"/>
      <c r="AF136" s="224" t="s">
        <v>4992</v>
      </c>
      <c r="AG136" s="248" t="s">
        <v>102</v>
      </c>
      <c r="AH136" s="224" t="s">
        <v>103</v>
      </c>
    </row>
    <row r="137" spans="1:34" ht="21.6" customHeight="1">
      <c r="A137" s="2">
        <v>136</v>
      </c>
      <c r="B137" s="2" t="s">
        <v>73</v>
      </c>
      <c r="C137" s="4" t="s">
        <v>5274</v>
      </c>
      <c r="D137" s="2" t="s">
        <v>4986</v>
      </c>
      <c r="F137" s="2" t="s">
        <v>5199</v>
      </c>
      <c r="G137" s="2" t="s">
        <v>5200</v>
      </c>
      <c r="H137" s="78" t="s">
        <v>5201</v>
      </c>
      <c r="I137" s="4" t="s">
        <v>5275</v>
      </c>
      <c r="J137" s="5" t="s">
        <v>5276</v>
      </c>
      <c r="L137" s="368"/>
      <c r="N137" s="368"/>
      <c r="O137" s="219"/>
      <c r="R137" s="219"/>
      <c r="T137" s="219"/>
      <c r="U137" s="222" t="str">
        <f t="shared" si="8"/>
        <v>新北市</v>
      </c>
      <c r="V137" s="223" t="str">
        <f t="shared" si="9"/>
        <v>板橋區</v>
      </c>
      <c r="W137" s="223" t="str">
        <f t="shared" si="10"/>
        <v>僑中一街125巷8弄2號</v>
      </c>
      <c r="X137" s="2" t="s">
        <v>326</v>
      </c>
      <c r="Y137" s="2" t="str">
        <f>VLOOKUP(V137,門市狀態!G:H,2,FALSE)</f>
        <v>狄澤洋</v>
      </c>
      <c r="Z137" s="218" t="str">
        <f>IF(D137="FVC7", IF(COUNTIF(特殊門市清單!N:N, B137)=0, "FVC7", VLOOKUP(B137,特殊門市清單!N:T,7,FALSE)), IF(AA137="v","Peplink",""))</f>
        <v/>
      </c>
      <c r="AA137" s="218" t="str">
        <f>IFERROR(VLOOKUP(B137,門市狀態!A:D,4,FALSE),"")</f>
        <v/>
      </c>
      <c r="AB137" s="224" t="str">
        <f>VLOOKUP(B137,門市總表!A:B,2,FALSE)</f>
        <v>北縣僑中三店</v>
      </c>
      <c r="AC137" s="259"/>
      <c r="AD137" s="224"/>
      <c r="AE137" s="224"/>
      <c r="AF137" s="224" t="s">
        <v>4992</v>
      </c>
      <c r="AG137" s="248" t="s">
        <v>102</v>
      </c>
      <c r="AH137" s="224" t="s">
        <v>103</v>
      </c>
    </row>
    <row r="138" spans="1:34" ht="21.6" customHeight="1">
      <c r="A138" s="2">
        <v>137</v>
      </c>
      <c r="B138" s="2" t="s">
        <v>77</v>
      </c>
      <c r="C138" s="4" t="s">
        <v>536</v>
      </c>
      <c r="D138" s="2" t="s">
        <v>4998</v>
      </c>
      <c r="F138" s="2" t="s">
        <v>5199</v>
      </c>
      <c r="G138" s="2" t="s">
        <v>5200</v>
      </c>
      <c r="H138" s="78" t="s">
        <v>5201</v>
      </c>
      <c r="I138" s="4" t="s">
        <v>5277</v>
      </c>
      <c r="J138" s="5" t="s">
        <v>5278</v>
      </c>
      <c r="L138" s="368"/>
      <c r="N138" s="368"/>
      <c r="O138" s="219"/>
      <c r="R138" s="219"/>
      <c r="T138" s="219"/>
      <c r="U138" s="222" t="str">
        <f t="shared" si="8"/>
        <v>新北市</v>
      </c>
      <c r="V138" s="223" t="str">
        <f t="shared" si="9"/>
        <v>板橋區</v>
      </c>
      <c r="W138" s="223" t="str">
        <f t="shared" si="10"/>
        <v>大觀路二段142之2號</v>
      </c>
      <c r="X138" s="2" t="s">
        <v>326</v>
      </c>
      <c r="Y138" s="2" t="str">
        <f>VLOOKUP(V138,門市狀態!G:H,2,FALSE)</f>
        <v>狄澤洋</v>
      </c>
      <c r="Z138" s="218" t="str">
        <f>IF(D138="FVC7", IF(COUNTIF(特殊門市清單!N:N, B138)=0, "FVC7", VLOOKUP(B138,特殊門市清單!N:T,7,FALSE)), IF(AA138="v","Peplink",""))</f>
        <v/>
      </c>
      <c r="AA138" s="218" t="str">
        <f>IFERROR(VLOOKUP(B138,門市狀態!A:D,4,FALSE),"")</f>
        <v/>
      </c>
      <c r="AB138" s="224" t="str">
        <f>VLOOKUP(B138,門市總表!A:B,2,FALSE)</f>
        <v>板橋大興店</v>
      </c>
      <c r="AC138" s="259"/>
      <c r="AD138" s="224"/>
      <c r="AE138" s="224" t="s">
        <v>4985</v>
      </c>
      <c r="AF138" s="224" t="s">
        <v>4992</v>
      </c>
      <c r="AG138" s="248" t="s">
        <v>102</v>
      </c>
      <c r="AH138" s="224"/>
    </row>
    <row r="139" spans="1:34" ht="21.6" customHeight="1">
      <c r="A139" s="2">
        <v>138</v>
      </c>
      <c r="B139" s="2">
        <v>5384</v>
      </c>
      <c r="C139" s="4" t="s">
        <v>265</v>
      </c>
      <c r="J139" s="5" t="s">
        <v>5279</v>
      </c>
      <c r="U139" s="260" t="str">
        <f t="shared" si="8"/>
        <v>新北市</v>
      </c>
      <c r="V139" s="258" t="str">
        <f t="shared" si="9"/>
        <v>板橋區</v>
      </c>
      <c r="W139" s="258" t="str">
        <f t="shared" si="10"/>
        <v>民生路三段68-1號1樓</v>
      </c>
      <c r="X139" s="2" t="s">
        <v>326</v>
      </c>
      <c r="Y139" s="2" t="str">
        <f>VLOOKUP(V139,門市狀態!G:H,2,FALSE)</f>
        <v>狄澤洋</v>
      </c>
      <c r="Z139" s="218" t="str">
        <f>IF(D139="FVC7", IF(COUNTIF(特殊門市清單!N:N, B139)=0, "FVC7", VLOOKUP(B139,特殊門市清單!N:T,7,FALSE)), IF(AA139="v","Peplink",""))</f>
        <v/>
      </c>
      <c r="AA139" s="218" t="str">
        <f>IFERROR(VLOOKUP(B139,門市狀態!A:D,4,FALSE),"")</f>
        <v/>
      </c>
      <c r="AB139" s="224" t="str">
        <f>VLOOKUP(B139,門市總表!A:B,2,FALSE)</f>
        <v>板橋民生站</v>
      </c>
      <c r="AC139" s="259"/>
      <c r="AD139" s="224"/>
      <c r="AE139" s="224"/>
      <c r="AF139" s="224" t="s">
        <v>4992</v>
      </c>
      <c r="AG139" s="248" t="s">
        <v>102</v>
      </c>
      <c r="AH139" s="224" t="s">
        <v>103</v>
      </c>
    </row>
    <row r="140" spans="1:34" ht="21.6" customHeight="1">
      <c r="A140" s="2">
        <v>139</v>
      </c>
      <c r="B140" s="2">
        <v>5451</v>
      </c>
      <c r="C140" s="4" t="s">
        <v>178</v>
      </c>
      <c r="J140" s="5" t="s">
        <v>396</v>
      </c>
      <c r="U140" s="260" t="str">
        <f t="shared" si="8"/>
        <v>新北市</v>
      </c>
      <c r="V140" s="258" t="str">
        <f t="shared" si="9"/>
        <v>板橋區</v>
      </c>
      <c r="W140" s="258" t="str">
        <f t="shared" si="10"/>
        <v/>
      </c>
      <c r="X140" s="2" t="s">
        <v>326</v>
      </c>
      <c r="Y140" s="2" t="str">
        <f>VLOOKUP(V140,門市狀態!G:H,2,FALSE)</f>
        <v>狄澤洋</v>
      </c>
      <c r="Z140" s="218" t="str">
        <f>IF(D140="FVC7", IF(COUNTIF(特殊門市清單!N:N, B140)=0, "FVC7", VLOOKUP(B140,特殊門市清單!N:T,7,FALSE)), IF(AA140="v","Peplink",""))</f>
        <v/>
      </c>
      <c r="AA140" s="218" t="str">
        <f>IFERROR(VLOOKUP(B140,門市狀態!A:D,4,FALSE),"")</f>
        <v/>
      </c>
      <c r="AB140" s="224" t="str">
        <f>VLOOKUP(B140,門市總表!A:B,2,FALSE)</f>
        <v>板橋懷仁店</v>
      </c>
      <c r="AC140" s="259"/>
      <c r="AD140" s="224"/>
      <c r="AE140" s="224"/>
      <c r="AF140" s="224" t="s">
        <v>4992</v>
      </c>
      <c r="AG140" s="248" t="s">
        <v>102</v>
      </c>
      <c r="AH140" s="224"/>
    </row>
    <row r="141" spans="1:34" ht="21.6" customHeight="1">
      <c r="A141" s="2">
        <v>140</v>
      </c>
      <c r="B141" s="2">
        <v>5496</v>
      </c>
      <c r="C141" s="4" t="s">
        <v>171</v>
      </c>
      <c r="J141" s="5" t="s">
        <v>5280</v>
      </c>
      <c r="U141" s="260" t="s">
        <v>5281</v>
      </c>
      <c r="V141" s="258" t="str">
        <f t="shared" si="9"/>
        <v>板橋區</v>
      </c>
      <c r="W141" s="258" t="str">
        <f t="shared" si="10"/>
        <v>縣民大道二段22號B1</v>
      </c>
      <c r="X141" s="2" t="s">
        <v>326</v>
      </c>
      <c r="Y141" s="2" t="str">
        <f>VLOOKUP(V141,門市狀態!G:H,2,FALSE)</f>
        <v>狄澤洋</v>
      </c>
      <c r="Z141" s="218" t="str">
        <f>IF(D141="FVC7", IF(COUNTIF(特殊門市清單!N:N, B141)=0, "FVC7", VLOOKUP(B141,特殊門市清單!N:T,7,FALSE)), IF(AA141="v","Peplink",""))</f>
        <v/>
      </c>
      <c r="AA141" s="218" t="str">
        <f>IFERROR(VLOOKUP(B141,門市狀態!A:D,4,FALSE),"")</f>
        <v/>
      </c>
      <c r="AB141" s="224" t="str">
        <f>VLOOKUP(B141,門市總表!A:B,2,FALSE)</f>
        <v>板橋市民廣場</v>
      </c>
      <c r="AC141" s="259"/>
      <c r="AD141" s="224"/>
      <c r="AE141" s="224"/>
      <c r="AF141" s="224" t="s">
        <v>4992</v>
      </c>
      <c r="AG141" s="248" t="s">
        <v>102</v>
      </c>
      <c r="AH141" s="224"/>
    </row>
    <row r="142" spans="1:34" ht="21.6" customHeight="1">
      <c r="A142" s="2">
        <v>141</v>
      </c>
      <c r="B142" s="6">
        <v>2535</v>
      </c>
      <c r="C142" s="4" t="s">
        <v>973</v>
      </c>
      <c r="D142" s="2" t="s">
        <v>4993</v>
      </c>
      <c r="F142" s="2" t="s">
        <v>5012</v>
      </c>
      <c r="G142" s="2" t="s">
        <v>5282</v>
      </c>
      <c r="H142" s="78" t="s">
        <v>5283</v>
      </c>
      <c r="I142" s="4" t="s">
        <v>5284</v>
      </c>
      <c r="J142" s="5" t="s">
        <v>5285</v>
      </c>
      <c r="U142" s="222" t="str">
        <f t="shared" ref="U142:U173" si="11">IFERROR(LEFT(J142,FIND("縣",J142)),IFERROR(LEFT(J142,FIND("市",J142)),J142))</f>
        <v>新北市</v>
      </c>
      <c r="V142" s="223" t="str">
        <f t="shared" si="9"/>
        <v>五股區</v>
      </c>
      <c r="W142" s="223" t="str">
        <f t="shared" si="10"/>
        <v>五工六路28號</v>
      </c>
      <c r="X142" s="2" t="s">
        <v>326</v>
      </c>
      <c r="Y142" s="2" t="str">
        <f>VLOOKUP(V142,門市狀態!G:H,2,FALSE)</f>
        <v>湯家瑋</v>
      </c>
      <c r="Z142" s="218" t="str">
        <f>IF(D142="FVC7", IF(COUNTIF(特殊門市清單!N:N, B142)=0, "FVC7", VLOOKUP(B142,特殊門市清單!N:T,7,FALSE)), IF(AA142="v","Peplink",""))</f>
        <v/>
      </c>
      <c r="AA142" s="218" t="str">
        <f>IFERROR(VLOOKUP(B142,門市狀態!A:D,4,FALSE),"")</f>
        <v/>
      </c>
      <c r="AB142" s="224" t="str">
        <f>VLOOKUP(B142,門市總表!A:B,2,FALSE)</f>
        <v>五股五工店</v>
      </c>
      <c r="AC142" s="259"/>
      <c r="AD142" s="224"/>
      <c r="AE142" s="224"/>
      <c r="AF142" s="224" t="s">
        <v>4992</v>
      </c>
      <c r="AG142" s="248" t="s">
        <v>102</v>
      </c>
      <c r="AH142" s="224" t="s">
        <v>103</v>
      </c>
    </row>
    <row r="143" spans="1:34" ht="21.6" customHeight="1">
      <c r="A143" s="2">
        <v>142</v>
      </c>
      <c r="B143" s="2">
        <v>2390</v>
      </c>
      <c r="C143" s="4" t="s">
        <v>1456</v>
      </c>
      <c r="D143" s="2" t="s">
        <v>4993</v>
      </c>
      <c r="F143" s="2" t="s">
        <v>5012</v>
      </c>
      <c r="G143" s="2" t="s">
        <v>5286</v>
      </c>
      <c r="H143" s="78" t="s">
        <v>5287</v>
      </c>
      <c r="I143" s="4" t="s">
        <v>5288</v>
      </c>
      <c r="J143" s="5" t="s">
        <v>5289</v>
      </c>
      <c r="U143" s="222" t="str">
        <f t="shared" si="11"/>
        <v>新北市</v>
      </c>
      <c r="V143" s="223" t="str">
        <f t="shared" si="9"/>
        <v>五股區</v>
      </c>
      <c r="W143" s="223" t="str">
        <f t="shared" si="10"/>
        <v>五權路42之1號</v>
      </c>
      <c r="X143" s="2" t="s">
        <v>326</v>
      </c>
      <c r="Y143" s="2" t="str">
        <f>VLOOKUP(V143,門市狀態!G:H,2,FALSE)</f>
        <v>湯家瑋</v>
      </c>
      <c r="Z143" s="218" t="str">
        <f>IF(D143="FVC7", IF(COUNTIF(特殊門市清單!N:N, B143)=0, "FVC7", VLOOKUP(B143,特殊門市清單!N:T,7,FALSE)), IF(AA143="v","Peplink",""))</f>
        <v/>
      </c>
      <c r="AA143" s="218" t="str">
        <f>IFERROR(VLOOKUP(B143,門市狀態!A:D,4,FALSE),"")</f>
        <v/>
      </c>
      <c r="AB143" s="224" t="str">
        <f>VLOOKUP(B143,門市總表!A:B,2,FALSE)</f>
        <v>五股產業園區</v>
      </c>
      <c r="AC143" s="259"/>
      <c r="AD143" s="224"/>
      <c r="AE143" s="224"/>
      <c r="AF143" s="224" t="s">
        <v>4992</v>
      </c>
      <c r="AG143" s="248" t="s">
        <v>102</v>
      </c>
      <c r="AH143" s="224" t="s">
        <v>103</v>
      </c>
    </row>
    <row r="144" spans="1:34" ht="21.6" customHeight="1">
      <c r="A144" s="2">
        <v>143</v>
      </c>
      <c r="B144" s="2">
        <v>2691</v>
      </c>
      <c r="C144" s="4" t="s">
        <v>762</v>
      </c>
      <c r="D144" s="2" t="s">
        <v>4998</v>
      </c>
      <c r="F144" s="2" t="s">
        <v>5012</v>
      </c>
      <c r="G144" s="2" t="s">
        <v>5286</v>
      </c>
      <c r="H144" s="78" t="s">
        <v>5287</v>
      </c>
      <c r="I144" s="4" t="s">
        <v>5290</v>
      </c>
      <c r="J144" s="5" t="s">
        <v>5291</v>
      </c>
      <c r="U144" s="222" t="str">
        <f t="shared" si="11"/>
        <v>新北市</v>
      </c>
      <c r="V144" s="223" t="str">
        <f t="shared" si="9"/>
        <v>五股區</v>
      </c>
      <c r="W144" s="223" t="str">
        <f t="shared" si="10"/>
        <v>五工五路18號</v>
      </c>
      <c r="X144" s="2" t="s">
        <v>326</v>
      </c>
      <c r="Y144" s="2" t="str">
        <f>VLOOKUP(V144,門市狀態!G:H,2,FALSE)</f>
        <v>湯家瑋</v>
      </c>
      <c r="Z144" s="218" t="str">
        <f>IF(D144="FVC7", IF(COUNTIF(特殊門市清單!N:N, B144)=0, "FVC7", VLOOKUP(B144,特殊門市清單!N:T,7,FALSE)), IF(AA144="v","Peplink",""))</f>
        <v/>
      </c>
      <c r="AA144" s="218" t="str">
        <f>IFERROR(VLOOKUP(B144,門市狀態!A:D,4,FALSE),"")</f>
        <v/>
      </c>
      <c r="AB144" s="224" t="str">
        <f>VLOOKUP(B144,門市總表!A:B,2,FALSE)</f>
        <v>五股興珍店</v>
      </c>
      <c r="AC144" s="259"/>
      <c r="AD144" s="224"/>
      <c r="AE144" s="224"/>
      <c r="AF144" s="224" t="s">
        <v>4992</v>
      </c>
      <c r="AG144" s="248" t="s">
        <v>102</v>
      </c>
      <c r="AH144" s="224" t="s">
        <v>103</v>
      </c>
    </row>
    <row r="145" spans="1:35" ht="21.6" customHeight="1">
      <c r="A145" s="2">
        <v>144</v>
      </c>
      <c r="B145" s="2">
        <v>2325</v>
      </c>
      <c r="C145" s="4" t="s">
        <v>1304</v>
      </c>
      <c r="D145" s="2" t="s">
        <v>4993</v>
      </c>
      <c r="F145" s="2" t="s">
        <v>5005</v>
      </c>
      <c r="G145" s="2" t="s">
        <v>5006</v>
      </c>
      <c r="H145" s="78" t="s">
        <v>5007</v>
      </c>
      <c r="I145" s="4" t="s">
        <v>5292</v>
      </c>
      <c r="J145" s="5" t="s">
        <v>5293</v>
      </c>
      <c r="U145" s="222" t="str">
        <f t="shared" si="11"/>
        <v>新北市</v>
      </c>
      <c r="V145" s="223" t="str">
        <f t="shared" si="9"/>
        <v>五股區</v>
      </c>
      <c r="W145" s="223" t="str">
        <f t="shared" si="10"/>
        <v>西雲路1號</v>
      </c>
      <c r="X145" s="2" t="s">
        <v>326</v>
      </c>
      <c r="Y145" s="2" t="str">
        <f>VLOOKUP(V145,門市狀態!G:H,2,FALSE)</f>
        <v>湯家瑋</v>
      </c>
      <c r="Z145" s="218" t="str">
        <f>IF(D145="FVC7", IF(COUNTIF(特殊門市清單!N:N, B145)=0, "FVC7", VLOOKUP(B145,特殊門市清單!N:T,7,FALSE)), IF(AA145="v","Peplink",""))</f>
        <v/>
      </c>
      <c r="AA145" s="218" t="str">
        <f>IFERROR(VLOOKUP(B145,門市狀態!A:D,4,FALSE),"")</f>
        <v/>
      </c>
      <c r="AB145" s="224" t="str">
        <f>VLOOKUP(B145,門市總表!A:B,2,FALSE)</f>
        <v>北縣五泰店</v>
      </c>
      <c r="AC145" s="259"/>
      <c r="AD145" s="224"/>
      <c r="AE145" s="224"/>
      <c r="AF145" s="224" t="s">
        <v>4992</v>
      </c>
      <c r="AG145" s="248" t="s">
        <v>102</v>
      </c>
      <c r="AH145" s="224" t="s">
        <v>103</v>
      </c>
    </row>
    <row r="146" spans="1:35" ht="21.6" customHeight="1">
      <c r="A146" s="2">
        <v>145</v>
      </c>
      <c r="B146" s="2">
        <v>3227</v>
      </c>
      <c r="C146" s="4" t="s">
        <v>958</v>
      </c>
      <c r="D146" s="2" t="s">
        <v>4998</v>
      </c>
      <c r="F146" s="2" t="s">
        <v>5005</v>
      </c>
      <c r="G146" s="2" t="s">
        <v>5006</v>
      </c>
      <c r="H146" s="78" t="s">
        <v>5007</v>
      </c>
      <c r="I146" s="4" t="s">
        <v>5294</v>
      </c>
      <c r="J146" s="5" t="s">
        <v>5295</v>
      </c>
      <c r="U146" s="222" t="str">
        <f t="shared" si="11"/>
        <v>新北市</v>
      </c>
      <c r="V146" s="223" t="str">
        <f t="shared" si="9"/>
        <v>五股區</v>
      </c>
      <c r="W146" s="223" t="str">
        <f t="shared" si="10"/>
        <v>四維路153號</v>
      </c>
      <c r="X146" s="2" t="s">
        <v>326</v>
      </c>
      <c r="Y146" s="2" t="str">
        <f>VLOOKUP(V146,門市狀態!G:H,2,FALSE)</f>
        <v>湯家瑋</v>
      </c>
      <c r="Z146" s="218" t="str">
        <f>IF(D146="FVC7", IF(COUNTIF(特殊門市清單!N:N, B146)=0, "FVC7", VLOOKUP(B146,特殊門市清單!N:T,7,FALSE)), IF(AA146="v","Peplink",""))</f>
        <v/>
      </c>
      <c r="AA146" s="218" t="str">
        <f>IFERROR(VLOOKUP(B146,門市狀態!A:D,4,FALSE),"")</f>
        <v/>
      </c>
      <c r="AB146" s="224" t="str">
        <f>VLOOKUP(B146,門市總表!A:B,2,FALSE)</f>
        <v>五股四維店</v>
      </c>
      <c r="AC146" s="259"/>
      <c r="AD146" s="224"/>
      <c r="AE146" s="224"/>
      <c r="AF146" s="224" t="s">
        <v>4992</v>
      </c>
      <c r="AG146" s="248" t="s">
        <v>102</v>
      </c>
      <c r="AH146" s="224" t="s">
        <v>103</v>
      </c>
    </row>
    <row r="147" spans="1:35" ht="21.6" customHeight="1">
      <c r="A147" s="2">
        <v>146</v>
      </c>
      <c r="B147" s="2">
        <v>3770</v>
      </c>
      <c r="C147" s="4" t="s">
        <v>1263</v>
      </c>
      <c r="D147" s="2" t="s">
        <v>4998</v>
      </c>
      <c r="F147" s="2" t="s">
        <v>5005</v>
      </c>
      <c r="G147" s="2" t="s">
        <v>5006</v>
      </c>
      <c r="H147" s="78" t="s">
        <v>5007</v>
      </c>
      <c r="I147" s="4" t="s">
        <v>5296</v>
      </c>
      <c r="J147" s="5" t="s">
        <v>5297</v>
      </c>
      <c r="U147" s="222" t="str">
        <f t="shared" si="11"/>
        <v>新北市</v>
      </c>
      <c r="V147" s="223" t="str">
        <f t="shared" si="9"/>
        <v>五股區</v>
      </c>
      <c r="W147" s="223" t="str">
        <f t="shared" si="10"/>
        <v>西雲路134、134之1號一樓</v>
      </c>
      <c r="X147" s="2" t="s">
        <v>326</v>
      </c>
      <c r="Y147" s="2" t="str">
        <f>VLOOKUP(V147,門市狀態!G:H,2,FALSE)</f>
        <v>湯家瑋</v>
      </c>
      <c r="Z147" s="218" t="str">
        <f>IF(D147="FVC7", IF(COUNTIF(特殊門市清單!N:N, B147)=0, "FVC7", VLOOKUP(B147,特殊門市清單!N:T,7,FALSE)), IF(AA147="v","Peplink",""))</f>
        <v/>
      </c>
      <c r="AA147" s="218" t="str">
        <f>IFERROR(VLOOKUP(B147,門市狀態!A:D,4,FALSE),"")</f>
        <v/>
      </c>
      <c r="AB147" s="224" t="str">
        <f>VLOOKUP(B147,門市總表!A:B,2,FALSE)</f>
        <v>北縣西雲店</v>
      </c>
      <c r="AC147" s="259"/>
      <c r="AD147" s="224"/>
      <c r="AE147" s="224"/>
      <c r="AF147" s="224" t="s">
        <v>4992</v>
      </c>
      <c r="AG147" s="248" t="s">
        <v>102</v>
      </c>
      <c r="AH147" s="224" t="s">
        <v>103</v>
      </c>
    </row>
    <row r="148" spans="1:35" ht="21.6" customHeight="1">
      <c r="A148" s="2">
        <v>147</v>
      </c>
      <c r="B148" s="2">
        <v>3921</v>
      </c>
      <c r="C148" s="4" t="s">
        <v>1690</v>
      </c>
      <c r="D148" s="2" t="s">
        <v>4986</v>
      </c>
      <c r="F148" s="2" t="s">
        <v>5005</v>
      </c>
      <c r="G148" s="2" t="s">
        <v>5006</v>
      </c>
      <c r="H148" s="78" t="s">
        <v>5007</v>
      </c>
      <c r="I148" s="4" t="s">
        <v>5298</v>
      </c>
      <c r="J148" s="5" t="s">
        <v>5299</v>
      </c>
      <c r="U148" s="222" t="str">
        <f t="shared" si="11"/>
        <v>新北市</v>
      </c>
      <c r="V148" s="223" t="str">
        <f t="shared" si="9"/>
        <v>五股區</v>
      </c>
      <c r="W148" s="223" t="str">
        <f t="shared" si="10"/>
        <v>五福路8、10號一樓全部</v>
      </c>
      <c r="X148" s="2" t="s">
        <v>326</v>
      </c>
      <c r="Y148" s="2" t="str">
        <f>VLOOKUP(V148,門市狀態!G:H,2,FALSE)</f>
        <v>湯家瑋</v>
      </c>
      <c r="Z148" s="218" t="str">
        <f>IF(D148="FVC7", IF(COUNTIF(特殊門市清單!N:N, B148)=0, "FVC7", VLOOKUP(B148,特殊門市清單!N:T,7,FALSE)), IF(AA148="v","Peplink",""))</f>
        <v/>
      </c>
      <c r="AA148" s="218" t="str">
        <f>IFERROR(VLOOKUP(B148,門市狀態!A:D,4,FALSE),"")</f>
        <v/>
      </c>
      <c r="AB148" s="224" t="str">
        <f>VLOOKUP(B148,門市總表!A:B,2,FALSE)</f>
        <v>五股福鑫店</v>
      </c>
      <c r="AC148" s="259"/>
      <c r="AD148" s="224"/>
      <c r="AE148" s="224"/>
      <c r="AF148" s="224" t="s">
        <v>4992</v>
      </c>
      <c r="AG148" s="248" t="s">
        <v>102</v>
      </c>
      <c r="AH148" s="224" t="s">
        <v>103</v>
      </c>
    </row>
    <row r="149" spans="1:35" ht="21.6" customHeight="1">
      <c r="A149" s="2">
        <v>148</v>
      </c>
      <c r="B149" s="2">
        <v>4316</v>
      </c>
      <c r="C149" s="4" t="s">
        <v>1693</v>
      </c>
      <c r="D149" s="2" t="s">
        <v>4986</v>
      </c>
      <c r="F149" s="2" t="s">
        <v>5005</v>
      </c>
      <c r="G149" s="2" t="s">
        <v>5006</v>
      </c>
      <c r="H149" s="78" t="s">
        <v>5007</v>
      </c>
      <c r="I149" s="4" t="s">
        <v>5300</v>
      </c>
      <c r="J149" s="5" t="s">
        <v>5301</v>
      </c>
      <c r="U149" s="222" t="str">
        <f t="shared" si="11"/>
        <v>新北市</v>
      </c>
      <c r="V149" s="223" t="str">
        <f t="shared" si="9"/>
        <v>五股區</v>
      </c>
      <c r="W149" s="223" t="str">
        <f t="shared" si="10"/>
        <v>成泰路二段91巷9號1樓部份</v>
      </c>
      <c r="X149" s="2" t="s">
        <v>326</v>
      </c>
      <c r="Y149" s="2" t="str">
        <f>VLOOKUP(V149,門市狀態!G:H,2,FALSE)</f>
        <v>湯家瑋</v>
      </c>
      <c r="Z149" s="218" t="str">
        <f>IF(D149="FVC7", IF(COUNTIF(特殊門市清單!N:N, B149)=0, "FVC7", VLOOKUP(B149,特殊門市清單!N:T,7,FALSE)), IF(AA149="v","Peplink",""))</f>
        <v/>
      </c>
      <c r="AA149" s="218" t="str">
        <f>IFERROR(VLOOKUP(B149,門市狀態!A:D,4,FALSE),"")</f>
        <v/>
      </c>
      <c r="AB149" s="224" t="str">
        <f>VLOOKUP(B149,門市總表!A:B,2,FALSE)</f>
        <v>五股工商店</v>
      </c>
      <c r="AC149" s="259"/>
      <c r="AD149" s="224"/>
      <c r="AE149" s="224"/>
      <c r="AF149" s="224" t="s">
        <v>4992</v>
      </c>
      <c r="AG149" s="248" t="s">
        <v>102</v>
      </c>
      <c r="AH149" s="224" t="s">
        <v>103</v>
      </c>
    </row>
    <row r="150" spans="1:35" ht="21.6" customHeight="1">
      <c r="A150" s="2">
        <v>149</v>
      </c>
      <c r="B150" s="2">
        <v>4801</v>
      </c>
      <c r="C150" s="4" t="s">
        <v>1309</v>
      </c>
      <c r="D150" s="2" t="s">
        <v>4986</v>
      </c>
      <c r="F150" s="2" t="s">
        <v>5005</v>
      </c>
      <c r="G150" s="2" t="s">
        <v>5006</v>
      </c>
      <c r="H150" s="78" t="s">
        <v>5007</v>
      </c>
      <c r="I150" s="4" t="s">
        <v>5302</v>
      </c>
      <c r="J150" s="5" t="s">
        <v>5303</v>
      </c>
      <c r="U150" s="222" t="str">
        <f t="shared" si="11"/>
        <v>新北市</v>
      </c>
      <c r="V150" s="223" t="str">
        <f t="shared" si="9"/>
        <v>五股區</v>
      </c>
      <c r="W150" s="223" t="str">
        <f t="shared" si="10"/>
        <v xml:space="preserve">西雲路211及213號 </v>
      </c>
      <c r="X150" s="2" t="s">
        <v>326</v>
      </c>
      <c r="Y150" s="2" t="str">
        <f>VLOOKUP(V150,門市狀態!G:H,2,FALSE)</f>
        <v>湯家瑋</v>
      </c>
      <c r="Z150" s="218" t="str">
        <f>IF(D150="FVC7", IF(COUNTIF(特殊門市清單!N:N, B150)=0, "FVC7", VLOOKUP(B150,特殊門市清單!N:T,7,FALSE)), IF(AA150="v","Peplink",""))</f>
        <v/>
      </c>
      <c r="AA150" s="218" t="str">
        <f>IFERROR(VLOOKUP(B150,門市狀態!A:D,4,FALSE),"")</f>
        <v/>
      </c>
      <c r="AB150" s="224" t="str">
        <f>VLOOKUP(B150,門市總表!A:B,2,FALSE)</f>
        <v>五股成州店</v>
      </c>
      <c r="AC150" s="259"/>
      <c r="AD150" s="224"/>
      <c r="AE150" s="224" t="s">
        <v>4985</v>
      </c>
      <c r="AF150" s="224" t="s">
        <v>4992</v>
      </c>
      <c r="AG150" s="248" t="s">
        <v>102</v>
      </c>
      <c r="AH150" s="224" t="s">
        <v>103</v>
      </c>
    </row>
    <row r="151" spans="1:35" ht="21.6" customHeight="1">
      <c r="A151" s="2">
        <v>150</v>
      </c>
      <c r="B151" s="2">
        <v>4819</v>
      </c>
      <c r="C151" s="4" t="s">
        <v>1312</v>
      </c>
      <c r="D151" s="2" t="s">
        <v>4993</v>
      </c>
      <c r="F151" s="2" t="s">
        <v>5005</v>
      </c>
      <c r="G151" s="2" t="s">
        <v>5006</v>
      </c>
      <c r="H151" s="78" t="s">
        <v>5007</v>
      </c>
      <c r="I151" s="4" t="s">
        <v>5304</v>
      </c>
      <c r="J151" s="5" t="s">
        <v>5305</v>
      </c>
      <c r="U151" s="222" t="str">
        <f t="shared" si="11"/>
        <v>新北市</v>
      </c>
      <c r="V151" s="223" t="str">
        <f t="shared" si="9"/>
        <v>五股區</v>
      </c>
      <c r="W151" s="223" t="str">
        <f t="shared" si="10"/>
        <v>凌雲路三段46號</v>
      </c>
      <c r="X151" s="2" t="s">
        <v>326</v>
      </c>
      <c r="Y151" s="2" t="str">
        <f>VLOOKUP(V151,門市狀態!G:H,2,FALSE)</f>
        <v>湯家瑋</v>
      </c>
      <c r="Z151" s="218" t="str">
        <f>IF(D151="FVC7", IF(COUNTIF(特殊門市清單!N:N, B151)=0, "FVC7", VLOOKUP(B151,特殊門市清單!N:T,7,FALSE)), IF(AA151="v","Peplink",""))</f>
        <v/>
      </c>
      <c r="AA151" s="218" t="str">
        <f>IFERROR(VLOOKUP(B151,門市狀態!A:D,4,FALSE),"")</f>
        <v/>
      </c>
      <c r="AB151" s="224" t="str">
        <f>VLOOKUP(B151,門市總表!A:B,2,FALSE)</f>
        <v>五股凌雲店</v>
      </c>
      <c r="AC151" s="259"/>
      <c r="AD151" s="224"/>
      <c r="AE151" s="224" t="s">
        <v>4985</v>
      </c>
      <c r="AF151" s="224" t="s">
        <v>4992</v>
      </c>
      <c r="AG151" s="248" t="s">
        <v>102</v>
      </c>
      <c r="AH151" s="224" t="s">
        <v>103</v>
      </c>
    </row>
    <row r="152" spans="1:35" ht="21.6" customHeight="1">
      <c r="A152" s="2">
        <v>151</v>
      </c>
      <c r="B152" s="2">
        <v>5003</v>
      </c>
      <c r="C152" s="4" t="s">
        <v>2242</v>
      </c>
      <c r="D152" s="2" t="s">
        <v>4993</v>
      </c>
      <c r="F152" s="2" t="s">
        <v>5005</v>
      </c>
      <c r="G152" s="2" t="s">
        <v>5006</v>
      </c>
      <c r="H152" s="78" t="s">
        <v>5007</v>
      </c>
      <c r="I152" s="4" t="s">
        <v>5306</v>
      </c>
      <c r="J152" s="5" t="s">
        <v>5307</v>
      </c>
      <c r="U152" s="222" t="str">
        <f t="shared" si="11"/>
        <v>新北市</v>
      </c>
      <c r="V152" s="223" t="str">
        <f t="shared" si="9"/>
        <v>五股區</v>
      </c>
      <c r="W152" s="223" t="str">
        <f t="shared" si="10"/>
        <v>中興路二段1號一樓全部</v>
      </c>
      <c r="X152" s="2" t="s">
        <v>326</v>
      </c>
      <c r="Y152" s="2" t="str">
        <f>VLOOKUP(V152,門市狀態!G:H,2,FALSE)</f>
        <v>湯家瑋</v>
      </c>
      <c r="Z152" s="218" t="str">
        <f>IF(D152="FVC7", IF(COUNTIF(特殊門市清單!N:N, B152)=0, "FVC7", VLOOKUP(B152,特殊門市清單!N:T,7,FALSE)), IF(AA152="v","Peplink",""))</f>
        <v/>
      </c>
      <c r="AA152" s="218" t="str">
        <f>IFERROR(VLOOKUP(B152,門市狀態!A:D,4,FALSE),"")</f>
        <v/>
      </c>
      <c r="AB152" s="224" t="str">
        <f>VLOOKUP(B152,門市總表!A:B,2,FALSE)</f>
        <v>五股更寮店</v>
      </c>
      <c r="AC152" s="259"/>
      <c r="AD152" s="224"/>
      <c r="AE152" s="224" t="s">
        <v>4985</v>
      </c>
      <c r="AF152" s="224" t="s">
        <v>4992</v>
      </c>
      <c r="AG152" s="248" t="s">
        <v>102</v>
      </c>
      <c r="AH152" s="224" t="s">
        <v>103</v>
      </c>
    </row>
    <row r="153" spans="1:35" ht="21.6" customHeight="1">
      <c r="A153" s="2">
        <v>152</v>
      </c>
      <c r="B153" s="2" t="s">
        <v>80</v>
      </c>
      <c r="C153" s="4" t="s">
        <v>204</v>
      </c>
      <c r="J153" s="5" t="s">
        <v>5285</v>
      </c>
      <c r="U153" s="222" t="str">
        <f t="shared" si="11"/>
        <v>新北市</v>
      </c>
      <c r="V153" s="223" t="str">
        <f t="shared" si="9"/>
        <v>五股區</v>
      </c>
      <c r="W153" s="223" t="str">
        <f t="shared" si="10"/>
        <v>五工六路28號</v>
      </c>
      <c r="X153" s="2" t="s">
        <v>326</v>
      </c>
      <c r="Y153" s="2" t="str">
        <f>VLOOKUP(V153,門市狀態!G:H,2,FALSE)</f>
        <v>湯家瑋</v>
      </c>
      <c r="Z153" s="218" t="str">
        <f>IF(D153="FVC7", IF(COUNTIF(特殊門市清單!N:N, B153)=0, "FVC7", VLOOKUP(B153,特殊門市清單!N:T,7,FALSE)), IF(AA153="v","Peplink",""))</f>
        <v/>
      </c>
      <c r="AA153" s="218" t="str">
        <f>IFERROR(VLOOKUP(B153,門市狀態!A:D,4,FALSE),"")</f>
        <v/>
      </c>
      <c r="AB153" s="224" t="str">
        <f>VLOOKUP(B153,門市總表!A:B,2,FALSE)</f>
        <v>五股訓練教室</v>
      </c>
      <c r="AC153" s="259"/>
      <c r="AD153" s="224"/>
      <c r="AE153" s="224"/>
      <c r="AF153" s="224"/>
      <c r="AG153" s="248" t="s">
        <v>102</v>
      </c>
      <c r="AH153" s="224"/>
    </row>
    <row r="154" spans="1:35" ht="21.6" customHeight="1">
      <c r="A154" s="2">
        <v>153</v>
      </c>
      <c r="B154" s="2">
        <v>3851</v>
      </c>
      <c r="C154" s="4" t="s">
        <v>2087</v>
      </c>
      <c r="D154" s="2" t="s">
        <v>4998</v>
      </c>
      <c r="F154" s="2" t="s">
        <v>5012</v>
      </c>
      <c r="G154" s="2" t="s">
        <v>5308</v>
      </c>
      <c r="H154" s="78" t="s">
        <v>5309</v>
      </c>
      <c r="I154" s="4" t="s">
        <v>5310</v>
      </c>
      <c r="J154" s="5" t="s">
        <v>5311</v>
      </c>
      <c r="U154" s="222" t="str">
        <f t="shared" si="11"/>
        <v>新北市</v>
      </c>
      <c r="V154" s="223" t="str">
        <f t="shared" si="9"/>
        <v>新莊區</v>
      </c>
      <c r="W154" s="223" t="str">
        <f t="shared" si="10"/>
        <v>中正路510號</v>
      </c>
      <c r="X154" s="2" t="s">
        <v>326</v>
      </c>
      <c r="Y154" s="2" t="str">
        <f>VLOOKUP(V154,門市狀態!G:H,2,FALSE)</f>
        <v>湯家瑋</v>
      </c>
      <c r="Z154" s="218" t="s">
        <v>66</v>
      </c>
      <c r="AA154" s="218" t="str">
        <f>IFERROR(VLOOKUP(B154,門市狀態!A:D,4,FALSE),"")</f>
        <v/>
      </c>
      <c r="AB154" s="224" t="str">
        <f>VLOOKUP(B154,門市總表!A:B,2,FALSE)</f>
        <v>新莊輔園店</v>
      </c>
      <c r="AC154" s="259"/>
      <c r="AD154" s="224" t="s">
        <v>66</v>
      </c>
      <c r="AE154" s="224"/>
      <c r="AF154" s="224" t="s">
        <v>4992</v>
      </c>
      <c r="AG154" s="248" t="s">
        <v>102</v>
      </c>
      <c r="AH154" s="224" t="s">
        <v>103</v>
      </c>
    </row>
    <row r="155" spans="1:35" ht="21.6" customHeight="1">
      <c r="A155" s="2">
        <v>154</v>
      </c>
      <c r="B155" s="2" t="s">
        <v>88</v>
      </c>
      <c r="C155" s="4" t="s">
        <v>5312</v>
      </c>
      <c r="D155" s="2" t="s">
        <v>4982</v>
      </c>
      <c r="F155" s="2" t="s">
        <v>5012</v>
      </c>
      <c r="G155" s="2" t="s">
        <v>5313</v>
      </c>
      <c r="H155" s="78" t="s">
        <v>5314</v>
      </c>
      <c r="I155" s="4" t="s">
        <v>5315</v>
      </c>
      <c r="J155" s="5" t="s">
        <v>5316</v>
      </c>
      <c r="U155" s="222" t="str">
        <f t="shared" si="11"/>
        <v>新北市</v>
      </c>
      <c r="V155" s="223" t="str">
        <f t="shared" si="9"/>
        <v>新莊區</v>
      </c>
      <c r="W155" s="223" t="str">
        <f t="shared" si="10"/>
        <v>頭前路1號及三重區興德路238號</v>
      </c>
      <c r="X155" s="2" t="s">
        <v>326</v>
      </c>
      <c r="Y155" s="2" t="str">
        <f>VLOOKUP(V155,門市狀態!G:H,2,FALSE)</f>
        <v>湯家瑋</v>
      </c>
      <c r="Z155" s="218" t="str">
        <f>IF(D155="FVC7", IF(COUNTIF(特殊門市清單!N:N, B155)=0, "FVC7", VLOOKUP(B155,特殊門市清單!N:T,7,FALSE)), IF(AA155="v","Peplink",""))</f>
        <v>萊到店 WebPOS</v>
      </c>
      <c r="AA155" s="218" t="str">
        <f>IFERROR(VLOOKUP(B155,門市狀態!A:D,4,FALSE),"")</f>
        <v/>
      </c>
      <c r="AB155" s="224" t="str">
        <f>VLOOKUP(B155,門市總表!A:B,2,FALSE)</f>
        <v>車麗屋新莊店</v>
      </c>
      <c r="AC155" s="259"/>
      <c r="AD155" s="224"/>
      <c r="AE155" s="224"/>
      <c r="AF155" s="224"/>
      <c r="AG155" s="248"/>
      <c r="AH155" s="224"/>
      <c r="AI155" s="227"/>
    </row>
    <row r="156" spans="1:35" ht="21.6" customHeight="1">
      <c r="A156" s="2">
        <v>155</v>
      </c>
      <c r="B156" s="2" t="s">
        <v>68</v>
      </c>
      <c r="C156" s="4" t="s">
        <v>1899</v>
      </c>
      <c r="D156" s="2" t="s">
        <v>4982</v>
      </c>
      <c r="F156" s="2" t="s">
        <v>5012</v>
      </c>
      <c r="G156" s="2" t="s">
        <v>5313</v>
      </c>
      <c r="H156" s="78" t="s">
        <v>5314</v>
      </c>
      <c r="I156" s="4" t="s">
        <v>5317</v>
      </c>
      <c r="J156" s="5" t="s">
        <v>5318</v>
      </c>
      <c r="U156" s="222" t="str">
        <f t="shared" si="11"/>
        <v>新北市</v>
      </c>
      <c r="V156" s="223" t="str">
        <f t="shared" si="9"/>
        <v>新莊區</v>
      </c>
      <c r="W156" s="223" t="str">
        <f t="shared" si="10"/>
        <v>新樹路204號</v>
      </c>
      <c r="X156" s="2" t="s">
        <v>326</v>
      </c>
      <c r="Y156" s="2" t="str">
        <f>VLOOKUP(V156,門市狀態!G:H,2,FALSE)</f>
        <v>湯家瑋</v>
      </c>
      <c r="Z156" s="218" t="str">
        <f>IF(D156="FVC7", IF(COUNTIF(特殊門市清單!N:N, B156)=0, "FVC7", VLOOKUP(B156,特殊門市清單!N:T,7,FALSE)), IF(AA156="v","Peplink",""))</f>
        <v>萊到店 WebPOS</v>
      </c>
      <c r="AA156" s="218" t="str">
        <f>IFERROR(VLOOKUP(B156,門市狀態!A:D,4,FALSE),"")</f>
        <v/>
      </c>
      <c r="AB156" s="224" t="str">
        <f>VLOOKUP(B156,門市總表!A:B,2,FALSE)</f>
        <v>田倉新樹店</v>
      </c>
      <c r="AC156" s="259"/>
      <c r="AD156" s="224"/>
      <c r="AE156" s="224"/>
      <c r="AF156" s="224"/>
      <c r="AG156" s="248"/>
      <c r="AH156" s="224"/>
      <c r="AI156" s="227"/>
    </row>
    <row r="157" spans="1:35" ht="21.6" customHeight="1">
      <c r="A157" s="2">
        <v>156</v>
      </c>
      <c r="B157" s="2" t="s">
        <v>70</v>
      </c>
      <c r="C157" s="4" t="s">
        <v>1926</v>
      </c>
      <c r="D157" s="2" t="s">
        <v>4982</v>
      </c>
      <c r="F157" s="2" t="s">
        <v>5012</v>
      </c>
      <c r="G157" s="2" t="s">
        <v>5313</v>
      </c>
      <c r="H157" s="78" t="s">
        <v>5314</v>
      </c>
      <c r="J157" s="5" t="s">
        <v>5319</v>
      </c>
      <c r="U157" s="222" t="str">
        <f t="shared" si="11"/>
        <v>新北市</v>
      </c>
      <c r="V157" s="223" t="str">
        <f t="shared" si="9"/>
        <v>新莊區</v>
      </c>
      <c r="W157" s="223" t="str">
        <f t="shared" si="10"/>
        <v>民安路56-2號</v>
      </c>
      <c r="X157" s="2" t="s">
        <v>326</v>
      </c>
      <c r="Y157" s="2" t="str">
        <f>VLOOKUP(V157,門市狀態!G:H,2,FALSE)</f>
        <v>湯家瑋</v>
      </c>
      <c r="Z157" s="218" t="str">
        <f>IF(D157="FVC7", IF(COUNTIF(特殊門市清單!N:N, B157)=0, "FVC7", VLOOKUP(B157,特殊門市清單!N:T,7,FALSE)), IF(AA157="v","Peplink",""))</f>
        <v>萊到店 WebPOS</v>
      </c>
      <c r="AA157" s="218" t="str">
        <f>IFERROR(VLOOKUP(B157,門市狀態!A:D,4,FALSE),"")</f>
        <v/>
      </c>
      <c r="AB157" s="224" t="str">
        <f>VLOOKUP(B157,門市總表!A:B,2,FALSE)</f>
        <v>田倉民安店</v>
      </c>
      <c r="AC157" s="259"/>
      <c r="AD157" s="224"/>
      <c r="AE157" s="224"/>
      <c r="AF157" s="224"/>
      <c r="AG157" s="248"/>
      <c r="AH157" s="224"/>
      <c r="AI157" s="227"/>
    </row>
    <row r="158" spans="1:35" ht="21.6" customHeight="1">
      <c r="A158" s="2">
        <v>157</v>
      </c>
      <c r="B158" s="2">
        <v>2109</v>
      </c>
      <c r="C158" s="4" t="s">
        <v>147</v>
      </c>
      <c r="D158" s="2" t="s">
        <v>4993</v>
      </c>
      <c r="F158" s="2" t="s">
        <v>5012</v>
      </c>
      <c r="G158" s="2" t="s">
        <v>5308</v>
      </c>
      <c r="H158" s="78" t="s">
        <v>5309</v>
      </c>
      <c r="I158" s="4" t="s">
        <v>5320</v>
      </c>
      <c r="J158" s="5" t="s">
        <v>5321</v>
      </c>
      <c r="U158" s="222" t="str">
        <f t="shared" si="11"/>
        <v>新北市</v>
      </c>
      <c r="V158" s="223" t="str">
        <f t="shared" si="9"/>
        <v>新莊區</v>
      </c>
      <c r="W158" s="223" t="str">
        <f t="shared" si="10"/>
        <v>瓊林南路133號</v>
      </c>
      <c r="X158" s="2" t="s">
        <v>326</v>
      </c>
      <c r="Y158" s="2" t="str">
        <f>VLOOKUP(V158,門市狀態!G:H,2,FALSE)</f>
        <v>湯家瑋</v>
      </c>
      <c r="Z158" s="218" t="str">
        <f>IF(D158="FVC7", IF(COUNTIF(特殊門市清單!N:N, B158)=0, "FVC7", VLOOKUP(B158,特殊門市清單!N:T,7,FALSE)), IF(AA158="v","Peplink",""))</f>
        <v/>
      </c>
      <c r="AA158" s="218" t="str">
        <f>IFERROR(VLOOKUP(B158,門市狀態!A:D,4,FALSE),"")</f>
        <v/>
      </c>
      <c r="AB158" s="224" t="str">
        <f>VLOOKUP(B158,門市總表!A:B,2,FALSE)</f>
        <v>新莊瓊林南</v>
      </c>
      <c r="AC158" s="259"/>
      <c r="AD158" s="224"/>
      <c r="AE158" s="224"/>
      <c r="AF158" s="224" t="s">
        <v>4992</v>
      </c>
      <c r="AG158" s="248" t="s">
        <v>102</v>
      </c>
      <c r="AH158" s="224"/>
      <c r="AI158" s="227"/>
    </row>
    <row r="159" spans="1:35" ht="21.6" customHeight="1">
      <c r="A159" s="2">
        <v>158</v>
      </c>
      <c r="B159" s="2">
        <v>2743</v>
      </c>
      <c r="C159" s="4" t="s">
        <v>1934</v>
      </c>
      <c r="D159" s="2" t="s">
        <v>4993</v>
      </c>
      <c r="F159" s="2" t="s">
        <v>5012</v>
      </c>
      <c r="G159" s="2" t="s">
        <v>5308</v>
      </c>
      <c r="H159" s="78" t="s">
        <v>5309</v>
      </c>
      <c r="I159" s="4" t="s">
        <v>5322</v>
      </c>
      <c r="J159" s="5" t="s">
        <v>5323</v>
      </c>
      <c r="U159" s="222" t="str">
        <f t="shared" si="11"/>
        <v>新北市</v>
      </c>
      <c r="V159" s="223" t="str">
        <f t="shared" si="9"/>
        <v>新莊區</v>
      </c>
      <c r="W159" s="223" t="str">
        <f t="shared" si="10"/>
        <v>豐年街118之1號</v>
      </c>
      <c r="X159" s="2" t="s">
        <v>326</v>
      </c>
      <c r="Y159" s="2" t="str">
        <f>VLOOKUP(V159,門市狀態!G:H,2,FALSE)</f>
        <v>湯家瑋</v>
      </c>
      <c r="Z159" s="218" t="str">
        <f>IF(D159="FVC7", IF(COUNTIF(特殊門市清單!N:N, B159)=0, "FVC7", VLOOKUP(B159,特殊門市清單!N:T,7,FALSE)), IF(AA159="v","Peplink",""))</f>
        <v/>
      </c>
      <c r="AA159" s="218" t="str">
        <f>IFERROR(VLOOKUP(B159,門市狀態!A:D,4,FALSE),"")</f>
        <v/>
      </c>
      <c r="AB159" s="224" t="str">
        <f>VLOOKUP(B159,門市總表!A:B,2,FALSE)</f>
        <v>新莊豐年店</v>
      </c>
      <c r="AC159" s="259"/>
      <c r="AD159" s="224"/>
      <c r="AE159" s="224"/>
      <c r="AF159" s="224" t="s">
        <v>4992</v>
      </c>
      <c r="AG159" s="248" t="s">
        <v>102</v>
      </c>
      <c r="AH159" s="224" t="s">
        <v>103</v>
      </c>
      <c r="AI159" s="227"/>
    </row>
    <row r="160" spans="1:35" ht="21.6" customHeight="1">
      <c r="A160" s="2">
        <v>159</v>
      </c>
      <c r="B160" s="2">
        <v>4005</v>
      </c>
      <c r="C160" s="4" t="s">
        <v>1918</v>
      </c>
      <c r="D160" s="2" t="s">
        <v>4986</v>
      </c>
      <c r="F160" s="2" t="s">
        <v>5012</v>
      </c>
      <c r="G160" s="2" t="s">
        <v>5308</v>
      </c>
      <c r="H160" s="78" t="s">
        <v>5309</v>
      </c>
      <c r="I160" s="4" t="s">
        <v>5324</v>
      </c>
      <c r="J160" s="5" t="s">
        <v>5325</v>
      </c>
      <c r="U160" s="222" t="str">
        <f t="shared" si="11"/>
        <v>新北市</v>
      </c>
      <c r="V160" s="223" t="str">
        <f t="shared" si="9"/>
        <v>新莊區</v>
      </c>
      <c r="W160" s="223" t="str">
        <f t="shared" si="10"/>
        <v>雙鳳路53號一樓</v>
      </c>
      <c r="X160" s="2" t="s">
        <v>326</v>
      </c>
      <c r="Y160" s="2" t="str">
        <f>VLOOKUP(V160,門市狀態!G:H,2,FALSE)</f>
        <v>湯家瑋</v>
      </c>
      <c r="Z160" s="218" t="str">
        <f>IF(D160="FVC7", IF(COUNTIF(特殊門市清單!N:N, B160)=0, "FVC7", VLOOKUP(B160,特殊門市清單!N:T,7,FALSE)), IF(AA160="v","Peplink",""))</f>
        <v/>
      </c>
      <c r="AA160" s="218" t="str">
        <f>IFERROR(VLOOKUP(B160,門市狀態!A:D,4,FALSE),"")</f>
        <v/>
      </c>
      <c r="AB160" s="224" t="str">
        <f>VLOOKUP(B160,門市總表!A:B,2,FALSE)</f>
        <v>新莊雙鳳店</v>
      </c>
      <c r="AC160" s="259"/>
      <c r="AD160" s="224"/>
      <c r="AE160" s="224"/>
      <c r="AF160" s="224" t="s">
        <v>4992</v>
      </c>
      <c r="AG160" s="248" t="s">
        <v>102</v>
      </c>
      <c r="AH160" s="224" t="s">
        <v>103</v>
      </c>
      <c r="AI160" s="227"/>
    </row>
    <row r="161" spans="1:35" ht="21.6" customHeight="1">
      <c r="A161" s="2">
        <v>160</v>
      </c>
      <c r="B161" s="2">
        <v>4208</v>
      </c>
      <c r="C161" s="4" t="s">
        <v>1930</v>
      </c>
      <c r="D161" s="2" t="s">
        <v>4986</v>
      </c>
      <c r="F161" s="2" t="s">
        <v>5012</v>
      </c>
      <c r="G161" s="2" t="s">
        <v>5308</v>
      </c>
      <c r="H161" s="78" t="s">
        <v>5309</v>
      </c>
      <c r="I161" s="4" t="s">
        <v>5326</v>
      </c>
      <c r="J161" s="5" t="s">
        <v>5327</v>
      </c>
      <c r="U161" s="222" t="str">
        <f t="shared" si="11"/>
        <v>新北市</v>
      </c>
      <c r="V161" s="223" t="str">
        <f t="shared" si="9"/>
        <v>新莊區</v>
      </c>
      <c r="W161" s="223" t="str">
        <f t="shared" si="10"/>
        <v>瓊泰路59號及61號</v>
      </c>
      <c r="X161" s="2" t="s">
        <v>326</v>
      </c>
      <c r="Y161" s="2" t="str">
        <f>VLOOKUP(V161,門市狀態!G:H,2,FALSE)</f>
        <v>湯家瑋</v>
      </c>
      <c r="Z161" s="218" t="str">
        <f>IF(D161="FVC7", IF(COUNTIF(特殊門市清單!N:N, B161)=0, "FVC7", VLOOKUP(B161,特殊門市清單!N:T,7,FALSE)), IF(AA161="v","Peplink",""))</f>
        <v/>
      </c>
      <c r="AA161" s="218" t="str">
        <f>IFERROR(VLOOKUP(B161,門市狀態!A:D,4,FALSE),"")</f>
        <v/>
      </c>
      <c r="AB161" s="224" t="str">
        <f>VLOOKUP(B161,門市總表!A:B,2,FALSE)</f>
        <v>新莊瓊泰店</v>
      </c>
      <c r="AC161" s="259"/>
      <c r="AD161" s="224"/>
      <c r="AE161" s="224"/>
      <c r="AF161" s="224" t="s">
        <v>4992</v>
      </c>
      <c r="AG161" s="248" t="s">
        <v>102</v>
      </c>
      <c r="AH161" s="224" t="s">
        <v>103</v>
      </c>
      <c r="AI161" s="227"/>
    </row>
    <row r="162" spans="1:35" ht="21.6" customHeight="1">
      <c r="A162" s="2">
        <v>161</v>
      </c>
      <c r="B162" s="2" t="s">
        <v>67</v>
      </c>
      <c r="C162" s="4" t="s">
        <v>160</v>
      </c>
      <c r="D162" s="2" t="s">
        <v>4998</v>
      </c>
      <c r="F162" s="2" t="s">
        <v>5012</v>
      </c>
      <c r="G162" s="2" t="s">
        <v>5308</v>
      </c>
      <c r="H162" s="78" t="s">
        <v>5309</v>
      </c>
      <c r="I162" s="4" t="s">
        <v>5328</v>
      </c>
      <c r="J162" s="5" t="s">
        <v>5329</v>
      </c>
      <c r="U162" s="222" t="str">
        <f t="shared" si="11"/>
        <v>新北市</v>
      </c>
      <c r="V162" s="223" t="str">
        <f t="shared" si="9"/>
        <v>新莊區</v>
      </c>
      <c r="W162" s="223" t="str">
        <f t="shared" si="10"/>
        <v>福營路336,338號</v>
      </c>
      <c r="X162" s="2" t="s">
        <v>326</v>
      </c>
      <c r="Y162" s="2" t="str">
        <f>VLOOKUP(V162,門市狀態!G:H,2,FALSE)</f>
        <v>湯家瑋</v>
      </c>
      <c r="Z162" s="218" t="str">
        <f>IF(D162="FVC7", IF(COUNTIF(特殊門市清單!N:N, B162)=0, "FVC7", VLOOKUP(B162,特殊門市清單!N:T,7,FALSE)), IF(AA162="v","Peplink",""))</f>
        <v/>
      </c>
      <c r="AA162" s="218" t="str">
        <f>IFERROR(VLOOKUP(B162,門市狀態!A:D,4,FALSE),"")</f>
        <v>撤店</v>
      </c>
      <c r="AB162" s="224" t="str">
        <f>VLOOKUP(B162,門市總表!A:B,2,FALSE)</f>
        <v>新莊福營店</v>
      </c>
      <c r="AC162" s="259"/>
      <c r="AD162" s="224"/>
      <c r="AE162" s="224"/>
      <c r="AF162" s="224" t="s">
        <v>4992</v>
      </c>
      <c r="AG162" s="248" t="s">
        <v>102</v>
      </c>
      <c r="AH162" s="224" t="s">
        <v>103</v>
      </c>
      <c r="AI162" s="227"/>
    </row>
    <row r="163" spans="1:35" ht="21.6" customHeight="1">
      <c r="A163" s="2">
        <v>162</v>
      </c>
      <c r="B163" s="2" t="s">
        <v>51</v>
      </c>
      <c r="C163" s="4" t="s">
        <v>1922</v>
      </c>
      <c r="D163" s="2" t="s">
        <v>4998</v>
      </c>
      <c r="F163" s="2" t="s">
        <v>5012</v>
      </c>
      <c r="G163" s="2" t="s">
        <v>5308</v>
      </c>
      <c r="H163" s="78" t="s">
        <v>5309</v>
      </c>
      <c r="I163" s="4" t="s">
        <v>5330</v>
      </c>
      <c r="J163" s="5" t="s">
        <v>5331</v>
      </c>
      <c r="U163" s="222" t="str">
        <f t="shared" si="11"/>
        <v>新北市</v>
      </c>
      <c r="V163" s="223" t="str">
        <f t="shared" si="9"/>
        <v>新莊區</v>
      </c>
      <c r="W163" s="223" t="str">
        <f t="shared" si="10"/>
        <v>裕民街83之6號</v>
      </c>
      <c r="X163" s="2" t="s">
        <v>326</v>
      </c>
      <c r="Y163" s="2" t="str">
        <f>VLOOKUP(V163,門市狀態!G:H,2,FALSE)</f>
        <v>湯家瑋</v>
      </c>
      <c r="Z163" s="218" t="str">
        <f>IF(D163="FVC7", IF(COUNTIF(特殊門市清單!N:N, B163)=0, "FVC7", VLOOKUP(B163,特殊門市清單!N:T,7,FALSE)), IF(AA163="v","Peplink",""))</f>
        <v/>
      </c>
      <c r="AA163" s="218" t="str">
        <f>IFERROR(VLOOKUP(B163,門市狀態!A:D,4,FALSE),"")</f>
        <v/>
      </c>
      <c r="AB163" s="224" t="str">
        <f>VLOOKUP(B163,門市總表!A:B,2,FALSE)</f>
        <v>新莊裕民店</v>
      </c>
      <c r="AC163" s="259"/>
      <c r="AD163" s="224"/>
      <c r="AE163" s="224"/>
      <c r="AF163" s="224" t="s">
        <v>4992</v>
      </c>
      <c r="AG163" s="248" t="s">
        <v>102</v>
      </c>
      <c r="AH163" s="224" t="s">
        <v>103</v>
      </c>
      <c r="AI163" s="227"/>
    </row>
    <row r="164" spans="1:35" ht="21.6" customHeight="1">
      <c r="A164" s="2">
        <v>163</v>
      </c>
      <c r="B164" s="2">
        <v>3052</v>
      </c>
      <c r="C164" s="4" t="s">
        <v>176</v>
      </c>
      <c r="D164" s="2" t="s">
        <v>4986</v>
      </c>
      <c r="F164" s="2" t="s">
        <v>5012</v>
      </c>
      <c r="G164" s="2" t="s">
        <v>5282</v>
      </c>
      <c r="H164" s="78" t="s">
        <v>5283</v>
      </c>
      <c r="I164" s="4" t="s">
        <v>5332</v>
      </c>
      <c r="J164" s="5" t="s">
        <v>5333</v>
      </c>
      <c r="U164" s="222" t="str">
        <f t="shared" si="11"/>
        <v>新北市</v>
      </c>
      <c r="V164" s="223" t="str">
        <f t="shared" si="9"/>
        <v>新莊區</v>
      </c>
      <c r="W164" s="223" t="str">
        <f t="shared" si="10"/>
        <v>自信街77號+75巷2號</v>
      </c>
      <c r="X164" s="2" t="s">
        <v>326</v>
      </c>
      <c r="Y164" s="2" t="str">
        <f>VLOOKUP(V164,門市狀態!G:H,2,FALSE)</f>
        <v>湯家瑋</v>
      </c>
      <c r="Z164" s="218" t="str">
        <f>IF(D164="FVC7", IF(COUNTIF(特殊門市清單!N:N, B164)=0, "FVC7", VLOOKUP(B164,特殊門市清單!N:T,7,FALSE)), IF(AA164="v","Peplink",""))</f>
        <v/>
      </c>
      <c r="AA164" s="218" t="str">
        <f>IFERROR(VLOOKUP(B164,門市狀態!A:D,4,FALSE),"")</f>
        <v/>
      </c>
      <c r="AB164" s="224" t="str">
        <f>VLOOKUP(B164,門市總表!A:B,2,FALSE)</f>
        <v>北縣莊玲店</v>
      </c>
      <c r="AC164" s="259"/>
      <c r="AD164" s="224"/>
      <c r="AE164" s="224"/>
      <c r="AF164" s="224" t="s">
        <v>4992</v>
      </c>
      <c r="AG164" s="248" t="s">
        <v>102</v>
      </c>
      <c r="AH164" s="224" t="s">
        <v>103</v>
      </c>
      <c r="AI164" s="227"/>
    </row>
    <row r="165" spans="1:35" ht="21.6" customHeight="1">
      <c r="A165" s="2">
        <v>164</v>
      </c>
      <c r="B165" s="6">
        <v>3358</v>
      </c>
      <c r="C165" s="4" t="s">
        <v>990</v>
      </c>
      <c r="D165" s="2" t="s">
        <v>4986</v>
      </c>
      <c r="F165" s="2" t="s">
        <v>5012</v>
      </c>
      <c r="G165" s="2" t="s">
        <v>5282</v>
      </c>
      <c r="H165" s="78" t="s">
        <v>5283</v>
      </c>
      <c r="I165" s="4" t="s">
        <v>5334</v>
      </c>
      <c r="J165" s="5" t="s">
        <v>5335</v>
      </c>
      <c r="U165" s="222" t="str">
        <f t="shared" si="11"/>
        <v>新北市</v>
      </c>
      <c r="V165" s="223" t="str">
        <f t="shared" si="9"/>
        <v>新莊區</v>
      </c>
      <c r="W165" s="223" t="str">
        <f t="shared" si="10"/>
        <v>中和街19號</v>
      </c>
      <c r="X165" s="2" t="s">
        <v>326</v>
      </c>
      <c r="Y165" s="2" t="str">
        <f>VLOOKUP(V165,門市狀態!G:H,2,FALSE)</f>
        <v>湯家瑋</v>
      </c>
      <c r="Z165" s="218" t="str">
        <f>IF(D165="FVC7", IF(COUNTIF(特殊門市清單!N:N, B165)=0, "FVC7", VLOOKUP(B165,特殊門市清單!N:T,7,FALSE)), IF(AA165="v","Peplink",""))</f>
        <v/>
      </c>
      <c r="AA165" s="218" t="str">
        <f>IFERROR(VLOOKUP(B165,門市狀態!A:D,4,FALSE),"")</f>
        <v/>
      </c>
      <c r="AB165" s="224" t="str">
        <f>VLOOKUP(B165,門市總表!A:B,2,FALSE)</f>
        <v>新莊棒球場</v>
      </c>
      <c r="AC165" s="259"/>
      <c r="AD165" s="224"/>
      <c r="AE165" s="224"/>
      <c r="AF165" s="224" t="s">
        <v>4992</v>
      </c>
      <c r="AG165" s="248" t="s">
        <v>102</v>
      </c>
      <c r="AH165" s="224" t="s">
        <v>103</v>
      </c>
      <c r="AI165" s="227"/>
    </row>
    <row r="166" spans="1:35" ht="21.6" customHeight="1">
      <c r="A166" s="2">
        <v>165</v>
      </c>
      <c r="B166" s="2">
        <v>3380</v>
      </c>
      <c r="C166" s="4" t="s">
        <v>1550</v>
      </c>
      <c r="D166" s="2" t="s">
        <v>4998</v>
      </c>
      <c r="F166" s="2" t="s">
        <v>5012</v>
      </c>
      <c r="G166" s="2" t="s">
        <v>5282</v>
      </c>
      <c r="H166" s="78" t="s">
        <v>5283</v>
      </c>
      <c r="I166" s="4" t="s">
        <v>5336</v>
      </c>
      <c r="J166" s="5" t="s">
        <v>5337</v>
      </c>
      <c r="U166" s="222" t="str">
        <f t="shared" si="11"/>
        <v>新北市</v>
      </c>
      <c r="V166" s="223" t="str">
        <f t="shared" si="9"/>
        <v>新莊區</v>
      </c>
      <c r="W166" s="223" t="str">
        <f t="shared" si="10"/>
        <v>幸福路562號</v>
      </c>
      <c r="X166" s="2" t="s">
        <v>326</v>
      </c>
      <c r="Y166" s="2" t="str">
        <f>VLOOKUP(V166,門市狀態!G:H,2,FALSE)</f>
        <v>湯家瑋</v>
      </c>
      <c r="Z166" s="218" t="str">
        <f>IF(D166="FVC7", IF(COUNTIF(特殊門市清單!N:N, B166)=0, "FVC7", VLOOKUP(B166,特殊門市清單!N:T,7,FALSE)), IF(AA166="v","Peplink",""))</f>
        <v/>
      </c>
      <c r="AA166" s="218" t="str">
        <f>IFERROR(VLOOKUP(B166,門市狀態!A:D,4,FALSE),"")</f>
        <v/>
      </c>
      <c r="AB166" s="224" t="str">
        <f>VLOOKUP(B166,門市總表!A:B,2,FALSE)</f>
        <v>北縣莊勝店</v>
      </c>
      <c r="AC166" s="259"/>
      <c r="AD166" s="224"/>
      <c r="AE166" s="224"/>
      <c r="AF166" s="224" t="s">
        <v>4992</v>
      </c>
      <c r="AG166" s="248" t="s">
        <v>102</v>
      </c>
      <c r="AH166" s="224" t="s">
        <v>103</v>
      </c>
      <c r="AI166" s="227"/>
    </row>
    <row r="167" spans="1:35" ht="21.6" customHeight="1">
      <c r="A167" s="2">
        <v>166</v>
      </c>
      <c r="B167" s="2">
        <v>3785</v>
      </c>
      <c r="C167" s="4" t="s">
        <v>489</v>
      </c>
      <c r="D167" s="2" t="s">
        <v>4998</v>
      </c>
      <c r="F167" s="2" t="s">
        <v>5012</v>
      </c>
      <c r="G167" s="2" t="s">
        <v>5282</v>
      </c>
      <c r="H167" s="78" t="s">
        <v>5283</v>
      </c>
      <c r="I167" s="4" t="s">
        <v>5338</v>
      </c>
      <c r="J167" s="5" t="s">
        <v>5339</v>
      </c>
      <c r="U167" s="222" t="str">
        <f t="shared" si="11"/>
        <v>新北市</v>
      </c>
      <c r="V167" s="223" t="str">
        <f t="shared" si="9"/>
        <v>新莊區</v>
      </c>
      <c r="W167" s="223" t="str">
        <f t="shared" si="10"/>
        <v>新莊路307、309號一樓部份</v>
      </c>
      <c r="X167" s="2" t="s">
        <v>326</v>
      </c>
      <c r="Y167" s="2" t="str">
        <f>VLOOKUP(V167,門市狀態!G:H,2,FALSE)</f>
        <v>湯家瑋</v>
      </c>
      <c r="Z167" s="218" t="str">
        <f>IF(D167="FVC7", IF(COUNTIF(特殊門市清單!N:N, B167)=0, "FVC7", VLOOKUP(B167,特殊門市清單!N:T,7,FALSE)), IF(AA167="v","Peplink",""))</f>
        <v/>
      </c>
      <c r="AA167" s="218" t="str">
        <f>IFERROR(VLOOKUP(B167,門市狀態!A:D,4,FALSE),"")</f>
        <v/>
      </c>
      <c r="AB167" s="224" t="str">
        <f>VLOOKUP(B167,門市總表!A:B,2,FALSE)</f>
        <v>北縣莊榮店</v>
      </c>
      <c r="AC167" s="259"/>
      <c r="AD167" s="224"/>
      <c r="AE167" s="224" t="s">
        <v>4985</v>
      </c>
      <c r="AF167" s="224" t="s">
        <v>4992</v>
      </c>
      <c r="AG167" s="248" t="s">
        <v>102</v>
      </c>
      <c r="AH167" s="224" t="s">
        <v>103</v>
      </c>
      <c r="AI167" s="227"/>
    </row>
    <row r="168" spans="1:35" ht="21.6" customHeight="1">
      <c r="A168" s="2">
        <v>167</v>
      </c>
      <c r="B168" s="2">
        <v>3999</v>
      </c>
      <c r="C168" s="4" t="s">
        <v>892</v>
      </c>
      <c r="D168" s="2" t="s">
        <v>4986</v>
      </c>
      <c r="F168" s="2" t="s">
        <v>5012</v>
      </c>
      <c r="G168" s="2" t="s">
        <v>5282</v>
      </c>
      <c r="H168" s="78" t="s">
        <v>5283</v>
      </c>
      <c r="I168" s="4" t="s">
        <v>5340</v>
      </c>
      <c r="J168" s="5" t="s">
        <v>5341</v>
      </c>
      <c r="U168" s="222" t="str">
        <f t="shared" si="11"/>
        <v>新北市</v>
      </c>
      <c r="V168" s="223" t="str">
        <f t="shared" si="9"/>
        <v>新莊區</v>
      </c>
      <c r="W168" s="223" t="str">
        <f t="shared" si="10"/>
        <v>福壽街188、190號一樓全部</v>
      </c>
      <c r="X168" s="2" t="s">
        <v>326</v>
      </c>
      <c r="Y168" s="2" t="str">
        <f>VLOOKUP(V168,門市狀態!G:H,2,FALSE)</f>
        <v>湯家瑋</v>
      </c>
      <c r="Z168" s="218" t="str">
        <f>IF(D168="FVC7", IF(COUNTIF(特殊門市清單!N:N, B168)=0, "FVC7", VLOOKUP(B168,特殊門市清單!N:T,7,FALSE)), IF(AA168="v","Peplink",""))</f>
        <v/>
      </c>
      <c r="AA168" s="218" t="str">
        <f>IFERROR(VLOOKUP(B168,門市狀態!A:D,4,FALSE),"")</f>
        <v/>
      </c>
      <c r="AB168" s="224" t="str">
        <f>VLOOKUP(B168,門市總表!A:B,2,FALSE)</f>
        <v>新莊福祐店</v>
      </c>
      <c r="AC168" s="259"/>
      <c r="AD168" s="224"/>
      <c r="AE168" s="224"/>
      <c r="AF168" s="224" t="s">
        <v>4992</v>
      </c>
      <c r="AG168" s="248" t="s">
        <v>102</v>
      </c>
      <c r="AH168" s="224" t="s">
        <v>103</v>
      </c>
      <c r="AI168" s="227"/>
    </row>
    <row r="169" spans="1:35" ht="21.6" customHeight="1">
      <c r="A169" s="2">
        <v>168</v>
      </c>
      <c r="B169" s="2">
        <v>4025</v>
      </c>
      <c r="C169" s="4" t="s">
        <v>2295</v>
      </c>
      <c r="D169" s="2" t="s">
        <v>4986</v>
      </c>
      <c r="F169" s="2" t="s">
        <v>5012</v>
      </c>
      <c r="G169" s="2" t="s">
        <v>5282</v>
      </c>
      <c r="H169" s="78" t="s">
        <v>5283</v>
      </c>
      <c r="I169" s="4" t="s">
        <v>5342</v>
      </c>
      <c r="J169" s="5" t="s">
        <v>5343</v>
      </c>
      <c r="U169" s="222" t="str">
        <f t="shared" si="11"/>
        <v>新北市</v>
      </c>
      <c r="V169" s="223" t="str">
        <f t="shared" si="9"/>
        <v>新莊區</v>
      </c>
      <c r="W169" s="223" t="str">
        <f t="shared" si="10"/>
        <v>中信街20號一樓全部、22號一樓部份</v>
      </c>
      <c r="X169" s="2" t="s">
        <v>326</v>
      </c>
      <c r="Y169" s="2" t="str">
        <f>VLOOKUP(V169,門市狀態!G:H,2,FALSE)</f>
        <v>湯家瑋</v>
      </c>
      <c r="Z169" s="218" t="str">
        <f>IF(D169="FVC7", IF(COUNTIF(特殊門市清單!N:N, B169)=0, "FVC7", VLOOKUP(B169,特殊門市清單!N:T,7,FALSE)), IF(AA169="v","Peplink",""))</f>
        <v/>
      </c>
      <c r="AA169" s="218" t="str">
        <f>IFERROR(VLOOKUP(B169,門市狀態!A:D,4,FALSE),"")</f>
        <v/>
      </c>
      <c r="AB169" s="224" t="str">
        <f>VLOOKUP(B169,門市總表!A:B,2,FALSE)</f>
        <v>新莊祐信店</v>
      </c>
      <c r="AC169" s="259"/>
      <c r="AD169" s="224"/>
      <c r="AE169" s="224"/>
      <c r="AF169" s="224" t="s">
        <v>4992</v>
      </c>
      <c r="AG169" s="248" t="s">
        <v>102</v>
      </c>
      <c r="AH169" s="224"/>
    </row>
    <row r="170" spans="1:35" ht="21.6" customHeight="1">
      <c r="A170" s="2">
        <v>169</v>
      </c>
      <c r="B170" s="2">
        <v>4163</v>
      </c>
      <c r="C170" s="4" t="s">
        <v>771</v>
      </c>
      <c r="D170" s="2" t="s">
        <v>4986</v>
      </c>
      <c r="F170" s="2" t="s">
        <v>5012</v>
      </c>
      <c r="G170" s="2" t="s">
        <v>5282</v>
      </c>
      <c r="H170" s="78" t="s">
        <v>5283</v>
      </c>
      <c r="I170" s="4" t="s">
        <v>5344</v>
      </c>
      <c r="J170" s="5" t="s">
        <v>5345</v>
      </c>
      <c r="U170" s="222" t="str">
        <f t="shared" si="11"/>
        <v>新北市</v>
      </c>
      <c r="V170" s="223" t="str">
        <f t="shared" si="9"/>
        <v>新莊區</v>
      </c>
      <c r="W170" s="223" t="str">
        <f t="shared" si="10"/>
        <v>中誠街161號及163號一樓全部</v>
      </c>
      <c r="X170" s="2" t="s">
        <v>326</v>
      </c>
      <c r="Y170" s="2" t="str">
        <f>VLOOKUP(V170,門市狀態!G:H,2,FALSE)</f>
        <v>湯家瑋</v>
      </c>
      <c r="Z170" s="218" t="str">
        <f>IF(D170="FVC7", IF(COUNTIF(特殊門市清單!N:N, B170)=0, "FVC7", VLOOKUP(B170,特殊門市清單!N:T,7,FALSE)), IF(AA170="v","Peplink",""))</f>
        <v/>
      </c>
      <c r="AA170" s="218" t="str">
        <f>IFERROR(VLOOKUP(B170,門市狀態!A:D,4,FALSE),"")</f>
        <v/>
      </c>
      <c r="AB170" s="224" t="str">
        <f>VLOOKUP(B170,門市總表!A:B,2,FALSE)</f>
        <v>新莊中泉店</v>
      </c>
      <c r="AC170" s="259"/>
      <c r="AD170" s="224"/>
      <c r="AE170" s="224"/>
      <c r="AF170" s="224" t="s">
        <v>4992</v>
      </c>
      <c r="AG170" s="248" t="s">
        <v>102</v>
      </c>
      <c r="AH170" s="224" t="s">
        <v>103</v>
      </c>
    </row>
    <row r="171" spans="1:35" ht="21.6" customHeight="1">
      <c r="A171" s="2">
        <v>170</v>
      </c>
      <c r="B171" s="2">
        <v>5057</v>
      </c>
      <c r="C171" s="4" t="s">
        <v>1355</v>
      </c>
      <c r="D171" s="2" t="s">
        <v>4993</v>
      </c>
      <c r="F171" s="2" t="s">
        <v>5012</v>
      </c>
      <c r="G171" s="2" t="s">
        <v>5282</v>
      </c>
      <c r="H171" s="78" t="s">
        <v>5283</v>
      </c>
      <c r="I171" s="4" t="s">
        <v>5346</v>
      </c>
      <c r="J171" s="5" t="s">
        <v>5347</v>
      </c>
      <c r="U171" s="222" t="str">
        <f t="shared" si="11"/>
        <v>新北市</v>
      </c>
      <c r="V171" s="223" t="str">
        <f t="shared" si="9"/>
        <v>新莊區</v>
      </c>
      <c r="W171" s="223" t="str">
        <f t="shared" si="10"/>
        <v>中港路84號1樓</v>
      </c>
      <c r="X171" s="2" t="s">
        <v>326</v>
      </c>
      <c r="Y171" s="2" t="str">
        <f>VLOOKUP(V171,門市狀態!G:H,2,FALSE)</f>
        <v>湯家瑋</v>
      </c>
      <c r="Z171" s="218" t="str">
        <f>IF(D171="FVC7", IF(COUNTIF(特殊門市清單!N:N, B171)=0, "FVC7", VLOOKUP(B171,特殊門市清單!N:T,7,FALSE)), IF(AA171="v","Peplink",""))</f>
        <v/>
      </c>
      <c r="AA171" s="218" t="str">
        <f>IFERROR(VLOOKUP(B171,門市狀態!A:D,4,FALSE),"")</f>
        <v/>
      </c>
      <c r="AB171" s="224" t="str">
        <f>VLOOKUP(B171,門市總表!A:B,2,FALSE)</f>
        <v>新莊中港店</v>
      </c>
      <c r="AC171" s="259"/>
      <c r="AD171" s="224"/>
      <c r="AE171" s="224" t="s">
        <v>4985</v>
      </c>
      <c r="AF171" s="224" t="s">
        <v>4992</v>
      </c>
      <c r="AG171" s="248" t="s">
        <v>102</v>
      </c>
      <c r="AH171" s="224" t="s">
        <v>103</v>
      </c>
    </row>
    <row r="172" spans="1:35" ht="21.6" customHeight="1">
      <c r="A172" s="2">
        <v>171</v>
      </c>
      <c r="B172" s="2">
        <v>2362</v>
      </c>
      <c r="C172" s="4" t="s">
        <v>1642</v>
      </c>
      <c r="D172" s="2" t="s">
        <v>4986</v>
      </c>
      <c r="F172" s="2" t="s">
        <v>5012</v>
      </c>
      <c r="G172" s="2" t="s">
        <v>5348</v>
      </c>
      <c r="H172" s="78" t="s">
        <v>5349</v>
      </c>
      <c r="I172" s="4" t="s">
        <v>5350</v>
      </c>
      <c r="J172" s="5" t="s">
        <v>5351</v>
      </c>
      <c r="U172" s="222" t="str">
        <f t="shared" si="11"/>
        <v>新北市</v>
      </c>
      <c r="V172" s="223" t="str">
        <f t="shared" si="9"/>
        <v>新莊區</v>
      </c>
      <c r="W172" s="223" t="str">
        <f t="shared" si="10"/>
        <v>化成路85號</v>
      </c>
      <c r="X172" s="2" t="s">
        <v>326</v>
      </c>
      <c r="Y172" s="2" t="str">
        <f>VLOOKUP(V172,門市狀態!G:H,2,FALSE)</f>
        <v>湯家瑋</v>
      </c>
      <c r="Z172" s="218" t="str">
        <f>IF(D172="FVC7", IF(COUNTIF(特殊門市清單!N:N, B172)=0, "FVC7", VLOOKUP(B172,特殊門市清單!N:T,7,FALSE)), IF(AA172="v","Peplink",""))</f>
        <v/>
      </c>
      <c r="AA172" s="218" t="str">
        <f>IFERROR(VLOOKUP(B172,門市狀態!A:D,4,FALSE),"")</f>
        <v/>
      </c>
      <c r="AB172" s="224" t="str">
        <f>VLOOKUP(B172,門市總表!A:B,2,FALSE)</f>
        <v>新莊化成店</v>
      </c>
      <c r="AC172" s="259"/>
      <c r="AD172" s="224"/>
      <c r="AE172" s="224"/>
      <c r="AF172" s="224" t="s">
        <v>4992</v>
      </c>
      <c r="AG172" s="248" t="s">
        <v>102</v>
      </c>
      <c r="AH172" s="224" t="s">
        <v>103</v>
      </c>
    </row>
    <row r="173" spans="1:35" ht="21.6" customHeight="1">
      <c r="A173" s="2">
        <v>172</v>
      </c>
      <c r="B173" s="2">
        <v>3652</v>
      </c>
      <c r="C173" s="4" t="s">
        <v>940</v>
      </c>
      <c r="D173" s="2" t="s">
        <v>4986</v>
      </c>
      <c r="F173" s="2" t="s">
        <v>5012</v>
      </c>
      <c r="G173" s="2" t="s">
        <v>5348</v>
      </c>
      <c r="H173" s="78" t="s">
        <v>5349</v>
      </c>
      <c r="I173" s="4" t="s">
        <v>5352</v>
      </c>
      <c r="J173" s="5" t="s">
        <v>5353</v>
      </c>
      <c r="U173" s="222" t="str">
        <f t="shared" si="11"/>
        <v>新北市</v>
      </c>
      <c r="V173" s="223" t="str">
        <f t="shared" si="9"/>
        <v>新莊區</v>
      </c>
      <c r="W173" s="223" t="str">
        <f t="shared" si="10"/>
        <v>民樂街80、82號一樓</v>
      </c>
      <c r="X173" s="2" t="s">
        <v>326</v>
      </c>
      <c r="Y173" s="2" t="str">
        <f>VLOOKUP(V173,門市狀態!G:H,2,FALSE)</f>
        <v>湯家瑋</v>
      </c>
      <c r="Z173" s="218" t="str">
        <f>IF(D173="FVC7", IF(COUNTIF(特殊門市清單!N:N, B173)=0, "FVC7", VLOOKUP(B173,特殊門市清單!N:T,7,FALSE)), IF(AA173="v","Peplink",""))</f>
        <v/>
      </c>
      <c r="AA173" s="218" t="str">
        <f>IFERROR(VLOOKUP(B173,門市狀態!A:D,4,FALSE),"")</f>
        <v/>
      </c>
      <c r="AB173" s="224" t="str">
        <f>VLOOKUP(B173,門市總表!A:B,2,FALSE)</f>
        <v>新莊莊民店</v>
      </c>
      <c r="AC173" s="259"/>
      <c r="AD173" s="224"/>
      <c r="AE173" s="224"/>
      <c r="AF173" s="224" t="s">
        <v>4992</v>
      </c>
      <c r="AG173" s="248" t="s">
        <v>102</v>
      </c>
      <c r="AH173" s="224" t="s">
        <v>103</v>
      </c>
    </row>
    <row r="174" spans="1:35" ht="21.6" customHeight="1">
      <c r="A174" s="2">
        <v>173</v>
      </c>
      <c r="B174" s="2">
        <v>4144</v>
      </c>
      <c r="C174" s="4" t="s">
        <v>1005</v>
      </c>
      <c r="D174" s="2" t="s">
        <v>4986</v>
      </c>
      <c r="F174" s="2" t="s">
        <v>5012</v>
      </c>
      <c r="G174" s="2" t="s">
        <v>5348</v>
      </c>
      <c r="H174" s="78" t="s">
        <v>5349</v>
      </c>
      <c r="I174" s="4" t="s">
        <v>5354</v>
      </c>
      <c r="J174" s="5" t="s">
        <v>5355</v>
      </c>
      <c r="U174" s="222" t="str">
        <f t="shared" ref="U174:U205" si="12">IFERROR(LEFT(J174,FIND("縣",J174)),IFERROR(LEFT(J174,FIND("市",J174)),J174))</f>
        <v>新北市</v>
      </c>
      <c r="V174" s="223" t="str">
        <f t="shared" si="9"/>
        <v>新莊區</v>
      </c>
      <c r="W174" s="223" t="str">
        <f t="shared" si="10"/>
        <v>化成路414號及416號一樓全部</v>
      </c>
      <c r="X174" s="2" t="s">
        <v>326</v>
      </c>
      <c r="Y174" s="2" t="str">
        <f>VLOOKUP(V174,門市狀態!G:H,2,FALSE)</f>
        <v>湯家瑋</v>
      </c>
      <c r="Z174" s="218" t="str">
        <f>IF(D174="FVC7", IF(COUNTIF(特殊門市清單!N:N, B174)=0, "FVC7", VLOOKUP(B174,特殊門市清單!N:T,7,FALSE)), IF(AA174="v","Peplink",""))</f>
        <v/>
      </c>
      <c r="AA174" s="218" t="str">
        <f>IFERROR(VLOOKUP(B174,門市狀態!A:D,4,FALSE),"")</f>
        <v/>
      </c>
      <c r="AB174" s="224" t="str">
        <f>VLOOKUP(B174,門市總表!A:B,2,FALSE)</f>
        <v>新莊頭前店</v>
      </c>
      <c r="AC174" s="259"/>
      <c r="AD174" s="224"/>
      <c r="AE174" s="224"/>
      <c r="AF174" s="224" t="s">
        <v>4992</v>
      </c>
      <c r="AG174" s="248" t="s">
        <v>102</v>
      </c>
      <c r="AH174" s="224" t="s">
        <v>103</v>
      </c>
    </row>
    <row r="175" spans="1:35" ht="21.6" customHeight="1">
      <c r="A175" s="2">
        <v>174</v>
      </c>
      <c r="B175" s="6">
        <v>4194</v>
      </c>
      <c r="C175" s="4" t="s">
        <v>884</v>
      </c>
      <c r="D175" s="2" t="s">
        <v>4998</v>
      </c>
      <c r="F175" s="2" t="s">
        <v>5012</v>
      </c>
      <c r="G175" s="2" t="s">
        <v>5348</v>
      </c>
      <c r="H175" s="78" t="s">
        <v>5349</v>
      </c>
      <c r="I175" s="4" t="s">
        <v>5356</v>
      </c>
      <c r="J175" s="5" t="s">
        <v>5357</v>
      </c>
      <c r="U175" s="222" t="str">
        <f t="shared" si="12"/>
        <v>新北市</v>
      </c>
      <c r="V175" s="223" t="str">
        <f t="shared" si="9"/>
        <v>新莊區</v>
      </c>
      <c r="W175" s="223" t="str">
        <f t="shared" si="10"/>
        <v>福美街98號及福德二街57號</v>
      </c>
      <c r="X175" s="2" t="s">
        <v>326</v>
      </c>
      <c r="Y175" s="2" t="str">
        <f>VLOOKUP(V175,門市狀態!G:H,2,FALSE)</f>
        <v>湯家瑋</v>
      </c>
      <c r="Z175" s="218" t="str">
        <f>IF(D175="FVC7", IF(COUNTIF(特殊門市清單!N:N, B175)=0, "FVC7", VLOOKUP(B175,特殊門市清單!N:T,7,FALSE)), IF(AA175="v","Peplink",""))</f>
        <v/>
      </c>
      <c r="AA175" s="218" t="str">
        <f>IFERROR(VLOOKUP(B175,門市狀態!A:D,4,FALSE),"")</f>
        <v/>
      </c>
      <c r="AB175" s="224" t="str">
        <f>VLOOKUP(B175,門市總表!A:B,2,FALSE)</f>
        <v>新莊鼎苑店</v>
      </c>
      <c r="AC175" s="259"/>
      <c r="AD175" s="224"/>
      <c r="AE175" s="224"/>
      <c r="AF175" s="224" t="s">
        <v>4992</v>
      </c>
      <c r="AG175" s="248" t="s">
        <v>102</v>
      </c>
      <c r="AH175" s="224" t="s">
        <v>103</v>
      </c>
    </row>
    <row r="176" spans="1:35" ht="21.6" customHeight="1">
      <c r="A176" s="2">
        <v>175</v>
      </c>
      <c r="B176" s="2">
        <v>4341</v>
      </c>
      <c r="C176" s="4" t="s">
        <v>767</v>
      </c>
      <c r="D176" s="2" t="s">
        <v>4986</v>
      </c>
      <c r="F176" s="2" t="s">
        <v>5012</v>
      </c>
      <c r="G176" s="2" t="s">
        <v>5348</v>
      </c>
      <c r="H176" s="78" t="s">
        <v>5349</v>
      </c>
      <c r="I176" s="4" t="s">
        <v>5358</v>
      </c>
      <c r="J176" s="5" t="s">
        <v>5359</v>
      </c>
      <c r="U176" s="222" t="str">
        <f t="shared" si="12"/>
        <v>新北市</v>
      </c>
      <c r="V176" s="223" t="str">
        <f t="shared" si="9"/>
        <v>新莊區</v>
      </c>
      <c r="W176" s="223" t="str">
        <f t="shared" si="10"/>
        <v>中誠街55號1樓、53巷2號1樓</v>
      </c>
      <c r="X176" s="2" t="s">
        <v>326</v>
      </c>
      <c r="Y176" s="2" t="str">
        <f>VLOOKUP(V176,門市狀態!G:H,2,FALSE)</f>
        <v>湯家瑋</v>
      </c>
      <c r="Z176" s="218" t="str">
        <f>IF(D176="FVC7", IF(COUNTIF(特殊門市清單!N:N, B176)=0, "FVC7", VLOOKUP(B176,特殊門市清單!N:T,7,FALSE)), IF(AA176="v","Peplink",""))</f>
        <v/>
      </c>
      <c r="AA176" s="218" t="str">
        <f>IFERROR(VLOOKUP(B176,門市狀態!A:D,4,FALSE),"")</f>
        <v/>
      </c>
      <c r="AB176" s="224" t="str">
        <f>VLOOKUP(B176,門市總表!A:B,2,FALSE)</f>
        <v>新莊莊美店</v>
      </c>
      <c r="AC176" s="259"/>
      <c r="AD176" s="224"/>
      <c r="AE176" s="224"/>
      <c r="AF176" s="224" t="s">
        <v>4992</v>
      </c>
      <c r="AG176" s="248" t="s">
        <v>102</v>
      </c>
      <c r="AH176" s="224" t="s">
        <v>103</v>
      </c>
    </row>
    <row r="177" spans="1:34" ht="21.6" customHeight="1">
      <c r="A177" s="2">
        <v>176</v>
      </c>
      <c r="B177" s="2">
        <v>4679</v>
      </c>
      <c r="C177" s="4" t="s">
        <v>1174</v>
      </c>
      <c r="D177" s="2" t="s">
        <v>4986</v>
      </c>
      <c r="F177" s="2" t="s">
        <v>5012</v>
      </c>
      <c r="G177" s="2" t="s">
        <v>5348</v>
      </c>
      <c r="H177" s="78" t="s">
        <v>5349</v>
      </c>
      <c r="I177" s="4" t="s">
        <v>5360</v>
      </c>
      <c r="J177" s="5" t="s">
        <v>5361</v>
      </c>
      <c r="U177" s="222" t="str">
        <f t="shared" si="12"/>
        <v>新北市</v>
      </c>
      <c r="V177" s="223" t="str">
        <f t="shared" si="9"/>
        <v>新莊區</v>
      </c>
      <c r="W177" s="223" t="str">
        <f t="shared" si="10"/>
        <v>幸福東路149、151號一樓</v>
      </c>
      <c r="X177" s="2" t="s">
        <v>326</v>
      </c>
      <c r="Y177" s="2" t="str">
        <f>VLOOKUP(V177,門市狀態!G:H,2,FALSE)</f>
        <v>湯家瑋</v>
      </c>
      <c r="Z177" s="218" t="str">
        <f>IF(D177="FVC7", IF(COUNTIF(特殊門市清單!N:N, B177)=0, "FVC7", VLOOKUP(B177,特殊門市清單!N:T,7,FALSE)), IF(AA177="v","Peplink",""))</f>
        <v/>
      </c>
      <c r="AA177" s="218" t="str">
        <f>IFERROR(VLOOKUP(B177,門市狀態!A:D,4,FALSE),"")</f>
        <v/>
      </c>
      <c r="AB177" s="224" t="str">
        <f>VLOOKUP(B177,門市總表!A:B,2,FALSE)</f>
        <v>新莊幸運店</v>
      </c>
      <c r="AC177" s="259"/>
      <c r="AD177" s="224"/>
      <c r="AE177" s="224"/>
      <c r="AF177" s="224" t="s">
        <v>4992</v>
      </c>
      <c r="AG177" s="248" t="s">
        <v>102</v>
      </c>
      <c r="AH177" s="224" t="s">
        <v>103</v>
      </c>
    </row>
    <row r="178" spans="1:34" ht="21.6" customHeight="1">
      <c r="A178" s="2">
        <v>177</v>
      </c>
      <c r="B178" s="2">
        <v>4701</v>
      </c>
      <c r="C178" s="4" t="s">
        <v>888</v>
      </c>
      <c r="D178" s="2" t="s">
        <v>4986</v>
      </c>
      <c r="F178" s="2" t="s">
        <v>5012</v>
      </c>
      <c r="G178" s="2" t="s">
        <v>5348</v>
      </c>
      <c r="H178" s="78" t="s">
        <v>5349</v>
      </c>
      <c r="I178" s="4" t="s">
        <v>5362</v>
      </c>
      <c r="J178" s="5" t="s">
        <v>5363</v>
      </c>
      <c r="U178" s="222" t="str">
        <f t="shared" si="12"/>
        <v>新北市</v>
      </c>
      <c r="V178" s="223" t="str">
        <f t="shared" si="9"/>
        <v>新莊區</v>
      </c>
      <c r="W178" s="223" t="str">
        <f t="shared" si="10"/>
        <v>昌平街96、98號一樓</v>
      </c>
      <c r="X178" s="2" t="s">
        <v>326</v>
      </c>
      <c r="Y178" s="2" t="str">
        <f>VLOOKUP(V178,門市狀態!G:H,2,FALSE)</f>
        <v>湯家瑋</v>
      </c>
      <c r="Z178" s="218" t="str">
        <f>IF(D178="FVC7", IF(COUNTIF(特殊門市清單!N:N, B178)=0, "FVC7", VLOOKUP(B178,特殊門市清單!N:T,7,FALSE)), IF(AA178="v","Peplink",""))</f>
        <v/>
      </c>
      <c r="AA178" s="218" t="str">
        <f>IFERROR(VLOOKUP(B178,門市狀態!A:D,4,FALSE),"")</f>
        <v/>
      </c>
      <c r="AB178" s="224" t="str">
        <f>VLOOKUP(B178,門市總表!A:B,2,FALSE)</f>
        <v>新莊昌平店</v>
      </c>
      <c r="AC178" s="259"/>
      <c r="AD178" s="224"/>
      <c r="AE178" s="224"/>
      <c r="AF178" s="224" t="s">
        <v>4992</v>
      </c>
      <c r="AG178" s="248" t="s">
        <v>102</v>
      </c>
      <c r="AH178" s="224" t="s">
        <v>103</v>
      </c>
    </row>
    <row r="179" spans="1:34" ht="21.6" customHeight="1">
      <c r="A179" s="2">
        <v>178</v>
      </c>
      <c r="B179" s="6">
        <v>4762</v>
      </c>
      <c r="C179" s="4" t="s">
        <v>896</v>
      </c>
      <c r="D179" s="2" t="s">
        <v>4998</v>
      </c>
      <c r="F179" s="2" t="s">
        <v>5012</v>
      </c>
      <c r="G179" s="2" t="s">
        <v>5348</v>
      </c>
      <c r="H179" s="78" t="s">
        <v>5349</v>
      </c>
      <c r="I179" s="4" t="s">
        <v>5364</v>
      </c>
      <c r="J179" s="5" t="s">
        <v>5365</v>
      </c>
      <c r="U179" s="222" t="str">
        <f t="shared" si="12"/>
        <v>新北市</v>
      </c>
      <c r="V179" s="223" t="str">
        <f t="shared" si="9"/>
        <v>新莊區</v>
      </c>
      <c r="W179" s="223" t="str">
        <f t="shared" si="10"/>
        <v>思源路419巷1弄3、5號</v>
      </c>
      <c r="X179" s="2" t="s">
        <v>326</v>
      </c>
      <c r="Y179" s="2" t="str">
        <f>VLOOKUP(V179,門市狀態!G:H,2,FALSE)</f>
        <v>湯家瑋</v>
      </c>
      <c r="Z179" s="218" t="str">
        <f>IF(D179="FVC7", IF(COUNTIF(特殊門市清單!N:N, B179)=0, "FVC7", VLOOKUP(B179,特殊門市清單!N:T,7,FALSE)), IF(AA179="v","Peplink",""))</f>
        <v/>
      </c>
      <c r="AA179" s="218" t="str">
        <f>IFERROR(VLOOKUP(B179,門市狀態!A:D,4,FALSE),"")</f>
        <v/>
      </c>
      <c r="AB179" s="224" t="str">
        <f>VLOOKUP(B179,門市總表!A:B,2,FALSE)</f>
        <v>新莊巷口店</v>
      </c>
      <c r="AC179" s="259"/>
      <c r="AD179" s="224"/>
      <c r="AE179" s="224" t="s">
        <v>4985</v>
      </c>
      <c r="AF179" s="224" t="s">
        <v>4992</v>
      </c>
      <c r="AG179" s="248" t="s">
        <v>102</v>
      </c>
      <c r="AH179" s="224" t="s">
        <v>103</v>
      </c>
    </row>
    <row r="180" spans="1:34" ht="21.6" customHeight="1">
      <c r="A180" s="2">
        <v>179</v>
      </c>
      <c r="B180" s="2">
        <v>4856</v>
      </c>
      <c r="C180" s="4" t="s">
        <v>1437</v>
      </c>
      <c r="D180" s="2" t="s">
        <v>4986</v>
      </c>
      <c r="F180" s="2" t="s">
        <v>5012</v>
      </c>
      <c r="G180" s="2" t="s">
        <v>5348</v>
      </c>
      <c r="H180" s="78" t="s">
        <v>5349</v>
      </c>
      <c r="I180" s="4" t="s">
        <v>5366</v>
      </c>
      <c r="J180" s="5" t="s">
        <v>5367</v>
      </c>
      <c r="U180" s="222" t="str">
        <f t="shared" si="12"/>
        <v>新北市</v>
      </c>
      <c r="V180" s="223" t="str">
        <f t="shared" si="9"/>
        <v>新莊區</v>
      </c>
      <c r="W180" s="223" t="str">
        <f t="shared" si="10"/>
        <v xml:space="preserve">中港三街5及7號 </v>
      </c>
      <c r="X180" s="2" t="s">
        <v>326</v>
      </c>
      <c r="Y180" s="2" t="str">
        <f>VLOOKUP(V180,門市狀態!G:H,2,FALSE)</f>
        <v>湯家瑋</v>
      </c>
      <c r="Z180" s="218" t="str">
        <f>IF(D180="FVC7", IF(COUNTIF(特殊門市清單!N:N, B180)=0, "FVC7", VLOOKUP(B180,特殊門市清單!N:T,7,FALSE)), IF(AA180="v","Peplink",""))</f>
        <v/>
      </c>
      <c r="AA180" s="218" t="str">
        <f>IFERROR(VLOOKUP(B180,門市狀態!A:D,4,FALSE),"")</f>
        <v/>
      </c>
      <c r="AB180" s="224" t="str">
        <f>VLOOKUP(B180,門市總表!A:B,2,FALSE)</f>
        <v>新莊小胖店</v>
      </c>
      <c r="AC180" s="259"/>
      <c r="AD180" s="224"/>
      <c r="AE180" s="224" t="s">
        <v>4985</v>
      </c>
      <c r="AF180" s="224" t="s">
        <v>4992</v>
      </c>
      <c r="AG180" s="248" t="s">
        <v>102</v>
      </c>
      <c r="AH180" s="224" t="s">
        <v>103</v>
      </c>
    </row>
    <row r="181" spans="1:34" ht="21.6" customHeight="1">
      <c r="A181" s="2">
        <v>180</v>
      </c>
      <c r="B181" s="2">
        <v>4228</v>
      </c>
      <c r="C181" s="4" t="s">
        <v>158</v>
      </c>
      <c r="D181" s="2" t="s">
        <v>4998</v>
      </c>
      <c r="F181" s="2" t="s">
        <v>5012</v>
      </c>
      <c r="G181" s="2" t="s">
        <v>5286</v>
      </c>
      <c r="H181" s="78" t="s">
        <v>5287</v>
      </c>
      <c r="I181" s="4" t="s">
        <v>5368</v>
      </c>
      <c r="J181" s="5" t="s">
        <v>5369</v>
      </c>
      <c r="U181" s="222" t="str">
        <f t="shared" si="12"/>
        <v>新北市</v>
      </c>
      <c r="V181" s="223" t="str">
        <f t="shared" si="9"/>
        <v>新莊區</v>
      </c>
      <c r="W181" s="223" t="str">
        <f t="shared" si="10"/>
        <v>頭前路125、127號一樓全部</v>
      </c>
      <c r="X181" s="2" t="s">
        <v>326</v>
      </c>
      <c r="Y181" s="2" t="str">
        <f>VLOOKUP(V181,門市狀態!G:H,2,FALSE)</f>
        <v>湯家瑋</v>
      </c>
      <c r="Z181" s="218" t="str">
        <f>IF(D181="FVC7", IF(COUNTIF(特殊門市清單!N:N, B181)=0, "FVC7", VLOOKUP(B181,特殊門市清單!N:T,7,FALSE)), IF(AA181="v","Peplink",""))</f>
        <v/>
      </c>
      <c r="AA181" s="218" t="str">
        <f>IFERROR(VLOOKUP(B181,門市狀態!A:D,4,FALSE),"")</f>
        <v/>
      </c>
      <c r="AB181" s="224" t="str">
        <f>VLOOKUP(B181,門市總表!A:B,2,FALSE)</f>
        <v>新莊頭前公園</v>
      </c>
      <c r="AC181" s="259"/>
      <c r="AD181" s="224"/>
      <c r="AE181" s="224"/>
      <c r="AF181" s="224" t="s">
        <v>4992</v>
      </c>
      <c r="AG181" s="248" t="s">
        <v>102</v>
      </c>
      <c r="AH181" s="224"/>
    </row>
    <row r="182" spans="1:34" ht="21.6" customHeight="1">
      <c r="A182" s="2">
        <v>181</v>
      </c>
      <c r="B182" s="2">
        <v>4552</v>
      </c>
      <c r="C182" s="4" t="s">
        <v>1483</v>
      </c>
      <c r="D182" s="2" t="s">
        <v>4986</v>
      </c>
      <c r="F182" s="2" t="s">
        <v>5012</v>
      </c>
      <c r="G182" s="2" t="s">
        <v>5286</v>
      </c>
      <c r="H182" s="78" t="s">
        <v>5287</v>
      </c>
      <c r="I182" s="4" t="s">
        <v>5370</v>
      </c>
      <c r="J182" s="5" t="s">
        <v>5371</v>
      </c>
      <c r="U182" s="222" t="str">
        <f t="shared" si="12"/>
        <v>新北市</v>
      </c>
      <c r="V182" s="223" t="str">
        <f t="shared" si="9"/>
        <v>新莊區</v>
      </c>
      <c r="W182" s="223" t="str">
        <f t="shared" si="10"/>
        <v>化成路519號一樓</v>
      </c>
      <c r="X182" s="2" t="s">
        <v>326</v>
      </c>
      <c r="Y182" s="2" t="str">
        <f>VLOOKUP(V182,門市狀態!G:H,2,FALSE)</f>
        <v>湯家瑋</v>
      </c>
      <c r="Z182" s="218" t="str">
        <f>IF(D182="FVC7", IF(COUNTIF(特殊門市清單!N:N, B182)=0, "FVC7", VLOOKUP(B182,特殊門市清單!N:T,7,FALSE)), IF(AA182="v","Peplink",""))</f>
        <v/>
      </c>
      <c r="AA182" s="218" t="str">
        <f>IFERROR(VLOOKUP(B182,門市狀態!A:D,4,FALSE),"")</f>
        <v/>
      </c>
      <c r="AB182" s="224" t="str">
        <f>VLOOKUP(B182,門市總表!A:B,2,FALSE)</f>
        <v>新莊福慧店</v>
      </c>
      <c r="AC182" s="259"/>
      <c r="AD182" s="224"/>
      <c r="AE182" s="224"/>
      <c r="AF182" s="224" t="s">
        <v>4992</v>
      </c>
      <c r="AG182" s="248" t="s">
        <v>102</v>
      </c>
      <c r="AH182" s="224"/>
    </row>
    <row r="183" spans="1:34" ht="21.6" customHeight="1">
      <c r="A183" s="2">
        <v>182</v>
      </c>
      <c r="B183" s="2">
        <v>5513</v>
      </c>
      <c r="C183" s="4" t="s">
        <v>87</v>
      </c>
      <c r="D183" s="2"/>
      <c r="F183" s="2"/>
      <c r="G183" s="2"/>
      <c r="H183" s="78"/>
      <c r="J183" s="5" t="s">
        <v>490</v>
      </c>
      <c r="U183" s="222" t="str">
        <f t="shared" si="12"/>
        <v>新北市</v>
      </c>
      <c r="V183" s="223" t="str">
        <f t="shared" si="9"/>
        <v>新莊區</v>
      </c>
      <c r="W183" s="223" t="str">
        <f t="shared" si="10"/>
        <v/>
      </c>
      <c r="X183" s="2" t="s">
        <v>326</v>
      </c>
      <c r="Y183" s="2" t="str">
        <f>VLOOKUP(V183,門市狀態!G:H,2,FALSE)</f>
        <v>湯家瑋</v>
      </c>
      <c r="Z183" s="218" t="str">
        <f>IF(D183="FVC7", IF(COUNTIF(特殊門市清單!N:N, B183)=0, "FVC7", VLOOKUP(B183,特殊門市清單!N:T,7,FALSE)), IF(AA183="v","Peplink",""))</f>
        <v/>
      </c>
      <c r="AA183" s="218" t="str">
        <f>IFERROR(VLOOKUP(B183,門市狀態!A:D,4,FALSE),"")</f>
        <v>新開</v>
      </c>
      <c r="AB183" s="224" t="str">
        <f>VLOOKUP(B183,門市總表!A:B,2,FALSE)</f>
        <v>新莊A3站</v>
      </c>
      <c r="AC183" s="259"/>
      <c r="AD183" s="224"/>
      <c r="AE183" s="224"/>
      <c r="AF183" s="224" t="s">
        <v>4992</v>
      </c>
      <c r="AG183" s="248" t="s">
        <v>102</v>
      </c>
      <c r="AH183" s="224"/>
    </row>
    <row r="184" spans="1:34" ht="21.6" customHeight="1">
      <c r="A184" s="2">
        <v>183</v>
      </c>
      <c r="B184" s="2">
        <v>5291</v>
      </c>
      <c r="C184" s="4" t="s">
        <v>254</v>
      </c>
      <c r="D184" s="2"/>
      <c r="F184" s="2"/>
      <c r="G184" s="2"/>
      <c r="H184" s="78"/>
      <c r="J184" s="5" t="s">
        <v>5372</v>
      </c>
      <c r="U184" s="222" t="str">
        <f t="shared" si="12"/>
        <v>新北市</v>
      </c>
      <c r="V184" s="223" t="str">
        <f t="shared" si="9"/>
        <v>新莊區</v>
      </c>
      <c r="W184" s="223" t="str">
        <f t="shared" si="10"/>
        <v> 建國二路10號一樓 </v>
      </c>
      <c r="X184" s="2" t="s">
        <v>326</v>
      </c>
      <c r="Y184" s="2" t="str">
        <f>VLOOKUP(V184,門市狀態!G:H,2,FALSE)</f>
        <v>湯家瑋</v>
      </c>
      <c r="Z184" s="218" t="str">
        <f>IF(D184="FVC7", IF(COUNTIF(特殊門市清單!N:N, B184)=0, "FVC7", VLOOKUP(B184,特殊門市清單!N:T,7,FALSE)), IF(AA184="v","Peplink",""))</f>
        <v/>
      </c>
      <c r="AA184" s="218" t="str">
        <f>IFERROR(VLOOKUP(B184,門市狀態!A:D,4,FALSE),"")</f>
        <v/>
      </c>
      <c r="AB184" s="224" t="str">
        <f>VLOOKUP(B184,門市總表!A:B,2,FALSE)</f>
        <v>新莊國家置地</v>
      </c>
      <c r="AC184" s="259"/>
      <c r="AD184" s="224"/>
      <c r="AE184" s="224"/>
      <c r="AF184" s="224" t="s">
        <v>4992</v>
      </c>
      <c r="AG184" s="248" t="s">
        <v>102</v>
      </c>
      <c r="AH184" s="224" t="s">
        <v>103</v>
      </c>
    </row>
    <row r="185" spans="1:34" ht="21.6" customHeight="1">
      <c r="A185" s="2">
        <v>184</v>
      </c>
      <c r="B185" s="2" t="s">
        <v>75</v>
      </c>
      <c r="C185" s="4" t="s">
        <v>2235</v>
      </c>
      <c r="D185" s="2" t="s">
        <v>4982</v>
      </c>
      <c r="F185" s="2" t="s">
        <v>5012</v>
      </c>
      <c r="G185" s="2" t="s">
        <v>5313</v>
      </c>
      <c r="H185" s="78" t="s">
        <v>5314</v>
      </c>
      <c r="I185" s="4" t="s">
        <v>5373</v>
      </c>
      <c r="J185" s="5" t="s">
        <v>5374</v>
      </c>
      <c r="U185" s="222" t="str">
        <f t="shared" si="12"/>
        <v>新北市</v>
      </c>
      <c r="V185" s="223" t="str">
        <f t="shared" si="9"/>
        <v>蘆洲區</v>
      </c>
      <c r="W185" s="223" t="str">
        <f t="shared" si="10"/>
        <v>集賢路407號</v>
      </c>
      <c r="X185" s="2" t="s">
        <v>326</v>
      </c>
      <c r="Y185" s="2" t="str">
        <f>VLOOKUP(V185,門市狀態!G:H,2,FALSE)</f>
        <v>湯家瑋</v>
      </c>
      <c r="Z185" s="218" t="str">
        <f>IF(D185="FVC7", IF(COUNTIF(特殊門市清單!N:N, B185)=0, "FVC7", VLOOKUP(B185,特殊門市清單!N:T,7,FALSE)), IF(AA185="v","Peplink",""))</f>
        <v>萊到店 WebPOS</v>
      </c>
      <c r="AA185" s="218" t="str">
        <f>IFERROR(VLOOKUP(B185,門市狀態!A:D,4,FALSE),"")</f>
        <v/>
      </c>
      <c r="AB185" s="224" t="str">
        <f>VLOOKUP(B185,門市總表!A:B,2,FALSE)</f>
        <v>車麗屋蘆洲店</v>
      </c>
      <c r="AC185" s="259"/>
      <c r="AD185" s="224"/>
      <c r="AE185" s="224"/>
      <c r="AF185" s="224"/>
      <c r="AG185" s="248"/>
      <c r="AH185" s="224"/>
    </row>
    <row r="186" spans="1:34" ht="21.6" customHeight="1">
      <c r="A186" s="2">
        <v>185</v>
      </c>
      <c r="B186" s="2">
        <v>2301</v>
      </c>
      <c r="C186" s="4" t="s">
        <v>1942</v>
      </c>
      <c r="D186" s="2" t="s">
        <v>4998</v>
      </c>
      <c r="F186" s="2" t="s">
        <v>5012</v>
      </c>
      <c r="G186" s="2" t="s">
        <v>5375</v>
      </c>
      <c r="H186" s="78" t="s">
        <v>5376</v>
      </c>
      <c r="I186" s="4" t="s">
        <v>5377</v>
      </c>
      <c r="J186" s="5" t="s">
        <v>5378</v>
      </c>
      <c r="U186" s="222" t="str">
        <f t="shared" si="12"/>
        <v>新北市</v>
      </c>
      <c r="V186" s="223" t="str">
        <f t="shared" si="9"/>
        <v>蘆洲區</v>
      </c>
      <c r="W186" s="223" t="str">
        <f t="shared" si="10"/>
        <v>永平街30號</v>
      </c>
      <c r="X186" s="2" t="s">
        <v>326</v>
      </c>
      <c r="Y186" s="2" t="str">
        <f>VLOOKUP(V186,門市狀態!G:H,2,FALSE)</f>
        <v>湯家瑋</v>
      </c>
      <c r="Z186" s="218" t="str">
        <f>IF(D186="FVC7", IF(COUNTIF(特殊門市清單!N:N, B186)=0, "FVC7", VLOOKUP(B186,特殊門市清單!N:T,7,FALSE)), IF(AA186="v","Peplink",""))</f>
        <v/>
      </c>
      <c r="AA186" s="218" t="str">
        <f>IFERROR(VLOOKUP(B186,門市狀態!A:D,4,FALSE),"")</f>
        <v/>
      </c>
      <c r="AB186" s="224" t="str">
        <f>VLOOKUP(B186,門市總表!A:B,2,FALSE)</f>
        <v>蘆洲樂平店</v>
      </c>
      <c r="AC186" s="259"/>
      <c r="AD186" s="224"/>
      <c r="AE186" s="224"/>
      <c r="AF186" s="224" t="s">
        <v>4992</v>
      </c>
      <c r="AG186" s="248" t="s">
        <v>102</v>
      </c>
      <c r="AH186" s="224" t="s">
        <v>103</v>
      </c>
    </row>
    <row r="187" spans="1:34" ht="21.6" customHeight="1">
      <c r="A187" s="2">
        <v>186</v>
      </c>
      <c r="B187" s="2">
        <v>2890</v>
      </c>
      <c r="C187" s="4" t="s">
        <v>2216</v>
      </c>
      <c r="D187" s="2" t="s">
        <v>4993</v>
      </c>
      <c r="F187" s="2" t="s">
        <v>5012</v>
      </c>
      <c r="G187" s="2" t="s">
        <v>5375</v>
      </c>
      <c r="H187" s="78" t="s">
        <v>5376</v>
      </c>
      <c r="I187" s="4" t="s">
        <v>5379</v>
      </c>
      <c r="J187" s="5" t="s">
        <v>5380</v>
      </c>
      <c r="U187" s="222" t="str">
        <f t="shared" si="12"/>
        <v>新北市</v>
      </c>
      <c r="V187" s="223" t="str">
        <f t="shared" si="9"/>
        <v>蘆洲區</v>
      </c>
      <c r="W187" s="223" t="str">
        <f t="shared" si="10"/>
        <v>鷺江街69號一樓</v>
      </c>
      <c r="X187" s="2" t="s">
        <v>326</v>
      </c>
      <c r="Y187" s="2" t="str">
        <f>VLOOKUP(V187,門市狀態!G:H,2,FALSE)</f>
        <v>湯家瑋</v>
      </c>
      <c r="Z187" s="218" t="str">
        <f>IF(D187="FVC7", IF(COUNTIF(特殊門市清單!N:N, B187)=0, "FVC7", VLOOKUP(B187,特殊門市清單!N:T,7,FALSE)), IF(AA187="v","Peplink",""))</f>
        <v/>
      </c>
      <c r="AA187" s="218" t="str">
        <f>IFERROR(VLOOKUP(B187,門市狀態!A:D,4,FALSE),"")</f>
        <v/>
      </c>
      <c r="AB187" s="224" t="str">
        <f>VLOOKUP(B187,門市總表!A:B,2,FALSE)</f>
        <v>蘆洲鷺江店</v>
      </c>
      <c r="AC187" s="259"/>
      <c r="AD187" s="224"/>
      <c r="AE187" s="224"/>
      <c r="AF187" s="224" t="s">
        <v>4992</v>
      </c>
      <c r="AG187" s="248" t="s">
        <v>102</v>
      </c>
      <c r="AH187" s="224" t="s">
        <v>103</v>
      </c>
    </row>
    <row r="188" spans="1:34" ht="21.6" customHeight="1">
      <c r="A188" s="2">
        <v>187</v>
      </c>
      <c r="B188" s="2">
        <v>2958</v>
      </c>
      <c r="C188" s="4" t="s">
        <v>1770</v>
      </c>
      <c r="D188" s="2" t="s">
        <v>4986</v>
      </c>
      <c r="F188" s="2" t="s">
        <v>5012</v>
      </c>
      <c r="G188" s="2" t="s">
        <v>5375</v>
      </c>
      <c r="H188" s="78" t="s">
        <v>5376</v>
      </c>
      <c r="I188" s="4" t="s">
        <v>5381</v>
      </c>
      <c r="J188" s="5" t="s">
        <v>5382</v>
      </c>
      <c r="U188" s="222" t="str">
        <f t="shared" si="12"/>
        <v>新北市</v>
      </c>
      <c r="V188" s="223" t="str">
        <f t="shared" si="9"/>
        <v>蘆洲區</v>
      </c>
      <c r="W188" s="223" t="str">
        <f t="shared" si="10"/>
        <v>正和街47號</v>
      </c>
      <c r="X188" s="2" t="s">
        <v>326</v>
      </c>
      <c r="Y188" s="2" t="str">
        <f>VLOOKUP(V188,門市狀態!G:H,2,FALSE)</f>
        <v>湯家瑋</v>
      </c>
      <c r="Z188" s="218" t="str">
        <f>IF(D188="FVC7", IF(COUNTIF(特殊門市清單!N:N, B188)=0, "FVC7", VLOOKUP(B188,特殊門市清單!N:T,7,FALSE)), IF(AA188="v","Peplink",""))</f>
        <v/>
      </c>
      <c r="AA188" s="218" t="str">
        <f>IFERROR(VLOOKUP(B188,門市狀態!A:D,4,FALSE),"")</f>
        <v/>
      </c>
      <c r="AB188" s="224" t="str">
        <f>VLOOKUP(B188,門市總表!A:B,2,FALSE)</f>
        <v>北縣蘆旺店</v>
      </c>
      <c r="AC188" s="259"/>
      <c r="AD188" s="224"/>
      <c r="AE188" s="224"/>
      <c r="AF188" s="224" t="s">
        <v>4992</v>
      </c>
      <c r="AG188" s="248" t="s">
        <v>102</v>
      </c>
      <c r="AH188" s="224" t="s">
        <v>103</v>
      </c>
    </row>
    <row r="189" spans="1:34" ht="21.6" customHeight="1">
      <c r="A189" s="2">
        <v>188</v>
      </c>
      <c r="B189" s="2">
        <v>3452</v>
      </c>
      <c r="C189" s="4" t="s">
        <v>1760</v>
      </c>
      <c r="D189" s="2" t="s">
        <v>4993</v>
      </c>
      <c r="F189" s="2" t="s">
        <v>5012</v>
      </c>
      <c r="G189" s="2" t="s">
        <v>5375</v>
      </c>
      <c r="H189" s="78" t="s">
        <v>5376</v>
      </c>
      <c r="I189" s="4" t="s">
        <v>5383</v>
      </c>
      <c r="J189" s="5" t="s">
        <v>5384</v>
      </c>
      <c r="U189" s="222" t="str">
        <f t="shared" si="12"/>
        <v>新北市</v>
      </c>
      <c r="V189" s="223" t="str">
        <f t="shared" si="9"/>
        <v>蘆洲區</v>
      </c>
      <c r="W189" s="223" t="str">
        <f t="shared" si="10"/>
        <v>信義路35號</v>
      </c>
      <c r="X189" s="2" t="s">
        <v>326</v>
      </c>
      <c r="Y189" s="2" t="str">
        <f>VLOOKUP(V189,門市狀態!G:H,2,FALSE)</f>
        <v>湯家瑋</v>
      </c>
      <c r="Z189" s="218" t="str">
        <f>IF(D189="FVC7", IF(COUNTIF(特殊門市清單!N:N, B189)=0, "FVC7", VLOOKUP(B189,特殊門市清單!N:T,7,FALSE)), IF(AA189="v","Peplink",""))</f>
        <v/>
      </c>
      <c r="AA189" s="218" t="str">
        <f>IFERROR(VLOOKUP(B189,門市狀態!A:D,4,FALSE),"")</f>
        <v/>
      </c>
      <c r="AB189" s="224" t="str">
        <f>VLOOKUP(B189,門市總表!A:B,2,FALSE)</f>
        <v>蘆洲信義店</v>
      </c>
      <c r="AC189" s="259"/>
      <c r="AD189" s="224"/>
      <c r="AE189" s="224" t="s">
        <v>4985</v>
      </c>
      <c r="AF189" s="224" t="s">
        <v>4992</v>
      </c>
      <c r="AG189" s="248" t="s">
        <v>102</v>
      </c>
      <c r="AH189" s="224" t="s">
        <v>103</v>
      </c>
    </row>
    <row r="190" spans="1:34" ht="21.6" customHeight="1">
      <c r="A190" s="2">
        <v>189</v>
      </c>
      <c r="B190" s="2">
        <v>3929</v>
      </c>
      <c r="C190" s="4" t="s">
        <v>221</v>
      </c>
      <c r="D190" s="2" t="s">
        <v>4993</v>
      </c>
      <c r="F190" s="2" t="s">
        <v>5012</v>
      </c>
      <c r="G190" s="2" t="s">
        <v>5375</v>
      </c>
      <c r="H190" s="78" t="s">
        <v>5376</v>
      </c>
      <c r="I190" s="4" t="s">
        <v>5385</v>
      </c>
      <c r="J190" s="5" t="s">
        <v>5386</v>
      </c>
      <c r="U190" s="222" t="str">
        <f t="shared" si="12"/>
        <v>新北市</v>
      </c>
      <c r="V190" s="223" t="str">
        <f t="shared" si="9"/>
        <v>蘆洲區</v>
      </c>
      <c r="W190" s="223" t="str">
        <f t="shared" si="10"/>
        <v>中山一路293/293-1號全部</v>
      </c>
      <c r="X190" s="2" t="s">
        <v>326</v>
      </c>
      <c r="Y190" s="2" t="str">
        <f>VLOOKUP(V190,門市狀態!G:H,2,FALSE)</f>
        <v>湯家瑋</v>
      </c>
      <c r="Z190" s="218" t="str">
        <f>IF(D190="FVC7", IF(COUNTIF(特殊門市清單!N:N, B190)=0, "FVC7", VLOOKUP(B190,特殊門市清單!N:T,7,FALSE)), IF(AA190="v","Peplink",""))</f>
        <v/>
      </c>
      <c r="AA190" s="218" t="str">
        <f>IFERROR(VLOOKUP(B190,門市狀態!A:D,4,FALSE),"")</f>
        <v/>
      </c>
      <c r="AB190" s="224" t="str">
        <f>VLOOKUP(B190,門市總表!A:B,2,FALSE)</f>
        <v>蘆洲中山一</v>
      </c>
      <c r="AC190" s="259"/>
      <c r="AD190" s="224"/>
      <c r="AE190" s="224"/>
      <c r="AF190" s="224" t="s">
        <v>4992</v>
      </c>
      <c r="AG190" s="248" t="s">
        <v>102</v>
      </c>
      <c r="AH190" s="224" t="s">
        <v>103</v>
      </c>
    </row>
    <row r="191" spans="1:34" ht="21.6" customHeight="1">
      <c r="A191" s="2">
        <v>190</v>
      </c>
      <c r="B191" s="2">
        <v>4218</v>
      </c>
      <c r="C191" s="4" t="s">
        <v>215</v>
      </c>
      <c r="D191" s="2" t="s">
        <v>4986</v>
      </c>
      <c r="F191" s="2" t="s">
        <v>5012</v>
      </c>
      <c r="G191" s="2" t="s">
        <v>5375</v>
      </c>
      <c r="H191" s="78" t="s">
        <v>5376</v>
      </c>
      <c r="I191" s="4" t="s">
        <v>5387</v>
      </c>
      <c r="J191" s="5" t="s">
        <v>5388</v>
      </c>
      <c r="U191" s="222" t="str">
        <f t="shared" si="12"/>
        <v>新北市</v>
      </c>
      <c r="V191" s="223" t="str">
        <f t="shared" si="9"/>
        <v>蘆洲區</v>
      </c>
      <c r="W191" s="223" t="str">
        <f t="shared" si="10"/>
        <v>得勝街108號一樓</v>
      </c>
      <c r="X191" s="2" t="s">
        <v>326</v>
      </c>
      <c r="Y191" s="2" t="str">
        <f>VLOOKUP(V191,門市狀態!G:H,2,FALSE)</f>
        <v>湯家瑋</v>
      </c>
      <c r="Z191" s="218" t="str">
        <f>IF(D191="FVC7", IF(COUNTIF(特殊門市清單!N:N, B191)=0, "FVC7", VLOOKUP(B191,特殊門市清單!N:T,7,FALSE)), IF(AA191="v","Peplink",""))</f>
        <v/>
      </c>
      <c r="AA191" s="218" t="str">
        <f>IFERROR(VLOOKUP(B191,門市狀態!A:D,4,FALSE),"")</f>
        <v/>
      </c>
      <c r="AB191" s="224" t="str">
        <f>VLOOKUP(B191,門市總表!A:B,2,FALSE)</f>
        <v>蘆洲湧蓮店</v>
      </c>
      <c r="AC191" s="259"/>
      <c r="AD191" s="224"/>
      <c r="AE191" s="224"/>
      <c r="AF191" s="224" t="s">
        <v>4992</v>
      </c>
      <c r="AG191" s="248" t="s">
        <v>102</v>
      </c>
      <c r="AH191" s="224" t="s">
        <v>103</v>
      </c>
    </row>
    <row r="192" spans="1:34" ht="21.6" customHeight="1">
      <c r="A192" s="2">
        <v>191</v>
      </c>
      <c r="B192" s="6">
        <v>4923</v>
      </c>
      <c r="C192" s="4" t="s">
        <v>1938</v>
      </c>
      <c r="D192" s="2" t="s">
        <v>4986</v>
      </c>
      <c r="F192" s="2" t="s">
        <v>5012</v>
      </c>
      <c r="G192" s="2" t="s">
        <v>5375</v>
      </c>
      <c r="H192" s="78" t="s">
        <v>5376</v>
      </c>
      <c r="I192" s="4" t="s">
        <v>5389</v>
      </c>
      <c r="J192" s="5" t="s">
        <v>5390</v>
      </c>
      <c r="U192" s="222" t="str">
        <f t="shared" si="12"/>
        <v>新北市</v>
      </c>
      <c r="V192" s="223" t="str">
        <f t="shared" si="9"/>
        <v>蘆洲區</v>
      </c>
      <c r="W192" s="223" t="str">
        <f t="shared" si="10"/>
        <v>永平街32巷22弄1號一樓全部與地下室倉儲空間</v>
      </c>
      <c r="X192" s="2" t="s">
        <v>326</v>
      </c>
      <c r="Y192" s="2" t="str">
        <f>VLOOKUP(V192,門市狀態!G:H,2,FALSE)</f>
        <v>湯家瑋</v>
      </c>
      <c r="Z192" s="218" t="str">
        <f>IF(D192="FVC7", IF(COUNTIF(特殊門市清單!N:N, B192)=0, "FVC7", VLOOKUP(B192,特殊門市清單!N:T,7,FALSE)), IF(AA192="v","Peplink",""))</f>
        <v/>
      </c>
      <c r="AA192" s="218" t="str">
        <f>IFERROR(VLOOKUP(B192,門市狀態!A:D,4,FALSE),"")</f>
        <v/>
      </c>
      <c r="AB192" s="224" t="str">
        <f>VLOOKUP(B192,門市總表!A:B,2,FALSE)</f>
        <v>蘆洲永平店</v>
      </c>
      <c r="AC192" s="259"/>
      <c r="AD192" s="224"/>
      <c r="AE192" s="224" t="s">
        <v>4985</v>
      </c>
      <c r="AF192" s="224" t="s">
        <v>4992</v>
      </c>
      <c r="AG192" s="248" t="s">
        <v>102</v>
      </c>
      <c r="AH192" s="224" t="s">
        <v>103</v>
      </c>
    </row>
    <row r="193" spans="1:34" ht="21.6" customHeight="1">
      <c r="A193" s="2">
        <v>192</v>
      </c>
      <c r="B193" s="2">
        <v>5082</v>
      </c>
      <c r="C193" s="4" t="s">
        <v>2208</v>
      </c>
      <c r="D193" s="2" t="s">
        <v>4998</v>
      </c>
      <c r="F193" s="2" t="s">
        <v>5012</v>
      </c>
      <c r="G193" s="2" t="s">
        <v>5375</v>
      </c>
      <c r="H193" s="78" t="s">
        <v>5376</v>
      </c>
      <c r="I193" s="4" t="s">
        <v>5391</v>
      </c>
      <c r="J193" s="5" t="s">
        <v>5392</v>
      </c>
      <c r="U193" s="222" t="str">
        <f t="shared" si="12"/>
        <v>新北市</v>
      </c>
      <c r="V193" s="223" t="str">
        <f t="shared" si="9"/>
        <v>蘆洲區</v>
      </c>
      <c r="W193" s="223" t="str">
        <f t="shared" si="10"/>
        <v>水湳街150號1樓</v>
      </c>
      <c r="X193" s="2" t="s">
        <v>326</v>
      </c>
      <c r="Y193" s="2" t="str">
        <f>VLOOKUP(V193,門市狀態!G:H,2,FALSE)</f>
        <v>湯家瑋</v>
      </c>
      <c r="Z193" s="218" t="str">
        <f>IF(D193="FVC7", IF(COUNTIF(特殊門市清單!N:N, B193)=0, "FVC7", VLOOKUP(B193,特殊門市清單!N:T,7,FALSE)), IF(AA193="v","Peplink",""))</f>
        <v/>
      </c>
      <c r="AA193" s="218" t="str">
        <f>IFERROR(VLOOKUP(B193,門市狀態!A:D,4,FALSE),"")</f>
        <v/>
      </c>
      <c r="AB193" s="224" t="str">
        <f>VLOOKUP(B193,門市總表!A:B,2,FALSE)</f>
        <v>蘆洲水湳店</v>
      </c>
      <c r="AC193" s="259"/>
      <c r="AD193" s="224"/>
      <c r="AE193" s="224" t="s">
        <v>4985</v>
      </c>
      <c r="AF193" s="224" t="s">
        <v>4992</v>
      </c>
      <c r="AG193" s="248" t="s">
        <v>102</v>
      </c>
      <c r="AH193" s="224" t="s">
        <v>103</v>
      </c>
    </row>
    <row r="194" spans="1:34" ht="21.6" customHeight="1">
      <c r="A194" s="2">
        <v>193</v>
      </c>
      <c r="B194" s="2">
        <v>5197</v>
      </c>
      <c r="C194" s="4" t="s">
        <v>1782</v>
      </c>
      <c r="D194" s="2" t="s">
        <v>4993</v>
      </c>
      <c r="F194" s="2" t="s">
        <v>5012</v>
      </c>
      <c r="G194" s="2" t="s">
        <v>5375</v>
      </c>
      <c r="H194" s="78" t="s">
        <v>5376</v>
      </c>
      <c r="I194" s="4" t="s">
        <v>5393</v>
      </c>
      <c r="J194" s="5" t="s">
        <v>5394</v>
      </c>
      <c r="U194" s="222" t="str">
        <f t="shared" si="12"/>
        <v>新北市</v>
      </c>
      <c r="V194" s="223" t="str">
        <f t="shared" ref="V194:V257" si="13">IFERROR(
IFERROR(
IFERROR(
MID(J194,FIND("市",J194)+1,IF(FIND("區",J194)-FIND("市",J194)&gt;3,FIND("鄉",J194)-FIND("市",J194),FIND("區",J194)-FIND("市",J194))),
MID(J194,FIND("市",J194)+1,IF(FIND("鎮",J194)-FIND("市",J194)&gt;3,FIND("鄉",J194)-FIND("市",J194),FIND("鎮",J194)-FIND("市",J194)))
),
MID(J194,FIND("市",J194)+1,IF(FIND("鄉",J194)-FIND("市",J194)&gt;3,FIND("區",J194)-FIND("市",J194),FIND("鄉",J194)-FIND("市",J194)))
),
IFERROR(
IFERROR(
IFERROR(
MID(J194,FIND("縣",J194)+1,IF(FIND("區",J194)-FIND("縣",J194)&gt;3,FIND("鄉",J194)-FIND("縣",J194),FIND("區",J194)-FIND("縣",J194))),
MID(J194,FIND("縣",J194)+1,IF(FIND("鎮",J194)-FIND("縣",J194)&gt;3,FIND("鄉",J194)-FIND("縣",J194),FIND("鎮",J194)-FIND("縣",J194)))
),
MID(J194,FIND("縣",J194)+1,IF(FIND("鄉",J194)-FIND("縣",J194)&gt;3,FIND("區",J194)-FIND("縣",J194),FIND("鄉",J194)-FIND("縣",J194)))
),
IFERROR(
MID(J194,FIND("市",J194)+1,IF(FIND("縣",J194)-FIND("市",J194)&gt;3,FIND("鄉",J194)-FIND("市",J194),FIND("縣",J194)-FIND("市",J194))),
MID(J194,FIND("縣",J194)+1,IF(FIND("市",J194)-FIND("縣",J194)&gt;3,FIND("鄉",J194)-FIND("縣",J194),FIND("市",J194)-FIND("縣",J194)))
)))</f>
        <v>蘆洲區</v>
      </c>
      <c r="W194" s="223" t="str">
        <f t="shared" ref="W194:W257" si="14">IFERROR(MID(J194,IFERROR(FIND("鄉",J194),IFERROR(FIND("鎮",J194),FIND("區",J194)))+1,LEN(J194)),IFERROR(MID(J194,FIND("市",J194)+1,LEN(J194)),MID(J194,FIND("縣",J194)+1,LEN(J194))))</f>
        <v>永安南路二段268之1、268之2</v>
      </c>
      <c r="X194" s="2" t="s">
        <v>326</v>
      </c>
      <c r="Y194" s="2" t="str">
        <f>VLOOKUP(V194,門市狀態!G:H,2,FALSE)</f>
        <v>湯家瑋</v>
      </c>
      <c r="Z194" s="218" t="str">
        <f>IF(D194="FVC7", IF(COUNTIF(特殊門市清單!N:N, B194)=0, "FVC7", VLOOKUP(B194,特殊門市清單!N:T,7,FALSE)), IF(AA194="v","Peplink",""))</f>
        <v/>
      </c>
      <c r="AA194" s="218" t="str">
        <f>IFERROR(VLOOKUP(B194,門市狀態!A:D,4,FALSE),"")</f>
        <v/>
      </c>
      <c r="AB194" s="224" t="str">
        <f>VLOOKUP(B194,門市總表!A:B,2,FALSE)</f>
        <v>蘆洲鴻悅店</v>
      </c>
      <c r="AC194" s="259"/>
      <c r="AD194" s="224"/>
      <c r="AE194" s="224"/>
      <c r="AF194" s="224" t="s">
        <v>4992</v>
      </c>
      <c r="AG194" s="248" t="s">
        <v>102</v>
      </c>
      <c r="AH194" s="224" t="s">
        <v>103</v>
      </c>
    </row>
    <row r="195" spans="1:34" ht="21.6" customHeight="1">
      <c r="A195" s="2">
        <v>194</v>
      </c>
      <c r="B195" s="2">
        <v>3892</v>
      </c>
      <c r="C195" s="4" t="s">
        <v>1950</v>
      </c>
      <c r="D195" s="2" t="s">
        <v>4986</v>
      </c>
      <c r="F195" s="2" t="s">
        <v>5012</v>
      </c>
      <c r="G195" s="2" t="s">
        <v>5286</v>
      </c>
      <c r="H195" s="78" t="s">
        <v>5287</v>
      </c>
      <c r="I195" s="4" t="s">
        <v>5395</v>
      </c>
      <c r="J195" s="5" t="s">
        <v>5396</v>
      </c>
      <c r="U195" s="222" t="str">
        <f t="shared" si="12"/>
        <v>新北市</v>
      </c>
      <c r="V195" s="223" t="str">
        <f t="shared" si="13"/>
        <v>蘆洲區</v>
      </c>
      <c r="W195" s="223" t="str">
        <f t="shared" si="14"/>
        <v>光榮路68、70號一樓全部</v>
      </c>
      <c r="X195" s="2" t="s">
        <v>326</v>
      </c>
      <c r="Y195" s="2" t="str">
        <f>VLOOKUP(V195,門市狀態!G:H,2,FALSE)</f>
        <v>湯家瑋</v>
      </c>
      <c r="Z195" s="218" t="str">
        <f>IF(D195="FVC7", IF(COUNTIF(特殊門市清單!N:N, B195)=0, "FVC7", VLOOKUP(B195,特殊門市清單!N:T,7,FALSE)), IF(AA195="v","Peplink",""))</f>
        <v/>
      </c>
      <c r="AA195" s="218" t="str">
        <f>IFERROR(VLOOKUP(B195,門市狀態!A:D,4,FALSE),"")</f>
        <v/>
      </c>
      <c r="AB195" s="224" t="str">
        <f>VLOOKUP(B195,門市總表!A:B,2,FALSE)</f>
        <v>蘆洲光榮店</v>
      </c>
      <c r="AC195" s="259"/>
      <c r="AD195" s="224"/>
      <c r="AE195" s="224"/>
      <c r="AF195" s="224" t="s">
        <v>4992</v>
      </c>
      <c r="AG195" s="248" t="s">
        <v>102</v>
      </c>
      <c r="AH195" s="224" t="s">
        <v>103</v>
      </c>
    </row>
    <row r="196" spans="1:34" ht="21.6" customHeight="1">
      <c r="A196" s="2">
        <v>195</v>
      </c>
      <c r="B196" s="2">
        <v>4036</v>
      </c>
      <c r="C196" s="4" t="s">
        <v>1946</v>
      </c>
      <c r="D196" s="2" t="s">
        <v>4986</v>
      </c>
      <c r="F196" s="2" t="s">
        <v>5012</v>
      </c>
      <c r="G196" s="2" t="s">
        <v>5286</v>
      </c>
      <c r="H196" s="78" t="s">
        <v>5287</v>
      </c>
      <c r="I196" s="4" t="s">
        <v>5397</v>
      </c>
      <c r="J196" s="5" t="s">
        <v>5398</v>
      </c>
      <c r="U196" s="222" t="str">
        <f t="shared" si="12"/>
        <v>新北市</v>
      </c>
      <c r="V196" s="223" t="str">
        <f t="shared" si="13"/>
        <v>蘆洲區</v>
      </c>
      <c r="W196" s="223" t="str">
        <f t="shared" si="14"/>
        <v>永樂街38巷32.34號</v>
      </c>
      <c r="X196" s="2" t="s">
        <v>326</v>
      </c>
      <c r="Y196" s="2" t="str">
        <f>VLOOKUP(V196,門市狀態!G:H,2,FALSE)</f>
        <v>湯家瑋</v>
      </c>
      <c r="Z196" s="218" t="str">
        <f>IF(D196="FVC7", IF(COUNTIF(特殊門市清單!N:N, B196)=0, "FVC7", VLOOKUP(B196,特殊門市清單!N:T,7,FALSE)), IF(AA196="v","Peplink",""))</f>
        <v/>
      </c>
      <c r="AA196" s="218" t="str">
        <f>IFERROR(VLOOKUP(B196,門市狀態!A:D,4,FALSE),"")</f>
        <v/>
      </c>
      <c r="AB196" s="224" t="str">
        <f>VLOOKUP(B196,門市總表!A:B,2,FALSE)</f>
        <v>蘆洲永樂店</v>
      </c>
      <c r="AC196" s="259"/>
      <c r="AD196" s="224"/>
      <c r="AE196" s="224"/>
      <c r="AF196" s="224" t="s">
        <v>4992</v>
      </c>
      <c r="AG196" s="248" t="s">
        <v>102</v>
      </c>
      <c r="AH196" s="224" t="s">
        <v>103</v>
      </c>
    </row>
    <row r="197" spans="1:34" ht="21.6" customHeight="1">
      <c r="A197" s="2">
        <v>196</v>
      </c>
      <c r="B197" s="2">
        <v>4125</v>
      </c>
      <c r="C197" s="4" t="s">
        <v>1778</v>
      </c>
      <c r="D197" s="2" t="s">
        <v>4993</v>
      </c>
      <c r="F197" s="2" t="s">
        <v>5012</v>
      </c>
      <c r="G197" s="2" t="s">
        <v>5286</v>
      </c>
      <c r="H197" s="78" t="s">
        <v>5287</v>
      </c>
      <c r="I197" s="4" t="s">
        <v>5399</v>
      </c>
      <c r="J197" s="5" t="s">
        <v>5400</v>
      </c>
      <c r="U197" s="222" t="str">
        <f t="shared" si="12"/>
        <v>新北市</v>
      </c>
      <c r="V197" s="223" t="str">
        <f t="shared" si="13"/>
        <v>蘆洲區</v>
      </c>
      <c r="W197" s="223" t="str">
        <f t="shared" si="14"/>
        <v>長樂路22號</v>
      </c>
      <c r="X197" s="2" t="s">
        <v>326</v>
      </c>
      <c r="Y197" s="2" t="str">
        <f>VLOOKUP(V197,門市狀態!G:H,2,FALSE)</f>
        <v>湯家瑋</v>
      </c>
      <c r="Z197" s="218" t="str">
        <f>IF(D197="FVC7", IF(COUNTIF(特殊門市清單!N:N, B197)=0, "FVC7", VLOOKUP(B197,特殊門市清單!N:T,7,FALSE)), IF(AA197="v","Peplink",""))</f>
        <v/>
      </c>
      <c r="AA197" s="218" t="str">
        <f>IFERROR(VLOOKUP(B197,門市狀態!A:D,4,FALSE),"")</f>
        <v/>
      </c>
      <c r="AB197" s="224" t="str">
        <f>VLOOKUP(B197,門市總表!A:B,2,FALSE)</f>
        <v>蘆洲長樂店</v>
      </c>
      <c r="AC197" s="259"/>
      <c r="AD197" s="224"/>
      <c r="AE197" s="224"/>
      <c r="AF197" s="224" t="s">
        <v>4992</v>
      </c>
      <c r="AG197" s="248" t="s">
        <v>102</v>
      </c>
      <c r="AH197" s="224" t="s">
        <v>103</v>
      </c>
    </row>
    <row r="198" spans="1:34" ht="21.6" customHeight="1">
      <c r="A198" s="2">
        <v>197</v>
      </c>
      <c r="B198" s="2">
        <v>4609</v>
      </c>
      <c r="C198" s="4" t="s">
        <v>1774</v>
      </c>
      <c r="D198" s="2" t="s">
        <v>4986</v>
      </c>
      <c r="F198" s="2" t="s">
        <v>5012</v>
      </c>
      <c r="G198" s="2" t="s">
        <v>5286</v>
      </c>
      <c r="H198" s="78" t="s">
        <v>5287</v>
      </c>
      <c r="I198" s="4" t="s">
        <v>5401</v>
      </c>
      <c r="J198" s="5" t="s">
        <v>5402</v>
      </c>
      <c r="U198" s="222" t="str">
        <f t="shared" si="12"/>
        <v>新北市</v>
      </c>
      <c r="V198" s="223" t="str">
        <f t="shared" si="13"/>
        <v>蘆洲區</v>
      </c>
      <c r="W198" s="223" t="str">
        <f t="shared" si="14"/>
        <v>中正路185巷78弄1、3號</v>
      </c>
      <c r="X198" s="2" t="s">
        <v>326</v>
      </c>
      <c r="Y198" s="2" t="str">
        <f>VLOOKUP(V198,門市狀態!G:H,2,FALSE)</f>
        <v>湯家瑋</v>
      </c>
      <c r="Z198" s="218" t="str">
        <f>IF(D198="FVC7", IF(COUNTIF(特殊門市清單!N:N, B198)=0, "FVC7", VLOOKUP(B198,特殊門市清單!N:T,7,FALSE)), IF(AA198="v","Peplink",""))</f>
        <v/>
      </c>
      <c r="AA198" s="218" t="str">
        <f>IFERROR(VLOOKUP(B198,門市狀態!A:D,4,FALSE),"")</f>
        <v/>
      </c>
      <c r="AB198" s="224" t="str">
        <f>VLOOKUP(B198,門市總表!A:B,2,FALSE)</f>
        <v>蘆洲洲正店</v>
      </c>
      <c r="AC198" s="259"/>
      <c r="AD198" s="224"/>
      <c r="AE198" s="224"/>
      <c r="AF198" s="224" t="s">
        <v>4992</v>
      </c>
      <c r="AG198" s="248" t="s">
        <v>102</v>
      </c>
      <c r="AH198" s="224" t="s">
        <v>103</v>
      </c>
    </row>
    <row r="199" spans="1:34" ht="21.6" customHeight="1">
      <c r="A199" s="2">
        <v>198</v>
      </c>
      <c r="B199" s="2" t="s">
        <v>76</v>
      </c>
      <c r="C199" s="4" t="s">
        <v>2115</v>
      </c>
      <c r="D199" s="2" t="s">
        <v>4998</v>
      </c>
      <c r="F199" s="2" t="s">
        <v>5012</v>
      </c>
      <c r="G199" s="2" t="s">
        <v>5286</v>
      </c>
      <c r="H199" s="78" t="s">
        <v>5287</v>
      </c>
      <c r="I199" s="4" t="s">
        <v>5403</v>
      </c>
      <c r="J199" s="5" t="s">
        <v>5404</v>
      </c>
      <c r="U199" s="222" t="str">
        <f t="shared" si="12"/>
        <v>新北市</v>
      </c>
      <c r="V199" s="223" t="str">
        <f t="shared" si="13"/>
        <v>蘆洲區</v>
      </c>
      <c r="W199" s="223" t="str">
        <f t="shared" si="14"/>
        <v>民權路113號</v>
      </c>
      <c r="X199" s="2" t="s">
        <v>326</v>
      </c>
      <c r="Y199" s="2" t="str">
        <f>VLOOKUP(V199,門市狀態!G:H,2,FALSE)</f>
        <v>湯家瑋</v>
      </c>
      <c r="Z199" s="218" t="str">
        <f>IF(D199="FVC7", IF(COUNTIF(特殊門市清單!N:N, B199)=0, "FVC7", VLOOKUP(B199,特殊門市清單!N:T,7,FALSE)), IF(AA199="v","Peplink",""))</f>
        <v/>
      </c>
      <c r="AA199" s="218" t="str">
        <f>IFERROR(VLOOKUP(B199,門市狀態!A:D,4,FALSE),"")</f>
        <v/>
      </c>
      <c r="AB199" s="224" t="str">
        <f>VLOOKUP(B199,門市總表!A:B,2,FALSE)</f>
        <v>蘆洲權義店</v>
      </c>
      <c r="AC199" s="259"/>
      <c r="AD199" s="224"/>
      <c r="AE199" s="224"/>
      <c r="AF199" s="224" t="s">
        <v>4992</v>
      </c>
      <c r="AG199" s="248" t="s">
        <v>102</v>
      </c>
      <c r="AH199" s="224" t="s">
        <v>103</v>
      </c>
    </row>
    <row r="200" spans="1:34" ht="21.6" customHeight="1">
      <c r="A200" s="2">
        <v>199</v>
      </c>
      <c r="B200" s="2">
        <v>5341</v>
      </c>
      <c r="C200" s="4" t="s">
        <v>250</v>
      </c>
      <c r="D200" s="2"/>
      <c r="F200" s="2"/>
      <c r="G200" s="2"/>
      <c r="H200" s="78"/>
      <c r="J200" s="4" t="s">
        <v>5405</v>
      </c>
      <c r="U200" s="222" t="str">
        <f t="shared" si="12"/>
        <v>新北市</v>
      </c>
      <c r="V200" s="223" t="str">
        <f t="shared" si="13"/>
        <v>蘆洲區</v>
      </c>
      <c r="W200" s="223" t="str">
        <f t="shared" si="14"/>
        <v>中山二路77號</v>
      </c>
      <c r="X200" s="2" t="s">
        <v>326</v>
      </c>
      <c r="Y200" s="2" t="str">
        <f>VLOOKUP(V200,門市狀態!G:H,2,FALSE)</f>
        <v>湯家瑋</v>
      </c>
      <c r="Z200" s="218" t="str">
        <f>IF(D200="FVC7", IF(COUNTIF(特殊門市清單!N:N, B200)=0, "FVC7", VLOOKUP(B200,特殊門市清單!N:T,7,FALSE)), IF(AA200="v","Peplink",""))</f>
        <v/>
      </c>
      <c r="AA200" s="218" t="str">
        <f>IFERROR(VLOOKUP(B200,門市狀態!A:D,4,FALSE),"")</f>
        <v/>
      </c>
      <c r="AB200" s="224" t="str">
        <f>VLOOKUP(B200,門市總表!A:B,2,FALSE)</f>
        <v>蘆洲切仔麵</v>
      </c>
      <c r="AC200" s="259"/>
      <c r="AD200" s="224"/>
      <c r="AE200" s="224"/>
      <c r="AF200" s="224" t="s">
        <v>4992</v>
      </c>
      <c r="AG200" s="248" t="s">
        <v>102</v>
      </c>
      <c r="AH200" s="224" t="s">
        <v>103</v>
      </c>
    </row>
    <row r="201" spans="1:34" ht="21.6" customHeight="1">
      <c r="A201" s="2">
        <v>200</v>
      </c>
      <c r="B201" s="2">
        <v>5354</v>
      </c>
      <c r="C201" s="4" t="s">
        <v>252</v>
      </c>
      <c r="J201" s="5" t="s">
        <v>5406</v>
      </c>
      <c r="U201" s="260" t="str">
        <f t="shared" si="12"/>
        <v>新北市</v>
      </c>
      <c r="V201" s="258" t="str">
        <f t="shared" si="13"/>
        <v>蘆洲區</v>
      </c>
      <c r="W201" s="258" t="str">
        <f t="shared" si="14"/>
        <v>三民路368號1樓之1</v>
      </c>
      <c r="X201" s="2" t="s">
        <v>326</v>
      </c>
      <c r="Y201" s="2" t="str">
        <f>VLOOKUP(V201,門市狀態!G:H,2,FALSE)</f>
        <v>湯家瑋</v>
      </c>
      <c r="Z201" s="218" t="str">
        <f>IF(D201="FVC7", IF(COUNTIF(特殊門市清單!N:N, B201)=0, "FVC7", VLOOKUP(B201,特殊門市清單!N:T,7,FALSE)), IF(AA201="v","Peplink",""))</f>
        <v/>
      </c>
      <c r="AA201" s="218" t="str">
        <f>IFERROR(VLOOKUP(B201,門市狀態!A:D,4,FALSE),"")</f>
        <v/>
      </c>
      <c r="AB201" s="224" t="str">
        <f>VLOOKUP(B201,門市總表!A:B,2,FALSE)</f>
        <v>蘆洲希望店</v>
      </c>
      <c r="AC201" s="259"/>
      <c r="AD201" s="224"/>
      <c r="AE201" s="224"/>
      <c r="AF201" s="224" t="s">
        <v>4992</v>
      </c>
      <c r="AG201" s="248" t="s">
        <v>102</v>
      </c>
      <c r="AH201" s="224" t="s">
        <v>103</v>
      </c>
    </row>
    <row r="202" spans="1:34" ht="21.6" customHeight="1">
      <c r="A202" s="2">
        <v>201</v>
      </c>
      <c r="B202" s="2">
        <v>5430</v>
      </c>
      <c r="C202" s="4" t="s">
        <v>179</v>
      </c>
      <c r="J202" s="5" t="s">
        <v>5407</v>
      </c>
      <c r="U202" s="260" t="str">
        <f t="shared" si="12"/>
        <v>新北市</v>
      </c>
      <c r="V202" s="258" t="str">
        <f t="shared" si="13"/>
        <v>蘆洲區</v>
      </c>
      <c r="W202" s="258" t="str">
        <f t="shared" si="14"/>
        <v>民族路424號一樓、424-1號一、二樓</v>
      </c>
      <c r="X202" s="2" t="s">
        <v>326</v>
      </c>
      <c r="Y202" s="2" t="str">
        <f>VLOOKUP(V202,門市狀態!G:H,2,FALSE)</f>
        <v>湯家瑋</v>
      </c>
      <c r="Z202" s="218" t="str">
        <f>IF(D202="FVC7", IF(COUNTIF(特殊門市清單!N:N, B202)=0, "FVC7", VLOOKUP(B202,特殊門市清單!N:T,7,FALSE)), IF(AA202="v","Peplink",""))</f>
        <v/>
      </c>
      <c r="AA202" s="218" t="str">
        <f>IFERROR(VLOOKUP(B202,門市狀態!A:D,4,FALSE),"")</f>
        <v/>
      </c>
      <c r="AB202" s="224" t="str">
        <f>VLOOKUP(B202,門市總表!A:B,2,FALSE)</f>
        <v>蘆洲河上洲</v>
      </c>
      <c r="AC202" s="259"/>
      <c r="AD202" s="224"/>
      <c r="AE202" s="224"/>
      <c r="AF202" s="224" t="s">
        <v>4992</v>
      </c>
      <c r="AG202" s="248" t="s">
        <v>102</v>
      </c>
      <c r="AH202" s="224"/>
    </row>
    <row r="203" spans="1:34" ht="21.6" customHeight="1">
      <c r="A203" s="2">
        <v>202</v>
      </c>
      <c r="B203" s="2">
        <v>5491</v>
      </c>
      <c r="C203" s="4" t="s">
        <v>162</v>
      </c>
      <c r="D203" s="2"/>
      <c r="F203" s="2" t="s">
        <v>5408</v>
      </c>
      <c r="G203" s="2" t="s">
        <v>5409</v>
      </c>
      <c r="H203" s="78" t="s">
        <v>5410</v>
      </c>
      <c r="I203" s="4" t="s">
        <v>5411</v>
      </c>
      <c r="J203" s="5" t="s">
        <v>358</v>
      </c>
      <c r="U203" s="222" t="str">
        <f t="shared" si="12"/>
        <v>新北市</v>
      </c>
      <c r="V203" s="223" t="str">
        <f t="shared" si="13"/>
        <v>三重區</v>
      </c>
      <c r="W203" s="223" t="str">
        <f t="shared" si="14"/>
        <v/>
      </c>
      <c r="X203" s="2" t="s">
        <v>326</v>
      </c>
      <c r="Y203" s="2" t="str">
        <f>VLOOKUP(V203,門市狀態!G:H,2,FALSE)</f>
        <v>劉柏均</v>
      </c>
      <c r="AA203" s="218" t="str">
        <f>IFERROR(VLOOKUP(B203,門市狀態!A:D,4,FALSE),"")</f>
        <v>新開</v>
      </c>
      <c r="AB203" s="224" t="str">
        <f>VLOOKUP(B203,門市總表!A:B,2,FALSE)</f>
        <v>三重向日葵</v>
      </c>
      <c r="AC203" s="225"/>
      <c r="AD203" s="224"/>
      <c r="AE203" s="224"/>
      <c r="AF203" s="224" t="s">
        <v>4992</v>
      </c>
      <c r="AG203" s="248"/>
      <c r="AH203" s="224"/>
    </row>
    <row r="204" spans="1:34" ht="21.6" customHeight="1">
      <c r="A204" s="2">
        <v>203</v>
      </c>
      <c r="B204" s="2">
        <v>3359</v>
      </c>
      <c r="C204" s="4" t="s">
        <v>1730</v>
      </c>
      <c r="D204" s="2" t="s">
        <v>4998</v>
      </c>
      <c r="F204" s="2" t="s">
        <v>5408</v>
      </c>
      <c r="G204" s="2" t="s">
        <v>5409</v>
      </c>
      <c r="H204" s="78" t="s">
        <v>5410</v>
      </c>
      <c r="I204" s="4" t="s">
        <v>5411</v>
      </c>
      <c r="J204" s="5" t="s">
        <v>5412</v>
      </c>
      <c r="U204" s="222" t="str">
        <f t="shared" si="12"/>
        <v>新北市</v>
      </c>
      <c r="V204" s="223" t="str">
        <f t="shared" si="13"/>
        <v>三重區</v>
      </c>
      <c r="W204" s="223" t="str">
        <f t="shared" si="14"/>
        <v>重新路五段656號</v>
      </c>
      <c r="X204" s="2" t="s">
        <v>326</v>
      </c>
      <c r="Y204" s="2" t="str">
        <f>VLOOKUP(V204,門市狀態!G:H,2,FALSE)</f>
        <v>劉柏均</v>
      </c>
      <c r="Z204" s="218" t="s">
        <v>66</v>
      </c>
      <c r="AA204" s="218" t="str">
        <f>IFERROR(VLOOKUP(B204,門市狀態!A:D,4,FALSE),"")</f>
        <v/>
      </c>
      <c r="AB204" s="224" t="str">
        <f>VLOOKUP(B204,門市總表!A:B,2,FALSE)</f>
        <v>三重金陵店</v>
      </c>
      <c r="AC204" s="225"/>
      <c r="AD204" s="224" t="s">
        <v>66</v>
      </c>
      <c r="AE204" s="224"/>
      <c r="AF204" s="224" t="s">
        <v>4992</v>
      </c>
      <c r="AG204" s="248"/>
      <c r="AH204" s="224" t="s">
        <v>103</v>
      </c>
    </row>
    <row r="205" spans="1:34" ht="21.6" customHeight="1">
      <c r="A205" s="2">
        <v>204</v>
      </c>
      <c r="B205" s="2">
        <v>3601</v>
      </c>
      <c r="C205" s="4" t="s">
        <v>1588</v>
      </c>
      <c r="D205" s="2" t="s">
        <v>4993</v>
      </c>
      <c r="F205" s="2" t="s">
        <v>5408</v>
      </c>
      <c r="G205" s="2" t="s">
        <v>5409</v>
      </c>
      <c r="H205" s="78" t="s">
        <v>5410</v>
      </c>
      <c r="I205" s="4" t="s">
        <v>5413</v>
      </c>
      <c r="J205" s="5" t="s">
        <v>5414</v>
      </c>
      <c r="U205" s="222" t="str">
        <f t="shared" si="12"/>
        <v>新北市</v>
      </c>
      <c r="V205" s="223" t="str">
        <f t="shared" si="13"/>
        <v>三重區</v>
      </c>
      <c r="W205" s="223" t="str">
        <f t="shared" si="14"/>
        <v>光復路一段85、85-2號</v>
      </c>
      <c r="X205" s="2" t="s">
        <v>326</v>
      </c>
      <c r="Y205" s="2" t="str">
        <f>VLOOKUP(V205,門市狀態!G:H,2,FALSE)</f>
        <v>劉柏均</v>
      </c>
      <c r="Z205" s="218" t="str">
        <f>IF(D205="FVC7", IF(COUNTIF(特殊門市清單!N:N, B205)=0, "FVC7", VLOOKUP(B205,特殊門市清單!N:T,7,FALSE)), IF(AA205="v","Peplink",""))</f>
        <v/>
      </c>
      <c r="AA205" s="218" t="str">
        <f>IFERROR(VLOOKUP(B205,門市狀態!A:D,4,FALSE),"")</f>
        <v/>
      </c>
      <c r="AB205" s="224" t="str">
        <f>VLOOKUP(B205,門市總表!A:B,2,FALSE)</f>
        <v>三重重富店</v>
      </c>
      <c r="AC205" s="226"/>
      <c r="AD205" s="224"/>
      <c r="AE205" s="224" t="s">
        <v>4985</v>
      </c>
      <c r="AF205" s="224" t="s">
        <v>4992</v>
      </c>
      <c r="AG205" s="248" t="s">
        <v>102</v>
      </c>
      <c r="AH205" s="224" t="s">
        <v>103</v>
      </c>
    </row>
    <row r="206" spans="1:34" ht="21.6" customHeight="1">
      <c r="A206" s="2">
        <v>205</v>
      </c>
      <c r="B206" s="2">
        <v>3627</v>
      </c>
      <c r="C206" s="4" t="s">
        <v>157</v>
      </c>
      <c r="D206" s="2" t="s">
        <v>4986</v>
      </c>
      <c r="F206" s="2" t="s">
        <v>5408</v>
      </c>
      <c r="G206" s="2" t="s">
        <v>5409</v>
      </c>
      <c r="H206" s="78" t="s">
        <v>5410</v>
      </c>
      <c r="I206" s="4" t="s">
        <v>5415</v>
      </c>
      <c r="J206" s="5" t="s">
        <v>5416</v>
      </c>
      <c r="U206" s="222" t="str">
        <f t="shared" ref="U206:U237" si="15">IFERROR(LEFT(J206,FIND("縣",J206)),IFERROR(LEFT(J206,FIND("市",J206)),J206))</f>
        <v>新北市</v>
      </c>
      <c r="V206" s="223" t="str">
        <f t="shared" si="13"/>
        <v>三重區</v>
      </c>
      <c r="W206" s="223" t="str">
        <f t="shared" si="14"/>
        <v>重新路四段176號</v>
      </c>
      <c r="X206" s="2" t="s">
        <v>326</v>
      </c>
      <c r="Y206" s="2" t="str">
        <f>VLOOKUP(V206,門市狀態!G:H,2,FALSE)</f>
        <v>劉柏均</v>
      </c>
      <c r="Z206" s="218" t="str">
        <f>IF(D206="FVC7", IF(COUNTIF(特殊門市清單!N:N, B206)=0, "FVC7", VLOOKUP(B206,特殊門市清單!N:T,7,FALSE)), IF(AA206="v","Peplink",""))</f>
        <v/>
      </c>
      <c r="AA206" s="218" t="str">
        <f>IFERROR(VLOOKUP(B206,門市狀態!A:D,4,FALSE),"")</f>
        <v/>
      </c>
      <c r="AB206" s="224" t="str">
        <f>VLOOKUP(B206,門市總表!A:B,2,FALSE)</f>
        <v>三重重新橋</v>
      </c>
      <c r="AC206" s="259"/>
      <c r="AD206" s="224"/>
      <c r="AE206" s="224"/>
      <c r="AF206" s="224" t="s">
        <v>4992</v>
      </c>
      <c r="AG206" s="248" t="s">
        <v>102</v>
      </c>
      <c r="AH206" s="224" t="s">
        <v>103</v>
      </c>
    </row>
    <row r="207" spans="1:34" ht="21.6" customHeight="1">
      <c r="A207" s="2">
        <v>206</v>
      </c>
      <c r="B207" s="2">
        <v>3890</v>
      </c>
      <c r="C207" s="4" t="s">
        <v>821</v>
      </c>
      <c r="D207" s="2" t="s">
        <v>4998</v>
      </c>
      <c r="F207" s="2" t="s">
        <v>5408</v>
      </c>
      <c r="G207" s="2" t="s">
        <v>5409</v>
      </c>
      <c r="H207" s="78" t="s">
        <v>5410</v>
      </c>
      <c r="I207" s="4" t="s">
        <v>5417</v>
      </c>
      <c r="J207" s="5" t="s">
        <v>5418</v>
      </c>
      <c r="U207" s="222" t="str">
        <f t="shared" si="15"/>
        <v>新北市</v>
      </c>
      <c r="V207" s="223" t="str">
        <f t="shared" si="13"/>
        <v>三重區</v>
      </c>
      <c r="W207" s="223" t="str">
        <f t="shared" si="14"/>
        <v>二重疏洪道疏洪十六路重新橋下</v>
      </c>
      <c r="X207" s="2" t="s">
        <v>326</v>
      </c>
      <c r="Y207" s="2" t="str">
        <f>VLOOKUP(V207,門市狀態!G:H,2,FALSE)</f>
        <v>劉柏均</v>
      </c>
      <c r="Z207" s="218" t="str">
        <f>IF(D207="FVC7", IF(COUNTIF(特殊門市清單!N:N, B207)=0, "FVC7", VLOOKUP(B207,特殊門市清單!N:T,7,FALSE)), IF(AA207="v","Peplink",""))</f>
        <v/>
      </c>
      <c r="AA207" s="218" t="str">
        <f>IFERROR(VLOOKUP(B207,門市狀態!A:D,4,FALSE),"")</f>
        <v/>
      </c>
      <c r="AB207" s="224" t="str">
        <f>VLOOKUP(B207,門市總表!A:B,2,FALSE)</f>
        <v>三重美堤店</v>
      </c>
      <c r="AC207" s="259"/>
      <c r="AD207" s="224"/>
      <c r="AE207" s="224"/>
      <c r="AF207" s="224" t="s">
        <v>4992</v>
      </c>
      <c r="AG207" s="248" t="s">
        <v>102</v>
      </c>
      <c r="AH207" s="224" t="s">
        <v>103</v>
      </c>
    </row>
    <row r="208" spans="1:34" ht="21.6" customHeight="1">
      <c r="A208" s="2">
        <v>207</v>
      </c>
      <c r="B208" s="2">
        <v>4698</v>
      </c>
      <c r="C208" s="4" t="s">
        <v>1847</v>
      </c>
      <c r="D208" s="2" t="s">
        <v>4986</v>
      </c>
      <c r="F208" s="2" t="s">
        <v>5408</v>
      </c>
      <c r="G208" s="2" t="s">
        <v>5409</v>
      </c>
      <c r="H208" s="78" t="s">
        <v>5410</v>
      </c>
      <c r="I208" s="4" t="s">
        <v>5419</v>
      </c>
      <c r="J208" s="5" t="s">
        <v>5420</v>
      </c>
      <c r="U208" s="222" t="str">
        <f t="shared" si="15"/>
        <v>新北市</v>
      </c>
      <c r="V208" s="223" t="str">
        <f t="shared" si="13"/>
        <v>三重區</v>
      </c>
      <c r="W208" s="223" t="str">
        <f t="shared" si="14"/>
        <v>光復路二段117之1號</v>
      </c>
      <c r="X208" s="2" t="s">
        <v>326</v>
      </c>
      <c r="Y208" s="2" t="str">
        <f>VLOOKUP(V208,門市狀態!G:H,2,FALSE)</f>
        <v>劉柏均</v>
      </c>
      <c r="Z208" s="218" t="str">
        <f>IF(D208="FVC7", IF(COUNTIF(特殊門市清單!N:N, B208)=0, "FVC7", VLOOKUP(B208,特殊門市清單!N:T,7,FALSE)), IF(AA208="v","Peplink",""))</f>
        <v/>
      </c>
      <c r="AA208" s="218" t="str">
        <f>IFERROR(VLOOKUP(B208,門市狀態!A:D,4,FALSE),"")</f>
        <v/>
      </c>
      <c r="AB208" s="224" t="str">
        <f>VLOOKUP(B208,門市總表!A:B,2,FALSE)</f>
        <v>三重頂崁店</v>
      </c>
      <c r="AC208" s="259"/>
      <c r="AD208" s="224"/>
      <c r="AE208" s="224"/>
      <c r="AF208" s="224" t="s">
        <v>4992</v>
      </c>
      <c r="AG208" s="248" t="s">
        <v>102</v>
      </c>
      <c r="AH208" s="224" t="s">
        <v>103</v>
      </c>
    </row>
    <row r="209" spans="1:34" ht="21.6" customHeight="1">
      <c r="A209" s="2">
        <v>208</v>
      </c>
      <c r="B209" s="2">
        <v>4977</v>
      </c>
      <c r="C209" s="4" t="s">
        <v>1736</v>
      </c>
      <c r="D209" s="2" t="s">
        <v>4986</v>
      </c>
      <c r="F209" s="2" t="s">
        <v>5408</v>
      </c>
      <c r="G209" s="2" t="s">
        <v>5409</v>
      </c>
      <c r="H209" s="78" t="s">
        <v>5410</v>
      </c>
      <c r="I209" s="4" t="s">
        <v>5421</v>
      </c>
      <c r="J209" s="5" t="s">
        <v>5422</v>
      </c>
      <c r="U209" s="222" t="str">
        <f t="shared" si="15"/>
        <v>新北市</v>
      </c>
      <c r="V209" s="223" t="str">
        <f t="shared" si="13"/>
        <v>三重區</v>
      </c>
      <c r="W209" s="223" t="str">
        <f t="shared" si="14"/>
        <v>中興北街153號</v>
      </c>
      <c r="X209" s="2" t="s">
        <v>326</v>
      </c>
      <c r="Y209" s="2" t="str">
        <f>VLOOKUP(V209,門市狀態!G:H,2,FALSE)</f>
        <v>劉柏均</v>
      </c>
      <c r="Z209" s="218" t="str">
        <f>IF(D209="FVC7", IF(COUNTIF(特殊門市清單!N:N, B209)=0, "FVC7", VLOOKUP(B209,特殊門市清單!N:T,7,FALSE)), IF(AA209="v","Peplink",""))</f>
        <v/>
      </c>
      <c r="AA209" s="218" t="str">
        <f>IFERROR(VLOOKUP(B209,門市狀態!A:D,4,FALSE),"")</f>
        <v/>
      </c>
      <c r="AB209" s="224" t="str">
        <f>VLOOKUP(B209,門市總表!A:B,2,FALSE)</f>
        <v>三重初戀店</v>
      </c>
      <c r="AC209" s="259"/>
      <c r="AD209" s="224"/>
      <c r="AE209" s="224"/>
      <c r="AF209" s="224" t="s">
        <v>4992</v>
      </c>
      <c r="AG209" s="248" t="s">
        <v>102</v>
      </c>
      <c r="AH209" s="224" t="s">
        <v>103</v>
      </c>
    </row>
    <row r="210" spans="1:34" ht="21.6" customHeight="1">
      <c r="A210" s="2">
        <v>209</v>
      </c>
      <c r="B210" s="2" t="s">
        <v>65</v>
      </c>
      <c r="C210" s="4" t="s">
        <v>797</v>
      </c>
      <c r="D210" s="2" t="s">
        <v>4986</v>
      </c>
      <c r="F210" s="2" t="s">
        <v>5408</v>
      </c>
      <c r="G210" s="2" t="s">
        <v>5409</v>
      </c>
      <c r="H210" s="78" t="s">
        <v>5410</v>
      </c>
      <c r="I210" s="4" t="s">
        <v>5423</v>
      </c>
      <c r="J210" s="5" t="s">
        <v>5424</v>
      </c>
      <c r="U210" s="222" t="str">
        <f t="shared" si="15"/>
        <v>新北市</v>
      </c>
      <c r="V210" s="223" t="str">
        <f t="shared" si="13"/>
        <v>三重區</v>
      </c>
      <c r="W210" s="223" t="str">
        <f t="shared" si="14"/>
        <v>中興北街134號</v>
      </c>
      <c r="X210" s="2" t="s">
        <v>326</v>
      </c>
      <c r="Y210" s="2" t="str">
        <f>VLOOKUP(V210,門市狀態!G:H,2,FALSE)</f>
        <v>劉柏均</v>
      </c>
      <c r="Z210" s="218" t="str">
        <f>IF(D210="FVC7", IF(COUNTIF(特殊門市清單!N:N, B210)=0, "FVC7", VLOOKUP(B210,特殊門市清單!N:T,7,FALSE)), IF(AA210="v","Peplink",""))</f>
        <v/>
      </c>
      <c r="AA210" s="218" t="str">
        <f>IFERROR(VLOOKUP(B210,門市狀態!A:D,4,FALSE),"")</f>
        <v/>
      </c>
      <c r="AB210" s="224" t="str">
        <f>VLOOKUP(B210,門市總表!A:B,2,FALSE)</f>
        <v>三重中興北</v>
      </c>
      <c r="AC210" s="259"/>
      <c r="AD210" s="224"/>
      <c r="AE210" s="224"/>
      <c r="AF210" s="224" t="s">
        <v>4992</v>
      </c>
      <c r="AG210" s="248" t="s">
        <v>102</v>
      </c>
      <c r="AH210" s="224" t="s">
        <v>103</v>
      </c>
    </row>
    <row r="211" spans="1:34" ht="21.6" customHeight="1">
      <c r="A211" s="2">
        <v>210</v>
      </c>
      <c r="B211" s="6" t="s">
        <v>59</v>
      </c>
      <c r="C211" s="4" t="s">
        <v>1296</v>
      </c>
      <c r="D211" s="2" t="s">
        <v>4998</v>
      </c>
      <c r="F211" s="2" t="s">
        <v>5408</v>
      </c>
      <c r="G211" s="2" t="s">
        <v>5409</v>
      </c>
      <c r="H211" s="78" t="s">
        <v>5410</v>
      </c>
      <c r="I211" s="4" t="s">
        <v>5425</v>
      </c>
      <c r="J211" s="5" t="s">
        <v>5426</v>
      </c>
      <c r="U211" s="222" t="str">
        <f t="shared" si="15"/>
        <v>新北市</v>
      </c>
      <c r="V211" s="223" t="str">
        <f t="shared" si="13"/>
        <v>三重區</v>
      </c>
      <c r="W211" s="223" t="str">
        <f t="shared" si="14"/>
        <v>中興北街195,197號</v>
      </c>
      <c r="X211" s="2" t="s">
        <v>326</v>
      </c>
      <c r="Y211" s="2" t="str">
        <f>VLOOKUP(V211,門市狀態!G:H,2,FALSE)</f>
        <v>劉柏均</v>
      </c>
      <c r="Z211" s="218" t="str">
        <f>IF(D211="FVC7", IF(COUNTIF(特殊門市清單!N:N, B211)=0, "FVC7", VLOOKUP(B211,特殊門市清單!N:T,7,FALSE)), IF(AA211="v","Peplink",""))</f>
        <v/>
      </c>
      <c r="AA211" s="218" t="str">
        <f>IFERROR(VLOOKUP(B211,門市狀態!A:D,4,FALSE),"")</f>
        <v/>
      </c>
      <c r="AB211" s="224" t="str">
        <f>VLOOKUP(B211,門市總表!A:B,2,FALSE)</f>
        <v>三重中興北二</v>
      </c>
      <c r="AC211" s="259"/>
      <c r="AD211" s="224"/>
      <c r="AE211" s="224"/>
      <c r="AF211" s="224" t="s">
        <v>4992</v>
      </c>
      <c r="AG211" s="248" t="s">
        <v>102</v>
      </c>
      <c r="AH211" s="224" t="s">
        <v>103</v>
      </c>
    </row>
    <row r="212" spans="1:34" ht="21.6" customHeight="1">
      <c r="A212" s="2">
        <v>211</v>
      </c>
      <c r="B212" s="2" t="s">
        <v>69</v>
      </c>
      <c r="C212" s="4" t="s">
        <v>1903</v>
      </c>
      <c r="D212" s="2" t="s">
        <v>4993</v>
      </c>
      <c r="F212" s="2" t="s">
        <v>5408</v>
      </c>
      <c r="G212" s="2" t="s">
        <v>5409</v>
      </c>
      <c r="H212" s="78" t="s">
        <v>5410</v>
      </c>
      <c r="I212" s="4" t="s">
        <v>5427</v>
      </c>
      <c r="J212" s="5" t="s">
        <v>5428</v>
      </c>
      <c r="U212" s="222" t="str">
        <f t="shared" si="15"/>
        <v>新北市</v>
      </c>
      <c r="V212" s="223" t="str">
        <f t="shared" si="13"/>
        <v>三重區</v>
      </c>
      <c r="W212" s="223" t="str">
        <f t="shared" si="14"/>
        <v>中興北街42號</v>
      </c>
      <c r="X212" s="2" t="s">
        <v>326</v>
      </c>
      <c r="Y212" s="2" t="str">
        <f>VLOOKUP(V212,門市狀態!G:H,2,FALSE)</f>
        <v>劉柏均</v>
      </c>
      <c r="Z212" s="218" t="str">
        <f>IF(D212="FVC7", IF(COUNTIF(特殊門市清單!N:N, B212)=0, "FVC7", VLOOKUP(B212,特殊門市清單!N:T,7,FALSE)), IF(AA212="v","Peplink",""))</f>
        <v/>
      </c>
      <c r="AA212" s="218" t="str">
        <f>IFERROR(VLOOKUP(B212,門市狀態!A:D,4,FALSE),"")</f>
        <v/>
      </c>
      <c r="AB212" s="224" t="str">
        <f>VLOOKUP(B212,門市總表!A:B,2,FALSE)</f>
        <v>三重興德店</v>
      </c>
      <c r="AC212" s="259"/>
      <c r="AD212" s="224"/>
      <c r="AE212" s="224"/>
      <c r="AF212" s="224" t="s">
        <v>4992</v>
      </c>
      <c r="AG212" s="248" t="s">
        <v>102</v>
      </c>
      <c r="AH212" s="224" t="s">
        <v>103</v>
      </c>
    </row>
    <row r="213" spans="1:34" ht="21.6" customHeight="1">
      <c r="A213" s="2">
        <v>212</v>
      </c>
      <c r="B213" s="2">
        <v>3772</v>
      </c>
      <c r="C213" s="4" t="s">
        <v>540</v>
      </c>
      <c r="D213" s="2" t="s">
        <v>4986</v>
      </c>
      <c r="F213" s="2" t="s">
        <v>5408</v>
      </c>
      <c r="G213" s="2" t="s">
        <v>5429</v>
      </c>
      <c r="H213" s="78" t="s">
        <v>5430</v>
      </c>
      <c r="I213" s="4" t="s">
        <v>5431</v>
      </c>
      <c r="J213" s="5" t="s">
        <v>5432</v>
      </c>
      <c r="U213" s="222" t="str">
        <f t="shared" si="15"/>
        <v>新北市</v>
      </c>
      <c r="V213" s="223" t="str">
        <f t="shared" si="13"/>
        <v>三重區</v>
      </c>
      <c r="W213" s="223" t="str">
        <f t="shared" si="14"/>
        <v>溪尾街１０８巷５８號</v>
      </c>
      <c r="X213" s="2" t="s">
        <v>326</v>
      </c>
      <c r="Y213" s="2" t="str">
        <f>VLOOKUP(V213,門市狀態!G:H,2,FALSE)</f>
        <v>劉柏均</v>
      </c>
      <c r="Z213" s="218" t="str">
        <f>IF(D213="FVC7", IF(COUNTIF(特殊門市清單!N:N, B213)=0, "FVC7", VLOOKUP(B213,特殊門市清單!N:T,7,FALSE)), IF(AA213="v","Peplink",""))</f>
        <v/>
      </c>
      <c r="AA213" s="218" t="str">
        <f>IFERROR(VLOOKUP(B213,門市狀態!A:D,4,FALSE),"")</f>
        <v/>
      </c>
      <c r="AB213" s="224" t="str">
        <f>VLOOKUP(B213,門市總表!A:B,2,FALSE)</f>
        <v>三重美溪店</v>
      </c>
      <c r="AC213" s="259"/>
      <c r="AD213" s="224"/>
      <c r="AE213" s="224"/>
      <c r="AF213" s="224" t="s">
        <v>4992</v>
      </c>
      <c r="AG213" s="248" t="s">
        <v>102</v>
      </c>
      <c r="AH213" s="224" t="s">
        <v>103</v>
      </c>
    </row>
    <row r="214" spans="1:34" ht="21.6" customHeight="1">
      <c r="A214" s="2">
        <v>213</v>
      </c>
      <c r="B214" s="2">
        <v>3796</v>
      </c>
      <c r="C214" s="4" t="s">
        <v>381</v>
      </c>
      <c r="D214" s="2" t="s">
        <v>4986</v>
      </c>
      <c r="F214" s="2" t="s">
        <v>5408</v>
      </c>
      <c r="G214" s="2" t="s">
        <v>5429</v>
      </c>
      <c r="H214" s="78" t="s">
        <v>5430</v>
      </c>
      <c r="I214" s="4" t="s">
        <v>5433</v>
      </c>
      <c r="J214" s="5" t="s">
        <v>5434</v>
      </c>
      <c r="U214" s="222" t="str">
        <f t="shared" si="15"/>
        <v>新北市</v>
      </c>
      <c r="V214" s="223" t="str">
        <f t="shared" si="13"/>
        <v>三重區</v>
      </c>
      <c r="W214" s="223" t="str">
        <f t="shared" si="14"/>
        <v>進安街76號</v>
      </c>
      <c r="X214" s="2" t="s">
        <v>326</v>
      </c>
      <c r="Y214" s="2" t="str">
        <f>VLOOKUP(V214,門市狀態!G:H,2,FALSE)</f>
        <v>劉柏均</v>
      </c>
      <c r="Z214" s="218" t="str">
        <f>IF(D214="FVC7", IF(COUNTIF(特殊門市清單!N:N, B214)=0, "FVC7", VLOOKUP(B214,特殊門市清單!N:T,7,FALSE)), IF(AA214="v","Peplink",""))</f>
        <v/>
      </c>
      <c r="AA214" s="218" t="str">
        <f>IFERROR(VLOOKUP(B214,門市狀態!A:D,4,FALSE),"")</f>
        <v/>
      </c>
      <c r="AB214" s="224" t="str">
        <f>VLOOKUP(B214,門市總表!A:B,2,FALSE)</f>
        <v>三重進安店</v>
      </c>
      <c r="AC214" s="259"/>
      <c r="AD214" s="224"/>
      <c r="AE214" s="224"/>
      <c r="AF214" s="224" t="s">
        <v>4992</v>
      </c>
      <c r="AG214" s="248" t="s">
        <v>102</v>
      </c>
      <c r="AH214" s="224" t="s">
        <v>103</v>
      </c>
    </row>
    <row r="215" spans="1:34" ht="21.6" customHeight="1">
      <c r="A215" s="2">
        <v>214</v>
      </c>
      <c r="B215" s="2">
        <v>3811</v>
      </c>
      <c r="C215" s="4" t="s">
        <v>431</v>
      </c>
      <c r="D215" s="2" t="s">
        <v>4993</v>
      </c>
      <c r="F215" s="2" t="s">
        <v>5408</v>
      </c>
      <c r="G215" s="2" t="s">
        <v>5429</v>
      </c>
      <c r="H215" s="78" t="s">
        <v>5430</v>
      </c>
      <c r="I215" s="4" t="s">
        <v>5435</v>
      </c>
      <c r="J215" s="5" t="s">
        <v>5436</v>
      </c>
      <c r="U215" s="222" t="str">
        <f t="shared" si="15"/>
        <v>新北市</v>
      </c>
      <c r="V215" s="223" t="str">
        <f t="shared" si="13"/>
        <v>三重區</v>
      </c>
      <c r="W215" s="223" t="str">
        <f t="shared" si="14"/>
        <v>仁安街2號</v>
      </c>
      <c r="X215" s="2" t="s">
        <v>326</v>
      </c>
      <c r="Y215" s="2" t="str">
        <f>VLOOKUP(V215,門市狀態!G:H,2,FALSE)</f>
        <v>劉柏均</v>
      </c>
      <c r="Z215" s="218" t="str">
        <f>IF(D215="FVC7", IF(COUNTIF(特殊門市清單!N:N, B215)=0, "FVC7", VLOOKUP(B215,特殊門市清單!N:T,7,FALSE)), IF(AA215="v","Peplink",""))</f>
        <v/>
      </c>
      <c r="AA215" s="218" t="str">
        <f>IFERROR(VLOOKUP(B215,門市狀態!A:D,4,FALSE),"")</f>
        <v/>
      </c>
      <c r="AB215" s="224" t="str">
        <f>VLOOKUP(B215,門市總表!A:B,2,FALSE)</f>
        <v>三重碧華公園</v>
      </c>
      <c r="AC215" s="259"/>
      <c r="AD215" s="224"/>
      <c r="AE215" s="224"/>
      <c r="AF215" s="224" t="s">
        <v>4992</v>
      </c>
      <c r="AG215" s="248" t="s">
        <v>102</v>
      </c>
      <c r="AH215" s="224" t="s">
        <v>103</v>
      </c>
    </row>
    <row r="216" spans="1:34" ht="21.6" customHeight="1">
      <c r="A216" s="2">
        <v>215</v>
      </c>
      <c r="B216" s="2">
        <v>4098</v>
      </c>
      <c r="C216" s="4" t="s">
        <v>2136</v>
      </c>
      <c r="D216" s="2" t="s">
        <v>4986</v>
      </c>
      <c r="F216" s="2" t="s">
        <v>5408</v>
      </c>
      <c r="G216" s="2" t="s">
        <v>5429</v>
      </c>
      <c r="H216" s="78" t="s">
        <v>5430</v>
      </c>
      <c r="I216" s="4" t="s">
        <v>5437</v>
      </c>
      <c r="J216" s="5" t="s">
        <v>5438</v>
      </c>
      <c r="U216" s="222" t="str">
        <f t="shared" si="15"/>
        <v>新北市</v>
      </c>
      <c r="V216" s="223" t="str">
        <f t="shared" si="13"/>
        <v>三重區</v>
      </c>
      <c r="W216" s="223" t="str">
        <f t="shared" si="14"/>
        <v>仁美街96巷1號1樓全部</v>
      </c>
      <c r="X216" s="2" t="s">
        <v>326</v>
      </c>
      <c r="Y216" s="2" t="str">
        <f>VLOOKUP(V216,門市狀態!G:H,2,FALSE)</f>
        <v>劉柏均</v>
      </c>
      <c r="Z216" s="218" t="str">
        <f>IF(D216="FVC7", IF(COUNTIF(特殊門市清單!N:N, B216)=0, "FVC7", VLOOKUP(B216,特殊門市清單!N:T,7,FALSE)), IF(AA216="v","Peplink",""))</f>
        <v/>
      </c>
      <c r="AA216" s="218" t="str">
        <f>IFERROR(VLOOKUP(B216,門市狀態!A:D,4,FALSE),"")</f>
        <v/>
      </c>
      <c r="AB216" s="224" t="str">
        <f>VLOOKUP(B216,門市總表!A:B,2,FALSE)</f>
        <v>三重仁美店</v>
      </c>
      <c r="AC216" s="259"/>
      <c r="AD216" s="224"/>
      <c r="AE216" s="224"/>
      <c r="AF216" s="224" t="s">
        <v>4992</v>
      </c>
      <c r="AG216" s="248" t="s">
        <v>102</v>
      </c>
      <c r="AH216" s="224" t="s">
        <v>103</v>
      </c>
    </row>
    <row r="217" spans="1:34" ht="21.6" customHeight="1">
      <c r="A217" s="2">
        <v>216</v>
      </c>
      <c r="B217" s="2">
        <v>4101</v>
      </c>
      <c r="C217" s="4" t="s">
        <v>435</v>
      </c>
      <c r="D217" s="2" t="s">
        <v>4998</v>
      </c>
      <c r="F217" s="2" t="s">
        <v>5408</v>
      </c>
      <c r="G217" s="2" t="s">
        <v>5429</v>
      </c>
      <c r="H217" s="78" t="s">
        <v>5430</v>
      </c>
      <c r="I217" s="4" t="s">
        <v>5439</v>
      </c>
      <c r="J217" s="5" t="s">
        <v>5440</v>
      </c>
      <c r="U217" s="222" t="str">
        <f t="shared" si="15"/>
        <v>新北市</v>
      </c>
      <c r="V217" s="223" t="str">
        <f t="shared" si="13"/>
        <v>三重區</v>
      </c>
      <c r="W217" s="223" t="str">
        <f t="shared" si="14"/>
        <v>溪尾街293號及295號</v>
      </c>
      <c r="X217" s="2" t="s">
        <v>326</v>
      </c>
      <c r="Y217" s="2" t="str">
        <f>VLOOKUP(V217,門市狀態!G:H,2,FALSE)</f>
        <v>劉柏均</v>
      </c>
      <c r="Z217" s="218" t="str">
        <f>IF(D217="FVC7", IF(COUNTIF(特殊門市清單!N:N, B217)=0, "FVC7", VLOOKUP(B217,特殊門市清單!N:T,7,FALSE)), IF(AA217="v","Peplink",""))</f>
        <v/>
      </c>
      <c r="AA217" s="218" t="str">
        <f>IFERROR(VLOOKUP(B217,門市狀態!A:D,4,FALSE),"")</f>
        <v/>
      </c>
      <c r="AB217" s="224" t="str">
        <f>VLOOKUP(B217,門市總表!A:B,2,FALSE)</f>
        <v>三重溪華店</v>
      </c>
      <c r="AC217" s="259"/>
      <c r="AD217" s="224"/>
      <c r="AE217" s="224"/>
      <c r="AF217" s="224" t="s">
        <v>4992</v>
      </c>
      <c r="AG217" s="248" t="s">
        <v>102</v>
      </c>
      <c r="AH217" s="224" t="s">
        <v>103</v>
      </c>
    </row>
    <row r="218" spans="1:34" ht="21.6" customHeight="1">
      <c r="A218" s="2">
        <v>217</v>
      </c>
      <c r="B218" s="2">
        <v>4210</v>
      </c>
      <c r="C218" s="4" t="s">
        <v>191</v>
      </c>
      <c r="D218" s="2" t="s">
        <v>4993</v>
      </c>
      <c r="F218" s="2" t="s">
        <v>5408</v>
      </c>
      <c r="G218" s="2" t="s">
        <v>5429</v>
      </c>
      <c r="H218" s="78" t="s">
        <v>5430</v>
      </c>
      <c r="I218" s="4" t="s">
        <v>5441</v>
      </c>
      <c r="J218" s="5" t="s">
        <v>5442</v>
      </c>
      <c r="U218" s="222" t="str">
        <f t="shared" si="15"/>
        <v>新北市</v>
      </c>
      <c r="V218" s="223" t="str">
        <f t="shared" si="13"/>
        <v>三重區</v>
      </c>
      <c r="W218" s="223" t="str">
        <f t="shared" si="14"/>
        <v>五華街70號</v>
      </c>
      <c r="X218" s="2" t="s">
        <v>326</v>
      </c>
      <c r="Y218" s="2" t="str">
        <f>VLOOKUP(V218,門市狀態!G:H,2,FALSE)</f>
        <v>劉柏均</v>
      </c>
      <c r="Z218" s="218" t="str">
        <f>IF(D218="FVC7", IF(COUNTIF(特殊門市清單!N:N, B218)=0, "FVC7", VLOOKUP(B218,特殊門市清單!N:T,7,FALSE)), IF(AA218="v","Peplink",""))</f>
        <v/>
      </c>
      <c r="AA218" s="218" t="str">
        <f>IFERROR(VLOOKUP(B218,門市狀態!A:D,4,FALSE),"")</f>
        <v/>
      </c>
      <c r="AB218" s="224" t="str">
        <f>VLOOKUP(B218,門市總表!A:B,2,FALSE)</f>
        <v>三重福華店</v>
      </c>
      <c r="AC218" s="259"/>
      <c r="AD218" s="224"/>
      <c r="AE218" s="224"/>
      <c r="AF218" s="224" t="s">
        <v>4992</v>
      </c>
      <c r="AG218" s="248" t="s">
        <v>102</v>
      </c>
      <c r="AH218" s="224" t="s">
        <v>103</v>
      </c>
    </row>
    <row r="219" spans="1:34" ht="21.6" customHeight="1">
      <c r="A219" s="2">
        <v>218</v>
      </c>
      <c r="B219" s="2" t="s">
        <v>72</v>
      </c>
      <c r="C219" s="4" t="s">
        <v>2048</v>
      </c>
      <c r="D219" s="2" t="s">
        <v>4993</v>
      </c>
      <c r="F219" s="2" t="s">
        <v>5408</v>
      </c>
      <c r="G219" s="2" t="s">
        <v>5429</v>
      </c>
      <c r="H219" s="78" t="s">
        <v>5430</v>
      </c>
      <c r="I219" s="4" t="s">
        <v>5443</v>
      </c>
      <c r="J219" s="5" t="s">
        <v>5444</v>
      </c>
      <c r="U219" s="222" t="str">
        <f t="shared" si="15"/>
        <v>新北市</v>
      </c>
      <c r="V219" s="223" t="str">
        <f t="shared" si="13"/>
        <v>三重區</v>
      </c>
      <c r="W219" s="223" t="str">
        <f t="shared" si="14"/>
        <v>溪尾街192號</v>
      </c>
      <c r="X219" s="2" t="s">
        <v>326</v>
      </c>
      <c r="Y219" s="2" t="str">
        <f>VLOOKUP(V219,門市狀態!G:H,2,FALSE)</f>
        <v>劉柏均</v>
      </c>
      <c r="Z219" s="218" t="str">
        <f>IF(D219="FVC7", IF(COUNTIF(特殊門市清單!N:N, B219)=0, "FVC7", VLOOKUP(B219,特殊門市清單!N:T,7,FALSE)), IF(AA219="v","Peplink",""))</f>
        <v/>
      </c>
      <c r="AA219" s="218" t="str">
        <f>IFERROR(VLOOKUP(B219,門市狀態!A:D,4,FALSE),"")</f>
        <v/>
      </c>
      <c r="AB219" s="224" t="str">
        <f>VLOOKUP(B219,門市總表!A:B,2,FALSE)</f>
        <v>三重溪尾店</v>
      </c>
      <c r="AC219" s="259"/>
      <c r="AD219" s="224"/>
      <c r="AE219" s="224"/>
      <c r="AF219" s="224" t="s">
        <v>4992</v>
      </c>
      <c r="AG219" s="248" t="s">
        <v>102</v>
      </c>
      <c r="AH219" s="224" t="s">
        <v>103</v>
      </c>
    </row>
    <row r="220" spans="1:34" ht="21.6" customHeight="1">
      <c r="A220" s="2">
        <v>219</v>
      </c>
      <c r="B220" s="2" t="s">
        <v>53</v>
      </c>
      <c r="C220" s="4" t="s">
        <v>439</v>
      </c>
      <c r="D220" s="2" t="s">
        <v>4986</v>
      </c>
      <c r="F220" s="2" t="s">
        <v>5408</v>
      </c>
      <c r="G220" s="2" t="s">
        <v>5429</v>
      </c>
      <c r="H220" s="78" t="s">
        <v>5430</v>
      </c>
      <c r="I220" s="4" t="s">
        <v>5445</v>
      </c>
      <c r="J220" s="5" t="s">
        <v>5446</v>
      </c>
      <c r="U220" s="222" t="str">
        <f t="shared" si="15"/>
        <v>新北市</v>
      </c>
      <c r="V220" s="223" t="str">
        <f t="shared" si="13"/>
        <v>三重區</v>
      </c>
      <c r="W220" s="223" t="str">
        <f t="shared" si="14"/>
        <v>溪尾街122號</v>
      </c>
      <c r="X220" s="2" t="s">
        <v>326</v>
      </c>
      <c r="Y220" s="2" t="str">
        <f>VLOOKUP(V220,門市狀態!G:H,2,FALSE)</f>
        <v>劉柏均</v>
      </c>
      <c r="Z220" s="218" t="str">
        <f>IF(D220="FVC7", IF(COUNTIF(特殊門市清單!N:N, B220)=0, "FVC7", VLOOKUP(B220,特殊門市清單!N:T,7,FALSE)), IF(AA220="v","Peplink",""))</f>
        <v/>
      </c>
      <c r="AA220" s="218" t="str">
        <f>IFERROR(VLOOKUP(B220,門市狀態!A:D,4,FALSE),"")</f>
        <v/>
      </c>
      <c r="AB220" s="224" t="str">
        <f>VLOOKUP(B220,門市總表!A:B,2,FALSE)</f>
        <v>北縣溪尾二店</v>
      </c>
      <c r="AC220" s="259"/>
      <c r="AD220" s="224"/>
      <c r="AE220" s="224"/>
      <c r="AF220" s="224" t="s">
        <v>4992</v>
      </c>
      <c r="AG220" s="248" t="s">
        <v>102</v>
      </c>
      <c r="AH220" s="224" t="s">
        <v>103</v>
      </c>
    </row>
    <row r="221" spans="1:34" ht="21.6" customHeight="1">
      <c r="A221" s="2">
        <v>220</v>
      </c>
      <c r="B221" s="2" t="s">
        <v>60</v>
      </c>
      <c r="C221" s="4" t="s">
        <v>857</v>
      </c>
      <c r="D221" s="2" t="s">
        <v>4986</v>
      </c>
      <c r="F221" s="2" t="s">
        <v>5408</v>
      </c>
      <c r="G221" s="2" t="s">
        <v>5429</v>
      </c>
      <c r="H221" s="78" t="s">
        <v>5430</v>
      </c>
      <c r="I221" s="4" t="s">
        <v>5447</v>
      </c>
      <c r="J221" s="5" t="s">
        <v>5448</v>
      </c>
      <c r="U221" s="222" t="str">
        <f t="shared" si="15"/>
        <v>新北市</v>
      </c>
      <c r="V221" s="223" t="str">
        <f t="shared" si="13"/>
        <v>三重區</v>
      </c>
      <c r="W221" s="223" t="str">
        <f t="shared" si="14"/>
        <v>五華街60號</v>
      </c>
      <c r="X221" s="2" t="s">
        <v>326</v>
      </c>
      <c r="Y221" s="2" t="str">
        <f>VLOOKUP(V221,門市狀態!G:H,2,FALSE)</f>
        <v>劉柏均</v>
      </c>
      <c r="Z221" s="218" t="str">
        <f>IF(D221="FVC7", IF(COUNTIF(特殊門市清單!N:N, B221)=0, "FVC7", VLOOKUP(B221,特殊門市清單!N:T,7,FALSE)), IF(AA221="v","Peplink",""))</f>
        <v/>
      </c>
      <c r="AA221" s="218" t="str">
        <f>IFERROR(VLOOKUP(B221,門市狀態!A:D,4,FALSE),"")</f>
        <v/>
      </c>
      <c r="AB221" s="224" t="str">
        <f>VLOOKUP(B221,門市總表!A:B,2,FALSE)</f>
        <v>北縣五華三店</v>
      </c>
      <c r="AC221" s="259"/>
      <c r="AD221" s="224"/>
      <c r="AE221" s="224"/>
      <c r="AF221" s="224" t="s">
        <v>4992</v>
      </c>
      <c r="AG221" s="248" t="s">
        <v>102</v>
      </c>
      <c r="AH221" s="224" t="s">
        <v>103</v>
      </c>
    </row>
    <row r="222" spans="1:34" ht="21.6" customHeight="1">
      <c r="A222" s="2">
        <v>221</v>
      </c>
      <c r="B222" s="2" t="s">
        <v>64</v>
      </c>
      <c r="C222" s="4" t="s">
        <v>1743</v>
      </c>
      <c r="D222" s="2" t="s">
        <v>4993</v>
      </c>
      <c r="F222" s="2" t="s">
        <v>5408</v>
      </c>
      <c r="G222" s="2" t="s">
        <v>5429</v>
      </c>
      <c r="H222" s="78" t="s">
        <v>5430</v>
      </c>
      <c r="I222" s="4" t="s">
        <v>5449</v>
      </c>
      <c r="J222" s="5" t="s">
        <v>5450</v>
      </c>
      <c r="U222" s="222" t="str">
        <f t="shared" si="15"/>
        <v>新北市</v>
      </c>
      <c r="V222" s="223" t="str">
        <f t="shared" si="13"/>
        <v>三重區</v>
      </c>
      <c r="W222" s="223" t="str">
        <f t="shared" si="14"/>
        <v>仁愛街253號</v>
      </c>
      <c r="X222" s="2" t="s">
        <v>326</v>
      </c>
      <c r="Y222" s="2" t="str">
        <f>VLOOKUP(V222,門市狀態!G:H,2,FALSE)</f>
        <v>劉柏均</v>
      </c>
      <c r="Z222" s="218" t="str">
        <f>IF(D222="FVC7", IF(COUNTIF(特殊門市清單!N:N, B222)=0, "FVC7", VLOOKUP(B222,特殊門市清單!N:T,7,FALSE)), IF(AA222="v","Peplink",""))</f>
        <v/>
      </c>
      <c r="AA222" s="218" t="str">
        <f>IFERROR(VLOOKUP(B222,門市狀態!A:D,4,FALSE),"")</f>
        <v/>
      </c>
      <c r="AB222" s="224" t="str">
        <f>VLOOKUP(B222,門市總表!A:B,2,FALSE)</f>
        <v>三重福隆店</v>
      </c>
      <c r="AC222" s="259"/>
      <c r="AD222" s="224"/>
      <c r="AE222" s="224"/>
      <c r="AF222" s="224" t="s">
        <v>4992</v>
      </c>
      <c r="AG222" s="248" t="s">
        <v>102</v>
      </c>
      <c r="AH222" s="224"/>
    </row>
    <row r="223" spans="1:34" ht="21.6" customHeight="1">
      <c r="A223" s="2">
        <v>222</v>
      </c>
      <c r="B223" s="2">
        <v>2303</v>
      </c>
      <c r="C223" s="4" t="s">
        <v>1597</v>
      </c>
      <c r="D223" s="2" t="s">
        <v>4998</v>
      </c>
      <c r="F223" s="2" t="s">
        <v>5408</v>
      </c>
      <c r="G223" s="2" t="s">
        <v>5451</v>
      </c>
      <c r="H223" s="78" t="s">
        <v>5452</v>
      </c>
      <c r="I223" s="4" t="s">
        <v>5453</v>
      </c>
      <c r="J223" s="5" t="s">
        <v>5454</v>
      </c>
      <c r="U223" s="222" t="str">
        <f t="shared" si="15"/>
        <v>新北市</v>
      </c>
      <c r="V223" s="223" t="str">
        <f t="shared" si="13"/>
        <v>三重區</v>
      </c>
      <c r="W223" s="223" t="str">
        <f t="shared" si="14"/>
        <v>中央北路132號</v>
      </c>
      <c r="X223" s="2" t="s">
        <v>326</v>
      </c>
      <c r="Y223" s="2" t="str">
        <f>VLOOKUP(V223,門市狀態!G:H,2,FALSE)</f>
        <v>劉柏均</v>
      </c>
      <c r="Z223" s="218" t="str">
        <f>IF(D223="FVC7", IF(COUNTIF(特殊門市清單!N:N, B223)=0, "FVC7", VLOOKUP(B223,特殊門市清單!N:T,7,FALSE)), IF(AA223="v","Peplink",""))</f>
        <v/>
      </c>
      <c r="AA223" s="218" t="str">
        <f>IFERROR(VLOOKUP(B223,門市狀態!A:D,4,FALSE),"")</f>
        <v/>
      </c>
      <c r="AB223" s="224" t="str">
        <f>VLOOKUP(B223,門市總表!A:B,2,FALSE)</f>
        <v>三重三和夜市</v>
      </c>
      <c r="AC223" s="259"/>
      <c r="AD223" s="224"/>
      <c r="AE223" s="224" t="s">
        <v>4985</v>
      </c>
      <c r="AF223" s="224" t="s">
        <v>4992</v>
      </c>
      <c r="AG223" s="248" t="s">
        <v>102</v>
      </c>
      <c r="AH223" s="224" t="s">
        <v>103</v>
      </c>
    </row>
    <row r="224" spans="1:34" ht="21.6" customHeight="1">
      <c r="A224" s="2">
        <v>223</v>
      </c>
      <c r="B224" s="2">
        <v>3623</v>
      </c>
      <c r="C224" s="4" t="s">
        <v>186</v>
      </c>
      <c r="D224" s="2" t="s">
        <v>4993</v>
      </c>
      <c r="F224" s="2" t="s">
        <v>5408</v>
      </c>
      <c r="G224" s="2" t="s">
        <v>5451</v>
      </c>
      <c r="H224" s="78" t="s">
        <v>5452</v>
      </c>
      <c r="I224" s="4" t="s">
        <v>5455</v>
      </c>
      <c r="J224" s="5" t="s">
        <v>5456</v>
      </c>
      <c r="U224" s="222" t="str">
        <f t="shared" si="15"/>
        <v>新北市</v>
      </c>
      <c r="V224" s="223" t="str">
        <f t="shared" si="13"/>
        <v>三重區</v>
      </c>
      <c r="W224" s="223" t="str">
        <f t="shared" si="14"/>
        <v>自強路二段74巷1號及特76號</v>
      </c>
      <c r="X224" s="2" t="s">
        <v>326</v>
      </c>
      <c r="Y224" s="2" t="str">
        <f>VLOOKUP(V224,門市狀態!G:H,2,FALSE)</f>
        <v>劉柏均</v>
      </c>
      <c r="Z224" s="218" t="str">
        <f>IF(D224="FVC7", IF(COUNTIF(特殊門市清單!N:N, B224)=0, "FVC7", VLOOKUP(B224,特殊門市清單!N:T,7,FALSE)), IF(AA224="v","Peplink",""))</f>
        <v/>
      </c>
      <c r="AA224" s="218" t="str">
        <f>IFERROR(VLOOKUP(B224,門市狀態!A:D,4,FALSE),"")</f>
        <v/>
      </c>
      <c r="AB224" s="224" t="str">
        <f>VLOOKUP(B224,門市總表!A:B,2,FALSE)</f>
        <v>三重自強店</v>
      </c>
      <c r="AC224" s="259"/>
      <c r="AD224" s="224"/>
      <c r="AE224" s="224"/>
      <c r="AF224" s="224" t="s">
        <v>4992</v>
      </c>
      <c r="AG224" s="248" t="s">
        <v>102</v>
      </c>
      <c r="AH224" s="224" t="s">
        <v>103</v>
      </c>
    </row>
    <row r="225" spans="1:34" ht="21.6" customHeight="1">
      <c r="A225" s="2">
        <v>224</v>
      </c>
      <c r="B225" s="2">
        <v>4155</v>
      </c>
      <c r="C225" s="4" t="s">
        <v>1234</v>
      </c>
      <c r="D225" s="2" t="s">
        <v>4993</v>
      </c>
      <c r="F225" s="2" t="s">
        <v>5408</v>
      </c>
      <c r="G225" s="2" t="s">
        <v>5451</v>
      </c>
      <c r="H225" s="78" t="s">
        <v>5452</v>
      </c>
      <c r="I225" s="4" t="s">
        <v>5457</v>
      </c>
      <c r="J225" s="5" t="s">
        <v>5458</v>
      </c>
      <c r="U225" s="222" t="str">
        <f t="shared" si="15"/>
        <v>新北市</v>
      </c>
      <c r="V225" s="223" t="str">
        <f t="shared" si="13"/>
        <v>三重區</v>
      </c>
      <c r="W225" s="223" t="str">
        <f t="shared" si="14"/>
        <v>中正北路415號及417號1樓全部</v>
      </c>
      <c r="X225" s="2" t="s">
        <v>326</v>
      </c>
      <c r="Y225" s="2" t="str">
        <f>VLOOKUP(V225,門市狀態!G:H,2,FALSE)</f>
        <v>劉柏均</v>
      </c>
      <c r="Z225" s="218" t="str">
        <f>IF(D225="FVC7", IF(COUNTIF(特殊門市清單!N:N, B225)=0, "FVC7", VLOOKUP(B225,特殊門市清單!N:T,7,FALSE)), IF(AA225="v","Peplink",""))</f>
        <v/>
      </c>
      <c r="AA225" s="218" t="str">
        <f>IFERROR(VLOOKUP(B225,門市狀態!A:D,4,FALSE),"")</f>
        <v/>
      </c>
      <c r="AB225" s="224" t="str">
        <f>VLOOKUP(B225,門市總表!A:B,2,FALSE)</f>
        <v>三重穀保店</v>
      </c>
      <c r="AC225" s="259"/>
      <c r="AD225" s="224"/>
      <c r="AE225" s="224"/>
      <c r="AF225" s="224" t="s">
        <v>4992</v>
      </c>
      <c r="AG225" s="248" t="s">
        <v>102</v>
      </c>
      <c r="AH225" s="224" t="s">
        <v>103</v>
      </c>
    </row>
    <row r="226" spans="1:34" ht="21.6" customHeight="1">
      <c r="A226" s="2">
        <v>225</v>
      </c>
      <c r="B226" s="2">
        <v>4352</v>
      </c>
      <c r="C226" s="4" t="s">
        <v>690</v>
      </c>
      <c r="D226" s="2" t="s">
        <v>4986</v>
      </c>
      <c r="F226" s="2" t="s">
        <v>5408</v>
      </c>
      <c r="G226" s="2" t="s">
        <v>5451</v>
      </c>
      <c r="H226" s="78" t="s">
        <v>5452</v>
      </c>
      <c r="I226" s="4" t="s">
        <v>5459</v>
      </c>
      <c r="J226" s="5" t="s">
        <v>5460</v>
      </c>
      <c r="U226" s="222" t="str">
        <f t="shared" si="15"/>
        <v>新北市</v>
      </c>
      <c r="V226" s="223" t="str">
        <f t="shared" si="13"/>
        <v>三重區</v>
      </c>
      <c r="W226" s="223" t="str">
        <f t="shared" si="14"/>
        <v>仁興街28巷44、46號</v>
      </c>
      <c r="X226" s="2" t="s">
        <v>326</v>
      </c>
      <c r="Y226" s="2" t="str">
        <f>VLOOKUP(V226,門市狀態!G:H,2,FALSE)</f>
        <v>劉柏均</v>
      </c>
      <c r="Z226" s="218" t="str">
        <f>IF(D226="FVC7", IF(COUNTIF(特殊門市清單!N:N, B226)=0, "FVC7", VLOOKUP(B226,特殊門市清單!N:T,7,FALSE)), IF(AA226="v","Peplink",""))</f>
        <v/>
      </c>
      <c r="AA226" s="218" t="str">
        <f>IFERROR(VLOOKUP(B226,門市狀態!A:D,4,FALSE),"")</f>
        <v/>
      </c>
      <c r="AB226" s="224" t="str">
        <f>VLOOKUP(B226,門市總表!A:B,2,FALSE)</f>
        <v>三重公園店</v>
      </c>
      <c r="AC226" s="259"/>
      <c r="AD226" s="224"/>
      <c r="AE226" s="224"/>
      <c r="AF226" s="224" t="s">
        <v>4992</v>
      </c>
      <c r="AG226" s="248" t="s">
        <v>102</v>
      </c>
      <c r="AH226" s="224" t="s">
        <v>103</v>
      </c>
    </row>
    <row r="227" spans="1:34" ht="21.6" customHeight="1">
      <c r="A227" s="2">
        <v>226</v>
      </c>
      <c r="B227" s="2">
        <v>4388</v>
      </c>
      <c r="C227" s="4" t="s">
        <v>1242</v>
      </c>
      <c r="D227" s="2" t="s">
        <v>4993</v>
      </c>
      <c r="F227" s="2" t="s">
        <v>5408</v>
      </c>
      <c r="G227" s="2" t="s">
        <v>5451</v>
      </c>
      <c r="H227" s="78" t="s">
        <v>5452</v>
      </c>
      <c r="I227" s="4" t="s">
        <v>5461</v>
      </c>
      <c r="J227" s="5" t="s">
        <v>5462</v>
      </c>
      <c r="U227" s="222" t="str">
        <f t="shared" si="15"/>
        <v>新北市</v>
      </c>
      <c r="V227" s="223" t="str">
        <f t="shared" si="13"/>
        <v>三重區</v>
      </c>
      <c r="W227" s="223" t="str">
        <f t="shared" si="14"/>
        <v>後竹圍街177+179號</v>
      </c>
      <c r="X227" s="2" t="s">
        <v>326</v>
      </c>
      <c r="Y227" s="2" t="str">
        <f>VLOOKUP(V227,門市狀態!G:H,2,FALSE)</f>
        <v>劉柏均</v>
      </c>
      <c r="Z227" s="218" t="str">
        <f>IF(D227="FVC7", IF(COUNTIF(特殊門市清單!N:N, B227)=0, "FVC7", VLOOKUP(B227,特殊門市清單!N:T,7,FALSE)), IF(AA227="v","Peplink",""))</f>
        <v/>
      </c>
      <c r="AA227" s="218" t="str">
        <f>IFERROR(VLOOKUP(B227,門市狀態!A:D,4,FALSE),"")</f>
        <v/>
      </c>
      <c r="AB227" s="224" t="str">
        <f>VLOOKUP(B227,門市總表!A:B,2,FALSE)</f>
        <v>三重薔薇店</v>
      </c>
      <c r="AC227" s="259"/>
      <c r="AD227" s="224"/>
      <c r="AE227" s="224"/>
      <c r="AF227" s="224" t="s">
        <v>4992</v>
      </c>
      <c r="AG227" s="248" t="s">
        <v>102</v>
      </c>
      <c r="AH227" s="224" t="s">
        <v>103</v>
      </c>
    </row>
    <row r="228" spans="1:34" ht="21.6" customHeight="1">
      <c r="A228" s="2">
        <v>227</v>
      </c>
      <c r="B228" s="2">
        <v>4397</v>
      </c>
      <c r="C228" s="4" t="s">
        <v>682</v>
      </c>
      <c r="D228" s="2" t="s">
        <v>4998</v>
      </c>
      <c r="F228" s="2" t="s">
        <v>5408</v>
      </c>
      <c r="G228" s="2" t="s">
        <v>5451</v>
      </c>
      <c r="H228" s="78" t="s">
        <v>5452</v>
      </c>
      <c r="I228" s="4" t="s">
        <v>5463</v>
      </c>
      <c r="J228" s="5" t="s">
        <v>5464</v>
      </c>
      <c r="U228" s="222" t="str">
        <f t="shared" si="15"/>
        <v>新北市</v>
      </c>
      <c r="V228" s="223" t="str">
        <f t="shared" si="13"/>
        <v>三重區</v>
      </c>
      <c r="W228" s="223" t="str">
        <f t="shared" si="14"/>
        <v>仁愛街72號一樓</v>
      </c>
      <c r="X228" s="2" t="s">
        <v>326</v>
      </c>
      <c r="Y228" s="2" t="str">
        <f>VLOOKUP(V228,門市狀態!G:H,2,FALSE)</f>
        <v>劉柏均</v>
      </c>
      <c r="Z228" s="218" t="str">
        <f>IF(D228="FVC7", IF(COUNTIF(特殊門市清單!N:N, B228)=0, "FVC7", VLOOKUP(B228,特殊門市清單!N:T,7,FALSE)), IF(AA228="v","Peplink",""))</f>
        <v/>
      </c>
      <c r="AA228" s="218" t="str">
        <f>IFERROR(VLOOKUP(B228,門市狀態!A:D,4,FALSE),"")</f>
        <v/>
      </c>
      <c r="AB228" s="224" t="str">
        <f>VLOOKUP(B228,門市總表!A:B,2,FALSE)</f>
        <v>三重仁旺店</v>
      </c>
      <c r="AC228" s="259"/>
      <c r="AD228" s="224"/>
      <c r="AE228" s="224"/>
      <c r="AF228" s="224" t="s">
        <v>4992</v>
      </c>
      <c r="AG228" s="248" t="s">
        <v>102</v>
      </c>
      <c r="AH228" s="224" t="s">
        <v>103</v>
      </c>
    </row>
    <row r="229" spans="1:34" ht="21.6" customHeight="1">
      <c r="A229" s="2">
        <v>228</v>
      </c>
      <c r="B229" s="2">
        <v>4652</v>
      </c>
      <c r="C229" s="4" t="s">
        <v>845</v>
      </c>
      <c r="D229" s="2" t="s">
        <v>4986</v>
      </c>
      <c r="F229" s="2" t="s">
        <v>5408</v>
      </c>
      <c r="G229" s="2" t="s">
        <v>5451</v>
      </c>
      <c r="H229" s="78" t="s">
        <v>5452</v>
      </c>
      <c r="I229" s="4" t="s">
        <v>5465</v>
      </c>
      <c r="J229" s="5" t="s">
        <v>5466</v>
      </c>
      <c r="U229" s="222" t="str">
        <f t="shared" si="15"/>
        <v>新北市</v>
      </c>
      <c r="V229" s="223" t="str">
        <f t="shared" si="13"/>
        <v>三重區</v>
      </c>
      <c r="W229" s="223" t="str">
        <f t="shared" si="14"/>
        <v>中正北路278、280及282號</v>
      </c>
      <c r="X229" s="2" t="s">
        <v>326</v>
      </c>
      <c r="Y229" s="2" t="str">
        <f>VLOOKUP(V229,門市狀態!G:H,2,FALSE)</f>
        <v>劉柏均</v>
      </c>
      <c r="Z229" s="218" t="str">
        <f>IF(D229="FVC7", IF(COUNTIF(特殊門市清單!N:N, B229)=0, "FVC7", VLOOKUP(B229,特殊門市清單!N:T,7,FALSE)), IF(AA229="v","Peplink",""))</f>
        <v/>
      </c>
      <c r="AA229" s="218" t="str">
        <f>IFERROR(VLOOKUP(B229,門市狀態!A:D,4,FALSE),"")</f>
        <v/>
      </c>
      <c r="AB229" s="224" t="str">
        <f>VLOOKUP(B229,門市總表!A:B,2,FALSE)</f>
        <v>三重商工店</v>
      </c>
      <c r="AC229" s="259"/>
      <c r="AD229" s="224"/>
      <c r="AE229" s="224"/>
      <c r="AF229" s="224" t="s">
        <v>4992</v>
      </c>
      <c r="AG229" s="248" t="s">
        <v>102</v>
      </c>
      <c r="AH229" s="224"/>
    </row>
    <row r="230" spans="1:34" ht="21.6" customHeight="1">
      <c r="A230" s="2">
        <v>229</v>
      </c>
      <c r="B230" s="2">
        <v>4968</v>
      </c>
      <c r="C230" s="4" t="s">
        <v>849</v>
      </c>
      <c r="D230" s="2" t="s">
        <v>4993</v>
      </c>
      <c r="F230" s="2" t="s">
        <v>5408</v>
      </c>
      <c r="G230" s="2" t="s">
        <v>5451</v>
      </c>
      <c r="H230" s="78" t="s">
        <v>5452</v>
      </c>
      <c r="I230" s="4" t="s">
        <v>5467</v>
      </c>
      <c r="J230" s="5" t="s">
        <v>5468</v>
      </c>
      <c r="U230" s="222" t="str">
        <f t="shared" si="15"/>
        <v>新北市</v>
      </c>
      <c r="V230" s="223" t="str">
        <f t="shared" si="13"/>
        <v>三重區</v>
      </c>
      <c r="W230" s="223" t="str">
        <f t="shared" si="14"/>
        <v>中正北路430號及430之1號一樓全部</v>
      </c>
      <c r="X230" s="2" t="s">
        <v>326</v>
      </c>
      <c r="Y230" s="2" t="str">
        <f>VLOOKUP(V230,門市狀態!G:H,2,FALSE)</f>
        <v>劉柏均</v>
      </c>
      <c r="Z230" s="218" t="str">
        <f>IF(D230="FVC7", IF(COUNTIF(特殊門市清單!N:N, B230)=0, "FVC7", VLOOKUP(B230,特殊門市清單!N:T,7,FALSE)), IF(AA230="v","Peplink",""))</f>
        <v/>
      </c>
      <c r="AA230" s="218" t="str">
        <f>IFERROR(VLOOKUP(B230,門市狀態!A:D,4,FALSE),"")</f>
        <v/>
      </c>
      <c r="AB230" s="224" t="str">
        <f>VLOOKUP(B230,門市總表!A:B,2,FALSE)</f>
        <v>三重太璞宮</v>
      </c>
      <c r="AC230" s="259"/>
      <c r="AD230" s="224"/>
      <c r="AE230" s="224" t="s">
        <v>4985</v>
      </c>
      <c r="AF230" s="224" t="s">
        <v>4992</v>
      </c>
      <c r="AG230" s="248" t="s">
        <v>102</v>
      </c>
      <c r="AH230" s="224" t="s">
        <v>103</v>
      </c>
    </row>
    <row r="231" spans="1:34" ht="21.6" customHeight="1">
      <c r="A231" s="2">
        <v>230</v>
      </c>
      <c r="B231" s="2" t="s">
        <v>63</v>
      </c>
      <c r="C231" s="4" t="s">
        <v>195</v>
      </c>
      <c r="D231" s="2" t="s">
        <v>4986</v>
      </c>
      <c r="F231" s="2" t="s">
        <v>5408</v>
      </c>
      <c r="G231" s="2" t="s">
        <v>5451</v>
      </c>
      <c r="H231" s="78" t="s">
        <v>5452</v>
      </c>
      <c r="I231" s="4" t="s">
        <v>5469</v>
      </c>
      <c r="J231" s="5" t="s">
        <v>5470</v>
      </c>
      <c r="U231" s="222" t="str">
        <f t="shared" si="15"/>
        <v>新北市</v>
      </c>
      <c r="V231" s="223" t="str">
        <f t="shared" si="13"/>
        <v>三重區</v>
      </c>
      <c r="W231" s="223" t="str">
        <f t="shared" si="14"/>
        <v>車路頭街35號</v>
      </c>
      <c r="X231" s="2" t="s">
        <v>326</v>
      </c>
      <c r="Y231" s="2" t="str">
        <f>VLOOKUP(V231,門市狀態!G:H,2,FALSE)</f>
        <v>劉柏均</v>
      </c>
      <c r="Z231" s="218" t="str">
        <f>IF(D231="FVC7", IF(COUNTIF(特殊門市清單!N:N, B231)=0, "FVC7", VLOOKUP(B231,特殊門市清單!N:T,7,FALSE)), IF(AA231="v","Peplink",""))</f>
        <v/>
      </c>
      <c r="AA231" s="218" t="str">
        <f>IFERROR(VLOOKUP(B231,門市狀態!A:D,4,FALSE),"")</f>
        <v/>
      </c>
      <c r="AB231" s="224" t="str">
        <f>VLOOKUP(B231,門市總表!A:B,2,FALSE)</f>
        <v>三重車路頭</v>
      </c>
      <c r="AC231" s="259"/>
      <c r="AD231" s="224"/>
      <c r="AE231" s="224"/>
      <c r="AF231" s="224" t="s">
        <v>4992</v>
      </c>
      <c r="AG231" s="248" t="s">
        <v>102</v>
      </c>
      <c r="AH231" s="224" t="s">
        <v>103</v>
      </c>
    </row>
    <row r="232" spans="1:34" ht="21.6" customHeight="1">
      <c r="A232" s="2">
        <v>231</v>
      </c>
      <c r="B232" s="2" t="s">
        <v>57</v>
      </c>
      <c r="C232" s="4" t="s">
        <v>366</v>
      </c>
      <c r="D232" s="2" t="s">
        <v>4986</v>
      </c>
      <c r="F232" s="2" t="s">
        <v>5408</v>
      </c>
      <c r="G232" s="2" t="s">
        <v>5451</v>
      </c>
      <c r="H232" s="78" t="s">
        <v>5452</v>
      </c>
      <c r="I232" s="4" t="s">
        <v>5471</v>
      </c>
      <c r="J232" s="5" t="s">
        <v>5472</v>
      </c>
      <c r="U232" s="222" t="str">
        <f t="shared" si="15"/>
        <v>新北市</v>
      </c>
      <c r="V232" s="223" t="str">
        <f t="shared" si="13"/>
        <v>三重區</v>
      </c>
      <c r="W232" s="223" t="str">
        <f t="shared" si="14"/>
        <v>中正北路518號</v>
      </c>
      <c r="X232" s="2" t="s">
        <v>326</v>
      </c>
      <c r="Y232" s="2" t="str">
        <f>VLOOKUP(V232,門市狀態!G:H,2,FALSE)</f>
        <v>劉柏均</v>
      </c>
      <c r="Z232" s="218" t="str">
        <f>IF(D232="FVC7", IF(COUNTIF(特殊門市清單!N:N, B232)=0, "FVC7", VLOOKUP(B232,特殊門市清單!N:T,7,FALSE)), IF(AA232="v","Peplink",""))</f>
        <v/>
      </c>
      <c r="AA232" s="218" t="str">
        <f>IFERROR(VLOOKUP(B232,門市狀態!A:D,4,FALSE),"")</f>
        <v/>
      </c>
      <c r="AB232" s="224" t="str">
        <f>VLOOKUP(B232,門市總表!A:B,2,FALSE)</f>
        <v>三重大有店</v>
      </c>
      <c r="AC232" s="259"/>
      <c r="AD232" s="224"/>
      <c r="AE232" s="224"/>
      <c r="AF232" s="224" t="s">
        <v>4992</v>
      </c>
      <c r="AG232" s="248" t="s">
        <v>102</v>
      </c>
      <c r="AH232" s="224" t="s">
        <v>103</v>
      </c>
    </row>
    <row r="233" spans="1:34" ht="21.6" customHeight="1">
      <c r="A233" s="2">
        <v>232</v>
      </c>
      <c r="B233" s="2">
        <v>2302</v>
      </c>
      <c r="C233" s="4" t="s">
        <v>666</v>
      </c>
      <c r="D233" s="2" t="s">
        <v>4986</v>
      </c>
      <c r="F233" s="2" t="s">
        <v>5408</v>
      </c>
      <c r="G233" s="2" t="s">
        <v>5473</v>
      </c>
      <c r="H233" s="78" t="s">
        <v>5474</v>
      </c>
      <c r="I233" s="4" t="s">
        <v>5475</v>
      </c>
      <c r="J233" s="5" t="s">
        <v>5476</v>
      </c>
      <c r="U233" s="222" t="str">
        <f t="shared" si="15"/>
        <v>新北市</v>
      </c>
      <c r="V233" s="223" t="str">
        <f t="shared" si="13"/>
        <v>三重區</v>
      </c>
      <c r="W233" s="223" t="str">
        <f t="shared" si="14"/>
        <v>大同南路69號</v>
      </c>
      <c r="X233" s="2" t="s">
        <v>326</v>
      </c>
      <c r="Y233" s="2" t="str">
        <f>VLOOKUP(V233,門市狀態!G:H,2,FALSE)</f>
        <v>劉柏均</v>
      </c>
      <c r="Z233" s="218" t="str">
        <f>IF(D233="FVC7", IF(COUNTIF(特殊門市清單!N:N, B233)=0, "FVC7", VLOOKUP(B233,特殊門市清單!N:T,7,FALSE)), IF(AA233="v","Peplink",""))</f>
        <v/>
      </c>
      <c r="AA233" s="218" t="str">
        <f>IFERROR(VLOOKUP(B233,門市狀態!A:D,4,FALSE),"")</f>
        <v/>
      </c>
      <c r="AB233" s="224" t="str">
        <f>VLOOKUP(B233,門市總表!A:B,2,FALSE)</f>
        <v>三重重安店</v>
      </c>
      <c r="AC233" s="259"/>
      <c r="AD233" s="224"/>
      <c r="AE233" s="224"/>
      <c r="AF233" s="224" t="s">
        <v>4992</v>
      </c>
      <c r="AG233" s="248" t="s">
        <v>102</v>
      </c>
      <c r="AH233" s="224" t="s">
        <v>103</v>
      </c>
    </row>
    <row r="234" spans="1:34" ht="21.6" customHeight="1">
      <c r="A234" s="2">
        <v>233</v>
      </c>
      <c r="B234" s="2">
        <v>2321</v>
      </c>
      <c r="C234" s="4" t="s">
        <v>658</v>
      </c>
      <c r="D234" s="2" t="s">
        <v>4986</v>
      </c>
      <c r="F234" s="2" t="s">
        <v>5408</v>
      </c>
      <c r="G234" s="2" t="s">
        <v>5473</v>
      </c>
      <c r="H234" s="78" t="s">
        <v>5474</v>
      </c>
      <c r="I234" s="4" t="s">
        <v>5477</v>
      </c>
      <c r="J234" s="5" t="s">
        <v>5478</v>
      </c>
      <c r="U234" s="222" t="str">
        <f t="shared" si="15"/>
        <v>新北市</v>
      </c>
      <c r="V234" s="223" t="str">
        <f t="shared" si="13"/>
        <v>三重區</v>
      </c>
      <c r="W234" s="223" t="str">
        <f t="shared" si="14"/>
        <v>大同南路153,153-1號</v>
      </c>
      <c r="X234" s="2" t="s">
        <v>326</v>
      </c>
      <c r="Y234" s="2" t="str">
        <f>VLOOKUP(V234,門市狀態!G:H,2,FALSE)</f>
        <v>劉柏均</v>
      </c>
      <c r="Z234" s="218" t="str">
        <f>IF(D234="FVC7", IF(COUNTIF(特殊門市清單!N:N, B234)=0, "FVC7", VLOOKUP(B234,特殊門市清單!N:T,7,FALSE)), IF(AA234="v","Peplink",""))</f>
        <v/>
      </c>
      <c r="AA234" s="218" t="str">
        <f>IFERROR(VLOOKUP(B234,門市狀態!A:D,4,FALSE),"")</f>
        <v/>
      </c>
      <c r="AB234" s="224" t="str">
        <f>VLOOKUP(B234,門市總表!A:B,2,FALSE)</f>
        <v>三重同安店</v>
      </c>
      <c r="AC234" s="259"/>
      <c r="AD234" s="224"/>
      <c r="AE234" s="224"/>
      <c r="AF234" s="224" t="s">
        <v>4992</v>
      </c>
      <c r="AG234" s="248" t="s">
        <v>102</v>
      </c>
      <c r="AH234" s="224" t="s">
        <v>103</v>
      </c>
    </row>
    <row r="235" spans="1:34" ht="21.6" customHeight="1">
      <c r="A235" s="2">
        <v>234</v>
      </c>
      <c r="B235" s="2">
        <v>2543</v>
      </c>
      <c r="C235" s="4" t="s">
        <v>1843</v>
      </c>
      <c r="D235" s="2" t="s">
        <v>4998</v>
      </c>
      <c r="F235" s="2" t="s">
        <v>5408</v>
      </c>
      <c r="G235" s="2" t="s">
        <v>5473</v>
      </c>
      <c r="H235" s="78" t="s">
        <v>5474</v>
      </c>
      <c r="I235" s="4" t="s">
        <v>5479</v>
      </c>
      <c r="J235" s="5" t="s">
        <v>5480</v>
      </c>
      <c r="U235" s="222" t="str">
        <f t="shared" si="15"/>
        <v>新北市</v>
      </c>
      <c r="V235" s="223" t="str">
        <f t="shared" si="13"/>
        <v>三重區</v>
      </c>
      <c r="W235" s="223" t="str">
        <f t="shared" si="14"/>
        <v>大仁街78號</v>
      </c>
      <c r="X235" s="2" t="s">
        <v>326</v>
      </c>
      <c r="Y235" s="2" t="str">
        <f>VLOOKUP(V235,門市狀態!G:H,2,FALSE)</f>
        <v>劉柏均</v>
      </c>
      <c r="Z235" s="218" t="str">
        <f>IF(D235="FVC7", IF(COUNTIF(特殊門市清單!N:N, B235)=0, "FVC7", VLOOKUP(B235,特殊門市清單!N:T,7,FALSE)), IF(AA235="v","Peplink",""))</f>
        <v/>
      </c>
      <c r="AA235" s="218" t="str">
        <f>IFERROR(VLOOKUP(B235,門市狀態!A:D,4,FALSE),"")</f>
        <v/>
      </c>
      <c r="AB235" s="224" t="str">
        <f>VLOOKUP(B235,門市總表!A:B,2,FALSE)</f>
        <v>三重大仁店</v>
      </c>
      <c r="AC235" s="259"/>
      <c r="AD235" s="224"/>
      <c r="AE235" s="224"/>
      <c r="AF235" s="224" t="s">
        <v>4992</v>
      </c>
      <c r="AG235" s="248" t="s">
        <v>102</v>
      </c>
      <c r="AH235" s="224" t="s">
        <v>103</v>
      </c>
    </row>
    <row r="236" spans="1:34" ht="21.6" customHeight="1">
      <c r="A236" s="2">
        <v>235</v>
      </c>
      <c r="B236" s="2">
        <v>2759</v>
      </c>
      <c r="C236" s="4" t="s">
        <v>2197</v>
      </c>
      <c r="D236" s="2" t="s">
        <v>4993</v>
      </c>
      <c r="F236" s="2" t="s">
        <v>5408</v>
      </c>
      <c r="G236" s="2" t="s">
        <v>5473</v>
      </c>
      <c r="H236" s="78" t="s">
        <v>5474</v>
      </c>
      <c r="I236" s="4" t="s">
        <v>5481</v>
      </c>
      <c r="J236" s="5" t="s">
        <v>5482</v>
      </c>
      <c r="U236" s="222" t="str">
        <f t="shared" si="15"/>
        <v>新北市</v>
      </c>
      <c r="V236" s="223" t="str">
        <f t="shared" si="13"/>
        <v>三重區</v>
      </c>
      <c r="W236" s="223" t="str">
        <f t="shared" si="14"/>
        <v>仁化街118.120號</v>
      </c>
      <c r="X236" s="2" t="s">
        <v>326</v>
      </c>
      <c r="Y236" s="2" t="str">
        <f>VLOOKUP(V236,門市狀態!G:H,2,FALSE)</f>
        <v>劉柏均</v>
      </c>
      <c r="Z236" s="218" t="str">
        <f>IF(D236="FVC7", IF(COUNTIF(特殊門市清單!N:N, B236)=0, "FVC7", VLOOKUP(B236,特殊門市清單!N:T,7,FALSE)), IF(AA236="v","Peplink",""))</f>
        <v/>
      </c>
      <c r="AA236" s="218" t="str">
        <f>IFERROR(VLOOKUP(B236,門市狀態!A:D,4,FALSE),"")</f>
        <v/>
      </c>
      <c r="AB236" s="224" t="str">
        <f>VLOOKUP(B236,門市總表!A:B,2,FALSE)</f>
        <v>三重仁化店</v>
      </c>
      <c r="AC236" s="259"/>
      <c r="AD236" s="224"/>
      <c r="AE236" s="224"/>
      <c r="AF236" s="224" t="s">
        <v>4992</v>
      </c>
      <c r="AG236" s="248" t="s">
        <v>102</v>
      </c>
      <c r="AH236" s="224" t="s">
        <v>103</v>
      </c>
    </row>
    <row r="237" spans="1:34" ht="21.6" customHeight="1">
      <c r="A237" s="2">
        <v>236</v>
      </c>
      <c r="B237" s="2">
        <v>3741</v>
      </c>
      <c r="C237" s="4" t="s">
        <v>670</v>
      </c>
      <c r="D237" s="2" t="s">
        <v>4986</v>
      </c>
      <c r="F237" s="2" t="s">
        <v>5408</v>
      </c>
      <c r="G237" s="2" t="s">
        <v>5473</v>
      </c>
      <c r="H237" s="78" t="s">
        <v>5474</v>
      </c>
      <c r="I237" s="4" t="s">
        <v>5483</v>
      </c>
      <c r="J237" s="5" t="s">
        <v>5484</v>
      </c>
      <c r="U237" s="222" t="str">
        <f t="shared" si="15"/>
        <v>新北市</v>
      </c>
      <c r="V237" s="223" t="str">
        <f t="shared" si="13"/>
        <v>三重區</v>
      </c>
      <c r="W237" s="223" t="str">
        <f t="shared" si="14"/>
        <v>重新路三段2號</v>
      </c>
      <c r="X237" s="2" t="s">
        <v>326</v>
      </c>
      <c r="Y237" s="2" t="str">
        <f>VLOOKUP(V237,門市狀態!G:H,2,FALSE)</f>
        <v>劉柏均</v>
      </c>
      <c r="Z237" s="218" t="str">
        <f>IF(D237="FVC7", IF(COUNTIF(特殊門市清單!N:N, B237)=0, "FVC7", VLOOKUP(B237,特殊門市清單!N:T,7,FALSE)), IF(AA237="v","Peplink",""))</f>
        <v/>
      </c>
      <c r="AA237" s="218" t="str">
        <f>IFERROR(VLOOKUP(B237,門市狀態!A:D,4,FALSE),"")</f>
        <v/>
      </c>
      <c r="AB237" s="224" t="str">
        <f>VLOOKUP(B237,門市總表!A:B,2,FALSE)</f>
        <v>三重重新三</v>
      </c>
      <c r="AC237" s="259"/>
      <c r="AD237" s="224"/>
      <c r="AE237" s="224"/>
      <c r="AF237" s="224" t="s">
        <v>4992</v>
      </c>
      <c r="AG237" s="248" t="s">
        <v>102</v>
      </c>
      <c r="AH237" s="224"/>
    </row>
    <row r="238" spans="1:34" ht="21.6" customHeight="1">
      <c r="A238" s="2">
        <v>237</v>
      </c>
      <c r="B238" s="2">
        <v>3983</v>
      </c>
      <c r="C238" s="4" t="s">
        <v>674</v>
      </c>
      <c r="D238" s="2" t="s">
        <v>4986</v>
      </c>
      <c r="F238" s="2" t="s">
        <v>5408</v>
      </c>
      <c r="G238" s="2" t="s">
        <v>5473</v>
      </c>
      <c r="H238" s="78" t="s">
        <v>5474</v>
      </c>
      <c r="I238" s="4" t="s">
        <v>5485</v>
      </c>
      <c r="J238" s="5" t="s">
        <v>5486</v>
      </c>
      <c r="U238" s="222" t="str">
        <f t="shared" ref="U238:U269" si="16">IFERROR(LEFT(J238,FIND("縣",J238)),IFERROR(LEFT(J238,FIND("市",J238)),J238))</f>
        <v>新北市</v>
      </c>
      <c r="V238" s="223" t="str">
        <f t="shared" si="13"/>
        <v>三重區</v>
      </c>
      <c r="W238" s="223" t="str">
        <f t="shared" si="14"/>
        <v>中正北路25巷5號及7號</v>
      </c>
      <c r="X238" s="2" t="s">
        <v>326</v>
      </c>
      <c r="Y238" s="2" t="str">
        <f>VLOOKUP(V238,門市狀態!G:H,2,FALSE)</f>
        <v>劉柏均</v>
      </c>
      <c r="Z238" s="218" t="str">
        <f>IF(D238="FVC7", IF(COUNTIF(特殊門市清單!N:N, B238)=0, "FVC7", VLOOKUP(B238,特殊門市清單!N:T,7,FALSE)), IF(AA238="v","Peplink",""))</f>
        <v/>
      </c>
      <c r="AA238" s="218" t="str">
        <f>IFERROR(VLOOKUP(B238,門市狀態!A:D,4,FALSE),"")</f>
        <v/>
      </c>
      <c r="AB238" s="224" t="str">
        <f>VLOOKUP(B238,門市總表!A:B,2,FALSE)</f>
        <v>三重星光店</v>
      </c>
      <c r="AC238" s="259"/>
      <c r="AD238" s="224"/>
      <c r="AE238" s="224" t="s">
        <v>4985</v>
      </c>
      <c r="AF238" s="224" t="s">
        <v>4992</v>
      </c>
      <c r="AG238" s="248" t="s">
        <v>102</v>
      </c>
      <c r="AH238" s="224" t="s">
        <v>103</v>
      </c>
    </row>
    <row r="239" spans="1:34" ht="21.6" customHeight="1">
      <c r="A239" s="2">
        <v>238</v>
      </c>
      <c r="B239" s="2">
        <v>4083</v>
      </c>
      <c r="C239" s="4" t="s">
        <v>182</v>
      </c>
      <c r="D239" s="2" t="s">
        <v>4986</v>
      </c>
      <c r="F239" s="2" t="s">
        <v>5408</v>
      </c>
      <c r="G239" s="2" t="s">
        <v>5473</v>
      </c>
      <c r="H239" s="78" t="s">
        <v>5474</v>
      </c>
      <c r="I239" s="4" t="s">
        <v>5487</v>
      </c>
      <c r="J239" s="5" t="s">
        <v>5488</v>
      </c>
      <c r="U239" s="222" t="str">
        <f t="shared" si="16"/>
        <v>新北市</v>
      </c>
      <c r="V239" s="223" t="str">
        <f t="shared" si="13"/>
        <v>三重區</v>
      </c>
      <c r="W239" s="223" t="str">
        <f t="shared" si="14"/>
        <v>中央南路74號</v>
      </c>
      <c r="X239" s="2" t="s">
        <v>326</v>
      </c>
      <c r="Y239" s="2" t="str">
        <f>VLOOKUP(V239,門市狀態!G:H,2,FALSE)</f>
        <v>劉柏均</v>
      </c>
      <c r="Z239" s="218" t="str">
        <f>IF(D239="FVC7", IF(COUNTIF(特殊門市清單!N:N, B239)=0, "FVC7", VLOOKUP(B239,特殊門市清單!N:T,7,FALSE)), IF(AA239="v","Peplink",""))</f>
        <v/>
      </c>
      <c r="AA239" s="218" t="str">
        <f>IFERROR(VLOOKUP(B239,門市狀態!A:D,4,FALSE),"")</f>
        <v/>
      </c>
      <c r="AB239" s="224" t="str">
        <f>VLOOKUP(B239,門市總表!A:B,2,FALSE)</f>
        <v>三重中央南</v>
      </c>
      <c r="AC239" s="259"/>
      <c r="AD239" s="224"/>
      <c r="AE239" s="224"/>
      <c r="AF239" s="224" t="s">
        <v>4992</v>
      </c>
      <c r="AG239" s="248" t="s">
        <v>102</v>
      </c>
      <c r="AH239" s="224" t="s">
        <v>103</v>
      </c>
    </row>
    <row r="240" spans="1:34" ht="21.6" customHeight="1">
      <c r="A240" s="2">
        <v>239</v>
      </c>
      <c r="B240" s="2">
        <v>4134</v>
      </c>
      <c r="C240" s="4" t="s">
        <v>662</v>
      </c>
      <c r="D240" s="2" t="s">
        <v>4986</v>
      </c>
      <c r="F240" s="2" t="s">
        <v>5408</v>
      </c>
      <c r="G240" s="2" t="s">
        <v>5473</v>
      </c>
      <c r="H240" s="78" t="s">
        <v>5474</v>
      </c>
      <c r="I240" s="4" t="s">
        <v>5489</v>
      </c>
      <c r="J240" s="5" t="s">
        <v>5490</v>
      </c>
      <c r="U240" s="222" t="str">
        <f t="shared" si="16"/>
        <v>新北市</v>
      </c>
      <c r="V240" s="223" t="str">
        <f t="shared" si="13"/>
        <v>三重區</v>
      </c>
      <c r="W240" s="223" t="str">
        <f t="shared" si="14"/>
        <v>大同南路148號1樓</v>
      </c>
      <c r="X240" s="2" t="s">
        <v>326</v>
      </c>
      <c r="Y240" s="2" t="str">
        <f>VLOOKUP(V240,門市狀態!G:H,2,FALSE)</f>
        <v>劉柏均</v>
      </c>
      <c r="Z240" s="218" t="str">
        <f>IF(D240="FVC7", IF(COUNTIF(特殊門市清單!N:N, B240)=0, "FVC7", VLOOKUP(B240,特殊門市清單!N:T,7,FALSE)), IF(AA240="v","Peplink",""))</f>
        <v/>
      </c>
      <c r="AA240" s="218" t="str">
        <f>IFERROR(VLOOKUP(B240,門市狀態!A:D,4,FALSE),"")</f>
        <v/>
      </c>
      <c r="AB240" s="224" t="str">
        <f>VLOOKUP(B240,門市總表!A:B,2,FALSE)</f>
        <v>三重大同南</v>
      </c>
      <c r="AC240" s="259"/>
      <c r="AD240" s="224"/>
      <c r="AE240" s="224"/>
      <c r="AF240" s="224" t="s">
        <v>4992</v>
      </c>
      <c r="AG240" s="248" t="s">
        <v>102</v>
      </c>
      <c r="AH240" s="224" t="s">
        <v>103</v>
      </c>
    </row>
    <row r="241" spans="1:34" ht="21.6" customHeight="1">
      <c r="A241" s="2">
        <v>240</v>
      </c>
      <c r="B241" s="2">
        <v>4184</v>
      </c>
      <c r="C241" s="4" t="s">
        <v>1809</v>
      </c>
      <c r="D241" s="2" t="s">
        <v>4986</v>
      </c>
      <c r="F241" s="2" t="s">
        <v>5408</v>
      </c>
      <c r="G241" s="2" t="s">
        <v>5473</v>
      </c>
      <c r="H241" s="78" t="s">
        <v>5474</v>
      </c>
      <c r="I241" s="4" t="s">
        <v>5491</v>
      </c>
      <c r="J241" s="5" t="s">
        <v>5492</v>
      </c>
      <c r="U241" s="222" t="str">
        <f t="shared" si="16"/>
        <v>新北市</v>
      </c>
      <c r="V241" s="223" t="str">
        <f t="shared" si="13"/>
        <v>三重區</v>
      </c>
      <c r="W241" s="223" t="str">
        <f t="shared" si="14"/>
        <v>大仁街52號</v>
      </c>
      <c r="X241" s="2" t="s">
        <v>326</v>
      </c>
      <c r="Y241" s="2" t="str">
        <f>VLOOKUP(V241,門市狀態!G:H,2,FALSE)</f>
        <v>劉柏均</v>
      </c>
      <c r="Z241" s="218" t="str">
        <f>IF(D241="FVC7", IF(COUNTIF(特殊門市清單!N:N, B241)=0, "FVC7", VLOOKUP(B241,特殊門市清單!N:T,7,FALSE)), IF(AA241="v","Peplink",""))</f>
        <v/>
      </c>
      <c r="AA241" s="218" t="str">
        <f>IFERROR(VLOOKUP(B241,門市狀態!A:D,4,FALSE),"")</f>
        <v/>
      </c>
      <c r="AB241" s="224" t="str">
        <f>VLOOKUP(B241,門市總表!A:B,2,FALSE)</f>
        <v>三重今大店</v>
      </c>
      <c r="AC241" s="259"/>
      <c r="AD241" s="224"/>
      <c r="AE241" s="224"/>
      <c r="AF241" s="224" t="s">
        <v>4992</v>
      </c>
      <c r="AG241" s="248" t="s">
        <v>102</v>
      </c>
      <c r="AH241" s="224" t="s">
        <v>103</v>
      </c>
    </row>
    <row r="242" spans="1:34" ht="21.6" customHeight="1">
      <c r="A242" s="2">
        <v>241</v>
      </c>
      <c r="B242" s="2" t="s">
        <v>50</v>
      </c>
      <c r="C242" s="4" t="s">
        <v>1530</v>
      </c>
      <c r="D242" s="2" t="s">
        <v>4993</v>
      </c>
      <c r="F242" s="2" t="s">
        <v>5408</v>
      </c>
      <c r="G242" s="2" t="s">
        <v>5473</v>
      </c>
      <c r="H242" s="78" t="s">
        <v>5474</v>
      </c>
      <c r="I242" s="4" t="s">
        <v>5493</v>
      </c>
      <c r="J242" s="5" t="s">
        <v>5494</v>
      </c>
      <c r="U242" s="222" t="str">
        <f t="shared" si="16"/>
        <v>新北市</v>
      </c>
      <c r="V242" s="223" t="str">
        <f t="shared" si="13"/>
        <v>三重區</v>
      </c>
      <c r="W242" s="223" t="str">
        <f t="shared" si="14"/>
        <v>中正北路105號</v>
      </c>
      <c r="X242" s="2" t="s">
        <v>326</v>
      </c>
      <c r="Y242" s="2" t="str">
        <f>VLOOKUP(V242,門市狀態!G:H,2,FALSE)</f>
        <v>劉柏均</v>
      </c>
      <c r="Z242" s="218" t="str">
        <f>IF(D242="FVC7", IF(COUNTIF(特殊門市清單!N:N, B242)=0, "FVC7", VLOOKUP(B242,特殊門市清單!N:T,7,FALSE)), IF(AA242="v","Peplink",""))</f>
        <v/>
      </c>
      <c r="AA242" s="218" t="str">
        <f>IFERROR(VLOOKUP(B242,門市狀態!A:D,4,FALSE),"")</f>
        <v/>
      </c>
      <c r="AB242" s="224" t="str">
        <f>VLOOKUP(B242,門市總表!A:B,2,FALSE)</f>
        <v>三重運動公園</v>
      </c>
      <c r="AC242" s="259"/>
      <c r="AD242" s="224"/>
      <c r="AE242" s="224"/>
      <c r="AF242" s="224" t="s">
        <v>4992</v>
      </c>
      <c r="AG242" s="248" t="s">
        <v>102</v>
      </c>
      <c r="AH242" s="224" t="s">
        <v>103</v>
      </c>
    </row>
    <row r="243" spans="1:34" ht="21.6" customHeight="1">
      <c r="A243" s="2">
        <v>242</v>
      </c>
      <c r="B243" s="2">
        <v>2209</v>
      </c>
      <c r="C243" s="4" t="s">
        <v>1972</v>
      </c>
      <c r="D243" s="2" t="s">
        <v>4986</v>
      </c>
      <c r="F243" s="2" t="s">
        <v>5408</v>
      </c>
      <c r="G243" s="2" t="s">
        <v>5495</v>
      </c>
      <c r="H243" s="78" t="s">
        <v>5496</v>
      </c>
      <c r="I243" s="4" t="s">
        <v>5497</v>
      </c>
      <c r="J243" s="5" t="s">
        <v>5498</v>
      </c>
      <c r="U243" s="222" t="str">
        <f t="shared" si="16"/>
        <v>新北市</v>
      </c>
      <c r="V243" s="223" t="str">
        <f t="shared" si="13"/>
        <v>三重區</v>
      </c>
      <c r="W243" s="223" t="str">
        <f t="shared" si="14"/>
        <v>自強路一段164,166號</v>
      </c>
      <c r="X243" s="2" t="s">
        <v>326</v>
      </c>
      <c r="Y243" s="2" t="str">
        <f>VLOOKUP(V243,門市狀態!G:H,2,FALSE)</f>
        <v>劉柏均</v>
      </c>
      <c r="Z243" s="218" t="str">
        <f>IF(D243="FVC7", IF(COUNTIF(特殊門市清單!N:N, B243)=0, "FVC7", VLOOKUP(B243,特殊門市清單!N:T,7,FALSE)), IF(AA243="v","Peplink",""))</f>
        <v/>
      </c>
      <c r="AA243" s="218" t="str">
        <f>IFERROR(VLOOKUP(B243,門市狀態!A:D,4,FALSE),"")</f>
        <v/>
      </c>
      <c r="AB243" s="224" t="str">
        <f>VLOOKUP(B243,門市總表!A:B,2,FALSE)</f>
        <v>三重圖書館</v>
      </c>
      <c r="AC243" s="259"/>
      <c r="AD243" s="224"/>
      <c r="AE243" s="224"/>
      <c r="AF243" s="224" t="s">
        <v>4992</v>
      </c>
      <c r="AG243" s="248" t="s">
        <v>102</v>
      </c>
      <c r="AH243" s="224" t="s">
        <v>103</v>
      </c>
    </row>
    <row r="244" spans="1:34" ht="21.6" customHeight="1">
      <c r="A244" s="2">
        <v>243</v>
      </c>
      <c r="B244" s="2">
        <v>2222</v>
      </c>
      <c r="C244" s="4" t="s">
        <v>159</v>
      </c>
      <c r="D244" s="2" t="s">
        <v>4986</v>
      </c>
      <c r="F244" s="2" t="s">
        <v>5408</v>
      </c>
      <c r="G244" s="2" t="s">
        <v>5495</v>
      </c>
      <c r="H244" s="78" t="s">
        <v>5496</v>
      </c>
      <c r="I244" s="4" t="s">
        <v>5499</v>
      </c>
      <c r="J244" s="5" t="s">
        <v>5500</v>
      </c>
      <c r="U244" s="222" t="str">
        <f t="shared" si="16"/>
        <v>新北市</v>
      </c>
      <c r="V244" s="223" t="str">
        <f t="shared" si="13"/>
        <v>三重區</v>
      </c>
      <c r="W244" s="223" t="str">
        <f t="shared" si="14"/>
        <v>永福街256及258號</v>
      </c>
      <c r="X244" s="2" t="s">
        <v>326</v>
      </c>
      <c r="Y244" s="2" t="str">
        <f>VLOOKUP(V244,門市狀態!G:H,2,FALSE)</f>
        <v>劉柏均</v>
      </c>
      <c r="Z244" s="218" t="str">
        <f>IF(D244="FVC7", IF(COUNTIF(特殊門市清單!N:N, B244)=0, "FVC7", VLOOKUP(B244,特殊門市清單!N:T,7,FALSE)), IF(AA244="v","Peplink",""))</f>
        <v/>
      </c>
      <c r="AA244" s="218" t="str">
        <f>IFERROR(VLOOKUP(B244,門市狀態!A:D,4,FALSE),"")</f>
        <v/>
      </c>
      <c r="AB244" s="224" t="str">
        <f>VLOOKUP(B244,門市總表!A:B,2,FALSE)</f>
        <v>三重義天店</v>
      </c>
      <c r="AC244" s="259"/>
      <c r="AD244" s="224"/>
      <c r="AE244" s="224"/>
      <c r="AF244" s="224" t="s">
        <v>4992</v>
      </c>
      <c r="AG244" s="248" t="s">
        <v>102</v>
      </c>
      <c r="AH244" s="224" t="s">
        <v>103</v>
      </c>
    </row>
    <row r="245" spans="1:34" ht="21.6" customHeight="1">
      <c r="A245" s="2">
        <v>244</v>
      </c>
      <c r="B245" s="2">
        <v>2349</v>
      </c>
      <c r="C245" s="4" t="s">
        <v>521</v>
      </c>
      <c r="D245" s="2" t="s">
        <v>4986</v>
      </c>
      <c r="F245" s="2" t="s">
        <v>5408</v>
      </c>
      <c r="G245" s="2" t="s">
        <v>5495</v>
      </c>
      <c r="H245" s="78" t="s">
        <v>5496</v>
      </c>
      <c r="I245" s="4" t="s">
        <v>5501</v>
      </c>
      <c r="J245" s="5" t="s">
        <v>5502</v>
      </c>
      <c r="U245" s="222" t="str">
        <f t="shared" si="16"/>
        <v>新北市</v>
      </c>
      <c r="V245" s="223" t="str">
        <f t="shared" si="13"/>
        <v>三重區</v>
      </c>
      <c r="W245" s="223" t="str">
        <f t="shared" si="14"/>
        <v>永福街11號</v>
      </c>
      <c r="X245" s="2" t="s">
        <v>326</v>
      </c>
      <c r="Y245" s="2" t="str">
        <f>VLOOKUP(V245,門市狀態!G:H,2,FALSE)</f>
        <v>劉柏均</v>
      </c>
      <c r="Z245" s="218" t="str">
        <f>IF(D245="FVC7", IF(COUNTIF(特殊門市清單!N:N, B245)=0, "FVC7", VLOOKUP(B245,特殊門市清單!N:T,7,FALSE)), IF(AA245="v","Peplink",""))</f>
        <v/>
      </c>
      <c r="AA245" s="218" t="str">
        <f>IFERROR(VLOOKUP(B245,門市狀態!A:D,4,FALSE),"")</f>
        <v/>
      </c>
      <c r="AB245" s="224" t="str">
        <f>VLOOKUP(B245,門市總表!A:B,2,FALSE)</f>
        <v>三重永福店</v>
      </c>
      <c r="AC245" s="259"/>
      <c r="AD245" s="224"/>
      <c r="AE245" s="224"/>
      <c r="AF245" s="224" t="s">
        <v>4992</v>
      </c>
      <c r="AG245" s="248" t="s">
        <v>102</v>
      </c>
      <c r="AH245" s="224" t="s">
        <v>103</v>
      </c>
    </row>
    <row r="246" spans="1:34" ht="21.6" customHeight="1">
      <c r="A246" s="2">
        <v>245</v>
      </c>
      <c r="B246" s="2">
        <v>3840</v>
      </c>
      <c r="C246" s="4" t="s">
        <v>686</v>
      </c>
      <c r="D246" s="2" t="s">
        <v>4986</v>
      </c>
      <c r="F246" s="2" t="s">
        <v>5408</v>
      </c>
      <c r="G246" s="2" t="s">
        <v>5495</v>
      </c>
      <c r="H246" s="78" t="s">
        <v>5496</v>
      </c>
      <c r="I246" s="4" t="s">
        <v>5503</v>
      </c>
      <c r="J246" s="5" t="s">
        <v>5504</v>
      </c>
      <c r="U246" s="222" t="str">
        <f t="shared" si="16"/>
        <v>新北市</v>
      </c>
      <c r="V246" s="223" t="str">
        <f t="shared" si="13"/>
        <v>三重區</v>
      </c>
      <c r="W246" s="223" t="str">
        <f t="shared" si="14"/>
        <v>龍門路176號</v>
      </c>
      <c r="X246" s="2" t="s">
        <v>326</v>
      </c>
      <c r="Y246" s="2" t="str">
        <f>VLOOKUP(V246,門市狀態!G:H,2,FALSE)</f>
        <v>劉柏均</v>
      </c>
      <c r="Z246" s="218" t="str">
        <f>IF(D246="FVC7", IF(COUNTIF(特殊門市清單!N:N, B246)=0, "FVC7", VLOOKUP(B246,特殊門市清單!N:T,7,FALSE)), IF(AA246="v","Peplink",""))</f>
        <v/>
      </c>
      <c r="AA246" s="218" t="str">
        <f>IFERROR(VLOOKUP(B246,門市狀態!A:D,4,FALSE),"")</f>
        <v/>
      </c>
      <c r="AB246" s="224" t="str">
        <f>VLOOKUP(B246,門市總表!A:B,2,FALSE)</f>
        <v>北縣天龍店</v>
      </c>
      <c r="AC246" s="259"/>
      <c r="AD246" s="224"/>
      <c r="AE246" s="224"/>
      <c r="AF246" s="224" t="s">
        <v>4992</v>
      </c>
      <c r="AG246" s="248" t="s">
        <v>102</v>
      </c>
      <c r="AH246" s="224" t="s">
        <v>103</v>
      </c>
    </row>
    <row r="247" spans="1:34" ht="21.6" customHeight="1">
      <c r="A247" s="2">
        <v>246</v>
      </c>
      <c r="B247" s="2">
        <v>3957</v>
      </c>
      <c r="C247" s="4" t="s">
        <v>516</v>
      </c>
      <c r="D247" s="2" t="s">
        <v>4986</v>
      </c>
      <c r="F247" s="2" t="s">
        <v>5408</v>
      </c>
      <c r="G247" s="2" t="s">
        <v>5495</v>
      </c>
      <c r="H247" s="78" t="s">
        <v>5496</v>
      </c>
      <c r="I247" s="4" t="s">
        <v>5505</v>
      </c>
      <c r="J247" s="5" t="s">
        <v>5506</v>
      </c>
      <c r="U247" s="222" t="str">
        <f t="shared" si="16"/>
        <v>新北市</v>
      </c>
      <c r="V247" s="223" t="str">
        <f t="shared" si="13"/>
        <v>三重區</v>
      </c>
      <c r="W247" s="223" t="str">
        <f t="shared" si="14"/>
        <v>永福街97號及99號</v>
      </c>
      <c r="X247" s="2" t="s">
        <v>326</v>
      </c>
      <c r="Y247" s="2" t="str">
        <f>VLOOKUP(V247,門市狀態!G:H,2,FALSE)</f>
        <v>劉柏均</v>
      </c>
      <c r="Z247" s="218" t="str">
        <f>IF(D247="FVC7", IF(COUNTIF(特殊門市清單!N:N, B247)=0, "FVC7", VLOOKUP(B247,特殊門市清單!N:T,7,FALSE)), IF(AA247="v","Peplink",""))</f>
        <v/>
      </c>
      <c r="AA247" s="218" t="str">
        <f>IFERROR(VLOOKUP(B247,門市狀態!A:D,4,FALSE),"")</f>
        <v/>
      </c>
      <c r="AB247" s="224" t="str">
        <f>VLOOKUP(B247,門市總表!A:B,2,FALSE)</f>
        <v>三重福仁店</v>
      </c>
      <c r="AC247" s="259"/>
      <c r="AD247" s="224"/>
      <c r="AE247" s="224"/>
      <c r="AF247" s="224" t="s">
        <v>4992</v>
      </c>
      <c r="AG247" s="248" t="s">
        <v>102</v>
      </c>
      <c r="AH247" s="224" t="s">
        <v>103</v>
      </c>
    </row>
    <row r="248" spans="1:34" ht="21.6" customHeight="1">
      <c r="A248" s="2">
        <v>247</v>
      </c>
      <c r="B248" s="2">
        <v>4191</v>
      </c>
      <c r="C248" s="4" t="s">
        <v>853</v>
      </c>
      <c r="D248" s="2" t="s">
        <v>4986</v>
      </c>
      <c r="F248" s="2" t="s">
        <v>5408</v>
      </c>
      <c r="G248" s="2" t="s">
        <v>5495</v>
      </c>
      <c r="H248" s="78" t="s">
        <v>5496</v>
      </c>
      <c r="I248" s="4" t="s">
        <v>5507</v>
      </c>
      <c r="J248" s="5" t="s">
        <v>5508</v>
      </c>
      <c r="U248" s="222" t="str">
        <f t="shared" si="16"/>
        <v>新北市</v>
      </c>
      <c r="V248" s="223" t="str">
        <f t="shared" si="13"/>
        <v>三重區</v>
      </c>
      <c r="W248" s="223" t="str">
        <f t="shared" si="14"/>
        <v>仁愛街331號</v>
      </c>
      <c r="X248" s="2" t="s">
        <v>326</v>
      </c>
      <c r="Y248" s="2" t="str">
        <f>VLOOKUP(V248,門市狀態!G:H,2,FALSE)</f>
        <v>劉柏均</v>
      </c>
      <c r="Z248" s="218" t="str">
        <f>IF(D248="FVC7", IF(COUNTIF(特殊門市清單!N:N, B248)=0, "FVC7", VLOOKUP(B248,特殊門市清單!N:T,7,FALSE)), IF(AA248="v","Peplink",""))</f>
        <v/>
      </c>
      <c r="AA248" s="218" t="str">
        <f>IFERROR(VLOOKUP(B248,門市狀態!A:D,4,FALSE),"")</f>
        <v/>
      </c>
      <c r="AB248" s="224" t="str">
        <f>VLOOKUP(B248,門市總表!A:B,2,FALSE)</f>
        <v>三重溪美店</v>
      </c>
      <c r="AC248" s="259"/>
      <c r="AD248" s="224"/>
      <c r="AE248" s="224"/>
      <c r="AF248" s="224" t="s">
        <v>4992</v>
      </c>
      <c r="AG248" s="248" t="s">
        <v>102</v>
      </c>
      <c r="AH248" s="224" t="s">
        <v>103</v>
      </c>
    </row>
    <row r="249" spans="1:34" ht="21.6" customHeight="1">
      <c r="A249" s="2">
        <v>248</v>
      </c>
      <c r="B249" s="2">
        <v>4196</v>
      </c>
      <c r="C249" s="4" t="s">
        <v>177</v>
      </c>
      <c r="D249" s="2" t="s">
        <v>4998</v>
      </c>
      <c r="F249" s="2" t="s">
        <v>5408</v>
      </c>
      <c r="G249" s="2" t="s">
        <v>5495</v>
      </c>
      <c r="H249" s="78" t="s">
        <v>5496</v>
      </c>
      <c r="I249" s="4" t="s">
        <v>5509</v>
      </c>
      <c r="J249" s="5" t="s">
        <v>5510</v>
      </c>
      <c r="U249" s="222" t="str">
        <f t="shared" si="16"/>
        <v>新北市</v>
      </c>
      <c r="V249" s="223" t="str">
        <f t="shared" si="13"/>
        <v>三重區</v>
      </c>
      <c r="W249" s="223" t="str">
        <f t="shared" si="14"/>
        <v>仁愛街382號及慈愛街201號、203號</v>
      </c>
      <c r="X249" s="2" t="s">
        <v>326</v>
      </c>
      <c r="Y249" s="2" t="str">
        <f>VLOOKUP(V249,門市狀態!G:H,2,FALSE)</f>
        <v>劉柏均</v>
      </c>
      <c r="Z249" s="218" t="str">
        <f>IF(D249="FVC7", IF(COUNTIF(特殊門市清單!N:N, B249)=0, "FVC7", VLOOKUP(B249,特殊門市清單!N:T,7,FALSE)), IF(AA249="v","Peplink",""))</f>
        <v/>
      </c>
      <c r="AA249" s="218" t="str">
        <f>IFERROR(VLOOKUP(B249,門市狀態!A:D,4,FALSE),"")</f>
        <v/>
      </c>
      <c r="AB249" s="224" t="str">
        <f>VLOOKUP(B249,門市總表!A:B,2,FALSE)</f>
        <v>三重蝶愛店</v>
      </c>
      <c r="AC249" s="259"/>
      <c r="AD249" s="224"/>
      <c r="AE249" s="224"/>
      <c r="AF249" s="224" t="s">
        <v>4992</v>
      </c>
      <c r="AG249" s="248" t="s">
        <v>102</v>
      </c>
      <c r="AH249" s="224" t="s">
        <v>103</v>
      </c>
    </row>
    <row r="250" spans="1:34" ht="21.6" customHeight="1">
      <c r="A250" s="2">
        <v>249</v>
      </c>
      <c r="B250" s="2">
        <v>4241</v>
      </c>
      <c r="C250" s="4" t="s">
        <v>694</v>
      </c>
      <c r="D250" s="2" t="s">
        <v>4993</v>
      </c>
      <c r="F250" s="2" t="s">
        <v>5408</v>
      </c>
      <c r="G250" s="2" t="s">
        <v>5495</v>
      </c>
      <c r="H250" s="78" t="s">
        <v>5496</v>
      </c>
      <c r="I250" s="4" t="s">
        <v>5511</v>
      </c>
      <c r="J250" s="5" t="s">
        <v>5512</v>
      </c>
      <c r="U250" s="222" t="str">
        <f t="shared" si="16"/>
        <v>新北市</v>
      </c>
      <c r="V250" s="223" t="str">
        <f t="shared" si="13"/>
        <v>三重區</v>
      </c>
      <c r="W250" s="223" t="str">
        <f t="shared" si="14"/>
        <v>仁義街12號壹樓部份及仁興街39巷37號壹樓部份</v>
      </c>
      <c r="X250" s="2" t="s">
        <v>326</v>
      </c>
      <c r="Y250" s="2" t="str">
        <f>VLOOKUP(V250,門市狀態!G:H,2,FALSE)</f>
        <v>劉柏均</v>
      </c>
      <c r="Z250" s="218" t="str">
        <f>IF(D250="FVC7", IF(COUNTIF(特殊門市清單!N:N, B250)=0, "FVC7", VLOOKUP(B250,特殊門市清單!N:T,7,FALSE)), IF(AA250="v","Peplink",""))</f>
        <v/>
      </c>
      <c r="AA250" s="218" t="str">
        <f>IFERROR(VLOOKUP(B250,門市狀態!A:D,4,FALSE),"")</f>
        <v/>
      </c>
      <c r="AB250" s="224" t="str">
        <f>VLOOKUP(B250,門市總表!A:B,2,FALSE)</f>
        <v>三重仁義店</v>
      </c>
      <c r="AC250" s="259"/>
      <c r="AD250" s="224"/>
      <c r="AE250" s="224" t="s">
        <v>4985</v>
      </c>
      <c r="AF250" s="224" t="s">
        <v>4992</v>
      </c>
      <c r="AG250" s="248" t="s">
        <v>102</v>
      </c>
      <c r="AH250" s="224" t="s">
        <v>103</v>
      </c>
    </row>
    <row r="251" spans="1:34" ht="21.6" customHeight="1">
      <c r="A251" s="2">
        <v>250</v>
      </c>
      <c r="B251" s="2" t="s">
        <v>79</v>
      </c>
      <c r="C251" s="4" t="s">
        <v>5513</v>
      </c>
      <c r="D251" s="2" t="s">
        <v>4986</v>
      </c>
      <c r="F251" s="2" t="s">
        <v>5408</v>
      </c>
      <c r="G251" s="2" t="s">
        <v>5495</v>
      </c>
      <c r="H251" s="78" t="s">
        <v>5496</v>
      </c>
      <c r="I251" s="4" t="s">
        <v>5514</v>
      </c>
      <c r="J251" s="5" t="s">
        <v>5515</v>
      </c>
      <c r="U251" s="222" t="str">
        <f t="shared" si="16"/>
        <v>新北市</v>
      </c>
      <c r="V251" s="223" t="str">
        <f t="shared" si="13"/>
        <v>三重區</v>
      </c>
      <c r="W251" s="223" t="str">
        <f t="shared" si="14"/>
        <v>三和路四段233號</v>
      </c>
      <c r="X251" s="2" t="s">
        <v>326</v>
      </c>
      <c r="Y251" s="2" t="str">
        <f>VLOOKUP(V251,門市狀態!G:H,2,FALSE)</f>
        <v>劉柏均</v>
      </c>
      <c r="Z251" s="218" t="str">
        <f>IF(D251="FVC7", IF(COUNTIF(特殊門市清單!N:N, B251)=0, "FVC7", VLOOKUP(B251,特殊門市清單!N:T,7,FALSE)), IF(AA251="v","Peplink",""))</f>
        <v/>
      </c>
      <c r="AA251" s="218" t="str">
        <f>IFERROR(VLOOKUP(B251,門市狀態!A:D,4,FALSE),"")</f>
        <v/>
      </c>
      <c r="AB251" s="224" t="str">
        <f>VLOOKUP(B251,門市總表!A:B,2,FALSE)</f>
        <v>三重徐匯站</v>
      </c>
      <c r="AC251" s="259"/>
      <c r="AD251" s="224"/>
      <c r="AE251" s="224"/>
      <c r="AF251" s="224" t="s">
        <v>4992</v>
      </c>
      <c r="AG251" s="248" t="s">
        <v>102</v>
      </c>
      <c r="AH251" s="224" t="s">
        <v>103</v>
      </c>
    </row>
    <row r="252" spans="1:34" ht="21.6" customHeight="1">
      <c r="A252" s="2">
        <v>251</v>
      </c>
      <c r="B252" s="2">
        <v>2042</v>
      </c>
      <c r="C252" s="4" t="s">
        <v>1570</v>
      </c>
      <c r="D252" s="2" t="s">
        <v>4986</v>
      </c>
      <c r="F252" s="2" t="s">
        <v>5408</v>
      </c>
      <c r="G252" s="2" t="s">
        <v>5516</v>
      </c>
      <c r="H252" s="78" t="s">
        <v>5517</v>
      </c>
      <c r="I252" s="4" t="s">
        <v>5518</v>
      </c>
      <c r="J252" s="5" t="s">
        <v>5519</v>
      </c>
      <c r="U252" s="222" t="str">
        <f t="shared" si="16"/>
        <v>新北市</v>
      </c>
      <c r="V252" s="223" t="str">
        <f t="shared" si="13"/>
        <v>三重區</v>
      </c>
      <c r="W252" s="223" t="str">
        <f t="shared" si="14"/>
        <v>中央北路68號</v>
      </c>
      <c r="X252" s="2" t="s">
        <v>326</v>
      </c>
      <c r="Y252" s="2" t="str">
        <f>VLOOKUP(V252,門市狀態!G:H,2,FALSE)</f>
        <v>劉柏均</v>
      </c>
      <c r="Z252" s="218" t="str">
        <f>IF(D252="FVC7", IF(COUNTIF(特殊門市清單!N:N, B252)=0, "FVC7", VLOOKUP(B252,特殊門市清單!N:T,7,FALSE)), IF(AA252="v","Peplink",""))</f>
        <v/>
      </c>
      <c r="AA252" s="218" t="str">
        <f>IFERROR(VLOOKUP(B252,門市狀態!A:D,4,FALSE),"")</f>
        <v/>
      </c>
      <c r="AB252" s="224" t="str">
        <f>VLOOKUP(B252,門市總表!A:B,2,FALSE)</f>
        <v>三重中央北店</v>
      </c>
      <c r="AC252" s="259"/>
      <c r="AD252" s="224"/>
      <c r="AE252" s="224"/>
      <c r="AF252" s="224" t="s">
        <v>4992</v>
      </c>
      <c r="AG252" s="248" t="s">
        <v>102</v>
      </c>
      <c r="AH252" s="224" t="s">
        <v>103</v>
      </c>
    </row>
    <row r="253" spans="1:34" ht="21.6" customHeight="1">
      <c r="A253" s="2">
        <v>252</v>
      </c>
      <c r="B253" s="2">
        <v>2935</v>
      </c>
      <c r="C253" s="4" t="s">
        <v>1562</v>
      </c>
      <c r="D253" s="2" t="s">
        <v>4986</v>
      </c>
      <c r="F253" s="2" t="s">
        <v>5408</v>
      </c>
      <c r="G253" s="2" t="s">
        <v>5516</v>
      </c>
      <c r="H253" s="78" t="s">
        <v>5517</v>
      </c>
      <c r="I253" s="4" t="s">
        <v>5520</v>
      </c>
      <c r="J253" s="5" t="s">
        <v>5521</v>
      </c>
      <c r="U253" s="222" t="str">
        <f t="shared" si="16"/>
        <v>新北市</v>
      </c>
      <c r="V253" s="223" t="str">
        <f t="shared" si="13"/>
        <v>三重區</v>
      </c>
      <c r="W253" s="223" t="str">
        <f t="shared" si="14"/>
        <v>中央北路2號</v>
      </c>
      <c r="X253" s="2" t="s">
        <v>326</v>
      </c>
      <c r="Y253" s="2" t="str">
        <f>VLOOKUP(V253,門市狀態!G:H,2,FALSE)</f>
        <v>劉柏均</v>
      </c>
      <c r="Z253" s="218" t="str">
        <f>IF(D253="FVC7", IF(COUNTIF(特殊門市清單!N:N, B253)=0, "FVC7", VLOOKUP(B253,特殊門市清單!N:T,7,FALSE)), IF(AA253="v","Peplink",""))</f>
        <v/>
      </c>
      <c r="AA253" s="218" t="str">
        <f>IFERROR(VLOOKUP(B253,門市狀態!A:D,4,FALSE),"")</f>
        <v/>
      </c>
      <c r="AB253" s="224" t="str">
        <f>VLOOKUP(B253,門市總表!A:B,2,FALSE)</f>
        <v>三重夜市口</v>
      </c>
      <c r="AC253" s="259"/>
      <c r="AD253" s="224"/>
      <c r="AE253" s="224"/>
      <c r="AF253" s="224" t="s">
        <v>4992</v>
      </c>
      <c r="AG253" s="248" t="s">
        <v>102</v>
      </c>
      <c r="AH253" s="224" t="s">
        <v>103</v>
      </c>
    </row>
    <row r="254" spans="1:34" ht="21.6" customHeight="1">
      <c r="A254" s="2">
        <v>253</v>
      </c>
      <c r="B254" s="2">
        <v>4312</v>
      </c>
      <c r="C254" s="4" t="s">
        <v>901</v>
      </c>
      <c r="D254" s="2" t="s">
        <v>4986</v>
      </c>
      <c r="F254" s="2" t="s">
        <v>5408</v>
      </c>
      <c r="G254" s="2" t="s">
        <v>5516</v>
      </c>
      <c r="H254" s="78" t="s">
        <v>5517</v>
      </c>
      <c r="I254" s="4" t="s">
        <v>5522</v>
      </c>
      <c r="J254" s="5" t="s">
        <v>5523</v>
      </c>
      <c r="U254" s="222" t="str">
        <f t="shared" si="16"/>
        <v>新北市</v>
      </c>
      <c r="V254" s="223" t="str">
        <f t="shared" si="13"/>
        <v>三重區</v>
      </c>
      <c r="W254" s="223" t="str">
        <f t="shared" si="14"/>
        <v>文化北路116號一樓</v>
      </c>
      <c r="X254" s="2" t="s">
        <v>326</v>
      </c>
      <c r="Y254" s="2" t="str">
        <f>VLOOKUP(V254,門市狀態!G:H,2,FALSE)</f>
        <v>劉柏均</v>
      </c>
      <c r="Z254" s="218" t="str">
        <f>IF(D254="FVC7", IF(COUNTIF(特殊門市清單!N:N, B254)=0, "FVC7", VLOOKUP(B254,特殊門市清單!N:T,7,FALSE)), IF(AA254="v","Peplink",""))</f>
        <v/>
      </c>
      <c r="AA254" s="218" t="str">
        <f>IFERROR(VLOOKUP(B254,門市狀態!A:D,4,FALSE),"")</f>
        <v/>
      </c>
      <c r="AB254" s="224" t="str">
        <f>VLOOKUP(B254,門市總表!A:B,2,FALSE)</f>
        <v>三重文化北</v>
      </c>
      <c r="AC254" s="259"/>
      <c r="AD254" s="224"/>
      <c r="AE254" s="224"/>
      <c r="AF254" s="224" t="s">
        <v>4992</v>
      </c>
      <c r="AG254" s="248" t="s">
        <v>102</v>
      </c>
      <c r="AH254" s="224" t="s">
        <v>103</v>
      </c>
    </row>
    <row r="255" spans="1:34" ht="21.6" customHeight="1">
      <c r="A255" s="2">
        <v>254</v>
      </c>
      <c r="B255" s="2">
        <v>4539</v>
      </c>
      <c r="C255" s="4" t="s">
        <v>1830</v>
      </c>
      <c r="D255" s="2" t="s">
        <v>4993</v>
      </c>
      <c r="F255" s="2" t="s">
        <v>5408</v>
      </c>
      <c r="G255" s="2" t="s">
        <v>5516</v>
      </c>
      <c r="H255" s="78" t="s">
        <v>5517</v>
      </c>
      <c r="I255" s="4" t="s">
        <v>5524</v>
      </c>
      <c r="J255" s="5" t="s">
        <v>5525</v>
      </c>
      <c r="U255" s="222" t="str">
        <f t="shared" si="16"/>
        <v>新北市</v>
      </c>
      <c r="V255" s="223" t="str">
        <f t="shared" si="13"/>
        <v>三重區</v>
      </c>
      <c r="W255" s="223" t="str">
        <f t="shared" si="14"/>
        <v>大智街22號及24號</v>
      </c>
      <c r="X255" s="2" t="s">
        <v>326</v>
      </c>
      <c r="Y255" s="2" t="str">
        <f>VLOOKUP(V255,門市狀態!G:H,2,FALSE)</f>
        <v>劉柏均</v>
      </c>
      <c r="Z255" s="218" t="str">
        <f>IF(D255="FVC7", IF(COUNTIF(特殊門市清單!N:N, B255)=0, "FVC7", VLOOKUP(B255,特殊門市清單!N:T,7,FALSE)), IF(AA255="v","Peplink",""))</f>
        <v/>
      </c>
      <c r="AA255" s="218" t="str">
        <f>IFERROR(VLOOKUP(B255,門市狀態!A:D,4,FALSE),"")</f>
        <v/>
      </c>
      <c r="AB255" s="224" t="str">
        <f>VLOOKUP(B255,門市總表!A:B,2,FALSE)</f>
        <v>三重自信店</v>
      </c>
      <c r="AC255" s="259"/>
      <c r="AD255" s="224"/>
      <c r="AE255" s="224"/>
      <c r="AF255" s="224" t="s">
        <v>4992</v>
      </c>
      <c r="AG255" s="248" t="s">
        <v>102</v>
      </c>
      <c r="AH255" s="224" t="s">
        <v>103</v>
      </c>
    </row>
    <row r="256" spans="1:34" ht="21.6" customHeight="1">
      <c r="A256" s="2">
        <v>255</v>
      </c>
      <c r="B256" s="2">
        <v>4560</v>
      </c>
      <c r="C256" s="4" t="s">
        <v>1558</v>
      </c>
      <c r="D256" s="2" t="s">
        <v>4993</v>
      </c>
      <c r="F256" s="2" t="s">
        <v>5408</v>
      </c>
      <c r="G256" s="2" t="s">
        <v>5516</v>
      </c>
      <c r="H256" s="78" t="s">
        <v>5517</v>
      </c>
      <c r="I256" s="4" t="s">
        <v>5526</v>
      </c>
      <c r="J256" s="5" t="s">
        <v>5527</v>
      </c>
      <c r="U256" s="222" t="str">
        <f t="shared" si="16"/>
        <v>新北市</v>
      </c>
      <c r="V256" s="223" t="str">
        <f t="shared" si="13"/>
        <v>三重區</v>
      </c>
      <c r="W256" s="223" t="str">
        <f t="shared" si="14"/>
        <v>安和路105號</v>
      </c>
      <c r="X256" s="2" t="s">
        <v>326</v>
      </c>
      <c r="Y256" s="2" t="str">
        <f>VLOOKUP(V256,門市狀態!G:H,2,FALSE)</f>
        <v>劉柏均</v>
      </c>
      <c r="Z256" s="218" t="str">
        <f>IF(D256="FVC7", IF(COUNTIF(特殊門市清單!N:N, B256)=0, "FVC7", VLOOKUP(B256,特殊門市清單!N:T,7,FALSE)), IF(AA256="v","Peplink",""))</f>
        <v/>
      </c>
      <c r="AA256" s="218" t="str">
        <f>IFERROR(VLOOKUP(B256,門市狀態!A:D,4,FALSE),"")</f>
        <v/>
      </c>
      <c r="AB256" s="224" t="str">
        <f>VLOOKUP(B256,門市總表!A:B,2,FALSE)</f>
        <v>三重大院店</v>
      </c>
      <c r="AC256" s="259"/>
      <c r="AD256" s="224"/>
      <c r="AE256" s="224"/>
      <c r="AF256" s="224" t="s">
        <v>4992</v>
      </c>
      <c r="AG256" s="248" t="s">
        <v>102</v>
      </c>
      <c r="AH256" s="224" t="s">
        <v>103</v>
      </c>
    </row>
    <row r="257" spans="1:34" ht="21.6" customHeight="1">
      <c r="A257" s="2">
        <v>256</v>
      </c>
      <c r="B257" s="2">
        <v>4586</v>
      </c>
      <c r="C257" s="4" t="s">
        <v>678</v>
      </c>
      <c r="D257" s="2" t="s">
        <v>4986</v>
      </c>
      <c r="F257" s="2" t="s">
        <v>5408</v>
      </c>
      <c r="G257" s="2" t="s">
        <v>5516</v>
      </c>
      <c r="H257" s="78" t="s">
        <v>5517</v>
      </c>
      <c r="I257" s="4" t="s">
        <v>5528</v>
      </c>
      <c r="J257" s="5" t="s">
        <v>5529</v>
      </c>
      <c r="U257" s="222" t="str">
        <f t="shared" si="16"/>
        <v>新北市</v>
      </c>
      <c r="V257" s="223" t="str">
        <f t="shared" si="13"/>
        <v>三重區</v>
      </c>
      <c r="W257" s="223" t="str">
        <f t="shared" si="14"/>
        <v>文化北路224巷1號及3號</v>
      </c>
      <c r="X257" s="2" t="s">
        <v>326</v>
      </c>
      <c r="Y257" s="2" t="str">
        <f>VLOOKUP(V257,門市狀態!G:H,2,FALSE)</f>
        <v>劉柏均</v>
      </c>
      <c r="Z257" s="218" t="str">
        <f>IF(D257="FVC7", IF(COUNTIF(特殊門市清單!N:N, B257)=0, "FVC7", VLOOKUP(B257,特殊門市清單!N:T,7,FALSE)), IF(AA257="v","Peplink",""))</f>
        <v/>
      </c>
      <c r="AA257" s="218" t="str">
        <f>IFERROR(VLOOKUP(B257,門市狀態!A:D,4,FALSE),"")</f>
        <v/>
      </c>
      <c r="AB257" s="224" t="str">
        <f>VLOOKUP(B257,門市總表!A:B,2,FALSE)</f>
        <v>三重三文店</v>
      </c>
      <c r="AC257" s="259"/>
      <c r="AD257" s="224"/>
      <c r="AE257" s="224"/>
      <c r="AF257" s="224" t="s">
        <v>4992</v>
      </c>
      <c r="AG257" s="248" t="s">
        <v>102</v>
      </c>
      <c r="AH257" s="224"/>
    </row>
    <row r="258" spans="1:34" ht="21.6" customHeight="1">
      <c r="A258" s="2">
        <v>257</v>
      </c>
      <c r="B258" s="2">
        <v>4804</v>
      </c>
      <c r="C258" s="4" t="s">
        <v>1826</v>
      </c>
      <c r="D258" s="2" t="s">
        <v>4993</v>
      </c>
      <c r="F258" s="2" t="s">
        <v>5408</v>
      </c>
      <c r="G258" s="2" t="s">
        <v>5516</v>
      </c>
      <c r="H258" s="78" t="s">
        <v>5517</v>
      </c>
      <c r="I258" s="4" t="s">
        <v>5530</v>
      </c>
      <c r="J258" s="5" t="s">
        <v>5531</v>
      </c>
      <c r="U258" s="222" t="str">
        <f t="shared" si="16"/>
        <v>新北市</v>
      </c>
      <c r="V258" s="223" t="str">
        <f t="shared" ref="V258:V310" si="17">IFERROR(
IFERROR(
IFERROR(
MID(J258,FIND("市",J258)+1,IF(FIND("區",J258)-FIND("市",J258)&gt;3,FIND("鄉",J258)-FIND("市",J258),FIND("區",J258)-FIND("市",J258))),
MID(J258,FIND("市",J258)+1,IF(FIND("鎮",J258)-FIND("市",J258)&gt;3,FIND("鄉",J258)-FIND("市",J258),FIND("鎮",J258)-FIND("市",J258)))
),
MID(J258,FIND("市",J258)+1,IF(FIND("鄉",J258)-FIND("市",J258)&gt;3,FIND("區",J258)-FIND("市",J258),FIND("鄉",J258)-FIND("市",J258)))
),
IFERROR(
IFERROR(
IFERROR(
MID(J258,FIND("縣",J258)+1,IF(FIND("區",J258)-FIND("縣",J258)&gt;3,FIND("鄉",J258)-FIND("縣",J258),FIND("區",J258)-FIND("縣",J258))),
MID(J258,FIND("縣",J258)+1,IF(FIND("鎮",J258)-FIND("縣",J258)&gt;3,FIND("鄉",J258)-FIND("縣",J258),FIND("鎮",J258)-FIND("縣",J258)))
),
MID(J258,FIND("縣",J258)+1,IF(FIND("鄉",J258)-FIND("縣",J258)&gt;3,FIND("區",J258)-FIND("縣",J258),FIND("鄉",J258)-FIND("縣",J258)))
),
IFERROR(
MID(J258,FIND("市",J258)+1,IF(FIND("縣",J258)-FIND("市",J258)&gt;3,FIND("鄉",J258)-FIND("市",J258),FIND("縣",J258)-FIND("市",J258))),
MID(J258,FIND("縣",J258)+1,IF(FIND("市",J258)-FIND("縣",J258)&gt;3,FIND("鄉",J258)-FIND("縣",J258),FIND("市",J258)-FIND("縣",J258)))
)))</f>
        <v>三重區</v>
      </c>
      <c r="W258" s="223" t="str">
        <f t="shared" ref="W258:W310" si="18">IFERROR(MID(J258,IFERROR(FIND("鄉",J258),IFERROR(FIND("鎮",J258),FIND("區",J258)))+1,LEN(J258)),IFERROR(MID(J258,FIND("市",J258)+1,LEN(J258)),MID(J258,FIND("縣",J258)+1,LEN(J258))))</f>
        <v xml:space="preserve">國隆路19、21、23號 </v>
      </c>
      <c r="X258" s="2" t="s">
        <v>326</v>
      </c>
      <c r="Y258" s="2" t="str">
        <f>VLOOKUP(V258,門市狀態!G:H,2,FALSE)</f>
        <v>劉柏均</v>
      </c>
      <c r="Z258" s="218" t="str">
        <f>IF(D258="FVC7", IF(COUNTIF(特殊門市清單!N:N, B258)=0, "FVC7", VLOOKUP(B258,特殊門市清單!N:T,7,FALSE)), IF(AA258="v","Peplink",""))</f>
        <v/>
      </c>
      <c r="AA258" s="218" t="str">
        <f>IFERROR(VLOOKUP(B258,門市狀態!A:D,4,FALSE),"")</f>
        <v/>
      </c>
      <c r="AB258" s="224" t="str">
        <f>VLOOKUP(B258,門市總表!A:B,2,FALSE)</f>
        <v>三重國隆店</v>
      </c>
      <c r="AC258" s="259"/>
      <c r="AD258" s="224"/>
      <c r="AE258" s="224"/>
      <c r="AF258" s="224" t="s">
        <v>4992</v>
      </c>
      <c r="AG258" s="248" t="s">
        <v>102</v>
      </c>
      <c r="AH258" s="224" t="s">
        <v>103</v>
      </c>
    </row>
    <row r="259" spans="1:34" ht="21.6" customHeight="1">
      <c r="A259" s="2">
        <v>258</v>
      </c>
      <c r="B259" s="2" t="s">
        <v>62</v>
      </c>
      <c r="C259" s="4" t="s">
        <v>1545</v>
      </c>
      <c r="D259" s="2" t="s">
        <v>4993</v>
      </c>
      <c r="F259" s="2" t="s">
        <v>5408</v>
      </c>
      <c r="G259" s="2" t="s">
        <v>5516</v>
      </c>
      <c r="H259" s="78" t="s">
        <v>5517</v>
      </c>
      <c r="I259" s="4" t="s">
        <v>5532</v>
      </c>
      <c r="J259" s="5" t="s">
        <v>5533</v>
      </c>
      <c r="U259" s="222" t="str">
        <f t="shared" si="16"/>
        <v>新北市</v>
      </c>
      <c r="V259" s="223" t="str">
        <f t="shared" si="17"/>
        <v>三重區</v>
      </c>
      <c r="W259" s="223" t="str">
        <f t="shared" si="18"/>
        <v>正義北路280號</v>
      </c>
      <c r="X259" s="2" t="s">
        <v>326</v>
      </c>
      <c r="Y259" s="2" t="str">
        <f>VLOOKUP(V259,門市狀態!G:H,2,FALSE)</f>
        <v>劉柏均</v>
      </c>
      <c r="Z259" s="218" t="str">
        <f>IF(D259="FVC7", IF(COUNTIF(特殊門市清單!N:N, B259)=0, "FVC7", VLOOKUP(B259,特殊門市清單!N:T,7,FALSE)), IF(AA259="v","Peplink",""))</f>
        <v/>
      </c>
      <c r="AA259" s="218" t="str">
        <f>IFERROR(VLOOKUP(B259,門市狀態!A:D,4,FALSE),"")</f>
        <v/>
      </c>
      <c r="AB259" s="224" t="str">
        <f>VLOOKUP(B259,門市總表!A:B,2,FALSE)</f>
        <v>三重正義北店</v>
      </c>
      <c r="AC259" s="259"/>
      <c r="AD259" s="224"/>
      <c r="AE259" s="224"/>
      <c r="AF259" s="224" t="s">
        <v>4992</v>
      </c>
      <c r="AG259" s="248" t="s">
        <v>102</v>
      </c>
      <c r="AH259" s="224" t="s">
        <v>103</v>
      </c>
    </row>
    <row r="260" spans="1:34" ht="21.6" customHeight="1">
      <c r="A260" s="2">
        <v>259</v>
      </c>
      <c r="B260" s="2" t="s">
        <v>78</v>
      </c>
      <c r="C260" s="4" t="s">
        <v>548</v>
      </c>
      <c r="D260" s="2" t="s">
        <v>4986</v>
      </c>
      <c r="F260" s="2" t="s">
        <v>5408</v>
      </c>
      <c r="G260" s="2" t="s">
        <v>5516</v>
      </c>
      <c r="H260" s="78" t="s">
        <v>5517</v>
      </c>
      <c r="I260" s="4" t="s">
        <v>5534</v>
      </c>
      <c r="J260" s="5" t="s">
        <v>5535</v>
      </c>
      <c r="U260" s="222" t="str">
        <f t="shared" si="16"/>
        <v>新北市</v>
      </c>
      <c r="V260" s="223" t="str">
        <f t="shared" si="17"/>
        <v>三重區</v>
      </c>
      <c r="W260" s="223" t="str">
        <f t="shared" si="18"/>
        <v>三和路三段137號</v>
      </c>
      <c r="X260" s="2" t="s">
        <v>326</v>
      </c>
      <c r="Y260" s="2" t="str">
        <f>VLOOKUP(V260,門市狀態!G:H,2,FALSE)</f>
        <v>劉柏均</v>
      </c>
      <c r="Z260" s="218" t="str">
        <f>IF(D260="FVC7", IF(COUNTIF(特殊門市清單!N:N, B260)=0, "FVC7", VLOOKUP(B260,特殊門市清單!N:T,7,FALSE)), IF(AA260="v","Peplink",""))</f>
        <v/>
      </c>
      <c r="AA260" s="218" t="str">
        <f>IFERROR(VLOOKUP(B260,門市狀態!A:D,4,FALSE),"")</f>
        <v/>
      </c>
      <c r="AB260" s="224" t="str">
        <f>VLOOKUP(B260,門市總表!A:B,2,FALSE)</f>
        <v>三重維德店</v>
      </c>
      <c r="AC260" s="259"/>
      <c r="AD260" s="224"/>
      <c r="AE260" s="224"/>
      <c r="AF260" s="224" t="s">
        <v>4992</v>
      </c>
      <c r="AG260" s="248" t="s">
        <v>102</v>
      </c>
      <c r="AH260" s="224"/>
    </row>
    <row r="261" spans="1:34" ht="21.6" customHeight="1">
      <c r="A261" s="2">
        <v>260</v>
      </c>
      <c r="B261" s="2">
        <v>2014</v>
      </c>
      <c r="C261" s="4" t="s">
        <v>710</v>
      </c>
      <c r="D261" s="2" t="s">
        <v>4986</v>
      </c>
      <c r="F261" s="2" t="s">
        <v>5408</v>
      </c>
      <c r="G261" s="2" t="s">
        <v>5536</v>
      </c>
      <c r="H261" s="78" t="s">
        <v>5537</v>
      </c>
      <c r="I261" s="4" t="s">
        <v>5538</v>
      </c>
      <c r="J261" s="5" t="s">
        <v>5539</v>
      </c>
      <c r="U261" s="222" t="str">
        <f t="shared" si="16"/>
        <v>新北市</v>
      </c>
      <c r="V261" s="223" t="str">
        <f t="shared" si="17"/>
        <v>三重區</v>
      </c>
      <c r="W261" s="223" t="str">
        <f t="shared" si="18"/>
        <v>中正北路66號</v>
      </c>
      <c r="X261" s="2" t="s">
        <v>326</v>
      </c>
      <c r="Y261" s="2" t="str">
        <f>VLOOKUP(V261,門市狀態!G:H,2,FALSE)</f>
        <v>劉柏均</v>
      </c>
      <c r="Z261" s="218" t="str">
        <f>IF(D261="FVC7", IF(COUNTIF(特殊門市清單!N:N, B261)=0, "FVC7", VLOOKUP(B261,特殊門市清單!N:T,7,FALSE)), IF(AA261="v","Peplink",""))</f>
        <v/>
      </c>
      <c r="AA261" s="218" t="str">
        <f>IFERROR(VLOOKUP(B261,門市狀態!A:D,4,FALSE),"")</f>
        <v/>
      </c>
      <c r="AB261" s="224" t="str">
        <f>VLOOKUP(B261,門市總表!A:B,2,FALSE)</f>
        <v>三重果菜市場</v>
      </c>
      <c r="AC261" s="259"/>
      <c r="AD261" s="224"/>
      <c r="AE261" s="224" t="s">
        <v>4985</v>
      </c>
      <c r="AF261" s="224" t="s">
        <v>4992</v>
      </c>
      <c r="AG261" s="248" t="s">
        <v>102</v>
      </c>
      <c r="AH261" s="224" t="s">
        <v>103</v>
      </c>
    </row>
    <row r="262" spans="1:34" ht="21.6" customHeight="1">
      <c r="A262" s="2">
        <v>261</v>
      </c>
      <c r="B262" s="2">
        <v>2259</v>
      </c>
      <c r="C262" s="4" t="s">
        <v>1188</v>
      </c>
      <c r="D262" s="2" t="s">
        <v>4993</v>
      </c>
      <c r="F262" s="2" t="s">
        <v>5408</v>
      </c>
      <c r="G262" s="2" t="s">
        <v>5536</v>
      </c>
      <c r="H262" s="78" t="s">
        <v>5537</v>
      </c>
      <c r="I262" s="4" t="s">
        <v>5540</v>
      </c>
      <c r="J262" s="5" t="s">
        <v>5541</v>
      </c>
      <c r="U262" s="222" t="str">
        <f t="shared" si="16"/>
        <v>新北市</v>
      </c>
      <c r="V262" s="223" t="str">
        <f t="shared" si="17"/>
        <v>三重區</v>
      </c>
      <c r="W262" s="223" t="str">
        <f t="shared" si="18"/>
        <v>中華路18號</v>
      </c>
      <c r="X262" s="2" t="s">
        <v>326</v>
      </c>
      <c r="Y262" s="2" t="str">
        <f>VLOOKUP(V262,門市狀態!G:H,2,FALSE)</f>
        <v>劉柏均</v>
      </c>
      <c r="Z262" s="218" t="str">
        <f>IF(D262="FVC7", IF(COUNTIF(特殊門市清單!N:N, B262)=0, "FVC7", VLOOKUP(B262,特殊門市清單!N:T,7,FALSE)), IF(AA262="v","Peplink",""))</f>
        <v/>
      </c>
      <c r="AA262" s="218" t="str">
        <f>IFERROR(VLOOKUP(B262,門市狀態!A:D,4,FALSE),"")</f>
        <v/>
      </c>
      <c r="AB262" s="224" t="str">
        <f>VLOOKUP(B262,門市總表!A:B,2,FALSE)</f>
        <v>三重興華店</v>
      </c>
      <c r="AC262" s="259"/>
      <c r="AD262" s="224"/>
      <c r="AE262" s="224" t="s">
        <v>4985</v>
      </c>
      <c r="AF262" s="224" t="s">
        <v>4992</v>
      </c>
      <c r="AG262" s="248" t="s">
        <v>102</v>
      </c>
      <c r="AH262" s="224" t="s">
        <v>103</v>
      </c>
    </row>
    <row r="263" spans="1:34" ht="21.6" customHeight="1">
      <c r="A263" s="2">
        <v>262</v>
      </c>
      <c r="B263" s="2">
        <v>2399</v>
      </c>
      <c r="C263" s="4" t="s">
        <v>828</v>
      </c>
      <c r="D263" s="2" t="s">
        <v>4998</v>
      </c>
      <c r="F263" s="2" t="s">
        <v>5408</v>
      </c>
      <c r="G263" s="2" t="s">
        <v>5536</v>
      </c>
      <c r="H263" s="78" t="s">
        <v>5537</v>
      </c>
      <c r="I263" s="4" t="s">
        <v>5542</v>
      </c>
      <c r="J263" s="5" t="s">
        <v>5543</v>
      </c>
      <c r="U263" s="222" t="str">
        <f t="shared" si="16"/>
        <v>新北市</v>
      </c>
      <c r="V263" s="223" t="str">
        <f t="shared" si="17"/>
        <v>三重區</v>
      </c>
      <c r="W263" s="223" t="str">
        <f t="shared" si="18"/>
        <v>三陽路59號</v>
      </c>
      <c r="X263" s="2" t="s">
        <v>326</v>
      </c>
      <c r="Y263" s="2" t="str">
        <f>VLOOKUP(V263,門市狀態!G:H,2,FALSE)</f>
        <v>劉柏均</v>
      </c>
      <c r="Z263" s="218" t="str">
        <f>IF(D263="FVC7", IF(COUNTIF(特殊門市清單!N:N, B263)=0, "FVC7", VLOOKUP(B263,特殊門市清單!N:T,7,FALSE)), IF(AA263="v","Peplink",""))</f>
        <v/>
      </c>
      <c r="AA263" s="218" t="str">
        <f>IFERROR(VLOOKUP(B263,門市狀態!A:D,4,FALSE),"")</f>
        <v/>
      </c>
      <c r="AB263" s="224" t="str">
        <f>VLOOKUP(B263,門市總表!A:B,2,FALSE)</f>
        <v>三重三陽店</v>
      </c>
      <c r="AC263" s="259"/>
      <c r="AD263" s="224"/>
      <c r="AE263" s="224"/>
      <c r="AF263" s="224" t="s">
        <v>4992</v>
      </c>
      <c r="AG263" s="248" t="s">
        <v>102</v>
      </c>
      <c r="AH263" s="224" t="s">
        <v>103</v>
      </c>
    </row>
    <row r="264" spans="1:34" ht="21.6" customHeight="1">
      <c r="A264" s="2">
        <v>263</v>
      </c>
      <c r="B264" s="2">
        <v>2837</v>
      </c>
      <c r="C264" s="4" t="s">
        <v>835</v>
      </c>
      <c r="D264" s="2" t="s">
        <v>4993</v>
      </c>
      <c r="F264" s="2" t="s">
        <v>5408</v>
      </c>
      <c r="G264" s="2" t="s">
        <v>5536</v>
      </c>
      <c r="H264" s="78" t="s">
        <v>5537</v>
      </c>
      <c r="I264" s="4" t="s">
        <v>5544</v>
      </c>
      <c r="J264" s="5" t="s">
        <v>5545</v>
      </c>
      <c r="U264" s="222" t="str">
        <f t="shared" si="16"/>
        <v>新北市</v>
      </c>
      <c r="V264" s="223" t="str">
        <f t="shared" si="17"/>
        <v>三重區</v>
      </c>
      <c r="W264" s="223" t="str">
        <f t="shared" si="18"/>
        <v>中華路92號及94號</v>
      </c>
      <c r="X264" s="2" t="s">
        <v>326</v>
      </c>
      <c r="Y264" s="2" t="str">
        <f>VLOOKUP(V264,門市狀態!G:H,2,FALSE)</f>
        <v>劉柏均</v>
      </c>
      <c r="Z264" s="218" t="str">
        <f>IF(D264="FVC7", IF(COUNTIF(特殊門市清單!N:N, B264)=0, "FVC7", VLOOKUP(B264,特殊門市清單!N:T,7,FALSE)), IF(AA264="v","Peplink",""))</f>
        <v/>
      </c>
      <c r="AA264" s="218" t="str">
        <f>IFERROR(VLOOKUP(B264,門市狀態!A:D,4,FALSE),"")</f>
        <v/>
      </c>
      <c r="AB264" s="224" t="str">
        <f>VLOOKUP(B264,門市總表!A:B,2,FALSE)</f>
        <v>三重洛陽店</v>
      </c>
      <c r="AC264" s="259"/>
      <c r="AD264" s="224"/>
      <c r="AE264" s="224"/>
      <c r="AF264" s="224" t="s">
        <v>4992</v>
      </c>
      <c r="AG264" s="248" t="s">
        <v>102</v>
      </c>
      <c r="AH264" s="224" t="s">
        <v>103</v>
      </c>
    </row>
    <row r="265" spans="1:34" ht="21.6" customHeight="1">
      <c r="A265" s="2">
        <v>264</v>
      </c>
      <c r="B265" s="2">
        <v>3676</v>
      </c>
      <c r="C265" s="4" t="s">
        <v>839</v>
      </c>
      <c r="D265" s="2" t="s">
        <v>4986</v>
      </c>
      <c r="F265" s="2" t="s">
        <v>5408</v>
      </c>
      <c r="G265" s="2" t="s">
        <v>5536</v>
      </c>
      <c r="H265" s="78" t="s">
        <v>5537</v>
      </c>
      <c r="I265" s="4" t="s">
        <v>5546</v>
      </c>
      <c r="J265" s="5" t="s">
        <v>5547</v>
      </c>
      <c r="U265" s="222" t="str">
        <f t="shared" si="16"/>
        <v>新北市</v>
      </c>
      <c r="V265" s="223" t="str">
        <f t="shared" si="17"/>
        <v>三重區</v>
      </c>
      <c r="W265" s="223" t="str">
        <f t="shared" si="18"/>
        <v>忠孝路三段50巷98號</v>
      </c>
      <c r="X265" s="2" t="s">
        <v>326</v>
      </c>
      <c r="Y265" s="2" t="str">
        <f>VLOOKUP(V265,門市狀態!G:H,2,FALSE)</f>
        <v>劉柏均</v>
      </c>
      <c r="Z265" s="218" t="str">
        <f>IF(D265="FVC7", IF(COUNTIF(特殊門市清單!N:N, B265)=0, "FVC7", VLOOKUP(B265,特殊門市清單!N:T,7,FALSE)), IF(AA265="v","Peplink",""))</f>
        <v/>
      </c>
      <c r="AA265" s="218" t="str">
        <f>IFERROR(VLOOKUP(B265,門市狀態!A:D,4,FALSE),"")</f>
        <v/>
      </c>
      <c r="AB265" s="224" t="str">
        <f>VLOOKUP(B265,門市總表!A:B,2,FALSE)</f>
        <v>三重田心店</v>
      </c>
      <c r="AC265" s="259"/>
      <c r="AD265" s="224"/>
      <c r="AE265" s="224"/>
      <c r="AF265" s="224" t="s">
        <v>4992</v>
      </c>
      <c r="AG265" s="248" t="s">
        <v>102</v>
      </c>
      <c r="AH265" s="224" t="s">
        <v>103</v>
      </c>
    </row>
    <row r="266" spans="1:34" ht="21.6" customHeight="1">
      <c r="A266" s="2">
        <v>265</v>
      </c>
      <c r="B266" s="2">
        <v>4029</v>
      </c>
      <c r="C266" s="4" t="s">
        <v>2201</v>
      </c>
      <c r="D266" s="2" t="s">
        <v>4986</v>
      </c>
      <c r="F266" s="2" t="s">
        <v>5408</v>
      </c>
      <c r="G266" s="2" t="s">
        <v>5536</v>
      </c>
      <c r="H266" s="78" t="s">
        <v>5537</v>
      </c>
      <c r="I266" s="4" t="s">
        <v>5548</v>
      </c>
      <c r="J266" s="5" t="s">
        <v>5549</v>
      </c>
      <c r="U266" s="222" t="str">
        <f t="shared" si="16"/>
        <v>新北市</v>
      </c>
      <c r="V266" s="223" t="str">
        <f t="shared" si="17"/>
        <v>三重區</v>
      </c>
      <c r="W266" s="223" t="str">
        <f t="shared" si="18"/>
        <v>龍濱路21號及23號</v>
      </c>
      <c r="X266" s="2" t="s">
        <v>326</v>
      </c>
      <c r="Y266" s="2" t="str">
        <f>VLOOKUP(V266,門市狀態!G:H,2,FALSE)</f>
        <v>劉柏均</v>
      </c>
      <c r="Z266" s="218" t="str">
        <f>IF(D266="FVC7", IF(COUNTIF(特殊門市清單!N:N, B266)=0, "FVC7", VLOOKUP(B266,特殊門市清單!N:T,7,FALSE)), IF(AA266="v","Peplink",""))</f>
        <v/>
      </c>
      <c r="AA266" s="218" t="str">
        <f>IFERROR(VLOOKUP(B266,門市狀態!A:D,4,FALSE),"")</f>
        <v/>
      </c>
      <c r="AB266" s="224" t="str">
        <f>VLOOKUP(B266,門市總表!A:B,2,FALSE)</f>
        <v>三重龍濱店</v>
      </c>
      <c r="AC266" s="259"/>
      <c r="AD266" s="224"/>
      <c r="AE266" s="224" t="s">
        <v>4985</v>
      </c>
      <c r="AF266" s="224" t="s">
        <v>4992</v>
      </c>
      <c r="AG266" s="248" t="s">
        <v>102</v>
      </c>
      <c r="AH266" s="224" t="s">
        <v>103</v>
      </c>
    </row>
    <row r="267" spans="1:34" ht="21.6" customHeight="1">
      <c r="A267" s="2">
        <v>266</v>
      </c>
      <c r="B267" s="2">
        <v>4084</v>
      </c>
      <c r="C267" s="4" t="s">
        <v>654</v>
      </c>
      <c r="D267" s="2" t="s">
        <v>4998</v>
      </c>
      <c r="F267" s="2" t="s">
        <v>5408</v>
      </c>
      <c r="G267" s="2" t="s">
        <v>5536</v>
      </c>
      <c r="H267" s="78" t="s">
        <v>5537</v>
      </c>
      <c r="I267" s="4" t="s">
        <v>5550</v>
      </c>
      <c r="J267" s="5" t="s">
        <v>5551</v>
      </c>
      <c r="U267" s="222" t="str">
        <f t="shared" si="16"/>
        <v>新北市</v>
      </c>
      <c r="V267" s="223" t="str">
        <f t="shared" si="17"/>
        <v>三重區</v>
      </c>
      <c r="W267" s="223" t="str">
        <f t="shared" si="18"/>
        <v>環河南路221巷14號及16號1樓全部</v>
      </c>
      <c r="X267" s="2" t="s">
        <v>326</v>
      </c>
      <c r="Y267" s="2" t="str">
        <f>VLOOKUP(V267,門市狀態!G:H,2,FALSE)</f>
        <v>劉柏均</v>
      </c>
      <c r="Z267" s="218" t="str">
        <f>IF(D267="FVC7", IF(COUNTIF(特殊門市清單!N:N, B267)=0, "FVC7", VLOOKUP(B267,特殊門市清單!N:T,7,FALSE)), IF(AA267="v","Peplink",""))</f>
        <v/>
      </c>
      <c r="AA267" s="218" t="str">
        <f>IFERROR(VLOOKUP(B267,門市狀態!A:D,4,FALSE),"")</f>
        <v/>
      </c>
      <c r="AB267" s="224" t="str">
        <f>VLOOKUP(B267,門市總表!A:B,2,FALSE)</f>
        <v>三重昌隆店</v>
      </c>
      <c r="AC267" s="259"/>
      <c r="AD267" s="224"/>
      <c r="AE267" s="224" t="s">
        <v>4985</v>
      </c>
      <c r="AF267" s="224" t="s">
        <v>4992</v>
      </c>
      <c r="AG267" s="248" t="s">
        <v>102</v>
      </c>
      <c r="AH267" s="224" t="s">
        <v>103</v>
      </c>
    </row>
    <row r="268" spans="1:34" ht="21.6" customHeight="1">
      <c r="A268" s="2">
        <v>267</v>
      </c>
      <c r="B268" s="2">
        <v>4260</v>
      </c>
      <c r="C268" s="4" t="s">
        <v>650</v>
      </c>
      <c r="D268" s="2" t="s">
        <v>4993</v>
      </c>
      <c r="F268" s="2" t="s">
        <v>5408</v>
      </c>
      <c r="G268" s="2" t="s">
        <v>5536</v>
      </c>
      <c r="H268" s="78" t="s">
        <v>5537</v>
      </c>
      <c r="I268" s="4" t="s">
        <v>5552</v>
      </c>
      <c r="J268" s="5" t="s">
        <v>5553</v>
      </c>
      <c r="U268" s="222" t="str">
        <f t="shared" si="16"/>
        <v>新北市</v>
      </c>
      <c r="V268" s="223" t="str">
        <f t="shared" si="17"/>
        <v>三重區</v>
      </c>
      <c r="W268" s="223" t="str">
        <f t="shared" si="18"/>
        <v>集美街211、213號一樓全部</v>
      </c>
      <c r="X268" s="2" t="s">
        <v>326</v>
      </c>
      <c r="Y268" s="2" t="str">
        <f>VLOOKUP(V268,門市狀態!G:H,2,FALSE)</f>
        <v>劉柏均</v>
      </c>
      <c r="Z268" s="218" t="str">
        <f>IF(D268="FVC7", IF(COUNTIF(特殊門市清單!N:N, B268)=0, "FVC7", VLOOKUP(B268,特殊門市清單!N:T,7,FALSE)), IF(AA268="v","Peplink",""))</f>
        <v/>
      </c>
      <c r="AA268" s="218" t="str">
        <f>IFERROR(VLOOKUP(B268,門市狀態!A:D,4,FALSE),"")</f>
        <v/>
      </c>
      <c r="AB268" s="224" t="str">
        <f>VLOOKUP(B268,門市總表!A:B,2,FALSE)</f>
        <v>三重高中店</v>
      </c>
      <c r="AC268" s="259"/>
      <c r="AD268" s="224"/>
      <c r="AE268" s="224"/>
      <c r="AF268" s="224" t="s">
        <v>4992</v>
      </c>
      <c r="AG268" s="248" t="s">
        <v>102</v>
      </c>
      <c r="AH268" s="224" t="s">
        <v>103</v>
      </c>
    </row>
    <row r="269" spans="1:34" ht="21.6" customHeight="1">
      <c r="A269" s="2">
        <v>268</v>
      </c>
      <c r="B269" s="2" t="s">
        <v>58</v>
      </c>
      <c r="C269" s="4" t="s">
        <v>831</v>
      </c>
      <c r="D269" s="2" t="s">
        <v>4986</v>
      </c>
      <c r="F269" s="2" t="s">
        <v>5408</v>
      </c>
      <c r="G269" s="2" t="s">
        <v>5536</v>
      </c>
      <c r="H269" s="78" t="s">
        <v>5537</v>
      </c>
      <c r="I269" s="4" t="s">
        <v>5554</v>
      </c>
      <c r="J269" s="5" t="s">
        <v>5555</v>
      </c>
      <c r="U269" s="222" t="str">
        <f t="shared" si="16"/>
        <v>新北市</v>
      </c>
      <c r="V269" s="223" t="str">
        <f t="shared" si="17"/>
        <v>三重區</v>
      </c>
      <c r="W269" s="223" t="str">
        <f t="shared" si="18"/>
        <v>三民街100,102號</v>
      </c>
      <c r="X269" s="2" t="s">
        <v>326</v>
      </c>
      <c r="Y269" s="2" t="str">
        <f>VLOOKUP(V269,門市狀態!G:H,2,FALSE)</f>
        <v>劉柏均</v>
      </c>
      <c r="Z269" s="218" t="str">
        <f>IF(D269="FVC7", IF(COUNTIF(特殊門市清單!N:N, B269)=0, "FVC7", VLOOKUP(B269,特殊門市清單!N:T,7,FALSE)), IF(AA269="v","Peplink",""))</f>
        <v/>
      </c>
      <c r="AA269" s="218" t="str">
        <f>IFERROR(VLOOKUP(B269,門市狀態!A:D,4,FALSE),"")</f>
        <v/>
      </c>
      <c r="AB269" s="224" t="str">
        <f>VLOOKUP(B269,門市總表!A:B,2,FALSE)</f>
        <v>三重三民店</v>
      </c>
      <c r="AC269" s="259"/>
      <c r="AD269" s="224"/>
      <c r="AE269" s="224"/>
      <c r="AF269" s="224" t="s">
        <v>4992</v>
      </c>
      <c r="AG269" s="248" t="s">
        <v>102</v>
      </c>
      <c r="AH269" s="224" t="s">
        <v>103</v>
      </c>
    </row>
    <row r="270" spans="1:34" ht="21.6" customHeight="1">
      <c r="A270" s="2">
        <v>269</v>
      </c>
      <c r="B270" s="6" t="s">
        <v>56</v>
      </c>
      <c r="C270" s="4" t="s">
        <v>874</v>
      </c>
      <c r="D270" s="2" t="s">
        <v>4993</v>
      </c>
      <c r="F270" s="2" t="s">
        <v>5408</v>
      </c>
      <c r="G270" s="2" t="s">
        <v>5536</v>
      </c>
      <c r="H270" s="78" t="s">
        <v>5537</v>
      </c>
      <c r="I270" s="4" t="s">
        <v>5556</v>
      </c>
      <c r="J270" s="5" t="s">
        <v>5557</v>
      </c>
      <c r="U270" s="222" t="str">
        <f t="shared" ref="U270:U301" si="19">IFERROR(LEFT(J270,FIND("縣",J270)),IFERROR(LEFT(J270,FIND("市",J270)),J270))</f>
        <v>新北市</v>
      </c>
      <c r="V270" s="223" t="str">
        <f t="shared" si="17"/>
        <v>三重區</v>
      </c>
      <c r="W270" s="223" t="str">
        <f t="shared" si="18"/>
        <v>重新路四段244巷40號</v>
      </c>
      <c r="X270" s="2" t="s">
        <v>326</v>
      </c>
      <c r="Y270" s="2" t="str">
        <f>VLOOKUP(V270,門市狀態!G:H,2,FALSE)</f>
        <v>劉柏均</v>
      </c>
      <c r="Z270" s="218" t="str">
        <f>IF(D270="FVC7", IF(COUNTIF(特殊門市清單!N:N, B270)=0, "FVC7", VLOOKUP(B270,特殊門市清單!N:T,7,FALSE)), IF(AA270="v","Peplink",""))</f>
        <v/>
      </c>
      <c r="AA270" s="218" t="str">
        <f>IFERROR(VLOOKUP(B270,門市狀態!A:D,4,FALSE),"")</f>
        <v/>
      </c>
      <c r="AB270" s="224" t="str">
        <f>VLOOKUP(B270,門市總表!A:B,2,FALSE)</f>
        <v>三重重新店</v>
      </c>
      <c r="AC270" s="259"/>
      <c r="AD270" s="224"/>
      <c r="AE270" s="224" t="s">
        <v>4985</v>
      </c>
      <c r="AF270" s="224" t="s">
        <v>4992</v>
      </c>
      <c r="AG270" s="248" t="s">
        <v>102</v>
      </c>
      <c r="AH270" s="224" t="s">
        <v>103</v>
      </c>
    </row>
    <row r="271" spans="1:34" ht="21.6" customHeight="1">
      <c r="A271" s="2">
        <v>270</v>
      </c>
      <c r="B271" s="2">
        <v>5245</v>
      </c>
      <c r="C271" s="4" t="s">
        <v>258</v>
      </c>
      <c r="D271" s="2"/>
      <c r="F271" s="2"/>
      <c r="G271" s="2"/>
      <c r="H271" s="78"/>
      <c r="J271" s="5" t="s">
        <v>5558</v>
      </c>
      <c r="U271" s="222" t="str">
        <f t="shared" si="19"/>
        <v>新北市</v>
      </c>
      <c r="V271" s="223" t="str">
        <f t="shared" si="17"/>
        <v>三重區</v>
      </c>
      <c r="W271" s="223" t="str">
        <f t="shared" si="18"/>
        <v>三陽路14巷12號及14號</v>
      </c>
      <c r="X271" s="2" t="s">
        <v>326</v>
      </c>
      <c r="Y271" s="2" t="str">
        <f>VLOOKUP(V271,門市狀態!G:H,2,FALSE)</f>
        <v>劉柏均</v>
      </c>
      <c r="Z271" s="218" t="str">
        <f>IF(D271="FVC7", IF(COUNTIF(特殊門市清單!N:N, B271)=0, "FVC7", VLOOKUP(B271,特殊門市清單!N:T,7,FALSE)), IF(AA271="v","Peplink",""))</f>
        <v/>
      </c>
      <c r="AA271" s="218" t="str">
        <f>IFERROR(VLOOKUP(B271,門市狀態!A:D,4,FALSE),"")</f>
        <v/>
      </c>
      <c r="AB271" s="224" t="str">
        <f>VLOOKUP(B271,門市總表!A:B,2,FALSE)</f>
        <v>三重護山店</v>
      </c>
      <c r="AC271" s="259"/>
      <c r="AD271" s="224"/>
      <c r="AE271" s="224"/>
      <c r="AF271" s="224" t="s">
        <v>4992</v>
      </c>
      <c r="AG271" s="248" t="s">
        <v>102</v>
      </c>
      <c r="AH271" s="224" t="s">
        <v>103</v>
      </c>
    </row>
    <row r="272" spans="1:34" ht="21.6" customHeight="1">
      <c r="A272" s="2">
        <v>271</v>
      </c>
      <c r="B272" s="2">
        <v>5316</v>
      </c>
      <c r="C272" s="4" t="s">
        <v>255</v>
      </c>
      <c r="D272" s="2"/>
      <c r="F272" s="2"/>
      <c r="G272" s="2"/>
      <c r="H272" s="78"/>
      <c r="J272" s="4" t="s">
        <v>5559</v>
      </c>
      <c r="U272" s="222" t="str">
        <f t="shared" si="19"/>
        <v>新北市</v>
      </c>
      <c r="V272" s="223" t="str">
        <f t="shared" si="17"/>
        <v>三重區</v>
      </c>
      <c r="W272" s="223" t="str">
        <f t="shared" si="18"/>
        <v>仁義街209號1樓及地下室</v>
      </c>
      <c r="X272" s="2" t="s">
        <v>326</v>
      </c>
      <c r="Y272" s="2" t="str">
        <f>VLOOKUP(V272,門市狀態!G:H,2,FALSE)</f>
        <v>劉柏均</v>
      </c>
      <c r="Z272" s="218" t="str">
        <f>IF(D272="FVC7", IF(COUNTIF(特殊門市清單!N:N, B272)=0, "FVC7", VLOOKUP(B272,特殊門市清單!N:T,7,FALSE)), IF(AA272="v","Peplink",""))</f>
        <v/>
      </c>
      <c r="AA272" s="218" t="str">
        <f>IFERROR(VLOOKUP(B272,門市狀態!A:D,4,FALSE),"")</f>
        <v/>
      </c>
      <c r="AB272" s="224" t="str">
        <f>VLOOKUP(B272,門市總表!A:B,2,FALSE)</f>
        <v>三重五常店</v>
      </c>
      <c r="AC272" s="259"/>
      <c r="AD272" s="224"/>
      <c r="AE272" s="224"/>
      <c r="AF272" s="224" t="s">
        <v>4992</v>
      </c>
      <c r="AG272" s="248" t="s">
        <v>102</v>
      </c>
      <c r="AH272" s="224" t="s">
        <v>103</v>
      </c>
    </row>
    <row r="273" spans="1:34" ht="21.6" customHeight="1">
      <c r="A273" s="2">
        <v>272</v>
      </c>
      <c r="B273" s="2">
        <v>5352</v>
      </c>
      <c r="C273" s="4" t="s">
        <v>1979</v>
      </c>
      <c r="D273" s="2"/>
      <c r="F273" s="2"/>
      <c r="G273" s="2"/>
      <c r="H273" s="78"/>
      <c r="J273" s="4" t="s">
        <v>5559</v>
      </c>
      <c r="U273" s="222" t="str">
        <f t="shared" si="19"/>
        <v>新北市</v>
      </c>
      <c r="V273" s="223" t="str">
        <f t="shared" si="17"/>
        <v>三重區</v>
      </c>
      <c r="W273" s="223" t="str">
        <f t="shared" si="18"/>
        <v>仁義街209號1樓及地下室</v>
      </c>
      <c r="X273" s="2" t="s">
        <v>326</v>
      </c>
      <c r="Y273" s="2" t="str">
        <f>VLOOKUP(V273,門市狀態!G:H,2,FALSE)</f>
        <v>劉柏均</v>
      </c>
      <c r="Z273" s="218" t="str">
        <f>IF(D273="FVC7", IF(COUNTIF(特殊門市清單!N:N, B273)=0, "FVC7", VLOOKUP(B273,特殊門市清單!N:T,7,FALSE)), IF(AA273="v","Peplink",""))</f>
        <v/>
      </c>
      <c r="AA273" s="218" t="str">
        <f>IFERROR(VLOOKUP(B273,門市狀態!A:D,4,FALSE),"")</f>
        <v/>
      </c>
      <c r="AB273" s="224" t="str">
        <f>VLOOKUP(B273,門市總表!A:B,2,FALSE)</f>
        <v>三重重陽店</v>
      </c>
      <c r="AC273" s="259"/>
      <c r="AD273" s="224"/>
      <c r="AE273" s="224"/>
      <c r="AF273" s="224" t="s">
        <v>4992</v>
      </c>
      <c r="AG273" s="248" t="s">
        <v>102</v>
      </c>
      <c r="AH273" s="224" t="s">
        <v>103</v>
      </c>
    </row>
    <row r="274" spans="1:34" ht="21.6" customHeight="1">
      <c r="A274" s="2">
        <v>273</v>
      </c>
      <c r="B274" s="2">
        <v>5377</v>
      </c>
      <c r="C274" s="4" t="s">
        <v>203</v>
      </c>
      <c r="J274" s="5" t="s">
        <v>5560</v>
      </c>
      <c r="U274" s="260" t="str">
        <f t="shared" si="19"/>
        <v>新北市</v>
      </c>
      <c r="V274" s="258" t="str">
        <f t="shared" si="17"/>
        <v>三重區</v>
      </c>
      <c r="W274" s="258" t="str">
        <f t="shared" si="18"/>
        <v>大智街97號</v>
      </c>
      <c r="X274" s="2" t="s">
        <v>326</v>
      </c>
      <c r="Y274" s="2" t="str">
        <f>VLOOKUP(V274,門市狀態!G:H,2,FALSE)</f>
        <v>劉柏均</v>
      </c>
      <c r="Z274" s="218" t="str">
        <f>IF(D274="FVC7", IF(COUNTIF(特殊門市清單!N:N, B274)=0, "FVC7", VLOOKUP(B274,特殊門市清單!N:T,7,FALSE)), IF(AA274="v","Peplink",""))</f>
        <v/>
      </c>
      <c r="AA274" s="218" t="str">
        <f>IFERROR(VLOOKUP(B274,門市狀態!A:D,4,FALSE),"")</f>
        <v/>
      </c>
      <c r="AB274" s="224" t="str">
        <f>VLOOKUP(B274,門市總表!A:B,2,FALSE)</f>
        <v>三重大智店</v>
      </c>
      <c r="AC274" s="259"/>
      <c r="AD274" s="224"/>
      <c r="AE274" s="224"/>
      <c r="AF274" s="224" t="s">
        <v>4992</v>
      </c>
      <c r="AG274" s="248" t="s">
        <v>102</v>
      </c>
      <c r="AH274" s="224"/>
    </row>
    <row r="275" spans="1:34" ht="21.6" customHeight="1">
      <c r="A275" s="2">
        <v>274</v>
      </c>
      <c r="B275" s="2">
        <v>5457</v>
      </c>
      <c r="C275" s="4" t="s">
        <v>197</v>
      </c>
      <c r="J275" s="5" t="s">
        <v>5561</v>
      </c>
      <c r="U275" s="260" t="str">
        <f t="shared" si="19"/>
        <v>新北市</v>
      </c>
      <c r="V275" s="258" t="str">
        <f t="shared" si="17"/>
        <v>三重區</v>
      </c>
      <c r="W275" s="258" t="str">
        <f t="shared" si="18"/>
        <v>五華街89號一樓</v>
      </c>
      <c r="X275" s="2" t="s">
        <v>326</v>
      </c>
      <c r="Y275" s="2" t="str">
        <f>VLOOKUP(V275,門市狀態!G:H,2,FALSE)</f>
        <v>劉柏均</v>
      </c>
      <c r="Z275" s="218" t="str">
        <f>IF(D275="FVC7", IF(COUNTIF(特殊門市清單!N:N, B275)=0, "FVC7", VLOOKUP(B275,特殊門市清單!N:T,7,FALSE)), IF(AA275="v","Peplink",""))</f>
        <v/>
      </c>
      <c r="AA275" s="218" t="str">
        <f>IFERROR(VLOOKUP(B275,門市狀態!A:D,4,FALSE),"")</f>
        <v/>
      </c>
      <c r="AB275" s="224" t="str">
        <f>VLOOKUP(B275,門市總表!A:B,2,FALSE)</f>
        <v>三重鑫五華</v>
      </c>
      <c r="AC275" s="259"/>
      <c r="AD275" s="224"/>
      <c r="AE275" s="224"/>
      <c r="AF275" s="224" t="s">
        <v>4992</v>
      </c>
      <c r="AG275" s="248" t="s">
        <v>102</v>
      </c>
      <c r="AH275" s="224"/>
    </row>
    <row r="276" spans="1:34" ht="21.6" customHeight="1">
      <c r="A276" s="2">
        <v>275</v>
      </c>
      <c r="B276" s="2">
        <v>5410</v>
      </c>
      <c r="C276" s="4" t="s">
        <v>184</v>
      </c>
      <c r="J276" s="5" t="s">
        <v>5562</v>
      </c>
      <c r="U276" s="260" t="str">
        <f t="shared" si="19"/>
        <v>新北市</v>
      </c>
      <c r="V276" s="258" t="str">
        <f t="shared" si="17"/>
        <v>三重區</v>
      </c>
      <c r="W276" s="258" t="str">
        <f t="shared" si="18"/>
        <v>重陽路三段126、128號一、二樓</v>
      </c>
      <c r="X276" s="2" t="s">
        <v>326</v>
      </c>
      <c r="Y276" s="2" t="str">
        <f>VLOOKUP(V276,門市狀態!G:H,2,FALSE)</f>
        <v>劉柏均</v>
      </c>
      <c r="Z276" s="218" t="str">
        <f>IF(D276="FVC7", IF(COUNTIF(特殊門市清單!N:N, B276)=0, "FVC7", VLOOKUP(B276,特殊門市清單!N:T,7,FALSE)), IF(AA276="v","Peplink",""))</f>
        <v/>
      </c>
      <c r="AA276" s="218" t="str">
        <f>IFERROR(VLOOKUP(B276,門市狀態!A:D,4,FALSE),"")</f>
        <v/>
      </c>
      <c r="AB276" s="224" t="str">
        <f>VLOOKUP(B276,門市總表!A:B,2,FALSE)</f>
        <v>三重力行店</v>
      </c>
      <c r="AC276" s="259"/>
      <c r="AD276" s="224"/>
      <c r="AE276" s="224"/>
      <c r="AF276" s="224" t="s">
        <v>4992</v>
      </c>
      <c r="AG276" s="248" t="s">
        <v>102</v>
      </c>
      <c r="AH276" s="224"/>
    </row>
    <row r="277" spans="1:34" ht="21.6" customHeight="1">
      <c r="A277" s="2">
        <v>276</v>
      </c>
      <c r="B277" s="315">
        <v>5240</v>
      </c>
      <c r="C277" s="316" t="s">
        <v>5563</v>
      </c>
      <c r="J277" s="5" t="s">
        <v>5564</v>
      </c>
      <c r="U277" s="260" t="str">
        <f t="shared" si="19"/>
        <v>新北市</v>
      </c>
      <c r="V277" s="258" t="str">
        <f t="shared" si="17"/>
        <v>中和區</v>
      </c>
      <c r="W277" s="258" t="str">
        <f t="shared" si="18"/>
        <v>錦和路350之2號</v>
      </c>
      <c r="X277" s="2" t="s">
        <v>326</v>
      </c>
      <c r="Y277" s="2" t="str">
        <f>VLOOKUP(V277,門市狀態!G:H,2,FALSE)</f>
        <v>劉柏均</v>
      </c>
      <c r="Z277" s="218" t="str">
        <f>IF(D277="FVC7", IF(COUNTIF(特殊門市清單!N:N, B277)=0, "FVC7", VLOOKUP(B277,特殊門市清單!N:T,7,FALSE)), IF(AA277="v","Peplink",""))</f>
        <v/>
      </c>
      <c r="AA277" s="218" t="str">
        <f>IFERROR(VLOOKUP(B277,門市狀態!A:D,4,FALSE),"")</f>
        <v/>
      </c>
      <c r="AB277" s="224" t="str">
        <f>VLOOKUP(B277,門市總表!A:B,2,FALSE)</f>
        <v>中和運動中心</v>
      </c>
      <c r="AC277" s="259"/>
      <c r="AD277" s="224"/>
      <c r="AE277" s="224"/>
      <c r="AF277" s="224"/>
      <c r="AG277" s="248" t="s">
        <v>102</v>
      </c>
      <c r="AH277" s="224" t="s">
        <v>103</v>
      </c>
    </row>
    <row r="278" spans="1:34" ht="21.6" customHeight="1">
      <c r="A278" s="2">
        <v>277</v>
      </c>
      <c r="B278" s="315">
        <v>2171</v>
      </c>
      <c r="C278" s="316" t="s">
        <v>5565</v>
      </c>
      <c r="J278" s="5" t="s">
        <v>5566</v>
      </c>
      <c r="U278" s="260" t="str">
        <f t="shared" si="19"/>
        <v>新北市</v>
      </c>
      <c r="V278" s="258" t="str">
        <f t="shared" si="17"/>
        <v>中和區</v>
      </c>
      <c r="W278" s="258" t="str">
        <f t="shared" si="18"/>
        <v>信義街50號</v>
      </c>
      <c r="X278" s="2" t="s">
        <v>326</v>
      </c>
      <c r="Y278" s="2" t="str">
        <f>VLOOKUP(V278,門市狀態!G:H,2,FALSE)</f>
        <v>劉柏均</v>
      </c>
      <c r="Z278" s="218" t="str">
        <f>IF(D278="FVC7", IF(COUNTIF(特殊門市清單!N:N, B278)=0, "FVC7", VLOOKUP(B278,特殊門市清單!N:T,7,FALSE)), IF(AA278="v","Peplink",""))</f>
        <v/>
      </c>
      <c r="AA278" s="218" t="str">
        <f>IFERROR(VLOOKUP(B278,門市狀態!A:D,4,FALSE),"")</f>
        <v/>
      </c>
      <c r="AB278" s="224" t="str">
        <f>VLOOKUP(B278,門市總表!A:B,2,FALSE)</f>
        <v>北縣興南店</v>
      </c>
      <c r="AC278" s="259"/>
      <c r="AD278" s="224"/>
      <c r="AE278" s="224"/>
      <c r="AF278" s="224"/>
      <c r="AG278" s="248" t="s">
        <v>102</v>
      </c>
      <c r="AH278" s="224" t="s">
        <v>103</v>
      </c>
    </row>
    <row r="279" spans="1:34" ht="21.6" customHeight="1">
      <c r="A279" s="2">
        <v>278</v>
      </c>
      <c r="B279" s="315">
        <v>2062</v>
      </c>
      <c r="C279" s="316" t="s">
        <v>5567</v>
      </c>
      <c r="J279" s="5" t="s">
        <v>5568</v>
      </c>
      <c r="U279" s="260" t="str">
        <f t="shared" si="19"/>
        <v>新北市</v>
      </c>
      <c r="V279" s="258" t="str">
        <f t="shared" si="17"/>
        <v>中和區</v>
      </c>
      <c r="W279" s="258" t="str">
        <f t="shared" si="18"/>
        <v>員山路502-7號</v>
      </c>
      <c r="X279" s="2" t="s">
        <v>326</v>
      </c>
      <c r="Y279" s="2" t="str">
        <f>VLOOKUP(V279,門市狀態!G:H,2,FALSE)</f>
        <v>劉柏均</v>
      </c>
      <c r="Z279" s="218" t="str">
        <f>IF(D279="FVC7", IF(COUNTIF(特殊門市清單!N:N, B279)=0, "FVC7", VLOOKUP(B279,特殊門市清單!N:T,7,FALSE)), IF(AA279="v","Peplink",""))</f>
        <v/>
      </c>
      <c r="AA279" s="218" t="str">
        <f>IFERROR(VLOOKUP(B279,門市狀態!A:D,4,FALSE),"")</f>
        <v/>
      </c>
      <c r="AB279" s="224" t="str">
        <f>VLOOKUP(B279,門市總表!A:B,2,FALSE)</f>
        <v>中和員山店</v>
      </c>
      <c r="AC279" s="259"/>
      <c r="AD279" s="224"/>
      <c r="AE279" s="224"/>
      <c r="AF279" s="224"/>
      <c r="AG279" s="248" t="s">
        <v>102</v>
      </c>
      <c r="AH279" s="224" t="s">
        <v>103</v>
      </c>
    </row>
    <row r="280" spans="1:34" ht="21.6" customHeight="1">
      <c r="A280" s="2">
        <v>279</v>
      </c>
      <c r="B280" s="315">
        <v>2180</v>
      </c>
      <c r="C280" s="316" t="s">
        <v>5569</v>
      </c>
      <c r="J280" s="5" t="s">
        <v>5570</v>
      </c>
      <c r="U280" s="260" t="str">
        <f t="shared" si="19"/>
        <v>新北市</v>
      </c>
      <c r="V280" s="258" t="str">
        <f t="shared" si="17"/>
        <v>中和區</v>
      </c>
      <c r="W280" s="258" t="str">
        <f t="shared" si="18"/>
        <v>員山路581巷2號</v>
      </c>
      <c r="X280" s="2" t="s">
        <v>326</v>
      </c>
      <c r="Y280" s="2" t="str">
        <f>VLOOKUP(V280,門市狀態!G:H,2,FALSE)</f>
        <v>劉柏均</v>
      </c>
      <c r="Z280" s="218" t="str">
        <f>IF(D280="FVC7", IF(COUNTIF(特殊門市清單!N:N, B280)=0, "FVC7", VLOOKUP(B280,特殊門市清單!N:T,7,FALSE)), IF(AA280="v","Peplink",""))</f>
        <v/>
      </c>
      <c r="AA280" s="218" t="str">
        <f>IFERROR(VLOOKUP(B280,門市狀態!A:D,4,FALSE),"")</f>
        <v/>
      </c>
      <c r="AB280" s="224" t="str">
        <f>VLOOKUP(B280,門市總表!A:B,2,FALSE)</f>
        <v>中和國際店</v>
      </c>
      <c r="AC280" s="259"/>
      <c r="AD280" s="224"/>
      <c r="AE280" s="224"/>
      <c r="AF280" s="224"/>
      <c r="AG280" s="248" t="s">
        <v>102</v>
      </c>
      <c r="AH280" s="224" t="s">
        <v>103</v>
      </c>
    </row>
    <row r="281" spans="1:34" ht="21.6" customHeight="1">
      <c r="A281" s="2">
        <v>280</v>
      </c>
      <c r="B281" s="315">
        <v>2398</v>
      </c>
      <c r="C281" s="316" t="s">
        <v>5571</v>
      </c>
      <c r="J281" s="5" t="s">
        <v>5572</v>
      </c>
      <c r="U281" s="260" t="str">
        <f t="shared" si="19"/>
        <v>新北市</v>
      </c>
      <c r="V281" s="258" t="str">
        <f t="shared" si="17"/>
        <v>中和區</v>
      </c>
      <c r="W281" s="258" t="str">
        <f t="shared" si="18"/>
        <v>泰和街10號</v>
      </c>
      <c r="X281" s="2" t="s">
        <v>326</v>
      </c>
      <c r="Y281" s="2" t="str">
        <f>VLOOKUP(V281,門市狀態!G:H,2,FALSE)</f>
        <v>劉柏均</v>
      </c>
      <c r="Z281" s="218" t="str">
        <f>IF(D281="FVC7", IF(COUNTIF(特殊門市清單!N:N, B281)=0, "FVC7", VLOOKUP(B281,特殊門市清單!N:T,7,FALSE)), IF(AA281="v","Peplink",""))</f>
        <v/>
      </c>
      <c r="AA281" s="218" t="str">
        <f>IFERROR(VLOOKUP(B281,門市狀態!A:D,4,FALSE),"")</f>
        <v/>
      </c>
      <c r="AB281" s="224" t="str">
        <f>VLOOKUP(B281,門市總表!A:B,2,FALSE)</f>
        <v>中和泰和店</v>
      </c>
      <c r="AC281" s="259"/>
      <c r="AD281" s="224"/>
      <c r="AE281" s="224"/>
      <c r="AF281" s="224"/>
      <c r="AG281" s="248" t="s">
        <v>102</v>
      </c>
      <c r="AH281" s="224" t="s">
        <v>103</v>
      </c>
    </row>
    <row r="282" spans="1:34" ht="21.6" customHeight="1">
      <c r="A282" s="2">
        <v>281</v>
      </c>
      <c r="B282" s="315">
        <v>2570</v>
      </c>
      <c r="C282" s="316" t="s">
        <v>5573</v>
      </c>
      <c r="J282" s="5" t="s">
        <v>5574</v>
      </c>
      <c r="U282" s="260" t="str">
        <f t="shared" si="19"/>
        <v>新北市</v>
      </c>
      <c r="V282" s="258" t="str">
        <f t="shared" si="17"/>
        <v>中和區</v>
      </c>
      <c r="W282" s="258" t="str">
        <f t="shared" si="18"/>
        <v>圓通路2.4.6.號</v>
      </c>
      <c r="X282" s="2" t="s">
        <v>326</v>
      </c>
      <c r="Y282" s="2" t="str">
        <f>VLOOKUP(V282,門市狀態!G:H,2,FALSE)</f>
        <v>劉柏均</v>
      </c>
      <c r="Z282" s="218" t="str">
        <f>IF(D282="FVC7", IF(COUNTIF(特殊門市清單!N:N, B282)=0, "FVC7", VLOOKUP(B282,特殊門市清單!N:T,7,FALSE)), IF(AA282="v","Peplink",""))</f>
        <v/>
      </c>
      <c r="AA282" s="218" t="str">
        <f>IFERROR(VLOOKUP(B282,門市狀態!A:D,4,FALSE),"")</f>
        <v/>
      </c>
      <c r="AB282" s="224" t="str">
        <f>VLOOKUP(B282,門市總表!A:B,2,FALSE)</f>
        <v>中和和圓店</v>
      </c>
      <c r="AC282" s="259"/>
      <c r="AD282" s="224"/>
      <c r="AE282" s="224"/>
      <c r="AF282" s="224"/>
      <c r="AG282" s="248" t="s">
        <v>102</v>
      </c>
      <c r="AH282" s="224" t="s">
        <v>103</v>
      </c>
    </row>
    <row r="283" spans="1:34" ht="21.6" customHeight="1">
      <c r="A283" s="2">
        <v>282</v>
      </c>
      <c r="B283" s="315">
        <v>2911</v>
      </c>
      <c r="C283" s="316" t="s">
        <v>2917</v>
      </c>
      <c r="J283" s="5" t="s">
        <v>5575</v>
      </c>
      <c r="U283" s="260" t="str">
        <f t="shared" si="19"/>
        <v>新北市</v>
      </c>
      <c r="V283" s="258" t="str">
        <f t="shared" si="17"/>
        <v>中和區</v>
      </c>
      <c r="W283" s="258" t="str">
        <f t="shared" si="18"/>
        <v>自立路20巷1號</v>
      </c>
      <c r="X283" s="2" t="s">
        <v>326</v>
      </c>
      <c r="Y283" s="2" t="str">
        <f>VLOOKUP(V283,門市狀態!G:H,2,FALSE)</f>
        <v>劉柏均</v>
      </c>
      <c r="Z283" s="218" t="str">
        <f>IF(D283="FVC7", IF(COUNTIF(特殊門市清單!N:N, B283)=0, "FVC7", VLOOKUP(B283,特殊門市清單!N:T,7,FALSE)), IF(AA283="v","Peplink",""))</f>
        <v/>
      </c>
      <c r="AA283" s="218" t="str">
        <f>IFERROR(VLOOKUP(B283,門市狀態!A:D,4,FALSE),"")</f>
        <v/>
      </c>
      <c r="AB283" s="224" t="str">
        <f>VLOOKUP(B283,門市總表!A:B,2,FALSE)</f>
        <v>中和和大店</v>
      </c>
      <c r="AC283" s="259"/>
      <c r="AD283" s="224"/>
      <c r="AE283" s="224"/>
      <c r="AF283" s="224"/>
      <c r="AG283" s="248" t="s">
        <v>102</v>
      </c>
      <c r="AH283" s="224" t="s">
        <v>103</v>
      </c>
    </row>
    <row r="284" spans="1:34" ht="21.6" customHeight="1">
      <c r="A284" s="2">
        <v>283</v>
      </c>
      <c r="B284" s="315">
        <v>3318</v>
      </c>
      <c r="C284" s="316" t="s">
        <v>5576</v>
      </c>
      <c r="J284" s="5" t="s">
        <v>5577</v>
      </c>
      <c r="U284" s="260" t="str">
        <f t="shared" si="19"/>
        <v>新北市</v>
      </c>
      <c r="V284" s="258" t="str">
        <f t="shared" si="17"/>
        <v>中和區</v>
      </c>
      <c r="W284" s="258" t="str">
        <f t="shared" si="18"/>
        <v>自治街38號及40號</v>
      </c>
      <c r="X284" s="2" t="s">
        <v>326</v>
      </c>
      <c r="Y284" s="2" t="str">
        <f>VLOOKUP(V284,門市狀態!G:H,2,FALSE)</f>
        <v>劉柏均</v>
      </c>
      <c r="Z284" s="218" t="str">
        <f>IF(D284="FVC7", IF(COUNTIF(特殊門市清單!N:N, B284)=0, "FVC7", VLOOKUP(B284,特殊門市清單!N:T,7,FALSE)), IF(AA284="v","Peplink",""))</f>
        <v/>
      </c>
      <c r="AA284" s="218" t="str">
        <f>IFERROR(VLOOKUP(B284,門市狀態!A:D,4,FALSE),"")</f>
        <v/>
      </c>
      <c r="AB284" s="224" t="str">
        <f>VLOOKUP(B284,門市總表!A:B,2,FALSE)</f>
        <v>中和自治店</v>
      </c>
      <c r="AC284" s="259"/>
      <c r="AD284" s="224"/>
      <c r="AE284" s="224"/>
      <c r="AF284" s="224"/>
      <c r="AG284" s="248" t="s">
        <v>102</v>
      </c>
      <c r="AH284" s="224" t="s">
        <v>103</v>
      </c>
    </row>
    <row r="285" spans="1:34" ht="21.6" customHeight="1">
      <c r="A285" s="2">
        <v>284</v>
      </c>
      <c r="B285" s="315" t="s">
        <v>89</v>
      </c>
      <c r="C285" s="316" t="s">
        <v>5578</v>
      </c>
      <c r="J285" s="5" t="s">
        <v>5579</v>
      </c>
      <c r="U285" s="260" t="str">
        <f t="shared" si="19"/>
        <v>新北市</v>
      </c>
      <c r="V285" s="258" t="str">
        <f t="shared" si="17"/>
        <v>中和區</v>
      </c>
      <c r="W285" s="258" t="str">
        <f t="shared" si="18"/>
        <v>連城路47巷1號</v>
      </c>
      <c r="X285" s="2" t="s">
        <v>326</v>
      </c>
      <c r="Y285" s="2" t="str">
        <f>VLOOKUP(V285,門市狀態!G:H,2,FALSE)</f>
        <v>劉柏均</v>
      </c>
      <c r="Z285" s="218" t="str">
        <f>IF(D285="FVC7", IF(COUNTIF(特殊門市清單!N:N, B285)=0, "FVC7", VLOOKUP(B285,特殊門市清單!N:T,7,FALSE)), IF(AA285="v","Peplink",""))</f>
        <v/>
      </c>
      <c r="AA285" s="218" t="str">
        <f>IFERROR(VLOOKUP(B285,門市狀態!A:D,4,FALSE),"")</f>
        <v/>
      </c>
      <c r="AB285" s="224" t="str">
        <f>VLOOKUP(B285,門市總表!A:B,2,FALSE)</f>
        <v>中和連城店</v>
      </c>
      <c r="AC285" s="259"/>
      <c r="AD285" s="224"/>
      <c r="AE285" s="224"/>
      <c r="AF285" s="224"/>
      <c r="AG285" s="248" t="s">
        <v>102</v>
      </c>
      <c r="AH285" s="224" t="s">
        <v>103</v>
      </c>
    </row>
    <row r="286" spans="1:34" ht="21.6" customHeight="1">
      <c r="A286" s="2">
        <v>285</v>
      </c>
      <c r="B286" s="315">
        <v>3883</v>
      </c>
      <c r="C286" s="316" t="s">
        <v>2520</v>
      </c>
      <c r="J286" s="5" t="s">
        <v>5580</v>
      </c>
      <c r="U286" s="260" t="str">
        <f t="shared" si="19"/>
        <v>新北市</v>
      </c>
      <c r="V286" s="258" t="str">
        <f t="shared" si="17"/>
        <v>中和區</v>
      </c>
      <c r="W286" s="258" t="str">
        <f t="shared" si="18"/>
        <v>華新街143巷12號</v>
      </c>
      <c r="X286" s="2" t="s">
        <v>326</v>
      </c>
      <c r="Y286" s="2" t="str">
        <f>VLOOKUP(V286,門市狀態!G:H,2,FALSE)</f>
        <v>劉柏均</v>
      </c>
      <c r="Z286" s="218" t="str">
        <f>IF(D286="FVC7", IF(COUNTIF(特殊門市清單!N:N, B286)=0, "FVC7", VLOOKUP(B286,特殊門市清單!N:T,7,FALSE)), IF(AA286="v","Peplink",""))</f>
        <v/>
      </c>
      <c r="AA286" s="218" t="str">
        <f>IFERROR(VLOOKUP(B286,門市狀態!A:D,4,FALSE),"")</f>
        <v/>
      </c>
      <c r="AB286" s="224" t="str">
        <f>VLOOKUP(B286,門市總表!A:B,2,FALSE)</f>
        <v>中和和竹店</v>
      </c>
      <c r="AC286" s="259"/>
      <c r="AD286" s="224"/>
      <c r="AE286" s="224"/>
      <c r="AF286" s="224"/>
      <c r="AG286" s="248" t="s">
        <v>102</v>
      </c>
      <c r="AH286" s="224" t="s">
        <v>103</v>
      </c>
    </row>
    <row r="287" spans="1:34" ht="21.6" customHeight="1">
      <c r="A287" s="2">
        <v>286</v>
      </c>
      <c r="B287" s="315">
        <v>3913</v>
      </c>
      <c r="C287" s="316" t="s">
        <v>2336</v>
      </c>
      <c r="J287" s="5" t="s">
        <v>5581</v>
      </c>
      <c r="U287" s="260" t="str">
        <f t="shared" si="19"/>
        <v>新北市</v>
      </c>
      <c r="V287" s="258" t="str">
        <f t="shared" si="17"/>
        <v>中和區</v>
      </c>
      <c r="W287" s="258" t="str">
        <f t="shared" si="18"/>
        <v>員山路84、86、88號一樓</v>
      </c>
      <c r="X287" s="2" t="s">
        <v>326</v>
      </c>
      <c r="Y287" s="2" t="str">
        <f>VLOOKUP(V287,門市狀態!G:H,2,FALSE)</f>
        <v>劉柏均</v>
      </c>
      <c r="Z287" s="218" t="str">
        <f>IF(D287="FVC7", IF(COUNTIF(特殊門市清單!N:N, B287)=0, "FVC7", VLOOKUP(B287,特殊門市清單!N:T,7,FALSE)), IF(AA287="v","Peplink",""))</f>
        <v/>
      </c>
      <c r="AA287" s="218" t="str">
        <f>IFERROR(VLOOKUP(B287,門市狀態!A:D,4,FALSE),"")</f>
        <v/>
      </c>
      <c r="AB287" s="224" t="str">
        <f>VLOOKUP(B287,門市總表!A:B,2,FALSE)</f>
        <v>中和和玉店</v>
      </c>
      <c r="AC287" s="259"/>
      <c r="AD287" s="224"/>
      <c r="AE287" s="224"/>
      <c r="AF287" s="224"/>
      <c r="AG287" s="248" t="s">
        <v>102</v>
      </c>
      <c r="AH287" s="224" t="s">
        <v>103</v>
      </c>
    </row>
    <row r="288" spans="1:34" ht="21.6" customHeight="1">
      <c r="A288" s="2">
        <v>287</v>
      </c>
      <c r="B288" s="315">
        <v>4020</v>
      </c>
      <c r="C288" s="316" t="s">
        <v>5582</v>
      </c>
      <c r="J288" s="5" t="s">
        <v>5583</v>
      </c>
      <c r="U288" s="260" t="str">
        <f t="shared" si="19"/>
        <v>新北市</v>
      </c>
      <c r="V288" s="258" t="str">
        <f t="shared" si="17"/>
        <v>中和區</v>
      </c>
      <c r="W288" s="258" t="str">
        <f t="shared" si="18"/>
        <v>新生街225號及227號</v>
      </c>
      <c r="X288" s="2" t="s">
        <v>326</v>
      </c>
      <c r="Y288" s="2" t="str">
        <f>VLOOKUP(V288,門市狀態!G:H,2,FALSE)</f>
        <v>劉柏均</v>
      </c>
      <c r="Z288" s="218" t="str">
        <f>IF(D288="FVC7", IF(COUNTIF(特殊門市清單!N:N, B288)=0, "FVC7", VLOOKUP(B288,特殊門市清單!N:T,7,FALSE)), IF(AA288="v","Peplink",""))</f>
        <v/>
      </c>
      <c r="AA288" s="218" t="str">
        <f>IFERROR(VLOOKUP(B288,門市狀態!A:D,4,FALSE),"")</f>
        <v/>
      </c>
      <c r="AB288" s="224" t="str">
        <f>VLOOKUP(B288,門市總表!A:B,2,FALSE)</f>
        <v>中和連勝店</v>
      </c>
      <c r="AC288" s="259"/>
      <c r="AD288" s="224"/>
      <c r="AE288" s="224"/>
      <c r="AF288" s="224"/>
      <c r="AG288" s="248" t="s">
        <v>102</v>
      </c>
      <c r="AH288" s="224" t="s">
        <v>103</v>
      </c>
    </row>
    <row r="289" spans="1:34" ht="21.6" customHeight="1">
      <c r="A289" s="2">
        <v>288</v>
      </c>
      <c r="B289" s="315">
        <v>4536</v>
      </c>
      <c r="C289" s="316" t="s">
        <v>2922</v>
      </c>
      <c r="J289" s="5" t="s">
        <v>5584</v>
      </c>
      <c r="U289" s="260" t="str">
        <f t="shared" si="19"/>
        <v>新北市</v>
      </c>
      <c r="V289" s="258" t="str">
        <f t="shared" si="17"/>
        <v>中和區</v>
      </c>
      <c r="W289" s="258" t="str">
        <f t="shared" si="18"/>
        <v>景德街91號</v>
      </c>
      <c r="X289" s="2" t="s">
        <v>326</v>
      </c>
      <c r="Y289" s="2" t="str">
        <f>VLOOKUP(V289,門市狀態!G:H,2,FALSE)</f>
        <v>劉柏均</v>
      </c>
      <c r="Z289" s="218" t="str">
        <f>IF(D289="FVC7", IF(COUNTIF(特殊門市清單!N:N, B289)=0, "FVC7", VLOOKUP(B289,特殊門市清單!N:T,7,FALSE)), IF(AA289="v","Peplink",""))</f>
        <v/>
      </c>
      <c r="AA289" s="218" t="str">
        <f>IFERROR(VLOOKUP(B289,門市狀態!A:D,4,FALSE),"")</f>
        <v/>
      </c>
      <c r="AB289" s="224" t="str">
        <f>VLOOKUP(B289,門市總表!A:B,2,FALSE)</f>
        <v>中和景德店</v>
      </c>
      <c r="AC289" s="259"/>
      <c r="AD289" s="224"/>
      <c r="AE289" s="224"/>
      <c r="AF289" s="224"/>
      <c r="AG289" s="248" t="s">
        <v>102</v>
      </c>
      <c r="AH289" s="224" t="s">
        <v>103</v>
      </c>
    </row>
    <row r="290" spans="1:34" ht="21.6" customHeight="1">
      <c r="A290" s="2">
        <v>289</v>
      </c>
      <c r="B290" s="315">
        <v>4573</v>
      </c>
      <c r="C290" s="316" t="s">
        <v>2927</v>
      </c>
      <c r="J290" s="5" t="s">
        <v>5585</v>
      </c>
      <c r="U290" s="260" t="str">
        <f t="shared" si="19"/>
        <v>新北市</v>
      </c>
      <c r="V290" s="258" t="str">
        <f t="shared" si="17"/>
        <v>中和區</v>
      </c>
      <c r="W290" s="258" t="str">
        <f t="shared" si="18"/>
        <v>工專路38號</v>
      </c>
      <c r="X290" s="2" t="s">
        <v>326</v>
      </c>
      <c r="Y290" s="2" t="str">
        <f>VLOOKUP(V290,門市狀態!G:H,2,FALSE)</f>
        <v>劉柏均</v>
      </c>
      <c r="Z290" s="218" t="str">
        <f>IF(D290="FVC7", IF(COUNTIF(特殊門市清單!N:N, B290)=0, "FVC7", VLOOKUP(B290,特殊門市清單!N:T,7,FALSE)), IF(AA290="v","Peplink",""))</f>
        <v/>
      </c>
      <c r="AA290" s="218" t="str">
        <f>IFERROR(VLOOKUP(B290,門市狀態!A:D,4,FALSE),"")</f>
        <v/>
      </c>
      <c r="AB290" s="224" t="str">
        <f>VLOOKUP(B290,門市總表!A:B,2,FALSE)</f>
        <v>中和浪漫店</v>
      </c>
      <c r="AC290" s="259"/>
      <c r="AD290" s="224"/>
      <c r="AE290" s="224"/>
      <c r="AF290" s="224"/>
      <c r="AG290" s="248" t="s">
        <v>102</v>
      </c>
      <c r="AH290" s="224" t="s">
        <v>103</v>
      </c>
    </row>
    <row r="291" spans="1:34" ht="21.6" customHeight="1">
      <c r="A291" s="2">
        <v>290</v>
      </c>
      <c r="B291" s="315">
        <v>4748</v>
      </c>
      <c r="C291" s="316" t="s">
        <v>5586</v>
      </c>
      <c r="J291" s="5" t="s">
        <v>5587</v>
      </c>
      <c r="U291" s="260" t="str">
        <f t="shared" si="19"/>
        <v>新北市</v>
      </c>
      <c r="V291" s="258" t="str">
        <f t="shared" si="17"/>
        <v>中和區</v>
      </c>
      <c r="W291" s="258" t="str">
        <f t="shared" si="18"/>
        <v>民德路163、165、167、169號</v>
      </c>
      <c r="X291" s="2" t="s">
        <v>326</v>
      </c>
      <c r="Y291" s="2" t="str">
        <f>VLOOKUP(V291,門市狀態!G:H,2,FALSE)</f>
        <v>劉柏均</v>
      </c>
      <c r="Z291" s="218" t="str">
        <f>IF(D291="FVC7", IF(COUNTIF(特殊門市清單!N:N, B291)=0, "FVC7", VLOOKUP(B291,特殊門市清單!N:T,7,FALSE)), IF(AA291="v","Peplink",""))</f>
        <v/>
      </c>
      <c r="AA291" s="218" t="str">
        <f>IFERROR(VLOOKUP(B291,門市狀態!A:D,4,FALSE),"")</f>
        <v/>
      </c>
      <c r="AB291" s="224" t="str">
        <f>VLOOKUP(B291,門市總表!A:B,2,FALSE)</f>
        <v>中和霸氣店</v>
      </c>
      <c r="AC291" s="259"/>
      <c r="AD291" s="224"/>
      <c r="AE291" s="224"/>
      <c r="AF291" s="224"/>
      <c r="AG291" s="248" t="s">
        <v>102</v>
      </c>
      <c r="AH291" s="224" t="s">
        <v>103</v>
      </c>
    </row>
    <row r="292" spans="1:34" ht="21.6" customHeight="1">
      <c r="A292" s="2">
        <v>291</v>
      </c>
      <c r="B292" s="315">
        <v>4770</v>
      </c>
      <c r="C292" s="316" t="s">
        <v>2949</v>
      </c>
      <c r="J292" s="5" t="s">
        <v>5588</v>
      </c>
      <c r="U292" s="260" t="str">
        <f t="shared" si="19"/>
        <v>新北市</v>
      </c>
      <c r="V292" s="258" t="str">
        <f t="shared" si="17"/>
        <v>中和區</v>
      </c>
      <c r="W292" s="258" t="str">
        <f t="shared" si="18"/>
        <v>安平路89-2、89-3號</v>
      </c>
      <c r="X292" s="2" t="s">
        <v>326</v>
      </c>
      <c r="Y292" s="2" t="str">
        <f>VLOOKUP(V292,門市狀態!G:H,2,FALSE)</f>
        <v>劉柏均</v>
      </c>
      <c r="Z292" s="218" t="str">
        <f>IF(D292="FVC7", IF(COUNTIF(特殊門市清單!N:N, B292)=0, "FVC7", VLOOKUP(B292,特殊門市清單!N:T,7,FALSE)), IF(AA292="v","Peplink",""))</f>
        <v/>
      </c>
      <c r="AA292" s="218" t="str">
        <f>IFERROR(VLOOKUP(B292,門市狀態!A:D,4,FALSE),"")</f>
        <v/>
      </c>
      <c r="AB292" s="224" t="str">
        <f>VLOOKUP(B292,門市總表!A:B,2,FALSE)</f>
        <v>中和嘉德店</v>
      </c>
      <c r="AC292" s="259"/>
      <c r="AD292" s="224"/>
      <c r="AE292" s="224"/>
      <c r="AF292" s="224"/>
      <c r="AG292" s="248" t="s">
        <v>102</v>
      </c>
      <c r="AH292" s="224"/>
    </row>
    <row r="293" spans="1:34" ht="21.6" customHeight="1">
      <c r="A293" s="2">
        <v>292</v>
      </c>
      <c r="B293" s="315">
        <v>4970</v>
      </c>
      <c r="C293" s="316" t="s">
        <v>3027</v>
      </c>
      <c r="J293" s="5" t="s">
        <v>5589</v>
      </c>
      <c r="U293" s="260" t="str">
        <f t="shared" si="19"/>
        <v>新北市</v>
      </c>
      <c r="V293" s="258" t="str">
        <f t="shared" si="17"/>
        <v>中和區</v>
      </c>
      <c r="W293" s="258" t="str">
        <f t="shared" si="18"/>
        <v>宜安路36、38號</v>
      </c>
      <c r="X293" s="2" t="s">
        <v>326</v>
      </c>
      <c r="Y293" s="2" t="str">
        <f>VLOOKUP(V293,門市狀態!G:H,2,FALSE)</f>
        <v>劉柏均</v>
      </c>
      <c r="Z293" s="218" t="str">
        <f>IF(D293="FVC7", IF(COUNTIF(特殊門市清單!N:N, B293)=0, "FVC7", VLOOKUP(B293,特殊門市清單!N:T,7,FALSE)), IF(AA293="v","Peplink",""))</f>
        <v/>
      </c>
      <c r="AA293" s="218" t="str">
        <f>IFERROR(VLOOKUP(B293,門市狀態!A:D,4,FALSE),"")</f>
        <v/>
      </c>
      <c r="AB293" s="224" t="str">
        <f>VLOOKUP(B293,門市總表!A:B,2,FALSE)</f>
        <v>中和一品苑</v>
      </c>
      <c r="AC293" s="259"/>
      <c r="AD293" s="224"/>
      <c r="AE293" s="224"/>
      <c r="AF293" s="224"/>
      <c r="AG293" s="248" t="s">
        <v>102</v>
      </c>
      <c r="AH293" s="224" t="s">
        <v>103</v>
      </c>
    </row>
    <row r="294" spans="1:34" ht="21.6" customHeight="1">
      <c r="A294" s="2">
        <v>293</v>
      </c>
      <c r="B294" s="315" t="s">
        <v>90</v>
      </c>
      <c r="C294" s="316" t="s">
        <v>5590</v>
      </c>
      <c r="J294" s="5" t="s">
        <v>5591</v>
      </c>
      <c r="U294" s="260" t="str">
        <f t="shared" si="19"/>
        <v>新北市</v>
      </c>
      <c r="V294" s="258" t="str">
        <f t="shared" si="17"/>
        <v>中和區</v>
      </c>
      <c r="W294" s="258" t="str">
        <f t="shared" si="18"/>
        <v>莊敬路29號</v>
      </c>
      <c r="X294" s="2" t="s">
        <v>326</v>
      </c>
      <c r="Y294" s="2" t="str">
        <f>VLOOKUP(V294,門市狀態!G:H,2,FALSE)</f>
        <v>劉柏均</v>
      </c>
      <c r="Z294" s="218" t="str">
        <f>IF(D294="FVC7", IF(COUNTIF(特殊門市清單!N:N, B294)=0, "FVC7", VLOOKUP(B294,特殊門市清單!N:T,7,FALSE)), IF(AA294="v","Peplink",""))</f>
        <v/>
      </c>
      <c r="AA294" s="218" t="str">
        <f>IFERROR(VLOOKUP(B294,門市狀態!A:D,4,FALSE),"")</f>
        <v/>
      </c>
      <c r="AB294" s="224" t="str">
        <f>VLOOKUP(B294,門市總表!A:B,2,FALSE)</f>
        <v>北縣福美店</v>
      </c>
      <c r="AC294" s="259"/>
      <c r="AD294" s="224"/>
      <c r="AE294" s="224"/>
      <c r="AF294" s="224"/>
      <c r="AG294" s="248" t="s">
        <v>102</v>
      </c>
      <c r="AH294" s="224" t="s">
        <v>103</v>
      </c>
    </row>
    <row r="295" spans="1:34" ht="21.6" customHeight="1">
      <c r="A295" s="2">
        <v>294</v>
      </c>
      <c r="B295" s="315">
        <v>4008</v>
      </c>
      <c r="C295" s="316" t="s">
        <v>5592</v>
      </c>
      <c r="J295" s="5" t="s">
        <v>5593</v>
      </c>
      <c r="U295" s="260" t="str">
        <f t="shared" si="19"/>
        <v>新北市</v>
      </c>
      <c r="V295" s="258" t="str">
        <f t="shared" si="17"/>
        <v>中和區</v>
      </c>
      <c r="W295" s="258" t="str">
        <f t="shared" si="18"/>
        <v>立德街26巷1號及28號</v>
      </c>
      <c r="X295" s="2" t="s">
        <v>326</v>
      </c>
      <c r="Y295" s="2" t="str">
        <f>VLOOKUP(V295,門市狀態!G:H,2,FALSE)</f>
        <v>劉柏均</v>
      </c>
      <c r="Z295" s="218" t="str">
        <f>IF(D295="FVC7", IF(COUNTIF(特殊門市清單!N:N, B295)=0, "FVC7", VLOOKUP(B295,特殊門市清單!N:T,7,FALSE)), IF(AA295="v","Peplink",""))</f>
        <v/>
      </c>
      <c r="AA295" s="218" t="str">
        <f>IFERROR(VLOOKUP(B295,門市狀態!A:D,4,FALSE),"")</f>
        <v/>
      </c>
      <c r="AB295" s="224" t="str">
        <f>VLOOKUP(B295,門市總表!A:B,2,FALSE)</f>
        <v>中和力德店</v>
      </c>
      <c r="AC295" s="259"/>
      <c r="AD295" s="224"/>
      <c r="AE295" s="224"/>
      <c r="AF295" s="224"/>
      <c r="AG295" s="248" t="s">
        <v>102</v>
      </c>
      <c r="AH295" s="224" t="s">
        <v>103</v>
      </c>
    </row>
    <row r="296" spans="1:34" ht="21.6" customHeight="1">
      <c r="A296" s="2">
        <v>295</v>
      </c>
      <c r="B296" s="315">
        <v>3569</v>
      </c>
      <c r="C296" s="316" t="s">
        <v>5594</v>
      </c>
      <c r="J296" s="5" t="s">
        <v>5595</v>
      </c>
      <c r="U296" s="260" t="str">
        <f t="shared" si="19"/>
        <v>新北市</v>
      </c>
      <c r="V296" s="258" t="str">
        <f t="shared" si="17"/>
        <v>中和區</v>
      </c>
      <c r="W296" s="258" t="str">
        <f t="shared" si="18"/>
        <v>中板路27號</v>
      </c>
      <c r="X296" s="2" t="s">
        <v>326</v>
      </c>
      <c r="Y296" s="2" t="str">
        <f>VLOOKUP(V296,門市狀態!G:H,2,FALSE)</f>
        <v>劉柏均</v>
      </c>
      <c r="Z296" s="218" t="str">
        <f>IF(D296="FVC7", IF(COUNTIF(特殊門市清單!N:N, B296)=0, "FVC7", VLOOKUP(B296,特殊門市清單!N:T,7,FALSE)), IF(AA296="v","Peplink",""))</f>
        <v/>
      </c>
      <c r="AA296" s="218" t="str">
        <f>IFERROR(VLOOKUP(B296,門市狀態!A:D,4,FALSE),"")</f>
        <v/>
      </c>
      <c r="AB296" s="224" t="str">
        <f>VLOOKUP(B296,門市總表!A:B,2,FALSE)</f>
        <v>中和中板店</v>
      </c>
      <c r="AC296" s="259"/>
      <c r="AD296" s="224"/>
      <c r="AE296" s="224"/>
      <c r="AF296" s="224"/>
      <c r="AG296" s="248" t="s">
        <v>102</v>
      </c>
      <c r="AH296" s="224" t="s">
        <v>103</v>
      </c>
    </row>
    <row r="297" spans="1:34" ht="21.6" customHeight="1">
      <c r="A297" s="2">
        <v>296</v>
      </c>
      <c r="B297" s="315" t="s">
        <v>91</v>
      </c>
      <c r="C297" s="316" t="s">
        <v>5596</v>
      </c>
      <c r="J297" s="5" t="s">
        <v>5597</v>
      </c>
      <c r="U297" s="260" t="str">
        <f t="shared" si="19"/>
        <v>新北市</v>
      </c>
      <c r="V297" s="258" t="str">
        <f t="shared" si="17"/>
        <v>中和區</v>
      </c>
      <c r="W297" s="258" t="str">
        <f t="shared" si="18"/>
        <v>中和路414號</v>
      </c>
      <c r="X297" s="2" t="s">
        <v>326</v>
      </c>
      <c r="Y297" s="2" t="str">
        <f>VLOOKUP(V297,門市狀態!G:H,2,FALSE)</f>
        <v>劉柏均</v>
      </c>
      <c r="Z297" s="218" t="str">
        <f>IF(D297="FVC7", IF(COUNTIF(特殊門市清單!N:N, B297)=0, "FVC7", VLOOKUP(B297,特殊門市清單!N:T,7,FALSE)), IF(AA297="v","Peplink",""))</f>
        <v/>
      </c>
      <c r="AA297" s="218" t="str">
        <f>IFERROR(VLOOKUP(B297,門市狀態!A:D,4,FALSE),"")</f>
        <v/>
      </c>
      <c r="AB297" s="224" t="str">
        <f>VLOOKUP(B297,門市總表!A:B,2,FALSE)</f>
        <v>中和永安市場</v>
      </c>
      <c r="AC297" s="259"/>
      <c r="AD297" s="224"/>
      <c r="AE297" s="224"/>
      <c r="AF297" s="224"/>
      <c r="AG297" s="248" t="s">
        <v>102</v>
      </c>
      <c r="AH297" s="224"/>
    </row>
    <row r="298" spans="1:34" ht="21.6" customHeight="1">
      <c r="A298" s="2">
        <v>297</v>
      </c>
      <c r="B298" s="315" t="s">
        <v>92</v>
      </c>
      <c r="C298" s="316" t="s">
        <v>5598</v>
      </c>
      <c r="J298" s="5" t="s">
        <v>5599</v>
      </c>
      <c r="U298" s="260" t="str">
        <f t="shared" si="19"/>
        <v>新北市</v>
      </c>
      <c r="V298" s="258" t="str">
        <f t="shared" si="17"/>
        <v>中和區</v>
      </c>
      <c r="W298" s="258" t="str">
        <f t="shared" si="18"/>
        <v>建八路116號</v>
      </c>
      <c r="X298" s="2" t="s">
        <v>326</v>
      </c>
      <c r="Y298" s="2" t="str">
        <f>VLOOKUP(V298,門市狀態!G:H,2,FALSE)</f>
        <v>劉柏均</v>
      </c>
      <c r="Z298" s="218" t="str">
        <f>IF(D298="FVC7", IF(COUNTIF(特殊門市清單!N:N, B298)=0, "FVC7", VLOOKUP(B298,特殊門市清單!N:T,7,FALSE)), IF(AA298="v","Peplink",""))</f>
        <v/>
      </c>
      <c r="AA298" s="218" t="str">
        <f>IFERROR(VLOOKUP(B298,門市狀態!A:D,4,FALSE),"")</f>
        <v/>
      </c>
      <c r="AB298" s="224" t="str">
        <f>VLOOKUP(B298,門市總表!A:B,2,FALSE)</f>
        <v>中和遠東店</v>
      </c>
      <c r="AC298" s="259"/>
      <c r="AD298" s="224"/>
      <c r="AE298" s="224"/>
      <c r="AF298" s="224"/>
      <c r="AG298" s="248" t="s">
        <v>102</v>
      </c>
      <c r="AH298" s="224" t="s">
        <v>103</v>
      </c>
    </row>
    <row r="299" spans="1:34" ht="21.6" customHeight="1">
      <c r="A299" s="2">
        <v>298</v>
      </c>
      <c r="B299" s="315" t="s">
        <v>93</v>
      </c>
      <c r="C299" s="316" t="s">
        <v>5600</v>
      </c>
      <c r="J299" s="5" t="s">
        <v>5601</v>
      </c>
      <c r="U299" s="260" t="str">
        <f t="shared" si="19"/>
        <v>新北市</v>
      </c>
      <c r="V299" s="258" t="str">
        <f t="shared" si="17"/>
        <v>中和區</v>
      </c>
      <c r="W299" s="258" t="str">
        <f t="shared" si="18"/>
        <v>景安路152號</v>
      </c>
      <c r="X299" s="2" t="s">
        <v>326</v>
      </c>
      <c r="Y299" s="2" t="str">
        <f>VLOOKUP(V299,門市狀態!G:H,2,FALSE)</f>
        <v>劉柏均</v>
      </c>
      <c r="Z299" s="218" t="str">
        <f>IF(D299="FVC7", IF(COUNTIF(特殊門市清單!N:N, B299)=0, "FVC7", VLOOKUP(B299,特殊門市清單!N:T,7,FALSE)), IF(AA299="v","Peplink",""))</f>
        <v/>
      </c>
      <c r="AA299" s="218" t="str">
        <f>IFERROR(VLOOKUP(B299,門市狀態!A:D,4,FALSE),"")</f>
        <v/>
      </c>
      <c r="AB299" s="224" t="str">
        <f>VLOOKUP(B299,門市總表!A:B,2,FALSE)</f>
        <v>中和景安站</v>
      </c>
      <c r="AC299" s="259"/>
      <c r="AD299" s="224"/>
      <c r="AE299" s="224"/>
      <c r="AF299" s="224"/>
      <c r="AG299" s="248" t="s">
        <v>102</v>
      </c>
      <c r="AH299" s="224" t="s">
        <v>103</v>
      </c>
    </row>
    <row r="300" spans="1:34" ht="21.6" customHeight="1">
      <c r="A300" s="2">
        <v>299</v>
      </c>
      <c r="B300" s="315" t="s">
        <v>94</v>
      </c>
      <c r="C300" s="316" t="s">
        <v>5602</v>
      </c>
      <c r="J300" s="5" t="s">
        <v>5603</v>
      </c>
      <c r="U300" s="260" t="str">
        <f t="shared" si="19"/>
        <v>新北市</v>
      </c>
      <c r="V300" s="258" t="str">
        <f t="shared" si="17"/>
        <v>中和區</v>
      </c>
      <c r="W300" s="258" t="str">
        <f t="shared" si="18"/>
        <v>中山路2段352號</v>
      </c>
      <c r="X300" s="2" t="s">
        <v>326</v>
      </c>
      <c r="Y300" s="2" t="str">
        <f>VLOOKUP(V300,門市狀態!G:H,2,FALSE)</f>
        <v>劉柏均</v>
      </c>
      <c r="Z300" s="218" t="str">
        <f>IF(D300="FVC7", IF(COUNTIF(特殊門市清單!N:N, B300)=0, "FVC7", VLOOKUP(B300,特殊門市清單!N:T,7,FALSE)), IF(AA300="v","Peplink",""))</f>
        <v/>
      </c>
      <c r="AA300" s="218" t="str">
        <f>IFERROR(VLOOKUP(B300,門市狀態!A:D,4,FALSE),"")</f>
        <v/>
      </c>
      <c r="AB300" s="224" t="str">
        <f>VLOOKUP(B300,門市總表!A:B,2,FALSE)</f>
        <v>中和橋安店</v>
      </c>
      <c r="AC300" s="259"/>
      <c r="AD300" s="224"/>
      <c r="AE300" s="224"/>
      <c r="AF300" s="224"/>
      <c r="AG300" s="248" t="s">
        <v>102</v>
      </c>
      <c r="AH300" s="224" t="s">
        <v>103</v>
      </c>
    </row>
    <row r="301" spans="1:34" ht="21.6" customHeight="1">
      <c r="A301" s="2">
        <v>300</v>
      </c>
      <c r="B301" s="315" t="s">
        <v>52</v>
      </c>
      <c r="C301" s="316" t="s">
        <v>5604</v>
      </c>
      <c r="J301" s="5" t="s">
        <v>5605</v>
      </c>
      <c r="U301" s="260" t="str">
        <f t="shared" si="19"/>
        <v>新北市</v>
      </c>
      <c r="V301" s="258" t="str">
        <f t="shared" si="17"/>
        <v>中和區</v>
      </c>
      <c r="W301" s="258" t="str">
        <f t="shared" si="18"/>
        <v>興南路二段116、118號</v>
      </c>
      <c r="X301" s="2" t="s">
        <v>326</v>
      </c>
      <c r="Y301" s="2" t="str">
        <f>VLOOKUP(V301,門市狀態!G:H,2,FALSE)</f>
        <v>劉柏均</v>
      </c>
      <c r="Z301" s="218" t="str">
        <f>IF(D301="FVC7", IF(COUNTIF(特殊門市清單!N:N, B301)=0, "FVC7", VLOOKUP(B301,特殊門市清單!N:T,7,FALSE)), IF(AA301="v","Peplink",""))</f>
        <v/>
      </c>
      <c r="AA301" s="218" t="str">
        <f>IFERROR(VLOOKUP(B301,門市狀態!A:D,4,FALSE),"")</f>
        <v/>
      </c>
      <c r="AB301" s="224" t="str">
        <f>VLOOKUP(B301,門市總表!A:B,2,FALSE)</f>
        <v>北縣南勢店</v>
      </c>
      <c r="AC301" s="259"/>
      <c r="AD301" s="224"/>
      <c r="AE301" s="224"/>
      <c r="AF301" s="224"/>
      <c r="AG301" s="248" t="s">
        <v>102</v>
      </c>
      <c r="AH301" s="224" t="s">
        <v>103</v>
      </c>
    </row>
    <row r="302" spans="1:34" ht="21.6" customHeight="1">
      <c r="A302" s="2">
        <v>301</v>
      </c>
      <c r="B302" s="315" t="s">
        <v>95</v>
      </c>
      <c r="C302" s="316" t="s">
        <v>5606</v>
      </c>
      <c r="J302" s="5" t="s">
        <v>5607</v>
      </c>
      <c r="U302" s="260" t="str">
        <f t="shared" ref="U302:U310" si="20">IFERROR(LEFT(J302,FIND("縣",J302)),IFERROR(LEFT(J302,FIND("市",J302)),J302))</f>
        <v>新北市</v>
      </c>
      <c r="V302" s="258" t="str">
        <f t="shared" si="17"/>
        <v>中和區</v>
      </c>
      <c r="W302" s="258" t="str">
        <f t="shared" si="18"/>
        <v>水源路73號</v>
      </c>
      <c r="X302" s="2" t="s">
        <v>326</v>
      </c>
      <c r="Y302" s="2" t="str">
        <f>VLOOKUP(V302,門市狀態!G:H,2,FALSE)</f>
        <v>劉柏均</v>
      </c>
      <c r="Z302" s="218" t="str">
        <f>IF(D302="FVC7", IF(COUNTIF(特殊門市清單!N:N, B302)=0, "FVC7", VLOOKUP(B302,特殊門市清單!N:T,7,FALSE)), IF(AA302="v","Peplink",""))</f>
        <v/>
      </c>
      <c r="AA302" s="218" t="str">
        <f>IFERROR(VLOOKUP(B302,門市狀態!A:D,4,FALSE),"")</f>
        <v/>
      </c>
      <c r="AB302" s="224" t="str">
        <f>VLOOKUP(B302,門市總表!A:B,2,FALSE)</f>
        <v>中和水源店</v>
      </c>
      <c r="AC302" s="259"/>
      <c r="AD302" s="224"/>
      <c r="AE302" s="224"/>
      <c r="AF302" s="224"/>
      <c r="AG302" s="248" t="s">
        <v>102</v>
      </c>
      <c r="AH302" s="224" t="s">
        <v>103</v>
      </c>
    </row>
    <row r="303" spans="1:34" ht="21.6" customHeight="1">
      <c r="A303" s="2">
        <v>302</v>
      </c>
      <c r="B303" s="315">
        <v>5401</v>
      </c>
      <c r="C303" s="316" t="s">
        <v>2944</v>
      </c>
      <c r="J303" s="5" t="s">
        <v>5608</v>
      </c>
      <c r="U303" s="260" t="str">
        <f t="shared" si="20"/>
        <v>新北市</v>
      </c>
      <c r="V303" s="258" t="str">
        <f t="shared" si="17"/>
        <v>中和區</v>
      </c>
      <c r="W303" s="258" t="str">
        <f t="shared" si="18"/>
        <v>南山路260號</v>
      </c>
      <c r="X303" s="2" t="s">
        <v>326</v>
      </c>
      <c r="Y303" s="2" t="str">
        <f>VLOOKUP(V303,門市狀態!G:H,2,FALSE)</f>
        <v>劉柏均</v>
      </c>
      <c r="Z303" s="218" t="str">
        <f>IF(D303="FVC7", IF(COUNTIF(特殊門市清單!N:N, B303)=0, "FVC7", VLOOKUP(B303,特殊門市清單!N:T,7,FALSE)), IF(AA303="v","Peplink",""))</f>
        <v/>
      </c>
      <c r="AA303" s="218" t="str">
        <f>IFERROR(VLOOKUP(B303,門市狀態!A:D,4,FALSE),"")</f>
        <v/>
      </c>
      <c r="AB303" s="224" t="str">
        <f>VLOOKUP(B303,門市總表!A:B,2,FALSE)</f>
        <v>中和壽南店</v>
      </c>
      <c r="AC303" s="259"/>
      <c r="AD303" s="224"/>
      <c r="AE303" s="224"/>
      <c r="AF303" s="224"/>
      <c r="AG303" s="248" t="s">
        <v>102</v>
      </c>
      <c r="AH303" s="224" t="s">
        <v>103</v>
      </c>
    </row>
    <row r="304" spans="1:34" ht="21.6" customHeight="1">
      <c r="A304" s="2">
        <v>303</v>
      </c>
      <c r="B304" s="315">
        <v>3082</v>
      </c>
      <c r="C304" s="316" t="s">
        <v>3017</v>
      </c>
      <c r="J304" s="5" t="s">
        <v>5609</v>
      </c>
      <c r="U304" s="260" t="str">
        <f t="shared" si="20"/>
        <v>新北市</v>
      </c>
      <c r="V304" s="258" t="str">
        <f t="shared" si="17"/>
        <v>永和區</v>
      </c>
      <c r="W304" s="258" t="str">
        <f t="shared" si="18"/>
        <v>福和路7巷11弄16號</v>
      </c>
      <c r="X304" s="2" t="s">
        <v>326</v>
      </c>
      <c r="Y304" s="2" t="str">
        <f>VLOOKUP(V304,門市狀態!G:H,2,FALSE)</f>
        <v>劉柏均</v>
      </c>
      <c r="Z304" s="218" t="str">
        <f>IF(D304="FVC7", IF(COUNTIF(特殊門市清單!N:N, B304)=0, "FVC7", VLOOKUP(B304,特殊門市清單!N:T,7,FALSE)), IF(AA304="v","Peplink",""))</f>
        <v/>
      </c>
      <c r="AA304" s="218" t="str">
        <f>IFERROR(VLOOKUP(B304,門市狀態!A:D,4,FALSE),"")</f>
        <v/>
      </c>
      <c r="AB304" s="224" t="str">
        <f>VLOOKUP(B304,門市總表!A:B,2,FALSE)</f>
        <v>永和福和花園</v>
      </c>
      <c r="AC304" s="259"/>
      <c r="AD304" s="224"/>
      <c r="AE304" s="224"/>
      <c r="AF304" s="224"/>
      <c r="AG304" s="248" t="s">
        <v>102</v>
      </c>
      <c r="AH304" s="224" t="s">
        <v>103</v>
      </c>
    </row>
    <row r="305" spans="1:34" ht="21.6" customHeight="1">
      <c r="A305" s="2">
        <v>304</v>
      </c>
      <c r="B305" s="315">
        <v>2380</v>
      </c>
      <c r="C305" s="316" t="s">
        <v>5610</v>
      </c>
      <c r="J305" s="5" t="s">
        <v>5611</v>
      </c>
      <c r="U305" s="260" t="str">
        <f t="shared" si="20"/>
        <v>新北市</v>
      </c>
      <c r="V305" s="258" t="str">
        <f t="shared" si="17"/>
        <v>永和區</v>
      </c>
      <c r="W305" s="258" t="str">
        <f t="shared" si="18"/>
        <v>永平路164號</v>
      </c>
      <c r="X305" s="2" t="s">
        <v>326</v>
      </c>
      <c r="Y305" s="2" t="str">
        <f>VLOOKUP(V305,門市狀態!G:H,2,FALSE)</f>
        <v>劉柏均</v>
      </c>
      <c r="Z305" s="218" t="str">
        <f>IF(D305="FVC7", IF(COUNTIF(特殊門市清單!N:N, B305)=0, "FVC7", VLOOKUP(B305,特殊門市清單!N:T,7,FALSE)), IF(AA305="v","Peplink",""))</f>
        <v/>
      </c>
      <c r="AA305" s="218" t="str">
        <f>IFERROR(VLOOKUP(B305,門市狀態!A:D,4,FALSE),"")</f>
        <v/>
      </c>
      <c r="AB305" s="224" t="str">
        <f>VLOOKUP(B305,門市總表!A:B,2,FALSE)</f>
        <v>永和樂華夜市</v>
      </c>
      <c r="AC305" s="259"/>
      <c r="AD305" s="224"/>
      <c r="AE305" s="224"/>
      <c r="AF305" s="224"/>
      <c r="AG305" s="248" t="s">
        <v>102</v>
      </c>
      <c r="AH305" s="224" t="s">
        <v>103</v>
      </c>
    </row>
    <row r="306" spans="1:34" ht="21.6" customHeight="1">
      <c r="A306" s="2">
        <v>305</v>
      </c>
      <c r="B306" s="315">
        <v>2941</v>
      </c>
      <c r="C306" s="316" t="s">
        <v>5612</v>
      </c>
      <c r="J306" s="5" t="s">
        <v>5613</v>
      </c>
      <c r="U306" s="260" t="str">
        <f t="shared" si="20"/>
        <v>新北市</v>
      </c>
      <c r="V306" s="258" t="str">
        <f t="shared" si="17"/>
        <v>永和區</v>
      </c>
      <c r="W306" s="258" t="str">
        <f t="shared" si="18"/>
        <v>永和路二段217號</v>
      </c>
      <c r="X306" s="2" t="s">
        <v>326</v>
      </c>
      <c r="Y306" s="2" t="str">
        <f>VLOOKUP(V306,門市狀態!G:H,2,FALSE)</f>
        <v>劉柏均</v>
      </c>
      <c r="Z306" s="218" t="str">
        <f>IF(D306="FVC7", IF(COUNTIF(特殊門市清單!N:N, B306)=0, "FVC7", VLOOKUP(B306,特殊門市清單!N:T,7,FALSE)), IF(AA306="v","Peplink",""))</f>
        <v/>
      </c>
      <c r="AA306" s="218" t="str">
        <f>IFERROR(VLOOKUP(B306,門市狀態!A:D,4,FALSE),"")</f>
        <v/>
      </c>
      <c r="AB306" s="224" t="str">
        <f>VLOOKUP(B306,門市總表!A:B,2,FALSE)</f>
        <v>永和頂溪店</v>
      </c>
      <c r="AC306" s="259"/>
      <c r="AD306" s="224"/>
      <c r="AE306" s="224"/>
      <c r="AF306" s="224"/>
      <c r="AG306" s="248" t="s">
        <v>102</v>
      </c>
      <c r="AH306" s="224" t="s">
        <v>103</v>
      </c>
    </row>
    <row r="307" spans="1:34" ht="21.6" customHeight="1">
      <c r="A307" s="2">
        <v>306</v>
      </c>
      <c r="B307" s="315">
        <v>3941</v>
      </c>
      <c r="C307" s="316" t="s">
        <v>2435</v>
      </c>
      <c r="J307" s="5" t="s">
        <v>5614</v>
      </c>
      <c r="U307" s="260" t="str">
        <f t="shared" si="20"/>
        <v>新北市</v>
      </c>
      <c r="V307" s="258" t="str">
        <f t="shared" si="17"/>
        <v>永和區</v>
      </c>
      <c r="W307" s="258" t="str">
        <f t="shared" si="18"/>
        <v>秀朗路1段201號</v>
      </c>
      <c r="X307" s="2" t="s">
        <v>326</v>
      </c>
      <c r="Y307" s="2" t="str">
        <f>VLOOKUP(V307,門市狀態!G:H,2,FALSE)</f>
        <v>劉柏均</v>
      </c>
      <c r="Z307" s="218" t="str">
        <f>IF(D307="FVC7", IF(COUNTIF(特殊門市清單!N:N, B307)=0, "FVC7", VLOOKUP(B307,特殊門市清單!N:T,7,FALSE)), IF(AA307="v","Peplink",""))</f>
        <v/>
      </c>
      <c r="AA307" s="218" t="str">
        <f>IFERROR(VLOOKUP(B307,門市狀態!A:D,4,FALSE),"")</f>
        <v/>
      </c>
      <c r="AB307" s="224" t="str">
        <f>VLOOKUP(B307,門市總表!A:B,2,FALSE)</f>
        <v>永和興工店</v>
      </c>
      <c r="AC307" s="259"/>
      <c r="AD307" s="224"/>
      <c r="AE307" s="224"/>
      <c r="AF307" s="224"/>
      <c r="AG307" s="248" t="s">
        <v>102</v>
      </c>
      <c r="AH307" s="224" t="s">
        <v>103</v>
      </c>
    </row>
    <row r="308" spans="1:34" ht="21.6" customHeight="1">
      <c r="A308" s="2">
        <v>307</v>
      </c>
      <c r="B308" s="315">
        <v>3968</v>
      </c>
      <c r="C308" s="316" t="s">
        <v>3022</v>
      </c>
      <c r="J308" s="5" t="s">
        <v>5615</v>
      </c>
      <c r="U308" s="260" t="str">
        <f t="shared" si="20"/>
        <v>新北市</v>
      </c>
      <c r="V308" s="258" t="str">
        <f t="shared" si="17"/>
        <v>永和區</v>
      </c>
      <c r="W308" s="258" t="str">
        <f t="shared" si="18"/>
        <v>永貞路158號及160號</v>
      </c>
      <c r="X308" s="2" t="s">
        <v>326</v>
      </c>
      <c r="Y308" s="2" t="str">
        <f>VLOOKUP(V308,門市狀態!G:H,2,FALSE)</f>
        <v>劉柏均</v>
      </c>
      <c r="Z308" s="218" t="str">
        <f>IF(D308="FVC7", IF(COUNTIF(特殊門市清單!N:N, B308)=0, "FVC7", VLOOKUP(B308,特殊門市清單!N:T,7,FALSE)), IF(AA308="v","Peplink",""))</f>
        <v/>
      </c>
      <c r="AA308" s="218" t="str">
        <f>IFERROR(VLOOKUP(B308,門市狀態!A:D,4,FALSE),"")</f>
        <v/>
      </c>
      <c r="AB308" s="224" t="str">
        <f>VLOOKUP(B308,門市總表!A:B,2,FALSE)</f>
        <v>永和貞寧店</v>
      </c>
      <c r="AC308" s="259"/>
      <c r="AD308" s="224"/>
      <c r="AE308" s="224"/>
      <c r="AF308" s="224"/>
      <c r="AG308" s="248" t="s">
        <v>102</v>
      </c>
      <c r="AH308" s="224" t="s">
        <v>103</v>
      </c>
    </row>
    <row r="309" spans="1:34" ht="21.6" customHeight="1">
      <c r="A309" s="2">
        <v>308</v>
      </c>
      <c r="B309" s="315">
        <v>4019</v>
      </c>
      <c r="C309" s="316" t="s">
        <v>3012</v>
      </c>
      <c r="J309" s="5" t="s">
        <v>5616</v>
      </c>
      <c r="U309" s="260" t="str">
        <f t="shared" si="20"/>
        <v>新北市</v>
      </c>
      <c r="V309" s="258" t="str">
        <f t="shared" si="17"/>
        <v>永和區</v>
      </c>
      <c r="W309" s="258" t="str">
        <f t="shared" si="18"/>
        <v>竹林路65號</v>
      </c>
      <c r="X309" s="2" t="s">
        <v>326</v>
      </c>
      <c r="Y309" s="2" t="str">
        <f>VLOOKUP(V309,門市狀態!G:H,2,FALSE)</f>
        <v>劉柏均</v>
      </c>
      <c r="Z309" s="218" t="str">
        <f>IF(D309="FVC7", IF(COUNTIF(特殊門市清單!N:N, B309)=0, "FVC7", VLOOKUP(B309,特殊門市清單!N:T,7,FALSE)), IF(AA309="v","Peplink",""))</f>
        <v/>
      </c>
      <c r="AA309" s="218" t="str">
        <f>IFERROR(VLOOKUP(B309,門市狀態!A:D,4,FALSE),"")</f>
        <v/>
      </c>
      <c r="AB309" s="224" t="str">
        <f>VLOOKUP(B309,門市總表!A:B,2,FALSE)</f>
        <v>永和永霖店</v>
      </c>
      <c r="AC309" s="259"/>
      <c r="AD309" s="224"/>
      <c r="AE309" s="224"/>
      <c r="AF309" s="224"/>
      <c r="AG309" s="248" t="s">
        <v>102</v>
      </c>
      <c r="AH309" s="224" t="s">
        <v>103</v>
      </c>
    </row>
    <row r="310" spans="1:34" ht="21.6" customHeight="1">
      <c r="A310" s="2">
        <v>275</v>
      </c>
      <c r="B310" s="2">
        <v>5389</v>
      </c>
      <c r="C310" s="4" t="s">
        <v>150</v>
      </c>
      <c r="J310" s="5" t="s">
        <v>490</v>
      </c>
      <c r="U310" s="260" t="str">
        <f t="shared" si="20"/>
        <v>新北市</v>
      </c>
      <c r="V310" s="258" t="str">
        <f t="shared" si="17"/>
        <v>新莊區</v>
      </c>
      <c r="W310" s="258" t="str">
        <f t="shared" si="18"/>
        <v/>
      </c>
      <c r="X310" s="2" t="s">
        <v>326</v>
      </c>
      <c r="Y310" s="2" t="str">
        <f>VLOOKUP(V310,門市狀態!G:H,2,FALSE)</f>
        <v>湯家瑋</v>
      </c>
      <c r="Z310" s="218" t="str">
        <f>IF(D310="FVC7", IF(COUNTIF(特殊門市清單!N:N, B310)=0, "FVC7", VLOOKUP(B310,特殊門市清單!N:T,7,FALSE)), IF(AA310="v","Peplink",""))</f>
        <v/>
      </c>
      <c r="AA310" s="218" t="str">
        <f>IFERROR(VLOOKUP(B310,門市狀態!A:D,4,FALSE),"")</f>
        <v>新開</v>
      </c>
      <c r="AB310" s="224" t="str">
        <f>VLOOKUP(B310,門市總表!A:B,2,FALSE)</f>
        <v>新莊瓏山林</v>
      </c>
      <c r="AC310" s="259"/>
      <c r="AD310" s="224"/>
      <c r="AE310" s="224"/>
      <c r="AF310" s="224" t="s">
        <v>4992</v>
      </c>
      <c r="AG310" s="248" t="s">
        <v>102</v>
      </c>
      <c r="AH310" s="224"/>
    </row>
  </sheetData>
  <autoFilter ref="A1:AH309" xr:uid="{00000000-0009-0000-0000-00000C000000}"/>
  <phoneticPr fontId="45" type="noConversion"/>
  <conditionalFormatting sqref="C1">
    <cfRule type="duplicateValues" dxfId="337" priority="63"/>
  </conditionalFormatting>
  <conditionalFormatting sqref="B1">
    <cfRule type="duplicateValues" dxfId="336" priority="61"/>
    <cfRule type="duplicateValues" dxfId="335" priority="62"/>
  </conditionalFormatting>
  <conditionalFormatting sqref="B149">
    <cfRule type="duplicateValues" dxfId="334" priority="58"/>
  </conditionalFormatting>
  <conditionalFormatting sqref="AB1:AB7 AB9:AB18 AB20:AB31 AB33:AB60 AB62:AB65 AB67:AB70 AB72:AB74 AB77:AB79 AB81 AB83:AB87 AB89 AB91:AB100 AB102:AB151 AB153:AB181 AB184:AB200 AB207:AB309">
    <cfRule type="expression" dxfId="333" priority="21">
      <formula>AB2&lt;&gt;C2</formula>
    </cfRule>
  </conditionalFormatting>
  <conditionalFormatting sqref="AB201">
    <cfRule type="expression" dxfId="332" priority="20">
      <formula>AB202&lt;&gt;C202</formula>
    </cfRule>
  </conditionalFormatting>
  <conditionalFormatting sqref="AB80">
    <cfRule type="expression" dxfId="331" priority="532">
      <formula>#REF!&lt;&gt;#REF!</formula>
    </cfRule>
  </conditionalFormatting>
  <conditionalFormatting sqref="AB182 AB202">
    <cfRule type="expression" dxfId="330" priority="18">
      <formula>AB184&lt;&gt;C184</formula>
    </cfRule>
  </conditionalFormatting>
  <conditionalFormatting sqref="C202">
    <cfRule type="duplicateValues" dxfId="329" priority="19"/>
  </conditionalFormatting>
  <conditionalFormatting sqref="AB204">
    <cfRule type="expression" dxfId="328" priority="16">
      <formula>AB205&lt;&gt;C205</formula>
    </cfRule>
  </conditionalFormatting>
  <conditionalFormatting sqref="C204">
    <cfRule type="duplicateValues" dxfId="327" priority="17"/>
  </conditionalFormatting>
  <conditionalFormatting sqref="AB205">
    <cfRule type="expression" dxfId="326" priority="14">
      <formula>AB206&lt;&gt;C206</formula>
    </cfRule>
  </conditionalFormatting>
  <conditionalFormatting sqref="C205">
    <cfRule type="duplicateValues" dxfId="325" priority="15"/>
  </conditionalFormatting>
  <conditionalFormatting sqref="AB8">
    <cfRule type="expression" dxfId="324" priority="535">
      <formula>#REF!&lt;&gt;#REF!</formula>
    </cfRule>
  </conditionalFormatting>
  <conditionalFormatting sqref="AB206">
    <cfRule type="expression" dxfId="323" priority="12">
      <formula>AB207&lt;&gt;C207</formula>
    </cfRule>
  </conditionalFormatting>
  <conditionalFormatting sqref="C206">
    <cfRule type="duplicateValues" dxfId="322" priority="13"/>
  </conditionalFormatting>
  <conditionalFormatting sqref="C207">
    <cfRule type="duplicateValues" dxfId="321" priority="11"/>
  </conditionalFormatting>
  <conditionalFormatting sqref="AB19 AB75 AB152">
    <cfRule type="expression" dxfId="320" priority="559">
      <formula>#REF!&lt;&gt;#REF!</formula>
    </cfRule>
  </conditionalFormatting>
  <conditionalFormatting sqref="C2:C182 C184:C201">
    <cfRule type="duplicateValues" dxfId="319" priority="574"/>
  </conditionalFormatting>
  <conditionalFormatting sqref="B2:B182 B184:B191">
    <cfRule type="duplicateValues" dxfId="318" priority="576"/>
    <cfRule type="duplicateValues" dxfId="317" priority="577"/>
  </conditionalFormatting>
  <conditionalFormatting sqref="AB203">
    <cfRule type="expression" dxfId="316" priority="8">
      <formula>AB204&lt;&gt;C204</formula>
    </cfRule>
  </conditionalFormatting>
  <conditionalFormatting sqref="C203">
    <cfRule type="duplicateValues" dxfId="315" priority="9"/>
  </conditionalFormatting>
  <conditionalFormatting sqref="AB183">
    <cfRule type="expression" dxfId="314" priority="4">
      <formula>AB184&lt;&gt;C184</formula>
    </cfRule>
  </conditionalFormatting>
  <conditionalFormatting sqref="C183">
    <cfRule type="duplicateValues" dxfId="313" priority="5"/>
  </conditionalFormatting>
  <conditionalFormatting sqref="B183">
    <cfRule type="duplicateValues" dxfId="312" priority="6"/>
    <cfRule type="duplicateValues" dxfId="311" priority="7"/>
  </conditionalFormatting>
  <conditionalFormatting sqref="AB32 AB61 AB66 AB71 AB76 AB82 AB88 AB90 AB101">
    <cfRule type="expression" dxfId="310" priority="581">
      <formula>#REF!&lt;&gt;#REF!</formula>
    </cfRule>
  </conditionalFormatting>
  <conditionalFormatting sqref="W1:W309 W311:W1048576">
    <cfRule type="duplicateValues" dxfId="309" priority="3"/>
  </conditionalFormatting>
  <conditionalFormatting sqref="AB310">
    <cfRule type="expression" dxfId="308" priority="2">
      <formula>AB311&lt;&gt;C311</formula>
    </cfRule>
  </conditionalFormatting>
  <conditionalFormatting sqref="W310">
    <cfRule type="duplicateValues" dxfId="307" priority="1"/>
  </conditionalFormatting>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59"/>
  <sheetViews>
    <sheetView workbookViewId="0">
      <pane ySplit="1" topLeftCell="A131" activePane="bottomLeft" state="frozen"/>
      <selection pane="bottomLeft" activeCell="H148" sqref="H148"/>
    </sheetView>
  </sheetViews>
  <sheetFormatPr defaultRowHeight="15.6"/>
  <cols>
    <col min="1" max="1" width="11" style="231" bestFit="1" customWidth="1"/>
    <col min="2" max="2" width="8.796875" style="231" customWidth="1"/>
    <col min="3" max="3" width="16.19921875" style="231" bestFit="1" customWidth="1"/>
    <col min="4" max="4" width="14.59765625" style="231" bestFit="1" customWidth="1"/>
    <col min="5" max="5" width="32.796875" style="231" bestFit="1" customWidth="1"/>
    <col min="6" max="181" width="8.796875" style="230" customWidth="1"/>
    <col min="182" max="16384" width="8.796875" style="230"/>
  </cols>
  <sheetData>
    <row r="1" spans="1:5">
      <c r="A1" s="233" t="s">
        <v>3166</v>
      </c>
      <c r="B1" s="233" t="s">
        <v>5617</v>
      </c>
      <c r="C1" s="233" t="s">
        <v>5618</v>
      </c>
      <c r="D1" s="233" t="s">
        <v>5619</v>
      </c>
      <c r="E1" s="233" t="s">
        <v>5620</v>
      </c>
    </row>
    <row r="2" spans="1:5">
      <c r="A2" s="231" t="s">
        <v>5621</v>
      </c>
      <c r="B2" s="231" t="s">
        <v>5622</v>
      </c>
      <c r="C2" s="272" t="s">
        <v>5623</v>
      </c>
      <c r="D2" s="272" t="s">
        <v>5624</v>
      </c>
      <c r="E2" s="272" t="s">
        <v>5625</v>
      </c>
    </row>
    <row r="3" spans="1:5">
      <c r="A3" s="231" t="s">
        <v>5621</v>
      </c>
      <c r="B3" s="231" t="s">
        <v>5622</v>
      </c>
      <c r="C3" s="231" t="s">
        <v>5626</v>
      </c>
      <c r="D3" s="231" t="s">
        <v>5627</v>
      </c>
      <c r="E3" s="231" t="s">
        <v>5628</v>
      </c>
    </row>
    <row r="4" spans="1:5">
      <c r="A4" s="231" t="s">
        <v>5621</v>
      </c>
      <c r="B4" s="231" t="s">
        <v>5622</v>
      </c>
      <c r="C4" s="231" t="s">
        <v>5629</v>
      </c>
      <c r="D4" s="231" t="s">
        <v>5630</v>
      </c>
      <c r="E4" s="231" t="s">
        <v>5631</v>
      </c>
    </row>
    <row r="5" spans="1:5">
      <c r="A5" s="231" t="s">
        <v>5621</v>
      </c>
      <c r="B5" s="231" t="s">
        <v>5622</v>
      </c>
      <c r="C5" s="231" t="s">
        <v>5632</v>
      </c>
      <c r="D5" s="231" t="s">
        <v>5633</v>
      </c>
      <c r="E5" s="231" t="s">
        <v>5634</v>
      </c>
    </row>
    <row r="6" spans="1:5">
      <c r="A6" s="231" t="s">
        <v>5621</v>
      </c>
      <c r="B6" s="231" t="s">
        <v>5622</v>
      </c>
      <c r="C6" s="231" t="s">
        <v>5635</v>
      </c>
      <c r="D6" s="231" t="s">
        <v>5636</v>
      </c>
      <c r="E6" s="231" t="s">
        <v>5637</v>
      </c>
    </row>
    <row r="7" spans="1:5">
      <c r="A7" s="231" t="s">
        <v>5621</v>
      </c>
      <c r="B7" s="231" t="s">
        <v>5622</v>
      </c>
      <c r="C7" s="231" t="s">
        <v>5638</v>
      </c>
      <c r="D7" s="231" t="s">
        <v>5639</v>
      </c>
      <c r="E7" s="231" t="s">
        <v>5640</v>
      </c>
    </row>
    <row r="8" spans="1:5">
      <c r="A8" s="231" t="s">
        <v>5621</v>
      </c>
      <c r="B8" s="231" t="s">
        <v>5622</v>
      </c>
      <c r="C8" s="231" t="s">
        <v>5641</v>
      </c>
      <c r="D8" s="231" t="s">
        <v>5642</v>
      </c>
      <c r="E8" s="231" t="s">
        <v>5643</v>
      </c>
    </row>
    <row r="9" spans="1:5">
      <c r="A9" s="231" t="s">
        <v>5621</v>
      </c>
      <c r="B9" s="231" t="s">
        <v>5622</v>
      </c>
      <c r="C9" s="231" t="s">
        <v>5644</v>
      </c>
      <c r="D9" s="231" t="s">
        <v>5645</v>
      </c>
      <c r="E9" s="231" t="s">
        <v>5646</v>
      </c>
    </row>
    <row r="10" spans="1:5">
      <c r="A10" s="231" t="s">
        <v>5621</v>
      </c>
      <c r="B10" s="231" t="s">
        <v>5622</v>
      </c>
      <c r="C10" s="231" t="s">
        <v>5647</v>
      </c>
      <c r="D10" s="231" t="s">
        <v>5648</v>
      </c>
      <c r="E10" s="231" t="s">
        <v>5649</v>
      </c>
    </row>
    <row r="11" spans="1:5">
      <c r="A11" s="231" t="s">
        <v>5621</v>
      </c>
      <c r="B11" s="231" t="s">
        <v>5622</v>
      </c>
      <c r="C11" s="231" t="s">
        <v>5650</v>
      </c>
      <c r="D11" s="231" t="s">
        <v>5651</v>
      </c>
      <c r="E11" s="231" t="s">
        <v>5652</v>
      </c>
    </row>
    <row r="12" spans="1:5">
      <c r="A12" s="231" t="s">
        <v>5621</v>
      </c>
      <c r="B12" s="231" t="s">
        <v>5653</v>
      </c>
      <c r="C12" s="231" t="s">
        <v>5654</v>
      </c>
      <c r="D12" s="231" t="s">
        <v>5655</v>
      </c>
      <c r="E12" s="231" t="s">
        <v>5656</v>
      </c>
    </row>
    <row r="13" spans="1:5">
      <c r="A13" s="231" t="s">
        <v>5621</v>
      </c>
      <c r="B13" s="231" t="s">
        <v>5653</v>
      </c>
      <c r="C13" s="231" t="s">
        <v>5657</v>
      </c>
      <c r="D13" s="231" t="s">
        <v>5658</v>
      </c>
      <c r="E13" s="231" t="s">
        <v>5659</v>
      </c>
    </row>
    <row r="14" spans="1:5">
      <c r="A14" s="231" t="s">
        <v>5621</v>
      </c>
      <c r="B14" s="231" t="s">
        <v>5653</v>
      </c>
      <c r="C14" s="231" t="s">
        <v>5660</v>
      </c>
      <c r="D14" s="231" t="s">
        <v>5661</v>
      </c>
      <c r="E14" s="231" t="s">
        <v>5662</v>
      </c>
    </row>
    <row r="15" spans="1:5">
      <c r="A15" s="231" t="s">
        <v>5621</v>
      </c>
      <c r="B15" s="231" t="s">
        <v>5653</v>
      </c>
      <c r="C15" s="231" t="s">
        <v>5663</v>
      </c>
      <c r="D15" s="231" t="s">
        <v>5664</v>
      </c>
      <c r="E15" s="231" t="s">
        <v>5665</v>
      </c>
    </row>
    <row r="16" spans="1:5">
      <c r="A16" s="231" t="s">
        <v>5621</v>
      </c>
      <c r="B16" s="231" t="s">
        <v>5653</v>
      </c>
      <c r="C16" s="231" t="s">
        <v>5666</v>
      </c>
      <c r="D16" s="231" t="s">
        <v>5667</v>
      </c>
      <c r="E16" s="231" t="s">
        <v>5668</v>
      </c>
    </row>
    <row r="17" spans="1:5">
      <c r="A17" s="231" t="s">
        <v>5621</v>
      </c>
      <c r="B17" s="231" t="s">
        <v>5653</v>
      </c>
      <c r="C17" s="231" t="s">
        <v>5669</v>
      </c>
      <c r="D17" s="231" t="s">
        <v>5670</v>
      </c>
      <c r="E17" s="231" t="s">
        <v>5671</v>
      </c>
    </row>
    <row r="18" spans="1:5">
      <c r="A18" s="231" t="s">
        <v>5621</v>
      </c>
      <c r="B18" s="231" t="s">
        <v>5653</v>
      </c>
      <c r="C18" s="231" t="s">
        <v>5672</v>
      </c>
      <c r="D18" s="231">
        <v>4401949290</v>
      </c>
      <c r="E18" s="231" t="s">
        <v>5673</v>
      </c>
    </row>
    <row r="19" spans="1:5">
      <c r="A19" s="231" t="s">
        <v>5621</v>
      </c>
      <c r="B19" s="231" t="s">
        <v>5653</v>
      </c>
      <c r="C19" s="231" t="s">
        <v>5674</v>
      </c>
      <c r="D19" s="231" t="s">
        <v>5675</v>
      </c>
      <c r="E19" s="231" t="s">
        <v>5676</v>
      </c>
    </row>
    <row r="20" spans="1:5">
      <c r="A20" s="231" t="s">
        <v>5621</v>
      </c>
      <c r="B20" s="231" t="s">
        <v>5677</v>
      </c>
      <c r="C20" s="231" t="s">
        <v>5678</v>
      </c>
      <c r="D20" s="231" t="s">
        <v>5679</v>
      </c>
      <c r="E20" s="231" t="s">
        <v>5680</v>
      </c>
    </row>
    <row r="21" spans="1:5">
      <c r="A21" s="231" t="s">
        <v>5621</v>
      </c>
      <c r="B21" s="231" t="s">
        <v>5677</v>
      </c>
      <c r="C21" s="231" t="s">
        <v>5681</v>
      </c>
      <c r="D21" s="231" t="s">
        <v>5682</v>
      </c>
      <c r="E21" s="231" t="s">
        <v>5683</v>
      </c>
    </row>
    <row r="22" spans="1:5">
      <c r="A22" s="231" t="s">
        <v>5621</v>
      </c>
      <c r="B22" s="231" t="s">
        <v>5677</v>
      </c>
      <c r="C22" s="231" t="s">
        <v>5684</v>
      </c>
      <c r="D22" s="231" t="s">
        <v>5685</v>
      </c>
      <c r="E22" s="231" t="s">
        <v>5686</v>
      </c>
    </row>
    <row r="23" spans="1:5">
      <c r="A23" s="231" t="s">
        <v>5621</v>
      </c>
      <c r="B23" s="231" t="s">
        <v>5677</v>
      </c>
      <c r="C23" s="231" t="s">
        <v>5687</v>
      </c>
      <c r="D23" s="231" t="s">
        <v>5688</v>
      </c>
      <c r="E23" s="231" t="s">
        <v>5689</v>
      </c>
    </row>
    <row r="24" spans="1:5">
      <c r="A24" s="231" t="s">
        <v>5621</v>
      </c>
      <c r="B24" s="231" t="s">
        <v>5677</v>
      </c>
      <c r="C24" s="231" t="s">
        <v>5690</v>
      </c>
      <c r="D24" s="231" t="s">
        <v>5691</v>
      </c>
      <c r="E24" s="231" t="s">
        <v>5692</v>
      </c>
    </row>
    <row r="25" spans="1:5">
      <c r="A25" s="231" t="s">
        <v>5621</v>
      </c>
      <c r="B25" s="231" t="s">
        <v>5677</v>
      </c>
      <c r="C25" s="231" t="s">
        <v>5693</v>
      </c>
      <c r="D25" s="231" t="s">
        <v>5694</v>
      </c>
      <c r="E25" s="231" t="s">
        <v>5695</v>
      </c>
    </row>
    <row r="26" spans="1:5">
      <c r="A26" s="231" t="s">
        <v>5621</v>
      </c>
      <c r="B26" s="231" t="s">
        <v>5696</v>
      </c>
      <c r="C26" s="231" t="s">
        <v>5697</v>
      </c>
      <c r="D26" s="231" t="s">
        <v>5698</v>
      </c>
      <c r="E26" s="231" t="s">
        <v>5699</v>
      </c>
    </row>
    <row r="27" spans="1:5">
      <c r="A27" s="231" t="s">
        <v>5621</v>
      </c>
      <c r="B27" s="231" t="s">
        <v>5696</v>
      </c>
      <c r="C27" s="231" t="s">
        <v>5700</v>
      </c>
      <c r="D27" s="231" t="s">
        <v>5701</v>
      </c>
      <c r="E27" s="231" t="s">
        <v>5702</v>
      </c>
    </row>
    <row r="28" spans="1:5">
      <c r="A28" s="231" t="s">
        <v>5621</v>
      </c>
      <c r="B28" s="231" t="s">
        <v>5696</v>
      </c>
      <c r="C28" s="231" t="s">
        <v>5703</v>
      </c>
      <c r="D28" s="231" t="s">
        <v>5704</v>
      </c>
      <c r="E28" s="231" t="s">
        <v>5705</v>
      </c>
    </row>
    <row r="29" spans="1:5">
      <c r="A29" s="231" t="s">
        <v>5621</v>
      </c>
      <c r="B29" s="231" t="s">
        <v>5696</v>
      </c>
      <c r="C29" s="231" t="s">
        <v>5706</v>
      </c>
      <c r="D29" s="231" t="s">
        <v>5707</v>
      </c>
      <c r="E29" s="231" t="s">
        <v>5708</v>
      </c>
    </row>
    <row r="30" spans="1:5">
      <c r="A30" s="231" t="s">
        <v>5621</v>
      </c>
      <c r="B30" s="231" t="s">
        <v>5709</v>
      </c>
      <c r="C30" s="231" t="s">
        <v>5710</v>
      </c>
      <c r="D30" s="231" t="s">
        <v>5711</v>
      </c>
      <c r="E30" s="231" t="s">
        <v>5712</v>
      </c>
    </row>
    <row r="31" spans="1:5">
      <c r="A31" s="232" t="s">
        <v>5713</v>
      </c>
      <c r="B31" s="231" t="s">
        <v>5622</v>
      </c>
      <c r="C31" s="272" t="s">
        <v>5623</v>
      </c>
      <c r="D31" s="272" t="s">
        <v>5714</v>
      </c>
      <c r="E31" s="272" t="s">
        <v>5625</v>
      </c>
    </row>
    <row r="32" spans="1:5">
      <c r="A32" s="232" t="s">
        <v>5713</v>
      </c>
      <c r="B32" s="231" t="s">
        <v>5622</v>
      </c>
      <c r="C32" s="231" t="s">
        <v>5715</v>
      </c>
      <c r="D32" s="231" t="s">
        <v>5716</v>
      </c>
      <c r="E32" s="231" t="s">
        <v>5628</v>
      </c>
    </row>
    <row r="33" spans="1:5">
      <c r="A33" s="232" t="s">
        <v>5713</v>
      </c>
      <c r="B33" s="231" t="s">
        <v>5622</v>
      </c>
      <c r="C33" s="231" t="s">
        <v>5629</v>
      </c>
      <c r="D33" s="231" t="s">
        <v>5630</v>
      </c>
      <c r="E33" s="231" t="s">
        <v>5631</v>
      </c>
    </row>
    <row r="34" spans="1:5">
      <c r="A34" s="232" t="s">
        <v>5713</v>
      </c>
      <c r="B34" s="231" t="s">
        <v>5622</v>
      </c>
      <c r="C34" s="231" t="s">
        <v>5632</v>
      </c>
      <c r="D34" s="231" t="s">
        <v>5633</v>
      </c>
      <c r="E34" s="231" t="s">
        <v>5634</v>
      </c>
    </row>
    <row r="35" spans="1:5">
      <c r="A35" s="232" t="s">
        <v>5713</v>
      </c>
      <c r="B35" s="231" t="s">
        <v>5622</v>
      </c>
      <c r="C35" s="231" t="s">
        <v>5635</v>
      </c>
      <c r="D35" s="231" t="s">
        <v>5636</v>
      </c>
      <c r="E35" s="231" t="s">
        <v>5637</v>
      </c>
    </row>
    <row r="36" spans="1:5">
      <c r="A36" s="232" t="s">
        <v>5713</v>
      </c>
      <c r="B36" s="231" t="s">
        <v>5622</v>
      </c>
      <c r="C36" s="231" t="s">
        <v>5638</v>
      </c>
      <c r="D36" s="231" t="s">
        <v>5639</v>
      </c>
      <c r="E36" s="231" t="s">
        <v>5640</v>
      </c>
    </row>
    <row r="37" spans="1:5">
      <c r="A37" s="232" t="s">
        <v>5713</v>
      </c>
      <c r="B37" s="231" t="s">
        <v>5622</v>
      </c>
      <c r="C37" s="231" t="s">
        <v>5641</v>
      </c>
      <c r="D37" s="231" t="s">
        <v>5642</v>
      </c>
      <c r="E37" s="231" t="s">
        <v>5643</v>
      </c>
    </row>
    <row r="38" spans="1:5">
      <c r="A38" s="232" t="s">
        <v>5713</v>
      </c>
      <c r="B38" s="231" t="s">
        <v>5622</v>
      </c>
      <c r="C38" s="231" t="s">
        <v>5644</v>
      </c>
      <c r="D38" s="231" t="s">
        <v>5645</v>
      </c>
      <c r="E38" s="231" t="s">
        <v>5646</v>
      </c>
    </row>
    <row r="39" spans="1:5">
      <c r="A39" s="232" t="s">
        <v>5713</v>
      </c>
      <c r="B39" s="231" t="s">
        <v>5622</v>
      </c>
      <c r="C39" s="231" t="s">
        <v>5647</v>
      </c>
      <c r="D39" s="231" t="s">
        <v>5648</v>
      </c>
      <c r="E39" s="231" t="s">
        <v>5649</v>
      </c>
    </row>
    <row r="40" spans="1:5">
      <c r="A40" s="232" t="s">
        <v>5713</v>
      </c>
      <c r="B40" s="231" t="s">
        <v>5622</v>
      </c>
      <c r="C40" s="231" t="s">
        <v>5650</v>
      </c>
      <c r="D40" s="231" t="s">
        <v>5651</v>
      </c>
      <c r="E40" s="231" t="s">
        <v>5652</v>
      </c>
    </row>
    <row r="41" spans="1:5">
      <c r="A41" s="232" t="s">
        <v>5713</v>
      </c>
      <c r="B41" s="231" t="s">
        <v>5653</v>
      </c>
      <c r="C41" s="231" t="s">
        <v>5654</v>
      </c>
      <c r="D41" s="231" t="s">
        <v>5717</v>
      </c>
      <c r="E41" s="231" t="s">
        <v>5718</v>
      </c>
    </row>
    <row r="42" spans="1:5">
      <c r="A42" s="232" t="s">
        <v>5713</v>
      </c>
      <c r="B42" s="231" t="s">
        <v>5653</v>
      </c>
      <c r="C42" s="231" t="s">
        <v>5657</v>
      </c>
      <c r="D42" s="231" t="s">
        <v>5719</v>
      </c>
      <c r="E42" s="231" t="s">
        <v>5659</v>
      </c>
    </row>
    <row r="43" spans="1:5">
      <c r="A43" s="232" t="s">
        <v>5713</v>
      </c>
      <c r="B43" s="231" t="s">
        <v>5653</v>
      </c>
      <c r="C43" s="231" t="s">
        <v>5660</v>
      </c>
      <c r="D43" s="231" t="s">
        <v>5661</v>
      </c>
      <c r="E43" s="231" t="s">
        <v>5662</v>
      </c>
    </row>
    <row r="44" spans="1:5">
      <c r="A44" s="232" t="s">
        <v>5713</v>
      </c>
      <c r="B44" s="231" t="s">
        <v>5653</v>
      </c>
      <c r="C44" s="231" t="s">
        <v>5663</v>
      </c>
      <c r="D44" s="231" t="s">
        <v>5664</v>
      </c>
      <c r="E44" s="231" t="s">
        <v>5665</v>
      </c>
    </row>
    <row r="45" spans="1:5">
      <c r="A45" s="232" t="s">
        <v>5713</v>
      </c>
      <c r="B45" s="231" t="s">
        <v>5653</v>
      </c>
      <c r="C45" s="231" t="s">
        <v>5666</v>
      </c>
      <c r="D45" s="231" t="s">
        <v>5667</v>
      </c>
      <c r="E45" s="231" t="s">
        <v>5668</v>
      </c>
    </row>
    <row r="46" spans="1:5">
      <c r="A46" s="232" t="s">
        <v>5713</v>
      </c>
      <c r="B46" s="231" t="s">
        <v>5653</v>
      </c>
      <c r="C46" s="231" t="s">
        <v>5669</v>
      </c>
      <c r="D46" s="231" t="s">
        <v>5720</v>
      </c>
      <c r="E46" s="231" t="s">
        <v>5721</v>
      </c>
    </row>
    <row r="47" spans="1:5">
      <c r="A47" s="232" t="s">
        <v>5713</v>
      </c>
      <c r="B47" s="231" t="s">
        <v>5653</v>
      </c>
      <c r="C47" s="231" t="s">
        <v>5672</v>
      </c>
      <c r="D47" s="231">
        <v>4401949290</v>
      </c>
      <c r="E47" s="231" t="s">
        <v>5673</v>
      </c>
    </row>
    <row r="48" spans="1:5">
      <c r="A48" s="232" t="s">
        <v>5713</v>
      </c>
      <c r="B48" s="231" t="s">
        <v>5653</v>
      </c>
      <c r="C48" s="231" t="s">
        <v>5674</v>
      </c>
      <c r="D48" s="231" t="s">
        <v>5675</v>
      </c>
      <c r="E48" s="231" t="s">
        <v>5676</v>
      </c>
    </row>
    <row r="49" spans="1:5">
      <c r="A49" s="232" t="s">
        <v>5713</v>
      </c>
      <c r="B49" s="231" t="s">
        <v>5677</v>
      </c>
      <c r="C49" s="231" t="s">
        <v>5678</v>
      </c>
      <c r="D49" s="231" t="s">
        <v>5679</v>
      </c>
      <c r="E49" s="231" t="s">
        <v>5680</v>
      </c>
    </row>
    <row r="50" spans="1:5">
      <c r="A50" s="232" t="s">
        <v>5713</v>
      </c>
      <c r="B50" s="231" t="s">
        <v>5677</v>
      </c>
      <c r="C50" s="231" t="s">
        <v>5681</v>
      </c>
      <c r="D50" s="231" t="s">
        <v>5682</v>
      </c>
      <c r="E50" s="231" t="s">
        <v>5683</v>
      </c>
    </row>
    <row r="51" spans="1:5">
      <c r="A51" s="232" t="s">
        <v>5713</v>
      </c>
      <c r="B51" s="231" t="s">
        <v>5677</v>
      </c>
      <c r="C51" s="231" t="s">
        <v>5684</v>
      </c>
      <c r="D51" s="231" t="s">
        <v>5685</v>
      </c>
      <c r="E51" s="231" t="s">
        <v>5686</v>
      </c>
    </row>
    <row r="52" spans="1:5">
      <c r="A52" s="232" t="s">
        <v>5713</v>
      </c>
      <c r="B52" s="231" t="s">
        <v>5677</v>
      </c>
      <c r="C52" s="231" t="s">
        <v>5687</v>
      </c>
      <c r="D52" s="231" t="s">
        <v>5688</v>
      </c>
      <c r="E52" s="231" t="s">
        <v>5689</v>
      </c>
    </row>
    <row r="53" spans="1:5">
      <c r="A53" s="232" t="s">
        <v>5713</v>
      </c>
      <c r="B53" s="231" t="s">
        <v>5677</v>
      </c>
      <c r="C53" s="231" t="s">
        <v>5690</v>
      </c>
      <c r="D53" s="231" t="s">
        <v>5691</v>
      </c>
      <c r="E53" s="231" t="s">
        <v>5692</v>
      </c>
    </row>
    <row r="54" spans="1:5">
      <c r="A54" s="232" t="s">
        <v>5713</v>
      </c>
      <c r="B54" s="231" t="s">
        <v>5677</v>
      </c>
      <c r="C54" s="231" t="s">
        <v>5693</v>
      </c>
      <c r="D54" s="231" t="s">
        <v>5694</v>
      </c>
      <c r="E54" s="231" t="s">
        <v>5695</v>
      </c>
    </row>
    <row r="55" spans="1:5">
      <c r="A55" s="232" t="s">
        <v>5713</v>
      </c>
      <c r="B55" s="231" t="s">
        <v>5696</v>
      </c>
      <c r="C55" s="231" t="s">
        <v>5697</v>
      </c>
      <c r="D55" s="231" t="s">
        <v>5698</v>
      </c>
      <c r="E55" s="231" t="s">
        <v>5699</v>
      </c>
    </row>
    <row r="56" spans="1:5">
      <c r="A56" s="232" t="s">
        <v>5713</v>
      </c>
      <c r="B56" s="231" t="s">
        <v>5696</v>
      </c>
      <c r="C56" s="231" t="s">
        <v>5700</v>
      </c>
      <c r="D56" s="231" t="s">
        <v>5701</v>
      </c>
      <c r="E56" s="231" t="s">
        <v>5702</v>
      </c>
    </row>
    <row r="57" spans="1:5">
      <c r="A57" s="232" t="s">
        <v>5713</v>
      </c>
      <c r="B57" s="231" t="s">
        <v>5696</v>
      </c>
      <c r="C57" s="231" t="s">
        <v>5703</v>
      </c>
      <c r="D57" s="231" t="s">
        <v>5704</v>
      </c>
      <c r="E57" s="231" t="s">
        <v>5705</v>
      </c>
    </row>
    <row r="58" spans="1:5">
      <c r="A58" s="232" t="s">
        <v>5713</v>
      </c>
      <c r="B58" s="231" t="s">
        <v>5696</v>
      </c>
      <c r="C58" s="231" t="s">
        <v>5706</v>
      </c>
      <c r="D58" s="231" t="s">
        <v>5707</v>
      </c>
      <c r="E58" s="231" t="s">
        <v>5708</v>
      </c>
    </row>
    <row r="59" spans="1:5">
      <c r="A59" s="232" t="s">
        <v>5713</v>
      </c>
      <c r="B59" s="231" t="s">
        <v>5709</v>
      </c>
      <c r="C59" s="231" t="s">
        <v>5710</v>
      </c>
      <c r="D59" s="231" t="s">
        <v>5711</v>
      </c>
      <c r="E59" s="231" t="s">
        <v>5712</v>
      </c>
    </row>
    <row r="60" spans="1:5">
      <c r="A60" s="231" t="s">
        <v>5722</v>
      </c>
      <c r="B60" s="231" t="s">
        <v>5622</v>
      </c>
      <c r="C60" s="272" t="s">
        <v>5623</v>
      </c>
      <c r="D60" s="272" t="s">
        <v>5723</v>
      </c>
      <c r="E60" s="272" t="s">
        <v>5625</v>
      </c>
    </row>
    <row r="61" spans="1:5">
      <c r="A61" s="231" t="s">
        <v>5722</v>
      </c>
      <c r="B61" s="231" t="s">
        <v>5622</v>
      </c>
      <c r="C61" s="231" t="s">
        <v>5715</v>
      </c>
      <c r="D61" s="231" t="s">
        <v>5724</v>
      </c>
      <c r="E61" s="231" t="s">
        <v>5725</v>
      </c>
    </row>
    <row r="62" spans="1:5">
      <c r="A62" s="231" t="s">
        <v>5722</v>
      </c>
      <c r="B62" s="231" t="s">
        <v>5622</v>
      </c>
      <c r="C62" s="231" t="s">
        <v>5629</v>
      </c>
      <c r="D62" s="231" t="s">
        <v>5630</v>
      </c>
      <c r="E62" s="231" t="s">
        <v>5631</v>
      </c>
    </row>
    <row r="63" spans="1:5">
      <c r="A63" s="231" t="s">
        <v>5722</v>
      </c>
      <c r="B63" s="231" t="s">
        <v>5622</v>
      </c>
      <c r="C63" s="231" t="s">
        <v>5632</v>
      </c>
      <c r="D63" s="231" t="s">
        <v>5633</v>
      </c>
      <c r="E63" s="231" t="s">
        <v>5634</v>
      </c>
    </row>
    <row r="64" spans="1:5">
      <c r="A64" s="231" t="s">
        <v>5722</v>
      </c>
      <c r="B64" s="231" t="s">
        <v>5622</v>
      </c>
      <c r="C64" s="231" t="s">
        <v>5635</v>
      </c>
      <c r="D64" s="231" t="s">
        <v>5636</v>
      </c>
      <c r="E64" s="231" t="s">
        <v>5637</v>
      </c>
    </row>
    <row r="65" spans="1:5">
      <c r="A65" s="231" t="s">
        <v>5722</v>
      </c>
      <c r="B65" s="231" t="s">
        <v>5622</v>
      </c>
      <c r="C65" s="231" t="s">
        <v>5638</v>
      </c>
      <c r="D65" s="231" t="s">
        <v>5639</v>
      </c>
      <c r="E65" s="231" t="s">
        <v>5640</v>
      </c>
    </row>
    <row r="66" spans="1:5">
      <c r="A66" s="231" t="s">
        <v>5722</v>
      </c>
      <c r="B66" s="231" t="s">
        <v>5622</v>
      </c>
      <c r="C66" s="231" t="s">
        <v>5641</v>
      </c>
      <c r="D66" s="231" t="s">
        <v>5726</v>
      </c>
      <c r="E66" s="231" t="s">
        <v>5727</v>
      </c>
    </row>
    <row r="67" spans="1:5">
      <c r="A67" s="231" t="s">
        <v>5722</v>
      </c>
      <c r="B67" s="231" t="s">
        <v>5622</v>
      </c>
      <c r="C67" s="231" t="s">
        <v>5644</v>
      </c>
      <c r="D67" s="231" t="s">
        <v>5728</v>
      </c>
      <c r="E67" s="231" t="s">
        <v>5729</v>
      </c>
    </row>
    <row r="68" spans="1:5">
      <c r="A68" s="231" t="s">
        <v>5722</v>
      </c>
      <c r="B68" s="231" t="s">
        <v>5622</v>
      </c>
      <c r="C68" s="231" t="s">
        <v>5647</v>
      </c>
      <c r="D68" s="231" t="s">
        <v>5730</v>
      </c>
      <c r="E68" s="231" t="s">
        <v>5731</v>
      </c>
    </row>
    <row r="69" spans="1:5">
      <c r="A69" s="231" t="s">
        <v>5722</v>
      </c>
      <c r="B69" s="231" t="s">
        <v>5622</v>
      </c>
      <c r="C69" s="231" t="s">
        <v>5650</v>
      </c>
      <c r="D69" s="231" t="s">
        <v>5732</v>
      </c>
      <c r="E69" s="231" t="s">
        <v>5733</v>
      </c>
    </row>
    <row r="70" spans="1:5">
      <c r="A70" s="231" t="s">
        <v>5722</v>
      </c>
      <c r="B70" s="231" t="s">
        <v>5653</v>
      </c>
      <c r="C70" s="231" t="s">
        <v>5654</v>
      </c>
      <c r="D70" s="231" t="s">
        <v>5734</v>
      </c>
      <c r="E70" s="231" t="s">
        <v>5735</v>
      </c>
    </row>
    <row r="71" spans="1:5">
      <c r="A71" s="231" t="s">
        <v>5722</v>
      </c>
      <c r="B71" s="231" t="s">
        <v>5653</v>
      </c>
      <c r="C71" s="231" t="s">
        <v>5657</v>
      </c>
      <c r="D71" s="231" t="s">
        <v>5736</v>
      </c>
      <c r="E71" s="231" t="s">
        <v>5737</v>
      </c>
    </row>
    <row r="72" spans="1:5">
      <c r="A72" s="231" t="s">
        <v>5722</v>
      </c>
      <c r="B72" s="231" t="s">
        <v>5653</v>
      </c>
      <c r="C72" s="231" t="s">
        <v>5660</v>
      </c>
      <c r="D72" s="231" t="s">
        <v>5738</v>
      </c>
      <c r="E72" s="231" t="s">
        <v>5739</v>
      </c>
    </row>
    <row r="73" spans="1:5">
      <c r="A73" s="231" t="s">
        <v>5722</v>
      </c>
      <c r="B73" s="231" t="s">
        <v>5653</v>
      </c>
      <c r="C73" s="231" t="s">
        <v>5663</v>
      </c>
      <c r="D73" s="231" t="s">
        <v>5740</v>
      </c>
      <c r="E73" s="231" t="s">
        <v>5741</v>
      </c>
    </row>
    <row r="74" spans="1:5">
      <c r="A74" s="231" t="s">
        <v>5722</v>
      </c>
      <c r="B74" s="231" t="s">
        <v>5653</v>
      </c>
      <c r="C74" s="231" t="s">
        <v>5666</v>
      </c>
      <c r="D74" s="231" t="s">
        <v>5742</v>
      </c>
      <c r="E74" s="231" t="s">
        <v>5743</v>
      </c>
    </row>
    <row r="75" spans="1:5">
      <c r="A75" s="231" t="s">
        <v>5722</v>
      </c>
      <c r="B75" s="231" t="s">
        <v>5653</v>
      </c>
      <c r="C75" s="231" t="s">
        <v>5669</v>
      </c>
      <c r="D75" s="231" t="s">
        <v>5744</v>
      </c>
      <c r="E75" s="231" t="s">
        <v>5745</v>
      </c>
    </row>
    <row r="76" spans="1:5">
      <c r="A76" s="231" t="s">
        <v>5722</v>
      </c>
      <c r="B76" s="231" t="s">
        <v>5653</v>
      </c>
      <c r="C76" s="231" t="s">
        <v>5746</v>
      </c>
      <c r="D76" s="231" t="s">
        <v>5747</v>
      </c>
      <c r="E76" s="231" t="s">
        <v>5748</v>
      </c>
    </row>
    <row r="77" spans="1:5">
      <c r="A77" s="231" t="s">
        <v>5722</v>
      </c>
      <c r="B77" s="231" t="s">
        <v>5677</v>
      </c>
      <c r="C77" s="231" t="s">
        <v>5749</v>
      </c>
      <c r="D77" s="231" t="s">
        <v>5750</v>
      </c>
      <c r="E77" s="231" t="s">
        <v>5751</v>
      </c>
    </row>
    <row r="78" spans="1:5">
      <c r="A78" s="231" t="s">
        <v>5722</v>
      </c>
      <c r="B78" s="231" t="s">
        <v>5677</v>
      </c>
      <c r="C78" s="231" t="s">
        <v>5752</v>
      </c>
      <c r="D78" s="231" t="s">
        <v>5679</v>
      </c>
      <c r="E78" s="231" t="s">
        <v>5680</v>
      </c>
    </row>
    <row r="79" spans="1:5">
      <c r="A79" s="231" t="s">
        <v>5722</v>
      </c>
      <c r="B79" s="231" t="s">
        <v>5677</v>
      </c>
      <c r="C79" s="231" t="s">
        <v>5753</v>
      </c>
      <c r="D79" s="231" t="s">
        <v>5754</v>
      </c>
      <c r="E79" s="231" t="s">
        <v>5755</v>
      </c>
    </row>
    <row r="80" spans="1:5">
      <c r="A80" s="231" t="s">
        <v>5722</v>
      </c>
      <c r="B80" s="231" t="s">
        <v>5677</v>
      </c>
      <c r="C80" s="231" t="s">
        <v>5687</v>
      </c>
      <c r="D80" s="231" t="s">
        <v>5688</v>
      </c>
      <c r="E80" s="231" t="s">
        <v>5689</v>
      </c>
    </row>
    <row r="81" spans="1:5">
      <c r="A81" s="231" t="s">
        <v>5722</v>
      </c>
      <c r="B81" s="231" t="s">
        <v>5677</v>
      </c>
      <c r="C81" s="231" t="s">
        <v>5756</v>
      </c>
      <c r="D81" s="231" t="s">
        <v>5757</v>
      </c>
      <c r="E81" s="231" t="s">
        <v>5758</v>
      </c>
    </row>
    <row r="82" spans="1:5">
      <c r="A82" s="231" t="s">
        <v>5722</v>
      </c>
      <c r="B82" s="231" t="s">
        <v>5696</v>
      </c>
      <c r="C82" s="231" t="s">
        <v>5697</v>
      </c>
      <c r="D82" s="231" t="s">
        <v>5698</v>
      </c>
      <c r="E82" s="231" t="s">
        <v>5699</v>
      </c>
    </row>
    <row r="83" spans="1:5">
      <c r="A83" s="231" t="s">
        <v>5722</v>
      </c>
      <c r="B83" s="231" t="s">
        <v>5696</v>
      </c>
      <c r="C83" s="231" t="s">
        <v>5700</v>
      </c>
      <c r="D83" s="231" t="s">
        <v>5701</v>
      </c>
      <c r="E83" s="231" t="s">
        <v>5702</v>
      </c>
    </row>
    <row r="84" spans="1:5">
      <c r="A84" s="231" t="s">
        <v>5722</v>
      </c>
      <c r="B84" s="231" t="s">
        <v>5696</v>
      </c>
      <c r="C84" s="231" t="s">
        <v>5703</v>
      </c>
      <c r="D84" s="231" t="s">
        <v>5704</v>
      </c>
      <c r="E84" s="231" t="s">
        <v>5705</v>
      </c>
    </row>
    <row r="85" spans="1:5">
      <c r="A85" s="231" t="s">
        <v>5722</v>
      </c>
      <c r="B85" s="231" t="s">
        <v>5696</v>
      </c>
      <c r="C85" s="231" t="s">
        <v>5706</v>
      </c>
      <c r="D85" s="231" t="s">
        <v>5707</v>
      </c>
      <c r="E85" s="231" t="s">
        <v>5708</v>
      </c>
    </row>
    <row r="86" spans="1:5">
      <c r="A86" s="231" t="s">
        <v>5722</v>
      </c>
      <c r="B86" s="231" t="s">
        <v>5709</v>
      </c>
      <c r="C86" s="231" t="s">
        <v>5710</v>
      </c>
      <c r="D86" s="231" t="s">
        <v>5711</v>
      </c>
      <c r="E86" s="231" t="s">
        <v>5712</v>
      </c>
    </row>
    <row r="87" spans="1:5">
      <c r="A87" s="231" t="s">
        <v>5759</v>
      </c>
      <c r="B87" s="231" t="s">
        <v>5622</v>
      </c>
      <c r="C87" s="272" t="s">
        <v>5623</v>
      </c>
      <c r="D87" s="272" t="s">
        <v>5760</v>
      </c>
      <c r="E87" s="272" t="s">
        <v>5761</v>
      </c>
    </row>
    <row r="88" spans="1:5">
      <c r="A88" s="231" t="s">
        <v>5759</v>
      </c>
      <c r="B88" s="231" t="s">
        <v>5622</v>
      </c>
      <c r="C88" s="272" t="s">
        <v>5623</v>
      </c>
      <c r="D88" s="272" t="s">
        <v>5762</v>
      </c>
      <c r="E88" s="272" t="s">
        <v>5763</v>
      </c>
    </row>
    <row r="89" spans="1:5">
      <c r="A89" s="231" t="s">
        <v>5759</v>
      </c>
      <c r="B89" s="231" t="s">
        <v>5622</v>
      </c>
      <c r="C89" s="231" t="s">
        <v>5764</v>
      </c>
      <c r="D89" s="231" t="s">
        <v>5765</v>
      </c>
      <c r="E89" s="231" t="s">
        <v>5766</v>
      </c>
    </row>
    <row r="90" spans="1:5">
      <c r="A90" s="231" t="s">
        <v>5759</v>
      </c>
      <c r="B90" s="231" t="s">
        <v>5622</v>
      </c>
      <c r="C90" s="231" t="s">
        <v>5635</v>
      </c>
      <c r="D90" s="231" t="s">
        <v>5767</v>
      </c>
      <c r="E90" s="231" t="s">
        <v>5637</v>
      </c>
    </row>
    <row r="91" spans="1:5">
      <c r="A91" s="231" t="s">
        <v>5759</v>
      </c>
      <c r="B91" s="231" t="s">
        <v>5622</v>
      </c>
      <c r="C91" s="231" t="s">
        <v>5638</v>
      </c>
      <c r="D91" s="231" t="s">
        <v>5768</v>
      </c>
      <c r="E91" s="231" t="s">
        <v>5769</v>
      </c>
    </row>
    <row r="92" spans="1:5">
      <c r="A92" s="231" t="s">
        <v>5759</v>
      </c>
      <c r="B92" s="231" t="s">
        <v>5622</v>
      </c>
      <c r="C92" s="231" t="s">
        <v>5770</v>
      </c>
      <c r="D92" s="231" t="s">
        <v>5771</v>
      </c>
      <c r="E92" s="231" t="s">
        <v>5772</v>
      </c>
    </row>
    <row r="93" spans="1:5">
      <c r="A93" s="231" t="s">
        <v>5759</v>
      </c>
      <c r="B93" s="231" t="s">
        <v>5653</v>
      </c>
      <c r="C93" s="231" t="s">
        <v>5773</v>
      </c>
      <c r="D93" s="231" t="s">
        <v>5774</v>
      </c>
      <c r="E93" s="231" t="s">
        <v>5775</v>
      </c>
    </row>
    <row r="94" spans="1:5">
      <c r="A94" s="231" t="s">
        <v>5759</v>
      </c>
      <c r="B94" s="231" t="s">
        <v>5653</v>
      </c>
      <c r="C94" s="231" t="s">
        <v>5776</v>
      </c>
      <c r="D94" s="231" t="s">
        <v>5777</v>
      </c>
      <c r="E94" s="231" t="s">
        <v>5778</v>
      </c>
    </row>
    <row r="95" spans="1:5">
      <c r="A95" s="231" t="s">
        <v>5759</v>
      </c>
      <c r="B95" s="231" t="s">
        <v>5653</v>
      </c>
      <c r="C95" s="231" t="s">
        <v>5779</v>
      </c>
      <c r="D95" s="231" t="s">
        <v>5780</v>
      </c>
      <c r="E95" s="231" t="s">
        <v>5781</v>
      </c>
    </row>
    <row r="96" spans="1:5">
      <c r="A96" s="231" t="s">
        <v>5759</v>
      </c>
      <c r="B96" s="231" t="s">
        <v>5653</v>
      </c>
      <c r="C96" s="231" t="s">
        <v>5782</v>
      </c>
      <c r="D96" s="231" t="s">
        <v>5783</v>
      </c>
      <c r="E96" s="231" t="s">
        <v>5784</v>
      </c>
    </row>
    <row r="97" spans="1:5">
      <c r="A97" s="231" t="s">
        <v>5759</v>
      </c>
      <c r="B97" s="231" t="s">
        <v>5653</v>
      </c>
      <c r="C97" s="231" t="s">
        <v>5785</v>
      </c>
      <c r="D97" s="231" t="s">
        <v>5786</v>
      </c>
      <c r="E97" s="231" t="s">
        <v>5784</v>
      </c>
    </row>
    <row r="98" spans="1:5">
      <c r="A98" s="231" t="s">
        <v>5759</v>
      </c>
      <c r="B98" s="231" t="s">
        <v>5653</v>
      </c>
      <c r="C98" s="231" t="s">
        <v>5787</v>
      </c>
      <c r="D98" s="231" t="s">
        <v>5788</v>
      </c>
      <c r="E98" s="231" t="s">
        <v>5789</v>
      </c>
    </row>
    <row r="99" spans="1:5">
      <c r="A99" s="231" t="s">
        <v>5759</v>
      </c>
      <c r="B99" s="231" t="s">
        <v>5653</v>
      </c>
      <c r="C99" s="231" t="s">
        <v>5790</v>
      </c>
      <c r="D99" s="231" t="s">
        <v>5791</v>
      </c>
      <c r="E99" s="231" t="s">
        <v>5792</v>
      </c>
    </row>
    <row r="100" spans="1:5">
      <c r="A100" s="231" t="s">
        <v>5759</v>
      </c>
      <c r="B100" s="231" t="s">
        <v>5653</v>
      </c>
      <c r="C100" s="231" t="s">
        <v>5793</v>
      </c>
      <c r="D100" s="231" t="s">
        <v>5794</v>
      </c>
      <c r="E100" s="231" t="s">
        <v>5795</v>
      </c>
    </row>
    <row r="101" spans="1:5">
      <c r="A101" s="231" t="s">
        <v>5759</v>
      </c>
      <c r="B101" s="231" t="s">
        <v>5677</v>
      </c>
      <c r="C101" s="231" t="s">
        <v>5752</v>
      </c>
      <c r="D101" s="231" t="s">
        <v>5796</v>
      </c>
      <c r="E101" s="231" t="s">
        <v>5797</v>
      </c>
    </row>
    <row r="102" spans="1:5">
      <c r="A102" s="231" t="s">
        <v>5759</v>
      </c>
      <c r="B102" s="231" t="s">
        <v>5677</v>
      </c>
      <c r="C102" s="231" t="s">
        <v>5749</v>
      </c>
      <c r="D102" s="231" t="s">
        <v>5798</v>
      </c>
      <c r="E102" s="231" t="s">
        <v>5799</v>
      </c>
    </row>
    <row r="103" spans="1:5">
      <c r="A103" s="231" t="s">
        <v>5759</v>
      </c>
      <c r="B103" s="231" t="s">
        <v>5677</v>
      </c>
      <c r="C103" s="231" t="s">
        <v>5800</v>
      </c>
      <c r="D103" s="231" t="s">
        <v>5801</v>
      </c>
      <c r="E103" s="231" t="s">
        <v>5802</v>
      </c>
    </row>
    <row r="104" spans="1:5">
      <c r="A104" s="231" t="s">
        <v>5759</v>
      </c>
      <c r="B104" s="231" t="s">
        <v>5677</v>
      </c>
      <c r="C104" s="231" t="s">
        <v>5803</v>
      </c>
      <c r="D104" s="231" t="s">
        <v>5804</v>
      </c>
      <c r="E104" s="231" t="s">
        <v>5805</v>
      </c>
    </row>
    <row r="105" spans="1:5">
      <c r="A105" s="231" t="s">
        <v>5759</v>
      </c>
      <c r="B105" s="231" t="s">
        <v>5677</v>
      </c>
      <c r="C105" s="231" t="s">
        <v>5806</v>
      </c>
      <c r="D105" s="231" t="s">
        <v>5807</v>
      </c>
      <c r="E105" s="231" t="s">
        <v>5808</v>
      </c>
    </row>
    <row r="106" spans="1:5">
      <c r="A106" s="231" t="s">
        <v>5759</v>
      </c>
      <c r="B106" s="231" t="s">
        <v>5677</v>
      </c>
      <c r="C106" s="231" t="s">
        <v>5809</v>
      </c>
      <c r="D106" s="231" t="s">
        <v>5810</v>
      </c>
      <c r="E106" s="231" t="s">
        <v>5811</v>
      </c>
    </row>
    <row r="107" spans="1:5">
      <c r="A107" s="231" t="s">
        <v>5759</v>
      </c>
      <c r="B107" s="231" t="s">
        <v>5696</v>
      </c>
      <c r="C107" s="231" t="s">
        <v>5697</v>
      </c>
      <c r="D107" s="231" t="s">
        <v>5698</v>
      </c>
      <c r="E107" s="231" t="s">
        <v>5699</v>
      </c>
    </row>
    <row r="108" spans="1:5">
      <c r="A108" s="231" t="s">
        <v>5759</v>
      </c>
      <c r="B108" s="231" t="s">
        <v>5696</v>
      </c>
      <c r="C108" s="231" t="s">
        <v>5700</v>
      </c>
      <c r="D108" s="231" t="s">
        <v>5701</v>
      </c>
      <c r="E108" s="231" t="s">
        <v>5702</v>
      </c>
    </row>
    <row r="109" spans="1:5">
      <c r="A109" s="231" t="s">
        <v>5759</v>
      </c>
      <c r="B109" s="231" t="s">
        <v>5696</v>
      </c>
      <c r="C109" s="231" t="s">
        <v>5703</v>
      </c>
      <c r="D109" s="231" t="s">
        <v>5704</v>
      </c>
      <c r="E109" s="231" t="s">
        <v>5705</v>
      </c>
    </row>
    <row r="110" spans="1:5">
      <c r="A110" s="231" t="s">
        <v>5759</v>
      </c>
      <c r="B110" s="231" t="s">
        <v>5696</v>
      </c>
      <c r="C110" s="231" t="s">
        <v>5706</v>
      </c>
      <c r="D110" s="231" t="s">
        <v>5707</v>
      </c>
      <c r="E110" s="231" t="s">
        <v>5708</v>
      </c>
    </row>
    <row r="111" spans="1:5">
      <c r="A111" s="231" t="s">
        <v>5812</v>
      </c>
      <c r="B111" s="231" t="s">
        <v>5622</v>
      </c>
      <c r="C111" s="272" t="s">
        <v>5623</v>
      </c>
      <c r="D111" s="272" t="s">
        <v>5813</v>
      </c>
      <c r="E111" s="272" t="s">
        <v>5814</v>
      </c>
    </row>
    <row r="112" spans="1:5">
      <c r="A112" s="231" t="s">
        <v>5812</v>
      </c>
      <c r="B112" s="231" t="s">
        <v>5622</v>
      </c>
      <c r="C112" s="231" t="s">
        <v>5764</v>
      </c>
      <c r="D112" s="231" t="s">
        <v>5815</v>
      </c>
      <c r="E112" s="231" t="s">
        <v>5816</v>
      </c>
    </row>
    <row r="113" spans="1:9">
      <c r="A113" s="231" t="s">
        <v>5812</v>
      </c>
      <c r="B113" s="231" t="s">
        <v>5622</v>
      </c>
      <c r="C113" s="231" t="s">
        <v>5635</v>
      </c>
      <c r="D113" s="231" t="s">
        <v>5767</v>
      </c>
      <c r="E113" s="231" t="s">
        <v>5637</v>
      </c>
    </row>
    <row r="114" spans="1:9">
      <c r="A114" s="231" t="s">
        <v>5812</v>
      </c>
      <c r="B114" s="231" t="s">
        <v>5622</v>
      </c>
      <c r="C114" s="231" t="s">
        <v>5638</v>
      </c>
      <c r="D114" s="231" t="s">
        <v>5768</v>
      </c>
      <c r="E114" s="231" t="s">
        <v>5769</v>
      </c>
    </row>
    <row r="115" spans="1:9">
      <c r="A115" s="231" t="s">
        <v>5812</v>
      </c>
      <c r="B115" s="231" t="s">
        <v>5622</v>
      </c>
      <c r="C115" s="231" t="s">
        <v>5770</v>
      </c>
      <c r="D115" s="231" t="s">
        <v>5817</v>
      </c>
      <c r="E115" s="231" t="s">
        <v>5818</v>
      </c>
    </row>
    <row r="116" spans="1:9">
      <c r="A116" s="231" t="s">
        <v>5812</v>
      </c>
      <c r="B116" s="231" t="s">
        <v>5653</v>
      </c>
      <c r="C116" s="231" t="s">
        <v>5773</v>
      </c>
      <c r="D116" s="231" t="s">
        <v>5774</v>
      </c>
      <c r="E116" s="231" t="s">
        <v>5775</v>
      </c>
    </row>
    <row r="117" spans="1:9">
      <c r="A117" s="231" t="s">
        <v>5812</v>
      </c>
      <c r="B117" s="231" t="s">
        <v>5653</v>
      </c>
      <c r="C117" s="231" t="s">
        <v>5776</v>
      </c>
      <c r="D117" s="231" t="s">
        <v>5777</v>
      </c>
      <c r="E117" s="231" t="s">
        <v>5778</v>
      </c>
    </row>
    <row r="118" spans="1:9">
      <c r="A118" s="231" t="s">
        <v>5812</v>
      </c>
      <c r="B118" s="231" t="s">
        <v>5653</v>
      </c>
      <c r="C118" s="231" t="s">
        <v>5779</v>
      </c>
      <c r="D118" s="231" t="s">
        <v>5780</v>
      </c>
      <c r="E118" s="231" t="s">
        <v>5781</v>
      </c>
    </row>
    <row r="119" spans="1:9">
      <c r="A119" s="231" t="s">
        <v>5812</v>
      </c>
      <c r="B119" s="231" t="s">
        <v>5653</v>
      </c>
      <c r="C119" s="231" t="s">
        <v>5782</v>
      </c>
      <c r="D119" s="231" t="s">
        <v>5783</v>
      </c>
      <c r="E119" s="231" t="s">
        <v>5784</v>
      </c>
    </row>
    <row r="120" spans="1:9">
      <c r="A120" s="231" t="s">
        <v>5812</v>
      </c>
      <c r="B120" s="231" t="s">
        <v>5653</v>
      </c>
      <c r="C120" s="231" t="s">
        <v>5785</v>
      </c>
      <c r="D120" s="231" t="s">
        <v>5786</v>
      </c>
      <c r="E120" s="231" t="s">
        <v>5784</v>
      </c>
      <c r="I120" s="245"/>
    </row>
    <row r="121" spans="1:9">
      <c r="A121" s="231" t="s">
        <v>5812</v>
      </c>
      <c r="B121" s="231" t="s">
        <v>5653</v>
      </c>
      <c r="C121" s="231" t="s">
        <v>5787</v>
      </c>
      <c r="D121" s="231" t="s">
        <v>5788</v>
      </c>
      <c r="E121" s="231" t="s">
        <v>5789</v>
      </c>
    </row>
    <row r="122" spans="1:9">
      <c r="A122" s="231" t="s">
        <v>5812</v>
      </c>
      <c r="B122" s="231" t="s">
        <v>5653</v>
      </c>
      <c r="C122" s="231" t="s">
        <v>5790</v>
      </c>
      <c r="D122" s="231" t="s">
        <v>5791</v>
      </c>
      <c r="E122" s="231" t="s">
        <v>5792</v>
      </c>
    </row>
    <row r="123" spans="1:9">
      <c r="A123" s="231" t="s">
        <v>5812</v>
      </c>
      <c r="B123" s="231" t="s">
        <v>5653</v>
      </c>
      <c r="C123" s="231" t="s">
        <v>5793</v>
      </c>
      <c r="D123" s="231" t="s">
        <v>5794</v>
      </c>
      <c r="E123" s="231" t="s">
        <v>5795</v>
      </c>
    </row>
    <row r="124" spans="1:9">
      <c r="A124" s="231" t="s">
        <v>5812</v>
      </c>
      <c r="B124" s="231" t="s">
        <v>5677</v>
      </c>
      <c r="C124" s="231" t="s">
        <v>5752</v>
      </c>
      <c r="D124" s="231" t="s">
        <v>5796</v>
      </c>
      <c r="E124" s="231" t="s">
        <v>5797</v>
      </c>
    </row>
    <row r="125" spans="1:9">
      <c r="A125" s="231" t="s">
        <v>5812</v>
      </c>
      <c r="B125" s="231" t="s">
        <v>5677</v>
      </c>
      <c r="C125" s="231" t="s">
        <v>5749</v>
      </c>
      <c r="D125" s="231" t="s">
        <v>5798</v>
      </c>
      <c r="E125" s="231" t="s">
        <v>5799</v>
      </c>
    </row>
    <row r="126" spans="1:9">
      <c r="A126" s="231" t="s">
        <v>5812</v>
      </c>
      <c r="B126" s="231" t="s">
        <v>5677</v>
      </c>
      <c r="C126" s="231" t="s">
        <v>5800</v>
      </c>
      <c r="D126" s="231" t="s">
        <v>5801</v>
      </c>
      <c r="E126" s="231" t="s">
        <v>5802</v>
      </c>
    </row>
    <row r="127" spans="1:9">
      <c r="A127" s="231" t="s">
        <v>5812</v>
      </c>
      <c r="B127" s="231" t="s">
        <v>5677</v>
      </c>
      <c r="C127" s="231" t="s">
        <v>5803</v>
      </c>
      <c r="D127" s="231" t="s">
        <v>5804</v>
      </c>
      <c r="E127" s="231" t="s">
        <v>5805</v>
      </c>
    </row>
    <row r="128" spans="1:9">
      <c r="A128" s="231" t="s">
        <v>5812</v>
      </c>
      <c r="B128" s="231" t="s">
        <v>5677</v>
      </c>
      <c r="C128" s="231" t="s">
        <v>5806</v>
      </c>
      <c r="D128" s="231" t="s">
        <v>5807</v>
      </c>
      <c r="E128" s="231" t="s">
        <v>5808</v>
      </c>
    </row>
    <row r="129" spans="1:5">
      <c r="A129" s="231" t="s">
        <v>5812</v>
      </c>
      <c r="B129" s="231" t="s">
        <v>5677</v>
      </c>
      <c r="C129" s="231" t="s">
        <v>5809</v>
      </c>
      <c r="D129" s="231" t="s">
        <v>5810</v>
      </c>
      <c r="E129" s="231" t="s">
        <v>5811</v>
      </c>
    </row>
    <row r="130" spans="1:5">
      <c r="A130" s="231" t="s">
        <v>5812</v>
      </c>
      <c r="B130" s="231" t="s">
        <v>5696</v>
      </c>
      <c r="C130" s="231" t="s">
        <v>5697</v>
      </c>
      <c r="D130" s="231" t="s">
        <v>5698</v>
      </c>
      <c r="E130" s="231" t="s">
        <v>5699</v>
      </c>
    </row>
    <row r="131" spans="1:5">
      <c r="A131" s="231" t="s">
        <v>5812</v>
      </c>
      <c r="B131" s="231" t="s">
        <v>5696</v>
      </c>
      <c r="C131" s="231" t="s">
        <v>5700</v>
      </c>
      <c r="D131" s="231" t="s">
        <v>5701</v>
      </c>
      <c r="E131" s="231" t="s">
        <v>5702</v>
      </c>
    </row>
    <row r="132" spans="1:5">
      <c r="A132" s="231" t="s">
        <v>5812</v>
      </c>
      <c r="B132" s="231" t="s">
        <v>5696</v>
      </c>
      <c r="C132" s="231" t="s">
        <v>5703</v>
      </c>
      <c r="D132" s="231" t="s">
        <v>5704</v>
      </c>
      <c r="E132" s="231" t="s">
        <v>5705</v>
      </c>
    </row>
    <row r="133" spans="1:5">
      <c r="A133" s="231" t="s">
        <v>5812</v>
      </c>
      <c r="B133" s="231" t="s">
        <v>5696</v>
      </c>
      <c r="C133" s="231" t="s">
        <v>5706</v>
      </c>
      <c r="D133" s="231" t="s">
        <v>5707</v>
      </c>
      <c r="E133" s="231" t="s">
        <v>5708</v>
      </c>
    </row>
    <row r="134" spans="1:5">
      <c r="A134" s="243" t="s">
        <v>5819</v>
      </c>
      <c r="B134" s="244" t="s">
        <v>5622</v>
      </c>
      <c r="C134" s="272" t="s">
        <v>5623</v>
      </c>
      <c r="D134" s="244" t="s">
        <v>5714</v>
      </c>
      <c r="E134" s="272" t="s">
        <v>5820</v>
      </c>
    </row>
    <row r="135" spans="1:5">
      <c r="A135" s="243" t="s">
        <v>5819</v>
      </c>
      <c r="B135" s="244" t="s">
        <v>5622</v>
      </c>
      <c r="C135" s="272" t="s">
        <v>5623</v>
      </c>
      <c r="D135" s="244" t="s">
        <v>5624</v>
      </c>
      <c r="E135" s="272" t="s">
        <v>5821</v>
      </c>
    </row>
    <row r="136" spans="1:5">
      <c r="A136" s="243" t="s">
        <v>5819</v>
      </c>
      <c r="B136" s="244" t="s">
        <v>5622</v>
      </c>
      <c r="C136" s="231" t="s">
        <v>5626</v>
      </c>
      <c r="D136" s="244" t="s">
        <v>5822</v>
      </c>
    </row>
    <row r="137" spans="1:5">
      <c r="A137" s="243" t="s">
        <v>5819</v>
      </c>
      <c r="B137" s="244" t="s">
        <v>5622</v>
      </c>
      <c r="C137" s="244" t="s">
        <v>5823</v>
      </c>
      <c r="D137" s="244" t="s">
        <v>5824</v>
      </c>
    </row>
    <row r="138" spans="1:5">
      <c r="A138" s="243" t="s">
        <v>5819</v>
      </c>
      <c r="B138" s="244" t="s">
        <v>5622</v>
      </c>
      <c r="C138" s="244" t="s">
        <v>5635</v>
      </c>
      <c r="D138" s="244" t="s">
        <v>5636</v>
      </c>
    </row>
    <row r="139" spans="1:5">
      <c r="A139" s="243" t="s">
        <v>5819</v>
      </c>
      <c r="B139" s="244" t="s">
        <v>5622</v>
      </c>
      <c r="C139" s="231" t="s">
        <v>5638</v>
      </c>
      <c r="D139" s="231" t="s">
        <v>5639</v>
      </c>
    </row>
    <row r="140" spans="1:5">
      <c r="A140" s="243" t="s">
        <v>5819</v>
      </c>
      <c r="B140" s="243" t="s">
        <v>5653</v>
      </c>
      <c r="C140" s="231" t="s">
        <v>5641</v>
      </c>
      <c r="D140" s="231" t="s">
        <v>5825</v>
      </c>
    </row>
    <row r="141" spans="1:5">
      <c r="A141" s="243" t="s">
        <v>5819</v>
      </c>
      <c r="B141" s="243" t="s">
        <v>5653</v>
      </c>
      <c r="C141" s="231" t="s">
        <v>5644</v>
      </c>
      <c r="D141" s="231" t="s">
        <v>5826</v>
      </c>
    </row>
    <row r="142" spans="1:5">
      <c r="A142" s="243" t="s">
        <v>5819</v>
      </c>
      <c r="B142" s="243" t="s">
        <v>5653</v>
      </c>
      <c r="C142" s="231" t="s">
        <v>5647</v>
      </c>
      <c r="D142" s="231" t="s">
        <v>5827</v>
      </c>
    </row>
    <row r="143" spans="1:5">
      <c r="A143" s="243" t="s">
        <v>5819</v>
      </c>
      <c r="B143" s="243" t="s">
        <v>5653</v>
      </c>
      <c r="C143" s="231" t="s">
        <v>5650</v>
      </c>
      <c r="D143" s="231" t="s">
        <v>5828</v>
      </c>
    </row>
    <row r="144" spans="1:5">
      <c r="A144" s="243" t="s">
        <v>5819</v>
      </c>
      <c r="B144" s="243" t="s">
        <v>5653</v>
      </c>
      <c r="C144" s="231" t="s">
        <v>5654</v>
      </c>
      <c r="D144" s="231" t="s">
        <v>5829</v>
      </c>
    </row>
    <row r="145" spans="1:4">
      <c r="A145" s="243" t="s">
        <v>5819</v>
      </c>
      <c r="B145" s="243" t="s">
        <v>5653</v>
      </c>
      <c r="C145" s="231" t="s">
        <v>5657</v>
      </c>
      <c r="D145" s="231" t="s">
        <v>5830</v>
      </c>
    </row>
    <row r="146" spans="1:4">
      <c r="A146" s="243" t="s">
        <v>5819</v>
      </c>
      <c r="B146" s="243" t="s">
        <v>5653</v>
      </c>
      <c r="C146" s="231" t="s">
        <v>5831</v>
      </c>
      <c r="D146" s="231" t="s">
        <v>5832</v>
      </c>
    </row>
    <row r="147" spans="1:4">
      <c r="A147" s="243" t="s">
        <v>5819</v>
      </c>
      <c r="B147" s="243" t="s">
        <v>5653</v>
      </c>
      <c r="C147" s="231" t="s">
        <v>5669</v>
      </c>
      <c r="D147" s="231" t="s">
        <v>5833</v>
      </c>
    </row>
    <row r="148" spans="1:4">
      <c r="A148" s="243" t="s">
        <v>5819</v>
      </c>
      <c r="B148" s="243" t="s">
        <v>5653</v>
      </c>
      <c r="C148" s="231" t="s">
        <v>5672</v>
      </c>
      <c r="D148" s="231" t="s">
        <v>5834</v>
      </c>
    </row>
    <row r="149" spans="1:4">
      <c r="A149" s="243" t="s">
        <v>5819</v>
      </c>
      <c r="B149" s="243" t="s">
        <v>5653</v>
      </c>
      <c r="C149" s="231" t="s">
        <v>5674</v>
      </c>
      <c r="D149" s="231" t="s">
        <v>5835</v>
      </c>
    </row>
    <row r="150" spans="1:4">
      <c r="A150" s="243" t="s">
        <v>5819</v>
      </c>
      <c r="B150" s="243" t="s">
        <v>5677</v>
      </c>
      <c r="C150" s="231" t="s">
        <v>5678</v>
      </c>
      <c r="D150" s="231" t="s">
        <v>5836</v>
      </c>
    </row>
    <row r="151" spans="1:4">
      <c r="A151" s="243" t="s">
        <v>5819</v>
      </c>
      <c r="B151" s="243" t="s">
        <v>5677</v>
      </c>
      <c r="C151" s="231" t="s">
        <v>5800</v>
      </c>
      <c r="D151" s="231" t="s">
        <v>5837</v>
      </c>
    </row>
    <row r="152" spans="1:4">
      <c r="A152" s="243" t="s">
        <v>5819</v>
      </c>
      <c r="B152" s="243" t="s">
        <v>5677</v>
      </c>
      <c r="C152" s="231" t="s">
        <v>5809</v>
      </c>
      <c r="D152" s="231" t="s">
        <v>5838</v>
      </c>
    </row>
    <row r="153" spans="1:4">
      <c r="A153" s="243" t="s">
        <v>5819</v>
      </c>
      <c r="B153" s="243" t="s">
        <v>5677</v>
      </c>
      <c r="C153" s="231" t="s">
        <v>5806</v>
      </c>
      <c r="D153" s="231" t="s">
        <v>5839</v>
      </c>
    </row>
    <row r="154" spans="1:4">
      <c r="A154" s="243" t="s">
        <v>5819</v>
      </c>
      <c r="B154" s="243" t="s">
        <v>5696</v>
      </c>
      <c r="C154" s="231" t="s">
        <v>5697</v>
      </c>
      <c r="D154" s="231" t="s">
        <v>5698</v>
      </c>
    </row>
    <row r="155" spans="1:4">
      <c r="A155" s="243" t="s">
        <v>5819</v>
      </c>
      <c r="B155" s="243" t="s">
        <v>5696</v>
      </c>
      <c r="C155" s="231" t="s">
        <v>5700</v>
      </c>
      <c r="D155" s="231" t="s">
        <v>5701</v>
      </c>
    </row>
    <row r="156" spans="1:4">
      <c r="A156" s="243" t="s">
        <v>5819</v>
      </c>
      <c r="B156" s="243" t="s">
        <v>5696</v>
      </c>
      <c r="C156" s="231" t="s">
        <v>5703</v>
      </c>
      <c r="D156" s="231" t="s">
        <v>5704</v>
      </c>
    </row>
    <row r="157" spans="1:4">
      <c r="A157" s="243" t="s">
        <v>5819</v>
      </c>
      <c r="B157" s="243" t="s">
        <v>5696</v>
      </c>
      <c r="C157" s="231" t="s">
        <v>5706</v>
      </c>
      <c r="D157" s="231" t="s">
        <v>5707</v>
      </c>
    </row>
    <row r="158" spans="1:4">
      <c r="A158" s="243" t="s">
        <v>5819</v>
      </c>
      <c r="B158" s="243" t="s">
        <v>5696</v>
      </c>
      <c r="C158" s="231" t="s">
        <v>5840</v>
      </c>
      <c r="D158" s="231" t="s">
        <v>5841</v>
      </c>
    </row>
    <row r="159" spans="1:4">
      <c r="A159" s="243" t="s">
        <v>5819</v>
      </c>
      <c r="B159" s="243" t="s">
        <v>5709</v>
      </c>
      <c r="C159" s="231" t="s">
        <v>5710</v>
      </c>
      <c r="D159" s="231" t="s">
        <v>5711</v>
      </c>
    </row>
  </sheetData>
  <phoneticPr fontId="45"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13"/>
  <dimension ref="A1:N285"/>
  <sheetViews>
    <sheetView zoomScale="85" zoomScaleNormal="85" workbookViewId="0">
      <pane ySplit="1" topLeftCell="A86" activePane="bottomLeft" state="frozen"/>
      <selection pane="bottomLeft" activeCell="C96" sqref="C96"/>
    </sheetView>
  </sheetViews>
  <sheetFormatPr defaultColWidth="10.59765625" defaultRowHeight="15.6"/>
  <cols>
    <col min="1" max="1" width="14.296875" style="144" customWidth="1"/>
    <col min="2" max="2" width="10.59765625" style="144" customWidth="1"/>
    <col min="3" max="3" width="13.19921875" style="145" bestFit="1" customWidth="1"/>
    <col min="4" max="4" width="13.19921875" style="145" customWidth="1"/>
    <col min="5" max="6" width="14.296875" style="144" customWidth="1"/>
    <col min="7" max="7" width="20.19921875" style="145" bestFit="1" customWidth="1"/>
    <col min="8" max="8" width="14.296875" style="144" customWidth="1"/>
    <col min="9" max="11" width="10.59765625" style="137" customWidth="1"/>
    <col min="12" max="12" width="14.296875" style="144" customWidth="1"/>
    <col min="13" max="13" width="14.19921875" style="137" bestFit="1" customWidth="1"/>
    <col min="14" max="350" width="10.59765625" style="137" customWidth="1"/>
    <col min="351" max="16384" width="10.59765625" style="137"/>
  </cols>
  <sheetData>
    <row r="1" spans="1:14" ht="25.05" customHeight="1">
      <c r="A1" s="136" t="s">
        <v>5842</v>
      </c>
      <c r="B1" s="136" t="s">
        <v>5843</v>
      </c>
      <c r="C1" s="136" t="s">
        <v>27</v>
      </c>
      <c r="D1" s="136"/>
      <c r="E1" s="136" t="s">
        <v>109</v>
      </c>
      <c r="F1" s="136" t="s">
        <v>5844</v>
      </c>
      <c r="G1" s="136" t="s">
        <v>5845</v>
      </c>
      <c r="H1" s="136" t="s">
        <v>5846</v>
      </c>
      <c r="I1" s="136" t="s">
        <v>5847</v>
      </c>
      <c r="J1" s="136" t="s">
        <v>4949</v>
      </c>
      <c r="K1" s="136" t="s">
        <v>5848</v>
      </c>
      <c r="L1" s="136" t="s">
        <v>140</v>
      </c>
      <c r="M1" s="136" t="s">
        <v>5849</v>
      </c>
    </row>
    <row r="2" spans="1:14" ht="22.95" customHeight="1">
      <c r="A2" s="138" t="s">
        <v>5850</v>
      </c>
      <c r="B2" s="138">
        <v>4259</v>
      </c>
      <c r="C2" s="139" t="s">
        <v>1713</v>
      </c>
      <c r="D2" s="139" t="str">
        <f t="shared" ref="D2:D65" si="0">C2&amp;E2</f>
        <v>八里水灣店1</v>
      </c>
      <c r="E2" s="138">
        <v>1</v>
      </c>
      <c r="F2" s="138" t="s">
        <v>5851</v>
      </c>
      <c r="G2" s="139" t="s">
        <v>5852</v>
      </c>
      <c r="H2" s="138" t="s">
        <v>5853</v>
      </c>
      <c r="I2" s="140" t="s">
        <v>5854</v>
      </c>
      <c r="J2" s="141" t="s">
        <v>5</v>
      </c>
      <c r="K2" s="142" t="s">
        <v>5855</v>
      </c>
      <c r="L2" s="138"/>
      <c r="M2" s="141"/>
      <c r="N2" s="177" t="s">
        <v>5856</v>
      </c>
    </row>
    <row r="3" spans="1:14" ht="22.95" customHeight="1">
      <c r="A3" s="138" t="s">
        <v>5857</v>
      </c>
      <c r="B3" s="138">
        <v>4259</v>
      </c>
      <c r="C3" s="139" t="s">
        <v>1713</v>
      </c>
      <c r="D3" s="139" t="str">
        <f t="shared" si="0"/>
        <v>八里水灣店2</v>
      </c>
      <c r="E3" s="138">
        <v>2</v>
      </c>
      <c r="F3" s="138" t="s">
        <v>5858</v>
      </c>
      <c r="G3" s="139" t="s">
        <v>5859</v>
      </c>
      <c r="H3" s="138" t="s">
        <v>5860</v>
      </c>
      <c r="I3" s="140" t="s">
        <v>5861</v>
      </c>
      <c r="J3" s="141" t="s">
        <v>5</v>
      </c>
      <c r="K3" s="142" t="s">
        <v>5855</v>
      </c>
      <c r="L3" s="138"/>
      <c r="M3" s="141"/>
      <c r="N3" s="177" t="s">
        <v>5856</v>
      </c>
    </row>
    <row r="4" spans="1:14" ht="22.95" customHeight="1">
      <c r="A4" s="138" t="s">
        <v>5862</v>
      </c>
      <c r="B4" s="138">
        <v>2306</v>
      </c>
      <c r="C4" s="139" t="s">
        <v>1709</v>
      </c>
      <c r="D4" s="139" t="str">
        <f t="shared" si="0"/>
        <v>八里凱旋門1</v>
      </c>
      <c r="E4" s="138">
        <v>1</v>
      </c>
      <c r="F4" s="138" t="s">
        <v>5863</v>
      </c>
      <c r="G4" s="139" t="s">
        <v>5864</v>
      </c>
      <c r="H4" s="138" t="s">
        <v>5853</v>
      </c>
      <c r="I4" s="140" t="s">
        <v>5861</v>
      </c>
      <c r="J4" s="141" t="s">
        <v>5</v>
      </c>
      <c r="K4" s="142" t="s">
        <v>5855</v>
      </c>
      <c r="L4" s="138"/>
      <c r="M4" s="141"/>
      <c r="N4" s="177" t="s">
        <v>5856</v>
      </c>
    </row>
    <row r="5" spans="1:14" ht="22.95" customHeight="1">
      <c r="A5" s="138" t="s">
        <v>5865</v>
      </c>
      <c r="B5" s="138">
        <v>2306</v>
      </c>
      <c r="C5" s="139" t="s">
        <v>1709</v>
      </c>
      <c r="D5" s="139" t="str">
        <f t="shared" si="0"/>
        <v>八里凱旋門2</v>
      </c>
      <c r="E5" s="138">
        <v>2</v>
      </c>
      <c r="F5" s="138" t="s">
        <v>5866</v>
      </c>
      <c r="G5" s="139" t="s">
        <v>5867</v>
      </c>
      <c r="H5" s="138" t="s">
        <v>5853</v>
      </c>
      <c r="I5" s="140" t="s">
        <v>5861</v>
      </c>
      <c r="J5" s="141" t="s">
        <v>5</v>
      </c>
      <c r="K5" s="142" t="s">
        <v>5855</v>
      </c>
      <c r="L5" s="138"/>
      <c r="M5" s="141"/>
      <c r="N5" s="177" t="s">
        <v>5856</v>
      </c>
    </row>
    <row r="6" spans="1:14" ht="22.95" customHeight="1">
      <c r="A6" s="138" t="s">
        <v>5868</v>
      </c>
      <c r="B6" s="138">
        <v>4243</v>
      </c>
      <c r="C6" s="139" t="s">
        <v>1722</v>
      </c>
      <c r="D6" s="139" t="str">
        <f t="shared" si="0"/>
        <v>八里聖心店1</v>
      </c>
      <c r="E6" s="138">
        <v>1</v>
      </c>
      <c r="F6" s="138" t="s">
        <v>5869</v>
      </c>
      <c r="G6" s="139" t="s">
        <v>5870</v>
      </c>
      <c r="H6" s="138" t="s">
        <v>5853</v>
      </c>
      <c r="I6" s="140" t="s">
        <v>5861</v>
      </c>
      <c r="J6" s="141" t="s">
        <v>5</v>
      </c>
      <c r="K6" s="142" t="s">
        <v>5855</v>
      </c>
      <c r="L6" s="138"/>
      <c r="M6" s="141"/>
      <c r="N6" s="177" t="s">
        <v>5856</v>
      </c>
    </row>
    <row r="7" spans="1:14" ht="22.95" customHeight="1">
      <c r="A7" s="138" t="s">
        <v>5871</v>
      </c>
      <c r="B7" s="138">
        <v>4243</v>
      </c>
      <c r="C7" s="139" t="s">
        <v>1722</v>
      </c>
      <c r="D7" s="139" t="str">
        <f t="shared" si="0"/>
        <v>八里聖心店2</v>
      </c>
      <c r="E7" s="138">
        <v>2</v>
      </c>
      <c r="F7" s="138" t="s">
        <v>5872</v>
      </c>
      <c r="G7" s="139" t="s">
        <v>5873</v>
      </c>
      <c r="H7" s="138" t="s">
        <v>5853</v>
      </c>
      <c r="I7" s="140" t="s">
        <v>5861</v>
      </c>
      <c r="J7" s="141" t="s">
        <v>5</v>
      </c>
      <c r="K7" s="142" t="s">
        <v>5855</v>
      </c>
      <c r="L7" s="138"/>
      <c r="M7" s="141"/>
      <c r="N7" s="177" t="s">
        <v>5856</v>
      </c>
    </row>
    <row r="8" spans="1:14" ht="22.95" customHeight="1">
      <c r="A8" s="138" t="s">
        <v>5874</v>
      </c>
      <c r="B8" s="138">
        <v>3458</v>
      </c>
      <c r="C8" s="139" t="s">
        <v>1726</v>
      </c>
      <c r="D8" s="139" t="str">
        <f t="shared" si="0"/>
        <v>八里龍米店2</v>
      </c>
      <c r="E8" s="138">
        <v>2</v>
      </c>
      <c r="F8" s="138" t="s">
        <v>5875</v>
      </c>
      <c r="G8" s="139" t="s">
        <v>5876</v>
      </c>
      <c r="H8" s="138" t="s">
        <v>5860</v>
      </c>
      <c r="I8" s="140" t="s">
        <v>5861</v>
      </c>
      <c r="J8" s="141" t="s">
        <v>5</v>
      </c>
      <c r="K8" s="142" t="s">
        <v>5855</v>
      </c>
      <c r="L8" s="138"/>
      <c r="M8" s="141"/>
      <c r="N8" s="177" t="s">
        <v>5856</v>
      </c>
    </row>
    <row r="9" spans="1:14" ht="22.95" customHeight="1">
      <c r="A9" s="138" t="s">
        <v>5877</v>
      </c>
      <c r="B9" s="138">
        <v>2442</v>
      </c>
      <c r="C9" s="139" t="s">
        <v>1076</v>
      </c>
      <c r="D9" s="139" t="str">
        <f t="shared" si="0"/>
        <v>北縣商港店1</v>
      </c>
      <c r="E9" s="138">
        <v>1</v>
      </c>
      <c r="F9" s="138" t="s">
        <v>5878</v>
      </c>
      <c r="G9" s="139" t="s">
        <v>5879</v>
      </c>
      <c r="H9" s="138" t="s">
        <v>5853</v>
      </c>
      <c r="I9" s="140" t="s">
        <v>5861</v>
      </c>
      <c r="J9" s="141" t="s">
        <v>5</v>
      </c>
      <c r="K9" s="142" t="s">
        <v>5855</v>
      </c>
      <c r="L9" s="138"/>
      <c r="M9" s="141"/>
      <c r="N9" s="177" t="s">
        <v>5856</v>
      </c>
    </row>
    <row r="10" spans="1:14" ht="22.95" customHeight="1">
      <c r="A10" s="138" t="s">
        <v>5880</v>
      </c>
      <c r="B10" s="138">
        <v>2442</v>
      </c>
      <c r="C10" s="139" t="s">
        <v>1076</v>
      </c>
      <c r="D10" s="139" t="str">
        <f t="shared" si="0"/>
        <v>北縣商港店2</v>
      </c>
      <c r="E10" s="138">
        <v>2</v>
      </c>
      <c r="F10" s="138" t="s">
        <v>5881</v>
      </c>
      <c r="G10" s="139" t="s">
        <v>5882</v>
      </c>
      <c r="H10" s="138" t="s">
        <v>5853</v>
      </c>
      <c r="I10" s="140" t="s">
        <v>5861</v>
      </c>
      <c r="J10" s="141" t="s">
        <v>5</v>
      </c>
      <c r="K10" s="142" t="s">
        <v>5855</v>
      </c>
      <c r="L10" s="138"/>
      <c r="M10" s="141"/>
      <c r="N10" s="177" t="s">
        <v>5856</v>
      </c>
    </row>
    <row r="11" spans="1:14" ht="22.95" customHeight="1">
      <c r="A11" s="138" t="s">
        <v>5883</v>
      </c>
      <c r="B11" s="138">
        <v>2237</v>
      </c>
      <c r="C11" s="139" t="s">
        <v>5884</v>
      </c>
      <c r="D11" s="139" t="str">
        <f t="shared" si="0"/>
        <v>北縣芝蘭店1</v>
      </c>
      <c r="E11" s="138">
        <v>1</v>
      </c>
      <c r="F11" s="138" t="s">
        <v>5885</v>
      </c>
      <c r="G11" s="139" t="s">
        <v>5886</v>
      </c>
      <c r="H11" s="138" t="s">
        <v>5853</v>
      </c>
      <c r="I11" s="140" t="s">
        <v>5861</v>
      </c>
      <c r="J11" s="141" t="s">
        <v>2</v>
      </c>
      <c r="K11" s="142" t="s">
        <v>5855</v>
      </c>
      <c r="L11" s="138"/>
      <c r="M11" s="141"/>
      <c r="N11" s="177" t="s">
        <v>5856</v>
      </c>
    </row>
    <row r="12" spans="1:14" ht="22.95" customHeight="1">
      <c r="A12" s="138" t="s">
        <v>5887</v>
      </c>
      <c r="B12" s="138">
        <v>2237</v>
      </c>
      <c r="C12" s="139" t="s">
        <v>5884</v>
      </c>
      <c r="D12" s="139" t="str">
        <f t="shared" si="0"/>
        <v>北縣芝蘭店2</v>
      </c>
      <c r="E12" s="138">
        <v>2</v>
      </c>
      <c r="F12" s="138" t="s">
        <v>5888</v>
      </c>
      <c r="G12" s="139" t="s">
        <v>5889</v>
      </c>
      <c r="H12" s="138" t="s">
        <v>5853</v>
      </c>
      <c r="I12" s="140" t="s">
        <v>5861</v>
      </c>
      <c r="J12" s="141" t="s">
        <v>2</v>
      </c>
      <c r="K12" s="142" t="s">
        <v>5855</v>
      </c>
      <c r="L12" s="138"/>
      <c r="M12" s="141"/>
      <c r="N12" s="177" t="s">
        <v>5856</v>
      </c>
    </row>
    <row r="13" spans="1:14" ht="22.95" customHeight="1">
      <c r="A13" s="138" t="s">
        <v>5890</v>
      </c>
      <c r="B13" s="138">
        <v>3359</v>
      </c>
      <c r="C13" s="139" t="s">
        <v>1730</v>
      </c>
      <c r="D13" s="139" t="str">
        <f t="shared" si="0"/>
        <v>三重金陵店1</v>
      </c>
      <c r="E13" s="138">
        <v>1</v>
      </c>
      <c r="F13" s="138" t="s">
        <v>5891</v>
      </c>
      <c r="G13" s="139" t="s">
        <v>5892</v>
      </c>
      <c r="H13" s="138" t="s">
        <v>5860</v>
      </c>
      <c r="I13" s="140" t="s">
        <v>5893</v>
      </c>
      <c r="J13" s="141" t="s">
        <v>7</v>
      </c>
      <c r="K13" s="142" t="s">
        <v>5855</v>
      </c>
      <c r="L13" s="138" t="s">
        <v>66</v>
      </c>
      <c r="M13" s="141"/>
      <c r="N13" s="177" t="s">
        <v>5856</v>
      </c>
    </row>
    <row r="14" spans="1:14" ht="22.95" customHeight="1">
      <c r="A14" s="138" t="s">
        <v>5894</v>
      </c>
      <c r="B14" s="138">
        <v>3359</v>
      </c>
      <c r="C14" s="139" t="s">
        <v>1730</v>
      </c>
      <c r="D14" s="139" t="str">
        <f t="shared" si="0"/>
        <v>三重金陵店2</v>
      </c>
      <c r="E14" s="138">
        <v>2</v>
      </c>
      <c r="F14" s="138" t="s">
        <v>5895</v>
      </c>
      <c r="G14" s="139" t="s">
        <v>5896</v>
      </c>
      <c r="H14" s="138" t="s">
        <v>5860</v>
      </c>
      <c r="I14" s="140" t="s">
        <v>5893</v>
      </c>
      <c r="J14" s="141" t="s">
        <v>7</v>
      </c>
      <c r="K14" s="142" t="s">
        <v>5855</v>
      </c>
      <c r="L14" s="138" t="s">
        <v>66</v>
      </c>
      <c r="M14" s="141"/>
      <c r="N14" s="177" t="s">
        <v>5856</v>
      </c>
    </row>
    <row r="15" spans="1:14" ht="22.95" customHeight="1">
      <c r="A15" s="138" t="s">
        <v>5897</v>
      </c>
      <c r="B15" s="138" t="s">
        <v>58</v>
      </c>
      <c r="C15" s="139" t="s">
        <v>831</v>
      </c>
      <c r="D15" s="139" t="str">
        <f t="shared" si="0"/>
        <v>三重三民店1</v>
      </c>
      <c r="E15" s="138">
        <v>1</v>
      </c>
      <c r="F15" s="138" t="s">
        <v>5898</v>
      </c>
      <c r="G15" s="139" t="s">
        <v>5899</v>
      </c>
      <c r="H15" s="138" t="s">
        <v>5853</v>
      </c>
      <c r="I15" s="140" t="s">
        <v>5861</v>
      </c>
      <c r="J15" s="141" t="s">
        <v>7</v>
      </c>
      <c r="K15" s="142" t="s">
        <v>5855</v>
      </c>
      <c r="L15" s="138"/>
      <c r="M15" s="141"/>
      <c r="N15" s="177" t="s">
        <v>5856</v>
      </c>
    </row>
    <row r="16" spans="1:14" ht="22.95" customHeight="1">
      <c r="A16" s="138" t="s">
        <v>5900</v>
      </c>
      <c r="B16" s="138" t="s">
        <v>58</v>
      </c>
      <c r="C16" s="139" t="s">
        <v>831</v>
      </c>
      <c r="D16" s="139" t="str">
        <f t="shared" si="0"/>
        <v>三重三民店2</v>
      </c>
      <c r="E16" s="138">
        <v>2</v>
      </c>
      <c r="F16" s="138" t="s">
        <v>5901</v>
      </c>
      <c r="G16" s="139" t="s">
        <v>5902</v>
      </c>
      <c r="H16" s="138" t="s">
        <v>5903</v>
      </c>
      <c r="I16" s="140" t="s">
        <v>5854</v>
      </c>
      <c r="J16" s="141" t="s">
        <v>7</v>
      </c>
      <c r="K16" s="142" t="s">
        <v>5855</v>
      </c>
      <c r="L16" s="138"/>
      <c r="M16" s="141"/>
      <c r="N16" s="177" t="s">
        <v>5856</v>
      </c>
    </row>
    <row r="17" spans="1:14" ht="22.95" customHeight="1">
      <c r="A17" s="138" t="s">
        <v>5904</v>
      </c>
      <c r="B17" s="138">
        <v>2303</v>
      </c>
      <c r="C17" s="139" t="s">
        <v>1597</v>
      </c>
      <c r="D17" s="139" t="str">
        <f t="shared" si="0"/>
        <v>三重三和夜市1</v>
      </c>
      <c r="E17" s="138">
        <v>1</v>
      </c>
      <c r="F17" s="138" t="s">
        <v>5905</v>
      </c>
      <c r="G17" s="139" t="s">
        <v>5906</v>
      </c>
      <c r="H17" s="138" t="s">
        <v>5853</v>
      </c>
      <c r="I17" s="140" t="s">
        <v>5893</v>
      </c>
      <c r="J17" s="141" t="s">
        <v>7</v>
      </c>
      <c r="K17" s="142" t="s">
        <v>5855</v>
      </c>
      <c r="L17" s="138"/>
      <c r="M17" s="141"/>
      <c r="N17" s="177" t="s">
        <v>5856</v>
      </c>
    </row>
    <row r="18" spans="1:14" ht="22.95" customHeight="1">
      <c r="A18" s="138" t="s">
        <v>5907</v>
      </c>
      <c r="B18" s="138">
        <v>2303</v>
      </c>
      <c r="C18" s="139" t="s">
        <v>1597</v>
      </c>
      <c r="D18" s="139" t="str">
        <f t="shared" si="0"/>
        <v>三重三和夜市2</v>
      </c>
      <c r="E18" s="138">
        <v>2</v>
      </c>
      <c r="F18" s="138" t="s">
        <v>5908</v>
      </c>
      <c r="G18" s="139" t="s">
        <v>5909</v>
      </c>
      <c r="H18" s="138" t="s">
        <v>5853</v>
      </c>
      <c r="I18" s="140" t="s">
        <v>5893</v>
      </c>
      <c r="J18" s="141" t="s">
        <v>7</v>
      </c>
      <c r="K18" s="142" t="s">
        <v>5855</v>
      </c>
      <c r="L18" s="138"/>
      <c r="M18" s="141"/>
      <c r="N18" s="177" t="s">
        <v>5856</v>
      </c>
    </row>
    <row r="19" spans="1:14" ht="22.95" customHeight="1">
      <c r="A19" s="138" t="s">
        <v>5910</v>
      </c>
      <c r="B19" s="138">
        <v>2543</v>
      </c>
      <c r="C19" s="139" t="s">
        <v>1843</v>
      </c>
      <c r="D19" s="139" t="str">
        <f t="shared" si="0"/>
        <v>三重大仁店1</v>
      </c>
      <c r="E19" s="138">
        <v>1</v>
      </c>
      <c r="F19" s="138" t="s">
        <v>5911</v>
      </c>
      <c r="G19" s="139" t="s">
        <v>5912</v>
      </c>
      <c r="H19" s="138" t="s">
        <v>5853</v>
      </c>
      <c r="I19" s="140" t="s">
        <v>5861</v>
      </c>
      <c r="J19" s="141" t="s">
        <v>7</v>
      </c>
      <c r="K19" s="142" t="s">
        <v>5855</v>
      </c>
      <c r="L19" s="138"/>
      <c r="M19" s="141"/>
      <c r="N19" s="177" t="s">
        <v>5856</v>
      </c>
    </row>
    <row r="20" spans="1:14" ht="22.95" customHeight="1">
      <c r="A20" s="138" t="s">
        <v>5913</v>
      </c>
      <c r="B20" s="138">
        <v>2543</v>
      </c>
      <c r="C20" s="139" t="s">
        <v>1843</v>
      </c>
      <c r="D20" s="139" t="str">
        <f t="shared" si="0"/>
        <v>三重大仁店2</v>
      </c>
      <c r="E20" s="138">
        <v>2</v>
      </c>
      <c r="F20" s="138" t="s">
        <v>5914</v>
      </c>
      <c r="G20" s="139" t="s">
        <v>5915</v>
      </c>
      <c r="H20" s="138" t="s">
        <v>5853</v>
      </c>
      <c r="I20" s="140" t="s">
        <v>5861</v>
      </c>
      <c r="J20" s="141" t="s">
        <v>7</v>
      </c>
      <c r="K20" s="142" t="s">
        <v>5855</v>
      </c>
      <c r="L20" s="138"/>
      <c r="M20" s="141"/>
      <c r="N20" s="177" t="s">
        <v>5856</v>
      </c>
    </row>
    <row r="21" spans="1:14" ht="22.95" customHeight="1">
      <c r="A21" s="138" t="s">
        <v>5916</v>
      </c>
      <c r="B21" s="138">
        <v>4134</v>
      </c>
      <c r="C21" s="139" t="s">
        <v>662</v>
      </c>
      <c r="D21" s="139" t="str">
        <f t="shared" si="0"/>
        <v>三重大同南1</v>
      </c>
      <c r="E21" s="138">
        <v>1</v>
      </c>
      <c r="F21" s="138" t="s">
        <v>5917</v>
      </c>
      <c r="G21" s="139" t="s">
        <v>5918</v>
      </c>
      <c r="H21" s="138" t="s">
        <v>5860</v>
      </c>
      <c r="I21" s="140" t="s">
        <v>5861</v>
      </c>
      <c r="J21" s="141" t="s">
        <v>7</v>
      </c>
      <c r="K21" s="142" t="s">
        <v>5855</v>
      </c>
      <c r="L21" s="138"/>
      <c r="M21" s="141"/>
      <c r="N21" s="177" t="s">
        <v>5856</v>
      </c>
    </row>
    <row r="22" spans="1:14" ht="22.95" customHeight="1">
      <c r="A22" s="138" t="s">
        <v>5919</v>
      </c>
      <c r="B22" s="138">
        <v>4134</v>
      </c>
      <c r="C22" s="139" t="s">
        <v>662</v>
      </c>
      <c r="D22" s="139" t="str">
        <f t="shared" si="0"/>
        <v>三重大同南2</v>
      </c>
      <c r="E22" s="138">
        <v>2</v>
      </c>
      <c r="F22" s="138" t="s">
        <v>5920</v>
      </c>
      <c r="G22" s="139" t="s">
        <v>5921</v>
      </c>
      <c r="H22" s="138" t="s">
        <v>5860</v>
      </c>
      <c r="I22" s="140" t="s">
        <v>5861</v>
      </c>
      <c r="J22" s="141" t="s">
        <v>7</v>
      </c>
      <c r="K22" s="142" t="s">
        <v>5855</v>
      </c>
      <c r="L22" s="138"/>
      <c r="M22" s="141"/>
      <c r="N22" s="177" t="s">
        <v>5856</v>
      </c>
    </row>
    <row r="23" spans="1:14" ht="22.95" customHeight="1">
      <c r="A23" s="138" t="s">
        <v>5922</v>
      </c>
      <c r="B23" s="138" t="s">
        <v>57</v>
      </c>
      <c r="C23" s="139" t="s">
        <v>366</v>
      </c>
      <c r="D23" s="139" t="str">
        <f t="shared" si="0"/>
        <v>三重大有店1</v>
      </c>
      <c r="E23" s="138">
        <v>1</v>
      </c>
      <c r="F23" s="138" t="s">
        <v>5923</v>
      </c>
      <c r="G23" s="139" t="s">
        <v>5924</v>
      </c>
      <c r="H23" s="138" t="s">
        <v>5860</v>
      </c>
      <c r="I23" s="140" t="s">
        <v>5861</v>
      </c>
      <c r="J23" s="141" t="s">
        <v>7</v>
      </c>
      <c r="K23" s="142" t="s">
        <v>5855</v>
      </c>
      <c r="L23" s="138"/>
      <c r="M23" s="141"/>
      <c r="N23" s="177" t="s">
        <v>5856</v>
      </c>
    </row>
    <row r="24" spans="1:14" ht="22.95" customHeight="1">
      <c r="A24" s="138" t="s">
        <v>5925</v>
      </c>
      <c r="B24" s="138" t="s">
        <v>57</v>
      </c>
      <c r="C24" s="139" t="s">
        <v>366</v>
      </c>
      <c r="D24" s="139" t="str">
        <f t="shared" si="0"/>
        <v>三重大有店2</v>
      </c>
      <c r="E24" s="138">
        <v>2</v>
      </c>
      <c r="F24" s="138" t="s">
        <v>5926</v>
      </c>
      <c r="G24" s="139" t="s">
        <v>5927</v>
      </c>
      <c r="H24" s="138" t="s">
        <v>5860</v>
      </c>
      <c r="I24" s="140" t="s">
        <v>5854</v>
      </c>
      <c r="J24" s="141" t="s">
        <v>7</v>
      </c>
      <c r="K24" s="142" t="s">
        <v>5855</v>
      </c>
      <c r="L24" s="138"/>
      <c r="M24" s="141"/>
      <c r="N24" s="177" t="s">
        <v>5856</v>
      </c>
    </row>
    <row r="25" spans="1:14" ht="22.95" customHeight="1">
      <c r="A25" s="138" t="s">
        <v>5928</v>
      </c>
      <c r="B25" s="138">
        <v>4560</v>
      </c>
      <c r="C25" s="139" t="s">
        <v>1558</v>
      </c>
      <c r="D25" s="139" t="str">
        <f t="shared" si="0"/>
        <v>三重大院店1</v>
      </c>
      <c r="E25" s="138">
        <v>1</v>
      </c>
      <c r="F25" s="138" t="s">
        <v>5929</v>
      </c>
      <c r="G25" s="139" t="s">
        <v>5930</v>
      </c>
      <c r="H25" s="138" t="s">
        <v>5860</v>
      </c>
      <c r="I25" s="140" t="s">
        <v>5854</v>
      </c>
      <c r="J25" s="141" t="s">
        <v>7</v>
      </c>
      <c r="K25" s="142" t="s">
        <v>5855</v>
      </c>
      <c r="L25" s="138"/>
      <c r="M25" s="141"/>
      <c r="N25" s="177" t="s">
        <v>5856</v>
      </c>
    </row>
    <row r="26" spans="1:14" ht="22.95" customHeight="1">
      <c r="A26" s="138" t="s">
        <v>5931</v>
      </c>
      <c r="B26" s="138">
        <v>4560</v>
      </c>
      <c r="C26" s="139" t="s">
        <v>1558</v>
      </c>
      <c r="D26" s="139" t="str">
        <f t="shared" si="0"/>
        <v>三重大院店2</v>
      </c>
      <c r="E26" s="138">
        <v>2</v>
      </c>
      <c r="F26" s="138" t="s">
        <v>5932</v>
      </c>
      <c r="G26" s="139" t="s">
        <v>5933</v>
      </c>
      <c r="H26" s="138" t="s">
        <v>5860</v>
      </c>
      <c r="I26" s="140" t="s">
        <v>5861</v>
      </c>
      <c r="J26" s="141" t="s">
        <v>7</v>
      </c>
      <c r="K26" s="142" t="s">
        <v>5855</v>
      </c>
      <c r="L26" s="138"/>
      <c r="M26" s="141"/>
      <c r="N26" s="177" t="s">
        <v>5856</v>
      </c>
    </row>
    <row r="27" spans="1:14" ht="22.95" customHeight="1">
      <c r="A27" s="138" t="s">
        <v>5934</v>
      </c>
      <c r="B27" s="138">
        <v>2619</v>
      </c>
      <c r="C27" s="139" t="s">
        <v>245</v>
      </c>
      <c r="D27" s="139" t="str">
        <f t="shared" si="0"/>
        <v>三重大榮店1</v>
      </c>
      <c r="E27" s="138">
        <v>1</v>
      </c>
      <c r="F27" s="138" t="s">
        <v>5935</v>
      </c>
      <c r="G27" s="139" t="s">
        <v>5936</v>
      </c>
      <c r="H27" s="138" t="s">
        <v>5853</v>
      </c>
      <c r="I27" s="140" t="s">
        <v>5861</v>
      </c>
      <c r="J27" s="141" t="s">
        <v>7</v>
      </c>
      <c r="K27" s="142" t="s">
        <v>5855</v>
      </c>
      <c r="L27" s="138"/>
      <c r="M27" s="141"/>
      <c r="N27" s="177" t="s">
        <v>5856</v>
      </c>
    </row>
    <row r="28" spans="1:14" ht="22.95" customHeight="1">
      <c r="A28" s="138" t="s">
        <v>5937</v>
      </c>
      <c r="B28" s="138">
        <v>2619</v>
      </c>
      <c r="C28" s="139" t="s">
        <v>245</v>
      </c>
      <c r="D28" s="139" t="str">
        <f t="shared" si="0"/>
        <v>三重大榮店2</v>
      </c>
      <c r="E28" s="138">
        <v>2</v>
      </c>
      <c r="F28" s="138" t="s">
        <v>5938</v>
      </c>
      <c r="G28" s="139" t="s">
        <v>5939</v>
      </c>
      <c r="H28" s="138" t="s">
        <v>5860</v>
      </c>
      <c r="I28" s="140" t="s">
        <v>5861</v>
      </c>
      <c r="J28" s="141" t="s">
        <v>7</v>
      </c>
      <c r="K28" s="142" t="s">
        <v>5855</v>
      </c>
      <c r="L28" s="138"/>
      <c r="M28" s="141"/>
      <c r="N28" s="177" t="s">
        <v>5856</v>
      </c>
    </row>
    <row r="29" spans="1:14" ht="22.95" customHeight="1">
      <c r="A29" s="138" t="s">
        <v>5940</v>
      </c>
      <c r="B29" s="138">
        <v>2042</v>
      </c>
      <c r="C29" s="139" t="s">
        <v>1570</v>
      </c>
      <c r="D29" s="139" t="str">
        <f t="shared" si="0"/>
        <v>三重中央北店1</v>
      </c>
      <c r="E29" s="138">
        <v>1</v>
      </c>
      <c r="F29" s="138" t="s">
        <v>5941</v>
      </c>
      <c r="G29" s="139" t="s">
        <v>5942</v>
      </c>
      <c r="H29" s="138" t="s">
        <v>5853</v>
      </c>
      <c r="I29" s="140" t="s">
        <v>5861</v>
      </c>
      <c r="J29" s="141" t="s">
        <v>7</v>
      </c>
      <c r="K29" s="142" t="s">
        <v>5855</v>
      </c>
      <c r="L29" s="138"/>
      <c r="M29" s="141"/>
      <c r="N29" s="177" t="s">
        <v>5856</v>
      </c>
    </row>
    <row r="30" spans="1:14" ht="22.95" customHeight="1">
      <c r="A30" s="138" t="s">
        <v>5943</v>
      </c>
      <c r="B30" s="138">
        <v>2042</v>
      </c>
      <c r="C30" s="139" t="s">
        <v>1570</v>
      </c>
      <c r="D30" s="139" t="str">
        <f t="shared" si="0"/>
        <v>三重中央北店2</v>
      </c>
      <c r="E30" s="138">
        <v>2</v>
      </c>
      <c r="F30" s="138" t="s">
        <v>5944</v>
      </c>
      <c r="G30" s="139" t="s">
        <v>5945</v>
      </c>
      <c r="H30" s="138" t="s">
        <v>5853</v>
      </c>
      <c r="I30" s="140" t="s">
        <v>5854</v>
      </c>
      <c r="J30" s="141" t="s">
        <v>7</v>
      </c>
      <c r="K30" s="142" t="s">
        <v>5855</v>
      </c>
      <c r="L30" s="138"/>
      <c r="M30" s="141"/>
      <c r="N30" s="177" t="s">
        <v>5856</v>
      </c>
    </row>
    <row r="31" spans="1:14" ht="22.95" customHeight="1">
      <c r="A31" s="138" t="s">
        <v>5946</v>
      </c>
      <c r="B31" s="138">
        <v>4083</v>
      </c>
      <c r="C31" s="139" t="s">
        <v>182</v>
      </c>
      <c r="D31" s="139" t="str">
        <f t="shared" si="0"/>
        <v>三重中央南1</v>
      </c>
      <c r="E31" s="138">
        <v>1</v>
      </c>
      <c r="F31" s="138" t="s">
        <v>5947</v>
      </c>
      <c r="G31" s="139" t="s">
        <v>5948</v>
      </c>
      <c r="H31" s="138" t="s">
        <v>5903</v>
      </c>
      <c r="I31" s="140" t="s">
        <v>5861</v>
      </c>
      <c r="J31" s="141" t="s">
        <v>7</v>
      </c>
      <c r="K31" s="142" t="s">
        <v>5855</v>
      </c>
      <c r="L31" s="138"/>
      <c r="M31" s="141"/>
      <c r="N31" s="177" t="s">
        <v>5856</v>
      </c>
    </row>
    <row r="32" spans="1:14" ht="22.95" customHeight="1">
      <c r="A32" s="138" t="s">
        <v>5949</v>
      </c>
      <c r="B32" s="138">
        <v>4083</v>
      </c>
      <c r="C32" s="139" t="s">
        <v>182</v>
      </c>
      <c r="D32" s="139" t="str">
        <f t="shared" si="0"/>
        <v>三重中央南2</v>
      </c>
      <c r="E32" s="138">
        <v>2</v>
      </c>
      <c r="F32" s="138" t="s">
        <v>5950</v>
      </c>
      <c r="G32" s="139" t="s">
        <v>5951</v>
      </c>
      <c r="H32" s="138" t="s">
        <v>5903</v>
      </c>
      <c r="I32" s="140" t="s">
        <v>5861</v>
      </c>
      <c r="J32" s="141" t="s">
        <v>7</v>
      </c>
      <c r="K32" s="142" t="s">
        <v>5855</v>
      </c>
      <c r="L32" s="138"/>
      <c r="M32" s="141"/>
      <c r="N32" s="177" t="s">
        <v>5856</v>
      </c>
    </row>
    <row r="33" spans="1:14" ht="22.95" customHeight="1">
      <c r="A33" s="138" t="s">
        <v>5952</v>
      </c>
      <c r="B33" s="138">
        <v>2014</v>
      </c>
      <c r="C33" s="139" t="s">
        <v>5953</v>
      </c>
      <c r="D33" s="139" t="str">
        <f t="shared" si="0"/>
        <v>三重中陽二店1</v>
      </c>
      <c r="E33" s="138">
        <v>1</v>
      </c>
      <c r="F33" s="138" t="s">
        <v>5954</v>
      </c>
      <c r="G33" s="139" t="s">
        <v>5955</v>
      </c>
      <c r="H33" s="138" t="s">
        <v>5853</v>
      </c>
      <c r="I33" s="140" t="s">
        <v>5854</v>
      </c>
      <c r="J33" s="141" t="s">
        <v>7</v>
      </c>
      <c r="K33" s="142" t="s">
        <v>5855</v>
      </c>
      <c r="L33" s="138"/>
      <c r="M33" s="141"/>
      <c r="N33" s="177" t="s">
        <v>5856</v>
      </c>
    </row>
    <row r="34" spans="1:14" ht="22.95" customHeight="1">
      <c r="A34" s="138" t="s">
        <v>5956</v>
      </c>
      <c r="B34" s="138">
        <v>2014</v>
      </c>
      <c r="C34" s="139" t="s">
        <v>5953</v>
      </c>
      <c r="D34" s="139" t="str">
        <f t="shared" si="0"/>
        <v>三重中陽二店2</v>
      </c>
      <c r="E34" s="138">
        <v>2</v>
      </c>
      <c r="F34" s="138" t="s">
        <v>5957</v>
      </c>
      <c r="G34" s="139" t="s">
        <v>5958</v>
      </c>
      <c r="H34" s="138" t="s">
        <v>5853</v>
      </c>
      <c r="I34" s="140" t="s">
        <v>5893</v>
      </c>
      <c r="J34" s="141" t="s">
        <v>7</v>
      </c>
      <c r="K34" s="142" t="s">
        <v>5855</v>
      </c>
      <c r="L34" s="138"/>
      <c r="M34" s="141"/>
      <c r="N34" s="177" t="s">
        <v>5856</v>
      </c>
    </row>
    <row r="35" spans="1:14" ht="22.95" customHeight="1">
      <c r="A35" s="138" t="s">
        <v>5959</v>
      </c>
      <c r="B35" s="138" t="s">
        <v>65</v>
      </c>
      <c r="C35" s="139" t="s">
        <v>797</v>
      </c>
      <c r="D35" s="139" t="str">
        <f t="shared" si="0"/>
        <v>三重中興北2</v>
      </c>
      <c r="E35" s="138">
        <v>2</v>
      </c>
      <c r="F35" s="138" t="s">
        <v>5960</v>
      </c>
      <c r="G35" s="139" t="s">
        <v>5961</v>
      </c>
      <c r="H35" s="138" t="s">
        <v>5860</v>
      </c>
      <c r="I35" s="140" t="s">
        <v>5861</v>
      </c>
      <c r="J35" s="141" t="s">
        <v>7</v>
      </c>
      <c r="K35" s="142" t="s">
        <v>5855</v>
      </c>
      <c r="L35" s="138"/>
      <c r="M35" s="141"/>
      <c r="N35" s="177" t="s">
        <v>5856</v>
      </c>
    </row>
    <row r="36" spans="1:14" ht="22.95" customHeight="1">
      <c r="A36" s="138" t="s">
        <v>5962</v>
      </c>
      <c r="B36" s="138" t="s">
        <v>59</v>
      </c>
      <c r="C36" s="139" t="s">
        <v>1296</v>
      </c>
      <c r="D36" s="139" t="str">
        <f t="shared" si="0"/>
        <v>三重中興北二1</v>
      </c>
      <c r="E36" s="138">
        <v>1</v>
      </c>
      <c r="F36" s="138" t="s">
        <v>5963</v>
      </c>
      <c r="G36" s="139" t="s">
        <v>5964</v>
      </c>
      <c r="H36" s="138" t="s">
        <v>5860</v>
      </c>
      <c r="I36" s="140" t="s">
        <v>5893</v>
      </c>
      <c r="J36" s="141" t="s">
        <v>7</v>
      </c>
      <c r="K36" s="142" t="s">
        <v>5855</v>
      </c>
      <c r="L36" s="138"/>
      <c r="M36" s="141"/>
      <c r="N36" s="177" t="s">
        <v>5856</v>
      </c>
    </row>
    <row r="37" spans="1:14" ht="22.95" customHeight="1">
      <c r="A37" s="138" t="s">
        <v>5965</v>
      </c>
      <c r="B37" s="138" t="s">
        <v>59</v>
      </c>
      <c r="C37" s="139" t="s">
        <v>1296</v>
      </c>
      <c r="D37" s="139" t="str">
        <f t="shared" si="0"/>
        <v>三重中興北二2</v>
      </c>
      <c r="E37" s="138">
        <v>2</v>
      </c>
      <c r="F37" s="138" t="s">
        <v>5966</v>
      </c>
      <c r="G37" s="139" t="s">
        <v>5967</v>
      </c>
      <c r="H37" s="138" t="s">
        <v>5860</v>
      </c>
      <c r="I37" s="140" t="s">
        <v>5893</v>
      </c>
      <c r="J37" s="141" t="s">
        <v>7</v>
      </c>
      <c r="K37" s="142" t="s">
        <v>5855</v>
      </c>
      <c r="L37" s="138"/>
      <c r="M37" s="141"/>
      <c r="N37" s="177" t="s">
        <v>5856</v>
      </c>
    </row>
    <row r="38" spans="1:14" ht="22.95" customHeight="1">
      <c r="A38" s="138" t="s">
        <v>5968</v>
      </c>
      <c r="B38" s="138">
        <v>2759</v>
      </c>
      <c r="C38" s="139" t="s">
        <v>2197</v>
      </c>
      <c r="D38" s="139" t="str">
        <f t="shared" si="0"/>
        <v>三重仁化店1</v>
      </c>
      <c r="E38" s="138">
        <v>1</v>
      </c>
      <c r="F38" s="138" t="s">
        <v>5969</v>
      </c>
      <c r="G38" s="139" t="s">
        <v>5970</v>
      </c>
      <c r="H38" s="138" t="s">
        <v>5860</v>
      </c>
      <c r="I38" s="140" t="s">
        <v>5861</v>
      </c>
      <c r="J38" s="141" t="s">
        <v>7</v>
      </c>
      <c r="K38" s="142" t="s">
        <v>5855</v>
      </c>
      <c r="L38" s="138"/>
      <c r="M38" s="141"/>
      <c r="N38" s="177" t="s">
        <v>5856</v>
      </c>
    </row>
    <row r="39" spans="1:14" ht="22.95" customHeight="1">
      <c r="A39" s="138" t="s">
        <v>5971</v>
      </c>
      <c r="B39" s="138">
        <v>2759</v>
      </c>
      <c r="C39" s="139" t="s">
        <v>2197</v>
      </c>
      <c r="D39" s="139" t="str">
        <f t="shared" si="0"/>
        <v>三重仁化店2</v>
      </c>
      <c r="E39" s="138">
        <v>2</v>
      </c>
      <c r="F39" s="138" t="s">
        <v>5972</v>
      </c>
      <c r="G39" s="139" t="s">
        <v>5973</v>
      </c>
      <c r="H39" s="138" t="s">
        <v>5860</v>
      </c>
      <c r="I39" s="140" t="s">
        <v>5861</v>
      </c>
      <c r="J39" s="141" t="s">
        <v>7</v>
      </c>
      <c r="K39" s="142" t="s">
        <v>5855</v>
      </c>
      <c r="L39" s="138"/>
      <c r="M39" s="141"/>
      <c r="N39" s="177" t="s">
        <v>5856</v>
      </c>
    </row>
    <row r="40" spans="1:14" ht="22.95" customHeight="1">
      <c r="A40" s="138" t="s">
        <v>5974</v>
      </c>
      <c r="B40" s="138">
        <v>4397</v>
      </c>
      <c r="C40" s="139" t="s">
        <v>682</v>
      </c>
      <c r="D40" s="139" t="str">
        <f t="shared" si="0"/>
        <v>三重仁旺店1</v>
      </c>
      <c r="E40" s="138">
        <v>1</v>
      </c>
      <c r="F40" s="138" t="s">
        <v>5975</v>
      </c>
      <c r="G40" s="139" t="s">
        <v>5976</v>
      </c>
      <c r="H40" s="138" t="s">
        <v>5853</v>
      </c>
      <c r="I40" s="140" t="s">
        <v>5861</v>
      </c>
      <c r="J40" s="141" t="s">
        <v>7</v>
      </c>
      <c r="K40" s="142" t="s">
        <v>5855</v>
      </c>
      <c r="L40" s="138"/>
      <c r="M40" s="141"/>
      <c r="N40" s="177" t="s">
        <v>5856</v>
      </c>
    </row>
    <row r="41" spans="1:14" ht="22.95" customHeight="1">
      <c r="A41" s="138" t="s">
        <v>5977</v>
      </c>
      <c r="B41" s="138">
        <v>4397</v>
      </c>
      <c r="C41" s="139" t="s">
        <v>682</v>
      </c>
      <c r="D41" s="139" t="str">
        <f t="shared" si="0"/>
        <v>三重仁旺店2</v>
      </c>
      <c r="E41" s="138">
        <v>2</v>
      </c>
      <c r="F41" s="138" t="s">
        <v>5978</v>
      </c>
      <c r="G41" s="139" t="s">
        <v>5979</v>
      </c>
      <c r="H41" s="138" t="s">
        <v>5853</v>
      </c>
      <c r="I41" s="140" t="s">
        <v>5861</v>
      </c>
      <c r="J41" s="141" t="s">
        <v>7</v>
      </c>
      <c r="K41" s="142" t="s">
        <v>5855</v>
      </c>
      <c r="L41" s="138"/>
      <c r="M41" s="141"/>
      <c r="N41" s="177" t="s">
        <v>5856</v>
      </c>
    </row>
    <row r="42" spans="1:14" ht="22.95" customHeight="1">
      <c r="A42" s="138" t="s">
        <v>5980</v>
      </c>
      <c r="B42" s="138">
        <v>4098</v>
      </c>
      <c r="C42" s="139" t="s">
        <v>2136</v>
      </c>
      <c r="D42" s="139" t="str">
        <f t="shared" si="0"/>
        <v>三重仁美店1</v>
      </c>
      <c r="E42" s="138">
        <v>1</v>
      </c>
      <c r="F42" s="138" t="s">
        <v>5981</v>
      </c>
      <c r="G42" s="139" t="s">
        <v>5982</v>
      </c>
      <c r="H42" s="138" t="s">
        <v>5860</v>
      </c>
      <c r="I42" s="140" t="s">
        <v>5861</v>
      </c>
      <c r="J42" s="141" t="s">
        <v>7</v>
      </c>
      <c r="K42" s="142" t="s">
        <v>5855</v>
      </c>
      <c r="L42" s="138"/>
      <c r="M42" s="141"/>
      <c r="N42" s="177" t="s">
        <v>5856</v>
      </c>
    </row>
    <row r="43" spans="1:14" ht="22.95" customHeight="1">
      <c r="A43" s="138" t="s">
        <v>5983</v>
      </c>
      <c r="B43" s="138">
        <v>4241</v>
      </c>
      <c r="C43" s="139" t="s">
        <v>694</v>
      </c>
      <c r="D43" s="139" t="str">
        <f t="shared" si="0"/>
        <v>三重仁義店1</v>
      </c>
      <c r="E43" s="138">
        <v>1</v>
      </c>
      <c r="F43" s="138" t="s">
        <v>5984</v>
      </c>
      <c r="G43" s="139" t="s">
        <v>5985</v>
      </c>
      <c r="H43" s="138" t="s">
        <v>5860</v>
      </c>
      <c r="I43" s="140" t="s">
        <v>5861</v>
      </c>
      <c r="J43" s="141" t="s">
        <v>7</v>
      </c>
      <c r="K43" s="142" t="s">
        <v>5855</v>
      </c>
      <c r="L43" s="138"/>
      <c r="M43" s="141"/>
      <c r="N43" s="177" t="s">
        <v>5856</v>
      </c>
    </row>
    <row r="44" spans="1:14" ht="22.95" customHeight="1">
      <c r="A44" s="138" t="s">
        <v>5986</v>
      </c>
      <c r="B44" s="138">
        <v>4241</v>
      </c>
      <c r="C44" s="139" t="s">
        <v>694</v>
      </c>
      <c r="D44" s="139" t="str">
        <f t="shared" si="0"/>
        <v>三重仁義店2</v>
      </c>
      <c r="E44" s="138">
        <v>2</v>
      </c>
      <c r="F44" s="138" t="s">
        <v>5987</v>
      </c>
      <c r="G44" s="139" t="s">
        <v>5988</v>
      </c>
      <c r="H44" s="138" t="s">
        <v>5860</v>
      </c>
      <c r="I44" s="140" t="s">
        <v>5861</v>
      </c>
      <c r="J44" s="141" t="s">
        <v>7</v>
      </c>
      <c r="K44" s="142" t="s">
        <v>5855</v>
      </c>
      <c r="L44" s="138"/>
      <c r="M44" s="141"/>
      <c r="N44" s="177" t="s">
        <v>5856</v>
      </c>
    </row>
    <row r="45" spans="1:14" ht="22.95" customHeight="1">
      <c r="A45" s="138" t="s">
        <v>5989</v>
      </c>
      <c r="B45" s="138">
        <v>4184</v>
      </c>
      <c r="C45" s="139" t="s">
        <v>1809</v>
      </c>
      <c r="D45" s="139" t="str">
        <f t="shared" si="0"/>
        <v>三重今大店1</v>
      </c>
      <c r="E45" s="138">
        <v>1</v>
      </c>
      <c r="F45" s="138" t="s">
        <v>5990</v>
      </c>
      <c r="G45" s="139" t="s">
        <v>5991</v>
      </c>
      <c r="H45" s="138" t="s">
        <v>5903</v>
      </c>
      <c r="I45" s="140" t="s">
        <v>5893</v>
      </c>
      <c r="J45" s="141" t="s">
        <v>7</v>
      </c>
      <c r="K45" s="142" t="s">
        <v>5855</v>
      </c>
      <c r="L45" s="138"/>
      <c r="M45" s="141"/>
      <c r="N45" s="177" t="s">
        <v>5856</v>
      </c>
    </row>
    <row r="46" spans="1:14" ht="22.95" customHeight="1">
      <c r="A46" s="138" t="s">
        <v>5992</v>
      </c>
      <c r="B46" s="138">
        <v>4352</v>
      </c>
      <c r="C46" s="139" t="s">
        <v>690</v>
      </c>
      <c r="D46" s="139" t="str">
        <f t="shared" si="0"/>
        <v>三重公園店1</v>
      </c>
      <c r="E46" s="138">
        <v>1</v>
      </c>
      <c r="F46" s="138" t="s">
        <v>5993</v>
      </c>
      <c r="G46" s="139" t="s">
        <v>5994</v>
      </c>
      <c r="H46" s="138" t="s">
        <v>5860</v>
      </c>
      <c r="I46" s="140" t="s">
        <v>5861</v>
      </c>
      <c r="J46" s="141" t="s">
        <v>7</v>
      </c>
      <c r="K46" s="142" t="s">
        <v>5855</v>
      </c>
      <c r="L46" s="138"/>
      <c r="M46" s="141"/>
      <c r="N46" s="177" t="s">
        <v>5856</v>
      </c>
    </row>
    <row r="47" spans="1:14" ht="22.95" customHeight="1">
      <c r="A47" s="138" t="s">
        <v>5995</v>
      </c>
      <c r="B47" s="138">
        <v>4352</v>
      </c>
      <c r="C47" s="139" t="s">
        <v>690</v>
      </c>
      <c r="D47" s="139" t="str">
        <f t="shared" si="0"/>
        <v>三重公園店2</v>
      </c>
      <c r="E47" s="138">
        <v>2</v>
      </c>
      <c r="F47" s="138" t="s">
        <v>5996</v>
      </c>
      <c r="G47" s="139" t="s">
        <v>5997</v>
      </c>
      <c r="H47" s="138" t="s">
        <v>5860</v>
      </c>
      <c r="I47" s="140" t="s">
        <v>5861</v>
      </c>
      <c r="J47" s="141" t="s">
        <v>7</v>
      </c>
      <c r="K47" s="142" t="s">
        <v>5855</v>
      </c>
      <c r="L47" s="138"/>
      <c r="M47" s="141"/>
      <c r="N47" s="177" t="s">
        <v>5856</v>
      </c>
    </row>
    <row r="48" spans="1:14" ht="22.95" customHeight="1">
      <c r="A48" s="138" t="s">
        <v>5998</v>
      </c>
      <c r="B48" s="138">
        <v>4968</v>
      </c>
      <c r="C48" s="139" t="s">
        <v>849</v>
      </c>
      <c r="D48" s="139" t="str">
        <f t="shared" si="0"/>
        <v>三重太璞宮1</v>
      </c>
      <c r="E48" s="138">
        <v>1</v>
      </c>
      <c r="F48" s="138" t="s">
        <v>5999</v>
      </c>
      <c r="G48" s="139" t="s">
        <v>6000</v>
      </c>
      <c r="H48" s="138" t="s">
        <v>5903</v>
      </c>
      <c r="I48" s="140" t="s">
        <v>6001</v>
      </c>
      <c r="J48" s="141" t="s">
        <v>7</v>
      </c>
      <c r="K48" s="142" t="s">
        <v>5855</v>
      </c>
      <c r="L48" s="138"/>
      <c r="M48" s="141"/>
      <c r="N48" s="177" t="s">
        <v>5856</v>
      </c>
    </row>
    <row r="49" spans="1:14" ht="22.95" customHeight="1">
      <c r="A49" s="138" t="s">
        <v>6002</v>
      </c>
      <c r="B49" s="138">
        <v>4312</v>
      </c>
      <c r="C49" s="139" t="s">
        <v>901</v>
      </c>
      <c r="D49" s="139" t="str">
        <f t="shared" si="0"/>
        <v>三重文化北1</v>
      </c>
      <c r="E49" s="138">
        <v>1</v>
      </c>
      <c r="F49" s="138" t="s">
        <v>6003</v>
      </c>
      <c r="G49" s="139" t="s">
        <v>6004</v>
      </c>
      <c r="H49" s="138" t="s">
        <v>5903</v>
      </c>
      <c r="I49" s="140" t="s">
        <v>5861</v>
      </c>
      <c r="J49" s="141" t="s">
        <v>7</v>
      </c>
      <c r="K49" s="142" t="s">
        <v>5855</v>
      </c>
      <c r="L49" s="138"/>
      <c r="M49" s="141"/>
      <c r="N49" s="177" t="s">
        <v>5856</v>
      </c>
    </row>
    <row r="50" spans="1:14" ht="22.95" customHeight="1">
      <c r="A50" s="138" t="s">
        <v>6005</v>
      </c>
      <c r="B50" s="138">
        <v>4312</v>
      </c>
      <c r="C50" s="139" t="s">
        <v>901</v>
      </c>
      <c r="D50" s="139" t="str">
        <f t="shared" si="0"/>
        <v>三重文化北2</v>
      </c>
      <c r="E50" s="138">
        <v>2</v>
      </c>
      <c r="F50" s="138" t="s">
        <v>6006</v>
      </c>
      <c r="G50" s="139" t="s">
        <v>6007</v>
      </c>
      <c r="H50" s="138" t="s">
        <v>5903</v>
      </c>
      <c r="I50" s="140" t="s">
        <v>5861</v>
      </c>
      <c r="J50" s="141" t="s">
        <v>7</v>
      </c>
      <c r="K50" s="142" t="s">
        <v>5855</v>
      </c>
      <c r="L50" s="138"/>
      <c r="M50" s="141"/>
      <c r="N50" s="177" t="s">
        <v>5856</v>
      </c>
    </row>
    <row r="51" spans="1:14" ht="22.95" customHeight="1">
      <c r="A51" s="138" t="s">
        <v>6008</v>
      </c>
      <c r="B51" s="138" t="s">
        <v>62</v>
      </c>
      <c r="C51" s="139" t="s">
        <v>1545</v>
      </c>
      <c r="D51" s="139" t="str">
        <f t="shared" si="0"/>
        <v>三重正義北店1</v>
      </c>
      <c r="E51" s="138">
        <v>1</v>
      </c>
      <c r="F51" s="138" t="s">
        <v>6009</v>
      </c>
      <c r="G51" s="139" t="s">
        <v>6010</v>
      </c>
      <c r="H51" s="138" t="s">
        <v>5853</v>
      </c>
      <c r="I51" s="140" t="s">
        <v>5854</v>
      </c>
      <c r="J51" s="141" t="s">
        <v>7</v>
      </c>
      <c r="K51" s="142" t="s">
        <v>5855</v>
      </c>
      <c r="L51" s="138"/>
      <c r="M51" s="141"/>
      <c r="N51" s="177" t="s">
        <v>5856</v>
      </c>
    </row>
    <row r="52" spans="1:14" ht="22.95" customHeight="1">
      <c r="A52" s="138" t="s">
        <v>6011</v>
      </c>
      <c r="B52" s="138">
        <v>2349</v>
      </c>
      <c r="C52" s="139" t="s">
        <v>521</v>
      </c>
      <c r="D52" s="139" t="str">
        <f t="shared" si="0"/>
        <v>三重永福店1</v>
      </c>
      <c r="E52" s="138">
        <v>1</v>
      </c>
      <c r="F52" s="138" t="s">
        <v>6012</v>
      </c>
      <c r="G52" s="139" t="s">
        <v>6013</v>
      </c>
      <c r="H52" s="138" t="s">
        <v>5853</v>
      </c>
      <c r="I52" s="140" t="s">
        <v>5893</v>
      </c>
      <c r="J52" s="141" t="s">
        <v>7</v>
      </c>
      <c r="K52" s="142" t="s">
        <v>5855</v>
      </c>
      <c r="L52" s="138"/>
      <c r="M52" s="141"/>
      <c r="N52" s="177" t="s">
        <v>5856</v>
      </c>
    </row>
    <row r="53" spans="1:14" ht="22.95" customHeight="1">
      <c r="A53" s="138" t="s">
        <v>6014</v>
      </c>
      <c r="B53" s="138">
        <v>2349</v>
      </c>
      <c r="C53" s="139" t="s">
        <v>521</v>
      </c>
      <c r="D53" s="139" t="str">
        <f t="shared" si="0"/>
        <v>三重永福店2</v>
      </c>
      <c r="E53" s="138">
        <v>2</v>
      </c>
      <c r="F53" s="138" t="s">
        <v>6015</v>
      </c>
      <c r="G53" s="139" t="s">
        <v>6016</v>
      </c>
      <c r="H53" s="138" t="s">
        <v>5853</v>
      </c>
      <c r="I53" s="140" t="s">
        <v>5893</v>
      </c>
      <c r="J53" s="141" t="s">
        <v>7</v>
      </c>
      <c r="K53" s="142" t="s">
        <v>5855</v>
      </c>
      <c r="L53" s="138"/>
      <c r="M53" s="141"/>
      <c r="N53" s="177" t="s">
        <v>5856</v>
      </c>
    </row>
    <row r="54" spans="1:14" ht="22.95" customHeight="1">
      <c r="A54" s="138" t="s">
        <v>6017</v>
      </c>
      <c r="B54" s="138">
        <v>3676</v>
      </c>
      <c r="C54" s="139" t="s">
        <v>839</v>
      </c>
      <c r="D54" s="139" t="str">
        <f t="shared" si="0"/>
        <v>三重田心店1</v>
      </c>
      <c r="E54" s="138">
        <v>1</v>
      </c>
      <c r="F54" s="138" t="s">
        <v>6018</v>
      </c>
      <c r="G54" s="143" t="s">
        <v>6019</v>
      </c>
      <c r="H54" s="138" t="s">
        <v>5860</v>
      </c>
      <c r="I54" s="140" t="s">
        <v>5861</v>
      </c>
      <c r="J54" s="141" t="s">
        <v>7</v>
      </c>
      <c r="K54" s="142" t="s">
        <v>5855</v>
      </c>
      <c r="L54" s="138"/>
      <c r="M54" s="141"/>
      <c r="N54" s="177" t="s">
        <v>5856</v>
      </c>
    </row>
    <row r="55" spans="1:14" ht="22.95" customHeight="1">
      <c r="A55" s="138" t="s">
        <v>6020</v>
      </c>
      <c r="B55" s="138">
        <v>3676</v>
      </c>
      <c r="C55" s="139" t="s">
        <v>839</v>
      </c>
      <c r="D55" s="139" t="str">
        <f t="shared" si="0"/>
        <v>三重田心店2</v>
      </c>
      <c r="E55" s="138">
        <v>2</v>
      </c>
      <c r="F55" s="138" t="s">
        <v>6021</v>
      </c>
      <c r="G55" s="139" t="s">
        <v>6022</v>
      </c>
      <c r="H55" s="138" t="s">
        <v>5860</v>
      </c>
      <c r="I55" s="140" t="s">
        <v>5854</v>
      </c>
      <c r="J55" s="141" t="s">
        <v>7</v>
      </c>
      <c r="K55" s="142" t="s">
        <v>5855</v>
      </c>
      <c r="L55" s="138"/>
      <c r="M55" s="141"/>
      <c r="N55" s="177" t="s">
        <v>5856</v>
      </c>
    </row>
    <row r="56" spans="1:14" ht="22.95" customHeight="1">
      <c r="A56" s="138" t="s">
        <v>6023</v>
      </c>
      <c r="B56" s="138">
        <v>4539</v>
      </c>
      <c r="C56" s="139" t="s">
        <v>1830</v>
      </c>
      <c r="D56" s="139" t="str">
        <f t="shared" si="0"/>
        <v>三重自信店1</v>
      </c>
      <c r="E56" s="138">
        <v>1</v>
      </c>
      <c r="F56" s="138" t="s">
        <v>6024</v>
      </c>
      <c r="G56" s="139" t="s">
        <v>6025</v>
      </c>
      <c r="H56" s="138" t="s">
        <v>5860</v>
      </c>
      <c r="I56" s="140" t="s">
        <v>5861</v>
      </c>
      <c r="J56" s="141" t="s">
        <v>7</v>
      </c>
      <c r="K56" s="142" t="s">
        <v>5855</v>
      </c>
      <c r="L56" s="138"/>
      <c r="M56" s="141"/>
      <c r="N56" s="177" t="s">
        <v>5856</v>
      </c>
    </row>
    <row r="57" spans="1:14" ht="22.95" customHeight="1">
      <c r="A57" s="138" t="s">
        <v>6026</v>
      </c>
      <c r="B57" s="138">
        <v>4539</v>
      </c>
      <c r="C57" s="139" t="s">
        <v>1830</v>
      </c>
      <c r="D57" s="139" t="str">
        <f t="shared" si="0"/>
        <v>三重自信店2</v>
      </c>
      <c r="E57" s="138">
        <v>2</v>
      </c>
      <c r="F57" s="138" t="s">
        <v>6027</v>
      </c>
      <c r="G57" s="139" t="s">
        <v>6028</v>
      </c>
      <c r="H57" s="138" t="s">
        <v>5860</v>
      </c>
      <c r="I57" s="140" t="s">
        <v>5861</v>
      </c>
      <c r="J57" s="141" t="s">
        <v>7</v>
      </c>
      <c r="K57" s="142" t="s">
        <v>5855</v>
      </c>
      <c r="L57" s="138"/>
      <c r="M57" s="141"/>
      <c r="N57" s="177" t="s">
        <v>5856</v>
      </c>
    </row>
    <row r="58" spans="1:14" ht="22.95" customHeight="1">
      <c r="A58" s="138" t="s">
        <v>6029</v>
      </c>
      <c r="B58" s="138">
        <v>3623</v>
      </c>
      <c r="C58" s="139" t="s">
        <v>186</v>
      </c>
      <c r="D58" s="139" t="str">
        <f t="shared" si="0"/>
        <v>三重自強店1</v>
      </c>
      <c r="E58" s="138">
        <v>1</v>
      </c>
      <c r="F58" s="138" t="s">
        <v>6030</v>
      </c>
      <c r="G58" s="139" t="s">
        <v>6031</v>
      </c>
      <c r="H58" s="138" t="s">
        <v>5860</v>
      </c>
      <c r="I58" s="140" t="s">
        <v>5861</v>
      </c>
      <c r="J58" s="141" t="s">
        <v>7</v>
      </c>
      <c r="K58" s="142" t="s">
        <v>5855</v>
      </c>
      <c r="L58" s="138"/>
      <c r="M58" s="141"/>
      <c r="N58" s="177" t="s">
        <v>5856</v>
      </c>
    </row>
    <row r="59" spans="1:14" ht="22.95" customHeight="1">
      <c r="A59" s="138" t="s">
        <v>6032</v>
      </c>
      <c r="B59" s="138">
        <v>3623</v>
      </c>
      <c r="C59" s="139" t="s">
        <v>186</v>
      </c>
      <c r="D59" s="139" t="str">
        <f t="shared" si="0"/>
        <v>三重自強店2</v>
      </c>
      <c r="E59" s="138">
        <v>2</v>
      </c>
      <c r="F59" s="138" t="s">
        <v>6033</v>
      </c>
      <c r="G59" s="139" t="s">
        <v>6034</v>
      </c>
      <c r="H59" s="138" t="s">
        <v>5860</v>
      </c>
      <c r="I59" s="140" t="s">
        <v>5861</v>
      </c>
      <c r="J59" s="141" t="s">
        <v>7</v>
      </c>
      <c r="K59" s="142" t="s">
        <v>5855</v>
      </c>
      <c r="L59" s="138"/>
      <c r="M59" s="141"/>
      <c r="N59" s="177" t="s">
        <v>5856</v>
      </c>
    </row>
    <row r="60" spans="1:14" ht="22.95" customHeight="1">
      <c r="A60" s="138" t="s">
        <v>6035</v>
      </c>
      <c r="B60" s="138" t="s">
        <v>63</v>
      </c>
      <c r="C60" s="139" t="s">
        <v>195</v>
      </c>
      <c r="D60" s="139" t="str">
        <f t="shared" si="0"/>
        <v>三重車路頭1</v>
      </c>
      <c r="E60" s="138">
        <v>1</v>
      </c>
      <c r="F60" s="138" t="s">
        <v>6036</v>
      </c>
      <c r="G60" s="139" t="s">
        <v>6037</v>
      </c>
      <c r="H60" s="138" t="s">
        <v>5860</v>
      </c>
      <c r="I60" s="140" t="s">
        <v>5861</v>
      </c>
      <c r="J60" s="141" t="s">
        <v>7</v>
      </c>
      <c r="K60" s="142" t="s">
        <v>5855</v>
      </c>
      <c r="L60" s="138"/>
      <c r="M60" s="141"/>
      <c r="N60" s="177" t="s">
        <v>5856</v>
      </c>
    </row>
    <row r="61" spans="1:14" ht="22.95" customHeight="1">
      <c r="A61" s="138" t="s">
        <v>6038</v>
      </c>
      <c r="B61" s="138">
        <v>4977</v>
      </c>
      <c r="C61" s="139" t="s">
        <v>1736</v>
      </c>
      <c r="D61" s="139" t="str">
        <f t="shared" si="0"/>
        <v>三重初戀店1</v>
      </c>
      <c r="E61" s="138">
        <v>1</v>
      </c>
      <c r="F61" s="138" t="s">
        <v>6039</v>
      </c>
      <c r="G61" s="139" t="s">
        <v>6040</v>
      </c>
      <c r="H61" s="138" t="s">
        <v>5860</v>
      </c>
      <c r="I61" s="140" t="s">
        <v>5861</v>
      </c>
      <c r="J61" s="141" t="s">
        <v>7</v>
      </c>
      <c r="K61" s="142" t="s">
        <v>5855</v>
      </c>
      <c r="L61" s="138"/>
      <c r="M61" s="141"/>
      <c r="N61" s="177" t="s">
        <v>5856</v>
      </c>
    </row>
    <row r="62" spans="1:14" ht="22.95" customHeight="1">
      <c r="A62" s="138" t="s">
        <v>6041</v>
      </c>
      <c r="B62" s="138">
        <v>4977</v>
      </c>
      <c r="C62" s="139" t="s">
        <v>1736</v>
      </c>
      <c r="D62" s="139" t="str">
        <f t="shared" si="0"/>
        <v>三重初戀店2</v>
      </c>
      <c r="E62" s="138">
        <v>2</v>
      </c>
      <c r="F62" s="138" t="s">
        <v>6042</v>
      </c>
      <c r="G62" s="139" t="s">
        <v>6043</v>
      </c>
      <c r="H62" s="138" t="s">
        <v>5860</v>
      </c>
      <c r="I62" s="140" t="s">
        <v>5861</v>
      </c>
      <c r="J62" s="141" t="s">
        <v>7</v>
      </c>
      <c r="K62" s="142" t="s">
        <v>5855</v>
      </c>
      <c r="L62" s="138"/>
      <c r="M62" s="141"/>
      <c r="N62" s="177" t="s">
        <v>5856</v>
      </c>
    </row>
    <row r="63" spans="1:14" ht="22.95" customHeight="1">
      <c r="A63" s="138" t="s">
        <v>6044</v>
      </c>
      <c r="B63" s="138">
        <v>2935</v>
      </c>
      <c r="C63" s="139" t="s">
        <v>1562</v>
      </c>
      <c r="D63" s="139" t="str">
        <f t="shared" si="0"/>
        <v>三重夜市口1</v>
      </c>
      <c r="E63" s="138">
        <v>1</v>
      </c>
      <c r="F63" s="138" t="s">
        <v>6045</v>
      </c>
      <c r="G63" s="139" t="s">
        <v>6046</v>
      </c>
      <c r="H63" s="138" t="s">
        <v>5860</v>
      </c>
      <c r="I63" s="140" t="s">
        <v>5861</v>
      </c>
      <c r="J63" s="141" t="s">
        <v>7</v>
      </c>
      <c r="K63" s="142" t="s">
        <v>5855</v>
      </c>
      <c r="L63" s="138"/>
      <c r="M63" s="141"/>
      <c r="N63" s="177" t="s">
        <v>5856</v>
      </c>
    </row>
    <row r="64" spans="1:14" ht="22.95" customHeight="1">
      <c r="A64" s="138" t="s">
        <v>6047</v>
      </c>
      <c r="B64" s="138">
        <v>2935</v>
      </c>
      <c r="C64" s="139" t="s">
        <v>1562</v>
      </c>
      <c r="D64" s="139" t="str">
        <f t="shared" si="0"/>
        <v>三重夜市口2</v>
      </c>
      <c r="E64" s="138">
        <v>2</v>
      </c>
      <c r="F64" s="138" t="s">
        <v>6048</v>
      </c>
      <c r="G64" s="139" t="s">
        <v>6049</v>
      </c>
      <c r="H64" s="138" t="s">
        <v>5860</v>
      </c>
      <c r="I64" s="140" t="s">
        <v>5854</v>
      </c>
      <c r="J64" s="141" t="s">
        <v>7</v>
      </c>
      <c r="K64" s="142" t="s">
        <v>5855</v>
      </c>
      <c r="L64" s="138"/>
      <c r="M64" s="141"/>
      <c r="N64" s="177" t="s">
        <v>5856</v>
      </c>
    </row>
    <row r="65" spans="1:14" ht="22.95" customHeight="1">
      <c r="A65" s="138" t="s">
        <v>6050</v>
      </c>
      <c r="B65" s="138">
        <v>4084</v>
      </c>
      <c r="C65" s="139" t="s">
        <v>654</v>
      </c>
      <c r="D65" s="139" t="str">
        <f t="shared" si="0"/>
        <v>三重昌隆店1</v>
      </c>
      <c r="E65" s="138">
        <v>1</v>
      </c>
      <c r="F65" s="138" t="s">
        <v>6051</v>
      </c>
      <c r="G65" s="139" t="s">
        <v>6052</v>
      </c>
      <c r="H65" s="138" t="s">
        <v>5860</v>
      </c>
      <c r="I65" s="140" t="s">
        <v>5893</v>
      </c>
      <c r="J65" s="141" t="s">
        <v>7</v>
      </c>
      <c r="K65" s="142" t="s">
        <v>5855</v>
      </c>
      <c r="L65" s="138"/>
      <c r="M65" s="141"/>
      <c r="N65" s="177" t="s">
        <v>5856</v>
      </c>
    </row>
    <row r="66" spans="1:14" ht="22.95" customHeight="1">
      <c r="A66" s="138" t="s">
        <v>6053</v>
      </c>
      <c r="B66" s="138">
        <v>4084</v>
      </c>
      <c r="C66" s="139" t="s">
        <v>654</v>
      </c>
      <c r="D66" s="139" t="str">
        <f t="shared" ref="D66:D129" si="1">C66&amp;E66</f>
        <v>三重昌隆店2</v>
      </c>
      <c r="E66" s="138">
        <v>2</v>
      </c>
      <c r="F66" s="138" t="s">
        <v>6054</v>
      </c>
      <c r="G66" s="139" t="s">
        <v>6055</v>
      </c>
      <c r="H66" s="138" t="s">
        <v>5860</v>
      </c>
      <c r="I66" s="140" t="s">
        <v>5893</v>
      </c>
      <c r="J66" s="141" t="s">
        <v>7</v>
      </c>
      <c r="K66" s="142" t="s">
        <v>5855</v>
      </c>
      <c r="L66" s="138"/>
      <c r="M66" s="141"/>
      <c r="N66" s="177" t="s">
        <v>5856</v>
      </c>
    </row>
    <row r="67" spans="1:14" ht="22.95" customHeight="1">
      <c r="A67" s="138" t="s">
        <v>6056</v>
      </c>
      <c r="B67" s="138">
        <v>3983</v>
      </c>
      <c r="C67" s="139" t="s">
        <v>674</v>
      </c>
      <c r="D67" s="139" t="str">
        <f t="shared" si="1"/>
        <v>三重星光店1</v>
      </c>
      <c r="E67" s="138">
        <v>1</v>
      </c>
      <c r="F67" s="138" t="s">
        <v>6057</v>
      </c>
      <c r="G67" s="139" t="s">
        <v>6058</v>
      </c>
      <c r="H67" s="138" t="s">
        <v>5860</v>
      </c>
      <c r="I67" s="140" t="s">
        <v>5861</v>
      </c>
      <c r="J67" s="141" t="s">
        <v>7</v>
      </c>
      <c r="K67" s="142" t="s">
        <v>5855</v>
      </c>
      <c r="L67" s="138"/>
      <c r="M67" s="141"/>
      <c r="N67" s="177" t="s">
        <v>5856</v>
      </c>
    </row>
    <row r="68" spans="1:14" ht="22.95" customHeight="1">
      <c r="A68" s="138" t="s">
        <v>6059</v>
      </c>
      <c r="B68" s="138">
        <v>3890</v>
      </c>
      <c r="C68" s="139" t="s">
        <v>821</v>
      </c>
      <c r="D68" s="139" t="str">
        <f t="shared" si="1"/>
        <v>三重美堤店1</v>
      </c>
      <c r="E68" s="138">
        <v>1</v>
      </c>
      <c r="F68" s="138" t="s">
        <v>6060</v>
      </c>
      <c r="G68" s="139" t="s">
        <v>6061</v>
      </c>
      <c r="H68" s="138" t="s">
        <v>5860</v>
      </c>
      <c r="I68" s="140" t="s">
        <v>6062</v>
      </c>
      <c r="J68" s="141" t="s">
        <v>7</v>
      </c>
      <c r="K68" s="142" t="s">
        <v>5855</v>
      </c>
      <c r="L68" s="138"/>
      <c r="M68" s="141"/>
      <c r="N68" s="177" t="s">
        <v>5856</v>
      </c>
    </row>
    <row r="69" spans="1:14" ht="22.95" customHeight="1">
      <c r="A69" s="138" t="s">
        <v>6063</v>
      </c>
      <c r="B69" s="138">
        <v>3890</v>
      </c>
      <c r="C69" s="139" t="s">
        <v>821</v>
      </c>
      <c r="D69" s="139" t="str">
        <f t="shared" si="1"/>
        <v>三重美堤店2</v>
      </c>
      <c r="E69" s="138">
        <v>2</v>
      </c>
      <c r="F69" s="138" t="s">
        <v>6064</v>
      </c>
      <c r="G69" s="139" t="s">
        <v>6065</v>
      </c>
      <c r="H69" s="138" t="s">
        <v>5860</v>
      </c>
      <c r="I69" s="140" t="s">
        <v>6062</v>
      </c>
      <c r="J69" s="141" t="s">
        <v>7</v>
      </c>
      <c r="K69" s="142" t="s">
        <v>5855</v>
      </c>
      <c r="L69" s="138"/>
      <c r="M69" s="141"/>
      <c r="N69" s="177" t="s">
        <v>5856</v>
      </c>
    </row>
    <row r="70" spans="1:14" ht="22.95" customHeight="1">
      <c r="A70" s="138" t="s">
        <v>6066</v>
      </c>
      <c r="B70" s="138">
        <v>4260</v>
      </c>
      <c r="C70" s="139" t="s">
        <v>6067</v>
      </c>
      <c r="D70" s="139" t="str">
        <f t="shared" si="1"/>
        <v>三重重高店1</v>
      </c>
      <c r="E70" s="138">
        <v>1</v>
      </c>
      <c r="F70" s="138" t="s">
        <v>6068</v>
      </c>
      <c r="G70" s="139" t="s">
        <v>6069</v>
      </c>
      <c r="H70" s="138" t="s">
        <v>5860</v>
      </c>
      <c r="I70" s="140" t="s">
        <v>5861</v>
      </c>
      <c r="J70" s="141" t="s">
        <v>7</v>
      </c>
      <c r="K70" s="142" t="s">
        <v>5855</v>
      </c>
      <c r="L70" s="138"/>
      <c r="M70" s="141"/>
      <c r="N70" s="177" t="s">
        <v>5856</v>
      </c>
    </row>
    <row r="71" spans="1:14" ht="22.95" customHeight="1">
      <c r="A71" s="138" t="s">
        <v>6070</v>
      </c>
      <c r="B71" s="138">
        <v>4260</v>
      </c>
      <c r="C71" s="139" t="s">
        <v>6067</v>
      </c>
      <c r="D71" s="139" t="str">
        <f t="shared" si="1"/>
        <v>三重重高店2</v>
      </c>
      <c r="E71" s="138">
        <v>2</v>
      </c>
      <c r="F71" s="138" t="s">
        <v>6071</v>
      </c>
      <c r="G71" s="139" t="s">
        <v>6072</v>
      </c>
      <c r="H71" s="138" t="s">
        <v>5860</v>
      </c>
      <c r="I71" s="140" t="s">
        <v>5861</v>
      </c>
      <c r="J71" s="141" t="s">
        <v>7</v>
      </c>
      <c r="K71" s="142" t="s">
        <v>5855</v>
      </c>
      <c r="L71" s="138"/>
      <c r="M71" s="141"/>
      <c r="N71" s="177" t="s">
        <v>5856</v>
      </c>
    </row>
    <row r="72" spans="1:14" ht="22.95" customHeight="1">
      <c r="A72" s="138" t="s">
        <v>6073</v>
      </c>
      <c r="B72" s="138">
        <v>3741</v>
      </c>
      <c r="C72" s="139" t="s">
        <v>670</v>
      </c>
      <c r="D72" s="139" t="str">
        <f t="shared" si="1"/>
        <v>三重重新三1</v>
      </c>
      <c r="E72" s="138">
        <v>1</v>
      </c>
      <c r="F72" s="138" t="s">
        <v>6074</v>
      </c>
      <c r="G72" s="139" t="s">
        <v>6075</v>
      </c>
      <c r="H72" s="138" t="s">
        <v>5860</v>
      </c>
      <c r="I72" s="140" t="s">
        <v>5861</v>
      </c>
      <c r="J72" s="141" t="s">
        <v>7</v>
      </c>
      <c r="K72" s="142" t="s">
        <v>5855</v>
      </c>
      <c r="L72" s="138"/>
      <c r="M72" s="141"/>
      <c r="N72" s="177" t="s">
        <v>5856</v>
      </c>
    </row>
    <row r="73" spans="1:14" ht="22.95" customHeight="1">
      <c r="A73" s="138" t="s">
        <v>6076</v>
      </c>
      <c r="B73" s="138">
        <v>3741</v>
      </c>
      <c r="C73" s="139" t="s">
        <v>670</v>
      </c>
      <c r="D73" s="139" t="str">
        <f t="shared" si="1"/>
        <v>三重重新三2</v>
      </c>
      <c r="E73" s="138">
        <v>2</v>
      </c>
      <c r="F73" s="138" t="s">
        <v>6077</v>
      </c>
      <c r="G73" s="139" t="s">
        <v>6078</v>
      </c>
      <c r="H73" s="138" t="s">
        <v>5860</v>
      </c>
      <c r="I73" s="140" t="s">
        <v>5861</v>
      </c>
      <c r="J73" s="141" t="s">
        <v>7</v>
      </c>
      <c r="K73" s="142" t="s">
        <v>5855</v>
      </c>
      <c r="L73" s="138"/>
      <c r="M73" s="141"/>
      <c r="N73" s="177" t="s">
        <v>5856</v>
      </c>
    </row>
    <row r="74" spans="1:14" ht="22.95" customHeight="1">
      <c r="A74" s="138" t="s">
        <v>6079</v>
      </c>
      <c r="B74" s="138" t="s">
        <v>56</v>
      </c>
      <c r="C74" s="139" t="s">
        <v>874</v>
      </c>
      <c r="D74" s="139" t="str">
        <f t="shared" si="1"/>
        <v>三重重新店1</v>
      </c>
      <c r="E74" s="138">
        <v>1</v>
      </c>
      <c r="F74" s="138" t="s">
        <v>6080</v>
      </c>
      <c r="G74" s="139" t="s">
        <v>6081</v>
      </c>
      <c r="H74" s="138" t="s">
        <v>5860</v>
      </c>
      <c r="I74" s="140" t="s">
        <v>5893</v>
      </c>
      <c r="J74" s="141" t="s">
        <v>7</v>
      </c>
      <c r="K74" s="142" t="s">
        <v>5855</v>
      </c>
      <c r="L74" s="138"/>
      <c r="M74" s="141"/>
      <c r="N74" s="177" t="s">
        <v>5856</v>
      </c>
    </row>
    <row r="75" spans="1:14" ht="22.95" customHeight="1">
      <c r="A75" s="138" t="s">
        <v>6082</v>
      </c>
      <c r="B75" s="138" t="s">
        <v>56</v>
      </c>
      <c r="C75" s="139" t="s">
        <v>874</v>
      </c>
      <c r="D75" s="139" t="str">
        <f t="shared" si="1"/>
        <v>三重重新店2</v>
      </c>
      <c r="E75" s="138">
        <v>2</v>
      </c>
      <c r="F75" s="138" t="s">
        <v>6083</v>
      </c>
      <c r="G75" s="139" t="s">
        <v>6084</v>
      </c>
      <c r="H75" s="138" t="s">
        <v>5860</v>
      </c>
      <c r="I75" s="140" t="s">
        <v>5893</v>
      </c>
      <c r="J75" s="141" t="s">
        <v>7</v>
      </c>
      <c r="K75" s="142" t="s">
        <v>5855</v>
      </c>
      <c r="L75" s="138"/>
      <c r="M75" s="141"/>
      <c r="N75" s="177" t="s">
        <v>5856</v>
      </c>
    </row>
    <row r="76" spans="1:14" ht="22.95" customHeight="1">
      <c r="A76" s="138" t="s">
        <v>6085</v>
      </c>
      <c r="B76" s="138">
        <v>3627</v>
      </c>
      <c r="C76" s="139" t="s">
        <v>157</v>
      </c>
      <c r="D76" s="139" t="str">
        <f t="shared" si="1"/>
        <v>三重重新橋1</v>
      </c>
      <c r="E76" s="138">
        <v>1</v>
      </c>
      <c r="F76" s="138" t="s">
        <v>6086</v>
      </c>
      <c r="G76" s="139" t="s">
        <v>6087</v>
      </c>
      <c r="H76" s="138" t="s">
        <v>5853</v>
      </c>
      <c r="I76" s="140" t="s">
        <v>5861</v>
      </c>
      <c r="J76" s="141" t="s">
        <v>7</v>
      </c>
      <c r="K76" s="142" t="s">
        <v>5855</v>
      </c>
      <c r="L76" s="138"/>
      <c r="M76" s="141"/>
      <c r="N76" s="177" t="s">
        <v>5856</v>
      </c>
    </row>
    <row r="77" spans="1:14" ht="22.95" customHeight="1">
      <c r="A77" s="138" t="s">
        <v>6088</v>
      </c>
      <c r="B77" s="138">
        <v>3627</v>
      </c>
      <c r="C77" s="139" t="s">
        <v>157</v>
      </c>
      <c r="D77" s="139" t="str">
        <f t="shared" si="1"/>
        <v>三重重新橋2</v>
      </c>
      <c r="E77" s="138">
        <v>2</v>
      </c>
      <c r="F77" s="138" t="s">
        <v>6089</v>
      </c>
      <c r="G77" s="139" t="s">
        <v>6090</v>
      </c>
      <c r="H77" s="138" t="s">
        <v>5903</v>
      </c>
      <c r="I77" s="140" t="s">
        <v>5854</v>
      </c>
      <c r="J77" s="141" t="s">
        <v>7</v>
      </c>
      <c r="K77" s="142" t="s">
        <v>5855</v>
      </c>
      <c r="L77" s="138"/>
      <c r="M77" s="141"/>
      <c r="N77" s="177" t="s">
        <v>5856</v>
      </c>
    </row>
    <row r="78" spans="1:14" ht="22.95" customHeight="1">
      <c r="A78" s="138" t="s">
        <v>6091</v>
      </c>
      <c r="B78" s="138">
        <v>4804</v>
      </c>
      <c r="C78" s="139" t="s">
        <v>1826</v>
      </c>
      <c r="D78" s="139" t="str">
        <f t="shared" si="1"/>
        <v>三重國隆店1</v>
      </c>
      <c r="E78" s="138">
        <v>1</v>
      </c>
      <c r="F78" s="138" t="s">
        <v>6092</v>
      </c>
      <c r="G78" s="139" t="s">
        <v>6093</v>
      </c>
      <c r="H78" s="138" t="s">
        <v>5903</v>
      </c>
      <c r="I78" s="140" t="s">
        <v>5854</v>
      </c>
      <c r="J78" s="141" t="s">
        <v>7</v>
      </c>
      <c r="K78" s="142" t="s">
        <v>5855</v>
      </c>
      <c r="L78" s="138"/>
      <c r="M78" s="141"/>
      <c r="N78" s="177" t="s">
        <v>5856</v>
      </c>
    </row>
    <row r="79" spans="1:14" ht="22.95" customHeight="1">
      <c r="A79" s="138" t="s">
        <v>6094</v>
      </c>
      <c r="B79" s="138">
        <v>4804</v>
      </c>
      <c r="C79" s="139" t="s">
        <v>1826</v>
      </c>
      <c r="D79" s="139" t="str">
        <f t="shared" si="1"/>
        <v>三重國隆店2</v>
      </c>
      <c r="E79" s="138">
        <v>2</v>
      </c>
      <c r="F79" s="138" t="s">
        <v>6095</v>
      </c>
      <c r="G79" s="139" t="s">
        <v>6096</v>
      </c>
      <c r="H79" s="138" t="s">
        <v>5853</v>
      </c>
      <c r="I79" s="140" t="s">
        <v>5861</v>
      </c>
      <c r="J79" s="141" t="s">
        <v>7</v>
      </c>
      <c r="K79" s="142" t="s">
        <v>5855</v>
      </c>
      <c r="L79" s="138"/>
      <c r="M79" s="141"/>
      <c r="N79" s="177" t="s">
        <v>5856</v>
      </c>
    </row>
    <row r="80" spans="1:14" ht="22.95" customHeight="1">
      <c r="A80" s="138" t="s">
        <v>6097</v>
      </c>
      <c r="B80" s="138">
        <v>4698</v>
      </c>
      <c r="C80" s="139" t="s">
        <v>1847</v>
      </c>
      <c r="D80" s="139" t="str">
        <f t="shared" si="1"/>
        <v>三重頂崁店1</v>
      </c>
      <c r="E80" s="138">
        <v>1</v>
      </c>
      <c r="F80" s="138" t="s">
        <v>6098</v>
      </c>
      <c r="G80" s="139" t="s">
        <v>6099</v>
      </c>
      <c r="H80" s="138" t="s">
        <v>5903</v>
      </c>
      <c r="I80" s="140" t="s">
        <v>5861</v>
      </c>
      <c r="J80" s="141" t="s">
        <v>7</v>
      </c>
      <c r="K80" s="142" t="s">
        <v>5855</v>
      </c>
      <c r="L80" s="138"/>
      <c r="M80" s="141"/>
      <c r="N80" s="177" t="s">
        <v>5856</v>
      </c>
    </row>
    <row r="81" spans="1:14" ht="22.95" customHeight="1">
      <c r="A81" s="138" t="s">
        <v>6100</v>
      </c>
      <c r="B81" s="138">
        <v>4698</v>
      </c>
      <c r="C81" s="139" t="s">
        <v>1847</v>
      </c>
      <c r="D81" s="139" t="str">
        <f t="shared" si="1"/>
        <v>三重頂崁店2</v>
      </c>
      <c r="E81" s="138">
        <v>2</v>
      </c>
      <c r="F81" s="138" t="s">
        <v>6101</v>
      </c>
      <c r="G81" s="139" t="s">
        <v>6102</v>
      </c>
      <c r="H81" s="138" t="s">
        <v>5903</v>
      </c>
      <c r="I81" s="140" t="s">
        <v>5861</v>
      </c>
      <c r="J81" s="141" t="s">
        <v>7</v>
      </c>
      <c r="K81" s="142" t="s">
        <v>5855</v>
      </c>
      <c r="L81" s="138"/>
      <c r="M81" s="141"/>
      <c r="N81" s="177" t="s">
        <v>5856</v>
      </c>
    </row>
    <row r="82" spans="1:14" ht="22.95" customHeight="1">
      <c r="A82" s="138" t="s">
        <v>6103</v>
      </c>
      <c r="B82" s="138">
        <v>3796</v>
      </c>
      <c r="C82" s="139" t="s">
        <v>381</v>
      </c>
      <c r="D82" s="139" t="str">
        <f t="shared" si="1"/>
        <v>三重進安店1</v>
      </c>
      <c r="E82" s="138">
        <v>1</v>
      </c>
      <c r="F82" s="138" t="s">
        <v>6104</v>
      </c>
      <c r="G82" s="139" t="s">
        <v>6105</v>
      </c>
      <c r="H82" s="138" t="s">
        <v>5860</v>
      </c>
      <c r="I82" s="140" t="s">
        <v>5854</v>
      </c>
      <c r="J82" s="141" t="s">
        <v>7</v>
      </c>
      <c r="K82" s="142" t="s">
        <v>5855</v>
      </c>
      <c r="L82" s="138"/>
      <c r="M82" s="141"/>
      <c r="N82" s="177" t="s">
        <v>5856</v>
      </c>
    </row>
    <row r="83" spans="1:14" ht="22.95" customHeight="1">
      <c r="A83" s="138" t="s">
        <v>6106</v>
      </c>
      <c r="B83" s="138">
        <v>3796</v>
      </c>
      <c r="C83" s="139" t="s">
        <v>381</v>
      </c>
      <c r="D83" s="139" t="str">
        <f t="shared" si="1"/>
        <v>三重進安店2</v>
      </c>
      <c r="E83" s="138">
        <v>2</v>
      </c>
      <c r="F83" s="138" t="s">
        <v>6107</v>
      </c>
      <c r="G83" s="139" t="s">
        <v>6108</v>
      </c>
      <c r="H83" s="138" t="s">
        <v>5860</v>
      </c>
      <c r="I83" s="140" t="s">
        <v>5861</v>
      </c>
      <c r="J83" s="141" t="s">
        <v>7</v>
      </c>
      <c r="K83" s="142" t="s">
        <v>5855</v>
      </c>
      <c r="L83" s="138"/>
      <c r="M83" s="141"/>
      <c r="N83" s="177" t="s">
        <v>5856</v>
      </c>
    </row>
    <row r="84" spans="1:14" ht="22.95" customHeight="1">
      <c r="A84" s="138" t="s">
        <v>6109</v>
      </c>
      <c r="B84" s="138">
        <v>4191</v>
      </c>
      <c r="C84" s="139" t="s">
        <v>853</v>
      </c>
      <c r="D84" s="139" t="str">
        <f t="shared" si="1"/>
        <v>三重溪美店1</v>
      </c>
      <c r="E84" s="138">
        <v>1</v>
      </c>
      <c r="F84" s="138" t="s">
        <v>6110</v>
      </c>
      <c r="G84" s="139" t="s">
        <v>6111</v>
      </c>
      <c r="H84" s="138" t="s">
        <v>5853</v>
      </c>
      <c r="I84" s="140" t="s">
        <v>5893</v>
      </c>
      <c r="J84" s="141" t="s">
        <v>7</v>
      </c>
      <c r="K84" s="142" t="s">
        <v>5855</v>
      </c>
      <c r="L84" s="138"/>
      <c r="M84" s="141"/>
      <c r="N84" s="177" t="s">
        <v>5856</v>
      </c>
    </row>
    <row r="85" spans="1:14" ht="22.95" customHeight="1">
      <c r="A85" s="138" t="s">
        <v>6112</v>
      </c>
      <c r="B85" s="138">
        <v>4191</v>
      </c>
      <c r="C85" s="139" t="s">
        <v>853</v>
      </c>
      <c r="D85" s="139" t="str">
        <f t="shared" si="1"/>
        <v>三重溪美店2</v>
      </c>
      <c r="E85" s="138">
        <v>2</v>
      </c>
      <c r="F85" s="138" t="s">
        <v>6113</v>
      </c>
      <c r="G85" s="139" t="s">
        <v>6114</v>
      </c>
      <c r="H85" s="138" t="s">
        <v>5903</v>
      </c>
      <c r="I85" s="140" t="s">
        <v>5893</v>
      </c>
      <c r="J85" s="141" t="s">
        <v>7</v>
      </c>
      <c r="K85" s="142" t="s">
        <v>5855</v>
      </c>
      <c r="L85" s="138"/>
      <c r="M85" s="141"/>
      <c r="N85" s="177" t="s">
        <v>5856</v>
      </c>
    </row>
    <row r="86" spans="1:14" ht="22.95" customHeight="1">
      <c r="A86" s="138" t="s">
        <v>6115</v>
      </c>
      <c r="B86" s="138">
        <v>2222</v>
      </c>
      <c r="C86" s="139" t="s">
        <v>159</v>
      </c>
      <c r="D86" s="139" t="str">
        <f t="shared" si="1"/>
        <v>三重義天店1</v>
      </c>
      <c r="E86" s="138">
        <v>1</v>
      </c>
      <c r="F86" s="138" t="s">
        <v>6116</v>
      </c>
      <c r="G86" s="139" t="s">
        <v>6117</v>
      </c>
      <c r="H86" s="138" t="s">
        <v>5853</v>
      </c>
      <c r="I86" s="140" t="s">
        <v>5861</v>
      </c>
      <c r="J86" s="141" t="s">
        <v>7</v>
      </c>
      <c r="K86" s="142" t="s">
        <v>5855</v>
      </c>
      <c r="L86" s="138"/>
      <c r="M86" s="141"/>
      <c r="N86" s="177" t="s">
        <v>5856</v>
      </c>
    </row>
    <row r="87" spans="1:14" ht="22.95" customHeight="1">
      <c r="A87" s="138" t="s">
        <v>6118</v>
      </c>
      <c r="B87" s="138">
        <v>2222</v>
      </c>
      <c r="C87" s="139" t="s">
        <v>159</v>
      </c>
      <c r="D87" s="139" t="str">
        <f t="shared" si="1"/>
        <v>三重義天店2</v>
      </c>
      <c r="E87" s="138">
        <v>2</v>
      </c>
      <c r="F87" s="138" t="s">
        <v>6119</v>
      </c>
      <c r="G87" s="139" t="s">
        <v>6120</v>
      </c>
      <c r="H87" s="138" t="s">
        <v>5860</v>
      </c>
      <c r="I87" s="140" t="s">
        <v>5854</v>
      </c>
      <c r="J87" s="141" t="s">
        <v>7</v>
      </c>
      <c r="K87" s="142" t="s">
        <v>5855</v>
      </c>
      <c r="L87" s="138"/>
      <c r="M87" s="141"/>
      <c r="N87" s="177" t="s">
        <v>5856</v>
      </c>
    </row>
    <row r="88" spans="1:14" ht="22.95" customHeight="1">
      <c r="A88" s="138" t="s">
        <v>6121</v>
      </c>
      <c r="B88" s="138">
        <v>3811</v>
      </c>
      <c r="C88" s="139" t="s">
        <v>431</v>
      </c>
      <c r="D88" s="139" t="str">
        <f t="shared" si="1"/>
        <v>三重碧華公園1</v>
      </c>
      <c r="E88" s="138">
        <v>1</v>
      </c>
      <c r="F88" s="138" t="s">
        <v>6122</v>
      </c>
      <c r="G88" s="139" t="s">
        <v>6123</v>
      </c>
      <c r="H88" s="138" t="s">
        <v>5860</v>
      </c>
      <c r="I88" s="140" t="s">
        <v>5893</v>
      </c>
      <c r="J88" s="141" t="s">
        <v>7</v>
      </c>
      <c r="K88" s="142" t="s">
        <v>5855</v>
      </c>
      <c r="L88" s="138"/>
      <c r="M88" s="141"/>
      <c r="N88" s="177" t="s">
        <v>5856</v>
      </c>
    </row>
    <row r="89" spans="1:14" ht="22.95" customHeight="1">
      <c r="A89" s="138" t="s">
        <v>6124</v>
      </c>
      <c r="B89" s="138">
        <v>3811</v>
      </c>
      <c r="C89" s="139" t="s">
        <v>431</v>
      </c>
      <c r="D89" s="139" t="str">
        <f t="shared" si="1"/>
        <v>三重碧華公園2</v>
      </c>
      <c r="E89" s="138">
        <v>2</v>
      </c>
      <c r="F89" s="138" t="s">
        <v>6125</v>
      </c>
      <c r="G89" s="139" t="s">
        <v>6126</v>
      </c>
      <c r="H89" s="138" t="s">
        <v>5860</v>
      </c>
      <c r="I89" s="140" t="s">
        <v>5893</v>
      </c>
      <c r="J89" s="141" t="s">
        <v>7</v>
      </c>
      <c r="K89" s="142" t="s">
        <v>5855</v>
      </c>
      <c r="L89" s="138"/>
      <c r="M89" s="141"/>
      <c r="N89" s="177" t="s">
        <v>5856</v>
      </c>
    </row>
    <row r="90" spans="1:14" ht="22.95" customHeight="1">
      <c r="A90" s="138" t="s">
        <v>6127</v>
      </c>
      <c r="B90" s="138">
        <v>3957</v>
      </c>
      <c r="C90" s="139" t="s">
        <v>516</v>
      </c>
      <c r="D90" s="139" t="str">
        <f t="shared" si="1"/>
        <v>三重福仁店1</v>
      </c>
      <c r="E90" s="138">
        <v>1</v>
      </c>
      <c r="F90" s="138" t="s">
        <v>6128</v>
      </c>
      <c r="G90" s="139" t="s">
        <v>6129</v>
      </c>
      <c r="H90" s="138" t="s">
        <v>5860</v>
      </c>
      <c r="I90" s="140" t="s">
        <v>5861</v>
      </c>
      <c r="J90" s="141" t="s">
        <v>7</v>
      </c>
      <c r="K90" s="142" t="s">
        <v>5855</v>
      </c>
      <c r="L90" s="138"/>
      <c r="M90" s="141"/>
      <c r="N90" s="177" t="s">
        <v>5856</v>
      </c>
    </row>
    <row r="91" spans="1:14" ht="22.95" customHeight="1">
      <c r="A91" s="138" t="s">
        <v>6130</v>
      </c>
      <c r="B91" s="138">
        <v>3957</v>
      </c>
      <c r="C91" s="139" t="s">
        <v>516</v>
      </c>
      <c r="D91" s="139" t="str">
        <f t="shared" si="1"/>
        <v>三重福仁店2</v>
      </c>
      <c r="E91" s="138">
        <v>2</v>
      </c>
      <c r="F91" s="138" t="s">
        <v>6131</v>
      </c>
      <c r="G91" s="139" t="s">
        <v>6132</v>
      </c>
      <c r="H91" s="138" t="s">
        <v>5860</v>
      </c>
      <c r="I91" s="140" t="s">
        <v>5861</v>
      </c>
      <c r="J91" s="141" t="s">
        <v>7</v>
      </c>
      <c r="K91" s="142" t="s">
        <v>5855</v>
      </c>
      <c r="L91" s="138"/>
      <c r="M91" s="141"/>
      <c r="N91" s="177" t="s">
        <v>5856</v>
      </c>
    </row>
    <row r="92" spans="1:14" ht="22.95" customHeight="1">
      <c r="A92" s="138" t="s">
        <v>6133</v>
      </c>
      <c r="B92" s="138">
        <v>4210</v>
      </c>
      <c r="C92" s="139" t="s">
        <v>191</v>
      </c>
      <c r="D92" s="139" t="str">
        <f t="shared" si="1"/>
        <v>三重福華店1</v>
      </c>
      <c r="E92" s="138">
        <v>1</v>
      </c>
      <c r="F92" s="138" t="s">
        <v>6134</v>
      </c>
      <c r="G92" s="139" t="s">
        <v>6135</v>
      </c>
      <c r="H92" s="138" t="s">
        <v>5903</v>
      </c>
      <c r="I92" s="140" t="s">
        <v>5861</v>
      </c>
      <c r="J92" s="141" t="s">
        <v>7</v>
      </c>
      <c r="K92" s="142" t="s">
        <v>5855</v>
      </c>
      <c r="L92" s="138"/>
      <c r="M92" s="141"/>
      <c r="N92" s="177" t="s">
        <v>5856</v>
      </c>
    </row>
    <row r="93" spans="1:14" ht="22.95" customHeight="1">
      <c r="A93" s="138" t="s">
        <v>6136</v>
      </c>
      <c r="B93" s="138">
        <v>4210</v>
      </c>
      <c r="C93" s="139" t="s">
        <v>191</v>
      </c>
      <c r="D93" s="139" t="str">
        <f t="shared" si="1"/>
        <v>三重福華店2</v>
      </c>
      <c r="E93" s="138">
        <v>2</v>
      </c>
      <c r="F93" s="138" t="s">
        <v>6137</v>
      </c>
      <c r="G93" s="139" t="s">
        <v>6138</v>
      </c>
      <c r="H93" s="138" t="s">
        <v>5903</v>
      </c>
      <c r="I93" s="140" t="s">
        <v>5861</v>
      </c>
      <c r="J93" s="141" t="s">
        <v>7</v>
      </c>
      <c r="K93" s="142" t="s">
        <v>5855</v>
      </c>
      <c r="L93" s="138"/>
      <c r="M93" s="141"/>
      <c r="N93" s="177" t="s">
        <v>5856</v>
      </c>
    </row>
    <row r="94" spans="1:14" ht="22.95" customHeight="1">
      <c r="A94" s="138" t="s">
        <v>6139</v>
      </c>
      <c r="B94" s="138" t="s">
        <v>78</v>
      </c>
      <c r="C94" s="139" t="s">
        <v>548</v>
      </c>
      <c r="D94" s="139" t="str">
        <f t="shared" si="1"/>
        <v>三重維德店2</v>
      </c>
      <c r="E94" s="138">
        <v>2</v>
      </c>
      <c r="F94" s="138" t="s">
        <v>6140</v>
      </c>
      <c r="G94" s="139" t="s">
        <v>6141</v>
      </c>
      <c r="H94" s="138" t="s">
        <v>5860</v>
      </c>
      <c r="I94" s="140" t="s">
        <v>5861</v>
      </c>
      <c r="J94" s="141" t="s">
        <v>7</v>
      </c>
      <c r="K94" s="142" t="s">
        <v>5855</v>
      </c>
      <c r="L94" s="138"/>
      <c r="M94" s="141"/>
      <c r="N94" s="177" t="s">
        <v>5856</v>
      </c>
    </row>
    <row r="95" spans="1:14" ht="22.95" customHeight="1">
      <c r="A95" s="138" t="s">
        <v>6142</v>
      </c>
      <c r="B95" s="138">
        <v>4155</v>
      </c>
      <c r="C95" s="139" t="s">
        <v>1234</v>
      </c>
      <c r="D95" s="139" t="str">
        <f t="shared" si="1"/>
        <v>三重穀保店1</v>
      </c>
      <c r="E95" s="138">
        <v>1</v>
      </c>
      <c r="F95" s="138" t="s">
        <v>6143</v>
      </c>
      <c r="G95" s="139" t="s">
        <v>6144</v>
      </c>
      <c r="H95" s="138" t="s">
        <v>5853</v>
      </c>
      <c r="I95" s="140" t="s">
        <v>5861</v>
      </c>
      <c r="J95" s="141" t="s">
        <v>7</v>
      </c>
      <c r="K95" s="142" t="s">
        <v>5855</v>
      </c>
      <c r="L95" s="138"/>
      <c r="M95" s="141"/>
      <c r="N95" s="177" t="s">
        <v>5856</v>
      </c>
    </row>
    <row r="96" spans="1:14" ht="22.95" customHeight="1">
      <c r="A96" s="138" t="s">
        <v>6145</v>
      </c>
      <c r="B96" s="138">
        <v>4196</v>
      </c>
      <c r="C96" s="139" t="s">
        <v>177</v>
      </c>
      <c r="D96" s="139" t="str">
        <f t="shared" si="1"/>
        <v>三重蝶愛店1</v>
      </c>
      <c r="E96" s="138">
        <v>1</v>
      </c>
      <c r="F96" s="138" t="s">
        <v>6146</v>
      </c>
      <c r="G96" s="139" t="s">
        <v>6147</v>
      </c>
      <c r="H96" s="138" t="s">
        <v>5860</v>
      </c>
      <c r="I96" s="140" t="s">
        <v>5861</v>
      </c>
      <c r="J96" s="141" t="s">
        <v>7</v>
      </c>
      <c r="K96" s="142" t="s">
        <v>5855</v>
      </c>
      <c r="L96" s="138"/>
      <c r="M96" s="141"/>
      <c r="N96" s="177" t="s">
        <v>5856</v>
      </c>
    </row>
    <row r="97" spans="1:14" ht="22.95" customHeight="1">
      <c r="A97" s="138" t="s">
        <v>6148</v>
      </c>
      <c r="B97" s="138">
        <v>4196</v>
      </c>
      <c r="C97" s="139" t="s">
        <v>177</v>
      </c>
      <c r="D97" s="139" t="str">
        <f t="shared" si="1"/>
        <v>三重蝶愛店2</v>
      </c>
      <c r="E97" s="138">
        <v>2</v>
      </c>
      <c r="F97" s="138" t="s">
        <v>6149</v>
      </c>
      <c r="G97" s="139" t="s">
        <v>6150</v>
      </c>
      <c r="H97" s="138" t="s">
        <v>5860</v>
      </c>
      <c r="I97" s="140" t="s">
        <v>5861</v>
      </c>
      <c r="J97" s="141" t="s">
        <v>7</v>
      </c>
      <c r="K97" s="142" t="s">
        <v>5855</v>
      </c>
      <c r="L97" s="138"/>
      <c r="M97" s="141"/>
      <c r="N97" s="177" t="s">
        <v>5856</v>
      </c>
    </row>
    <row r="98" spans="1:14" ht="22.95" customHeight="1">
      <c r="A98" s="138" t="s">
        <v>6151</v>
      </c>
      <c r="B98" s="138">
        <v>2259</v>
      </c>
      <c r="C98" s="139" t="s">
        <v>1188</v>
      </c>
      <c r="D98" s="139" t="str">
        <f t="shared" si="1"/>
        <v>三重興華店1</v>
      </c>
      <c r="E98" s="138">
        <v>1</v>
      </c>
      <c r="F98" s="138" t="s">
        <v>6152</v>
      </c>
      <c r="G98" s="139" t="s">
        <v>6153</v>
      </c>
      <c r="H98" s="138" t="s">
        <v>5853</v>
      </c>
      <c r="I98" s="140" t="s">
        <v>5854</v>
      </c>
      <c r="J98" s="141" t="s">
        <v>7</v>
      </c>
      <c r="K98" s="142" t="s">
        <v>5855</v>
      </c>
      <c r="L98" s="138"/>
      <c r="M98" s="141"/>
      <c r="N98" s="177" t="s">
        <v>5856</v>
      </c>
    </row>
    <row r="99" spans="1:14" ht="22.95" customHeight="1">
      <c r="A99" s="138" t="s">
        <v>6154</v>
      </c>
      <c r="B99" s="138">
        <v>2259</v>
      </c>
      <c r="C99" s="139" t="s">
        <v>1188</v>
      </c>
      <c r="D99" s="139" t="str">
        <f t="shared" si="1"/>
        <v>三重興華店2</v>
      </c>
      <c r="E99" s="138">
        <v>2</v>
      </c>
      <c r="F99" s="138" t="s">
        <v>6155</v>
      </c>
      <c r="G99" s="139" t="s">
        <v>6156</v>
      </c>
      <c r="H99" s="138" t="s">
        <v>5903</v>
      </c>
      <c r="I99" s="140" t="s">
        <v>5854</v>
      </c>
      <c r="J99" s="141" t="s">
        <v>7</v>
      </c>
      <c r="K99" s="142" t="s">
        <v>5855</v>
      </c>
      <c r="L99" s="138"/>
      <c r="M99" s="141"/>
      <c r="N99" s="177" t="s">
        <v>5856</v>
      </c>
    </row>
    <row r="100" spans="1:14" ht="22.95" customHeight="1">
      <c r="A100" s="138" t="s">
        <v>6157</v>
      </c>
      <c r="B100" s="138" t="s">
        <v>69</v>
      </c>
      <c r="C100" s="139" t="s">
        <v>1903</v>
      </c>
      <c r="D100" s="139" t="str">
        <f t="shared" si="1"/>
        <v>三重興德店1</v>
      </c>
      <c r="E100" s="138">
        <v>1</v>
      </c>
      <c r="F100" s="138" t="s">
        <v>6158</v>
      </c>
      <c r="G100" s="139" t="s">
        <v>6159</v>
      </c>
      <c r="H100" s="138" t="s">
        <v>5860</v>
      </c>
      <c r="I100" s="140" t="s">
        <v>5861</v>
      </c>
      <c r="J100" s="141" t="s">
        <v>7</v>
      </c>
      <c r="K100" s="142" t="s">
        <v>5855</v>
      </c>
      <c r="L100" s="138"/>
      <c r="M100" s="141"/>
      <c r="N100" s="177" t="s">
        <v>5856</v>
      </c>
    </row>
    <row r="101" spans="1:14" ht="22.95" customHeight="1">
      <c r="A101" s="138" t="s">
        <v>6160</v>
      </c>
      <c r="B101" s="138" t="s">
        <v>69</v>
      </c>
      <c r="C101" s="139" t="s">
        <v>1903</v>
      </c>
      <c r="D101" s="139" t="str">
        <f t="shared" si="1"/>
        <v>三重興德店2</v>
      </c>
      <c r="E101" s="138">
        <v>2</v>
      </c>
      <c r="F101" s="138" t="s">
        <v>6161</v>
      </c>
      <c r="G101" s="139" t="s">
        <v>6162</v>
      </c>
      <c r="H101" s="138" t="s">
        <v>5860</v>
      </c>
      <c r="I101" s="140" t="s">
        <v>5861</v>
      </c>
      <c r="J101" s="141" t="s">
        <v>7</v>
      </c>
      <c r="K101" s="142" t="s">
        <v>5855</v>
      </c>
      <c r="L101" s="138"/>
      <c r="M101" s="141"/>
      <c r="N101" s="177" t="s">
        <v>5856</v>
      </c>
    </row>
    <row r="102" spans="1:14" ht="22.95" customHeight="1">
      <c r="A102" s="138" t="s">
        <v>6163</v>
      </c>
      <c r="B102" s="138">
        <v>4029</v>
      </c>
      <c r="C102" s="139" t="s">
        <v>2201</v>
      </c>
      <c r="D102" s="139" t="str">
        <f t="shared" si="1"/>
        <v>三重龍濱店1</v>
      </c>
      <c r="E102" s="138">
        <v>1</v>
      </c>
      <c r="F102" s="138" t="s">
        <v>6164</v>
      </c>
      <c r="G102" s="139" t="s">
        <v>6165</v>
      </c>
      <c r="H102" s="138" t="s">
        <v>5860</v>
      </c>
      <c r="I102" s="140" t="s">
        <v>5861</v>
      </c>
      <c r="J102" s="141" t="s">
        <v>7</v>
      </c>
      <c r="K102" s="142" t="s">
        <v>5855</v>
      </c>
      <c r="L102" s="138"/>
      <c r="M102" s="141"/>
      <c r="N102" s="177" t="s">
        <v>5856</v>
      </c>
    </row>
    <row r="103" spans="1:14" ht="22.95" customHeight="1">
      <c r="A103" s="138" t="s">
        <v>6166</v>
      </c>
      <c r="B103" s="138">
        <v>4029</v>
      </c>
      <c r="C103" s="139" t="s">
        <v>2201</v>
      </c>
      <c r="D103" s="139" t="str">
        <f t="shared" si="1"/>
        <v>三重龍濱店2</v>
      </c>
      <c r="E103" s="138">
        <v>2</v>
      </c>
      <c r="F103" s="138" t="s">
        <v>6167</v>
      </c>
      <c r="G103" s="139" t="s">
        <v>6168</v>
      </c>
      <c r="H103" s="138" t="s">
        <v>5860</v>
      </c>
      <c r="I103" s="140" t="s">
        <v>5861</v>
      </c>
      <c r="J103" s="141" t="s">
        <v>7</v>
      </c>
      <c r="K103" s="142" t="s">
        <v>5855</v>
      </c>
      <c r="L103" s="138"/>
      <c r="M103" s="141"/>
      <c r="N103" s="177" t="s">
        <v>5856</v>
      </c>
    </row>
    <row r="104" spans="1:14" ht="22.95" customHeight="1">
      <c r="A104" s="138" t="s">
        <v>6169</v>
      </c>
      <c r="B104" s="138">
        <v>4388</v>
      </c>
      <c r="C104" s="139" t="s">
        <v>1242</v>
      </c>
      <c r="D104" s="139" t="str">
        <f t="shared" si="1"/>
        <v>三重薔薇店1</v>
      </c>
      <c r="E104" s="138">
        <v>1</v>
      </c>
      <c r="F104" s="138" t="s">
        <v>6170</v>
      </c>
      <c r="G104" s="139"/>
      <c r="H104" s="138" t="s">
        <v>5853</v>
      </c>
      <c r="I104" s="140" t="s">
        <v>5854</v>
      </c>
      <c r="J104" s="141" t="s">
        <v>7</v>
      </c>
      <c r="K104" s="142" t="s">
        <v>5855</v>
      </c>
      <c r="L104" s="138"/>
      <c r="M104" s="141"/>
      <c r="N104" s="177" t="s">
        <v>5856</v>
      </c>
    </row>
    <row r="105" spans="1:14" ht="22.95" customHeight="1">
      <c r="A105" s="138" t="s">
        <v>6171</v>
      </c>
      <c r="B105" s="138">
        <v>4388</v>
      </c>
      <c r="C105" s="139" t="s">
        <v>1242</v>
      </c>
      <c r="D105" s="139" t="str">
        <f t="shared" si="1"/>
        <v>三重薔薇店2</v>
      </c>
      <c r="E105" s="138">
        <v>2</v>
      </c>
      <c r="F105" s="138" t="s">
        <v>6172</v>
      </c>
      <c r="G105" s="139" t="s">
        <v>6173</v>
      </c>
      <c r="H105" s="138" t="s">
        <v>5903</v>
      </c>
      <c r="I105" s="140" t="s">
        <v>5861</v>
      </c>
      <c r="J105" s="141" t="s">
        <v>7</v>
      </c>
      <c r="K105" s="142" t="s">
        <v>5855</v>
      </c>
      <c r="L105" s="138"/>
      <c r="M105" s="141"/>
      <c r="N105" s="177" t="s">
        <v>5856</v>
      </c>
    </row>
    <row r="106" spans="1:14" ht="22.95" customHeight="1">
      <c r="A106" s="138" t="s">
        <v>6174</v>
      </c>
      <c r="B106" s="138" t="s">
        <v>64</v>
      </c>
      <c r="C106" s="139" t="s">
        <v>6175</v>
      </c>
      <c r="D106" s="139" t="str">
        <f t="shared" si="1"/>
        <v>北縣三愛三店1</v>
      </c>
      <c r="E106" s="138">
        <v>1</v>
      </c>
      <c r="F106" s="138" t="s">
        <v>6176</v>
      </c>
      <c r="G106" s="139" t="s">
        <v>6177</v>
      </c>
      <c r="H106" s="138" t="s">
        <v>5860</v>
      </c>
      <c r="I106" s="140" t="s">
        <v>5861</v>
      </c>
      <c r="J106" s="141" t="s">
        <v>7</v>
      </c>
      <c r="K106" s="142" t="s">
        <v>5855</v>
      </c>
      <c r="L106" s="138"/>
      <c r="M106" s="141"/>
      <c r="N106" s="177" t="s">
        <v>5856</v>
      </c>
    </row>
    <row r="107" spans="1:14" ht="22.95" customHeight="1">
      <c r="A107" s="138" t="s">
        <v>6178</v>
      </c>
      <c r="B107" s="138" t="s">
        <v>64</v>
      </c>
      <c r="C107" s="139" t="s">
        <v>6175</v>
      </c>
      <c r="D107" s="139" t="str">
        <f t="shared" si="1"/>
        <v>北縣三愛三店2</v>
      </c>
      <c r="E107" s="138">
        <v>2</v>
      </c>
      <c r="F107" s="138" t="s">
        <v>6179</v>
      </c>
      <c r="G107" s="139" t="s">
        <v>6180</v>
      </c>
      <c r="H107" s="138" t="s">
        <v>5860</v>
      </c>
      <c r="I107" s="140" t="s">
        <v>5861</v>
      </c>
      <c r="J107" s="141" t="s">
        <v>7</v>
      </c>
      <c r="K107" s="142" t="s">
        <v>5855</v>
      </c>
      <c r="L107" s="138"/>
      <c r="M107" s="141"/>
      <c r="N107" s="177" t="s">
        <v>5856</v>
      </c>
    </row>
    <row r="108" spans="1:14" ht="22.95" customHeight="1">
      <c r="A108" s="138" t="s">
        <v>6181</v>
      </c>
      <c r="B108" s="138" t="s">
        <v>50</v>
      </c>
      <c r="C108" s="139" t="s">
        <v>6182</v>
      </c>
      <c r="D108" s="139" t="str">
        <f t="shared" si="1"/>
        <v>北縣中陽店1</v>
      </c>
      <c r="E108" s="138">
        <v>1</v>
      </c>
      <c r="F108" s="138" t="s">
        <v>6183</v>
      </c>
      <c r="G108" s="139" t="s">
        <v>6184</v>
      </c>
      <c r="H108" s="138" t="s">
        <v>5860</v>
      </c>
      <c r="I108" s="140" t="s">
        <v>5861</v>
      </c>
      <c r="J108" s="141" t="s">
        <v>7</v>
      </c>
      <c r="K108" s="142" t="s">
        <v>5855</v>
      </c>
      <c r="L108" s="138"/>
      <c r="M108" s="141"/>
      <c r="N108" s="177" t="s">
        <v>5856</v>
      </c>
    </row>
    <row r="109" spans="1:14" ht="22.95" customHeight="1">
      <c r="A109" s="138" t="s">
        <v>6185</v>
      </c>
      <c r="B109" s="138" t="s">
        <v>50</v>
      </c>
      <c r="C109" s="139" t="s">
        <v>6182</v>
      </c>
      <c r="D109" s="139" t="str">
        <f t="shared" si="1"/>
        <v>北縣中陽店2</v>
      </c>
      <c r="E109" s="138">
        <v>2</v>
      </c>
      <c r="F109" s="138" t="s">
        <v>6186</v>
      </c>
      <c r="G109" s="139" t="s">
        <v>6187</v>
      </c>
      <c r="H109" s="138" t="s">
        <v>5860</v>
      </c>
      <c r="I109" s="140" t="s">
        <v>5861</v>
      </c>
      <c r="J109" s="141" t="s">
        <v>7</v>
      </c>
      <c r="K109" s="142" t="s">
        <v>5855</v>
      </c>
      <c r="L109" s="138"/>
      <c r="M109" s="141"/>
      <c r="N109" s="177" t="s">
        <v>5856</v>
      </c>
    </row>
    <row r="110" spans="1:14" ht="22.95" customHeight="1">
      <c r="A110" s="138" t="s">
        <v>6188</v>
      </c>
      <c r="B110" s="138" t="s">
        <v>60</v>
      </c>
      <c r="C110" s="139" t="s">
        <v>857</v>
      </c>
      <c r="D110" s="139" t="str">
        <f t="shared" si="1"/>
        <v>北縣五華三店1</v>
      </c>
      <c r="E110" s="138">
        <v>1</v>
      </c>
      <c r="F110" s="138" t="s">
        <v>6189</v>
      </c>
      <c r="G110" s="139" t="s">
        <v>6190</v>
      </c>
      <c r="H110" s="138" t="s">
        <v>5853</v>
      </c>
      <c r="I110" s="140" t="s">
        <v>5861</v>
      </c>
      <c r="J110" s="141" t="s">
        <v>7</v>
      </c>
      <c r="K110" s="142" t="s">
        <v>5855</v>
      </c>
      <c r="L110" s="138"/>
      <c r="M110" s="141"/>
      <c r="N110" s="177" t="s">
        <v>5856</v>
      </c>
    </row>
    <row r="111" spans="1:14" ht="22.95" customHeight="1">
      <c r="A111" s="138" t="s">
        <v>6191</v>
      </c>
      <c r="B111" s="138" t="s">
        <v>60</v>
      </c>
      <c r="C111" s="139" t="s">
        <v>857</v>
      </c>
      <c r="D111" s="139" t="str">
        <f t="shared" si="1"/>
        <v>北縣五華三店2</v>
      </c>
      <c r="E111" s="138">
        <v>2</v>
      </c>
      <c r="F111" s="138" t="s">
        <v>6192</v>
      </c>
      <c r="G111" s="139" t="s">
        <v>6193</v>
      </c>
      <c r="H111" s="138" t="s">
        <v>5853</v>
      </c>
      <c r="I111" s="140" t="s">
        <v>5861</v>
      </c>
      <c r="J111" s="141" t="s">
        <v>7</v>
      </c>
      <c r="K111" s="142" t="s">
        <v>5855</v>
      </c>
      <c r="L111" s="138"/>
      <c r="M111" s="141"/>
      <c r="N111" s="177" t="s">
        <v>5856</v>
      </c>
    </row>
    <row r="112" spans="1:14" ht="22.95" customHeight="1">
      <c r="A112" s="138" t="s">
        <v>6194</v>
      </c>
      <c r="B112" s="138" t="s">
        <v>79</v>
      </c>
      <c r="C112" s="139" t="s">
        <v>6195</v>
      </c>
      <c r="D112" s="139" t="str">
        <f t="shared" si="1"/>
        <v>北縣仁和店1</v>
      </c>
      <c r="E112" s="138">
        <v>1</v>
      </c>
      <c r="F112" s="138" t="s">
        <v>6196</v>
      </c>
      <c r="G112" s="139" t="s">
        <v>6197</v>
      </c>
      <c r="H112" s="138" t="s">
        <v>5853</v>
      </c>
      <c r="I112" s="140" t="s">
        <v>5861</v>
      </c>
      <c r="J112" s="141" t="s">
        <v>7</v>
      </c>
      <c r="K112" s="142" t="s">
        <v>5855</v>
      </c>
      <c r="L112" s="138"/>
      <c r="M112" s="141"/>
      <c r="N112" s="177" t="s">
        <v>5856</v>
      </c>
    </row>
    <row r="113" spans="1:14" ht="22.95" customHeight="1">
      <c r="A113" s="138" t="s">
        <v>6198</v>
      </c>
      <c r="B113" s="138" t="s">
        <v>79</v>
      </c>
      <c r="C113" s="139" t="s">
        <v>6195</v>
      </c>
      <c r="D113" s="139" t="str">
        <f t="shared" si="1"/>
        <v>北縣仁和店2</v>
      </c>
      <c r="E113" s="138">
        <v>2</v>
      </c>
      <c r="F113" s="138" t="s">
        <v>6199</v>
      </c>
      <c r="G113" s="139" t="s">
        <v>6200</v>
      </c>
      <c r="H113" s="138" t="s">
        <v>5853</v>
      </c>
      <c r="I113" s="140" t="s">
        <v>5854</v>
      </c>
      <c r="J113" s="141" t="s">
        <v>7</v>
      </c>
      <c r="K113" s="142" t="s">
        <v>5855</v>
      </c>
      <c r="L113" s="138"/>
      <c r="M113" s="141"/>
      <c r="N113" s="177" t="s">
        <v>5856</v>
      </c>
    </row>
    <row r="114" spans="1:14" ht="22.95" customHeight="1">
      <c r="A114" s="138" t="s">
        <v>6201</v>
      </c>
      <c r="B114" s="138">
        <v>3840</v>
      </c>
      <c r="C114" s="139" t="s">
        <v>686</v>
      </c>
      <c r="D114" s="139" t="str">
        <f t="shared" si="1"/>
        <v>北縣天龍店1</v>
      </c>
      <c r="E114" s="138">
        <v>1</v>
      </c>
      <c r="F114" s="138" t="s">
        <v>6202</v>
      </c>
      <c r="G114" s="139" t="s">
        <v>6203</v>
      </c>
      <c r="H114" s="138" t="s">
        <v>5860</v>
      </c>
      <c r="I114" s="140" t="s">
        <v>5861</v>
      </c>
      <c r="J114" s="141" t="s">
        <v>7</v>
      </c>
      <c r="K114" s="142" t="s">
        <v>5855</v>
      </c>
      <c r="L114" s="138"/>
      <c r="M114" s="141"/>
      <c r="N114" s="177" t="s">
        <v>5856</v>
      </c>
    </row>
    <row r="115" spans="1:14" ht="22.95" customHeight="1">
      <c r="A115" s="138" t="s">
        <v>6204</v>
      </c>
      <c r="B115" s="138">
        <v>3840</v>
      </c>
      <c r="C115" s="139" t="s">
        <v>686</v>
      </c>
      <c r="D115" s="139" t="str">
        <f t="shared" si="1"/>
        <v>北縣天龍店2</v>
      </c>
      <c r="E115" s="138">
        <v>2</v>
      </c>
      <c r="F115" s="138" t="s">
        <v>6205</v>
      </c>
      <c r="G115" s="139" t="s">
        <v>6206</v>
      </c>
      <c r="H115" s="138" t="s">
        <v>5903</v>
      </c>
      <c r="I115" s="140" t="s">
        <v>5854</v>
      </c>
      <c r="J115" s="141" t="s">
        <v>7</v>
      </c>
      <c r="K115" s="142" t="s">
        <v>5855</v>
      </c>
      <c r="L115" s="138"/>
      <c r="M115" s="141"/>
      <c r="N115" s="177" t="s">
        <v>5856</v>
      </c>
    </row>
    <row r="116" spans="1:14" ht="22.95" customHeight="1">
      <c r="A116" s="138" t="s">
        <v>6207</v>
      </c>
      <c r="B116" s="138">
        <v>2302</v>
      </c>
      <c r="C116" s="139" t="s">
        <v>6208</v>
      </c>
      <c r="D116" s="139" t="str">
        <f t="shared" si="1"/>
        <v>北縣重安店1</v>
      </c>
      <c r="E116" s="138">
        <v>1</v>
      </c>
      <c r="F116" s="138" t="s">
        <v>6209</v>
      </c>
      <c r="G116" s="139"/>
      <c r="H116" s="138" t="s">
        <v>5853</v>
      </c>
      <c r="I116" s="140" t="s">
        <v>5861</v>
      </c>
      <c r="J116" s="141" t="s">
        <v>7</v>
      </c>
      <c r="K116" s="142" t="s">
        <v>5855</v>
      </c>
      <c r="L116" s="138"/>
      <c r="M116" s="141"/>
      <c r="N116" s="177" t="s">
        <v>5856</v>
      </c>
    </row>
    <row r="117" spans="1:14" ht="22.95" customHeight="1">
      <c r="A117" s="138" t="s">
        <v>6210</v>
      </c>
      <c r="B117" s="138">
        <v>2302</v>
      </c>
      <c r="C117" s="139" t="s">
        <v>6208</v>
      </c>
      <c r="D117" s="139" t="str">
        <f t="shared" si="1"/>
        <v>北縣重安店2</v>
      </c>
      <c r="E117" s="138">
        <v>2</v>
      </c>
      <c r="F117" s="138" t="s">
        <v>6211</v>
      </c>
      <c r="G117" s="139" t="s">
        <v>6212</v>
      </c>
      <c r="H117" s="138" t="s">
        <v>5853</v>
      </c>
      <c r="I117" s="140" t="s">
        <v>5861</v>
      </c>
      <c r="J117" s="141" t="s">
        <v>7</v>
      </c>
      <c r="K117" s="142" t="s">
        <v>5855</v>
      </c>
      <c r="L117" s="138"/>
      <c r="M117" s="141"/>
      <c r="N117" s="177" t="s">
        <v>5856</v>
      </c>
    </row>
    <row r="118" spans="1:14" ht="22.95" customHeight="1">
      <c r="A118" s="138" t="s">
        <v>6213</v>
      </c>
      <c r="B118" s="138">
        <v>3362</v>
      </c>
      <c r="C118" s="139" t="s">
        <v>6214</v>
      </c>
      <c r="D118" s="139" t="str">
        <f t="shared" si="1"/>
        <v>北縣重武店2</v>
      </c>
      <c r="E118" s="138">
        <v>2</v>
      </c>
      <c r="F118" s="138" t="s">
        <v>6215</v>
      </c>
      <c r="G118" s="139" t="s">
        <v>6216</v>
      </c>
      <c r="H118" s="138" t="s">
        <v>5860</v>
      </c>
      <c r="I118" s="140" t="s">
        <v>5861</v>
      </c>
      <c r="J118" s="141" t="s">
        <v>7</v>
      </c>
      <c r="K118" s="142" t="s">
        <v>5855</v>
      </c>
      <c r="L118" s="138"/>
      <c r="M118" s="141"/>
      <c r="N118" s="177" t="s">
        <v>5856</v>
      </c>
    </row>
    <row r="119" spans="1:14" ht="22.95" customHeight="1">
      <c r="A119" s="138" t="s">
        <v>6217</v>
      </c>
      <c r="B119" s="138">
        <v>2209</v>
      </c>
      <c r="C119" s="139" t="s">
        <v>6218</v>
      </c>
      <c r="D119" s="139" t="str">
        <f t="shared" si="1"/>
        <v>北縣重強店2</v>
      </c>
      <c r="E119" s="138">
        <v>2</v>
      </c>
      <c r="F119" s="138" t="s">
        <v>6219</v>
      </c>
      <c r="G119" s="139" t="s">
        <v>6220</v>
      </c>
      <c r="H119" s="138" t="s">
        <v>5853</v>
      </c>
      <c r="I119" s="140" t="s">
        <v>5861</v>
      </c>
      <c r="J119" s="141" t="s">
        <v>7</v>
      </c>
      <c r="K119" s="142" t="s">
        <v>5855</v>
      </c>
      <c r="L119" s="138"/>
      <c r="M119" s="141"/>
      <c r="N119" s="177" t="s">
        <v>5856</v>
      </c>
    </row>
    <row r="120" spans="1:14" ht="22.95" customHeight="1">
      <c r="A120" s="138" t="s">
        <v>6221</v>
      </c>
      <c r="B120" s="138">
        <v>3601</v>
      </c>
      <c r="C120" s="139" t="s">
        <v>6222</v>
      </c>
      <c r="D120" s="139" t="str">
        <f t="shared" si="1"/>
        <v>北縣重富店1</v>
      </c>
      <c r="E120" s="138">
        <v>1</v>
      </c>
      <c r="F120" s="138" t="s">
        <v>6223</v>
      </c>
      <c r="G120" s="139" t="s">
        <v>6224</v>
      </c>
      <c r="H120" s="138" t="s">
        <v>5853</v>
      </c>
      <c r="I120" s="140" t="s">
        <v>5861</v>
      </c>
      <c r="J120" s="141" t="s">
        <v>7</v>
      </c>
      <c r="K120" s="142" t="s">
        <v>5855</v>
      </c>
      <c r="L120" s="138"/>
      <c r="M120" s="141"/>
      <c r="N120" s="177" t="s">
        <v>5856</v>
      </c>
    </row>
    <row r="121" spans="1:14" ht="22.95" customHeight="1">
      <c r="A121" s="138" t="s">
        <v>6225</v>
      </c>
      <c r="B121" s="138">
        <v>3601</v>
      </c>
      <c r="C121" s="139" t="s">
        <v>6222</v>
      </c>
      <c r="D121" s="139" t="str">
        <f t="shared" si="1"/>
        <v>北縣重富店2</v>
      </c>
      <c r="E121" s="138">
        <v>2</v>
      </c>
      <c r="F121" s="138" t="s">
        <v>6226</v>
      </c>
      <c r="G121" s="139" t="s">
        <v>6227</v>
      </c>
      <c r="H121" s="138" t="s">
        <v>5853</v>
      </c>
      <c r="I121" s="140" t="s">
        <v>5861</v>
      </c>
      <c r="J121" s="141" t="s">
        <v>7</v>
      </c>
      <c r="K121" s="142" t="s">
        <v>5855</v>
      </c>
      <c r="L121" s="138"/>
      <c r="M121" s="141"/>
      <c r="N121" s="177" t="s">
        <v>5856</v>
      </c>
    </row>
    <row r="122" spans="1:14" ht="22.95" customHeight="1">
      <c r="A122" s="138" t="s">
        <v>6228</v>
      </c>
      <c r="B122" s="138">
        <v>2837</v>
      </c>
      <c r="C122" s="139" t="s">
        <v>6229</v>
      </c>
      <c r="D122" s="139" t="str">
        <f t="shared" si="1"/>
        <v>北縣重萬店1</v>
      </c>
      <c r="E122" s="138">
        <v>1</v>
      </c>
      <c r="F122" s="138" t="s">
        <v>6230</v>
      </c>
      <c r="G122" s="139" t="s">
        <v>6231</v>
      </c>
      <c r="H122" s="138" t="s">
        <v>5860</v>
      </c>
      <c r="I122" s="140" t="s">
        <v>5861</v>
      </c>
      <c r="J122" s="141" t="s">
        <v>7</v>
      </c>
      <c r="K122" s="142" t="s">
        <v>5855</v>
      </c>
      <c r="L122" s="138"/>
      <c r="M122" s="141"/>
      <c r="N122" s="177" t="s">
        <v>5856</v>
      </c>
    </row>
    <row r="123" spans="1:14" ht="22.95" customHeight="1">
      <c r="A123" s="138" t="s">
        <v>6232</v>
      </c>
      <c r="B123" s="138">
        <v>2837</v>
      </c>
      <c r="C123" s="139" t="s">
        <v>6229</v>
      </c>
      <c r="D123" s="139" t="str">
        <f t="shared" si="1"/>
        <v>北縣重萬店2</v>
      </c>
      <c r="E123" s="138">
        <v>2</v>
      </c>
      <c r="F123" s="138" t="s">
        <v>6233</v>
      </c>
      <c r="G123" s="139" t="s">
        <v>6234</v>
      </c>
      <c r="H123" s="138" t="s">
        <v>5860</v>
      </c>
      <c r="I123" s="140" t="s">
        <v>5854</v>
      </c>
      <c r="J123" s="141" t="s">
        <v>7</v>
      </c>
      <c r="K123" s="142" t="s">
        <v>5855</v>
      </c>
      <c r="L123" s="138"/>
      <c r="M123" s="141"/>
      <c r="N123" s="177" t="s">
        <v>5856</v>
      </c>
    </row>
    <row r="124" spans="1:14" ht="22.95" customHeight="1">
      <c r="A124" s="138" t="s">
        <v>6235</v>
      </c>
      <c r="B124" s="138">
        <v>2321</v>
      </c>
      <c r="C124" s="139" t="s">
        <v>6236</v>
      </c>
      <c r="D124" s="139" t="str">
        <f t="shared" si="1"/>
        <v>北縣重鑫店1</v>
      </c>
      <c r="E124" s="138">
        <v>1</v>
      </c>
      <c r="F124" s="138" t="s">
        <v>6237</v>
      </c>
      <c r="G124" s="139" t="s">
        <v>6238</v>
      </c>
      <c r="H124" s="138" t="s">
        <v>5853</v>
      </c>
      <c r="I124" s="140" t="s">
        <v>5861</v>
      </c>
      <c r="J124" s="141" t="s">
        <v>7</v>
      </c>
      <c r="K124" s="142" t="s">
        <v>5855</v>
      </c>
      <c r="L124" s="138"/>
      <c r="M124" s="141"/>
      <c r="N124" s="177" t="s">
        <v>5856</v>
      </c>
    </row>
    <row r="125" spans="1:14" ht="22.95" customHeight="1">
      <c r="A125" s="138" t="s">
        <v>6239</v>
      </c>
      <c r="B125" s="138">
        <v>2321</v>
      </c>
      <c r="C125" s="139" t="s">
        <v>6236</v>
      </c>
      <c r="D125" s="139" t="str">
        <f t="shared" si="1"/>
        <v>北縣重鑫店2</v>
      </c>
      <c r="E125" s="138">
        <v>2</v>
      </c>
      <c r="F125" s="138" t="s">
        <v>6240</v>
      </c>
      <c r="G125" s="139" t="s">
        <v>6241</v>
      </c>
      <c r="H125" s="138" t="s">
        <v>5853</v>
      </c>
      <c r="I125" s="140" t="s">
        <v>5861</v>
      </c>
      <c r="J125" s="141" t="s">
        <v>7</v>
      </c>
      <c r="K125" s="142" t="s">
        <v>5855</v>
      </c>
      <c r="L125" s="138"/>
      <c r="M125" s="141"/>
      <c r="N125" s="177" t="s">
        <v>5856</v>
      </c>
    </row>
    <row r="126" spans="1:14" ht="22.95" customHeight="1">
      <c r="A126" s="138" t="s">
        <v>6242</v>
      </c>
      <c r="B126" s="138" t="s">
        <v>53</v>
      </c>
      <c r="C126" s="139" t="s">
        <v>439</v>
      </c>
      <c r="D126" s="139" t="str">
        <f t="shared" si="1"/>
        <v>北縣溪尾二店1</v>
      </c>
      <c r="E126" s="138">
        <v>1</v>
      </c>
      <c r="F126" s="138" t="s">
        <v>6243</v>
      </c>
      <c r="G126" s="139" t="s">
        <v>6244</v>
      </c>
      <c r="H126" s="138" t="s">
        <v>5860</v>
      </c>
      <c r="I126" s="140" t="s">
        <v>5861</v>
      </c>
      <c r="J126" s="141" t="s">
        <v>7</v>
      </c>
      <c r="K126" s="142" t="s">
        <v>5855</v>
      </c>
      <c r="L126" s="138"/>
      <c r="M126" s="141"/>
      <c r="N126" s="177" t="s">
        <v>5856</v>
      </c>
    </row>
    <row r="127" spans="1:14" ht="22.95" customHeight="1">
      <c r="A127" s="138" t="s">
        <v>6245</v>
      </c>
      <c r="B127" s="138" t="s">
        <v>53</v>
      </c>
      <c r="C127" s="139" t="s">
        <v>439</v>
      </c>
      <c r="D127" s="139" t="str">
        <f t="shared" si="1"/>
        <v>北縣溪尾二店2</v>
      </c>
      <c r="E127" s="138">
        <v>2</v>
      </c>
      <c r="F127" s="138" t="s">
        <v>6246</v>
      </c>
      <c r="G127" s="139" t="s">
        <v>6247</v>
      </c>
      <c r="H127" s="138" t="s">
        <v>5860</v>
      </c>
      <c r="I127" s="140" t="s">
        <v>5861</v>
      </c>
      <c r="J127" s="141" t="s">
        <v>7</v>
      </c>
      <c r="K127" s="142" t="s">
        <v>5855</v>
      </c>
      <c r="L127" s="138"/>
      <c r="M127" s="141"/>
      <c r="N127" s="177" t="s">
        <v>5856</v>
      </c>
    </row>
    <row r="128" spans="1:14" ht="22.95" customHeight="1">
      <c r="A128" s="138" t="s">
        <v>6248</v>
      </c>
      <c r="B128" s="138">
        <v>2535</v>
      </c>
      <c r="C128" s="139" t="s">
        <v>973</v>
      </c>
      <c r="D128" s="139" t="str">
        <f t="shared" si="1"/>
        <v>五股五工店1</v>
      </c>
      <c r="E128" s="138">
        <v>1</v>
      </c>
      <c r="F128" s="138" t="s">
        <v>6249</v>
      </c>
      <c r="G128" s="139" t="s">
        <v>6250</v>
      </c>
      <c r="H128" s="138" t="s">
        <v>5903</v>
      </c>
      <c r="I128" s="140" t="s">
        <v>5861</v>
      </c>
      <c r="J128" s="141" t="s">
        <v>10</v>
      </c>
      <c r="K128" s="142" t="s">
        <v>5855</v>
      </c>
      <c r="L128" s="138"/>
      <c r="M128" s="141"/>
      <c r="N128" s="177" t="s">
        <v>5856</v>
      </c>
    </row>
    <row r="129" spans="1:14" ht="22.95" customHeight="1">
      <c r="A129" s="138" t="s">
        <v>6251</v>
      </c>
      <c r="B129" s="138" t="s">
        <v>80</v>
      </c>
      <c r="C129" s="139" t="s">
        <v>204</v>
      </c>
      <c r="D129" s="139" t="str">
        <f t="shared" si="1"/>
        <v>五股訓練教室1</v>
      </c>
      <c r="E129" s="138">
        <v>1</v>
      </c>
      <c r="F129" s="138" t="s">
        <v>6252</v>
      </c>
      <c r="G129" s="139" t="s">
        <v>6253</v>
      </c>
      <c r="H129" s="138" t="s">
        <v>5860</v>
      </c>
      <c r="I129" s="140" t="s">
        <v>5861</v>
      </c>
      <c r="J129" s="141" t="s">
        <v>10</v>
      </c>
      <c r="K129" s="142" t="s">
        <v>5855</v>
      </c>
      <c r="L129" s="138" t="s">
        <v>81</v>
      </c>
      <c r="M129" s="141"/>
      <c r="N129" s="177" t="s">
        <v>5856</v>
      </c>
    </row>
    <row r="130" spans="1:14" ht="22.95" customHeight="1">
      <c r="A130" s="138" t="s">
        <v>6254</v>
      </c>
      <c r="B130" s="138">
        <v>3227</v>
      </c>
      <c r="C130" s="139" t="s">
        <v>958</v>
      </c>
      <c r="D130" s="139" t="str">
        <f t="shared" ref="D130:D193" si="2">C130&amp;E130</f>
        <v>五股四維店2</v>
      </c>
      <c r="E130" s="138">
        <v>2</v>
      </c>
      <c r="F130" s="138" t="s">
        <v>6255</v>
      </c>
      <c r="G130" s="139" t="s">
        <v>6256</v>
      </c>
      <c r="H130" s="138" t="s">
        <v>5853</v>
      </c>
      <c r="I130" s="140" t="s">
        <v>5861</v>
      </c>
      <c r="J130" s="141" t="s">
        <v>10</v>
      </c>
      <c r="K130" s="142" t="s">
        <v>5855</v>
      </c>
      <c r="L130" s="138"/>
      <c r="M130" s="141"/>
      <c r="N130" s="177" t="s">
        <v>5856</v>
      </c>
    </row>
    <row r="131" spans="1:14" ht="22.95" customHeight="1">
      <c r="A131" s="138" t="s">
        <v>6257</v>
      </c>
      <c r="B131" s="138">
        <v>4801</v>
      </c>
      <c r="C131" s="139" t="s">
        <v>1309</v>
      </c>
      <c r="D131" s="139" t="str">
        <f t="shared" si="2"/>
        <v>五股成州店1</v>
      </c>
      <c r="E131" s="138">
        <v>1</v>
      </c>
      <c r="F131" s="138" t="s">
        <v>6258</v>
      </c>
      <c r="G131" s="139" t="s">
        <v>6259</v>
      </c>
      <c r="H131" s="138" t="s">
        <v>5903</v>
      </c>
      <c r="I131" s="140" t="s">
        <v>5861</v>
      </c>
      <c r="J131" s="141" t="s">
        <v>10</v>
      </c>
      <c r="K131" s="142" t="s">
        <v>5855</v>
      </c>
      <c r="L131" s="138"/>
      <c r="M131" s="141"/>
      <c r="N131" s="177" t="s">
        <v>5856</v>
      </c>
    </row>
    <row r="132" spans="1:14" ht="22.95" customHeight="1">
      <c r="A132" s="138" t="s">
        <v>6260</v>
      </c>
      <c r="B132" s="138">
        <v>4801</v>
      </c>
      <c r="C132" s="139" t="s">
        <v>1309</v>
      </c>
      <c r="D132" s="139" t="str">
        <f t="shared" si="2"/>
        <v>五股成州店2</v>
      </c>
      <c r="E132" s="138">
        <v>2</v>
      </c>
      <c r="F132" s="138" t="s">
        <v>6261</v>
      </c>
      <c r="G132" s="139" t="s">
        <v>6262</v>
      </c>
      <c r="H132" s="138" t="s">
        <v>5903</v>
      </c>
      <c r="I132" s="140" t="s">
        <v>5861</v>
      </c>
      <c r="J132" s="141" t="s">
        <v>10</v>
      </c>
      <c r="K132" s="142" t="s">
        <v>5855</v>
      </c>
      <c r="L132" s="138"/>
      <c r="M132" s="141"/>
      <c r="N132" s="177" t="s">
        <v>5856</v>
      </c>
    </row>
    <row r="133" spans="1:14" ht="22.95" customHeight="1">
      <c r="A133" s="138" t="s">
        <v>6263</v>
      </c>
      <c r="B133" s="138">
        <v>4819</v>
      </c>
      <c r="C133" s="139" t="s">
        <v>1312</v>
      </c>
      <c r="D133" s="139" t="str">
        <f t="shared" si="2"/>
        <v>五股凌雲店1</v>
      </c>
      <c r="E133" s="138">
        <v>1</v>
      </c>
      <c r="F133" s="138" t="s">
        <v>6264</v>
      </c>
      <c r="G133" s="139" t="s">
        <v>6265</v>
      </c>
      <c r="H133" s="138" t="s">
        <v>5860</v>
      </c>
      <c r="I133" s="140" t="s">
        <v>5861</v>
      </c>
      <c r="J133" s="141" t="s">
        <v>10</v>
      </c>
      <c r="K133" s="142" t="s">
        <v>5855</v>
      </c>
      <c r="L133" s="138"/>
      <c r="M133" s="141"/>
      <c r="N133" s="177" t="s">
        <v>5856</v>
      </c>
    </row>
    <row r="134" spans="1:14" ht="22.95" customHeight="1">
      <c r="A134" s="138" t="s">
        <v>6266</v>
      </c>
      <c r="B134" s="138">
        <v>4819</v>
      </c>
      <c r="C134" s="139" t="s">
        <v>1312</v>
      </c>
      <c r="D134" s="139" t="str">
        <f t="shared" si="2"/>
        <v>五股凌雲店2</v>
      </c>
      <c r="E134" s="138">
        <v>2</v>
      </c>
      <c r="F134" s="138" t="s">
        <v>6267</v>
      </c>
      <c r="G134" s="139" t="s">
        <v>6268</v>
      </c>
      <c r="H134" s="138" t="s">
        <v>5860</v>
      </c>
      <c r="I134" s="140" t="s">
        <v>5861</v>
      </c>
      <c r="J134" s="141" t="s">
        <v>10</v>
      </c>
      <c r="K134" s="142" t="s">
        <v>5855</v>
      </c>
      <c r="L134" s="138"/>
      <c r="M134" s="141"/>
      <c r="N134" s="177" t="s">
        <v>5856</v>
      </c>
    </row>
    <row r="135" spans="1:14" ht="22.95" customHeight="1">
      <c r="A135" s="138" t="s">
        <v>6269</v>
      </c>
      <c r="B135" s="138">
        <v>2390</v>
      </c>
      <c r="C135" s="139" t="s">
        <v>1456</v>
      </c>
      <c r="D135" s="139" t="str">
        <f t="shared" si="2"/>
        <v>五股產業園區2</v>
      </c>
      <c r="E135" s="138">
        <v>2</v>
      </c>
      <c r="F135" s="138" t="s">
        <v>6270</v>
      </c>
      <c r="G135" s="139" t="s">
        <v>6271</v>
      </c>
      <c r="H135" s="138" t="s">
        <v>5903</v>
      </c>
      <c r="I135" s="140" t="s">
        <v>5861</v>
      </c>
      <c r="J135" s="141" t="s">
        <v>10</v>
      </c>
      <c r="K135" s="142" t="s">
        <v>5855</v>
      </c>
      <c r="L135" s="138"/>
      <c r="M135" s="141"/>
      <c r="N135" s="177" t="s">
        <v>5856</v>
      </c>
    </row>
    <row r="136" spans="1:14" ht="22.95" customHeight="1">
      <c r="A136" s="138" t="s">
        <v>6272</v>
      </c>
      <c r="B136" s="138">
        <v>3921</v>
      </c>
      <c r="C136" s="139" t="s">
        <v>1690</v>
      </c>
      <c r="D136" s="139" t="str">
        <f t="shared" si="2"/>
        <v>五股福鑫店1</v>
      </c>
      <c r="E136" s="138">
        <v>1</v>
      </c>
      <c r="F136" s="138" t="s">
        <v>6273</v>
      </c>
      <c r="G136" s="139" t="s">
        <v>6274</v>
      </c>
      <c r="H136" s="138" t="s">
        <v>5860</v>
      </c>
      <c r="I136" s="140" t="s">
        <v>5861</v>
      </c>
      <c r="J136" s="141" t="s">
        <v>10</v>
      </c>
      <c r="K136" s="142" t="s">
        <v>5855</v>
      </c>
      <c r="L136" s="138"/>
      <c r="M136" s="141"/>
      <c r="N136" s="177" t="s">
        <v>5856</v>
      </c>
    </row>
    <row r="137" spans="1:14" ht="22.95" customHeight="1">
      <c r="A137" s="138" t="s">
        <v>6275</v>
      </c>
      <c r="B137" s="138">
        <v>3921</v>
      </c>
      <c r="C137" s="139" t="s">
        <v>1690</v>
      </c>
      <c r="D137" s="139" t="str">
        <f t="shared" si="2"/>
        <v>五股福鑫店2</v>
      </c>
      <c r="E137" s="138">
        <v>2</v>
      </c>
      <c r="F137" s="138" t="s">
        <v>6276</v>
      </c>
      <c r="G137" s="139"/>
      <c r="H137" s="138" t="s">
        <v>5860</v>
      </c>
      <c r="I137" s="140" t="s">
        <v>5861</v>
      </c>
      <c r="J137" s="141" t="s">
        <v>10</v>
      </c>
      <c r="K137" s="142" t="s">
        <v>5855</v>
      </c>
      <c r="L137" s="138"/>
      <c r="M137" s="141"/>
      <c r="N137" s="177" t="s">
        <v>5856</v>
      </c>
    </row>
    <row r="138" spans="1:14" ht="22.95" customHeight="1">
      <c r="A138" s="138" t="s">
        <v>6277</v>
      </c>
      <c r="B138" s="138">
        <v>2691</v>
      </c>
      <c r="C138" s="139" t="s">
        <v>762</v>
      </c>
      <c r="D138" s="139" t="str">
        <f t="shared" si="2"/>
        <v>五股興珍店1</v>
      </c>
      <c r="E138" s="138">
        <v>1</v>
      </c>
      <c r="F138" s="138" t="s">
        <v>6278</v>
      </c>
      <c r="G138" s="139" t="s">
        <v>6279</v>
      </c>
      <c r="H138" s="138" t="s">
        <v>5860</v>
      </c>
      <c r="I138" s="140" t="s">
        <v>5861</v>
      </c>
      <c r="J138" s="141" t="s">
        <v>10</v>
      </c>
      <c r="K138" s="142" t="s">
        <v>5855</v>
      </c>
      <c r="L138" s="138"/>
      <c r="M138" s="141"/>
      <c r="N138" s="177" t="s">
        <v>5856</v>
      </c>
    </row>
    <row r="139" spans="1:14" ht="22.95" customHeight="1">
      <c r="A139" s="138" t="s">
        <v>6280</v>
      </c>
      <c r="B139" s="138">
        <v>2691</v>
      </c>
      <c r="C139" s="139" t="s">
        <v>762</v>
      </c>
      <c r="D139" s="139" t="str">
        <f t="shared" si="2"/>
        <v>五股興珍店2</v>
      </c>
      <c r="E139" s="138">
        <v>2</v>
      </c>
      <c r="F139" s="138" t="s">
        <v>6281</v>
      </c>
      <c r="G139" s="139" t="s">
        <v>6282</v>
      </c>
      <c r="H139" s="138" t="s">
        <v>5860</v>
      </c>
      <c r="I139" s="140" t="s">
        <v>5861</v>
      </c>
      <c r="J139" s="141" t="s">
        <v>10</v>
      </c>
      <c r="K139" s="142" t="s">
        <v>5855</v>
      </c>
      <c r="L139" s="138"/>
      <c r="M139" s="141"/>
      <c r="N139" s="177" t="s">
        <v>5856</v>
      </c>
    </row>
    <row r="140" spans="1:14" ht="22.95" customHeight="1">
      <c r="A140" s="138" t="s">
        <v>6283</v>
      </c>
      <c r="B140" s="138">
        <v>2325</v>
      </c>
      <c r="C140" s="139" t="s">
        <v>1304</v>
      </c>
      <c r="D140" s="139" t="str">
        <f t="shared" si="2"/>
        <v>北縣五泰店1</v>
      </c>
      <c r="E140" s="138">
        <v>1</v>
      </c>
      <c r="F140" s="138" t="s">
        <v>6284</v>
      </c>
      <c r="G140" s="139" t="s">
        <v>6285</v>
      </c>
      <c r="H140" s="138" t="s">
        <v>5853</v>
      </c>
      <c r="I140" s="140" t="s">
        <v>5861</v>
      </c>
      <c r="J140" s="141" t="s">
        <v>10</v>
      </c>
      <c r="K140" s="142" t="s">
        <v>5855</v>
      </c>
      <c r="L140" s="138"/>
      <c r="M140" s="141"/>
      <c r="N140" s="177" t="s">
        <v>5856</v>
      </c>
    </row>
    <row r="141" spans="1:14" ht="22.95" customHeight="1">
      <c r="A141" s="138" t="s">
        <v>6286</v>
      </c>
      <c r="B141" s="138">
        <v>2325</v>
      </c>
      <c r="C141" s="139" t="s">
        <v>1304</v>
      </c>
      <c r="D141" s="139" t="str">
        <f t="shared" si="2"/>
        <v>北縣五泰店2</v>
      </c>
      <c r="E141" s="138">
        <v>2</v>
      </c>
      <c r="F141" s="138" t="s">
        <v>6287</v>
      </c>
      <c r="G141" s="139" t="s">
        <v>6288</v>
      </c>
      <c r="H141" s="138" t="s">
        <v>5853</v>
      </c>
      <c r="I141" s="140" t="s">
        <v>5861</v>
      </c>
      <c r="J141" s="141" t="s">
        <v>10</v>
      </c>
      <c r="K141" s="142" t="s">
        <v>5855</v>
      </c>
      <c r="L141" s="138"/>
      <c r="M141" s="141"/>
      <c r="N141" s="177" t="s">
        <v>5856</v>
      </c>
    </row>
    <row r="142" spans="1:14" ht="22.95" customHeight="1">
      <c r="A142" s="138" t="s">
        <v>6289</v>
      </c>
      <c r="B142" s="138">
        <v>3770</v>
      </c>
      <c r="C142" s="139" t="s">
        <v>1263</v>
      </c>
      <c r="D142" s="139" t="str">
        <f t="shared" si="2"/>
        <v>北縣西雲店2</v>
      </c>
      <c r="E142" s="138">
        <v>2</v>
      </c>
      <c r="F142" s="138" t="s">
        <v>6290</v>
      </c>
      <c r="G142" s="139" t="s">
        <v>6291</v>
      </c>
      <c r="H142" s="138" t="s">
        <v>5860</v>
      </c>
      <c r="I142" s="140" t="s">
        <v>5861</v>
      </c>
      <c r="J142" s="141" t="s">
        <v>10</v>
      </c>
      <c r="K142" s="142" t="s">
        <v>5855</v>
      </c>
      <c r="L142" s="138"/>
      <c r="M142" s="141"/>
      <c r="N142" s="177" t="s">
        <v>5856</v>
      </c>
    </row>
    <row r="143" spans="1:14" ht="22.95" customHeight="1">
      <c r="A143" s="138" t="s">
        <v>6292</v>
      </c>
      <c r="B143" s="138">
        <v>4845</v>
      </c>
      <c r="C143" s="139" t="s">
        <v>2288</v>
      </c>
      <c r="D143" s="139" t="str">
        <f t="shared" si="2"/>
        <v>石門海角店1</v>
      </c>
      <c r="E143" s="138">
        <v>1</v>
      </c>
      <c r="F143" s="138" t="s">
        <v>6293</v>
      </c>
      <c r="G143" s="139" t="s">
        <v>6294</v>
      </c>
      <c r="H143" s="138" t="s">
        <v>5860</v>
      </c>
      <c r="I143" s="140" t="s">
        <v>5861</v>
      </c>
      <c r="J143" s="141" t="s">
        <v>1</v>
      </c>
      <c r="K143" s="142" t="s">
        <v>5855</v>
      </c>
      <c r="L143" s="138"/>
      <c r="M143" s="141"/>
      <c r="N143" s="177" t="s">
        <v>5856</v>
      </c>
    </row>
    <row r="144" spans="1:14" ht="22.95" customHeight="1">
      <c r="A144" s="138" t="s">
        <v>6295</v>
      </c>
      <c r="B144" s="138">
        <v>4845</v>
      </c>
      <c r="C144" s="139" t="s">
        <v>2288</v>
      </c>
      <c r="D144" s="139" t="str">
        <f t="shared" si="2"/>
        <v>石門海角店2</v>
      </c>
      <c r="E144" s="138">
        <v>2</v>
      </c>
      <c r="F144" s="138" t="s">
        <v>6296</v>
      </c>
      <c r="G144" s="139" t="s">
        <v>6297</v>
      </c>
      <c r="H144" s="138" t="s">
        <v>5860</v>
      </c>
      <c r="I144" s="140" t="s">
        <v>5861</v>
      </c>
      <c r="J144" s="141" t="s">
        <v>1</v>
      </c>
      <c r="K144" s="142" t="s">
        <v>5855</v>
      </c>
      <c r="L144" s="138"/>
      <c r="M144" s="141"/>
      <c r="N144" s="177" t="s">
        <v>5856</v>
      </c>
    </row>
    <row r="145" spans="1:14" ht="22.95" customHeight="1">
      <c r="A145" s="138" t="s">
        <v>6298</v>
      </c>
      <c r="B145" s="138">
        <v>3752</v>
      </c>
      <c r="C145" s="139" t="s">
        <v>985</v>
      </c>
      <c r="D145" s="139" t="str">
        <f t="shared" si="2"/>
        <v>板橋豫章店1</v>
      </c>
      <c r="E145" s="138">
        <v>1</v>
      </c>
      <c r="F145" s="138" t="s">
        <v>6299</v>
      </c>
      <c r="G145" s="139" t="s">
        <v>6300</v>
      </c>
      <c r="H145" s="138" t="s">
        <v>5853</v>
      </c>
      <c r="I145" s="140" t="s">
        <v>5861</v>
      </c>
      <c r="J145" s="141" t="s">
        <v>14</v>
      </c>
      <c r="K145" s="142" t="s">
        <v>5855</v>
      </c>
      <c r="L145" s="138" t="s">
        <v>66</v>
      </c>
      <c r="M145" s="141"/>
      <c r="N145" s="177" t="s">
        <v>5856</v>
      </c>
    </row>
    <row r="146" spans="1:14" ht="22.95" customHeight="1">
      <c r="A146" s="138" t="s">
        <v>6301</v>
      </c>
      <c r="B146" s="138">
        <v>3752</v>
      </c>
      <c r="C146" s="139" t="s">
        <v>985</v>
      </c>
      <c r="D146" s="139" t="str">
        <f t="shared" si="2"/>
        <v>板橋豫章店2</v>
      </c>
      <c r="E146" s="138">
        <v>2</v>
      </c>
      <c r="F146" s="138" t="s">
        <v>6302</v>
      </c>
      <c r="G146" s="139" t="s">
        <v>6303</v>
      </c>
      <c r="H146" s="138" t="s">
        <v>5853</v>
      </c>
      <c r="I146" s="140" t="s">
        <v>5861</v>
      </c>
      <c r="J146" s="141" t="s">
        <v>14</v>
      </c>
      <c r="K146" s="142" t="s">
        <v>5855</v>
      </c>
      <c r="L146" s="138" t="s">
        <v>66</v>
      </c>
      <c r="M146" s="141"/>
      <c r="N146" s="177" t="s">
        <v>5856</v>
      </c>
    </row>
    <row r="147" spans="1:14" ht="22.95" customHeight="1">
      <c r="A147" s="138" t="s">
        <v>6304</v>
      </c>
      <c r="B147" s="138" t="s">
        <v>48</v>
      </c>
      <c r="C147" s="139" t="s">
        <v>5251</v>
      </c>
      <c r="D147" s="139" t="str">
        <f t="shared" si="2"/>
        <v>北縣府中店1</v>
      </c>
      <c r="E147" s="138">
        <v>1</v>
      </c>
      <c r="F147" s="138" t="s">
        <v>6305</v>
      </c>
      <c r="G147" s="139" t="s">
        <v>6306</v>
      </c>
      <c r="H147" s="138" t="s">
        <v>5860</v>
      </c>
      <c r="I147" s="140" t="s">
        <v>5861</v>
      </c>
      <c r="J147" s="141" t="s">
        <v>14</v>
      </c>
      <c r="K147" s="142" t="s">
        <v>5855</v>
      </c>
      <c r="L147" s="138"/>
      <c r="M147" s="141"/>
      <c r="N147" s="177" t="s">
        <v>5856</v>
      </c>
    </row>
    <row r="148" spans="1:14" ht="22.95" customHeight="1">
      <c r="A148" s="138" t="s">
        <v>6307</v>
      </c>
      <c r="B148" s="138" t="s">
        <v>48</v>
      </c>
      <c r="C148" s="139" t="s">
        <v>5251</v>
      </c>
      <c r="D148" s="139" t="str">
        <f t="shared" si="2"/>
        <v>北縣府中店2</v>
      </c>
      <c r="E148" s="138">
        <v>2</v>
      </c>
      <c r="F148" s="138" t="s">
        <v>6308</v>
      </c>
      <c r="G148" s="139" t="s">
        <v>6309</v>
      </c>
      <c r="H148" s="138" t="s">
        <v>5860</v>
      </c>
      <c r="I148" s="140" t="s">
        <v>5861</v>
      </c>
      <c r="J148" s="141" t="s">
        <v>14</v>
      </c>
      <c r="K148" s="142" t="s">
        <v>5855</v>
      </c>
      <c r="L148" s="138"/>
      <c r="M148" s="141"/>
      <c r="N148" s="177" t="s">
        <v>5856</v>
      </c>
    </row>
    <row r="149" spans="1:14" ht="22.95" customHeight="1">
      <c r="A149" s="138" t="s">
        <v>6310</v>
      </c>
      <c r="B149" s="138">
        <v>3183</v>
      </c>
      <c r="C149" s="139" t="s">
        <v>6311</v>
      </c>
      <c r="D149" s="139" t="str">
        <f t="shared" si="2"/>
        <v>北縣板好店1</v>
      </c>
      <c r="E149" s="138">
        <v>1</v>
      </c>
      <c r="F149" s="138" t="s">
        <v>6312</v>
      </c>
      <c r="G149" s="139" t="s">
        <v>6313</v>
      </c>
      <c r="H149" s="138" t="s">
        <v>5860</v>
      </c>
      <c r="I149" s="140" t="s">
        <v>5861</v>
      </c>
      <c r="J149" s="141" t="s">
        <v>14</v>
      </c>
      <c r="K149" s="142" t="s">
        <v>5855</v>
      </c>
      <c r="L149" s="138"/>
      <c r="M149" s="141"/>
      <c r="N149" s="177" t="s">
        <v>5856</v>
      </c>
    </row>
    <row r="150" spans="1:14" ht="22.95" customHeight="1">
      <c r="A150" s="138" t="s">
        <v>6314</v>
      </c>
      <c r="B150" s="138">
        <v>3183</v>
      </c>
      <c r="C150" s="139" t="s">
        <v>6311</v>
      </c>
      <c r="D150" s="139" t="str">
        <f t="shared" si="2"/>
        <v>北縣板好店2</v>
      </c>
      <c r="E150" s="138">
        <v>2</v>
      </c>
      <c r="F150" s="138" t="s">
        <v>6315</v>
      </c>
      <c r="G150" s="139" t="s">
        <v>6316</v>
      </c>
      <c r="H150" s="138" t="s">
        <v>5903</v>
      </c>
      <c r="I150" s="140" t="s">
        <v>5854</v>
      </c>
      <c r="J150" s="141" t="s">
        <v>14</v>
      </c>
      <c r="K150" s="142" t="s">
        <v>5855</v>
      </c>
      <c r="L150" s="138"/>
      <c r="M150" s="141"/>
      <c r="N150" s="177" t="s">
        <v>5856</v>
      </c>
    </row>
    <row r="151" spans="1:14" ht="22.95" customHeight="1">
      <c r="A151" s="138" t="s">
        <v>6317</v>
      </c>
      <c r="B151" s="138">
        <v>3147</v>
      </c>
      <c r="C151" s="139" t="s">
        <v>5234</v>
      </c>
      <c r="D151" s="139" t="str">
        <f t="shared" si="2"/>
        <v>北縣板明店2</v>
      </c>
      <c r="E151" s="138">
        <v>2</v>
      </c>
      <c r="F151" s="138" t="s">
        <v>6318</v>
      </c>
      <c r="G151" s="139" t="s">
        <v>6319</v>
      </c>
      <c r="H151" s="138" t="s">
        <v>5860</v>
      </c>
      <c r="I151" s="140" t="s">
        <v>5861</v>
      </c>
      <c r="J151" s="141" t="s">
        <v>14</v>
      </c>
      <c r="K151" s="142" t="s">
        <v>5855</v>
      </c>
      <c r="L151" s="138"/>
      <c r="M151" s="141"/>
      <c r="N151" s="177" t="s">
        <v>5856</v>
      </c>
    </row>
    <row r="152" spans="1:14" ht="22.95" customHeight="1">
      <c r="A152" s="138" t="s">
        <v>6320</v>
      </c>
      <c r="B152" s="138">
        <v>2746</v>
      </c>
      <c r="C152" s="139" t="s">
        <v>5219</v>
      </c>
      <c r="D152" s="139" t="str">
        <f t="shared" si="2"/>
        <v>北縣板嘉店1</v>
      </c>
      <c r="E152" s="138">
        <v>1</v>
      </c>
      <c r="F152" s="138" t="s">
        <v>6321</v>
      </c>
      <c r="G152" s="139" t="s">
        <v>6322</v>
      </c>
      <c r="H152" s="138" t="s">
        <v>5853</v>
      </c>
      <c r="I152" s="140" t="s">
        <v>5861</v>
      </c>
      <c r="J152" s="141" t="s">
        <v>14</v>
      </c>
      <c r="K152" s="142" t="s">
        <v>5855</v>
      </c>
      <c r="L152" s="138"/>
      <c r="M152" s="141"/>
      <c r="N152" s="177" t="s">
        <v>5856</v>
      </c>
    </row>
    <row r="153" spans="1:14" ht="22.95" customHeight="1">
      <c r="A153" s="138" t="s">
        <v>6323</v>
      </c>
      <c r="B153" s="138">
        <v>2746</v>
      </c>
      <c r="C153" s="139" t="s">
        <v>5219</v>
      </c>
      <c r="D153" s="139" t="str">
        <f t="shared" si="2"/>
        <v>北縣板嘉店2</v>
      </c>
      <c r="E153" s="138">
        <v>2</v>
      </c>
      <c r="F153" s="138" t="s">
        <v>6324</v>
      </c>
      <c r="G153" s="139" t="s">
        <v>6325</v>
      </c>
      <c r="H153" s="138" t="s">
        <v>5903</v>
      </c>
      <c r="I153" s="140" t="s">
        <v>5861</v>
      </c>
      <c r="J153" s="141" t="s">
        <v>14</v>
      </c>
      <c r="K153" s="142" t="s">
        <v>5855</v>
      </c>
      <c r="L153" s="138"/>
      <c r="M153" s="141"/>
      <c r="N153" s="177" t="s">
        <v>5856</v>
      </c>
    </row>
    <row r="154" spans="1:14" ht="22.95" customHeight="1">
      <c r="A154" s="138" t="s">
        <v>6326</v>
      </c>
      <c r="B154" s="138">
        <v>2422</v>
      </c>
      <c r="C154" s="139" t="s">
        <v>544</v>
      </c>
      <c r="D154" s="139" t="str">
        <f t="shared" si="2"/>
        <v>北縣板億店1</v>
      </c>
      <c r="E154" s="138">
        <v>1</v>
      </c>
      <c r="F154" s="138" t="s">
        <v>6327</v>
      </c>
      <c r="G154" s="139" t="s">
        <v>6328</v>
      </c>
      <c r="H154" s="138" t="s">
        <v>5853</v>
      </c>
      <c r="I154" s="140" t="s">
        <v>5861</v>
      </c>
      <c r="J154" s="141" t="s">
        <v>14</v>
      </c>
      <c r="K154" s="142" t="s">
        <v>5855</v>
      </c>
      <c r="L154" s="138"/>
      <c r="M154" s="141"/>
      <c r="N154" s="177" t="s">
        <v>5856</v>
      </c>
    </row>
    <row r="155" spans="1:14" ht="22.95" customHeight="1">
      <c r="A155" s="138" t="s">
        <v>6329</v>
      </c>
      <c r="B155" s="138">
        <v>2422</v>
      </c>
      <c r="C155" s="139" t="s">
        <v>544</v>
      </c>
      <c r="D155" s="139" t="str">
        <f t="shared" si="2"/>
        <v>北縣板億店2</v>
      </c>
      <c r="E155" s="138">
        <v>2</v>
      </c>
      <c r="F155" s="138" t="s">
        <v>6330</v>
      </c>
      <c r="G155" s="139" t="s">
        <v>6331</v>
      </c>
      <c r="H155" s="138" t="s">
        <v>5853</v>
      </c>
      <c r="I155" s="140" t="s">
        <v>5861</v>
      </c>
      <c r="J155" s="141" t="s">
        <v>14</v>
      </c>
      <c r="K155" s="142" t="s">
        <v>5855</v>
      </c>
      <c r="L155" s="138"/>
      <c r="M155" s="141"/>
      <c r="N155" s="177" t="s">
        <v>5856</v>
      </c>
    </row>
    <row r="156" spans="1:14" ht="22.95" customHeight="1">
      <c r="A156" s="138" t="s">
        <v>6332</v>
      </c>
      <c r="B156" s="138">
        <v>2403</v>
      </c>
      <c r="C156" s="139" t="s">
        <v>6333</v>
      </c>
      <c r="D156" s="139" t="str">
        <f t="shared" si="2"/>
        <v>北縣板龍店1</v>
      </c>
      <c r="E156" s="138">
        <v>1</v>
      </c>
      <c r="F156" s="138" t="s">
        <v>6334</v>
      </c>
      <c r="G156" s="139" t="s">
        <v>6335</v>
      </c>
      <c r="H156" s="138" t="s">
        <v>5903</v>
      </c>
      <c r="I156" s="140" t="s">
        <v>5861</v>
      </c>
      <c r="J156" s="141" t="s">
        <v>14</v>
      </c>
      <c r="K156" s="142" t="s">
        <v>5855</v>
      </c>
      <c r="L156" s="138"/>
      <c r="M156" s="141"/>
      <c r="N156" s="177" t="s">
        <v>5856</v>
      </c>
    </row>
    <row r="157" spans="1:14" ht="22.95" customHeight="1">
      <c r="A157" s="138" t="s">
        <v>6336</v>
      </c>
      <c r="B157" s="138">
        <v>2403</v>
      </c>
      <c r="C157" s="139" t="s">
        <v>6333</v>
      </c>
      <c r="D157" s="139" t="str">
        <f t="shared" si="2"/>
        <v>北縣板龍店2</v>
      </c>
      <c r="E157" s="138">
        <v>2</v>
      </c>
      <c r="F157" s="138" t="s">
        <v>6337</v>
      </c>
      <c r="G157" s="139" t="s">
        <v>6338</v>
      </c>
      <c r="H157" s="138" t="s">
        <v>5903</v>
      </c>
      <c r="I157" s="140" t="s">
        <v>5854</v>
      </c>
      <c r="J157" s="141" t="s">
        <v>14</v>
      </c>
      <c r="K157" s="142" t="s">
        <v>5855</v>
      </c>
      <c r="L157" s="138"/>
      <c r="M157" s="141"/>
      <c r="N157" s="177" t="s">
        <v>5856</v>
      </c>
    </row>
    <row r="158" spans="1:14" ht="22.95" customHeight="1">
      <c r="A158" s="138" t="s">
        <v>6339</v>
      </c>
      <c r="B158" s="138">
        <v>3551</v>
      </c>
      <c r="C158" s="139" t="s">
        <v>6340</v>
      </c>
      <c r="D158" s="139" t="str">
        <f t="shared" si="2"/>
        <v>北縣板豐店1</v>
      </c>
      <c r="E158" s="138">
        <v>1</v>
      </c>
      <c r="F158" s="138" t="s">
        <v>6341</v>
      </c>
      <c r="G158" s="139" t="s">
        <v>6342</v>
      </c>
      <c r="H158" s="138" t="s">
        <v>5860</v>
      </c>
      <c r="I158" s="140" t="s">
        <v>5861</v>
      </c>
      <c r="J158" s="141" t="s">
        <v>14</v>
      </c>
      <c r="K158" s="142" t="s">
        <v>5855</v>
      </c>
      <c r="L158" s="138"/>
      <c r="M158" s="141"/>
      <c r="N158" s="177" t="s">
        <v>5856</v>
      </c>
    </row>
    <row r="159" spans="1:14" ht="22.95" customHeight="1">
      <c r="A159" s="138" t="s">
        <v>6343</v>
      </c>
      <c r="B159" s="138">
        <v>3551</v>
      </c>
      <c r="C159" s="139" t="s">
        <v>6340</v>
      </c>
      <c r="D159" s="139" t="str">
        <f t="shared" si="2"/>
        <v>北縣板豐店2</v>
      </c>
      <c r="E159" s="138">
        <v>2</v>
      </c>
      <c r="F159" s="138" t="s">
        <v>6344</v>
      </c>
      <c r="G159" s="139" t="s">
        <v>6345</v>
      </c>
      <c r="H159" s="138" t="s">
        <v>5860</v>
      </c>
      <c r="I159" s="140" t="s">
        <v>5854</v>
      </c>
      <c r="J159" s="141" t="s">
        <v>14</v>
      </c>
      <c r="K159" s="142" t="s">
        <v>5855</v>
      </c>
      <c r="L159" s="138"/>
      <c r="M159" s="141"/>
      <c r="N159" s="177" t="s">
        <v>5856</v>
      </c>
    </row>
    <row r="160" spans="1:14" ht="22.95" customHeight="1">
      <c r="A160" s="138" t="s">
        <v>6346</v>
      </c>
      <c r="B160" s="138" t="s">
        <v>73</v>
      </c>
      <c r="C160" s="139" t="s">
        <v>5274</v>
      </c>
      <c r="D160" s="139" t="str">
        <f t="shared" si="2"/>
        <v>北縣僑中三店1</v>
      </c>
      <c r="E160" s="138">
        <v>1</v>
      </c>
      <c r="F160" s="138" t="s">
        <v>6347</v>
      </c>
      <c r="G160" s="139" t="s">
        <v>6348</v>
      </c>
      <c r="H160" s="138" t="s">
        <v>5853</v>
      </c>
      <c r="I160" s="140" t="s">
        <v>5861</v>
      </c>
      <c r="J160" s="141" t="s">
        <v>14</v>
      </c>
      <c r="K160" s="142" t="s">
        <v>5855</v>
      </c>
      <c r="L160" s="138"/>
      <c r="M160" s="141"/>
      <c r="N160" s="177" t="s">
        <v>5856</v>
      </c>
    </row>
    <row r="161" spans="1:14" ht="22.95" customHeight="1">
      <c r="A161" s="138" t="s">
        <v>6349</v>
      </c>
      <c r="B161" s="138" t="s">
        <v>73</v>
      </c>
      <c r="C161" s="139" t="s">
        <v>5274</v>
      </c>
      <c r="D161" s="139" t="str">
        <f t="shared" si="2"/>
        <v>北縣僑中三店2</v>
      </c>
      <c r="E161" s="138">
        <v>2</v>
      </c>
      <c r="F161" s="138" t="s">
        <v>6350</v>
      </c>
      <c r="G161" s="139"/>
      <c r="H161" s="138" t="s">
        <v>5853</v>
      </c>
      <c r="I161" s="140" t="s">
        <v>5861</v>
      </c>
      <c r="J161" s="141" t="s">
        <v>14</v>
      </c>
      <c r="K161" s="142" t="s">
        <v>5855</v>
      </c>
      <c r="L161" s="138"/>
      <c r="M161" s="141"/>
      <c r="N161" s="177" t="s">
        <v>5856</v>
      </c>
    </row>
    <row r="162" spans="1:14" ht="22.95" customHeight="1">
      <c r="A162" s="138" t="s">
        <v>6351</v>
      </c>
      <c r="B162" s="138" t="s">
        <v>74</v>
      </c>
      <c r="C162" s="139" t="s">
        <v>6352</v>
      </c>
      <c r="D162" s="139" t="str">
        <f t="shared" si="2"/>
        <v>北縣僑福店1</v>
      </c>
      <c r="E162" s="138">
        <v>1</v>
      </c>
      <c r="F162" s="138" t="s">
        <v>6353</v>
      </c>
      <c r="G162" s="139" t="s">
        <v>6354</v>
      </c>
      <c r="H162" s="138" t="s">
        <v>5853</v>
      </c>
      <c r="I162" s="140" t="s">
        <v>5861</v>
      </c>
      <c r="J162" s="141" t="s">
        <v>14</v>
      </c>
      <c r="K162" s="142" t="s">
        <v>5855</v>
      </c>
      <c r="L162" s="138"/>
      <c r="M162" s="141" t="s">
        <v>6355</v>
      </c>
      <c r="N162" s="177" t="s">
        <v>5856</v>
      </c>
    </row>
    <row r="163" spans="1:14" ht="22.95" customHeight="1">
      <c r="A163" s="138" t="s">
        <v>6356</v>
      </c>
      <c r="B163" s="138" t="s">
        <v>77</v>
      </c>
      <c r="C163" s="139" t="s">
        <v>536</v>
      </c>
      <c r="D163" s="139" t="str">
        <f t="shared" si="2"/>
        <v>板橋大興店1</v>
      </c>
      <c r="E163" s="138">
        <v>1</v>
      </c>
      <c r="F163" s="138" t="s">
        <v>6357</v>
      </c>
      <c r="G163" s="139" t="s">
        <v>6358</v>
      </c>
      <c r="H163" s="138" t="s">
        <v>5860</v>
      </c>
      <c r="I163" s="140" t="s">
        <v>5854</v>
      </c>
      <c r="J163" s="141" t="s">
        <v>14</v>
      </c>
      <c r="K163" s="142" t="s">
        <v>5855</v>
      </c>
      <c r="L163" s="138"/>
      <c r="M163" s="141"/>
      <c r="N163" s="177" t="s">
        <v>5856</v>
      </c>
    </row>
    <row r="164" spans="1:14" ht="22.95" customHeight="1">
      <c r="A164" s="138" t="s">
        <v>6359</v>
      </c>
      <c r="B164" s="138" t="s">
        <v>77</v>
      </c>
      <c r="C164" s="139" t="s">
        <v>536</v>
      </c>
      <c r="D164" s="139" t="str">
        <f t="shared" si="2"/>
        <v>板橋大興店2</v>
      </c>
      <c r="E164" s="138">
        <v>2</v>
      </c>
      <c r="F164" s="138" t="s">
        <v>6360</v>
      </c>
      <c r="G164" s="139" t="s">
        <v>6361</v>
      </c>
      <c r="H164" s="138" t="s">
        <v>5860</v>
      </c>
      <c r="I164" s="140" t="s">
        <v>5893</v>
      </c>
      <c r="J164" s="141" t="s">
        <v>14</v>
      </c>
      <c r="K164" s="142" t="s">
        <v>5855</v>
      </c>
      <c r="L164" s="138"/>
      <c r="M164" s="141"/>
      <c r="N164" s="177" t="s">
        <v>5856</v>
      </c>
    </row>
    <row r="165" spans="1:14" ht="22.95" customHeight="1">
      <c r="A165" s="138" t="s">
        <v>6362</v>
      </c>
      <c r="B165" s="138">
        <v>3962</v>
      </c>
      <c r="C165" s="139" t="s">
        <v>725</v>
      </c>
      <c r="D165" s="139" t="str">
        <f t="shared" si="2"/>
        <v>板橋仁化店1</v>
      </c>
      <c r="E165" s="138">
        <v>1</v>
      </c>
      <c r="F165" s="138" t="s">
        <v>6363</v>
      </c>
      <c r="G165" s="139" t="s">
        <v>6364</v>
      </c>
      <c r="H165" s="138" t="s">
        <v>5853</v>
      </c>
      <c r="I165" s="140" t="s">
        <v>5861</v>
      </c>
      <c r="J165" s="141" t="s">
        <v>14</v>
      </c>
      <c r="K165" s="142" t="s">
        <v>5855</v>
      </c>
      <c r="L165" s="138"/>
      <c r="M165" s="141"/>
      <c r="N165" s="177" t="s">
        <v>5856</v>
      </c>
    </row>
    <row r="166" spans="1:14" ht="22.95" customHeight="1">
      <c r="A166" s="138" t="s">
        <v>6365</v>
      </c>
      <c r="B166" s="138">
        <v>3962</v>
      </c>
      <c r="C166" s="139" t="s">
        <v>725</v>
      </c>
      <c r="D166" s="139" t="str">
        <f t="shared" si="2"/>
        <v>板橋仁化店2</v>
      </c>
      <c r="E166" s="138">
        <v>2</v>
      </c>
      <c r="F166" s="138" t="s">
        <v>6366</v>
      </c>
      <c r="G166" s="139" t="s">
        <v>6367</v>
      </c>
      <c r="H166" s="138" t="s">
        <v>5853</v>
      </c>
      <c r="I166" s="140" t="s">
        <v>5861</v>
      </c>
      <c r="J166" s="141" t="s">
        <v>14</v>
      </c>
      <c r="K166" s="142" t="s">
        <v>5855</v>
      </c>
      <c r="L166" s="138"/>
      <c r="M166" s="141"/>
      <c r="N166" s="177" t="s">
        <v>5856</v>
      </c>
    </row>
    <row r="167" spans="1:14" ht="22.95" customHeight="1">
      <c r="A167" s="138" t="s">
        <v>6368</v>
      </c>
      <c r="B167" s="138">
        <v>3965</v>
      </c>
      <c r="C167" s="139" t="s">
        <v>1038</v>
      </c>
      <c r="D167" s="139" t="str">
        <f t="shared" si="2"/>
        <v>板橋民治店1</v>
      </c>
      <c r="E167" s="138">
        <v>1</v>
      </c>
      <c r="F167" s="138" t="s">
        <v>6369</v>
      </c>
      <c r="G167" s="139" t="s">
        <v>6370</v>
      </c>
      <c r="H167" s="138" t="s">
        <v>5860</v>
      </c>
      <c r="I167" s="140" t="s">
        <v>5861</v>
      </c>
      <c r="J167" s="141" t="s">
        <v>14</v>
      </c>
      <c r="K167" s="142" t="s">
        <v>5855</v>
      </c>
      <c r="L167" s="138"/>
      <c r="M167" s="141"/>
      <c r="N167" s="177" t="s">
        <v>5856</v>
      </c>
    </row>
    <row r="168" spans="1:14" ht="22.95" customHeight="1">
      <c r="A168" s="138" t="s">
        <v>6371</v>
      </c>
      <c r="B168" s="138">
        <v>3965</v>
      </c>
      <c r="C168" s="139" t="s">
        <v>1038</v>
      </c>
      <c r="D168" s="139" t="str">
        <f t="shared" si="2"/>
        <v>板橋民治店2</v>
      </c>
      <c r="E168" s="138">
        <v>2</v>
      </c>
      <c r="F168" s="138" t="s">
        <v>6372</v>
      </c>
      <c r="G168" s="139" t="s">
        <v>6373</v>
      </c>
      <c r="H168" s="138" t="s">
        <v>5860</v>
      </c>
      <c r="I168" s="140" t="s">
        <v>5861</v>
      </c>
      <c r="J168" s="141" t="s">
        <v>14</v>
      </c>
      <c r="K168" s="142" t="s">
        <v>5855</v>
      </c>
      <c r="L168" s="138"/>
      <c r="M168" s="141"/>
      <c r="N168" s="177" t="s">
        <v>5856</v>
      </c>
    </row>
    <row r="169" spans="1:14" ht="22.95" customHeight="1">
      <c r="A169" s="138" t="s">
        <v>6374</v>
      </c>
      <c r="B169" s="138">
        <v>4167</v>
      </c>
      <c r="C169" s="139" t="s">
        <v>2143</v>
      </c>
      <c r="D169" s="139" t="str">
        <f t="shared" si="2"/>
        <v>板橋松翠店1</v>
      </c>
      <c r="E169" s="138">
        <v>1</v>
      </c>
      <c r="F169" s="138" t="s">
        <v>6375</v>
      </c>
      <c r="G169" s="139" t="s">
        <v>6376</v>
      </c>
      <c r="H169" s="138" t="s">
        <v>5853</v>
      </c>
      <c r="I169" s="140" t="s">
        <v>5861</v>
      </c>
      <c r="J169" s="141" t="s">
        <v>14</v>
      </c>
      <c r="K169" s="142" t="s">
        <v>5855</v>
      </c>
      <c r="L169" s="138"/>
      <c r="M169" s="141"/>
      <c r="N169" s="177" t="s">
        <v>5856</v>
      </c>
    </row>
    <row r="170" spans="1:14" ht="22.95" customHeight="1">
      <c r="A170" s="138" t="s">
        <v>6377</v>
      </c>
      <c r="B170" s="138">
        <v>4167</v>
      </c>
      <c r="C170" s="139" t="s">
        <v>2143</v>
      </c>
      <c r="D170" s="139" t="str">
        <f t="shared" si="2"/>
        <v>板橋松翠店2</v>
      </c>
      <c r="E170" s="138">
        <v>2</v>
      </c>
      <c r="F170" s="138" t="s">
        <v>6378</v>
      </c>
      <c r="G170" s="139" t="s">
        <v>6379</v>
      </c>
      <c r="H170" s="138" t="s">
        <v>5853</v>
      </c>
      <c r="I170" s="140" t="s">
        <v>5861</v>
      </c>
      <c r="J170" s="141" t="s">
        <v>14</v>
      </c>
      <c r="K170" s="142" t="s">
        <v>5855</v>
      </c>
      <c r="L170" s="138"/>
      <c r="M170" s="141"/>
      <c r="N170" s="177" t="s">
        <v>5856</v>
      </c>
    </row>
    <row r="171" spans="1:14" ht="22.95" customHeight="1">
      <c r="A171" s="138" t="s">
        <v>6380</v>
      </c>
      <c r="B171" s="138">
        <v>3955</v>
      </c>
      <c r="C171" s="139" t="s">
        <v>627</v>
      </c>
      <c r="D171" s="139" t="str">
        <f t="shared" si="2"/>
        <v>板橋海龍店1</v>
      </c>
      <c r="E171" s="138">
        <v>1</v>
      </c>
      <c r="F171" s="138" t="s">
        <v>6381</v>
      </c>
      <c r="G171" s="139" t="s">
        <v>6382</v>
      </c>
      <c r="H171" s="138" t="s">
        <v>5903</v>
      </c>
      <c r="I171" s="140" t="s">
        <v>5854</v>
      </c>
      <c r="J171" s="141" t="s">
        <v>14</v>
      </c>
      <c r="K171" s="142" t="s">
        <v>5855</v>
      </c>
      <c r="L171" s="138"/>
      <c r="M171" s="141"/>
      <c r="N171" s="177" t="s">
        <v>5856</v>
      </c>
    </row>
    <row r="172" spans="1:14" ht="22.95" customHeight="1">
      <c r="A172" s="138" t="s">
        <v>6383</v>
      </c>
      <c r="B172" s="138">
        <v>3955</v>
      </c>
      <c r="C172" s="139" t="s">
        <v>627</v>
      </c>
      <c r="D172" s="139" t="str">
        <f t="shared" si="2"/>
        <v>板橋海龍店2</v>
      </c>
      <c r="E172" s="138">
        <v>2</v>
      </c>
      <c r="F172" s="138" t="s">
        <v>6384</v>
      </c>
      <c r="G172" s="139" t="s">
        <v>6385</v>
      </c>
      <c r="H172" s="138" t="s">
        <v>5853</v>
      </c>
      <c r="I172" s="140" t="s">
        <v>5861</v>
      </c>
      <c r="J172" s="141" t="s">
        <v>14</v>
      </c>
      <c r="K172" s="142" t="s">
        <v>5855</v>
      </c>
      <c r="L172" s="138"/>
      <c r="M172" s="141"/>
      <c r="N172" s="177" t="s">
        <v>5856</v>
      </c>
    </row>
    <row r="173" spans="1:14" ht="22.95" customHeight="1">
      <c r="A173" s="138" t="s">
        <v>6386</v>
      </c>
      <c r="B173" s="138">
        <v>3416</v>
      </c>
      <c r="C173" s="139" t="s">
        <v>977</v>
      </c>
      <c r="D173" s="139" t="str">
        <f t="shared" si="2"/>
        <v>板橋國慶店1</v>
      </c>
      <c r="E173" s="138">
        <v>1</v>
      </c>
      <c r="F173" s="138" t="s">
        <v>6387</v>
      </c>
      <c r="G173" s="139" t="s">
        <v>6388</v>
      </c>
      <c r="H173" s="138" t="s">
        <v>5860</v>
      </c>
      <c r="I173" s="140" t="s">
        <v>5861</v>
      </c>
      <c r="J173" s="141" t="s">
        <v>14</v>
      </c>
      <c r="K173" s="142" t="s">
        <v>5855</v>
      </c>
      <c r="L173" s="138"/>
      <c r="M173" s="141"/>
      <c r="N173" s="177" t="s">
        <v>5856</v>
      </c>
    </row>
    <row r="174" spans="1:14" ht="22.95" customHeight="1">
      <c r="A174" s="138" t="s">
        <v>6389</v>
      </c>
      <c r="B174" s="138">
        <v>3416</v>
      </c>
      <c r="C174" s="139" t="s">
        <v>977</v>
      </c>
      <c r="D174" s="139" t="str">
        <f t="shared" si="2"/>
        <v>板橋國慶店2</v>
      </c>
      <c r="E174" s="138">
        <v>2</v>
      </c>
      <c r="F174" s="138" t="s">
        <v>6390</v>
      </c>
      <c r="G174" s="139" t="s">
        <v>6391</v>
      </c>
      <c r="H174" s="138" t="s">
        <v>5860</v>
      </c>
      <c r="I174" s="140" t="s">
        <v>5861</v>
      </c>
      <c r="J174" s="141" t="s">
        <v>14</v>
      </c>
      <c r="K174" s="142" t="s">
        <v>5855</v>
      </c>
      <c r="L174" s="138"/>
      <c r="M174" s="141"/>
      <c r="N174" s="177" t="s">
        <v>5856</v>
      </c>
    </row>
    <row r="175" spans="1:14" ht="22.95" customHeight="1">
      <c r="A175" s="138" t="s">
        <v>6392</v>
      </c>
      <c r="B175" s="138">
        <v>2224</v>
      </c>
      <c r="C175" s="139" t="s">
        <v>1030</v>
      </c>
      <c r="D175" s="139" t="str">
        <f t="shared" si="2"/>
        <v>板橋莒光店1</v>
      </c>
      <c r="E175" s="138">
        <v>1</v>
      </c>
      <c r="F175" s="138" t="s">
        <v>6393</v>
      </c>
      <c r="G175" s="139" t="s">
        <v>6394</v>
      </c>
      <c r="H175" s="138" t="s">
        <v>5903</v>
      </c>
      <c r="I175" s="140" t="s">
        <v>5861</v>
      </c>
      <c r="J175" s="141" t="s">
        <v>14</v>
      </c>
      <c r="K175" s="142" t="s">
        <v>5855</v>
      </c>
      <c r="L175" s="138"/>
      <c r="M175" s="141"/>
      <c r="N175" s="177" t="s">
        <v>5856</v>
      </c>
    </row>
    <row r="176" spans="1:14" ht="22.95" customHeight="1">
      <c r="A176" s="138" t="s">
        <v>6395</v>
      </c>
      <c r="B176" s="138">
        <v>2224</v>
      </c>
      <c r="C176" s="139" t="s">
        <v>1030</v>
      </c>
      <c r="D176" s="139" t="str">
        <f t="shared" si="2"/>
        <v>板橋莒光店2</v>
      </c>
      <c r="E176" s="138">
        <v>2</v>
      </c>
      <c r="F176" s="138" t="s">
        <v>6396</v>
      </c>
      <c r="G176" s="139" t="s">
        <v>6397</v>
      </c>
      <c r="H176" s="138" t="s">
        <v>5903</v>
      </c>
      <c r="I176" s="140" t="s">
        <v>5861</v>
      </c>
      <c r="J176" s="141" t="s">
        <v>14</v>
      </c>
      <c r="K176" s="142" t="s">
        <v>5855</v>
      </c>
      <c r="L176" s="138"/>
      <c r="M176" s="141"/>
      <c r="N176" s="177" t="s">
        <v>5856</v>
      </c>
    </row>
    <row r="177" spans="1:14" ht="22.95" customHeight="1">
      <c r="A177" s="138" t="s">
        <v>6398</v>
      </c>
      <c r="B177" s="138">
        <v>2995</v>
      </c>
      <c r="C177" s="139" t="s">
        <v>1016</v>
      </c>
      <c r="D177" s="139" t="str">
        <f t="shared" si="2"/>
        <v>板橋湳雅夜市1</v>
      </c>
      <c r="E177" s="138">
        <v>1</v>
      </c>
      <c r="F177" s="138" t="s">
        <v>6399</v>
      </c>
      <c r="G177" s="139" t="s">
        <v>6400</v>
      </c>
      <c r="H177" s="138" t="s">
        <v>5860</v>
      </c>
      <c r="I177" s="140" t="s">
        <v>5893</v>
      </c>
      <c r="J177" s="141" t="s">
        <v>14</v>
      </c>
      <c r="K177" s="142" t="s">
        <v>5855</v>
      </c>
      <c r="L177" s="138"/>
      <c r="M177" s="141"/>
      <c r="N177" s="177" t="s">
        <v>5856</v>
      </c>
    </row>
    <row r="178" spans="1:14" ht="22.95" customHeight="1">
      <c r="A178" s="138" t="s">
        <v>6401</v>
      </c>
      <c r="B178" s="138">
        <v>2995</v>
      </c>
      <c r="C178" s="139" t="s">
        <v>1016</v>
      </c>
      <c r="D178" s="139" t="str">
        <f t="shared" si="2"/>
        <v>板橋湳雅夜市2</v>
      </c>
      <c r="E178" s="138">
        <v>2</v>
      </c>
      <c r="F178" s="138" t="s">
        <v>6402</v>
      </c>
      <c r="G178" s="139" t="s">
        <v>6403</v>
      </c>
      <c r="H178" s="138" t="s">
        <v>5860</v>
      </c>
      <c r="I178" s="140" t="s">
        <v>5893</v>
      </c>
      <c r="J178" s="141" t="s">
        <v>14</v>
      </c>
      <c r="K178" s="142" t="s">
        <v>5855</v>
      </c>
      <c r="L178" s="138"/>
      <c r="M178" s="141"/>
      <c r="N178" s="177" t="s">
        <v>5856</v>
      </c>
    </row>
    <row r="179" spans="1:14" ht="22.95" customHeight="1">
      <c r="A179" s="138" t="s">
        <v>6404</v>
      </c>
      <c r="B179" s="138">
        <v>4145</v>
      </c>
      <c r="C179" s="139" t="s">
        <v>528</v>
      </c>
      <c r="D179" s="139" t="str">
        <f t="shared" si="2"/>
        <v>板橋僑興店1</v>
      </c>
      <c r="E179" s="138">
        <v>1</v>
      </c>
      <c r="F179" s="138" t="s">
        <v>6405</v>
      </c>
      <c r="G179" s="139" t="s">
        <v>6406</v>
      </c>
      <c r="H179" s="138" t="s">
        <v>5860</v>
      </c>
      <c r="I179" s="140" t="s">
        <v>5893</v>
      </c>
      <c r="J179" s="141" t="s">
        <v>14</v>
      </c>
      <c r="K179" s="142" t="s">
        <v>5855</v>
      </c>
      <c r="L179" s="138"/>
      <c r="M179" s="141"/>
      <c r="N179" s="177" t="s">
        <v>5856</v>
      </c>
    </row>
    <row r="180" spans="1:14" ht="22.95" customHeight="1">
      <c r="A180" s="138" t="s">
        <v>6407</v>
      </c>
      <c r="B180" s="138">
        <v>4145</v>
      </c>
      <c r="C180" s="139" t="s">
        <v>528</v>
      </c>
      <c r="D180" s="139" t="str">
        <f t="shared" si="2"/>
        <v>板橋僑興店2</v>
      </c>
      <c r="E180" s="138">
        <v>2</v>
      </c>
      <c r="F180" s="138" t="s">
        <v>6408</v>
      </c>
      <c r="G180" s="139" t="s">
        <v>6409</v>
      </c>
      <c r="H180" s="138" t="s">
        <v>5860</v>
      </c>
      <c r="I180" s="140" t="s">
        <v>5893</v>
      </c>
      <c r="J180" s="141" t="s">
        <v>14</v>
      </c>
      <c r="K180" s="142" t="s">
        <v>5855</v>
      </c>
      <c r="L180" s="138"/>
      <c r="M180" s="141"/>
      <c r="N180" s="177" t="s">
        <v>5856</v>
      </c>
    </row>
    <row r="181" spans="1:14" ht="22.95" customHeight="1">
      <c r="A181" s="138" t="s">
        <v>6410</v>
      </c>
      <c r="B181" s="138">
        <v>3818</v>
      </c>
      <c r="C181" s="139" t="s">
        <v>153</v>
      </c>
      <c r="D181" s="139" t="str">
        <f t="shared" si="2"/>
        <v>板橋漢江店2</v>
      </c>
      <c r="E181" s="138">
        <v>2</v>
      </c>
      <c r="F181" s="138" t="s">
        <v>6411</v>
      </c>
      <c r="G181" s="139" t="s">
        <v>6412</v>
      </c>
      <c r="H181" s="138" t="s">
        <v>5853</v>
      </c>
      <c r="I181" s="140" t="s">
        <v>5861</v>
      </c>
      <c r="J181" s="141" t="s">
        <v>14</v>
      </c>
      <c r="K181" s="142" t="s">
        <v>5855</v>
      </c>
      <c r="L181" s="138"/>
      <c r="M181" s="141"/>
      <c r="N181" s="177" t="s">
        <v>5856</v>
      </c>
    </row>
    <row r="182" spans="1:14" ht="22.95" customHeight="1">
      <c r="A182" s="138" t="s">
        <v>6413</v>
      </c>
      <c r="B182" s="138">
        <v>4046</v>
      </c>
      <c r="C182" s="139" t="s">
        <v>1377</v>
      </c>
      <c r="D182" s="139" t="str">
        <f t="shared" si="2"/>
        <v>板橋福康店1</v>
      </c>
      <c r="E182" s="138">
        <v>1</v>
      </c>
      <c r="F182" s="138" t="s">
        <v>6414</v>
      </c>
      <c r="G182" s="139" t="s">
        <v>6415</v>
      </c>
      <c r="H182" s="138" t="s">
        <v>5853</v>
      </c>
      <c r="I182" s="140" t="s">
        <v>5861</v>
      </c>
      <c r="J182" s="141" t="s">
        <v>14</v>
      </c>
      <c r="K182" s="142" t="s">
        <v>5855</v>
      </c>
      <c r="L182" s="138"/>
      <c r="M182" s="141"/>
      <c r="N182" s="177" t="s">
        <v>5856</v>
      </c>
    </row>
    <row r="183" spans="1:14" ht="22.95" customHeight="1">
      <c r="A183" s="138" t="s">
        <v>6416</v>
      </c>
      <c r="B183" s="138">
        <v>4046</v>
      </c>
      <c r="C183" s="139" t="s">
        <v>1377</v>
      </c>
      <c r="D183" s="139" t="str">
        <f t="shared" si="2"/>
        <v>板橋福康店2</v>
      </c>
      <c r="E183" s="138">
        <v>2</v>
      </c>
      <c r="F183" s="138" t="s">
        <v>6417</v>
      </c>
      <c r="G183" s="139" t="s">
        <v>6418</v>
      </c>
      <c r="H183" s="138" t="s">
        <v>5853</v>
      </c>
      <c r="I183" s="140" t="s">
        <v>5861</v>
      </c>
      <c r="J183" s="141" t="s">
        <v>14</v>
      </c>
      <c r="K183" s="142" t="s">
        <v>5855</v>
      </c>
      <c r="L183" s="138"/>
      <c r="M183" s="141"/>
      <c r="N183" s="177" t="s">
        <v>5856</v>
      </c>
    </row>
    <row r="184" spans="1:14" ht="22.95" customHeight="1">
      <c r="A184" s="138" t="s">
        <v>6419</v>
      </c>
      <c r="B184" s="138">
        <v>4917</v>
      </c>
      <c r="C184" s="139" t="s">
        <v>187</v>
      </c>
      <c r="D184" s="139" t="str">
        <f t="shared" si="2"/>
        <v>板橋翠華店2</v>
      </c>
      <c r="E184" s="138">
        <v>2</v>
      </c>
      <c r="F184" s="138" t="s">
        <v>6420</v>
      </c>
      <c r="G184" s="139" t="s">
        <v>6421</v>
      </c>
      <c r="H184" s="138" t="s">
        <v>5860</v>
      </c>
      <c r="I184" s="140" t="s">
        <v>6001</v>
      </c>
      <c r="J184" s="141" t="s">
        <v>14</v>
      </c>
      <c r="K184" s="142" t="s">
        <v>5855</v>
      </c>
      <c r="L184" s="138"/>
      <c r="M184" s="141"/>
      <c r="N184" s="177" t="s">
        <v>5856</v>
      </c>
    </row>
    <row r="185" spans="1:14" ht="22.95" customHeight="1">
      <c r="A185" s="138" t="s">
        <v>6422</v>
      </c>
      <c r="B185" s="138">
        <v>2221</v>
      </c>
      <c r="C185" s="139" t="s">
        <v>643</v>
      </c>
      <c r="D185" s="139" t="str">
        <f t="shared" si="2"/>
        <v>板橋雙十店2</v>
      </c>
      <c r="E185" s="138">
        <v>2</v>
      </c>
      <c r="F185" s="138" t="s">
        <v>6423</v>
      </c>
      <c r="G185" s="139" t="s">
        <v>6424</v>
      </c>
      <c r="H185" s="138" t="s">
        <v>5853</v>
      </c>
      <c r="I185" s="140" t="s">
        <v>5861</v>
      </c>
      <c r="J185" s="141" t="s">
        <v>14</v>
      </c>
      <c r="K185" s="142" t="s">
        <v>5855</v>
      </c>
      <c r="L185" s="138"/>
      <c r="M185" s="141"/>
      <c r="N185" s="177" t="s">
        <v>5856</v>
      </c>
    </row>
    <row r="186" spans="1:14" ht="22.95" customHeight="1">
      <c r="A186" s="138" t="s">
        <v>6425</v>
      </c>
      <c r="B186" s="138">
        <v>3399</v>
      </c>
      <c r="C186" s="139" t="s">
        <v>196</v>
      </c>
      <c r="D186" s="139" t="str">
        <f t="shared" si="2"/>
        <v>板橋藝文中心1</v>
      </c>
      <c r="E186" s="138">
        <v>1</v>
      </c>
      <c r="F186" s="138" t="s">
        <v>6426</v>
      </c>
      <c r="G186" s="139" t="s">
        <v>6427</v>
      </c>
      <c r="H186" s="138" t="s">
        <v>5860</v>
      </c>
      <c r="I186" s="140" t="s">
        <v>5861</v>
      </c>
      <c r="J186" s="141" t="s">
        <v>14</v>
      </c>
      <c r="K186" s="142" t="s">
        <v>5855</v>
      </c>
      <c r="L186" s="138"/>
      <c r="M186" s="141"/>
      <c r="N186" s="177" t="s">
        <v>5856</v>
      </c>
    </row>
    <row r="187" spans="1:14" ht="22.95" customHeight="1">
      <c r="A187" s="138" t="s">
        <v>6428</v>
      </c>
      <c r="B187" s="138">
        <v>3399</v>
      </c>
      <c r="C187" s="139" t="s">
        <v>196</v>
      </c>
      <c r="D187" s="139" t="str">
        <f t="shared" si="2"/>
        <v>板橋藝文中心2</v>
      </c>
      <c r="E187" s="138">
        <v>2</v>
      </c>
      <c r="F187" s="138" t="s">
        <v>6429</v>
      </c>
      <c r="G187" s="139" t="s">
        <v>6430</v>
      </c>
      <c r="H187" s="138" t="s">
        <v>5860</v>
      </c>
      <c r="I187" s="140" t="s">
        <v>5861</v>
      </c>
      <c r="J187" s="141" t="s">
        <v>14</v>
      </c>
      <c r="K187" s="142" t="s">
        <v>5855</v>
      </c>
      <c r="L187" s="138"/>
      <c r="M187" s="141"/>
      <c r="N187" s="177" t="s">
        <v>5856</v>
      </c>
    </row>
    <row r="188" spans="1:14" ht="22.95" customHeight="1">
      <c r="A188" s="138" t="s">
        <v>6431</v>
      </c>
      <c r="B188" s="138" t="s">
        <v>82</v>
      </c>
      <c r="C188" s="139" t="s">
        <v>1034</v>
      </c>
      <c r="D188" s="139" t="str">
        <f t="shared" si="2"/>
        <v>板橋寶翠店1</v>
      </c>
      <c r="E188" s="138">
        <v>1</v>
      </c>
      <c r="F188" s="138" t="s">
        <v>6432</v>
      </c>
      <c r="G188" s="139" t="s">
        <v>6433</v>
      </c>
      <c r="H188" s="138" t="s">
        <v>5860</v>
      </c>
      <c r="I188" s="140" t="s">
        <v>5861</v>
      </c>
      <c r="J188" s="141" t="s">
        <v>14</v>
      </c>
      <c r="K188" s="142" t="s">
        <v>5855</v>
      </c>
      <c r="L188" s="138"/>
      <c r="M188" s="141"/>
      <c r="N188" s="177" t="s">
        <v>5856</v>
      </c>
    </row>
    <row r="189" spans="1:14" ht="22.95" customHeight="1">
      <c r="A189" s="138" t="s">
        <v>6434</v>
      </c>
      <c r="B189" s="138" t="s">
        <v>82</v>
      </c>
      <c r="C189" s="139" t="s">
        <v>1034</v>
      </c>
      <c r="D189" s="139" t="str">
        <f t="shared" si="2"/>
        <v>板橋寶翠店2</v>
      </c>
      <c r="E189" s="138">
        <v>2</v>
      </c>
      <c r="F189" s="138" t="s">
        <v>6435</v>
      </c>
      <c r="G189" s="139" t="s">
        <v>6436</v>
      </c>
      <c r="H189" s="138" t="s">
        <v>5860</v>
      </c>
      <c r="I189" s="140" t="s">
        <v>5861</v>
      </c>
      <c r="J189" s="141" t="s">
        <v>14</v>
      </c>
      <c r="K189" s="142" t="s">
        <v>5855</v>
      </c>
      <c r="L189" s="138"/>
      <c r="M189" s="141"/>
      <c r="N189" s="177" t="s">
        <v>5856</v>
      </c>
    </row>
    <row r="190" spans="1:14" ht="22.95" customHeight="1">
      <c r="A190" s="138" t="s">
        <v>6437</v>
      </c>
      <c r="B190" s="138">
        <v>2069</v>
      </c>
      <c r="C190" s="139" t="s">
        <v>2070</v>
      </c>
      <c r="D190" s="139" t="str">
        <f t="shared" si="2"/>
        <v>板橋江子翠站1</v>
      </c>
      <c r="E190" s="138">
        <v>1</v>
      </c>
      <c r="F190" s="138" t="s">
        <v>6438</v>
      </c>
      <c r="G190" s="139" t="s">
        <v>6439</v>
      </c>
      <c r="H190" s="138" t="s">
        <v>5853</v>
      </c>
      <c r="I190" s="140" t="s">
        <v>5861</v>
      </c>
      <c r="J190" s="141" t="s">
        <v>14</v>
      </c>
      <c r="K190" s="142" t="s">
        <v>5855</v>
      </c>
      <c r="L190" s="138">
        <v>0</v>
      </c>
      <c r="M190" s="141"/>
      <c r="N190" s="177" t="s">
        <v>5856</v>
      </c>
    </row>
    <row r="191" spans="1:14" ht="22.95" customHeight="1">
      <c r="A191" s="138" t="s">
        <v>6440</v>
      </c>
      <c r="B191" s="138">
        <v>2069</v>
      </c>
      <c r="C191" s="139" t="s">
        <v>2070</v>
      </c>
      <c r="D191" s="139" t="str">
        <f t="shared" si="2"/>
        <v>板橋江子翠站2</v>
      </c>
      <c r="E191" s="138">
        <v>2</v>
      </c>
      <c r="F191" s="138" t="s">
        <v>6441</v>
      </c>
      <c r="G191" s="139" t="s">
        <v>6442</v>
      </c>
      <c r="H191" s="138" t="s">
        <v>5860</v>
      </c>
      <c r="I191" s="140" t="s">
        <v>5854</v>
      </c>
      <c r="J191" s="141" t="s">
        <v>14</v>
      </c>
      <c r="K191" s="142" t="s">
        <v>5855</v>
      </c>
      <c r="L191" s="138">
        <v>0</v>
      </c>
      <c r="M191" s="141"/>
      <c r="N191" s="177" t="s">
        <v>5856</v>
      </c>
    </row>
    <row r="192" spans="1:14" ht="22.95" customHeight="1">
      <c r="A192" s="138" t="s">
        <v>6443</v>
      </c>
      <c r="B192" s="138">
        <v>3243</v>
      </c>
      <c r="C192" s="139" t="s">
        <v>1990</v>
      </c>
      <c r="D192" s="139" t="str">
        <f t="shared" si="2"/>
        <v>北縣醒吾店1</v>
      </c>
      <c r="E192" s="138">
        <v>1</v>
      </c>
      <c r="F192" s="138" t="s">
        <v>6444</v>
      </c>
      <c r="G192" s="139" t="s">
        <v>6445</v>
      </c>
      <c r="H192" s="138" t="s">
        <v>5853</v>
      </c>
      <c r="I192" s="140" t="s">
        <v>5854</v>
      </c>
      <c r="J192" s="141" t="s">
        <v>13</v>
      </c>
      <c r="K192" s="142" t="s">
        <v>5855</v>
      </c>
      <c r="L192" s="138" t="s">
        <v>66</v>
      </c>
      <c r="M192" s="141"/>
      <c r="N192" s="177" t="s">
        <v>5856</v>
      </c>
    </row>
    <row r="193" spans="1:14" ht="22.95" customHeight="1">
      <c r="A193" s="138" t="s">
        <v>6446</v>
      </c>
      <c r="B193" s="138">
        <v>3243</v>
      </c>
      <c r="C193" s="139" t="s">
        <v>1990</v>
      </c>
      <c r="D193" s="139" t="str">
        <f t="shared" si="2"/>
        <v>北縣醒吾店2</v>
      </c>
      <c r="E193" s="138">
        <v>2</v>
      </c>
      <c r="F193" s="138" t="s">
        <v>6447</v>
      </c>
      <c r="G193" s="139" t="s">
        <v>6448</v>
      </c>
      <c r="H193" s="138" t="s">
        <v>5860</v>
      </c>
      <c r="I193" s="140" t="s">
        <v>5861</v>
      </c>
      <c r="J193" s="141" t="s">
        <v>13</v>
      </c>
      <c r="K193" s="142" t="s">
        <v>5855</v>
      </c>
      <c r="L193" s="138" t="s">
        <v>66</v>
      </c>
      <c r="M193" s="141"/>
      <c r="N193" s="177" t="s">
        <v>5856</v>
      </c>
    </row>
    <row r="194" spans="1:14" ht="22.95" customHeight="1">
      <c r="A194" s="138" t="s">
        <v>6449</v>
      </c>
      <c r="B194" s="138">
        <v>4834</v>
      </c>
      <c r="C194" s="139" t="s">
        <v>323</v>
      </c>
      <c r="D194" s="139" t="str">
        <f t="shared" ref="D194:D257" si="3">C194&amp;E194</f>
        <v>林口大千苑店1</v>
      </c>
      <c r="E194" s="138">
        <v>1</v>
      </c>
      <c r="F194" s="138" t="s">
        <v>6450</v>
      </c>
      <c r="G194" s="139" t="s">
        <v>6451</v>
      </c>
      <c r="H194" s="138" t="s">
        <v>5853</v>
      </c>
      <c r="I194" s="140" t="s">
        <v>5861</v>
      </c>
      <c r="J194" s="141" t="s">
        <v>13</v>
      </c>
      <c r="K194" s="142" t="s">
        <v>5855</v>
      </c>
      <c r="L194" s="138"/>
      <c r="M194" s="141"/>
      <c r="N194" s="177" t="s">
        <v>5856</v>
      </c>
    </row>
    <row r="195" spans="1:14" ht="22.95" customHeight="1">
      <c r="A195" s="138" t="s">
        <v>6452</v>
      </c>
      <c r="B195" s="138">
        <v>4326</v>
      </c>
      <c r="C195" s="139" t="s">
        <v>333</v>
      </c>
      <c r="D195" s="139" t="str">
        <f t="shared" si="3"/>
        <v>林口建安店1</v>
      </c>
      <c r="E195" s="138">
        <v>1</v>
      </c>
      <c r="F195" s="138" t="s">
        <v>6453</v>
      </c>
      <c r="G195" s="139" t="s">
        <v>6454</v>
      </c>
      <c r="H195" s="138" t="s">
        <v>5860</v>
      </c>
      <c r="I195" s="140" t="s">
        <v>5861</v>
      </c>
      <c r="J195" s="141" t="s">
        <v>13</v>
      </c>
      <c r="K195" s="142" t="s">
        <v>5855</v>
      </c>
      <c r="L195" s="138"/>
      <c r="M195" s="141"/>
      <c r="N195" s="177" t="s">
        <v>5856</v>
      </c>
    </row>
    <row r="196" spans="1:14" ht="22.95" customHeight="1">
      <c r="A196" s="138" t="s">
        <v>6455</v>
      </c>
      <c r="B196" s="138">
        <v>4326</v>
      </c>
      <c r="C196" s="139" t="s">
        <v>333</v>
      </c>
      <c r="D196" s="139" t="str">
        <f t="shared" si="3"/>
        <v>林口建安店2</v>
      </c>
      <c r="E196" s="138">
        <v>2</v>
      </c>
      <c r="F196" s="138" t="s">
        <v>6456</v>
      </c>
      <c r="G196" s="139" t="s">
        <v>6457</v>
      </c>
      <c r="H196" s="138" t="s">
        <v>5860</v>
      </c>
      <c r="I196" s="140" t="s">
        <v>5861</v>
      </c>
      <c r="J196" s="141" t="s">
        <v>13</v>
      </c>
      <c r="K196" s="142" t="s">
        <v>5855</v>
      </c>
      <c r="L196" s="138"/>
      <c r="M196" s="141"/>
      <c r="N196" s="177" t="s">
        <v>5856</v>
      </c>
    </row>
    <row r="197" spans="1:14" ht="22.95" customHeight="1">
      <c r="A197" s="138" t="s">
        <v>6458</v>
      </c>
      <c r="B197" s="138">
        <v>4057</v>
      </c>
      <c r="C197" s="139" t="s">
        <v>350</v>
      </c>
      <c r="D197" s="139" t="str">
        <f t="shared" si="3"/>
        <v>林口香澄店1</v>
      </c>
      <c r="E197" s="138">
        <v>1</v>
      </c>
      <c r="F197" s="138" t="s">
        <v>6459</v>
      </c>
      <c r="G197" s="139" t="s">
        <v>6460</v>
      </c>
      <c r="H197" s="138" t="s">
        <v>5860</v>
      </c>
      <c r="I197" s="140" t="s">
        <v>5861</v>
      </c>
      <c r="J197" s="141" t="s">
        <v>13</v>
      </c>
      <c r="K197" s="142" t="s">
        <v>5855</v>
      </c>
      <c r="L197" s="138"/>
      <c r="M197" s="141"/>
      <c r="N197" s="177" t="s">
        <v>5856</v>
      </c>
    </row>
    <row r="198" spans="1:14" ht="22.95" customHeight="1">
      <c r="A198" s="138" t="s">
        <v>6461</v>
      </c>
      <c r="B198" s="138">
        <v>4057</v>
      </c>
      <c r="C198" s="139" t="s">
        <v>350</v>
      </c>
      <c r="D198" s="139" t="str">
        <f t="shared" si="3"/>
        <v>林口香澄店2</v>
      </c>
      <c r="E198" s="138">
        <v>2</v>
      </c>
      <c r="F198" s="138" t="s">
        <v>6462</v>
      </c>
      <c r="G198" s="139" t="s">
        <v>6463</v>
      </c>
      <c r="H198" s="138" t="s">
        <v>5860</v>
      </c>
      <c r="I198" s="140" t="s">
        <v>5861</v>
      </c>
      <c r="J198" s="141" t="s">
        <v>13</v>
      </c>
      <c r="K198" s="142" t="s">
        <v>5855</v>
      </c>
      <c r="L198" s="138"/>
      <c r="M198" s="141"/>
      <c r="N198" s="177" t="s">
        <v>5856</v>
      </c>
    </row>
    <row r="199" spans="1:14" ht="22.95" customHeight="1">
      <c r="A199" s="138" t="s">
        <v>6464</v>
      </c>
      <c r="B199" s="138">
        <v>4715</v>
      </c>
      <c r="C199" s="139" t="s">
        <v>1566</v>
      </c>
      <c r="D199" s="139" t="str">
        <f t="shared" si="3"/>
        <v>林口捷韻店1</v>
      </c>
      <c r="E199" s="138">
        <v>1</v>
      </c>
      <c r="F199" s="138" t="s">
        <v>6465</v>
      </c>
      <c r="G199" s="139" t="s">
        <v>6466</v>
      </c>
      <c r="H199" s="138" t="s">
        <v>5860</v>
      </c>
      <c r="I199" s="140" t="s">
        <v>5861</v>
      </c>
      <c r="J199" s="141" t="s">
        <v>13</v>
      </c>
      <c r="K199" s="142" t="s">
        <v>5855</v>
      </c>
      <c r="L199" s="138"/>
      <c r="M199" s="141"/>
      <c r="N199" s="177" t="s">
        <v>5856</v>
      </c>
    </row>
    <row r="200" spans="1:14" ht="22.95" customHeight="1">
      <c r="A200" s="138" t="s">
        <v>6467</v>
      </c>
      <c r="B200" s="138">
        <v>4715</v>
      </c>
      <c r="C200" s="139" t="s">
        <v>1566</v>
      </c>
      <c r="D200" s="139" t="str">
        <f t="shared" si="3"/>
        <v>林口捷韻店2</v>
      </c>
      <c r="E200" s="138">
        <v>2</v>
      </c>
      <c r="F200" s="138" t="s">
        <v>6468</v>
      </c>
      <c r="G200" s="139" t="s">
        <v>6469</v>
      </c>
      <c r="H200" s="138" t="s">
        <v>5860</v>
      </c>
      <c r="I200" s="140" t="s">
        <v>5861</v>
      </c>
      <c r="J200" s="141" t="s">
        <v>13</v>
      </c>
      <c r="K200" s="142" t="s">
        <v>5855</v>
      </c>
      <c r="L200" s="138"/>
      <c r="M200" s="141"/>
      <c r="N200" s="177" t="s">
        <v>5856</v>
      </c>
    </row>
    <row r="201" spans="1:14" ht="22.95" customHeight="1">
      <c r="A201" s="138" t="s">
        <v>6470</v>
      </c>
      <c r="B201" s="138">
        <v>3878</v>
      </c>
      <c r="C201" s="139" t="s">
        <v>354</v>
      </c>
      <c r="D201" s="139" t="str">
        <f t="shared" si="3"/>
        <v>林口清梅店1</v>
      </c>
      <c r="E201" s="138">
        <v>1</v>
      </c>
      <c r="F201" s="138" t="s">
        <v>6471</v>
      </c>
      <c r="G201" s="139" t="s">
        <v>6472</v>
      </c>
      <c r="H201" s="138" t="s">
        <v>5860</v>
      </c>
      <c r="I201" s="140" t="s">
        <v>5861</v>
      </c>
      <c r="J201" s="141" t="s">
        <v>13</v>
      </c>
      <c r="K201" s="142" t="s">
        <v>5855</v>
      </c>
      <c r="L201" s="138"/>
      <c r="M201" s="141"/>
      <c r="N201" s="177" t="s">
        <v>5856</v>
      </c>
    </row>
    <row r="202" spans="1:14" ht="22.95" customHeight="1">
      <c r="A202" s="138" t="s">
        <v>6473</v>
      </c>
      <c r="B202" s="138">
        <v>4483</v>
      </c>
      <c r="C202" s="139" t="s">
        <v>2000</v>
      </c>
      <c r="D202" s="139" t="str">
        <f t="shared" si="3"/>
        <v>林口築夢店1</v>
      </c>
      <c r="E202" s="138">
        <v>1</v>
      </c>
      <c r="F202" s="138" t="s">
        <v>6474</v>
      </c>
      <c r="G202" s="139" t="s">
        <v>6475</v>
      </c>
      <c r="H202" s="138" t="s">
        <v>5853</v>
      </c>
      <c r="I202" s="140" t="s">
        <v>5861</v>
      </c>
      <c r="J202" s="141" t="s">
        <v>13</v>
      </c>
      <c r="K202" s="142" t="s">
        <v>5855</v>
      </c>
      <c r="L202" s="138"/>
      <c r="M202" s="141"/>
      <c r="N202" s="177" t="s">
        <v>5856</v>
      </c>
    </row>
    <row r="203" spans="1:14" ht="22.95" customHeight="1">
      <c r="A203" s="138" t="s">
        <v>6476</v>
      </c>
      <c r="B203" s="138">
        <v>4154</v>
      </c>
      <c r="C203" s="139" t="s">
        <v>180</v>
      </c>
      <c r="D203" s="139" t="str">
        <f t="shared" si="3"/>
        <v>林口麗園店1</v>
      </c>
      <c r="E203" s="138">
        <v>1</v>
      </c>
      <c r="F203" s="138" t="s">
        <v>6477</v>
      </c>
      <c r="G203" s="139" t="s">
        <v>6478</v>
      </c>
      <c r="H203" s="138" t="s">
        <v>5903</v>
      </c>
      <c r="I203" s="140" t="s">
        <v>5861</v>
      </c>
      <c r="J203" s="141" t="s">
        <v>13</v>
      </c>
      <c r="K203" s="142" t="s">
        <v>5855</v>
      </c>
      <c r="L203" s="138"/>
      <c r="M203" s="141"/>
      <c r="N203" s="177" t="s">
        <v>5856</v>
      </c>
    </row>
    <row r="204" spans="1:14" ht="22.95" customHeight="1">
      <c r="A204" s="138" t="s">
        <v>6479</v>
      </c>
      <c r="B204" s="138">
        <v>4154</v>
      </c>
      <c r="C204" s="139" t="s">
        <v>180</v>
      </c>
      <c r="D204" s="139" t="str">
        <f t="shared" si="3"/>
        <v>林口麗園店2</v>
      </c>
      <c r="E204" s="138">
        <v>2</v>
      </c>
      <c r="F204" s="138" t="s">
        <v>6480</v>
      </c>
      <c r="G204" s="139" t="s">
        <v>6481</v>
      </c>
      <c r="H204" s="138" t="s">
        <v>5853</v>
      </c>
      <c r="I204" s="140" t="s">
        <v>5861</v>
      </c>
      <c r="J204" s="141" t="s">
        <v>13</v>
      </c>
      <c r="K204" s="142" t="s">
        <v>5855</v>
      </c>
      <c r="L204" s="138"/>
      <c r="M204" s="141"/>
      <c r="N204" s="177" t="s">
        <v>5856</v>
      </c>
    </row>
    <row r="205" spans="1:14" ht="22.95" customHeight="1">
      <c r="A205" s="138" t="s">
        <v>6482</v>
      </c>
      <c r="B205" s="138">
        <v>2267</v>
      </c>
      <c r="C205" s="139" t="s">
        <v>2284</v>
      </c>
      <c r="D205" s="139" t="str">
        <f t="shared" si="3"/>
        <v>北縣金陽店1</v>
      </c>
      <c r="E205" s="138">
        <v>1</v>
      </c>
      <c r="F205" s="138" t="s">
        <v>6483</v>
      </c>
      <c r="G205" s="139" t="s">
        <v>6484</v>
      </c>
      <c r="H205" s="138" t="s">
        <v>5853</v>
      </c>
      <c r="I205" s="140" t="s">
        <v>5861</v>
      </c>
      <c r="J205" s="141" t="s">
        <v>4</v>
      </c>
      <c r="K205" s="142" t="s">
        <v>5855</v>
      </c>
      <c r="L205" s="138"/>
      <c r="M205" s="141"/>
      <c r="N205" s="177" t="s">
        <v>5856</v>
      </c>
    </row>
    <row r="206" spans="1:14" ht="22.95" customHeight="1">
      <c r="A206" s="138" t="s">
        <v>6485</v>
      </c>
      <c r="B206" s="138">
        <v>2267</v>
      </c>
      <c r="C206" s="139" t="s">
        <v>2284</v>
      </c>
      <c r="D206" s="139" t="str">
        <f t="shared" si="3"/>
        <v>北縣金陽店2</v>
      </c>
      <c r="E206" s="138">
        <v>2</v>
      </c>
      <c r="F206" s="138" t="s">
        <v>6486</v>
      </c>
      <c r="G206" s="139" t="s">
        <v>6487</v>
      </c>
      <c r="H206" s="138" t="s">
        <v>5853</v>
      </c>
      <c r="I206" s="140" t="s">
        <v>5861</v>
      </c>
      <c r="J206" s="141" t="s">
        <v>4</v>
      </c>
      <c r="K206" s="142" t="s">
        <v>5855</v>
      </c>
      <c r="L206" s="138"/>
      <c r="M206" s="141"/>
      <c r="N206" s="177" t="s">
        <v>5856</v>
      </c>
    </row>
    <row r="207" spans="1:14" ht="22.95" customHeight="1">
      <c r="A207" s="138" t="s">
        <v>6488</v>
      </c>
      <c r="B207" s="138">
        <v>3606</v>
      </c>
      <c r="C207" s="139" t="s">
        <v>1534</v>
      </c>
      <c r="D207" s="139" t="str">
        <f t="shared" si="3"/>
        <v>北縣泰富店1</v>
      </c>
      <c r="E207" s="138">
        <v>1</v>
      </c>
      <c r="F207" s="138" t="s">
        <v>6489</v>
      </c>
      <c r="G207" s="139" t="s">
        <v>6490</v>
      </c>
      <c r="H207" s="138" t="s">
        <v>5860</v>
      </c>
      <c r="I207" s="140" t="s">
        <v>5861</v>
      </c>
      <c r="J207" s="141" t="s">
        <v>12</v>
      </c>
      <c r="K207" s="142" t="s">
        <v>5855</v>
      </c>
      <c r="L207" s="138"/>
      <c r="M207" s="141"/>
      <c r="N207" s="177" t="s">
        <v>5856</v>
      </c>
    </row>
    <row r="208" spans="1:14" ht="22.95" customHeight="1">
      <c r="A208" s="138" t="s">
        <v>6491</v>
      </c>
      <c r="B208" s="138">
        <v>3606</v>
      </c>
      <c r="C208" s="139" t="s">
        <v>1534</v>
      </c>
      <c r="D208" s="139" t="str">
        <f t="shared" si="3"/>
        <v>北縣泰富店2</v>
      </c>
      <c r="E208" s="138">
        <v>2</v>
      </c>
      <c r="F208" s="138" t="s">
        <v>6492</v>
      </c>
      <c r="G208" s="139" t="s">
        <v>6493</v>
      </c>
      <c r="H208" s="138" t="s">
        <v>5860</v>
      </c>
      <c r="I208" s="140" t="s">
        <v>5861</v>
      </c>
      <c r="J208" s="141" t="s">
        <v>12</v>
      </c>
      <c r="K208" s="142" t="s">
        <v>5855</v>
      </c>
      <c r="L208" s="138"/>
      <c r="M208" s="141"/>
      <c r="N208" s="177" t="s">
        <v>5856</v>
      </c>
    </row>
    <row r="209" spans="1:14" ht="22.95" customHeight="1">
      <c r="A209" s="138" t="s">
        <v>6494</v>
      </c>
      <c r="B209" s="138">
        <v>4656</v>
      </c>
      <c r="C209" s="139" t="s">
        <v>1538</v>
      </c>
      <c r="D209" s="139" t="str">
        <f t="shared" si="3"/>
        <v>泰山新民店1</v>
      </c>
      <c r="E209" s="138">
        <v>1</v>
      </c>
      <c r="F209" s="138" t="s">
        <v>6495</v>
      </c>
      <c r="G209" s="139" t="s">
        <v>6496</v>
      </c>
      <c r="H209" s="138" t="s">
        <v>6497</v>
      </c>
      <c r="I209" s="140" t="s">
        <v>5854</v>
      </c>
      <c r="J209" s="141" t="s">
        <v>12</v>
      </c>
      <c r="K209" s="142" t="s">
        <v>5855</v>
      </c>
      <c r="L209" s="138"/>
      <c r="M209" s="141"/>
      <c r="N209" s="177" t="s">
        <v>5856</v>
      </c>
    </row>
    <row r="210" spans="1:14" ht="22.95" customHeight="1">
      <c r="A210" s="138" t="s">
        <v>6498</v>
      </c>
      <c r="B210" s="138">
        <v>4656</v>
      </c>
      <c r="C210" s="139" t="s">
        <v>1538</v>
      </c>
      <c r="D210" s="139" t="str">
        <f t="shared" si="3"/>
        <v>泰山新民店2</v>
      </c>
      <c r="E210" s="138">
        <v>2</v>
      </c>
      <c r="F210" s="138" t="s">
        <v>6499</v>
      </c>
      <c r="G210" s="139" t="s">
        <v>6500</v>
      </c>
      <c r="H210" s="138" t="s">
        <v>5860</v>
      </c>
      <c r="I210" s="140" t="s">
        <v>5861</v>
      </c>
      <c r="J210" s="141" t="s">
        <v>12</v>
      </c>
      <c r="K210" s="142" t="s">
        <v>5855</v>
      </c>
      <c r="L210" s="138"/>
      <c r="M210" s="141"/>
      <c r="N210" s="177" t="s">
        <v>5856</v>
      </c>
    </row>
    <row r="211" spans="1:14" ht="22.95" customHeight="1">
      <c r="A211" s="138" t="s">
        <v>6501</v>
      </c>
      <c r="B211" s="138">
        <v>3751</v>
      </c>
      <c r="C211" s="139" t="s">
        <v>571</v>
      </c>
      <c r="D211" s="139" t="str">
        <f t="shared" si="3"/>
        <v>淡水真理大1</v>
      </c>
      <c r="E211" s="138">
        <v>1</v>
      </c>
      <c r="F211" s="138" t="s">
        <v>6502</v>
      </c>
      <c r="G211" s="139" t="s">
        <v>6503</v>
      </c>
      <c r="H211" s="138" t="s">
        <v>5860</v>
      </c>
      <c r="I211" s="140" t="s">
        <v>5861</v>
      </c>
      <c r="J211" s="141" t="s">
        <v>3</v>
      </c>
      <c r="K211" s="142" t="s">
        <v>5855</v>
      </c>
      <c r="L211" s="138" t="s">
        <v>66</v>
      </c>
      <c r="M211" s="141"/>
      <c r="N211" s="177" t="s">
        <v>5856</v>
      </c>
    </row>
    <row r="212" spans="1:14" ht="22.95" customHeight="1">
      <c r="A212" s="138" t="s">
        <v>6504</v>
      </c>
      <c r="B212" s="138">
        <v>3751</v>
      </c>
      <c r="C212" s="139" t="s">
        <v>571</v>
      </c>
      <c r="D212" s="139" t="str">
        <f t="shared" si="3"/>
        <v>淡水真理大2</v>
      </c>
      <c r="E212" s="138">
        <v>2</v>
      </c>
      <c r="F212" s="138" t="s">
        <v>6505</v>
      </c>
      <c r="G212" s="139" t="s">
        <v>6506</v>
      </c>
      <c r="H212" s="138" t="s">
        <v>5860</v>
      </c>
      <c r="I212" s="140" t="s">
        <v>5861</v>
      </c>
      <c r="J212" s="141" t="s">
        <v>3</v>
      </c>
      <c r="K212" s="142" t="s">
        <v>5855</v>
      </c>
      <c r="L212" s="138" t="s">
        <v>66</v>
      </c>
      <c r="M212" s="141"/>
      <c r="N212" s="177" t="s">
        <v>5856</v>
      </c>
    </row>
    <row r="213" spans="1:14" ht="22.95" customHeight="1">
      <c r="A213" s="138" t="s">
        <v>6507</v>
      </c>
      <c r="B213" s="138">
        <v>2318</v>
      </c>
      <c r="C213" s="139" t="s">
        <v>776</v>
      </c>
      <c r="D213" s="139" t="str">
        <f t="shared" si="3"/>
        <v>北縣淡俊店2</v>
      </c>
      <c r="E213" s="138">
        <v>2</v>
      </c>
      <c r="F213" s="138" t="s">
        <v>6508</v>
      </c>
      <c r="G213" s="139" t="s">
        <v>6509</v>
      </c>
      <c r="H213" s="138" t="s">
        <v>5903</v>
      </c>
      <c r="I213" s="140" t="s">
        <v>5861</v>
      </c>
      <c r="J213" s="141" t="s">
        <v>3</v>
      </c>
      <c r="K213" s="142" t="s">
        <v>5855</v>
      </c>
      <c r="L213" s="138"/>
      <c r="M213" s="141"/>
      <c r="N213" s="177" t="s">
        <v>5856</v>
      </c>
    </row>
    <row r="214" spans="1:14" ht="22.95" customHeight="1">
      <c r="A214" s="138" t="s">
        <v>6510</v>
      </c>
      <c r="B214" s="138">
        <v>2897</v>
      </c>
      <c r="C214" s="139" t="s">
        <v>2301</v>
      </c>
      <c r="D214" s="139" t="str">
        <f t="shared" si="3"/>
        <v>淡水台電宿舍1</v>
      </c>
      <c r="E214" s="138">
        <v>1</v>
      </c>
      <c r="F214" s="138" t="s">
        <v>6511</v>
      </c>
      <c r="G214" s="139" t="s">
        <v>6512</v>
      </c>
      <c r="H214" s="138" t="s">
        <v>5860</v>
      </c>
      <c r="I214" s="140" t="s">
        <v>5861</v>
      </c>
      <c r="J214" s="141" t="s">
        <v>3</v>
      </c>
      <c r="K214" s="142" t="s">
        <v>5855</v>
      </c>
      <c r="L214" s="138"/>
      <c r="M214" s="141"/>
      <c r="N214" s="177" t="s">
        <v>5856</v>
      </c>
    </row>
    <row r="215" spans="1:14" ht="22.95" customHeight="1">
      <c r="A215" s="138" t="s">
        <v>6513</v>
      </c>
      <c r="B215" s="138">
        <v>2897</v>
      </c>
      <c r="C215" s="139" t="s">
        <v>2301</v>
      </c>
      <c r="D215" s="139" t="str">
        <f t="shared" si="3"/>
        <v>淡水台電宿舍2</v>
      </c>
      <c r="E215" s="138">
        <v>2</v>
      </c>
      <c r="F215" s="138" t="s">
        <v>6514</v>
      </c>
      <c r="G215" s="139" t="s">
        <v>6515</v>
      </c>
      <c r="H215" s="138" t="s">
        <v>5860</v>
      </c>
      <c r="I215" s="140" t="s">
        <v>5861</v>
      </c>
      <c r="J215" s="141" t="s">
        <v>3</v>
      </c>
      <c r="K215" s="142" t="s">
        <v>5855</v>
      </c>
      <c r="L215" s="138"/>
      <c r="M215" s="141"/>
      <c r="N215" s="177" t="s">
        <v>5856</v>
      </c>
    </row>
    <row r="216" spans="1:14" ht="22.95" customHeight="1">
      <c r="A216" s="138" t="s">
        <v>6516</v>
      </c>
      <c r="B216" s="138">
        <v>2749</v>
      </c>
      <c r="C216" s="139" t="s">
        <v>2024</v>
      </c>
      <c r="D216" s="139" t="str">
        <f t="shared" si="3"/>
        <v>淡水灰瑤子1</v>
      </c>
      <c r="E216" s="138">
        <v>1</v>
      </c>
      <c r="F216" s="138" t="s">
        <v>6517</v>
      </c>
      <c r="G216" s="139" t="s">
        <v>6518</v>
      </c>
      <c r="H216" s="138" t="s">
        <v>5860</v>
      </c>
      <c r="I216" s="140" t="s">
        <v>5861</v>
      </c>
      <c r="J216" s="141" t="s">
        <v>3</v>
      </c>
      <c r="K216" s="142" t="s">
        <v>5855</v>
      </c>
      <c r="L216" s="138"/>
      <c r="M216" s="141"/>
      <c r="N216" s="177" t="s">
        <v>5856</v>
      </c>
    </row>
    <row r="217" spans="1:14" ht="22.95" customHeight="1">
      <c r="A217" s="138" t="s">
        <v>6519</v>
      </c>
      <c r="B217" s="138">
        <v>2749</v>
      </c>
      <c r="C217" s="139" t="s">
        <v>2024</v>
      </c>
      <c r="D217" s="139" t="str">
        <f t="shared" si="3"/>
        <v>淡水灰瑤子2</v>
      </c>
      <c r="E217" s="138">
        <v>2</v>
      </c>
      <c r="F217" s="138" t="s">
        <v>6520</v>
      </c>
      <c r="G217" s="139" t="s">
        <v>6521</v>
      </c>
      <c r="H217" s="138" t="s">
        <v>5860</v>
      </c>
      <c r="I217" s="140" t="s">
        <v>5861</v>
      </c>
      <c r="J217" s="141" t="s">
        <v>3</v>
      </c>
      <c r="K217" s="142" t="s">
        <v>5855</v>
      </c>
      <c r="L217" s="138"/>
      <c r="M217" s="141"/>
      <c r="N217" s="177" t="s">
        <v>5856</v>
      </c>
    </row>
    <row r="218" spans="1:14" ht="22.95" customHeight="1">
      <c r="A218" s="138" t="s">
        <v>6522</v>
      </c>
      <c r="B218" s="138" t="s">
        <v>71</v>
      </c>
      <c r="C218" s="139" t="s">
        <v>788</v>
      </c>
      <c r="D218" s="139" t="str">
        <f t="shared" si="3"/>
        <v>淡水金龍店1</v>
      </c>
      <c r="E218" s="138">
        <v>1</v>
      </c>
      <c r="F218" s="138" t="s">
        <v>6523</v>
      </c>
      <c r="G218" s="139" t="s">
        <v>6524</v>
      </c>
      <c r="H218" s="138" t="s">
        <v>5853</v>
      </c>
      <c r="I218" s="140" t="s">
        <v>5893</v>
      </c>
      <c r="J218" s="141" t="s">
        <v>3</v>
      </c>
      <c r="K218" s="142" t="s">
        <v>5855</v>
      </c>
      <c r="L218" s="138"/>
      <c r="M218" s="141"/>
      <c r="N218" s="177" t="s">
        <v>5856</v>
      </c>
    </row>
    <row r="219" spans="1:14" ht="22.95" customHeight="1">
      <c r="A219" s="138" t="s">
        <v>6525</v>
      </c>
      <c r="B219" s="138" t="s">
        <v>71</v>
      </c>
      <c r="C219" s="139" t="s">
        <v>788</v>
      </c>
      <c r="D219" s="139" t="str">
        <f t="shared" si="3"/>
        <v>淡水金龍店2</v>
      </c>
      <c r="E219" s="138">
        <v>2</v>
      </c>
      <c r="F219" s="138" t="s">
        <v>6526</v>
      </c>
      <c r="G219" s="139" t="s">
        <v>6527</v>
      </c>
      <c r="H219" s="138" t="s">
        <v>5853</v>
      </c>
      <c r="I219" s="140" t="s">
        <v>5893</v>
      </c>
      <c r="J219" s="141" t="s">
        <v>3</v>
      </c>
      <c r="K219" s="142" t="s">
        <v>5855</v>
      </c>
      <c r="L219" s="138"/>
      <c r="M219" s="141"/>
      <c r="N219" s="177" t="s">
        <v>5856</v>
      </c>
    </row>
    <row r="220" spans="1:14" ht="22.95" customHeight="1">
      <c r="A220" s="138" t="s">
        <v>6528</v>
      </c>
      <c r="B220" s="138">
        <v>4298</v>
      </c>
      <c r="C220" s="139" t="s">
        <v>599</v>
      </c>
      <c r="D220" s="139" t="str">
        <f t="shared" si="3"/>
        <v>淡水後洲店1</v>
      </c>
      <c r="E220" s="138">
        <v>1</v>
      </c>
      <c r="F220" s="138" t="s">
        <v>6529</v>
      </c>
      <c r="G220" s="139" t="s">
        <v>6530</v>
      </c>
      <c r="H220" s="138" t="s">
        <v>5853</v>
      </c>
      <c r="I220" s="140" t="s">
        <v>5861</v>
      </c>
      <c r="J220" s="141" t="s">
        <v>3</v>
      </c>
      <c r="K220" s="142" t="s">
        <v>5855</v>
      </c>
      <c r="L220" s="138"/>
      <c r="M220" s="141"/>
      <c r="N220" s="177" t="s">
        <v>5856</v>
      </c>
    </row>
    <row r="221" spans="1:14" ht="22.95" customHeight="1">
      <c r="A221" s="138" t="s">
        <v>6531</v>
      </c>
      <c r="B221" s="138">
        <v>4298</v>
      </c>
      <c r="C221" s="139" t="s">
        <v>599</v>
      </c>
      <c r="D221" s="139" t="str">
        <f t="shared" si="3"/>
        <v>淡水後洲店2</v>
      </c>
      <c r="E221" s="138">
        <v>2</v>
      </c>
      <c r="F221" s="138" t="s">
        <v>6532</v>
      </c>
      <c r="G221" s="139" t="s">
        <v>6533</v>
      </c>
      <c r="H221" s="138" t="s">
        <v>5853</v>
      </c>
      <c r="I221" s="140" t="s">
        <v>5861</v>
      </c>
      <c r="J221" s="141" t="s">
        <v>3</v>
      </c>
      <c r="K221" s="142" t="s">
        <v>5855</v>
      </c>
      <c r="L221" s="138"/>
      <c r="M221" s="141"/>
      <c r="N221" s="177" t="s">
        <v>5856</v>
      </c>
    </row>
    <row r="222" spans="1:14" ht="22.95" customHeight="1">
      <c r="A222" s="138" t="s">
        <v>6534</v>
      </c>
      <c r="B222" s="138">
        <v>4788</v>
      </c>
      <c r="C222" s="139" t="s">
        <v>587</v>
      </c>
      <c r="D222" s="139" t="str">
        <f t="shared" si="3"/>
        <v>淡水國家店1</v>
      </c>
      <c r="E222" s="138">
        <v>1</v>
      </c>
      <c r="F222" s="138" t="s">
        <v>6535</v>
      </c>
      <c r="G222" s="139" t="s">
        <v>6536</v>
      </c>
      <c r="H222" s="138" t="s">
        <v>5853</v>
      </c>
      <c r="I222" s="140" t="s">
        <v>5861</v>
      </c>
      <c r="J222" s="141" t="s">
        <v>3</v>
      </c>
      <c r="K222" s="142" t="s">
        <v>5855</v>
      </c>
      <c r="L222" s="138"/>
      <c r="M222" s="141"/>
      <c r="N222" s="177" t="s">
        <v>5856</v>
      </c>
    </row>
    <row r="223" spans="1:14" ht="22.95" customHeight="1">
      <c r="A223" s="138" t="s">
        <v>6537</v>
      </c>
      <c r="B223" s="138">
        <v>4788</v>
      </c>
      <c r="C223" s="139" t="s">
        <v>587</v>
      </c>
      <c r="D223" s="139" t="str">
        <f t="shared" si="3"/>
        <v>淡水國家店2</v>
      </c>
      <c r="E223" s="138">
        <v>2</v>
      </c>
      <c r="F223" s="138" t="s">
        <v>6538</v>
      </c>
      <c r="G223" s="139" t="s">
        <v>6539</v>
      </c>
      <c r="H223" s="138" t="s">
        <v>5853</v>
      </c>
      <c r="I223" s="140" t="s">
        <v>5861</v>
      </c>
      <c r="J223" s="141" t="s">
        <v>3</v>
      </c>
      <c r="K223" s="142" t="s">
        <v>5855</v>
      </c>
      <c r="L223" s="138"/>
      <c r="M223" s="141"/>
      <c r="N223" s="177" t="s">
        <v>5856</v>
      </c>
    </row>
    <row r="224" spans="1:14" ht="22.95" customHeight="1">
      <c r="A224" s="138" t="s">
        <v>6540</v>
      </c>
      <c r="B224" s="138">
        <v>4153</v>
      </c>
      <c r="C224" s="139" t="s">
        <v>583</v>
      </c>
      <c r="D224" s="139" t="str">
        <f t="shared" si="3"/>
        <v>淡水莊園店1</v>
      </c>
      <c r="E224" s="138">
        <v>1</v>
      </c>
      <c r="F224" s="138" t="s">
        <v>6541</v>
      </c>
      <c r="G224" s="139" t="s">
        <v>6542</v>
      </c>
      <c r="H224" s="138" t="s">
        <v>5860</v>
      </c>
      <c r="I224" s="140" t="s">
        <v>5893</v>
      </c>
      <c r="J224" s="141" t="s">
        <v>3</v>
      </c>
      <c r="K224" s="142" t="s">
        <v>5855</v>
      </c>
      <c r="L224" s="138"/>
      <c r="M224" s="141"/>
      <c r="N224" s="177" t="s">
        <v>5856</v>
      </c>
    </row>
    <row r="225" spans="1:14" ht="22.95" customHeight="1">
      <c r="A225" s="138" t="s">
        <v>6543</v>
      </c>
      <c r="B225" s="138">
        <v>4153</v>
      </c>
      <c r="C225" s="139" t="s">
        <v>583</v>
      </c>
      <c r="D225" s="139" t="str">
        <f t="shared" si="3"/>
        <v>淡水莊園店2</v>
      </c>
      <c r="E225" s="138">
        <v>2</v>
      </c>
      <c r="F225" s="138" t="s">
        <v>6544</v>
      </c>
      <c r="G225" s="139" t="s">
        <v>6545</v>
      </c>
      <c r="H225" s="138" t="s">
        <v>5860</v>
      </c>
      <c r="I225" s="140" t="s">
        <v>5893</v>
      </c>
      <c r="J225" s="141" t="s">
        <v>3</v>
      </c>
      <c r="K225" s="142" t="s">
        <v>5855</v>
      </c>
      <c r="L225" s="138"/>
      <c r="M225" s="141"/>
      <c r="N225" s="177" t="s">
        <v>5856</v>
      </c>
    </row>
    <row r="226" spans="1:14" ht="22.95" customHeight="1">
      <c r="A226" s="138" t="s">
        <v>6546</v>
      </c>
      <c r="B226" s="138">
        <v>4093</v>
      </c>
      <c r="C226" s="139" t="s">
        <v>579</v>
      </c>
      <c r="D226" s="139" t="str">
        <f t="shared" si="3"/>
        <v>淡水新市一2</v>
      </c>
      <c r="E226" s="138">
        <v>2</v>
      </c>
      <c r="F226" s="138" t="s">
        <v>6547</v>
      </c>
      <c r="G226" s="139" t="s">
        <v>6548</v>
      </c>
      <c r="H226" s="138" t="s">
        <v>5853</v>
      </c>
      <c r="I226" s="140" t="s">
        <v>5861</v>
      </c>
      <c r="J226" s="141" t="s">
        <v>3</v>
      </c>
      <c r="K226" s="142" t="s">
        <v>5855</v>
      </c>
      <c r="L226" s="138"/>
      <c r="M226" s="141"/>
      <c r="N226" s="177" t="s">
        <v>5856</v>
      </c>
    </row>
    <row r="227" spans="1:14" ht="22.95" customHeight="1">
      <c r="A227" s="138" t="s">
        <v>6549</v>
      </c>
      <c r="B227" s="138">
        <v>4529</v>
      </c>
      <c r="C227" s="139" t="s">
        <v>619</v>
      </c>
      <c r="D227" s="139" t="str">
        <f t="shared" si="3"/>
        <v>淡水新洲店1</v>
      </c>
      <c r="E227" s="138">
        <v>1</v>
      </c>
      <c r="F227" s="138" t="s">
        <v>6550</v>
      </c>
      <c r="G227" s="139" t="s">
        <v>6551</v>
      </c>
      <c r="H227" s="138" t="s">
        <v>5860</v>
      </c>
      <c r="I227" s="140" t="s">
        <v>5893</v>
      </c>
      <c r="J227" s="141" t="s">
        <v>3</v>
      </c>
      <c r="K227" s="142" t="s">
        <v>5855</v>
      </c>
      <c r="L227" s="138"/>
      <c r="M227" s="141"/>
      <c r="N227" s="177" t="s">
        <v>5856</v>
      </c>
    </row>
    <row r="228" spans="1:14" ht="22.95" customHeight="1">
      <c r="A228" s="138" t="s">
        <v>6552</v>
      </c>
      <c r="B228" s="138">
        <v>4529</v>
      </c>
      <c r="C228" s="139" t="s">
        <v>619</v>
      </c>
      <c r="D228" s="139" t="str">
        <f t="shared" si="3"/>
        <v>淡水新洲店2</v>
      </c>
      <c r="E228" s="138">
        <v>2</v>
      </c>
      <c r="F228" s="138" t="s">
        <v>6553</v>
      </c>
      <c r="G228" s="139" t="s">
        <v>6554</v>
      </c>
      <c r="H228" s="138" t="s">
        <v>5860</v>
      </c>
      <c r="I228" s="140" t="s">
        <v>5893</v>
      </c>
      <c r="J228" s="141" t="s">
        <v>3</v>
      </c>
      <c r="K228" s="142" t="s">
        <v>5855</v>
      </c>
      <c r="L228" s="138"/>
      <c r="M228" s="141"/>
      <c r="N228" s="177" t="s">
        <v>5856</v>
      </c>
    </row>
    <row r="229" spans="1:14" ht="22.95" customHeight="1">
      <c r="A229" s="138" t="s">
        <v>6555</v>
      </c>
      <c r="B229" s="138">
        <v>4739</v>
      </c>
      <c r="C229" s="139" t="s">
        <v>2043</v>
      </c>
      <c r="D229" s="139" t="str">
        <f t="shared" si="3"/>
        <v>淡水櫻花店2</v>
      </c>
      <c r="E229" s="138">
        <v>2</v>
      </c>
      <c r="F229" s="138" t="s">
        <v>6556</v>
      </c>
      <c r="G229" s="139" t="s">
        <v>6557</v>
      </c>
      <c r="H229" s="138" t="s">
        <v>5853</v>
      </c>
      <c r="I229" s="140" t="s">
        <v>5861</v>
      </c>
      <c r="J229" s="141" t="s">
        <v>3</v>
      </c>
      <c r="K229" s="142" t="s">
        <v>5855</v>
      </c>
      <c r="L229" s="138"/>
      <c r="M229" s="141"/>
      <c r="N229" s="177" t="s">
        <v>5856</v>
      </c>
    </row>
    <row r="230" spans="1:14" ht="22.95" customHeight="1">
      <c r="A230" s="138" t="s">
        <v>6558</v>
      </c>
      <c r="B230" s="138">
        <v>3851</v>
      </c>
      <c r="C230" s="139" t="s">
        <v>6559</v>
      </c>
      <c r="D230" s="139" t="str">
        <f t="shared" si="3"/>
        <v>北縣輔園店1</v>
      </c>
      <c r="E230" s="138">
        <v>1</v>
      </c>
      <c r="F230" s="138" t="s">
        <v>6560</v>
      </c>
      <c r="G230" s="139" t="s">
        <v>6561</v>
      </c>
      <c r="H230" s="138" t="s">
        <v>5853</v>
      </c>
      <c r="I230" s="140" t="s">
        <v>5861</v>
      </c>
      <c r="J230" s="141" t="s">
        <v>11</v>
      </c>
      <c r="K230" s="142" t="s">
        <v>5855</v>
      </c>
      <c r="L230" s="138" t="s">
        <v>66</v>
      </c>
      <c r="M230" s="141"/>
      <c r="N230" s="177" t="s">
        <v>5856</v>
      </c>
    </row>
    <row r="231" spans="1:14" ht="22.95" customHeight="1">
      <c r="A231" s="138" t="s">
        <v>6562</v>
      </c>
      <c r="B231" s="138">
        <v>3851</v>
      </c>
      <c r="C231" s="139" t="s">
        <v>6559</v>
      </c>
      <c r="D231" s="139" t="str">
        <f t="shared" si="3"/>
        <v>北縣輔園店2</v>
      </c>
      <c r="E231" s="138">
        <v>2</v>
      </c>
      <c r="F231" s="138" t="s">
        <v>6563</v>
      </c>
      <c r="G231" s="139" t="s">
        <v>6564</v>
      </c>
      <c r="H231" s="138" t="s">
        <v>5853</v>
      </c>
      <c r="I231" s="140" t="s">
        <v>5861</v>
      </c>
      <c r="J231" s="141" t="s">
        <v>11</v>
      </c>
      <c r="K231" s="142" t="s">
        <v>5855</v>
      </c>
      <c r="L231" s="138" t="s">
        <v>66</v>
      </c>
      <c r="M231" s="141"/>
      <c r="N231" s="177" t="s">
        <v>5856</v>
      </c>
    </row>
    <row r="232" spans="1:14" ht="22.95" customHeight="1">
      <c r="A232" s="138" t="s">
        <v>6565</v>
      </c>
      <c r="B232" s="138" t="s">
        <v>68</v>
      </c>
      <c r="C232" s="139" t="s">
        <v>1899</v>
      </c>
      <c r="D232" s="139" t="str">
        <f t="shared" si="3"/>
        <v>田倉新樹店1</v>
      </c>
      <c r="E232" s="138">
        <v>1</v>
      </c>
      <c r="F232" s="138" t="s">
        <v>6566</v>
      </c>
      <c r="G232" s="139" t="s">
        <v>6567</v>
      </c>
      <c r="H232" s="138" t="s">
        <v>5853</v>
      </c>
      <c r="I232" s="140" t="s">
        <v>5854</v>
      </c>
      <c r="J232" s="141" t="s">
        <v>11</v>
      </c>
      <c r="K232" s="142" t="s">
        <v>5855</v>
      </c>
      <c r="L232" s="138" t="s">
        <v>47</v>
      </c>
      <c r="M232" s="141"/>
      <c r="N232" s="177" t="s">
        <v>5856</v>
      </c>
    </row>
    <row r="233" spans="1:14" ht="22.95" customHeight="1">
      <c r="A233" s="138" t="s">
        <v>6568</v>
      </c>
      <c r="B233" s="138">
        <v>3652</v>
      </c>
      <c r="C233" s="139" t="s">
        <v>6569</v>
      </c>
      <c r="D233" s="139" t="str">
        <f t="shared" si="3"/>
        <v>北縣莊民店1</v>
      </c>
      <c r="E233" s="138">
        <v>1</v>
      </c>
      <c r="F233" s="138" t="s">
        <v>6570</v>
      </c>
      <c r="G233" s="139" t="s">
        <v>6571</v>
      </c>
      <c r="H233" s="138" t="s">
        <v>5853</v>
      </c>
      <c r="I233" s="140" t="s">
        <v>5861</v>
      </c>
      <c r="J233" s="141" t="s">
        <v>11</v>
      </c>
      <c r="K233" s="142" t="s">
        <v>5855</v>
      </c>
      <c r="L233" s="138"/>
      <c r="M233" s="141"/>
      <c r="N233" s="177" t="s">
        <v>5856</v>
      </c>
    </row>
    <row r="234" spans="1:14" ht="22.95" customHeight="1">
      <c r="A234" s="138" t="s">
        <v>6572</v>
      </c>
      <c r="B234" s="138">
        <v>3652</v>
      </c>
      <c r="C234" s="139" t="s">
        <v>6569</v>
      </c>
      <c r="D234" s="139" t="str">
        <f t="shared" si="3"/>
        <v>北縣莊民店2</v>
      </c>
      <c r="E234" s="138">
        <v>2</v>
      </c>
      <c r="F234" s="138" t="s">
        <v>6573</v>
      </c>
      <c r="G234" s="139" t="s">
        <v>6574</v>
      </c>
      <c r="H234" s="138" t="s">
        <v>5853</v>
      </c>
      <c r="I234" s="140" t="s">
        <v>5861</v>
      </c>
      <c r="J234" s="141" t="s">
        <v>11</v>
      </c>
      <c r="K234" s="142" t="s">
        <v>5855</v>
      </c>
      <c r="L234" s="138"/>
      <c r="M234" s="141"/>
      <c r="N234" s="177" t="s">
        <v>5856</v>
      </c>
    </row>
    <row r="235" spans="1:14" ht="22.95" customHeight="1">
      <c r="A235" s="138" t="s">
        <v>6575</v>
      </c>
      <c r="B235" s="138">
        <v>3052</v>
      </c>
      <c r="C235" s="139" t="s">
        <v>176</v>
      </c>
      <c r="D235" s="139" t="str">
        <f t="shared" si="3"/>
        <v>北縣莊玲店1</v>
      </c>
      <c r="E235" s="138">
        <v>1</v>
      </c>
      <c r="F235" s="138" t="s">
        <v>6576</v>
      </c>
      <c r="G235" s="139" t="s">
        <v>6577</v>
      </c>
      <c r="H235" s="138" t="s">
        <v>5903</v>
      </c>
      <c r="I235" s="140" t="s">
        <v>5861</v>
      </c>
      <c r="J235" s="141" t="s">
        <v>11</v>
      </c>
      <c r="K235" s="142" t="s">
        <v>5855</v>
      </c>
      <c r="L235" s="138"/>
      <c r="M235" s="141"/>
      <c r="N235" s="177" t="s">
        <v>5856</v>
      </c>
    </row>
    <row r="236" spans="1:14" ht="22.95" customHeight="1">
      <c r="A236" s="138" t="s">
        <v>6578</v>
      </c>
      <c r="B236" s="138">
        <v>3052</v>
      </c>
      <c r="C236" s="139" t="s">
        <v>176</v>
      </c>
      <c r="D236" s="139" t="str">
        <f t="shared" si="3"/>
        <v>北縣莊玲店2</v>
      </c>
      <c r="E236" s="138">
        <v>2</v>
      </c>
      <c r="F236" s="138" t="s">
        <v>6579</v>
      </c>
      <c r="G236" s="139" t="s">
        <v>6580</v>
      </c>
      <c r="H236" s="138" t="s">
        <v>5903</v>
      </c>
      <c r="I236" s="140" t="s">
        <v>5861</v>
      </c>
      <c r="J236" s="141" t="s">
        <v>11</v>
      </c>
      <c r="K236" s="142" t="s">
        <v>5855</v>
      </c>
      <c r="L236" s="138"/>
      <c r="M236" s="141"/>
      <c r="N236" s="177" t="s">
        <v>5856</v>
      </c>
    </row>
    <row r="237" spans="1:14" ht="22.95" customHeight="1">
      <c r="A237" s="138" t="s">
        <v>6581</v>
      </c>
      <c r="B237" s="138">
        <v>3380</v>
      </c>
      <c r="C237" s="139" t="s">
        <v>1550</v>
      </c>
      <c r="D237" s="139" t="str">
        <f t="shared" si="3"/>
        <v>北縣莊勝店2</v>
      </c>
      <c r="E237" s="138">
        <v>2</v>
      </c>
      <c r="F237" s="138" t="s">
        <v>6582</v>
      </c>
      <c r="G237" s="139" t="s">
        <v>6583</v>
      </c>
      <c r="H237" s="138" t="s">
        <v>5903</v>
      </c>
      <c r="I237" s="140" t="s">
        <v>5861</v>
      </c>
      <c r="J237" s="141" t="s">
        <v>11</v>
      </c>
      <c r="K237" s="142" t="s">
        <v>5855</v>
      </c>
      <c r="L237" s="138"/>
      <c r="M237" s="141"/>
      <c r="N237" s="177" t="s">
        <v>5856</v>
      </c>
    </row>
    <row r="238" spans="1:14" ht="22.95" customHeight="1">
      <c r="A238" s="138" t="s">
        <v>6584</v>
      </c>
      <c r="B238" s="138">
        <v>2109</v>
      </c>
      <c r="C238" s="139" t="s">
        <v>6585</v>
      </c>
      <c r="D238" s="139" t="str">
        <f t="shared" si="3"/>
        <v>北縣瓊林南店1</v>
      </c>
      <c r="E238" s="138">
        <v>1</v>
      </c>
      <c r="F238" s="138" t="s">
        <v>6586</v>
      </c>
      <c r="G238" s="139" t="s">
        <v>6587</v>
      </c>
      <c r="H238" s="138" t="s">
        <v>5853</v>
      </c>
      <c r="I238" s="140" t="s">
        <v>5854</v>
      </c>
      <c r="J238" s="141" t="s">
        <v>11</v>
      </c>
      <c r="K238" s="142" t="s">
        <v>5855</v>
      </c>
      <c r="L238" s="138"/>
      <c r="M238" s="141"/>
      <c r="N238" s="177" t="s">
        <v>5856</v>
      </c>
    </row>
    <row r="239" spans="1:14" ht="22.95" customHeight="1">
      <c r="A239" s="138" t="s">
        <v>6588</v>
      </c>
      <c r="B239" s="138">
        <v>2109</v>
      </c>
      <c r="C239" s="139" t="s">
        <v>6585</v>
      </c>
      <c r="D239" s="139" t="str">
        <f t="shared" si="3"/>
        <v>北縣瓊林南店2</v>
      </c>
      <c r="E239" s="138">
        <v>2</v>
      </c>
      <c r="F239" s="138" t="s">
        <v>6589</v>
      </c>
      <c r="G239" s="139" t="s">
        <v>6590</v>
      </c>
      <c r="H239" s="138" t="s">
        <v>5853</v>
      </c>
      <c r="I239" s="140" t="s">
        <v>5854</v>
      </c>
      <c r="J239" s="141" t="s">
        <v>11</v>
      </c>
      <c r="K239" s="142" t="s">
        <v>5855</v>
      </c>
      <c r="L239" s="138"/>
      <c r="M239" s="141"/>
      <c r="N239" s="177" t="s">
        <v>5856</v>
      </c>
    </row>
    <row r="240" spans="1:14" ht="22.95" customHeight="1">
      <c r="A240" s="138" t="s">
        <v>6591</v>
      </c>
      <c r="B240" s="138">
        <v>4856</v>
      </c>
      <c r="C240" s="139" t="s">
        <v>1437</v>
      </c>
      <c r="D240" s="139" t="str">
        <f t="shared" si="3"/>
        <v>新莊小胖店2</v>
      </c>
      <c r="E240" s="138">
        <v>2</v>
      </c>
      <c r="F240" s="138" t="s">
        <v>6592</v>
      </c>
      <c r="G240" s="139" t="s">
        <v>6593</v>
      </c>
      <c r="H240" s="138" t="s">
        <v>5853</v>
      </c>
      <c r="I240" s="140" t="s">
        <v>5861</v>
      </c>
      <c r="J240" s="141" t="s">
        <v>11</v>
      </c>
      <c r="K240" s="142" t="s">
        <v>5855</v>
      </c>
      <c r="L240" s="138"/>
      <c r="M240" s="141"/>
      <c r="N240" s="177" t="s">
        <v>5856</v>
      </c>
    </row>
    <row r="241" spans="1:14" ht="22.95" customHeight="1">
      <c r="A241" s="138" t="s">
        <v>6594</v>
      </c>
      <c r="B241" s="138">
        <v>4163</v>
      </c>
      <c r="C241" s="139" t="s">
        <v>771</v>
      </c>
      <c r="D241" s="139" t="str">
        <f t="shared" si="3"/>
        <v>新莊中泉店1</v>
      </c>
      <c r="E241" s="138">
        <v>1</v>
      </c>
      <c r="F241" s="138" t="s">
        <v>6595</v>
      </c>
      <c r="G241" s="139" t="s">
        <v>6596</v>
      </c>
      <c r="H241" s="138" t="s">
        <v>5903</v>
      </c>
      <c r="I241" s="140" t="s">
        <v>5861</v>
      </c>
      <c r="J241" s="141" t="s">
        <v>11</v>
      </c>
      <c r="K241" s="142" t="s">
        <v>5855</v>
      </c>
      <c r="L241" s="138"/>
      <c r="M241" s="141"/>
      <c r="N241" s="177" t="s">
        <v>5856</v>
      </c>
    </row>
    <row r="242" spans="1:14" ht="22.95" customHeight="1">
      <c r="A242" s="138" t="s">
        <v>6597</v>
      </c>
      <c r="B242" s="138">
        <v>4163</v>
      </c>
      <c r="C242" s="139" t="s">
        <v>771</v>
      </c>
      <c r="D242" s="139" t="str">
        <f t="shared" si="3"/>
        <v>新莊中泉店2</v>
      </c>
      <c r="E242" s="138">
        <v>2</v>
      </c>
      <c r="F242" s="138" t="s">
        <v>6598</v>
      </c>
      <c r="G242" s="139" t="s">
        <v>6599</v>
      </c>
      <c r="H242" s="138" t="s">
        <v>5903</v>
      </c>
      <c r="I242" s="140" t="s">
        <v>5861</v>
      </c>
      <c r="J242" s="141" t="s">
        <v>11</v>
      </c>
      <c r="K242" s="142" t="s">
        <v>5855</v>
      </c>
      <c r="L242" s="138"/>
      <c r="M242" s="141"/>
      <c r="N242" s="177" t="s">
        <v>5856</v>
      </c>
    </row>
    <row r="243" spans="1:14" ht="22.95" customHeight="1">
      <c r="A243" s="138" t="s">
        <v>6600</v>
      </c>
      <c r="B243" s="138">
        <v>5057</v>
      </c>
      <c r="C243" s="139" t="s">
        <v>1355</v>
      </c>
      <c r="D243" s="139" t="str">
        <f t="shared" si="3"/>
        <v>新莊中港店1</v>
      </c>
      <c r="E243" s="138">
        <v>1</v>
      </c>
      <c r="F243" s="138" t="s">
        <v>6601</v>
      </c>
      <c r="G243" s="139" t="s">
        <v>6602</v>
      </c>
      <c r="H243" s="138" t="s">
        <v>5860</v>
      </c>
      <c r="I243" s="140" t="s">
        <v>5854</v>
      </c>
      <c r="J243" s="141" t="s">
        <v>11</v>
      </c>
      <c r="K243" s="142" t="s">
        <v>5855</v>
      </c>
      <c r="L243" s="138"/>
      <c r="M243" s="141"/>
      <c r="N243" s="177" t="s">
        <v>5856</v>
      </c>
    </row>
    <row r="244" spans="1:14" ht="22.95" customHeight="1">
      <c r="A244" s="138" t="s">
        <v>6603</v>
      </c>
      <c r="B244" s="138">
        <v>5057</v>
      </c>
      <c r="C244" s="139" t="s">
        <v>1355</v>
      </c>
      <c r="D244" s="139" t="str">
        <f t="shared" si="3"/>
        <v>新莊中港店2</v>
      </c>
      <c r="E244" s="138">
        <v>2</v>
      </c>
      <c r="F244" s="138" t="s">
        <v>6604</v>
      </c>
      <c r="G244" s="139" t="s">
        <v>6605</v>
      </c>
      <c r="H244" s="138" t="s">
        <v>5903</v>
      </c>
      <c r="I244" s="140" t="s">
        <v>6001</v>
      </c>
      <c r="J244" s="141" t="s">
        <v>11</v>
      </c>
      <c r="K244" s="142" t="s">
        <v>5855</v>
      </c>
      <c r="L244" s="138"/>
      <c r="M244" s="141"/>
      <c r="N244" s="177" t="s">
        <v>5856</v>
      </c>
    </row>
    <row r="245" spans="1:14" ht="22.95" customHeight="1">
      <c r="A245" s="138" t="s">
        <v>6606</v>
      </c>
      <c r="B245" s="138">
        <v>2362</v>
      </c>
      <c r="C245" s="139" t="s">
        <v>1642</v>
      </c>
      <c r="D245" s="139" t="str">
        <f t="shared" si="3"/>
        <v>新莊化成店1</v>
      </c>
      <c r="E245" s="138">
        <v>1</v>
      </c>
      <c r="F245" s="138" t="s">
        <v>6607</v>
      </c>
      <c r="G245" s="139" t="s">
        <v>6608</v>
      </c>
      <c r="H245" s="138" t="s">
        <v>5903</v>
      </c>
      <c r="I245" s="140" t="s">
        <v>5861</v>
      </c>
      <c r="J245" s="141" t="s">
        <v>11</v>
      </c>
      <c r="K245" s="142" t="s">
        <v>5855</v>
      </c>
      <c r="L245" s="138"/>
      <c r="M245" s="141"/>
      <c r="N245" s="177" t="s">
        <v>5856</v>
      </c>
    </row>
    <row r="246" spans="1:14" ht="22.95" customHeight="1">
      <c r="A246" s="138" t="s">
        <v>6609</v>
      </c>
      <c r="B246" s="138">
        <v>2362</v>
      </c>
      <c r="C246" s="139" t="s">
        <v>1642</v>
      </c>
      <c r="D246" s="139" t="str">
        <f t="shared" si="3"/>
        <v>新莊化成店2</v>
      </c>
      <c r="E246" s="138">
        <v>2</v>
      </c>
      <c r="F246" s="138" t="s">
        <v>6610</v>
      </c>
      <c r="G246" s="139" t="s">
        <v>6611</v>
      </c>
      <c r="H246" s="138" t="s">
        <v>5903</v>
      </c>
      <c r="I246" s="140" t="s">
        <v>5861</v>
      </c>
      <c r="J246" s="141" t="s">
        <v>11</v>
      </c>
      <c r="K246" s="142" t="s">
        <v>5855</v>
      </c>
      <c r="L246" s="138"/>
      <c r="M246" s="141"/>
      <c r="N246" s="177" t="s">
        <v>5856</v>
      </c>
    </row>
    <row r="247" spans="1:14" ht="22.95" customHeight="1">
      <c r="A247" s="138" t="s">
        <v>6612</v>
      </c>
      <c r="B247" s="138">
        <v>4025</v>
      </c>
      <c r="C247" s="139" t="s">
        <v>2295</v>
      </c>
      <c r="D247" s="139" t="str">
        <f t="shared" si="3"/>
        <v>新莊祐信店1</v>
      </c>
      <c r="E247" s="138">
        <v>1</v>
      </c>
      <c r="F247" s="138" t="s">
        <v>6613</v>
      </c>
      <c r="G247" s="139" t="s">
        <v>6614</v>
      </c>
      <c r="H247" s="138" t="s">
        <v>5853</v>
      </c>
      <c r="I247" s="140" t="s">
        <v>5861</v>
      </c>
      <c r="J247" s="141" t="s">
        <v>11</v>
      </c>
      <c r="K247" s="142" t="s">
        <v>5855</v>
      </c>
      <c r="L247" s="138"/>
      <c r="M247" s="141"/>
      <c r="N247" s="177" t="s">
        <v>5856</v>
      </c>
    </row>
    <row r="248" spans="1:14" ht="22.95" customHeight="1">
      <c r="A248" s="138" t="s">
        <v>6615</v>
      </c>
      <c r="B248" s="138">
        <v>4025</v>
      </c>
      <c r="C248" s="139" t="s">
        <v>2295</v>
      </c>
      <c r="D248" s="139" t="str">
        <f t="shared" si="3"/>
        <v>新莊祐信店2</v>
      </c>
      <c r="E248" s="138">
        <v>2</v>
      </c>
      <c r="F248" s="138" t="s">
        <v>6616</v>
      </c>
      <c r="G248" s="139" t="s">
        <v>6617</v>
      </c>
      <c r="H248" s="138" t="s">
        <v>5853</v>
      </c>
      <c r="I248" s="140" t="s">
        <v>5861</v>
      </c>
      <c r="J248" s="141" t="s">
        <v>11</v>
      </c>
      <c r="K248" s="142" t="s">
        <v>5855</v>
      </c>
      <c r="L248" s="138"/>
      <c r="M248" s="141"/>
      <c r="N248" s="177" t="s">
        <v>5856</v>
      </c>
    </row>
    <row r="249" spans="1:14" ht="22.95" customHeight="1">
      <c r="A249" s="138" t="s">
        <v>6618</v>
      </c>
      <c r="B249" s="138">
        <v>4341</v>
      </c>
      <c r="C249" s="139" t="s">
        <v>767</v>
      </c>
      <c r="D249" s="139" t="str">
        <f t="shared" si="3"/>
        <v>新莊莊美店1</v>
      </c>
      <c r="E249" s="138">
        <v>1</v>
      </c>
      <c r="F249" s="138" t="s">
        <v>6619</v>
      </c>
      <c r="G249" s="139" t="s">
        <v>6620</v>
      </c>
      <c r="H249" s="138" t="s">
        <v>5860</v>
      </c>
      <c r="I249" s="140" t="s">
        <v>5861</v>
      </c>
      <c r="J249" s="141" t="s">
        <v>11</v>
      </c>
      <c r="K249" s="142" t="s">
        <v>5855</v>
      </c>
      <c r="L249" s="138"/>
      <c r="M249" s="141"/>
      <c r="N249" s="177" t="s">
        <v>5856</v>
      </c>
    </row>
    <row r="250" spans="1:14" ht="22.95" customHeight="1">
      <c r="A250" s="138" t="s">
        <v>6621</v>
      </c>
      <c r="B250" s="138">
        <v>4341</v>
      </c>
      <c r="C250" s="139" t="s">
        <v>767</v>
      </c>
      <c r="D250" s="139" t="str">
        <f t="shared" si="3"/>
        <v>新莊莊美店2</v>
      </c>
      <c r="E250" s="138">
        <v>2</v>
      </c>
      <c r="F250" s="138" t="s">
        <v>6622</v>
      </c>
      <c r="G250" s="139" t="s">
        <v>6623</v>
      </c>
      <c r="H250" s="138" t="s">
        <v>5860</v>
      </c>
      <c r="I250" s="140" t="s">
        <v>5861</v>
      </c>
      <c r="J250" s="141" t="s">
        <v>11</v>
      </c>
      <c r="K250" s="142" t="s">
        <v>5855</v>
      </c>
      <c r="L250" s="138"/>
      <c r="M250" s="141"/>
      <c r="N250" s="177" t="s">
        <v>5856</v>
      </c>
    </row>
    <row r="251" spans="1:14" ht="22.95" customHeight="1">
      <c r="A251" s="138" t="s">
        <v>6624</v>
      </c>
      <c r="B251" s="138" t="s">
        <v>51</v>
      </c>
      <c r="C251" s="139" t="s">
        <v>1922</v>
      </c>
      <c r="D251" s="139" t="str">
        <f t="shared" si="3"/>
        <v>新莊裕民店1</v>
      </c>
      <c r="E251" s="138">
        <v>1</v>
      </c>
      <c r="F251" s="138" t="s">
        <v>6625</v>
      </c>
      <c r="G251" s="139" t="s">
        <v>6626</v>
      </c>
      <c r="H251" s="138" t="s">
        <v>5853</v>
      </c>
      <c r="I251" s="140" t="s">
        <v>5861</v>
      </c>
      <c r="J251" s="141" t="s">
        <v>11</v>
      </c>
      <c r="K251" s="142" t="s">
        <v>5855</v>
      </c>
      <c r="L251" s="138"/>
      <c r="M251" s="141"/>
      <c r="N251" s="177" t="s">
        <v>5856</v>
      </c>
    </row>
    <row r="252" spans="1:14" ht="22.95" customHeight="1">
      <c r="A252" s="138" t="s">
        <v>6627</v>
      </c>
      <c r="B252" s="138">
        <v>4194</v>
      </c>
      <c r="C252" s="139" t="s">
        <v>884</v>
      </c>
      <c r="D252" s="139" t="str">
        <f t="shared" si="3"/>
        <v>新莊鼎苑店1</v>
      </c>
      <c r="E252" s="138">
        <v>1</v>
      </c>
      <c r="F252" s="138" t="s">
        <v>6628</v>
      </c>
      <c r="G252" s="139" t="s">
        <v>6629</v>
      </c>
      <c r="H252" s="138" t="s">
        <v>5853</v>
      </c>
      <c r="I252" s="140" t="s">
        <v>5861</v>
      </c>
      <c r="J252" s="141" t="s">
        <v>11</v>
      </c>
      <c r="K252" s="142" t="s">
        <v>5855</v>
      </c>
      <c r="L252" s="138"/>
      <c r="M252" s="141"/>
      <c r="N252" s="177" t="s">
        <v>5856</v>
      </c>
    </row>
    <row r="253" spans="1:14" ht="22.95" customHeight="1">
      <c r="A253" s="138" t="s">
        <v>6630</v>
      </c>
      <c r="B253" s="138">
        <v>4194</v>
      </c>
      <c r="C253" s="139" t="s">
        <v>884</v>
      </c>
      <c r="D253" s="139" t="str">
        <f t="shared" si="3"/>
        <v>新莊鼎苑店2</v>
      </c>
      <c r="E253" s="138">
        <v>2</v>
      </c>
      <c r="F253" s="138" t="s">
        <v>6631</v>
      </c>
      <c r="G253" s="139" t="s">
        <v>6632</v>
      </c>
      <c r="H253" s="138" t="s">
        <v>5853</v>
      </c>
      <c r="I253" s="140" t="s">
        <v>5861</v>
      </c>
      <c r="J253" s="141" t="s">
        <v>11</v>
      </c>
      <c r="K253" s="142" t="s">
        <v>5855</v>
      </c>
      <c r="L253" s="138"/>
      <c r="M253" s="141"/>
      <c r="N253" s="177" t="s">
        <v>5856</v>
      </c>
    </row>
    <row r="254" spans="1:14" ht="22.95" customHeight="1">
      <c r="A254" s="138" t="s">
        <v>6633</v>
      </c>
      <c r="B254" s="138">
        <v>3999</v>
      </c>
      <c r="C254" s="139" t="s">
        <v>892</v>
      </c>
      <c r="D254" s="139" t="str">
        <f t="shared" si="3"/>
        <v>新莊福祐店2</v>
      </c>
      <c r="E254" s="138">
        <v>2</v>
      </c>
      <c r="F254" s="138" t="s">
        <v>6634</v>
      </c>
      <c r="G254" s="139"/>
      <c r="H254" s="138" t="s">
        <v>5853</v>
      </c>
      <c r="I254" s="140" t="s">
        <v>5861</v>
      </c>
      <c r="J254" s="141" t="s">
        <v>11</v>
      </c>
      <c r="K254" s="142" t="s">
        <v>5855</v>
      </c>
      <c r="L254" s="138"/>
      <c r="M254" s="141"/>
      <c r="N254" s="177" t="s">
        <v>5856</v>
      </c>
    </row>
    <row r="255" spans="1:14" ht="22.95" customHeight="1">
      <c r="A255" s="138" t="s">
        <v>6635</v>
      </c>
      <c r="B255" s="138">
        <v>4552</v>
      </c>
      <c r="C255" s="139" t="s">
        <v>1483</v>
      </c>
      <c r="D255" s="139" t="str">
        <f t="shared" si="3"/>
        <v>新莊福慧店1</v>
      </c>
      <c r="E255" s="138">
        <v>1</v>
      </c>
      <c r="F255" s="138" t="s">
        <v>6636</v>
      </c>
      <c r="G255" s="139" t="s">
        <v>6637</v>
      </c>
      <c r="H255" s="138" t="s">
        <v>5860</v>
      </c>
      <c r="I255" s="140" t="s">
        <v>5854</v>
      </c>
      <c r="J255" s="141" t="s">
        <v>11</v>
      </c>
      <c r="K255" s="142" t="s">
        <v>5855</v>
      </c>
      <c r="L255" s="138"/>
      <c r="M255" s="141"/>
      <c r="N255" s="177" t="s">
        <v>5856</v>
      </c>
    </row>
    <row r="256" spans="1:14" ht="22.95" customHeight="1">
      <c r="A256" s="138" t="s">
        <v>6638</v>
      </c>
      <c r="B256" s="138" t="s">
        <v>67</v>
      </c>
      <c r="C256" s="139" t="s">
        <v>160</v>
      </c>
      <c r="D256" s="139" t="str">
        <f t="shared" si="3"/>
        <v>新莊福營店1</v>
      </c>
      <c r="E256" s="138">
        <v>1</v>
      </c>
      <c r="F256" s="138" t="s">
        <v>6639</v>
      </c>
      <c r="G256" s="139" t="s">
        <v>6640</v>
      </c>
      <c r="H256" s="138" t="s">
        <v>5853</v>
      </c>
      <c r="I256" s="140" t="s">
        <v>5861</v>
      </c>
      <c r="J256" s="141" t="s">
        <v>11</v>
      </c>
      <c r="K256" s="142" t="s">
        <v>5855</v>
      </c>
      <c r="L256" s="138"/>
      <c r="M256" s="141"/>
      <c r="N256" s="177" t="s">
        <v>5856</v>
      </c>
    </row>
    <row r="257" spans="1:14" ht="22.95" customHeight="1">
      <c r="A257" s="138" t="s">
        <v>6641</v>
      </c>
      <c r="B257" s="138" t="s">
        <v>67</v>
      </c>
      <c r="C257" s="139" t="s">
        <v>160</v>
      </c>
      <c r="D257" s="139" t="str">
        <f t="shared" si="3"/>
        <v>新莊福營店2</v>
      </c>
      <c r="E257" s="138">
        <v>2</v>
      </c>
      <c r="F257" s="138" t="s">
        <v>6642</v>
      </c>
      <c r="G257" s="139" t="s">
        <v>6643</v>
      </c>
      <c r="H257" s="138" t="s">
        <v>5853</v>
      </c>
      <c r="I257" s="140" t="s">
        <v>5861</v>
      </c>
      <c r="J257" s="141" t="s">
        <v>11</v>
      </c>
      <c r="K257" s="142" t="s">
        <v>5855</v>
      </c>
      <c r="L257" s="138"/>
      <c r="M257" s="141"/>
      <c r="N257" s="177" t="s">
        <v>5856</v>
      </c>
    </row>
    <row r="258" spans="1:14" ht="22.95" customHeight="1">
      <c r="A258" s="138" t="s">
        <v>6644</v>
      </c>
      <c r="B258" s="138">
        <v>4228</v>
      </c>
      <c r="C258" s="139" t="s">
        <v>158</v>
      </c>
      <c r="D258" s="139" t="str">
        <f t="shared" ref="D258:D282" si="4">C258&amp;E258</f>
        <v>新莊頭前公園1</v>
      </c>
      <c r="E258" s="138">
        <v>1</v>
      </c>
      <c r="F258" s="138" t="s">
        <v>6645</v>
      </c>
      <c r="G258" s="139" t="s">
        <v>6646</v>
      </c>
      <c r="H258" s="138" t="s">
        <v>5853</v>
      </c>
      <c r="I258" s="140" t="s">
        <v>5861</v>
      </c>
      <c r="J258" s="141" t="s">
        <v>11</v>
      </c>
      <c r="K258" s="142" t="s">
        <v>5855</v>
      </c>
      <c r="L258" s="138"/>
      <c r="M258" s="141"/>
      <c r="N258" s="177" t="s">
        <v>5856</v>
      </c>
    </row>
    <row r="259" spans="1:14" ht="22.95" customHeight="1">
      <c r="A259" s="138" t="s">
        <v>6647</v>
      </c>
      <c r="B259" s="138">
        <v>4228</v>
      </c>
      <c r="C259" s="139" t="s">
        <v>158</v>
      </c>
      <c r="D259" s="139" t="str">
        <f t="shared" si="4"/>
        <v>新莊頭前公園2</v>
      </c>
      <c r="E259" s="138">
        <v>2</v>
      </c>
      <c r="F259" s="138" t="s">
        <v>6648</v>
      </c>
      <c r="G259" s="139" t="s">
        <v>6649</v>
      </c>
      <c r="H259" s="138" t="s">
        <v>5853</v>
      </c>
      <c r="I259" s="140" t="s">
        <v>5861</v>
      </c>
      <c r="J259" s="141" t="s">
        <v>11</v>
      </c>
      <c r="K259" s="142" t="s">
        <v>5855</v>
      </c>
      <c r="L259" s="138"/>
      <c r="M259" s="141"/>
      <c r="N259" s="177" t="s">
        <v>5856</v>
      </c>
    </row>
    <row r="260" spans="1:14" ht="22.95" customHeight="1">
      <c r="A260" s="138" t="s">
        <v>6650</v>
      </c>
      <c r="B260" s="138">
        <v>4144</v>
      </c>
      <c r="C260" s="139" t="s">
        <v>1005</v>
      </c>
      <c r="D260" s="139" t="str">
        <f t="shared" si="4"/>
        <v>新莊頭前店1</v>
      </c>
      <c r="E260" s="138">
        <v>1</v>
      </c>
      <c r="F260" s="138" t="s">
        <v>6651</v>
      </c>
      <c r="G260" s="139" t="s">
        <v>6652</v>
      </c>
      <c r="H260" s="138" t="s">
        <v>5903</v>
      </c>
      <c r="I260" s="140" t="s">
        <v>5861</v>
      </c>
      <c r="J260" s="141" t="s">
        <v>11</v>
      </c>
      <c r="K260" s="142" t="s">
        <v>5855</v>
      </c>
      <c r="L260" s="138"/>
      <c r="M260" s="141"/>
      <c r="N260" s="177" t="s">
        <v>5856</v>
      </c>
    </row>
    <row r="261" spans="1:14" ht="22.95" customHeight="1">
      <c r="A261" s="138" t="s">
        <v>6653</v>
      </c>
      <c r="B261" s="138">
        <v>4144</v>
      </c>
      <c r="C261" s="139" t="s">
        <v>1005</v>
      </c>
      <c r="D261" s="139" t="str">
        <f t="shared" si="4"/>
        <v>新莊頭前店2</v>
      </c>
      <c r="E261" s="138">
        <v>2</v>
      </c>
      <c r="F261" s="138" t="s">
        <v>6654</v>
      </c>
      <c r="G261" s="139" t="s">
        <v>6655</v>
      </c>
      <c r="H261" s="138" t="s">
        <v>5903</v>
      </c>
      <c r="I261" s="140" t="s">
        <v>5861</v>
      </c>
      <c r="J261" s="141" t="s">
        <v>11</v>
      </c>
      <c r="K261" s="142" t="s">
        <v>5855</v>
      </c>
      <c r="L261" s="138"/>
      <c r="M261" s="141"/>
      <c r="N261" s="177" t="s">
        <v>5856</v>
      </c>
    </row>
    <row r="262" spans="1:14" ht="22.95" customHeight="1">
      <c r="A262" s="138" t="s">
        <v>6656</v>
      </c>
      <c r="B262" s="138">
        <v>2743</v>
      </c>
      <c r="C262" s="139" t="s">
        <v>1934</v>
      </c>
      <c r="D262" s="139" t="str">
        <f t="shared" si="4"/>
        <v>新莊豐年店2</v>
      </c>
      <c r="E262" s="138">
        <v>2</v>
      </c>
      <c r="F262" s="138" t="s">
        <v>6657</v>
      </c>
      <c r="G262" s="139" t="s">
        <v>6658</v>
      </c>
      <c r="H262" s="138" t="s">
        <v>5903</v>
      </c>
      <c r="I262" s="140" t="s">
        <v>5893</v>
      </c>
      <c r="J262" s="141" t="s">
        <v>11</v>
      </c>
      <c r="K262" s="142" t="s">
        <v>5855</v>
      </c>
      <c r="L262" s="138"/>
      <c r="M262" s="141"/>
      <c r="N262" s="177" t="s">
        <v>5856</v>
      </c>
    </row>
    <row r="263" spans="1:14" ht="22.95" customHeight="1">
      <c r="A263" s="138" t="s">
        <v>6659</v>
      </c>
      <c r="B263" s="138">
        <v>4005</v>
      </c>
      <c r="C263" s="139" t="s">
        <v>1918</v>
      </c>
      <c r="D263" s="139" t="str">
        <f t="shared" si="4"/>
        <v>新莊雙鳳店1</v>
      </c>
      <c r="E263" s="138">
        <v>1</v>
      </c>
      <c r="F263" s="138" t="s">
        <v>6660</v>
      </c>
      <c r="G263" s="139" t="s">
        <v>6661</v>
      </c>
      <c r="H263" s="138" t="s">
        <v>5860</v>
      </c>
      <c r="I263" s="140" t="s">
        <v>5861</v>
      </c>
      <c r="J263" s="141" t="s">
        <v>11</v>
      </c>
      <c r="K263" s="142" t="s">
        <v>5855</v>
      </c>
      <c r="L263" s="138"/>
      <c r="M263" s="141"/>
      <c r="N263" s="177" t="s">
        <v>5856</v>
      </c>
    </row>
    <row r="264" spans="1:14" ht="22.95" customHeight="1">
      <c r="A264" s="138" t="s">
        <v>6662</v>
      </c>
      <c r="B264" s="138">
        <v>4005</v>
      </c>
      <c r="C264" s="139" t="s">
        <v>1918</v>
      </c>
      <c r="D264" s="139" t="str">
        <f t="shared" si="4"/>
        <v>新莊雙鳳店2</v>
      </c>
      <c r="E264" s="138">
        <v>2</v>
      </c>
      <c r="F264" s="138" t="s">
        <v>6663</v>
      </c>
      <c r="G264" s="139" t="s">
        <v>6664</v>
      </c>
      <c r="H264" s="138" t="s">
        <v>5853</v>
      </c>
      <c r="I264" s="140" t="s">
        <v>5861</v>
      </c>
      <c r="J264" s="141" t="s">
        <v>11</v>
      </c>
      <c r="K264" s="142" t="s">
        <v>5855</v>
      </c>
      <c r="L264" s="138"/>
      <c r="M264" s="141"/>
      <c r="N264" s="177" t="s">
        <v>5856</v>
      </c>
    </row>
    <row r="265" spans="1:14" ht="22.95" customHeight="1">
      <c r="A265" s="138" t="s">
        <v>6665</v>
      </c>
      <c r="B265" s="138">
        <v>2958</v>
      </c>
      <c r="C265" s="139" t="s">
        <v>1770</v>
      </c>
      <c r="D265" s="139" t="str">
        <f t="shared" si="4"/>
        <v>北縣蘆旺店1</v>
      </c>
      <c r="E265" s="138">
        <v>1</v>
      </c>
      <c r="F265" s="138" t="s">
        <v>6666</v>
      </c>
      <c r="G265" s="139" t="s">
        <v>6667</v>
      </c>
      <c r="H265" s="138" t="s">
        <v>5903</v>
      </c>
      <c r="I265" s="140" t="s">
        <v>5861</v>
      </c>
      <c r="J265" s="141" t="s">
        <v>6</v>
      </c>
      <c r="K265" s="142" t="s">
        <v>5855</v>
      </c>
      <c r="L265" s="138"/>
      <c r="M265" s="141"/>
      <c r="N265" s="177" t="s">
        <v>5856</v>
      </c>
    </row>
    <row r="266" spans="1:14" ht="22.95" customHeight="1">
      <c r="A266" s="138" t="s">
        <v>6668</v>
      </c>
      <c r="B266" s="138">
        <v>2958</v>
      </c>
      <c r="C266" s="139" t="s">
        <v>1770</v>
      </c>
      <c r="D266" s="139" t="str">
        <f t="shared" si="4"/>
        <v>北縣蘆旺店2</v>
      </c>
      <c r="E266" s="138">
        <v>2</v>
      </c>
      <c r="F266" s="138" t="s">
        <v>6669</v>
      </c>
      <c r="G266" s="139" t="s">
        <v>6670</v>
      </c>
      <c r="H266" s="138" t="s">
        <v>5903</v>
      </c>
      <c r="I266" s="140" t="s">
        <v>5861</v>
      </c>
      <c r="J266" s="141" t="s">
        <v>6</v>
      </c>
      <c r="K266" s="142" t="s">
        <v>5855</v>
      </c>
      <c r="L266" s="138"/>
      <c r="M266" s="141"/>
      <c r="N266" s="177" t="s">
        <v>5856</v>
      </c>
    </row>
    <row r="267" spans="1:14" ht="22.95" customHeight="1">
      <c r="A267" s="138" t="s">
        <v>6671</v>
      </c>
      <c r="B267" s="138">
        <v>3452</v>
      </c>
      <c r="C267" s="139" t="s">
        <v>6672</v>
      </c>
      <c r="D267" s="139" t="str">
        <f t="shared" si="4"/>
        <v>北縣蘆信店1</v>
      </c>
      <c r="E267" s="138">
        <v>1</v>
      </c>
      <c r="F267" s="138" t="s">
        <v>6673</v>
      </c>
      <c r="G267" s="139" t="s">
        <v>6674</v>
      </c>
      <c r="H267" s="138" t="s">
        <v>5903</v>
      </c>
      <c r="I267" s="140" t="s">
        <v>5861</v>
      </c>
      <c r="J267" s="141" t="s">
        <v>6</v>
      </c>
      <c r="K267" s="142" t="s">
        <v>5855</v>
      </c>
      <c r="L267" s="138"/>
      <c r="M267" s="141"/>
      <c r="N267" s="177" t="s">
        <v>5856</v>
      </c>
    </row>
    <row r="268" spans="1:14" ht="22.95" customHeight="1">
      <c r="A268" s="138" t="s">
        <v>6675</v>
      </c>
      <c r="B268" s="138">
        <v>3452</v>
      </c>
      <c r="C268" s="139" t="s">
        <v>6672</v>
      </c>
      <c r="D268" s="139" t="str">
        <f t="shared" si="4"/>
        <v>北縣蘆信店2</v>
      </c>
      <c r="E268" s="138">
        <v>2</v>
      </c>
      <c r="F268" s="138" t="s">
        <v>6676</v>
      </c>
      <c r="G268" s="139" t="s">
        <v>6677</v>
      </c>
      <c r="H268" s="138" t="s">
        <v>5903</v>
      </c>
      <c r="I268" s="140" t="s">
        <v>5861</v>
      </c>
      <c r="J268" s="141" t="s">
        <v>6</v>
      </c>
      <c r="K268" s="142" t="s">
        <v>5855</v>
      </c>
      <c r="L268" s="138"/>
      <c r="M268" s="141"/>
      <c r="N268" s="177" t="s">
        <v>5856</v>
      </c>
    </row>
    <row r="269" spans="1:14" ht="22.95" customHeight="1">
      <c r="A269" s="138" t="s">
        <v>6678</v>
      </c>
      <c r="B269" s="138">
        <v>3929</v>
      </c>
      <c r="C269" s="139" t="s">
        <v>221</v>
      </c>
      <c r="D269" s="139" t="str">
        <f t="shared" si="4"/>
        <v>蘆洲中山一1</v>
      </c>
      <c r="E269" s="138">
        <v>1</v>
      </c>
      <c r="F269" s="138" t="s">
        <v>6679</v>
      </c>
      <c r="G269" s="139" t="s">
        <v>6680</v>
      </c>
      <c r="H269" s="138" t="s">
        <v>5853</v>
      </c>
      <c r="I269" s="140" t="s">
        <v>5861</v>
      </c>
      <c r="J269" s="141" t="s">
        <v>6</v>
      </c>
      <c r="K269" s="142" t="s">
        <v>5855</v>
      </c>
      <c r="L269" s="138"/>
      <c r="M269" s="141"/>
      <c r="N269" s="177" t="s">
        <v>5856</v>
      </c>
    </row>
    <row r="270" spans="1:14" ht="22.95" customHeight="1">
      <c r="A270" s="138" t="s">
        <v>6681</v>
      </c>
      <c r="B270" s="138">
        <v>4923</v>
      </c>
      <c r="C270" s="139" t="s">
        <v>1938</v>
      </c>
      <c r="D270" s="139" t="str">
        <f t="shared" si="4"/>
        <v>蘆洲永平店2</v>
      </c>
      <c r="E270" s="138">
        <v>2</v>
      </c>
      <c r="F270" s="138" t="s">
        <v>6682</v>
      </c>
      <c r="G270" s="139" t="s">
        <v>6683</v>
      </c>
      <c r="H270" s="138" t="s">
        <v>5860</v>
      </c>
      <c r="I270" s="140" t="s">
        <v>5854</v>
      </c>
      <c r="J270" s="141" t="s">
        <v>6</v>
      </c>
      <c r="K270" s="142" t="s">
        <v>5855</v>
      </c>
      <c r="L270" s="138"/>
      <c r="M270" s="141"/>
      <c r="N270" s="177" t="s">
        <v>5856</v>
      </c>
    </row>
    <row r="271" spans="1:14" ht="22.95" customHeight="1">
      <c r="A271" s="138" t="s">
        <v>6684</v>
      </c>
      <c r="B271" s="138">
        <v>4036</v>
      </c>
      <c r="C271" s="139" t="s">
        <v>1946</v>
      </c>
      <c r="D271" s="139" t="str">
        <f t="shared" si="4"/>
        <v>蘆洲永樂店1</v>
      </c>
      <c r="E271" s="138">
        <v>1</v>
      </c>
      <c r="F271" s="138" t="s">
        <v>6685</v>
      </c>
      <c r="G271" s="139" t="s">
        <v>6686</v>
      </c>
      <c r="H271" s="138" t="s">
        <v>5853</v>
      </c>
      <c r="I271" s="140" t="s">
        <v>5861</v>
      </c>
      <c r="J271" s="141" t="s">
        <v>6</v>
      </c>
      <c r="K271" s="142" t="s">
        <v>5855</v>
      </c>
      <c r="L271" s="138"/>
      <c r="M271" s="141"/>
      <c r="N271" s="177" t="s">
        <v>5856</v>
      </c>
    </row>
    <row r="272" spans="1:14" ht="22.95" customHeight="1">
      <c r="A272" s="138" t="s">
        <v>6687</v>
      </c>
      <c r="B272" s="138">
        <v>4125</v>
      </c>
      <c r="C272" s="139" t="s">
        <v>1778</v>
      </c>
      <c r="D272" s="139" t="str">
        <f t="shared" si="4"/>
        <v>蘆洲長樂店1</v>
      </c>
      <c r="E272" s="138">
        <v>1</v>
      </c>
      <c r="F272" s="138" t="s">
        <v>6688</v>
      </c>
      <c r="G272" s="139" t="s">
        <v>6689</v>
      </c>
      <c r="H272" s="138" t="s">
        <v>5853</v>
      </c>
      <c r="I272" s="140" t="s">
        <v>5861</v>
      </c>
      <c r="J272" s="141" t="s">
        <v>6</v>
      </c>
      <c r="K272" s="142" t="s">
        <v>5855</v>
      </c>
      <c r="L272" s="138"/>
      <c r="M272" s="141"/>
      <c r="N272" s="177" t="s">
        <v>5856</v>
      </c>
    </row>
    <row r="273" spans="1:14" ht="22.95" customHeight="1">
      <c r="A273" s="138" t="s">
        <v>6690</v>
      </c>
      <c r="B273" s="138">
        <v>4125</v>
      </c>
      <c r="C273" s="139" t="s">
        <v>1778</v>
      </c>
      <c r="D273" s="139" t="str">
        <f t="shared" si="4"/>
        <v>蘆洲長樂店2</v>
      </c>
      <c r="E273" s="138">
        <v>2</v>
      </c>
      <c r="F273" s="138" t="s">
        <v>6691</v>
      </c>
      <c r="G273" s="139" t="s">
        <v>6692</v>
      </c>
      <c r="H273" s="138" t="s">
        <v>5853</v>
      </c>
      <c r="I273" s="140" t="s">
        <v>5854</v>
      </c>
      <c r="J273" s="141" t="s">
        <v>6</v>
      </c>
      <c r="K273" s="142" t="s">
        <v>5855</v>
      </c>
      <c r="L273" s="138"/>
      <c r="M273" s="141"/>
      <c r="N273" s="177" t="s">
        <v>5856</v>
      </c>
    </row>
    <row r="274" spans="1:14" ht="22.95" customHeight="1">
      <c r="A274" s="138" t="s">
        <v>6693</v>
      </c>
      <c r="B274" s="138">
        <v>4609</v>
      </c>
      <c r="C274" s="139" t="s">
        <v>1774</v>
      </c>
      <c r="D274" s="139" t="str">
        <f t="shared" si="4"/>
        <v>蘆洲洲正店1</v>
      </c>
      <c r="E274" s="138">
        <v>1</v>
      </c>
      <c r="F274" s="138" t="s">
        <v>6694</v>
      </c>
      <c r="G274" s="139" t="s">
        <v>6695</v>
      </c>
      <c r="H274" s="138" t="s">
        <v>5860</v>
      </c>
      <c r="I274" s="140" t="s">
        <v>5854</v>
      </c>
      <c r="J274" s="141" t="s">
        <v>6</v>
      </c>
      <c r="K274" s="142" t="s">
        <v>5855</v>
      </c>
      <c r="L274" s="138"/>
      <c r="M274" s="141"/>
      <c r="N274" s="177" t="s">
        <v>5856</v>
      </c>
    </row>
    <row r="275" spans="1:14" ht="22.95" customHeight="1">
      <c r="A275" s="138" t="s">
        <v>6696</v>
      </c>
      <c r="B275" s="138">
        <v>4609</v>
      </c>
      <c r="C275" s="139" t="s">
        <v>1774</v>
      </c>
      <c r="D275" s="139" t="str">
        <f t="shared" si="4"/>
        <v>蘆洲洲正店2</v>
      </c>
      <c r="E275" s="138">
        <v>2</v>
      </c>
      <c r="F275" s="138" t="s">
        <v>6697</v>
      </c>
      <c r="G275" s="139" t="s">
        <v>6698</v>
      </c>
      <c r="H275" s="138" t="s">
        <v>5860</v>
      </c>
      <c r="I275" s="140" t="s">
        <v>5861</v>
      </c>
      <c r="J275" s="141" t="s">
        <v>6</v>
      </c>
      <c r="K275" s="142" t="s">
        <v>5855</v>
      </c>
      <c r="L275" s="138"/>
      <c r="M275" s="141"/>
      <c r="N275" s="177" t="s">
        <v>5856</v>
      </c>
    </row>
    <row r="276" spans="1:14" ht="22.95" customHeight="1">
      <c r="A276" s="138" t="s">
        <v>6699</v>
      </c>
      <c r="B276" s="138">
        <v>4218</v>
      </c>
      <c r="C276" s="139" t="s">
        <v>215</v>
      </c>
      <c r="D276" s="139" t="str">
        <f t="shared" si="4"/>
        <v>蘆洲湧蓮店2</v>
      </c>
      <c r="E276" s="138">
        <v>2</v>
      </c>
      <c r="F276" s="138" t="s">
        <v>6700</v>
      </c>
      <c r="G276" s="139" t="s">
        <v>6701</v>
      </c>
      <c r="H276" s="138" t="s">
        <v>5853</v>
      </c>
      <c r="I276" s="140" t="s">
        <v>5861</v>
      </c>
      <c r="J276" s="141" t="s">
        <v>6</v>
      </c>
      <c r="K276" s="142" t="s">
        <v>5855</v>
      </c>
      <c r="L276" s="138"/>
      <c r="M276" s="141"/>
      <c r="N276" s="177" t="s">
        <v>5856</v>
      </c>
    </row>
    <row r="277" spans="1:14" ht="22.95" customHeight="1">
      <c r="A277" s="138" t="s">
        <v>6702</v>
      </c>
      <c r="B277" s="138">
        <v>2301</v>
      </c>
      <c r="C277" s="139" t="s">
        <v>1942</v>
      </c>
      <c r="D277" s="139" t="str">
        <f t="shared" si="4"/>
        <v>蘆洲樂平店1</v>
      </c>
      <c r="E277" s="138">
        <v>1</v>
      </c>
      <c r="F277" s="138" t="s">
        <v>6703</v>
      </c>
      <c r="G277" s="139" t="s">
        <v>6704</v>
      </c>
      <c r="H277" s="138" t="s">
        <v>5860</v>
      </c>
      <c r="I277" s="140" t="s">
        <v>5854</v>
      </c>
      <c r="J277" s="141" t="s">
        <v>6</v>
      </c>
      <c r="K277" s="142" t="s">
        <v>5855</v>
      </c>
      <c r="L277" s="138"/>
      <c r="M277" s="141"/>
      <c r="N277" s="177" t="s">
        <v>5856</v>
      </c>
    </row>
    <row r="278" spans="1:14" ht="22.95" customHeight="1">
      <c r="A278" s="138" t="s">
        <v>6705</v>
      </c>
      <c r="B278" s="138">
        <v>2301</v>
      </c>
      <c r="C278" s="139" t="s">
        <v>1942</v>
      </c>
      <c r="D278" s="139" t="str">
        <f t="shared" si="4"/>
        <v>蘆洲樂平店2</v>
      </c>
      <c r="E278" s="138">
        <v>2</v>
      </c>
      <c r="F278" s="138" t="s">
        <v>6706</v>
      </c>
      <c r="G278" s="139" t="s">
        <v>6707</v>
      </c>
      <c r="H278" s="138" t="s">
        <v>5903</v>
      </c>
      <c r="I278" s="140" t="s">
        <v>5861</v>
      </c>
      <c r="J278" s="141" t="s">
        <v>6</v>
      </c>
      <c r="K278" s="142" t="s">
        <v>5855</v>
      </c>
      <c r="L278" s="138"/>
      <c r="M278" s="141"/>
      <c r="N278" s="177" t="s">
        <v>5856</v>
      </c>
    </row>
    <row r="279" spans="1:14" ht="22.95" customHeight="1">
      <c r="A279" s="138" t="s">
        <v>6708</v>
      </c>
      <c r="B279" s="138" t="s">
        <v>76</v>
      </c>
      <c r="C279" s="139" t="s">
        <v>2115</v>
      </c>
      <c r="D279" s="139" t="str">
        <f t="shared" si="4"/>
        <v>蘆洲權義店1</v>
      </c>
      <c r="E279" s="138">
        <v>1</v>
      </c>
      <c r="F279" s="138" t="s">
        <v>6709</v>
      </c>
      <c r="G279" s="139" t="s">
        <v>6710</v>
      </c>
      <c r="H279" s="138" t="s">
        <v>5853</v>
      </c>
      <c r="I279" s="140" t="s">
        <v>5861</v>
      </c>
      <c r="J279" s="141" t="s">
        <v>6</v>
      </c>
      <c r="K279" s="142" t="s">
        <v>5855</v>
      </c>
      <c r="L279" s="138"/>
      <c r="M279" s="141"/>
      <c r="N279" s="177" t="s">
        <v>5856</v>
      </c>
    </row>
    <row r="280" spans="1:14" ht="22.95" customHeight="1">
      <c r="A280" s="138" t="s">
        <v>6711</v>
      </c>
      <c r="B280" s="138" t="s">
        <v>76</v>
      </c>
      <c r="C280" s="139" t="s">
        <v>2115</v>
      </c>
      <c r="D280" s="139" t="str">
        <f t="shared" si="4"/>
        <v>蘆洲權義店2</v>
      </c>
      <c r="E280" s="138">
        <v>2</v>
      </c>
      <c r="F280" s="138" t="s">
        <v>6712</v>
      </c>
      <c r="G280" s="139" t="s">
        <v>6713</v>
      </c>
      <c r="H280" s="138" t="s">
        <v>5853</v>
      </c>
      <c r="I280" s="140" t="s">
        <v>5854</v>
      </c>
      <c r="J280" s="141" t="s">
        <v>6</v>
      </c>
      <c r="K280" s="142" t="s">
        <v>5855</v>
      </c>
      <c r="L280" s="138"/>
      <c r="M280" s="141"/>
      <c r="N280" s="177" t="s">
        <v>5856</v>
      </c>
    </row>
    <row r="281" spans="1:14" ht="22.95" customHeight="1">
      <c r="A281" s="138" t="s">
        <v>6714</v>
      </c>
      <c r="B281" s="138">
        <v>2890</v>
      </c>
      <c r="C281" s="139" t="s">
        <v>2216</v>
      </c>
      <c r="D281" s="139" t="str">
        <f t="shared" si="4"/>
        <v>蘆洲鷺江店1</v>
      </c>
      <c r="E281" s="138">
        <v>1</v>
      </c>
      <c r="F281" s="138" t="s">
        <v>6715</v>
      </c>
      <c r="G281" s="139" t="s">
        <v>6716</v>
      </c>
      <c r="H281" s="138" t="s">
        <v>5903</v>
      </c>
      <c r="I281" s="140" t="s">
        <v>5861</v>
      </c>
      <c r="J281" s="141" t="s">
        <v>6</v>
      </c>
      <c r="K281" s="142" t="s">
        <v>5855</v>
      </c>
      <c r="L281" s="138"/>
      <c r="M281" s="141"/>
      <c r="N281" s="177" t="s">
        <v>5856</v>
      </c>
    </row>
    <row r="282" spans="1:14" ht="22.95" customHeight="1">
      <c r="A282" s="138" t="s">
        <v>6717</v>
      </c>
      <c r="B282" s="138">
        <v>2890</v>
      </c>
      <c r="C282" s="139" t="s">
        <v>2216</v>
      </c>
      <c r="D282" s="139" t="str">
        <f t="shared" si="4"/>
        <v>蘆洲鷺江店2</v>
      </c>
      <c r="E282" s="138">
        <v>2</v>
      </c>
      <c r="F282" s="138" t="s">
        <v>6718</v>
      </c>
      <c r="G282" s="139" t="s">
        <v>6719</v>
      </c>
      <c r="H282" s="138" t="s">
        <v>5903</v>
      </c>
      <c r="I282" s="140" t="s">
        <v>5861</v>
      </c>
      <c r="J282" s="141" t="s">
        <v>6</v>
      </c>
      <c r="K282" s="142" t="s">
        <v>5855</v>
      </c>
      <c r="L282" s="138"/>
      <c r="M282" s="141"/>
      <c r="N282" s="177" t="s">
        <v>5856</v>
      </c>
    </row>
    <row r="285" spans="1:14">
      <c r="G285" s="144"/>
      <c r="I285" s="144"/>
    </row>
  </sheetData>
  <autoFilter ref="A1:M282" xr:uid="{00000000-0009-0000-0000-00000E000000}"/>
  <phoneticPr fontId="45" type="noConversion"/>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4"/>
  <dimension ref="A1:AX1476"/>
  <sheetViews>
    <sheetView topLeftCell="I1" zoomScaleNormal="100" workbookViewId="0">
      <selection activeCell="N99" sqref="N99"/>
    </sheetView>
  </sheetViews>
  <sheetFormatPr defaultRowHeight="14.4"/>
  <cols>
    <col min="1" max="1" width="9.5" style="50" bestFit="1" customWidth="1"/>
    <col min="2" max="2" width="8.19921875" style="50" bestFit="1" customWidth="1"/>
    <col min="3" max="3" width="3.296875" style="30" customWidth="1"/>
    <col min="4" max="4" width="8.796875" style="52" customWidth="1"/>
    <col min="5" max="5" width="9.5" style="30" bestFit="1" customWidth="1"/>
    <col min="6" max="6" width="13.09765625" style="30" bestFit="1" customWidth="1"/>
    <col min="7" max="7" width="8.19921875" style="30" bestFit="1" customWidth="1"/>
    <col min="8" max="8" width="8.19921875" style="30" customWidth="1"/>
    <col min="9" max="9" width="8.19921875" style="50" customWidth="1"/>
    <col min="10" max="10" width="15" style="30" bestFit="1" customWidth="1"/>
    <col min="11" max="11" width="15.5" style="30" bestFit="1" customWidth="1"/>
    <col min="12" max="12" width="3.19921875" style="30" customWidth="1"/>
    <col min="13" max="13" width="8.796875" style="52" customWidth="1"/>
    <col min="14" max="14" width="8.796875" style="30" customWidth="1"/>
    <col min="15" max="15" width="21.09765625" style="30" bestFit="1" customWidth="1"/>
    <col min="16" max="17" width="8.19921875" style="30" bestFit="1" customWidth="1"/>
    <col min="18" max="18" width="13.09765625" style="50" customWidth="1"/>
    <col min="19" max="19" width="17.296875" style="30" bestFit="1" customWidth="1"/>
    <col min="20" max="20" width="17.296875" style="30" customWidth="1"/>
    <col min="21" max="21" width="3.3984375" style="30" customWidth="1"/>
    <col min="22" max="22" width="8.796875" style="52" customWidth="1"/>
    <col min="23" max="23" width="9.8984375" style="52" bestFit="1" customWidth="1"/>
    <col min="24" max="24" width="9.8984375" style="30" bestFit="1" customWidth="1"/>
    <col min="25" max="25" width="9.8984375" style="30" customWidth="1"/>
    <col min="26" max="26" width="5.59765625" style="30" bestFit="1" customWidth="1"/>
    <col min="27" max="27" width="11.69921875" style="30" bestFit="1" customWidth="1"/>
    <col min="28" max="28" width="34.19921875" style="30" customWidth="1"/>
    <col min="29" max="29" width="16.59765625" style="50" bestFit="1" customWidth="1"/>
    <col min="30" max="30" width="16.59765625" style="30" bestFit="1" customWidth="1"/>
    <col min="31" max="32" width="8.796875" style="30" customWidth="1"/>
    <col min="33" max="34" width="9.8984375" style="30" bestFit="1" customWidth="1"/>
    <col min="35" max="35" width="8.19921875" style="50" bestFit="1" customWidth="1"/>
    <col min="36" max="36" width="5.59765625" style="30" bestFit="1" customWidth="1"/>
    <col min="37" max="37" width="11.69921875" style="30" bestFit="1" customWidth="1"/>
    <col min="38" max="38" width="29.296875" style="30" bestFit="1" customWidth="1"/>
    <col min="39" max="40" width="13.8984375" style="30" bestFit="1" customWidth="1"/>
    <col min="41" max="42" width="8.796875" style="30" customWidth="1"/>
    <col min="43" max="44" width="9.5" style="30" bestFit="1" customWidth="1"/>
    <col min="45" max="46" width="8.796875" style="30" customWidth="1"/>
    <col min="47" max="47" width="10.8984375" style="30" bestFit="1" customWidth="1"/>
    <col min="48" max="48" width="29.3984375" style="30" bestFit="1" customWidth="1"/>
    <col min="49" max="50" width="15" style="30" bestFit="1" customWidth="1"/>
    <col min="51" max="387" width="8.796875" style="30" customWidth="1"/>
    <col min="388" max="16384" width="8.796875" style="30"/>
  </cols>
  <sheetData>
    <row r="1" spans="1:50" ht="18" customHeight="1">
      <c r="A1" s="386" t="s">
        <v>6720</v>
      </c>
      <c r="B1" s="387"/>
      <c r="D1" s="384" t="s">
        <v>6721</v>
      </c>
      <c r="E1" s="385"/>
      <c r="F1" s="385"/>
      <c r="G1" s="385"/>
      <c r="H1" s="385"/>
      <c r="I1" s="385"/>
      <c r="J1" s="385"/>
      <c r="K1" s="385"/>
      <c r="M1" s="384" t="s">
        <v>6722</v>
      </c>
      <c r="N1" s="385"/>
      <c r="O1" s="385"/>
      <c r="P1" s="385"/>
      <c r="Q1" s="385"/>
      <c r="R1" s="385"/>
      <c r="S1" s="385"/>
      <c r="T1" s="31"/>
      <c r="V1" s="384" t="s">
        <v>935</v>
      </c>
      <c r="W1" s="385"/>
      <c r="X1" s="385"/>
      <c r="Y1" s="385"/>
      <c r="Z1" s="385"/>
      <c r="AA1" s="385"/>
      <c r="AB1" s="385"/>
      <c r="AC1" s="385"/>
      <c r="AD1" s="385"/>
      <c r="AF1" s="384" t="s">
        <v>6723</v>
      </c>
      <c r="AG1" s="385"/>
      <c r="AH1" s="385"/>
      <c r="AI1" s="385"/>
      <c r="AJ1" s="385"/>
      <c r="AK1" s="385"/>
      <c r="AL1" s="385"/>
      <c r="AM1" s="385"/>
      <c r="AN1" s="385"/>
      <c r="AP1" s="384" t="s">
        <v>6724</v>
      </c>
      <c r="AQ1" s="385"/>
      <c r="AR1" s="385"/>
      <c r="AS1" s="385"/>
      <c r="AT1" s="385"/>
      <c r="AU1" s="385"/>
      <c r="AV1" s="385"/>
      <c r="AW1" s="385"/>
      <c r="AX1" s="385"/>
    </row>
    <row r="2" spans="1:50" ht="15.6" customHeight="1">
      <c r="A2" s="32" t="s">
        <v>6725</v>
      </c>
      <c r="B2" s="32" t="s">
        <v>279</v>
      </c>
      <c r="D2" s="32" t="s">
        <v>284</v>
      </c>
      <c r="E2" s="32" t="s">
        <v>26</v>
      </c>
      <c r="F2" s="32" t="s">
        <v>27</v>
      </c>
      <c r="G2" s="32" t="s">
        <v>6725</v>
      </c>
      <c r="H2" s="32" t="s">
        <v>6726</v>
      </c>
      <c r="I2" s="32" t="s">
        <v>6727</v>
      </c>
      <c r="J2" s="33" t="s">
        <v>6728</v>
      </c>
      <c r="K2" s="33" t="s">
        <v>6728</v>
      </c>
      <c r="L2" s="34"/>
      <c r="M2" s="32" t="s">
        <v>284</v>
      </c>
      <c r="N2" s="32" t="s">
        <v>141</v>
      </c>
      <c r="O2" s="32" t="s">
        <v>142</v>
      </c>
      <c r="P2" s="32" t="s">
        <v>6725</v>
      </c>
      <c r="Q2" s="32" t="s">
        <v>6726</v>
      </c>
      <c r="R2" s="32" t="s">
        <v>6727</v>
      </c>
      <c r="S2" s="32" t="s">
        <v>6729</v>
      </c>
      <c r="T2" s="35"/>
      <c r="V2" s="32" t="s">
        <v>284</v>
      </c>
      <c r="W2" s="32" t="s">
        <v>6725</v>
      </c>
      <c r="X2" s="32" t="s">
        <v>6730</v>
      </c>
      <c r="Y2" s="32" t="s">
        <v>6727</v>
      </c>
      <c r="Z2" s="32" t="s">
        <v>141</v>
      </c>
      <c r="AA2" s="32" t="s">
        <v>142</v>
      </c>
      <c r="AB2" s="32" t="s">
        <v>3169</v>
      </c>
      <c r="AC2" s="32" t="s">
        <v>6731</v>
      </c>
      <c r="AD2" s="32" t="s">
        <v>6732</v>
      </c>
      <c r="AF2" s="32" t="s">
        <v>284</v>
      </c>
      <c r="AG2" s="32" t="s">
        <v>6725</v>
      </c>
      <c r="AH2" s="32" t="s">
        <v>6730</v>
      </c>
      <c r="AI2" s="32" t="s">
        <v>6727</v>
      </c>
      <c r="AJ2" s="32" t="s">
        <v>141</v>
      </c>
      <c r="AK2" s="32" t="s">
        <v>142</v>
      </c>
      <c r="AL2" s="32" t="s">
        <v>3169</v>
      </c>
      <c r="AM2" s="32" t="s">
        <v>6731</v>
      </c>
      <c r="AN2" s="32" t="s">
        <v>6732</v>
      </c>
      <c r="AP2" s="32" t="s">
        <v>284</v>
      </c>
      <c r="AQ2" s="32" t="s">
        <v>6725</v>
      </c>
      <c r="AR2" s="32" t="s">
        <v>6730</v>
      </c>
      <c r="AS2" s="32" t="s">
        <v>6727</v>
      </c>
      <c r="AT2" s="32" t="s">
        <v>141</v>
      </c>
      <c r="AU2" s="32" t="s">
        <v>142</v>
      </c>
      <c r="AV2" s="32" t="s">
        <v>3169</v>
      </c>
      <c r="AW2" s="32" t="s">
        <v>6731</v>
      </c>
      <c r="AX2" s="32" t="s">
        <v>6732</v>
      </c>
    </row>
    <row r="3" spans="1:50" ht="15.6" customHeight="1">
      <c r="A3" s="36" t="s">
        <v>6733</v>
      </c>
      <c r="B3" s="37">
        <f t="shared" ref="B3:B24" si="0">COUNTIF(G:G,A3)+COUNTIF(P:P,A3)+COUNTIF(W:W,A3)-COUNTIF(AG:AG,A3)</f>
        <v>12</v>
      </c>
      <c r="D3" s="38">
        <v>1</v>
      </c>
      <c r="E3" s="39">
        <v>4851</v>
      </c>
      <c r="F3" s="40" t="s">
        <v>6734</v>
      </c>
      <c r="G3" s="40" t="s">
        <v>6735</v>
      </c>
      <c r="H3" s="40" t="s">
        <v>6736</v>
      </c>
      <c r="I3" s="39">
        <v>2</v>
      </c>
      <c r="J3" s="41">
        <v>44326.583333333343</v>
      </c>
      <c r="K3" s="41">
        <v>44607.583333333343</v>
      </c>
      <c r="M3" s="38">
        <v>1</v>
      </c>
      <c r="N3" s="42"/>
      <c r="O3" s="42" t="s">
        <v>6737</v>
      </c>
      <c r="P3" s="42" t="s">
        <v>6738</v>
      </c>
      <c r="Q3" s="42" t="s">
        <v>6739</v>
      </c>
      <c r="R3" s="43">
        <v>1</v>
      </c>
      <c r="S3" s="44">
        <v>44503.458333333343</v>
      </c>
      <c r="T3" s="35" t="s">
        <v>25</v>
      </c>
      <c r="V3" s="38">
        <v>1</v>
      </c>
      <c r="W3" s="38" t="str">
        <f t="shared" ref="W3:W34" si="1">LEFT(AB3,3)</f>
        <v>高雄市</v>
      </c>
      <c r="X3" s="45" t="s">
        <v>24</v>
      </c>
      <c r="Y3" s="45">
        <v>2</v>
      </c>
      <c r="Z3" s="45">
        <v>4861</v>
      </c>
      <c r="AA3" s="45" t="s">
        <v>6740</v>
      </c>
      <c r="AB3" s="45" t="s">
        <v>6741</v>
      </c>
      <c r="AC3" s="41">
        <v>44607.321527777778</v>
      </c>
      <c r="AD3" s="41">
        <v>44628.625</v>
      </c>
      <c r="AF3" s="38">
        <v>1</v>
      </c>
      <c r="AG3" s="38" t="str">
        <f>IF(    AND((ISNA(VLOOKUP(AJ3,E:E,1,FALSE))),(ISNA(VLOOKUP(AJ3,N:N,1,FALSE))),(ISNA(VLOOKUP(AJ3,Z:Z,1,FALSE)))),"",LEFT(AL3,3))</f>
        <v/>
      </c>
      <c r="AH3" s="45" t="s">
        <v>23</v>
      </c>
      <c r="AI3" s="46"/>
      <c r="AJ3" s="45">
        <v>4111</v>
      </c>
      <c r="AK3" s="45" t="s">
        <v>6742</v>
      </c>
      <c r="AL3" s="45" t="s">
        <v>6743</v>
      </c>
      <c r="AM3" s="41">
        <v>44603.698611111111</v>
      </c>
      <c r="AN3" s="41">
        <v>44622.25</v>
      </c>
      <c r="AP3" s="38">
        <v>1</v>
      </c>
      <c r="AQ3" s="38" t="str">
        <f t="shared" ref="AQ3:AQ13" si="2">LEFT(AV3,3)</f>
        <v>桃園市</v>
      </c>
      <c r="AR3" s="45" t="s">
        <v>3323</v>
      </c>
      <c r="AS3" s="46">
        <v>2</v>
      </c>
      <c r="AT3" s="45">
        <v>2959</v>
      </c>
      <c r="AU3" s="45" t="s">
        <v>6744</v>
      </c>
      <c r="AV3" s="45" t="s">
        <v>6745</v>
      </c>
      <c r="AW3" s="41">
        <v>44883.680555555547</v>
      </c>
      <c r="AX3" s="41">
        <v>44894.541666666657</v>
      </c>
    </row>
    <row r="4" spans="1:50" ht="15.6" customHeight="1">
      <c r="A4" s="36" t="s">
        <v>6735</v>
      </c>
      <c r="B4" s="37">
        <f t="shared" si="0"/>
        <v>195</v>
      </c>
      <c r="D4" s="38">
        <v>2</v>
      </c>
      <c r="E4" s="39">
        <v>3750</v>
      </c>
      <c r="F4" s="47" t="s">
        <v>6746</v>
      </c>
      <c r="G4" s="40" t="s">
        <v>6735</v>
      </c>
      <c r="H4" s="40" t="s">
        <v>6736</v>
      </c>
      <c r="I4" s="39">
        <v>2</v>
      </c>
      <c r="J4" s="41">
        <v>44382.583333333343</v>
      </c>
      <c r="K4" s="41">
        <v>44572.583333333343</v>
      </c>
      <c r="M4" s="38">
        <v>2</v>
      </c>
      <c r="N4" s="42"/>
      <c r="O4" s="42" t="s">
        <v>6747</v>
      </c>
      <c r="P4" s="42" t="s">
        <v>6733</v>
      </c>
      <c r="Q4" s="42" t="s">
        <v>6748</v>
      </c>
      <c r="R4" s="43">
        <v>1</v>
      </c>
      <c r="S4" s="44">
        <v>44504.458333333343</v>
      </c>
      <c r="T4" s="35" t="s">
        <v>25</v>
      </c>
      <c r="V4" s="38">
        <v>2</v>
      </c>
      <c r="W4" s="38" t="str">
        <f t="shared" si="1"/>
        <v>新竹縣</v>
      </c>
      <c r="X4" s="45" t="s">
        <v>24</v>
      </c>
      <c r="Y4" s="45">
        <v>2</v>
      </c>
      <c r="Z4" s="45">
        <v>4982</v>
      </c>
      <c r="AA4" s="45" t="s">
        <v>6749</v>
      </c>
      <c r="AB4" s="45" t="s">
        <v>6750</v>
      </c>
      <c r="AC4" s="41">
        <v>44613.447222222218</v>
      </c>
      <c r="AD4" s="41">
        <v>44629.458333333343</v>
      </c>
      <c r="AF4" s="38">
        <v>2</v>
      </c>
      <c r="AG4" s="38" t="str">
        <f t="shared" ref="AG4:AG51" si="3">IF( AND((ISNA(VLOOKUP(AJ4,E:E,1,FALSE))),(ISNA(VLOOKUP(AJ4,N:N,1,FALSE))),(ISNA(VLOOKUP(AJ4,Z:Z,1,FALSE)))),"",LEFT(AL4,3))</f>
        <v/>
      </c>
      <c r="AH4" s="45" t="s">
        <v>23</v>
      </c>
      <c r="AI4" s="46"/>
      <c r="AJ4" s="45">
        <v>4112</v>
      </c>
      <c r="AK4" s="45" t="s">
        <v>6751</v>
      </c>
      <c r="AL4" s="45" t="s">
        <v>6752</v>
      </c>
      <c r="AM4" s="41">
        <v>44603.698611111111</v>
      </c>
      <c r="AN4" s="41">
        <v>44622.25</v>
      </c>
      <c r="AP4" s="38">
        <v>2</v>
      </c>
      <c r="AQ4" s="38" t="str">
        <f t="shared" si="2"/>
        <v>桃園市</v>
      </c>
      <c r="AR4" s="45" t="s">
        <v>3323</v>
      </c>
      <c r="AS4" s="46">
        <v>2</v>
      </c>
      <c r="AT4" s="45">
        <v>4960</v>
      </c>
      <c r="AU4" s="45" t="s">
        <v>6753</v>
      </c>
      <c r="AV4" s="45" t="s">
        <v>6754</v>
      </c>
      <c r="AW4" s="41">
        <v>44897.606944444437</v>
      </c>
      <c r="AX4" s="41">
        <v>44908.583333333343</v>
      </c>
    </row>
    <row r="5" spans="1:50" ht="15.6" customHeight="1">
      <c r="A5" s="36" t="s">
        <v>5281</v>
      </c>
      <c r="B5" s="37">
        <f t="shared" si="0"/>
        <v>325</v>
      </c>
      <c r="D5" s="38">
        <v>3</v>
      </c>
      <c r="E5" s="39">
        <v>2705</v>
      </c>
      <c r="F5" s="40" t="s">
        <v>6755</v>
      </c>
      <c r="G5" s="40" t="s">
        <v>6756</v>
      </c>
      <c r="H5" s="40" t="s">
        <v>6757</v>
      </c>
      <c r="I5" s="39">
        <v>2</v>
      </c>
      <c r="J5" s="41">
        <v>44405.583333333343</v>
      </c>
      <c r="K5" s="41">
        <v>44606.4375</v>
      </c>
      <c r="M5" s="38">
        <v>3</v>
      </c>
      <c r="N5" s="42"/>
      <c r="O5" s="42" t="s">
        <v>6758</v>
      </c>
      <c r="P5" s="42" t="s">
        <v>6735</v>
      </c>
      <c r="Q5" s="42" t="s">
        <v>6736</v>
      </c>
      <c r="R5" s="43">
        <v>1</v>
      </c>
      <c r="S5" s="44">
        <v>44524.666666666657</v>
      </c>
      <c r="T5" s="35" t="s">
        <v>25</v>
      </c>
      <c r="V5" s="38">
        <v>3</v>
      </c>
      <c r="W5" s="38" t="str">
        <f t="shared" si="1"/>
        <v>桃園市</v>
      </c>
      <c r="X5" s="45" t="s">
        <v>24</v>
      </c>
      <c r="Y5" s="45">
        <v>2</v>
      </c>
      <c r="Z5" s="45">
        <v>4991</v>
      </c>
      <c r="AA5" s="45" t="s">
        <v>6759</v>
      </c>
      <c r="AB5" s="45" t="s">
        <v>6760</v>
      </c>
      <c r="AC5" s="41">
        <v>44607.506944444453</v>
      </c>
      <c r="AD5" s="41">
        <v>44630.458333333343</v>
      </c>
      <c r="AF5" s="38">
        <v>3</v>
      </c>
      <c r="AG5" s="38" t="str">
        <f t="shared" si="3"/>
        <v/>
      </c>
      <c r="AH5" s="45" t="s">
        <v>23</v>
      </c>
      <c r="AI5" s="46"/>
      <c r="AJ5" s="45">
        <v>4993</v>
      </c>
      <c r="AK5" s="45" t="s">
        <v>6761</v>
      </c>
      <c r="AL5" s="45" t="s">
        <v>6762</v>
      </c>
      <c r="AM5" s="41">
        <v>44607.675000000003</v>
      </c>
      <c r="AN5" s="41">
        <v>44622.458333333343</v>
      </c>
      <c r="AP5" s="38">
        <v>3</v>
      </c>
      <c r="AQ5" s="38" t="str">
        <f t="shared" si="2"/>
        <v>桃園市</v>
      </c>
      <c r="AR5" s="45" t="s">
        <v>3323</v>
      </c>
      <c r="AS5" s="46">
        <v>2</v>
      </c>
      <c r="AT5" s="45">
        <v>3917</v>
      </c>
      <c r="AU5" s="45" t="s">
        <v>6763</v>
      </c>
      <c r="AV5" s="45" t="s">
        <v>6764</v>
      </c>
      <c r="AW5" s="41">
        <v>44897.606944444437</v>
      </c>
      <c r="AX5" s="41">
        <v>44909.583333333343</v>
      </c>
    </row>
    <row r="6" spans="1:50" ht="15.6" customHeight="1">
      <c r="A6" s="48" t="s">
        <v>6765</v>
      </c>
      <c r="B6" s="37">
        <f t="shared" si="0"/>
        <v>311</v>
      </c>
      <c r="D6" s="38">
        <v>4</v>
      </c>
      <c r="E6" s="39">
        <v>2062</v>
      </c>
      <c r="F6" s="40" t="s">
        <v>6766</v>
      </c>
      <c r="G6" s="40" t="s">
        <v>5281</v>
      </c>
      <c r="H6" s="40" t="s">
        <v>15</v>
      </c>
      <c r="I6" s="39">
        <v>3</v>
      </c>
      <c r="J6" s="41">
        <v>44404.583333333343</v>
      </c>
      <c r="K6" s="41">
        <v>44610.5625</v>
      </c>
      <c r="M6" s="38">
        <v>4</v>
      </c>
      <c r="N6" s="42"/>
      <c r="O6" s="42" t="s">
        <v>6767</v>
      </c>
      <c r="P6" s="42" t="s">
        <v>6735</v>
      </c>
      <c r="Q6" s="42" t="s">
        <v>6736</v>
      </c>
      <c r="R6" s="43">
        <v>1</v>
      </c>
      <c r="S6" s="44">
        <v>44524.458333333343</v>
      </c>
      <c r="T6" s="35" t="s">
        <v>25</v>
      </c>
      <c r="V6" s="38">
        <v>4</v>
      </c>
      <c r="W6" s="38" t="str">
        <f t="shared" si="1"/>
        <v>桃園市</v>
      </c>
      <c r="X6" s="45" t="s">
        <v>24</v>
      </c>
      <c r="Y6" s="45">
        <v>2</v>
      </c>
      <c r="Z6" s="45">
        <v>4997</v>
      </c>
      <c r="AA6" s="45" t="s">
        <v>6768</v>
      </c>
      <c r="AB6" s="45" t="s">
        <v>6769</v>
      </c>
      <c r="AC6" s="41">
        <v>44623.383333333331</v>
      </c>
      <c r="AD6" s="41">
        <v>44642.458333333343</v>
      </c>
      <c r="AF6" s="38">
        <v>4</v>
      </c>
      <c r="AG6" s="38" t="str">
        <f t="shared" si="3"/>
        <v/>
      </c>
      <c r="AH6" s="45" t="s">
        <v>23</v>
      </c>
      <c r="AI6" s="46"/>
      <c r="AJ6" s="45">
        <v>3405</v>
      </c>
      <c r="AK6" s="45" t="s">
        <v>6770</v>
      </c>
      <c r="AL6" s="45" t="s">
        <v>6760</v>
      </c>
      <c r="AM6" s="41">
        <v>44607.459722222222</v>
      </c>
      <c r="AN6" s="41">
        <v>44630.625</v>
      </c>
      <c r="AP6" s="38">
        <v>4</v>
      </c>
      <c r="AQ6" s="38" t="str">
        <f t="shared" si="2"/>
        <v>桃園市</v>
      </c>
      <c r="AR6" s="45" t="s">
        <v>6771</v>
      </c>
      <c r="AS6" s="46">
        <v>2</v>
      </c>
      <c r="AT6" s="45">
        <v>3549</v>
      </c>
      <c r="AU6" s="45" t="s">
        <v>6772</v>
      </c>
      <c r="AV6" s="45" t="s">
        <v>6773</v>
      </c>
      <c r="AW6" s="41">
        <v>44889.413194444453</v>
      </c>
      <c r="AX6" s="41">
        <v>44936.416666666657</v>
      </c>
    </row>
    <row r="7" spans="1:50" ht="15.6" customHeight="1">
      <c r="A7" s="36" t="s">
        <v>6774</v>
      </c>
      <c r="B7" s="37">
        <f t="shared" si="0"/>
        <v>67</v>
      </c>
      <c r="D7" s="38">
        <v>5</v>
      </c>
      <c r="E7" s="39">
        <v>2535</v>
      </c>
      <c r="F7" s="47" t="s">
        <v>6775</v>
      </c>
      <c r="G7" s="40" t="s">
        <v>5281</v>
      </c>
      <c r="H7" s="40" t="s">
        <v>10</v>
      </c>
      <c r="I7" s="39">
        <v>3</v>
      </c>
      <c r="J7" s="41">
        <v>44404.583333333343</v>
      </c>
      <c r="K7" s="41">
        <v>44573.583333333343</v>
      </c>
      <c r="M7" s="38">
        <v>5</v>
      </c>
      <c r="N7" s="42"/>
      <c r="O7" s="42" t="s">
        <v>6776</v>
      </c>
      <c r="P7" s="42" t="s">
        <v>5281</v>
      </c>
      <c r="Q7" s="42" t="s">
        <v>14</v>
      </c>
      <c r="R7" s="43">
        <v>1</v>
      </c>
      <c r="S7" s="44">
        <v>44441.625</v>
      </c>
      <c r="T7" s="35" t="s">
        <v>25</v>
      </c>
      <c r="V7" s="38">
        <v>5</v>
      </c>
      <c r="W7" s="38" t="str">
        <f t="shared" si="1"/>
        <v>新北市</v>
      </c>
      <c r="X7" s="45" t="s">
        <v>24</v>
      </c>
      <c r="Y7" s="45">
        <v>2</v>
      </c>
      <c r="Z7" s="45">
        <v>5003</v>
      </c>
      <c r="AA7" s="45" t="s">
        <v>2242</v>
      </c>
      <c r="AB7" s="45" t="s">
        <v>6777</v>
      </c>
      <c r="AC7" s="41">
        <v>44622.660416666673</v>
      </c>
      <c r="AD7" s="41">
        <v>44644.458333333343</v>
      </c>
      <c r="AF7" s="38">
        <v>5</v>
      </c>
      <c r="AG7" s="38" t="str">
        <f t="shared" si="3"/>
        <v>新北市</v>
      </c>
      <c r="AH7" s="45" t="s">
        <v>23</v>
      </c>
      <c r="AI7" s="46">
        <v>2</v>
      </c>
      <c r="AJ7" s="45">
        <v>2677</v>
      </c>
      <c r="AK7" s="45" t="s">
        <v>6778</v>
      </c>
      <c r="AL7" s="45" t="s">
        <v>6779</v>
      </c>
      <c r="AM7" s="41">
        <v>44622.660416666673</v>
      </c>
      <c r="AN7" s="41">
        <v>44644.625</v>
      </c>
      <c r="AP7" s="38">
        <v>5</v>
      </c>
      <c r="AQ7" s="38" t="str">
        <f t="shared" si="2"/>
        <v>桃園市</v>
      </c>
      <c r="AR7" s="45" t="s">
        <v>3323</v>
      </c>
      <c r="AS7" s="46">
        <v>3</v>
      </c>
      <c r="AT7" s="45">
        <v>4487</v>
      </c>
      <c r="AU7" s="45" t="s">
        <v>6780</v>
      </c>
      <c r="AV7" s="45" t="s">
        <v>6781</v>
      </c>
      <c r="AW7" s="41">
        <v>45005.599305555559</v>
      </c>
      <c r="AX7" s="41">
        <v>45009.625</v>
      </c>
    </row>
    <row r="8" spans="1:50" ht="15.6" customHeight="1">
      <c r="A8" s="36" t="s">
        <v>6782</v>
      </c>
      <c r="B8" s="37">
        <f t="shared" si="0"/>
        <v>67</v>
      </c>
      <c r="D8" s="38">
        <v>6</v>
      </c>
      <c r="E8" s="39">
        <v>4291</v>
      </c>
      <c r="F8" s="40" t="s">
        <v>6783</v>
      </c>
      <c r="G8" s="40" t="s">
        <v>6782</v>
      </c>
      <c r="H8" s="40" t="s">
        <v>6784</v>
      </c>
      <c r="I8" s="39">
        <v>2</v>
      </c>
      <c r="J8" s="41">
        <v>44405.583333333343</v>
      </c>
      <c r="K8" s="41">
        <v>44578.4375</v>
      </c>
      <c r="M8" s="38">
        <v>6</v>
      </c>
      <c r="N8" s="42"/>
      <c r="O8" s="42" t="s">
        <v>6785</v>
      </c>
      <c r="P8" s="42" t="s">
        <v>5281</v>
      </c>
      <c r="Q8" s="42" t="s">
        <v>13</v>
      </c>
      <c r="R8" s="43">
        <v>1</v>
      </c>
      <c r="S8" s="44">
        <v>44503.625</v>
      </c>
      <c r="T8" s="35" t="s">
        <v>25</v>
      </c>
      <c r="V8" s="38">
        <v>6</v>
      </c>
      <c r="W8" s="38" t="str">
        <f t="shared" si="1"/>
        <v>桃園市</v>
      </c>
      <c r="X8" s="45" t="s">
        <v>24</v>
      </c>
      <c r="Y8" s="45">
        <v>2</v>
      </c>
      <c r="Z8" s="45">
        <v>4992</v>
      </c>
      <c r="AA8" s="45" t="s">
        <v>6786</v>
      </c>
      <c r="AB8" s="45" t="s">
        <v>6787</v>
      </c>
      <c r="AC8" s="41">
        <v>44623.463888888888</v>
      </c>
      <c r="AD8" s="41">
        <v>44648.458333333343</v>
      </c>
      <c r="AF8" s="38">
        <v>6</v>
      </c>
      <c r="AG8" s="38" t="str">
        <f t="shared" si="3"/>
        <v/>
      </c>
      <c r="AH8" s="45" t="s">
        <v>23</v>
      </c>
      <c r="AI8" s="46"/>
      <c r="AJ8" s="45">
        <v>2316</v>
      </c>
      <c r="AK8" s="45" t="s">
        <v>6788</v>
      </c>
      <c r="AL8" s="45" t="s">
        <v>6789</v>
      </c>
      <c r="AM8" s="41">
        <v>44636.408333333333</v>
      </c>
      <c r="AN8" s="41">
        <v>44657.625</v>
      </c>
      <c r="AP8" s="38">
        <v>6</v>
      </c>
      <c r="AQ8" s="38" t="str">
        <f t="shared" si="2"/>
        <v>桃園市</v>
      </c>
      <c r="AR8" s="45" t="s">
        <v>6771</v>
      </c>
      <c r="AS8" s="46">
        <v>2</v>
      </c>
      <c r="AT8" s="45">
        <v>3017</v>
      </c>
      <c r="AU8" s="45" t="s">
        <v>2445</v>
      </c>
      <c r="AV8" s="45" t="s">
        <v>5110</v>
      </c>
      <c r="AW8" s="41">
        <v>45026.375</v>
      </c>
      <c r="AX8" s="41">
        <v>45041.458333333343</v>
      </c>
    </row>
    <row r="9" spans="1:50" ht="15.6" customHeight="1">
      <c r="A9" s="36" t="s">
        <v>6790</v>
      </c>
      <c r="B9" s="37">
        <f t="shared" si="0"/>
        <v>40</v>
      </c>
      <c r="D9" s="38">
        <v>7</v>
      </c>
      <c r="E9" s="39">
        <v>3247</v>
      </c>
      <c r="F9" s="40" t="s">
        <v>6791</v>
      </c>
      <c r="G9" s="40" t="s">
        <v>6792</v>
      </c>
      <c r="H9" s="40" t="s">
        <v>6793</v>
      </c>
      <c r="I9" s="39">
        <v>2</v>
      </c>
      <c r="J9" s="41">
        <v>44405.583333333343</v>
      </c>
      <c r="K9" s="41">
        <v>44614.458333333343</v>
      </c>
      <c r="M9" s="38">
        <v>7</v>
      </c>
      <c r="N9" s="42"/>
      <c r="O9" s="42" t="s">
        <v>6794</v>
      </c>
      <c r="P9" s="42" t="s">
        <v>5281</v>
      </c>
      <c r="Q9" s="42" t="s">
        <v>6</v>
      </c>
      <c r="R9" s="43">
        <v>1</v>
      </c>
      <c r="S9" s="44">
        <v>44508.625</v>
      </c>
      <c r="T9" s="35" t="s">
        <v>25</v>
      </c>
      <c r="V9" s="38">
        <v>7</v>
      </c>
      <c r="W9" s="38" t="str">
        <f t="shared" si="1"/>
        <v>台中市</v>
      </c>
      <c r="X9" s="45" t="s">
        <v>24</v>
      </c>
      <c r="Y9" s="45">
        <v>2</v>
      </c>
      <c r="Z9" s="45">
        <v>4971</v>
      </c>
      <c r="AA9" s="45" t="s">
        <v>6795</v>
      </c>
      <c r="AB9" s="45" t="s">
        <v>6796</v>
      </c>
      <c r="AC9" s="41">
        <v>44634.427083333343</v>
      </c>
      <c r="AD9" s="41">
        <v>44648.625</v>
      </c>
      <c r="AF9" s="38">
        <v>7</v>
      </c>
      <c r="AG9" s="38" t="str">
        <f t="shared" si="3"/>
        <v>新竹市</v>
      </c>
      <c r="AH9" s="45" t="s">
        <v>23</v>
      </c>
      <c r="AI9" s="46">
        <v>2</v>
      </c>
      <c r="AJ9" s="45">
        <v>4760</v>
      </c>
      <c r="AK9" s="45" t="s">
        <v>6797</v>
      </c>
      <c r="AL9" s="45" t="s">
        <v>6798</v>
      </c>
      <c r="AM9" s="41">
        <v>44659.504166666673</v>
      </c>
      <c r="AN9" s="41">
        <v>44669.625</v>
      </c>
      <c r="AP9" s="38">
        <v>7</v>
      </c>
      <c r="AQ9" s="38" t="str">
        <f t="shared" si="2"/>
        <v>桃園市</v>
      </c>
      <c r="AR9" s="45" t="s">
        <v>6771</v>
      </c>
      <c r="AS9" s="46">
        <v>2</v>
      </c>
      <c r="AT9" s="45">
        <v>2850</v>
      </c>
      <c r="AU9" s="45" t="s">
        <v>6799</v>
      </c>
      <c r="AV9" s="45" t="s">
        <v>6800</v>
      </c>
      <c r="AW9" s="41">
        <v>45037.371527777781</v>
      </c>
      <c r="AX9" s="41">
        <v>45084.458333333343</v>
      </c>
    </row>
    <row r="10" spans="1:50" ht="15.6" customHeight="1">
      <c r="A10" s="36" t="s">
        <v>6756</v>
      </c>
      <c r="B10" s="37">
        <f t="shared" si="0"/>
        <v>162</v>
      </c>
      <c r="D10" s="38">
        <v>8</v>
      </c>
      <c r="E10" s="39">
        <v>2842</v>
      </c>
      <c r="F10" s="40" t="s">
        <v>6801</v>
      </c>
      <c r="G10" s="40" t="s">
        <v>6738</v>
      </c>
      <c r="H10" s="40" t="s">
        <v>6739</v>
      </c>
      <c r="I10" s="39">
        <v>2</v>
      </c>
      <c r="J10" s="41">
        <v>44425.375</v>
      </c>
      <c r="K10" s="41">
        <v>44616.444444444453</v>
      </c>
      <c r="M10" s="38">
        <v>8</v>
      </c>
      <c r="N10" s="42"/>
      <c r="O10" s="42" t="s">
        <v>6802</v>
      </c>
      <c r="P10" s="42" t="s">
        <v>5281</v>
      </c>
      <c r="Q10" s="42" t="s">
        <v>6803</v>
      </c>
      <c r="R10" s="43">
        <v>1</v>
      </c>
      <c r="S10" s="44">
        <v>44511.416666666657</v>
      </c>
      <c r="T10" s="35" t="s">
        <v>25</v>
      </c>
      <c r="V10" s="38">
        <v>8</v>
      </c>
      <c r="W10" s="38" t="str">
        <f t="shared" si="1"/>
        <v>宜蘭縣</v>
      </c>
      <c r="X10" s="45" t="s">
        <v>24</v>
      </c>
      <c r="Y10" s="45">
        <v>2</v>
      </c>
      <c r="Z10" s="45">
        <v>4922</v>
      </c>
      <c r="AA10" s="45" t="s">
        <v>6804</v>
      </c>
      <c r="AB10" s="45" t="s">
        <v>6805</v>
      </c>
      <c r="AC10" s="41">
        <v>44631.623611111107</v>
      </c>
      <c r="AD10" s="41">
        <v>44649.458333333343</v>
      </c>
      <c r="AF10" s="38">
        <v>8</v>
      </c>
      <c r="AG10" s="38" t="str">
        <f t="shared" si="3"/>
        <v/>
      </c>
      <c r="AH10" s="45" t="s">
        <v>23</v>
      </c>
      <c r="AI10" s="46"/>
      <c r="AJ10" s="45">
        <v>3904</v>
      </c>
      <c r="AK10" s="45" t="s">
        <v>6806</v>
      </c>
      <c r="AL10" s="45" t="s">
        <v>6807</v>
      </c>
      <c r="AM10" s="41">
        <v>44664.429861111108</v>
      </c>
      <c r="AN10" s="41">
        <v>44682.625</v>
      </c>
      <c r="AP10" s="38">
        <v>8</v>
      </c>
      <c r="AQ10" s="38" t="str">
        <f t="shared" si="2"/>
        <v>桃園市</v>
      </c>
      <c r="AR10" s="45" t="s">
        <v>6771</v>
      </c>
      <c r="AS10" s="46">
        <v>2</v>
      </c>
      <c r="AT10" s="45">
        <v>3749</v>
      </c>
      <c r="AU10" s="45" t="s">
        <v>5136</v>
      </c>
      <c r="AV10" s="45" t="s">
        <v>5137</v>
      </c>
      <c r="AW10" s="41">
        <v>45147.606249999997</v>
      </c>
      <c r="AX10" s="41">
        <v>45160.458333333343</v>
      </c>
    </row>
    <row r="11" spans="1:50" ht="15.6" customHeight="1">
      <c r="A11" s="36" t="s">
        <v>6808</v>
      </c>
      <c r="B11" s="37">
        <f t="shared" si="0"/>
        <v>63</v>
      </c>
      <c r="D11" s="38">
        <v>9</v>
      </c>
      <c r="E11" s="39">
        <v>4019</v>
      </c>
      <c r="F11" s="40" t="s">
        <v>3012</v>
      </c>
      <c r="G11" s="40" t="s">
        <v>5281</v>
      </c>
      <c r="H11" s="40" t="s">
        <v>16</v>
      </c>
      <c r="I11" s="39">
        <v>2</v>
      </c>
      <c r="J11" s="41">
        <v>44426.583333333343</v>
      </c>
      <c r="K11" s="41">
        <v>44615.416666666657</v>
      </c>
      <c r="M11" s="38">
        <v>9</v>
      </c>
      <c r="N11" s="42"/>
      <c r="O11" s="42" t="s">
        <v>6809</v>
      </c>
      <c r="P11" s="42" t="s">
        <v>6735</v>
      </c>
      <c r="Q11" s="42" t="s">
        <v>6810</v>
      </c>
      <c r="R11" s="43">
        <v>1</v>
      </c>
      <c r="S11" s="44">
        <v>44525.458333333343</v>
      </c>
      <c r="T11" s="35" t="s">
        <v>25</v>
      </c>
      <c r="V11" s="38">
        <v>9</v>
      </c>
      <c r="W11" s="38" t="str">
        <f t="shared" si="1"/>
        <v>台中市</v>
      </c>
      <c r="X11" s="45" t="s">
        <v>24</v>
      </c>
      <c r="Y11" s="45">
        <v>2</v>
      </c>
      <c r="Z11" s="45">
        <v>5007</v>
      </c>
      <c r="AA11" s="45" t="s">
        <v>6811</v>
      </c>
      <c r="AB11" s="45" t="s">
        <v>6812</v>
      </c>
      <c r="AC11" s="41">
        <v>44634.429861111108</v>
      </c>
      <c r="AD11" s="41">
        <v>44649.625</v>
      </c>
      <c r="AF11" s="38">
        <v>9</v>
      </c>
      <c r="AG11" s="38" t="str">
        <f t="shared" si="3"/>
        <v/>
      </c>
      <c r="AH11" s="45" t="s">
        <v>23</v>
      </c>
      <c r="AI11" s="46"/>
      <c r="AJ11" s="45">
        <v>3905</v>
      </c>
      <c r="AK11" s="45" t="s">
        <v>6813</v>
      </c>
      <c r="AL11" s="45" t="s">
        <v>6814</v>
      </c>
      <c r="AM11" s="41">
        <v>44664.470833333333</v>
      </c>
      <c r="AN11" s="41">
        <v>44682.625</v>
      </c>
      <c r="AP11" s="38">
        <v>9</v>
      </c>
      <c r="AQ11" s="38" t="str">
        <f t="shared" si="2"/>
        <v>桃園市</v>
      </c>
      <c r="AR11" s="45" t="s">
        <v>6771</v>
      </c>
      <c r="AS11" s="46">
        <v>2</v>
      </c>
      <c r="AT11" s="45">
        <v>2988</v>
      </c>
      <c r="AU11" s="45" t="s">
        <v>6815</v>
      </c>
      <c r="AV11" s="45" t="s">
        <v>5171</v>
      </c>
      <c r="AW11" s="41">
        <v>45140.621527777781</v>
      </c>
      <c r="AX11" s="41">
        <v>45180.458333333343</v>
      </c>
    </row>
    <row r="12" spans="1:50" ht="15.6" customHeight="1">
      <c r="A12" s="36" t="s">
        <v>6816</v>
      </c>
      <c r="B12" s="37">
        <f t="shared" si="0"/>
        <v>21</v>
      </c>
      <c r="D12" s="38">
        <v>10</v>
      </c>
      <c r="E12" s="39" t="s">
        <v>6817</v>
      </c>
      <c r="F12" s="40" t="s">
        <v>6818</v>
      </c>
      <c r="G12" s="40" t="s">
        <v>6735</v>
      </c>
      <c r="H12" s="40" t="s">
        <v>6819</v>
      </c>
      <c r="I12" s="39">
        <v>3</v>
      </c>
      <c r="J12" s="41">
        <v>44425.583333333343</v>
      </c>
      <c r="K12" s="41">
        <v>44616.395833333343</v>
      </c>
      <c r="M12" s="38">
        <v>10</v>
      </c>
      <c r="N12" s="42"/>
      <c r="O12" s="42" t="s">
        <v>5312</v>
      </c>
      <c r="P12" s="42" t="s">
        <v>5281</v>
      </c>
      <c r="Q12" s="42" t="s">
        <v>11</v>
      </c>
      <c r="R12" s="43">
        <v>1</v>
      </c>
      <c r="S12" s="44">
        <v>44525.625</v>
      </c>
      <c r="T12" s="35" t="s">
        <v>25</v>
      </c>
      <c r="V12" s="38">
        <v>10</v>
      </c>
      <c r="W12" s="38" t="str">
        <f t="shared" si="1"/>
        <v>桃園市</v>
      </c>
      <c r="X12" s="45" t="s">
        <v>24</v>
      </c>
      <c r="Y12" s="45">
        <v>1</v>
      </c>
      <c r="Z12" s="45">
        <v>5009</v>
      </c>
      <c r="AA12" s="45" t="s">
        <v>6820</v>
      </c>
      <c r="AB12" s="45" t="s">
        <v>6821</v>
      </c>
      <c r="AC12" s="41">
        <v>44636.693749999999</v>
      </c>
      <c r="AD12" s="41">
        <v>44650.458333333343</v>
      </c>
      <c r="AF12" s="38">
        <v>10</v>
      </c>
      <c r="AG12" s="38" t="str">
        <f t="shared" si="3"/>
        <v/>
      </c>
      <c r="AH12" s="45" t="s">
        <v>23</v>
      </c>
      <c r="AI12" s="46"/>
      <c r="AJ12" s="45">
        <v>4116</v>
      </c>
      <c r="AK12" s="45" t="s">
        <v>6822</v>
      </c>
      <c r="AL12" s="45" t="s">
        <v>6823</v>
      </c>
      <c r="AM12" s="41">
        <v>44664.609027777777</v>
      </c>
      <c r="AN12" s="41">
        <v>44682.625</v>
      </c>
      <c r="AP12" s="38">
        <v>10</v>
      </c>
      <c r="AQ12" s="38" t="str">
        <f t="shared" si="2"/>
        <v>桃園市</v>
      </c>
      <c r="AR12" s="45" t="s">
        <v>3323</v>
      </c>
      <c r="AS12" s="46">
        <v>3</v>
      </c>
      <c r="AT12" s="45">
        <v>4387</v>
      </c>
      <c r="AU12" s="45" t="s">
        <v>6824</v>
      </c>
      <c r="AV12" s="45" t="s">
        <v>6825</v>
      </c>
      <c r="AW12" s="41">
        <v>45184.436805555553</v>
      </c>
      <c r="AX12" s="41">
        <v>45191.583333333343</v>
      </c>
    </row>
    <row r="13" spans="1:50" ht="15.6" customHeight="1">
      <c r="A13" s="36" t="s">
        <v>6826</v>
      </c>
      <c r="B13" s="37">
        <f t="shared" si="0"/>
        <v>26</v>
      </c>
      <c r="D13" s="38">
        <v>11</v>
      </c>
      <c r="E13" s="39">
        <v>4834</v>
      </c>
      <c r="F13" s="40" t="s">
        <v>323</v>
      </c>
      <c r="G13" s="40" t="s">
        <v>5281</v>
      </c>
      <c r="H13" s="40" t="s">
        <v>13</v>
      </c>
      <c r="I13" s="39">
        <v>2</v>
      </c>
      <c r="J13" s="41">
        <v>44427.583333333343</v>
      </c>
      <c r="K13" s="41">
        <v>44579.583333333343</v>
      </c>
      <c r="M13" s="38">
        <v>11</v>
      </c>
      <c r="N13" s="42"/>
      <c r="O13" s="42" t="s">
        <v>1899</v>
      </c>
      <c r="P13" s="42" t="s">
        <v>5281</v>
      </c>
      <c r="Q13" s="42" t="s">
        <v>11</v>
      </c>
      <c r="R13" s="43">
        <v>1</v>
      </c>
      <c r="S13" s="44">
        <v>44566.458333333343</v>
      </c>
      <c r="T13" s="35" t="s">
        <v>25</v>
      </c>
      <c r="V13" s="38">
        <v>11</v>
      </c>
      <c r="W13" s="38" t="str">
        <f t="shared" si="1"/>
        <v>苗栗縣</v>
      </c>
      <c r="X13" s="45" t="s">
        <v>24</v>
      </c>
      <c r="Y13" s="45">
        <v>2</v>
      </c>
      <c r="Z13" s="45">
        <v>4887</v>
      </c>
      <c r="AA13" s="45" t="s">
        <v>6827</v>
      </c>
      <c r="AB13" s="45" t="s">
        <v>6828</v>
      </c>
      <c r="AC13" s="41">
        <v>44642.332638888889</v>
      </c>
      <c r="AD13" s="41">
        <v>44663.625</v>
      </c>
      <c r="AF13" s="38">
        <v>11</v>
      </c>
      <c r="AG13" s="38" t="str">
        <f t="shared" si="3"/>
        <v>桃園市</v>
      </c>
      <c r="AH13" s="45" t="s">
        <v>23</v>
      </c>
      <c r="AI13" s="46">
        <v>1</v>
      </c>
      <c r="AJ13" s="45">
        <v>5009</v>
      </c>
      <c r="AK13" s="45" t="s">
        <v>6820</v>
      </c>
      <c r="AL13" s="45" t="s">
        <v>6829</v>
      </c>
      <c r="AM13" s="41">
        <v>44665.382638888892</v>
      </c>
      <c r="AN13" s="41">
        <v>44687.458333333343</v>
      </c>
      <c r="AP13" s="38">
        <v>9</v>
      </c>
      <c r="AQ13" s="38" t="str">
        <f t="shared" si="2"/>
        <v>桃園市</v>
      </c>
      <c r="AR13" s="45" t="s">
        <v>6771</v>
      </c>
      <c r="AS13" s="46">
        <v>2</v>
      </c>
      <c r="AT13" s="45" t="s">
        <v>6830</v>
      </c>
      <c r="AU13" s="45" t="s">
        <v>6831</v>
      </c>
      <c r="AV13" s="45" t="s">
        <v>6832</v>
      </c>
      <c r="AW13" s="41">
        <v>45202.722222222219</v>
      </c>
      <c r="AX13" s="41">
        <v>45245.458333333343</v>
      </c>
    </row>
    <row r="14" spans="1:50" ht="15.6" customHeight="1">
      <c r="A14" s="36" t="s">
        <v>6833</v>
      </c>
      <c r="B14" s="37">
        <f t="shared" si="0"/>
        <v>11</v>
      </c>
      <c r="D14" s="38">
        <v>12</v>
      </c>
      <c r="E14" s="39">
        <v>3535</v>
      </c>
      <c r="F14" s="40" t="s">
        <v>6834</v>
      </c>
      <c r="G14" s="40" t="s">
        <v>6765</v>
      </c>
      <c r="H14" s="40" t="s">
        <v>6835</v>
      </c>
      <c r="I14" s="39">
        <v>2</v>
      </c>
      <c r="J14" s="41">
        <v>44424.583333333343</v>
      </c>
      <c r="K14" s="41">
        <v>44579.416666666657</v>
      </c>
      <c r="M14" s="38">
        <v>12</v>
      </c>
      <c r="N14" s="42"/>
      <c r="O14" s="42" t="s">
        <v>6836</v>
      </c>
      <c r="P14" s="42" t="s">
        <v>6765</v>
      </c>
      <c r="Q14" s="42" t="s">
        <v>6837</v>
      </c>
      <c r="R14" s="43">
        <v>1</v>
      </c>
      <c r="S14" s="44">
        <v>44510.458333333343</v>
      </c>
      <c r="T14" s="35" t="s">
        <v>25</v>
      </c>
      <c r="V14" s="38">
        <v>12</v>
      </c>
      <c r="W14" s="38" t="str">
        <f t="shared" si="1"/>
        <v>桃園市</v>
      </c>
      <c r="X14" s="45" t="s">
        <v>24</v>
      </c>
      <c r="Y14" s="45">
        <v>2</v>
      </c>
      <c r="Z14" s="45">
        <v>4981</v>
      </c>
      <c r="AA14" s="45" t="s">
        <v>3120</v>
      </c>
      <c r="AB14" s="45" t="s">
        <v>5135</v>
      </c>
      <c r="AC14" s="41">
        <v>44644.704861111109</v>
      </c>
      <c r="AD14" s="41">
        <v>44665.458333333343</v>
      </c>
      <c r="AF14" s="38">
        <v>12</v>
      </c>
      <c r="AG14" s="38" t="str">
        <f t="shared" si="3"/>
        <v/>
      </c>
      <c r="AH14" s="45" t="s">
        <v>23</v>
      </c>
      <c r="AI14" s="46"/>
      <c r="AJ14" s="45" t="s">
        <v>6838</v>
      </c>
      <c r="AK14" s="45" t="s">
        <v>6839</v>
      </c>
      <c r="AL14" s="45" t="s">
        <v>6840</v>
      </c>
      <c r="AM14" s="41">
        <v>44663.447916666657</v>
      </c>
      <c r="AN14" s="41">
        <v>44692.458333333343</v>
      </c>
    </row>
    <row r="15" spans="1:50" ht="15.6" customHeight="1">
      <c r="A15" s="36" t="s">
        <v>6841</v>
      </c>
      <c r="B15" s="37">
        <f t="shared" si="0"/>
        <v>26</v>
      </c>
      <c r="D15" s="38">
        <v>13</v>
      </c>
      <c r="E15" s="39">
        <v>2892</v>
      </c>
      <c r="F15" s="40" t="s">
        <v>6842</v>
      </c>
      <c r="G15" s="40" t="s">
        <v>6774</v>
      </c>
      <c r="H15" s="40" t="s">
        <v>6843</v>
      </c>
      <c r="I15" s="39">
        <v>2</v>
      </c>
      <c r="J15" s="41">
        <v>44426.583333333343</v>
      </c>
      <c r="K15" s="41">
        <v>43849.4375</v>
      </c>
      <c r="M15" s="38">
        <v>13</v>
      </c>
      <c r="N15" s="42"/>
      <c r="O15" s="42" t="s">
        <v>6844</v>
      </c>
      <c r="P15" s="42" t="s">
        <v>6765</v>
      </c>
      <c r="Q15" s="42" t="s">
        <v>6835</v>
      </c>
      <c r="R15" s="43">
        <v>1</v>
      </c>
      <c r="S15" s="44">
        <v>44515.458333333343</v>
      </c>
      <c r="T15" s="35" t="s">
        <v>25</v>
      </c>
      <c r="V15" s="38">
        <v>13</v>
      </c>
      <c r="W15" s="38" t="str">
        <f t="shared" si="1"/>
        <v>台中市</v>
      </c>
      <c r="X15" s="45" t="s">
        <v>24</v>
      </c>
      <c r="Y15" s="45">
        <v>2</v>
      </c>
      <c r="Z15" s="45">
        <v>4926</v>
      </c>
      <c r="AA15" s="45" t="s">
        <v>6845</v>
      </c>
      <c r="AB15" s="45" t="s">
        <v>6846</v>
      </c>
      <c r="AC15" s="41">
        <v>44650.498611111107</v>
      </c>
      <c r="AD15" s="41">
        <v>44669.625</v>
      </c>
      <c r="AF15" s="38">
        <v>13</v>
      </c>
      <c r="AG15" s="38" t="str">
        <f t="shared" si="3"/>
        <v/>
      </c>
      <c r="AH15" s="45" t="s">
        <v>23</v>
      </c>
      <c r="AI15" s="46"/>
      <c r="AJ15" s="45" t="s">
        <v>6847</v>
      </c>
      <c r="AK15" s="45" t="s">
        <v>6848</v>
      </c>
      <c r="AL15" s="45" t="s">
        <v>6849</v>
      </c>
      <c r="AM15" s="41">
        <v>44678.590277777781</v>
      </c>
      <c r="AN15" s="41">
        <v>44697.625</v>
      </c>
    </row>
    <row r="16" spans="1:50" ht="15.6" customHeight="1">
      <c r="A16" s="36" t="s">
        <v>6850</v>
      </c>
      <c r="B16" s="37">
        <f t="shared" si="0"/>
        <v>65</v>
      </c>
      <c r="D16" s="38">
        <v>14</v>
      </c>
      <c r="E16" s="39" t="s">
        <v>6851</v>
      </c>
      <c r="F16" s="40" t="s">
        <v>6852</v>
      </c>
      <c r="G16" s="40" t="s">
        <v>6790</v>
      </c>
      <c r="H16" s="40" t="s">
        <v>6853</v>
      </c>
      <c r="I16" s="39">
        <v>2</v>
      </c>
      <c r="J16" s="41">
        <v>44427.395833333343</v>
      </c>
      <c r="K16" s="41">
        <v>44607.4375</v>
      </c>
      <c r="M16" s="38">
        <v>14</v>
      </c>
      <c r="N16" s="42"/>
      <c r="O16" s="42" t="s">
        <v>6854</v>
      </c>
      <c r="P16" s="42" t="s">
        <v>6774</v>
      </c>
      <c r="Q16" s="42" t="s">
        <v>6843</v>
      </c>
      <c r="R16" s="43">
        <v>1</v>
      </c>
      <c r="S16" s="44">
        <v>44516.458333333343</v>
      </c>
      <c r="T16" s="35" t="s">
        <v>25</v>
      </c>
      <c r="V16" s="38">
        <v>14</v>
      </c>
      <c r="W16" s="38" t="str">
        <f t="shared" si="1"/>
        <v>基隆市</v>
      </c>
      <c r="X16" s="45" t="s">
        <v>24</v>
      </c>
      <c r="Y16" s="45">
        <v>2</v>
      </c>
      <c r="Z16" s="45">
        <v>4892</v>
      </c>
      <c r="AA16" s="45" t="s">
        <v>6855</v>
      </c>
      <c r="AB16" s="45" t="s">
        <v>6856</v>
      </c>
      <c r="AC16" s="41">
        <v>44648.71597222222</v>
      </c>
      <c r="AD16" s="41">
        <v>44678.458333333343</v>
      </c>
      <c r="AF16" s="38">
        <v>14</v>
      </c>
      <c r="AG16" s="38" t="str">
        <f t="shared" si="3"/>
        <v/>
      </c>
      <c r="AH16" s="45" t="s">
        <v>23</v>
      </c>
      <c r="AI16" s="46"/>
      <c r="AJ16" s="45">
        <v>3914</v>
      </c>
      <c r="AK16" s="45" t="s">
        <v>6857</v>
      </c>
      <c r="AL16" s="45" t="s">
        <v>6858</v>
      </c>
      <c r="AM16" s="41">
        <v>44678.584722222222</v>
      </c>
      <c r="AN16" s="41">
        <v>44698.458333333343</v>
      </c>
    </row>
    <row r="17" spans="1:40" ht="15.6" customHeight="1">
      <c r="A17" s="36" t="s">
        <v>6792</v>
      </c>
      <c r="B17" s="37">
        <f t="shared" si="0"/>
        <v>152</v>
      </c>
      <c r="D17" s="38">
        <v>15</v>
      </c>
      <c r="E17" s="39" t="s">
        <v>6859</v>
      </c>
      <c r="F17" s="40" t="s">
        <v>6860</v>
      </c>
      <c r="G17" s="40" t="s">
        <v>6756</v>
      </c>
      <c r="H17" s="40" t="s">
        <v>6861</v>
      </c>
      <c r="I17" s="39">
        <v>2</v>
      </c>
      <c r="J17" s="41">
        <v>44425.375</v>
      </c>
      <c r="K17" s="41">
        <v>44606.4375</v>
      </c>
      <c r="M17" s="38">
        <v>15</v>
      </c>
      <c r="N17" s="42"/>
      <c r="O17" s="42" t="s">
        <v>5193</v>
      </c>
      <c r="P17" s="42" t="s">
        <v>6765</v>
      </c>
      <c r="Q17" s="42" t="s">
        <v>9</v>
      </c>
      <c r="R17" s="43">
        <v>1</v>
      </c>
      <c r="S17" s="44">
        <v>44539.458333333343</v>
      </c>
      <c r="T17" s="35" t="s">
        <v>25</v>
      </c>
      <c r="V17" s="38">
        <v>15</v>
      </c>
      <c r="W17" s="38" t="str">
        <f t="shared" si="1"/>
        <v>台北市</v>
      </c>
      <c r="X17" s="45" t="s">
        <v>24</v>
      </c>
      <c r="Y17" s="45">
        <v>2</v>
      </c>
      <c r="Z17" s="45">
        <v>4870</v>
      </c>
      <c r="AA17" s="45" t="s">
        <v>6862</v>
      </c>
      <c r="AB17" s="45" t="s">
        <v>6863</v>
      </c>
      <c r="AC17" s="41">
        <v>44664.662499999999</v>
      </c>
      <c r="AD17" s="41">
        <v>44685.458333333343</v>
      </c>
      <c r="AF17" s="38">
        <v>15</v>
      </c>
      <c r="AG17" s="38" t="str">
        <f t="shared" si="3"/>
        <v/>
      </c>
      <c r="AH17" s="45" t="s">
        <v>23</v>
      </c>
      <c r="AI17" s="46"/>
      <c r="AJ17" s="45">
        <v>2559</v>
      </c>
      <c r="AK17" s="45" t="s">
        <v>6864</v>
      </c>
      <c r="AL17" s="45" t="s">
        <v>6865</v>
      </c>
      <c r="AM17" s="41">
        <v>44672.616666666669</v>
      </c>
      <c r="AN17" s="41">
        <v>44698.625</v>
      </c>
    </row>
    <row r="18" spans="1:40" ht="15.6" customHeight="1">
      <c r="A18" s="36" t="s">
        <v>6866</v>
      </c>
      <c r="B18" s="37">
        <f t="shared" si="0"/>
        <v>53</v>
      </c>
      <c r="D18" s="38">
        <v>16</v>
      </c>
      <c r="E18" s="39">
        <v>4121</v>
      </c>
      <c r="F18" s="40" t="s">
        <v>6867</v>
      </c>
      <c r="G18" s="40" t="s">
        <v>6792</v>
      </c>
      <c r="H18" s="40" t="s">
        <v>6868</v>
      </c>
      <c r="I18" s="39">
        <v>2</v>
      </c>
      <c r="J18" s="41">
        <v>44424.375</v>
      </c>
      <c r="K18" s="41">
        <v>44616.416666666657</v>
      </c>
      <c r="M18" s="38">
        <v>16</v>
      </c>
      <c r="N18" s="42"/>
      <c r="O18" s="42" t="s">
        <v>6869</v>
      </c>
      <c r="P18" s="42" t="s">
        <v>6765</v>
      </c>
      <c r="Q18" s="42" t="s">
        <v>8</v>
      </c>
      <c r="R18" s="43">
        <v>1</v>
      </c>
      <c r="S18" s="44">
        <v>44540.458333333343</v>
      </c>
      <c r="T18" s="35" t="s">
        <v>25</v>
      </c>
      <c r="V18" s="38">
        <v>16</v>
      </c>
      <c r="W18" s="38" t="str">
        <f t="shared" si="1"/>
        <v>桃園市</v>
      </c>
      <c r="X18" s="45" t="s">
        <v>24</v>
      </c>
      <c r="Y18" s="45">
        <v>2</v>
      </c>
      <c r="Z18" s="45">
        <v>4998</v>
      </c>
      <c r="AA18" s="45" t="s">
        <v>6870</v>
      </c>
      <c r="AB18" s="45" t="s">
        <v>6829</v>
      </c>
      <c r="AC18" s="41">
        <v>44659.430555555547</v>
      </c>
      <c r="AD18" s="41">
        <v>44686.458333333343</v>
      </c>
      <c r="AF18" s="38">
        <v>16</v>
      </c>
      <c r="AG18" s="38" t="str">
        <f t="shared" si="3"/>
        <v/>
      </c>
      <c r="AH18" s="45" t="s">
        <v>23</v>
      </c>
      <c r="AI18" s="46"/>
      <c r="AJ18" s="45">
        <v>4007</v>
      </c>
      <c r="AK18" s="45" t="s">
        <v>6871</v>
      </c>
      <c r="AL18" s="45" t="s">
        <v>5117</v>
      </c>
      <c r="AM18" s="41">
        <v>44687.510416666657</v>
      </c>
      <c r="AN18" s="41">
        <v>44700.458333333343</v>
      </c>
    </row>
    <row r="19" spans="1:40" ht="15.6" customHeight="1">
      <c r="A19" s="36" t="s">
        <v>6872</v>
      </c>
      <c r="B19" s="37">
        <f t="shared" si="0"/>
        <v>0</v>
      </c>
      <c r="D19" s="38">
        <v>17</v>
      </c>
      <c r="E19" s="39">
        <v>4076</v>
      </c>
      <c r="F19" s="40" t="s">
        <v>6873</v>
      </c>
      <c r="G19" s="40" t="s">
        <v>6833</v>
      </c>
      <c r="H19" s="40" t="s">
        <v>6843</v>
      </c>
      <c r="I19" s="39">
        <v>2</v>
      </c>
      <c r="J19" s="41">
        <v>44425.375</v>
      </c>
      <c r="K19" s="41">
        <v>44606.458333333343</v>
      </c>
      <c r="M19" s="38">
        <v>17</v>
      </c>
      <c r="N19" s="42"/>
      <c r="O19" s="42" t="s">
        <v>5195</v>
      </c>
      <c r="P19" s="42" t="s">
        <v>6765</v>
      </c>
      <c r="Q19" s="42" t="s">
        <v>9</v>
      </c>
      <c r="R19" s="43">
        <v>1</v>
      </c>
      <c r="S19" s="44">
        <v>44554.458333333343</v>
      </c>
      <c r="T19" s="35" t="s">
        <v>25</v>
      </c>
      <c r="V19" s="38">
        <v>17</v>
      </c>
      <c r="W19" s="38" t="str">
        <f t="shared" si="1"/>
        <v>嘉義縣</v>
      </c>
      <c r="X19" s="45" t="s">
        <v>24</v>
      </c>
      <c r="Y19" s="45">
        <v>2</v>
      </c>
      <c r="Z19" s="45">
        <v>5013</v>
      </c>
      <c r="AA19" s="45" t="s">
        <v>6874</v>
      </c>
      <c r="AB19" s="45" t="s">
        <v>6875</v>
      </c>
      <c r="AC19" s="41">
        <v>44684.513194444437</v>
      </c>
      <c r="AD19" s="41">
        <v>44692.625</v>
      </c>
      <c r="AF19" s="38">
        <v>17</v>
      </c>
      <c r="AG19" s="38" t="str">
        <f t="shared" si="3"/>
        <v/>
      </c>
      <c r="AH19" s="45" t="s">
        <v>23</v>
      </c>
      <c r="AI19" s="46"/>
      <c r="AJ19" s="45">
        <v>2793</v>
      </c>
      <c r="AK19" s="45" t="s">
        <v>6876</v>
      </c>
      <c r="AL19" s="45" t="s">
        <v>6877</v>
      </c>
      <c r="AM19" s="41">
        <v>44676.393055555563</v>
      </c>
      <c r="AN19" s="41">
        <v>44705.625</v>
      </c>
    </row>
    <row r="20" spans="1:40" ht="15.6" customHeight="1">
      <c r="A20" s="36" t="s">
        <v>6878</v>
      </c>
      <c r="B20" s="37">
        <f t="shared" si="0"/>
        <v>0</v>
      </c>
      <c r="D20" s="38">
        <v>18</v>
      </c>
      <c r="E20" s="39">
        <v>2076</v>
      </c>
      <c r="F20" s="40" t="s">
        <v>6879</v>
      </c>
      <c r="G20" s="40" t="s">
        <v>6866</v>
      </c>
      <c r="H20" s="40" t="s">
        <v>6880</v>
      </c>
      <c r="I20" s="39">
        <v>2</v>
      </c>
      <c r="J20" s="41">
        <v>44426.375</v>
      </c>
      <c r="K20" s="41">
        <v>44617.458333333343</v>
      </c>
      <c r="M20" s="38">
        <v>18</v>
      </c>
      <c r="N20" s="42"/>
      <c r="O20" s="42" t="s">
        <v>6881</v>
      </c>
      <c r="P20" s="42" t="s">
        <v>6756</v>
      </c>
      <c r="Q20" s="42" t="s">
        <v>6882</v>
      </c>
      <c r="R20" s="43">
        <v>1</v>
      </c>
      <c r="S20" s="44">
        <v>44503.625</v>
      </c>
      <c r="T20" s="35" t="s">
        <v>25</v>
      </c>
      <c r="V20" s="38">
        <v>18</v>
      </c>
      <c r="W20" s="38" t="str">
        <f t="shared" si="1"/>
        <v>屏東縣</v>
      </c>
      <c r="X20" s="45" t="s">
        <v>24</v>
      </c>
      <c r="Y20" s="45">
        <v>2</v>
      </c>
      <c r="Z20" s="45">
        <v>4912</v>
      </c>
      <c r="AA20" s="45" t="s">
        <v>6883</v>
      </c>
      <c r="AB20" s="45" t="s">
        <v>6884</v>
      </c>
      <c r="AC20" s="41">
        <v>44669.576388888891</v>
      </c>
      <c r="AD20" s="41">
        <v>44697.625</v>
      </c>
      <c r="AF20" s="38">
        <v>18</v>
      </c>
      <c r="AG20" s="38" t="str">
        <f t="shared" si="3"/>
        <v/>
      </c>
      <c r="AH20" s="45" t="s">
        <v>23</v>
      </c>
      <c r="AI20" s="46"/>
      <c r="AJ20" s="45">
        <v>4141</v>
      </c>
      <c r="AK20" s="45" t="s">
        <v>6885</v>
      </c>
      <c r="AL20" s="45" t="s">
        <v>6886</v>
      </c>
      <c r="AM20" s="41">
        <v>44692.406944444447</v>
      </c>
      <c r="AN20" s="41">
        <v>44707.458333333343</v>
      </c>
    </row>
    <row r="21" spans="1:40" ht="15.6" customHeight="1">
      <c r="A21" s="36" t="s">
        <v>6887</v>
      </c>
      <c r="B21" s="37">
        <f t="shared" si="0"/>
        <v>0</v>
      </c>
      <c r="D21" s="38">
        <v>19</v>
      </c>
      <c r="E21" s="39">
        <v>4872</v>
      </c>
      <c r="F21" s="40" t="s">
        <v>6888</v>
      </c>
      <c r="G21" s="40" t="s">
        <v>6850</v>
      </c>
      <c r="H21" s="40" t="s">
        <v>6889</v>
      </c>
      <c r="I21" s="39">
        <v>2</v>
      </c>
      <c r="J21" s="41">
        <v>44427.375</v>
      </c>
      <c r="K21" s="41">
        <v>44613.604166666657</v>
      </c>
      <c r="M21" s="38">
        <v>19</v>
      </c>
      <c r="N21" s="42"/>
      <c r="O21" s="42" t="s">
        <v>6890</v>
      </c>
      <c r="P21" s="42" t="s">
        <v>6808</v>
      </c>
      <c r="Q21" s="42" t="s">
        <v>6891</v>
      </c>
      <c r="R21" s="43">
        <v>1</v>
      </c>
      <c r="S21" s="44">
        <v>44504.458333333343</v>
      </c>
      <c r="T21" s="35" t="s">
        <v>25</v>
      </c>
      <c r="V21" s="38">
        <v>19</v>
      </c>
      <c r="W21" s="38" t="str">
        <f t="shared" si="1"/>
        <v>桃園市</v>
      </c>
      <c r="X21" s="45" t="s">
        <v>24</v>
      </c>
      <c r="Y21" s="45">
        <v>2</v>
      </c>
      <c r="Z21" s="45">
        <v>4967</v>
      </c>
      <c r="AA21" s="45" t="s">
        <v>6892</v>
      </c>
      <c r="AB21" s="45" t="s">
        <v>6893</v>
      </c>
      <c r="AC21" s="41">
        <v>44680.409722222219</v>
      </c>
      <c r="AD21" s="41">
        <v>44698.458333333343</v>
      </c>
      <c r="AF21" s="38">
        <v>19</v>
      </c>
      <c r="AG21" s="38" t="str">
        <f t="shared" si="3"/>
        <v/>
      </c>
      <c r="AH21" s="45" t="s">
        <v>23</v>
      </c>
      <c r="AI21" s="46"/>
      <c r="AJ21" s="45">
        <v>4251</v>
      </c>
      <c r="AK21" s="45" t="s">
        <v>6894</v>
      </c>
      <c r="AL21" s="45" t="s">
        <v>6895</v>
      </c>
      <c r="AM21" s="41">
        <v>44698.376388888893</v>
      </c>
      <c r="AN21" s="41">
        <v>44714.416666666657</v>
      </c>
    </row>
    <row r="22" spans="1:40" ht="15.6" customHeight="1">
      <c r="A22" s="36" t="s">
        <v>6738</v>
      </c>
      <c r="B22" s="37">
        <f t="shared" si="0"/>
        <v>33</v>
      </c>
      <c r="D22" s="38">
        <v>20</v>
      </c>
      <c r="E22" s="39">
        <v>4812</v>
      </c>
      <c r="F22" s="40" t="s">
        <v>6896</v>
      </c>
      <c r="G22" s="40" t="s">
        <v>6735</v>
      </c>
      <c r="H22" s="40" t="s">
        <v>6897</v>
      </c>
      <c r="I22" s="39">
        <v>2</v>
      </c>
      <c r="J22" s="41">
        <v>44431.395833333343</v>
      </c>
      <c r="K22" s="41">
        <v>44578.625</v>
      </c>
      <c r="M22" s="38">
        <v>20</v>
      </c>
      <c r="N22" s="42"/>
      <c r="O22" s="42" t="s">
        <v>6898</v>
      </c>
      <c r="P22" s="42" t="s">
        <v>6808</v>
      </c>
      <c r="Q22" s="42" t="s">
        <v>6899</v>
      </c>
      <c r="R22" s="43">
        <v>1</v>
      </c>
      <c r="S22" s="44">
        <v>44504.458333333343</v>
      </c>
      <c r="T22" s="35" t="s">
        <v>25</v>
      </c>
      <c r="V22" s="38">
        <v>20</v>
      </c>
      <c r="W22" s="38" t="str">
        <f t="shared" si="1"/>
        <v>新北市</v>
      </c>
      <c r="X22" s="45" t="s">
        <v>24</v>
      </c>
      <c r="Y22" s="45">
        <v>2</v>
      </c>
      <c r="Z22" s="45">
        <v>4968</v>
      </c>
      <c r="AA22" s="45" t="s">
        <v>849</v>
      </c>
      <c r="AB22" s="45" t="s">
        <v>6900</v>
      </c>
      <c r="AC22" s="41">
        <v>44676.57916666667</v>
      </c>
      <c r="AD22" s="41">
        <v>44700.458333333343</v>
      </c>
      <c r="AF22" s="38">
        <v>20</v>
      </c>
      <c r="AG22" s="38" t="str">
        <f t="shared" si="3"/>
        <v/>
      </c>
      <c r="AH22" s="45" t="s">
        <v>23</v>
      </c>
      <c r="AI22" s="46"/>
      <c r="AJ22" s="45">
        <v>4873</v>
      </c>
      <c r="AK22" s="45" t="s">
        <v>6901</v>
      </c>
      <c r="AL22" s="45" t="s">
        <v>6902</v>
      </c>
      <c r="AM22" s="41">
        <v>44699.65</v>
      </c>
      <c r="AN22" s="41">
        <v>44714.625</v>
      </c>
    </row>
    <row r="23" spans="1:40" ht="15.6" customHeight="1">
      <c r="A23" s="49" t="s">
        <v>6903</v>
      </c>
      <c r="B23" s="37">
        <f t="shared" si="0"/>
        <v>0</v>
      </c>
      <c r="D23" s="38">
        <v>21</v>
      </c>
      <c r="E23" s="39">
        <v>4697</v>
      </c>
      <c r="F23" s="40" t="s">
        <v>6904</v>
      </c>
      <c r="G23" s="40" t="s">
        <v>5281</v>
      </c>
      <c r="H23" s="40" t="s">
        <v>16</v>
      </c>
      <c r="I23" s="39">
        <v>2</v>
      </c>
      <c r="J23" s="41">
        <v>44432.395833333343</v>
      </c>
      <c r="K23" s="41">
        <v>44615.4375</v>
      </c>
      <c r="M23" s="38">
        <v>21</v>
      </c>
      <c r="N23" s="42"/>
      <c r="O23" s="42" t="s">
        <v>6905</v>
      </c>
      <c r="P23" s="42" t="s">
        <v>6816</v>
      </c>
      <c r="Q23" s="42" t="s">
        <v>6906</v>
      </c>
      <c r="R23" s="43">
        <v>1</v>
      </c>
      <c r="S23" s="44">
        <v>44508.625</v>
      </c>
      <c r="T23" s="35" t="s">
        <v>25</v>
      </c>
      <c r="V23" s="38">
        <v>21</v>
      </c>
      <c r="W23" s="38" t="str">
        <f t="shared" si="1"/>
        <v>新北市</v>
      </c>
      <c r="X23" s="45" t="s">
        <v>24</v>
      </c>
      <c r="Y23" s="45">
        <v>2</v>
      </c>
      <c r="Z23" s="45">
        <v>4917</v>
      </c>
      <c r="AA23" s="45" t="s">
        <v>187</v>
      </c>
      <c r="AB23" s="45" t="s">
        <v>5231</v>
      </c>
      <c r="AC23" s="41">
        <v>44693.45208333333</v>
      </c>
      <c r="AD23" s="41">
        <v>44707.458333333343</v>
      </c>
      <c r="AF23" s="38">
        <v>21</v>
      </c>
      <c r="AG23" s="38" t="str">
        <f t="shared" si="3"/>
        <v/>
      </c>
      <c r="AH23" s="45" t="s">
        <v>23</v>
      </c>
      <c r="AI23" s="46"/>
      <c r="AJ23" s="45">
        <v>4839</v>
      </c>
      <c r="AK23" s="45" t="s">
        <v>6907</v>
      </c>
      <c r="AL23" s="45" t="s">
        <v>6908</v>
      </c>
      <c r="AM23" s="41">
        <v>44704.611805555563</v>
      </c>
      <c r="AN23" s="41">
        <v>44719.625</v>
      </c>
    </row>
    <row r="24" spans="1:40" ht="15.6" customHeight="1">
      <c r="A24" s="49" t="s">
        <v>6909</v>
      </c>
      <c r="B24" s="37">
        <f t="shared" si="0"/>
        <v>0</v>
      </c>
      <c r="D24" s="38">
        <v>22</v>
      </c>
      <c r="E24" s="39">
        <v>4573</v>
      </c>
      <c r="F24" s="40" t="s">
        <v>2927</v>
      </c>
      <c r="G24" s="40" t="s">
        <v>5281</v>
      </c>
      <c r="H24" s="40" t="s">
        <v>15</v>
      </c>
      <c r="I24" s="39">
        <v>2</v>
      </c>
      <c r="J24" s="41">
        <v>44432.5625</v>
      </c>
      <c r="K24" s="41">
        <v>44610.416666666657</v>
      </c>
      <c r="M24" s="38">
        <v>22</v>
      </c>
      <c r="N24" s="42"/>
      <c r="O24" s="42" t="s">
        <v>6910</v>
      </c>
      <c r="P24" s="42" t="s">
        <v>6756</v>
      </c>
      <c r="Q24" s="42" t="s">
        <v>6911</v>
      </c>
      <c r="R24" s="43">
        <v>1</v>
      </c>
      <c r="S24" s="44">
        <v>44518.458333333343</v>
      </c>
      <c r="T24" s="35" t="s">
        <v>25</v>
      </c>
      <c r="V24" s="38">
        <v>22</v>
      </c>
      <c r="W24" s="38" t="str">
        <f t="shared" si="1"/>
        <v>台北市</v>
      </c>
      <c r="X24" s="45" t="s">
        <v>24</v>
      </c>
      <c r="Y24" s="45">
        <v>2</v>
      </c>
      <c r="Z24" s="45">
        <v>4668</v>
      </c>
      <c r="AA24" s="45" t="s">
        <v>6912</v>
      </c>
      <c r="AB24" s="45" t="s">
        <v>6913</v>
      </c>
      <c r="AC24" s="41">
        <v>44698.461111111108</v>
      </c>
      <c r="AD24" s="41">
        <v>44711.458333333343</v>
      </c>
      <c r="AF24" s="38">
        <v>22</v>
      </c>
      <c r="AG24" s="38" t="str">
        <f t="shared" si="3"/>
        <v>彰化縣</v>
      </c>
      <c r="AH24" s="45" t="s">
        <v>23</v>
      </c>
      <c r="AI24" s="46">
        <v>1</v>
      </c>
      <c r="AJ24" s="45" t="s">
        <v>6914</v>
      </c>
      <c r="AK24" s="45" t="s">
        <v>6915</v>
      </c>
      <c r="AL24" s="45" t="s">
        <v>6916</v>
      </c>
      <c r="AM24" s="41">
        <v>44705.640972222223</v>
      </c>
      <c r="AN24" s="41">
        <v>44719.625</v>
      </c>
    </row>
    <row r="25" spans="1:40" ht="15.6" customHeight="1">
      <c r="D25" s="38">
        <v>23</v>
      </c>
      <c r="E25" s="39">
        <v>4838</v>
      </c>
      <c r="F25" s="40" t="s">
        <v>6917</v>
      </c>
      <c r="G25" s="40" t="s">
        <v>6735</v>
      </c>
      <c r="H25" s="40" t="s">
        <v>6918</v>
      </c>
      <c r="I25" s="39">
        <v>2</v>
      </c>
      <c r="J25" s="41">
        <v>44433.395833333343</v>
      </c>
      <c r="K25" s="41">
        <v>44613.416666666657</v>
      </c>
      <c r="M25" s="38">
        <v>23</v>
      </c>
      <c r="N25" s="42"/>
      <c r="O25" s="42" t="s">
        <v>6919</v>
      </c>
      <c r="P25" s="42" t="s">
        <v>6756</v>
      </c>
      <c r="Q25" s="42" t="s">
        <v>6920</v>
      </c>
      <c r="R25" s="43">
        <v>1</v>
      </c>
      <c r="S25" s="44">
        <v>44518.625</v>
      </c>
      <c r="T25" s="35" t="s">
        <v>25</v>
      </c>
      <c r="V25" s="38">
        <v>23</v>
      </c>
      <c r="W25" s="38" t="str">
        <f t="shared" si="1"/>
        <v>桃園市</v>
      </c>
      <c r="X25" s="45" t="s">
        <v>24</v>
      </c>
      <c r="Y25" s="45">
        <v>2</v>
      </c>
      <c r="Z25" s="45">
        <v>5016</v>
      </c>
      <c r="AA25" s="45" t="s">
        <v>3141</v>
      </c>
      <c r="AB25" s="45" t="s">
        <v>6921</v>
      </c>
      <c r="AC25" s="41">
        <v>44698.595138888893</v>
      </c>
      <c r="AD25" s="41">
        <v>44720.458333333343</v>
      </c>
      <c r="AF25" s="38">
        <v>23</v>
      </c>
      <c r="AG25" s="38" t="str">
        <f t="shared" si="3"/>
        <v>新北市</v>
      </c>
      <c r="AH25" s="45" t="s">
        <v>23</v>
      </c>
      <c r="AI25" s="46">
        <v>2</v>
      </c>
      <c r="AJ25" s="45">
        <v>4784</v>
      </c>
      <c r="AK25" s="45" t="s">
        <v>6922</v>
      </c>
      <c r="AL25" s="45" t="s">
        <v>6923</v>
      </c>
      <c r="AM25" s="41">
        <v>44714.451388888891</v>
      </c>
      <c r="AN25" s="41">
        <v>44721.458333333343</v>
      </c>
    </row>
    <row r="26" spans="1:40" ht="15.6" customHeight="1">
      <c r="A26" s="51" t="s">
        <v>6924</v>
      </c>
      <c r="B26" s="51">
        <f>SUM(B3:B25)</f>
        <v>1629</v>
      </c>
      <c r="D26" s="38">
        <v>24</v>
      </c>
      <c r="E26" s="39">
        <v>4663</v>
      </c>
      <c r="F26" s="40" t="s">
        <v>6925</v>
      </c>
      <c r="G26" s="40" t="s">
        <v>5281</v>
      </c>
      <c r="H26" s="40" t="s">
        <v>6926</v>
      </c>
      <c r="I26" s="39">
        <v>2</v>
      </c>
      <c r="J26" s="41">
        <v>44433.5625</v>
      </c>
      <c r="K26" s="41">
        <v>44613.4375</v>
      </c>
      <c r="M26" s="38">
        <v>24</v>
      </c>
      <c r="N26" s="42"/>
      <c r="O26" s="42" t="s">
        <v>6927</v>
      </c>
      <c r="P26" s="42" t="s">
        <v>6816</v>
      </c>
      <c r="Q26" s="42" t="s">
        <v>6906</v>
      </c>
      <c r="R26" s="43">
        <v>1</v>
      </c>
      <c r="S26" s="44">
        <v>44524.416666666657</v>
      </c>
      <c r="T26" s="35" t="s">
        <v>25</v>
      </c>
      <c r="V26" s="38">
        <v>24</v>
      </c>
      <c r="W26" s="38" t="str">
        <f t="shared" si="1"/>
        <v>宜蘭縣</v>
      </c>
      <c r="X26" s="45" t="s">
        <v>24</v>
      </c>
      <c r="Y26" s="45">
        <v>2</v>
      </c>
      <c r="Z26" s="45">
        <v>5010</v>
      </c>
      <c r="AA26" s="45" t="s">
        <v>6928</v>
      </c>
      <c r="AB26" s="45" t="s">
        <v>6929</v>
      </c>
      <c r="AC26" s="41">
        <v>44700.48333333333</v>
      </c>
      <c r="AD26" s="41">
        <v>44720.458333333343</v>
      </c>
      <c r="AF26" s="38">
        <v>24</v>
      </c>
      <c r="AG26" s="38" t="str">
        <f t="shared" si="3"/>
        <v/>
      </c>
      <c r="AH26" s="45" t="s">
        <v>23</v>
      </c>
      <c r="AI26" s="46"/>
      <c r="AJ26" s="45">
        <v>2991</v>
      </c>
      <c r="AK26" s="45" t="s">
        <v>6930</v>
      </c>
      <c r="AL26" s="45" t="s">
        <v>6931</v>
      </c>
      <c r="AM26" s="41">
        <v>44707.625694444447</v>
      </c>
      <c r="AN26" s="41">
        <v>44725.625</v>
      </c>
    </row>
    <row r="27" spans="1:40" ht="15.6" customHeight="1">
      <c r="D27" s="38">
        <v>25</v>
      </c>
      <c r="E27" s="39">
        <v>2132</v>
      </c>
      <c r="F27" s="40" t="s">
        <v>6932</v>
      </c>
      <c r="G27" s="40" t="s">
        <v>6735</v>
      </c>
      <c r="H27" s="40" t="s">
        <v>6736</v>
      </c>
      <c r="I27" s="39">
        <v>2</v>
      </c>
      <c r="J27" s="41">
        <v>44434.5625</v>
      </c>
      <c r="K27" s="41">
        <v>44578.4375</v>
      </c>
      <c r="M27" s="38">
        <v>25</v>
      </c>
      <c r="N27" s="42"/>
      <c r="O27" s="42" t="s">
        <v>6933</v>
      </c>
      <c r="P27" s="42" t="s">
        <v>6808</v>
      </c>
      <c r="Q27" s="42" t="s">
        <v>6899</v>
      </c>
      <c r="R27" s="43">
        <v>1</v>
      </c>
      <c r="S27" s="44">
        <v>44529.625</v>
      </c>
      <c r="T27" s="35" t="s">
        <v>25</v>
      </c>
      <c r="V27" s="38">
        <v>25</v>
      </c>
      <c r="W27" s="38" t="str">
        <f t="shared" si="1"/>
        <v>南投縣</v>
      </c>
      <c r="X27" s="45" t="s">
        <v>24</v>
      </c>
      <c r="Y27" s="45">
        <v>2</v>
      </c>
      <c r="Z27" s="45">
        <v>4790</v>
      </c>
      <c r="AA27" s="45" t="s">
        <v>6934</v>
      </c>
      <c r="AB27" s="45" t="s">
        <v>6935</v>
      </c>
      <c r="AC27" s="41">
        <v>44705.456250000003</v>
      </c>
      <c r="AD27" s="41">
        <v>44720.625</v>
      </c>
      <c r="AF27" s="38">
        <v>25</v>
      </c>
      <c r="AG27" s="38" t="str">
        <f t="shared" si="3"/>
        <v>台中市</v>
      </c>
      <c r="AH27" s="45" t="s">
        <v>23</v>
      </c>
      <c r="AI27" s="46">
        <v>2</v>
      </c>
      <c r="AJ27" s="45">
        <v>3249</v>
      </c>
      <c r="AK27" s="45" t="s">
        <v>6936</v>
      </c>
      <c r="AL27" s="45" t="s">
        <v>6937</v>
      </c>
      <c r="AM27" s="41">
        <v>44706.681944444441</v>
      </c>
      <c r="AN27" s="41">
        <v>44726.625</v>
      </c>
    </row>
    <row r="28" spans="1:40" ht="15.6" customHeight="1">
      <c r="A28" s="51" t="s">
        <v>6938</v>
      </c>
      <c r="B28" s="51">
        <f>SUMIFS(I:I,G:G,A6)+SUMIFS(Y:Y,W:W,A6)-SUMIFS(AI:AI,AG:AG,A6)-SUMIFS(AS:AS,AQ:AQ,A6)</f>
        <v>579</v>
      </c>
      <c r="D28" s="38">
        <v>26</v>
      </c>
      <c r="E28" s="39">
        <v>4518</v>
      </c>
      <c r="F28" s="40" t="s">
        <v>6939</v>
      </c>
      <c r="G28" s="40" t="s">
        <v>5281</v>
      </c>
      <c r="H28" s="40" t="s">
        <v>6940</v>
      </c>
      <c r="I28" s="39">
        <v>2</v>
      </c>
      <c r="J28" s="41">
        <v>44435.395833333343</v>
      </c>
      <c r="K28" s="41">
        <v>44617.4375</v>
      </c>
      <c r="M28" s="38">
        <v>26</v>
      </c>
      <c r="N28" s="42"/>
      <c r="O28" s="42" t="s">
        <v>6941</v>
      </c>
      <c r="P28" s="42" t="s">
        <v>6756</v>
      </c>
      <c r="Q28" s="42" t="s">
        <v>6911</v>
      </c>
      <c r="R28" s="43">
        <v>1</v>
      </c>
      <c r="S28" s="44">
        <v>44572.625</v>
      </c>
      <c r="T28" s="35" t="s">
        <v>25</v>
      </c>
      <c r="V28" s="38">
        <v>26</v>
      </c>
      <c r="W28" s="38" t="str">
        <f t="shared" si="1"/>
        <v>桃園市</v>
      </c>
      <c r="X28" s="45" t="s">
        <v>24</v>
      </c>
      <c r="Y28" s="45">
        <v>2</v>
      </c>
      <c r="Z28" s="45">
        <v>4709</v>
      </c>
      <c r="AA28" s="45" t="s">
        <v>6942</v>
      </c>
      <c r="AB28" s="45" t="s">
        <v>6943</v>
      </c>
      <c r="AC28" s="41">
        <v>44718.400694444441</v>
      </c>
      <c r="AD28" s="41">
        <v>44725.458333333343</v>
      </c>
      <c r="AF28" s="38">
        <v>26</v>
      </c>
      <c r="AG28" s="38" t="str">
        <f t="shared" si="3"/>
        <v/>
      </c>
      <c r="AH28" s="45" t="s">
        <v>23</v>
      </c>
      <c r="AI28" s="46"/>
      <c r="AJ28" s="45">
        <v>4363</v>
      </c>
      <c r="AK28" s="45" t="s">
        <v>6944</v>
      </c>
      <c r="AL28" s="45" t="s">
        <v>6945</v>
      </c>
      <c r="AM28" s="41">
        <v>44697.463194444441</v>
      </c>
      <c r="AN28" s="41">
        <v>44728.625</v>
      </c>
    </row>
    <row r="29" spans="1:40" ht="15.6" customHeight="1">
      <c r="A29" s="51" t="s">
        <v>6946</v>
      </c>
      <c r="B29" s="51">
        <f>SUMIFS(I:I,G:G,"&lt;&gt;"&amp;A6)+SUMIFS(R:R,P:P,"&lt;&gt;"&amp;A6)+SUMIFS(Y:Y,W:W,"&lt;&gt;"&amp;A2)-SUMIFS(AI:AI,AG:AG,"&lt;&gt;"&amp;A6)+SUMIFS(AS:AS,AQ:AQ,A6)</f>
        <v>2691</v>
      </c>
      <c r="D29" s="38">
        <v>27</v>
      </c>
      <c r="E29" s="39">
        <v>4591</v>
      </c>
      <c r="F29" s="40" t="s">
        <v>6947</v>
      </c>
      <c r="G29" s="40" t="s">
        <v>5281</v>
      </c>
      <c r="H29" s="40" t="s">
        <v>6940</v>
      </c>
      <c r="I29" s="39">
        <v>2</v>
      </c>
      <c r="J29" s="41">
        <v>44435.5625</v>
      </c>
      <c r="K29" s="41">
        <v>44617.416666666657</v>
      </c>
      <c r="M29" s="38">
        <v>27</v>
      </c>
      <c r="N29" s="42"/>
      <c r="O29" s="42" t="s">
        <v>6948</v>
      </c>
      <c r="P29" s="42" t="s">
        <v>6850</v>
      </c>
      <c r="Q29" s="42" t="s">
        <v>6949</v>
      </c>
      <c r="R29" s="43">
        <v>1</v>
      </c>
      <c r="S29" s="44">
        <v>44509.625</v>
      </c>
      <c r="T29" s="35" t="s">
        <v>25</v>
      </c>
      <c r="V29" s="38">
        <v>27</v>
      </c>
      <c r="W29" s="38" t="str">
        <f t="shared" si="1"/>
        <v>台北市</v>
      </c>
      <c r="X29" s="45" t="s">
        <v>24</v>
      </c>
      <c r="Y29" s="45">
        <v>2</v>
      </c>
      <c r="Z29" s="45">
        <v>5012</v>
      </c>
      <c r="AA29" s="45" t="s">
        <v>6950</v>
      </c>
      <c r="AB29" s="45" t="s">
        <v>6951</v>
      </c>
      <c r="AC29" s="41">
        <v>44726.590277777781</v>
      </c>
      <c r="AD29" s="41">
        <v>44734.625</v>
      </c>
      <c r="AF29" s="38">
        <v>27</v>
      </c>
      <c r="AG29" s="38" t="str">
        <f t="shared" si="3"/>
        <v>新北市</v>
      </c>
      <c r="AH29" s="45" t="s">
        <v>23</v>
      </c>
      <c r="AI29" s="46">
        <v>2</v>
      </c>
      <c r="AJ29" s="45">
        <v>4697</v>
      </c>
      <c r="AK29" s="45" t="s">
        <v>6904</v>
      </c>
      <c r="AL29" s="45" t="s">
        <v>6952</v>
      </c>
      <c r="AM29" s="41">
        <v>44718.682638888888</v>
      </c>
      <c r="AN29" s="41">
        <v>44732.625</v>
      </c>
    </row>
    <row r="30" spans="1:40" ht="15.6" customHeight="1">
      <c r="A30" s="51" t="s">
        <v>6953</v>
      </c>
      <c r="B30" s="51">
        <f>SUM(BC:BC)</f>
        <v>0</v>
      </c>
      <c r="D30" s="38">
        <v>28</v>
      </c>
      <c r="E30" s="39">
        <v>4609</v>
      </c>
      <c r="F30" s="40" t="s">
        <v>1774</v>
      </c>
      <c r="G30" s="40" t="s">
        <v>5281</v>
      </c>
      <c r="H30" s="40" t="s">
        <v>6</v>
      </c>
      <c r="I30" s="39">
        <v>2</v>
      </c>
      <c r="J30" s="41">
        <v>44431.583333333343</v>
      </c>
      <c r="K30" s="41">
        <v>44608.458333333343</v>
      </c>
      <c r="M30" s="38">
        <v>28</v>
      </c>
      <c r="N30" s="42"/>
      <c r="O30" s="42" t="s">
        <v>6954</v>
      </c>
      <c r="P30" s="42" t="s">
        <v>6792</v>
      </c>
      <c r="Q30" s="42" t="s">
        <v>6955</v>
      </c>
      <c r="R30" s="43">
        <v>1</v>
      </c>
      <c r="S30" s="44">
        <v>44510.625</v>
      </c>
      <c r="T30" s="35" t="s">
        <v>25</v>
      </c>
      <c r="V30" s="38">
        <v>28</v>
      </c>
      <c r="W30" s="38" t="str">
        <f t="shared" si="1"/>
        <v>台北市</v>
      </c>
      <c r="X30" s="45" t="s">
        <v>24</v>
      </c>
      <c r="Y30" s="45">
        <v>2</v>
      </c>
      <c r="Z30" s="45">
        <v>4934</v>
      </c>
      <c r="AA30" s="45" t="s">
        <v>6956</v>
      </c>
      <c r="AB30" s="45" t="s">
        <v>6957</v>
      </c>
      <c r="AC30" s="41">
        <v>44727.349305555559</v>
      </c>
      <c r="AD30" s="41">
        <v>44740.625</v>
      </c>
      <c r="AF30" s="38">
        <v>28</v>
      </c>
      <c r="AG30" s="38" t="str">
        <f t="shared" si="3"/>
        <v/>
      </c>
      <c r="AH30" s="45" t="s">
        <v>23</v>
      </c>
      <c r="AI30" s="46"/>
      <c r="AJ30" s="45">
        <v>3981</v>
      </c>
      <c r="AK30" s="45" t="s">
        <v>6958</v>
      </c>
      <c r="AL30" s="45" t="s">
        <v>6959</v>
      </c>
      <c r="AM30" s="41">
        <v>44718.706250000003</v>
      </c>
      <c r="AN30" s="41">
        <v>44735.458333333343</v>
      </c>
    </row>
    <row r="31" spans="1:40" ht="15.6" customHeight="1">
      <c r="D31" s="38">
        <v>29</v>
      </c>
      <c r="E31" s="39">
        <v>4514</v>
      </c>
      <c r="F31" s="40" t="s">
        <v>1994</v>
      </c>
      <c r="G31" s="40" t="s">
        <v>5281</v>
      </c>
      <c r="H31" s="40" t="s">
        <v>13</v>
      </c>
      <c r="I31" s="39">
        <v>2</v>
      </c>
      <c r="J31" s="41">
        <v>44432.583333333343</v>
      </c>
      <c r="K31" s="41">
        <v>44610.5625</v>
      </c>
      <c r="M31" s="38">
        <v>29</v>
      </c>
      <c r="N31" s="42"/>
      <c r="O31" s="42" t="s">
        <v>6960</v>
      </c>
      <c r="P31" s="42" t="s">
        <v>6850</v>
      </c>
      <c r="Q31" s="42" t="s">
        <v>6961</v>
      </c>
      <c r="R31" s="43">
        <v>1</v>
      </c>
      <c r="S31" s="44">
        <v>44511.625</v>
      </c>
      <c r="T31" s="35" t="s">
        <v>25</v>
      </c>
      <c r="V31" s="38">
        <v>29</v>
      </c>
      <c r="W31" s="38" t="str">
        <f t="shared" si="1"/>
        <v>台北市</v>
      </c>
      <c r="X31" s="45" t="s">
        <v>24</v>
      </c>
      <c r="Y31" s="45">
        <v>2</v>
      </c>
      <c r="Z31" s="45">
        <v>5026</v>
      </c>
      <c r="AA31" s="45" t="s">
        <v>6962</v>
      </c>
      <c r="AB31" s="45" t="s">
        <v>6963</v>
      </c>
      <c r="AC31" s="41">
        <v>44734.491666666669</v>
      </c>
      <c r="AD31" s="41">
        <v>44741.625</v>
      </c>
      <c r="AF31" s="38">
        <v>29</v>
      </c>
      <c r="AG31" s="38" t="str">
        <f t="shared" si="3"/>
        <v/>
      </c>
      <c r="AH31" s="45" t="s">
        <v>23</v>
      </c>
      <c r="AI31" s="46"/>
      <c r="AJ31" s="45">
        <v>4309</v>
      </c>
      <c r="AK31" s="45" t="s">
        <v>6964</v>
      </c>
      <c r="AL31" s="45" t="s">
        <v>6965</v>
      </c>
      <c r="AM31" s="41">
        <v>44719.500694444447</v>
      </c>
      <c r="AN31" s="41">
        <v>44741.625</v>
      </c>
    </row>
    <row r="32" spans="1:40" ht="15.6" customHeight="1">
      <c r="D32" s="38">
        <v>30</v>
      </c>
      <c r="E32" s="39">
        <v>4715</v>
      </c>
      <c r="F32" s="40" t="s">
        <v>1566</v>
      </c>
      <c r="G32" s="40" t="s">
        <v>5281</v>
      </c>
      <c r="H32" s="40" t="s">
        <v>13</v>
      </c>
      <c r="I32" s="39">
        <v>2</v>
      </c>
      <c r="J32" s="41">
        <v>44432.583333333343</v>
      </c>
      <c r="K32" s="41">
        <v>44610.583333333343</v>
      </c>
      <c r="M32" s="38">
        <v>30</v>
      </c>
      <c r="N32" s="42"/>
      <c r="O32" s="42" t="s">
        <v>6966</v>
      </c>
      <c r="P32" s="42" t="s">
        <v>6792</v>
      </c>
      <c r="Q32" s="42" t="s">
        <v>6967</v>
      </c>
      <c r="R32" s="43">
        <v>1</v>
      </c>
      <c r="S32" s="44">
        <v>44518.625</v>
      </c>
      <c r="T32" s="35" t="s">
        <v>25</v>
      </c>
      <c r="V32" s="38">
        <v>30</v>
      </c>
      <c r="W32" s="38" t="str">
        <f t="shared" si="1"/>
        <v>台中市</v>
      </c>
      <c r="X32" s="45" t="s">
        <v>24</v>
      </c>
      <c r="Y32" s="45">
        <v>2</v>
      </c>
      <c r="Z32" s="45">
        <v>4952</v>
      </c>
      <c r="AA32" s="45" t="s">
        <v>6968</v>
      </c>
      <c r="AB32" s="45" t="s">
        <v>6969</v>
      </c>
      <c r="AC32" s="41">
        <v>44733.415277777778</v>
      </c>
      <c r="AD32" s="41">
        <v>44747.625</v>
      </c>
      <c r="AF32" s="38">
        <v>30</v>
      </c>
      <c r="AG32" s="38" t="str">
        <f t="shared" si="3"/>
        <v/>
      </c>
      <c r="AH32" s="45" t="s">
        <v>23</v>
      </c>
      <c r="AI32" s="46"/>
      <c r="AJ32" s="45">
        <v>4131</v>
      </c>
      <c r="AK32" s="45" t="s">
        <v>6970</v>
      </c>
      <c r="AL32" s="45" t="s">
        <v>6971</v>
      </c>
      <c r="AM32" s="41">
        <v>44734.781944444447</v>
      </c>
      <c r="AN32" s="41">
        <v>44743.416666666657</v>
      </c>
    </row>
    <row r="33" spans="1:40" ht="15.6" customHeight="1">
      <c r="A33" s="51" t="s">
        <v>6972</v>
      </c>
      <c r="B33" s="51">
        <f>SUM(I:I)+SUM(R:R)+SUM(Y:Y)-SUM(AI:AI)</f>
        <v>3210</v>
      </c>
      <c r="D33" s="38">
        <v>31</v>
      </c>
      <c r="E33" s="39">
        <v>4788</v>
      </c>
      <c r="F33" s="40" t="s">
        <v>587</v>
      </c>
      <c r="G33" s="40" t="s">
        <v>5281</v>
      </c>
      <c r="H33" s="40" t="s">
        <v>3</v>
      </c>
      <c r="I33" s="39">
        <v>2</v>
      </c>
      <c r="J33" s="41">
        <v>44433.583333333343</v>
      </c>
      <c r="K33" s="41">
        <v>44581.4375</v>
      </c>
      <c r="M33" s="38">
        <v>31</v>
      </c>
      <c r="N33" s="42"/>
      <c r="O33" s="42" t="s">
        <v>6973</v>
      </c>
      <c r="P33" s="42" t="s">
        <v>6792</v>
      </c>
      <c r="Q33" s="42" t="s">
        <v>6974</v>
      </c>
      <c r="R33" s="43">
        <v>1</v>
      </c>
      <c r="S33" s="44">
        <v>44613.625</v>
      </c>
      <c r="T33" s="35" t="s">
        <v>25</v>
      </c>
      <c r="V33" s="38">
        <v>31</v>
      </c>
      <c r="W33" s="38" t="str">
        <f t="shared" si="1"/>
        <v>台中市</v>
      </c>
      <c r="X33" s="45" t="s">
        <v>24</v>
      </c>
      <c r="Y33" s="45">
        <v>2</v>
      </c>
      <c r="Z33" s="45">
        <v>5008</v>
      </c>
      <c r="AA33" s="45" t="s">
        <v>6975</v>
      </c>
      <c r="AB33" s="45" t="s">
        <v>6976</v>
      </c>
      <c r="AC33" s="41">
        <v>44733.371527777781</v>
      </c>
      <c r="AD33" s="41">
        <v>44756.625</v>
      </c>
      <c r="AF33" s="38">
        <v>31</v>
      </c>
      <c r="AG33" s="38" t="str">
        <f t="shared" si="3"/>
        <v/>
      </c>
      <c r="AH33" s="45" t="s">
        <v>23</v>
      </c>
      <c r="AI33" s="46"/>
      <c r="AJ33" s="45">
        <v>3424</v>
      </c>
      <c r="AK33" s="45" t="s">
        <v>6977</v>
      </c>
      <c r="AL33" s="45" t="s">
        <v>6978</v>
      </c>
      <c r="AM33" s="41">
        <v>44734.785416666673</v>
      </c>
      <c r="AN33" s="41">
        <v>44743.416666666657</v>
      </c>
    </row>
    <row r="34" spans="1:40" ht="15.6" customHeight="1">
      <c r="D34" s="38">
        <v>32</v>
      </c>
      <c r="E34" s="39">
        <v>4802</v>
      </c>
      <c r="F34" s="40" t="s">
        <v>575</v>
      </c>
      <c r="G34" s="40" t="s">
        <v>5281</v>
      </c>
      <c r="H34" s="40" t="s">
        <v>3</v>
      </c>
      <c r="I34" s="39">
        <v>2</v>
      </c>
      <c r="J34" s="41">
        <v>44433.583333333343</v>
      </c>
      <c r="K34" s="41">
        <v>44581.583333333343</v>
      </c>
      <c r="V34" s="38">
        <v>32</v>
      </c>
      <c r="W34" s="38" t="str">
        <f t="shared" si="1"/>
        <v>台中市</v>
      </c>
      <c r="X34" s="45" t="s">
        <v>24</v>
      </c>
      <c r="Y34" s="45">
        <v>2</v>
      </c>
      <c r="Z34" s="45">
        <v>4815</v>
      </c>
      <c r="AA34" s="45" t="s">
        <v>6979</v>
      </c>
      <c r="AB34" s="45" t="s">
        <v>6980</v>
      </c>
      <c r="AC34" s="41">
        <v>44743.615972222222</v>
      </c>
      <c r="AD34" s="41">
        <v>44762.625</v>
      </c>
      <c r="AF34" s="38">
        <v>32</v>
      </c>
      <c r="AG34" s="38" t="str">
        <f t="shared" si="3"/>
        <v/>
      </c>
      <c r="AH34" s="45" t="s">
        <v>23</v>
      </c>
      <c r="AI34" s="46"/>
      <c r="AJ34" s="45">
        <v>3091</v>
      </c>
      <c r="AK34" s="45" t="s">
        <v>6981</v>
      </c>
      <c r="AL34" s="45" t="s">
        <v>6982</v>
      </c>
      <c r="AM34" s="41">
        <v>44725.701388888891</v>
      </c>
      <c r="AN34" s="41">
        <v>44743.625</v>
      </c>
    </row>
    <row r="35" spans="1:40" ht="18" customHeight="1">
      <c r="D35" s="38">
        <v>33</v>
      </c>
      <c r="E35" s="39">
        <v>4801</v>
      </c>
      <c r="F35" s="40" t="s">
        <v>1309</v>
      </c>
      <c r="G35" s="40" t="s">
        <v>5281</v>
      </c>
      <c r="H35" s="40" t="s">
        <v>10</v>
      </c>
      <c r="I35" s="39">
        <v>2</v>
      </c>
      <c r="J35" s="41">
        <v>44435.583333333343</v>
      </c>
      <c r="K35" s="41">
        <v>44614.416666666657</v>
      </c>
      <c r="M35" s="384" t="s">
        <v>81</v>
      </c>
      <c r="N35" s="385"/>
      <c r="O35" s="385"/>
      <c r="P35" s="385"/>
      <c r="Q35" s="385"/>
      <c r="R35" s="385"/>
      <c r="S35" s="385"/>
      <c r="T35" s="31"/>
      <c r="V35" s="38">
        <v>33</v>
      </c>
      <c r="W35" s="38" t="str">
        <f t="shared" ref="W35:W66" si="4">LEFT(AB35,3)</f>
        <v>台中市</v>
      </c>
      <c r="X35" s="45" t="s">
        <v>24</v>
      </c>
      <c r="Y35" s="45">
        <v>2</v>
      </c>
      <c r="Z35" s="45">
        <v>4843</v>
      </c>
      <c r="AA35" s="45" t="s">
        <v>6983</v>
      </c>
      <c r="AB35" s="45" t="s">
        <v>6984</v>
      </c>
      <c r="AC35" s="41">
        <v>44745.428472222222</v>
      </c>
      <c r="AD35" s="41">
        <v>44767.458333333343</v>
      </c>
      <c r="AF35" s="38">
        <v>33</v>
      </c>
      <c r="AG35" s="38" t="str">
        <f t="shared" si="3"/>
        <v>台北市</v>
      </c>
      <c r="AH35" s="45" t="s">
        <v>23</v>
      </c>
      <c r="AI35" s="46">
        <v>2</v>
      </c>
      <c r="AJ35" s="45" t="s">
        <v>6985</v>
      </c>
      <c r="AK35" s="45" t="s">
        <v>6986</v>
      </c>
      <c r="AL35" s="45" t="s">
        <v>6987</v>
      </c>
      <c r="AM35" s="41">
        <v>44721.595138888893</v>
      </c>
      <c r="AN35" s="41">
        <v>44746.625</v>
      </c>
    </row>
    <row r="36" spans="1:40" ht="15.6" customHeight="1">
      <c r="D36" s="38">
        <v>34</v>
      </c>
      <c r="E36" s="39">
        <v>4736</v>
      </c>
      <c r="F36" s="53" t="s">
        <v>6988</v>
      </c>
      <c r="G36" s="40" t="s">
        <v>6774</v>
      </c>
      <c r="H36" s="40" t="s">
        <v>6843</v>
      </c>
      <c r="I36" s="39">
        <v>2</v>
      </c>
      <c r="J36" s="41">
        <v>44432.416666666657</v>
      </c>
      <c r="K36" s="41">
        <v>44608.4375</v>
      </c>
      <c r="M36" s="32" t="s">
        <v>284</v>
      </c>
      <c r="N36" s="32" t="s">
        <v>141</v>
      </c>
      <c r="O36" s="32" t="s">
        <v>142</v>
      </c>
      <c r="P36" s="32" t="s">
        <v>6725</v>
      </c>
      <c r="Q36" s="32" t="s">
        <v>6726</v>
      </c>
      <c r="R36" s="32" t="s">
        <v>6727</v>
      </c>
      <c r="S36" s="32" t="s">
        <v>6729</v>
      </c>
      <c r="T36" s="54"/>
      <c r="V36" s="38">
        <v>34</v>
      </c>
      <c r="W36" s="38" t="str">
        <f t="shared" si="4"/>
        <v>桃園市</v>
      </c>
      <c r="X36" s="45" t="s">
        <v>24</v>
      </c>
      <c r="Y36" s="45">
        <v>2</v>
      </c>
      <c r="Z36" s="45">
        <v>4769</v>
      </c>
      <c r="AA36" s="45" t="s">
        <v>6989</v>
      </c>
      <c r="AB36" s="45" t="s">
        <v>6990</v>
      </c>
      <c r="AC36" s="41">
        <v>44753.597222222219</v>
      </c>
      <c r="AD36" s="41">
        <v>44768.458333333343</v>
      </c>
      <c r="AF36" s="38">
        <v>34</v>
      </c>
      <c r="AG36" s="38" t="str">
        <f t="shared" si="3"/>
        <v/>
      </c>
      <c r="AH36" s="45" t="s">
        <v>23</v>
      </c>
      <c r="AI36" s="46"/>
      <c r="AJ36" s="45">
        <v>4620</v>
      </c>
      <c r="AK36" s="45" t="s">
        <v>6991</v>
      </c>
      <c r="AL36" s="45" t="s">
        <v>6992</v>
      </c>
      <c r="AM36" s="41">
        <v>44729.489583333343</v>
      </c>
      <c r="AN36" s="41">
        <v>44748.458333333343</v>
      </c>
    </row>
    <row r="37" spans="1:40" ht="15.6" customHeight="1">
      <c r="D37" s="38">
        <v>35</v>
      </c>
      <c r="E37" s="39">
        <v>4500</v>
      </c>
      <c r="F37" s="53" t="s">
        <v>6993</v>
      </c>
      <c r="G37" s="40" t="s">
        <v>6790</v>
      </c>
      <c r="H37" s="40" t="s">
        <v>6853</v>
      </c>
      <c r="I37" s="39">
        <v>2</v>
      </c>
      <c r="J37" s="41">
        <v>44433.416666666657</v>
      </c>
      <c r="K37" s="41">
        <v>44610.604166666657</v>
      </c>
      <c r="M37" s="38">
        <v>1</v>
      </c>
      <c r="N37" s="55" t="s">
        <v>80</v>
      </c>
      <c r="O37" s="55" t="s">
        <v>204</v>
      </c>
      <c r="P37" s="55" t="s">
        <v>5281</v>
      </c>
      <c r="Q37" s="55" t="s">
        <v>10</v>
      </c>
      <c r="R37" s="37">
        <v>4</v>
      </c>
      <c r="S37" s="41">
        <v>44322.416666666657</v>
      </c>
      <c r="T37" s="35" t="s">
        <v>81</v>
      </c>
      <c r="V37" s="38">
        <v>35</v>
      </c>
      <c r="W37" s="38" t="str">
        <f t="shared" si="4"/>
        <v>宜蘭縣</v>
      </c>
      <c r="X37" s="45" t="s">
        <v>24</v>
      </c>
      <c r="Y37" s="45">
        <v>2</v>
      </c>
      <c r="Z37" s="45">
        <v>4959</v>
      </c>
      <c r="AA37" s="45" t="s">
        <v>6994</v>
      </c>
      <c r="AB37" s="45" t="s">
        <v>6995</v>
      </c>
      <c r="AC37" s="41">
        <v>44753.476388888892</v>
      </c>
      <c r="AD37" s="41">
        <v>44770.458333333343</v>
      </c>
      <c r="AF37" s="38">
        <v>35</v>
      </c>
      <c r="AG37" s="38" t="str">
        <f t="shared" si="3"/>
        <v>台南市</v>
      </c>
      <c r="AH37" s="45" t="s">
        <v>23</v>
      </c>
      <c r="AI37" s="46">
        <v>2</v>
      </c>
      <c r="AJ37" s="45">
        <v>4545</v>
      </c>
      <c r="AK37" s="45" t="s">
        <v>6996</v>
      </c>
      <c r="AL37" s="45" t="s">
        <v>6997</v>
      </c>
      <c r="AM37" s="41">
        <v>44728.373611111107</v>
      </c>
      <c r="AN37" s="41">
        <v>44750.458333333343</v>
      </c>
    </row>
    <row r="38" spans="1:40" ht="15.6" customHeight="1">
      <c r="D38" s="38">
        <v>36</v>
      </c>
      <c r="E38" s="39">
        <v>4723</v>
      </c>
      <c r="F38" s="40" t="s">
        <v>6998</v>
      </c>
      <c r="G38" s="40" t="s">
        <v>6756</v>
      </c>
      <c r="H38" s="40" t="s">
        <v>6999</v>
      </c>
      <c r="I38" s="39">
        <v>2</v>
      </c>
      <c r="J38" s="41">
        <v>44432.375</v>
      </c>
      <c r="K38" s="41">
        <v>44607.4375</v>
      </c>
      <c r="M38" s="38">
        <v>2</v>
      </c>
      <c r="N38" s="55" t="s">
        <v>7000</v>
      </c>
      <c r="O38" s="55" t="s">
        <v>7001</v>
      </c>
      <c r="P38" s="55" t="s">
        <v>6792</v>
      </c>
      <c r="Q38" s="55" t="s">
        <v>6868</v>
      </c>
      <c r="R38" s="37">
        <v>2</v>
      </c>
      <c r="S38" s="41">
        <v>44424.375</v>
      </c>
      <c r="T38" s="35" t="s">
        <v>81</v>
      </c>
      <c r="V38" s="38">
        <v>36</v>
      </c>
      <c r="W38" s="38" t="str">
        <f t="shared" si="4"/>
        <v>桃園市</v>
      </c>
      <c r="X38" s="45" t="s">
        <v>24</v>
      </c>
      <c r="Y38" s="45">
        <v>2</v>
      </c>
      <c r="Z38" s="45">
        <v>4735</v>
      </c>
      <c r="AA38" s="45" t="s">
        <v>7002</v>
      </c>
      <c r="AB38" s="45" t="s">
        <v>7003</v>
      </c>
      <c r="AC38" s="41">
        <v>44767.488194444442</v>
      </c>
      <c r="AD38" s="41">
        <v>44783.458333333343</v>
      </c>
      <c r="AF38" s="38">
        <v>36</v>
      </c>
      <c r="AG38" s="38" t="str">
        <f t="shared" si="3"/>
        <v>新北市</v>
      </c>
      <c r="AH38" s="45" t="s">
        <v>23</v>
      </c>
      <c r="AI38" s="46">
        <v>2</v>
      </c>
      <c r="AJ38" s="45">
        <v>2191</v>
      </c>
      <c r="AK38" s="45" t="s">
        <v>7004</v>
      </c>
      <c r="AL38" s="45" t="s">
        <v>7005</v>
      </c>
      <c r="AM38" s="41">
        <v>44740.438194444447</v>
      </c>
      <c r="AN38" s="41">
        <v>44756.458333333343</v>
      </c>
    </row>
    <row r="39" spans="1:40" ht="15.6" customHeight="1">
      <c r="D39" s="38">
        <v>37</v>
      </c>
      <c r="E39" s="39">
        <v>4711</v>
      </c>
      <c r="F39" s="40" t="s">
        <v>7006</v>
      </c>
      <c r="G39" s="40" t="s">
        <v>6816</v>
      </c>
      <c r="H39" s="40" t="s">
        <v>7007</v>
      </c>
      <c r="I39" s="39">
        <v>2</v>
      </c>
      <c r="J39" s="41">
        <v>44433.583333333343</v>
      </c>
      <c r="K39" s="41">
        <v>44609.458333333343</v>
      </c>
      <c r="M39" s="38">
        <v>3</v>
      </c>
      <c r="N39" s="55" t="s">
        <v>7008</v>
      </c>
      <c r="O39" s="55" t="s">
        <v>7009</v>
      </c>
      <c r="P39" s="55" t="s">
        <v>6866</v>
      </c>
      <c r="Q39" s="55" t="s">
        <v>6880</v>
      </c>
      <c r="R39" s="37">
        <v>2</v>
      </c>
      <c r="S39" s="41">
        <v>44426.375</v>
      </c>
      <c r="T39" s="35" t="s">
        <v>81</v>
      </c>
      <c r="V39" s="38">
        <v>37</v>
      </c>
      <c r="W39" s="38" t="str">
        <f t="shared" si="4"/>
        <v>苗栗縣</v>
      </c>
      <c r="X39" s="45" t="s">
        <v>24</v>
      </c>
      <c r="Y39" s="45">
        <v>2</v>
      </c>
      <c r="Z39" s="45">
        <v>5022</v>
      </c>
      <c r="AA39" s="45" t="s">
        <v>7010</v>
      </c>
      <c r="AB39" s="45" t="s">
        <v>7011</v>
      </c>
      <c r="AC39" s="41">
        <v>44782.362500000003</v>
      </c>
      <c r="AD39" s="41">
        <v>44788.625</v>
      </c>
      <c r="AF39" s="38">
        <v>37</v>
      </c>
      <c r="AG39" s="38" t="str">
        <f t="shared" si="3"/>
        <v/>
      </c>
      <c r="AH39" s="45" t="s">
        <v>23</v>
      </c>
      <c r="AI39" s="46"/>
      <c r="AJ39" s="45">
        <v>4758</v>
      </c>
      <c r="AK39" s="45" t="s">
        <v>7012</v>
      </c>
      <c r="AL39" s="45" t="s">
        <v>7013</v>
      </c>
      <c r="AM39" s="41">
        <v>44753.499305555553</v>
      </c>
      <c r="AN39" s="41">
        <v>44761.625</v>
      </c>
    </row>
    <row r="40" spans="1:40" ht="15.6" customHeight="1">
      <c r="D40" s="38">
        <v>38</v>
      </c>
      <c r="E40" s="39">
        <v>3762</v>
      </c>
      <c r="F40" s="40" t="s">
        <v>7014</v>
      </c>
      <c r="G40" s="40" t="s">
        <v>6790</v>
      </c>
      <c r="H40" s="40" t="s">
        <v>7015</v>
      </c>
      <c r="I40" s="39">
        <v>2</v>
      </c>
      <c r="J40" s="41">
        <v>44434.583333333343</v>
      </c>
      <c r="K40" s="41">
        <v>44578.583333333343</v>
      </c>
      <c r="M40" s="38">
        <v>4</v>
      </c>
      <c r="N40" s="55" t="s">
        <v>7016</v>
      </c>
      <c r="O40" s="55" t="s">
        <v>7017</v>
      </c>
      <c r="P40" s="55" t="s">
        <v>6790</v>
      </c>
      <c r="Q40" s="55" t="s">
        <v>6853</v>
      </c>
      <c r="R40" s="37">
        <v>2</v>
      </c>
      <c r="S40" s="41">
        <v>44427.395833333343</v>
      </c>
      <c r="T40" s="35" t="s">
        <v>81</v>
      </c>
      <c r="V40" s="38">
        <v>38</v>
      </c>
      <c r="W40" s="38" t="str">
        <f t="shared" si="4"/>
        <v>桃園市</v>
      </c>
      <c r="X40" s="45" t="s">
        <v>24</v>
      </c>
      <c r="Y40" s="45">
        <v>2</v>
      </c>
      <c r="Z40" s="45">
        <v>4999</v>
      </c>
      <c r="AA40" s="45" t="s">
        <v>7018</v>
      </c>
      <c r="AB40" s="45" t="s">
        <v>7019</v>
      </c>
      <c r="AC40" s="41">
        <v>44767.560416666667</v>
      </c>
      <c r="AD40" s="41">
        <v>44790.625</v>
      </c>
      <c r="AF40" s="38">
        <v>38</v>
      </c>
      <c r="AG40" s="38" t="str">
        <f t="shared" si="3"/>
        <v/>
      </c>
      <c r="AH40" s="45" t="s">
        <v>23</v>
      </c>
      <c r="AI40" s="46"/>
      <c r="AJ40" s="45">
        <v>3588</v>
      </c>
      <c r="AK40" s="45" t="s">
        <v>7020</v>
      </c>
      <c r="AL40" s="45" t="s">
        <v>7021</v>
      </c>
      <c r="AM40" s="41">
        <v>44733.488194444442</v>
      </c>
      <c r="AN40" s="41">
        <v>44767.458333333343</v>
      </c>
    </row>
    <row r="41" spans="1:40" ht="15.6" customHeight="1">
      <c r="D41" s="38">
        <v>39</v>
      </c>
      <c r="E41" s="39">
        <v>4729</v>
      </c>
      <c r="F41" s="40" t="s">
        <v>7022</v>
      </c>
      <c r="G41" s="40" t="s">
        <v>6826</v>
      </c>
      <c r="H41" s="40" t="s">
        <v>7023</v>
      </c>
      <c r="I41" s="39">
        <v>2</v>
      </c>
      <c r="J41" s="41">
        <v>44434.583333333343</v>
      </c>
      <c r="K41" s="41">
        <v>44578.583333333343</v>
      </c>
      <c r="M41" s="38">
        <v>5</v>
      </c>
      <c r="N41" s="42" t="s">
        <v>6914</v>
      </c>
      <c r="O41" s="42" t="s">
        <v>7024</v>
      </c>
      <c r="P41" s="42" t="s">
        <v>6808</v>
      </c>
      <c r="Q41" s="42" t="s">
        <v>7025</v>
      </c>
      <c r="R41" s="43">
        <v>1</v>
      </c>
      <c r="S41" s="44">
        <v>44431.583333333343</v>
      </c>
      <c r="T41" s="35" t="s">
        <v>81</v>
      </c>
      <c r="V41" s="38">
        <v>39</v>
      </c>
      <c r="W41" s="38" t="str">
        <f t="shared" si="4"/>
        <v>新竹縣</v>
      </c>
      <c r="X41" s="45" t="s">
        <v>24</v>
      </c>
      <c r="Y41" s="45">
        <v>2</v>
      </c>
      <c r="Z41" s="45">
        <v>5002</v>
      </c>
      <c r="AA41" s="45" t="s">
        <v>7026</v>
      </c>
      <c r="AB41" s="45" t="s">
        <v>7027</v>
      </c>
      <c r="AC41" s="41">
        <v>44777.468055555553</v>
      </c>
      <c r="AD41" s="41">
        <v>44795.458333333343</v>
      </c>
      <c r="AF41" s="38">
        <v>39</v>
      </c>
      <c r="AG41" s="38" t="str">
        <f t="shared" si="3"/>
        <v/>
      </c>
      <c r="AH41" s="45" t="s">
        <v>23</v>
      </c>
      <c r="AI41" s="46">
        <v>1</v>
      </c>
      <c r="AJ41" s="45" t="s">
        <v>7028</v>
      </c>
      <c r="AK41" s="45" t="s">
        <v>6973</v>
      </c>
      <c r="AL41" s="45" t="s">
        <v>7029</v>
      </c>
      <c r="AM41" s="41">
        <v>44757.459722222222</v>
      </c>
      <c r="AN41" s="41">
        <v>44771.458333333343</v>
      </c>
    </row>
    <row r="42" spans="1:40" ht="15.6" customHeight="1">
      <c r="D42" s="38">
        <v>40</v>
      </c>
      <c r="E42" s="39">
        <v>4596</v>
      </c>
      <c r="F42" s="40" t="s">
        <v>7030</v>
      </c>
      <c r="G42" s="40" t="s">
        <v>6756</v>
      </c>
      <c r="H42" s="40" t="s">
        <v>7031</v>
      </c>
      <c r="I42" s="39">
        <v>2</v>
      </c>
      <c r="J42" s="41">
        <v>44435.583333333343</v>
      </c>
      <c r="K42" s="41">
        <v>44607.458333333343</v>
      </c>
      <c r="M42" s="38">
        <v>6</v>
      </c>
      <c r="N42" s="55" t="s">
        <v>7032</v>
      </c>
      <c r="O42" s="55" t="s">
        <v>7033</v>
      </c>
      <c r="P42" s="55" t="s">
        <v>6756</v>
      </c>
      <c r="Q42" s="55" t="s">
        <v>6999</v>
      </c>
      <c r="R42" s="37">
        <v>2</v>
      </c>
      <c r="S42" s="41">
        <v>44432.375</v>
      </c>
      <c r="T42" s="35" t="s">
        <v>81</v>
      </c>
      <c r="V42" s="38">
        <v>40</v>
      </c>
      <c r="W42" s="38" t="str">
        <f t="shared" si="4"/>
        <v>雲林縣</v>
      </c>
      <c r="X42" s="45" t="s">
        <v>24</v>
      </c>
      <c r="Y42" s="45">
        <v>2</v>
      </c>
      <c r="Z42" s="45">
        <v>5029</v>
      </c>
      <c r="AA42" s="45" t="s">
        <v>7034</v>
      </c>
      <c r="AB42" s="45" t="s">
        <v>7035</v>
      </c>
      <c r="AC42" s="41">
        <v>44782.484027777777</v>
      </c>
      <c r="AD42" s="41">
        <v>44802.625</v>
      </c>
      <c r="AF42" s="38">
        <v>40</v>
      </c>
      <c r="AG42" s="38" t="str">
        <f t="shared" si="3"/>
        <v>新北市</v>
      </c>
      <c r="AH42" s="45" t="s">
        <v>23</v>
      </c>
      <c r="AI42" s="46">
        <v>2</v>
      </c>
      <c r="AJ42" s="45" t="s">
        <v>7036</v>
      </c>
      <c r="AK42" s="45" t="s">
        <v>7037</v>
      </c>
      <c r="AL42" s="45" t="s">
        <v>7038</v>
      </c>
      <c r="AM42" s="41">
        <v>44753.682638888888</v>
      </c>
      <c r="AN42" s="41">
        <v>44775.458333333343</v>
      </c>
    </row>
    <row r="43" spans="1:40" ht="15.6" customHeight="1">
      <c r="D43" s="38">
        <v>41</v>
      </c>
      <c r="E43" s="39">
        <v>4580</v>
      </c>
      <c r="F43" s="40" t="s">
        <v>7039</v>
      </c>
      <c r="G43" s="40" t="s">
        <v>6756</v>
      </c>
      <c r="H43" s="40" t="s">
        <v>7040</v>
      </c>
      <c r="I43" s="39">
        <v>2</v>
      </c>
      <c r="J43" s="41">
        <v>44435.583333333343</v>
      </c>
      <c r="K43" s="41">
        <v>44608.458333333343</v>
      </c>
      <c r="M43" s="38">
        <v>7</v>
      </c>
      <c r="N43" s="55" t="s">
        <v>7041</v>
      </c>
      <c r="O43" s="55" t="s">
        <v>7042</v>
      </c>
      <c r="P43" s="55" t="s">
        <v>6841</v>
      </c>
      <c r="Q43" s="55" t="s">
        <v>7043</v>
      </c>
      <c r="R43" s="37">
        <v>2</v>
      </c>
      <c r="S43" s="41">
        <v>44432.541666666657</v>
      </c>
      <c r="T43" s="35" t="s">
        <v>81</v>
      </c>
      <c r="V43" s="38">
        <v>41</v>
      </c>
      <c r="W43" s="38" t="str">
        <f t="shared" si="4"/>
        <v>高雄市</v>
      </c>
      <c r="X43" s="45" t="s">
        <v>24</v>
      </c>
      <c r="Y43" s="45">
        <v>2</v>
      </c>
      <c r="Z43" s="45">
        <v>5036</v>
      </c>
      <c r="AA43" s="45" t="s">
        <v>7044</v>
      </c>
      <c r="AB43" s="45" t="s">
        <v>7045</v>
      </c>
      <c r="AC43" s="41">
        <v>44789.367361111108</v>
      </c>
      <c r="AD43" s="41">
        <v>44802.625</v>
      </c>
      <c r="AF43" s="38">
        <v>41</v>
      </c>
      <c r="AG43" s="38" t="str">
        <f t="shared" si="3"/>
        <v>新竹市</v>
      </c>
      <c r="AH43" s="45" t="s">
        <v>23</v>
      </c>
      <c r="AI43" s="46">
        <v>2</v>
      </c>
      <c r="AJ43" s="45" t="s">
        <v>7046</v>
      </c>
      <c r="AK43" s="45" t="s">
        <v>7047</v>
      </c>
      <c r="AL43" s="45" t="s">
        <v>7048</v>
      </c>
      <c r="AM43" s="41">
        <v>44763.665277777778</v>
      </c>
      <c r="AN43" s="41">
        <v>44781.625</v>
      </c>
    </row>
    <row r="44" spans="1:40" ht="15.6" customHeight="1">
      <c r="D44" s="38">
        <v>42</v>
      </c>
      <c r="E44" s="39">
        <v>4860</v>
      </c>
      <c r="F44" s="40" t="s">
        <v>7049</v>
      </c>
      <c r="G44" s="40" t="s">
        <v>6792</v>
      </c>
      <c r="H44" s="40" t="s">
        <v>7050</v>
      </c>
      <c r="I44" s="39">
        <v>2</v>
      </c>
      <c r="J44" s="41">
        <v>44431.395833333343</v>
      </c>
      <c r="K44" s="41">
        <v>44615.4375</v>
      </c>
      <c r="M44" s="38">
        <v>8</v>
      </c>
      <c r="N44" s="55" t="s">
        <v>7051</v>
      </c>
      <c r="O44" s="55" t="s">
        <v>7052</v>
      </c>
      <c r="P44" s="55" t="s">
        <v>6774</v>
      </c>
      <c r="Q44" s="55" t="s">
        <v>6843</v>
      </c>
      <c r="R44" s="37">
        <v>0</v>
      </c>
      <c r="S44" s="41">
        <v>44785</v>
      </c>
      <c r="T44" s="35" t="s">
        <v>81</v>
      </c>
      <c r="V44" s="38">
        <v>42</v>
      </c>
      <c r="W44" s="38" t="str">
        <f t="shared" si="4"/>
        <v>台北市</v>
      </c>
      <c r="X44" s="45" t="s">
        <v>24</v>
      </c>
      <c r="Y44" s="45">
        <v>2</v>
      </c>
      <c r="Z44" s="45">
        <v>5023</v>
      </c>
      <c r="AA44" s="45" t="s">
        <v>7053</v>
      </c>
      <c r="AB44" s="45" t="s">
        <v>7054</v>
      </c>
      <c r="AC44" s="41">
        <v>44784.495833333327</v>
      </c>
      <c r="AD44" s="41">
        <v>44803.458333333343</v>
      </c>
      <c r="AF44" s="38">
        <v>42</v>
      </c>
      <c r="AG44" s="38" t="str">
        <f t="shared" si="3"/>
        <v>新北市</v>
      </c>
      <c r="AH44" s="45" t="s">
        <v>23</v>
      </c>
      <c r="AI44" s="46">
        <v>2</v>
      </c>
      <c r="AJ44" s="45" t="s">
        <v>7055</v>
      </c>
      <c r="AK44" s="45" t="s">
        <v>7056</v>
      </c>
      <c r="AL44" s="45" t="s">
        <v>7057</v>
      </c>
      <c r="AM44" s="41">
        <v>44764.447222222218</v>
      </c>
      <c r="AN44" s="41">
        <v>44782.458333333343</v>
      </c>
    </row>
    <row r="45" spans="1:40" ht="15.6" customHeight="1">
      <c r="D45" s="38">
        <v>43</v>
      </c>
      <c r="E45" s="39">
        <v>4869</v>
      </c>
      <c r="F45" s="40" t="s">
        <v>7058</v>
      </c>
      <c r="G45" s="40" t="s">
        <v>6792</v>
      </c>
      <c r="H45" s="40" t="s">
        <v>7059</v>
      </c>
      <c r="I45" s="39">
        <v>2</v>
      </c>
      <c r="J45" s="41">
        <v>44431.395833333343</v>
      </c>
      <c r="K45" s="41">
        <v>44616.458333333343</v>
      </c>
      <c r="M45" s="38">
        <v>9</v>
      </c>
      <c r="N45" s="55" t="s">
        <v>7060</v>
      </c>
      <c r="O45" s="55" t="s">
        <v>7061</v>
      </c>
      <c r="P45" s="55" t="s">
        <v>6792</v>
      </c>
      <c r="Q45" s="55" t="s">
        <v>6793</v>
      </c>
      <c r="R45" s="37">
        <v>0</v>
      </c>
      <c r="S45" s="41">
        <v>44791</v>
      </c>
      <c r="T45" s="35" t="s">
        <v>81</v>
      </c>
      <c r="V45" s="38">
        <v>43</v>
      </c>
      <c r="W45" s="38" t="str">
        <f t="shared" si="4"/>
        <v>新北市</v>
      </c>
      <c r="X45" s="45" t="s">
        <v>24</v>
      </c>
      <c r="Y45" s="45">
        <v>2</v>
      </c>
      <c r="Z45" s="45">
        <v>5040</v>
      </c>
      <c r="AA45" s="45" t="s">
        <v>7062</v>
      </c>
      <c r="AB45" s="45" t="s">
        <v>7063</v>
      </c>
      <c r="AC45" s="41">
        <v>44790.572222222218</v>
      </c>
      <c r="AD45" s="41">
        <v>44809.458333333343</v>
      </c>
      <c r="AF45" s="38">
        <v>43</v>
      </c>
      <c r="AG45" s="38" t="str">
        <f t="shared" si="3"/>
        <v/>
      </c>
      <c r="AH45" s="45" t="s">
        <v>23</v>
      </c>
      <c r="AI45" s="46"/>
      <c r="AJ45" s="45">
        <v>2385</v>
      </c>
      <c r="AK45" s="45" t="s">
        <v>7064</v>
      </c>
      <c r="AL45" s="45" t="s">
        <v>7065</v>
      </c>
      <c r="AM45" s="41">
        <v>44755.374305555553</v>
      </c>
      <c r="AN45" s="41">
        <v>44782.625</v>
      </c>
    </row>
    <row r="46" spans="1:40" ht="15.6" customHeight="1">
      <c r="D46" s="38">
        <v>44</v>
      </c>
      <c r="E46" s="39">
        <v>3542</v>
      </c>
      <c r="F46" s="40" t="s">
        <v>7066</v>
      </c>
      <c r="G46" s="40" t="s">
        <v>6841</v>
      </c>
      <c r="H46" s="40" t="s">
        <v>7067</v>
      </c>
      <c r="I46" s="39">
        <v>2</v>
      </c>
      <c r="J46" s="41">
        <v>44432.541666666657</v>
      </c>
      <c r="K46" s="41">
        <v>44608.479166666657</v>
      </c>
      <c r="M46" s="38">
        <v>10</v>
      </c>
      <c r="N46" s="55" t="s">
        <v>7068</v>
      </c>
      <c r="O46" s="55" t="s">
        <v>7069</v>
      </c>
      <c r="P46" s="55" t="s">
        <v>6765</v>
      </c>
      <c r="Q46" s="55" t="s">
        <v>6835</v>
      </c>
      <c r="R46" s="37">
        <v>0</v>
      </c>
      <c r="S46" s="41">
        <v>44791</v>
      </c>
      <c r="T46" s="35" t="s">
        <v>81</v>
      </c>
      <c r="V46" s="38">
        <v>44</v>
      </c>
      <c r="W46" s="38" t="str">
        <f t="shared" si="4"/>
        <v>桃園市</v>
      </c>
      <c r="X46" s="45" t="s">
        <v>24</v>
      </c>
      <c r="Y46" s="45">
        <v>2</v>
      </c>
      <c r="Z46" s="45">
        <v>5034</v>
      </c>
      <c r="AA46" s="45" t="s">
        <v>7070</v>
      </c>
      <c r="AB46" s="45" t="s">
        <v>7071</v>
      </c>
      <c r="AC46" s="41">
        <v>44804.740972222222</v>
      </c>
      <c r="AD46" s="41">
        <v>44823.458333333343</v>
      </c>
      <c r="AF46" s="38">
        <v>44</v>
      </c>
      <c r="AG46" s="38" t="str">
        <f t="shared" si="3"/>
        <v/>
      </c>
      <c r="AH46" s="45" t="s">
        <v>23</v>
      </c>
      <c r="AI46" s="46">
        <v>1</v>
      </c>
      <c r="AJ46" s="45" t="s">
        <v>7072</v>
      </c>
      <c r="AK46" s="45" t="s">
        <v>7073</v>
      </c>
      <c r="AL46" s="45" t="s">
        <v>7074</v>
      </c>
      <c r="AM46" s="41">
        <v>44756.419444444437</v>
      </c>
      <c r="AN46" s="41">
        <v>44783.458333333343</v>
      </c>
    </row>
    <row r="47" spans="1:40" ht="15.6" customHeight="1">
      <c r="D47" s="38">
        <v>45</v>
      </c>
      <c r="E47" s="39">
        <v>2562</v>
      </c>
      <c r="F47" s="40" t="s">
        <v>7075</v>
      </c>
      <c r="G47" s="40" t="s">
        <v>6792</v>
      </c>
      <c r="H47" s="40" t="s">
        <v>7076</v>
      </c>
      <c r="I47" s="39">
        <v>2</v>
      </c>
      <c r="J47" s="41">
        <v>44433.416666666657</v>
      </c>
      <c r="K47" s="41">
        <v>44610.451388888891</v>
      </c>
      <c r="M47" s="38">
        <v>11</v>
      </c>
      <c r="N47" s="55" t="s">
        <v>7077</v>
      </c>
      <c r="O47" s="55" t="s">
        <v>7078</v>
      </c>
      <c r="P47" s="55" t="s">
        <v>6850</v>
      </c>
      <c r="Q47" s="55" t="s">
        <v>6861</v>
      </c>
      <c r="R47" s="37">
        <v>2</v>
      </c>
      <c r="S47" s="41">
        <v>44792</v>
      </c>
      <c r="T47" s="35" t="s">
        <v>81</v>
      </c>
      <c r="V47" s="38">
        <v>45</v>
      </c>
      <c r="W47" s="38" t="str">
        <f t="shared" si="4"/>
        <v>桃園市</v>
      </c>
      <c r="X47" s="45" t="s">
        <v>24</v>
      </c>
      <c r="Y47" s="45">
        <v>2</v>
      </c>
      <c r="Z47" s="45">
        <v>5033</v>
      </c>
      <c r="AA47" s="45" t="s">
        <v>7079</v>
      </c>
      <c r="AB47" s="45" t="s">
        <v>7080</v>
      </c>
      <c r="AC47" s="41">
        <v>44810.676388888889</v>
      </c>
      <c r="AD47" s="41">
        <v>44831.458333333343</v>
      </c>
      <c r="AF47" s="38">
        <v>45</v>
      </c>
      <c r="AG47" s="38" t="str">
        <f t="shared" si="3"/>
        <v>台南市</v>
      </c>
      <c r="AH47" s="45" t="s">
        <v>23</v>
      </c>
      <c r="AI47" s="46">
        <v>2</v>
      </c>
      <c r="AJ47" s="45">
        <v>4613</v>
      </c>
      <c r="AK47" s="45" t="s">
        <v>7081</v>
      </c>
      <c r="AL47" s="45" t="s">
        <v>7082</v>
      </c>
      <c r="AM47" s="41">
        <v>44769.338194444441</v>
      </c>
      <c r="AN47" s="41">
        <v>44790.458333333343</v>
      </c>
    </row>
    <row r="48" spans="1:40" ht="15.6" customHeight="1">
      <c r="D48" s="38">
        <v>46</v>
      </c>
      <c r="E48" s="39">
        <v>2282</v>
      </c>
      <c r="F48" s="40" t="s">
        <v>7083</v>
      </c>
      <c r="G48" s="40" t="s">
        <v>6792</v>
      </c>
      <c r="H48" s="40" t="s">
        <v>6793</v>
      </c>
      <c r="I48" s="39">
        <v>2</v>
      </c>
      <c r="J48" s="41">
        <v>44434.395833333343</v>
      </c>
      <c r="K48" s="41">
        <v>44614.4375</v>
      </c>
      <c r="M48" s="38">
        <v>12</v>
      </c>
      <c r="N48" s="55" t="s">
        <v>7084</v>
      </c>
      <c r="O48" s="55" t="s">
        <v>7085</v>
      </c>
      <c r="P48" s="55" t="s">
        <v>6756</v>
      </c>
      <c r="Q48" s="55" t="s">
        <v>7086</v>
      </c>
      <c r="R48" s="37">
        <v>0</v>
      </c>
      <c r="S48" s="41">
        <v>44796</v>
      </c>
      <c r="T48" s="35" t="s">
        <v>81</v>
      </c>
      <c r="V48" s="38">
        <v>46</v>
      </c>
      <c r="W48" s="38" t="str">
        <f t="shared" si="4"/>
        <v>台南市</v>
      </c>
      <c r="X48" s="45" t="s">
        <v>24</v>
      </c>
      <c r="Y48" s="45">
        <v>2</v>
      </c>
      <c r="Z48" s="45">
        <v>5037</v>
      </c>
      <c r="AA48" s="45" t="s">
        <v>7087</v>
      </c>
      <c r="AB48" s="45" t="s">
        <v>7088</v>
      </c>
      <c r="AC48" s="41">
        <v>44805.624305555553</v>
      </c>
      <c r="AD48" s="41">
        <v>44832.625</v>
      </c>
      <c r="AF48" s="38">
        <v>46</v>
      </c>
      <c r="AG48" s="38" t="str">
        <f t="shared" si="3"/>
        <v/>
      </c>
      <c r="AH48" s="45" t="s">
        <v>23</v>
      </c>
      <c r="AI48" s="46"/>
      <c r="AJ48" s="45">
        <v>4985</v>
      </c>
      <c r="AK48" s="45" t="s">
        <v>7089</v>
      </c>
      <c r="AL48" s="45" t="s">
        <v>5154</v>
      </c>
      <c r="AM48" s="41">
        <v>44775.700694444437</v>
      </c>
      <c r="AN48" s="41">
        <v>44791.625</v>
      </c>
    </row>
    <row r="49" spans="4:40" ht="15.6" customHeight="1">
      <c r="D49" s="38">
        <v>47</v>
      </c>
      <c r="E49" s="39">
        <v>2166</v>
      </c>
      <c r="F49" s="40" t="s">
        <v>7090</v>
      </c>
      <c r="G49" s="40" t="s">
        <v>6792</v>
      </c>
      <c r="H49" s="40" t="s">
        <v>6955</v>
      </c>
      <c r="I49" s="39">
        <v>2</v>
      </c>
      <c r="J49" s="41">
        <v>44434.416666666657</v>
      </c>
      <c r="K49" s="41">
        <v>44609.451388888891</v>
      </c>
      <c r="N49" s="56"/>
      <c r="O49" s="57"/>
      <c r="P49" s="57"/>
      <c r="Q49" s="57"/>
      <c r="R49" s="57"/>
      <c r="S49" s="58"/>
      <c r="T49" s="58"/>
      <c r="V49" s="38">
        <v>47</v>
      </c>
      <c r="W49" s="38" t="str">
        <f t="shared" si="4"/>
        <v>台中市</v>
      </c>
      <c r="X49" s="45" t="s">
        <v>24</v>
      </c>
      <c r="Y49" s="45">
        <v>2</v>
      </c>
      <c r="Z49" s="45">
        <v>5038</v>
      </c>
      <c r="AA49" s="45" t="s">
        <v>7091</v>
      </c>
      <c r="AB49" s="45" t="s">
        <v>7092</v>
      </c>
      <c r="AC49" s="41">
        <v>44811.501388888893</v>
      </c>
      <c r="AD49" s="41">
        <v>44832.625</v>
      </c>
      <c r="AF49" s="38">
        <v>47</v>
      </c>
      <c r="AG49" s="38" t="str">
        <f t="shared" si="3"/>
        <v>新北市</v>
      </c>
      <c r="AH49" s="45" t="s">
        <v>23</v>
      </c>
      <c r="AI49" s="46">
        <v>2</v>
      </c>
      <c r="AJ49" s="45">
        <v>4836</v>
      </c>
      <c r="AK49" s="45" t="s">
        <v>7093</v>
      </c>
      <c r="AL49" s="45" t="s">
        <v>7094</v>
      </c>
      <c r="AM49" s="41">
        <v>44774.67291666667</v>
      </c>
      <c r="AN49" s="41">
        <v>44796.458333333343</v>
      </c>
    </row>
    <row r="50" spans="4:40" ht="15.6" customHeight="1">
      <c r="D50" s="38">
        <v>48</v>
      </c>
      <c r="E50" s="39">
        <v>4876</v>
      </c>
      <c r="F50" s="40" t="s">
        <v>7095</v>
      </c>
      <c r="G50" s="40" t="s">
        <v>6866</v>
      </c>
      <c r="H50" s="40" t="s">
        <v>7096</v>
      </c>
      <c r="I50" s="39">
        <v>2</v>
      </c>
      <c r="J50" s="41">
        <v>44435.458333333343</v>
      </c>
      <c r="K50" s="41">
        <v>44579.458333333343</v>
      </c>
      <c r="N50" s="56"/>
      <c r="O50" s="57"/>
      <c r="P50" s="57"/>
      <c r="Q50" s="57"/>
      <c r="R50" s="57"/>
      <c r="S50" s="58"/>
      <c r="T50" s="58"/>
      <c r="V50" s="38">
        <v>48</v>
      </c>
      <c r="W50" s="38" t="str">
        <f t="shared" si="4"/>
        <v>高雄市</v>
      </c>
      <c r="X50" s="45" t="s">
        <v>24</v>
      </c>
      <c r="Y50" s="45">
        <v>2</v>
      </c>
      <c r="Z50" s="45">
        <v>5030</v>
      </c>
      <c r="AA50" s="45" t="s">
        <v>7097</v>
      </c>
      <c r="AB50" s="45" t="s">
        <v>7098</v>
      </c>
      <c r="AC50" s="41">
        <v>44823.37777777778</v>
      </c>
      <c r="AD50" s="41">
        <v>44838.625</v>
      </c>
      <c r="AF50" s="38">
        <v>48</v>
      </c>
      <c r="AG50" s="38" t="str">
        <f t="shared" si="3"/>
        <v>台中市</v>
      </c>
      <c r="AH50" s="45" t="s">
        <v>23</v>
      </c>
      <c r="AI50" s="46">
        <v>2</v>
      </c>
      <c r="AJ50" s="45" t="s">
        <v>6859</v>
      </c>
      <c r="AK50" s="45" t="s">
        <v>6860</v>
      </c>
      <c r="AL50" s="45" t="s">
        <v>7099</v>
      </c>
      <c r="AM50" s="41">
        <v>44770.402083333327</v>
      </c>
      <c r="AN50" s="41">
        <v>44797.625</v>
      </c>
    </row>
    <row r="51" spans="4:40" ht="18" customHeight="1">
      <c r="D51" s="38">
        <v>49</v>
      </c>
      <c r="E51" s="39">
        <v>4644</v>
      </c>
      <c r="F51" s="40" t="s">
        <v>7100</v>
      </c>
      <c r="G51" s="40" t="s">
        <v>6735</v>
      </c>
      <c r="H51" s="40" t="s">
        <v>6736</v>
      </c>
      <c r="I51" s="39">
        <v>2</v>
      </c>
      <c r="J51" s="41">
        <v>44440.416666666657</v>
      </c>
      <c r="K51" s="41">
        <v>44607.416666666657</v>
      </c>
      <c r="M51" s="384" t="s">
        <v>7101</v>
      </c>
      <c r="N51" s="385"/>
      <c r="O51" s="385"/>
      <c r="P51" s="385"/>
      <c r="Q51" s="385"/>
      <c r="R51" s="385"/>
      <c r="S51" s="385"/>
      <c r="T51" s="58"/>
      <c r="V51" s="38">
        <v>49</v>
      </c>
      <c r="W51" s="38" t="str">
        <f t="shared" si="4"/>
        <v>台北市</v>
      </c>
      <c r="X51" s="45" t="s">
        <v>24</v>
      </c>
      <c r="Y51" s="45">
        <v>2</v>
      </c>
      <c r="Z51" s="45">
        <v>5006</v>
      </c>
      <c r="AA51" s="45" t="s">
        <v>7102</v>
      </c>
      <c r="AB51" s="45" t="s">
        <v>7103</v>
      </c>
      <c r="AC51" s="41">
        <v>44833.442361111112</v>
      </c>
      <c r="AD51" s="41">
        <v>44846.625</v>
      </c>
      <c r="AF51" s="38">
        <v>49</v>
      </c>
      <c r="AG51" s="38" t="str">
        <f t="shared" si="3"/>
        <v/>
      </c>
      <c r="AH51" s="45" t="s">
        <v>23</v>
      </c>
      <c r="AI51" s="46"/>
      <c r="AJ51" s="45">
        <v>4149</v>
      </c>
      <c r="AK51" s="45" t="s">
        <v>7104</v>
      </c>
      <c r="AL51" s="45" t="s">
        <v>7105</v>
      </c>
      <c r="AM51" s="41">
        <v>44783.388194444437</v>
      </c>
      <c r="AN51" s="41">
        <v>44798.458333333343</v>
      </c>
    </row>
    <row r="52" spans="4:40" ht="15.6" customHeight="1">
      <c r="D52" s="38">
        <v>50</v>
      </c>
      <c r="E52" s="39">
        <v>4657</v>
      </c>
      <c r="F52" s="40" t="s">
        <v>7106</v>
      </c>
      <c r="G52" s="40" t="s">
        <v>6735</v>
      </c>
      <c r="H52" s="40" t="s">
        <v>6918</v>
      </c>
      <c r="I52" s="39">
        <v>2</v>
      </c>
      <c r="J52" s="41">
        <v>44441.416666666657</v>
      </c>
      <c r="K52" s="41">
        <v>44578.479166666657</v>
      </c>
      <c r="M52" s="32" t="s">
        <v>284</v>
      </c>
      <c r="N52" s="32" t="s">
        <v>141</v>
      </c>
      <c r="O52" s="32" t="s">
        <v>142</v>
      </c>
      <c r="P52" s="32" t="s">
        <v>6725</v>
      </c>
      <c r="Q52" s="32" t="s">
        <v>6726</v>
      </c>
      <c r="R52" s="32" t="s">
        <v>6727</v>
      </c>
      <c r="S52" s="32" t="s">
        <v>6729</v>
      </c>
      <c r="T52" s="58"/>
      <c r="V52" s="38">
        <v>50</v>
      </c>
      <c r="W52" s="38" t="str">
        <f t="shared" si="4"/>
        <v>彰化縣</v>
      </c>
      <c r="X52" s="45" t="s">
        <v>24</v>
      </c>
      <c r="Y52" s="45">
        <v>2</v>
      </c>
      <c r="Z52" s="45">
        <v>5032</v>
      </c>
      <c r="AA52" s="45" t="s">
        <v>7107</v>
      </c>
      <c r="AB52" s="45" t="s">
        <v>7108</v>
      </c>
      <c r="AC52" s="41">
        <v>44837.378472222219</v>
      </c>
      <c r="AD52" s="41">
        <v>44847.625</v>
      </c>
      <c r="AF52" s="38">
        <v>50</v>
      </c>
      <c r="AG52" s="38"/>
      <c r="AH52" s="45" t="s">
        <v>23</v>
      </c>
      <c r="AI52" s="46"/>
      <c r="AJ52" s="45">
        <v>3890</v>
      </c>
      <c r="AK52" s="45" t="s">
        <v>821</v>
      </c>
      <c r="AL52" s="45" t="s">
        <v>5418</v>
      </c>
      <c r="AM52" s="41">
        <v>44806.726388888892</v>
      </c>
      <c r="AN52" s="41">
        <v>44806.770833333343</v>
      </c>
    </row>
    <row r="53" spans="4:40" ht="15.6" customHeight="1">
      <c r="D53" s="38">
        <v>51</v>
      </c>
      <c r="E53" s="39">
        <v>4013</v>
      </c>
      <c r="F53" s="40" t="s">
        <v>7109</v>
      </c>
      <c r="G53" s="40" t="s">
        <v>5281</v>
      </c>
      <c r="H53" s="40" t="s">
        <v>7110</v>
      </c>
      <c r="I53" s="39">
        <v>2</v>
      </c>
      <c r="J53" s="41">
        <v>44442.416666666657</v>
      </c>
      <c r="K53" s="41">
        <v>44609.4375</v>
      </c>
      <c r="M53" s="38">
        <v>1</v>
      </c>
      <c r="N53" s="38" t="s">
        <v>7111</v>
      </c>
      <c r="O53" s="55" t="s">
        <v>6758</v>
      </c>
      <c r="P53" s="55" t="s">
        <v>6735</v>
      </c>
      <c r="Q53" s="55" t="s">
        <v>6736</v>
      </c>
      <c r="R53" s="37">
        <v>0</v>
      </c>
      <c r="S53" s="41">
        <v>45078.416666666657</v>
      </c>
      <c r="T53" s="58" t="s">
        <v>47</v>
      </c>
      <c r="V53" s="38">
        <v>51</v>
      </c>
      <c r="W53" s="38" t="str">
        <f t="shared" si="4"/>
        <v>台北市</v>
      </c>
      <c r="X53" s="45" t="s">
        <v>24</v>
      </c>
      <c r="Y53" s="45">
        <v>2</v>
      </c>
      <c r="Z53" s="45">
        <v>5018</v>
      </c>
      <c r="AA53" s="45" t="s">
        <v>7112</v>
      </c>
      <c r="AB53" s="45" t="s">
        <v>7113</v>
      </c>
      <c r="AC53" s="41">
        <v>44833.513888888891</v>
      </c>
      <c r="AD53" s="41">
        <v>44853.625</v>
      </c>
      <c r="AF53" s="38">
        <v>51</v>
      </c>
      <c r="AG53" s="38" t="str">
        <f>IF(    AND((ISNA(VLOOKUP(AJ53,E:E,1,FALSE))),(ISNA(VLOOKUP(AJ53,N:N,1,FALSE))),(ISNA(VLOOKUP(AJ53,Z:Z,1,FALSE)))),"",LEFT(AL53,3))</f>
        <v>新北市</v>
      </c>
      <c r="AH53" s="45" t="s">
        <v>23</v>
      </c>
      <c r="AI53" s="46">
        <v>2</v>
      </c>
      <c r="AJ53" s="45">
        <v>3938</v>
      </c>
      <c r="AK53" s="45" t="s">
        <v>7114</v>
      </c>
      <c r="AL53" s="45" t="s">
        <v>7115</v>
      </c>
      <c r="AM53" s="41">
        <v>44790.650694444441</v>
      </c>
      <c r="AN53" s="41">
        <v>44810.458333333343</v>
      </c>
    </row>
    <row r="54" spans="4:40" ht="15.6" customHeight="1">
      <c r="D54" s="38">
        <v>52</v>
      </c>
      <c r="E54" s="39">
        <v>3147</v>
      </c>
      <c r="F54" s="40" t="s">
        <v>5234</v>
      </c>
      <c r="G54" s="40" t="s">
        <v>5281</v>
      </c>
      <c r="H54" s="40" t="s">
        <v>14</v>
      </c>
      <c r="I54" s="39">
        <v>2</v>
      </c>
      <c r="J54" s="41">
        <v>44438.583333333343</v>
      </c>
      <c r="K54" s="41">
        <v>44617.416666666657</v>
      </c>
      <c r="M54" s="38">
        <v>2</v>
      </c>
      <c r="N54" s="38" t="s">
        <v>7116</v>
      </c>
      <c r="O54" s="55" t="s">
        <v>7117</v>
      </c>
      <c r="P54" s="55" t="s">
        <v>5281</v>
      </c>
      <c r="Q54" s="55" t="s">
        <v>10</v>
      </c>
      <c r="R54" s="37">
        <v>0</v>
      </c>
      <c r="S54" s="41">
        <v>45134.625</v>
      </c>
      <c r="T54" s="58" t="s">
        <v>47</v>
      </c>
      <c r="V54" s="38">
        <v>52</v>
      </c>
      <c r="W54" s="38" t="str">
        <f t="shared" si="4"/>
        <v>桃園市</v>
      </c>
      <c r="X54" s="45" t="s">
        <v>24</v>
      </c>
      <c r="Y54" s="45">
        <v>2</v>
      </c>
      <c r="Z54" s="45">
        <v>4964</v>
      </c>
      <c r="AA54" s="45" t="s">
        <v>7118</v>
      </c>
      <c r="AB54" s="45" t="s">
        <v>7119</v>
      </c>
      <c r="AC54" s="41">
        <v>44832.388194444437</v>
      </c>
      <c r="AD54" s="41">
        <v>44861.458333333343</v>
      </c>
      <c r="AF54" s="38">
        <v>52</v>
      </c>
      <c r="AG54" s="38" t="str">
        <f t="shared" ref="AG54:AG85" si="5">IF( AND((ISNA(VLOOKUP(AJ54,E:E,1,FALSE))),(ISNA(VLOOKUP(AJ54,N:N,1,FALSE))),(ISNA(VLOOKUP(AJ54,Z:Z,1,FALSE)))),"",LEFT(AL54,3))</f>
        <v>台北市</v>
      </c>
      <c r="AH54" s="45" t="s">
        <v>23</v>
      </c>
      <c r="AI54" s="46">
        <v>2</v>
      </c>
      <c r="AJ54" s="45">
        <v>4053</v>
      </c>
      <c r="AK54" s="45" t="s">
        <v>7120</v>
      </c>
      <c r="AL54" s="45" t="s">
        <v>7121</v>
      </c>
      <c r="AM54" s="41">
        <v>44782.417361111111</v>
      </c>
      <c r="AN54" s="41">
        <v>44811.375</v>
      </c>
    </row>
    <row r="55" spans="4:40" ht="15.6" customHeight="1">
      <c r="D55" s="38">
        <v>53</v>
      </c>
      <c r="E55" s="39">
        <v>4640</v>
      </c>
      <c r="F55" s="40" t="s">
        <v>7122</v>
      </c>
      <c r="G55" s="40" t="s">
        <v>6735</v>
      </c>
      <c r="H55" s="40" t="s">
        <v>6810</v>
      </c>
      <c r="I55" s="39">
        <v>2</v>
      </c>
      <c r="J55" s="41">
        <v>44440.375</v>
      </c>
      <c r="K55" s="41">
        <v>44616.4375</v>
      </c>
      <c r="M55" s="38">
        <v>3</v>
      </c>
      <c r="N55" s="38" t="s">
        <v>7123</v>
      </c>
      <c r="O55" s="55" t="s">
        <v>7124</v>
      </c>
      <c r="P55" s="55" t="s">
        <v>6833</v>
      </c>
      <c r="Q55" s="55" t="s">
        <v>7086</v>
      </c>
      <c r="R55" s="37">
        <v>0</v>
      </c>
      <c r="S55" s="41">
        <v>45148.458333333343</v>
      </c>
      <c r="T55" s="58" t="s">
        <v>47</v>
      </c>
      <c r="V55" s="38">
        <v>53</v>
      </c>
      <c r="W55" s="38" t="str">
        <f t="shared" si="4"/>
        <v>台南市</v>
      </c>
      <c r="X55" s="45" t="s">
        <v>24</v>
      </c>
      <c r="Y55" s="45">
        <v>2</v>
      </c>
      <c r="Z55" s="45">
        <v>5044</v>
      </c>
      <c r="AA55" s="45" t="s">
        <v>7125</v>
      </c>
      <c r="AB55" s="45" t="s">
        <v>7126</v>
      </c>
      <c r="AC55" s="41">
        <v>44848.607638888891</v>
      </c>
      <c r="AD55" s="41">
        <v>44865.625</v>
      </c>
      <c r="AF55" s="38">
        <v>53</v>
      </c>
      <c r="AG55" s="38" t="str">
        <f t="shared" si="5"/>
        <v>桃園市</v>
      </c>
      <c r="AH55" s="45" t="s">
        <v>23</v>
      </c>
      <c r="AI55" s="46">
        <v>2</v>
      </c>
      <c r="AJ55" s="45">
        <v>4236</v>
      </c>
      <c r="AK55" s="45" t="s">
        <v>7127</v>
      </c>
      <c r="AL55" s="45" t="s">
        <v>7128</v>
      </c>
      <c r="AM55" s="41">
        <v>44805.604166666657</v>
      </c>
      <c r="AN55" s="41">
        <v>44819.625</v>
      </c>
    </row>
    <row r="56" spans="4:40" ht="15.6" customHeight="1">
      <c r="D56" s="38">
        <v>54</v>
      </c>
      <c r="E56" s="39">
        <v>4647</v>
      </c>
      <c r="F56" s="40" t="s">
        <v>7129</v>
      </c>
      <c r="G56" s="40" t="s">
        <v>6735</v>
      </c>
      <c r="H56" s="40" t="s">
        <v>6810</v>
      </c>
      <c r="I56" s="39">
        <v>2</v>
      </c>
      <c r="J56" s="41">
        <v>44440.583333333343</v>
      </c>
      <c r="K56" s="41">
        <v>44606.458333333343</v>
      </c>
      <c r="M56" s="38">
        <v>4</v>
      </c>
      <c r="N56" s="46" t="s">
        <v>7130</v>
      </c>
      <c r="O56" s="45" t="s">
        <v>7131</v>
      </c>
      <c r="P56" s="59" t="s">
        <v>6790</v>
      </c>
      <c r="Q56" s="59" t="s">
        <v>7132</v>
      </c>
      <c r="R56" s="37">
        <v>0</v>
      </c>
      <c r="S56" s="41">
        <v>45293.458333333343</v>
      </c>
      <c r="T56" s="58" t="s">
        <v>47</v>
      </c>
      <c r="V56" s="38">
        <v>54</v>
      </c>
      <c r="W56" s="38" t="str">
        <f t="shared" si="4"/>
        <v>台北市</v>
      </c>
      <c r="X56" s="45" t="s">
        <v>24</v>
      </c>
      <c r="Y56" s="45">
        <v>2</v>
      </c>
      <c r="Z56" s="45">
        <v>4972</v>
      </c>
      <c r="AA56" s="45" t="s">
        <v>7133</v>
      </c>
      <c r="AB56" s="45" t="s">
        <v>7134</v>
      </c>
      <c r="AC56" s="41">
        <v>44847.427083333343</v>
      </c>
      <c r="AD56" s="41">
        <v>44873.458333333343</v>
      </c>
      <c r="AF56" s="38">
        <v>54</v>
      </c>
      <c r="AG56" s="38" t="str">
        <f t="shared" si="5"/>
        <v>台北市</v>
      </c>
      <c r="AH56" s="45" t="s">
        <v>23</v>
      </c>
      <c r="AI56" s="46">
        <v>2</v>
      </c>
      <c r="AJ56" s="45">
        <v>3899</v>
      </c>
      <c r="AK56" s="45" t="s">
        <v>7135</v>
      </c>
      <c r="AL56" s="45" t="s">
        <v>7136</v>
      </c>
      <c r="AM56" s="41">
        <v>44790.658333333333</v>
      </c>
      <c r="AN56" s="41">
        <v>44820.458333333343</v>
      </c>
    </row>
    <row r="57" spans="4:40" ht="15.6" customHeight="1">
      <c r="D57" s="38">
        <v>55</v>
      </c>
      <c r="E57" s="39">
        <v>4883</v>
      </c>
      <c r="F57" s="40" t="s">
        <v>7137</v>
      </c>
      <c r="G57" s="40" t="s">
        <v>6735</v>
      </c>
      <c r="H57" s="40" t="s">
        <v>6810</v>
      </c>
      <c r="I57" s="39">
        <v>2</v>
      </c>
      <c r="J57" s="41">
        <v>44440.583333333343</v>
      </c>
      <c r="K57" s="41">
        <v>44616.416666666657</v>
      </c>
      <c r="M57" s="38">
        <v>5</v>
      </c>
      <c r="N57" s="46" t="s">
        <v>7138</v>
      </c>
      <c r="O57" s="45" t="s">
        <v>7139</v>
      </c>
      <c r="P57" s="59" t="s">
        <v>6735</v>
      </c>
      <c r="Q57" s="59" t="s">
        <v>6736</v>
      </c>
      <c r="R57" s="37">
        <v>0</v>
      </c>
      <c r="S57" s="41">
        <v>45309</v>
      </c>
      <c r="T57" s="58" t="s">
        <v>47</v>
      </c>
      <c r="V57" s="38">
        <v>55</v>
      </c>
      <c r="W57" s="38" t="str">
        <f t="shared" si="4"/>
        <v>新北市</v>
      </c>
      <c r="X57" s="45" t="s">
        <v>24</v>
      </c>
      <c r="Y57" s="45">
        <v>2</v>
      </c>
      <c r="Z57" s="45">
        <v>5046</v>
      </c>
      <c r="AA57" s="45" t="s">
        <v>7140</v>
      </c>
      <c r="AB57" s="45" t="s">
        <v>7141</v>
      </c>
      <c r="AC57" s="41">
        <v>44866.385416666657</v>
      </c>
      <c r="AD57" s="41">
        <v>44886.458333333343</v>
      </c>
      <c r="AF57" s="38">
        <v>55</v>
      </c>
      <c r="AG57" s="38" t="str">
        <f t="shared" si="5"/>
        <v>台北市</v>
      </c>
      <c r="AH57" s="45" t="s">
        <v>23</v>
      </c>
      <c r="AI57" s="46">
        <v>2</v>
      </c>
      <c r="AJ57" s="45">
        <v>2982</v>
      </c>
      <c r="AK57" s="45" t="s">
        <v>7142</v>
      </c>
      <c r="AL57" s="45" t="s">
        <v>7143</v>
      </c>
      <c r="AM57" s="41">
        <v>44806.474305555559</v>
      </c>
      <c r="AN57" s="41">
        <v>44824.458333333343</v>
      </c>
    </row>
    <row r="58" spans="4:40" ht="15.6" customHeight="1">
      <c r="D58" s="38">
        <v>56</v>
      </c>
      <c r="E58" s="39">
        <v>4845</v>
      </c>
      <c r="F58" s="40" t="s">
        <v>2288</v>
      </c>
      <c r="G58" s="40" t="s">
        <v>5281</v>
      </c>
      <c r="H58" s="40" t="s">
        <v>1</v>
      </c>
      <c r="I58" s="39">
        <v>2</v>
      </c>
      <c r="J58" s="41">
        <v>44441.583333333343</v>
      </c>
      <c r="K58" s="41">
        <v>44580.541666666657</v>
      </c>
      <c r="M58" s="38">
        <v>6</v>
      </c>
      <c r="N58" s="46" t="s">
        <v>7144</v>
      </c>
      <c r="O58" s="45" t="s">
        <v>7145</v>
      </c>
      <c r="P58" s="59" t="s">
        <v>6735</v>
      </c>
      <c r="Q58" s="59" t="s">
        <v>6810</v>
      </c>
      <c r="R58" s="37">
        <v>0</v>
      </c>
      <c r="S58" s="41">
        <v>45316</v>
      </c>
      <c r="T58" s="58" t="s">
        <v>47</v>
      </c>
      <c r="V58" s="38">
        <v>56</v>
      </c>
      <c r="W58" s="38" t="str">
        <f t="shared" si="4"/>
        <v>桃園市</v>
      </c>
      <c r="X58" s="45" t="s">
        <v>24</v>
      </c>
      <c r="Y58" s="45">
        <v>2</v>
      </c>
      <c r="Z58" s="45">
        <v>4896</v>
      </c>
      <c r="AA58" s="45" t="s">
        <v>7146</v>
      </c>
      <c r="AB58" s="45" t="s">
        <v>7147</v>
      </c>
      <c r="AC58" s="41">
        <v>44875.711805555547</v>
      </c>
      <c r="AD58" s="41">
        <v>44893.458333333343</v>
      </c>
      <c r="AF58" s="38">
        <v>56</v>
      </c>
      <c r="AG58" s="38" t="str">
        <f t="shared" si="5"/>
        <v>高雄市</v>
      </c>
      <c r="AH58" s="45" t="s">
        <v>23</v>
      </c>
      <c r="AI58" s="46">
        <v>2</v>
      </c>
      <c r="AJ58" s="45">
        <v>4860</v>
      </c>
      <c r="AK58" s="45" t="s">
        <v>7049</v>
      </c>
      <c r="AL58" s="45" t="s">
        <v>7148</v>
      </c>
      <c r="AM58" s="41">
        <v>44816.571527777778</v>
      </c>
      <c r="AN58" s="41">
        <v>44826.458333333343</v>
      </c>
    </row>
    <row r="59" spans="4:40" ht="15.6" customHeight="1">
      <c r="D59" s="38">
        <v>57</v>
      </c>
      <c r="E59" s="39">
        <v>2677</v>
      </c>
      <c r="F59" s="40" t="s">
        <v>6778</v>
      </c>
      <c r="G59" s="40" t="s">
        <v>5281</v>
      </c>
      <c r="H59" s="40" t="s">
        <v>10</v>
      </c>
      <c r="I59" s="39">
        <v>2</v>
      </c>
      <c r="J59" s="41">
        <v>44442.583333333343</v>
      </c>
      <c r="K59" s="41">
        <v>44614.458333333343</v>
      </c>
      <c r="M59" s="38">
        <v>7</v>
      </c>
      <c r="N59" s="46" t="s">
        <v>46</v>
      </c>
      <c r="O59" s="45" t="s">
        <v>337</v>
      </c>
      <c r="P59" s="59" t="s">
        <v>5281</v>
      </c>
      <c r="Q59" s="59" t="s">
        <v>13</v>
      </c>
      <c r="R59" s="37">
        <v>0</v>
      </c>
      <c r="S59" s="41">
        <v>45307</v>
      </c>
      <c r="T59" s="58" t="s">
        <v>47</v>
      </c>
      <c r="V59" s="38">
        <v>57</v>
      </c>
      <c r="W59" s="38" t="str">
        <f t="shared" si="4"/>
        <v>新竹市</v>
      </c>
      <c r="X59" s="45" t="s">
        <v>24</v>
      </c>
      <c r="Y59" s="45">
        <v>2</v>
      </c>
      <c r="Z59" s="45">
        <v>5028</v>
      </c>
      <c r="AA59" s="45" t="s">
        <v>7149</v>
      </c>
      <c r="AB59" s="45" t="s">
        <v>7150</v>
      </c>
      <c r="AC59" s="41">
        <v>44880.449305555558</v>
      </c>
      <c r="AD59" s="41">
        <v>44896.458333333343</v>
      </c>
      <c r="AF59" s="38">
        <v>57</v>
      </c>
      <c r="AG59" s="38" t="str">
        <f t="shared" si="5"/>
        <v>台北市</v>
      </c>
      <c r="AH59" s="45" t="s">
        <v>23</v>
      </c>
      <c r="AI59" s="46">
        <v>2</v>
      </c>
      <c r="AJ59" s="45">
        <v>4893</v>
      </c>
      <c r="AK59" s="45" t="s">
        <v>7151</v>
      </c>
      <c r="AL59" s="45" t="s">
        <v>7152</v>
      </c>
      <c r="AM59" s="41">
        <v>44819.660416666673</v>
      </c>
      <c r="AN59" s="41">
        <v>44839.375</v>
      </c>
    </row>
    <row r="60" spans="4:40" ht="15.6" customHeight="1">
      <c r="D60" s="38">
        <v>58</v>
      </c>
      <c r="E60" s="39">
        <v>4908</v>
      </c>
      <c r="F60" s="40" t="s">
        <v>7153</v>
      </c>
      <c r="G60" s="40" t="s">
        <v>6756</v>
      </c>
      <c r="H60" s="40" t="s">
        <v>6882</v>
      </c>
      <c r="I60" s="39">
        <v>2</v>
      </c>
      <c r="J60" s="41">
        <v>44439.583333333343</v>
      </c>
      <c r="K60" s="41">
        <v>44606.4375</v>
      </c>
      <c r="M60" s="38">
        <v>8</v>
      </c>
      <c r="N60" s="46" t="s">
        <v>49</v>
      </c>
      <c r="O60" s="45" t="s">
        <v>342</v>
      </c>
      <c r="P60" s="59" t="s">
        <v>5281</v>
      </c>
      <c r="Q60" s="59" t="s">
        <v>13</v>
      </c>
      <c r="R60" s="37">
        <v>0</v>
      </c>
      <c r="S60" s="41">
        <v>45307</v>
      </c>
      <c r="T60" s="58" t="s">
        <v>47</v>
      </c>
      <c r="V60" s="38">
        <v>58</v>
      </c>
      <c r="W60" s="38" t="str">
        <f t="shared" si="4"/>
        <v>彰化縣</v>
      </c>
      <c r="X60" s="45" t="s">
        <v>24</v>
      </c>
      <c r="Y60" s="45">
        <v>2</v>
      </c>
      <c r="Z60" s="45">
        <v>4990</v>
      </c>
      <c r="AA60" s="45" t="s">
        <v>7154</v>
      </c>
      <c r="AB60" s="45" t="s">
        <v>7155</v>
      </c>
      <c r="AC60" s="41">
        <v>44882.509722222218</v>
      </c>
      <c r="AD60" s="41">
        <v>44900.625</v>
      </c>
      <c r="AF60" s="38">
        <v>58</v>
      </c>
      <c r="AG60" s="38" t="str">
        <f t="shared" si="5"/>
        <v>新北市</v>
      </c>
      <c r="AH60" s="45" t="s">
        <v>23</v>
      </c>
      <c r="AI60" s="46">
        <v>2</v>
      </c>
      <c r="AJ60" s="45">
        <v>4328</v>
      </c>
      <c r="AK60" s="45" t="s">
        <v>7156</v>
      </c>
      <c r="AL60" s="45" t="s">
        <v>7157</v>
      </c>
      <c r="AM60" s="41">
        <v>44816.48333333333</v>
      </c>
      <c r="AN60" s="41">
        <v>44840.625</v>
      </c>
    </row>
    <row r="61" spans="4:40" ht="15.6" customHeight="1">
      <c r="D61" s="38">
        <v>59</v>
      </c>
      <c r="E61" s="39">
        <v>4828</v>
      </c>
      <c r="F61" s="40" t="s">
        <v>7158</v>
      </c>
      <c r="G61" s="40" t="s">
        <v>6816</v>
      </c>
      <c r="H61" s="40" t="s">
        <v>7159</v>
      </c>
      <c r="I61" s="39">
        <v>2</v>
      </c>
      <c r="J61" s="41">
        <v>44440.583333333343</v>
      </c>
      <c r="K61" s="41">
        <v>44609.458333333343</v>
      </c>
      <c r="M61" s="38">
        <v>9</v>
      </c>
      <c r="N61" s="46" t="s">
        <v>83</v>
      </c>
      <c r="O61" s="45" t="s">
        <v>1024</v>
      </c>
      <c r="P61" s="59" t="s">
        <v>5281</v>
      </c>
      <c r="Q61" s="59" t="s">
        <v>14</v>
      </c>
      <c r="R61" s="37">
        <v>0</v>
      </c>
      <c r="S61" s="41">
        <v>45310</v>
      </c>
      <c r="T61" s="58" t="s">
        <v>47</v>
      </c>
      <c r="V61" s="38">
        <v>59</v>
      </c>
      <c r="W61" s="38" t="str">
        <f t="shared" si="4"/>
        <v>宜蘭縣</v>
      </c>
      <c r="X61" s="45" t="s">
        <v>24</v>
      </c>
      <c r="Y61" s="45">
        <v>2</v>
      </c>
      <c r="Z61" s="45">
        <v>5049</v>
      </c>
      <c r="AA61" s="45" t="s">
        <v>7160</v>
      </c>
      <c r="AB61" s="45" t="s">
        <v>7161</v>
      </c>
      <c r="AC61" s="41">
        <v>44889.567361111112</v>
      </c>
      <c r="AD61" s="41">
        <v>44908.458333333343</v>
      </c>
      <c r="AF61" s="38">
        <v>59</v>
      </c>
      <c r="AG61" s="38" t="str">
        <f t="shared" si="5"/>
        <v>台北市</v>
      </c>
      <c r="AH61" s="45" t="s">
        <v>23</v>
      </c>
      <c r="AI61" s="46">
        <v>2</v>
      </c>
      <c r="AJ61" s="45">
        <v>2228</v>
      </c>
      <c r="AK61" s="45" t="s">
        <v>7162</v>
      </c>
      <c r="AL61" s="45" t="s">
        <v>7163</v>
      </c>
      <c r="AM61" s="41">
        <v>44820.688194444447</v>
      </c>
      <c r="AN61" s="41">
        <v>44854.458333333343</v>
      </c>
    </row>
    <row r="62" spans="4:40" ht="15.6" customHeight="1">
      <c r="D62" s="38">
        <v>60</v>
      </c>
      <c r="E62" s="39">
        <v>4882</v>
      </c>
      <c r="F62" s="40" t="s">
        <v>7164</v>
      </c>
      <c r="G62" s="40" t="s">
        <v>6756</v>
      </c>
      <c r="H62" s="40" t="s">
        <v>7165</v>
      </c>
      <c r="I62" s="39">
        <v>2</v>
      </c>
      <c r="J62" s="41">
        <v>44442.583333333343</v>
      </c>
      <c r="K62" s="41">
        <v>44607.4375</v>
      </c>
      <c r="M62" s="38">
        <v>10</v>
      </c>
      <c r="N62" s="46" t="s">
        <v>88</v>
      </c>
      <c r="O62" s="45" t="s">
        <v>5312</v>
      </c>
      <c r="P62" s="59" t="s">
        <v>5281</v>
      </c>
      <c r="Q62" s="59" t="s">
        <v>11</v>
      </c>
      <c r="R62" s="37">
        <v>0</v>
      </c>
      <c r="S62" s="41">
        <v>45310</v>
      </c>
      <c r="T62" s="58" t="s">
        <v>47</v>
      </c>
      <c r="V62" s="38">
        <v>60</v>
      </c>
      <c r="W62" s="38" t="str">
        <f t="shared" si="4"/>
        <v>屏東縣</v>
      </c>
      <c r="X62" s="45" t="s">
        <v>24</v>
      </c>
      <c r="Y62" s="45">
        <v>2</v>
      </c>
      <c r="Z62" s="45">
        <v>4707</v>
      </c>
      <c r="AA62" s="45" t="s">
        <v>7166</v>
      </c>
      <c r="AB62" s="45" t="s">
        <v>7167</v>
      </c>
      <c r="AC62" s="41">
        <v>44886.633333333331</v>
      </c>
      <c r="AD62" s="41">
        <v>44908.625</v>
      </c>
      <c r="AF62" s="38">
        <v>60</v>
      </c>
      <c r="AG62" s="38" t="str">
        <f t="shared" si="5"/>
        <v>桃園市</v>
      </c>
      <c r="AH62" s="45" t="s">
        <v>23</v>
      </c>
      <c r="AI62" s="46">
        <v>2</v>
      </c>
      <c r="AJ62" s="45">
        <v>4419</v>
      </c>
      <c r="AK62" s="45" t="s">
        <v>7168</v>
      </c>
      <c r="AL62" s="45" t="s">
        <v>7169</v>
      </c>
      <c r="AM62" s="41">
        <v>44845.477083333331</v>
      </c>
      <c r="AN62" s="41">
        <v>44854.625</v>
      </c>
    </row>
    <row r="63" spans="4:40" ht="15.6" customHeight="1">
      <c r="D63" s="38">
        <v>61</v>
      </c>
      <c r="E63" s="39">
        <v>4613</v>
      </c>
      <c r="F63" s="40" t="s">
        <v>7081</v>
      </c>
      <c r="G63" s="40" t="s">
        <v>6850</v>
      </c>
      <c r="H63" s="40" t="s">
        <v>6949</v>
      </c>
      <c r="I63" s="39">
        <v>2</v>
      </c>
      <c r="J63" s="41">
        <v>44441.541666666657</v>
      </c>
      <c r="K63" s="41">
        <v>44613.458333333343</v>
      </c>
      <c r="M63" s="38">
        <v>11</v>
      </c>
      <c r="N63" s="46" t="s">
        <v>68</v>
      </c>
      <c r="O63" s="45" t="s">
        <v>1899</v>
      </c>
      <c r="P63" s="59" t="s">
        <v>5281</v>
      </c>
      <c r="Q63" s="59" t="s">
        <v>11</v>
      </c>
      <c r="R63" s="37">
        <v>0</v>
      </c>
      <c r="S63" s="41">
        <v>45314</v>
      </c>
      <c r="T63" s="58" t="s">
        <v>47</v>
      </c>
      <c r="V63" s="38">
        <v>61</v>
      </c>
      <c r="W63" s="38" t="str">
        <f t="shared" si="4"/>
        <v>台中市</v>
      </c>
      <c r="X63" s="45" t="s">
        <v>24</v>
      </c>
      <c r="Y63" s="45">
        <v>2</v>
      </c>
      <c r="Z63" s="45">
        <v>5053</v>
      </c>
      <c r="AA63" s="45" t="s">
        <v>7170</v>
      </c>
      <c r="AB63" s="45" t="s">
        <v>7171</v>
      </c>
      <c r="AC63" s="41">
        <v>44886.7</v>
      </c>
      <c r="AD63" s="41">
        <v>44915.625</v>
      </c>
      <c r="AF63" s="38">
        <v>61</v>
      </c>
      <c r="AG63" s="38" t="str">
        <f t="shared" si="5"/>
        <v>新竹市</v>
      </c>
      <c r="AH63" s="45" t="s">
        <v>23</v>
      </c>
      <c r="AI63" s="46">
        <v>2</v>
      </c>
      <c r="AJ63" s="45" t="s">
        <v>7172</v>
      </c>
      <c r="AK63" s="45" t="s">
        <v>7173</v>
      </c>
      <c r="AL63" s="45" t="s">
        <v>7174</v>
      </c>
      <c r="AM63" s="41">
        <v>44838.604166666657</v>
      </c>
      <c r="AN63" s="41">
        <v>44858.625</v>
      </c>
    </row>
    <row r="64" spans="4:40" ht="15.6" customHeight="1">
      <c r="D64" s="38">
        <v>62</v>
      </c>
      <c r="E64" s="39">
        <v>3351</v>
      </c>
      <c r="F64" s="40" t="s">
        <v>7175</v>
      </c>
      <c r="G64" s="40" t="s">
        <v>6735</v>
      </c>
      <c r="H64" s="40" t="s">
        <v>7176</v>
      </c>
      <c r="I64" s="39">
        <v>2</v>
      </c>
      <c r="J64" s="41">
        <v>44452.4375</v>
      </c>
      <c r="K64" s="41">
        <v>44606.583333333343</v>
      </c>
      <c r="M64" s="38">
        <v>12</v>
      </c>
      <c r="N64" s="46" t="s">
        <v>75</v>
      </c>
      <c r="O64" s="45" t="s">
        <v>2235</v>
      </c>
      <c r="P64" s="59" t="s">
        <v>5281</v>
      </c>
      <c r="Q64" s="59" t="s">
        <v>6</v>
      </c>
      <c r="R64" s="37">
        <v>0</v>
      </c>
      <c r="S64" s="41">
        <v>45317</v>
      </c>
      <c r="T64" s="58" t="s">
        <v>47</v>
      </c>
      <c r="V64" s="38">
        <v>62</v>
      </c>
      <c r="W64" s="38" t="str">
        <f t="shared" si="4"/>
        <v>新竹縣</v>
      </c>
      <c r="X64" s="45" t="s">
        <v>24</v>
      </c>
      <c r="Y64" s="45">
        <v>2</v>
      </c>
      <c r="Z64" s="45">
        <v>5041</v>
      </c>
      <c r="AA64" s="45" t="s">
        <v>7177</v>
      </c>
      <c r="AB64" s="45" t="s">
        <v>7178</v>
      </c>
      <c r="AC64" s="41">
        <v>44897.511805555558</v>
      </c>
      <c r="AD64" s="41">
        <v>44917.458333333343</v>
      </c>
      <c r="AF64" s="38">
        <v>62</v>
      </c>
      <c r="AG64" s="38" t="str">
        <f t="shared" si="5"/>
        <v>台北市</v>
      </c>
      <c r="AH64" s="45" t="s">
        <v>23</v>
      </c>
      <c r="AI64" s="46">
        <v>2</v>
      </c>
      <c r="AJ64" s="45">
        <v>3836</v>
      </c>
      <c r="AK64" s="45" t="s">
        <v>7179</v>
      </c>
      <c r="AL64" s="45" t="s">
        <v>7180</v>
      </c>
      <c r="AM64" s="41">
        <v>44847.426388888889</v>
      </c>
      <c r="AN64" s="41">
        <v>44883.416666666657</v>
      </c>
    </row>
    <row r="65" spans="4:40" ht="15.6" customHeight="1">
      <c r="D65" s="38">
        <v>63</v>
      </c>
      <c r="E65" s="39">
        <v>2639</v>
      </c>
      <c r="F65" s="40" t="s">
        <v>7181</v>
      </c>
      <c r="G65" s="40" t="s">
        <v>6735</v>
      </c>
      <c r="H65" s="40" t="s">
        <v>7176</v>
      </c>
      <c r="I65" s="39">
        <v>2</v>
      </c>
      <c r="J65" s="41">
        <v>44452.458333333343</v>
      </c>
      <c r="K65" s="41">
        <v>44606.4375</v>
      </c>
      <c r="M65" s="38">
        <v>13</v>
      </c>
      <c r="N65" s="46" t="s">
        <v>7182</v>
      </c>
      <c r="O65" s="45" t="s">
        <v>7183</v>
      </c>
      <c r="P65" s="59" t="s">
        <v>6733</v>
      </c>
      <c r="Q65" s="59" t="s">
        <v>6748</v>
      </c>
      <c r="R65" s="37">
        <v>0</v>
      </c>
      <c r="S65" s="41">
        <v>45309</v>
      </c>
      <c r="T65" s="58" t="s">
        <v>47</v>
      </c>
      <c r="V65" s="38">
        <v>63</v>
      </c>
      <c r="W65" s="38" t="str">
        <f t="shared" si="4"/>
        <v>桃園市</v>
      </c>
      <c r="X65" s="45" t="s">
        <v>24</v>
      </c>
      <c r="Y65" s="45">
        <v>2</v>
      </c>
      <c r="Z65" s="45">
        <v>5031</v>
      </c>
      <c r="AA65" s="45" t="s">
        <v>5170</v>
      </c>
      <c r="AB65" s="45" t="s">
        <v>7184</v>
      </c>
      <c r="AC65" s="41">
        <v>44900.70416666667</v>
      </c>
      <c r="AD65" s="41">
        <v>44922.458333333343</v>
      </c>
      <c r="AF65" s="38">
        <v>63</v>
      </c>
      <c r="AG65" s="38" t="str">
        <f t="shared" si="5"/>
        <v>桃園市</v>
      </c>
      <c r="AH65" s="45" t="s">
        <v>23</v>
      </c>
      <c r="AI65" s="46">
        <v>2</v>
      </c>
      <c r="AJ65" s="45">
        <v>2628</v>
      </c>
      <c r="AK65" s="45" t="s">
        <v>7185</v>
      </c>
      <c r="AL65" s="45" t="s">
        <v>7186</v>
      </c>
      <c r="AM65" s="41">
        <v>44881.411111111112</v>
      </c>
      <c r="AN65" s="41">
        <v>44895.625</v>
      </c>
    </row>
    <row r="66" spans="4:40" ht="15.6" customHeight="1">
      <c r="D66" s="38">
        <v>64</v>
      </c>
      <c r="E66" s="39">
        <v>3643</v>
      </c>
      <c r="F66" s="40" t="s">
        <v>7187</v>
      </c>
      <c r="G66" s="40" t="s">
        <v>6733</v>
      </c>
      <c r="H66" s="40" t="s">
        <v>7188</v>
      </c>
      <c r="I66" s="39">
        <v>2</v>
      </c>
      <c r="J66" s="41">
        <v>44452.604166666657</v>
      </c>
      <c r="K66" s="41">
        <v>44614.583333333343</v>
      </c>
      <c r="M66" s="38">
        <v>14</v>
      </c>
      <c r="N66" s="46" t="s">
        <v>7189</v>
      </c>
      <c r="O66" s="45" t="s">
        <v>7190</v>
      </c>
      <c r="P66" s="59" t="s">
        <v>5281</v>
      </c>
      <c r="Q66" s="59" t="s">
        <v>6803</v>
      </c>
      <c r="R66" s="37">
        <v>0</v>
      </c>
      <c r="S66" s="41">
        <v>45316</v>
      </c>
      <c r="T66" s="58" t="s">
        <v>47</v>
      </c>
      <c r="V66" s="38">
        <v>64</v>
      </c>
      <c r="W66" s="38" t="str">
        <f t="shared" si="4"/>
        <v>新竹縣</v>
      </c>
      <c r="X66" s="45" t="s">
        <v>24</v>
      </c>
      <c r="Y66" s="45">
        <v>2</v>
      </c>
      <c r="Z66" s="45">
        <v>5051</v>
      </c>
      <c r="AA66" s="45" t="s">
        <v>7191</v>
      </c>
      <c r="AB66" s="45" t="s">
        <v>7192</v>
      </c>
      <c r="AC66" s="41">
        <v>44916.724999999999</v>
      </c>
      <c r="AD66" s="41">
        <v>44931.458333333343</v>
      </c>
      <c r="AF66" s="38">
        <v>64</v>
      </c>
      <c r="AG66" s="38" t="str">
        <f t="shared" si="5"/>
        <v/>
      </c>
      <c r="AH66" s="45" t="s">
        <v>23</v>
      </c>
      <c r="AI66" s="46">
        <v>1</v>
      </c>
      <c r="AJ66" s="45" t="s">
        <v>7193</v>
      </c>
      <c r="AK66" s="45" t="s">
        <v>7194</v>
      </c>
      <c r="AL66" s="45" t="s">
        <v>7195</v>
      </c>
      <c r="AM66" s="41">
        <v>44888.458333333343</v>
      </c>
      <c r="AN66" s="41">
        <v>44901.458333333343</v>
      </c>
    </row>
    <row r="67" spans="4:40" ht="15.6" customHeight="1">
      <c r="D67" s="38">
        <v>65</v>
      </c>
      <c r="E67" s="39" t="s">
        <v>7196</v>
      </c>
      <c r="F67" s="40" t="s">
        <v>7197</v>
      </c>
      <c r="G67" s="40" t="s">
        <v>6735</v>
      </c>
      <c r="H67" s="40" t="s">
        <v>6736</v>
      </c>
      <c r="I67" s="39">
        <v>2</v>
      </c>
      <c r="J67" s="41">
        <v>44453.4375</v>
      </c>
      <c r="K67" s="41">
        <v>44607.4375</v>
      </c>
      <c r="M67" s="38">
        <v>15</v>
      </c>
      <c r="N67" s="46" t="s">
        <v>84</v>
      </c>
      <c r="O67" s="45" t="s">
        <v>5193</v>
      </c>
      <c r="P67" s="59" t="s">
        <v>6765</v>
      </c>
      <c r="Q67" s="59" t="s">
        <v>9</v>
      </c>
      <c r="R67" s="37">
        <v>0</v>
      </c>
      <c r="S67" s="41">
        <v>45307</v>
      </c>
      <c r="T67" s="58" t="s">
        <v>47</v>
      </c>
      <c r="V67" s="38">
        <v>65</v>
      </c>
      <c r="W67" s="38" t="str">
        <f t="shared" ref="W67:W98" si="6">LEFT(AB67,3)</f>
        <v>屏東縣</v>
      </c>
      <c r="X67" s="45" t="s">
        <v>24</v>
      </c>
      <c r="Y67" s="45">
        <v>2</v>
      </c>
      <c r="Z67" s="45">
        <v>4942</v>
      </c>
      <c r="AA67" s="45" t="s">
        <v>7198</v>
      </c>
      <c r="AB67" s="45" t="s">
        <v>7199</v>
      </c>
      <c r="AC67" s="41">
        <v>44916.443749999999</v>
      </c>
      <c r="AD67" s="41">
        <v>44935.625</v>
      </c>
      <c r="AF67" s="38">
        <v>65</v>
      </c>
      <c r="AG67" s="38" t="str">
        <f t="shared" si="5"/>
        <v/>
      </c>
      <c r="AH67" s="45" t="s">
        <v>23</v>
      </c>
      <c r="AI67" s="46">
        <v>1</v>
      </c>
      <c r="AJ67" s="45" t="s">
        <v>7200</v>
      </c>
      <c r="AK67" s="45" t="s">
        <v>7201</v>
      </c>
      <c r="AL67" s="45" t="s">
        <v>7202</v>
      </c>
      <c r="AM67" s="41">
        <v>44888.459722222222</v>
      </c>
      <c r="AN67" s="41">
        <v>44901.458333333343</v>
      </c>
    </row>
    <row r="68" spans="4:40" ht="15.6" customHeight="1">
      <c r="D68" s="38">
        <v>66</v>
      </c>
      <c r="E68" s="39">
        <v>3870</v>
      </c>
      <c r="F68" s="40" t="s">
        <v>7203</v>
      </c>
      <c r="G68" s="40" t="s">
        <v>6735</v>
      </c>
      <c r="H68" s="40" t="s">
        <v>6736</v>
      </c>
      <c r="I68" s="39">
        <v>2</v>
      </c>
      <c r="J68" s="41">
        <v>44453.5625</v>
      </c>
      <c r="K68" s="41">
        <v>44608.4375</v>
      </c>
      <c r="M68" s="38">
        <v>16</v>
      </c>
      <c r="N68" s="46" t="s">
        <v>85</v>
      </c>
      <c r="O68" s="45" t="s">
        <v>5195</v>
      </c>
      <c r="P68" s="59" t="s">
        <v>6765</v>
      </c>
      <c r="Q68" s="59" t="s">
        <v>9</v>
      </c>
      <c r="R68" s="37">
        <v>0</v>
      </c>
      <c r="S68" s="41">
        <v>45307</v>
      </c>
      <c r="T68" s="58" t="s">
        <v>47</v>
      </c>
      <c r="V68" s="38">
        <v>66</v>
      </c>
      <c r="W68" s="38" t="str">
        <f t="shared" si="6"/>
        <v>新北市</v>
      </c>
      <c r="X68" s="45" t="s">
        <v>24</v>
      </c>
      <c r="Y68" s="45">
        <v>2</v>
      </c>
      <c r="Z68" s="45">
        <v>5052</v>
      </c>
      <c r="AA68" s="45" t="s">
        <v>7204</v>
      </c>
      <c r="AB68" s="45" t="s">
        <v>7205</v>
      </c>
      <c r="AC68" s="41">
        <v>44917.458333333343</v>
      </c>
      <c r="AD68" s="41">
        <v>44936.458333333343</v>
      </c>
      <c r="AF68" s="38">
        <v>66</v>
      </c>
      <c r="AG68" s="38" t="str">
        <f t="shared" si="5"/>
        <v/>
      </c>
      <c r="AH68" s="45" t="s">
        <v>23</v>
      </c>
      <c r="AI68" s="46">
        <v>1</v>
      </c>
      <c r="AJ68" s="45" t="s">
        <v>7206</v>
      </c>
      <c r="AK68" s="45" t="s">
        <v>7207</v>
      </c>
      <c r="AL68" s="45" t="s">
        <v>7208</v>
      </c>
      <c r="AM68" s="41">
        <v>44888.493750000001</v>
      </c>
      <c r="AN68" s="41">
        <v>44901.458333333343</v>
      </c>
    </row>
    <row r="69" spans="4:40" ht="15.6" customHeight="1">
      <c r="D69" s="38">
        <v>67</v>
      </c>
      <c r="E69" s="39">
        <v>4585</v>
      </c>
      <c r="F69" s="40" t="s">
        <v>7209</v>
      </c>
      <c r="G69" s="40" t="s">
        <v>6738</v>
      </c>
      <c r="H69" s="40" t="s">
        <v>6739</v>
      </c>
      <c r="I69" s="39">
        <v>2</v>
      </c>
      <c r="J69" s="41">
        <v>44454.458333333343</v>
      </c>
      <c r="K69" s="41">
        <v>44578.4375</v>
      </c>
      <c r="M69" s="38">
        <v>17</v>
      </c>
      <c r="N69" s="46" t="s">
        <v>7210</v>
      </c>
      <c r="O69" s="45" t="s">
        <v>7211</v>
      </c>
      <c r="P69" s="59" t="s">
        <v>6765</v>
      </c>
      <c r="Q69" s="59" t="s">
        <v>6835</v>
      </c>
      <c r="R69" s="37">
        <v>0</v>
      </c>
      <c r="S69" s="41">
        <v>45321</v>
      </c>
      <c r="T69" s="58" t="s">
        <v>47</v>
      </c>
      <c r="V69" s="38">
        <v>67</v>
      </c>
      <c r="W69" s="38" t="str">
        <f t="shared" si="6"/>
        <v>台中市</v>
      </c>
      <c r="X69" s="45" t="s">
        <v>24</v>
      </c>
      <c r="Y69" s="45">
        <v>2</v>
      </c>
      <c r="Z69" s="45">
        <v>4994</v>
      </c>
      <c r="AA69" s="45" t="s">
        <v>7212</v>
      </c>
      <c r="AB69" s="45" t="s">
        <v>7213</v>
      </c>
      <c r="AC69" s="41">
        <v>44923.489583333343</v>
      </c>
      <c r="AD69" s="41">
        <v>44936.625</v>
      </c>
      <c r="AF69" s="38">
        <v>67</v>
      </c>
      <c r="AG69" s="38" t="str">
        <f t="shared" si="5"/>
        <v/>
      </c>
      <c r="AH69" s="45" t="s">
        <v>23</v>
      </c>
      <c r="AI69" s="46">
        <v>1</v>
      </c>
      <c r="AJ69" s="45" t="s">
        <v>7214</v>
      </c>
      <c r="AK69" s="45" t="s">
        <v>7215</v>
      </c>
      <c r="AL69" s="45" t="s">
        <v>7216</v>
      </c>
      <c r="AM69" s="41">
        <v>44888.569444444453</v>
      </c>
      <c r="AN69" s="41">
        <v>44901.458333333343</v>
      </c>
    </row>
    <row r="70" spans="4:40" ht="15.6" customHeight="1">
      <c r="D70" s="38">
        <v>68</v>
      </c>
      <c r="E70" s="39" t="s">
        <v>7217</v>
      </c>
      <c r="F70" s="40" t="s">
        <v>7218</v>
      </c>
      <c r="G70" s="40" t="s">
        <v>6735</v>
      </c>
      <c r="H70" s="40" t="s">
        <v>6736</v>
      </c>
      <c r="I70" s="39">
        <v>2</v>
      </c>
      <c r="J70" s="41">
        <v>44454.458333333343</v>
      </c>
      <c r="K70" s="41">
        <v>44608.416666666657</v>
      </c>
      <c r="M70" s="38">
        <v>18</v>
      </c>
      <c r="N70" s="46" t="s">
        <v>7219</v>
      </c>
      <c r="O70" s="45" t="s">
        <v>7220</v>
      </c>
      <c r="P70" s="59" t="s">
        <v>6765</v>
      </c>
      <c r="Q70" s="59" t="s">
        <v>6837</v>
      </c>
      <c r="R70" s="37">
        <v>0</v>
      </c>
      <c r="S70" s="41">
        <v>45321</v>
      </c>
      <c r="T70" s="58" t="s">
        <v>47</v>
      </c>
      <c r="V70" s="38">
        <v>68</v>
      </c>
      <c r="W70" s="38" t="str">
        <f t="shared" si="6"/>
        <v>桃園市</v>
      </c>
      <c r="X70" s="45" t="s">
        <v>24</v>
      </c>
      <c r="Y70" s="45">
        <v>2</v>
      </c>
      <c r="Z70" s="45">
        <v>5054</v>
      </c>
      <c r="AA70" s="45" t="s">
        <v>7221</v>
      </c>
      <c r="AB70" s="45" t="s">
        <v>7222</v>
      </c>
      <c r="AC70" s="41">
        <v>44922.480555555558</v>
      </c>
      <c r="AD70" s="41">
        <v>44938.458333333343</v>
      </c>
      <c r="AF70" s="38">
        <v>68</v>
      </c>
      <c r="AG70" s="38" t="str">
        <f t="shared" si="5"/>
        <v/>
      </c>
      <c r="AH70" s="45" t="s">
        <v>23</v>
      </c>
      <c r="AI70" s="46">
        <v>1</v>
      </c>
      <c r="AJ70" s="45" t="s">
        <v>7223</v>
      </c>
      <c r="AK70" s="45" t="s">
        <v>7224</v>
      </c>
      <c r="AL70" s="45" t="s">
        <v>7225</v>
      </c>
      <c r="AM70" s="41">
        <v>44888.569444444453</v>
      </c>
      <c r="AN70" s="41">
        <v>44901.458333333343</v>
      </c>
    </row>
    <row r="71" spans="4:40" ht="15.6" customHeight="1">
      <c r="D71" s="38">
        <v>69</v>
      </c>
      <c r="E71" s="39">
        <v>4536</v>
      </c>
      <c r="F71" s="40" t="s">
        <v>2922</v>
      </c>
      <c r="G71" s="40" t="s">
        <v>5281</v>
      </c>
      <c r="H71" s="40" t="s">
        <v>15</v>
      </c>
      <c r="I71" s="39">
        <v>2</v>
      </c>
      <c r="J71" s="41">
        <v>44455.4375</v>
      </c>
      <c r="K71" s="41">
        <v>44610.4375</v>
      </c>
      <c r="M71" s="38">
        <v>19</v>
      </c>
      <c r="N71" s="46" t="s">
        <v>7226</v>
      </c>
      <c r="O71" s="45" t="s">
        <v>6910</v>
      </c>
      <c r="P71" s="59" t="s">
        <v>6756</v>
      </c>
      <c r="Q71" s="59" t="s">
        <v>6911</v>
      </c>
      <c r="R71" s="37">
        <v>0</v>
      </c>
      <c r="S71" s="41">
        <v>45308</v>
      </c>
      <c r="T71" s="58" t="s">
        <v>47</v>
      </c>
      <c r="V71" s="38">
        <v>69</v>
      </c>
      <c r="W71" s="38" t="str">
        <f t="shared" si="6"/>
        <v>彰化縣</v>
      </c>
      <c r="X71" s="45" t="s">
        <v>24</v>
      </c>
      <c r="Y71" s="45">
        <v>2</v>
      </c>
      <c r="Z71" s="45">
        <v>5045</v>
      </c>
      <c r="AA71" s="45" t="s">
        <v>7227</v>
      </c>
      <c r="AB71" s="45" t="s">
        <v>7228</v>
      </c>
      <c r="AC71" s="41">
        <v>44923.581250000003</v>
      </c>
      <c r="AD71" s="41">
        <v>44938.625</v>
      </c>
      <c r="AF71" s="38">
        <v>69</v>
      </c>
      <c r="AG71" s="38" t="str">
        <f t="shared" si="5"/>
        <v/>
      </c>
      <c r="AH71" s="45" t="s">
        <v>23</v>
      </c>
      <c r="AI71" s="46">
        <v>1</v>
      </c>
      <c r="AJ71" s="45" t="s">
        <v>7229</v>
      </c>
      <c r="AK71" s="45" t="s">
        <v>6941</v>
      </c>
      <c r="AL71" s="45" t="s">
        <v>7230</v>
      </c>
      <c r="AM71" s="41">
        <v>44902.603472222218</v>
      </c>
      <c r="AN71" s="41">
        <v>44915.416666666657</v>
      </c>
    </row>
    <row r="72" spans="4:40" ht="15.6" customHeight="1">
      <c r="D72" s="38">
        <v>70</v>
      </c>
      <c r="E72" s="39">
        <v>4617</v>
      </c>
      <c r="F72" s="40" t="s">
        <v>7231</v>
      </c>
      <c r="G72" s="40" t="s">
        <v>6735</v>
      </c>
      <c r="H72" s="40" t="s">
        <v>7232</v>
      </c>
      <c r="I72" s="39">
        <v>2</v>
      </c>
      <c r="J72" s="41">
        <v>44455.5625</v>
      </c>
      <c r="K72" s="41">
        <v>44613.583333333343</v>
      </c>
      <c r="M72" s="38">
        <v>20</v>
      </c>
      <c r="N72" s="46" t="s">
        <v>7233</v>
      </c>
      <c r="O72" s="45" t="s">
        <v>6933</v>
      </c>
      <c r="P72" s="59" t="s">
        <v>6808</v>
      </c>
      <c r="Q72" s="59" t="s">
        <v>6899</v>
      </c>
      <c r="R72" s="37">
        <v>0</v>
      </c>
      <c r="S72" s="41">
        <v>45309</v>
      </c>
      <c r="T72" s="58" t="s">
        <v>47</v>
      </c>
      <c r="V72" s="38">
        <v>70</v>
      </c>
      <c r="W72" s="38" t="str">
        <f t="shared" si="6"/>
        <v>新北市</v>
      </c>
      <c r="X72" s="45" t="s">
        <v>24</v>
      </c>
      <c r="Y72" s="45">
        <v>2</v>
      </c>
      <c r="Z72" s="45">
        <v>5057</v>
      </c>
      <c r="AA72" s="45" t="s">
        <v>1355</v>
      </c>
      <c r="AB72" s="45" t="s">
        <v>5347</v>
      </c>
      <c r="AC72" s="41">
        <v>44930.443055555559</v>
      </c>
      <c r="AD72" s="41">
        <v>44943.458333333343</v>
      </c>
      <c r="AF72" s="38">
        <v>70</v>
      </c>
      <c r="AG72" s="38" t="str">
        <f t="shared" si="5"/>
        <v>桃園市</v>
      </c>
      <c r="AH72" s="45" t="s">
        <v>23</v>
      </c>
      <c r="AI72" s="46">
        <v>2</v>
      </c>
      <c r="AJ72" s="45" t="s">
        <v>7234</v>
      </c>
      <c r="AK72" s="45" t="s">
        <v>7235</v>
      </c>
      <c r="AL72" s="45" t="s">
        <v>7236</v>
      </c>
      <c r="AM72" s="41">
        <v>44902.588194444441</v>
      </c>
      <c r="AN72" s="41">
        <v>44921.625</v>
      </c>
    </row>
    <row r="73" spans="4:40" ht="15.6" customHeight="1">
      <c r="D73" s="38">
        <v>71</v>
      </c>
      <c r="E73" s="39">
        <v>3597</v>
      </c>
      <c r="F73" s="40" t="s">
        <v>7237</v>
      </c>
      <c r="G73" s="40" t="s">
        <v>6735</v>
      </c>
      <c r="H73" s="40" t="s">
        <v>6897</v>
      </c>
      <c r="I73" s="39">
        <v>2</v>
      </c>
      <c r="J73" s="41">
        <v>44456.4375</v>
      </c>
      <c r="K73" s="41">
        <v>44609.583333333343</v>
      </c>
      <c r="M73" s="38">
        <v>21</v>
      </c>
      <c r="N73" s="46" t="s">
        <v>7238</v>
      </c>
      <c r="O73" s="45" t="s">
        <v>7239</v>
      </c>
      <c r="P73" s="59" t="s">
        <v>6808</v>
      </c>
      <c r="Q73" s="59" t="s">
        <v>7025</v>
      </c>
      <c r="R73" s="37">
        <v>0</v>
      </c>
      <c r="S73" s="41">
        <v>45310</v>
      </c>
      <c r="T73" s="58" t="s">
        <v>47</v>
      </c>
      <c r="V73" s="38">
        <v>71</v>
      </c>
      <c r="W73" s="38" t="str">
        <f t="shared" si="6"/>
        <v>新北市</v>
      </c>
      <c r="X73" s="45" t="s">
        <v>24</v>
      </c>
      <c r="Y73" s="45">
        <v>2</v>
      </c>
      <c r="Z73" s="45">
        <v>4979</v>
      </c>
      <c r="AA73" s="45" t="s">
        <v>7240</v>
      </c>
      <c r="AB73" s="45" t="s">
        <v>7241</v>
      </c>
      <c r="AC73" s="41">
        <v>44945.470138888893</v>
      </c>
      <c r="AD73" s="41">
        <v>44970.458333333343</v>
      </c>
      <c r="AF73" s="38">
        <v>71</v>
      </c>
      <c r="AG73" s="38" t="str">
        <f t="shared" si="5"/>
        <v>苗栗縣</v>
      </c>
      <c r="AH73" s="45" t="s">
        <v>23</v>
      </c>
      <c r="AI73" s="46">
        <v>2</v>
      </c>
      <c r="AJ73" s="45">
        <v>4018</v>
      </c>
      <c r="AK73" s="45" t="s">
        <v>7242</v>
      </c>
      <c r="AL73" s="45" t="s">
        <v>7243</v>
      </c>
      <c r="AM73" s="41">
        <v>44897.621527777781</v>
      </c>
      <c r="AN73" s="41">
        <v>44922.458333333343</v>
      </c>
    </row>
    <row r="74" spans="4:40" ht="15.6" customHeight="1">
      <c r="D74" s="38">
        <v>72</v>
      </c>
      <c r="E74" s="39">
        <v>4633</v>
      </c>
      <c r="F74" s="40" t="s">
        <v>7244</v>
      </c>
      <c r="G74" s="40" t="s">
        <v>6735</v>
      </c>
      <c r="H74" s="40" t="s">
        <v>7176</v>
      </c>
      <c r="I74" s="39">
        <v>2</v>
      </c>
      <c r="J74" s="41">
        <v>44456.458333333343</v>
      </c>
      <c r="K74" s="41">
        <v>44606.416666666657</v>
      </c>
      <c r="M74" s="38">
        <v>22</v>
      </c>
      <c r="N74" s="46" t="s">
        <v>7245</v>
      </c>
      <c r="O74" s="45" t="s">
        <v>7246</v>
      </c>
      <c r="P74" s="59" t="s">
        <v>6756</v>
      </c>
      <c r="Q74" s="59" t="s">
        <v>6920</v>
      </c>
      <c r="R74" s="37">
        <v>0</v>
      </c>
      <c r="S74" s="41">
        <v>45314</v>
      </c>
      <c r="T74" s="58" t="s">
        <v>47</v>
      </c>
      <c r="V74" s="38">
        <v>72</v>
      </c>
      <c r="W74" s="38" t="str">
        <f t="shared" si="6"/>
        <v>桃園市</v>
      </c>
      <c r="X74" s="45" t="s">
        <v>24</v>
      </c>
      <c r="Y74" s="45">
        <v>2</v>
      </c>
      <c r="Z74" s="45">
        <v>5050</v>
      </c>
      <c r="AA74" s="45" t="s">
        <v>7247</v>
      </c>
      <c r="AB74" s="45" t="s">
        <v>7248</v>
      </c>
      <c r="AC74" s="41">
        <v>44959.445138888892</v>
      </c>
      <c r="AD74" s="41">
        <v>44977.458333333343</v>
      </c>
      <c r="AF74" s="38">
        <v>72</v>
      </c>
      <c r="AG74" s="38" t="str">
        <f t="shared" si="5"/>
        <v>新北市</v>
      </c>
      <c r="AH74" s="45" t="s">
        <v>23</v>
      </c>
      <c r="AI74" s="46">
        <v>2</v>
      </c>
      <c r="AJ74" s="45">
        <v>5046</v>
      </c>
      <c r="AK74" s="45" t="s">
        <v>7140</v>
      </c>
      <c r="AL74" s="45" t="s">
        <v>7141</v>
      </c>
      <c r="AM74" s="41">
        <v>44916.502083333333</v>
      </c>
      <c r="AN74" s="41">
        <v>44922.625</v>
      </c>
    </row>
    <row r="75" spans="4:40" ht="15.6" customHeight="1">
      <c r="D75" s="38">
        <v>73</v>
      </c>
      <c r="E75" s="39">
        <v>3676</v>
      </c>
      <c r="F75" s="40" t="s">
        <v>7249</v>
      </c>
      <c r="G75" s="40" t="s">
        <v>5281</v>
      </c>
      <c r="H75" s="40" t="s">
        <v>7</v>
      </c>
      <c r="I75" s="39">
        <v>2</v>
      </c>
      <c r="J75" s="41">
        <v>44452.583333333343</v>
      </c>
      <c r="K75" s="41">
        <v>44607.395833333343</v>
      </c>
      <c r="M75" s="38">
        <v>23</v>
      </c>
      <c r="N75" s="46" t="s">
        <v>7250</v>
      </c>
      <c r="O75" s="45" t="s">
        <v>7251</v>
      </c>
      <c r="P75" s="59" t="s">
        <v>6756</v>
      </c>
      <c r="Q75" s="59" t="s">
        <v>6757</v>
      </c>
      <c r="R75" s="37">
        <v>0</v>
      </c>
      <c r="S75" s="41">
        <v>45322</v>
      </c>
      <c r="T75" s="58" t="s">
        <v>47</v>
      </c>
      <c r="V75" s="38">
        <v>73</v>
      </c>
      <c r="W75" s="38" t="str">
        <f t="shared" si="6"/>
        <v>新北市</v>
      </c>
      <c r="X75" s="45" t="s">
        <v>24</v>
      </c>
      <c r="Y75" s="45">
        <v>2</v>
      </c>
      <c r="Z75" s="45">
        <v>5060</v>
      </c>
      <c r="AA75" s="45" t="s">
        <v>1064</v>
      </c>
      <c r="AB75" s="45" t="s">
        <v>5098</v>
      </c>
      <c r="AC75" s="41">
        <v>44961.62777777778</v>
      </c>
      <c r="AD75" s="41">
        <v>44977.458333333343</v>
      </c>
      <c r="AF75" s="38">
        <v>73</v>
      </c>
      <c r="AG75" s="38" t="str">
        <f t="shared" si="5"/>
        <v/>
      </c>
      <c r="AH75" s="45" t="s">
        <v>23</v>
      </c>
      <c r="AI75" s="46">
        <v>1</v>
      </c>
      <c r="AJ75" s="45" t="s">
        <v>7252</v>
      </c>
      <c r="AK75" s="45" t="s">
        <v>6905</v>
      </c>
      <c r="AL75" s="45" t="s">
        <v>7253</v>
      </c>
      <c r="AM75" s="41">
        <v>44911.426388888889</v>
      </c>
      <c r="AN75" s="41">
        <v>44925.458333333343</v>
      </c>
    </row>
    <row r="76" spans="4:40" ht="15.6" customHeight="1">
      <c r="D76" s="38">
        <v>74</v>
      </c>
      <c r="E76" s="39">
        <v>4586</v>
      </c>
      <c r="F76" s="40" t="s">
        <v>678</v>
      </c>
      <c r="G76" s="40" t="s">
        <v>5281</v>
      </c>
      <c r="H76" s="40" t="s">
        <v>7</v>
      </c>
      <c r="I76" s="39">
        <v>2</v>
      </c>
      <c r="J76" s="41">
        <v>44452.583333333343</v>
      </c>
      <c r="K76" s="41">
        <v>44608.416666666657</v>
      </c>
      <c r="M76" s="38">
        <v>24</v>
      </c>
      <c r="N76" s="46" t="s">
        <v>7254</v>
      </c>
      <c r="O76" s="45" t="s">
        <v>7255</v>
      </c>
      <c r="P76" s="59" t="s">
        <v>6808</v>
      </c>
      <c r="Q76" s="59" t="s">
        <v>6899</v>
      </c>
      <c r="R76" s="37">
        <v>0</v>
      </c>
      <c r="S76" s="41">
        <v>45313</v>
      </c>
      <c r="T76" s="58" t="s">
        <v>47</v>
      </c>
      <c r="V76" s="38">
        <v>74</v>
      </c>
      <c r="W76" s="38" t="str">
        <f t="shared" si="6"/>
        <v>高雄市</v>
      </c>
      <c r="X76" s="45" t="s">
        <v>24</v>
      </c>
      <c r="Y76" s="45">
        <v>2</v>
      </c>
      <c r="Z76" s="45">
        <v>5078</v>
      </c>
      <c r="AA76" s="45" t="s">
        <v>7256</v>
      </c>
      <c r="AB76" s="45" t="s">
        <v>7257</v>
      </c>
      <c r="AC76" s="41">
        <v>44965.588888888888</v>
      </c>
      <c r="AD76" s="41">
        <v>44977.625</v>
      </c>
      <c r="AF76" s="38">
        <v>74</v>
      </c>
      <c r="AG76" s="38" t="str">
        <f t="shared" si="5"/>
        <v/>
      </c>
      <c r="AH76" s="45" t="s">
        <v>23</v>
      </c>
      <c r="AI76" s="46">
        <v>1</v>
      </c>
      <c r="AJ76" s="45" t="s">
        <v>7258</v>
      </c>
      <c r="AK76" s="45" t="s">
        <v>6927</v>
      </c>
      <c r="AL76" s="45" t="s">
        <v>7259</v>
      </c>
      <c r="AM76" s="41">
        <v>44911.426388888889</v>
      </c>
      <c r="AN76" s="41">
        <v>44925.583333333343</v>
      </c>
    </row>
    <row r="77" spans="4:40" ht="15.6" customHeight="1">
      <c r="D77" s="38">
        <v>75</v>
      </c>
      <c r="E77" s="39">
        <v>3811</v>
      </c>
      <c r="F77" s="40" t="s">
        <v>7260</v>
      </c>
      <c r="G77" s="40" t="s">
        <v>5281</v>
      </c>
      <c r="H77" s="40" t="s">
        <v>7</v>
      </c>
      <c r="I77" s="39">
        <v>2</v>
      </c>
      <c r="J77" s="41">
        <v>44453.416666666657</v>
      </c>
      <c r="K77" s="41">
        <v>44607.416666666657</v>
      </c>
      <c r="M77" s="38">
        <v>25</v>
      </c>
      <c r="N77" s="46" t="s">
        <v>7261</v>
      </c>
      <c r="O77" s="45" t="s">
        <v>7262</v>
      </c>
      <c r="P77" s="59" t="s">
        <v>6756</v>
      </c>
      <c r="Q77" s="59" t="s">
        <v>7263</v>
      </c>
      <c r="R77" s="37">
        <v>0</v>
      </c>
      <c r="S77" s="41">
        <v>45315</v>
      </c>
      <c r="T77" s="58" t="s">
        <v>47</v>
      </c>
      <c r="V77" s="38">
        <v>75</v>
      </c>
      <c r="W77" s="38" t="str">
        <f t="shared" si="6"/>
        <v>高雄市</v>
      </c>
      <c r="X77" s="45" t="s">
        <v>24</v>
      </c>
      <c r="Y77" s="45">
        <v>2</v>
      </c>
      <c r="Z77" s="45">
        <v>5077</v>
      </c>
      <c r="AA77" s="45" t="s">
        <v>7264</v>
      </c>
      <c r="AB77" s="45" t="s">
        <v>7265</v>
      </c>
      <c r="AC77" s="41">
        <v>44965.451388888891</v>
      </c>
      <c r="AD77" s="41">
        <v>44978.625</v>
      </c>
      <c r="AF77" s="38">
        <v>75</v>
      </c>
      <c r="AG77" s="38" t="str">
        <f t="shared" si="5"/>
        <v>台北市</v>
      </c>
      <c r="AH77" s="45" t="s">
        <v>23</v>
      </c>
      <c r="AI77" s="46">
        <v>2</v>
      </c>
      <c r="AJ77" s="45">
        <v>4969</v>
      </c>
      <c r="AK77" s="45" t="s">
        <v>7266</v>
      </c>
      <c r="AL77" s="45" t="s">
        <v>7267</v>
      </c>
      <c r="AM77" s="41">
        <v>44915.584722222222</v>
      </c>
      <c r="AN77" s="41">
        <v>44929.625</v>
      </c>
    </row>
    <row r="78" spans="4:40" ht="15.6" customHeight="1">
      <c r="D78" s="38">
        <v>76</v>
      </c>
      <c r="E78" s="39">
        <v>4652</v>
      </c>
      <c r="F78" s="40" t="s">
        <v>7268</v>
      </c>
      <c r="G78" s="40" t="s">
        <v>5281</v>
      </c>
      <c r="H78" s="40" t="s">
        <v>7</v>
      </c>
      <c r="I78" s="39">
        <v>2</v>
      </c>
      <c r="J78" s="41">
        <v>44453.416666666657</v>
      </c>
      <c r="K78" s="41">
        <v>44608.4375</v>
      </c>
      <c r="M78" s="38">
        <v>26</v>
      </c>
      <c r="N78" s="46" t="s">
        <v>7269</v>
      </c>
      <c r="O78" s="45" t="s">
        <v>7270</v>
      </c>
      <c r="P78" s="59" t="s">
        <v>6756</v>
      </c>
      <c r="Q78" s="59" t="s">
        <v>6882</v>
      </c>
      <c r="R78" s="37">
        <v>0</v>
      </c>
      <c r="S78" s="41">
        <v>45316</v>
      </c>
      <c r="T78" s="58" t="s">
        <v>47</v>
      </c>
      <c r="V78" s="38">
        <v>76</v>
      </c>
      <c r="W78" s="38" t="str">
        <f t="shared" si="6"/>
        <v>高雄市</v>
      </c>
      <c r="X78" s="45" t="s">
        <v>24</v>
      </c>
      <c r="Y78" s="45">
        <v>2</v>
      </c>
      <c r="Z78" s="45">
        <v>5076</v>
      </c>
      <c r="AA78" s="45" t="s">
        <v>7271</v>
      </c>
      <c r="AB78" s="45" t="s">
        <v>7272</v>
      </c>
      <c r="AC78" s="41">
        <v>44964.47152777778</v>
      </c>
      <c r="AD78" s="41">
        <v>44979.625</v>
      </c>
      <c r="AF78" s="38">
        <v>76</v>
      </c>
      <c r="AG78" s="38" t="str">
        <f t="shared" si="5"/>
        <v>台南市</v>
      </c>
      <c r="AH78" s="45" t="s">
        <v>23</v>
      </c>
      <c r="AI78" s="46">
        <v>2</v>
      </c>
      <c r="AJ78" s="45">
        <v>4458</v>
      </c>
      <c r="AK78" s="45" t="s">
        <v>7273</v>
      </c>
      <c r="AL78" s="45" t="s">
        <v>7274</v>
      </c>
      <c r="AM78" s="41">
        <v>44909.443749999999</v>
      </c>
      <c r="AN78" s="41">
        <v>44930.458333333343</v>
      </c>
    </row>
    <row r="79" spans="4:40" ht="15.6" customHeight="1">
      <c r="D79" s="38">
        <v>77</v>
      </c>
      <c r="E79" s="39">
        <v>2321</v>
      </c>
      <c r="F79" s="40" t="s">
        <v>6236</v>
      </c>
      <c r="G79" s="40" t="s">
        <v>5281</v>
      </c>
      <c r="H79" s="40" t="s">
        <v>7</v>
      </c>
      <c r="I79" s="39">
        <v>2</v>
      </c>
      <c r="J79" s="41">
        <v>44453.583333333343</v>
      </c>
      <c r="K79" s="41">
        <v>44607.4375</v>
      </c>
      <c r="M79" s="38">
        <v>27</v>
      </c>
      <c r="N79" s="46" t="s">
        <v>7275</v>
      </c>
      <c r="O79" s="45" t="s">
        <v>7276</v>
      </c>
      <c r="P79" s="59" t="s">
        <v>6756</v>
      </c>
      <c r="Q79" s="59" t="s">
        <v>6757</v>
      </c>
      <c r="R79" s="37">
        <v>0</v>
      </c>
      <c r="S79" s="41">
        <v>45317</v>
      </c>
      <c r="T79" s="58" t="s">
        <v>47</v>
      </c>
      <c r="V79" s="38">
        <v>77</v>
      </c>
      <c r="W79" s="38" t="str">
        <f t="shared" si="6"/>
        <v>桃園市</v>
      </c>
      <c r="X79" s="45" t="s">
        <v>24</v>
      </c>
      <c r="Y79" s="45">
        <v>2</v>
      </c>
      <c r="Z79" s="45">
        <v>5075</v>
      </c>
      <c r="AA79" s="45" t="s">
        <v>5172</v>
      </c>
      <c r="AB79" s="45" t="s">
        <v>5143</v>
      </c>
      <c r="AC79" s="41">
        <v>44964.781944444447</v>
      </c>
      <c r="AD79" s="41">
        <v>44986.458333333343</v>
      </c>
      <c r="AF79" s="38">
        <v>77</v>
      </c>
      <c r="AG79" s="38" t="str">
        <f t="shared" si="5"/>
        <v>台北市</v>
      </c>
      <c r="AH79" s="45" t="s">
        <v>23</v>
      </c>
      <c r="AI79" s="46">
        <v>2</v>
      </c>
      <c r="AJ79" s="45">
        <v>4987</v>
      </c>
      <c r="AK79" s="45" t="s">
        <v>7277</v>
      </c>
      <c r="AL79" s="45" t="s">
        <v>7278</v>
      </c>
      <c r="AM79" s="41">
        <v>44914.626388888893</v>
      </c>
      <c r="AN79" s="41">
        <v>44930.458333333343</v>
      </c>
    </row>
    <row r="80" spans="4:40" ht="15.6" customHeight="1">
      <c r="D80" s="38">
        <v>78</v>
      </c>
      <c r="E80" s="39">
        <v>4539</v>
      </c>
      <c r="F80" s="40" t="s">
        <v>1830</v>
      </c>
      <c r="G80" s="40" t="s">
        <v>5281</v>
      </c>
      <c r="H80" s="40" t="s">
        <v>7</v>
      </c>
      <c r="I80" s="39">
        <v>2</v>
      </c>
      <c r="J80" s="41">
        <v>44453.583333333343</v>
      </c>
      <c r="K80" s="41">
        <v>44607.458333333343</v>
      </c>
      <c r="M80" s="38">
        <v>28</v>
      </c>
      <c r="N80" s="46" t="s">
        <v>7279</v>
      </c>
      <c r="O80" s="45" t="s">
        <v>7280</v>
      </c>
      <c r="P80" s="59" t="s">
        <v>6808</v>
      </c>
      <c r="Q80" s="59" t="s">
        <v>7281</v>
      </c>
      <c r="R80" s="37">
        <v>0</v>
      </c>
      <c r="S80" s="41">
        <v>45320</v>
      </c>
      <c r="T80" s="58" t="s">
        <v>47</v>
      </c>
      <c r="V80" s="38">
        <v>78</v>
      </c>
      <c r="W80" s="38" t="str">
        <f t="shared" si="6"/>
        <v>新竹縣</v>
      </c>
      <c r="X80" s="45" t="s">
        <v>24</v>
      </c>
      <c r="Y80" s="45">
        <v>2</v>
      </c>
      <c r="Z80" s="45">
        <v>5035</v>
      </c>
      <c r="AA80" s="45" t="s">
        <v>7282</v>
      </c>
      <c r="AB80" s="45" t="s">
        <v>7283</v>
      </c>
      <c r="AC80" s="41">
        <v>44966.67083333333</v>
      </c>
      <c r="AD80" s="41">
        <v>44986.458333333343</v>
      </c>
      <c r="AF80" s="38">
        <v>78</v>
      </c>
      <c r="AG80" s="38" t="str">
        <f t="shared" si="5"/>
        <v>新竹市</v>
      </c>
      <c r="AH80" s="45" t="s">
        <v>23</v>
      </c>
      <c r="AI80" s="46">
        <v>2</v>
      </c>
      <c r="AJ80" s="45">
        <v>2987</v>
      </c>
      <c r="AK80" s="45" t="s">
        <v>7284</v>
      </c>
      <c r="AL80" s="45" t="s">
        <v>7285</v>
      </c>
      <c r="AM80" s="41">
        <v>44917.382638888892</v>
      </c>
      <c r="AN80" s="41">
        <v>44930.625</v>
      </c>
    </row>
    <row r="81" spans="4:40" ht="15.6" customHeight="1">
      <c r="D81" s="38">
        <v>79</v>
      </c>
      <c r="E81" s="39">
        <v>4552</v>
      </c>
      <c r="F81" s="40" t="s">
        <v>1483</v>
      </c>
      <c r="G81" s="40" t="s">
        <v>5281</v>
      </c>
      <c r="H81" s="40" t="s">
        <v>11</v>
      </c>
      <c r="I81" s="39">
        <v>2</v>
      </c>
      <c r="J81" s="41">
        <v>44453.583333333343</v>
      </c>
      <c r="K81" s="41">
        <v>44609.395833333343</v>
      </c>
      <c r="M81" s="38">
        <v>29</v>
      </c>
      <c r="N81" s="46" t="s">
        <v>7286</v>
      </c>
      <c r="O81" s="45" t="s">
        <v>7287</v>
      </c>
      <c r="P81" s="59" t="s">
        <v>6792</v>
      </c>
      <c r="Q81" s="59" t="s">
        <v>6955</v>
      </c>
      <c r="R81" s="37">
        <v>0</v>
      </c>
      <c r="S81" s="41">
        <v>45308</v>
      </c>
      <c r="T81" s="58" t="s">
        <v>47</v>
      </c>
      <c r="V81" s="38">
        <v>79</v>
      </c>
      <c r="W81" s="38" t="str">
        <f t="shared" si="6"/>
        <v>新北市</v>
      </c>
      <c r="X81" s="45" t="s">
        <v>24</v>
      </c>
      <c r="Y81" s="45">
        <v>2</v>
      </c>
      <c r="Z81" s="45">
        <v>5074</v>
      </c>
      <c r="AA81" s="45" t="s">
        <v>1705</v>
      </c>
      <c r="AB81" s="45" t="s">
        <v>5004</v>
      </c>
      <c r="AC81" s="41">
        <v>44987.512499999997</v>
      </c>
      <c r="AD81" s="41">
        <v>45006.458333333343</v>
      </c>
      <c r="AF81" s="38">
        <v>79</v>
      </c>
      <c r="AG81" s="38" t="str">
        <f t="shared" si="5"/>
        <v>新北市</v>
      </c>
      <c r="AH81" s="45" t="s">
        <v>23</v>
      </c>
      <c r="AI81" s="46">
        <v>2</v>
      </c>
      <c r="AJ81" s="45">
        <v>4340</v>
      </c>
      <c r="AK81" s="45" t="s">
        <v>7288</v>
      </c>
      <c r="AL81" s="45" t="s">
        <v>7289</v>
      </c>
      <c r="AM81" s="41">
        <v>44915.666666666657</v>
      </c>
      <c r="AN81" s="41">
        <v>44931.458333333343</v>
      </c>
    </row>
    <row r="82" spans="4:40" ht="15.6" customHeight="1">
      <c r="D82" s="38">
        <v>80</v>
      </c>
      <c r="E82" s="39">
        <v>3380</v>
      </c>
      <c r="F82" s="40" t="s">
        <v>1550</v>
      </c>
      <c r="G82" s="40" t="s">
        <v>5281</v>
      </c>
      <c r="H82" s="40" t="s">
        <v>11</v>
      </c>
      <c r="I82" s="39">
        <v>2</v>
      </c>
      <c r="J82" s="41">
        <v>44453.583333333343</v>
      </c>
      <c r="K82" s="41">
        <v>44609.416666666657</v>
      </c>
      <c r="M82" s="38">
        <v>30</v>
      </c>
      <c r="N82" s="46" t="s">
        <v>7290</v>
      </c>
      <c r="O82" s="45" t="s">
        <v>7291</v>
      </c>
      <c r="P82" s="59" t="s">
        <v>6850</v>
      </c>
      <c r="Q82" s="59" t="s">
        <v>6961</v>
      </c>
      <c r="R82" s="37">
        <v>0</v>
      </c>
      <c r="S82" s="41">
        <v>45309</v>
      </c>
      <c r="T82" s="58" t="s">
        <v>47</v>
      </c>
      <c r="V82" s="38">
        <v>80</v>
      </c>
      <c r="W82" s="38" t="str">
        <f t="shared" si="6"/>
        <v>宜蘭縣</v>
      </c>
      <c r="X82" s="45" t="s">
        <v>24</v>
      </c>
      <c r="Y82" s="45">
        <v>2</v>
      </c>
      <c r="Z82" s="45">
        <v>5001</v>
      </c>
      <c r="AA82" s="45" t="s">
        <v>7292</v>
      </c>
      <c r="AB82" s="45" t="s">
        <v>7293</v>
      </c>
      <c r="AC82" s="41">
        <v>44979.540972222218</v>
      </c>
      <c r="AD82" s="41">
        <v>45007.458333333343</v>
      </c>
      <c r="AF82" s="38">
        <v>80</v>
      </c>
      <c r="AG82" s="38" t="str">
        <f t="shared" si="5"/>
        <v>桃園市</v>
      </c>
      <c r="AH82" s="45" t="s">
        <v>23</v>
      </c>
      <c r="AI82" s="46">
        <v>2</v>
      </c>
      <c r="AJ82" s="45">
        <v>3220</v>
      </c>
      <c r="AK82" s="45" t="s">
        <v>7294</v>
      </c>
      <c r="AL82" s="45" t="s">
        <v>5112</v>
      </c>
      <c r="AM82" s="41">
        <v>44904.59652777778</v>
      </c>
      <c r="AN82" s="41">
        <v>44936.458333333343</v>
      </c>
    </row>
    <row r="83" spans="4:40" ht="15.6" customHeight="1">
      <c r="D83" s="38">
        <v>81</v>
      </c>
      <c r="E83" s="39">
        <v>4561</v>
      </c>
      <c r="F83" s="40" t="s">
        <v>7295</v>
      </c>
      <c r="G83" s="40" t="s">
        <v>6735</v>
      </c>
      <c r="H83" s="40" t="s">
        <v>131</v>
      </c>
      <c r="I83" s="39">
        <v>2</v>
      </c>
      <c r="J83" s="41">
        <v>44454.416666666657</v>
      </c>
      <c r="K83" s="41">
        <v>44615.395833333343</v>
      </c>
      <c r="M83" s="38">
        <v>31</v>
      </c>
      <c r="N83" s="46" t="s">
        <v>7296</v>
      </c>
      <c r="O83" s="45" t="s">
        <v>7297</v>
      </c>
      <c r="P83" s="59" t="s">
        <v>6792</v>
      </c>
      <c r="Q83" s="59" t="s">
        <v>7298</v>
      </c>
      <c r="R83" s="37">
        <v>0</v>
      </c>
      <c r="S83" s="41">
        <v>45310</v>
      </c>
      <c r="T83" s="58" t="s">
        <v>47</v>
      </c>
      <c r="V83" s="38">
        <v>81</v>
      </c>
      <c r="W83" s="38" t="str">
        <f t="shared" si="6"/>
        <v>彰化縣</v>
      </c>
      <c r="X83" s="45" t="s">
        <v>24</v>
      </c>
      <c r="Y83" s="45">
        <v>2</v>
      </c>
      <c r="Z83" s="45">
        <v>5069</v>
      </c>
      <c r="AA83" s="45" t="s">
        <v>7299</v>
      </c>
      <c r="AB83" s="45" t="s">
        <v>7300</v>
      </c>
      <c r="AC83" s="41">
        <v>44979.491666666669</v>
      </c>
      <c r="AD83" s="41">
        <v>45007.625</v>
      </c>
      <c r="AF83" s="38">
        <v>81</v>
      </c>
      <c r="AG83" s="38" t="str">
        <f t="shared" si="5"/>
        <v>台中市</v>
      </c>
      <c r="AH83" s="45" t="s">
        <v>23</v>
      </c>
      <c r="AI83" s="46">
        <v>2</v>
      </c>
      <c r="AJ83" s="45">
        <v>2998</v>
      </c>
      <c r="AK83" s="45" t="s">
        <v>7301</v>
      </c>
      <c r="AL83" s="45" t="s">
        <v>7302</v>
      </c>
      <c r="AM83" s="41">
        <v>44916.571527777778</v>
      </c>
      <c r="AN83" s="41">
        <v>44937.458333333343</v>
      </c>
    </row>
    <row r="84" spans="4:40" ht="15.6" customHeight="1">
      <c r="D84" s="38">
        <v>82</v>
      </c>
      <c r="E84" s="39">
        <v>4523</v>
      </c>
      <c r="F84" s="40" t="s">
        <v>7303</v>
      </c>
      <c r="G84" s="40" t="s">
        <v>5281</v>
      </c>
      <c r="H84" s="40" t="s">
        <v>6803</v>
      </c>
      <c r="I84" s="39">
        <v>2</v>
      </c>
      <c r="J84" s="41">
        <v>44454.583333333343</v>
      </c>
      <c r="K84" s="41">
        <v>44613.416666666657</v>
      </c>
      <c r="M84" s="38">
        <v>32</v>
      </c>
      <c r="N84" s="46" t="s">
        <v>7304</v>
      </c>
      <c r="O84" s="45" t="s">
        <v>6869</v>
      </c>
      <c r="P84" s="59" t="s">
        <v>6765</v>
      </c>
      <c r="Q84" s="59" t="s">
        <v>8</v>
      </c>
      <c r="R84" s="37">
        <v>0</v>
      </c>
      <c r="S84" s="41">
        <v>45323</v>
      </c>
      <c r="T84" s="58" t="s">
        <v>47</v>
      </c>
      <c r="V84" s="38">
        <v>82</v>
      </c>
      <c r="W84" s="38" t="str">
        <f t="shared" si="6"/>
        <v>宜蘭縣</v>
      </c>
      <c r="X84" s="45" t="s">
        <v>24</v>
      </c>
      <c r="Y84" s="45">
        <v>2</v>
      </c>
      <c r="Z84" s="45">
        <v>5084</v>
      </c>
      <c r="AA84" s="45" t="s">
        <v>7305</v>
      </c>
      <c r="AB84" s="45" t="s">
        <v>7306</v>
      </c>
      <c r="AC84" s="41">
        <v>44998.617361111108</v>
      </c>
      <c r="AD84" s="41">
        <v>45008.583333333343</v>
      </c>
      <c r="AF84" s="38">
        <v>82</v>
      </c>
      <c r="AG84" s="38" t="str">
        <f t="shared" si="5"/>
        <v>新北市</v>
      </c>
      <c r="AH84" s="45" t="s">
        <v>23</v>
      </c>
      <c r="AI84" s="46">
        <v>2</v>
      </c>
      <c r="AJ84" s="45">
        <v>4568</v>
      </c>
      <c r="AK84" s="45" t="s">
        <v>7307</v>
      </c>
      <c r="AL84" s="45" t="s">
        <v>7308</v>
      </c>
      <c r="AM84" s="41">
        <v>44938.493750000001</v>
      </c>
      <c r="AN84" s="41">
        <v>44964.458333333343</v>
      </c>
    </row>
    <row r="85" spans="4:40" ht="15.6" customHeight="1">
      <c r="D85" s="38">
        <v>83</v>
      </c>
      <c r="E85" s="39">
        <v>4599</v>
      </c>
      <c r="F85" s="40" t="s">
        <v>7309</v>
      </c>
      <c r="G85" s="40" t="s">
        <v>5281</v>
      </c>
      <c r="H85" s="40" t="s">
        <v>6803</v>
      </c>
      <c r="I85" s="39">
        <v>2</v>
      </c>
      <c r="J85" s="41">
        <v>44454.583333333343</v>
      </c>
      <c r="K85" s="41">
        <v>44613.458333333343</v>
      </c>
      <c r="M85" s="38">
        <v>33</v>
      </c>
      <c r="N85" s="46" t="s">
        <v>54</v>
      </c>
      <c r="O85" s="45" t="s">
        <v>3063</v>
      </c>
      <c r="P85" s="59" t="s">
        <v>6765</v>
      </c>
      <c r="Q85" s="59" t="s">
        <v>8</v>
      </c>
      <c r="R85" s="37">
        <v>0</v>
      </c>
      <c r="S85" s="41">
        <v>45323</v>
      </c>
      <c r="T85" s="58" t="s">
        <v>47</v>
      </c>
      <c r="V85" s="38">
        <v>83</v>
      </c>
      <c r="W85" s="38" t="str">
        <f t="shared" si="6"/>
        <v>桃園市</v>
      </c>
      <c r="X85" s="45" t="s">
        <v>24</v>
      </c>
      <c r="Y85" s="45">
        <v>2</v>
      </c>
      <c r="Z85" s="45">
        <v>5072</v>
      </c>
      <c r="AA85" s="45" t="s">
        <v>7310</v>
      </c>
      <c r="AB85" s="45" t="s">
        <v>7311</v>
      </c>
      <c r="AC85" s="41">
        <v>44987.696527777778</v>
      </c>
      <c r="AD85" s="41">
        <v>45009.458333333343</v>
      </c>
      <c r="AF85" s="38">
        <v>83</v>
      </c>
      <c r="AG85" s="38" t="str">
        <f t="shared" si="5"/>
        <v>新北市</v>
      </c>
      <c r="AH85" s="45" t="s">
        <v>23</v>
      </c>
      <c r="AI85" s="46">
        <v>2</v>
      </c>
      <c r="AJ85" s="45">
        <v>4081</v>
      </c>
      <c r="AK85" s="45" t="s">
        <v>7312</v>
      </c>
      <c r="AL85" s="45" t="s">
        <v>7313</v>
      </c>
      <c r="AM85" s="41">
        <v>44961.690972222219</v>
      </c>
      <c r="AN85" s="41">
        <v>44975.458333333343</v>
      </c>
    </row>
    <row r="86" spans="4:40" ht="15.6" customHeight="1">
      <c r="D86" s="38">
        <v>84</v>
      </c>
      <c r="E86" s="39">
        <v>2154</v>
      </c>
      <c r="F86" s="40" t="s">
        <v>5212</v>
      </c>
      <c r="G86" s="40" t="s">
        <v>5281</v>
      </c>
      <c r="H86" s="40" t="s">
        <v>14</v>
      </c>
      <c r="I86" s="39">
        <v>2</v>
      </c>
      <c r="J86" s="41">
        <v>44454.583333333343</v>
      </c>
      <c r="K86" s="41">
        <v>44617.395833333343</v>
      </c>
      <c r="M86" s="38">
        <v>34</v>
      </c>
      <c r="N86" s="46" t="s">
        <v>7314</v>
      </c>
      <c r="O86" s="45" t="s">
        <v>7315</v>
      </c>
      <c r="P86" s="59" t="s">
        <v>6756</v>
      </c>
      <c r="Q86" s="59" t="s">
        <v>7316</v>
      </c>
      <c r="R86" s="37">
        <v>0</v>
      </c>
      <c r="S86" s="41">
        <v>45345.458333333343</v>
      </c>
      <c r="T86" s="58" t="s">
        <v>47</v>
      </c>
      <c r="V86" s="38">
        <v>84</v>
      </c>
      <c r="W86" s="38" t="str">
        <f t="shared" si="6"/>
        <v>高雄市</v>
      </c>
      <c r="X86" s="45" t="s">
        <v>24</v>
      </c>
      <c r="Y86" s="45">
        <v>2</v>
      </c>
      <c r="Z86" s="45">
        <v>5065</v>
      </c>
      <c r="AA86" s="45" t="s">
        <v>7317</v>
      </c>
      <c r="AB86" s="45" t="s">
        <v>7318</v>
      </c>
      <c r="AC86" s="41">
        <v>44992.644444444442</v>
      </c>
      <c r="AD86" s="41">
        <v>45012.625</v>
      </c>
      <c r="AF86" s="38">
        <v>84</v>
      </c>
      <c r="AG86" s="38" t="str">
        <f t="shared" ref="AG86:AG116" si="7">IF( AND((ISNA(VLOOKUP(AJ86,E:E,1,FALSE))),(ISNA(VLOOKUP(AJ86,N:N,1,FALSE))),(ISNA(VLOOKUP(AJ86,Z:Z,1,FALSE)))),"",LEFT(AL86,3))</f>
        <v>新北市</v>
      </c>
      <c r="AH86" s="45" t="s">
        <v>23</v>
      </c>
      <c r="AI86" s="46">
        <v>2</v>
      </c>
      <c r="AJ86" s="45">
        <v>3953</v>
      </c>
      <c r="AK86" s="45" t="s">
        <v>7319</v>
      </c>
      <c r="AL86" s="45" t="s">
        <v>7320</v>
      </c>
      <c r="AM86" s="41">
        <v>44957.46597222222</v>
      </c>
      <c r="AN86" s="41">
        <v>44980.625</v>
      </c>
    </row>
    <row r="87" spans="4:40" ht="15.6" customHeight="1">
      <c r="D87" s="38">
        <v>85</v>
      </c>
      <c r="E87" s="39">
        <v>2422</v>
      </c>
      <c r="F87" s="40" t="s">
        <v>544</v>
      </c>
      <c r="G87" s="40" t="s">
        <v>5281</v>
      </c>
      <c r="H87" s="40" t="s">
        <v>14</v>
      </c>
      <c r="I87" s="39">
        <v>2</v>
      </c>
      <c r="J87" s="41">
        <v>44454.583333333343</v>
      </c>
      <c r="K87" s="41">
        <v>44617.4375</v>
      </c>
      <c r="M87" s="38">
        <v>35</v>
      </c>
      <c r="N87" s="46" t="s">
        <v>7321</v>
      </c>
      <c r="O87" s="45" t="s">
        <v>7322</v>
      </c>
      <c r="P87" s="59" t="s">
        <v>6866</v>
      </c>
      <c r="Q87" s="59" t="s">
        <v>7323</v>
      </c>
      <c r="R87" s="37">
        <v>0</v>
      </c>
      <c r="S87" s="41">
        <v>45346.458333333343</v>
      </c>
      <c r="T87" s="58" t="s">
        <v>47</v>
      </c>
      <c r="V87" s="38">
        <v>85</v>
      </c>
      <c r="W87" s="38" t="str">
        <f t="shared" si="6"/>
        <v>新竹市</v>
      </c>
      <c r="X87" s="45" t="s">
        <v>24</v>
      </c>
      <c r="Y87" s="45">
        <v>2</v>
      </c>
      <c r="Z87" s="45">
        <v>5070</v>
      </c>
      <c r="AA87" s="45" t="s">
        <v>7324</v>
      </c>
      <c r="AB87" s="45" t="s">
        <v>7325</v>
      </c>
      <c r="AC87" s="41">
        <v>44991.507638888892</v>
      </c>
      <c r="AD87" s="41">
        <v>45013.458333333343</v>
      </c>
      <c r="AF87" s="38">
        <v>85</v>
      </c>
      <c r="AG87" s="38" t="str">
        <f t="shared" si="7"/>
        <v>新北市</v>
      </c>
      <c r="AH87" s="45" t="s">
        <v>23</v>
      </c>
      <c r="AI87" s="46">
        <v>2</v>
      </c>
      <c r="AJ87" s="45">
        <v>2508</v>
      </c>
      <c r="AK87" s="45" t="s">
        <v>7326</v>
      </c>
      <c r="AL87" s="45" t="s">
        <v>7327</v>
      </c>
      <c r="AM87" s="41">
        <v>44958.622916666667</v>
      </c>
      <c r="AN87" s="41">
        <v>44986.625</v>
      </c>
    </row>
    <row r="88" spans="4:40" ht="15.6" customHeight="1">
      <c r="D88" s="38">
        <v>86</v>
      </c>
      <c r="E88" s="39">
        <v>4728</v>
      </c>
      <c r="F88" s="40" t="s">
        <v>7328</v>
      </c>
      <c r="G88" s="40" t="s">
        <v>6735</v>
      </c>
      <c r="H88" s="40" t="s">
        <v>6810</v>
      </c>
      <c r="I88" s="39">
        <v>2</v>
      </c>
      <c r="J88" s="41">
        <v>44455.416666666657</v>
      </c>
      <c r="K88" s="41">
        <v>44606.416666666657</v>
      </c>
      <c r="M88" s="52">
        <v>36</v>
      </c>
      <c r="N88" s="2" t="s">
        <v>70</v>
      </c>
      <c r="O88" s="4" t="s">
        <v>1926</v>
      </c>
      <c r="P88" s="178" t="s">
        <v>5281</v>
      </c>
      <c r="Q88" s="179" t="s">
        <v>11</v>
      </c>
      <c r="T88" s="58" t="s">
        <v>47</v>
      </c>
      <c r="V88" s="38">
        <v>86</v>
      </c>
      <c r="W88" s="38" t="str">
        <f t="shared" si="6"/>
        <v>高雄市</v>
      </c>
      <c r="X88" s="45" t="s">
        <v>24</v>
      </c>
      <c r="Y88" s="45">
        <v>2</v>
      </c>
      <c r="Z88" s="45">
        <v>5068</v>
      </c>
      <c r="AA88" s="45" t="s">
        <v>7329</v>
      </c>
      <c r="AB88" s="45" t="s">
        <v>7330</v>
      </c>
      <c r="AC88" s="41">
        <v>45000.723611111112</v>
      </c>
      <c r="AD88" s="41">
        <v>45014.625</v>
      </c>
      <c r="AF88" s="38">
        <v>86</v>
      </c>
      <c r="AG88" s="38" t="str">
        <f t="shared" si="7"/>
        <v>宜蘭縣</v>
      </c>
      <c r="AH88" s="45" t="s">
        <v>23</v>
      </c>
      <c r="AI88" s="46">
        <v>2</v>
      </c>
      <c r="AJ88" s="45">
        <v>5084</v>
      </c>
      <c r="AK88" s="45" t="s">
        <v>7305</v>
      </c>
      <c r="AL88" s="45" t="s">
        <v>7306</v>
      </c>
      <c r="AM88" s="41">
        <v>44998.617361111108</v>
      </c>
      <c r="AN88" s="41">
        <v>45010.625</v>
      </c>
    </row>
    <row r="89" spans="4:40" ht="15.6" customHeight="1">
      <c r="D89" s="38">
        <v>87</v>
      </c>
      <c r="E89" s="39">
        <v>2860</v>
      </c>
      <c r="F89" s="40" t="s">
        <v>7331</v>
      </c>
      <c r="G89" s="40" t="s">
        <v>6735</v>
      </c>
      <c r="H89" s="40" t="s">
        <v>6810</v>
      </c>
      <c r="I89" s="39">
        <v>2</v>
      </c>
      <c r="J89" s="41">
        <v>44455.416666666657</v>
      </c>
      <c r="K89" s="41">
        <v>44606.4375</v>
      </c>
      <c r="V89" s="38">
        <v>87</v>
      </c>
      <c r="W89" s="38" t="str">
        <f t="shared" si="6"/>
        <v>台中市</v>
      </c>
      <c r="X89" s="45" t="s">
        <v>24</v>
      </c>
      <c r="Y89" s="45">
        <v>2</v>
      </c>
      <c r="Z89" s="45">
        <v>5062</v>
      </c>
      <c r="AA89" s="45" t="s">
        <v>7332</v>
      </c>
      <c r="AB89" s="45" t="s">
        <v>7333</v>
      </c>
      <c r="AC89" s="41">
        <v>45000.40625</v>
      </c>
      <c r="AD89" s="41">
        <v>45027.625</v>
      </c>
      <c r="AF89" s="38">
        <v>87</v>
      </c>
      <c r="AG89" s="38" t="str">
        <f t="shared" si="7"/>
        <v>台北市</v>
      </c>
      <c r="AH89" s="45" t="s">
        <v>23</v>
      </c>
      <c r="AI89" s="46">
        <v>2</v>
      </c>
      <c r="AJ89" s="45">
        <v>4108</v>
      </c>
      <c r="AK89" s="45" t="s">
        <v>7334</v>
      </c>
      <c r="AL89" s="45" t="s">
        <v>7335</v>
      </c>
      <c r="AM89" s="41">
        <v>44992.647916666669</v>
      </c>
      <c r="AN89" s="41">
        <v>45022.625</v>
      </c>
    </row>
    <row r="90" spans="4:40" ht="15.6" customHeight="1">
      <c r="D90" s="38">
        <v>88</v>
      </c>
      <c r="E90" s="39" t="s">
        <v>64</v>
      </c>
      <c r="F90" s="40" t="s">
        <v>6175</v>
      </c>
      <c r="G90" s="40" t="s">
        <v>5281</v>
      </c>
      <c r="H90" s="40" t="s">
        <v>7</v>
      </c>
      <c r="I90" s="39">
        <v>2</v>
      </c>
      <c r="J90" s="41">
        <v>44455.583333333343</v>
      </c>
      <c r="K90" s="41">
        <v>44608.395833333343</v>
      </c>
      <c r="V90" s="38">
        <v>88</v>
      </c>
      <c r="W90" s="38" t="str">
        <f t="shared" si="6"/>
        <v>新北市</v>
      </c>
      <c r="X90" s="45" t="s">
        <v>24</v>
      </c>
      <c r="Y90" s="45">
        <v>2</v>
      </c>
      <c r="Z90" s="45">
        <v>5082</v>
      </c>
      <c r="AA90" s="45" t="s">
        <v>2208</v>
      </c>
      <c r="AB90" s="45" t="s">
        <v>5392</v>
      </c>
      <c r="AC90" s="41">
        <v>45005.419444444437</v>
      </c>
      <c r="AD90" s="41">
        <v>45028.458333333343</v>
      </c>
      <c r="AF90" s="38">
        <v>88</v>
      </c>
      <c r="AG90" s="38" t="str">
        <f t="shared" si="7"/>
        <v>彰化縣</v>
      </c>
      <c r="AH90" s="45" t="s">
        <v>23</v>
      </c>
      <c r="AI90" s="46">
        <v>2</v>
      </c>
      <c r="AJ90" s="45" t="s">
        <v>7336</v>
      </c>
      <c r="AK90" s="45" t="s">
        <v>7337</v>
      </c>
      <c r="AL90" s="45" t="s">
        <v>7338</v>
      </c>
      <c r="AM90" s="41">
        <v>45026.407638888893</v>
      </c>
      <c r="AN90" s="41">
        <v>45042.458333333343</v>
      </c>
    </row>
    <row r="91" spans="4:40" ht="15.6" customHeight="1">
      <c r="D91" s="38">
        <v>89</v>
      </c>
      <c r="E91" s="39">
        <v>2442</v>
      </c>
      <c r="F91" s="40" t="s">
        <v>1076</v>
      </c>
      <c r="G91" s="40" t="s">
        <v>5281</v>
      </c>
      <c r="H91" s="40" t="s">
        <v>5</v>
      </c>
      <c r="I91" s="39">
        <v>2</v>
      </c>
      <c r="J91" s="41">
        <v>44456.416666666657</v>
      </c>
      <c r="K91" s="41">
        <v>44610.458333333343</v>
      </c>
      <c r="V91" s="38">
        <v>89</v>
      </c>
      <c r="W91" s="38" t="str">
        <f t="shared" si="6"/>
        <v>台南市</v>
      </c>
      <c r="X91" s="45" t="s">
        <v>24</v>
      </c>
      <c r="Y91" s="45">
        <v>2</v>
      </c>
      <c r="Z91" s="45">
        <v>5088</v>
      </c>
      <c r="AA91" s="45" t="s">
        <v>7339</v>
      </c>
      <c r="AB91" s="45" t="s">
        <v>7340</v>
      </c>
      <c r="AC91" s="41">
        <v>45030.584027777782</v>
      </c>
      <c r="AD91" s="41">
        <v>45050.458333333343</v>
      </c>
      <c r="AF91" s="38">
        <v>89</v>
      </c>
      <c r="AG91" s="38" t="str">
        <f t="shared" si="7"/>
        <v>桃園市</v>
      </c>
      <c r="AH91" s="45" t="s">
        <v>23</v>
      </c>
      <c r="AI91" s="46">
        <v>2</v>
      </c>
      <c r="AJ91" s="45">
        <v>4285</v>
      </c>
      <c r="AK91" s="45" t="s">
        <v>7341</v>
      </c>
      <c r="AL91" s="45" t="s">
        <v>7342</v>
      </c>
      <c r="AM91" s="41">
        <v>45043.729166666657</v>
      </c>
      <c r="AN91" s="41">
        <v>45063.458333333343</v>
      </c>
    </row>
    <row r="92" spans="4:40" ht="15.6" customHeight="1">
      <c r="D92" s="38">
        <v>90</v>
      </c>
      <c r="E92" s="39">
        <v>4541</v>
      </c>
      <c r="F92" s="40" t="s">
        <v>1678</v>
      </c>
      <c r="G92" s="40" t="s">
        <v>5281</v>
      </c>
      <c r="H92" s="40" t="s">
        <v>3</v>
      </c>
      <c r="I92" s="39">
        <v>2</v>
      </c>
      <c r="J92" s="41">
        <v>44456.583333333343</v>
      </c>
      <c r="K92" s="41">
        <v>44615.4375</v>
      </c>
      <c r="V92" s="38">
        <v>90</v>
      </c>
      <c r="W92" s="38" t="str">
        <f t="shared" si="6"/>
        <v>台北市</v>
      </c>
      <c r="X92" s="45" t="s">
        <v>24</v>
      </c>
      <c r="Y92" s="45">
        <v>2</v>
      </c>
      <c r="Z92" s="45">
        <v>5081</v>
      </c>
      <c r="AA92" s="45" t="s">
        <v>7343</v>
      </c>
      <c r="AB92" s="45" t="s">
        <v>7344</v>
      </c>
      <c r="AC92" s="41">
        <v>45028.620138888888</v>
      </c>
      <c r="AD92" s="41">
        <v>45055.458333333343</v>
      </c>
      <c r="AF92" s="38">
        <v>90</v>
      </c>
      <c r="AG92" s="38" t="str">
        <f t="shared" si="7"/>
        <v>新北市</v>
      </c>
      <c r="AH92" s="45" t="s">
        <v>23</v>
      </c>
      <c r="AI92" s="46">
        <v>2</v>
      </c>
      <c r="AJ92" s="45">
        <v>4126</v>
      </c>
      <c r="AK92" s="45" t="s">
        <v>7345</v>
      </c>
      <c r="AL92" s="45" t="s">
        <v>7346</v>
      </c>
      <c r="AM92" s="41">
        <v>45051.656944444447</v>
      </c>
      <c r="AN92" s="41">
        <v>45075.625</v>
      </c>
    </row>
    <row r="93" spans="4:40" ht="15.6" customHeight="1">
      <c r="D93" s="38">
        <v>91</v>
      </c>
      <c r="E93" s="39">
        <v>4298</v>
      </c>
      <c r="F93" s="40" t="s">
        <v>599</v>
      </c>
      <c r="G93" s="40" t="s">
        <v>5281</v>
      </c>
      <c r="H93" s="40" t="s">
        <v>3</v>
      </c>
      <c r="I93" s="39">
        <v>2</v>
      </c>
      <c r="J93" s="41">
        <v>44456.583333333343</v>
      </c>
      <c r="K93" s="41">
        <v>44615.458333333343</v>
      </c>
      <c r="V93" s="38">
        <v>91</v>
      </c>
      <c r="W93" s="38" t="str">
        <f t="shared" si="6"/>
        <v>桃園市</v>
      </c>
      <c r="X93" s="45" t="s">
        <v>24</v>
      </c>
      <c r="Y93" s="45">
        <v>2</v>
      </c>
      <c r="Z93" s="45">
        <v>5058</v>
      </c>
      <c r="AA93" s="45" t="s">
        <v>7347</v>
      </c>
      <c r="AB93" s="45" t="s">
        <v>7348</v>
      </c>
      <c r="AC93" s="41">
        <v>45034.510416666657</v>
      </c>
      <c r="AD93" s="41">
        <v>45056.458333333343</v>
      </c>
      <c r="AF93" s="38">
        <v>91</v>
      </c>
      <c r="AG93" s="38" t="str">
        <f t="shared" si="7"/>
        <v>金門縣</v>
      </c>
      <c r="AH93" s="45" t="s">
        <v>23</v>
      </c>
      <c r="AI93" s="46">
        <v>2</v>
      </c>
      <c r="AJ93" s="45">
        <v>4439</v>
      </c>
      <c r="AK93" s="45" t="s">
        <v>7349</v>
      </c>
      <c r="AL93" s="45" t="s">
        <v>7350</v>
      </c>
      <c r="AM93" s="41">
        <v>45049.63958333333</v>
      </c>
      <c r="AN93" s="41">
        <v>45077.625</v>
      </c>
    </row>
    <row r="94" spans="4:40" ht="15.6" customHeight="1">
      <c r="D94" s="38">
        <v>92</v>
      </c>
      <c r="E94" s="39">
        <v>4748</v>
      </c>
      <c r="F94" s="40" t="s">
        <v>5586</v>
      </c>
      <c r="G94" s="40" t="s">
        <v>5281</v>
      </c>
      <c r="H94" s="40" t="s">
        <v>15</v>
      </c>
      <c r="I94" s="39">
        <v>2</v>
      </c>
      <c r="J94" s="41">
        <v>44494.4375</v>
      </c>
      <c r="K94" s="41">
        <v>44615.569444444453</v>
      </c>
      <c r="V94" s="38">
        <v>92</v>
      </c>
      <c r="W94" s="38" t="str">
        <f t="shared" si="6"/>
        <v>新北市</v>
      </c>
      <c r="X94" s="45" t="s">
        <v>24</v>
      </c>
      <c r="Y94" s="45">
        <v>2</v>
      </c>
      <c r="Z94" s="45">
        <v>5079</v>
      </c>
      <c r="AA94" s="45" t="s">
        <v>7351</v>
      </c>
      <c r="AB94" s="45" t="s">
        <v>7352</v>
      </c>
      <c r="AC94" s="41">
        <v>45049.663194444453</v>
      </c>
      <c r="AD94" s="41">
        <v>45064.458333333343</v>
      </c>
      <c r="AF94" s="38">
        <v>92</v>
      </c>
      <c r="AG94" s="38" t="str">
        <f t="shared" si="7"/>
        <v>台北市</v>
      </c>
      <c r="AH94" s="45" t="s">
        <v>7353</v>
      </c>
      <c r="AI94" s="46">
        <v>1</v>
      </c>
      <c r="AJ94" s="45" t="s">
        <v>7111</v>
      </c>
      <c r="AK94" s="45" t="s">
        <v>7354</v>
      </c>
      <c r="AL94" s="45" t="s">
        <v>7355</v>
      </c>
      <c r="AM94" s="41">
        <v>45068.72152777778</v>
      </c>
      <c r="AN94" s="41">
        <v>45077.625</v>
      </c>
    </row>
    <row r="95" spans="4:40" ht="15.6" customHeight="1">
      <c r="D95" s="38">
        <v>93</v>
      </c>
      <c r="E95" s="39">
        <v>4714</v>
      </c>
      <c r="F95" s="40" t="s">
        <v>7356</v>
      </c>
      <c r="G95" s="40" t="s">
        <v>5281</v>
      </c>
      <c r="H95" s="40" t="s">
        <v>7110</v>
      </c>
      <c r="I95" s="39">
        <v>2</v>
      </c>
      <c r="J95" s="41">
        <v>44494.555555555547</v>
      </c>
      <c r="K95" s="41">
        <v>44609.416666666657</v>
      </c>
      <c r="V95" s="38">
        <v>93</v>
      </c>
      <c r="W95" s="38" t="str">
        <f t="shared" si="6"/>
        <v>新竹縣</v>
      </c>
      <c r="X95" s="45" t="s">
        <v>24</v>
      </c>
      <c r="Y95" s="45">
        <v>2</v>
      </c>
      <c r="Z95" s="45">
        <v>4716</v>
      </c>
      <c r="AA95" s="45" t="s">
        <v>7357</v>
      </c>
      <c r="AB95" s="45" t="s">
        <v>7358</v>
      </c>
      <c r="AC95" s="41">
        <v>45050.484027777777</v>
      </c>
      <c r="AD95" s="41">
        <v>45068.458333333343</v>
      </c>
      <c r="AF95" s="38">
        <v>93</v>
      </c>
      <c r="AG95" s="38" t="str">
        <f t="shared" si="7"/>
        <v>新北市</v>
      </c>
      <c r="AH95" s="45" t="s">
        <v>23</v>
      </c>
      <c r="AI95" s="46">
        <v>2</v>
      </c>
      <c r="AJ95" s="45">
        <v>4412</v>
      </c>
      <c r="AK95" s="45" t="s">
        <v>7359</v>
      </c>
      <c r="AL95" s="45" t="s">
        <v>7360</v>
      </c>
      <c r="AM95" s="41">
        <v>45058.404861111107</v>
      </c>
      <c r="AN95" s="41">
        <v>45079.458333333343</v>
      </c>
    </row>
    <row r="96" spans="4:40" ht="15.6" customHeight="1">
      <c r="D96" s="38">
        <v>94</v>
      </c>
      <c r="E96" s="39">
        <v>4519</v>
      </c>
      <c r="F96" s="40" t="s">
        <v>7361</v>
      </c>
      <c r="G96" s="40" t="s">
        <v>6735</v>
      </c>
      <c r="H96" s="40" t="s">
        <v>7362</v>
      </c>
      <c r="I96" s="39">
        <v>2</v>
      </c>
      <c r="J96" s="41">
        <v>44495.4375</v>
      </c>
      <c r="K96" s="41">
        <v>44608.569444444453</v>
      </c>
      <c r="V96" s="38">
        <v>94</v>
      </c>
      <c r="W96" s="38" t="str">
        <f t="shared" si="6"/>
        <v>新北市</v>
      </c>
      <c r="X96" s="45" t="s">
        <v>24</v>
      </c>
      <c r="Y96" s="45">
        <v>2</v>
      </c>
      <c r="Z96" s="45">
        <v>5080</v>
      </c>
      <c r="AA96" s="45" t="s">
        <v>201</v>
      </c>
      <c r="AB96" s="45" t="s">
        <v>5020</v>
      </c>
      <c r="AC96" s="41">
        <v>45054.635416666657</v>
      </c>
      <c r="AD96" s="41">
        <v>45068.458333333343</v>
      </c>
      <c r="AF96" s="38">
        <v>94</v>
      </c>
      <c r="AG96" s="38" t="str">
        <f t="shared" si="7"/>
        <v>台北市</v>
      </c>
      <c r="AH96" s="45" t="s">
        <v>23</v>
      </c>
      <c r="AI96" s="46">
        <v>2</v>
      </c>
      <c r="AJ96" s="45">
        <v>3080</v>
      </c>
      <c r="AK96" s="45" t="s">
        <v>7363</v>
      </c>
      <c r="AL96" s="45" t="s">
        <v>7364</v>
      </c>
      <c r="AM96" s="41">
        <v>45071.51458333333</v>
      </c>
      <c r="AN96" s="41">
        <v>45083.416666666657</v>
      </c>
    </row>
    <row r="97" spans="4:40" ht="15.6" customHeight="1">
      <c r="D97" s="38">
        <v>95</v>
      </c>
      <c r="E97" s="39">
        <v>4554</v>
      </c>
      <c r="F97" s="40" t="s">
        <v>7365</v>
      </c>
      <c r="G97" s="40" t="s">
        <v>6733</v>
      </c>
      <c r="H97" s="40" t="s">
        <v>7366</v>
      </c>
      <c r="I97" s="39">
        <v>2</v>
      </c>
      <c r="J97" s="41">
        <v>44495.583333333343</v>
      </c>
      <c r="K97" s="41">
        <v>44614.416666666657</v>
      </c>
      <c r="V97" s="38">
        <v>95</v>
      </c>
      <c r="W97" s="38" t="str">
        <f t="shared" si="6"/>
        <v>屏東縣</v>
      </c>
      <c r="X97" s="45" t="s">
        <v>24</v>
      </c>
      <c r="Y97" s="45">
        <v>2</v>
      </c>
      <c r="Z97" s="45">
        <v>4996</v>
      </c>
      <c r="AA97" s="45" t="s">
        <v>7367</v>
      </c>
      <c r="AB97" s="45" t="s">
        <v>7368</v>
      </c>
      <c r="AC97" s="41">
        <v>45042.716666666667</v>
      </c>
      <c r="AD97" s="41">
        <v>45069.583333333343</v>
      </c>
      <c r="AF97" s="38">
        <v>95</v>
      </c>
      <c r="AG97" s="38" t="str">
        <f t="shared" si="7"/>
        <v>台北市</v>
      </c>
      <c r="AH97" s="45" t="s">
        <v>23</v>
      </c>
      <c r="AI97" s="46">
        <v>2</v>
      </c>
      <c r="AJ97" s="45">
        <v>3271</v>
      </c>
      <c r="AK97" s="45" t="s">
        <v>7369</v>
      </c>
      <c r="AL97" s="45" t="s">
        <v>7370</v>
      </c>
      <c r="AM97" s="41">
        <v>45070.36041666667</v>
      </c>
      <c r="AN97" s="41">
        <v>45085.625</v>
      </c>
    </row>
    <row r="98" spans="4:40" ht="15.6" customHeight="1">
      <c r="D98" s="38">
        <v>96</v>
      </c>
      <c r="E98" s="39">
        <v>3955</v>
      </c>
      <c r="F98" s="40" t="s">
        <v>627</v>
      </c>
      <c r="G98" s="40" t="s">
        <v>5281</v>
      </c>
      <c r="H98" s="40" t="s">
        <v>14</v>
      </c>
      <c r="I98" s="39">
        <v>2</v>
      </c>
      <c r="J98" s="41">
        <v>44495.4375</v>
      </c>
      <c r="K98" s="41">
        <v>44617.458333333343</v>
      </c>
      <c r="V98" s="38">
        <v>96</v>
      </c>
      <c r="W98" s="38" t="str">
        <f t="shared" si="6"/>
        <v>嘉義縣</v>
      </c>
      <c r="X98" s="45" t="s">
        <v>24</v>
      </c>
      <c r="Y98" s="45">
        <v>2</v>
      </c>
      <c r="Z98" s="45">
        <v>5089</v>
      </c>
      <c r="AA98" s="45" t="s">
        <v>7371</v>
      </c>
      <c r="AB98" s="45" t="s">
        <v>7372</v>
      </c>
      <c r="AC98" s="41">
        <v>45050.511805555558</v>
      </c>
      <c r="AD98" s="41">
        <v>45070.458333333343</v>
      </c>
      <c r="AF98" s="38">
        <v>96</v>
      </c>
      <c r="AG98" s="38" t="str">
        <f t="shared" si="7"/>
        <v>雲林縣</v>
      </c>
      <c r="AH98" s="45" t="s">
        <v>23</v>
      </c>
      <c r="AI98" s="46">
        <v>2</v>
      </c>
      <c r="AJ98" s="45">
        <v>3753</v>
      </c>
      <c r="AK98" s="45" t="s">
        <v>7373</v>
      </c>
      <c r="AL98" s="45" t="s">
        <v>7374</v>
      </c>
      <c r="AM98" s="41">
        <v>45079.720833333333</v>
      </c>
      <c r="AN98" s="41">
        <v>45086.458333333343</v>
      </c>
    </row>
    <row r="99" spans="4:40" ht="15.6" customHeight="1">
      <c r="D99" s="38">
        <v>97</v>
      </c>
      <c r="E99" s="39">
        <v>4683</v>
      </c>
      <c r="F99" s="40" t="s">
        <v>7375</v>
      </c>
      <c r="G99" s="40" t="s">
        <v>6735</v>
      </c>
      <c r="H99" s="40" t="s">
        <v>130</v>
      </c>
      <c r="I99" s="39">
        <v>2</v>
      </c>
      <c r="J99" s="41">
        <v>44495.5625</v>
      </c>
      <c r="K99" s="41">
        <v>44610.416666666657</v>
      </c>
      <c r="V99" s="38">
        <v>97</v>
      </c>
      <c r="W99" s="38" t="str">
        <f t="shared" ref="W99:W130" si="8">LEFT(AB99,3)</f>
        <v>雲林縣</v>
      </c>
      <c r="X99" s="45" t="s">
        <v>24</v>
      </c>
      <c r="Y99" s="45">
        <v>2</v>
      </c>
      <c r="Z99" s="45">
        <v>5086</v>
      </c>
      <c r="AA99" s="45" t="s">
        <v>7376</v>
      </c>
      <c r="AB99" s="45" t="s">
        <v>7377</v>
      </c>
      <c r="AC99" s="41">
        <v>45050.627083333333</v>
      </c>
      <c r="AD99" s="41">
        <v>45071.416666666657</v>
      </c>
      <c r="AF99" s="38">
        <v>97</v>
      </c>
      <c r="AG99" s="38" t="str">
        <f t="shared" si="7"/>
        <v>新竹縣</v>
      </c>
      <c r="AH99" s="45" t="s">
        <v>23</v>
      </c>
      <c r="AI99" s="46">
        <v>2</v>
      </c>
      <c r="AJ99" s="45">
        <v>4988</v>
      </c>
      <c r="AK99" s="45" t="s">
        <v>7378</v>
      </c>
      <c r="AL99" s="45" t="s">
        <v>7379</v>
      </c>
      <c r="AM99" s="41">
        <v>45065.630555555559</v>
      </c>
      <c r="AN99" s="41">
        <v>45096.625</v>
      </c>
    </row>
    <row r="100" spans="4:40" ht="15.6" customHeight="1">
      <c r="D100" s="38">
        <v>98</v>
      </c>
      <c r="E100" s="39">
        <v>4643</v>
      </c>
      <c r="F100" s="40" t="s">
        <v>7380</v>
      </c>
      <c r="G100" s="40" t="s">
        <v>6735</v>
      </c>
      <c r="H100" s="40" t="s">
        <v>131</v>
      </c>
      <c r="I100" s="39">
        <v>2</v>
      </c>
      <c r="J100" s="41">
        <v>44495.583333333343</v>
      </c>
      <c r="K100" s="41">
        <v>44615.416666666657</v>
      </c>
      <c r="V100" s="38">
        <v>98</v>
      </c>
      <c r="W100" s="38" t="str">
        <f t="shared" si="8"/>
        <v>桃園市</v>
      </c>
      <c r="X100" s="45" t="s">
        <v>24</v>
      </c>
      <c r="Y100" s="45">
        <v>2</v>
      </c>
      <c r="Z100" s="45">
        <v>4825</v>
      </c>
      <c r="AA100" s="45" t="s">
        <v>2461</v>
      </c>
      <c r="AB100" s="45" t="s">
        <v>7381</v>
      </c>
      <c r="AC100" s="41">
        <v>45051.679166666669</v>
      </c>
      <c r="AD100" s="41">
        <v>45071.416666666657</v>
      </c>
      <c r="AF100" s="38">
        <v>98</v>
      </c>
      <c r="AG100" s="38" t="str">
        <f t="shared" si="7"/>
        <v>彰化縣</v>
      </c>
      <c r="AH100" s="45" t="s">
        <v>23</v>
      </c>
      <c r="AI100" s="46">
        <v>2</v>
      </c>
      <c r="AJ100" s="45">
        <v>3617</v>
      </c>
      <c r="AK100" s="45" t="s">
        <v>7382</v>
      </c>
      <c r="AL100" s="45" t="s">
        <v>7383</v>
      </c>
      <c r="AM100" s="41">
        <v>45082.727083333331</v>
      </c>
      <c r="AN100" s="41">
        <v>45097.625</v>
      </c>
    </row>
    <row r="101" spans="4:40" ht="15.6" customHeight="1">
      <c r="D101" s="38">
        <v>99</v>
      </c>
      <c r="E101" s="39">
        <v>4679</v>
      </c>
      <c r="F101" s="40" t="s">
        <v>1174</v>
      </c>
      <c r="G101" s="40" t="s">
        <v>5281</v>
      </c>
      <c r="H101" s="40" t="s">
        <v>11</v>
      </c>
      <c r="I101" s="39">
        <v>2</v>
      </c>
      <c r="J101" s="41">
        <v>44496.458333333343</v>
      </c>
      <c r="K101" s="41">
        <v>44609.4375</v>
      </c>
      <c r="V101" s="38">
        <v>99</v>
      </c>
      <c r="W101" s="38" t="str">
        <f t="shared" si="8"/>
        <v>桃園市</v>
      </c>
      <c r="X101" s="45" t="s">
        <v>24</v>
      </c>
      <c r="Y101" s="45">
        <v>2</v>
      </c>
      <c r="Z101" s="45">
        <v>5087</v>
      </c>
      <c r="AA101" s="45" t="s">
        <v>7384</v>
      </c>
      <c r="AB101" s="45" t="s">
        <v>7385</v>
      </c>
      <c r="AC101" s="41">
        <v>45056.468055555553</v>
      </c>
      <c r="AD101" s="41">
        <v>45075.458333333343</v>
      </c>
      <c r="AF101" s="38">
        <v>99</v>
      </c>
      <c r="AG101" s="38" t="str">
        <f t="shared" si="7"/>
        <v>台中市</v>
      </c>
      <c r="AH101" s="45" t="s">
        <v>23</v>
      </c>
      <c r="AI101" s="46">
        <v>3</v>
      </c>
      <c r="AJ101" s="45">
        <v>4193</v>
      </c>
      <c r="AK101" s="45" t="s">
        <v>7386</v>
      </c>
      <c r="AL101" s="45" t="s">
        <v>7387</v>
      </c>
      <c r="AM101" s="41">
        <v>45069.564583333333</v>
      </c>
      <c r="AN101" s="41">
        <v>45098.625</v>
      </c>
    </row>
    <row r="102" spans="4:40" ht="15.6" customHeight="1">
      <c r="D102" s="38">
        <v>100</v>
      </c>
      <c r="E102" s="39">
        <v>3959</v>
      </c>
      <c r="F102" s="53" t="s">
        <v>7388</v>
      </c>
      <c r="G102" s="40" t="s">
        <v>6790</v>
      </c>
      <c r="H102" s="40" t="s">
        <v>6853</v>
      </c>
      <c r="I102" s="39">
        <v>2</v>
      </c>
      <c r="J102" s="41">
        <v>44495.4375</v>
      </c>
      <c r="K102" s="41">
        <v>44610.4375</v>
      </c>
      <c r="V102" s="38">
        <v>100</v>
      </c>
      <c r="W102" s="38" t="str">
        <f t="shared" si="8"/>
        <v>台中市</v>
      </c>
      <c r="X102" s="45" t="s">
        <v>24</v>
      </c>
      <c r="Y102" s="45">
        <v>2</v>
      </c>
      <c r="Z102" s="45">
        <v>5025</v>
      </c>
      <c r="AA102" s="45" t="s">
        <v>7389</v>
      </c>
      <c r="AB102" s="45" t="s">
        <v>7390</v>
      </c>
      <c r="AC102" s="41">
        <v>45063.588194444441</v>
      </c>
      <c r="AD102" s="41">
        <v>45082.625</v>
      </c>
      <c r="AF102" s="38">
        <v>100</v>
      </c>
      <c r="AG102" s="38" t="str">
        <f t="shared" si="7"/>
        <v>新北市</v>
      </c>
      <c r="AH102" s="45" t="s">
        <v>23</v>
      </c>
      <c r="AI102" s="46">
        <v>3</v>
      </c>
      <c r="AJ102" s="45">
        <v>4256</v>
      </c>
      <c r="AK102" s="45" t="s">
        <v>7391</v>
      </c>
      <c r="AL102" s="45" t="s">
        <v>5311</v>
      </c>
      <c r="AM102" s="41">
        <v>45082.694444444453</v>
      </c>
      <c r="AN102" s="41">
        <v>45111.625</v>
      </c>
    </row>
    <row r="103" spans="4:40" ht="15.6" customHeight="1">
      <c r="D103" s="38">
        <v>101</v>
      </c>
      <c r="E103" s="39">
        <v>4630</v>
      </c>
      <c r="F103" s="53" t="s">
        <v>7392</v>
      </c>
      <c r="G103" s="40" t="s">
        <v>6790</v>
      </c>
      <c r="H103" s="40" t="s">
        <v>7393</v>
      </c>
      <c r="I103" s="39">
        <v>2</v>
      </c>
      <c r="J103" s="41">
        <v>44495.604166666657</v>
      </c>
      <c r="K103" s="41">
        <v>44607.604166666657</v>
      </c>
      <c r="V103" s="38">
        <v>101</v>
      </c>
      <c r="W103" s="38" t="str">
        <f t="shared" si="8"/>
        <v>台北市</v>
      </c>
      <c r="X103" s="45" t="s">
        <v>24</v>
      </c>
      <c r="Y103" s="45">
        <v>2</v>
      </c>
      <c r="Z103" s="45">
        <v>4772</v>
      </c>
      <c r="AA103" s="45" t="s">
        <v>7394</v>
      </c>
      <c r="AB103" s="45" t="s">
        <v>7395</v>
      </c>
      <c r="AC103" s="41">
        <v>45070.36041666667</v>
      </c>
      <c r="AD103" s="41">
        <v>45085.458333333343</v>
      </c>
      <c r="AF103" s="38">
        <v>101</v>
      </c>
      <c r="AG103" s="38" t="str">
        <f t="shared" si="7"/>
        <v>台北市</v>
      </c>
      <c r="AH103" s="45" t="s">
        <v>23</v>
      </c>
      <c r="AI103" s="46">
        <v>2</v>
      </c>
      <c r="AJ103" s="45">
        <v>4936</v>
      </c>
      <c r="AK103" s="45" t="s">
        <v>7396</v>
      </c>
      <c r="AL103" s="45" t="s">
        <v>7397</v>
      </c>
      <c r="AM103" s="41">
        <v>45121.411111111112</v>
      </c>
      <c r="AN103" s="41">
        <v>45139.458333333343</v>
      </c>
    </row>
    <row r="104" spans="4:40" ht="15.6" customHeight="1">
      <c r="D104" s="38">
        <v>102</v>
      </c>
      <c r="E104" s="39">
        <v>4688</v>
      </c>
      <c r="F104" s="53" t="s">
        <v>7398</v>
      </c>
      <c r="G104" s="40" t="s">
        <v>6782</v>
      </c>
      <c r="H104" s="40" t="s">
        <v>6784</v>
      </c>
      <c r="I104" s="39">
        <v>2</v>
      </c>
      <c r="J104" s="41">
        <v>44496.416666666657</v>
      </c>
      <c r="K104" s="41">
        <v>44608.604166666657</v>
      </c>
      <c r="V104" s="38">
        <v>102</v>
      </c>
      <c r="W104" s="38" t="str">
        <f t="shared" si="8"/>
        <v>新北市</v>
      </c>
      <c r="X104" s="45" t="s">
        <v>24</v>
      </c>
      <c r="Y104" s="45">
        <v>2</v>
      </c>
      <c r="Z104" s="45">
        <v>5101</v>
      </c>
      <c r="AA104" s="45" t="s">
        <v>190</v>
      </c>
      <c r="AB104" s="45" t="s">
        <v>7399</v>
      </c>
      <c r="AC104" s="41">
        <v>45075.423611111109</v>
      </c>
      <c r="AD104" s="41">
        <v>45090.458333333343</v>
      </c>
      <c r="AF104" s="38">
        <v>102</v>
      </c>
      <c r="AG104" s="38" t="str">
        <f t="shared" si="7"/>
        <v>台北市</v>
      </c>
      <c r="AH104" s="45" t="s">
        <v>23</v>
      </c>
      <c r="AI104" s="46">
        <v>2</v>
      </c>
      <c r="AJ104" s="45">
        <v>4092</v>
      </c>
      <c r="AK104" s="45" t="s">
        <v>7400</v>
      </c>
      <c r="AL104" s="45" t="s">
        <v>7401</v>
      </c>
      <c r="AM104" s="41">
        <v>45124.374305555553</v>
      </c>
      <c r="AN104" s="41">
        <v>45139.458333333343</v>
      </c>
    </row>
    <row r="105" spans="4:40" ht="15.6" customHeight="1">
      <c r="D105" s="38">
        <v>103</v>
      </c>
      <c r="E105" s="39">
        <v>4615</v>
      </c>
      <c r="F105" s="40" t="s">
        <v>7402</v>
      </c>
      <c r="G105" s="40" t="s">
        <v>6782</v>
      </c>
      <c r="H105" s="40" t="s">
        <v>7403</v>
      </c>
      <c r="I105" s="39">
        <v>2</v>
      </c>
      <c r="J105" s="41">
        <v>44496.583333333343</v>
      </c>
      <c r="K105" s="41">
        <v>44580.604166666657</v>
      </c>
      <c r="V105" s="38">
        <v>103</v>
      </c>
      <c r="W105" s="38" t="str">
        <f t="shared" si="8"/>
        <v>屏東縣</v>
      </c>
      <c r="X105" s="45" t="s">
        <v>24</v>
      </c>
      <c r="Y105" s="45">
        <v>2</v>
      </c>
      <c r="Z105" s="45">
        <v>5096</v>
      </c>
      <c r="AA105" s="45" t="s">
        <v>7404</v>
      </c>
      <c r="AB105" s="45" t="s">
        <v>7405</v>
      </c>
      <c r="AC105" s="41">
        <v>45064.602777777778</v>
      </c>
      <c r="AD105" s="41">
        <v>45090.625</v>
      </c>
      <c r="AF105" s="38">
        <v>103</v>
      </c>
      <c r="AG105" s="38" t="str">
        <f t="shared" si="7"/>
        <v>新北市</v>
      </c>
      <c r="AH105" s="45" t="s">
        <v>23</v>
      </c>
      <c r="AI105" s="46">
        <v>2</v>
      </c>
      <c r="AJ105" s="45">
        <v>3890</v>
      </c>
      <c r="AK105" s="45" t="s">
        <v>821</v>
      </c>
      <c r="AL105" s="45" t="s">
        <v>5418</v>
      </c>
      <c r="AM105" s="41">
        <v>45140.57916666667</v>
      </c>
      <c r="AN105" s="41">
        <v>45140.729166666657</v>
      </c>
    </row>
    <row r="106" spans="4:40" ht="15.6" customHeight="1">
      <c r="D106" s="38">
        <v>104</v>
      </c>
      <c r="E106" s="39">
        <v>4578</v>
      </c>
      <c r="F106" s="40" t="s">
        <v>7406</v>
      </c>
      <c r="G106" s="40" t="s">
        <v>6790</v>
      </c>
      <c r="H106" s="40" t="s">
        <v>7132</v>
      </c>
      <c r="I106" s="39">
        <v>2</v>
      </c>
      <c r="J106" s="41">
        <v>44497.5625</v>
      </c>
      <c r="K106" s="41">
        <v>44613.458333333343</v>
      </c>
      <c r="V106" s="38">
        <v>104</v>
      </c>
      <c r="W106" s="38" t="str">
        <f t="shared" si="8"/>
        <v>新竹縣</v>
      </c>
      <c r="X106" s="45" t="s">
        <v>24</v>
      </c>
      <c r="Y106" s="45">
        <v>2</v>
      </c>
      <c r="Z106" s="45">
        <v>5019</v>
      </c>
      <c r="AA106" s="45" t="s">
        <v>7407</v>
      </c>
      <c r="AB106" s="45" t="s">
        <v>7408</v>
      </c>
      <c r="AC106" s="41">
        <v>45071.695833333331</v>
      </c>
      <c r="AD106" s="41">
        <v>45092.458333333343</v>
      </c>
      <c r="AF106" s="38">
        <v>104</v>
      </c>
      <c r="AG106" s="38" t="str">
        <f t="shared" si="7"/>
        <v>新竹縣</v>
      </c>
      <c r="AH106" s="45" t="s">
        <v>23</v>
      </c>
      <c r="AI106" s="46">
        <v>2</v>
      </c>
      <c r="AJ106" s="45">
        <v>3015</v>
      </c>
      <c r="AK106" s="45" t="s">
        <v>7409</v>
      </c>
      <c r="AL106" s="45" t="s">
        <v>7410</v>
      </c>
      <c r="AM106" s="41">
        <v>45148.579861111109</v>
      </c>
      <c r="AN106" s="41">
        <v>45162.625</v>
      </c>
    </row>
    <row r="107" spans="4:40" ht="15.6" customHeight="1">
      <c r="D107" s="38">
        <v>105</v>
      </c>
      <c r="E107" s="39">
        <v>4590</v>
      </c>
      <c r="F107" s="40" t="s">
        <v>7411</v>
      </c>
      <c r="G107" s="40" t="s">
        <v>6756</v>
      </c>
      <c r="H107" s="40" t="s">
        <v>7412</v>
      </c>
      <c r="I107" s="39">
        <v>2</v>
      </c>
      <c r="J107" s="41">
        <v>44494.583333333343</v>
      </c>
      <c r="K107" s="41">
        <v>44579.583333333343</v>
      </c>
      <c r="V107" s="38">
        <v>105</v>
      </c>
      <c r="W107" s="38" t="str">
        <f t="shared" si="8"/>
        <v>台中市</v>
      </c>
      <c r="X107" s="45" t="s">
        <v>24</v>
      </c>
      <c r="Y107" s="45">
        <v>2</v>
      </c>
      <c r="Z107" s="45">
        <v>5021</v>
      </c>
      <c r="AA107" s="45" t="s">
        <v>7413</v>
      </c>
      <c r="AB107" s="45" t="s">
        <v>7414</v>
      </c>
      <c r="AC107" s="41">
        <v>45075.592361111107</v>
      </c>
      <c r="AD107" s="41">
        <v>45092.458333333343</v>
      </c>
      <c r="AF107" s="38">
        <v>105</v>
      </c>
      <c r="AG107" s="38" t="str">
        <f t="shared" si="7"/>
        <v>新竹市</v>
      </c>
      <c r="AH107" s="45" t="s">
        <v>23</v>
      </c>
      <c r="AI107" s="46">
        <v>2</v>
      </c>
      <c r="AJ107" s="45" t="s">
        <v>7415</v>
      </c>
      <c r="AK107" s="45" t="s">
        <v>7416</v>
      </c>
      <c r="AL107" s="45" t="s">
        <v>7417</v>
      </c>
      <c r="AM107" s="41">
        <v>45149.405555555553</v>
      </c>
      <c r="AN107" s="41">
        <v>45166.625</v>
      </c>
    </row>
    <row r="108" spans="4:40" ht="15.6" customHeight="1">
      <c r="D108" s="38">
        <v>106</v>
      </c>
      <c r="E108" s="39">
        <v>4842</v>
      </c>
      <c r="F108" s="40" t="s">
        <v>7418</v>
      </c>
      <c r="G108" s="40" t="s">
        <v>6756</v>
      </c>
      <c r="H108" s="40" t="s">
        <v>6757</v>
      </c>
      <c r="I108" s="39">
        <v>2</v>
      </c>
      <c r="J108" s="41">
        <v>44494.583333333343</v>
      </c>
      <c r="K108" s="41">
        <v>44606.4375</v>
      </c>
      <c r="V108" s="38">
        <v>106</v>
      </c>
      <c r="W108" s="38" t="str">
        <f t="shared" si="8"/>
        <v>台中市</v>
      </c>
      <c r="X108" s="45" t="s">
        <v>24</v>
      </c>
      <c r="Y108" s="45">
        <v>2</v>
      </c>
      <c r="Z108" s="45">
        <v>5047</v>
      </c>
      <c r="AA108" s="45" t="s">
        <v>7419</v>
      </c>
      <c r="AB108" s="45" t="s">
        <v>7420</v>
      </c>
      <c r="AC108" s="41">
        <v>45064.65</v>
      </c>
      <c r="AD108" s="41">
        <v>45092.625</v>
      </c>
      <c r="AF108" s="38">
        <v>106</v>
      </c>
      <c r="AG108" s="38" t="str">
        <f t="shared" si="7"/>
        <v>新北市</v>
      </c>
      <c r="AH108" s="45" t="s">
        <v>23</v>
      </c>
      <c r="AI108" s="46">
        <v>2</v>
      </c>
      <c r="AJ108" s="45">
        <v>4799</v>
      </c>
      <c r="AK108" s="45" t="s">
        <v>7421</v>
      </c>
      <c r="AL108" s="45" t="s">
        <v>7422</v>
      </c>
      <c r="AM108" s="41">
        <v>45153.765972222223</v>
      </c>
      <c r="AN108" s="41">
        <v>45167.625</v>
      </c>
    </row>
    <row r="109" spans="4:40" ht="15.6" customHeight="1">
      <c r="D109" s="38">
        <v>107</v>
      </c>
      <c r="E109" s="39">
        <v>4741</v>
      </c>
      <c r="F109" s="40" t="s">
        <v>7423</v>
      </c>
      <c r="G109" s="40" t="s">
        <v>6756</v>
      </c>
      <c r="H109" s="40" t="s">
        <v>7165</v>
      </c>
      <c r="I109" s="39">
        <v>2</v>
      </c>
      <c r="J109" s="41">
        <v>44494.583333333343</v>
      </c>
      <c r="K109" s="41">
        <v>44607.4375</v>
      </c>
      <c r="V109" s="38">
        <v>107</v>
      </c>
      <c r="W109" s="38" t="str">
        <f t="shared" si="8"/>
        <v>嘉義縣</v>
      </c>
      <c r="X109" s="45" t="s">
        <v>24</v>
      </c>
      <c r="Y109" s="45">
        <v>2</v>
      </c>
      <c r="Z109" s="45">
        <v>5102</v>
      </c>
      <c r="AA109" s="45" t="s">
        <v>7424</v>
      </c>
      <c r="AB109" s="45" t="s">
        <v>7425</v>
      </c>
      <c r="AC109" s="41">
        <v>45076.717361111107</v>
      </c>
      <c r="AD109" s="41">
        <v>45097.458333333343</v>
      </c>
      <c r="AF109" s="38">
        <v>107</v>
      </c>
      <c r="AG109" s="38" t="str">
        <f t="shared" si="7"/>
        <v>新北市</v>
      </c>
      <c r="AH109" s="45" t="s">
        <v>23</v>
      </c>
      <c r="AI109" s="46">
        <v>2</v>
      </c>
      <c r="AJ109" s="45">
        <v>5052</v>
      </c>
      <c r="AK109" s="45" t="s">
        <v>7204</v>
      </c>
      <c r="AL109" s="45" t="s">
        <v>7205</v>
      </c>
      <c r="AM109" s="41">
        <v>45153.754861111112</v>
      </c>
      <c r="AN109" s="41">
        <v>45168.625</v>
      </c>
    </row>
    <row r="110" spans="4:40" ht="15.6" customHeight="1">
      <c r="D110" s="38">
        <v>108</v>
      </c>
      <c r="E110" s="39">
        <v>4632</v>
      </c>
      <c r="F110" s="40" t="s">
        <v>7426</v>
      </c>
      <c r="G110" s="40" t="s">
        <v>6816</v>
      </c>
      <c r="H110" s="40" t="s">
        <v>6906</v>
      </c>
      <c r="I110" s="39">
        <v>2</v>
      </c>
      <c r="J110" s="41">
        <v>44495.583333333343</v>
      </c>
      <c r="K110" s="41">
        <v>44579.583333333343</v>
      </c>
      <c r="V110" s="38">
        <v>108</v>
      </c>
      <c r="W110" s="38" t="str">
        <f t="shared" si="8"/>
        <v>雲林縣</v>
      </c>
      <c r="X110" s="45" t="s">
        <v>24</v>
      </c>
      <c r="Y110" s="45">
        <v>2</v>
      </c>
      <c r="Z110" s="45">
        <v>5097</v>
      </c>
      <c r="AA110" s="45" t="s">
        <v>7427</v>
      </c>
      <c r="AB110" s="45" t="s">
        <v>7428</v>
      </c>
      <c r="AC110" s="41">
        <v>45076.756249999999</v>
      </c>
      <c r="AD110" s="41">
        <v>45097.625</v>
      </c>
      <c r="AF110" s="38">
        <v>108</v>
      </c>
      <c r="AG110" s="38" t="str">
        <f t="shared" si="7"/>
        <v>彰化縣</v>
      </c>
      <c r="AH110" s="45" t="s">
        <v>23</v>
      </c>
      <c r="AI110" s="46">
        <v>2</v>
      </c>
      <c r="AJ110" s="45">
        <v>3138</v>
      </c>
      <c r="AK110" s="45" t="s">
        <v>7429</v>
      </c>
      <c r="AL110" s="45" t="s">
        <v>7430</v>
      </c>
      <c r="AM110" s="41">
        <v>45170.659722222219</v>
      </c>
      <c r="AN110" s="41">
        <v>45181.458333333343</v>
      </c>
    </row>
    <row r="111" spans="4:40" ht="15.6" customHeight="1">
      <c r="D111" s="38">
        <v>109</v>
      </c>
      <c r="E111" s="39">
        <v>4611</v>
      </c>
      <c r="F111" s="40" t="s">
        <v>7431</v>
      </c>
      <c r="G111" s="40" t="s">
        <v>6816</v>
      </c>
      <c r="H111" s="40" t="s">
        <v>7432</v>
      </c>
      <c r="I111" s="39">
        <v>2</v>
      </c>
      <c r="J111" s="41">
        <v>44495.583333333343</v>
      </c>
      <c r="K111" s="41">
        <v>44608.458333333343</v>
      </c>
      <c r="V111" s="38">
        <v>109</v>
      </c>
      <c r="W111" s="38" t="str">
        <f t="shared" si="8"/>
        <v>桃園市</v>
      </c>
      <c r="X111" s="45" t="s">
        <v>24</v>
      </c>
      <c r="Y111" s="45">
        <v>2</v>
      </c>
      <c r="Z111" s="45">
        <v>5017</v>
      </c>
      <c r="AA111" s="45" t="s">
        <v>7433</v>
      </c>
      <c r="AB111" s="45" t="s">
        <v>7434</v>
      </c>
      <c r="AC111" s="41">
        <v>45085.479166666657</v>
      </c>
      <c r="AD111" s="41">
        <v>45105.458333333343</v>
      </c>
      <c r="AF111" s="38">
        <v>109</v>
      </c>
      <c r="AG111" s="38" t="str">
        <f t="shared" si="7"/>
        <v>新竹市</v>
      </c>
      <c r="AH111" s="45" t="s">
        <v>23</v>
      </c>
      <c r="AI111" s="46">
        <v>2</v>
      </c>
      <c r="AJ111" s="45">
        <v>4142</v>
      </c>
      <c r="AK111" s="45" t="s">
        <v>7435</v>
      </c>
      <c r="AL111" s="45" t="s">
        <v>7436</v>
      </c>
      <c r="AM111" s="41">
        <v>45167.736111111109</v>
      </c>
      <c r="AN111" s="41">
        <v>45182.625</v>
      </c>
    </row>
    <row r="112" spans="4:40" ht="15.6" customHeight="1">
      <c r="D112" s="38">
        <v>110</v>
      </c>
      <c r="E112" s="39">
        <v>2503</v>
      </c>
      <c r="F112" s="40" t="s">
        <v>7437</v>
      </c>
      <c r="G112" s="40" t="s">
        <v>6826</v>
      </c>
      <c r="H112" s="40" t="s">
        <v>7438</v>
      </c>
      <c r="I112" s="39">
        <v>2</v>
      </c>
      <c r="J112" s="41">
        <v>44495.583333333343</v>
      </c>
      <c r="K112" s="41">
        <v>44614.458333333343</v>
      </c>
      <c r="V112" s="38">
        <v>110</v>
      </c>
      <c r="W112" s="38" t="str">
        <f t="shared" si="8"/>
        <v>新北市</v>
      </c>
      <c r="X112" s="45" t="s">
        <v>24</v>
      </c>
      <c r="Y112" s="45">
        <v>2</v>
      </c>
      <c r="Z112" s="45">
        <v>4906</v>
      </c>
      <c r="AA112" s="45" t="s">
        <v>2280</v>
      </c>
      <c r="AB112" s="45" t="s">
        <v>7439</v>
      </c>
      <c r="AC112" s="41">
        <v>45086.472222222219</v>
      </c>
      <c r="AD112" s="41">
        <v>45106.458333333343</v>
      </c>
      <c r="AF112" s="38">
        <v>110</v>
      </c>
      <c r="AG112" s="38" t="str">
        <f t="shared" si="7"/>
        <v>嘉義市</v>
      </c>
      <c r="AH112" s="45" t="s">
        <v>23</v>
      </c>
      <c r="AI112" s="46">
        <v>2</v>
      </c>
      <c r="AJ112" s="45">
        <v>4185</v>
      </c>
      <c r="AK112" s="45" t="s">
        <v>7440</v>
      </c>
      <c r="AL112" s="45" t="s">
        <v>7441</v>
      </c>
      <c r="AM112" s="41">
        <v>45163.550694444442</v>
      </c>
      <c r="AN112" s="41">
        <v>45183.458333333343</v>
      </c>
    </row>
    <row r="113" spans="4:40" ht="15.6" customHeight="1">
      <c r="D113" s="38">
        <v>111</v>
      </c>
      <c r="E113" s="39">
        <v>4515</v>
      </c>
      <c r="F113" s="40" t="s">
        <v>7442</v>
      </c>
      <c r="G113" s="40" t="s">
        <v>6826</v>
      </c>
      <c r="H113" s="40" t="s">
        <v>7438</v>
      </c>
      <c r="I113" s="39">
        <v>2</v>
      </c>
      <c r="J113" s="41">
        <v>44495.583333333343</v>
      </c>
      <c r="K113" s="41">
        <v>44614.458333333343</v>
      </c>
      <c r="V113" s="38">
        <v>111</v>
      </c>
      <c r="W113" s="38" t="str">
        <f t="shared" si="8"/>
        <v>屏東縣</v>
      </c>
      <c r="X113" s="45" t="s">
        <v>24</v>
      </c>
      <c r="Y113" s="45">
        <v>2</v>
      </c>
      <c r="Z113" s="45">
        <v>5109</v>
      </c>
      <c r="AA113" s="45" t="s">
        <v>7443</v>
      </c>
      <c r="AB113" s="45" t="s">
        <v>7444</v>
      </c>
      <c r="AC113" s="41">
        <v>45086.695138888892</v>
      </c>
      <c r="AD113" s="41">
        <v>45118.625</v>
      </c>
      <c r="AF113" s="38">
        <v>111</v>
      </c>
      <c r="AG113" s="38" t="str">
        <f t="shared" si="7"/>
        <v>新北市</v>
      </c>
      <c r="AH113" s="45" t="s">
        <v>23</v>
      </c>
      <c r="AI113" s="46">
        <v>2</v>
      </c>
      <c r="AJ113" s="45" t="s">
        <v>7445</v>
      </c>
      <c r="AK113" s="45" t="s">
        <v>7446</v>
      </c>
      <c r="AL113" s="45" t="s">
        <v>7447</v>
      </c>
      <c r="AM113" s="41">
        <v>45174.727083333331</v>
      </c>
      <c r="AN113" s="41">
        <v>45187.625</v>
      </c>
    </row>
    <row r="114" spans="4:40" ht="15.6" customHeight="1">
      <c r="D114" s="38">
        <v>112</v>
      </c>
      <c r="E114" s="39">
        <v>4520</v>
      </c>
      <c r="F114" s="40" t="s">
        <v>7448</v>
      </c>
      <c r="G114" s="40" t="s">
        <v>6808</v>
      </c>
      <c r="H114" s="40" t="s">
        <v>7449</v>
      </c>
      <c r="I114" s="39">
        <v>2</v>
      </c>
      <c r="J114" s="41">
        <v>44496.583333333343</v>
      </c>
      <c r="K114" s="41">
        <v>44614.458333333343</v>
      </c>
      <c r="V114" s="38">
        <v>112</v>
      </c>
      <c r="W114" s="38" t="str">
        <f t="shared" si="8"/>
        <v>雲林縣</v>
      </c>
      <c r="X114" s="45" t="s">
        <v>24</v>
      </c>
      <c r="Y114" s="45">
        <v>2</v>
      </c>
      <c r="Z114" s="45">
        <v>5108</v>
      </c>
      <c r="AA114" s="45" t="s">
        <v>7450</v>
      </c>
      <c r="AB114" s="45" t="s">
        <v>7451</v>
      </c>
      <c r="AC114" s="41">
        <v>45096.397916666669</v>
      </c>
      <c r="AD114" s="41">
        <v>45118.625</v>
      </c>
      <c r="AF114" s="38">
        <v>112</v>
      </c>
      <c r="AG114" s="38" t="str">
        <f t="shared" si="7"/>
        <v>台北市</v>
      </c>
      <c r="AH114" s="45" t="s">
        <v>23</v>
      </c>
      <c r="AI114" s="46">
        <v>2</v>
      </c>
      <c r="AJ114" s="45">
        <v>2051</v>
      </c>
      <c r="AK114" s="45" t="s">
        <v>7452</v>
      </c>
      <c r="AL114" s="45" t="s">
        <v>7453</v>
      </c>
      <c r="AM114" s="41">
        <v>45167.455555555563</v>
      </c>
      <c r="AN114" s="41">
        <v>45188.458333333343</v>
      </c>
    </row>
    <row r="115" spans="4:40" ht="15.6" customHeight="1">
      <c r="D115" s="38">
        <v>113</v>
      </c>
      <c r="E115" s="39">
        <v>4810</v>
      </c>
      <c r="F115" s="40" t="s">
        <v>7454</v>
      </c>
      <c r="G115" s="40" t="s">
        <v>6808</v>
      </c>
      <c r="H115" s="40" t="s">
        <v>7449</v>
      </c>
      <c r="I115" s="39">
        <v>2</v>
      </c>
      <c r="J115" s="41">
        <v>44496.583333333343</v>
      </c>
      <c r="K115" s="41">
        <v>44614.458333333343</v>
      </c>
      <c r="V115" s="38">
        <v>113</v>
      </c>
      <c r="W115" s="38" t="str">
        <f t="shared" si="8"/>
        <v>高雄市</v>
      </c>
      <c r="X115" s="45" t="s">
        <v>24</v>
      </c>
      <c r="Y115" s="45">
        <v>2</v>
      </c>
      <c r="Z115" s="45">
        <v>5111</v>
      </c>
      <c r="AA115" s="45" t="s">
        <v>7455</v>
      </c>
      <c r="AB115" s="45" t="s">
        <v>7456</v>
      </c>
      <c r="AC115" s="41">
        <v>45106.734722222223</v>
      </c>
      <c r="AD115" s="41">
        <v>45131.458333333343</v>
      </c>
      <c r="AF115" s="38">
        <v>113</v>
      </c>
      <c r="AG115" s="38" t="str">
        <f t="shared" si="7"/>
        <v>彰化縣</v>
      </c>
      <c r="AH115" s="45" t="s">
        <v>23</v>
      </c>
      <c r="AI115" s="46">
        <v>2</v>
      </c>
      <c r="AJ115" s="45">
        <v>5045</v>
      </c>
      <c r="AK115" s="45" t="s">
        <v>7227</v>
      </c>
      <c r="AL115" s="45" t="s">
        <v>7457</v>
      </c>
      <c r="AM115" s="41">
        <v>45170.694444444453</v>
      </c>
      <c r="AN115" s="41">
        <v>45188.458333333343</v>
      </c>
    </row>
    <row r="116" spans="4:40" ht="15.6" customHeight="1">
      <c r="D116" s="38">
        <v>114</v>
      </c>
      <c r="E116" s="39">
        <v>2839</v>
      </c>
      <c r="F116" s="40" t="s">
        <v>7458</v>
      </c>
      <c r="G116" s="40" t="s">
        <v>6808</v>
      </c>
      <c r="H116" s="40" t="s">
        <v>7459</v>
      </c>
      <c r="I116" s="39">
        <v>2</v>
      </c>
      <c r="J116" s="41">
        <v>44497.583333333343</v>
      </c>
      <c r="K116" s="41">
        <v>44615.458333333343</v>
      </c>
      <c r="V116" s="38">
        <v>114</v>
      </c>
      <c r="W116" s="38" t="str">
        <f t="shared" si="8"/>
        <v>桃園市</v>
      </c>
      <c r="X116" s="45" t="s">
        <v>24</v>
      </c>
      <c r="Y116" s="45">
        <v>2</v>
      </c>
      <c r="Z116" s="45">
        <v>5103</v>
      </c>
      <c r="AA116" s="45" t="s">
        <v>7460</v>
      </c>
      <c r="AB116" s="45" t="s">
        <v>7461</v>
      </c>
      <c r="AC116" s="41">
        <v>45107.621527777781</v>
      </c>
      <c r="AD116" s="41">
        <v>45132.458333333343</v>
      </c>
      <c r="AF116" s="38">
        <v>114</v>
      </c>
      <c r="AG116" s="38" t="str">
        <f t="shared" si="7"/>
        <v>新竹縣</v>
      </c>
      <c r="AH116" s="45" t="s">
        <v>23</v>
      </c>
      <c r="AI116" s="46">
        <v>2</v>
      </c>
      <c r="AJ116" s="45">
        <v>4688</v>
      </c>
      <c r="AK116" s="45" t="s">
        <v>7398</v>
      </c>
      <c r="AL116" s="45" t="s">
        <v>7462</v>
      </c>
      <c r="AM116" s="41">
        <v>45161.719444444447</v>
      </c>
      <c r="AN116" s="41">
        <v>45189.625</v>
      </c>
    </row>
    <row r="117" spans="4:40" ht="15.6" customHeight="1">
      <c r="D117" s="38">
        <v>115</v>
      </c>
      <c r="E117" s="39">
        <v>4605</v>
      </c>
      <c r="F117" s="40" t="s">
        <v>7463</v>
      </c>
      <c r="G117" s="40" t="s">
        <v>6808</v>
      </c>
      <c r="H117" s="40" t="s">
        <v>7459</v>
      </c>
      <c r="I117" s="39">
        <v>2</v>
      </c>
      <c r="J117" s="41">
        <v>44497.583333333343</v>
      </c>
      <c r="K117" s="41">
        <v>44615.458333333343</v>
      </c>
      <c r="V117" s="38">
        <v>115</v>
      </c>
      <c r="W117" s="38" t="str">
        <f t="shared" si="8"/>
        <v>新北市</v>
      </c>
      <c r="X117" s="45" t="s">
        <v>24</v>
      </c>
      <c r="Y117" s="45">
        <v>2</v>
      </c>
      <c r="Z117" s="45">
        <v>5107</v>
      </c>
      <c r="AA117" s="45" t="s">
        <v>7464</v>
      </c>
      <c r="AB117" s="45" t="s">
        <v>7465</v>
      </c>
      <c r="AC117" s="41">
        <v>45114.5</v>
      </c>
      <c r="AD117" s="41">
        <v>45132.458333333343</v>
      </c>
      <c r="AF117" s="38">
        <v>115</v>
      </c>
      <c r="AG117" s="38" t="str">
        <f>IF(    AND((ISNA(VLOOKUP(AJ117,E:E,1,FALSE))),(ISNA(VLOOKUP(AJ117,N:N,1,FALSE))),(ISNA(VLOOKUP(AJ117,Z:Z,1,FALSE)))),"",LEFT(AL117,3))</f>
        <v>台北市</v>
      </c>
      <c r="AH117" s="45" t="s">
        <v>23</v>
      </c>
      <c r="AI117" s="46">
        <v>2</v>
      </c>
      <c r="AJ117" s="45">
        <v>4951</v>
      </c>
      <c r="AK117" s="45" t="s">
        <v>7466</v>
      </c>
      <c r="AL117" s="45" t="s">
        <v>7467</v>
      </c>
      <c r="AM117" s="41">
        <v>45175.602083333331</v>
      </c>
      <c r="AN117" s="41">
        <v>45189.625</v>
      </c>
    </row>
    <row r="118" spans="4:40" ht="15.6" customHeight="1">
      <c r="D118" s="38">
        <v>116</v>
      </c>
      <c r="E118" s="39">
        <v>4581</v>
      </c>
      <c r="F118" s="40" t="s">
        <v>7468</v>
      </c>
      <c r="G118" s="40" t="s">
        <v>6808</v>
      </c>
      <c r="H118" s="40" t="s">
        <v>6899</v>
      </c>
      <c r="I118" s="39">
        <v>2</v>
      </c>
      <c r="J118" s="41">
        <v>44497.583333333343</v>
      </c>
      <c r="K118" s="41">
        <v>44615.458333333343</v>
      </c>
      <c r="V118" s="38">
        <v>116</v>
      </c>
      <c r="W118" s="38" t="str">
        <f t="shared" si="8"/>
        <v>宜蘭縣</v>
      </c>
      <c r="X118" s="45" t="s">
        <v>24</v>
      </c>
      <c r="Y118" s="45">
        <v>2</v>
      </c>
      <c r="Z118" s="45">
        <v>5094</v>
      </c>
      <c r="AA118" s="45" t="s">
        <v>7469</v>
      </c>
      <c r="AB118" s="45" t="s">
        <v>7470</v>
      </c>
      <c r="AC118" s="41">
        <v>45114.620833333327</v>
      </c>
      <c r="AD118" s="41">
        <v>45132.625</v>
      </c>
      <c r="AF118" s="38">
        <v>116</v>
      </c>
      <c r="AG118" s="38" t="str">
        <f t="shared" ref="AG118:AG124" si="9">IF( AND((ISNA(VLOOKUP(AJ118,E:E,1,FALSE))),(ISNA(VLOOKUP(AJ118,N:N,1,FALSE))),(ISNA(VLOOKUP(AJ118,Z:Z,1,FALSE)))),"",LEFT(AL118,3))</f>
        <v>苗栗縣</v>
      </c>
      <c r="AH118" s="45" t="s">
        <v>23</v>
      </c>
      <c r="AI118" s="46">
        <v>2</v>
      </c>
      <c r="AJ118" s="45">
        <v>2602</v>
      </c>
      <c r="AK118" s="45" t="s">
        <v>7471</v>
      </c>
      <c r="AL118" s="45" t="s">
        <v>7472</v>
      </c>
      <c r="AM118" s="41">
        <v>45177.768055555563</v>
      </c>
      <c r="AN118" s="41">
        <v>45195.458333333343</v>
      </c>
    </row>
    <row r="119" spans="4:40" ht="15.6" customHeight="1">
      <c r="D119" s="38">
        <v>117</v>
      </c>
      <c r="E119" s="39">
        <v>2512</v>
      </c>
      <c r="F119" s="40" t="s">
        <v>7473</v>
      </c>
      <c r="G119" s="40" t="s">
        <v>6850</v>
      </c>
      <c r="H119" s="40" t="s">
        <v>6999</v>
      </c>
      <c r="I119" s="39">
        <v>2</v>
      </c>
      <c r="J119" s="41">
        <v>44494.4375</v>
      </c>
      <c r="K119" s="41">
        <v>44615.604166666657</v>
      </c>
      <c r="V119" s="38">
        <v>117</v>
      </c>
      <c r="W119" s="38" t="str">
        <f t="shared" si="8"/>
        <v>台中市</v>
      </c>
      <c r="X119" s="45" t="s">
        <v>24</v>
      </c>
      <c r="Y119" s="45">
        <v>2</v>
      </c>
      <c r="Z119" s="45">
        <v>5092</v>
      </c>
      <c r="AA119" s="45" t="s">
        <v>7474</v>
      </c>
      <c r="AB119" s="45" t="s">
        <v>7475</v>
      </c>
      <c r="AC119" s="41">
        <v>45114.765972222223</v>
      </c>
      <c r="AD119" s="41">
        <v>45132.625</v>
      </c>
      <c r="AF119" s="38">
        <v>117</v>
      </c>
      <c r="AG119" s="38" t="str">
        <f t="shared" si="9"/>
        <v>新北市</v>
      </c>
      <c r="AH119" s="45" t="s">
        <v>23</v>
      </c>
      <c r="AI119" s="46">
        <v>2</v>
      </c>
      <c r="AJ119" s="45" t="s">
        <v>7476</v>
      </c>
      <c r="AK119" s="45" t="s">
        <v>7477</v>
      </c>
      <c r="AL119" s="45" t="s">
        <v>7478</v>
      </c>
      <c r="AM119" s="41">
        <v>45189.428472222222</v>
      </c>
      <c r="AN119" s="41">
        <v>45197.625</v>
      </c>
    </row>
    <row r="120" spans="4:40" ht="15.6" customHeight="1">
      <c r="D120" s="38">
        <v>118</v>
      </c>
      <c r="E120" s="39">
        <v>4545</v>
      </c>
      <c r="F120" s="40" t="s">
        <v>6996</v>
      </c>
      <c r="G120" s="40" t="s">
        <v>6850</v>
      </c>
      <c r="H120" s="40" t="s">
        <v>7479</v>
      </c>
      <c r="I120" s="39">
        <v>2</v>
      </c>
      <c r="J120" s="41">
        <v>44494.583333333343</v>
      </c>
      <c r="K120" s="41">
        <v>44582.583333333343</v>
      </c>
      <c r="V120" s="38">
        <v>118</v>
      </c>
      <c r="W120" s="38" t="str">
        <f t="shared" si="8"/>
        <v>桃園市</v>
      </c>
      <c r="X120" s="45" t="s">
        <v>24</v>
      </c>
      <c r="Y120" s="45">
        <v>2</v>
      </c>
      <c r="Z120" s="45">
        <v>4946</v>
      </c>
      <c r="AA120" s="45" t="s">
        <v>7480</v>
      </c>
      <c r="AB120" s="45" t="s">
        <v>7481</v>
      </c>
      <c r="AC120" s="41">
        <v>45114.734027777777</v>
      </c>
      <c r="AD120" s="41">
        <v>45134.458333333343</v>
      </c>
      <c r="AF120" s="38">
        <v>118</v>
      </c>
      <c r="AG120" s="38" t="str">
        <f t="shared" si="9"/>
        <v>雲林縣</v>
      </c>
      <c r="AH120" s="45" t="s">
        <v>23</v>
      </c>
      <c r="AI120" s="46">
        <v>3</v>
      </c>
      <c r="AJ120" s="45">
        <v>4119</v>
      </c>
      <c r="AK120" s="45" t="s">
        <v>7482</v>
      </c>
      <c r="AL120" s="45" t="s">
        <v>7483</v>
      </c>
      <c r="AM120" s="41">
        <v>45191.361805555563</v>
      </c>
      <c r="AN120" s="41">
        <v>45197.708333333343</v>
      </c>
    </row>
    <row r="121" spans="4:40" ht="15.6" customHeight="1">
      <c r="D121" s="38">
        <v>119</v>
      </c>
      <c r="E121" s="39" t="s">
        <v>7484</v>
      </c>
      <c r="F121" s="40" t="s">
        <v>7485</v>
      </c>
      <c r="G121" s="40" t="s">
        <v>6792</v>
      </c>
      <c r="H121" s="40" t="s">
        <v>7050</v>
      </c>
      <c r="I121" s="39">
        <v>2</v>
      </c>
      <c r="J121" s="41">
        <v>44495.4375</v>
      </c>
      <c r="K121" s="41">
        <v>44606.4375</v>
      </c>
      <c r="V121" s="38">
        <v>119</v>
      </c>
      <c r="W121" s="38" t="str">
        <f t="shared" si="8"/>
        <v>台北市</v>
      </c>
      <c r="X121" s="45" t="s">
        <v>24</v>
      </c>
      <c r="Y121" s="45">
        <v>2</v>
      </c>
      <c r="Z121" s="45">
        <v>5130</v>
      </c>
      <c r="AA121" s="45" t="s">
        <v>7396</v>
      </c>
      <c r="AB121" s="45" t="s">
        <v>7397</v>
      </c>
      <c r="AC121" s="41">
        <v>45121.411111111112</v>
      </c>
      <c r="AD121" s="41">
        <v>45139.458333333343</v>
      </c>
      <c r="AF121" s="38">
        <v>119</v>
      </c>
      <c r="AG121" s="38" t="str">
        <f t="shared" si="9"/>
        <v>新北市</v>
      </c>
      <c r="AH121" s="45" t="s">
        <v>23</v>
      </c>
      <c r="AI121" s="46">
        <v>2</v>
      </c>
      <c r="AJ121" s="45">
        <v>2492</v>
      </c>
      <c r="AK121" s="45" t="s">
        <v>7486</v>
      </c>
      <c r="AL121" s="45" t="s">
        <v>7487</v>
      </c>
      <c r="AM121" s="41">
        <v>45215.684027777781</v>
      </c>
      <c r="AN121" s="41">
        <v>45229.625</v>
      </c>
    </row>
    <row r="122" spans="4:40" ht="15.6" customHeight="1">
      <c r="D122" s="38">
        <v>120</v>
      </c>
      <c r="E122" s="39" t="s">
        <v>7488</v>
      </c>
      <c r="F122" s="40" t="s">
        <v>7489</v>
      </c>
      <c r="G122" s="40" t="s">
        <v>6792</v>
      </c>
      <c r="H122" s="40" t="s">
        <v>6967</v>
      </c>
      <c r="I122" s="39">
        <v>2</v>
      </c>
      <c r="J122" s="41">
        <v>44495.4375</v>
      </c>
      <c r="K122" s="41">
        <v>44609.4375</v>
      </c>
      <c r="V122" s="38">
        <v>120</v>
      </c>
      <c r="W122" s="38" t="str">
        <f t="shared" si="8"/>
        <v>台南市</v>
      </c>
      <c r="X122" s="45" t="s">
        <v>24</v>
      </c>
      <c r="Y122" s="45">
        <v>2</v>
      </c>
      <c r="Z122" s="45">
        <v>5115</v>
      </c>
      <c r="AA122" s="45" t="s">
        <v>7490</v>
      </c>
      <c r="AB122" s="45" t="s">
        <v>7491</v>
      </c>
      <c r="AC122" s="41">
        <v>45117.808333333327</v>
      </c>
      <c r="AD122" s="41">
        <v>45139.625</v>
      </c>
      <c r="AF122" s="38">
        <v>120</v>
      </c>
      <c r="AG122" s="38" t="str">
        <f t="shared" si="9"/>
        <v>嘉義縣</v>
      </c>
      <c r="AH122" s="45" t="s">
        <v>23</v>
      </c>
      <c r="AI122" s="46">
        <v>2</v>
      </c>
      <c r="AJ122" s="45">
        <v>3542</v>
      </c>
      <c r="AK122" s="45" t="s">
        <v>7492</v>
      </c>
      <c r="AL122" s="45" t="s">
        <v>7493</v>
      </c>
      <c r="AM122" s="41">
        <v>45224.522916666669</v>
      </c>
      <c r="AN122" s="41">
        <v>45230.458333333343</v>
      </c>
    </row>
    <row r="123" spans="4:40" ht="15.6" customHeight="1">
      <c r="D123" s="38">
        <v>121</v>
      </c>
      <c r="E123" s="39">
        <v>3110</v>
      </c>
      <c r="F123" s="40" t="s">
        <v>7494</v>
      </c>
      <c r="G123" s="40" t="s">
        <v>6841</v>
      </c>
      <c r="H123" s="40" t="s">
        <v>7495</v>
      </c>
      <c r="I123" s="39">
        <v>2</v>
      </c>
      <c r="J123" s="41">
        <v>44496.479166666657</v>
      </c>
      <c r="K123" s="41">
        <v>44582.4375</v>
      </c>
      <c r="V123" s="38">
        <v>121</v>
      </c>
      <c r="W123" s="38" t="str">
        <f t="shared" si="8"/>
        <v>台南市</v>
      </c>
      <c r="X123" s="45" t="s">
        <v>24</v>
      </c>
      <c r="Y123" s="45">
        <v>2</v>
      </c>
      <c r="Z123" s="45">
        <v>5121</v>
      </c>
      <c r="AA123" s="45" t="s">
        <v>7496</v>
      </c>
      <c r="AB123" s="45" t="s">
        <v>7497</v>
      </c>
      <c r="AC123" s="41">
        <v>45117.734722222223</v>
      </c>
      <c r="AD123" s="41">
        <v>45145.625</v>
      </c>
      <c r="AF123" s="38">
        <v>117</v>
      </c>
      <c r="AG123" s="38" t="str">
        <f t="shared" si="9"/>
        <v>屏東縣</v>
      </c>
      <c r="AH123" s="45" t="s">
        <v>23</v>
      </c>
      <c r="AI123" s="46">
        <v>2</v>
      </c>
      <c r="AJ123" s="45">
        <v>4832</v>
      </c>
      <c r="AK123" s="45" t="s">
        <v>7498</v>
      </c>
      <c r="AL123" s="45" t="s">
        <v>7499</v>
      </c>
      <c r="AM123" s="41">
        <v>45240.588194444441</v>
      </c>
      <c r="AN123" s="41">
        <v>45251.458333333343</v>
      </c>
    </row>
    <row r="124" spans="4:40" ht="15.6" customHeight="1">
      <c r="D124" s="38">
        <v>122</v>
      </c>
      <c r="E124" s="39">
        <v>4743</v>
      </c>
      <c r="F124" s="40" t="s">
        <v>7500</v>
      </c>
      <c r="G124" s="40" t="s">
        <v>6841</v>
      </c>
      <c r="H124" s="40" t="s">
        <v>7043</v>
      </c>
      <c r="I124" s="39">
        <v>2</v>
      </c>
      <c r="J124" s="41">
        <v>44496.479166666657</v>
      </c>
      <c r="K124" s="41">
        <v>44615.479166666657</v>
      </c>
      <c r="V124" s="38">
        <v>122</v>
      </c>
      <c r="W124" s="38" t="str">
        <f t="shared" si="8"/>
        <v>新北市</v>
      </c>
      <c r="X124" s="45" t="s">
        <v>24</v>
      </c>
      <c r="Y124" s="45">
        <v>2</v>
      </c>
      <c r="Z124" s="45">
        <v>5091</v>
      </c>
      <c r="AA124" s="45" t="s">
        <v>7501</v>
      </c>
      <c r="AB124" s="45" t="s">
        <v>7502</v>
      </c>
      <c r="AC124" s="41">
        <v>45131.411805555559</v>
      </c>
      <c r="AD124" s="41">
        <v>45147.458333333343</v>
      </c>
      <c r="AF124" s="38">
        <v>118</v>
      </c>
      <c r="AG124" s="38" t="str">
        <f t="shared" si="9"/>
        <v>新北市</v>
      </c>
      <c r="AH124" s="45" t="s">
        <v>23</v>
      </c>
      <c r="AI124" s="46">
        <v>3</v>
      </c>
      <c r="AJ124" s="45">
        <v>3896</v>
      </c>
      <c r="AK124" s="45" t="s">
        <v>7503</v>
      </c>
      <c r="AL124" s="45" t="s">
        <v>7504</v>
      </c>
      <c r="AM124" s="41">
        <v>45232.491666666669</v>
      </c>
      <c r="AN124" s="41">
        <v>45253.458333333343</v>
      </c>
    </row>
    <row r="125" spans="4:40" ht="15.6" customHeight="1">
      <c r="D125" s="38">
        <v>123</v>
      </c>
      <c r="E125" s="39">
        <v>4732</v>
      </c>
      <c r="F125" s="40" t="s">
        <v>7505</v>
      </c>
      <c r="G125" s="40" t="s">
        <v>6833</v>
      </c>
      <c r="H125" s="40" t="s">
        <v>6843</v>
      </c>
      <c r="I125" s="39">
        <v>2</v>
      </c>
      <c r="J125" s="41">
        <v>44496.604166666657</v>
      </c>
      <c r="K125" s="41">
        <v>44606.604166666657</v>
      </c>
      <c r="V125" s="38">
        <v>123</v>
      </c>
      <c r="W125" s="38" t="str">
        <f t="shared" si="8"/>
        <v>桃園市</v>
      </c>
      <c r="X125" s="45" t="s">
        <v>24</v>
      </c>
      <c r="Y125" s="45">
        <v>2</v>
      </c>
      <c r="Z125" s="45">
        <v>5110</v>
      </c>
      <c r="AA125" s="45" t="s">
        <v>5174</v>
      </c>
      <c r="AB125" s="45" t="s">
        <v>7506</v>
      </c>
      <c r="AC125" s="41">
        <v>45126.428472222222</v>
      </c>
      <c r="AD125" s="41">
        <v>45148.458333333343</v>
      </c>
    </row>
    <row r="126" spans="4:40" ht="15.6" customHeight="1">
      <c r="D126" s="38">
        <v>124</v>
      </c>
      <c r="E126" s="39">
        <v>4654</v>
      </c>
      <c r="F126" s="40" t="s">
        <v>7507</v>
      </c>
      <c r="G126" s="40" t="s">
        <v>6866</v>
      </c>
      <c r="H126" s="40" t="s">
        <v>7508</v>
      </c>
      <c r="I126" s="39">
        <v>2</v>
      </c>
      <c r="J126" s="41">
        <v>44497.458333333343</v>
      </c>
      <c r="K126" s="41">
        <v>44607.458333333343</v>
      </c>
      <c r="V126" s="38">
        <v>124</v>
      </c>
      <c r="W126" s="38" t="str">
        <f t="shared" si="8"/>
        <v>高雄市</v>
      </c>
      <c r="X126" s="45" t="s">
        <v>24</v>
      </c>
      <c r="Y126" s="45">
        <v>2</v>
      </c>
      <c r="Z126" s="45">
        <v>4811</v>
      </c>
      <c r="AA126" s="45" t="s">
        <v>7509</v>
      </c>
      <c r="AB126" s="45" t="s">
        <v>7510</v>
      </c>
      <c r="AC126" s="41">
        <v>45126.37777777778</v>
      </c>
      <c r="AD126" s="41">
        <v>45154.625</v>
      </c>
    </row>
    <row r="127" spans="4:40" ht="15.6" customHeight="1">
      <c r="D127" s="38">
        <v>125</v>
      </c>
      <c r="E127" s="39">
        <v>4753</v>
      </c>
      <c r="F127" s="40" t="s">
        <v>7511</v>
      </c>
      <c r="G127" s="40" t="s">
        <v>6866</v>
      </c>
      <c r="H127" s="40" t="s">
        <v>7512</v>
      </c>
      <c r="I127" s="39">
        <v>2</v>
      </c>
      <c r="J127" s="41">
        <v>44497.458333333343</v>
      </c>
      <c r="K127" s="41">
        <v>44607.458333333343</v>
      </c>
      <c r="V127" s="38">
        <v>125</v>
      </c>
      <c r="W127" s="38" t="str">
        <f t="shared" si="8"/>
        <v>宜蘭縣</v>
      </c>
      <c r="X127" s="45" t="s">
        <v>24</v>
      </c>
      <c r="Y127" s="45">
        <v>2</v>
      </c>
      <c r="Z127" s="45">
        <v>5125</v>
      </c>
      <c r="AA127" s="45" t="s">
        <v>7513</v>
      </c>
      <c r="AB127" s="45" t="s">
        <v>7514</v>
      </c>
      <c r="AC127" s="41">
        <v>45134.496527777781</v>
      </c>
      <c r="AD127" s="41">
        <v>45155.458333333343</v>
      </c>
    </row>
    <row r="128" spans="4:40" ht="15.6" customHeight="1">
      <c r="D128" s="38">
        <v>126</v>
      </c>
      <c r="E128" s="39">
        <v>4659</v>
      </c>
      <c r="F128" s="40" t="s">
        <v>7515</v>
      </c>
      <c r="G128" s="40" t="s">
        <v>6866</v>
      </c>
      <c r="H128" s="40" t="s">
        <v>7512</v>
      </c>
      <c r="I128" s="39">
        <v>2</v>
      </c>
      <c r="J128" s="41">
        <v>44497.583333333343</v>
      </c>
      <c r="K128" s="41">
        <v>44578.451388888891</v>
      </c>
      <c r="V128" s="38">
        <v>126</v>
      </c>
      <c r="W128" s="38" t="str">
        <f t="shared" si="8"/>
        <v>彰化縣</v>
      </c>
      <c r="X128" s="45" t="s">
        <v>24</v>
      </c>
      <c r="Y128" s="45">
        <v>2</v>
      </c>
      <c r="Z128" s="45">
        <v>4978</v>
      </c>
      <c r="AA128" s="45" t="s">
        <v>7516</v>
      </c>
      <c r="AB128" s="45" t="s">
        <v>7517</v>
      </c>
      <c r="AC128" s="41">
        <v>45133.29791666667</v>
      </c>
      <c r="AD128" s="41">
        <v>45159.625</v>
      </c>
    </row>
    <row r="129" spans="4:30" ht="15.6" customHeight="1">
      <c r="D129" s="38">
        <v>127</v>
      </c>
      <c r="E129" s="39">
        <v>4895</v>
      </c>
      <c r="F129" s="40" t="s">
        <v>7518</v>
      </c>
      <c r="G129" s="40" t="s">
        <v>6866</v>
      </c>
      <c r="H129" s="40" t="s">
        <v>7519</v>
      </c>
      <c r="I129" s="39">
        <v>2</v>
      </c>
      <c r="J129" s="41">
        <v>44497.583333333343</v>
      </c>
      <c r="K129" s="41">
        <v>44608.479166666657</v>
      </c>
      <c r="V129" s="38">
        <v>127</v>
      </c>
      <c r="W129" s="38" t="str">
        <f t="shared" si="8"/>
        <v>桃園市</v>
      </c>
      <c r="X129" s="45" t="s">
        <v>24</v>
      </c>
      <c r="Y129" s="45">
        <v>2</v>
      </c>
      <c r="Z129" s="45">
        <v>5129</v>
      </c>
      <c r="AA129" s="45" t="s">
        <v>7520</v>
      </c>
      <c r="AB129" s="45" t="s">
        <v>7521</v>
      </c>
      <c r="AC129" s="41">
        <v>45145.69027777778</v>
      </c>
      <c r="AD129" s="41">
        <v>45161.458333333343</v>
      </c>
    </row>
    <row r="130" spans="4:30" ht="15.6" customHeight="1">
      <c r="D130" s="38">
        <v>128</v>
      </c>
      <c r="E130" s="39" t="s">
        <v>61</v>
      </c>
      <c r="F130" s="40" t="s">
        <v>7522</v>
      </c>
      <c r="G130" s="40" t="s">
        <v>5281</v>
      </c>
      <c r="H130" s="40" t="s">
        <v>14</v>
      </c>
      <c r="I130" s="39">
        <v>2</v>
      </c>
      <c r="J130" s="58">
        <v>44622</v>
      </c>
      <c r="V130" s="38">
        <v>128</v>
      </c>
      <c r="W130" s="38" t="str">
        <f t="shared" si="8"/>
        <v>新北市</v>
      </c>
      <c r="X130" s="45" t="s">
        <v>24</v>
      </c>
      <c r="Y130" s="45">
        <v>2</v>
      </c>
      <c r="Z130" s="45">
        <v>5145</v>
      </c>
      <c r="AA130" s="45" t="s">
        <v>7523</v>
      </c>
      <c r="AB130" s="45" t="s">
        <v>7524</v>
      </c>
      <c r="AC130" s="41">
        <v>45153.63958333333</v>
      </c>
      <c r="AD130" s="41">
        <v>45166.458333333343</v>
      </c>
    </row>
    <row r="131" spans="4:30" ht="15.6" customHeight="1">
      <c r="D131" s="38">
        <v>129</v>
      </c>
      <c r="E131" s="39">
        <v>4015</v>
      </c>
      <c r="F131" s="40" t="s">
        <v>7525</v>
      </c>
      <c r="G131" s="40" t="s">
        <v>6765</v>
      </c>
      <c r="H131" s="40" t="s">
        <v>7526</v>
      </c>
      <c r="I131" s="39">
        <v>2</v>
      </c>
      <c r="J131" s="58">
        <v>44623</v>
      </c>
      <c r="V131" s="38">
        <v>129</v>
      </c>
      <c r="W131" s="38" t="str">
        <f t="shared" ref="W131:W158" si="10">LEFT(AB131,3)</f>
        <v>高雄市</v>
      </c>
      <c r="X131" s="45" t="s">
        <v>24</v>
      </c>
      <c r="Y131" s="45">
        <v>2</v>
      </c>
      <c r="Z131" s="45">
        <v>5126</v>
      </c>
      <c r="AA131" s="45" t="s">
        <v>7527</v>
      </c>
      <c r="AB131" s="45" t="s">
        <v>7528</v>
      </c>
      <c r="AC131" s="41">
        <v>45140.59652777778</v>
      </c>
      <c r="AD131" s="41">
        <v>45166.625</v>
      </c>
    </row>
    <row r="132" spans="4:30" ht="15.6" customHeight="1">
      <c r="D132" s="38">
        <v>130</v>
      </c>
      <c r="E132" s="39">
        <v>2079</v>
      </c>
      <c r="F132" s="40" t="s">
        <v>7529</v>
      </c>
      <c r="G132" s="40" t="s">
        <v>6816</v>
      </c>
      <c r="H132" s="40" t="s">
        <v>7530</v>
      </c>
      <c r="I132" s="39">
        <v>2</v>
      </c>
      <c r="J132" s="58">
        <v>44623</v>
      </c>
      <c r="V132" s="38">
        <v>130</v>
      </c>
      <c r="W132" s="38" t="str">
        <f t="shared" si="10"/>
        <v>桃園市</v>
      </c>
      <c r="X132" s="45" t="s">
        <v>24</v>
      </c>
      <c r="Y132" s="45">
        <v>2</v>
      </c>
      <c r="Z132" s="45">
        <v>5144</v>
      </c>
      <c r="AA132" s="45" t="s">
        <v>7531</v>
      </c>
      <c r="AB132" s="45" t="s">
        <v>7532</v>
      </c>
      <c r="AC132" s="41">
        <v>45152.699305555558</v>
      </c>
      <c r="AD132" s="41">
        <v>45167.458333333343</v>
      </c>
    </row>
    <row r="133" spans="4:30" ht="15.6" customHeight="1">
      <c r="D133" s="38">
        <v>131</v>
      </c>
      <c r="E133" s="39">
        <v>2006</v>
      </c>
      <c r="F133" s="40" t="s">
        <v>7533</v>
      </c>
      <c r="G133" s="40" t="s">
        <v>6735</v>
      </c>
      <c r="H133" s="40" t="s">
        <v>6736</v>
      </c>
      <c r="I133" s="39">
        <v>2</v>
      </c>
      <c r="J133" s="58">
        <v>44627</v>
      </c>
      <c r="V133" s="38">
        <v>131</v>
      </c>
      <c r="W133" s="38" t="str">
        <f t="shared" si="10"/>
        <v>台中市</v>
      </c>
      <c r="X133" s="45" t="s">
        <v>24</v>
      </c>
      <c r="Y133" s="45">
        <v>2</v>
      </c>
      <c r="Z133" s="45">
        <v>5066</v>
      </c>
      <c r="AA133" s="45" t="s">
        <v>7534</v>
      </c>
      <c r="AB133" s="45" t="s">
        <v>7535</v>
      </c>
      <c r="AC133" s="41">
        <v>45142.398611111108</v>
      </c>
      <c r="AD133" s="41">
        <v>45167.625</v>
      </c>
    </row>
    <row r="134" spans="4:30" ht="15.6" customHeight="1">
      <c r="D134" s="38">
        <v>132</v>
      </c>
      <c r="E134" s="39">
        <v>2020</v>
      </c>
      <c r="F134" s="40" t="s">
        <v>7536</v>
      </c>
      <c r="G134" s="40" t="s">
        <v>6735</v>
      </c>
      <c r="H134" s="40" t="s">
        <v>6736</v>
      </c>
      <c r="I134" s="39">
        <v>2</v>
      </c>
      <c r="J134" s="58">
        <v>44627</v>
      </c>
      <c r="V134" s="38">
        <v>132</v>
      </c>
      <c r="W134" s="38" t="str">
        <f t="shared" si="10"/>
        <v>台中市</v>
      </c>
      <c r="X134" s="45" t="s">
        <v>24</v>
      </c>
      <c r="Y134" s="45">
        <v>2</v>
      </c>
      <c r="Z134" s="45">
        <v>5123</v>
      </c>
      <c r="AA134" s="45" t="s">
        <v>7537</v>
      </c>
      <c r="AB134" s="45" t="s">
        <v>7538</v>
      </c>
      <c r="AC134" s="41">
        <v>45142.39166666667</v>
      </c>
      <c r="AD134" s="41">
        <v>45174.625</v>
      </c>
    </row>
    <row r="135" spans="4:30" ht="15.6" customHeight="1">
      <c r="D135" s="38">
        <v>133</v>
      </c>
      <c r="E135" s="39" t="s">
        <v>7539</v>
      </c>
      <c r="F135" s="40" t="s">
        <v>7540</v>
      </c>
      <c r="G135" s="40" t="s">
        <v>6774</v>
      </c>
      <c r="H135" s="40" t="s">
        <v>6861</v>
      </c>
      <c r="I135" s="39">
        <v>2</v>
      </c>
      <c r="J135" s="58">
        <v>44627</v>
      </c>
      <c r="V135" s="38">
        <v>133</v>
      </c>
      <c r="W135" s="38" t="str">
        <f t="shared" si="10"/>
        <v>新竹市</v>
      </c>
      <c r="X135" s="45" t="s">
        <v>24</v>
      </c>
      <c r="Y135" s="45">
        <v>2</v>
      </c>
      <c r="Z135" s="45">
        <v>4854</v>
      </c>
      <c r="AA135" s="45" t="s">
        <v>7541</v>
      </c>
      <c r="AB135" s="45" t="s">
        <v>7542</v>
      </c>
      <c r="AC135" s="41">
        <v>45162.643750000003</v>
      </c>
      <c r="AD135" s="41">
        <v>45181.458333333343</v>
      </c>
    </row>
    <row r="136" spans="4:30" ht="15.6" customHeight="1">
      <c r="D136" s="38">
        <v>134</v>
      </c>
      <c r="E136" s="39" t="s">
        <v>7543</v>
      </c>
      <c r="F136" s="40" t="s">
        <v>7544</v>
      </c>
      <c r="G136" s="40" t="s">
        <v>6774</v>
      </c>
      <c r="H136" s="40" t="s">
        <v>6861</v>
      </c>
      <c r="I136" s="39">
        <v>2</v>
      </c>
      <c r="J136" s="58">
        <v>44627</v>
      </c>
      <c r="V136" s="38">
        <v>134</v>
      </c>
      <c r="W136" s="38" t="str">
        <f t="shared" si="10"/>
        <v>台中市</v>
      </c>
      <c r="X136" s="45" t="s">
        <v>24</v>
      </c>
      <c r="Y136" s="45">
        <v>2</v>
      </c>
      <c r="Z136" s="45">
        <v>4963</v>
      </c>
      <c r="AA136" s="45" t="s">
        <v>7545</v>
      </c>
      <c r="AB136" s="45" t="s">
        <v>7546</v>
      </c>
      <c r="AC136" s="41">
        <v>45173.42291666667</v>
      </c>
      <c r="AD136" s="41">
        <v>45188.625</v>
      </c>
    </row>
    <row r="137" spans="4:30" ht="15.6" customHeight="1">
      <c r="D137" s="38">
        <v>135</v>
      </c>
      <c r="E137" s="39">
        <v>4485</v>
      </c>
      <c r="F137" s="40" t="s">
        <v>7547</v>
      </c>
      <c r="G137" s="40" t="s">
        <v>6774</v>
      </c>
      <c r="H137" s="40" t="s">
        <v>6861</v>
      </c>
      <c r="I137" s="39">
        <v>2</v>
      </c>
      <c r="J137" s="58">
        <v>44627</v>
      </c>
      <c r="V137" s="38">
        <v>135</v>
      </c>
      <c r="W137" s="38" t="str">
        <f t="shared" si="10"/>
        <v>台北市</v>
      </c>
      <c r="X137" s="45" t="s">
        <v>24</v>
      </c>
      <c r="Y137" s="45">
        <v>2</v>
      </c>
      <c r="Z137" s="45">
        <v>5147</v>
      </c>
      <c r="AA137" s="45" t="s">
        <v>7548</v>
      </c>
      <c r="AB137" s="45" t="s">
        <v>7549</v>
      </c>
      <c r="AC137" s="41">
        <v>45182.361805555563</v>
      </c>
      <c r="AD137" s="41">
        <v>45189.458333333343</v>
      </c>
    </row>
    <row r="138" spans="4:30" ht="15.6" customHeight="1">
      <c r="D138" s="38">
        <v>136</v>
      </c>
      <c r="E138" s="39">
        <v>4420</v>
      </c>
      <c r="F138" s="40" t="s">
        <v>7550</v>
      </c>
      <c r="G138" s="40" t="s">
        <v>6774</v>
      </c>
      <c r="H138" s="40" t="s">
        <v>6861</v>
      </c>
      <c r="I138" s="39">
        <v>2</v>
      </c>
      <c r="J138" s="58">
        <v>44627</v>
      </c>
      <c r="V138" s="38">
        <v>136</v>
      </c>
      <c r="W138" s="38" t="str">
        <f t="shared" si="10"/>
        <v>宜蘭縣</v>
      </c>
      <c r="X138" s="45" t="s">
        <v>24</v>
      </c>
      <c r="Y138" s="45">
        <v>2</v>
      </c>
      <c r="Z138" s="45">
        <v>5133</v>
      </c>
      <c r="AA138" s="45" t="s">
        <v>7551</v>
      </c>
      <c r="AB138" s="45" t="s">
        <v>7552</v>
      </c>
      <c r="AC138" s="41">
        <v>45174.765277777777</v>
      </c>
      <c r="AD138" s="41">
        <v>45194.458333333343</v>
      </c>
    </row>
    <row r="139" spans="4:30" ht="15.6" customHeight="1">
      <c r="D139" s="38">
        <v>137</v>
      </c>
      <c r="E139" s="39">
        <v>4627</v>
      </c>
      <c r="F139" s="40" t="s">
        <v>7553</v>
      </c>
      <c r="G139" s="40" t="s">
        <v>6756</v>
      </c>
      <c r="H139" s="40" t="s">
        <v>7165</v>
      </c>
      <c r="I139" s="39">
        <v>2</v>
      </c>
      <c r="J139" s="58">
        <v>44627</v>
      </c>
      <c r="V139" s="38">
        <v>137</v>
      </c>
      <c r="W139" s="38" t="str">
        <f t="shared" si="10"/>
        <v>台南市</v>
      </c>
      <c r="X139" s="45" t="s">
        <v>24</v>
      </c>
      <c r="Y139" s="45">
        <v>2</v>
      </c>
      <c r="Z139" s="45">
        <v>5027</v>
      </c>
      <c r="AA139" s="45" t="s">
        <v>7554</v>
      </c>
      <c r="AB139" s="45" t="s">
        <v>7555</v>
      </c>
      <c r="AC139" s="41">
        <v>45169.690972222219</v>
      </c>
      <c r="AD139" s="41">
        <v>45194.625</v>
      </c>
    </row>
    <row r="140" spans="4:30" ht="15.6" customHeight="1">
      <c r="D140" s="38">
        <v>138</v>
      </c>
      <c r="E140" s="39">
        <v>2731</v>
      </c>
      <c r="F140" s="40" t="s">
        <v>7556</v>
      </c>
      <c r="G140" s="40" t="s">
        <v>6756</v>
      </c>
      <c r="H140" s="40" t="s">
        <v>7165</v>
      </c>
      <c r="I140" s="39">
        <v>2</v>
      </c>
      <c r="J140" s="58">
        <v>44627</v>
      </c>
      <c r="V140" s="38">
        <v>138</v>
      </c>
      <c r="W140" s="38" t="str">
        <f t="shared" si="10"/>
        <v>彰化縣</v>
      </c>
      <c r="X140" s="45" t="s">
        <v>24</v>
      </c>
      <c r="Y140" s="45">
        <v>2</v>
      </c>
      <c r="Z140" s="45">
        <v>5136</v>
      </c>
      <c r="AA140" s="45" t="s">
        <v>7557</v>
      </c>
      <c r="AB140" s="45" t="s">
        <v>7558</v>
      </c>
      <c r="AC140" s="41">
        <v>45174.6</v>
      </c>
      <c r="AD140" s="41">
        <v>45194.625</v>
      </c>
    </row>
    <row r="141" spans="4:30" ht="15.6" customHeight="1">
      <c r="D141" s="38">
        <v>139</v>
      </c>
      <c r="E141" s="39">
        <v>4382</v>
      </c>
      <c r="F141" s="40" t="s">
        <v>7559</v>
      </c>
      <c r="G141" s="40" t="s">
        <v>6756</v>
      </c>
      <c r="H141" s="40" t="s">
        <v>7165</v>
      </c>
      <c r="I141" s="39">
        <v>2</v>
      </c>
      <c r="J141" s="58">
        <v>44627</v>
      </c>
      <c r="V141" s="38">
        <v>139</v>
      </c>
      <c r="W141" s="38" t="str">
        <f t="shared" si="10"/>
        <v>高雄市</v>
      </c>
      <c r="X141" s="45" t="s">
        <v>24</v>
      </c>
      <c r="Y141" s="45">
        <v>2</v>
      </c>
      <c r="Z141" s="45">
        <v>5149</v>
      </c>
      <c r="AA141" s="45" t="s">
        <v>7560</v>
      </c>
      <c r="AB141" s="45" t="s">
        <v>7561</v>
      </c>
      <c r="AC141" s="41">
        <v>45184.74722222222</v>
      </c>
      <c r="AD141" s="41">
        <v>45196.625</v>
      </c>
    </row>
    <row r="142" spans="4:30" ht="15.6" customHeight="1">
      <c r="D142" s="38">
        <v>140</v>
      </c>
      <c r="E142" s="39">
        <v>4450</v>
      </c>
      <c r="F142" s="40" t="s">
        <v>7562</v>
      </c>
      <c r="G142" s="40" t="s">
        <v>6756</v>
      </c>
      <c r="H142" s="40" t="s">
        <v>7165</v>
      </c>
      <c r="I142" s="39">
        <v>2</v>
      </c>
      <c r="J142" s="58">
        <v>44627</v>
      </c>
      <c r="V142" s="38">
        <v>140</v>
      </c>
      <c r="W142" s="38" t="str">
        <f t="shared" si="10"/>
        <v>台中市</v>
      </c>
      <c r="X142" s="45" t="s">
        <v>24</v>
      </c>
      <c r="Y142" s="45">
        <v>2</v>
      </c>
      <c r="Z142" s="45">
        <v>5112</v>
      </c>
      <c r="AA142" s="45" t="s">
        <v>7563</v>
      </c>
      <c r="AB142" s="45" t="s">
        <v>7564</v>
      </c>
      <c r="AC142" s="41">
        <v>45188.446527777778</v>
      </c>
      <c r="AD142" s="41">
        <v>45202.625</v>
      </c>
    </row>
    <row r="143" spans="4:30" ht="15.6" customHeight="1">
      <c r="D143" s="38">
        <v>141</v>
      </c>
      <c r="E143" s="39" t="s">
        <v>7565</v>
      </c>
      <c r="F143" s="40" t="s">
        <v>7566</v>
      </c>
      <c r="G143" s="40" t="s">
        <v>6792</v>
      </c>
      <c r="H143" s="40" t="s">
        <v>7567</v>
      </c>
      <c r="I143" s="39">
        <v>2</v>
      </c>
      <c r="J143" s="58">
        <v>44627</v>
      </c>
      <c r="V143" s="38">
        <v>141</v>
      </c>
      <c r="W143" s="38" t="str">
        <f t="shared" si="10"/>
        <v>新竹市</v>
      </c>
      <c r="X143" s="45" t="s">
        <v>24</v>
      </c>
      <c r="Y143" s="45">
        <v>2</v>
      </c>
      <c r="Z143" s="45">
        <v>5141</v>
      </c>
      <c r="AA143" s="45" t="s">
        <v>7568</v>
      </c>
      <c r="AB143" s="45" t="s">
        <v>7569</v>
      </c>
      <c r="AC143" s="41">
        <v>45189.499305555553</v>
      </c>
      <c r="AD143" s="41">
        <v>45211.458333333343</v>
      </c>
    </row>
    <row r="144" spans="4:30" ht="15.6" customHeight="1">
      <c r="D144" s="38">
        <v>142</v>
      </c>
      <c r="E144" s="39">
        <v>2054</v>
      </c>
      <c r="F144" s="40" t="s">
        <v>7570</v>
      </c>
      <c r="G144" s="40" t="s">
        <v>6792</v>
      </c>
      <c r="H144" s="40" t="s">
        <v>7567</v>
      </c>
      <c r="I144" s="39">
        <v>2</v>
      </c>
      <c r="J144" s="58">
        <v>44627</v>
      </c>
      <c r="V144" s="38">
        <v>142</v>
      </c>
      <c r="W144" s="38" t="str">
        <f t="shared" si="10"/>
        <v>台中市</v>
      </c>
      <c r="X144" s="45" t="s">
        <v>24</v>
      </c>
      <c r="Y144" s="45">
        <v>2</v>
      </c>
      <c r="Z144" s="45">
        <v>5153</v>
      </c>
      <c r="AA144" s="45" t="s">
        <v>7571</v>
      </c>
      <c r="AB144" s="45" t="s">
        <v>7572</v>
      </c>
      <c r="AC144" s="41">
        <v>45191.287499999999</v>
      </c>
      <c r="AD144" s="41">
        <v>45211.625</v>
      </c>
    </row>
    <row r="145" spans="4:30" ht="15.6" customHeight="1">
      <c r="D145" s="38">
        <v>143</v>
      </c>
      <c r="E145" s="39">
        <v>4324</v>
      </c>
      <c r="F145" s="40" t="s">
        <v>7573</v>
      </c>
      <c r="G145" s="40" t="s">
        <v>6792</v>
      </c>
      <c r="H145" s="40" t="s">
        <v>7567</v>
      </c>
      <c r="I145" s="39">
        <v>3</v>
      </c>
      <c r="J145" s="58">
        <v>44627</v>
      </c>
      <c r="V145" s="38">
        <v>143</v>
      </c>
      <c r="W145" s="38" t="str">
        <f t="shared" si="10"/>
        <v>屏東縣</v>
      </c>
      <c r="X145" s="45" t="s">
        <v>24</v>
      </c>
      <c r="Y145" s="45">
        <v>2</v>
      </c>
      <c r="Z145" s="45">
        <v>5116</v>
      </c>
      <c r="AA145" s="45" t="s">
        <v>7574</v>
      </c>
      <c r="AB145" s="45" t="s">
        <v>7575</v>
      </c>
      <c r="AC145" s="41">
        <v>45191.281944444447</v>
      </c>
      <c r="AD145" s="41">
        <v>45215.625</v>
      </c>
    </row>
    <row r="146" spans="4:30" ht="15.6" customHeight="1">
      <c r="D146" s="38">
        <v>144</v>
      </c>
      <c r="E146" s="39">
        <v>4239</v>
      </c>
      <c r="F146" s="40" t="s">
        <v>7576</v>
      </c>
      <c r="G146" s="40" t="s">
        <v>6782</v>
      </c>
      <c r="H146" s="40" t="s">
        <v>7577</v>
      </c>
      <c r="I146" s="39">
        <v>2</v>
      </c>
      <c r="J146" s="58">
        <v>44627</v>
      </c>
      <c r="V146" s="38">
        <v>144</v>
      </c>
      <c r="W146" s="38" t="str">
        <f t="shared" si="10"/>
        <v>高雄市</v>
      </c>
      <c r="X146" s="45" t="s">
        <v>24</v>
      </c>
      <c r="Y146" s="45">
        <v>2</v>
      </c>
      <c r="Z146" s="45">
        <v>5139</v>
      </c>
      <c r="AA146" s="45" t="s">
        <v>7578</v>
      </c>
      <c r="AB146" s="45" t="s">
        <v>7579</v>
      </c>
      <c r="AC146" s="41">
        <v>45194.745833333327</v>
      </c>
      <c r="AD146" s="41">
        <v>45217.625</v>
      </c>
    </row>
    <row r="147" spans="4:30" ht="15.6" customHeight="1">
      <c r="D147" s="38">
        <v>145</v>
      </c>
      <c r="E147" s="39">
        <v>2190</v>
      </c>
      <c r="F147" s="40" t="s">
        <v>7580</v>
      </c>
      <c r="G147" s="40" t="s">
        <v>6735</v>
      </c>
      <c r="H147" s="40" t="s">
        <v>6736</v>
      </c>
      <c r="I147" s="39">
        <v>2</v>
      </c>
      <c r="J147" s="58">
        <v>44628</v>
      </c>
      <c r="V147" s="38">
        <v>145</v>
      </c>
      <c r="W147" s="38" t="str">
        <f t="shared" si="10"/>
        <v>台中市</v>
      </c>
      <c r="X147" s="45" t="s">
        <v>24</v>
      </c>
      <c r="Y147" s="45">
        <v>2</v>
      </c>
      <c r="Z147" s="45">
        <v>5105</v>
      </c>
      <c r="AA147" s="45" t="s">
        <v>7581</v>
      </c>
      <c r="AB147" s="45" t="s">
        <v>7582</v>
      </c>
      <c r="AC147" s="41">
        <v>45196.587500000001</v>
      </c>
      <c r="AD147" s="41">
        <v>45218.583333333343</v>
      </c>
    </row>
    <row r="148" spans="4:30" ht="15.6" customHeight="1">
      <c r="D148" s="38">
        <v>146</v>
      </c>
      <c r="E148" s="39">
        <v>2233</v>
      </c>
      <c r="F148" s="40" t="s">
        <v>7583</v>
      </c>
      <c r="G148" s="40" t="s">
        <v>6735</v>
      </c>
      <c r="H148" s="40" t="s">
        <v>6736</v>
      </c>
      <c r="I148" s="39">
        <v>2</v>
      </c>
      <c r="J148" s="58">
        <v>44628</v>
      </c>
      <c r="V148" s="38">
        <v>146</v>
      </c>
      <c r="W148" s="38" t="str">
        <f t="shared" si="10"/>
        <v>宜蘭縣</v>
      </c>
      <c r="X148" s="45" t="s">
        <v>24</v>
      </c>
      <c r="Y148" s="45">
        <v>2</v>
      </c>
      <c r="Z148" s="45">
        <v>5104</v>
      </c>
      <c r="AA148" s="45" t="s">
        <v>7584</v>
      </c>
      <c r="AB148" s="45" t="s">
        <v>7585</v>
      </c>
      <c r="AC148" s="41">
        <v>45210.421527777777</v>
      </c>
      <c r="AD148" s="41">
        <v>45223.458333333343</v>
      </c>
    </row>
    <row r="149" spans="4:30" ht="15.6" customHeight="1">
      <c r="D149" s="38">
        <v>147</v>
      </c>
      <c r="E149" s="39">
        <v>3707</v>
      </c>
      <c r="F149" s="40" t="s">
        <v>7586</v>
      </c>
      <c r="G149" s="40" t="s">
        <v>6735</v>
      </c>
      <c r="H149" s="40" t="s">
        <v>131</v>
      </c>
      <c r="I149" s="39">
        <v>2</v>
      </c>
      <c r="J149" s="58">
        <v>44628</v>
      </c>
      <c r="V149" s="38">
        <v>147</v>
      </c>
      <c r="W149" s="38" t="str">
        <f t="shared" si="10"/>
        <v>屏東縣</v>
      </c>
      <c r="X149" s="45" t="s">
        <v>24</v>
      </c>
      <c r="Y149" s="45">
        <v>2</v>
      </c>
      <c r="Z149" s="45">
        <v>4944</v>
      </c>
      <c r="AA149" s="45" t="s">
        <v>7587</v>
      </c>
      <c r="AB149" s="45" t="s">
        <v>7588</v>
      </c>
      <c r="AC149" s="41">
        <v>45195.751388888893</v>
      </c>
      <c r="AD149" s="41">
        <v>45224.625</v>
      </c>
    </row>
    <row r="150" spans="4:30" ht="15.6" customHeight="1">
      <c r="D150" s="38">
        <v>148</v>
      </c>
      <c r="E150" s="39">
        <v>4124</v>
      </c>
      <c r="F150" s="40" t="s">
        <v>7589</v>
      </c>
      <c r="G150" s="40" t="s">
        <v>6735</v>
      </c>
      <c r="H150" s="40" t="s">
        <v>131</v>
      </c>
      <c r="I150" s="39">
        <v>2</v>
      </c>
      <c r="J150" s="58">
        <v>44628</v>
      </c>
      <c r="V150" s="38">
        <v>148</v>
      </c>
      <c r="W150" s="38" t="str">
        <f t="shared" si="10"/>
        <v>新竹市</v>
      </c>
      <c r="X150" s="45" t="s">
        <v>24</v>
      </c>
      <c r="Y150" s="45">
        <v>2</v>
      </c>
      <c r="Z150" s="45">
        <v>5154</v>
      </c>
      <c r="AA150" s="45" t="s">
        <v>7590</v>
      </c>
      <c r="AB150" s="45" t="s">
        <v>7591</v>
      </c>
      <c r="AC150" s="41">
        <v>45194.677777777782</v>
      </c>
      <c r="AD150" s="41">
        <v>45225.458333333343</v>
      </c>
    </row>
    <row r="151" spans="4:30" ht="15.6" customHeight="1">
      <c r="D151" s="38">
        <v>149</v>
      </c>
      <c r="E151" s="39">
        <v>3221</v>
      </c>
      <c r="F151" s="40" t="s">
        <v>7592</v>
      </c>
      <c r="G151" s="40" t="s">
        <v>6774</v>
      </c>
      <c r="H151" s="40" t="s">
        <v>6861</v>
      </c>
      <c r="I151" s="39">
        <v>2</v>
      </c>
      <c r="J151" s="58">
        <v>44628</v>
      </c>
      <c r="V151" s="38">
        <v>149</v>
      </c>
      <c r="W151" s="38" t="str">
        <f t="shared" si="10"/>
        <v>桃園市</v>
      </c>
      <c r="X151" s="45" t="s">
        <v>24</v>
      </c>
      <c r="Y151" s="45">
        <v>2</v>
      </c>
      <c r="Z151" s="45">
        <v>5156</v>
      </c>
      <c r="AA151" s="45" t="s">
        <v>7593</v>
      </c>
      <c r="AB151" s="45" t="s">
        <v>7594</v>
      </c>
      <c r="AC151" s="41">
        <v>45203.722916666673</v>
      </c>
      <c r="AD151" s="41">
        <v>45225.458333333343</v>
      </c>
    </row>
    <row r="152" spans="4:30" ht="15.6" customHeight="1">
      <c r="D152" s="38">
        <v>150</v>
      </c>
      <c r="E152" s="39">
        <v>4142</v>
      </c>
      <c r="F152" s="40" t="s">
        <v>7435</v>
      </c>
      <c r="G152" s="40" t="s">
        <v>6774</v>
      </c>
      <c r="H152" s="40" t="s">
        <v>6861</v>
      </c>
      <c r="I152" s="39">
        <v>2</v>
      </c>
      <c r="J152" s="58">
        <v>44628</v>
      </c>
      <c r="V152" s="38">
        <v>150</v>
      </c>
      <c r="W152" s="38" t="str">
        <f t="shared" si="10"/>
        <v>屏東縣</v>
      </c>
      <c r="X152" s="45" t="s">
        <v>24</v>
      </c>
      <c r="Y152" s="45">
        <v>2</v>
      </c>
      <c r="Z152" s="45">
        <v>4918</v>
      </c>
      <c r="AA152" s="45" t="s">
        <v>7595</v>
      </c>
      <c r="AB152" s="45" t="s">
        <v>7596</v>
      </c>
      <c r="AC152" s="41">
        <v>45191.372916666667</v>
      </c>
      <c r="AD152" s="41">
        <v>45225.625</v>
      </c>
    </row>
    <row r="153" spans="4:30" ht="15.6" customHeight="1">
      <c r="D153" s="38">
        <v>151</v>
      </c>
      <c r="E153" s="39">
        <v>4065</v>
      </c>
      <c r="F153" s="40" t="s">
        <v>7597</v>
      </c>
      <c r="G153" s="40" t="s">
        <v>6774</v>
      </c>
      <c r="H153" s="40" t="s">
        <v>6861</v>
      </c>
      <c r="I153" s="39">
        <v>2</v>
      </c>
      <c r="J153" s="58">
        <v>44628</v>
      </c>
      <c r="V153" s="38">
        <v>150</v>
      </c>
      <c r="W153" s="38" t="str">
        <f t="shared" si="10"/>
        <v>桃園市</v>
      </c>
      <c r="X153" s="45" t="s">
        <v>24</v>
      </c>
      <c r="Y153" s="45">
        <v>2</v>
      </c>
      <c r="Z153" s="45">
        <v>5117</v>
      </c>
      <c r="AA153" s="45" t="s">
        <v>7598</v>
      </c>
      <c r="AB153" s="45" t="s">
        <v>7599</v>
      </c>
      <c r="AC153" s="41">
        <v>45223.634027777778</v>
      </c>
      <c r="AD153" s="41">
        <v>45246.458333333343</v>
      </c>
    </row>
    <row r="154" spans="4:30" ht="15.6" customHeight="1">
      <c r="D154" s="38">
        <v>152</v>
      </c>
      <c r="E154" s="39">
        <v>4292</v>
      </c>
      <c r="F154" s="40" t="s">
        <v>7600</v>
      </c>
      <c r="G154" s="40" t="s">
        <v>6774</v>
      </c>
      <c r="H154" s="40" t="s">
        <v>6861</v>
      </c>
      <c r="I154" s="39">
        <v>2</v>
      </c>
      <c r="J154" s="58">
        <v>44628</v>
      </c>
      <c r="V154" s="38">
        <v>150</v>
      </c>
      <c r="W154" s="38" t="str">
        <f t="shared" si="10"/>
        <v>高雄市</v>
      </c>
      <c r="X154" s="45" t="s">
        <v>24</v>
      </c>
      <c r="Y154" s="45">
        <v>2</v>
      </c>
      <c r="Z154" s="45">
        <v>5127</v>
      </c>
      <c r="AA154" s="45" t="s">
        <v>7601</v>
      </c>
      <c r="AB154" s="45" t="s">
        <v>7602</v>
      </c>
      <c r="AC154" s="41">
        <v>45217.614583333343</v>
      </c>
      <c r="AD154" s="41">
        <v>45246.625</v>
      </c>
    </row>
    <row r="155" spans="4:30" ht="15.6" customHeight="1">
      <c r="D155" s="38">
        <v>153</v>
      </c>
      <c r="E155" s="39">
        <v>4399</v>
      </c>
      <c r="F155" s="40" t="s">
        <v>7603</v>
      </c>
      <c r="G155" s="40" t="s">
        <v>6756</v>
      </c>
      <c r="H155" s="40" t="s">
        <v>6882</v>
      </c>
      <c r="I155" s="39">
        <v>2</v>
      </c>
      <c r="J155" s="58">
        <v>44628</v>
      </c>
      <c r="V155" s="38">
        <v>150</v>
      </c>
      <c r="W155" s="38" t="str">
        <f t="shared" si="10"/>
        <v>屏東縣</v>
      </c>
      <c r="X155" s="45" t="s">
        <v>24</v>
      </c>
      <c r="Y155" s="45">
        <v>2</v>
      </c>
      <c r="Z155" s="45">
        <v>5142</v>
      </c>
      <c r="AA155" s="45" t="s">
        <v>7604</v>
      </c>
      <c r="AB155" s="45" t="s">
        <v>7605</v>
      </c>
      <c r="AC155" s="41">
        <v>45229.393055555563</v>
      </c>
      <c r="AD155" s="41">
        <v>45251.625</v>
      </c>
    </row>
    <row r="156" spans="4:30" ht="15.6" customHeight="1">
      <c r="D156" s="38">
        <v>154</v>
      </c>
      <c r="E156" s="39" t="s">
        <v>7606</v>
      </c>
      <c r="F156" s="40" t="s">
        <v>7607</v>
      </c>
      <c r="G156" s="40" t="s">
        <v>6756</v>
      </c>
      <c r="H156" s="40" t="s">
        <v>6882</v>
      </c>
      <c r="I156" s="39">
        <v>2</v>
      </c>
      <c r="J156" s="58">
        <v>44628</v>
      </c>
      <c r="V156" s="38">
        <v>150</v>
      </c>
      <c r="W156" s="38" t="str">
        <f t="shared" si="10"/>
        <v>桃園市</v>
      </c>
      <c r="X156" s="45" t="s">
        <v>24</v>
      </c>
      <c r="Y156" s="45">
        <v>2</v>
      </c>
      <c r="Z156" s="45">
        <v>5162</v>
      </c>
      <c r="AA156" s="45" t="s">
        <v>2453</v>
      </c>
      <c r="AB156" s="45" t="s">
        <v>5145</v>
      </c>
      <c r="AC156" s="41">
        <v>45236.387499999997</v>
      </c>
      <c r="AD156" s="41">
        <v>45253.458333333343</v>
      </c>
    </row>
    <row r="157" spans="4:30" ht="15.6" customHeight="1">
      <c r="D157" s="38">
        <v>155</v>
      </c>
      <c r="E157" s="39" t="s">
        <v>7608</v>
      </c>
      <c r="F157" s="40" t="s">
        <v>7609</v>
      </c>
      <c r="G157" s="40" t="s">
        <v>6756</v>
      </c>
      <c r="H157" s="40" t="s">
        <v>6882</v>
      </c>
      <c r="I157" s="39">
        <v>2</v>
      </c>
      <c r="J157" s="58">
        <v>44628</v>
      </c>
      <c r="V157" s="38">
        <v>150</v>
      </c>
      <c r="W157" s="38" t="str">
        <f t="shared" si="10"/>
        <v>高雄市</v>
      </c>
      <c r="X157" s="45" t="s">
        <v>24</v>
      </c>
      <c r="Y157" s="45">
        <v>2</v>
      </c>
      <c r="Z157" s="45">
        <v>5157</v>
      </c>
      <c r="AA157" s="45" t="s">
        <v>7610</v>
      </c>
      <c r="AB157" s="45" t="s">
        <v>7611</v>
      </c>
      <c r="AC157" s="41">
        <v>45231.688194444447</v>
      </c>
      <c r="AD157" s="41">
        <v>45257.625</v>
      </c>
    </row>
    <row r="158" spans="4:30" ht="15.6" customHeight="1">
      <c r="D158" s="38">
        <v>156</v>
      </c>
      <c r="E158" s="39">
        <v>2068</v>
      </c>
      <c r="F158" s="40" t="s">
        <v>7612</v>
      </c>
      <c r="G158" s="40" t="s">
        <v>6756</v>
      </c>
      <c r="H158" s="40" t="s">
        <v>7165</v>
      </c>
      <c r="I158" s="39">
        <v>2</v>
      </c>
      <c r="J158" s="58">
        <v>44628</v>
      </c>
      <c r="V158" s="38">
        <v>150</v>
      </c>
      <c r="W158" s="38" t="str">
        <f t="shared" si="10"/>
        <v>台中市</v>
      </c>
      <c r="X158" s="45" t="s">
        <v>24</v>
      </c>
      <c r="Y158" s="45">
        <v>2</v>
      </c>
      <c r="Z158" s="45">
        <v>5148</v>
      </c>
      <c r="AA158" s="45" t="s">
        <v>7613</v>
      </c>
      <c r="AB158" s="45" t="s">
        <v>7614</v>
      </c>
      <c r="AC158" s="41">
        <v>45236.442361111112</v>
      </c>
      <c r="AD158" s="41">
        <v>45258.625</v>
      </c>
    </row>
    <row r="159" spans="4:30" ht="15.6" customHeight="1">
      <c r="D159" s="38">
        <v>157</v>
      </c>
      <c r="E159" s="39">
        <v>2136</v>
      </c>
      <c r="F159" s="40" t="s">
        <v>7615</v>
      </c>
      <c r="G159" s="40" t="s">
        <v>6792</v>
      </c>
      <c r="H159" s="40" t="s">
        <v>7567</v>
      </c>
      <c r="I159" s="39">
        <v>2</v>
      </c>
      <c r="J159" s="58">
        <v>44628</v>
      </c>
    </row>
    <row r="160" spans="4:30" ht="15.6" customHeight="1">
      <c r="D160" s="38">
        <v>158</v>
      </c>
      <c r="E160" s="39">
        <v>3435</v>
      </c>
      <c r="F160" s="40" t="s">
        <v>7616</v>
      </c>
      <c r="G160" s="40" t="s">
        <v>6792</v>
      </c>
      <c r="H160" s="40" t="s">
        <v>7567</v>
      </c>
      <c r="I160" s="39">
        <v>2</v>
      </c>
      <c r="J160" s="58">
        <v>44628</v>
      </c>
    </row>
    <row r="161" spans="4:10" ht="15.6" customHeight="1">
      <c r="D161" s="38">
        <v>159</v>
      </c>
      <c r="E161" s="39">
        <v>4022</v>
      </c>
      <c r="F161" s="40" t="s">
        <v>7617</v>
      </c>
      <c r="G161" s="40" t="s">
        <v>6792</v>
      </c>
      <c r="H161" s="40" t="s">
        <v>7567</v>
      </c>
      <c r="I161" s="39">
        <v>2</v>
      </c>
      <c r="J161" s="58">
        <v>44628</v>
      </c>
    </row>
    <row r="162" spans="4:10" ht="15.6" customHeight="1">
      <c r="D162" s="38">
        <v>160</v>
      </c>
      <c r="E162" s="39">
        <v>3976</v>
      </c>
      <c r="F162" s="40" t="s">
        <v>7618</v>
      </c>
      <c r="G162" s="40" t="s">
        <v>6792</v>
      </c>
      <c r="H162" s="40" t="s">
        <v>7567</v>
      </c>
      <c r="I162" s="39">
        <v>2</v>
      </c>
      <c r="J162" s="58">
        <v>44628</v>
      </c>
    </row>
    <row r="163" spans="4:10" ht="15.6" customHeight="1">
      <c r="D163" s="38">
        <v>161</v>
      </c>
      <c r="E163" s="39">
        <v>2228</v>
      </c>
      <c r="F163" s="40" t="s">
        <v>7162</v>
      </c>
      <c r="G163" s="40" t="s">
        <v>6735</v>
      </c>
      <c r="H163" s="40" t="s">
        <v>6736</v>
      </c>
      <c r="I163" s="39">
        <v>2</v>
      </c>
      <c r="J163" s="58">
        <v>44629</v>
      </c>
    </row>
    <row r="164" spans="4:10" ht="15.6" customHeight="1">
      <c r="D164" s="38">
        <v>162</v>
      </c>
      <c r="E164" s="39" t="s">
        <v>7619</v>
      </c>
      <c r="F164" s="40" t="s">
        <v>7620</v>
      </c>
      <c r="G164" s="40" t="s">
        <v>6735</v>
      </c>
      <c r="H164" s="40" t="s">
        <v>6736</v>
      </c>
      <c r="I164" s="39">
        <v>2</v>
      </c>
      <c r="J164" s="58">
        <v>44629</v>
      </c>
    </row>
    <row r="165" spans="4:10" ht="15.6" customHeight="1">
      <c r="D165" s="38">
        <v>163</v>
      </c>
      <c r="E165" s="39">
        <v>3206</v>
      </c>
      <c r="F165" s="40" t="s">
        <v>7621</v>
      </c>
      <c r="G165" s="40" t="s">
        <v>6735</v>
      </c>
      <c r="H165" s="40" t="s">
        <v>6736</v>
      </c>
      <c r="I165" s="39">
        <v>2</v>
      </c>
      <c r="J165" s="58">
        <v>44629</v>
      </c>
    </row>
    <row r="166" spans="4:10" ht="15.6" customHeight="1">
      <c r="D166" s="38">
        <v>164</v>
      </c>
      <c r="E166" s="39">
        <v>3969</v>
      </c>
      <c r="F166" s="40" t="s">
        <v>7622</v>
      </c>
      <c r="G166" s="40" t="s">
        <v>6735</v>
      </c>
      <c r="H166" s="40" t="s">
        <v>131</v>
      </c>
      <c r="I166" s="39">
        <v>2</v>
      </c>
      <c r="J166" s="58">
        <v>44629</v>
      </c>
    </row>
    <row r="167" spans="4:10" ht="15.6" customHeight="1">
      <c r="D167" s="38">
        <v>165</v>
      </c>
      <c r="E167" s="39">
        <v>4498</v>
      </c>
      <c r="F167" s="40" t="s">
        <v>7623</v>
      </c>
      <c r="G167" s="40" t="s">
        <v>6735</v>
      </c>
      <c r="H167" s="40" t="s">
        <v>131</v>
      </c>
      <c r="I167" s="39">
        <v>2</v>
      </c>
      <c r="J167" s="58">
        <v>44629</v>
      </c>
    </row>
    <row r="168" spans="4:10" ht="15.6" customHeight="1">
      <c r="D168" s="38">
        <v>166</v>
      </c>
      <c r="E168" s="39">
        <v>4956</v>
      </c>
      <c r="F168" s="40" t="s">
        <v>7624</v>
      </c>
      <c r="G168" s="40" t="s">
        <v>6735</v>
      </c>
      <c r="H168" s="40" t="s">
        <v>131</v>
      </c>
      <c r="I168" s="39">
        <v>2</v>
      </c>
      <c r="J168" s="58">
        <v>44629</v>
      </c>
    </row>
    <row r="169" spans="4:10" ht="15.6" customHeight="1">
      <c r="D169" s="38">
        <v>167</v>
      </c>
      <c r="E169" s="39">
        <v>4313</v>
      </c>
      <c r="F169" s="40" t="s">
        <v>7625</v>
      </c>
      <c r="G169" s="40" t="s">
        <v>6735</v>
      </c>
      <c r="H169" s="40" t="s">
        <v>131</v>
      </c>
      <c r="I169" s="39">
        <v>2</v>
      </c>
      <c r="J169" s="58">
        <v>44629</v>
      </c>
    </row>
    <row r="170" spans="4:10" ht="15.6" customHeight="1">
      <c r="D170" s="38">
        <v>168</v>
      </c>
      <c r="E170" s="39">
        <v>2261</v>
      </c>
      <c r="F170" s="40" t="s">
        <v>7626</v>
      </c>
      <c r="G170" s="40" t="s">
        <v>6774</v>
      </c>
      <c r="H170" s="40" t="s">
        <v>6861</v>
      </c>
      <c r="I170" s="39">
        <v>2</v>
      </c>
      <c r="J170" s="58">
        <v>44629</v>
      </c>
    </row>
    <row r="171" spans="4:10" ht="15.6" customHeight="1">
      <c r="D171" s="38">
        <v>169</v>
      </c>
      <c r="E171" s="39">
        <v>2972</v>
      </c>
      <c r="F171" s="40" t="s">
        <v>7627</v>
      </c>
      <c r="G171" s="40" t="s">
        <v>6774</v>
      </c>
      <c r="H171" s="40" t="s">
        <v>6861</v>
      </c>
      <c r="I171" s="39">
        <v>2</v>
      </c>
      <c r="J171" s="58">
        <v>44629</v>
      </c>
    </row>
    <row r="172" spans="4:10" ht="15.6" customHeight="1">
      <c r="D172" s="38">
        <v>170</v>
      </c>
      <c r="E172" s="39">
        <v>3218</v>
      </c>
      <c r="F172" s="40" t="s">
        <v>7628</v>
      </c>
      <c r="G172" s="40" t="s">
        <v>6774</v>
      </c>
      <c r="H172" s="40" t="s">
        <v>6861</v>
      </c>
      <c r="I172" s="39">
        <v>2</v>
      </c>
      <c r="J172" s="58">
        <v>44629</v>
      </c>
    </row>
    <row r="173" spans="4:10" ht="15.6" customHeight="1">
      <c r="D173" s="38">
        <v>171</v>
      </c>
      <c r="E173" s="39">
        <v>2787</v>
      </c>
      <c r="F173" s="40" t="s">
        <v>7629</v>
      </c>
      <c r="G173" s="40" t="s">
        <v>6774</v>
      </c>
      <c r="H173" s="40" t="s">
        <v>6861</v>
      </c>
      <c r="I173" s="39">
        <v>2</v>
      </c>
      <c r="J173" s="58">
        <v>44629</v>
      </c>
    </row>
    <row r="174" spans="4:10" ht="15.6" customHeight="1">
      <c r="D174" s="38">
        <v>172</v>
      </c>
      <c r="E174" s="39">
        <v>2637</v>
      </c>
      <c r="F174" s="40" t="s">
        <v>7630</v>
      </c>
      <c r="G174" s="40" t="s">
        <v>6756</v>
      </c>
      <c r="H174" s="40" t="s">
        <v>6882</v>
      </c>
      <c r="I174" s="39">
        <v>2</v>
      </c>
      <c r="J174" s="58">
        <v>44629</v>
      </c>
    </row>
    <row r="175" spans="4:10" ht="15.6" customHeight="1">
      <c r="D175" s="38">
        <v>173</v>
      </c>
      <c r="E175" s="39">
        <v>2767</v>
      </c>
      <c r="F175" s="40" t="s">
        <v>7631</v>
      </c>
      <c r="G175" s="40" t="s">
        <v>6756</v>
      </c>
      <c r="H175" s="40" t="s">
        <v>6882</v>
      </c>
      <c r="I175" s="39">
        <v>2</v>
      </c>
      <c r="J175" s="58">
        <v>44629</v>
      </c>
    </row>
    <row r="176" spans="4:10" ht="15.6" customHeight="1">
      <c r="D176" s="38">
        <v>174</v>
      </c>
      <c r="E176" s="39">
        <v>3702</v>
      </c>
      <c r="F176" s="40" t="s">
        <v>7632</v>
      </c>
      <c r="G176" s="40" t="s">
        <v>6756</v>
      </c>
      <c r="H176" s="40" t="s">
        <v>6882</v>
      </c>
      <c r="I176" s="39">
        <v>2</v>
      </c>
      <c r="J176" s="58">
        <v>44629</v>
      </c>
    </row>
    <row r="177" spans="4:10" ht="15.6" customHeight="1">
      <c r="D177" s="38">
        <v>175</v>
      </c>
      <c r="E177" s="39">
        <v>4247</v>
      </c>
      <c r="F177" s="40" t="s">
        <v>7633</v>
      </c>
      <c r="G177" s="40" t="s">
        <v>6756</v>
      </c>
      <c r="H177" s="40" t="s">
        <v>6882</v>
      </c>
      <c r="I177" s="39">
        <v>2</v>
      </c>
      <c r="J177" s="58">
        <v>44629</v>
      </c>
    </row>
    <row r="178" spans="4:10" ht="15.6" customHeight="1">
      <c r="D178" s="38">
        <v>176</v>
      </c>
      <c r="E178" s="39">
        <v>4792</v>
      </c>
      <c r="F178" s="40" t="s">
        <v>7634</v>
      </c>
      <c r="G178" s="40" t="s">
        <v>6792</v>
      </c>
      <c r="H178" s="40" t="s">
        <v>7635</v>
      </c>
      <c r="I178" s="39">
        <v>2</v>
      </c>
      <c r="J178" s="58">
        <v>44629</v>
      </c>
    </row>
    <row r="179" spans="4:10" ht="15.6" customHeight="1">
      <c r="D179" s="38">
        <v>177</v>
      </c>
      <c r="E179" s="39" t="s">
        <v>7636</v>
      </c>
      <c r="F179" s="40" t="s">
        <v>7637</v>
      </c>
      <c r="G179" s="40" t="s">
        <v>6792</v>
      </c>
      <c r="H179" s="40" t="s">
        <v>7635</v>
      </c>
      <c r="I179" s="39">
        <v>2</v>
      </c>
      <c r="J179" s="58">
        <v>44629</v>
      </c>
    </row>
    <row r="180" spans="4:10" ht="15.6" customHeight="1">
      <c r="D180" s="38">
        <v>178</v>
      </c>
      <c r="E180" s="39">
        <v>2955</v>
      </c>
      <c r="F180" s="40" t="s">
        <v>7638</v>
      </c>
      <c r="G180" s="40" t="s">
        <v>6816</v>
      </c>
      <c r="H180" s="40" t="s">
        <v>7639</v>
      </c>
      <c r="I180" s="39">
        <v>2</v>
      </c>
      <c r="J180" s="58">
        <v>44629</v>
      </c>
    </row>
    <row r="181" spans="4:10" ht="15.6" customHeight="1">
      <c r="D181" s="38">
        <v>179</v>
      </c>
      <c r="E181" s="39">
        <v>3735</v>
      </c>
      <c r="F181" s="40" t="s">
        <v>7640</v>
      </c>
      <c r="G181" s="40" t="s">
        <v>6735</v>
      </c>
      <c r="H181" s="40" t="s">
        <v>6736</v>
      </c>
      <c r="I181" s="39">
        <v>2</v>
      </c>
      <c r="J181" s="58">
        <v>44630</v>
      </c>
    </row>
    <row r="182" spans="4:10" ht="15.6" customHeight="1">
      <c r="D182" s="38">
        <v>180</v>
      </c>
      <c r="E182" s="39">
        <v>3836</v>
      </c>
      <c r="F182" s="40" t="s">
        <v>7179</v>
      </c>
      <c r="G182" s="40" t="s">
        <v>6735</v>
      </c>
      <c r="H182" s="40" t="s">
        <v>6736</v>
      </c>
      <c r="I182" s="39">
        <v>2</v>
      </c>
      <c r="J182" s="58">
        <v>44630</v>
      </c>
    </row>
    <row r="183" spans="4:10" ht="15.6" customHeight="1">
      <c r="D183" s="38">
        <v>181</v>
      </c>
      <c r="E183" s="39">
        <v>4160</v>
      </c>
      <c r="F183" s="40" t="s">
        <v>7641</v>
      </c>
      <c r="G183" s="40" t="s">
        <v>6735</v>
      </c>
      <c r="H183" s="40" t="s">
        <v>6736</v>
      </c>
      <c r="I183" s="39">
        <v>2</v>
      </c>
      <c r="J183" s="58">
        <v>44630</v>
      </c>
    </row>
    <row r="184" spans="4:10" ht="15.6" customHeight="1">
      <c r="D184" s="38">
        <v>182</v>
      </c>
      <c r="E184" s="39">
        <v>3118</v>
      </c>
      <c r="F184" s="40" t="s">
        <v>7642</v>
      </c>
      <c r="G184" s="40" t="s">
        <v>6735</v>
      </c>
      <c r="H184" s="40" t="s">
        <v>131</v>
      </c>
      <c r="I184" s="39">
        <v>2</v>
      </c>
      <c r="J184" s="58">
        <v>44630</v>
      </c>
    </row>
    <row r="185" spans="4:10" ht="15.6" customHeight="1">
      <c r="D185" s="38">
        <v>183</v>
      </c>
      <c r="E185" s="39">
        <v>2528</v>
      </c>
      <c r="F185" s="40" t="s">
        <v>7643</v>
      </c>
      <c r="G185" s="40" t="s">
        <v>6735</v>
      </c>
      <c r="H185" s="40" t="s">
        <v>131</v>
      </c>
      <c r="I185" s="39">
        <v>2</v>
      </c>
      <c r="J185" s="58">
        <v>44630</v>
      </c>
    </row>
    <row r="186" spans="4:10" ht="15.6" customHeight="1">
      <c r="D186" s="38">
        <v>184</v>
      </c>
      <c r="E186" s="39">
        <v>2673</v>
      </c>
      <c r="F186" s="40" t="s">
        <v>7644</v>
      </c>
      <c r="G186" s="40" t="s">
        <v>6735</v>
      </c>
      <c r="H186" s="40" t="s">
        <v>131</v>
      </c>
      <c r="I186" s="39">
        <v>2</v>
      </c>
      <c r="J186" s="58">
        <v>44630</v>
      </c>
    </row>
    <row r="187" spans="4:10" ht="15.6" customHeight="1">
      <c r="D187" s="38">
        <v>185</v>
      </c>
      <c r="E187" s="39">
        <v>4824</v>
      </c>
      <c r="F187" s="40" t="s">
        <v>7645</v>
      </c>
      <c r="G187" s="40" t="s">
        <v>6774</v>
      </c>
      <c r="H187" s="40" t="s">
        <v>7646</v>
      </c>
      <c r="I187" s="39">
        <v>2</v>
      </c>
      <c r="J187" s="58">
        <v>44630</v>
      </c>
    </row>
    <row r="188" spans="4:10" ht="15.6" customHeight="1">
      <c r="D188" s="38">
        <v>186</v>
      </c>
      <c r="E188" s="39" t="s">
        <v>7647</v>
      </c>
      <c r="F188" s="40" t="s">
        <v>7648</v>
      </c>
      <c r="G188" s="40" t="s">
        <v>6774</v>
      </c>
      <c r="H188" s="40" t="s">
        <v>7646</v>
      </c>
      <c r="I188" s="39">
        <v>2</v>
      </c>
      <c r="J188" s="58">
        <v>44630</v>
      </c>
    </row>
    <row r="189" spans="4:10" ht="15.6" customHeight="1">
      <c r="D189" s="38">
        <v>187</v>
      </c>
      <c r="E189" s="39">
        <v>2025</v>
      </c>
      <c r="F189" s="40" t="s">
        <v>7649</v>
      </c>
      <c r="G189" s="40" t="s">
        <v>6774</v>
      </c>
      <c r="H189" s="40" t="s">
        <v>6861</v>
      </c>
      <c r="I189" s="39">
        <v>2</v>
      </c>
      <c r="J189" s="58">
        <v>44630</v>
      </c>
    </row>
    <row r="190" spans="4:10" ht="15.6" customHeight="1">
      <c r="D190" s="38">
        <v>188</v>
      </c>
      <c r="E190" s="39">
        <v>2242</v>
      </c>
      <c r="F190" s="40" t="s">
        <v>7650</v>
      </c>
      <c r="G190" s="40" t="s">
        <v>6774</v>
      </c>
      <c r="H190" s="40" t="s">
        <v>6861</v>
      </c>
      <c r="I190" s="39">
        <v>2</v>
      </c>
      <c r="J190" s="58">
        <v>44630</v>
      </c>
    </row>
    <row r="191" spans="4:10" ht="15.6" customHeight="1">
      <c r="D191" s="38">
        <v>189</v>
      </c>
      <c r="E191" s="39">
        <v>2064</v>
      </c>
      <c r="F191" s="40" t="s">
        <v>7651</v>
      </c>
      <c r="G191" s="40" t="s">
        <v>6756</v>
      </c>
      <c r="H191" s="40" t="s">
        <v>6882</v>
      </c>
      <c r="I191" s="39">
        <v>3</v>
      </c>
      <c r="J191" s="58">
        <v>44630</v>
      </c>
    </row>
    <row r="192" spans="4:10" ht="15.6" customHeight="1">
      <c r="D192" s="38">
        <v>190</v>
      </c>
      <c r="E192" s="39">
        <v>2594</v>
      </c>
      <c r="F192" s="40" t="s">
        <v>7652</v>
      </c>
      <c r="G192" s="40" t="s">
        <v>6756</v>
      </c>
      <c r="H192" s="40" t="s">
        <v>6882</v>
      </c>
      <c r="I192" s="39">
        <v>2</v>
      </c>
      <c r="J192" s="58">
        <v>44630</v>
      </c>
    </row>
    <row r="193" spans="4:10" ht="15.6" customHeight="1">
      <c r="D193" s="38">
        <v>191</v>
      </c>
      <c r="E193" s="39">
        <v>3277</v>
      </c>
      <c r="F193" s="40" t="s">
        <v>7653</v>
      </c>
      <c r="G193" s="40" t="s">
        <v>6792</v>
      </c>
      <c r="H193" s="40" t="s">
        <v>6868</v>
      </c>
      <c r="I193" s="39">
        <v>2</v>
      </c>
      <c r="J193" s="58">
        <v>44630</v>
      </c>
    </row>
    <row r="194" spans="4:10" ht="15.6" customHeight="1">
      <c r="D194" s="38">
        <v>192</v>
      </c>
      <c r="E194" s="39">
        <v>3495</v>
      </c>
      <c r="F194" s="40" t="s">
        <v>7654</v>
      </c>
      <c r="G194" s="40" t="s">
        <v>6792</v>
      </c>
      <c r="H194" s="40" t="s">
        <v>6868</v>
      </c>
      <c r="I194" s="39">
        <v>2</v>
      </c>
      <c r="J194" s="58">
        <v>44630</v>
      </c>
    </row>
    <row r="195" spans="4:10" ht="15.6" customHeight="1">
      <c r="D195" s="38">
        <v>193</v>
      </c>
      <c r="E195" s="39" t="s">
        <v>7655</v>
      </c>
      <c r="F195" s="40" t="s">
        <v>7656</v>
      </c>
      <c r="G195" s="40" t="s">
        <v>6735</v>
      </c>
      <c r="H195" s="40" t="s">
        <v>6736</v>
      </c>
      <c r="I195" s="39">
        <v>2</v>
      </c>
      <c r="J195" s="58">
        <v>44631</v>
      </c>
    </row>
    <row r="196" spans="4:10" ht="15.6" customHeight="1">
      <c r="D196" s="38">
        <v>194</v>
      </c>
      <c r="E196" s="39">
        <v>4592</v>
      </c>
      <c r="F196" s="40" t="s">
        <v>7657</v>
      </c>
      <c r="G196" s="40" t="s">
        <v>6735</v>
      </c>
      <c r="H196" s="40" t="s">
        <v>6736</v>
      </c>
      <c r="I196" s="39">
        <v>2</v>
      </c>
      <c r="J196" s="58">
        <v>44631</v>
      </c>
    </row>
    <row r="197" spans="4:10" ht="15.6" customHeight="1">
      <c r="D197" s="38">
        <v>195</v>
      </c>
      <c r="E197" s="39">
        <v>4951</v>
      </c>
      <c r="F197" s="40" t="s">
        <v>7466</v>
      </c>
      <c r="G197" s="40" t="s">
        <v>6735</v>
      </c>
      <c r="H197" s="40" t="s">
        <v>6736</v>
      </c>
      <c r="I197" s="39">
        <v>2</v>
      </c>
      <c r="J197" s="58">
        <v>44631</v>
      </c>
    </row>
    <row r="198" spans="4:10" ht="15.6" customHeight="1">
      <c r="D198" s="38">
        <v>196</v>
      </c>
      <c r="E198" s="39">
        <v>3607</v>
      </c>
      <c r="F198" s="40" t="s">
        <v>7658</v>
      </c>
      <c r="G198" s="40" t="s">
        <v>6735</v>
      </c>
      <c r="H198" s="40" t="s">
        <v>131</v>
      </c>
      <c r="I198" s="39">
        <v>2</v>
      </c>
      <c r="J198" s="58">
        <v>44631</v>
      </c>
    </row>
    <row r="199" spans="4:10" ht="15.6" customHeight="1">
      <c r="D199" s="38">
        <v>197</v>
      </c>
      <c r="E199" s="39" t="s">
        <v>7659</v>
      </c>
      <c r="F199" s="40" t="s">
        <v>7660</v>
      </c>
      <c r="G199" s="40" t="s">
        <v>6735</v>
      </c>
      <c r="H199" s="40" t="s">
        <v>131</v>
      </c>
      <c r="I199" s="39">
        <v>2</v>
      </c>
      <c r="J199" s="58">
        <v>44631</v>
      </c>
    </row>
    <row r="200" spans="4:10" ht="15.6" customHeight="1">
      <c r="D200" s="38">
        <v>198</v>
      </c>
      <c r="E200" s="39">
        <v>3034</v>
      </c>
      <c r="F200" s="40" t="s">
        <v>7661</v>
      </c>
      <c r="G200" s="40" t="s">
        <v>6735</v>
      </c>
      <c r="H200" s="40" t="s">
        <v>131</v>
      </c>
      <c r="I200" s="39">
        <v>2</v>
      </c>
      <c r="J200" s="58">
        <v>44631</v>
      </c>
    </row>
    <row r="201" spans="4:10" ht="15.6" customHeight="1">
      <c r="D201" s="38">
        <v>199</v>
      </c>
      <c r="E201" s="39">
        <v>3931</v>
      </c>
      <c r="F201" s="40" t="s">
        <v>7662</v>
      </c>
      <c r="G201" s="40" t="s">
        <v>6774</v>
      </c>
      <c r="H201" s="40" t="s">
        <v>7646</v>
      </c>
      <c r="I201" s="39">
        <v>2</v>
      </c>
      <c r="J201" s="58">
        <v>44631</v>
      </c>
    </row>
    <row r="202" spans="4:10" ht="15.6" customHeight="1">
      <c r="D202" s="38">
        <v>200</v>
      </c>
      <c r="E202" s="39">
        <v>4059</v>
      </c>
      <c r="F202" s="40" t="s">
        <v>7663</v>
      </c>
      <c r="G202" s="40" t="s">
        <v>6774</v>
      </c>
      <c r="H202" s="40" t="s">
        <v>7646</v>
      </c>
      <c r="I202" s="39">
        <v>2</v>
      </c>
      <c r="J202" s="58">
        <v>44631</v>
      </c>
    </row>
    <row r="203" spans="4:10" ht="15.6" customHeight="1">
      <c r="D203" s="38">
        <v>201</v>
      </c>
      <c r="E203" s="39">
        <v>4361</v>
      </c>
      <c r="F203" s="40" t="s">
        <v>7664</v>
      </c>
      <c r="G203" s="40" t="s">
        <v>6774</v>
      </c>
      <c r="H203" s="40" t="s">
        <v>7646</v>
      </c>
      <c r="I203" s="39">
        <v>2</v>
      </c>
      <c r="J203" s="58">
        <v>44631</v>
      </c>
    </row>
    <row r="204" spans="4:10" ht="15.6" customHeight="1">
      <c r="D204" s="38">
        <v>202</v>
      </c>
      <c r="E204" s="39">
        <v>4367</v>
      </c>
      <c r="F204" s="40" t="s">
        <v>7665</v>
      </c>
      <c r="G204" s="40" t="s">
        <v>6774</v>
      </c>
      <c r="H204" s="40" t="s">
        <v>7646</v>
      </c>
      <c r="I204" s="39">
        <v>2</v>
      </c>
      <c r="J204" s="58">
        <v>44631</v>
      </c>
    </row>
    <row r="205" spans="4:10" ht="15.6" customHeight="1">
      <c r="D205" s="38">
        <v>203</v>
      </c>
      <c r="E205" s="39">
        <v>4067</v>
      </c>
      <c r="F205" s="40" t="s">
        <v>7666</v>
      </c>
      <c r="G205" s="40" t="s">
        <v>6792</v>
      </c>
      <c r="H205" s="40" t="s">
        <v>6868</v>
      </c>
      <c r="I205" s="39">
        <v>2</v>
      </c>
      <c r="J205" s="58">
        <v>44631</v>
      </c>
    </row>
    <row r="206" spans="4:10" ht="15.6" customHeight="1">
      <c r="D206" s="38">
        <v>204</v>
      </c>
      <c r="E206" s="39" t="s">
        <v>7667</v>
      </c>
      <c r="F206" s="40" t="s">
        <v>7668</v>
      </c>
      <c r="G206" s="40" t="s">
        <v>6792</v>
      </c>
      <c r="H206" s="40" t="s">
        <v>6793</v>
      </c>
      <c r="I206" s="39">
        <v>2</v>
      </c>
      <c r="J206" s="58">
        <v>44631</v>
      </c>
    </row>
    <row r="207" spans="4:10" ht="15.6" customHeight="1">
      <c r="D207" s="38">
        <v>205</v>
      </c>
      <c r="E207" s="39">
        <v>4433</v>
      </c>
      <c r="F207" s="40" t="s">
        <v>7669</v>
      </c>
      <c r="G207" s="40" t="s">
        <v>6792</v>
      </c>
      <c r="H207" s="40" t="s">
        <v>6793</v>
      </c>
      <c r="I207" s="39">
        <v>2</v>
      </c>
      <c r="J207" s="58">
        <v>44631</v>
      </c>
    </row>
    <row r="208" spans="4:10" ht="15.6" customHeight="1">
      <c r="D208" s="38">
        <v>206</v>
      </c>
      <c r="E208" s="39">
        <v>4763</v>
      </c>
      <c r="F208" s="40" t="s">
        <v>7670</v>
      </c>
      <c r="G208" s="40" t="s">
        <v>6792</v>
      </c>
      <c r="H208" s="40" t="s">
        <v>6793</v>
      </c>
      <c r="I208" s="39">
        <v>2</v>
      </c>
      <c r="J208" s="58">
        <v>44631</v>
      </c>
    </row>
    <row r="209" spans="4:10" ht="15.6" customHeight="1">
      <c r="D209" s="38">
        <v>207</v>
      </c>
      <c r="E209" s="39">
        <v>4053</v>
      </c>
      <c r="F209" s="40" t="s">
        <v>7120</v>
      </c>
      <c r="G209" s="40" t="s">
        <v>6735</v>
      </c>
      <c r="H209" s="40" t="s">
        <v>6736</v>
      </c>
      <c r="I209" s="39">
        <v>2</v>
      </c>
      <c r="J209" s="58">
        <v>44634</v>
      </c>
    </row>
    <row r="210" spans="4:10" ht="15.6" customHeight="1">
      <c r="D210" s="38">
        <v>208</v>
      </c>
      <c r="E210" s="39">
        <v>4097</v>
      </c>
      <c r="F210" s="40" t="s">
        <v>7671</v>
      </c>
      <c r="G210" s="40" t="s">
        <v>6735</v>
      </c>
      <c r="H210" s="40" t="s">
        <v>6736</v>
      </c>
      <c r="I210" s="39">
        <v>2</v>
      </c>
      <c r="J210" s="58">
        <v>44634</v>
      </c>
    </row>
    <row r="211" spans="4:10" ht="15.6" customHeight="1">
      <c r="D211" s="38">
        <v>209</v>
      </c>
      <c r="E211" s="39">
        <v>4158</v>
      </c>
      <c r="F211" s="40" t="s">
        <v>7672</v>
      </c>
      <c r="G211" s="40" t="s">
        <v>6735</v>
      </c>
      <c r="H211" s="40" t="s">
        <v>6736</v>
      </c>
      <c r="I211" s="39">
        <v>2</v>
      </c>
      <c r="J211" s="58">
        <v>44634</v>
      </c>
    </row>
    <row r="212" spans="4:10" ht="15.6" customHeight="1">
      <c r="D212" s="38">
        <v>210</v>
      </c>
      <c r="E212" s="39">
        <v>4931</v>
      </c>
      <c r="F212" s="40" t="s">
        <v>7673</v>
      </c>
      <c r="G212" s="40" t="s">
        <v>6735</v>
      </c>
      <c r="H212" s="40" t="s">
        <v>6810</v>
      </c>
      <c r="I212" s="39">
        <v>2</v>
      </c>
      <c r="J212" s="58">
        <v>44634</v>
      </c>
    </row>
    <row r="213" spans="4:10" ht="15.6" customHeight="1">
      <c r="D213" s="38">
        <v>211</v>
      </c>
      <c r="E213" s="39">
        <v>4752</v>
      </c>
      <c r="F213" s="40" t="s">
        <v>7674</v>
      </c>
      <c r="G213" s="40" t="s">
        <v>6735</v>
      </c>
      <c r="H213" s="40" t="s">
        <v>6810</v>
      </c>
      <c r="I213" s="39">
        <v>2</v>
      </c>
      <c r="J213" s="58">
        <v>44634</v>
      </c>
    </row>
    <row r="214" spans="4:10" ht="15.6" customHeight="1">
      <c r="D214" s="38">
        <v>212</v>
      </c>
      <c r="E214" s="39">
        <v>3078</v>
      </c>
      <c r="F214" s="40" t="s">
        <v>7675</v>
      </c>
      <c r="G214" s="40" t="s">
        <v>6774</v>
      </c>
      <c r="H214" s="40" t="s">
        <v>6843</v>
      </c>
      <c r="I214" s="39">
        <v>2</v>
      </c>
      <c r="J214" s="58">
        <v>44634</v>
      </c>
    </row>
    <row r="215" spans="4:10" ht="15.6" customHeight="1">
      <c r="D215" s="38">
        <v>213</v>
      </c>
      <c r="E215" s="39">
        <v>3240</v>
      </c>
      <c r="F215" s="40" t="s">
        <v>7676</v>
      </c>
      <c r="G215" s="40" t="s">
        <v>6774</v>
      </c>
      <c r="H215" s="40" t="s">
        <v>6843</v>
      </c>
      <c r="I215" s="39">
        <v>2</v>
      </c>
      <c r="J215" s="58">
        <v>44634</v>
      </c>
    </row>
    <row r="216" spans="4:10" ht="15.6" customHeight="1">
      <c r="D216" s="38">
        <v>214</v>
      </c>
      <c r="E216" s="39">
        <v>3436</v>
      </c>
      <c r="F216" s="40" t="s">
        <v>7677</v>
      </c>
      <c r="G216" s="40" t="s">
        <v>6774</v>
      </c>
      <c r="H216" s="40" t="s">
        <v>6843</v>
      </c>
      <c r="I216" s="39">
        <v>2</v>
      </c>
      <c r="J216" s="58">
        <v>44634</v>
      </c>
    </row>
    <row r="217" spans="4:10" ht="15.6" customHeight="1">
      <c r="D217" s="38">
        <v>215</v>
      </c>
      <c r="E217" s="39">
        <v>3927</v>
      </c>
      <c r="F217" s="40" t="s">
        <v>7678</v>
      </c>
      <c r="G217" s="40" t="s">
        <v>6756</v>
      </c>
      <c r="H217" s="40" t="s">
        <v>7679</v>
      </c>
      <c r="I217" s="39">
        <v>2</v>
      </c>
      <c r="J217" s="58">
        <v>44634</v>
      </c>
    </row>
    <row r="218" spans="4:10" ht="15.6" customHeight="1">
      <c r="D218" s="38">
        <v>216</v>
      </c>
      <c r="E218" s="39">
        <v>4517</v>
      </c>
      <c r="F218" s="40" t="s">
        <v>7680</v>
      </c>
      <c r="G218" s="40" t="s">
        <v>6756</v>
      </c>
      <c r="H218" s="40" t="s">
        <v>7681</v>
      </c>
      <c r="I218" s="39">
        <v>2</v>
      </c>
      <c r="J218" s="58">
        <v>44634</v>
      </c>
    </row>
    <row r="219" spans="4:10" ht="15.6" customHeight="1">
      <c r="D219" s="38">
        <v>217</v>
      </c>
      <c r="E219" s="39">
        <v>3912</v>
      </c>
      <c r="F219" s="40" t="s">
        <v>7682</v>
      </c>
      <c r="G219" s="40" t="s">
        <v>6756</v>
      </c>
      <c r="H219" s="40" t="s">
        <v>7679</v>
      </c>
      <c r="I219" s="39">
        <v>2</v>
      </c>
      <c r="J219" s="58">
        <v>44634</v>
      </c>
    </row>
    <row r="220" spans="4:10" ht="15.6" customHeight="1">
      <c r="D220" s="38">
        <v>218</v>
      </c>
      <c r="E220" s="39">
        <v>4742</v>
      </c>
      <c r="F220" s="40" t="s">
        <v>7683</v>
      </c>
      <c r="G220" s="40" t="s">
        <v>6756</v>
      </c>
      <c r="H220" s="40" t="s">
        <v>7679</v>
      </c>
      <c r="I220" s="39">
        <v>2</v>
      </c>
      <c r="J220" s="58">
        <v>44634</v>
      </c>
    </row>
    <row r="221" spans="4:10" ht="15.6" customHeight="1">
      <c r="D221" s="38">
        <v>219</v>
      </c>
      <c r="E221" s="39">
        <v>4151</v>
      </c>
      <c r="F221" s="40" t="s">
        <v>7684</v>
      </c>
      <c r="G221" s="40" t="s">
        <v>6792</v>
      </c>
      <c r="H221" s="40" t="s">
        <v>6793</v>
      </c>
      <c r="I221" s="39">
        <v>2</v>
      </c>
      <c r="J221" s="58">
        <v>44634</v>
      </c>
    </row>
    <row r="222" spans="4:10" ht="15.6" customHeight="1">
      <c r="D222" s="38">
        <v>220</v>
      </c>
      <c r="E222" s="39">
        <v>4235</v>
      </c>
      <c r="F222" s="40" t="s">
        <v>7685</v>
      </c>
      <c r="G222" s="40" t="s">
        <v>6792</v>
      </c>
      <c r="H222" s="40" t="s">
        <v>6793</v>
      </c>
      <c r="I222" s="39">
        <v>2</v>
      </c>
      <c r="J222" s="58">
        <v>44634</v>
      </c>
    </row>
    <row r="223" spans="4:10" ht="15.6" customHeight="1">
      <c r="D223" s="38">
        <v>221</v>
      </c>
      <c r="E223" s="39">
        <v>4314</v>
      </c>
      <c r="F223" s="40" t="s">
        <v>7686</v>
      </c>
      <c r="G223" s="40" t="s">
        <v>6792</v>
      </c>
      <c r="H223" s="40" t="s">
        <v>6793</v>
      </c>
      <c r="I223" s="39">
        <v>2</v>
      </c>
      <c r="J223" s="58">
        <v>44634</v>
      </c>
    </row>
    <row r="224" spans="4:10" ht="15.6" customHeight="1">
      <c r="D224" s="38">
        <v>222</v>
      </c>
      <c r="E224" s="39">
        <v>4161</v>
      </c>
      <c r="F224" s="40" t="s">
        <v>7687</v>
      </c>
      <c r="G224" s="40" t="s">
        <v>6735</v>
      </c>
      <c r="H224" s="40" t="s">
        <v>6736</v>
      </c>
      <c r="I224" s="39">
        <v>2</v>
      </c>
      <c r="J224" s="58">
        <v>44635</v>
      </c>
    </row>
    <row r="225" spans="4:10" ht="15.6" customHeight="1">
      <c r="D225" s="38">
        <v>223</v>
      </c>
      <c r="E225" s="39">
        <v>4211</v>
      </c>
      <c r="F225" s="40" t="s">
        <v>7688</v>
      </c>
      <c r="G225" s="40" t="s">
        <v>6735</v>
      </c>
      <c r="H225" s="40" t="s">
        <v>6736</v>
      </c>
      <c r="I225" s="39">
        <v>2</v>
      </c>
      <c r="J225" s="58">
        <v>44635</v>
      </c>
    </row>
    <row r="226" spans="4:10" ht="15.6" customHeight="1">
      <c r="D226" s="38">
        <v>224</v>
      </c>
      <c r="E226" s="39">
        <v>4754</v>
      </c>
      <c r="F226" s="40" t="s">
        <v>7689</v>
      </c>
      <c r="G226" s="40" t="s">
        <v>6735</v>
      </c>
      <c r="H226" s="40" t="s">
        <v>6736</v>
      </c>
      <c r="I226" s="39">
        <v>2</v>
      </c>
      <c r="J226" s="58">
        <v>44635</v>
      </c>
    </row>
    <row r="227" spans="4:10" ht="15.6" customHeight="1">
      <c r="D227" s="38">
        <v>225</v>
      </c>
      <c r="E227" s="39">
        <v>4551</v>
      </c>
      <c r="F227" s="40" t="s">
        <v>7690</v>
      </c>
      <c r="G227" s="40" t="s">
        <v>6735</v>
      </c>
      <c r="H227" s="40" t="s">
        <v>6810</v>
      </c>
      <c r="I227" s="39">
        <v>2</v>
      </c>
      <c r="J227" s="58">
        <v>44635</v>
      </c>
    </row>
    <row r="228" spans="4:10" ht="15.6" customHeight="1">
      <c r="D228" s="38">
        <v>226</v>
      </c>
      <c r="E228" s="39" t="s">
        <v>7691</v>
      </c>
      <c r="F228" s="40" t="s">
        <v>7692</v>
      </c>
      <c r="G228" s="40" t="s">
        <v>6735</v>
      </c>
      <c r="H228" s="40" t="s">
        <v>6810</v>
      </c>
      <c r="I228" s="39">
        <v>2</v>
      </c>
      <c r="J228" s="58">
        <v>44635</v>
      </c>
    </row>
    <row r="229" spans="4:10" ht="15.6" customHeight="1">
      <c r="D229" s="38">
        <v>227</v>
      </c>
      <c r="E229" s="39">
        <v>2051</v>
      </c>
      <c r="F229" s="40" t="s">
        <v>7452</v>
      </c>
      <c r="G229" s="40" t="s">
        <v>6735</v>
      </c>
      <c r="H229" s="40" t="s">
        <v>6810</v>
      </c>
      <c r="I229" s="39">
        <v>2</v>
      </c>
      <c r="J229" s="58">
        <v>44635</v>
      </c>
    </row>
    <row r="230" spans="4:10" ht="15.6" customHeight="1">
      <c r="D230" s="38">
        <v>228</v>
      </c>
      <c r="E230" s="39">
        <v>2952</v>
      </c>
      <c r="F230" s="40" t="s">
        <v>7693</v>
      </c>
      <c r="G230" s="40" t="s">
        <v>6774</v>
      </c>
      <c r="H230" s="40" t="s">
        <v>6843</v>
      </c>
      <c r="I230" s="39">
        <v>2</v>
      </c>
      <c r="J230" s="58">
        <v>44635</v>
      </c>
    </row>
    <row r="231" spans="4:10" ht="15.6" customHeight="1">
      <c r="D231" s="38">
        <v>229</v>
      </c>
      <c r="E231" s="39">
        <v>4645</v>
      </c>
      <c r="F231" s="40" t="s">
        <v>7694</v>
      </c>
      <c r="G231" s="40" t="s">
        <v>6774</v>
      </c>
      <c r="H231" s="40" t="s">
        <v>6843</v>
      </c>
      <c r="I231" s="39">
        <v>2</v>
      </c>
      <c r="J231" s="58">
        <v>44635</v>
      </c>
    </row>
    <row r="232" spans="4:10" ht="15.6" customHeight="1">
      <c r="D232" s="38">
        <v>230</v>
      </c>
      <c r="E232" s="39" t="s">
        <v>7046</v>
      </c>
      <c r="F232" s="40" t="s">
        <v>7047</v>
      </c>
      <c r="G232" s="40" t="s">
        <v>6774</v>
      </c>
      <c r="H232" s="40" t="s">
        <v>6843</v>
      </c>
      <c r="I232" s="39">
        <v>2</v>
      </c>
      <c r="J232" s="58">
        <v>44635</v>
      </c>
    </row>
    <row r="233" spans="4:10" ht="15.6" customHeight="1">
      <c r="D233" s="38">
        <v>231</v>
      </c>
      <c r="E233" s="39">
        <v>2656</v>
      </c>
      <c r="F233" s="40" t="s">
        <v>7695</v>
      </c>
      <c r="G233" s="40" t="s">
        <v>6756</v>
      </c>
      <c r="H233" s="40" t="s">
        <v>7679</v>
      </c>
      <c r="I233" s="39">
        <v>2</v>
      </c>
      <c r="J233" s="58">
        <v>44635</v>
      </c>
    </row>
    <row r="234" spans="4:10" ht="15.6" customHeight="1">
      <c r="D234" s="38">
        <v>232</v>
      </c>
      <c r="E234" s="39">
        <v>2734</v>
      </c>
      <c r="F234" s="40" t="s">
        <v>7696</v>
      </c>
      <c r="G234" s="40" t="s">
        <v>6756</v>
      </c>
      <c r="H234" s="40" t="s">
        <v>7679</v>
      </c>
      <c r="I234" s="39">
        <v>2</v>
      </c>
      <c r="J234" s="58">
        <v>44635</v>
      </c>
    </row>
    <row r="235" spans="4:10" ht="15.6" customHeight="1">
      <c r="D235" s="38">
        <v>233</v>
      </c>
      <c r="E235" s="39">
        <v>2863</v>
      </c>
      <c r="F235" s="40" t="s">
        <v>7697</v>
      </c>
      <c r="G235" s="40" t="s">
        <v>6756</v>
      </c>
      <c r="H235" s="40" t="s">
        <v>7679</v>
      </c>
      <c r="I235" s="39">
        <v>2</v>
      </c>
      <c r="J235" s="58">
        <v>44635</v>
      </c>
    </row>
    <row r="236" spans="4:10" ht="15.6" customHeight="1">
      <c r="D236" s="38">
        <v>234</v>
      </c>
      <c r="E236" s="39">
        <v>3377</v>
      </c>
      <c r="F236" s="40" t="s">
        <v>7698</v>
      </c>
      <c r="G236" s="40" t="s">
        <v>6756</v>
      </c>
      <c r="H236" s="40" t="s">
        <v>7679</v>
      </c>
      <c r="I236" s="39">
        <v>2</v>
      </c>
      <c r="J236" s="58">
        <v>44635</v>
      </c>
    </row>
    <row r="237" spans="4:10" ht="15.6" customHeight="1">
      <c r="D237" s="38">
        <v>235</v>
      </c>
      <c r="E237" s="39">
        <v>2641</v>
      </c>
      <c r="F237" s="40" t="s">
        <v>7699</v>
      </c>
      <c r="G237" s="40" t="s">
        <v>6792</v>
      </c>
      <c r="H237" s="40" t="s">
        <v>6793</v>
      </c>
      <c r="I237" s="39">
        <v>2</v>
      </c>
      <c r="J237" s="58">
        <v>44635</v>
      </c>
    </row>
    <row r="238" spans="4:10" ht="15.6" customHeight="1">
      <c r="D238" s="38">
        <v>236</v>
      </c>
      <c r="E238" s="39">
        <v>4085</v>
      </c>
      <c r="F238" s="40" t="s">
        <v>7700</v>
      </c>
      <c r="G238" s="40" t="s">
        <v>6792</v>
      </c>
      <c r="H238" s="40" t="s">
        <v>6793</v>
      </c>
      <c r="I238" s="39">
        <v>2</v>
      </c>
      <c r="J238" s="58">
        <v>44635</v>
      </c>
    </row>
    <row r="239" spans="4:10" ht="15.6" customHeight="1">
      <c r="D239" s="38">
        <v>237</v>
      </c>
      <c r="E239" s="39">
        <v>4847</v>
      </c>
      <c r="F239" s="40" t="s">
        <v>7701</v>
      </c>
      <c r="G239" s="40" t="s">
        <v>6792</v>
      </c>
      <c r="H239" s="40" t="s">
        <v>7059</v>
      </c>
      <c r="I239" s="39">
        <v>2</v>
      </c>
      <c r="J239" s="58">
        <v>44635</v>
      </c>
    </row>
    <row r="240" spans="4:10" ht="15.6" customHeight="1">
      <c r="D240" s="38">
        <v>238</v>
      </c>
      <c r="E240" s="39">
        <v>4935</v>
      </c>
      <c r="F240" s="40" t="s">
        <v>7702</v>
      </c>
      <c r="G240" s="40" t="s">
        <v>6735</v>
      </c>
      <c r="H240" s="40" t="s">
        <v>6736</v>
      </c>
      <c r="I240" s="39">
        <v>2</v>
      </c>
      <c r="J240" s="58">
        <v>44636</v>
      </c>
    </row>
    <row r="241" spans="4:10" ht="15.6" customHeight="1">
      <c r="D241" s="38">
        <v>239</v>
      </c>
      <c r="E241" s="39">
        <v>4893</v>
      </c>
      <c r="F241" s="40" t="s">
        <v>7151</v>
      </c>
      <c r="G241" s="40" t="s">
        <v>6735</v>
      </c>
      <c r="H241" s="40" t="s">
        <v>6736</v>
      </c>
      <c r="I241" s="39">
        <v>2</v>
      </c>
      <c r="J241" s="58">
        <v>44636</v>
      </c>
    </row>
    <row r="242" spans="4:10" ht="15.6" customHeight="1">
      <c r="D242" s="38">
        <v>240</v>
      </c>
      <c r="E242" s="39" t="s">
        <v>95</v>
      </c>
      <c r="F242" s="40" t="s">
        <v>7703</v>
      </c>
      <c r="G242" s="40" t="s">
        <v>5281</v>
      </c>
      <c r="H242" s="40" t="s">
        <v>15</v>
      </c>
      <c r="I242" s="39">
        <v>2</v>
      </c>
      <c r="J242" s="58">
        <v>44636</v>
      </c>
    </row>
    <row r="243" spans="4:10" ht="15.6" customHeight="1">
      <c r="D243" s="38">
        <v>241</v>
      </c>
      <c r="E243" s="39">
        <v>4957</v>
      </c>
      <c r="F243" s="40" t="s">
        <v>7704</v>
      </c>
      <c r="G243" s="40" t="s">
        <v>6735</v>
      </c>
      <c r="H243" s="40" t="s">
        <v>6810</v>
      </c>
      <c r="I243" s="39">
        <v>2</v>
      </c>
      <c r="J243" s="58">
        <v>44636</v>
      </c>
    </row>
    <row r="244" spans="4:10" ht="15.6" customHeight="1">
      <c r="D244" s="38">
        <v>242</v>
      </c>
      <c r="E244" s="39" t="s">
        <v>7705</v>
      </c>
      <c r="F244" s="40" t="s">
        <v>7706</v>
      </c>
      <c r="G244" s="40" t="s">
        <v>6735</v>
      </c>
      <c r="H244" s="40" t="s">
        <v>6810</v>
      </c>
      <c r="I244" s="39">
        <v>2</v>
      </c>
      <c r="J244" s="58">
        <v>44636</v>
      </c>
    </row>
    <row r="245" spans="4:10" ht="15.6" customHeight="1">
      <c r="D245" s="38">
        <v>243</v>
      </c>
      <c r="E245" s="39" t="s">
        <v>6985</v>
      </c>
      <c r="F245" s="40" t="s">
        <v>6986</v>
      </c>
      <c r="G245" s="40" t="s">
        <v>6735</v>
      </c>
      <c r="H245" s="40" t="s">
        <v>6810</v>
      </c>
      <c r="I245" s="39">
        <v>2</v>
      </c>
      <c r="J245" s="58">
        <v>44636</v>
      </c>
    </row>
    <row r="246" spans="4:10" ht="15.6" customHeight="1">
      <c r="D246" s="38">
        <v>244</v>
      </c>
      <c r="E246" s="39">
        <v>3449</v>
      </c>
      <c r="F246" s="40" t="s">
        <v>7707</v>
      </c>
      <c r="G246" s="40" t="s">
        <v>6735</v>
      </c>
      <c r="H246" s="40" t="s">
        <v>6810</v>
      </c>
      <c r="I246" s="39">
        <v>2</v>
      </c>
      <c r="J246" s="58">
        <v>44636</v>
      </c>
    </row>
    <row r="247" spans="4:10" ht="15.6" customHeight="1">
      <c r="D247" s="38">
        <v>245</v>
      </c>
      <c r="E247" s="39" t="s">
        <v>7708</v>
      </c>
      <c r="F247" s="40" t="s">
        <v>7709</v>
      </c>
      <c r="G247" s="40" t="s">
        <v>6774</v>
      </c>
      <c r="H247" s="40" t="s">
        <v>6843</v>
      </c>
      <c r="I247" s="39">
        <v>2</v>
      </c>
      <c r="J247" s="58">
        <v>44636</v>
      </c>
    </row>
    <row r="248" spans="4:10" ht="15.6" customHeight="1">
      <c r="D248" s="38">
        <v>246</v>
      </c>
      <c r="E248" s="39" t="s">
        <v>7710</v>
      </c>
      <c r="F248" s="40" t="s">
        <v>7711</v>
      </c>
      <c r="G248" s="40" t="s">
        <v>6774</v>
      </c>
      <c r="H248" s="40" t="s">
        <v>6843</v>
      </c>
      <c r="I248" s="39">
        <v>2</v>
      </c>
      <c r="J248" s="58">
        <v>44636</v>
      </c>
    </row>
    <row r="249" spans="4:10" ht="15.6" customHeight="1">
      <c r="D249" s="38">
        <v>247</v>
      </c>
      <c r="E249" s="39">
        <v>2539</v>
      </c>
      <c r="F249" s="40" t="s">
        <v>7712</v>
      </c>
      <c r="G249" s="40" t="s">
        <v>6756</v>
      </c>
      <c r="H249" s="40" t="s">
        <v>6999</v>
      </c>
      <c r="I249" s="39">
        <v>2</v>
      </c>
      <c r="J249" s="58">
        <v>44636</v>
      </c>
    </row>
    <row r="250" spans="4:10" ht="15.6" customHeight="1">
      <c r="D250" s="38">
        <v>248</v>
      </c>
      <c r="E250" s="39">
        <v>2595</v>
      </c>
      <c r="F250" s="40" t="s">
        <v>7713</v>
      </c>
      <c r="G250" s="40" t="s">
        <v>6756</v>
      </c>
      <c r="H250" s="40" t="s">
        <v>7679</v>
      </c>
      <c r="I250" s="39">
        <v>2</v>
      </c>
      <c r="J250" s="58">
        <v>44636</v>
      </c>
    </row>
    <row r="251" spans="4:10" ht="15.6" customHeight="1">
      <c r="D251" s="38">
        <v>249</v>
      </c>
      <c r="E251" s="39">
        <v>2998</v>
      </c>
      <c r="F251" s="40" t="s">
        <v>7301</v>
      </c>
      <c r="G251" s="40" t="s">
        <v>6756</v>
      </c>
      <c r="H251" s="40" t="s">
        <v>6999</v>
      </c>
      <c r="I251" s="39">
        <v>2</v>
      </c>
      <c r="J251" s="58">
        <v>44636</v>
      </c>
    </row>
    <row r="252" spans="4:10" ht="15.6" customHeight="1">
      <c r="D252" s="38">
        <v>250</v>
      </c>
      <c r="E252" s="39">
        <v>2832</v>
      </c>
      <c r="F252" s="40" t="s">
        <v>7714</v>
      </c>
      <c r="G252" s="40" t="s">
        <v>6756</v>
      </c>
      <c r="H252" s="40" t="s">
        <v>6999</v>
      </c>
      <c r="I252" s="39">
        <v>2</v>
      </c>
      <c r="J252" s="58">
        <v>44636</v>
      </c>
    </row>
    <row r="253" spans="4:10" ht="15.6" customHeight="1">
      <c r="D253" s="38">
        <v>251</v>
      </c>
      <c r="E253" s="39" t="s">
        <v>7715</v>
      </c>
      <c r="F253" s="40" t="s">
        <v>7716</v>
      </c>
      <c r="G253" s="40" t="s">
        <v>6792</v>
      </c>
      <c r="H253" s="40" t="s">
        <v>6967</v>
      </c>
      <c r="I253" s="39">
        <v>2</v>
      </c>
      <c r="J253" s="58">
        <v>44636</v>
      </c>
    </row>
    <row r="254" spans="4:10" ht="15.6" customHeight="1">
      <c r="D254" s="38">
        <v>252</v>
      </c>
      <c r="E254" s="39" t="s">
        <v>7717</v>
      </c>
      <c r="F254" s="40" t="s">
        <v>7718</v>
      </c>
      <c r="G254" s="40" t="s">
        <v>6792</v>
      </c>
      <c r="H254" s="40" t="s">
        <v>6967</v>
      </c>
      <c r="I254" s="39">
        <v>2</v>
      </c>
      <c r="J254" s="58">
        <v>44636</v>
      </c>
    </row>
    <row r="255" spans="4:10" ht="15.6" customHeight="1">
      <c r="D255" s="38">
        <v>253</v>
      </c>
      <c r="E255" s="39">
        <v>2047</v>
      </c>
      <c r="F255" s="40" t="s">
        <v>7719</v>
      </c>
      <c r="G255" s="40" t="s">
        <v>6792</v>
      </c>
      <c r="H255" s="40" t="s">
        <v>6967</v>
      </c>
      <c r="I255" s="39">
        <v>2</v>
      </c>
      <c r="J255" s="58">
        <v>44636</v>
      </c>
    </row>
    <row r="256" spans="4:10" ht="15.6" customHeight="1">
      <c r="D256" s="38">
        <v>254</v>
      </c>
      <c r="E256" s="39" t="s">
        <v>90</v>
      </c>
      <c r="F256" s="40" t="s">
        <v>5590</v>
      </c>
      <c r="G256" s="40" t="s">
        <v>5281</v>
      </c>
      <c r="H256" s="40" t="s">
        <v>15</v>
      </c>
      <c r="I256" s="39">
        <v>2</v>
      </c>
      <c r="J256" s="58">
        <v>44637</v>
      </c>
    </row>
    <row r="257" spans="4:10" ht="15.6" customHeight="1">
      <c r="D257" s="38">
        <v>255</v>
      </c>
      <c r="E257" s="39" t="s">
        <v>91</v>
      </c>
      <c r="F257" s="40" t="s">
        <v>7720</v>
      </c>
      <c r="G257" s="40" t="s">
        <v>5281</v>
      </c>
      <c r="H257" s="40" t="s">
        <v>15</v>
      </c>
      <c r="I257" s="39">
        <v>2</v>
      </c>
      <c r="J257" s="58">
        <v>44637</v>
      </c>
    </row>
    <row r="258" spans="4:10" ht="15.6" customHeight="1">
      <c r="D258" s="38">
        <v>256</v>
      </c>
      <c r="E258" s="39">
        <v>3899</v>
      </c>
      <c r="F258" s="40" t="s">
        <v>7135</v>
      </c>
      <c r="G258" s="40" t="s">
        <v>6735</v>
      </c>
      <c r="H258" s="40" t="s">
        <v>6810</v>
      </c>
      <c r="I258" s="39">
        <v>2</v>
      </c>
      <c r="J258" s="58">
        <v>44637</v>
      </c>
    </row>
    <row r="259" spans="4:10" ht="15.6" customHeight="1">
      <c r="D259" s="38">
        <v>257</v>
      </c>
      <c r="E259" s="39">
        <v>4055</v>
      </c>
      <c r="F259" s="40" t="s">
        <v>7721</v>
      </c>
      <c r="G259" s="40" t="s">
        <v>6735</v>
      </c>
      <c r="H259" s="40" t="s">
        <v>6810</v>
      </c>
      <c r="I259" s="39">
        <v>2</v>
      </c>
      <c r="J259" s="58">
        <v>44637</v>
      </c>
    </row>
    <row r="260" spans="4:10" ht="15.6" customHeight="1">
      <c r="D260" s="38">
        <v>258</v>
      </c>
      <c r="E260" s="39">
        <v>4472</v>
      </c>
      <c r="F260" s="40" t="s">
        <v>7722</v>
      </c>
      <c r="G260" s="40" t="s">
        <v>6735</v>
      </c>
      <c r="H260" s="40" t="s">
        <v>6810</v>
      </c>
      <c r="I260" s="39">
        <v>2</v>
      </c>
      <c r="J260" s="58">
        <v>44637</v>
      </c>
    </row>
    <row r="261" spans="4:10" ht="15.6" customHeight="1">
      <c r="D261" s="38">
        <v>259</v>
      </c>
      <c r="E261" s="39" t="s">
        <v>7723</v>
      </c>
      <c r="F261" s="40" t="s">
        <v>7724</v>
      </c>
      <c r="G261" s="40" t="s">
        <v>6774</v>
      </c>
      <c r="H261" s="40" t="s">
        <v>6843</v>
      </c>
      <c r="I261" s="39">
        <v>2</v>
      </c>
      <c r="J261" s="58">
        <v>44637</v>
      </c>
    </row>
    <row r="262" spans="4:10" ht="15.6" customHeight="1">
      <c r="D262" s="38">
        <v>260</v>
      </c>
      <c r="E262" s="39" t="s">
        <v>7725</v>
      </c>
      <c r="F262" s="40" t="s">
        <v>7726</v>
      </c>
      <c r="G262" s="40" t="s">
        <v>6774</v>
      </c>
      <c r="H262" s="40" t="s">
        <v>6843</v>
      </c>
      <c r="I262" s="39">
        <v>2</v>
      </c>
      <c r="J262" s="58">
        <v>44637</v>
      </c>
    </row>
    <row r="263" spans="4:10" ht="15.6" customHeight="1">
      <c r="D263" s="38">
        <v>261</v>
      </c>
      <c r="E263" s="39">
        <v>4757</v>
      </c>
      <c r="F263" s="40" t="s">
        <v>7727</v>
      </c>
      <c r="G263" s="40" t="s">
        <v>6774</v>
      </c>
      <c r="H263" s="40" t="s">
        <v>6843</v>
      </c>
      <c r="I263" s="39">
        <v>2</v>
      </c>
      <c r="J263" s="58">
        <v>44637</v>
      </c>
    </row>
    <row r="264" spans="4:10" ht="15.6" customHeight="1">
      <c r="D264" s="38">
        <v>262</v>
      </c>
      <c r="E264" s="39">
        <v>4760</v>
      </c>
      <c r="F264" s="40" t="s">
        <v>6797</v>
      </c>
      <c r="G264" s="40" t="s">
        <v>6774</v>
      </c>
      <c r="H264" s="40" t="s">
        <v>6843</v>
      </c>
      <c r="I264" s="39">
        <v>2</v>
      </c>
      <c r="J264" s="58">
        <v>44637</v>
      </c>
    </row>
    <row r="265" spans="4:10" ht="15.6" customHeight="1">
      <c r="D265" s="38">
        <v>263</v>
      </c>
      <c r="E265" s="39" t="s">
        <v>7728</v>
      </c>
      <c r="F265" s="40" t="s">
        <v>7729</v>
      </c>
      <c r="G265" s="40" t="s">
        <v>6756</v>
      </c>
      <c r="H265" s="40" t="s">
        <v>7730</v>
      </c>
      <c r="I265" s="39">
        <v>2</v>
      </c>
      <c r="J265" s="58">
        <v>44637</v>
      </c>
    </row>
    <row r="266" spans="4:10" ht="15.6" customHeight="1">
      <c r="D266" s="38">
        <v>264</v>
      </c>
      <c r="E266" s="39">
        <v>4733</v>
      </c>
      <c r="F266" s="40" t="s">
        <v>7731</v>
      </c>
      <c r="G266" s="40" t="s">
        <v>6756</v>
      </c>
      <c r="H266" s="40" t="s">
        <v>6999</v>
      </c>
      <c r="I266" s="39">
        <v>2</v>
      </c>
      <c r="J266" s="58">
        <v>44637</v>
      </c>
    </row>
    <row r="267" spans="4:10" ht="15.6" customHeight="1">
      <c r="D267" s="38">
        <v>265</v>
      </c>
      <c r="E267" s="39">
        <v>4253</v>
      </c>
      <c r="F267" s="40" t="s">
        <v>7732</v>
      </c>
      <c r="G267" s="40" t="s">
        <v>6792</v>
      </c>
      <c r="H267" s="40" t="s">
        <v>6967</v>
      </c>
      <c r="I267" s="39">
        <v>2</v>
      </c>
      <c r="J267" s="58">
        <v>44637</v>
      </c>
    </row>
    <row r="268" spans="4:10" ht="15.6" customHeight="1">
      <c r="D268" s="38">
        <v>266</v>
      </c>
      <c r="E268" s="39">
        <v>4362</v>
      </c>
      <c r="F268" s="40" t="s">
        <v>7733</v>
      </c>
      <c r="G268" s="40" t="s">
        <v>6792</v>
      </c>
      <c r="H268" s="40" t="s">
        <v>6967</v>
      </c>
      <c r="I268" s="39">
        <v>2</v>
      </c>
      <c r="J268" s="58">
        <v>44637</v>
      </c>
    </row>
    <row r="269" spans="4:10" ht="15.6" customHeight="1">
      <c r="D269" s="38">
        <v>267</v>
      </c>
      <c r="E269" s="39">
        <v>4348</v>
      </c>
      <c r="F269" s="40" t="s">
        <v>7734</v>
      </c>
      <c r="G269" s="40" t="s">
        <v>6792</v>
      </c>
      <c r="H269" s="40" t="s">
        <v>6967</v>
      </c>
      <c r="I269" s="39">
        <v>2</v>
      </c>
      <c r="J269" s="58">
        <v>44637</v>
      </c>
    </row>
    <row r="270" spans="4:10" ht="15.6" customHeight="1">
      <c r="D270" s="38">
        <v>268</v>
      </c>
      <c r="E270" s="39">
        <v>2171</v>
      </c>
      <c r="F270" s="40" t="s">
        <v>5565</v>
      </c>
      <c r="G270" s="40" t="s">
        <v>5281</v>
      </c>
      <c r="H270" s="40" t="s">
        <v>15</v>
      </c>
      <c r="I270" s="39">
        <v>2</v>
      </c>
      <c r="J270" s="58">
        <v>44638</v>
      </c>
    </row>
    <row r="271" spans="4:10" ht="15.6" customHeight="1">
      <c r="D271" s="38">
        <v>269</v>
      </c>
      <c r="E271" s="39">
        <v>3913</v>
      </c>
      <c r="F271" s="40" t="s">
        <v>2336</v>
      </c>
      <c r="G271" s="40" t="s">
        <v>5281</v>
      </c>
      <c r="H271" s="40" t="s">
        <v>15</v>
      </c>
      <c r="I271" s="39">
        <v>2</v>
      </c>
      <c r="J271" s="58">
        <v>44638</v>
      </c>
    </row>
    <row r="272" spans="4:10" ht="15.6" customHeight="1">
      <c r="D272" s="38">
        <v>270</v>
      </c>
      <c r="E272" s="39">
        <v>4008</v>
      </c>
      <c r="F272" s="40" t="s">
        <v>5592</v>
      </c>
      <c r="G272" s="40" t="s">
        <v>5281</v>
      </c>
      <c r="H272" s="40" t="s">
        <v>15</v>
      </c>
      <c r="I272" s="39">
        <v>2</v>
      </c>
      <c r="J272" s="58">
        <v>44638</v>
      </c>
    </row>
    <row r="273" spans="4:10" ht="15.6" customHeight="1">
      <c r="D273" s="38">
        <v>271</v>
      </c>
      <c r="E273" s="39" t="s">
        <v>89</v>
      </c>
      <c r="F273" s="40" t="s">
        <v>7735</v>
      </c>
      <c r="G273" s="40" t="s">
        <v>5281</v>
      </c>
      <c r="H273" s="40" t="s">
        <v>15</v>
      </c>
      <c r="I273" s="39">
        <v>2</v>
      </c>
      <c r="J273" s="58">
        <v>44638</v>
      </c>
    </row>
    <row r="274" spans="4:10" ht="15.6" customHeight="1">
      <c r="D274" s="38">
        <v>272</v>
      </c>
      <c r="E274" s="39" t="s">
        <v>52</v>
      </c>
      <c r="F274" s="40" t="s">
        <v>5604</v>
      </c>
      <c r="G274" s="40" t="s">
        <v>5281</v>
      </c>
      <c r="H274" s="40" t="s">
        <v>15</v>
      </c>
      <c r="I274" s="39">
        <v>2</v>
      </c>
      <c r="J274" s="58">
        <v>44638</v>
      </c>
    </row>
    <row r="275" spans="4:10" ht="15.6" customHeight="1">
      <c r="D275" s="38">
        <v>273</v>
      </c>
      <c r="E275" s="39">
        <v>2407</v>
      </c>
      <c r="F275" s="40" t="s">
        <v>7736</v>
      </c>
      <c r="G275" s="40" t="s">
        <v>6735</v>
      </c>
      <c r="H275" s="40" t="s">
        <v>6810</v>
      </c>
      <c r="I275" s="39">
        <v>2</v>
      </c>
      <c r="J275" s="58">
        <v>44638</v>
      </c>
    </row>
    <row r="276" spans="4:10" ht="15.6" customHeight="1">
      <c r="D276" s="38">
        <v>274</v>
      </c>
      <c r="E276" s="39">
        <v>2425</v>
      </c>
      <c r="F276" s="40" t="s">
        <v>7737</v>
      </c>
      <c r="G276" s="40" t="s">
        <v>6735</v>
      </c>
      <c r="H276" s="40" t="s">
        <v>6810</v>
      </c>
      <c r="I276" s="39">
        <v>2</v>
      </c>
      <c r="J276" s="58">
        <v>44638</v>
      </c>
    </row>
    <row r="277" spans="4:10" ht="15.6" customHeight="1">
      <c r="D277" s="38">
        <v>275</v>
      </c>
      <c r="E277" s="39">
        <v>4123</v>
      </c>
      <c r="F277" s="40" t="s">
        <v>7738</v>
      </c>
      <c r="G277" s="40" t="s">
        <v>6774</v>
      </c>
      <c r="H277" s="40" t="s">
        <v>6843</v>
      </c>
      <c r="I277" s="39">
        <v>2</v>
      </c>
      <c r="J277" s="58">
        <v>44638</v>
      </c>
    </row>
    <row r="278" spans="4:10" ht="15.6" customHeight="1">
      <c r="D278" s="38">
        <v>276</v>
      </c>
      <c r="E278" s="39">
        <v>4343</v>
      </c>
      <c r="F278" s="40" t="s">
        <v>7739</v>
      </c>
      <c r="G278" s="40" t="s">
        <v>6774</v>
      </c>
      <c r="H278" s="40" t="s">
        <v>6843</v>
      </c>
      <c r="I278" s="39">
        <v>2</v>
      </c>
      <c r="J278" s="58">
        <v>44638</v>
      </c>
    </row>
    <row r="279" spans="4:10" ht="15.6" customHeight="1">
      <c r="D279" s="38">
        <v>277</v>
      </c>
      <c r="E279" s="39">
        <v>4305</v>
      </c>
      <c r="F279" s="40" t="s">
        <v>7740</v>
      </c>
      <c r="G279" s="40" t="s">
        <v>6774</v>
      </c>
      <c r="H279" s="40" t="s">
        <v>6843</v>
      </c>
      <c r="I279" s="39">
        <v>2</v>
      </c>
      <c r="J279" s="58">
        <v>44638</v>
      </c>
    </row>
    <row r="280" spans="4:10" ht="15.6" customHeight="1">
      <c r="D280" s="38">
        <v>278</v>
      </c>
      <c r="E280" s="39">
        <v>3964</v>
      </c>
      <c r="F280" s="40" t="s">
        <v>7741</v>
      </c>
      <c r="G280" s="40" t="s">
        <v>6756</v>
      </c>
      <c r="H280" s="40" t="s">
        <v>6999</v>
      </c>
      <c r="I280" s="39">
        <v>2</v>
      </c>
      <c r="J280" s="58">
        <v>44638</v>
      </c>
    </row>
    <row r="281" spans="4:10" ht="15.6" customHeight="1">
      <c r="D281" s="38">
        <v>279</v>
      </c>
      <c r="E281" s="39">
        <v>4559</v>
      </c>
      <c r="F281" s="40" t="s">
        <v>7742</v>
      </c>
      <c r="G281" s="40" t="s">
        <v>6756</v>
      </c>
      <c r="H281" s="40" t="s">
        <v>7730</v>
      </c>
      <c r="I281" s="39">
        <v>2</v>
      </c>
      <c r="J281" s="58">
        <v>44638</v>
      </c>
    </row>
    <row r="282" spans="4:10" ht="15.6" customHeight="1">
      <c r="D282" s="38">
        <v>280</v>
      </c>
      <c r="E282" s="39">
        <v>3670</v>
      </c>
      <c r="F282" s="40" t="s">
        <v>7743</v>
      </c>
      <c r="G282" s="40" t="s">
        <v>6792</v>
      </c>
      <c r="H282" s="40" t="s">
        <v>6967</v>
      </c>
      <c r="I282" s="39">
        <v>2</v>
      </c>
      <c r="J282" s="58">
        <v>44638</v>
      </c>
    </row>
    <row r="283" spans="4:10" ht="15.6" customHeight="1">
      <c r="D283" s="38">
        <v>281</v>
      </c>
      <c r="E283" s="39">
        <v>3690</v>
      </c>
      <c r="F283" s="40" t="s">
        <v>7744</v>
      </c>
      <c r="G283" s="40" t="s">
        <v>6792</v>
      </c>
      <c r="H283" s="40" t="s">
        <v>6967</v>
      </c>
      <c r="I283" s="39">
        <v>2</v>
      </c>
      <c r="J283" s="58">
        <v>44638</v>
      </c>
    </row>
    <row r="284" spans="4:10" ht="15.6" customHeight="1">
      <c r="D284" s="38">
        <v>282</v>
      </c>
      <c r="E284" s="39">
        <v>4174</v>
      </c>
      <c r="F284" s="40" t="s">
        <v>7745</v>
      </c>
      <c r="G284" s="40" t="s">
        <v>6792</v>
      </c>
      <c r="H284" s="40" t="s">
        <v>6967</v>
      </c>
      <c r="I284" s="39">
        <v>2</v>
      </c>
      <c r="J284" s="58">
        <v>44638</v>
      </c>
    </row>
    <row r="285" spans="4:10" ht="15.6" customHeight="1">
      <c r="D285" s="38">
        <v>283</v>
      </c>
      <c r="E285" s="39">
        <v>4087</v>
      </c>
      <c r="F285" s="40" t="s">
        <v>7746</v>
      </c>
      <c r="G285" s="40" t="s">
        <v>6774</v>
      </c>
      <c r="H285" s="40" t="s">
        <v>6843</v>
      </c>
      <c r="I285" s="39">
        <v>2</v>
      </c>
      <c r="J285" s="58">
        <v>44639</v>
      </c>
    </row>
    <row r="286" spans="4:10" ht="15.6" customHeight="1">
      <c r="D286" s="38">
        <v>284</v>
      </c>
      <c r="E286" s="39" t="s">
        <v>7747</v>
      </c>
      <c r="F286" s="40" t="s">
        <v>7748</v>
      </c>
      <c r="G286" s="40" t="s">
        <v>6735</v>
      </c>
      <c r="H286" s="40" t="s">
        <v>6810</v>
      </c>
      <c r="I286" s="39">
        <v>2</v>
      </c>
      <c r="J286" s="58">
        <v>44641</v>
      </c>
    </row>
    <row r="287" spans="4:10" ht="15.6" customHeight="1">
      <c r="D287" s="38">
        <v>285</v>
      </c>
      <c r="E287" s="39" t="s">
        <v>7415</v>
      </c>
      <c r="F287" s="40" t="s">
        <v>7416</v>
      </c>
      <c r="G287" s="40" t="s">
        <v>6774</v>
      </c>
      <c r="H287" s="40" t="s">
        <v>6843</v>
      </c>
      <c r="I287" s="39">
        <v>2</v>
      </c>
      <c r="J287" s="58">
        <v>44641</v>
      </c>
    </row>
    <row r="288" spans="4:10" ht="15.6" customHeight="1">
      <c r="D288" s="38">
        <v>286</v>
      </c>
      <c r="E288" s="39">
        <v>4970</v>
      </c>
      <c r="F288" s="40" t="s">
        <v>3027</v>
      </c>
      <c r="G288" s="40" t="s">
        <v>5281</v>
      </c>
      <c r="H288" s="40" t="s">
        <v>15</v>
      </c>
      <c r="I288" s="39">
        <v>2</v>
      </c>
      <c r="J288" s="58">
        <v>44641</v>
      </c>
    </row>
    <row r="289" spans="4:10" ht="15.6" customHeight="1">
      <c r="D289" s="38">
        <v>287</v>
      </c>
      <c r="E289" s="39">
        <v>2398</v>
      </c>
      <c r="F289" s="40" t="s">
        <v>7749</v>
      </c>
      <c r="G289" s="40" t="s">
        <v>5281</v>
      </c>
      <c r="H289" s="40" t="s">
        <v>15</v>
      </c>
      <c r="I289" s="39">
        <v>2</v>
      </c>
      <c r="J289" s="58">
        <v>44641</v>
      </c>
    </row>
    <row r="290" spans="4:10" ht="15.6" customHeight="1">
      <c r="D290" s="38">
        <v>288</v>
      </c>
      <c r="E290" s="39">
        <v>2570</v>
      </c>
      <c r="F290" s="40" t="s">
        <v>7750</v>
      </c>
      <c r="G290" s="40" t="s">
        <v>5281</v>
      </c>
      <c r="H290" s="40" t="s">
        <v>15</v>
      </c>
      <c r="I290" s="39">
        <v>2</v>
      </c>
      <c r="J290" s="58">
        <v>44641</v>
      </c>
    </row>
    <row r="291" spans="4:10" ht="15.6" customHeight="1">
      <c r="D291" s="38">
        <v>289</v>
      </c>
      <c r="E291" s="39">
        <v>3088</v>
      </c>
      <c r="F291" s="40" t="s">
        <v>7751</v>
      </c>
      <c r="G291" s="40" t="s">
        <v>6735</v>
      </c>
      <c r="H291" s="40" t="s">
        <v>6819</v>
      </c>
      <c r="I291" s="39">
        <v>2</v>
      </c>
      <c r="J291" s="58">
        <v>44641</v>
      </c>
    </row>
    <row r="292" spans="4:10" ht="15.6" customHeight="1">
      <c r="D292" s="38">
        <v>290</v>
      </c>
      <c r="E292" s="39">
        <v>3080</v>
      </c>
      <c r="F292" s="40" t="s">
        <v>7363</v>
      </c>
      <c r="G292" s="40" t="s">
        <v>6735</v>
      </c>
      <c r="H292" s="40" t="s">
        <v>6819</v>
      </c>
      <c r="I292" s="39">
        <v>2</v>
      </c>
      <c r="J292" s="58">
        <v>44641</v>
      </c>
    </row>
    <row r="293" spans="4:10" ht="15.6" customHeight="1">
      <c r="D293" s="38">
        <v>291</v>
      </c>
      <c r="E293" s="39">
        <v>3570</v>
      </c>
      <c r="F293" s="40" t="s">
        <v>7752</v>
      </c>
      <c r="G293" s="40" t="s">
        <v>6735</v>
      </c>
      <c r="H293" s="40" t="s">
        <v>6819</v>
      </c>
      <c r="I293" s="39">
        <v>2</v>
      </c>
      <c r="J293" s="58">
        <v>44641</v>
      </c>
    </row>
    <row r="294" spans="4:10" ht="15.6" customHeight="1">
      <c r="D294" s="38">
        <v>292</v>
      </c>
      <c r="E294" s="39">
        <v>3856</v>
      </c>
      <c r="F294" s="40" t="s">
        <v>7753</v>
      </c>
      <c r="G294" s="40" t="s">
        <v>6774</v>
      </c>
      <c r="H294" s="40" t="s">
        <v>6843</v>
      </c>
      <c r="I294" s="39">
        <v>2</v>
      </c>
      <c r="J294" s="58">
        <v>44641</v>
      </c>
    </row>
    <row r="295" spans="4:10" ht="15.6" customHeight="1">
      <c r="D295" s="38">
        <v>293</v>
      </c>
      <c r="E295" s="39">
        <v>3963</v>
      </c>
      <c r="F295" s="40" t="s">
        <v>7754</v>
      </c>
      <c r="G295" s="40" t="s">
        <v>6774</v>
      </c>
      <c r="H295" s="40" t="s">
        <v>6843</v>
      </c>
      <c r="I295" s="39">
        <v>2</v>
      </c>
      <c r="J295" s="58">
        <v>44641</v>
      </c>
    </row>
    <row r="296" spans="4:10" ht="15.6" customHeight="1">
      <c r="D296" s="38">
        <v>294</v>
      </c>
      <c r="E296" s="39">
        <v>3602</v>
      </c>
      <c r="F296" s="40" t="s">
        <v>7755</v>
      </c>
      <c r="G296" s="40" t="s">
        <v>6756</v>
      </c>
      <c r="H296" s="40" t="s">
        <v>7730</v>
      </c>
      <c r="I296" s="39">
        <v>2</v>
      </c>
      <c r="J296" s="58">
        <v>44641</v>
      </c>
    </row>
    <row r="297" spans="4:10" ht="15.6" customHeight="1">
      <c r="D297" s="38">
        <v>295</v>
      </c>
      <c r="E297" s="39">
        <v>3682</v>
      </c>
      <c r="F297" s="40" t="s">
        <v>7756</v>
      </c>
      <c r="G297" s="40" t="s">
        <v>6756</v>
      </c>
      <c r="H297" s="40" t="s">
        <v>7730</v>
      </c>
      <c r="I297" s="39">
        <v>2</v>
      </c>
      <c r="J297" s="58">
        <v>44641</v>
      </c>
    </row>
    <row r="298" spans="4:10" ht="15.6" customHeight="1">
      <c r="D298" s="38">
        <v>296</v>
      </c>
      <c r="E298" s="39">
        <v>3888</v>
      </c>
      <c r="F298" s="40" t="s">
        <v>7757</v>
      </c>
      <c r="G298" s="40" t="s">
        <v>6756</v>
      </c>
      <c r="H298" s="40" t="s">
        <v>7730</v>
      </c>
      <c r="I298" s="39">
        <v>2</v>
      </c>
      <c r="J298" s="58">
        <v>44641</v>
      </c>
    </row>
    <row r="299" spans="4:10" ht="15.6" customHeight="1">
      <c r="D299" s="38">
        <v>297</v>
      </c>
      <c r="E299" s="39">
        <v>4395</v>
      </c>
      <c r="F299" s="40" t="s">
        <v>7758</v>
      </c>
      <c r="G299" s="40" t="s">
        <v>6756</v>
      </c>
      <c r="H299" s="40" t="s">
        <v>7730</v>
      </c>
      <c r="I299" s="39">
        <v>2</v>
      </c>
      <c r="J299" s="58">
        <v>44641</v>
      </c>
    </row>
    <row r="300" spans="4:10" ht="15.6" customHeight="1">
      <c r="D300" s="38">
        <v>298</v>
      </c>
      <c r="E300" s="39">
        <v>2760</v>
      </c>
      <c r="F300" s="40" t="s">
        <v>7759</v>
      </c>
      <c r="G300" s="40" t="s">
        <v>6792</v>
      </c>
      <c r="H300" s="40" t="s">
        <v>6967</v>
      </c>
      <c r="I300" s="39">
        <v>2</v>
      </c>
      <c r="J300" s="58">
        <v>44641</v>
      </c>
    </row>
    <row r="301" spans="4:10" ht="15.6" customHeight="1">
      <c r="D301" s="38">
        <v>299</v>
      </c>
      <c r="E301" s="39">
        <v>3282</v>
      </c>
      <c r="F301" s="40" t="s">
        <v>7760</v>
      </c>
      <c r="G301" s="40" t="s">
        <v>6792</v>
      </c>
      <c r="H301" s="40" t="s">
        <v>6967</v>
      </c>
      <c r="I301" s="39">
        <v>2</v>
      </c>
      <c r="J301" s="58">
        <v>44641</v>
      </c>
    </row>
    <row r="302" spans="4:10" ht="15.6" customHeight="1">
      <c r="D302" s="38">
        <v>300</v>
      </c>
      <c r="E302" s="39" t="s">
        <v>92</v>
      </c>
      <c r="F302" s="40" t="s">
        <v>7761</v>
      </c>
      <c r="G302" s="40" t="s">
        <v>5281</v>
      </c>
      <c r="H302" s="40" t="s">
        <v>15</v>
      </c>
      <c r="I302" s="39">
        <v>2</v>
      </c>
      <c r="J302" s="58">
        <v>44642</v>
      </c>
    </row>
    <row r="303" spans="4:10" ht="15.6" customHeight="1">
      <c r="D303" s="38">
        <v>301</v>
      </c>
      <c r="E303" s="39">
        <v>2180</v>
      </c>
      <c r="F303" s="40" t="s">
        <v>7762</v>
      </c>
      <c r="G303" s="40" t="s">
        <v>5281</v>
      </c>
      <c r="H303" s="40" t="s">
        <v>15</v>
      </c>
      <c r="I303" s="39">
        <v>2</v>
      </c>
      <c r="J303" s="58">
        <v>44642</v>
      </c>
    </row>
    <row r="304" spans="4:10" ht="15.6" customHeight="1">
      <c r="D304" s="38">
        <v>302</v>
      </c>
      <c r="E304" s="39">
        <v>4020</v>
      </c>
      <c r="F304" s="40" t="s">
        <v>5582</v>
      </c>
      <c r="G304" s="40" t="s">
        <v>5281</v>
      </c>
      <c r="H304" s="40" t="s">
        <v>15</v>
      </c>
      <c r="I304" s="39">
        <v>2</v>
      </c>
      <c r="J304" s="58">
        <v>44642</v>
      </c>
    </row>
    <row r="305" spans="4:10" ht="15.6" customHeight="1">
      <c r="D305" s="38">
        <v>303</v>
      </c>
      <c r="E305" s="39" t="s">
        <v>7763</v>
      </c>
      <c r="F305" s="40" t="s">
        <v>7764</v>
      </c>
      <c r="G305" s="40" t="s">
        <v>6735</v>
      </c>
      <c r="H305" s="40" t="s">
        <v>6819</v>
      </c>
      <c r="I305" s="39">
        <v>2</v>
      </c>
      <c r="J305" s="58">
        <v>44642</v>
      </c>
    </row>
    <row r="306" spans="4:10" ht="15.6" customHeight="1">
      <c r="D306" s="38">
        <v>304</v>
      </c>
      <c r="E306" s="39">
        <v>2792</v>
      </c>
      <c r="F306" s="40" t="s">
        <v>7765</v>
      </c>
      <c r="G306" s="40" t="s">
        <v>6735</v>
      </c>
      <c r="H306" s="40" t="s">
        <v>6819</v>
      </c>
      <c r="I306" s="39">
        <v>2</v>
      </c>
      <c r="J306" s="58">
        <v>44642</v>
      </c>
    </row>
    <row r="307" spans="4:10" ht="15.6" customHeight="1">
      <c r="D307" s="38">
        <v>305</v>
      </c>
      <c r="E307" s="39">
        <v>2845</v>
      </c>
      <c r="F307" s="40" t="s">
        <v>7766</v>
      </c>
      <c r="G307" s="40" t="s">
        <v>6735</v>
      </c>
      <c r="H307" s="40" t="s">
        <v>6819</v>
      </c>
      <c r="I307" s="39">
        <v>2</v>
      </c>
      <c r="J307" s="58">
        <v>44642</v>
      </c>
    </row>
    <row r="308" spans="4:10" ht="15.6" customHeight="1">
      <c r="D308" s="38">
        <v>306</v>
      </c>
      <c r="E308" s="39">
        <v>3686</v>
      </c>
      <c r="F308" s="40" t="s">
        <v>7767</v>
      </c>
      <c r="G308" s="40" t="s">
        <v>6735</v>
      </c>
      <c r="H308" s="40" t="s">
        <v>6819</v>
      </c>
      <c r="I308" s="39">
        <v>2</v>
      </c>
      <c r="J308" s="58">
        <v>44642</v>
      </c>
    </row>
    <row r="309" spans="4:10" ht="15.6" customHeight="1">
      <c r="D309" s="38">
        <v>307</v>
      </c>
      <c r="E309" s="39">
        <v>2987</v>
      </c>
      <c r="F309" s="40" t="s">
        <v>7284</v>
      </c>
      <c r="G309" s="40" t="s">
        <v>6774</v>
      </c>
      <c r="H309" s="40" t="s">
        <v>6843</v>
      </c>
      <c r="I309" s="39">
        <v>2</v>
      </c>
      <c r="J309" s="58">
        <v>44642</v>
      </c>
    </row>
    <row r="310" spans="4:10" ht="15.6" customHeight="1">
      <c r="D310" s="38">
        <v>308</v>
      </c>
      <c r="E310" s="39">
        <v>3699</v>
      </c>
      <c r="F310" s="40" t="s">
        <v>7768</v>
      </c>
      <c r="G310" s="40" t="s">
        <v>6774</v>
      </c>
      <c r="H310" s="40" t="s">
        <v>6843</v>
      </c>
      <c r="I310" s="39">
        <v>2</v>
      </c>
      <c r="J310" s="58">
        <v>44642</v>
      </c>
    </row>
    <row r="311" spans="4:10" ht="15.6" customHeight="1">
      <c r="D311" s="38">
        <v>309</v>
      </c>
      <c r="E311" s="39" t="s">
        <v>7769</v>
      </c>
      <c r="F311" s="40" t="s">
        <v>7770</v>
      </c>
      <c r="G311" s="40" t="s">
        <v>6756</v>
      </c>
      <c r="H311" s="40" t="s">
        <v>6757</v>
      </c>
      <c r="I311" s="39">
        <v>2</v>
      </c>
      <c r="J311" s="58">
        <v>44642</v>
      </c>
    </row>
    <row r="312" spans="4:10" ht="15.6" customHeight="1">
      <c r="D312" s="38">
        <v>310</v>
      </c>
      <c r="E312" s="39">
        <v>2493</v>
      </c>
      <c r="F312" s="40" t="s">
        <v>7771</v>
      </c>
      <c r="G312" s="40" t="s">
        <v>6756</v>
      </c>
      <c r="H312" s="40" t="s">
        <v>7730</v>
      </c>
      <c r="I312" s="39">
        <v>2</v>
      </c>
      <c r="J312" s="58">
        <v>44642</v>
      </c>
    </row>
    <row r="313" spans="4:10" ht="15.6" customHeight="1">
      <c r="D313" s="38">
        <v>311</v>
      </c>
      <c r="E313" s="39">
        <v>2706</v>
      </c>
      <c r="F313" s="40" t="s">
        <v>7772</v>
      </c>
      <c r="G313" s="40" t="s">
        <v>6756</v>
      </c>
      <c r="H313" s="40" t="s">
        <v>7730</v>
      </c>
      <c r="I313" s="39">
        <v>2</v>
      </c>
      <c r="J313" s="58">
        <v>44642</v>
      </c>
    </row>
    <row r="314" spans="4:10" ht="15.6" customHeight="1">
      <c r="D314" s="38">
        <v>312</v>
      </c>
      <c r="E314" s="39">
        <v>4738</v>
      </c>
      <c r="F314" s="40" t="s">
        <v>7773</v>
      </c>
      <c r="G314" s="40" t="s">
        <v>6792</v>
      </c>
      <c r="H314" s="40" t="s">
        <v>6955</v>
      </c>
      <c r="I314" s="39">
        <v>2</v>
      </c>
      <c r="J314" s="58">
        <v>44642</v>
      </c>
    </row>
    <row r="315" spans="4:10" ht="15.6" customHeight="1">
      <c r="D315" s="38">
        <v>313</v>
      </c>
      <c r="E315" s="39" t="s">
        <v>7774</v>
      </c>
      <c r="F315" s="40" t="s">
        <v>7775</v>
      </c>
      <c r="G315" s="40" t="s">
        <v>6792</v>
      </c>
      <c r="H315" s="40" t="s">
        <v>6955</v>
      </c>
      <c r="I315" s="39">
        <v>2</v>
      </c>
      <c r="J315" s="58">
        <v>44642</v>
      </c>
    </row>
    <row r="316" spans="4:10" ht="15.6" customHeight="1">
      <c r="D316" s="38">
        <v>314</v>
      </c>
      <c r="E316" s="39">
        <v>4277</v>
      </c>
      <c r="F316" s="40" t="s">
        <v>7776</v>
      </c>
      <c r="G316" s="40" t="s">
        <v>6792</v>
      </c>
      <c r="H316" s="40" t="s">
        <v>6955</v>
      </c>
      <c r="I316" s="39">
        <v>2</v>
      </c>
      <c r="J316" s="58">
        <v>44642</v>
      </c>
    </row>
    <row r="317" spans="4:10" ht="15.6" customHeight="1">
      <c r="D317" s="38">
        <v>315</v>
      </c>
      <c r="E317" s="39" t="s">
        <v>94</v>
      </c>
      <c r="F317" s="40" t="s">
        <v>7777</v>
      </c>
      <c r="G317" s="40" t="s">
        <v>5281</v>
      </c>
      <c r="H317" s="40" t="s">
        <v>15</v>
      </c>
      <c r="I317" s="39">
        <v>2</v>
      </c>
      <c r="J317" s="58">
        <v>44643</v>
      </c>
    </row>
    <row r="318" spans="4:10" ht="15.6" customHeight="1">
      <c r="D318" s="38">
        <v>316</v>
      </c>
      <c r="E318" s="39">
        <v>3318</v>
      </c>
      <c r="F318" s="40" t="s">
        <v>7778</v>
      </c>
      <c r="G318" s="40" t="s">
        <v>5281</v>
      </c>
      <c r="H318" s="40" t="s">
        <v>15</v>
      </c>
      <c r="I318" s="39">
        <v>2</v>
      </c>
      <c r="J318" s="58">
        <v>44643</v>
      </c>
    </row>
    <row r="319" spans="4:10" ht="15.6" customHeight="1">
      <c r="D319" s="38">
        <v>317</v>
      </c>
      <c r="E319" s="39">
        <v>4770</v>
      </c>
      <c r="F319" s="40" t="s">
        <v>2949</v>
      </c>
      <c r="G319" s="40" t="s">
        <v>5281</v>
      </c>
      <c r="H319" s="40" t="s">
        <v>15</v>
      </c>
      <c r="I319" s="39">
        <v>2</v>
      </c>
      <c r="J319" s="58">
        <v>44643</v>
      </c>
    </row>
    <row r="320" spans="4:10" ht="15.6" customHeight="1">
      <c r="D320" s="38">
        <v>318</v>
      </c>
      <c r="E320" s="39">
        <v>2389</v>
      </c>
      <c r="F320" s="40" t="s">
        <v>7779</v>
      </c>
      <c r="G320" s="40" t="s">
        <v>6735</v>
      </c>
      <c r="H320" s="40" t="s">
        <v>6819</v>
      </c>
      <c r="I320" s="39">
        <v>2</v>
      </c>
      <c r="J320" s="58">
        <v>44643</v>
      </c>
    </row>
    <row r="321" spans="4:10" ht="15.6" customHeight="1">
      <c r="D321" s="38">
        <v>319</v>
      </c>
      <c r="E321" s="39">
        <v>2707</v>
      </c>
      <c r="F321" s="40" t="s">
        <v>7780</v>
      </c>
      <c r="G321" s="40" t="s">
        <v>6735</v>
      </c>
      <c r="H321" s="40" t="s">
        <v>6819</v>
      </c>
      <c r="I321" s="39">
        <v>2</v>
      </c>
      <c r="J321" s="58">
        <v>44643</v>
      </c>
    </row>
    <row r="322" spans="4:10" ht="15.6" customHeight="1">
      <c r="D322" s="38">
        <v>320</v>
      </c>
      <c r="E322" s="39">
        <v>3633</v>
      </c>
      <c r="F322" s="40" t="s">
        <v>7781</v>
      </c>
      <c r="G322" s="40" t="s">
        <v>6735</v>
      </c>
      <c r="H322" s="40" t="s">
        <v>6819</v>
      </c>
      <c r="I322" s="39">
        <v>2</v>
      </c>
      <c r="J322" s="58">
        <v>44643</v>
      </c>
    </row>
    <row r="323" spans="4:10" ht="15.6" customHeight="1">
      <c r="D323" s="38">
        <v>321</v>
      </c>
      <c r="E323" s="39">
        <v>4232</v>
      </c>
      <c r="F323" s="40" t="s">
        <v>7782</v>
      </c>
      <c r="G323" s="40" t="s">
        <v>6735</v>
      </c>
      <c r="H323" s="40" t="s">
        <v>6819</v>
      </c>
      <c r="I323" s="39">
        <v>2</v>
      </c>
      <c r="J323" s="58">
        <v>44643</v>
      </c>
    </row>
    <row r="324" spans="4:10" ht="15.6" customHeight="1">
      <c r="D324" s="38">
        <v>322</v>
      </c>
      <c r="E324" s="39">
        <v>2635</v>
      </c>
      <c r="F324" s="40" t="s">
        <v>7783</v>
      </c>
      <c r="G324" s="40" t="s">
        <v>6774</v>
      </c>
      <c r="H324" s="40" t="s">
        <v>6843</v>
      </c>
      <c r="I324" s="39">
        <v>2</v>
      </c>
      <c r="J324" s="58">
        <v>44643</v>
      </c>
    </row>
    <row r="325" spans="4:10" ht="15.6" customHeight="1">
      <c r="D325" s="38">
        <v>323</v>
      </c>
      <c r="E325" s="39">
        <v>2765</v>
      </c>
      <c r="F325" s="40" t="s">
        <v>7784</v>
      </c>
      <c r="G325" s="40" t="s">
        <v>6774</v>
      </c>
      <c r="H325" s="40" t="s">
        <v>6843</v>
      </c>
      <c r="I325" s="39">
        <v>2</v>
      </c>
      <c r="J325" s="58">
        <v>44643</v>
      </c>
    </row>
    <row r="326" spans="4:10" ht="15.6" customHeight="1">
      <c r="D326" s="38">
        <v>324</v>
      </c>
      <c r="E326" s="39">
        <v>2965</v>
      </c>
      <c r="F326" s="40" t="s">
        <v>7785</v>
      </c>
      <c r="G326" s="40" t="s">
        <v>6774</v>
      </c>
      <c r="H326" s="40" t="s">
        <v>6843</v>
      </c>
      <c r="I326" s="39">
        <v>2</v>
      </c>
      <c r="J326" s="58">
        <v>44643</v>
      </c>
    </row>
    <row r="327" spans="4:10" ht="15.6" customHeight="1">
      <c r="D327" s="38">
        <v>325</v>
      </c>
      <c r="E327" s="39">
        <v>2901</v>
      </c>
      <c r="F327" s="40" t="s">
        <v>7786</v>
      </c>
      <c r="G327" s="40" t="s">
        <v>6774</v>
      </c>
      <c r="H327" s="40" t="s">
        <v>6843</v>
      </c>
      <c r="I327" s="39">
        <v>2</v>
      </c>
      <c r="J327" s="58">
        <v>44643</v>
      </c>
    </row>
    <row r="328" spans="4:10" ht="15.6" customHeight="1">
      <c r="D328" s="38">
        <v>326</v>
      </c>
      <c r="E328" s="39">
        <v>3901</v>
      </c>
      <c r="F328" s="40" t="s">
        <v>7787</v>
      </c>
      <c r="G328" s="40" t="s">
        <v>6756</v>
      </c>
      <c r="H328" s="40" t="s">
        <v>6757</v>
      </c>
      <c r="I328" s="39">
        <v>2</v>
      </c>
      <c r="J328" s="58">
        <v>44643</v>
      </c>
    </row>
    <row r="329" spans="4:10" ht="15.6" customHeight="1">
      <c r="D329" s="38">
        <v>327</v>
      </c>
      <c r="E329" s="39">
        <v>4481</v>
      </c>
      <c r="F329" s="40" t="s">
        <v>7788</v>
      </c>
      <c r="G329" s="40" t="s">
        <v>6756</v>
      </c>
      <c r="H329" s="40" t="s">
        <v>6757</v>
      </c>
      <c r="I329" s="39">
        <v>2</v>
      </c>
      <c r="J329" s="58">
        <v>44643</v>
      </c>
    </row>
    <row r="330" spans="4:10" ht="15.6" customHeight="1">
      <c r="D330" s="38">
        <v>328</v>
      </c>
      <c r="E330" s="39">
        <v>4779</v>
      </c>
      <c r="F330" s="40" t="s">
        <v>7789</v>
      </c>
      <c r="G330" s="40" t="s">
        <v>6756</v>
      </c>
      <c r="H330" s="40" t="s">
        <v>6757</v>
      </c>
      <c r="I330" s="39">
        <v>2</v>
      </c>
      <c r="J330" s="58">
        <v>44643</v>
      </c>
    </row>
    <row r="331" spans="4:10" ht="15.6" customHeight="1">
      <c r="D331" s="38">
        <v>329</v>
      </c>
      <c r="E331" s="39">
        <v>4830</v>
      </c>
      <c r="F331" s="40" t="s">
        <v>7790</v>
      </c>
      <c r="G331" s="40" t="s">
        <v>6756</v>
      </c>
      <c r="H331" s="40" t="s">
        <v>6757</v>
      </c>
      <c r="I331" s="39">
        <v>2</v>
      </c>
      <c r="J331" s="58">
        <v>44643</v>
      </c>
    </row>
    <row r="332" spans="4:10" ht="15.6" customHeight="1">
      <c r="D332" s="38">
        <v>330</v>
      </c>
      <c r="E332" s="39">
        <v>4173</v>
      </c>
      <c r="F332" s="40" t="s">
        <v>7791</v>
      </c>
      <c r="G332" s="40" t="s">
        <v>6792</v>
      </c>
      <c r="H332" s="40" t="s">
        <v>6955</v>
      </c>
      <c r="I332" s="39">
        <v>2</v>
      </c>
      <c r="J332" s="58">
        <v>44643</v>
      </c>
    </row>
    <row r="333" spans="4:10" ht="15.6" customHeight="1">
      <c r="D333" s="38">
        <v>331</v>
      </c>
      <c r="E333" s="39">
        <v>4245</v>
      </c>
      <c r="F333" s="40" t="s">
        <v>7792</v>
      </c>
      <c r="G333" s="40" t="s">
        <v>6792</v>
      </c>
      <c r="H333" s="40" t="s">
        <v>6955</v>
      </c>
      <c r="I333" s="39">
        <v>2</v>
      </c>
      <c r="J333" s="58">
        <v>44643</v>
      </c>
    </row>
    <row r="334" spans="4:10" ht="15.6" customHeight="1">
      <c r="D334" s="38">
        <v>332</v>
      </c>
      <c r="E334" s="39" t="s">
        <v>7172</v>
      </c>
      <c r="F334" s="40" t="s">
        <v>7173</v>
      </c>
      <c r="G334" s="40" t="s">
        <v>6774</v>
      </c>
      <c r="H334" s="40" t="s">
        <v>6843</v>
      </c>
      <c r="I334" s="39">
        <v>2</v>
      </c>
      <c r="J334" s="58">
        <v>44644</v>
      </c>
    </row>
    <row r="335" spans="4:10" ht="15.6" customHeight="1">
      <c r="D335" s="38">
        <v>333</v>
      </c>
      <c r="E335" s="39" t="s">
        <v>93</v>
      </c>
      <c r="F335" s="40" t="s">
        <v>7793</v>
      </c>
      <c r="G335" s="40" t="s">
        <v>5281</v>
      </c>
      <c r="H335" s="40" t="s">
        <v>15</v>
      </c>
      <c r="I335" s="39">
        <v>2</v>
      </c>
      <c r="J335" s="58">
        <v>44644</v>
      </c>
    </row>
    <row r="336" spans="4:10" ht="15.6" customHeight="1">
      <c r="D336" s="38">
        <v>334</v>
      </c>
      <c r="E336" s="39">
        <v>2911</v>
      </c>
      <c r="F336" s="40" t="s">
        <v>7794</v>
      </c>
      <c r="G336" s="40" t="s">
        <v>5281</v>
      </c>
      <c r="H336" s="40" t="s">
        <v>15</v>
      </c>
      <c r="I336" s="39">
        <v>2</v>
      </c>
      <c r="J336" s="58">
        <v>44644</v>
      </c>
    </row>
    <row r="337" spans="4:10" ht="15.6" customHeight="1">
      <c r="D337" s="38">
        <v>335</v>
      </c>
      <c r="E337" s="39">
        <v>3569</v>
      </c>
      <c r="F337" s="40" t="s">
        <v>7795</v>
      </c>
      <c r="G337" s="40" t="s">
        <v>5281</v>
      </c>
      <c r="H337" s="40" t="s">
        <v>15</v>
      </c>
      <c r="I337" s="39">
        <v>2</v>
      </c>
      <c r="J337" s="58">
        <v>44644</v>
      </c>
    </row>
    <row r="338" spans="4:10" ht="15.6" customHeight="1">
      <c r="D338" s="38">
        <v>336</v>
      </c>
      <c r="E338" s="39" t="s">
        <v>56</v>
      </c>
      <c r="F338" s="40" t="s">
        <v>7796</v>
      </c>
      <c r="G338" s="40" t="s">
        <v>5281</v>
      </c>
      <c r="H338" s="40" t="s">
        <v>7</v>
      </c>
      <c r="I338" s="39">
        <v>2</v>
      </c>
      <c r="J338" s="58">
        <v>44644</v>
      </c>
    </row>
    <row r="339" spans="4:10" ht="15.6" customHeight="1">
      <c r="D339" s="38">
        <v>337</v>
      </c>
      <c r="E339" s="39">
        <v>4084</v>
      </c>
      <c r="F339" s="40" t="s">
        <v>7797</v>
      </c>
      <c r="G339" s="40" t="s">
        <v>5281</v>
      </c>
      <c r="H339" s="40" t="s">
        <v>7</v>
      </c>
      <c r="I339" s="39">
        <v>2</v>
      </c>
      <c r="J339" s="58">
        <v>44644</v>
      </c>
    </row>
    <row r="340" spans="4:10" ht="15.6" customHeight="1">
      <c r="D340" s="38">
        <v>338</v>
      </c>
      <c r="E340" s="39">
        <v>4260</v>
      </c>
      <c r="F340" s="40" t="s">
        <v>6067</v>
      </c>
      <c r="G340" s="40" t="s">
        <v>5281</v>
      </c>
      <c r="H340" s="40" t="s">
        <v>7</v>
      </c>
      <c r="I340" s="39">
        <v>2</v>
      </c>
      <c r="J340" s="58">
        <v>44644</v>
      </c>
    </row>
    <row r="341" spans="4:10" ht="15.6" customHeight="1">
      <c r="D341" s="38">
        <v>339</v>
      </c>
      <c r="E341" s="39">
        <v>2589</v>
      </c>
      <c r="F341" s="40" t="s">
        <v>7798</v>
      </c>
      <c r="G341" s="40" t="s">
        <v>6774</v>
      </c>
      <c r="H341" s="40" t="s">
        <v>6843</v>
      </c>
      <c r="I341" s="39">
        <v>2</v>
      </c>
      <c r="J341" s="58">
        <v>44644</v>
      </c>
    </row>
    <row r="342" spans="4:10" ht="15.6" customHeight="1">
      <c r="D342" s="38">
        <v>340</v>
      </c>
      <c r="E342" s="39">
        <v>2561</v>
      </c>
      <c r="F342" s="40" t="s">
        <v>7799</v>
      </c>
      <c r="G342" s="40" t="s">
        <v>6774</v>
      </c>
      <c r="H342" s="40" t="s">
        <v>6843</v>
      </c>
      <c r="I342" s="39">
        <v>2</v>
      </c>
      <c r="J342" s="58">
        <v>44644</v>
      </c>
    </row>
    <row r="343" spans="4:10" ht="15.6" customHeight="1">
      <c r="D343" s="38">
        <v>341</v>
      </c>
      <c r="E343" s="39">
        <v>3765</v>
      </c>
      <c r="F343" s="40" t="s">
        <v>7800</v>
      </c>
      <c r="G343" s="40" t="s">
        <v>6756</v>
      </c>
      <c r="H343" s="40" t="s">
        <v>6757</v>
      </c>
      <c r="I343" s="39">
        <v>2</v>
      </c>
      <c r="J343" s="58">
        <v>44644</v>
      </c>
    </row>
    <row r="344" spans="4:10" ht="15.6" customHeight="1">
      <c r="D344" s="38">
        <v>342</v>
      </c>
      <c r="E344" s="39">
        <v>3831</v>
      </c>
      <c r="F344" s="40" t="s">
        <v>7801</v>
      </c>
      <c r="G344" s="40" t="s">
        <v>6756</v>
      </c>
      <c r="H344" s="40" t="s">
        <v>6757</v>
      </c>
      <c r="I344" s="39">
        <v>2</v>
      </c>
      <c r="J344" s="58">
        <v>44644</v>
      </c>
    </row>
    <row r="345" spans="4:10" ht="15.6" customHeight="1">
      <c r="D345" s="38">
        <v>343</v>
      </c>
      <c r="E345" s="39">
        <v>4003</v>
      </c>
      <c r="F345" s="40" t="s">
        <v>7802</v>
      </c>
      <c r="G345" s="40" t="s">
        <v>6792</v>
      </c>
      <c r="H345" s="40" t="s">
        <v>6955</v>
      </c>
      <c r="I345" s="39">
        <v>2</v>
      </c>
      <c r="J345" s="58">
        <v>44644</v>
      </c>
    </row>
    <row r="346" spans="4:10" ht="15.6" customHeight="1">
      <c r="D346" s="38">
        <v>344</v>
      </c>
      <c r="E346" s="39">
        <v>3401</v>
      </c>
      <c r="F346" s="40" t="s">
        <v>7803</v>
      </c>
      <c r="G346" s="40" t="s">
        <v>6792</v>
      </c>
      <c r="H346" s="40" t="s">
        <v>6955</v>
      </c>
      <c r="I346" s="39">
        <v>2</v>
      </c>
      <c r="J346" s="58">
        <v>44644</v>
      </c>
    </row>
    <row r="347" spans="4:10" ht="15.6" customHeight="1">
      <c r="D347" s="38">
        <v>345</v>
      </c>
      <c r="E347" s="39">
        <v>3992</v>
      </c>
      <c r="F347" s="40" t="s">
        <v>7804</v>
      </c>
      <c r="G347" s="40" t="s">
        <v>6792</v>
      </c>
      <c r="H347" s="40" t="s">
        <v>6955</v>
      </c>
      <c r="I347" s="39">
        <v>2</v>
      </c>
      <c r="J347" s="58">
        <v>44644</v>
      </c>
    </row>
    <row r="348" spans="4:10" ht="15.6" customHeight="1">
      <c r="D348" s="38">
        <v>346</v>
      </c>
      <c r="E348" s="39">
        <v>3049</v>
      </c>
      <c r="F348" s="40" t="s">
        <v>7805</v>
      </c>
      <c r="G348" s="40" t="s">
        <v>6792</v>
      </c>
      <c r="H348" s="40" t="s">
        <v>7806</v>
      </c>
      <c r="I348" s="39">
        <v>2</v>
      </c>
      <c r="J348" s="58">
        <v>44644</v>
      </c>
    </row>
    <row r="349" spans="4:10" ht="15.6" customHeight="1">
      <c r="D349" s="38">
        <v>347</v>
      </c>
      <c r="E349" s="39" t="s">
        <v>7807</v>
      </c>
      <c r="F349" s="40" t="s">
        <v>7808</v>
      </c>
      <c r="G349" s="40" t="s">
        <v>5281</v>
      </c>
      <c r="H349" s="40" t="s">
        <v>7809</v>
      </c>
      <c r="I349" s="39">
        <v>2</v>
      </c>
      <c r="J349" s="58">
        <v>44645</v>
      </c>
    </row>
    <row r="350" spans="4:10" ht="15.6" customHeight="1">
      <c r="D350" s="38">
        <v>348</v>
      </c>
      <c r="E350" s="39">
        <v>2128</v>
      </c>
      <c r="F350" s="40" t="s">
        <v>7810</v>
      </c>
      <c r="G350" s="40" t="s">
        <v>5281</v>
      </c>
      <c r="H350" s="40" t="s">
        <v>7809</v>
      </c>
      <c r="I350" s="39">
        <v>2</v>
      </c>
      <c r="J350" s="58">
        <v>44645</v>
      </c>
    </row>
    <row r="351" spans="4:10" ht="15.6" customHeight="1">
      <c r="D351" s="38">
        <v>349</v>
      </c>
      <c r="E351" s="39">
        <v>2291</v>
      </c>
      <c r="F351" s="40" t="s">
        <v>7811</v>
      </c>
      <c r="G351" s="40" t="s">
        <v>5281</v>
      </c>
      <c r="H351" s="40" t="s">
        <v>7809</v>
      </c>
      <c r="I351" s="39">
        <v>2</v>
      </c>
      <c r="J351" s="58">
        <v>44645</v>
      </c>
    </row>
    <row r="352" spans="4:10" ht="15.6" customHeight="1">
      <c r="D352" s="38">
        <v>350</v>
      </c>
      <c r="E352" s="39">
        <v>2273</v>
      </c>
      <c r="F352" s="40" t="s">
        <v>7812</v>
      </c>
      <c r="G352" s="40" t="s">
        <v>5281</v>
      </c>
      <c r="H352" s="40" t="s">
        <v>7809</v>
      </c>
      <c r="I352" s="39">
        <v>2</v>
      </c>
      <c r="J352" s="58">
        <v>44645</v>
      </c>
    </row>
    <row r="353" spans="4:10" ht="15.6" customHeight="1">
      <c r="D353" s="38">
        <v>351</v>
      </c>
      <c r="E353" s="39" t="s">
        <v>79</v>
      </c>
      <c r="F353" s="40" t="s">
        <v>6195</v>
      </c>
      <c r="G353" s="40" t="s">
        <v>5281</v>
      </c>
      <c r="H353" s="40" t="s">
        <v>7</v>
      </c>
      <c r="I353" s="39">
        <v>2</v>
      </c>
      <c r="J353" s="58">
        <v>44645</v>
      </c>
    </row>
    <row r="354" spans="4:10" ht="15.6" customHeight="1">
      <c r="D354" s="38">
        <v>352</v>
      </c>
      <c r="E354" s="39">
        <v>2349</v>
      </c>
      <c r="F354" s="40" t="s">
        <v>7813</v>
      </c>
      <c r="G354" s="40" t="s">
        <v>5281</v>
      </c>
      <c r="H354" s="40" t="s">
        <v>7</v>
      </c>
      <c r="I354" s="39">
        <v>2</v>
      </c>
      <c r="J354" s="58">
        <v>44645</v>
      </c>
    </row>
    <row r="355" spans="4:10" ht="15.6" customHeight="1">
      <c r="D355" s="38">
        <v>353</v>
      </c>
      <c r="E355" s="60">
        <v>4784</v>
      </c>
      <c r="F355" s="61" t="s">
        <v>6922</v>
      </c>
      <c r="G355" s="61" t="s">
        <v>5281</v>
      </c>
      <c r="H355" s="61" t="s">
        <v>7</v>
      </c>
      <c r="I355" s="39">
        <v>2</v>
      </c>
      <c r="J355" s="58">
        <v>44645</v>
      </c>
    </row>
    <row r="356" spans="4:10" ht="15.6" customHeight="1">
      <c r="D356" s="38">
        <v>354</v>
      </c>
      <c r="E356" s="39">
        <v>2510</v>
      </c>
      <c r="F356" s="40" t="s">
        <v>7814</v>
      </c>
      <c r="G356" s="40" t="s">
        <v>6774</v>
      </c>
      <c r="H356" s="40" t="s">
        <v>6843</v>
      </c>
      <c r="I356" s="39">
        <v>2</v>
      </c>
      <c r="J356" s="58">
        <v>44645</v>
      </c>
    </row>
    <row r="357" spans="4:10" ht="15.6" customHeight="1">
      <c r="D357" s="38">
        <v>355</v>
      </c>
      <c r="E357" s="39">
        <v>2552</v>
      </c>
      <c r="F357" s="40" t="s">
        <v>7815</v>
      </c>
      <c r="G357" s="40" t="s">
        <v>6774</v>
      </c>
      <c r="H357" s="40" t="s">
        <v>6843</v>
      </c>
      <c r="I357" s="39">
        <v>2</v>
      </c>
      <c r="J357" s="58">
        <v>44645</v>
      </c>
    </row>
    <row r="358" spans="4:10" ht="15.6" customHeight="1">
      <c r="D358" s="38">
        <v>356</v>
      </c>
      <c r="E358" s="39">
        <v>4169</v>
      </c>
      <c r="F358" s="40" t="s">
        <v>7816</v>
      </c>
      <c r="G358" s="40" t="s">
        <v>6792</v>
      </c>
      <c r="H358" s="40" t="s">
        <v>6955</v>
      </c>
      <c r="I358" s="39">
        <v>2</v>
      </c>
      <c r="J358" s="58">
        <v>44645</v>
      </c>
    </row>
    <row r="359" spans="4:10" ht="15.6" customHeight="1">
      <c r="D359" s="38">
        <v>357</v>
      </c>
      <c r="E359" s="39">
        <v>2781</v>
      </c>
      <c r="F359" s="40" t="s">
        <v>7817</v>
      </c>
      <c r="G359" s="40" t="s">
        <v>6792</v>
      </c>
      <c r="H359" s="40" t="s">
        <v>6955</v>
      </c>
      <c r="I359" s="39">
        <v>2</v>
      </c>
      <c r="J359" s="58">
        <v>44645</v>
      </c>
    </row>
    <row r="360" spans="4:10" ht="15.6" customHeight="1">
      <c r="D360" s="38">
        <v>358</v>
      </c>
      <c r="E360" s="39">
        <v>3356</v>
      </c>
      <c r="F360" s="40" t="s">
        <v>7818</v>
      </c>
      <c r="G360" s="40" t="s">
        <v>6792</v>
      </c>
      <c r="H360" s="40" t="s">
        <v>6955</v>
      </c>
      <c r="I360" s="39">
        <v>2</v>
      </c>
      <c r="J360" s="58">
        <v>44645</v>
      </c>
    </row>
    <row r="361" spans="4:10" ht="15.6" customHeight="1">
      <c r="D361" s="38">
        <v>359</v>
      </c>
      <c r="E361" s="39">
        <v>2259</v>
      </c>
      <c r="F361" s="40" t="s">
        <v>7819</v>
      </c>
      <c r="G361" s="40" t="s">
        <v>5281</v>
      </c>
      <c r="H361" s="40" t="s">
        <v>7</v>
      </c>
      <c r="I361" s="39">
        <v>2</v>
      </c>
      <c r="J361" s="58">
        <v>44649</v>
      </c>
    </row>
    <row r="362" spans="4:10" ht="15.6" customHeight="1">
      <c r="D362" s="38">
        <v>360</v>
      </c>
      <c r="E362" s="39">
        <v>3337</v>
      </c>
      <c r="F362" s="40" t="s">
        <v>7820</v>
      </c>
      <c r="G362" s="40" t="s">
        <v>6782</v>
      </c>
      <c r="H362" s="40" t="s">
        <v>7403</v>
      </c>
      <c r="I362" s="39">
        <v>2</v>
      </c>
      <c r="J362" s="58">
        <v>44649</v>
      </c>
    </row>
    <row r="363" spans="4:10" ht="15.6" customHeight="1">
      <c r="D363" s="38">
        <v>361</v>
      </c>
      <c r="E363" s="39">
        <v>2846</v>
      </c>
      <c r="F363" s="40" t="s">
        <v>7821</v>
      </c>
      <c r="G363" s="40" t="s">
        <v>6850</v>
      </c>
      <c r="H363" s="40" t="s">
        <v>7479</v>
      </c>
      <c r="I363" s="39">
        <v>2</v>
      </c>
      <c r="J363" s="58">
        <v>44650</v>
      </c>
    </row>
    <row r="364" spans="4:10" ht="15.6" customHeight="1">
      <c r="D364" s="38">
        <v>362</v>
      </c>
      <c r="E364" s="39">
        <v>2602</v>
      </c>
      <c r="F364" s="40" t="s">
        <v>7822</v>
      </c>
      <c r="G364" s="40" t="s">
        <v>6790</v>
      </c>
      <c r="H364" s="40" t="s">
        <v>7823</v>
      </c>
      <c r="I364" s="39">
        <v>2</v>
      </c>
      <c r="J364" s="58">
        <v>44652</v>
      </c>
    </row>
    <row r="365" spans="4:10" ht="15.6" customHeight="1">
      <c r="D365" s="38">
        <v>363</v>
      </c>
      <c r="E365" s="39">
        <v>2457</v>
      </c>
      <c r="F365" s="40" t="s">
        <v>7824</v>
      </c>
      <c r="G365" s="40" t="s">
        <v>6735</v>
      </c>
      <c r="H365" s="40" t="s">
        <v>6748</v>
      </c>
      <c r="I365" s="39">
        <v>2</v>
      </c>
      <c r="J365" s="58">
        <v>44662</v>
      </c>
    </row>
    <row r="366" spans="4:10" ht="15.6" customHeight="1">
      <c r="D366" s="38">
        <v>364</v>
      </c>
      <c r="E366" s="39">
        <v>2636</v>
      </c>
      <c r="F366" s="40" t="s">
        <v>7825</v>
      </c>
      <c r="G366" s="40" t="s">
        <v>6816</v>
      </c>
      <c r="H366" s="40" t="s">
        <v>7639</v>
      </c>
      <c r="I366" s="39">
        <v>2</v>
      </c>
      <c r="J366" s="58">
        <v>44663</v>
      </c>
    </row>
    <row r="367" spans="4:10" ht="15.6" customHeight="1">
      <c r="D367" s="38">
        <v>365</v>
      </c>
      <c r="E367" s="39">
        <v>2380</v>
      </c>
      <c r="F367" s="40" t="s">
        <v>7826</v>
      </c>
      <c r="G367" s="40" t="s">
        <v>5281</v>
      </c>
      <c r="H367" s="40" t="s">
        <v>16</v>
      </c>
      <c r="I367" s="39">
        <v>2</v>
      </c>
      <c r="J367" s="58">
        <v>44669</v>
      </c>
    </row>
    <row r="368" spans="4:10" ht="15.6" customHeight="1">
      <c r="D368" s="38">
        <v>366</v>
      </c>
      <c r="E368" s="39">
        <v>2941</v>
      </c>
      <c r="F368" s="40" t="s">
        <v>7827</v>
      </c>
      <c r="G368" s="40" t="s">
        <v>5281</v>
      </c>
      <c r="H368" s="40" t="s">
        <v>16</v>
      </c>
      <c r="I368" s="39">
        <v>2</v>
      </c>
      <c r="J368" s="58">
        <v>44669</v>
      </c>
    </row>
    <row r="369" spans="4:10" ht="15.6" customHeight="1">
      <c r="D369" s="38">
        <v>367</v>
      </c>
      <c r="E369" s="39">
        <v>3840</v>
      </c>
      <c r="F369" s="40" t="s">
        <v>686</v>
      </c>
      <c r="G369" s="40" t="s">
        <v>5281</v>
      </c>
      <c r="H369" s="40" t="s">
        <v>7</v>
      </c>
      <c r="I369" s="39">
        <v>2</v>
      </c>
      <c r="J369" s="58">
        <v>44669</v>
      </c>
    </row>
    <row r="370" spans="4:10" ht="15.6" customHeight="1">
      <c r="D370" s="38">
        <v>368</v>
      </c>
      <c r="E370" s="39">
        <v>4029</v>
      </c>
      <c r="F370" s="40" t="s">
        <v>2201</v>
      </c>
      <c r="G370" s="40" t="s">
        <v>5281</v>
      </c>
      <c r="H370" s="40" t="s">
        <v>7</v>
      </c>
      <c r="I370" s="39">
        <v>2</v>
      </c>
      <c r="J370" s="58">
        <v>44669</v>
      </c>
    </row>
    <row r="371" spans="4:10" ht="15.6" customHeight="1">
      <c r="D371" s="38">
        <v>369</v>
      </c>
      <c r="E371" s="39">
        <v>4560</v>
      </c>
      <c r="F371" s="40" t="s">
        <v>1558</v>
      </c>
      <c r="G371" s="40" t="s">
        <v>5281</v>
      </c>
      <c r="H371" s="40" t="s">
        <v>7</v>
      </c>
      <c r="I371" s="39">
        <v>2</v>
      </c>
      <c r="J371" s="58">
        <v>44669</v>
      </c>
    </row>
    <row r="372" spans="4:10" ht="15.6" customHeight="1">
      <c r="D372" s="38">
        <v>370</v>
      </c>
      <c r="E372" s="39">
        <v>4841</v>
      </c>
      <c r="F372" s="40" t="s">
        <v>7828</v>
      </c>
      <c r="G372" s="40" t="s">
        <v>6782</v>
      </c>
      <c r="H372" s="40" t="s">
        <v>7829</v>
      </c>
      <c r="I372" s="39">
        <v>2</v>
      </c>
      <c r="J372" s="58">
        <v>44669</v>
      </c>
    </row>
    <row r="373" spans="4:10" ht="15.6" customHeight="1">
      <c r="D373" s="38">
        <v>371</v>
      </c>
      <c r="E373" s="39">
        <v>4079</v>
      </c>
      <c r="F373" s="40" t="s">
        <v>7830</v>
      </c>
      <c r="G373" s="40" t="s">
        <v>6782</v>
      </c>
      <c r="H373" s="40" t="s">
        <v>7829</v>
      </c>
      <c r="I373" s="39">
        <v>2</v>
      </c>
      <c r="J373" s="58">
        <v>44669</v>
      </c>
    </row>
    <row r="374" spans="4:10" ht="15.6" customHeight="1">
      <c r="D374" s="38">
        <v>372</v>
      </c>
      <c r="E374" s="39">
        <v>3163</v>
      </c>
      <c r="F374" s="40" t="s">
        <v>7831</v>
      </c>
      <c r="G374" s="40" t="s">
        <v>6782</v>
      </c>
      <c r="H374" s="40" t="s">
        <v>7829</v>
      </c>
      <c r="I374" s="39">
        <v>2</v>
      </c>
      <c r="J374" s="58">
        <v>44669</v>
      </c>
    </row>
    <row r="375" spans="4:10" ht="15.6" customHeight="1">
      <c r="D375" s="38">
        <v>373</v>
      </c>
      <c r="E375" s="39">
        <v>3540</v>
      </c>
      <c r="F375" s="40" t="s">
        <v>7832</v>
      </c>
      <c r="G375" s="40" t="s">
        <v>6756</v>
      </c>
      <c r="H375" s="40" t="s">
        <v>7833</v>
      </c>
      <c r="I375" s="39">
        <v>2</v>
      </c>
      <c r="J375" s="58">
        <v>44669</v>
      </c>
    </row>
    <row r="376" spans="4:10" ht="15.6" customHeight="1">
      <c r="D376" s="38">
        <v>374</v>
      </c>
      <c r="E376" s="39">
        <v>4821</v>
      </c>
      <c r="F376" s="40" t="s">
        <v>7834</v>
      </c>
      <c r="G376" s="40" t="s">
        <v>6756</v>
      </c>
      <c r="H376" s="40" t="s">
        <v>7833</v>
      </c>
      <c r="I376" s="39">
        <v>2</v>
      </c>
      <c r="J376" s="58">
        <v>44669</v>
      </c>
    </row>
    <row r="377" spans="4:10" ht="15.6" customHeight="1">
      <c r="D377" s="38">
        <v>375</v>
      </c>
      <c r="E377" s="39">
        <v>3135</v>
      </c>
      <c r="F377" s="40" t="s">
        <v>7835</v>
      </c>
      <c r="G377" s="40" t="s">
        <v>6756</v>
      </c>
      <c r="H377" s="40" t="s">
        <v>7833</v>
      </c>
      <c r="I377" s="39">
        <v>2</v>
      </c>
      <c r="J377" s="58">
        <v>44669</v>
      </c>
    </row>
    <row r="378" spans="4:10" ht="15.6" customHeight="1">
      <c r="D378" s="38">
        <v>376</v>
      </c>
      <c r="E378" s="39">
        <v>4165</v>
      </c>
      <c r="F378" s="40" t="s">
        <v>7836</v>
      </c>
      <c r="G378" s="40" t="s">
        <v>6792</v>
      </c>
      <c r="H378" s="40" t="s">
        <v>7806</v>
      </c>
      <c r="I378" s="39">
        <v>2</v>
      </c>
      <c r="J378" s="58">
        <v>44669</v>
      </c>
    </row>
    <row r="379" spans="4:10" ht="15.6" customHeight="1">
      <c r="D379" s="38">
        <v>377</v>
      </c>
      <c r="E379" s="39">
        <v>2999</v>
      </c>
      <c r="F379" s="40" t="s">
        <v>7837</v>
      </c>
      <c r="G379" s="40" t="s">
        <v>6792</v>
      </c>
      <c r="H379" s="40" t="s">
        <v>7806</v>
      </c>
      <c r="I379" s="39">
        <v>3</v>
      </c>
      <c r="J379" s="58">
        <v>44669</v>
      </c>
    </row>
    <row r="380" spans="4:10" ht="15.6" customHeight="1">
      <c r="D380" s="38">
        <v>378</v>
      </c>
      <c r="E380" s="39">
        <v>3082</v>
      </c>
      <c r="F380" s="40" t="s">
        <v>7838</v>
      </c>
      <c r="G380" s="40" t="s">
        <v>5281</v>
      </c>
      <c r="H380" s="40" t="s">
        <v>16</v>
      </c>
      <c r="I380" s="39">
        <v>2</v>
      </c>
      <c r="J380" s="58">
        <v>44670</v>
      </c>
    </row>
    <row r="381" spans="4:10" ht="15.6" customHeight="1">
      <c r="D381" s="38">
        <v>379</v>
      </c>
      <c r="E381" s="39">
        <v>3968</v>
      </c>
      <c r="F381" s="40" t="s">
        <v>7839</v>
      </c>
      <c r="G381" s="40" t="s">
        <v>5281</v>
      </c>
      <c r="H381" s="40" t="s">
        <v>16</v>
      </c>
      <c r="I381" s="39">
        <v>2</v>
      </c>
      <c r="J381" s="58">
        <v>44670</v>
      </c>
    </row>
    <row r="382" spans="4:10" ht="15.6" customHeight="1">
      <c r="D382" s="38">
        <v>380</v>
      </c>
      <c r="E382" s="39">
        <v>2209</v>
      </c>
      <c r="F382" s="40" t="s">
        <v>6218</v>
      </c>
      <c r="G382" s="40" t="s">
        <v>5281</v>
      </c>
      <c r="H382" s="40" t="s">
        <v>7</v>
      </c>
      <c r="I382" s="39">
        <v>2</v>
      </c>
      <c r="J382" s="58">
        <v>44670</v>
      </c>
    </row>
    <row r="383" spans="4:10" ht="15.6" customHeight="1">
      <c r="D383" s="38">
        <v>381</v>
      </c>
      <c r="E383" s="39">
        <v>2543</v>
      </c>
      <c r="F383" s="40" t="s">
        <v>7840</v>
      </c>
      <c r="G383" s="40" t="s">
        <v>5281</v>
      </c>
      <c r="H383" s="40" t="s">
        <v>7</v>
      </c>
      <c r="I383" s="39">
        <v>2</v>
      </c>
      <c r="J383" s="58">
        <v>44670</v>
      </c>
    </row>
    <row r="384" spans="4:10" ht="15.6" customHeight="1">
      <c r="D384" s="38">
        <v>382</v>
      </c>
      <c r="E384" s="39">
        <v>3362</v>
      </c>
      <c r="F384" s="40" t="s">
        <v>6214</v>
      </c>
      <c r="G384" s="40" t="s">
        <v>5281</v>
      </c>
      <c r="H384" s="40" t="s">
        <v>7</v>
      </c>
      <c r="I384" s="39">
        <v>2</v>
      </c>
      <c r="J384" s="58">
        <v>44670</v>
      </c>
    </row>
    <row r="385" spans="4:10" ht="15.6" customHeight="1">
      <c r="D385" s="38">
        <v>383</v>
      </c>
      <c r="E385" s="39" t="s">
        <v>62</v>
      </c>
      <c r="F385" s="40" t="s">
        <v>7841</v>
      </c>
      <c r="G385" s="40" t="s">
        <v>5281</v>
      </c>
      <c r="H385" s="40" t="s">
        <v>7</v>
      </c>
      <c r="I385" s="39">
        <v>2</v>
      </c>
      <c r="J385" s="58">
        <v>44670</v>
      </c>
    </row>
    <row r="386" spans="4:10" ht="15.6" customHeight="1">
      <c r="D386" s="38">
        <v>384</v>
      </c>
      <c r="E386" s="39">
        <v>3579</v>
      </c>
      <c r="F386" s="40" t="s">
        <v>7842</v>
      </c>
      <c r="G386" s="40" t="s">
        <v>6782</v>
      </c>
      <c r="H386" s="40" t="s">
        <v>7829</v>
      </c>
      <c r="I386" s="39">
        <v>2</v>
      </c>
      <c r="J386" s="58">
        <v>44670</v>
      </c>
    </row>
    <row r="387" spans="4:10" ht="15.6" customHeight="1">
      <c r="D387" s="38">
        <v>385</v>
      </c>
      <c r="E387" s="39">
        <v>3389</v>
      </c>
      <c r="F387" s="40" t="s">
        <v>7843</v>
      </c>
      <c r="G387" s="40" t="s">
        <v>6782</v>
      </c>
      <c r="H387" s="40" t="s">
        <v>7829</v>
      </c>
      <c r="I387" s="39">
        <v>2</v>
      </c>
      <c r="J387" s="58">
        <v>44670</v>
      </c>
    </row>
    <row r="388" spans="4:10" ht="15.6" customHeight="1">
      <c r="D388" s="38">
        <v>386</v>
      </c>
      <c r="E388" s="39">
        <v>2675</v>
      </c>
      <c r="F388" s="40" t="s">
        <v>7844</v>
      </c>
      <c r="G388" s="40" t="s">
        <v>6782</v>
      </c>
      <c r="H388" s="40" t="s">
        <v>7829</v>
      </c>
      <c r="I388" s="39">
        <v>2</v>
      </c>
      <c r="J388" s="58">
        <v>44670</v>
      </c>
    </row>
    <row r="389" spans="4:10" ht="15.6" customHeight="1">
      <c r="D389" s="38">
        <v>387</v>
      </c>
      <c r="E389" s="39">
        <v>3095</v>
      </c>
      <c r="F389" s="40" t="s">
        <v>7845</v>
      </c>
      <c r="G389" s="40" t="s">
        <v>6756</v>
      </c>
      <c r="H389" s="40" t="s">
        <v>7833</v>
      </c>
      <c r="I389" s="39">
        <v>2</v>
      </c>
      <c r="J389" s="58">
        <v>44670</v>
      </c>
    </row>
    <row r="390" spans="4:10" ht="15.6" customHeight="1">
      <c r="D390" s="38">
        <v>388</v>
      </c>
      <c r="E390" s="39">
        <v>4961</v>
      </c>
      <c r="F390" s="40" t="s">
        <v>7846</v>
      </c>
      <c r="G390" s="40" t="s">
        <v>6756</v>
      </c>
      <c r="H390" s="40" t="s">
        <v>7833</v>
      </c>
      <c r="I390" s="39">
        <v>2</v>
      </c>
      <c r="J390" s="58">
        <v>44670</v>
      </c>
    </row>
    <row r="391" spans="4:10" ht="15.6" customHeight="1">
      <c r="D391" s="38">
        <v>389</v>
      </c>
      <c r="E391" s="39">
        <v>4665</v>
      </c>
      <c r="F391" s="40" t="s">
        <v>7847</v>
      </c>
      <c r="G391" s="40" t="s">
        <v>6756</v>
      </c>
      <c r="H391" s="40" t="s">
        <v>7848</v>
      </c>
      <c r="I391" s="39">
        <v>2</v>
      </c>
      <c r="J391" s="58">
        <v>44670</v>
      </c>
    </row>
    <row r="392" spans="4:10" ht="15.6" customHeight="1">
      <c r="D392" s="38">
        <v>390</v>
      </c>
      <c r="E392" s="39">
        <v>3731</v>
      </c>
      <c r="F392" s="40" t="s">
        <v>7849</v>
      </c>
      <c r="G392" s="40" t="s">
        <v>6735</v>
      </c>
      <c r="H392" s="40" t="s">
        <v>7362</v>
      </c>
      <c r="I392" s="39">
        <v>3</v>
      </c>
      <c r="J392" s="58">
        <v>44671</v>
      </c>
    </row>
    <row r="393" spans="4:10" ht="15.6" customHeight="1">
      <c r="D393" s="38">
        <v>391</v>
      </c>
      <c r="E393" s="39">
        <v>4234</v>
      </c>
      <c r="F393" s="40" t="s">
        <v>7850</v>
      </c>
      <c r="G393" s="40" t="s">
        <v>6735</v>
      </c>
      <c r="H393" s="40" t="s">
        <v>7362</v>
      </c>
      <c r="I393" s="39">
        <v>3</v>
      </c>
      <c r="J393" s="58">
        <v>44671</v>
      </c>
    </row>
    <row r="394" spans="4:10" ht="15.6" customHeight="1">
      <c r="D394" s="38">
        <v>392</v>
      </c>
      <c r="E394" s="39" t="s">
        <v>7851</v>
      </c>
      <c r="F394" s="40" t="s">
        <v>7852</v>
      </c>
      <c r="G394" s="40" t="s">
        <v>5281</v>
      </c>
      <c r="H394" s="40" t="s">
        <v>7110</v>
      </c>
      <c r="I394" s="39">
        <v>2</v>
      </c>
      <c r="J394" s="58">
        <v>44671</v>
      </c>
    </row>
    <row r="395" spans="4:10" ht="15.6" customHeight="1">
      <c r="D395" s="38">
        <v>393</v>
      </c>
      <c r="E395" s="39">
        <v>4241</v>
      </c>
      <c r="F395" s="40" t="s">
        <v>7853</v>
      </c>
      <c r="G395" s="40" t="s">
        <v>5281</v>
      </c>
      <c r="H395" s="40" t="s">
        <v>7</v>
      </c>
      <c r="I395" s="39">
        <v>2</v>
      </c>
      <c r="J395" s="58">
        <v>44671</v>
      </c>
    </row>
    <row r="396" spans="4:10" ht="15.6" customHeight="1">
      <c r="D396" s="38">
        <v>394</v>
      </c>
      <c r="E396" s="39">
        <v>4352</v>
      </c>
      <c r="F396" s="40" t="s">
        <v>690</v>
      </c>
      <c r="G396" s="40" t="s">
        <v>5281</v>
      </c>
      <c r="H396" s="40" t="s">
        <v>7</v>
      </c>
      <c r="I396" s="39">
        <v>2</v>
      </c>
      <c r="J396" s="58">
        <v>44671</v>
      </c>
    </row>
    <row r="397" spans="4:10" ht="15.6" customHeight="1">
      <c r="D397" s="38">
        <v>395</v>
      </c>
      <c r="E397" s="39">
        <v>4397</v>
      </c>
      <c r="F397" s="40" t="s">
        <v>682</v>
      </c>
      <c r="G397" s="40" t="s">
        <v>5281</v>
      </c>
      <c r="H397" s="40" t="s">
        <v>7</v>
      </c>
      <c r="I397" s="39">
        <v>2</v>
      </c>
      <c r="J397" s="58">
        <v>44671</v>
      </c>
    </row>
    <row r="398" spans="4:10" ht="15.6" customHeight="1">
      <c r="D398" s="38">
        <v>396</v>
      </c>
      <c r="E398" s="39" t="s">
        <v>78</v>
      </c>
      <c r="F398" s="40" t="s">
        <v>7854</v>
      </c>
      <c r="G398" s="40" t="s">
        <v>5281</v>
      </c>
      <c r="H398" s="40" t="s">
        <v>7</v>
      </c>
      <c r="I398" s="39">
        <v>2</v>
      </c>
      <c r="J398" s="58">
        <v>44671</v>
      </c>
    </row>
    <row r="399" spans="4:10" ht="15.6" customHeight="1">
      <c r="D399" s="38">
        <v>397</v>
      </c>
      <c r="E399" s="39">
        <v>4058</v>
      </c>
      <c r="F399" s="40" t="s">
        <v>7855</v>
      </c>
      <c r="G399" s="40" t="s">
        <v>6765</v>
      </c>
      <c r="H399" s="40" t="s">
        <v>7856</v>
      </c>
      <c r="I399" s="39">
        <v>2</v>
      </c>
      <c r="J399" s="58">
        <v>44671</v>
      </c>
    </row>
    <row r="400" spans="4:10" ht="15.6" customHeight="1">
      <c r="D400" s="38">
        <v>398</v>
      </c>
      <c r="E400" s="39">
        <v>3549</v>
      </c>
      <c r="F400" s="40" t="s">
        <v>6772</v>
      </c>
      <c r="G400" s="40" t="s">
        <v>6765</v>
      </c>
      <c r="H400" s="40" t="s">
        <v>7857</v>
      </c>
      <c r="I400" s="39">
        <v>2</v>
      </c>
      <c r="J400" s="58">
        <v>44671</v>
      </c>
    </row>
    <row r="401" spans="4:10" ht="15.6" customHeight="1">
      <c r="D401" s="38">
        <v>399</v>
      </c>
      <c r="E401" s="39">
        <v>3249</v>
      </c>
      <c r="F401" s="40" t="s">
        <v>6936</v>
      </c>
      <c r="G401" s="40" t="s">
        <v>6756</v>
      </c>
      <c r="H401" s="40" t="s">
        <v>7858</v>
      </c>
      <c r="I401" s="39">
        <v>2</v>
      </c>
      <c r="J401" s="58">
        <v>44671</v>
      </c>
    </row>
    <row r="402" spans="4:10" ht="15.6" customHeight="1">
      <c r="D402" s="38">
        <v>400</v>
      </c>
      <c r="E402" s="39">
        <v>4337</v>
      </c>
      <c r="F402" s="40" t="s">
        <v>7859</v>
      </c>
      <c r="G402" s="40" t="s">
        <v>6756</v>
      </c>
      <c r="H402" s="40" t="s">
        <v>7858</v>
      </c>
      <c r="I402" s="39">
        <v>2</v>
      </c>
      <c r="J402" s="58">
        <v>44671</v>
      </c>
    </row>
    <row r="403" spans="4:10" ht="15.6" customHeight="1">
      <c r="D403" s="38">
        <v>401</v>
      </c>
      <c r="E403" s="39" t="s">
        <v>7036</v>
      </c>
      <c r="F403" s="40" t="s">
        <v>7037</v>
      </c>
      <c r="G403" s="40" t="s">
        <v>5281</v>
      </c>
      <c r="H403" s="40" t="s">
        <v>7110</v>
      </c>
      <c r="I403" s="39">
        <v>2</v>
      </c>
      <c r="J403" s="58">
        <v>44672</v>
      </c>
    </row>
    <row r="404" spans="4:10" ht="15.6" customHeight="1">
      <c r="D404" s="38">
        <v>402</v>
      </c>
      <c r="E404" s="39" t="s">
        <v>7860</v>
      </c>
      <c r="F404" s="40" t="s">
        <v>7861</v>
      </c>
      <c r="G404" s="40" t="s">
        <v>5281</v>
      </c>
      <c r="H404" s="40" t="s">
        <v>7110</v>
      </c>
      <c r="I404" s="39">
        <v>2</v>
      </c>
      <c r="J404" s="58">
        <v>44672</v>
      </c>
    </row>
    <row r="405" spans="4:10" ht="15.6" customHeight="1">
      <c r="D405" s="38">
        <v>403</v>
      </c>
      <c r="E405" s="39">
        <v>2353</v>
      </c>
      <c r="F405" s="40" t="s">
        <v>7862</v>
      </c>
      <c r="G405" s="40" t="s">
        <v>5281</v>
      </c>
      <c r="H405" s="40" t="s">
        <v>7110</v>
      </c>
      <c r="I405" s="39">
        <v>2</v>
      </c>
      <c r="J405" s="58">
        <v>44672</v>
      </c>
    </row>
    <row r="406" spans="4:10" ht="15.6" customHeight="1">
      <c r="D406" s="38">
        <v>404</v>
      </c>
      <c r="E406" s="39">
        <v>3623</v>
      </c>
      <c r="F406" s="40" t="s">
        <v>7863</v>
      </c>
      <c r="G406" s="40" t="s">
        <v>5281</v>
      </c>
      <c r="H406" s="40" t="s">
        <v>7</v>
      </c>
      <c r="I406" s="39">
        <v>2</v>
      </c>
      <c r="J406" s="58">
        <v>44672</v>
      </c>
    </row>
    <row r="407" spans="4:10" ht="15.6" customHeight="1">
      <c r="D407" s="38">
        <v>405</v>
      </c>
      <c r="E407" s="39">
        <v>4388</v>
      </c>
      <c r="F407" s="40" t="s">
        <v>1242</v>
      </c>
      <c r="G407" s="40" t="s">
        <v>5281</v>
      </c>
      <c r="H407" s="40" t="s">
        <v>7</v>
      </c>
      <c r="I407" s="39">
        <v>2</v>
      </c>
      <c r="J407" s="58">
        <v>44672</v>
      </c>
    </row>
    <row r="408" spans="4:10" ht="15.6" customHeight="1">
      <c r="D408" s="38">
        <v>406</v>
      </c>
      <c r="E408" s="39" t="s">
        <v>63</v>
      </c>
      <c r="F408" s="40" t="s">
        <v>7864</v>
      </c>
      <c r="G408" s="40" t="s">
        <v>5281</v>
      </c>
      <c r="H408" s="40" t="s">
        <v>7</v>
      </c>
      <c r="I408" s="39">
        <v>2</v>
      </c>
      <c r="J408" s="58">
        <v>44672</v>
      </c>
    </row>
    <row r="409" spans="4:10" ht="15.6" customHeight="1">
      <c r="D409" s="38">
        <v>407</v>
      </c>
      <c r="E409" s="39">
        <v>4075</v>
      </c>
      <c r="F409" s="40" t="s">
        <v>7865</v>
      </c>
      <c r="G409" s="40" t="s">
        <v>6765</v>
      </c>
      <c r="H409" s="40" t="s">
        <v>7866</v>
      </c>
      <c r="I409" s="39">
        <v>2</v>
      </c>
      <c r="J409" s="58">
        <v>44672</v>
      </c>
    </row>
    <row r="410" spans="4:10" ht="15.6" customHeight="1">
      <c r="D410" s="38">
        <v>408</v>
      </c>
      <c r="E410" s="39">
        <v>2788</v>
      </c>
      <c r="F410" s="40" t="s">
        <v>7867</v>
      </c>
      <c r="G410" s="40" t="s">
        <v>6765</v>
      </c>
      <c r="H410" s="40" t="s">
        <v>7868</v>
      </c>
      <c r="I410" s="39">
        <v>2</v>
      </c>
      <c r="J410" s="58">
        <v>44672</v>
      </c>
    </row>
    <row r="411" spans="4:10" ht="15.6" customHeight="1">
      <c r="D411" s="38">
        <v>409</v>
      </c>
      <c r="E411" s="39">
        <v>4526</v>
      </c>
      <c r="F411" s="40" t="s">
        <v>7869</v>
      </c>
      <c r="G411" s="40" t="s">
        <v>6792</v>
      </c>
      <c r="H411" s="40" t="s">
        <v>7050</v>
      </c>
      <c r="I411" s="39">
        <v>2</v>
      </c>
      <c r="J411" s="58">
        <v>44672</v>
      </c>
    </row>
    <row r="412" spans="4:10" ht="15.6" customHeight="1">
      <c r="D412" s="38">
        <v>410</v>
      </c>
      <c r="E412" s="39">
        <v>4051</v>
      </c>
      <c r="F412" s="40" t="s">
        <v>7870</v>
      </c>
      <c r="G412" s="40" t="s">
        <v>6792</v>
      </c>
      <c r="H412" s="40" t="s">
        <v>7050</v>
      </c>
      <c r="I412" s="39">
        <v>2</v>
      </c>
      <c r="J412" s="58">
        <v>44672</v>
      </c>
    </row>
    <row r="413" spans="4:10" ht="15.6" customHeight="1">
      <c r="D413" s="38">
        <v>411</v>
      </c>
      <c r="E413" s="39">
        <v>3817</v>
      </c>
      <c r="F413" s="40" t="s">
        <v>7871</v>
      </c>
      <c r="G413" s="40" t="s">
        <v>6792</v>
      </c>
      <c r="H413" s="40" t="s">
        <v>7050</v>
      </c>
      <c r="I413" s="39">
        <v>2</v>
      </c>
      <c r="J413" s="58">
        <v>44672</v>
      </c>
    </row>
    <row r="414" spans="4:10" ht="15.6" customHeight="1">
      <c r="D414" s="38">
        <v>412</v>
      </c>
      <c r="E414" s="39">
        <v>3441</v>
      </c>
      <c r="F414" s="40" t="s">
        <v>7872</v>
      </c>
      <c r="G414" s="40" t="s">
        <v>5281</v>
      </c>
      <c r="H414" s="40" t="s">
        <v>7110</v>
      </c>
      <c r="I414" s="39">
        <v>2</v>
      </c>
      <c r="J414" s="58">
        <v>44673</v>
      </c>
    </row>
    <row r="415" spans="4:10" ht="15.6" customHeight="1">
      <c r="D415" s="38">
        <v>413</v>
      </c>
      <c r="E415" s="39">
        <v>3534</v>
      </c>
      <c r="F415" s="40" t="s">
        <v>7873</v>
      </c>
      <c r="G415" s="40" t="s">
        <v>5281</v>
      </c>
      <c r="H415" s="40" t="s">
        <v>7110</v>
      </c>
      <c r="I415" s="39">
        <v>2</v>
      </c>
      <c r="J415" s="58">
        <v>44673</v>
      </c>
    </row>
    <row r="416" spans="4:10" ht="15.6" customHeight="1">
      <c r="D416" s="38">
        <v>414</v>
      </c>
      <c r="E416" s="39">
        <v>3973</v>
      </c>
      <c r="F416" s="40" t="s">
        <v>7874</v>
      </c>
      <c r="G416" s="40" t="s">
        <v>5281</v>
      </c>
      <c r="H416" s="40" t="s">
        <v>7110</v>
      </c>
      <c r="I416" s="39">
        <v>2</v>
      </c>
      <c r="J416" s="58">
        <v>44673</v>
      </c>
    </row>
    <row r="417" spans="4:10" ht="15.6" customHeight="1">
      <c r="D417" s="38">
        <v>415</v>
      </c>
      <c r="E417" s="39">
        <v>4836</v>
      </c>
      <c r="F417" s="40" t="s">
        <v>7093</v>
      </c>
      <c r="G417" s="40" t="s">
        <v>5281</v>
      </c>
      <c r="H417" s="40" t="s">
        <v>7</v>
      </c>
      <c r="I417" s="39">
        <v>2</v>
      </c>
      <c r="J417" s="58">
        <v>44673</v>
      </c>
    </row>
    <row r="418" spans="4:10" ht="15.6" customHeight="1">
      <c r="D418" s="38">
        <v>416</v>
      </c>
      <c r="E418" s="39" t="s">
        <v>57</v>
      </c>
      <c r="F418" s="40" t="s">
        <v>7875</v>
      </c>
      <c r="G418" s="40" t="s">
        <v>5281</v>
      </c>
      <c r="H418" s="40" t="s">
        <v>7</v>
      </c>
      <c r="I418" s="39">
        <v>2</v>
      </c>
      <c r="J418" s="58">
        <v>44673</v>
      </c>
    </row>
    <row r="419" spans="4:10" ht="15.6" customHeight="1">
      <c r="D419" s="38">
        <v>417</v>
      </c>
      <c r="E419" s="39">
        <v>4155</v>
      </c>
      <c r="F419" s="40" t="s">
        <v>7876</v>
      </c>
      <c r="G419" s="40" t="s">
        <v>5281</v>
      </c>
      <c r="H419" s="40" t="s">
        <v>7</v>
      </c>
      <c r="I419" s="39">
        <v>2</v>
      </c>
      <c r="J419" s="58">
        <v>44673</v>
      </c>
    </row>
    <row r="420" spans="4:10" ht="15.6" customHeight="1">
      <c r="D420" s="38">
        <v>418</v>
      </c>
      <c r="E420" s="39">
        <v>3910</v>
      </c>
      <c r="F420" s="40" t="s">
        <v>7877</v>
      </c>
      <c r="G420" s="40" t="s">
        <v>6782</v>
      </c>
      <c r="H420" s="40" t="s">
        <v>7878</v>
      </c>
      <c r="I420" s="39">
        <v>2</v>
      </c>
      <c r="J420" s="58">
        <v>44673</v>
      </c>
    </row>
    <row r="421" spans="4:10" ht="15.6" customHeight="1">
      <c r="D421" s="38">
        <v>419</v>
      </c>
      <c r="E421" s="39">
        <v>4416</v>
      </c>
      <c r="F421" s="40" t="s">
        <v>7879</v>
      </c>
      <c r="G421" s="40" t="s">
        <v>6790</v>
      </c>
      <c r="H421" s="40" t="s">
        <v>7393</v>
      </c>
      <c r="I421" s="39">
        <v>2</v>
      </c>
      <c r="J421" s="58">
        <v>44673</v>
      </c>
    </row>
    <row r="422" spans="4:10" ht="15.6" customHeight="1">
      <c r="D422" s="38">
        <v>420</v>
      </c>
      <c r="E422" s="39">
        <v>3126</v>
      </c>
      <c r="F422" s="40" t="s">
        <v>7880</v>
      </c>
      <c r="G422" s="40" t="s">
        <v>6792</v>
      </c>
      <c r="H422" s="40" t="s">
        <v>7881</v>
      </c>
      <c r="I422" s="39">
        <v>2</v>
      </c>
      <c r="J422" s="58">
        <v>44694</v>
      </c>
    </row>
    <row r="423" spans="4:10" ht="15.6" customHeight="1">
      <c r="D423" s="38">
        <v>421</v>
      </c>
      <c r="E423" s="39">
        <v>4527</v>
      </c>
      <c r="F423" s="40" t="s">
        <v>7882</v>
      </c>
      <c r="G423" s="40" t="s">
        <v>6735</v>
      </c>
      <c r="H423" s="40" t="s">
        <v>7232</v>
      </c>
      <c r="I423" s="39">
        <v>2</v>
      </c>
      <c r="J423" s="58">
        <v>44697</v>
      </c>
    </row>
    <row r="424" spans="4:10" ht="15.6" customHeight="1">
      <c r="D424" s="38">
        <v>422</v>
      </c>
      <c r="E424" s="39" t="s">
        <v>7883</v>
      </c>
      <c r="F424" s="40" t="s">
        <v>7884</v>
      </c>
      <c r="G424" s="40" t="s">
        <v>6735</v>
      </c>
      <c r="H424" s="40" t="s">
        <v>7232</v>
      </c>
      <c r="I424" s="39">
        <v>2</v>
      </c>
      <c r="J424" s="58">
        <v>44697</v>
      </c>
    </row>
    <row r="425" spans="4:10" ht="15.6" customHeight="1">
      <c r="D425" s="38">
        <v>423</v>
      </c>
      <c r="E425" s="39">
        <v>4973</v>
      </c>
      <c r="F425" s="40" t="s">
        <v>7885</v>
      </c>
      <c r="G425" s="40" t="s">
        <v>6735</v>
      </c>
      <c r="H425" s="40" t="s">
        <v>7232</v>
      </c>
      <c r="I425" s="39">
        <v>2</v>
      </c>
      <c r="J425" s="58">
        <v>44697</v>
      </c>
    </row>
    <row r="426" spans="4:10" ht="15.6" customHeight="1">
      <c r="D426" s="38">
        <v>424</v>
      </c>
      <c r="E426" s="39" t="s">
        <v>7886</v>
      </c>
      <c r="F426" s="40" t="s">
        <v>7887</v>
      </c>
      <c r="G426" s="40" t="s">
        <v>6735</v>
      </c>
      <c r="H426" s="40" t="s">
        <v>7232</v>
      </c>
      <c r="I426" s="39">
        <v>2</v>
      </c>
      <c r="J426" s="58">
        <v>44697</v>
      </c>
    </row>
    <row r="427" spans="4:10" ht="15.6" customHeight="1">
      <c r="D427" s="38">
        <v>425</v>
      </c>
      <c r="E427" s="39">
        <v>4658</v>
      </c>
      <c r="F427" s="40" t="s">
        <v>566</v>
      </c>
      <c r="G427" s="40" t="s">
        <v>5281</v>
      </c>
      <c r="H427" s="40" t="s">
        <v>3</v>
      </c>
      <c r="I427" s="39">
        <v>2</v>
      </c>
      <c r="J427" s="58">
        <v>44697</v>
      </c>
    </row>
    <row r="428" spans="4:10" ht="15.6" customHeight="1">
      <c r="D428" s="38">
        <v>426</v>
      </c>
      <c r="E428" s="39" t="s">
        <v>71</v>
      </c>
      <c r="F428" s="40" t="s">
        <v>7888</v>
      </c>
      <c r="G428" s="40" t="s">
        <v>5281</v>
      </c>
      <c r="H428" s="40" t="s">
        <v>3</v>
      </c>
      <c r="I428" s="39">
        <v>2</v>
      </c>
      <c r="J428" s="58">
        <v>44697</v>
      </c>
    </row>
    <row r="429" spans="4:10" ht="15.6" customHeight="1">
      <c r="D429" s="38">
        <v>427</v>
      </c>
      <c r="E429" s="39">
        <v>2318</v>
      </c>
      <c r="F429" s="40" t="s">
        <v>776</v>
      </c>
      <c r="G429" s="40" t="s">
        <v>5281</v>
      </c>
      <c r="H429" s="40" t="s">
        <v>3</v>
      </c>
      <c r="I429" s="39">
        <v>2</v>
      </c>
      <c r="J429" s="58">
        <v>44697</v>
      </c>
    </row>
    <row r="430" spans="4:10" ht="15.6" customHeight="1">
      <c r="D430" s="38">
        <v>428</v>
      </c>
      <c r="E430" s="39">
        <v>2897</v>
      </c>
      <c r="F430" s="40" t="s">
        <v>7889</v>
      </c>
      <c r="G430" s="40" t="s">
        <v>5281</v>
      </c>
      <c r="H430" s="40" t="s">
        <v>3</v>
      </c>
      <c r="I430" s="39">
        <v>2</v>
      </c>
      <c r="J430" s="58">
        <v>44697</v>
      </c>
    </row>
    <row r="431" spans="4:10" ht="15.6" customHeight="1">
      <c r="D431" s="38">
        <v>429</v>
      </c>
      <c r="E431" s="39">
        <v>3015</v>
      </c>
      <c r="F431" s="40" t="s">
        <v>7409</v>
      </c>
      <c r="G431" s="40" t="s">
        <v>6782</v>
      </c>
      <c r="H431" s="40" t="s">
        <v>6784</v>
      </c>
      <c r="I431" s="39">
        <v>2</v>
      </c>
      <c r="J431" s="58">
        <v>44697</v>
      </c>
    </row>
    <row r="432" spans="4:10" ht="15.6" customHeight="1">
      <c r="D432" s="38">
        <v>430</v>
      </c>
      <c r="E432" s="39">
        <v>2057</v>
      </c>
      <c r="F432" s="40" t="s">
        <v>7890</v>
      </c>
      <c r="G432" s="40" t="s">
        <v>6782</v>
      </c>
      <c r="H432" s="40" t="s">
        <v>6784</v>
      </c>
      <c r="I432" s="39">
        <v>2</v>
      </c>
      <c r="J432" s="58">
        <v>44697</v>
      </c>
    </row>
    <row r="433" spans="4:10" ht="15.6" customHeight="1">
      <c r="D433" s="38">
        <v>431</v>
      </c>
      <c r="E433" s="39">
        <v>4120</v>
      </c>
      <c r="F433" s="40" t="s">
        <v>7891</v>
      </c>
      <c r="G433" s="40" t="s">
        <v>6782</v>
      </c>
      <c r="H433" s="40" t="s">
        <v>6784</v>
      </c>
      <c r="I433" s="39">
        <v>2</v>
      </c>
      <c r="J433" s="58">
        <v>44697</v>
      </c>
    </row>
    <row r="434" spans="4:10" ht="15.6" customHeight="1">
      <c r="D434" s="38">
        <v>432</v>
      </c>
      <c r="E434" s="39" t="s">
        <v>7892</v>
      </c>
      <c r="F434" s="40" t="s">
        <v>7893</v>
      </c>
      <c r="G434" s="40" t="s">
        <v>6756</v>
      </c>
      <c r="H434" s="40" t="s">
        <v>6920</v>
      </c>
      <c r="I434" s="39">
        <v>2</v>
      </c>
      <c r="J434" s="58">
        <v>44697</v>
      </c>
    </row>
    <row r="435" spans="4:10" ht="15.6" customHeight="1">
      <c r="D435" s="38">
        <v>433</v>
      </c>
      <c r="E435" s="39">
        <v>2329</v>
      </c>
      <c r="F435" s="40" t="s">
        <v>7894</v>
      </c>
      <c r="G435" s="40" t="s">
        <v>6756</v>
      </c>
      <c r="H435" s="40" t="s">
        <v>6920</v>
      </c>
      <c r="I435" s="39">
        <v>2</v>
      </c>
      <c r="J435" s="58">
        <v>44697</v>
      </c>
    </row>
    <row r="436" spans="4:10" ht="15.6" customHeight="1">
      <c r="D436" s="38">
        <v>434</v>
      </c>
      <c r="E436" s="39">
        <v>3285</v>
      </c>
      <c r="F436" s="40" t="s">
        <v>7895</v>
      </c>
      <c r="G436" s="40" t="s">
        <v>6756</v>
      </c>
      <c r="H436" s="40" t="s">
        <v>6920</v>
      </c>
      <c r="I436" s="39">
        <v>2</v>
      </c>
      <c r="J436" s="58">
        <v>44697</v>
      </c>
    </row>
    <row r="437" spans="4:10" ht="15.6" customHeight="1">
      <c r="D437" s="38">
        <v>435</v>
      </c>
      <c r="E437" s="39">
        <v>3327</v>
      </c>
      <c r="F437" s="40" t="s">
        <v>7896</v>
      </c>
      <c r="G437" s="40" t="s">
        <v>6756</v>
      </c>
      <c r="H437" s="40" t="s">
        <v>6920</v>
      </c>
      <c r="I437" s="39">
        <v>2</v>
      </c>
      <c r="J437" s="58">
        <v>44697</v>
      </c>
    </row>
    <row r="438" spans="4:10" ht="15.6" customHeight="1">
      <c r="D438" s="38">
        <v>436</v>
      </c>
      <c r="E438" s="39">
        <v>4577</v>
      </c>
      <c r="F438" s="40" t="s">
        <v>7897</v>
      </c>
      <c r="G438" s="40" t="s">
        <v>6792</v>
      </c>
      <c r="H438" s="40" t="s">
        <v>7076</v>
      </c>
      <c r="I438" s="39">
        <v>2</v>
      </c>
      <c r="J438" s="58">
        <v>44697</v>
      </c>
    </row>
    <row r="439" spans="4:10" ht="15.6" customHeight="1">
      <c r="D439" s="38">
        <v>437</v>
      </c>
      <c r="E439" s="39">
        <v>4530</v>
      </c>
      <c r="F439" s="40" t="s">
        <v>7898</v>
      </c>
      <c r="G439" s="40" t="s">
        <v>6792</v>
      </c>
      <c r="H439" s="40" t="s">
        <v>7076</v>
      </c>
      <c r="I439" s="39">
        <v>2</v>
      </c>
      <c r="J439" s="58">
        <v>44697</v>
      </c>
    </row>
    <row r="440" spans="4:10" ht="15.6" customHeight="1">
      <c r="D440" s="38">
        <v>438</v>
      </c>
      <c r="E440" s="39">
        <v>3875</v>
      </c>
      <c r="F440" s="40" t="s">
        <v>7899</v>
      </c>
      <c r="G440" s="40" t="s">
        <v>6792</v>
      </c>
      <c r="H440" s="40" t="s">
        <v>7076</v>
      </c>
      <c r="I440" s="39">
        <v>2</v>
      </c>
      <c r="J440" s="58">
        <v>44697</v>
      </c>
    </row>
    <row r="441" spans="4:10" ht="15.6" customHeight="1">
      <c r="D441" s="38">
        <v>439</v>
      </c>
      <c r="E441" s="39">
        <v>2895</v>
      </c>
      <c r="F441" s="40" t="s">
        <v>7900</v>
      </c>
      <c r="G441" s="40" t="s">
        <v>6735</v>
      </c>
      <c r="H441" s="40" t="s">
        <v>6748</v>
      </c>
      <c r="I441" s="39">
        <v>2</v>
      </c>
      <c r="J441" s="58">
        <v>44698</v>
      </c>
    </row>
    <row r="442" spans="4:10" ht="15.6" customHeight="1">
      <c r="D442" s="38">
        <v>440</v>
      </c>
      <c r="E442" s="39">
        <v>3611</v>
      </c>
      <c r="F442" s="40" t="s">
        <v>7901</v>
      </c>
      <c r="G442" s="40" t="s">
        <v>6735</v>
      </c>
      <c r="H442" s="40" t="s">
        <v>6748</v>
      </c>
      <c r="I442" s="39">
        <v>2</v>
      </c>
      <c r="J442" s="58">
        <v>44698</v>
      </c>
    </row>
    <row r="443" spans="4:10" ht="15.6" customHeight="1">
      <c r="D443" s="38">
        <v>441</v>
      </c>
      <c r="E443" s="39">
        <v>4739</v>
      </c>
      <c r="F443" s="40" t="s">
        <v>2043</v>
      </c>
      <c r="G443" s="40" t="s">
        <v>5281</v>
      </c>
      <c r="H443" s="40" t="s">
        <v>3</v>
      </c>
      <c r="I443" s="39">
        <v>2</v>
      </c>
      <c r="J443" s="58">
        <v>44698</v>
      </c>
    </row>
    <row r="444" spans="4:10" ht="15.6" customHeight="1">
      <c r="D444" s="38">
        <v>442</v>
      </c>
      <c r="E444" s="39">
        <v>4081</v>
      </c>
      <c r="F444" s="40" t="s">
        <v>7312</v>
      </c>
      <c r="G444" s="40" t="s">
        <v>5281</v>
      </c>
      <c r="H444" s="40" t="s">
        <v>3</v>
      </c>
      <c r="I444" s="39">
        <v>2</v>
      </c>
      <c r="J444" s="58">
        <v>44698</v>
      </c>
    </row>
    <row r="445" spans="4:10" ht="15.6" customHeight="1">
      <c r="D445" s="38">
        <v>443</v>
      </c>
      <c r="E445" s="39">
        <v>2749</v>
      </c>
      <c r="F445" s="40" t="s">
        <v>7902</v>
      </c>
      <c r="G445" s="40" t="s">
        <v>5281</v>
      </c>
      <c r="H445" s="40" t="s">
        <v>3</v>
      </c>
      <c r="I445" s="39">
        <v>2</v>
      </c>
      <c r="J445" s="58">
        <v>44698</v>
      </c>
    </row>
    <row r="446" spans="4:10" ht="15.6" customHeight="1">
      <c r="D446" s="38">
        <v>444</v>
      </c>
      <c r="E446" s="39">
        <v>4511</v>
      </c>
      <c r="F446" s="40" t="s">
        <v>163</v>
      </c>
      <c r="G446" s="40" t="s">
        <v>5281</v>
      </c>
      <c r="H446" s="40" t="s">
        <v>3</v>
      </c>
      <c r="I446" s="39">
        <v>2</v>
      </c>
      <c r="J446" s="58">
        <v>44698</v>
      </c>
    </row>
    <row r="447" spans="4:10" ht="15.6" customHeight="1">
      <c r="D447" s="38">
        <v>445</v>
      </c>
      <c r="E447" s="39">
        <v>4175</v>
      </c>
      <c r="F447" s="40" t="s">
        <v>7903</v>
      </c>
      <c r="G447" s="40" t="s">
        <v>6782</v>
      </c>
      <c r="H447" s="40" t="s">
        <v>6784</v>
      </c>
      <c r="I447" s="39">
        <v>2</v>
      </c>
      <c r="J447" s="58">
        <v>44698</v>
      </c>
    </row>
    <row r="448" spans="4:10" ht="15.6" customHeight="1">
      <c r="D448" s="38">
        <v>446</v>
      </c>
      <c r="E448" s="39">
        <v>4437</v>
      </c>
      <c r="F448" s="40" t="s">
        <v>7904</v>
      </c>
      <c r="G448" s="40" t="s">
        <v>6782</v>
      </c>
      <c r="H448" s="40" t="s">
        <v>6784</v>
      </c>
      <c r="I448" s="39">
        <v>2</v>
      </c>
      <c r="J448" s="58">
        <v>44698</v>
      </c>
    </row>
    <row r="449" spans="4:10" ht="15.6" customHeight="1">
      <c r="D449" s="38">
        <v>447</v>
      </c>
      <c r="E449" s="39">
        <v>3508</v>
      </c>
      <c r="F449" s="40" t="s">
        <v>7905</v>
      </c>
      <c r="G449" s="40" t="s">
        <v>6782</v>
      </c>
      <c r="H449" s="40" t="s">
        <v>6784</v>
      </c>
      <c r="I449" s="39">
        <v>2</v>
      </c>
      <c r="J449" s="58">
        <v>44698</v>
      </c>
    </row>
    <row r="450" spans="4:10" ht="15.6" customHeight="1">
      <c r="D450" s="38">
        <v>448</v>
      </c>
      <c r="E450" s="39">
        <v>4318</v>
      </c>
      <c r="F450" s="40" t="s">
        <v>7906</v>
      </c>
      <c r="G450" s="40" t="s">
        <v>6756</v>
      </c>
      <c r="H450" s="40" t="s">
        <v>6861</v>
      </c>
      <c r="I450" s="39">
        <v>2</v>
      </c>
      <c r="J450" s="58">
        <v>44698</v>
      </c>
    </row>
    <row r="451" spans="4:10" ht="15.6" customHeight="1">
      <c r="D451" s="38">
        <v>449</v>
      </c>
      <c r="E451" s="39">
        <v>4435</v>
      </c>
      <c r="F451" s="40" t="s">
        <v>7907</v>
      </c>
      <c r="G451" s="40" t="s">
        <v>6756</v>
      </c>
      <c r="H451" s="40" t="s">
        <v>6861</v>
      </c>
      <c r="I451" s="39">
        <v>2</v>
      </c>
      <c r="J451" s="58">
        <v>44698</v>
      </c>
    </row>
    <row r="452" spans="4:10" ht="15.6" customHeight="1">
      <c r="D452" s="38">
        <v>450</v>
      </c>
      <c r="E452" s="39" t="s">
        <v>7908</v>
      </c>
      <c r="F452" s="40" t="s">
        <v>7909</v>
      </c>
      <c r="G452" s="40" t="s">
        <v>6756</v>
      </c>
      <c r="H452" s="40" t="s">
        <v>7086</v>
      </c>
      <c r="I452" s="39">
        <v>2</v>
      </c>
      <c r="J452" s="58">
        <v>44698</v>
      </c>
    </row>
    <row r="453" spans="4:10" ht="15.6" customHeight="1">
      <c r="D453" s="38">
        <v>451</v>
      </c>
      <c r="E453" s="39">
        <v>3081</v>
      </c>
      <c r="F453" s="40" t="s">
        <v>7910</v>
      </c>
      <c r="G453" s="40" t="s">
        <v>6756</v>
      </c>
      <c r="H453" s="40" t="s">
        <v>7086</v>
      </c>
      <c r="I453" s="39">
        <v>2</v>
      </c>
      <c r="J453" s="58">
        <v>44698</v>
      </c>
    </row>
    <row r="454" spans="4:10" ht="15.6" customHeight="1">
      <c r="D454" s="38">
        <v>452</v>
      </c>
      <c r="E454" s="39" t="s">
        <v>7911</v>
      </c>
      <c r="F454" s="40" t="s">
        <v>7912</v>
      </c>
      <c r="G454" s="40" t="s">
        <v>6792</v>
      </c>
      <c r="H454" s="40" t="s">
        <v>6974</v>
      </c>
      <c r="I454" s="39">
        <v>2</v>
      </c>
      <c r="J454" s="58">
        <v>44698</v>
      </c>
    </row>
    <row r="455" spans="4:10" ht="15.6" customHeight="1">
      <c r="D455" s="38">
        <v>453</v>
      </c>
      <c r="E455" s="39">
        <v>4831</v>
      </c>
      <c r="F455" s="40" t="s">
        <v>7913</v>
      </c>
      <c r="G455" s="40" t="s">
        <v>6792</v>
      </c>
      <c r="H455" s="40" t="s">
        <v>6974</v>
      </c>
      <c r="I455" s="39">
        <v>2</v>
      </c>
      <c r="J455" s="58">
        <v>44698</v>
      </c>
    </row>
    <row r="456" spans="4:10" ht="15.6" customHeight="1">
      <c r="D456" s="38">
        <v>454</v>
      </c>
      <c r="E456" s="39">
        <v>4618</v>
      </c>
      <c r="F456" s="40" t="s">
        <v>7914</v>
      </c>
      <c r="G456" s="40" t="s">
        <v>6792</v>
      </c>
      <c r="H456" s="40" t="s">
        <v>6974</v>
      </c>
      <c r="I456" s="39">
        <v>2</v>
      </c>
      <c r="J456" s="58">
        <v>44698</v>
      </c>
    </row>
    <row r="457" spans="4:10" ht="15.6" customHeight="1">
      <c r="D457" s="38">
        <v>455</v>
      </c>
      <c r="E457" s="39">
        <v>3576</v>
      </c>
      <c r="F457" s="40" t="s">
        <v>7915</v>
      </c>
      <c r="G457" s="40" t="s">
        <v>6735</v>
      </c>
      <c r="H457" s="40" t="s">
        <v>6748</v>
      </c>
      <c r="I457" s="39">
        <v>2</v>
      </c>
      <c r="J457" s="58">
        <v>44699</v>
      </c>
    </row>
    <row r="458" spans="4:10" ht="15.6" customHeight="1">
      <c r="D458" s="38">
        <v>456</v>
      </c>
      <c r="E458" s="39">
        <v>4096</v>
      </c>
      <c r="F458" s="40" t="s">
        <v>7916</v>
      </c>
      <c r="G458" s="40" t="s">
        <v>6735</v>
      </c>
      <c r="H458" s="40" t="s">
        <v>6748</v>
      </c>
      <c r="I458" s="39">
        <v>2</v>
      </c>
      <c r="J458" s="58">
        <v>44699</v>
      </c>
    </row>
    <row r="459" spans="4:10" ht="15.6" customHeight="1">
      <c r="D459" s="38">
        <v>457</v>
      </c>
      <c r="E459" s="39">
        <v>2755</v>
      </c>
      <c r="F459" s="40" t="s">
        <v>7917</v>
      </c>
      <c r="G459" s="40" t="s">
        <v>6735</v>
      </c>
      <c r="H459" s="40" t="s">
        <v>130</v>
      </c>
      <c r="I459" s="39">
        <v>2</v>
      </c>
      <c r="J459" s="58">
        <v>44699</v>
      </c>
    </row>
    <row r="460" spans="4:10" ht="15.6" customHeight="1">
      <c r="D460" s="38">
        <v>458</v>
      </c>
      <c r="E460" s="39" t="s">
        <v>7918</v>
      </c>
      <c r="F460" s="40" t="s">
        <v>7919</v>
      </c>
      <c r="G460" s="40" t="s">
        <v>6735</v>
      </c>
      <c r="H460" s="40" t="s">
        <v>130</v>
      </c>
      <c r="I460" s="39">
        <v>2</v>
      </c>
      <c r="J460" s="58">
        <v>44699</v>
      </c>
    </row>
    <row r="461" spans="4:10" ht="15.6" customHeight="1">
      <c r="D461" s="38">
        <v>459</v>
      </c>
      <c r="E461" s="39" t="s">
        <v>7920</v>
      </c>
      <c r="F461" s="40" t="s">
        <v>7921</v>
      </c>
      <c r="G461" s="40" t="s">
        <v>6735</v>
      </c>
      <c r="H461" s="40" t="s">
        <v>130</v>
      </c>
      <c r="I461" s="39">
        <v>2</v>
      </c>
      <c r="J461" s="58">
        <v>44699</v>
      </c>
    </row>
    <row r="462" spans="4:10" ht="15.6" customHeight="1">
      <c r="D462" s="38">
        <v>460</v>
      </c>
      <c r="E462" s="39">
        <v>3087</v>
      </c>
      <c r="F462" s="40" t="s">
        <v>7922</v>
      </c>
      <c r="G462" s="40" t="s">
        <v>6782</v>
      </c>
      <c r="H462" s="40" t="s">
        <v>6784</v>
      </c>
      <c r="I462" s="39">
        <v>2</v>
      </c>
      <c r="J462" s="58">
        <v>44699</v>
      </c>
    </row>
    <row r="463" spans="4:10" ht="15.6" customHeight="1">
      <c r="D463" s="38">
        <v>461</v>
      </c>
      <c r="E463" s="39">
        <v>3289</v>
      </c>
      <c r="F463" s="40" t="s">
        <v>7923</v>
      </c>
      <c r="G463" s="40" t="s">
        <v>6782</v>
      </c>
      <c r="H463" s="40" t="s">
        <v>6784</v>
      </c>
      <c r="I463" s="39">
        <v>2</v>
      </c>
      <c r="J463" s="58">
        <v>44699</v>
      </c>
    </row>
    <row r="464" spans="4:10" ht="15.6" customHeight="1">
      <c r="D464" s="38">
        <v>462</v>
      </c>
      <c r="E464" s="39">
        <v>2411</v>
      </c>
      <c r="F464" s="40" t="s">
        <v>7924</v>
      </c>
      <c r="G464" s="40" t="s">
        <v>6782</v>
      </c>
      <c r="H464" s="40" t="s">
        <v>6784</v>
      </c>
      <c r="I464" s="39">
        <v>2</v>
      </c>
      <c r="J464" s="58">
        <v>44699</v>
      </c>
    </row>
    <row r="465" spans="4:10" ht="15.6" customHeight="1">
      <c r="D465" s="38">
        <v>463</v>
      </c>
      <c r="E465" s="39">
        <v>4603</v>
      </c>
      <c r="F465" s="40" t="s">
        <v>7925</v>
      </c>
      <c r="G465" s="40" t="s">
        <v>6808</v>
      </c>
      <c r="H465" s="40" t="s">
        <v>7459</v>
      </c>
      <c r="I465" s="39">
        <v>2</v>
      </c>
      <c r="J465" s="58">
        <v>44699</v>
      </c>
    </row>
    <row r="466" spans="4:10" ht="15.6" customHeight="1">
      <c r="D466" s="38">
        <v>464</v>
      </c>
      <c r="E466" s="39">
        <v>3839</v>
      </c>
      <c r="F466" s="40" t="s">
        <v>7926</v>
      </c>
      <c r="G466" s="40" t="s">
        <v>6808</v>
      </c>
      <c r="H466" s="40" t="s">
        <v>7459</v>
      </c>
      <c r="I466" s="39">
        <v>2</v>
      </c>
      <c r="J466" s="58">
        <v>44699</v>
      </c>
    </row>
    <row r="467" spans="4:10" ht="15.6" customHeight="1">
      <c r="D467" s="38">
        <v>465</v>
      </c>
      <c r="E467" s="39">
        <v>4296</v>
      </c>
      <c r="F467" s="40" t="s">
        <v>7927</v>
      </c>
      <c r="G467" s="40" t="s">
        <v>6792</v>
      </c>
      <c r="H467" s="40" t="s">
        <v>6974</v>
      </c>
      <c r="I467" s="39">
        <v>2</v>
      </c>
      <c r="J467" s="58">
        <v>44699</v>
      </c>
    </row>
    <row r="468" spans="4:10" ht="15.6" customHeight="1">
      <c r="D468" s="38">
        <v>466</v>
      </c>
      <c r="E468" s="39">
        <v>4250</v>
      </c>
      <c r="F468" s="40" t="s">
        <v>7928</v>
      </c>
      <c r="G468" s="40" t="s">
        <v>6792</v>
      </c>
      <c r="H468" s="40" t="s">
        <v>6974</v>
      </c>
      <c r="I468" s="39">
        <v>2</v>
      </c>
      <c r="J468" s="58">
        <v>44699</v>
      </c>
    </row>
    <row r="469" spans="4:10" ht="15.6" customHeight="1">
      <c r="D469" s="38">
        <v>467</v>
      </c>
      <c r="E469" s="39">
        <v>4170</v>
      </c>
      <c r="F469" s="40" t="s">
        <v>7929</v>
      </c>
      <c r="G469" s="40" t="s">
        <v>6792</v>
      </c>
      <c r="H469" s="40" t="s">
        <v>6974</v>
      </c>
      <c r="I469" s="39">
        <v>2</v>
      </c>
      <c r="J469" s="58">
        <v>44699</v>
      </c>
    </row>
    <row r="470" spans="4:10" ht="15.6" customHeight="1">
      <c r="D470" s="38">
        <v>468</v>
      </c>
      <c r="E470" s="39">
        <v>4199</v>
      </c>
      <c r="F470" s="40" t="s">
        <v>7930</v>
      </c>
      <c r="G470" s="40" t="s">
        <v>6735</v>
      </c>
      <c r="H470" s="40" t="s">
        <v>6748</v>
      </c>
      <c r="I470" s="39">
        <v>2</v>
      </c>
      <c r="J470" s="58">
        <v>44700</v>
      </c>
    </row>
    <row r="471" spans="4:10" ht="15.6" customHeight="1">
      <c r="D471" s="38">
        <v>469</v>
      </c>
      <c r="E471" s="39">
        <v>4227</v>
      </c>
      <c r="F471" s="40" t="s">
        <v>7931</v>
      </c>
      <c r="G471" s="40" t="s">
        <v>6735</v>
      </c>
      <c r="H471" s="40" t="s">
        <v>6748</v>
      </c>
      <c r="I471" s="39">
        <v>2</v>
      </c>
      <c r="J471" s="58">
        <v>44700</v>
      </c>
    </row>
    <row r="472" spans="4:10" ht="15.6" customHeight="1">
      <c r="D472" s="38">
        <v>470</v>
      </c>
      <c r="E472" s="39">
        <v>4898</v>
      </c>
      <c r="F472" s="40" t="s">
        <v>7932</v>
      </c>
      <c r="G472" s="40" t="s">
        <v>6735</v>
      </c>
      <c r="H472" s="40" t="s">
        <v>6748</v>
      </c>
      <c r="I472" s="39">
        <v>2</v>
      </c>
      <c r="J472" s="58">
        <v>44700</v>
      </c>
    </row>
    <row r="473" spans="4:10" ht="15.6" customHeight="1">
      <c r="D473" s="38">
        <v>471</v>
      </c>
      <c r="E473" s="39">
        <v>4108</v>
      </c>
      <c r="F473" s="40" t="s">
        <v>7334</v>
      </c>
      <c r="G473" s="40" t="s">
        <v>6735</v>
      </c>
      <c r="H473" s="40" t="s">
        <v>130</v>
      </c>
      <c r="I473" s="39">
        <v>2</v>
      </c>
      <c r="J473" s="58">
        <v>44700</v>
      </c>
    </row>
    <row r="474" spans="4:10" ht="15.6" customHeight="1">
      <c r="D474" s="38">
        <v>472</v>
      </c>
      <c r="E474" s="39">
        <v>3062</v>
      </c>
      <c r="F474" s="40" t="s">
        <v>7933</v>
      </c>
      <c r="G474" s="40" t="s">
        <v>6735</v>
      </c>
      <c r="H474" s="40" t="s">
        <v>130</v>
      </c>
      <c r="I474" s="39">
        <v>2</v>
      </c>
      <c r="J474" s="58">
        <v>44700</v>
      </c>
    </row>
    <row r="475" spans="4:10" ht="15.6" customHeight="1">
      <c r="D475" s="38">
        <v>473</v>
      </c>
      <c r="E475" s="39">
        <v>4574</v>
      </c>
      <c r="F475" s="40" t="s">
        <v>7934</v>
      </c>
      <c r="G475" s="40" t="s">
        <v>6735</v>
      </c>
      <c r="H475" s="40" t="s">
        <v>130</v>
      </c>
      <c r="I475" s="39">
        <v>2</v>
      </c>
      <c r="J475" s="58">
        <v>44700</v>
      </c>
    </row>
    <row r="476" spans="4:10" ht="15.6" customHeight="1">
      <c r="D476" s="38">
        <v>474</v>
      </c>
      <c r="E476" s="39" t="s">
        <v>1357</v>
      </c>
      <c r="F476" s="40" t="s">
        <v>7935</v>
      </c>
      <c r="G476" s="40" t="s">
        <v>6782</v>
      </c>
      <c r="H476" s="40" t="s">
        <v>6784</v>
      </c>
      <c r="I476" s="39">
        <v>2</v>
      </c>
      <c r="J476" s="58">
        <v>44700</v>
      </c>
    </row>
    <row r="477" spans="4:10" ht="15.6" customHeight="1">
      <c r="D477" s="38">
        <v>475</v>
      </c>
      <c r="E477" s="39">
        <v>4497</v>
      </c>
      <c r="F477" s="40" t="s">
        <v>7936</v>
      </c>
      <c r="G477" s="40" t="s">
        <v>6782</v>
      </c>
      <c r="H477" s="40" t="s">
        <v>6784</v>
      </c>
      <c r="I477" s="39">
        <v>2</v>
      </c>
      <c r="J477" s="58">
        <v>44700</v>
      </c>
    </row>
    <row r="478" spans="4:10" ht="15.6" customHeight="1">
      <c r="D478" s="38">
        <v>476</v>
      </c>
      <c r="E478" s="39">
        <v>2713</v>
      </c>
      <c r="F478" s="40" t="s">
        <v>7937</v>
      </c>
      <c r="G478" s="40" t="s">
        <v>6782</v>
      </c>
      <c r="H478" s="40" t="s">
        <v>6784</v>
      </c>
      <c r="I478" s="39">
        <v>2</v>
      </c>
      <c r="J478" s="58">
        <v>44700</v>
      </c>
    </row>
    <row r="479" spans="4:10" ht="15.6" customHeight="1">
      <c r="D479" s="38">
        <v>477</v>
      </c>
      <c r="E479" s="39">
        <v>4370</v>
      </c>
      <c r="F479" s="40" t="s">
        <v>7938</v>
      </c>
      <c r="G479" s="40" t="s">
        <v>6792</v>
      </c>
      <c r="H479" s="40" t="s">
        <v>7298</v>
      </c>
      <c r="I479" s="39">
        <v>2</v>
      </c>
      <c r="J479" s="58">
        <v>44700</v>
      </c>
    </row>
    <row r="480" spans="4:10" ht="15.6" customHeight="1">
      <c r="D480" s="38">
        <v>478</v>
      </c>
      <c r="E480" s="39" t="s">
        <v>7445</v>
      </c>
      <c r="F480" s="40" t="s">
        <v>7446</v>
      </c>
      <c r="G480" s="40" t="s">
        <v>5281</v>
      </c>
      <c r="H480" s="40" t="s">
        <v>6926</v>
      </c>
      <c r="I480" s="39">
        <v>2</v>
      </c>
      <c r="J480" s="58">
        <v>44704</v>
      </c>
    </row>
    <row r="481" spans="4:10" ht="15.6" customHeight="1">
      <c r="D481" s="38">
        <v>479</v>
      </c>
      <c r="E481" s="39" t="s">
        <v>7939</v>
      </c>
      <c r="F481" s="40" t="s">
        <v>7940</v>
      </c>
      <c r="G481" s="40" t="s">
        <v>5281</v>
      </c>
      <c r="H481" s="40" t="s">
        <v>6926</v>
      </c>
      <c r="I481" s="39">
        <v>2</v>
      </c>
      <c r="J481" s="58">
        <v>44704</v>
      </c>
    </row>
    <row r="482" spans="4:10" ht="15.6" customHeight="1">
      <c r="D482" s="38">
        <v>480</v>
      </c>
      <c r="E482" s="39">
        <v>2189</v>
      </c>
      <c r="F482" s="40" t="s">
        <v>7941</v>
      </c>
      <c r="G482" s="40" t="s">
        <v>5281</v>
      </c>
      <c r="H482" s="40" t="s">
        <v>6926</v>
      </c>
      <c r="I482" s="39">
        <v>2</v>
      </c>
      <c r="J482" s="58">
        <v>44704</v>
      </c>
    </row>
    <row r="483" spans="4:10" ht="15.6" customHeight="1">
      <c r="D483" s="38">
        <v>481</v>
      </c>
      <c r="E483" s="39">
        <v>4884</v>
      </c>
      <c r="F483" s="40" t="s">
        <v>7942</v>
      </c>
      <c r="G483" s="40" t="s">
        <v>6735</v>
      </c>
      <c r="H483" s="40" t="s">
        <v>130</v>
      </c>
      <c r="I483" s="39">
        <v>2</v>
      </c>
      <c r="J483" s="58">
        <v>44704</v>
      </c>
    </row>
    <row r="484" spans="4:10" ht="15.6" customHeight="1">
      <c r="D484" s="38">
        <v>482</v>
      </c>
      <c r="E484" s="39">
        <v>4418</v>
      </c>
      <c r="F484" s="40" t="s">
        <v>7943</v>
      </c>
      <c r="G484" s="40" t="s">
        <v>6735</v>
      </c>
      <c r="H484" s="40" t="s">
        <v>130</v>
      </c>
      <c r="I484" s="39">
        <v>2</v>
      </c>
      <c r="J484" s="58">
        <v>44704</v>
      </c>
    </row>
    <row r="485" spans="4:10" ht="15.6" customHeight="1">
      <c r="D485" s="38">
        <v>483</v>
      </c>
      <c r="E485" s="39" t="s">
        <v>7944</v>
      </c>
      <c r="F485" s="40" t="s">
        <v>7945</v>
      </c>
      <c r="G485" s="40" t="s">
        <v>6735</v>
      </c>
      <c r="H485" s="40" t="s">
        <v>130</v>
      </c>
      <c r="I485" s="39">
        <v>2</v>
      </c>
      <c r="J485" s="58">
        <v>44704</v>
      </c>
    </row>
    <row r="486" spans="4:10" ht="15.6" customHeight="1">
      <c r="D486" s="38">
        <v>484</v>
      </c>
      <c r="E486" s="39">
        <v>4157</v>
      </c>
      <c r="F486" s="40" t="s">
        <v>7946</v>
      </c>
      <c r="G486" s="40" t="s">
        <v>6782</v>
      </c>
      <c r="H486" s="40" t="s">
        <v>6784</v>
      </c>
      <c r="I486" s="39">
        <v>2</v>
      </c>
      <c r="J486" s="58">
        <v>44704</v>
      </c>
    </row>
    <row r="487" spans="4:10" ht="15.6" customHeight="1">
      <c r="D487" s="38">
        <v>485</v>
      </c>
      <c r="E487" s="39">
        <v>3028</v>
      </c>
      <c r="F487" s="40" t="s">
        <v>7947</v>
      </c>
      <c r="G487" s="40" t="s">
        <v>6782</v>
      </c>
      <c r="H487" s="40" t="s">
        <v>6784</v>
      </c>
      <c r="I487" s="39">
        <v>2</v>
      </c>
      <c r="J487" s="58">
        <v>44704</v>
      </c>
    </row>
    <row r="488" spans="4:10" ht="15.6" customHeight="1">
      <c r="D488" s="38">
        <v>486</v>
      </c>
      <c r="E488" s="39">
        <v>3739</v>
      </c>
      <c r="F488" s="40" t="s">
        <v>7948</v>
      </c>
      <c r="G488" s="40" t="s">
        <v>6782</v>
      </c>
      <c r="H488" s="40" t="s">
        <v>6784</v>
      </c>
      <c r="I488" s="39">
        <v>2</v>
      </c>
      <c r="J488" s="58">
        <v>44704</v>
      </c>
    </row>
    <row r="489" spans="4:10" ht="15.6" customHeight="1">
      <c r="D489" s="38">
        <v>487</v>
      </c>
      <c r="E489" s="39">
        <v>4816</v>
      </c>
      <c r="F489" s="40" t="s">
        <v>7949</v>
      </c>
      <c r="G489" s="40" t="s">
        <v>6808</v>
      </c>
      <c r="H489" s="40" t="s">
        <v>7459</v>
      </c>
      <c r="I489" s="39">
        <v>2</v>
      </c>
      <c r="J489" s="58">
        <v>44704</v>
      </c>
    </row>
    <row r="490" spans="4:10" ht="15.6" customHeight="1">
      <c r="D490" s="38">
        <v>488</v>
      </c>
      <c r="E490" s="39">
        <v>3613</v>
      </c>
      <c r="F490" s="40" t="s">
        <v>7950</v>
      </c>
      <c r="G490" s="40" t="s">
        <v>6792</v>
      </c>
      <c r="H490" s="40" t="s">
        <v>7298</v>
      </c>
      <c r="I490" s="39">
        <v>2</v>
      </c>
      <c r="J490" s="58">
        <v>44704</v>
      </c>
    </row>
    <row r="491" spans="4:10" ht="15.6" customHeight="1">
      <c r="D491" s="38">
        <v>489</v>
      </c>
      <c r="E491" s="39">
        <v>3672</v>
      </c>
      <c r="F491" s="40" t="s">
        <v>7951</v>
      </c>
      <c r="G491" s="40" t="s">
        <v>6792</v>
      </c>
      <c r="H491" s="40" t="s">
        <v>6974</v>
      </c>
      <c r="I491" s="39">
        <v>2</v>
      </c>
      <c r="J491" s="58">
        <v>44704</v>
      </c>
    </row>
    <row r="492" spans="4:10" ht="15.6" customHeight="1">
      <c r="D492" s="38">
        <v>490</v>
      </c>
      <c r="E492" s="39">
        <v>3513</v>
      </c>
      <c r="F492" s="40" t="s">
        <v>7952</v>
      </c>
      <c r="G492" s="40" t="s">
        <v>6792</v>
      </c>
      <c r="H492" s="40" t="s">
        <v>6974</v>
      </c>
      <c r="I492" s="39">
        <v>2</v>
      </c>
      <c r="J492" s="58">
        <v>44704</v>
      </c>
    </row>
    <row r="493" spans="4:10" ht="15.6" customHeight="1">
      <c r="D493" s="38">
        <v>491</v>
      </c>
      <c r="E493" s="39">
        <v>2312</v>
      </c>
      <c r="F493" s="40" t="s">
        <v>7953</v>
      </c>
      <c r="G493" s="40" t="s">
        <v>5281</v>
      </c>
      <c r="H493" s="40" t="s">
        <v>6926</v>
      </c>
      <c r="I493" s="39">
        <v>2</v>
      </c>
      <c r="J493" s="58">
        <v>44705</v>
      </c>
    </row>
    <row r="494" spans="4:10" ht="15.6" customHeight="1">
      <c r="D494" s="38">
        <v>492</v>
      </c>
      <c r="E494" s="39">
        <v>2642</v>
      </c>
      <c r="F494" s="40" t="s">
        <v>7954</v>
      </c>
      <c r="G494" s="40" t="s">
        <v>5281</v>
      </c>
      <c r="H494" s="40" t="s">
        <v>6926</v>
      </c>
      <c r="I494" s="39">
        <v>2</v>
      </c>
      <c r="J494" s="58">
        <v>44705</v>
      </c>
    </row>
    <row r="495" spans="4:10" ht="15.6" customHeight="1">
      <c r="D495" s="38">
        <v>493</v>
      </c>
      <c r="E495" s="39">
        <v>2912</v>
      </c>
      <c r="F495" s="40" t="s">
        <v>7955</v>
      </c>
      <c r="G495" s="40" t="s">
        <v>5281</v>
      </c>
      <c r="H495" s="40" t="s">
        <v>6926</v>
      </c>
      <c r="I495" s="39">
        <v>2</v>
      </c>
      <c r="J495" s="58">
        <v>44705</v>
      </c>
    </row>
    <row r="496" spans="4:10" ht="15.6" customHeight="1">
      <c r="D496" s="38">
        <v>494</v>
      </c>
      <c r="E496" s="39">
        <v>3785</v>
      </c>
      <c r="F496" s="40" t="s">
        <v>489</v>
      </c>
      <c r="G496" s="40" t="s">
        <v>5281</v>
      </c>
      <c r="H496" s="40" t="s">
        <v>11</v>
      </c>
      <c r="I496" s="39">
        <v>2</v>
      </c>
      <c r="J496" s="58">
        <v>44705</v>
      </c>
    </row>
    <row r="497" spans="4:10" ht="15.6" customHeight="1">
      <c r="D497" s="38">
        <v>495</v>
      </c>
      <c r="E497" s="39">
        <v>2492</v>
      </c>
      <c r="F497" s="40" t="s">
        <v>7486</v>
      </c>
      <c r="G497" s="40" t="s">
        <v>5281</v>
      </c>
      <c r="H497" s="40" t="s">
        <v>11</v>
      </c>
      <c r="I497" s="39">
        <v>2</v>
      </c>
      <c r="J497" s="58">
        <v>44705</v>
      </c>
    </row>
    <row r="498" spans="4:10" ht="15.6" customHeight="1">
      <c r="D498" s="38">
        <v>496</v>
      </c>
      <c r="E498" s="39">
        <v>2743</v>
      </c>
      <c r="F498" s="40" t="s">
        <v>7956</v>
      </c>
      <c r="G498" s="40" t="s">
        <v>5281</v>
      </c>
      <c r="H498" s="40" t="s">
        <v>11</v>
      </c>
      <c r="I498" s="39">
        <v>2</v>
      </c>
      <c r="J498" s="58">
        <v>44705</v>
      </c>
    </row>
    <row r="499" spans="4:10" ht="15.6" customHeight="1">
      <c r="D499" s="38">
        <v>497</v>
      </c>
      <c r="E499" s="39">
        <v>4208</v>
      </c>
      <c r="F499" s="40" t="s">
        <v>1930</v>
      </c>
      <c r="G499" s="40" t="s">
        <v>5281</v>
      </c>
      <c r="H499" s="40" t="s">
        <v>11</v>
      </c>
      <c r="I499" s="39">
        <v>2</v>
      </c>
      <c r="J499" s="58">
        <v>44705</v>
      </c>
    </row>
    <row r="500" spans="4:10" ht="15.6" customHeight="1">
      <c r="D500" s="38">
        <v>498</v>
      </c>
      <c r="E500" s="39">
        <v>3933</v>
      </c>
      <c r="F500" s="40" t="s">
        <v>7957</v>
      </c>
      <c r="G500" s="40" t="s">
        <v>6782</v>
      </c>
      <c r="H500" s="40" t="s">
        <v>7829</v>
      </c>
      <c r="I500" s="39">
        <v>2</v>
      </c>
      <c r="J500" s="58">
        <v>44705</v>
      </c>
    </row>
    <row r="501" spans="4:10" ht="15.6" customHeight="1">
      <c r="D501" s="38">
        <v>499</v>
      </c>
      <c r="E501" s="39">
        <v>3872</v>
      </c>
      <c r="F501" s="40" t="s">
        <v>7958</v>
      </c>
      <c r="G501" s="40" t="s">
        <v>6782</v>
      </c>
      <c r="H501" s="40" t="s">
        <v>7829</v>
      </c>
      <c r="I501" s="39">
        <v>2</v>
      </c>
      <c r="J501" s="58">
        <v>44705</v>
      </c>
    </row>
    <row r="502" spans="4:10" ht="15.6" customHeight="1">
      <c r="D502" s="38">
        <v>500</v>
      </c>
      <c r="E502" s="39">
        <v>3575</v>
      </c>
      <c r="F502" s="40" t="s">
        <v>7959</v>
      </c>
      <c r="G502" s="40" t="s">
        <v>6782</v>
      </c>
      <c r="H502" s="40" t="s">
        <v>7829</v>
      </c>
      <c r="I502" s="39">
        <v>2</v>
      </c>
      <c r="J502" s="58">
        <v>44705</v>
      </c>
    </row>
    <row r="503" spans="4:10" ht="15.6" customHeight="1">
      <c r="D503" s="38">
        <v>501</v>
      </c>
      <c r="E503" s="39">
        <v>3792</v>
      </c>
      <c r="F503" s="40" t="s">
        <v>7960</v>
      </c>
      <c r="G503" s="40" t="s">
        <v>6808</v>
      </c>
      <c r="H503" s="40" t="s">
        <v>7961</v>
      </c>
      <c r="I503" s="39">
        <v>2</v>
      </c>
      <c r="J503" s="58">
        <v>44705</v>
      </c>
    </row>
    <row r="504" spans="4:10" ht="15.6" customHeight="1">
      <c r="D504" s="38">
        <v>502</v>
      </c>
      <c r="E504" s="39">
        <v>3572</v>
      </c>
      <c r="F504" s="40" t="s">
        <v>7962</v>
      </c>
      <c r="G504" s="40" t="s">
        <v>6808</v>
      </c>
      <c r="H504" s="40" t="s">
        <v>7961</v>
      </c>
      <c r="I504" s="39">
        <v>2</v>
      </c>
      <c r="J504" s="58">
        <v>44705</v>
      </c>
    </row>
    <row r="505" spans="4:10" ht="15.6" customHeight="1">
      <c r="D505" s="38">
        <v>503</v>
      </c>
      <c r="E505" s="39">
        <v>4431</v>
      </c>
      <c r="F505" s="40" t="s">
        <v>7963</v>
      </c>
      <c r="G505" s="40" t="s">
        <v>6808</v>
      </c>
      <c r="H505" s="40" t="s">
        <v>7964</v>
      </c>
      <c r="I505" s="39">
        <v>2</v>
      </c>
      <c r="J505" s="58">
        <v>44705</v>
      </c>
    </row>
    <row r="506" spans="4:10" ht="15.6" customHeight="1">
      <c r="D506" s="38">
        <v>504</v>
      </c>
      <c r="E506" s="39">
        <v>4771</v>
      </c>
      <c r="F506" s="40" t="s">
        <v>7965</v>
      </c>
      <c r="G506" s="40" t="s">
        <v>6792</v>
      </c>
      <c r="H506" s="40" t="s">
        <v>7806</v>
      </c>
      <c r="I506" s="39">
        <v>2</v>
      </c>
      <c r="J506" s="58">
        <v>44705</v>
      </c>
    </row>
    <row r="507" spans="4:10" ht="15.6" customHeight="1">
      <c r="D507" s="38">
        <v>505</v>
      </c>
      <c r="E507" s="39">
        <v>4557</v>
      </c>
      <c r="F507" s="40" t="s">
        <v>7966</v>
      </c>
      <c r="G507" s="40" t="s">
        <v>6792</v>
      </c>
      <c r="H507" s="40" t="s">
        <v>7806</v>
      </c>
      <c r="I507" s="39">
        <v>2</v>
      </c>
      <c r="J507" s="58">
        <v>44705</v>
      </c>
    </row>
    <row r="508" spans="4:10" ht="15.6" customHeight="1">
      <c r="D508" s="38">
        <v>506</v>
      </c>
      <c r="E508" s="39">
        <v>4491</v>
      </c>
      <c r="F508" s="40" t="s">
        <v>7967</v>
      </c>
      <c r="G508" s="40" t="s">
        <v>6792</v>
      </c>
      <c r="H508" s="40" t="s">
        <v>7806</v>
      </c>
      <c r="I508" s="39">
        <v>2</v>
      </c>
      <c r="J508" s="58">
        <v>44705</v>
      </c>
    </row>
    <row r="509" spans="4:10" ht="15.6" customHeight="1">
      <c r="D509" s="38">
        <v>507</v>
      </c>
      <c r="E509" s="39">
        <v>4512</v>
      </c>
      <c r="F509" s="40" t="s">
        <v>7968</v>
      </c>
      <c r="G509" s="40" t="s">
        <v>5281</v>
      </c>
      <c r="H509" s="40" t="s">
        <v>6926</v>
      </c>
      <c r="I509" s="39">
        <v>2</v>
      </c>
      <c r="J509" s="58">
        <v>44706</v>
      </c>
    </row>
    <row r="510" spans="4:10" ht="15.6" customHeight="1">
      <c r="D510" s="38">
        <v>508</v>
      </c>
      <c r="E510" s="39">
        <v>4144</v>
      </c>
      <c r="F510" s="40" t="s">
        <v>1005</v>
      </c>
      <c r="G510" s="40" t="s">
        <v>5281</v>
      </c>
      <c r="H510" s="40" t="s">
        <v>11</v>
      </c>
      <c r="I510" s="39">
        <v>2</v>
      </c>
      <c r="J510" s="58">
        <v>44706</v>
      </c>
    </row>
    <row r="511" spans="4:10" ht="15.6" customHeight="1">
      <c r="D511" s="38">
        <v>509</v>
      </c>
      <c r="E511" s="39">
        <v>2362</v>
      </c>
      <c r="F511" s="40" t="s">
        <v>7969</v>
      </c>
      <c r="G511" s="40" t="s">
        <v>5281</v>
      </c>
      <c r="H511" s="40" t="s">
        <v>11</v>
      </c>
      <c r="I511" s="39">
        <v>2</v>
      </c>
      <c r="J511" s="58">
        <v>44706</v>
      </c>
    </row>
    <row r="512" spans="4:10" ht="15.6" customHeight="1">
      <c r="D512" s="38">
        <v>510</v>
      </c>
      <c r="E512" s="39">
        <v>3938</v>
      </c>
      <c r="F512" s="40" t="s">
        <v>7114</v>
      </c>
      <c r="G512" s="40" t="s">
        <v>5281</v>
      </c>
      <c r="H512" s="40" t="s">
        <v>11</v>
      </c>
      <c r="I512" s="39">
        <v>2</v>
      </c>
      <c r="J512" s="58">
        <v>44706</v>
      </c>
    </row>
    <row r="513" spans="4:10" ht="15.6" customHeight="1">
      <c r="D513" s="38">
        <v>511</v>
      </c>
      <c r="E513" s="39">
        <v>2920</v>
      </c>
      <c r="F513" s="40" t="s">
        <v>7970</v>
      </c>
      <c r="G513" s="40" t="s">
        <v>6782</v>
      </c>
      <c r="H513" s="40" t="s">
        <v>7829</v>
      </c>
      <c r="I513" s="39">
        <v>2</v>
      </c>
      <c r="J513" s="58">
        <v>44706</v>
      </c>
    </row>
    <row r="514" spans="4:10" ht="15.6" customHeight="1">
      <c r="D514" s="38">
        <v>512</v>
      </c>
      <c r="E514" s="39">
        <v>2865</v>
      </c>
      <c r="F514" s="40" t="s">
        <v>7971</v>
      </c>
      <c r="G514" s="40" t="s">
        <v>6782</v>
      </c>
      <c r="H514" s="40" t="s">
        <v>7829</v>
      </c>
      <c r="I514" s="39">
        <v>2</v>
      </c>
      <c r="J514" s="58">
        <v>44706</v>
      </c>
    </row>
    <row r="515" spans="4:10" ht="15.6" customHeight="1">
      <c r="D515" s="38">
        <v>513</v>
      </c>
      <c r="E515" s="39">
        <v>4202</v>
      </c>
      <c r="F515" s="40" t="s">
        <v>7972</v>
      </c>
      <c r="G515" s="40" t="s">
        <v>6782</v>
      </c>
      <c r="H515" s="40" t="s">
        <v>7829</v>
      </c>
      <c r="I515" s="39">
        <v>2</v>
      </c>
      <c r="J515" s="58">
        <v>44706</v>
      </c>
    </row>
    <row r="516" spans="4:10" ht="15.6" customHeight="1">
      <c r="D516" s="38">
        <v>514</v>
      </c>
      <c r="E516" s="39">
        <v>4631</v>
      </c>
      <c r="F516" s="40" t="s">
        <v>7973</v>
      </c>
      <c r="G516" s="40" t="s">
        <v>6808</v>
      </c>
      <c r="H516" s="40" t="s">
        <v>7974</v>
      </c>
      <c r="I516" s="39">
        <v>2</v>
      </c>
      <c r="J516" s="58">
        <v>44706</v>
      </c>
    </row>
    <row r="517" spans="4:10" ht="15.6" customHeight="1">
      <c r="D517" s="38">
        <v>515</v>
      </c>
      <c r="E517" s="39">
        <v>3090</v>
      </c>
      <c r="F517" s="40" t="s">
        <v>7975</v>
      </c>
      <c r="G517" s="40" t="s">
        <v>6808</v>
      </c>
      <c r="H517" s="40" t="s">
        <v>7974</v>
      </c>
      <c r="I517" s="39">
        <v>2</v>
      </c>
      <c r="J517" s="58">
        <v>44706</v>
      </c>
    </row>
    <row r="518" spans="4:10" ht="15.6" customHeight="1">
      <c r="D518" s="38">
        <v>516</v>
      </c>
      <c r="E518" s="39" t="s">
        <v>7976</v>
      </c>
      <c r="F518" s="40" t="s">
        <v>7977</v>
      </c>
      <c r="G518" s="40" t="s">
        <v>6792</v>
      </c>
      <c r="H518" s="40" t="s">
        <v>7978</v>
      </c>
      <c r="I518" s="39">
        <v>2</v>
      </c>
      <c r="J518" s="58">
        <v>44706</v>
      </c>
    </row>
    <row r="519" spans="4:10" ht="15.6" customHeight="1">
      <c r="D519" s="38">
        <v>517</v>
      </c>
      <c r="E519" s="39">
        <v>4634</v>
      </c>
      <c r="F519" s="40" t="s">
        <v>7979</v>
      </c>
      <c r="G519" s="40" t="s">
        <v>6792</v>
      </c>
      <c r="H519" s="40" t="s">
        <v>7978</v>
      </c>
      <c r="I519" s="39">
        <v>2</v>
      </c>
      <c r="J519" s="58">
        <v>44706</v>
      </c>
    </row>
    <row r="520" spans="4:10" ht="15.6" customHeight="1">
      <c r="D520" s="38">
        <v>518</v>
      </c>
      <c r="E520" s="39">
        <v>4566</v>
      </c>
      <c r="F520" s="40" t="s">
        <v>7980</v>
      </c>
      <c r="G520" s="40" t="s">
        <v>6792</v>
      </c>
      <c r="H520" s="40" t="s">
        <v>7978</v>
      </c>
      <c r="I520" s="39">
        <v>2</v>
      </c>
      <c r="J520" s="58">
        <v>44706</v>
      </c>
    </row>
    <row r="521" spans="4:10" ht="15.6" customHeight="1">
      <c r="D521" s="38">
        <v>519</v>
      </c>
      <c r="E521" s="39">
        <v>4837</v>
      </c>
      <c r="F521" s="40" t="s">
        <v>7981</v>
      </c>
      <c r="G521" s="40" t="s">
        <v>5281</v>
      </c>
      <c r="H521" s="40" t="s">
        <v>6926</v>
      </c>
      <c r="I521" s="39">
        <v>2</v>
      </c>
      <c r="J521" s="58">
        <v>44707</v>
      </c>
    </row>
    <row r="522" spans="4:10" ht="15.6" customHeight="1">
      <c r="D522" s="38">
        <v>520</v>
      </c>
      <c r="E522" s="39">
        <v>4950</v>
      </c>
      <c r="F522" s="40" t="s">
        <v>7982</v>
      </c>
      <c r="G522" s="40" t="s">
        <v>5281</v>
      </c>
      <c r="H522" s="40" t="s">
        <v>6926</v>
      </c>
      <c r="I522" s="39">
        <v>2</v>
      </c>
      <c r="J522" s="58">
        <v>44707</v>
      </c>
    </row>
    <row r="523" spans="4:10" ht="15.6" customHeight="1">
      <c r="D523" s="38">
        <v>521</v>
      </c>
      <c r="E523" s="39">
        <v>4568</v>
      </c>
      <c r="F523" s="40" t="s">
        <v>7307</v>
      </c>
      <c r="G523" s="40" t="s">
        <v>5281</v>
      </c>
      <c r="H523" s="40" t="s">
        <v>6926</v>
      </c>
      <c r="I523" s="39">
        <v>2</v>
      </c>
      <c r="J523" s="58">
        <v>44707</v>
      </c>
    </row>
    <row r="524" spans="4:10" ht="15.6" customHeight="1">
      <c r="D524" s="38">
        <v>522</v>
      </c>
      <c r="E524" s="39">
        <v>4228</v>
      </c>
      <c r="F524" s="40" t="s">
        <v>7983</v>
      </c>
      <c r="G524" s="40" t="s">
        <v>5281</v>
      </c>
      <c r="H524" s="40" t="s">
        <v>11</v>
      </c>
      <c r="I524" s="39">
        <v>2</v>
      </c>
      <c r="J524" s="58">
        <v>44707</v>
      </c>
    </row>
    <row r="525" spans="4:10" ht="15.6" customHeight="1">
      <c r="D525" s="38">
        <v>523</v>
      </c>
      <c r="E525" s="39">
        <v>4237</v>
      </c>
      <c r="F525" s="40" t="s">
        <v>7984</v>
      </c>
      <c r="G525" s="40" t="s">
        <v>5281</v>
      </c>
      <c r="H525" s="40" t="s">
        <v>11</v>
      </c>
      <c r="I525" s="39">
        <v>2</v>
      </c>
      <c r="J525" s="58">
        <v>44707</v>
      </c>
    </row>
    <row r="526" spans="4:10" ht="15.6" customHeight="1">
      <c r="D526" s="38">
        <v>524</v>
      </c>
      <c r="E526" s="39">
        <v>4194</v>
      </c>
      <c r="F526" s="40" t="s">
        <v>7985</v>
      </c>
      <c r="G526" s="40" t="s">
        <v>5281</v>
      </c>
      <c r="H526" s="40" t="s">
        <v>11</v>
      </c>
      <c r="I526" s="39">
        <v>2</v>
      </c>
      <c r="J526" s="58">
        <v>44707</v>
      </c>
    </row>
    <row r="527" spans="4:10" ht="15.6" customHeight="1">
      <c r="D527" s="38">
        <v>525</v>
      </c>
      <c r="E527" s="39">
        <v>2893</v>
      </c>
      <c r="F527" s="40" t="s">
        <v>7986</v>
      </c>
      <c r="G527" s="40" t="s">
        <v>6782</v>
      </c>
      <c r="H527" s="40" t="s">
        <v>7829</v>
      </c>
      <c r="I527" s="39">
        <v>2</v>
      </c>
      <c r="J527" s="58">
        <v>44707</v>
      </c>
    </row>
    <row r="528" spans="4:10" ht="15.6" customHeight="1">
      <c r="D528" s="38">
        <v>526</v>
      </c>
      <c r="E528" s="39">
        <v>4304</v>
      </c>
      <c r="F528" s="40" t="s">
        <v>7987</v>
      </c>
      <c r="G528" s="40" t="s">
        <v>6782</v>
      </c>
      <c r="H528" s="40" t="s">
        <v>7829</v>
      </c>
      <c r="I528" s="39">
        <v>2</v>
      </c>
      <c r="J528" s="58">
        <v>44707</v>
      </c>
    </row>
    <row r="529" spans="4:11" ht="15.6" customHeight="1">
      <c r="D529" s="38">
        <v>527</v>
      </c>
      <c r="E529" s="39">
        <v>3451</v>
      </c>
      <c r="F529" s="40" t="s">
        <v>7988</v>
      </c>
      <c r="G529" s="40" t="s">
        <v>6782</v>
      </c>
      <c r="H529" s="40" t="s">
        <v>7829</v>
      </c>
      <c r="I529" s="39">
        <v>2</v>
      </c>
      <c r="J529" s="58">
        <v>44707</v>
      </c>
    </row>
    <row r="530" spans="4:11" ht="15.6" customHeight="1">
      <c r="D530" s="38">
        <v>528</v>
      </c>
      <c r="E530" s="39">
        <v>2603</v>
      </c>
      <c r="F530" s="40" t="s">
        <v>7989</v>
      </c>
      <c r="G530" s="40" t="s">
        <v>6756</v>
      </c>
      <c r="H530" s="40" t="s">
        <v>7990</v>
      </c>
      <c r="I530" s="39">
        <v>2</v>
      </c>
      <c r="J530" s="58">
        <v>44707</v>
      </c>
    </row>
    <row r="531" spans="4:11" ht="15.6" customHeight="1">
      <c r="D531" s="38">
        <v>529</v>
      </c>
      <c r="E531" s="39">
        <v>3321</v>
      </c>
      <c r="F531" s="40" t="s">
        <v>7991</v>
      </c>
      <c r="G531" s="40" t="s">
        <v>6756</v>
      </c>
      <c r="H531" s="40" t="s">
        <v>7990</v>
      </c>
      <c r="I531" s="39">
        <v>2</v>
      </c>
      <c r="J531" s="58">
        <v>44707</v>
      </c>
    </row>
    <row r="532" spans="4:11" ht="15.6" customHeight="1">
      <c r="D532" s="38">
        <v>530</v>
      </c>
      <c r="E532" s="39">
        <v>4909</v>
      </c>
      <c r="F532" s="40" t="s">
        <v>7992</v>
      </c>
      <c r="G532" s="40" t="s">
        <v>6756</v>
      </c>
      <c r="H532" s="40" t="s">
        <v>7990</v>
      </c>
      <c r="I532" s="39">
        <v>2</v>
      </c>
      <c r="J532" s="58">
        <v>44707</v>
      </c>
    </row>
    <row r="533" spans="4:11" ht="15.6" customHeight="1">
      <c r="D533" s="38">
        <v>531</v>
      </c>
      <c r="E533" s="39">
        <v>4354</v>
      </c>
      <c r="F533" s="40" t="s">
        <v>7993</v>
      </c>
      <c r="G533" s="40" t="s">
        <v>6792</v>
      </c>
      <c r="H533" s="40" t="s">
        <v>7978</v>
      </c>
      <c r="I533" s="39">
        <v>2</v>
      </c>
      <c r="J533" s="58">
        <v>44707</v>
      </c>
    </row>
    <row r="534" spans="4:11" ht="15.6" customHeight="1">
      <c r="D534" s="38">
        <v>532</v>
      </c>
      <c r="E534" s="39">
        <v>4195</v>
      </c>
      <c r="F534" s="40" t="s">
        <v>7994</v>
      </c>
      <c r="G534" s="40" t="s">
        <v>6792</v>
      </c>
      <c r="H534" s="40" t="s">
        <v>7978</v>
      </c>
      <c r="I534" s="39">
        <v>2</v>
      </c>
      <c r="J534" s="58">
        <v>44707</v>
      </c>
    </row>
    <row r="535" spans="4:11" ht="15.6" customHeight="1">
      <c r="D535" s="38">
        <v>533</v>
      </c>
      <c r="E535" s="39">
        <v>4086</v>
      </c>
      <c r="F535" s="40" t="s">
        <v>7995</v>
      </c>
      <c r="G535" s="40" t="s">
        <v>6792</v>
      </c>
      <c r="H535" s="40" t="s">
        <v>7978</v>
      </c>
      <c r="I535" s="39">
        <v>2</v>
      </c>
      <c r="J535" s="58">
        <v>44707</v>
      </c>
    </row>
    <row r="536" spans="4:11" ht="15.6" customHeight="1">
      <c r="D536" s="38">
        <v>534</v>
      </c>
      <c r="E536" s="62" t="s">
        <v>7996</v>
      </c>
      <c r="F536" s="63" t="s">
        <v>7997</v>
      </c>
      <c r="G536" s="63" t="s">
        <v>6735</v>
      </c>
      <c r="H536" s="63" t="s">
        <v>7998</v>
      </c>
      <c r="I536" s="62">
        <v>2</v>
      </c>
      <c r="J536" s="58">
        <v>44708</v>
      </c>
    </row>
    <row r="537" spans="4:11" ht="15.6" customHeight="1">
      <c r="D537" s="38">
        <v>535</v>
      </c>
      <c r="E537" s="62" t="s">
        <v>7999</v>
      </c>
      <c r="F537" s="63" t="s">
        <v>8000</v>
      </c>
      <c r="G537" s="63" t="s">
        <v>6735</v>
      </c>
      <c r="H537" s="63" t="s">
        <v>7998</v>
      </c>
      <c r="I537" s="62">
        <v>2</v>
      </c>
      <c r="J537" s="58">
        <v>44708</v>
      </c>
    </row>
    <row r="538" spans="4:11" ht="15.6" customHeight="1">
      <c r="D538" s="38">
        <v>536</v>
      </c>
      <c r="E538" s="62">
        <v>2638</v>
      </c>
      <c r="F538" s="63" t="s">
        <v>8001</v>
      </c>
      <c r="G538" s="63" t="s">
        <v>6735</v>
      </c>
      <c r="H538" s="63" t="s">
        <v>7998</v>
      </c>
      <c r="I538" s="62">
        <v>2</v>
      </c>
      <c r="J538" s="58">
        <v>44708</v>
      </c>
    </row>
    <row r="539" spans="4:11" ht="15.6" customHeight="1">
      <c r="D539" s="38">
        <v>537</v>
      </c>
      <c r="E539" s="62">
        <v>3779</v>
      </c>
      <c r="F539" s="63" t="s">
        <v>8002</v>
      </c>
      <c r="G539" s="63" t="s">
        <v>5281</v>
      </c>
      <c r="H539" s="63" t="s">
        <v>6803</v>
      </c>
      <c r="I539" s="62">
        <v>2</v>
      </c>
      <c r="J539" s="58">
        <v>44708</v>
      </c>
    </row>
    <row r="540" spans="4:11" ht="15.6" customHeight="1">
      <c r="D540" s="38">
        <v>538</v>
      </c>
      <c r="E540" s="62">
        <v>3993</v>
      </c>
      <c r="F540" s="63" t="s">
        <v>8003</v>
      </c>
      <c r="G540" s="63" t="s">
        <v>5281</v>
      </c>
      <c r="H540" s="63" t="s">
        <v>6803</v>
      </c>
      <c r="I540" s="62">
        <v>2</v>
      </c>
      <c r="J540" s="58">
        <v>44708</v>
      </c>
    </row>
    <row r="541" spans="4:11" ht="15.6" customHeight="1">
      <c r="D541" s="38">
        <v>539</v>
      </c>
      <c r="E541" s="62">
        <v>4279</v>
      </c>
      <c r="F541" s="63" t="s">
        <v>8004</v>
      </c>
      <c r="G541" s="63" t="s">
        <v>5281</v>
      </c>
      <c r="H541" s="63" t="s">
        <v>6803</v>
      </c>
      <c r="I541" s="62">
        <v>2</v>
      </c>
      <c r="J541" s="58">
        <v>44708</v>
      </c>
    </row>
    <row r="542" spans="4:11" ht="15.6" customHeight="1">
      <c r="D542" s="38">
        <v>540</v>
      </c>
      <c r="E542" s="62">
        <v>2367</v>
      </c>
      <c r="F542" s="63" t="s">
        <v>8005</v>
      </c>
      <c r="G542" s="63" t="s">
        <v>5281</v>
      </c>
      <c r="H542" s="63" t="s">
        <v>6803</v>
      </c>
      <c r="I542" s="62">
        <v>2</v>
      </c>
      <c r="J542" s="58">
        <v>44708</v>
      </c>
    </row>
    <row r="543" spans="4:11" ht="15.6" customHeight="1">
      <c r="D543" s="38">
        <v>541</v>
      </c>
      <c r="E543" s="62">
        <v>2298</v>
      </c>
      <c r="F543" s="63" t="s">
        <v>8006</v>
      </c>
      <c r="G543" s="63" t="s">
        <v>5281</v>
      </c>
      <c r="H543" s="63" t="s">
        <v>7809</v>
      </c>
      <c r="I543" s="62">
        <v>2</v>
      </c>
      <c r="J543" s="58">
        <v>44711</v>
      </c>
      <c r="K543" s="64"/>
    </row>
    <row r="544" spans="4:11" ht="15.6" customHeight="1">
      <c r="D544" s="38">
        <v>542</v>
      </c>
      <c r="E544" s="62">
        <v>2527</v>
      </c>
      <c r="F544" s="63" t="s">
        <v>8007</v>
      </c>
      <c r="G544" s="63" t="s">
        <v>5281</v>
      </c>
      <c r="H544" s="63" t="s">
        <v>7809</v>
      </c>
      <c r="I544" s="62">
        <v>2</v>
      </c>
      <c r="J544" s="58">
        <v>44711</v>
      </c>
      <c r="K544" s="58"/>
    </row>
    <row r="545" spans="4:11" ht="15.6" customHeight="1">
      <c r="D545" s="38">
        <v>543</v>
      </c>
      <c r="E545" s="62">
        <v>2887</v>
      </c>
      <c r="F545" s="63" t="s">
        <v>8008</v>
      </c>
      <c r="G545" s="63" t="s">
        <v>5281</v>
      </c>
      <c r="H545" s="63" t="s">
        <v>7809</v>
      </c>
      <c r="I545" s="62">
        <v>2</v>
      </c>
      <c r="J545" s="58">
        <v>44711</v>
      </c>
      <c r="K545" s="64"/>
    </row>
    <row r="546" spans="4:11" ht="15.6" customHeight="1">
      <c r="D546" s="38">
        <v>544</v>
      </c>
      <c r="E546" s="62" t="s">
        <v>65</v>
      </c>
      <c r="F546" s="63" t="s">
        <v>8009</v>
      </c>
      <c r="G546" s="63" t="s">
        <v>5281</v>
      </c>
      <c r="H546" s="63" t="s">
        <v>7</v>
      </c>
      <c r="I546" s="62">
        <v>2</v>
      </c>
      <c r="J546" s="58">
        <v>44711</v>
      </c>
      <c r="K546" s="64"/>
    </row>
    <row r="547" spans="4:11" ht="15.6" customHeight="1">
      <c r="D547" s="38">
        <v>545</v>
      </c>
      <c r="E547" s="62">
        <v>4698</v>
      </c>
      <c r="F547" s="63" t="s">
        <v>1847</v>
      </c>
      <c r="G547" s="63" t="s">
        <v>5281</v>
      </c>
      <c r="H547" s="63" t="s">
        <v>7</v>
      </c>
      <c r="I547" s="62">
        <v>2</v>
      </c>
      <c r="J547" s="58">
        <v>44711</v>
      </c>
      <c r="K547" s="64"/>
    </row>
    <row r="548" spans="4:11" ht="15.6" customHeight="1">
      <c r="D548" s="38">
        <v>546</v>
      </c>
      <c r="E548" s="62" t="s">
        <v>59</v>
      </c>
      <c r="F548" s="63" t="s">
        <v>8010</v>
      </c>
      <c r="G548" s="63" t="s">
        <v>5281</v>
      </c>
      <c r="H548" s="63" t="s">
        <v>7</v>
      </c>
      <c r="I548" s="62">
        <v>2</v>
      </c>
      <c r="J548" s="58">
        <v>44711</v>
      </c>
      <c r="K548" s="64"/>
    </row>
    <row r="549" spans="4:11" ht="15.6" customHeight="1">
      <c r="D549" s="38">
        <v>547</v>
      </c>
      <c r="E549" s="62">
        <v>4921</v>
      </c>
      <c r="F549" s="63" t="s">
        <v>8011</v>
      </c>
      <c r="G549" s="63" t="s">
        <v>6782</v>
      </c>
      <c r="H549" s="63" t="s">
        <v>7829</v>
      </c>
      <c r="I549" s="62">
        <v>2</v>
      </c>
      <c r="J549" s="58">
        <v>44711</v>
      </c>
      <c r="K549" s="64"/>
    </row>
    <row r="550" spans="4:11" ht="15.6" customHeight="1">
      <c r="D550" s="38">
        <v>548</v>
      </c>
      <c r="E550" s="62" t="s">
        <v>8012</v>
      </c>
      <c r="F550" s="63" t="s">
        <v>8013</v>
      </c>
      <c r="G550" s="63" t="s">
        <v>6782</v>
      </c>
      <c r="H550" s="63" t="s">
        <v>8014</v>
      </c>
      <c r="I550" s="62">
        <v>2</v>
      </c>
      <c r="J550" s="58">
        <v>44711</v>
      </c>
      <c r="K550" s="64"/>
    </row>
    <row r="551" spans="4:11" ht="15.6" customHeight="1">
      <c r="D551" s="38">
        <v>549</v>
      </c>
      <c r="E551" s="62">
        <v>4133</v>
      </c>
      <c r="F551" s="63" t="s">
        <v>8015</v>
      </c>
      <c r="G551" s="63" t="s">
        <v>6782</v>
      </c>
      <c r="H551" s="63" t="s">
        <v>8014</v>
      </c>
      <c r="I551" s="62">
        <v>2</v>
      </c>
      <c r="J551" s="58">
        <v>44711</v>
      </c>
      <c r="K551" s="64"/>
    </row>
    <row r="552" spans="4:11" ht="15.6" customHeight="1">
      <c r="D552" s="38">
        <v>550</v>
      </c>
      <c r="E552" s="62">
        <v>4516</v>
      </c>
      <c r="F552" s="63" t="s">
        <v>8016</v>
      </c>
      <c r="G552" s="63" t="s">
        <v>6756</v>
      </c>
      <c r="H552" s="63" t="s">
        <v>7040</v>
      </c>
      <c r="I552" s="62">
        <v>2</v>
      </c>
      <c r="J552" s="58">
        <v>44711</v>
      </c>
      <c r="K552" s="64"/>
    </row>
    <row r="553" spans="4:11" ht="15.6" customHeight="1">
      <c r="D553" s="38">
        <v>551</v>
      </c>
      <c r="E553" s="62" t="s">
        <v>8017</v>
      </c>
      <c r="F553" s="63" t="s">
        <v>8018</v>
      </c>
      <c r="G553" s="63" t="s">
        <v>6756</v>
      </c>
      <c r="H553" s="63" t="s">
        <v>7040</v>
      </c>
      <c r="I553" s="62">
        <v>2</v>
      </c>
      <c r="J553" s="58">
        <v>44711</v>
      </c>
      <c r="K553" s="64"/>
    </row>
    <row r="554" spans="4:11" ht="15.6" customHeight="1">
      <c r="D554" s="38">
        <v>552</v>
      </c>
      <c r="E554" s="62">
        <v>4888</v>
      </c>
      <c r="F554" s="63" t="s">
        <v>8019</v>
      </c>
      <c r="G554" s="63" t="s">
        <v>6756</v>
      </c>
      <c r="H554" s="63" t="s">
        <v>7040</v>
      </c>
      <c r="I554" s="62">
        <v>2</v>
      </c>
      <c r="J554" s="58">
        <v>44711</v>
      </c>
      <c r="K554" s="64"/>
    </row>
    <row r="555" spans="4:11" ht="15.6" customHeight="1">
      <c r="D555" s="38">
        <v>553</v>
      </c>
      <c r="E555" s="62">
        <v>2558</v>
      </c>
      <c r="F555" s="63" t="s">
        <v>8020</v>
      </c>
      <c r="G555" s="63" t="s">
        <v>6792</v>
      </c>
      <c r="H555" s="63" t="s">
        <v>7978</v>
      </c>
      <c r="I555" s="62">
        <v>2</v>
      </c>
      <c r="J555" s="58">
        <v>44711</v>
      </c>
      <c r="K555" s="64"/>
    </row>
    <row r="556" spans="4:11" ht="15.6" customHeight="1">
      <c r="D556" s="38">
        <v>554</v>
      </c>
      <c r="E556" s="62">
        <v>3972</v>
      </c>
      <c r="F556" s="63" t="s">
        <v>8021</v>
      </c>
      <c r="G556" s="63" t="s">
        <v>6792</v>
      </c>
      <c r="H556" s="63" t="s">
        <v>8022</v>
      </c>
      <c r="I556" s="62">
        <v>2</v>
      </c>
      <c r="J556" s="58">
        <v>44711</v>
      </c>
      <c r="K556" s="64"/>
    </row>
    <row r="557" spans="4:11" ht="15.6" customHeight="1">
      <c r="D557" s="38">
        <v>555</v>
      </c>
      <c r="E557" s="62">
        <v>3988</v>
      </c>
      <c r="F557" s="63" t="s">
        <v>8023</v>
      </c>
      <c r="G557" s="63" t="s">
        <v>6792</v>
      </c>
      <c r="H557" s="63" t="s">
        <v>8024</v>
      </c>
      <c r="I557" s="62">
        <v>2</v>
      </c>
      <c r="J557" s="58">
        <v>44711</v>
      </c>
      <c r="K557" s="64"/>
    </row>
    <row r="558" spans="4:11" ht="15.6" customHeight="1">
      <c r="D558" s="38">
        <v>556</v>
      </c>
      <c r="E558" s="62">
        <v>3403</v>
      </c>
      <c r="F558" s="63" t="s">
        <v>8025</v>
      </c>
      <c r="G558" s="63" t="s">
        <v>5281</v>
      </c>
      <c r="H558" s="63" t="s">
        <v>7809</v>
      </c>
      <c r="I558" s="62">
        <v>2</v>
      </c>
      <c r="J558" s="58">
        <v>44712</v>
      </c>
      <c r="K558" s="64"/>
    </row>
    <row r="559" spans="4:11" ht="15.6" customHeight="1">
      <c r="D559" s="38">
        <v>557</v>
      </c>
      <c r="E559" s="62">
        <v>3407</v>
      </c>
      <c r="F559" s="63" t="s">
        <v>8026</v>
      </c>
      <c r="G559" s="63" t="s">
        <v>5281</v>
      </c>
      <c r="H559" s="63" t="s">
        <v>7809</v>
      </c>
      <c r="I559" s="62">
        <v>2</v>
      </c>
      <c r="J559" s="58">
        <v>44712</v>
      </c>
      <c r="K559" s="64"/>
    </row>
    <row r="560" spans="4:11" ht="15.6" customHeight="1">
      <c r="D560" s="38">
        <v>558</v>
      </c>
      <c r="E560" s="62">
        <v>4162</v>
      </c>
      <c r="F560" s="63" t="s">
        <v>8027</v>
      </c>
      <c r="G560" s="63" t="s">
        <v>5281</v>
      </c>
      <c r="H560" s="63" t="s">
        <v>7809</v>
      </c>
      <c r="I560" s="62">
        <v>2</v>
      </c>
      <c r="J560" s="58">
        <v>44712</v>
      </c>
      <c r="K560" s="64"/>
    </row>
    <row r="561" spans="4:11" ht="15.6" customHeight="1">
      <c r="D561" s="38">
        <v>559</v>
      </c>
      <c r="E561" s="62">
        <v>2759</v>
      </c>
      <c r="F561" s="63" t="s">
        <v>8028</v>
      </c>
      <c r="G561" s="63" t="s">
        <v>5281</v>
      </c>
      <c r="H561" s="63" t="s">
        <v>7</v>
      </c>
      <c r="I561" s="62">
        <v>2</v>
      </c>
      <c r="J561" s="58">
        <v>44712</v>
      </c>
      <c r="K561" s="64"/>
    </row>
    <row r="562" spans="4:11" ht="15.6" customHeight="1">
      <c r="D562" s="38">
        <v>560</v>
      </c>
      <c r="E562" s="62">
        <v>3983</v>
      </c>
      <c r="F562" s="63" t="s">
        <v>674</v>
      </c>
      <c r="G562" s="63" t="s">
        <v>5281</v>
      </c>
      <c r="H562" s="63" t="s">
        <v>7</v>
      </c>
      <c r="I562" s="62">
        <v>2</v>
      </c>
      <c r="J562" s="58">
        <v>44712</v>
      </c>
      <c r="K562" s="64"/>
    </row>
    <row r="563" spans="4:11" ht="15.6" customHeight="1">
      <c r="D563" s="38">
        <v>561</v>
      </c>
      <c r="E563" s="62">
        <v>4804</v>
      </c>
      <c r="F563" s="63" t="s">
        <v>1826</v>
      </c>
      <c r="G563" s="63" t="s">
        <v>5281</v>
      </c>
      <c r="H563" s="63" t="s">
        <v>7</v>
      </c>
      <c r="I563" s="62">
        <v>2</v>
      </c>
      <c r="J563" s="58">
        <v>44712</v>
      </c>
      <c r="K563" s="64"/>
    </row>
    <row r="564" spans="4:11" ht="15.6" customHeight="1">
      <c r="D564" s="38">
        <v>562</v>
      </c>
      <c r="E564" s="62">
        <v>4184</v>
      </c>
      <c r="F564" s="63" t="s">
        <v>1809</v>
      </c>
      <c r="G564" s="63" t="s">
        <v>5281</v>
      </c>
      <c r="H564" s="63" t="s">
        <v>7</v>
      </c>
      <c r="I564" s="62">
        <v>2</v>
      </c>
      <c r="J564" s="58">
        <v>44712</v>
      </c>
      <c r="K564" s="65"/>
    </row>
    <row r="565" spans="4:11" ht="15.6" customHeight="1">
      <c r="D565" s="38">
        <v>563</v>
      </c>
      <c r="E565" s="62">
        <v>3055</v>
      </c>
      <c r="F565" s="63" t="s">
        <v>8029</v>
      </c>
      <c r="G565" s="63" t="s">
        <v>6782</v>
      </c>
      <c r="H565" s="63" t="s">
        <v>8014</v>
      </c>
      <c r="I565" s="62">
        <v>2</v>
      </c>
      <c r="J565" s="58">
        <v>44712</v>
      </c>
      <c r="K565" s="64"/>
    </row>
    <row r="566" spans="4:11" ht="15.6" customHeight="1">
      <c r="D566" s="38">
        <v>564</v>
      </c>
      <c r="E566" s="62">
        <v>3465</v>
      </c>
      <c r="F566" s="63" t="s">
        <v>8030</v>
      </c>
      <c r="G566" s="63" t="s">
        <v>6782</v>
      </c>
      <c r="H566" s="63" t="s">
        <v>8014</v>
      </c>
      <c r="I566" s="62">
        <v>2</v>
      </c>
      <c r="J566" s="58">
        <v>44712</v>
      </c>
      <c r="K566" s="64"/>
    </row>
    <row r="567" spans="4:11" ht="15.6" customHeight="1">
      <c r="D567" s="38">
        <v>565</v>
      </c>
      <c r="E567" s="62">
        <v>3107</v>
      </c>
      <c r="F567" s="63" t="s">
        <v>8031</v>
      </c>
      <c r="G567" s="63" t="s">
        <v>6782</v>
      </c>
      <c r="H567" s="63" t="s">
        <v>8014</v>
      </c>
      <c r="I567" s="62">
        <v>2</v>
      </c>
      <c r="J567" s="58">
        <v>44712</v>
      </c>
      <c r="K567" s="64"/>
    </row>
    <row r="568" spans="4:11" ht="15.6" customHeight="1">
      <c r="D568" s="38">
        <v>566</v>
      </c>
      <c r="E568" s="62">
        <v>3160</v>
      </c>
      <c r="F568" s="63" t="s">
        <v>8032</v>
      </c>
      <c r="G568" s="63" t="s">
        <v>6756</v>
      </c>
      <c r="H568" s="63" t="s">
        <v>8033</v>
      </c>
      <c r="I568" s="62">
        <v>2</v>
      </c>
      <c r="J568" s="58">
        <v>44712</v>
      </c>
      <c r="K568" s="64"/>
    </row>
    <row r="569" spans="4:11" ht="15.6" customHeight="1">
      <c r="D569" s="38">
        <v>567</v>
      </c>
      <c r="E569" s="62">
        <v>4532</v>
      </c>
      <c r="F569" s="63" t="s">
        <v>8034</v>
      </c>
      <c r="G569" s="63" t="s">
        <v>6756</v>
      </c>
      <c r="H569" s="63" t="s">
        <v>8035</v>
      </c>
      <c r="I569" s="62">
        <v>2</v>
      </c>
      <c r="J569" s="58">
        <v>44712</v>
      </c>
      <c r="K569" s="64"/>
    </row>
    <row r="570" spans="4:11" ht="15.6" customHeight="1">
      <c r="D570" s="38">
        <v>568</v>
      </c>
      <c r="E570" s="62" t="s">
        <v>8036</v>
      </c>
      <c r="F570" s="63" t="s">
        <v>8037</v>
      </c>
      <c r="G570" s="63" t="s">
        <v>6756</v>
      </c>
      <c r="H570" s="63" t="s">
        <v>8035</v>
      </c>
      <c r="I570" s="62">
        <v>2</v>
      </c>
      <c r="J570" s="58">
        <v>44712</v>
      </c>
      <c r="K570" s="64"/>
    </row>
    <row r="571" spans="4:11" ht="15.6" customHeight="1">
      <c r="D571" s="38">
        <v>569</v>
      </c>
      <c r="E571" s="62" t="s">
        <v>8038</v>
      </c>
      <c r="F571" s="63" t="s">
        <v>8039</v>
      </c>
      <c r="G571" s="63" t="s">
        <v>6756</v>
      </c>
      <c r="H571" s="63" t="s">
        <v>8035</v>
      </c>
      <c r="I571" s="62">
        <v>2</v>
      </c>
      <c r="J571" s="58">
        <v>44712</v>
      </c>
      <c r="K571" s="64"/>
    </row>
    <row r="572" spans="4:11" ht="15.6" customHeight="1">
      <c r="D572" s="38">
        <v>570</v>
      </c>
      <c r="E572" s="62">
        <v>4482</v>
      </c>
      <c r="F572" s="63" t="s">
        <v>8040</v>
      </c>
      <c r="G572" s="63" t="s">
        <v>6792</v>
      </c>
      <c r="H572" s="63" t="s">
        <v>8041</v>
      </c>
      <c r="I572" s="62">
        <v>2</v>
      </c>
      <c r="J572" s="58">
        <v>44712</v>
      </c>
      <c r="K572" s="64"/>
    </row>
    <row r="573" spans="4:11" ht="15.6" customHeight="1">
      <c r="D573" s="38">
        <v>571</v>
      </c>
      <c r="E573" s="62">
        <v>4127</v>
      </c>
      <c r="F573" s="63" t="s">
        <v>8042</v>
      </c>
      <c r="G573" s="63" t="s">
        <v>6792</v>
      </c>
      <c r="H573" s="63" t="s">
        <v>8043</v>
      </c>
      <c r="I573" s="62">
        <v>2</v>
      </c>
      <c r="J573" s="58">
        <v>44712</v>
      </c>
      <c r="K573" s="64"/>
    </row>
    <row r="574" spans="4:11" ht="15.6" customHeight="1">
      <c r="D574" s="38">
        <v>572</v>
      </c>
      <c r="E574" s="62">
        <v>3661</v>
      </c>
      <c r="F574" s="63" t="s">
        <v>8044</v>
      </c>
      <c r="G574" s="63" t="s">
        <v>6792</v>
      </c>
      <c r="H574" s="63" t="s">
        <v>8043</v>
      </c>
      <c r="I574" s="62">
        <v>2</v>
      </c>
      <c r="J574" s="58">
        <v>44712</v>
      </c>
      <c r="K574" s="64"/>
    </row>
    <row r="575" spans="4:11" ht="15.6" customHeight="1">
      <c r="D575" s="38">
        <v>573</v>
      </c>
      <c r="E575" s="62">
        <v>4284</v>
      </c>
      <c r="F575" s="63" t="s">
        <v>8045</v>
      </c>
      <c r="G575" s="63" t="s">
        <v>5281</v>
      </c>
      <c r="H575" s="63" t="s">
        <v>7809</v>
      </c>
      <c r="I575" s="62">
        <v>2</v>
      </c>
      <c r="J575" s="58">
        <v>44713</v>
      </c>
      <c r="K575" s="64"/>
    </row>
    <row r="576" spans="4:11" ht="15.6" customHeight="1">
      <c r="D576" s="38">
        <v>574</v>
      </c>
      <c r="E576" s="62">
        <v>4649</v>
      </c>
      <c r="F576" s="63" t="s">
        <v>8046</v>
      </c>
      <c r="G576" s="63" t="s">
        <v>5281</v>
      </c>
      <c r="H576" s="63" t="s">
        <v>7809</v>
      </c>
      <c r="I576" s="62">
        <v>2</v>
      </c>
      <c r="J576" s="58">
        <v>44713</v>
      </c>
      <c r="K576" s="64"/>
    </row>
    <row r="577" spans="4:11" ht="15.6" customHeight="1">
      <c r="D577" s="38">
        <v>575</v>
      </c>
      <c r="E577" s="62">
        <v>4255</v>
      </c>
      <c r="F577" s="63" t="s">
        <v>8047</v>
      </c>
      <c r="G577" s="63" t="s">
        <v>5281</v>
      </c>
      <c r="H577" s="63" t="s">
        <v>7809</v>
      </c>
      <c r="I577" s="62">
        <v>2</v>
      </c>
      <c r="J577" s="58">
        <v>44713</v>
      </c>
      <c r="K577" s="64"/>
    </row>
    <row r="578" spans="4:11" ht="15.6" customHeight="1">
      <c r="D578" s="38">
        <v>576</v>
      </c>
      <c r="E578" s="62">
        <v>4327</v>
      </c>
      <c r="F578" s="63" t="s">
        <v>8048</v>
      </c>
      <c r="G578" s="63" t="s">
        <v>5281</v>
      </c>
      <c r="H578" s="63" t="s">
        <v>7809</v>
      </c>
      <c r="I578" s="62">
        <v>2</v>
      </c>
      <c r="J578" s="58">
        <v>44713</v>
      </c>
      <c r="K578" s="64"/>
    </row>
    <row r="579" spans="4:11" ht="15.6" customHeight="1">
      <c r="D579" s="38">
        <v>577</v>
      </c>
      <c r="E579" s="62">
        <v>4977</v>
      </c>
      <c r="F579" s="63" t="s">
        <v>1736</v>
      </c>
      <c r="G579" s="63" t="s">
        <v>5281</v>
      </c>
      <c r="H579" s="63" t="s">
        <v>7</v>
      </c>
      <c r="I579" s="62">
        <v>2</v>
      </c>
      <c r="J579" s="58">
        <v>44713</v>
      </c>
      <c r="K579" s="64"/>
    </row>
    <row r="580" spans="4:11" ht="15.6" customHeight="1">
      <c r="D580" s="38">
        <v>578</v>
      </c>
      <c r="E580" s="62">
        <v>3890</v>
      </c>
      <c r="F580" s="63" t="s">
        <v>821</v>
      </c>
      <c r="G580" s="63" t="s">
        <v>5281</v>
      </c>
      <c r="H580" s="63" t="s">
        <v>7</v>
      </c>
      <c r="I580" s="62">
        <v>2</v>
      </c>
      <c r="J580" s="58">
        <v>44713</v>
      </c>
      <c r="K580" s="58"/>
    </row>
    <row r="581" spans="4:11" ht="15.6" customHeight="1">
      <c r="D581" s="38">
        <v>579</v>
      </c>
      <c r="E581" s="62">
        <v>3601</v>
      </c>
      <c r="F581" s="63" t="s">
        <v>6222</v>
      </c>
      <c r="G581" s="63" t="s">
        <v>5281</v>
      </c>
      <c r="H581" s="63" t="s">
        <v>7</v>
      </c>
      <c r="I581" s="62">
        <v>2</v>
      </c>
      <c r="J581" s="58">
        <v>44713</v>
      </c>
      <c r="K581" s="64"/>
    </row>
    <row r="582" spans="4:11" ht="15.6" customHeight="1">
      <c r="D582" s="38">
        <v>580</v>
      </c>
      <c r="E582" s="62" t="s">
        <v>69</v>
      </c>
      <c r="F582" s="63" t="s">
        <v>8049</v>
      </c>
      <c r="G582" s="63" t="s">
        <v>5281</v>
      </c>
      <c r="H582" s="63" t="s">
        <v>7</v>
      </c>
      <c r="I582" s="62">
        <v>2</v>
      </c>
      <c r="J582" s="58">
        <v>44713</v>
      </c>
      <c r="K582" s="64"/>
    </row>
    <row r="583" spans="4:11" ht="15.6" customHeight="1">
      <c r="D583" s="38">
        <v>581</v>
      </c>
      <c r="E583" s="62">
        <v>4584</v>
      </c>
      <c r="F583" s="63" t="s">
        <v>8050</v>
      </c>
      <c r="G583" s="63" t="s">
        <v>6782</v>
      </c>
      <c r="H583" s="63" t="s">
        <v>8014</v>
      </c>
      <c r="I583" s="62">
        <v>2</v>
      </c>
      <c r="J583" s="58">
        <v>44713</v>
      </c>
      <c r="K583" s="58"/>
    </row>
    <row r="584" spans="4:11" ht="15.6" customHeight="1">
      <c r="D584" s="38">
        <v>582</v>
      </c>
      <c r="E584" s="62">
        <v>4072</v>
      </c>
      <c r="F584" s="63" t="s">
        <v>8051</v>
      </c>
      <c r="G584" s="63" t="s">
        <v>6782</v>
      </c>
      <c r="H584" s="63" t="s">
        <v>6784</v>
      </c>
      <c r="I584" s="62">
        <v>2</v>
      </c>
      <c r="J584" s="58">
        <v>44713</v>
      </c>
      <c r="K584" s="64"/>
    </row>
    <row r="585" spans="4:11" ht="15.6" customHeight="1">
      <c r="D585" s="38">
        <v>583</v>
      </c>
      <c r="E585" s="62">
        <v>4113</v>
      </c>
      <c r="F585" s="63" t="s">
        <v>8052</v>
      </c>
      <c r="G585" s="63" t="s">
        <v>6765</v>
      </c>
      <c r="H585" s="63" t="s">
        <v>7526</v>
      </c>
      <c r="I585" s="62">
        <v>2</v>
      </c>
      <c r="J585" s="58">
        <v>44713</v>
      </c>
      <c r="K585" s="64"/>
    </row>
    <row r="586" spans="4:11" ht="15.6" customHeight="1">
      <c r="D586" s="38">
        <v>584</v>
      </c>
      <c r="E586" s="62">
        <v>4722</v>
      </c>
      <c r="F586" s="63" t="s">
        <v>8053</v>
      </c>
      <c r="G586" s="63" t="s">
        <v>6756</v>
      </c>
      <c r="H586" s="63" t="s">
        <v>8035</v>
      </c>
      <c r="I586" s="62">
        <v>2</v>
      </c>
      <c r="J586" s="58">
        <v>44713</v>
      </c>
      <c r="K586" s="64"/>
    </row>
    <row r="587" spans="4:11" ht="15.6" customHeight="1">
      <c r="D587" s="38">
        <v>585</v>
      </c>
      <c r="E587" s="62">
        <v>3366</v>
      </c>
      <c r="F587" s="63" t="s">
        <v>8054</v>
      </c>
      <c r="G587" s="63" t="s">
        <v>6756</v>
      </c>
      <c r="H587" s="63" t="s">
        <v>8035</v>
      </c>
      <c r="I587" s="62">
        <v>2</v>
      </c>
      <c r="J587" s="58">
        <v>44713</v>
      </c>
      <c r="K587" s="64"/>
    </row>
    <row r="588" spans="4:11" ht="15.6" customHeight="1">
      <c r="D588" s="38">
        <v>586</v>
      </c>
      <c r="E588" s="62">
        <v>2809</v>
      </c>
      <c r="F588" s="63" t="s">
        <v>8055</v>
      </c>
      <c r="G588" s="63" t="s">
        <v>6756</v>
      </c>
      <c r="H588" s="63" t="s">
        <v>8035</v>
      </c>
      <c r="I588" s="62">
        <v>2</v>
      </c>
      <c r="J588" s="58">
        <v>44713</v>
      </c>
      <c r="K588" s="64"/>
    </row>
    <row r="589" spans="4:11" ht="15.6" customHeight="1">
      <c r="D589" s="38">
        <v>587</v>
      </c>
      <c r="E589" s="62">
        <v>4240</v>
      </c>
      <c r="F589" s="63" t="s">
        <v>8056</v>
      </c>
      <c r="G589" s="63" t="s">
        <v>6850</v>
      </c>
      <c r="H589" s="63" t="s">
        <v>8057</v>
      </c>
      <c r="I589" s="62">
        <v>2</v>
      </c>
      <c r="J589" s="58">
        <v>44713</v>
      </c>
      <c r="K589" s="64"/>
    </row>
    <row r="590" spans="4:11" ht="15.6" customHeight="1">
      <c r="D590" s="38">
        <v>588</v>
      </c>
      <c r="E590" s="62">
        <v>3592</v>
      </c>
      <c r="F590" s="63" t="s">
        <v>8058</v>
      </c>
      <c r="G590" s="63" t="s">
        <v>6850</v>
      </c>
      <c r="H590" s="63" t="s">
        <v>8057</v>
      </c>
      <c r="I590" s="62">
        <v>2</v>
      </c>
      <c r="J590" s="58">
        <v>44713</v>
      </c>
      <c r="K590" s="64"/>
    </row>
    <row r="591" spans="4:11" ht="15.6" customHeight="1">
      <c r="D591" s="38">
        <v>589</v>
      </c>
      <c r="E591" s="62">
        <v>3529</v>
      </c>
      <c r="F591" s="63" t="s">
        <v>8059</v>
      </c>
      <c r="G591" s="63" t="s">
        <v>5281</v>
      </c>
      <c r="H591" s="63" t="s">
        <v>7809</v>
      </c>
      <c r="I591" s="62">
        <v>2</v>
      </c>
      <c r="J591" s="58">
        <v>44714</v>
      </c>
      <c r="K591" s="64"/>
    </row>
    <row r="592" spans="4:11" ht="15.6" customHeight="1">
      <c r="D592" s="38">
        <v>590</v>
      </c>
      <c r="E592" s="62">
        <v>3658</v>
      </c>
      <c r="F592" s="63" t="s">
        <v>8060</v>
      </c>
      <c r="G592" s="63" t="s">
        <v>5281</v>
      </c>
      <c r="H592" s="63" t="s">
        <v>7809</v>
      </c>
      <c r="I592" s="62">
        <v>2</v>
      </c>
      <c r="J592" s="58">
        <v>44714</v>
      </c>
      <c r="K592" s="64"/>
    </row>
    <row r="593" spans="4:11" ht="15.6" customHeight="1">
      <c r="D593" s="38">
        <v>591</v>
      </c>
      <c r="E593" s="62">
        <v>3842</v>
      </c>
      <c r="F593" s="63" t="s">
        <v>8061</v>
      </c>
      <c r="G593" s="63" t="s">
        <v>5281</v>
      </c>
      <c r="H593" s="63" t="s">
        <v>7809</v>
      </c>
      <c r="I593" s="62">
        <v>2</v>
      </c>
      <c r="J593" s="58">
        <v>44714</v>
      </c>
      <c r="K593" s="64"/>
    </row>
    <row r="594" spans="4:11" ht="15.6" customHeight="1">
      <c r="D594" s="38">
        <v>592</v>
      </c>
      <c r="E594" s="62">
        <v>4129</v>
      </c>
      <c r="F594" s="63" t="s">
        <v>8062</v>
      </c>
      <c r="G594" s="63" t="s">
        <v>5281</v>
      </c>
      <c r="H594" s="63" t="s">
        <v>7809</v>
      </c>
      <c r="I594" s="62">
        <v>2</v>
      </c>
      <c r="J594" s="58">
        <v>44714</v>
      </c>
      <c r="K594" s="64"/>
    </row>
    <row r="595" spans="4:11" ht="15.6" customHeight="1">
      <c r="D595" s="38">
        <v>593</v>
      </c>
      <c r="E595" s="62">
        <v>3627</v>
      </c>
      <c r="F595" s="63" t="s">
        <v>8063</v>
      </c>
      <c r="G595" s="63" t="s">
        <v>5281</v>
      </c>
      <c r="H595" s="63" t="s">
        <v>7</v>
      </c>
      <c r="I595" s="62">
        <v>2</v>
      </c>
      <c r="J595" s="58">
        <v>44714</v>
      </c>
      <c r="K595" s="64"/>
    </row>
    <row r="596" spans="4:11" ht="15.6" customHeight="1">
      <c r="D596" s="38">
        <v>594</v>
      </c>
      <c r="E596" s="62">
        <v>2399</v>
      </c>
      <c r="F596" s="63" t="s">
        <v>8064</v>
      </c>
      <c r="G596" s="63" t="s">
        <v>5281</v>
      </c>
      <c r="H596" s="63" t="s">
        <v>7</v>
      </c>
      <c r="I596" s="62">
        <v>2</v>
      </c>
      <c r="J596" s="58">
        <v>44714</v>
      </c>
      <c r="K596" s="64"/>
    </row>
    <row r="597" spans="4:11" ht="15.6" customHeight="1">
      <c r="D597" s="38">
        <v>595</v>
      </c>
      <c r="E597" s="62">
        <v>4529</v>
      </c>
      <c r="F597" s="63" t="s">
        <v>619</v>
      </c>
      <c r="G597" s="63" t="s">
        <v>5281</v>
      </c>
      <c r="H597" s="63" t="s">
        <v>3</v>
      </c>
      <c r="I597" s="62">
        <v>2</v>
      </c>
      <c r="J597" s="58">
        <v>44714</v>
      </c>
      <c r="K597" s="64"/>
    </row>
    <row r="598" spans="4:11" ht="15.6" customHeight="1">
      <c r="D598" s="38">
        <v>596</v>
      </c>
      <c r="E598" s="62">
        <v>2837</v>
      </c>
      <c r="F598" s="63" t="s">
        <v>6229</v>
      </c>
      <c r="G598" s="63" t="s">
        <v>5281</v>
      </c>
      <c r="H598" s="63" t="s">
        <v>7</v>
      </c>
      <c r="I598" s="62">
        <v>2</v>
      </c>
      <c r="J598" s="58">
        <v>44714</v>
      </c>
      <c r="K598" s="64"/>
    </row>
    <row r="599" spans="4:11" ht="15.6" customHeight="1">
      <c r="D599" s="38">
        <v>597</v>
      </c>
      <c r="E599" s="62">
        <v>3466</v>
      </c>
      <c r="F599" s="63" t="s">
        <v>8065</v>
      </c>
      <c r="G599" s="63" t="s">
        <v>6782</v>
      </c>
      <c r="H599" s="63" t="s">
        <v>6784</v>
      </c>
      <c r="I599" s="62">
        <v>2</v>
      </c>
      <c r="J599" s="58">
        <v>44714</v>
      </c>
      <c r="K599" s="64"/>
    </row>
    <row r="600" spans="4:11" ht="15.6" customHeight="1">
      <c r="D600" s="38">
        <v>598</v>
      </c>
      <c r="E600" s="62">
        <v>3998</v>
      </c>
      <c r="F600" s="63" t="s">
        <v>8066</v>
      </c>
      <c r="G600" s="63" t="s">
        <v>6782</v>
      </c>
      <c r="H600" s="63" t="s">
        <v>6784</v>
      </c>
      <c r="I600" s="62">
        <v>2</v>
      </c>
      <c r="J600" s="58">
        <v>44714</v>
      </c>
      <c r="K600" s="64"/>
    </row>
    <row r="601" spans="4:11" ht="15.6" customHeight="1">
      <c r="D601" s="38">
        <v>599</v>
      </c>
      <c r="E601" s="62">
        <v>3169</v>
      </c>
      <c r="F601" s="63" t="s">
        <v>8067</v>
      </c>
      <c r="G601" s="63" t="s">
        <v>6826</v>
      </c>
      <c r="H601" s="63" t="s">
        <v>8068</v>
      </c>
      <c r="I601" s="62">
        <v>2</v>
      </c>
      <c r="J601" s="58">
        <v>44714</v>
      </c>
      <c r="K601" s="64"/>
    </row>
    <row r="602" spans="4:11" ht="15.6" customHeight="1">
      <c r="D602" s="38">
        <v>600</v>
      </c>
      <c r="E602" s="62">
        <v>2869</v>
      </c>
      <c r="F602" s="63" t="s">
        <v>8069</v>
      </c>
      <c r="G602" s="63" t="s">
        <v>6756</v>
      </c>
      <c r="H602" s="63" t="s">
        <v>7040</v>
      </c>
      <c r="I602" s="62">
        <v>2</v>
      </c>
      <c r="J602" s="58">
        <v>44714</v>
      </c>
      <c r="K602" s="64"/>
    </row>
    <row r="603" spans="4:11" ht="15.6" customHeight="1">
      <c r="D603" s="38">
        <v>601</v>
      </c>
      <c r="E603" s="62">
        <v>2768</v>
      </c>
      <c r="F603" s="63" t="s">
        <v>8070</v>
      </c>
      <c r="G603" s="63" t="s">
        <v>6756</v>
      </c>
      <c r="H603" s="63" t="s">
        <v>7040</v>
      </c>
      <c r="I603" s="62">
        <v>2</v>
      </c>
      <c r="J603" s="58">
        <v>44714</v>
      </c>
      <c r="K603" s="64"/>
    </row>
    <row r="604" spans="4:11" ht="15.6" customHeight="1">
      <c r="D604" s="38">
        <v>602</v>
      </c>
      <c r="E604" s="62">
        <v>2421</v>
      </c>
      <c r="F604" s="63" t="s">
        <v>8071</v>
      </c>
      <c r="G604" s="63" t="s">
        <v>6735</v>
      </c>
      <c r="H604" s="63" t="s">
        <v>7176</v>
      </c>
      <c r="I604" s="62">
        <v>2</v>
      </c>
      <c r="J604" s="58">
        <v>44718</v>
      </c>
      <c r="K604" s="64"/>
    </row>
    <row r="605" spans="4:11" ht="15.6" customHeight="1">
      <c r="D605" s="38">
        <v>603</v>
      </c>
      <c r="E605" s="62">
        <v>2001</v>
      </c>
      <c r="F605" s="63" t="s">
        <v>8072</v>
      </c>
      <c r="G605" s="63" t="s">
        <v>6735</v>
      </c>
      <c r="H605" s="63" t="s">
        <v>7176</v>
      </c>
      <c r="I605" s="62">
        <v>2</v>
      </c>
      <c r="J605" s="58">
        <v>44718</v>
      </c>
      <c r="K605" s="64"/>
    </row>
    <row r="606" spans="4:11" ht="15.6" customHeight="1">
      <c r="D606" s="38">
        <v>604</v>
      </c>
      <c r="E606" s="62">
        <v>2182</v>
      </c>
      <c r="F606" s="63" t="s">
        <v>8073</v>
      </c>
      <c r="G606" s="63" t="s">
        <v>6735</v>
      </c>
      <c r="H606" s="63" t="s">
        <v>7176</v>
      </c>
      <c r="I606" s="62">
        <v>2</v>
      </c>
      <c r="J606" s="58">
        <v>44718</v>
      </c>
      <c r="K606" s="64"/>
    </row>
    <row r="607" spans="4:11" ht="15.6" customHeight="1">
      <c r="D607" s="38">
        <v>605</v>
      </c>
      <c r="E607" s="62" t="s">
        <v>58</v>
      </c>
      <c r="F607" s="63" t="s">
        <v>8074</v>
      </c>
      <c r="G607" s="63" t="s">
        <v>5281</v>
      </c>
      <c r="H607" s="63" t="s">
        <v>7</v>
      </c>
      <c r="I607" s="62">
        <v>2</v>
      </c>
      <c r="J607" s="58">
        <v>44718</v>
      </c>
      <c r="K607" s="64"/>
    </row>
    <row r="608" spans="4:11" ht="15.6" customHeight="1">
      <c r="D608" s="38">
        <v>606</v>
      </c>
      <c r="E608" s="62">
        <v>2014</v>
      </c>
      <c r="F608" s="63" t="s">
        <v>8075</v>
      </c>
      <c r="G608" s="63" t="s">
        <v>5281</v>
      </c>
      <c r="H608" s="63" t="s">
        <v>7</v>
      </c>
      <c r="I608" s="62">
        <v>2</v>
      </c>
      <c r="J608" s="58">
        <v>44718</v>
      </c>
      <c r="K608" s="64"/>
    </row>
    <row r="609" spans="4:11" ht="15.6" customHeight="1">
      <c r="D609" s="38">
        <v>607</v>
      </c>
      <c r="E609" s="62" t="s">
        <v>50</v>
      </c>
      <c r="F609" s="63" t="s">
        <v>6182</v>
      </c>
      <c r="G609" s="63" t="s">
        <v>5281</v>
      </c>
      <c r="H609" s="63" t="s">
        <v>7</v>
      </c>
      <c r="I609" s="62">
        <v>2</v>
      </c>
      <c r="J609" s="58">
        <v>44718</v>
      </c>
      <c r="K609" s="64"/>
    </row>
    <row r="610" spans="4:11" ht="15.6" customHeight="1">
      <c r="D610" s="38">
        <v>608</v>
      </c>
      <c r="E610" s="62">
        <v>4392</v>
      </c>
      <c r="F610" s="63" t="s">
        <v>8076</v>
      </c>
      <c r="G610" s="63" t="s">
        <v>5281</v>
      </c>
      <c r="H610" s="63" t="s">
        <v>6803</v>
      </c>
      <c r="I610" s="62">
        <v>2</v>
      </c>
      <c r="J610" s="58">
        <v>44718</v>
      </c>
      <c r="K610" s="64"/>
    </row>
    <row r="611" spans="4:11" ht="15.6" customHeight="1">
      <c r="D611" s="38">
        <v>609</v>
      </c>
      <c r="E611" s="62">
        <v>2662</v>
      </c>
      <c r="F611" s="63" t="s">
        <v>8077</v>
      </c>
      <c r="G611" s="63" t="s">
        <v>6765</v>
      </c>
      <c r="H611" s="63" t="s">
        <v>7526</v>
      </c>
      <c r="I611" s="62">
        <v>2</v>
      </c>
      <c r="J611" s="58">
        <v>44718</v>
      </c>
      <c r="K611" s="64"/>
    </row>
    <row r="612" spans="4:11" ht="15.6" customHeight="1">
      <c r="D612" s="38">
        <v>610</v>
      </c>
      <c r="E612" s="62">
        <v>4588</v>
      </c>
      <c r="F612" s="63" t="s">
        <v>8078</v>
      </c>
      <c r="G612" s="63" t="s">
        <v>6765</v>
      </c>
      <c r="H612" s="63" t="s">
        <v>7866</v>
      </c>
      <c r="I612" s="62">
        <v>2</v>
      </c>
      <c r="J612" s="58">
        <v>44718</v>
      </c>
      <c r="K612" s="64"/>
    </row>
    <row r="613" spans="4:11" ht="15.6" customHeight="1">
      <c r="D613" s="38">
        <v>611</v>
      </c>
      <c r="E613" s="62">
        <v>4941</v>
      </c>
      <c r="F613" s="63" t="s">
        <v>8079</v>
      </c>
      <c r="G613" s="63" t="s">
        <v>6816</v>
      </c>
      <c r="H613" s="63" t="s">
        <v>8080</v>
      </c>
      <c r="I613" s="62">
        <v>2</v>
      </c>
      <c r="J613" s="58">
        <v>44718</v>
      </c>
      <c r="K613" s="64"/>
    </row>
    <row r="614" spans="4:11" ht="15.6" customHeight="1">
      <c r="D614" s="38">
        <v>612</v>
      </c>
      <c r="E614" s="62">
        <v>4299</v>
      </c>
      <c r="F614" s="63" t="s">
        <v>8081</v>
      </c>
      <c r="G614" s="63" t="s">
        <v>6816</v>
      </c>
      <c r="H614" s="63" t="s">
        <v>8080</v>
      </c>
      <c r="I614" s="62">
        <v>2</v>
      </c>
      <c r="J614" s="58">
        <v>44718</v>
      </c>
      <c r="K614" s="64"/>
    </row>
    <row r="615" spans="4:11" ht="15.6" customHeight="1">
      <c r="D615" s="38">
        <v>613</v>
      </c>
      <c r="E615" s="62">
        <v>3219</v>
      </c>
      <c r="F615" s="63" t="s">
        <v>8082</v>
      </c>
      <c r="G615" s="63" t="s">
        <v>6816</v>
      </c>
      <c r="H615" s="63" t="s">
        <v>8083</v>
      </c>
      <c r="I615" s="62">
        <v>2</v>
      </c>
      <c r="J615" s="58">
        <v>44718</v>
      </c>
      <c r="K615" s="64"/>
    </row>
    <row r="616" spans="4:11" ht="15.6" customHeight="1">
      <c r="D616" s="38">
        <v>614</v>
      </c>
      <c r="E616" s="62">
        <v>2790</v>
      </c>
      <c r="F616" s="63" t="s">
        <v>8084</v>
      </c>
      <c r="G616" s="63" t="s">
        <v>6850</v>
      </c>
      <c r="H616" s="63" t="s">
        <v>8085</v>
      </c>
      <c r="I616" s="62">
        <v>2</v>
      </c>
      <c r="J616" s="58">
        <v>44718</v>
      </c>
      <c r="K616" s="64"/>
    </row>
    <row r="617" spans="4:11" ht="15.6" customHeight="1">
      <c r="D617" s="38">
        <v>615</v>
      </c>
      <c r="E617" s="62">
        <v>4621</v>
      </c>
      <c r="F617" s="63" t="s">
        <v>8086</v>
      </c>
      <c r="G617" s="63" t="s">
        <v>6850</v>
      </c>
      <c r="H617" s="63" t="s">
        <v>8087</v>
      </c>
      <c r="I617" s="62">
        <v>2</v>
      </c>
      <c r="J617" s="58">
        <v>44718</v>
      </c>
      <c r="K617" s="65"/>
    </row>
    <row r="618" spans="4:11" ht="15.6" customHeight="1">
      <c r="D618" s="38">
        <v>616</v>
      </c>
      <c r="E618" s="62">
        <v>4593</v>
      </c>
      <c r="F618" s="63" t="s">
        <v>8088</v>
      </c>
      <c r="G618" s="63" t="s">
        <v>6850</v>
      </c>
      <c r="H618" s="63" t="s">
        <v>8087</v>
      </c>
      <c r="I618" s="62">
        <v>2</v>
      </c>
      <c r="J618" s="58">
        <v>44718</v>
      </c>
      <c r="K618" s="66"/>
    </row>
    <row r="619" spans="4:11" ht="15.6" customHeight="1">
      <c r="D619" s="38">
        <v>617</v>
      </c>
      <c r="E619" s="62">
        <v>2479</v>
      </c>
      <c r="F619" s="63" t="s">
        <v>8089</v>
      </c>
      <c r="G619" s="63" t="s">
        <v>6735</v>
      </c>
      <c r="H619" s="63" t="s">
        <v>7176</v>
      </c>
      <c r="I619" s="62">
        <v>2</v>
      </c>
      <c r="J619" s="58">
        <v>44719</v>
      </c>
      <c r="K619" s="66"/>
    </row>
    <row r="620" spans="4:11" ht="15.6" customHeight="1">
      <c r="D620" s="38">
        <v>618</v>
      </c>
      <c r="E620" s="62">
        <v>3271</v>
      </c>
      <c r="F620" s="63" t="s">
        <v>7369</v>
      </c>
      <c r="G620" s="63" t="s">
        <v>6735</v>
      </c>
      <c r="H620" s="63" t="s">
        <v>7176</v>
      </c>
      <c r="I620" s="62">
        <v>2</v>
      </c>
      <c r="J620" s="58">
        <v>44719</v>
      </c>
      <c r="K620" s="64"/>
    </row>
    <row r="621" spans="4:11" ht="15.6" customHeight="1">
      <c r="D621" s="38">
        <v>619</v>
      </c>
      <c r="E621" s="62">
        <v>3979</v>
      </c>
      <c r="F621" s="63" t="s">
        <v>8090</v>
      </c>
      <c r="G621" s="63" t="s">
        <v>6735</v>
      </c>
      <c r="H621" s="63" t="s">
        <v>7176</v>
      </c>
      <c r="I621" s="62">
        <v>2</v>
      </c>
      <c r="J621" s="58">
        <v>44719</v>
      </c>
      <c r="K621" s="64"/>
    </row>
    <row r="622" spans="4:11" ht="15.6" customHeight="1">
      <c r="D622" s="38">
        <v>620</v>
      </c>
      <c r="E622" s="62">
        <v>4177</v>
      </c>
      <c r="F622" s="63" t="s">
        <v>8091</v>
      </c>
      <c r="G622" s="63" t="s">
        <v>6735</v>
      </c>
      <c r="H622" s="63" t="s">
        <v>7176</v>
      </c>
      <c r="I622" s="62">
        <v>2</v>
      </c>
      <c r="J622" s="58">
        <v>44719</v>
      </c>
      <c r="K622" s="65"/>
    </row>
    <row r="623" spans="4:11" ht="15.6" customHeight="1">
      <c r="D623" s="38">
        <v>621</v>
      </c>
      <c r="E623" s="62">
        <v>2191</v>
      </c>
      <c r="F623" s="63" t="s">
        <v>7004</v>
      </c>
      <c r="G623" s="63" t="s">
        <v>5281</v>
      </c>
      <c r="H623" s="63" t="s">
        <v>7</v>
      </c>
      <c r="I623" s="62">
        <v>2</v>
      </c>
      <c r="J623" s="58">
        <v>44719</v>
      </c>
      <c r="K623" s="65"/>
    </row>
    <row r="624" spans="4:11" ht="15.6" customHeight="1">
      <c r="D624" s="38">
        <v>622</v>
      </c>
      <c r="E624" s="62">
        <v>4799</v>
      </c>
      <c r="F624" s="63" t="s">
        <v>7421</v>
      </c>
      <c r="G624" s="63" t="s">
        <v>5281</v>
      </c>
      <c r="H624" s="63" t="s">
        <v>7</v>
      </c>
      <c r="I624" s="62">
        <v>2</v>
      </c>
      <c r="J624" s="58">
        <v>44719</v>
      </c>
      <c r="K624" s="65"/>
    </row>
    <row r="625" spans="4:11" ht="15.6" customHeight="1">
      <c r="D625" s="38">
        <v>623</v>
      </c>
      <c r="E625" s="62">
        <v>4083</v>
      </c>
      <c r="F625" s="63" t="s">
        <v>8092</v>
      </c>
      <c r="G625" s="63" t="s">
        <v>5281</v>
      </c>
      <c r="H625" s="63" t="s">
        <v>7</v>
      </c>
      <c r="I625" s="62">
        <v>2</v>
      </c>
      <c r="J625" s="58">
        <v>44719</v>
      </c>
      <c r="K625" s="65"/>
    </row>
    <row r="626" spans="4:11" ht="15.6" customHeight="1">
      <c r="D626" s="38">
        <v>624</v>
      </c>
      <c r="E626" s="62">
        <v>4521</v>
      </c>
      <c r="F626" s="63" t="s">
        <v>8093</v>
      </c>
      <c r="G626" s="63" t="s">
        <v>6765</v>
      </c>
      <c r="H626" s="63" t="s">
        <v>7866</v>
      </c>
      <c r="I626" s="62">
        <v>2</v>
      </c>
      <c r="J626" s="58">
        <v>44719</v>
      </c>
      <c r="K626" s="64"/>
    </row>
    <row r="627" spans="4:11" ht="15.6" customHeight="1">
      <c r="D627" s="38">
        <v>625</v>
      </c>
      <c r="E627" s="62">
        <v>4827</v>
      </c>
      <c r="F627" s="63" t="s">
        <v>8094</v>
      </c>
      <c r="G627" s="63" t="s">
        <v>6765</v>
      </c>
      <c r="H627" s="63" t="s">
        <v>7856</v>
      </c>
      <c r="I627" s="62">
        <v>2</v>
      </c>
      <c r="J627" s="58">
        <v>44719</v>
      </c>
      <c r="K627" s="64"/>
    </row>
    <row r="628" spans="4:11" ht="15.6" customHeight="1">
      <c r="D628" s="38">
        <v>626</v>
      </c>
      <c r="E628" s="62">
        <v>3790</v>
      </c>
      <c r="F628" s="63" t="s">
        <v>8095</v>
      </c>
      <c r="G628" s="63" t="s">
        <v>6765</v>
      </c>
      <c r="H628" s="63" t="s">
        <v>7856</v>
      </c>
      <c r="I628" s="62">
        <v>2</v>
      </c>
      <c r="J628" s="58">
        <v>44719</v>
      </c>
      <c r="K628" s="64"/>
    </row>
    <row r="629" spans="4:11" ht="15.6" customHeight="1">
      <c r="D629" s="38">
        <v>627</v>
      </c>
      <c r="E629" s="62">
        <v>3665</v>
      </c>
      <c r="F629" s="63" t="s">
        <v>8096</v>
      </c>
      <c r="G629" s="63" t="s">
        <v>6765</v>
      </c>
      <c r="H629" s="63" t="s">
        <v>7856</v>
      </c>
      <c r="I629" s="62">
        <v>2</v>
      </c>
      <c r="J629" s="58">
        <v>44719</v>
      </c>
      <c r="K629" s="64"/>
    </row>
    <row r="630" spans="4:11" ht="15.6" customHeight="1">
      <c r="D630" s="38">
        <v>628</v>
      </c>
      <c r="E630" s="62">
        <v>4563</v>
      </c>
      <c r="F630" s="63" t="s">
        <v>8097</v>
      </c>
      <c r="G630" s="63" t="s">
        <v>6756</v>
      </c>
      <c r="H630" s="63" t="s">
        <v>7412</v>
      </c>
      <c r="I630" s="62">
        <v>2</v>
      </c>
      <c r="J630" s="58">
        <v>44719</v>
      </c>
      <c r="K630" s="65"/>
    </row>
    <row r="631" spans="4:11" ht="15.6" customHeight="1">
      <c r="D631" s="38">
        <v>629</v>
      </c>
      <c r="E631" s="62">
        <v>2127</v>
      </c>
      <c r="F631" s="63" t="s">
        <v>8098</v>
      </c>
      <c r="G631" s="63" t="s">
        <v>6756</v>
      </c>
      <c r="H631" s="63" t="s">
        <v>7412</v>
      </c>
      <c r="I631" s="62">
        <v>2</v>
      </c>
      <c r="J631" s="58">
        <v>44719</v>
      </c>
      <c r="K631" s="64"/>
    </row>
    <row r="632" spans="4:11" ht="15.6" customHeight="1">
      <c r="D632" s="38">
        <v>630</v>
      </c>
      <c r="E632" s="62">
        <v>3975</v>
      </c>
      <c r="F632" s="63" t="s">
        <v>8099</v>
      </c>
      <c r="G632" s="63" t="s">
        <v>6756</v>
      </c>
      <c r="H632" s="63" t="s">
        <v>7412</v>
      </c>
      <c r="I632" s="62">
        <v>2</v>
      </c>
      <c r="J632" s="58">
        <v>44719</v>
      </c>
      <c r="K632" s="64"/>
    </row>
    <row r="633" spans="4:11" ht="15.6" customHeight="1">
      <c r="D633" s="38">
        <v>631</v>
      </c>
      <c r="E633" s="62">
        <v>4331</v>
      </c>
      <c r="F633" s="63" t="s">
        <v>8100</v>
      </c>
      <c r="G633" s="63" t="s">
        <v>6850</v>
      </c>
      <c r="H633" s="63" t="s">
        <v>8087</v>
      </c>
      <c r="I633" s="62">
        <v>2</v>
      </c>
      <c r="J633" s="58">
        <v>44719</v>
      </c>
      <c r="K633" s="64"/>
    </row>
    <row r="634" spans="4:11" ht="15.6" customHeight="1">
      <c r="D634" s="38">
        <v>632</v>
      </c>
      <c r="E634" s="62">
        <v>2097</v>
      </c>
      <c r="F634" s="63" t="s">
        <v>8101</v>
      </c>
      <c r="G634" s="63" t="s">
        <v>5281</v>
      </c>
      <c r="H634" s="63" t="s">
        <v>6940</v>
      </c>
      <c r="I634" s="62">
        <v>2</v>
      </c>
      <c r="J634" s="58">
        <v>44720</v>
      </c>
      <c r="K634" s="64"/>
    </row>
    <row r="635" spans="4:11" ht="15.6" customHeight="1">
      <c r="D635" s="38">
        <v>633</v>
      </c>
      <c r="E635" s="62">
        <v>2605</v>
      </c>
      <c r="F635" s="63" t="s">
        <v>8102</v>
      </c>
      <c r="G635" s="63" t="s">
        <v>5281</v>
      </c>
      <c r="H635" s="63" t="s">
        <v>6940</v>
      </c>
      <c r="I635" s="62">
        <v>2</v>
      </c>
      <c r="J635" s="58">
        <v>44720</v>
      </c>
      <c r="K635" s="64"/>
    </row>
    <row r="636" spans="4:11" ht="15.6" customHeight="1">
      <c r="D636" s="38">
        <v>634</v>
      </c>
      <c r="E636" s="62">
        <v>3347</v>
      </c>
      <c r="F636" s="63" t="s">
        <v>8103</v>
      </c>
      <c r="G636" s="63" t="s">
        <v>5281</v>
      </c>
      <c r="H636" s="63" t="s">
        <v>6940</v>
      </c>
      <c r="I636" s="62">
        <v>2</v>
      </c>
      <c r="J636" s="58">
        <v>44720</v>
      </c>
      <c r="K636" s="64"/>
    </row>
    <row r="637" spans="4:11" ht="15.6" customHeight="1">
      <c r="D637" s="38">
        <v>635</v>
      </c>
      <c r="E637" s="62" t="s">
        <v>7055</v>
      </c>
      <c r="F637" s="63" t="s">
        <v>7056</v>
      </c>
      <c r="G637" s="63" t="s">
        <v>5281</v>
      </c>
      <c r="H637" s="63" t="s">
        <v>7</v>
      </c>
      <c r="I637" s="62">
        <v>2</v>
      </c>
      <c r="J637" s="58">
        <v>44720</v>
      </c>
      <c r="K637" s="64"/>
    </row>
    <row r="638" spans="4:11" ht="15.6" customHeight="1">
      <c r="D638" s="38">
        <v>636</v>
      </c>
      <c r="E638" s="62">
        <v>3741</v>
      </c>
      <c r="F638" s="63" t="s">
        <v>8104</v>
      </c>
      <c r="G638" s="63" t="s">
        <v>5281</v>
      </c>
      <c r="H638" s="63" t="s">
        <v>7</v>
      </c>
      <c r="I638" s="62">
        <v>2</v>
      </c>
      <c r="J638" s="58">
        <v>44720</v>
      </c>
      <c r="K638" s="64"/>
    </row>
    <row r="639" spans="4:11" ht="15.6" customHeight="1">
      <c r="D639" s="38">
        <v>637</v>
      </c>
      <c r="E639" s="62">
        <v>2302</v>
      </c>
      <c r="F639" s="63" t="s">
        <v>6208</v>
      </c>
      <c r="G639" s="63" t="s">
        <v>5281</v>
      </c>
      <c r="H639" s="63" t="s">
        <v>7</v>
      </c>
      <c r="I639" s="62">
        <v>2</v>
      </c>
      <c r="J639" s="58">
        <v>44720</v>
      </c>
      <c r="K639" s="64"/>
    </row>
    <row r="640" spans="4:11" ht="15.6" customHeight="1">
      <c r="D640" s="38">
        <v>638</v>
      </c>
      <c r="E640" s="62">
        <v>4134</v>
      </c>
      <c r="F640" s="63" t="s">
        <v>8105</v>
      </c>
      <c r="G640" s="63" t="s">
        <v>5281</v>
      </c>
      <c r="H640" s="63" t="s">
        <v>7</v>
      </c>
      <c r="I640" s="62">
        <v>2</v>
      </c>
      <c r="J640" s="58">
        <v>44720</v>
      </c>
      <c r="K640" s="64"/>
    </row>
    <row r="641" spans="4:11" ht="15.6" customHeight="1">
      <c r="D641" s="38">
        <v>639</v>
      </c>
      <c r="E641" s="62">
        <v>3527</v>
      </c>
      <c r="F641" s="63" t="s">
        <v>8106</v>
      </c>
      <c r="G641" s="63" t="s">
        <v>6765</v>
      </c>
      <c r="H641" s="63" t="s">
        <v>7856</v>
      </c>
      <c r="I641" s="62">
        <v>2</v>
      </c>
      <c r="J641" s="58">
        <v>44720</v>
      </c>
      <c r="K641" s="64"/>
    </row>
    <row r="642" spans="4:11" ht="15.6" customHeight="1">
      <c r="D642" s="38">
        <v>640</v>
      </c>
      <c r="E642" s="62">
        <v>4571</v>
      </c>
      <c r="F642" s="63" t="s">
        <v>8107</v>
      </c>
      <c r="G642" s="63" t="s">
        <v>6765</v>
      </c>
      <c r="H642" s="63" t="s">
        <v>7856</v>
      </c>
      <c r="I642" s="62">
        <v>2</v>
      </c>
      <c r="J642" s="58">
        <v>44720</v>
      </c>
      <c r="K642" s="64"/>
    </row>
    <row r="643" spans="4:11" ht="15.6" customHeight="1">
      <c r="D643" s="38">
        <v>641</v>
      </c>
      <c r="E643" s="62">
        <v>4626</v>
      </c>
      <c r="F643" s="63" t="s">
        <v>8108</v>
      </c>
      <c r="G643" s="63" t="s">
        <v>6756</v>
      </c>
      <c r="H643" s="63" t="s">
        <v>7031</v>
      </c>
      <c r="I643" s="62">
        <v>2</v>
      </c>
      <c r="J643" s="58">
        <v>44720</v>
      </c>
      <c r="K643" s="64"/>
    </row>
    <row r="644" spans="4:11" ht="15.6" customHeight="1">
      <c r="D644" s="38">
        <v>642</v>
      </c>
      <c r="E644" s="62">
        <v>4691</v>
      </c>
      <c r="F644" s="63" t="s">
        <v>8109</v>
      </c>
      <c r="G644" s="63" t="s">
        <v>6808</v>
      </c>
      <c r="H644" s="63" t="s">
        <v>7025</v>
      </c>
      <c r="I644" s="62">
        <v>2</v>
      </c>
      <c r="J644" s="58">
        <v>44720</v>
      </c>
      <c r="K644" s="64"/>
    </row>
    <row r="645" spans="4:11" ht="15.6" customHeight="1">
      <c r="D645" s="38">
        <v>643</v>
      </c>
      <c r="E645" s="62">
        <v>4612</v>
      </c>
      <c r="F645" s="63" t="s">
        <v>8110</v>
      </c>
      <c r="G645" s="63" t="s">
        <v>6850</v>
      </c>
      <c r="H645" s="63" t="s">
        <v>6961</v>
      </c>
      <c r="I645" s="62">
        <v>2</v>
      </c>
      <c r="J645" s="58">
        <v>44720</v>
      </c>
      <c r="K645" s="64"/>
    </row>
    <row r="646" spans="4:11" ht="15.6" customHeight="1">
      <c r="D646" s="38">
        <v>644</v>
      </c>
      <c r="E646" s="62">
        <v>4440</v>
      </c>
      <c r="F646" s="63" t="s">
        <v>8111</v>
      </c>
      <c r="G646" s="63" t="s">
        <v>6850</v>
      </c>
      <c r="H646" s="63" t="s">
        <v>6961</v>
      </c>
      <c r="I646" s="62">
        <v>2</v>
      </c>
      <c r="J646" s="58">
        <v>44720</v>
      </c>
      <c r="K646" s="58"/>
    </row>
    <row r="647" spans="4:11" ht="15.6" customHeight="1">
      <c r="D647" s="38">
        <v>645</v>
      </c>
      <c r="E647" s="62">
        <v>2290</v>
      </c>
      <c r="F647" s="63" t="s">
        <v>8112</v>
      </c>
      <c r="G647" s="63" t="s">
        <v>6850</v>
      </c>
      <c r="H647" s="63" t="s">
        <v>6961</v>
      </c>
      <c r="I647" s="62">
        <v>2</v>
      </c>
      <c r="J647" s="58">
        <v>44720</v>
      </c>
      <c r="K647" s="64"/>
    </row>
    <row r="648" spans="4:11" ht="15.6" customHeight="1">
      <c r="D648" s="38">
        <v>646</v>
      </c>
      <c r="E648" s="62" t="s">
        <v>8113</v>
      </c>
      <c r="F648" s="63" t="s">
        <v>8114</v>
      </c>
      <c r="G648" s="63" t="s">
        <v>5281</v>
      </c>
      <c r="H648" s="63" t="s">
        <v>6940</v>
      </c>
      <c r="I648" s="62">
        <v>2</v>
      </c>
      <c r="J648" s="58">
        <v>44721</v>
      </c>
      <c r="K648" s="64"/>
    </row>
    <row r="649" spans="4:11" ht="15.6" customHeight="1">
      <c r="D649" s="38">
        <v>647</v>
      </c>
      <c r="E649" s="62">
        <v>4188</v>
      </c>
      <c r="F649" s="63" t="s">
        <v>8115</v>
      </c>
      <c r="G649" s="63" t="s">
        <v>5281</v>
      </c>
      <c r="H649" s="63" t="s">
        <v>6940</v>
      </c>
      <c r="I649" s="62">
        <v>2</v>
      </c>
      <c r="J649" s="58">
        <v>44721</v>
      </c>
      <c r="K649" s="64"/>
    </row>
    <row r="650" spans="4:11" ht="15.6" customHeight="1">
      <c r="D650" s="38">
        <v>648</v>
      </c>
      <c r="E650" s="62">
        <v>4432</v>
      </c>
      <c r="F650" s="63" t="s">
        <v>8116</v>
      </c>
      <c r="G650" s="63" t="s">
        <v>5281</v>
      </c>
      <c r="H650" s="63" t="s">
        <v>6940</v>
      </c>
      <c r="I650" s="62">
        <v>2</v>
      </c>
      <c r="J650" s="58">
        <v>44721</v>
      </c>
      <c r="K650" s="64"/>
    </row>
    <row r="651" spans="4:11" ht="15.6" customHeight="1">
      <c r="D651" s="38">
        <v>649</v>
      </c>
      <c r="E651" s="62">
        <v>2619</v>
      </c>
      <c r="F651" s="63" t="s">
        <v>8117</v>
      </c>
      <c r="G651" s="63" t="s">
        <v>5281</v>
      </c>
      <c r="H651" s="63" t="s">
        <v>7</v>
      </c>
      <c r="I651" s="62">
        <v>2</v>
      </c>
      <c r="J651" s="58">
        <v>44721</v>
      </c>
      <c r="K651" s="64"/>
    </row>
    <row r="652" spans="4:11" ht="15.6" customHeight="1">
      <c r="D652" s="38">
        <v>650</v>
      </c>
      <c r="E652" s="62">
        <v>2935</v>
      </c>
      <c r="F652" s="63" t="s">
        <v>8118</v>
      </c>
      <c r="G652" s="63" t="s">
        <v>5281</v>
      </c>
      <c r="H652" s="63" t="s">
        <v>7</v>
      </c>
      <c r="I652" s="62">
        <v>2</v>
      </c>
      <c r="J652" s="58">
        <v>44721</v>
      </c>
      <c r="K652" s="64"/>
    </row>
    <row r="653" spans="4:11" ht="15.6" customHeight="1">
      <c r="D653" s="38">
        <v>651</v>
      </c>
      <c r="E653" s="62">
        <v>4340</v>
      </c>
      <c r="F653" s="63" t="s">
        <v>7288</v>
      </c>
      <c r="G653" s="63" t="s">
        <v>5281</v>
      </c>
      <c r="H653" s="63" t="s">
        <v>7</v>
      </c>
      <c r="I653" s="62">
        <v>2</v>
      </c>
      <c r="J653" s="58">
        <v>44721</v>
      </c>
      <c r="K653" s="64"/>
    </row>
    <row r="654" spans="4:11" ht="15.6" customHeight="1">
      <c r="D654" s="38">
        <v>652</v>
      </c>
      <c r="E654" s="62">
        <v>2509</v>
      </c>
      <c r="F654" s="63" t="s">
        <v>8119</v>
      </c>
      <c r="G654" s="63" t="s">
        <v>6765</v>
      </c>
      <c r="H654" s="63" t="s">
        <v>7856</v>
      </c>
      <c r="I654" s="62">
        <v>2</v>
      </c>
      <c r="J654" s="58">
        <v>44721</v>
      </c>
      <c r="K654" s="64"/>
    </row>
    <row r="655" spans="4:11" ht="15.6" customHeight="1">
      <c r="D655" s="38">
        <v>653</v>
      </c>
      <c r="E655" s="62">
        <v>4795</v>
      </c>
      <c r="F655" s="63" t="s">
        <v>8120</v>
      </c>
      <c r="G655" s="63" t="s">
        <v>6808</v>
      </c>
      <c r="H655" s="63" t="s">
        <v>7025</v>
      </c>
      <c r="I655" s="62">
        <v>2</v>
      </c>
      <c r="J655" s="58">
        <v>44721</v>
      </c>
      <c r="K655" s="64"/>
    </row>
    <row r="656" spans="4:11" ht="15.6" customHeight="1">
      <c r="D656" s="38">
        <v>654</v>
      </c>
      <c r="E656" s="62">
        <v>4589</v>
      </c>
      <c r="F656" s="63" t="s">
        <v>8121</v>
      </c>
      <c r="G656" s="63" t="s">
        <v>6808</v>
      </c>
      <c r="H656" s="63" t="s">
        <v>7025</v>
      </c>
      <c r="I656" s="62">
        <v>2</v>
      </c>
      <c r="J656" s="58">
        <v>44721</v>
      </c>
      <c r="K656" s="64"/>
    </row>
    <row r="657" spans="4:11" ht="15.6" customHeight="1">
      <c r="D657" s="38">
        <v>655</v>
      </c>
      <c r="E657" s="62">
        <v>4459</v>
      </c>
      <c r="F657" s="63" t="s">
        <v>8122</v>
      </c>
      <c r="G657" s="63" t="s">
        <v>6850</v>
      </c>
      <c r="H657" s="63" t="s">
        <v>8123</v>
      </c>
      <c r="I657" s="62">
        <v>2</v>
      </c>
      <c r="J657" s="58">
        <v>44721</v>
      </c>
      <c r="K657" s="64"/>
    </row>
    <row r="658" spans="4:11" ht="15.6" customHeight="1">
      <c r="D658" s="38">
        <v>656</v>
      </c>
      <c r="E658" s="62">
        <v>4458</v>
      </c>
      <c r="F658" s="63" t="s">
        <v>7273</v>
      </c>
      <c r="G658" s="63" t="s">
        <v>6850</v>
      </c>
      <c r="H658" s="63" t="s">
        <v>8123</v>
      </c>
      <c r="I658" s="62">
        <v>2</v>
      </c>
      <c r="J658" s="58">
        <v>44721</v>
      </c>
      <c r="K658" s="64"/>
    </row>
    <row r="659" spans="4:11" ht="15.6" customHeight="1">
      <c r="D659" s="38">
        <v>657</v>
      </c>
      <c r="E659" s="62">
        <v>2756</v>
      </c>
      <c r="F659" s="63" t="s">
        <v>8124</v>
      </c>
      <c r="G659" s="63" t="s">
        <v>5281</v>
      </c>
      <c r="H659" s="63" t="s">
        <v>8125</v>
      </c>
      <c r="I659" s="62">
        <v>2</v>
      </c>
      <c r="J659" s="58">
        <v>44722</v>
      </c>
      <c r="K659" s="64"/>
    </row>
    <row r="660" spans="4:11" ht="15.6" customHeight="1">
      <c r="D660" s="38">
        <v>658</v>
      </c>
      <c r="E660" s="62">
        <v>3419</v>
      </c>
      <c r="F660" s="63" t="s">
        <v>8126</v>
      </c>
      <c r="G660" s="63" t="s">
        <v>5281</v>
      </c>
      <c r="H660" s="63" t="s">
        <v>8125</v>
      </c>
      <c r="I660" s="62">
        <v>2</v>
      </c>
      <c r="J660" s="58">
        <v>44722</v>
      </c>
      <c r="K660" s="64"/>
    </row>
    <row r="661" spans="4:11" ht="15.6" customHeight="1">
      <c r="D661" s="38">
        <v>659</v>
      </c>
      <c r="E661" s="62">
        <v>4203</v>
      </c>
      <c r="F661" s="63" t="s">
        <v>8127</v>
      </c>
      <c r="G661" s="63" t="s">
        <v>5281</v>
      </c>
      <c r="H661" s="63" t="s">
        <v>8125</v>
      </c>
      <c r="I661" s="62">
        <v>2</v>
      </c>
      <c r="J661" s="58">
        <v>44722</v>
      </c>
      <c r="K661" s="64"/>
    </row>
    <row r="662" spans="4:11" ht="15.6" customHeight="1">
      <c r="D662" s="38">
        <v>660</v>
      </c>
      <c r="E662" s="62">
        <v>2222</v>
      </c>
      <c r="F662" s="63" t="s">
        <v>8128</v>
      </c>
      <c r="G662" s="63" t="s">
        <v>5281</v>
      </c>
      <c r="H662" s="63" t="s">
        <v>7</v>
      </c>
      <c r="I662" s="62">
        <v>2</v>
      </c>
      <c r="J662" s="58">
        <v>44722</v>
      </c>
      <c r="K662" s="64"/>
    </row>
    <row r="663" spans="4:11" ht="15.6" customHeight="1">
      <c r="D663" s="38">
        <v>661</v>
      </c>
      <c r="E663" s="62" t="s">
        <v>8129</v>
      </c>
      <c r="F663" s="63" t="s">
        <v>8130</v>
      </c>
      <c r="G663" s="63" t="s">
        <v>5281</v>
      </c>
      <c r="H663" s="63" t="s">
        <v>7</v>
      </c>
      <c r="I663" s="62">
        <v>2</v>
      </c>
      <c r="J663" s="58">
        <v>44722</v>
      </c>
      <c r="K663" s="64"/>
    </row>
    <row r="664" spans="4:11" ht="15.6" customHeight="1">
      <c r="D664" s="38">
        <v>662</v>
      </c>
      <c r="E664" s="62">
        <v>3957</v>
      </c>
      <c r="F664" s="63" t="s">
        <v>516</v>
      </c>
      <c r="G664" s="63" t="s">
        <v>5281</v>
      </c>
      <c r="H664" s="63" t="s">
        <v>7</v>
      </c>
      <c r="I664" s="62">
        <v>2</v>
      </c>
      <c r="J664" s="58">
        <v>44722</v>
      </c>
      <c r="K664" s="64"/>
    </row>
    <row r="665" spans="4:11" ht="15.6" customHeight="1">
      <c r="D665" s="38">
        <v>663</v>
      </c>
      <c r="E665" s="62">
        <v>4789</v>
      </c>
      <c r="F665" s="63" t="s">
        <v>8131</v>
      </c>
      <c r="G665" s="63" t="s">
        <v>6765</v>
      </c>
      <c r="H665" s="63" t="s">
        <v>6837</v>
      </c>
      <c r="I665" s="62">
        <v>2</v>
      </c>
      <c r="J665" s="58">
        <v>44722</v>
      </c>
      <c r="K665" s="64"/>
    </row>
    <row r="666" spans="4:11" ht="15.6" customHeight="1">
      <c r="D666" s="38">
        <v>664</v>
      </c>
      <c r="E666" s="62">
        <v>3025</v>
      </c>
      <c r="F666" s="63" t="s">
        <v>8132</v>
      </c>
      <c r="G666" s="63" t="s">
        <v>6765</v>
      </c>
      <c r="H666" s="63" t="s">
        <v>6837</v>
      </c>
      <c r="I666" s="62">
        <v>2</v>
      </c>
      <c r="J666" s="58">
        <v>44722</v>
      </c>
      <c r="K666" s="64"/>
    </row>
    <row r="667" spans="4:11" ht="15.6" customHeight="1">
      <c r="D667" s="38">
        <v>665</v>
      </c>
      <c r="E667" s="62">
        <v>3413</v>
      </c>
      <c r="F667" s="63" t="s">
        <v>8133</v>
      </c>
      <c r="G667" s="63" t="s">
        <v>6756</v>
      </c>
      <c r="H667" s="63" t="s">
        <v>7412</v>
      </c>
      <c r="I667" s="62">
        <v>2</v>
      </c>
      <c r="J667" s="58">
        <v>44722</v>
      </c>
      <c r="K667" s="64"/>
    </row>
    <row r="668" spans="4:11" ht="15.6" customHeight="1">
      <c r="D668" s="38">
        <v>666</v>
      </c>
      <c r="E668" s="62">
        <v>2655</v>
      </c>
      <c r="F668" s="63" t="s">
        <v>8134</v>
      </c>
      <c r="G668" s="63" t="s">
        <v>6756</v>
      </c>
      <c r="H668" s="63" t="s">
        <v>7412</v>
      </c>
      <c r="I668" s="62">
        <v>2</v>
      </c>
      <c r="J668" s="58">
        <v>44722</v>
      </c>
      <c r="K668" s="64"/>
    </row>
    <row r="669" spans="4:11" ht="15.6" customHeight="1">
      <c r="D669" s="38">
        <v>667</v>
      </c>
      <c r="E669" s="62" t="s">
        <v>77</v>
      </c>
      <c r="F669" s="63" t="s">
        <v>8135</v>
      </c>
      <c r="G669" s="63" t="s">
        <v>5281</v>
      </c>
      <c r="H669" s="63" t="s">
        <v>14</v>
      </c>
      <c r="I669" s="62">
        <v>2</v>
      </c>
      <c r="J669" s="58">
        <v>44722</v>
      </c>
      <c r="K669" s="64"/>
    </row>
    <row r="670" spans="4:11" ht="15.6" customHeight="1">
      <c r="D670" s="38">
        <v>668</v>
      </c>
      <c r="E670" s="62">
        <v>2729</v>
      </c>
      <c r="F670" s="63" t="s">
        <v>8136</v>
      </c>
      <c r="G670" s="63" t="s">
        <v>6735</v>
      </c>
      <c r="H670" s="63" t="s">
        <v>7998</v>
      </c>
      <c r="I670" s="62">
        <v>2</v>
      </c>
      <c r="J670" s="58">
        <v>44725</v>
      </c>
      <c r="K670" s="64"/>
    </row>
    <row r="671" spans="4:11" ht="15.6" customHeight="1">
      <c r="D671" s="38">
        <v>669</v>
      </c>
      <c r="E671" s="62">
        <v>2982</v>
      </c>
      <c r="F671" s="63" t="s">
        <v>7142</v>
      </c>
      <c r="G671" s="63" t="s">
        <v>6735</v>
      </c>
      <c r="H671" s="63" t="s">
        <v>7998</v>
      </c>
      <c r="I671" s="62">
        <v>2</v>
      </c>
      <c r="J671" s="58">
        <v>44725</v>
      </c>
      <c r="K671" s="64"/>
    </row>
    <row r="672" spans="4:11" ht="15.6" customHeight="1">
      <c r="D672" s="38">
        <v>670</v>
      </c>
      <c r="E672" s="62">
        <v>4101</v>
      </c>
      <c r="F672" s="63" t="s">
        <v>8137</v>
      </c>
      <c r="G672" s="63" t="s">
        <v>5281</v>
      </c>
      <c r="H672" s="63" t="s">
        <v>7</v>
      </c>
      <c r="I672" s="62">
        <v>2</v>
      </c>
      <c r="J672" s="58">
        <v>44725</v>
      </c>
      <c r="K672" s="64"/>
    </row>
    <row r="673" spans="4:11" ht="15.6" customHeight="1">
      <c r="D673" s="38">
        <v>671</v>
      </c>
      <c r="E673" s="62">
        <v>4196</v>
      </c>
      <c r="F673" s="63" t="s">
        <v>8138</v>
      </c>
      <c r="G673" s="63" t="s">
        <v>5281</v>
      </c>
      <c r="H673" s="63" t="s">
        <v>7</v>
      </c>
      <c r="I673" s="62">
        <v>2</v>
      </c>
      <c r="J673" s="58">
        <v>44725</v>
      </c>
      <c r="K673" s="64"/>
    </row>
    <row r="674" spans="4:11" ht="15.6" customHeight="1">
      <c r="D674" s="38">
        <v>672</v>
      </c>
      <c r="E674" s="62">
        <v>4191</v>
      </c>
      <c r="F674" s="63" t="s">
        <v>853</v>
      </c>
      <c r="G674" s="63" t="s">
        <v>5281</v>
      </c>
      <c r="H674" s="63" t="s">
        <v>7</v>
      </c>
      <c r="I674" s="62">
        <v>2</v>
      </c>
      <c r="J674" s="58">
        <v>44725</v>
      </c>
      <c r="K674" s="64"/>
    </row>
    <row r="675" spans="4:11" ht="15.6" customHeight="1">
      <c r="D675" s="38">
        <v>673</v>
      </c>
      <c r="E675" s="62">
        <v>4546</v>
      </c>
      <c r="F675" s="63" t="s">
        <v>8139</v>
      </c>
      <c r="G675" s="63" t="s">
        <v>6790</v>
      </c>
      <c r="H675" s="63" t="s">
        <v>8140</v>
      </c>
      <c r="I675" s="62">
        <v>2</v>
      </c>
      <c r="J675" s="58">
        <v>44725</v>
      </c>
      <c r="K675" s="64"/>
    </row>
    <row r="676" spans="4:11" ht="15.6" customHeight="1">
      <c r="D676" s="38">
        <v>674</v>
      </c>
      <c r="E676" s="62">
        <v>2922</v>
      </c>
      <c r="F676" s="63" t="s">
        <v>8141</v>
      </c>
      <c r="G676" s="63" t="s">
        <v>6790</v>
      </c>
      <c r="H676" s="63" t="s">
        <v>8140</v>
      </c>
      <c r="I676" s="62">
        <v>2</v>
      </c>
      <c r="J676" s="58">
        <v>44725</v>
      </c>
      <c r="K676" s="64"/>
    </row>
    <row r="677" spans="4:11" ht="15.6" customHeight="1">
      <c r="D677" s="38">
        <v>675</v>
      </c>
      <c r="E677" s="62">
        <v>2277</v>
      </c>
      <c r="F677" s="63" t="s">
        <v>8142</v>
      </c>
      <c r="G677" s="63" t="s">
        <v>6808</v>
      </c>
      <c r="H677" s="63" t="s">
        <v>7025</v>
      </c>
      <c r="I677" s="62">
        <v>2</v>
      </c>
      <c r="J677" s="58">
        <v>44725</v>
      </c>
      <c r="K677" s="64"/>
    </row>
    <row r="678" spans="4:11" ht="15.6" customHeight="1">
      <c r="D678" s="38">
        <v>676</v>
      </c>
      <c r="E678" s="62">
        <v>2029</v>
      </c>
      <c r="F678" s="63" t="s">
        <v>8143</v>
      </c>
      <c r="G678" s="63" t="s">
        <v>6808</v>
      </c>
      <c r="H678" s="63" t="s">
        <v>7025</v>
      </c>
      <c r="I678" s="62">
        <v>2</v>
      </c>
      <c r="J678" s="58">
        <v>44725</v>
      </c>
      <c r="K678" s="64"/>
    </row>
    <row r="679" spans="4:11" ht="15.6" customHeight="1">
      <c r="D679" s="38">
        <v>677</v>
      </c>
      <c r="E679" s="62">
        <v>4436</v>
      </c>
      <c r="F679" s="63" t="s">
        <v>8144</v>
      </c>
      <c r="G679" s="63" t="s">
        <v>6850</v>
      </c>
      <c r="H679" s="63" t="s">
        <v>8123</v>
      </c>
      <c r="I679" s="62">
        <v>2</v>
      </c>
      <c r="J679" s="58">
        <v>44725</v>
      </c>
      <c r="K679" s="64"/>
    </row>
    <row r="680" spans="4:11" ht="15.6" customHeight="1">
      <c r="D680" s="38">
        <v>678</v>
      </c>
      <c r="E680" s="62">
        <v>2063</v>
      </c>
      <c r="F680" s="63" t="s">
        <v>8145</v>
      </c>
      <c r="G680" s="63" t="s">
        <v>6850</v>
      </c>
      <c r="H680" s="63" t="s">
        <v>8123</v>
      </c>
      <c r="I680" s="62">
        <v>2</v>
      </c>
      <c r="J680" s="58">
        <v>44725</v>
      </c>
      <c r="K680" s="64"/>
    </row>
    <row r="681" spans="4:11" ht="15.6" customHeight="1">
      <c r="D681" s="38">
        <v>679</v>
      </c>
      <c r="E681" s="62">
        <v>4138</v>
      </c>
      <c r="F681" s="63" t="s">
        <v>8146</v>
      </c>
      <c r="G681" s="63" t="s">
        <v>6782</v>
      </c>
      <c r="H681" s="63" t="s">
        <v>6784</v>
      </c>
      <c r="I681" s="62">
        <v>2</v>
      </c>
      <c r="J681" s="58">
        <v>44726</v>
      </c>
      <c r="K681" s="64"/>
    </row>
    <row r="682" spans="4:11" ht="15.6" customHeight="1">
      <c r="D682" s="38">
        <v>680</v>
      </c>
      <c r="E682" s="62">
        <v>3301</v>
      </c>
      <c r="F682" s="63" t="s">
        <v>8147</v>
      </c>
      <c r="G682" s="63" t="s">
        <v>6735</v>
      </c>
      <c r="H682" s="63" t="s">
        <v>7998</v>
      </c>
      <c r="I682" s="62">
        <v>2</v>
      </c>
      <c r="J682" s="58">
        <v>44726</v>
      </c>
      <c r="K682" s="64"/>
    </row>
    <row r="683" spans="4:11" ht="15.6" customHeight="1">
      <c r="D683" s="38">
        <v>681</v>
      </c>
      <c r="E683" s="62">
        <v>2782</v>
      </c>
      <c r="F683" s="63" t="s">
        <v>8148</v>
      </c>
      <c r="G683" s="63" t="s">
        <v>6735</v>
      </c>
      <c r="H683" s="63" t="s">
        <v>7998</v>
      </c>
      <c r="I683" s="62">
        <v>2</v>
      </c>
      <c r="J683" s="58">
        <v>44726</v>
      </c>
      <c r="K683" s="65"/>
    </row>
    <row r="684" spans="4:11" ht="15.6" customHeight="1">
      <c r="D684" s="38">
        <v>682</v>
      </c>
      <c r="E684" s="62">
        <v>4850</v>
      </c>
      <c r="F684" s="63" t="s">
        <v>8149</v>
      </c>
      <c r="G684" s="63" t="s">
        <v>6735</v>
      </c>
      <c r="H684" s="63" t="s">
        <v>7998</v>
      </c>
      <c r="I684" s="62">
        <v>2</v>
      </c>
      <c r="J684" s="58">
        <v>44726</v>
      </c>
      <c r="K684" s="65"/>
    </row>
    <row r="685" spans="4:11" ht="15.6" customHeight="1">
      <c r="D685" s="38">
        <v>683</v>
      </c>
      <c r="E685" s="62">
        <v>4210</v>
      </c>
      <c r="F685" s="63" t="s">
        <v>191</v>
      </c>
      <c r="G685" s="63" t="s">
        <v>5281</v>
      </c>
      <c r="H685" s="63" t="s">
        <v>7</v>
      </c>
      <c r="I685" s="62">
        <v>2</v>
      </c>
      <c r="J685" s="58">
        <v>44726</v>
      </c>
      <c r="K685" s="66"/>
    </row>
    <row r="686" spans="4:11" ht="15.6" customHeight="1">
      <c r="D686" s="38">
        <v>684</v>
      </c>
      <c r="E686" s="62" t="s">
        <v>60</v>
      </c>
      <c r="F686" s="63" t="s">
        <v>857</v>
      </c>
      <c r="G686" s="63" t="s">
        <v>5281</v>
      </c>
      <c r="H686" s="63" t="s">
        <v>7</v>
      </c>
      <c r="I686" s="62">
        <v>2</v>
      </c>
      <c r="J686" s="58">
        <v>44726</v>
      </c>
      <c r="K686" s="66"/>
    </row>
    <row r="687" spans="4:11" ht="15.6" customHeight="1">
      <c r="D687" s="38">
        <v>685</v>
      </c>
      <c r="E687" s="62">
        <v>2950</v>
      </c>
      <c r="F687" s="63" t="s">
        <v>8150</v>
      </c>
      <c r="G687" s="63" t="s">
        <v>6790</v>
      </c>
      <c r="H687" s="63" t="s">
        <v>8151</v>
      </c>
      <c r="I687" s="62">
        <v>2</v>
      </c>
      <c r="J687" s="58">
        <v>44726</v>
      </c>
      <c r="K687" s="64"/>
    </row>
    <row r="688" spans="4:11" ht="15.6" customHeight="1">
      <c r="D688" s="38">
        <v>686</v>
      </c>
      <c r="E688" s="62">
        <v>2717</v>
      </c>
      <c r="F688" s="63" t="s">
        <v>8152</v>
      </c>
      <c r="G688" s="63" t="s">
        <v>6790</v>
      </c>
      <c r="H688" s="63" t="s">
        <v>8151</v>
      </c>
      <c r="I688" s="62">
        <v>2</v>
      </c>
      <c r="J688" s="58">
        <v>44726</v>
      </c>
      <c r="K688" s="64"/>
    </row>
    <row r="689" spans="4:11" ht="15.6" customHeight="1">
      <c r="D689" s="38">
        <v>687</v>
      </c>
      <c r="E689" s="62">
        <v>4478</v>
      </c>
      <c r="F689" s="63" t="s">
        <v>8153</v>
      </c>
      <c r="G689" s="63" t="s">
        <v>6808</v>
      </c>
      <c r="H689" s="63" t="s">
        <v>8154</v>
      </c>
      <c r="I689" s="62">
        <v>2</v>
      </c>
      <c r="J689" s="58">
        <v>44726</v>
      </c>
      <c r="K689" s="65"/>
    </row>
    <row r="690" spans="4:11" ht="15.6" customHeight="1">
      <c r="D690" s="38">
        <v>688</v>
      </c>
      <c r="E690" s="62">
        <v>4366</v>
      </c>
      <c r="F690" s="63" t="s">
        <v>8155</v>
      </c>
      <c r="G690" s="63" t="s">
        <v>6808</v>
      </c>
      <c r="H690" s="63" t="s">
        <v>8156</v>
      </c>
      <c r="I690" s="62">
        <v>2</v>
      </c>
      <c r="J690" s="58">
        <v>44726</v>
      </c>
      <c r="K690" s="65"/>
    </row>
    <row r="691" spans="4:11" ht="15.6" customHeight="1">
      <c r="D691" s="38">
        <v>689</v>
      </c>
      <c r="E691" s="62">
        <v>4379</v>
      </c>
      <c r="F691" s="63" t="s">
        <v>8157</v>
      </c>
      <c r="G691" s="63" t="s">
        <v>6850</v>
      </c>
      <c r="H691" s="63" t="s">
        <v>8123</v>
      </c>
      <c r="I691" s="62">
        <v>2</v>
      </c>
      <c r="J691" s="58">
        <v>44726</v>
      </c>
      <c r="K691" s="64"/>
    </row>
    <row r="692" spans="4:11" ht="15.6" customHeight="1">
      <c r="D692" s="38">
        <v>690</v>
      </c>
      <c r="E692" s="62">
        <v>4176</v>
      </c>
      <c r="F692" s="63" t="s">
        <v>8158</v>
      </c>
      <c r="G692" s="63" t="s">
        <v>6850</v>
      </c>
      <c r="H692" s="63" t="s">
        <v>8123</v>
      </c>
      <c r="I692" s="62">
        <v>2</v>
      </c>
      <c r="J692" s="58">
        <v>44726</v>
      </c>
      <c r="K692" s="58"/>
    </row>
    <row r="693" spans="4:11" ht="15.6" customHeight="1">
      <c r="D693" s="38">
        <v>691</v>
      </c>
      <c r="E693" s="62">
        <v>3532</v>
      </c>
      <c r="F693" s="63" t="s">
        <v>8159</v>
      </c>
      <c r="G693" s="63" t="s">
        <v>6850</v>
      </c>
      <c r="H693" s="63" t="s">
        <v>8123</v>
      </c>
      <c r="I693" s="62">
        <v>2</v>
      </c>
      <c r="J693" s="58">
        <v>44726</v>
      </c>
      <c r="K693" s="64"/>
    </row>
    <row r="694" spans="4:11" ht="15.6" customHeight="1">
      <c r="D694" s="38">
        <v>692</v>
      </c>
      <c r="E694" s="62" t="s">
        <v>8160</v>
      </c>
      <c r="F694" s="63" t="s">
        <v>8161</v>
      </c>
      <c r="G694" s="63" t="s">
        <v>6735</v>
      </c>
      <c r="H694" s="63" t="s">
        <v>6918</v>
      </c>
      <c r="I694" s="62">
        <v>2</v>
      </c>
      <c r="J694" s="58">
        <v>44727</v>
      </c>
      <c r="K694" s="64"/>
    </row>
    <row r="695" spans="4:11" ht="15.6" customHeight="1">
      <c r="D695" s="38">
        <v>693</v>
      </c>
      <c r="E695" s="62" t="s">
        <v>8162</v>
      </c>
      <c r="F695" s="63" t="s">
        <v>8163</v>
      </c>
      <c r="G695" s="63" t="s">
        <v>6735</v>
      </c>
      <c r="H695" s="63" t="s">
        <v>6918</v>
      </c>
      <c r="I695" s="62">
        <v>2</v>
      </c>
      <c r="J695" s="58">
        <v>44727</v>
      </c>
      <c r="K695" s="65"/>
    </row>
    <row r="696" spans="4:11" ht="15.6" customHeight="1">
      <c r="D696" s="38">
        <v>694</v>
      </c>
      <c r="E696" s="62" t="s">
        <v>8164</v>
      </c>
      <c r="F696" s="63" t="s">
        <v>8165</v>
      </c>
      <c r="G696" s="63" t="s">
        <v>6735</v>
      </c>
      <c r="H696" s="63" t="s">
        <v>6918</v>
      </c>
      <c r="I696" s="62">
        <v>2</v>
      </c>
      <c r="J696" s="58">
        <v>44727</v>
      </c>
      <c r="K696" s="64"/>
    </row>
    <row r="697" spans="4:11" ht="15.6" customHeight="1">
      <c r="D697" s="38">
        <v>695</v>
      </c>
      <c r="E697" s="62" t="s">
        <v>8166</v>
      </c>
      <c r="F697" s="63" t="s">
        <v>8167</v>
      </c>
      <c r="G697" s="63" t="s">
        <v>6735</v>
      </c>
      <c r="H697" s="63" t="s">
        <v>6918</v>
      </c>
      <c r="I697" s="62">
        <v>2</v>
      </c>
      <c r="J697" s="58">
        <v>44727</v>
      </c>
      <c r="K697" s="58"/>
    </row>
    <row r="698" spans="4:11" ht="15.6" customHeight="1">
      <c r="D698" s="38">
        <v>696</v>
      </c>
      <c r="E698" s="62">
        <v>3772</v>
      </c>
      <c r="F698" s="63" t="s">
        <v>8168</v>
      </c>
      <c r="G698" s="63" t="s">
        <v>5281</v>
      </c>
      <c r="H698" s="63" t="s">
        <v>7</v>
      </c>
      <c r="I698" s="62">
        <v>2</v>
      </c>
      <c r="J698" s="58">
        <v>44727</v>
      </c>
      <c r="K698" s="64"/>
    </row>
    <row r="699" spans="4:11" ht="15.6" customHeight="1">
      <c r="D699" s="38">
        <v>697</v>
      </c>
      <c r="E699" s="62" t="s">
        <v>72</v>
      </c>
      <c r="F699" s="63" t="s">
        <v>8169</v>
      </c>
      <c r="G699" s="63" t="s">
        <v>5281</v>
      </c>
      <c r="H699" s="63" t="s">
        <v>7</v>
      </c>
      <c r="I699" s="62">
        <v>2</v>
      </c>
      <c r="J699" s="58">
        <v>44727</v>
      </c>
      <c r="K699" s="64"/>
    </row>
    <row r="700" spans="4:11" ht="15.6" customHeight="1">
      <c r="D700" s="38">
        <v>698</v>
      </c>
      <c r="E700" s="62" t="s">
        <v>53</v>
      </c>
      <c r="F700" s="63" t="s">
        <v>439</v>
      </c>
      <c r="G700" s="63" t="s">
        <v>5281</v>
      </c>
      <c r="H700" s="63" t="s">
        <v>7</v>
      </c>
      <c r="I700" s="62">
        <v>2</v>
      </c>
      <c r="J700" s="58">
        <v>44727</v>
      </c>
      <c r="K700" s="64"/>
    </row>
    <row r="701" spans="4:11" ht="15.6" customHeight="1">
      <c r="D701" s="38">
        <v>699</v>
      </c>
      <c r="E701" s="62">
        <v>4098</v>
      </c>
      <c r="F701" s="63" t="s">
        <v>8170</v>
      </c>
      <c r="G701" s="63" t="s">
        <v>5281</v>
      </c>
      <c r="H701" s="63" t="s">
        <v>7</v>
      </c>
      <c r="I701" s="62">
        <v>2</v>
      </c>
      <c r="J701" s="58">
        <v>44727</v>
      </c>
      <c r="K701" s="64"/>
    </row>
    <row r="702" spans="4:11" ht="15.6" customHeight="1">
      <c r="D702" s="38">
        <v>700</v>
      </c>
      <c r="E702" s="62">
        <v>2075</v>
      </c>
      <c r="F702" s="63" t="s">
        <v>8171</v>
      </c>
      <c r="G702" s="63" t="s">
        <v>6790</v>
      </c>
      <c r="H702" s="63" t="s">
        <v>8151</v>
      </c>
      <c r="I702" s="62">
        <v>2</v>
      </c>
      <c r="J702" s="58">
        <v>44727</v>
      </c>
      <c r="K702" s="64"/>
    </row>
    <row r="703" spans="4:11" ht="15.6" customHeight="1">
      <c r="D703" s="38">
        <v>701</v>
      </c>
      <c r="E703" s="62">
        <v>2369</v>
      </c>
      <c r="F703" s="63" t="s">
        <v>8172</v>
      </c>
      <c r="G703" s="63" t="s">
        <v>6790</v>
      </c>
      <c r="H703" s="63" t="s">
        <v>8151</v>
      </c>
      <c r="I703" s="62">
        <v>2</v>
      </c>
      <c r="J703" s="58">
        <v>44727</v>
      </c>
      <c r="K703" s="64"/>
    </row>
    <row r="704" spans="4:11" ht="15.6" customHeight="1">
      <c r="D704" s="38">
        <v>702</v>
      </c>
      <c r="E704" s="62" t="s">
        <v>8173</v>
      </c>
      <c r="F704" s="63" t="s">
        <v>8174</v>
      </c>
      <c r="G704" s="63" t="s">
        <v>6808</v>
      </c>
      <c r="H704" s="63" t="s">
        <v>6899</v>
      </c>
      <c r="I704" s="62">
        <v>2</v>
      </c>
      <c r="J704" s="58">
        <v>44727</v>
      </c>
      <c r="K704" s="64"/>
    </row>
    <row r="705" spans="4:11" ht="15.6" customHeight="1">
      <c r="D705" s="38">
        <v>703</v>
      </c>
      <c r="E705" s="62" t="s">
        <v>8175</v>
      </c>
      <c r="F705" s="63" t="s">
        <v>8176</v>
      </c>
      <c r="G705" s="63" t="s">
        <v>6808</v>
      </c>
      <c r="H705" s="63" t="s">
        <v>6899</v>
      </c>
      <c r="I705" s="62">
        <v>2</v>
      </c>
      <c r="J705" s="58">
        <v>44727</v>
      </c>
      <c r="K705" s="64"/>
    </row>
    <row r="706" spans="4:11" ht="15.6" customHeight="1">
      <c r="D706" s="38">
        <v>704</v>
      </c>
      <c r="E706" s="62">
        <v>2036</v>
      </c>
      <c r="F706" s="63" t="s">
        <v>8177</v>
      </c>
      <c r="G706" s="63" t="s">
        <v>6808</v>
      </c>
      <c r="H706" s="63" t="s">
        <v>6899</v>
      </c>
      <c r="I706" s="62">
        <v>2</v>
      </c>
      <c r="J706" s="58">
        <v>44727</v>
      </c>
      <c r="K706" s="64"/>
    </row>
    <row r="707" spans="4:11" ht="15.6" customHeight="1">
      <c r="D707" s="38">
        <v>705</v>
      </c>
      <c r="E707" s="62">
        <v>3101</v>
      </c>
      <c r="F707" s="63" t="s">
        <v>8178</v>
      </c>
      <c r="G707" s="63" t="s">
        <v>6850</v>
      </c>
      <c r="H707" s="63" t="s">
        <v>8123</v>
      </c>
      <c r="I707" s="62">
        <v>2</v>
      </c>
      <c r="J707" s="58">
        <v>44727</v>
      </c>
      <c r="K707" s="64"/>
    </row>
    <row r="708" spans="4:11" ht="15.6" customHeight="1">
      <c r="D708" s="38">
        <v>706</v>
      </c>
      <c r="E708" s="62">
        <v>4636</v>
      </c>
      <c r="F708" s="63" t="s">
        <v>8179</v>
      </c>
      <c r="G708" s="63" t="s">
        <v>6850</v>
      </c>
      <c r="H708" s="63" t="s">
        <v>8180</v>
      </c>
      <c r="I708" s="62">
        <v>2</v>
      </c>
      <c r="J708" s="58">
        <v>44727</v>
      </c>
      <c r="K708" s="64"/>
    </row>
    <row r="709" spans="4:11" ht="15.6" customHeight="1">
      <c r="D709" s="38">
        <v>707</v>
      </c>
      <c r="E709" s="62">
        <v>2569</v>
      </c>
      <c r="F709" s="63" t="s">
        <v>8181</v>
      </c>
      <c r="G709" s="63" t="s">
        <v>6735</v>
      </c>
      <c r="H709" s="63" t="s">
        <v>6918</v>
      </c>
      <c r="I709" s="62">
        <v>2</v>
      </c>
      <c r="J709" s="58">
        <v>44728</v>
      </c>
      <c r="K709" s="64"/>
    </row>
    <row r="710" spans="4:11" ht="15.6" customHeight="1">
      <c r="D710" s="38">
        <v>708</v>
      </c>
      <c r="E710" s="62">
        <v>2597</v>
      </c>
      <c r="F710" s="63" t="s">
        <v>8182</v>
      </c>
      <c r="G710" s="63" t="s">
        <v>6735</v>
      </c>
      <c r="H710" s="63" t="s">
        <v>6918</v>
      </c>
      <c r="I710" s="62">
        <v>2</v>
      </c>
      <c r="J710" s="58">
        <v>44728</v>
      </c>
      <c r="K710" s="64"/>
    </row>
    <row r="711" spans="4:11" ht="15.6" customHeight="1">
      <c r="D711" s="38">
        <v>709</v>
      </c>
      <c r="E711" s="62">
        <v>3629</v>
      </c>
      <c r="F711" s="63" t="s">
        <v>8183</v>
      </c>
      <c r="G711" s="63" t="s">
        <v>6735</v>
      </c>
      <c r="H711" s="63" t="s">
        <v>6918</v>
      </c>
      <c r="I711" s="62">
        <v>2</v>
      </c>
      <c r="J711" s="58">
        <v>44728</v>
      </c>
      <c r="K711" s="64"/>
    </row>
    <row r="712" spans="4:11" ht="15.6" customHeight="1">
      <c r="D712" s="38">
        <v>710</v>
      </c>
      <c r="E712" s="62">
        <v>3748</v>
      </c>
      <c r="F712" s="63" t="s">
        <v>8184</v>
      </c>
      <c r="G712" s="63" t="s">
        <v>6735</v>
      </c>
      <c r="H712" s="63" t="s">
        <v>6918</v>
      </c>
      <c r="I712" s="62">
        <v>2</v>
      </c>
      <c r="J712" s="58">
        <v>44728</v>
      </c>
      <c r="K712" s="64"/>
    </row>
    <row r="713" spans="4:11" ht="15.6" customHeight="1">
      <c r="D713" s="38">
        <v>711</v>
      </c>
      <c r="E713" s="62">
        <v>3796</v>
      </c>
      <c r="F713" s="63" t="s">
        <v>8185</v>
      </c>
      <c r="G713" s="63" t="s">
        <v>5281</v>
      </c>
      <c r="H713" s="63" t="s">
        <v>7</v>
      </c>
      <c r="I713" s="62">
        <v>2</v>
      </c>
      <c r="J713" s="58">
        <v>44728</v>
      </c>
      <c r="K713" s="64"/>
    </row>
    <row r="714" spans="4:11" ht="15.6" customHeight="1">
      <c r="D714" s="38">
        <v>712</v>
      </c>
      <c r="E714" s="62">
        <v>2042</v>
      </c>
      <c r="F714" s="63" t="s">
        <v>8186</v>
      </c>
      <c r="G714" s="63" t="s">
        <v>5281</v>
      </c>
      <c r="H714" s="63" t="s">
        <v>7</v>
      </c>
      <c r="I714" s="62">
        <v>2</v>
      </c>
      <c r="J714" s="58">
        <v>44728</v>
      </c>
      <c r="K714" s="64"/>
    </row>
    <row r="715" spans="4:11" ht="15.6" customHeight="1">
      <c r="D715" s="38">
        <v>713</v>
      </c>
      <c r="E715" s="62">
        <v>4312</v>
      </c>
      <c r="F715" s="63" t="s">
        <v>8187</v>
      </c>
      <c r="G715" s="63" t="s">
        <v>5281</v>
      </c>
      <c r="H715" s="63" t="s">
        <v>7</v>
      </c>
      <c r="I715" s="62">
        <v>2</v>
      </c>
      <c r="J715" s="58">
        <v>44728</v>
      </c>
      <c r="K715" s="64"/>
    </row>
    <row r="716" spans="4:11" ht="15.6" customHeight="1">
      <c r="D716" s="38">
        <v>714</v>
      </c>
      <c r="E716" s="62">
        <v>3837</v>
      </c>
      <c r="F716" s="63" t="s">
        <v>8188</v>
      </c>
      <c r="G716" s="63" t="s">
        <v>6790</v>
      </c>
      <c r="H716" s="63" t="s">
        <v>6853</v>
      </c>
      <c r="I716" s="62">
        <v>2</v>
      </c>
      <c r="J716" s="58">
        <v>44728</v>
      </c>
      <c r="K716" s="64"/>
    </row>
    <row r="717" spans="4:11" ht="15.6" customHeight="1">
      <c r="D717" s="38">
        <v>715</v>
      </c>
      <c r="E717" s="62">
        <v>2269</v>
      </c>
      <c r="F717" s="63" t="s">
        <v>8189</v>
      </c>
      <c r="G717" s="63" t="s">
        <v>6790</v>
      </c>
      <c r="H717" s="63" t="s">
        <v>6853</v>
      </c>
      <c r="I717" s="62">
        <v>2</v>
      </c>
      <c r="J717" s="58">
        <v>44728</v>
      </c>
      <c r="K717" s="64"/>
    </row>
    <row r="718" spans="4:11" ht="15.6" customHeight="1">
      <c r="D718" s="38">
        <v>716</v>
      </c>
      <c r="E718" s="62">
        <v>2822</v>
      </c>
      <c r="F718" s="63" t="s">
        <v>8190</v>
      </c>
      <c r="G718" s="63" t="s">
        <v>6808</v>
      </c>
      <c r="H718" s="63" t="s">
        <v>6899</v>
      </c>
      <c r="I718" s="62">
        <v>2</v>
      </c>
      <c r="J718" s="58">
        <v>44728</v>
      </c>
      <c r="K718" s="64"/>
    </row>
    <row r="719" spans="4:11" ht="15.6" customHeight="1">
      <c r="D719" s="38">
        <v>717</v>
      </c>
      <c r="E719" s="62">
        <v>3709</v>
      </c>
      <c r="F719" s="63" t="s">
        <v>8191</v>
      </c>
      <c r="G719" s="63" t="s">
        <v>6808</v>
      </c>
      <c r="H719" s="63" t="s">
        <v>6899</v>
      </c>
      <c r="I719" s="62">
        <v>2</v>
      </c>
      <c r="J719" s="58">
        <v>44728</v>
      </c>
      <c r="K719" s="64"/>
    </row>
    <row r="720" spans="4:11" ht="15.6" customHeight="1">
      <c r="D720" s="38">
        <v>718</v>
      </c>
      <c r="E720" s="62">
        <v>4062</v>
      </c>
      <c r="F720" s="63" t="s">
        <v>8192</v>
      </c>
      <c r="G720" s="63" t="s">
        <v>6792</v>
      </c>
      <c r="H720" s="63" t="s">
        <v>8193</v>
      </c>
      <c r="I720" s="62">
        <v>2</v>
      </c>
      <c r="J720" s="58">
        <v>44728</v>
      </c>
      <c r="K720" s="64"/>
    </row>
    <row r="721" spans="4:11" ht="15.6" customHeight="1">
      <c r="D721" s="38">
        <v>719</v>
      </c>
      <c r="E721" s="62">
        <v>4676</v>
      </c>
      <c r="F721" s="63" t="s">
        <v>8194</v>
      </c>
      <c r="G721" s="63" t="s">
        <v>6765</v>
      </c>
      <c r="H721" s="63" t="s">
        <v>7856</v>
      </c>
      <c r="I721" s="62">
        <v>2</v>
      </c>
      <c r="J721" s="58">
        <v>44729</v>
      </c>
      <c r="K721" s="64"/>
    </row>
    <row r="722" spans="4:11" ht="15.6" customHeight="1">
      <c r="D722" s="38">
        <v>720</v>
      </c>
      <c r="E722" s="62">
        <v>3995</v>
      </c>
      <c r="F722" s="63" t="s">
        <v>8195</v>
      </c>
      <c r="G722" s="63" t="s">
        <v>6735</v>
      </c>
      <c r="H722" s="63" t="s">
        <v>6918</v>
      </c>
      <c r="I722" s="62">
        <v>2</v>
      </c>
      <c r="J722" s="58">
        <v>44729</v>
      </c>
      <c r="K722" s="64"/>
    </row>
    <row r="723" spans="4:11" ht="15.6" customHeight="1">
      <c r="D723" s="38">
        <v>721</v>
      </c>
      <c r="E723" s="62">
        <v>4092</v>
      </c>
      <c r="F723" s="63" t="s">
        <v>7400</v>
      </c>
      <c r="G723" s="63" t="s">
        <v>6735</v>
      </c>
      <c r="H723" s="63" t="s">
        <v>6918</v>
      </c>
      <c r="I723" s="62">
        <v>2</v>
      </c>
      <c r="J723" s="58">
        <v>44729</v>
      </c>
      <c r="K723" s="64"/>
    </row>
    <row r="724" spans="4:11" ht="15.6" customHeight="1">
      <c r="D724" s="38">
        <v>722</v>
      </c>
      <c r="E724" s="62">
        <v>4265</v>
      </c>
      <c r="F724" s="63" t="s">
        <v>8196</v>
      </c>
      <c r="G724" s="63" t="s">
        <v>6735</v>
      </c>
      <c r="H724" s="63" t="s">
        <v>6918</v>
      </c>
      <c r="I724" s="62">
        <v>2</v>
      </c>
      <c r="J724" s="58">
        <v>44729</v>
      </c>
      <c r="K724" s="64"/>
    </row>
    <row r="725" spans="4:11" ht="15.6" customHeight="1">
      <c r="D725" s="38">
        <v>723</v>
      </c>
      <c r="E725" s="62">
        <v>4328</v>
      </c>
      <c r="F725" s="63" t="s">
        <v>7156</v>
      </c>
      <c r="G725" s="63" t="s">
        <v>5281</v>
      </c>
      <c r="H725" s="63" t="s">
        <v>6</v>
      </c>
      <c r="I725" s="62">
        <v>2</v>
      </c>
      <c r="J725" s="58">
        <v>44729</v>
      </c>
      <c r="K725" s="64"/>
    </row>
    <row r="726" spans="4:11" ht="15.6" customHeight="1">
      <c r="D726" s="38">
        <v>724</v>
      </c>
      <c r="E726" s="62">
        <v>4755</v>
      </c>
      <c r="F726" s="63" t="s">
        <v>8197</v>
      </c>
      <c r="G726" s="63" t="s">
        <v>5281</v>
      </c>
      <c r="H726" s="63" t="s">
        <v>6</v>
      </c>
      <c r="I726" s="62">
        <v>2</v>
      </c>
      <c r="J726" s="58">
        <v>44729</v>
      </c>
      <c r="K726" s="64"/>
    </row>
    <row r="727" spans="4:11" ht="15.6" customHeight="1">
      <c r="D727" s="38">
        <v>725</v>
      </c>
      <c r="E727" s="62" t="s">
        <v>76</v>
      </c>
      <c r="F727" s="63" t="s">
        <v>8198</v>
      </c>
      <c r="G727" s="63" t="s">
        <v>5281</v>
      </c>
      <c r="H727" s="63" t="s">
        <v>6</v>
      </c>
      <c r="I727" s="62">
        <v>2</v>
      </c>
      <c r="J727" s="58">
        <v>44729</v>
      </c>
      <c r="K727" s="64"/>
    </row>
    <row r="728" spans="4:11" ht="15.6" customHeight="1">
      <c r="D728" s="38">
        <v>726</v>
      </c>
      <c r="E728" s="62">
        <v>4408</v>
      </c>
      <c r="F728" s="63" t="s">
        <v>8199</v>
      </c>
      <c r="G728" s="63" t="s">
        <v>6790</v>
      </c>
      <c r="H728" s="63" t="s">
        <v>6853</v>
      </c>
      <c r="I728" s="62">
        <v>2</v>
      </c>
      <c r="J728" s="58">
        <v>44729</v>
      </c>
      <c r="K728" s="64"/>
    </row>
    <row r="729" spans="4:11" ht="15.6" customHeight="1">
      <c r="D729" s="38">
        <v>727</v>
      </c>
      <c r="E729" s="62">
        <v>4132</v>
      </c>
      <c r="F729" s="63" t="s">
        <v>8200</v>
      </c>
      <c r="G729" s="63" t="s">
        <v>6790</v>
      </c>
      <c r="H729" s="63" t="s">
        <v>6853</v>
      </c>
      <c r="I729" s="62">
        <v>2</v>
      </c>
      <c r="J729" s="58">
        <v>44729</v>
      </c>
      <c r="K729" s="64"/>
    </row>
    <row r="730" spans="4:11" ht="15.6" customHeight="1">
      <c r="D730" s="38">
        <v>728</v>
      </c>
      <c r="E730" s="62">
        <v>4383</v>
      </c>
      <c r="F730" s="63" t="s">
        <v>8201</v>
      </c>
      <c r="G730" s="63" t="s">
        <v>6735</v>
      </c>
      <c r="H730" s="63" t="s">
        <v>6918</v>
      </c>
      <c r="I730" s="62">
        <v>2</v>
      </c>
      <c r="J730" s="58">
        <v>44732</v>
      </c>
      <c r="K730" s="64"/>
    </row>
    <row r="731" spans="4:11" ht="15.6" customHeight="1">
      <c r="D731" s="38">
        <v>729</v>
      </c>
      <c r="E731" s="62">
        <v>4914</v>
      </c>
      <c r="F731" s="63" t="s">
        <v>8202</v>
      </c>
      <c r="G731" s="63" t="s">
        <v>6735</v>
      </c>
      <c r="H731" s="63" t="s">
        <v>6918</v>
      </c>
      <c r="I731" s="62">
        <v>2</v>
      </c>
      <c r="J731" s="58">
        <v>44732</v>
      </c>
      <c r="K731" s="64"/>
    </row>
    <row r="732" spans="4:11" ht="15.6" customHeight="1">
      <c r="D732" s="38">
        <v>730</v>
      </c>
      <c r="E732" s="62" t="s">
        <v>8203</v>
      </c>
      <c r="F732" s="63" t="s">
        <v>8204</v>
      </c>
      <c r="G732" s="63" t="s">
        <v>6735</v>
      </c>
      <c r="H732" s="63" t="s">
        <v>7362</v>
      </c>
      <c r="I732" s="62">
        <v>2</v>
      </c>
      <c r="J732" s="58">
        <v>44732</v>
      </c>
      <c r="K732" s="64"/>
    </row>
    <row r="733" spans="4:11" ht="15.6" customHeight="1">
      <c r="D733" s="38">
        <v>731</v>
      </c>
      <c r="E733" s="62">
        <v>2890</v>
      </c>
      <c r="F733" s="63" t="s">
        <v>8205</v>
      </c>
      <c r="G733" s="63" t="s">
        <v>5281</v>
      </c>
      <c r="H733" s="63" t="s">
        <v>6</v>
      </c>
      <c r="I733" s="62">
        <v>2</v>
      </c>
      <c r="J733" s="58">
        <v>44732</v>
      </c>
      <c r="K733" s="64"/>
    </row>
    <row r="734" spans="4:11" ht="15.6" customHeight="1">
      <c r="D734" s="38">
        <v>732</v>
      </c>
      <c r="E734" s="62">
        <v>3452</v>
      </c>
      <c r="F734" s="63" t="s">
        <v>6672</v>
      </c>
      <c r="G734" s="63" t="s">
        <v>5281</v>
      </c>
      <c r="H734" s="63" t="s">
        <v>6</v>
      </c>
      <c r="I734" s="62">
        <v>2</v>
      </c>
      <c r="J734" s="58">
        <v>44732</v>
      </c>
      <c r="K734" s="64"/>
    </row>
    <row r="735" spans="4:11" ht="15.6" customHeight="1">
      <c r="D735" s="38">
        <v>733</v>
      </c>
      <c r="E735" s="62">
        <v>4218</v>
      </c>
      <c r="F735" s="63" t="s">
        <v>8206</v>
      </c>
      <c r="G735" s="63" t="s">
        <v>5281</v>
      </c>
      <c r="H735" s="63" t="s">
        <v>6</v>
      </c>
      <c r="I735" s="62">
        <v>2</v>
      </c>
      <c r="J735" s="58">
        <v>44732</v>
      </c>
      <c r="K735" s="64"/>
    </row>
    <row r="736" spans="4:11" ht="15.6" customHeight="1">
      <c r="D736" s="38">
        <v>734</v>
      </c>
      <c r="E736" s="62">
        <v>4564</v>
      </c>
      <c r="F736" s="63" t="s">
        <v>8207</v>
      </c>
      <c r="G736" s="63" t="s">
        <v>6790</v>
      </c>
      <c r="H736" s="63" t="s">
        <v>6853</v>
      </c>
      <c r="I736" s="62">
        <v>2</v>
      </c>
      <c r="J736" s="58">
        <v>44732</v>
      </c>
      <c r="K736" s="64"/>
    </row>
    <row r="737" spans="4:11" ht="15.6" customHeight="1">
      <c r="D737" s="38">
        <v>735</v>
      </c>
      <c r="E737" s="62">
        <v>3539</v>
      </c>
      <c r="F737" s="63" t="s">
        <v>8208</v>
      </c>
      <c r="G737" s="63" t="s">
        <v>6790</v>
      </c>
      <c r="H737" s="63" t="s">
        <v>6853</v>
      </c>
      <c r="I737" s="62">
        <v>2</v>
      </c>
      <c r="J737" s="58">
        <v>44732</v>
      </c>
      <c r="K737" s="64"/>
    </row>
    <row r="738" spans="4:11" ht="15.6" customHeight="1">
      <c r="D738" s="38">
        <v>736</v>
      </c>
      <c r="E738" s="62">
        <v>3986</v>
      </c>
      <c r="F738" s="63" t="s">
        <v>8209</v>
      </c>
      <c r="G738" s="63" t="s">
        <v>6808</v>
      </c>
      <c r="H738" s="63" t="s">
        <v>7281</v>
      </c>
      <c r="I738" s="62">
        <v>2</v>
      </c>
      <c r="J738" s="58">
        <v>44732</v>
      </c>
      <c r="K738" s="64"/>
    </row>
    <row r="739" spans="4:11" ht="15.6" customHeight="1">
      <c r="D739" s="38">
        <v>737</v>
      </c>
      <c r="E739" s="62">
        <v>4692</v>
      </c>
      <c r="F739" s="63" t="s">
        <v>8210</v>
      </c>
      <c r="G739" s="63" t="s">
        <v>6808</v>
      </c>
      <c r="H739" s="63" t="s">
        <v>7281</v>
      </c>
      <c r="I739" s="62">
        <v>2</v>
      </c>
      <c r="J739" s="58">
        <v>44732</v>
      </c>
      <c r="K739" s="64"/>
    </row>
    <row r="740" spans="4:11" ht="15.6" customHeight="1">
      <c r="D740" s="38">
        <v>738</v>
      </c>
      <c r="E740" s="62">
        <v>4336</v>
      </c>
      <c r="F740" s="63" t="s">
        <v>8211</v>
      </c>
      <c r="G740" s="63" t="s">
        <v>6808</v>
      </c>
      <c r="H740" s="63" t="s">
        <v>7281</v>
      </c>
      <c r="I740" s="62">
        <v>2</v>
      </c>
      <c r="J740" s="58">
        <v>44732</v>
      </c>
      <c r="K740" s="64"/>
    </row>
    <row r="741" spans="4:11" ht="15.6" customHeight="1">
      <c r="D741" s="38">
        <v>739</v>
      </c>
      <c r="E741" s="62">
        <v>3205</v>
      </c>
      <c r="F741" s="63" t="s">
        <v>8212</v>
      </c>
      <c r="G741" s="63" t="s">
        <v>6850</v>
      </c>
      <c r="H741" s="63" t="s">
        <v>8213</v>
      </c>
      <c r="I741" s="62">
        <v>2</v>
      </c>
      <c r="J741" s="58">
        <v>44732</v>
      </c>
      <c r="K741" s="64"/>
    </row>
    <row r="742" spans="4:11" ht="15.6" customHeight="1">
      <c r="D742" s="38">
        <v>740</v>
      </c>
      <c r="E742" s="62">
        <v>4050</v>
      </c>
      <c r="F742" s="63" t="s">
        <v>8214</v>
      </c>
      <c r="G742" s="63" t="s">
        <v>6850</v>
      </c>
      <c r="H742" s="63" t="s">
        <v>8215</v>
      </c>
      <c r="I742" s="62">
        <v>2</v>
      </c>
      <c r="J742" s="58">
        <v>44732</v>
      </c>
      <c r="K742" s="64"/>
    </row>
    <row r="743" spans="4:11" ht="15.6" customHeight="1">
      <c r="D743" s="38">
        <v>741</v>
      </c>
      <c r="E743" s="62">
        <v>2303</v>
      </c>
      <c r="F743" s="63" t="s">
        <v>8216</v>
      </c>
      <c r="G743" s="63" t="s">
        <v>5281</v>
      </c>
      <c r="H743" s="63" t="s">
        <v>7</v>
      </c>
      <c r="I743" s="62">
        <v>2</v>
      </c>
      <c r="J743" s="58">
        <v>44733</v>
      </c>
      <c r="K743" s="65"/>
    </row>
    <row r="744" spans="4:11" ht="15.6" customHeight="1">
      <c r="D744" s="38">
        <v>742</v>
      </c>
      <c r="E744" s="62" t="s">
        <v>8217</v>
      </c>
      <c r="F744" s="63" t="s">
        <v>8218</v>
      </c>
      <c r="G744" s="63" t="s">
        <v>6735</v>
      </c>
      <c r="H744" s="63" t="s">
        <v>7362</v>
      </c>
      <c r="I744" s="62">
        <v>2</v>
      </c>
      <c r="J744" s="58">
        <v>44733</v>
      </c>
      <c r="K744" s="65"/>
    </row>
    <row r="745" spans="4:11" ht="15.6" customHeight="1">
      <c r="D745" s="38">
        <v>743</v>
      </c>
      <c r="E745" s="62">
        <v>2169</v>
      </c>
      <c r="F745" s="63" t="s">
        <v>8219</v>
      </c>
      <c r="G745" s="63" t="s">
        <v>6735</v>
      </c>
      <c r="H745" s="63" t="s">
        <v>7362</v>
      </c>
      <c r="I745" s="62">
        <v>2</v>
      </c>
      <c r="J745" s="58">
        <v>44733</v>
      </c>
      <c r="K745" s="66"/>
    </row>
    <row r="746" spans="4:11" ht="15.6" customHeight="1">
      <c r="D746" s="38">
        <v>744</v>
      </c>
      <c r="E746" s="62">
        <v>2451</v>
      </c>
      <c r="F746" s="63" t="s">
        <v>8220</v>
      </c>
      <c r="G746" s="63" t="s">
        <v>6735</v>
      </c>
      <c r="H746" s="63" t="s">
        <v>7362</v>
      </c>
      <c r="I746" s="62">
        <v>2</v>
      </c>
      <c r="J746" s="58">
        <v>44733</v>
      </c>
      <c r="K746" s="66"/>
    </row>
    <row r="747" spans="4:11" ht="15.6" customHeight="1">
      <c r="D747" s="38">
        <v>745</v>
      </c>
      <c r="E747" s="62">
        <v>3892</v>
      </c>
      <c r="F747" s="63" t="s">
        <v>1950</v>
      </c>
      <c r="G747" s="63" t="s">
        <v>5281</v>
      </c>
      <c r="H747" s="63" t="s">
        <v>6</v>
      </c>
      <c r="I747" s="62">
        <v>2</v>
      </c>
      <c r="J747" s="58">
        <v>44733</v>
      </c>
      <c r="K747" s="64"/>
    </row>
    <row r="748" spans="4:11" ht="15.6" customHeight="1">
      <c r="D748" s="38">
        <v>746</v>
      </c>
      <c r="E748" s="62">
        <v>4125</v>
      </c>
      <c r="F748" s="63" t="s">
        <v>1778</v>
      </c>
      <c r="G748" s="63" t="s">
        <v>5281</v>
      </c>
      <c r="H748" s="63" t="s">
        <v>6</v>
      </c>
      <c r="I748" s="62">
        <v>2</v>
      </c>
      <c r="J748" s="58">
        <v>44733</v>
      </c>
      <c r="K748" s="64"/>
    </row>
    <row r="749" spans="4:11" ht="15.6" customHeight="1">
      <c r="D749" s="38">
        <v>747</v>
      </c>
      <c r="E749" s="62">
        <v>3315</v>
      </c>
      <c r="F749" s="63" t="s">
        <v>8221</v>
      </c>
      <c r="G749" s="63" t="s">
        <v>6790</v>
      </c>
      <c r="H749" s="63" t="s">
        <v>7393</v>
      </c>
      <c r="I749" s="62">
        <v>2</v>
      </c>
      <c r="J749" s="58">
        <v>44733</v>
      </c>
      <c r="K749" s="65"/>
    </row>
    <row r="750" spans="4:11" ht="15.6" customHeight="1">
      <c r="D750" s="38">
        <v>748</v>
      </c>
      <c r="E750" s="62">
        <v>4791</v>
      </c>
      <c r="F750" s="63" t="s">
        <v>8222</v>
      </c>
      <c r="G750" s="63" t="s">
        <v>6790</v>
      </c>
      <c r="H750" s="63" t="s">
        <v>7393</v>
      </c>
      <c r="I750" s="62">
        <v>2</v>
      </c>
      <c r="J750" s="58">
        <v>44733</v>
      </c>
      <c r="K750" s="65"/>
    </row>
    <row r="751" spans="4:11" ht="15.6" customHeight="1">
      <c r="D751" s="38">
        <v>749</v>
      </c>
      <c r="E751" s="62">
        <v>4496</v>
      </c>
      <c r="F751" s="63" t="s">
        <v>8223</v>
      </c>
      <c r="G751" s="63" t="s">
        <v>6808</v>
      </c>
      <c r="H751" s="63" t="s">
        <v>8224</v>
      </c>
      <c r="I751" s="62">
        <v>2</v>
      </c>
      <c r="J751" s="58">
        <v>44733</v>
      </c>
      <c r="K751" s="64"/>
    </row>
    <row r="752" spans="4:11" ht="15.6" customHeight="1">
      <c r="D752" s="38">
        <v>750</v>
      </c>
      <c r="E752" s="62" t="s">
        <v>7336</v>
      </c>
      <c r="F752" s="63" t="s">
        <v>7337</v>
      </c>
      <c r="G752" s="63" t="s">
        <v>6808</v>
      </c>
      <c r="H752" s="63" t="s">
        <v>8225</v>
      </c>
      <c r="I752" s="62">
        <v>2</v>
      </c>
      <c r="J752" s="58">
        <v>44733</v>
      </c>
      <c r="K752" s="64"/>
    </row>
    <row r="753" spans="4:11" ht="15.6" customHeight="1">
      <c r="D753" s="38">
        <v>751</v>
      </c>
      <c r="E753" s="62">
        <v>4269</v>
      </c>
      <c r="F753" s="63" t="s">
        <v>8226</v>
      </c>
      <c r="G753" s="63" t="s">
        <v>6850</v>
      </c>
      <c r="H753" s="63" t="s">
        <v>8227</v>
      </c>
      <c r="I753" s="62">
        <v>2</v>
      </c>
      <c r="J753" s="58">
        <v>44733</v>
      </c>
      <c r="K753" s="64"/>
    </row>
    <row r="754" spans="4:11" ht="15.6" customHeight="1">
      <c r="D754" s="38">
        <v>752</v>
      </c>
      <c r="E754" s="62">
        <v>3669</v>
      </c>
      <c r="F754" s="63" t="s">
        <v>8228</v>
      </c>
      <c r="G754" s="63" t="s">
        <v>6850</v>
      </c>
      <c r="H754" s="63" t="s">
        <v>8227</v>
      </c>
      <c r="I754" s="62">
        <v>2</v>
      </c>
      <c r="J754" s="58">
        <v>44733</v>
      </c>
      <c r="K754" s="64"/>
    </row>
    <row r="755" spans="4:11" ht="15.6" customHeight="1">
      <c r="D755" s="38">
        <v>753</v>
      </c>
      <c r="E755" s="62">
        <v>4130</v>
      </c>
      <c r="F755" s="63" t="s">
        <v>8229</v>
      </c>
      <c r="G755" s="63" t="s">
        <v>6850</v>
      </c>
      <c r="H755" s="63" t="s">
        <v>8230</v>
      </c>
      <c r="I755" s="62">
        <v>2</v>
      </c>
      <c r="J755" s="58">
        <v>44733</v>
      </c>
      <c r="K755" s="65"/>
    </row>
    <row r="756" spans="4:11" ht="15.6" customHeight="1">
      <c r="D756" s="38">
        <v>754</v>
      </c>
      <c r="E756" s="62">
        <v>2506</v>
      </c>
      <c r="F756" s="63" t="s">
        <v>8231</v>
      </c>
      <c r="G756" s="63" t="s">
        <v>6735</v>
      </c>
      <c r="H756" s="63" t="s">
        <v>7362</v>
      </c>
      <c r="I756" s="62">
        <v>2</v>
      </c>
      <c r="J756" s="58">
        <v>44734</v>
      </c>
      <c r="K756" s="64"/>
    </row>
    <row r="757" spans="4:11" ht="15.6" customHeight="1">
      <c r="D757" s="38">
        <v>755</v>
      </c>
      <c r="E757" s="62">
        <v>2797</v>
      </c>
      <c r="F757" s="63" t="s">
        <v>8232</v>
      </c>
      <c r="G757" s="63" t="s">
        <v>6735</v>
      </c>
      <c r="H757" s="63" t="s">
        <v>7362</v>
      </c>
      <c r="I757" s="62">
        <v>2</v>
      </c>
      <c r="J757" s="58">
        <v>44734</v>
      </c>
      <c r="K757" s="64"/>
    </row>
    <row r="758" spans="4:11" ht="15.6" customHeight="1">
      <c r="D758" s="38">
        <v>756</v>
      </c>
      <c r="E758" s="62">
        <v>2690</v>
      </c>
      <c r="F758" s="63" t="s">
        <v>8233</v>
      </c>
      <c r="G758" s="63" t="s">
        <v>6735</v>
      </c>
      <c r="H758" s="63" t="s">
        <v>7362</v>
      </c>
      <c r="I758" s="62">
        <v>2</v>
      </c>
      <c r="J758" s="58">
        <v>44734</v>
      </c>
      <c r="K758" s="64"/>
    </row>
    <row r="759" spans="4:11" ht="15.6" customHeight="1">
      <c r="D759" s="38">
        <v>757</v>
      </c>
      <c r="E759" s="62">
        <v>3929</v>
      </c>
      <c r="F759" s="63" t="s">
        <v>8234</v>
      </c>
      <c r="G759" s="63" t="s">
        <v>5281</v>
      </c>
      <c r="H759" s="63" t="s">
        <v>6</v>
      </c>
      <c r="I759" s="62">
        <v>2</v>
      </c>
      <c r="J759" s="58">
        <v>44734</v>
      </c>
      <c r="K759" s="64"/>
    </row>
    <row r="760" spans="4:11" ht="15.6" customHeight="1">
      <c r="D760" s="38">
        <v>758</v>
      </c>
      <c r="E760" s="62">
        <v>2958</v>
      </c>
      <c r="F760" s="63" t="s">
        <v>1770</v>
      </c>
      <c r="G760" s="63" t="s">
        <v>5281</v>
      </c>
      <c r="H760" s="63" t="s">
        <v>6</v>
      </c>
      <c r="I760" s="62">
        <v>2</v>
      </c>
      <c r="J760" s="58">
        <v>44734</v>
      </c>
      <c r="K760" s="64"/>
    </row>
    <row r="761" spans="4:11" ht="15.6" customHeight="1">
      <c r="D761" s="38">
        <v>759</v>
      </c>
      <c r="E761" s="62" t="s">
        <v>7476</v>
      </c>
      <c r="F761" s="63" t="s">
        <v>7477</v>
      </c>
      <c r="G761" s="63" t="s">
        <v>5281</v>
      </c>
      <c r="H761" s="63" t="s">
        <v>6</v>
      </c>
      <c r="I761" s="62">
        <v>2</v>
      </c>
      <c r="J761" s="58">
        <v>44734</v>
      </c>
      <c r="K761" s="64"/>
    </row>
    <row r="762" spans="4:11" ht="15.6" customHeight="1">
      <c r="D762" s="38">
        <v>760</v>
      </c>
      <c r="E762" s="62">
        <v>4579</v>
      </c>
      <c r="F762" s="63" t="s">
        <v>8235</v>
      </c>
      <c r="G762" s="63" t="s">
        <v>6790</v>
      </c>
      <c r="H762" s="63" t="s">
        <v>7393</v>
      </c>
      <c r="I762" s="62">
        <v>2</v>
      </c>
      <c r="J762" s="58">
        <v>44734</v>
      </c>
      <c r="K762" s="64"/>
    </row>
    <row r="763" spans="4:11" ht="15.6" customHeight="1">
      <c r="D763" s="38">
        <v>761</v>
      </c>
      <c r="E763" s="62">
        <v>2002</v>
      </c>
      <c r="F763" s="63" t="s">
        <v>8236</v>
      </c>
      <c r="G763" s="63" t="s">
        <v>6790</v>
      </c>
      <c r="H763" s="63" t="s">
        <v>7393</v>
      </c>
      <c r="I763" s="62">
        <v>2</v>
      </c>
      <c r="J763" s="58">
        <v>44734</v>
      </c>
      <c r="K763" s="64"/>
    </row>
    <row r="764" spans="4:11" ht="15.6" customHeight="1">
      <c r="D764" s="38">
        <v>762</v>
      </c>
      <c r="E764" s="62" t="s">
        <v>8237</v>
      </c>
      <c r="F764" s="63" t="s">
        <v>8238</v>
      </c>
      <c r="G764" s="63" t="s">
        <v>6756</v>
      </c>
      <c r="H764" s="63" t="s">
        <v>8239</v>
      </c>
      <c r="I764" s="62">
        <v>2</v>
      </c>
      <c r="J764" s="58">
        <v>44734</v>
      </c>
      <c r="K764" s="64"/>
    </row>
    <row r="765" spans="4:11" ht="15.6" customHeight="1">
      <c r="D765" s="38">
        <v>763</v>
      </c>
      <c r="E765" s="62" t="s">
        <v>8240</v>
      </c>
      <c r="F765" s="63" t="s">
        <v>8241</v>
      </c>
      <c r="G765" s="63" t="s">
        <v>6756</v>
      </c>
      <c r="H765" s="63" t="s">
        <v>8239</v>
      </c>
      <c r="I765" s="62">
        <v>2</v>
      </c>
      <c r="J765" s="58">
        <v>44734</v>
      </c>
      <c r="K765" s="64"/>
    </row>
    <row r="766" spans="4:11" ht="15.6" customHeight="1">
      <c r="D766" s="38">
        <v>764</v>
      </c>
      <c r="E766" s="62">
        <v>4798</v>
      </c>
      <c r="F766" s="63" t="s">
        <v>8242</v>
      </c>
      <c r="G766" s="63" t="s">
        <v>6850</v>
      </c>
      <c r="H766" s="63" t="s">
        <v>8243</v>
      </c>
      <c r="I766" s="62">
        <v>2</v>
      </c>
      <c r="J766" s="58">
        <v>44734</v>
      </c>
      <c r="K766" s="64"/>
    </row>
    <row r="767" spans="4:11" ht="15.6" customHeight="1">
      <c r="D767" s="38">
        <v>765</v>
      </c>
      <c r="E767" s="62">
        <v>3395</v>
      </c>
      <c r="F767" s="63" t="s">
        <v>8244</v>
      </c>
      <c r="G767" s="63" t="s">
        <v>6735</v>
      </c>
      <c r="H767" s="63" t="s">
        <v>7362</v>
      </c>
      <c r="I767" s="62">
        <v>2</v>
      </c>
      <c r="J767" s="58">
        <v>44735</v>
      </c>
      <c r="K767" s="64"/>
    </row>
    <row r="768" spans="4:11" ht="15.6" customHeight="1">
      <c r="D768" s="38">
        <v>766</v>
      </c>
      <c r="E768" s="62">
        <v>3536</v>
      </c>
      <c r="F768" s="63" t="s">
        <v>8245</v>
      </c>
      <c r="G768" s="63" t="s">
        <v>6735</v>
      </c>
      <c r="H768" s="63" t="s">
        <v>7362</v>
      </c>
      <c r="I768" s="62">
        <v>2</v>
      </c>
      <c r="J768" s="58">
        <v>44735</v>
      </c>
      <c r="K768" s="64"/>
    </row>
    <row r="769" spans="4:11" ht="15.6" customHeight="1">
      <c r="D769" s="38">
        <v>767</v>
      </c>
      <c r="E769" s="62">
        <v>3656</v>
      </c>
      <c r="F769" s="63" t="s">
        <v>8246</v>
      </c>
      <c r="G769" s="63" t="s">
        <v>6735</v>
      </c>
      <c r="H769" s="63" t="s">
        <v>7362</v>
      </c>
      <c r="I769" s="62">
        <v>2</v>
      </c>
      <c r="J769" s="58">
        <v>44735</v>
      </c>
      <c r="K769" s="64"/>
    </row>
    <row r="770" spans="4:11" ht="15.6" customHeight="1">
      <c r="D770" s="38">
        <v>768</v>
      </c>
      <c r="E770" s="62">
        <v>4923</v>
      </c>
      <c r="F770" s="63" t="s">
        <v>1938</v>
      </c>
      <c r="G770" s="63" t="s">
        <v>5281</v>
      </c>
      <c r="H770" s="63" t="s">
        <v>8247</v>
      </c>
      <c r="I770" s="62">
        <v>2</v>
      </c>
      <c r="J770" s="58">
        <v>44735</v>
      </c>
      <c r="K770" s="64"/>
    </row>
    <row r="771" spans="4:11" ht="15.6" customHeight="1">
      <c r="D771" s="38">
        <v>769</v>
      </c>
      <c r="E771" s="62">
        <v>2301</v>
      </c>
      <c r="F771" s="63" t="s">
        <v>8248</v>
      </c>
      <c r="G771" s="63" t="s">
        <v>5281</v>
      </c>
      <c r="H771" s="63" t="s">
        <v>6</v>
      </c>
      <c r="I771" s="62">
        <v>2</v>
      </c>
      <c r="J771" s="58">
        <v>44735</v>
      </c>
      <c r="K771" s="64"/>
    </row>
    <row r="772" spans="4:11" ht="15.6" customHeight="1">
      <c r="D772" s="38">
        <v>770</v>
      </c>
      <c r="E772" s="62">
        <v>4036</v>
      </c>
      <c r="F772" s="63" t="s">
        <v>8249</v>
      </c>
      <c r="G772" s="63" t="s">
        <v>5281</v>
      </c>
      <c r="H772" s="63" t="s">
        <v>6</v>
      </c>
      <c r="I772" s="62">
        <v>2</v>
      </c>
      <c r="J772" s="58">
        <v>44735</v>
      </c>
      <c r="K772" s="64"/>
    </row>
    <row r="773" spans="4:11" ht="15.6" customHeight="1">
      <c r="D773" s="38">
        <v>771</v>
      </c>
      <c r="E773" s="62">
        <v>3179</v>
      </c>
      <c r="F773" s="63" t="s">
        <v>8250</v>
      </c>
      <c r="G773" s="63" t="s">
        <v>6790</v>
      </c>
      <c r="H773" s="63" t="s">
        <v>7393</v>
      </c>
      <c r="I773" s="62">
        <v>2</v>
      </c>
      <c r="J773" s="58">
        <v>44735</v>
      </c>
      <c r="K773" s="64"/>
    </row>
    <row r="774" spans="4:11" ht="15.6" customHeight="1">
      <c r="D774" s="38">
        <v>772</v>
      </c>
      <c r="E774" s="62">
        <v>4090</v>
      </c>
      <c r="F774" s="63" t="s">
        <v>8251</v>
      </c>
      <c r="G774" s="63" t="s">
        <v>6790</v>
      </c>
      <c r="H774" s="63" t="s">
        <v>7393</v>
      </c>
      <c r="I774" s="62">
        <v>2</v>
      </c>
      <c r="J774" s="58">
        <v>44735</v>
      </c>
      <c r="K774" s="64"/>
    </row>
    <row r="775" spans="4:11" ht="15.6" customHeight="1">
      <c r="D775" s="38">
        <v>773</v>
      </c>
      <c r="E775" s="62" t="s">
        <v>8252</v>
      </c>
      <c r="F775" s="63" t="s">
        <v>8253</v>
      </c>
      <c r="G775" s="63" t="s">
        <v>6790</v>
      </c>
      <c r="H775" s="63" t="s">
        <v>7015</v>
      </c>
      <c r="I775" s="62">
        <v>2</v>
      </c>
      <c r="J775" s="58">
        <v>44735</v>
      </c>
      <c r="K775" s="64"/>
    </row>
    <row r="776" spans="4:11" ht="15.6" customHeight="1">
      <c r="D776" s="38">
        <v>774</v>
      </c>
      <c r="E776" s="62">
        <v>2686</v>
      </c>
      <c r="F776" s="63" t="s">
        <v>8254</v>
      </c>
      <c r="G776" s="63" t="s">
        <v>6790</v>
      </c>
      <c r="H776" s="63" t="s">
        <v>8255</v>
      </c>
      <c r="I776" s="62">
        <v>2</v>
      </c>
      <c r="J776" s="58">
        <v>44735</v>
      </c>
      <c r="K776" s="64"/>
    </row>
    <row r="777" spans="4:11" ht="15.6" customHeight="1">
      <c r="D777" s="38">
        <v>775</v>
      </c>
      <c r="E777" s="62">
        <v>4638</v>
      </c>
      <c r="F777" s="63" t="s">
        <v>8256</v>
      </c>
      <c r="G777" s="63" t="s">
        <v>6850</v>
      </c>
      <c r="H777" s="63" t="s">
        <v>6949</v>
      </c>
      <c r="I777" s="62">
        <v>2</v>
      </c>
      <c r="J777" s="58">
        <v>44735</v>
      </c>
      <c r="K777" s="64"/>
    </row>
    <row r="778" spans="4:11" ht="15.6" customHeight="1">
      <c r="D778" s="38">
        <v>776</v>
      </c>
      <c r="E778" s="62">
        <v>4740</v>
      </c>
      <c r="F778" s="63" t="s">
        <v>8257</v>
      </c>
      <c r="G778" s="63" t="s">
        <v>6735</v>
      </c>
      <c r="H778" s="63" t="s">
        <v>7362</v>
      </c>
      <c r="I778" s="62">
        <v>2</v>
      </c>
      <c r="J778" s="58">
        <v>44736</v>
      </c>
      <c r="K778" s="64"/>
    </row>
    <row r="779" spans="4:11" ht="15.6" customHeight="1">
      <c r="D779" s="38">
        <v>777</v>
      </c>
      <c r="E779" s="62">
        <v>4865</v>
      </c>
      <c r="F779" s="63" t="s">
        <v>8258</v>
      </c>
      <c r="G779" s="63" t="s">
        <v>6735</v>
      </c>
      <c r="H779" s="63" t="s">
        <v>7362</v>
      </c>
      <c r="I779" s="62">
        <v>2</v>
      </c>
      <c r="J779" s="58">
        <v>44736</v>
      </c>
      <c r="K779" s="64"/>
    </row>
    <row r="780" spans="4:11" ht="15.6" customHeight="1">
      <c r="D780" s="38">
        <v>778</v>
      </c>
      <c r="E780" s="62">
        <v>4969</v>
      </c>
      <c r="F780" s="63" t="s">
        <v>7266</v>
      </c>
      <c r="G780" s="63" t="s">
        <v>6735</v>
      </c>
      <c r="H780" s="63" t="s">
        <v>7362</v>
      </c>
      <c r="I780" s="62">
        <v>2</v>
      </c>
      <c r="J780" s="58">
        <v>44736</v>
      </c>
      <c r="K780" s="64"/>
    </row>
    <row r="781" spans="4:11" ht="15.6" customHeight="1">
      <c r="D781" s="38">
        <v>779</v>
      </c>
      <c r="E781" s="62">
        <v>4528</v>
      </c>
      <c r="F781" s="63" t="s">
        <v>1718</v>
      </c>
      <c r="G781" s="63" t="s">
        <v>5281</v>
      </c>
      <c r="H781" s="63" t="s">
        <v>5</v>
      </c>
      <c r="I781" s="62">
        <v>2</v>
      </c>
      <c r="J781" s="58">
        <v>44736</v>
      </c>
      <c r="K781" s="64"/>
    </row>
    <row r="782" spans="4:11" ht="15.6" customHeight="1">
      <c r="D782" s="38">
        <v>780</v>
      </c>
      <c r="E782" s="62">
        <v>4259</v>
      </c>
      <c r="F782" s="63" t="s">
        <v>1713</v>
      </c>
      <c r="G782" s="63" t="s">
        <v>5281</v>
      </c>
      <c r="H782" s="63" t="s">
        <v>5</v>
      </c>
      <c r="I782" s="62">
        <v>2</v>
      </c>
      <c r="J782" s="58">
        <v>44736</v>
      </c>
      <c r="K782" s="64"/>
    </row>
    <row r="783" spans="4:11" ht="15.6" customHeight="1">
      <c r="D783" s="38">
        <v>781</v>
      </c>
      <c r="E783" s="62">
        <v>4764</v>
      </c>
      <c r="F783" s="63" t="s">
        <v>1699</v>
      </c>
      <c r="G783" s="63" t="s">
        <v>5281</v>
      </c>
      <c r="H783" s="63" t="s">
        <v>5</v>
      </c>
      <c r="I783" s="62">
        <v>2</v>
      </c>
      <c r="J783" s="58">
        <v>44736</v>
      </c>
      <c r="K783" s="64"/>
    </row>
    <row r="784" spans="4:11" ht="15.6" customHeight="1">
      <c r="D784" s="38">
        <v>782</v>
      </c>
      <c r="E784" s="62">
        <v>2306</v>
      </c>
      <c r="F784" s="63" t="s">
        <v>8259</v>
      </c>
      <c r="G784" s="63" t="s">
        <v>5281</v>
      </c>
      <c r="H784" s="63" t="s">
        <v>5</v>
      </c>
      <c r="I784" s="62">
        <v>2</v>
      </c>
      <c r="J784" s="58">
        <v>44736</v>
      </c>
      <c r="K784" s="64"/>
    </row>
    <row r="785" spans="4:11" ht="15.6" customHeight="1">
      <c r="D785" s="38">
        <v>783</v>
      </c>
      <c r="E785" s="62">
        <v>4043</v>
      </c>
      <c r="F785" s="63" t="s">
        <v>8260</v>
      </c>
      <c r="G785" s="63" t="s">
        <v>6790</v>
      </c>
      <c r="H785" s="63" t="s">
        <v>7393</v>
      </c>
      <c r="I785" s="62">
        <v>2</v>
      </c>
      <c r="J785" s="58">
        <v>44736</v>
      </c>
      <c r="K785" s="64"/>
    </row>
    <row r="786" spans="4:11" ht="15.6" customHeight="1">
      <c r="D786" s="38">
        <v>784</v>
      </c>
      <c r="E786" s="62">
        <v>4380</v>
      </c>
      <c r="F786" s="63" t="s">
        <v>8261</v>
      </c>
      <c r="G786" s="63" t="s">
        <v>5281</v>
      </c>
      <c r="H786" s="63" t="s">
        <v>8125</v>
      </c>
      <c r="I786" s="62">
        <v>2</v>
      </c>
      <c r="J786" s="58">
        <v>44739</v>
      </c>
      <c r="K786" s="64"/>
    </row>
    <row r="787" spans="4:11" ht="15.6" customHeight="1">
      <c r="D787" s="38">
        <v>785</v>
      </c>
      <c r="E787" s="62">
        <v>4453</v>
      </c>
      <c r="F787" s="63" t="s">
        <v>8262</v>
      </c>
      <c r="G787" s="63" t="s">
        <v>5281</v>
      </c>
      <c r="H787" s="63" t="s">
        <v>8125</v>
      </c>
      <c r="I787" s="62">
        <v>2</v>
      </c>
      <c r="J787" s="58">
        <v>44739</v>
      </c>
      <c r="K787" s="64"/>
    </row>
    <row r="788" spans="4:11" ht="15.6" customHeight="1">
      <c r="D788" s="38">
        <v>786</v>
      </c>
      <c r="E788" s="62">
        <v>4642</v>
      </c>
      <c r="F788" s="63" t="s">
        <v>8263</v>
      </c>
      <c r="G788" s="63" t="s">
        <v>5281</v>
      </c>
      <c r="H788" s="63" t="s">
        <v>8125</v>
      </c>
      <c r="I788" s="62">
        <v>2</v>
      </c>
      <c r="J788" s="58">
        <v>44739</v>
      </c>
      <c r="K788" s="64"/>
    </row>
    <row r="789" spans="4:11" ht="15.6" customHeight="1">
      <c r="D789" s="38">
        <v>787</v>
      </c>
      <c r="E789" s="62">
        <v>4422</v>
      </c>
      <c r="F789" s="63" t="s">
        <v>552</v>
      </c>
      <c r="G789" s="63" t="s">
        <v>5281</v>
      </c>
      <c r="H789" s="63" t="s">
        <v>14</v>
      </c>
      <c r="I789" s="62">
        <v>2</v>
      </c>
      <c r="J789" s="58">
        <v>44739</v>
      </c>
      <c r="K789" s="64"/>
    </row>
    <row r="790" spans="4:11" ht="15.6" customHeight="1">
      <c r="D790" s="38">
        <v>788</v>
      </c>
      <c r="E790" s="62">
        <v>2403</v>
      </c>
      <c r="F790" s="63" t="s">
        <v>6333</v>
      </c>
      <c r="G790" s="63" t="s">
        <v>5281</v>
      </c>
      <c r="H790" s="63" t="s">
        <v>14</v>
      </c>
      <c r="I790" s="62">
        <v>2</v>
      </c>
      <c r="J790" s="58">
        <v>44739</v>
      </c>
      <c r="K790" s="64"/>
    </row>
    <row r="791" spans="4:11" ht="15.6" customHeight="1">
      <c r="D791" s="38">
        <v>789</v>
      </c>
      <c r="E791" s="62" t="s">
        <v>6830</v>
      </c>
      <c r="F791" s="63" t="s">
        <v>8264</v>
      </c>
      <c r="G791" s="63" t="s">
        <v>6765</v>
      </c>
      <c r="H791" s="63" t="s">
        <v>8265</v>
      </c>
      <c r="I791" s="62">
        <v>2</v>
      </c>
      <c r="J791" s="58">
        <v>44739</v>
      </c>
      <c r="K791" s="64"/>
    </row>
    <row r="792" spans="4:11" ht="15.6" customHeight="1">
      <c r="D792" s="38">
        <v>790</v>
      </c>
      <c r="E792" s="62">
        <v>4705</v>
      </c>
      <c r="F792" s="63" t="s">
        <v>8266</v>
      </c>
      <c r="G792" s="63" t="s">
        <v>6765</v>
      </c>
      <c r="H792" s="63" t="s">
        <v>8265</v>
      </c>
      <c r="I792" s="62">
        <v>2</v>
      </c>
      <c r="J792" s="58">
        <v>44739</v>
      </c>
      <c r="K792" s="64"/>
    </row>
    <row r="793" spans="4:11" ht="15.6" customHeight="1">
      <c r="D793" s="38">
        <v>791</v>
      </c>
      <c r="E793" s="62">
        <v>3093</v>
      </c>
      <c r="F793" s="63" t="s">
        <v>8267</v>
      </c>
      <c r="G793" s="63" t="s">
        <v>6765</v>
      </c>
      <c r="H793" s="63" t="s">
        <v>8265</v>
      </c>
      <c r="I793" s="62">
        <v>2</v>
      </c>
      <c r="J793" s="58">
        <v>44739</v>
      </c>
      <c r="K793" s="64"/>
    </row>
    <row r="794" spans="4:11" ht="15.6" customHeight="1">
      <c r="D794" s="38">
        <v>792</v>
      </c>
      <c r="E794" s="62">
        <v>3648</v>
      </c>
      <c r="F794" s="63" t="s">
        <v>8268</v>
      </c>
      <c r="G794" s="63" t="s">
        <v>6756</v>
      </c>
      <c r="H794" s="63" t="s">
        <v>8239</v>
      </c>
      <c r="I794" s="62">
        <v>2</v>
      </c>
      <c r="J794" s="58">
        <v>44739</v>
      </c>
      <c r="K794" s="64"/>
    </row>
    <row r="795" spans="4:11" ht="15.6" customHeight="1">
      <c r="D795" s="38">
        <v>793</v>
      </c>
      <c r="E795" s="62">
        <v>3987</v>
      </c>
      <c r="F795" s="63" t="s">
        <v>8269</v>
      </c>
      <c r="G795" s="63" t="s">
        <v>6756</v>
      </c>
      <c r="H795" s="63" t="s">
        <v>8239</v>
      </c>
      <c r="I795" s="62">
        <v>2</v>
      </c>
      <c r="J795" s="58">
        <v>44739</v>
      </c>
      <c r="K795" s="64"/>
    </row>
    <row r="796" spans="4:11" ht="15.6" customHeight="1">
      <c r="D796" s="38">
        <v>794</v>
      </c>
      <c r="E796" s="62">
        <v>4207</v>
      </c>
      <c r="F796" s="63" t="s">
        <v>8270</v>
      </c>
      <c r="G796" s="63" t="s">
        <v>6756</v>
      </c>
      <c r="H796" s="63" t="s">
        <v>8239</v>
      </c>
      <c r="I796" s="62">
        <v>2</v>
      </c>
      <c r="J796" s="58">
        <v>44739</v>
      </c>
      <c r="K796" s="64"/>
    </row>
    <row r="797" spans="4:11" ht="15.6" customHeight="1">
      <c r="D797" s="38">
        <v>795</v>
      </c>
      <c r="E797" s="62">
        <v>4635</v>
      </c>
      <c r="F797" s="63" t="s">
        <v>8271</v>
      </c>
      <c r="G797" s="63" t="s">
        <v>6792</v>
      </c>
      <c r="H797" s="63" t="s">
        <v>8272</v>
      </c>
      <c r="I797" s="62">
        <v>2</v>
      </c>
      <c r="J797" s="58">
        <v>44739</v>
      </c>
      <c r="K797" s="65"/>
    </row>
    <row r="798" spans="4:11" ht="15.6" customHeight="1">
      <c r="D798" s="38">
        <v>796</v>
      </c>
      <c r="E798" s="62">
        <v>4037</v>
      </c>
      <c r="F798" s="63" t="s">
        <v>8273</v>
      </c>
      <c r="G798" s="63" t="s">
        <v>6792</v>
      </c>
      <c r="H798" s="63" t="s">
        <v>8272</v>
      </c>
      <c r="I798" s="62">
        <v>2</v>
      </c>
      <c r="J798" s="58">
        <v>44739</v>
      </c>
      <c r="K798" s="65"/>
    </row>
    <row r="799" spans="4:11" ht="15.6" customHeight="1">
      <c r="D799" s="38">
        <v>797</v>
      </c>
      <c r="E799" s="62">
        <v>2545</v>
      </c>
      <c r="F799" s="63" t="s">
        <v>8274</v>
      </c>
      <c r="G799" s="63" t="s">
        <v>6792</v>
      </c>
      <c r="H799" s="63" t="s">
        <v>8272</v>
      </c>
      <c r="I799" s="62">
        <v>2</v>
      </c>
      <c r="J799" s="58">
        <v>44739</v>
      </c>
      <c r="K799" s="66"/>
    </row>
    <row r="800" spans="4:11" ht="15.6" customHeight="1">
      <c r="D800" s="38">
        <v>798</v>
      </c>
      <c r="E800" s="62">
        <v>4886</v>
      </c>
      <c r="F800" s="63" t="s">
        <v>8275</v>
      </c>
      <c r="G800" s="63" t="s">
        <v>5281</v>
      </c>
      <c r="H800" s="63" t="s">
        <v>8125</v>
      </c>
      <c r="I800" s="62">
        <v>2</v>
      </c>
      <c r="J800" s="58">
        <v>44740</v>
      </c>
      <c r="K800" s="66"/>
    </row>
    <row r="801" spans="4:11" ht="15.6" customHeight="1">
      <c r="D801" s="38">
        <v>799</v>
      </c>
      <c r="E801" s="62">
        <v>4989</v>
      </c>
      <c r="F801" s="63" t="s">
        <v>8276</v>
      </c>
      <c r="G801" s="63" t="s">
        <v>5281</v>
      </c>
      <c r="H801" s="63" t="s">
        <v>8125</v>
      </c>
      <c r="I801" s="62">
        <v>2</v>
      </c>
      <c r="J801" s="58">
        <v>44740</v>
      </c>
      <c r="K801" s="58"/>
    </row>
    <row r="802" spans="4:11" ht="15.6" customHeight="1">
      <c r="D802" s="38">
        <v>800</v>
      </c>
      <c r="E802" s="62">
        <v>3497</v>
      </c>
      <c r="F802" s="63" t="s">
        <v>8277</v>
      </c>
      <c r="G802" s="63" t="s">
        <v>6735</v>
      </c>
      <c r="H802" s="63" t="s">
        <v>6897</v>
      </c>
      <c r="I802" s="62">
        <v>2</v>
      </c>
      <c r="J802" s="58">
        <v>44740</v>
      </c>
      <c r="K802" s="64"/>
    </row>
    <row r="803" spans="4:11" ht="15.6" customHeight="1">
      <c r="D803" s="38">
        <v>801</v>
      </c>
      <c r="E803" s="62">
        <v>3965</v>
      </c>
      <c r="F803" s="63" t="s">
        <v>1038</v>
      </c>
      <c r="G803" s="63" t="s">
        <v>5281</v>
      </c>
      <c r="H803" s="63" t="s">
        <v>14</v>
      </c>
      <c r="I803" s="62">
        <v>2</v>
      </c>
      <c r="J803" s="58">
        <v>44740</v>
      </c>
      <c r="K803" s="65"/>
    </row>
    <row r="804" spans="4:11" ht="15.6" customHeight="1">
      <c r="D804" s="38">
        <v>802</v>
      </c>
      <c r="E804" s="62">
        <v>3962</v>
      </c>
      <c r="F804" s="63" t="s">
        <v>8278</v>
      </c>
      <c r="G804" s="63" t="s">
        <v>5281</v>
      </c>
      <c r="H804" s="63" t="s">
        <v>14</v>
      </c>
      <c r="I804" s="62">
        <v>2</v>
      </c>
      <c r="J804" s="58">
        <v>44740</v>
      </c>
      <c r="K804" s="65"/>
    </row>
    <row r="805" spans="4:11" ht="15.6" customHeight="1">
      <c r="D805" s="38">
        <v>803</v>
      </c>
      <c r="E805" s="62" t="s">
        <v>82</v>
      </c>
      <c r="F805" s="63" t="s">
        <v>8279</v>
      </c>
      <c r="G805" s="63" t="s">
        <v>5281</v>
      </c>
      <c r="H805" s="63" t="s">
        <v>14</v>
      </c>
      <c r="I805" s="62">
        <v>2</v>
      </c>
      <c r="J805" s="58">
        <v>44740</v>
      </c>
      <c r="K805" s="64"/>
    </row>
    <row r="806" spans="4:11" ht="15.6" customHeight="1">
      <c r="D806" s="38">
        <v>804</v>
      </c>
      <c r="E806" s="62">
        <v>4622</v>
      </c>
      <c r="F806" s="63" t="s">
        <v>8280</v>
      </c>
      <c r="G806" s="63" t="s">
        <v>6765</v>
      </c>
      <c r="H806" s="63" t="s">
        <v>8265</v>
      </c>
      <c r="I806" s="62">
        <v>2</v>
      </c>
      <c r="J806" s="58">
        <v>44740</v>
      </c>
      <c r="K806" s="64"/>
    </row>
    <row r="807" spans="4:11" ht="15.6" customHeight="1">
      <c r="D807" s="38">
        <v>805</v>
      </c>
      <c r="E807" s="62">
        <v>4695</v>
      </c>
      <c r="F807" s="63" t="s">
        <v>8281</v>
      </c>
      <c r="G807" s="63" t="s">
        <v>6765</v>
      </c>
      <c r="H807" s="63" t="s">
        <v>8265</v>
      </c>
      <c r="I807" s="62">
        <v>2</v>
      </c>
      <c r="J807" s="58">
        <v>44740</v>
      </c>
      <c r="K807" s="64"/>
    </row>
    <row r="808" spans="4:11" ht="15.6" customHeight="1">
      <c r="D808" s="38">
        <v>806</v>
      </c>
      <c r="E808" s="62">
        <v>4288</v>
      </c>
      <c r="F808" s="63" t="s">
        <v>8282</v>
      </c>
      <c r="G808" s="63" t="s">
        <v>6756</v>
      </c>
      <c r="H808" s="63" t="s">
        <v>8239</v>
      </c>
      <c r="I808" s="62">
        <v>2</v>
      </c>
      <c r="J808" s="58">
        <v>44740</v>
      </c>
      <c r="K808" s="64"/>
    </row>
    <row r="809" spans="4:11" ht="15.6" customHeight="1">
      <c r="D809" s="38">
        <v>807</v>
      </c>
      <c r="E809" s="62">
        <v>4604</v>
      </c>
      <c r="F809" s="63" t="s">
        <v>8283</v>
      </c>
      <c r="G809" s="63" t="s">
        <v>6756</v>
      </c>
      <c r="H809" s="63" t="s">
        <v>8239</v>
      </c>
      <c r="I809" s="62">
        <v>2</v>
      </c>
      <c r="J809" s="58">
        <v>44740</v>
      </c>
      <c r="K809" s="65"/>
    </row>
    <row r="810" spans="4:11" ht="15.6" customHeight="1">
      <c r="D810" s="38">
        <v>808</v>
      </c>
      <c r="E810" s="62">
        <v>2875</v>
      </c>
      <c r="F810" s="63" t="s">
        <v>8284</v>
      </c>
      <c r="G810" s="63" t="s">
        <v>6816</v>
      </c>
      <c r="H810" s="63" t="s">
        <v>7159</v>
      </c>
      <c r="I810" s="62">
        <v>2</v>
      </c>
      <c r="J810" s="58">
        <v>44740</v>
      </c>
      <c r="K810" s="64"/>
    </row>
    <row r="811" spans="4:11" ht="15.6" customHeight="1">
      <c r="D811" s="38">
        <v>809</v>
      </c>
      <c r="E811" s="62">
        <v>4747</v>
      </c>
      <c r="F811" s="63" t="s">
        <v>8285</v>
      </c>
      <c r="G811" s="63" t="s">
        <v>6765</v>
      </c>
      <c r="H811" s="63" t="s">
        <v>8265</v>
      </c>
      <c r="I811" s="62">
        <v>2</v>
      </c>
      <c r="J811" s="58">
        <v>44740</v>
      </c>
    </row>
    <row r="812" spans="4:11" ht="15.6" customHeight="1">
      <c r="D812" s="38">
        <v>810</v>
      </c>
      <c r="E812" s="62">
        <v>3761</v>
      </c>
      <c r="F812" s="63" t="s">
        <v>8286</v>
      </c>
      <c r="G812" s="63" t="s">
        <v>6735</v>
      </c>
      <c r="H812" s="63" t="s">
        <v>6897</v>
      </c>
      <c r="I812" s="62">
        <v>2</v>
      </c>
      <c r="J812" s="58">
        <v>44741</v>
      </c>
      <c r="K812" s="64"/>
    </row>
    <row r="813" spans="4:11" ht="15.6" customHeight="1">
      <c r="D813" s="38">
        <v>811</v>
      </c>
      <c r="E813" s="62">
        <v>3908</v>
      </c>
      <c r="F813" s="63" t="s">
        <v>8287</v>
      </c>
      <c r="G813" s="63" t="s">
        <v>6735</v>
      </c>
      <c r="H813" s="63" t="s">
        <v>6897</v>
      </c>
      <c r="I813" s="62">
        <v>2</v>
      </c>
      <c r="J813" s="58">
        <v>44741</v>
      </c>
      <c r="K813" s="64"/>
    </row>
    <row r="814" spans="4:11" ht="15.6" customHeight="1">
      <c r="D814" s="38">
        <v>812</v>
      </c>
      <c r="E814" s="62">
        <v>4082</v>
      </c>
      <c r="F814" s="63" t="s">
        <v>8288</v>
      </c>
      <c r="G814" s="63" t="s">
        <v>6735</v>
      </c>
      <c r="H814" s="63" t="s">
        <v>6897</v>
      </c>
      <c r="I814" s="62">
        <v>2</v>
      </c>
      <c r="J814" s="58">
        <v>44741</v>
      </c>
      <c r="K814" s="64"/>
    </row>
    <row r="815" spans="4:11" ht="15.6" customHeight="1">
      <c r="D815" s="38">
        <v>813</v>
      </c>
      <c r="E815" s="62">
        <v>2069</v>
      </c>
      <c r="F815" s="63" t="s">
        <v>8289</v>
      </c>
      <c r="G815" s="63" t="s">
        <v>5281</v>
      </c>
      <c r="H815" s="63" t="s">
        <v>14</v>
      </c>
      <c r="I815" s="62">
        <v>2</v>
      </c>
      <c r="J815" s="58">
        <v>44741</v>
      </c>
      <c r="K815" s="64"/>
    </row>
    <row r="816" spans="4:11" ht="15.6" customHeight="1">
      <c r="D816" s="38">
        <v>814</v>
      </c>
      <c r="E816" s="62">
        <v>4680</v>
      </c>
      <c r="F816" s="63" t="s">
        <v>1223</v>
      </c>
      <c r="G816" s="63" t="s">
        <v>5281</v>
      </c>
      <c r="H816" s="63" t="s">
        <v>14</v>
      </c>
      <c r="I816" s="62">
        <v>2</v>
      </c>
      <c r="J816" s="58">
        <v>44741</v>
      </c>
      <c r="K816" s="64"/>
    </row>
    <row r="817" spans="4:11" ht="15.6" customHeight="1">
      <c r="D817" s="38">
        <v>815</v>
      </c>
      <c r="E817" s="62">
        <v>2221</v>
      </c>
      <c r="F817" s="63" t="s">
        <v>8290</v>
      </c>
      <c r="G817" s="63" t="s">
        <v>5281</v>
      </c>
      <c r="H817" s="63" t="s">
        <v>14</v>
      </c>
      <c r="I817" s="62">
        <v>2</v>
      </c>
      <c r="J817" s="58">
        <v>44741</v>
      </c>
      <c r="K817" s="64"/>
    </row>
    <row r="818" spans="4:11" ht="15.6" customHeight="1">
      <c r="D818" s="38">
        <v>816</v>
      </c>
      <c r="E818" s="62">
        <v>4047</v>
      </c>
      <c r="F818" s="63" t="s">
        <v>8291</v>
      </c>
      <c r="G818" s="63" t="s">
        <v>6765</v>
      </c>
      <c r="H818" s="63" t="s">
        <v>8265</v>
      </c>
      <c r="I818" s="62">
        <v>2</v>
      </c>
      <c r="J818" s="58">
        <v>44741</v>
      </c>
      <c r="K818" s="64"/>
    </row>
    <row r="819" spans="4:11" ht="15.6" customHeight="1">
      <c r="D819" s="38">
        <v>817</v>
      </c>
      <c r="E819" s="62">
        <v>4533</v>
      </c>
      <c r="F819" s="63" t="s">
        <v>8292</v>
      </c>
      <c r="G819" s="63" t="s">
        <v>6765</v>
      </c>
      <c r="H819" s="63" t="s">
        <v>8265</v>
      </c>
      <c r="I819" s="62">
        <v>2</v>
      </c>
      <c r="J819" s="58">
        <v>44741</v>
      </c>
      <c r="K819" s="64"/>
    </row>
    <row r="820" spans="4:11" ht="15.6" customHeight="1">
      <c r="D820" s="38">
        <v>818</v>
      </c>
      <c r="E820" s="62">
        <v>3270</v>
      </c>
      <c r="F820" s="63" t="s">
        <v>8293</v>
      </c>
      <c r="G820" s="63" t="s">
        <v>6765</v>
      </c>
      <c r="H820" s="63" t="s">
        <v>8265</v>
      </c>
      <c r="I820" s="62">
        <v>2</v>
      </c>
      <c r="J820" s="58">
        <v>44741</v>
      </c>
      <c r="K820" s="64"/>
    </row>
    <row r="821" spans="4:11" ht="15.6" customHeight="1">
      <c r="D821" s="38">
        <v>819</v>
      </c>
      <c r="E821" s="62">
        <v>4780</v>
      </c>
      <c r="F821" s="63" t="s">
        <v>8294</v>
      </c>
      <c r="G821" s="63" t="s">
        <v>6816</v>
      </c>
      <c r="H821" s="63" t="s">
        <v>7159</v>
      </c>
      <c r="I821" s="62">
        <v>2</v>
      </c>
      <c r="J821" s="58">
        <v>44741</v>
      </c>
      <c r="K821" s="64"/>
    </row>
    <row r="822" spans="4:11" ht="15.6" customHeight="1">
      <c r="D822" s="38">
        <v>820</v>
      </c>
      <c r="E822" s="62">
        <v>4737</v>
      </c>
      <c r="F822" s="63" t="s">
        <v>8295</v>
      </c>
      <c r="G822" s="63" t="s">
        <v>6816</v>
      </c>
      <c r="H822" s="63" t="s">
        <v>7159</v>
      </c>
      <c r="I822" s="62">
        <v>2</v>
      </c>
      <c r="J822" s="58">
        <v>44741</v>
      </c>
      <c r="K822" s="64"/>
    </row>
    <row r="823" spans="4:11" ht="15.6" customHeight="1">
      <c r="D823" s="38">
        <v>821</v>
      </c>
      <c r="E823" s="62">
        <v>2626</v>
      </c>
      <c r="F823" s="63" t="s">
        <v>8296</v>
      </c>
      <c r="G823" s="63" t="s">
        <v>6816</v>
      </c>
      <c r="H823" s="63" t="s">
        <v>6906</v>
      </c>
      <c r="I823" s="62">
        <v>2</v>
      </c>
      <c r="J823" s="58">
        <v>44741</v>
      </c>
      <c r="K823" s="64"/>
    </row>
    <row r="824" spans="4:11" ht="15.6" customHeight="1">
      <c r="D824" s="38">
        <v>822</v>
      </c>
      <c r="E824" s="62">
        <v>4107</v>
      </c>
      <c r="F824" s="63" t="s">
        <v>8297</v>
      </c>
      <c r="G824" s="63" t="s">
        <v>6792</v>
      </c>
      <c r="H824" s="63" t="s">
        <v>8298</v>
      </c>
      <c r="I824" s="62">
        <v>2</v>
      </c>
      <c r="J824" s="58">
        <v>44741</v>
      </c>
      <c r="K824" s="64"/>
    </row>
    <row r="825" spans="4:11" ht="15.6" customHeight="1">
      <c r="D825" s="38">
        <v>823</v>
      </c>
      <c r="E825" s="62">
        <v>3989</v>
      </c>
      <c r="F825" s="63" t="s">
        <v>8299</v>
      </c>
      <c r="G825" s="63" t="s">
        <v>6792</v>
      </c>
      <c r="H825" s="63" t="s">
        <v>8300</v>
      </c>
      <c r="I825" s="62">
        <v>2</v>
      </c>
      <c r="J825" s="58">
        <v>44741</v>
      </c>
      <c r="K825" s="64"/>
    </row>
    <row r="826" spans="4:11" ht="15.6" customHeight="1">
      <c r="D826" s="38">
        <v>824</v>
      </c>
      <c r="E826" s="62">
        <v>4226</v>
      </c>
      <c r="F826" s="63" t="s">
        <v>8301</v>
      </c>
      <c r="G826" s="63" t="s">
        <v>6735</v>
      </c>
      <c r="H826" s="63" t="s">
        <v>6897</v>
      </c>
      <c r="I826" s="62">
        <v>2</v>
      </c>
      <c r="J826" s="58">
        <v>44742</v>
      </c>
      <c r="K826" s="64"/>
    </row>
    <row r="827" spans="4:11" ht="15.6" customHeight="1">
      <c r="D827" s="38">
        <v>825</v>
      </c>
      <c r="E827" s="62">
        <v>4249</v>
      </c>
      <c r="F827" s="63" t="s">
        <v>8302</v>
      </c>
      <c r="G827" s="63" t="s">
        <v>6735</v>
      </c>
      <c r="H827" s="63" t="s">
        <v>6897</v>
      </c>
      <c r="I827" s="62">
        <v>2</v>
      </c>
      <c r="J827" s="58">
        <v>44742</v>
      </c>
      <c r="K827" s="64"/>
    </row>
    <row r="828" spans="4:11" ht="15.6" customHeight="1">
      <c r="D828" s="38">
        <v>826</v>
      </c>
      <c r="E828" s="62">
        <v>2746</v>
      </c>
      <c r="F828" s="63" t="s">
        <v>5219</v>
      </c>
      <c r="G828" s="63" t="s">
        <v>5281</v>
      </c>
      <c r="H828" s="63" t="s">
        <v>14</v>
      </c>
      <c r="I828" s="62">
        <v>2</v>
      </c>
      <c r="J828" s="58">
        <v>44742</v>
      </c>
      <c r="K828" s="64"/>
    </row>
    <row r="829" spans="4:11" ht="15.6" customHeight="1">
      <c r="D829" s="38">
        <v>827</v>
      </c>
      <c r="E829" s="62">
        <v>3818</v>
      </c>
      <c r="F829" s="63" t="s">
        <v>8303</v>
      </c>
      <c r="G829" s="63" t="s">
        <v>5281</v>
      </c>
      <c r="H829" s="63" t="s">
        <v>14</v>
      </c>
      <c r="I829" s="62">
        <v>2</v>
      </c>
      <c r="J829" s="58">
        <v>44742</v>
      </c>
      <c r="K829" s="64"/>
    </row>
    <row r="830" spans="4:11" ht="15.6" customHeight="1">
      <c r="D830" s="38">
        <v>828</v>
      </c>
      <c r="E830" s="62">
        <v>4167</v>
      </c>
      <c r="F830" s="63" t="s">
        <v>2143</v>
      </c>
      <c r="G830" s="63" t="s">
        <v>5281</v>
      </c>
      <c r="H830" s="63" t="s">
        <v>14</v>
      </c>
      <c r="I830" s="62">
        <v>2</v>
      </c>
      <c r="J830" s="58">
        <v>44742</v>
      </c>
      <c r="K830" s="64"/>
    </row>
    <row r="831" spans="4:11" ht="15.6" customHeight="1">
      <c r="D831" s="38">
        <v>829</v>
      </c>
      <c r="E831" s="62">
        <v>3551</v>
      </c>
      <c r="F831" s="63" t="s">
        <v>6340</v>
      </c>
      <c r="G831" s="63" t="s">
        <v>5281</v>
      </c>
      <c r="H831" s="63" t="s">
        <v>14</v>
      </c>
      <c r="I831" s="62">
        <v>2</v>
      </c>
      <c r="J831" s="58">
        <v>44742</v>
      </c>
      <c r="K831" s="64"/>
    </row>
    <row r="832" spans="4:11" ht="15.6" customHeight="1">
      <c r="D832" s="38">
        <v>830</v>
      </c>
      <c r="E832" s="62">
        <v>4329</v>
      </c>
      <c r="F832" s="63" t="s">
        <v>8304</v>
      </c>
      <c r="G832" s="63" t="s">
        <v>6765</v>
      </c>
      <c r="H832" s="63" t="s">
        <v>8265</v>
      </c>
      <c r="I832" s="62">
        <v>2</v>
      </c>
      <c r="J832" s="58">
        <v>44742</v>
      </c>
      <c r="K832" s="64"/>
    </row>
    <row r="833" spans="4:11" ht="15.6" customHeight="1">
      <c r="D833" s="38">
        <v>831</v>
      </c>
      <c r="E833" s="62">
        <v>4373</v>
      </c>
      <c r="F833" s="63" t="s">
        <v>8305</v>
      </c>
      <c r="G833" s="63" t="s">
        <v>6765</v>
      </c>
      <c r="H833" s="63" t="s">
        <v>8265</v>
      </c>
      <c r="I833" s="62">
        <v>2</v>
      </c>
      <c r="J833" s="58">
        <v>44742</v>
      </c>
      <c r="K833" s="64"/>
    </row>
    <row r="834" spans="4:11" ht="15.6" customHeight="1">
      <c r="D834" s="38">
        <v>832</v>
      </c>
      <c r="E834" s="62">
        <v>4495</v>
      </c>
      <c r="F834" s="63" t="s">
        <v>8306</v>
      </c>
      <c r="G834" s="63" t="s">
        <v>6765</v>
      </c>
      <c r="H834" s="63" t="s">
        <v>8265</v>
      </c>
      <c r="I834" s="62">
        <v>2</v>
      </c>
      <c r="J834" s="58">
        <v>44742</v>
      </c>
      <c r="K834" s="64"/>
    </row>
    <row r="835" spans="4:11" ht="15.6" customHeight="1">
      <c r="D835" s="38">
        <v>833</v>
      </c>
      <c r="E835" s="62" t="s">
        <v>8307</v>
      </c>
      <c r="F835" s="63" t="s">
        <v>8308</v>
      </c>
      <c r="G835" s="63" t="s">
        <v>6790</v>
      </c>
      <c r="H835" s="63" t="s">
        <v>7823</v>
      </c>
      <c r="I835" s="62">
        <v>2</v>
      </c>
      <c r="J835" s="58">
        <v>44742</v>
      </c>
      <c r="K835" s="64"/>
    </row>
    <row r="836" spans="4:11" ht="15.6" customHeight="1">
      <c r="D836" s="38">
        <v>834</v>
      </c>
      <c r="E836" s="62">
        <v>4794</v>
      </c>
      <c r="F836" s="63" t="s">
        <v>8309</v>
      </c>
      <c r="G836" s="63" t="s">
        <v>6866</v>
      </c>
      <c r="H836" s="63" t="s">
        <v>6880</v>
      </c>
      <c r="I836" s="62">
        <v>2</v>
      </c>
      <c r="J836" s="58">
        <v>44742</v>
      </c>
      <c r="K836" s="64"/>
    </row>
    <row r="837" spans="4:11" ht="15.6" customHeight="1">
      <c r="D837" s="38">
        <v>835</v>
      </c>
      <c r="E837" s="62">
        <v>4719</v>
      </c>
      <c r="F837" s="63" t="s">
        <v>8310</v>
      </c>
      <c r="G837" s="63" t="s">
        <v>6866</v>
      </c>
      <c r="H837" s="63" t="s">
        <v>6880</v>
      </c>
      <c r="I837" s="62">
        <v>2</v>
      </c>
      <c r="J837" s="58">
        <v>44742</v>
      </c>
      <c r="K837" s="64"/>
    </row>
    <row r="838" spans="4:11" ht="15.6" customHeight="1">
      <c r="D838" s="38">
        <v>836</v>
      </c>
      <c r="E838" s="62">
        <v>4461</v>
      </c>
      <c r="F838" s="63" t="s">
        <v>8311</v>
      </c>
      <c r="G838" s="63" t="s">
        <v>6735</v>
      </c>
      <c r="H838" s="63" t="s">
        <v>6897</v>
      </c>
      <c r="I838" s="62">
        <v>2</v>
      </c>
      <c r="J838" s="58">
        <v>44743</v>
      </c>
    </row>
    <row r="839" spans="4:11" ht="15.6" customHeight="1">
      <c r="D839" s="38">
        <v>837</v>
      </c>
      <c r="E839" s="62" t="s">
        <v>8312</v>
      </c>
      <c r="F839" s="63" t="s">
        <v>8313</v>
      </c>
      <c r="G839" s="63" t="s">
        <v>6735</v>
      </c>
      <c r="H839" s="63" t="s">
        <v>6897</v>
      </c>
      <c r="I839" s="62">
        <v>2</v>
      </c>
      <c r="J839" s="58">
        <v>44743</v>
      </c>
    </row>
    <row r="840" spans="4:11" ht="15.6" customHeight="1">
      <c r="D840" s="38">
        <v>838</v>
      </c>
      <c r="E840" s="62" t="s">
        <v>8314</v>
      </c>
      <c r="F840" s="63" t="s">
        <v>8315</v>
      </c>
      <c r="G840" s="63" t="s">
        <v>6735</v>
      </c>
      <c r="H840" s="63" t="s">
        <v>6897</v>
      </c>
      <c r="I840" s="62">
        <v>2</v>
      </c>
      <c r="J840" s="58">
        <v>44743</v>
      </c>
    </row>
    <row r="841" spans="4:11" ht="15.6" customHeight="1">
      <c r="D841" s="38">
        <v>839</v>
      </c>
      <c r="E841" s="62">
        <v>4126</v>
      </c>
      <c r="F841" s="63" t="s">
        <v>7345</v>
      </c>
      <c r="G841" s="63" t="s">
        <v>5281</v>
      </c>
      <c r="H841" s="63" t="s">
        <v>14</v>
      </c>
      <c r="I841" s="62">
        <v>2</v>
      </c>
      <c r="J841" s="58">
        <v>44743</v>
      </c>
    </row>
    <row r="842" spans="4:11" ht="15.6" customHeight="1">
      <c r="D842" s="38">
        <v>840</v>
      </c>
      <c r="E842" s="62">
        <v>3399</v>
      </c>
      <c r="F842" s="63" t="s">
        <v>8316</v>
      </c>
      <c r="G842" s="63" t="s">
        <v>5281</v>
      </c>
      <c r="H842" s="63" t="s">
        <v>14</v>
      </c>
      <c r="I842" s="62">
        <v>2</v>
      </c>
      <c r="J842" s="58">
        <v>44743</v>
      </c>
    </row>
    <row r="843" spans="4:11" ht="15.6" customHeight="1">
      <c r="D843" s="38">
        <v>841</v>
      </c>
      <c r="E843" s="62">
        <v>2224</v>
      </c>
      <c r="F843" s="63" t="s">
        <v>8317</v>
      </c>
      <c r="G843" s="63" t="s">
        <v>5281</v>
      </c>
      <c r="H843" s="63" t="s">
        <v>14</v>
      </c>
      <c r="I843" s="62">
        <v>2</v>
      </c>
      <c r="J843" s="58">
        <v>44743</v>
      </c>
    </row>
    <row r="844" spans="4:11" ht="15.6" customHeight="1">
      <c r="D844" s="38">
        <v>842</v>
      </c>
      <c r="E844" s="62">
        <v>3398</v>
      </c>
      <c r="F844" s="63" t="s">
        <v>8318</v>
      </c>
      <c r="G844" s="63" t="s">
        <v>6733</v>
      </c>
      <c r="H844" s="63" t="s">
        <v>8319</v>
      </c>
      <c r="I844" s="62">
        <v>2</v>
      </c>
      <c r="J844" s="58">
        <v>44746</v>
      </c>
    </row>
    <row r="845" spans="4:11" ht="15.6" customHeight="1">
      <c r="D845" s="38">
        <v>843</v>
      </c>
      <c r="E845" s="62">
        <v>4702</v>
      </c>
      <c r="F845" s="63" t="s">
        <v>8320</v>
      </c>
      <c r="G845" s="63" t="s">
        <v>6733</v>
      </c>
      <c r="H845" s="63" t="s">
        <v>8319</v>
      </c>
      <c r="I845" s="62">
        <v>2</v>
      </c>
      <c r="J845" s="58">
        <v>44746</v>
      </c>
    </row>
    <row r="846" spans="4:11" ht="15.6" customHeight="1">
      <c r="D846" s="38">
        <v>844</v>
      </c>
      <c r="E846" s="62">
        <v>3853</v>
      </c>
      <c r="F846" s="63" t="s">
        <v>8321</v>
      </c>
      <c r="G846" s="63" t="s">
        <v>5281</v>
      </c>
      <c r="H846" s="63" t="s">
        <v>14</v>
      </c>
      <c r="I846" s="62">
        <v>2</v>
      </c>
      <c r="J846" s="58">
        <v>44746</v>
      </c>
    </row>
    <row r="847" spans="4:11" ht="15.6" customHeight="1">
      <c r="D847" s="38">
        <v>845</v>
      </c>
      <c r="E847" s="62" t="s">
        <v>74</v>
      </c>
      <c r="F847" s="63" t="s">
        <v>6352</v>
      </c>
      <c r="G847" s="63" t="s">
        <v>5281</v>
      </c>
      <c r="H847" s="63" t="s">
        <v>14</v>
      </c>
      <c r="I847" s="62">
        <v>2</v>
      </c>
      <c r="J847" s="58">
        <v>44746</v>
      </c>
    </row>
    <row r="848" spans="4:11" ht="15.6" customHeight="1">
      <c r="D848" s="38">
        <v>846</v>
      </c>
      <c r="E848" s="62" t="s">
        <v>48</v>
      </c>
      <c r="F848" s="63" t="s">
        <v>5251</v>
      </c>
      <c r="G848" s="63" t="s">
        <v>5281</v>
      </c>
      <c r="H848" s="63" t="s">
        <v>14</v>
      </c>
      <c r="I848" s="62">
        <v>2</v>
      </c>
      <c r="J848" s="58">
        <v>44746</v>
      </c>
    </row>
    <row r="849" spans="4:10" ht="15.6" customHeight="1">
      <c r="D849" s="38">
        <v>847</v>
      </c>
      <c r="E849" s="62">
        <v>2126</v>
      </c>
      <c r="F849" s="63" t="s">
        <v>8322</v>
      </c>
      <c r="G849" s="63" t="s">
        <v>6774</v>
      </c>
      <c r="H849" s="63" t="s">
        <v>6843</v>
      </c>
      <c r="I849" s="62">
        <v>2</v>
      </c>
      <c r="J849" s="58">
        <v>44746</v>
      </c>
    </row>
    <row r="850" spans="4:10" ht="15.6" customHeight="1">
      <c r="D850" s="38">
        <v>848</v>
      </c>
      <c r="E850" s="62">
        <v>2113</v>
      </c>
      <c r="F850" s="63" t="s">
        <v>8323</v>
      </c>
      <c r="G850" s="63" t="s">
        <v>6774</v>
      </c>
      <c r="H850" s="63" t="s">
        <v>6843</v>
      </c>
      <c r="I850" s="62">
        <v>2</v>
      </c>
      <c r="J850" s="58">
        <v>44746</v>
      </c>
    </row>
    <row r="851" spans="4:10" ht="15.6" customHeight="1">
      <c r="D851" s="38">
        <v>849</v>
      </c>
      <c r="E851" s="62">
        <v>3338</v>
      </c>
      <c r="F851" s="63" t="s">
        <v>8324</v>
      </c>
      <c r="G851" s="63" t="s">
        <v>6808</v>
      </c>
      <c r="H851" s="63" t="s">
        <v>8325</v>
      </c>
      <c r="I851" s="62">
        <v>2</v>
      </c>
      <c r="J851" s="58">
        <v>44746</v>
      </c>
    </row>
    <row r="852" spans="4:10" ht="15.6" customHeight="1">
      <c r="D852" s="38">
        <v>850</v>
      </c>
      <c r="E852" s="62">
        <v>4332</v>
      </c>
      <c r="F852" s="63" t="s">
        <v>8326</v>
      </c>
      <c r="G852" s="63" t="s">
        <v>6808</v>
      </c>
      <c r="H852" s="63" t="s">
        <v>8325</v>
      </c>
      <c r="I852" s="62">
        <v>2</v>
      </c>
      <c r="J852" s="58">
        <v>44746</v>
      </c>
    </row>
    <row r="853" spans="4:10" ht="15.6" customHeight="1">
      <c r="D853" s="38">
        <v>851</v>
      </c>
      <c r="E853" s="62">
        <v>4427</v>
      </c>
      <c r="F853" s="63" t="s">
        <v>8327</v>
      </c>
      <c r="G853" s="63" t="s">
        <v>6808</v>
      </c>
      <c r="H853" s="63" t="s">
        <v>8325</v>
      </c>
      <c r="I853" s="62">
        <v>2</v>
      </c>
      <c r="J853" s="58">
        <v>44746</v>
      </c>
    </row>
    <row r="854" spans="4:10" ht="15.6" customHeight="1">
      <c r="D854" s="38">
        <v>852</v>
      </c>
      <c r="E854" s="62">
        <v>4371</v>
      </c>
      <c r="F854" s="63" t="s">
        <v>8328</v>
      </c>
      <c r="G854" s="63" t="s">
        <v>6866</v>
      </c>
      <c r="H854" s="63" t="s">
        <v>8329</v>
      </c>
      <c r="I854" s="62">
        <v>2</v>
      </c>
      <c r="J854" s="58">
        <v>44746</v>
      </c>
    </row>
    <row r="855" spans="4:10" ht="15.6" customHeight="1">
      <c r="D855" s="38">
        <v>853</v>
      </c>
      <c r="E855" s="62">
        <v>4335</v>
      </c>
      <c r="F855" s="63" t="s">
        <v>8330</v>
      </c>
      <c r="G855" s="63" t="s">
        <v>6866</v>
      </c>
      <c r="H855" s="63" t="s">
        <v>8329</v>
      </c>
      <c r="I855" s="62">
        <v>2</v>
      </c>
      <c r="J855" s="58">
        <v>44746</v>
      </c>
    </row>
    <row r="856" spans="4:10" ht="15.6" customHeight="1">
      <c r="D856" s="38">
        <v>854</v>
      </c>
      <c r="E856" s="62">
        <v>4347</v>
      </c>
      <c r="F856" s="63" t="s">
        <v>8331</v>
      </c>
      <c r="G856" s="63" t="s">
        <v>5281</v>
      </c>
      <c r="H856" s="63" t="s">
        <v>8332</v>
      </c>
      <c r="I856" s="62">
        <v>2</v>
      </c>
      <c r="J856" s="58">
        <v>44747</v>
      </c>
    </row>
    <row r="857" spans="4:10" ht="15.6" customHeight="1">
      <c r="D857" s="38">
        <v>855</v>
      </c>
      <c r="E857" s="62">
        <v>4983</v>
      </c>
      <c r="F857" s="63" t="s">
        <v>591</v>
      </c>
      <c r="G857" s="63" t="s">
        <v>5281</v>
      </c>
      <c r="H857" s="63" t="s">
        <v>14</v>
      </c>
      <c r="I857" s="62">
        <v>2</v>
      </c>
      <c r="J857" s="58">
        <v>44747</v>
      </c>
    </row>
    <row r="858" spans="4:10" ht="15.6" customHeight="1">
      <c r="D858" s="38">
        <v>856</v>
      </c>
      <c r="E858" s="62">
        <v>3183</v>
      </c>
      <c r="F858" s="63" t="s">
        <v>6311</v>
      </c>
      <c r="G858" s="63" t="s">
        <v>5281</v>
      </c>
      <c r="H858" s="63" t="s">
        <v>14</v>
      </c>
      <c r="I858" s="62">
        <v>2</v>
      </c>
      <c r="J858" s="58">
        <v>44747</v>
      </c>
    </row>
    <row r="859" spans="4:10" ht="15.6" customHeight="1">
      <c r="D859" s="38">
        <v>857</v>
      </c>
      <c r="E859" s="62">
        <v>2995</v>
      </c>
      <c r="F859" s="63" t="s">
        <v>8333</v>
      </c>
      <c r="G859" s="63" t="s">
        <v>5281</v>
      </c>
      <c r="H859" s="63" t="s">
        <v>14</v>
      </c>
      <c r="I859" s="62">
        <v>2</v>
      </c>
      <c r="J859" s="58">
        <v>44747</v>
      </c>
    </row>
    <row r="860" spans="4:10" ht="15.6" customHeight="1">
      <c r="D860" s="38">
        <v>858</v>
      </c>
      <c r="E860" s="62">
        <v>4924</v>
      </c>
      <c r="F860" s="63" t="s">
        <v>8334</v>
      </c>
      <c r="G860" s="63" t="s">
        <v>6774</v>
      </c>
      <c r="H860" s="63" t="s">
        <v>7646</v>
      </c>
      <c r="I860" s="62">
        <v>2</v>
      </c>
      <c r="J860" s="58">
        <v>44747</v>
      </c>
    </row>
    <row r="861" spans="4:10" ht="15.6" customHeight="1">
      <c r="D861" s="38">
        <v>859</v>
      </c>
      <c r="E861" s="62">
        <v>3138</v>
      </c>
      <c r="F861" s="63" t="s">
        <v>7429</v>
      </c>
      <c r="G861" s="63" t="s">
        <v>6808</v>
      </c>
      <c r="H861" s="63" t="s">
        <v>8156</v>
      </c>
      <c r="I861" s="62">
        <v>2</v>
      </c>
      <c r="J861" s="58">
        <v>44747</v>
      </c>
    </row>
    <row r="862" spans="4:10" ht="15.6" customHeight="1">
      <c r="D862" s="38">
        <v>860</v>
      </c>
      <c r="E862" s="62">
        <v>3293</v>
      </c>
      <c r="F862" s="63" t="s">
        <v>8335</v>
      </c>
      <c r="G862" s="63" t="s">
        <v>6808</v>
      </c>
      <c r="H862" s="63" t="s">
        <v>8156</v>
      </c>
      <c r="I862" s="62">
        <v>2</v>
      </c>
      <c r="J862" s="58">
        <v>44747</v>
      </c>
    </row>
    <row r="863" spans="4:10" ht="15.6" customHeight="1">
      <c r="D863" s="38">
        <v>861</v>
      </c>
      <c r="E863" s="62">
        <v>4192</v>
      </c>
      <c r="F863" s="63" t="s">
        <v>8336</v>
      </c>
      <c r="G863" s="63" t="s">
        <v>6808</v>
      </c>
      <c r="H863" s="63" t="s">
        <v>8156</v>
      </c>
      <c r="I863" s="62">
        <v>2</v>
      </c>
      <c r="J863" s="58">
        <v>44747</v>
      </c>
    </row>
    <row r="864" spans="4:10" ht="15.6" customHeight="1">
      <c r="D864" s="38">
        <v>862</v>
      </c>
      <c r="E864" s="62">
        <v>4411</v>
      </c>
      <c r="F864" s="63" t="s">
        <v>8337</v>
      </c>
      <c r="G864" s="63" t="s">
        <v>6866</v>
      </c>
      <c r="H864" s="63" t="s">
        <v>8338</v>
      </c>
      <c r="I864" s="62">
        <v>2</v>
      </c>
      <c r="J864" s="58">
        <v>44747</v>
      </c>
    </row>
    <row r="865" spans="4:10" ht="15.6" customHeight="1">
      <c r="D865" s="38">
        <v>863</v>
      </c>
      <c r="E865" s="62">
        <v>4372</v>
      </c>
      <c r="F865" s="63" t="s">
        <v>8339</v>
      </c>
      <c r="G865" s="63" t="s">
        <v>6866</v>
      </c>
      <c r="H865" s="63" t="s">
        <v>6880</v>
      </c>
      <c r="I865" s="62">
        <v>2</v>
      </c>
      <c r="J865" s="58">
        <v>44747</v>
      </c>
    </row>
    <row r="866" spans="4:10" ht="15.6" customHeight="1">
      <c r="D866" s="38">
        <v>864</v>
      </c>
      <c r="E866" s="62">
        <v>4278</v>
      </c>
      <c r="F866" s="63" t="s">
        <v>8340</v>
      </c>
      <c r="G866" s="63" t="s">
        <v>6866</v>
      </c>
      <c r="H866" s="63" t="s">
        <v>6880</v>
      </c>
      <c r="I866" s="62">
        <v>2</v>
      </c>
      <c r="J866" s="58">
        <v>44747</v>
      </c>
    </row>
    <row r="867" spans="4:10" ht="15.6" customHeight="1">
      <c r="D867" s="38">
        <v>865</v>
      </c>
      <c r="E867" s="62">
        <v>4475</v>
      </c>
      <c r="F867" s="63" t="s">
        <v>8341</v>
      </c>
      <c r="G867" s="63" t="s">
        <v>6733</v>
      </c>
      <c r="H867" s="63" t="s">
        <v>7998</v>
      </c>
      <c r="I867" s="62">
        <v>2</v>
      </c>
      <c r="J867" s="58">
        <v>44748</v>
      </c>
    </row>
    <row r="868" spans="4:10" ht="15.6" customHeight="1">
      <c r="D868" s="38">
        <v>866</v>
      </c>
      <c r="E868" s="62">
        <v>4813</v>
      </c>
      <c r="F868" s="63" t="s">
        <v>8342</v>
      </c>
      <c r="G868" s="63" t="s">
        <v>6733</v>
      </c>
      <c r="H868" s="63" t="s">
        <v>7998</v>
      </c>
      <c r="I868" s="62">
        <v>2</v>
      </c>
      <c r="J868" s="58">
        <v>44748</v>
      </c>
    </row>
    <row r="869" spans="4:10" ht="15.6" customHeight="1">
      <c r="D869" s="38">
        <v>867</v>
      </c>
      <c r="E869" s="62">
        <v>4046</v>
      </c>
      <c r="F869" s="63" t="s">
        <v>1377</v>
      </c>
      <c r="G869" s="63" t="s">
        <v>5281</v>
      </c>
      <c r="H869" s="63" t="s">
        <v>14</v>
      </c>
      <c r="I869" s="62">
        <v>2</v>
      </c>
      <c r="J869" s="58">
        <v>44748</v>
      </c>
    </row>
    <row r="870" spans="4:10" ht="15.6" customHeight="1">
      <c r="D870" s="38">
        <v>868</v>
      </c>
      <c r="E870" s="62" t="s">
        <v>73</v>
      </c>
      <c r="F870" s="63" t="s">
        <v>5274</v>
      </c>
      <c r="G870" s="63" t="s">
        <v>5281</v>
      </c>
      <c r="H870" s="63" t="s">
        <v>14</v>
      </c>
      <c r="I870" s="62">
        <v>2</v>
      </c>
      <c r="J870" s="58">
        <v>44748</v>
      </c>
    </row>
    <row r="871" spans="4:10" ht="15.6" customHeight="1">
      <c r="D871" s="38">
        <v>869</v>
      </c>
      <c r="E871" s="62">
        <v>4145</v>
      </c>
      <c r="F871" s="63" t="s">
        <v>528</v>
      </c>
      <c r="G871" s="63" t="s">
        <v>5281</v>
      </c>
      <c r="H871" s="63" t="s">
        <v>14</v>
      </c>
      <c r="I871" s="62">
        <v>2</v>
      </c>
      <c r="J871" s="58">
        <v>44748</v>
      </c>
    </row>
    <row r="872" spans="4:10" ht="15.6" customHeight="1">
      <c r="D872" s="38">
        <v>870</v>
      </c>
      <c r="E872" s="62">
        <v>4276</v>
      </c>
      <c r="F872" s="63" t="s">
        <v>8343</v>
      </c>
      <c r="G872" s="63" t="s">
        <v>6782</v>
      </c>
      <c r="H872" s="63" t="s">
        <v>7403</v>
      </c>
      <c r="I872" s="62">
        <v>2</v>
      </c>
      <c r="J872" s="58">
        <v>44748</v>
      </c>
    </row>
    <row r="873" spans="4:10" ht="15.6" customHeight="1">
      <c r="D873" s="38">
        <v>871</v>
      </c>
      <c r="E873" s="62">
        <v>4042</v>
      </c>
      <c r="F873" s="63" t="s">
        <v>8344</v>
      </c>
      <c r="G873" s="63" t="s">
        <v>6782</v>
      </c>
      <c r="H873" s="63" t="s">
        <v>7403</v>
      </c>
      <c r="I873" s="62">
        <v>2</v>
      </c>
      <c r="J873" s="58">
        <v>44748</v>
      </c>
    </row>
    <row r="874" spans="4:10" ht="15.6" customHeight="1">
      <c r="D874" s="38">
        <v>872</v>
      </c>
      <c r="E874" s="62">
        <v>3923</v>
      </c>
      <c r="F874" s="63" t="s">
        <v>8345</v>
      </c>
      <c r="G874" s="63" t="s">
        <v>6782</v>
      </c>
      <c r="H874" s="63" t="s">
        <v>7403</v>
      </c>
      <c r="I874" s="62">
        <v>2</v>
      </c>
      <c r="J874" s="58">
        <v>44748</v>
      </c>
    </row>
    <row r="875" spans="4:10" ht="15.6" customHeight="1">
      <c r="D875" s="38">
        <v>873</v>
      </c>
      <c r="E875" s="62">
        <v>4197</v>
      </c>
      <c r="F875" s="63" t="s">
        <v>5144</v>
      </c>
      <c r="G875" s="63" t="s">
        <v>6765</v>
      </c>
      <c r="H875" s="63" t="s">
        <v>9</v>
      </c>
      <c r="I875" s="62">
        <v>2</v>
      </c>
      <c r="J875" s="58">
        <v>44748</v>
      </c>
    </row>
    <row r="876" spans="4:10" ht="15.6" customHeight="1">
      <c r="D876" s="38">
        <v>874</v>
      </c>
      <c r="E876" s="62">
        <v>3689</v>
      </c>
      <c r="F876" s="63" t="s">
        <v>8346</v>
      </c>
      <c r="G876" s="63" t="s">
        <v>6808</v>
      </c>
      <c r="H876" s="63" t="s">
        <v>7025</v>
      </c>
      <c r="I876" s="62">
        <v>2</v>
      </c>
      <c r="J876" s="58">
        <v>44748</v>
      </c>
    </row>
    <row r="877" spans="4:10" ht="15.6" customHeight="1">
      <c r="D877" s="38">
        <v>875</v>
      </c>
      <c r="E877" s="62">
        <v>4271</v>
      </c>
      <c r="F877" s="63" t="s">
        <v>8347</v>
      </c>
      <c r="G877" s="63" t="s">
        <v>6808</v>
      </c>
      <c r="H877" s="63" t="s">
        <v>7025</v>
      </c>
      <c r="I877" s="62">
        <v>2</v>
      </c>
      <c r="J877" s="58">
        <v>44748</v>
      </c>
    </row>
    <row r="878" spans="4:10" ht="15.6" customHeight="1">
      <c r="D878" s="38">
        <v>876</v>
      </c>
      <c r="E878" s="62">
        <v>2592</v>
      </c>
      <c r="F878" s="63" t="s">
        <v>8348</v>
      </c>
      <c r="G878" s="63" t="s">
        <v>6808</v>
      </c>
      <c r="H878" s="63" t="s">
        <v>7025</v>
      </c>
      <c r="I878" s="62">
        <v>2</v>
      </c>
      <c r="J878" s="58">
        <v>44748</v>
      </c>
    </row>
    <row r="879" spans="4:10" ht="15.6" customHeight="1">
      <c r="D879" s="38">
        <v>877</v>
      </c>
      <c r="E879" s="62">
        <v>4115</v>
      </c>
      <c r="F879" s="63" t="s">
        <v>8349</v>
      </c>
      <c r="G879" s="63" t="s">
        <v>6866</v>
      </c>
      <c r="H879" s="63" t="s">
        <v>6880</v>
      </c>
      <c r="I879" s="62">
        <v>2</v>
      </c>
      <c r="J879" s="58">
        <v>44748</v>
      </c>
    </row>
    <row r="880" spans="4:10" ht="15.6" customHeight="1">
      <c r="D880" s="38">
        <v>878</v>
      </c>
      <c r="E880" s="62">
        <v>4267</v>
      </c>
      <c r="F880" s="63" t="s">
        <v>8350</v>
      </c>
      <c r="G880" s="63" t="s">
        <v>6866</v>
      </c>
      <c r="H880" s="63" t="s">
        <v>6880</v>
      </c>
      <c r="I880" s="62">
        <v>2</v>
      </c>
      <c r="J880" s="58">
        <v>44748</v>
      </c>
    </row>
    <row r="881" spans="4:10" ht="15.6" customHeight="1">
      <c r="D881" s="38">
        <v>879</v>
      </c>
      <c r="E881" s="62">
        <v>4273</v>
      </c>
      <c r="F881" s="63" t="s">
        <v>8351</v>
      </c>
      <c r="G881" s="63" t="s">
        <v>6733</v>
      </c>
      <c r="H881" s="63" t="s">
        <v>8319</v>
      </c>
      <c r="I881" s="62">
        <v>2</v>
      </c>
      <c r="J881" s="58">
        <v>44749</v>
      </c>
    </row>
    <row r="882" spans="4:10" ht="15.6" customHeight="1">
      <c r="D882" s="38">
        <v>880</v>
      </c>
      <c r="E882" s="62">
        <v>2666</v>
      </c>
      <c r="F882" s="63" t="s">
        <v>8352</v>
      </c>
      <c r="G882" s="63" t="s">
        <v>6733</v>
      </c>
      <c r="H882" s="63" t="s">
        <v>7366</v>
      </c>
      <c r="I882" s="62">
        <v>2</v>
      </c>
      <c r="J882" s="58">
        <v>44749</v>
      </c>
    </row>
    <row r="883" spans="4:10" ht="15.6" customHeight="1">
      <c r="D883" s="38">
        <v>881</v>
      </c>
      <c r="E883" s="62">
        <v>3128</v>
      </c>
      <c r="F883" s="63" t="s">
        <v>8353</v>
      </c>
      <c r="G883" s="63" t="s">
        <v>6733</v>
      </c>
      <c r="H883" s="63" t="s">
        <v>7366</v>
      </c>
      <c r="I883" s="62">
        <v>2</v>
      </c>
      <c r="J883" s="58">
        <v>44749</v>
      </c>
    </row>
    <row r="884" spans="4:10" ht="15.6" customHeight="1">
      <c r="D884" s="38">
        <v>882</v>
      </c>
      <c r="E884" s="62">
        <v>4406</v>
      </c>
      <c r="F884" s="63" t="s">
        <v>1020</v>
      </c>
      <c r="G884" s="63" t="s">
        <v>5281</v>
      </c>
      <c r="H884" s="63" t="s">
        <v>14</v>
      </c>
      <c r="I884" s="62">
        <v>2</v>
      </c>
      <c r="J884" s="58">
        <v>44749</v>
      </c>
    </row>
    <row r="885" spans="4:10" ht="15.6" customHeight="1">
      <c r="D885" s="38">
        <v>883</v>
      </c>
      <c r="E885" s="62">
        <v>3416</v>
      </c>
      <c r="F885" s="63" t="s">
        <v>8354</v>
      </c>
      <c r="G885" s="63" t="s">
        <v>5281</v>
      </c>
      <c r="H885" s="63" t="s">
        <v>14</v>
      </c>
      <c r="I885" s="62">
        <v>2</v>
      </c>
      <c r="J885" s="58">
        <v>44749</v>
      </c>
    </row>
    <row r="886" spans="4:10" ht="15.6" customHeight="1">
      <c r="D886" s="38">
        <v>884</v>
      </c>
      <c r="E886" s="62">
        <v>2109</v>
      </c>
      <c r="F886" s="63" t="s">
        <v>6585</v>
      </c>
      <c r="G886" s="63" t="s">
        <v>5281</v>
      </c>
      <c r="H886" s="63" t="s">
        <v>11</v>
      </c>
      <c r="I886" s="62">
        <v>2</v>
      </c>
      <c r="J886" s="58">
        <v>44749</v>
      </c>
    </row>
    <row r="887" spans="4:10" ht="15.6" customHeight="1">
      <c r="D887" s="38">
        <v>885</v>
      </c>
      <c r="E887" s="62">
        <v>4947</v>
      </c>
      <c r="F887" s="63" t="s">
        <v>8355</v>
      </c>
      <c r="G887" s="63" t="s">
        <v>6774</v>
      </c>
      <c r="H887" s="63" t="s">
        <v>7646</v>
      </c>
      <c r="I887" s="62">
        <v>2</v>
      </c>
      <c r="J887" s="58">
        <v>44749</v>
      </c>
    </row>
    <row r="888" spans="4:10" ht="15.6" customHeight="1">
      <c r="D888" s="38">
        <v>886</v>
      </c>
      <c r="E888" s="62">
        <v>3187</v>
      </c>
      <c r="F888" s="63" t="s">
        <v>8356</v>
      </c>
      <c r="G888" s="63" t="s">
        <v>6782</v>
      </c>
      <c r="H888" s="63" t="s">
        <v>8357</v>
      </c>
      <c r="I888" s="62">
        <v>2</v>
      </c>
      <c r="J888" s="58">
        <v>44749</v>
      </c>
    </row>
    <row r="889" spans="4:10" ht="15.6" customHeight="1">
      <c r="D889" s="38">
        <v>887</v>
      </c>
      <c r="E889" s="62">
        <v>3480</v>
      </c>
      <c r="F889" s="63" t="s">
        <v>8358</v>
      </c>
      <c r="G889" s="63" t="s">
        <v>6782</v>
      </c>
      <c r="H889" s="63" t="s">
        <v>8357</v>
      </c>
      <c r="I889" s="62">
        <v>2</v>
      </c>
      <c r="J889" s="58">
        <v>44749</v>
      </c>
    </row>
    <row r="890" spans="4:10" ht="15.6" customHeight="1">
      <c r="D890" s="38">
        <v>888</v>
      </c>
      <c r="E890" s="62">
        <v>3460</v>
      </c>
      <c r="F890" s="63" t="s">
        <v>8359</v>
      </c>
      <c r="G890" s="63" t="s">
        <v>6808</v>
      </c>
      <c r="H890" s="63" t="s">
        <v>8360</v>
      </c>
      <c r="I890" s="62">
        <v>2</v>
      </c>
      <c r="J890" s="58">
        <v>44749</v>
      </c>
    </row>
    <row r="891" spans="4:10" ht="15.6" customHeight="1">
      <c r="D891" s="38">
        <v>889</v>
      </c>
      <c r="E891" s="62">
        <v>4415</v>
      </c>
      <c r="F891" s="63" t="s">
        <v>8361</v>
      </c>
      <c r="G891" s="63" t="s">
        <v>6808</v>
      </c>
      <c r="H891" s="63" t="s">
        <v>8362</v>
      </c>
      <c r="I891" s="62">
        <v>2</v>
      </c>
      <c r="J891" s="58">
        <v>44749</v>
      </c>
    </row>
    <row r="892" spans="4:10" ht="15.6" customHeight="1">
      <c r="D892" s="38">
        <v>890</v>
      </c>
      <c r="E892" s="62">
        <v>2498</v>
      </c>
      <c r="F892" s="63" t="s">
        <v>8363</v>
      </c>
      <c r="G892" s="63" t="s">
        <v>6808</v>
      </c>
      <c r="H892" s="63" t="s">
        <v>7459</v>
      </c>
      <c r="I892" s="62">
        <v>2</v>
      </c>
      <c r="J892" s="58">
        <v>44749</v>
      </c>
    </row>
    <row r="893" spans="4:10" ht="15.6" customHeight="1">
      <c r="D893" s="38">
        <v>891</v>
      </c>
      <c r="E893" s="62">
        <v>4405</v>
      </c>
      <c r="F893" s="63" t="s">
        <v>8364</v>
      </c>
      <c r="G893" s="63" t="s">
        <v>6866</v>
      </c>
      <c r="H893" s="63" t="s">
        <v>8365</v>
      </c>
      <c r="I893" s="62">
        <v>2</v>
      </c>
      <c r="J893" s="58">
        <v>44749</v>
      </c>
    </row>
    <row r="894" spans="4:10" ht="15.6" customHeight="1">
      <c r="D894" s="38">
        <v>892</v>
      </c>
      <c r="E894" s="62">
        <v>2968</v>
      </c>
      <c r="F894" s="63" t="s">
        <v>8366</v>
      </c>
      <c r="G894" s="63" t="s">
        <v>6866</v>
      </c>
      <c r="H894" s="63" t="s">
        <v>8365</v>
      </c>
      <c r="I894" s="62">
        <v>2</v>
      </c>
      <c r="J894" s="58">
        <v>44749</v>
      </c>
    </row>
    <row r="895" spans="4:10" ht="15.6" customHeight="1">
      <c r="D895" s="38">
        <v>893</v>
      </c>
      <c r="E895" s="62">
        <v>2133</v>
      </c>
      <c r="F895" s="63" t="s">
        <v>8367</v>
      </c>
      <c r="G895" s="63" t="s">
        <v>6735</v>
      </c>
      <c r="H895" s="63" t="s">
        <v>7232</v>
      </c>
      <c r="I895" s="62">
        <v>2</v>
      </c>
      <c r="J895" s="58">
        <v>44750</v>
      </c>
    </row>
    <row r="896" spans="4:10" ht="15.6" customHeight="1">
      <c r="D896" s="38">
        <v>894</v>
      </c>
      <c r="E896" s="62">
        <v>3652</v>
      </c>
      <c r="F896" s="63" t="s">
        <v>6569</v>
      </c>
      <c r="G896" s="63" t="s">
        <v>5281</v>
      </c>
      <c r="H896" s="63" t="s">
        <v>11</v>
      </c>
      <c r="I896" s="62">
        <v>2</v>
      </c>
      <c r="J896" s="58">
        <v>44750</v>
      </c>
    </row>
    <row r="897" spans="4:10" ht="15.6" customHeight="1">
      <c r="D897" s="38">
        <v>895</v>
      </c>
      <c r="E897" s="62">
        <v>3438</v>
      </c>
      <c r="F897" s="63" t="s">
        <v>8368</v>
      </c>
      <c r="G897" s="63" t="s">
        <v>5281</v>
      </c>
      <c r="H897" s="63" t="s">
        <v>11</v>
      </c>
      <c r="I897" s="62">
        <v>2</v>
      </c>
      <c r="J897" s="58">
        <v>44750</v>
      </c>
    </row>
    <row r="898" spans="4:10" ht="15.6" customHeight="1">
      <c r="D898" s="38">
        <v>896</v>
      </c>
      <c r="E898" s="62">
        <v>4856</v>
      </c>
      <c r="F898" s="63" t="s">
        <v>1437</v>
      </c>
      <c r="G898" s="63" t="s">
        <v>5281</v>
      </c>
      <c r="H898" s="63" t="s">
        <v>11</v>
      </c>
      <c r="I898" s="62">
        <v>2</v>
      </c>
      <c r="J898" s="58">
        <v>44750</v>
      </c>
    </row>
    <row r="899" spans="4:10" ht="15.6" customHeight="1">
      <c r="D899" s="38">
        <v>897</v>
      </c>
      <c r="E899" s="62">
        <v>4341</v>
      </c>
      <c r="F899" s="63" t="s">
        <v>767</v>
      </c>
      <c r="G899" s="63" t="s">
        <v>5281</v>
      </c>
      <c r="H899" s="63" t="s">
        <v>11</v>
      </c>
      <c r="I899" s="62">
        <v>2</v>
      </c>
      <c r="J899" s="58">
        <v>44750</v>
      </c>
    </row>
    <row r="900" spans="4:10" ht="15.6" customHeight="1">
      <c r="D900" s="38">
        <v>898</v>
      </c>
      <c r="E900" s="62">
        <v>4880</v>
      </c>
      <c r="F900" s="63" t="s">
        <v>8369</v>
      </c>
      <c r="G900" s="63" t="s">
        <v>6774</v>
      </c>
      <c r="H900" s="63" t="s">
        <v>6843</v>
      </c>
      <c r="I900" s="62">
        <v>2</v>
      </c>
      <c r="J900" s="58">
        <v>44750</v>
      </c>
    </row>
    <row r="901" spans="4:10" ht="15.6" customHeight="1">
      <c r="D901" s="38">
        <v>899</v>
      </c>
      <c r="E901" s="62">
        <v>2649</v>
      </c>
      <c r="F901" s="63" t="s">
        <v>8370</v>
      </c>
      <c r="G901" s="63" t="s">
        <v>6765</v>
      </c>
      <c r="H901" s="63" t="s">
        <v>8371</v>
      </c>
      <c r="I901" s="62">
        <v>2</v>
      </c>
      <c r="J901" s="58">
        <v>44750</v>
      </c>
    </row>
    <row r="902" spans="4:10" ht="15.6" customHeight="1">
      <c r="D902" s="38">
        <v>900</v>
      </c>
      <c r="E902" s="62">
        <v>4664</v>
      </c>
      <c r="F902" s="63" t="s">
        <v>8372</v>
      </c>
      <c r="G902" s="63" t="s">
        <v>6765</v>
      </c>
      <c r="H902" s="63" t="s">
        <v>8371</v>
      </c>
      <c r="I902" s="62">
        <v>2</v>
      </c>
      <c r="J902" s="58">
        <v>44750</v>
      </c>
    </row>
    <row r="903" spans="4:10" ht="15.6" customHeight="1">
      <c r="D903" s="38">
        <v>901</v>
      </c>
      <c r="E903" s="62">
        <v>3649</v>
      </c>
      <c r="F903" s="63" t="s">
        <v>8373</v>
      </c>
      <c r="G903" s="63" t="s">
        <v>6808</v>
      </c>
      <c r="H903" s="63" t="s">
        <v>7459</v>
      </c>
      <c r="I903" s="62">
        <v>2</v>
      </c>
      <c r="J903" s="58">
        <v>44750</v>
      </c>
    </row>
    <row r="904" spans="4:10" ht="15.6" customHeight="1">
      <c r="D904" s="38">
        <v>902</v>
      </c>
      <c r="E904" s="62">
        <v>4796</v>
      </c>
      <c r="F904" s="63" t="s">
        <v>8374</v>
      </c>
      <c r="G904" s="63" t="s">
        <v>6808</v>
      </c>
      <c r="H904" s="63" t="s">
        <v>7459</v>
      </c>
      <c r="I904" s="62">
        <v>2</v>
      </c>
      <c r="J904" s="58">
        <v>44750</v>
      </c>
    </row>
    <row r="905" spans="4:10" ht="15.6" customHeight="1">
      <c r="D905" s="38">
        <v>903</v>
      </c>
      <c r="E905" s="62">
        <v>4807</v>
      </c>
      <c r="F905" s="63" t="s">
        <v>8375</v>
      </c>
      <c r="G905" s="63" t="s">
        <v>6774</v>
      </c>
      <c r="H905" s="63" t="s">
        <v>7646</v>
      </c>
      <c r="I905" s="62">
        <v>2</v>
      </c>
      <c r="J905" s="58">
        <v>44751</v>
      </c>
    </row>
    <row r="906" spans="4:10" ht="15.6" customHeight="1">
      <c r="D906" s="38">
        <v>904</v>
      </c>
      <c r="E906" s="62">
        <v>4006</v>
      </c>
      <c r="F906" s="63" t="s">
        <v>8376</v>
      </c>
      <c r="G906" s="63" t="s">
        <v>6782</v>
      </c>
      <c r="H906" s="63" t="s">
        <v>8357</v>
      </c>
      <c r="I906" s="62">
        <v>2</v>
      </c>
      <c r="J906" s="58">
        <v>44751</v>
      </c>
    </row>
    <row r="907" spans="4:10" ht="15.6" customHeight="1">
      <c r="D907" s="38">
        <v>905</v>
      </c>
      <c r="E907" s="62">
        <v>4470</v>
      </c>
      <c r="F907" s="63" t="s">
        <v>8377</v>
      </c>
      <c r="G907" s="63" t="s">
        <v>6738</v>
      </c>
      <c r="H907" s="63" t="s">
        <v>8378</v>
      </c>
      <c r="I907" s="62">
        <v>2</v>
      </c>
      <c r="J907" s="58">
        <v>44753</v>
      </c>
    </row>
    <row r="908" spans="4:10" ht="15.6" customHeight="1">
      <c r="D908" s="38">
        <v>906</v>
      </c>
      <c r="E908" s="62">
        <v>4333</v>
      </c>
      <c r="F908" s="63" t="s">
        <v>8379</v>
      </c>
      <c r="G908" s="63" t="s">
        <v>6738</v>
      </c>
      <c r="H908" s="63" t="s">
        <v>8380</v>
      </c>
      <c r="I908" s="62">
        <v>2</v>
      </c>
      <c r="J908" s="58">
        <v>44753</v>
      </c>
    </row>
    <row r="909" spans="4:10" ht="15.6" customHeight="1">
      <c r="D909" s="38">
        <v>907</v>
      </c>
      <c r="E909" s="62">
        <v>4025</v>
      </c>
      <c r="F909" s="63" t="s">
        <v>2295</v>
      </c>
      <c r="G909" s="63" t="s">
        <v>5281</v>
      </c>
      <c r="H909" s="63" t="s">
        <v>11</v>
      </c>
      <c r="I909" s="62">
        <v>2</v>
      </c>
      <c r="J909" s="58">
        <v>44753</v>
      </c>
    </row>
    <row r="910" spans="4:10" ht="15.6" customHeight="1">
      <c r="D910" s="38">
        <v>908</v>
      </c>
      <c r="E910" s="62">
        <v>4163</v>
      </c>
      <c r="F910" s="63" t="s">
        <v>771</v>
      </c>
      <c r="G910" s="63" t="s">
        <v>5281</v>
      </c>
      <c r="H910" s="63" t="s">
        <v>11</v>
      </c>
      <c r="I910" s="62">
        <v>2</v>
      </c>
      <c r="J910" s="58">
        <v>44753</v>
      </c>
    </row>
    <row r="911" spans="4:10" ht="15.6" customHeight="1">
      <c r="D911" s="38">
        <v>909</v>
      </c>
      <c r="E911" s="62">
        <v>3358</v>
      </c>
      <c r="F911" s="63" t="s">
        <v>8381</v>
      </c>
      <c r="G911" s="63" t="s">
        <v>5281</v>
      </c>
      <c r="H911" s="63" t="s">
        <v>11</v>
      </c>
      <c r="I911" s="62">
        <v>2</v>
      </c>
      <c r="J911" s="58">
        <v>44753</v>
      </c>
    </row>
    <row r="912" spans="4:10" ht="15.6" customHeight="1">
      <c r="D912" s="38">
        <v>910</v>
      </c>
      <c r="E912" s="62">
        <v>4911</v>
      </c>
      <c r="F912" s="63" t="s">
        <v>8382</v>
      </c>
      <c r="G912" s="63" t="s">
        <v>6782</v>
      </c>
      <c r="H912" s="63" t="s">
        <v>7577</v>
      </c>
      <c r="I912" s="62">
        <v>2</v>
      </c>
      <c r="J912" s="58">
        <v>44753</v>
      </c>
    </row>
    <row r="913" spans="4:10" ht="15.6" customHeight="1">
      <c r="D913" s="38">
        <v>911</v>
      </c>
      <c r="E913" s="62">
        <v>2141</v>
      </c>
      <c r="F913" s="63" t="s">
        <v>8383</v>
      </c>
      <c r="G913" s="63" t="s">
        <v>6782</v>
      </c>
      <c r="H913" s="63" t="s">
        <v>7577</v>
      </c>
      <c r="I913" s="62">
        <v>2</v>
      </c>
      <c r="J913" s="58">
        <v>44753</v>
      </c>
    </row>
    <row r="914" spans="4:10" ht="15.6" customHeight="1">
      <c r="D914" s="38">
        <v>912</v>
      </c>
      <c r="E914" s="62">
        <v>4933</v>
      </c>
      <c r="F914" s="63" t="s">
        <v>5166</v>
      </c>
      <c r="G914" s="63" t="s">
        <v>6765</v>
      </c>
      <c r="H914" s="63" t="s">
        <v>9</v>
      </c>
      <c r="I914" s="62">
        <v>2</v>
      </c>
      <c r="J914" s="58">
        <v>44753</v>
      </c>
    </row>
    <row r="915" spans="4:10" ht="15.6" customHeight="1">
      <c r="D915" s="38">
        <v>913</v>
      </c>
      <c r="E915" s="62">
        <v>4902</v>
      </c>
      <c r="F915" s="63" t="s">
        <v>3152</v>
      </c>
      <c r="G915" s="63" t="s">
        <v>6765</v>
      </c>
      <c r="H915" s="63" t="s">
        <v>9</v>
      </c>
      <c r="I915" s="62">
        <v>2</v>
      </c>
      <c r="J915" s="58">
        <v>44753</v>
      </c>
    </row>
    <row r="916" spans="4:10" ht="15.6" customHeight="1">
      <c r="D916" s="38">
        <v>914</v>
      </c>
      <c r="E916" s="62">
        <v>2466</v>
      </c>
      <c r="F916" s="63" t="s">
        <v>8384</v>
      </c>
      <c r="G916" s="63" t="s">
        <v>6808</v>
      </c>
      <c r="H916" s="63" t="s">
        <v>7974</v>
      </c>
      <c r="I916" s="62">
        <v>2</v>
      </c>
      <c r="J916" s="58">
        <v>44753</v>
      </c>
    </row>
    <row r="917" spans="4:10" ht="15.6" customHeight="1">
      <c r="D917" s="38">
        <v>915</v>
      </c>
      <c r="E917" s="62">
        <v>4178</v>
      </c>
      <c r="F917" s="63" t="s">
        <v>8385</v>
      </c>
      <c r="G917" s="63" t="s">
        <v>6808</v>
      </c>
      <c r="H917" s="63" t="s">
        <v>6899</v>
      </c>
      <c r="I917" s="62">
        <v>2</v>
      </c>
      <c r="J917" s="58">
        <v>44753</v>
      </c>
    </row>
    <row r="918" spans="4:10" ht="15.6" customHeight="1">
      <c r="D918" s="38">
        <v>916</v>
      </c>
      <c r="E918" s="62">
        <v>3445</v>
      </c>
      <c r="F918" s="63" t="s">
        <v>8386</v>
      </c>
      <c r="G918" s="63" t="s">
        <v>6808</v>
      </c>
      <c r="H918" s="63" t="s">
        <v>8387</v>
      </c>
      <c r="I918" s="62">
        <v>2</v>
      </c>
      <c r="J918" s="58">
        <v>44753</v>
      </c>
    </row>
    <row r="919" spans="4:10" ht="15.6" customHeight="1">
      <c r="D919" s="38">
        <v>917</v>
      </c>
      <c r="E919" s="62">
        <v>4776</v>
      </c>
      <c r="F919" s="63" t="s">
        <v>8388</v>
      </c>
      <c r="G919" s="63" t="s">
        <v>6792</v>
      </c>
      <c r="H919" s="63" t="s">
        <v>6955</v>
      </c>
      <c r="I919" s="62">
        <v>2</v>
      </c>
      <c r="J919" s="58">
        <v>44753</v>
      </c>
    </row>
    <row r="920" spans="4:10" ht="15.6" customHeight="1">
      <c r="D920" s="38">
        <v>918</v>
      </c>
      <c r="E920" s="62">
        <v>4927</v>
      </c>
      <c r="F920" s="63" t="s">
        <v>8389</v>
      </c>
      <c r="G920" s="63" t="s">
        <v>6792</v>
      </c>
      <c r="H920" s="63" t="s">
        <v>8390</v>
      </c>
      <c r="I920" s="62">
        <v>2</v>
      </c>
      <c r="J920" s="58">
        <v>44753</v>
      </c>
    </row>
    <row r="921" spans="4:10" ht="15.6" customHeight="1">
      <c r="D921" s="38">
        <v>919</v>
      </c>
      <c r="E921" s="62">
        <v>4597</v>
      </c>
      <c r="F921" s="63" t="s">
        <v>8391</v>
      </c>
      <c r="G921" s="63" t="s">
        <v>6738</v>
      </c>
      <c r="H921" s="63" t="s">
        <v>6739</v>
      </c>
      <c r="I921" s="62">
        <v>2</v>
      </c>
      <c r="J921" s="58">
        <v>44754</v>
      </c>
    </row>
    <row r="922" spans="4:10" ht="15.6" customHeight="1">
      <c r="D922" s="38">
        <v>920</v>
      </c>
      <c r="E922" s="62">
        <v>2891</v>
      </c>
      <c r="F922" s="63" t="s">
        <v>8392</v>
      </c>
      <c r="G922" s="63" t="s">
        <v>6738</v>
      </c>
      <c r="H922" s="63" t="s">
        <v>6739</v>
      </c>
      <c r="I922" s="62">
        <v>2</v>
      </c>
      <c r="J922" s="58">
        <v>44754</v>
      </c>
    </row>
    <row r="923" spans="4:10" ht="15.6" customHeight="1">
      <c r="D923" s="38">
        <v>921</v>
      </c>
      <c r="E923" s="62" t="s">
        <v>67</v>
      </c>
      <c r="F923" s="63" t="s">
        <v>8393</v>
      </c>
      <c r="G923" s="63" t="s">
        <v>5281</v>
      </c>
      <c r="H923" s="63" t="s">
        <v>11</v>
      </c>
      <c r="I923" s="62">
        <v>2</v>
      </c>
      <c r="J923" s="58">
        <v>44754</v>
      </c>
    </row>
    <row r="924" spans="4:10" ht="15.6" customHeight="1">
      <c r="D924" s="38">
        <v>922</v>
      </c>
      <c r="E924" s="62" t="s">
        <v>51</v>
      </c>
      <c r="F924" s="63" t="s">
        <v>8394</v>
      </c>
      <c r="G924" s="63" t="s">
        <v>5281</v>
      </c>
      <c r="H924" s="63" t="s">
        <v>11</v>
      </c>
      <c r="I924" s="62">
        <v>2</v>
      </c>
      <c r="J924" s="58">
        <v>44754</v>
      </c>
    </row>
    <row r="925" spans="4:10" ht="15.6" customHeight="1">
      <c r="D925" s="38">
        <v>923</v>
      </c>
      <c r="E925" s="62">
        <v>4005</v>
      </c>
      <c r="F925" s="63" t="s">
        <v>1918</v>
      </c>
      <c r="G925" s="63" t="s">
        <v>5281</v>
      </c>
      <c r="H925" s="63" t="s">
        <v>11</v>
      </c>
      <c r="I925" s="62">
        <v>2</v>
      </c>
      <c r="J925" s="58">
        <v>44754</v>
      </c>
    </row>
    <row r="926" spans="4:10" ht="15.6" customHeight="1">
      <c r="D926" s="38">
        <v>924</v>
      </c>
      <c r="E926" s="62">
        <v>2034</v>
      </c>
      <c r="F926" s="63" t="s">
        <v>8395</v>
      </c>
      <c r="G926" s="63" t="s">
        <v>6765</v>
      </c>
      <c r="H926" s="63" t="s">
        <v>8371</v>
      </c>
      <c r="I926" s="62">
        <v>2</v>
      </c>
      <c r="J926" s="58">
        <v>44754</v>
      </c>
    </row>
    <row r="927" spans="4:10" ht="15.6" customHeight="1">
      <c r="D927" s="38">
        <v>925</v>
      </c>
      <c r="E927" s="62">
        <v>2910</v>
      </c>
      <c r="F927" s="63" t="s">
        <v>8396</v>
      </c>
      <c r="G927" s="63" t="s">
        <v>6765</v>
      </c>
      <c r="H927" s="63" t="s">
        <v>8371</v>
      </c>
      <c r="I927" s="62">
        <v>2</v>
      </c>
      <c r="J927" s="58">
        <v>44754</v>
      </c>
    </row>
    <row r="928" spans="4:10" ht="15.6" customHeight="1">
      <c r="D928" s="38">
        <v>926</v>
      </c>
      <c r="E928" s="62">
        <v>2963</v>
      </c>
      <c r="F928" s="63" t="s">
        <v>8397</v>
      </c>
      <c r="G928" s="63" t="s">
        <v>6765</v>
      </c>
      <c r="H928" s="63" t="s">
        <v>8371</v>
      </c>
      <c r="I928" s="62">
        <v>2</v>
      </c>
      <c r="J928" s="58">
        <v>44754</v>
      </c>
    </row>
    <row r="929" spans="4:10" ht="15.6" customHeight="1">
      <c r="D929" s="38">
        <v>927</v>
      </c>
      <c r="E929" s="62">
        <v>2520</v>
      </c>
      <c r="F929" s="63" t="s">
        <v>8398</v>
      </c>
      <c r="G929" s="63" t="s">
        <v>6756</v>
      </c>
      <c r="H929" s="63" t="s">
        <v>8399</v>
      </c>
      <c r="I929" s="62">
        <v>2</v>
      </c>
      <c r="J929" s="58">
        <v>44754</v>
      </c>
    </row>
    <row r="930" spans="4:10" ht="15.6" customHeight="1">
      <c r="D930" s="38">
        <v>928</v>
      </c>
      <c r="E930" s="62">
        <v>2653</v>
      </c>
      <c r="F930" s="63" t="s">
        <v>8400</v>
      </c>
      <c r="G930" s="63" t="s">
        <v>6756</v>
      </c>
      <c r="H930" s="63" t="s">
        <v>8399</v>
      </c>
      <c r="I930" s="62">
        <v>2</v>
      </c>
      <c r="J930" s="58">
        <v>44754</v>
      </c>
    </row>
    <row r="931" spans="4:10" ht="15.6" customHeight="1">
      <c r="D931" s="38">
        <v>929</v>
      </c>
      <c r="E931" s="62">
        <v>3706</v>
      </c>
      <c r="F931" s="63" t="s">
        <v>8401</v>
      </c>
      <c r="G931" s="63" t="s">
        <v>6756</v>
      </c>
      <c r="H931" s="63" t="s">
        <v>8399</v>
      </c>
      <c r="I931" s="62">
        <v>2</v>
      </c>
      <c r="J931" s="58">
        <v>44754</v>
      </c>
    </row>
    <row r="932" spans="4:10" ht="15.6" customHeight="1">
      <c r="D932" s="38">
        <v>930</v>
      </c>
      <c r="E932" s="62" t="s">
        <v>8402</v>
      </c>
      <c r="F932" s="63" t="s">
        <v>8403</v>
      </c>
      <c r="G932" s="63" t="s">
        <v>6756</v>
      </c>
      <c r="H932" s="63" t="s">
        <v>8399</v>
      </c>
      <c r="I932" s="62">
        <v>2</v>
      </c>
      <c r="J932" s="58">
        <v>44754</v>
      </c>
    </row>
    <row r="933" spans="4:10" ht="15.6" customHeight="1">
      <c r="D933" s="38">
        <v>931</v>
      </c>
      <c r="E933" s="62">
        <v>4463</v>
      </c>
      <c r="F933" s="63" t="s">
        <v>8404</v>
      </c>
      <c r="G933" s="63" t="s">
        <v>6792</v>
      </c>
      <c r="H933" s="63" t="s">
        <v>7881</v>
      </c>
      <c r="I933" s="62">
        <v>2</v>
      </c>
      <c r="J933" s="58">
        <v>44754</v>
      </c>
    </row>
    <row r="934" spans="4:10" ht="15.6" customHeight="1">
      <c r="D934" s="38">
        <v>932</v>
      </c>
      <c r="E934" s="62">
        <v>3386</v>
      </c>
      <c r="F934" s="63" t="s">
        <v>8405</v>
      </c>
      <c r="G934" s="63" t="s">
        <v>6792</v>
      </c>
      <c r="H934" s="63" t="s">
        <v>7881</v>
      </c>
      <c r="I934" s="62">
        <v>2</v>
      </c>
      <c r="J934" s="58">
        <v>44754</v>
      </c>
    </row>
    <row r="935" spans="4:10" ht="15.6" customHeight="1">
      <c r="D935" s="38">
        <v>933</v>
      </c>
      <c r="E935" s="62">
        <v>4223</v>
      </c>
      <c r="F935" s="63" t="s">
        <v>8406</v>
      </c>
      <c r="G935" s="63" t="s">
        <v>6738</v>
      </c>
      <c r="H935" s="63" t="s">
        <v>8407</v>
      </c>
      <c r="I935" s="62">
        <v>2</v>
      </c>
      <c r="J935" s="58">
        <v>44755</v>
      </c>
    </row>
    <row r="936" spans="4:10" ht="15.6" customHeight="1">
      <c r="D936" s="38">
        <v>934</v>
      </c>
      <c r="E936" s="62">
        <v>4650</v>
      </c>
      <c r="F936" s="63" t="s">
        <v>8408</v>
      </c>
      <c r="G936" s="63" t="s">
        <v>6738</v>
      </c>
      <c r="H936" s="63" t="s">
        <v>8409</v>
      </c>
      <c r="I936" s="62">
        <v>2</v>
      </c>
      <c r="J936" s="58">
        <v>44755</v>
      </c>
    </row>
    <row r="937" spans="4:10" ht="15.6" customHeight="1">
      <c r="D937" s="38">
        <v>935</v>
      </c>
      <c r="E937" s="62">
        <v>4701</v>
      </c>
      <c r="F937" s="63" t="s">
        <v>888</v>
      </c>
      <c r="G937" s="63" t="s">
        <v>5281</v>
      </c>
      <c r="H937" s="63" t="s">
        <v>11</v>
      </c>
      <c r="I937" s="62">
        <v>2</v>
      </c>
      <c r="J937" s="58">
        <v>44755</v>
      </c>
    </row>
    <row r="938" spans="4:10" ht="15.6" customHeight="1">
      <c r="D938" s="38">
        <v>936</v>
      </c>
      <c r="E938" s="62">
        <v>3999</v>
      </c>
      <c r="F938" s="63" t="s">
        <v>892</v>
      </c>
      <c r="G938" s="63" t="s">
        <v>5281</v>
      </c>
      <c r="H938" s="63" t="s">
        <v>11</v>
      </c>
      <c r="I938" s="62">
        <v>2</v>
      </c>
      <c r="J938" s="58">
        <v>44755</v>
      </c>
    </row>
    <row r="939" spans="4:10" ht="15.6" customHeight="1">
      <c r="D939" s="38">
        <v>937</v>
      </c>
      <c r="E939" s="62">
        <v>3052</v>
      </c>
      <c r="F939" s="63" t="s">
        <v>176</v>
      </c>
      <c r="G939" s="63" t="s">
        <v>5281</v>
      </c>
      <c r="H939" s="63" t="s">
        <v>11</v>
      </c>
      <c r="I939" s="62">
        <v>2</v>
      </c>
      <c r="J939" s="58">
        <v>44755</v>
      </c>
    </row>
    <row r="940" spans="4:10" ht="15.6" customHeight="1">
      <c r="D940" s="38">
        <v>938</v>
      </c>
      <c r="E940" s="62">
        <v>3882</v>
      </c>
      <c r="F940" s="63" t="s">
        <v>8410</v>
      </c>
      <c r="G940" s="63" t="s">
        <v>6765</v>
      </c>
      <c r="H940" s="63" t="s">
        <v>8371</v>
      </c>
      <c r="I940" s="62">
        <v>2</v>
      </c>
      <c r="J940" s="58">
        <v>44755</v>
      </c>
    </row>
    <row r="941" spans="4:10" ht="15.6" customHeight="1">
      <c r="D941" s="38">
        <v>939</v>
      </c>
      <c r="E941" s="62">
        <v>4350</v>
      </c>
      <c r="F941" s="63" t="s">
        <v>8411</v>
      </c>
      <c r="G941" s="63" t="s">
        <v>6765</v>
      </c>
      <c r="H941" s="63" t="s">
        <v>8371</v>
      </c>
      <c r="I941" s="62">
        <v>2</v>
      </c>
      <c r="J941" s="58">
        <v>44755</v>
      </c>
    </row>
    <row r="942" spans="4:10" ht="15.6" customHeight="1">
      <c r="D942" s="38">
        <v>940</v>
      </c>
      <c r="E942" s="62">
        <v>2553</v>
      </c>
      <c r="F942" s="63" t="s">
        <v>8412</v>
      </c>
      <c r="G942" s="63" t="s">
        <v>6756</v>
      </c>
      <c r="H942" s="63" t="s">
        <v>8399</v>
      </c>
      <c r="I942" s="62">
        <v>2</v>
      </c>
      <c r="J942" s="58">
        <v>44755</v>
      </c>
    </row>
    <row r="943" spans="4:10" ht="15.6" customHeight="1">
      <c r="D943" s="38">
        <v>941</v>
      </c>
      <c r="E943" s="62">
        <v>4477</v>
      </c>
      <c r="F943" s="63" t="s">
        <v>8413</v>
      </c>
      <c r="G943" s="63" t="s">
        <v>6756</v>
      </c>
      <c r="H943" s="63" t="s">
        <v>8399</v>
      </c>
      <c r="I943" s="62">
        <v>2</v>
      </c>
      <c r="J943" s="58">
        <v>44755</v>
      </c>
    </row>
    <row r="944" spans="4:10" ht="15.6" customHeight="1">
      <c r="D944" s="38">
        <v>942</v>
      </c>
      <c r="E944" s="62" t="s">
        <v>8414</v>
      </c>
      <c r="F944" s="63" t="s">
        <v>8415</v>
      </c>
      <c r="G944" s="63" t="s">
        <v>6756</v>
      </c>
      <c r="H944" s="63" t="s">
        <v>7990</v>
      </c>
      <c r="I944" s="62">
        <v>2</v>
      </c>
      <c r="J944" s="58">
        <v>44755</v>
      </c>
    </row>
    <row r="945" spans="4:10" ht="15.6" customHeight="1">
      <c r="D945" s="38">
        <v>943</v>
      </c>
      <c r="E945" s="62">
        <v>4021</v>
      </c>
      <c r="F945" s="63" t="s">
        <v>8416</v>
      </c>
      <c r="G945" s="63" t="s">
        <v>6792</v>
      </c>
      <c r="H945" s="63" t="s">
        <v>6974</v>
      </c>
      <c r="I945" s="62">
        <v>2</v>
      </c>
      <c r="J945" s="58">
        <v>44755</v>
      </c>
    </row>
    <row r="946" spans="4:10" ht="15.6" customHeight="1">
      <c r="D946" s="38">
        <v>944</v>
      </c>
      <c r="E946" s="62">
        <v>4932</v>
      </c>
      <c r="F946" s="63" t="s">
        <v>8417</v>
      </c>
      <c r="G946" s="63" t="s">
        <v>6792</v>
      </c>
      <c r="H946" s="63" t="s">
        <v>6974</v>
      </c>
      <c r="I946" s="62">
        <v>2</v>
      </c>
      <c r="J946" s="58">
        <v>44755</v>
      </c>
    </row>
    <row r="947" spans="4:10" ht="15.6" customHeight="1">
      <c r="D947" s="38">
        <v>945</v>
      </c>
      <c r="E947" s="62">
        <v>2722</v>
      </c>
      <c r="F947" s="63" t="s">
        <v>8418</v>
      </c>
      <c r="G947" s="63" t="s">
        <v>6738</v>
      </c>
      <c r="H947" s="63" t="s">
        <v>8419</v>
      </c>
      <c r="I947" s="62">
        <v>2</v>
      </c>
      <c r="J947" s="58">
        <v>44756</v>
      </c>
    </row>
    <row r="948" spans="4:10" ht="15.6" customHeight="1">
      <c r="D948" s="38">
        <v>946</v>
      </c>
      <c r="E948" s="62">
        <v>3227</v>
      </c>
      <c r="F948" s="63" t="s">
        <v>8420</v>
      </c>
      <c r="G948" s="63" t="s">
        <v>5281</v>
      </c>
      <c r="H948" s="63" t="s">
        <v>10</v>
      </c>
      <c r="I948" s="62">
        <v>2</v>
      </c>
      <c r="J948" s="58">
        <v>44756</v>
      </c>
    </row>
    <row r="949" spans="4:10" ht="15.6" customHeight="1">
      <c r="D949" s="38">
        <v>947</v>
      </c>
      <c r="E949" s="62">
        <v>2390</v>
      </c>
      <c r="F949" s="63" t="s">
        <v>8421</v>
      </c>
      <c r="G949" s="63" t="s">
        <v>5281</v>
      </c>
      <c r="H949" s="63" t="s">
        <v>10</v>
      </c>
      <c r="I949" s="62">
        <v>2</v>
      </c>
      <c r="J949" s="58">
        <v>44756</v>
      </c>
    </row>
    <row r="950" spans="4:10" ht="15.6" customHeight="1">
      <c r="D950" s="38">
        <v>948</v>
      </c>
      <c r="E950" s="62">
        <v>2691</v>
      </c>
      <c r="F950" s="63" t="s">
        <v>8422</v>
      </c>
      <c r="G950" s="63" t="s">
        <v>5281</v>
      </c>
      <c r="H950" s="63" t="s">
        <v>10</v>
      </c>
      <c r="I950" s="62">
        <v>2</v>
      </c>
      <c r="J950" s="58">
        <v>44756</v>
      </c>
    </row>
    <row r="951" spans="4:10" ht="15.6" customHeight="1">
      <c r="D951" s="38">
        <v>949</v>
      </c>
      <c r="E951" s="62">
        <v>4306</v>
      </c>
      <c r="F951" s="63" t="s">
        <v>8423</v>
      </c>
      <c r="G951" s="63" t="s">
        <v>6765</v>
      </c>
      <c r="H951" s="63" t="s">
        <v>8371</v>
      </c>
      <c r="I951" s="62">
        <v>2</v>
      </c>
      <c r="J951" s="58">
        <v>44756</v>
      </c>
    </row>
    <row r="952" spans="4:10" ht="15.6" customHeight="1">
      <c r="D952" s="38">
        <v>950</v>
      </c>
      <c r="E952" s="62">
        <v>4263</v>
      </c>
      <c r="F952" s="63" t="s">
        <v>8424</v>
      </c>
      <c r="G952" s="63" t="s">
        <v>6765</v>
      </c>
      <c r="H952" s="63" t="s">
        <v>7857</v>
      </c>
      <c r="I952" s="62">
        <v>2</v>
      </c>
      <c r="J952" s="58">
        <v>44756</v>
      </c>
    </row>
    <row r="953" spans="4:10" ht="15.6" customHeight="1">
      <c r="D953" s="38">
        <v>951</v>
      </c>
      <c r="E953" s="62">
        <v>4301</v>
      </c>
      <c r="F953" s="63" t="s">
        <v>8425</v>
      </c>
      <c r="G953" s="63" t="s">
        <v>6765</v>
      </c>
      <c r="H953" s="63" t="s">
        <v>7857</v>
      </c>
      <c r="I953" s="62">
        <v>2</v>
      </c>
      <c r="J953" s="58">
        <v>44756</v>
      </c>
    </row>
    <row r="954" spans="4:10" ht="15.6" customHeight="1">
      <c r="D954" s="38">
        <v>952</v>
      </c>
      <c r="E954" s="62">
        <v>4864</v>
      </c>
      <c r="F954" s="63" t="s">
        <v>8426</v>
      </c>
      <c r="G954" s="63" t="s">
        <v>6756</v>
      </c>
      <c r="H954" s="63" t="s">
        <v>7990</v>
      </c>
      <c r="I954" s="62">
        <v>2</v>
      </c>
      <c r="J954" s="58">
        <v>44756</v>
      </c>
    </row>
    <row r="955" spans="4:10" ht="15.6" customHeight="1">
      <c r="D955" s="38">
        <v>953</v>
      </c>
      <c r="E955" s="62">
        <v>3396</v>
      </c>
      <c r="F955" s="63" t="s">
        <v>8427</v>
      </c>
      <c r="G955" s="63" t="s">
        <v>6756</v>
      </c>
      <c r="H955" s="63" t="s">
        <v>6911</v>
      </c>
      <c r="I955" s="62">
        <v>2</v>
      </c>
      <c r="J955" s="58">
        <v>44756</v>
      </c>
    </row>
    <row r="956" spans="4:10" ht="15.6" customHeight="1">
      <c r="D956" s="38">
        <v>954</v>
      </c>
      <c r="E956" s="62">
        <v>4166</v>
      </c>
      <c r="F956" s="63" t="s">
        <v>8428</v>
      </c>
      <c r="G956" s="63" t="s">
        <v>6756</v>
      </c>
      <c r="H956" s="63" t="s">
        <v>6911</v>
      </c>
      <c r="I956" s="62">
        <v>2</v>
      </c>
      <c r="J956" s="58">
        <v>44756</v>
      </c>
    </row>
    <row r="957" spans="4:10" ht="15.6" customHeight="1">
      <c r="D957" s="38">
        <v>955</v>
      </c>
      <c r="E957" s="62">
        <v>4965</v>
      </c>
      <c r="F957" s="63" t="s">
        <v>8429</v>
      </c>
      <c r="G957" s="63" t="s">
        <v>6792</v>
      </c>
      <c r="H957" s="63" t="s">
        <v>8022</v>
      </c>
      <c r="I957" s="62">
        <v>2</v>
      </c>
      <c r="J957" s="58">
        <v>44756</v>
      </c>
    </row>
    <row r="958" spans="4:10" ht="15.6" customHeight="1">
      <c r="D958" s="38">
        <v>956</v>
      </c>
      <c r="E958" s="62">
        <v>3725</v>
      </c>
      <c r="F958" s="63" t="s">
        <v>8430</v>
      </c>
      <c r="G958" s="63" t="s">
        <v>6792</v>
      </c>
      <c r="H958" s="63" t="s">
        <v>8043</v>
      </c>
      <c r="I958" s="62">
        <v>2</v>
      </c>
      <c r="J958" s="58">
        <v>44756</v>
      </c>
    </row>
    <row r="959" spans="4:10" ht="15.6" customHeight="1">
      <c r="D959" s="38">
        <v>957</v>
      </c>
      <c r="E959" s="62">
        <v>2292</v>
      </c>
      <c r="F959" s="63" t="s">
        <v>8431</v>
      </c>
      <c r="G959" s="63" t="s">
        <v>5281</v>
      </c>
      <c r="H959" s="63" t="s">
        <v>8432</v>
      </c>
      <c r="I959" s="62">
        <v>2</v>
      </c>
      <c r="J959" s="58">
        <v>44757</v>
      </c>
    </row>
    <row r="960" spans="4:10" ht="15.6" customHeight="1">
      <c r="D960" s="38">
        <v>958</v>
      </c>
      <c r="E960" s="62">
        <v>2508</v>
      </c>
      <c r="F960" s="63" t="s">
        <v>7326</v>
      </c>
      <c r="G960" s="63" t="s">
        <v>5281</v>
      </c>
      <c r="H960" s="63" t="s">
        <v>8433</v>
      </c>
      <c r="I960" s="62">
        <v>2</v>
      </c>
      <c r="J960" s="58">
        <v>44757</v>
      </c>
    </row>
    <row r="961" spans="4:10" ht="15.6" customHeight="1">
      <c r="D961" s="38">
        <v>959</v>
      </c>
      <c r="E961" s="62">
        <v>4819</v>
      </c>
      <c r="F961" s="63" t="s">
        <v>1312</v>
      </c>
      <c r="G961" s="63" t="s">
        <v>5281</v>
      </c>
      <c r="H961" s="63" t="s">
        <v>10</v>
      </c>
      <c r="I961" s="62">
        <v>2</v>
      </c>
      <c r="J961" s="58">
        <v>44757</v>
      </c>
    </row>
    <row r="962" spans="4:10" ht="15.6" customHeight="1">
      <c r="D962" s="38">
        <v>960</v>
      </c>
      <c r="E962" s="62">
        <v>3770</v>
      </c>
      <c r="F962" s="63" t="s">
        <v>1263</v>
      </c>
      <c r="G962" s="63" t="s">
        <v>5281</v>
      </c>
      <c r="H962" s="63" t="s">
        <v>10</v>
      </c>
      <c r="I962" s="62">
        <v>2</v>
      </c>
      <c r="J962" s="58">
        <v>44757</v>
      </c>
    </row>
    <row r="963" spans="4:10" ht="15.6" customHeight="1">
      <c r="D963" s="38">
        <v>961</v>
      </c>
      <c r="E963" s="62">
        <v>3953</v>
      </c>
      <c r="F963" s="63" t="s">
        <v>7319</v>
      </c>
      <c r="G963" s="63" t="s">
        <v>5281</v>
      </c>
      <c r="H963" s="63" t="s">
        <v>10</v>
      </c>
      <c r="I963" s="62">
        <v>2</v>
      </c>
      <c r="J963" s="58">
        <v>44757</v>
      </c>
    </row>
    <row r="964" spans="4:10" ht="15.6" customHeight="1">
      <c r="D964" s="38">
        <v>962</v>
      </c>
      <c r="E964" s="62">
        <v>4616</v>
      </c>
      <c r="F964" s="63" t="s">
        <v>8434</v>
      </c>
      <c r="G964" s="63" t="s">
        <v>6765</v>
      </c>
      <c r="H964" s="63" t="s">
        <v>8371</v>
      </c>
      <c r="I964" s="62">
        <v>2</v>
      </c>
      <c r="J964" s="58">
        <v>44757</v>
      </c>
    </row>
    <row r="965" spans="4:10" ht="15.6" customHeight="1">
      <c r="D965" s="38">
        <v>963</v>
      </c>
      <c r="E965" s="62">
        <v>3235</v>
      </c>
      <c r="F965" s="63" t="s">
        <v>8435</v>
      </c>
      <c r="G965" s="63" t="s">
        <v>6765</v>
      </c>
      <c r="H965" s="63" t="s">
        <v>7857</v>
      </c>
      <c r="I965" s="62">
        <v>2</v>
      </c>
      <c r="J965" s="58">
        <v>44757</v>
      </c>
    </row>
    <row r="966" spans="4:10" ht="15.6" customHeight="1">
      <c r="D966" s="38">
        <v>964</v>
      </c>
      <c r="E966" s="62">
        <v>2802</v>
      </c>
      <c r="F966" s="63" t="s">
        <v>8436</v>
      </c>
      <c r="G966" s="63" t="s">
        <v>6765</v>
      </c>
      <c r="H966" s="63" t="s">
        <v>8371</v>
      </c>
      <c r="I966" s="62">
        <v>2</v>
      </c>
      <c r="J966" s="58">
        <v>44757</v>
      </c>
    </row>
    <row r="967" spans="4:10" ht="15.6" customHeight="1">
      <c r="D967" s="38">
        <v>965</v>
      </c>
      <c r="E967" s="62">
        <v>4768</v>
      </c>
      <c r="F967" s="63" t="s">
        <v>8437</v>
      </c>
      <c r="G967" s="63" t="s">
        <v>6756</v>
      </c>
      <c r="H967" s="63" t="s">
        <v>8438</v>
      </c>
      <c r="I967" s="62">
        <v>2</v>
      </c>
      <c r="J967" s="58">
        <v>44757</v>
      </c>
    </row>
    <row r="968" spans="4:10" ht="15.6" customHeight="1">
      <c r="D968" s="38">
        <v>966</v>
      </c>
      <c r="E968" s="62">
        <v>3711</v>
      </c>
      <c r="F968" s="63" t="s">
        <v>8439</v>
      </c>
      <c r="G968" s="63" t="s">
        <v>6792</v>
      </c>
      <c r="H968" s="63" t="s">
        <v>7298</v>
      </c>
      <c r="I968" s="62">
        <v>2</v>
      </c>
      <c r="J968" s="58">
        <v>44757</v>
      </c>
    </row>
    <row r="969" spans="4:10" ht="15.6" customHeight="1">
      <c r="D969" s="38">
        <v>967</v>
      </c>
      <c r="E969" s="62">
        <v>3786</v>
      </c>
      <c r="F969" s="63" t="s">
        <v>8440</v>
      </c>
      <c r="G969" s="63" t="s">
        <v>6738</v>
      </c>
      <c r="H969" s="63" t="s">
        <v>8419</v>
      </c>
      <c r="I969" s="62">
        <v>2</v>
      </c>
      <c r="J969" s="58">
        <v>44760</v>
      </c>
    </row>
    <row r="970" spans="4:10" ht="15.6" customHeight="1">
      <c r="D970" s="38">
        <v>968</v>
      </c>
      <c r="E970" s="62">
        <v>4666</v>
      </c>
      <c r="F970" s="63" t="s">
        <v>8441</v>
      </c>
      <c r="G970" s="63" t="s">
        <v>6738</v>
      </c>
      <c r="H970" s="63" t="s">
        <v>8442</v>
      </c>
      <c r="I970" s="62">
        <v>2</v>
      </c>
      <c r="J970" s="58">
        <v>44760</v>
      </c>
    </row>
    <row r="971" spans="4:10" ht="15.6" customHeight="1">
      <c r="D971" s="38">
        <v>969</v>
      </c>
      <c r="E971" s="62">
        <v>4877</v>
      </c>
      <c r="F971" s="63" t="s">
        <v>8443</v>
      </c>
      <c r="G971" s="63" t="s">
        <v>6738</v>
      </c>
      <c r="H971" s="63" t="s">
        <v>8442</v>
      </c>
      <c r="I971" s="62">
        <v>2</v>
      </c>
      <c r="J971" s="58">
        <v>44760</v>
      </c>
    </row>
    <row r="972" spans="4:10" ht="15.6" customHeight="1">
      <c r="D972" s="38">
        <v>970</v>
      </c>
      <c r="E972" s="62">
        <v>2325</v>
      </c>
      <c r="F972" s="63" t="s">
        <v>1304</v>
      </c>
      <c r="G972" s="63" t="s">
        <v>5281</v>
      </c>
      <c r="H972" s="63" t="s">
        <v>10</v>
      </c>
      <c r="I972" s="62">
        <v>2</v>
      </c>
      <c r="J972" s="58">
        <v>44760</v>
      </c>
    </row>
    <row r="973" spans="4:10" ht="15.6" customHeight="1">
      <c r="D973" s="38">
        <v>971</v>
      </c>
      <c r="E973" s="62">
        <v>3921</v>
      </c>
      <c r="F973" s="63" t="s">
        <v>1690</v>
      </c>
      <c r="G973" s="63" t="s">
        <v>5281</v>
      </c>
      <c r="H973" s="63" t="s">
        <v>10</v>
      </c>
      <c r="I973" s="62">
        <v>2</v>
      </c>
      <c r="J973" s="58">
        <v>44760</v>
      </c>
    </row>
    <row r="974" spans="4:10" ht="15.6" customHeight="1">
      <c r="D974" s="38">
        <v>972</v>
      </c>
      <c r="E974" s="62">
        <v>4316</v>
      </c>
      <c r="F974" s="63" t="s">
        <v>1693</v>
      </c>
      <c r="G974" s="63" t="s">
        <v>5281</v>
      </c>
      <c r="H974" s="63" t="s">
        <v>10</v>
      </c>
      <c r="I974" s="62">
        <v>2</v>
      </c>
      <c r="J974" s="58">
        <v>44760</v>
      </c>
    </row>
    <row r="975" spans="4:10" ht="15.6" customHeight="1">
      <c r="D975" s="38">
        <v>973</v>
      </c>
      <c r="E975" s="62">
        <v>4881</v>
      </c>
      <c r="F975" s="63" t="s">
        <v>8444</v>
      </c>
      <c r="G975" s="63" t="s">
        <v>6765</v>
      </c>
      <c r="H975" s="63" t="s">
        <v>7857</v>
      </c>
      <c r="I975" s="62">
        <v>2</v>
      </c>
      <c r="J975" s="58">
        <v>44760</v>
      </c>
    </row>
    <row r="976" spans="4:10" ht="15.6" customHeight="1">
      <c r="D976" s="38">
        <v>974</v>
      </c>
      <c r="E976" s="62">
        <v>4369</v>
      </c>
      <c r="F976" s="63" t="s">
        <v>8445</v>
      </c>
      <c r="G976" s="63" t="s">
        <v>6765</v>
      </c>
      <c r="H976" s="63" t="s">
        <v>7857</v>
      </c>
      <c r="I976" s="62">
        <v>2</v>
      </c>
      <c r="J976" s="58">
        <v>44760</v>
      </c>
    </row>
    <row r="977" spans="4:10" ht="15.6" customHeight="1">
      <c r="D977" s="38">
        <v>975</v>
      </c>
      <c r="E977" s="62">
        <v>4785</v>
      </c>
      <c r="F977" s="63" t="s">
        <v>8446</v>
      </c>
      <c r="G977" s="63" t="s">
        <v>6756</v>
      </c>
      <c r="H977" s="63" t="s">
        <v>7316</v>
      </c>
      <c r="I977" s="62">
        <v>2</v>
      </c>
      <c r="J977" s="58">
        <v>44760</v>
      </c>
    </row>
    <row r="978" spans="4:10" ht="15.6" customHeight="1">
      <c r="D978" s="38">
        <v>976</v>
      </c>
      <c r="E978" s="62">
        <v>4862</v>
      </c>
      <c r="F978" s="63" t="s">
        <v>8447</v>
      </c>
      <c r="G978" s="63" t="s">
        <v>6792</v>
      </c>
      <c r="H978" s="63" t="s">
        <v>8448</v>
      </c>
      <c r="I978" s="62">
        <v>2</v>
      </c>
      <c r="J978" s="58">
        <v>44760</v>
      </c>
    </row>
    <row r="979" spans="4:10" ht="15.6" customHeight="1">
      <c r="D979" s="38">
        <v>977</v>
      </c>
      <c r="E979" s="62">
        <v>3586</v>
      </c>
      <c r="F979" s="63" t="s">
        <v>8449</v>
      </c>
      <c r="G979" s="63" t="s">
        <v>6792</v>
      </c>
      <c r="H979" s="63" t="s">
        <v>8450</v>
      </c>
      <c r="I979" s="62">
        <v>2</v>
      </c>
      <c r="J979" s="58">
        <v>44760</v>
      </c>
    </row>
    <row r="980" spans="4:10" ht="15.6" customHeight="1">
      <c r="D980" s="38">
        <v>978</v>
      </c>
      <c r="E980" s="62">
        <v>3738</v>
      </c>
      <c r="F980" s="63" t="s">
        <v>8451</v>
      </c>
      <c r="G980" s="63" t="s">
        <v>6738</v>
      </c>
      <c r="H980" s="63" t="s">
        <v>8442</v>
      </c>
      <c r="I980" s="62">
        <v>2</v>
      </c>
      <c r="J980" s="58">
        <v>44761</v>
      </c>
    </row>
    <row r="981" spans="4:10" ht="15.6" customHeight="1">
      <c r="D981" s="38">
        <v>979</v>
      </c>
      <c r="E981" s="62">
        <v>4840</v>
      </c>
      <c r="F981" s="63" t="s">
        <v>8452</v>
      </c>
      <c r="G981" s="63" t="s">
        <v>6738</v>
      </c>
      <c r="H981" s="63" t="s">
        <v>8442</v>
      </c>
      <c r="I981" s="62">
        <v>2</v>
      </c>
      <c r="J981" s="58">
        <v>44761</v>
      </c>
    </row>
    <row r="982" spans="4:10" ht="15.6" customHeight="1">
      <c r="D982" s="38">
        <v>980</v>
      </c>
      <c r="E982" s="62">
        <v>3858</v>
      </c>
      <c r="F982" s="63" t="s">
        <v>8453</v>
      </c>
      <c r="G982" s="63" t="s">
        <v>6738</v>
      </c>
      <c r="H982" s="63" t="s">
        <v>8442</v>
      </c>
      <c r="I982" s="62">
        <v>2</v>
      </c>
      <c r="J982" s="58">
        <v>44761</v>
      </c>
    </row>
    <row r="983" spans="4:10" ht="15.6" customHeight="1">
      <c r="D983" s="38">
        <v>981</v>
      </c>
      <c r="E983" s="62">
        <v>4154</v>
      </c>
      <c r="F983" s="63" t="s">
        <v>180</v>
      </c>
      <c r="G983" s="63" t="s">
        <v>5281</v>
      </c>
      <c r="H983" s="63" t="s">
        <v>13</v>
      </c>
      <c r="I983" s="62">
        <v>2</v>
      </c>
      <c r="J983" s="58">
        <v>44761</v>
      </c>
    </row>
    <row r="984" spans="4:10" ht="15.6" customHeight="1">
      <c r="D984" s="38">
        <v>982</v>
      </c>
      <c r="E984" s="62">
        <v>4326</v>
      </c>
      <c r="F984" s="63" t="s">
        <v>333</v>
      </c>
      <c r="G984" s="63" t="s">
        <v>5281</v>
      </c>
      <c r="H984" s="63" t="s">
        <v>13</v>
      </c>
      <c r="I984" s="62">
        <v>2</v>
      </c>
      <c r="J984" s="58">
        <v>44761</v>
      </c>
    </row>
    <row r="985" spans="4:10" ht="15.6" customHeight="1">
      <c r="D985" s="38">
        <v>983</v>
      </c>
      <c r="E985" s="62">
        <v>2187</v>
      </c>
      <c r="F985" s="63" t="s">
        <v>8454</v>
      </c>
      <c r="G985" s="63" t="s">
        <v>6765</v>
      </c>
      <c r="H985" s="63" t="s">
        <v>7857</v>
      </c>
      <c r="I985" s="62">
        <v>2</v>
      </c>
      <c r="J985" s="58">
        <v>44761</v>
      </c>
    </row>
    <row r="986" spans="4:10" ht="15.6" customHeight="1">
      <c r="D986" s="38">
        <v>984</v>
      </c>
      <c r="E986" s="62">
        <v>4818</v>
      </c>
      <c r="F986" s="63" t="s">
        <v>8455</v>
      </c>
      <c r="G986" s="63" t="s">
        <v>6765</v>
      </c>
      <c r="H986" s="63" t="s">
        <v>7857</v>
      </c>
      <c r="I986" s="62">
        <v>2</v>
      </c>
      <c r="J986" s="58">
        <v>44761</v>
      </c>
    </row>
    <row r="987" spans="4:10" ht="15.6" customHeight="1">
      <c r="D987" s="38">
        <v>985</v>
      </c>
      <c r="E987" s="62">
        <v>3835</v>
      </c>
      <c r="F987" s="63" t="s">
        <v>8456</v>
      </c>
      <c r="G987" s="63" t="s">
        <v>6756</v>
      </c>
      <c r="H987" s="63" t="s">
        <v>6920</v>
      </c>
      <c r="I987" s="62">
        <v>2</v>
      </c>
      <c r="J987" s="58">
        <v>44761</v>
      </c>
    </row>
    <row r="988" spans="4:10" ht="15.6" customHeight="1">
      <c r="D988" s="38">
        <v>986</v>
      </c>
      <c r="E988" s="62">
        <v>4002</v>
      </c>
      <c r="F988" s="63" t="s">
        <v>8457</v>
      </c>
      <c r="G988" s="63" t="s">
        <v>6756</v>
      </c>
      <c r="H988" s="63" t="s">
        <v>6920</v>
      </c>
      <c r="I988" s="62">
        <v>2</v>
      </c>
      <c r="J988" s="58">
        <v>44761</v>
      </c>
    </row>
    <row r="989" spans="4:10" ht="15.6" customHeight="1">
      <c r="D989" s="38">
        <v>987</v>
      </c>
      <c r="E989" s="62">
        <v>4938</v>
      </c>
      <c r="F989" s="63" t="s">
        <v>8458</v>
      </c>
      <c r="G989" s="63" t="s">
        <v>6756</v>
      </c>
      <c r="H989" s="63" t="s">
        <v>7858</v>
      </c>
      <c r="I989" s="62">
        <v>2</v>
      </c>
      <c r="J989" s="58">
        <v>44761</v>
      </c>
    </row>
    <row r="990" spans="4:10" ht="15.6" customHeight="1">
      <c r="D990" s="38">
        <v>988</v>
      </c>
      <c r="E990" s="62">
        <v>2659</v>
      </c>
      <c r="F990" s="63" t="s">
        <v>8459</v>
      </c>
      <c r="G990" s="63" t="s">
        <v>6866</v>
      </c>
      <c r="H990" s="63" t="s">
        <v>8460</v>
      </c>
      <c r="I990" s="62">
        <v>2</v>
      </c>
      <c r="J990" s="58">
        <v>44761</v>
      </c>
    </row>
    <row r="991" spans="4:10" ht="15.6" customHeight="1">
      <c r="D991" s="38">
        <v>989</v>
      </c>
      <c r="E991" s="62">
        <v>4469</v>
      </c>
      <c r="F991" s="63" t="s">
        <v>8461</v>
      </c>
      <c r="G991" s="63" t="s">
        <v>6866</v>
      </c>
      <c r="H991" s="63" t="s">
        <v>8462</v>
      </c>
      <c r="I991" s="62">
        <v>2</v>
      </c>
      <c r="J991" s="58">
        <v>44761</v>
      </c>
    </row>
    <row r="992" spans="4:10" ht="15.6" customHeight="1">
      <c r="D992" s="38">
        <v>990</v>
      </c>
      <c r="E992" s="62">
        <v>3491</v>
      </c>
      <c r="F992" s="63" t="s">
        <v>8463</v>
      </c>
      <c r="G992" s="63" t="s">
        <v>6866</v>
      </c>
      <c r="H992" s="63" t="s">
        <v>8462</v>
      </c>
      <c r="I992" s="62">
        <v>2</v>
      </c>
      <c r="J992" s="58">
        <v>44761</v>
      </c>
    </row>
    <row r="993" spans="4:10" ht="15.6" customHeight="1">
      <c r="D993" s="38">
        <v>991</v>
      </c>
      <c r="E993" s="62">
        <v>2672</v>
      </c>
      <c r="F993" s="63" t="s">
        <v>8464</v>
      </c>
      <c r="G993" s="63" t="s">
        <v>5281</v>
      </c>
      <c r="H993" s="63" t="s">
        <v>8125</v>
      </c>
      <c r="I993" s="62">
        <v>2</v>
      </c>
      <c r="J993" s="58">
        <v>44762</v>
      </c>
    </row>
    <row r="994" spans="4:10" ht="15.6" customHeight="1">
      <c r="D994" s="38">
        <v>992</v>
      </c>
      <c r="E994" s="62">
        <v>4159</v>
      </c>
      <c r="F994" s="63" t="s">
        <v>8465</v>
      </c>
      <c r="G994" s="63" t="s">
        <v>6735</v>
      </c>
      <c r="H994" s="63" t="s">
        <v>6897</v>
      </c>
      <c r="I994" s="62">
        <v>2</v>
      </c>
      <c r="J994" s="58">
        <v>44762</v>
      </c>
    </row>
    <row r="995" spans="4:10" ht="15.6" customHeight="1">
      <c r="D995" s="38">
        <v>993</v>
      </c>
      <c r="E995" s="62">
        <v>4282</v>
      </c>
      <c r="F995" s="63" t="s">
        <v>1625</v>
      </c>
      <c r="G995" s="63" t="s">
        <v>5281</v>
      </c>
      <c r="H995" s="63" t="s">
        <v>13</v>
      </c>
      <c r="I995" s="62">
        <v>2</v>
      </c>
      <c r="J995" s="58">
        <v>44762</v>
      </c>
    </row>
    <row r="996" spans="4:10" ht="15.6" customHeight="1">
      <c r="D996" s="38">
        <v>994</v>
      </c>
      <c r="E996" s="62">
        <v>3878</v>
      </c>
      <c r="F996" s="63" t="s">
        <v>354</v>
      </c>
      <c r="G996" s="63" t="s">
        <v>5281</v>
      </c>
      <c r="H996" s="63" t="s">
        <v>13</v>
      </c>
      <c r="I996" s="62">
        <v>2</v>
      </c>
      <c r="J996" s="58">
        <v>44762</v>
      </c>
    </row>
    <row r="997" spans="4:10" ht="15.6" customHeight="1">
      <c r="D997" s="38">
        <v>995</v>
      </c>
      <c r="E997" s="62">
        <v>4483</v>
      </c>
      <c r="F997" s="63" t="s">
        <v>2000</v>
      </c>
      <c r="G997" s="63" t="s">
        <v>5281</v>
      </c>
      <c r="H997" s="63" t="s">
        <v>13</v>
      </c>
      <c r="I997" s="62">
        <v>2</v>
      </c>
      <c r="J997" s="58">
        <v>44762</v>
      </c>
    </row>
    <row r="998" spans="4:10" ht="15.6" customHeight="1">
      <c r="D998" s="38">
        <v>996</v>
      </c>
      <c r="E998" s="62">
        <v>4538</v>
      </c>
      <c r="F998" s="63" t="s">
        <v>346</v>
      </c>
      <c r="G998" s="63" t="s">
        <v>5281</v>
      </c>
      <c r="H998" s="63" t="s">
        <v>13</v>
      </c>
      <c r="I998" s="62">
        <v>2</v>
      </c>
      <c r="J998" s="58">
        <v>44762</v>
      </c>
    </row>
    <row r="999" spans="4:10" ht="15.6" customHeight="1">
      <c r="D999" s="38">
        <v>997</v>
      </c>
      <c r="E999" s="62">
        <v>2534</v>
      </c>
      <c r="F999" s="63" t="s">
        <v>8466</v>
      </c>
      <c r="G999" s="63" t="s">
        <v>6765</v>
      </c>
      <c r="H999" s="63" t="s">
        <v>7857</v>
      </c>
      <c r="I999" s="62">
        <v>2</v>
      </c>
      <c r="J999" s="58">
        <v>44762</v>
      </c>
    </row>
    <row r="1000" spans="4:10" ht="15.6" customHeight="1">
      <c r="D1000" s="38">
        <v>998</v>
      </c>
      <c r="E1000" s="62">
        <v>3895</v>
      </c>
      <c r="F1000" s="63" t="s">
        <v>8467</v>
      </c>
      <c r="G1000" s="63" t="s">
        <v>6765</v>
      </c>
      <c r="H1000" s="63" t="s">
        <v>7857</v>
      </c>
      <c r="I1000" s="62">
        <v>2</v>
      </c>
      <c r="J1000" s="58">
        <v>44762</v>
      </c>
    </row>
    <row r="1001" spans="4:10" ht="15.6" customHeight="1">
      <c r="D1001" s="38">
        <v>999</v>
      </c>
      <c r="E1001" s="62">
        <v>4205</v>
      </c>
      <c r="F1001" s="63" t="s">
        <v>8468</v>
      </c>
      <c r="G1001" s="63" t="s">
        <v>6765</v>
      </c>
      <c r="H1001" s="63" t="s">
        <v>7857</v>
      </c>
      <c r="I1001" s="62">
        <v>2</v>
      </c>
      <c r="J1001" s="58">
        <v>44762</v>
      </c>
    </row>
    <row r="1002" spans="4:10" ht="15.6" customHeight="1">
      <c r="D1002" s="38">
        <v>1000</v>
      </c>
      <c r="E1002" s="62">
        <v>4562</v>
      </c>
      <c r="F1002" s="63" t="s">
        <v>8469</v>
      </c>
      <c r="G1002" s="63" t="s">
        <v>6816</v>
      </c>
      <c r="H1002" s="63" t="s">
        <v>7639</v>
      </c>
      <c r="I1002" s="62">
        <v>2</v>
      </c>
      <c r="J1002" s="58">
        <v>44762</v>
      </c>
    </row>
    <row r="1003" spans="4:10" ht="15.6" customHeight="1">
      <c r="D1003" s="38">
        <v>1001</v>
      </c>
      <c r="E1003" s="62">
        <v>3422</v>
      </c>
      <c r="F1003" s="63" t="s">
        <v>8470</v>
      </c>
      <c r="G1003" s="63" t="s">
        <v>6816</v>
      </c>
      <c r="H1003" s="63" t="s">
        <v>7639</v>
      </c>
      <c r="I1003" s="62">
        <v>2</v>
      </c>
      <c r="J1003" s="58">
        <v>44762</v>
      </c>
    </row>
    <row r="1004" spans="4:10" ht="15.6" customHeight="1">
      <c r="D1004" s="38">
        <v>1002</v>
      </c>
      <c r="E1004" s="62">
        <v>4725</v>
      </c>
      <c r="F1004" s="63" t="s">
        <v>8471</v>
      </c>
      <c r="G1004" s="63" t="s">
        <v>6816</v>
      </c>
      <c r="H1004" s="63" t="s">
        <v>8472</v>
      </c>
      <c r="I1004" s="62">
        <v>2</v>
      </c>
      <c r="J1004" s="58">
        <v>44762</v>
      </c>
    </row>
    <row r="1005" spans="4:10" ht="15.6" customHeight="1">
      <c r="D1005" s="38">
        <v>1003</v>
      </c>
      <c r="E1005" s="62">
        <v>3036</v>
      </c>
      <c r="F1005" s="63" t="s">
        <v>8473</v>
      </c>
      <c r="G1005" s="63" t="s">
        <v>6866</v>
      </c>
      <c r="H1005" s="63" t="s">
        <v>8474</v>
      </c>
      <c r="I1005" s="62">
        <v>2</v>
      </c>
      <c r="J1005" s="58">
        <v>44762</v>
      </c>
    </row>
    <row r="1006" spans="4:10" ht="15.6" customHeight="1">
      <c r="D1006" s="38">
        <v>1004</v>
      </c>
      <c r="E1006" s="62">
        <v>4721</v>
      </c>
      <c r="F1006" s="63" t="s">
        <v>8475</v>
      </c>
      <c r="G1006" s="63" t="s">
        <v>6866</v>
      </c>
      <c r="H1006" s="63" t="s">
        <v>7519</v>
      </c>
      <c r="I1006" s="62">
        <v>2</v>
      </c>
      <c r="J1006" s="58">
        <v>44762</v>
      </c>
    </row>
    <row r="1007" spans="4:10" ht="15.6" customHeight="1">
      <c r="D1007" s="38">
        <v>1005</v>
      </c>
      <c r="E1007" s="62">
        <v>4987</v>
      </c>
      <c r="F1007" s="63" t="s">
        <v>7277</v>
      </c>
      <c r="G1007" s="63" t="s">
        <v>6735</v>
      </c>
      <c r="H1007" s="63" t="s">
        <v>7176</v>
      </c>
      <c r="I1007" s="62">
        <v>2</v>
      </c>
      <c r="J1007" s="58">
        <v>44763</v>
      </c>
    </row>
    <row r="1008" spans="4:10" ht="15.6" customHeight="1">
      <c r="D1008" s="38">
        <v>1006</v>
      </c>
      <c r="E1008" s="62">
        <v>3029</v>
      </c>
      <c r="F1008" s="63" t="s">
        <v>8476</v>
      </c>
      <c r="G1008" s="63" t="s">
        <v>5281</v>
      </c>
      <c r="H1008" s="63" t="s">
        <v>6803</v>
      </c>
      <c r="I1008" s="62">
        <v>2</v>
      </c>
      <c r="J1008" s="58">
        <v>44763</v>
      </c>
    </row>
    <row r="1009" spans="4:10" ht="15.6" customHeight="1">
      <c r="D1009" s="38">
        <v>1007</v>
      </c>
      <c r="E1009" s="62">
        <v>3920</v>
      </c>
      <c r="F1009" s="63" t="s">
        <v>8477</v>
      </c>
      <c r="G1009" s="63" t="s">
        <v>5281</v>
      </c>
      <c r="H1009" s="63" t="s">
        <v>6803</v>
      </c>
      <c r="I1009" s="62">
        <v>2</v>
      </c>
      <c r="J1009" s="58">
        <v>44763</v>
      </c>
    </row>
    <row r="1010" spans="4:10" ht="15.6" customHeight="1">
      <c r="D1010" s="38">
        <v>1008</v>
      </c>
      <c r="E1010" s="62" t="s">
        <v>8478</v>
      </c>
      <c r="F1010" s="63" t="s">
        <v>8479</v>
      </c>
      <c r="G1010" s="63" t="s">
        <v>5281</v>
      </c>
      <c r="H1010" s="63" t="s">
        <v>6803</v>
      </c>
      <c r="I1010" s="62">
        <v>2</v>
      </c>
      <c r="J1010" s="58">
        <v>44763</v>
      </c>
    </row>
    <row r="1011" spans="4:10" ht="15.6" customHeight="1">
      <c r="D1011" s="38">
        <v>1009</v>
      </c>
      <c r="E1011" s="62">
        <v>4675</v>
      </c>
      <c r="F1011" s="63" t="s">
        <v>8480</v>
      </c>
      <c r="G1011" s="63" t="s">
        <v>6765</v>
      </c>
      <c r="H1011" s="63" t="s">
        <v>7857</v>
      </c>
      <c r="I1011" s="62">
        <v>2</v>
      </c>
      <c r="J1011" s="58">
        <v>44763</v>
      </c>
    </row>
    <row r="1012" spans="4:10" ht="15.6" customHeight="1">
      <c r="D1012" s="38">
        <v>1010</v>
      </c>
      <c r="E1012" s="62">
        <v>4457</v>
      </c>
      <c r="F1012" s="63" t="s">
        <v>8481</v>
      </c>
      <c r="G1012" s="63" t="s">
        <v>6765</v>
      </c>
      <c r="H1012" s="63" t="s">
        <v>7857</v>
      </c>
      <c r="I1012" s="62">
        <v>2</v>
      </c>
      <c r="J1012" s="58">
        <v>44763</v>
      </c>
    </row>
    <row r="1013" spans="4:10" ht="15.6" customHeight="1">
      <c r="D1013" s="38">
        <v>1011</v>
      </c>
      <c r="E1013" s="62">
        <v>3949</v>
      </c>
      <c r="F1013" s="63" t="s">
        <v>8482</v>
      </c>
      <c r="G1013" s="63" t="s">
        <v>6765</v>
      </c>
      <c r="H1013" s="63" t="s">
        <v>7857</v>
      </c>
      <c r="I1013" s="62">
        <v>2</v>
      </c>
      <c r="J1013" s="58">
        <v>44763</v>
      </c>
    </row>
    <row r="1014" spans="4:10" ht="15.6" customHeight="1">
      <c r="D1014" s="38">
        <v>1012</v>
      </c>
      <c r="E1014" s="62" t="s">
        <v>8483</v>
      </c>
      <c r="F1014" s="63" t="s">
        <v>8484</v>
      </c>
      <c r="G1014" s="63" t="s">
        <v>6756</v>
      </c>
      <c r="H1014" s="63" t="s">
        <v>6843</v>
      </c>
      <c r="I1014" s="62">
        <v>2</v>
      </c>
      <c r="J1014" s="58">
        <v>44763</v>
      </c>
    </row>
    <row r="1015" spans="4:10" ht="15.6" customHeight="1">
      <c r="D1015" s="38">
        <v>1013</v>
      </c>
      <c r="E1015" s="62">
        <v>3753</v>
      </c>
      <c r="F1015" s="63" t="s">
        <v>7373</v>
      </c>
      <c r="G1015" s="63" t="s">
        <v>6826</v>
      </c>
      <c r="H1015" s="63" t="s">
        <v>8485</v>
      </c>
      <c r="I1015" s="62">
        <v>2</v>
      </c>
      <c r="J1015" s="58">
        <v>44763</v>
      </c>
    </row>
    <row r="1016" spans="4:10" ht="15.6" customHeight="1">
      <c r="D1016" s="38">
        <v>1014</v>
      </c>
      <c r="E1016" s="62">
        <v>2364</v>
      </c>
      <c r="F1016" s="63" t="s">
        <v>8486</v>
      </c>
      <c r="G1016" s="63" t="s">
        <v>6826</v>
      </c>
      <c r="H1016" s="63" t="s">
        <v>8487</v>
      </c>
      <c r="I1016" s="62">
        <v>2</v>
      </c>
      <c r="J1016" s="58">
        <v>44763</v>
      </c>
    </row>
    <row r="1017" spans="4:10" ht="15.6" customHeight="1">
      <c r="D1017" s="38">
        <v>1015</v>
      </c>
      <c r="E1017" s="62">
        <v>3069</v>
      </c>
      <c r="F1017" s="63" t="s">
        <v>8488</v>
      </c>
      <c r="G1017" s="63" t="s">
        <v>6866</v>
      </c>
      <c r="H1017" s="63" t="s">
        <v>6880</v>
      </c>
      <c r="I1017" s="62">
        <v>2</v>
      </c>
      <c r="J1017" s="58">
        <v>44763</v>
      </c>
    </row>
    <row r="1018" spans="4:10" ht="15.6" customHeight="1">
      <c r="D1018" s="38">
        <v>1016</v>
      </c>
      <c r="E1018" s="62">
        <v>2961</v>
      </c>
      <c r="F1018" s="63" t="s">
        <v>8489</v>
      </c>
      <c r="G1018" s="63" t="s">
        <v>6866</v>
      </c>
      <c r="H1018" s="63" t="s">
        <v>6880</v>
      </c>
      <c r="I1018" s="62">
        <v>2</v>
      </c>
      <c r="J1018" s="58">
        <v>44763</v>
      </c>
    </row>
    <row r="1019" spans="4:10" ht="15.6" customHeight="1">
      <c r="D1019" s="38">
        <v>1017</v>
      </c>
      <c r="E1019" s="62">
        <v>4731</v>
      </c>
      <c r="F1019" s="63" t="s">
        <v>8490</v>
      </c>
      <c r="G1019" s="63" t="s">
        <v>6866</v>
      </c>
      <c r="H1019" s="63" t="s">
        <v>7508</v>
      </c>
      <c r="I1019" s="62">
        <v>2</v>
      </c>
      <c r="J1019" s="58">
        <v>44763</v>
      </c>
    </row>
    <row r="1020" spans="4:10" ht="15.6" customHeight="1">
      <c r="D1020" s="38">
        <v>1018</v>
      </c>
      <c r="E1020" s="62">
        <v>4958</v>
      </c>
      <c r="F1020" s="63" t="s">
        <v>8491</v>
      </c>
      <c r="G1020" s="63" t="s">
        <v>6735</v>
      </c>
      <c r="H1020" s="63" t="s">
        <v>7232</v>
      </c>
      <c r="I1020" s="62">
        <v>2</v>
      </c>
      <c r="J1020" s="58">
        <v>44764</v>
      </c>
    </row>
    <row r="1021" spans="4:10" ht="15.6" customHeight="1">
      <c r="D1021" s="38">
        <v>1019</v>
      </c>
      <c r="E1021" s="62">
        <v>2419</v>
      </c>
      <c r="F1021" s="63" t="s">
        <v>8492</v>
      </c>
      <c r="G1021" s="63" t="s">
        <v>6735</v>
      </c>
      <c r="H1021" s="63" t="s">
        <v>7232</v>
      </c>
      <c r="I1021" s="62">
        <v>2</v>
      </c>
      <c r="J1021" s="58">
        <v>44764</v>
      </c>
    </row>
    <row r="1022" spans="4:10" ht="15.6" customHeight="1">
      <c r="D1022" s="38">
        <v>1020</v>
      </c>
      <c r="E1022" s="62">
        <v>3598</v>
      </c>
      <c r="F1022" s="63" t="s">
        <v>8493</v>
      </c>
      <c r="G1022" s="63" t="s">
        <v>5281</v>
      </c>
      <c r="H1022" s="63" t="s">
        <v>6803</v>
      </c>
      <c r="I1022" s="62">
        <v>2</v>
      </c>
      <c r="J1022" s="58">
        <v>44764</v>
      </c>
    </row>
    <row r="1023" spans="4:10" ht="15.6" customHeight="1">
      <c r="D1023" s="38">
        <v>1021</v>
      </c>
      <c r="E1023" s="62">
        <v>3521</v>
      </c>
      <c r="F1023" s="63" t="s">
        <v>8494</v>
      </c>
      <c r="G1023" s="63" t="s">
        <v>5281</v>
      </c>
      <c r="H1023" s="63" t="s">
        <v>6803</v>
      </c>
      <c r="I1023" s="62">
        <v>2</v>
      </c>
      <c r="J1023" s="58">
        <v>44764</v>
      </c>
    </row>
    <row r="1024" spans="4:10" ht="15.6" customHeight="1">
      <c r="D1024" s="38">
        <v>1022</v>
      </c>
      <c r="E1024" s="62">
        <v>2337</v>
      </c>
      <c r="F1024" s="63" t="s">
        <v>8495</v>
      </c>
      <c r="G1024" s="63" t="s">
        <v>6765</v>
      </c>
      <c r="H1024" s="63" t="s">
        <v>7857</v>
      </c>
      <c r="I1024" s="62">
        <v>2</v>
      </c>
      <c r="J1024" s="58">
        <v>44764</v>
      </c>
    </row>
    <row r="1025" spans="4:11" ht="15.6" customHeight="1">
      <c r="D1025" s="38">
        <v>1023</v>
      </c>
      <c r="E1025" s="62">
        <v>4693</v>
      </c>
      <c r="F1025" s="63" t="s">
        <v>8496</v>
      </c>
      <c r="G1025" s="63" t="s">
        <v>6826</v>
      </c>
      <c r="H1025" s="63" t="s">
        <v>8497</v>
      </c>
      <c r="I1025" s="62">
        <v>2</v>
      </c>
      <c r="J1025" s="58">
        <v>44764</v>
      </c>
    </row>
    <row r="1026" spans="4:11" ht="15.6" customHeight="1">
      <c r="D1026" s="38">
        <v>1024</v>
      </c>
      <c r="E1026" s="62">
        <v>4939</v>
      </c>
      <c r="F1026" s="63" t="s">
        <v>8498</v>
      </c>
      <c r="G1026" s="63" t="s">
        <v>6826</v>
      </c>
      <c r="H1026" s="63" t="s">
        <v>8499</v>
      </c>
      <c r="I1026" s="62">
        <v>2</v>
      </c>
      <c r="J1026" s="58">
        <v>44764</v>
      </c>
      <c r="K1026" s="55"/>
    </row>
    <row r="1027" spans="4:11" ht="15.6" customHeight="1">
      <c r="D1027" s="38">
        <v>1025</v>
      </c>
      <c r="E1027" s="62">
        <v>2428</v>
      </c>
      <c r="F1027" s="63" t="s">
        <v>8500</v>
      </c>
      <c r="G1027" s="63" t="s">
        <v>6765</v>
      </c>
      <c r="H1027" s="63" t="s">
        <v>9</v>
      </c>
      <c r="I1027" s="62">
        <v>2</v>
      </c>
      <c r="J1027" s="58">
        <v>44767</v>
      </c>
    </row>
    <row r="1028" spans="4:11" ht="15.6" customHeight="1">
      <c r="D1028" s="38">
        <v>1026</v>
      </c>
      <c r="E1028" s="62">
        <v>2596</v>
      </c>
      <c r="F1028" s="63" t="s">
        <v>3125</v>
      </c>
      <c r="G1028" s="63" t="s">
        <v>6765</v>
      </c>
      <c r="H1028" s="63" t="s">
        <v>9</v>
      </c>
      <c r="I1028" s="62">
        <v>2</v>
      </c>
      <c r="J1028" s="58">
        <v>44767</v>
      </c>
    </row>
    <row r="1029" spans="4:11" ht="15.6" customHeight="1">
      <c r="D1029" s="38">
        <v>1027</v>
      </c>
      <c r="E1029" s="62">
        <v>2740</v>
      </c>
      <c r="F1029" s="63" t="s">
        <v>8501</v>
      </c>
      <c r="G1029" s="63" t="s">
        <v>6765</v>
      </c>
      <c r="H1029" s="63" t="s">
        <v>9</v>
      </c>
      <c r="I1029" s="62">
        <v>2</v>
      </c>
      <c r="J1029" s="58">
        <v>44767</v>
      </c>
    </row>
    <row r="1030" spans="4:11" ht="15.6" customHeight="1">
      <c r="D1030" s="38">
        <v>1028</v>
      </c>
      <c r="E1030" s="62">
        <v>3008</v>
      </c>
      <c r="F1030" s="63" t="s">
        <v>8502</v>
      </c>
      <c r="G1030" s="63" t="s">
        <v>6765</v>
      </c>
      <c r="H1030" s="63" t="s">
        <v>9</v>
      </c>
      <c r="I1030" s="62">
        <v>2</v>
      </c>
      <c r="J1030" s="58">
        <v>44767</v>
      </c>
    </row>
    <row r="1031" spans="4:11" ht="15.6" customHeight="1">
      <c r="D1031" s="38">
        <v>1029</v>
      </c>
      <c r="E1031" s="62">
        <v>4844</v>
      </c>
      <c r="F1031" s="63" t="s">
        <v>2037</v>
      </c>
      <c r="G1031" s="63" t="s">
        <v>5281</v>
      </c>
      <c r="H1031" s="63" t="s">
        <v>2</v>
      </c>
      <c r="I1031" s="62">
        <v>2</v>
      </c>
      <c r="J1031" s="58">
        <v>44767</v>
      </c>
    </row>
    <row r="1032" spans="4:11" ht="15.6" customHeight="1">
      <c r="D1032" s="38">
        <v>1030</v>
      </c>
      <c r="E1032" s="62">
        <v>2267</v>
      </c>
      <c r="F1032" s="63" t="s">
        <v>2284</v>
      </c>
      <c r="G1032" s="63" t="s">
        <v>5281</v>
      </c>
      <c r="H1032" s="63" t="s">
        <v>4</v>
      </c>
      <c r="I1032" s="62">
        <v>2</v>
      </c>
      <c r="J1032" s="58">
        <v>44767</v>
      </c>
    </row>
    <row r="1033" spans="4:11" ht="15.6" customHeight="1">
      <c r="D1033" s="38">
        <v>1031</v>
      </c>
      <c r="E1033" s="62">
        <v>4867</v>
      </c>
      <c r="F1033" s="63" t="s">
        <v>8503</v>
      </c>
      <c r="G1033" s="63" t="s">
        <v>6765</v>
      </c>
      <c r="H1033" s="63" t="s">
        <v>7857</v>
      </c>
      <c r="I1033" s="62">
        <v>2</v>
      </c>
      <c r="J1033" s="58">
        <v>44767</v>
      </c>
      <c r="K1033" s="67">
        <v>44574.583333333343</v>
      </c>
    </row>
    <row r="1034" spans="4:11" ht="15.6" customHeight="1">
      <c r="D1034" s="38">
        <v>1032</v>
      </c>
      <c r="E1034" s="62">
        <v>3072</v>
      </c>
      <c r="F1034" s="63" t="s">
        <v>8504</v>
      </c>
      <c r="G1034" s="63" t="s">
        <v>6765</v>
      </c>
      <c r="H1034" s="63" t="s">
        <v>7857</v>
      </c>
      <c r="I1034" s="62">
        <v>2</v>
      </c>
      <c r="J1034" s="58">
        <v>44767</v>
      </c>
    </row>
    <row r="1035" spans="4:11" ht="15.6" customHeight="1">
      <c r="D1035" s="38">
        <v>1033</v>
      </c>
      <c r="E1035" s="62" t="s">
        <v>8505</v>
      </c>
      <c r="F1035" s="63" t="s">
        <v>8506</v>
      </c>
      <c r="G1035" s="63" t="s">
        <v>6826</v>
      </c>
      <c r="H1035" s="63" t="s">
        <v>7438</v>
      </c>
      <c r="I1035" s="62">
        <v>2</v>
      </c>
      <c r="J1035" s="58">
        <v>44767</v>
      </c>
    </row>
    <row r="1036" spans="4:11" ht="15.6" customHeight="1">
      <c r="D1036" s="38">
        <v>1034</v>
      </c>
      <c r="E1036" s="62">
        <v>2083</v>
      </c>
      <c r="F1036" s="63" t="s">
        <v>8507</v>
      </c>
      <c r="G1036" s="63" t="s">
        <v>6826</v>
      </c>
      <c r="H1036" s="63" t="s">
        <v>7438</v>
      </c>
      <c r="I1036" s="62">
        <v>2</v>
      </c>
      <c r="J1036" s="58">
        <v>44767</v>
      </c>
    </row>
    <row r="1037" spans="4:11" ht="15.6" customHeight="1">
      <c r="D1037" s="38">
        <v>1035</v>
      </c>
      <c r="E1037" s="62">
        <v>3067</v>
      </c>
      <c r="F1037" s="63" t="s">
        <v>8508</v>
      </c>
      <c r="G1037" s="63" t="s">
        <v>6826</v>
      </c>
      <c r="H1037" s="63" t="s">
        <v>7438</v>
      </c>
      <c r="I1037" s="62">
        <v>2</v>
      </c>
      <c r="J1037" s="58">
        <v>44767</v>
      </c>
    </row>
    <row r="1038" spans="4:11" ht="15.6" customHeight="1">
      <c r="D1038" s="38">
        <v>1036</v>
      </c>
      <c r="E1038" s="62">
        <v>3467</v>
      </c>
      <c r="F1038" s="63" t="s">
        <v>8509</v>
      </c>
      <c r="G1038" s="63" t="s">
        <v>6826</v>
      </c>
      <c r="H1038" s="63" t="s">
        <v>7438</v>
      </c>
      <c r="I1038" s="62">
        <v>2</v>
      </c>
      <c r="J1038" s="58">
        <v>44767</v>
      </c>
    </row>
    <row r="1039" spans="4:11" ht="15.6" customHeight="1">
      <c r="D1039" s="38">
        <v>1037</v>
      </c>
      <c r="E1039" s="62">
        <v>4031</v>
      </c>
      <c r="F1039" s="63" t="s">
        <v>8510</v>
      </c>
      <c r="G1039" s="63" t="s">
        <v>6866</v>
      </c>
      <c r="H1039" s="63" t="s">
        <v>8511</v>
      </c>
      <c r="I1039" s="62">
        <v>2</v>
      </c>
      <c r="J1039" s="58">
        <v>44767</v>
      </c>
    </row>
    <row r="1040" spans="4:11" ht="15.6" customHeight="1">
      <c r="D1040" s="38">
        <v>1038</v>
      </c>
      <c r="E1040" s="62">
        <v>3868</v>
      </c>
      <c r="F1040" s="63" t="s">
        <v>8512</v>
      </c>
      <c r="G1040" s="63" t="s">
        <v>6866</v>
      </c>
      <c r="H1040" s="63" t="s">
        <v>8513</v>
      </c>
      <c r="I1040" s="62">
        <v>2</v>
      </c>
      <c r="J1040" s="58">
        <v>44767</v>
      </c>
    </row>
    <row r="1041" spans="4:11" ht="15.6" customHeight="1">
      <c r="D1041" s="38">
        <v>1039</v>
      </c>
      <c r="E1041" s="62">
        <v>4057</v>
      </c>
      <c r="F1041" s="63" t="s">
        <v>350</v>
      </c>
      <c r="G1041" s="63" t="s">
        <v>5281</v>
      </c>
      <c r="H1041" s="63" t="s">
        <v>13</v>
      </c>
      <c r="I1041" s="62">
        <v>2</v>
      </c>
      <c r="J1041" s="58">
        <v>44768</v>
      </c>
    </row>
    <row r="1042" spans="4:11" ht="15.6" customHeight="1">
      <c r="D1042" s="38">
        <v>1040</v>
      </c>
      <c r="E1042" s="62">
        <v>2763</v>
      </c>
      <c r="F1042" s="63" t="s">
        <v>5123</v>
      </c>
      <c r="G1042" s="63" t="s">
        <v>6765</v>
      </c>
      <c r="H1042" s="63" t="s">
        <v>9</v>
      </c>
      <c r="I1042" s="62">
        <v>2</v>
      </c>
      <c r="J1042" s="58">
        <v>44768</v>
      </c>
    </row>
    <row r="1043" spans="4:11" ht="15.6" customHeight="1">
      <c r="D1043" s="38">
        <v>1041</v>
      </c>
      <c r="E1043" s="62">
        <v>4503</v>
      </c>
      <c r="F1043" s="63" t="s">
        <v>3133</v>
      </c>
      <c r="G1043" s="63" t="s">
        <v>6765</v>
      </c>
      <c r="H1043" s="63" t="s">
        <v>9</v>
      </c>
      <c r="I1043" s="62">
        <v>2</v>
      </c>
      <c r="J1043" s="58">
        <v>44768</v>
      </c>
    </row>
    <row r="1044" spans="4:11" ht="15.6" customHeight="1">
      <c r="D1044" s="38">
        <v>1042</v>
      </c>
      <c r="E1044" s="62">
        <v>3606</v>
      </c>
      <c r="F1044" s="63" t="s">
        <v>1534</v>
      </c>
      <c r="G1044" s="63" t="s">
        <v>5281</v>
      </c>
      <c r="H1044" s="63" t="s">
        <v>12</v>
      </c>
      <c r="I1044" s="62">
        <v>2</v>
      </c>
      <c r="J1044" s="58">
        <v>44768</v>
      </c>
    </row>
    <row r="1045" spans="4:11" ht="15.6" customHeight="1">
      <c r="D1045" s="38">
        <v>1043</v>
      </c>
      <c r="E1045" s="62">
        <v>4656</v>
      </c>
      <c r="F1045" s="63" t="s">
        <v>1538</v>
      </c>
      <c r="G1045" s="63" t="s">
        <v>5281</v>
      </c>
      <c r="H1045" s="63" t="s">
        <v>12</v>
      </c>
      <c r="I1045" s="62">
        <v>2</v>
      </c>
      <c r="J1045" s="58">
        <v>44768</v>
      </c>
    </row>
    <row r="1046" spans="4:11" ht="15.6" customHeight="1">
      <c r="D1046" s="38">
        <v>1044</v>
      </c>
      <c r="E1046" s="62">
        <v>4746</v>
      </c>
      <c r="F1046" s="63" t="s">
        <v>8514</v>
      </c>
      <c r="G1046" s="63" t="s">
        <v>6765</v>
      </c>
      <c r="H1046" s="63" t="s">
        <v>7857</v>
      </c>
      <c r="I1046" s="62">
        <v>2</v>
      </c>
      <c r="J1046" s="58">
        <v>44768</v>
      </c>
    </row>
    <row r="1047" spans="4:11" ht="15.6" customHeight="1">
      <c r="D1047" s="38">
        <v>1045</v>
      </c>
      <c r="E1047" s="62" t="s">
        <v>7234</v>
      </c>
      <c r="F1047" s="63" t="s">
        <v>7235</v>
      </c>
      <c r="G1047" s="63" t="s">
        <v>6765</v>
      </c>
      <c r="H1047" s="63" t="s">
        <v>7857</v>
      </c>
      <c r="I1047" s="62">
        <v>2</v>
      </c>
      <c r="J1047" s="58">
        <v>44768</v>
      </c>
    </row>
    <row r="1048" spans="4:11" ht="15.6" customHeight="1">
      <c r="D1048" s="38">
        <v>1046</v>
      </c>
      <c r="E1048" s="62">
        <v>4718</v>
      </c>
      <c r="F1048" s="63" t="s">
        <v>8515</v>
      </c>
      <c r="G1048" s="63" t="s">
        <v>6774</v>
      </c>
      <c r="H1048" s="63" t="s">
        <v>6843</v>
      </c>
      <c r="I1048" s="62">
        <v>2</v>
      </c>
      <c r="J1048" s="58">
        <v>44768</v>
      </c>
      <c r="K1048" s="58">
        <v>44785</v>
      </c>
    </row>
    <row r="1049" spans="4:11" ht="15.6" customHeight="1">
      <c r="D1049" s="38">
        <v>1047</v>
      </c>
      <c r="E1049" s="62">
        <v>4052</v>
      </c>
      <c r="F1049" s="63" t="s">
        <v>8516</v>
      </c>
      <c r="G1049" s="63" t="s">
        <v>6826</v>
      </c>
      <c r="H1049" s="63" t="s">
        <v>7438</v>
      </c>
      <c r="I1049" s="62">
        <v>2</v>
      </c>
      <c r="J1049" s="58">
        <v>44768</v>
      </c>
    </row>
    <row r="1050" spans="4:11" ht="15.6" customHeight="1">
      <c r="D1050" s="38">
        <v>1048</v>
      </c>
      <c r="E1050" s="62">
        <v>4734</v>
      </c>
      <c r="F1050" s="63" t="s">
        <v>8517</v>
      </c>
      <c r="G1050" s="63" t="s">
        <v>6826</v>
      </c>
      <c r="H1050" s="63" t="s">
        <v>8068</v>
      </c>
      <c r="I1050" s="62">
        <v>2</v>
      </c>
      <c r="J1050" s="58">
        <v>44768</v>
      </c>
    </row>
    <row r="1051" spans="4:11" ht="15.6" customHeight="1">
      <c r="D1051" s="38">
        <v>1049</v>
      </c>
      <c r="E1051" s="62">
        <v>4814</v>
      </c>
      <c r="F1051" s="63" t="s">
        <v>8518</v>
      </c>
      <c r="G1051" s="63" t="s">
        <v>6826</v>
      </c>
      <c r="H1051" s="63" t="s">
        <v>8068</v>
      </c>
      <c r="I1051" s="62">
        <v>2</v>
      </c>
      <c r="J1051" s="58">
        <v>44768</v>
      </c>
    </row>
    <row r="1052" spans="4:11" ht="15.6" customHeight="1">
      <c r="D1052" s="38">
        <v>1050</v>
      </c>
      <c r="E1052" s="62">
        <v>4109</v>
      </c>
      <c r="F1052" s="63" t="s">
        <v>8519</v>
      </c>
      <c r="G1052" s="63" t="s">
        <v>6850</v>
      </c>
      <c r="H1052" s="63" t="s">
        <v>6843</v>
      </c>
      <c r="I1052" s="62">
        <v>2</v>
      </c>
      <c r="J1052" s="58">
        <v>44768</v>
      </c>
    </row>
    <row r="1053" spans="4:11" ht="15.6" customHeight="1">
      <c r="D1053" s="38">
        <v>1051</v>
      </c>
      <c r="E1053" s="62">
        <v>3996</v>
      </c>
      <c r="F1053" s="63" t="s">
        <v>8520</v>
      </c>
      <c r="G1053" s="63" t="s">
        <v>6765</v>
      </c>
      <c r="H1053" s="63" t="s">
        <v>7857</v>
      </c>
      <c r="I1053" s="62">
        <v>2</v>
      </c>
      <c r="J1053" s="58">
        <v>44769</v>
      </c>
    </row>
    <row r="1054" spans="4:11" ht="15.6" customHeight="1">
      <c r="D1054" s="38">
        <v>1052</v>
      </c>
      <c r="E1054" s="62">
        <v>3692</v>
      </c>
      <c r="F1054" s="63" t="s">
        <v>8521</v>
      </c>
      <c r="G1054" s="63" t="s">
        <v>6765</v>
      </c>
      <c r="H1054" s="63" t="s">
        <v>9</v>
      </c>
      <c r="I1054" s="62">
        <v>2</v>
      </c>
      <c r="J1054" s="58">
        <v>44769</v>
      </c>
    </row>
    <row r="1055" spans="4:11" ht="15.6" customHeight="1">
      <c r="D1055" s="38">
        <v>1053</v>
      </c>
      <c r="E1055" s="62" t="s">
        <v>8522</v>
      </c>
      <c r="F1055" s="63" t="s">
        <v>8523</v>
      </c>
      <c r="G1055" s="63" t="s">
        <v>6765</v>
      </c>
      <c r="H1055" s="63" t="s">
        <v>9</v>
      </c>
      <c r="I1055" s="62">
        <v>2</v>
      </c>
      <c r="J1055" s="58">
        <v>44769</v>
      </c>
    </row>
    <row r="1056" spans="4:11" ht="15.6" customHeight="1">
      <c r="D1056" s="38">
        <v>1054</v>
      </c>
      <c r="E1056" s="62">
        <v>3977</v>
      </c>
      <c r="F1056" s="63" t="s">
        <v>981</v>
      </c>
      <c r="G1056" s="63" t="s">
        <v>5281</v>
      </c>
      <c r="H1056" s="63" t="s">
        <v>14</v>
      </c>
      <c r="I1056" s="62">
        <v>2</v>
      </c>
      <c r="J1056" s="58">
        <v>44769</v>
      </c>
    </row>
    <row r="1057" spans="4:10" ht="15.6" customHeight="1">
      <c r="D1057" s="38">
        <v>1055</v>
      </c>
      <c r="E1057" s="62">
        <v>3458</v>
      </c>
      <c r="F1057" s="63" t="s">
        <v>8524</v>
      </c>
      <c r="G1057" s="63" t="s">
        <v>5281</v>
      </c>
      <c r="H1057" s="63" t="s">
        <v>5</v>
      </c>
      <c r="I1057" s="62">
        <v>2</v>
      </c>
      <c r="J1057" s="58">
        <v>44769</v>
      </c>
    </row>
    <row r="1058" spans="4:10" ht="15.6" customHeight="1">
      <c r="D1058" s="38">
        <v>1056</v>
      </c>
      <c r="E1058" s="62">
        <v>4243</v>
      </c>
      <c r="F1058" s="63" t="s">
        <v>1722</v>
      </c>
      <c r="G1058" s="63" t="s">
        <v>5281</v>
      </c>
      <c r="H1058" s="63" t="s">
        <v>5</v>
      </c>
      <c r="I1058" s="62">
        <v>2</v>
      </c>
      <c r="J1058" s="58">
        <v>44769</v>
      </c>
    </row>
    <row r="1059" spans="4:10" ht="15.6" customHeight="1">
      <c r="D1059" s="38">
        <v>1057</v>
      </c>
      <c r="E1059" s="62">
        <v>3525</v>
      </c>
      <c r="F1059" s="63" t="s">
        <v>8525</v>
      </c>
      <c r="G1059" s="63" t="s">
        <v>6765</v>
      </c>
      <c r="H1059" s="63" t="s">
        <v>7857</v>
      </c>
      <c r="I1059" s="62">
        <v>2</v>
      </c>
      <c r="J1059" s="58">
        <v>44769</v>
      </c>
    </row>
    <row r="1060" spans="4:10" ht="15.6" customHeight="1">
      <c r="D1060" s="38">
        <v>1058</v>
      </c>
      <c r="E1060" s="62">
        <v>4285</v>
      </c>
      <c r="F1060" s="63" t="s">
        <v>7341</v>
      </c>
      <c r="G1060" s="63" t="s">
        <v>6765</v>
      </c>
      <c r="H1060" s="63" t="s">
        <v>7857</v>
      </c>
      <c r="I1060" s="62">
        <v>2</v>
      </c>
      <c r="J1060" s="58">
        <v>44769</v>
      </c>
    </row>
    <row r="1061" spans="4:10" ht="15.6" customHeight="1">
      <c r="D1061" s="38">
        <v>1059</v>
      </c>
      <c r="E1061" s="62">
        <v>2363</v>
      </c>
      <c r="F1061" s="63" t="s">
        <v>8526</v>
      </c>
      <c r="G1061" s="63" t="s">
        <v>6765</v>
      </c>
      <c r="H1061" s="63" t="s">
        <v>7857</v>
      </c>
      <c r="I1061" s="62">
        <v>2</v>
      </c>
      <c r="J1061" s="58">
        <v>44769</v>
      </c>
    </row>
    <row r="1062" spans="4:10" ht="15.6" customHeight="1">
      <c r="D1062" s="38">
        <v>1060</v>
      </c>
      <c r="E1062" s="62">
        <v>4610</v>
      </c>
      <c r="F1062" s="63" t="s">
        <v>8527</v>
      </c>
      <c r="G1062" s="63" t="s">
        <v>6826</v>
      </c>
      <c r="H1062" s="63" t="s">
        <v>8068</v>
      </c>
      <c r="I1062" s="62">
        <v>2</v>
      </c>
      <c r="J1062" s="58">
        <v>44769</v>
      </c>
    </row>
    <row r="1063" spans="4:10" ht="15.6" customHeight="1">
      <c r="D1063" s="38">
        <v>1061</v>
      </c>
      <c r="E1063" s="62">
        <v>2645</v>
      </c>
      <c r="F1063" s="63" t="s">
        <v>8528</v>
      </c>
      <c r="G1063" s="63" t="s">
        <v>6850</v>
      </c>
      <c r="H1063" s="63" t="s">
        <v>6843</v>
      </c>
      <c r="I1063" s="62">
        <v>2</v>
      </c>
      <c r="J1063" s="58">
        <v>44769</v>
      </c>
    </row>
    <row r="1064" spans="4:10" ht="15.6" customHeight="1">
      <c r="D1064" s="38">
        <v>1062</v>
      </c>
      <c r="E1064" s="62">
        <v>2627</v>
      </c>
      <c r="F1064" s="63" t="s">
        <v>8529</v>
      </c>
      <c r="G1064" s="63" t="s">
        <v>6850</v>
      </c>
      <c r="H1064" s="63" t="s">
        <v>6843</v>
      </c>
      <c r="I1064" s="62">
        <v>2</v>
      </c>
      <c r="J1064" s="58">
        <v>44769</v>
      </c>
    </row>
    <row r="1065" spans="4:10" ht="15.6" customHeight="1">
      <c r="D1065" s="38">
        <v>1063</v>
      </c>
      <c r="E1065" s="62">
        <v>3220</v>
      </c>
      <c r="F1065" s="63" t="s">
        <v>7294</v>
      </c>
      <c r="G1065" s="63" t="s">
        <v>6765</v>
      </c>
      <c r="H1065" s="63" t="s">
        <v>9</v>
      </c>
      <c r="I1065" s="62">
        <v>2</v>
      </c>
      <c r="J1065" s="58">
        <v>44770</v>
      </c>
    </row>
    <row r="1066" spans="4:10" ht="15.6" customHeight="1">
      <c r="D1066" s="38">
        <v>1064</v>
      </c>
      <c r="E1066" s="62">
        <v>3017</v>
      </c>
      <c r="F1066" s="63" t="s">
        <v>8530</v>
      </c>
      <c r="G1066" s="63" t="s">
        <v>6765</v>
      </c>
      <c r="H1066" s="63" t="s">
        <v>9</v>
      </c>
      <c r="I1066" s="62">
        <v>2</v>
      </c>
      <c r="J1066" s="58">
        <v>44770</v>
      </c>
    </row>
    <row r="1067" spans="4:10" ht="15.6" customHeight="1">
      <c r="D1067" s="38">
        <v>1065</v>
      </c>
      <c r="E1067" s="62">
        <v>2375</v>
      </c>
      <c r="F1067" s="63" t="s">
        <v>2479</v>
      </c>
      <c r="G1067" s="63" t="s">
        <v>6765</v>
      </c>
      <c r="H1067" s="63" t="s">
        <v>9</v>
      </c>
      <c r="I1067" s="62">
        <v>2</v>
      </c>
      <c r="J1067" s="58">
        <v>44770</v>
      </c>
    </row>
    <row r="1068" spans="4:10" ht="15.6" customHeight="1">
      <c r="D1068" s="38">
        <v>1066</v>
      </c>
      <c r="E1068" s="62">
        <v>4153</v>
      </c>
      <c r="F1068" s="63" t="s">
        <v>583</v>
      </c>
      <c r="G1068" s="63" t="s">
        <v>5281</v>
      </c>
      <c r="H1068" s="63" t="s">
        <v>3</v>
      </c>
      <c r="I1068" s="62">
        <v>2</v>
      </c>
      <c r="J1068" s="58">
        <v>44770</v>
      </c>
    </row>
    <row r="1069" spans="4:10" ht="15.6" customHeight="1">
      <c r="D1069" s="38">
        <v>1067</v>
      </c>
      <c r="E1069" s="62">
        <v>4093</v>
      </c>
      <c r="F1069" s="63" t="s">
        <v>8531</v>
      </c>
      <c r="G1069" s="63" t="s">
        <v>5281</v>
      </c>
      <c r="H1069" s="63" t="s">
        <v>3</v>
      </c>
      <c r="I1069" s="62">
        <v>2</v>
      </c>
      <c r="J1069" s="58">
        <v>44770</v>
      </c>
    </row>
    <row r="1070" spans="4:10" ht="15.6" customHeight="1">
      <c r="D1070" s="38">
        <v>1068</v>
      </c>
      <c r="E1070" s="62" t="s">
        <v>8532</v>
      </c>
      <c r="F1070" s="63" t="s">
        <v>8533</v>
      </c>
      <c r="G1070" s="63" t="s">
        <v>6765</v>
      </c>
      <c r="H1070" s="63" t="s">
        <v>7866</v>
      </c>
      <c r="I1070" s="62">
        <v>2</v>
      </c>
      <c r="J1070" s="58">
        <v>44770</v>
      </c>
    </row>
    <row r="1071" spans="4:10" ht="15.6" customHeight="1">
      <c r="D1071" s="38">
        <v>1069</v>
      </c>
      <c r="E1071" s="62" t="s">
        <v>8534</v>
      </c>
      <c r="F1071" s="63" t="s">
        <v>8535</v>
      </c>
      <c r="G1071" s="63" t="s">
        <v>6765</v>
      </c>
      <c r="H1071" s="63" t="s">
        <v>7866</v>
      </c>
      <c r="I1071" s="62">
        <v>2</v>
      </c>
      <c r="J1071" s="58">
        <v>44770</v>
      </c>
    </row>
    <row r="1072" spans="4:10" ht="15.6" customHeight="1">
      <c r="D1072" s="38">
        <v>1070</v>
      </c>
      <c r="E1072" s="62">
        <v>4614</v>
      </c>
      <c r="F1072" s="63" t="s">
        <v>8536</v>
      </c>
      <c r="G1072" s="63" t="s">
        <v>6765</v>
      </c>
      <c r="H1072" s="63" t="s">
        <v>7866</v>
      </c>
      <c r="I1072" s="62">
        <v>2</v>
      </c>
      <c r="J1072" s="58">
        <v>44770</v>
      </c>
    </row>
    <row r="1073" spans="4:10" ht="15.6" customHeight="1">
      <c r="D1073" s="38">
        <v>1071</v>
      </c>
      <c r="E1073" s="62">
        <v>2346</v>
      </c>
      <c r="F1073" s="63" t="s">
        <v>8537</v>
      </c>
      <c r="G1073" s="63" t="s">
        <v>6826</v>
      </c>
      <c r="H1073" s="63" t="s">
        <v>8538</v>
      </c>
      <c r="I1073" s="62">
        <v>2</v>
      </c>
      <c r="J1073" s="58">
        <v>44770</v>
      </c>
    </row>
    <row r="1074" spans="4:10" ht="15.6" customHeight="1">
      <c r="D1074" s="38">
        <v>1072</v>
      </c>
      <c r="E1074" s="62">
        <v>3518</v>
      </c>
      <c r="F1074" s="63" t="s">
        <v>8539</v>
      </c>
      <c r="G1074" s="63" t="s">
        <v>6826</v>
      </c>
      <c r="H1074" s="63" t="s">
        <v>8538</v>
      </c>
      <c r="I1074" s="62">
        <v>2</v>
      </c>
      <c r="J1074" s="58">
        <v>44770</v>
      </c>
    </row>
    <row r="1075" spans="4:10" ht="15.6" customHeight="1">
      <c r="D1075" s="38">
        <v>1073</v>
      </c>
      <c r="E1075" s="62">
        <v>4032</v>
      </c>
      <c r="F1075" s="63" t="s">
        <v>8540</v>
      </c>
      <c r="G1075" s="63" t="s">
        <v>6850</v>
      </c>
      <c r="H1075" s="63" t="s">
        <v>6999</v>
      </c>
      <c r="I1075" s="62">
        <v>2</v>
      </c>
      <c r="J1075" s="58">
        <v>44770</v>
      </c>
    </row>
    <row r="1076" spans="4:10" ht="15.6" customHeight="1">
      <c r="D1076" s="38">
        <v>1074</v>
      </c>
      <c r="E1076" s="62">
        <v>3146</v>
      </c>
      <c r="F1076" s="63" t="s">
        <v>8541</v>
      </c>
      <c r="G1076" s="63" t="s">
        <v>6850</v>
      </c>
      <c r="H1076" s="63" t="s">
        <v>6999</v>
      </c>
      <c r="I1076" s="62">
        <v>2</v>
      </c>
      <c r="J1076" s="58">
        <v>44770</v>
      </c>
    </row>
    <row r="1077" spans="4:10" ht="15.6" customHeight="1">
      <c r="D1077" s="38">
        <v>1075</v>
      </c>
      <c r="E1077" s="62">
        <v>4257</v>
      </c>
      <c r="F1077" s="63" t="s">
        <v>8542</v>
      </c>
      <c r="G1077" s="63" t="s">
        <v>6765</v>
      </c>
      <c r="H1077" s="63" t="s">
        <v>7857</v>
      </c>
      <c r="I1077" s="62">
        <v>2</v>
      </c>
      <c r="J1077" s="58">
        <v>44771</v>
      </c>
    </row>
    <row r="1078" spans="4:10" ht="15.6" customHeight="1">
      <c r="D1078" s="38">
        <v>1076</v>
      </c>
      <c r="E1078" s="62">
        <v>4690</v>
      </c>
      <c r="F1078" s="63" t="s">
        <v>2484</v>
      </c>
      <c r="G1078" s="63" t="s">
        <v>6765</v>
      </c>
      <c r="H1078" s="63" t="s">
        <v>9</v>
      </c>
      <c r="I1078" s="62">
        <v>2</v>
      </c>
      <c r="J1078" s="58">
        <v>44771</v>
      </c>
    </row>
    <row r="1079" spans="4:10" ht="15.6" customHeight="1">
      <c r="D1079" s="38">
        <v>1077</v>
      </c>
      <c r="E1079" s="62">
        <v>4035</v>
      </c>
      <c r="F1079" s="63" t="s">
        <v>5142</v>
      </c>
      <c r="G1079" s="63" t="s">
        <v>6765</v>
      </c>
      <c r="H1079" s="63" t="s">
        <v>9</v>
      </c>
      <c r="I1079" s="62">
        <v>2</v>
      </c>
      <c r="J1079" s="58">
        <v>44771</v>
      </c>
    </row>
    <row r="1080" spans="4:10" ht="15.6" customHeight="1">
      <c r="D1080" s="38">
        <v>1078</v>
      </c>
      <c r="E1080" s="62">
        <v>4321</v>
      </c>
      <c r="F1080" s="63" t="s">
        <v>8543</v>
      </c>
      <c r="G1080" s="63" t="s">
        <v>6735</v>
      </c>
      <c r="H1080" s="63" t="s">
        <v>6748</v>
      </c>
      <c r="I1080" s="62">
        <v>2</v>
      </c>
      <c r="J1080" s="58">
        <v>44771</v>
      </c>
    </row>
    <row r="1081" spans="4:10" ht="15.6" customHeight="1">
      <c r="D1081" s="38">
        <v>1079</v>
      </c>
      <c r="E1081" s="62" t="s">
        <v>8544</v>
      </c>
      <c r="F1081" s="63" t="s">
        <v>8545</v>
      </c>
      <c r="G1081" s="63" t="s">
        <v>6735</v>
      </c>
      <c r="H1081" s="63" t="s">
        <v>130</v>
      </c>
      <c r="I1081" s="62">
        <v>2</v>
      </c>
      <c r="J1081" s="58">
        <v>44771</v>
      </c>
    </row>
    <row r="1082" spans="4:10" ht="15.6" customHeight="1">
      <c r="D1082" s="38">
        <v>1080</v>
      </c>
      <c r="E1082" s="62">
        <v>3829</v>
      </c>
      <c r="F1082" s="63" t="s">
        <v>8546</v>
      </c>
      <c r="G1082" s="63" t="s">
        <v>6774</v>
      </c>
      <c r="H1082" s="63" t="s">
        <v>7857</v>
      </c>
      <c r="I1082" s="62">
        <v>2</v>
      </c>
      <c r="J1082" s="58">
        <v>44771</v>
      </c>
    </row>
    <row r="1083" spans="4:10" ht="15.6" customHeight="1">
      <c r="D1083" s="38">
        <v>1081</v>
      </c>
      <c r="E1083" s="62">
        <v>4522</v>
      </c>
      <c r="F1083" s="63" t="s">
        <v>8547</v>
      </c>
      <c r="G1083" s="63" t="s">
        <v>6765</v>
      </c>
      <c r="H1083" s="63" t="s">
        <v>7857</v>
      </c>
      <c r="I1083" s="62">
        <v>2</v>
      </c>
      <c r="J1083" s="58">
        <v>44771</v>
      </c>
    </row>
    <row r="1084" spans="4:10" ht="15.6" customHeight="1">
      <c r="D1084" s="38">
        <v>1082</v>
      </c>
      <c r="E1084" s="62">
        <v>4345</v>
      </c>
      <c r="F1084" s="63" t="s">
        <v>8548</v>
      </c>
      <c r="G1084" s="63" t="s">
        <v>6826</v>
      </c>
      <c r="H1084" s="63" t="s">
        <v>8549</v>
      </c>
      <c r="I1084" s="62">
        <v>2</v>
      </c>
      <c r="J1084" s="58">
        <v>44771</v>
      </c>
    </row>
    <row r="1085" spans="4:10" ht="15.6" customHeight="1">
      <c r="D1085" s="38">
        <v>1083</v>
      </c>
      <c r="E1085" s="62">
        <v>2576</v>
      </c>
      <c r="F1085" s="63" t="s">
        <v>8550</v>
      </c>
      <c r="G1085" s="63" t="s">
        <v>6826</v>
      </c>
      <c r="H1085" s="63" t="s">
        <v>8551</v>
      </c>
      <c r="I1085" s="62">
        <v>2</v>
      </c>
      <c r="J1085" s="58">
        <v>44771</v>
      </c>
    </row>
    <row r="1086" spans="4:10" ht="15.6" customHeight="1">
      <c r="D1086" s="38">
        <v>1084</v>
      </c>
      <c r="E1086" s="62">
        <v>2811</v>
      </c>
      <c r="F1086" s="63" t="s">
        <v>8552</v>
      </c>
      <c r="G1086" s="63" t="s">
        <v>6765</v>
      </c>
      <c r="H1086" s="63" t="s">
        <v>7856</v>
      </c>
      <c r="I1086" s="62">
        <v>2</v>
      </c>
      <c r="J1086" s="58">
        <v>44774</v>
      </c>
    </row>
    <row r="1087" spans="4:10" ht="15.6" customHeight="1">
      <c r="D1087" s="38">
        <v>1085</v>
      </c>
      <c r="E1087" s="62">
        <v>3242</v>
      </c>
      <c r="F1087" s="63" t="s">
        <v>8553</v>
      </c>
      <c r="G1087" s="63" t="s">
        <v>6765</v>
      </c>
      <c r="H1087" s="63" t="s">
        <v>7856</v>
      </c>
      <c r="I1087" s="62">
        <v>2</v>
      </c>
      <c r="J1087" s="58">
        <v>44774</v>
      </c>
    </row>
    <row r="1088" spans="4:10" ht="15.6" customHeight="1">
      <c r="D1088" s="38">
        <v>1086</v>
      </c>
      <c r="E1088" s="62">
        <v>3141</v>
      </c>
      <c r="F1088" s="63" t="s">
        <v>8554</v>
      </c>
      <c r="G1088" s="63" t="s">
        <v>6765</v>
      </c>
      <c r="H1088" s="63" t="s">
        <v>7856</v>
      </c>
      <c r="I1088" s="62">
        <v>2</v>
      </c>
      <c r="J1088" s="58">
        <v>44774</v>
      </c>
    </row>
    <row r="1089" spans="4:10" ht="15.6" customHeight="1">
      <c r="D1089" s="38">
        <v>1087</v>
      </c>
      <c r="E1089" s="62">
        <v>3031</v>
      </c>
      <c r="F1089" s="63" t="s">
        <v>8555</v>
      </c>
      <c r="G1089" s="63" t="s">
        <v>6765</v>
      </c>
      <c r="H1089" s="63" t="s">
        <v>7856</v>
      </c>
      <c r="I1089" s="62">
        <v>2</v>
      </c>
      <c r="J1089" s="58">
        <v>44774</v>
      </c>
    </row>
    <row r="1090" spans="4:10" ht="15.6" customHeight="1">
      <c r="D1090" s="38">
        <v>1088</v>
      </c>
      <c r="E1090" s="62" t="s">
        <v>8556</v>
      </c>
      <c r="F1090" s="63" t="s">
        <v>8557</v>
      </c>
      <c r="G1090" s="63" t="s">
        <v>6765</v>
      </c>
      <c r="H1090" s="63" t="s">
        <v>7526</v>
      </c>
      <c r="I1090" s="62">
        <v>2</v>
      </c>
      <c r="J1090" s="58">
        <v>44774</v>
      </c>
    </row>
    <row r="1091" spans="4:10" ht="15.6" customHeight="1">
      <c r="D1091" s="38">
        <v>1089</v>
      </c>
      <c r="E1091" s="62">
        <v>2096</v>
      </c>
      <c r="F1091" s="63" t="s">
        <v>8558</v>
      </c>
      <c r="G1091" s="63" t="s">
        <v>6765</v>
      </c>
      <c r="H1091" s="63" t="s">
        <v>7526</v>
      </c>
      <c r="I1091" s="62">
        <v>2</v>
      </c>
      <c r="J1091" s="58">
        <v>44774</v>
      </c>
    </row>
    <row r="1092" spans="4:10" ht="15.6" customHeight="1">
      <c r="D1092" s="38">
        <v>1090</v>
      </c>
      <c r="E1092" s="62">
        <v>2565</v>
      </c>
      <c r="F1092" s="63" t="s">
        <v>8559</v>
      </c>
      <c r="G1092" s="63" t="s">
        <v>6765</v>
      </c>
      <c r="H1092" s="63" t="s">
        <v>7526</v>
      </c>
      <c r="I1092" s="62">
        <v>2</v>
      </c>
      <c r="J1092" s="58">
        <v>44774</v>
      </c>
    </row>
    <row r="1093" spans="4:10" ht="15.6" customHeight="1">
      <c r="D1093" s="38">
        <v>1091</v>
      </c>
      <c r="E1093" s="62">
        <v>2724</v>
      </c>
      <c r="F1093" s="63" t="s">
        <v>8560</v>
      </c>
      <c r="G1093" s="63" t="s">
        <v>6790</v>
      </c>
      <c r="H1093" s="63" t="s">
        <v>8561</v>
      </c>
      <c r="I1093" s="62">
        <v>2</v>
      </c>
      <c r="J1093" s="58">
        <v>44774</v>
      </c>
    </row>
    <row r="1094" spans="4:10" ht="15.6" customHeight="1">
      <c r="D1094" s="38">
        <v>1092</v>
      </c>
      <c r="E1094" s="62">
        <v>4018</v>
      </c>
      <c r="F1094" s="63" t="s">
        <v>7242</v>
      </c>
      <c r="G1094" s="63" t="s">
        <v>6790</v>
      </c>
      <c r="H1094" s="63" t="s">
        <v>8561</v>
      </c>
      <c r="I1094" s="62">
        <v>2</v>
      </c>
      <c r="J1094" s="58">
        <v>44774</v>
      </c>
    </row>
    <row r="1095" spans="4:10" ht="15.6" customHeight="1">
      <c r="D1095" s="38">
        <v>1093</v>
      </c>
      <c r="E1095" s="62">
        <v>3561</v>
      </c>
      <c r="F1095" s="63" t="s">
        <v>8562</v>
      </c>
      <c r="G1095" s="63" t="s">
        <v>6850</v>
      </c>
      <c r="H1095" s="63" t="s">
        <v>8563</v>
      </c>
      <c r="I1095" s="62">
        <v>2</v>
      </c>
      <c r="J1095" s="58">
        <v>44774</v>
      </c>
    </row>
    <row r="1096" spans="4:10" ht="15.6" customHeight="1">
      <c r="D1096" s="38">
        <v>1094</v>
      </c>
      <c r="E1096" s="62">
        <v>4294</v>
      </c>
      <c r="F1096" s="63" t="s">
        <v>8564</v>
      </c>
      <c r="G1096" s="63" t="s">
        <v>6850</v>
      </c>
      <c r="H1096" s="63" t="s">
        <v>7479</v>
      </c>
      <c r="I1096" s="62">
        <v>2</v>
      </c>
      <c r="J1096" s="58">
        <v>44774</v>
      </c>
    </row>
    <row r="1097" spans="4:10" ht="15.6" customHeight="1">
      <c r="D1097" s="38">
        <v>1095</v>
      </c>
      <c r="E1097" s="62">
        <v>4281</v>
      </c>
      <c r="F1097" s="63" t="s">
        <v>8565</v>
      </c>
      <c r="G1097" s="63" t="s">
        <v>6850</v>
      </c>
      <c r="H1097" s="63" t="s">
        <v>8566</v>
      </c>
      <c r="I1097" s="62">
        <v>2</v>
      </c>
      <c r="J1097" s="58">
        <v>44774</v>
      </c>
    </row>
    <row r="1098" spans="4:10" ht="15.6" customHeight="1">
      <c r="D1098" s="38">
        <v>1096</v>
      </c>
      <c r="E1098" s="62">
        <v>2237</v>
      </c>
      <c r="F1098" s="63" t="s">
        <v>5884</v>
      </c>
      <c r="G1098" s="63" t="s">
        <v>5281</v>
      </c>
      <c r="H1098" s="63" t="s">
        <v>2</v>
      </c>
      <c r="I1098" s="62">
        <v>2</v>
      </c>
      <c r="J1098" s="58">
        <v>44774</v>
      </c>
    </row>
    <row r="1099" spans="4:10" ht="15.6" customHeight="1">
      <c r="D1099" s="38">
        <v>1097</v>
      </c>
      <c r="E1099" s="62">
        <v>2175</v>
      </c>
      <c r="F1099" s="63" t="s">
        <v>8567</v>
      </c>
      <c r="G1099" s="63" t="s">
        <v>6735</v>
      </c>
      <c r="H1099" s="63" t="s">
        <v>7232</v>
      </c>
      <c r="I1099" s="62">
        <v>2</v>
      </c>
      <c r="J1099" s="58">
        <v>44775</v>
      </c>
    </row>
    <row r="1100" spans="4:10" ht="15.6" customHeight="1">
      <c r="D1100" s="38">
        <v>1098</v>
      </c>
      <c r="E1100" s="62">
        <v>2477</v>
      </c>
      <c r="F1100" s="63" t="s">
        <v>8568</v>
      </c>
      <c r="G1100" s="63" t="s">
        <v>6765</v>
      </c>
      <c r="H1100" s="63" t="s">
        <v>7856</v>
      </c>
      <c r="I1100" s="62">
        <v>2</v>
      </c>
      <c r="J1100" s="58">
        <v>44775</v>
      </c>
    </row>
    <row r="1101" spans="4:10" ht="15.6" customHeight="1">
      <c r="D1101" s="38">
        <v>1099</v>
      </c>
      <c r="E1101" s="62">
        <v>2882</v>
      </c>
      <c r="F1101" s="63" t="s">
        <v>8569</v>
      </c>
      <c r="G1101" s="63" t="s">
        <v>6765</v>
      </c>
      <c r="H1101" s="63" t="s">
        <v>7856</v>
      </c>
      <c r="I1101" s="62">
        <v>2</v>
      </c>
      <c r="J1101" s="58">
        <v>44775</v>
      </c>
    </row>
    <row r="1102" spans="4:10" ht="15.6" customHeight="1">
      <c r="D1102" s="38">
        <v>1100</v>
      </c>
      <c r="E1102" s="62">
        <v>4368</v>
      </c>
      <c r="F1102" s="63" t="s">
        <v>8570</v>
      </c>
      <c r="G1102" s="63" t="s">
        <v>6765</v>
      </c>
      <c r="H1102" s="63" t="s">
        <v>7856</v>
      </c>
      <c r="I1102" s="62">
        <v>2</v>
      </c>
      <c r="J1102" s="58">
        <v>44775</v>
      </c>
    </row>
    <row r="1103" spans="4:10" ht="15.6" customHeight="1">
      <c r="D1103" s="38">
        <v>1101</v>
      </c>
      <c r="E1103" s="62">
        <v>3587</v>
      </c>
      <c r="F1103" s="63" t="s">
        <v>8571</v>
      </c>
      <c r="G1103" s="63" t="s">
        <v>6765</v>
      </c>
      <c r="H1103" s="63" t="s">
        <v>7526</v>
      </c>
      <c r="I1103" s="62">
        <v>2</v>
      </c>
      <c r="J1103" s="58">
        <v>44775</v>
      </c>
    </row>
    <row r="1104" spans="4:10" ht="15.6" customHeight="1">
      <c r="D1104" s="38">
        <v>1102</v>
      </c>
      <c r="E1104" s="62">
        <v>3645</v>
      </c>
      <c r="F1104" s="63" t="s">
        <v>8572</v>
      </c>
      <c r="G1104" s="63" t="s">
        <v>6765</v>
      </c>
      <c r="H1104" s="63" t="s">
        <v>7526</v>
      </c>
      <c r="I1104" s="62">
        <v>2</v>
      </c>
      <c r="J1104" s="58">
        <v>44775</v>
      </c>
    </row>
    <row r="1105" spans="4:10" ht="15.6" customHeight="1">
      <c r="D1105" s="38">
        <v>1103</v>
      </c>
      <c r="E1105" s="62">
        <v>3816</v>
      </c>
      <c r="F1105" s="63" t="s">
        <v>8573</v>
      </c>
      <c r="G1105" s="63" t="s">
        <v>6765</v>
      </c>
      <c r="H1105" s="63" t="s">
        <v>7526</v>
      </c>
      <c r="I1105" s="62">
        <v>2</v>
      </c>
      <c r="J1105" s="58">
        <v>44775</v>
      </c>
    </row>
    <row r="1106" spans="4:10" ht="15.6" customHeight="1">
      <c r="D1106" s="38">
        <v>1104</v>
      </c>
      <c r="E1106" s="62">
        <v>3470</v>
      </c>
      <c r="F1106" s="63" t="s">
        <v>8574</v>
      </c>
      <c r="G1106" s="63" t="s">
        <v>6790</v>
      </c>
      <c r="H1106" s="63" t="s">
        <v>8575</v>
      </c>
      <c r="I1106" s="62">
        <v>2</v>
      </c>
      <c r="J1106" s="58">
        <v>44775</v>
      </c>
    </row>
    <row r="1107" spans="4:10" ht="15.6" customHeight="1">
      <c r="D1107" s="38">
        <v>1105</v>
      </c>
      <c r="E1107" s="62">
        <v>4984</v>
      </c>
      <c r="F1107" s="63" t="s">
        <v>8576</v>
      </c>
      <c r="G1107" s="63" t="s">
        <v>6850</v>
      </c>
      <c r="H1107" s="63" t="s">
        <v>6861</v>
      </c>
      <c r="I1107" s="62">
        <v>2</v>
      </c>
      <c r="J1107" s="58">
        <v>44775</v>
      </c>
    </row>
    <row r="1108" spans="4:10" ht="15.6" customHeight="1">
      <c r="D1108" s="38">
        <v>1106</v>
      </c>
      <c r="E1108" s="62">
        <v>2074</v>
      </c>
      <c r="F1108" s="63" t="s">
        <v>8577</v>
      </c>
      <c r="G1108" s="63" t="s">
        <v>6850</v>
      </c>
      <c r="H1108" s="63" t="s">
        <v>6861</v>
      </c>
      <c r="I1108" s="62">
        <v>2</v>
      </c>
      <c r="J1108" s="58">
        <v>44775</v>
      </c>
    </row>
    <row r="1109" spans="4:10" ht="15.6" customHeight="1">
      <c r="D1109" s="38">
        <v>1107</v>
      </c>
      <c r="E1109" s="62">
        <v>2205</v>
      </c>
      <c r="F1109" s="63" t="s">
        <v>8578</v>
      </c>
      <c r="G1109" s="63" t="s">
        <v>6850</v>
      </c>
      <c r="H1109" s="63" t="s">
        <v>6861</v>
      </c>
      <c r="I1109" s="62">
        <v>2</v>
      </c>
      <c r="J1109" s="58">
        <v>44775</v>
      </c>
    </row>
    <row r="1110" spans="4:10" ht="15.6" customHeight="1">
      <c r="D1110" s="38">
        <v>1108</v>
      </c>
      <c r="E1110" s="62">
        <v>4236</v>
      </c>
      <c r="F1110" s="63" t="s">
        <v>7127</v>
      </c>
      <c r="G1110" s="63" t="s">
        <v>6765</v>
      </c>
      <c r="H1110" s="63" t="s">
        <v>7856</v>
      </c>
      <c r="I1110" s="62">
        <v>2</v>
      </c>
      <c r="J1110" s="58">
        <v>44776</v>
      </c>
    </row>
    <row r="1111" spans="4:10" ht="15.6" customHeight="1">
      <c r="D1111" s="38">
        <v>1109</v>
      </c>
      <c r="E1111" s="62">
        <v>3018</v>
      </c>
      <c r="F1111" s="63" t="s">
        <v>8579</v>
      </c>
      <c r="G1111" s="63" t="s">
        <v>6765</v>
      </c>
      <c r="H1111" s="63" t="s">
        <v>7856</v>
      </c>
      <c r="I1111" s="62">
        <v>2</v>
      </c>
      <c r="J1111" s="58">
        <v>44776</v>
      </c>
    </row>
    <row r="1112" spans="4:10" ht="15.6" customHeight="1">
      <c r="D1112" s="38">
        <v>1110</v>
      </c>
      <c r="E1112" s="62" t="s">
        <v>8580</v>
      </c>
      <c r="F1112" s="63" t="s">
        <v>8581</v>
      </c>
      <c r="G1112" s="63" t="s">
        <v>6765</v>
      </c>
      <c r="H1112" s="63" t="s">
        <v>7856</v>
      </c>
      <c r="I1112" s="62">
        <v>2</v>
      </c>
      <c r="J1112" s="58">
        <v>44776</v>
      </c>
    </row>
    <row r="1113" spans="4:10" ht="15.6" customHeight="1">
      <c r="D1113" s="38">
        <v>1111</v>
      </c>
      <c r="E1113" s="62">
        <v>3150</v>
      </c>
      <c r="F1113" s="63" t="s">
        <v>8582</v>
      </c>
      <c r="G1113" s="63" t="s">
        <v>6765</v>
      </c>
      <c r="H1113" s="63" t="s">
        <v>7856</v>
      </c>
      <c r="I1113" s="62">
        <v>2</v>
      </c>
      <c r="J1113" s="58">
        <v>44776</v>
      </c>
    </row>
    <row r="1114" spans="4:10" ht="15.6" customHeight="1">
      <c r="D1114" s="38">
        <v>1112</v>
      </c>
      <c r="E1114" s="62">
        <v>4913</v>
      </c>
      <c r="F1114" s="63" t="s">
        <v>8583</v>
      </c>
      <c r="G1114" s="63" t="s">
        <v>6765</v>
      </c>
      <c r="H1114" s="63" t="s">
        <v>7856</v>
      </c>
      <c r="I1114" s="62">
        <v>2</v>
      </c>
      <c r="J1114" s="58">
        <v>44776</v>
      </c>
    </row>
    <row r="1115" spans="4:10" ht="15.6" customHeight="1">
      <c r="D1115" s="38">
        <v>1113</v>
      </c>
      <c r="E1115" s="62">
        <v>2831</v>
      </c>
      <c r="F1115" s="63" t="s">
        <v>8584</v>
      </c>
      <c r="G1115" s="63" t="s">
        <v>6765</v>
      </c>
      <c r="H1115" s="63" t="s">
        <v>7526</v>
      </c>
      <c r="I1115" s="62">
        <v>2</v>
      </c>
      <c r="J1115" s="58">
        <v>44776</v>
      </c>
    </row>
    <row r="1116" spans="4:10" ht="15.6" customHeight="1">
      <c r="D1116" s="38">
        <v>1114</v>
      </c>
      <c r="E1116" s="62">
        <v>4426</v>
      </c>
      <c r="F1116" s="63" t="s">
        <v>8585</v>
      </c>
      <c r="G1116" s="63" t="s">
        <v>6765</v>
      </c>
      <c r="H1116" s="63" t="s">
        <v>7526</v>
      </c>
      <c r="I1116" s="62">
        <v>2</v>
      </c>
      <c r="J1116" s="58">
        <v>44776</v>
      </c>
    </row>
    <row r="1117" spans="4:10" ht="15.6" customHeight="1">
      <c r="D1117" s="38">
        <v>1115</v>
      </c>
      <c r="E1117" s="62">
        <v>4186</v>
      </c>
      <c r="F1117" s="63" t="s">
        <v>8586</v>
      </c>
      <c r="G1117" s="63" t="s">
        <v>6765</v>
      </c>
      <c r="H1117" s="63" t="s">
        <v>7526</v>
      </c>
      <c r="I1117" s="62">
        <v>2</v>
      </c>
      <c r="J1117" s="58">
        <v>44776</v>
      </c>
    </row>
    <row r="1118" spans="4:10" ht="15.6" customHeight="1">
      <c r="D1118" s="38">
        <v>1116</v>
      </c>
      <c r="E1118" s="62">
        <v>3873</v>
      </c>
      <c r="F1118" s="63" t="s">
        <v>8587</v>
      </c>
      <c r="G1118" s="63" t="s">
        <v>6790</v>
      </c>
      <c r="H1118" s="63" t="s">
        <v>8588</v>
      </c>
      <c r="I1118" s="62">
        <v>2</v>
      </c>
      <c r="J1118" s="58">
        <v>44776</v>
      </c>
    </row>
    <row r="1119" spans="4:10" ht="15.6" customHeight="1">
      <c r="D1119" s="38">
        <v>1117</v>
      </c>
      <c r="E1119" s="62">
        <v>3909</v>
      </c>
      <c r="F1119" s="63" t="s">
        <v>8589</v>
      </c>
      <c r="G1119" s="63" t="s">
        <v>6790</v>
      </c>
      <c r="H1119" s="63" t="s">
        <v>8588</v>
      </c>
      <c r="I1119" s="62">
        <v>2</v>
      </c>
      <c r="J1119" s="58">
        <v>44776</v>
      </c>
    </row>
    <row r="1120" spans="4:10" ht="15.6" customHeight="1">
      <c r="D1120" s="38">
        <v>1118</v>
      </c>
      <c r="E1120" s="62">
        <v>4975</v>
      </c>
      <c r="F1120" s="63" t="s">
        <v>8590</v>
      </c>
      <c r="G1120" s="63" t="s">
        <v>6850</v>
      </c>
      <c r="H1120" s="63" t="s">
        <v>8087</v>
      </c>
      <c r="I1120" s="62">
        <v>2</v>
      </c>
      <c r="J1120" s="58">
        <v>44776</v>
      </c>
    </row>
    <row r="1121" spans="4:10" ht="15.6" customHeight="1">
      <c r="D1121" s="38">
        <v>1119</v>
      </c>
      <c r="E1121" s="62">
        <v>4899</v>
      </c>
      <c r="F1121" s="63" t="s">
        <v>8591</v>
      </c>
      <c r="G1121" s="63" t="s">
        <v>6850</v>
      </c>
      <c r="H1121" s="63" t="s">
        <v>8592</v>
      </c>
      <c r="I1121" s="62">
        <v>2</v>
      </c>
      <c r="J1121" s="58">
        <v>44776</v>
      </c>
    </row>
    <row r="1122" spans="4:10" ht="15.6" customHeight="1">
      <c r="D1122" s="38">
        <v>1120</v>
      </c>
      <c r="E1122" s="62">
        <v>3058</v>
      </c>
      <c r="F1122" s="63" t="s">
        <v>8593</v>
      </c>
      <c r="G1122" s="63" t="s">
        <v>6765</v>
      </c>
      <c r="H1122" s="63" t="s">
        <v>7857</v>
      </c>
      <c r="I1122" s="62">
        <v>2</v>
      </c>
      <c r="J1122" s="58">
        <v>44776</v>
      </c>
    </row>
    <row r="1123" spans="4:10" ht="15.6" customHeight="1">
      <c r="D1123" s="38">
        <v>1121</v>
      </c>
      <c r="E1123" s="62" t="s">
        <v>8594</v>
      </c>
      <c r="F1123" s="63" t="s">
        <v>8595</v>
      </c>
      <c r="G1123" s="63" t="s">
        <v>6765</v>
      </c>
      <c r="H1123" s="63" t="s">
        <v>7856</v>
      </c>
      <c r="I1123" s="62">
        <v>2</v>
      </c>
      <c r="J1123" s="58">
        <v>44777</v>
      </c>
    </row>
    <row r="1124" spans="4:10" ht="15.6" customHeight="1">
      <c r="D1124" s="38">
        <v>1122</v>
      </c>
      <c r="E1124" s="62">
        <v>4793</v>
      </c>
      <c r="F1124" s="63" t="s">
        <v>8596</v>
      </c>
      <c r="G1124" s="63" t="s">
        <v>6765</v>
      </c>
      <c r="H1124" s="63" t="s">
        <v>7856</v>
      </c>
      <c r="I1124" s="62">
        <v>2</v>
      </c>
      <c r="J1124" s="58">
        <v>44777</v>
      </c>
    </row>
    <row r="1125" spans="4:10" ht="15.6" customHeight="1">
      <c r="D1125" s="38">
        <v>1123</v>
      </c>
      <c r="E1125" s="62">
        <v>4419</v>
      </c>
      <c r="F1125" s="63" t="s">
        <v>7168</v>
      </c>
      <c r="G1125" s="63" t="s">
        <v>6765</v>
      </c>
      <c r="H1125" s="63" t="s">
        <v>7856</v>
      </c>
      <c r="I1125" s="62">
        <v>2</v>
      </c>
      <c r="J1125" s="58">
        <v>44777</v>
      </c>
    </row>
    <row r="1126" spans="4:10" ht="15.6" customHeight="1">
      <c r="D1126" s="38">
        <v>1124</v>
      </c>
      <c r="E1126" s="62" t="s">
        <v>8597</v>
      </c>
      <c r="F1126" s="63" t="s">
        <v>8598</v>
      </c>
      <c r="G1126" s="63" t="s">
        <v>6765</v>
      </c>
      <c r="H1126" s="63" t="s">
        <v>7856</v>
      </c>
      <c r="I1126" s="62">
        <v>2</v>
      </c>
      <c r="J1126" s="58">
        <v>44777</v>
      </c>
    </row>
    <row r="1127" spans="4:10" ht="15.6" customHeight="1">
      <c r="D1127" s="38">
        <v>1125</v>
      </c>
      <c r="E1127" s="62">
        <v>2850</v>
      </c>
      <c r="F1127" s="63" t="s">
        <v>8599</v>
      </c>
      <c r="G1127" s="63" t="s">
        <v>6765</v>
      </c>
      <c r="H1127" s="63" t="s">
        <v>7526</v>
      </c>
      <c r="I1127" s="62">
        <v>2</v>
      </c>
      <c r="J1127" s="58">
        <v>44777</v>
      </c>
    </row>
    <row r="1128" spans="4:10" ht="15.6" customHeight="1">
      <c r="D1128" s="38">
        <v>1126</v>
      </c>
      <c r="E1128" s="62">
        <v>3911</v>
      </c>
      <c r="F1128" s="63" t="s">
        <v>8600</v>
      </c>
      <c r="G1128" s="63" t="s">
        <v>6765</v>
      </c>
      <c r="H1128" s="63" t="s">
        <v>7526</v>
      </c>
      <c r="I1128" s="62">
        <v>2</v>
      </c>
      <c r="J1128" s="58">
        <v>44777</v>
      </c>
    </row>
    <row r="1129" spans="4:10" ht="15.6" customHeight="1">
      <c r="D1129" s="38">
        <v>1127</v>
      </c>
      <c r="E1129" s="62">
        <v>3027</v>
      </c>
      <c r="F1129" s="63" t="s">
        <v>8601</v>
      </c>
      <c r="G1129" s="63" t="s">
        <v>6765</v>
      </c>
      <c r="H1129" s="63" t="s">
        <v>7526</v>
      </c>
      <c r="I1129" s="62">
        <v>2</v>
      </c>
      <c r="J1129" s="58">
        <v>44777</v>
      </c>
    </row>
    <row r="1130" spans="4:10" ht="15.6" customHeight="1">
      <c r="D1130" s="38">
        <v>1128</v>
      </c>
      <c r="E1130" s="62">
        <v>3109</v>
      </c>
      <c r="F1130" s="63" t="s">
        <v>8602</v>
      </c>
      <c r="G1130" s="63" t="s">
        <v>6850</v>
      </c>
      <c r="H1130" s="63" t="s">
        <v>6999</v>
      </c>
      <c r="I1130" s="62">
        <v>2</v>
      </c>
      <c r="J1130" s="58">
        <v>44777</v>
      </c>
    </row>
    <row r="1131" spans="4:10" ht="15.6" customHeight="1">
      <c r="D1131" s="38">
        <v>1129</v>
      </c>
      <c r="E1131" s="62">
        <v>3522</v>
      </c>
      <c r="F1131" s="63" t="s">
        <v>8603</v>
      </c>
      <c r="G1131" s="63" t="s">
        <v>6850</v>
      </c>
      <c r="H1131" s="63" t="s">
        <v>6999</v>
      </c>
      <c r="I1131" s="62">
        <v>2</v>
      </c>
      <c r="J1131" s="58">
        <v>44777</v>
      </c>
    </row>
    <row r="1132" spans="4:10" ht="15.6" customHeight="1">
      <c r="D1132" s="38">
        <v>1130</v>
      </c>
      <c r="E1132" s="62">
        <v>3336</v>
      </c>
      <c r="F1132" s="63" t="s">
        <v>8604</v>
      </c>
      <c r="G1132" s="63" t="s">
        <v>6765</v>
      </c>
      <c r="H1132" s="63" t="s">
        <v>7856</v>
      </c>
      <c r="I1132" s="62">
        <v>2</v>
      </c>
      <c r="J1132" s="58">
        <v>44778</v>
      </c>
    </row>
    <row r="1133" spans="4:10" ht="15.6" customHeight="1">
      <c r="D1133" s="38">
        <v>1131</v>
      </c>
      <c r="E1133" s="62" t="s">
        <v>8605</v>
      </c>
      <c r="F1133" s="63" t="s">
        <v>8606</v>
      </c>
      <c r="G1133" s="63" t="s">
        <v>6765</v>
      </c>
      <c r="H1133" s="63" t="s">
        <v>7856</v>
      </c>
      <c r="I1133" s="62">
        <v>2</v>
      </c>
      <c r="J1133" s="58">
        <v>44778</v>
      </c>
    </row>
    <row r="1134" spans="4:10" ht="15.6" customHeight="1">
      <c r="D1134" s="38">
        <v>1132</v>
      </c>
      <c r="E1134" s="62">
        <v>4467</v>
      </c>
      <c r="F1134" s="63" t="s">
        <v>8607</v>
      </c>
      <c r="G1134" s="63" t="s">
        <v>6765</v>
      </c>
      <c r="H1134" s="63" t="s">
        <v>7526</v>
      </c>
      <c r="I1134" s="62">
        <v>2</v>
      </c>
      <c r="J1134" s="58">
        <v>44778</v>
      </c>
    </row>
    <row r="1135" spans="4:10" ht="15.6" customHeight="1">
      <c r="D1135" s="38">
        <v>1133</v>
      </c>
      <c r="E1135" s="62">
        <v>4672</v>
      </c>
      <c r="F1135" s="63" t="s">
        <v>8608</v>
      </c>
      <c r="G1135" s="63" t="s">
        <v>6765</v>
      </c>
      <c r="H1135" s="63" t="s">
        <v>7526</v>
      </c>
      <c r="I1135" s="62">
        <v>2</v>
      </c>
      <c r="J1135" s="58">
        <v>44778</v>
      </c>
    </row>
    <row r="1136" spans="4:10" ht="15.6" customHeight="1">
      <c r="D1136" s="38">
        <v>1134</v>
      </c>
      <c r="E1136" s="62">
        <v>4920</v>
      </c>
      <c r="F1136" s="63" t="s">
        <v>8609</v>
      </c>
      <c r="G1136" s="63" t="s">
        <v>6765</v>
      </c>
      <c r="H1136" s="63" t="s">
        <v>7526</v>
      </c>
      <c r="I1136" s="62">
        <v>2</v>
      </c>
      <c r="J1136" s="58">
        <v>44778</v>
      </c>
    </row>
    <row r="1137" spans="4:10" ht="15.6" customHeight="1">
      <c r="D1137" s="38">
        <v>1135</v>
      </c>
      <c r="E1137" s="62">
        <v>3493</v>
      </c>
      <c r="F1137" s="63" t="s">
        <v>8610</v>
      </c>
      <c r="G1137" s="63" t="s">
        <v>6765</v>
      </c>
      <c r="H1137" s="63" t="s">
        <v>7856</v>
      </c>
      <c r="I1137" s="62">
        <v>2</v>
      </c>
      <c r="J1137" s="58">
        <v>44781</v>
      </c>
    </row>
    <row r="1138" spans="4:10" ht="15.6" customHeight="1">
      <c r="D1138" s="38">
        <v>1136</v>
      </c>
      <c r="E1138" s="62">
        <v>3978</v>
      </c>
      <c r="F1138" s="63" t="s">
        <v>8611</v>
      </c>
      <c r="G1138" s="63" t="s">
        <v>6765</v>
      </c>
      <c r="H1138" s="63" t="s">
        <v>7856</v>
      </c>
      <c r="I1138" s="62">
        <v>2</v>
      </c>
      <c r="J1138" s="58">
        <v>44781</v>
      </c>
    </row>
    <row r="1139" spans="4:10" ht="15.6" customHeight="1">
      <c r="D1139" s="38">
        <v>1137</v>
      </c>
      <c r="E1139" s="62" t="s">
        <v>8612</v>
      </c>
      <c r="F1139" s="63" t="s">
        <v>8613</v>
      </c>
      <c r="G1139" s="63" t="s">
        <v>6765</v>
      </c>
      <c r="H1139" s="63" t="s">
        <v>7856</v>
      </c>
      <c r="I1139" s="62">
        <v>2</v>
      </c>
      <c r="J1139" s="58">
        <v>44781</v>
      </c>
    </row>
    <row r="1140" spans="4:10" ht="15.6" customHeight="1">
      <c r="D1140" s="38">
        <v>1138</v>
      </c>
      <c r="E1140" s="62">
        <v>2853</v>
      </c>
      <c r="F1140" s="63" t="s">
        <v>8614</v>
      </c>
      <c r="G1140" s="63" t="s">
        <v>6765</v>
      </c>
      <c r="H1140" s="63" t="s">
        <v>6835</v>
      </c>
      <c r="I1140" s="62">
        <v>2</v>
      </c>
      <c r="J1140" s="58">
        <v>44781</v>
      </c>
    </row>
    <row r="1141" spans="4:10" ht="15.6" customHeight="1">
      <c r="D1141" s="38">
        <v>1139</v>
      </c>
      <c r="E1141" s="62">
        <v>3967</v>
      </c>
      <c r="F1141" s="63" t="s">
        <v>8615</v>
      </c>
      <c r="G1141" s="63" t="s">
        <v>6765</v>
      </c>
      <c r="H1141" s="63" t="s">
        <v>6835</v>
      </c>
      <c r="I1141" s="62">
        <v>2</v>
      </c>
      <c r="J1141" s="58">
        <v>44781</v>
      </c>
    </row>
    <row r="1142" spans="4:10" ht="15.6" customHeight="1">
      <c r="D1142" s="38">
        <v>1140</v>
      </c>
      <c r="E1142" s="62">
        <v>4073</v>
      </c>
      <c r="F1142" s="63" t="s">
        <v>8616</v>
      </c>
      <c r="G1142" s="63" t="s">
        <v>6765</v>
      </c>
      <c r="H1142" s="63" t="s">
        <v>6835</v>
      </c>
      <c r="I1142" s="62">
        <v>2</v>
      </c>
      <c r="J1142" s="58">
        <v>44781</v>
      </c>
    </row>
    <row r="1143" spans="4:10" ht="15.6" customHeight="1">
      <c r="D1143" s="38">
        <v>1141</v>
      </c>
      <c r="E1143" s="62">
        <v>4678</v>
      </c>
      <c r="F1143" s="63" t="s">
        <v>8617</v>
      </c>
      <c r="G1143" s="63" t="s">
        <v>6850</v>
      </c>
      <c r="H1143" s="63" t="s">
        <v>8618</v>
      </c>
      <c r="I1143" s="62">
        <v>2</v>
      </c>
      <c r="J1143" s="58">
        <v>44781</v>
      </c>
    </row>
    <row r="1144" spans="4:10" ht="15.6" customHeight="1">
      <c r="D1144" s="38">
        <v>1142</v>
      </c>
      <c r="E1144" s="62">
        <v>4669</v>
      </c>
      <c r="F1144" s="63" t="s">
        <v>8619</v>
      </c>
      <c r="G1144" s="63" t="s">
        <v>6850</v>
      </c>
      <c r="H1144" s="63" t="s">
        <v>8213</v>
      </c>
      <c r="I1144" s="62">
        <v>2</v>
      </c>
      <c r="J1144" s="58">
        <v>44781</v>
      </c>
    </row>
    <row r="1145" spans="4:10" ht="15.6" customHeight="1">
      <c r="D1145" s="38">
        <v>1143</v>
      </c>
      <c r="E1145" s="62">
        <v>4417</v>
      </c>
      <c r="F1145" s="63" t="s">
        <v>8620</v>
      </c>
      <c r="G1145" s="63" t="s">
        <v>6850</v>
      </c>
      <c r="H1145" s="63" t="s">
        <v>8621</v>
      </c>
      <c r="I1145" s="62">
        <v>2</v>
      </c>
      <c r="J1145" s="58">
        <v>44781</v>
      </c>
    </row>
    <row r="1146" spans="4:10" ht="15.6" customHeight="1">
      <c r="D1146" s="38">
        <v>1144</v>
      </c>
      <c r="E1146" s="62">
        <v>4143</v>
      </c>
      <c r="F1146" s="63" t="s">
        <v>8622</v>
      </c>
      <c r="G1146" s="63" t="s">
        <v>6765</v>
      </c>
      <c r="H1146" s="63" t="s">
        <v>7856</v>
      </c>
      <c r="I1146" s="62">
        <v>2</v>
      </c>
      <c r="J1146" s="58">
        <v>44782</v>
      </c>
    </row>
    <row r="1147" spans="4:10" ht="15.6" customHeight="1">
      <c r="D1147" s="38">
        <v>1145</v>
      </c>
      <c r="E1147" s="62">
        <v>3092</v>
      </c>
      <c r="F1147" s="63" t="s">
        <v>8623</v>
      </c>
      <c r="G1147" s="63" t="s">
        <v>6765</v>
      </c>
      <c r="H1147" s="63" t="s">
        <v>7856</v>
      </c>
      <c r="I1147" s="62">
        <v>2</v>
      </c>
      <c r="J1147" s="58">
        <v>44782</v>
      </c>
    </row>
    <row r="1148" spans="4:10" ht="15.6" customHeight="1">
      <c r="D1148" s="38">
        <v>1146</v>
      </c>
      <c r="E1148" s="62">
        <v>4365</v>
      </c>
      <c r="F1148" s="63" t="s">
        <v>8624</v>
      </c>
      <c r="G1148" s="63" t="s">
        <v>6765</v>
      </c>
      <c r="H1148" s="63" t="s">
        <v>7856</v>
      </c>
      <c r="I1148" s="62">
        <v>2</v>
      </c>
      <c r="J1148" s="58">
        <v>44782</v>
      </c>
    </row>
    <row r="1149" spans="4:10" ht="15.6" customHeight="1">
      <c r="D1149" s="38">
        <v>1147</v>
      </c>
      <c r="E1149" s="62">
        <v>2777</v>
      </c>
      <c r="F1149" s="63" t="s">
        <v>8625</v>
      </c>
      <c r="G1149" s="63" t="s">
        <v>6765</v>
      </c>
      <c r="H1149" s="63" t="s">
        <v>7856</v>
      </c>
      <c r="I1149" s="62">
        <v>2</v>
      </c>
      <c r="J1149" s="58">
        <v>44782</v>
      </c>
    </row>
    <row r="1150" spans="4:10" ht="15.6" customHeight="1">
      <c r="D1150" s="38">
        <v>1148</v>
      </c>
      <c r="E1150" s="62">
        <v>4359</v>
      </c>
      <c r="F1150" s="63" t="s">
        <v>8626</v>
      </c>
      <c r="G1150" s="63" t="s">
        <v>6765</v>
      </c>
      <c r="H1150" s="63" t="s">
        <v>7856</v>
      </c>
      <c r="I1150" s="62">
        <v>2</v>
      </c>
      <c r="J1150" s="58">
        <v>44782</v>
      </c>
    </row>
    <row r="1151" spans="4:10" ht="15.6" customHeight="1">
      <c r="D1151" s="38">
        <v>1149</v>
      </c>
      <c r="E1151" s="62" t="s">
        <v>8627</v>
      </c>
      <c r="F1151" s="63" t="s">
        <v>8628</v>
      </c>
      <c r="G1151" s="63" t="s">
        <v>6765</v>
      </c>
      <c r="H1151" s="63" t="s">
        <v>6835</v>
      </c>
      <c r="I1151" s="62">
        <v>2</v>
      </c>
      <c r="J1151" s="58">
        <v>44782</v>
      </c>
    </row>
    <row r="1152" spans="4:10" ht="15.6" customHeight="1">
      <c r="D1152" s="38">
        <v>1150</v>
      </c>
      <c r="E1152" s="62">
        <v>4619</v>
      </c>
      <c r="F1152" s="63" t="s">
        <v>8629</v>
      </c>
      <c r="G1152" s="63" t="s">
        <v>6765</v>
      </c>
      <c r="H1152" s="63" t="s">
        <v>6835</v>
      </c>
      <c r="I1152" s="62">
        <v>2</v>
      </c>
      <c r="J1152" s="58">
        <v>44782</v>
      </c>
    </row>
    <row r="1153" spans="4:10" ht="15.6" customHeight="1">
      <c r="D1153" s="38">
        <v>1151</v>
      </c>
      <c r="E1153" s="62">
        <v>4756</v>
      </c>
      <c r="F1153" s="63" t="s">
        <v>8630</v>
      </c>
      <c r="G1153" s="63" t="s">
        <v>6765</v>
      </c>
      <c r="H1153" s="63" t="s">
        <v>6835</v>
      </c>
      <c r="I1153" s="62">
        <v>2</v>
      </c>
      <c r="J1153" s="58">
        <v>44782</v>
      </c>
    </row>
    <row r="1154" spans="4:10" ht="15.6" customHeight="1">
      <c r="D1154" s="38">
        <v>1152</v>
      </c>
      <c r="E1154" s="62">
        <v>4555</v>
      </c>
      <c r="F1154" s="63" t="s">
        <v>8631</v>
      </c>
      <c r="G1154" s="63" t="s">
        <v>6850</v>
      </c>
      <c r="H1154" s="63" t="s">
        <v>8632</v>
      </c>
      <c r="I1154" s="62">
        <v>2</v>
      </c>
      <c r="J1154" s="58">
        <v>44782</v>
      </c>
    </row>
    <row r="1155" spans="4:10" ht="15.6" customHeight="1">
      <c r="D1155" s="38">
        <v>1153</v>
      </c>
      <c r="E1155" s="62">
        <v>4976</v>
      </c>
      <c r="F1155" s="63" t="s">
        <v>8633</v>
      </c>
      <c r="G1155" s="63" t="s">
        <v>6866</v>
      </c>
      <c r="H1155" s="63" t="s">
        <v>8634</v>
      </c>
      <c r="I1155" s="62">
        <v>2</v>
      </c>
      <c r="J1155" s="58">
        <v>44782</v>
      </c>
    </row>
    <row r="1156" spans="4:10" ht="15.6" customHeight="1">
      <c r="D1156" s="38">
        <v>1154</v>
      </c>
      <c r="E1156" s="62">
        <v>2017</v>
      </c>
      <c r="F1156" s="63" t="s">
        <v>8635</v>
      </c>
      <c r="G1156" s="63" t="s">
        <v>6765</v>
      </c>
      <c r="H1156" s="63" t="s">
        <v>6837</v>
      </c>
      <c r="I1156" s="62">
        <v>2</v>
      </c>
      <c r="J1156" s="58">
        <v>44783</v>
      </c>
    </row>
    <row r="1157" spans="4:10" ht="15.6" customHeight="1">
      <c r="D1157" s="38">
        <v>1155</v>
      </c>
      <c r="E1157" s="62">
        <v>3619</v>
      </c>
      <c r="F1157" s="63" t="s">
        <v>8636</v>
      </c>
      <c r="G1157" s="63" t="s">
        <v>6765</v>
      </c>
      <c r="H1157" s="63" t="s">
        <v>6837</v>
      </c>
      <c r="I1157" s="62">
        <v>2</v>
      </c>
      <c r="J1157" s="58">
        <v>44783</v>
      </c>
    </row>
    <row r="1158" spans="4:10" ht="15.6" customHeight="1">
      <c r="D1158" s="38">
        <v>1156</v>
      </c>
      <c r="E1158" s="62">
        <v>2279</v>
      </c>
      <c r="F1158" s="63" t="s">
        <v>8637</v>
      </c>
      <c r="G1158" s="63" t="s">
        <v>6765</v>
      </c>
      <c r="H1158" s="63" t="s">
        <v>6837</v>
      </c>
      <c r="I1158" s="62">
        <v>2</v>
      </c>
      <c r="J1158" s="58">
        <v>44783</v>
      </c>
    </row>
    <row r="1159" spans="4:10" ht="15.6" customHeight="1">
      <c r="D1159" s="38">
        <v>1157</v>
      </c>
      <c r="E1159" s="62">
        <v>4289</v>
      </c>
      <c r="F1159" s="63" t="s">
        <v>8638</v>
      </c>
      <c r="G1159" s="63" t="s">
        <v>6765</v>
      </c>
      <c r="H1159" s="63" t="s">
        <v>8</v>
      </c>
      <c r="I1159" s="62">
        <v>2</v>
      </c>
      <c r="J1159" s="58">
        <v>44783</v>
      </c>
    </row>
    <row r="1160" spans="4:10" ht="15.6" customHeight="1">
      <c r="D1160" s="38">
        <v>1158</v>
      </c>
      <c r="E1160" s="62">
        <v>4859</v>
      </c>
      <c r="F1160" s="63" t="s">
        <v>8639</v>
      </c>
      <c r="G1160" s="63" t="s">
        <v>6765</v>
      </c>
      <c r="H1160" s="63" t="s">
        <v>6835</v>
      </c>
      <c r="I1160" s="62">
        <v>2</v>
      </c>
      <c r="J1160" s="58">
        <v>44783</v>
      </c>
    </row>
    <row r="1161" spans="4:10" ht="15.6" customHeight="1">
      <c r="D1161" s="38">
        <v>1159</v>
      </c>
      <c r="E1161" s="62">
        <v>4534</v>
      </c>
      <c r="F1161" s="63" t="s">
        <v>8640</v>
      </c>
      <c r="G1161" s="63" t="s">
        <v>6765</v>
      </c>
      <c r="H1161" s="63" t="s">
        <v>6835</v>
      </c>
      <c r="I1161" s="62">
        <v>2</v>
      </c>
      <c r="J1161" s="58">
        <v>44783</v>
      </c>
    </row>
    <row r="1162" spans="4:10" ht="15.6" customHeight="1">
      <c r="D1162" s="38">
        <v>1160</v>
      </c>
      <c r="E1162" s="62">
        <v>4907</v>
      </c>
      <c r="F1162" s="63" t="s">
        <v>8641</v>
      </c>
      <c r="G1162" s="63" t="s">
        <v>6765</v>
      </c>
      <c r="H1162" s="63" t="s">
        <v>6835</v>
      </c>
      <c r="I1162" s="62">
        <v>2</v>
      </c>
      <c r="J1162" s="58">
        <v>44783</v>
      </c>
    </row>
    <row r="1163" spans="4:10" ht="15.6" customHeight="1">
      <c r="D1163" s="38">
        <v>1161</v>
      </c>
      <c r="E1163" s="62">
        <v>2276</v>
      </c>
      <c r="F1163" s="63" t="s">
        <v>8642</v>
      </c>
      <c r="G1163" s="63" t="s">
        <v>6833</v>
      </c>
      <c r="H1163" s="63" t="s">
        <v>7086</v>
      </c>
      <c r="I1163" s="62">
        <v>2</v>
      </c>
      <c r="J1163" s="58">
        <v>44783</v>
      </c>
    </row>
    <row r="1164" spans="4:10" ht="15.6" customHeight="1">
      <c r="D1164" s="38">
        <v>1162</v>
      </c>
      <c r="E1164" s="62" t="s">
        <v>8643</v>
      </c>
      <c r="F1164" s="63" t="s">
        <v>8644</v>
      </c>
      <c r="G1164" s="63" t="s">
        <v>6833</v>
      </c>
      <c r="H1164" s="63" t="s">
        <v>7086</v>
      </c>
      <c r="I1164" s="62">
        <v>2</v>
      </c>
      <c r="J1164" s="58">
        <v>44783</v>
      </c>
    </row>
    <row r="1165" spans="4:10" ht="15.6" customHeight="1">
      <c r="D1165" s="38">
        <v>1163</v>
      </c>
      <c r="E1165" s="62">
        <v>2295</v>
      </c>
      <c r="F1165" s="63" t="s">
        <v>8645</v>
      </c>
      <c r="G1165" s="63" t="s">
        <v>6765</v>
      </c>
      <c r="H1165" s="63" t="s">
        <v>7856</v>
      </c>
      <c r="I1165" s="62">
        <v>2</v>
      </c>
      <c r="J1165" s="58">
        <v>44784</v>
      </c>
    </row>
    <row r="1166" spans="4:10" ht="15.6" customHeight="1">
      <c r="D1166" s="38">
        <v>1164</v>
      </c>
      <c r="E1166" s="62">
        <v>3478</v>
      </c>
      <c r="F1166" s="63" t="s">
        <v>8646</v>
      </c>
      <c r="G1166" s="63" t="s">
        <v>6765</v>
      </c>
      <c r="H1166" s="63" t="s">
        <v>6837</v>
      </c>
      <c r="I1166" s="62">
        <v>2</v>
      </c>
      <c r="J1166" s="58">
        <v>44784</v>
      </c>
    </row>
    <row r="1167" spans="4:10" ht="15.6" customHeight="1">
      <c r="D1167" s="38">
        <v>1165</v>
      </c>
      <c r="E1167" s="62">
        <v>4275</v>
      </c>
      <c r="F1167" s="63" t="s">
        <v>8647</v>
      </c>
      <c r="G1167" s="63" t="s">
        <v>6765</v>
      </c>
      <c r="H1167" s="63" t="s">
        <v>6837</v>
      </c>
      <c r="I1167" s="62">
        <v>2</v>
      </c>
      <c r="J1167" s="58">
        <v>44784</v>
      </c>
    </row>
    <row r="1168" spans="4:10" ht="15.6" customHeight="1">
      <c r="D1168" s="38">
        <v>1166</v>
      </c>
      <c r="E1168" s="62" t="s">
        <v>8648</v>
      </c>
      <c r="F1168" s="63" t="s">
        <v>8649</v>
      </c>
      <c r="G1168" s="63" t="s">
        <v>6765</v>
      </c>
      <c r="H1168" s="63" t="s">
        <v>6835</v>
      </c>
      <c r="I1168" s="62">
        <v>2</v>
      </c>
      <c r="J1168" s="58">
        <v>44784</v>
      </c>
    </row>
    <row r="1169" spans="4:10" ht="15.6" customHeight="1">
      <c r="D1169" s="38">
        <v>1167</v>
      </c>
      <c r="E1169" s="62" t="s">
        <v>449</v>
      </c>
      <c r="F1169" s="63" t="s">
        <v>8650</v>
      </c>
      <c r="G1169" s="63" t="s">
        <v>6765</v>
      </c>
      <c r="H1169" s="63" t="s">
        <v>6835</v>
      </c>
      <c r="I1169" s="62">
        <v>2</v>
      </c>
      <c r="J1169" s="58">
        <v>44784</v>
      </c>
    </row>
    <row r="1170" spans="4:10" ht="15.6" customHeight="1">
      <c r="D1170" s="38">
        <v>1168</v>
      </c>
      <c r="E1170" s="62" t="s">
        <v>8651</v>
      </c>
      <c r="F1170" s="63" t="s">
        <v>8652</v>
      </c>
      <c r="G1170" s="63" t="s">
        <v>6765</v>
      </c>
      <c r="H1170" s="63" t="s">
        <v>6835</v>
      </c>
      <c r="I1170" s="62">
        <v>2</v>
      </c>
      <c r="J1170" s="58">
        <v>44784</v>
      </c>
    </row>
    <row r="1171" spans="4:10" ht="15.6" customHeight="1">
      <c r="D1171" s="38">
        <v>1169</v>
      </c>
      <c r="E1171" s="62">
        <v>2210</v>
      </c>
      <c r="F1171" s="63" t="s">
        <v>8653</v>
      </c>
      <c r="G1171" s="63" t="s">
        <v>6833</v>
      </c>
      <c r="H1171" s="63" t="s">
        <v>7086</v>
      </c>
      <c r="I1171" s="62">
        <v>2</v>
      </c>
      <c r="J1171" s="58">
        <v>44784</v>
      </c>
    </row>
    <row r="1172" spans="4:10" ht="15.6" customHeight="1">
      <c r="D1172" s="38">
        <v>1170</v>
      </c>
      <c r="E1172" s="62" t="s">
        <v>8654</v>
      </c>
      <c r="F1172" s="63" t="s">
        <v>8655</v>
      </c>
      <c r="G1172" s="63" t="s">
        <v>6833</v>
      </c>
      <c r="H1172" s="63" t="s">
        <v>7086</v>
      </c>
      <c r="I1172" s="62">
        <v>2</v>
      </c>
      <c r="J1172" s="58">
        <v>44784</v>
      </c>
    </row>
    <row r="1173" spans="4:10" ht="15.6" customHeight="1">
      <c r="D1173" s="38">
        <v>1171</v>
      </c>
      <c r="E1173" s="62">
        <v>2819</v>
      </c>
      <c r="F1173" s="63" t="s">
        <v>8656</v>
      </c>
      <c r="G1173" s="63" t="s">
        <v>6765</v>
      </c>
      <c r="H1173" s="63" t="s">
        <v>6837</v>
      </c>
      <c r="I1173" s="62">
        <v>2</v>
      </c>
      <c r="J1173" s="58">
        <v>44785</v>
      </c>
    </row>
    <row r="1174" spans="4:10" ht="15.6" customHeight="1">
      <c r="D1174" s="38">
        <v>1172</v>
      </c>
      <c r="E1174" s="62">
        <v>4587</v>
      </c>
      <c r="F1174" s="63" t="s">
        <v>8657</v>
      </c>
      <c r="G1174" s="63" t="s">
        <v>6765</v>
      </c>
      <c r="H1174" s="63" t="s">
        <v>6837</v>
      </c>
      <c r="I1174" s="62">
        <v>2</v>
      </c>
      <c r="J1174" s="58">
        <v>44785</v>
      </c>
    </row>
    <row r="1175" spans="4:10" ht="15.6" customHeight="1">
      <c r="D1175" s="38">
        <v>1173</v>
      </c>
      <c r="E1175" s="62">
        <v>3276</v>
      </c>
      <c r="F1175" s="63" t="s">
        <v>8658</v>
      </c>
      <c r="G1175" s="63" t="s">
        <v>6765</v>
      </c>
      <c r="H1175" s="63" t="s">
        <v>6837</v>
      </c>
      <c r="I1175" s="62">
        <v>2</v>
      </c>
      <c r="J1175" s="58">
        <v>44785</v>
      </c>
    </row>
    <row r="1176" spans="4:10" ht="15.6" customHeight="1">
      <c r="D1176" s="38">
        <v>1174</v>
      </c>
      <c r="E1176" s="62">
        <v>3119</v>
      </c>
      <c r="F1176" s="63" t="s">
        <v>8659</v>
      </c>
      <c r="G1176" s="63" t="s">
        <v>6765</v>
      </c>
      <c r="H1176" s="63" t="s">
        <v>6837</v>
      </c>
      <c r="I1176" s="62">
        <v>2</v>
      </c>
      <c r="J1176" s="58">
        <v>44785</v>
      </c>
    </row>
    <row r="1177" spans="4:10" ht="15.6" customHeight="1">
      <c r="D1177" s="38">
        <v>1175</v>
      </c>
      <c r="E1177" s="62">
        <v>4879</v>
      </c>
      <c r="F1177" s="63" t="s">
        <v>8660</v>
      </c>
      <c r="G1177" s="63" t="s">
        <v>6782</v>
      </c>
      <c r="H1177" s="63" t="s">
        <v>8661</v>
      </c>
      <c r="I1177" s="62">
        <v>2</v>
      </c>
      <c r="J1177" s="58">
        <v>44785</v>
      </c>
    </row>
    <row r="1178" spans="4:10" ht="15.6" customHeight="1">
      <c r="D1178" s="38">
        <v>1176</v>
      </c>
      <c r="E1178" s="62">
        <v>4582</v>
      </c>
      <c r="F1178" s="63" t="s">
        <v>8662</v>
      </c>
      <c r="G1178" s="63" t="s">
        <v>6850</v>
      </c>
      <c r="H1178" s="63" t="s">
        <v>8663</v>
      </c>
      <c r="I1178" s="62">
        <v>2</v>
      </c>
      <c r="J1178" s="58">
        <v>44785</v>
      </c>
    </row>
    <row r="1179" spans="4:10" ht="15.6" customHeight="1">
      <c r="D1179" s="38">
        <v>1177</v>
      </c>
      <c r="E1179" s="62">
        <v>4012</v>
      </c>
      <c r="F1179" s="63" t="s">
        <v>8664</v>
      </c>
      <c r="G1179" s="63" t="s">
        <v>6850</v>
      </c>
      <c r="H1179" s="63" t="s">
        <v>8663</v>
      </c>
      <c r="I1179" s="62">
        <v>2</v>
      </c>
      <c r="J1179" s="58">
        <v>44785</v>
      </c>
    </row>
    <row r="1180" spans="4:10" ht="15.6" customHeight="1">
      <c r="D1180" s="38">
        <v>1178</v>
      </c>
      <c r="E1180" s="62">
        <v>2834</v>
      </c>
      <c r="F1180" s="63" t="s">
        <v>8665</v>
      </c>
      <c r="G1180" s="63" t="s">
        <v>6765</v>
      </c>
      <c r="H1180" s="63" t="s">
        <v>6837</v>
      </c>
      <c r="I1180" s="62">
        <v>2</v>
      </c>
      <c r="J1180" s="58">
        <v>44788</v>
      </c>
    </row>
    <row r="1181" spans="4:10" ht="15.6" customHeight="1">
      <c r="D1181" s="38">
        <v>1179</v>
      </c>
      <c r="E1181" s="62">
        <v>2153</v>
      </c>
      <c r="F1181" s="63" t="s">
        <v>8666</v>
      </c>
      <c r="G1181" s="63" t="s">
        <v>6765</v>
      </c>
      <c r="H1181" s="63" t="s">
        <v>6837</v>
      </c>
      <c r="I1181" s="62">
        <v>2</v>
      </c>
      <c r="J1181" s="58">
        <v>44788</v>
      </c>
    </row>
    <row r="1182" spans="4:10" ht="15.6" customHeight="1">
      <c r="D1182" s="38">
        <v>1180</v>
      </c>
      <c r="E1182" s="62">
        <v>2741</v>
      </c>
      <c r="F1182" s="63" t="s">
        <v>8667</v>
      </c>
      <c r="G1182" s="63" t="s">
        <v>6765</v>
      </c>
      <c r="H1182" s="63" t="s">
        <v>6837</v>
      </c>
      <c r="I1182" s="62">
        <v>2</v>
      </c>
      <c r="J1182" s="58">
        <v>44788</v>
      </c>
    </row>
    <row r="1183" spans="4:10" ht="15.6" customHeight="1">
      <c r="D1183" s="38">
        <v>1181</v>
      </c>
      <c r="E1183" s="62" t="s">
        <v>8668</v>
      </c>
      <c r="F1183" s="63" t="s">
        <v>8669</v>
      </c>
      <c r="G1183" s="63" t="s">
        <v>6765</v>
      </c>
      <c r="H1183" s="63" t="s">
        <v>6835</v>
      </c>
      <c r="I1183" s="62">
        <v>2</v>
      </c>
      <c r="J1183" s="58">
        <v>44788</v>
      </c>
    </row>
    <row r="1184" spans="4:10" ht="15.6" customHeight="1">
      <c r="D1184" s="38">
        <v>1182</v>
      </c>
      <c r="E1184" s="62">
        <v>2170</v>
      </c>
      <c r="F1184" s="63" t="s">
        <v>8670</v>
      </c>
      <c r="G1184" s="63" t="s">
        <v>6765</v>
      </c>
      <c r="H1184" s="63" t="s">
        <v>6835</v>
      </c>
      <c r="I1184" s="62">
        <v>2</v>
      </c>
      <c r="J1184" s="58">
        <v>44788</v>
      </c>
    </row>
    <row r="1185" spans="4:10" ht="15.6" customHeight="1">
      <c r="D1185" s="38">
        <v>1183</v>
      </c>
      <c r="E1185" s="62">
        <v>4185</v>
      </c>
      <c r="F1185" s="63" t="s">
        <v>8671</v>
      </c>
      <c r="G1185" s="63" t="s">
        <v>6833</v>
      </c>
      <c r="H1185" s="63" t="s">
        <v>6843</v>
      </c>
      <c r="I1185" s="62">
        <v>2</v>
      </c>
      <c r="J1185" s="58">
        <v>44788</v>
      </c>
    </row>
    <row r="1186" spans="4:10" ht="15.6" customHeight="1">
      <c r="D1186" s="38">
        <v>1184</v>
      </c>
      <c r="E1186" s="62">
        <v>4805</v>
      </c>
      <c r="F1186" s="63" t="s">
        <v>8672</v>
      </c>
      <c r="G1186" s="63" t="s">
        <v>6833</v>
      </c>
      <c r="H1186" s="63" t="s">
        <v>6843</v>
      </c>
      <c r="I1186" s="62">
        <v>2</v>
      </c>
      <c r="J1186" s="58">
        <v>44788</v>
      </c>
    </row>
    <row r="1187" spans="4:10" ht="15.6" customHeight="1">
      <c r="D1187" s="38">
        <v>1185</v>
      </c>
      <c r="E1187" s="62">
        <v>2067</v>
      </c>
      <c r="F1187" s="63" t="s">
        <v>8673</v>
      </c>
      <c r="G1187" s="63" t="s">
        <v>6841</v>
      </c>
      <c r="H1187" s="63" t="s">
        <v>8674</v>
      </c>
      <c r="I1187" s="62">
        <v>2</v>
      </c>
      <c r="J1187" s="58">
        <v>44788</v>
      </c>
    </row>
    <row r="1188" spans="4:10" ht="15.6" customHeight="1">
      <c r="D1188" s="38">
        <v>1186</v>
      </c>
      <c r="E1188" s="62">
        <v>2144</v>
      </c>
      <c r="F1188" s="63" t="s">
        <v>8675</v>
      </c>
      <c r="G1188" s="63" t="s">
        <v>6765</v>
      </c>
      <c r="H1188" s="63" t="s">
        <v>6837</v>
      </c>
      <c r="I1188" s="62">
        <v>2</v>
      </c>
      <c r="J1188" s="58">
        <v>44789</v>
      </c>
    </row>
    <row r="1189" spans="4:10" ht="15.6" customHeight="1">
      <c r="D1189" s="38">
        <v>1187</v>
      </c>
      <c r="E1189" s="62">
        <v>4374</v>
      </c>
      <c r="F1189" s="63" t="s">
        <v>8676</v>
      </c>
      <c r="G1189" s="63" t="s">
        <v>6765</v>
      </c>
      <c r="H1189" s="63" t="s">
        <v>6837</v>
      </c>
      <c r="I1189" s="62">
        <v>2</v>
      </c>
      <c r="J1189" s="58">
        <v>44789</v>
      </c>
    </row>
    <row r="1190" spans="4:10" ht="15.6" customHeight="1">
      <c r="D1190" s="38">
        <v>1188</v>
      </c>
      <c r="E1190" s="62">
        <v>2336</v>
      </c>
      <c r="F1190" s="63" t="s">
        <v>8677</v>
      </c>
      <c r="G1190" s="63" t="s">
        <v>6765</v>
      </c>
      <c r="H1190" s="63" t="s">
        <v>6837</v>
      </c>
      <c r="I1190" s="62">
        <v>2</v>
      </c>
      <c r="J1190" s="58">
        <v>44789</v>
      </c>
    </row>
    <row r="1191" spans="4:10" ht="15.6" customHeight="1">
      <c r="D1191" s="38">
        <v>1189</v>
      </c>
      <c r="E1191" s="62">
        <v>4462</v>
      </c>
      <c r="F1191" s="63" t="s">
        <v>8678</v>
      </c>
      <c r="G1191" s="63" t="s">
        <v>6765</v>
      </c>
      <c r="H1191" s="63" t="s">
        <v>6837</v>
      </c>
      <c r="I1191" s="62">
        <v>2</v>
      </c>
      <c r="J1191" s="58">
        <v>44789</v>
      </c>
    </row>
    <row r="1192" spans="4:10" ht="15.6" customHeight="1">
      <c r="D1192" s="38">
        <v>1190</v>
      </c>
      <c r="E1192" s="62" t="s">
        <v>8679</v>
      </c>
      <c r="F1192" s="63" t="s">
        <v>8680</v>
      </c>
      <c r="G1192" s="63" t="s">
        <v>6765</v>
      </c>
      <c r="H1192" s="63" t="s">
        <v>6835</v>
      </c>
      <c r="I1192" s="62">
        <v>2</v>
      </c>
      <c r="J1192" s="58">
        <v>44789</v>
      </c>
    </row>
    <row r="1193" spans="4:10" ht="15.6" customHeight="1">
      <c r="D1193" s="38">
        <v>1191</v>
      </c>
      <c r="E1193" s="62">
        <v>2544</v>
      </c>
      <c r="F1193" s="63" t="s">
        <v>8681</v>
      </c>
      <c r="G1193" s="63" t="s">
        <v>6765</v>
      </c>
      <c r="H1193" s="63" t="s">
        <v>6835</v>
      </c>
      <c r="I1193" s="62">
        <v>2</v>
      </c>
      <c r="J1193" s="58">
        <v>44789</v>
      </c>
    </row>
    <row r="1194" spans="4:10" ht="15.6" customHeight="1">
      <c r="D1194" s="38">
        <v>1192</v>
      </c>
      <c r="E1194" s="62">
        <v>2698</v>
      </c>
      <c r="F1194" s="63" t="s">
        <v>8682</v>
      </c>
      <c r="G1194" s="63" t="s">
        <v>6765</v>
      </c>
      <c r="H1194" s="63" t="s">
        <v>6835</v>
      </c>
      <c r="I1194" s="62">
        <v>2</v>
      </c>
      <c r="J1194" s="58">
        <v>44789</v>
      </c>
    </row>
    <row r="1195" spans="4:10" ht="15.6" customHeight="1">
      <c r="D1195" s="38">
        <v>1193</v>
      </c>
      <c r="E1195" s="62">
        <v>4775</v>
      </c>
      <c r="F1195" s="63" t="s">
        <v>8683</v>
      </c>
      <c r="G1195" s="63" t="s">
        <v>6833</v>
      </c>
      <c r="H1195" s="63" t="s">
        <v>6843</v>
      </c>
      <c r="I1195" s="62">
        <v>2</v>
      </c>
      <c r="J1195" s="58">
        <v>44789</v>
      </c>
    </row>
    <row r="1196" spans="4:10" ht="15.6" customHeight="1">
      <c r="D1196" s="38">
        <v>1194</v>
      </c>
      <c r="E1196" s="62">
        <v>3990</v>
      </c>
      <c r="F1196" s="63" t="s">
        <v>8684</v>
      </c>
      <c r="G1196" s="63" t="s">
        <v>6833</v>
      </c>
      <c r="H1196" s="63" t="s">
        <v>6843</v>
      </c>
      <c r="I1196" s="62">
        <v>2</v>
      </c>
      <c r="J1196" s="58">
        <v>44789</v>
      </c>
    </row>
    <row r="1197" spans="4:10" ht="15.6" customHeight="1">
      <c r="D1197" s="38">
        <v>1195</v>
      </c>
      <c r="E1197" s="62">
        <v>4212</v>
      </c>
      <c r="F1197" s="63" t="s">
        <v>8685</v>
      </c>
      <c r="G1197" s="63" t="s">
        <v>6792</v>
      </c>
      <c r="H1197" s="63" t="s">
        <v>7881</v>
      </c>
      <c r="I1197" s="62">
        <v>2</v>
      </c>
      <c r="J1197" s="58">
        <v>44789</v>
      </c>
    </row>
    <row r="1198" spans="4:10" ht="15.6" customHeight="1">
      <c r="D1198" s="38">
        <v>1196</v>
      </c>
      <c r="E1198" s="62">
        <v>4479</v>
      </c>
      <c r="F1198" s="63" t="s">
        <v>8686</v>
      </c>
      <c r="G1198" s="63" t="s">
        <v>6765</v>
      </c>
      <c r="H1198" s="63" t="s">
        <v>6837</v>
      </c>
      <c r="I1198" s="62">
        <v>2</v>
      </c>
      <c r="J1198" s="58">
        <v>44790</v>
      </c>
    </row>
    <row r="1199" spans="4:10" ht="15.6" customHeight="1">
      <c r="D1199" s="38">
        <v>1197</v>
      </c>
      <c r="E1199" s="62">
        <v>3099</v>
      </c>
      <c r="F1199" s="63" t="s">
        <v>8687</v>
      </c>
      <c r="G1199" s="63" t="s">
        <v>6765</v>
      </c>
      <c r="H1199" s="63" t="s">
        <v>6837</v>
      </c>
      <c r="I1199" s="62">
        <v>2</v>
      </c>
      <c r="J1199" s="58">
        <v>44790</v>
      </c>
    </row>
    <row r="1200" spans="4:10" ht="15.6" customHeight="1">
      <c r="D1200" s="38">
        <v>1198</v>
      </c>
      <c r="E1200" s="62">
        <v>4602</v>
      </c>
      <c r="F1200" s="63" t="s">
        <v>8688</v>
      </c>
      <c r="G1200" s="63" t="s">
        <v>6765</v>
      </c>
      <c r="H1200" s="63" t="s">
        <v>6837</v>
      </c>
      <c r="I1200" s="62">
        <v>2</v>
      </c>
      <c r="J1200" s="58">
        <v>44790</v>
      </c>
    </row>
    <row r="1201" spans="4:10" ht="15.6" customHeight="1">
      <c r="D1201" s="38">
        <v>1199</v>
      </c>
      <c r="E1201" s="62">
        <v>3456</v>
      </c>
      <c r="F1201" s="63" t="s">
        <v>8689</v>
      </c>
      <c r="G1201" s="63" t="s">
        <v>6765</v>
      </c>
      <c r="H1201" s="63" t="s">
        <v>6837</v>
      </c>
      <c r="I1201" s="62">
        <v>2</v>
      </c>
      <c r="J1201" s="58">
        <v>44790</v>
      </c>
    </row>
    <row r="1202" spans="4:10" ht="15.6" customHeight="1">
      <c r="D1202" s="38">
        <v>1200</v>
      </c>
      <c r="E1202" s="62">
        <v>2909</v>
      </c>
      <c r="F1202" s="63" t="s">
        <v>8690</v>
      </c>
      <c r="G1202" s="63" t="s">
        <v>6765</v>
      </c>
      <c r="H1202" s="63" t="s">
        <v>6835</v>
      </c>
      <c r="I1202" s="62">
        <v>2</v>
      </c>
      <c r="J1202" s="58">
        <v>44790</v>
      </c>
    </row>
    <row r="1203" spans="4:10" ht="15.6" customHeight="1">
      <c r="D1203" s="38">
        <v>1201</v>
      </c>
      <c r="E1203" s="62">
        <v>3077</v>
      </c>
      <c r="F1203" s="63" t="s">
        <v>8691</v>
      </c>
      <c r="G1203" s="63" t="s">
        <v>6765</v>
      </c>
      <c r="H1203" s="63" t="s">
        <v>6835</v>
      </c>
      <c r="I1203" s="62">
        <v>2</v>
      </c>
      <c r="J1203" s="58">
        <v>44790</v>
      </c>
    </row>
    <row r="1204" spans="4:10" ht="15.6" customHeight="1">
      <c r="D1204" s="38">
        <v>1202</v>
      </c>
      <c r="E1204" s="62">
        <v>3131</v>
      </c>
      <c r="F1204" s="63" t="s">
        <v>8692</v>
      </c>
      <c r="G1204" s="63" t="s">
        <v>6765</v>
      </c>
      <c r="H1204" s="63" t="s">
        <v>6835</v>
      </c>
      <c r="I1204" s="62">
        <v>2</v>
      </c>
      <c r="J1204" s="58">
        <v>44790</v>
      </c>
    </row>
    <row r="1205" spans="4:10" ht="15.6" customHeight="1">
      <c r="D1205" s="38">
        <v>1203</v>
      </c>
      <c r="E1205" s="62">
        <v>2572</v>
      </c>
      <c r="F1205" s="63" t="s">
        <v>8693</v>
      </c>
      <c r="G1205" s="63" t="s">
        <v>6841</v>
      </c>
      <c r="H1205" s="63" t="s">
        <v>8694</v>
      </c>
      <c r="I1205" s="62">
        <v>2</v>
      </c>
      <c r="J1205" s="58">
        <v>44790</v>
      </c>
    </row>
    <row r="1206" spans="4:10" ht="15.6" customHeight="1">
      <c r="D1206" s="38">
        <v>1204</v>
      </c>
      <c r="E1206" s="62">
        <v>4490</v>
      </c>
      <c r="F1206" s="63" t="s">
        <v>8695</v>
      </c>
      <c r="G1206" s="63" t="s">
        <v>6841</v>
      </c>
      <c r="H1206" s="63" t="s">
        <v>8694</v>
      </c>
      <c r="I1206" s="62">
        <v>2</v>
      </c>
      <c r="J1206" s="58">
        <v>44790</v>
      </c>
    </row>
    <row r="1207" spans="4:10" ht="15.6" customHeight="1">
      <c r="D1207" s="38">
        <v>1205</v>
      </c>
      <c r="E1207" s="62">
        <v>4583</v>
      </c>
      <c r="F1207" s="63" t="s">
        <v>8696</v>
      </c>
      <c r="G1207" s="63" t="s">
        <v>6841</v>
      </c>
      <c r="H1207" s="63" t="s">
        <v>8694</v>
      </c>
      <c r="I1207" s="62">
        <v>2</v>
      </c>
      <c r="J1207" s="58">
        <v>44790</v>
      </c>
    </row>
    <row r="1208" spans="4:10" ht="15.6" customHeight="1">
      <c r="D1208" s="38">
        <v>1206</v>
      </c>
      <c r="E1208" s="62">
        <v>2540</v>
      </c>
      <c r="F1208" s="63" t="s">
        <v>8697</v>
      </c>
      <c r="G1208" s="63" t="s">
        <v>6765</v>
      </c>
      <c r="H1208" s="63" t="s">
        <v>8</v>
      </c>
      <c r="I1208" s="62">
        <v>2</v>
      </c>
      <c r="J1208" s="58">
        <v>44791</v>
      </c>
    </row>
    <row r="1209" spans="4:10" ht="15.6" customHeight="1">
      <c r="D1209" s="38">
        <v>1207</v>
      </c>
      <c r="E1209" s="62">
        <v>4673</v>
      </c>
      <c r="F1209" s="63" t="s">
        <v>5160</v>
      </c>
      <c r="G1209" s="63" t="s">
        <v>6765</v>
      </c>
      <c r="H1209" s="63" t="s">
        <v>8</v>
      </c>
      <c r="I1209" s="62">
        <v>2</v>
      </c>
      <c r="J1209" s="58">
        <v>44791</v>
      </c>
    </row>
    <row r="1210" spans="4:10" ht="15.6" customHeight="1">
      <c r="D1210" s="38">
        <v>1208</v>
      </c>
      <c r="E1210" s="62">
        <v>3045</v>
      </c>
      <c r="F1210" s="63" t="s">
        <v>5130</v>
      </c>
      <c r="G1210" s="63" t="s">
        <v>6765</v>
      </c>
      <c r="H1210" s="63" t="s">
        <v>8</v>
      </c>
      <c r="I1210" s="62">
        <v>2</v>
      </c>
      <c r="J1210" s="58">
        <v>44791</v>
      </c>
    </row>
    <row r="1211" spans="4:10" ht="15.6" customHeight="1">
      <c r="D1211" s="38">
        <v>1209</v>
      </c>
      <c r="E1211" s="62">
        <v>4572</v>
      </c>
      <c r="F1211" s="63" t="s">
        <v>3059</v>
      </c>
      <c r="G1211" s="63" t="s">
        <v>6765</v>
      </c>
      <c r="H1211" s="63" t="s">
        <v>8</v>
      </c>
      <c r="I1211" s="62">
        <v>2</v>
      </c>
      <c r="J1211" s="58">
        <v>44791</v>
      </c>
    </row>
    <row r="1212" spans="4:10" ht="15.6" customHeight="1">
      <c r="D1212" s="38">
        <v>1210</v>
      </c>
      <c r="E1212" s="62">
        <v>3296</v>
      </c>
      <c r="F1212" s="63" t="s">
        <v>8698</v>
      </c>
      <c r="G1212" s="63" t="s">
        <v>6765</v>
      </c>
      <c r="H1212" s="63" t="s">
        <v>6835</v>
      </c>
      <c r="I1212" s="62">
        <v>2</v>
      </c>
      <c r="J1212" s="58">
        <v>44791</v>
      </c>
    </row>
    <row r="1213" spans="4:10" ht="15.6" customHeight="1">
      <c r="D1213" s="38">
        <v>1211</v>
      </c>
      <c r="E1213" s="62">
        <v>3155</v>
      </c>
      <c r="F1213" s="63" t="s">
        <v>8699</v>
      </c>
      <c r="G1213" s="63" t="s">
        <v>6765</v>
      </c>
      <c r="H1213" s="63" t="s">
        <v>6835</v>
      </c>
      <c r="I1213" s="62">
        <v>2</v>
      </c>
      <c r="J1213" s="58">
        <v>44791</v>
      </c>
    </row>
    <row r="1214" spans="4:10" ht="15.6" customHeight="1">
      <c r="D1214" s="38">
        <v>1212</v>
      </c>
      <c r="E1214" s="62">
        <v>4595</v>
      </c>
      <c r="F1214" s="63" t="s">
        <v>8700</v>
      </c>
      <c r="G1214" s="63" t="s">
        <v>6841</v>
      </c>
      <c r="H1214" s="63" t="s">
        <v>8701</v>
      </c>
      <c r="I1214" s="62">
        <v>2</v>
      </c>
      <c r="J1214" s="58">
        <v>44791</v>
      </c>
    </row>
    <row r="1215" spans="4:10" ht="15.6" customHeight="1">
      <c r="D1215" s="38">
        <v>1213</v>
      </c>
      <c r="E1215" s="62">
        <v>4576</v>
      </c>
      <c r="F1215" s="63" t="s">
        <v>8702</v>
      </c>
      <c r="G1215" s="63" t="s">
        <v>6841</v>
      </c>
      <c r="H1215" s="63" t="s">
        <v>7043</v>
      </c>
      <c r="I1215" s="62">
        <v>2</v>
      </c>
      <c r="J1215" s="58">
        <v>44791</v>
      </c>
    </row>
    <row r="1216" spans="4:10" ht="15.6" customHeight="1">
      <c r="D1216" s="38">
        <v>1214</v>
      </c>
      <c r="E1216" s="62">
        <v>2315</v>
      </c>
      <c r="F1216" s="63" t="s">
        <v>8703</v>
      </c>
      <c r="G1216" s="63" t="s">
        <v>6765</v>
      </c>
      <c r="H1216" s="63" t="s">
        <v>8</v>
      </c>
      <c r="I1216" s="62">
        <v>2</v>
      </c>
      <c r="J1216" s="58">
        <v>44792</v>
      </c>
    </row>
    <row r="1217" spans="4:10" ht="15.6" customHeight="1">
      <c r="D1217" s="38">
        <v>1215</v>
      </c>
      <c r="E1217" s="62">
        <v>2566</v>
      </c>
      <c r="F1217" s="63" t="s">
        <v>5116</v>
      </c>
      <c r="G1217" s="63" t="s">
        <v>6765</v>
      </c>
      <c r="H1217" s="63" t="s">
        <v>8</v>
      </c>
      <c r="I1217" s="62">
        <v>2</v>
      </c>
      <c r="J1217" s="58">
        <v>44792</v>
      </c>
    </row>
    <row r="1218" spans="4:10" ht="15.6" customHeight="1">
      <c r="D1218" s="38">
        <v>1216</v>
      </c>
      <c r="E1218" s="62">
        <v>2201</v>
      </c>
      <c r="F1218" s="63" t="s">
        <v>2706</v>
      </c>
      <c r="G1218" s="63" t="s">
        <v>6765</v>
      </c>
      <c r="H1218" s="63" t="s">
        <v>8</v>
      </c>
      <c r="I1218" s="62">
        <v>2</v>
      </c>
      <c r="J1218" s="58">
        <v>44792</v>
      </c>
    </row>
    <row r="1219" spans="4:10" ht="15.6" customHeight="1">
      <c r="D1219" s="38">
        <v>1217</v>
      </c>
      <c r="E1219" s="62">
        <v>2501</v>
      </c>
      <c r="F1219" s="63" t="s">
        <v>8704</v>
      </c>
      <c r="G1219" s="63" t="s">
        <v>6765</v>
      </c>
      <c r="H1219" s="63" t="s">
        <v>8</v>
      </c>
      <c r="I1219" s="62">
        <v>2</v>
      </c>
      <c r="J1219" s="58">
        <v>44792</v>
      </c>
    </row>
    <row r="1220" spans="4:10" ht="15.6" customHeight="1">
      <c r="D1220" s="38">
        <v>1218</v>
      </c>
      <c r="E1220" s="62">
        <v>3943</v>
      </c>
      <c r="F1220" s="63" t="s">
        <v>8705</v>
      </c>
      <c r="G1220" s="63" t="s">
        <v>6765</v>
      </c>
      <c r="H1220" s="63" t="s">
        <v>7868</v>
      </c>
      <c r="I1220" s="62">
        <v>2</v>
      </c>
      <c r="J1220" s="58">
        <v>44792</v>
      </c>
    </row>
    <row r="1221" spans="4:10" ht="15.6" customHeight="1">
      <c r="D1221" s="38">
        <v>1219</v>
      </c>
      <c r="E1221" s="62">
        <v>4904</v>
      </c>
      <c r="F1221" s="63" t="s">
        <v>8706</v>
      </c>
      <c r="G1221" s="63" t="s">
        <v>6765</v>
      </c>
      <c r="H1221" s="63" t="s">
        <v>7868</v>
      </c>
      <c r="I1221" s="62">
        <v>2</v>
      </c>
      <c r="J1221" s="58">
        <v>44792</v>
      </c>
    </row>
    <row r="1222" spans="4:10" ht="15.6" customHeight="1">
      <c r="D1222" s="38">
        <v>1220</v>
      </c>
      <c r="E1222" s="62">
        <v>3881</v>
      </c>
      <c r="F1222" s="63" t="s">
        <v>5140</v>
      </c>
      <c r="G1222" s="63" t="s">
        <v>6765</v>
      </c>
      <c r="H1222" s="63" t="s">
        <v>8</v>
      </c>
      <c r="I1222" s="62">
        <v>2</v>
      </c>
      <c r="J1222" s="58">
        <v>44795</v>
      </c>
    </row>
    <row r="1223" spans="4:10" ht="15.6" customHeight="1">
      <c r="D1223" s="38">
        <v>1221</v>
      </c>
      <c r="E1223" s="62">
        <v>4852</v>
      </c>
      <c r="F1223" s="63" t="s">
        <v>2324</v>
      </c>
      <c r="G1223" s="63" t="s">
        <v>6765</v>
      </c>
      <c r="H1223" s="63" t="s">
        <v>8</v>
      </c>
      <c r="I1223" s="62">
        <v>2</v>
      </c>
      <c r="J1223" s="58">
        <v>44795</v>
      </c>
    </row>
    <row r="1224" spans="4:10" ht="15.6" customHeight="1">
      <c r="D1224" s="38">
        <v>1222</v>
      </c>
      <c r="E1224" s="62" t="s">
        <v>86</v>
      </c>
      <c r="F1224" s="63" t="s">
        <v>8707</v>
      </c>
      <c r="G1224" s="63" t="s">
        <v>6765</v>
      </c>
      <c r="H1224" s="63" t="s">
        <v>8</v>
      </c>
      <c r="I1224" s="62">
        <v>2</v>
      </c>
      <c r="J1224" s="58">
        <v>44795</v>
      </c>
    </row>
    <row r="1225" spans="4:10" ht="15.6" customHeight="1">
      <c r="D1225" s="38">
        <v>1223</v>
      </c>
      <c r="E1225" s="62">
        <v>4272</v>
      </c>
      <c r="F1225" s="63" t="s">
        <v>8708</v>
      </c>
      <c r="G1225" s="63" t="s">
        <v>6765</v>
      </c>
      <c r="H1225" s="63" t="s">
        <v>8</v>
      </c>
      <c r="I1225" s="62">
        <v>2</v>
      </c>
      <c r="J1225" s="58">
        <v>44795</v>
      </c>
    </row>
    <row r="1226" spans="4:10" ht="15.6" customHeight="1">
      <c r="D1226" s="38">
        <v>1224</v>
      </c>
      <c r="E1226" s="62">
        <v>3486</v>
      </c>
      <c r="F1226" s="63" t="s">
        <v>8709</v>
      </c>
      <c r="G1226" s="63" t="s">
        <v>6765</v>
      </c>
      <c r="H1226" s="63" t="s">
        <v>6835</v>
      </c>
      <c r="I1226" s="62">
        <v>2</v>
      </c>
      <c r="J1226" s="58">
        <v>44795</v>
      </c>
    </row>
    <row r="1227" spans="4:10" ht="15.6" customHeight="1">
      <c r="D1227" s="38">
        <v>1225</v>
      </c>
      <c r="E1227" s="62">
        <v>3455</v>
      </c>
      <c r="F1227" s="63" t="s">
        <v>8710</v>
      </c>
      <c r="G1227" s="63" t="s">
        <v>6765</v>
      </c>
      <c r="H1227" s="63" t="s">
        <v>6835</v>
      </c>
      <c r="I1227" s="62">
        <v>2</v>
      </c>
      <c r="J1227" s="58">
        <v>44795</v>
      </c>
    </row>
    <row r="1228" spans="4:10" ht="15.6" customHeight="1">
      <c r="D1228" s="38">
        <v>1226</v>
      </c>
      <c r="E1228" s="62">
        <v>2917</v>
      </c>
      <c r="F1228" s="63" t="s">
        <v>8711</v>
      </c>
      <c r="G1228" s="63" t="s">
        <v>6841</v>
      </c>
      <c r="H1228" s="63" t="s">
        <v>8712</v>
      </c>
      <c r="I1228" s="62">
        <v>2</v>
      </c>
      <c r="J1228" s="58">
        <v>44795</v>
      </c>
    </row>
    <row r="1229" spans="4:10" ht="15.6" customHeight="1">
      <c r="D1229" s="38">
        <v>1227</v>
      </c>
      <c r="E1229" s="62">
        <v>2725</v>
      </c>
      <c r="F1229" s="63" t="s">
        <v>8713</v>
      </c>
      <c r="G1229" s="63" t="s">
        <v>6841</v>
      </c>
      <c r="H1229" s="63" t="s">
        <v>8712</v>
      </c>
      <c r="I1229" s="62">
        <v>2</v>
      </c>
      <c r="J1229" s="58">
        <v>44795</v>
      </c>
    </row>
    <row r="1230" spans="4:10" ht="15.6" customHeight="1">
      <c r="D1230" s="38">
        <v>1228</v>
      </c>
      <c r="E1230" s="62">
        <v>4833</v>
      </c>
      <c r="F1230" s="63" t="s">
        <v>8714</v>
      </c>
      <c r="G1230" s="63" t="s">
        <v>6841</v>
      </c>
      <c r="H1230" s="63" t="s">
        <v>8715</v>
      </c>
      <c r="I1230" s="62">
        <v>2</v>
      </c>
      <c r="J1230" s="58">
        <v>44795</v>
      </c>
    </row>
    <row r="1231" spans="4:10" ht="15.6" customHeight="1">
      <c r="D1231" s="38">
        <v>1229</v>
      </c>
      <c r="E1231" s="62">
        <v>2255</v>
      </c>
      <c r="F1231" s="63" t="s">
        <v>8716</v>
      </c>
      <c r="G1231" s="63" t="s">
        <v>6765</v>
      </c>
      <c r="H1231" s="63" t="s">
        <v>8</v>
      </c>
      <c r="I1231" s="62">
        <v>2</v>
      </c>
      <c r="J1231" s="58">
        <v>44796</v>
      </c>
    </row>
    <row r="1232" spans="4:10" ht="15.6" customHeight="1">
      <c r="D1232" s="38">
        <v>1230</v>
      </c>
      <c r="E1232" s="62">
        <v>4601</v>
      </c>
      <c r="F1232" s="63" t="s">
        <v>5156</v>
      </c>
      <c r="G1232" s="63" t="s">
        <v>6765</v>
      </c>
      <c r="H1232" s="63" t="s">
        <v>8</v>
      </c>
      <c r="I1232" s="62">
        <v>2</v>
      </c>
      <c r="J1232" s="58">
        <v>44796</v>
      </c>
    </row>
    <row r="1233" spans="4:10" ht="15.6" customHeight="1">
      <c r="D1233" s="38">
        <v>1231</v>
      </c>
      <c r="E1233" s="62">
        <v>2622</v>
      </c>
      <c r="F1233" s="63" t="s">
        <v>8717</v>
      </c>
      <c r="G1233" s="63" t="s">
        <v>6765</v>
      </c>
      <c r="H1233" s="63" t="s">
        <v>8</v>
      </c>
      <c r="I1233" s="62">
        <v>2</v>
      </c>
      <c r="J1233" s="58">
        <v>44796</v>
      </c>
    </row>
    <row r="1234" spans="4:10" ht="15.6" customHeight="1">
      <c r="D1234" s="38">
        <v>1232</v>
      </c>
      <c r="E1234" s="62">
        <v>2482</v>
      </c>
      <c r="F1234" s="63" t="s">
        <v>8718</v>
      </c>
      <c r="G1234" s="63" t="s">
        <v>6765</v>
      </c>
      <c r="H1234" s="63" t="s">
        <v>8</v>
      </c>
      <c r="I1234" s="62">
        <v>2</v>
      </c>
      <c r="J1234" s="58">
        <v>44796</v>
      </c>
    </row>
    <row r="1235" spans="4:10" ht="15.6" customHeight="1">
      <c r="D1235" s="38">
        <v>1233</v>
      </c>
      <c r="E1235" s="62">
        <v>3578</v>
      </c>
      <c r="F1235" s="63" t="s">
        <v>8719</v>
      </c>
      <c r="G1235" s="63" t="s">
        <v>6765</v>
      </c>
      <c r="H1235" s="63" t="s">
        <v>6835</v>
      </c>
      <c r="I1235" s="62">
        <v>2</v>
      </c>
      <c r="J1235" s="58">
        <v>44796</v>
      </c>
    </row>
    <row r="1236" spans="4:10" ht="15.6" customHeight="1">
      <c r="D1236" s="38">
        <v>1234</v>
      </c>
      <c r="E1236" s="62">
        <v>4201</v>
      </c>
      <c r="F1236" s="63" t="s">
        <v>8720</v>
      </c>
      <c r="G1236" s="63" t="s">
        <v>6765</v>
      </c>
      <c r="H1236" s="63" t="s">
        <v>6835</v>
      </c>
      <c r="I1236" s="62">
        <v>2</v>
      </c>
      <c r="J1236" s="58">
        <v>44796</v>
      </c>
    </row>
    <row r="1237" spans="4:10" ht="15.6" customHeight="1">
      <c r="D1237" s="38">
        <v>1235</v>
      </c>
      <c r="E1237" s="62">
        <v>4238</v>
      </c>
      <c r="F1237" s="63" t="s">
        <v>8721</v>
      </c>
      <c r="G1237" s="63" t="s">
        <v>6841</v>
      </c>
      <c r="H1237" s="63" t="s">
        <v>7043</v>
      </c>
      <c r="I1237" s="62">
        <v>2</v>
      </c>
      <c r="J1237" s="58">
        <v>44796</v>
      </c>
    </row>
    <row r="1238" spans="4:10" ht="15.6" customHeight="1">
      <c r="D1238" s="38">
        <v>1236</v>
      </c>
      <c r="E1238" s="62">
        <v>3290</v>
      </c>
      <c r="F1238" s="63" t="s">
        <v>8722</v>
      </c>
      <c r="G1238" s="63" t="s">
        <v>6841</v>
      </c>
      <c r="H1238" s="63" t="s">
        <v>8723</v>
      </c>
      <c r="I1238" s="62">
        <v>2</v>
      </c>
      <c r="J1238" s="58">
        <v>44796</v>
      </c>
    </row>
    <row r="1239" spans="4:10" ht="15.6" customHeight="1">
      <c r="D1239" s="38">
        <v>1237</v>
      </c>
      <c r="E1239" s="62">
        <v>2145</v>
      </c>
      <c r="F1239" s="63" t="s">
        <v>8724</v>
      </c>
      <c r="G1239" s="63" t="s">
        <v>6765</v>
      </c>
      <c r="H1239" s="63" t="s">
        <v>6837</v>
      </c>
      <c r="I1239" s="62">
        <v>2</v>
      </c>
      <c r="J1239" s="58">
        <v>44797</v>
      </c>
    </row>
    <row r="1240" spans="4:10" ht="15.6" customHeight="1">
      <c r="D1240" s="38">
        <v>1238</v>
      </c>
      <c r="E1240" s="62">
        <v>2948</v>
      </c>
      <c r="F1240" s="63" t="s">
        <v>8725</v>
      </c>
      <c r="G1240" s="63" t="s">
        <v>6765</v>
      </c>
      <c r="H1240" s="63" t="s">
        <v>6835</v>
      </c>
      <c r="I1240" s="62">
        <v>2</v>
      </c>
      <c r="J1240" s="58">
        <v>44797</v>
      </c>
    </row>
    <row r="1241" spans="4:10" ht="15.6" customHeight="1">
      <c r="D1241" s="38">
        <v>1239</v>
      </c>
      <c r="E1241" s="62">
        <v>2401</v>
      </c>
      <c r="F1241" s="63" t="s">
        <v>8726</v>
      </c>
      <c r="G1241" s="63" t="s">
        <v>6765</v>
      </c>
      <c r="H1241" s="63" t="s">
        <v>8</v>
      </c>
      <c r="I1241" s="62">
        <v>2</v>
      </c>
      <c r="J1241" s="58">
        <v>44797</v>
      </c>
    </row>
    <row r="1242" spans="4:10" ht="15.6" customHeight="1">
      <c r="D1242" s="38">
        <v>1240</v>
      </c>
      <c r="E1242" s="62">
        <v>4342</v>
      </c>
      <c r="F1242" s="63" t="s">
        <v>8727</v>
      </c>
      <c r="G1242" s="63" t="s">
        <v>6765</v>
      </c>
      <c r="H1242" s="63" t="s">
        <v>8</v>
      </c>
      <c r="I1242" s="62">
        <v>2</v>
      </c>
      <c r="J1242" s="58">
        <v>44797</v>
      </c>
    </row>
    <row r="1243" spans="4:10" ht="15.6" customHeight="1">
      <c r="D1243" s="38">
        <v>1241</v>
      </c>
      <c r="E1243" s="62">
        <v>2988</v>
      </c>
      <c r="F1243" s="63" t="s">
        <v>6815</v>
      </c>
      <c r="G1243" s="63" t="s">
        <v>6765</v>
      </c>
      <c r="H1243" s="63" t="s">
        <v>8</v>
      </c>
      <c r="I1243" s="62">
        <v>2</v>
      </c>
      <c r="J1243" s="58">
        <v>44797</v>
      </c>
    </row>
    <row r="1244" spans="4:10" ht="15.6" customHeight="1">
      <c r="D1244" s="38">
        <v>1242</v>
      </c>
      <c r="E1244" s="62">
        <v>4187</v>
      </c>
      <c r="F1244" s="63" t="s">
        <v>8728</v>
      </c>
      <c r="G1244" s="63" t="s">
        <v>6765</v>
      </c>
      <c r="H1244" s="63" t="s">
        <v>6835</v>
      </c>
      <c r="I1244" s="62">
        <v>2</v>
      </c>
      <c r="J1244" s="58">
        <v>44797</v>
      </c>
    </row>
    <row r="1245" spans="4:10" ht="15.6" customHeight="1">
      <c r="D1245" s="38">
        <v>1243</v>
      </c>
      <c r="E1245" s="62">
        <v>4322</v>
      </c>
      <c r="F1245" s="63" t="s">
        <v>8729</v>
      </c>
      <c r="G1245" s="63" t="s">
        <v>6765</v>
      </c>
      <c r="H1245" s="63" t="s">
        <v>6835</v>
      </c>
      <c r="I1245" s="62">
        <v>2</v>
      </c>
      <c r="J1245" s="58">
        <v>44797</v>
      </c>
    </row>
    <row r="1246" spans="4:10" ht="15.6" customHeight="1">
      <c r="D1246" s="38">
        <v>1244</v>
      </c>
      <c r="E1246" s="62">
        <v>4901</v>
      </c>
      <c r="F1246" s="63" t="s">
        <v>8730</v>
      </c>
      <c r="G1246" s="63" t="s">
        <v>6841</v>
      </c>
      <c r="H1246" s="63" t="s">
        <v>7495</v>
      </c>
      <c r="I1246" s="62">
        <v>2</v>
      </c>
      <c r="J1246" s="58">
        <v>44797</v>
      </c>
    </row>
    <row r="1247" spans="4:10" ht="15.6" customHeight="1">
      <c r="D1247" s="38">
        <v>1245</v>
      </c>
      <c r="E1247" s="62">
        <v>2462</v>
      </c>
      <c r="F1247" s="63" t="s">
        <v>8731</v>
      </c>
      <c r="G1247" s="63" t="s">
        <v>6841</v>
      </c>
      <c r="H1247" s="63" t="s">
        <v>7495</v>
      </c>
      <c r="I1247" s="62">
        <v>2</v>
      </c>
      <c r="J1247" s="58">
        <v>44797</v>
      </c>
    </row>
    <row r="1248" spans="4:10" ht="15.6" customHeight="1">
      <c r="D1248" s="38">
        <v>1246</v>
      </c>
      <c r="E1248" s="62">
        <v>3880</v>
      </c>
      <c r="F1248" s="63" t="s">
        <v>5138</v>
      </c>
      <c r="G1248" s="63" t="s">
        <v>6765</v>
      </c>
      <c r="H1248" s="63" t="s">
        <v>8</v>
      </c>
      <c r="I1248" s="62">
        <v>2</v>
      </c>
      <c r="J1248" s="58">
        <v>44798</v>
      </c>
    </row>
    <row r="1249" spans="4:10" ht="15.6" customHeight="1">
      <c r="D1249" s="38">
        <v>1247</v>
      </c>
      <c r="E1249" s="62">
        <v>2322</v>
      </c>
      <c r="F1249" s="63" t="s">
        <v>8732</v>
      </c>
      <c r="G1249" s="63" t="s">
        <v>6765</v>
      </c>
      <c r="H1249" s="63" t="s">
        <v>8</v>
      </c>
      <c r="I1249" s="62">
        <v>2</v>
      </c>
      <c r="J1249" s="58">
        <v>44798</v>
      </c>
    </row>
    <row r="1250" spans="4:10" ht="15.6" customHeight="1">
      <c r="D1250" s="38">
        <v>1248</v>
      </c>
      <c r="E1250" s="62">
        <v>3556</v>
      </c>
      <c r="F1250" s="63" t="s">
        <v>5132</v>
      </c>
      <c r="G1250" s="63" t="s">
        <v>6765</v>
      </c>
      <c r="H1250" s="63" t="s">
        <v>8</v>
      </c>
      <c r="I1250" s="62">
        <v>2</v>
      </c>
      <c r="J1250" s="58">
        <v>44798</v>
      </c>
    </row>
    <row r="1251" spans="4:10" ht="15.6" customHeight="1">
      <c r="D1251" s="38">
        <v>1249</v>
      </c>
      <c r="E1251" s="62">
        <v>4389</v>
      </c>
      <c r="F1251" s="63" t="s">
        <v>8733</v>
      </c>
      <c r="G1251" s="63" t="s">
        <v>6765</v>
      </c>
      <c r="H1251" s="63" t="s">
        <v>6835</v>
      </c>
      <c r="I1251" s="62">
        <v>2</v>
      </c>
      <c r="J1251" s="58">
        <v>44798</v>
      </c>
    </row>
    <row r="1252" spans="4:10" ht="15.6" customHeight="1">
      <c r="D1252" s="38">
        <v>1250</v>
      </c>
      <c r="E1252" s="62">
        <v>4430</v>
      </c>
      <c r="F1252" s="63" t="s">
        <v>8734</v>
      </c>
      <c r="G1252" s="63" t="s">
        <v>6765</v>
      </c>
      <c r="H1252" s="63" t="s">
        <v>6835</v>
      </c>
      <c r="I1252" s="62">
        <v>2</v>
      </c>
      <c r="J1252" s="58">
        <v>44798</v>
      </c>
    </row>
    <row r="1253" spans="4:10" ht="15.6" customHeight="1">
      <c r="D1253" s="38">
        <v>1251</v>
      </c>
      <c r="E1253" s="62">
        <v>2417</v>
      </c>
      <c r="F1253" s="63" t="s">
        <v>8735</v>
      </c>
      <c r="G1253" s="63" t="s">
        <v>6841</v>
      </c>
      <c r="H1253" s="63" t="s">
        <v>8736</v>
      </c>
      <c r="I1253" s="62">
        <v>2</v>
      </c>
      <c r="J1253" s="58">
        <v>44798</v>
      </c>
    </row>
    <row r="1254" spans="4:10" ht="15.6" customHeight="1">
      <c r="D1254" s="38">
        <v>1252</v>
      </c>
      <c r="E1254" s="62">
        <v>4394</v>
      </c>
      <c r="F1254" s="63" t="s">
        <v>8737</v>
      </c>
      <c r="G1254" s="63" t="s">
        <v>6841</v>
      </c>
      <c r="H1254" s="63" t="s">
        <v>8736</v>
      </c>
      <c r="I1254" s="62">
        <v>2</v>
      </c>
      <c r="J1254" s="58">
        <v>44798</v>
      </c>
    </row>
    <row r="1255" spans="4:10" ht="15.6" customHeight="1">
      <c r="D1255" s="38">
        <v>1253</v>
      </c>
      <c r="E1255" s="62">
        <v>3086</v>
      </c>
      <c r="F1255" s="63" t="s">
        <v>8738</v>
      </c>
      <c r="G1255" s="63" t="s">
        <v>6841</v>
      </c>
      <c r="H1255" s="63" t="s">
        <v>8739</v>
      </c>
      <c r="I1255" s="62">
        <v>2</v>
      </c>
      <c r="J1255" s="58">
        <v>44798</v>
      </c>
    </row>
    <row r="1256" spans="4:10" ht="15.6" customHeight="1">
      <c r="D1256" s="38">
        <v>1254</v>
      </c>
      <c r="E1256" s="62">
        <v>4694</v>
      </c>
      <c r="F1256" s="63" t="s">
        <v>8740</v>
      </c>
      <c r="G1256" s="63" t="s">
        <v>6765</v>
      </c>
      <c r="H1256" s="63" t="s">
        <v>6835</v>
      </c>
      <c r="I1256" s="62">
        <v>2</v>
      </c>
      <c r="J1256" s="58">
        <v>44799</v>
      </c>
    </row>
    <row r="1257" spans="4:10" ht="15.6" customHeight="1">
      <c r="D1257" s="38">
        <v>1255</v>
      </c>
      <c r="E1257" s="62" t="s">
        <v>8741</v>
      </c>
      <c r="F1257" s="63" t="s">
        <v>8742</v>
      </c>
      <c r="G1257" s="63" t="s">
        <v>6765</v>
      </c>
      <c r="H1257" s="63" t="s">
        <v>6835</v>
      </c>
      <c r="I1257" s="62">
        <v>2</v>
      </c>
      <c r="J1257" s="58">
        <v>44799</v>
      </c>
    </row>
    <row r="1258" spans="4:10" ht="15.6" customHeight="1">
      <c r="D1258" s="38">
        <v>1256</v>
      </c>
      <c r="E1258" s="62">
        <v>4339</v>
      </c>
      <c r="F1258" s="63" t="s">
        <v>8743</v>
      </c>
      <c r="G1258" s="63" t="s">
        <v>6841</v>
      </c>
      <c r="H1258" s="63" t="s">
        <v>8744</v>
      </c>
      <c r="I1258" s="62">
        <v>3</v>
      </c>
      <c r="J1258" s="58">
        <v>44799</v>
      </c>
    </row>
    <row r="1259" spans="4:10" ht="15.6" customHeight="1">
      <c r="D1259" s="38">
        <v>1257</v>
      </c>
      <c r="E1259" s="62">
        <v>4401</v>
      </c>
      <c r="F1259" s="63" t="s">
        <v>8745</v>
      </c>
      <c r="G1259" s="63" t="s">
        <v>6841</v>
      </c>
      <c r="H1259" s="63" t="s">
        <v>8744</v>
      </c>
      <c r="I1259" s="62">
        <v>2</v>
      </c>
      <c r="J1259" s="58">
        <v>44799</v>
      </c>
    </row>
    <row r="1260" spans="4:10" ht="15.6" customHeight="1">
      <c r="D1260" s="38">
        <v>1258</v>
      </c>
      <c r="E1260" s="62" t="s">
        <v>8746</v>
      </c>
      <c r="F1260" s="63" t="s">
        <v>8747</v>
      </c>
      <c r="G1260" s="63" t="s">
        <v>6765</v>
      </c>
      <c r="H1260" s="63" t="s">
        <v>8748</v>
      </c>
      <c r="I1260" s="62">
        <v>2</v>
      </c>
      <c r="J1260" s="58">
        <v>44802</v>
      </c>
    </row>
    <row r="1261" spans="4:10" ht="15.6" customHeight="1">
      <c r="D1261" s="38">
        <v>1259</v>
      </c>
      <c r="E1261" s="62">
        <v>4407</v>
      </c>
      <c r="F1261" s="63" t="s">
        <v>8749</v>
      </c>
      <c r="G1261" s="63" t="s">
        <v>6765</v>
      </c>
      <c r="H1261" s="63" t="s">
        <v>8748</v>
      </c>
      <c r="I1261" s="62">
        <v>2</v>
      </c>
      <c r="J1261" s="58">
        <v>44802</v>
      </c>
    </row>
    <row r="1262" spans="4:10" ht="15.6" customHeight="1">
      <c r="D1262" s="38">
        <v>1260</v>
      </c>
      <c r="E1262" s="62">
        <v>2606</v>
      </c>
      <c r="F1262" s="63" t="s">
        <v>8750</v>
      </c>
      <c r="G1262" s="63" t="s">
        <v>6765</v>
      </c>
      <c r="H1262" s="63" t="s">
        <v>8748</v>
      </c>
      <c r="I1262" s="62">
        <v>2</v>
      </c>
      <c r="J1262" s="58">
        <v>44802</v>
      </c>
    </row>
    <row r="1263" spans="4:10" ht="15.6" customHeight="1">
      <c r="D1263" s="38">
        <v>1261</v>
      </c>
      <c r="E1263" s="62">
        <v>2283</v>
      </c>
      <c r="F1263" s="63" t="s">
        <v>8751</v>
      </c>
      <c r="G1263" s="63" t="s">
        <v>6765</v>
      </c>
      <c r="H1263" s="63" t="s">
        <v>8748</v>
      </c>
      <c r="I1263" s="62">
        <v>2</v>
      </c>
      <c r="J1263" s="58">
        <v>44802</v>
      </c>
    </row>
    <row r="1264" spans="4:10" ht="15.6" customHeight="1">
      <c r="D1264" s="38">
        <v>1262</v>
      </c>
      <c r="E1264" s="62">
        <v>2348</v>
      </c>
      <c r="F1264" s="63" t="s">
        <v>8752</v>
      </c>
      <c r="G1264" s="63" t="s">
        <v>6765</v>
      </c>
      <c r="H1264" s="63" t="s">
        <v>6835</v>
      </c>
      <c r="I1264" s="62">
        <v>2</v>
      </c>
      <c r="J1264" s="58">
        <v>44802</v>
      </c>
    </row>
    <row r="1265" spans="4:10" ht="15.6" customHeight="1">
      <c r="D1265" s="38">
        <v>1263</v>
      </c>
      <c r="E1265" s="62">
        <v>3156</v>
      </c>
      <c r="F1265" s="63" t="s">
        <v>8753</v>
      </c>
      <c r="G1265" s="63" t="s">
        <v>6765</v>
      </c>
      <c r="H1265" s="63" t="s">
        <v>6835</v>
      </c>
      <c r="I1265" s="62">
        <v>2</v>
      </c>
      <c r="J1265" s="58">
        <v>44802</v>
      </c>
    </row>
    <row r="1266" spans="4:10" ht="15.6" customHeight="1">
      <c r="D1266" s="38">
        <v>1264</v>
      </c>
      <c r="E1266" s="62">
        <v>4832</v>
      </c>
      <c r="F1266" s="63" t="s">
        <v>7498</v>
      </c>
      <c r="G1266" s="63" t="s">
        <v>6866</v>
      </c>
      <c r="H1266" s="63" t="s">
        <v>8754</v>
      </c>
      <c r="I1266" s="62">
        <v>2</v>
      </c>
      <c r="J1266" s="58">
        <v>44802</v>
      </c>
    </row>
    <row r="1267" spans="4:10" ht="15.6" customHeight="1">
      <c r="D1267" s="38">
        <v>1265</v>
      </c>
      <c r="E1267" s="62">
        <v>4948</v>
      </c>
      <c r="F1267" s="63" t="s">
        <v>8755</v>
      </c>
      <c r="G1267" s="63" t="s">
        <v>6866</v>
      </c>
      <c r="H1267" s="63" t="s">
        <v>8634</v>
      </c>
      <c r="I1267" s="62">
        <v>2</v>
      </c>
      <c r="J1267" s="58">
        <v>44802</v>
      </c>
    </row>
    <row r="1268" spans="4:10" ht="15.6" customHeight="1">
      <c r="D1268" s="38">
        <v>1266</v>
      </c>
      <c r="E1268" s="62">
        <v>4765</v>
      </c>
      <c r="F1268" s="63" t="s">
        <v>8756</v>
      </c>
      <c r="G1268" s="63" t="s">
        <v>6765</v>
      </c>
      <c r="H1268" s="63" t="s">
        <v>8748</v>
      </c>
      <c r="I1268" s="62">
        <v>2</v>
      </c>
      <c r="J1268" s="58">
        <v>44803</v>
      </c>
    </row>
    <row r="1269" spans="4:10" ht="15.6" customHeight="1">
      <c r="D1269" s="38">
        <v>1267</v>
      </c>
      <c r="E1269" s="62">
        <v>2517</v>
      </c>
      <c r="F1269" s="63" t="s">
        <v>8757</v>
      </c>
      <c r="G1269" s="63" t="s">
        <v>6765</v>
      </c>
      <c r="H1269" s="63" t="s">
        <v>8748</v>
      </c>
      <c r="I1269" s="62">
        <v>2</v>
      </c>
      <c r="J1269" s="58">
        <v>44803</v>
      </c>
    </row>
    <row r="1270" spans="4:10" ht="15.6" customHeight="1">
      <c r="D1270" s="38">
        <v>1268</v>
      </c>
      <c r="E1270" s="62">
        <v>4651</v>
      </c>
      <c r="F1270" s="63" t="s">
        <v>8758</v>
      </c>
      <c r="G1270" s="63" t="s">
        <v>6765</v>
      </c>
      <c r="H1270" s="63" t="s">
        <v>8748</v>
      </c>
      <c r="I1270" s="62">
        <v>2</v>
      </c>
      <c r="J1270" s="58">
        <v>44803</v>
      </c>
    </row>
    <row r="1271" spans="4:10" ht="15.6" customHeight="1">
      <c r="D1271" s="38">
        <v>1269</v>
      </c>
      <c r="E1271" s="62">
        <v>4346</v>
      </c>
      <c r="F1271" s="63" t="s">
        <v>8759</v>
      </c>
      <c r="G1271" s="63" t="s">
        <v>6765</v>
      </c>
      <c r="H1271" s="63" t="s">
        <v>8748</v>
      </c>
      <c r="I1271" s="62">
        <v>2</v>
      </c>
      <c r="J1271" s="58">
        <v>44803</v>
      </c>
    </row>
    <row r="1272" spans="4:10" ht="15.6" customHeight="1">
      <c r="D1272" s="38">
        <v>1270</v>
      </c>
      <c r="E1272" s="62">
        <v>4797</v>
      </c>
      <c r="F1272" s="63" t="s">
        <v>8760</v>
      </c>
      <c r="G1272" s="63" t="s">
        <v>6765</v>
      </c>
      <c r="H1272" s="63" t="s">
        <v>6835</v>
      </c>
      <c r="I1272" s="62">
        <v>2</v>
      </c>
      <c r="J1272" s="58">
        <v>44803</v>
      </c>
    </row>
    <row r="1273" spans="4:10" ht="15.6" customHeight="1">
      <c r="D1273" s="38">
        <v>1271</v>
      </c>
      <c r="E1273" s="62">
        <v>2355</v>
      </c>
      <c r="F1273" s="63" t="s">
        <v>8761</v>
      </c>
      <c r="G1273" s="63" t="s">
        <v>6765</v>
      </c>
      <c r="H1273" s="63" t="s">
        <v>6835</v>
      </c>
      <c r="I1273" s="62">
        <v>2</v>
      </c>
      <c r="J1273" s="58">
        <v>44803</v>
      </c>
    </row>
    <row r="1274" spans="4:10" ht="15.6" customHeight="1">
      <c r="D1274" s="38">
        <v>1272</v>
      </c>
      <c r="E1274" s="62">
        <v>4156</v>
      </c>
      <c r="F1274" s="63" t="s">
        <v>8762</v>
      </c>
      <c r="G1274" s="63" t="s">
        <v>6866</v>
      </c>
      <c r="H1274" s="63" t="s">
        <v>7508</v>
      </c>
      <c r="I1274" s="62">
        <v>2</v>
      </c>
      <c r="J1274" s="58">
        <v>44803</v>
      </c>
    </row>
    <row r="1275" spans="4:10" ht="15.6" customHeight="1">
      <c r="D1275" s="38">
        <v>1273</v>
      </c>
      <c r="E1275" s="62">
        <v>4489</v>
      </c>
      <c r="F1275" s="63" t="s">
        <v>8763</v>
      </c>
      <c r="G1275" s="63" t="s">
        <v>6866</v>
      </c>
      <c r="H1275" s="63" t="s">
        <v>8329</v>
      </c>
      <c r="I1275" s="62">
        <v>2</v>
      </c>
      <c r="J1275" s="58">
        <v>44803</v>
      </c>
    </row>
    <row r="1276" spans="4:10" ht="15.6" customHeight="1">
      <c r="D1276" s="38">
        <v>1274</v>
      </c>
      <c r="E1276" s="62">
        <v>4456</v>
      </c>
      <c r="F1276" s="63" t="s">
        <v>5152</v>
      </c>
      <c r="G1276" s="63" t="s">
        <v>6765</v>
      </c>
      <c r="H1276" s="63" t="s">
        <v>8</v>
      </c>
      <c r="I1276" s="62">
        <v>2</v>
      </c>
      <c r="J1276" s="58">
        <v>44804</v>
      </c>
    </row>
    <row r="1277" spans="4:10" ht="15.6" customHeight="1">
      <c r="D1277" s="38">
        <v>1275</v>
      </c>
      <c r="E1277" s="39">
        <v>2147</v>
      </c>
      <c r="F1277" s="40" t="s">
        <v>8764</v>
      </c>
      <c r="G1277" s="40" t="s">
        <v>6765</v>
      </c>
      <c r="H1277" s="40" t="s">
        <v>8748</v>
      </c>
      <c r="I1277" s="39">
        <v>2</v>
      </c>
      <c r="J1277" s="68">
        <v>44804</v>
      </c>
    </row>
    <row r="1278" spans="4:10" ht="15.6" customHeight="1">
      <c r="D1278" s="38">
        <v>1276</v>
      </c>
      <c r="E1278" s="39">
        <v>3016</v>
      </c>
      <c r="F1278" s="40" t="s">
        <v>8765</v>
      </c>
      <c r="G1278" s="40" t="s">
        <v>6765</v>
      </c>
      <c r="H1278" s="40" t="s">
        <v>8748</v>
      </c>
      <c r="I1278" s="39">
        <v>2</v>
      </c>
      <c r="J1278" s="68">
        <v>44804</v>
      </c>
    </row>
    <row r="1279" spans="4:10" ht="15.6" customHeight="1">
      <c r="D1279" s="38">
        <v>1277</v>
      </c>
      <c r="E1279" s="39" t="s">
        <v>8766</v>
      </c>
      <c r="F1279" s="40" t="s">
        <v>8767</v>
      </c>
      <c r="G1279" s="40" t="s">
        <v>6765</v>
      </c>
      <c r="H1279" s="40" t="s">
        <v>8748</v>
      </c>
      <c r="I1279" s="39">
        <v>2</v>
      </c>
      <c r="J1279" s="68">
        <v>44804</v>
      </c>
    </row>
    <row r="1280" spans="4:10" ht="15.6" customHeight="1">
      <c r="D1280" s="38">
        <v>1278</v>
      </c>
      <c r="E1280" s="39">
        <v>3042</v>
      </c>
      <c r="F1280" s="40" t="s">
        <v>8768</v>
      </c>
      <c r="G1280" s="40" t="s">
        <v>6765</v>
      </c>
      <c r="H1280" s="40" t="s">
        <v>6835</v>
      </c>
      <c r="I1280" s="39">
        <v>2</v>
      </c>
      <c r="J1280" s="68">
        <v>44804</v>
      </c>
    </row>
    <row r="1281" spans="4:10" ht="15.6" customHeight="1">
      <c r="D1281" s="38">
        <v>1279</v>
      </c>
      <c r="E1281" s="39">
        <v>4480</v>
      </c>
      <c r="F1281" s="40" t="s">
        <v>8769</v>
      </c>
      <c r="G1281" s="40" t="s">
        <v>6765</v>
      </c>
      <c r="H1281" s="40" t="s">
        <v>6835</v>
      </c>
      <c r="I1281" s="39">
        <v>2</v>
      </c>
      <c r="J1281" s="68">
        <v>44804</v>
      </c>
    </row>
    <row r="1282" spans="4:10" ht="15.6" customHeight="1">
      <c r="D1282" s="38">
        <v>1280</v>
      </c>
      <c r="E1282" s="39">
        <v>3594</v>
      </c>
      <c r="F1282" s="40" t="s">
        <v>8770</v>
      </c>
      <c r="G1282" s="40" t="s">
        <v>6841</v>
      </c>
      <c r="H1282" s="40" t="s">
        <v>8674</v>
      </c>
      <c r="I1282" s="39">
        <v>2</v>
      </c>
      <c r="J1282" s="68">
        <v>44804</v>
      </c>
    </row>
    <row r="1283" spans="4:10" ht="15.6" customHeight="1">
      <c r="D1283" s="38">
        <v>1281</v>
      </c>
      <c r="E1283" s="39">
        <v>3852</v>
      </c>
      <c r="F1283" s="40" t="s">
        <v>8771</v>
      </c>
      <c r="G1283" s="40" t="s">
        <v>6833</v>
      </c>
      <c r="H1283" s="40" t="s">
        <v>7086</v>
      </c>
      <c r="I1283" s="39">
        <v>2</v>
      </c>
      <c r="J1283" s="68">
        <v>44804</v>
      </c>
    </row>
    <row r="1284" spans="4:10" ht="15.6" customHeight="1">
      <c r="D1284" s="38">
        <v>1282</v>
      </c>
      <c r="E1284" s="39">
        <v>3590</v>
      </c>
      <c r="F1284" s="40" t="s">
        <v>8772</v>
      </c>
      <c r="G1284" s="40" t="s">
        <v>6841</v>
      </c>
      <c r="H1284" s="40" t="s">
        <v>8674</v>
      </c>
      <c r="I1284" s="39">
        <v>3</v>
      </c>
      <c r="J1284" s="68">
        <v>44804</v>
      </c>
    </row>
    <row r="1285" spans="4:10" ht="15.6" customHeight="1">
      <c r="D1285" s="38">
        <v>1283</v>
      </c>
      <c r="E1285" s="39" t="s">
        <v>8773</v>
      </c>
      <c r="F1285" s="40" t="s">
        <v>8774</v>
      </c>
      <c r="G1285" s="40" t="s">
        <v>6765</v>
      </c>
      <c r="H1285" s="40" t="s">
        <v>8748</v>
      </c>
      <c r="I1285" s="39">
        <v>2</v>
      </c>
      <c r="J1285" s="68">
        <v>44805</v>
      </c>
    </row>
    <row r="1286" spans="4:10" ht="15.6" customHeight="1">
      <c r="D1286" s="38">
        <v>1284</v>
      </c>
      <c r="E1286" s="39">
        <v>4910</v>
      </c>
      <c r="F1286" s="40" t="s">
        <v>8775</v>
      </c>
      <c r="G1286" s="40" t="s">
        <v>6765</v>
      </c>
      <c r="H1286" s="40" t="s">
        <v>8748</v>
      </c>
      <c r="I1286" s="39">
        <v>2</v>
      </c>
      <c r="J1286" s="68">
        <v>44805</v>
      </c>
    </row>
    <row r="1287" spans="4:10" ht="15.6" customHeight="1">
      <c r="D1287" s="38">
        <v>1285</v>
      </c>
      <c r="E1287" s="39">
        <v>3997</v>
      </c>
      <c r="F1287" s="40" t="s">
        <v>8776</v>
      </c>
      <c r="G1287" s="40" t="s">
        <v>6765</v>
      </c>
      <c r="H1287" s="40" t="s">
        <v>8748</v>
      </c>
      <c r="I1287" s="39">
        <v>2</v>
      </c>
      <c r="J1287" s="68">
        <v>44805</v>
      </c>
    </row>
    <row r="1288" spans="4:10" ht="15.6" customHeight="1">
      <c r="D1288" s="38">
        <v>1286</v>
      </c>
      <c r="E1288" s="39" t="s">
        <v>8777</v>
      </c>
      <c r="F1288" s="40" t="s">
        <v>8778</v>
      </c>
      <c r="G1288" s="40" t="s">
        <v>6765</v>
      </c>
      <c r="H1288" s="40" t="s">
        <v>8748</v>
      </c>
      <c r="I1288" s="39">
        <v>2</v>
      </c>
      <c r="J1288" s="68">
        <v>44805</v>
      </c>
    </row>
    <row r="1289" spans="4:10" ht="15.6" customHeight="1">
      <c r="D1289" s="38">
        <v>1287</v>
      </c>
      <c r="E1289" s="39">
        <v>3802</v>
      </c>
      <c r="F1289" s="40" t="s">
        <v>8779</v>
      </c>
      <c r="G1289" s="40" t="s">
        <v>6790</v>
      </c>
      <c r="H1289" s="40" t="s">
        <v>8140</v>
      </c>
      <c r="I1289" s="39">
        <v>3</v>
      </c>
      <c r="J1289" s="68">
        <v>44805</v>
      </c>
    </row>
    <row r="1290" spans="4:10" ht="15.6" customHeight="1">
      <c r="D1290" s="38">
        <v>1288</v>
      </c>
      <c r="E1290" s="39">
        <v>4069</v>
      </c>
      <c r="F1290" s="40" t="s">
        <v>8780</v>
      </c>
      <c r="G1290" s="40" t="s">
        <v>6790</v>
      </c>
      <c r="H1290" s="40" t="s">
        <v>8151</v>
      </c>
      <c r="I1290" s="39">
        <v>3</v>
      </c>
      <c r="J1290" s="68">
        <v>44805</v>
      </c>
    </row>
    <row r="1291" spans="4:10" ht="15.6" customHeight="1">
      <c r="D1291" s="38">
        <v>1289</v>
      </c>
      <c r="E1291" s="39">
        <v>3328</v>
      </c>
      <c r="F1291" s="40" t="s">
        <v>8781</v>
      </c>
      <c r="G1291" s="40" t="s">
        <v>6850</v>
      </c>
      <c r="H1291" s="40" t="s">
        <v>6949</v>
      </c>
      <c r="I1291" s="39">
        <v>3</v>
      </c>
      <c r="J1291" s="68">
        <v>44805</v>
      </c>
    </row>
    <row r="1292" spans="4:10" ht="15.6" customHeight="1">
      <c r="D1292" s="38">
        <v>1290</v>
      </c>
      <c r="E1292" s="39">
        <v>4290</v>
      </c>
      <c r="F1292" s="40" t="s">
        <v>8782</v>
      </c>
      <c r="G1292" s="40" t="s">
        <v>6850</v>
      </c>
      <c r="H1292" s="40" t="s">
        <v>8180</v>
      </c>
      <c r="I1292" s="39">
        <v>2</v>
      </c>
      <c r="J1292" s="68">
        <v>44805</v>
      </c>
    </row>
    <row r="1293" spans="4:10" ht="15.6" customHeight="1">
      <c r="D1293" s="38">
        <v>1291</v>
      </c>
      <c r="E1293" s="39">
        <v>3056</v>
      </c>
      <c r="F1293" s="40" t="s">
        <v>8783</v>
      </c>
      <c r="G1293" s="40" t="s">
        <v>6765</v>
      </c>
      <c r="H1293" s="40" t="s">
        <v>6837</v>
      </c>
      <c r="I1293" s="39">
        <v>2</v>
      </c>
      <c r="J1293" s="68">
        <v>44806</v>
      </c>
    </row>
    <row r="1294" spans="4:10" ht="15.6" customHeight="1">
      <c r="D1294" s="38">
        <v>1292</v>
      </c>
      <c r="E1294" s="39">
        <v>2573</v>
      </c>
      <c r="F1294" s="40" t="s">
        <v>8784</v>
      </c>
      <c r="G1294" s="40" t="s">
        <v>6765</v>
      </c>
      <c r="H1294" s="40" t="s">
        <v>8748</v>
      </c>
      <c r="I1294" s="39">
        <v>2</v>
      </c>
      <c r="J1294" s="68">
        <v>44806</v>
      </c>
    </row>
    <row r="1295" spans="4:10" ht="15.6" customHeight="1">
      <c r="D1295" s="38">
        <v>1293</v>
      </c>
      <c r="E1295" s="39">
        <v>4429</v>
      </c>
      <c r="F1295" s="40" t="s">
        <v>8785</v>
      </c>
      <c r="G1295" s="40" t="s">
        <v>6765</v>
      </c>
      <c r="H1295" s="40" t="s">
        <v>8748</v>
      </c>
      <c r="I1295" s="39">
        <v>2</v>
      </c>
      <c r="J1295" s="68">
        <v>44806</v>
      </c>
    </row>
    <row r="1296" spans="4:10" ht="15.6" customHeight="1">
      <c r="D1296" s="38">
        <v>1294</v>
      </c>
      <c r="E1296" s="39">
        <v>4966</v>
      </c>
      <c r="F1296" s="40" t="s">
        <v>8786</v>
      </c>
      <c r="G1296" s="40" t="s">
        <v>6765</v>
      </c>
      <c r="H1296" s="40" t="s">
        <v>8748</v>
      </c>
      <c r="I1296" s="39">
        <v>2</v>
      </c>
      <c r="J1296" s="68">
        <v>44806</v>
      </c>
    </row>
    <row r="1297" spans="4:10" ht="15.6" customHeight="1">
      <c r="D1297" s="38">
        <v>1295</v>
      </c>
      <c r="E1297" s="39">
        <v>4988</v>
      </c>
      <c r="F1297" s="40" t="s">
        <v>7378</v>
      </c>
      <c r="G1297" s="40" t="s">
        <v>6782</v>
      </c>
      <c r="H1297" s="40" t="s">
        <v>8787</v>
      </c>
      <c r="I1297" s="39">
        <v>2</v>
      </c>
      <c r="J1297" s="68">
        <v>44806</v>
      </c>
    </row>
    <row r="1298" spans="4:10" ht="15.6" customHeight="1">
      <c r="D1298" s="38">
        <v>1296</v>
      </c>
      <c r="E1298" s="39">
        <v>4358</v>
      </c>
      <c r="F1298" s="40" t="s">
        <v>8788</v>
      </c>
      <c r="G1298" s="40" t="s">
        <v>6782</v>
      </c>
      <c r="H1298" s="40" t="s">
        <v>8787</v>
      </c>
      <c r="I1298" s="39">
        <v>2</v>
      </c>
      <c r="J1298" s="68">
        <v>44806</v>
      </c>
    </row>
    <row r="1299" spans="4:10" ht="15.6" customHeight="1">
      <c r="D1299" s="38">
        <v>1297</v>
      </c>
      <c r="E1299" s="39">
        <v>4699</v>
      </c>
      <c r="F1299" s="40" t="s">
        <v>8789</v>
      </c>
      <c r="G1299" s="40" t="s">
        <v>6756</v>
      </c>
      <c r="H1299" s="40" t="s">
        <v>6999</v>
      </c>
      <c r="I1299" s="39">
        <v>3</v>
      </c>
      <c r="J1299" s="68">
        <v>44806</v>
      </c>
    </row>
    <row r="1300" spans="4:10" ht="15.6" customHeight="1">
      <c r="D1300" s="38">
        <v>1298</v>
      </c>
      <c r="E1300" s="39">
        <v>3952</v>
      </c>
      <c r="F1300" s="40" t="s">
        <v>8790</v>
      </c>
      <c r="G1300" s="40" t="s">
        <v>6792</v>
      </c>
      <c r="H1300" s="40" t="s">
        <v>7567</v>
      </c>
      <c r="I1300" s="39">
        <v>3</v>
      </c>
      <c r="J1300" s="68">
        <v>44806</v>
      </c>
    </row>
    <row r="1301" spans="4:10" ht="15.6" customHeight="1">
      <c r="D1301" s="38">
        <v>1299</v>
      </c>
      <c r="E1301" s="39">
        <v>4639</v>
      </c>
      <c r="F1301" s="40" t="s">
        <v>8791</v>
      </c>
      <c r="G1301" s="40" t="s">
        <v>6792</v>
      </c>
      <c r="H1301" s="40" t="s">
        <v>7050</v>
      </c>
      <c r="I1301" s="39">
        <v>3</v>
      </c>
      <c r="J1301" s="68">
        <v>44806</v>
      </c>
    </row>
    <row r="1302" spans="4:10" ht="15.6" customHeight="1">
      <c r="D1302" s="38">
        <v>1300</v>
      </c>
      <c r="E1302" s="39">
        <v>4726</v>
      </c>
      <c r="F1302" s="40" t="s">
        <v>8792</v>
      </c>
      <c r="G1302" s="40" t="s">
        <v>6735</v>
      </c>
      <c r="H1302" s="40" t="s">
        <v>7176</v>
      </c>
      <c r="I1302" s="39">
        <v>3</v>
      </c>
      <c r="J1302" s="68">
        <v>44809</v>
      </c>
    </row>
    <row r="1303" spans="4:10" ht="15.6" customHeight="1">
      <c r="D1303" s="38">
        <v>1301</v>
      </c>
      <c r="E1303" s="39">
        <v>4473</v>
      </c>
      <c r="F1303" s="40" t="s">
        <v>8793</v>
      </c>
      <c r="G1303" s="40" t="s">
        <v>6735</v>
      </c>
      <c r="H1303" s="40" t="s">
        <v>7176</v>
      </c>
      <c r="I1303" s="39">
        <v>2</v>
      </c>
      <c r="J1303" s="68">
        <v>44809</v>
      </c>
    </row>
    <row r="1304" spans="4:10" ht="15.6" customHeight="1">
      <c r="D1304" s="38">
        <v>1302</v>
      </c>
      <c r="E1304" s="39">
        <v>3359</v>
      </c>
      <c r="F1304" s="40" t="s">
        <v>8794</v>
      </c>
      <c r="G1304" s="40" t="s">
        <v>5281</v>
      </c>
      <c r="H1304" s="40" t="s">
        <v>7</v>
      </c>
      <c r="I1304" s="39">
        <v>3</v>
      </c>
      <c r="J1304" s="68">
        <v>44809</v>
      </c>
    </row>
    <row r="1305" spans="4:10" ht="15.6" customHeight="1">
      <c r="D1305" s="38">
        <v>1303</v>
      </c>
      <c r="E1305" s="39">
        <v>3642</v>
      </c>
      <c r="F1305" s="40" t="s">
        <v>8795</v>
      </c>
      <c r="G1305" s="40" t="s">
        <v>6765</v>
      </c>
      <c r="H1305" s="40" t="s">
        <v>7868</v>
      </c>
      <c r="I1305" s="39">
        <v>2</v>
      </c>
      <c r="J1305" s="68">
        <v>44809</v>
      </c>
    </row>
    <row r="1306" spans="4:10" ht="15.6" customHeight="1">
      <c r="D1306" s="38">
        <v>1304</v>
      </c>
      <c r="E1306" s="39">
        <v>4925</v>
      </c>
      <c r="F1306" s="40" t="s">
        <v>8796</v>
      </c>
      <c r="G1306" s="40" t="s">
        <v>6765</v>
      </c>
      <c r="H1306" s="40" t="s">
        <v>7868</v>
      </c>
      <c r="I1306" s="39">
        <v>2</v>
      </c>
      <c r="J1306" s="68">
        <v>44809</v>
      </c>
    </row>
    <row r="1307" spans="4:10" ht="15.6" customHeight="1">
      <c r="D1307" s="38">
        <v>1305</v>
      </c>
      <c r="E1307" s="39">
        <v>4953</v>
      </c>
      <c r="F1307" s="40" t="s">
        <v>8797</v>
      </c>
      <c r="G1307" s="40" t="s">
        <v>6756</v>
      </c>
      <c r="H1307" s="40" t="s">
        <v>6999</v>
      </c>
      <c r="I1307" s="39">
        <v>3</v>
      </c>
      <c r="J1307" s="68">
        <v>44809</v>
      </c>
    </row>
    <row r="1308" spans="4:10" ht="15.6" customHeight="1">
      <c r="D1308" s="38">
        <v>1306</v>
      </c>
      <c r="E1308" s="39">
        <v>4377</v>
      </c>
      <c r="F1308" s="40" t="s">
        <v>8798</v>
      </c>
      <c r="G1308" s="40" t="s">
        <v>6792</v>
      </c>
      <c r="H1308" s="40" t="s">
        <v>7806</v>
      </c>
      <c r="I1308" s="39">
        <v>2</v>
      </c>
      <c r="J1308" s="68">
        <v>44809</v>
      </c>
    </row>
    <row r="1309" spans="4:10" ht="15.6" customHeight="1">
      <c r="D1309" s="38">
        <v>1307</v>
      </c>
      <c r="E1309" s="39">
        <v>3982</v>
      </c>
      <c r="F1309" s="40" t="s">
        <v>8799</v>
      </c>
      <c r="G1309" s="40" t="s">
        <v>6792</v>
      </c>
      <c r="H1309" s="40" t="s">
        <v>8390</v>
      </c>
      <c r="I1309" s="39">
        <v>2</v>
      </c>
      <c r="J1309" s="68">
        <v>44809</v>
      </c>
    </row>
    <row r="1310" spans="4:10" ht="15.6" customHeight="1">
      <c r="D1310" s="38">
        <v>1308</v>
      </c>
      <c r="E1310" s="39">
        <v>4803</v>
      </c>
      <c r="F1310" s="40" t="s">
        <v>8800</v>
      </c>
      <c r="G1310" s="40" t="s">
        <v>6735</v>
      </c>
      <c r="H1310" s="40" t="s">
        <v>7176</v>
      </c>
      <c r="I1310" s="39">
        <v>2</v>
      </c>
      <c r="J1310" s="68">
        <v>44810</v>
      </c>
    </row>
    <row r="1311" spans="4:10" ht="15.6" customHeight="1">
      <c r="D1311" s="38">
        <v>1309</v>
      </c>
      <c r="E1311" s="39">
        <v>4513</v>
      </c>
      <c r="F1311" s="40" t="s">
        <v>8801</v>
      </c>
      <c r="G1311" s="40" t="s">
        <v>6735</v>
      </c>
      <c r="H1311" s="40" t="s">
        <v>7176</v>
      </c>
      <c r="I1311" s="39">
        <v>2</v>
      </c>
      <c r="J1311" s="68">
        <v>44810</v>
      </c>
    </row>
    <row r="1312" spans="4:10" ht="15.6" customHeight="1">
      <c r="D1312" s="38">
        <v>1310</v>
      </c>
      <c r="E1312" s="39">
        <v>3752</v>
      </c>
      <c r="F1312" s="40" t="s">
        <v>8802</v>
      </c>
      <c r="G1312" s="40" t="s">
        <v>5281</v>
      </c>
      <c r="H1312" s="40" t="s">
        <v>14</v>
      </c>
      <c r="I1312" s="39">
        <v>3</v>
      </c>
      <c r="J1312" s="68">
        <v>44810</v>
      </c>
    </row>
    <row r="1313" spans="4:10" ht="15.6" customHeight="1">
      <c r="D1313" s="38">
        <v>1311</v>
      </c>
      <c r="E1313" s="39">
        <v>3767</v>
      </c>
      <c r="F1313" s="40" t="s">
        <v>8803</v>
      </c>
      <c r="G1313" s="40" t="s">
        <v>5281</v>
      </c>
      <c r="H1313" s="40" t="s">
        <v>6803</v>
      </c>
      <c r="I1313" s="39">
        <v>2</v>
      </c>
      <c r="J1313" s="68">
        <v>44810</v>
      </c>
    </row>
    <row r="1314" spans="4:10" ht="15.6" customHeight="1">
      <c r="D1314" s="38">
        <v>1312</v>
      </c>
      <c r="E1314" s="39">
        <v>4385</v>
      </c>
      <c r="F1314" s="40" t="s">
        <v>8804</v>
      </c>
      <c r="G1314" s="40" t="s">
        <v>6765</v>
      </c>
      <c r="H1314" s="40" t="s">
        <v>7868</v>
      </c>
      <c r="I1314" s="39">
        <v>2</v>
      </c>
      <c r="J1314" s="68">
        <v>44810</v>
      </c>
    </row>
    <row r="1315" spans="4:10" ht="15.6" customHeight="1">
      <c r="D1315" s="38">
        <v>1313</v>
      </c>
      <c r="E1315" s="39">
        <v>4874</v>
      </c>
      <c r="F1315" s="40" t="s">
        <v>8805</v>
      </c>
      <c r="G1315" s="40" t="s">
        <v>6765</v>
      </c>
      <c r="H1315" s="40" t="s">
        <v>7868</v>
      </c>
      <c r="I1315" s="39">
        <v>2</v>
      </c>
      <c r="J1315" s="68">
        <v>44810</v>
      </c>
    </row>
    <row r="1316" spans="4:10" ht="15.6" customHeight="1">
      <c r="D1316" s="38">
        <v>1314</v>
      </c>
      <c r="E1316" s="39">
        <v>2311</v>
      </c>
      <c r="F1316" s="40" t="s">
        <v>8806</v>
      </c>
      <c r="G1316" s="40" t="s">
        <v>6765</v>
      </c>
      <c r="H1316" s="40" t="s">
        <v>7868</v>
      </c>
      <c r="I1316" s="39">
        <v>2</v>
      </c>
      <c r="J1316" s="68">
        <v>44810</v>
      </c>
    </row>
    <row r="1317" spans="4:10" ht="15.6" customHeight="1">
      <c r="D1317" s="38">
        <v>1315</v>
      </c>
      <c r="E1317" s="39">
        <v>4783</v>
      </c>
      <c r="F1317" s="40" t="s">
        <v>8807</v>
      </c>
      <c r="G1317" s="40" t="s">
        <v>6756</v>
      </c>
      <c r="H1317" s="40" t="s">
        <v>7165</v>
      </c>
      <c r="I1317" s="39">
        <v>3</v>
      </c>
      <c r="J1317" s="68">
        <v>44810</v>
      </c>
    </row>
    <row r="1318" spans="4:10" ht="15.6" customHeight="1">
      <c r="D1318" s="38">
        <v>1316</v>
      </c>
      <c r="E1318" s="39">
        <v>3960</v>
      </c>
      <c r="F1318" s="40" t="s">
        <v>8808</v>
      </c>
      <c r="G1318" s="40" t="s">
        <v>6756</v>
      </c>
      <c r="H1318" s="40" t="s">
        <v>6920</v>
      </c>
      <c r="I1318" s="39">
        <v>3</v>
      </c>
      <c r="J1318" s="68">
        <v>44810</v>
      </c>
    </row>
    <row r="1319" spans="4:10" ht="15.6" customHeight="1">
      <c r="D1319" s="38">
        <v>1317</v>
      </c>
      <c r="E1319" s="39">
        <v>4403</v>
      </c>
      <c r="F1319" s="40" t="s">
        <v>8809</v>
      </c>
      <c r="G1319" s="40" t="s">
        <v>6866</v>
      </c>
      <c r="H1319" s="40" t="s">
        <v>8511</v>
      </c>
      <c r="I1319" s="39">
        <v>2</v>
      </c>
      <c r="J1319" s="68">
        <v>44810</v>
      </c>
    </row>
    <row r="1320" spans="4:10" ht="15.6" customHeight="1">
      <c r="D1320" s="38">
        <v>1318</v>
      </c>
      <c r="E1320" s="39">
        <v>2196</v>
      </c>
      <c r="F1320" s="40" t="s">
        <v>8810</v>
      </c>
      <c r="G1320" s="40" t="s">
        <v>6866</v>
      </c>
      <c r="H1320" s="40" t="s">
        <v>8513</v>
      </c>
      <c r="I1320" s="39">
        <v>2</v>
      </c>
      <c r="J1320" s="68">
        <v>44810</v>
      </c>
    </row>
    <row r="1321" spans="4:10" ht="15.6" customHeight="1">
      <c r="D1321" s="38">
        <v>1319</v>
      </c>
      <c r="E1321" s="39">
        <v>4936</v>
      </c>
      <c r="F1321" s="40" t="s">
        <v>7396</v>
      </c>
      <c r="G1321" s="40" t="s">
        <v>6735</v>
      </c>
      <c r="H1321" s="40" t="s">
        <v>7176</v>
      </c>
      <c r="I1321" s="39">
        <v>2</v>
      </c>
      <c r="J1321" s="68">
        <v>44811</v>
      </c>
    </row>
    <row r="1322" spans="4:10" ht="15.6" customHeight="1">
      <c r="D1322" s="38">
        <v>1320</v>
      </c>
      <c r="E1322" s="39">
        <v>3257</v>
      </c>
      <c r="F1322" s="40" t="s">
        <v>8811</v>
      </c>
      <c r="G1322" s="40" t="s">
        <v>6735</v>
      </c>
      <c r="H1322" s="40" t="s">
        <v>131</v>
      </c>
      <c r="I1322" s="39">
        <v>3</v>
      </c>
      <c r="J1322" s="68">
        <v>44811</v>
      </c>
    </row>
    <row r="1323" spans="4:10" ht="15.6" customHeight="1">
      <c r="D1323" s="38">
        <v>1321</v>
      </c>
      <c r="E1323" s="39">
        <v>3630</v>
      </c>
      <c r="F1323" s="40" t="s">
        <v>8812</v>
      </c>
      <c r="G1323" s="40" t="s">
        <v>6735</v>
      </c>
      <c r="H1323" s="40" t="s">
        <v>131</v>
      </c>
      <c r="I1323" s="39">
        <v>2</v>
      </c>
      <c r="J1323" s="68">
        <v>44811</v>
      </c>
    </row>
    <row r="1324" spans="4:10" ht="15.6" customHeight="1">
      <c r="D1324" s="38">
        <v>1322</v>
      </c>
      <c r="E1324" s="39">
        <v>2667</v>
      </c>
      <c r="F1324" s="40" t="s">
        <v>8813</v>
      </c>
      <c r="G1324" s="40" t="s">
        <v>6765</v>
      </c>
      <c r="H1324" s="40" t="s">
        <v>8748</v>
      </c>
      <c r="I1324" s="39">
        <v>2</v>
      </c>
      <c r="J1324" s="68">
        <v>44811</v>
      </c>
    </row>
    <row r="1325" spans="4:10" ht="15.6" customHeight="1">
      <c r="D1325" s="38">
        <v>1323</v>
      </c>
      <c r="E1325" s="39">
        <v>3061</v>
      </c>
      <c r="F1325" s="40" t="s">
        <v>8814</v>
      </c>
      <c r="G1325" s="40" t="s">
        <v>6765</v>
      </c>
      <c r="H1325" s="40" t="s">
        <v>7866</v>
      </c>
      <c r="I1325" s="39">
        <v>2</v>
      </c>
      <c r="J1325" s="68">
        <v>44811</v>
      </c>
    </row>
    <row r="1326" spans="4:10" ht="15.6" customHeight="1">
      <c r="D1326" s="38">
        <v>1324</v>
      </c>
      <c r="E1326" s="39">
        <v>2818</v>
      </c>
      <c r="F1326" s="40" t="s">
        <v>8815</v>
      </c>
      <c r="G1326" s="40" t="s">
        <v>6765</v>
      </c>
      <c r="H1326" s="40" t="s">
        <v>7866</v>
      </c>
      <c r="I1326" s="39">
        <v>2</v>
      </c>
      <c r="J1326" s="68">
        <v>44811</v>
      </c>
    </row>
    <row r="1327" spans="4:10" ht="15.6" customHeight="1">
      <c r="D1327" s="38">
        <v>1325</v>
      </c>
      <c r="E1327" s="39">
        <v>3305</v>
      </c>
      <c r="F1327" s="40" t="s">
        <v>8816</v>
      </c>
      <c r="G1327" s="40" t="s">
        <v>6756</v>
      </c>
      <c r="H1327" s="40" t="s">
        <v>7730</v>
      </c>
      <c r="I1327" s="39">
        <v>3</v>
      </c>
      <c r="J1327" s="68">
        <v>44811</v>
      </c>
    </row>
    <row r="1328" spans="4:10" ht="15.6" customHeight="1">
      <c r="D1328" s="38">
        <v>1326</v>
      </c>
      <c r="E1328" s="39">
        <v>4423</v>
      </c>
      <c r="F1328" s="40" t="s">
        <v>8817</v>
      </c>
      <c r="G1328" s="40" t="s">
        <v>6756</v>
      </c>
      <c r="H1328" s="40" t="s">
        <v>7858</v>
      </c>
      <c r="I1328" s="39">
        <v>2</v>
      </c>
      <c r="J1328" s="68">
        <v>44811</v>
      </c>
    </row>
    <row r="1329" spans="4:10" ht="15.6" customHeight="1">
      <c r="D1329" s="38">
        <v>1327</v>
      </c>
      <c r="E1329" s="39">
        <v>4655</v>
      </c>
      <c r="F1329" s="40" t="s">
        <v>8818</v>
      </c>
      <c r="G1329" s="40" t="s">
        <v>6792</v>
      </c>
      <c r="H1329" s="40" t="s">
        <v>8043</v>
      </c>
      <c r="I1329" s="39">
        <v>2</v>
      </c>
      <c r="J1329" s="68">
        <v>44811</v>
      </c>
    </row>
    <row r="1330" spans="4:10" ht="15.6" customHeight="1">
      <c r="D1330" s="38">
        <v>1328</v>
      </c>
      <c r="E1330" s="39">
        <v>3712</v>
      </c>
      <c r="F1330" s="40" t="s">
        <v>8819</v>
      </c>
      <c r="G1330" s="40" t="s">
        <v>6792</v>
      </c>
      <c r="H1330" s="40" t="s">
        <v>8043</v>
      </c>
      <c r="I1330" s="39">
        <v>2</v>
      </c>
      <c r="J1330" s="68">
        <v>44811</v>
      </c>
    </row>
    <row r="1331" spans="4:10" ht="15.6" customHeight="1">
      <c r="D1331" s="38">
        <v>1329</v>
      </c>
      <c r="E1331" s="39">
        <v>4648</v>
      </c>
      <c r="F1331" s="40" t="s">
        <v>8820</v>
      </c>
      <c r="G1331" s="40" t="s">
        <v>6792</v>
      </c>
      <c r="H1331" s="40" t="s">
        <v>7806</v>
      </c>
      <c r="I1331" s="39">
        <v>2</v>
      </c>
      <c r="J1331" s="68">
        <v>44812</v>
      </c>
    </row>
    <row r="1332" spans="4:10" ht="15.6" customHeight="1">
      <c r="D1332" s="38">
        <v>1330</v>
      </c>
      <c r="E1332" s="39">
        <v>4751</v>
      </c>
      <c r="F1332" s="40" t="s">
        <v>8821</v>
      </c>
      <c r="G1332" s="40" t="s">
        <v>6792</v>
      </c>
      <c r="H1332" s="40" t="s">
        <v>7806</v>
      </c>
      <c r="I1332" s="39">
        <v>2</v>
      </c>
      <c r="J1332" s="68">
        <v>44812</v>
      </c>
    </row>
    <row r="1333" spans="4:10" ht="15.6" customHeight="1">
      <c r="D1333" s="38">
        <v>1331</v>
      </c>
      <c r="E1333" s="39">
        <v>4168</v>
      </c>
      <c r="F1333" s="40" t="s">
        <v>8822</v>
      </c>
      <c r="G1333" s="40" t="s">
        <v>6735</v>
      </c>
      <c r="H1333" s="40" t="s">
        <v>7998</v>
      </c>
      <c r="I1333" s="39">
        <v>2</v>
      </c>
      <c r="J1333" s="68">
        <v>44812</v>
      </c>
    </row>
    <row r="1334" spans="4:10" ht="15.6" customHeight="1">
      <c r="D1334" s="38">
        <v>1332</v>
      </c>
      <c r="E1334" s="39">
        <v>4556</v>
      </c>
      <c r="F1334" s="40" t="s">
        <v>8823</v>
      </c>
      <c r="G1334" s="40" t="s">
        <v>6735</v>
      </c>
      <c r="H1334" s="40" t="s">
        <v>7998</v>
      </c>
      <c r="I1334" s="39">
        <v>3</v>
      </c>
      <c r="J1334" s="68">
        <v>44812</v>
      </c>
    </row>
    <row r="1335" spans="4:10" ht="15.6" customHeight="1">
      <c r="D1335" s="38">
        <v>1333</v>
      </c>
      <c r="E1335" s="39">
        <v>4878</v>
      </c>
      <c r="F1335" s="40" t="s">
        <v>8824</v>
      </c>
      <c r="G1335" s="40" t="s">
        <v>6735</v>
      </c>
      <c r="H1335" s="40" t="s">
        <v>130</v>
      </c>
      <c r="I1335" s="39">
        <v>2</v>
      </c>
      <c r="J1335" s="68">
        <v>44812</v>
      </c>
    </row>
    <row r="1336" spans="4:10" ht="15.6" customHeight="1">
      <c r="D1336" s="38">
        <v>1334</v>
      </c>
      <c r="E1336" s="39">
        <v>3896</v>
      </c>
      <c r="F1336" s="40" t="s">
        <v>7503</v>
      </c>
      <c r="G1336" s="40" t="s">
        <v>5281</v>
      </c>
      <c r="H1336" s="40" t="s">
        <v>10</v>
      </c>
      <c r="I1336" s="39">
        <v>3</v>
      </c>
      <c r="J1336" s="68">
        <v>44812</v>
      </c>
    </row>
    <row r="1337" spans="4:10" ht="15.6" customHeight="1">
      <c r="D1337" s="38">
        <v>1335</v>
      </c>
      <c r="E1337" s="39">
        <v>4868</v>
      </c>
      <c r="F1337" s="40" t="s">
        <v>8825</v>
      </c>
      <c r="G1337" s="40" t="s">
        <v>6765</v>
      </c>
      <c r="H1337" s="40" t="s">
        <v>7866</v>
      </c>
      <c r="I1337" s="39">
        <v>2</v>
      </c>
      <c r="J1337" s="68">
        <v>44812</v>
      </c>
    </row>
    <row r="1338" spans="4:10" ht="15.6" customHeight="1">
      <c r="D1338" s="38">
        <v>1336</v>
      </c>
      <c r="E1338" s="39">
        <v>2557</v>
      </c>
      <c r="F1338" s="40" t="s">
        <v>8826</v>
      </c>
      <c r="G1338" s="40" t="s">
        <v>6756</v>
      </c>
      <c r="H1338" s="40" t="s">
        <v>6757</v>
      </c>
      <c r="I1338" s="39">
        <v>2</v>
      </c>
      <c r="J1338" s="68">
        <v>44812</v>
      </c>
    </row>
    <row r="1339" spans="4:10" ht="15.6" customHeight="1">
      <c r="D1339" s="38">
        <v>1337</v>
      </c>
      <c r="E1339" s="39">
        <v>2990</v>
      </c>
      <c r="F1339" s="40" t="s">
        <v>8827</v>
      </c>
      <c r="G1339" s="40" t="s">
        <v>6765</v>
      </c>
      <c r="H1339" s="40" t="s">
        <v>7866</v>
      </c>
      <c r="I1339" s="39">
        <v>2</v>
      </c>
      <c r="J1339" s="68">
        <v>44812</v>
      </c>
    </row>
    <row r="1340" spans="4:10" ht="15.6" customHeight="1">
      <c r="D1340" s="38">
        <v>1338</v>
      </c>
      <c r="E1340" s="39">
        <v>4504</v>
      </c>
      <c r="F1340" s="40" t="s">
        <v>8828</v>
      </c>
      <c r="G1340" s="40" t="s">
        <v>6765</v>
      </c>
      <c r="H1340" s="40" t="s">
        <v>7866</v>
      </c>
      <c r="I1340" s="39">
        <v>2</v>
      </c>
      <c r="J1340" s="68">
        <v>44812</v>
      </c>
    </row>
    <row r="1341" spans="4:10" ht="15.6" customHeight="1">
      <c r="D1341" s="38">
        <v>1339</v>
      </c>
      <c r="E1341" s="39">
        <v>4681</v>
      </c>
      <c r="F1341" s="40" t="s">
        <v>8829</v>
      </c>
      <c r="G1341" s="40" t="s">
        <v>6765</v>
      </c>
      <c r="H1341" s="40" t="s">
        <v>8748</v>
      </c>
      <c r="I1341" s="39">
        <v>2</v>
      </c>
      <c r="J1341" s="68">
        <v>44816</v>
      </c>
    </row>
    <row r="1342" spans="4:10" ht="15.6" customHeight="1">
      <c r="D1342" s="38">
        <v>1340</v>
      </c>
      <c r="E1342" s="39">
        <v>2959</v>
      </c>
      <c r="F1342" s="40" t="s">
        <v>6744</v>
      </c>
      <c r="G1342" s="40" t="s">
        <v>6765</v>
      </c>
      <c r="H1342" s="40" t="s">
        <v>8748</v>
      </c>
      <c r="I1342" s="39">
        <v>2</v>
      </c>
      <c r="J1342" s="68">
        <v>44816</v>
      </c>
    </row>
    <row r="1343" spans="4:10" ht="15.6" customHeight="1">
      <c r="D1343" s="38">
        <v>1341</v>
      </c>
      <c r="E1343" s="39">
        <v>3760</v>
      </c>
      <c r="F1343" s="40" t="s">
        <v>8830</v>
      </c>
      <c r="G1343" s="40" t="s">
        <v>6735</v>
      </c>
      <c r="H1343" s="40" t="s">
        <v>7232</v>
      </c>
      <c r="I1343" s="39">
        <v>3</v>
      </c>
      <c r="J1343" s="68">
        <v>44816</v>
      </c>
    </row>
    <row r="1344" spans="4:10" ht="15.6" customHeight="1">
      <c r="D1344" s="38">
        <v>1342</v>
      </c>
      <c r="E1344" s="39">
        <v>4256</v>
      </c>
      <c r="F1344" s="40" t="s">
        <v>7391</v>
      </c>
      <c r="G1344" s="40" t="s">
        <v>5281</v>
      </c>
      <c r="H1344" s="40" t="s">
        <v>11</v>
      </c>
      <c r="I1344" s="39">
        <v>3</v>
      </c>
      <c r="J1344" s="68">
        <v>44816</v>
      </c>
    </row>
    <row r="1345" spans="4:10" ht="15.6" customHeight="1">
      <c r="D1345" s="38">
        <v>1343</v>
      </c>
      <c r="E1345" s="69">
        <v>2718</v>
      </c>
      <c r="F1345" s="70" t="s">
        <v>8831</v>
      </c>
      <c r="G1345" s="40" t="s">
        <v>6765</v>
      </c>
      <c r="H1345" s="40" t="s">
        <v>7866</v>
      </c>
      <c r="I1345" s="39">
        <v>2</v>
      </c>
      <c r="J1345" s="68">
        <v>44816</v>
      </c>
    </row>
    <row r="1346" spans="4:10" ht="15.6" customHeight="1">
      <c r="D1346" s="38">
        <v>1344</v>
      </c>
      <c r="E1346" s="39">
        <v>4056</v>
      </c>
      <c r="F1346" s="40" t="s">
        <v>8832</v>
      </c>
      <c r="G1346" s="40" t="s">
        <v>6756</v>
      </c>
      <c r="H1346" s="40" t="s">
        <v>8399</v>
      </c>
      <c r="I1346" s="39">
        <v>3</v>
      </c>
      <c r="J1346" s="68">
        <v>44816</v>
      </c>
    </row>
    <row r="1347" spans="4:10" ht="15.6" customHeight="1">
      <c r="D1347" s="38">
        <v>1345</v>
      </c>
      <c r="E1347" s="39">
        <v>2396</v>
      </c>
      <c r="F1347" s="40" t="s">
        <v>8833</v>
      </c>
      <c r="G1347" s="40" t="s">
        <v>6756</v>
      </c>
      <c r="H1347" s="40" t="s">
        <v>8239</v>
      </c>
      <c r="I1347" s="39">
        <v>2</v>
      </c>
      <c r="J1347" s="68">
        <v>44816</v>
      </c>
    </row>
    <row r="1348" spans="4:10" ht="15.6" customHeight="1">
      <c r="D1348" s="38">
        <v>1346</v>
      </c>
      <c r="E1348" s="39">
        <v>4428</v>
      </c>
      <c r="F1348" s="40" t="s">
        <v>8834</v>
      </c>
      <c r="G1348" s="40" t="s">
        <v>6866</v>
      </c>
      <c r="H1348" s="40" t="s">
        <v>8365</v>
      </c>
      <c r="I1348" s="39">
        <v>3</v>
      </c>
      <c r="J1348" s="68">
        <v>44816</v>
      </c>
    </row>
    <row r="1349" spans="4:10" ht="15.6" customHeight="1">
      <c r="D1349" s="38">
        <v>1347</v>
      </c>
      <c r="E1349" s="39">
        <v>4488</v>
      </c>
      <c r="F1349" s="40" t="s">
        <v>8835</v>
      </c>
      <c r="G1349" s="40" t="s">
        <v>6866</v>
      </c>
      <c r="H1349" s="40" t="s">
        <v>6880</v>
      </c>
      <c r="I1349" s="39">
        <v>2</v>
      </c>
      <c r="J1349" s="68">
        <v>44816</v>
      </c>
    </row>
    <row r="1350" spans="4:10" ht="15.6" customHeight="1">
      <c r="D1350" s="38">
        <v>1348</v>
      </c>
      <c r="E1350" s="39">
        <v>4713</v>
      </c>
      <c r="F1350" s="40" t="s">
        <v>8836</v>
      </c>
      <c r="G1350" s="40" t="s">
        <v>6866</v>
      </c>
      <c r="H1350" s="40" t="s">
        <v>6880</v>
      </c>
      <c r="I1350" s="39">
        <v>2</v>
      </c>
      <c r="J1350" s="68">
        <v>44816</v>
      </c>
    </row>
    <row r="1351" spans="4:10" ht="15.6" customHeight="1">
      <c r="D1351" s="38">
        <v>1349</v>
      </c>
      <c r="E1351" s="39">
        <v>4468</v>
      </c>
      <c r="F1351" s="40" t="s">
        <v>8837</v>
      </c>
      <c r="G1351" s="40" t="s">
        <v>6735</v>
      </c>
      <c r="H1351" s="40" t="s">
        <v>131</v>
      </c>
      <c r="I1351" s="39">
        <v>2</v>
      </c>
      <c r="J1351" s="68">
        <v>44817</v>
      </c>
    </row>
    <row r="1352" spans="4:10" ht="15.6" customHeight="1">
      <c r="D1352" s="38">
        <v>1350</v>
      </c>
      <c r="E1352" s="39">
        <v>4320</v>
      </c>
      <c r="F1352" s="40" t="s">
        <v>8838</v>
      </c>
      <c r="G1352" s="40" t="s">
        <v>6735</v>
      </c>
      <c r="H1352" s="40" t="s">
        <v>131</v>
      </c>
      <c r="I1352" s="39">
        <v>2</v>
      </c>
      <c r="J1352" s="68">
        <v>44817</v>
      </c>
    </row>
    <row r="1353" spans="4:10" ht="15.6" customHeight="1">
      <c r="D1353" s="38">
        <v>1351</v>
      </c>
      <c r="E1353" s="69">
        <v>4980</v>
      </c>
      <c r="F1353" s="70" t="s">
        <v>8839</v>
      </c>
      <c r="G1353" s="40" t="s">
        <v>6765</v>
      </c>
      <c r="H1353" s="40" t="s">
        <v>7866</v>
      </c>
      <c r="I1353" s="39">
        <v>2</v>
      </c>
      <c r="J1353" s="68">
        <v>44817</v>
      </c>
    </row>
    <row r="1354" spans="4:10" ht="15.6" customHeight="1">
      <c r="D1354" s="38">
        <v>1352</v>
      </c>
      <c r="E1354" s="39">
        <v>3132</v>
      </c>
      <c r="F1354" s="40" t="s">
        <v>8840</v>
      </c>
      <c r="G1354" s="40" t="s">
        <v>6765</v>
      </c>
      <c r="H1354" s="40" t="s">
        <v>7866</v>
      </c>
      <c r="I1354" s="39">
        <v>2</v>
      </c>
      <c r="J1354" s="68">
        <v>44817</v>
      </c>
    </row>
    <row r="1355" spans="4:10" ht="15.6" customHeight="1">
      <c r="D1355" s="38">
        <v>1353</v>
      </c>
      <c r="E1355" s="39">
        <v>3125</v>
      </c>
      <c r="F1355" s="40" t="s">
        <v>8841</v>
      </c>
      <c r="G1355" s="40" t="s">
        <v>6765</v>
      </c>
      <c r="H1355" s="40" t="s">
        <v>7866</v>
      </c>
      <c r="I1355" s="39">
        <v>2</v>
      </c>
      <c r="J1355" s="68">
        <v>44817</v>
      </c>
    </row>
    <row r="1356" spans="4:10" ht="15.6" customHeight="1">
      <c r="D1356" s="38">
        <v>1354</v>
      </c>
      <c r="E1356" s="39">
        <v>4152</v>
      </c>
      <c r="F1356" s="40" t="s">
        <v>8842</v>
      </c>
      <c r="G1356" s="40" t="s">
        <v>6756</v>
      </c>
      <c r="H1356" s="40" t="s">
        <v>6882</v>
      </c>
      <c r="I1356" s="39">
        <v>3</v>
      </c>
      <c r="J1356" s="68">
        <v>44817</v>
      </c>
    </row>
    <row r="1357" spans="4:10" ht="15.6" customHeight="1">
      <c r="D1357" s="38">
        <v>1355</v>
      </c>
      <c r="E1357" s="39">
        <v>4391</v>
      </c>
      <c r="F1357" s="40" t="s">
        <v>8843</v>
      </c>
      <c r="G1357" s="40" t="s">
        <v>6756</v>
      </c>
      <c r="H1357" s="40" t="s">
        <v>7833</v>
      </c>
      <c r="I1357" s="39">
        <v>3</v>
      </c>
      <c r="J1357" s="68">
        <v>44817</v>
      </c>
    </row>
    <row r="1358" spans="4:10" ht="15.6" customHeight="1">
      <c r="D1358" s="38">
        <v>1356</v>
      </c>
      <c r="E1358" s="39">
        <v>3823</v>
      </c>
      <c r="F1358" s="40" t="s">
        <v>8844</v>
      </c>
      <c r="G1358" s="40" t="s">
        <v>6866</v>
      </c>
      <c r="H1358" s="40" t="s">
        <v>6880</v>
      </c>
      <c r="I1358" s="39">
        <v>3</v>
      </c>
      <c r="J1358" s="68">
        <v>44817</v>
      </c>
    </row>
    <row r="1359" spans="4:10" ht="15.6" customHeight="1">
      <c r="D1359" s="38">
        <v>1357</v>
      </c>
      <c r="E1359" s="39">
        <v>4930</v>
      </c>
      <c r="F1359" s="40" t="s">
        <v>8845</v>
      </c>
      <c r="G1359" s="40" t="s">
        <v>6866</v>
      </c>
      <c r="H1359" s="40" t="s">
        <v>6880</v>
      </c>
      <c r="I1359" s="39">
        <v>2</v>
      </c>
      <c r="J1359" s="68">
        <v>44817</v>
      </c>
    </row>
    <row r="1360" spans="4:10" ht="15.6" customHeight="1">
      <c r="D1360" s="38">
        <v>1358</v>
      </c>
      <c r="E1360" s="39">
        <v>4378</v>
      </c>
      <c r="F1360" s="40" t="s">
        <v>8846</v>
      </c>
      <c r="G1360" s="40" t="s">
        <v>6792</v>
      </c>
      <c r="H1360" s="40" t="s">
        <v>7806</v>
      </c>
      <c r="I1360" s="39">
        <v>2</v>
      </c>
      <c r="J1360" s="68">
        <v>44818</v>
      </c>
    </row>
    <row r="1361" spans="4:10" ht="15.6" customHeight="1">
      <c r="D1361" s="38">
        <v>1359</v>
      </c>
      <c r="E1361" s="39">
        <v>3951</v>
      </c>
      <c r="F1361" s="40" t="s">
        <v>8847</v>
      </c>
      <c r="G1361" s="40" t="s">
        <v>6735</v>
      </c>
      <c r="H1361" s="40" t="s">
        <v>7232</v>
      </c>
      <c r="I1361" s="39">
        <v>2</v>
      </c>
      <c r="J1361" s="68">
        <v>44818</v>
      </c>
    </row>
    <row r="1362" spans="4:10" ht="15.6" customHeight="1">
      <c r="D1362" s="38">
        <v>1360</v>
      </c>
      <c r="E1362" s="39">
        <v>2397</v>
      </c>
      <c r="F1362" s="40" t="s">
        <v>8848</v>
      </c>
      <c r="G1362" s="40" t="s">
        <v>6735</v>
      </c>
      <c r="H1362" s="40" t="s">
        <v>6736</v>
      </c>
      <c r="I1362" s="39">
        <v>2</v>
      </c>
      <c r="J1362" s="68">
        <v>44818</v>
      </c>
    </row>
    <row r="1363" spans="4:10" ht="15.6" customHeight="1">
      <c r="D1363" s="38">
        <v>1361</v>
      </c>
      <c r="E1363" s="39">
        <v>4103</v>
      </c>
      <c r="F1363" s="40" t="s">
        <v>8849</v>
      </c>
      <c r="G1363" s="40" t="s">
        <v>6735</v>
      </c>
      <c r="H1363" s="40" t="s">
        <v>6736</v>
      </c>
      <c r="I1363" s="39">
        <v>2</v>
      </c>
      <c r="J1363" s="68">
        <v>44818</v>
      </c>
    </row>
    <row r="1364" spans="4:10" ht="15.6" customHeight="1">
      <c r="D1364" s="38">
        <v>1362</v>
      </c>
      <c r="E1364" s="39">
        <v>3751</v>
      </c>
      <c r="F1364" s="40" t="s">
        <v>8850</v>
      </c>
      <c r="G1364" s="40" t="s">
        <v>5281</v>
      </c>
      <c r="H1364" s="40" t="s">
        <v>3</v>
      </c>
      <c r="I1364" s="39">
        <v>2</v>
      </c>
      <c r="J1364" s="68">
        <v>44818</v>
      </c>
    </row>
    <row r="1365" spans="4:10" ht="15.6" customHeight="1">
      <c r="D1365" s="38">
        <v>1363</v>
      </c>
      <c r="E1365" s="39">
        <v>4216</v>
      </c>
      <c r="F1365" s="40" t="s">
        <v>8851</v>
      </c>
      <c r="G1365" s="40" t="s">
        <v>5281</v>
      </c>
      <c r="H1365" s="40" t="s">
        <v>3</v>
      </c>
      <c r="I1365" s="39">
        <v>2</v>
      </c>
      <c r="J1365" s="68">
        <v>44818</v>
      </c>
    </row>
    <row r="1366" spans="4:10" ht="15.6" customHeight="1">
      <c r="D1366" s="38">
        <v>1364</v>
      </c>
      <c r="E1366" s="39">
        <v>3632</v>
      </c>
      <c r="F1366" s="40" t="s">
        <v>8852</v>
      </c>
      <c r="G1366" s="40" t="s">
        <v>6765</v>
      </c>
      <c r="H1366" s="40" t="s">
        <v>7866</v>
      </c>
      <c r="I1366" s="39">
        <v>2</v>
      </c>
      <c r="J1366" s="68">
        <v>44818</v>
      </c>
    </row>
    <row r="1367" spans="4:10" ht="15.6" customHeight="1">
      <c r="D1367" s="38">
        <v>1365</v>
      </c>
      <c r="E1367" s="39">
        <v>4016</v>
      </c>
      <c r="F1367" s="40" t="s">
        <v>8853</v>
      </c>
      <c r="G1367" s="40" t="s">
        <v>6765</v>
      </c>
      <c r="H1367" s="40" t="s">
        <v>7866</v>
      </c>
      <c r="I1367" s="39">
        <v>2</v>
      </c>
      <c r="J1367" s="68">
        <v>44818</v>
      </c>
    </row>
    <row r="1368" spans="4:10" ht="15.6" customHeight="1">
      <c r="D1368" s="38">
        <v>1366</v>
      </c>
      <c r="E1368" s="39">
        <v>4486</v>
      </c>
      <c r="F1368" s="40" t="s">
        <v>8854</v>
      </c>
      <c r="G1368" s="40" t="s">
        <v>6765</v>
      </c>
      <c r="H1368" s="40" t="s">
        <v>7866</v>
      </c>
      <c r="I1368" s="39">
        <v>2</v>
      </c>
      <c r="J1368" s="68">
        <v>44818</v>
      </c>
    </row>
    <row r="1369" spans="4:10" ht="15.6" customHeight="1">
      <c r="D1369" s="38">
        <v>1367</v>
      </c>
      <c r="E1369" s="39">
        <v>4193</v>
      </c>
      <c r="F1369" s="40" t="s">
        <v>7386</v>
      </c>
      <c r="G1369" s="40" t="s">
        <v>6756</v>
      </c>
      <c r="H1369" s="40" t="s">
        <v>6920</v>
      </c>
      <c r="I1369" s="39">
        <v>3</v>
      </c>
      <c r="J1369" s="68">
        <v>44818</v>
      </c>
    </row>
    <row r="1370" spans="4:10" ht="15.6" customHeight="1">
      <c r="D1370" s="38">
        <v>1368</v>
      </c>
      <c r="E1370" s="39">
        <v>4823</v>
      </c>
      <c r="F1370" s="40" t="s">
        <v>8855</v>
      </c>
      <c r="G1370" s="40" t="s">
        <v>6756</v>
      </c>
      <c r="H1370" s="40" t="s">
        <v>6882</v>
      </c>
      <c r="I1370" s="39">
        <v>2</v>
      </c>
      <c r="J1370" s="68">
        <v>44818</v>
      </c>
    </row>
    <row r="1371" spans="4:10" ht="15.6" customHeight="1">
      <c r="D1371" s="38">
        <v>1369</v>
      </c>
      <c r="E1371" s="39">
        <v>3548</v>
      </c>
      <c r="F1371" s="40" t="s">
        <v>8856</v>
      </c>
      <c r="G1371" s="40" t="s">
        <v>6866</v>
      </c>
      <c r="H1371" s="40" t="s">
        <v>6880</v>
      </c>
      <c r="I1371" s="39">
        <v>2</v>
      </c>
      <c r="J1371" s="68">
        <v>44818</v>
      </c>
    </row>
    <row r="1372" spans="4:10" ht="15.6" customHeight="1">
      <c r="D1372" s="38">
        <v>1370</v>
      </c>
      <c r="E1372" s="39">
        <v>4986</v>
      </c>
      <c r="F1372" s="40" t="s">
        <v>8857</v>
      </c>
      <c r="G1372" s="40" t="s">
        <v>6735</v>
      </c>
      <c r="H1372" s="40" t="s">
        <v>7232</v>
      </c>
      <c r="I1372" s="39">
        <v>2</v>
      </c>
      <c r="J1372" s="68">
        <v>44819</v>
      </c>
    </row>
    <row r="1373" spans="4:10" ht="15.6" customHeight="1">
      <c r="D1373" s="38">
        <v>1371</v>
      </c>
      <c r="E1373" s="39">
        <v>3243</v>
      </c>
      <c r="F1373" s="40" t="s">
        <v>1990</v>
      </c>
      <c r="G1373" s="40" t="s">
        <v>5281</v>
      </c>
      <c r="H1373" s="40" t="s">
        <v>13</v>
      </c>
      <c r="I1373" s="39">
        <v>3</v>
      </c>
      <c r="J1373" s="68">
        <v>44819</v>
      </c>
    </row>
    <row r="1374" spans="4:10" ht="15.6" customHeight="1">
      <c r="D1374" s="38">
        <v>1372</v>
      </c>
      <c r="E1374" s="39">
        <v>3137</v>
      </c>
      <c r="F1374" s="40" t="s">
        <v>2018</v>
      </c>
      <c r="G1374" s="40" t="s">
        <v>5281</v>
      </c>
      <c r="H1374" s="40" t="s">
        <v>12</v>
      </c>
      <c r="I1374" s="39">
        <v>2</v>
      </c>
      <c r="J1374" s="68">
        <v>44819</v>
      </c>
    </row>
    <row r="1375" spans="4:10" ht="15.6" customHeight="1">
      <c r="D1375" s="38">
        <v>1373</v>
      </c>
      <c r="E1375" s="39">
        <v>4762</v>
      </c>
      <c r="F1375" s="40" t="s">
        <v>896</v>
      </c>
      <c r="G1375" s="40" t="s">
        <v>5281</v>
      </c>
      <c r="H1375" s="40" t="s">
        <v>11</v>
      </c>
      <c r="I1375" s="39">
        <v>2</v>
      </c>
      <c r="J1375" s="68">
        <v>44819</v>
      </c>
    </row>
    <row r="1376" spans="4:10" ht="15.6" customHeight="1">
      <c r="D1376" s="38">
        <v>1374</v>
      </c>
      <c r="E1376" s="39">
        <v>4493</v>
      </c>
      <c r="F1376" s="40" t="s">
        <v>8858</v>
      </c>
      <c r="G1376" s="40" t="s">
        <v>6765</v>
      </c>
      <c r="H1376" s="40" t="s">
        <v>7866</v>
      </c>
      <c r="I1376" s="39">
        <v>2</v>
      </c>
      <c r="J1376" s="68">
        <v>44819</v>
      </c>
    </row>
    <row r="1377" spans="4:10" ht="15.6" customHeight="1">
      <c r="D1377" s="38">
        <v>1375</v>
      </c>
      <c r="E1377" s="39">
        <v>2962</v>
      </c>
      <c r="F1377" s="40" t="s">
        <v>8859</v>
      </c>
      <c r="G1377" s="40" t="s">
        <v>6765</v>
      </c>
      <c r="H1377" s="40" t="s">
        <v>7866</v>
      </c>
      <c r="I1377" s="39">
        <v>2</v>
      </c>
      <c r="J1377" s="68">
        <v>44819</v>
      </c>
    </row>
    <row r="1378" spans="4:10" ht="15.6" customHeight="1">
      <c r="D1378" s="38">
        <v>1376</v>
      </c>
      <c r="E1378" s="39">
        <v>3855</v>
      </c>
      <c r="F1378" s="40" t="s">
        <v>8860</v>
      </c>
      <c r="G1378" s="40" t="s">
        <v>6765</v>
      </c>
      <c r="H1378" s="40" t="s">
        <v>7866</v>
      </c>
      <c r="I1378" s="39">
        <v>2</v>
      </c>
      <c r="J1378" s="68">
        <v>44819</v>
      </c>
    </row>
    <row r="1379" spans="4:10" ht="15.6" customHeight="1">
      <c r="D1379" s="38">
        <v>1377</v>
      </c>
      <c r="E1379" s="39">
        <v>4822</v>
      </c>
      <c r="F1379" s="40" t="s">
        <v>8861</v>
      </c>
      <c r="G1379" s="40" t="s">
        <v>6756</v>
      </c>
      <c r="H1379" s="40" t="s">
        <v>6882</v>
      </c>
      <c r="I1379" s="39">
        <v>2</v>
      </c>
      <c r="J1379" s="68">
        <v>44819</v>
      </c>
    </row>
    <row r="1380" spans="4:10" ht="15.6" customHeight="1">
      <c r="D1380" s="38">
        <v>1378</v>
      </c>
      <c r="E1380" s="39">
        <v>4421</v>
      </c>
      <c r="F1380" s="40" t="s">
        <v>8862</v>
      </c>
      <c r="G1380" s="40" t="s">
        <v>6756</v>
      </c>
      <c r="H1380" s="40" t="s">
        <v>8863</v>
      </c>
      <c r="I1380" s="39">
        <v>2</v>
      </c>
      <c r="J1380" s="68">
        <v>44819</v>
      </c>
    </row>
    <row r="1381" spans="4:10" ht="15.6" customHeight="1">
      <c r="D1381" s="38">
        <v>1379</v>
      </c>
      <c r="E1381" s="39">
        <v>4704</v>
      </c>
      <c r="F1381" s="40" t="s">
        <v>8864</v>
      </c>
      <c r="G1381" s="40" t="s">
        <v>6792</v>
      </c>
      <c r="H1381" s="40" t="s">
        <v>8390</v>
      </c>
      <c r="I1381" s="39">
        <v>2</v>
      </c>
      <c r="J1381" s="68">
        <v>44819</v>
      </c>
    </row>
    <row r="1382" spans="4:10" ht="15.6" customHeight="1">
      <c r="D1382" s="38">
        <v>1380</v>
      </c>
      <c r="E1382" s="39">
        <v>4231</v>
      </c>
      <c r="F1382" s="40" t="s">
        <v>8865</v>
      </c>
      <c r="G1382" s="40" t="s">
        <v>6792</v>
      </c>
      <c r="H1382" s="40" t="s">
        <v>8390</v>
      </c>
      <c r="I1382" s="39">
        <v>2</v>
      </c>
      <c r="J1382" s="68">
        <v>44819</v>
      </c>
    </row>
    <row r="1383" spans="4:10" ht="15.6" customHeight="1">
      <c r="D1383" s="38">
        <v>1381</v>
      </c>
      <c r="E1383" s="39">
        <v>4897</v>
      </c>
      <c r="F1383" s="40" t="s">
        <v>8866</v>
      </c>
      <c r="G1383" s="40" t="s">
        <v>6792</v>
      </c>
      <c r="H1383" s="40" t="s">
        <v>8867</v>
      </c>
      <c r="I1383" s="39">
        <v>2</v>
      </c>
      <c r="J1383" s="68">
        <v>44820</v>
      </c>
    </row>
    <row r="1384" spans="4:10" ht="15.6" customHeight="1">
      <c r="D1384" s="38">
        <v>1382</v>
      </c>
      <c r="E1384" s="39">
        <v>3966</v>
      </c>
      <c r="F1384" s="40" t="s">
        <v>8868</v>
      </c>
      <c r="G1384" s="40" t="s">
        <v>6735</v>
      </c>
      <c r="H1384" s="40" t="s">
        <v>7232</v>
      </c>
      <c r="I1384" s="39">
        <v>2</v>
      </c>
      <c r="J1384" s="68">
        <v>44820</v>
      </c>
    </row>
    <row r="1385" spans="4:10" ht="15.6" customHeight="1">
      <c r="D1385" s="38">
        <v>1383</v>
      </c>
      <c r="E1385" s="39">
        <v>3936</v>
      </c>
      <c r="F1385" s="40" t="s">
        <v>8869</v>
      </c>
      <c r="G1385" s="40" t="s">
        <v>6735</v>
      </c>
      <c r="H1385" s="40" t="s">
        <v>6748</v>
      </c>
      <c r="I1385" s="39">
        <v>3</v>
      </c>
      <c r="J1385" s="68">
        <v>44820</v>
      </c>
    </row>
    <row r="1386" spans="4:10" ht="15.6" customHeight="1">
      <c r="D1386" s="38">
        <v>1384</v>
      </c>
      <c r="E1386" s="39">
        <v>3625</v>
      </c>
      <c r="F1386" s="40" t="s">
        <v>8870</v>
      </c>
      <c r="G1386" s="40" t="s">
        <v>6735</v>
      </c>
      <c r="H1386" s="40" t="s">
        <v>6748</v>
      </c>
      <c r="I1386" s="39">
        <v>2</v>
      </c>
      <c r="J1386" s="68">
        <v>44820</v>
      </c>
    </row>
    <row r="1387" spans="4:10" ht="15.6" customHeight="1">
      <c r="D1387" s="38">
        <v>1385</v>
      </c>
      <c r="E1387" s="39">
        <v>4745</v>
      </c>
      <c r="F1387" s="40" t="s">
        <v>8871</v>
      </c>
      <c r="G1387" s="40" t="s">
        <v>6765</v>
      </c>
      <c r="H1387" s="40" t="s">
        <v>7866</v>
      </c>
      <c r="I1387" s="39">
        <v>2</v>
      </c>
      <c r="J1387" s="68">
        <v>44820</v>
      </c>
    </row>
    <row r="1388" spans="4:10" ht="15.6" customHeight="1">
      <c r="D1388" s="38">
        <v>1386</v>
      </c>
      <c r="E1388" s="39">
        <v>4387</v>
      </c>
      <c r="F1388" s="40" t="s">
        <v>6824</v>
      </c>
      <c r="G1388" s="40" t="s">
        <v>6765</v>
      </c>
      <c r="H1388" s="40" t="s">
        <v>7866</v>
      </c>
      <c r="I1388" s="39">
        <v>3</v>
      </c>
      <c r="J1388" s="68">
        <v>44820</v>
      </c>
    </row>
    <row r="1389" spans="4:10" ht="15.6" customHeight="1">
      <c r="D1389" s="38">
        <v>1387</v>
      </c>
      <c r="E1389" s="39">
        <v>4375</v>
      </c>
      <c r="F1389" s="40" t="s">
        <v>8872</v>
      </c>
      <c r="G1389" s="40" t="s">
        <v>6756</v>
      </c>
      <c r="H1389" s="40" t="s">
        <v>7263</v>
      </c>
      <c r="I1389" s="39">
        <v>3</v>
      </c>
      <c r="J1389" s="68">
        <v>44820</v>
      </c>
    </row>
    <row r="1390" spans="4:10" ht="15.6" customHeight="1">
      <c r="D1390" s="38">
        <v>1388</v>
      </c>
      <c r="E1390" s="39">
        <v>4274</v>
      </c>
      <c r="F1390" s="40" t="s">
        <v>8873</v>
      </c>
      <c r="G1390" s="40" t="s">
        <v>6792</v>
      </c>
      <c r="H1390" s="40" t="s">
        <v>6868</v>
      </c>
      <c r="I1390" s="39">
        <v>2</v>
      </c>
      <c r="J1390" s="68">
        <v>44820</v>
      </c>
    </row>
    <row r="1391" spans="4:10" ht="15.6" customHeight="1">
      <c r="D1391" s="38">
        <v>1389</v>
      </c>
      <c r="E1391" s="39">
        <v>2265</v>
      </c>
      <c r="F1391" s="40" t="s">
        <v>8874</v>
      </c>
      <c r="G1391" s="40" t="s">
        <v>6792</v>
      </c>
      <c r="H1391" s="40" t="s">
        <v>6868</v>
      </c>
      <c r="I1391" s="39">
        <v>2</v>
      </c>
      <c r="J1391" s="68">
        <v>44820</v>
      </c>
    </row>
    <row r="1392" spans="4:10" ht="15.6" customHeight="1">
      <c r="D1392" s="38">
        <v>1390</v>
      </c>
      <c r="E1392" s="39">
        <v>4308</v>
      </c>
      <c r="F1392" s="40" t="s">
        <v>8875</v>
      </c>
      <c r="G1392" s="40" t="s">
        <v>5281</v>
      </c>
      <c r="H1392" s="40" t="s">
        <v>8432</v>
      </c>
      <c r="I1392" s="39">
        <v>2</v>
      </c>
      <c r="J1392" s="68">
        <v>44820</v>
      </c>
    </row>
    <row r="1393" spans="4:10" ht="15.6" customHeight="1">
      <c r="D1393" s="38">
        <v>1391</v>
      </c>
      <c r="E1393" s="39">
        <v>3788</v>
      </c>
      <c r="F1393" s="40" t="s">
        <v>8876</v>
      </c>
      <c r="G1393" s="40" t="s">
        <v>5281</v>
      </c>
      <c r="H1393" s="40" t="s">
        <v>6926</v>
      </c>
      <c r="I1393" s="39">
        <v>2</v>
      </c>
      <c r="J1393" s="68">
        <v>44823</v>
      </c>
    </row>
    <row r="1394" spans="4:10" ht="15.6" customHeight="1">
      <c r="D1394" s="38">
        <v>1392</v>
      </c>
      <c r="E1394" s="39">
        <v>3822</v>
      </c>
      <c r="F1394" s="40" t="s">
        <v>8877</v>
      </c>
      <c r="G1394" s="40" t="s">
        <v>5281</v>
      </c>
      <c r="H1394" s="40" t="s">
        <v>6926</v>
      </c>
      <c r="I1394" s="39">
        <v>3</v>
      </c>
      <c r="J1394" s="68">
        <v>44823</v>
      </c>
    </row>
    <row r="1395" spans="4:10" ht="15.6" customHeight="1">
      <c r="D1395" s="38">
        <v>1393</v>
      </c>
      <c r="E1395" s="39">
        <v>2284</v>
      </c>
      <c r="F1395" s="40" t="s">
        <v>8878</v>
      </c>
      <c r="G1395" s="40" t="s">
        <v>6735</v>
      </c>
      <c r="H1395" s="40" t="s">
        <v>6748</v>
      </c>
      <c r="I1395" s="39">
        <v>2</v>
      </c>
      <c r="J1395" s="68">
        <v>44823</v>
      </c>
    </row>
    <row r="1396" spans="4:10" ht="15.6" customHeight="1">
      <c r="D1396" s="38">
        <v>1394</v>
      </c>
      <c r="E1396" s="39">
        <v>3768</v>
      </c>
      <c r="F1396" s="40" t="s">
        <v>8879</v>
      </c>
      <c r="G1396" s="40" t="s">
        <v>6735</v>
      </c>
      <c r="H1396" s="40" t="s">
        <v>6748</v>
      </c>
      <c r="I1396" s="39">
        <v>2</v>
      </c>
      <c r="J1396" s="68">
        <v>44823</v>
      </c>
    </row>
    <row r="1397" spans="4:10" ht="15.6" customHeight="1">
      <c r="D1397" s="38">
        <v>1395</v>
      </c>
      <c r="E1397" s="39">
        <v>4048</v>
      </c>
      <c r="F1397" s="40" t="s">
        <v>8880</v>
      </c>
      <c r="G1397" s="40" t="s">
        <v>6774</v>
      </c>
      <c r="H1397" s="40" t="s">
        <v>7646</v>
      </c>
      <c r="I1397" s="39">
        <v>2</v>
      </c>
      <c r="J1397" s="68">
        <v>44823</v>
      </c>
    </row>
    <row r="1398" spans="4:10" ht="15.6" customHeight="1">
      <c r="D1398" s="38">
        <v>1396</v>
      </c>
      <c r="E1398" s="39">
        <v>4766</v>
      </c>
      <c r="F1398" s="40" t="s">
        <v>8881</v>
      </c>
      <c r="G1398" s="40" t="s">
        <v>6774</v>
      </c>
      <c r="H1398" s="40" t="s">
        <v>7646</v>
      </c>
      <c r="I1398" s="39">
        <v>2</v>
      </c>
      <c r="J1398" s="68">
        <v>44823</v>
      </c>
    </row>
    <row r="1399" spans="4:10" ht="15.6" customHeight="1">
      <c r="D1399" s="38">
        <v>1397</v>
      </c>
      <c r="E1399" s="39">
        <v>2297</v>
      </c>
      <c r="F1399" s="40" t="s">
        <v>8882</v>
      </c>
      <c r="G1399" s="40" t="s">
        <v>6774</v>
      </c>
      <c r="H1399" s="40" t="s">
        <v>7646</v>
      </c>
      <c r="I1399" s="39">
        <v>2</v>
      </c>
      <c r="J1399" s="68">
        <v>44823</v>
      </c>
    </row>
    <row r="1400" spans="4:10" ht="15.6" customHeight="1">
      <c r="D1400" s="38">
        <v>1398</v>
      </c>
      <c r="E1400" s="39">
        <v>3757</v>
      </c>
      <c r="F1400" s="40" t="s">
        <v>8883</v>
      </c>
      <c r="G1400" s="40" t="s">
        <v>6850</v>
      </c>
      <c r="H1400" s="40" t="s">
        <v>6843</v>
      </c>
      <c r="I1400" s="39">
        <v>3</v>
      </c>
      <c r="J1400" s="68">
        <v>44823</v>
      </c>
    </row>
    <row r="1401" spans="4:10" ht="15.6" customHeight="1">
      <c r="D1401" s="38">
        <v>1399</v>
      </c>
      <c r="E1401" s="39">
        <v>4356</v>
      </c>
      <c r="F1401" s="40" t="s">
        <v>8884</v>
      </c>
      <c r="G1401" s="40" t="s">
        <v>6850</v>
      </c>
      <c r="H1401" s="40" t="s">
        <v>6843</v>
      </c>
      <c r="I1401" s="39">
        <v>3</v>
      </c>
      <c r="J1401" s="68">
        <v>44823</v>
      </c>
    </row>
    <row r="1402" spans="4:10" ht="15.6" customHeight="1">
      <c r="D1402" s="38">
        <v>1400</v>
      </c>
      <c r="E1402" s="39">
        <v>4995</v>
      </c>
      <c r="F1402" s="40" t="s">
        <v>8885</v>
      </c>
      <c r="G1402" s="40" t="s">
        <v>6826</v>
      </c>
      <c r="H1402" s="40" t="s">
        <v>7438</v>
      </c>
      <c r="I1402" s="39">
        <v>2</v>
      </c>
      <c r="J1402" s="68">
        <v>44823</v>
      </c>
    </row>
    <row r="1403" spans="4:10" ht="15.6" customHeight="1">
      <c r="D1403" s="38">
        <v>1401</v>
      </c>
      <c r="E1403" s="39">
        <v>4409</v>
      </c>
      <c r="F1403" s="40" t="s">
        <v>8886</v>
      </c>
      <c r="G1403" s="40" t="s">
        <v>6826</v>
      </c>
      <c r="H1403" s="40" t="s">
        <v>7438</v>
      </c>
      <c r="I1403" s="39">
        <v>2</v>
      </c>
      <c r="J1403" s="68">
        <v>44823</v>
      </c>
    </row>
    <row r="1404" spans="4:10" ht="15.6" customHeight="1">
      <c r="D1404" s="38">
        <v>1402</v>
      </c>
      <c r="E1404" s="39">
        <v>3883</v>
      </c>
      <c r="F1404" s="40" t="s">
        <v>2520</v>
      </c>
      <c r="G1404" s="40" t="s">
        <v>5281</v>
      </c>
      <c r="H1404" s="40" t="s">
        <v>15</v>
      </c>
      <c r="I1404" s="39">
        <v>3</v>
      </c>
      <c r="J1404" s="68">
        <v>44824</v>
      </c>
    </row>
    <row r="1405" spans="4:10" ht="15.6" customHeight="1">
      <c r="D1405" s="38">
        <v>1403</v>
      </c>
      <c r="E1405" s="39">
        <v>3941</v>
      </c>
      <c r="F1405" s="40" t="s">
        <v>2435</v>
      </c>
      <c r="G1405" s="40" t="s">
        <v>5281</v>
      </c>
      <c r="H1405" s="40" t="s">
        <v>16</v>
      </c>
      <c r="I1405" s="39">
        <v>3</v>
      </c>
      <c r="J1405" s="68">
        <v>44824</v>
      </c>
    </row>
    <row r="1406" spans="4:10" ht="15.6" customHeight="1">
      <c r="D1406" s="38">
        <v>1404</v>
      </c>
      <c r="E1406" s="39">
        <v>3509</v>
      </c>
      <c r="F1406" s="40" t="s">
        <v>8887</v>
      </c>
      <c r="G1406" s="40" t="s">
        <v>6735</v>
      </c>
      <c r="H1406" s="40" t="s">
        <v>130</v>
      </c>
      <c r="I1406" s="39">
        <v>2</v>
      </c>
      <c r="J1406" s="68">
        <v>44824</v>
      </c>
    </row>
    <row r="1407" spans="4:10" ht="15.6" customHeight="1">
      <c r="D1407" s="38">
        <v>1405</v>
      </c>
      <c r="E1407" s="39">
        <v>3471</v>
      </c>
      <c r="F1407" s="40" t="s">
        <v>8888</v>
      </c>
      <c r="G1407" s="40" t="s">
        <v>6735</v>
      </c>
      <c r="H1407" s="40" t="s">
        <v>130</v>
      </c>
      <c r="I1407" s="39">
        <v>2</v>
      </c>
      <c r="J1407" s="68">
        <v>44824</v>
      </c>
    </row>
    <row r="1408" spans="4:10" ht="15.6" customHeight="1">
      <c r="D1408" s="38">
        <v>1406</v>
      </c>
      <c r="E1408" s="39">
        <v>4960</v>
      </c>
      <c r="F1408" s="40" t="s">
        <v>6753</v>
      </c>
      <c r="G1408" s="40" t="s">
        <v>6765</v>
      </c>
      <c r="H1408" s="40" t="s">
        <v>7857</v>
      </c>
      <c r="I1408" s="39">
        <v>2</v>
      </c>
      <c r="J1408" s="68">
        <v>44824</v>
      </c>
    </row>
    <row r="1409" spans="4:10" ht="15.6" customHeight="1">
      <c r="D1409" s="38">
        <v>1407</v>
      </c>
      <c r="E1409" s="39">
        <v>2762</v>
      </c>
      <c r="F1409" s="40" t="s">
        <v>8889</v>
      </c>
      <c r="G1409" s="40" t="s">
        <v>6765</v>
      </c>
      <c r="H1409" s="40" t="s">
        <v>7857</v>
      </c>
      <c r="I1409" s="39">
        <v>2</v>
      </c>
      <c r="J1409" s="68">
        <v>44824</v>
      </c>
    </row>
    <row r="1410" spans="4:10" ht="15.6" customHeight="1">
      <c r="D1410" s="38">
        <v>1408</v>
      </c>
      <c r="E1410" s="39">
        <v>4181</v>
      </c>
      <c r="F1410" s="40" t="s">
        <v>8890</v>
      </c>
      <c r="G1410" s="40" t="s">
        <v>6850</v>
      </c>
      <c r="H1410" s="40" t="s">
        <v>8632</v>
      </c>
      <c r="I1410" s="39">
        <v>2</v>
      </c>
      <c r="J1410" s="68">
        <v>44824</v>
      </c>
    </row>
    <row r="1411" spans="4:10" ht="15.6" customHeight="1">
      <c r="D1411" s="38">
        <v>1409</v>
      </c>
      <c r="E1411" s="39">
        <v>4446</v>
      </c>
      <c r="F1411" s="40" t="s">
        <v>8891</v>
      </c>
      <c r="G1411" s="40" t="s">
        <v>6850</v>
      </c>
      <c r="H1411" s="40" t="s">
        <v>8632</v>
      </c>
      <c r="I1411" s="39">
        <v>2</v>
      </c>
      <c r="J1411" s="68">
        <v>44824</v>
      </c>
    </row>
    <row r="1412" spans="4:10" ht="15.6" customHeight="1">
      <c r="D1412" s="38">
        <v>1410</v>
      </c>
      <c r="E1412" s="39">
        <v>4410</v>
      </c>
      <c r="F1412" s="40" t="s">
        <v>8892</v>
      </c>
      <c r="G1412" s="40" t="s">
        <v>6826</v>
      </c>
      <c r="H1412" s="40" t="s">
        <v>8068</v>
      </c>
      <c r="I1412" s="39">
        <v>2</v>
      </c>
      <c r="J1412" s="68">
        <v>44824</v>
      </c>
    </row>
    <row r="1413" spans="4:10" ht="15.6" customHeight="1">
      <c r="D1413" s="38">
        <v>1411</v>
      </c>
      <c r="E1413" s="39">
        <v>4653</v>
      </c>
      <c r="F1413" s="40" t="s">
        <v>8893</v>
      </c>
      <c r="G1413" s="40" t="s">
        <v>6816</v>
      </c>
      <c r="H1413" s="40" t="s">
        <v>8894</v>
      </c>
      <c r="I1413" s="39">
        <v>2</v>
      </c>
      <c r="J1413" s="68">
        <v>44824</v>
      </c>
    </row>
    <row r="1414" spans="4:10" ht="15.6" customHeight="1">
      <c r="D1414" s="38">
        <v>1412</v>
      </c>
      <c r="E1414" s="39">
        <v>3683</v>
      </c>
      <c r="F1414" s="40" t="s">
        <v>8895</v>
      </c>
      <c r="G1414" s="40" t="s">
        <v>6735</v>
      </c>
      <c r="H1414" s="40" t="s">
        <v>6819</v>
      </c>
      <c r="I1414" s="39">
        <v>3</v>
      </c>
      <c r="J1414" s="68">
        <v>44825</v>
      </c>
    </row>
    <row r="1415" spans="4:10" ht="15.6" customHeight="1">
      <c r="D1415" s="38">
        <v>1413</v>
      </c>
      <c r="E1415" s="39">
        <v>3918</v>
      </c>
      <c r="F1415" s="40" t="s">
        <v>8896</v>
      </c>
      <c r="G1415" s="40" t="s">
        <v>6782</v>
      </c>
      <c r="H1415" s="40" t="s">
        <v>7829</v>
      </c>
      <c r="I1415" s="39">
        <v>3</v>
      </c>
      <c r="J1415" s="68">
        <v>44825</v>
      </c>
    </row>
    <row r="1416" spans="4:10" ht="15.6" customHeight="1">
      <c r="D1416" s="38">
        <v>1414</v>
      </c>
      <c r="E1416" s="39">
        <v>3919</v>
      </c>
      <c r="F1416" s="40" t="s">
        <v>8897</v>
      </c>
      <c r="G1416" s="40" t="s">
        <v>6782</v>
      </c>
      <c r="H1416" s="40" t="s">
        <v>7829</v>
      </c>
      <c r="I1416" s="39">
        <v>3</v>
      </c>
      <c r="J1416" s="68">
        <v>44825</v>
      </c>
    </row>
    <row r="1417" spans="4:10" ht="15.6" customHeight="1">
      <c r="D1417" s="38">
        <v>1415</v>
      </c>
      <c r="E1417" s="39">
        <v>4641</v>
      </c>
      <c r="F1417" s="40" t="s">
        <v>8898</v>
      </c>
      <c r="G1417" s="40" t="s">
        <v>6782</v>
      </c>
      <c r="H1417" s="40" t="s">
        <v>7829</v>
      </c>
      <c r="I1417" s="39">
        <v>2</v>
      </c>
      <c r="J1417" s="68">
        <v>44825</v>
      </c>
    </row>
    <row r="1418" spans="4:10" ht="15.6" customHeight="1">
      <c r="D1418" s="38">
        <v>1416</v>
      </c>
      <c r="E1418" s="39">
        <v>4724</v>
      </c>
      <c r="F1418" s="40" t="s">
        <v>8899</v>
      </c>
      <c r="G1418" s="40" t="s">
        <v>6850</v>
      </c>
      <c r="H1418" s="40" t="s">
        <v>6843</v>
      </c>
      <c r="I1418" s="39">
        <v>3</v>
      </c>
      <c r="J1418" s="68">
        <v>44825</v>
      </c>
    </row>
    <row r="1419" spans="4:10" ht="15.6" customHeight="1">
      <c r="D1419" s="38">
        <v>1417</v>
      </c>
      <c r="E1419" s="39">
        <v>3350</v>
      </c>
      <c r="F1419" s="40" t="s">
        <v>8900</v>
      </c>
      <c r="G1419" s="40" t="s">
        <v>6792</v>
      </c>
      <c r="H1419" s="40" t="s">
        <v>6793</v>
      </c>
      <c r="I1419" s="39">
        <v>2</v>
      </c>
      <c r="J1419" s="68">
        <v>44825</v>
      </c>
    </row>
    <row r="1420" spans="4:10" ht="15.6" customHeight="1">
      <c r="D1420" s="38">
        <v>1418</v>
      </c>
      <c r="E1420" s="39">
        <v>3871</v>
      </c>
      <c r="F1420" s="40" t="s">
        <v>8901</v>
      </c>
      <c r="G1420" s="40" t="s">
        <v>6790</v>
      </c>
      <c r="H1420" s="40" t="s">
        <v>8561</v>
      </c>
      <c r="I1420" s="39">
        <v>3</v>
      </c>
      <c r="J1420" s="68">
        <v>44825</v>
      </c>
    </row>
    <row r="1421" spans="4:10" ht="15.6" customHeight="1">
      <c r="D1421" s="38">
        <v>1419</v>
      </c>
      <c r="E1421" s="39">
        <v>3225</v>
      </c>
      <c r="F1421" s="40" t="s">
        <v>8902</v>
      </c>
      <c r="G1421" s="40" t="s">
        <v>6735</v>
      </c>
      <c r="H1421" s="40" t="s">
        <v>6810</v>
      </c>
      <c r="I1421" s="39">
        <v>2</v>
      </c>
      <c r="J1421" s="68">
        <v>44826</v>
      </c>
    </row>
    <row r="1422" spans="4:10" ht="15.6" customHeight="1">
      <c r="D1422" s="38">
        <v>1420</v>
      </c>
      <c r="E1422" s="39">
        <v>3851</v>
      </c>
      <c r="F1422" s="40" t="s">
        <v>6559</v>
      </c>
      <c r="G1422" s="40" t="s">
        <v>5281</v>
      </c>
      <c r="H1422" s="40" t="s">
        <v>11</v>
      </c>
      <c r="I1422" s="39">
        <v>2</v>
      </c>
      <c r="J1422" s="68">
        <v>44826</v>
      </c>
    </row>
    <row r="1423" spans="4:10" ht="15.6" customHeight="1">
      <c r="D1423" s="38">
        <v>1421</v>
      </c>
      <c r="E1423" s="39">
        <v>4929</v>
      </c>
      <c r="F1423" s="40" t="s">
        <v>8903</v>
      </c>
      <c r="G1423" s="40" t="s">
        <v>6738</v>
      </c>
      <c r="H1423" s="40" t="s">
        <v>8904</v>
      </c>
      <c r="I1423" s="39">
        <v>5</v>
      </c>
      <c r="J1423" s="68">
        <v>44826</v>
      </c>
    </row>
    <row r="1424" spans="4:10" ht="15.6" customHeight="1">
      <c r="D1424" s="38">
        <v>1422</v>
      </c>
      <c r="E1424" s="39">
        <v>4570</v>
      </c>
      <c r="F1424" s="40" t="s">
        <v>8905</v>
      </c>
      <c r="G1424" s="40" t="s">
        <v>6765</v>
      </c>
      <c r="H1424" s="40" t="s">
        <v>6835</v>
      </c>
      <c r="I1424" s="39">
        <v>2</v>
      </c>
      <c r="J1424" s="68">
        <v>44826</v>
      </c>
    </row>
    <row r="1425" spans="4:10" ht="15.6" customHeight="1">
      <c r="D1425" s="38">
        <v>1423</v>
      </c>
      <c r="E1425" s="39">
        <v>3917</v>
      </c>
      <c r="F1425" s="40" t="s">
        <v>6763</v>
      </c>
      <c r="G1425" s="40" t="s">
        <v>6765</v>
      </c>
      <c r="H1425" s="40" t="s">
        <v>6835</v>
      </c>
      <c r="I1425" s="39">
        <v>2</v>
      </c>
      <c r="J1425" s="68">
        <v>44826</v>
      </c>
    </row>
    <row r="1426" spans="4:10" ht="15.6" customHeight="1">
      <c r="D1426" s="38">
        <v>1424</v>
      </c>
      <c r="E1426" s="39">
        <v>4198</v>
      </c>
      <c r="F1426" s="40" t="s">
        <v>8906</v>
      </c>
      <c r="G1426" s="40" t="s">
        <v>6765</v>
      </c>
      <c r="H1426" s="40" t="s">
        <v>6835</v>
      </c>
      <c r="I1426" s="39">
        <v>3</v>
      </c>
      <c r="J1426" s="68">
        <v>44826</v>
      </c>
    </row>
    <row r="1427" spans="4:10" ht="15.6" customHeight="1">
      <c r="D1427" s="38">
        <v>1425</v>
      </c>
      <c r="E1427" s="39">
        <v>4750</v>
      </c>
      <c r="F1427" s="40" t="s">
        <v>8907</v>
      </c>
      <c r="G1427" s="40" t="s">
        <v>6866</v>
      </c>
      <c r="H1427" s="40" t="s">
        <v>8513</v>
      </c>
      <c r="I1427" s="39">
        <v>2</v>
      </c>
      <c r="J1427" s="68">
        <v>44826</v>
      </c>
    </row>
    <row r="1428" spans="4:10" ht="15.6" customHeight="1">
      <c r="D1428" s="38">
        <v>1426</v>
      </c>
      <c r="E1428" s="39">
        <v>4119</v>
      </c>
      <c r="F1428" s="40" t="s">
        <v>7482</v>
      </c>
      <c r="G1428" s="40" t="s">
        <v>6826</v>
      </c>
      <c r="H1428" s="40" t="s">
        <v>8908</v>
      </c>
      <c r="I1428" s="39">
        <v>6</v>
      </c>
      <c r="J1428" s="68">
        <v>44826</v>
      </c>
    </row>
    <row r="1429" spans="4:10" ht="15.6" customHeight="1">
      <c r="D1429" s="38">
        <v>1427</v>
      </c>
      <c r="E1429" s="39">
        <v>4268</v>
      </c>
      <c r="F1429" s="40" t="s">
        <v>8909</v>
      </c>
      <c r="G1429" s="40" t="s">
        <v>6738</v>
      </c>
      <c r="H1429" s="40" t="s">
        <v>8409</v>
      </c>
      <c r="I1429" s="39">
        <v>2</v>
      </c>
      <c r="J1429" s="68">
        <v>44827</v>
      </c>
    </row>
    <row r="1430" spans="4:10" ht="15.6" customHeight="1">
      <c r="D1430" s="38">
        <v>1428</v>
      </c>
      <c r="E1430" s="39">
        <v>3563</v>
      </c>
      <c r="F1430" s="40" t="s">
        <v>8910</v>
      </c>
      <c r="G1430" s="40" t="s">
        <v>6738</v>
      </c>
      <c r="H1430" s="40" t="s">
        <v>8409</v>
      </c>
      <c r="I1430" s="39">
        <v>2</v>
      </c>
      <c r="J1430" s="68">
        <v>44827</v>
      </c>
    </row>
    <row r="1431" spans="4:10" ht="15.6" customHeight="1">
      <c r="D1431" s="38">
        <v>1429</v>
      </c>
      <c r="E1431" s="39">
        <v>3685</v>
      </c>
      <c r="F1431" s="40" t="s">
        <v>8911</v>
      </c>
      <c r="G1431" s="40" t="s">
        <v>6735</v>
      </c>
      <c r="H1431" s="40" t="s">
        <v>6819</v>
      </c>
      <c r="I1431" s="39">
        <v>2</v>
      </c>
      <c r="J1431" s="68">
        <v>44827</v>
      </c>
    </row>
    <row r="1432" spans="4:10" ht="15.6" customHeight="1">
      <c r="D1432" s="38">
        <v>1430</v>
      </c>
      <c r="E1432" s="69">
        <v>3939</v>
      </c>
      <c r="F1432" s="40" t="s">
        <v>8912</v>
      </c>
      <c r="G1432" s="40" t="s">
        <v>6765</v>
      </c>
      <c r="H1432" s="40" t="s">
        <v>7526</v>
      </c>
      <c r="I1432" s="39">
        <v>3</v>
      </c>
      <c r="J1432" s="68">
        <v>44827</v>
      </c>
    </row>
    <row r="1433" spans="4:10" ht="15.6" customHeight="1">
      <c r="D1433" s="38">
        <v>1431</v>
      </c>
      <c r="E1433" s="69">
        <v>4712</v>
      </c>
      <c r="F1433" s="40" t="s">
        <v>8913</v>
      </c>
      <c r="G1433" s="40" t="s">
        <v>6765</v>
      </c>
      <c r="H1433" s="40" t="s">
        <v>7526</v>
      </c>
      <c r="I1433" s="39">
        <v>2</v>
      </c>
      <c r="J1433" s="68">
        <v>44827</v>
      </c>
    </row>
    <row r="1434" spans="4:10" ht="15.6" customHeight="1">
      <c r="D1434" s="38">
        <v>1432</v>
      </c>
      <c r="E1434" s="69">
        <v>4045</v>
      </c>
      <c r="F1434" s="40" t="s">
        <v>8914</v>
      </c>
      <c r="G1434" s="40" t="s">
        <v>6765</v>
      </c>
      <c r="H1434" s="40" t="s">
        <v>7526</v>
      </c>
      <c r="I1434" s="39">
        <v>2</v>
      </c>
      <c r="J1434" s="68">
        <v>44827</v>
      </c>
    </row>
    <row r="1435" spans="4:10" ht="15.6" customHeight="1">
      <c r="D1435" s="38">
        <v>1433</v>
      </c>
      <c r="E1435" s="39">
        <v>2257</v>
      </c>
      <c r="F1435" s="40" t="s">
        <v>8915</v>
      </c>
      <c r="G1435" s="40" t="s">
        <v>6866</v>
      </c>
      <c r="H1435" s="40" t="s">
        <v>8513</v>
      </c>
      <c r="I1435" s="39">
        <v>2</v>
      </c>
      <c r="J1435" s="68">
        <v>44827</v>
      </c>
    </row>
    <row r="1436" spans="4:10" ht="15.6" customHeight="1">
      <c r="D1436" s="38">
        <v>1434</v>
      </c>
      <c r="E1436" s="39">
        <v>4846</v>
      </c>
      <c r="F1436" s="40" t="s">
        <v>8916</v>
      </c>
      <c r="G1436" s="40" t="s">
        <v>6792</v>
      </c>
      <c r="H1436" s="40" t="s">
        <v>6793</v>
      </c>
      <c r="I1436" s="39">
        <v>2</v>
      </c>
      <c r="J1436" s="68">
        <v>44827</v>
      </c>
    </row>
    <row r="1437" spans="4:10" ht="15.6" customHeight="1">
      <c r="D1437" s="38">
        <v>1435</v>
      </c>
      <c r="E1437" s="39">
        <v>4252</v>
      </c>
      <c r="F1437" s="40" t="s">
        <v>8917</v>
      </c>
      <c r="G1437" s="40" t="s">
        <v>6792</v>
      </c>
      <c r="H1437" s="40" t="s">
        <v>6793</v>
      </c>
      <c r="I1437" s="39">
        <v>3</v>
      </c>
      <c r="J1437" s="68">
        <v>44827</v>
      </c>
    </row>
    <row r="1438" spans="4:10" ht="15.6" customHeight="1">
      <c r="D1438" s="38">
        <v>1436</v>
      </c>
      <c r="E1438" s="39">
        <v>3195</v>
      </c>
      <c r="F1438" s="40" t="s">
        <v>8918</v>
      </c>
      <c r="G1438" s="40" t="s">
        <v>6756</v>
      </c>
      <c r="H1438" s="40" t="s">
        <v>6757</v>
      </c>
      <c r="I1438" s="39">
        <v>4</v>
      </c>
      <c r="J1438" s="68">
        <v>44827</v>
      </c>
    </row>
    <row r="1439" spans="4:10" ht="15.6" customHeight="1">
      <c r="D1439" s="38">
        <v>1437</v>
      </c>
      <c r="E1439" s="39">
        <v>4360</v>
      </c>
      <c r="F1439" s="40" t="s">
        <v>8919</v>
      </c>
      <c r="G1439" s="40" t="s">
        <v>6756</v>
      </c>
      <c r="H1439" s="40" t="s">
        <v>6757</v>
      </c>
      <c r="I1439" s="39">
        <v>3</v>
      </c>
      <c r="J1439" s="68">
        <v>44827</v>
      </c>
    </row>
    <row r="1440" spans="4:10" ht="15.6" customHeight="1">
      <c r="D1440" s="38">
        <v>1438</v>
      </c>
      <c r="E1440" s="39">
        <v>3714</v>
      </c>
      <c r="F1440" s="40" t="s">
        <v>8920</v>
      </c>
      <c r="G1440" s="40" t="s">
        <v>6792</v>
      </c>
      <c r="H1440" s="40" t="s">
        <v>8043</v>
      </c>
      <c r="I1440" s="39">
        <v>2</v>
      </c>
      <c r="J1440" s="68">
        <v>44830</v>
      </c>
    </row>
    <row r="1441" spans="4:10" ht="15.6" customHeight="1">
      <c r="D1441" s="38">
        <v>1439</v>
      </c>
      <c r="E1441" s="39">
        <v>3950</v>
      </c>
      <c r="F1441" s="40" t="s">
        <v>8921</v>
      </c>
      <c r="G1441" s="40" t="s">
        <v>6792</v>
      </c>
      <c r="H1441" s="40" t="s">
        <v>7806</v>
      </c>
      <c r="I1441" s="39">
        <v>2</v>
      </c>
      <c r="J1441" s="68">
        <v>44830</v>
      </c>
    </row>
    <row r="1442" spans="4:10" ht="15.6" customHeight="1">
      <c r="D1442" s="38">
        <v>1440</v>
      </c>
      <c r="E1442" s="39">
        <v>2628</v>
      </c>
      <c r="F1442" s="40" t="s">
        <v>7185</v>
      </c>
      <c r="G1442" s="40" t="s">
        <v>6765</v>
      </c>
      <c r="H1442" s="40" t="s">
        <v>7857</v>
      </c>
      <c r="I1442" s="39">
        <v>2</v>
      </c>
      <c r="J1442" s="68">
        <v>44830</v>
      </c>
    </row>
    <row r="1443" spans="4:10" ht="15.6" customHeight="1">
      <c r="D1443" s="38">
        <v>1441</v>
      </c>
      <c r="E1443" s="39">
        <v>2873</v>
      </c>
      <c r="F1443" s="40" t="s">
        <v>8922</v>
      </c>
      <c r="G1443" s="40" t="s">
        <v>6808</v>
      </c>
      <c r="H1443" s="40" t="s">
        <v>8362</v>
      </c>
      <c r="I1443" s="39">
        <v>3</v>
      </c>
      <c r="J1443" s="68">
        <v>44830</v>
      </c>
    </row>
    <row r="1444" spans="4:10" ht="15.6" customHeight="1">
      <c r="D1444" s="38">
        <v>1442</v>
      </c>
      <c r="E1444" s="39">
        <v>3392</v>
      </c>
      <c r="F1444" s="40" t="s">
        <v>8923</v>
      </c>
      <c r="G1444" s="40" t="s">
        <v>6738</v>
      </c>
      <c r="H1444" s="40" t="s">
        <v>8442</v>
      </c>
      <c r="I1444" s="39">
        <v>2</v>
      </c>
      <c r="J1444" s="68">
        <v>44830</v>
      </c>
    </row>
    <row r="1445" spans="4:10" ht="15.6" customHeight="1">
      <c r="D1445" s="38">
        <v>1443</v>
      </c>
      <c r="E1445" s="39">
        <v>4937</v>
      </c>
      <c r="F1445" s="40" t="s">
        <v>8924</v>
      </c>
      <c r="G1445" s="40" t="s">
        <v>6738</v>
      </c>
      <c r="H1445" s="40" t="s">
        <v>8442</v>
      </c>
      <c r="I1445" s="39">
        <v>2</v>
      </c>
      <c r="J1445" s="68">
        <v>44830</v>
      </c>
    </row>
    <row r="1446" spans="4:10" ht="15.6" customHeight="1">
      <c r="D1446" s="38">
        <v>1444</v>
      </c>
      <c r="E1446" s="39">
        <v>4233</v>
      </c>
      <c r="F1446" s="40" t="s">
        <v>8925</v>
      </c>
      <c r="G1446" s="40" t="s">
        <v>6765</v>
      </c>
      <c r="H1446" s="40" t="s">
        <v>6837</v>
      </c>
      <c r="I1446" s="39">
        <v>2</v>
      </c>
      <c r="J1446" s="68">
        <v>44830</v>
      </c>
    </row>
    <row r="1447" spans="4:10" ht="15.6" customHeight="1">
      <c r="D1447" s="38">
        <v>1445</v>
      </c>
      <c r="E1447" s="39">
        <v>2620</v>
      </c>
      <c r="F1447" s="40" t="s">
        <v>5119</v>
      </c>
      <c r="G1447" s="40" t="s">
        <v>6765</v>
      </c>
      <c r="H1447" s="40" t="s">
        <v>8</v>
      </c>
      <c r="I1447" s="39">
        <v>2</v>
      </c>
      <c r="J1447" s="68">
        <v>44830</v>
      </c>
    </row>
    <row r="1448" spans="4:10" ht="15.6" customHeight="1">
      <c r="D1448" s="38">
        <v>1446</v>
      </c>
      <c r="E1448" s="39">
        <v>4727</v>
      </c>
      <c r="F1448" s="40" t="s">
        <v>8926</v>
      </c>
      <c r="G1448" s="40" t="s">
        <v>6738</v>
      </c>
      <c r="H1448" s="40" t="s">
        <v>8378</v>
      </c>
      <c r="I1448" s="39">
        <v>3</v>
      </c>
      <c r="J1448" s="68">
        <v>44831</v>
      </c>
    </row>
    <row r="1449" spans="4:10" ht="15.6" customHeight="1">
      <c r="D1449" s="38">
        <v>1447</v>
      </c>
      <c r="E1449" s="39">
        <v>4607</v>
      </c>
      <c r="F1449" s="40" t="s">
        <v>8927</v>
      </c>
      <c r="G1449" s="40" t="s">
        <v>6738</v>
      </c>
      <c r="H1449" s="40" t="s">
        <v>8380</v>
      </c>
      <c r="I1449" s="39">
        <v>3</v>
      </c>
      <c r="J1449" s="68">
        <v>44831</v>
      </c>
    </row>
    <row r="1450" spans="4:10" ht="15.6" customHeight="1">
      <c r="D1450" s="38">
        <v>1448</v>
      </c>
      <c r="E1450" s="39">
        <v>4221</v>
      </c>
      <c r="F1450" s="40" t="s">
        <v>8928</v>
      </c>
      <c r="G1450" s="40" t="s">
        <v>6765</v>
      </c>
      <c r="H1450" s="40" t="s">
        <v>7856</v>
      </c>
      <c r="I1450" s="39">
        <v>3</v>
      </c>
      <c r="J1450" s="68">
        <v>44831</v>
      </c>
    </row>
    <row r="1451" spans="4:10" ht="15.6" customHeight="1">
      <c r="D1451" s="38">
        <v>1449</v>
      </c>
      <c r="E1451" s="39">
        <v>4487</v>
      </c>
      <c r="F1451" s="40" t="s">
        <v>6780</v>
      </c>
      <c r="G1451" s="40" t="s">
        <v>6765</v>
      </c>
      <c r="H1451" s="40" t="s">
        <v>7856</v>
      </c>
      <c r="I1451" s="39">
        <v>3</v>
      </c>
      <c r="J1451" s="68">
        <v>44831</v>
      </c>
    </row>
    <row r="1452" spans="4:10" ht="15.6" customHeight="1">
      <c r="D1452" s="38">
        <v>1450</v>
      </c>
      <c r="E1452" s="39">
        <v>3667</v>
      </c>
      <c r="F1452" s="40" t="s">
        <v>8929</v>
      </c>
      <c r="G1452" s="40" t="s">
        <v>6792</v>
      </c>
      <c r="H1452" s="40" t="s">
        <v>8930</v>
      </c>
      <c r="I1452" s="39">
        <v>2</v>
      </c>
      <c r="J1452" s="68">
        <v>44831</v>
      </c>
    </row>
    <row r="1453" spans="4:10" ht="15.6" customHeight="1">
      <c r="D1453" s="38">
        <v>1451</v>
      </c>
      <c r="E1453" s="39">
        <v>4099</v>
      </c>
      <c r="F1453" s="40" t="s">
        <v>8931</v>
      </c>
      <c r="G1453" s="40" t="s">
        <v>6792</v>
      </c>
      <c r="H1453" s="40" t="s">
        <v>6967</v>
      </c>
      <c r="I1453" s="39">
        <v>3</v>
      </c>
      <c r="J1453" s="68">
        <v>44831</v>
      </c>
    </row>
    <row r="1454" spans="4:10" ht="15.6" customHeight="1">
      <c r="D1454" s="38">
        <v>1452</v>
      </c>
      <c r="E1454" s="39">
        <v>3617</v>
      </c>
      <c r="F1454" s="40" t="s">
        <v>7382</v>
      </c>
      <c r="G1454" s="40" t="s">
        <v>6808</v>
      </c>
      <c r="H1454" s="40" t="s">
        <v>6899</v>
      </c>
      <c r="I1454" s="39">
        <v>2</v>
      </c>
      <c r="J1454" s="68">
        <v>44832</v>
      </c>
    </row>
    <row r="1455" spans="4:10" ht="15.6" customHeight="1">
      <c r="D1455" s="38">
        <v>1453</v>
      </c>
      <c r="E1455" s="39">
        <v>4710</v>
      </c>
      <c r="F1455" s="40" t="s">
        <v>8932</v>
      </c>
      <c r="G1455" s="40" t="s">
        <v>6738</v>
      </c>
      <c r="H1455" s="40" t="s">
        <v>6739</v>
      </c>
      <c r="I1455" s="39">
        <v>3</v>
      </c>
      <c r="J1455" s="68">
        <v>44832</v>
      </c>
    </row>
    <row r="1456" spans="4:10" ht="15.6" customHeight="1">
      <c r="D1456" s="38">
        <v>1454</v>
      </c>
      <c r="E1456" s="39">
        <v>3745</v>
      </c>
      <c r="F1456" s="40" t="s">
        <v>8933</v>
      </c>
      <c r="G1456" s="40" t="s">
        <v>6774</v>
      </c>
      <c r="H1456" s="40" t="s">
        <v>6843</v>
      </c>
      <c r="I1456" s="39">
        <v>3</v>
      </c>
      <c r="J1456" s="68">
        <v>44832</v>
      </c>
    </row>
    <row r="1457" spans="4:10" ht="15.6" customHeight="1">
      <c r="D1457" s="38">
        <v>1455</v>
      </c>
      <c r="E1457" s="39">
        <v>2841</v>
      </c>
      <c r="F1457" s="40" t="s">
        <v>8934</v>
      </c>
      <c r="G1457" s="40" t="s">
        <v>6774</v>
      </c>
      <c r="H1457" s="40" t="s">
        <v>6843</v>
      </c>
      <c r="I1457" s="39">
        <v>3</v>
      </c>
      <c r="J1457" s="68">
        <v>44832</v>
      </c>
    </row>
    <row r="1458" spans="4:10" ht="15.6" customHeight="1">
      <c r="D1458" s="38">
        <v>1456</v>
      </c>
      <c r="E1458" s="39">
        <v>3143</v>
      </c>
      <c r="F1458" s="40" t="s">
        <v>8935</v>
      </c>
      <c r="G1458" s="40" t="s">
        <v>6774</v>
      </c>
      <c r="H1458" s="40" t="s">
        <v>6843</v>
      </c>
      <c r="I1458" s="39">
        <v>3</v>
      </c>
      <c r="J1458" s="68">
        <v>44832</v>
      </c>
    </row>
    <row r="1459" spans="4:10" ht="15.6" customHeight="1">
      <c r="D1459" s="38">
        <v>1457</v>
      </c>
      <c r="E1459" s="39">
        <v>4182</v>
      </c>
      <c r="F1459" s="40" t="s">
        <v>8936</v>
      </c>
      <c r="G1459" s="40" t="s">
        <v>6792</v>
      </c>
      <c r="H1459" s="40" t="s">
        <v>6967</v>
      </c>
      <c r="I1459" s="39">
        <v>2</v>
      </c>
      <c r="J1459" s="68">
        <v>44832</v>
      </c>
    </row>
    <row r="1460" spans="4:10" ht="15.6" customHeight="1">
      <c r="D1460" s="38">
        <v>1458</v>
      </c>
      <c r="E1460" s="39">
        <v>4293</v>
      </c>
      <c r="F1460" s="40" t="s">
        <v>8937</v>
      </c>
      <c r="G1460" s="40" t="s">
        <v>6792</v>
      </c>
      <c r="H1460" s="40" t="s">
        <v>6967</v>
      </c>
      <c r="I1460" s="39">
        <v>2</v>
      </c>
      <c r="J1460" s="68">
        <v>44832</v>
      </c>
    </row>
    <row r="1461" spans="4:10" ht="15.6" customHeight="1">
      <c r="D1461" s="38">
        <v>1459</v>
      </c>
      <c r="E1461" s="39">
        <v>4455</v>
      </c>
      <c r="F1461" s="40" t="s">
        <v>8938</v>
      </c>
      <c r="G1461" s="40" t="s">
        <v>6808</v>
      </c>
      <c r="H1461" s="40" t="s">
        <v>7025</v>
      </c>
      <c r="I1461" s="39">
        <v>3</v>
      </c>
      <c r="J1461" s="68">
        <v>44833</v>
      </c>
    </row>
    <row r="1462" spans="4:10" ht="15.6" customHeight="1">
      <c r="D1462" s="38">
        <v>1460</v>
      </c>
      <c r="E1462" s="39">
        <v>2260</v>
      </c>
      <c r="F1462" s="40" t="s">
        <v>8939</v>
      </c>
      <c r="G1462" s="40" t="s">
        <v>6765</v>
      </c>
      <c r="H1462" s="40" t="s">
        <v>8940</v>
      </c>
      <c r="I1462" s="39">
        <v>2</v>
      </c>
      <c r="J1462" s="68">
        <v>44833</v>
      </c>
    </row>
    <row r="1463" spans="4:10" ht="15.6" customHeight="1">
      <c r="D1463" s="38">
        <v>1461</v>
      </c>
      <c r="E1463" s="39">
        <v>4629</v>
      </c>
      <c r="F1463" s="40" t="s">
        <v>5158</v>
      </c>
      <c r="G1463" s="40" t="s">
        <v>6765</v>
      </c>
      <c r="H1463" s="40" t="s">
        <v>9</v>
      </c>
      <c r="I1463" s="39">
        <v>2</v>
      </c>
      <c r="J1463" s="68">
        <v>44833</v>
      </c>
    </row>
    <row r="1464" spans="4:10" ht="15.6" customHeight="1">
      <c r="D1464" s="38">
        <v>1462</v>
      </c>
      <c r="E1464" s="39">
        <v>3749</v>
      </c>
      <c r="F1464" s="40" t="s">
        <v>8941</v>
      </c>
      <c r="G1464" s="40" t="s">
        <v>6765</v>
      </c>
      <c r="H1464" s="40" t="s">
        <v>9</v>
      </c>
      <c r="I1464" s="39">
        <v>2</v>
      </c>
      <c r="J1464" s="68">
        <v>44833</v>
      </c>
    </row>
    <row r="1465" spans="4:10" ht="15.6" customHeight="1">
      <c r="D1465" s="38">
        <v>1463</v>
      </c>
      <c r="E1465" s="39">
        <v>4524</v>
      </c>
      <c r="F1465" s="40" t="s">
        <v>8942</v>
      </c>
      <c r="G1465" s="40" t="s">
        <v>6792</v>
      </c>
      <c r="H1465" s="40" t="s">
        <v>6967</v>
      </c>
      <c r="I1465" s="39">
        <v>2</v>
      </c>
      <c r="J1465" s="68">
        <v>44833</v>
      </c>
    </row>
    <row r="1466" spans="4:10" ht="15.6" customHeight="1">
      <c r="D1466" s="38">
        <v>1464</v>
      </c>
      <c r="E1466" s="39">
        <v>4310</v>
      </c>
      <c r="F1466" s="40" t="s">
        <v>8943</v>
      </c>
      <c r="G1466" s="40" t="s">
        <v>6792</v>
      </c>
      <c r="H1466" s="40" t="s">
        <v>8024</v>
      </c>
      <c r="I1466" s="39">
        <v>2</v>
      </c>
      <c r="J1466" s="68">
        <v>44833</v>
      </c>
    </row>
    <row r="1467" spans="4:10" ht="15.6" customHeight="1">
      <c r="D1467" s="38">
        <v>1465</v>
      </c>
      <c r="E1467" s="39">
        <v>4682</v>
      </c>
      <c r="F1467" s="40" t="s">
        <v>8944</v>
      </c>
      <c r="G1467" s="40" t="s">
        <v>6782</v>
      </c>
      <c r="H1467" s="40" t="s">
        <v>6784</v>
      </c>
      <c r="I1467" s="39">
        <v>2</v>
      </c>
      <c r="J1467" s="68">
        <v>44834</v>
      </c>
    </row>
    <row r="1468" spans="4:10" ht="15.6" customHeight="1">
      <c r="D1468" s="38">
        <v>1466</v>
      </c>
      <c r="E1468" s="39">
        <v>4286</v>
      </c>
      <c r="F1468" s="40" t="s">
        <v>8945</v>
      </c>
      <c r="G1468" s="40" t="s">
        <v>6782</v>
      </c>
      <c r="H1468" s="40" t="s">
        <v>7403</v>
      </c>
      <c r="I1468" s="39">
        <v>3</v>
      </c>
      <c r="J1468" s="68">
        <v>44834</v>
      </c>
    </row>
    <row r="1469" spans="4:10" ht="15.6" customHeight="1">
      <c r="D1469" s="38">
        <v>1467</v>
      </c>
      <c r="E1469" s="39">
        <v>3121</v>
      </c>
      <c r="F1469" s="40" t="s">
        <v>8946</v>
      </c>
      <c r="G1469" s="40" t="s">
        <v>6808</v>
      </c>
      <c r="H1469" s="40" t="s">
        <v>6899</v>
      </c>
      <c r="I1469" s="39">
        <v>3</v>
      </c>
      <c r="J1469" s="68">
        <v>44845</v>
      </c>
    </row>
    <row r="1470" spans="4:10" ht="15.6" customHeight="1">
      <c r="D1470" s="38">
        <v>1468</v>
      </c>
      <c r="E1470" s="39">
        <v>3122</v>
      </c>
      <c r="F1470" s="40" t="s">
        <v>8947</v>
      </c>
      <c r="G1470" s="40" t="s">
        <v>6808</v>
      </c>
      <c r="H1470" s="40" t="s">
        <v>6899</v>
      </c>
      <c r="I1470" s="39">
        <v>2</v>
      </c>
      <c r="J1470" s="68">
        <v>44845</v>
      </c>
    </row>
    <row r="1471" spans="4:10" ht="15.6" customHeight="1">
      <c r="D1471" s="38">
        <v>1469</v>
      </c>
      <c r="E1471" s="39">
        <v>4412</v>
      </c>
      <c r="F1471" s="40" t="s">
        <v>7359</v>
      </c>
      <c r="G1471" s="40" t="s">
        <v>5281</v>
      </c>
      <c r="H1471" s="40" t="s">
        <v>7809</v>
      </c>
      <c r="I1471" s="39">
        <v>2</v>
      </c>
      <c r="J1471" s="68">
        <v>44847</v>
      </c>
    </row>
    <row r="1472" spans="4:10" ht="15.6" customHeight="1">
      <c r="D1472" s="38">
        <v>1470</v>
      </c>
      <c r="E1472" s="39">
        <v>4767</v>
      </c>
      <c r="F1472" s="40" t="s">
        <v>8948</v>
      </c>
      <c r="G1472" s="40" t="s">
        <v>6808</v>
      </c>
      <c r="H1472" s="40" t="s">
        <v>6899</v>
      </c>
      <c r="I1472" s="39">
        <v>2</v>
      </c>
      <c r="J1472" s="68">
        <v>44848</v>
      </c>
    </row>
    <row r="1473" spans="4:10" ht="15.6" customHeight="1">
      <c r="D1473" s="38">
        <v>1471</v>
      </c>
      <c r="E1473" s="39">
        <v>4438</v>
      </c>
      <c r="F1473" s="40" t="s">
        <v>8949</v>
      </c>
      <c r="G1473" s="40" t="s">
        <v>6808</v>
      </c>
      <c r="H1473" s="40" t="s">
        <v>7025</v>
      </c>
      <c r="I1473" s="39">
        <v>2</v>
      </c>
      <c r="J1473" s="68">
        <v>44848</v>
      </c>
    </row>
    <row r="1474" spans="4:10" ht="15.6" customHeight="1">
      <c r="D1474" s="38">
        <v>1472</v>
      </c>
      <c r="E1474" s="39">
        <v>4501</v>
      </c>
      <c r="F1474" s="40" t="s">
        <v>8950</v>
      </c>
      <c r="G1474" s="40" t="s">
        <v>6792</v>
      </c>
      <c r="H1474" s="40" t="s">
        <v>7806</v>
      </c>
      <c r="I1474" s="39">
        <v>2</v>
      </c>
      <c r="J1474" s="68">
        <v>44865</v>
      </c>
    </row>
    <row r="1475" spans="4:10" ht="15.6" customHeight="1">
      <c r="D1475" s="38">
        <v>1473</v>
      </c>
      <c r="E1475" s="39">
        <v>4439</v>
      </c>
      <c r="F1475" s="40" t="s">
        <v>7349</v>
      </c>
      <c r="G1475" s="40" t="s">
        <v>6887</v>
      </c>
      <c r="H1475" s="40" t="s">
        <v>8951</v>
      </c>
      <c r="I1475" s="39">
        <v>2</v>
      </c>
      <c r="J1475" s="68">
        <v>44887</v>
      </c>
    </row>
    <row r="1476" spans="4:10" ht="15.6" customHeight="1">
      <c r="D1476" s="38">
        <v>1474</v>
      </c>
      <c r="E1476" s="39">
        <v>3340</v>
      </c>
      <c r="F1476" s="40" t="s">
        <v>8952</v>
      </c>
      <c r="G1476" s="40" t="s">
        <v>6735</v>
      </c>
      <c r="H1476" s="40" t="s">
        <v>6918</v>
      </c>
      <c r="I1476" s="39">
        <v>2</v>
      </c>
      <c r="J1476" s="68">
        <v>44888</v>
      </c>
    </row>
  </sheetData>
  <mergeCells count="8">
    <mergeCell ref="AP1:AX1"/>
    <mergeCell ref="M35:S35"/>
    <mergeCell ref="M51:S51"/>
    <mergeCell ref="A1:B1"/>
    <mergeCell ref="AF1:AN1"/>
    <mergeCell ref="V1:AD1"/>
    <mergeCell ref="M1:S1"/>
    <mergeCell ref="D1:K1"/>
  </mergeCells>
  <phoneticPr fontId="45" type="noConversion"/>
  <conditionalFormatting sqref="F397:F400">
    <cfRule type="duplicateValues" dxfId="306" priority="307"/>
  </conditionalFormatting>
  <conditionalFormatting sqref="F401:F402">
    <cfRule type="duplicateValues" dxfId="305" priority="308"/>
  </conditionalFormatting>
  <conditionalFormatting sqref="I2:I1277 I1478:I1048576 L2">
    <cfRule type="cellIs" dxfId="304" priority="306" operator="greaterThan">
      <formula>2</formula>
    </cfRule>
  </conditionalFormatting>
  <conditionalFormatting sqref="I1079:I1275">
    <cfRule type="containsText" dxfId="303" priority="296" operator="containsText" text="3">
      <formula>NOT(ISERROR(SEARCH("3",I1079)))</formula>
    </cfRule>
  </conditionalFormatting>
  <conditionalFormatting sqref="F1102:F1103 F1105:F1107">
    <cfRule type="duplicateValues" dxfId="302" priority="292"/>
  </conditionalFormatting>
  <conditionalFormatting sqref="F1102:F1103">
    <cfRule type="duplicateValues" dxfId="301" priority="293"/>
  </conditionalFormatting>
  <conditionalFormatting sqref="F1104">
    <cfRule type="duplicateValues" dxfId="300" priority="290"/>
    <cfRule type="duplicateValues" dxfId="299" priority="291"/>
  </conditionalFormatting>
  <conditionalFormatting sqref="F1108:F1114">
    <cfRule type="duplicateValues" dxfId="298" priority="294"/>
  </conditionalFormatting>
  <conditionalFormatting sqref="F1115:F1116">
    <cfRule type="duplicateValues" dxfId="297" priority="295"/>
  </conditionalFormatting>
  <conditionalFormatting sqref="F1136:F1140">
    <cfRule type="duplicateValues" dxfId="296" priority="289"/>
  </conditionalFormatting>
  <conditionalFormatting sqref="F1158">
    <cfRule type="duplicateValues" dxfId="295" priority="285"/>
    <cfRule type="duplicateValues" dxfId="294" priority="286"/>
  </conditionalFormatting>
  <conditionalFormatting sqref="F1166">
    <cfRule type="duplicateValues" dxfId="293" priority="284"/>
  </conditionalFormatting>
  <conditionalFormatting sqref="F1159:F1165 F1169">
    <cfRule type="duplicateValues" dxfId="292" priority="287"/>
  </conditionalFormatting>
  <conditionalFormatting sqref="F1167:F1168 F1171">
    <cfRule type="duplicateValues" dxfId="291" priority="288"/>
  </conditionalFormatting>
  <conditionalFormatting sqref="F1175:F1177">
    <cfRule type="duplicateValues" dxfId="290" priority="283"/>
  </conditionalFormatting>
  <conditionalFormatting sqref="F1186:F1199">
    <cfRule type="duplicateValues" dxfId="289" priority="281"/>
  </conditionalFormatting>
  <conditionalFormatting sqref="F1185">
    <cfRule type="duplicateValues" dxfId="288" priority="282"/>
  </conditionalFormatting>
  <conditionalFormatting sqref="F1221:F1223">
    <cfRule type="duplicateValues" dxfId="287" priority="279"/>
  </conditionalFormatting>
  <conditionalFormatting sqref="F1229:F1230">
    <cfRule type="duplicateValues" dxfId="286" priority="280"/>
  </conditionalFormatting>
  <conditionalFormatting sqref="F1226:F1227">
    <cfRule type="duplicateValues" dxfId="285" priority="278"/>
  </conditionalFormatting>
  <conditionalFormatting sqref="F1232">
    <cfRule type="duplicateValues" dxfId="284" priority="274"/>
    <cfRule type="duplicateValues" dxfId="283" priority="275"/>
    <cfRule type="duplicateValues" dxfId="282" priority="276"/>
  </conditionalFormatting>
  <conditionalFormatting sqref="F1250:F1257">
    <cfRule type="duplicateValues" dxfId="281" priority="277"/>
  </conditionalFormatting>
  <conditionalFormatting sqref="F1178:F1184">
    <cfRule type="duplicateValues" dxfId="280" priority="297"/>
  </conditionalFormatting>
  <conditionalFormatting sqref="F1200:F1215">
    <cfRule type="duplicateValues" dxfId="279" priority="298"/>
  </conditionalFormatting>
  <conditionalFormatting sqref="F1224:F1225 F1228 F1231">
    <cfRule type="duplicateValues" dxfId="278" priority="299"/>
  </conditionalFormatting>
  <conditionalFormatting sqref="F1154:F1157">
    <cfRule type="duplicateValues" dxfId="277" priority="300"/>
  </conditionalFormatting>
  <conditionalFormatting sqref="F1260:F1262">
    <cfRule type="duplicateValues" dxfId="276" priority="272"/>
  </conditionalFormatting>
  <conditionalFormatting sqref="F1269:F1270">
    <cfRule type="duplicateValues" dxfId="275" priority="273"/>
  </conditionalFormatting>
  <conditionalFormatting sqref="F1265:F1266">
    <cfRule type="duplicateValues" dxfId="274" priority="271"/>
  </conditionalFormatting>
  <conditionalFormatting sqref="F1233:F1249">
    <cfRule type="duplicateValues" dxfId="273" priority="301"/>
  </conditionalFormatting>
  <conditionalFormatting sqref="F1144:F1153">
    <cfRule type="duplicateValues" dxfId="272" priority="302"/>
  </conditionalFormatting>
  <conditionalFormatting sqref="F1216:F1218">
    <cfRule type="duplicateValues" dxfId="271" priority="303"/>
  </conditionalFormatting>
  <conditionalFormatting sqref="F1263:F1264 F1267:F1268">
    <cfRule type="duplicateValues" dxfId="270" priority="304"/>
  </conditionalFormatting>
  <conditionalFormatting sqref="F1271:F1275">
    <cfRule type="duplicateValues" dxfId="269" priority="305"/>
  </conditionalFormatting>
  <conditionalFormatting sqref="F1276">
    <cfRule type="duplicateValues" dxfId="268" priority="270"/>
  </conditionalFormatting>
  <conditionalFormatting sqref="I1276">
    <cfRule type="containsText" dxfId="267" priority="269" operator="containsText" text="3">
      <formula>NOT(ISERROR(SEARCH("3",I1276)))</formula>
    </cfRule>
  </conditionalFormatting>
  <conditionalFormatting sqref="F1277">
    <cfRule type="duplicateValues" dxfId="266" priority="268"/>
  </conditionalFormatting>
  <conditionalFormatting sqref="I1277">
    <cfRule type="containsText" dxfId="265" priority="267" operator="containsText" text="3">
      <formula>NOT(ISERROR(SEARCH("3",I1277)))</formula>
    </cfRule>
  </conditionalFormatting>
  <conditionalFormatting sqref="R50">
    <cfRule type="containsText" dxfId="264" priority="266" operator="containsText" text="3">
      <formula>NOT(ISERROR(SEARCH("3",R50)))</formula>
    </cfRule>
  </conditionalFormatting>
  <conditionalFormatting sqref="R49">
    <cfRule type="containsText" dxfId="263" priority="265" operator="containsText" text="3">
      <formula>NOT(ISERROR(SEARCH("3",R49)))</formula>
    </cfRule>
  </conditionalFormatting>
  <conditionalFormatting sqref="E1:E1277 E1478:E1048576">
    <cfRule type="duplicateValues" dxfId="262" priority="264"/>
  </conditionalFormatting>
  <conditionalFormatting sqref="F1:F1277 F1478:F1048576">
    <cfRule type="duplicateValues" dxfId="261" priority="263"/>
  </conditionalFormatting>
  <conditionalFormatting sqref="F1278">
    <cfRule type="duplicateValues" dxfId="260" priority="262"/>
  </conditionalFormatting>
  <conditionalFormatting sqref="I1278:I1289">
    <cfRule type="containsText" dxfId="259" priority="261" operator="containsText" text="3">
      <formula>NOT(ISERROR(SEARCH("3",I1278)))</formula>
    </cfRule>
  </conditionalFormatting>
  <conditionalFormatting sqref="F1279:F1280">
    <cfRule type="duplicateValues" dxfId="258" priority="260"/>
  </conditionalFormatting>
  <conditionalFormatting sqref="F1281:F1282">
    <cfRule type="duplicateValues" dxfId="257" priority="259"/>
  </conditionalFormatting>
  <conditionalFormatting sqref="F1284">
    <cfRule type="duplicateValues" dxfId="256" priority="254"/>
    <cfRule type="duplicateValues" dxfId="255" priority="255"/>
    <cfRule type="duplicateValues" dxfId="254" priority="256"/>
  </conditionalFormatting>
  <conditionalFormatting sqref="F1283">
    <cfRule type="duplicateValues" dxfId="253" priority="257"/>
  </conditionalFormatting>
  <conditionalFormatting sqref="F1285:F1289">
    <cfRule type="duplicateValues" dxfId="252" priority="258"/>
  </conditionalFormatting>
  <conditionalFormatting sqref="F1290:F1293">
    <cfRule type="duplicateValues" dxfId="251" priority="253"/>
  </conditionalFormatting>
  <conditionalFormatting sqref="I1290:I1291">
    <cfRule type="containsText" dxfId="250" priority="252" operator="containsText" text="3">
      <formula>NOT(ISERROR(SEARCH("3",I1290)))</formula>
    </cfRule>
  </conditionalFormatting>
  <conditionalFormatting sqref="I1292:I1293">
    <cfRule type="containsText" dxfId="249" priority="251" operator="containsText" text="3">
      <formula>NOT(ISERROR(SEARCH("3",I1292)))</formula>
    </cfRule>
  </conditionalFormatting>
  <conditionalFormatting sqref="F1294:F1295">
    <cfRule type="duplicateValues" dxfId="248" priority="250"/>
  </conditionalFormatting>
  <conditionalFormatting sqref="I1294:I1295">
    <cfRule type="containsText" dxfId="247" priority="249" operator="containsText" text="3">
      <formula>NOT(ISERROR(SEARCH("3",I1294)))</formula>
    </cfRule>
  </conditionalFormatting>
  <conditionalFormatting sqref="E1296">
    <cfRule type="duplicateValues" dxfId="246" priority="228"/>
    <cfRule type="duplicateValues" dxfId="245" priority="229"/>
  </conditionalFormatting>
  <conditionalFormatting sqref="F1296">
    <cfRule type="duplicateValues" dxfId="244" priority="224"/>
    <cfRule type="duplicateValues" dxfId="243" priority="225"/>
    <cfRule type="duplicateValues" dxfId="242" priority="226"/>
    <cfRule type="duplicateValues" dxfId="241" priority="227"/>
  </conditionalFormatting>
  <conditionalFormatting sqref="F1297">
    <cfRule type="duplicateValues" dxfId="240" priority="218"/>
    <cfRule type="duplicateValues" dxfId="239" priority="219"/>
    <cfRule type="duplicateValues" dxfId="238" priority="222"/>
    <cfRule type="duplicateValues" dxfId="237" priority="223"/>
  </conditionalFormatting>
  <conditionalFormatting sqref="E1297">
    <cfRule type="duplicateValues" dxfId="236" priority="220"/>
    <cfRule type="duplicateValues" dxfId="235" priority="221"/>
  </conditionalFormatting>
  <conditionalFormatting sqref="F1298">
    <cfRule type="duplicateValues" dxfId="234" priority="212"/>
    <cfRule type="duplicateValues" dxfId="233" priority="213"/>
    <cfRule type="duplicateValues" dxfId="232" priority="216"/>
    <cfRule type="duplicateValues" dxfId="231" priority="217"/>
  </conditionalFormatting>
  <conditionalFormatting sqref="E1298">
    <cfRule type="duplicateValues" dxfId="230" priority="214"/>
    <cfRule type="duplicateValues" dxfId="229" priority="215"/>
  </conditionalFormatting>
  <conditionalFormatting sqref="F1299">
    <cfRule type="duplicateValues" dxfId="228" priority="206"/>
    <cfRule type="duplicateValues" dxfId="227" priority="207"/>
    <cfRule type="duplicateValues" dxfId="226" priority="210"/>
    <cfRule type="duplicateValues" dxfId="225" priority="211"/>
  </conditionalFormatting>
  <conditionalFormatting sqref="E1299">
    <cfRule type="duplicateValues" dxfId="224" priority="208"/>
    <cfRule type="duplicateValues" dxfId="223" priority="209"/>
  </conditionalFormatting>
  <conditionalFormatting sqref="F1300">
    <cfRule type="duplicateValues" dxfId="222" priority="200"/>
    <cfRule type="duplicateValues" dxfId="221" priority="201"/>
    <cfRule type="duplicateValues" dxfId="220" priority="204"/>
    <cfRule type="duplicateValues" dxfId="219" priority="205"/>
  </conditionalFormatting>
  <conditionalFormatting sqref="E1300">
    <cfRule type="duplicateValues" dxfId="218" priority="202"/>
    <cfRule type="duplicateValues" dxfId="217" priority="203"/>
  </conditionalFormatting>
  <conditionalFormatting sqref="F1301:F1302">
    <cfRule type="duplicateValues" dxfId="216" priority="194"/>
    <cfRule type="duplicateValues" dxfId="215" priority="195"/>
    <cfRule type="duplicateValues" dxfId="214" priority="198"/>
    <cfRule type="duplicateValues" dxfId="213" priority="199"/>
  </conditionalFormatting>
  <conditionalFormatting sqref="E1301:E1302">
    <cfRule type="duplicateValues" dxfId="212" priority="196"/>
    <cfRule type="duplicateValues" dxfId="211" priority="197"/>
  </conditionalFormatting>
  <conditionalFormatting sqref="E1303:E1304">
    <cfRule type="duplicateValues" dxfId="210" priority="189"/>
    <cfRule type="duplicateValues" dxfId="209" priority="190"/>
  </conditionalFormatting>
  <conditionalFormatting sqref="F1303:F1310">
    <cfRule type="duplicateValues" dxfId="208" priority="191"/>
    <cfRule type="duplicateValues" dxfId="207" priority="192"/>
    <cfRule type="duplicateValues" dxfId="206" priority="193"/>
  </conditionalFormatting>
  <conditionalFormatting sqref="E1314:E1315">
    <cfRule type="duplicateValues" dxfId="205" priority="175"/>
  </conditionalFormatting>
  <conditionalFormatting sqref="F1314:F1315">
    <cfRule type="duplicateValues" dxfId="204" priority="173"/>
    <cfRule type="duplicateValues" dxfId="203" priority="174"/>
    <cfRule type="duplicateValues" dxfId="202" priority="176"/>
  </conditionalFormatting>
  <conditionalFormatting sqref="E1311:E1313">
    <cfRule type="duplicateValues" dxfId="201" priority="177"/>
  </conditionalFormatting>
  <conditionalFormatting sqref="F1311:F1313">
    <cfRule type="duplicateValues" dxfId="200" priority="178"/>
    <cfRule type="duplicateValues" dxfId="199" priority="179"/>
    <cfRule type="duplicateValues" dxfId="198" priority="180"/>
  </conditionalFormatting>
  <conditionalFormatting sqref="E1316:E1318">
    <cfRule type="duplicateValues" dxfId="197" priority="181"/>
  </conditionalFormatting>
  <conditionalFormatting sqref="F1316:F1318">
    <cfRule type="duplicateValues" dxfId="196" priority="182"/>
    <cfRule type="duplicateValues" dxfId="195" priority="183"/>
    <cfRule type="duplicateValues" dxfId="194" priority="184"/>
  </conditionalFormatting>
  <conditionalFormatting sqref="E1319:E1321">
    <cfRule type="duplicateValues" dxfId="193" priority="185"/>
  </conditionalFormatting>
  <conditionalFormatting sqref="F1319:F1321">
    <cfRule type="duplicateValues" dxfId="192" priority="186"/>
    <cfRule type="duplicateValues" dxfId="191" priority="187"/>
    <cfRule type="duplicateValues" dxfId="190" priority="188"/>
  </conditionalFormatting>
  <conditionalFormatting sqref="E1322:E1323">
    <cfRule type="duplicateValues" dxfId="189" priority="155"/>
  </conditionalFormatting>
  <conditionalFormatting sqref="F1322:F1323">
    <cfRule type="duplicateValues" dxfId="188" priority="153"/>
    <cfRule type="duplicateValues" dxfId="187" priority="154"/>
    <cfRule type="duplicateValues" dxfId="186" priority="156"/>
  </conditionalFormatting>
  <conditionalFormatting sqref="E1328">
    <cfRule type="duplicateValues" dxfId="185" priority="157"/>
  </conditionalFormatting>
  <conditionalFormatting sqref="F1328">
    <cfRule type="duplicateValues" dxfId="184" priority="158"/>
    <cfRule type="duplicateValues" dxfId="183" priority="159"/>
    <cfRule type="duplicateValues" dxfId="182" priority="160"/>
  </conditionalFormatting>
  <conditionalFormatting sqref="E1327">
    <cfRule type="duplicateValues" dxfId="181" priority="161"/>
  </conditionalFormatting>
  <conditionalFormatting sqref="F1327">
    <cfRule type="duplicateValues" dxfId="180" priority="162"/>
    <cfRule type="duplicateValues" dxfId="179" priority="163"/>
    <cfRule type="duplicateValues" dxfId="178" priority="164"/>
  </conditionalFormatting>
  <conditionalFormatting sqref="E1326">
    <cfRule type="duplicateValues" dxfId="177" priority="165"/>
  </conditionalFormatting>
  <conditionalFormatting sqref="F1326">
    <cfRule type="duplicateValues" dxfId="176" priority="166"/>
    <cfRule type="duplicateValues" dxfId="175" priority="167"/>
    <cfRule type="duplicateValues" dxfId="174" priority="168"/>
  </conditionalFormatting>
  <conditionalFormatting sqref="E1324:E1325">
    <cfRule type="duplicateValues" dxfId="173" priority="169"/>
  </conditionalFormatting>
  <conditionalFormatting sqref="F1324:F1325">
    <cfRule type="duplicateValues" dxfId="172" priority="170"/>
    <cfRule type="duplicateValues" dxfId="171" priority="171"/>
    <cfRule type="duplicateValues" dxfId="170" priority="172"/>
  </conditionalFormatting>
  <conditionalFormatting sqref="F1337:F1338">
    <cfRule type="duplicateValues" dxfId="169" priority="147"/>
    <cfRule type="duplicateValues" dxfId="168" priority="148"/>
    <cfRule type="duplicateValues" dxfId="167" priority="151"/>
    <cfRule type="duplicateValues" dxfId="166" priority="152"/>
  </conditionalFormatting>
  <conditionalFormatting sqref="E1337:E1338">
    <cfRule type="duplicateValues" dxfId="165" priority="149"/>
    <cfRule type="duplicateValues" dxfId="164" priority="150"/>
  </conditionalFormatting>
  <conditionalFormatting sqref="E1339">
    <cfRule type="duplicateValues" dxfId="163" priority="145"/>
    <cfRule type="duplicateValues" dxfId="162" priority="238"/>
  </conditionalFormatting>
  <conditionalFormatting sqref="F1339">
    <cfRule type="duplicateValues" dxfId="161" priority="146"/>
    <cfRule type="duplicateValues" dxfId="160" priority="237"/>
    <cfRule type="duplicateValues" dxfId="159" priority="239"/>
    <cfRule type="duplicateValues" dxfId="158" priority="240"/>
  </conditionalFormatting>
  <conditionalFormatting sqref="F1340">
    <cfRule type="duplicateValues" dxfId="157" priority="139"/>
    <cfRule type="duplicateValues" dxfId="156" priority="140"/>
    <cfRule type="duplicateValues" dxfId="155" priority="143"/>
    <cfRule type="duplicateValues" dxfId="154" priority="144"/>
  </conditionalFormatting>
  <conditionalFormatting sqref="E1340">
    <cfRule type="duplicateValues" dxfId="153" priority="141"/>
    <cfRule type="duplicateValues" dxfId="152" priority="142"/>
  </conditionalFormatting>
  <conditionalFormatting sqref="E1341">
    <cfRule type="duplicateValues" dxfId="151" priority="137"/>
  </conditionalFormatting>
  <conditionalFormatting sqref="F1341">
    <cfRule type="duplicateValues" dxfId="150" priority="135"/>
    <cfRule type="duplicateValues" dxfId="149" priority="136"/>
    <cfRule type="duplicateValues" dxfId="148" priority="138"/>
  </conditionalFormatting>
  <conditionalFormatting sqref="E1342">
    <cfRule type="duplicateValues" dxfId="147" priority="131"/>
    <cfRule type="duplicateValues" dxfId="146" priority="132"/>
  </conditionalFormatting>
  <conditionalFormatting sqref="F1342">
    <cfRule type="duplicateValues" dxfId="145" priority="129"/>
    <cfRule type="duplicateValues" dxfId="144" priority="130"/>
    <cfRule type="duplicateValues" dxfId="143" priority="133"/>
    <cfRule type="duplicateValues" dxfId="142" priority="134"/>
  </conditionalFormatting>
  <conditionalFormatting sqref="F1343:F1353">
    <cfRule type="duplicateValues" dxfId="141" priority="126"/>
    <cfRule type="duplicateValues" dxfId="140" priority="127"/>
    <cfRule type="duplicateValues" dxfId="139" priority="128"/>
  </conditionalFormatting>
  <conditionalFormatting sqref="E1354 E1357:E1364">
    <cfRule type="duplicateValues" dxfId="138" priority="122"/>
  </conditionalFormatting>
  <conditionalFormatting sqref="F1354 F1357:F1364">
    <cfRule type="duplicateValues" dxfId="137" priority="123"/>
    <cfRule type="duplicateValues" dxfId="136" priority="124"/>
    <cfRule type="duplicateValues" dxfId="135" priority="125"/>
  </conditionalFormatting>
  <conditionalFormatting sqref="E1365:E1366">
    <cfRule type="duplicateValues" dxfId="134" priority="121"/>
  </conditionalFormatting>
  <conditionalFormatting sqref="F1365:F1366">
    <cfRule type="duplicateValues" dxfId="133" priority="118"/>
    <cfRule type="duplicateValues" dxfId="132" priority="119"/>
    <cfRule type="duplicateValues" dxfId="131" priority="120"/>
  </conditionalFormatting>
  <conditionalFormatting sqref="E1355">
    <cfRule type="duplicateValues" dxfId="130" priority="116"/>
  </conditionalFormatting>
  <conditionalFormatting sqref="F1355">
    <cfRule type="duplicateValues" dxfId="129" priority="114"/>
    <cfRule type="duplicateValues" dxfId="128" priority="115"/>
    <cfRule type="duplicateValues" dxfId="127" priority="117"/>
  </conditionalFormatting>
  <conditionalFormatting sqref="E1367">
    <cfRule type="duplicateValues" dxfId="126" priority="100"/>
  </conditionalFormatting>
  <conditionalFormatting sqref="F1367">
    <cfRule type="duplicateValues" dxfId="125" priority="98"/>
    <cfRule type="duplicateValues" dxfId="124" priority="99"/>
    <cfRule type="duplicateValues" dxfId="123" priority="101"/>
  </conditionalFormatting>
  <conditionalFormatting sqref="E1374">
    <cfRule type="duplicateValues" dxfId="122" priority="96"/>
  </conditionalFormatting>
  <conditionalFormatting sqref="F1374">
    <cfRule type="duplicateValues" dxfId="121" priority="94"/>
    <cfRule type="duplicateValues" dxfId="120" priority="95"/>
    <cfRule type="duplicateValues" dxfId="119" priority="97"/>
  </conditionalFormatting>
  <conditionalFormatting sqref="E1368 E1375">
    <cfRule type="duplicateValues" dxfId="118" priority="102"/>
  </conditionalFormatting>
  <conditionalFormatting sqref="F1368 F1375">
    <cfRule type="duplicateValues" dxfId="117" priority="103"/>
    <cfRule type="duplicateValues" dxfId="116" priority="104"/>
    <cfRule type="duplicateValues" dxfId="115" priority="105"/>
  </conditionalFormatting>
  <conditionalFormatting sqref="E1370">
    <cfRule type="duplicateValues" dxfId="114" priority="106"/>
  </conditionalFormatting>
  <conditionalFormatting sqref="F1370">
    <cfRule type="duplicateValues" dxfId="113" priority="107"/>
    <cfRule type="duplicateValues" dxfId="112" priority="108"/>
    <cfRule type="duplicateValues" dxfId="111" priority="109"/>
  </conditionalFormatting>
  <conditionalFormatting sqref="E1369 E1371:E1373">
    <cfRule type="duplicateValues" dxfId="110" priority="110"/>
  </conditionalFormatting>
  <conditionalFormatting sqref="F1369 F1371:F1373">
    <cfRule type="duplicateValues" dxfId="109" priority="111"/>
    <cfRule type="duplicateValues" dxfId="108" priority="112"/>
    <cfRule type="duplicateValues" dxfId="107" priority="113"/>
  </conditionalFormatting>
  <conditionalFormatting sqref="E1387:E1388">
    <cfRule type="duplicateValues" dxfId="106" priority="92"/>
  </conditionalFormatting>
  <conditionalFormatting sqref="F1387:F1388">
    <cfRule type="duplicateValues" dxfId="105" priority="90"/>
    <cfRule type="duplicateValues" dxfId="104" priority="91"/>
    <cfRule type="duplicateValues" dxfId="103" priority="93"/>
  </conditionalFormatting>
  <conditionalFormatting sqref="E1389:E1390">
    <cfRule type="duplicateValues" dxfId="102" priority="88"/>
  </conditionalFormatting>
  <conditionalFormatting sqref="F1389:F1390">
    <cfRule type="duplicateValues" dxfId="101" priority="86"/>
    <cfRule type="duplicateValues" dxfId="100" priority="87"/>
    <cfRule type="duplicateValues" dxfId="99" priority="89"/>
  </conditionalFormatting>
  <conditionalFormatting sqref="E1391">
    <cfRule type="duplicateValues" dxfId="98" priority="84"/>
  </conditionalFormatting>
  <conditionalFormatting sqref="F1391">
    <cfRule type="duplicateValues" dxfId="97" priority="82"/>
    <cfRule type="duplicateValues" dxfId="96" priority="83"/>
    <cfRule type="duplicateValues" dxfId="95" priority="85"/>
  </conditionalFormatting>
  <conditionalFormatting sqref="E1392:E1393">
    <cfRule type="duplicateValues" dxfId="94" priority="80"/>
  </conditionalFormatting>
  <conditionalFormatting sqref="F1392:F1393">
    <cfRule type="duplicateValues" dxfId="93" priority="78"/>
    <cfRule type="duplicateValues" dxfId="92" priority="79"/>
    <cfRule type="duplicateValues" dxfId="91" priority="81"/>
  </conditionalFormatting>
  <conditionalFormatting sqref="E1400:E1402">
    <cfRule type="duplicateValues" dxfId="90" priority="77"/>
  </conditionalFormatting>
  <conditionalFormatting sqref="F1400:F1402">
    <cfRule type="duplicateValues" dxfId="89" priority="74"/>
    <cfRule type="duplicateValues" dxfId="88" priority="75"/>
    <cfRule type="duplicateValues" dxfId="87" priority="76"/>
  </conditionalFormatting>
  <conditionalFormatting sqref="E1403:E1405">
    <cfRule type="duplicateValues" dxfId="86" priority="73"/>
  </conditionalFormatting>
  <conditionalFormatting sqref="F1403:F1405">
    <cfRule type="duplicateValues" dxfId="85" priority="70"/>
    <cfRule type="duplicateValues" dxfId="84" priority="71"/>
    <cfRule type="duplicateValues" dxfId="83" priority="72"/>
  </conditionalFormatting>
  <conditionalFormatting sqref="E1406:E1408">
    <cfRule type="duplicateValues" dxfId="82" priority="69"/>
  </conditionalFormatting>
  <conditionalFormatting sqref="F1406:F1408">
    <cfRule type="duplicateValues" dxfId="81" priority="66"/>
    <cfRule type="duplicateValues" dxfId="80" priority="67"/>
    <cfRule type="duplicateValues" dxfId="79" priority="68"/>
  </conditionalFormatting>
  <conditionalFormatting sqref="E1409:E1411">
    <cfRule type="duplicateValues" dxfId="78" priority="64"/>
  </conditionalFormatting>
  <conditionalFormatting sqref="F1409:F1411">
    <cfRule type="duplicateValues" dxfId="77" priority="62"/>
    <cfRule type="duplicateValues" dxfId="76" priority="63"/>
    <cfRule type="duplicateValues" dxfId="75" priority="65"/>
  </conditionalFormatting>
  <conditionalFormatting sqref="E1412:E1414">
    <cfRule type="duplicateValues" dxfId="74" priority="60"/>
  </conditionalFormatting>
  <conditionalFormatting sqref="F1412:F1414">
    <cfRule type="duplicateValues" dxfId="73" priority="58"/>
    <cfRule type="duplicateValues" dxfId="72" priority="59"/>
    <cfRule type="duplicateValues" dxfId="71" priority="61"/>
  </conditionalFormatting>
  <conditionalFormatting sqref="E1428:E1429">
    <cfRule type="duplicateValues" dxfId="70" priority="56"/>
  </conditionalFormatting>
  <conditionalFormatting sqref="F1428:F1429">
    <cfRule type="duplicateValues" dxfId="69" priority="54"/>
    <cfRule type="duplicateValues" dxfId="68" priority="55"/>
    <cfRule type="duplicateValues" dxfId="67" priority="57"/>
  </conditionalFormatting>
  <conditionalFormatting sqref="E1430:E1431">
    <cfRule type="duplicateValues" dxfId="66" priority="52"/>
  </conditionalFormatting>
  <conditionalFormatting sqref="F1430:F1431">
    <cfRule type="duplicateValues" dxfId="65" priority="50"/>
    <cfRule type="duplicateValues" dxfId="64" priority="51"/>
    <cfRule type="duplicateValues" dxfId="63" priority="53"/>
  </conditionalFormatting>
  <conditionalFormatting sqref="E1432">
    <cfRule type="duplicateValues" dxfId="62" priority="48"/>
  </conditionalFormatting>
  <conditionalFormatting sqref="F1432">
    <cfRule type="duplicateValues" dxfId="61" priority="46"/>
    <cfRule type="duplicateValues" dxfId="60" priority="47"/>
    <cfRule type="duplicateValues" dxfId="59" priority="49"/>
  </conditionalFormatting>
  <conditionalFormatting sqref="E1435:E1437">
    <cfRule type="duplicateValues" dxfId="58" priority="44"/>
  </conditionalFormatting>
  <conditionalFormatting sqref="F1435:F1437">
    <cfRule type="duplicateValues" dxfId="57" priority="42"/>
    <cfRule type="duplicateValues" dxfId="56" priority="43"/>
    <cfRule type="duplicateValues" dxfId="55" priority="45"/>
  </conditionalFormatting>
  <conditionalFormatting sqref="E1438:E1440">
    <cfRule type="duplicateValues" dxfId="54" priority="40"/>
  </conditionalFormatting>
  <conditionalFormatting sqref="F1438:F1440">
    <cfRule type="duplicateValues" dxfId="53" priority="38"/>
    <cfRule type="duplicateValues" dxfId="52" priority="39"/>
    <cfRule type="duplicateValues" dxfId="51" priority="41"/>
  </conditionalFormatting>
  <conditionalFormatting sqref="E1441:E1442">
    <cfRule type="duplicateValues" dxfId="50" priority="36"/>
  </conditionalFormatting>
  <conditionalFormatting sqref="F1441:F1442">
    <cfRule type="duplicateValues" dxfId="49" priority="34"/>
    <cfRule type="duplicateValues" dxfId="48" priority="35"/>
    <cfRule type="duplicateValues" dxfId="47" priority="37"/>
  </conditionalFormatting>
  <conditionalFormatting sqref="E1443:E1444">
    <cfRule type="duplicateValues" dxfId="46" priority="32"/>
  </conditionalFormatting>
  <conditionalFormatting sqref="F1443:F1444">
    <cfRule type="duplicateValues" dxfId="45" priority="30"/>
    <cfRule type="duplicateValues" dxfId="44" priority="31"/>
    <cfRule type="duplicateValues" dxfId="43" priority="33"/>
  </conditionalFormatting>
  <conditionalFormatting sqref="E1433">
    <cfRule type="duplicateValues" dxfId="42" priority="28"/>
  </conditionalFormatting>
  <conditionalFormatting sqref="F1433">
    <cfRule type="duplicateValues" dxfId="41" priority="26"/>
    <cfRule type="duplicateValues" dxfId="40" priority="27"/>
    <cfRule type="duplicateValues" dxfId="39" priority="29"/>
  </conditionalFormatting>
  <conditionalFormatting sqref="E1434">
    <cfRule type="duplicateValues" dxfId="38" priority="24"/>
  </conditionalFormatting>
  <conditionalFormatting sqref="F1434">
    <cfRule type="duplicateValues" dxfId="37" priority="22"/>
    <cfRule type="duplicateValues" dxfId="36" priority="23"/>
    <cfRule type="duplicateValues" dxfId="35" priority="25"/>
  </conditionalFormatting>
  <conditionalFormatting sqref="E1445:E1447 E1452">
    <cfRule type="duplicateValues" dxfId="34" priority="12"/>
  </conditionalFormatting>
  <conditionalFormatting sqref="F1445:F1447 F1452">
    <cfRule type="duplicateValues" dxfId="33" priority="10"/>
    <cfRule type="duplicateValues" dxfId="32" priority="11"/>
    <cfRule type="duplicateValues" dxfId="31" priority="13"/>
  </conditionalFormatting>
  <conditionalFormatting sqref="E1449:E1450">
    <cfRule type="duplicateValues" dxfId="30" priority="14"/>
  </conditionalFormatting>
  <conditionalFormatting sqref="F1449:F1450">
    <cfRule type="duplicateValues" dxfId="29" priority="15"/>
    <cfRule type="duplicateValues" dxfId="28" priority="16"/>
    <cfRule type="duplicateValues" dxfId="27" priority="17"/>
  </conditionalFormatting>
  <conditionalFormatting sqref="E1448 E1451">
    <cfRule type="duplicateValues" dxfId="26" priority="18"/>
  </conditionalFormatting>
  <conditionalFormatting sqref="F1448 F1451">
    <cfRule type="duplicateValues" dxfId="25" priority="19"/>
    <cfRule type="duplicateValues" dxfId="24" priority="20"/>
    <cfRule type="duplicateValues" dxfId="23" priority="21"/>
  </conditionalFormatting>
  <conditionalFormatting sqref="F1336">
    <cfRule type="duplicateValues" dxfId="22" priority="230"/>
    <cfRule type="duplicateValues" dxfId="21" priority="232"/>
    <cfRule type="duplicateValues" dxfId="20" priority="233"/>
  </conditionalFormatting>
  <conditionalFormatting sqref="E1336">
    <cfRule type="duplicateValues" dxfId="19" priority="231"/>
  </conditionalFormatting>
  <conditionalFormatting sqref="F1394:F1398">
    <cfRule type="duplicateValues" dxfId="18" priority="234"/>
    <cfRule type="duplicateValues" dxfId="17" priority="235"/>
    <cfRule type="duplicateValues" dxfId="16" priority="236"/>
  </conditionalFormatting>
  <conditionalFormatting sqref="I1296:I1476">
    <cfRule type="cellIs" dxfId="15" priority="7" operator="equal">
      <formula>3</formula>
    </cfRule>
    <cfRule type="cellIs" dxfId="14" priority="8" operator="greaterThan">
      <formula>3</formula>
    </cfRule>
    <cfRule type="cellIs" priority="9" operator="greaterThanOrEqual">
      <formula>3</formula>
    </cfRule>
  </conditionalFormatting>
  <conditionalFormatting sqref="E1415:E1416">
    <cfRule type="duplicateValues" dxfId="13" priority="241"/>
  </conditionalFormatting>
  <conditionalFormatting sqref="F1415:F1416">
    <cfRule type="duplicateValues" dxfId="12" priority="242"/>
    <cfRule type="duplicateValues" dxfId="11" priority="243"/>
    <cfRule type="duplicateValues" dxfId="10" priority="244"/>
  </conditionalFormatting>
  <conditionalFormatting sqref="E1417">
    <cfRule type="duplicateValues" dxfId="9" priority="245"/>
  </conditionalFormatting>
  <conditionalFormatting sqref="F1417">
    <cfRule type="duplicateValues" dxfId="8" priority="246"/>
    <cfRule type="duplicateValues" dxfId="7" priority="247"/>
    <cfRule type="duplicateValues" dxfId="6" priority="248"/>
  </conditionalFormatting>
  <conditionalFormatting sqref="F1:F1476 F1478:F1048576">
    <cfRule type="duplicateValues" dxfId="5" priority="6"/>
  </conditionalFormatting>
  <conditionalFormatting sqref="E1:E1476 E1478:E1048576">
    <cfRule type="duplicateValues" dxfId="4" priority="4"/>
    <cfRule type="duplicateValues" dxfId="3" priority="5"/>
  </conditionalFormatting>
  <conditionalFormatting sqref="O88">
    <cfRule type="duplicateValues" dxfId="2" priority="1"/>
  </conditionalFormatting>
  <conditionalFormatting sqref="N88">
    <cfRule type="duplicateValues" dxfId="1" priority="2"/>
    <cfRule type="duplicateValues" dxfId="0" priority="3"/>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勤務統計</vt:lpstr>
      <vt:lpstr>門市總表</vt:lpstr>
      <vt:lpstr>首頁</vt:lpstr>
      <vt:lpstr>行事曆</vt:lpstr>
      <vt:lpstr>出勤時間</vt:lpstr>
      <vt:lpstr>IM</vt:lpstr>
      <vt:lpstr>MFP</vt:lpstr>
      <vt:lpstr>IM錯誤紀錄</vt:lpstr>
      <vt:lpstr>湯家瑋</vt:lpstr>
      <vt:lpstr>吳宗鴻</vt:lpstr>
      <vt:lpstr>劉柏均</vt:lpstr>
      <vt:lpstr>狄澤洋</vt:lpstr>
      <vt:lpstr>門市狀態</vt:lpstr>
      <vt:lpstr>0919門市清單主檔</vt:lpstr>
      <vt:lpstr>MFP_零件表</vt:lpstr>
      <vt:lpstr>STAR專案</vt:lpstr>
      <vt:lpstr>特殊門市清單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Diyn</dc:creator>
  <cp:lastModifiedBy>. Diyn</cp:lastModifiedBy>
  <cp:lastPrinted>2025-12-17T09:02:20Z</cp:lastPrinted>
  <dcterms:created xsi:type="dcterms:W3CDTF">2023-09-04T06:41:37Z</dcterms:created>
  <dcterms:modified xsi:type="dcterms:W3CDTF">2026-01-23T10:36:46Z</dcterms:modified>
</cp:coreProperties>
</file>